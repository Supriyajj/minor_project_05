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SHMITHA.DELL\Downloads\"/>
    </mc:Choice>
  </mc:AlternateContent>
  <xr:revisionPtr revIDLastSave="0" documentId="8_{D4B6176C-E7E8-4C6C-A667-2705B1095E87}" xr6:coauthVersionLast="47" xr6:coauthVersionMax="47" xr10:uidLastSave="{00000000-0000-0000-0000-000000000000}"/>
  <bookViews>
    <workbookView xWindow="-110" yWindow="-110" windowWidth="19420" windowHeight="10300" firstSheet="7" activeTab="11" xr2:uid="{00000000-000D-0000-FFFF-FFFF00000000}"/>
  </bookViews>
  <sheets>
    <sheet name="Orders_Working" sheetId="1" r:id="rId1"/>
    <sheet name="README" sheetId="2" r:id="rId2"/>
    <sheet name="Orders" sheetId="3" r:id="rId3"/>
    <sheet name="Customers" sheetId="4" r:id="rId4"/>
    <sheet name="Products" sheetId="5" r:id="rId5"/>
    <sheet name="Sales_Reps" sheetId="6" r:id="rId6"/>
    <sheet name="Targets" sheetId="7" r:id="rId7"/>
    <sheet name="Q1_Lookups" sheetId="8" r:id="rId8"/>
    <sheet name="Q2_Cleaning" sheetId="9" r:id="rId9"/>
    <sheet name="Q3_Aggregation" sheetId="10" r:id="rId10"/>
    <sheet name="Q4_Pivot" sheetId="11" r:id="rId11"/>
    <sheet name="Q5_Advanced" sheetId="12" r:id="rId12"/>
  </sheets>
  <definedNames>
    <definedName name="_xlnm.Print_Area" localSheetId="3">Customers!$A$1:$F$301</definedName>
    <definedName name="_xlnm.Print_Area" localSheetId="2">Orders!$A$1:$K$2001</definedName>
    <definedName name="_xlnm.Print_Area" localSheetId="0">Orders_Working!$A$1:$K$2001</definedName>
    <definedName name="_xlnm.Print_Area" localSheetId="4">Products!$A$1:$F$61</definedName>
    <definedName name="_xlnm.Print_Area" localSheetId="5">Sales_Reps!$A$1:$E$31</definedName>
    <definedName name="_xlnm.Print_Area" localSheetId="6">Targets!$A$1:$M$31</definedName>
    <definedName name="_xlnm.Print_Titles" localSheetId="3">Customers!$1:$1</definedName>
    <definedName name="_xlnm.Print_Titles" localSheetId="2">Orders!$1:$1</definedName>
    <definedName name="_xlnm.Print_Titles" localSheetId="0">Orders_Working!$1:$1</definedName>
    <definedName name="_xlnm.Print_Titles" localSheetId="4">Products!$1:$1</definedName>
    <definedName name="_xlnm.Print_Titles" localSheetId="5">Sales_Reps!$1:$1</definedName>
    <definedName name="_xlnm.Print_Titles" localSheetId="6">Targets!$1:$1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4" i="12" l="1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J34" i="12"/>
  <c r="I34" i="12"/>
  <c r="H34" i="12"/>
  <c r="M33" i="12"/>
  <c r="I33" i="12"/>
  <c r="H33" i="12"/>
  <c r="J33" i="12" s="1"/>
  <c r="M32" i="12"/>
  <c r="I32" i="12"/>
  <c r="H32" i="12"/>
  <c r="J32" i="12" s="1"/>
  <c r="M31" i="12"/>
  <c r="J31" i="12"/>
  <c r="I31" i="12"/>
  <c r="H31" i="12"/>
  <c r="M30" i="12"/>
  <c r="I30" i="12"/>
  <c r="H30" i="12"/>
  <c r="J30" i="12" s="1"/>
  <c r="M29" i="12"/>
  <c r="J29" i="12"/>
  <c r="I29" i="12"/>
  <c r="H29" i="12"/>
  <c r="M28" i="12"/>
  <c r="I28" i="12"/>
  <c r="H28" i="12"/>
  <c r="J28" i="12" s="1"/>
  <c r="M27" i="12"/>
  <c r="I27" i="12"/>
  <c r="H27" i="12"/>
  <c r="J27" i="12" s="1"/>
  <c r="M26" i="12"/>
  <c r="J26" i="12"/>
  <c r="I26" i="12"/>
  <c r="H26" i="12"/>
  <c r="M25" i="12"/>
  <c r="I25" i="12"/>
  <c r="H25" i="12"/>
  <c r="J25" i="12" s="1"/>
  <c r="M24" i="12"/>
  <c r="I24" i="12"/>
  <c r="H24" i="12"/>
  <c r="J24" i="12" s="1"/>
  <c r="M23" i="12"/>
  <c r="J23" i="12"/>
  <c r="I23" i="12"/>
  <c r="H23" i="12"/>
  <c r="M22" i="12"/>
  <c r="I22" i="12"/>
  <c r="H22" i="12"/>
  <c r="J22" i="12" s="1"/>
  <c r="M21" i="12"/>
  <c r="J21" i="12"/>
  <c r="I21" i="12"/>
  <c r="H21" i="12"/>
  <c r="M20" i="12"/>
  <c r="I20" i="12"/>
  <c r="H20" i="12"/>
  <c r="J20" i="12" s="1"/>
  <c r="M19" i="12"/>
  <c r="I19" i="12"/>
  <c r="H19" i="12"/>
  <c r="J19" i="12" s="1"/>
  <c r="M18" i="12"/>
  <c r="J18" i="12"/>
  <c r="I18" i="12"/>
  <c r="H18" i="12"/>
  <c r="M17" i="12"/>
  <c r="I17" i="12"/>
  <c r="H17" i="12"/>
  <c r="J17" i="12" s="1"/>
  <c r="M16" i="12"/>
  <c r="I16" i="12"/>
  <c r="H16" i="12"/>
  <c r="J16" i="12" s="1"/>
  <c r="K16" i="12" s="1"/>
  <c r="M15" i="12"/>
  <c r="J15" i="12"/>
  <c r="I15" i="12"/>
  <c r="H15" i="12"/>
  <c r="M14" i="12"/>
  <c r="I14" i="12"/>
  <c r="H14" i="12"/>
  <c r="J14" i="12" s="1"/>
  <c r="M13" i="12"/>
  <c r="J13" i="12"/>
  <c r="I13" i="12"/>
  <c r="H13" i="12"/>
  <c r="M12" i="12"/>
  <c r="I12" i="12"/>
  <c r="H12" i="12"/>
  <c r="J12" i="12" s="1"/>
  <c r="M11" i="12"/>
  <c r="I11" i="12"/>
  <c r="H11" i="12"/>
  <c r="J11" i="12" s="1"/>
  <c r="M10" i="12"/>
  <c r="J10" i="12"/>
  <c r="I10" i="12"/>
  <c r="H10" i="12"/>
  <c r="M9" i="12"/>
  <c r="J9" i="12"/>
  <c r="I9" i="12"/>
  <c r="H9" i="12"/>
  <c r="M8" i="12"/>
  <c r="I8" i="12"/>
  <c r="H8" i="12"/>
  <c r="J8" i="12" s="1"/>
  <c r="M7" i="12"/>
  <c r="I7" i="12"/>
  <c r="H7" i="12"/>
  <c r="J7" i="12" s="1"/>
  <c r="M6" i="12"/>
  <c r="J6" i="12"/>
  <c r="I6" i="12"/>
  <c r="H6" i="12"/>
  <c r="E6" i="12"/>
  <c r="M5" i="12"/>
  <c r="I5" i="12"/>
  <c r="H5" i="12"/>
  <c r="J5" i="12" s="1"/>
  <c r="AL16" i="11"/>
  <c r="AI16" i="11"/>
  <c r="AD16" i="11"/>
  <c r="AA16" i="11"/>
  <c r="V16" i="11"/>
  <c r="S16" i="11"/>
  <c r="N16" i="11"/>
  <c r="K16" i="11"/>
  <c r="H16" i="11"/>
  <c r="AJ16" i="11" s="1"/>
  <c r="AK15" i="11"/>
  <c r="AC15" i="11"/>
  <c r="U15" i="11"/>
  <c r="M15" i="11"/>
  <c r="H15" i="11"/>
  <c r="AI15" i="11" s="1"/>
  <c r="AL14" i="11"/>
  <c r="AJ14" i="11"/>
  <c r="AD14" i="11"/>
  <c r="AB14" i="11"/>
  <c r="V14" i="11"/>
  <c r="T14" i="11"/>
  <c r="N14" i="11"/>
  <c r="L14" i="11"/>
  <c r="H14" i="11"/>
  <c r="AH14" i="11" s="1"/>
  <c r="AK13" i="11"/>
  <c r="AI13" i="11"/>
  <c r="AC13" i="11"/>
  <c r="AA13" i="11"/>
  <c r="U13" i="11"/>
  <c r="S13" i="11"/>
  <c r="M13" i="11"/>
  <c r="K13" i="11"/>
  <c r="H13" i="11"/>
  <c r="AL12" i="11"/>
  <c r="AK12" i="11"/>
  <c r="AJ12" i="11"/>
  <c r="AH12" i="11"/>
  <c r="AD12" i="11"/>
  <c r="AC12" i="11"/>
  <c r="AB12" i="11"/>
  <c r="Z12" i="11"/>
  <c r="V12" i="11"/>
  <c r="U12" i="11"/>
  <c r="T12" i="11"/>
  <c r="R12" i="11"/>
  <c r="N12" i="11"/>
  <c r="M12" i="11"/>
  <c r="L12" i="11"/>
  <c r="J12" i="11"/>
  <c r="H12" i="11"/>
  <c r="AF12" i="11" s="1"/>
  <c r="AL11" i="11"/>
  <c r="AK11" i="11"/>
  <c r="AJ11" i="11"/>
  <c r="AI11" i="11"/>
  <c r="AD11" i="11"/>
  <c r="AC11" i="11"/>
  <c r="AB11" i="11"/>
  <c r="AA11" i="11"/>
  <c r="V11" i="11"/>
  <c r="U11" i="11"/>
  <c r="T11" i="11"/>
  <c r="S11" i="11"/>
  <c r="N11" i="11"/>
  <c r="M11" i="11"/>
  <c r="L11" i="11"/>
  <c r="K11" i="11"/>
  <c r="H11" i="11"/>
  <c r="AE11" i="11" s="1"/>
  <c r="AH10" i="11"/>
  <c r="Z10" i="11"/>
  <c r="R10" i="11"/>
  <c r="J10" i="11"/>
  <c r="H10" i="11"/>
  <c r="AL10" i="11" s="1"/>
  <c r="Y9" i="11"/>
  <c r="I9" i="11"/>
  <c r="H9" i="11"/>
  <c r="AK9" i="11" s="1"/>
  <c r="H8" i="11"/>
  <c r="AK8" i="11" s="1"/>
  <c r="E8" i="11"/>
  <c r="AG7" i="11"/>
  <c r="H7" i="11"/>
  <c r="AK7" i="11" s="1"/>
  <c r="Y6" i="11"/>
  <c r="I6" i="11"/>
  <c r="H6" i="11"/>
  <c r="AK6" i="11" s="1"/>
  <c r="H5" i="11"/>
  <c r="AK5" i="11" s="1"/>
  <c r="AL4" i="11"/>
  <c r="AK4" i="11"/>
  <c r="AJ4" i="11"/>
  <c r="AJ9" i="11" s="1"/>
  <c r="AI4" i="11"/>
  <c r="AI9" i="11" s="1"/>
  <c r="AH4" i="11"/>
  <c r="AH15" i="11" s="1"/>
  <c r="AG4" i="11"/>
  <c r="AG9" i="11" s="1"/>
  <c r="AF4" i="11"/>
  <c r="AE4" i="11"/>
  <c r="AE12" i="11" s="1"/>
  <c r="AD4" i="11"/>
  <c r="AC4" i="11"/>
  <c r="AB4" i="11"/>
  <c r="AB9" i="11" s="1"/>
  <c r="AA4" i="11"/>
  <c r="AA9" i="11" s="1"/>
  <c r="Z4" i="11"/>
  <c r="Z15" i="11" s="1"/>
  <c r="Y4" i="11"/>
  <c r="X4" i="11"/>
  <c r="W4" i="11"/>
  <c r="W12" i="11" s="1"/>
  <c r="V4" i="11"/>
  <c r="U4" i="11"/>
  <c r="T4" i="11"/>
  <c r="T9" i="11" s="1"/>
  <c r="S4" i="11"/>
  <c r="S9" i="11" s="1"/>
  <c r="R4" i="11"/>
  <c r="R15" i="11" s="1"/>
  <c r="Q4" i="11"/>
  <c r="Q9" i="11" s="1"/>
  <c r="P4" i="11"/>
  <c r="O4" i="11"/>
  <c r="O12" i="11" s="1"/>
  <c r="N4" i="11"/>
  <c r="M4" i="11"/>
  <c r="L4" i="11"/>
  <c r="L9" i="11" s="1"/>
  <c r="K4" i="11"/>
  <c r="K9" i="11" s="1"/>
  <c r="J4" i="11"/>
  <c r="J15" i="11" s="1"/>
  <c r="I4" i="11"/>
  <c r="I8" i="11" s="1"/>
  <c r="H34" i="10"/>
  <c r="I34" i="10" s="1"/>
  <c r="I33" i="10"/>
  <c r="H33" i="10"/>
  <c r="I32" i="10"/>
  <c r="H32" i="10"/>
  <c r="H31" i="10"/>
  <c r="I31" i="10" s="1"/>
  <c r="H30" i="10"/>
  <c r="I30" i="10" s="1"/>
  <c r="I29" i="10"/>
  <c r="H29" i="10"/>
  <c r="I28" i="10"/>
  <c r="H28" i="10"/>
  <c r="H27" i="10"/>
  <c r="I27" i="10" s="1"/>
  <c r="H26" i="10"/>
  <c r="I26" i="10" s="1"/>
  <c r="I25" i="10"/>
  <c r="H25" i="10"/>
  <c r="I24" i="10"/>
  <c r="H24" i="10"/>
  <c r="H23" i="10"/>
  <c r="I23" i="10" s="1"/>
  <c r="H22" i="10"/>
  <c r="I22" i="10" s="1"/>
  <c r="I21" i="10"/>
  <c r="H21" i="10"/>
  <c r="I20" i="10"/>
  <c r="H20" i="10"/>
  <c r="H19" i="10"/>
  <c r="I19" i="10" s="1"/>
  <c r="H18" i="10"/>
  <c r="I18" i="10" s="1"/>
  <c r="I17" i="10"/>
  <c r="H17" i="10"/>
  <c r="I16" i="10"/>
  <c r="H16" i="10"/>
  <c r="H15" i="10"/>
  <c r="I15" i="10" s="1"/>
  <c r="H14" i="10"/>
  <c r="I14" i="10" s="1"/>
  <c r="I13" i="10"/>
  <c r="H13" i="10"/>
  <c r="I12" i="10"/>
  <c r="H12" i="10"/>
  <c r="H11" i="10"/>
  <c r="I11" i="10" s="1"/>
  <c r="H10" i="10"/>
  <c r="I10" i="10" s="1"/>
  <c r="H9" i="10"/>
  <c r="I9" i="10" s="1"/>
  <c r="E9" i="10"/>
  <c r="H8" i="10"/>
  <c r="I8" i="10" s="1"/>
  <c r="I7" i="10"/>
  <c r="H7" i="10"/>
  <c r="H6" i="10"/>
  <c r="I6" i="10" s="1"/>
  <c r="E6" i="10"/>
  <c r="I5" i="10"/>
  <c r="H5" i="10"/>
  <c r="E10" i="9"/>
  <c r="E6" i="9"/>
  <c r="E12" i="8"/>
  <c r="E10" i="8"/>
  <c r="E9" i="8"/>
  <c r="E8" i="8"/>
  <c r="E7" i="8"/>
  <c r="E6" i="8"/>
  <c r="I5" i="8"/>
  <c r="G5" i="8"/>
  <c r="H5" i="8" s="1"/>
  <c r="E5" i="8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E7" i="9" s="1"/>
  <c r="G4" i="4"/>
  <c r="G3" i="4"/>
  <c r="G2" i="4"/>
  <c r="U2027" i="3"/>
  <c r="T2027" i="3"/>
  <c r="S2027" i="3"/>
  <c r="R2027" i="3"/>
  <c r="P2027" i="3"/>
  <c r="O2027" i="3"/>
  <c r="N2027" i="3"/>
  <c r="Q2027" i="3" s="1"/>
  <c r="M2027" i="3"/>
  <c r="L2027" i="3"/>
  <c r="V2026" i="3"/>
  <c r="U2026" i="3"/>
  <c r="T2026" i="3"/>
  <c r="S2026" i="3"/>
  <c r="R2026" i="3"/>
  <c r="P2026" i="3"/>
  <c r="O2026" i="3"/>
  <c r="N2026" i="3"/>
  <c r="Q2026" i="3" s="1"/>
  <c r="M2026" i="3"/>
  <c r="L2026" i="3"/>
  <c r="V2025" i="3"/>
  <c r="U2025" i="3"/>
  <c r="T2025" i="3"/>
  <c r="S2025" i="3"/>
  <c r="R2025" i="3"/>
  <c r="Q2025" i="3"/>
  <c r="P2025" i="3"/>
  <c r="O2025" i="3"/>
  <c r="N2025" i="3"/>
  <c r="M2025" i="3"/>
  <c r="L2025" i="3"/>
  <c r="U2024" i="3"/>
  <c r="T2024" i="3"/>
  <c r="S2024" i="3"/>
  <c r="R2024" i="3"/>
  <c r="Q2024" i="3"/>
  <c r="P2024" i="3"/>
  <c r="O2024" i="3"/>
  <c r="N2024" i="3"/>
  <c r="M2024" i="3"/>
  <c r="L2024" i="3"/>
  <c r="V2023" i="3"/>
  <c r="U2023" i="3"/>
  <c r="T2023" i="3"/>
  <c r="S2023" i="3"/>
  <c r="R2023" i="3"/>
  <c r="P2023" i="3"/>
  <c r="O2023" i="3"/>
  <c r="N2023" i="3"/>
  <c r="Q2023" i="3" s="1"/>
  <c r="M2023" i="3"/>
  <c r="L2023" i="3"/>
  <c r="U2022" i="3"/>
  <c r="V2022" i="3" s="1"/>
  <c r="T2022" i="3"/>
  <c r="S2022" i="3"/>
  <c r="R2022" i="3"/>
  <c r="Q2022" i="3"/>
  <c r="P2022" i="3"/>
  <c r="O2022" i="3"/>
  <c r="N2022" i="3"/>
  <c r="M2022" i="3"/>
  <c r="L2022" i="3"/>
  <c r="V2021" i="3"/>
  <c r="U2021" i="3"/>
  <c r="T2021" i="3"/>
  <c r="S2021" i="3"/>
  <c r="R2021" i="3"/>
  <c r="P2021" i="3"/>
  <c r="O2021" i="3"/>
  <c r="N2021" i="3"/>
  <c r="Q2021" i="3" s="1"/>
  <c r="M2021" i="3"/>
  <c r="L2021" i="3"/>
  <c r="U2020" i="3"/>
  <c r="V2020" i="3" s="1"/>
  <c r="T2020" i="3"/>
  <c r="S2020" i="3"/>
  <c r="R2020" i="3"/>
  <c r="Q2020" i="3"/>
  <c r="P2020" i="3"/>
  <c r="O2020" i="3"/>
  <c r="N2020" i="3"/>
  <c r="M2020" i="3"/>
  <c r="L2020" i="3"/>
  <c r="U2019" i="3"/>
  <c r="T2019" i="3"/>
  <c r="S2019" i="3"/>
  <c r="R2019" i="3"/>
  <c r="P2019" i="3"/>
  <c r="O2019" i="3"/>
  <c r="N2019" i="3"/>
  <c r="Q2019" i="3" s="1"/>
  <c r="M2019" i="3"/>
  <c r="L2019" i="3"/>
  <c r="V2018" i="3"/>
  <c r="U2018" i="3"/>
  <c r="T2018" i="3"/>
  <c r="S2018" i="3"/>
  <c r="R2018" i="3"/>
  <c r="P2018" i="3"/>
  <c r="O2018" i="3"/>
  <c r="N2018" i="3"/>
  <c r="Q2018" i="3" s="1"/>
  <c r="M2018" i="3"/>
  <c r="L2018" i="3"/>
  <c r="V2017" i="3"/>
  <c r="U2017" i="3"/>
  <c r="T2017" i="3"/>
  <c r="S2017" i="3"/>
  <c r="R2017" i="3"/>
  <c r="Q2017" i="3"/>
  <c r="P2017" i="3"/>
  <c r="O2017" i="3"/>
  <c r="N2017" i="3"/>
  <c r="M2017" i="3"/>
  <c r="L2017" i="3"/>
  <c r="U2016" i="3"/>
  <c r="T2016" i="3"/>
  <c r="S2016" i="3"/>
  <c r="R2016" i="3"/>
  <c r="Q2016" i="3"/>
  <c r="P2016" i="3"/>
  <c r="O2016" i="3"/>
  <c r="N2016" i="3"/>
  <c r="M2016" i="3"/>
  <c r="L2016" i="3"/>
  <c r="V2015" i="3"/>
  <c r="U2015" i="3"/>
  <c r="T2015" i="3"/>
  <c r="S2015" i="3"/>
  <c r="R2015" i="3"/>
  <c r="P2015" i="3"/>
  <c r="O2015" i="3"/>
  <c r="N2015" i="3"/>
  <c r="Q2015" i="3" s="1"/>
  <c r="M2015" i="3"/>
  <c r="L2015" i="3"/>
  <c r="U2014" i="3"/>
  <c r="V2014" i="3" s="1"/>
  <c r="T2014" i="3"/>
  <c r="S2014" i="3"/>
  <c r="R2014" i="3"/>
  <c r="Q2014" i="3"/>
  <c r="P2014" i="3"/>
  <c r="O2014" i="3"/>
  <c r="N2014" i="3"/>
  <c r="M2014" i="3"/>
  <c r="L2014" i="3"/>
  <c r="V2013" i="3"/>
  <c r="U2013" i="3"/>
  <c r="T2013" i="3"/>
  <c r="S2013" i="3"/>
  <c r="R2013" i="3"/>
  <c r="P2013" i="3"/>
  <c r="O2013" i="3"/>
  <c r="N2013" i="3"/>
  <c r="Q2013" i="3" s="1"/>
  <c r="M2013" i="3"/>
  <c r="L2013" i="3"/>
  <c r="U2012" i="3"/>
  <c r="V2012" i="3" s="1"/>
  <c r="T2012" i="3"/>
  <c r="S2012" i="3"/>
  <c r="R2012" i="3"/>
  <c r="Q2012" i="3"/>
  <c r="P2012" i="3"/>
  <c r="O2012" i="3"/>
  <c r="N2012" i="3"/>
  <c r="M2012" i="3"/>
  <c r="L2012" i="3"/>
  <c r="U2011" i="3"/>
  <c r="T2011" i="3"/>
  <c r="S2011" i="3"/>
  <c r="R2011" i="3"/>
  <c r="P2011" i="3"/>
  <c r="O2011" i="3"/>
  <c r="N2011" i="3"/>
  <c r="Q2011" i="3" s="1"/>
  <c r="M2011" i="3"/>
  <c r="L2011" i="3"/>
  <c r="V2010" i="3"/>
  <c r="U2010" i="3"/>
  <c r="T2010" i="3"/>
  <c r="S2010" i="3"/>
  <c r="R2010" i="3"/>
  <c r="P2010" i="3"/>
  <c r="O2010" i="3"/>
  <c r="N2010" i="3"/>
  <c r="Q2010" i="3" s="1"/>
  <c r="M2010" i="3"/>
  <c r="L2010" i="3"/>
  <c r="V2009" i="3"/>
  <c r="U2009" i="3"/>
  <c r="T2009" i="3"/>
  <c r="S2009" i="3"/>
  <c r="R2009" i="3"/>
  <c r="P2009" i="3"/>
  <c r="O2009" i="3"/>
  <c r="N2009" i="3"/>
  <c r="Q2009" i="3" s="1"/>
  <c r="M2009" i="3"/>
  <c r="L2009" i="3"/>
  <c r="U2008" i="3"/>
  <c r="T2008" i="3"/>
  <c r="S2008" i="3"/>
  <c r="R2008" i="3"/>
  <c r="Q2008" i="3"/>
  <c r="P2008" i="3"/>
  <c r="O2008" i="3"/>
  <c r="N2008" i="3"/>
  <c r="M2008" i="3"/>
  <c r="L2008" i="3"/>
  <c r="U2007" i="3"/>
  <c r="T2007" i="3"/>
  <c r="S2007" i="3"/>
  <c r="R2007" i="3"/>
  <c r="P2007" i="3"/>
  <c r="O2007" i="3"/>
  <c r="N2007" i="3"/>
  <c r="Q2007" i="3" s="1"/>
  <c r="M2007" i="3"/>
  <c r="L2007" i="3"/>
  <c r="V2007" i="3" s="1"/>
  <c r="U2006" i="3"/>
  <c r="V2006" i="3" s="1"/>
  <c r="T2006" i="3"/>
  <c r="S2006" i="3"/>
  <c r="R2006" i="3"/>
  <c r="Q2006" i="3"/>
  <c r="P2006" i="3"/>
  <c r="O2006" i="3"/>
  <c r="N2006" i="3"/>
  <c r="M2006" i="3"/>
  <c r="L2006" i="3"/>
  <c r="U2005" i="3"/>
  <c r="V2005" i="3" s="1"/>
  <c r="T2005" i="3"/>
  <c r="S2005" i="3"/>
  <c r="R2005" i="3"/>
  <c r="P2005" i="3"/>
  <c r="O2005" i="3"/>
  <c r="N2005" i="3"/>
  <c r="Q2005" i="3" s="1"/>
  <c r="M2005" i="3"/>
  <c r="L2005" i="3"/>
  <c r="U2004" i="3"/>
  <c r="V2004" i="3" s="1"/>
  <c r="T2004" i="3"/>
  <c r="S2004" i="3"/>
  <c r="R2004" i="3"/>
  <c r="Q2004" i="3"/>
  <c r="P2004" i="3"/>
  <c r="O2004" i="3"/>
  <c r="N2004" i="3"/>
  <c r="M2004" i="3"/>
  <c r="L2004" i="3"/>
  <c r="U2003" i="3"/>
  <c r="V2003" i="3" s="1"/>
  <c r="T2003" i="3"/>
  <c r="S2003" i="3"/>
  <c r="R2003" i="3"/>
  <c r="P2003" i="3"/>
  <c r="O2003" i="3"/>
  <c r="N2003" i="3"/>
  <c r="Q2003" i="3" s="1"/>
  <c r="M2003" i="3"/>
  <c r="L2003" i="3"/>
  <c r="U2002" i="3"/>
  <c r="V2002" i="3" s="1"/>
  <c r="T2002" i="3"/>
  <c r="S2002" i="3"/>
  <c r="R2002" i="3"/>
  <c r="Q2002" i="3"/>
  <c r="P2002" i="3"/>
  <c r="O2002" i="3"/>
  <c r="N2002" i="3"/>
  <c r="M2002" i="3"/>
  <c r="L2002" i="3"/>
  <c r="U2001" i="3"/>
  <c r="T2001" i="3"/>
  <c r="S2001" i="3"/>
  <c r="R2001" i="3"/>
  <c r="P2001" i="3"/>
  <c r="O2001" i="3"/>
  <c r="N2001" i="3"/>
  <c r="Q2001" i="3" s="1"/>
  <c r="M2001" i="3"/>
  <c r="L2001" i="3"/>
  <c r="V2001" i="3" s="1"/>
  <c r="U2000" i="3"/>
  <c r="V2000" i="3" s="1"/>
  <c r="T2000" i="3"/>
  <c r="S2000" i="3"/>
  <c r="R2000" i="3"/>
  <c r="Q2000" i="3"/>
  <c r="P2000" i="3"/>
  <c r="O2000" i="3"/>
  <c r="N2000" i="3"/>
  <c r="M2000" i="3"/>
  <c r="L2000" i="3"/>
  <c r="U1999" i="3"/>
  <c r="T1999" i="3"/>
  <c r="S1999" i="3"/>
  <c r="R1999" i="3"/>
  <c r="P1999" i="3"/>
  <c r="O1999" i="3"/>
  <c r="N1999" i="3"/>
  <c r="Q1999" i="3" s="1"/>
  <c r="M1999" i="3"/>
  <c r="L1999" i="3"/>
  <c r="V1999" i="3" s="1"/>
  <c r="U1998" i="3"/>
  <c r="V1998" i="3" s="1"/>
  <c r="T1998" i="3"/>
  <c r="S1998" i="3"/>
  <c r="R1998" i="3"/>
  <c r="Q1998" i="3"/>
  <c r="P1998" i="3"/>
  <c r="O1998" i="3"/>
  <c r="N1998" i="3"/>
  <c r="M1998" i="3"/>
  <c r="L1998" i="3"/>
  <c r="U1997" i="3"/>
  <c r="T1997" i="3"/>
  <c r="S1997" i="3"/>
  <c r="R1997" i="3"/>
  <c r="P1997" i="3"/>
  <c r="O1997" i="3"/>
  <c r="N1997" i="3"/>
  <c r="Q1997" i="3" s="1"/>
  <c r="M1997" i="3"/>
  <c r="L1997" i="3"/>
  <c r="V1997" i="3" s="1"/>
  <c r="U1996" i="3"/>
  <c r="V1996" i="3" s="1"/>
  <c r="T1996" i="3"/>
  <c r="S1996" i="3"/>
  <c r="R1996" i="3"/>
  <c r="Q1996" i="3"/>
  <c r="P1996" i="3"/>
  <c r="O1996" i="3"/>
  <c r="N1996" i="3"/>
  <c r="M1996" i="3"/>
  <c r="L1996" i="3"/>
  <c r="U1995" i="3"/>
  <c r="T1995" i="3"/>
  <c r="S1995" i="3"/>
  <c r="R1995" i="3"/>
  <c r="P1995" i="3"/>
  <c r="O1995" i="3"/>
  <c r="N1995" i="3"/>
  <c r="Q1995" i="3" s="1"/>
  <c r="M1995" i="3"/>
  <c r="L1995" i="3"/>
  <c r="U1994" i="3"/>
  <c r="V1994" i="3" s="1"/>
  <c r="T1994" i="3"/>
  <c r="S1994" i="3"/>
  <c r="R1994" i="3"/>
  <c r="Q1994" i="3"/>
  <c r="P1994" i="3"/>
  <c r="O1994" i="3"/>
  <c r="N1994" i="3"/>
  <c r="M1994" i="3"/>
  <c r="L1994" i="3"/>
  <c r="U1993" i="3"/>
  <c r="V1993" i="3" s="1"/>
  <c r="T1993" i="3"/>
  <c r="S1993" i="3"/>
  <c r="R1993" i="3"/>
  <c r="P1993" i="3"/>
  <c r="O1993" i="3"/>
  <c r="N1993" i="3"/>
  <c r="Q1993" i="3" s="1"/>
  <c r="M1993" i="3"/>
  <c r="L1993" i="3"/>
  <c r="U1992" i="3"/>
  <c r="V1992" i="3" s="1"/>
  <c r="T1992" i="3"/>
  <c r="S1992" i="3"/>
  <c r="R1992" i="3"/>
  <c r="Q1992" i="3"/>
  <c r="P1992" i="3"/>
  <c r="O1992" i="3"/>
  <c r="N1992" i="3"/>
  <c r="M1992" i="3"/>
  <c r="L1992" i="3"/>
  <c r="U1991" i="3"/>
  <c r="T1991" i="3"/>
  <c r="S1991" i="3"/>
  <c r="R1991" i="3"/>
  <c r="P1991" i="3"/>
  <c r="O1991" i="3"/>
  <c r="N1991" i="3"/>
  <c r="Q1991" i="3" s="1"/>
  <c r="M1991" i="3"/>
  <c r="L1991" i="3"/>
  <c r="V1991" i="3" s="1"/>
  <c r="V1990" i="3"/>
  <c r="U1990" i="3"/>
  <c r="T1990" i="3"/>
  <c r="S1990" i="3"/>
  <c r="R1990" i="3"/>
  <c r="P1990" i="3"/>
  <c r="O1990" i="3"/>
  <c r="N1990" i="3"/>
  <c r="Q1990" i="3" s="1"/>
  <c r="M1990" i="3"/>
  <c r="L1990" i="3"/>
  <c r="V1989" i="3"/>
  <c r="U1989" i="3"/>
  <c r="T1989" i="3"/>
  <c r="S1989" i="3"/>
  <c r="R1989" i="3"/>
  <c r="P1989" i="3"/>
  <c r="O1989" i="3"/>
  <c r="N1989" i="3"/>
  <c r="Q1989" i="3" s="1"/>
  <c r="M1989" i="3"/>
  <c r="L1989" i="3"/>
  <c r="U1988" i="3"/>
  <c r="V1988" i="3" s="1"/>
  <c r="T1988" i="3"/>
  <c r="S1988" i="3"/>
  <c r="R1988" i="3"/>
  <c r="Q1988" i="3"/>
  <c r="P1988" i="3"/>
  <c r="O1988" i="3"/>
  <c r="N1988" i="3"/>
  <c r="M1988" i="3"/>
  <c r="L1988" i="3"/>
  <c r="U1987" i="3"/>
  <c r="T1987" i="3"/>
  <c r="S1987" i="3"/>
  <c r="R1987" i="3"/>
  <c r="P1987" i="3"/>
  <c r="O1987" i="3"/>
  <c r="N1987" i="3"/>
  <c r="Q1987" i="3" s="1"/>
  <c r="M1987" i="3"/>
  <c r="L1987" i="3"/>
  <c r="V1987" i="3" s="1"/>
  <c r="U1986" i="3"/>
  <c r="V1986" i="3" s="1"/>
  <c r="T1986" i="3"/>
  <c r="S1986" i="3"/>
  <c r="R1986" i="3"/>
  <c r="Q1986" i="3"/>
  <c r="P1986" i="3"/>
  <c r="O1986" i="3"/>
  <c r="N1986" i="3"/>
  <c r="M1986" i="3"/>
  <c r="L1986" i="3"/>
  <c r="U1985" i="3"/>
  <c r="V1985" i="3" s="1"/>
  <c r="T1985" i="3"/>
  <c r="S1985" i="3"/>
  <c r="R1985" i="3"/>
  <c r="P1985" i="3"/>
  <c r="O1985" i="3"/>
  <c r="N1985" i="3"/>
  <c r="Q1985" i="3" s="1"/>
  <c r="M1985" i="3"/>
  <c r="L1985" i="3"/>
  <c r="U1984" i="3"/>
  <c r="V1984" i="3" s="1"/>
  <c r="T1984" i="3"/>
  <c r="S1984" i="3"/>
  <c r="R1984" i="3"/>
  <c r="Q1984" i="3"/>
  <c r="P1984" i="3"/>
  <c r="O1984" i="3"/>
  <c r="N1984" i="3"/>
  <c r="M1984" i="3"/>
  <c r="L1984" i="3"/>
  <c r="U1983" i="3"/>
  <c r="T1983" i="3"/>
  <c r="S1983" i="3"/>
  <c r="R1983" i="3"/>
  <c r="P1983" i="3"/>
  <c r="O1983" i="3"/>
  <c r="N1983" i="3"/>
  <c r="Q1983" i="3" s="1"/>
  <c r="M1983" i="3"/>
  <c r="L1983" i="3"/>
  <c r="V1983" i="3" s="1"/>
  <c r="V1982" i="3"/>
  <c r="U1982" i="3"/>
  <c r="T1982" i="3"/>
  <c r="S1982" i="3"/>
  <c r="R1982" i="3"/>
  <c r="P1982" i="3"/>
  <c r="O1982" i="3"/>
  <c r="N1982" i="3"/>
  <c r="Q1982" i="3" s="1"/>
  <c r="M1982" i="3"/>
  <c r="L1982" i="3"/>
  <c r="V1981" i="3"/>
  <c r="U1981" i="3"/>
  <c r="T1981" i="3"/>
  <c r="S1981" i="3"/>
  <c r="R1981" i="3"/>
  <c r="P1981" i="3"/>
  <c r="O1981" i="3"/>
  <c r="N1981" i="3"/>
  <c r="Q1981" i="3" s="1"/>
  <c r="M1981" i="3"/>
  <c r="L1981" i="3"/>
  <c r="U1980" i="3"/>
  <c r="V1980" i="3" s="1"/>
  <c r="T1980" i="3"/>
  <c r="S1980" i="3"/>
  <c r="R1980" i="3"/>
  <c r="Q1980" i="3"/>
  <c r="P1980" i="3"/>
  <c r="O1980" i="3"/>
  <c r="N1980" i="3"/>
  <c r="M1980" i="3"/>
  <c r="L1980" i="3"/>
  <c r="U1979" i="3"/>
  <c r="T1979" i="3"/>
  <c r="S1979" i="3"/>
  <c r="R1979" i="3"/>
  <c r="P1979" i="3"/>
  <c r="O1979" i="3"/>
  <c r="N1979" i="3"/>
  <c r="Q1979" i="3" s="1"/>
  <c r="M1979" i="3"/>
  <c r="L1979" i="3"/>
  <c r="V1979" i="3" s="1"/>
  <c r="U1978" i="3"/>
  <c r="V1978" i="3" s="1"/>
  <c r="T1978" i="3"/>
  <c r="S1978" i="3"/>
  <c r="R1978" i="3"/>
  <c r="Q1978" i="3"/>
  <c r="P1978" i="3"/>
  <c r="O1978" i="3"/>
  <c r="N1978" i="3"/>
  <c r="M1978" i="3"/>
  <c r="L1978" i="3"/>
  <c r="U1977" i="3"/>
  <c r="V1977" i="3" s="1"/>
  <c r="T1977" i="3"/>
  <c r="S1977" i="3"/>
  <c r="R1977" i="3"/>
  <c r="P1977" i="3"/>
  <c r="O1977" i="3"/>
  <c r="N1977" i="3"/>
  <c r="Q1977" i="3" s="1"/>
  <c r="M1977" i="3"/>
  <c r="L1977" i="3"/>
  <c r="U1976" i="3"/>
  <c r="V1976" i="3" s="1"/>
  <c r="T1976" i="3"/>
  <c r="S1976" i="3"/>
  <c r="R1976" i="3"/>
  <c r="Q1976" i="3"/>
  <c r="P1976" i="3"/>
  <c r="O1976" i="3"/>
  <c r="N1976" i="3"/>
  <c r="M1976" i="3"/>
  <c r="L1976" i="3"/>
  <c r="U1975" i="3"/>
  <c r="T1975" i="3"/>
  <c r="S1975" i="3"/>
  <c r="R1975" i="3"/>
  <c r="P1975" i="3"/>
  <c r="O1975" i="3"/>
  <c r="N1975" i="3"/>
  <c r="Q1975" i="3" s="1"/>
  <c r="M1975" i="3"/>
  <c r="L1975" i="3"/>
  <c r="V1975" i="3" s="1"/>
  <c r="V1974" i="3"/>
  <c r="U1974" i="3"/>
  <c r="T1974" i="3"/>
  <c r="S1974" i="3"/>
  <c r="R1974" i="3"/>
  <c r="P1974" i="3"/>
  <c r="O1974" i="3"/>
  <c r="N1974" i="3"/>
  <c r="Q1974" i="3" s="1"/>
  <c r="M1974" i="3"/>
  <c r="L1974" i="3"/>
  <c r="V1973" i="3"/>
  <c r="U1973" i="3"/>
  <c r="T1973" i="3"/>
  <c r="S1973" i="3"/>
  <c r="R1973" i="3"/>
  <c r="P1973" i="3"/>
  <c r="O1973" i="3"/>
  <c r="N1973" i="3"/>
  <c r="Q1973" i="3" s="1"/>
  <c r="M1973" i="3"/>
  <c r="L1973" i="3"/>
  <c r="U1972" i="3"/>
  <c r="V1972" i="3" s="1"/>
  <c r="T1972" i="3"/>
  <c r="S1972" i="3"/>
  <c r="R1972" i="3"/>
  <c r="Q1972" i="3"/>
  <c r="P1972" i="3"/>
  <c r="O1972" i="3"/>
  <c r="N1972" i="3"/>
  <c r="M1972" i="3"/>
  <c r="L1972" i="3"/>
  <c r="U1971" i="3"/>
  <c r="T1971" i="3"/>
  <c r="S1971" i="3"/>
  <c r="R1971" i="3"/>
  <c r="P1971" i="3"/>
  <c r="O1971" i="3"/>
  <c r="N1971" i="3"/>
  <c r="Q1971" i="3" s="1"/>
  <c r="M1971" i="3"/>
  <c r="L1971" i="3"/>
  <c r="V1971" i="3" s="1"/>
  <c r="U1970" i="3"/>
  <c r="V1970" i="3" s="1"/>
  <c r="T1970" i="3"/>
  <c r="S1970" i="3"/>
  <c r="R1970" i="3"/>
  <c r="Q1970" i="3"/>
  <c r="P1970" i="3"/>
  <c r="O1970" i="3"/>
  <c r="N1970" i="3"/>
  <c r="M1970" i="3"/>
  <c r="L1970" i="3"/>
  <c r="U1969" i="3"/>
  <c r="V1969" i="3" s="1"/>
  <c r="T1969" i="3"/>
  <c r="S1969" i="3"/>
  <c r="R1969" i="3"/>
  <c r="P1969" i="3"/>
  <c r="O1969" i="3"/>
  <c r="N1969" i="3"/>
  <c r="Q1969" i="3" s="1"/>
  <c r="M1969" i="3"/>
  <c r="L1969" i="3"/>
  <c r="U1968" i="3"/>
  <c r="V1968" i="3" s="1"/>
  <c r="T1968" i="3"/>
  <c r="S1968" i="3"/>
  <c r="R1968" i="3"/>
  <c r="Q1968" i="3"/>
  <c r="P1968" i="3"/>
  <c r="O1968" i="3"/>
  <c r="N1968" i="3"/>
  <c r="M1968" i="3"/>
  <c r="L1968" i="3"/>
  <c r="U1967" i="3"/>
  <c r="T1967" i="3"/>
  <c r="S1967" i="3"/>
  <c r="R1967" i="3"/>
  <c r="P1967" i="3"/>
  <c r="O1967" i="3"/>
  <c r="N1967" i="3"/>
  <c r="Q1967" i="3" s="1"/>
  <c r="M1967" i="3"/>
  <c r="L1967" i="3"/>
  <c r="V1967" i="3" s="1"/>
  <c r="V1966" i="3"/>
  <c r="U1966" i="3"/>
  <c r="T1966" i="3"/>
  <c r="S1966" i="3"/>
  <c r="R1966" i="3"/>
  <c r="P1966" i="3"/>
  <c r="O1966" i="3"/>
  <c r="N1966" i="3"/>
  <c r="Q1966" i="3" s="1"/>
  <c r="M1966" i="3"/>
  <c r="L1966" i="3"/>
  <c r="V1965" i="3"/>
  <c r="U1965" i="3"/>
  <c r="T1965" i="3"/>
  <c r="S1965" i="3"/>
  <c r="R1965" i="3"/>
  <c r="P1965" i="3"/>
  <c r="O1965" i="3"/>
  <c r="N1965" i="3"/>
  <c r="Q1965" i="3" s="1"/>
  <c r="M1965" i="3"/>
  <c r="L1965" i="3"/>
  <c r="U1964" i="3"/>
  <c r="V1964" i="3" s="1"/>
  <c r="T1964" i="3"/>
  <c r="S1964" i="3"/>
  <c r="R1964" i="3"/>
  <c r="Q1964" i="3"/>
  <c r="P1964" i="3"/>
  <c r="O1964" i="3"/>
  <c r="N1964" i="3"/>
  <c r="M1964" i="3"/>
  <c r="L1964" i="3"/>
  <c r="U1963" i="3"/>
  <c r="T1963" i="3"/>
  <c r="S1963" i="3"/>
  <c r="R1963" i="3"/>
  <c r="P1963" i="3"/>
  <c r="O1963" i="3"/>
  <c r="N1963" i="3"/>
  <c r="Q1963" i="3" s="1"/>
  <c r="M1963" i="3"/>
  <c r="L1963" i="3"/>
  <c r="V1963" i="3" s="1"/>
  <c r="U1962" i="3"/>
  <c r="V1962" i="3" s="1"/>
  <c r="T1962" i="3"/>
  <c r="S1962" i="3"/>
  <c r="R1962" i="3"/>
  <c r="Q1962" i="3"/>
  <c r="P1962" i="3"/>
  <c r="O1962" i="3"/>
  <c r="N1962" i="3"/>
  <c r="M1962" i="3"/>
  <c r="L1962" i="3"/>
  <c r="U1961" i="3"/>
  <c r="V1961" i="3" s="1"/>
  <c r="T1961" i="3"/>
  <c r="S1961" i="3"/>
  <c r="R1961" i="3"/>
  <c r="P1961" i="3"/>
  <c r="O1961" i="3"/>
  <c r="N1961" i="3"/>
  <c r="Q1961" i="3" s="1"/>
  <c r="M1961" i="3"/>
  <c r="L1961" i="3"/>
  <c r="U1960" i="3"/>
  <c r="V1960" i="3" s="1"/>
  <c r="T1960" i="3"/>
  <c r="S1960" i="3"/>
  <c r="R1960" i="3"/>
  <c r="Q1960" i="3"/>
  <c r="P1960" i="3"/>
  <c r="O1960" i="3"/>
  <c r="N1960" i="3"/>
  <c r="M1960" i="3"/>
  <c r="L1960" i="3"/>
  <c r="U1959" i="3"/>
  <c r="T1959" i="3"/>
  <c r="S1959" i="3"/>
  <c r="R1959" i="3"/>
  <c r="P1959" i="3"/>
  <c r="O1959" i="3"/>
  <c r="N1959" i="3"/>
  <c r="Q1959" i="3" s="1"/>
  <c r="M1959" i="3"/>
  <c r="L1959" i="3"/>
  <c r="V1959" i="3" s="1"/>
  <c r="V1958" i="3"/>
  <c r="U1958" i="3"/>
  <c r="T1958" i="3"/>
  <c r="S1958" i="3"/>
  <c r="R1958" i="3"/>
  <c r="P1958" i="3"/>
  <c r="O1958" i="3"/>
  <c r="N1958" i="3"/>
  <c r="Q1958" i="3" s="1"/>
  <c r="M1958" i="3"/>
  <c r="L1958" i="3"/>
  <c r="V1957" i="3"/>
  <c r="U1957" i="3"/>
  <c r="T1957" i="3"/>
  <c r="S1957" i="3"/>
  <c r="R1957" i="3"/>
  <c r="P1957" i="3"/>
  <c r="O1957" i="3"/>
  <c r="N1957" i="3"/>
  <c r="Q1957" i="3" s="1"/>
  <c r="M1957" i="3"/>
  <c r="L1957" i="3"/>
  <c r="U1956" i="3"/>
  <c r="V1956" i="3" s="1"/>
  <c r="T1956" i="3"/>
  <c r="S1956" i="3"/>
  <c r="R1956" i="3"/>
  <c r="Q1956" i="3"/>
  <c r="P1956" i="3"/>
  <c r="O1956" i="3"/>
  <c r="N1956" i="3"/>
  <c r="M1956" i="3"/>
  <c r="L1956" i="3"/>
  <c r="U1955" i="3"/>
  <c r="T1955" i="3"/>
  <c r="S1955" i="3"/>
  <c r="R1955" i="3"/>
  <c r="P1955" i="3"/>
  <c r="O1955" i="3"/>
  <c r="N1955" i="3"/>
  <c r="Q1955" i="3" s="1"/>
  <c r="M1955" i="3"/>
  <c r="L1955" i="3"/>
  <c r="V1955" i="3" s="1"/>
  <c r="U1954" i="3"/>
  <c r="V1954" i="3" s="1"/>
  <c r="T1954" i="3"/>
  <c r="S1954" i="3"/>
  <c r="R1954" i="3"/>
  <c r="Q1954" i="3"/>
  <c r="P1954" i="3"/>
  <c r="O1954" i="3"/>
  <c r="N1954" i="3"/>
  <c r="M1954" i="3"/>
  <c r="L1954" i="3"/>
  <c r="U1953" i="3"/>
  <c r="V1953" i="3" s="1"/>
  <c r="T1953" i="3"/>
  <c r="S1953" i="3"/>
  <c r="R1953" i="3"/>
  <c r="P1953" i="3"/>
  <c r="O1953" i="3"/>
  <c r="N1953" i="3"/>
  <c r="Q1953" i="3" s="1"/>
  <c r="M1953" i="3"/>
  <c r="L1953" i="3"/>
  <c r="U1952" i="3"/>
  <c r="V1952" i="3" s="1"/>
  <c r="T1952" i="3"/>
  <c r="S1952" i="3"/>
  <c r="R1952" i="3"/>
  <c r="Q1952" i="3"/>
  <c r="P1952" i="3"/>
  <c r="O1952" i="3"/>
  <c r="N1952" i="3"/>
  <c r="M1952" i="3"/>
  <c r="L1952" i="3"/>
  <c r="U1951" i="3"/>
  <c r="V1951" i="3" s="1"/>
  <c r="T1951" i="3"/>
  <c r="S1951" i="3"/>
  <c r="R1951" i="3"/>
  <c r="P1951" i="3"/>
  <c r="O1951" i="3"/>
  <c r="N1951" i="3"/>
  <c r="Q1951" i="3" s="1"/>
  <c r="M1951" i="3"/>
  <c r="L1951" i="3"/>
  <c r="V1950" i="3"/>
  <c r="U1950" i="3"/>
  <c r="T1950" i="3"/>
  <c r="S1950" i="3"/>
  <c r="R1950" i="3"/>
  <c r="P1950" i="3"/>
  <c r="O1950" i="3"/>
  <c r="N1950" i="3"/>
  <c r="Q1950" i="3" s="1"/>
  <c r="M1950" i="3"/>
  <c r="L1950" i="3"/>
  <c r="V1949" i="3"/>
  <c r="U1949" i="3"/>
  <c r="T1949" i="3"/>
  <c r="S1949" i="3"/>
  <c r="R1949" i="3"/>
  <c r="Q1949" i="3"/>
  <c r="P1949" i="3"/>
  <c r="O1949" i="3"/>
  <c r="N1949" i="3"/>
  <c r="M1949" i="3"/>
  <c r="L1949" i="3"/>
  <c r="V1948" i="3"/>
  <c r="U1948" i="3"/>
  <c r="T1948" i="3"/>
  <c r="S1948" i="3"/>
  <c r="R1948" i="3"/>
  <c r="P1948" i="3"/>
  <c r="O1948" i="3"/>
  <c r="N1948" i="3"/>
  <c r="Q1948" i="3" s="1"/>
  <c r="M1948" i="3"/>
  <c r="L1948" i="3"/>
  <c r="U1947" i="3"/>
  <c r="T1947" i="3"/>
  <c r="S1947" i="3"/>
  <c r="R1947" i="3"/>
  <c r="Q1947" i="3"/>
  <c r="P1947" i="3"/>
  <c r="O1947" i="3"/>
  <c r="N1947" i="3"/>
  <c r="M1947" i="3"/>
  <c r="L1947" i="3"/>
  <c r="V1947" i="3" s="1"/>
  <c r="U1946" i="3"/>
  <c r="T1946" i="3"/>
  <c r="S1946" i="3"/>
  <c r="R1946" i="3"/>
  <c r="Q1946" i="3"/>
  <c r="P1946" i="3"/>
  <c r="O1946" i="3"/>
  <c r="N1946" i="3"/>
  <c r="M1946" i="3"/>
  <c r="L1946" i="3"/>
  <c r="U1945" i="3"/>
  <c r="V1945" i="3" s="1"/>
  <c r="T1945" i="3"/>
  <c r="S1945" i="3"/>
  <c r="R1945" i="3"/>
  <c r="P1945" i="3"/>
  <c r="O1945" i="3"/>
  <c r="N1945" i="3"/>
  <c r="Q1945" i="3" s="1"/>
  <c r="M1945" i="3"/>
  <c r="L1945" i="3"/>
  <c r="U1944" i="3"/>
  <c r="V1944" i="3" s="1"/>
  <c r="T1944" i="3"/>
  <c r="S1944" i="3"/>
  <c r="R1944" i="3"/>
  <c r="Q1944" i="3"/>
  <c r="P1944" i="3"/>
  <c r="O1944" i="3"/>
  <c r="N1944" i="3"/>
  <c r="M1944" i="3"/>
  <c r="L1944" i="3"/>
  <c r="U1943" i="3"/>
  <c r="V1943" i="3" s="1"/>
  <c r="T1943" i="3"/>
  <c r="S1943" i="3"/>
  <c r="R1943" i="3"/>
  <c r="P1943" i="3"/>
  <c r="O1943" i="3"/>
  <c r="N1943" i="3"/>
  <c r="Q1943" i="3" s="1"/>
  <c r="M1943" i="3"/>
  <c r="L1943" i="3"/>
  <c r="V1942" i="3"/>
  <c r="U1942" i="3"/>
  <c r="T1942" i="3"/>
  <c r="S1942" i="3"/>
  <c r="R1942" i="3"/>
  <c r="P1942" i="3"/>
  <c r="O1942" i="3"/>
  <c r="N1942" i="3"/>
  <c r="Q1942" i="3" s="1"/>
  <c r="M1942" i="3"/>
  <c r="L1942" i="3"/>
  <c r="V1941" i="3"/>
  <c r="U1941" i="3"/>
  <c r="T1941" i="3"/>
  <c r="S1941" i="3"/>
  <c r="R1941" i="3"/>
  <c r="Q1941" i="3"/>
  <c r="P1941" i="3"/>
  <c r="O1941" i="3"/>
  <c r="N1941" i="3"/>
  <c r="M1941" i="3"/>
  <c r="L1941" i="3"/>
  <c r="V1940" i="3"/>
  <c r="U1940" i="3"/>
  <c r="T1940" i="3"/>
  <c r="S1940" i="3"/>
  <c r="R1940" i="3"/>
  <c r="P1940" i="3"/>
  <c r="O1940" i="3"/>
  <c r="N1940" i="3"/>
  <c r="Q1940" i="3" s="1"/>
  <c r="M1940" i="3"/>
  <c r="L1940" i="3"/>
  <c r="U1939" i="3"/>
  <c r="T1939" i="3"/>
  <c r="S1939" i="3"/>
  <c r="R1939" i="3"/>
  <c r="Q1939" i="3"/>
  <c r="P1939" i="3"/>
  <c r="O1939" i="3"/>
  <c r="N1939" i="3"/>
  <c r="M1939" i="3"/>
  <c r="L1939" i="3"/>
  <c r="V1939" i="3" s="1"/>
  <c r="U1938" i="3"/>
  <c r="T1938" i="3"/>
  <c r="S1938" i="3"/>
  <c r="R1938" i="3"/>
  <c r="Q1938" i="3"/>
  <c r="P1938" i="3"/>
  <c r="O1938" i="3"/>
  <c r="N1938" i="3"/>
  <c r="M1938" i="3"/>
  <c r="L1938" i="3"/>
  <c r="U1937" i="3"/>
  <c r="T1937" i="3"/>
  <c r="S1937" i="3"/>
  <c r="R1937" i="3"/>
  <c r="P1937" i="3"/>
  <c r="O1937" i="3"/>
  <c r="N1937" i="3"/>
  <c r="Q1937" i="3" s="1"/>
  <c r="M1937" i="3"/>
  <c r="L1937" i="3"/>
  <c r="U1936" i="3"/>
  <c r="V1936" i="3" s="1"/>
  <c r="T1936" i="3"/>
  <c r="S1936" i="3"/>
  <c r="R1936" i="3"/>
  <c r="Q1936" i="3"/>
  <c r="P1936" i="3"/>
  <c r="O1936" i="3"/>
  <c r="N1936" i="3"/>
  <c r="M1936" i="3"/>
  <c r="L1936" i="3"/>
  <c r="U1935" i="3"/>
  <c r="V1935" i="3" s="1"/>
  <c r="T1935" i="3"/>
  <c r="S1935" i="3"/>
  <c r="R1935" i="3"/>
  <c r="P1935" i="3"/>
  <c r="O1935" i="3"/>
  <c r="N1935" i="3"/>
  <c r="Q1935" i="3" s="1"/>
  <c r="M1935" i="3"/>
  <c r="L1935" i="3"/>
  <c r="V1934" i="3"/>
  <c r="U1934" i="3"/>
  <c r="T1934" i="3"/>
  <c r="S1934" i="3"/>
  <c r="R1934" i="3"/>
  <c r="P1934" i="3"/>
  <c r="O1934" i="3"/>
  <c r="N1934" i="3"/>
  <c r="Q1934" i="3" s="1"/>
  <c r="M1934" i="3"/>
  <c r="L1934" i="3"/>
  <c r="V1933" i="3"/>
  <c r="U1933" i="3"/>
  <c r="T1933" i="3"/>
  <c r="S1933" i="3"/>
  <c r="R1933" i="3"/>
  <c r="Q1933" i="3"/>
  <c r="P1933" i="3"/>
  <c r="O1933" i="3"/>
  <c r="N1933" i="3"/>
  <c r="M1933" i="3"/>
  <c r="L1933" i="3"/>
  <c r="V1932" i="3"/>
  <c r="U1932" i="3"/>
  <c r="T1932" i="3"/>
  <c r="S1932" i="3"/>
  <c r="R1932" i="3"/>
  <c r="P1932" i="3"/>
  <c r="O1932" i="3"/>
  <c r="N1932" i="3"/>
  <c r="Q1932" i="3" s="1"/>
  <c r="M1932" i="3"/>
  <c r="L1932" i="3"/>
  <c r="V1931" i="3"/>
  <c r="U1931" i="3"/>
  <c r="T1931" i="3"/>
  <c r="S1931" i="3"/>
  <c r="R1931" i="3"/>
  <c r="Q1931" i="3"/>
  <c r="P1931" i="3"/>
  <c r="O1931" i="3"/>
  <c r="N1931" i="3"/>
  <c r="M1931" i="3"/>
  <c r="L1931" i="3"/>
  <c r="U1930" i="3"/>
  <c r="V1930" i="3" s="1"/>
  <c r="T1930" i="3"/>
  <c r="S1930" i="3"/>
  <c r="R1930" i="3"/>
  <c r="Q1930" i="3"/>
  <c r="P1930" i="3"/>
  <c r="O1930" i="3"/>
  <c r="N1930" i="3"/>
  <c r="M1930" i="3"/>
  <c r="L1930" i="3"/>
  <c r="U1929" i="3"/>
  <c r="T1929" i="3"/>
  <c r="S1929" i="3"/>
  <c r="R1929" i="3"/>
  <c r="P1929" i="3"/>
  <c r="O1929" i="3"/>
  <c r="N1929" i="3"/>
  <c r="Q1929" i="3" s="1"/>
  <c r="M1929" i="3"/>
  <c r="L1929" i="3"/>
  <c r="U1928" i="3"/>
  <c r="V1928" i="3" s="1"/>
  <c r="T1928" i="3"/>
  <c r="S1928" i="3"/>
  <c r="R1928" i="3"/>
  <c r="Q1928" i="3"/>
  <c r="P1928" i="3"/>
  <c r="O1928" i="3"/>
  <c r="N1928" i="3"/>
  <c r="M1928" i="3"/>
  <c r="L1928" i="3"/>
  <c r="U1927" i="3"/>
  <c r="V1927" i="3" s="1"/>
  <c r="T1927" i="3"/>
  <c r="S1927" i="3"/>
  <c r="R1927" i="3"/>
  <c r="P1927" i="3"/>
  <c r="O1927" i="3"/>
  <c r="N1927" i="3"/>
  <c r="Q1927" i="3" s="1"/>
  <c r="M1927" i="3"/>
  <c r="L1927" i="3"/>
  <c r="V1926" i="3"/>
  <c r="U1926" i="3"/>
  <c r="T1926" i="3"/>
  <c r="S1926" i="3"/>
  <c r="R1926" i="3"/>
  <c r="P1926" i="3"/>
  <c r="O1926" i="3"/>
  <c r="N1926" i="3"/>
  <c r="Q1926" i="3" s="1"/>
  <c r="M1926" i="3"/>
  <c r="L1926" i="3"/>
  <c r="V1925" i="3"/>
  <c r="U1925" i="3"/>
  <c r="T1925" i="3"/>
  <c r="S1925" i="3"/>
  <c r="R1925" i="3"/>
  <c r="Q1925" i="3"/>
  <c r="P1925" i="3"/>
  <c r="O1925" i="3"/>
  <c r="N1925" i="3"/>
  <c r="M1925" i="3"/>
  <c r="L1925" i="3"/>
  <c r="V1924" i="3"/>
  <c r="U1924" i="3"/>
  <c r="T1924" i="3"/>
  <c r="S1924" i="3"/>
  <c r="R1924" i="3"/>
  <c r="P1924" i="3"/>
  <c r="O1924" i="3"/>
  <c r="N1924" i="3"/>
  <c r="Q1924" i="3" s="1"/>
  <c r="M1924" i="3"/>
  <c r="L1924" i="3"/>
  <c r="U1923" i="3"/>
  <c r="T1923" i="3"/>
  <c r="S1923" i="3"/>
  <c r="R1923" i="3"/>
  <c r="Q1923" i="3"/>
  <c r="P1923" i="3"/>
  <c r="O1923" i="3"/>
  <c r="N1923" i="3"/>
  <c r="M1923" i="3"/>
  <c r="L1923" i="3"/>
  <c r="V1923" i="3" s="1"/>
  <c r="U1922" i="3"/>
  <c r="T1922" i="3"/>
  <c r="S1922" i="3"/>
  <c r="R1922" i="3"/>
  <c r="Q1922" i="3"/>
  <c r="P1922" i="3"/>
  <c r="O1922" i="3"/>
  <c r="N1922" i="3"/>
  <c r="M1922" i="3"/>
  <c r="L1922" i="3"/>
  <c r="U1921" i="3"/>
  <c r="T1921" i="3"/>
  <c r="S1921" i="3"/>
  <c r="R1921" i="3"/>
  <c r="P1921" i="3"/>
  <c r="O1921" i="3"/>
  <c r="N1921" i="3"/>
  <c r="Q1921" i="3" s="1"/>
  <c r="M1921" i="3"/>
  <c r="L1921" i="3"/>
  <c r="U1920" i="3"/>
  <c r="V1920" i="3" s="1"/>
  <c r="T1920" i="3"/>
  <c r="S1920" i="3"/>
  <c r="R1920" i="3"/>
  <c r="Q1920" i="3"/>
  <c r="P1920" i="3"/>
  <c r="O1920" i="3"/>
  <c r="N1920" i="3"/>
  <c r="M1920" i="3"/>
  <c r="L1920" i="3"/>
  <c r="U1919" i="3"/>
  <c r="V1919" i="3" s="1"/>
  <c r="T1919" i="3"/>
  <c r="S1919" i="3"/>
  <c r="R1919" i="3"/>
  <c r="P1919" i="3"/>
  <c r="O1919" i="3"/>
  <c r="N1919" i="3"/>
  <c r="Q1919" i="3" s="1"/>
  <c r="M1919" i="3"/>
  <c r="L1919" i="3"/>
  <c r="U1918" i="3"/>
  <c r="V1918" i="3" s="1"/>
  <c r="T1918" i="3"/>
  <c r="S1918" i="3"/>
  <c r="R1918" i="3"/>
  <c r="P1918" i="3"/>
  <c r="O1918" i="3"/>
  <c r="N1918" i="3"/>
  <c r="Q1918" i="3" s="1"/>
  <c r="M1918" i="3"/>
  <c r="L1918" i="3"/>
  <c r="V1917" i="3"/>
  <c r="U1917" i="3"/>
  <c r="T1917" i="3"/>
  <c r="S1917" i="3"/>
  <c r="R1917" i="3"/>
  <c r="Q1917" i="3"/>
  <c r="P1917" i="3"/>
  <c r="O1917" i="3"/>
  <c r="N1917" i="3"/>
  <c r="M1917" i="3"/>
  <c r="L1917" i="3"/>
  <c r="V1916" i="3"/>
  <c r="U1916" i="3"/>
  <c r="T1916" i="3"/>
  <c r="S1916" i="3"/>
  <c r="R1916" i="3"/>
  <c r="P1916" i="3"/>
  <c r="O1916" i="3"/>
  <c r="N1916" i="3"/>
  <c r="Q1916" i="3" s="1"/>
  <c r="M1916" i="3"/>
  <c r="L1916" i="3"/>
  <c r="V1915" i="3"/>
  <c r="U1915" i="3"/>
  <c r="T1915" i="3"/>
  <c r="S1915" i="3"/>
  <c r="R1915" i="3"/>
  <c r="Q1915" i="3"/>
  <c r="P1915" i="3"/>
  <c r="O1915" i="3"/>
  <c r="N1915" i="3"/>
  <c r="M1915" i="3"/>
  <c r="L1915" i="3"/>
  <c r="U1914" i="3"/>
  <c r="T1914" i="3"/>
  <c r="S1914" i="3"/>
  <c r="R1914" i="3"/>
  <c r="Q1914" i="3"/>
  <c r="P1914" i="3"/>
  <c r="O1914" i="3"/>
  <c r="N1914" i="3"/>
  <c r="M1914" i="3"/>
  <c r="L1914" i="3"/>
  <c r="U1913" i="3"/>
  <c r="T1913" i="3"/>
  <c r="S1913" i="3"/>
  <c r="R1913" i="3"/>
  <c r="P1913" i="3"/>
  <c r="O1913" i="3"/>
  <c r="N1913" i="3"/>
  <c r="Q1913" i="3" s="1"/>
  <c r="M1913" i="3"/>
  <c r="L1913" i="3"/>
  <c r="U1912" i="3"/>
  <c r="V1912" i="3" s="1"/>
  <c r="T1912" i="3"/>
  <c r="S1912" i="3"/>
  <c r="R1912" i="3"/>
  <c r="Q1912" i="3"/>
  <c r="P1912" i="3"/>
  <c r="O1912" i="3"/>
  <c r="N1912" i="3"/>
  <c r="M1912" i="3"/>
  <c r="L1912" i="3"/>
  <c r="U1911" i="3"/>
  <c r="V1911" i="3" s="1"/>
  <c r="T1911" i="3"/>
  <c r="S1911" i="3"/>
  <c r="R1911" i="3"/>
  <c r="P1911" i="3"/>
  <c r="O1911" i="3"/>
  <c r="N1911" i="3"/>
  <c r="Q1911" i="3" s="1"/>
  <c r="M1911" i="3"/>
  <c r="L1911" i="3"/>
  <c r="V1910" i="3"/>
  <c r="U1910" i="3"/>
  <c r="T1910" i="3"/>
  <c r="S1910" i="3"/>
  <c r="R1910" i="3"/>
  <c r="P1910" i="3"/>
  <c r="O1910" i="3"/>
  <c r="N1910" i="3"/>
  <c r="Q1910" i="3" s="1"/>
  <c r="M1910" i="3"/>
  <c r="L1910" i="3"/>
  <c r="V1909" i="3"/>
  <c r="U1909" i="3"/>
  <c r="T1909" i="3"/>
  <c r="S1909" i="3"/>
  <c r="R1909" i="3"/>
  <c r="P1909" i="3"/>
  <c r="O1909" i="3"/>
  <c r="N1909" i="3"/>
  <c r="Q1909" i="3" s="1"/>
  <c r="M1909" i="3"/>
  <c r="L1909" i="3"/>
  <c r="V1908" i="3"/>
  <c r="U1908" i="3"/>
  <c r="T1908" i="3"/>
  <c r="S1908" i="3"/>
  <c r="R1908" i="3"/>
  <c r="Q1908" i="3"/>
  <c r="P1908" i="3"/>
  <c r="O1908" i="3"/>
  <c r="N1908" i="3"/>
  <c r="M1908" i="3"/>
  <c r="L1908" i="3"/>
  <c r="U1907" i="3"/>
  <c r="T1907" i="3"/>
  <c r="S1907" i="3"/>
  <c r="R1907" i="3"/>
  <c r="Q1907" i="3"/>
  <c r="P1907" i="3"/>
  <c r="O1907" i="3"/>
  <c r="N1907" i="3"/>
  <c r="M1907" i="3"/>
  <c r="L1907" i="3"/>
  <c r="V1907" i="3" s="1"/>
  <c r="U1906" i="3"/>
  <c r="T1906" i="3"/>
  <c r="S1906" i="3"/>
  <c r="R1906" i="3"/>
  <c r="Q1906" i="3"/>
  <c r="P1906" i="3"/>
  <c r="O1906" i="3"/>
  <c r="N1906" i="3"/>
  <c r="M1906" i="3"/>
  <c r="L1906" i="3"/>
  <c r="V1906" i="3" s="1"/>
  <c r="U1905" i="3"/>
  <c r="T1905" i="3"/>
  <c r="S1905" i="3"/>
  <c r="R1905" i="3"/>
  <c r="P1905" i="3"/>
  <c r="O1905" i="3"/>
  <c r="N1905" i="3"/>
  <c r="Q1905" i="3" s="1"/>
  <c r="M1905" i="3"/>
  <c r="L1905" i="3"/>
  <c r="U1904" i="3"/>
  <c r="V1904" i="3" s="1"/>
  <c r="T1904" i="3"/>
  <c r="S1904" i="3"/>
  <c r="R1904" i="3"/>
  <c r="Q1904" i="3"/>
  <c r="P1904" i="3"/>
  <c r="O1904" i="3"/>
  <c r="N1904" i="3"/>
  <c r="M1904" i="3"/>
  <c r="L1904" i="3"/>
  <c r="U1903" i="3"/>
  <c r="V1903" i="3" s="1"/>
  <c r="T1903" i="3"/>
  <c r="S1903" i="3"/>
  <c r="R1903" i="3"/>
  <c r="P1903" i="3"/>
  <c r="O1903" i="3"/>
  <c r="N1903" i="3"/>
  <c r="Q1903" i="3" s="1"/>
  <c r="M1903" i="3"/>
  <c r="L1903" i="3"/>
  <c r="U1902" i="3"/>
  <c r="V1902" i="3" s="1"/>
  <c r="T1902" i="3"/>
  <c r="S1902" i="3"/>
  <c r="R1902" i="3"/>
  <c r="P1902" i="3"/>
  <c r="O1902" i="3"/>
  <c r="N1902" i="3"/>
  <c r="Q1902" i="3" s="1"/>
  <c r="M1902" i="3"/>
  <c r="L1902" i="3"/>
  <c r="V1901" i="3"/>
  <c r="U1901" i="3"/>
  <c r="T1901" i="3"/>
  <c r="S1901" i="3"/>
  <c r="R1901" i="3"/>
  <c r="P1901" i="3"/>
  <c r="O1901" i="3"/>
  <c r="N1901" i="3"/>
  <c r="Q1901" i="3" s="1"/>
  <c r="M1901" i="3"/>
  <c r="L1901" i="3"/>
  <c r="U1900" i="3"/>
  <c r="T1900" i="3"/>
  <c r="S1900" i="3"/>
  <c r="R1900" i="3"/>
  <c r="Q1900" i="3"/>
  <c r="P1900" i="3"/>
  <c r="O1900" i="3"/>
  <c r="N1900" i="3"/>
  <c r="M1900" i="3"/>
  <c r="L1900" i="3"/>
  <c r="V1900" i="3" s="1"/>
  <c r="U1899" i="3"/>
  <c r="T1899" i="3"/>
  <c r="S1899" i="3"/>
  <c r="R1899" i="3"/>
  <c r="Q1899" i="3"/>
  <c r="P1899" i="3"/>
  <c r="O1899" i="3"/>
  <c r="N1899" i="3"/>
  <c r="M1899" i="3"/>
  <c r="L1899" i="3"/>
  <c r="V1899" i="3" s="1"/>
  <c r="U1898" i="3"/>
  <c r="T1898" i="3"/>
  <c r="S1898" i="3"/>
  <c r="R1898" i="3"/>
  <c r="Q1898" i="3"/>
  <c r="P1898" i="3"/>
  <c r="O1898" i="3"/>
  <c r="N1898" i="3"/>
  <c r="M1898" i="3"/>
  <c r="L1898" i="3"/>
  <c r="V1898" i="3" s="1"/>
  <c r="U1897" i="3"/>
  <c r="T1897" i="3"/>
  <c r="S1897" i="3"/>
  <c r="R1897" i="3"/>
  <c r="P1897" i="3"/>
  <c r="O1897" i="3"/>
  <c r="N1897" i="3"/>
  <c r="Q1897" i="3" s="1"/>
  <c r="M1897" i="3"/>
  <c r="L1897" i="3"/>
  <c r="U1896" i="3"/>
  <c r="V1896" i="3" s="1"/>
  <c r="T1896" i="3"/>
  <c r="S1896" i="3"/>
  <c r="R1896" i="3"/>
  <c r="Q1896" i="3"/>
  <c r="P1896" i="3"/>
  <c r="O1896" i="3"/>
  <c r="N1896" i="3"/>
  <c r="M1896" i="3"/>
  <c r="L1896" i="3"/>
  <c r="U1895" i="3"/>
  <c r="V1895" i="3" s="1"/>
  <c r="T1895" i="3"/>
  <c r="S1895" i="3"/>
  <c r="R1895" i="3"/>
  <c r="P1895" i="3"/>
  <c r="O1895" i="3"/>
  <c r="N1895" i="3"/>
  <c r="Q1895" i="3" s="1"/>
  <c r="M1895" i="3"/>
  <c r="L1895" i="3"/>
  <c r="U1894" i="3"/>
  <c r="V1894" i="3" s="1"/>
  <c r="T1894" i="3"/>
  <c r="S1894" i="3"/>
  <c r="R1894" i="3"/>
  <c r="P1894" i="3"/>
  <c r="O1894" i="3"/>
  <c r="N1894" i="3"/>
  <c r="Q1894" i="3" s="1"/>
  <c r="M1894" i="3"/>
  <c r="L1894" i="3"/>
  <c r="V1893" i="3"/>
  <c r="U1893" i="3"/>
  <c r="T1893" i="3"/>
  <c r="S1893" i="3"/>
  <c r="R1893" i="3"/>
  <c r="P1893" i="3"/>
  <c r="O1893" i="3"/>
  <c r="N1893" i="3"/>
  <c r="Q1893" i="3" s="1"/>
  <c r="M1893" i="3"/>
  <c r="L1893" i="3"/>
  <c r="V1892" i="3"/>
  <c r="U1892" i="3"/>
  <c r="T1892" i="3"/>
  <c r="S1892" i="3"/>
  <c r="R1892" i="3"/>
  <c r="Q1892" i="3"/>
  <c r="P1892" i="3"/>
  <c r="O1892" i="3"/>
  <c r="N1892" i="3"/>
  <c r="M1892" i="3"/>
  <c r="L1892" i="3"/>
  <c r="U1891" i="3"/>
  <c r="T1891" i="3"/>
  <c r="S1891" i="3"/>
  <c r="R1891" i="3"/>
  <c r="P1891" i="3"/>
  <c r="O1891" i="3"/>
  <c r="N1891" i="3"/>
  <c r="Q1891" i="3" s="1"/>
  <c r="M1891" i="3"/>
  <c r="L1891" i="3"/>
  <c r="V1891" i="3" s="1"/>
  <c r="U1890" i="3"/>
  <c r="T1890" i="3"/>
  <c r="S1890" i="3"/>
  <c r="R1890" i="3"/>
  <c r="Q1890" i="3"/>
  <c r="P1890" i="3"/>
  <c r="O1890" i="3"/>
  <c r="N1890" i="3"/>
  <c r="M1890" i="3"/>
  <c r="L1890" i="3"/>
  <c r="V1890" i="3" s="1"/>
  <c r="U1889" i="3"/>
  <c r="T1889" i="3"/>
  <c r="S1889" i="3"/>
  <c r="R1889" i="3"/>
  <c r="P1889" i="3"/>
  <c r="O1889" i="3"/>
  <c r="N1889" i="3"/>
  <c r="Q1889" i="3" s="1"/>
  <c r="M1889" i="3"/>
  <c r="L1889" i="3"/>
  <c r="U1888" i="3"/>
  <c r="V1888" i="3" s="1"/>
  <c r="T1888" i="3"/>
  <c r="S1888" i="3"/>
  <c r="R1888" i="3"/>
  <c r="Q1888" i="3"/>
  <c r="P1888" i="3"/>
  <c r="O1888" i="3"/>
  <c r="N1888" i="3"/>
  <c r="M1888" i="3"/>
  <c r="L1888" i="3"/>
  <c r="U1887" i="3"/>
  <c r="V1887" i="3" s="1"/>
  <c r="T1887" i="3"/>
  <c r="S1887" i="3"/>
  <c r="R1887" i="3"/>
  <c r="P1887" i="3"/>
  <c r="O1887" i="3"/>
  <c r="N1887" i="3"/>
  <c r="Q1887" i="3" s="1"/>
  <c r="M1887" i="3"/>
  <c r="L1887" i="3"/>
  <c r="V1886" i="3"/>
  <c r="U1886" i="3"/>
  <c r="T1886" i="3"/>
  <c r="S1886" i="3"/>
  <c r="R1886" i="3"/>
  <c r="P1886" i="3"/>
  <c r="O1886" i="3"/>
  <c r="N1886" i="3"/>
  <c r="Q1886" i="3" s="1"/>
  <c r="M1886" i="3"/>
  <c r="L1886" i="3"/>
  <c r="V1885" i="3"/>
  <c r="U1885" i="3"/>
  <c r="T1885" i="3"/>
  <c r="S1885" i="3"/>
  <c r="R1885" i="3"/>
  <c r="Q1885" i="3"/>
  <c r="P1885" i="3"/>
  <c r="O1885" i="3"/>
  <c r="N1885" i="3"/>
  <c r="M1885" i="3"/>
  <c r="L1885" i="3"/>
  <c r="U1884" i="3"/>
  <c r="T1884" i="3"/>
  <c r="S1884" i="3"/>
  <c r="R1884" i="3"/>
  <c r="P1884" i="3"/>
  <c r="O1884" i="3"/>
  <c r="N1884" i="3"/>
  <c r="Q1884" i="3" s="1"/>
  <c r="M1884" i="3"/>
  <c r="L1884" i="3"/>
  <c r="V1884" i="3" s="1"/>
  <c r="V1883" i="3"/>
  <c r="U1883" i="3"/>
  <c r="T1883" i="3"/>
  <c r="S1883" i="3"/>
  <c r="R1883" i="3"/>
  <c r="P1883" i="3"/>
  <c r="O1883" i="3"/>
  <c r="N1883" i="3"/>
  <c r="Q1883" i="3" s="1"/>
  <c r="M1883" i="3"/>
  <c r="L1883" i="3"/>
  <c r="U1882" i="3"/>
  <c r="T1882" i="3"/>
  <c r="S1882" i="3"/>
  <c r="R1882" i="3"/>
  <c r="Q1882" i="3"/>
  <c r="P1882" i="3"/>
  <c r="O1882" i="3"/>
  <c r="N1882" i="3"/>
  <c r="M1882" i="3"/>
  <c r="L1882" i="3"/>
  <c r="V1882" i="3" s="1"/>
  <c r="U1881" i="3"/>
  <c r="T1881" i="3"/>
  <c r="S1881" i="3"/>
  <c r="R1881" i="3"/>
  <c r="P1881" i="3"/>
  <c r="O1881" i="3"/>
  <c r="N1881" i="3"/>
  <c r="Q1881" i="3" s="1"/>
  <c r="M1881" i="3"/>
  <c r="L1881" i="3"/>
  <c r="U1880" i="3"/>
  <c r="V1880" i="3" s="1"/>
  <c r="T1880" i="3"/>
  <c r="S1880" i="3"/>
  <c r="R1880" i="3"/>
  <c r="Q1880" i="3"/>
  <c r="P1880" i="3"/>
  <c r="O1880" i="3"/>
  <c r="N1880" i="3"/>
  <c r="M1880" i="3"/>
  <c r="L1880" i="3"/>
  <c r="U1879" i="3"/>
  <c r="V1879" i="3" s="1"/>
  <c r="T1879" i="3"/>
  <c r="S1879" i="3"/>
  <c r="R1879" i="3"/>
  <c r="P1879" i="3"/>
  <c r="O1879" i="3"/>
  <c r="N1879" i="3"/>
  <c r="Q1879" i="3" s="1"/>
  <c r="M1879" i="3"/>
  <c r="L1879" i="3"/>
  <c r="V1878" i="3"/>
  <c r="U1878" i="3"/>
  <c r="T1878" i="3"/>
  <c r="S1878" i="3"/>
  <c r="R1878" i="3"/>
  <c r="P1878" i="3"/>
  <c r="O1878" i="3"/>
  <c r="N1878" i="3"/>
  <c r="Q1878" i="3" s="1"/>
  <c r="M1878" i="3"/>
  <c r="L1878" i="3"/>
  <c r="V1877" i="3"/>
  <c r="U1877" i="3"/>
  <c r="T1877" i="3"/>
  <c r="S1877" i="3"/>
  <c r="R1877" i="3"/>
  <c r="Q1877" i="3"/>
  <c r="P1877" i="3"/>
  <c r="O1877" i="3"/>
  <c r="N1877" i="3"/>
  <c r="M1877" i="3"/>
  <c r="L1877" i="3"/>
  <c r="U1876" i="3"/>
  <c r="T1876" i="3"/>
  <c r="S1876" i="3"/>
  <c r="R1876" i="3"/>
  <c r="Q1876" i="3"/>
  <c r="P1876" i="3"/>
  <c r="O1876" i="3"/>
  <c r="N1876" i="3"/>
  <c r="M1876" i="3"/>
  <c r="L1876" i="3"/>
  <c r="V1876" i="3" s="1"/>
  <c r="V1875" i="3"/>
  <c r="U1875" i="3"/>
  <c r="T1875" i="3"/>
  <c r="S1875" i="3"/>
  <c r="R1875" i="3"/>
  <c r="P1875" i="3"/>
  <c r="O1875" i="3"/>
  <c r="N1875" i="3"/>
  <c r="Q1875" i="3" s="1"/>
  <c r="M1875" i="3"/>
  <c r="L1875" i="3"/>
  <c r="U1874" i="3"/>
  <c r="T1874" i="3"/>
  <c r="S1874" i="3"/>
  <c r="R1874" i="3"/>
  <c r="Q1874" i="3"/>
  <c r="P1874" i="3"/>
  <c r="O1874" i="3"/>
  <c r="N1874" i="3"/>
  <c r="M1874" i="3"/>
  <c r="L1874" i="3"/>
  <c r="V1874" i="3" s="1"/>
  <c r="U1873" i="3"/>
  <c r="T1873" i="3"/>
  <c r="S1873" i="3"/>
  <c r="R1873" i="3"/>
  <c r="P1873" i="3"/>
  <c r="O1873" i="3"/>
  <c r="N1873" i="3"/>
  <c r="Q1873" i="3" s="1"/>
  <c r="M1873" i="3"/>
  <c r="L1873" i="3"/>
  <c r="U1872" i="3"/>
  <c r="V1872" i="3" s="1"/>
  <c r="T1872" i="3"/>
  <c r="S1872" i="3"/>
  <c r="R1872" i="3"/>
  <c r="Q1872" i="3"/>
  <c r="P1872" i="3"/>
  <c r="O1872" i="3"/>
  <c r="N1872" i="3"/>
  <c r="M1872" i="3"/>
  <c r="L1872" i="3"/>
  <c r="U1871" i="3"/>
  <c r="V1871" i="3" s="1"/>
  <c r="T1871" i="3"/>
  <c r="S1871" i="3"/>
  <c r="R1871" i="3"/>
  <c r="P1871" i="3"/>
  <c r="O1871" i="3"/>
  <c r="N1871" i="3"/>
  <c r="Q1871" i="3" s="1"/>
  <c r="M1871" i="3"/>
  <c r="L1871" i="3"/>
  <c r="V1870" i="3"/>
  <c r="U1870" i="3"/>
  <c r="T1870" i="3"/>
  <c r="S1870" i="3"/>
  <c r="R1870" i="3"/>
  <c r="P1870" i="3"/>
  <c r="O1870" i="3"/>
  <c r="N1870" i="3"/>
  <c r="Q1870" i="3" s="1"/>
  <c r="M1870" i="3"/>
  <c r="L1870" i="3"/>
  <c r="V1869" i="3"/>
  <c r="U1869" i="3"/>
  <c r="T1869" i="3"/>
  <c r="S1869" i="3"/>
  <c r="R1869" i="3"/>
  <c r="Q1869" i="3"/>
  <c r="P1869" i="3"/>
  <c r="O1869" i="3"/>
  <c r="N1869" i="3"/>
  <c r="M1869" i="3"/>
  <c r="L1869" i="3"/>
  <c r="U1868" i="3"/>
  <c r="T1868" i="3"/>
  <c r="S1868" i="3"/>
  <c r="R1868" i="3"/>
  <c r="P1868" i="3"/>
  <c r="O1868" i="3"/>
  <c r="N1868" i="3"/>
  <c r="Q1868" i="3" s="1"/>
  <c r="M1868" i="3"/>
  <c r="L1868" i="3"/>
  <c r="V1868" i="3" s="1"/>
  <c r="V1867" i="3"/>
  <c r="U1867" i="3"/>
  <c r="T1867" i="3"/>
  <c r="S1867" i="3"/>
  <c r="R1867" i="3"/>
  <c r="Q1867" i="3"/>
  <c r="P1867" i="3"/>
  <c r="O1867" i="3"/>
  <c r="N1867" i="3"/>
  <c r="M1867" i="3"/>
  <c r="L1867" i="3"/>
  <c r="U1866" i="3"/>
  <c r="T1866" i="3"/>
  <c r="S1866" i="3"/>
  <c r="R1866" i="3"/>
  <c r="Q1866" i="3"/>
  <c r="P1866" i="3"/>
  <c r="O1866" i="3"/>
  <c r="N1866" i="3"/>
  <c r="M1866" i="3"/>
  <c r="L1866" i="3"/>
  <c r="V1866" i="3" s="1"/>
  <c r="U1865" i="3"/>
  <c r="T1865" i="3"/>
  <c r="S1865" i="3"/>
  <c r="R1865" i="3"/>
  <c r="P1865" i="3"/>
  <c r="O1865" i="3"/>
  <c r="N1865" i="3"/>
  <c r="Q1865" i="3" s="1"/>
  <c r="M1865" i="3"/>
  <c r="L1865" i="3"/>
  <c r="U1864" i="3"/>
  <c r="V1864" i="3" s="1"/>
  <c r="T1864" i="3"/>
  <c r="S1864" i="3"/>
  <c r="R1864" i="3"/>
  <c r="Q1864" i="3"/>
  <c r="P1864" i="3"/>
  <c r="O1864" i="3"/>
  <c r="N1864" i="3"/>
  <c r="M1864" i="3"/>
  <c r="L1864" i="3"/>
  <c r="U1863" i="3"/>
  <c r="V1863" i="3" s="1"/>
  <c r="T1863" i="3"/>
  <c r="S1863" i="3"/>
  <c r="R1863" i="3"/>
  <c r="P1863" i="3"/>
  <c r="O1863" i="3"/>
  <c r="N1863" i="3"/>
  <c r="Q1863" i="3" s="1"/>
  <c r="M1863" i="3"/>
  <c r="L1863" i="3"/>
  <c r="V1862" i="3"/>
  <c r="U1862" i="3"/>
  <c r="T1862" i="3"/>
  <c r="S1862" i="3"/>
  <c r="R1862" i="3"/>
  <c r="P1862" i="3"/>
  <c r="O1862" i="3"/>
  <c r="N1862" i="3"/>
  <c r="Q1862" i="3" s="1"/>
  <c r="M1862" i="3"/>
  <c r="L1862" i="3"/>
  <c r="V1861" i="3"/>
  <c r="U1861" i="3"/>
  <c r="T1861" i="3"/>
  <c r="S1861" i="3"/>
  <c r="R1861" i="3"/>
  <c r="Q1861" i="3"/>
  <c r="P1861" i="3"/>
  <c r="O1861" i="3"/>
  <c r="N1861" i="3"/>
  <c r="M1861" i="3"/>
  <c r="L1861" i="3"/>
  <c r="V1860" i="3"/>
  <c r="U1860" i="3"/>
  <c r="T1860" i="3"/>
  <c r="S1860" i="3"/>
  <c r="R1860" i="3"/>
  <c r="P1860" i="3"/>
  <c r="O1860" i="3"/>
  <c r="N1860" i="3"/>
  <c r="Q1860" i="3" s="1"/>
  <c r="M1860" i="3"/>
  <c r="L1860" i="3"/>
  <c r="V1859" i="3"/>
  <c r="U1859" i="3"/>
  <c r="T1859" i="3"/>
  <c r="S1859" i="3"/>
  <c r="R1859" i="3"/>
  <c r="P1859" i="3"/>
  <c r="O1859" i="3"/>
  <c r="N1859" i="3"/>
  <c r="Q1859" i="3" s="1"/>
  <c r="M1859" i="3"/>
  <c r="L1859" i="3"/>
  <c r="U1858" i="3"/>
  <c r="T1858" i="3"/>
  <c r="S1858" i="3"/>
  <c r="R1858" i="3"/>
  <c r="Q1858" i="3"/>
  <c r="P1858" i="3"/>
  <c r="O1858" i="3"/>
  <c r="N1858" i="3"/>
  <c r="M1858" i="3"/>
  <c r="L1858" i="3"/>
  <c r="V1858" i="3" s="1"/>
  <c r="U1857" i="3"/>
  <c r="T1857" i="3"/>
  <c r="S1857" i="3"/>
  <c r="R1857" i="3"/>
  <c r="P1857" i="3"/>
  <c r="O1857" i="3"/>
  <c r="N1857" i="3"/>
  <c r="Q1857" i="3" s="1"/>
  <c r="M1857" i="3"/>
  <c r="L1857" i="3"/>
  <c r="U1856" i="3"/>
  <c r="V1856" i="3" s="1"/>
  <c r="T1856" i="3"/>
  <c r="S1856" i="3"/>
  <c r="R1856" i="3"/>
  <c r="Q1856" i="3"/>
  <c r="P1856" i="3"/>
  <c r="O1856" i="3"/>
  <c r="N1856" i="3"/>
  <c r="M1856" i="3"/>
  <c r="L1856" i="3"/>
  <c r="U1855" i="3"/>
  <c r="V1855" i="3" s="1"/>
  <c r="T1855" i="3"/>
  <c r="S1855" i="3"/>
  <c r="R1855" i="3"/>
  <c r="P1855" i="3"/>
  <c r="O1855" i="3"/>
  <c r="N1855" i="3"/>
  <c r="Q1855" i="3" s="1"/>
  <c r="M1855" i="3"/>
  <c r="L1855" i="3"/>
  <c r="U1854" i="3"/>
  <c r="V1854" i="3" s="1"/>
  <c r="T1854" i="3"/>
  <c r="S1854" i="3"/>
  <c r="R1854" i="3"/>
  <c r="P1854" i="3"/>
  <c r="O1854" i="3"/>
  <c r="N1854" i="3"/>
  <c r="Q1854" i="3" s="1"/>
  <c r="M1854" i="3"/>
  <c r="L1854" i="3"/>
  <c r="V1853" i="3"/>
  <c r="U1853" i="3"/>
  <c r="T1853" i="3"/>
  <c r="S1853" i="3"/>
  <c r="R1853" i="3"/>
  <c r="Q1853" i="3"/>
  <c r="P1853" i="3"/>
  <c r="O1853" i="3"/>
  <c r="N1853" i="3"/>
  <c r="M1853" i="3"/>
  <c r="L1853" i="3"/>
  <c r="U1852" i="3"/>
  <c r="T1852" i="3"/>
  <c r="S1852" i="3"/>
  <c r="R1852" i="3"/>
  <c r="P1852" i="3"/>
  <c r="O1852" i="3"/>
  <c r="N1852" i="3"/>
  <c r="Q1852" i="3" s="1"/>
  <c r="M1852" i="3"/>
  <c r="L1852" i="3"/>
  <c r="V1852" i="3" s="1"/>
  <c r="V1851" i="3"/>
  <c r="U1851" i="3"/>
  <c r="T1851" i="3"/>
  <c r="S1851" i="3"/>
  <c r="R1851" i="3"/>
  <c r="Q1851" i="3"/>
  <c r="P1851" i="3"/>
  <c r="O1851" i="3"/>
  <c r="N1851" i="3"/>
  <c r="M1851" i="3"/>
  <c r="L1851" i="3"/>
  <c r="U1850" i="3"/>
  <c r="T1850" i="3"/>
  <c r="S1850" i="3"/>
  <c r="R1850" i="3"/>
  <c r="Q1850" i="3"/>
  <c r="P1850" i="3"/>
  <c r="O1850" i="3"/>
  <c r="N1850" i="3"/>
  <c r="M1850" i="3"/>
  <c r="L1850" i="3"/>
  <c r="V1850" i="3" s="1"/>
  <c r="U1849" i="3"/>
  <c r="T1849" i="3"/>
  <c r="S1849" i="3"/>
  <c r="R1849" i="3"/>
  <c r="P1849" i="3"/>
  <c r="O1849" i="3"/>
  <c r="N1849" i="3"/>
  <c r="Q1849" i="3" s="1"/>
  <c r="M1849" i="3"/>
  <c r="L1849" i="3"/>
  <c r="U1848" i="3"/>
  <c r="V1848" i="3" s="1"/>
  <c r="T1848" i="3"/>
  <c r="S1848" i="3"/>
  <c r="R1848" i="3"/>
  <c r="Q1848" i="3"/>
  <c r="P1848" i="3"/>
  <c r="O1848" i="3"/>
  <c r="N1848" i="3"/>
  <c r="M1848" i="3"/>
  <c r="L1848" i="3"/>
  <c r="U1847" i="3"/>
  <c r="V1847" i="3" s="1"/>
  <c r="T1847" i="3"/>
  <c r="S1847" i="3"/>
  <c r="R1847" i="3"/>
  <c r="P1847" i="3"/>
  <c r="O1847" i="3"/>
  <c r="N1847" i="3"/>
  <c r="Q1847" i="3" s="1"/>
  <c r="M1847" i="3"/>
  <c r="L1847" i="3"/>
  <c r="V1846" i="3"/>
  <c r="U1846" i="3"/>
  <c r="T1846" i="3"/>
  <c r="S1846" i="3"/>
  <c r="R1846" i="3"/>
  <c r="P1846" i="3"/>
  <c r="O1846" i="3"/>
  <c r="N1846" i="3"/>
  <c r="Q1846" i="3" s="1"/>
  <c r="M1846" i="3"/>
  <c r="L1846" i="3"/>
  <c r="V1845" i="3"/>
  <c r="U1845" i="3"/>
  <c r="T1845" i="3"/>
  <c r="S1845" i="3"/>
  <c r="R1845" i="3"/>
  <c r="P1845" i="3"/>
  <c r="O1845" i="3"/>
  <c r="N1845" i="3"/>
  <c r="Q1845" i="3" s="1"/>
  <c r="M1845" i="3"/>
  <c r="L1845" i="3"/>
  <c r="V1844" i="3"/>
  <c r="U1844" i="3"/>
  <c r="T1844" i="3"/>
  <c r="S1844" i="3"/>
  <c r="R1844" i="3"/>
  <c r="Q1844" i="3"/>
  <c r="P1844" i="3"/>
  <c r="O1844" i="3"/>
  <c r="N1844" i="3"/>
  <c r="M1844" i="3"/>
  <c r="L1844" i="3"/>
  <c r="U1843" i="3"/>
  <c r="T1843" i="3"/>
  <c r="S1843" i="3"/>
  <c r="R1843" i="3"/>
  <c r="Q1843" i="3"/>
  <c r="P1843" i="3"/>
  <c r="O1843" i="3"/>
  <c r="N1843" i="3"/>
  <c r="M1843" i="3"/>
  <c r="L1843" i="3"/>
  <c r="V1843" i="3" s="1"/>
  <c r="U1842" i="3"/>
  <c r="T1842" i="3"/>
  <c r="S1842" i="3"/>
  <c r="R1842" i="3"/>
  <c r="Q1842" i="3"/>
  <c r="P1842" i="3"/>
  <c r="O1842" i="3"/>
  <c r="N1842" i="3"/>
  <c r="M1842" i="3"/>
  <c r="L1842" i="3"/>
  <c r="V1842" i="3" s="1"/>
  <c r="U1841" i="3"/>
  <c r="T1841" i="3"/>
  <c r="S1841" i="3"/>
  <c r="R1841" i="3"/>
  <c r="P1841" i="3"/>
  <c r="O1841" i="3"/>
  <c r="N1841" i="3"/>
  <c r="Q1841" i="3" s="1"/>
  <c r="M1841" i="3"/>
  <c r="L1841" i="3"/>
  <c r="U1840" i="3"/>
  <c r="V1840" i="3" s="1"/>
  <c r="T1840" i="3"/>
  <c r="S1840" i="3"/>
  <c r="R1840" i="3"/>
  <c r="Q1840" i="3"/>
  <c r="P1840" i="3"/>
  <c r="O1840" i="3"/>
  <c r="N1840" i="3"/>
  <c r="M1840" i="3"/>
  <c r="L1840" i="3"/>
  <c r="U1839" i="3"/>
  <c r="V1839" i="3" s="1"/>
  <c r="T1839" i="3"/>
  <c r="S1839" i="3"/>
  <c r="R1839" i="3"/>
  <c r="P1839" i="3"/>
  <c r="O1839" i="3"/>
  <c r="N1839" i="3"/>
  <c r="Q1839" i="3" s="1"/>
  <c r="M1839" i="3"/>
  <c r="L1839" i="3"/>
  <c r="U1838" i="3"/>
  <c r="V1838" i="3" s="1"/>
  <c r="T1838" i="3"/>
  <c r="S1838" i="3"/>
  <c r="R1838" i="3"/>
  <c r="P1838" i="3"/>
  <c r="O1838" i="3"/>
  <c r="N1838" i="3"/>
  <c r="Q1838" i="3" s="1"/>
  <c r="M1838" i="3"/>
  <c r="L1838" i="3"/>
  <c r="V1837" i="3"/>
  <c r="U1837" i="3"/>
  <c r="T1837" i="3"/>
  <c r="S1837" i="3"/>
  <c r="R1837" i="3"/>
  <c r="P1837" i="3"/>
  <c r="O1837" i="3"/>
  <c r="N1837" i="3"/>
  <c r="Q1837" i="3" s="1"/>
  <c r="M1837" i="3"/>
  <c r="L1837" i="3"/>
  <c r="V1836" i="3"/>
  <c r="U1836" i="3"/>
  <c r="T1836" i="3"/>
  <c r="S1836" i="3"/>
  <c r="R1836" i="3"/>
  <c r="P1836" i="3"/>
  <c r="O1836" i="3"/>
  <c r="N1836" i="3"/>
  <c r="Q1836" i="3" s="1"/>
  <c r="M1836" i="3"/>
  <c r="L1836" i="3"/>
  <c r="U1835" i="3"/>
  <c r="T1835" i="3"/>
  <c r="S1835" i="3"/>
  <c r="R1835" i="3"/>
  <c r="Q1835" i="3"/>
  <c r="P1835" i="3"/>
  <c r="O1835" i="3"/>
  <c r="N1835" i="3"/>
  <c r="M1835" i="3"/>
  <c r="L1835" i="3"/>
  <c r="V1835" i="3" s="1"/>
  <c r="U1834" i="3"/>
  <c r="T1834" i="3"/>
  <c r="S1834" i="3"/>
  <c r="R1834" i="3"/>
  <c r="P1834" i="3"/>
  <c r="O1834" i="3"/>
  <c r="N1834" i="3"/>
  <c r="Q1834" i="3" s="1"/>
  <c r="M1834" i="3"/>
  <c r="L1834" i="3"/>
  <c r="V1834" i="3" s="1"/>
  <c r="U1833" i="3"/>
  <c r="T1833" i="3"/>
  <c r="S1833" i="3"/>
  <c r="R1833" i="3"/>
  <c r="Q1833" i="3"/>
  <c r="P1833" i="3"/>
  <c r="O1833" i="3"/>
  <c r="N1833" i="3"/>
  <c r="M1833" i="3"/>
  <c r="L1833" i="3"/>
  <c r="U1832" i="3"/>
  <c r="T1832" i="3"/>
  <c r="S1832" i="3"/>
  <c r="R1832" i="3"/>
  <c r="Q1832" i="3"/>
  <c r="P1832" i="3"/>
  <c r="O1832" i="3"/>
  <c r="N1832" i="3"/>
  <c r="M1832" i="3"/>
  <c r="L1832" i="3"/>
  <c r="U1831" i="3"/>
  <c r="T1831" i="3"/>
  <c r="S1831" i="3"/>
  <c r="R1831" i="3"/>
  <c r="P1831" i="3"/>
  <c r="O1831" i="3"/>
  <c r="N1831" i="3"/>
  <c r="Q1831" i="3" s="1"/>
  <c r="M1831" i="3"/>
  <c r="L1831" i="3"/>
  <c r="V1830" i="3"/>
  <c r="U1830" i="3"/>
  <c r="T1830" i="3"/>
  <c r="S1830" i="3"/>
  <c r="R1830" i="3"/>
  <c r="P1830" i="3"/>
  <c r="O1830" i="3"/>
  <c r="N1830" i="3"/>
  <c r="Q1830" i="3" s="1"/>
  <c r="M1830" i="3"/>
  <c r="L1830" i="3"/>
  <c r="V1829" i="3"/>
  <c r="U1829" i="3"/>
  <c r="T1829" i="3"/>
  <c r="S1829" i="3"/>
  <c r="R1829" i="3"/>
  <c r="P1829" i="3"/>
  <c r="O1829" i="3"/>
  <c r="N1829" i="3"/>
  <c r="Q1829" i="3" s="1"/>
  <c r="M1829" i="3"/>
  <c r="L1829" i="3"/>
  <c r="U1828" i="3"/>
  <c r="V1828" i="3" s="1"/>
  <c r="T1828" i="3"/>
  <c r="S1828" i="3"/>
  <c r="R1828" i="3"/>
  <c r="Q1828" i="3"/>
  <c r="P1828" i="3"/>
  <c r="O1828" i="3"/>
  <c r="N1828" i="3"/>
  <c r="M1828" i="3"/>
  <c r="L1828" i="3"/>
  <c r="U1827" i="3"/>
  <c r="T1827" i="3"/>
  <c r="S1827" i="3"/>
  <c r="R1827" i="3"/>
  <c r="P1827" i="3"/>
  <c r="O1827" i="3"/>
  <c r="N1827" i="3"/>
  <c r="Q1827" i="3" s="1"/>
  <c r="M1827" i="3"/>
  <c r="L1827" i="3"/>
  <c r="V1827" i="3" s="1"/>
  <c r="U1826" i="3"/>
  <c r="T1826" i="3"/>
  <c r="S1826" i="3"/>
  <c r="R1826" i="3"/>
  <c r="Q1826" i="3"/>
  <c r="P1826" i="3"/>
  <c r="O1826" i="3"/>
  <c r="N1826" i="3"/>
  <c r="M1826" i="3"/>
  <c r="L1826" i="3"/>
  <c r="V1826" i="3" s="1"/>
  <c r="U1825" i="3"/>
  <c r="V1825" i="3" s="1"/>
  <c r="T1825" i="3"/>
  <c r="S1825" i="3"/>
  <c r="R1825" i="3"/>
  <c r="P1825" i="3"/>
  <c r="O1825" i="3"/>
  <c r="N1825" i="3"/>
  <c r="Q1825" i="3" s="1"/>
  <c r="M1825" i="3"/>
  <c r="L1825" i="3"/>
  <c r="U1824" i="3"/>
  <c r="T1824" i="3"/>
  <c r="S1824" i="3"/>
  <c r="R1824" i="3"/>
  <c r="Q1824" i="3"/>
  <c r="P1824" i="3"/>
  <c r="O1824" i="3"/>
  <c r="N1824" i="3"/>
  <c r="M1824" i="3"/>
  <c r="L1824" i="3"/>
  <c r="U1823" i="3"/>
  <c r="T1823" i="3"/>
  <c r="S1823" i="3"/>
  <c r="R1823" i="3"/>
  <c r="P1823" i="3"/>
  <c r="O1823" i="3"/>
  <c r="N1823" i="3"/>
  <c r="Q1823" i="3" s="1"/>
  <c r="M1823" i="3"/>
  <c r="L1823" i="3"/>
  <c r="V1822" i="3"/>
  <c r="U1822" i="3"/>
  <c r="T1822" i="3"/>
  <c r="S1822" i="3"/>
  <c r="R1822" i="3"/>
  <c r="P1822" i="3"/>
  <c r="O1822" i="3"/>
  <c r="N1822" i="3"/>
  <c r="Q1822" i="3" s="1"/>
  <c r="M1822" i="3"/>
  <c r="L1822" i="3"/>
  <c r="U1821" i="3"/>
  <c r="V1821" i="3" s="1"/>
  <c r="T1821" i="3"/>
  <c r="S1821" i="3"/>
  <c r="R1821" i="3"/>
  <c r="P1821" i="3"/>
  <c r="O1821" i="3"/>
  <c r="N1821" i="3"/>
  <c r="Q1821" i="3" s="1"/>
  <c r="M1821" i="3"/>
  <c r="L1821" i="3"/>
  <c r="U1820" i="3"/>
  <c r="V1820" i="3" s="1"/>
  <c r="T1820" i="3"/>
  <c r="S1820" i="3"/>
  <c r="R1820" i="3"/>
  <c r="Q1820" i="3"/>
  <c r="P1820" i="3"/>
  <c r="O1820" i="3"/>
  <c r="N1820" i="3"/>
  <c r="M1820" i="3"/>
  <c r="L1820" i="3"/>
  <c r="U1819" i="3"/>
  <c r="T1819" i="3"/>
  <c r="S1819" i="3"/>
  <c r="R1819" i="3"/>
  <c r="P1819" i="3"/>
  <c r="O1819" i="3"/>
  <c r="N1819" i="3"/>
  <c r="Q1819" i="3" s="1"/>
  <c r="M1819" i="3"/>
  <c r="L1819" i="3"/>
  <c r="V1819" i="3" s="1"/>
  <c r="V1818" i="3"/>
  <c r="U1818" i="3"/>
  <c r="T1818" i="3"/>
  <c r="S1818" i="3"/>
  <c r="R1818" i="3"/>
  <c r="P1818" i="3"/>
  <c r="O1818" i="3"/>
  <c r="N1818" i="3"/>
  <c r="Q1818" i="3" s="1"/>
  <c r="M1818" i="3"/>
  <c r="L1818" i="3"/>
  <c r="V1817" i="3"/>
  <c r="U1817" i="3"/>
  <c r="T1817" i="3"/>
  <c r="S1817" i="3"/>
  <c r="R1817" i="3"/>
  <c r="P1817" i="3"/>
  <c r="O1817" i="3"/>
  <c r="N1817" i="3"/>
  <c r="Q1817" i="3" s="1"/>
  <c r="M1817" i="3"/>
  <c r="L1817" i="3"/>
  <c r="U1816" i="3"/>
  <c r="T1816" i="3"/>
  <c r="S1816" i="3"/>
  <c r="R1816" i="3"/>
  <c r="Q1816" i="3"/>
  <c r="P1816" i="3"/>
  <c r="O1816" i="3"/>
  <c r="N1816" i="3"/>
  <c r="M1816" i="3"/>
  <c r="L1816" i="3"/>
  <c r="U1815" i="3"/>
  <c r="T1815" i="3"/>
  <c r="S1815" i="3"/>
  <c r="R1815" i="3"/>
  <c r="P1815" i="3"/>
  <c r="O1815" i="3"/>
  <c r="N1815" i="3"/>
  <c r="Q1815" i="3" s="1"/>
  <c r="M1815" i="3"/>
  <c r="L1815" i="3"/>
  <c r="V1814" i="3"/>
  <c r="U1814" i="3"/>
  <c r="T1814" i="3"/>
  <c r="S1814" i="3"/>
  <c r="R1814" i="3"/>
  <c r="P1814" i="3"/>
  <c r="O1814" i="3"/>
  <c r="N1814" i="3"/>
  <c r="Q1814" i="3" s="1"/>
  <c r="M1814" i="3"/>
  <c r="L1814" i="3"/>
  <c r="V1813" i="3"/>
  <c r="U1813" i="3"/>
  <c r="T1813" i="3"/>
  <c r="S1813" i="3"/>
  <c r="R1813" i="3"/>
  <c r="P1813" i="3"/>
  <c r="O1813" i="3"/>
  <c r="N1813" i="3"/>
  <c r="Q1813" i="3" s="1"/>
  <c r="M1813" i="3"/>
  <c r="L1813" i="3"/>
  <c r="U1812" i="3"/>
  <c r="V1812" i="3" s="1"/>
  <c r="T1812" i="3"/>
  <c r="S1812" i="3"/>
  <c r="R1812" i="3"/>
  <c r="Q1812" i="3"/>
  <c r="P1812" i="3"/>
  <c r="O1812" i="3"/>
  <c r="N1812" i="3"/>
  <c r="M1812" i="3"/>
  <c r="L1812" i="3"/>
  <c r="U1811" i="3"/>
  <c r="T1811" i="3"/>
  <c r="S1811" i="3"/>
  <c r="R1811" i="3"/>
  <c r="P1811" i="3"/>
  <c r="O1811" i="3"/>
  <c r="N1811" i="3"/>
  <c r="Q1811" i="3" s="1"/>
  <c r="M1811" i="3"/>
  <c r="L1811" i="3"/>
  <c r="V1811" i="3" s="1"/>
  <c r="U1810" i="3"/>
  <c r="V1810" i="3" s="1"/>
  <c r="T1810" i="3"/>
  <c r="S1810" i="3"/>
  <c r="R1810" i="3"/>
  <c r="Q1810" i="3"/>
  <c r="P1810" i="3"/>
  <c r="O1810" i="3"/>
  <c r="N1810" i="3"/>
  <c r="M1810" i="3"/>
  <c r="L1810" i="3"/>
  <c r="U1809" i="3"/>
  <c r="V1809" i="3" s="1"/>
  <c r="T1809" i="3"/>
  <c r="S1809" i="3"/>
  <c r="R1809" i="3"/>
  <c r="P1809" i="3"/>
  <c r="O1809" i="3"/>
  <c r="N1809" i="3"/>
  <c r="Q1809" i="3" s="1"/>
  <c r="M1809" i="3"/>
  <c r="L1809" i="3"/>
  <c r="U1808" i="3"/>
  <c r="T1808" i="3"/>
  <c r="S1808" i="3"/>
  <c r="R1808" i="3"/>
  <c r="Q1808" i="3"/>
  <c r="P1808" i="3"/>
  <c r="O1808" i="3"/>
  <c r="N1808" i="3"/>
  <c r="M1808" i="3"/>
  <c r="L1808" i="3"/>
  <c r="U1807" i="3"/>
  <c r="V1807" i="3" s="1"/>
  <c r="T1807" i="3"/>
  <c r="S1807" i="3"/>
  <c r="R1807" i="3"/>
  <c r="P1807" i="3"/>
  <c r="O1807" i="3"/>
  <c r="N1807" i="3"/>
  <c r="Q1807" i="3" s="1"/>
  <c r="M1807" i="3"/>
  <c r="L1807" i="3"/>
  <c r="U1806" i="3"/>
  <c r="V1806" i="3" s="1"/>
  <c r="T1806" i="3"/>
  <c r="S1806" i="3"/>
  <c r="R1806" i="3"/>
  <c r="Q1806" i="3"/>
  <c r="P1806" i="3"/>
  <c r="O1806" i="3"/>
  <c r="N1806" i="3"/>
  <c r="M1806" i="3"/>
  <c r="L1806" i="3"/>
  <c r="U1805" i="3"/>
  <c r="T1805" i="3"/>
  <c r="S1805" i="3"/>
  <c r="R1805" i="3"/>
  <c r="P1805" i="3"/>
  <c r="O1805" i="3"/>
  <c r="N1805" i="3"/>
  <c r="Q1805" i="3" s="1"/>
  <c r="M1805" i="3"/>
  <c r="L1805" i="3"/>
  <c r="V1805" i="3" s="1"/>
  <c r="U1804" i="3"/>
  <c r="V1804" i="3" s="1"/>
  <c r="T1804" i="3"/>
  <c r="S1804" i="3"/>
  <c r="R1804" i="3"/>
  <c r="Q1804" i="3"/>
  <c r="P1804" i="3"/>
  <c r="O1804" i="3"/>
  <c r="N1804" i="3"/>
  <c r="M1804" i="3"/>
  <c r="L1804" i="3"/>
  <c r="U1803" i="3"/>
  <c r="T1803" i="3"/>
  <c r="S1803" i="3"/>
  <c r="R1803" i="3"/>
  <c r="P1803" i="3"/>
  <c r="O1803" i="3"/>
  <c r="N1803" i="3"/>
  <c r="Q1803" i="3" s="1"/>
  <c r="M1803" i="3"/>
  <c r="L1803" i="3"/>
  <c r="V1803" i="3" s="1"/>
  <c r="U1802" i="3"/>
  <c r="V1802" i="3" s="1"/>
  <c r="T1802" i="3"/>
  <c r="S1802" i="3"/>
  <c r="R1802" i="3"/>
  <c r="Q1802" i="3"/>
  <c r="P1802" i="3"/>
  <c r="O1802" i="3"/>
  <c r="N1802" i="3"/>
  <c r="M1802" i="3"/>
  <c r="L1802" i="3"/>
  <c r="U1801" i="3"/>
  <c r="T1801" i="3"/>
  <c r="S1801" i="3"/>
  <c r="R1801" i="3"/>
  <c r="P1801" i="3"/>
  <c r="O1801" i="3"/>
  <c r="N1801" i="3"/>
  <c r="Q1801" i="3" s="1"/>
  <c r="M1801" i="3"/>
  <c r="L1801" i="3"/>
  <c r="V1801" i="3" s="1"/>
  <c r="U1800" i="3"/>
  <c r="V1800" i="3" s="1"/>
  <c r="T1800" i="3"/>
  <c r="S1800" i="3"/>
  <c r="R1800" i="3"/>
  <c r="Q1800" i="3"/>
  <c r="P1800" i="3"/>
  <c r="O1800" i="3"/>
  <c r="N1800" i="3"/>
  <c r="M1800" i="3"/>
  <c r="L1800" i="3"/>
  <c r="U1799" i="3"/>
  <c r="T1799" i="3"/>
  <c r="S1799" i="3"/>
  <c r="R1799" i="3"/>
  <c r="P1799" i="3"/>
  <c r="O1799" i="3"/>
  <c r="N1799" i="3"/>
  <c r="Q1799" i="3" s="1"/>
  <c r="M1799" i="3"/>
  <c r="L1799" i="3"/>
  <c r="U1798" i="3"/>
  <c r="V1798" i="3" s="1"/>
  <c r="T1798" i="3"/>
  <c r="S1798" i="3"/>
  <c r="R1798" i="3"/>
  <c r="Q1798" i="3"/>
  <c r="P1798" i="3"/>
  <c r="O1798" i="3"/>
  <c r="N1798" i="3"/>
  <c r="M1798" i="3"/>
  <c r="L1798" i="3"/>
  <c r="U1797" i="3"/>
  <c r="V1797" i="3" s="1"/>
  <c r="T1797" i="3"/>
  <c r="S1797" i="3"/>
  <c r="R1797" i="3"/>
  <c r="P1797" i="3"/>
  <c r="O1797" i="3"/>
  <c r="N1797" i="3"/>
  <c r="Q1797" i="3" s="1"/>
  <c r="M1797" i="3"/>
  <c r="L1797" i="3"/>
  <c r="U1796" i="3"/>
  <c r="V1796" i="3" s="1"/>
  <c r="T1796" i="3"/>
  <c r="S1796" i="3"/>
  <c r="R1796" i="3"/>
  <c r="Q1796" i="3"/>
  <c r="P1796" i="3"/>
  <c r="O1796" i="3"/>
  <c r="N1796" i="3"/>
  <c r="M1796" i="3"/>
  <c r="L1796" i="3"/>
  <c r="U1795" i="3"/>
  <c r="T1795" i="3"/>
  <c r="S1795" i="3"/>
  <c r="R1795" i="3"/>
  <c r="P1795" i="3"/>
  <c r="O1795" i="3"/>
  <c r="N1795" i="3"/>
  <c r="Q1795" i="3" s="1"/>
  <c r="M1795" i="3"/>
  <c r="L1795" i="3"/>
  <c r="V1795" i="3" s="1"/>
  <c r="V1794" i="3"/>
  <c r="U1794" i="3"/>
  <c r="T1794" i="3"/>
  <c r="S1794" i="3"/>
  <c r="R1794" i="3"/>
  <c r="P1794" i="3"/>
  <c r="O1794" i="3"/>
  <c r="N1794" i="3"/>
  <c r="Q1794" i="3" s="1"/>
  <c r="M1794" i="3"/>
  <c r="L1794" i="3"/>
  <c r="V1793" i="3"/>
  <c r="U1793" i="3"/>
  <c r="T1793" i="3"/>
  <c r="S1793" i="3"/>
  <c r="R1793" i="3"/>
  <c r="P1793" i="3"/>
  <c r="O1793" i="3"/>
  <c r="N1793" i="3"/>
  <c r="Q1793" i="3" s="1"/>
  <c r="M1793" i="3"/>
  <c r="L1793" i="3"/>
  <c r="U1792" i="3"/>
  <c r="T1792" i="3"/>
  <c r="S1792" i="3"/>
  <c r="R1792" i="3"/>
  <c r="Q1792" i="3"/>
  <c r="P1792" i="3"/>
  <c r="O1792" i="3"/>
  <c r="N1792" i="3"/>
  <c r="M1792" i="3"/>
  <c r="L1792" i="3"/>
  <c r="V1791" i="3"/>
  <c r="U1791" i="3"/>
  <c r="T1791" i="3"/>
  <c r="S1791" i="3"/>
  <c r="R1791" i="3"/>
  <c r="P1791" i="3"/>
  <c r="O1791" i="3"/>
  <c r="N1791" i="3"/>
  <c r="Q1791" i="3" s="1"/>
  <c r="M1791" i="3"/>
  <c r="L1791" i="3"/>
  <c r="U1790" i="3"/>
  <c r="V1790" i="3" s="1"/>
  <c r="T1790" i="3"/>
  <c r="S1790" i="3"/>
  <c r="R1790" i="3"/>
  <c r="Q1790" i="3"/>
  <c r="P1790" i="3"/>
  <c r="O1790" i="3"/>
  <c r="N1790" i="3"/>
  <c r="M1790" i="3"/>
  <c r="L1790" i="3"/>
  <c r="U1789" i="3"/>
  <c r="T1789" i="3"/>
  <c r="S1789" i="3"/>
  <c r="R1789" i="3"/>
  <c r="P1789" i="3"/>
  <c r="O1789" i="3"/>
  <c r="N1789" i="3"/>
  <c r="Q1789" i="3" s="1"/>
  <c r="M1789" i="3"/>
  <c r="L1789" i="3"/>
  <c r="V1789" i="3" s="1"/>
  <c r="V1788" i="3"/>
  <c r="U1788" i="3"/>
  <c r="T1788" i="3"/>
  <c r="S1788" i="3"/>
  <c r="R1788" i="3"/>
  <c r="P1788" i="3"/>
  <c r="O1788" i="3"/>
  <c r="N1788" i="3"/>
  <c r="Q1788" i="3" s="1"/>
  <c r="M1788" i="3"/>
  <c r="L1788" i="3"/>
  <c r="V1787" i="3"/>
  <c r="U1787" i="3"/>
  <c r="T1787" i="3"/>
  <c r="S1787" i="3"/>
  <c r="R1787" i="3"/>
  <c r="P1787" i="3"/>
  <c r="O1787" i="3"/>
  <c r="N1787" i="3"/>
  <c r="Q1787" i="3" s="1"/>
  <c r="M1787" i="3"/>
  <c r="L1787" i="3"/>
  <c r="U1786" i="3"/>
  <c r="V1786" i="3" s="1"/>
  <c r="T1786" i="3"/>
  <c r="S1786" i="3"/>
  <c r="R1786" i="3"/>
  <c r="Q1786" i="3"/>
  <c r="P1786" i="3"/>
  <c r="O1786" i="3"/>
  <c r="N1786" i="3"/>
  <c r="M1786" i="3"/>
  <c r="L1786" i="3"/>
  <c r="U1785" i="3"/>
  <c r="T1785" i="3"/>
  <c r="S1785" i="3"/>
  <c r="R1785" i="3"/>
  <c r="P1785" i="3"/>
  <c r="O1785" i="3"/>
  <c r="N1785" i="3"/>
  <c r="Q1785" i="3" s="1"/>
  <c r="M1785" i="3"/>
  <c r="L1785" i="3"/>
  <c r="V1785" i="3" s="1"/>
  <c r="U1784" i="3"/>
  <c r="T1784" i="3"/>
  <c r="S1784" i="3"/>
  <c r="R1784" i="3"/>
  <c r="Q1784" i="3"/>
  <c r="P1784" i="3"/>
  <c r="O1784" i="3"/>
  <c r="N1784" i="3"/>
  <c r="M1784" i="3"/>
  <c r="L1784" i="3"/>
  <c r="U1783" i="3"/>
  <c r="V1783" i="3" s="1"/>
  <c r="T1783" i="3"/>
  <c r="S1783" i="3"/>
  <c r="R1783" i="3"/>
  <c r="P1783" i="3"/>
  <c r="O1783" i="3"/>
  <c r="N1783" i="3"/>
  <c r="Q1783" i="3" s="1"/>
  <c r="M1783" i="3"/>
  <c r="L1783" i="3"/>
  <c r="V1782" i="3"/>
  <c r="U1782" i="3"/>
  <c r="T1782" i="3"/>
  <c r="S1782" i="3"/>
  <c r="R1782" i="3"/>
  <c r="P1782" i="3"/>
  <c r="O1782" i="3"/>
  <c r="N1782" i="3"/>
  <c r="Q1782" i="3" s="1"/>
  <c r="M1782" i="3"/>
  <c r="L1782" i="3"/>
  <c r="V1781" i="3"/>
  <c r="U1781" i="3"/>
  <c r="T1781" i="3"/>
  <c r="S1781" i="3"/>
  <c r="R1781" i="3"/>
  <c r="P1781" i="3"/>
  <c r="O1781" i="3"/>
  <c r="N1781" i="3"/>
  <c r="Q1781" i="3" s="1"/>
  <c r="M1781" i="3"/>
  <c r="L1781" i="3"/>
  <c r="U1780" i="3"/>
  <c r="V1780" i="3" s="1"/>
  <c r="T1780" i="3"/>
  <c r="S1780" i="3"/>
  <c r="R1780" i="3"/>
  <c r="Q1780" i="3"/>
  <c r="P1780" i="3"/>
  <c r="O1780" i="3"/>
  <c r="N1780" i="3"/>
  <c r="M1780" i="3"/>
  <c r="L1780" i="3"/>
  <c r="U1779" i="3"/>
  <c r="T1779" i="3"/>
  <c r="S1779" i="3"/>
  <c r="R1779" i="3"/>
  <c r="P1779" i="3"/>
  <c r="O1779" i="3"/>
  <c r="N1779" i="3"/>
  <c r="Q1779" i="3" s="1"/>
  <c r="M1779" i="3"/>
  <c r="L1779" i="3"/>
  <c r="V1779" i="3" s="1"/>
  <c r="U1778" i="3"/>
  <c r="V1778" i="3" s="1"/>
  <c r="T1778" i="3"/>
  <c r="S1778" i="3"/>
  <c r="R1778" i="3"/>
  <c r="Q1778" i="3"/>
  <c r="P1778" i="3"/>
  <c r="O1778" i="3"/>
  <c r="N1778" i="3"/>
  <c r="M1778" i="3"/>
  <c r="L1778" i="3"/>
  <c r="U1777" i="3"/>
  <c r="V1777" i="3" s="1"/>
  <c r="T1777" i="3"/>
  <c r="S1777" i="3"/>
  <c r="R1777" i="3"/>
  <c r="P1777" i="3"/>
  <c r="O1777" i="3"/>
  <c r="N1777" i="3"/>
  <c r="Q1777" i="3" s="1"/>
  <c r="M1777" i="3"/>
  <c r="L1777" i="3"/>
  <c r="U1776" i="3"/>
  <c r="T1776" i="3"/>
  <c r="S1776" i="3"/>
  <c r="R1776" i="3"/>
  <c r="Q1776" i="3"/>
  <c r="P1776" i="3"/>
  <c r="O1776" i="3"/>
  <c r="N1776" i="3"/>
  <c r="M1776" i="3"/>
  <c r="L1776" i="3"/>
  <c r="U1775" i="3"/>
  <c r="V1775" i="3" s="1"/>
  <c r="T1775" i="3"/>
  <c r="S1775" i="3"/>
  <c r="R1775" i="3"/>
  <c r="P1775" i="3"/>
  <c r="O1775" i="3"/>
  <c r="N1775" i="3"/>
  <c r="Q1775" i="3" s="1"/>
  <c r="M1775" i="3"/>
  <c r="L1775" i="3"/>
  <c r="U1774" i="3"/>
  <c r="V1774" i="3" s="1"/>
  <c r="T1774" i="3"/>
  <c r="S1774" i="3"/>
  <c r="R1774" i="3"/>
  <c r="Q1774" i="3"/>
  <c r="P1774" i="3"/>
  <c r="O1774" i="3"/>
  <c r="N1774" i="3"/>
  <c r="M1774" i="3"/>
  <c r="L1774" i="3"/>
  <c r="U1773" i="3"/>
  <c r="T1773" i="3"/>
  <c r="S1773" i="3"/>
  <c r="R1773" i="3"/>
  <c r="P1773" i="3"/>
  <c r="O1773" i="3"/>
  <c r="N1773" i="3"/>
  <c r="Q1773" i="3" s="1"/>
  <c r="M1773" i="3"/>
  <c r="L1773" i="3"/>
  <c r="V1773" i="3" s="1"/>
  <c r="U1772" i="3"/>
  <c r="V1772" i="3" s="1"/>
  <c r="T1772" i="3"/>
  <c r="S1772" i="3"/>
  <c r="R1772" i="3"/>
  <c r="Q1772" i="3"/>
  <c r="P1772" i="3"/>
  <c r="O1772" i="3"/>
  <c r="N1772" i="3"/>
  <c r="M1772" i="3"/>
  <c r="L1772" i="3"/>
  <c r="U1771" i="3"/>
  <c r="T1771" i="3"/>
  <c r="S1771" i="3"/>
  <c r="R1771" i="3"/>
  <c r="P1771" i="3"/>
  <c r="O1771" i="3"/>
  <c r="N1771" i="3"/>
  <c r="Q1771" i="3" s="1"/>
  <c r="M1771" i="3"/>
  <c r="L1771" i="3"/>
  <c r="V1771" i="3" s="1"/>
  <c r="U1770" i="3"/>
  <c r="V1770" i="3" s="1"/>
  <c r="T1770" i="3"/>
  <c r="S1770" i="3"/>
  <c r="R1770" i="3"/>
  <c r="Q1770" i="3"/>
  <c r="P1770" i="3"/>
  <c r="O1770" i="3"/>
  <c r="N1770" i="3"/>
  <c r="M1770" i="3"/>
  <c r="L1770" i="3"/>
  <c r="U1769" i="3"/>
  <c r="T1769" i="3"/>
  <c r="S1769" i="3"/>
  <c r="R1769" i="3"/>
  <c r="P1769" i="3"/>
  <c r="O1769" i="3"/>
  <c r="N1769" i="3"/>
  <c r="Q1769" i="3" s="1"/>
  <c r="M1769" i="3"/>
  <c r="L1769" i="3"/>
  <c r="V1769" i="3" s="1"/>
  <c r="U1768" i="3"/>
  <c r="V1768" i="3" s="1"/>
  <c r="T1768" i="3"/>
  <c r="S1768" i="3"/>
  <c r="R1768" i="3"/>
  <c r="Q1768" i="3"/>
  <c r="P1768" i="3"/>
  <c r="O1768" i="3"/>
  <c r="N1768" i="3"/>
  <c r="M1768" i="3"/>
  <c r="L1768" i="3"/>
  <c r="U1767" i="3"/>
  <c r="T1767" i="3"/>
  <c r="S1767" i="3"/>
  <c r="R1767" i="3"/>
  <c r="P1767" i="3"/>
  <c r="O1767" i="3"/>
  <c r="N1767" i="3"/>
  <c r="Q1767" i="3" s="1"/>
  <c r="M1767" i="3"/>
  <c r="L1767" i="3"/>
  <c r="U1766" i="3"/>
  <c r="V1766" i="3" s="1"/>
  <c r="T1766" i="3"/>
  <c r="S1766" i="3"/>
  <c r="R1766" i="3"/>
  <c r="Q1766" i="3"/>
  <c r="P1766" i="3"/>
  <c r="O1766" i="3"/>
  <c r="N1766" i="3"/>
  <c r="M1766" i="3"/>
  <c r="L1766" i="3"/>
  <c r="U1765" i="3"/>
  <c r="V1765" i="3" s="1"/>
  <c r="T1765" i="3"/>
  <c r="S1765" i="3"/>
  <c r="R1765" i="3"/>
  <c r="P1765" i="3"/>
  <c r="O1765" i="3"/>
  <c r="N1765" i="3"/>
  <c r="Q1765" i="3" s="1"/>
  <c r="M1765" i="3"/>
  <c r="L1765" i="3"/>
  <c r="U1764" i="3"/>
  <c r="V1764" i="3" s="1"/>
  <c r="T1764" i="3"/>
  <c r="S1764" i="3"/>
  <c r="R1764" i="3"/>
  <c r="Q1764" i="3"/>
  <c r="P1764" i="3"/>
  <c r="O1764" i="3"/>
  <c r="N1764" i="3"/>
  <c r="M1764" i="3"/>
  <c r="L1764" i="3"/>
  <c r="U1763" i="3"/>
  <c r="T1763" i="3"/>
  <c r="S1763" i="3"/>
  <c r="R1763" i="3"/>
  <c r="P1763" i="3"/>
  <c r="O1763" i="3"/>
  <c r="N1763" i="3"/>
  <c r="Q1763" i="3" s="1"/>
  <c r="M1763" i="3"/>
  <c r="L1763" i="3"/>
  <c r="V1763" i="3" s="1"/>
  <c r="V1762" i="3"/>
  <c r="U1762" i="3"/>
  <c r="T1762" i="3"/>
  <c r="S1762" i="3"/>
  <c r="R1762" i="3"/>
  <c r="P1762" i="3"/>
  <c r="O1762" i="3"/>
  <c r="N1762" i="3"/>
  <c r="Q1762" i="3" s="1"/>
  <c r="M1762" i="3"/>
  <c r="L1762" i="3"/>
  <c r="V1761" i="3"/>
  <c r="U1761" i="3"/>
  <c r="T1761" i="3"/>
  <c r="S1761" i="3"/>
  <c r="R1761" i="3"/>
  <c r="P1761" i="3"/>
  <c r="O1761" i="3"/>
  <c r="N1761" i="3"/>
  <c r="Q1761" i="3" s="1"/>
  <c r="M1761" i="3"/>
  <c r="L1761" i="3"/>
  <c r="U1760" i="3"/>
  <c r="T1760" i="3"/>
  <c r="S1760" i="3"/>
  <c r="R1760" i="3"/>
  <c r="Q1760" i="3"/>
  <c r="P1760" i="3"/>
  <c r="O1760" i="3"/>
  <c r="N1760" i="3"/>
  <c r="M1760" i="3"/>
  <c r="L1760" i="3"/>
  <c r="V1759" i="3"/>
  <c r="U1759" i="3"/>
  <c r="T1759" i="3"/>
  <c r="S1759" i="3"/>
  <c r="R1759" i="3"/>
  <c r="P1759" i="3"/>
  <c r="O1759" i="3"/>
  <c r="N1759" i="3"/>
  <c r="Q1759" i="3" s="1"/>
  <c r="M1759" i="3"/>
  <c r="L1759" i="3"/>
  <c r="U1758" i="3"/>
  <c r="V1758" i="3" s="1"/>
  <c r="T1758" i="3"/>
  <c r="S1758" i="3"/>
  <c r="R1758" i="3"/>
  <c r="Q1758" i="3"/>
  <c r="P1758" i="3"/>
  <c r="O1758" i="3"/>
  <c r="N1758" i="3"/>
  <c r="M1758" i="3"/>
  <c r="L1758" i="3"/>
  <c r="U1757" i="3"/>
  <c r="T1757" i="3"/>
  <c r="S1757" i="3"/>
  <c r="R1757" i="3"/>
  <c r="Q1757" i="3"/>
  <c r="P1757" i="3"/>
  <c r="O1757" i="3"/>
  <c r="N1757" i="3"/>
  <c r="M1757" i="3"/>
  <c r="L1757" i="3"/>
  <c r="V1757" i="3" s="1"/>
  <c r="U1756" i="3"/>
  <c r="V1756" i="3" s="1"/>
  <c r="T1756" i="3"/>
  <c r="S1756" i="3"/>
  <c r="R1756" i="3"/>
  <c r="P1756" i="3"/>
  <c r="O1756" i="3"/>
  <c r="N1756" i="3"/>
  <c r="Q1756" i="3" s="1"/>
  <c r="M1756" i="3"/>
  <c r="L1756" i="3"/>
  <c r="V1755" i="3"/>
  <c r="U1755" i="3"/>
  <c r="T1755" i="3"/>
  <c r="S1755" i="3"/>
  <c r="R1755" i="3"/>
  <c r="P1755" i="3"/>
  <c r="O1755" i="3"/>
  <c r="N1755" i="3"/>
  <c r="Q1755" i="3" s="1"/>
  <c r="M1755" i="3"/>
  <c r="L1755" i="3"/>
  <c r="U1754" i="3"/>
  <c r="V1754" i="3" s="1"/>
  <c r="T1754" i="3"/>
  <c r="S1754" i="3"/>
  <c r="R1754" i="3"/>
  <c r="Q1754" i="3"/>
  <c r="P1754" i="3"/>
  <c r="O1754" i="3"/>
  <c r="N1754" i="3"/>
  <c r="M1754" i="3"/>
  <c r="L1754" i="3"/>
  <c r="U1753" i="3"/>
  <c r="T1753" i="3"/>
  <c r="S1753" i="3"/>
  <c r="R1753" i="3"/>
  <c r="P1753" i="3"/>
  <c r="O1753" i="3"/>
  <c r="N1753" i="3"/>
  <c r="Q1753" i="3" s="1"/>
  <c r="M1753" i="3"/>
  <c r="L1753" i="3"/>
  <c r="V1753" i="3" s="1"/>
  <c r="U1752" i="3"/>
  <c r="T1752" i="3"/>
  <c r="S1752" i="3"/>
  <c r="R1752" i="3"/>
  <c r="P1752" i="3"/>
  <c r="O1752" i="3"/>
  <c r="N1752" i="3"/>
  <c r="Q1752" i="3" s="1"/>
  <c r="M1752" i="3"/>
  <c r="L1752" i="3"/>
  <c r="U1751" i="3"/>
  <c r="V1751" i="3" s="1"/>
  <c r="T1751" i="3"/>
  <c r="S1751" i="3"/>
  <c r="R1751" i="3"/>
  <c r="Q1751" i="3"/>
  <c r="P1751" i="3"/>
  <c r="O1751" i="3"/>
  <c r="N1751" i="3"/>
  <c r="M1751" i="3"/>
  <c r="L1751" i="3"/>
  <c r="U1750" i="3"/>
  <c r="T1750" i="3"/>
  <c r="S1750" i="3"/>
  <c r="R1750" i="3"/>
  <c r="P1750" i="3"/>
  <c r="O1750" i="3"/>
  <c r="N1750" i="3"/>
  <c r="Q1750" i="3" s="1"/>
  <c r="M1750" i="3"/>
  <c r="L1750" i="3"/>
  <c r="V1750" i="3" s="1"/>
  <c r="U1749" i="3"/>
  <c r="V1749" i="3" s="1"/>
  <c r="T1749" i="3"/>
  <c r="S1749" i="3"/>
  <c r="R1749" i="3"/>
  <c r="Q1749" i="3"/>
  <c r="P1749" i="3"/>
  <c r="O1749" i="3"/>
  <c r="N1749" i="3"/>
  <c r="M1749" i="3"/>
  <c r="L1749" i="3"/>
  <c r="U1748" i="3"/>
  <c r="V1748" i="3" s="1"/>
  <c r="T1748" i="3"/>
  <c r="S1748" i="3"/>
  <c r="R1748" i="3"/>
  <c r="P1748" i="3"/>
  <c r="O1748" i="3"/>
  <c r="N1748" i="3"/>
  <c r="Q1748" i="3" s="1"/>
  <c r="M1748" i="3"/>
  <c r="L1748" i="3"/>
  <c r="U1747" i="3"/>
  <c r="V1747" i="3" s="1"/>
  <c r="T1747" i="3"/>
  <c r="S1747" i="3"/>
  <c r="R1747" i="3"/>
  <c r="Q1747" i="3"/>
  <c r="P1747" i="3"/>
  <c r="O1747" i="3"/>
  <c r="N1747" i="3"/>
  <c r="M1747" i="3"/>
  <c r="L1747" i="3"/>
  <c r="U1746" i="3"/>
  <c r="T1746" i="3"/>
  <c r="S1746" i="3"/>
  <c r="R1746" i="3"/>
  <c r="Q1746" i="3"/>
  <c r="P1746" i="3"/>
  <c r="O1746" i="3"/>
  <c r="N1746" i="3"/>
  <c r="M1746" i="3"/>
  <c r="L1746" i="3"/>
  <c r="V1746" i="3" s="1"/>
  <c r="V1745" i="3"/>
  <c r="U1745" i="3"/>
  <c r="T1745" i="3"/>
  <c r="S1745" i="3"/>
  <c r="R1745" i="3"/>
  <c r="P1745" i="3"/>
  <c r="O1745" i="3"/>
  <c r="N1745" i="3"/>
  <c r="Q1745" i="3" s="1"/>
  <c r="M1745" i="3"/>
  <c r="L1745" i="3"/>
  <c r="V1744" i="3"/>
  <c r="U1744" i="3"/>
  <c r="T1744" i="3"/>
  <c r="S1744" i="3"/>
  <c r="R1744" i="3"/>
  <c r="P1744" i="3"/>
  <c r="O1744" i="3"/>
  <c r="N1744" i="3"/>
  <c r="Q1744" i="3" s="1"/>
  <c r="M1744" i="3"/>
  <c r="L1744" i="3"/>
  <c r="U1743" i="3"/>
  <c r="V1743" i="3" s="1"/>
  <c r="T1743" i="3"/>
  <c r="S1743" i="3"/>
  <c r="R1743" i="3"/>
  <c r="Q1743" i="3"/>
  <c r="P1743" i="3"/>
  <c r="O1743" i="3"/>
  <c r="N1743" i="3"/>
  <c r="M1743" i="3"/>
  <c r="L1743" i="3"/>
  <c r="U1742" i="3"/>
  <c r="T1742" i="3"/>
  <c r="S1742" i="3"/>
  <c r="R1742" i="3"/>
  <c r="P1742" i="3"/>
  <c r="O1742" i="3"/>
  <c r="N1742" i="3"/>
  <c r="Q1742" i="3" s="1"/>
  <c r="M1742" i="3"/>
  <c r="L1742" i="3"/>
  <c r="V1742" i="3" s="1"/>
  <c r="U1741" i="3"/>
  <c r="V1741" i="3" s="1"/>
  <c r="T1741" i="3"/>
  <c r="S1741" i="3"/>
  <c r="R1741" i="3"/>
  <c r="Q1741" i="3"/>
  <c r="P1741" i="3"/>
  <c r="O1741" i="3"/>
  <c r="N1741" i="3"/>
  <c r="M1741" i="3"/>
  <c r="L1741" i="3"/>
  <c r="U1740" i="3"/>
  <c r="V1740" i="3" s="1"/>
  <c r="T1740" i="3"/>
  <c r="S1740" i="3"/>
  <c r="R1740" i="3"/>
  <c r="P1740" i="3"/>
  <c r="O1740" i="3"/>
  <c r="N1740" i="3"/>
  <c r="Q1740" i="3" s="1"/>
  <c r="M1740" i="3"/>
  <c r="L1740" i="3"/>
  <c r="U1739" i="3"/>
  <c r="V1739" i="3" s="1"/>
  <c r="T1739" i="3"/>
  <c r="S1739" i="3"/>
  <c r="R1739" i="3"/>
  <c r="Q1739" i="3"/>
  <c r="P1739" i="3"/>
  <c r="O1739" i="3"/>
  <c r="N1739" i="3"/>
  <c r="M1739" i="3"/>
  <c r="L1739" i="3"/>
  <c r="U1738" i="3"/>
  <c r="T1738" i="3"/>
  <c r="S1738" i="3"/>
  <c r="R1738" i="3"/>
  <c r="Q1738" i="3"/>
  <c r="P1738" i="3"/>
  <c r="O1738" i="3"/>
  <c r="N1738" i="3"/>
  <c r="M1738" i="3"/>
  <c r="L1738" i="3"/>
  <c r="V1738" i="3" s="1"/>
  <c r="V1737" i="3"/>
  <c r="U1737" i="3"/>
  <c r="T1737" i="3"/>
  <c r="S1737" i="3"/>
  <c r="R1737" i="3"/>
  <c r="P1737" i="3"/>
  <c r="O1737" i="3"/>
  <c r="N1737" i="3"/>
  <c r="Q1737" i="3" s="1"/>
  <c r="M1737" i="3"/>
  <c r="L1737" i="3"/>
  <c r="V1736" i="3"/>
  <c r="U1736" i="3"/>
  <c r="T1736" i="3"/>
  <c r="S1736" i="3"/>
  <c r="R1736" i="3"/>
  <c r="P1736" i="3"/>
  <c r="O1736" i="3"/>
  <c r="N1736" i="3"/>
  <c r="Q1736" i="3" s="1"/>
  <c r="M1736" i="3"/>
  <c r="L1736" i="3"/>
  <c r="U1735" i="3"/>
  <c r="V1735" i="3" s="1"/>
  <c r="T1735" i="3"/>
  <c r="S1735" i="3"/>
  <c r="R1735" i="3"/>
  <c r="Q1735" i="3"/>
  <c r="P1735" i="3"/>
  <c r="O1735" i="3"/>
  <c r="N1735" i="3"/>
  <c r="M1735" i="3"/>
  <c r="L1735" i="3"/>
  <c r="U1734" i="3"/>
  <c r="T1734" i="3"/>
  <c r="S1734" i="3"/>
  <c r="R1734" i="3"/>
  <c r="P1734" i="3"/>
  <c r="O1734" i="3"/>
  <c r="N1734" i="3"/>
  <c r="Q1734" i="3" s="1"/>
  <c r="M1734" i="3"/>
  <c r="L1734" i="3"/>
  <c r="V1734" i="3" s="1"/>
  <c r="U1733" i="3"/>
  <c r="V1733" i="3" s="1"/>
  <c r="T1733" i="3"/>
  <c r="S1733" i="3"/>
  <c r="R1733" i="3"/>
  <c r="Q1733" i="3"/>
  <c r="P1733" i="3"/>
  <c r="O1733" i="3"/>
  <c r="N1733" i="3"/>
  <c r="M1733" i="3"/>
  <c r="L1733" i="3"/>
  <c r="U1732" i="3"/>
  <c r="V1732" i="3" s="1"/>
  <c r="T1732" i="3"/>
  <c r="S1732" i="3"/>
  <c r="R1732" i="3"/>
  <c r="P1732" i="3"/>
  <c r="O1732" i="3"/>
  <c r="N1732" i="3"/>
  <c r="Q1732" i="3" s="1"/>
  <c r="M1732" i="3"/>
  <c r="L1732" i="3"/>
  <c r="U1731" i="3"/>
  <c r="V1731" i="3" s="1"/>
  <c r="T1731" i="3"/>
  <c r="S1731" i="3"/>
  <c r="R1731" i="3"/>
  <c r="Q1731" i="3"/>
  <c r="P1731" i="3"/>
  <c r="O1731" i="3"/>
  <c r="N1731" i="3"/>
  <c r="M1731" i="3"/>
  <c r="L1731" i="3"/>
  <c r="U1730" i="3"/>
  <c r="T1730" i="3"/>
  <c r="S1730" i="3"/>
  <c r="R1730" i="3"/>
  <c r="Q1730" i="3"/>
  <c r="P1730" i="3"/>
  <c r="O1730" i="3"/>
  <c r="N1730" i="3"/>
  <c r="M1730" i="3"/>
  <c r="L1730" i="3"/>
  <c r="V1730" i="3" s="1"/>
  <c r="U1729" i="3"/>
  <c r="V1729" i="3" s="1"/>
  <c r="T1729" i="3"/>
  <c r="S1729" i="3"/>
  <c r="R1729" i="3"/>
  <c r="P1729" i="3"/>
  <c r="O1729" i="3"/>
  <c r="N1729" i="3"/>
  <c r="Q1729" i="3" s="1"/>
  <c r="M1729" i="3"/>
  <c r="L1729" i="3"/>
  <c r="V1728" i="3"/>
  <c r="U1728" i="3"/>
  <c r="T1728" i="3"/>
  <c r="S1728" i="3"/>
  <c r="R1728" i="3"/>
  <c r="P1728" i="3"/>
  <c r="O1728" i="3"/>
  <c r="N1728" i="3"/>
  <c r="Q1728" i="3" s="1"/>
  <c r="M1728" i="3"/>
  <c r="L1728" i="3"/>
  <c r="U1727" i="3"/>
  <c r="V1727" i="3" s="1"/>
  <c r="T1727" i="3"/>
  <c r="S1727" i="3"/>
  <c r="R1727" i="3"/>
  <c r="Q1727" i="3"/>
  <c r="P1727" i="3"/>
  <c r="O1727" i="3"/>
  <c r="N1727" i="3"/>
  <c r="M1727" i="3"/>
  <c r="L1727" i="3"/>
  <c r="U1726" i="3"/>
  <c r="T1726" i="3"/>
  <c r="S1726" i="3"/>
  <c r="R1726" i="3"/>
  <c r="P1726" i="3"/>
  <c r="O1726" i="3"/>
  <c r="N1726" i="3"/>
  <c r="Q1726" i="3" s="1"/>
  <c r="M1726" i="3"/>
  <c r="L1726" i="3"/>
  <c r="V1726" i="3" s="1"/>
  <c r="U1725" i="3"/>
  <c r="V1725" i="3" s="1"/>
  <c r="T1725" i="3"/>
  <c r="S1725" i="3"/>
  <c r="R1725" i="3"/>
  <c r="Q1725" i="3"/>
  <c r="P1725" i="3"/>
  <c r="O1725" i="3"/>
  <c r="N1725" i="3"/>
  <c r="M1725" i="3"/>
  <c r="L1725" i="3"/>
  <c r="U1724" i="3"/>
  <c r="V1724" i="3" s="1"/>
  <c r="T1724" i="3"/>
  <c r="S1724" i="3"/>
  <c r="R1724" i="3"/>
  <c r="P1724" i="3"/>
  <c r="O1724" i="3"/>
  <c r="N1724" i="3"/>
  <c r="Q1724" i="3" s="1"/>
  <c r="M1724" i="3"/>
  <c r="L1724" i="3"/>
  <c r="U1723" i="3"/>
  <c r="V1723" i="3" s="1"/>
  <c r="T1723" i="3"/>
  <c r="S1723" i="3"/>
  <c r="R1723" i="3"/>
  <c r="Q1723" i="3"/>
  <c r="P1723" i="3"/>
  <c r="O1723" i="3"/>
  <c r="N1723" i="3"/>
  <c r="M1723" i="3"/>
  <c r="L1723" i="3"/>
  <c r="U1722" i="3"/>
  <c r="V1722" i="3" s="1"/>
  <c r="T1722" i="3"/>
  <c r="S1722" i="3"/>
  <c r="R1722" i="3"/>
  <c r="Q1722" i="3"/>
  <c r="P1722" i="3"/>
  <c r="O1722" i="3"/>
  <c r="N1722" i="3"/>
  <c r="M1722" i="3"/>
  <c r="L1722" i="3"/>
  <c r="V1721" i="3"/>
  <c r="U1721" i="3"/>
  <c r="T1721" i="3"/>
  <c r="S1721" i="3"/>
  <c r="R1721" i="3"/>
  <c r="P1721" i="3"/>
  <c r="O1721" i="3"/>
  <c r="N1721" i="3"/>
  <c r="Q1721" i="3" s="1"/>
  <c r="M1721" i="3"/>
  <c r="L1721" i="3"/>
  <c r="V1720" i="3"/>
  <c r="U1720" i="3"/>
  <c r="T1720" i="3"/>
  <c r="S1720" i="3"/>
  <c r="R1720" i="3"/>
  <c r="P1720" i="3"/>
  <c r="O1720" i="3"/>
  <c r="N1720" i="3"/>
  <c r="Q1720" i="3" s="1"/>
  <c r="M1720" i="3"/>
  <c r="L1720" i="3"/>
  <c r="U1719" i="3"/>
  <c r="V1719" i="3" s="1"/>
  <c r="T1719" i="3"/>
  <c r="S1719" i="3"/>
  <c r="R1719" i="3"/>
  <c r="Q1719" i="3"/>
  <c r="P1719" i="3"/>
  <c r="O1719" i="3"/>
  <c r="N1719" i="3"/>
  <c r="M1719" i="3"/>
  <c r="L1719" i="3"/>
  <c r="U1718" i="3"/>
  <c r="T1718" i="3"/>
  <c r="S1718" i="3"/>
  <c r="R1718" i="3"/>
  <c r="P1718" i="3"/>
  <c r="O1718" i="3"/>
  <c r="N1718" i="3"/>
  <c r="Q1718" i="3" s="1"/>
  <c r="M1718" i="3"/>
  <c r="L1718" i="3"/>
  <c r="V1718" i="3" s="1"/>
  <c r="U1717" i="3"/>
  <c r="V1717" i="3" s="1"/>
  <c r="T1717" i="3"/>
  <c r="S1717" i="3"/>
  <c r="R1717" i="3"/>
  <c r="Q1717" i="3"/>
  <c r="P1717" i="3"/>
  <c r="O1717" i="3"/>
  <c r="N1717" i="3"/>
  <c r="M1717" i="3"/>
  <c r="L1717" i="3"/>
  <c r="U1716" i="3"/>
  <c r="V1716" i="3" s="1"/>
  <c r="T1716" i="3"/>
  <c r="S1716" i="3"/>
  <c r="R1716" i="3"/>
  <c r="P1716" i="3"/>
  <c r="O1716" i="3"/>
  <c r="N1716" i="3"/>
  <c r="Q1716" i="3" s="1"/>
  <c r="M1716" i="3"/>
  <c r="L1716" i="3"/>
  <c r="U1715" i="3"/>
  <c r="V1715" i="3" s="1"/>
  <c r="T1715" i="3"/>
  <c r="S1715" i="3"/>
  <c r="R1715" i="3"/>
  <c r="Q1715" i="3"/>
  <c r="P1715" i="3"/>
  <c r="O1715" i="3"/>
  <c r="N1715" i="3"/>
  <c r="M1715" i="3"/>
  <c r="L1715" i="3"/>
  <c r="U1714" i="3"/>
  <c r="V1714" i="3" s="1"/>
  <c r="T1714" i="3"/>
  <c r="S1714" i="3"/>
  <c r="R1714" i="3"/>
  <c r="Q1714" i="3"/>
  <c r="P1714" i="3"/>
  <c r="O1714" i="3"/>
  <c r="N1714" i="3"/>
  <c r="M1714" i="3"/>
  <c r="L1714" i="3"/>
  <c r="V1713" i="3"/>
  <c r="U1713" i="3"/>
  <c r="T1713" i="3"/>
  <c r="S1713" i="3"/>
  <c r="R1713" i="3"/>
  <c r="P1713" i="3"/>
  <c r="O1713" i="3"/>
  <c r="N1713" i="3"/>
  <c r="Q1713" i="3" s="1"/>
  <c r="M1713" i="3"/>
  <c r="L1713" i="3"/>
  <c r="V1712" i="3"/>
  <c r="U1712" i="3"/>
  <c r="T1712" i="3"/>
  <c r="S1712" i="3"/>
  <c r="R1712" i="3"/>
  <c r="P1712" i="3"/>
  <c r="O1712" i="3"/>
  <c r="N1712" i="3"/>
  <c r="Q1712" i="3" s="1"/>
  <c r="M1712" i="3"/>
  <c r="L1712" i="3"/>
  <c r="U1711" i="3"/>
  <c r="V1711" i="3" s="1"/>
  <c r="T1711" i="3"/>
  <c r="S1711" i="3"/>
  <c r="R1711" i="3"/>
  <c r="Q1711" i="3"/>
  <c r="P1711" i="3"/>
  <c r="O1711" i="3"/>
  <c r="N1711" i="3"/>
  <c r="M1711" i="3"/>
  <c r="L1711" i="3"/>
  <c r="U1710" i="3"/>
  <c r="T1710" i="3"/>
  <c r="S1710" i="3"/>
  <c r="R1710" i="3"/>
  <c r="P1710" i="3"/>
  <c r="O1710" i="3"/>
  <c r="N1710" i="3"/>
  <c r="Q1710" i="3" s="1"/>
  <c r="M1710" i="3"/>
  <c r="L1710" i="3"/>
  <c r="V1710" i="3" s="1"/>
  <c r="U1709" i="3"/>
  <c r="V1709" i="3" s="1"/>
  <c r="T1709" i="3"/>
  <c r="S1709" i="3"/>
  <c r="R1709" i="3"/>
  <c r="Q1709" i="3"/>
  <c r="P1709" i="3"/>
  <c r="O1709" i="3"/>
  <c r="N1709" i="3"/>
  <c r="M1709" i="3"/>
  <c r="L1709" i="3"/>
  <c r="U1708" i="3"/>
  <c r="V1708" i="3" s="1"/>
  <c r="T1708" i="3"/>
  <c r="S1708" i="3"/>
  <c r="R1708" i="3"/>
  <c r="P1708" i="3"/>
  <c r="O1708" i="3"/>
  <c r="N1708" i="3"/>
  <c r="Q1708" i="3" s="1"/>
  <c r="M1708" i="3"/>
  <c r="L1708" i="3"/>
  <c r="U1707" i="3"/>
  <c r="V1707" i="3" s="1"/>
  <c r="T1707" i="3"/>
  <c r="S1707" i="3"/>
  <c r="R1707" i="3"/>
  <c r="Q1707" i="3"/>
  <c r="P1707" i="3"/>
  <c r="O1707" i="3"/>
  <c r="N1707" i="3"/>
  <c r="M1707" i="3"/>
  <c r="L1707" i="3"/>
  <c r="U1706" i="3"/>
  <c r="V1706" i="3" s="1"/>
  <c r="T1706" i="3"/>
  <c r="S1706" i="3"/>
  <c r="R1706" i="3"/>
  <c r="Q1706" i="3"/>
  <c r="P1706" i="3"/>
  <c r="O1706" i="3"/>
  <c r="N1706" i="3"/>
  <c r="M1706" i="3"/>
  <c r="L1706" i="3"/>
  <c r="V1705" i="3"/>
  <c r="U1705" i="3"/>
  <c r="T1705" i="3"/>
  <c r="S1705" i="3"/>
  <c r="R1705" i="3"/>
  <c r="P1705" i="3"/>
  <c r="O1705" i="3"/>
  <c r="N1705" i="3"/>
  <c r="Q1705" i="3" s="1"/>
  <c r="M1705" i="3"/>
  <c r="L1705" i="3"/>
  <c r="V1704" i="3"/>
  <c r="U1704" i="3"/>
  <c r="T1704" i="3"/>
  <c r="S1704" i="3"/>
  <c r="R1704" i="3"/>
  <c r="P1704" i="3"/>
  <c r="O1704" i="3"/>
  <c r="N1704" i="3"/>
  <c r="Q1704" i="3" s="1"/>
  <c r="M1704" i="3"/>
  <c r="L1704" i="3"/>
  <c r="U1703" i="3"/>
  <c r="V1703" i="3" s="1"/>
  <c r="T1703" i="3"/>
  <c r="S1703" i="3"/>
  <c r="R1703" i="3"/>
  <c r="Q1703" i="3"/>
  <c r="P1703" i="3"/>
  <c r="O1703" i="3"/>
  <c r="N1703" i="3"/>
  <c r="M1703" i="3"/>
  <c r="L1703" i="3"/>
  <c r="U1702" i="3"/>
  <c r="T1702" i="3"/>
  <c r="S1702" i="3"/>
  <c r="R1702" i="3"/>
  <c r="P1702" i="3"/>
  <c r="O1702" i="3"/>
  <c r="N1702" i="3"/>
  <c r="Q1702" i="3" s="1"/>
  <c r="M1702" i="3"/>
  <c r="L1702" i="3"/>
  <c r="V1702" i="3" s="1"/>
  <c r="U1701" i="3"/>
  <c r="V1701" i="3" s="1"/>
  <c r="T1701" i="3"/>
  <c r="S1701" i="3"/>
  <c r="R1701" i="3"/>
  <c r="Q1701" i="3"/>
  <c r="P1701" i="3"/>
  <c r="O1701" i="3"/>
  <c r="N1701" i="3"/>
  <c r="M1701" i="3"/>
  <c r="L1701" i="3"/>
  <c r="U1700" i="3"/>
  <c r="V1700" i="3" s="1"/>
  <c r="T1700" i="3"/>
  <c r="S1700" i="3"/>
  <c r="R1700" i="3"/>
  <c r="P1700" i="3"/>
  <c r="O1700" i="3"/>
  <c r="N1700" i="3"/>
  <c r="Q1700" i="3" s="1"/>
  <c r="M1700" i="3"/>
  <c r="L1700" i="3"/>
  <c r="U1699" i="3"/>
  <c r="V1699" i="3" s="1"/>
  <c r="T1699" i="3"/>
  <c r="S1699" i="3"/>
  <c r="R1699" i="3"/>
  <c r="Q1699" i="3"/>
  <c r="P1699" i="3"/>
  <c r="O1699" i="3"/>
  <c r="N1699" i="3"/>
  <c r="M1699" i="3"/>
  <c r="L1699" i="3"/>
  <c r="U1698" i="3"/>
  <c r="V1698" i="3" s="1"/>
  <c r="T1698" i="3"/>
  <c r="S1698" i="3"/>
  <c r="R1698" i="3"/>
  <c r="Q1698" i="3"/>
  <c r="P1698" i="3"/>
  <c r="O1698" i="3"/>
  <c r="N1698" i="3"/>
  <c r="M1698" i="3"/>
  <c r="L1698" i="3"/>
  <c r="U1697" i="3"/>
  <c r="V1697" i="3" s="1"/>
  <c r="T1697" i="3"/>
  <c r="S1697" i="3"/>
  <c r="R1697" i="3"/>
  <c r="P1697" i="3"/>
  <c r="O1697" i="3"/>
  <c r="N1697" i="3"/>
  <c r="Q1697" i="3" s="1"/>
  <c r="M1697" i="3"/>
  <c r="L1697" i="3"/>
  <c r="V1696" i="3"/>
  <c r="U1696" i="3"/>
  <c r="T1696" i="3"/>
  <c r="S1696" i="3"/>
  <c r="R1696" i="3"/>
  <c r="P1696" i="3"/>
  <c r="O1696" i="3"/>
  <c r="N1696" i="3"/>
  <c r="Q1696" i="3" s="1"/>
  <c r="M1696" i="3"/>
  <c r="L1696" i="3"/>
  <c r="U1695" i="3"/>
  <c r="V1695" i="3" s="1"/>
  <c r="T1695" i="3"/>
  <c r="S1695" i="3"/>
  <c r="R1695" i="3"/>
  <c r="Q1695" i="3"/>
  <c r="P1695" i="3"/>
  <c r="O1695" i="3"/>
  <c r="N1695" i="3"/>
  <c r="M1695" i="3"/>
  <c r="L1695" i="3"/>
  <c r="U1694" i="3"/>
  <c r="T1694" i="3"/>
  <c r="S1694" i="3"/>
  <c r="R1694" i="3"/>
  <c r="P1694" i="3"/>
  <c r="O1694" i="3"/>
  <c r="N1694" i="3"/>
  <c r="Q1694" i="3" s="1"/>
  <c r="M1694" i="3"/>
  <c r="L1694" i="3"/>
  <c r="V1694" i="3" s="1"/>
  <c r="U1693" i="3"/>
  <c r="V1693" i="3" s="1"/>
  <c r="T1693" i="3"/>
  <c r="S1693" i="3"/>
  <c r="R1693" i="3"/>
  <c r="Q1693" i="3"/>
  <c r="P1693" i="3"/>
  <c r="O1693" i="3"/>
  <c r="N1693" i="3"/>
  <c r="M1693" i="3"/>
  <c r="L1693" i="3"/>
  <c r="U1692" i="3"/>
  <c r="V1692" i="3" s="1"/>
  <c r="T1692" i="3"/>
  <c r="S1692" i="3"/>
  <c r="R1692" i="3"/>
  <c r="P1692" i="3"/>
  <c r="O1692" i="3"/>
  <c r="N1692" i="3"/>
  <c r="Q1692" i="3" s="1"/>
  <c r="M1692" i="3"/>
  <c r="L1692" i="3"/>
  <c r="U1691" i="3"/>
  <c r="V1691" i="3" s="1"/>
  <c r="T1691" i="3"/>
  <c r="S1691" i="3"/>
  <c r="R1691" i="3"/>
  <c r="Q1691" i="3"/>
  <c r="P1691" i="3"/>
  <c r="O1691" i="3"/>
  <c r="N1691" i="3"/>
  <c r="M1691" i="3"/>
  <c r="L1691" i="3"/>
  <c r="U1690" i="3"/>
  <c r="V1690" i="3" s="1"/>
  <c r="T1690" i="3"/>
  <c r="S1690" i="3"/>
  <c r="R1690" i="3"/>
  <c r="Q1690" i="3"/>
  <c r="P1690" i="3"/>
  <c r="O1690" i="3"/>
  <c r="N1690" i="3"/>
  <c r="M1690" i="3"/>
  <c r="L1690" i="3"/>
  <c r="V1689" i="3"/>
  <c r="U1689" i="3"/>
  <c r="T1689" i="3"/>
  <c r="S1689" i="3"/>
  <c r="R1689" i="3"/>
  <c r="P1689" i="3"/>
  <c r="O1689" i="3"/>
  <c r="N1689" i="3"/>
  <c r="Q1689" i="3" s="1"/>
  <c r="M1689" i="3"/>
  <c r="L1689" i="3"/>
  <c r="V1688" i="3"/>
  <c r="U1688" i="3"/>
  <c r="T1688" i="3"/>
  <c r="S1688" i="3"/>
  <c r="R1688" i="3"/>
  <c r="P1688" i="3"/>
  <c r="O1688" i="3"/>
  <c r="N1688" i="3"/>
  <c r="Q1688" i="3" s="1"/>
  <c r="M1688" i="3"/>
  <c r="L1688" i="3"/>
  <c r="U1687" i="3"/>
  <c r="V1687" i="3" s="1"/>
  <c r="T1687" i="3"/>
  <c r="S1687" i="3"/>
  <c r="R1687" i="3"/>
  <c r="Q1687" i="3"/>
  <c r="P1687" i="3"/>
  <c r="O1687" i="3"/>
  <c r="N1687" i="3"/>
  <c r="M1687" i="3"/>
  <c r="L1687" i="3"/>
  <c r="U1686" i="3"/>
  <c r="T1686" i="3"/>
  <c r="S1686" i="3"/>
  <c r="R1686" i="3"/>
  <c r="P1686" i="3"/>
  <c r="O1686" i="3"/>
  <c r="N1686" i="3"/>
  <c r="Q1686" i="3" s="1"/>
  <c r="M1686" i="3"/>
  <c r="L1686" i="3"/>
  <c r="V1686" i="3" s="1"/>
  <c r="U1685" i="3"/>
  <c r="V1685" i="3" s="1"/>
  <c r="T1685" i="3"/>
  <c r="S1685" i="3"/>
  <c r="R1685" i="3"/>
  <c r="Q1685" i="3"/>
  <c r="P1685" i="3"/>
  <c r="O1685" i="3"/>
  <c r="N1685" i="3"/>
  <c r="M1685" i="3"/>
  <c r="L1685" i="3"/>
  <c r="U1684" i="3"/>
  <c r="V1684" i="3" s="1"/>
  <c r="T1684" i="3"/>
  <c r="S1684" i="3"/>
  <c r="R1684" i="3"/>
  <c r="P1684" i="3"/>
  <c r="O1684" i="3"/>
  <c r="N1684" i="3"/>
  <c r="Q1684" i="3" s="1"/>
  <c r="M1684" i="3"/>
  <c r="L1684" i="3"/>
  <c r="U1683" i="3"/>
  <c r="V1683" i="3" s="1"/>
  <c r="T1683" i="3"/>
  <c r="S1683" i="3"/>
  <c r="R1683" i="3"/>
  <c r="Q1683" i="3"/>
  <c r="P1683" i="3"/>
  <c r="O1683" i="3"/>
  <c r="N1683" i="3"/>
  <c r="M1683" i="3"/>
  <c r="L1683" i="3"/>
  <c r="U1682" i="3"/>
  <c r="V1682" i="3" s="1"/>
  <c r="T1682" i="3"/>
  <c r="S1682" i="3"/>
  <c r="R1682" i="3"/>
  <c r="Q1682" i="3"/>
  <c r="P1682" i="3"/>
  <c r="O1682" i="3"/>
  <c r="N1682" i="3"/>
  <c r="M1682" i="3"/>
  <c r="L1682" i="3"/>
  <c r="U1681" i="3"/>
  <c r="V1681" i="3" s="1"/>
  <c r="T1681" i="3"/>
  <c r="S1681" i="3"/>
  <c r="R1681" i="3"/>
  <c r="P1681" i="3"/>
  <c r="O1681" i="3"/>
  <c r="N1681" i="3"/>
  <c r="Q1681" i="3" s="1"/>
  <c r="M1681" i="3"/>
  <c r="L1681" i="3"/>
  <c r="V1680" i="3"/>
  <c r="U1680" i="3"/>
  <c r="T1680" i="3"/>
  <c r="S1680" i="3"/>
  <c r="R1680" i="3"/>
  <c r="P1680" i="3"/>
  <c r="O1680" i="3"/>
  <c r="N1680" i="3"/>
  <c r="Q1680" i="3" s="1"/>
  <c r="M1680" i="3"/>
  <c r="L1680" i="3"/>
  <c r="U1679" i="3"/>
  <c r="V1679" i="3" s="1"/>
  <c r="T1679" i="3"/>
  <c r="S1679" i="3"/>
  <c r="R1679" i="3"/>
  <c r="Q1679" i="3"/>
  <c r="P1679" i="3"/>
  <c r="O1679" i="3"/>
  <c r="N1679" i="3"/>
  <c r="M1679" i="3"/>
  <c r="L1679" i="3"/>
  <c r="U1678" i="3"/>
  <c r="T1678" i="3"/>
  <c r="S1678" i="3"/>
  <c r="R1678" i="3"/>
  <c r="P1678" i="3"/>
  <c r="O1678" i="3"/>
  <c r="N1678" i="3"/>
  <c r="Q1678" i="3" s="1"/>
  <c r="M1678" i="3"/>
  <c r="L1678" i="3"/>
  <c r="V1678" i="3" s="1"/>
  <c r="U1677" i="3"/>
  <c r="V1677" i="3" s="1"/>
  <c r="T1677" i="3"/>
  <c r="S1677" i="3"/>
  <c r="R1677" i="3"/>
  <c r="Q1677" i="3"/>
  <c r="P1677" i="3"/>
  <c r="O1677" i="3"/>
  <c r="N1677" i="3"/>
  <c r="M1677" i="3"/>
  <c r="L1677" i="3"/>
  <c r="U1676" i="3"/>
  <c r="V1676" i="3" s="1"/>
  <c r="T1676" i="3"/>
  <c r="S1676" i="3"/>
  <c r="R1676" i="3"/>
  <c r="P1676" i="3"/>
  <c r="O1676" i="3"/>
  <c r="N1676" i="3"/>
  <c r="Q1676" i="3" s="1"/>
  <c r="M1676" i="3"/>
  <c r="L1676" i="3"/>
  <c r="U1675" i="3"/>
  <c r="V1675" i="3" s="1"/>
  <c r="T1675" i="3"/>
  <c r="S1675" i="3"/>
  <c r="R1675" i="3"/>
  <c r="Q1675" i="3"/>
  <c r="P1675" i="3"/>
  <c r="O1675" i="3"/>
  <c r="N1675" i="3"/>
  <c r="M1675" i="3"/>
  <c r="L1675" i="3"/>
  <c r="U1674" i="3"/>
  <c r="V1674" i="3" s="1"/>
  <c r="T1674" i="3"/>
  <c r="S1674" i="3"/>
  <c r="R1674" i="3"/>
  <c r="Q1674" i="3"/>
  <c r="P1674" i="3"/>
  <c r="O1674" i="3"/>
  <c r="N1674" i="3"/>
  <c r="M1674" i="3"/>
  <c r="L1674" i="3"/>
  <c r="U1673" i="3"/>
  <c r="V1673" i="3" s="1"/>
  <c r="T1673" i="3"/>
  <c r="S1673" i="3"/>
  <c r="R1673" i="3"/>
  <c r="P1673" i="3"/>
  <c r="O1673" i="3"/>
  <c r="N1673" i="3"/>
  <c r="Q1673" i="3" s="1"/>
  <c r="M1673" i="3"/>
  <c r="L1673" i="3"/>
  <c r="V1672" i="3"/>
  <c r="U1672" i="3"/>
  <c r="T1672" i="3"/>
  <c r="S1672" i="3"/>
  <c r="R1672" i="3"/>
  <c r="P1672" i="3"/>
  <c r="O1672" i="3"/>
  <c r="N1672" i="3"/>
  <c r="Q1672" i="3" s="1"/>
  <c r="M1672" i="3"/>
  <c r="L1672" i="3"/>
  <c r="U1671" i="3"/>
  <c r="V1671" i="3" s="1"/>
  <c r="T1671" i="3"/>
  <c r="S1671" i="3"/>
  <c r="R1671" i="3"/>
  <c r="Q1671" i="3"/>
  <c r="P1671" i="3"/>
  <c r="O1671" i="3"/>
  <c r="N1671" i="3"/>
  <c r="M1671" i="3"/>
  <c r="L1671" i="3"/>
  <c r="U1670" i="3"/>
  <c r="T1670" i="3"/>
  <c r="S1670" i="3"/>
  <c r="R1670" i="3"/>
  <c r="P1670" i="3"/>
  <c r="O1670" i="3"/>
  <c r="N1670" i="3"/>
  <c r="Q1670" i="3" s="1"/>
  <c r="M1670" i="3"/>
  <c r="L1670" i="3"/>
  <c r="V1670" i="3" s="1"/>
  <c r="U1669" i="3"/>
  <c r="V1669" i="3" s="1"/>
  <c r="T1669" i="3"/>
  <c r="S1669" i="3"/>
  <c r="R1669" i="3"/>
  <c r="Q1669" i="3"/>
  <c r="P1669" i="3"/>
  <c r="O1669" i="3"/>
  <c r="N1669" i="3"/>
  <c r="M1669" i="3"/>
  <c r="L1669" i="3"/>
  <c r="U1668" i="3"/>
  <c r="V1668" i="3" s="1"/>
  <c r="T1668" i="3"/>
  <c r="S1668" i="3"/>
  <c r="R1668" i="3"/>
  <c r="P1668" i="3"/>
  <c r="O1668" i="3"/>
  <c r="N1668" i="3"/>
  <c r="Q1668" i="3" s="1"/>
  <c r="M1668" i="3"/>
  <c r="L1668" i="3"/>
  <c r="U1667" i="3"/>
  <c r="V1667" i="3" s="1"/>
  <c r="T1667" i="3"/>
  <c r="S1667" i="3"/>
  <c r="R1667" i="3"/>
  <c r="Q1667" i="3"/>
  <c r="P1667" i="3"/>
  <c r="O1667" i="3"/>
  <c r="N1667" i="3"/>
  <c r="M1667" i="3"/>
  <c r="L1667" i="3"/>
  <c r="U1666" i="3"/>
  <c r="V1666" i="3" s="1"/>
  <c r="T1666" i="3"/>
  <c r="S1666" i="3"/>
  <c r="R1666" i="3"/>
  <c r="Q1666" i="3"/>
  <c r="P1666" i="3"/>
  <c r="O1666" i="3"/>
  <c r="N1666" i="3"/>
  <c r="M1666" i="3"/>
  <c r="L1666" i="3"/>
  <c r="U1665" i="3"/>
  <c r="V1665" i="3" s="1"/>
  <c r="T1665" i="3"/>
  <c r="S1665" i="3"/>
  <c r="R1665" i="3"/>
  <c r="P1665" i="3"/>
  <c r="O1665" i="3"/>
  <c r="N1665" i="3"/>
  <c r="Q1665" i="3" s="1"/>
  <c r="M1665" i="3"/>
  <c r="L1665" i="3"/>
  <c r="V1664" i="3"/>
  <c r="U1664" i="3"/>
  <c r="T1664" i="3"/>
  <c r="S1664" i="3"/>
  <c r="R1664" i="3"/>
  <c r="P1664" i="3"/>
  <c r="O1664" i="3"/>
  <c r="N1664" i="3"/>
  <c r="Q1664" i="3" s="1"/>
  <c r="M1664" i="3"/>
  <c r="L1664" i="3"/>
  <c r="U1663" i="3"/>
  <c r="V1663" i="3" s="1"/>
  <c r="T1663" i="3"/>
  <c r="S1663" i="3"/>
  <c r="R1663" i="3"/>
  <c r="Q1663" i="3"/>
  <c r="P1663" i="3"/>
  <c r="O1663" i="3"/>
  <c r="N1663" i="3"/>
  <c r="M1663" i="3"/>
  <c r="L1663" i="3"/>
  <c r="U1662" i="3"/>
  <c r="T1662" i="3"/>
  <c r="S1662" i="3"/>
  <c r="R1662" i="3"/>
  <c r="P1662" i="3"/>
  <c r="O1662" i="3"/>
  <c r="N1662" i="3"/>
  <c r="Q1662" i="3" s="1"/>
  <c r="M1662" i="3"/>
  <c r="L1662" i="3"/>
  <c r="V1662" i="3" s="1"/>
  <c r="U1661" i="3"/>
  <c r="V1661" i="3" s="1"/>
  <c r="T1661" i="3"/>
  <c r="S1661" i="3"/>
  <c r="R1661" i="3"/>
  <c r="Q1661" i="3"/>
  <c r="P1661" i="3"/>
  <c r="O1661" i="3"/>
  <c r="N1661" i="3"/>
  <c r="M1661" i="3"/>
  <c r="L1661" i="3"/>
  <c r="U1660" i="3"/>
  <c r="V1660" i="3" s="1"/>
  <c r="T1660" i="3"/>
  <c r="S1660" i="3"/>
  <c r="R1660" i="3"/>
  <c r="P1660" i="3"/>
  <c r="O1660" i="3"/>
  <c r="N1660" i="3"/>
  <c r="Q1660" i="3" s="1"/>
  <c r="M1660" i="3"/>
  <c r="L1660" i="3"/>
  <c r="U1659" i="3"/>
  <c r="V1659" i="3" s="1"/>
  <c r="T1659" i="3"/>
  <c r="S1659" i="3"/>
  <c r="R1659" i="3"/>
  <c r="Q1659" i="3"/>
  <c r="P1659" i="3"/>
  <c r="O1659" i="3"/>
  <c r="N1659" i="3"/>
  <c r="M1659" i="3"/>
  <c r="L1659" i="3"/>
  <c r="U1658" i="3"/>
  <c r="V1658" i="3" s="1"/>
  <c r="T1658" i="3"/>
  <c r="S1658" i="3"/>
  <c r="R1658" i="3"/>
  <c r="Q1658" i="3"/>
  <c r="P1658" i="3"/>
  <c r="O1658" i="3"/>
  <c r="N1658" i="3"/>
  <c r="M1658" i="3"/>
  <c r="L1658" i="3"/>
  <c r="U1657" i="3"/>
  <c r="V1657" i="3" s="1"/>
  <c r="T1657" i="3"/>
  <c r="S1657" i="3"/>
  <c r="R1657" i="3"/>
  <c r="P1657" i="3"/>
  <c r="O1657" i="3"/>
  <c r="N1657" i="3"/>
  <c r="Q1657" i="3" s="1"/>
  <c r="M1657" i="3"/>
  <c r="L1657" i="3"/>
  <c r="V1656" i="3"/>
  <c r="U1656" i="3"/>
  <c r="T1656" i="3"/>
  <c r="S1656" i="3"/>
  <c r="R1656" i="3"/>
  <c r="P1656" i="3"/>
  <c r="O1656" i="3"/>
  <c r="N1656" i="3"/>
  <c r="Q1656" i="3" s="1"/>
  <c r="M1656" i="3"/>
  <c r="L1656" i="3"/>
  <c r="U1655" i="3"/>
  <c r="V1655" i="3" s="1"/>
  <c r="T1655" i="3"/>
  <c r="S1655" i="3"/>
  <c r="R1655" i="3"/>
  <c r="Q1655" i="3"/>
  <c r="P1655" i="3"/>
  <c r="O1655" i="3"/>
  <c r="N1655" i="3"/>
  <c r="M1655" i="3"/>
  <c r="L1655" i="3"/>
  <c r="U1654" i="3"/>
  <c r="T1654" i="3"/>
  <c r="S1654" i="3"/>
  <c r="R1654" i="3"/>
  <c r="P1654" i="3"/>
  <c r="O1654" i="3"/>
  <c r="N1654" i="3"/>
  <c r="Q1654" i="3" s="1"/>
  <c r="M1654" i="3"/>
  <c r="L1654" i="3"/>
  <c r="V1654" i="3" s="1"/>
  <c r="U1653" i="3"/>
  <c r="T1653" i="3"/>
  <c r="S1653" i="3"/>
  <c r="R1653" i="3"/>
  <c r="Q1653" i="3"/>
  <c r="P1653" i="3"/>
  <c r="O1653" i="3"/>
  <c r="N1653" i="3"/>
  <c r="M1653" i="3"/>
  <c r="L1653" i="3"/>
  <c r="V1653" i="3" s="1"/>
  <c r="U1652" i="3"/>
  <c r="V1652" i="3" s="1"/>
  <c r="T1652" i="3"/>
  <c r="S1652" i="3"/>
  <c r="R1652" i="3"/>
  <c r="P1652" i="3"/>
  <c r="O1652" i="3"/>
  <c r="N1652" i="3"/>
  <c r="Q1652" i="3" s="1"/>
  <c r="M1652" i="3"/>
  <c r="L1652" i="3"/>
  <c r="U1651" i="3"/>
  <c r="V1651" i="3" s="1"/>
  <c r="T1651" i="3"/>
  <c r="S1651" i="3"/>
  <c r="R1651" i="3"/>
  <c r="Q1651" i="3"/>
  <c r="P1651" i="3"/>
  <c r="O1651" i="3"/>
  <c r="N1651" i="3"/>
  <c r="M1651" i="3"/>
  <c r="L1651" i="3"/>
  <c r="U1650" i="3"/>
  <c r="V1650" i="3" s="1"/>
  <c r="T1650" i="3"/>
  <c r="S1650" i="3"/>
  <c r="R1650" i="3"/>
  <c r="Q1650" i="3"/>
  <c r="P1650" i="3"/>
  <c r="O1650" i="3"/>
  <c r="N1650" i="3"/>
  <c r="M1650" i="3"/>
  <c r="L1650" i="3"/>
  <c r="U1649" i="3"/>
  <c r="V1649" i="3" s="1"/>
  <c r="T1649" i="3"/>
  <c r="S1649" i="3"/>
  <c r="R1649" i="3"/>
  <c r="P1649" i="3"/>
  <c r="O1649" i="3"/>
  <c r="N1649" i="3"/>
  <c r="Q1649" i="3" s="1"/>
  <c r="M1649" i="3"/>
  <c r="L1649" i="3"/>
  <c r="V1648" i="3"/>
  <c r="U1648" i="3"/>
  <c r="T1648" i="3"/>
  <c r="S1648" i="3"/>
  <c r="R1648" i="3"/>
  <c r="P1648" i="3"/>
  <c r="O1648" i="3"/>
  <c r="N1648" i="3"/>
  <c r="Q1648" i="3" s="1"/>
  <c r="M1648" i="3"/>
  <c r="L1648" i="3"/>
  <c r="U1647" i="3"/>
  <c r="V1647" i="3" s="1"/>
  <c r="T1647" i="3"/>
  <c r="S1647" i="3"/>
  <c r="R1647" i="3"/>
  <c r="Q1647" i="3"/>
  <c r="P1647" i="3"/>
  <c r="O1647" i="3"/>
  <c r="N1647" i="3"/>
  <c r="M1647" i="3"/>
  <c r="L1647" i="3"/>
  <c r="U1646" i="3"/>
  <c r="T1646" i="3"/>
  <c r="S1646" i="3"/>
  <c r="R1646" i="3"/>
  <c r="P1646" i="3"/>
  <c r="O1646" i="3"/>
  <c r="N1646" i="3"/>
  <c r="Q1646" i="3" s="1"/>
  <c r="M1646" i="3"/>
  <c r="L1646" i="3"/>
  <c r="V1646" i="3" s="1"/>
  <c r="U1645" i="3"/>
  <c r="T1645" i="3"/>
  <c r="S1645" i="3"/>
  <c r="R1645" i="3"/>
  <c r="Q1645" i="3"/>
  <c r="P1645" i="3"/>
  <c r="O1645" i="3"/>
  <c r="N1645" i="3"/>
  <c r="M1645" i="3"/>
  <c r="L1645" i="3"/>
  <c r="V1645" i="3" s="1"/>
  <c r="U1644" i="3"/>
  <c r="V1644" i="3" s="1"/>
  <c r="T1644" i="3"/>
  <c r="S1644" i="3"/>
  <c r="R1644" i="3"/>
  <c r="P1644" i="3"/>
  <c r="O1644" i="3"/>
  <c r="N1644" i="3"/>
  <c r="Q1644" i="3" s="1"/>
  <c r="M1644" i="3"/>
  <c r="L1644" i="3"/>
  <c r="U1643" i="3"/>
  <c r="V1643" i="3" s="1"/>
  <c r="T1643" i="3"/>
  <c r="S1643" i="3"/>
  <c r="R1643" i="3"/>
  <c r="Q1643" i="3"/>
  <c r="P1643" i="3"/>
  <c r="O1643" i="3"/>
  <c r="N1643" i="3"/>
  <c r="M1643" i="3"/>
  <c r="L1643" i="3"/>
  <c r="U1642" i="3"/>
  <c r="V1642" i="3" s="1"/>
  <c r="T1642" i="3"/>
  <c r="S1642" i="3"/>
  <c r="R1642" i="3"/>
  <c r="Q1642" i="3"/>
  <c r="P1642" i="3"/>
  <c r="O1642" i="3"/>
  <c r="N1642" i="3"/>
  <c r="M1642" i="3"/>
  <c r="L1642" i="3"/>
  <c r="U1641" i="3"/>
  <c r="V1641" i="3" s="1"/>
  <c r="T1641" i="3"/>
  <c r="S1641" i="3"/>
  <c r="R1641" i="3"/>
  <c r="P1641" i="3"/>
  <c r="O1641" i="3"/>
  <c r="N1641" i="3"/>
  <c r="Q1641" i="3" s="1"/>
  <c r="M1641" i="3"/>
  <c r="L1641" i="3"/>
  <c r="V1640" i="3"/>
  <c r="U1640" i="3"/>
  <c r="T1640" i="3"/>
  <c r="S1640" i="3"/>
  <c r="R1640" i="3"/>
  <c r="P1640" i="3"/>
  <c r="O1640" i="3"/>
  <c r="N1640" i="3"/>
  <c r="Q1640" i="3" s="1"/>
  <c r="M1640" i="3"/>
  <c r="L1640" i="3"/>
  <c r="U1639" i="3"/>
  <c r="V1639" i="3" s="1"/>
  <c r="T1639" i="3"/>
  <c r="S1639" i="3"/>
  <c r="R1639" i="3"/>
  <c r="Q1639" i="3"/>
  <c r="P1639" i="3"/>
  <c r="O1639" i="3"/>
  <c r="N1639" i="3"/>
  <c r="M1639" i="3"/>
  <c r="L1639" i="3"/>
  <c r="U1638" i="3"/>
  <c r="T1638" i="3"/>
  <c r="S1638" i="3"/>
  <c r="R1638" i="3"/>
  <c r="P1638" i="3"/>
  <c r="O1638" i="3"/>
  <c r="N1638" i="3"/>
  <c r="Q1638" i="3" s="1"/>
  <c r="M1638" i="3"/>
  <c r="L1638" i="3"/>
  <c r="V1638" i="3" s="1"/>
  <c r="U1637" i="3"/>
  <c r="T1637" i="3"/>
  <c r="S1637" i="3"/>
  <c r="R1637" i="3"/>
  <c r="Q1637" i="3"/>
  <c r="P1637" i="3"/>
  <c r="O1637" i="3"/>
  <c r="N1637" i="3"/>
  <c r="M1637" i="3"/>
  <c r="L1637" i="3"/>
  <c r="V1637" i="3" s="1"/>
  <c r="U1636" i="3"/>
  <c r="T1636" i="3"/>
  <c r="S1636" i="3"/>
  <c r="R1636" i="3"/>
  <c r="P1636" i="3"/>
  <c r="O1636" i="3"/>
  <c r="N1636" i="3"/>
  <c r="Q1636" i="3" s="1"/>
  <c r="M1636" i="3"/>
  <c r="L1636" i="3"/>
  <c r="U1635" i="3"/>
  <c r="V1635" i="3" s="1"/>
  <c r="T1635" i="3"/>
  <c r="S1635" i="3"/>
  <c r="R1635" i="3"/>
  <c r="Q1635" i="3"/>
  <c r="P1635" i="3"/>
  <c r="O1635" i="3"/>
  <c r="N1635" i="3"/>
  <c r="M1635" i="3"/>
  <c r="L1635" i="3"/>
  <c r="U1634" i="3"/>
  <c r="V1634" i="3" s="1"/>
  <c r="T1634" i="3"/>
  <c r="S1634" i="3"/>
  <c r="R1634" i="3"/>
  <c r="Q1634" i="3"/>
  <c r="P1634" i="3"/>
  <c r="O1634" i="3"/>
  <c r="N1634" i="3"/>
  <c r="M1634" i="3"/>
  <c r="L1634" i="3"/>
  <c r="U1633" i="3"/>
  <c r="V1633" i="3" s="1"/>
  <c r="T1633" i="3"/>
  <c r="S1633" i="3"/>
  <c r="R1633" i="3"/>
  <c r="P1633" i="3"/>
  <c r="O1633" i="3"/>
  <c r="N1633" i="3"/>
  <c r="Q1633" i="3" s="1"/>
  <c r="M1633" i="3"/>
  <c r="L1633" i="3"/>
  <c r="V1632" i="3"/>
  <c r="U1632" i="3"/>
  <c r="T1632" i="3"/>
  <c r="S1632" i="3"/>
  <c r="R1632" i="3"/>
  <c r="P1632" i="3"/>
  <c r="O1632" i="3"/>
  <c r="N1632" i="3"/>
  <c r="Q1632" i="3" s="1"/>
  <c r="M1632" i="3"/>
  <c r="L1632" i="3"/>
  <c r="U1631" i="3"/>
  <c r="V1631" i="3" s="1"/>
  <c r="T1631" i="3"/>
  <c r="S1631" i="3"/>
  <c r="R1631" i="3"/>
  <c r="Q1631" i="3"/>
  <c r="P1631" i="3"/>
  <c r="O1631" i="3"/>
  <c r="N1631" i="3"/>
  <c r="M1631" i="3"/>
  <c r="L1631" i="3"/>
  <c r="U1630" i="3"/>
  <c r="T1630" i="3"/>
  <c r="S1630" i="3"/>
  <c r="R1630" i="3"/>
  <c r="P1630" i="3"/>
  <c r="O1630" i="3"/>
  <c r="N1630" i="3"/>
  <c r="Q1630" i="3" s="1"/>
  <c r="M1630" i="3"/>
  <c r="L1630" i="3"/>
  <c r="V1630" i="3" s="1"/>
  <c r="U1629" i="3"/>
  <c r="T1629" i="3"/>
  <c r="S1629" i="3"/>
  <c r="R1629" i="3"/>
  <c r="Q1629" i="3"/>
  <c r="P1629" i="3"/>
  <c r="O1629" i="3"/>
  <c r="N1629" i="3"/>
  <c r="M1629" i="3"/>
  <c r="L1629" i="3"/>
  <c r="V1629" i="3" s="1"/>
  <c r="U1628" i="3"/>
  <c r="T1628" i="3"/>
  <c r="S1628" i="3"/>
  <c r="R1628" i="3"/>
  <c r="P1628" i="3"/>
  <c r="O1628" i="3"/>
  <c r="N1628" i="3"/>
  <c r="Q1628" i="3" s="1"/>
  <c r="M1628" i="3"/>
  <c r="L1628" i="3"/>
  <c r="U1627" i="3"/>
  <c r="V1627" i="3" s="1"/>
  <c r="T1627" i="3"/>
  <c r="S1627" i="3"/>
  <c r="R1627" i="3"/>
  <c r="Q1627" i="3"/>
  <c r="P1627" i="3"/>
  <c r="O1627" i="3"/>
  <c r="N1627" i="3"/>
  <c r="M1627" i="3"/>
  <c r="L1627" i="3"/>
  <c r="U1626" i="3"/>
  <c r="V1626" i="3" s="1"/>
  <c r="T1626" i="3"/>
  <c r="S1626" i="3"/>
  <c r="R1626" i="3"/>
  <c r="Q1626" i="3"/>
  <c r="P1626" i="3"/>
  <c r="O1626" i="3"/>
  <c r="N1626" i="3"/>
  <c r="M1626" i="3"/>
  <c r="L1626" i="3"/>
  <c r="U1625" i="3"/>
  <c r="V1625" i="3" s="1"/>
  <c r="T1625" i="3"/>
  <c r="S1625" i="3"/>
  <c r="R1625" i="3"/>
  <c r="P1625" i="3"/>
  <c r="O1625" i="3"/>
  <c r="N1625" i="3"/>
  <c r="Q1625" i="3" s="1"/>
  <c r="M1625" i="3"/>
  <c r="L1625" i="3"/>
  <c r="V1624" i="3"/>
  <c r="U1624" i="3"/>
  <c r="T1624" i="3"/>
  <c r="S1624" i="3"/>
  <c r="R1624" i="3"/>
  <c r="P1624" i="3"/>
  <c r="O1624" i="3"/>
  <c r="N1624" i="3"/>
  <c r="Q1624" i="3" s="1"/>
  <c r="M1624" i="3"/>
  <c r="L1624" i="3"/>
  <c r="U1623" i="3"/>
  <c r="V1623" i="3" s="1"/>
  <c r="T1623" i="3"/>
  <c r="S1623" i="3"/>
  <c r="R1623" i="3"/>
  <c r="Q1623" i="3"/>
  <c r="P1623" i="3"/>
  <c r="O1623" i="3"/>
  <c r="N1623" i="3"/>
  <c r="M1623" i="3"/>
  <c r="L1623" i="3"/>
  <c r="U1622" i="3"/>
  <c r="T1622" i="3"/>
  <c r="S1622" i="3"/>
  <c r="R1622" i="3"/>
  <c r="P1622" i="3"/>
  <c r="O1622" i="3"/>
  <c r="N1622" i="3"/>
  <c r="Q1622" i="3" s="1"/>
  <c r="M1622" i="3"/>
  <c r="L1622" i="3"/>
  <c r="V1622" i="3" s="1"/>
  <c r="U1621" i="3"/>
  <c r="T1621" i="3"/>
  <c r="S1621" i="3"/>
  <c r="R1621" i="3"/>
  <c r="Q1621" i="3"/>
  <c r="P1621" i="3"/>
  <c r="O1621" i="3"/>
  <c r="N1621" i="3"/>
  <c r="M1621" i="3"/>
  <c r="L1621" i="3"/>
  <c r="V1621" i="3" s="1"/>
  <c r="U1620" i="3"/>
  <c r="T1620" i="3"/>
  <c r="S1620" i="3"/>
  <c r="R1620" i="3"/>
  <c r="P1620" i="3"/>
  <c r="O1620" i="3"/>
  <c r="N1620" i="3"/>
  <c r="Q1620" i="3" s="1"/>
  <c r="M1620" i="3"/>
  <c r="L1620" i="3"/>
  <c r="U1619" i="3"/>
  <c r="V1619" i="3" s="1"/>
  <c r="T1619" i="3"/>
  <c r="S1619" i="3"/>
  <c r="R1619" i="3"/>
  <c r="Q1619" i="3"/>
  <c r="P1619" i="3"/>
  <c r="O1619" i="3"/>
  <c r="N1619" i="3"/>
  <c r="M1619" i="3"/>
  <c r="L1619" i="3"/>
  <c r="U1618" i="3"/>
  <c r="V1618" i="3" s="1"/>
  <c r="T1618" i="3"/>
  <c r="S1618" i="3"/>
  <c r="R1618" i="3"/>
  <c r="Q1618" i="3"/>
  <c r="P1618" i="3"/>
  <c r="O1618" i="3"/>
  <c r="N1618" i="3"/>
  <c r="M1618" i="3"/>
  <c r="L1618" i="3"/>
  <c r="U1617" i="3"/>
  <c r="V1617" i="3" s="1"/>
  <c r="T1617" i="3"/>
  <c r="S1617" i="3"/>
  <c r="R1617" i="3"/>
  <c r="P1617" i="3"/>
  <c r="O1617" i="3"/>
  <c r="N1617" i="3"/>
  <c r="Q1617" i="3" s="1"/>
  <c r="M1617" i="3"/>
  <c r="L1617" i="3"/>
  <c r="V1616" i="3"/>
  <c r="U1616" i="3"/>
  <c r="T1616" i="3"/>
  <c r="S1616" i="3"/>
  <c r="R1616" i="3"/>
  <c r="P1616" i="3"/>
  <c r="O1616" i="3"/>
  <c r="N1616" i="3"/>
  <c r="Q1616" i="3" s="1"/>
  <c r="M1616" i="3"/>
  <c r="L1616" i="3"/>
  <c r="U1615" i="3"/>
  <c r="T1615" i="3"/>
  <c r="S1615" i="3"/>
  <c r="R1615" i="3"/>
  <c r="Q1615" i="3"/>
  <c r="P1615" i="3"/>
  <c r="O1615" i="3"/>
  <c r="N1615" i="3"/>
  <c r="M1615" i="3"/>
  <c r="L1615" i="3"/>
  <c r="U1614" i="3"/>
  <c r="T1614" i="3"/>
  <c r="S1614" i="3"/>
  <c r="R1614" i="3"/>
  <c r="P1614" i="3"/>
  <c r="O1614" i="3"/>
  <c r="N1614" i="3"/>
  <c r="Q1614" i="3" s="1"/>
  <c r="M1614" i="3"/>
  <c r="L1614" i="3"/>
  <c r="V1614" i="3" s="1"/>
  <c r="U1613" i="3"/>
  <c r="T1613" i="3"/>
  <c r="S1613" i="3"/>
  <c r="R1613" i="3"/>
  <c r="Q1613" i="3"/>
  <c r="P1613" i="3"/>
  <c r="O1613" i="3"/>
  <c r="N1613" i="3"/>
  <c r="M1613" i="3"/>
  <c r="L1613" i="3"/>
  <c r="V1613" i="3" s="1"/>
  <c r="U1612" i="3"/>
  <c r="V1612" i="3" s="1"/>
  <c r="T1612" i="3"/>
  <c r="S1612" i="3"/>
  <c r="R1612" i="3"/>
  <c r="P1612" i="3"/>
  <c r="O1612" i="3"/>
  <c r="N1612" i="3"/>
  <c r="Q1612" i="3" s="1"/>
  <c r="M1612" i="3"/>
  <c r="L1612" i="3"/>
  <c r="U1611" i="3"/>
  <c r="V1611" i="3" s="1"/>
  <c r="T1611" i="3"/>
  <c r="S1611" i="3"/>
  <c r="R1611" i="3"/>
  <c r="Q1611" i="3"/>
  <c r="P1611" i="3"/>
  <c r="O1611" i="3"/>
  <c r="N1611" i="3"/>
  <c r="M1611" i="3"/>
  <c r="L1611" i="3"/>
  <c r="U1610" i="3"/>
  <c r="T1610" i="3"/>
  <c r="S1610" i="3"/>
  <c r="R1610" i="3"/>
  <c r="Q1610" i="3"/>
  <c r="P1610" i="3"/>
  <c r="O1610" i="3"/>
  <c r="N1610" i="3"/>
  <c r="M1610" i="3"/>
  <c r="L1610" i="3"/>
  <c r="U1609" i="3"/>
  <c r="V1609" i="3" s="1"/>
  <c r="T1609" i="3"/>
  <c r="S1609" i="3"/>
  <c r="R1609" i="3"/>
  <c r="P1609" i="3"/>
  <c r="O1609" i="3"/>
  <c r="N1609" i="3"/>
  <c r="Q1609" i="3" s="1"/>
  <c r="M1609" i="3"/>
  <c r="L1609" i="3"/>
  <c r="V1608" i="3"/>
  <c r="U1608" i="3"/>
  <c r="T1608" i="3"/>
  <c r="S1608" i="3"/>
  <c r="R1608" i="3"/>
  <c r="P1608" i="3"/>
  <c r="O1608" i="3"/>
  <c r="N1608" i="3"/>
  <c r="Q1608" i="3" s="1"/>
  <c r="M1608" i="3"/>
  <c r="L1608" i="3"/>
  <c r="U1607" i="3"/>
  <c r="T1607" i="3"/>
  <c r="S1607" i="3"/>
  <c r="R1607" i="3"/>
  <c r="Q1607" i="3"/>
  <c r="P1607" i="3"/>
  <c r="O1607" i="3"/>
  <c r="N1607" i="3"/>
  <c r="M1607" i="3"/>
  <c r="L1607" i="3"/>
  <c r="U1606" i="3"/>
  <c r="T1606" i="3"/>
  <c r="S1606" i="3"/>
  <c r="R1606" i="3"/>
  <c r="P1606" i="3"/>
  <c r="O1606" i="3"/>
  <c r="N1606" i="3"/>
  <c r="Q1606" i="3" s="1"/>
  <c r="M1606" i="3"/>
  <c r="L1606" i="3"/>
  <c r="V1606" i="3" s="1"/>
  <c r="U1605" i="3"/>
  <c r="T1605" i="3"/>
  <c r="S1605" i="3"/>
  <c r="R1605" i="3"/>
  <c r="Q1605" i="3"/>
  <c r="P1605" i="3"/>
  <c r="O1605" i="3"/>
  <c r="N1605" i="3"/>
  <c r="M1605" i="3"/>
  <c r="L1605" i="3"/>
  <c r="V1605" i="3" s="1"/>
  <c r="V1604" i="3"/>
  <c r="U1604" i="3"/>
  <c r="T1604" i="3"/>
  <c r="S1604" i="3"/>
  <c r="R1604" i="3"/>
  <c r="P1604" i="3"/>
  <c r="O1604" i="3"/>
  <c r="N1604" i="3"/>
  <c r="Q1604" i="3" s="1"/>
  <c r="M1604" i="3"/>
  <c r="L1604" i="3"/>
  <c r="U1603" i="3"/>
  <c r="V1603" i="3" s="1"/>
  <c r="T1603" i="3"/>
  <c r="S1603" i="3"/>
  <c r="R1603" i="3"/>
  <c r="Q1603" i="3"/>
  <c r="P1603" i="3"/>
  <c r="O1603" i="3"/>
  <c r="N1603" i="3"/>
  <c r="M1603" i="3"/>
  <c r="L1603" i="3"/>
  <c r="U1602" i="3"/>
  <c r="T1602" i="3"/>
  <c r="S1602" i="3"/>
  <c r="R1602" i="3"/>
  <c r="Q1602" i="3"/>
  <c r="P1602" i="3"/>
  <c r="O1602" i="3"/>
  <c r="N1602" i="3"/>
  <c r="M1602" i="3"/>
  <c r="L1602" i="3"/>
  <c r="V1601" i="3"/>
  <c r="U1601" i="3"/>
  <c r="T1601" i="3"/>
  <c r="S1601" i="3"/>
  <c r="R1601" i="3"/>
  <c r="P1601" i="3"/>
  <c r="O1601" i="3"/>
  <c r="N1601" i="3"/>
  <c r="Q1601" i="3" s="1"/>
  <c r="M1601" i="3"/>
  <c r="L1601" i="3"/>
  <c r="V1600" i="3"/>
  <c r="U1600" i="3"/>
  <c r="T1600" i="3"/>
  <c r="S1600" i="3"/>
  <c r="R1600" i="3"/>
  <c r="Q1600" i="3"/>
  <c r="P1600" i="3"/>
  <c r="O1600" i="3"/>
  <c r="N1600" i="3"/>
  <c r="M1600" i="3"/>
  <c r="L1600" i="3"/>
  <c r="U1599" i="3"/>
  <c r="T1599" i="3"/>
  <c r="S1599" i="3"/>
  <c r="R1599" i="3"/>
  <c r="Q1599" i="3"/>
  <c r="P1599" i="3"/>
  <c r="O1599" i="3"/>
  <c r="N1599" i="3"/>
  <c r="M1599" i="3"/>
  <c r="L1599" i="3"/>
  <c r="U1598" i="3"/>
  <c r="T1598" i="3"/>
  <c r="S1598" i="3"/>
  <c r="R1598" i="3"/>
  <c r="P1598" i="3"/>
  <c r="O1598" i="3"/>
  <c r="N1598" i="3"/>
  <c r="Q1598" i="3" s="1"/>
  <c r="M1598" i="3"/>
  <c r="L1598" i="3"/>
  <c r="V1598" i="3" s="1"/>
  <c r="U1597" i="3"/>
  <c r="T1597" i="3"/>
  <c r="S1597" i="3"/>
  <c r="R1597" i="3"/>
  <c r="Q1597" i="3"/>
  <c r="P1597" i="3"/>
  <c r="O1597" i="3"/>
  <c r="N1597" i="3"/>
  <c r="M1597" i="3"/>
  <c r="L1597" i="3"/>
  <c r="V1597" i="3" s="1"/>
  <c r="U1596" i="3"/>
  <c r="V1596" i="3" s="1"/>
  <c r="T1596" i="3"/>
  <c r="S1596" i="3"/>
  <c r="R1596" i="3"/>
  <c r="P1596" i="3"/>
  <c r="O1596" i="3"/>
  <c r="N1596" i="3"/>
  <c r="Q1596" i="3" s="1"/>
  <c r="M1596" i="3"/>
  <c r="L1596" i="3"/>
  <c r="U1595" i="3"/>
  <c r="V1595" i="3" s="1"/>
  <c r="T1595" i="3"/>
  <c r="S1595" i="3"/>
  <c r="R1595" i="3"/>
  <c r="Q1595" i="3"/>
  <c r="P1595" i="3"/>
  <c r="O1595" i="3"/>
  <c r="N1595" i="3"/>
  <c r="M1595" i="3"/>
  <c r="L1595" i="3"/>
  <c r="U1594" i="3"/>
  <c r="T1594" i="3"/>
  <c r="S1594" i="3"/>
  <c r="R1594" i="3"/>
  <c r="Q1594" i="3"/>
  <c r="P1594" i="3"/>
  <c r="O1594" i="3"/>
  <c r="N1594" i="3"/>
  <c r="M1594" i="3"/>
  <c r="L1594" i="3"/>
  <c r="U1593" i="3"/>
  <c r="V1593" i="3" s="1"/>
  <c r="T1593" i="3"/>
  <c r="S1593" i="3"/>
  <c r="R1593" i="3"/>
  <c r="P1593" i="3"/>
  <c r="O1593" i="3"/>
  <c r="N1593" i="3"/>
  <c r="Q1593" i="3" s="1"/>
  <c r="M1593" i="3"/>
  <c r="L1593" i="3"/>
  <c r="V1592" i="3"/>
  <c r="U1592" i="3"/>
  <c r="T1592" i="3"/>
  <c r="S1592" i="3"/>
  <c r="R1592" i="3"/>
  <c r="Q1592" i="3"/>
  <c r="P1592" i="3"/>
  <c r="O1592" i="3"/>
  <c r="N1592" i="3"/>
  <c r="M1592" i="3"/>
  <c r="L1592" i="3"/>
  <c r="U1591" i="3"/>
  <c r="T1591" i="3"/>
  <c r="S1591" i="3"/>
  <c r="R1591" i="3"/>
  <c r="Q1591" i="3"/>
  <c r="P1591" i="3"/>
  <c r="O1591" i="3"/>
  <c r="N1591" i="3"/>
  <c r="M1591" i="3"/>
  <c r="L1591" i="3"/>
  <c r="V1590" i="3"/>
  <c r="U1590" i="3"/>
  <c r="T1590" i="3"/>
  <c r="S1590" i="3"/>
  <c r="R1590" i="3"/>
  <c r="P1590" i="3"/>
  <c r="O1590" i="3"/>
  <c r="N1590" i="3"/>
  <c r="Q1590" i="3" s="1"/>
  <c r="M1590" i="3"/>
  <c r="L1590" i="3"/>
  <c r="U1589" i="3"/>
  <c r="T1589" i="3"/>
  <c r="S1589" i="3"/>
  <c r="R1589" i="3"/>
  <c r="Q1589" i="3"/>
  <c r="P1589" i="3"/>
  <c r="O1589" i="3"/>
  <c r="N1589" i="3"/>
  <c r="M1589" i="3"/>
  <c r="L1589" i="3"/>
  <c r="V1589" i="3" s="1"/>
  <c r="U1588" i="3"/>
  <c r="V1588" i="3" s="1"/>
  <c r="T1588" i="3"/>
  <c r="S1588" i="3"/>
  <c r="R1588" i="3"/>
  <c r="P1588" i="3"/>
  <c r="O1588" i="3"/>
  <c r="N1588" i="3"/>
  <c r="Q1588" i="3" s="1"/>
  <c r="M1588" i="3"/>
  <c r="L1588" i="3"/>
  <c r="U1587" i="3"/>
  <c r="V1587" i="3" s="1"/>
  <c r="T1587" i="3"/>
  <c r="S1587" i="3"/>
  <c r="R1587" i="3"/>
  <c r="P1587" i="3"/>
  <c r="O1587" i="3"/>
  <c r="N1587" i="3"/>
  <c r="Q1587" i="3" s="1"/>
  <c r="M1587" i="3"/>
  <c r="L1587" i="3"/>
  <c r="U1586" i="3"/>
  <c r="T1586" i="3"/>
  <c r="S1586" i="3"/>
  <c r="R1586" i="3"/>
  <c r="Q1586" i="3"/>
  <c r="P1586" i="3"/>
  <c r="O1586" i="3"/>
  <c r="N1586" i="3"/>
  <c r="M1586" i="3"/>
  <c r="L1586" i="3"/>
  <c r="U1585" i="3"/>
  <c r="V1585" i="3" s="1"/>
  <c r="T1585" i="3"/>
  <c r="S1585" i="3"/>
  <c r="R1585" i="3"/>
  <c r="P1585" i="3"/>
  <c r="O1585" i="3"/>
  <c r="N1585" i="3"/>
  <c r="Q1585" i="3" s="1"/>
  <c r="M1585" i="3"/>
  <c r="L1585" i="3"/>
  <c r="V1584" i="3"/>
  <c r="U1584" i="3"/>
  <c r="T1584" i="3"/>
  <c r="S1584" i="3"/>
  <c r="R1584" i="3"/>
  <c r="Q1584" i="3"/>
  <c r="P1584" i="3"/>
  <c r="O1584" i="3"/>
  <c r="N1584" i="3"/>
  <c r="M1584" i="3"/>
  <c r="L1584" i="3"/>
  <c r="U1583" i="3"/>
  <c r="V1583" i="3" s="1"/>
  <c r="T1583" i="3"/>
  <c r="S1583" i="3"/>
  <c r="R1583" i="3"/>
  <c r="Q1583" i="3"/>
  <c r="P1583" i="3"/>
  <c r="O1583" i="3"/>
  <c r="N1583" i="3"/>
  <c r="M1583" i="3"/>
  <c r="L1583" i="3"/>
  <c r="V1582" i="3"/>
  <c r="U1582" i="3"/>
  <c r="T1582" i="3"/>
  <c r="S1582" i="3"/>
  <c r="R1582" i="3"/>
  <c r="P1582" i="3"/>
  <c r="O1582" i="3"/>
  <c r="N1582" i="3"/>
  <c r="Q1582" i="3" s="1"/>
  <c r="M1582" i="3"/>
  <c r="L1582" i="3"/>
  <c r="U1581" i="3"/>
  <c r="T1581" i="3"/>
  <c r="S1581" i="3"/>
  <c r="R1581" i="3"/>
  <c r="Q1581" i="3"/>
  <c r="P1581" i="3"/>
  <c r="O1581" i="3"/>
  <c r="N1581" i="3"/>
  <c r="M1581" i="3"/>
  <c r="L1581" i="3"/>
  <c r="V1581" i="3" s="1"/>
  <c r="U1580" i="3"/>
  <c r="V1580" i="3" s="1"/>
  <c r="T1580" i="3"/>
  <c r="S1580" i="3"/>
  <c r="R1580" i="3"/>
  <c r="P1580" i="3"/>
  <c r="O1580" i="3"/>
  <c r="N1580" i="3"/>
  <c r="Q1580" i="3" s="1"/>
  <c r="M1580" i="3"/>
  <c r="L1580" i="3"/>
  <c r="V1579" i="3"/>
  <c r="U1579" i="3"/>
  <c r="T1579" i="3"/>
  <c r="S1579" i="3"/>
  <c r="R1579" i="3"/>
  <c r="P1579" i="3"/>
  <c r="O1579" i="3"/>
  <c r="N1579" i="3"/>
  <c r="Q1579" i="3" s="1"/>
  <c r="M1579" i="3"/>
  <c r="L1579" i="3"/>
  <c r="U1578" i="3"/>
  <c r="T1578" i="3"/>
  <c r="S1578" i="3"/>
  <c r="R1578" i="3"/>
  <c r="Q1578" i="3"/>
  <c r="P1578" i="3"/>
  <c r="O1578" i="3"/>
  <c r="N1578" i="3"/>
  <c r="M1578" i="3"/>
  <c r="L1578" i="3"/>
  <c r="U1577" i="3"/>
  <c r="V1577" i="3" s="1"/>
  <c r="T1577" i="3"/>
  <c r="S1577" i="3"/>
  <c r="R1577" i="3"/>
  <c r="P1577" i="3"/>
  <c r="O1577" i="3"/>
  <c r="N1577" i="3"/>
  <c r="Q1577" i="3" s="1"/>
  <c r="M1577" i="3"/>
  <c r="L1577" i="3"/>
  <c r="V1576" i="3"/>
  <c r="U1576" i="3"/>
  <c r="T1576" i="3"/>
  <c r="S1576" i="3"/>
  <c r="R1576" i="3"/>
  <c r="P1576" i="3"/>
  <c r="O1576" i="3"/>
  <c r="N1576" i="3"/>
  <c r="Q1576" i="3" s="1"/>
  <c r="M1576" i="3"/>
  <c r="L1576" i="3"/>
  <c r="U1575" i="3"/>
  <c r="V1575" i="3" s="1"/>
  <c r="T1575" i="3"/>
  <c r="S1575" i="3"/>
  <c r="R1575" i="3"/>
  <c r="Q1575" i="3"/>
  <c r="P1575" i="3"/>
  <c r="O1575" i="3"/>
  <c r="N1575" i="3"/>
  <c r="M1575" i="3"/>
  <c r="L1575" i="3"/>
  <c r="U1574" i="3"/>
  <c r="V1574" i="3" s="1"/>
  <c r="T1574" i="3"/>
  <c r="S1574" i="3"/>
  <c r="R1574" i="3"/>
  <c r="P1574" i="3"/>
  <c r="O1574" i="3"/>
  <c r="N1574" i="3"/>
  <c r="Q1574" i="3" s="1"/>
  <c r="M1574" i="3"/>
  <c r="L1574" i="3"/>
  <c r="U1573" i="3"/>
  <c r="T1573" i="3"/>
  <c r="S1573" i="3"/>
  <c r="R1573" i="3"/>
  <c r="Q1573" i="3"/>
  <c r="P1573" i="3"/>
  <c r="O1573" i="3"/>
  <c r="N1573" i="3"/>
  <c r="M1573" i="3"/>
  <c r="L1573" i="3"/>
  <c r="V1573" i="3" s="1"/>
  <c r="V1572" i="3"/>
  <c r="U1572" i="3"/>
  <c r="T1572" i="3"/>
  <c r="S1572" i="3"/>
  <c r="R1572" i="3"/>
  <c r="P1572" i="3"/>
  <c r="O1572" i="3"/>
  <c r="N1572" i="3"/>
  <c r="Q1572" i="3" s="1"/>
  <c r="M1572" i="3"/>
  <c r="L1572" i="3"/>
  <c r="V1571" i="3"/>
  <c r="U1571" i="3"/>
  <c r="T1571" i="3"/>
  <c r="S1571" i="3"/>
  <c r="R1571" i="3"/>
  <c r="Q1571" i="3"/>
  <c r="P1571" i="3"/>
  <c r="O1571" i="3"/>
  <c r="N1571" i="3"/>
  <c r="M1571" i="3"/>
  <c r="L1571" i="3"/>
  <c r="U1570" i="3"/>
  <c r="T1570" i="3"/>
  <c r="S1570" i="3"/>
  <c r="R1570" i="3"/>
  <c r="Q1570" i="3"/>
  <c r="P1570" i="3"/>
  <c r="O1570" i="3"/>
  <c r="N1570" i="3"/>
  <c r="M1570" i="3"/>
  <c r="L1570" i="3"/>
  <c r="U1569" i="3"/>
  <c r="V1569" i="3" s="1"/>
  <c r="T1569" i="3"/>
  <c r="S1569" i="3"/>
  <c r="R1569" i="3"/>
  <c r="P1569" i="3"/>
  <c r="O1569" i="3"/>
  <c r="N1569" i="3"/>
  <c r="Q1569" i="3" s="1"/>
  <c r="M1569" i="3"/>
  <c r="L1569" i="3"/>
  <c r="V1568" i="3"/>
  <c r="U1568" i="3"/>
  <c r="T1568" i="3"/>
  <c r="S1568" i="3"/>
  <c r="R1568" i="3"/>
  <c r="P1568" i="3"/>
  <c r="O1568" i="3"/>
  <c r="N1568" i="3"/>
  <c r="Q1568" i="3" s="1"/>
  <c r="M1568" i="3"/>
  <c r="L1568" i="3"/>
  <c r="U1567" i="3"/>
  <c r="V1567" i="3" s="1"/>
  <c r="T1567" i="3"/>
  <c r="S1567" i="3"/>
  <c r="R1567" i="3"/>
  <c r="Q1567" i="3"/>
  <c r="P1567" i="3"/>
  <c r="O1567" i="3"/>
  <c r="N1567" i="3"/>
  <c r="M1567" i="3"/>
  <c r="L1567" i="3"/>
  <c r="U1566" i="3"/>
  <c r="V1566" i="3" s="1"/>
  <c r="T1566" i="3"/>
  <c r="S1566" i="3"/>
  <c r="R1566" i="3"/>
  <c r="P1566" i="3"/>
  <c r="O1566" i="3"/>
  <c r="N1566" i="3"/>
  <c r="Q1566" i="3" s="1"/>
  <c r="M1566" i="3"/>
  <c r="L1566" i="3"/>
  <c r="U1565" i="3"/>
  <c r="T1565" i="3"/>
  <c r="S1565" i="3"/>
  <c r="R1565" i="3"/>
  <c r="Q1565" i="3"/>
  <c r="P1565" i="3"/>
  <c r="O1565" i="3"/>
  <c r="N1565" i="3"/>
  <c r="M1565" i="3"/>
  <c r="L1565" i="3"/>
  <c r="V1565" i="3" s="1"/>
  <c r="U1564" i="3"/>
  <c r="V1564" i="3" s="1"/>
  <c r="T1564" i="3"/>
  <c r="S1564" i="3"/>
  <c r="R1564" i="3"/>
  <c r="P1564" i="3"/>
  <c r="O1564" i="3"/>
  <c r="N1564" i="3"/>
  <c r="Q1564" i="3" s="1"/>
  <c r="M1564" i="3"/>
  <c r="L1564" i="3"/>
  <c r="U1563" i="3"/>
  <c r="V1563" i="3" s="1"/>
  <c r="T1563" i="3"/>
  <c r="S1563" i="3"/>
  <c r="R1563" i="3"/>
  <c r="P1563" i="3"/>
  <c r="O1563" i="3"/>
  <c r="N1563" i="3"/>
  <c r="Q1563" i="3" s="1"/>
  <c r="M1563" i="3"/>
  <c r="L1563" i="3"/>
  <c r="U1562" i="3"/>
  <c r="T1562" i="3"/>
  <c r="S1562" i="3"/>
  <c r="R1562" i="3"/>
  <c r="Q1562" i="3"/>
  <c r="P1562" i="3"/>
  <c r="O1562" i="3"/>
  <c r="N1562" i="3"/>
  <c r="M1562" i="3"/>
  <c r="L1562" i="3"/>
  <c r="U1561" i="3"/>
  <c r="V1561" i="3" s="1"/>
  <c r="T1561" i="3"/>
  <c r="S1561" i="3"/>
  <c r="R1561" i="3"/>
  <c r="P1561" i="3"/>
  <c r="O1561" i="3"/>
  <c r="N1561" i="3"/>
  <c r="Q1561" i="3" s="1"/>
  <c r="M1561" i="3"/>
  <c r="L1561" i="3"/>
  <c r="V1560" i="3"/>
  <c r="U1560" i="3"/>
  <c r="T1560" i="3"/>
  <c r="S1560" i="3"/>
  <c r="R1560" i="3"/>
  <c r="Q1560" i="3"/>
  <c r="P1560" i="3"/>
  <c r="O1560" i="3"/>
  <c r="N1560" i="3"/>
  <c r="M1560" i="3"/>
  <c r="L1560" i="3"/>
  <c r="V1559" i="3"/>
  <c r="U1559" i="3"/>
  <c r="T1559" i="3"/>
  <c r="S1559" i="3"/>
  <c r="R1559" i="3"/>
  <c r="P1559" i="3"/>
  <c r="O1559" i="3"/>
  <c r="N1559" i="3"/>
  <c r="Q1559" i="3" s="1"/>
  <c r="M1559" i="3"/>
  <c r="L1559" i="3"/>
  <c r="U1558" i="3"/>
  <c r="V1558" i="3" s="1"/>
  <c r="T1558" i="3"/>
  <c r="S1558" i="3"/>
  <c r="R1558" i="3"/>
  <c r="Q1558" i="3"/>
  <c r="P1558" i="3"/>
  <c r="O1558" i="3"/>
  <c r="N1558" i="3"/>
  <c r="M1558" i="3"/>
  <c r="L1558" i="3"/>
  <c r="U1557" i="3"/>
  <c r="T1557" i="3"/>
  <c r="S1557" i="3"/>
  <c r="R1557" i="3"/>
  <c r="Q1557" i="3"/>
  <c r="P1557" i="3"/>
  <c r="O1557" i="3"/>
  <c r="N1557" i="3"/>
  <c r="M1557" i="3"/>
  <c r="L1557" i="3"/>
  <c r="V1557" i="3" s="1"/>
  <c r="V1556" i="3"/>
  <c r="U1556" i="3"/>
  <c r="T1556" i="3"/>
  <c r="S1556" i="3"/>
  <c r="R1556" i="3"/>
  <c r="P1556" i="3"/>
  <c r="O1556" i="3"/>
  <c r="N1556" i="3"/>
  <c r="Q1556" i="3" s="1"/>
  <c r="M1556" i="3"/>
  <c r="L1556" i="3"/>
  <c r="V1555" i="3"/>
  <c r="U1555" i="3"/>
  <c r="T1555" i="3"/>
  <c r="S1555" i="3"/>
  <c r="R1555" i="3"/>
  <c r="P1555" i="3"/>
  <c r="O1555" i="3"/>
  <c r="N1555" i="3"/>
  <c r="Q1555" i="3" s="1"/>
  <c r="M1555" i="3"/>
  <c r="L1555" i="3"/>
  <c r="U1554" i="3"/>
  <c r="V1554" i="3" s="1"/>
  <c r="T1554" i="3"/>
  <c r="S1554" i="3"/>
  <c r="R1554" i="3"/>
  <c r="Q1554" i="3"/>
  <c r="P1554" i="3"/>
  <c r="O1554" i="3"/>
  <c r="N1554" i="3"/>
  <c r="M1554" i="3"/>
  <c r="L1554" i="3"/>
  <c r="U1553" i="3"/>
  <c r="V1553" i="3" s="1"/>
  <c r="T1553" i="3"/>
  <c r="S1553" i="3"/>
  <c r="R1553" i="3"/>
  <c r="P1553" i="3"/>
  <c r="O1553" i="3"/>
  <c r="N1553" i="3"/>
  <c r="Q1553" i="3" s="1"/>
  <c r="M1553" i="3"/>
  <c r="L1553" i="3"/>
  <c r="V1552" i="3"/>
  <c r="U1552" i="3"/>
  <c r="T1552" i="3"/>
  <c r="S1552" i="3"/>
  <c r="R1552" i="3"/>
  <c r="P1552" i="3"/>
  <c r="O1552" i="3"/>
  <c r="N1552" i="3"/>
  <c r="Q1552" i="3" s="1"/>
  <c r="M1552" i="3"/>
  <c r="L1552" i="3"/>
  <c r="U1551" i="3"/>
  <c r="V1551" i="3" s="1"/>
  <c r="T1551" i="3"/>
  <c r="S1551" i="3"/>
  <c r="R1551" i="3"/>
  <c r="Q1551" i="3"/>
  <c r="P1551" i="3"/>
  <c r="O1551" i="3"/>
  <c r="N1551" i="3"/>
  <c r="M1551" i="3"/>
  <c r="L1551" i="3"/>
  <c r="U1550" i="3"/>
  <c r="V1550" i="3" s="1"/>
  <c r="T1550" i="3"/>
  <c r="S1550" i="3"/>
  <c r="R1550" i="3"/>
  <c r="P1550" i="3"/>
  <c r="O1550" i="3"/>
  <c r="N1550" i="3"/>
  <c r="Q1550" i="3" s="1"/>
  <c r="M1550" i="3"/>
  <c r="L1550" i="3"/>
  <c r="U1549" i="3"/>
  <c r="T1549" i="3"/>
  <c r="S1549" i="3"/>
  <c r="R1549" i="3"/>
  <c r="Q1549" i="3"/>
  <c r="P1549" i="3"/>
  <c r="O1549" i="3"/>
  <c r="N1549" i="3"/>
  <c r="M1549" i="3"/>
  <c r="L1549" i="3"/>
  <c r="V1549" i="3" s="1"/>
  <c r="U1548" i="3"/>
  <c r="V1548" i="3" s="1"/>
  <c r="T1548" i="3"/>
  <c r="S1548" i="3"/>
  <c r="R1548" i="3"/>
  <c r="P1548" i="3"/>
  <c r="O1548" i="3"/>
  <c r="N1548" i="3"/>
  <c r="Q1548" i="3" s="1"/>
  <c r="M1548" i="3"/>
  <c r="L1548" i="3"/>
  <c r="U1547" i="3"/>
  <c r="V1547" i="3" s="1"/>
  <c r="T1547" i="3"/>
  <c r="S1547" i="3"/>
  <c r="R1547" i="3"/>
  <c r="P1547" i="3"/>
  <c r="O1547" i="3"/>
  <c r="N1547" i="3"/>
  <c r="Q1547" i="3" s="1"/>
  <c r="M1547" i="3"/>
  <c r="L1547" i="3"/>
  <c r="U1546" i="3"/>
  <c r="T1546" i="3"/>
  <c r="S1546" i="3"/>
  <c r="R1546" i="3"/>
  <c r="Q1546" i="3"/>
  <c r="P1546" i="3"/>
  <c r="O1546" i="3"/>
  <c r="N1546" i="3"/>
  <c r="M1546" i="3"/>
  <c r="L1546" i="3"/>
  <c r="U1545" i="3"/>
  <c r="V1545" i="3" s="1"/>
  <c r="T1545" i="3"/>
  <c r="S1545" i="3"/>
  <c r="R1545" i="3"/>
  <c r="P1545" i="3"/>
  <c r="O1545" i="3"/>
  <c r="N1545" i="3"/>
  <c r="Q1545" i="3" s="1"/>
  <c r="M1545" i="3"/>
  <c r="L1545" i="3"/>
  <c r="V1544" i="3"/>
  <c r="U1544" i="3"/>
  <c r="T1544" i="3"/>
  <c r="S1544" i="3"/>
  <c r="R1544" i="3"/>
  <c r="Q1544" i="3"/>
  <c r="P1544" i="3"/>
  <c r="O1544" i="3"/>
  <c r="N1544" i="3"/>
  <c r="M1544" i="3"/>
  <c r="L1544" i="3"/>
  <c r="V1543" i="3"/>
  <c r="U1543" i="3"/>
  <c r="T1543" i="3"/>
  <c r="S1543" i="3"/>
  <c r="R1543" i="3"/>
  <c r="P1543" i="3"/>
  <c r="O1543" i="3"/>
  <c r="N1543" i="3"/>
  <c r="Q1543" i="3" s="1"/>
  <c r="M1543" i="3"/>
  <c r="L1543" i="3"/>
  <c r="U1542" i="3"/>
  <c r="V1542" i="3" s="1"/>
  <c r="T1542" i="3"/>
  <c r="S1542" i="3"/>
  <c r="R1542" i="3"/>
  <c r="Q1542" i="3"/>
  <c r="P1542" i="3"/>
  <c r="O1542" i="3"/>
  <c r="N1542" i="3"/>
  <c r="M1542" i="3"/>
  <c r="L1542" i="3"/>
  <c r="U1541" i="3"/>
  <c r="T1541" i="3"/>
  <c r="S1541" i="3"/>
  <c r="R1541" i="3"/>
  <c r="P1541" i="3"/>
  <c r="O1541" i="3"/>
  <c r="N1541" i="3"/>
  <c r="Q1541" i="3" s="1"/>
  <c r="M1541" i="3"/>
  <c r="L1541" i="3"/>
  <c r="V1541" i="3" s="1"/>
  <c r="U1540" i="3"/>
  <c r="V1540" i="3" s="1"/>
  <c r="T1540" i="3"/>
  <c r="S1540" i="3"/>
  <c r="R1540" i="3"/>
  <c r="P1540" i="3"/>
  <c r="O1540" i="3"/>
  <c r="N1540" i="3"/>
  <c r="Q1540" i="3" s="1"/>
  <c r="M1540" i="3"/>
  <c r="L1540" i="3"/>
  <c r="V1539" i="3"/>
  <c r="U1539" i="3"/>
  <c r="T1539" i="3"/>
  <c r="S1539" i="3"/>
  <c r="R1539" i="3"/>
  <c r="P1539" i="3"/>
  <c r="O1539" i="3"/>
  <c r="N1539" i="3"/>
  <c r="Q1539" i="3" s="1"/>
  <c r="M1539" i="3"/>
  <c r="L1539" i="3"/>
  <c r="U1538" i="3"/>
  <c r="T1538" i="3"/>
  <c r="S1538" i="3"/>
  <c r="R1538" i="3"/>
  <c r="Q1538" i="3"/>
  <c r="P1538" i="3"/>
  <c r="O1538" i="3"/>
  <c r="N1538" i="3"/>
  <c r="M1538" i="3"/>
  <c r="L1538" i="3"/>
  <c r="U1537" i="3"/>
  <c r="V1537" i="3" s="1"/>
  <c r="T1537" i="3"/>
  <c r="S1537" i="3"/>
  <c r="R1537" i="3"/>
  <c r="P1537" i="3"/>
  <c r="O1537" i="3"/>
  <c r="N1537" i="3"/>
  <c r="Q1537" i="3" s="1"/>
  <c r="M1537" i="3"/>
  <c r="L1537" i="3"/>
  <c r="U1536" i="3"/>
  <c r="V1536" i="3" s="1"/>
  <c r="T1536" i="3"/>
  <c r="S1536" i="3"/>
  <c r="R1536" i="3"/>
  <c r="Q1536" i="3"/>
  <c r="P1536" i="3"/>
  <c r="O1536" i="3"/>
  <c r="N1536" i="3"/>
  <c r="M1536" i="3"/>
  <c r="L1536" i="3"/>
  <c r="U1535" i="3"/>
  <c r="V1535" i="3" s="1"/>
  <c r="T1535" i="3"/>
  <c r="S1535" i="3"/>
  <c r="R1535" i="3"/>
  <c r="P1535" i="3"/>
  <c r="O1535" i="3"/>
  <c r="N1535" i="3"/>
  <c r="Q1535" i="3" s="1"/>
  <c r="M1535" i="3"/>
  <c r="L1535" i="3"/>
  <c r="U1534" i="3"/>
  <c r="V1534" i="3" s="1"/>
  <c r="T1534" i="3"/>
  <c r="S1534" i="3"/>
  <c r="R1534" i="3"/>
  <c r="P1534" i="3"/>
  <c r="O1534" i="3"/>
  <c r="N1534" i="3"/>
  <c r="Q1534" i="3" s="1"/>
  <c r="M1534" i="3"/>
  <c r="L1534" i="3"/>
  <c r="V1533" i="3"/>
  <c r="U1533" i="3"/>
  <c r="T1533" i="3"/>
  <c r="S1533" i="3"/>
  <c r="R1533" i="3"/>
  <c r="P1533" i="3"/>
  <c r="O1533" i="3"/>
  <c r="N1533" i="3"/>
  <c r="Q1533" i="3" s="1"/>
  <c r="M1533" i="3"/>
  <c r="L1533" i="3"/>
  <c r="U1532" i="3"/>
  <c r="V1532" i="3" s="1"/>
  <c r="T1532" i="3"/>
  <c r="S1532" i="3"/>
  <c r="R1532" i="3"/>
  <c r="Q1532" i="3"/>
  <c r="P1532" i="3"/>
  <c r="O1532" i="3"/>
  <c r="N1532" i="3"/>
  <c r="M1532" i="3"/>
  <c r="L1532" i="3"/>
  <c r="U1531" i="3"/>
  <c r="T1531" i="3"/>
  <c r="S1531" i="3"/>
  <c r="R1531" i="3"/>
  <c r="P1531" i="3"/>
  <c r="O1531" i="3"/>
  <c r="N1531" i="3"/>
  <c r="Q1531" i="3" s="1"/>
  <c r="M1531" i="3"/>
  <c r="L1531" i="3"/>
  <c r="V1531" i="3" s="1"/>
  <c r="U1530" i="3"/>
  <c r="V1530" i="3" s="1"/>
  <c r="T1530" i="3"/>
  <c r="S1530" i="3"/>
  <c r="R1530" i="3"/>
  <c r="Q1530" i="3"/>
  <c r="P1530" i="3"/>
  <c r="O1530" i="3"/>
  <c r="N1530" i="3"/>
  <c r="M1530" i="3"/>
  <c r="L1530" i="3"/>
  <c r="U1529" i="3"/>
  <c r="V1529" i="3" s="1"/>
  <c r="T1529" i="3"/>
  <c r="S1529" i="3"/>
  <c r="R1529" i="3"/>
  <c r="P1529" i="3"/>
  <c r="O1529" i="3"/>
  <c r="N1529" i="3"/>
  <c r="Q1529" i="3" s="1"/>
  <c r="M1529" i="3"/>
  <c r="L1529" i="3"/>
  <c r="U1528" i="3"/>
  <c r="V1528" i="3" s="1"/>
  <c r="T1528" i="3"/>
  <c r="S1528" i="3"/>
  <c r="R1528" i="3"/>
  <c r="P1528" i="3"/>
  <c r="O1528" i="3"/>
  <c r="N1528" i="3"/>
  <c r="Q1528" i="3" s="1"/>
  <c r="M1528" i="3"/>
  <c r="L1528" i="3"/>
  <c r="V1527" i="3"/>
  <c r="U1527" i="3"/>
  <c r="T1527" i="3"/>
  <c r="S1527" i="3"/>
  <c r="R1527" i="3"/>
  <c r="P1527" i="3"/>
  <c r="O1527" i="3"/>
  <c r="N1527" i="3"/>
  <c r="Q1527" i="3" s="1"/>
  <c r="M1527" i="3"/>
  <c r="L1527" i="3"/>
  <c r="U1526" i="3"/>
  <c r="V1526" i="3" s="1"/>
  <c r="T1526" i="3"/>
  <c r="S1526" i="3"/>
  <c r="R1526" i="3"/>
  <c r="Q1526" i="3"/>
  <c r="P1526" i="3"/>
  <c r="O1526" i="3"/>
  <c r="N1526" i="3"/>
  <c r="M1526" i="3"/>
  <c r="L1526" i="3"/>
  <c r="U1525" i="3"/>
  <c r="T1525" i="3"/>
  <c r="S1525" i="3"/>
  <c r="R1525" i="3"/>
  <c r="P1525" i="3"/>
  <c r="O1525" i="3"/>
  <c r="N1525" i="3"/>
  <c r="Q1525" i="3" s="1"/>
  <c r="M1525" i="3"/>
  <c r="L1525" i="3"/>
  <c r="V1525" i="3" s="1"/>
  <c r="V1524" i="3"/>
  <c r="U1524" i="3"/>
  <c r="T1524" i="3"/>
  <c r="S1524" i="3"/>
  <c r="R1524" i="3"/>
  <c r="Q1524" i="3"/>
  <c r="P1524" i="3"/>
  <c r="O1524" i="3"/>
  <c r="N1524" i="3"/>
  <c r="M1524" i="3"/>
  <c r="L1524" i="3"/>
  <c r="V1523" i="3"/>
  <c r="U1523" i="3"/>
  <c r="T1523" i="3"/>
  <c r="S1523" i="3"/>
  <c r="R1523" i="3"/>
  <c r="P1523" i="3"/>
  <c r="O1523" i="3"/>
  <c r="N1523" i="3"/>
  <c r="Q1523" i="3" s="1"/>
  <c r="M1523" i="3"/>
  <c r="L1523" i="3"/>
  <c r="U1522" i="3"/>
  <c r="T1522" i="3"/>
  <c r="S1522" i="3"/>
  <c r="R1522" i="3"/>
  <c r="Q1522" i="3"/>
  <c r="P1522" i="3"/>
  <c r="O1522" i="3"/>
  <c r="N1522" i="3"/>
  <c r="M1522" i="3"/>
  <c r="L1522" i="3"/>
  <c r="V1521" i="3"/>
  <c r="U1521" i="3"/>
  <c r="T1521" i="3"/>
  <c r="S1521" i="3"/>
  <c r="R1521" i="3"/>
  <c r="P1521" i="3"/>
  <c r="O1521" i="3"/>
  <c r="N1521" i="3"/>
  <c r="Q1521" i="3" s="1"/>
  <c r="M1521" i="3"/>
  <c r="L1521" i="3"/>
  <c r="U1520" i="3"/>
  <c r="V1520" i="3" s="1"/>
  <c r="T1520" i="3"/>
  <c r="S1520" i="3"/>
  <c r="R1520" i="3"/>
  <c r="Q1520" i="3"/>
  <c r="P1520" i="3"/>
  <c r="O1520" i="3"/>
  <c r="N1520" i="3"/>
  <c r="M1520" i="3"/>
  <c r="L1520" i="3"/>
  <c r="U1519" i="3"/>
  <c r="T1519" i="3"/>
  <c r="S1519" i="3"/>
  <c r="R1519" i="3"/>
  <c r="P1519" i="3"/>
  <c r="O1519" i="3"/>
  <c r="N1519" i="3"/>
  <c r="Q1519" i="3" s="1"/>
  <c r="M1519" i="3"/>
  <c r="L1519" i="3"/>
  <c r="V1519" i="3" s="1"/>
  <c r="V1518" i="3"/>
  <c r="U1518" i="3"/>
  <c r="T1518" i="3"/>
  <c r="S1518" i="3"/>
  <c r="R1518" i="3"/>
  <c r="Q1518" i="3"/>
  <c r="P1518" i="3"/>
  <c r="O1518" i="3"/>
  <c r="N1518" i="3"/>
  <c r="M1518" i="3"/>
  <c r="L1518" i="3"/>
  <c r="V1517" i="3"/>
  <c r="U1517" i="3"/>
  <c r="T1517" i="3"/>
  <c r="S1517" i="3"/>
  <c r="R1517" i="3"/>
  <c r="P1517" i="3"/>
  <c r="O1517" i="3"/>
  <c r="N1517" i="3"/>
  <c r="Q1517" i="3" s="1"/>
  <c r="M1517" i="3"/>
  <c r="L1517" i="3"/>
  <c r="U1516" i="3"/>
  <c r="V1516" i="3" s="1"/>
  <c r="T1516" i="3"/>
  <c r="S1516" i="3"/>
  <c r="R1516" i="3"/>
  <c r="Q1516" i="3"/>
  <c r="P1516" i="3"/>
  <c r="O1516" i="3"/>
  <c r="N1516" i="3"/>
  <c r="M1516" i="3"/>
  <c r="L1516" i="3"/>
  <c r="U1515" i="3"/>
  <c r="V1515" i="3" s="1"/>
  <c r="T1515" i="3"/>
  <c r="S1515" i="3"/>
  <c r="R1515" i="3"/>
  <c r="P1515" i="3"/>
  <c r="O1515" i="3"/>
  <c r="N1515" i="3"/>
  <c r="Q1515" i="3" s="1"/>
  <c r="M1515" i="3"/>
  <c r="L1515" i="3"/>
  <c r="U1514" i="3"/>
  <c r="T1514" i="3"/>
  <c r="S1514" i="3"/>
  <c r="R1514" i="3"/>
  <c r="Q1514" i="3"/>
  <c r="P1514" i="3"/>
  <c r="O1514" i="3"/>
  <c r="N1514" i="3"/>
  <c r="M1514" i="3"/>
  <c r="L1514" i="3"/>
  <c r="U1513" i="3"/>
  <c r="V1513" i="3" s="1"/>
  <c r="T1513" i="3"/>
  <c r="S1513" i="3"/>
  <c r="R1513" i="3"/>
  <c r="P1513" i="3"/>
  <c r="O1513" i="3"/>
  <c r="N1513" i="3"/>
  <c r="Q1513" i="3" s="1"/>
  <c r="M1513" i="3"/>
  <c r="L1513" i="3"/>
  <c r="V1512" i="3"/>
  <c r="U1512" i="3"/>
  <c r="T1512" i="3"/>
  <c r="S1512" i="3"/>
  <c r="R1512" i="3"/>
  <c r="Q1512" i="3"/>
  <c r="P1512" i="3"/>
  <c r="O1512" i="3"/>
  <c r="N1512" i="3"/>
  <c r="M1512" i="3"/>
  <c r="L1512" i="3"/>
  <c r="V1511" i="3"/>
  <c r="U1511" i="3"/>
  <c r="T1511" i="3"/>
  <c r="S1511" i="3"/>
  <c r="R1511" i="3"/>
  <c r="P1511" i="3"/>
  <c r="O1511" i="3"/>
  <c r="N1511" i="3"/>
  <c r="Q1511" i="3" s="1"/>
  <c r="M1511" i="3"/>
  <c r="L1511" i="3"/>
  <c r="U1510" i="3"/>
  <c r="V1510" i="3" s="1"/>
  <c r="T1510" i="3"/>
  <c r="S1510" i="3"/>
  <c r="R1510" i="3"/>
  <c r="Q1510" i="3"/>
  <c r="P1510" i="3"/>
  <c r="O1510" i="3"/>
  <c r="N1510" i="3"/>
  <c r="M1510" i="3"/>
  <c r="L1510" i="3"/>
  <c r="U1509" i="3"/>
  <c r="T1509" i="3"/>
  <c r="S1509" i="3"/>
  <c r="R1509" i="3"/>
  <c r="P1509" i="3"/>
  <c r="O1509" i="3"/>
  <c r="N1509" i="3"/>
  <c r="Q1509" i="3" s="1"/>
  <c r="M1509" i="3"/>
  <c r="L1509" i="3"/>
  <c r="V1509" i="3" s="1"/>
  <c r="U1508" i="3"/>
  <c r="V1508" i="3" s="1"/>
  <c r="T1508" i="3"/>
  <c r="S1508" i="3"/>
  <c r="R1508" i="3"/>
  <c r="P1508" i="3"/>
  <c r="O1508" i="3"/>
  <c r="N1508" i="3"/>
  <c r="Q1508" i="3" s="1"/>
  <c r="M1508" i="3"/>
  <c r="L1508" i="3"/>
  <c r="V1507" i="3"/>
  <c r="U1507" i="3"/>
  <c r="T1507" i="3"/>
  <c r="S1507" i="3"/>
  <c r="R1507" i="3"/>
  <c r="P1507" i="3"/>
  <c r="O1507" i="3"/>
  <c r="N1507" i="3"/>
  <c r="Q1507" i="3" s="1"/>
  <c r="M1507" i="3"/>
  <c r="L1507" i="3"/>
  <c r="U1506" i="3"/>
  <c r="T1506" i="3"/>
  <c r="S1506" i="3"/>
  <c r="R1506" i="3"/>
  <c r="Q1506" i="3"/>
  <c r="P1506" i="3"/>
  <c r="O1506" i="3"/>
  <c r="N1506" i="3"/>
  <c r="M1506" i="3"/>
  <c r="L1506" i="3"/>
  <c r="U1505" i="3"/>
  <c r="V1505" i="3" s="1"/>
  <c r="T1505" i="3"/>
  <c r="S1505" i="3"/>
  <c r="R1505" i="3"/>
  <c r="P1505" i="3"/>
  <c r="O1505" i="3"/>
  <c r="N1505" i="3"/>
  <c r="Q1505" i="3" s="1"/>
  <c r="M1505" i="3"/>
  <c r="L1505" i="3"/>
  <c r="U1504" i="3"/>
  <c r="V1504" i="3" s="1"/>
  <c r="T1504" i="3"/>
  <c r="S1504" i="3"/>
  <c r="R1504" i="3"/>
  <c r="Q1504" i="3"/>
  <c r="P1504" i="3"/>
  <c r="O1504" i="3"/>
  <c r="N1504" i="3"/>
  <c r="M1504" i="3"/>
  <c r="L1504" i="3"/>
  <c r="U1503" i="3"/>
  <c r="V1503" i="3" s="1"/>
  <c r="T1503" i="3"/>
  <c r="S1503" i="3"/>
  <c r="R1503" i="3"/>
  <c r="P1503" i="3"/>
  <c r="O1503" i="3"/>
  <c r="N1503" i="3"/>
  <c r="Q1503" i="3" s="1"/>
  <c r="M1503" i="3"/>
  <c r="L1503" i="3"/>
  <c r="U1502" i="3"/>
  <c r="V1502" i="3" s="1"/>
  <c r="T1502" i="3"/>
  <c r="S1502" i="3"/>
  <c r="R1502" i="3"/>
  <c r="P1502" i="3"/>
  <c r="O1502" i="3"/>
  <c r="N1502" i="3"/>
  <c r="Q1502" i="3" s="1"/>
  <c r="M1502" i="3"/>
  <c r="L1502" i="3"/>
  <c r="V1501" i="3"/>
  <c r="U1501" i="3"/>
  <c r="T1501" i="3"/>
  <c r="S1501" i="3"/>
  <c r="R1501" i="3"/>
  <c r="P1501" i="3"/>
  <c r="O1501" i="3"/>
  <c r="N1501" i="3"/>
  <c r="Q1501" i="3" s="1"/>
  <c r="M1501" i="3"/>
  <c r="L1501" i="3"/>
  <c r="U1500" i="3"/>
  <c r="V1500" i="3" s="1"/>
  <c r="T1500" i="3"/>
  <c r="S1500" i="3"/>
  <c r="R1500" i="3"/>
  <c r="Q1500" i="3"/>
  <c r="P1500" i="3"/>
  <c r="O1500" i="3"/>
  <c r="N1500" i="3"/>
  <c r="M1500" i="3"/>
  <c r="L1500" i="3"/>
  <c r="U1499" i="3"/>
  <c r="T1499" i="3"/>
  <c r="S1499" i="3"/>
  <c r="R1499" i="3"/>
  <c r="P1499" i="3"/>
  <c r="O1499" i="3"/>
  <c r="N1499" i="3"/>
  <c r="Q1499" i="3" s="1"/>
  <c r="M1499" i="3"/>
  <c r="L1499" i="3"/>
  <c r="V1499" i="3" s="1"/>
  <c r="V1498" i="3"/>
  <c r="U1498" i="3"/>
  <c r="T1498" i="3"/>
  <c r="S1498" i="3"/>
  <c r="R1498" i="3"/>
  <c r="Q1498" i="3"/>
  <c r="P1498" i="3"/>
  <c r="O1498" i="3"/>
  <c r="N1498" i="3"/>
  <c r="M1498" i="3"/>
  <c r="L1498" i="3"/>
  <c r="V1497" i="3"/>
  <c r="U1497" i="3"/>
  <c r="T1497" i="3"/>
  <c r="S1497" i="3"/>
  <c r="R1497" i="3"/>
  <c r="P1497" i="3"/>
  <c r="O1497" i="3"/>
  <c r="N1497" i="3"/>
  <c r="Q1497" i="3" s="1"/>
  <c r="M1497" i="3"/>
  <c r="L1497" i="3"/>
  <c r="U1496" i="3"/>
  <c r="V1496" i="3" s="1"/>
  <c r="T1496" i="3"/>
  <c r="S1496" i="3"/>
  <c r="R1496" i="3"/>
  <c r="Q1496" i="3"/>
  <c r="P1496" i="3"/>
  <c r="O1496" i="3"/>
  <c r="N1496" i="3"/>
  <c r="M1496" i="3"/>
  <c r="L1496" i="3"/>
  <c r="U1495" i="3"/>
  <c r="V1495" i="3" s="1"/>
  <c r="T1495" i="3"/>
  <c r="S1495" i="3"/>
  <c r="R1495" i="3"/>
  <c r="P1495" i="3"/>
  <c r="O1495" i="3"/>
  <c r="N1495" i="3"/>
  <c r="Q1495" i="3" s="1"/>
  <c r="M1495" i="3"/>
  <c r="L1495" i="3"/>
  <c r="U1494" i="3"/>
  <c r="V1494" i="3" s="1"/>
  <c r="T1494" i="3"/>
  <c r="S1494" i="3"/>
  <c r="R1494" i="3"/>
  <c r="P1494" i="3"/>
  <c r="O1494" i="3"/>
  <c r="N1494" i="3"/>
  <c r="Q1494" i="3" s="1"/>
  <c r="M1494" i="3"/>
  <c r="L1494" i="3"/>
  <c r="V1493" i="3"/>
  <c r="U1493" i="3"/>
  <c r="T1493" i="3"/>
  <c r="S1493" i="3"/>
  <c r="R1493" i="3"/>
  <c r="P1493" i="3"/>
  <c r="O1493" i="3"/>
  <c r="N1493" i="3"/>
  <c r="Q1493" i="3" s="1"/>
  <c r="M1493" i="3"/>
  <c r="L1493" i="3"/>
  <c r="U1492" i="3"/>
  <c r="V1492" i="3" s="1"/>
  <c r="T1492" i="3"/>
  <c r="S1492" i="3"/>
  <c r="R1492" i="3"/>
  <c r="Q1492" i="3"/>
  <c r="P1492" i="3"/>
  <c r="O1492" i="3"/>
  <c r="N1492" i="3"/>
  <c r="M1492" i="3"/>
  <c r="L1492" i="3"/>
  <c r="U1491" i="3"/>
  <c r="T1491" i="3"/>
  <c r="S1491" i="3"/>
  <c r="R1491" i="3"/>
  <c r="P1491" i="3"/>
  <c r="O1491" i="3"/>
  <c r="N1491" i="3"/>
  <c r="Q1491" i="3" s="1"/>
  <c r="M1491" i="3"/>
  <c r="L1491" i="3"/>
  <c r="V1491" i="3" s="1"/>
  <c r="V1490" i="3"/>
  <c r="U1490" i="3"/>
  <c r="T1490" i="3"/>
  <c r="S1490" i="3"/>
  <c r="R1490" i="3"/>
  <c r="Q1490" i="3"/>
  <c r="P1490" i="3"/>
  <c r="O1490" i="3"/>
  <c r="N1490" i="3"/>
  <c r="M1490" i="3"/>
  <c r="L1490" i="3"/>
  <c r="V1489" i="3"/>
  <c r="U1489" i="3"/>
  <c r="T1489" i="3"/>
  <c r="S1489" i="3"/>
  <c r="R1489" i="3"/>
  <c r="P1489" i="3"/>
  <c r="O1489" i="3"/>
  <c r="N1489" i="3"/>
  <c r="Q1489" i="3" s="1"/>
  <c r="M1489" i="3"/>
  <c r="L1489" i="3"/>
  <c r="U1488" i="3"/>
  <c r="V1488" i="3" s="1"/>
  <c r="T1488" i="3"/>
  <c r="S1488" i="3"/>
  <c r="R1488" i="3"/>
  <c r="Q1488" i="3"/>
  <c r="P1488" i="3"/>
  <c r="O1488" i="3"/>
  <c r="N1488" i="3"/>
  <c r="M1488" i="3"/>
  <c r="L1488" i="3"/>
  <c r="U1487" i="3"/>
  <c r="V1487" i="3" s="1"/>
  <c r="T1487" i="3"/>
  <c r="S1487" i="3"/>
  <c r="R1487" i="3"/>
  <c r="P1487" i="3"/>
  <c r="O1487" i="3"/>
  <c r="N1487" i="3"/>
  <c r="Q1487" i="3" s="1"/>
  <c r="M1487" i="3"/>
  <c r="L1487" i="3"/>
  <c r="U1486" i="3"/>
  <c r="V1486" i="3" s="1"/>
  <c r="T1486" i="3"/>
  <c r="S1486" i="3"/>
  <c r="R1486" i="3"/>
  <c r="P1486" i="3"/>
  <c r="O1486" i="3"/>
  <c r="N1486" i="3"/>
  <c r="Q1486" i="3" s="1"/>
  <c r="M1486" i="3"/>
  <c r="L1486" i="3"/>
  <c r="V1485" i="3"/>
  <c r="U1485" i="3"/>
  <c r="T1485" i="3"/>
  <c r="S1485" i="3"/>
  <c r="R1485" i="3"/>
  <c r="P1485" i="3"/>
  <c r="O1485" i="3"/>
  <c r="N1485" i="3"/>
  <c r="Q1485" i="3" s="1"/>
  <c r="M1485" i="3"/>
  <c r="L1485" i="3"/>
  <c r="U1484" i="3"/>
  <c r="V1484" i="3" s="1"/>
  <c r="T1484" i="3"/>
  <c r="S1484" i="3"/>
  <c r="R1484" i="3"/>
  <c r="Q1484" i="3"/>
  <c r="P1484" i="3"/>
  <c r="O1484" i="3"/>
  <c r="N1484" i="3"/>
  <c r="M1484" i="3"/>
  <c r="L1484" i="3"/>
  <c r="U1483" i="3"/>
  <c r="T1483" i="3"/>
  <c r="S1483" i="3"/>
  <c r="R1483" i="3"/>
  <c r="P1483" i="3"/>
  <c r="O1483" i="3"/>
  <c r="N1483" i="3"/>
  <c r="Q1483" i="3" s="1"/>
  <c r="M1483" i="3"/>
  <c r="L1483" i="3"/>
  <c r="V1483" i="3" s="1"/>
  <c r="V1482" i="3"/>
  <c r="U1482" i="3"/>
  <c r="T1482" i="3"/>
  <c r="S1482" i="3"/>
  <c r="R1482" i="3"/>
  <c r="Q1482" i="3"/>
  <c r="P1482" i="3"/>
  <c r="O1482" i="3"/>
  <c r="N1482" i="3"/>
  <c r="M1482" i="3"/>
  <c r="L1482" i="3"/>
  <c r="V1481" i="3"/>
  <c r="U1481" i="3"/>
  <c r="T1481" i="3"/>
  <c r="S1481" i="3"/>
  <c r="R1481" i="3"/>
  <c r="P1481" i="3"/>
  <c r="O1481" i="3"/>
  <c r="N1481" i="3"/>
  <c r="Q1481" i="3" s="1"/>
  <c r="M1481" i="3"/>
  <c r="L1481" i="3"/>
  <c r="U1480" i="3"/>
  <c r="V1480" i="3" s="1"/>
  <c r="T1480" i="3"/>
  <c r="S1480" i="3"/>
  <c r="R1480" i="3"/>
  <c r="Q1480" i="3"/>
  <c r="P1480" i="3"/>
  <c r="O1480" i="3"/>
  <c r="N1480" i="3"/>
  <c r="M1480" i="3"/>
  <c r="L1480" i="3"/>
  <c r="U1479" i="3"/>
  <c r="T1479" i="3"/>
  <c r="S1479" i="3"/>
  <c r="R1479" i="3"/>
  <c r="P1479" i="3"/>
  <c r="O1479" i="3"/>
  <c r="N1479" i="3"/>
  <c r="Q1479" i="3" s="1"/>
  <c r="M1479" i="3"/>
  <c r="L1479" i="3"/>
  <c r="U1478" i="3"/>
  <c r="V1478" i="3" s="1"/>
  <c r="T1478" i="3"/>
  <c r="S1478" i="3"/>
  <c r="R1478" i="3"/>
  <c r="P1478" i="3"/>
  <c r="O1478" i="3"/>
  <c r="N1478" i="3"/>
  <c r="Q1478" i="3" s="1"/>
  <c r="M1478" i="3"/>
  <c r="L1478" i="3"/>
  <c r="V1477" i="3"/>
  <c r="U1477" i="3"/>
  <c r="T1477" i="3"/>
  <c r="S1477" i="3"/>
  <c r="R1477" i="3"/>
  <c r="P1477" i="3"/>
  <c r="O1477" i="3"/>
  <c r="N1477" i="3"/>
  <c r="Q1477" i="3" s="1"/>
  <c r="M1477" i="3"/>
  <c r="L1477" i="3"/>
  <c r="U1476" i="3"/>
  <c r="V1476" i="3" s="1"/>
  <c r="T1476" i="3"/>
  <c r="S1476" i="3"/>
  <c r="R1476" i="3"/>
  <c r="Q1476" i="3"/>
  <c r="P1476" i="3"/>
  <c r="O1476" i="3"/>
  <c r="N1476" i="3"/>
  <c r="M1476" i="3"/>
  <c r="L1476" i="3"/>
  <c r="U1475" i="3"/>
  <c r="T1475" i="3"/>
  <c r="S1475" i="3"/>
  <c r="R1475" i="3"/>
  <c r="P1475" i="3"/>
  <c r="O1475" i="3"/>
  <c r="N1475" i="3"/>
  <c r="Q1475" i="3" s="1"/>
  <c r="M1475" i="3"/>
  <c r="L1475" i="3"/>
  <c r="V1475" i="3" s="1"/>
  <c r="V1474" i="3"/>
  <c r="U1474" i="3"/>
  <c r="T1474" i="3"/>
  <c r="S1474" i="3"/>
  <c r="R1474" i="3"/>
  <c r="Q1474" i="3"/>
  <c r="P1474" i="3"/>
  <c r="O1474" i="3"/>
  <c r="N1474" i="3"/>
  <c r="M1474" i="3"/>
  <c r="L1474" i="3"/>
  <c r="V1473" i="3"/>
  <c r="U1473" i="3"/>
  <c r="T1473" i="3"/>
  <c r="S1473" i="3"/>
  <c r="R1473" i="3"/>
  <c r="P1473" i="3"/>
  <c r="O1473" i="3"/>
  <c r="N1473" i="3"/>
  <c r="Q1473" i="3" s="1"/>
  <c r="M1473" i="3"/>
  <c r="L1473" i="3"/>
  <c r="U1472" i="3"/>
  <c r="V1472" i="3" s="1"/>
  <c r="T1472" i="3"/>
  <c r="S1472" i="3"/>
  <c r="R1472" i="3"/>
  <c r="Q1472" i="3"/>
  <c r="P1472" i="3"/>
  <c r="O1472" i="3"/>
  <c r="N1472" i="3"/>
  <c r="M1472" i="3"/>
  <c r="L1472" i="3"/>
  <c r="U1471" i="3"/>
  <c r="T1471" i="3"/>
  <c r="S1471" i="3"/>
  <c r="R1471" i="3"/>
  <c r="P1471" i="3"/>
  <c r="O1471" i="3"/>
  <c r="N1471" i="3"/>
  <c r="Q1471" i="3" s="1"/>
  <c r="M1471" i="3"/>
  <c r="L1471" i="3"/>
  <c r="U1470" i="3"/>
  <c r="V1470" i="3" s="1"/>
  <c r="T1470" i="3"/>
  <c r="S1470" i="3"/>
  <c r="R1470" i="3"/>
  <c r="P1470" i="3"/>
  <c r="O1470" i="3"/>
  <c r="N1470" i="3"/>
  <c r="Q1470" i="3" s="1"/>
  <c r="M1470" i="3"/>
  <c r="L1470" i="3"/>
  <c r="V1469" i="3"/>
  <c r="U1469" i="3"/>
  <c r="T1469" i="3"/>
  <c r="S1469" i="3"/>
  <c r="R1469" i="3"/>
  <c r="P1469" i="3"/>
  <c r="O1469" i="3"/>
  <c r="N1469" i="3"/>
  <c r="Q1469" i="3" s="1"/>
  <c r="M1469" i="3"/>
  <c r="L1469" i="3"/>
  <c r="U1468" i="3"/>
  <c r="V1468" i="3" s="1"/>
  <c r="T1468" i="3"/>
  <c r="S1468" i="3"/>
  <c r="R1468" i="3"/>
  <c r="Q1468" i="3"/>
  <c r="P1468" i="3"/>
  <c r="O1468" i="3"/>
  <c r="N1468" i="3"/>
  <c r="M1468" i="3"/>
  <c r="L1468" i="3"/>
  <c r="V1467" i="3"/>
  <c r="U1467" i="3"/>
  <c r="T1467" i="3"/>
  <c r="S1467" i="3"/>
  <c r="R1467" i="3"/>
  <c r="P1467" i="3"/>
  <c r="O1467" i="3"/>
  <c r="N1467" i="3"/>
  <c r="Q1467" i="3" s="1"/>
  <c r="M1467" i="3"/>
  <c r="L1467" i="3"/>
  <c r="V1466" i="3"/>
  <c r="U1466" i="3"/>
  <c r="T1466" i="3"/>
  <c r="S1466" i="3"/>
  <c r="R1466" i="3"/>
  <c r="Q1466" i="3"/>
  <c r="P1466" i="3"/>
  <c r="O1466" i="3"/>
  <c r="N1466" i="3"/>
  <c r="M1466" i="3"/>
  <c r="L1466" i="3"/>
  <c r="V1465" i="3"/>
  <c r="U1465" i="3"/>
  <c r="T1465" i="3"/>
  <c r="S1465" i="3"/>
  <c r="R1465" i="3"/>
  <c r="P1465" i="3"/>
  <c r="O1465" i="3"/>
  <c r="N1465" i="3"/>
  <c r="Q1465" i="3" s="1"/>
  <c r="M1465" i="3"/>
  <c r="L1465" i="3"/>
  <c r="U1464" i="3"/>
  <c r="V1464" i="3" s="1"/>
  <c r="T1464" i="3"/>
  <c r="S1464" i="3"/>
  <c r="R1464" i="3"/>
  <c r="Q1464" i="3"/>
  <c r="P1464" i="3"/>
  <c r="O1464" i="3"/>
  <c r="N1464" i="3"/>
  <c r="M1464" i="3"/>
  <c r="L1464" i="3"/>
  <c r="U1463" i="3"/>
  <c r="T1463" i="3"/>
  <c r="S1463" i="3"/>
  <c r="R1463" i="3"/>
  <c r="P1463" i="3"/>
  <c r="O1463" i="3"/>
  <c r="N1463" i="3"/>
  <c r="Q1463" i="3" s="1"/>
  <c r="M1463" i="3"/>
  <c r="L1463" i="3"/>
  <c r="U1462" i="3"/>
  <c r="V1462" i="3" s="1"/>
  <c r="T1462" i="3"/>
  <c r="S1462" i="3"/>
  <c r="R1462" i="3"/>
  <c r="P1462" i="3"/>
  <c r="O1462" i="3"/>
  <c r="N1462" i="3"/>
  <c r="Q1462" i="3" s="1"/>
  <c r="M1462" i="3"/>
  <c r="L1462" i="3"/>
  <c r="V1461" i="3"/>
  <c r="U1461" i="3"/>
  <c r="T1461" i="3"/>
  <c r="S1461" i="3"/>
  <c r="R1461" i="3"/>
  <c r="P1461" i="3"/>
  <c r="O1461" i="3"/>
  <c r="N1461" i="3"/>
  <c r="Q1461" i="3" s="1"/>
  <c r="M1461" i="3"/>
  <c r="L1461" i="3"/>
  <c r="U1460" i="3"/>
  <c r="V1460" i="3" s="1"/>
  <c r="T1460" i="3"/>
  <c r="S1460" i="3"/>
  <c r="R1460" i="3"/>
  <c r="Q1460" i="3"/>
  <c r="P1460" i="3"/>
  <c r="O1460" i="3"/>
  <c r="N1460" i="3"/>
  <c r="M1460" i="3"/>
  <c r="L1460" i="3"/>
  <c r="V1459" i="3"/>
  <c r="U1459" i="3"/>
  <c r="T1459" i="3"/>
  <c r="S1459" i="3"/>
  <c r="R1459" i="3"/>
  <c r="P1459" i="3"/>
  <c r="O1459" i="3"/>
  <c r="N1459" i="3"/>
  <c r="Q1459" i="3" s="1"/>
  <c r="M1459" i="3"/>
  <c r="L1459" i="3"/>
  <c r="V1458" i="3"/>
  <c r="U1458" i="3"/>
  <c r="T1458" i="3"/>
  <c r="S1458" i="3"/>
  <c r="R1458" i="3"/>
  <c r="Q1458" i="3"/>
  <c r="P1458" i="3"/>
  <c r="O1458" i="3"/>
  <c r="N1458" i="3"/>
  <c r="M1458" i="3"/>
  <c r="L1458" i="3"/>
  <c r="V1457" i="3"/>
  <c r="U1457" i="3"/>
  <c r="T1457" i="3"/>
  <c r="S1457" i="3"/>
  <c r="R1457" i="3"/>
  <c r="P1457" i="3"/>
  <c r="O1457" i="3"/>
  <c r="N1457" i="3"/>
  <c r="Q1457" i="3" s="1"/>
  <c r="M1457" i="3"/>
  <c r="L1457" i="3"/>
  <c r="U1456" i="3"/>
  <c r="V1456" i="3" s="1"/>
  <c r="T1456" i="3"/>
  <c r="S1456" i="3"/>
  <c r="R1456" i="3"/>
  <c r="Q1456" i="3"/>
  <c r="P1456" i="3"/>
  <c r="O1456" i="3"/>
  <c r="N1456" i="3"/>
  <c r="M1456" i="3"/>
  <c r="L1456" i="3"/>
  <c r="U1455" i="3"/>
  <c r="T1455" i="3"/>
  <c r="S1455" i="3"/>
  <c r="R1455" i="3"/>
  <c r="P1455" i="3"/>
  <c r="O1455" i="3"/>
  <c r="N1455" i="3"/>
  <c r="Q1455" i="3" s="1"/>
  <c r="M1455" i="3"/>
  <c r="L1455" i="3"/>
  <c r="U1454" i="3"/>
  <c r="V1454" i="3" s="1"/>
  <c r="T1454" i="3"/>
  <c r="S1454" i="3"/>
  <c r="R1454" i="3"/>
  <c r="P1454" i="3"/>
  <c r="O1454" i="3"/>
  <c r="N1454" i="3"/>
  <c r="Q1454" i="3" s="1"/>
  <c r="M1454" i="3"/>
  <c r="L1454" i="3"/>
  <c r="V1453" i="3"/>
  <c r="U1453" i="3"/>
  <c r="T1453" i="3"/>
  <c r="S1453" i="3"/>
  <c r="R1453" i="3"/>
  <c r="P1453" i="3"/>
  <c r="O1453" i="3"/>
  <c r="N1453" i="3"/>
  <c r="Q1453" i="3" s="1"/>
  <c r="M1453" i="3"/>
  <c r="L1453" i="3"/>
  <c r="U1452" i="3"/>
  <c r="V1452" i="3" s="1"/>
  <c r="T1452" i="3"/>
  <c r="S1452" i="3"/>
  <c r="R1452" i="3"/>
  <c r="Q1452" i="3"/>
  <c r="P1452" i="3"/>
  <c r="O1452" i="3"/>
  <c r="N1452" i="3"/>
  <c r="M1452" i="3"/>
  <c r="L1452" i="3"/>
  <c r="V1451" i="3"/>
  <c r="U1451" i="3"/>
  <c r="T1451" i="3"/>
  <c r="S1451" i="3"/>
  <c r="R1451" i="3"/>
  <c r="P1451" i="3"/>
  <c r="O1451" i="3"/>
  <c r="N1451" i="3"/>
  <c r="Q1451" i="3" s="1"/>
  <c r="M1451" i="3"/>
  <c r="L1451" i="3"/>
  <c r="V1450" i="3"/>
  <c r="U1450" i="3"/>
  <c r="T1450" i="3"/>
  <c r="S1450" i="3"/>
  <c r="R1450" i="3"/>
  <c r="Q1450" i="3"/>
  <c r="P1450" i="3"/>
  <c r="O1450" i="3"/>
  <c r="N1450" i="3"/>
  <c r="M1450" i="3"/>
  <c r="L1450" i="3"/>
  <c r="V1449" i="3"/>
  <c r="U1449" i="3"/>
  <c r="T1449" i="3"/>
  <c r="S1449" i="3"/>
  <c r="R1449" i="3"/>
  <c r="P1449" i="3"/>
  <c r="O1449" i="3"/>
  <c r="N1449" i="3"/>
  <c r="Q1449" i="3" s="1"/>
  <c r="M1449" i="3"/>
  <c r="L1449" i="3"/>
  <c r="U1448" i="3"/>
  <c r="V1448" i="3" s="1"/>
  <c r="T1448" i="3"/>
  <c r="S1448" i="3"/>
  <c r="R1448" i="3"/>
  <c r="Q1448" i="3"/>
  <c r="P1448" i="3"/>
  <c r="O1448" i="3"/>
  <c r="N1448" i="3"/>
  <c r="M1448" i="3"/>
  <c r="L1448" i="3"/>
  <c r="U1447" i="3"/>
  <c r="T1447" i="3"/>
  <c r="S1447" i="3"/>
  <c r="R1447" i="3"/>
  <c r="P1447" i="3"/>
  <c r="O1447" i="3"/>
  <c r="N1447" i="3"/>
  <c r="Q1447" i="3" s="1"/>
  <c r="M1447" i="3"/>
  <c r="L1447" i="3"/>
  <c r="U1446" i="3"/>
  <c r="V1446" i="3" s="1"/>
  <c r="T1446" i="3"/>
  <c r="S1446" i="3"/>
  <c r="R1446" i="3"/>
  <c r="P1446" i="3"/>
  <c r="O1446" i="3"/>
  <c r="N1446" i="3"/>
  <c r="Q1446" i="3" s="1"/>
  <c r="M1446" i="3"/>
  <c r="L1446" i="3"/>
  <c r="V1445" i="3"/>
  <c r="U1445" i="3"/>
  <c r="T1445" i="3"/>
  <c r="S1445" i="3"/>
  <c r="R1445" i="3"/>
  <c r="P1445" i="3"/>
  <c r="O1445" i="3"/>
  <c r="N1445" i="3"/>
  <c r="Q1445" i="3" s="1"/>
  <c r="M1445" i="3"/>
  <c r="L1445" i="3"/>
  <c r="U1444" i="3"/>
  <c r="V1444" i="3" s="1"/>
  <c r="T1444" i="3"/>
  <c r="S1444" i="3"/>
  <c r="R1444" i="3"/>
  <c r="Q1444" i="3"/>
  <c r="P1444" i="3"/>
  <c r="O1444" i="3"/>
  <c r="N1444" i="3"/>
  <c r="M1444" i="3"/>
  <c r="L1444" i="3"/>
  <c r="V1443" i="3"/>
  <c r="U1443" i="3"/>
  <c r="T1443" i="3"/>
  <c r="S1443" i="3"/>
  <c r="R1443" i="3"/>
  <c r="P1443" i="3"/>
  <c r="O1443" i="3"/>
  <c r="N1443" i="3"/>
  <c r="Q1443" i="3" s="1"/>
  <c r="M1443" i="3"/>
  <c r="L1443" i="3"/>
  <c r="V1442" i="3"/>
  <c r="U1442" i="3"/>
  <c r="T1442" i="3"/>
  <c r="S1442" i="3"/>
  <c r="R1442" i="3"/>
  <c r="Q1442" i="3"/>
  <c r="P1442" i="3"/>
  <c r="O1442" i="3"/>
  <c r="N1442" i="3"/>
  <c r="M1442" i="3"/>
  <c r="L1442" i="3"/>
  <c r="V1441" i="3"/>
  <c r="U1441" i="3"/>
  <c r="T1441" i="3"/>
  <c r="S1441" i="3"/>
  <c r="R1441" i="3"/>
  <c r="P1441" i="3"/>
  <c r="O1441" i="3"/>
  <c r="N1441" i="3"/>
  <c r="Q1441" i="3" s="1"/>
  <c r="M1441" i="3"/>
  <c r="L1441" i="3"/>
  <c r="U1440" i="3"/>
  <c r="V1440" i="3" s="1"/>
  <c r="T1440" i="3"/>
  <c r="S1440" i="3"/>
  <c r="R1440" i="3"/>
  <c r="Q1440" i="3"/>
  <c r="P1440" i="3"/>
  <c r="O1440" i="3"/>
  <c r="N1440" i="3"/>
  <c r="M1440" i="3"/>
  <c r="L1440" i="3"/>
  <c r="U1439" i="3"/>
  <c r="T1439" i="3"/>
  <c r="S1439" i="3"/>
  <c r="R1439" i="3"/>
  <c r="P1439" i="3"/>
  <c r="O1439" i="3"/>
  <c r="N1439" i="3"/>
  <c r="Q1439" i="3" s="1"/>
  <c r="M1439" i="3"/>
  <c r="L1439" i="3"/>
  <c r="U1438" i="3"/>
  <c r="V1438" i="3" s="1"/>
  <c r="T1438" i="3"/>
  <c r="S1438" i="3"/>
  <c r="R1438" i="3"/>
  <c r="P1438" i="3"/>
  <c r="O1438" i="3"/>
  <c r="N1438" i="3"/>
  <c r="Q1438" i="3" s="1"/>
  <c r="M1438" i="3"/>
  <c r="L1438" i="3"/>
  <c r="V1437" i="3"/>
  <c r="U1437" i="3"/>
  <c r="T1437" i="3"/>
  <c r="S1437" i="3"/>
  <c r="R1437" i="3"/>
  <c r="P1437" i="3"/>
  <c r="O1437" i="3"/>
  <c r="N1437" i="3"/>
  <c r="Q1437" i="3" s="1"/>
  <c r="M1437" i="3"/>
  <c r="L1437" i="3"/>
  <c r="U1436" i="3"/>
  <c r="V1436" i="3" s="1"/>
  <c r="T1436" i="3"/>
  <c r="S1436" i="3"/>
  <c r="R1436" i="3"/>
  <c r="Q1436" i="3"/>
  <c r="P1436" i="3"/>
  <c r="O1436" i="3"/>
  <c r="N1436" i="3"/>
  <c r="M1436" i="3"/>
  <c r="L1436" i="3"/>
  <c r="V1435" i="3"/>
  <c r="U1435" i="3"/>
  <c r="T1435" i="3"/>
  <c r="S1435" i="3"/>
  <c r="R1435" i="3"/>
  <c r="P1435" i="3"/>
  <c r="O1435" i="3"/>
  <c r="N1435" i="3"/>
  <c r="Q1435" i="3" s="1"/>
  <c r="M1435" i="3"/>
  <c r="L1435" i="3"/>
  <c r="V1434" i="3"/>
  <c r="U1434" i="3"/>
  <c r="T1434" i="3"/>
  <c r="S1434" i="3"/>
  <c r="R1434" i="3"/>
  <c r="Q1434" i="3"/>
  <c r="P1434" i="3"/>
  <c r="O1434" i="3"/>
  <c r="N1434" i="3"/>
  <c r="M1434" i="3"/>
  <c r="L1434" i="3"/>
  <c r="V1433" i="3"/>
  <c r="U1433" i="3"/>
  <c r="T1433" i="3"/>
  <c r="S1433" i="3"/>
  <c r="R1433" i="3"/>
  <c r="P1433" i="3"/>
  <c r="O1433" i="3"/>
  <c r="N1433" i="3"/>
  <c r="Q1433" i="3" s="1"/>
  <c r="M1433" i="3"/>
  <c r="L1433" i="3"/>
  <c r="U1432" i="3"/>
  <c r="V1432" i="3" s="1"/>
  <c r="T1432" i="3"/>
  <c r="S1432" i="3"/>
  <c r="R1432" i="3"/>
  <c r="Q1432" i="3"/>
  <c r="P1432" i="3"/>
  <c r="O1432" i="3"/>
  <c r="N1432" i="3"/>
  <c r="M1432" i="3"/>
  <c r="L1432" i="3"/>
  <c r="U1431" i="3"/>
  <c r="T1431" i="3"/>
  <c r="S1431" i="3"/>
  <c r="R1431" i="3"/>
  <c r="P1431" i="3"/>
  <c r="O1431" i="3"/>
  <c r="N1431" i="3"/>
  <c r="Q1431" i="3" s="1"/>
  <c r="M1431" i="3"/>
  <c r="L1431" i="3"/>
  <c r="U1430" i="3"/>
  <c r="V1430" i="3" s="1"/>
  <c r="T1430" i="3"/>
  <c r="S1430" i="3"/>
  <c r="R1430" i="3"/>
  <c r="P1430" i="3"/>
  <c r="O1430" i="3"/>
  <c r="N1430" i="3"/>
  <c r="Q1430" i="3" s="1"/>
  <c r="M1430" i="3"/>
  <c r="L1430" i="3"/>
  <c r="V1429" i="3"/>
  <c r="U1429" i="3"/>
  <c r="T1429" i="3"/>
  <c r="S1429" i="3"/>
  <c r="R1429" i="3"/>
  <c r="P1429" i="3"/>
  <c r="O1429" i="3"/>
  <c r="N1429" i="3"/>
  <c r="Q1429" i="3" s="1"/>
  <c r="M1429" i="3"/>
  <c r="L1429" i="3"/>
  <c r="U1428" i="3"/>
  <c r="V1428" i="3" s="1"/>
  <c r="T1428" i="3"/>
  <c r="S1428" i="3"/>
  <c r="R1428" i="3"/>
  <c r="Q1428" i="3"/>
  <c r="P1428" i="3"/>
  <c r="O1428" i="3"/>
  <c r="N1428" i="3"/>
  <c r="M1428" i="3"/>
  <c r="L1428" i="3"/>
  <c r="V1427" i="3"/>
  <c r="U1427" i="3"/>
  <c r="T1427" i="3"/>
  <c r="S1427" i="3"/>
  <c r="R1427" i="3"/>
  <c r="P1427" i="3"/>
  <c r="O1427" i="3"/>
  <c r="N1427" i="3"/>
  <c r="Q1427" i="3" s="1"/>
  <c r="M1427" i="3"/>
  <c r="L1427" i="3"/>
  <c r="V1426" i="3"/>
  <c r="U1426" i="3"/>
  <c r="T1426" i="3"/>
  <c r="S1426" i="3"/>
  <c r="R1426" i="3"/>
  <c r="Q1426" i="3"/>
  <c r="P1426" i="3"/>
  <c r="O1426" i="3"/>
  <c r="N1426" i="3"/>
  <c r="M1426" i="3"/>
  <c r="L1426" i="3"/>
  <c r="V1425" i="3"/>
  <c r="U1425" i="3"/>
  <c r="T1425" i="3"/>
  <c r="S1425" i="3"/>
  <c r="R1425" i="3"/>
  <c r="P1425" i="3"/>
  <c r="O1425" i="3"/>
  <c r="N1425" i="3"/>
  <c r="Q1425" i="3" s="1"/>
  <c r="M1425" i="3"/>
  <c r="L1425" i="3"/>
  <c r="U1424" i="3"/>
  <c r="V1424" i="3" s="1"/>
  <c r="T1424" i="3"/>
  <c r="S1424" i="3"/>
  <c r="R1424" i="3"/>
  <c r="Q1424" i="3"/>
  <c r="P1424" i="3"/>
  <c r="O1424" i="3"/>
  <c r="N1424" i="3"/>
  <c r="M1424" i="3"/>
  <c r="L1424" i="3"/>
  <c r="U1423" i="3"/>
  <c r="T1423" i="3"/>
  <c r="S1423" i="3"/>
  <c r="R1423" i="3"/>
  <c r="P1423" i="3"/>
  <c r="O1423" i="3"/>
  <c r="N1423" i="3"/>
  <c r="Q1423" i="3" s="1"/>
  <c r="M1423" i="3"/>
  <c r="L1423" i="3"/>
  <c r="U1422" i="3"/>
  <c r="V1422" i="3" s="1"/>
  <c r="T1422" i="3"/>
  <c r="S1422" i="3"/>
  <c r="R1422" i="3"/>
  <c r="P1422" i="3"/>
  <c r="O1422" i="3"/>
  <c r="N1422" i="3"/>
  <c r="Q1422" i="3" s="1"/>
  <c r="M1422" i="3"/>
  <c r="L1422" i="3"/>
  <c r="V1421" i="3"/>
  <c r="U1421" i="3"/>
  <c r="T1421" i="3"/>
  <c r="S1421" i="3"/>
  <c r="R1421" i="3"/>
  <c r="P1421" i="3"/>
  <c r="O1421" i="3"/>
  <c r="N1421" i="3"/>
  <c r="Q1421" i="3" s="1"/>
  <c r="M1421" i="3"/>
  <c r="L1421" i="3"/>
  <c r="U1420" i="3"/>
  <c r="V1420" i="3" s="1"/>
  <c r="T1420" i="3"/>
  <c r="S1420" i="3"/>
  <c r="R1420" i="3"/>
  <c r="Q1420" i="3"/>
  <c r="P1420" i="3"/>
  <c r="O1420" i="3"/>
  <c r="N1420" i="3"/>
  <c r="M1420" i="3"/>
  <c r="L1420" i="3"/>
  <c r="V1419" i="3"/>
  <c r="U1419" i="3"/>
  <c r="T1419" i="3"/>
  <c r="S1419" i="3"/>
  <c r="R1419" i="3"/>
  <c r="P1419" i="3"/>
  <c r="O1419" i="3"/>
  <c r="N1419" i="3"/>
  <c r="Q1419" i="3" s="1"/>
  <c r="M1419" i="3"/>
  <c r="L1419" i="3"/>
  <c r="V1418" i="3"/>
  <c r="U1418" i="3"/>
  <c r="T1418" i="3"/>
  <c r="S1418" i="3"/>
  <c r="R1418" i="3"/>
  <c r="Q1418" i="3"/>
  <c r="P1418" i="3"/>
  <c r="O1418" i="3"/>
  <c r="N1418" i="3"/>
  <c r="M1418" i="3"/>
  <c r="L1418" i="3"/>
  <c r="V1417" i="3"/>
  <c r="U1417" i="3"/>
  <c r="T1417" i="3"/>
  <c r="S1417" i="3"/>
  <c r="R1417" i="3"/>
  <c r="P1417" i="3"/>
  <c r="O1417" i="3"/>
  <c r="N1417" i="3"/>
  <c r="Q1417" i="3" s="1"/>
  <c r="M1417" i="3"/>
  <c r="L1417" i="3"/>
  <c r="U1416" i="3"/>
  <c r="V1416" i="3" s="1"/>
  <c r="T1416" i="3"/>
  <c r="S1416" i="3"/>
  <c r="R1416" i="3"/>
  <c r="Q1416" i="3"/>
  <c r="P1416" i="3"/>
  <c r="O1416" i="3"/>
  <c r="N1416" i="3"/>
  <c r="M1416" i="3"/>
  <c r="L1416" i="3"/>
  <c r="U1415" i="3"/>
  <c r="T1415" i="3"/>
  <c r="S1415" i="3"/>
  <c r="R1415" i="3"/>
  <c r="P1415" i="3"/>
  <c r="O1415" i="3"/>
  <c r="N1415" i="3"/>
  <c r="Q1415" i="3" s="1"/>
  <c r="M1415" i="3"/>
  <c r="L1415" i="3"/>
  <c r="U1414" i="3"/>
  <c r="V1414" i="3" s="1"/>
  <c r="T1414" i="3"/>
  <c r="S1414" i="3"/>
  <c r="R1414" i="3"/>
  <c r="P1414" i="3"/>
  <c r="O1414" i="3"/>
  <c r="N1414" i="3"/>
  <c r="Q1414" i="3" s="1"/>
  <c r="M1414" i="3"/>
  <c r="L1414" i="3"/>
  <c r="V1413" i="3"/>
  <c r="U1413" i="3"/>
  <c r="T1413" i="3"/>
  <c r="S1413" i="3"/>
  <c r="R1413" i="3"/>
  <c r="P1413" i="3"/>
  <c r="O1413" i="3"/>
  <c r="N1413" i="3"/>
  <c r="Q1413" i="3" s="1"/>
  <c r="M1413" i="3"/>
  <c r="L1413" i="3"/>
  <c r="U1412" i="3"/>
  <c r="V1412" i="3" s="1"/>
  <c r="T1412" i="3"/>
  <c r="S1412" i="3"/>
  <c r="R1412" i="3"/>
  <c r="Q1412" i="3"/>
  <c r="P1412" i="3"/>
  <c r="O1412" i="3"/>
  <c r="N1412" i="3"/>
  <c r="M1412" i="3"/>
  <c r="L1412" i="3"/>
  <c r="V1411" i="3"/>
  <c r="U1411" i="3"/>
  <c r="T1411" i="3"/>
  <c r="S1411" i="3"/>
  <c r="R1411" i="3"/>
  <c r="P1411" i="3"/>
  <c r="O1411" i="3"/>
  <c r="N1411" i="3"/>
  <c r="Q1411" i="3" s="1"/>
  <c r="M1411" i="3"/>
  <c r="L1411" i="3"/>
  <c r="V1410" i="3"/>
  <c r="U1410" i="3"/>
  <c r="T1410" i="3"/>
  <c r="S1410" i="3"/>
  <c r="R1410" i="3"/>
  <c r="Q1410" i="3"/>
  <c r="P1410" i="3"/>
  <c r="O1410" i="3"/>
  <c r="N1410" i="3"/>
  <c r="M1410" i="3"/>
  <c r="L1410" i="3"/>
  <c r="V1409" i="3"/>
  <c r="U1409" i="3"/>
  <c r="T1409" i="3"/>
  <c r="S1409" i="3"/>
  <c r="R1409" i="3"/>
  <c r="P1409" i="3"/>
  <c r="O1409" i="3"/>
  <c r="N1409" i="3"/>
  <c r="Q1409" i="3" s="1"/>
  <c r="M1409" i="3"/>
  <c r="L1409" i="3"/>
  <c r="U1408" i="3"/>
  <c r="V1408" i="3" s="1"/>
  <c r="T1408" i="3"/>
  <c r="S1408" i="3"/>
  <c r="R1408" i="3"/>
  <c r="Q1408" i="3"/>
  <c r="P1408" i="3"/>
  <c r="O1408" i="3"/>
  <c r="N1408" i="3"/>
  <c r="M1408" i="3"/>
  <c r="L1408" i="3"/>
  <c r="U1407" i="3"/>
  <c r="T1407" i="3"/>
  <c r="S1407" i="3"/>
  <c r="R1407" i="3"/>
  <c r="P1407" i="3"/>
  <c r="O1407" i="3"/>
  <c r="N1407" i="3"/>
  <c r="Q1407" i="3" s="1"/>
  <c r="M1407" i="3"/>
  <c r="L1407" i="3"/>
  <c r="U1406" i="3"/>
  <c r="V1406" i="3" s="1"/>
  <c r="T1406" i="3"/>
  <c r="S1406" i="3"/>
  <c r="R1406" i="3"/>
  <c r="P1406" i="3"/>
  <c r="O1406" i="3"/>
  <c r="N1406" i="3"/>
  <c r="Q1406" i="3" s="1"/>
  <c r="M1406" i="3"/>
  <c r="L1406" i="3"/>
  <c r="U1405" i="3"/>
  <c r="V1405" i="3" s="1"/>
  <c r="T1405" i="3"/>
  <c r="S1405" i="3"/>
  <c r="R1405" i="3"/>
  <c r="P1405" i="3"/>
  <c r="O1405" i="3"/>
  <c r="N1405" i="3"/>
  <c r="Q1405" i="3" s="1"/>
  <c r="M1405" i="3"/>
  <c r="L1405" i="3"/>
  <c r="U1404" i="3"/>
  <c r="V1404" i="3" s="1"/>
  <c r="T1404" i="3"/>
  <c r="S1404" i="3"/>
  <c r="R1404" i="3"/>
  <c r="Q1404" i="3"/>
  <c r="P1404" i="3"/>
  <c r="O1404" i="3"/>
  <c r="N1404" i="3"/>
  <c r="M1404" i="3"/>
  <c r="L1404" i="3"/>
  <c r="V1403" i="3"/>
  <c r="U1403" i="3"/>
  <c r="T1403" i="3"/>
  <c r="S1403" i="3"/>
  <c r="R1403" i="3"/>
  <c r="P1403" i="3"/>
  <c r="O1403" i="3"/>
  <c r="N1403" i="3"/>
  <c r="Q1403" i="3" s="1"/>
  <c r="M1403" i="3"/>
  <c r="L1403" i="3"/>
  <c r="V1402" i="3"/>
  <c r="U1402" i="3"/>
  <c r="T1402" i="3"/>
  <c r="S1402" i="3"/>
  <c r="R1402" i="3"/>
  <c r="Q1402" i="3"/>
  <c r="P1402" i="3"/>
  <c r="O1402" i="3"/>
  <c r="N1402" i="3"/>
  <c r="M1402" i="3"/>
  <c r="L1402" i="3"/>
  <c r="V1401" i="3"/>
  <c r="U1401" i="3"/>
  <c r="T1401" i="3"/>
  <c r="S1401" i="3"/>
  <c r="R1401" i="3"/>
  <c r="P1401" i="3"/>
  <c r="O1401" i="3"/>
  <c r="N1401" i="3"/>
  <c r="Q1401" i="3" s="1"/>
  <c r="M1401" i="3"/>
  <c r="L1401" i="3"/>
  <c r="U1400" i="3"/>
  <c r="V1400" i="3" s="1"/>
  <c r="T1400" i="3"/>
  <c r="S1400" i="3"/>
  <c r="R1400" i="3"/>
  <c r="Q1400" i="3"/>
  <c r="P1400" i="3"/>
  <c r="O1400" i="3"/>
  <c r="N1400" i="3"/>
  <c r="M1400" i="3"/>
  <c r="L1400" i="3"/>
  <c r="U1399" i="3"/>
  <c r="T1399" i="3"/>
  <c r="S1399" i="3"/>
  <c r="R1399" i="3"/>
  <c r="P1399" i="3"/>
  <c r="O1399" i="3"/>
  <c r="N1399" i="3"/>
  <c r="Q1399" i="3" s="1"/>
  <c r="M1399" i="3"/>
  <c r="L1399" i="3"/>
  <c r="U1398" i="3"/>
  <c r="V1398" i="3" s="1"/>
  <c r="T1398" i="3"/>
  <c r="S1398" i="3"/>
  <c r="R1398" i="3"/>
  <c r="P1398" i="3"/>
  <c r="O1398" i="3"/>
  <c r="N1398" i="3"/>
  <c r="Q1398" i="3" s="1"/>
  <c r="M1398" i="3"/>
  <c r="L1398" i="3"/>
  <c r="U1397" i="3"/>
  <c r="V1397" i="3" s="1"/>
  <c r="T1397" i="3"/>
  <c r="S1397" i="3"/>
  <c r="R1397" i="3"/>
  <c r="P1397" i="3"/>
  <c r="O1397" i="3"/>
  <c r="N1397" i="3"/>
  <c r="Q1397" i="3" s="1"/>
  <c r="M1397" i="3"/>
  <c r="L1397" i="3"/>
  <c r="U1396" i="3"/>
  <c r="V1396" i="3" s="1"/>
  <c r="T1396" i="3"/>
  <c r="S1396" i="3"/>
  <c r="R1396" i="3"/>
  <c r="P1396" i="3"/>
  <c r="O1396" i="3"/>
  <c r="N1396" i="3"/>
  <c r="Q1396" i="3" s="1"/>
  <c r="M1396" i="3"/>
  <c r="L1396" i="3"/>
  <c r="V1395" i="3"/>
  <c r="U1395" i="3"/>
  <c r="T1395" i="3"/>
  <c r="S1395" i="3"/>
  <c r="R1395" i="3"/>
  <c r="P1395" i="3"/>
  <c r="O1395" i="3"/>
  <c r="N1395" i="3"/>
  <c r="Q1395" i="3" s="1"/>
  <c r="M1395" i="3"/>
  <c r="L1395" i="3"/>
  <c r="U1394" i="3"/>
  <c r="T1394" i="3"/>
  <c r="S1394" i="3"/>
  <c r="R1394" i="3"/>
  <c r="Q1394" i="3"/>
  <c r="P1394" i="3"/>
  <c r="O1394" i="3"/>
  <c r="N1394" i="3"/>
  <c r="M1394" i="3"/>
  <c r="L1394" i="3"/>
  <c r="V1394" i="3" s="1"/>
  <c r="V1393" i="3"/>
  <c r="U1393" i="3"/>
  <c r="T1393" i="3"/>
  <c r="S1393" i="3"/>
  <c r="R1393" i="3"/>
  <c r="P1393" i="3"/>
  <c r="O1393" i="3"/>
  <c r="N1393" i="3"/>
  <c r="Q1393" i="3" s="1"/>
  <c r="M1393" i="3"/>
  <c r="L1393" i="3"/>
  <c r="U1392" i="3"/>
  <c r="V1392" i="3" s="1"/>
  <c r="T1392" i="3"/>
  <c r="S1392" i="3"/>
  <c r="R1392" i="3"/>
  <c r="Q1392" i="3"/>
  <c r="P1392" i="3"/>
  <c r="O1392" i="3"/>
  <c r="N1392" i="3"/>
  <c r="M1392" i="3"/>
  <c r="L1392" i="3"/>
  <c r="U1391" i="3"/>
  <c r="T1391" i="3"/>
  <c r="S1391" i="3"/>
  <c r="R1391" i="3"/>
  <c r="P1391" i="3"/>
  <c r="O1391" i="3"/>
  <c r="N1391" i="3"/>
  <c r="Q1391" i="3" s="1"/>
  <c r="M1391" i="3"/>
  <c r="L1391" i="3"/>
  <c r="U1390" i="3"/>
  <c r="V1390" i="3" s="1"/>
  <c r="T1390" i="3"/>
  <c r="S1390" i="3"/>
  <c r="R1390" i="3"/>
  <c r="P1390" i="3"/>
  <c r="O1390" i="3"/>
  <c r="N1390" i="3"/>
  <c r="Q1390" i="3" s="1"/>
  <c r="M1390" i="3"/>
  <c r="L1390" i="3"/>
  <c r="V1389" i="3"/>
  <c r="U1389" i="3"/>
  <c r="T1389" i="3"/>
  <c r="S1389" i="3"/>
  <c r="R1389" i="3"/>
  <c r="P1389" i="3"/>
  <c r="O1389" i="3"/>
  <c r="N1389" i="3"/>
  <c r="Q1389" i="3" s="1"/>
  <c r="M1389" i="3"/>
  <c r="L1389" i="3"/>
  <c r="U1388" i="3"/>
  <c r="V1388" i="3" s="1"/>
  <c r="T1388" i="3"/>
  <c r="S1388" i="3"/>
  <c r="R1388" i="3"/>
  <c r="P1388" i="3"/>
  <c r="O1388" i="3"/>
  <c r="N1388" i="3"/>
  <c r="Q1388" i="3" s="1"/>
  <c r="M1388" i="3"/>
  <c r="L1388" i="3"/>
  <c r="V1387" i="3"/>
  <c r="U1387" i="3"/>
  <c r="T1387" i="3"/>
  <c r="S1387" i="3"/>
  <c r="R1387" i="3"/>
  <c r="Q1387" i="3"/>
  <c r="P1387" i="3"/>
  <c r="O1387" i="3"/>
  <c r="N1387" i="3"/>
  <c r="M1387" i="3"/>
  <c r="L1387" i="3"/>
  <c r="U1386" i="3"/>
  <c r="T1386" i="3"/>
  <c r="S1386" i="3"/>
  <c r="R1386" i="3"/>
  <c r="Q1386" i="3"/>
  <c r="P1386" i="3"/>
  <c r="O1386" i="3"/>
  <c r="N1386" i="3"/>
  <c r="M1386" i="3"/>
  <c r="L1386" i="3"/>
  <c r="V1386" i="3" s="1"/>
  <c r="V1385" i="3"/>
  <c r="U1385" i="3"/>
  <c r="T1385" i="3"/>
  <c r="S1385" i="3"/>
  <c r="R1385" i="3"/>
  <c r="P1385" i="3"/>
  <c r="O1385" i="3"/>
  <c r="N1385" i="3"/>
  <c r="Q1385" i="3" s="1"/>
  <c r="M1385" i="3"/>
  <c r="L1385" i="3"/>
  <c r="U1384" i="3"/>
  <c r="V1384" i="3" s="1"/>
  <c r="T1384" i="3"/>
  <c r="S1384" i="3"/>
  <c r="R1384" i="3"/>
  <c r="Q1384" i="3"/>
  <c r="P1384" i="3"/>
  <c r="O1384" i="3"/>
  <c r="N1384" i="3"/>
  <c r="M1384" i="3"/>
  <c r="L1384" i="3"/>
  <c r="U1383" i="3"/>
  <c r="T1383" i="3"/>
  <c r="S1383" i="3"/>
  <c r="R1383" i="3"/>
  <c r="P1383" i="3"/>
  <c r="O1383" i="3"/>
  <c r="N1383" i="3"/>
  <c r="Q1383" i="3" s="1"/>
  <c r="M1383" i="3"/>
  <c r="L1383" i="3"/>
  <c r="U1382" i="3"/>
  <c r="V1382" i="3" s="1"/>
  <c r="T1382" i="3"/>
  <c r="S1382" i="3"/>
  <c r="R1382" i="3"/>
  <c r="P1382" i="3"/>
  <c r="O1382" i="3"/>
  <c r="N1382" i="3"/>
  <c r="Q1382" i="3" s="1"/>
  <c r="M1382" i="3"/>
  <c r="L1382" i="3"/>
  <c r="V1381" i="3"/>
  <c r="U1381" i="3"/>
  <c r="T1381" i="3"/>
  <c r="S1381" i="3"/>
  <c r="R1381" i="3"/>
  <c r="P1381" i="3"/>
  <c r="O1381" i="3"/>
  <c r="N1381" i="3"/>
  <c r="Q1381" i="3" s="1"/>
  <c r="M1381" i="3"/>
  <c r="L1381" i="3"/>
  <c r="U1380" i="3"/>
  <c r="V1380" i="3" s="1"/>
  <c r="T1380" i="3"/>
  <c r="S1380" i="3"/>
  <c r="R1380" i="3"/>
  <c r="P1380" i="3"/>
  <c r="O1380" i="3"/>
  <c r="N1380" i="3"/>
  <c r="Q1380" i="3" s="1"/>
  <c r="M1380" i="3"/>
  <c r="L1380" i="3"/>
  <c r="V1379" i="3"/>
  <c r="U1379" i="3"/>
  <c r="T1379" i="3"/>
  <c r="S1379" i="3"/>
  <c r="R1379" i="3"/>
  <c r="Q1379" i="3"/>
  <c r="P1379" i="3"/>
  <c r="O1379" i="3"/>
  <c r="N1379" i="3"/>
  <c r="M1379" i="3"/>
  <c r="L1379" i="3"/>
  <c r="U1378" i="3"/>
  <c r="T1378" i="3"/>
  <c r="S1378" i="3"/>
  <c r="R1378" i="3"/>
  <c r="Q1378" i="3"/>
  <c r="P1378" i="3"/>
  <c r="O1378" i="3"/>
  <c r="N1378" i="3"/>
  <c r="M1378" i="3"/>
  <c r="L1378" i="3"/>
  <c r="V1378" i="3" s="1"/>
  <c r="V1377" i="3"/>
  <c r="U1377" i="3"/>
  <c r="T1377" i="3"/>
  <c r="S1377" i="3"/>
  <c r="R1377" i="3"/>
  <c r="P1377" i="3"/>
  <c r="O1377" i="3"/>
  <c r="N1377" i="3"/>
  <c r="Q1377" i="3" s="1"/>
  <c r="M1377" i="3"/>
  <c r="L1377" i="3"/>
  <c r="U1376" i="3"/>
  <c r="V1376" i="3" s="1"/>
  <c r="T1376" i="3"/>
  <c r="S1376" i="3"/>
  <c r="R1376" i="3"/>
  <c r="Q1376" i="3"/>
  <c r="P1376" i="3"/>
  <c r="O1376" i="3"/>
  <c r="N1376" i="3"/>
  <c r="M1376" i="3"/>
  <c r="L1376" i="3"/>
  <c r="U1375" i="3"/>
  <c r="T1375" i="3"/>
  <c r="S1375" i="3"/>
  <c r="R1375" i="3"/>
  <c r="P1375" i="3"/>
  <c r="O1375" i="3"/>
  <c r="N1375" i="3"/>
  <c r="Q1375" i="3" s="1"/>
  <c r="M1375" i="3"/>
  <c r="L1375" i="3"/>
  <c r="U1374" i="3"/>
  <c r="V1374" i="3" s="1"/>
  <c r="T1374" i="3"/>
  <c r="S1374" i="3"/>
  <c r="R1374" i="3"/>
  <c r="P1374" i="3"/>
  <c r="O1374" i="3"/>
  <c r="N1374" i="3"/>
  <c r="Q1374" i="3" s="1"/>
  <c r="M1374" i="3"/>
  <c r="L1374" i="3"/>
  <c r="V1373" i="3"/>
  <c r="U1373" i="3"/>
  <c r="T1373" i="3"/>
  <c r="S1373" i="3"/>
  <c r="R1373" i="3"/>
  <c r="P1373" i="3"/>
  <c r="O1373" i="3"/>
  <c r="N1373" i="3"/>
  <c r="Q1373" i="3" s="1"/>
  <c r="M1373" i="3"/>
  <c r="L1373" i="3"/>
  <c r="U1372" i="3"/>
  <c r="V1372" i="3" s="1"/>
  <c r="T1372" i="3"/>
  <c r="S1372" i="3"/>
  <c r="R1372" i="3"/>
  <c r="P1372" i="3"/>
  <c r="O1372" i="3"/>
  <c r="N1372" i="3"/>
  <c r="Q1372" i="3" s="1"/>
  <c r="M1372" i="3"/>
  <c r="L1372" i="3"/>
  <c r="V1371" i="3"/>
  <c r="U1371" i="3"/>
  <c r="T1371" i="3"/>
  <c r="S1371" i="3"/>
  <c r="R1371" i="3"/>
  <c r="Q1371" i="3"/>
  <c r="P1371" i="3"/>
  <c r="O1371" i="3"/>
  <c r="N1371" i="3"/>
  <c r="M1371" i="3"/>
  <c r="L1371" i="3"/>
  <c r="U1370" i="3"/>
  <c r="T1370" i="3"/>
  <c r="S1370" i="3"/>
  <c r="R1370" i="3"/>
  <c r="Q1370" i="3"/>
  <c r="P1370" i="3"/>
  <c r="O1370" i="3"/>
  <c r="N1370" i="3"/>
  <c r="M1370" i="3"/>
  <c r="L1370" i="3"/>
  <c r="V1370" i="3" s="1"/>
  <c r="V1369" i="3"/>
  <c r="U1369" i="3"/>
  <c r="T1369" i="3"/>
  <c r="S1369" i="3"/>
  <c r="R1369" i="3"/>
  <c r="P1369" i="3"/>
  <c r="O1369" i="3"/>
  <c r="N1369" i="3"/>
  <c r="Q1369" i="3" s="1"/>
  <c r="M1369" i="3"/>
  <c r="L1369" i="3"/>
  <c r="U1368" i="3"/>
  <c r="V1368" i="3" s="1"/>
  <c r="T1368" i="3"/>
  <c r="S1368" i="3"/>
  <c r="R1368" i="3"/>
  <c r="Q1368" i="3"/>
  <c r="P1368" i="3"/>
  <c r="O1368" i="3"/>
  <c r="N1368" i="3"/>
  <c r="M1368" i="3"/>
  <c r="L1368" i="3"/>
  <c r="U1367" i="3"/>
  <c r="T1367" i="3"/>
  <c r="S1367" i="3"/>
  <c r="R1367" i="3"/>
  <c r="P1367" i="3"/>
  <c r="O1367" i="3"/>
  <c r="N1367" i="3"/>
  <c r="Q1367" i="3" s="1"/>
  <c r="M1367" i="3"/>
  <c r="L1367" i="3"/>
  <c r="U1366" i="3"/>
  <c r="V1366" i="3" s="1"/>
  <c r="T1366" i="3"/>
  <c r="S1366" i="3"/>
  <c r="R1366" i="3"/>
  <c r="P1366" i="3"/>
  <c r="O1366" i="3"/>
  <c r="N1366" i="3"/>
  <c r="Q1366" i="3" s="1"/>
  <c r="M1366" i="3"/>
  <c r="L1366" i="3"/>
  <c r="V1365" i="3"/>
  <c r="U1365" i="3"/>
  <c r="T1365" i="3"/>
  <c r="S1365" i="3"/>
  <c r="R1365" i="3"/>
  <c r="P1365" i="3"/>
  <c r="O1365" i="3"/>
  <c r="N1365" i="3"/>
  <c r="Q1365" i="3" s="1"/>
  <c r="M1365" i="3"/>
  <c r="L1365" i="3"/>
  <c r="U1364" i="3"/>
  <c r="V1364" i="3" s="1"/>
  <c r="T1364" i="3"/>
  <c r="S1364" i="3"/>
  <c r="R1364" i="3"/>
  <c r="P1364" i="3"/>
  <c r="O1364" i="3"/>
  <c r="N1364" i="3"/>
  <c r="Q1364" i="3" s="1"/>
  <c r="M1364" i="3"/>
  <c r="L1364" i="3"/>
  <c r="V1363" i="3"/>
  <c r="U1363" i="3"/>
  <c r="T1363" i="3"/>
  <c r="S1363" i="3"/>
  <c r="R1363" i="3"/>
  <c r="Q1363" i="3"/>
  <c r="P1363" i="3"/>
  <c r="O1363" i="3"/>
  <c r="N1363" i="3"/>
  <c r="M1363" i="3"/>
  <c r="L1363" i="3"/>
  <c r="U1362" i="3"/>
  <c r="T1362" i="3"/>
  <c r="S1362" i="3"/>
  <c r="R1362" i="3"/>
  <c r="Q1362" i="3"/>
  <c r="P1362" i="3"/>
  <c r="O1362" i="3"/>
  <c r="N1362" i="3"/>
  <c r="M1362" i="3"/>
  <c r="L1362" i="3"/>
  <c r="V1362" i="3" s="1"/>
  <c r="V1361" i="3"/>
  <c r="U1361" i="3"/>
  <c r="T1361" i="3"/>
  <c r="S1361" i="3"/>
  <c r="R1361" i="3"/>
  <c r="P1361" i="3"/>
  <c r="O1361" i="3"/>
  <c r="N1361" i="3"/>
  <c r="Q1361" i="3" s="1"/>
  <c r="M1361" i="3"/>
  <c r="L1361" i="3"/>
  <c r="U1360" i="3"/>
  <c r="V1360" i="3" s="1"/>
  <c r="T1360" i="3"/>
  <c r="S1360" i="3"/>
  <c r="R1360" i="3"/>
  <c r="Q1360" i="3"/>
  <c r="P1360" i="3"/>
  <c r="O1360" i="3"/>
  <c r="N1360" i="3"/>
  <c r="M1360" i="3"/>
  <c r="L1360" i="3"/>
  <c r="U1359" i="3"/>
  <c r="T1359" i="3"/>
  <c r="S1359" i="3"/>
  <c r="R1359" i="3"/>
  <c r="P1359" i="3"/>
  <c r="O1359" i="3"/>
  <c r="N1359" i="3"/>
  <c r="Q1359" i="3" s="1"/>
  <c r="M1359" i="3"/>
  <c r="L1359" i="3"/>
  <c r="U1358" i="3"/>
  <c r="V1358" i="3" s="1"/>
  <c r="T1358" i="3"/>
  <c r="S1358" i="3"/>
  <c r="R1358" i="3"/>
  <c r="P1358" i="3"/>
  <c r="O1358" i="3"/>
  <c r="N1358" i="3"/>
  <c r="Q1358" i="3" s="1"/>
  <c r="M1358" i="3"/>
  <c r="L1358" i="3"/>
  <c r="U1357" i="3"/>
  <c r="V1357" i="3" s="1"/>
  <c r="T1357" i="3"/>
  <c r="S1357" i="3"/>
  <c r="R1357" i="3"/>
  <c r="P1357" i="3"/>
  <c r="O1357" i="3"/>
  <c r="N1357" i="3"/>
  <c r="Q1357" i="3" s="1"/>
  <c r="M1357" i="3"/>
  <c r="L1357" i="3"/>
  <c r="U1356" i="3"/>
  <c r="V1356" i="3" s="1"/>
  <c r="T1356" i="3"/>
  <c r="S1356" i="3"/>
  <c r="R1356" i="3"/>
  <c r="P1356" i="3"/>
  <c r="O1356" i="3"/>
  <c r="N1356" i="3"/>
  <c r="Q1356" i="3" s="1"/>
  <c r="M1356" i="3"/>
  <c r="L1356" i="3"/>
  <c r="V1355" i="3"/>
  <c r="U1355" i="3"/>
  <c r="T1355" i="3"/>
  <c r="S1355" i="3"/>
  <c r="R1355" i="3"/>
  <c r="Q1355" i="3"/>
  <c r="P1355" i="3"/>
  <c r="O1355" i="3"/>
  <c r="N1355" i="3"/>
  <c r="M1355" i="3"/>
  <c r="L1355" i="3"/>
  <c r="U1354" i="3"/>
  <c r="T1354" i="3"/>
  <c r="S1354" i="3"/>
  <c r="R1354" i="3"/>
  <c r="Q1354" i="3"/>
  <c r="P1354" i="3"/>
  <c r="O1354" i="3"/>
  <c r="N1354" i="3"/>
  <c r="M1354" i="3"/>
  <c r="L1354" i="3"/>
  <c r="V1354" i="3" s="1"/>
  <c r="V1353" i="3"/>
  <c r="U1353" i="3"/>
  <c r="T1353" i="3"/>
  <c r="S1353" i="3"/>
  <c r="R1353" i="3"/>
  <c r="P1353" i="3"/>
  <c r="O1353" i="3"/>
  <c r="N1353" i="3"/>
  <c r="Q1353" i="3" s="1"/>
  <c r="M1353" i="3"/>
  <c r="L1353" i="3"/>
  <c r="U1352" i="3"/>
  <c r="V1352" i="3" s="1"/>
  <c r="T1352" i="3"/>
  <c r="S1352" i="3"/>
  <c r="R1352" i="3"/>
  <c r="Q1352" i="3"/>
  <c r="P1352" i="3"/>
  <c r="O1352" i="3"/>
  <c r="N1352" i="3"/>
  <c r="M1352" i="3"/>
  <c r="L1352" i="3"/>
  <c r="U1351" i="3"/>
  <c r="T1351" i="3"/>
  <c r="S1351" i="3"/>
  <c r="R1351" i="3"/>
  <c r="P1351" i="3"/>
  <c r="O1351" i="3"/>
  <c r="N1351" i="3"/>
  <c r="Q1351" i="3" s="1"/>
  <c r="M1351" i="3"/>
  <c r="L1351" i="3"/>
  <c r="U1350" i="3"/>
  <c r="V1350" i="3" s="1"/>
  <c r="T1350" i="3"/>
  <c r="S1350" i="3"/>
  <c r="R1350" i="3"/>
  <c r="P1350" i="3"/>
  <c r="O1350" i="3"/>
  <c r="N1350" i="3"/>
  <c r="Q1350" i="3" s="1"/>
  <c r="M1350" i="3"/>
  <c r="L1350" i="3"/>
  <c r="U1349" i="3"/>
  <c r="V1349" i="3" s="1"/>
  <c r="T1349" i="3"/>
  <c r="S1349" i="3"/>
  <c r="R1349" i="3"/>
  <c r="P1349" i="3"/>
  <c r="O1349" i="3"/>
  <c r="N1349" i="3"/>
  <c r="Q1349" i="3" s="1"/>
  <c r="M1349" i="3"/>
  <c r="L1349" i="3"/>
  <c r="U1348" i="3"/>
  <c r="V1348" i="3" s="1"/>
  <c r="T1348" i="3"/>
  <c r="S1348" i="3"/>
  <c r="R1348" i="3"/>
  <c r="P1348" i="3"/>
  <c r="O1348" i="3"/>
  <c r="N1348" i="3"/>
  <c r="Q1348" i="3" s="1"/>
  <c r="M1348" i="3"/>
  <c r="L1348" i="3"/>
  <c r="V1347" i="3"/>
  <c r="U1347" i="3"/>
  <c r="T1347" i="3"/>
  <c r="S1347" i="3"/>
  <c r="R1347" i="3"/>
  <c r="Q1347" i="3"/>
  <c r="P1347" i="3"/>
  <c r="O1347" i="3"/>
  <c r="N1347" i="3"/>
  <c r="M1347" i="3"/>
  <c r="L1347" i="3"/>
  <c r="U1346" i="3"/>
  <c r="T1346" i="3"/>
  <c r="S1346" i="3"/>
  <c r="R1346" i="3"/>
  <c r="Q1346" i="3"/>
  <c r="P1346" i="3"/>
  <c r="O1346" i="3"/>
  <c r="N1346" i="3"/>
  <c r="M1346" i="3"/>
  <c r="L1346" i="3"/>
  <c r="V1346" i="3" s="1"/>
  <c r="V1345" i="3"/>
  <c r="U1345" i="3"/>
  <c r="T1345" i="3"/>
  <c r="S1345" i="3"/>
  <c r="R1345" i="3"/>
  <c r="P1345" i="3"/>
  <c r="O1345" i="3"/>
  <c r="N1345" i="3"/>
  <c r="Q1345" i="3" s="1"/>
  <c r="M1345" i="3"/>
  <c r="L1345" i="3"/>
  <c r="U1344" i="3"/>
  <c r="V1344" i="3" s="1"/>
  <c r="T1344" i="3"/>
  <c r="S1344" i="3"/>
  <c r="R1344" i="3"/>
  <c r="Q1344" i="3"/>
  <c r="P1344" i="3"/>
  <c r="O1344" i="3"/>
  <c r="N1344" i="3"/>
  <c r="M1344" i="3"/>
  <c r="L1344" i="3"/>
  <c r="U1343" i="3"/>
  <c r="T1343" i="3"/>
  <c r="S1343" i="3"/>
  <c r="R1343" i="3"/>
  <c r="P1343" i="3"/>
  <c r="O1343" i="3"/>
  <c r="N1343" i="3"/>
  <c r="Q1343" i="3" s="1"/>
  <c r="M1343" i="3"/>
  <c r="L1343" i="3"/>
  <c r="U1342" i="3"/>
  <c r="V1342" i="3" s="1"/>
  <c r="T1342" i="3"/>
  <c r="S1342" i="3"/>
  <c r="R1342" i="3"/>
  <c r="P1342" i="3"/>
  <c r="O1342" i="3"/>
  <c r="N1342" i="3"/>
  <c r="Q1342" i="3" s="1"/>
  <c r="M1342" i="3"/>
  <c r="L1342" i="3"/>
  <c r="U1341" i="3"/>
  <c r="V1341" i="3" s="1"/>
  <c r="T1341" i="3"/>
  <c r="S1341" i="3"/>
  <c r="R1341" i="3"/>
  <c r="P1341" i="3"/>
  <c r="O1341" i="3"/>
  <c r="N1341" i="3"/>
  <c r="Q1341" i="3" s="1"/>
  <c r="M1341" i="3"/>
  <c r="L1341" i="3"/>
  <c r="U1340" i="3"/>
  <c r="V1340" i="3" s="1"/>
  <c r="T1340" i="3"/>
  <c r="S1340" i="3"/>
  <c r="R1340" i="3"/>
  <c r="P1340" i="3"/>
  <c r="O1340" i="3"/>
  <c r="N1340" i="3"/>
  <c r="Q1340" i="3" s="1"/>
  <c r="M1340" i="3"/>
  <c r="L1340" i="3"/>
  <c r="U1339" i="3"/>
  <c r="V1339" i="3" s="1"/>
  <c r="T1339" i="3"/>
  <c r="S1339" i="3"/>
  <c r="R1339" i="3"/>
  <c r="Q1339" i="3"/>
  <c r="P1339" i="3"/>
  <c r="O1339" i="3"/>
  <c r="N1339" i="3"/>
  <c r="M1339" i="3"/>
  <c r="L1339" i="3"/>
  <c r="U1338" i="3"/>
  <c r="T1338" i="3"/>
  <c r="S1338" i="3"/>
  <c r="R1338" i="3"/>
  <c r="Q1338" i="3"/>
  <c r="P1338" i="3"/>
  <c r="O1338" i="3"/>
  <c r="N1338" i="3"/>
  <c r="M1338" i="3"/>
  <c r="L1338" i="3"/>
  <c r="V1338" i="3" s="1"/>
  <c r="V1337" i="3"/>
  <c r="U1337" i="3"/>
  <c r="T1337" i="3"/>
  <c r="S1337" i="3"/>
  <c r="R1337" i="3"/>
  <c r="P1337" i="3"/>
  <c r="O1337" i="3"/>
  <c r="N1337" i="3"/>
  <c r="Q1337" i="3" s="1"/>
  <c r="M1337" i="3"/>
  <c r="L1337" i="3"/>
  <c r="V1336" i="3"/>
  <c r="U1336" i="3"/>
  <c r="T1336" i="3"/>
  <c r="S1336" i="3"/>
  <c r="R1336" i="3"/>
  <c r="Q1336" i="3"/>
  <c r="P1336" i="3"/>
  <c r="O1336" i="3"/>
  <c r="N1336" i="3"/>
  <c r="M1336" i="3"/>
  <c r="L1336" i="3"/>
  <c r="U1335" i="3"/>
  <c r="T1335" i="3"/>
  <c r="S1335" i="3"/>
  <c r="R1335" i="3"/>
  <c r="Q1335" i="3"/>
  <c r="P1335" i="3"/>
  <c r="O1335" i="3"/>
  <c r="N1335" i="3"/>
  <c r="M1335" i="3"/>
  <c r="L1335" i="3"/>
  <c r="U1334" i="3"/>
  <c r="V1334" i="3" s="1"/>
  <c r="T1334" i="3"/>
  <c r="S1334" i="3"/>
  <c r="R1334" i="3"/>
  <c r="P1334" i="3"/>
  <c r="O1334" i="3"/>
  <c r="N1334" i="3"/>
  <c r="Q1334" i="3" s="1"/>
  <c r="M1334" i="3"/>
  <c r="L1334" i="3"/>
  <c r="U1333" i="3"/>
  <c r="V1333" i="3" s="1"/>
  <c r="T1333" i="3"/>
  <c r="S1333" i="3"/>
  <c r="R1333" i="3"/>
  <c r="P1333" i="3"/>
  <c r="O1333" i="3"/>
  <c r="N1333" i="3"/>
  <c r="Q1333" i="3" s="1"/>
  <c r="M1333" i="3"/>
  <c r="L1333" i="3"/>
  <c r="U1332" i="3"/>
  <c r="V1332" i="3" s="1"/>
  <c r="T1332" i="3"/>
  <c r="S1332" i="3"/>
  <c r="R1332" i="3"/>
  <c r="P1332" i="3"/>
  <c r="O1332" i="3"/>
  <c r="N1332" i="3"/>
  <c r="Q1332" i="3" s="1"/>
  <c r="M1332" i="3"/>
  <c r="L1332" i="3"/>
  <c r="U1331" i="3"/>
  <c r="V1331" i="3" s="1"/>
  <c r="T1331" i="3"/>
  <c r="S1331" i="3"/>
  <c r="R1331" i="3"/>
  <c r="Q1331" i="3"/>
  <c r="P1331" i="3"/>
  <c r="O1331" i="3"/>
  <c r="N1331" i="3"/>
  <c r="M1331" i="3"/>
  <c r="L1331" i="3"/>
  <c r="U1330" i="3"/>
  <c r="T1330" i="3"/>
  <c r="S1330" i="3"/>
  <c r="R1330" i="3"/>
  <c r="Q1330" i="3"/>
  <c r="P1330" i="3"/>
  <c r="O1330" i="3"/>
  <c r="N1330" i="3"/>
  <c r="M1330" i="3"/>
  <c r="L1330" i="3"/>
  <c r="V1330" i="3" s="1"/>
  <c r="V1329" i="3"/>
  <c r="U1329" i="3"/>
  <c r="T1329" i="3"/>
  <c r="S1329" i="3"/>
  <c r="R1329" i="3"/>
  <c r="P1329" i="3"/>
  <c r="O1329" i="3"/>
  <c r="N1329" i="3"/>
  <c r="Q1329" i="3" s="1"/>
  <c r="M1329" i="3"/>
  <c r="L1329" i="3"/>
  <c r="V1328" i="3"/>
  <c r="U1328" i="3"/>
  <c r="T1328" i="3"/>
  <c r="S1328" i="3"/>
  <c r="R1328" i="3"/>
  <c r="Q1328" i="3"/>
  <c r="P1328" i="3"/>
  <c r="O1328" i="3"/>
  <c r="N1328" i="3"/>
  <c r="M1328" i="3"/>
  <c r="L1328" i="3"/>
  <c r="U1327" i="3"/>
  <c r="V1327" i="3" s="1"/>
  <c r="T1327" i="3"/>
  <c r="S1327" i="3"/>
  <c r="R1327" i="3"/>
  <c r="Q1327" i="3"/>
  <c r="P1327" i="3"/>
  <c r="O1327" i="3"/>
  <c r="N1327" i="3"/>
  <c r="M1327" i="3"/>
  <c r="L1327" i="3"/>
  <c r="U1326" i="3"/>
  <c r="V1326" i="3" s="1"/>
  <c r="T1326" i="3"/>
  <c r="S1326" i="3"/>
  <c r="R1326" i="3"/>
  <c r="P1326" i="3"/>
  <c r="O1326" i="3"/>
  <c r="N1326" i="3"/>
  <c r="Q1326" i="3" s="1"/>
  <c r="M1326" i="3"/>
  <c r="L1326" i="3"/>
  <c r="U1325" i="3"/>
  <c r="V1325" i="3" s="1"/>
  <c r="T1325" i="3"/>
  <c r="S1325" i="3"/>
  <c r="R1325" i="3"/>
  <c r="P1325" i="3"/>
  <c r="O1325" i="3"/>
  <c r="N1325" i="3"/>
  <c r="Q1325" i="3" s="1"/>
  <c r="M1325" i="3"/>
  <c r="L1325" i="3"/>
  <c r="U1324" i="3"/>
  <c r="V1324" i="3" s="1"/>
  <c r="T1324" i="3"/>
  <c r="S1324" i="3"/>
  <c r="R1324" i="3"/>
  <c r="P1324" i="3"/>
  <c r="O1324" i="3"/>
  <c r="N1324" i="3"/>
  <c r="Q1324" i="3" s="1"/>
  <c r="M1324" i="3"/>
  <c r="L1324" i="3"/>
  <c r="U1323" i="3"/>
  <c r="V1323" i="3" s="1"/>
  <c r="T1323" i="3"/>
  <c r="S1323" i="3"/>
  <c r="R1323" i="3"/>
  <c r="Q1323" i="3"/>
  <c r="P1323" i="3"/>
  <c r="O1323" i="3"/>
  <c r="N1323" i="3"/>
  <c r="M1323" i="3"/>
  <c r="L1323" i="3"/>
  <c r="U1322" i="3"/>
  <c r="T1322" i="3"/>
  <c r="S1322" i="3"/>
  <c r="R1322" i="3"/>
  <c r="P1322" i="3"/>
  <c r="O1322" i="3"/>
  <c r="N1322" i="3"/>
  <c r="Q1322" i="3" s="1"/>
  <c r="M1322" i="3"/>
  <c r="L1322" i="3"/>
  <c r="V1322" i="3" s="1"/>
  <c r="V1321" i="3"/>
  <c r="U1321" i="3"/>
  <c r="T1321" i="3"/>
  <c r="S1321" i="3"/>
  <c r="R1321" i="3"/>
  <c r="P1321" i="3"/>
  <c r="O1321" i="3"/>
  <c r="N1321" i="3"/>
  <c r="Q1321" i="3" s="1"/>
  <c r="M1321" i="3"/>
  <c r="L1321" i="3"/>
  <c r="V1320" i="3"/>
  <c r="U1320" i="3"/>
  <c r="T1320" i="3"/>
  <c r="S1320" i="3"/>
  <c r="R1320" i="3"/>
  <c r="Q1320" i="3"/>
  <c r="P1320" i="3"/>
  <c r="O1320" i="3"/>
  <c r="N1320" i="3"/>
  <c r="M1320" i="3"/>
  <c r="L1320" i="3"/>
  <c r="U1319" i="3"/>
  <c r="T1319" i="3"/>
  <c r="S1319" i="3"/>
  <c r="R1319" i="3"/>
  <c r="Q1319" i="3"/>
  <c r="P1319" i="3"/>
  <c r="O1319" i="3"/>
  <c r="N1319" i="3"/>
  <c r="M1319" i="3"/>
  <c r="L1319" i="3"/>
  <c r="U1318" i="3"/>
  <c r="T1318" i="3"/>
  <c r="S1318" i="3"/>
  <c r="R1318" i="3"/>
  <c r="P1318" i="3"/>
  <c r="O1318" i="3"/>
  <c r="N1318" i="3"/>
  <c r="Q1318" i="3" s="1"/>
  <c r="M1318" i="3"/>
  <c r="L1318" i="3"/>
  <c r="U1317" i="3"/>
  <c r="V1317" i="3" s="1"/>
  <c r="T1317" i="3"/>
  <c r="S1317" i="3"/>
  <c r="R1317" i="3"/>
  <c r="P1317" i="3"/>
  <c r="O1317" i="3"/>
  <c r="N1317" i="3"/>
  <c r="Q1317" i="3" s="1"/>
  <c r="M1317" i="3"/>
  <c r="L1317" i="3"/>
  <c r="U1316" i="3"/>
  <c r="V1316" i="3" s="1"/>
  <c r="T1316" i="3"/>
  <c r="S1316" i="3"/>
  <c r="R1316" i="3"/>
  <c r="P1316" i="3"/>
  <c r="O1316" i="3"/>
  <c r="N1316" i="3"/>
  <c r="Q1316" i="3" s="1"/>
  <c r="M1316" i="3"/>
  <c r="L1316" i="3"/>
  <c r="U1315" i="3"/>
  <c r="V1315" i="3" s="1"/>
  <c r="T1315" i="3"/>
  <c r="S1315" i="3"/>
  <c r="R1315" i="3"/>
  <c r="Q1315" i="3"/>
  <c r="P1315" i="3"/>
  <c r="O1315" i="3"/>
  <c r="N1315" i="3"/>
  <c r="M1315" i="3"/>
  <c r="L1315" i="3"/>
  <c r="U1314" i="3"/>
  <c r="T1314" i="3"/>
  <c r="S1314" i="3"/>
  <c r="R1314" i="3"/>
  <c r="P1314" i="3"/>
  <c r="O1314" i="3"/>
  <c r="N1314" i="3"/>
  <c r="Q1314" i="3" s="1"/>
  <c r="M1314" i="3"/>
  <c r="L1314" i="3"/>
  <c r="V1314" i="3" s="1"/>
  <c r="V1313" i="3"/>
  <c r="U1313" i="3"/>
  <c r="T1313" i="3"/>
  <c r="S1313" i="3"/>
  <c r="R1313" i="3"/>
  <c r="P1313" i="3"/>
  <c r="O1313" i="3"/>
  <c r="N1313" i="3"/>
  <c r="Q1313" i="3" s="1"/>
  <c r="M1313" i="3"/>
  <c r="L1313" i="3"/>
  <c r="V1312" i="3"/>
  <c r="U1312" i="3"/>
  <c r="T1312" i="3"/>
  <c r="S1312" i="3"/>
  <c r="R1312" i="3"/>
  <c r="Q1312" i="3"/>
  <c r="P1312" i="3"/>
  <c r="O1312" i="3"/>
  <c r="N1312" i="3"/>
  <c r="M1312" i="3"/>
  <c r="L1312" i="3"/>
  <c r="U1311" i="3"/>
  <c r="T1311" i="3"/>
  <c r="S1311" i="3"/>
  <c r="R1311" i="3"/>
  <c r="Q1311" i="3"/>
  <c r="P1311" i="3"/>
  <c r="O1311" i="3"/>
  <c r="N1311" i="3"/>
  <c r="M1311" i="3"/>
  <c r="L1311" i="3"/>
  <c r="U1310" i="3"/>
  <c r="T1310" i="3"/>
  <c r="S1310" i="3"/>
  <c r="R1310" i="3"/>
  <c r="P1310" i="3"/>
  <c r="O1310" i="3"/>
  <c r="N1310" i="3"/>
  <c r="Q1310" i="3" s="1"/>
  <c r="M1310" i="3"/>
  <c r="L1310" i="3"/>
  <c r="U1309" i="3"/>
  <c r="V1309" i="3" s="1"/>
  <c r="T1309" i="3"/>
  <c r="S1309" i="3"/>
  <c r="R1309" i="3"/>
  <c r="P1309" i="3"/>
  <c r="O1309" i="3"/>
  <c r="N1309" i="3"/>
  <c r="Q1309" i="3" s="1"/>
  <c r="M1309" i="3"/>
  <c r="L1309" i="3"/>
  <c r="V1308" i="3"/>
  <c r="U1308" i="3"/>
  <c r="T1308" i="3"/>
  <c r="S1308" i="3"/>
  <c r="R1308" i="3"/>
  <c r="P1308" i="3"/>
  <c r="O1308" i="3"/>
  <c r="N1308" i="3"/>
  <c r="Q1308" i="3" s="1"/>
  <c r="M1308" i="3"/>
  <c r="L1308" i="3"/>
  <c r="U1307" i="3"/>
  <c r="V1307" i="3" s="1"/>
  <c r="T1307" i="3"/>
  <c r="S1307" i="3"/>
  <c r="R1307" i="3"/>
  <c r="Q1307" i="3"/>
  <c r="P1307" i="3"/>
  <c r="O1307" i="3"/>
  <c r="N1307" i="3"/>
  <c r="M1307" i="3"/>
  <c r="L1307" i="3"/>
  <c r="U1306" i="3"/>
  <c r="T1306" i="3"/>
  <c r="S1306" i="3"/>
  <c r="R1306" i="3"/>
  <c r="P1306" i="3"/>
  <c r="O1306" i="3"/>
  <c r="N1306" i="3"/>
  <c r="Q1306" i="3" s="1"/>
  <c r="M1306" i="3"/>
  <c r="L1306" i="3"/>
  <c r="V1306" i="3" s="1"/>
  <c r="V1305" i="3"/>
  <c r="U1305" i="3"/>
  <c r="T1305" i="3"/>
  <c r="S1305" i="3"/>
  <c r="R1305" i="3"/>
  <c r="P1305" i="3"/>
  <c r="O1305" i="3"/>
  <c r="N1305" i="3"/>
  <c r="Q1305" i="3" s="1"/>
  <c r="M1305" i="3"/>
  <c r="L1305" i="3"/>
  <c r="V1304" i="3"/>
  <c r="U1304" i="3"/>
  <c r="T1304" i="3"/>
  <c r="S1304" i="3"/>
  <c r="R1304" i="3"/>
  <c r="P1304" i="3"/>
  <c r="O1304" i="3"/>
  <c r="N1304" i="3"/>
  <c r="Q1304" i="3" s="1"/>
  <c r="M1304" i="3"/>
  <c r="L1304" i="3"/>
  <c r="U1303" i="3"/>
  <c r="V1303" i="3" s="1"/>
  <c r="T1303" i="3"/>
  <c r="S1303" i="3"/>
  <c r="R1303" i="3"/>
  <c r="Q1303" i="3"/>
  <c r="P1303" i="3"/>
  <c r="O1303" i="3"/>
  <c r="N1303" i="3"/>
  <c r="M1303" i="3"/>
  <c r="L1303" i="3"/>
  <c r="U1302" i="3"/>
  <c r="T1302" i="3"/>
  <c r="S1302" i="3"/>
  <c r="R1302" i="3"/>
  <c r="P1302" i="3"/>
  <c r="O1302" i="3"/>
  <c r="N1302" i="3"/>
  <c r="Q1302" i="3" s="1"/>
  <c r="M1302" i="3"/>
  <c r="L1302" i="3"/>
  <c r="U1301" i="3"/>
  <c r="V1301" i="3" s="1"/>
  <c r="T1301" i="3"/>
  <c r="S1301" i="3"/>
  <c r="R1301" i="3"/>
  <c r="P1301" i="3"/>
  <c r="O1301" i="3"/>
  <c r="N1301" i="3"/>
  <c r="Q1301" i="3" s="1"/>
  <c r="M1301" i="3"/>
  <c r="L1301" i="3"/>
  <c r="V1300" i="3"/>
  <c r="U1300" i="3"/>
  <c r="T1300" i="3"/>
  <c r="S1300" i="3"/>
  <c r="R1300" i="3"/>
  <c r="P1300" i="3"/>
  <c r="O1300" i="3"/>
  <c r="N1300" i="3"/>
  <c r="Q1300" i="3" s="1"/>
  <c r="M1300" i="3"/>
  <c r="L1300" i="3"/>
  <c r="U1299" i="3"/>
  <c r="V1299" i="3" s="1"/>
  <c r="T1299" i="3"/>
  <c r="S1299" i="3"/>
  <c r="R1299" i="3"/>
  <c r="Q1299" i="3"/>
  <c r="P1299" i="3"/>
  <c r="O1299" i="3"/>
  <c r="N1299" i="3"/>
  <c r="M1299" i="3"/>
  <c r="L1299" i="3"/>
  <c r="U1298" i="3"/>
  <c r="T1298" i="3"/>
  <c r="S1298" i="3"/>
  <c r="R1298" i="3"/>
  <c r="P1298" i="3"/>
  <c r="O1298" i="3"/>
  <c r="N1298" i="3"/>
  <c r="Q1298" i="3" s="1"/>
  <c r="M1298" i="3"/>
  <c r="L1298" i="3"/>
  <c r="V1298" i="3" s="1"/>
  <c r="V1297" i="3"/>
  <c r="U1297" i="3"/>
  <c r="T1297" i="3"/>
  <c r="S1297" i="3"/>
  <c r="R1297" i="3"/>
  <c r="P1297" i="3"/>
  <c r="O1297" i="3"/>
  <c r="N1297" i="3"/>
  <c r="Q1297" i="3" s="1"/>
  <c r="M1297" i="3"/>
  <c r="L1297" i="3"/>
  <c r="V1296" i="3"/>
  <c r="U1296" i="3"/>
  <c r="T1296" i="3"/>
  <c r="S1296" i="3"/>
  <c r="R1296" i="3"/>
  <c r="Q1296" i="3"/>
  <c r="P1296" i="3"/>
  <c r="O1296" i="3"/>
  <c r="N1296" i="3"/>
  <c r="M1296" i="3"/>
  <c r="L1296" i="3"/>
  <c r="U1295" i="3"/>
  <c r="V1295" i="3" s="1"/>
  <c r="T1295" i="3"/>
  <c r="S1295" i="3"/>
  <c r="R1295" i="3"/>
  <c r="Q1295" i="3"/>
  <c r="P1295" i="3"/>
  <c r="O1295" i="3"/>
  <c r="N1295" i="3"/>
  <c r="M1295" i="3"/>
  <c r="L1295" i="3"/>
  <c r="U1294" i="3"/>
  <c r="T1294" i="3"/>
  <c r="S1294" i="3"/>
  <c r="R1294" i="3"/>
  <c r="P1294" i="3"/>
  <c r="O1294" i="3"/>
  <c r="N1294" i="3"/>
  <c r="Q1294" i="3" s="1"/>
  <c r="M1294" i="3"/>
  <c r="L1294" i="3"/>
  <c r="U1293" i="3"/>
  <c r="V1293" i="3" s="1"/>
  <c r="T1293" i="3"/>
  <c r="S1293" i="3"/>
  <c r="R1293" i="3"/>
  <c r="P1293" i="3"/>
  <c r="O1293" i="3"/>
  <c r="N1293" i="3"/>
  <c r="Q1293" i="3" s="1"/>
  <c r="M1293" i="3"/>
  <c r="L1293" i="3"/>
  <c r="U1292" i="3"/>
  <c r="V1292" i="3" s="1"/>
  <c r="T1292" i="3"/>
  <c r="S1292" i="3"/>
  <c r="R1292" i="3"/>
  <c r="P1292" i="3"/>
  <c r="O1292" i="3"/>
  <c r="N1292" i="3"/>
  <c r="Q1292" i="3" s="1"/>
  <c r="M1292" i="3"/>
  <c r="L1292" i="3"/>
  <c r="U1291" i="3"/>
  <c r="V1291" i="3" s="1"/>
  <c r="T1291" i="3"/>
  <c r="S1291" i="3"/>
  <c r="R1291" i="3"/>
  <c r="Q1291" i="3"/>
  <c r="P1291" i="3"/>
  <c r="O1291" i="3"/>
  <c r="N1291" i="3"/>
  <c r="M1291" i="3"/>
  <c r="L1291" i="3"/>
  <c r="V1290" i="3"/>
  <c r="U1290" i="3"/>
  <c r="T1290" i="3"/>
  <c r="S1290" i="3"/>
  <c r="R1290" i="3"/>
  <c r="P1290" i="3"/>
  <c r="O1290" i="3"/>
  <c r="N1290" i="3"/>
  <c r="Q1290" i="3" s="1"/>
  <c r="M1290" i="3"/>
  <c r="L1290" i="3"/>
  <c r="V1289" i="3"/>
  <c r="U1289" i="3"/>
  <c r="T1289" i="3"/>
  <c r="S1289" i="3"/>
  <c r="R1289" i="3"/>
  <c r="P1289" i="3"/>
  <c r="O1289" i="3"/>
  <c r="N1289" i="3"/>
  <c r="Q1289" i="3" s="1"/>
  <c r="M1289" i="3"/>
  <c r="L1289" i="3"/>
  <c r="U1288" i="3"/>
  <c r="T1288" i="3"/>
  <c r="S1288" i="3"/>
  <c r="R1288" i="3"/>
  <c r="Q1288" i="3"/>
  <c r="P1288" i="3"/>
  <c r="O1288" i="3"/>
  <c r="N1288" i="3"/>
  <c r="M1288" i="3"/>
  <c r="L1288" i="3"/>
  <c r="V1288" i="3" s="1"/>
  <c r="U1287" i="3"/>
  <c r="V1287" i="3" s="1"/>
  <c r="T1287" i="3"/>
  <c r="S1287" i="3"/>
  <c r="R1287" i="3"/>
  <c r="Q1287" i="3"/>
  <c r="P1287" i="3"/>
  <c r="O1287" i="3"/>
  <c r="N1287" i="3"/>
  <c r="M1287" i="3"/>
  <c r="L1287" i="3"/>
  <c r="U1286" i="3"/>
  <c r="T1286" i="3"/>
  <c r="S1286" i="3"/>
  <c r="R1286" i="3"/>
  <c r="P1286" i="3"/>
  <c r="O1286" i="3"/>
  <c r="N1286" i="3"/>
  <c r="Q1286" i="3" s="1"/>
  <c r="M1286" i="3"/>
  <c r="L1286" i="3"/>
  <c r="U1285" i="3"/>
  <c r="V1285" i="3" s="1"/>
  <c r="T1285" i="3"/>
  <c r="S1285" i="3"/>
  <c r="R1285" i="3"/>
  <c r="P1285" i="3"/>
  <c r="O1285" i="3"/>
  <c r="N1285" i="3"/>
  <c r="Q1285" i="3" s="1"/>
  <c r="M1285" i="3"/>
  <c r="L1285" i="3"/>
  <c r="U1284" i="3"/>
  <c r="V1284" i="3" s="1"/>
  <c r="T1284" i="3"/>
  <c r="S1284" i="3"/>
  <c r="R1284" i="3"/>
  <c r="P1284" i="3"/>
  <c r="O1284" i="3"/>
  <c r="N1284" i="3"/>
  <c r="Q1284" i="3" s="1"/>
  <c r="M1284" i="3"/>
  <c r="L1284" i="3"/>
  <c r="V1283" i="3"/>
  <c r="U1283" i="3"/>
  <c r="T1283" i="3"/>
  <c r="S1283" i="3"/>
  <c r="R1283" i="3"/>
  <c r="P1283" i="3"/>
  <c r="O1283" i="3"/>
  <c r="N1283" i="3"/>
  <c r="Q1283" i="3" s="1"/>
  <c r="M1283" i="3"/>
  <c r="L1283" i="3"/>
  <c r="V1282" i="3"/>
  <c r="U1282" i="3"/>
  <c r="T1282" i="3"/>
  <c r="S1282" i="3"/>
  <c r="R1282" i="3"/>
  <c r="Q1282" i="3"/>
  <c r="P1282" i="3"/>
  <c r="O1282" i="3"/>
  <c r="N1282" i="3"/>
  <c r="M1282" i="3"/>
  <c r="L1282" i="3"/>
  <c r="U1281" i="3"/>
  <c r="T1281" i="3"/>
  <c r="S1281" i="3"/>
  <c r="R1281" i="3"/>
  <c r="Q1281" i="3"/>
  <c r="P1281" i="3"/>
  <c r="O1281" i="3"/>
  <c r="N1281" i="3"/>
  <c r="M1281" i="3"/>
  <c r="L1281" i="3"/>
  <c r="V1281" i="3" s="1"/>
  <c r="U1280" i="3"/>
  <c r="V1280" i="3" s="1"/>
  <c r="T1280" i="3"/>
  <c r="S1280" i="3"/>
  <c r="R1280" i="3"/>
  <c r="P1280" i="3"/>
  <c r="O1280" i="3"/>
  <c r="N1280" i="3"/>
  <c r="Q1280" i="3" s="1"/>
  <c r="M1280" i="3"/>
  <c r="L1280" i="3"/>
  <c r="U1279" i="3"/>
  <c r="V1279" i="3" s="1"/>
  <c r="T1279" i="3"/>
  <c r="S1279" i="3"/>
  <c r="R1279" i="3"/>
  <c r="Q1279" i="3"/>
  <c r="P1279" i="3"/>
  <c r="O1279" i="3"/>
  <c r="N1279" i="3"/>
  <c r="M1279" i="3"/>
  <c r="L1279" i="3"/>
  <c r="U1278" i="3"/>
  <c r="T1278" i="3"/>
  <c r="S1278" i="3"/>
  <c r="R1278" i="3"/>
  <c r="P1278" i="3"/>
  <c r="O1278" i="3"/>
  <c r="N1278" i="3"/>
  <c r="Q1278" i="3" s="1"/>
  <c r="M1278" i="3"/>
  <c r="L1278" i="3"/>
  <c r="U1277" i="3"/>
  <c r="V1277" i="3" s="1"/>
  <c r="T1277" i="3"/>
  <c r="S1277" i="3"/>
  <c r="R1277" i="3"/>
  <c r="P1277" i="3"/>
  <c r="O1277" i="3"/>
  <c r="N1277" i="3"/>
  <c r="Q1277" i="3" s="1"/>
  <c r="M1277" i="3"/>
  <c r="L1277" i="3"/>
  <c r="U1276" i="3"/>
  <c r="V1276" i="3" s="1"/>
  <c r="T1276" i="3"/>
  <c r="S1276" i="3"/>
  <c r="R1276" i="3"/>
  <c r="P1276" i="3"/>
  <c r="O1276" i="3"/>
  <c r="N1276" i="3"/>
  <c r="Q1276" i="3" s="1"/>
  <c r="M1276" i="3"/>
  <c r="L1276" i="3"/>
  <c r="V1275" i="3"/>
  <c r="U1275" i="3"/>
  <c r="T1275" i="3"/>
  <c r="S1275" i="3"/>
  <c r="R1275" i="3"/>
  <c r="P1275" i="3"/>
  <c r="O1275" i="3"/>
  <c r="N1275" i="3"/>
  <c r="Q1275" i="3" s="1"/>
  <c r="M1275" i="3"/>
  <c r="L1275" i="3"/>
  <c r="U1274" i="3"/>
  <c r="T1274" i="3"/>
  <c r="S1274" i="3"/>
  <c r="R1274" i="3"/>
  <c r="Q1274" i="3"/>
  <c r="P1274" i="3"/>
  <c r="O1274" i="3"/>
  <c r="N1274" i="3"/>
  <c r="M1274" i="3"/>
  <c r="L1274" i="3"/>
  <c r="V1274" i="3" s="1"/>
  <c r="U1273" i="3"/>
  <c r="T1273" i="3"/>
  <c r="S1273" i="3"/>
  <c r="R1273" i="3"/>
  <c r="P1273" i="3"/>
  <c r="O1273" i="3"/>
  <c r="N1273" i="3"/>
  <c r="Q1273" i="3" s="1"/>
  <c r="M1273" i="3"/>
  <c r="L1273" i="3"/>
  <c r="V1273" i="3" s="1"/>
  <c r="V1272" i="3"/>
  <c r="U1272" i="3"/>
  <c r="T1272" i="3"/>
  <c r="S1272" i="3"/>
  <c r="R1272" i="3"/>
  <c r="Q1272" i="3"/>
  <c r="P1272" i="3"/>
  <c r="O1272" i="3"/>
  <c r="N1272" i="3"/>
  <c r="M1272" i="3"/>
  <c r="L1272" i="3"/>
  <c r="U1271" i="3"/>
  <c r="V1271" i="3" s="1"/>
  <c r="T1271" i="3"/>
  <c r="S1271" i="3"/>
  <c r="R1271" i="3"/>
  <c r="Q1271" i="3"/>
  <c r="P1271" i="3"/>
  <c r="O1271" i="3"/>
  <c r="N1271" i="3"/>
  <c r="M1271" i="3"/>
  <c r="L1271" i="3"/>
  <c r="U1270" i="3"/>
  <c r="T1270" i="3"/>
  <c r="S1270" i="3"/>
  <c r="R1270" i="3"/>
  <c r="P1270" i="3"/>
  <c r="O1270" i="3"/>
  <c r="N1270" i="3"/>
  <c r="Q1270" i="3" s="1"/>
  <c r="M1270" i="3"/>
  <c r="L1270" i="3"/>
  <c r="U1269" i="3"/>
  <c r="V1269" i="3" s="1"/>
  <c r="T1269" i="3"/>
  <c r="S1269" i="3"/>
  <c r="R1269" i="3"/>
  <c r="P1269" i="3"/>
  <c r="O1269" i="3"/>
  <c r="N1269" i="3"/>
  <c r="Q1269" i="3" s="1"/>
  <c r="M1269" i="3"/>
  <c r="L1269" i="3"/>
  <c r="V1268" i="3"/>
  <c r="U1268" i="3"/>
  <c r="T1268" i="3"/>
  <c r="S1268" i="3"/>
  <c r="R1268" i="3"/>
  <c r="P1268" i="3"/>
  <c r="O1268" i="3"/>
  <c r="N1268" i="3"/>
  <c r="Q1268" i="3" s="1"/>
  <c r="M1268" i="3"/>
  <c r="L1268" i="3"/>
  <c r="V1267" i="3"/>
  <c r="U1267" i="3"/>
  <c r="T1267" i="3"/>
  <c r="S1267" i="3"/>
  <c r="R1267" i="3"/>
  <c r="P1267" i="3"/>
  <c r="O1267" i="3"/>
  <c r="N1267" i="3"/>
  <c r="Q1267" i="3" s="1"/>
  <c r="M1267" i="3"/>
  <c r="L1267" i="3"/>
  <c r="U1266" i="3"/>
  <c r="T1266" i="3"/>
  <c r="S1266" i="3"/>
  <c r="R1266" i="3"/>
  <c r="Q1266" i="3"/>
  <c r="P1266" i="3"/>
  <c r="O1266" i="3"/>
  <c r="N1266" i="3"/>
  <c r="M1266" i="3"/>
  <c r="L1266" i="3"/>
  <c r="V1266" i="3" s="1"/>
  <c r="U1265" i="3"/>
  <c r="T1265" i="3"/>
  <c r="S1265" i="3"/>
  <c r="R1265" i="3"/>
  <c r="Q1265" i="3"/>
  <c r="P1265" i="3"/>
  <c r="O1265" i="3"/>
  <c r="N1265" i="3"/>
  <c r="M1265" i="3"/>
  <c r="L1265" i="3"/>
  <c r="V1265" i="3" s="1"/>
  <c r="U1264" i="3"/>
  <c r="V1264" i="3" s="1"/>
  <c r="T1264" i="3"/>
  <c r="S1264" i="3"/>
  <c r="R1264" i="3"/>
  <c r="P1264" i="3"/>
  <c r="O1264" i="3"/>
  <c r="N1264" i="3"/>
  <c r="Q1264" i="3" s="1"/>
  <c r="M1264" i="3"/>
  <c r="L1264" i="3"/>
  <c r="U1263" i="3"/>
  <c r="V1263" i="3" s="1"/>
  <c r="T1263" i="3"/>
  <c r="S1263" i="3"/>
  <c r="R1263" i="3"/>
  <c r="Q1263" i="3"/>
  <c r="P1263" i="3"/>
  <c r="O1263" i="3"/>
  <c r="N1263" i="3"/>
  <c r="M1263" i="3"/>
  <c r="L1263" i="3"/>
  <c r="U1262" i="3"/>
  <c r="T1262" i="3"/>
  <c r="S1262" i="3"/>
  <c r="R1262" i="3"/>
  <c r="P1262" i="3"/>
  <c r="O1262" i="3"/>
  <c r="N1262" i="3"/>
  <c r="Q1262" i="3" s="1"/>
  <c r="M1262" i="3"/>
  <c r="L1262" i="3"/>
  <c r="U1261" i="3"/>
  <c r="V1261" i="3" s="1"/>
  <c r="T1261" i="3"/>
  <c r="S1261" i="3"/>
  <c r="R1261" i="3"/>
  <c r="P1261" i="3"/>
  <c r="O1261" i="3"/>
  <c r="N1261" i="3"/>
  <c r="Q1261" i="3" s="1"/>
  <c r="M1261" i="3"/>
  <c r="L1261" i="3"/>
  <c r="U1260" i="3"/>
  <c r="V1260" i="3" s="1"/>
  <c r="T1260" i="3"/>
  <c r="S1260" i="3"/>
  <c r="R1260" i="3"/>
  <c r="P1260" i="3"/>
  <c r="O1260" i="3"/>
  <c r="N1260" i="3"/>
  <c r="Q1260" i="3" s="1"/>
  <c r="M1260" i="3"/>
  <c r="L1260" i="3"/>
  <c r="V1259" i="3"/>
  <c r="U1259" i="3"/>
  <c r="T1259" i="3"/>
  <c r="S1259" i="3"/>
  <c r="R1259" i="3"/>
  <c r="P1259" i="3"/>
  <c r="O1259" i="3"/>
  <c r="N1259" i="3"/>
  <c r="Q1259" i="3" s="1"/>
  <c r="M1259" i="3"/>
  <c r="L1259" i="3"/>
  <c r="U1258" i="3"/>
  <c r="T1258" i="3"/>
  <c r="S1258" i="3"/>
  <c r="R1258" i="3"/>
  <c r="Q1258" i="3"/>
  <c r="P1258" i="3"/>
  <c r="O1258" i="3"/>
  <c r="N1258" i="3"/>
  <c r="M1258" i="3"/>
  <c r="L1258" i="3"/>
  <c r="V1258" i="3" s="1"/>
  <c r="U1257" i="3"/>
  <c r="T1257" i="3"/>
  <c r="S1257" i="3"/>
  <c r="R1257" i="3"/>
  <c r="P1257" i="3"/>
  <c r="O1257" i="3"/>
  <c r="N1257" i="3"/>
  <c r="Q1257" i="3" s="1"/>
  <c r="M1257" i="3"/>
  <c r="L1257" i="3"/>
  <c r="V1257" i="3" s="1"/>
  <c r="V1256" i="3"/>
  <c r="U1256" i="3"/>
  <c r="T1256" i="3"/>
  <c r="S1256" i="3"/>
  <c r="R1256" i="3"/>
  <c r="P1256" i="3"/>
  <c r="O1256" i="3"/>
  <c r="N1256" i="3"/>
  <c r="Q1256" i="3" s="1"/>
  <c r="M1256" i="3"/>
  <c r="L1256" i="3"/>
  <c r="U1255" i="3"/>
  <c r="T1255" i="3"/>
  <c r="S1255" i="3"/>
  <c r="R1255" i="3"/>
  <c r="Q1255" i="3"/>
  <c r="P1255" i="3"/>
  <c r="O1255" i="3"/>
  <c r="N1255" i="3"/>
  <c r="M1255" i="3"/>
  <c r="L1255" i="3"/>
  <c r="U1254" i="3"/>
  <c r="T1254" i="3"/>
  <c r="S1254" i="3"/>
  <c r="R1254" i="3"/>
  <c r="Q1254" i="3"/>
  <c r="P1254" i="3"/>
  <c r="O1254" i="3"/>
  <c r="N1254" i="3"/>
  <c r="M1254" i="3"/>
  <c r="L1254" i="3"/>
  <c r="V1253" i="3"/>
  <c r="U1253" i="3"/>
  <c r="T1253" i="3"/>
  <c r="S1253" i="3"/>
  <c r="R1253" i="3"/>
  <c r="P1253" i="3"/>
  <c r="O1253" i="3"/>
  <c r="N1253" i="3"/>
  <c r="Q1253" i="3" s="1"/>
  <c r="M1253" i="3"/>
  <c r="L1253" i="3"/>
  <c r="U1252" i="3"/>
  <c r="V1252" i="3" s="1"/>
  <c r="T1252" i="3"/>
  <c r="S1252" i="3"/>
  <c r="R1252" i="3"/>
  <c r="Q1252" i="3"/>
  <c r="P1252" i="3"/>
  <c r="O1252" i="3"/>
  <c r="N1252" i="3"/>
  <c r="M1252" i="3"/>
  <c r="L1252" i="3"/>
  <c r="U1251" i="3"/>
  <c r="T1251" i="3"/>
  <c r="S1251" i="3"/>
  <c r="R1251" i="3"/>
  <c r="P1251" i="3"/>
  <c r="O1251" i="3"/>
  <c r="N1251" i="3"/>
  <c r="Q1251" i="3" s="1"/>
  <c r="M1251" i="3"/>
  <c r="L1251" i="3"/>
  <c r="V1251" i="3" s="1"/>
  <c r="V1250" i="3"/>
  <c r="U1250" i="3"/>
  <c r="T1250" i="3"/>
  <c r="S1250" i="3"/>
  <c r="R1250" i="3"/>
  <c r="P1250" i="3"/>
  <c r="O1250" i="3"/>
  <c r="N1250" i="3"/>
  <c r="Q1250" i="3" s="1"/>
  <c r="M1250" i="3"/>
  <c r="L1250" i="3"/>
  <c r="U1249" i="3"/>
  <c r="T1249" i="3"/>
  <c r="S1249" i="3"/>
  <c r="R1249" i="3"/>
  <c r="Q1249" i="3"/>
  <c r="P1249" i="3"/>
  <c r="O1249" i="3"/>
  <c r="N1249" i="3"/>
  <c r="M1249" i="3"/>
  <c r="L1249" i="3"/>
  <c r="V1249" i="3" s="1"/>
  <c r="U1248" i="3"/>
  <c r="V1248" i="3" s="1"/>
  <c r="T1248" i="3"/>
  <c r="S1248" i="3"/>
  <c r="R1248" i="3"/>
  <c r="P1248" i="3"/>
  <c r="O1248" i="3"/>
  <c r="N1248" i="3"/>
  <c r="Q1248" i="3" s="1"/>
  <c r="M1248" i="3"/>
  <c r="L1248" i="3"/>
  <c r="U1247" i="3"/>
  <c r="V1247" i="3" s="1"/>
  <c r="T1247" i="3"/>
  <c r="S1247" i="3"/>
  <c r="R1247" i="3"/>
  <c r="P1247" i="3"/>
  <c r="O1247" i="3"/>
  <c r="N1247" i="3"/>
  <c r="Q1247" i="3" s="1"/>
  <c r="M1247" i="3"/>
  <c r="L1247" i="3"/>
  <c r="U1246" i="3"/>
  <c r="V1246" i="3" s="1"/>
  <c r="T1246" i="3"/>
  <c r="S1246" i="3"/>
  <c r="R1246" i="3"/>
  <c r="Q1246" i="3"/>
  <c r="P1246" i="3"/>
  <c r="O1246" i="3"/>
  <c r="N1246" i="3"/>
  <c r="M1246" i="3"/>
  <c r="L1246" i="3"/>
  <c r="U1245" i="3"/>
  <c r="V1245" i="3" s="1"/>
  <c r="T1245" i="3"/>
  <c r="S1245" i="3"/>
  <c r="R1245" i="3"/>
  <c r="P1245" i="3"/>
  <c r="O1245" i="3"/>
  <c r="N1245" i="3"/>
  <c r="Q1245" i="3" s="1"/>
  <c r="M1245" i="3"/>
  <c r="L1245" i="3"/>
  <c r="V1244" i="3"/>
  <c r="U1244" i="3"/>
  <c r="T1244" i="3"/>
  <c r="S1244" i="3"/>
  <c r="R1244" i="3"/>
  <c r="P1244" i="3"/>
  <c r="O1244" i="3"/>
  <c r="N1244" i="3"/>
  <c r="Q1244" i="3" s="1"/>
  <c r="M1244" i="3"/>
  <c r="L1244" i="3"/>
  <c r="V1243" i="3"/>
  <c r="U1243" i="3"/>
  <c r="T1243" i="3"/>
  <c r="S1243" i="3"/>
  <c r="R1243" i="3"/>
  <c r="P1243" i="3"/>
  <c r="O1243" i="3"/>
  <c r="N1243" i="3"/>
  <c r="Q1243" i="3" s="1"/>
  <c r="M1243" i="3"/>
  <c r="L1243" i="3"/>
  <c r="U1242" i="3"/>
  <c r="V1242" i="3" s="1"/>
  <c r="T1242" i="3"/>
  <c r="S1242" i="3"/>
  <c r="R1242" i="3"/>
  <c r="P1242" i="3"/>
  <c r="O1242" i="3"/>
  <c r="N1242" i="3"/>
  <c r="Q1242" i="3" s="1"/>
  <c r="M1242" i="3"/>
  <c r="L1242" i="3"/>
  <c r="U1241" i="3"/>
  <c r="V1241" i="3" s="1"/>
  <c r="T1241" i="3"/>
  <c r="S1241" i="3"/>
  <c r="R1241" i="3"/>
  <c r="Q1241" i="3"/>
  <c r="P1241" i="3"/>
  <c r="O1241" i="3"/>
  <c r="N1241" i="3"/>
  <c r="M1241" i="3"/>
  <c r="L1241" i="3"/>
  <c r="U1240" i="3"/>
  <c r="T1240" i="3"/>
  <c r="S1240" i="3"/>
  <c r="R1240" i="3"/>
  <c r="P1240" i="3"/>
  <c r="O1240" i="3"/>
  <c r="N1240" i="3"/>
  <c r="Q1240" i="3" s="1"/>
  <c r="M1240" i="3"/>
  <c r="L1240" i="3"/>
  <c r="V1240" i="3" s="1"/>
  <c r="V1239" i="3"/>
  <c r="U1239" i="3"/>
  <c r="T1239" i="3"/>
  <c r="S1239" i="3"/>
  <c r="R1239" i="3"/>
  <c r="P1239" i="3"/>
  <c r="O1239" i="3"/>
  <c r="N1239" i="3"/>
  <c r="Q1239" i="3" s="1"/>
  <c r="M1239" i="3"/>
  <c r="L1239" i="3"/>
  <c r="U1238" i="3"/>
  <c r="V1238" i="3" s="1"/>
  <c r="T1238" i="3"/>
  <c r="S1238" i="3"/>
  <c r="R1238" i="3"/>
  <c r="Q1238" i="3"/>
  <c r="P1238" i="3"/>
  <c r="O1238" i="3"/>
  <c r="N1238" i="3"/>
  <c r="M1238" i="3"/>
  <c r="L1238" i="3"/>
  <c r="U1237" i="3"/>
  <c r="V1237" i="3" s="1"/>
  <c r="T1237" i="3"/>
  <c r="S1237" i="3"/>
  <c r="R1237" i="3"/>
  <c r="P1237" i="3"/>
  <c r="O1237" i="3"/>
  <c r="N1237" i="3"/>
  <c r="Q1237" i="3" s="1"/>
  <c r="M1237" i="3"/>
  <c r="L1237" i="3"/>
  <c r="V1236" i="3"/>
  <c r="U1236" i="3"/>
  <c r="T1236" i="3"/>
  <c r="S1236" i="3"/>
  <c r="R1236" i="3"/>
  <c r="P1236" i="3"/>
  <c r="O1236" i="3"/>
  <c r="N1236" i="3"/>
  <c r="Q1236" i="3" s="1"/>
  <c r="M1236" i="3"/>
  <c r="L1236" i="3"/>
  <c r="V1235" i="3"/>
  <c r="U1235" i="3"/>
  <c r="T1235" i="3"/>
  <c r="S1235" i="3"/>
  <c r="R1235" i="3"/>
  <c r="P1235" i="3"/>
  <c r="O1235" i="3"/>
  <c r="N1235" i="3"/>
  <c r="Q1235" i="3" s="1"/>
  <c r="M1235" i="3"/>
  <c r="L1235" i="3"/>
  <c r="U1234" i="3"/>
  <c r="V1234" i="3" s="1"/>
  <c r="T1234" i="3"/>
  <c r="S1234" i="3"/>
  <c r="R1234" i="3"/>
  <c r="P1234" i="3"/>
  <c r="O1234" i="3"/>
  <c r="N1234" i="3"/>
  <c r="Q1234" i="3" s="1"/>
  <c r="M1234" i="3"/>
  <c r="L1234" i="3"/>
  <c r="U1233" i="3"/>
  <c r="V1233" i="3" s="1"/>
  <c r="T1233" i="3"/>
  <c r="S1233" i="3"/>
  <c r="R1233" i="3"/>
  <c r="Q1233" i="3"/>
  <c r="P1233" i="3"/>
  <c r="O1233" i="3"/>
  <c r="N1233" i="3"/>
  <c r="M1233" i="3"/>
  <c r="L1233" i="3"/>
  <c r="U1232" i="3"/>
  <c r="T1232" i="3"/>
  <c r="S1232" i="3"/>
  <c r="R1232" i="3"/>
  <c r="P1232" i="3"/>
  <c r="O1232" i="3"/>
  <c r="N1232" i="3"/>
  <c r="Q1232" i="3" s="1"/>
  <c r="M1232" i="3"/>
  <c r="L1232" i="3"/>
  <c r="V1232" i="3" s="1"/>
  <c r="V1231" i="3"/>
  <c r="U1231" i="3"/>
  <c r="T1231" i="3"/>
  <c r="S1231" i="3"/>
  <c r="R1231" i="3"/>
  <c r="P1231" i="3"/>
  <c r="O1231" i="3"/>
  <c r="N1231" i="3"/>
  <c r="Q1231" i="3" s="1"/>
  <c r="M1231" i="3"/>
  <c r="L1231" i="3"/>
  <c r="U1230" i="3"/>
  <c r="V1230" i="3" s="1"/>
  <c r="T1230" i="3"/>
  <c r="S1230" i="3"/>
  <c r="R1230" i="3"/>
  <c r="Q1230" i="3"/>
  <c r="P1230" i="3"/>
  <c r="O1230" i="3"/>
  <c r="N1230" i="3"/>
  <c r="M1230" i="3"/>
  <c r="L1230" i="3"/>
  <c r="U1229" i="3"/>
  <c r="V1229" i="3" s="1"/>
  <c r="T1229" i="3"/>
  <c r="S1229" i="3"/>
  <c r="R1229" i="3"/>
  <c r="P1229" i="3"/>
  <c r="O1229" i="3"/>
  <c r="N1229" i="3"/>
  <c r="Q1229" i="3" s="1"/>
  <c r="M1229" i="3"/>
  <c r="L1229" i="3"/>
  <c r="V1228" i="3"/>
  <c r="U1228" i="3"/>
  <c r="T1228" i="3"/>
  <c r="S1228" i="3"/>
  <c r="R1228" i="3"/>
  <c r="P1228" i="3"/>
  <c r="O1228" i="3"/>
  <c r="N1228" i="3"/>
  <c r="Q1228" i="3" s="1"/>
  <c r="M1228" i="3"/>
  <c r="L1228" i="3"/>
  <c r="V1227" i="3"/>
  <c r="U1227" i="3"/>
  <c r="T1227" i="3"/>
  <c r="S1227" i="3"/>
  <c r="R1227" i="3"/>
  <c r="P1227" i="3"/>
  <c r="O1227" i="3"/>
  <c r="N1227" i="3"/>
  <c r="Q1227" i="3" s="1"/>
  <c r="M1227" i="3"/>
  <c r="L1227" i="3"/>
  <c r="U1226" i="3"/>
  <c r="V1226" i="3" s="1"/>
  <c r="T1226" i="3"/>
  <c r="S1226" i="3"/>
  <c r="R1226" i="3"/>
  <c r="P1226" i="3"/>
  <c r="O1226" i="3"/>
  <c r="N1226" i="3"/>
  <c r="Q1226" i="3" s="1"/>
  <c r="M1226" i="3"/>
  <c r="L1226" i="3"/>
  <c r="U1225" i="3"/>
  <c r="V1225" i="3" s="1"/>
  <c r="T1225" i="3"/>
  <c r="S1225" i="3"/>
  <c r="R1225" i="3"/>
  <c r="Q1225" i="3"/>
  <c r="P1225" i="3"/>
  <c r="O1225" i="3"/>
  <c r="N1225" i="3"/>
  <c r="M1225" i="3"/>
  <c r="L1225" i="3"/>
  <c r="U1224" i="3"/>
  <c r="T1224" i="3"/>
  <c r="S1224" i="3"/>
  <c r="R1224" i="3"/>
  <c r="P1224" i="3"/>
  <c r="O1224" i="3"/>
  <c r="N1224" i="3"/>
  <c r="Q1224" i="3" s="1"/>
  <c r="M1224" i="3"/>
  <c r="L1224" i="3"/>
  <c r="V1224" i="3" s="1"/>
  <c r="V1223" i="3"/>
  <c r="U1223" i="3"/>
  <c r="T1223" i="3"/>
  <c r="S1223" i="3"/>
  <c r="R1223" i="3"/>
  <c r="P1223" i="3"/>
  <c r="O1223" i="3"/>
  <c r="N1223" i="3"/>
  <c r="Q1223" i="3" s="1"/>
  <c r="M1223" i="3"/>
  <c r="L1223" i="3"/>
  <c r="U1222" i="3"/>
  <c r="V1222" i="3" s="1"/>
  <c r="T1222" i="3"/>
  <c r="S1222" i="3"/>
  <c r="R1222" i="3"/>
  <c r="Q1222" i="3"/>
  <c r="P1222" i="3"/>
  <c r="O1222" i="3"/>
  <c r="N1222" i="3"/>
  <c r="M1222" i="3"/>
  <c r="L1222" i="3"/>
  <c r="U1221" i="3"/>
  <c r="V1221" i="3" s="1"/>
  <c r="T1221" i="3"/>
  <c r="S1221" i="3"/>
  <c r="R1221" i="3"/>
  <c r="P1221" i="3"/>
  <c r="O1221" i="3"/>
  <c r="N1221" i="3"/>
  <c r="Q1221" i="3" s="1"/>
  <c r="M1221" i="3"/>
  <c r="L1221" i="3"/>
  <c r="V1220" i="3"/>
  <c r="U1220" i="3"/>
  <c r="T1220" i="3"/>
  <c r="S1220" i="3"/>
  <c r="R1220" i="3"/>
  <c r="P1220" i="3"/>
  <c r="O1220" i="3"/>
  <c r="N1220" i="3"/>
  <c r="Q1220" i="3" s="1"/>
  <c r="M1220" i="3"/>
  <c r="L1220" i="3"/>
  <c r="V1219" i="3"/>
  <c r="U1219" i="3"/>
  <c r="T1219" i="3"/>
  <c r="S1219" i="3"/>
  <c r="R1219" i="3"/>
  <c r="P1219" i="3"/>
  <c r="O1219" i="3"/>
  <c r="N1219" i="3"/>
  <c r="Q1219" i="3" s="1"/>
  <c r="M1219" i="3"/>
  <c r="L1219" i="3"/>
  <c r="U1218" i="3"/>
  <c r="V1218" i="3" s="1"/>
  <c r="T1218" i="3"/>
  <c r="S1218" i="3"/>
  <c r="R1218" i="3"/>
  <c r="P1218" i="3"/>
  <c r="O1218" i="3"/>
  <c r="N1218" i="3"/>
  <c r="Q1218" i="3" s="1"/>
  <c r="M1218" i="3"/>
  <c r="L1218" i="3"/>
  <c r="U1217" i="3"/>
  <c r="V1217" i="3" s="1"/>
  <c r="T1217" i="3"/>
  <c r="S1217" i="3"/>
  <c r="R1217" i="3"/>
  <c r="Q1217" i="3"/>
  <c r="P1217" i="3"/>
  <c r="O1217" i="3"/>
  <c r="N1217" i="3"/>
  <c r="M1217" i="3"/>
  <c r="L1217" i="3"/>
  <c r="U1216" i="3"/>
  <c r="T1216" i="3"/>
  <c r="S1216" i="3"/>
  <c r="R1216" i="3"/>
  <c r="P1216" i="3"/>
  <c r="O1216" i="3"/>
  <c r="N1216" i="3"/>
  <c r="Q1216" i="3" s="1"/>
  <c r="M1216" i="3"/>
  <c r="L1216" i="3"/>
  <c r="V1216" i="3" s="1"/>
  <c r="V1215" i="3"/>
  <c r="U1215" i="3"/>
  <c r="T1215" i="3"/>
  <c r="S1215" i="3"/>
  <c r="R1215" i="3"/>
  <c r="P1215" i="3"/>
  <c r="O1215" i="3"/>
  <c r="N1215" i="3"/>
  <c r="Q1215" i="3" s="1"/>
  <c r="M1215" i="3"/>
  <c r="L1215" i="3"/>
  <c r="U1214" i="3"/>
  <c r="V1214" i="3" s="1"/>
  <c r="T1214" i="3"/>
  <c r="S1214" i="3"/>
  <c r="R1214" i="3"/>
  <c r="Q1214" i="3"/>
  <c r="P1214" i="3"/>
  <c r="O1214" i="3"/>
  <c r="N1214" i="3"/>
  <c r="M1214" i="3"/>
  <c r="L1214" i="3"/>
  <c r="U1213" i="3"/>
  <c r="V1213" i="3" s="1"/>
  <c r="T1213" i="3"/>
  <c r="S1213" i="3"/>
  <c r="R1213" i="3"/>
  <c r="P1213" i="3"/>
  <c r="O1213" i="3"/>
  <c r="N1213" i="3"/>
  <c r="Q1213" i="3" s="1"/>
  <c r="M1213" i="3"/>
  <c r="L1213" i="3"/>
  <c r="V1212" i="3"/>
  <c r="U1212" i="3"/>
  <c r="T1212" i="3"/>
  <c r="S1212" i="3"/>
  <c r="R1212" i="3"/>
  <c r="P1212" i="3"/>
  <c r="O1212" i="3"/>
  <c r="N1212" i="3"/>
  <c r="Q1212" i="3" s="1"/>
  <c r="M1212" i="3"/>
  <c r="L1212" i="3"/>
  <c r="V1211" i="3"/>
  <c r="U1211" i="3"/>
  <c r="T1211" i="3"/>
  <c r="S1211" i="3"/>
  <c r="R1211" i="3"/>
  <c r="P1211" i="3"/>
  <c r="O1211" i="3"/>
  <c r="N1211" i="3"/>
  <c r="Q1211" i="3" s="1"/>
  <c r="M1211" i="3"/>
  <c r="L1211" i="3"/>
  <c r="U1210" i="3"/>
  <c r="V1210" i="3" s="1"/>
  <c r="T1210" i="3"/>
  <c r="S1210" i="3"/>
  <c r="R1210" i="3"/>
  <c r="P1210" i="3"/>
  <c r="O1210" i="3"/>
  <c r="N1210" i="3"/>
  <c r="Q1210" i="3" s="1"/>
  <c r="M1210" i="3"/>
  <c r="L1210" i="3"/>
  <c r="U1209" i="3"/>
  <c r="V1209" i="3" s="1"/>
  <c r="T1209" i="3"/>
  <c r="S1209" i="3"/>
  <c r="R1209" i="3"/>
  <c r="Q1209" i="3"/>
  <c r="P1209" i="3"/>
  <c r="O1209" i="3"/>
  <c r="N1209" i="3"/>
  <c r="M1209" i="3"/>
  <c r="L1209" i="3"/>
  <c r="U1208" i="3"/>
  <c r="V1208" i="3" s="1"/>
  <c r="T1208" i="3"/>
  <c r="S1208" i="3"/>
  <c r="R1208" i="3"/>
  <c r="P1208" i="3"/>
  <c r="O1208" i="3"/>
  <c r="N1208" i="3"/>
  <c r="Q1208" i="3" s="1"/>
  <c r="M1208" i="3"/>
  <c r="L1208" i="3"/>
  <c r="V1207" i="3"/>
  <c r="U1207" i="3"/>
  <c r="T1207" i="3"/>
  <c r="S1207" i="3"/>
  <c r="R1207" i="3"/>
  <c r="P1207" i="3"/>
  <c r="O1207" i="3"/>
  <c r="N1207" i="3"/>
  <c r="Q1207" i="3" s="1"/>
  <c r="M1207" i="3"/>
  <c r="L1207" i="3"/>
  <c r="U1206" i="3"/>
  <c r="V1206" i="3" s="1"/>
  <c r="T1206" i="3"/>
  <c r="S1206" i="3"/>
  <c r="R1206" i="3"/>
  <c r="Q1206" i="3"/>
  <c r="P1206" i="3"/>
  <c r="O1206" i="3"/>
  <c r="N1206" i="3"/>
  <c r="M1206" i="3"/>
  <c r="L1206" i="3"/>
  <c r="U1205" i="3"/>
  <c r="V1205" i="3" s="1"/>
  <c r="T1205" i="3"/>
  <c r="S1205" i="3"/>
  <c r="R1205" i="3"/>
  <c r="P1205" i="3"/>
  <c r="O1205" i="3"/>
  <c r="N1205" i="3"/>
  <c r="Q1205" i="3" s="1"/>
  <c r="M1205" i="3"/>
  <c r="L1205" i="3"/>
  <c r="V1204" i="3"/>
  <c r="U1204" i="3"/>
  <c r="T1204" i="3"/>
  <c r="S1204" i="3"/>
  <c r="R1204" i="3"/>
  <c r="P1204" i="3"/>
  <c r="O1204" i="3"/>
  <c r="N1204" i="3"/>
  <c r="Q1204" i="3" s="1"/>
  <c r="M1204" i="3"/>
  <c r="L1204" i="3"/>
  <c r="U1203" i="3"/>
  <c r="V1203" i="3" s="1"/>
  <c r="T1203" i="3"/>
  <c r="S1203" i="3"/>
  <c r="R1203" i="3"/>
  <c r="P1203" i="3"/>
  <c r="O1203" i="3"/>
  <c r="N1203" i="3"/>
  <c r="Q1203" i="3" s="1"/>
  <c r="M1203" i="3"/>
  <c r="L1203" i="3"/>
  <c r="U1202" i="3"/>
  <c r="V1202" i="3" s="1"/>
  <c r="T1202" i="3"/>
  <c r="S1202" i="3"/>
  <c r="R1202" i="3"/>
  <c r="Q1202" i="3"/>
  <c r="P1202" i="3"/>
  <c r="O1202" i="3"/>
  <c r="N1202" i="3"/>
  <c r="M1202" i="3"/>
  <c r="L1202" i="3"/>
  <c r="U1201" i="3"/>
  <c r="V1201" i="3" s="1"/>
  <c r="T1201" i="3"/>
  <c r="S1201" i="3"/>
  <c r="R1201" i="3"/>
  <c r="Q1201" i="3"/>
  <c r="P1201" i="3"/>
  <c r="O1201" i="3"/>
  <c r="N1201" i="3"/>
  <c r="M1201" i="3"/>
  <c r="L1201" i="3"/>
  <c r="V1200" i="3"/>
  <c r="U1200" i="3"/>
  <c r="T1200" i="3"/>
  <c r="S1200" i="3"/>
  <c r="R1200" i="3"/>
  <c r="P1200" i="3"/>
  <c r="O1200" i="3"/>
  <c r="N1200" i="3"/>
  <c r="Q1200" i="3" s="1"/>
  <c r="M1200" i="3"/>
  <c r="L1200" i="3"/>
  <c r="V1199" i="3"/>
  <c r="U1199" i="3"/>
  <c r="T1199" i="3"/>
  <c r="S1199" i="3"/>
  <c r="R1199" i="3"/>
  <c r="Q1199" i="3"/>
  <c r="P1199" i="3"/>
  <c r="O1199" i="3"/>
  <c r="N1199" i="3"/>
  <c r="M1199" i="3"/>
  <c r="L1199" i="3"/>
  <c r="U1198" i="3"/>
  <c r="V1198" i="3" s="1"/>
  <c r="T1198" i="3"/>
  <c r="S1198" i="3"/>
  <c r="R1198" i="3"/>
  <c r="Q1198" i="3"/>
  <c r="P1198" i="3"/>
  <c r="O1198" i="3"/>
  <c r="N1198" i="3"/>
  <c r="M1198" i="3"/>
  <c r="L1198" i="3"/>
  <c r="U1197" i="3"/>
  <c r="V1197" i="3" s="1"/>
  <c r="T1197" i="3"/>
  <c r="S1197" i="3"/>
  <c r="R1197" i="3"/>
  <c r="P1197" i="3"/>
  <c r="O1197" i="3"/>
  <c r="N1197" i="3"/>
  <c r="Q1197" i="3" s="1"/>
  <c r="M1197" i="3"/>
  <c r="L1197" i="3"/>
  <c r="V1196" i="3"/>
  <c r="U1196" i="3"/>
  <c r="T1196" i="3"/>
  <c r="S1196" i="3"/>
  <c r="R1196" i="3"/>
  <c r="P1196" i="3"/>
  <c r="O1196" i="3"/>
  <c r="N1196" i="3"/>
  <c r="Q1196" i="3" s="1"/>
  <c r="M1196" i="3"/>
  <c r="L1196" i="3"/>
  <c r="U1195" i="3"/>
  <c r="V1195" i="3" s="1"/>
  <c r="T1195" i="3"/>
  <c r="S1195" i="3"/>
  <c r="R1195" i="3"/>
  <c r="P1195" i="3"/>
  <c r="O1195" i="3"/>
  <c r="N1195" i="3"/>
  <c r="Q1195" i="3" s="1"/>
  <c r="M1195" i="3"/>
  <c r="L1195" i="3"/>
  <c r="U1194" i="3"/>
  <c r="V1194" i="3" s="1"/>
  <c r="T1194" i="3"/>
  <c r="S1194" i="3"/>
  <c r="R1194" i="3"/>
  <c r="P1194" i="3"/>
  <c r="O1194" i="3"/>
  <c r="N1194" i="3"/>
  <c r="Q1194" i="3" s="1"/>
  <c r="M1194" i="3"/>
  <c r="L1194" i="3"/>
  <c r="U1193" i="3"/>
  <c r="V1193" i="3" s="1"/>
  <c r="T1193" i="3"/>
  <c r="S1193" i="3"/>
  <c r="R1193" i="3"/>
  <c r="Q1193" i="3"/>
  <c r="P1193" i="3"/>
  <c r="O1193" i="3"/>
  <c r="N1193" i="3"/>
  <c r="M1193" i="3"/>
  <c r="L1193" i="3"/>
  <c r="V1192" i="3"/>
  <c r="U1192" i="3"/>
  <c r="T1192" i="3"/>
  <c r="S1192" i="3"/>
  <c r="R1192" i="3"/>
  <c r="P1192" i="3"/>
  <c r="O1192" i="3"/>
  <c r="N1192" i="3"/>
  <c r="Q1192" i="3" s="1"/>
  <c r="M1192" i="3"/>
  <c r="L1192" i="3"/>
  <c r="V1191" i="3"/>
  <c r="U1191" i="3"/>
  <c r="T1191" i="3"/>
  <c r="S1191" i="3"/>
  <c r="R1191" i="3"/>
  <c r="Q1191" i="3"/>
  <c r="P1191" i="3"/>
  <c r="O1191" i="3"/>
  <c r="N1191" i="3"/>
  <c r="M1191" i="3"/>
  <c r="L1191" i="3"/>
  <c r="U1190" i="3"/>
  <c r="V1190" i="3" s="1"/>
  <c r="T1190" i="3"/>
  <c r="S1190" i="3"/>
  <c r="R1190" i="3"/>
  <c r="Q1190" i="3"/>
  <c r="P1190" i="3"/>
  <c r="O1190" i="3"/>
  <c r="N1190" i="3"/>
  <c r="M1190" i="3"/>
  <c r="L1190" i="3"/>
  <c r="U1189" i="3"/>
  <c r="V1189" i="3" s="1"/>
  <c r="T1189" i="3"/>
  <c r="S1189" i="3"/>
  <c r="R1189" i="3"/>
  <c r="P1189" i="3"/>
  <c r="O1189" i="3"/>
  <c r="N1189" i="3"/>
  <c r="Q1189" i="3" s="1"/>
  <c r="M1189" i="3"/>
  <c r="L1189" i="3"/>
  <c r="V1188" i="3"/>
  <c r="U1188" i="3"/>
  <c r="T1188" i="3"/>
  <c r="S1188" i="3"/>
  <c r="R1188" i="3"/>
  <c r="P1188" i="3"/>
  <c r="O1188" i="3"/>
  <c r="N1188" i="3"/>
  <c r="Q1188" i="3" s="1"/>
  <c r="M1188" i="3"/>
  <c r="L1188" i="3"/>
  <c r="U1187" i="3"/>
  <c r="V1187" i="3" s="1"/>
  <c r="T1187" i="3"/>
  <c r="S1187" i="3"/>
  <c r="R1187" i="3"/>
  <c r="P1187" i="3"/>
  <c r="O1187" i="3"/>
  <c r="N1187" i="3"/>
  <c r="Q1187" i="3" s="1"/>
  <c r="M1187" i="3"/>
  <c r="L1187" i="3"/>
  <c r="U1186" i="3"/>
  <c r="V1186" i="3" s="1"/>
  <c r="T1186" i="3"/>
  <c r="S1186" i="3"/>
  <c r="R1186" i="3"/>
  <c r="P1186" i="3"/>
  <c r="O1186" i="3"/>
  <c r="N1186" i="3"/>
  <c r="Q1186" i="3" s="1"/>
  <c r="M1186" i="3"/>
  <c r="L1186" i="3"/>
  <c r="U1185" i="3"/>
  <c r="V1185" i="3" s="1"/>
  <c r="T1185" i="3"/>
  <c r="S1185" i="3"/>
  <c r="R1185" i="3"/>
  <c r="Q1185" i="3"/>
  <c r="P1185" i="3"/>
  <c r="O1185" i="3"/>
  <c r="N1185" i="3"/>
  <c r="M1185" i="3"/>
  <c r="L1185" i="3"/>
  <c r="V1184" i="3"/>
  <c r="U1184" i="3"/>
  <c r="T1184" i="3"/>
  <c r="S1184" i="3"/>
  <c r="R1184" i="3"/>
  <c r="P1184" i="3"/>
  <c r="O1184" i="3"/>
  <c r="N1184" i="3"/>
  <c r="Q1184" i="3" s="1"/>
  <c r="M1184" i="3"/>
  <c r="L1184" i="3"/>
  <c r="V1183" i="3"/>
  <c r="U1183" i="3"/>
  <c r="T1183" i="3"/>
  <c r="S1183" i="3"/>
  <c r="R1183" i="3"/>
  <c r="Q1183" i="3"/>
  <c r="P1183" i="3"/>
  <c r="O1183" i="3"/>
  <c r="N1183" i="3"/>
  <c r="M1183" i="3"/>
  <c r="L1183" i="3"/>
  <c r="U1182" i="3"/>
  <c r="V1182" i="3" s="1"/>
  <c r="T1182" i="3"/>
  <c r="S1182" i="3"/>
  <c r="R1182" i="3"/>
  <c r="Q1182" i="3"/>
  <c r="P1182" i="3"/>
  <c r="O1182" i="3"/>
  <c r="N1182" i="3"/>
  <c r="M1182" i="3"/>
  <c r="L1182" i="3"/>
  <c r="U1181" i="3"/>
  <c r="V1181" i="3" s="1"/>
  <c r="T1181" i="3"/>
  <c r="S1181" i="3"/>
  <c r="R1181" i="3"/>
  <c r="P1181" i="3"/>
  <c r="O1181" i="3"/>
  <c r="N1181" i="3"/>
  <c r="Q1181" i="3" s="1"/>
  <c r="M1181" i="3"/>
  <c r="L1181" i="3"/>
  <c r="V1180" i="3"/>
  <c r="U1180" i="3"/>
  <c r="T1180" i="3"/>
  <c r="S1180" i="3"/>
  <c r="R1180" i="3"/>
  <c r="P1180" i="3"/>
  <c r="O1180" i="3"/>
  <c r="N1180" i="3"/>
  <c r="Q1180" i="3" s="1"/>
  <c r="M1180" i="3"/>
  <c r="L1180" i="3"/>
  <c r="U1179" i="3"/>
  <c r="V1179" i="3" s="1"/>
  <c r="T1179" i="3"/>
  <c r="S1179" i="3"/>
  <c r="R1179" i="3"/>
  <c r="P1179" i="3"/>
  <c r="O1179" i="3"/>
  <c r="N1179" i="3"/>
  <c r="Q1179" i="3" s="1"/>
  <c r="M1179" i="3"/>
  <c r="L1179" i="3"/>
  <c r="U1178" i="3"/>
  <c r="V1178" i="3" s="1"/>
  <c r="T1178" i="3"/>
  <c r="S1178" i="3"/>
  <c r="R1178" i="3"/>
  <c r="P1178" i="3"/>
  <c r="O1178" i="3"/>
  <c r="N1178" i="3"/>
  <c r="Q1178" i="3" s="1"/>
  <c r="M1178" i="3"/>
  <c r="L1178" i="3"/>
  <c r="U1177" i="3"/>
  <c r="V1177" i="3" s="1"/>
  <c r="T1177" i="3"/>
  <c r="S1177" i="3"/>
  <c r="R1177" i="3"/>
  <c r="Q1177" i="3"/>
  <c r="P1177" i="3"/>
  <c r="O1177" i="3"/>
  <c r="N1177" i="3"/>
  <c r="M1177" i="3"/>
  <c r="L1177" i="3"/>
  <c r="V1176" i="3"/>
  <c r="U1176" i="3"/>
  <c r="T1176" i="3"/>
  <c r="S1176" i="3"/>
  <c r="R1176" i="3"/>
  <c r="P1176" i="3"/>
  <c r="O1176" i="3"/>
  <c r="N1176" i="3"/>
  <c r="Q1176" i="3" s="1"/>
  <c r="M1176" i="3"/>
  <c r="L1176" i="3"/>
  <c r="V1175" i="3"/>
  <c r="U1175" i="3"/>
  <c r="T1175" i="3"/>
  <c r="S1175" i="3"/>
  <c r="R1175" i="3"/>
  <c r="Q1175" i="3"/>
  <c r="P1175" i="3"/>
  <c r="O1175" i="3"/>
  <c r="N1175" i="3"/>
  <c r="M1175" i="3"/>
  <c r="L1175" i="3"/>
  <c r="U1174" i="3"/>
  <c r="V1174" i="3" s="1"/>
  <c r="T1174" i="3"/>
  <c r="S1174" i="3"/>
  <c r="R1174" i="3"/>
  <c r="Q1174" i="3"/>
  <c r="P1174" i="3"/>
  <c r="O1174" i="3"/>
  <c r="N1174" i="3"/>
  <c r="M1174" i="3"/>
  <c r="L1174" i="3"/>
  <c r="U1173" i="3"/>
  <c r="V1173" i="3" s="1"/>
  <c r="T1173" i="3"/>
  <c r="S1173" i="3"/>
  <c r="R1173" i="3"/>
  <c r="P1173" i="3"/>
  <c r="O1173" i="3"/>
  <c r="N1173" i="3"/>
  <c r="Q1173" i="3" s="1"/>
  <c r="M1173" i="3"/>
  <c r="L1173" i="3"/>
  <c r="V1172" i="3"/>
  <c r="U1172" i="3"/>
  <c r="T1172" i="3"/>
  <c r="S1172" i="3"/>
  <c r="R1172" i="3"/>
  <c r="P1172" i="3"/>
  <c r="O1172" i="3"/>
  <c r="N1172" i="3"/>
  <c r="Q1172" i="3" s="1"/>
  <c r="M1172" i="3"/>
  <c r="L1172" i="3"/>
  <c r="U1171" i="3"/>
  <c r="V1171" i="3" s="1"/>
  <c r="T1171" i="3"/>
  <c r="S1171" i="3"/>
  <c r="R1171" i="3"/>
  <c r="P1171" i="3"/>
  <c r="O1171" i="3"/>
  <c r="N1171" i="3"/>
  <c r="Q1171" i="3" s="1"/>
  <c r="M1171" i="3"/>
  <c r="L1171" i="3"/>
  <c r="U1170" i="3"/>
  <c r="V1170" i="3" s="1"/>
  <c r="T1170" i="3"/>
  <c r="S1170" i="3"/>
  <c r="R1170" i="3"/>
  <c r="P1170" i="3"/>
  <c r="O1170" i="3"/>
  <c r="N1170" i="3"/>
  <c r="Q1170" i="3" s="1"/>
  <c r="M1170" i="3"/>
  <c r="L1170" i="3"/>
  <c r="U1169" i="3"/>
  <c r="V1169" i="3" s="1"/>
  <c r="T1169" i="3"/>
  <c r="S1169" i="3"/>
  <c r="R1169" i="3"/>
  <c r="Q1169" i="3"/>
  <c r="P1169" i="3"/>
  <c r="O1169" i="3"/>
  <c r="N1169" i="3"/>
  <c r="M1169" i="3"/>
  <c r="L1169" i="3"/>
  <c r="V1168" i="3"/>
  <c r="U1168" i="3"/>
  <c r="T1168" i="3"/>
  <c r="S1168" i="3"/>
  <c r="R1168" i="3"/>
  <c r="P1168" i="3"/>
  <c r="O1168" i="3"/>
  <c r="N1168" i="3"/>
  <c r="Q1168" i="3" s="1"/>
  <c r="M1168" i="3"/>
  <c r="L1168" i="3"/>
  <c r="V1167" i="3"/>
  <c r="U1167" i="3"/>
  <c r="T1167" i="3"/>
  <c r="S1167" i="3"/>
  <c r="R1167" i="3"/>
  <c r="Q1167" i="3"/>
  <c r="P1167" i="3"/>
  <c r="O1167" i="3"/>
  <c r="N1167" i="3"/>
  <c r="M1167" i="3"/>
  <c r="L1167" i="3"/>
  <c r="U1166" i="3"/>
  <c r="V1166" i="3" s="1"/>
  <c r="T1166" i="3"/>
  <c r="S1166" i="3"/>
  <c r="R1166" i="3"/>
  <c r="Q1166" i="3"/>
  <c r="P1166" i="3"/>
  <c r="O1166" i="3"/>
  <c r="N1166" i="3"/>
  <c r="M1166" i="3"/>
  <c r="L1166" i="3"/>
  <c r="U1165" i="3"/>
  <c r="V1165" i="3" s="1"/>
  <c r="T1165" i="3"/>
  <c r="S1165" i="3"/>
  <c r="R1165" i="3"/>
  <c r="P1165" i="3"/>
  <c r="O1165" i="3"/>
  <c r="N1165" i="3"/>
  <c r="Q1165" i="3" s="1"/>
  <c r="M1165" i="3"/>
  <c r="L1165" i="3"/>
  <c r="V1164" i="3"/>
  <c r="U1164" i="3"/>
  <c r="T1164" i="3"/>
  <c r="S1164" i="3"/>
  <c r="R1164" i="3"/>
  <c r="P1164" i="3"/>
  <c r="O1164" i="3"/>
  <c r="N1164" i="3"/>
  <c r="Q1164" i="3" s="1"/>
  <c r="M1164" i="3"/>
  <c r="L1164" i="3"/>
  <c r="U1163" i="3"/>
  <c r="V1163" i="3" s="1"/>
  <c r="T1163" i="3"/>
  <c r="S1163" i="3"/>
  <c r="R1163" i="3"/>
  <c r="Q1163" i="3"/>
  <c r="P1163" i="3"/>
  <c r="O1163" i="3"/>
  <c r="N1163" i="3"/>
  <c r="M1163" i="3"/>
  <c r="L1163" i="3"/>
  <c r="U1162" i="3"/>
  <c r="V1162" i="3" s="1"/>
  <c r="T1162" i="3"/>
  <c r="S1162" i="3"/>
  <c r="R1162" i="3"/>
  <c r="P1162" i="3"/>
  <c r="O1162" i="3"/>
  <c r="N1162" i="3"/>
  <c r="Q1162" i="3" s="1"/>
  <c r="M1162" i="3"/>
  <c r="L1162" i="3"/>
  <c r="U1161" i="3"/>
  <c r="V1161" i="3" s="1"/>
  <c r="T1161" i="3"/>
  <c r="S1161" i="3"/>
  <c r="R1161" i="3"/>
  <c r="Q1161" i="3"/>
  <c r="P1161" i="3"/>
  <c r="O1161" i="3"/>
  <c r="N1161" i="3"/>
  <c r="M1161" i="3"/>
  <c r="L1161" i="3"/>
  <c r="V1160" i="3"/>
  <c r="U1160" i="3"/>
  <c r="T1160" i="3"/>
  <c r="S1160" i="3"/>
  <c r="R1160" i="3"/>
  <c r="P1160" i="3"/>
  <c r="O1160" i="3"/>
  <c r="N1160" i="3"/>
  <c r="Q1160" i="3" s="1"/>
  <c r="M1160" i="3"/>
  <c r="L1160" i="3"/>
  <c r="V1159" i="3"/>
  <c r="U1159" i="3"/>
  <c r="T1159" i="3"/>
  <c r="S1159" i="3"/>
  <c r="R1159" i="3"/>
  <c r="Q1159" i="3"/>
  <c r="P1159" i="3"/>
  <c r="O1159" i="3"/>
  <c r="N1159" i="3"/>
  <c r="M1159" i="3"/>
  <c r="L1159" i="3"/>
  <c r="U1158" i="3"/>
  <c r="V1158" i="3" s="1"/>
  <c r="T1158" i="3"/>
  <c r="S1158" i="3"/>
  <c r="R1158" i="3"/>
  <c r="Q1158" i="3"/>
  <c r="P1158" i="3"/>
  <c r="O1158" i="3"/>
  <c r="N1158" i="3"/>
  <c r="M1158" i="3"/>
  <c r="L1158" i="3"/>
  <c r="U1157" i="3"/>
  <c r="V1157" i="3" s="1"/>
  <c r="T1157" i="3"/>
  <c r="S1157" i="3"/>
  <c r="R1157" i="3"/>
  <c r="P1157" i="3"/>
  <c r="O1157" i="3"/>
  <c r="N1157" i="3"/>
  <c r="Q1157" i="3" s="1"/>
  <c r="M1157" i="3"/>
  <c r="L1157" i="3"/>
  <c r="V1156" i="3"/>
  <c r="U1156" i="3"/>
  <c r="T1156" i="3"/>
  <c r="S1156" i="3"/>
  <c r="R1156" i="3"/>
  <c r="P1156" i="3"/>
  <c r="O1156" i="3"/>
  <c r="N1156" i="3"/>
  <c r="Q1156" i="3" s="1"/>
  <c r="M1156" i="3"/>
  <c r="L1156" i="3"/>
  <c r="U1155" i="3"/>
  <c r="V1155" i="3" s="1"/>
  <c r="T1155" i="3"/>
  <c r="S1155" i="3"/>
  <c r="R1155" i="3"/>
  <c r="Q1155" i="3"/>
  <c r="P1155" i="3"/>
  <c r="O1155" i="3"/>
  <c r="N1155" i="3"/>
  <c r="M1155" i="3"/>
  <c r="L1155" i="3"/>
  <c r="U1154" i="3"/>
  <c r="V1154" i="3" s="1"/>
  <c r="T1154" i="3"/>
  <c r="S1154" i="3"/>
  <c r="R1154" i="3"/>
  <c r="P1154" i="3"/>
  <c r="O1154" i="3"/>
  <c r="N1154" i="3"/>
  <c r="Q1154" i="3" s="1"/>
  <c r="M1154" i="3"/>
  <c r="L1154" i="3"/>
  <c r="U1153" i="3"/>
  <c r="V1153" i="3" s="1"/>
  <c r="T1153" i="3"/>
  <c r="S1153" i="3"/>
  <c r="R1153" i="3"/>
  <c r="Q1153" i="3"/>
  <c r="P1153" i="3"/>
  <c r="O1153" i="3"/>
  <c r="N1153" i="3"/>
  <c r="M1153" i="3"/>
  <c r="L1153" i="3"/>
  <c r="V1152" i="3"/>
  <c r="U1152" i="3"/>
  <c r="T1152" i="3"/>
  <c r="S1152" i="3"/>
  <c r="R1152" i="3"/>
  <c r="P1152" i="3"/>
  <c r="O1152" i="3"/>
  <c r="N1152" i="3"/>
  <c r="Q1152" i="3" s="1"/>
  <c r="M1152" i="3"/>
  <c r="L1152" i="3"/>
  <c r="V1151" i="3"/>
  <c r="U1151" i="3"/>
  <c r="T1151" i="3"/>
  <c r="S1151" i="3"/>
  <c r="R1151" i="3"/>
  <c r="Q1151" i="3"/>
  <c r="P1151" i="3"/>
  <c r="O1151" i="3"/>
  <c r="N1151" i="3"/>
  <c r="M1151" i="3"/>
  <c r="L1151" i="3"/>
  <c r="U1150" i="3"/>
  <c r="V1150" i="3" s="1"/>
  <c r="T1150" i="3"/>
  <c r="S1150" i="3"/>
  <c r="R1150" i="3"/>
  <c r="Q1150" i="3"/>
  <c r="P1150" i="3"/>
  <c r="O1150" i="3"/>
  <c r="N1150" i="3"/>
  <c r="M1150" i="3"/>
  <c r="L1150" i="3"/>
  <c r="U1149" i="3"/>
  <c r="V1149" i="3" s="1"/>
  <c r="T1149" i="3"/>
  <c r="S1149" i="3"/>
  <c r="R1149" i="3"/>
  <c r="P1149" i="3"/>
  <c r="O1149" i="3"/>
  <c r="N1149" i="3"/>
  <c r="Q1149" i="3" s="1"/>
  <c r="M1149" i="3"/>
  <c r="L1149" i="3"/>
  <c r="V1148" i="3"/>
  <c r="U1148" i="3"/>
  <c r="T1148" i="3"/>
  <c r="S1148" i="3"/>
  <c r="R1148" i="3"/>
  <c r="P1148" i="3"/>
  <c r="O1148" i="3"/>
  <c r="N1148" i="3"/>
  <c r="Q1148" i="3" s="1"/>
  <c r="M1148" i="3"/>
  <c r="L1148" i="3"/>
  <c r="U1147" i="3"/>
  <c r="V1147" i="3" s="1"/>
  <c r="T1147" i="3"/>
  <c r="S1147" i="3"/>
  <c r="R1147" i="3"/>
  <c r="Q1147" i="3"/>
  <c r="P1147" i="3"/>
  <c r="O1147" i="3"/>
  <c r="N1147" i="3"/>
  <c r="M1147" i="3"/>
  <c r="L1147" i="3"/>
  <c r="U1146" i="3"/>
  <c r="V1146" i="3" s="1"/>
  <c r="T1146" i="3"/>
  <c r="S1146" i="3"/>
  <c r="R1146" i="3"/>
  <c r="P1146" i="3"/>
  <c r="O1146" i="3"/>
  <c r="N1146" i="3"/>
  <c r="Q1146" i="3" s="1"/>
  <c r="M1146" i="3"/>
  <c r="L1146" i="3"/>
  <c r="U1145" i="3"/>
  <c r="V1145" i="3" s="1"/>
  <c r="T1145" i="3"/>
  <c r="S1145" i="3"/>
  <c r="R1145" i="3"/>
  <c r="Q1145" i="3"/>
  <c r="P1145" i="3"/>
  <c r="O1145" i="3"/>
  <c r="N1145" i="3"/>
  <c r="M1145" i="3"/>
  <c r="L1145" i="3"/>
  <c r="V1144" i="3"/>
  <c r="U1144" i="3"/>
  <c r="T1144" i="3"/>
  <c r="S1144" i="3"/>
  <c r="R1144" i="3"/>
  <c r="P1144" i="3"/>
  <c r="O1144" i="3"/>
  <c r="N1144" i="3"/>
  <c r="Q1144" i="3" s="1"/>
  <c r="M1144" i="3"/>
  <c r="L1144" i="3"/>
  <c r="V1143" i="3"/>
  <c r="U1143" i="3"/>
  <c r="T1143" i="3"/>
  <c r="S1143" i="3"/>
  <c r="R1143" i="3"/>
  <c r="Q1143" i="3"/>
  <c r="P1143" i="3"/>
  <c r="O1143" i="3"/>
  <c r="N1143" i="3"/>
  <c r="M1143" i="3"/>
  <c r="L1143" i="3"/>
  <c r="U1142" i="3"/>
  <c r="V1142" i="3" s="1"/>
  <c r="T1142" i="3"/>
  <c r="S1142" i="3"/>
  <c r="R1142" i="3"/>
  <c r="Q1142" i="3"/>
  <c r="P1142" i="3"/>
  <c r="O1142" i="3"/>
  <c r="N1142" i="3"/>
  <c r="M1142" i="3"/>
  <c r="L1142" i="3"/>
  <c r="U1141" i="3"/>
  <c r="V1141" i="3" s="1"/>
  <c r="T1141" i="3"/>
  <c r="S1141" i="3"/>
  <c r="R1141" i="3"/>
  <c r="P1141" i="3"/>
  <c r="O1141" i="3"/>
  <c r="N1141" i="3"/>
  <c r="Q1141" i="3" s="1"/>
  <c r="M1141" i="3"/>
  <c r="L1141" i="3"/>
  <c r="V1140" i="3"/>
  <c r="U1140" i="3"/>
  <c r="T1140" i="3"/>
  <c r="S1140" i="3"/>
  <c r="R1140" i="3"/>
  <c r="P1140" i="3"/>
  <c r="O1140" i="3"/>
  <c r="N1140" i="3"/>
  <c r="Q1140" i="3" s="1"/>
  <c r="M1140" i="3"/>
  <c r="L1140" i="3"/>
  <c r="U1139" i="3"/>
  <c r="V1139" i="3" s="1"/>
  <c r="T1139" i="3"/>
  <c r="S1139" i="3"/>
  <c r="R1139" i="3"/>
  <c r="Q1139" i="3"/>
  <c r="P1139" i="3"/>
  <c r="O1139" i="3"/>
  <c r="N1139" i="3"/>
  <c r="M1139" i="3"/>
  <c r="L1139" i="3"/>
  <c r="U1138" i="3"/>
  <c r="V1138" i="3" s="1"/>
  <c r="T1138" i="3"/>
  <c r="S1138" i="3"/>
  <c r="R1138" i="3"/>
  <c r="P1138" i="3"/>
  <c r="O1138" i="3"/>
  <c r="N1138" i="3"/>
  <c r="Q1138" i="3" s="1"/>
  <c r="M1138" i="3"/>
  <c r="L1138" i="3"/>
  <c r="U1137" i="3"/>
  <c r="V1137" i="3" s="1"/>
  <c r="T1137" i="3"/>
  <c r="S1137" i="3"/>
  <c r="R1137" i="3"/>
  <c r="Q1137" i="3"/>
  <c r="P1137" i="3"/>
  <c r="O1137" i="3"/>
  <c r="N1137" i="3"/>
  <c r="M1137" i="3"/>
  <c r="L1137" i="3"/>
  <c r="V1136" i="3"/>
  <c r="U1136" i="3"/>
  <c r="T1136" i="3"/>
  <c r="S1136" i="3"/>
  <c r="R1136" i="3"/>
  <c r="P1136" i="3"/>
  <c r="O1136" i="3"/>
  <c r="N1136" i="3"/>
  <c r="Q1136" i="3" s="1"/>
  <c r="M1136" i="3"/>
  <c r="L1136" i="3"/>
  <c r="V1135" i="3"/>
  <c r="U1135" i="3"/>
  <c r="T1135" i="3"/>
  <c r="S1135" i="3"/>
  <c r="R1135" i="3"/>
  <c r="Q1135" i="3"/>
  <c r="P1135" i="3"/>
  <c r="O1135" i="3"/>
  <c r="N1135" i="3"/>
  <c r="M1135" i="3"/>
  <c r="L1135" i="3"/>
  <c r="U1134" i="3"/>
  <c r="V1134" i="3" s="1"/>
  <c r="T1134" i="3"/>
  <c r="S1134" i="3"/>
  <c r="R1134" i="3"/>
  <c r="Q1134" i="3"/>
  <c r="P1134" i="3"/>
  <c r="O1134" i="3"/>
  <c r="N1134" i="3"/>
  <c r="M1134" i="3"/>
  <c r="L1134" i="3"/>
  <c r="U1133" i="3"/>
  <c r="V1133" i="3" s="1"/>
  <c r="T1133" i="3"/>
  <c r="S1133" i="3"/>
  <c r="R1133" i="3"/>
  <c r="P1133" i="3"/>
  <c r="O1133" i="3"/>
  <c r="N1133" i="3"/>
  <c r="Q1133" i="3" s="1"/>
  <c r="M1133" i="3"/>
  <c r="L1133" i="3"/>
  <c r="V1132" i="3"/>
  <c r="U1132" i="3"/>
  <c r="T1132" i="3"/>
  <c r="S1132" i="3"/>
  <c r="R1132" i="3"/>
  <c r="P1132" i="3"/>
  <c r="O1132" i="3"/>
  <c r="N1132" i="3"/>
  <c r="Q1132" i="3" s="1"/>
  <c r="M1132" i="3"/>
  <c r="L1132" i="3"/>
  <c r="U1131" i="3"/>
  <c r="V1131" i="3" s="1"/>
  <c r="T1131" i="3"/>
  <c r="S1131" i="3"/>
  <c r="R1131" i="3"/>
  <c r="Q1131" i="3"/>
  <c r="P1131" i="3"/>
  <c r="O1131" i="3"/>
  <c r="N1131" i="3"/>
  <c r="M1131" i="3"/>
  <c r="L1131" i="3"/>
  <c r="U1130" i="3"/>
  <c r="V1130" i="3" s="1"/>
  <c r="T1130" i="3"/>
  <c r="S1130" i="3"/>
  <c r="R1130" i="3"/>
  <c r="P1130" i="3"/>
  <c r="O1130" i="3"/>
  <c r="N1130" i="3"/>
  <c r="Q1130" i="3" s="1"/>
  <c r="M1130" i="3"/>
  <c r="L1130" i="3"/>
  <c r="U1129" i="3"/>
  <c r="V1129" i="3" s="1"/>
  <c r="T1129" i="3"/>
  <c r="S1129" i="3"/>
  <c r="R1129" i="3"/>
  <c r="Q1129" i="3"/>
  <c r="P1129" i="3"/>
  <c r="O1129" i="3"/>
  <c r="N1129" i="3"/>
  <c r="M1129" i="3"/>
  <c r="L1129" i="3"/>
  <c r="V1128" i="3"/>
  <c r="U1128" i="3"/>
  <c r="T1128" i="3"/>
  <c r="S1128" i="3"/>
  <c r="R1128" i="3"/>
  <c r="P1128" i="3"/>
  <c r="O1128" i="3"/>
  <c r="N1128" i="3"/>
  <c r="Q1128" i="3" s="1"/>
  <c r="M1128" i="3"/>
  <c r="L1128" i="3"/>
  <c r="V1127" i="3"/>
  <c r="U1127" i="3"/>
  <c r="T1127" i="3"/>
  <c r="S1127" i="3"/>
  <c r="R1127" i="3"/>
  <c r="Q1127" i="3"/>
  <c r="P1127" i="3"/>
  <c r="O1127" i="3"/>
  <c r="N1127" i="3"/>
  <c r="M1127" i="3"/>
  <c r="L1127" i="3"/>
  <c r="U1126" i="3"/>
  <c r="V1126" i="3" s="1"/>
  <c r="T1126" i="3"/>
  <c r="S1126" i="3"/>
  <c r="R1126" i="3"/>
  <c r="Q1126" i="3"/>
  <c r="P1126" i="3"/>
  <c r="O1126" i="3"/>
  <c r="N1126" i="3"/>
  <c r="M1126" i="3"/>
  <c r="L1126" i="3"/>
  <c r="U1125" i="3"/>
  <c r="V1125" i="3" s="1"/>
  <c r="T1125" i="3"/>
  <c r="S1125" i="3"/>
  <c r="R1125" i="3"/>
  <c r="P1125" i="3"/>
  <c r="O1125" i="3"/>
  <c r="N1125" i="3"/>
  <c r="Q1125" i="3" s="1"/>
  <c r="M1125" i="3"/>
  <c r="L1125" i="3"/>
  <c r="V1124" i="3"/>
  <c r="U1124" i="3"/>
  <c r="T1124" i="3"/>
  <c r="S1124" i="3"/>
  <c r="R1124" i="3"/>
  <c r="P1124" i="3"/>
  <c r="O1124" i="3"/>
  <c r="N1124" i="3"/>
  <c r="Q1124" i="3" s="1"/>
  <c r="M1124" i="3"/>
  <c r="L1124" i="3"/>
  <c r="U1123" i="3"/>
  <c r="V1123" i="3" s="1"/>
  <c r="T1123" i="3"/>
  <c r="S1123" i="3"/>
  <c r="R1123" i="3"/>
  <c r="Q1123" i="3"/>
  <c r="P1123" i="3"/>
  <c r="O1123" i="3"/>
  <c r="N1123" i="3"/>
  <c r="M1123" i="3"/>
  <c r="L1123" i="3"/>
  <c r="U1122" i="3"/>
  <c r="V1122" i="3" s="1"/>
  <c r="T1122" i="3"/>
  <c r="S1122" i="3"/>
  <c r="R1122" i="3"/>
  <c r="P1122" i="3"/>
  <c r="O1122" i="3"/>
  <c r="N1122" i="3"/>
  <c r="Q1122" i="3" s="1"/>
  <c r="M1122" i="3"/>
  <c r="L1122" i="3"/>
  <c r="U1121" i="3"/>
  <c r="V1121" i="3" s="1"/>
  <c r="T1121" i="3"/>
  <c r="S1121" i="3"/>
  <c r="R1121" i="3"/>
  <c r="Q1121" i="3"/>
  <c r="P1121" i="3"/>
  <c r="O1121" i="3"/>
  <c r="N1121" i="3"/>
  <c r="M1121" i="3"/>
  <c r="L1121" i="3"/>
  <c r="V1120" i="3"/>
  <c r="U1120" i="3"/>
  <c r="T1120" i="3"/>
  <c r="S1120" i="3"/>
  <c r="R1120" i="3"/>
  <c r="P1120" i="3"/>
  <c r="O1120" i="3"/>
  <c r="N1120" i="3"/>
  <c r="Q1120" i="3" s="1"/>
  <c r="M1120" i="3"/>
  <c r="L1120" i="3"/>
  <c r="V1119" i="3"/>
  <c r="U1119" i="3"/>
  <c r="T1119" i="3"/>
  <c r="S1119" i="3"/>
  <c r="R1119" i="3"/>
  <c r="Q1119" i="3"/>
  <c r="P1119" i="3"/>
  <c r="O1119" i="3"/>
  <c r="N1119" i="3"/>
  <c r="M1119" i="3"/>
  <c r="L1119" i="3"/>
  <c r="U1118" i="3"/>
  <c r="T1118" i="3"/>
  <c r="S1118" i="3"/>
  <c r="R1118" i="3"/>
  <c r="Q1118" i="3"/>
  <c r="P1118" i="3"/>
  <c r="O1118" i="3"/>
  <c r="N1118" i="3"/>
  <c r="M1118" i="3"/>
  <c r="L1118" i="3"/>
  <c r="V1118" i="3" s="1"/>
  <c r="U1117" i="3"/>
  <c r="V1117" i="3" s="1"/>
  <c r="T1117" i="3"/>
  <c r="S1117" i="3"/>
  <c r="R1117" i="3"/>
  <c r="P1117" i="3"/>
  <c r="O1117" i="3"/>
  <c r="N1117" i="3"/>
  <c r="Q1117" i="3" s="1"/>
  <c r="M1117" i="3"/>
  <c r="L1117" i="3"/>
  <c r="V1116" i="3"/>
  <c r="U1116" i="3"/>
  <c r="T1116" i="3"/>
  <c r="S1116" i="3"/>
  <c r="R1116" i="3"/>
  <c r="P1116" i="3"/>
  <c r="O1116" i="3"/>
  <c r="N1116" i="3"/>
  <c r="Q1116" i="3" s="1"/>
  <c r="M1116" i="3"/>
  <c r="L1116" i="3"/>
  <c r="U1115" i="3"/>
  <c r="V1115" i="3" s="1"/>
  <c r="T1115" i="3"/>
  <c r="S1115" i="3"/>
  <c r="R1115" i="3"/>
  <c r="Q1115" i="3"/>
  <c r="P1115" i="3"/>
  <c r="O1115" i="3"/>
  <c r="N1115" i="3"/>
  <c r="M1115" i="3"/>
  <c r="L1115" i="3"/>
  <c r="U1114" i="3"/>
  <c r="V1114" i="3" s="1"/>
  <c r="T1114" i="3"/>
  <c r="S1114" i="3"/>
  <c r="R1114" i="3"/>
  <c r="P1114" i="3"/>
  <c r="O1114" i="3"/>
  <c r="N1114" i="3"/>
  <c r="Q1114" i="3" s="1"/>
  <c r="M1114" i="3"/>
  <c r="L1114" i="3"/>
  <c r="U1113" i="3"/>
  <c r="V1113" i="3" s="1"/>
  <c r="T1113" i="3"/>
  <c r="S1113" i="3"/>
  <c r="R1113" i="3"/>
  <c r="Q1113" i="3"/>
  <c r="P1113" i="3"/>
  <c r="O1113" i="3"/>
  <c r="N1113" i="3"/>
  <c r="M1113" i="3"/>
  <c r="L1113" i="3"/>
  <c r="V1112" i="3"/>
  <c r="U1112" i="3"/>
  <c r="T1112" i="3"/>
  <c r="S1112" i="3"/>
  <c r="R1112" i="3"/>
  <c r="P1112" i="3"/>
  <c r="O1112" i="3"/>
  <c r="N1112" i="3"/>
  <c r="Q1112" i="3" s="1"/>
  <c r="M1112" i="3"/>
  <c r="L1112" i="3"/>
  <c r="V1111" i="3"/>
  <c r="U1111" i="3"/>
  <c r="T1111" i="3"/>
  <c r="S1111" i="3"/>
  <c r="R1111" i="3"/>
  <c r="Q1111" i="3"/>
  <c r="P1111" i="3"/>
  <c r="O1111" i="3"/>
  <c r="N1111" i="3"/>
  <c r="M1111" i="3"/>
  <c r="L1111" i="3"/>
  <c r="U1110" i="3"/>
  <c r="T1110" i="3"/>
  <c r="S1110" i="3"/>
  <c r="R1110" i="3"/>
  <c r="Q1110" i="3"/>
  <c r="P1110" i="3"/>
  <c r="O1110" i="3"/>
  <c r="N1110" i="3"/>
  <c r="M1110" i="3"/>
  <c r="L1110" i="3"/>
  <c r="V1110" i="3" s="1"/>
  <c r="U1109" i="3"/>
  <c r="V1109" i="3" s="1"/>
  <c r="T1109" i="3"/>
  <c r="S1109" i="3"/>
  <c r="R1109" i="3"/>
  <c r="P1109" i="3"/>
  <c r="O1109" i="3"/>
  <c r="N1109" i="3"/>
  <c r="Q1109" i="3" s="1"/>
  <c r="M1109" i="3"/>
  <c r="L1109" i="3"/>
  <c r="V1108" i="3"/>
  <c r="U1108" i="3"/>
  <c r="T1108" i="3"/>
  <c r="S1108" i="3"/>
  <c r="R1108" i="3"/>
  <c r="P1108" i="3"/>
  <c r="O1108" i="3"/>
  <c r="N1108" i="3"/>
  <c r="Q1108" i="3" s="1"/>
  <c r="M1108" i="3"/>
  <c r="L1108" i="3"/>
  <c r="U1107" i="3"/>
  <c r="V1107" i="3" s="1"/>
  <c r="T1107" i="3"/>
  <c r="S1107" i="3"/>
  <c r="R1107" i="3"/>
  <c r="Q1107" i="3"/>
  <c r="P1107" i="3"/>
  <c r="O1107" i="3"/>
  <c r="N1107" i="3"/>
  <c r="M1107" i="3"/>
  <c r="L1107" i="3"/>
  <c r="U1106" i="3"/>
  <c r="V1106" i="3" s="1"/>
  <c r="T1106" i="3"/>
  <c r="S1106" i="3"/>
  <c r="R1106" i="3"/>
  <c r="P1106" i="3"/>
  <c r="O1106" i="3"/>
  <c r="N1106" i="3"/>
  <c r="Q1106" i="3" s="1"/>
  <c r="M1106" i="3"/>
  <c r="L1106" i="3"/>
  <c r="U1105" i="3"/>
  <c r="V1105" i="3" s="1"/>
  <c r="T1105" i="3"/>
  <c r="S1105" i="3"/>
  <c r="R1105" i="3"/>
  <c r="Q1105" i="3"/>
  <c r="P1105" i="3"/>
  <c r="O1105" i="3"/>
  <c r="N1105" i="3"/>
  <c r="M1105" i="3"/>
  <c r="L1105" i="3"/>
  <c r="V1104" i="3"/>
  <c r="U1104" i="3"/>
  <c r="T1104" i="3"/>
  <c r="S1104" i="3"/>
  <c r="R1104" i="3"/>
  <c r="P1104" i="3"/>
  <c r="O1104" i="3"/>
  <c r="N1104" i="3"/>
  <c r="Q1104" i="3" s="1"/>
  <c r="M1104" i="3"/>
  <c r="L1104" i="3"/>
  <c r="V1103" i="3"/>
  <c r="U1103" i="3"/>
  <c r="T1103" i="3"/>
  <c r="S1103" i="3"/>
  <c r="R1103" i="3"/>
  <c r="Q1103" i="3"/>
  <c r="P1103" i="3"/>
  <c r="O1103" i="3"/>
  <c r="N1103" i="3"/>
  <c r="M1103" i="3"/>
  <c r="L1103" i="3"/>
  <c r="U1102" i="3"/>
  <c r="T1102" i="3"/>
  <c r="S1102" i="3"/>
  <c r="R1102" i="3"/>
  <c r="Q1102" i="3"/>
  <c r="P1102" i="3"/>
  <c r="O1102" i="3"/>
  <c r="N1102" i="3"/>
  <c r="M1102" i="3"/>
  <c r="L1102" i="3"/>
  <c r="V1102" i="3" s="1"/>
  <c r="U1101" i="3"/>
  <c r="V1101" i="3" s="1"/>
  <c r="T1101" i="3"/>
  <c r="S1101" i="3"/>
  <c r="R1101" i="3"/>
  <c r="P1101" i="3"/>
  <c r="O1101" i="3"/>
  <c r="N1101" i="3"/>
  <c r="Q1101" i="3" s="1"/>
  <c r="M1101" i="3"/>
  <c r="L1101" i="3"/>
  <c r="V1100" i="3"/>
  <c r="U1100" i="3"/>
  <c r="T1100" i="3"/>
  <c r="S1100" i="3"/>
  <c r="R1100" i="3"/>
  <c r="P1100" i="3"/>
  <c r="O1100" i="3"/>
  <c r="N1100" i="3"/>
  <c r="Q1100" i="3" s="1"/>
  <c r="M1100" i="3"/>
  <c r="L1100" i="3"/>
  <c r="U1099" i="3"/>
  <c r="V1099" i="3" s="1"/>
  <c r="T1099" i="3"/>
  <c r="S1099" i="3"/>
  <c r="R1099" i="3"/>
  <c r="Q1099" i="3"/>
  <c r="P1099" i="3"/>
  <c r="O1099" i="3"/>
  <c r="N1099" i="3"/>
  <c r="M1099" i="3"/>
  <c r="L1099" i="3"/>
  <c r="U1098" i="3"/>
  <c r="V1098" i="3" s="1"/>
  <c r="T1098" i="3"/>
  <c r="S1098" i="3"/>
  <c r="R1098" i="3"/>
  <c r="P1098" i="3"/>
  <c r="O1098" i="3"/>
  <c r="N1098" i="3"/>
  <c r="Q1098" i="3" s="1"/>
  <c r="M1098" i="3"/>
  <c r="L1098" i="3"/>
  <c r="U1097" i="3"/>
  <c r="V1097" i="3" s="1"/>
  <c r="T1097" i="3"/>
  <c r="S1097" i="3"/>
  <c r="R1097" i="3"/>
  <c r="Q1097" i="3"/>
  <c r="P1097" i="3"/>
  <c r="O1097" i="3"/>
  <c r="N1097" i="3"/>
  <c r="M1097" i="3"/>
  <c r="L1097" i="3"/>
  <c r="V1096" i="3"/>
  <c r="U1096" i="3"/>
  <c r="T1096" i="3"/>
  <c r="S1096" i="3"/>
  <c r="R1096" i="3"/>
  <c r="P1096" i="3"/>
  <c r="O1096" i="3"/>
  <c r="N1096" i="3"/>
  <c r="Q1096" i="3" s="1"/>
  <c r="M1096" i="3"/>
  <c r="L1096" i="3"/>
  <c r="V1095" i="3"/>
  <c r="U1095" i="3"/>
  <c r="T1095" i="3"/>
  <c r="S1095" i="3"/>
  <c r="R1095" i="3"/>
  <c r="Q1095" i="3"/>
  <c r="P1095" i="3"/>
  <c r="O1095" i="3"/>
  <c r="N1095" i="3"/>
  <c r="M1095" i="3"/>
  <c r="L1095" i="3"/>
  <c r="U1094" i="3"/>
  <c r="T1094" i="3"/>
  <c r="S1094" i="3"/>
  <c r="R1094" i="3"/>
  <c r="Q1094" i="3"/>
  <c r="P1094" i="3"/>
  <c r="O1094" i="3"/>
  <c r="N1094" i="3"/>
  <c r="M1094" i="3"/>
  <c r="L1094" i="3"/>
  <c r="V1094" i="3" s="1"/>
  <c r="U1093" i="3"/>
  <c r="V1093" i="3" s="1"/>
  <c r="T1093" i="3"/>
  <c r="S1093" i="3"/>
  <c r="R1093" i="3"/>
  <c r="P1093" i="3"/>
  <c r="O1093" i="3"/>
  <c r="N1093" i="3"/>
  <c r="Q1093" i="3" s="1"/>
  <c r="M1093" i="3"/>
  <c r="L1093" i="3"/>
  <c r="V1092" i="3"/>
  <c r="U1092" i="3"/>
  <c r="T1092" i="3"/>
  <c r="S1092" i="3"/>
  <c r="R1092" i="3"/>
  <c r="P1092" i="3"/>
  <c r="O1092" i="3"/>
  <c r="N1092" i="3"/>
  <c r="Q1092" i="3" s="1"/>
  <c r="M1092" i="3"/>
  <c r="L1092" i="3"/>
  <c r="U1091" i="3"/>
  <c r="V1091" i="3" s="1"/>
  <c r="T1091" i="3"/>
  <c r="S1091" i="3"/>
  <c r="R1091" i="3"/>
  <c r="Q1091" i="3"/>
  <c r="P1091" i="3"/>
  <c r="O1091" i="3"/>
  <c r="N1091" i="3"/>
  <c r="M1091" i="3"/>
  <c r="L1091" i="3"/>
  <c r="U1090" i="3"/>
  <c r="V1090" i="3" s="1"/>
  <c r="T1090" i="3"/>
  <c r="S1090" i="3"/>
  <c r="R1090" i="3"/>
  <c r="P1090" i="3"/>
  <c r="O1090" i="3"/>
  <c r="N1090" i="3"/>
  <c r="Q1090" i="3" s="1"/>
  <c r="M1090" i="3"/>
  <c r="L1090" i="3"/>
  <c r="U1089" i="3"/>
  <c r="V1089" i="3" s="1"/>
  <c r="T1089" i="3"/>
  <c r="S1089" i="3"/>
  <c r="R1089" i="3"/>
  <c r="Q1089" i="3"/>
  <c r="P1089" i="3"/>
  <c r="O1089" i="3"/>
  <c r="N1089" i="3"/>
  <c r="M1089" i="3"/>
  <c r="L1089" i="3"/>
  <c r="V1088" i="3"/>
  <c r="U1088" i="3"/>
  <c r="T1088" i="3"/>
  <c r="S1088" i="3"/>
  <c r="R1088" i="3"/>
  <c r="P1088" i="3"/>
  <c r="O1088" i="3"/>
  <c r="N1088" i="3"/>
  <c r="Q1088" i="3" s="1"/>
  <c r="M1088" i="3"/>
  <c r="L1088" i="3"/>
  <c r="V1087" i="3"/>
  <c r="U1087" i="3"/>
  <c r="T1087" i="3"/>
  <c r="S1087" i="3"/>
  <c r="R1087" i="3"/>
  <c r="Q1087" i="3"/>
  <c r="P1087" i="3"/>
  <c r="O1087" i="3"/>
  <c r="N1087" i="3"/>
  <c r="M1087" i="3"/>
  <c r="L1087" i="3"/>
  <c r="U1086" i="3"/>
  <c r="T1086" i="3"/>
  <c r="S1086" i="3"/>
  <c r="R1086" i="3"/>
  <c r="Q1086" i="3"/>
  <c r="P1086" i="3"/>
  <c r="O1086" i="3"/>
  <c r="N1086" i="3"/>
  <c r="M1086" i="3"/>
  <c r="L1086" i="3"/>
  <c r="V1086" i="3" s="1"/>
  <c r="U1085" i="3"/>
  <c r="V1085" i="3" s="1"/>
  <c r="T1085" i="3"/>
  <c r="S1085" i="3"/>
  <c r="R1085" i="3"/>
  <c r="P1085" i="3"/>
  <c r="O1085" i="3"/>
  <c r="N1085" i="3"/>
  <c r="Q1085" i="3" s="1"/>
  <c r="M1085" i="3"/>
  <c r="L1085" i="3"/>
  <c r="V1084" i="3"/>
  <c r="U1084" i="3"/>
  <c r="T1084" i="3"/>
  <c r="S1084" i="3"/>
  <c r="R1084" i="3"/>
  <c r="P1084" i="3"/>
  <c r="O1084" i="3"/>
  <c r="N1084" i="3"/>
  <c r="Q1084" i="3" s="1"/>
  <c r="M1084" i="3"/>
  <c r="L1084" i="3"/>
  <c r="U1083" i="3"/>
  <c r="V1083" i="3" s="1"/>
  <c r="T1083" i="3"/>
  <c r="S1083" i="3"/>
  <c r="R1083" i="3"/>
  <c r="Q1083" i="3"/>
  <c r="P1083" i="3"/>
  <c r="O1083" i="3"/>
  <c r="N1083" i="3"/>
  <c r="M1083" i="3"/>
  <c r="L1083" i="3"/>
  <c r="U1082" i="3"/>
  <c r="V1082" i="3" s="1"/>
  <c r="T1082" i="3"/>
  <c r="S1082" i="3"/>
  <c r="R1082" i="3"/>
  <c r="P1082" i="3"/>
  <c r="O1082" i="3"/>
  <c r="N1082" i="3"/>
  <c r="Q1082" i="3" s="1"/>
  <c r="M1082" i="3"/>
  <c r="L1082" i="3"/>
  <c r="U1081" i="3"/>
  <c r="V1081" i="3" s="1"/>
  <c r="T1081" i="3"/>
  <c r="S1081" i="3"/>
  <c r="R1081" i="3"/>
  <c r="Q1081" i="3"/>
  <c r="P1081" i="3"/>
  <c r="O1081" i="3"/>
  <c r="N1081" i="3"/>
  <c r="M1081" i="3"/>
  <c r="L1081" i="3"/>
  <c r="V1080" i="3"/>
  <c r="U1080" i="3"/>
  <c r="T1080" i="3"/>
  <c r="S1080" i="3"/>
  <c r="R1080" i="3"/>
  <c r="P1080" i="3"/>
  <c r="O1080" i="3"/>
  <c r="N1080" i="3"/>
  <c r="Q1080" i="3" s="1"/>
  <c r="M1080" i="3"/>
  <c r="L1080" i="3"/>
  <c r="V1079" i="3"/>
  <c r="U1079" i="3"/>
  <c r="T1079" i="3"/>
  <c r="S1079" i="3"/>
  <c r="R1079" i="3"/>
  <c r="Q1079" i="3"/>
  <c r="P1079" i="3"/>
  <c r="O1079" i="3"/>
  <c r="N1079" i="3"/>
  <c r="M1079" i="3"/>
  <c r="L1079" i="3"/>
  <c r="U1078" i="3"/>
  <c r="T1078" i="3"/>
  <c r="S1078" i="3"/>
  <c r="R1078" i="3"/>
  <c r="Q1078" i="3"/>
  <c r="P1078" i="3"/>
  <c r="O1078" i="3"/>
  <c r="N1078" i="3"/>
  <c r="M1078" i="3"/>
  <c r="L1078" i="3"/>
  <c r="V1078" i="3" s="1"/>
  <c r="U1077" i="3"/>
  <c r="V1077" i="3" s="1"/>
  <c r="T1077" i="3"/>
  <c r="S1077" i="3"/>
  <c r="R1077" i="3"/>
  <c r="P1077" i="3"/>
  <c r="O1077" i="3"/>
  <c r="N1077" i="3"/>
  <c r="Q1077" i="3" s="1"/>
  <c r="M1077" i="3"/>
  <c r="L1077" i="3"/>
  <c r="V1076" i="3"/>
  <c r="U1076" i="3"/>
  <c r="T1076" i="3"/>
  <c r="S1076" i="3"/>
  <c r="R1076" i="3"/>
  <c r="P1076" i="3"/>
  <c r="O1076" i="3"/>
  <c r="N1076" i="3"/>
  <c r="Q1076" i="3" s="1"/>
  <c r="M1076" i="3"/>
  <c r="L1076" i="3"/>
  <c r="U1075" i="3"/>
  <c r="V1075" i="3" s="1"/>
  <c r="T1075" i="3"/>
  <c r="S1075" i="3"/>
  <c r="R1075" i="3"/>
  <c r="Q1075" i="3"/>
  <c r="P1075" i="3"/>
  <c r="O1075" i="3"/>
  <c r="N1075" i="3"/>
  <c r="M1075" i="3"/>
  <c r="L1075" i="3"/>
  <c r="U1074" i="3"/>
  <c r="V1074" i="3" s="1"/>
  <c r="T1074" i="3"/>
  <c r="S1074" i="3"/>
  <c r="R1074" i="3"/>
  <c r="P1074" i="3"/>
  <c r="O1074" i="3"/>
  <c r="N1074" i="3"/>
  <c r="Q1074" i="3" s="1"/>
  <c r="M1074" i="3"/>
  <c r="L1074" i="3"/>
  <c r="U1073" i="3"/>
  <c r="V1073" i="3" s="1"/>
  <c r="T1073" i="3"/>
  <c r="S1073" i="3"/>
  <c r="R1073" i="3"/>
  <c r="Q1073" i="3"/>
  <c r="P1073" i="3"/>
  <c r="O1073" i="3"/>
  <c r="N1073" i="3"/>
  <c r="M1073" i="3"/>
  <c r="L1073" i="3"/>
  <c r="V1072" i="3"/>
  <c r="U1072" i="3"/>
  <c r="T1072" i="3"/>
  <c r="S1072" i="3"/>
  <c r="R1072" i="3"/>
  <c r="P1072" i="3"/>
  <c r="O1072" i="3"/>
  <c r="N1072" i="3"/>
  <c r="Q1072" i="3" s="1"/>
  <c r="M1072" i="3"/>
  <c r="L1072" i="3"/>
  <c r="V1071" i="3"/>
  <c r="U1071" i="3"/>
  <c r="T1071" i="3"/>
  <c r="S1071" i="3"/>
  <c r="R1071" i="3"/>
  <c r="Q1071" i="3"/>
  <c r="P1071" i="3"/>
  <c r="O1071" i="3"/>
  <c r="N1071" i="3"/>
  <c r="M1071" i="3"/>
  <c r="L1071" i="3"/>
  <c r="U1070" i="3"/>
  <c r="T1070" i="3"/>
  <c r="S1070" i="3"/>
  <c r="R1070" i="3"/>
  <c r="Q1070" i="3"/>
  <c r="P1070" i="3"/>
  <c r="O1070" i="3"/>
  <c r="N1070" i="3"/>
  <c r="M1070" i="3"/>
  <c r="L1070" i="3"/>
  <c r="V1070" i="3" s="1"/>
  <c r="U1069" i="3"/>
  <c r="V1069" i="3" s="1"/>
  <c r="T1069" i="3"/>
  <c r="S1069" i="3"/>
  <c r="R1069" i="3"/>
  <c r="P1069" i="3"/>
  <c r="O1069" i="3"/>
  <c r="N1069" i="3"/>
  <c r="Q1069" i="3" s="1"/>
  <c r="M1069" i="3"/>
  <c r="L1069" i="3"/>
  <c r="V1068" i="3"/>
  <c r="U1068" i="3"/>
  <c r="T1068" i="3"/>
  <c r="S1068" i="3"/>
  <c r="R1068" i="3"/>
  <c r="P1068" i="3"/>
  <c r="O1068" i="3"/>
  <c r="N1068" i="3"/>
  <c r="Q1068" i="3" s="1"/>
  <c r="M1068" i="3"/>
  <c r="L1068" i="3"/>
  <c r="U1067" i="3"/>
  <c r="V1067" i="3" s="1"/>
  <c r="T1067" i="3"/>
  <c r="S1067" i="3"/>
  <c r="R1067" i="3"/>
  <c r="Q1067" i="3"/>
  <c r="P1067" i="3"/>
  <c r="O1067" i="3"/>
  <c r="N1067" i="3"/>
  <c r="M1067" i="3"/>
  <c r="L1067" i="3"/>
  <c r="U1066" i="3"/>
  <c r="V1066" i="3" s="1"/>
  <c r="T1066" i="3"/>
  <c r="S1066" i="3"/>
  <c r="R1066" i="3"/>
  <c r="P1066" i="3"/>
  <c r="O1066" i="3"/>
  <c r="N1066" i="3"/>
  <c r="Q1066" i="3" s="1"/>
  <c r="M1066" i="3"/>
  <c r="L1066" i="3"/>
  <c r="U1065" i="3"/>
  <c r="V1065" i="3" s="1"/>
  <c r="T1065" i="3"/>
  <c r="S1065" i="3"/>
  <c r="R1065" i="3"/>
  <c r="Q1065" i="3"/>
  <c r="P1065" i="3"/>
  <c r="O1065" i="3"/>
  <c r="N1065" i="3"/>
  <c r="M1065" i="3"/>
  <c r="L1065" i="3"/>
  <c r="V1064" i="3"/>
  <c r="U1064" i="3"/>
  <c r="T1064" i="3"/>
  <c r="S1064" i="3"/>
  <c r="R1064" i="3"/>
  <c r="P1064" i="3"/>
  <c r="O1064" i="3"/>
  <c r="N1064" i="3"/>
  <c r="Q1064" i="3" s="1"/>
  <c r="M1064" i="3"/>
  <c r="L1064" i="3"/>
  <c r="V1063" i="3"/>
  <c r="U1063" i="3"/>
  <c r="T1063" i="3"/>
  <c r="S1063" i="3"/>
  <c r="R1063" i="3"/>
  <c r="Q1063" i="3"/>
  <c r="P1063" i="3"/>
  <c r="O1063" i="3"/>
  <c r="N1063" i="3"/>
  <c r="M1063" i="3"/>
  <c r="L1063" i="3"/>
  <c r="U1062" i="3"/>
  <c r="T1062" i="3"/>
  <c r="S1062" i="3"/>
  <c r="R1062" i="3"/>
  <c r="Q1062" i="3"/>
  <c r="P1062" i="3"/>
  <c r="O1062" i="3"/>
  <c r="N1062" i="3"/>
  <c r="M1062" i="3"/>
  <c r="L1062" i="3"/>
  <c r="V1062" i="3" s="1"/>
  <c r="U1061" i="3"/>
  <c r="V1061" i="3" s="1"/>
  <c r="T1061" i="3"/>
  <c r="S1061" i="3"/>
  <c r="R1061" i="3"/>
  <c r="P1061" i="3"/>
  <c r="O1061" i="3"/>
  <c r="N1061" i="3"/>
  <c r="Q1061" i="3" s="1"/>
  <c r="M1061" i="3"/>
  <c r="L1061" i="3"/>
  <c r="V1060" i="3"/>
  <c r="U1060" i="3"/>
  <c r="T1060" i="3"/>
  <c r="S1060" i="3"/>
  <c r="R1060" i="3"/>
  <c r="P1060" i="3"/>
  <c r="O1060" i="3"/>
  <c r="N1060" i="3"/>
  <c r="Q1060" i="3" s="1"/>
  <c r="M1060" i="3"/>
  <c r="L1060" i="3"/>
  <c r="U1059" i="3"/>
  <c r="V1059" i="3" s="1"/>
  <c r="T1059" i="3"/>
  <c r="S1059" i="3"/>
  <c r="R1059" i="3"/>
  <c r="Q1059" i="3"/>
  <c r="P1059" i="3"/>
  <c r="O1059" i="3"/>
  <c r="N1059" i="3"/>
  <c r="M1059" i="3"/>
  <c r="L1059" i="3"/>
  <c r="U1058" i="3"/>
  <c r="V1058" i="3" s="1"/>
  <c r="T1058" i="3"/>
  <c r="S1058" i="3"/>
  <c r="R1058" i="3"/>
  <c r="P1058" i="3"/>
  <c r="O1058" i="3"/>
  <c r="N1058" i="3"/>
  <c r="Q1058" i="3" s="1"/>
  <c r="M1058" i="3"/>
  <c r="L1058" i="3"/>
  <c r="U1057" i="3"/>
  <c r="V1057" i="3" s="1"/>
  <c r="T1057" i="3"/>
  <c r="S1057" i="3"/>
  <c r="R1057" i="3"/>
  <c r="Q1057" i="3"/>
  <c r="P1057" i="3"/>
  <c r="O1057" i="3"/>
  <c r="N1057" i="3"/>
  <c r="M1057" i="3"/>
  <c r="L1057" i="3"/>
  <c r="V1056" i="3"/>
  <c r="U1056" i="3"/>
  <c r="T1056" i="3"/>
  <c r="S1056" i="3"/>
  <c r="R1056" i="3"/>
  <c r="P1056" i="3"/>
  <c r="O1056" i="3"/>
  <c r="N1056" i="3"/>
  <c r="Q1056" i="3" s="1"/>
  <c r="M1056" i="3"/>
  <c r="L1056" i="3"/>
  <c r="V1055" i="3"/>
  <c r="U1055" i="3"/>
  <c r="T1055" i="3"/>
  <c r="S1055" i="3"/>
  <c r="R1055" i="3"/>
  <c r="Q1055" i="3"/>
  <c r="P1055" i="3"/>
  <c r="O1055" i="3"/>
  <c r="N1055" i="3"/>
  <c r="M1055" i="3"/>
  <c r="L1055" i="3"/>
  <c r="U1054" i="3"/>
  <c r="T1054" i="3"/>
  <c r="S1054" i="3"/>
  <c r="R1054" i="3"/>
  <c r="Q1054" i="3"/>
  <c r="P1054" i="3"/>
  <c r="O1054" i="3"/>
  <c r="N1054" i="3"/>
  <c r="M1054" i="3"/>
  <c r="L1054" i="3"/>
  <c r="V1054" i="3" s="1"/>
  <c r="U1053" i="3"/>
  <c r="V1053" i="3" s="1"/>
  <c r="T1053" i="3"/>
  <c r="S1053" i="3"/>
  <c r="R1053" i="3"/>
  <c r="P1053" i="3"/>
  <c r="O1053" i="3"/>
  <c r="N1053" i="3"/>
  <c r="Q1053" i="3" s="1"/>
  <c r="M1053" i="3"/>
  <c r="L1053" i="3"/>
  <c r="V1052" i="3"/>
  <c r="U1052" i="3"/>
  <c r="T1052" i="3"/>
  <c r="S1052" i="3"/>
  <c r="R1052" i="3"/>
  <c r="P1052" i="3"/>
  <c r="O1052" i="3"/>
  <c r="N1052" i="3"/>
  <c r="Q1052" i="3" s="1"/>
  <c r="M1052" i="3"/>
  <c r="L1052" i="3"/>
  <c r="U1051" i="3"/>
  <c r="V1051" i="3" s="1"/>
  <c r="T1051" i="3"/>
  <c r="S1051" i="3"/>
  <c r="R1051" i="3"/>
  <c r="Q1051" i="3"/>
  <c r="P1051" i="3"/>
  <c r="O1051" i="3"/>
  <c r="N1051" i="3"/>
  <c r="M1051" i="3"/>
  <c r="L1051" i="3"/>
  <c r="U1050" i="3"/>
  <c r="V1050" i="3" s="1"/>
  <c r="T1050" i="3"/>
  <c r="S1050" i="3"/>
  <c r="R1050" i="3"/>
  <c r="P1050" i="3"/>
  <c r="O1050" i="3"/>
  <c r="N1050" i="3"/>
  <c r="Q1050" i="3" s="1"/>
  <c r="M1050" i="3"/>
  <c r="L1050" i="3"/>
  <c r="U1049" i="3"/>
  <c r="V1049" i="3" s="1"/>
  <c r="T1049" i="3"/>
  <c r="S1049" i="3"/>
  <c r="R1049" i="3"/>
  <c r="Q1049" i="3"/>
  <c r="P1049" i="3"/>
  <c r="O1049" i="3"/>
  <c r="N1049" i="3"/>
  <c r="M1049" i="3"/>
  <c r="L1049" i="3"/>
  <c r="V1048" i="3"/>
  <c r="U1048" i="3"/>
  <c r="T1048" i="3"/>
  <c r="S1048" i="3"/>
  <c r="R1048" i="3"/>
  <c r="P1048" i="3"/>
  <c r="O1048" i="3"/>
  <c r="N1048" i="3"/>
  <c r="Q1048" i="3" s="1"/>
  <c r="M1048" i="3"/>
  <c r="L1048" i="3"/>
  <c r="V1047" i="3"/>
  <c r="U1047" i="3"/>
  <c r="T1047" i="3"/>
  <c r="S1047" i="3"/>
  <c r="R1047" i="3"/>
  <c r="Q1047" i="3"/>
  <c r="P1047" i="3"/>
  <c r="O1047" i="3"/>
  <c r="N1047" i="3"/>
  <c r="M1047" i="3"/>
  <c r="L1047" i="3"/>
  <c r="U1046" i="3"/>
  <c r="T1046" i="3"/>
  <c r="S1046" i="3"/>
  <c r="R1046" i="3"/>
  <c r="Q1046" i="3"/>
  <c r="P1046" i="3"/>
  <c r="O1046" i="3"/>
  <c r="N1046" i="3"/>
  <c r="M1046" i="3"/>
  <c r="L1046" i="3"/>
  <c r="V1046" i="3" s="1"/>
  <c r="V1045" i="3"/>
  <c r="U1045" i="3"/>
  <c r="T1045" i="3"/>
  <c r="S1045" i="3"/>
  <c r="R1045" i="3"/>
  <c r="P1045" i="3"/>
  <c r="O1045" i="3"/>
  <c r="N1045" i="3"/>
  <c r="Q1045" i="3" s="1"/>
  <c r="M1045" i="3"/>
  <c r="L1045" i="3"/>
  <c r="V1044" i="3"/>
  <c r="U1044" i="3"/>
  <c r="T1044" i="3"/>
  <c r="S1044" i="3"/>
  <c r="R1044" i="3"/>
  <c r="Q1044" i="3"/>
  <c r="P1044" i="3"/>
  <c r="O1044" i="3"/>
  <c r="N1044" i="3"/>
  <c r="M1044" i="3"/>
  <c r="L1044" i="3"/>
  <c r="U1043" i="3"/>
  <c r="V1043" i="3" s="1"/>
  <c r="T1043" i="3"/>
  <c r="S1043" i="3"/>
  <c r="R1043" i="3"/>
  <c r="Q1043" i="3"/>
  <c r="P1043" i="3"/>
  <c r="O1043" i="3"/>
  <c r="N1043" i="3"/>
  <c r="M1043" i="3"/>
  <c r="L1043" i="3"/>
  <c r="U1042" i="3"/>
  <c r="V1042" i="3" s="1"/>
  <c r="T1042" i="3"/>
  <c r="S1042" i="3"/>
  <c r="R1042" i="3"/>
  <c r="P1042" i="3"/>
  <c r="O1042" i="3"/>
  <c r="N1042" i="3"/>
  <c r="Q1042" i="3" s="1"/>
  <c r="M1042" i="3"/>
  <c r="L1042" i="3"/>
  <c r="U1041" i="3"/>
  <c r="V1041" i="3" s="1"/>
  <c r="T1041" i="3"/>
  <c r="S1041" i="3"/>
  <c r="R1041" i="3"/>
  <c r="Q1041" i="3"/>
  <c r="P1041" i="3"/>
  <c r="O1041" i="3"/>
  <c r="N1041" i="3"/>
  <c r="M1041" i="3"/>
  <c r="L1041" i="3"/>
  <c r="V1040" i="3"/>
  <c r="U1040" i="3"/>
  <c r="T1040" i="3"/>
  <c r="S1040" i="3"/>
  <c r="R1040" i="3"/>
  <c r="P1040" i="3"/>
  <c r="O1040" i="3"/>
  <c r="N1040" i="3"/>
  <c r="Q1040" i="3" s="1"/>
  <c r="M1040" i="3"/>
  <c r="L1040" i="3"/>
  <c r="V1039" i="3"/>
  <c r="U1039" i="3"/>
  <c r="T1039" i="3"/>
  <c r="S1039" i="3"/>
  <c r="R1039" i="3"/>
  <c r="Q1039" i="3"/>
  <c r="P1039" i="3"/>
  <c r="O1039" i="3"/>
  <c r="N1039" i="3"/>
  <c r="M1039" i="3"/>
  <c r="L1039" i="3"/>
  <c r="U1038" i="3"/>
  <c r="T1038" i="3"/>
  <c r="S1038" i="3"/>
  <c r="R1038" i="3"/>
  <c r="Q1038" i="3"/>
  <c r="P1038" i="3"/>
  <c r="O1038" i="3"/>
  <c r="N1038" i="3"/>
  <c r="M1038" i="3"/>
  <c r="L1038" i="3"/>
  <c r="V1038" i="3" s="1"/>
  <c r="V1037" i="3"/>
  <c r="U1037" i="3"/>
  <c r="T1037" i="3"/>
  <c r="S1037" i="3"/>
  <c r="R1037" i="3"/>
  <c r="P1037" i="3"/>
  <c r="O1037" i="3"/>
  <c r="N1037" i="3"/>
  <c r="Q1037" i="3" s="1"/>
  <c r="M1037" i="3"/>
  <c r="L1037" i="3"/>
  <c r="V1036" i="3"/>
  <c r="U1036" i="3"/>
  <c r="T1036" i="3"/>
  <c r="S1036" i="3"/>
  <c r="R1036" i="3"/>
  <c r="Q1036" i="3"/>
  <c r="P1036" i="3"/>
  <c r="O1036" i="3"/>
  <c r="N1036" i="3"/>
  <c r="M1036" i="3"/>
  <c r="L1036" i="3"/>
  <c r="U1035" i="3"/>
  <c r="V1035" i="3" s="1"/>
  <c r="T1035" i="3"/>
  <c r="S1035" i="3"/>
  <c r="R1035" i="3"/>
  <c r="Q1035" i="3"/>
  <c r="P1035" i="3"/>
  <c r="O1035" i="3"/>
  <c r="N1035" i="3"/>
  <c r="M1035" i="3"/>
  <c r="L1035" i="3"/>
  <c r="U1034" i="3"/>
  <c r="V1034" i="3" s="1"/>
  <c r="T1034" i="3"/>
  <c r="S1034" i="3"/>
  <c r="R1034" i="3"/>
  <c r="P1034" i="3"/>
  <c r="O1034" i="3"/>
  <c r="N1034" i="3"/>
  <c r="Q1034" i="3" s="1"/>
  <c r="M1034" i="3"/>
  <c r="L1034" i="3"/>
  <c r="U1033" i="3"/>
  <c r="V1033" i="3" s="1"/>
  <c r="T1033" i="3"/>
  <c r="S1033" i="3"/>
  <c r="R1033" i="3"/>
  <c r="Q1033" i="3"/>
  <c r="P1033" i="3"/>
  <c r="O1033" i="3"/>
  <c r="N1033" i="3"/>
  <c r="M1033" i="3"/>
  <c r="L1033" i="3"/>
  <c r="V1032" i="3"/>
  <c r="U1032" i="3"/>
  <c r="T1032" i="3"/>
  <c r="S1032" i="3"/>
  <c r="R1032" i="3"/>
  <c r="P1032" i="3"/>
  <c r="O1032" i="3"/>
  <c r="N1032" i="3"/>
  <c r="Q1032" i="3" s="1"/>
  <c r="M1032" i="3"/>
  <c r="L1032" i="3"/>
  <c r="V1031" i="3"/>
  <c r="U1031" i="3"/>
  <c r="T1031" i="3"/>
  <c r="S1031" i="3"/>
  <c r="R1031" i="3"/>
  <c r="Q1031" i="3"/>
  <c r="P1031" i="3"/>
  <c r="O1031" i="3"/>
  <c r="N1031" i="3"/>
  <c r="M1031" i="3"/>
  <c r="L1031" i="3"/>
  <c r="U1030" i="3"/>
  <c r="T1030" i="3"/>
  <c r="S1030" i="3"/>
  <c r="R1030" i="3"/>
  <c r="Q1030" i="3"/>
  <c r="P1030" i="3"/>
  <c r="O1030" i="3"/>
  <c r="N1030" i="3"/>
  <c r="M1030" i="3"/>
  <c r="L1030" i="3"/>
  <c r="V1030" i="3" s="1"/>
  <c r="V1029" i="3"/>
  <c r="U1029" i="3"/>
  <c r="T1029" i="3"/>
  <c r="S1029" i="3"/>
  <c r="R1029" i="3"/>
  <c r="P1029" i="3"/>
  <c r="O1029" i="3"/>
  <c r="N1029" i="3"/>
  <c r="Q1029" i="3" s="1"/>
  <c r="M1029" i="3"/>
  <c r="L1029" i="3"/>
  <c r="V1028" i="3"/>
  <c r="U1028" i="3"/>
  <c r="T1028" i="3"/>
  <c r="S1028" i="3"/>
  <c r="R1028" i="3"/>
  <c r="Q1028" i="3"/>
  <c r="P1028" i="3"/>
  <c r="O1028" i="3"/>
  <c r="N1028" i="3"/>
  <c r="M1028" i="3"/>
  <c r="L1028" i="3"/>
  <c r="U1027" i="3"/>
  <c r="T1027" i="3"/>
  <c r="S1027" i="3"/>
  <c r="R1027" i="3"/>
  <c r="Q1027" i="3"/>
  <c r="P1027" i="3"/>
  <c r="O1027" i="3"/>
  <c r="N1027" i="3"/>
  <c r="M1027" i="3"/>
  <c r="L1027" i="3"/>
  <c r="U1026" i="3"/>
  <c r="V1026" i="3" s="1"/>
  <c r="T1026" i="3"/>
  <c r="S1026" i="3"/>
  <c r="R1026" i="3"/>
  <c r="P1026" i="3"/>
  <c r="O1026" i="3"/>
  <c r="N1026" i="3"/>
  <c r="Q1026" i="3" s="1"/>
  <c r="M1026" i="3"/>
  <c r="L1026" i="3"/>
  <c r="U1025" i="3"/>
  <c r="V1025" i="3" s="1"/>
  <c r="T1025" i="3"/>
  <c r="S1025" i="3"/>
  <c r="R1025" i="3"/>
  <c r="Q1025" i="3"/>
  <c r="P1025" i="3"/>
  <c r="O1025" i="3"/>
  <c r="N1025" i="3"/>
  <c r="M1025" i="3"/>
  <c r="L1025" i="3"/>
  <c r="U1024" i="3"/>
  <c r="V1024" i="3" s="1"/>
  <c r="T1024" i="3"/>
  <c r="S1024" i="3"/>
  <c r="R1024" i="3"/>
  <c r="P1024" i="3"/>
  <c r="O1024" i="3"/>
  <c r="N1024" i="3"/>
  <c r="Q1024" i="3" s="1"/>
  <c r="M1024" i="3"/>
  <c r="L1024" i="3"/>
  <c r="V1023" i="3"/>
  <c r="U1023" i="3"/>
  <c r="T1023" i="3"/>
  <c r="S1023" i="3"/>
  <c r="R1023" i="3"/>
  <c r="Q1023" i="3"/>
  <c r="P1023" i="3"/>
  <c r="O1023" i="3"/>
  <c r="N1023" i="3"/>
  <c r="M1023" i="3"/>
  <c r="L1023" i="3"/>
  <c r="U1022" i="3"/>
  <c r="T1022" i="3"/>
  <c r="S1022" i="3"/>
  <c r="R1022" i="3"/>
  <c r="Q1022" i="3"/>
  <c r="P1022" i="3"/>
  <c r="O1022" i="3"/>
  <c r="N1022" i="3"/>
  <c r="M1022" i="3"/>
  <c r="L1022" i="3"/>
  <c r="V1022" i="3" s="1"/>
  <c r="V1021" i="3"/>
  <c r="U1021" i="3"/>
  <c r="T1021" i="3"/>
  <c r="S1021" i="3"/>
  <c r="R1021" i="3"/>
  <c r="P1021" i="3"/>
  <c r="O1021" i="3"/>
  <c r="N1021" i="3"/>
  <c r="Q1021" i="3" s="1"/>
  <c r="M1021" i="3"/>
  <c r="L1021" i="3"/>
  <c r="V1020" i="3"/>
  <c r="U1020" i="3"/>
  <c r="T1020" i="3"/>
  <c r="S1020" i="3"/>
  <c r="R1020" i="3"/>
  <c r="Q1020" i="3"/>
  <c r="P1020" i="3"/>
  <c r="O1020" i="3"/>
  <c r="N1020" i="3"/>
  <c r="M1020" i="3"/>
  <c r="L1020" i="3"/>
  <c r="U1019" i="3"/>
  <c r="T1019" i="3"/>
  <c r="S1019" i="3"/>
  <c r="R1019" i="3"/>
  <c r="Q1019" i="3"/>
  <c r="P1019" i="3"/>
  <c r="O1019" i="3"/>
  <c r="N1019" i="3"/>
  <c r="M1019" i="3"/>
  <c r="L1019" i="3"/>
  <c r="U1018" i="3"/>
  <c r="V1018" i="3" s="1"/>
  <c r="T1018" i="3"/>
  <c r="S1018" i="3"/>
  <c r="R1018" i="3"/>
  <c r="P1018" i="3"/>
  <c r="O1018" i="3"/>
  <c r="N1018" i="3"/>
  <c r="Q1018" i="3" s="1"/>
  <c r="M1018" i="3"/>
  <c r="L1018" i="3"/>
  <c r="U1017" i="3"/>
  <c r="V1017" i="3" s="1"/>
  <c r="T1017" i="3"/>
  <c r="S1017" i="3"/>
  <c r="R1017" i="3"/>
  <c r="Q1017" i="3"/>
  <c r="P1017" i="3"/>
  <c r="O1017" i="3"/>
  <c r="N1017" i="3"/>
  <c r="M1017" i="3"/>
  <c r="L1017" i="3"/>
  <c r="U1016" i="3"/>
  <c r="V1016" i="3" s="1"/>
  <c r="T1016" i="3"/>
  <c r="S1016" i="3"/>
  <c r="R1016" i="3"/>
  <c r="P1016" i="3"/>
  <c r="O1016" i="3"/>
  <c r="N1016" i="3"/>
  <c r="Q1016" i="3" s="1"/>
  <c r="M1016" i="3"/>
  <c r="L1016" i="3"/>
  <c r="V1015" i="3"/>
  <c r="U1015" i="3"/>
  <c r="T1015" i="3"/>
  <c r="S1015" i="3"/>
  <c r="R1015" i="3"/>
  <c r="Q1015" i="3"/>
  <c r="P1015" i="3"/>
  <c r="O1015" i="3"/>
  <c r="N1015" i="3"/>
  <c r="M1015" i="3"/>
  <c r="L1015" i="3"/>
  <c r="U1014" i="3"/>
  <c r="T1014" i="3"/>
  <c r="S1014" i="3"/>
  <c r="R1014" i="3"/>
  <c r="Q1014" i="3"/>
  <c r="P1014" i="3"/>
  <c r="O1014" i="3"/>
  <c r="N1014" i="3"/>
  <c r="M1014" i="3"/>
  <c r="L1014" i="3"/>
  <c r="V1014" i="3" s="1"/>
  <c r="V1013" i="3"/>
  <c r="U1013" i="3"/>
  <c r="T1013" i="3"/>
  <c r="S1013" i="3"/>
  <c r="R1013" i="3"/>
  <c r="P1013" i="3"/>
  <c r="O1013" i="3"/>
  <c r="N1013" i="3"/>
  <c r="Q1013" i="3" s="1"/>
  <c r="M1013" i="3"/>
  <c r="L1013" i="3"/>
  <c r="V1012" i="3"/>
  <c r="U1012" i="3"/>
  <c r="T1012" i="3"/>
  <c r="S1012" i="3"/>
  <c r="R1012" i="3"/>
  <c r="Q1012" i="3"/>
  <c r="P1012" i="3"/>
  <c r="O1012" i="3"/>
  <c r="N1012" i="3"/>
  <c r="M1012" i="3"/>
  <c r="L1012" i="3"/>
  <c r="U1011" i="3"/>
  <c r="V1011" i="3" s="1"/>
  <c r="T1011" i="3"/>
  <c r="S1011" i="3"/>
  <c r="R1011" i="3"/>
  <c r="Q1011" i="3"/>
  <c r="P1011" i="3"/>
  <c r="O1011" i="3"/>
  <c r="N1011" i="3"/>
  <c r="M1011" i="3"/>
  <c r="L1011" i="3"/>
  <c r="U1010" i="3"/>
  <c r="V1010" i="3" s="1"/>
  <c r="T1010" i="3"/>
  <c r="S1010" i="3"/>
  <c r="R1010" i="3"/>
  <c r="P1010" i="3"/>
  <c r="O1010" i="3"/>
  <c r="N1010" i="3"/>
  <c r="Q1010" i="3" s="1"/>
  <c r="M1010" i="3"/>
  <c r="L1010" i="3"/>
  <c r="U1009" i="3"/>
  <c r="V1009" i="3" s="1"/>
  <c r="T1009" i="3"/>
  <c r="S1009" i="3"/>
  <c r="R1009" i="3"/>
  <c r="Q1009" i="3"/>
  <c r="P1009" i="3"/>
  <c r="O1009" i="3"/>
  <c r="N1009" i="3"/>
  <c r="M1009" i="3"/>
  <c r="L1009" i="3"/>
  <c r="V1008" i="3"/>
  <c r="U1008" i="3"/>
  <c r="T1008" i="3"/>
  <c r="S1008" i="3"/>
  <c r="R1008" i="3"/>
  <c r="P1008" i="3"/>
  <c r="O1008" i="3"/>
  <c r="N1008" i="3"/>
  <c r="Q1008" i="3" s="1"/>
  <c r="M1008" i="3"/>
  <c r="L1008" i="3"/>
  <c r="V1007" i="3"/>
  <c r="U1007" i="3"/>
  <c r="T1007" i="3"/>
  <c r="S1007" i="3"/>
  <c r="R1007" i="3"/>
  <c r="Q1007" i="3"/>
  <c r="P1007" i="3"/>
  <c r="O1007" i="3"/>
  <c r="N1007" i="3"/>
  <c r="M1007" i="3"/>
  <c r="L1007" i="3"/>
  <c r="U1006" i="3"/>
  <c r="T1006" i="3"/>
  <c r="S1006" i="3"/>
  <c r="R1006" i="3"/>
  <c r="Q1006" i="3"/>
  <c r="P1006" i="3"/>
  <c r="O1006" i="3"/>
  <c r="N1006" i="3"/>
  <c r="M1006" i="3"/>
  <c r="L1006" i="3"/>
  <c r="V1006" i="3" s="1"/>
  <c r="U1005" i="3"/>
  <c r="T1005" i="3"/>
  <c r="S1005" i="3"/>
  <c r="R1005" i="3"/>
  <c r="P1005" i="3"/>
  <c r="O1005" i="3"/>
  <c r="N1005" i="3"/>
  <c r="Q1005" i="3" s="1"/>
  <c r="M1005" i="3"/>
  <c r="L1005" i="3"/>
  <c r="V1005" i="3" s="1"/>
  <c r="V1004" i="3"/>
  <c r="U1004" i="3"/>
  <c r="T1004" i="3"/>
  <c r="S1004" i="3"/>
  <c r="R1004" i="3"/>
  <c r="Q1004" i="3"/>
  <c r="P1004" i="3"/>
  <c r="O1004" i="3"/>
  <c r="N1004" i="3"/>
  <c r="M1004" i="3"/>
  <c r="L1004" i="3"/>
  <c r="U1003" i="3"/>
  <c r="V1003" i="3" s="1"/>
  <c r="T1003" i="3"/>
  <c r="S1003" i="3"/>
  <c r="R1003" i="3"/>
  <c r="Q1003" i="3"/>
  <c r="P1003" i="3"/>
  <c r="O1003" i="3"/>
  <c r="N1003" i="3"/>
  <c r="M1003" i="3"/>
  <c r="L1003" i="3"/>
  <c r="U1002" i="3"/>
  <c r="V1002" i="3" s="1"/>
  <c r="T1002" i="3"/>
  <c r="S1002" i="3"/>
  <c r="R1002" i="3"/>
  <c r="P1002" i="3"/>
  <c r="O1002" i="3"/>
  <c r="N1002" i="3"/>
  <c r="Q1002" i="3" s="1"/>
  <c r="M1002" i="3"/>
  <c r="L1002" i="3"/>
  <c r="U1001" i="3"/>
  <c r="V1001" i="3" s="1"/>
  <c r="T1001" i="3"/>
  <c r="S1001" i="3"/>
  <c r="R1001" i="3"/>
  <c r="Q1001" i="3"/>
  <c r="P1001" i="3"/>
  <c r="O1001" i="3"/>
  <c r="N1001" i="3"/>
  <c r="M1001" i="3"/>
  <c r="L1001" i="3"/>
  <c r="U1000" i="3"/>
  <c r="V1000" i="3" s="1"/>
  <c r="T1000" i="3"/>
  <c r="S1000" i="3"/>
  <c r="R1000" i="3"/>
  <c r="P1000" i="3"/>
  <c r="O1000" i="3"/>
  <c r="N1000" i="3"/>
  <c r="Q1000" i="3" s="1"/>
  <c r="M1000" i="3"/>
  <c r="L1000" i="3"/>
  <c r="V999" i="3"/>
  <c r="U999" i="3"/>
  <c r="T999" i="3"/>
  <c r="S999" i="3"/>
  <c r="R999" i="3"/>
  <c r="P999" i="3"/>
  <c r="O999" i="3"/>
  <c r="N999" i="3"/>
  <c r="Q999" i="3" s="1"/>
  <c r="M999" i="3"/>
  <c r="L999" i="3"/>
  <c r="U998" i="3"/>
  <c r="T998" i="3"/>
  <c r="S998" i="3"/>
  <c r="R998" i="3"/>
  <c r="Q998" i="3"/>
  <c r="P998" i="3"/>
  <c r="O998" i="3"/>
  <c r="N998" i="3"/>
  <c r="M998" i="3"/>
  <c r="L998" i="3"/>
  <c r="V998" i="3" s="1"/>
  <c r="V997" i="3"/>
  <c r="U997" i="3"/>
  <c r="T997" i="3"/>
  <c r="S997" i="3"/>
  <c r="R997" i="3"/>
  <c r="P997" i="3"/>
  <c r="O997" i="3"/>
  <c r="N997" i="3"/>
  <c r="Q997" i="3" s="1"/>
  <c r="M997" i="3"/>
  <c r="L997" i="3"/>
  <c r="V996" i="3"/>
  <c r="U996" i="3"/>
  <c r="T996" i="3"/>
  <c r="S996" i="3"/>
  <c r="R996" i="3"/>
  <c r="Q996" i="3"/>
  <c r="P996" i="3"/>
  <c r="O996" i="3"/>
  <c r="N996" i="3"/>
  <c r="M996" i="3"/>
  <c r="L996" i="3"/>
  <c r="U995" i="3"/>
  <c r="T995" i="3"/>
  <c r="S995" i="3"/>
  <c r="R995" i="3"/>
  <c r="Q995" i="3"/>
  <c r="P995" i="3"/>
  <c r="O995" i="3"/>
  <c r="N995" i="3"/>
  <c r="M995" i="3"/>
  <c r="L995" i="3"/>
  <c r="U994" i="3"/>
  <c r="V994" i="3" s="1"/>
  <c r="T994" i="3"/>
  <c r="S994" i="3"/>
  <c r="R994" i="3"/>
  <c r="P994" i="3"/>
  <c r="O994" i="3"/>
  <c r="N994" i="3"/>
  <c r="Q994" i="3" s="1"/>
  <c r="M994" i="3"/>
  <c r="L994" i="3"/>
  <c r="U993" i="3"/>
  <c r="V993" i="3" s="1"/>
  <c r="T993" i="3"/>
  <c r="S993" i="3"/>
  <c r="R993" i="3"/>
  <c r="Q993" i="3"/>
  <c r="P993" i="3"/>
  <c r="O993" i="3"/>
  <c r="N993" i="3"/>
  <c r="M993" i="3"/>
  <c r="L993" i="3"/>
  <c r="U992" i="3"/>
  <c r="V992" i="3" s="1"/>
  <c r="T992" i="3"/>
  <c r="S992" i="3"/>
  <c r="R992" i="3"/>
  <c r="P992" i="3"/>
  <c r="O992" i="3"/>
  <c r="N992" i="3"/>
  <c r="Q992" i="3" s="1"/>
  <c r="M992" i="3"/>
  <c r="L992" i="3"/>
  <c r="V991" i="3"/>
  <c r="U991" i="3"/>
  <c r="T991" i="3"/>
  <c r="S991" i="3"/>
  <c r="R991" i="3"/>
  <c r="Q991" i="3"/>
  <c r="P991" i="3"/>
  <c r="O991" i="3"/>
  <c r="N991" i="3"/>
  <c r="M991" i="3"/>
  <c r="L991" i="3"/>
  <c r="U990" i="3"/>
  <c r="T990" i="3"/>
  <c r="S990" i="3"/>
  <c r="R990" i="3"/>
  <c r="Q990" i="3"/>
  <c r="P990" i="3"/>
  <c r="O990" i="3"/>
  <c r="N990" i="3"/>
  <c r="M990" i="3"/>
  <c r="L990" i="3"/>
  <c r="V990" i="3" s="1"/>
  <c r="U989" i="3"/>
  <c r="T989" i="3"/>
  <c r="S989" i="3"/>
  <c r="R989" i="3"/>
  <c r="P989" i="3"/>
  <c r="O989" i="3"/>
  <c r="N989" i="3"/>
  <c r="Q989" i="3" s="1"/>
  <c r="M989" i="3"/>
  <c r="L989" i="3"/>
  <c r="V989" i="3" s="1"/>
  <c r="V988" i="3"/>
  <c r="U988" i="3"/>
  <c r="T988" i="3"/>
  <c r="S988" i="3"/>
  <c r="R988" i="3"/>
  <c r="Q988" i="3"/>
  <c r="P988" i="3"/>
  <c r="O988" i="3"/>
  <c r="N988" i="3"/>
  <c r="M988" i="3"/>
  <c r="L988" i="3"/>
  <c r="U987" i="3"/>
  <c r="T987" i="3"/>
  <c r="S987" i="3"/>
  <c r="R987" i="3"/>
  <c r="Q987" i="3"/>
  <c r="P987" i="3"/>
  <c r="O987" i="3"/>
  <c r="N987" i="3"/>
  <c r="M987" i="3"/>
  <c r="L987" i="3"/>
  <c r="U986" i="3"/>
  <c r="V986" i="3" s="1"/>
  <c r="T986" i="3"/>
  <c r="S986" i="3"/>
  <c r="R986" i="3"/>
  <c r="P986" i="3"/>
  <c r="O986" i="3"/>
  <c r="N986" i="3"/>
  <c r="Q986" i="3" s="1"/>
  <c r="M986" i="3"/>
  <c r="L986" i="3"/>
  <c r="U985" i="3"/>
  <c r="V985" i="3" s="1"/>
  <c r="T985" i="3"/>
  <c r="S985" i="3"/>
  <c r="R985" i="3"/>
  <c r="Q985" i="3"/>
  <c r="P985" i="3"/>
  <c r="O985" i="3"/>
  <c r="N985" i="3"/>
  <c r="M985" i="3"/>
  <c r="L985" i="3"/>
  <c r="V984" i="3"/>
  <c r="U984" i="3"/>
  <c r="T984" i="3"/>
  <c r="S984" i="3"/>
  <c r="R984" i="3"/>
  <c r="P984" i="3"/>
  <c r="O984" i="3"/>
  <c r="N984" i="3"/>
  <c r="Q984" i="3" s="1"/>
  <c r="M984" i="3"/>
  <c r="L984" i="3"/>
  <c r="V983" i="3"/>
  <c r="U983" i="3"/>
  <c r="T983" i="3"/>
  <c r="S983" i="3"/>
  <c r="R983" i="3"/>
  <c r="Q983" i="3"/>
  <c r="P983" i="3"/>
  <c r="O983" i="3"/>
  <c r="N983" i="3"/>
  <c r="M983" i="3"/>
  <c r="L983" i="3"/>
  <c r="U982" i="3"/>
  <c r="T982" i="3"/>
  <c r="S982" i="3"/>
  <c r="R982" i="3"/>
  <c r="Q982" i="3"/>
  <c r="P982" i="3"/>
  <c r="O982" i="3"/>
  <c r="N982" i="3"/>
  <c r="M982" i="3"/>
  <c r="L982" i="3"/>
  <c r="V982" i="3" s="1"/>
  <c r="U981" i="3"/>
  <c r="T981" i="3"/>
  <c r="S981" i="3"/>
  <c r="R981" i="3"/>
  <c r="P981" i="3"/>
  <c r="O981" i="3"/>
  <c r="N981" i="3"/>
  <c r="Q981" i="3" s="1"/>
  <c r="M981" i="3"/>
  <c r="L981" i="3"/>
  <c r="V981" i="3" s="1"/>
  <c r="V980" i="3"/>
  <c r="U980" i="3"/>
  <c r="T980" i="3"/>
  <c r="S980" i="3"/>
  <c r="R980" i="3"/>
  <c r="Q980" i="3"/>
  <c r="P980" i="3"/>
  <c r="O980" i="3"/>
  <c r="N980" i="3"/>
  <c r="M980" i="3"/>
  <c r="L980" i="3"/>
  <c r="U979" i="3"/>
  <c r="T979" i="3"/>
  <c r="S979" i="3"/>
  <c r="R979" i="3"/>
  <c r="Q979" i="3"/>
  <c r="P979" i="3"/>
  <c r="O979" i="3"/>
  <c r="N979" i="3"/>
  <c r="M979" i="3"/>
  <c r="L979" i="3"/>
  <c r="U978" i="3"/>
  <c r="V978" i="3" s="1"/>
  <c r="T978" i="3"/>
  <c r="S978" i="3"/>
  <c r="R978" i="3"/>
  <c r="P978" i="3"/>
  <c r="O978" i="3"/>
  <c r="N978" i="3"/>
  <c r="Q978" i="3" s="1"/>
  <c r="M978" i="3"/>
  <c r="L978" i="3"/>
  <c r="U977" i="3"/>
  <c r="V977" i="3" s="1"/>
  <c r="T977" i="3"/>
  <c r="S977" i="3"/>
  <c r="R977" i="3"/>
  <c r="Q977" i="3"/>
  <c r="P977" i="3"/>
  <c r="O977" i="3"/>
  <c r="N977" i="3"/>
  <c r="M977" i="3"/>
  <c r="L977" i="3"/>
  <c r="V976" i="3"/>
  <c r="U976" i="3"/>
  <c r="T976" i="3"/>
  <c r="S976" i="3"/>
  <c r="R976" i="3"/>
  <c r="P976" i="3"/>
  <c r="O976" i="3"/>
  <c r="N976" i="3"/>
  <c r="Q976" i="3" s="1"/>
  <c r="M976" i="3"/>
  <c r="L976" i="3"/>
  <c r="V975" i="3"/>
  <c r="U975" i="3"/>
  <c r="T975" i="3"/>
  <c r="S975" i="3"/>
  <c r="R975" i="3"/>
  <c r="Q975" i="3"/>
  <c r="P975" i="3"/>
  <c r="O975" i="3"/>
  <c r="N975" i="3"/>
  <c r="M975" i="3"/>
  <c r="L975" i="3"/>
  <c r="U974" i="3"/>
  <c r="T974" i="3"/>
  <c r="S974" i="3"/>
  <c r="R974" i="3"/>
  <c r="Q974" i="3"/>
  <c r="P974" i="3"/>
  <c r="O974" i="3"/>
  <c r="N974" i="3"/>
  <c r="M974" i="3"/>
  <c r="L974" i="3"/>
  <c r="V974" i="3" s="1"/>
  <c r="V973" i="3"/>
  <c r="U973" i="3"/>
  <c r="T973" i="3"/>
  <c r="S973" i="3"/>
  <c r="R973" i="3"/>
  <c r="P973" i="3"/>
  <c r="O973" i="3"/>
  <c r="N973" i="3"/>
  <c r="Q973" i="3" s="1"/>
  <c r="M973" i="3"/>
  <c r="L973" i="3"/>
  <c r="V972" i="3"/>
  <c r="U972" i="3"/>
  <c r="T972" i="3"/>
  <c r="S972" i="3"/>
  <c r="R972" i="3"/>
  <c r="Q972" i="3"/>
  <c r="P972" i="3"/>
  <c r="O972" i="3"/>
  <c r="N972" i="3"/>
  <c r="M972" i="3"/>
  <c r="L972" i="3"/>
  <c r="U971" i="3"/>
  <c r="V971" i="3" s="1"/>
  <c r="T971" i="3"/>
  <c r="S971" i="3"/>
  <c r="R971" i="3"/>
  <c r="Q971" i="3"/>
  <c r="P971" i="3"/>
  <c r="O971" i="3"/>
  <c r="N971" i="3"/>
  <c r="M971" i="3"/>
  <c r="L971" i="3"/>
  <c r="U970" i="3"/>
  <c r="V970" i="3" s="1"/>
  <c r="T970" i="3"/>
  <c r="S970" i="3"/>
  <c r="R970" i="3"/>
  <c r="P970" i="3"/>
  <c r="O970" i="3"/>
  <c r="N970" i="3"/>
  <c r="Q970" i="3" s="1"/>
  <c r="M970" i="3"/>
  <c r="L970" i="3"/>
  <c r="U969" i="3"/>
  <c r="V969" i="3" s="1"/>
  <c r="T969" i="3"/>
  <c r="S969" i="3"/>
  <c r="R969" i="3"/>
  <c r="Q969" i="3"/>
  <c r="P969" i="3"/>
  <c r="O969" i="3"/>
  <c r="N969" i="3"/>
  <c r="M969" i="3"/>
  <c r="L969" i="3"/>
  <c r="V968" i="3"/>
  <c r="U968" i="3"/>
  <c r="T968" i="3"/>
  <c r="S968" i="3"/>
  <c r="R968" i="3"/>
  <c r="P968" i="3"/>
  <c r="O968" i="3"/>
  <c r="N968" i="3"/>
  <c r="Q968" i="3" s="1"/>
  <c r="M968" i="3"/>
  <c r="L968" i="3"/>
  <c r="V967" i="3"/>
  <c r="U967" i="3"/>
  <c r="T967" i="3"/>
  <c r="S967" i="3"/>
  <c r="R967" i="3"/>
  <c r="P967" i="3"/>
  <c r="O967" i="3"/>
  <c r="N967" i="3"/>
  <c r="Q967" i="3" s="1"/>
  <c r="M967" i="3"/>
  <c r="L967" i="3"/>
  <c r="U966" i="3"/>
  <c r="T966" i="3"/>
  <c r="S966" i="3"/>
  <c r="R966" i="3"/>
  <c r="Q966" i="3"/>
  <c r="P966" i="3"/>
  <c r="O966" i="3"/>
  <c r="N966" i="3"/>
  <c r="M966" i="3"/>
  <c r="L966" i="3"/>
  <c r="V966" i="3" s="1"/>
  <c r="V965" i="3"/>
  <c r="U965" i="3"/>
  <c r="T965" i="3"/>
  <c r="S965" i="3"/>
  <c r="R965" i="3"/>
  <c r="P965" i="3"/>
  <c r="O965" i="3"/>
  <c r="N965" i="3"/>
  <c r="Q965" i="3" s="1"/>
  <c r="M965" i="3"/>
  <c r="L965" i="3"/>
  <c r="V964" i="3"/>
  <c r="U964" i="3"/>
  <c r="T964" i="3"/>
  <c r="S964" i="3"/>
  <c r="R964" i="3"/>
  <c r="Q964" i="3"/>
  <c r="P964" i="3"/>
  <c r="O964" i="3"/>
  <c r="N964" i="3"/>
  <c r="M964" i="3"/>
  <c r="L964" i="3"/>
  <c r="U963" i="3"/>
  <c r="T963" i="3"/>
  <c r="S963" i="3"/>
  <c r="R963" i="3"/>
  <c r="Q963" i="3"/>
  <c r="P963" i="3"/>
  <c r="O963" i="3"/>
  <c r="N963" i="3"/>
  <c r="M963" i="3"/>
  <c r="L963" i="3"/>
  <c r="U962" i="3"/>
  <c r="V962" i="3" s="1"/>
  <c r="T962" i="3"/>
  <c r="S962" i="3"/>
  <c r="R962" i="3"/>
  <c r="P962" i="3"/>
  <c r="O962" i="3"/>
  <c r="N962" i="3"/>
  <c r="Q962" i="3" s="1"/>
  <c r="M962" i="3"/>
  <c r="L962" i="3"/>
  <c r="U961" i="3"/>
  <c r="V961" i="3" s="1"/>
  <c r="T961" i="3"/>
  <c r="S961" i="3"/>
  <c r="R961" i="3"/>
  <c r="Q961" i="3"/>
  <c r="P961" i="3"/>
  <c r="O961" i="3"/>
  <c r="N961" i="3"/>
  <c r="M961" i="3"/>
  <c r="L961" i="3"/>
  <c r="U960" i="3"/>
  <c r="V960" i="3" s="1"/>
  <c r="T960" i="3"/>
  <c r="S960" i="3"/>
  <c r="R960" i="3"/>
  <c r="P960" i="3"/>
  <c r="O960" i="3"/>
  <c r="N960" i="3"/>
  <c r="Q960" i="3" s="1"/>
  <c r="M960" i="3"/>
  <c r="L960" i="3"/>
  <c r="V959" i="3"/>
  <c r="U959" i="3"/>
  <c r="T959" i="3"/>
  <c r="S959" i="3"/>
  <c r="R959" i="3"/>
  <c r="P959" i="3"/>
  <c r="O959" i="3"/>
  <c r="N959" i="3"/>
  <c r="Q959" i="3" s="1"/>
  <c r="M959" i="3"/>
  <c r="L959" i="3"/>
  <c r="U958" i="3"/>
  <c r="T958" i="3"/>
  <c r="S958" i="3"/>
  <c r="R958" i="3"/>
  <c r="Q958" i="3"/>
  <c r="P958" i="3"/>
  <c r="O958" i="3"/>
  <c r="N958" i="3"/>
  <c r="M958" i="3"/>
  <c r="L958" i="3"/>
  <c r="V958" i="3" s="1"/>
  <c r="V957" i="3"/>
  <c r="U957" i="3"/>
  <c r="T957" i="3"/>
  <c r="S957" i="3"/>
  <c r="R957" i="3"/>
  <c r="P957" i="3"/>
  <c r="O957" i="3"/>
  <c r="N957" i="3"/>
  <c r="Q957" i="3" s="1"/>
  <c r="M957" i="3"/>
  <c r="L957" i="3"/>
  <c r="V956" i="3"/>
  <c r="U956" i="3"/>
  <c r="T956" i="3"/>
  <c r="S956" i="3"/>
  <c r="R956" i="3"/>
  <c r="Q956" i="3"/>
  <c r="P956" i="3"/>
  <c r="O956" i="3"/>
  <c r="N956" i="3"/>
  <c r="M956" i="3"/>
  <c r="L956" i="3"/>
  <c r="U955" i="3"/>
  <c r="T955" i="3"/>
  <c r="S955" i="3"/>
  <c r="R955" i="3"/>
  <c r="Q955" i="3"/>
  <c r="P955" i="3"/>
  <c r="O955" i="3"/>
  <c r="N955" i="3"/>
  <c r="M955" i="3"/>
  <c r="L955" i="3"/>
  <c r="U954" i="3"/>
  <c r="V954" i="3" s="1"/>
  <c r="T954" i="3"/>
  <c r="S954" i="3"/>
  <c r="R954" i="3"/>
  <c r="P954" i="3"/>
  <c r="O954" i="3"/>
  <c r="N954" i="3"/>
  <c r="Q954" i="3" s="1"/>
  <c r="M954" i="3"/>
  <c r="L954" i="3"/>
  <c r="U953" i="3"/>
  <c r="V953" i="3" s="1"/>
  <c r="T953" i="3"/>
  <c r="S953" i="3"/>
  <c r="R953" i="3"/>
  <c r="Q953" i="3"/>
  <c r="P953" i="3"/>
  <c r="O953" i="3"/>
  <c r="N953" i="3"/>
  <c r="M953" i="3"/>
  <c r="L953" i="3"/>
  <c r="U952" i="3"/>
  <c r="V952" i="3" s="1"/>
  <c r="T952" i="3"/>
  <c r="S952" i="3"/>
  <c r="R952" i="3"/>
  <c r="P952" i="3"/>
  <c r="O952" i="3"/>
  <c r="N952" i="3"/>
  <c r="Q952" i="3" s="1"/>
  <c r="M952" i="3"/>
  <c r="L952" i="3"/>
  <c r="V951" i="3"/>
  <c r="U951" i="3"/>
  <c r="T951" i="3"/>
  <c r="S951" i="3"/>
  <c r="R951" i="3"/>
  <c r="P951" i="3"/>
  <c r="O951" i="3"/>
  <c r="N951" i="3"/>
  <c r="Q951" i="3" s="1"/>
  <c r="M951" i="3"/>
  <c r="L951" i="3"/>
  <c r="U950" i="3"/>
  <c r="T950" i="3"/>
  <c r="S950" i="3"/>
  <c r="R950" i="3"/>
  <c r="Q950" i="3"/>
  <c r="P950" i="3"/>
  <c r="O950" i="3"/>
  <c r="N950" i="3"/>
  <c r="M950" i="3"/>
  <c r="L950" i="3"/>
  <c r="V950" i="3" s="1"/>
  <c r="U949" i="3"/>
  <c r="T949" i="3"/>
  <c r="S949" i="3"/>
  <c r="R949" i="3"/>
  <c r="P949" i="3"/>
  <c r="O949" i="3"/>
  <c r="N949" i="3"/>
  <c r="Q949" i="3" s="1"/>
  <c r="M949" i="3"/>
  <c r="L949" i="3"/>
  <c r="V949" i="3" s="1"/>
  <c r="V948" i="3"/>
  <c r="U948" i="3"/>
  <c r="T948" i="3"/>
  <c r="S948" i="3"/>
  <c r="R948" i="3"/>
  <c r="Q948" i="3"/>
  <c r="P948" i="3"/>
  <c r="O948" i="3"/>
  <c r="N948" i="3"/>
  <c r="M948" i="3"/>
  <c r="L948" i="3"/>
  <c r="U947" i="3"/>
  <c r="V947" i="3" s="1"/>
  <c r="T947" i="3"/>
  <c r="S947" i="3"/>
  <c r="R947" i="3"/>
  <c r="Q947" i="3"/>
  <c r="P947" i="3"/>
  <c r="O947" i="3"/>
  <c r="N947" i="3"/>
  <c r="M947" i="3"/>
  <c r="L947" i="3"/>
  <c r="U946" i="3"/>
  <c r="V946" i="3" s="1"/>
  <c r="T946" i="3"/>
  <c r="S946" i="3"/>
  <c r="R946" i="3"/>
  <c r="P946" i="3"/>
  <c r="O946" i="3"/>
  <c r="N946" i="3"/>
  <c r="Q946" i="3" s="1"/>
  <c r="M946" i="3"/>
  <c r="L946" i="3"/>
  <c r="U945" i="3"/>
  <c r="V945" i="3" s="1"/>
  <c r="T945" i="3"/>
  <c r="S945" i="3"/>
  <c r="R945" i="3"/>
  <c r="Q945" i="3"/>
  <c r="P945" i="3"/>
  <c r="O945" i="3"/>
  <c r="N945" i="3"/>
  <c r="M945" i="3"/>
  <c r="L945" i="3"/>
  <c r="V944" i="3"/>
  <c r="U944" i="3"/>
  <c r="T944" i="3"/>
  <c r="S944" i="3"/>
  <c r="R944" i="3"/>
  <c r="P944" i="3"/>
  <c r="O944" i="3"/>
  <c r="N944" i="3"/>
  <c r="Q944" i="3" s="1"/>
  <c r="M944" i="3"/>
  <c r="L944" i="3"/>
  <c r="V943" i="3"/>
  <c r="U943" i="3"/>
  <c r="T943" i="3"/>
  <c r="S943" i="3"/>
  <c r="R943" i="3"/>
  <c r="P943" i="3"/>
  <c r="O943" i="3"/>
  <c r="N943" i="3"/>
  <c r="Q943" i="3" s="1"/>
  <c r="M943" i="3"/>
  <c r="L943" i="3"/>
  <c r="U942" i="3"/>
  <c r="T942" i="3"/>
  <c r="S942" i="3"/>
  <c r="R942" i="3"/>
  <c r="Q942" i="3"/>
  <c r="P942" i="3"/>
  <c r="O942" i="3"/>
  <c r="N942" i="3"/>
  <c r="M942" i="3"/>
  <c r="L942" i="3"/>
  <c r="V942" i="3" s="1"/>
  <c r="U941" i="3"/>
  <c r="V941" i="3" s="1"/>
  <c r="T941" i="3"/>
  <c r="S941" i="3"/>
  <c r="R941" i="3"/>
  <c r="P941" i="3"/>
  <c r="O941" i="3"/>
  <c r="N941" i="3"/>
  <c r="Q941" i="3" s="1"/>
  <c r="M941" i="3"/>
  <c r="L941" i="3"/>
  <c r="V940" i="3"/>
  <c r="U940" i="3"/>
  <c r="T940" i="3"/>
  <c r="S940" i="3"/>
  <c r="R940" i="3"/>
  <c r="Q940" i="3"/>
  <c r="P940" i="3"/>
  <c r="O940" i="3"/>
  <c r="N940" i="3"/>
  <c r="M940" i="3"/>
  <c r="L940" i="3"/>
  <c r="U939" i="3"/>
  <c r="T939" i="3"/>
  <c r="S939" i="3"/>
  <c r="R939" i="3"/>
  <c r="Q939" i="3"/>
  <c r="P939" i="3"/>
  <c r="O939" i="3"/>
  <c r="N939" i="3"/>
  <c r="M939" i="3"/>
  <c r="L939" i="3"/>
  <c r="U938" i="3"/>
  <c r="V938" i="3" s="1"/>
  <c r="T938" i="3"/>
  <c r="S938" i="3"/>
  <c r="R938" i="3"/>
  <c r="P938" i="3"/>
  <c r="O938" i="3"/>
  <c r="N938" i="3"/>
  <c r="Q938" i="3" s="1"/>
  <c r="M938" i="3"/>
  <c r="L938" i="3"/>
  <c r="V937" i="3"/>
  <c r="U937" i="3"/>
  <c r="T937" i="3"/>
  <c r="S937" i="3"/>
  <c r="R937" i="3"/>
  <c r="Q937" i="3"/>
  <c r="P937" i="3"/>
  <c r="O937" i="3"/>
  <c r="N937" i="3"/>
  <c r="M937" i="3"/>
  <c r="L937" i="3"/>
  <c r="V936" i="3"/>
  <c r="U936" i="3"/>
  <c r="T936" i="3"/>
  <c r="S936" i="3"/>
  <c r="R936" i="3"/>
  <c r="P936" i="3"/>
  <c r="O936" i="3"/>
  <c r="N936" i="3"/>
  <c r="Q936" i="3" s="1"/>
  <c r="M936" i="3"/>
  <c r="L936" i="3"/>
  <c r="V935" i="3"/>
  <c r="U935" i="3"/>
  <c r="T935" i="3"/>
  <c r="S935" i="3"/>
  <c r="R935" i="3"/>
  <c r="Q935" i="3"/>
  <c r="P935" i="3"/>
  <c r="O935" i="3"/>
  <c r="N935" i="3"/>
  <c r="M935" i="3"/>
  <c r="L935" i="3"/>
  <c r="U934" i="3"/>
  <c r="T934" i="3"/>
  <c r="S934" i="3"/>
  <c r="R934" i="3"/>
  <c r="Q934" i="3"/>
  <c r="P934" i="3"/>
  <c r="O934" i="3"/>
  <c r="N934" i="3"/>
  <c r="M934" i="3"/>
  <c r="L934" i="3"/>
  <c r="V934" i="3" s="1"/>
  <c r="U933" i="3"/>
  <c r="V933" i="3" s="1"/>
  <c r="T933" i="3"/>
  <c r="S933" i="3"/>
  <c r="R933" i="3"/>
  <c r="P933" i="3"/>
  <c r="O933" i="3"/>
  <c r="N933" i="3"/>
  <c r="Q933" i="3" s="1"/>
  <c r="M933" i="3"/>
  <c r="L933" i="3"/>
  <c r="V932" i="3"/>
  <c r="U932" i="3"/>
  <c r="T932" i="3"/>
  <c r="S932" i="3"/>
  <c r="R932" i="3"/>
  <c r="P932" i="3"/>
  <c r="O932" i="3"/>
  <c r="N932" i="3"/>
  <c r="Q932" i="3" s="1"/>
  <c r="M932" i="3"/>
  <c r="L932" i="3"/>
  <c r="U931" i="3"/>
  <c r="T931" i="3"/>
  <c r="S931" i="3"/>
  <c r="R931" i="3"/>
  <c r="Q931" i="3"/>
  <c r="P931" i="3"/>
  <c r="O931" i="3"/>
  <c r="N931" i="3"/>
  <c r="M931" i="3"/>
  <c r="L931" i="3"/>
  <c r="U930" i="3"/>
  <c r="V930" i="3" s="1"/>
  <c r="T930" i="3"/>
  <c r="S930" i="3"/>
  <c r="R930" i="3"/>
  <c r="P930" i="3"/>
  <c r="O930" i="3"/>
  <c r="N930" i="3"/>
  <c r="Q930" i="3" s="1"/>
  <c r="M930" i="3"/>
  <c r="L930" i="3"/>
  <c r="V929" i="3"/>
  <c r="U929" i="3"/>
  <c r="T929" i="3"/>
  <c r="S929" i="3"/>
  <c r="R929" i="3"/>
  <c r="Q929" i="3"/>
  <c r="P929" i="3"/>
  <c r="O929" i="3"/>
  <c r="N929" i="3"/>
  <c r="M929" i="3"/>
  <c r="L929" i="3"/>
  <c r="U928" i="3"/>
  <c r="V928" i="3" s="1"/>
  <c r="T928" i="3"/>
  <c r="S928" i="3"/>
  <c r="R928" i="3"/>
  <c r="P928" i="3"/>
  <c r="O928" i="3"/>
  <c r="N928" i="3"/>
  <c r="Q928" i="3" s="1"/>
  <c r="M928" i="3"/>
  <c r="L928" i="3"/>
  <c r="V927" i="3"/>
  <c r="U927" i="3"/>
  <c r="T927" i="3"/>
  <c r="S927" i="3"/>
  <c r="R927" i="3"/>
  <c r="P927" i="3"/>
  <c r="O927" i="3"/>
  <c r="N927" i="3"/>
  <c r="Q927" i="3" s="1"/>
  <c r="M927" i="3"/>
  <c r="L927" i="3"/>
  <c r="U926" i="3"/>
  <c r="T926" i="3"/>
  <c r="S926" i="3"/>
  <c r="R926" i="3"/>
  <c r="Q926" i="3"/>
  <c r="P926" i="3"/>
  <c r="O926" i="3"/>
  <c r="N926" i="3"/>
  <c r="M926" i="3"/>
  <c r="L926" i="3"/>
  <c r="V926" i="3" s="1"/>
  <c r="V925" i="3"/>
  <c r="U925" i="3"/>
  <c r="T925" i="3"/>
  <c r="S925" i="3"/>
  <c r="R925" i="3"/>
  <c r="P925" i="3"/>
  <c r="O925" i="3"/>
  <c r="N925" i="3"/>
  <c r="Q925" i="3" s="1"/>
  <c r="M925" i="3"/>
  <c r="L925" i="3"/>
  <c r="U924" i="3"/>
  <c r="V924" i="3" s="1"/>
  <c r="T924" i="3"/>
  <c r="S924" i="3"/>
  <c r="R924" i="3"/>
  <c r="P924" i="3"/>
  <c r="O924" i="3"/>
  <c r="N924" i="3"/>
  <c r="Q924" i="3" s="1"/>
  <c r="M924" i="3"/>
  <c r="L924" i="3"/>
  <c r="U923" i="3"/>
  <c r="T923" i="3"/>
  <c r="S923" i="3"/>
  <c r="R923" i="3"/>
  <c r="Q923" i="3"/>
  <c r="P923" i="3"/>
  <c r="O923" i="3"/>
  <c r="N923" i="3"/>
  <c r="M923" i="3"/>
  <c r="L923" i="3"/>
  <c r="V922" i="3"/>
  <c r="U922" i="3"/>
  <c r="T922" i="3"/>
  <c r="S922" i="3"/>
  <c r="R922" i="3"/>
  <c r="P922" i="3"/>
  <c r="O922" i="3"/>
  <c r="N922" i="3"/>
  <c r="Q922" i="3" s="1"/>
  <c r="M922" i="3"/>
  <c r="L922" i="3"/>
  <c r="V921" i="3"/>
  <c r="U921" i="3"/>
  <c r="T921" i="3"/>
  <c r="S921" i="3"/>
  <c r="R921" i="3"/>
  <c r="Q921" i="3"/>
  <c r="P921" i="3"/>
  <c r="O921" i="3"/>
  <c r="N921" i="3"/>
  <c r="M921" i="3"/>
  <c r="L921" i="3"/>
  <c r="U920" i="3"/>
  <c r="V920" i="3" s="1"/>
  <c r="T920" i="3"/>
  <c r="S920" i="3"/>
  <c r="R920" i="3"/>
  <c r="P920" i="3"/>
  <c r="O920" i="3"/>
  <c r="N920" i="3"/>
  <c r="Q920" i="3" s="1"/>
  <c r="M920" i="3"/>
  <c r="L920" i="3"/>
  <c r="U919" i="3"/>
  <c r="V919" i="3" s="1"/>
  <c r="T919" i="3"/>
  <c r="S919" i="3"/>
  <c r="R919" i="3"/>
  <c r="P919" i="3"/>
  <c r="O919" i="3"/>
  <c r="N919" i="3"/>
  <c r="Q919" i="3" s="1"/>
  <c r="M919" i="3"/>
  <c r="L919" i="3"/>
  <c r="V918" i="3"/>
  <c r="U918" i="3"/>
  <c r="T918" i="3"/>
  <c r="S918" i="3"/>
  <c r="R918" i="3"/>
  <c r="P918" i="3"/>
  <c r="O918" i="3"/>
  <c r="N918" i="3"/>
  <c r="Q918" i="3" s="1"/>
  <c r="M918" i="3"/>
  <c r="L918" i="3"/>
  <c r="U917" i="3"/>
  <c r="V917" i="3" s="1"/>
  <c r="T917" i="3"/>
  <c r="S917" i="3"/>
  <c r="R917" i="3"/>
  <c r="P917" i="3"/>
  <c r="O917" i="3"/>
  <c r="N917" i="3"/>
  <c r="Q917" i="3" s="1"/>
  <c r="M917" i="3"/>
  <c r="L917" i="3"/>
  <c r="U916" i="3"/>
  <c r="T916" i="3"/>
  <c r="S916" i="3"/>
  <c r="R916" i="3"/>
  <c r="Q916" i="3"/>
  <c r="P916" i="3"/>
  <c r="O916" i="3"/>
  <c r="N916" i="3"/>
  <c r="M916" i="3"/>
  <c r="L916" i="3"/>
  <c r="V916" i="3" s="1"/>
  <c r="U915" i="3"/>
  <c r="V915" i="3" s="1"/>
  <c r="T915" i="3"/>
  <c r="S915" i="3"/>
  <c r="R915" i="3"/>
  <c r="Q915" i="3"/>
  <c r="P915" i="3"/>
  <c r="O915" i="3"/>
  <c r="N915" i="3"/>
  <c r="M915" i="3"/>
  <c r="L915" i="3"/>
  <c r="U914" i="3"/>
  <c r="V914" i="3" s="1"/>
  <c r="T914" i="3"/>
  <c r="S914" i="3"/>
  <c r="R914" i="3"/>
  <c r="P914" i="3"/>
  <c r="O914" i="3"/>
  <c r="N914" i="3"/>
  <c r="Q914" i="3" s="1"/>
  <c r="M914" i="3"/>
  <c r="L914" i="3"/>
  <c r="U913" i="3"/>
  <c r="V913" i="3" s="1"/>
  <c r="T913" i="3"/>
  <c r="S913" i="3"/>
  <c r="R913" i="3"/>
  <c r="Q913" i="3"/>
  <c r="P913" i="3"/>
  <c r="O913" i="3"/>
  <c r="N913" i="3"/>
  <c r="M913" i="3"/>
  <c r="L913" i="3"/>
  <c r="U912" i="3"/>
  <c r="V912" i="3" s="1"/>
  <c r="T912" i="3"/>
  <c r="S912" i="3"/>
  <c r="R912" i="3"/>
  <c r="P912" i="3"/>
  <c r="O912" i="3"/>
  <c r="N912" i="3"/>
  <c r="Q912" i="3" s="1"/>
  <c r="M912" i="3"/>
  <c r="L912" i="3"/>
  <c r="U911" i="3"/>
  <c r="V911" i="3" s="1"/>
  <c r="T911" i="3"/>
  <c r="S911" i="3"/>
  <c r="R911" i="3"/>
  <c r="P911" i="3"/>
  <c r="O911" i="3"/>
  <c r="N911" i="3"/>
  <c r="Q911" i="3" s="1"/>
  <c r="M911" i="3"/>
  <c r="L911" i="3"/>
  <c r="U910" i="3"/>
  <c r="T910" i="3"/>
  <c r="S910" i="3"/>
  <c r="R910" i="3"/>
  <c r="Q910" i="3"/>
  <c r="P910" i="3"/>
  <c r="O910" i="3"/>
  <c r="N910" i="3"/>
  <c r="M910" i="3"/>
  <c r="L910" i="3"/>
  <c r="V910" i="3" s="1"/>
  <c r="U909" i="3"/>
  <c r="T909" i="3"/>
  <c r="S909" i="3"/>
  <c r="R909" i="3"/>
  <c r="P909" i="3"/>
  <c r="O909" i="3"/>
  <c r="N909" i="3"/>
  <c r="Q909" i="3" s="1"/>
  <c r="M909" i="3"/>
  <c r="L909" i="3"/>
  <c r="V909" i="3" s="1"/>
  <c r="V908" i="3"/>
  <c r="U908" i="3"/>
  <c r="T908" i="3"/>
  <c r="S908" i="3"/>
  <c r="R908" i="3"/>
  <c r="P908" i="3"/>
  <c r="O908" i="3"/>
  <c r="N908" i="3"/>
  <c r="Q908" i="3" s="1"/>
  <c r="M908" i="3"/>
  <c r="L908" i="3"/>
  <c r="U907" i="3"/>
  <c r="T907" i="3"/>
  <c r="S907" i="3"/>
  <c r="R907" i="3"/>
  <c r="Q907" i="3"/>
  <c r="P907" i="3"/>
  <c r="O907" i="3"/>
  <c r="N907" i="3"/>
  <c r="M907" i="3"/>
  <c r="L907" i="3"/>
  <c r="U906" i="3"/>
  <c r="V906" i="3" s="1"/>
  <c r="T906" i="3"/>
  <c r="S906" i="3"/>
  <c r="R906" i="3"/>
  <c r="P906" i="3"/>
  <c r="O906" i="3"/>
  <c r="N906" i="3"/>
  <c r="Q906" i="3" s="1"/>
  <c r="M906" i="3"/>
  <c r="L906" i="3"/>
  <c r="U905" i="3"/>
  <c r="V905" i="3" s="1"/>
  <c r="T905" i="3"/>
  <c r="S905" i="3"/>
  <c r="R905" i="3"/>
  <c r="P905" i="3"/>
  <c r="O905" i="3"/>
  <c r="N905" i="3"/>
  <c r="Q905" i="3" s="1"/>
  <c r="M905" i="3"/>
  <c r="L905" i="3"/>
  <c r="U904" i="3"/>
  <c r="V904" i="3" s="1"/>
  <c r="T904" i="3"/>
  <c r="S904" i="3"/>
  <c r="R904" i="3"/>
  <c r="Q904" i="3"/>
  <c r="P904" i="3"/>
  <c r="O904" i="3"/>
  <c r="N904" i="3"/>
  <c r="M904" i="3"/>
  <c r="L904" i="3"/>
  <c r="U903" i="3"/>
  <c r="V903" i="3" s="1"/>
  <c r="T903" i="3"/>
  <c r="S903" i="3"/>
  <c r="R903" i="3"/>
  <c r="P903" i="3"/>
  <c r="O903" i="3"/>
  <c r="N903" i="3"/>
  <c r="Q903" i="3" s="1"/>
  <c r="M903" i="3"/>
  <c r="L903" i="3"/>
  <c r="V902" i="3"/>
  <c r="U902" i="3"/>
  <c r="T902" i="3"/>
  <c r="S902" i="3"/>
  <c r="R902" i="3"/>
  <c r="P902" i="3"/>
  <c r="O902" i="3"/>
  <c r="N902" i="3"/>
  <c r="Q902" i="3" s="1"/>
  <c r="M902" i="3"/>
  <c r="L902" i="3"/>
  <c r="U901" i="3"/>
  <c r="V901" i="3" s="1"/>
  <c r="T901" i="3"/>
  <c r="S901" i="3"/>
  <c r="R901" i="3"/>
  <c r="Q901" i="3"/>
  <c r="P901" i="3"/>
  <c r="O901" i="3"/>
  <c r="N901" i="3"/>
  <c r="M901" i="3"/>
  <c r="L901" i="3"/>
  <c r="U900" i="3"/>
  <c r="V900" i="3" s="1"/>
  <c r="T900" i="3"/>
  <c r="S900" i="3"/>
  <c r="R900" i="3"/>
  <c r="P900" i="3"/>
  <c r="O900" i="3"/>
  <c r="N900" i="3"/>
  <c r="Q900" i="3" s="1"/>
  <c r="M900" i="3"/>
  <c r="L900" i="3"/>
  <c r="U899" i="3"/>
  <c r="T899" i="3"/>
  <c r="S899" i="3"/>
  <c r="R899" i="3"/>
  <c r="Q899" i="3"/>
  <c r="P899" i="3"/>
  <c r="O899" i="3"/>
  <c r="N899" i="3"/>
  <c r="M899" i="3"/>
  <c r="L899" i="3"/>
  <c r="U898" i="3"/>
  <c r="V898" i="3" s="1"/>
  <c r="T898" i="3"/>
  <c r="S898" i="3"/>
  <c r="R898" i="3"/>
  <c r="P898" i="3"/>
  <c r="O898" i="3"/>
  <c r="N898" i="3"/>
  <c r="Q898" i="3" s="1"/>
  <c r="M898" i="3"/>
  <c r="L898" i="3"/>
  <c r="U897" i="3"/>
  <c r="V897" i="3" s="1"/>
  <c r="T897" i="3"/>
  <c r="S897" i="3"/>
  <c r="R897" i="3"/>
  <c r="P897" i="3"/>
  <c r="O897" i="3"/>
  <c r="N897" i="3"/>
  <c r="Q897" i="3" s="1"/>
  <c r="M897" i="3"/>
  <c r="L897" i="3"/>
  <c r="V896" i="3"/>
  <c r="U896" i="3"/>
  <c r="T896" i="3"/>
  <c r="S896" i="3"/>
  <c r="R896" i="3"/>
  <c r="P896" i="3"/>
  <c r="O896" i="3"/>
  <c r="N896" i="3"/>
  <c r="Q896" i="3" s="1"/>
  <c r="M896" i="3"/>
  <c r="L896" i="3"/>
  <c r="U895" i="3"/>
  <c r="V895" i="3" s="1"/>
  <c r="T895" i="3"/>
  <c r="S895" i="3"/>
  <c r="R895" i="3"/>
  <c r="Q895" i="3"/>
  <c r="P895" i="3"/>
  <c r="O895" i="3"/>
  <c r="N895" i="3"/>
  <c r="M895" i="3"/>
  <c r="L895" i="3"/>
  <c r="U894" i="3"/>
  <c r="V894" i="3" s="1"/>
  <c r="T894" i="3"/>
  <c r="S894" i="3"/>
  <c r="R894" i="3"/>
  <c r="P894" i="3"/>
  <c r="O894" i="3"/>
  <c r="N894" i="3"/>
  <c r="Q894" i="3" s="1"/>
  <c r="M894" i="3"/>
  <c r="L894" i="3"/>
  <c r="U893" i="3"/>
  <c r="V893" i="3" s="1"/>
  <c r="T893" i="3"/>
  <c r="S893" i="3"/>
  <c r="R893" i="3"/>
  <c r="Q893" i="3"/>
  <c r="P893" i="3"/>
  <c r="O893" i="3"/>
  <c r="N893" i="3"/>
  <c r="M893" i="3"/>
  <c r="L893" i="3"/>
  <c r="V892" i="3"/>
  <c r="U892" i="3"/>
  <c r="T892" i="3"/>
  <c r="S892" i="3"/>
  <c r="R892" i="3"/>
  <c r="P892" i="3"/>
  <c r="O892" i="3"/>
  <c r="N892" i="3"/>
  <c r="Q892" i="3" s="1"/>
  <c r="M892" i="3"/>
  <c r="L892" i="3"/>
  <c r="U891" i="3"/>
  <c r="V891" i="3" s="1"/>
  <c r="T891" i="3"/>
  <c r="S891" i="3"/>
  <c r="R891" i="3"/>
  <c r="P891" i="3"/>
  <c r="O891" i="3"/>
  <c r="N891" i="3"/>
  <c r="Q891" i="3" s="1"/>
  <c r="M891" i="3"/>
  <c r="L891" i="3"/>
  <c r="U890" i="3"/>
  <c r="T890" i="3"/>
  <c r="S890" i="3"/>
  <c r="R890" i="3"/>
  <c r="Q890" i="3"/>
  <c r="P890" i="3"/>
  <c r="O890" i="3"/>
  <c r="N890" i="3"/>
  <c r="M890" i="3"/>
  <c r="L890" i="3"/>
  <c r="V890" i="3" s="1"/>
  <c r="U889" i="3"/>
  <c r="V889" i="3" s="1"/>
  <c r="T889" i="3"/>
  <c r="S889" i="3"/>
  <c r="R889" i="3"/>
  <c r="P889" i="3"/>
  <c r="O889" i="3"/>
  <c r="N889" i="3"/>
  <c r="Q889" i="3" s="1"/>
  <c r="M889" i="3"/>
  <c r="L889" i="3"/>
  <c r="V888" i="3"/>
  <c r="U888" i="3"/>
  <c r="T888" i="3"/>
  <c r="S888" i="3"/>
  <c r="R888" i="3"/>
  <c r="P888" i="3"/>
  <c r="O888" i="3"/>
  <c r="N888" i="3"/>
  <c r="Q888" i="3" s="1"/>
  <c r="M888" i="3"/>
  <c r="L888" i="3"/>
  <c r="U887" i="3"/>
  <c r="V887" i="3" s="1"/>
  <c r="T887" i="3"/>
  <c r="S887" i="3"/>
  <c r="R887" i="3"/>
  <c r="Q887" i="3"/>
  <c r="P887" i="3"/>
  <c r="O887" i="3"/>
  <c r="N887" i="3"/>
  <c r="M887" i="3"/>
  <c r="L887" i="3"/>
  <c r="U886" i="3"/>
  <c r="V886" i="3" s="1"/>
  <c r="T886" i="3"/>
  <c r="S886" i="3"/>
  <c r="R886" i="3"/>
  <c r="P886" i="3"/>
  <c r="O886" i="3"/>
  <c r="N886" i="3"/>
  <c r="Q886" i="3" s="1"/>
  <c r="M886" i="3"/>
  <c r="L886" i="3"/>
  <c r="U885" i="3"/>
  <c r="V885" i="3" s="1"/>
  <c r="T885" i="3"/>
  <c r="S885" i="3"/>
  <c r="R885" i="3"/>
  <c r="Q885" i="3"/>
  <c r="P885" i="3"/>
  <c r="O885" i="3"/>
  <c r="N885" i="3"/>
  <c r="M885" i="3"/>
  <c r="L885" i="3"/>
  <c r="V884" i="3"/>
  <c r="U884" i="3"/>
  <c r="T884" i="3"/>
  <c r="S884" i="3"/>
  <c r="R884" i="3"/>
  <c r="P884" i="3"/>
  <c r="O884" i="3"/>
  <c r="N884" i="3"/>
  <c r="Q884" i="3" s="1"/>
  <c r="M884" i="3"/>
  <c r="L884" i="3"/>
  <c r="U883" i="3"/>
  <c r="V883" i="3" s="1"/>
  <c r="T883" i="3"/>
  <c r="S883" i="3"/>
  <c r="R883" i="3"/>
  <c r="P883" i="3"/>
  <c r="O883" i="3"/>
  <c r="N883" i="3"/>
  <c r="Q883" i="3" s="1"/>
  <c r="M883" i="3"/>
  <c r="L883" i="3"/>
  <c r="U882" i="3"/>
  <c r="T882" i="3"/>
  <c r="S882" i="3"/>
  <c r="R882" i="3"/>
  <c r="Q882" i="3"/>
  <c r="P882" i="3"/>
  <c r="O882" i="3"/>
  <c r="N882" i="3"/>
  <c r="M882" i="3"/>
  <c r="L882" i="3"/>
  <c r="V882" i="3" s="1"/>
  <c r="U881" i="3"/>
  <c r="V881" i="3" s="1"/>
  <c r="T881" i="3"/>
  <c r="S881" i="3"/>
  <c r="R881" i="3"/>
  <c r="P881" i="3"/>
  <c r="O881" i="3"/>
  <c r="N881" i="3"/>
  <c r="Q881" i="3" s="1"/>
  <c r="M881" i="3"/>
  <c r="L881" i="3"/>
  <c r="V880" i="3"/>
  <c r="U880" i="3"/>
  <c r="T880" i="3"/>
  <c r="S880" i="3"/>
  <c r="R880" i="3"/>
  <c r="P880" i="3"/>
  <c r="O880" i="3"/>
  <c r="N880" i="3"/>
  <c r="Q880" i="3" s="1"/>
  <c r="M880" i="3"/>
  <c r="L880" i="3"/>
  <c r="U879" i="3"/>
  <c r="V879" i="3" s="1"/>
  <c r="T879" i="3"/>
  <c r="S879" i="3"/>
  <c r="R879" i="3"/>
  <c r="Q879" i="3"/>
  <c r="P879" i="3"/>
  <c r="O879" i="3"/>
  <c r="N879" i="3"/>
  <c r="M879" i="3"/>
  <c r="L879" i="3"/>
  <c r="U878" i="3"/>
  <c r="V878" i="3" s="1"/>
  <c r="T878" i="3"/>
  <c r="S878" i="3"/>
  <c r="R878" i="3"/>
  <c r="P878" i="3"/>
  <c r="O878" i="3"/>
  <c r="N878" i="3"/>
  <c r="Q878" i="3" s="1"/>
  <c r="M878" i="3"/>
  <c r="L878" i="3"/>
  <c r="V877" i="3"/>
  <c r="U877" i="3"/>
  <c r="T877" i="3"/>
  <c r="S877" i="3"/>
  <c r="R877" i="3"/>
  <c r="Q877" i="3"/>
  <c r="P877" i="3"/>
  <c r="O877" i="3"/>
  <c r="N877" i="3"/>
  <c r="M877" i="3"/>
  <c r="L877" i="3"/>
  <c r="V876" i="3"/>
  <c r="U876" i="3"/>
  <c r="T876" i="3"/>
  <c r="S876" i="3"/>
  <c r="R876" i="3"/>
  <c r="P876" i="3"/>
  <c r="O876" i="3"/>
  <c r="N876" i="3"/>
  <c r="Q876" i="3" s="1"/>
  <c r="M876" i="3"/>
  <c r="L876" i="3"/>
  <c r="U875" i="3"/>
  <c r="V875" i="3" s="1"/>
  <c r="T875" i="3"/>
  <c r="S875" i="3"/>
  <c r="R875" i="3"/>
  <c r="P875" i="3"/>
  <c r="O875" i="3"/>
  <c r="N875" i="3"/>
  <c r="Q875" i="3" s="1"/>
  <c r="M875" i="3"/>
  <c r="L875" i="3"/>
  <c r="U874" i="3"/>
  <c r="T874" i="3"/>
  <c r="S874" i="3"/>
  <c r="R874" i="3"/>
  <c r="Q874" i="3"/>
  <c r="P874" i="3"/>
  <c r="O874" i="3"/>
  <c r="N874" i="3"/>
  <c r="M874" i="3"/>
  <c r="L874" i="3"/>
  <c r="V874" i="3" s="1"/>
  <c r="U873" i="3"/>
  <c r="V873" i="3" s="1"/>
  <c r="T873" i="3"/>
  <c r="S873" i="3"/>
  <c r="R873" i="3"/>
  <c r="P873" i="3"/>
  <c r="O873" i="3"/>
  <c r="N873" i="3"/>
  <c r="Q873" i="3" s="1"/>
  <c r="M873" i="3"/>
  <c r="L873" i="3"/>
  <c r="V872" i="3"/>
  <c r="U872" i="3"/>
  <c r="T872" i="3"/>
  <c r="S872" i="3"/>
  <c r="R872" i="3"/>
  <c r="P872" i="3"/>
  <c r="O872" i="3"/>
  <c r="N872" i="3"/>
  <c r="Q872" i="3" s="1"/>
  <c r="M872" i="3"/>
  <c r="L872" i="3"/>
  <c r="U871" i="3"/>
  <c r="V871" i="3" s="1"/>
  <c r="T871" i="3"/>
  <c r="S871" i="3"/>
  <c r="R871" i="3"/>
  <c r="Q871" i="3"/>
  <c r="P871" i="3"/>
  <c r="O871" i="3"/>
  <c r="N871" i="3"/>
  <c r="M871" i="3"/>
  <c r="L871" i="3"/>
  <c r="U870" i="3"/>
  <c r="V870" i="3" s="1"/>
  <c r="T870" i="3"/>
  <c r="S870" i="3"/>
  <c r="R870" i="3"/>
  <c r="P870" i="3"/>
  <c r="O870" i="3"/>
  <c r="N870" i="3"/>
  <c r="Q870" i="3" s="1"/>
  <c r="M870" i="3"/>
  <c r="L870" i="3"/>
  <c r="V869" i="3"/>
  <c r="U869" i="3"/>
  <c r="T869" i="3"/>
  <c r="S869" i="3"/>
  <c r="R869" i="3"/>
  <c r="Q869" i="3"/>
  <c r="P869" i="3"/>
  <c r="O869" i="3"/>
  <c r="N869" i="3"/>
  <c r="M869" i="3"/>
  <c r="L869" i="3"/>
  <c r="V868" i="3"/>
  <c r="U868" i="3"/>
  <c r="T868" i="3"/>
  <c r="S868" i="3"/>
  <c r="R868" i="3"/>
  <c r="P868" i="3"/>
  <c r="O868" i="3"/>
  <c r="N868" i="3"/>
  <c r="Q868" i="3" s="1"/>
  <c r="M868" i="3"/>
  <c r="L868" i="3"/>
  <c r="U867" i="3"/>
  <c r="V867" i="3" s="1"/>
  <c r="T867" i="3"/>
  <c r="S867" i="3"/>
  <c r="R867" i="3"/>
  <c r="P867" i="3"/>
  <c r="O867" i="3"/>
  <c r="N867" i="3"/>
  <c r="Q867" i="3" s="1"/>
  <c r="M867" i="3"/>
  <c r="L867" i="3"/>
  <c r="U866" i="3"/>
  <c r="T866" i="3"/>
  <c r="S866" i="3"/>
  <c r="R866" i="3"/>
  <c r="Q866" i="3"/>
  <c r="P866" i="3"/>
  <c r="O866" i="3"/>
  <c r="N866" i="3"/>
  <c r="M866" i="3"/>
  <c r="L866" i="3"/>
  <c r="V866" i="3" s="1"/>
  <c r="U865" i="3"/>
  <c r="V865" i="3" s="1"/>
  <c r="T865" i="3"/>
  <c r="S865" i="3"/>
  <c r="R865" i="3"/>
  <c r="P865" i="3"/>
  <c r="O865" i="3"/>
  <c r="N865" i="3"/>
  <c r="Q865" i="3" s="1"/>
  <c r="M865" i="3"/>
  <c r="L865" i="3"/>
  <c r="V864" i="3"/>
  <c r="U864" i="3"/>
  <c r="T864" i="3"/>
  <c r="S864" i="3"/>
  <c r="R864" i="3"/>
  <c r="P864" i="3"/>
  <c r="O864" i="3"/>
  <c r="N864" i="3"/>
  <c r="Q864" i="3" s="1"/>
  <c r="M864" i="3"/>
  <c r="L864" i="3"/>
  <c r="U863" i="3"/>
  <c r="V863" i="3" s="1"/>
  <c r="T863" i="3"/>
  <c r="S863" i="3"/>
  <c r="R863" i="3"/>
  <c r="Q863" i="3"/>
  <c r="P863" i="3"/>
  <c r="O863" i="3"/>
  <c r="N863" i="3"/>
  <c r="M863" i="3"/>
  <c r="L863" i="3"/>
  <c r="U862" i="3"/>
  <c r="V862" i="3" s="1"/>
  <c r="T862" i="3"/>
  <c r="S862" i="3"/>
  <c r="R862" i="3"/>
  <c r="P862" i="3"/>
  <c r="O862" i="3"/>
  <c r="N862" i="3"/>
  <c r="Q862" i="3" s="1"/>
  <c r="M862" i="3"/>
  <c r="L862" i="3"/>
  <c r="V861" i="3"/>
  <c r="U861" i="3"/>
  <c r="T861" i="3"/>
  <c r="S861" i="3"/>
  <c r="R861" i="3"/>
  <c r="Q861" i="3"/>
  <c r="P861" i="3"/>
  <c r="O861" i="3"/>
  <c r="N861" i="3"/>
  <c r="M861" i="3"/>
  <c r="L861" i="3"/>
  <c r="V860" i="3"/>
  <c r="U860" i="3"/>
  <c r="T860" i="3"/>
  <c r="S860" i="3"/>
  <c r="R860" i="3"/>
  <c r="P860" i="3"/>
  <c r="O860" i="3"/>
  <c r="N860" i="3"/>
  <c r="Q860" i="3" s="1"/>
  <c r="M860" i="3"/>
  <c r="L860" i="3"/>
  <c r="U859" i="3"/>
  <c r="V859" i="3" s="1"/>
  <c r="T859" i="3"/>
  <c r="S859" i="3"/>
  <c r="R859" i="3"/>
  <c r="P859" i="3"/>
  <c r="O859" i="3"/>
  <c r="N859" i="3"/>
  <c r="Q859" i="3" s="1"/>
  <c r="M859" i="3"/>
  <c r="L859" i="3"/>
  <c r="U858" i="3"/>
  <c r="T858" i="3"/>
  <c r="S858" i="3"/>
  <c r="R858" i="3"/>
  <c r="Q858" i="3"/>
  <c r="P858" i="3"/>
  <c r="O858" i="3"/>
  <c r="N858" i="3"/>
  <c r="M858" i="3"/>
  <c r="L858" i="3"/>
  <c r="V858" i="3" s="1"/>
  <c r="U857" i="3"/>
  <c r="V857" i="3" s="1"/>
  <c r="T857" i="3"/>
  <c r="S857" i="3"/>
  <c r="R857" i="3"/>
  <c r="P857" i="3"/>
  <c r="O857" i="3"/>
  <c r="N857" i="3"/>
  <c r="Q857" i="3" s="1"/>
  <c r="M857" i="3"/>
  <c r="L857" i="3"/>
  <c r="V856" i="3"/>
  <c r="U856" i="3"/>
  <c r="T856" i="3"/>
  <c r="S856" i="3"/>
  <c r="R856" i="3"/>
  <c r="P856" i="3"/>
  <c r="O856" i="3"/>
  <c r="N856" i="3"/>
  <c r="Q856" i="3" s="1"/>
  <c r="M856" i="3"/>
  <c r="L856" i="3"/>
  <c r="U855" i="3"/>
  <c r="V855" i="3" s="1"/>
  <c r="T855" i="3"/>
  <c r="S855" i="3"/>
  <c r="R855" i="3"/>
  <c r="Q855" i="3"/>
  <c r="P855" i="3"/>
  <c r="O855" i="3"/>
  <c r="N855" i="3"/>
  <c r="M855" i="3"/>
  <c r="L855" i="3"/>
  <c r="U854" i="3"/>
  <c r="V854" i="3" s="1"/>
  <c r="T854" i="3"/>
  <c r="S854" i="3"/>
  <c r="R854" i="3"/>
  <c r="P854" i="3"/>
  <c r="O854" i="3"/>
  <c r="N854" i="3"/>
  <c r="Q854" i="3" s="1"/>
  <c r="M854" i="3"/>
  <c r="L854" i="3"/>
  <c r="V853" i="3"/>
  <c r="U853" i="3"/>
  <c r="T853" i="3"/>
  <c r="S853" i="3"/>
  <c r="R853" i="3"/>
  <c r="Q853" i="3"/>
  <c r="P853" i="3"/>
  <c r="O853" i="3"/>
  <c r="N853" i="3"/>
  <c r="M853" i="3"/>
  <c r="L853" i="3"/>
  <c r="V852" i="3"/>
  <c r="U852" i="3"/>
  <c r="T852" i="3"/>
  <c r="S852" i="3"/>
  <c r="R852" i="3"/>
  <c r="P852" i="3"/>
  <c r="O852" i="3"/>
  <c r="N852" i="3"/>
  <c r="Q852" i="3" s="1"/>
  <c r="M852" i="3"/>
  <c r="L852" i="3"/>
  <c r="U851" i="3"/>
  <c r="V851" i="3" s="1"/>
  <c r="T851" i="3"/>
  <c r="S851" i="3"/>
  <c r="R851" i="3"/>
  <c r="P851" i="3"/>
  <c r="O851" i="3"/>
  <c r="N851" i="3"/>
  <c r="Q851" i="3" s="1"/>
  <c r="M851" i="3"/>
  <c r="L851" i="3"/>
  <c r="U850" i="3"/>
  <c r="T850" i="3"/>
  <c r="S850" i="3"/>
  <c r="R850" i="3"/>
  <c r="Q850" i="3"/>
  <c r="P850" i="3"/>
  <c r="O850" i="3"/>
  <c r="N850" i="3"/>
  <c r="M850" i="3"/>
  <c r="L850" i="3"/>
  <c r="V850" i="3" s="1"/>
  <c r="U849" i="3"/>
  <c r="V849" i="3" s="1"/>
  <c r="T849" i="3"/>
  <c r="S849" i="3"/>
  <c r="R849" i="3"/>
  <c r="P849" i="3"/>
  <c r="O849" i="3"/>
  <c r="N849" i="3"/>
  <c r="Q849" i="3" s="1"/>
  <c r="M849" i="3"/>
  <c r="L849" i="3"/>
  <c r="V848" i="3"/>
  <c r="U848" i="3"/>
  <c r="T848" i="3"/>
  <c r="S848" i="3"/>
  <c r="R848" i="3"/>
  <c r="P848" i="3"/>
  <c r="O848" i="3"/>
  <c r="N848" i="3"/>
  <c r="Q848" i="3" s="1"/>
  <c r="M848" i="3"/>
  <c r="L848" i="3"/>
  <c r="U847" i="3"/>
  <c r="V847" i="3" s="1"/>
  <c r="T847" i="3"/>
  <c r="S847" i="3"/>
  <c r="R847" i="3"/>
  <c r="Q847" i="3"/>
  <c r="P847" i="3"/>
  <c r="O847" i="3"/>
  <c r="N847" i="3"/>
  <c r="M847" i="3"/>
  <c r="L847" i="3"/>
  <c r="U846" i="3"/>
  <c r="V846" i="3" s="1"/>
  <c r="T846" i="3"/>
  <c r="S846" i="3"/>
  <c r="R846" i="3"/>
  <c r="P846" i="3"/>
  <c r="O846" i="3"/>
  <c r="N846" i="3"/>
  <c r="Q846" i="3" s="1"/>
  <c r="M846" i="3"/>
  <c r="L846" i="3"/>
  <c r="V845" i="3"/>
  <c r="U845" i="3"/>
  <c r="T845" i="3"/>
  <c r="S845" i="3"/>
  <c r="R845" i="3"/>
  <c r="Q845" i="3"/>
  <c r="P845" i="3"/>
  <c r="O845" i="3"/>
  <c r="N845" i="3"/>
  <c r="M845" i="3"/>
  <c r="L845" i="3"/>
  <c r="V844" i="3"/>
  <c r="U844" i="3"/>
  <c r="T844" i="3"/>
  <c r="S844" i="3"/>
  <c r="R844" i="3"/>
  <c r="P844" i="3"/>
  <c r="O844" i="3"/>
  <c r="N844" i="3"/>
  <c r="Q844" i="3" s="1"/>
  <c r="M844" i="3"/>
  <c r="L844" i="3"/>
  <c r="U843" i="3"/>
  <c r="V843" i="3" s="1"/>
  <c r="T843" i="3"/>
  <c r="S843" i="3"/>
  <c r="R843" i="3"/>
  <c r="P843" i="3"/>
  <c r="O843" i="3"/>
  <c r="N843" i="3"/>
  <c r="Q843" i="3" s="1"/>
  <c r="M843" i="3"/>
  <c r="L843" i="3"/>
  <c r="U842" i="3"/>
  <c r="T842" i="3"/>
  <c r="S842" i="3"/>
  <c r="R842" i="3"/>
  <c r="Q842" i="3"/>
  <c r="P842" i="3"/>
  <c r="O842" i="3"/>
  <c r="N842" i="3"/>
  <c r="M842" i="3"/>
  <c r="L842" i="3"/>
  <c r="V842" i="3" s="1"/>
  <c r="U841" i="3"/>
  <c r="V841" i="3" s="1"/>
  <c r="T841" i="3"/>
  <c r="S841" i="3"/>
  <c r="R841" i="3"/>
  <c r="P841" i="3"/>
  <c r="O841" i="3"/>
  <c r="N841" i="3"/>
  <c r="Q841" i="3" s="1"/>
  <c r="M841" i="3"/>
  <c r="L841" i="3"/>
  <c r="V840" i="3"/>
  <c r="U840" i="3"/>
  <c r="T840" i="3"/>
  <c r="S840" i="3"/>
  <c r="R840" i="3"/>
  <c r="P840" i="3"/>
  <c r="O840" i="3"/>
  <c r="N840" i="3"/>
  <c r="Q840" i="3" s="1"/>
  <c r="M840" i="3"/>
  <c r="L840" i="3"/>
  <c r="U839" i="3"/>
  <c r="V839" i="3" s="1"/>
  <c r="T839" i="3"/>
  <c r="S839" i="3"/>
  <c r="R839" i="3"/>
  <c r="Q839" i="3"/>
  <c r="P839" i="3"/>
  <c r="O839" i="3"/>
  <c r="N839" i="3"/>
  <c r="M839" i="3"/>
  <c r="L839" i="3"/>
  <c r="U838" i="3"/>
  <c r="V838" i="3" s="1"/>
  <c r="T838" i="3"/>
  <c r="S838" i="3"/>
  <c r="R838" i="3"/>
  <c r="P838" i="3"/>
  <c r="O838" i="3"/>
  <c r="N838" i="3"/>
  <c r="Q838" i="3" s="1"/>
  <c r="M838" i="3"/>
  <c r="L838" i="3"/>
  <c r="V837" i="3"/>
  <c r="U837" i="3"/>
  <c r="T837" i="3"/>
  <c r="S837" i="3"/>
  <c r="R837" i="3"/>
  <c r="Q837" i="3"/>
  <c r="P837" i="3"/>
  <c r="O837" i="3"/>
  <c r="N837" i="3"/>
  <c r="M837" i="3"/>
  <c r="L837" i="3"/>
  <c r="V836" i="3"/>
  <c r="U836" i="3"/>
  <c r="T836" i="3"/>
  <c r="S836" i="3"/>
  <c r="R836" i="3"/>
  <c r="P836" i="3"/>
  <c r="O836" i="3"/>
  <c r="N836" i="3"/>
  <c r="Q836" i="3" s="1"/>
  <c r="M836" i="3"/>
  <c r="L836" i="3"/>
  <c r="U835" i="3"/>
  <c r="V835" i="3" s="1"/>
  <c r="T835" i="3"/>
  <c r="S835" i="3"/>
  <c r="R835" i="3"/>
  <c r="Q835" i="3"/>
  <c r="P835" i="3"/>
  <c r="O835" i="3"/>
  <c r="N835" i="3"/>
  <c r="M835" i="3"/>
  <c r="L835" i="3"/>
  <c r="U834" i="3"/>
  <c r="T834" i="3"/>
  <c r="S834" i="3"/>
  <c r="R834" i="3"/>
  <c r="Q834" i="3"/>
  <c r="P834" i="3"/>
  <c r="O834" i="3"/>
  <c r="N834" i="3"/>
  <c r="M834" i="3"/>
  <c r="L834" i="3"/>
  <c r="V834" i="3" s="1"/>
  <c r="U833" i="3"/>
  <c r="V833" i="3" s="1"/>
  <c r="T833" i="3"/>
  <c r="S833" i="3"/>
  <c r="R833" i="3"/>
  <c r="P833" i="3"/>
  <c r="O833" i="3"/>
  <c r="N833" i="3"/>
  <c r="Q833" i="3" s="1"/>
  <c r="M833" i="3"/>
  <c r="L833" i="3"/>
  <c r="V832" i="3"/>
  <c r="U832" i="3"/>
  <c r="T832" i="3"/>
  <c r="S832" i="3"/>
  <c r="R832" i="3"/>
  <c r="P832" i="3"/>
  <c r="O832" i="3"/>
  <c r="N832" i="3"/>
  <c r="Q832" i="3" s="1"/>
  <c r="M832" i="3"/>
  <c r="L832" i="3"/>
  <c r="U831" i="3"/>
  <c r="V831" i="3" s="1"/>
  <c r="T831" i="3"/>
  <c r="S831" i="3"/>
  <c r="R831" i="3"/>
  <c r="Q831" i="3"/>
  <c r="P831" i="3"/>
  <c r="O831" i="3"/>
  <c r="N831" i="3"/>
  <c r="M831" i="3"/>
  <c r="L831" i="3"/>
  <c r="U830" i="3"/>
  <c r="V830" i="3" s="1"/>
  <c r="T830" i="3"/>
  <c r="S830" i="3"/>
  <c r="R830" i="3"/>
  <c r="P830" i="3"/>
  <c r="O830" i="3"/>
  <c r="N830" i="3"/>
  <c r="Q830" i="3" s="1"/>
  <c r="M830" i="3"/>
  <c r="L830" i="3"/>
  <c r="V829" i="3"/>
  <c r="U829" i="3"/>
  <c r="T829" i="3"/>
  <c r="S829" i="3"/>
  <c r="R829" i="3"/>
  <c r="Q829" i="3"/>
  <c r="P829" i="3"/>
  <c r="O829" i="3"/>
  <c r="N829" i="3"/>
  <c r="M829" i="3"/>
  <c r="L829" i="3"/>
  <c r="V828" i="3"/>
  <c r="U828" i="3"/>
  <c r="T828" i="3"/>
  <c r="S828" i="3"/>
  <c r="R828" i="3"/>
  <c r="P828" i="3"/>
  <c r="O828" i="3"/>
  <c r="N828" i="3"/>
  <c r="Q828" i="3" s="1"/>
  <c r="M828" i="3"/>
  <c r="L828" i="3"/>
  <c r="U827" i="3"/>
  <c r="V827" i="3" s="1"/>
  <c r="T827" i="3"/>
  <c r="S827" i="3"/>
  <c r="R827" i="3"/>
  <c r="Q827" i="3"/>
  <c r="P827" i="3"/>
  <c r="O827" i="3"/>
  <c r="N827" i="3"/>
  <c r="M827" i="3"/>
  <c r="L827" i="3"/>
  <c r="U826" i="3"/>
  <c r="T826" i="3"/>
  <c r="S826" i="3"/>
  <c r="R826" i="3"/>
  <c r="Q826" i="3"/>
  <c r="P826" i="3"/>
  <c r="O826" i="3"/>
  <c r="N826" i="3"/>
  <c r="M826" i="3"/>
  <c r="L826" i="3"/>
  <c r="V826" i="3" s="1"/>
  <c r="U825" i="3"/>
  <c r="V825" i="3" s="1"/>
  <c r="T825" i="3"/>
  <c r="S825" i="3"/>
  <c r="R825" i="3"/>
  <c r="P825" i="3"/>
  <c r="O825" i="3"/>
  <c r="N825" i="3"/>
  <c r="Q825" i="3" s="1"/>
  <c r="M825" i="3"/>
  <c r="L825" i="3"/>
  <c r="V824" i="3"/>
  <c r="U824" i="3"/>
  <c r="T824" i="3"/>
  <c r="S824" i="3"/>
  <c r="R824" i="3"/>
  <c r="P824" i="3"/>
  <c r="O824" i="3"/>
  <c r="N824" i="3"/>
  <c r="Q824" i="3" s="1"/>
  <c r="M824" i="3"/>
  <c r="L824" i="3"/>
  <c r="U823" i="3"/>
  <c r="V823" i="3" s="1"/>
  <c r="T823" i="3"/>
  <c r="S823" i="3"/>
  <c r="R823" i="3"/>
  <c r="Q823" i="3"/>
  <c r="P823" i="3"/>
  <c r="O823" i="3"/>
  <c r="N823" i="3"/>
  <c r="M823" i="3"/>
  <c r="L823" i="3"/>
  <c r="U822" i="3"/>
  <c r="V822" i="3" s="1"/>
  <c r="T822" i="3"/>
  <c r="S822" i="3"/>
  <c r="R822" i="3"/>
  <c r="P822" i="3"/>
  <c r="O822" i="3"/>
  <c r="N822" i="3"/>
  <c r="Q822" i="3" s="1"/>
  <c r="M822" i="3"/>
  <c r="L822" i="3"/>
  <c r="V821" i="3"/>
  <c r="U821" i="3"/>
  <c r="T821" i="3"/>
  <c r="S821" i="3"/>
  <c r="R821" i="3"/>
  <c r="Q821" i="3"/>
  <c r="P821" i="3"/>
  <c r="O821" i="3"/>
  <c r="N821" i="3"/>
  <c r="M821" i="3"/>
  <c r="L821" i="3"/>
  <c r="V820" i="3"/>
  <c r="U820" i="3"/>
  <c r="T820" i="3"/>
  <c r="S820" i="3"/>
  <c r="R820" i="3"/>
  <c r="P820" i="3"/>
  <c r="O820" i="3"/>
  <c r="N820" i="3"/>
  <c r="Q820" i="3" s="1"/>
  <c r="M820" i="3"/>
  <c r="L820" i="3"/>
  <c r="U819" i="3"/>
  <c r="V819" i="3" s="1"/>
  <c r="T819" i="3"/>
  <c r="S819" i="3"/>
  <c r="R819" i="3"/>
  <c r="Q819" i="3"/>
  <c r="P819" i="3"/>
  <c r="O819" i="3"/>
  <c r="N819" i="3"/>
  <c r="M819" i="3"/>
  <c r="L819" i="3"/>
  <c r="U818" i="3"/>
  <c r="T818" i="3"/>
  <c r="S818" i="3"/>
  <c r="R818" i="3"/>
  <c r="Q818" i="3"/>
  <c r="P818" i="3"/>
  <c r="O818" i="3"/>
  <c r="N818" i="3"/>
  <c r="M818" i="3"/>
  <c r="L818" i="3"/>
  <c r="V818" i="3" s="1"/>
  <c r="U817" i="3"/>
  <c r="V817" i="3" s="1"/>
  <c r="T817" i="3"/>
  <c r="S817" i="3"/>
  <c r="R817" i="3"/>
  <c r="P817" i="3"/>
  <c r="O817" i="3"/>
  <c r="N817" i="3"/>
  <c r="Q817" i="3" s="1"/>
  <c r="M817" i="3"/>
  <c r="L817" i="3"/>
  <c r="V816" i="3"/>
  <c r="U816" i="3"/>
  <c r="T816" i="3"/>
  <c r="S816" i="3"/>
  <c r="R816" i="3"/>
  <c r="P816" i="3"/>
  <c r="O816" i="3"/>
  <c r="N816" i="3"/>
  <c r="Q816" i="3" s="1"/>
  <c r="M816" i="3"/>
  <c r="L816" i="3"/>
  <c r="U815" i="3"/>
  <c r="V815" i="3" s="1"/>
  <c r="T815" i="3"/>
  <c r="S815" i="3"/>
  <c r="R815" i="3"/>
  <c r="Q815" i="3"/>
  <c r="P815" i="3"/>
  <c r="O815" i="3"/>
  <c r="N815" i="3"/>
  <c r="M815" i="3"/>
  <c r="L815" i="3"/>
  <c r="U814" i="3"/>
  <c r="V814" i="3" s="1"/>
  <c r="T814" i="3"/>
  <c r="S814" i="3"/>
  <c r="R814" i="3"/>
  <c r="P814" i="3"/>
  <c r="O814" i="3"/>
  <c r="N814" i="3"/>
  <c r="Q814" i="3" s="1"/>
  <c r="M814" i="3"/>
  <c r="L814" i="3"/>
  <c r="V813" i="3"/>
  <c r="U813" i="3"/>
  <c r="T813" i="3"/>
  <c r="S813" i="3"/>
  <c r="R813" i="3"/>
  <c r="Q813" i="3"/>
  <c r="P813" i="3"/>
  <c r="O813" i="3"/>
  <c r="N813" i="3"/>
  <c r="M813" i="3"/>
  <c r="L813" i="3"/>
  <c r="V812" i="3"/>
  <c r="U812" i="3"/>
  <c r="T812" i="3"/>
  <c r="S812" i="3"/>
  <c r="R812" i="3"/>
  <c r="P812" i="3"/>
  <c r="O812" i="3"/>
  <c r="N812" i="3"/>
  <c r="Q812" i="3" s="1"/>
  <c r="M812" i="3"/>
  <c r="L812" i="3"/>
  <c r="U811" i="3"/>
  <c r="V811" i="3" s="1"/>
  <c r="T811" i="3"/>
  <c r="S811" i="3"/>
  <c r="R811" i="3"/>
  <c r="Q811" i="3"/>
  <c r="P811" i="3"/>
  <c r="O811" i="3"/>
  <c r="N811" i="3"/>
  <c r="M811" i="3"/>
  <c r="L811" i="3"/>
  <c r="U810" i="3"/>
  <c r="T810" i="3"/>
  <c r="S810" i="3"/>
  <c r="R810" i="3"/>
  <c r="Q810" i="3"/>
  <c r="P810" i="3"/>
  <c r="O810" i="3"/>
  <c r="N810" i="3"/>
  <c r="M810" i="3"/>
  <c r="L810" i="3"/>
  <c r="V810" i="3" s="1"/>
  <c r="U809" i="3"/>
  <c r="V809" i="3" s="1"/>
  <c r="T809" i="3"/>
  <c r="S809" i="3"/>
  <c r="R809" i="3"/>
  <c r="P809" i="3"/>
  <c r="O809" i="3"/>
  <c r="N809" i="3"/>
  <c r="Q809" i="3" s="1"/>
  <c r="M809" i="3"/>
  <c r="L809" i="3"/>
  <c r="V808" i="3"/>
  <c r="U808" i="3"/>
  <c r="T808" i="3"/>
  <c r="S808" i="3"/>
  <c r="R808" i="3"/>
  <c r="P808" i="3"/>
  <c r="O808" i="3"/>
  <c r="N808" i="3"/>
  <c r="Q808" i="3" s="1"/>
  <c r="M808" i="3"/>
  <c r="L808" i="3"/>
  <c r="U807" i="3"/>
  <c r="V807" i="3" s="1"/>
  <c r="T807" i="3"/>
  <c r="S807" i="3"/>
  <c r="R807" i="3"/>
  <c r="Q807" i="3"/>
  <c r="P807" i="3"/>
  <c r="O807" i="3"/>
  <c r="N807" i="3"/>
  <c r="M807" i="3"/>
  <c r="L807" i="3"/>
  <c r="U806" i="3"/>
  <c r="T806" i="3"/>
  <c r="S806" i="3"/>
  <c r="R806" i="3"/>
  <c r="P806" i="3"/>
  <c r="O806" i="3"/>
  <c r="N806" i="3"/>
  <c r="Q806" i="3" s="1"/>
  <c r="M806" i="3"/>
  <c r="L806" i="3"/>
  <c r="V806" i="3" s="1"/>
  <c r="V805" i="3"/>
  <c r="U805" i="3"/>
  <c r="T805" i="3"/>
  <c r="S805" i="3"/>
  <c r="R805" i="3"/>
  <c r="Q805" i="3"/>
  <c r="P805" i="3"/>
  <c r="O805" i="3"/>
  <c r="N805" i="3"/>
  <c r="M805" i="3"/>
  <c r="L805" i="3"/>
  <c r="V804" i="3"/>
  <c r="U804" i="3"/>
  <c r="T804" i="3"/>
  <c r="S804" i="3"/>
  <c r="R804" i="3"/>
  <c r="P804" i="3"/>
  <c r="O804" i="3"/>
  <c r="N804" i="3"/>
  <c r="Q804" i="3" s="1"/>
  <c r="M804" i="3"/>
  <c r="L804" i="3"/>
  <c r="U803" i="3"/>
  <c r="V803" i="3" s="1"/>
  <c r="T803" i="3"/>
  <c r="S803" i="3"/>
  <c r="R803" i="3"/>
  <c r="Q803" i="3"/>
  <c r="P803" i="3"/>
  <c r="O803" i="3"/>
  <c r="N803" i="3"/>
  <c r="M803" i="3"/>
  <c r="L803" i="3"/>
  <c r="U802" i="3"/>
  <c r="T802" i="3"/>
  <c r="S802" i="3"/>
  <c r="R802" i="3"/>
  <c r="Q802" i="3"/>
  <c r="P802" i="3"/>
  <c r="O802" i="3"/>
  <c r="N802" i="3"/>
  <c r="M802" i="3"/>
  <c r="L802" i="3"/>
  <c r="V802" i="3" s="1"/>
  <c r="U801" i="3"/>
  <c r="V801" i="3" s="1"/>
  <c r="T801" i="3"/>
  <c r="S801" i="3"/>
  <c r="R801" i="3"/>
  <c r="P801" i="3"/>
  <c r="O801" i="3"/>
  <c r="N801" i="3"/>
  <c r="Q801" i="3" s="1"/>
  <c r="M801" i="3"/>
  <c r="L801" i="3"/>
  <c r="V800" i="3"/>
  <c r="U800" i="3"/>
  <c r="T800" i="3"/>
  <c r="S800" i="3"/>
  <c r="R800" i="3"/>
  <c r="P800" i="3"/>
  <c r="O800" i="3"/>
  <c r="N800" i="3"/>
  <c r="Q800" i="3" s="1"/>
  <c r="M800" i="3"/>
  <c r="L800" i="3"/>
  <c r="U799" i="3"/>
  <c r="V799" i="3" s="1"/>
  <c r="T799" i="3"/>
  <c r="S799" i="3"/>
  <c r="R799" i="3"/>
  <c r="Q799" i="3"/>
  <c r="P799" i="3"/>
  <c r="O799" i="3"/>
  <c r="N799" i="3"/>
  <c r="M799" i="3"/>
  <c r="L799" i="3"/>
  <c r="U798" i="3"/>
  <c r="T798" i="3"/>
  <c r="S798" i="3"/>
  <c r="R798" i="3"/>
  <c r="P798" i="3"/>
  <c r="O798" i="3"/>
  <c r="N798" i="3"/>
  <c r="Q798" i="3" s="1"/>
  <c r="M798" i="3"/>
  <c r="L798" i="3"/>
  <c r="V798" i="3" s="1"/>
  <c r="V797" i="3"/>
  <c r="U797" i="3"/>
  <c r="T797" i="3"/>
  <c r="S797" i="3"/>
  <c r="R797" i="3"/>
  <c r="Q797" i="3"/>
  <c r="P797" i="3"/>
  <c r="O797" i="3"/>
  <c r="N797" i="3"/>
  <c r="M797" i="3"/>
  <c r="L797" i="3"/>
  <c r="V796" i="3"/>
  <c r="U796" i="3"/>
  <c r="T796" i="3"/>
  <c r="S796" i="3"/>
  <c r="R796" i="3"/>
  <c r="P796" i="3"/>
  <c r="O796" i="3"/>
  <c r="N796" i="3"/>
  <c r="Q796" i="3" s="1"/>
  <c r="M796" i="3"/>
  <c r="L796" i="3"/>
  <c r="U795" i="3"/>
  <c r="V795" i="3" s="1"/>
  <c r="T795" i="3"/>
  <c r="S795" i="3"/>
  <c r="R795" i="3"/>
  <c r="Q795" i="3"/>
  <c r="P795" i="3"/>
  <c r="O795" i="3"/>
  <c r="N795" i="3"/>
  <c r="M795" i="3"/>
  <c r="L795" i="3"/>
  <c r="U794" i="3"/>
  <c r="T794" i="3"/>
  <c r="S794" i="3"/>
  <c r="R794" i="3"/>
  <c r="Q794" i="3"/>
  <c r="P794" i="3"/>
  <c r="O794" i="3"/>
  <c r="N794" i="3"/>
  <c r="M794" i="3"/>
  <c r="L794" i="3"/>
  <c r="V794" i="3" s="1"/>
  <c r="U793" i="3"/>
  <c r="V793" i="3" s="1"/>
  <c r="T793" i="3"/>
  <c r="S793" i="3"/>
  <c r="R793" i="3"/>
  <c r="P793" i="3"/>
  <c r="O793" i="3"/>
  <c r="N793" i="3"/>
  <c r="Q793" i="3" s="1"/>
  <c r="M793" i="3"/>
  <c r="L793" i="3"/>
  <c r="V792" i="3"/>
  <c r="U792" i="3"/>
  <c r="T792" i="3"/>
  <c r="S792" i="3"/>
  <c r="R792" i="3"/>
  <c r="P792" i="3"/>
  <c r="O792" i="3"/>
  <c r="N792" i="3"/>
  <c r="Q792" i="3" s="1"/>
  <c r="M792" i="3"/>
  <c r="L792" i="3"/>
  <c r="U791" i="3"/>
  <c r="V791" i="3" s="1"/>
  <c r="T791" i="3"/>
  <c r="S791" i="3"/>
  <c r="R791" i="3"/>
  <c r="Q791" i="3"/>
  <c r="P791" i="3"/>
  <c r="O791" i="3"/>
  <c r="N791" i="3"/>
  <c r="M791" i="3"/>
  <c r="L791" i="3"/>
  <c r="U790" i="3"/>
  <c r="T790" i="3"/>
  <c r="S790" i="3"/>
  <c r="R790" i="3"/>
  <c r="P790" i="3"/>
  <c r="O790" i="3"/>
  <c r="N790" i="3"/>
  <c r="Q790" i="3" s="1"/>
  <c r="M790" i="3"/>
  <c r="L790" i="3"/>
  <c r="V790" i="3" s="1"/>
  <c r="V789" i="3"/>
  <c r="U789" i="3"/>
  <c r="T789" i="3"/>
  <c r="S789" i="3"/>
  <c r="R789" i="3"/>
  <c r="Q789" i="3"/>
  <c r="P789" i="3"/>
  <c r="O789" i="3"/>
  <c r="N789" i="3"/>
  <c r="M789" i="3"/>
  <c r="L789" i="3"/>
  <c r="V788" i="3"/>
  <c r="U788" i="3"/>
  <c r="T788" i="3"/>
  <c r="S788" i="3"/>
  <c r="R788" i="3"/>
  <c r="P788" i="3"/>
  <c r="O788" i="3"/>
  <c r="N788" i="3"/>
  <c r="Q788" i="3" s="1"/>
  <c r="M788" i="3"/>
  <c r="L788" i="3"/>
  <c r="U787" i="3"/>
  <c r="V787" i="3" s="1"/>
  <c r="T787" i="3"/>
  <c r="S787" i="3"/>
  <c r="R787" i="3"/>
  <c r="Q787" i="3"/>
  <c r="P787" i="3"/>
  <c r="O787" i="3"/>
  <c r="N787" i="3"/>
  <c r="M787" i="3"/>
  <c r="L787" i="3"/>
  <c r="U786" i="3"/>
  <c r="T786" i="3"/>
  <c r="S786" i="3"/>
  <c r="R786" i="3"/>
  <c r="P786" i="3"/>
  <c r="O786" i="3"/>
  <c r="N786" i="3"/>
  <c r="Q786" i="3" s="1"/>
  <c r="M786" i="3"/>
  <c r="L786" i="3"/>
  <c r="V786" i="3" s="1"/>
  <c r="U785" i="3"/>
  <c r="V785" i="3" s="1"/>
  <c r="T785" i="3"/>
  <c r="S785" i="3"/>
  <c r="R785" i="3"/>
  <c r="P785" i="3"/>
  <c r="O785" i="3"/>
  <c r="N785" i="3"/>
  <c r="Q785" i="3" s="1"/>
  <c r="M785" i="3"/>
  <c r="L785" i="3"/>
  <c r="V784" i="3"/>
  <c r="U784" i="3"/>
  <c r="T784" i="3"/>
  <c r="S784" i="3"/>
  <c r="R784" i="3"/>
  <c r="P784" i="3"/>
  <c r="O784" i="3"/>
  <c r="N784" i="3"/>
  <c r="Q784" i="3" s="1"/>
  <c r="M784" i="3"/>
  <c r="L784" i="3"/>
  <c r="U783" i="3"/>
  <c r="V783" i="3" s="1"/>
  <c r="T783" i="3"/>
  <c r="S783" i="3"/>
  <c r="R783" i="3"/>
  <c r="Q783" i="3"/>
  <c r="P783" i="3"/>
  <c r="O783" i="3"/>
  <c r="N783" i="3"/>
  <c r="M783" i="3"/>
  <c r="L783" i="3"/>
  <c r="U782" i="3"/>
  <c r="T782" i="3"/>
  <c r="S782" i="3"/>
  <c r="R782" i="3"/>
  <c r="P782" i="3"/>
  <c r="O782" i="3"/>
  <c r="N782" i="3"/>
  <c r="Q782" i="3" s="1"/>
  <c r="M782" i="3"/>
  <c r="L782" i="3"/>
  <c r="V782" i="3" s="1"/>
  <c r="V781" i="3"/>
  <c r="U781" i="3"/>
  <c r="T781" i="3"/>
  <c r="S781" i="3"/>
  <c r="R781" i="3"/>
  <c r="Q781" i="3"/>
  <c r="P781" i="3"/>
  <c r="O781" i="3"/>
  <c r="N781" i="3"/>
  <c r="M781" i="3"/>
  <c r="L781" i="3"/>
  <c r="V780" i="3"/>
  <c r="U780" i="3"/>
  <c r="T780" i="3"/>
  <c r="S780" i="3"/>
  <c r="R780" i="3"/>
  <c r="P780" i="3"/>
  <c r="O780" i="3"/>
  <c r="N780" i="3"/>
  <c r="Q780" i="3" s="1"/>
  <c r="M780" i="3"/>
  <c r="L780" i="3"/>
  <c r="U779" i="3"/>
  <c r="V779" i="3" s="1"/>
  <c r="T779" i="3"/>
  <c r="S779" i="3"/>
  <c r="R779" i="3"/>
  <c r="Q779" i="3"/>
  <c r="P779" i="3"/>
  <c r="O779" i="3"/>
  <c r="N779" i="3"/>
  <c r="M779" i="3"/>
  <c r="L779" i="3"/>
  <c r="U778" i="3"/>
  <c r="T778" i="3"/>
  <c r="S778" i="3"/>
  <c r="R778" i="3"/>
  <c r="P778" i="3"/>
  <c r="O778" i="3"/>
  <c r="N778" i="3"/>
  <c r="Q778" i="3" s="1"/>
  <c r="M778" i="3"/>
  <c r="L778" i="3"/>
  <c r="V778" i="3" s="1"/>
  <c r="U777" i="3"/>
  <c r="V777" i="3" s="1"/>
  <c r="T777" i="3"/>
  <c r="S777" i="3"/>
  <c r="R777" i="3"/>
  <c r="P777" i="3"/>
  <c r="O777" i="3"/>
  <c r="N777" i="3"/>
  <c r="Q777" i="3" s="1"/>
  <c r="M777" i="3"/>
  <c r="L777" i="3"/>
  <c r="V776" i="3"/>
  <c r="U776" i="3"/>
  <c r="T776" i="3"/>
  <c r="S776" i="3"/>
  <c r="R776" i="3"/>
  <c r="P776" i="3"/>
  <c r="O776" i="3"/>
  <c r="N776" i="3"/>
  <c r="Q776" i="3" s="1"/>
  <c r="M776" i="3"/>
  <c r="L776" i="3"/>
  <c r="U775" i="3"/>
  <c r="V775" i="3" s="1"/>
  <c r="T775" i="3"/>
  <c r="S775" i="3"/>
  <c r="R775" i="3"/>
  <c r="Q775" i="3"/>
  <c r="P775" i="3"/>
  <c r="O775" i="3"/>
  <c r="N775" i="3"/>
  <c r="M775" i="3"/>
  <c r="L775" i="3"/>
  <c r="U774" i="3"/>
  <c r="T774" i="3"/>
  <c r="S774" i="3"/>
  <c r="R774" i="3"/>
  <c r="P774" i="3"/>
  <c r="O774" i="3"/>
  <c r="N774" i="3"/>
  <c r="Q774" i="3" s="1"/>
  <c r="M774" i="3"/>
  <c r="L774" i="3"/>
  <c r="V774" i="3" s="1"/>
  <c r="V773" i="3"/>
  <c r="U773" i="3"/>
  <c r="T773" i="3"/>
  <c r="S773" i="3"/>
  <c r="R773" i="3"/>
  <c r="Q773" i="3"/>
  <c r="P773" i="3"/>
  <c r="O773" i="3"/>
  <c r="N773" i="3"/>
  <c r="M773" i="3"/>
  <c r="L773" i="3"/>
  <c r="V772" i="3"/>
  <c r="U772" i="3"/>
  <c r="T772" i="3"/>
  <c r="S772" i="3"/>
  <c r="R772" i="3"/>
  <c r="P772" i="3"/>
  <c r="O772" i="3"/>
  <c r="N772" i="3"/>
  <c r="Q772" i="3" s="1"/>
  <c r="M772" i="3"/>
  <c r="L772" i="3"/>
  <c r="U771" i="3"/>
  <c r="V771" i="3" s="1"/>
  <c r="T771" i="3"/>
  <c r="S771" i="3"/>
  <c r="R771" i="3"/>
  <c r="Q771" i="3"/>
  <c r="P771" i="3"/>
  <c r="O771" i="3"/>
  <c r="N771" i="3"/>
  <c r="M771" i="3"/>
  <c r="L771" i="3"/>
  <c r="U770" i="3"/>
  <c r="T770" i="3"/>
  <c r="S770" i="3"/>
  <c r="R770" i="3"/>
  <c r="P770" i="3"/>
  <c r="O770" i="3"/>
  <c r="N770" i="3"/>
  <c r="Q770" i="3" s="1"/>
  <c r="M770" i="3"/>
  <c r="L770" i="3"/>
  <c r="V770" i="3" s="1"/>
  <c r="U769" i="3"/>
  <c r="V769" i="3" s="1"/>
  <c r="T769" i="3"/>
  <c r="S769" i="3"/>
  <c r="R769" i="3"/>
  <c r="P769" i="3"/>
  <c r="O769" i="3"/>
  <c r="N769" i="3"/>
  <c r="Q769" i="3" s="1"/>
  <c r="M769" i="3"/>
  <c r="L769" i="3"/>
  <c r="V768" i="3"/>
  <c r="U768" i="3"/>
  <c r="T768" i="3"/>
  <c r="S768" i="3"/>
  <c r="R768" i="3"/>
  <c r="P768" i="3"/>
  <c r="O768" i="3"/>
  <c r="N768" i="3"/>
  <c r="Q768" i="3" s="1"/>
  <c r="M768" i="3"/>
  <c r="L768" i="3"/>
  <c r="U767" i="3"/>
  <c r="V767" i="3" s="1"/>
  <c r="T767" i="3"/>
  <c r="S767" i="3"/>
  <c r="R767" i="3"/>
  <c r="Q767" i="3"/>
  <c r="P767" i="3"/>
  <c r="O767" i="3"/>
  <c r="N767" i="3"/>
  <c r="M767" i="3"/>
  <c r="L767" i="3"/>
  <c r="U766" i="3"/>
  <c r="T766" i="3"/>
  <c r="S766" i="3"/>
  <c r="R766" i="3"/>
  <c r="P766" i="3"/>
  <c r="O766" i="3"/>
  <c r="N766" i="3"/>
  <c r="Q766" i="3" s="1"/>
  <c r="M766" i="3"/>
  <c r="L766" i="3"/>
  <c r="V766" i="3" s="1"/>
  <c r="V765" i="3"/>
  <c r="U765" i="3"/>
  <c r="T765" i="3"/>
  <c r="S765" i="3"/>
  <c r="R765" i="3"/>
  <c r="Q765" i="3"/>
  <c r="P765" i="3"/>
  <c r="O765" i="3"/>
  <c r="N765" i="3"/>
  <c r="M765" i="3"/>
  <c r="L765" i="3"/>
  <c r="V764" i="3"/>
  <c r="U764" i="3"/>
  <c r="T764" i="3"/>
  <c r="S764" i="3"/>
  <c r="R764" i="3"/>
  <c r="P764" i="3"/>
  <c r="O764" i="3"/>
  <c r="N764" i="3"/>
  <c r="Q764" i="3" s="1"/>
  <c r="M764" i="3"/>
  <c r="L764" i="3"/>
  <c r="U763" i="3"/>
  <c r="V763" i="3" s="1"/>
  <c r="T763" i="3"/>
  <c r="S763" i="3"/>
  <c r="R763" i="3"/>
  <c r="Q763" i="3"/>
  <c r="P763" i="3"/>
  <c r="O763" i="3"/>
  <c r="N763" i="3"/>
  <c r="M763" i="3"/>
  <c r="L763" i="3"/>
  <c r="U762" i="3"/>
  <c r="T762" i="3"/>
  <c r="S762" i="3"/>
  <c r="R762" i="3"/>
  <c r="P762" i="3"/>
  <c r="O762" i="3"/>
  <c r="N762" i="3"/>
  <c r="Q762" i="3" s="1"/>
  <c r="M762" i="3"/>
  <c r="L762" i="3"/>
  <c r="V762" i="3" s="1"/>
  <c r="U761" i="3"/>
  <c r="V761" i="3" s="1"/>
  <c r="T761" i="3"/>
  <c r="S761" i="3"/>
  <c r="R761" i="3"/>
  <c r="P761" i="3"/>
  <c r="O761" i="3"/>
  <c r="N761" i="3"/>
  <c r="Q761" i="3" s="1"/>
  <c r="M761" i="3"/>
  <c r="L761" i="3"/>
  <c r="V760" i="3"/>
  <c r="U760" i="3"/>
  <c r="T760" i="3"/>
  <c r="S760" i="3"/>
  <c r="R760" i="3"/>
  <c r="P760" i="3"/>
  <c r="O760" i="3"/>
  <c r="N760" i="3"/>
  <c r="Q760" i="3" s="1"/>
  <c r="M760" i="3"/>
  <c r="L760" i="3"/>
  <c r="U759" i="3"/>
  <c r="V759" i="3" s="1"/>
  <c r="T759" i="3"/>
  <c r="S759" i="3"/>
  <c r="R759" i="3"/>
  <c r="Q759" i="3"/>
  <c r="P759" i="3"/>
  <c r="O759" i="3"/>
  <c r="N759" i="3"/>
  <c r="M759" i="3"/>
  <c r="L759" i="3"/>
  <c r="U758" i="3"/>
  <c r="T758" i="3"/>
  <c r="S758" i="3"/>
  <c r="R758" i="3"/>
  <c r="P758" i="3"/>
  <c r="O758" i="3"/>
  <c r="N758" i="3"/>
  <c r="Q758" i="3" s="1"/>
  <c r="M758" i="3"/>
  <c r="L758" i="3"/>
  <c r="V758" i="3" s="1"/>
  <c r="V757" i="3"/>
  <c r="U757" i="3"/>
  <c r="T757" i="3"/>
  <c r="S757" i="3"/>
  <c r="R757" i="3"/>
  <c r="Q757" i="3"/>
  <c r="P757" i="3"/>
  <c r="O757" i="3"/>
  <c r="N757" i="3"/>
  <c r="M757" i="3"/>
  <c r="L757" i="3"/>
  <c r="V756" i="3"/>
  <c r="U756" i="3"/>
  <c r="T756" i="3"/>
  <c r="S756" i="3"/>
  <c r="R756" i="3"/>
  <c r="P756" i="3"/>
  <c r="O756" i="3"/>
  <c r="N756" i="3"/>
  <c r="Q756" i="3" s="1"/>
  <c r="M756" i="3"/>
  <c r="L756" i="3"/>
  <c r="U755" i="3"/>
  <c r="V755" i="3" s="1"/>
  <c r="T755" i="3"/>
  <c r="S755" i="3"/>
  <c r="R755" i="3"/>
  <c r="Q755" i="3"/>
  <c r="P755" i="3"/>
  <c r="O755" i="3"/>
  <c r="N755" i="3"/>
  <c r="M755" i="3"/>
  <c r="L755" i="3"/>
  <c r="U754" i="3"/>
  <c r="T754" i="3"/>
  <c r="S754" i="3"/>
  <c r="R754" i="3"/>
  <c r="P754" i="3"/>
  <c r="O754" i="3"/>
  <c r="N754" i="3"/>
  <c r="Q754" i="3" s="1"/>
  <c r="M754" i="3"/>
  <c r="L754" i="3"/>
  <c r="V754" i="3" s="1"/>
  <c r="U753" i="3"/>
  <c r="V753" i="3" s="1"/>
  <c r="T753" i="3"/>
  <c r="S753" i="3"/>
  <c r="R753" i="3"/>
  <c r="P753" i="3"/>
  <c r="O753" i="3"/>
  <c r="N753" i="3"/>
  <c r="Q753" i="3" s="1"/>
  <c r="M753" i="3"/>
  <c r="L753" i="3"/>
  <c r="V752" i="3"/>
  <c r="U752" i="3"/>
  <c r="T752" i="3"/>
  <c r="S752" i="3"/>
  <c r="R752" i="3"/>
  <c r="P752" i="3"/>
  <c r="O752" i="3"/>
  <c r="N752" i="3"/>
  <c r="Q752" i="3" s="1"/>
  <c r="M752" i="3"/>
  <c r="L752" i="3"/>
  <c r="U751" i="3"/>
  <c r="V751" i="3" s="1"/>
  <c r="T751" i="3"/>
  <c r="S751" i="3"/>
  <c r="R751" i="3"/>
  <c r="Q751" i="3"/>
  <c r="P751" i="3"/>
  <c r="O751" i="3"/>
  <c r="N751" i="3"/>
  <c r="M751" i="3"/>
  <c r="L751" i="3"/>
  <c r="U750" i="3"/>
  <c r="T750" i="3"/>
  <c r="S750" i="3"/>
  <c r="R750" i="3"/>
  <c r="P750" i="3"/>
  <c r="O750" i="3"/>
  <c r="N750" i="3"/>
  <c r="Q750" i="3" s="1"/>
  <c r="M750" i="3"/>
  <c r="L750" i="3"/>
  <c r="V750" i="3" s="1"/>
  <c r="V749" i="3"/>
  <c r="U749" i="3"/>
  <c r="T749" i="3"/>
  <c r="S749" i="3"/>
  <c r="R749" i="3"/>
  <c r="Q749" i="3"/>
  <c r="P749" i="3"/>
  <c r="O749" i="3"/>
  <c r="N749" i="3"/>
  <c r="M749" i="3"/>
  <c r="L749" i="3"/>
  <c r="V748" i="3"/>
  <c r="U748" i="3"/>
  <c r="T748" i="3"/>
  <c r="S748" i="3"/>
  <c r="R748" i="3"/>
  <c r="P748" i="3"/>
  <c r="O748" i="3"/>
  <c r="N748" i="3"/>
  <c r="Q748" i="3" s="1"/>
  <c r="M748" i="3"/>
  <c r="L748" i="3"/>
  <c r="U747" i="3"/>
  <c r="V747" i="3" s="1"/>
  <c r="T747" i="3"/>
  <c r="S747" i="3"/>
  <c r="R747" i="3"/>
  <c r="Q747" i="3"/>
  <c r="P747" i="3"/>
  <c r="O747" i="3"/>
  <c r="N747" i="3"/>
  <c r="M747" i="3"/>
  <c r="L747" i="3"/>
  <c r="U746" i="3"/>
  <c r="T746" i="3"/>
  <c r="S746" i="3"/>
  <c r="R746" i="3"/>
  <c r="P746" i="3"/>
  <c r="O746" i="3"/>
  <c r="N746" i="3"/>
  <c r="Q746" i="3" s="1"/>
  <c r="M746" i="3"/>
  <c r="L746" i="3"/>
  <c r="V746" i="3" s="1"/>
  <c r="U745" i="3"/>
  <c r="V745" i="3" s="1"/>
  <c r="T745" i="3"/>
  <c r="S745" i="3"/>
  <c r="R745" i="3"/>
  <c r="P745" i="3"/>
  <c r="O745" i="3"/>
  <c r="N745" i="3"/>
  <c r="Q745" i="3" s="1"/>
  <c r="M745" i="3"/>
  <c r="L745" i="3"/>
  <c r="V744" i="3"/>
  <c r="U744" i="3"/>
  <c r="T744" i="3"/>
  <c r="S744" i="3"/>
  <c r="R744" i="3"/>
  <c r="P744" i="3"/>
  <c r="O744" i="3"/>
  <c r="N744" i="3"/>
  <c r="Q744" i="3" s="1"/>
  <c r="M744" i="3"/>
  <c r="L744" i="3"/>
  <c r="U743" i="3"/>
  <c r="V743" i="3" s="1"/>
  <c r="T743" i="3"/>
  <c r="S743" i="3"/>
  <c r="R743" i="3"/>
  <c r="Q743" i="3"/>
  <c r="P743" i="3"/>
  <c r="O743" i="3"/>
  <c r="N743" i="3"/>
  <c r="M743" i="3"/>
  <c r="L743" i="3"/>
  <c r="U742" i="3"/>
  <c r="T742" i="3"/>
  <c r="S742" i="3"/>
  <c r="R742" i="3"/>
  <c r="P742" i="3"/>
  <c r="O742" i="3"/>
  <c r="N742" i="3"/>
  <c r="Q742" i="3" s="1"/>
  <c r="M742" i="3"/>
  <c r="L742" i="3"/>
  <c r="V742" i="3" s="1"/>
  <c r="V741" i="3"/>
  <c r="U741" i="3"/>
  <c r="T741" i="3"/>
  <c r="S741" i="3"/>
  <c r="R741" i="3"/>
  <c r="Q741" i="3"/>
  <c r="P741" i="3"/>
  <c r="O741" i="3"/>
  <c r="N741" i="3"/>
  <c r="M741" i="3"/>
  <c r="L741" i="3"/>
  <c r="V740" i="3"/>
  <c r="U740" i="3"/>
  <c r="T740" i="3"/>
  <c r="S740" i="3"/>
  <c r="R740" i="3"/>
  <c r="P740" i="3"/>
  <c r="O740" i="3"/>
  <c r="N740" i="3"/>
  <c r="Q740" i="3" s="1"/>
  <c r="M740" i="3"/>
  <c r="L740" i="3"/>
  <c r="U739" i="3"/>
  <c r="V739" i="3" s="1"/>
  <c r="T739" i="3"/>
  <c r="S739" i="3"/>
  <c r="R739" i="3"/>
  <c r="Q739" i="3"/>
  <c r="P739" i="3"/>
  <c r="O739" i="3"/>
  <c r="N739" i="3"/>
  <c r="M739" i="3"/>
  <c r="L739" i="3"/>
  <c r="U738" i="3"/>
  <c r="T738" i="3"/>
  <c r="S738" i="3"/>
  <c r="R738" i="3"/>
  <c r="P738" i="3"/>
  <c r="O738" i="3"/>
  <c r="N738" i="3"/>
  <c r="Q738" i="3" s="1"/>
  <c r="M738" i="3"/>
  <c r="L738" i="3"/>
  <c r="V738" i="3" s="1"/>
  <c r="U737" i="3"/>
  <c r="V737" i="3" s="1"/>
  <c r="T737" i="3"/>
  <c r="S737" i="3"/>
  <c r="R737" i="3"/>
  <c r="P737" i="3"/>
  <c r="O737" i="3"/>
  <c r="N737" i="3"/>
  <c r="Q737" i="3" s="1"/>
  <c r="M737" i="3"/>
  <c r="L737" i="3"/>
  <c r="V736" i="3"/>
  <c r="U736" i="3"/>
  <c r="T736" i="3"/>
  <c r="S736" i="3"/>
  <c r="R736" i="3"/>
  <c r="P736" i="3"/>
  <c r="O736" i="3"/>
  <c r="N736" i="3"/>
  <c r="Q736" i="3" s="1"/>
  <c r="M736" i="3"/>
  <c r="L736" i="3"/>
  <c r="U735" i="3"/>
  <c r="V735" i="3" s="1"/>
  <c r="T735" i="3"/>
  <c r="S735" i="3"/>
  <c r="R735" i="3"/>
  <c r="Q735" i="3"/>
  <c r="P735" i="3"/>
  <c r="O735" i="3"/>
  <c r="N735" i="3"/>
  <c r="M735" i="3"/>
  <c r="L735" i="3"/>
  <c r="U734" i="3"/>
  <c r="T734" i="3"/>
  <c r="S734" i="3"/>
  <c r="R734" i="3"/>
  <c r="P734" i="3"/>
  <c r="O734" i="3"/>
  <c r="N734" i="3"/>
  <c r="Q734" i="3" s="1"/>
  <c r="M734" i="3"/>
  <c r="L734" i="3"/>
  <c r="V734" i="3" s="1"/>
  <c r="V733" i="3"/>
  <c r="U733" i="3"/>
  <c r="T733" i="3"/>
  <c r="S733" i="3"/>
  <c r="R733" i="3"/>
  <c r="Q733" i="3"/>
  <c r="P733" i="3"/>
  <c r="O733" i="3"/>
  <c r="N733" i="3"/>
  <c r="M733" i="3"/>
  <c r="L733" i="3"/>
  <c r="V732" i="3"/>
  <c r="U732" i="3"/>
  <c r="T732" i="3"/>
  <c r="S732" i="3"/>
  <c r="R732" i="3"/>
  <c r="P732" i="3"/>
  <c r="O732" i="3"/>
  <c r="N732" i="3"/>
  <c r="Q732" i="3" s="1"/>
  <c r="M732" i="3"/>
  <c r="L732" i="3"/>
  <c r="U731" i="3"/>
  <c r="V731" i="3" s="1"/>
  <c r="T731" i="3"/>
  <c r="S731" i="3"/>
  <c r="R731" i="3"/>
  <c r="Q731" i="3"/>
  <c r="P731" i="3"/>
  <c r="O731" i="3"/>
  <c r="N731" i="3"/>
  <c r="M731" i="3"/>
  <c r="L731" i="3"/>
  <c r="U730" i="3"/>
  <c r="T730" i="3"/>
  <c r="S730" i="3"/>
  <c r="R730" i="3"/>
  <c r="P730" i="3"/>
  <c r="O730" i="3"/>
  <c r="N730" i="3"/>
  <c r="Q730" i="3" s="1"/>
  <c r="M730" i="3"/>
  <c r="L730" i="3"/>
  <c r="V730" i="3" s="1"/>
  <c r="U729" i="3"/>
  <c r="V729" i="3" s="1"/>
  <c r="T729" i="3"/>
  <c r="S729" i="3"/>
  <c r="R729" i="3"/>
  <c r="P729" i="3"/>
  <c r="O729" i="3"/>
  <c r="N729" i="3"/>
  <c r="Q729" i="3" s="1"/>
  <c r="M729" i="3"/>
  <c r="L729" i="3"/>
  <c r="V728" i="3"/>
  <c r="U728" i="3"/>
  <c r="T728" i="3"/>
  <c r="S728" i="3"/>
  <c r="R728" i="3"/>
  <c r="P728" i="3"/>
  <c r="O728" i="3"/>
  <c r="N728" i="3"/>
  <c r="Q728" i="3" s="1"/>
  <c r="M728" i="3"/>
  <c r="L728" i="3"/>
  <c r="U727" i="3"/>
  <c r="V727" i="3" s="1"/>
  <c r="T727" i="3"/>
  <c r="S727" i="3"/>
  <c r="R727" i="3"/>
  <c r="Q727" i="3"/>
  <c r="P727" i="3"/>
  <c r="O727" i="3"/>
  <c r="N727" i="3"/>
  <c r="M727" i="3"/>
  <c r="L727" i="3"/>
  <c r="U726" i="3"/>
  <c r="T726" i="3"/>
  <c r="S726" i="3"/>
  <c r="R726" i="3"/>
  <c r="P726" i="3"/>
  <c r="O726" i="3"/>
  <c r="N726" i="3"/>
  <c r="Q726" i="3" s="1"/>
  <c r="M726" i="3"/>
  <c r="L726" i="3"/>
  <c r="V726" i="3" s="1"/>
  <c r="V725" i="3"/>
  <c r="U725" i="3"/>
  <c r="T725" i="3"/>
  <c r="S725" i="3"/>
  <c r="R725" i="3"/>
  <c r="Q725" i="3"/>
  <c r="P725" i="3"/>
  <c r="O725" i="3"/>
  <c r="N725" i="3"/>
  <c r="M725" i="3"/>
  <c r="L725" i="3"/>
  <c r="V724" i="3"/>
  <c r="U724" i="3"/>
  <c r="T724" i="3"/>
  <c r="S724" i="3"/>
  <c r="R724" i="3"/>
  <c r="P724" i="3"/>
  <c r="O724" i="3"/>
  <c r="N724" i="3"/>
  <c r="Q724" i="3" s="1"/>
  <c r="M724" i="3"/>
  <c r="L724" i="3"/>
  <c r="U723" i="3"/>
  <c r="V723" i="3" s="1"/>
  <c r="T723" i="3"/>
  <c r="S723" i="3"/>
  <c r="R723" i="3"/>
  <c r="Q723" i="3"/>
  <c r="P723" i="3"/>
  <c r="O723" i="3"/>
  <c r="N723" i="3"/>
  <c r="M723" i="3"/>
  <c r="L723" i="3"/>
  <c r="U722" i="3"/>
  <c r="T722" i="3"/>
  <c r="S722" i="3"/>
  <c r="R722" i="3"/>
  <c r="P722" i="3"/>
  <c r="O722" i="3"/>
  <c r="N722" i="3"/>
  <c r="Q722" i="3" s="1"/>
  <c r="M722" i="3"/>
  <c r="L722" i="3"/>
  <c r="V722" i="3" s="1"/>
  <c r="U721" i="3"/>
  <c r="V721" i="3" s="1"/>
  <c r="T721" i="3"/>
  <c r="S721" i="3"/>
  <c r="R721" i="3"/>
  <c r="P721" i="3"/>
  <c r="O721" i="3"/>
  <c r="N721" i="3"/>
  <c r="Q721" i="3" s="1"/>
  <c r="M721" i="3"/>
  <c r="L721" i="3"/>
  <c r="V720" i="3"/>
  <c r="U720" i="3"/>
  <c r="T720" i="3"/>
  <c r="S720" i="3"/>
  <c r="R720" i="3"/>
  <c r="P720" i="3"/>
  <c r="O720" i="3"/>
  <c r="N720" i="3"/>
  <c r="Q720" i="3" s="1"/>
  <c r="M720" i="3"/>
  <c r="L720" i="3"/>
  <c r="U719" i="3"/>
  <c r="V719" i="3" s="1"/>
  <c r="T719" i="3"/>
  <c r="S719" i="3"/>
  <c r="R719" i="3"/>
  <c r="Q719" i="3"/>
  <c r="P719" i="3"/>
  <c r="O719" i="3"/>
  <c r="N719" i="3"/>
  <c r="M719" i="3"/>
  <c r="L719" i="3"/>
  <c r="U718" i="3"/>
  <c r="T718" i="3"/>
  <c r="S718" i="3"/>
  <c r="R718" i="3"/>
  <c r="P718" i="3"/>
  <c r="O718" i="3"/>
  <c r="N718" i="3"/>
  <c r="Q718" i="3" s="1"/>
  <c r="M718" i="3"/>
  <c r="L718" i="3"/>
  <c r="V718" i="3" s="1"/>
  <c r="V717" i="3"/>
  <c r="U717" i="3"/>
  <c r="T717" i="3"/>
  <c r="S717" i="3"/>
  <c r="R717" i="3"/>
  <c r="Q717" i="3"/>
  <c r="P717" i="3"/>
  <c r="O717" i="3"/>
  <c r="N717" i="3"/>
  <c r="M717" i="3"/>
  <c r="L717" i="3"/>
  <c r="V716" i="3"/>
  <c r="U716" i="3"/>
  <c r="T716" i="3"/>
  <c r="S716" i="3"/>
  <c r="R716" i="3"/>
  <c r="P716" i="3"/>
  <c r="O716" i="3"/>
  <c r="N716" i="3"/>
  <c r="Q716" i="3" s="1"/>
  <c r="M716" i="3"/>
  <c r="L716" i="3"/>
  <c r="U715" i="3"/>
  <c r="V715" i="3" s="1"/>
  <c r="T715" i="3"/>
  <c r="S715" i="3"/>
  <c r="R715" i="3"/>
  <c r="Q715" i="3"/>
  <c r="P715" i="3"/>
  <c r="O715" i="3"/>
  <c r="N715" i="3"/>
  <c r="M715" i="3"/>
  <c r="L715" i="3"/>
  <c r="U714" i="3"/>
  <c r="T714" i="3"/>
  <c r="S714" i="3"/>
  <c r="R714" i="3"/>
  <c r="P714" i="3"/>
  <c r="O714" i="3"/>
  <c r="N714" i="3"/>
  <c r="Q714" i="3" s="1"/>
  <c r="M714" i="3"/>
  <c r="L714" i="3"/>
  <c r="V714" i="3" s="1"/>
  <c r="U713" i="3"/>
  <c r="V713" i="3" s="1"/>
  <c r="T713" i="3"/>
  <c r="S713" i="3"/>
  <c r="R713" i="3"/>
  <c r="P713" i="3"/>
  <c r="O713" i="3"/>
  <c r="N713" i="3"/>
  <c r="Q713" i="3" s="1"/>
  <c r="M713" i="3"/>
  <c r="L713" i="3"/>
  <c r="V712" i="3"/>
  <c r="U712" i="3"/>
  <c r="T712" i="3"/>
  <c r="S712" i="3"/>
  <c r="R712" i="3"/>
  <c r="P712" i="3"/>
  <c r="O712" i="3"/>
  <c r="N712" i="3"/>
  <c r="Q712" i="3" s="1"/>
  <c r="M712" i="3"/>
  <c r="L712" i="3"/>
  <c r="U711" i="3"/>
  <c r="V711" i="3" s="1"/>
  <c r="T711" i="3"/>
  <c r="S711" i="3"/>
  <c r="R711" i="3"/>
  <c r="Q711" i="3"/>
  <c r="P711" i="3"/>
  <c r="O711" i="3"/>
  <c r="N711" i="3"/>
  <c r="M711" i="3"/>
  <c r="L711" i="3"/>
  <c r="U710" i="3"/>
  <c r="T710" i="3"/>
  <c r="S710" i="3"/>
  <c r="R710" i="3"/>
  <c r="P710" i="3"/>
  <c r="O710" i="3"/>
  <c r="N710" i="3"/>
  <c r="Q710" i="3" s="1"/>
  <c r="M710" i="3"/>
  <c r="L710" i="3"/>
  <c r="V710" i="3" s="1"/>
  <c r="V709" i="3"/>
  <c r="U709" i="3"/>
  <c r="T709" i="3"/>
  <c r="S709" i="3"/>
  <c r="R709" i="3"/>
  <c r="Q709" i="3"/>
  <c r="P709" i="3"/>
  <c r="O709" i="3"/>
  <c r="N709" i="3"/>
  <c r="M709" i="3"/>
  <c r="L709" i="3"/>
  <c r="V708" i="3"/>
  <c r="U708" i="3"/>
  <c r="T708" i="3"/>
  <c r="S708" i="3"/>
  <c r="R708" i="3"/>
  <c r="P708" i="3"/>
  <c r="O708" i="3"/>
  <c r="N708" i="3"/>
  <c r="Q708" i="3" s="1"/>
  <c r="M708" i="3"/>
  <c r="L708" i="3"/>
  <c r="U707" i="3"/>
  <c r="V707" i="3" s="1"/>
  <c r="T707" i="3"/>
  <c r="S707" i="3"/>
  <c r="R707" i="3"/>
  <c r="Q707" i="3"/>
  <c r="P707" i="3"/>
  <c r="O707" i="3"/>
  <c r="N707" i="3"/>
  <c r="M707" i="3"/>
  <c r="L707" i="3"/>
  <c r="U706" i="3"/>
  <c r="T706" i="3"/>
  <c r="S706" i="3"/>
  <c r="R706" i="3"/>
  <c r="P706" i="3"/>
  <c r="O706" i="3"/>
  <c r="N706" i="3"/>
  <c r="Q706" i="3" s="1"/>
  <c r="M706" i="3"/>
  <c r="L706" i="3"/>
  <c r="V706" i="3" s="1"/>
  <c r="U705" i="3"/>
  <c r="V705" i="3" s="1"/>
  <c r="T705" i="3"/>
  <c r="S705" i="3"/>
  <c r="R705" i="3"/>
  <c r="P705" i="3"/>
  <c r="O705" i="3"/>
  <c r="N705" i="3"/>
  <c r="Q705" i="3" s="1"/>
  <c r="M705" i="3"/>
  <c r="L705" i="3"/>
  <c r="V704" i="3"/>
  <c r="U704" i="3"/>
  <c r="T704" i="3"/>
  <c r="S704" i="3"/>
  <c r="R704" i="3"/>
  <c r="P704" i="3"/>
  <c r="O704" i="3"/>
  <c r="N704" i="3"/>
  <c r="Q704" i="3" s="1"/>
  <c r="M704" i="3"/>
  <c r="L704" i="3"/>
  <c r="U703" i="3"/>
  <c r="V703" i="3" s="1"/>
  <c r="T703" i="3"/>
  <c r="S703" i="3"/>
  <c r="R703" i="3"/>
  <c r="Q703" i="3"/>
  <c r="P703" i="3"/>
  <c r="O703" i="3"/>
  <c r="N703" i="3"/>
  <c r="M703" i="3"/>
  <c r="L703" i="3"/>
  <c r="U702" i="3"/>
  <c r="T702" i="3"/>
  <c r="S702" i="3"/>
  <c r="R702" i="3"/>
  <c r="P702" i="3"/>
  <c r="O702" i="3"/>
  <c r="N702" i="3"/>
  <c r="Q702" i="3" s="1"/>
  <c r="M702" i="3"/>
  <c r="L702" i="3"/>
  <c r="V702" i="3" s="1"/>
  <c r="V701" i="3"/>
  <c r="U701" i="3"/>
  <c r="T701" i="3"/>
  <c r="S701" i="3"/>
  <c r="R701" i="3"/>
  <c r="Q701" i="3"/>
  <c r="P701" i="3"/>
  <c r="O701" i="3"/>
  <c r="N701" i="3"/>
  <c r="M701" i="3"/>
  <c r="L701" i="3"/>
  <c r="V700" i="3"/>
  <c r="U700" i="3"/>
  <c r="T700" i="3"/>
  <c r="S700" i="3"/>
  <c r="R700" i="3"/>
  <c r="P700" i="3"/>
  <c r="O700" i="3"/>
  <c r="N700" i="3"/>
  <c r="Q700" i="3" s="1"/>
  <c r="M700" i="3"/>
  <c r="L700" i="3"/>
  <c r="U699" i="3"/>
  <c r="V699" i="3" s="1"/>
  <c r="T699" i="3"/>
  <c r="S699" i="3"/>
  <c r="R699" i="3"/>
  <c r="Q699" i="3"/>
  <c r="P699" i="3"/>
  <c r="O699" i="3"/>
  <c r="N699" i="3"/>
  <c r="M699" i="3"/>
  <c r="L699" i="3"/>
  <c r="U698" i="3"/>
  <c r="T698" i="3"/>
  <c r="S698" i="3"/>
  <c r="R698" i="3"/>
  <c r="P698" i="3"/>
  <c r="O698" i="3"/>
  <c r="N698" i="3"/>
  <c r="Q698" i="3" s="1"/>
  <c r="M698" i="3"/>
  <c r="L698" i="3"/>
  <c r="V698" i="3" s="1"/>
  <c r="U697" i="3"/>
  <c r="V697" i="3" s="1"/>
  <c r="T697" i="3"/>
  <c r="S697" i="3"/>
  <c r="R697" i="3"/>
  <c r="P697" i="3"/>
  <c r="O697" i="3"/>
  <c r="N697" i="3"/>
  <c r="Q697" i="3" s="1"/>
  <c r="M697" i="3"/>
  <c r="L697" i="3"/>
  <c r="V696" i="3"/>
  <c r="U696" i="3"/>
  <c r="T696" i="3"/>
  <c r="S696" i="3"/>
  <c r="R696" i="3"/>
  <c r="P696" i="3"/>
  <c r="O696" i="3"/>
  <c r="N696" i="3"/>
  <c r="Q696" i="3" s="1"/>
  <c r="M696" i="3"/>
  <c r="L696" i="3"/>
  <c r="U695" i="3"/>
  <c r="V695" i="3" s="1"/>
  <c r="T695" i="3"/>
  <c r="S695" i="3"/>
  <c r="R695" i="3"/>
  <c r="Q695" i="3"/>
  <c r="P695" i="3"/>
  <c r="O695" i="3"/>
  <c r="N695" i="3"/>
  <c r="M695" i="3"/>
  <c r="L695" i="3"/>
  <c r="U694" i="3"/>
  <c r="T694" i="3"/>
  <c r="S694" i="3"/>
  <c r="R694" i="3"/>
  <c r="P694" i="3"/>
  <c r="O694" i="3"/>
  <c r="N694" i="3"/>
  <c r="Q694" i="3" s="1"/>
  <c r="M694" i="3"/>
  <c r="L694" i="3"/>
  <c r="V694" i="3" s="1"/>
  <c r="V693" i="3"/>
  <c r="U693" i="3"/>
  <c r="T693" i="3"/>
  <c r="S693" i="3"/>
  <c r="R693" i="3"/>
  <c r="Q693" i="3"/>
  <c r="P693" i="3"/>
  <c r="O693" i="3"/>
  <c r="N693" i="3"/>
  <c r="M693" i="3"/>
  <c r="L693" i="3"/>
  <c r="V692" i="3"/>
  <c r="U692" i="3"/>
  <c r="T692" i="3"/>
  <c r="S692" i="3"/>
  <c r="R692" i="3"/>
  <c r="P692" i="3"/>
  <c r="O692" i="3"/>
  <c r="N692" i="3"/>
  <c r="Q692" i="3" s="1"/>
  <c r="M692" i="3"/>
  <c r="L692" i="3"/>
  <c r="U691" i="3"/>
  <c r="V691" i="3" s="1"/>
  <c r="T691" i="3"/>
  <c r="S691" i="3"/>
  <c r="R691" i="3"/>
  <c r="Q691" i="3"/>
  <c r="P691" i="3"/>
  <c r="O691" i="3"/>
  <c r="N691" i="3"/>
  <c r="M691" i="3"/>
  <c r="L691" i="3"/>
  <c r="U690" i="3"/>
  <c r="T690" i="3"/>
  <c r="S690" i="3"/>
  <c r="R690" i="3"/>
  <c r="P690" i="3"/>
  <c r="O690" i="3"/>
  <c r="N690" i="3"/>
  <c r="Q690" i="3" s="1"/>
  <c r="M690" i="3"/>
  <c r="L690" i="3"/>
  <c r="V690" i="3" s="1"/>
  <c r="U689" i="3"/>
  <c r="V689" i="3" s="1"/>
  <c r="T689" i="3"/>
  <c r="S689" i="3"/>
  <c r="R689" i="3"/>
  <c r="P689" i="3"/>
  <c r="O689" i="3"/>
  <c r="N689" i="3"/>
  <c r="Q689" i="3" s="1"/>
  <c r="M689" i="3"/>
  <c r="L689" i="3"/>
  <c r="V688" i="3"/>
  <c r="U688" i="3"/>
  <c r="T688" i="3"/>
  <c r="S688" i="3"/>
  <c r="R688" i="3"/>
  <c r="P688" i="3"/>
  <c r="O688" i="3"/>
  <c r="N688" i="3"/>
  <c r="Q688" i="3" s="1"/>
  <c r="M688" i="3"/>
  <c r="L688" i="3"/>
  <c r="U687" i="3"/>
  <c r="V687" i="3" s="1"/>
  <c r="T687" i="3"/>
  <c r="S687" i="3"/>
  <c r="R687" i="3"/>
  <c r="Q687" i="3"/>
  <c r="P687" i="3"/>
  <c r="O687" i="3"/>
  <c r="N687" i="3"/>
  <c r="M687" i="3"/>
  <c r="L687" i="3"/>
  <c r="U686" i="3"/>
  <c r="T686" i="3"/>
  <c r="S686" i="3"/>
  <c r="R686" i="3"/>
  <c r="P686" i="3"/>
  <c r="O686" i="3"/>
  <c r="N686" i="3"/>
  <c r="Q686" i="3" s="1"/>
  <c r="M686" i="3"/>
  <c r="L686" i="3"/>
  <c r="V686" i="3" s="1"/>
  <c r="U685" i="3"/>
  <c r="V685" i="3" s="1"/>
  <c r="T685" i="3"/>
  <c r="S685" i="3"/>
  <c r="R685" i="3"/>
  <c r="Q685" i="3"/>
  <c r="P685" i="3"/>
  <c r="O685" i="3"/>
  <c r="N685" i="3"/>
  <c r="M685" i="3"/>
  <c r="L685" i="3"/>
  <c r="V684" i="3"/>
  <c r="U684" i="3"/>
  <c r="T684" i="3"/>
  <c r="S684" i="3"/>
  <c r="R684" i="3"/>
  <c r="P684" i="3"/>
  <c r="O684" i="3"/>
  <c r="N684" i="3"/>
  <c r="Q684" i="3" s="1"/>
  <c r="M684" i="3"/>
  <c r="L684" i="3"/>
  <c r="U683" i="3"/>
  <c r="V683" i="3" s="1"/>
  <c r="T683" i="3"/>
  <c r="S683" i="3"/>
  <c r="R683" i="3"/>
  <c r="Q683" i="3"/>
  <c r="P683" i="3"/>
  <c r="O683" i="3"/>
  <c r="N683" i="3"/>
  <c r="M683" i="3"/>
  <c r="L683" i="3"/>
  <c r="U682" i="3"/>
  <c r="T682" i="3"/>
  <c r="S682" i="3"/>
  <c r="R682" i="3"/>
  <c r="P682" i="3"/>
  <c r="O682" i="3"/>
  <c r="N682" i="3"/>
  <c r="Q682" i="3" s="1"/>
  <c r="M682" i="3"/>
  <c r="L682" i="3"/>
  <c r="V682" i="3" s="1"/>
  <c r="U681" i="3"/>
  <c r="V681" i="3" s="1"/>
  <c r="T681" i="3"/>
  <c r="S681" i="3"/>
  <c r="R681" i="3"/>
  <c r="P681" i="3"/>
  <c r="O681" i="3"/>
  <c r="N681" i="3"/>
  <c r="Q681" i="3" s="1"/>
  <c r="M681" i="3"/>
  <c r="L681" i="3"/>
  <c r="V680" i="3"/>
  <c r="U680" i="3"/>
  <c r="T680" i="3"/>
  <c r="S680" i="3"/>
  <c r="R680" i="3"/>
  <c r="P680" i="3"/>
  <c r="O680" i="3"/>
  <c r="N680" i="3"/>
  <c r="Q680" i="3" s="1"/>
  <c r="M680" i="3"/>
  <c r="L680" i="3"/>
  <c r="U679" i="3"/>
  <c r="V679" i="3" s="1"/>
  <c r="T679" i="3"/>
  <c r="S679" i="3"/>
  <c r="R679" i="3"/>
  <c r="Q679" i="3"/>
  <c r="P679" i="3"/>
  <c r="O679" i="3"/>
  <c r="N679" i="3"/>
  <c r="M679" i="3"/>
  <c r="L679" i="3"/>
  <c r="U678" i="3"/>
  <c r="T678" i="3"/>
  <c r="S678" i="3"/>
  <c r="R678" i="3"/>
  <c r="P678" i="3"/>
  <c r="O678" i="3"/>
  <c r="N678" i="3"/>
  <c r="Q678" i="3" s="1"/>
  <c r="M678" i="3"/>
  <c r="L678" i="3"/>
  <c r="V678" i="3" s="1"/>
  <c r="V677" i="3"/>
  <c r="U677" i="3"/>
  <c r="T677" i="3"/>
  <c r="S677" i="3"/>
  <c r="R677" i="3"/>
  <c r="Q677" i="3"/>
  <c r="P677" i="3"/>
  <c r="O677" i="3"/>
  <c r="N677" i="3"/>
  <c r="M677" i="3"/>
  <c r="L677" i="3"/>
  <c r="V676" i="3"/>
  <c r="U676" i="3"/>
  <c r="T676" i="3"/>
  <c r="S676" i="3"/>
  <c r="R676" i="3"/>
  <c r="P676" i="3"/>
  <c r="O676" i="3"/>
  <c r="N676" i="3"/>
  <c r="Q676" i="3" s="1"/>
  <c r="M676" i="3"/>
  <c r="L676" i="3"/>
  <c r="U675" i="3"/>
  <c r="V675" i="3" s="1"/>
  <c r="T675" i="3"/>
  <c r="S675" i="3"/>
  <c r="R675" i="3"/>
  <c r="Q675" i="3"/>
  <c r="P675" i="3"/>
  <c r="O675" i="3"/>
  <c r="N675" i="3"/>
  <c r="M675" i="3"/>
  <c r="L675" i="3"/>
  <c r="U674" i="3"/>
  <c r="T674" i="3"/>
  <c r="S674" i="3"/>
  <c r="R674" i="3"/>
  <c r="P674" i="3"/>
  <c r="O674" i="3"/>
  <c r="N674" i="3"/>
  <c r="Q674" i="3" s="1"/>
  <c r="M674" i="3"/>
  <c r="L674" i="3"/>
  <c r="V674" i="3" s="1"/>
  <c r="U673" i="3"/>
  <c r="V673" i="3" s="1"/>
  <c r="T673" i="3"/>
  <c r="S673" i="3"/>
  <c r="R673" i="3"/>
  <c r="P673" i="3"/>
  <c r="O673" i="3"/>
  <c r="N673" i="3"/>
  <c r="Q673" i="3" s="1"/>
  <c r="M673" i="3"/>
  <c r="L673" i="3"/>
  <c r="V672" i="3"/>
  <c r="U672" i="3"/>
  <c r="T672" i="3"/>
  <c r="S672" i="3"/>
  <c r="R672" i="3"/>
  <c r="P672" i="3"/>
  <c r="O672" i="3"/>
  <c r="N672" i="3"/>
  <c r="Q672" i="3" s="1"/>
  <c r="M672" i="3"/>
  <c r="L672" i="3"/>
  <c r="U671" i="3"/>
  <c r="V671" i="3" s="1"/>
  <c r="T671" i="3"/>
  <c r="S671" i="3"/>
  <c r="R671" i="3"/>
  <c r="Q671" i="3"/>
  <c r="P671" i="3"/>
  <c r="O671" i="3"/>
  <c r="N671" i="3"/>
  <c r="M671" i="3"/>
  <c r="L671" i="3"/>
  <c r="U670" i="3"/>
  <c r="T670" i="3"/>
  <c r="S670" i="3"/>
  <c r="R670" i="3"/>
  <c r="P670" i="3"/>
  <c r="O670" i="3"/>
  <c r="N670" i="3"/>
  <c r="Q670" i="3" s="1"/>
  <c r="M670" i="3"/>
  <c r="L670" i="3"/>
  <c r="V670" i="3" s="1"/>
  <c r="V669" i="3"/>
  <c r="U669" i="3"/>
  <c r="T669" i="3"/>
  <c r="S669" i="3"/>
  <c r="R669" i="3"/>
  <c r="Q669" i="3"/>
  <c r="P669" i="3"/>
  <c r="O669" i="3"/>
  <c r="N669" i="3"/>
  <c r="M669" i="3"/>
  <c r="L669" i="3"/>
  <c r="V668" i="3"/>
  <c r="U668" i="3"/>
  <c r="T668" i="3"/>
  <c r="S668" i="3"/>
  <c r="R668" i="3"/>
  <c r="P668" i="3"/>
  <c r="O668" i="3"/>
  <c r="N668" i="3"/>
  <c r="Q668" i="3" s="1"/>
  <c r="M668" i="3"/>
  <c r="L668" i="3"/>
  <c r="U667" i="3"/>
  <c r="V667" i="3" s="1"/>
  <c r="T667" i="3"/>
  <c r="S667" i="3"/>
  <c r="R667" i="3"/>
  <c r="Q667" i="3"/>
  <c r="P667" i="3"/>
  <c r="O667" i="3"/>
  <c r="N667" i="3"/>
  <c r="M667" i="3"/>
  <c r="L667" i="3"/>
  <c r="U666" i="3"/>
  <c r="T666" i="3"/>
  <c r="S666" i="3"/>
  <c r="R666" i="3"/>
  <c r="P666" i="3"/>
  <c r="O666" i="3"/>
  <c r="N666" i="3"/>
  <c r="Q666" i="3" s="1"/>
  <c r="M666" i="3"/>
  <c r="L666" i="3"/>
  <c r="V666" i="3" s="1"/>
  <c r="U665" i="3"/>
  <c r="V665" i="3" s="1"/>
  <c r="T665" i="3"/>
  <c r="S665" i="3"/>
  <c r="R665" i="3"/>
  <c r="P665" i="3"/>
  <c r="O665" i="3"/>
  <c r="N665" i="3"/>
  <c r="Q665" i="3" s="1"/>
  <c r="M665" i="3"/>
  <c r="L665" i="3"/>
  <c r="V664" i="3"/>
  <c r="U664" i="3"/>
  <c r="T664" i="3"/>
  <c r="S664" i="3"/>
  <c r="R664" i="3"/>
  <c r="P664" i="3"/>
  <c r="O664" i="3"/>
  <c r="N664" i="3"/>
  <c r="Q664" i="3" s="1"/>
  <c r="M664" i="3"/>
  <c r="L664" i="3"/>
  <c r="U663" i="3"/>
  <c r="V663" i="3" s="1"/>
  <c r="T663" i="3"/>
  <c r="S663" i="3"/>
  <c r="R663" i="3"/>
  <c r="Q663" i="3"/>
  <c r="P663" i="3"/>
  <c r="O663" i="3"/>
  <c r="N663" i="3"/>
  <c r="M663" i="3"/>
  <c r="L663" i="3"/>
  <c r="U662" i="3"/>
  <c r="T662" i="3"/>
  <c r="S662" i="3"/>
  <c r="R662" i="3"/>
  <c r="P662" i="3"/>
  <c r="O662" i="3"/>
  <c r="N662" i="3"/>
  <c r="Q662" i="3" s="1"/>
  <c r="M662" i="3"/>
  <c r="L662" i="3"/>
  <c r="V662" i="3" s="1"/>
  <c r="V661" i="3"/>
  <c r="U661" i="3"/>
  <c r="T661" i="3"/>
  <c r="S661" i="3"/>
  <c r="R661" i="3"/>
  <c r="Q661" i="3"/>
  <c r="P661" i="3"/>
  <c r="O661" i="3"/>
  <c r="N661" i="3"/>
  <c r="M661" i="3"/>
  <c r="L661" i="3"/>
  <c r="V660" i="3"/>
  <c r="U660" i="3"/>
  <c r="T660" i="3"/>
  <c r="S660" i="3"/>
  <c r="R660" i="3"/>
  <c r="P660" i="3"/>
  <c r="O660" i="3"/>
  <c r="N660" i="3"/>
  <c r="Q660" i="3" s="1"/>
  <c r="M660" i="3"/>
  <c r="L660" i="3"/>
  <c r="U659" i="3"/>
  <c r="V659" i="3" s="1"/>
  <c r="T659" i="3"/>
  <c r="S659" i="3"/>
  <c r="R659" i="3"/>
  <c r="Q659" i="3"/>
  <c r="P659" i="3"/>
  <c r="O659" i="3"/>
  <c r="N659" i="3"/>
  <c r="M659" i="3"/>
  <c r="L659" i="3"/>
  <c r="U658" i="3"/>
  <c r="T658" i="3"/>
  <c r="S658" i="3"/>
  <c r="R658" i="3"/>
  <c r="P658" i="3"/>
  <c r="O658" i="3"/>
  <c r="N658" i="3"/>
  <c r="Q658" i="3" s="1"/>
  <c r="M658" i="3"/>
  <c r="L658" i="3"/>
  <c r="V658" i="3" s="1"/>
  <c r="U657" i="3"/>
  <c r="V657" i="3" s="1"/>
  <c r="T657" i="3"/>
  <c r="S657" i="3"/>
  <c r="R657" i="3"/>
  <c r="P657" i="3"/>
  <c r="O657" i="3"/>
  <c r="N657" i="3"/>
  <c r="Q657" i="3" s="1"/>
  <c r="M657" i="3"/>
  <c r="L657" i="3"/>
  <c r="V656" i="3"/>
  <c r="U656" i="3"/>
  <c r="T656" i="3"/>
  <c r="S656" i="3"/>
  <c r="R656" i="3"/>
  <c r="P656" i="3"/>
  <c r="O656" i="3"/>
  <c r="N656" i="3"/>
  <c r="Q656" i="3" s="1"/>
  <c r="M656" i="3"/>
  <c r="L656" i="3"/>
  <c r="U655" i="3"/>
  <c r="V655" i="3" s="1"/>
  <c r="T655" i="3"/>
  <c r="S655" i="3"/>
  <c r="R655" i="3"/>
  <c r="Q655" i="3"/>
  <c r="P655" i="3"/>
  <c r="O655" i="3"/>
  <c r="N655" i="3"/>
  <c r="M655" i="3"/>
  <c r="L655" i="3"/>
  <c r="U654" i="3"/>
  <c r="T654" i="3"/>
  <c r="S654" i="3"/>
  <c r="R654" i="3"/>
  <c r="P654" i="3"/>
  <c r="O654" i="3"/>
  <c r="N654" i="3"/>
  <c r="Q654" i="3" s="1"/>
  <c r="M654" i="3"/>
  <c r="L654" i="3"/>
  <c r="V654" i="3" s="1"/>
  <c r="V653" i="3"/>
  <c r="U653" i="3"/>
  <c r="T653" i="3"/>
  <c r="S653" i="3"/>
  <c r="R653" i="3"/>
  <c r="Q653" i="3"/>
  <c r="P653" i="3"/>
  <c r="O653" i="3"/>
  <c r="N653" i="3"/>
  <c r="M653" i="3"/>
  <c r="L653" i="3"/>
  <c r="V652" i="3"/>
  <c r="U652" i="3"/>
  <c r="T652" i="3"/>
  <c r="S652" i="3"/>
  <c r="R652" i="3"/>
  <c r="P652" i="3"/>
  <c r="O652" i="3"/>
  <c r="N652" i="3"/>
  <c r="Q652" i="3" s="1"/>
  <c r="M652" i="3"/>
  <c r="L652" i="3"/>
  <c r="U651" i="3"/>
  <c r="V651" i="3" s="1"/>
  <c r="T651" i="3"/>
  <c r="S651" i="3"/>
  <c r="R651" i="3"/>
  <c r="Q651" i="3"/>
  <c r="P651" i="3"/>
  <c r="O651" i="3"/>
  <c r="N651" i="3"/>
  <c r="M651" i="3"/>
  <c r="L651" i="3"/>
  <c r="U650" i="3"/>
  <c r="T650" i="3"/>
  <c r="S650" i="3"/>
  <c r="R650" i="3"/>
  <c r="P650" i="3"/>
  <c r="O650" i="3"/>
  <c r="N650" i="3"/>
  <c r="Q650" i="3" s="1"/>
  <c r="M650" i="3"/>
  <c r="L650" i="3"/>
  <c r="V650" i="3" s="1"/>
  <c r="U649" i="3"/>
  <c r="V649" i="3" s="1"/>
  <c r="T649" i="3"/>
  <c r="S649" i="3"/>
  <c r="R649" i="3"/>
  <c r="P649" i="3"/>
  <c r="O649" i="3"/>
  <c r="N649" i="3"/>
  <c r="Q649" i="3" s="1"/>
  <c r="M649" i="3"/>
  <c r="L649" i="3"/>
  <c r="V648" i="3"/>
  <c r="U648" i="3"/>
  <c r="T648" i="3"/>
  <c r="S648" i="3"/>
  <c r="R648" i="3"/>
  <c r="P648" i="3"/>
  <c r="O648" i="3"/>
  <c r="N648" i="3"/>
  <c r="Q648" i="3" s="1"/>
  <c r="M648" i="3"/>
  <c r="L648" i="3"/>
  <c r="U647" i="3"/>
  <c r="V647" i="3" s="1"/>
  <c r="T647" i="3"/>
  <c r="S647" i="3"/>
  <c r="R647" i="3"/>
  <c r="Q647" i="3"/>
  <c r="P647" i="3"/>
  <c r="O647" i="3"/>
  <c r="N647" i="3"/>
  <c r="M647" i="3"/>
  <c r="L647" i="3"/>
  <c r="U646" i="3"/>
  <c r="T646" i="3"/>
  <c r="S646" i="3"/>
  <c r="R646" i="3"/>
  <c r="P646" i="3"/>
  <c r="O646" i="3"/>
  <c r="N646" i="3"/>
  <c r="Q646" i="3" s="1"/>
  <c r="M646" i="3"/>
  <c r="L646" i="3"/>
  <c r="V646" i="3" s="1"/>
  <c r="V645" i="3"/>
  <c r="U645" i="3"/>
  <c r="T645" i="3"/>
  <c r="S645" i="3"/>
  <c r="R645" i="3"/>
  <c r="Q645" i="3"/>
  <c r="P645" i="3"/>
  <c r="O645" i="3"/>
  <c r="N645" i="3"/>
  <c r="M645" i="3"/>
  <c r="L645" i="3"/>
  <c r="V644" i="3"/>
  <c r="U644" i="3"/>
  <c r="T644" i="3"/>
  <c r="S644" i="3"/>
  <c r="R644" i="3"/>
  <c r="P644" i="3"/>
  <c r="O644" i="3"/>
  <c r="N644" i="3"/>
  <c r="Q644" i="3" s="1"/>
  <c r="M644" i="3"/>
  <c r="L644" i="3"/>
  <c r="U643" i="3"/>
  <c r="V643" i="3" s="1"/>
  <c r="T643" i="3"/>
  <c r="S643" i="3"/>
  <c r="R643" i="3"/>
  <c r="Q643" i="3"/>
  <c r="P643" i="3"/>
  <c r="O643" i="3"/>
  <c r="N643" i="3"/>
  <c r="M643" i="3"/>
  <c r="L643" i="3"/>
  <c r="U642" i="3"/>
  <c r="T642" i="3"/>
  <c r="S642" i="3"/>
  <c r="R642" i="3"/>
  <c r="P642" i="3"/>
  <c r="O642" i="3"/>
  <c r="N642" i="3"/>
  <c r="Q642" i="3" s="1"/>
  <c r="M642" i="3"/>
  <c r="L642" i="3"/>
  <c r="V642" i="3" s="1"/>
  <c r="U641" i="3"/>
  <c r="V641" i="3" s="1"/>
  <c r="T641" i="3"/>
  <c r="S641" i="3"/>
  <c r="R641" i="3"/>
  <c r="P641" i="3"/>
  <c r="O641" i="3"/>
  <c r="N641" i="3"/>
  <c r="Q641" i="3" s="1"/>
  <c r="M641" i="3"/>
  <c r="L641" i="3"/>
  <c r="V640" i="3"/>
  <c r="U640" i="3"/>
  <c r="T640" i="3"/>
  <c r="S640" i="3"/>
  <c r="R640" i="3"/>
  <c r="P640" i="3"/>
  <c r="O640" i="3"/>
  <c r="N640" i="3"/>
  <c r="Q640" i="3" s="1"/>
  <c r="M640" i="3"/>
  <c r="L640" i="3"/>
  <c r="U639" i="3"/>
  <c r="V639" i="3" s="1"/>
  <c r="T639" i="3"/>
  <c r="S639" i="3"/>
  <c r="R639" i="3"/>
  <c r="Q639" i="3"/>
  <c r="P639" i="3"/>
  <c r="O639" i="3"/>
  <c r="N639" i="3"/>
  <c r="M639" i="3"/>
  <c r="L639" i="3"/>
  <c r="U638" i="3"/>
  <c r="T638" i="3"/>
  <c r="S638" i="3"/>
  <c r="R638" i="3"/>
  <c r="P638" i="3"/>
  <c r="O638" i="3"/>
  <c r="N638" i="3"/>
  <c r="Q638" i="3" s="1"/>
  <c r="M638" i="3"/>
  <c r="L638" i="3"/>
  <c r="V638" i="3" s="1"/>
  <c r="V637" i="3"/>
  <c r="U637" i="3"/>
  <c r="T637" i="3"/>
  <c r="S637" i="3"/>
  <c r="R637" i="3"/>
  <c r="Q637" i="3"/>
  <c r="P637" i="3"/>
  <c r="O637" i="3"/>
  <c r="N637" i="3"/>
  <c r="M637" i="3"/>
  <c r="L637" i="3"/>
  <c r="V636" i="3"/>
  <c r="U636" i="3"/>
  <c r="T636" i="3"/>
  <c r="S636" i="3"/>
  <c r="R636" i="3"/>
  <c r="P636" i="3"/>
  <c r="O636" i="3"/>
  <c r="N636" i="3"/>
  <c r="Q636" i="3" s="1"/>
  <c r="M636" i="3"/>
  <c r="L636" i="3"/>
  <c r="U635" i="3"/>
  <c r="V635" i="3" s="1"/>
  <c r="T635" i="3"/>
  <c r="S635" i="3"/>
  <c r="R635" i="3"/>
  <c r="Q635" i="3"/>
  <c r="P635" i="3"/>
  <c r="O635" i="3"/>
  <c r="N635" i="3"/>
  <c r="M635" i="3"/>
  <c r="L635" i="3"/>
  <c r="U634" i="3"/>
  <c r="T634" i="3"/>
  <c r="S634" i="3"/>
  <c r="R634" i="3"/>
  <c r="P634" i="3"/>
  <c r="O634" i="3"/>
  <c r="N634" i="3"/>
  <c r="Q634" i="3" s="1"/>
  <c r="M634" i="3"/>
  <c r="L634" i="3"/>
  <c r="V634" i="3" s="1"/>
  <c r="U633" i="3"/>
  <c r="V633" i="3" s="1"/>
  <c r="T633" i="3"/>
  <c r="S633" i="3"/>
  <c r="R633" i="3"/>
  <c r="P633" i="3"/>
  <c r="O633" i="3"/>
  <c r="N633" i="3"/>
  <c r="Q633" i="3" s="1"/>
  <c r="M633" i="3"/>
  <c r="L633" i="3"/>
  <c r="V632" i="3"/>
  <c r="U632" i="3"/>
  <c r="T632" i="3"/>
  <c r="S632" i="3"/>
  <c r="R632" i="3"/>
  <c r="P632" i="3"/>
  <c r="O632" i="3"/>
  <c r="N632" i="3"/>
  <c r="Q632" i="3" s="1"/>
  <c r="M632" i="3"/>
  <c r="L632" i="3"/>
  <c r="U631" i="3"/>
  <c r="V631" i="3" s="1"/>
  <c r="T631" i="3"/>
  <c r="S631" i="3"/>
  <c r="R631" i="3"/>
  <c r="Q631" i="3"/>
  <c r="P631" i="3"/>
  <c r="O631" i="3"/>
  <c r="N631" i="3"/>
  <c r="M631" i="3"/>
  <c r="L631" i="3"/>
  <c r="U630" i="3"/>
  <c r="T630" i="3"/>
  <c r="S630" i="3"/>
  <c r="R630" i="3"/>
  <c r="P630" i="3"/>
  <c r="O630" i="3"/>
  <c r="N630" i="3"/>
  <c r="Q630" i="3" s="1"/>
  <c r="M630" i="3"/>
  <c r="L630" i="3"/>
  <c r="V630" i="3" s="1"/>
  <c r="V629" i="3"/>
  <c r="U629" i="3"/>
  <c r="T629" i="3"/>
  <c r="S629" i="3"/>
  <c r="R629" i="3"/>
  <c r="Q629" i="3"/>
  <c r="P629" i="3"/>
  <c r="O629" i="3"/>
  <c r="N629" i="3"/>
  <c r="M629" i="3"/>
  <c r="L629" i="3"/>
  <c r="V628" i="3"/>
  <c r="U628" i="3"/>
  <c r="T628" i="3"/>
  <c r="S628" i="3"/>
  <c r="R628" i="3"/>
  <c r="P628" i="3"/>
  <c r="O628" i="3"/>
  <c r="N628" i="3"/>
  <c r="Q628" i="3" s="1"/>
  <c r="M628" i="3"/>
  <c r="L628" i="3"/>
  <c r="U627" i="3"/>
  <c r="V627" i="3" s="1"/>
  <c r="T627" i="3"/>
  <c r="S627" i="3"/>
  <c r="R627" i="3"/>
  <c r="Q627" i="3"/>
  <c r="P627" i="3"/>
  <c r="O627" i="3"/>
  <c r="N627" i="3"/>
  <c r="M627" i="3"/>
  <c r="L627" i="3"/>
  <c r="U626" i="3"/>
  <c r="T626" i="3"/>
  <c r="S626" i="3"/>
  <c r="R626" i="3"/>
  <c r="P626" i="3"/>
  <c r="O626" i="3"/>
  <c r="N626" i="3"/>
  <c r="Q626" i="3" s="1"/>
  <c r="M626" i="3"/>
  <c r="L626" i="3"/>
  <c r="V626" i="3" s="1"/>
  <c r="U625" i="3"/>
  <c r="V625" i="3" s="1"/>
  <c r="T625" i="3"/>
  <c r="S625" i="3"/>
  <c r="R625" i="3"/>
  <c r="P625" i="3"/>
  <c r="O625" i="3"/>
  <c r="N625" i="3"/>
  <c r="Q625" i="3" s="1"/>
  <c r="M625" i="3"/>
  <c r="L625" i="3"/>
  <c r="V624" i="3"/>
  <c r="U624" i="3"/>
  <c r="T624" i="3"/>
  <c r="S624" i="3"/>
  <c r="R624" i="3"/>
  <c r="P624" i="3"/>
  <c r="O624" i="3"/>
  <c r="N624" i="3"/>
  <c r="Q624" i="3" s="1"/>
  <c r="M624" i="3"/>
  <c r="L624" i="3"/>
  <c r="U623" i="3"/>
  <c r="V623" i="3" s="1"/>
  <c r="T623" i="3"/>
  <c r="S623" i="3"/>
  <c r="R623" i="3"/>
  <c r="Q623" i="3"/>
  <c r="P623" i="3"/>
  <c r="O623" i="3"/>
  <c r="N623" i="3"/>
  <c r="M623" i="3"/>
  <c r="L623" i="3"/>
  <c r="U622" i="3"/>
  <c r="T622" i="3"/>
  <c r="S622" i="3"/>
  <c r="R622" i="3"/>
  <c r="P622" i="3"/>
  <c r="O622" i="3"/>
  <c r="N622" i="3"/>
  <c r="Q622" i="3" s="1"/>
  <c r="M622" i="3"/>
  <c r="L622" i="3"/>
  <c r="V622" i="3" s="1"/>
  <c r="V621" i="3"/>
  <c r="U621" i="3"/>
  <c r="T621" i="3"/>
  <c r="S621" i="3"/>
  <c r="R621" i="3"/>
  <c r="Q621" i="3"/>
  <c r="P621" i="3"/>
  <c r="O621" i="3"/>
  <c r="N621" i="3"/>
  <c r="M621" i="3"/>
  <c r="L621" i="3"/>
  <c r="V620" i="3"/>
  <c r="U620" i="3"/>
  <c r="T620" i="3"/>
  <c r="S620" i="3"/>
  <c r="R620" i="3"/>
  <c r="P620" i="3"/>
  <c r="O620" i="3"/>
  <c r="N620" i="3"/>
  <c r="Q620" i="3" s="1"/>
  <c r="M620" i="3"/>
  <c r="L620" i="3"/>
  <c r="U619" i="3"/>
  <c r="V619" i="3" s="1"/>
  <c r="T619" i="3"/>
  <c r="S619" i="3"/>
  <c r="R619" i="3"/>
  <c r="Q619" i="3"/>
  <c r="P619" i="3"/>
  <c r="O619" i="3"/>
  <c r="N619" i="3"/>
  <c r="M619" i="3"/>
  <c r="L619" i="3"/>
  <c r="U618" i="3"/>
  <c r="T618" i="3"/>
  <c r="S618" i="3"/>
  <c r="R618" i="3"/>
  <c r="P618" i="3"/>
  <c r="O618" i="3"/>
  <c r="N618" i="3"/>
  <c r="Q618" i="3" s="1"/>
  <c r="M618" i="3"/>
  <c r="L618" i="3"/>
  <c r="V618" i="3" s="1"/>
  <c r="U617" i="3"/>
  <c r="V617" i="3" s="1"/>
  <c r="T617" i="3"/>
  <c r="S617" i="3"/>
  <c r="R617" i="3"/>
  <c r="P617" i="3"/>
  <c r="O617" i="3"/>
  <c r="N617" i="3"/>
  <c r="Q617" i="3" s="1"/>
  <c r="M617" i="3"/>
  <c r="L617" i="3"/>
  <c r="V616" i="3"/>
  <c r="U616" i="3"/>
  <c r="T616" i="3"/>
  <c r="S616" i="3"/>
  <c r="R616" i="3"/>
  <c r="P616" i="3"/>
  <c r="O616" i="3"/>
  <c r="N616" i="3"/>
  <c r="Q616" i="3" s="1"/>
  <c r="M616" i="3"/>
  <c r="L616" i="3"/>
  <c r="U615" i="3"/>
  <c r="V615" i="3" s="1"/>
  <c r="T615" i="3"/>
  <c r="S615" i="3"/>
  <c r="R615" i="3"/>
  <c r="Q615" i="3"/>
  <c r="P615" i="3"/>
  <c r="O615" i="3"/>
  <c r="N615" i="3"/>
  <c r="M615" i="3"/>
  <c r="L615" i="3"/>
  <c r="U614" i="3"/>
  <c r="T614" i="3"/>
  <c r="S614" i="3"/>
  <c r="R614" i="3"/>
  <c r="P614" i="3"/>
  <c r="O614" i="3"/>
  <c r="N614" i="3"/>
  <c r="Q614" i="3" s="1"/>
  <c r="M614" i="3"/>
  <c r="L614" i="3"/>
  <c r="V614" i="3" s="1"/>
  <c r="V613" i="3"/>
  <c r="U613" i="3"/>
  <c r="T613" i="3"/>
  <c r="S613" i="3"/>
  <c r="R613" i="3"/>
  <c r="Q613" i="3"/>
  <c r="P613" i="3"/>
  <c r="O613" i="3"/>
  <c r="N613" i="3"/>
  <c r="M613" i="3"/>
  <c r="L613" i="3"/>
  <c r="V612" i="3"/>
  <c r="U612" i="3"/>
  <c r="T612" i="3"/>
  <c r="S612" i="3"/>
  <c r="R612" i="3"/>
  <c r="P612" i="3"/>
  <c r="O612" i="3"/>
  <c r="N612" i="3"/>
  <c r="Q612" i="3" s="1"/>
  <c r="M612" i="3"/>
  <c r="L612" i="3"/>
  <c r="U611" i="3"/>
  <c r="V611" i="3" s="1"/>
  <c r="T611" i="3"/>
  <c r="S611" i="3"/>
  <c r="R611" i="3"/>
  <c r="Q611" i="3"/>
  <c r="P611" i="3"/>
  <c r="O611" i="3"/>
  <c r="N611" i="3"/>
  <c r="M611" i="3"/>
  <c r="L611" i="3"/>
  <c r="U610" i="3"/>
  <c r="T610" i="3"/>
  <c r="S610" i="3"/>
  <c r="R610" i="3"/>
  <c r="P610" i="3"/>
  <c r="O610" i="3"/>
  <c r="N610" i="3"/>
  <c r="Q610" i="3" s="1"/>
  <c r="M610" i="3"/>
  <c r="L610" i="3"/>
  <c r="V610" i="3" s="1"/>
  <c r="U609" i="3"/>
  <c r="V609" i="3" s="1"/>
  <c r="T609" i="3"/>
  <c r="S609" i="3"/>
  <c r="R609" i="3"/>
  <c r="P609" i="3"/>
  <c r="O609" i="3"/>
  <c r="N609" i="3"/>
  <c r="Q609" i="3" s="1"/>
  <c r="M609" i="3"/>
  <c r="L609" i="3"/>
  <c r="V608" i="3"/>
  <c r="U608" i="3"/>
  <c r="T608" i="3"/>
  <c r="S608" i="3"/>
  <c r="R608" i="3"/>
  <c r="P608" i="3"/>
  <c r="O608" i="3"/>
  <c r="N608" i="3"/>
  <c r="Q608" i="3" s="1"/>
  <c r="M608" i="3"/>
  <c r="L608" i="3"/>
  <c r="U607" i="3"/>
  <c r="V607" i="3" s="1"/>
  <c r="T607" i="3"/>
  <c r="S607" i="3"/>
  <c r="R607" i="3"/>
  <c r="Q607" i="3"/>
  <c r="P607" i="3"/>
  <c r="O607" i="3"/>
  <c r="N607" i="3"/>
  <c r="M607" i="3"/>
  <c r="L607" i="3"/>
  <c r="U606" i="3"/>
  <c r="T606" i="3"/>
  <c r="S606" i="3"/>
  <c r="R606" i="3"/>
  <c r="P606" i="3"/>
  <c r="O606" i="3"/>
  <c r="N606" i="3"/>
  <c r="Q606" i="3" s="1"/>
  <c r="M606" i="3"/>
  <c r="L606" i="3"/>
  <c r="V606" i="3" s="1"/>
  <c r="V605" i="3"/>
  <c r="U605" i="3"/>
  <c r="T605" i="3"/>
  <c r="S605" i="3"/>
  <c r="R605" i="3"/>
  <c r="Q605" i="3"/>
  <c r="P605" i="3"/>
  <c r="O605" i="3"/>
  <c r="N605" i="3"/>
  <c r="M605" i="3"/>
  <c r="L605" i="3"/>
  <c r="V604" i="3"/>
  <c r="U604" i="3"/>
  <c r="T604" i="3"/>
  <c r="S604" i="3"/>
  <c r="R604" i="3"/>
  <c r="P604" i="3"/>
  <c r="O604" i="3"/>
  <c r="N604" i="3"/>
  <c r="Q604" i="3" s="1"/>
  <c r="M604" i="3"/>
  <c r="L604" i="3"/>
  <c r="U603" i="3"/>
  <c r="V603" i="3" s="1"/>
  <c r="T603" i="3"/>
  <c r="S603" i="3"/>
  <c r="R603" i="3"/>
  <c r="Q603" i="3"/>
  <c r="P603" i="3"/>
  <c r="O603" i="3"/>
  <c r="N603" i="3"/>
  <c r="M603" i="3"/>
  <c r="L603" i="3"/>
  <c r="U602" i="3"/>
  <c r="T602" i="3"/>
  <c r="S602" i="3"/>
  <c r="R602" i="3"/>
  <c r="P602" i="3"/>
  <c r="O602" i="3"/>
  <c r="N602" i="3"/>
  <c r="Q602" i="3" s="1"/>
  <c r="M602" i="3"/>
  <c r="L602" i="3"/>
  <c r="V602" i="3" s="1"/>
  <c r="U601" i="3"/>
  <c r="V601" i="3" s="1"/>
  <c r="T601" i="3"/>
  <c r="S601" i="3"/>
  <c r="R601" i="3"/>
  <c r="P601" i="3"/>
  <c r="O601" i="3"/>
  <c r="N601" i="3"/>
  <c r="Q601" i="3" s="1"/>
  <c r="M601" i="3"/>
  <c r="L601" i="3"/>
  <c r="V600" i="3"/>
  <c r="U600" i="3"/>
  <c r="T600" i="3"/>
  <c r="S600" i="3"/>
  <c r="R600" i="3"/>
  <c r="P600" i="3"/>
  <c r="O600" i="3"/>
  <c r="N600" i="3"/>
  <c r="Q600" i="3" s="1"/>
  <c r="M600" i="3"/>
  <c r="L600" i="3"/>
  <c r="U599" i="3"/>
  <c r="V599" i="3" s="1"/>
  <c r="T599" i="3"/>
  <c r="S599" i="3"/>
  <c r="R599" i="3"/>
  <c r="Q599" i="3"/>
  <c r="P599" i="3"/>
  <c r="O599" i="3"/>
  <c r="N599" i="3"/>
  <c r="M599" i="3"/>
  <c r="L599" i="3"/>
  <c r="U598" i="3"/>
  <c r="T598" i="3"/>
  <c r="S598" i="3"/>
  <c r="R598" i="3"/>
  <c r="P598" i="3"/>
  <c r="O598" i="3"/>
  <c r="N598" i="3"/>
  <c r="Q598" i="3" s="1"/>
  <c r="M598" i="3"/>
  <c r="L598" i="3"/>
  <c r="V598" i="3" s="1"/>
  <c r="V597" i="3"/>
  <c r="U597" i="3"/>
  <c r="T597" i="3"/>
  <c r="S597" i="3"/>
  <c r="R597" i="3"/>
  <c r="Q597" i="3"/>
  <c r="P597" i="3"/>
  <c r="O597" i="3"/>
  <c r="N597" i="3"/>
  <c r="M597" i="3"/>
  <c r="L597" i="3"/>
  <c r="V596" i="3"/>
  <c r="U596" i="3"/>
  <c r="T596" i="3"/>
  <c r="S596" i="3"/>
  <c r="R596" i="3"/>
  <c r="P596" i="3"/>
  <c r="O596" i="3"/>
  <c r="N596" i="3"/>
  <c r="Q596" i="3" s="1"/>
  <c r="M596" i="3"/>
  <c r="L596" i="3"/>
  <c r="U595" i="3"/>
  <c r="V595" i="3" s="1"/>
  <c r="T595" i="3"/>
  <c r="S595" i="3"/>
  <c r="R595" i="3"/>
  <c r="Q595" i="3"/>
  <c r="P595" i="3"/>
  <c r="O595" i="3"/>
  <c r="N595" i="3"/>
  <c r="M595" i="3"/>
  <c r="L595" i="3"/>
  <c r="U594" i="3"/>
  <c r="T594" i="3"/>
  <c r="S594" i="3"/>
  <c r="R594" i="3"/>
  <c r="P594" i="3"/>
  <c r="O594" i="3"/>
  <c r="N594" i="3"/>
  <c r="Q594" i="3" s="1"/>
  <c r="M594" i="3"/>
  <c r="L594" i="3"/>
  <c r="V594" i="3" s="1"/>
  <c r="U593" i="3"/>
  <c r="V593" i="3" s="1"/>
  <c r="T593" i="3"/>
  <c r="S593" i="3"/>
  <c r="R593" i="3"/>
  <c r="P593" i="3"/>
  <c r="O593" i="3"/>
  <c r="N593" i="3"/>
  <c r="Q593" i="3" s="1"/>
  <c r="M593" i="3"/>
  <c r="L593" i="3"/>
  <c r="V592" i="3"/>
  <c r="U592" i="3"/>
  <c r="T592" i="3"/>
  <c r="S592" i="3"/>
  <c r="R592" i="3"/>
  <c r="P592" i="3"/>
  <c r="O592" i="3"/>
  <c r="N592" i="3"/>
  <c r="Q592" i="3" s="1"/>
  <c r="M592" i="3"/>
  <c r="L592" i="3"/>
  <c r="U591" i="3"/>
  <c r="V591" i="3" s="1"/>
  <c r="T591" i="3"/>
  <c r="S591" i="3"/>
  <c r="R591" i="3"/>
  <c r="Q591" i="3"/>
  <c r="P591" i="3"/>
  <c r="O591" i="3"/>
  <c r="N591" i="3"/>
  <c r="M591" i="3"/>
  <c r="L591" i="3"/>
  <c r="U590" i="3"/>
  <c r="T590" i="3"/>
  <c r="S590" i="3"/>
  <c r="R590" i="3"/>
  <c r="P590" i="3"/>
  <c r="O590" i="3"/>
  <c r="N590" i="3"/>
  <c r="Q590" i="3" s="1"/>
  <c r="M590" i="3"/>
  <c r="L590" i="3"/>
  <c r="V590" i="3" s="1"/>
  <c r="V589" i="3"/>
  <c r="U589" i="3"/>
  <c r="T589" i="3"/>
  <c r="S589" i="3"/>
  <c r="R589" i="3"/>
  <c r="Q589" i="3"/>
  <c r="P589" i="3"/>
  <c r="O589" i="3"/>
  <c r="N589" i="3"/>
  <c r="M589" i="3"/>
  <c r="L589" i="3"/>
  <c r="V588" i="3"/>
  <c r="U588" i="3"/>
  <c r="T588" i="3"/>
  <c r="S588" i="3"/>
  <c r="R588" i="3"/>
  <c r="P588" i="3"/>
  <c r="O588" i="3"/>
  <c r="N588" i="3"/>
  <c r="Q588" i="3" s="1"/>
  <c r="M588" i="3"/>
  <c r="L588" i="3"/>
  <c r="U587" i="3"/>
  <c r="V587" i="3" s="1"/>
  <c r="T587" i="3"/>
  <c r="S587" i="3"/>
  <c r="R587" i="3"/>
  <c r="Q587" i="3"/>
  <c r="P587" i="3"/>
  <c r="O587" i="3"/>
  <c r="N587" i="3"/>
  <c r="M587" i="3"/>
  <c r="L587" i="3"/>
  <c r="U586" i="3"/>
  <c r="T586" i="3"/>
  <c r="S586" i="3"/>
  <c r="R586" i="3"/>
  <c r="P586" i="3"/>
  <c r="O586" i="3"/>
  <c r="N586" i="3"/>
  <c r="Q586" i="3" s="1"/>
  <c r="M586" i="3"/>
  <c r="L586" i="3"/>
  <c r="V586" i="3" s="1"/>
  <c r="U585" i="3"/>
  <c r="V585" i="3" s="1"/>
  <c r="T585" i="3"/>
  <c r="S585" i="3"/>
  <c r="R585" i="3"/>
  <c r="P585" i="3"/>
  <c r="O585" i="3"/>
  <c r="N585" i="3"/>
  <c r="Q585" i="3" s="1"/>
  <c r="M585" i="3"/>
  <c r="L585" i="3"/>
  <c r="V584" i="3"/>
  <c r="U584" i="3"/>
  <c r="T584" i="3"/>
  <c r="S584" i="3"/>
  <c r="R584" i="3"/>
  <c r="P584" i="3"/>
  <c r="O584" i="3"/>
  <c r="N584" i="3"/>
  <c r="Q584" i="3" s="1"/>
  <c r="M584" i="3"/>
  <c r="L584" i="3"/>
  <c r="U583" i="3"/>
  <c r="T583" i="3"/>
  <c r="S583" i="3"/>
  <c r="R583" i="3"/>
  <c r="Q583" i="3"/>
  <c r="P583" i="3"/>
  <c r="O583" i="3"/>
  <c r="N583" i="3"/>
  <c r="M583" i="3"/>
  <c r="L583" i="3"/>
  <c r="U582" i="3"/>
  <c r="T582" i="3"/>
  <c r="S582" i="3"/>
  <c r="R582" i="3"/>
  <c r="P582" i="3"/>
  <c r="O582" i="3"/>
  <c r="N582" i="3"/>
  <c r="Q582" i="3" s="1"/>
  <c r="M582" i="3"/>
  <c r="L582" i="3"/>
  <c r="V582" i="3" s="1"/>
  <c r="V581" i="3"/>
  <c r="U581" i="3"/>
  <c r="T581" i="3"/>
  <c r="S581" i="3"/>
  <c r="R581" i="3"/>
  <c r="Q581" i="3"/>
  <c r="P581" i="3"/>
  <c r="O581" i="3"/>
  <c r="N581" i="3"/>
  <c r="M581" i="3"/>
  <c r="L581" i="3"/>
  <c r="V580" i="3"/>
  <c r="U580" i="3"/>
  <c r="T580" i="3"/>
  <c r="S580" i="3"/>
  <c r="R580" i="3"/>
  <c r="P580" i="3"/>
  <c r="O580" i="3"/>
  <c r="N580" i="3"/>
  <c r="Q580" i="3" s="1"/>
  <c r="M580" i="3"/>
  <c r="L580" i="3"/>
  <c r="U579" i="3"/>
  <c r="V579" i="3" s="1"/>
  <c r="T579" i="3"/>
  <c r="S579" i="3"/>
  <c r="R579" i="3"/>
  <c r="Q579" i="3"/>
  <c r="P579" i="3"/>
  <c r="O579" i="3"/>
  <c r="N579" i="3"/>
  <c r="M579" i="3"/>
  <c r="L579" i="3"/>
  <c r="U578" i="3"/>
  <c r="T578" i="3"/>
  <c r="S578" i="3"/>
  <c r="R578" i="3"/>
  <c r="P578" i="3"/>
  <c r="O578" i="3"/>
  <c r="N578" i="3"/>
  <c r="Q578" i="3" s="1"/>
  <c r="M578" i="3"/>
  <c r="L578" i="3"/>
  <c r="V578" i="3" s="1"/>
  <c r="V577" i="3"/>
  <c r="U577" i="3"/>
  <c r="T577" i="3"/>
  <c r="S577" i="3"/>
  <c r="R577" i="3"/>
  <c r="P577" i="3"/>
  <c r="O577" i="3"/>
  <c r="N577" i="3"/>
  <c r="Q577" i="3" s="1"/>
  <c r="M577" i="3"/>
  <c r="L577" i="3"/>
  <c r="U576" i="3"/>
  <c r="V576" i="3" s="1"/>
  <c r="T576" i="3"/>
  <c r="S576" i="3"/>
  <c r="R576" i="3"/>
  <c r="P576" i="3"/>
  <c r="O576" i="3"/>
  <c r="N576" i="3"/>
  <c r="Q576" i="3" s="1"/>
  <c r="M576" i="3"/>
  <c r="L576" i="3"/>
  <c r="U575" i="3"/>
  <c r="T575" i="3"/>
  <c r="S575" i="3"/>
  <c r="R575" i="3"/>
  <c r="Q575" i="3"/>
  <c r="P575" i="3"/>
  <c r="O575" i="3"/>
  <c r="N575" i="3"/>
  <c r="M575" i="3"/>
  <c r="L575" i="3"/>
  <c r="V574" i="3"/>
  <c r="U574" i="3"/>
  <c r="T574" i="3"/>
  <c r="S574" i="3"/>
  <c r="R574" i="3"/>
  <c r="P574" i="3"/>
  <c r="O574" i="3"/>
  <c r="N574" i="3"/>
  <c r="Q574" i="3" s="1"/>
  <c r="M574" i="3"/>
  <c r="L574" i="3"/>
  <c r="U573" i="3"/>
  <c r="V573" i="3" s="1"/>
  <c r="T573" i="3"/>
  <c r="S573" i="3"/>
  <c r="R573" i="3"/>
  <c r="Q573" i="3"/>
  <c r="P573" i="3"/>
  <c r="O573" i="3"/>
  <c r="N573" i="3"/>
  <c r="M573" i="3"/>
  <c r="L573" i="3"/>
  <c r="U572" i="3"/>
  <c r="V572" i="3" s="1"/>
  <c r="T572" i="3"/>
  <c r="S572" i="3"/>
  <c r="R572" i="3"/>
  <c r="P572" i="3"/>
  <c r="O572" i="3"/>
  <c r="N572" i="3"/>
  <c r="Q572" i="3" s="1"/>
  <c r="M572" i="3"/>
  <c r="L572" i="3"/>
  <c r="U571" i="3"/>
  <c r="V571" i="3" s="1"/>
  <c r="T571" i="3"/>
  <c r="S571" i="3"/>
  <c r="R571" i="3"/>
  <c r="Q571" i="3"/>
  <c r="P571" i="3"/>
  <c r="O571" i="3"/>
  <c r="N571" i="3"/>
  <c r="M571" i="3"/>
  <c r="L571" i="3"/>
  <c r="U570" i="3"/>
  <c r="T570" i="3"/>
  <c r="S570" i="3"/>
  <c r="R570" i="3"/>
  <c r="P570" i="3"/>
  <c r="O570" i="3"/>
  <c r="N570" i="3"/>
  <c r="Q570" i="3" s="1"/>
  <c r="M570" i="3"/>
  <c r="L570" i="3"/>
  <c r="V570" i="3" s="1"/>
  <c r="V569" i="3"/>
  <c r="U569" i="3"/>
  <c r="T569" i="3"/>
  <c r="S569" i="3"/>
  <c r="R569" i="3"/>
  <c r="P569" i="3"/>
  <c r="O569" i="3"/>
  <c r="N569" i="3"/>
  <c r="Q569" i="3" s="1"/>
  <c r="M569" i="3"/>
  <c r="L569" i="3"/>
  <c r="U568" i="3"/>
  <c r="V568" i="3" s="1"/>
  <c r="T568" i="3"/>
  <c r="S568" i="3"/>
  <c r="R568" i="3"/>
  <c r="Q568" i="3"/>
  <c r="P568" i="3"/>
  <c r="O568" i="3"/>
  <c r="N568" i="3"/>
  <c r="M568" i="3"/>
  <c r="L568" i="3"/>
  <c r="U567" i="3"/>
  <c r="T567" i="3"/>
  <c r="S567" i="3"/>
  <c r="R567" i="3"/>
  <c r="Q567" i="3"/>
  <c r="P567" i="3"/>
  <c r="O567" i="3"/>
  <c r="N567" i="3"/>
  <c r="M567" i="3"/>
  <c r="L567" i="3"/>
  <c r="V566" i="3"/>
  <c r="U566" i="3"/>
  <c r="T566" i="3"/>
  <c r="S566" i="3"/>
  <c r="R566" i="3"/>
  <c r="P566" i="3"/>
  <c r="O566" i="3"/>
  <c r="N566" i="3"/>
  <c r="Q566" i="3" s="1"/>
  <c r="M566" i="3"/>
  <c r="L566" i="3"/>
  <c r="V565" i="3"/>
  <c r="U565" i="3"/>
  <c r="T565" i="3"/>
  <c r="S565" i="3"/>
  <c r="R565" i="3"/>
  <c r="Q565" i="3"/>
  <c r="P565" i="3"/>
  <c r="O565" i="3"/>
  <c r="N565" i="3"/>
  <c r="M565" i="3"/>
  <c r="L565" i="3"/>
  <c r="U564" i="3"/>
  <c r="T564" i="3"/>
  <c r="S564" i="3"/>
  <c r="R564" i="3"/>
  <c r="P564" i="3"/>
  <c r="O564" i="3"/>
  <c r="N564" i="3"/>
  <c r="Q564" i="3" s="1"/>
  <c r="M564" i="3"/>
  <c r="L564" i="3"/>
  <c r="V564" i="3" s="1"/>
  <c r="U563" i="3"/>
  <c r="V563" i="3" s="1"/>
  <c r="T563" i="3"/>
  <c r="S563" i="3"/>
  <c r="R563" i="3"/>
  <c r="Q563" i="3"/>
  <c r="P563" i="3"/>
  <c r="O563" i="3"/>
  <c r="N563" i="3"/>
  <c r="M563" i="3"/>
  <c r="L563" i="3"/>
  <c r="V562" i="3"/>
  <c r="U562" i="3"/>
  <c r="T562" i="3"/>
  <c r="S562" i="3"/>
  <c r="R562" i="3"/>
  <c r="P562" i="3"/>
  <c r="O562" i="3"/>
  <c r="N562" i="3"/>
  <c r="Q562" i="3" s="1"/>
  <c r="M562" i="3"/>
  <c r="L562" i="3"/>
  <c r="V561" i="3"/>
  <c r="U561" i="3"/>
  <c r="T561" i="3"/>
  <c r="S561" i="3"/>
  <c r="R561" i="3"/>
  <c r="P561" i="3"/>
  <c r="O561" i="3"/>
  <c r="N561" i="3"/>
  <c r="Q561" i="3" s="1"/>
  <c r="M561" i="3"/>
  <c r="L561" i="3"/>
  <c r="U560" i="3"/>
  <c r="V560" i="3" s="1"/>
  <c r="T560" i="3"/>
  <c r="S560" i="3"/>
  <c r="R560" i="3"/>
  <c r="P560" i="3"/>
  <c r="O560" i="3"/>
  <c r="N560" i="3"/>
  <c r="Q560" i="3" s="1"/>
  <c r="M560" i="3"/>
  <c r="L560" i="3"/>
  <c r="U559" i="3"/>
  <c r="T559" i="3"/>
  <c r="S559" i="3"/>
  <c r="R559" i="3"/>
  <c r="Q559" i="3"/>
  <c r="P559" i="3"/>
  <c r="O559" i="3"/>
  <c r="N559" i="3"/>
  <c r="M559" i="3"/>
  <c r="L559" i="3"/>
  <c r="V558" i="3"/>
  <c r="U558" i="3"/>
  <c r="T558" i="3"/>
  <c r="S558" i="3"/>
  <c r="R558" i="3"/>
  <c r="P558" i="3"/>
  <c r="O558" i="3"/>
  <c r="N558" i="3"/>
  <c r="Q558" i="3" s="1"/>
  <c r="M558" i="3"/>
  <c r="L558" i="3"/>
  <c r="U557" i="3"/>
  <c r="V557" i="3" s="1"/>
  <c r="T557" i="3"/>
  <c r="S557" i="3"/>
  <c r="R557" i="3"/>
  <c r="P557" i="3"/>
  <c r="O557" i="3"/>
  <c r="N557" i="3"/>
  <c r="Q557" i="3" s="1"/>
  <c r="M557" i="3"/>
  <c r="L557" i="3"/>
  <c r="U556" i="3"/>
  <c r="V556" i="3" s="1"/>
  <c r="T556" i="3"/>
  <c r="S556" i="3"/>
  <c r="R556" i="3"/>
  <c r="P556" i="3"/>
  <c r="O556" i="3"/>
  <c r="N556" i="3"/>
  <c r="Q556" i="3" s="1"/>
  <c r="M556" i="3"/>
  <c r="L556" i="3"/>
  <c r="U555" i="3"/>
  <c r="V555" i="3" s="1"/>
  <c r="T555" i="3"/>
  <c r="S555" i="3"/>
  <c r="R555" i="3"/>
  <c r="Q555" i="3"/>
  <c r="P555" i="3"/>
  <c r="O555" i="3"/>
  <c r="N555" i="3"/>
  <c r="M555" i="3"/>
  <c r="L555" i="3"/>
  <c r="U554" i="3"/>
  <c r="V554" i="3" s="1"/>
  <c r="T554" i="3"/>
  <c r="S554" i="3"/>
  <c r="R554" i="3"/>
  <c r="P554" i="3"/>
  <c r="O554" i="3"/>
  <c r="N554" i="3"/>
  <c r="Q554" i="3" s="1"/>
  <c r="M554" i="3"/>
  <c r="L554" i="3"/>
  <c r="V553" i="3"/>
  <c r="U553" i="3"/>
  <c r="T553" i="3"/>
  <c r="S553" i="3"/>
  <c r="R553" i="3"/>
  <c r="P553" i="3"/>
  <c r="O553" i="3"/>
  <c r="N553" i="3"/>
  <c r="Q553" i="3" s="1"/>
  <c r="M553" i="3"/>
  <c r="L553" i="3"/>
  <c r="U552" i="3"/>
  <c r="V552" i="3" s="1"/>
  <c r="T552" i="3"/>
  <c r="S552" i="3"/>
  <c r="R552" i="3"/>
  <c r="Q552" i="3"/>
  <c r="P552" i="3"/>
  <c r="O552" i="3"/>
  <c r="N552" i="3"/>
  <c r="M552" i="3"/>
  <c r="L552" i="3"/>
  <c r="U551" i="3"/>
  <c r="V551" i="3" s="1"/>
  <c r="T551" i="3"/>
  <c r="S551" i="3"/>
  <c r="R551" i="3"/>
  <c r="Q551" i="3"/>
  <c r="P551" i="3"/>
  <c r="O551" i="3"/>
  <c r="N551" i="3"/>
  <c r="M551" i="3"/>
  <c r="L551" i="3"/>
  <c r="V550" i="3"/>
  <c r="U550" i="3"/>
  <c r="T550" i="3"/>
  <c r="S550" i="3"/>
  <c r="R550" i="3"/>
  <c r="P550" i="3"/>
  <c r="O550" i="3"/>
  <c r="N550" i="3"/>
  <c r="Q550" i="3" s="1"/>
  <c r="M550" i="3"/>
  <c r="L550" i="3"/>
  <c r="V549" i="3"/>
  <c r="U549" i="3"/>
  <c r="T549" i="3"/>
  <c r="S549" i="3"/>
  <c r="R549" i="3"/>
  <c r="P549" i="3"/>
  <c r="O549" i="3"/>
  <c r="N549" i="3"/>
  <c r="Q549" i="3" s="1"/>
  <c r="M549" i="3"/>
  <c r="L549" i="3"/>
  <c r="U548" i="3"/>
  <c r="V548" i="3" s="1"/>
  <c r="T548" i="3"/>
  <c r="S548" i="3"/>
  <c r="R548" i="3"/>
  <c r="P548" i="3"/>
  <c r="O548" i="3"/>
  <c r="N548" i="3"/>
  <c r="Q548" i="3" s="1"/>
  <c r="M548" i="3"/>
  <c r="L548" i="3"/>
  <c r="U547" i="3"/>
  <c r="T547" i="3"/>
  <c r="S547" i="3"/>
  <c r="R547" i="3"/>
  <c r="Q547" i="3"/>
  <c r="P547" i="3"/>
  <c r="O547" i="3"/>
  <c r="N547" i="3"/>
  <c r="M547" i="3"/>
  <c r="L547" i="3"/>
  <c r="V546" i="3"/>
  <c r="U546" i="3"/>
  <c r="T546" i="3"/>
  <c r="S546" i="3"/>
  <c r="R546" i="3"/>
  <c r="P546" i="3"/>
  <c r="O546" i="3"/>
  <c r="N546" i="3"/>
  <c r="Q546" i="3" s="1"/>
  <c r="M546" i="3"/>
  <c r="L546" i="3"/>
  <c r="U545" i="3"/>
  <c r="V545" i="3" s="1"/>
  <c r="T545" i="3"/>
  <c r="S545" i="3"/>
  <c r="R545" i="3"/>
  <c r="Q545" i="3"/>
  <c r="P545" i="3"/>
  <c r="O545" i="3"/>
  <c r="N545" i="3"/>
  <c r="M545" i="3"/>
  <c r="L545" i="3"/>
  <c r="U544" i="3"/>
  <c r="V544" i="3" s="1"/>
  <c r="T544" i="3"/>
  <c r="S544" i="3"/>
  <c r="R544" i="3"/>
  <c r="P544" i="3"/>
  <c r="O544" i="3"/>
  <c r="N544" i="3"/>
  <c r="Q544" i="3" s="1"/>
  <c r="M544" i="3"/>
  <c r="L544" i="3"/>
  <c r="U543" i="3"/>
  <c r="V543" i="3" s="1"/>
  <c r="T543" i="3"/>
  <c r="S543" i="3"/>
  <c r="R543" i="3"/>
  <c r="P543" i="3"/>
  <c r="O543" i="3"/>
  <c r="N543" i="3"/>
  <c r="Q543" i="3" s="1"/>
  <c r="M543" i="3"/>
  <c r="L543" i="3"/>
  <c r="V542" i="3"/>
  <c r="U542" i="3"/>
  <c r="T542" i="3"/>
  <c r="S542" i="3"/>
  <c r="R542" i="3"/>
  <c r="P542" i="3"/>
  <c r="O542" i="3"/>
  <c r="N542" i="3"/>
  <c r="Q542" i="3" s="1"/>
  <c r="M542" i="3"/>
  <c r="L542" i="3"/>
  <c r="U541" i="3"/>
  <c r="V541" i="3" s="1"/>
  <c r="T541" i="3"/>
  <c r="S541" i="3"/>
  <c r="R541" i="3"/>
  <c r="Q541" i="3"/>
  <c r="P541" i="3"/>
  <c r="O541" i="3"/>
  <c r="N541" i="3"/>
  <c r="M541" i="3"/>
  <c r="L541" i="3"/>
  <c r="U540" i="3"/>
  <c r="T540" i="3"/>
  <c r="S540" i="3"/>
  <c r="R540" i="3"/>
  <c r="P540" i="3"/>
  <c r="O540" i="3"/>
  <c r="N540" i="3"/>
  <c r="Q540" i="3" s="1"/>
  <c r="M540" i="3"/>
  <c r="L540" i="3"/>
  <c r="V540" i="3" s="1"/>
  <c r="U539" i="3"/>
  <c r="V539" i="3" s="1"/>
  <c r="T539" i="3"/>
  <c r="S539" i="3"/>
  <c r="R539" i="3"/>
  <c r="Q539" i="3"/>
  <c r="P539" i="3"/>
  <c r="O539" i="3"/>
  <c r="N539" i="3"/>
  <c r="M539" i="3"/>
  <c r="L539" i="3"/>
  <c r="U538" i="3"/>
  <c r="V538" i="3" s="1"/>
  <c r="T538" i="3"/>
  <c r="S538" i="3"/>
  <c r="R538" i="3"/>
  <c r="P538" i="3"/>
  <c r="O538" i="3"/>
  <c r="N538" i="3"/>
  <c r="Q538" i="3" s="1"/>
  <c r="M538" i="3"/>
  <c r="L538" i="3"/>
  <c r="U537" i="3"/>
  <c r="V537" i="3" s="1"/>
  <c r="T537" i="3"/>
  <c r="S537" i="3"/>
  <c r="R537" i="3"/>
  <c r="P537" i="3"/>
  <c r="O537" i="3"/>
  <c r="N537" i="3"/>
  <c r="Q537" i="3" s="1"/>
  <c r="M537" i="3"/>
  <c r="L537" i="3"/>
  <c r="U536" i="3"/>
  <c r="V536" i="3" s="1"/>
  <c r="T536" i="3"/>
  <c r="S536" i="3"/>
  <c r="R536" i="3"/>
  <c r="P536" i="3"/>
  <c r="O536" i="3"/>
  <c r="N536" i="3"/>
  <c r="Q536" i="3" s="1"/>
  <c r="M536" i="3"/>
  <c r="L536" i="3"/>
  <c r="U535" i="3"/>
  <c r="V535" i="3" s="1"/>
  <c r="T535" i="3"/>
  <c r="S535" i="3"/>
  <c r="R535" i="3"/>
  <c r="Q535" i="3"/>
  <c r="P535" i="3"/>
  <c r="O535" i="3"/>
  <c r="N535" i="3"/>
  <c r="M535" i="3"/>
  <c r="L535" i="3"/>
  <c r="U534" i="3"/>
  <c r="T534" i="3"/>
  <c r="S534" i="3"/>
  <c r="R534" i="3"/>
  <c r="P534" i="3"/>
  <c r="O534" i="3"/>
  <c r="N534" i="3"/>
  <c r="Q534" i="3" s="1"/>
  <c r="M534" i="3"/>
  <c r="L534" i="3"/>
  <c r="V534" i="3" s="1"/>
  <c r="V533" i="3"/>
  <c r="U533" i="3"/>
  <c r="T533" i="3"/>
  <c r="S533" i="3"/>
  <c r="R533" i="3"/>
  <c r="P533" i="3"/>
  <c r="O533" i="3"/>
  <c r="N533" i="3"/>
  <c r="Q533" i="3" s="1"/>
  <c r="M533" i="3"/>
  <c r="L533" i="3"/>
  <c r="U532" i="3"/>
  <c r="V532" i="3" s="1"/>
  <c r="T532" i="3"/>
  <c r="S532" i="3"/>
  <c r="R532" i="3"/>
  <c r="Q532" i="3"/>
  <c r="P532" i="3"/>
  <c r="O532" i="3"/>
  <c r="N532" i="3"/>
  <c r="M532" i="3"/>
  <c r="L532" i="3"/>
  <c r="U531" i="3"/>
  <c r="T531" i="3"/>
  <c r="S531" i="3"/>
  <c r="R531" i="3"/>
  <c r="Q531" i="3"/>
  <c r="P531" i="3"/>
  <c r="O531" i="3"/>
  <c r="N531" i="3"/>
  <c r="M531" i="3"/>
  <c r="L531" i="3"/>
  <c r="V530" i="3"/>
  <c r="U530" i="3"/>
  <c r="T530" i="3"/>
  <c r="S530" i="3"/>
  <c r="R530" i="3"/>
  <c r="P530" i="3"/>
  <c r="O530" i="3"/>
  <c r="N530" i="3"/>
  <c r="Q530" i="3" s="1"/>
  <c r="M530" i="3"/>
  <c r="L530" i="3"/>
  <c r="U529" i="3"/>
  <c r="V529" i="3" s="1"/>
  <c r="T529" i="3"/>
  <c r="S529" i="3"/>
  <c r="R529" i="3"/>
  <c r="Q529" i="3"/>
  <c r="P529" i="3"/>
  <c r="O529" i="3"/>
  <c r="N529" i="3"/>
  <c r="M529" i="3"/>
  <c r="L529" i="3"/>
  <c r="U528" i="3"/>
  <c r="T528" i="3"/>
  <c r="S528" i="3"/>
  <c r="R528" i="3"/>
  <c r="P528" i="3"/>
  <c r="O528" i="3"/>
  <c r="N528" i="3"/>
  <c r="Q528" i="3" s="1"/>
  <c r="M528" i="3"/>
  <c r="L528" i="3"/>
  <c r="V528" i="3" s="1"/>
  <c r="V527" i="3"/>
  <c r="U527" i="3"/>
  <c r="T527" i="3"/>
  <c r="S527" i="3"/>
  <c r="R527" i="3"/>
  <c r="P527" i="3"/>
  <c r="O527" i="3"/>
  <c r="N527" i="3"/>
  <c r="Q527" i="3" s="1"/>
  <c r="M527" i="3"/>
  <c r="L527" i="3"/>
  <c r="U526" i="3"/>
  <c r="T526" i="3"/>
  <c r="S526" i="3"/>
  <c r="R526" i="3"/>
  <c r="Q526" i="3"/>
  <c r="P526" i="3"/>
  <c r="O526" i="3"/>
  <c r="N526" i="3"/>
  <c r="M526" i="3"/>
  <c r="L526" i="3"/>
  <c r="V526" i="3" s="1"/>
  <c r="U525" i="3"/>
  <c r="V525" i="3" s="1"/>
  <c r="T525" i="3"/>
  <c r="S525" i="3"/>
  <c r="R525" i="3"/>
  <c r="Q525" i="3"/>
  <c r="P525" i="3"/>
  <c r="O525" i="3"/>
  <c r="N525" i="3"/>
  <c r="M525" i="3"/>
  <c r="L525" i="3"/>
  <c r="V524" i="3"/>
  <c r="U524" i="3"/>
  <c r="T524" i="3"/>
  <c r="S524" i="3"/>
  <c r="R524" i="3"/>
  <c r="P524" i="3"/>
  <c r="O524" i="3"/>
  <c r="N524" i="3"/>
  <c r="Q524" i="3" s="1"/>
  <c r="M524" i="3"/>
  <c r="L524" i="3"/>
  <c r="U523" i="3"/>
  <c r="T523" i="3"/>
  <c r="S523" i="3"/>
  <c r="R523" i="3"/>
  <c r="Q523" i="3"/>
  <c r="P523" i="3"/>
  <c r="O523" i="3"/>
  <c r="N523" i="3"/>
  <c r="M523" i="3"/>
  <c r="L523" i="3"/>
  <c r="U522" i="3"/>
  <c r="V522" i="3" s="1"/>
  <c r="T522" i="3"/>
  <c r="S522" i="3"/>
  <c r="R522" i="3"/>
  <c r="P522" i="3"/>
  <c r="O522" i="3"/>
  <c r="N522" i="3"/>
  <c r="Q522" i="3" s="1"/>
  <c r="M522" i="3"/>
  <c r="L522" i="3"/>
  <c r="V521" i="3"/>
  <c r="U521" i="3"/>
  <c r="T521" i="3"/>
  <c r="S521" i="3"/>
  <c r="R521" i="3"/>
  <c r="P521" i="3"/>
  <c r="O521" i="3"/>
  <c r="N521" i="3"/>
  <c r="Q521" i="3" s="1"/>
  <c r="M521" i="3"/>
  <c r="L521" i="3"/>
  <c r="U520" i="3"/>
  <c r="V520" i="3" s="1"/>
  <c r="T520" i="3"/>
  <c r="S520" i="3"/>
  <c r="R520" i="3"/>
  <c r="Q520" i="3"/>
  <c r="P520" i="3"/>
  <c r="O520" i="3"/>
  <c r="N520" i="3"/>
  <c r="M520" i="3"/>
  <c r="L520" i="3"/>
  <c r="U519" i="3"/>
  <c r="V519" i="3" s="1"/>
  <c r="T519" i="3"/>
  <c r="S519" i="3"/>
  <c r="R519" i="3"/>
  <c r="Q519" i="3"/>
  <c r="P519" i="3"/>
  <c r="O519" i="3"/>
  <c r="N519" i="3"/>
  <c r="M519" i="3"/>
  <c r="L519" i="3"/>
  <c r="V518" i="3"/>
  <c r="U518" i="3"/>
  <c r="T518" i="3"/>
  <c r="S518" i="3"/>
  <c r="R518" i="3"/>
  <c r="P518" i="3"/>
  <c r="O518" i="3"/>
  <c r="N518" i="3"/>
  <c r="Q518" i="3" s="1"/>
  <c r="M518" i="3"/>
  <c r="L518" i="3"/>
  <c r="U517" i="3"/>
  <c r="V517" i="3" s="1"/>
  <c r="T517" i="3"/>
  <c r="S517" i="3"/>
  <c r="R517" i="3"/>
  <c r="P517" i="3"/>
  <c r="O517" i="3"/>
  <c r="N517" i="3"/>
  <c r="Q517" i="3" s="1"/>
  <c r="M517" i="3"/>
  <c r="L517" i="3"/>
  <c r="U516" i="3"/>
  <c r="V516" i="3" s="1"/>
  <c r="T516" i="3"/>
  <c r="S516" i="3"/>
  <c r="R516" i="3"/>
  <c r="P516" i="3"/>
  <c r="O516" i="3"/>
  <c r="N516" i="3"/>
  <c r="Q516" i="3" s="1"/>
  <c r="M516" i="3"/>
  <c r="L516" i="3"/>
  <c r="U515" i="3"/>
  <c r="T515" i="3"/>
  <c r="S515" i="3"/>
  <c r="R515" i="3"/>
  <c r="Q515" i="3"/>
  <c r="P515" i="3"/>
  <c r="O515" i="3"/>
  <c r="N515" i="3"/>
  <c r="M515" i="3"/>
  <c r="L515" i="3"/>
  <c r="U514" i="3"/>
  <c r="V514" i="3" s="1"/>
  <c r="T514" i="3"/>
  <c r="S514" i="3"/>
  <c r="R514" i="3"/>
  <c r="P514" i="3"/>
  <c r="O514" i="3"/>
  <c r="N514" i="3"/>
  <c r="Q514" i="3" s="1"/>
  <c r="M514" i="3"/>
  <c r="L514" i="3"/>
  <c r="U513" i="3"/>
  <c r="V513" i="3" s="1"/>
  <c r="T513" i="3"/>
  <c r="S513" i="3"/>
  <c r="R513" i="3"/>
  <c r="Q513" i="3"/>
  <c r="P513" i="3"/>
  <c r="O513" i="3"/>
  <c r="N513" i="3"/>
  <c r="M513" i="3"/>
  <c r="L513" i="3"/>
  <c r="U512" i="3"/>
  <c r="V512" i="3" s="1"/>
  <c r="T512" i="3"/>
  <c r="S512" i="3"/>
  <c r="R512" i="3"/>
  <c r="P512" i="3"/>
  <c r="O512" i="3"/>
  <c r="N512" i="3"/>
  <c r="Q512" i="3" s="1"/>
  <c r="M512" i="3"/>
  <c r="L512" i="3"/>
  <c r="U511" i="3"/>
  <c r="V511" i="3" s="1"/>
  <c r="T511" i="3"/>
  <c r="S511" i="3"/>
  <c r="R511" i="3"/>
  <c r="P511" i="3"/>
  <c r="O511" i="3"/>
  <c r="N511" i="3"/>
  <c r="Q511" i="3" s="1"/>
  <c r="M511" i="3"/>
  <c r="L511" i="3"/>
  <c r="V510" i="3"/>
  <c r="U510" i="3"/>
  <c r="T510" i="3"/>
  <c r="S510" i="3"/>
  <c r="R510" i="3"/>
  <c r="P510" i="3"/>
  <c r="O510" i="3"/>
  <c r="N510" i="3"/>
  <c r="Q510" i="3" s="1"/>
  <c r="M510" i="3"/>
  <c r="L510" i="3"/>
  <c r="U509" i="3"/>
  <c r="V509" i="3" s="1"/>
  <c r="T509" i="3"/>
  <c r="S509" i="3"/>
  <c r="R509" i="3"/>
  <c r="Q509" i="3"/>
  <c r="P509" i="3"/>
  <c r="O509" i="3"/>
  <c r="N509" i="3"/>
  <c r="M509" i="3"/>
  <c r="L509" i="3"/>
  <c r="U508" i="3"/>
  <c r="T508" i="3"/>
  <c r="S508" i="3"/>
  <c r="R508" i="3"/>
  <c r="P508" i="3"/>
  <c r="O508" i="3"/>
  <c r="N508" i="3"/>
  <c r="Q508" i="3" s="1"/>
  <c r="M508" i="3"/>
  <c r="L508" i="3"/>
  <c r="V508" i="3" s="1"/>
  <c r="U507" i="3"/>
  <c r="V507" i="3" s="1"/>
  <c r="T507" i="3"/>
  <c r="S507" i="3"/>
  <c r="R507" i="3"/>
  <c r="Q507" i="3"/>
  <c r="P507" i="3"/>
  <c r="O507" i="3"/>
  <c r="N507" i="3"/>
  <c r="M507" i="3"/>
  <c r="L507" i="3"/>
  <c r="U506" i="3"/>
  <c r="V506" i="3" s="1"/>
  <c r="T506" i="3"/>
  <c r="S506" i="3"/>
  <c r="R506" i="3"/>
  <c r="P506" i="3"/>
  <c r="O506" i="3"/>
  <c r="N506" i="3"/>
  <c r="Q506" i="3" s="1"/>
  <c r="M506" i="3"/>
  <c r="L506" i="3"/>
  <c r="U505" i="3"/>
  <c r="V505" i="3" s="1"/>
  <c r="T505" i="3"/>
  <c r="S505" i="3"/>
  <c r="R505" i="3"/>
  <c r="P505" i="3"/>
  <c r="O505" i="3"/>
  <c r="N505" i="3"/>
  <c r="Q505" i="3" s="1"/>
  <c r="M505" i="3"/>
  <c r="L505" i="3"/>
  <c r="U504" i="3"/>
  <c r="V504" i="3" s="1"/>
  <c r="T504" i="3"/>
  <c r="S504" i="3"/>
  <c r="R504" i="3"/>
  <c r="P504" i="3"/>
  <c r="O504" i="3"/>
  <c r="N504" i="3"/>
  <c r="Q504" i="3" s="1"/>
  <c r="M504" i="3"/>
  <c r="L504" i="3"/>
  <c r="U503" i="3"/>
  <c r="V503" i="3" s="1"/>
  <c r="T503" i="3"/>
  <c r="S503" i="3"/>
  <c r="R503" i="3"/>
  <c r="Q503" i="3"/>
  <c r="P503" i="3"/>
  <c r="O503" i="3"/>
  <c r="N503" i="3"/>
  <c r="M503" i="3"/>
  <c r="L503" i="3"/>
  <c r="U502" i="3"/>
  <c r="T502" i="3"/>
  <c r="S502" i="3"/>
  <c r="R502" i="3"/>
  <c r="P502" i="3"/>
  <c r="O502" i="3"/>
  <c r="N502" i="3"/>
  <c r="Q502" i="3" s="1"/>
  <c r="M502" i="3"/>
  <c r="L502" i="3"/>
  <c r="V502" i="3" s="1"/>
  <c r="V501" i="3"/>
  <c r="U501" i="3"/>
  <c r="T501" i="3"/>
  <c r="S501" i="3"/>
  <c r="R501" i="3"/>
  <c r="P501" i="3"/>
  <c r="O501" i="3"/>
  <c r="N501" i="3"/>
  <c r="Q501" i="3" s="1"/>
  <c r="M501" i="3"/>
  <c r="L501" i="3"/>
  <c r="U500" i="3"/>
  <c r="V500" i="3" s="1"/>
  <c r="T500" i="3"/>
  <c r="S500" i="3"/>
  <c r="R500" i="3"/>
  <c r="Q500" i="3"/>
  <c r="P500" i="3"/>
  <c r="O500" i="3"/>
  <c r="N500" i="3"/>
  <c r="M500" i="3"/>
  <c r="L500" i="3"/>
  <c r="U499" i="3"/>
  <c r="T499" i="3"/>
  <c r="S499" i="3"/>
  <c r="R499" i="3"/>
  <c r="Q499" i="3"/>
  <c r="P499" i="3"/>
  <c r="O499" i="3"/>
  <c r="N499" i="3"/>
  <c r="M499" i="3"/>
  <c r="L499" i="3"/>
  <c r="V498" i="3"/>
  <c r="U498" i="3"/>
  <c r="T498" i="3"/>
  <c r="S498" i="3"/>
  <c r="R498" i="3"/>
  <c r="P498" i="3"/>
  <c r="O498" i="3"/>
  <c r="N498" i="3"/>
  <c r="Q498" i="3" s="1"/>
  <c r="M498" i="3"/>
  <c r="L498" i="3"/>
  <c r="U497" i="3"/>
  <c r="V497" i="3" s="1"/>
  <c r="T497" i="3"/>
  <c r="S497" i="3"/>
  <c r="R497" i="3"/>
  <c r="Q497" i="3"/>
  <c r="P497" i="3"/>
  <c r="O497" i="3"/>
  <c r="N497" i="3"/>
  <c r="M497" i="3"/>
  <c r="L497" i="3"/>
  <c r="U496" i="3"/>
  <c r="T496" i="3"/>
  <c r="S496" i="3"/>
  <c r="R496" i="3"/>
  <c r="P496" i="3"/>
  <c r="O496" i="3"/>
  <c r="N496" i="3"/>
  <c r="Q496" i="3" s="1"/>
  <c r="M496" i="3"/>
  <c r="L496" i="3"/>
  <c r="V496" i="3" s="1"/>
  <c r="V495" i="3"/>
  <c r="U495" i="3"/>
  <c r="T495" i="3"/>
  <c r="S495" i="3"/>
  <c r="R495" i="3"/>
  <c r="P495" i="3"/>
  <c r="O495" i="3"/>
  <c r="N495" i="3"/>
  <c r="Q495" i="3" s="1"/>
  <c r="M495" i="3"/>
  <c r="L495" i="3"/>
  <c r="U494" i="3"/>
  <c r="T494" i="3"/>
  <c r="S494" i="3"/>
  <c r="R494" i="3"/>
  <c r="Q494" i="3"/>
  <c r="P494" i="3"/>
  <c r="O494" i="3"/>
  <c r="N494" i="3"/>
  <c r="M494" i="3"/>
  <c r="L494" i="3"/>
  <c r="V494" i="3" s="1"/>
  <c r="U493" i="3"/>
  <c r="V493" i="3" s="1"/>
  <c r="T493" i="3"/>
  <c r="S493" i="3"/>
  <c r="R493" i="3"/>
  <c r="Q493" i="3"/>
  <c r="P493" i="3"/>
  <c r="O493" i="3"/>
  <c r="N493" i="3"/>
  <c r="M493" i="3"/>
  <c r="L493" i="3"/>
  <c r="V492" i="3"/>
  <c r="U492" i="3"/>
  <c r="T492" i="3"/>
  <c r="S492" i="3"/>
  <c r="R492" i="3"/>
  <c r="P492" i="3"/>
  <c r="O492" i="3"/>
  <c r="N492" i="3"/>
  <c r="Q492" i="3" s="1"/>
  <c r="M492" i="3"/>
  <c r="L492" i="3"/>
  <c r="U491" i="3"/>
  <c r="T491" i="3"/>
  <c r="S491" i="3"/>
  <c r="R491" i="3"/>
  <c r="Q491" i="3"/>
  <c r="P491" i="3"/>
  <c r="O491" i="3"/>
  <c r="N491" i="3"/>
  <c r="M491" i="3"/>
  <c r="L491" i="3"/>
  <c r="U490" i="3"/>
  <c r="V490" i="3" s="1"/>
  <c r="T490" i="3"/>
  <c r="S490" i="3"/>
  <c r="R490" i="3"/>
  <c r="P490" i="3"/>
  <c r="O490" i="3"/>
  <c r="N490" i="3"/>
  <c r="Q490" i="3" s="1"/>
  <c r="M490" i="3"/>
  <c r="L490" i="3"/>
  <c r="V489" i="3"/>
  <c r="U489" i="3"/>
  <c r="T489" i="3"/>
  <c r="S489" i="3"/>
  <c r="R489" i="3"/>
  <c r="P489" i="3"/>
  <c r="O489" i="3"/>
  <c r="N489" i="3"/>
  <c r="Q489" i="3" s="1"/>
  <c r="M489" i="3"/>
  <c r="L489" i="3"/>
  <c r="U488" i="3"/>
  <c r="V488" i="3" s="1"/>
  <c r="T488" i="3"/>
  <c r="S488" i="3"/>
  <c r="R488" i="3"/>
  <c r="Q488" i="3"/>
  <c r="P488" i="3"/>
  <c r="O488" i="3"/>
  <c r="N488" i="3"/>
  <c r="M488" i="3"/>
  <c r="L488" i="3"/>
  <c r="U487" i="3"/>
  <c r="V487" i="3" s="1"/>
  <c r="T487" i="3"/>
  <c r="S487" i="3"/>
  <c r="R487" i="3"/>
  <c r="Q487" i="3"/>
  <c r="P487" i="3"/>
  <c r="O487" i="3"/>
  <c r="N487" i="3"/>
  <c r="M487" i="3"/>
  <c r="L487" i="3"/>
  <c r="V486" i="3"/>
  <c r="U486" i="3"/>
  <c r="T486" i="3"/>
  <c r="S486" i="3"/>
  <c r="R486" i="3"/>
  <c r="P486" i="3"/>
  <c r="O486" i="3"/>
  <c r="N486" i="3"/>
  <c r="Q486" i="3" s="1"/>
  <c r="M486" i="3"/>
  <c r="L486" i="3"/>
  <c r="U485" i="3"/>
  <c r="V485" i="3" s="1"/>
  <c r="T485" i="3"/>
  <c r="S485" i="3"/>
  <c r="R485" i="3"/>
  <c r="P485" i="3"/>
  <c r="O485" i="3"/>
  <c r="N485" i="3"/>
  <c r="Q485" i="3" s="1"/>
  <c r="M485" i="3"/>
  <c r="L485" i="3"/>
  <c r="U484" i="3"/>
  <c r="V484" i="3" s="1"/>
  <c r="T484" i="3"/>
  <c r="S484" i="3"/>
  <c r="R484" i="3"/>
  <c r="P484" i="3"/>
  <c r="O484" i="3"/>
  <c r="N484" i="3"/>
  <c r="Q484" i="3" s="1"/>
  <c r="M484" i="3"/>
  <c r="L484" i="3"/>
  <c r="U483" i="3"/>
  <c r="T483" i="3"/>
  <c r="S483" i="3"/>
  <c r="R483" i="3"/>
  <c r="Q483" i="3"/>
  <c r="P483" i="3"/>
  <c r="O483" i="3"/>
  <c r="N483" i="3"/>
  <c r="M483" i="3"/>
  <c r="L483" i="3"/>
  <c r="U482" i="3"/>
  <c r="V482" i="3" s="1"/>
  <c r="T482" i="3"/>
  <c r="S482" i="3"/>
  <c r="R482" i="3"/>
  <c r="P482" i="3"/>
  <c r="O482" i="3"/>
  <c r="N482" i="3"/>
  <c r="Q482" i="3" s="1"/>
  <c r="M482" i="3"/>
  <c r="L482" i="3"/>
  <c r="U481" i="3"/>
  <c r="V481" i="3" s="1"/>
  <c r="T481" i="3"/>
  <c r="S481" i="3"/>
  <c r="R481" i="3"/>
  <c r="Q481" i="3"/>
  <c r="P481" i="3"/>
  <c r="O481" i="3"/>
  <c r="N481" i="3"/>
  <c r="M481" i="3"/>
  <c r="L481" i="3"/>
  <c r="U480" i="3"/>
  <c r="T480" i="3"/>
  <c r="S480" i="3"/>
  <c r="R480" i="3"/>
  <c r="P480" i="3"/>
  <c r="O480" i="3"/>
  <c r="N480" i="3"/>
  <c r="Q480" i="3" s="1"/>
  <c r="M480" i="3"/>
  <c r="L480" i="3"/>
  <c r="V480" i="3" s="1"/>
  <c r="U479" i="3"/>
  <c r="V479" i="3" s="1"/>
  <c r="T479" i="3"/>
  <c r="S479" i="3"/>
  <c r="R479" i="3"/>
  <c r="P479" i="3"/>
  <c r="O479" i="3"/>
  <c r="N479" i="3"/>
  <c r="Q479" i="3" s="1"/>
  <c r="M479" i="3"/>
  <c r="L479" i="3"/>
  <c r="V478" i="3"/>
  <c r="U478" i="3"/>
  <c r="T478" i="3"/>
  <c r="S478" i="3"/>
  <c r="R478" i="3"/>
  <c r="P478" i="3"/>
  <c r="O478" i="3"/>
  <c r="N478" i="3"/>
  <c r="Q478" i="3" s="1"/>
  <c r="M478" i="3"/>
  <c r="L478" i="3"/>
  <c r="U477" i="3"/>
  <c r="V477" i="3" s="1"/>
  <c r="T477" i="3"/>
  <c r="S477" i="3"/>
  <c r="R477" i="3"/>
  <c r="Q477" i="3"/>
  <c r="P477" i="3"/>
  <c r="O477" i="3"/>
  <c r="N477" i="3"/>
  <c r="M477" i="3"/>
  <c r="L477" i="3"/>
  <c r="U476" i="3"/>
  <c r="T476" i="3"/>
  <c r="S476" i="3"/>
  <c r="R476" i="3"/>
  <c r="P476" i="3"/>
  <c r="O476" i="3"/>
  <c r="N476" i="3"/>
  <c r="Q476" i="3" s="1"/>
  <c r="M476" i="3"/>
  <c r="L476" i="3"/>
  <c r="V476" i="3" s="1"/>
  <c r="U475" i="3"/>
  <c r="V475" i="3" s="1"/>
  <c r="T475" i="3"/>
  <c r="S475" i="3"/>
  <c r="R475" i="3"/>
  <c r="Q475" i="3"/>
  <c r="P475" i="3"/>
  <c r="O475" i="3"/>
  <c r="N475" i="3"/>
  <c r="M475" i="3"/>
  <c r="L475" i="3"/>
  <c r="U474" i="3"/>
  <c r="V474" i="3" s="1"/>
  <c r="T474" i="3"/>
  <c r="S474" i="3"/>
  <c r="R474" i="3"/>
  <c r="P474" i="3"/>
  <c r="O474" i="3"/>
  <c r="N474" i="3"/>
  <c r="Q474" i="3" s="1"/>
  <c r="M474" i="3"/>
  <c r="L474" i="3"/>
  <c r="U473" i="3"/>
  <c r="V473" i="3" s="1"/>
  <c r="T473" i="3"/>
  <c r="S473" i="3"/>
  <c r="R473" i="3"/>
  <c r="P473" i="3"/>
  <c r="O473" i="3"/>
  <c r="N473" i="3"/>
  <c r="Q473" i="3" s="1"/>
  <c r="M473" i="3"/>
  <c r="L473" i="3"/>
  <c r="U472" i="3"/>
  <c r="V472" i="3" s="1"/>
  <c r="T472" i="3"/>
  <c r="S472" i="3"/>
  <c r="R472" i="3"/>
  <c r="P472" i="3"/>
  <c r="O472" i="3"/>
  <c r="N472" i="3"/>
  <c r="Q472" i="3" s="1"/>
  <c r="M472" i="3"/>
  <c r="L472" i="3"/>
  <c r="U471" i="3"/>
  <c r="V471" i="3" s="1"/>
  <c r="T471" i="3"/>
  <c r="S471" i="3"/>
  <c r="R471" i="3"/>
  <c r="Q471" i="3"/>
  <c r="P471" i="3"/>
  <c r="O471" i="3"/>
  <c r="N471" i="3"/>
  <c r="M471" i="3"/>
  <c r="L471" i="3"/>
  <c r="U470" i="3"/>
  <c r="T470" i="3"/>
  <c r="S470" i="3"/>
  <c r="R470" i="3"/>
  <c r="P470" i="3"/>
  <c r="O470" i="3"/>
  <c r="N470" i="3"/>
  <c r="Q470" i="3" s="1"/>
  <c r="M470" i="3"/>
  <c r="L470" i="3"/>
  <c r="V470" i="3" s="1"/>
  <c r="V469" i="3"/>
  <c r="U469" i="3"/>
  <c r="T469" i="3"/>
  <c r="S469" i="3"/>
  <c r="R469" i="3"/>
  <c r="P469" i="3"/>
  <c r="O469" i="3"/>
  <c r="N469" i="3"/>
  <c r="Q469" i="3" s="1"/>
  <c r="M469" i="3"/>
  <c r="L469" i="3"/>
  <c r="U468" i="3"/>
  <c r="V468" i="3" s="1"/>
  <c r="T468" i="3"/>
  <c r="S468" i="3"/>
  <c r="R468" i="3"/>
  <c r="Q468" i="3"/>
  <c r="P468" i="3"/>
  <c r="O468" i="3"/>
  <c r="N468" i="3"/>
  <c r="M468" i="3"/>
  <c r="L468" i="3"/>
  <c r="U467" i="3"/>
  <c r="V467" i="3" s="1"/>
  <c r="T467" i="3"/>
  <c r="S467" i="3"/>
  <c r="R467" i="3"/>
  <c r="Q467" i="3"/>
  <c r="P467" i="3"/>
  <c r="O467" i="3"/>
  <c r="N467" i="3"/>
  <c r="M467" i="3"/>
  <c r="L467" i="3"/>
  <c r="U466" i="3"/>
  <c r="T466" i="3"/>
  <c r="S466" i="3"/>
  <c r="R466" i="3"/>
  <c r="P466" i="3"/>
  <c r="O466" i="3"/>
  <c r="N466" i="3"/>
  <c r="Q466" i="3" s="1"/>
  <c r="M466" i="3"/>
  <c r="L466" i="3"/>
  <c r="V466" i="3" s="1"/>
  <c r="U465" i="3"/>
  <c r="V465" i="3" s="1"/>
  <c r="T465" i="3"/>
  <c r="S465" i="3"/>
  <c r="R465" i="3"/>
  <c r="P465" i="3"/>
  <c r="O465" i="3"/>
  <c r="N465" i="3"/>
  <c r="Q465" i="3" s="1"/>
  <c r="M465" i="3"/>
  <c r="L465" i="3"/>
  <c r="U464" i="3"/>
  <c r="V464" i="3" s="1"/>
  <c r="T464" i="3"/>
  <c r="S464" i="3"/>
  <c r="R464" i="3"/>
  <c r="P464" i="3"/>
  <c r="O464" i="3"/>
  <c r="N464" i="3"/>
  <c r="Q464" i="3" s="1"/>
  <c r="M464" i="3"/>
  <c r="L464" i="3"/>
  <c r="U463" i="3"/>
  <c r="V463" i="3" s="1"/>
  <c r="T463" i="3"/>
  <c r="S463" i="3"/>
  <c r="R463" i="3"/>
  <c r="Q463" i="3"/>
  <c r="P463" i="3"/>
  <c r="O463" i="3"/>
  <c r="N463" i="3"/>
  <c r="M463" i="3"/>
  <c r="L463" i="3"/>
  <c r="U462" i="3"/>
  <c r="T462" i="3"/>
  <c r="S462" i="3"/>
  <c r="R462" i="3"/>
  <c r="P462" i="3"/>
  <c r="O462" i="3"/>
  <c r="N462" i="3"/>
  <c r="Q462" i="3" s="1"/>
  <c r="M462" i="3"/>
  <c r="L462" i="3"/>
  <c r="V462" i="3" s="1"/>
  <c r="V461" i="3"/>
  <c r="U461" i="3"/>
  <c r="T461" i="3"/>
  <c r="S461" i="3"/>
  <c r="R461" i="3"/>
  <c r="P461" i="3"/>
  <c r="O461" i="3"/>
  <c r="N461" i="3"/>
  <c r="Q461" i="3" s="1"/>
  <c r="M461" i="3"/>
  <c r="L461" i="3"/>
  <c r="U460" i="3"/>
  <c r="T460" i="3"/>
  <c r="S460" i="3"/>
  <c r="R460" i="3"/>
  <c r="Q460" i="3"/>
  <c r="P460" i="3"/>
  <c r="O460" i="3"/>
  <c r="N460" i="3"/>
  <c r="M460" i="3"/>
  <c r="L460" i="3"/>
  <c r="V460" i="3" s="1"/>
  <c r="U459" i="3"/>
  <c r="V459" i="3" s="1"/>
  <c r="T459" i="3"/>
  <c r="S459" i="3"/>
  <c r="R459" i="3"/>
  <c r="Q459" i="3"/>
  <c r="P459" i="3"/>
  <c r="O459" i="3"/>
  <c r="N459" i="3"/>
  <c r="M459" i="3"/>
  <c r="L459" i="3"/>
  <c r="U458" i="3"/>
  <c r="T458" i="3"/>
  <c r="S458" i="3"/>
  <c r="R458" i="3"/>
  <c r="P458" i="3"/>
  <c r="O458" i="3"/>
  <c r="N458" i="3"/>
  <c r="Q458" i="3" s="1"/>
  <c r="M458" i="3"/>
  <c r="L458" i="3"/>
  <c r="V458" i="3" s="1"/>
  <c r="U457" i="3"/>
  <c r="V457" i="3" s="1"/>
  <c r="T457" i="3"/>
  <c r="S457" i="3"/>
  <c r="R457" i="3"/>
  <c r="P457" i="3"/>
  <c r="O457" i="3"/>
  <c r="N457" i="3"/>
  <c r="Q457" i="3" s="1"/>
  <c r="M457" i="3"/>
  <c r="L457" i="3"/>
  <c r="U456" i="3"/>
  <c r="V456" i="3" s="1"/>
  <c r="T456" i="3"/>
  <c r="S456" i="3"/>
  <c r="R456" i="3"/>
  <c r="P456" i="3"/>
  <c r="O456" i="3"/>
  <c r="N456" i="3"/>
  <c r="Q456" i="3" s="1"/>
  <c r="M456" i="3"/>
  <c r="L456" i="3"/>
  <c r="U455" i="3"/>
  <c r="V455" i="3" s="1"/>
  <c r="T455" i="3"/>
  <c r="S455" i="3"/>
  <c r="R455" i="3"/>
  <c r="Q455" i="3"/>
  <c r="P455" i="3"/>
  <c r="O455" i="3"/>
  <c r="N455" i="3"/>
  <c r="M455" i="3"/>
  <c r="L455" i="3"/>
  <c r="U454" i="3"/>
  <c r="T454" i="3"/>
  <c r="S454" i="3"/>
  <c r="R454" i="3"/>
  <c r="P454" i="3"/>
  <c r="O454" i="3"/>
  <c r="N454" i="3"/>
  <c r="Q454" i="3" s="1"/>
  <c r="M454" i="3"/>
  <c r="L454" i="3"/>
  <c r="V454" i="3" s="1"/>
  <c r="V453" i="3"/>
  <c r="U453" i="3"/>
  <c r="T453" i="3"/>
  <c r="S453" i="3"/>
  <c r="R453" i="3"/>
  <c r="P453" i="3"/>
  <c r="O453" i="3"/>
  <c r="N453" i="3"/>
  <c r="Q453" i="3" s="1"/>
  <c r="M453" i="3"/>
  <c r="L453" i="3"/>
  <c r="U452" i="3"/>
  <c r="V452" i="3" s="1"/>
  <c r="T452" i="3"/>
  <c r="S452" i="3"/>
  <c r="R452" i="3"/>
  <c r="Q452" i="3"/>
  <c r="P452" i="3"/>
  <c r="O452" i="3"/>
  <c r="N452" i="3"/>
  <c r="M452" i="3"/>
  <c r="L452" i="3"/>
  <c r="U451" i="3"/>
  <c r="V451" i="3" s="1"/>
  <c r="T451" i="3"/>
  <c r="S451" i="3"/>
  <c r="R451" i="3"/>
  <c r="Q451" i="3"/>
  <c r="P451" i="3"/>
  <c r="O451" i="3"/>
  <c r="N451" i="3"/>
  <c r="M451" i="3"/>
  <c r="L451" i="3"/>
  <c r="U450" i="3"/>
  <c r="T450" i="3"/>
  <c r="S450" i="3"/>
  <c r="R450" i="3"/>
  <c r="P450" i="3"/>
  <c r="O450" i="3"/>
  <c r="N450" i="3"/>
  <c r="Q450" i="3" s="1"/>
  <c r="M450" i="3"/>
  <c r="L450" i="3"/>
  <c r="V450" i="3" s="1"/>
  <c r="U449" i="3"/>
  <c r="V449" i="3" s="1"/>
  <c r="T449" i="3"/>
  <c r="S449" i="3"/>
  <c r="R449" i="3"/>
  <c r="P449" i="3"/>
  <c r="O449" i="3"/>
  <c r="N449" i="3"/>
  <c r="Q449" i="3" s="1"/>
  <c r="M449" i="3"/>
  <c r="L449" i="3"/>
  <c r="U448" i="3"/>
  <c r="V448" i="3" s="1"/>
  <c r="T448" i="3"/>
  <c r="S448" i="3"/>
  <c r="R448" i="3"/>
  <c r="P448" i="3"/>
  <c r="O448" i="3"/>
  <c r="N448" i="3"/>
  <c r="Q448" i="3" s="1"/>
  <c r="M448" i="3"/>
  <c r="L448" i="3"/>
  <c r="U447" i="3"/>
  <c r="V447" i="3" s="1"/>
  <c r="T447" i="3"/>
  <c r="S447" i="3"/>
  <c r="R447" i="3"/>
  <c r="Q447" i="3"/>
  <c r="P447" i="3"/>
  <c r="O447" i="3"/>
  <c r="N447" i="3"/>
  <c r="M447" i="3"/>
  <c r="L447" i="3"/>
  <c r="U446" i="3"/>
  <c r="T446" i="3"/>
  <c r="S446" i="3"/>
  <c r="R446" i="3"/>
  <c r="P446" i="3"/>
  <c r="O446" i="3"/>
  <c r="N446" i="3"/>
  <c r="Q446" i="3" s="1"/>
  <c r="M446" i="3"/>
  <c r="L446" i="3"/>
  <c r="V446" i="3" s="1"/>
  <c r="V445" i="3"/>
  <c r="U445" i="3"/>
  <c r="T445" i="3"/>
  <c r="S445" i="3"/>
  <c r="R445" i="3"/>
  <c r="P445" i="3"/>
  <c r="O445" i="3"/>
  <c r="N445" i="3"/>
  <c r="Q445" i="3" s="1"/>
  <c r="M445" i="3"/>
  <c r="L445" i="3"/>
  <c r="U444" i="3"/>
  <c r="V444" i="3" s="1"/>
  <c r="T444" i="3"/>
  <c r="S444" i="3"/>
  <c r="R444" i="3"/>
  <c r="Q444" i="3"/>
  <c r="P444" i="3"/>
  <c r="O444" i="3"/>
  <c r="N444" i="3"/>
  <c r="M444" i="3"/>
  <c r="L444" i="3"/>
  <c r="U443" i="3"/>
  <c r="V443" i="3" s="1"/>
  <c r="T443" i="3"/>
  <c r="S443" i="3"/>
  <c r="R443" i="3"/>
  <c r="Q443" i="3"/>
  <c r="P443" i="3"/>
  <c r="O443" i="3"/>
  <c r="N443" i="3"/>
  <c r="M443" i="3"/>
  <c r="L443" i="3"/>
  <c r="U442" i="3"/>
  <c r="T442" i="3"/>
  <c r="S442" i="3"/>
  <c r="R442" i="3"/>
  <c r="P442" i="3"/>
  <c r="O442" i="3"/>
  <c r="N442" i="3"/>
  <c r="Q442" i="3" s="1"/>
  <c r="M442" i="3"/>
  <c r="L442" i="3"/>
  <c r="V442" i="3" s="1"/>
  <c r="U441" i="3"/>
  <c r="V441" i="3" s="1"/>
  <c r="T441" i="3"/>
  <c r="S441" i="3"/>
  <c r="R441" i="3"/>
  <c r="P441" i="3"/>
  <c r="O441" i="3"/>
  <c r="N441" i="3"/>
  <c r="Q441" i="3" s="1"/>
  <c r="M441" i="3"/>
  <c r="L441" i="3"/>
  <c r="U440" i="3"/>
  <c r="V440" i="3" s="1"/>
  <c r="T440" i="3"/>
  <c r="S440" i="3"/>
  <c r="R440" i="3"/>
  <c r="P440" i="3"/>
  <c r="O440" i="3"/>
  <c r="N440" i="3"/>
  <c r="Q440" i="3" s="1"/>
  <c r="M440" i="3"/>
  <c r="L440" i="3"/>
  <c r="U439" i="3"/>
  <c r="V439" i="3" s="1"/>
  <c r="T439" i="3"/>
  <c r="S439" i="3"/>
  <c r="R439" i="3"/>
  <c r="Q439" i="3"/>
  <c r="P439" i="3"/>
  <c r="O439" i="3"/>
  <c r="N439" i="3"/>
  <c r="M439" i="3"/>
  <c r="L439" i="3"/>
  <c r="U438" i="3"/>
  <c r="T438" i="3"/>
  <c r="S438" i="3"/>
  <c r="R438" i="3"/>
  <c r="P438" i="3"/>
  <c r="O438" i="3"/>
  <c r="N438" i="3"/>
  <c r="Q438" i="3" s="1"/>
  <c r="M438" i="3"/>
  <c r="L438" i="3"/>
  <c r="V438" i="3" s="1"/>
  <c r="V437" i="3"/>
  <c r="U437" i="3"/>
  <c r="T437" i="3"/>
  <c r="S437" i="3"/>
  <c r="R437" i="3"/>
  <c r="P437" i="3"/>
  <c r="O437" i="3"/>
  <c r="N437" i="3"/>
  <c r="Q437" i="3" s="1"/>
  <c r="M437" i="3"/>
  <c r="L437" i="3"/>
  <c r="U436" i="3"/>
  <c r="V436" i="3" s="1"/>
  <c r="T436" i="3"/>
  <c r="S436" i="3"/>
  <c r="R436" i="3"/>
  <c r="Q436" i="3"/>
  <c r="P436" i="3"/>
  <c r="O436" i="3"/>
  <c r="N436" i="3"/>
  <c r="M436" i="3"/>
  <c r="L436" i="3"/>
  <c r="U435" i="3"/>
  <c r="V435" i="3" s="1"/>
  <c r="T435" i="3"/>
  <c r="S435" i="3"/>
  <c r="R435" i="3"/>
  <c r="Q435" i="3"/>
  <c r="P435" i="3"/>
  <c r="O435" i="3"/>
  <c r="N435" i="3"/>
  <c r="M435" i="3"/>
  <c r="L435" i="3"/>
  <c r="U434" i="3"/>
  <c r="T434" i="3"/>
  <c r="S434" i="3"/>
  <c r="R434" i="3"/>
  <c r="P434" i="3"/>
  <c r="O434" i="3"/>
  <c r="N434" i="3"/>
  <c r="Q434" i="3" s="1"/>
  <c r="M434" i="3"/>
  <c r="L434" i="3"/>
  <c r="V434" i="3" s="1"/>
  <c r="U433" i="3"/>
  <c r="V433" i="3" s="1"/>
  <c r="T433" i="3"/>
  <c r="S433" i="3"/>
  <c r="R433" i="3"/>
  <c r="P433" i="3"/>
  <c r="O433" i="3"/>
  <c r="N433" i="3"/>
  <c r="Q433" i="3" s="1"/>
  <c r="M433" i="3"/>
  <c r="L433" i="3"/>
  <c r="U432" i="3"/>
  <c r="V432" i="3" s="1"/>
  <c r="T432" i="3"/>
  <c r="S432" i="3"/>
  <c r="R432" i="3"/>
  <c r="P432" i="3"/>
  <c r="O432" i="3"/>
  <c r="N432" i="3"/>
  <c r="Q432" i="3" s="1"/>
  <c r="M432" i="3"/>
  <c r="L432" i="3"/>
  <c r="U431" i="3"/>
  <c r="V431" i="3" s="1"/>
  <c r="T431" i="3"/>
  <c r="S431" i="3"/>
  <c r="R431" i="3"/>
  <c r="Q431" i="3"/>
  <c r="P431" i="3"/>
  <c r="O431" i="3"/>
  <c r="N431" i="3"/>
  <c r="M431" i="3"/>
  <c r="L431" i="3"/>
  <c r="U430" i="3"/>
  <c r="T430" i="3"/>
  <c r="S430" i="3"/>
  <c r="R430" i="3"/>
  <c r="P430" i="3"/>
  <c r="O430" i="3"/>
  <c r="N430" i="3"/>
  <c r="Q430" i="3" s="1"/>
  <c r="M430" i="3"/>
  <c r="L430" i="3"/>
  <c r="V430" i="3" s="1"/>
  <c r="V429" i="3"/>
  <c r="U429" i="3"/>
  <c r="T429" i="3"/>
  <c r="S429" i="3"/>
  <c r="R429" i="3"/>
  <c r="P429" i="3"/>
  <c r="O429" i="3"/>
  <c r="N429" i="3"/>
  <c r="Q429" i="3" s="1"/>
  <c r="M429" i="3"/>
  <c r="L429" i="3"/>
  <c r="U428" i="3"/>
  <c r="T428" i="3"/>
  <c r="S428" i="3"/>
  <c r="R428" i="3"/>
  <c r="Q428" i="3"/>
  <c r="P428" i="3"/>
  <c r="O428" i="3"/>
  <c r="N428" i="3"/>
  <c r="M428" i="3"/>
  <c r="L428" i="3"/>
  <c r="V428" i="3" s="1"/>
  <c r="U427" i="3"/>
  <c r="V427" i="3" s="1"/>
  <c r="T427" i="3"/>
  <c r="S427" i="3"/>
  <c r="R427" i="3"/>
  <c r="Q427" i="3"/>
  <c r="P427" i="3"/>
  <c r="O427" i="3"/>
  <c r="N427" i="3"/>
  <c r="M427" i="3"/>
  <c r="L427" i="3"/>
  <c r="U426" i="3"/>
  <c r="T426" i="3"/>
  <c r="S426" i="3"/>
  <c r="R426" i="3"/>
  <c r="P426" i="3"/>
  <c r="O426" i="3"/>
  <c r="N426" i="3"/>
  <c r="Q426" i="3" s="1"/>
  <c r="M426" i="3"/>
  <c r="L426" i="3"/>
  <c r="V426" i="3" s="1"/>
  <c r="U425" i="3"/>
  <c r="V425" i="3" s="1"/>
  <c r="T425" i="3"/>
  <c r="S425" i="3"/>
  <c r="R425" i="3"/>
  <c r="P425" i="3"/>
  <c r="O425" i="3"/>
  <c r="N425" i="3"/>
  <c r="Q425" i="3" s="1"/>
  <c r="M425" i="3"/>
  <c r="L425" i="3"/>
  <c r="U424" i="3"/>
  <c r="V424" i="3" s="1"/>
  <c r="T424" i="3"/>
  <c r="S424" i="3"/>
  <c r="R424" i="3"/>
  <c r="P424" i="3"/>
  <c r="O424" i="3"/>
  <c r="N424" i="3"/>
  <c r="Q424" i="3" s="1"/>
  <c r="M424" i="3"/>
  <c r="L424" i="3"/>
  <c r="U423" i="3"/>
  <c r="V423" i="3" s="1"/>
  <c r="T423" i="3"/>
  <c r="S423" i="3"/>
  <c r="R423" i="3"/>
  <c r="Q423" i="3"/>
  <c r="P423" i="3"/>
  <c r="O423" i="3"/>
  <c r="N423" i="3"/>
  <c r="M423" i="3"/>
  <c r="L423" i="3"/>
  <c r="U422" i="3"/>
  <c r="T422" i="3"/>
  <c r="S422" i="3"/>
  <c r="R422" i="3"/>
  <c r="P422" i="3"/>
  <c r="O422" i="3"/>
  <c r="N422" i="3"/>
  <c r="Q422" i="3" s="1"/>
  <c r="M422" i="3"/>
  <c r="L422" i="3"/>
  <c r="V422" i="3" s="1"/>
  <c r="V421" i="3"/>
  <c r="U421" i="3"/>
  <c r="T421" i="3"/>
  <c r="S421" i="3"/>
  <c r="R421" i="3"/>
  <c r="P421" i="3"/>
  <c r="O421" i="3"/>
  <c r="N421" i="3"/>
  <c r="Q421" i="3" s="1"/>
  <c r="M421" i="3"/>
  <c r="L421" i="3"/>
  <c r="U420" i="3"/>
  <c r="V420" i="3" s="1"/>
  <c r="T420" i="3"/>
  <c r="S420" i="3"/>
  <c r="R420" i="3"/>
  <c r="Q420" i="3"/>
  <c r="P420" i="3"/>
  <c r="O420" i="3"/>
  <c r="N420" i="3"/>
  <c r="M420" i="3"/>
  <c r="L420" i="3"/>
  <c r="U419" i="3"/>
  <c r="V419" i="3" s="1"/>
  <c r="T419" i="3"/>
  <c r="S419" i="3"/>
  <c r="R419" i="3"/>
  <c r="Q419" i="3"/>
  <c r="P419" i="3"/>
  <c r="O419" i="3"/>
  <c r="N419" i="3"/>
  <c r="M419" i="3"/>
  <c r="L419" i="3"/>
  <c r="U418" i="3"/>
  <c r="T418" i="3"/>
  <c r="S418" i="3"/>
  <c r="R418" i="3"/>
  <c r="P418" i="3"/>
  <c r="O418" i="3"/>
  <c r="N418" i="3"/>
  <c r="Q418" i="3" s="1"/>
  <c r="M418" i="3"/>
  <c r="L418" i="3"/>
  <c r="V418" i="3" s="1"/>
  <c r="U417" i="3"/>
  <c r="V417" i="3" s="1"/>
  <c r="T417" i="3"/>
  <c r="S417" i="3"/>
  <c r="R417" i="3"/>
  <c r="P417" i="3"/>
  <c r="O417" i="3"/>
  <c r="N417" i="3"/>
  <c r="Q417" i="3" s="1"/>
  <c r="M417" i="3"/>
  <c r="L417" i="3"/>
  <c r="U416" i="3"/>
  <c r="V416" i="3" s="1"/>
  <c r="T416" i="3"/>
  <c r="S416" i="3"/>
  <c r="R416" i="3"/>
  <c r="P416" i="3"/>
  <c r="O416" i="3"/>
  <c r="N416" i="3"/>
  <c r="Q416" i="3" s="1"/>
  <c r="M416" i="3"/>
  <c r="L416" i="3"/>
  <c r="U415" i="3"/>
  <c r="V415" i="3" s="1"/>
  <c r="T415" i="3"/>
  <c r="S415" i="3"/>
  <c r="R415" i="3"/>
  <c r="Q415" i="3"/>
  <c r="P415" i="3"/>
  <c r="O415" i="3"/>
  <c r="N415" i="3"/>
  <c r="M415" i="3"/>
  <c r="L415" i="3"/>
  <c r="U414" i="3"/>
  <c r="T414" i="3"/>
  <c r="S414" i="3"/>
  <c r="R414" i="3"/>
  <c r="P414" i="3"/>
  <c r="O414" i="3"/>
  <c r="N414" i="3"/>
  <c r="Q414" i="3" s="1"/>
  <c r="M414" i="3"/>
  <c r="L414" i="3"/>
  <c r="V414" i="3" s="1"/>
  <c r="V413" i="3"/>
  <c r="U413" i="3"/>
  <c r="T413" i="3"/>
  <c r="S413" i="3"/>
  <c r="R413" i="3"/>
  <c r="P413" i="3"/>
  <c r="O413" i="3"/>
  <c r="N413" i="3"/>
  <c r="Q413" i="3" s="1"/>
  <c r="M413" i="3"/>
  <c r="L413" i="3"/>
  <c r="U412" i="3"/>
  <c r="V412" i="3" s="1"/>
  <c r="T412" i="3"/>
  <c r="S412" i="3"/>
  <c r="R412" i="3"/>
  <c r="Q412" i="3"/>
  <c r="P412" i="3"/>
  <c r="O412" i="3"/>
  <c r="N412" i="3"/>
  <c r="M412" i="3"/>
  <c r="L412" i="3"/>
  <c r="U411" i="3"/>
  <c r="V411" i="3" s="1"/>
  <c r="T411" i="3"/>
  <c r="S411" i="3"/>
  <c r="R411" i="3"/>
  <c r="Q411" i="3"/>
  <c r="P411" i="3"/>
  <c r="O411" i="3"/>
  <c r="N411" i="3"/>
  <c r="M411" i="3"/>
  <c r="L411" i="3"/>
  <c r="U410" i="3"/>
  <c r="T410" i="3"/>
  <c r="S410" i="3"/>
  <c r="R410" i="3"/>
  <c r="P410" i="3"/>
  <c r="O410" i="3"/>
  <c r="N410" i="3"/>
  <c r="Q410" i="3" s="1"/>
  <c r="M410" i="3"/>
  <c r="L410" i="3"/>
  <c r="V410" i="3" s="1"/>
  <c r="U409" i="3"/>
  <c r="V409" i="3" s="1"/>
  <c r="T409" i="3"/>
  <c r="S409" i="3"/>
  <c r="R409" i="3"/>
  <c r="P409" i="3"/>
  <c r="O409" i="3"/>
  <c r="N409" i="3"/>
  <c r="Q409" i="3" s="1"/>
  <c r="M409" i="3"/>
  <c r="L409" i="3"/>
  <c r="U408" i="3"/>
  <c r="V408" i="3" s="1"/>
  <c r="T408" i="3"/>
  <c r="S408" i="3"/>
  <c r="R408" i="3"/>
  <c r="P408" i="3"/>
  <c r="O408" i="3"/>
  <c r="N408" i="3"/>
  <c r="Q408" i="3" s="1"/>
  <c r="M408" i="3"/>
  <c r="L408" i="3"/>
  <c r="U407" i="3"/>
  <c r="V407" i="3" s="1"/>
  <c r="T407" i="3"/>
  <c r="S407" i="3"/>
  <c r="R407" i="3"/>
  <c r="Q407" i="3"/>
  <c r="P407" i="3"/>
  <c r="O407" i="3"/>
  <c r="N407" i="3"/>
  <c r="M407" i="3"/>
  <c r="L407" i="3"/>
  <c r="U406" i="3"/>
  <c r="T406" i="3"/>
  <c r="S406" i="3"/>
  <c r="R406" i="3"/>
  <c r="P406" i="3"/>
  <c r="O406" i="3"/>
  <c r="N406" i="3"/>
  <c r="Q406" i="3" s="1"/>
  <c r="M406" i="3"/>
  <c r="L406" i="3"/>
  <c r="V406" i="3" s="1"/>
  <c r="V405" i="3"/>
  <c r="U405" i="3"/>
  <c r="T405" i="3"/>
  <c r="S405" i="3"/>
  <c r="R405" i="3"/>
  <c r="P405" i="3"/>
  <c r="O405" i="3"/>
  <c r="N405" i="3"/>
  <c r="Q405" i="3" s="1"/>
  <c r="M405" i="3"/>
  <c r="L405" i="3"/>
  <c r="U404" i="3"/>
  <c r="V404" i="3" s="1"/>
  <c r="T404" i="3"/>
  <c r="S404" i="3"/>
  <c r="R404" i="3"/>
  <c r="Q404" i="3"/>
  <c r="P404" i="3"/>
  <c r="O404" i="3"/>
  <c r="N404" i="3"/>
  <c r="M404" i="3"/>
  <c r="L404" i="3"/>
  <c r="U403" i="3"/>
  <c r="V403" i="3" s="1"/>
  <c r="T403" i="3"/>
  <c r="S403" i="3"/>
  <c r="R403" i="3"/>
  <c r="Q403" i="3"/>
  <c r="P403" i="3"/>
  <c r="O403" i="3"/>
  <c r="N403" i="3"/>
  <c r="M403" i="3"/>
  <c r="L403" i="3"/>
  <c r="U402" i="3"/>
  <c r="T402" i="3"/>
  <c r="S402" i="3"/>
  <c r="R402" i="3"/>
  <c r="P402" i="3"/>
  <c r="O402" i="3"/>
  <c r="N402" i="3"/>
  <c r="Q402" i="3" s="1"/>
  <c r="M402" i="3"/>
  <c r="L402" i="3"/>
  <c r="V402" i="3" s="1"/>
  <c r="U401" i="3"/>
  <c r="V401" i="3" s="1"/>
  <c r="T401" i="3"/>
  <c r="S401" i="3"/>
  <c r="R401" i="3"/>
  <c r="P401" i="3"/>
  <c r="O401" i="3"/>
  <c r="N401" i="3"/>
  <c r="Q401" i="3" s="1"/>
  <c r="M401" i="3"/>
  <c r="L401" i="3"/>
  <c r="U400" i="3"/>
  <c r="V400" i="3" s="1"/>
  <c r="T400" i="3"/>
  <c r="S400" i="3"/>
  <c r="R400" i="3"/>
  <c r="P400" i="3"/>
  <c r="O400" i="3"/>
  <c r="N400" i="3"/>
  <c r="Q400" i="3" s="1"/>
  <c r="M400" i="3"/>
  <c r="L400" i="3"/>
  <c r="U399" i="3"/>
  <c r="V399" i="3" s="1"/>
  <c r="T399" i="3"/>
  <c r="S399" i="3"/>
  <c r="R399" i="3"/>
  <c r="Q399" i="3"/>
  <c r="P399" i="3"/>
  <c r="O399" i="3"/>
  <c r="N399" i="3"/>
  <c r="M399" i="3"/>
  <c r="L399" i="3"/>
  <c r="U398" i="3"/>
  <c r="T398" i="3"/>
  <c r="S398" i="3"/>
  <c r="R398" i="3"/>
  <c r="P398" i="3"/>
  <c r="O398" i="3"/>
  <c r="N398" i="3"/>
  <c r="Q398" i="3" s="1"/>
  <c r="M398" i="3"/>
  <c r="L398" i="3"/>
  <c r="V398" i="3" s="1"/>
  <c r="V397" i="3"/>
  <c r="U397" i="3"/>
  <c r="T397" i="3"/>
  <c r="S397" i="3"/>
  <c r="R397" i="3"/>
  <c r="P397" i="3"/>
  <c r="O397" i="3"/>
  <c r="N397" i="3"/>
  <c r="Q397" i="3" s="1"/>
  <c r="M397" i="3"/>
  <c r="L397" i="3"/>
  <c r="U396" i="3"/>
  <c r="V396" i="3" s="1"/>
  <c r="T396" i="3"/>
  <c r="S396" i="3"/>
  <c r="R396" i="3"/>
  <c r="Q396" i="3"/>
  <c r="P396" i="3"/>
  <c r="O396" i="3"/>
  <c r="N396" i="3"/>
  <c r="M396" i="3"/>
  <c r="L396" i="3"/>
  <c r="U395" i="3"/>
  <c r="V395" i="3" s="1"/>
  <c r="T395" i="3"/>
  <c r="S395" i="3"/>
  <c r="R395" i="3"/>
  <c r="Q395" i="3"/>
  <c r="P395" i="3"/>
  <c r="O395" i="3"/>
  <c r="N395" i="3"/>
  <c r="M395" i="3"/>
  <c r="L395" i="3"/>
  <c r="U394" i="3"/>
  <c r="T394" i="3"/>
  <c r="S394" i="3"/>
  <c r="R394" i="3"/>
  <c r="P394" i="3"/>
  <c r="O394" i="3"/>
  <c r="N394" i="3"/>
  <c r="Q394" i="3" s="1"/>
  <c r="M394" i="3"/>
  <c r="L394" i="3"/>
  <c r="V394" i="3" s="1"/>
  <c r="U393" i="3"/>
  <c r="V393" i="3" s="1"/>
  <c r="T393" i="3"/>
  <c r="S393" i="3"/>
  <c r="R393" i="3"/>
  <c r="P393" i="3"/>
  <c r="O393" i="3"/>
  <c r="N393" i="3"/>
  <c r="Q393" i="3" s="1"/>
  <c r="M393" i="3"/>
  <c r="L393" i="3"/>
  <c r="U392" i="3"/>
  <c r="V392" i="3" s="1"/>
  <c r="T392" i="3"/>
  <c r="S392" i="3"/>
  <c r="R392" i="3"/>
  <c r="P392" i="3"/>
  <c r="O392" i="3"/>
  <c r="N392" i="3"/>
  <c r="Q392" i="3" s="1"/>
  <c r="M392" i="3"/>
  <c r="L392" i="3"/>
  <c r="U391" i="3"/>
  <c r="V391" i="3" s="1"/>
  <c r="T391" i="3"/>
  <c r="S391" i="3"/>
  <c r="R391" i="3"/>
  <c r="Q391" i="3"/>
  <c r="P391" i="3"/>
  <c r="O391" i="3"/>
  <c r="N391" i="3"/>
  <c r="M391" i="3"/>
  <c r="L391" i="3"/>
  <c r="U390" i="3"/>
  <c r="T390" i="3"/>
  <c r="S390" i="3"/>
  <c r="R390" i="3"/>
  <c r="P390" i="3"/>
  <c r="O390" i="3"/>
  <c r="N390" i="3"/>
  <c r="Q390" i="3" s="1"/>
  <c r="M390" i="3"/>
  <c r="L390" i="3"/>
  <c r="V390" i="3" s="1"/>
  <c r="V389" i="3"/>
  <c r="U389" i="3"/>
  <c r="T389" i="3"/>
  <c r="S389" i="3"/>
  <c r="R389" i="3"/>
  <c r="P389" i="3"/>
  <c r="O389" i="3"/>
  <c r="N389" i="3"/>
  <c r="Q389" i="3" s="1"/>
  <c r="M389" i="3"/>
  <c r="L389" i="3"/>
  <c r="U388" i="3"/>
  <c r="V388" i="3" s="1"/>
  <c r="T388" i="3"/>
  <c r="S388" i="3"/>
  <c r="R388" i="3"/>
  <c r="Q388" i="3"/>
  <c r="P388" i="3"/>
  <c r="O388" i="3"/>
  <c r="N388" i="3"/>
  <c r="M388" i="3"/>
  <c r="L388" i="3"/>
  <c r="U387" i="3"/>
  <c r="V387" i="3" s="1"/>
  <c r="T387" i="3"/>
  <c r="S387" i="3"/>
  <c r="R387" i="3"/>
  <c r="Q387" i="3"/>
  <c r="P387" i="3"/>
  <c r="O387" i="3"/>
  <c r="N387" i="3"/>
  <c r="M387" i="3"/>
  <c r="L387" i="3"/>
  <c r="U386" i="3"/>
  <c r="T386" i="3"/>
  <c r="S386" i="3"/>
  <c r="R386" i="3"/>
  <c r="P386" i="3"/>
  <c r="O386" i="3"/>
  <c r="N386" i="3"/>
  <c r="Q386" i="3" s="1"/>
  <c r="M386" i="3"/>
  <c r="L386" i="3"/>
  <c r="V386" i="3" s="1"/>
  <c r="U385" i="3"/>
  <c r="V385" i="3" s="1"/>
  <c r="T385" i="3"/>
  <c r="S385" i="3"/>
  <c r="R385" i="3"/>
  <c r="P385" i="3"/>
  <c r="O385" i="3"/>
  <c r="N385" i="3"/>
  <c r="Q385" i="3" s="1"/>
  <c r="M385" i="3"/>
  <c r="L385" i="3"/>
  <c r="U384" i="3"/>
  <c r="V384" i="3" s="1"/>
  <c r="T384" i="3"/>
  <c r="S384" i="3"/>
  <c r="R384" i="3"/>
  <c r="P384" i="3"/>
  <c r="O384" i="3"/>
  <c r="N384" i="3"/>
  <c r="Q384" i="3" s="1"/>
  <c r="M384" i="3"/>
  <c r="L384" i="3"/>
  <c r="U383" i="3"/>
  <c r="V383" i="3" s="1"/>
  <c r="T383" i="3"/>
  <c r="S383" i="3"/>
  <c r="R383" i="3"/>
  <c r="Q383" i="3"/>
  <c r="P383" i="3"/>
  <c r="O383" i="3"/>
  <c r="N383" i="3"/>
  <c r="M383" i="3"/>
  <c r="L383" i="3"/>
  <c r="U382" i="3"/>
  <c r="T382" i="3"/>
  <c r="S382" i="3"/>
  <c r="R382" i="3"/>
  <c r="P382" i="3"/>
  <c r="O382" i="3"/>
  <c r="N382" i="3"/>
  <c r="Q382" i="3" s="1"/>
  <c r="M382" i="3"/>
  <c r="L382" i="3"/>
  <c r="V382" i="3" s="1"/>
  <c r="V381" i="3"/>
  <c r="U381" i="3"/>
  <c r="T381" i="3"/>
  <c r="S381" i="3"/>
  <c r="R381" i="3"/>
  <c r="P381" i="3"/>
  <c r="O381" i="3"/>
  <c r="N381" i="3"/>
  <c r="Q381" i="3" s="1"/>
  <c r="M381" i="3"/>
  <c r="L381" i="3"/>
  <c r="U380" i="3"/>
  <c r="V380" i="3" s="1"/>
  <c r="T380" i="3"/>
  <c r="S380" i="3"/>
  <c r="R380" i="3"/>
  <c r="Q380" i="3"/>
  <c r="P380" i="3"/>
  <c r="O380" i="3"/>
  <c r="N380" i="3"/>
  <c r="M380" i="3"/>
  <c r="L380" i="3"/>
  <c r="U379" i="3"/>
  <c r="V379" i="3" s="1"/>
  <c r="T379" i="3"/>
  <c r="S379" i="3"/>
  <c r="R379" i="3"/>
  <c r="Q379" i="3"/>
  <c r="P379" i="3"/>
  <c r="O379" i="3"/>
  <c r="N379" i="3"/>
  <c r="M379" i="3"/>
  <c r="L379" i="3"/>
  <c r="U378" i="3"/>
  <c r="T378" i="3"/>
  <c r="S378" i="3"/>
  <c r="R378" i="3"/>
  <c r="P378" i="3"/>
  <c r="O378" i="3"/>
  <c r="N378" i="3"/>
  <c r="Q378" i="3" s="1"/>
  <c r="M378" i="3"/>
  <c r="L378" i="3"/>
  <c r="V378" i="3" s="1"/>
  <c r="U377" i="3"/>
  <c r="V377" i="3" s="1"/>
  <c r="T377" i="3"/>
  <c r="S377" i="3"/>
  <c r="R377" i="3"/>
  <c r="P377" i="3"/>
  <c r="O377" i="3"/>
  <c r="N377" i="3"/>
  <c r="Q377" i="3" s="1"/>
  <c r="M377" i="3"/>
  <c r="L377" i="3"/>
  <c r="U376" i="3"/>
  <c r="V376" i="3" s="1"/>
  <c r="T376" i="3"/>
  <c r="S376" i="3"/>
  <c r="R376" i="3"/>
  <c r="P376" i="3"/>
  <c r="O376" i="3"/>
  <c r="N376" i="3"/>
  <c r="Q376" i="3" s="1"/>
  <c r="M376" i="3"/>
  <c r="L376" i="3"/>
  <c r="U375" i="3"/>
  <c r="V375" i="3" s="1"/>
  <c r="T375" i="3"/>
  <c r="S375" i="3"/>
  <c r="R375" i="3"/>
  <c r="Q375" i="3"/>
  <c r="P375" i="3"/>
  <c r="O375" i="3"/>
  <c r="N375" i="3"/>
  <c r="M375" i="3"/>
  <c r="L375" i="3"/>
  <c r="U374" i="3"/>
  <c r="T374" i="3"/>
  <c r="S374" i="3"/>
  <c r="R374" i="3"/>
  <c r="P374" i="3"/>
  <c r="O374" i="3"/>
  <c r="N374" i="3"/>
  <c r="Q374" i="3" s="1"/>
  <c r="M374" i="3"/>
  <c r="L374" i="3"/>
  <c r="V374" i="3" s="1"/>
  <c r="V373" i="3"/>
  <c r="U373" i="3"/>
  <c r="T373" i="3"/>
  <c r="S373" i="3"/>
  <c r="R373" i="3"/>
  <c r="P373" i="3"/>
  <c r="O373" i="3"/>
  <c r="N373" i="3"/>
  <c r="Q373" i="3" s="1"/>
  <c r="M373" i="3"/>
  <c r="L373" i="3"/>
  <c r="U372" i="3"/>
  <c r="V372" i="3" s="1"/>
  <c r="T372" i="3"/>
  <c r="S372" i="3"/>
  <c r="R372" i="3"/>
  <c r="Q372" i="3"/>
  <c r="P372" i="3"/>
  <c r="O372" i="3"/>
  <c r="N372" i="3"/>
  <c r="M372" i="3"/>
  <c r="L372" i="3"/>
  <c r="U371" i="3"/>
  <c r="V371" i="3" s="1"/>
  <c r="T371" i="3"/>
  <c r="S371" i="3"/>
  <c r="R371" i="3"/>
  <c r="Q371" i="3"/>
  <c r="P371" i="3"/>
  <c r="O371" i="3"/>
  <c r="N371" i="3"/>
  <c r="M371" i="3"/>
  <c r="L371" i="3"/>
  <c r="U370" i="3"/>
  <c r="T370" i="3"/>
  <c r="S370" i="3"/>
  <c r="R370" i="3"/>
  <c r="P370" i="3"/>
  <c r="O370" i="3"/>
  <c r="N370" i="3"/>
  <c r="Q370" i="3" s="1"/>
  <c r="M370" i="3"/>
  <c r="L370" i="3"/>
  <c r="V370" i="3" s="1"/>
  <c r="U369" i="3"/>
  <c r="V369" i="3" s="1"/>
  <c r="T369" i="3"/>
  <c r="S369" i="3"/>
  <c r="R369" i="3"/>
  <c r="P369" i="3"/>
  <c r="O369" i="3"/>
  <c r="N369" i="3"/>
  <c r="Q369" i="3" s="1"/>
  <c r="M369" i="3"/>
  <c r="L369" i="3"/>
  <c r="U368" i="3"/>
  <c r="V368" i="3" s="1"/>
  <c r="T368" i="3"/>
  <c r="S368" i="3"/>
  <c r="R368" i="3"/>
  <c r="P368" i="3"/>
  <c r="O368" i="3"/>
  <c r="N368" i="3"/>
  <c r="Q368" i="3" s="1"/>
  <c r="M368" i="3"/>
  <c r="L368" i="3"/>
  <c r="U367" i="3"/>
  <c r="V367" i="3" s="1"/>
  <c r="T367" i="3"/>
  <c r="S367" i="3"/>
  <c r="R367" i="3"/>
  <c r="Q367" i="3"/>
  <c r="P367" i="3"/>
  <c r="O367" i="3"/>
  <c r="N367" i="3"/>
  <c r="M367" i="3"/>
  <c r="L367" i="3"/>
  <c r="U366" i="3"/>
  <c r="T366" i="3"/>
  <c r="S366" i="3"/>
  <c r="R366" i="3"/>
  <c r="P366" i="3"/>
  <c r="O366" i="3"/>
  <c r="N366" i="3"/>
  <c r="Q366" i="3" s="1"/>
  <c r="M366" i="3"/>
  <c r="L366" i="3"/>
  <c r="V366" i="3" s="1"/>
  <c r="V365" i="3"/>
  <c r="U365" i="3"/>
  <c r="T365" i="3"/>
  <c r="S365" i="3"/>
  <c r="R365" i="3"/>
  <c r="P365" i="3"/>
  <c r="O365" i="3"/>
  <c r="N365" i="3"/>
  <c r="Q365" i="3" s="1"/>
  <c r="M365" i="3"/>
  <c r="L365" i="3"/>
  <c r="U364" i="3"/>
  <c r="V364" i="3" s="1"/>
  <c r="T364" i="3"/>
  <c r="S364" i="3"/>
  <c r="R364" i="3"/>
  <c r="Q364" i="3"/>
  <c r="P364" i="3"/>
  <c r="O364" i="3"/>
  <c r="N364" i="3"/>
  <c r="M364" i="3"/>
  <c r="L364" i="3"/>
  <c r="U363" i="3"/>
  <c r="V363" i="3" s="1"/>
  <c r="T363" i="3"/>
  <c r="S363" i="3"/>
  <c r="R363" i="3"/>
  <c r="Q363" i="3"/>
  <c r="P363" i="3"/>
  <c r="O363" i="3"/>
  <c r="N363" i="3"/>
  <c r="M363" i="3"/>
  <c r="L363" i="3"/>
  <c r="U362" i="3"/>
  <c r="T362" i="3"/>
  <c r="S362" i="3"/>
  <c r="R362" i="3"/>
  <c r="P362" i="3"/>
  <c r="O362" i="3"/>
  <c r="N362" i="3"/>
  <c r="Q362" i="3" s="1"/>
  <c r="M362" i="3"/>
  <c r="L362" i="3"/>
  <c r="V362" i="3" s="1"/>
  <c r="U361" i="3"/>
  <c r="V361" i="3" s="1"/>
  <c r="T361" i="3"/>
  <c r="S361" i="3"/>
  <c r="R361" i="3"/>
  <c r="P361" i="3"/>
  <c r="O361" i="3"/>
  <c r="N361" i="3"/>
  <c r="Q361" i="3" s="1"/>
  <c r="M361" i="3"/>
  <c r="L361" i="3"/>
  <c r="U360" i="3"/>
  <c r="V360" i="3" s="1"/>
  <c r="T360" i="3"/>
  <c r="S360" i="3"/>
  <c r="R360" i="3"/>
  <c r="P360" i="3"/>
  <c r="O360" i="3"/>
  <c r="N360" i="3"/>
  <c r="Q360" i="3" s="1"/>
  <c r="M360" i="3"/>
  <c r="L360" i="3"/>
  <c r="U359" i="3"/>
  <c r="V359" i="3" s="1"/>
  <c r="T359" i="3"/>
  <c r="S359" i="3"/>
  <c r="R359" i="3"/>
  <c r="Q359" i="3"/>
  <c r="P359" i="3"/>
  <c r="O359" i="3"/>
  <c r="N359" i="3"/>
  <c r="M359" i="3"/>
  <c r="L359" i="3"/>
  <c r="U358" i="3"/>
  <c r="T358" i="3"/>
  <c r="S358" i="3"/>
  <c r="R358" i="3"/>
  <c r="P358" i="3"/>
  <c r="O358" i="3"/>
  <c r="N358" i="3"/>
  <c r="Q358" i="3" s="1"/>
  <c r="M358" i="3"/>
  <c r="L358" i="3"/>
  <c r="V358" i="3" s="1"/>
  <c r="V357" i="3"/>
  <c r="U357" i="3"/>
  <c r="T357" i="3"/>
  <c r="S357" i="3"/>
  <c r="R357" i="3"/>
  <c r="P357" i="3"/>
  <c r="O357" i="3"/>
  <c r="N357" i="3"/>
  <c r="Q357" i="3" s="1"/>
  <c r="M357" i="3"/>
  <c r="L357" i="3"/>
  <c r="U356" i="3"/>
  <c r="V356" i="3" s="1"/>
  <c r="T356" i="3"/>
  <c r="S356" i="3"/>
  <c r="R356" i="3"/>
  <c r="Q356" i="3"/>
  <c r="P356" i="3"/>
  <c r="O356" i="3"/>
  <c r="N356" i="3"/>
  <c r="M356" i="3"/>
  <c r="L356" i="3"/>
  <c r="U355" i="3"/>
  <c r="V355" i="3" s="1"/>
  <c r="T355" i="3"/>
  <c r="S355" i="3"/>
  <c r="R355" i="3"/>
  <c r="Q355" i="3"/>
  <c r="P355" i="3"/>
  <c r="O355" i="3"/>
  <c r="N355" i="3"/>
  <c r="M355" i="3"/>
  <c r="L355" i="3"/>
  <c r="U354" i="3"/>
  <c r="T354" i="3"/>
  <c r="S354" i="3"/>
  <c r="R354" i="3"/>
  <c r="P354" i="3"/>
  <c r="O354" i="3"/>
  <c r="N354" i="3"/>
  <c r="Q354" i="3" s="1"/>
  <c r="M354" i="3"/>
  <c r="L354" i="3"/>
  <c r="V354" i="3" s="1"/>
  <c r="U353" i="3"/>
  <c r="V353" i="3" s="1"/>
  <c r="T353" i="3"/>
  <c r="S353" i="3"/>
  <c r="R353" i="3"/>
  <c r="P353" i="3"/>
  <c r="O353" i="3"/>
  <c r="N353" i="3"/>
  <c r="Q353" i="3" s="1"/>
  <c r="M353" i="3"/>
  <c r="L353" i="3"/>
  <c r="U352" i="3"/>
  <c r="V352" i="3" s="1"/>
  <c r="T352" i="3"/>
  <c r="S352" i="3"/>
  <c r="R352" i="3"/>
  <c r="P352" i="3"/>
  <c r="O352" i="3"/>
  <c r="N352" i="3"/>
  <c r="Q352" i="3" s="1"/>
  <c r="M352" i="3"/>
  <c r="L352" i="3"/>
  <c r="U351" i="3"/>
  <c r="V351" i="3" s="1"/>
  <c r="T351" i="3"/>
  <c r="S351" i="3"/>
  <c r="R351" i="3"/>
  <c r="Q351" i="3"/>
  <c r="P351" i="3"/>
  <c r="O351" i="3"/>
  <c r="N351" i="3"/>
  <c r="M351" i="3"/>
  <c r="L351" i="3"/>
  <c r="U350" i="3"/>
  <c r="T350" i="3"/>
  <c r="S350" i="3"/>
  <c r="R350" i="3"/>
  <c r="P350" i="3"/>
  <c r="O350" i="3"/>
  <c r="N350" i="3"/>
  <c r="Q350" i="3" s="1"/>
  <c r="M350" i="3"/>
  <c r="L350" i="3"/>
  <c r="V350" i="3" s="1"/>
  <c r="V349" i="3"/>
  <c r="U349" i="3"/>
  <c r="T349" i="3"/>
  <c r="S349" i="3"/>
  <c r="R349" i="3"/>
  <c r="P349" i="3"/>
  <c r="O349" i="3"/>
  <c r="N349" i="3"/>
  <c r="Q349" i="3" s="1"/>
  <c r="M349" i="3"/>
  <c r="L349" i="3"/>
  <c r="U348" i="3"/>
  <c r="V348" i="3" s="1"/>
  <c r="T348" i="3"/>
  <c r="S348" i="3"/>
  <c r="R348" i="3"/>
  <c r="Q348" i="3"/>
  <c r="P348" i="3"/>
  <c r="O348" i="3"/>
  <c r="N348" i="3"/>
  <c r="M348" i="3"/>
  <c r="L348" i="3"/>
  <c r="U347" i="3"/>
  <c r="V347" i="3" s="1"/>
  <c r="T347" i="3"/>
  <c r="S347" i="3"/>
  <c r="R347" i="3"/>
  <c r="Q347" i="3"/>
  <c r="P347" i="3"/>
  <c r="O347" i="3"/>
  <c r="N347" i="3"/>
  <c r="M347" i="3"/>
  <c r="L347" i="3"/>
  <c r="U346" i="3"/>
  <c r="T346" i="3"/>
  <c r="S346" i="3"/>
  <c r="R346" i="3"/>
  <c r="P346" i="3"/>
  <c r="O346" i="3"/>
  <c r="N346" i="3"/>
  <c r="Q346" i="3" s="1"/>
  <c r="M346" i="3"/>
  <c r="L346" i="3"/>
  <c r="V346" i="3" s="1"/>
  <c r="U345" i="3"/>
  <c r="V345" i="3" s="1"/>
  <c r="T345" i="3"/>
  <c r="S345" i="3"/>
  <c r="R345" i="3"/>
  <c r="P345" i="3"/>
  <c r="O345" i="3"/>
  <c r="N345" i="3"/>
  <c r="Q345" i="3" s="1"/>
  <c r="M345" i="3"/>
  <c r="L345" i="3"/>
  <c r="U344" i="3"/>
  <c r="V344" i="3" s="1"/>
  <c r="T344" i="3"/>
  <c r="S344" i="3"/>
  <c r="R344" i="3"/>
  <c r="P344" i="3"/>
  <c r="O344" i="3"/>
  <c r="N344" i="3"/>
  <c r="Q344" i="3" s="1"/>
  <c r="M344" i="3"/>
  <c r="L344" i="3"/>
  <c r="U343" i="3"/>
  <c r="V343" i="3" s="1"/>
  <c r="T343" i="3"/>
  <c r="S343" i="3"/>
  <c r="R343" i="3"/>
  <c r="Q343" i="3"/>
  <c r="P343" i="3"/>
  <c r="O343" i="3"/>
  <c r="N343" i="3"/>
  <c r="M343" i="3"/>
  <c r="L343" i="3"/>
  <c r="U342" i="3"/>
  <c r="T342" i="3"/>
  <c r="S342" i="3"/>
  <c r="R342" i="3"/>
  <c r="P342" i="3"/>
  <c r="O342" i="3"/>
  <c r="N342" i="3"/>
  <c r="Q342" i="3" s="1"/>
  <c r="M342" i="3"/>
  <c r="L342" i="3"/>
  <c r="V342" i="3" s="1"/>
  <c r="V341" i="3"/>
  <c r="U341" i="3"/>
  <c r="T341" i="3"/>
  <c r="S341" i="3"/>
  <c r="R341" i="3"/>
  <c r="P341" i="3"/>
  <c r="O341" i="3"/>
  <c r="N341" i="3"/>
  <c r="Q341" i="3" s="1"/>
  <c r="M341" i="3"/>
  <c r="L341" i="3"/>
  <c r="U340" i="3"/>
  <c r="V340" i="3" s="1"/>
  <c r="T340" i="3"/>
  <c r="S340" i="3"/>
  <c r="R340" i="3"/>
  <c r="Q340" i="3"/>
  <c r="P340" i="3"/>
  <c r="O340" i="3"/>
  <c r="N340" i="3"/>
  <c r="M340" i="3"/>
  <c r="L340" i="3"/>
  <c r="U339" i="3"/>
  <c r="V339" i="3" s="1"/>
  <c r="T339" i="3"/>
  <c r="S339" i="3"/>
  <c r="R339" i="3"/>
  <c r="Q339" i="3"/>
  <c r="P339" i="3"/>
  <c r="O339" i="3"/>
  <c r="N339" i="3"/>
  <c r="M339" i="3"/>
  <c r="L339" i="3"/>
  <c r="U338" i="3"/>
  <c r="T338" i="3"/>
  <c r="S338" i="3"/>
  <c r="R338" i="3"/>
  <c r="Q338" i="3"/>
  <c r="P338" i="3"/>
  <c r="O338" i="3"/>
  <c r="N338" i="3"/>
  <c r="M338" i="3"/>
  <c r="L338" i="3"/>
  <c r="V338" i="3" s="1"/>
  <c r="U337" i="3"/>
  <c r="V337" i="3" s="1"/>
  <c r="T337" i="3"/>
  <c r="S337" i="3"/>
  <c r="R337" i="3"/>
  <c r="P337" i="3"/>
  <c r="O337" i="3"/>
  <c r="N337" i="3"/>
  <c r="Q337" i="3" s="1"/>
  <c r="M337" i="3"/>
  <c r="L337" i="3"/>
  <c r="U336" i="3"/>
  <c r="V336" i="3" s="1"/>
  <c r="T336" i="3"/>
  <c r="S336" i="3"/>
  <c r="R336" i="3"/>
  <c r="P336" i="3"/>
  <c r="O336" i="3"/>
  <c r="N336" i="3"/>
  <c r="Q336" i="3" s="1"/>
  <c r="M336" i="3"/>
  <c r="L336" i="3"/>
  <c r="U335" i="3"/>
  <c r="V335" i="3" s="1"/>
  <c r="T335" i="3"/>
  <c r="S335" i="3"/>
  <c r="R335" i="3"/>
  <c r="Q335" i="3"/>
  <c r="P335" i="3"/>
  <c r="O335" i="3"/>
  <c r="N335" i="3"/>
  <c r="M335" i="3"/>
  <c r="L335" i="3"/>
  <c r="U334" i="3"/>
  <c r="T334" i="3"/>
  <c r="S334" i="3"/>
  <c r="R334" i="3"/>
  <c r="P334" i="3"/>
  <c r="O334" i="3"/>
  <c r="N334" i="3"/>
  <c r="Q334" i="3" s="1"/>
  <c r="M334" i="3"/>
  <c r="L334" i="3"/>
  <c r="V334" i="3" s="1"/>
  <c r="V333" i="3"/>
  <c r="U333" i="3"/>
  <c r="T333" i="3"/>
  <c r="S333" i="3"/>
  <c r="R333" i="3"/>
  <c r="P333" i="3"/>
  <c r="O333" i="3"/>
  <c r="N333" i="3"/>
  <c r="Q333" i="3" s="1"/>
  <c r="M333" i="3"/>
  <c r="L333" i="3"/>
  <c r="U332" i="3"/>
  <c r="V332" i="3" s="1"/>
  <c r="T332" i="3"/>
  <c r="S332" i="3"/>
  <c r="R332" i="3"/>
  <c r="Q332" i="3"/>
  <c r="P332" i="3"/>
  <c r="O332" i="3"/>
  <c r="N332" i="3"/>
  <c r="M332" i="3"/>
  <c r="L332" i="3"/>
  <c r="U331" i="3"/>
  <c r="V331" i="3" s="1"/>
  <c r="T331" i="3"/>
  <c r="S331" i="3"/>
  <c r="R331" i="3"/>
  <c r="Q331" i="3"/>
  <c r="P331" i="3"/>
  <c r="O331" i="3"/>
  <c r="N331" i="3"/>
  <c r="M331" i="3"/>
  <c r="L331" i="3"/>
  <c r="U330" i="3"/>
  <c r="T330" i="3"/>
  <c r="S330" i="3"/>
  <c r="R330" i="3"/>
  <c r="Q330" i="3"/>
  <c r="P330" i="3"/>
  <c r="O330" i="3"/>
  <c r="N330" i="3"/>
  <c r="M330" i="3"/>
  <c r="L330" i="3"/>
  <c r="V330" i="3" s="1"/>
  <c r="U329" i="3"/>
  <c r="V329" i="3" s="1"/>
  <c r="T329" i="3"/>
  <c r="S329" i="3"/>
  <c r="R329" i="3"/>
  <c r="P329" i="3"/>
  <c r="O329" i="3"/>
  <c r="N329" i="3"/>
  <c r="Q329" i="3" s="1"/>
  <c r="M329" i="3"/>
  <c r="L329" i="3"/>
  <c r="U328" i="3"/>
  <c r="V328" i="3" s="1"/>
  <c r="T328" i="3"/>
  <c r="S328" i="3"/>
  <c r="R328" i="3"/>
  <c r="P328" i="3"/>
  <c r="O328" i="3"/>
  <c r="N328" i="3"/>
  <c r="Q328" i="3" s="1"/>
  <c r="M328" i="3"/>
  <c r="L328" i="3"/>
  <c r="U327" i="3"/>
  <c r="V327" i="3" s="1"/>
  <c r="T327" i="3"/>
  <c r="S327" i="3"/>
  <c r="R327" i="3"/>
  <c r="Q327" i="3"/>
  <c r="P327" i="3"/>
  <c r="O327" i="3"/>
  <c r="N327" i="3"/>
  <c r="M327" i="3"/>
  <c r="L327" i="3"/>
  <c r="U326" i="3"/>
  <c r="T326" i="3"/>
  <c r="S326" i="3"/>
  <c r="R326" i="3"/>
  <c r="P326" i="3"/>
  <c r="O326" i="3"/>
  <c r="N326" i="3"/>
  <c r="Q326" i="3" s="1"/>
  <c r="M326" i="3"/>
  <c r="L326" i="3"/>
  <c r="V326" i="3" s="1"/>
  <c r="V325" i="3"/>
  <c r="U325" i="3"/>
  <c r="T325" i="3"/>
  <c r="S325" i="3"/>
  <c r="R325" i="3"/>
  <c r="P325" i="3"/>
  <c r="O325" i="3"/>
  <c r="N325" i="3"/>
  <c r="Q325" i="3" s="1"/>
  <c r="M325" i="3"/>
  <c r="L325" i="3"/>
  <c r="U324" i="3"/>
  <c r="V324" i="3" s="1"/>
  <c r="T324" i="3"/>
  <c r="S324" i="3"/>
  <c r="R324" i="3"/>
  <c r="Q324" i="3"/>
  <c r="P324" i="3"/>
  <c r="O324" i="3"/>
  <c r="N324" i="3"/>
  <c r="M324" i="3"/>
  <c r="L324" i="3"/>
  <c r="U323" i="3"/>
  <c r="V323" i="3" s="1"/>
  <c r="T323" i="3"/>
  <c r="S323" i="3"/>
  <c r="R323" i="3"/>
  <c r="Q323" i="3"/>
  <c r="P323" i="3"/>
  <c r="O323" i="3"/>
  <c r="N323" i="3"/>
  <c r="M323" i="3"/>
  <c r="L323" i="3"/>
  <c r="U322" i="3"/>
  <c r="T322" i="3"/>
  <c r="S322" i="3"/>
  <c r="R322" i="3"/>
  <c r="Q322" i="3"/>
  <c r="P322" i="3"/>
  <c r="O322" i="3"/>
  <c r="N322" i="3"/>
  <c r="M322" i="3"/>
  <c r="L322" i="3"/>
  <c r="V322" i="3" s="1"/>
  <c r="U321" i="3"/>
  <c r="V321" i="3" s="1"/>
  <c r="T321" i="3"/>
  <c r="S321" i="3"/>
  <c r="R321" i="3"/>
  <c r="P321" i="3"/>
  <c r="O321" i="3"/>
  <c r="N321" i="3"/>
  <c r="Q321" i="3" s="1"/>
  <c r="M321" i="3"/>
  <c r="L321" i="3"/>
  <c r="U320" i="3"/>
  <c r="V320" i="3" s="1"/>
  <c r="T320" i="3"/>
  <c r="S320" i="3"/>
  <c r="R320" i="3"/>
  <c r="P320" i="3"/>
  <c r="O320" i="3"/>
  <c r="N320" i="3"/>
  <c r="Q320" i="3" s="1"/>
  <c r="M320" i="3"/>
  <c r="L320" i="3"/>
  <c r="U319" i="3"/>
  <c r="V319" i="3" s="1"/>
  <c r="T319" i="3"/>
  <c r="S319" i="3"/>
  <c r="R319" i="3"/>
  <c r="Q319" i="3"/>
  <c r="P319" i="3"/>
  <c r="O319" i="3"/>
  <c r="N319" i="3"/>
  <c r="M319" i="3"/>
  <c r="L319" i="3"/>
  <c r="U318" i="3"/>
  <c r="T318" i="3"/>
  <c r="S318" i="3"/>
  <c r="R318" i="3"/>
  <c r="P318" i="3"/>
  <c r="O318" i="3"/>
  <c r="N318" i="3"/>
  <c r="Q318" i="3" s="1"/>
  <c r="M318" i="3"/>
  <c r="L318" i="3"/>
  <c r="V318" i="3" s="1"/>
  <c r="V317" i="3"/>
  <c r="U317" i="3"/>
  <c r="T317" i="3"/>
  <c r="S317" i="3"/>
  <c r="R317" i="3"/>
  <c r="P317" i="3"/>
  <c r="O317" i="3"/>
  <c r="N317" i="3"/>
  <c r="Q317" i="3" s="1"/>
  <c r="M317" i="3"/>
  <c r="L317" i="3"/>
  <c r="U316" i="3"/>
  <c r="V316" i="3" s="1"/>
  <c r="T316" i="3"/>
  <c r="S316" i="3"/>
  <c r="R316" i="3"/>
  <c r="Q316" i="3"/>
  <c r="P316" i="3"/>
  <c r="O316" i="3"/>
  <c r="N316" i="3"/>
  <c r="M316" i="3"/>
  <c r="L316" i="3"/>
  <c r="U315" i="3"/>
  <c r="V315" i="3" s="1"/>
  <c r="T315" i="3"/>
  <c r="S315" i="3"/>
  <c r="R315" i="3"/>
  <c r="Q315" i="3"/>
  <c r="P315" i="3"/>
  <c r="O315" i="3"/>
  <c r="N315" i="3"/>
  <c r="M315" i="3"/>
  <c r="L315" i="3"/>
  <c r="U314" i="3"/>
  <c r="T314" i="3"/>
  <c r="S314" i="3"/>
  <c r="R314" i="3"/>
  <c r="Q314" i="3"/>
  <c r="P314" i="3"/>
  <c r="O314" i="3"/>
  <c r="N314" i="3"/>
  <c r="M314" i="3"/>
  <c r="L314" i="3"/>
  <c r="V314" i="3" s="1"/>
  <c r="U313" i="3"/>
  <c r="V313" i="3" s="1"/>
  <c r="T313" i="3"/>
  <c r="S313" i="3"/>
  <c r="R313" i="3"/>
  <c r="P313" i="3"/>
  <c r="O313" i="3"/>
  <c r="N313" i="3"/>
  <c r="Q313" i="3" s="1"/>
  <c r="M313" i="3"/>
  <c r="L313" i="3"/>
  <c r="U312" i="3"/>
  <c r="V312" i="3" s="1"/>
  <c r="T312" i="3"/>
  <c r="S312" i="3"/>
  <c r="R312" i="3"/>
  <c r="P312" i="3"/>
  <c r="O312" i="3"/>
  <c r="N312" i="3"/>
  <c r="Q312" i="3" s="1"/>
  <c r="M312" i="3"/>
  <c r="L312" i="3"/>
  <c r="U311" i="3"/>
  <c r="V311" i="3" s="1"/>
  <c r="T311" i="3"/>
  <c r="S311" i="3"/>
  <c r="R311" i="3"/>
  <c r="Q311" i="3"/>
  <c r="P311" i="3"/>
  <c r="O311" i="3"/>
  <c r="N311" i="3"/>
  <c r="M311" i="3"/>
  <c r="L311" i="3"/>
  <c r="U310" i="3"/>
  <c r="T310" i="3"/>
  <c r="S310" i="3"/>
  <c r="R310" i="3"/>
  <c r="P310" i="3"/>
  <c r="O310" i="3"/>
  <c r="N310" i="3"/>
  <c r="Q310" i="3" s="1"/>
  <c r="M310" i="3"/>
  <c r="L310" i="3"/>
  <c r="V310" i="3" s="1"/>
  <c r="V309" i="3"/>
  <c r="U309" i="3"/>
  <c r="T309" i="3"/>
  <c r="S309" i="3"/>
  <c r="R309" i="3"/>
  <c r="P309" i="3"/>
  <c r="O309" i="3"/>
  <c r="N309" i="3"/>
  <c r="Q309" i="3" s="1"/>
  <c r="M309" i="3"/>
  <c r="L309" i="3"/>
  <c r="U308" i="3"/>
  <c r="V308" i="3" s="1"/>
  <c r="T308" i="3"/>
  <c r="S308" i="3"/>
  <c r="R308" i="3"/>
  <c r="Q308" i="3"/>
  <c r="P308" i="3"/>
  <c r="O308" i="3"/>
  <c r="N308" i="3"/>
  <c r="M308" i="3"/>
  <c r="L308" i="3"/>
  <c r="U307" i="3"/>
  <c r="T307" i="3"/>
  <c r="S307" i="3"/>
  <c r="R307" i="3"/>
  <c r="Q307" i="3"/>
  <c r="P307" i="3"/>
  <c r="O307" i="3"/>
  <c r="N307" i="3"/>
  <c r="M307" i="3"/>
  <c r="L307" i="3"/>
  <c r="U306" i="3"/>
  <c r="T306" i="3"/>
  <c r="S306" i="3"/>
  <c r="R306" i="3"/>
  <c r="Q306" i="3"/>
  <c r="P306" i="3"/>
  <c r="O306" i="3"/>
  <c r="N306" i="3"/>
  <c r="M306" i="3"/>
  <c r="L306" i="3"/>
  <c r="V306" i="3" s="1"/>
  <c r="U305" i="3"/>
  <c r="V305" i="3" s="1"/>
  <c r="T305" i="3"/>
  <c r="S305" i="3"/>
  <c r="R305" i="3"/>
  <c r="P305" i="3"/>
  <c r="O305" i="3"/>
  <c r="N305" i="3"/>
  <c r="Q305" i="3" s="1"/>
  <c r="M305" i="3"/>
  <c r="L305" i="3"/>
  <c r="U304" i="3"/>
  <c r="V304" i="3" s="1"/>
  <c r="T304" i="3"/>
  <c r="S304" i="3"/>
  <c r="R304" i="3"/>
  <c r="P304" i="3"/>
  <c r="O304" i="3"/>
  <c r="N304" i="3"/>
  <c r="Q304" i="3" s="1"/>
  <c r="M304" i="3"/>
  <c r="L304" i="3"/>
  <c r="U303" i="3"/>
  <c r="V303" i="3" s="1"/>
  <c r="T303" i="3"/>
  <c r="S303" i="3"/>
  <c r="R303" i="3"/>
  <c r="Q303" i="3"/>
  <c r="P303" i="3"/>
  <c r="O303" i="3"/>
  <c r="N303" i="3"/>
  <c r="M303" i="3"/>
  <c r="L303" i="3"/>
  <c r="U302" i="3"/>
  <c r="T302" i="3"/>
  <c r="S302" i="3"/>
  <c r="R302" i="3"/>
  <c r="P302" i="3"/>
  <c r="O302" i="3"/>
  <c r="N302" i="3"/>
  <c r="Q302" i="3" s="1"/>
  <c r="M302" i="3"/>
  <c r="L302" i="3"/>
  <c r="V302" i="3" s="1"/>
  <c r="V301" i="3"/>
  <c r="U301" i="3"/>
  <c r="T301" i="3"/>
  <c r="S301" i="3"/>
  <c r="R301" i="3"/>
  <c r="P301" i="3"/>
  <c r="O301" i="3"/>
  <c r="N301" i="3"/>
  <c r="Q301" i="3" s="1"/>
  <c r="M301" i="3"/>
  <c r="L301" i="3"/>
  <c r="U300" i="3"/>
  <c r="V300" i="3" s="1"/>
  <c r="T300" i="3"/>
  <c r="S300" i="3"/>
  <c r="R300" i="3"/>
  <c r="Q300" i="3"/>
  <c r="P300" i="3"/>
  <c r="O300" i="3"/>
  <c r="N300" i="3"/>
  <c r="M300" i="3"/>
  <c r="L300" i="3"/>
  <c r="U299" i="3"/>
  <c r="T299" i="3"/>
  <c r="S299" i="3"/>
  <c r="R299" i="3"/>
  <c r="Q299" i="3"/>
  <c r="P299" i="3"/>
  <c r="O299" i="3"/>
  <c r="N299" i="3"/>
  <c r="M299" i="3"/>
  <c r="L299" i="3"/>
  <c r="U298" i="3"/>
  <c r="T298" i="3"/>
  <c r="S298" i="3"/>
  <c r="R298" i="3"/>
  <c r="P298" i="3"/>
  <c r="O298" i="3"/>
  <c r="N298" i="3"/>
  <c r="Q298" i="3" s="1"/>
  <c r="M298" i="3"/>
  <c r="L298" i="3"/>
  <c r="V298" i="3" s="1"/>
  <c r="U297" i="3"/>
  <c r="V297" i="3" s="1"/>
  <c r="T297" i="3"/>
  <c r="S297" i="3"/>
  <c r="R297" i="3"/>
  <c r="P297" i="3"/>
  <c r="O297" i="3"/>
  <c r="N297" i="3"/>
  <c r="Q297" i="3" s="1"/>
  <c r="M297" i="3"/>
  <c r="L297" i="3"/>
  <c r="U296" i="3"/>
  <c r="V296" i="3" s="1"/>
  <c r="T296" i="3"/>
  <c r="S296" i="3"/>
  <c r="R296" i="3"/>
  <c r="P296" i="3"/>
  <c r="O296" i="3"/>
  <c r="N296" i="3"/>
  <c r="Q296" i="3" s="1"/>
  <c r="M296" i="3"/>
  <c r="L296" i="3"/>
  <c r="U295" i="3"/>
  <c r="V295" i="3" s="1"/>
  <c r="T295" i="3"/>
  <c r="S295" i="3"/>
  <c r="R295" i="3"/>
  <c r="Q295" i="3"/>
  <c r="P295" i="3"/>
  <c r="O295" i="3"/>
  <c r="N295" i="3"/>
  <c r="M295" i="3"/>
  <c r="L295" i="3"/>
  <c r="U294" i="3"/>
  <c r="T294" i="3"/>
  <c r="S294" i="3"/>
  <c r="R294" i="3"/>
  <c r="P294" i="3"/>
  <c r="O294" i="3"/>
  <c r="N294" i="3"/>
  <c r="Q294" i="3" s="1"/>
  <c r="M294" i="3"/>
  <c r="L294" i="3"/>
  <c r="V294" i="3" s="1"/>
  <c r="V293" i="3"/>
  <c r="U293" i="3"/>
  <c r="T293" i="3"/>
  <c r="S293" i="3"/>
  <c r="R293" i="3"/>
  <c r="P293" i="3"/>
  <c r="O293" i="3"/>
  <c r="N293" i="3"/>
  <c r="Q293" i="3" s="1"/>
  <c r="M293" i="3"/>
  <c r="L293" i="3"/>
  <c r="U292" i="3"/>
  <c r="V292" i="3" s="1"/>
  <c r="T292" i="3"/>
  <c r="S292" i="3"/>
  <c r="R292" i="3"/>
  <c r="Q292" i="3"/>
  <c r="P292" i="3"/>
  <c r="O292" i="3"/>
  <c r="N292" i="3"/>
  <c r="M292" i="3"/>
  <c r="L292" i="3"/>
  <c r="U291" i="3"/>
  <c r="T291" i="3"/>
  <c r="S291" i="3"/>
  <c r="R291" i="3"/>
  <c r="Q291" i="3"/>
  <c r="P291" i="3"/>
  <c r="O291" i="3"/>
  <c r="N291" i="3"/>
  <c r="M291" i="3"/>
  <c r="L291" i="3"/>
  <c r="U290" i="3"/>
  <c r="T290" i="3"/>
  <c r="S290" i="3"/>
  <c r="R290" i="3"/>
  <c r="P290" i="3"/>
  <c r="O290" i="3"/>
  <c r="N290" i="3"/>
  <c r="Q290" i="3" s="1"/>
  <c r="M290" i="3"/>
  <c r="L290" i="3"/>
  <c r="V290" i="3" s="1"/>
  <c r="U289" i="3"/>
  <c r="V289" i="3" s="1"/>
  <c r="T289" i="3"/>
  <c r="S289" i="3"/>
  <c r="R289" i="3"/>
  <c r="P289" i="3"/>
  <c r="O289" i="3"/>
  <c r="N289" i="3"/>
  <c r="Q289" i="3" s="1"/>
  <c r="M289" i="3"/>
  <c r="L289" i="3"/>
  <c r="U288" i="3"/>
  <c r="V288" i="3" s="1"/>
  <c r="T288" i="3"/>
  <c r="S288" i="3"/>
  <c r="R288" i="3"/>
  <c r="P288" i="3"/>
  <c r="O288" i="3"/>
  <c r="N288" i="3"/>
  <c r="Q288" i="3" s="1"/>
  <c r="M288" i="3"/>
  <c r="L288" i="3"/>
  <c r="U287" i="3"/>
  <c r="V287" i="3" s="1"/>
  <c r="T287" i="3"/>
  <c r="S287" i="3"/>
  <c r="R287" i="3"/>
  <c r="Q287" i="3"/>
  <c r="P287" i="3"/>
  <c r="O287" i="3"/>
  <c r="N287" i="3"/>
  <c r="M287" i="3"/>
  <c r="L287" i="3"/>
  <c r="U286" i="3"/>
  <c r="T286" i="3"/>
  <c r="S286" i="3"/>
  <c r="R286" i="3"/>
  <c r="P286" i="3"/>
  <c r="O286" i="3"/>
  <c r="N286" i="3"/>
  <c r="Q286" i="3" s="1"/>
  <c r="M286" i="3"/>
  <c r="L286" i="3"/>
  <c r="V286" i="3" s="1"/>
  <c r="V285" i="3"/>
  <c r="U285" i="3"/>
  <c r="T285" i="3"/>
  <c r="S285" i="3"/>
  <c r="R285" i="3"/>
  <c r="P285" i="3"/>
  <c r="O285" i="3"/>
  <c r="N285" i="3"/>
  <c r="Q285" i="3" s="1"/>
  <c r="M285" i="3"/>
  <c r="L285" i="3"/>
  <c r="U284" i="3"/>
  <c r="V284" i="3" s="1"/>
  <c r="T284" i="3"/>
  <c r="S284" i="3"/>
  <c r="R284" i="3"/>
  <c r="Q284" i="3"/>
  <c r="P284" i="3"/>
  <c r="O284" i="3"/>
  <c r="N284" i="3"/>
  <c r="M284" i="3"/>
  <c r="L284" i="3"/>
  <c r="U283" i="3"/>
  <c r="T283" i="3"/>
  <c r="S283" i="3"/>
  <c r="R283" i="3"/>
  <c r="Q283" i="3"/>
  <c r="P283" i="3"/>
  <c r="O283" i="3"/>
  <c r="N283" i="3"/>
  <c r="M283" i="3"/>
  <c r="L283" i="3"/>
  <c r="U282" i="3"/>
  <c r="T282" i="3"/>
  <c r="S282" i="3"/>
  <c r="R282" i="3"/>
  <c r="Q282" i="3"/>
  <c r="P282" i="3"/>
  <c r="O282" i="3"/>
  <c r="N282" i="3"/>
  <c r="M282" i="3"/>
  <c r="L282" i="3"/>
  <c r="V282" i="3" s="1"/>
  <c r="U281" i="3"/>
  <c r="V281" i="3" s="1"/>
  <c r="T281" i="3"/>
  <c r="S281" i="3"/>
  <c r="R281" i="3"/>
  <c r="P281" i="3"/>
  <c r="O281" i="3"/>
  <c r="N281" i="3"/>
  <c r="Q281" i="3" s="1"/>
  <c r="M281" i="3"/>
  <c r="L281" i="3"/>
  <c r="U280" i="3"/>
  <c r="V280" i="3" s="1"/>
  <c r="T280" i="3"/>
  <c r="S280" i="3"/>
  <c r="R280" i="3"/>
  <c r="P280" i="3"/>
  <c r="O280" i="3"/>
  <c r="N280" i="3"/>
  <c r="Q280" i="3" s="1"/>
  <c r="M280" i="3"/>
  <c r="L280" i="3"/>
  <c r="U279" i="3"/>
  <c r="V279" i="3" s="1"/>
  <c r="T279" i="3"/>
  <c r="S279" i="3"/>
  <c r="R279" i="3"/>
  <c r="Q279" i="3"/>
  <c r="P279" i="3"/>
  <c r="O279" i="3"/>
  <c r="N279" i="3"/>
  <c r="M279" i="3"/>
  <c r="L279" i="3"/>
  <c r="U278" i="3"/>
  <c r="T278" i="3"/>
  <c r="S278" i="3"/>
  <c r="R278" i="3"/>
  <c r="P278" i="3"/>
  <c r="O278" i="3"/>
  <c r="N278" i="3"/>
  <c r="Q278" i="3" s="1"/>
  <c r="M278" i="3"/>
  <c r="L278" i="3"/>
  <c r="V278" i="3" s="1"/>
  <c r="V277" i="3"/>
  <c r="U277" i="3"/>
  <c r="T277" i="3"/>
  <c r="S277" i="3"/>
  <c r="R277" i="3"/>
  <c r="P277" i="3"/>
  <c r="O277" i="3"/>
  <c r="N277" i="3"/>
  <c r="Q277" i="3" s="1"/>
  <c r="M277" i="3"/>
  <c r="L277" i="3"/>
  <c r="U276" i="3"/>
  <c r="V276" i="3" s="1"/>
  <c r="T276" i="3"/>
  <c r="S276" i="3"/>
  <c r="R276" i="3"/>
  <c r="Q276" i="3"/>
  <c r="P276" i="3"/>
  <c r="O276" i="3"/>
  <c r="N276" i="3"/>
  <c r="M276" i="3"/>
  <c r="L276" i="3"/>
  <c r="U275" i="3"/>
  <c r="V275" i="3" s="1"/>
  <c r="T275" i="3"/>
  <c r="S275" i="3"/>
  <c r="R275" i="3"/>
  <c r="Q275" i="3"/>
  <c r="P275" i="3"/>
  <c r="O275" i="3"/>
  <c r="N275" i="3"/>
  <c r="M275" i="3"/>
  <c r="L275" i="3"/>
  <c r="U274" i="3"/>
  <c r="T274" i="3"/>
  <c r="S274" i="3"/>
  <c r="R274" i="3"/>
  <c r="Q274" i="3"/>
  <c r="P274" i="3"/>
  <c r="O274" i="3"/>
  <c r="N274" i="3"/>
  <c r="M274" i="3"/>
  <c r="L274" i="3"/>
  <c r="V274" i="3" s="1"/>
  <c r="U273" i="3"/>
  <c r="V273" i="3" s="1"/>
  <c r="T273" i="3"/>
  <c r="S273" i="3"/>
  <c r="R273" i="3"/>
  <c r="P273" i="3"/>
  <c r="O273" i="3"/>
  <c r="N273" i="3"/>
  <c r="Q273" i="3" s="1"/>
  <c r="M273" i="3"/>
  <c r="L273" i="3"/>
  <c r="U272" i="3"/>
  <c r="V272" i="3" s="1"/>
  <c r="T272" i="3"/>
  <c r="S272" i="3"/>
  <c r="R272" i="3"/>
  <c r="P272" i="3"/>
  <c r="O272" i="3"/>
  <c r="N272" i="3"/>
  <c r="Q272" i="3" s="1"/>
  <c r="M272" i="3"/>
  <c r="L272" i="3"/>
  <c r="U271" i="3"/>
  <c r="V271" i="3" s="1"/>
  <c r="T271" i="3"/>
  <c r="S271" i="3"/>
  <c r="R271" i="3"/>
  <c r="Q271" i="3"/>
  <c r="P271" i="3"/>
  <c r="O271" i="3"/>
  <c r="N271" i="3"/>
  <c r="M271" i="3"/>
  <c r="L271" i="3"/>
  <c r="U270" i="3"/>
  <c r="T270" i="3"/>
  <c r="S270" i="3"/>
  <c r="R270" i="3"/>
  <c r="P270" i="3"/>
  <c r="O270" i="3"/>
  <c r="N270" i="3"/>
  <c r="Q270" i="3" s="1"/>
  <c r="M270" i="3"/>
  <c r="L270" i="3"/>
  <c r="V270" i="3" s="1"/>
  <c r="V269" i="3"/>
  <c r="U269" i="3"/>
  <c r="T269" i="3"/>
  <c r="S269" i="3"/>
  <c r="R269" i="3"/>
  <c r="P269" i="3"/>
  <c r="O269" i="3"/>
  <c r="N269" i="3"/>
  <c r="Q269" i="3" s="1"/>
  <c r="M269" i="3"/>
  <c r="L269" i="3"/>
  <c r="U268" i="3"/>
  <c r="V268" i="3" s="1"/>
  <c r="T268" i="3"/>
  <c r="S268" i="3"/>
  <c r="R268" i="3"/>
  <c r="Q268" i="3"/>
  <c r="P268" i="3"/>
  <c r="O268" i="3"/>
  <c r="N268" i="3"/>
  <c r="M268" i="3"/>
  <c r="L268" i="3"/>
  <c r="U267" i="3"/>
  <c r="V267" i="3" s="1"/>
  <c r="T267" i="3"/>
  <c r="S267" i="3"/>
  <c r="R267" i="3"/>
  <c r="Q267" i="3"/>
  <c r="P267" i="3"/>
  <c r="O267" i="3"/>
  <c r="N267" i="3"/>
  <c r="M267" i="3"/>
  <c r="L267" i="3"/>
  <c r="U266" i="3"/>
  <c r="T266" i="3"/>
  <c r="S266" i="3"/>
  <c r="R266" i="3"/>
  <c r="Q266" i="3"/>
  <c r="P266" i="3"/>
  <c r="O266" i="3"/>
  <c r="N266" i="3"/>
  <c r="M266" i="3"/>
  <c r="L266" i="3"/>
  <c r="V266" i="3" s="1"/>
  <c r="U265" i="3"/>
  <c r="V265" i="3" s="1"/>
  <c r="T265" i="3"/>
  <c r="S265" i="3"/>
  <c r="R265" i="3"/>
  <c r="P265" i="3"/>
  <c r="O265" i="3"/>
  <c r="N265" i="3"/>
  <c r="Q265" i="3" s="1"/>
  <c r="M265" i="3"/>
  <c r="L265" i="3"/>
  <c r="U264" i="3"/>
  <c r="V264" i="3" s="1"/>
  <c r="T264" i="3"/>
  <c r="S264" i="3"/>
  <c r="R264" i="3"/>
  <c r="P264" i="3"/>
  <c r="O264" i="3"/>
  <c r="N264" i="3"/>
  <c r="Q264" i="3" s="1"/>
  <c r="M264" i="3"/>
  <c r="L264" i="3"/>
  <c r="U263" i="3"/>
  <c r="V263" i="3" s="1"/>
  <c r="T263" i="3"/>
  <c r="S263" i="3"/>
  <c r="R263" i="3"/>
  <c r="Q263" i="3"/>
  <c r="P263" i="3"/>
  <c r="O263" i="3"/>
  <c r="N263" i="3"/>
  <c r="M263" i="3"/>
  <c r="L263" i="3"/>
  <c r="U262" i="3"/>
  <c r="T262" i="3"/>
  <c r="S262" i="3"/>
  <c r="R262" i="3"/>
  <c r="P262" i="3"/>
  <c r="O262" i="3"/>
  <c r="N262" i="3"/>
  <c r="Q262" i="3" s="1"/>
  <c r="M262" i="3"/>
  <c r="L262" i="3"/>
  <c r="V262" i="3" s="1"/>
  <c r="V261" i="3"/>
  <c r="U261" i="3"/>
  <c r="T261" i="3"/>
  <c r="S261" i="3"/>
  <c r="R261" i="3"/>
  <c r="P261" i="3"/>
  <c r="O261" i="3"/>
  <c r="N261" i="3"/>
  <c r="Q261" i="3" s="1"/>
  <c r="M261" i="3"/>
  <c r="L261" i="3"/>
  <c r="U260" i="3"/>
  <c r="V260" i="3" s="1"/>
  <c r="T260" i="3"/>
  <c r="S260" i="3"/>
  <c r="R260" i="3"/>
  <c r="Q260" i="3"/>
  <c r="P260" i="3"/>
  <c r="O260" i="3"/>
  <c r="N260" i="3"/>
  <c r="M260" i="3"/>
  <c r="L260" i="3"/>
  <c r="U259" i="3"/>
  <c r="V259" i="3" s="1"/>
  <c r="T259" i="3"/>
  <c r="S259" i="3"/>
  <c r="R259" i="3"/>
  <c r="Q259" i="3"/>
  <c r="P259" i="3"/>
  <c r="O259" i="3"/>
  <c r="N259" i="3"/>
  <c r="M259" i="3"/>
  <c r="L259" i="3"/>
  <c r="U258" i="3"/>
  <c r="T258" i="3"/>
  <c r="S258" i="3"/>
  <c r="R258" i="3"/>
  <c r="Q258" i="3"/>
  <c r="P258" i="3"/>
  <c r="O258" i="3"/>
  <c r="N258" i="3"/>
  <c r="M258" i="3"/>
  <c r="L258" i="3"/>
  <c r="V258" i="3" s="1"/>
  <c r="U257" i="3"/>
  <c r="V257" i="3" s="1"/>
  <c r="T257" i="3"/>
  <c r="S257" i="3"/>
  <c r="R257" i="3"/>
  <c r="P257" i="3"/>
  <c r="O257" i="3"/>
  <c r="N257" i="3"/>
  <c r="Q257" i="3" s="1"/>
  <c r="M257" i="3"/>
  <c r="L257" i="3"/>
  <c r="U256" i="3"/>
  <c r="V256" i="3" s="1"/>
  <c r="T256" i="3"/>
  <c r="S256" i="3"/>
  <c r="R256" i="3"/>
  <c r="P256" i="3"/>
  <c r="O256" i="3"/>
  <c r="N256" i="3"/>
  <c r="Q256" i="3" s="1"/>
  <c r="M256" i="3"/>
  <c r="L256" i="3"/>
  <c r="U255" i="3"/>
  <c r="V255" i="3" s="1"/>
  <c r="T255" i="3"/>
  <c r="S255" i="3"/>
  <c r="R255" i="3"/>
  <c r="Q255" i="3"/>
  <c r="P255" i="3"/>
  <c r="O255" i="3"/>
  <c r="N255" i="3"/>
  <c r="M255" i="3"/>
  <c r="L255" i="3"/>
  <c r="U254" i="3"/>
  <c r="T254" i="3"/>
  <c r="S254" i="3"/>
  <c r="R254" i="3"/>
  <c r="P254" i="3"/>
  <c r="O254" i="3"/>
  <c r="N254" i="3"/>
  <c r="Q254" i="3" s="1"/>
  <c r="M254" i="3"/>
  <c r="L254" i="3"/>
  <c r="V254" i="3" s="1"/>
  <c r="V253" i="3"/>
  <c r="U253" i="3"/>
  <c r="T253" i="3"/>
  <c r="S253" i="3"/>
  <c r="R253" i="3"/>
  <c r="P253" i="3"/>
  <c r="O253" i="3"/>
  <c r="N253" i="3"/>
  <c r="Q253" i="3" s="1"/>
  <c r="M253" i="3"/>
  <c r="L253" i="3"/>
  <c r="U252" i="3"/>
  <c r="V252" i="3" s="1"/>
  <c r="T252" i="3"/>
  <c r="S252" i="3"/>
  <c r="R252" i="3"/>
  <c r="Q252" i="3"/>
  <c r="P252" i="3"/>
  <c r="O252" i="3"/>
  <c r="N252" i="3"/>
  <c r="M252" i="3"/>
  <c r="L252" i="3"/>
  <c r="U251" i="3"/>
  <c r="T251" i="3"/>
  <c r="S251" i="3"/>
  <c r="R251" i="3"/>
  <c r="Q251" i="3"/>
  <c r="P251" i="3"/>
  <c r="O251" i="3"/>
  <c r="N251" i="3"/>
  <c r="M251" i="3"/>
  <c r="L251" i="3"/>
  <c r="U250" i="3"/>
  <c r="T250" i="3"/>
  <c r="S250" i="3"/>
  <c r="R250" i="3"/>
  <c r="Q250" i="3"/>
  <c r="P250" i="3"/>
  <c r="O250" i="3"/>
  <c r="N250" i="3"/>
  <c r="M250" i="3"/>
  <c r="L250" i="3"/>
  <c r="V250" i="3" s="1"/>
  <c r="U249" i="3"/>
  <c r="V249" i="3" s="1"/>
  <c r="T249" i="3"/>
  <c r="S249" i="3"/>
  <c r="R249" i="3"/>
  <c r="P249" i="3"/>
  <c r="O249" i="3"/>
  <c r="N249" i="3"/>
  <c r="Q249" i="3" s="1"/>
  <c r="M249" i="3"/>
  <c r="L249" i="3"/>
  <c r="V248" i="3"/>
  <c r="U248" i="3"/>
  <c r="T248" i="3"/>
  <c r="S248" i="3"/>
  <c r="R248" i="3"/>
  <c r="P248" i="3"/>
  <c r="O248" i="3"/>
  <c r="N248" i="3"/>
  <c r="Q248" i="3" s="1"/>
  <c r="M248" i="3"/>
  <c r="L248" i="3"/>
  <c r="U247" i="3"/>
  <c r="V247" i="3" s="1"/>
  <c r="T247" i="3"/>
  <c r="S247" i="3"/>
  <c r="R247" i="3"/>
  <c r="Q247" i="3"/>
  <c r="P247" i="3"/>
  <c r="O247" i="3"/>
  <c r="N247" i="3"/>
  <c r="M247" i="3"/>
  <c r="L247" i="3"/>
  <c r="U246" i="3"/>
  <c r="T246" i="3"/>
  <c r="S246" i="3"/>
  <c r="R246" i="3"/>
  <c r="P246" i="3"/>
  <c r="O246" i="3"/>
  <c r="N246" i="3"/>
  <c r="Q246" i="3" s="1"/>
  <c r="M246" i="3"/>
  <c r="L246" i="3"/>
  <c r="V246" i="3" s="1"/>
  <c r="V245" i="3"/>
  <c r="U245" i="3"/>
  <c r="T245" i="3"/>
  <c r="S245" i="3"/>
  <c r="R245" i="3"/>
  <c r="P245" i="3"/>
  <c r="O245" i="3"/>
  <c r="N245" i="3"/>
  <c r="Q245" i="3" s="1"/>
  <c r="M245" i="3"/>
  <c r="L245" i="3"/>
  <c r="U244" i="3"/>
  <c r="V244" i="3" s="1"/>
  <c r="T244" i="3"/>
  <c r="S244" i="3"/>
  <c r="R244" i="3"/>
  <c r="Q244" i="3"/>
  <c r="P244" i="3"/>
  <c r="O244" i="3"/>
  <c r="N244" i="3"/>
  <c r="M244" i="3"/>
  <c r="L244" i="3"/>
  <c r="U243" i="3"/>
  <c r="T243" i="3"/>
  <c r="S243" i="3"/>
  <c r="R243" i="3"/>
  <c r="Q243" i="3"/>
  <c r="P243" i="3"/>
  <c r="O243" i="3"/>
  <c r="N243" i="3"/>
  <c r="M243" i="3"/>
  <c r="L243" i="3"/>
  <c r="U242" i="3"/>
  <c r="T242" i="3"/>
  <c r="S242" i="3"/>
  <c r="R242" i="3"/>
  <c r="Q242" i="3"/>
  <c r="P242" i="3"/>
  <c r="O242" i="3"/>
  <c r="N242" i="3"/>
  <c r="M242" i="3"/>
  <c r="L242" i="3"/>
  <c r="V242" i="3" s="1"/>
  <c r="U241" i="3"/>
  <c r="V241" i="3" s="1"/>
  <c r="T241" i="3"/>
  <c r="S241" i="3"/>
  <c r="R241" i="3"/>
  <c r="P241" i="3"/>
  <c r="O241" i="3"/>
  <c r="N241" i="3"/>
  <c r="Q241" i="3" s="1"/>
  <c r="M241" i="3"/>
  <c r="L241" i="3"/>
  <c r="U240" i="3"/>
  <c r="V240" i="3" s="1"/>
  <c r="T240" i="3"/>
  <c r="S240" i="3"/>
  <c r="R240" i="3"/>
  <c r="P240" i="3"/>
  <c r="O240" i="3"/>
  <c r="N240" i="3"/>
  <c r="Q240" i="3" s="1"/>
  <c r="M240" i="3"/>
  <c r="L240" i="3"/>
  <c r="U239" i="3"/>
  <c r="V239" i="3" s="1"/>
  <c r="T239" i="3"/>
  <c r="S239" i="3"/>
  <c r="R239" i="3"/>
  <c r="Q239" i="3"/>
  <c r="P239" i="3"/>
  <c r="O239" i="3"/>
  <c r="N239" i="3"/>
  <c r="M239" i="3"/>
  <c r="L239" i="3"/>
  <c r="U238" i="3"/>
  <c r="T238" i="3"/>
  <c r="S238" i="3"/>
  <c r="R238" i="3"/>
  <c r="P238" i="3"/>
  <c r="O238" i="3"/>
  <c r="N238" i="3"/>
  <c r="Q238" i="3" s="1"/>
  <c r="M238" i="3"/>
  <c r="L238" i="3"/>
  <c r="V238" i="3" s="1"/>
  <c r="V237" i="3"/>
  <c r="U237" i="3"/>
  <c r="T237" i="3"/>
  <c r="S237" i="3"/>
  <c r="R237" i="3"/>
  <c r="P237" i="3"/>
  <c r="O237" i="3"/>
  <c r="N237" i="3"/>
  <c r="Q237" i="3" s="1"/>
  <c r="M237" i="3"/>
  <c r="L237" i="3"/>
  <c r="U236" i="3"/>
  <c r="V236" i="3" s="1"/>
  <c r="T236" i="3"/>
  <c r="S236" i="3"/>
  <c r="R236" i="3"/>
  <c r="Q236" i="3"/>
  <c r="P236" i="3"/>
  <c r="O236" i="3"/>
  <c r="N236" i="3"/>
  <c r="M236" i="3"/>
  <c r="L236" i="3"/>
  <c r="U235" i="3"/>
  <c r="T235" i="3"/>
  <c r="S235" i="3"/>
  <c r="R235" i="3"/>
  <c r="Q235" i="3"/>
  <c r="P235" i="3"/>
  <c r="O235" i="3"/>
  <c r="N235" i="3"/>
  <c r="M235" i="3"/>
  <c r="L235" i="3"/>
  <c r="U234" i="3"/>
  <c r="T234" i="3"/>
  <c r="S234" i="3"/>
  <c r="R234" i="3"/>
  <c r="P234" i="3"/>
  <c r="O234" i="3"/>
  <c r="N234" i="3"/>
  <c r="Q234" i="3" s="1"/>
  <c r="M234" i="3"/>
  <c r="L234" i="3"/>
  <c r="V234" i="3" s="1"/>
  <c r="U233" i="3"/>
  <c r="V233" i="3" s="1"/>
  <c r="T233" i="3"/>
  <c r="S233" i="3"/>
  <c r="R233" i="3"/>
  <c r="P233" i="3"/>
  <c r="O233" i="3"/>
  <c r="N233" i="3"/>
  <c r="Q233" i="3" s="1"/>
  <c r="M233" i="3"/>
  <c r="L233" i="3"/>
  <c r="U232" i="3"/>
  <c r="V232" i="3" s="1"/>
  <c r="T232" i="3"/>
  <c r="S232" i="3"/>
  <c r="R232" i="3"/>
  <c r="P232" i="3"/>
  <c r="O232" i="3"/>
  <c r="N232" i="3"/>
  <c r="Q232" i="3" s="1"/>
  <c r="M232" i="3"/>
  <c r="L232" i="3"/>
  <c r="U231" i="3"/>
  <c r="V231" i="3" s="1"/>
  <c r="T231" i="3"/>
  <c r="S231" i="3"/>
  <c r="R231" i="3"/>
  <c r="Q231" i="3"/>
  <c r="P231" i="3"/>
  <c r="O231" i="3"/>
  <c r="N231" i="3"/>
  <c r="M231" i="3"/>
  <c r="L231" i="3"/>
  <c r="U230" i="3"/>
  <c r="T230" i="3"/>
  <c r="S230" i="3"/>
  <c r="R230" i="3"/>
  <c r="P230" i="3"/>
  <c r="O230" i="3"/>
  <c r="N230" i="3"/>
  <c r="Q230" i="3" s="1"/>
  <c r="M230" i="3"/>
  <c r="L230" i="3"/>
  <c r="V230" i="3" s="1"/>
  <c r="V229" i="3"/>
  <c r="U229" i="3"/>
  <c r="T229" i="3"/>
  <c r="S229" i="3"/>
  <c r="R229" i="3"/>
  <c r="P229" i="3"/>
  <c r="O229" i="3"/>
  <c r="N229" i="3"/>
  <c r="Q229" i="3" s="1"/>
  <c r="M229" i="3"/>
  <c r="L229" i="3"/>
  <c r="U228" i="3"/>
  <c r="V228" i="3" s="1"/>
  <c r="T228" i="3"/>
  <c r="S228" i="3"/>
  <c r="R228" i="3"/>
  <c r="Q228" i="3"/>
  <c r="P228" i="3"/>
  <c r="O228" i="3"/>
  <c r="N228" i="3"/>
  <c r="M228" i="3"/>
  <c r="L228" i="3"/>
  <c r="U227" i="3"/>
  <c r="T227" i="3"/>
  <c r="S227" i="3"/>
  <c r="R227" i="3"/>
  <c r="Q227" i="3"/>
  <c r="P227" i="3"/>
  <c r="O227" i="3"/>
  <c r="N227" i="3"/>
  <c r="M227" i="3"/>
  <c r="L227" i="3"/>
  <c r="U226" i="3"/>
  <c r="T226" i="3"/>
  <c r="S226" i="3"/>
  <c r="R226" i="3"/>
  <c r="P226" i="3"/>
  <c r="O226" i="3"/>
  <c r="N226" i="3"/>
  <c r="Q226" i="3" s="1"/>
  <c r="M226" i="3"/>
  <c r="L226" i="3"/>
  <c r="V226" i="3" s="1"/>
  <c r="U225" i="3"/>
  <c r="V225" i="3" s="1"/>
  <c r="T225" i="3"/>
  <c r="S225" i="3"/>
  <c r="R225" i="3"/>
  <c r="P225" i="3"/>
  <c r="O225" i="3"/>
  <c r="N225" i="3"/>
  <c r="Q225" i="3" s="1"/>
  <c r="M225" i="3"/>
  <c r="L225" i="3"/>
  <c r="V224" i="3"/>
  <c r="U224" i="3"/>
  <c r="T224" i="3"/>
  <c r="S224" i="3"/>
  <c r="R224" i="3"/>
  <c r="P224" i="3"/>
  <c r="O224" i="3"/>
  <c r="N224" i="3"/>
  <c r="Q224" i="3" s="1"/>
  <c r="M224" i="3"/>
  <c r="L224" i="3"/>
  <c r="U223" i="3"/>
  <c r="V223" i="3" s="1"/>
  <c r="T223" i="3"/>
  <c r="S223" i="3"/>
  <c r="R223" i="3"/>
  <c r="Q223" i="3"/>
  <c r="P223" i="3"/>
  <c r="O223" i="3"/>
  <c r="N223" i="3"/>
  <c r="M223" i="3"/>
  <c r="L223" i="3"/>
  <c r="U222" i="3"/>
  <c r="T222" i="3"/>
  <c r="S222" i="3"/>
  <c r="R222" i="3"/>
  <c r="P222" i="3"/>
  <c r="O222" i="3"/>
  <c r="N222" i="3"/>
  <c r="Q222" i="3" s="1"/>
  <c r="M222" i="3"/>
  <c r="L222" i="3"/>
  <c r="V222" i="3" s="1"/>
  <c r="V221" i="3"/>
  <c r="U221" i="3"/>
  <c r="T221" i="3"/>
  <c r="S221" i="3"/>
  <c r="R221" i="3"/>
  <c r="P221" i="3"/>
  <c r="O221" i="3"/>
  <c r="N221" i="3"/>
  <c r="Q221" i="3" s="1"/>
  <c r="M221" i="3"/>
  <c r="L221" i="3"/>
  <c r="U220" i="3"/>
  <c r="T220" i="3"/>
  <c r="S220" i="3"/>
  <c r="R220" i="3"/>
  <c r="Q220" i="3"/>
  <c r="P220" i="3"/>
  <c r="O220" i="3"/>
  <c r="N220" i="3"/>
  <c r="M220" i="3"/>
  <c r="L220" i="3"/>
  <c r="U219" i="3"/>
  <c r="T219" i="3"/>
  <c r="S219" i="3"/>
  <c r="R219" i="3"/>
  <c r="Q219" i="3"/>
  <c r="P219" i="3"/>
  <c r="O219" i="3"/>
  <c r="N219" i="3"/>
  <c r="M219" i="3"/>
  <c r="L219" i="3"/>
  <c r="U218" i="3"/>
  <c r="T218" i="3"/>
  <c r="S218" i="3"/>
  <c r="R218" i="3"/>
  <c r="P218" i="3"/>
  <c r="O218" i="3"/>
  <c r="N218" i="3"/>
  <c r="Q218" i="3" s="1"/>
  <c r="M218" i="3"/>
  <c r="L218" i="3"/>
  <c r="V218" i="3" s="1"/>
  <c r="U217" i="3"/>
  <c r="V217" i="3" s="1"/>
  <c r="T217" i="3"/>
  <c r="S217" i="3"/>
  <c r="R217" i="3"/>
  <c r="P217" i="3"/>
  <c r="O217" i="3"/>
  <c r="N217" i="3"/>
  <c r="Q217" i="3" s="1"/>
  <c r="M217" i="3"/>
  <c r="L217" i="3"/>
  <c r="V216" i="3"/>
  <c r="U216" i="3"/>
  <c r="T216" i="3"/>
  <c r="S216" i="3"/>
  <c r="R216" i="3"/>
  <c r="P216" i="3"/>
  <c r="O216" i="3"/>
  <c r="N216" i="3"/>
  <c r="Q216" i="3" s="1"/>
  <c r="M216" i="3"/>
  <c r="L216" i="3"/>
  <c r="U215" i="3"/>
  <c r="V215" i="3" s="1"/>
  <c r="T215" i="3"/>
  <c r="S215" i="3"/>
  <c r="R215" i="3"/>
  <c r="Q215" i="3"/>
  <c r="P215" i="3"/>
  <c r="O215" i="3"/>
  <c r="N215" i="3"/>
  <c r="M215" i="3"/>
  <c r="L215" i="3"/>
  <c r="U214" i="3"/>
  <c r="T214" i="3"/>
  <c r="S214" i="3"/>
  <c r="R214" i="3"/>
  <c r="P214" i="3"/>
  <c r="O214" i="3"/>
  <c r="N214" i="3"/>
  <c r="Q214" i="3" s="1"/>
  <c r="M214" i="3"/>
  <c r="L214" i="3"/>
  <c r="V214" i="3" s="1"/>
  <c r="V213" i="3"/>
  <c r="U213" i="3"/>
  <c r="T213" i="3"/>
  <c r="S213" i="3"/>
  <c r="R213" i="3"/>
  <c r="P213" i="3"/>
  <c r="O213" i="3"/>
  <c r="N213" i="3"/>
  <c r="Q213" i="3" s="1"/>
  <c r="M213" i="3"/>
  <c r="L213" i="3"/>
  <c r="U212" i="3"/>
  <c r="T212" i="3"/>
  <c r="S212" i="3"/>
  <c r="R212" i="3"/>
  <c r="Q212" i="3"/>
  <c r="P212" i="3"/>
  <c r="O212" i="3"/>
  <c r="N212" i="3"/>
  <c r="M212" i="3"/>
  <c r="L212" i="3"/>
  <c r="U211" i="3"/>
  <c r="T211" i="3"/>
  <c r="S211" i="3"/>
  <c r="R211" i="3"/>
  <c r="Q211" i="3"/>
  <c r="P211" i="3"/>
  <c r="O211" i="3"/>
  <c r="N211" i="3"/>
  <c r="M211" i="3"/>
  <c r="L211" i="3"/>
  <c r="U210" i="3"/>
  <c r="T210" i="3"/>
  <c r="S210" i="3"/>
  <c r="R210" i="3"/>
  <c r="P210" i="3"/>
  <c r="O210" i="3"/>
  <c r="N210" i="3"/>
  <c r="Q210" i="3" s="1"/>
  <c r="M210" i="3"/>
  <c r="L210" i="3"/>
  <c r="V210" i="3" s="1"/>
  <c r="U209" i="3"/>
  <c r="V209" i="3" s="1"/>
  <c r="T209" i="3"/>
  <c r="S209" i="3"/>
  <c r="R209" i="3"/>
  <c r="P209" i="3"/>
  <c r="O209" i="3"/>
  <c r="N209" i="3"/>
  <c r="Q209" i="3" s="1"/>
  <c r="M209" i="3"/>
  <c r="L209" i="3"/>
  <c r="U208" i="3"/>
  <c r="V208" i="3" s="1"/>
  <c r="T208" i="3"/>
  <c r="S208" i="3"/>
  <c r="R208" i="3"/>
  <c r="P208" i="3"/>
  <c r="O208" i="3"/>
  <c r="N208" i="3"/>
  <c r="Q208" i="3" s="1"/>
  <c r="M208" i="3"/>
  <c r="L208" i="3"/>
  <c r="U207" i="3"/>
  <c r="V207" i="3" s="1"/>
  <c r="T207" i="3"/>
  <c r="S207" i="3"/>
  <c r="R207" i="3"/>
  <c r="Q207" i="3"/>
  <c r="P207" i="3"/>
  <c r="O207" i="3"/>
  <c r="N207" i="3"/>
  <c r="M207" i="3"/>
  <c r="L207" i="3"/>
  <c r="U206" i="3"/>
  <c r="T206" i="3"/>
  <c r="S206" i="3"/>
  <c r="R206" i="3"/>
  <c r="P206" i="3"/>
  <c r="O206" i="3"/>
  <c r="N206" i="3"/>
  <c r="Q206" i="3" s="1"/>
  <c r="M206" i="3"/>
  <c r="L206" i="3"/>
  <c r="V206" i="3" s="1"/>
  <c r="V205" i="3"/>
  <c r="U205" i="3"/>
  <c r="T205" i="3"/>
  <c r="S205" i="3"/>
  <c r="R205" i="3"/>
  <c r="P205" i="3"/>
  <c r="O205" i="3"/>
  <c r="N205" i="3"/>
  <c r="Q205" i="3" s="1"/>
  <c r="M205" i="3"/>
  <c r="L205" i="3"/>
  <c r="U204" i="3"/>
  <c r="V204" i="3" s="1"/>
  <c r="T204" i="3"/>
  <c r="S204" i="3"/>
  <c r="R204" i="3"/>
  <c r="Q204" i="3"/>
  <c r="P204" i="3"/>
  <c r="O204" i="3"/>
  <c r="N204" i="3"/>
  <c r="M204" i="3"/>
  <c r="L204" i="3"/>
  <c r="U203" i="3"/>
  <c r="T203" i="3"/>
  <c r="S203" i="3"/>
  <c r="R203" i="3"/>
  <c r="Q203" i="3"/>
  <c r="P203" i="3"/>
  <c r="O203" i="3"/>
  <c r="N203" i="3"/>
  <c r="M203" i="3"/>
  <c r="L203" i="3"/>
  <c r="U202" i="3"/>
  <c r="T202" i="3"/>
  <c r="S202" i="3"/>
  <c r="R202" i="3"/>
  <c r="Q202" i="3"/>
  <c r="P202" i="3"/>
  <c r="O202" i="3"/>
  <c r="N202" i="3"/>
  <c r="M202" i="3"/>
  <c r="L202" i="3"/>
  <c r="V202" i="3" s="1"/>
  <c r="V201" i="3"/>
  <c r="U201" i="3"/>
  <c r="T201" i="3"/>
  <c r="S201" i="3"/>
  <c r="R201" i="3"/>
  <c r="P201" i="3"/>
  <c r="O201" i="3"/>
  <c r="N201" i="3"/>
  <c r="Q201" i="3" s="1"/>
  <c r="M201" i="3"/>
  <c r="L201" i="3"/>
  <c r="V200" i="3"/>
  <c r="U200" i="3"/>
  <c r="T200" i="3"/>
  <c r="S200" i="3"/>
  <c r="R200" i="3"/>
  <c r="P200" i="3"/>
  <c r="O200" i="3"/>
  <c r="N200" i="3"/>
  <c r="Q200" i="3" s="1"/>
  <c r="M200" i="3"/>
  <c r="L200" i="3"/>
  <c r="U199" i="3"/>
  <c r="T199" i="3"/>
  <c r="S199" i="3"/>
  <c r="R199" i="3"/>
  <c r="Q199" i="3"/>
  <c r="P199" i="3"/>
  <c r="O199" i="3"/>
  <c r="N199" i="3"/>
  <c r="M199" i="3"/>
  <c r="L199" i="3"/>
  <c r="V198" i="3"/>
  <c r="U198" i="3"/>
  <c r="T198" i="3"/>
  <c r="S198" i="3"/>
  <c r="R198" i="3"/>
  <c r="P198" i="3"/>
  <c r="O198" i="3"/>
  <c r="N198" i="3"/>
  <c r="Q198" i="3" s="1"/>
  <c r="M198" i="3"/>
  <c r="L198" i="3"/>
  <c r="V197" i="3"/>
  <c r="U197" i="3"/>
  <c r="T197" i="3"/>
  <c r="S197" i="3"/>
  <c r="R197" i="3"/>
  <c r="Q197" i="3"/>
  <c r="P197" i="3"/>
  <c r="O197" i="3"/>
  <c r="N197" i="3"/>
  <c r="M197" i="3"/>
  <c r="L197" i="3"/>
  <c r="U196" i="3"/>
  <c r="V196" i="3" s="1"/>
  <c r="T196" i="3"/>
  <c r="S196" i="3"/>
  <c r="R196" i="3"/>
  <c r="P196" i="3"/>
  <c r="O196" i="3"/>
  <c r="N196" i="3"/>
  <c r="Q196" i="3" s="1"/>
  <c r="M196" i="3"/>
  <c r="L196" i="3"/>
  <c r="U195" i="3"/>
  <c r="V195" i="3" s="1"/>
  <c r="T195" i="3"/>
  <c r="S195" i="3"/>
  <c r="R195" i="3"/>
  <c r="Q195" i="3"/>
  <c r="P195" i="3"/>
  <c r="O195" i="3"/>
  <c r="N195" i="3"/>
  <c r="M195" i="3"/>
  <c r="L195" i="3"/>
  <c r="U194" i="3"/>
  <c r="T194" i="3"/>
  <c r="S194" i="3"/>
  <c r="R194" i="3"/>
  <c r="P194" i="3"/>
  <c r="O194" i="3"/>
  <c r="N194" i="3"/>
  <c r="Q194" i="3" s="1"/>
  <c r="M194" i="3"/>
  <c r="L194" i="3"/>
  <c r="V194" i="3" s="1"/>
  <c r="U193" i="3"/>
  <c r="V193" i="3" s="1"/>
  <c r="T193" i="3"/>
  <c r="S193" i="3"/>
  <c r="R193" i="3"/>
  <c r="Q193" i="3"/>
  <c r="P193" i="3"/>
  <c r="O193" i="3"/>
  <c r="N193" i="3"/>
  <c r="M193" i="3"/>
  <c r="L193" i="3"/>
  <c r="V192" i="3"/>
  <c r="U192" i="3"/>
  <c r="T192" i="3"/>
  <c r="S192" i="3"/>
  <c r="R192" i="3"/>
  <c r="P192" i="3"/>
  <c r="O192" i="3"/>
  <c r="N192" i="3"/>
  <c r="Q192" i="3" s="1"/>
  <c r="M192" i="3"/>
  <c r="L192" i="3"/>
  <c r="U191" i="3"/>
  <c r="T191" i="3"/>
  <c r="S191" i="3"/>
  <c r="R191" i="3"/>
  <c r="Q191" i="3"/>
  <c r="P191" i="3"/>
  <c r="O191" i="3"/>
  <c r="N191" i="3"/>
  <c r="M191" i="3"/>
  <c r="L191" i="3"/>
  <c r="U190" i="3"/>
  <c r="V190" i="3" s="1"/>
  <c r="T190" i="3"/>
  <c r="S190" i="3"/>
  <c r="R190" i="3"/>
  <c r="P190" i="3"/>
  <c r="O190" i="3"/>
  <c r="N190" i="3"/>
  <c r="Q190" i="3" s="1"/>
  <c r="M190" i="3"/>
  <c r="L190" i="3"/>
  <c r="U189" i="3"/>
  <c r="V189" i="3" s="1"/>
  <c r="T189" i="3"/>
  <c r="S189" i="3"/>
  <c r="R189" i="3"/>
  <c r="Q189" i="3"/>
  <c r="P189" i="3"/>
  <c r="O189" i="3"/>
  <c r="N189" i="3"/>
  <c r="M189" i="3"/>
  <c r="L189" i="3"/>
  <c r="U188" i="3"/>
  <c r="T188" i="3"/>
  <c r="S188" i="3"/>
  <c r="R188" i="3"/>
  <c r="P188" i="3"/>
  <c r="O188" i="3"/>
  <c r="N188" i="3"/>
  <c r="Q188" i="3" s="1"/>
  <c r="M188" i="3"/>
  <c r="L188" i="3"/>
  <c r="V188" i="3" s="1"/>
  <c r="U187" i="3"/>
  <c r="V187" i="3" s="1"/>
  <c r="T187" i="3"/>
  <c r="S187" i="3"/>
  <c r="R187" i="3"/>
  <c r="Q187" i="3"/>
  <c r="P187" i="3"/>
  <c r="O187" i="3"/>
  <c r="N187" i="3"/>
  <c r="M187" i="3"/>
  <c r="N39" i="12" s="1"/>
  <c r="L187" i="3"/>
  <c r="V186" i="3"/>
  <c r="U186" i="3"/>
  <c r="T186" i="3"/>
  <c r="S186" i="3"/>
  <c r="R186" i="3"/>
  <c r="P186" i="3"/>
  <c r="O186" i="3"/>
  <c r="N186" i="3"/>
  <c r="Q186" i="3" s="1"/>
  <c r="M186" i="3"/>
  <c r="L186" i="3"/>
  <c r="U185" i="3"/>
  <c r="V185" i="3" s="1"/>
  <c r="T185" i="3"/>
  <c r="S185" i="3"/>
  <c r="R185" i="3"/>
  <c r="Q185" i="3"/>
  <c r="P185" i="3"/>
  <c r="O185" i="3"/>
  <c r="N185" i="3"/>
  <c r="M185" i="3"/>
  <c r="L185" i="3"/>
  <c r="U184" i="3"/>
  <c r="T184" i="3"/>
  <c r="S184" i="3"/>
  <c r="R184" i="3"/>
  <c r="P184" i="3"/>
  <c r="O184" i="3"/>
  <c r="N184" i="3"/>
  <c r="Q184" i="3" s="1"/>
  <c r="M184" i="3"/>
  <c r="L184" i="3"/>
  <c r="V184" i="3" s="1"/>
  <c r="U183" i="3"/>
  <c r="T183" i="3"/>
  <c r="S183" i="3"/>
  <c r="R183" i="3"/>
  <c r="Q183" i="3"/>
  <c r="P183" i="3"/>
  <c r="O183" i="3"/>
  <c r="N183" i="3"/>
  <c r="M183" i="3"/>
  <c r="L183" i="3"/>
  <c r="U182" i="3"/>
  <c r="V182" i="3" s="1"/>
  <c r="T182" i="3"/>
  <c r="S182" i="3"/>
  <c r="R182" i="3"/>
  <c r="P182" i="3"/>
  <c r="O182" i="3"/>
  <c r="N182" i="3"/>
  <c r="Q182" i="3" s="1"/>
  <c r="M182" i="3"/>
  <c r="L182" i="3"/>
  <c r="U181" i="3"/>
  <c r="V181" i="3" s="1"/>
  <c r="T181" i="3"/>
  <c r="S181" i="3"/>
  <c r="R181" i="3"/>
  <c r="Q181" i="3"/>
  <c r="P181" i="3"/>
  <c r="O181" i="3"/>
  <c r="N181" i="3"/>
  <c r="M181" i="3"/>
  <c r="L181" i="3"/>
  <c r="V180" i="3"/>
  <c r="U180" i="3"/>
  <c r="T180" i="3"/>
  <c r="S180" i="3"/>
  <c r="R180" i="3"/>
  <c r="P180" i="3"/>
  <c r="O180" i="3"/>
  <c r="N180" i="3"/>
  <c r="Q180" i="3" s="1"/>
  <c r="M180" i="3"/>
  <c r="L180" i="3"/>
  <c r="U179" i="3"/>
  <c r="V179" i="3" s="1"/>
  <c r="T179" i="3"/>
  <c r="S179" i="3"/>
  <c r="R179" i="3"/>
  <c r="Q179" i="3"/>
  <c r="P179" i="3"/>
  <c r="O179" i="3"/>
  <c r="N179" i="3"/>
  <c r="M179" i="3"/>
  <c r="L179" i="3"/>
  <c r="U178" i="3"/>
  <c r="T178" i="3"/>
  <c r="S178" i="3"/>
  <c r="R178" i="3"/>
  <c r="P178" i="3"/>
  <c r="O178" i="3"/>
  <c r="N178" i="3"/>
  <c r="Q178" i="3" s="1"/>
  <c r="M178" i="3"/>
  <c r="L178" i="3"/>
  <c r="V178" i="3" s="1"/>
  <c r="U177" i="3"/>
  <c r="V177" i="3" s="1"/>
  <c r="T177" i="3"/>
  <c r="S177" i="3"/>
  <c r="R177" i="3"/>
  <c r="P177" i="3"/>
  <c r="O177" i="3"/>
  <c r="N177" i="3"/>
  <c r="Q177" i="3" s="1"/>
  <c r="M177" i="3"/>
  <c r="L177" i="3"/>
  <c r="V176" i="3"/>
  <c r="U176" i="3"/>
  <c r="T176" i="3"/>
  <c r="S176" i="3"/>
  <c r="R176" i="3"/>
  <c r="P176" i="3"/>
  <c r="O176" i="3"/>
  <c r="N176" i="3"/>
  <c r="Q176" i="3" s="1"/>
  <c r="M176" i="3"/>
  <c r="L176" i="3"/>
  <c r="U175" i="3"/>
  <c r="T175" i="3"/>
  <c r="S175" i="3"/>
  <c r="R175" i="3"/>
  <c r="Q175" i="3"/>
  <c r="P175" i="3"/>
  <c r="O175" i="3"/>
  <c r="N175" i="3"/>
  <c r="M175" i="3"/>
  <c r="L175" i="3"/>
  <c r="U174" i="3"/>
  <c r="V174" i="3" s="1"/>
  <c r="T174" i="3"/>
  <c r="S174" i="3"/>
  <c r="R174" i="3"/>
  <c r="P174" i="3"/>
  <c r="O174" i="3"/>
  <c r="N174" i="3"/>
  <c r="Q174" i="3" s="1"/>
  <c r="M174" i="3"/>
  <c r="L174" i="3"/>
  <c r="U173" i="3"/>
  <c r="V173" i="3" s="1"/>
  <c r="T173" i="3"/>
  <c r="S173" i="3"/>
  <c r="R173" i="3"/>
  <c r="Q173" i="3"/>
  <c r="P173" i="3"/>
  <c r="O173" i="3"/>
  <c r="N173" i="3"/>
  <c r="M173" i="3"/>
  <c r="L173" i="3"/>
  <c r="U172" i="3"/>
  <c r="T172" i="3"/>
  <c r="S172" i="3"/>
  <c r="R172" i="3"/>
  <c r="P172" i="3"/>
  <c r="O172" i="3"/>
  <c r="N172" i="3"/>
  <c r="Q172" i="3" s="1"/>
  <c r="M172" i="3"/>
  <c r="L172" i="3"/>
  <c r="V172" i="3" s="1"/>
  <c r="U171" i="3"/>
  <c r="V171" i="3" s="1"/>
  <c r="T171" i="3"/>
  <c r="S171" i="3"/>
  <c r="R171" i="3"/>
  <c r="Q171" i="3"/>
  <c r="P171" i="3"/>
  <c r="O171" i="3"/>
  <c r="N171" i="3"/>
  <c r="M171" i="3"/>
  <c r="L171" i="3"/>
  <c r="V170" i="3"/>
  <c r="U170" i="3"/>
  <c r="T170" i="3"/>
  <c r="S170" i="3"/>
  <c r="R170" i="3"/>
  <c r="P170" i="3"/>
  <c r="O170" i="3"/>
  <c r="N170" i="3"/>
  <c r="Q170" i="3" s="1"/>
  <c r="M170" i="3"/>
  <c r="L170" i="3"/>
  <c r="U169" i="3"/>
  <c r="V169" i="3" s="1"/>
  <c r="T169" i="3"/>
  <c r="S169" i="3"/>
  <c r="R169" i="3"/>
  <c r="Q169" i="3"/>
  <c r="P169" i="3"/>
  <c r="O169" i="3"/>
  <c r="N169" i="3"/>
  <c r="M169" i="3"/>
  <c r="L169" i="3"/>
  <c r="U168" i="3"/>
  <c r="T168" i="3"/>
  <c r="S168" i="3"/>
  <c r="R168" i="3"/>
  <c r="P168" i="3"/>
  <c r="O168" i="3"/>
  <c r="N168" i="3"/>
  <c r="Q168" i="3" s="1"/>
  <c r="M168" i="3"/>
  <c r="L168" i="3"/>
  <c r="V168" i="3" s="1"/>
  <c r="U167" i="3"/>
  <c r="V167" i="3" s="1"/>
  <c r="T167" i="3"/>
  <c r="S167" i="3"/>
  <c r="R167" i="3"/>
  <c r="Q167" i="3"/>
  <c r="P167" i="3"/>
  <c r="O167" i="3"/>
  <c r="N167" i="3"/>
  <c r="M167" i="3"/>
  <c r="L167" i="3"/>
  <c r="V166" i="3"/>
  <c r="U166" i="3"/>
  <c r="T166" i="3"/>
  <c r="S166" i="3"/>
  <c r="R166" i="3"/>
  <c r="P166" i="3"/>
  <c r="O166" i="3"/>
  <c r="N166" i="3"/>
  <c r="Q166" i="3" s="1"/>
  <c r="M166" i="3"/>
  <c r="L166" i="3"/>
  <c r="U165" i="3"/>
  <c r="V165" i="3" s="1"/>
  <c r="T165" i="3"/>
  <c r="S165" i="3"/>
  <c r="R165" i="3"/>
  <c r="Q165" i="3"/>
  <c r="P165" i="3"/>
  <c r="O165" i="3"/>
  <c r="N165" i="3"/>
  <c r="M165" i="3"/>
  <c r="L165" i="3"/>
  <c r="U164" i="3"/>
  <c r="T164" i="3"/>
  <c r="S164" i="3"/>
  <c r="R164" i="3"/>
  <c r="P164" i="3"/>
  <c r="O164" i="3"/>
  <c r="N164" i="3"/>
  <c r="Q164" i="3" s="1"/>
  <c r="M164" i="3"/>
  <c r="L164" i="3"/>
  <c r="V164" i="3" s="1"/>
  <c r="U163" i="3"/>
  <c r="V163" i="3" s="1"/>
  <c r="T163" i="3"/>
  <c r="S163" i="3"/>
  <c r="R163" i="3"/>
  <c r="P163" i="3"/>
  <c r="O163" i="3"/>
  <c r="N163" i="3"/>
  <c r="Q163" i="3" s="1"/>
  <c r="M163" i="3"/>
  <c r="L163" i="3"/>
  <c r="V162" i="3"/>
  <c r="U162" i="3"/>
  <c r="T162" i="3"/>
  <c r="S162" i="3"/>
  <c r="R162" i="3"/>
  <c r="P162" i="3"/>
  <c r="O162" i="3"/>
  <c r="N162" i="3"/>
  <c r="Q162" i="3" s="1"/>
  <c r="M162" i="3"/>
  <c r="L162" i="3"/>
  <c r="U161" i="3"/>
  <c r="V161" i="3" s="1"/>
  <c r="T161" i="3"/>
  <c r="S161" i="3"/>
  <c r="R161" i="3"/>
  <c r="Q161" i="3"/>
  <c r="P161" i="3"/>
  <c r="O161" i="3"/>
  <c r="N161" i="3"/>
  <c r="M161" i="3"/>
  <c r="L161" i="3"/>
  <c r="U160" i="3"/>
  <c r="T160" i="3"/>
  <c r="S160" i="3"/>
  <c r="R160" i="3"/>
  <c r="P160" i="3"/>
  <c r="O160" i="3"/>
  <c r="N160" i="3"/>
  <c r="Q160" i="3" s="1"/>
  <c r="M160" i="3"/>
  <c r="L160" i="3"/>
  <c r="V160" i="3" s="1"/>
  <c r="U159" i="3"/>
  <c r="V159" i="3" s="1"/>
  <c r="T159" i="3"/>
  <c r="S159" i="3"/>
  <c r="R159" i="3"/>
  <c r="Q159" i="3"/>
  <c r="P159" i="3"/>
  <c r="O159" i="3"/>
  <c r="N159" i="3"/>
  <c r="M159" i="3"/>
  <c r="L159" i="3"/>
  <c r="V158" i="3"/>
  <c r="U158" i="3"/>
  <c r="T158" i="3"/>
  <c r="S158" i="3"/>
  <c r="R158" i="3"/>
  <c r="P158" i="3"/>
  <c r="O158" i="3"/>
  <c r="N158" i="3"/>
  <c r="Q158" i="3" s="1"/>
  <c r="M158" i="3"/>
  <c r="L158" i="3"/>
  <c r="U157" i="3"/>
  <c r="V157" i="3" s="1"/>
  <c r="T157" i="3"/>
  <c r="S157" i="3"/>
  <c r="R157" i="3"/>
  <c r="Q157" i="3"/>
  <c r="P157" i="3"/>
  <c r="O157" i="3"/>
  <c r="N157" i="3"/>
  <c r="M157" i="3"/>
  <c r="L157" i="3"/>
  <c r="U156" i="3"/>
  <c r="T156" i="3"/>
  <c r="S156" i="3"/>
  <c r="R156" i="3"/>
  <c r="P156" i="3"/>
  <c r="O156" i="3"/>
  <c r="N156" i="3"/>
  <c r="Q156" i="3" s="1"/>
  <c r="M156" i="3"/>
  <c r="L156" i="3"/>
  <c r="V156" i="3" s="1"/>
  <c r="U155" i="3"/>
  <c r="V155" i="3" s="1"/>
  <c r="T155" i="3"/>
  <c r="S155" i="3"/>
  <c r="R155" i="3"/>
  <c r="P155" i="3"/>
  <c r="O155" i="3"/>
  <c r="N155" i="3"/>
  <c r="Q155" i="3" s="1"/>
  <c r="M155" i="3"/>
  <c r="L155" i="3"/>
  <c r="V154" i="3"/>
  <c r="U154" i="3"/>
  <c r="T154" i="3"/>
  <c r="S154" i="3"/>
  <c r="R154" i="3"/>
  <c r="P154" i="3"/>
  <c r="O154" i="3"/>
  <c r="N154" i="3"/>
  <c r="Q154" i="3" s="1"/>
  <c r="M154" i="3"/>
  <c r="L154" i="3"/>
  <c r="U153" i="3"/>
  <c r="V153" i="3" s="1"/>
  <c r="T153" i="3"/>
  <c r="S153" i="3"/>
  <c r="R153" i="3"/>
  <c r="Q153" i="3"/>
  <c r="P153" i="3"/>
  <c r="O153" i="3"/>
  <c r="N153" i="3"/>
  <c r="M153" i="3"/>
  <c r="L153" i="3"/>
  <c r="U152" i="3"/>
  <c r="T152" i="3"/>
  <c r="S152" i="3"/>
  <c r="R152" i="3"/>
  <c r="P152" i="3"/>
  <c r="O152" i="3"/>
  <c r="N152" i="3"/>
  <c r="Q152" i="3" s="1"/>
  <c r="M152" i="3"/>
  <c r="L152" i="3"/>
  <c r="V152" i="3" s="1"/>
  <c r="U151" i="3"/>
  <c r="V151" i="3" s="1"/>
  <c r="T151" i="3"/>
  <c r="S151" i="3"/>
  <c r="R151" i="3"/>
  <c r="Q151" i="3"/>
  <c r="P151" i="3"/>
  <c r="O151" i="3"/>
  <c r="N151" i="3"/>
  <c r="M151" i="3"/>
  <c r="L151" i="3"/>
  <c r="V150" i="3"/>
  <c r="U150" i="3"/>
  <c r="T150" i="3"/>
  <c r="S150" i="3"/>
  <c r="R150" i="3"/>
  <c r="P150" i="3"/>
  <c r="O150" i="3"/>
  <c r="N150" i="3"/>
  <c r="Q150" i="3" s="1"/>
  <c r="M150" i="3"/>
  <c r="L150" i="3"/>
  <c r="U149" i="3"/>
  <c r="V149" i="3" s="1"/>
  <c r="T149" i="3"/>
  <c r="S149" i="3"/>
  <c r="R149" i="3"/>
  <c r="Q149" i="3"/>
  <c r="P149" i="3"/>
  <c r="O149" i="3"/>
  <c r="N149" i="3"/>
  <c r="M149" i="3"/>
  <c r="L149" i="3"/>
  <c r="U148" i="3"/>
  <c r="T148" i="3"/>
  <c r="S148" i="3"/>
  <c r="R148" i="3"/>
  <c r="P148" i="3"/>
  <c r="O148" i="3"/>
  <c r="N148" i="3"/>
  <c r="Q148" i="3" s="1"/>
  <c r="M148" i="3"/>
  <c r="L148" i="3"/>
  <c r="V148" i="3" s="1"/>
  <c r="U147" i="3"/>
  <c r="V147" i="3" s="1"/>
  <c r="T147" i="3"/>
  <c r="S147" i="3"/>
  <c r="R147" i="3"/>
  <c r="P147" i="3"/>
  <c r="O147" i="3"/>
  <c r="N147" i="3"/>
  <c r="Q147" i="3" s="1"/>
  <c r="M147" i="3"/>
  <c r="L147" i="3"/>
  <c r="V146" i="3"/>
  <c r="U146" i="3"/>
  <c r="T146" i="3"/>
  <c r="S146" i="3"/>
  <c r="R146" i="3"/>
  <c r="P146" i="3"/>
  <c r="O146" i="3"/>
  <c r="N146" i="3"/>
  <c r="Q146" i="3" s="1"/>
  <c r="M146" i="3"/>
  <c r="L146" i="3"/>
  <c r="U145" i="3"/>
  <c r="V145" i="3" s="1"/>
  <c r="T145" i="3"/>
  <c r="S145" i="3"/>
  <c r="R145" i="3"/>
  <c r="Q145" i="3"/>
  <c r="P145" i="3"/>
  <c r="O145" i="3"/>
  <c r="N145" i="3"/>
  <c r="M145" i="3"/>
  <c r="L145" i="3"/>
  <c r="U144" i="3"/>
  <c r="T144" i="3"/>
  <c r="S144" i="3"/>
  <c r="R144" i="3"/>
  <c r="P144" i="3"/>
  <c r="O144" i="3"/>
  <c r="N144" i="3"/>
  <c r="Q144" i="3" s="1"/>
  <c r="M144" i="3"/>
  <c r="L144" i="3"/>
  <c r="V144" i="3" s="1"/>
  <c r="U143" i="3"/>
  <c r="V143" i="3" s="1"/>
  <c r="T143" i="3"/>
  <c r="S143" i="3"/>
  <c r="R143" i="3"/>
  <c r="Q143" i="3"/>
  <c r="P143" i="3"/>
  <c r="O143" i="3"/>
  <c r="N143" i="3"/>
  <c r="M143" i="3"/>
  <c r="L143" i="3"/>
  <c r="V142" i="3"/>
  <c r="U142" i="3"/>
  <c r="T142" i="3"/>
  <c r="S142" i="3"/>
  <c r="R142" i="3"/>
  <c r="P142" i="3"/>
  <c r="O142" i="3"/>
  <c r="N142" i="3"/>
  <c r="Q142" i="3" s="1"/>
  <c r="M142" i="3"/>
  <c r="L142" i="3"/>
  <c r="U141" i="3"/>
  <c r="V141" i="3" s="1"/>
  <c r="T141" i="3"/>
  <c r="S141" i="3"/>
  <c r="R141" i="3"/>
  <c r="Q141" i="3"/>
  <c r="P141" i="3"/>
  <c r="O141" i="3"/>
  <c r="N141" i="3"/>
  <c r="M141" i="3"/>
  <c r="L141" i="3"/>
  <c r="U140" i="3"/>
  <c r="T140" i="3"/>
  <c r="S140" i="3"/>
  <c r="R140" i="3"/>
  <c r="P140" i="3"/>
  <c r="O140" i="3"/>
  <c r="N140" i="3"/>
  <c r="Q140" i="3" s="1"/>
  <c r="M140" i="3"/>
  <c r="L140" i="3"/>
  <c r="V140" i="3" s="1"/>
  <c r="U139" i="3"/>
  <c r="V139" i="3" s="1"/>
  <c r="T139" i="3"/>
  <c r="S139" i="3"/>
  <c r="R139" i="3"/>
  <c r="P139" i="3"/>
  <c r="O139" i="3"/>
  <c r="N139" i="3"/>
  <c r="Q139" i="3" s="1"/>
  <c r="M139" i="3"/>
  <c r="L139" i="3"/>
  <c r="V138" i="3"/>
  <c r="U138" i="3"/>
  <c r="T138" i="3"/>
  <c r="S138" i="3"/>
  <c r="R138" i="3"/>
  <c r="P138" i="3"/>
  <c r="O138" i="3"/>
  <c r="N138" i="3"/>
  <c r="Q138" i="3" s="1"/>
  <c r="M138" i="3"/>
  <c r="L138" i="3"/>
  <c r="U137" i="3"/>
  <c r="V137" i="3" s="1"/>
  <c r="T137" i="3"/>
  <c r="S137" i="3"/>
  <c r="R137" i="3"/>
  <c r="Q137" i="3"/>
  <c r="P137" i="3"/>
  <c r="O137" i="3"/>
  <c r="N137" i="3"/>
  <c r="M137" i="3"/>
  <c r="L137" i="3"/>
  <c r="U136" i="3"/>
  <c r="T136" i="3"/>
  <c r="S136" i="3"/>
  <c r="R136" i="3"/>
  <c r="P136" i="3"/>
  <c r="O136" i="3"/>
  <c r="N136" i="3"/>
  <c r="Q136" i="3" s="1"/>
  <c r="M136" i="3"/>
  <c r="L136" i="3"/>
  <c r="V136" i="3" s="1"/>
  <c r="U135" i="3"/>
  <c r="V135" i="3" s="1"/>
  <c r="T135" i="3"/>
  <c r="S135" i="3"/>
  <c r="R135" i="3"/>
  <c r="Q135" i="3"/>
  <c r="P135" i="3"/>
  <c r="O135" i="3"/>
  <c r="N135" i="3"/>
  <c r="M135" i="3"/>
  <c r="L135" i="3"/>
  <c r="V134" i="3"/>
  <c r="U134" i="3"/>
  <c r="T134" i="3"/>
  <c r="S134" i="3"/>
  <c r="R134" i="3"/>
  <c r="P134" i="3"/>
  <c r="O134" i="3"/>
  <c r="N134" i="3"/>
  <c r="Q134" i="3" s="1"/>
  <c r="M134" i="3"/>
  <c r="L134" i="3"/>
  <c r="U133" i="3"/>
  <c r="V133" i="3" s="1"/>
  <c r="T133" i="3"/>
  <c r="S133" i="3"/>
  <c r="R133" i="3"/>
  <c r="Q133" i="3"/>
  <c r="P133" i="3"/>
  <c r="O133" i="3"/>
  <c r="N133" i="3"/>
  <c r="M133" i="3"/>
  <c r="L133" i="3"/>
  <c r="U132" i="3"/>
  <c r="T132" i="3"/>
  <c r="S132" i="3"/>
  <c r="R132" i="3"/>
  <c r="P132" i="3"/>
  <c r="O132" i="3"/>
  <c r="N132" i="3"/>
  <c r="Q132" i="3" s="1"/>
  <c r="M132" i="3"/>
  <c r="L132" i="3"/>
  <c r="V132" i="3" s="1"/>
  <c r="U131" i="3"/>
  <c r="V131" i="3" s="1"/>
  <c r="T131" i="3"/>
  <c r="S131" i="3"/>
  <c r="R131" i="3"/>
  <c r="P131" i="3"/>
  <c r="O131" i="3"/>
  <c r="N131" i="3"/>
  <c r="Q131" i="3" s="1"/>
  <c r="M131" i="3"/>
  <c r="L131" i="3"/>
  <c r="V130" i="3"/>
  <c r="U130" i="3"/>
  <c r="T130" i="3"/>
  <c r="S130" i="3"/>
  <c r="R130" i="3"/>
  <c r="P130" i="3"/>
  <c r="O130" i="3"/>
  <c r="N130" i="3"/>
  <c r="Q130" i="3" s="1"/>
  <c r="M130" i="3"/>
  <c r="L130" i="3"/>
  <c r="U129" i="3"/>
  <c r="V129" i="3" s="1"/>
  <c r="T129" i="3"/>
  <c r="S129" i="3"/>
  <c r="R129" i="3"/>
  <c r="Q129" i="3"/>
  <c r="P129" i="3"/>
  <c r="O129" i="3"/>
  <c r="N129" i="3"/>
  <c r="M129" i="3"/>
  <c r="L129" i="3"/>
  <c r="U128" i="3"/>
  <c r="T128" i="3"/>
  <c r="S128" i="3"/>
  <c r="R128" i="3"/>
  <c r="P128" i="3"/>
  <c r="O128" i="3"/>
  <c r="N128" i="3"/>
  <c r="Q128" i="3" s="1"/>
  <c r="M128" i="3"/>
  <c r="N10" i="12" s="1"/>
  <c r="L128" i="3"/>
  <c r="V128" i="3" s="1"/>
  <c r="U127" i="3"/>
  <c r="V127" i="3" s="1"/>
  <c r="T127" i="3"/>
  <c r="S127" i="3"/>
  <c r="R127" i="3"/>
  <c r="Q127" i="3"/>
  <c r="P127" i="3"/>
  <c r="O127" i="3"/>
  <c r="N127" i="3"/>
  <c r="M127" i="3"/>
  <c r="L127" i="3"/>
  <c r="V126" i="3"/>
  <c r="U126" i="3"/>
  <c r="T126" i="3"/>
  <c r="S126" i="3"/>
  <c r="R126" i="3"/>
  <c r="P126" i="3"/>
  <c r="O126" i="3"/>
  <c r="N126" i="3"/>
  <c r="Q126" i="3" s="1"/>
  <c r="M126" i="3"/>
  <c r="L126" i="3"/>
  <c r="U125" i="3"/>
  <c r="V125" i="3" s="1"/>
  <c r="T125" i="3"/>
  <c r="S125" i="3"/>
  <c r="R125" i="3"/>
  <c r="Q125" i="3"/>
  <c r="P125" i="3"/>
  <c r="O125" i="3"/>
  <c r="N125" i="3"/>
  <c r="M125" i="3"/>
  <c r="L125" i="3"/>
  <c r="U124" i="3"/>
  <c r="T124" i="3"/>
  <c r="S124" i="3"/>
  <c r="R124" i="3"/>
  <c r="P124" i="3"/>
  <c r="O124" i="3"/>
  <c r="N124" i="3"/>
  <c r="Q124" i="3" s="1"/>
  <c r="M124" i="3"/>
  <c r="L124" i="3"/>
  <c r="V124" i="3" s="1"/>
  <c r="U123" i="3"/>
  <c r="V123" i="3" s="1"/>
  <c r="T123" i="3"/>
  <c r="S123" i="3"/>
  <c r="R123" i="3"/>
  <c r="P123" i="3"/>
  <c r="O123" i="3"/>
  <c r="N123" i="3"/>
  <c r="Q123" i="3" s="1"/>
  <c r="M123" i="3"/>
  <c r="L123" i="3"/>
  <c r="V122" i="3"/>
  <c r="U122" i="3"/>
  <c r="T122" i="3"/>
  <c r="S122" i="3"/>
  <c r="R122" i="3"/>
  <c r="P122" i="3"/>
  <c r="O122" i="3"/>
  <c r="N122" i="3"/>
  <c r="Q122" i="3" s="1"/>
  <c r="M122" i="3"/>
  <c r="L122" i="3"/>
  <c r="U121" i="3"/>
  <c r="V121" i="3" s="1"/>
  <c r="T121" i="3"/>
  <c r="S121" i="3"/>
  <c r="R121" i="3"/>
  <c r="Q121" i="3"/>
  <c r="P121" i="3"/>
  <c r="O121" i="3"/>
  <c r="N121" i="3"/>
  <c r="M121" i="3"/>
  <c r="L121" i="3"/>
  <c r="U120" i="3"/>
  <c r="T120" i="3"/>
  <c r="S120" i="3"/>
  <c r="R120" i="3"/>
  <c r="P120" i="3"/>
  <c r="O120" i="3"/>
  <c r="N120" i="3"/>
  <c r="Q120" i="3" s="1"/>
  <c r="M120" i="3"/>
  <c r="L120" i="3"/>
  <c r="V120" i="3" s="1"/>
  <c r="U119" i="3"/>
  <c r="V119" i="3" s="1"/>
  <c r="T119" i="3"/>
  <c r="S119" i="3"/>
  <c r="R119" i="3"/>
  <c r="Q119" i="3"/>
  <c r="P119" i="3"/>
  <c r="O119" i="3"/>
  <c r="N119" i="3"/>
  <c r="M119" i="3"/>
  <c r="L119" i="3"/>
  <c r="V118" i="3"/>
  <c r="U118" i="3"/>
  <c r="T118" i="3"/>
  <c r="S118" i="3"/>
  <c r="R118" i="3"/>
  <c r="P118" i="3"/>
  <c r="O118" i="3"/>
  <c r="N118" i="3"/>
  <c r="Q118" i="3" s="1"/>
  <c r="M118" i="3"/>
  <c r="L118" i="3"/>
  <c r="U117" i="3"/>
  <c r="V117" i="3" s="1"/>
  <c r="T117" i="3"/>
  <c r="S117" i="3"/>
  <c r="R117" i="3"/>
  <c r="Q117" i="3"/>
  <c r="P117" i="3"/>
  <c r="O117" i="3"/>
  <c r="N117" i="3"/>
  <c r="M117" i="3"/>
  <c r="L117" i="3"/>
  <c r="U116" i="3"/>
  <c r="T116" i="3"/>
  <c r="S116" i="3"/>
  <c r="R116" i="3"/>
  <c r="P116" i="3"/>
  <c r="O116" i="3"/>
  <c r="N116" i="3"/>
  <c r="Q116" i="3" s="1"/>
  <c r="M116" i="3"/>
  <c r="L116" i="3"/>
  <c r="V116" i="3" s="1"/>
  <c r="U115" i="3"/>
  <c r="V115" i="3" s="1"/>
  <c r="T115" i="3"/>
  <c r="S115" i="3"/>
  <c r="R115" i="3"/>
  <c r="P115" i="3"/>
  <c r="O115" i="3"/>
  <c r="N115" i="3"/>
  <c r="Q115" i="3" s="1"/>
  <c r="M115" i="3"/>
  <c r="L115" i="3"/>
  <c r="V114" i="3"/>
  <c r="U114" i="3"/>
  <c r="T114" i="3"/>
  <c r="S114" i="3"/>
  <c r="R114" i="3"/>
  <c r="P114" i="3"/>
  <c r="O114" i="3"/>
  <c r="N114" i="3"/>
  <c r="Q114" i="3" s="1"/>
  <c r="M114" i="3"/>
  <c r="L114" i="3"/>
  <c r="U113" i="3"/>
  <c r="V113" i="3" s="1"/>
  <c r="T113" i="3"/>
  <c r="S113" i="3"/>
  <c r="R113" i="3"/>
  <c r="Q113" i="3"/>
  <c r="P113" i="3"/>
  <c r="O113" i="3"/>
  <c r="N113" i="3"/>
  <c r="M113" i="3"/>
  <c r="L113" i="3"/>
  <c r="U112" i="3"/>
  <c r="T112" i="3"/>
  <c r="S112" i="3"/>
  <c r="R112" i="3"/>
  <c r="P112" i="3"/>
  <c r="O112" i="3"/>
  <c r="N112" i="3"/>
  <c r="Q112" i="3" s="1"/>
  <c r="M112" i="3"/>
  <c r="L112" i="3"/>
  <c r="V112" i="3" s="1"/>
  <c r="U111" i="3"/>
  <c r="V111" i="3" s="1"/>
  <c r="T111" i="3"/>
  <c r="S111" i="3"/>
  <c r="R111" i="3"/>
  <c r="Q111" i="3"/>
  <c r="P111" i="3"/>
  <c r="O111" i="3"/>
  <c r="N111" i="3"/>
  <c r="M111" i="3"/>
  <c r="L111" i="3"/>
  <c r="V110" i="3"/>
  <c r="U110" i="3"/>
  <c r="T110" i="3"/>
  <c r="S110" i="3"/>
  <c r="R110" i="3"/>
  <c r="P110" i="3"/>
  <c r="O110" i="3"/>
  <c r="N110" i="3"/>
  <c r="Q110" i="3" s="1"/>
  <c r="M110" i="3"/>
  <c r="L110" i="3"/>
  <c r="U109" i="3"/>
  <c r="V109" i="3" s="1"/>
  <c r="T109" i="3"/>
  <c r="S109" i="3"/>
  <c r="R109" i="3"/>
  <c r="Q109" i="3"/>
  <c r="P109" i="3"/>
  <c r="O109" i="3"/>
  <c r="N109" i="3"/>
  <c r="M109" i="3"/>
  <c r="L109" i="3"/>
  <c r="U108" i="3"/>
  <c r="T108" i="3"/>
  <c r="S108" i="3"/>
  <c r="R108" i="3"/>
  <c r="P108" i="3"/>
  <c r="O108" i="3"/>
  <c r="N108" i="3"/>
  <c r="Q108" i="3" s="1"/>
  <c r="M108" i="3"/>
  <c r="L108" i="3"/>
  <c r="V108" i="3" s="1"/>
  <c r="U107" i="3"/>
  <c r="V107" i="3" s="1"/>
  <c r="T107" i="3"/>
  <c r="S107" i="3"/>
  <c r="R107" i="3"/>
  <c r="P107" i="3"/>
  <c r="O107" i="3"/>
  <c r="N107" i="3"/>
  <c r="Q107" i="3" s="1"/>
  <c r="M107" i="3"/>
  <c r="N27" i="12" s="1"/>
  <c r="L107" i="3"/>
  <c r="V106" i="3"/>
  <c r="U106" i="3"/>
  <c r="T106" i="3"/>
  <c r="S106" i="3"/>
  <c r="R106" i="3"/>
  <c r="P106" i="3"/>
  <c r="O106" i="3"/>
  <c r="N106" i="3"/>
  <c r="Q106" i="3" s="1"/>
  <c r="M106" i="3"/>
  <c r="L106" i="3"/>
  <c r="U105" i="3"/>
  <c r="V105" i="3" s="1"/>
  <c r="T105" i="3"/>
  <c r="S105" i="3"/>
  <c r="R105" i="3"/>
  <c r="Q105" i="3"/>
  <c r="P105" i="3"/>
  <c r="O105" i="3"/>
  <c r="N105" i="3"/>
  <c r="M105" i="3"/>
  <c r="L105" i="3"/>
  <c r="U104" i="3"/>
  <c r="T104" i="3"/>
  <c r="S104" i="3"/>
  <c r="R104" i="3"/>
  <c r="P104" i="3"/>
  <c r="O104" i="3"/>
  <c r="N104" i="3"/>
  <c r="Q104" i="3" s="1"/>
  <c r="M104" i="3"/>
  <c r="N56" i="12" s="1"/>
  <c r="L104" i="3"/>
  <c r="V104" i="3" s="1"/>
  <c r="V103" i="3"/>
  <c r="U103" i="3"/>
  <c r="T103" i="3"/>
  <c r="S103" i="3"/>
  <c r="R103" i="3"/>
  <c r="Q103" i="3"/>
  <c r="P103" i="3"/>
  <c r="O103" i="3"/>
  <c r="N103" i="3"/>
  <c r="M103" i="3"/>
  <c r="L103" i="3"/>
  <c r="V102" i="3"/>
  <c r="U102" i="3"/>
  <c r="T102" i="3"/>
  <c r="S102" i="3"/>
  <c r="R102" i="3"/>
  <c r="P102" i="3"/>
  <c r="O102" i="3"/>
  <c r="N102" i="3"/>
  <c r="Q102" i="3" s="1"/>
  <c r="M102" i="3"/>
  <c r="N21" i="12" s="1"/>
  <c r="L102" i="3"/>
  <c r="U101" i="3"/>
  <c r="V101" i="3" s="1"/>
  <c r="T101" i="3"/>
  <c r="S101" i="3"/>
  <c r="R101" i="3"/>
  <c r="Q101" i="3"/>
  <c r="P101" i="3"/>
  <c r="O101" i="3"/>
  <c r="N101" i="3"/>
  <c r="M101" i="3"/>
  <c r="L101" i="3"/>
  <c r="U100" i="3"/>
  <c r="T100" i="3"/>
  <c r="S100" i="3"/>
  <c r="R100" i="3"/>
  <c r="P100" i="3"/>
  <c r="O100" i="3"/>
  <c r="N100" i="3"/>
  <c r="Q100" i="3" s="1"/>
  <c r="M100" i="3"/>
  <c r="N29" i="12" s="1"/>
  <c r="L100" i="3"/>
  <c r="V100" i="3" s="1"/>
  <c r="U99" i="3"/>
  <c r="V99" i="3" s="1"/>
  <c r="T99" i="3"/>
  <c r="S99" i="3"/>
  <c r="R99" i="3"/>
  <c r="P99" i="3"/>
  <c r="O99" i="3"/>
  <c r="N99" i="3"/>
  <c r="Q99" i="3" s="1"/>
  <c r="M99" i="3"/>
  <c r="L99" i="3"/>
  <c r="V98" i="3"/>
  <c r="U98" i="3"/>
  <c r="T98" i="3"/>
  <c r="S98" i="3"/>
  <c r="R98" i="3"/>
  <c r="P98" i="3"/>
  <c r="O98" i="3"/>
  <c r="N98" i="3"/>
  <c r="Q98" i="3" s="1"/>
  <c r="M98" i="3"/>
  <c r="L98" i="3"/>
  <c r="U97" i="3"/>
  <c r="V97" i="3" s="1"/>
  <c r="T97" i="3"/>
  <c r="S97" i="3"/>
  <c r="R97" i="3"/>
  <c r="Q97" i="3"/>
  <c r="P97" i="3"/>
  <c r="O97" i="3"/>
  <c r="N97" i="3"/>
  <c r="M97" i="3"/>
  <c r="L97" i="3"/>
  <c r="U96" i="3"/>
  <c r="T96" i="3"/>
  <c r="S96" i="3"/>
  <c r="R96" i="3"/>
  <c r="P96" i="3"/>
  <c r="O96" i="3"/>
  <c r="N96" i="3"/>
  <c r="Q96" i="3" s="1"/>
  <c r="M96" i="3"/>
  <c r="L96" i="3"/>
  <c r="V96" i="3" s="1"/>
  <c r="V95" i="3"/>
  <c r="U95" i="3"/>
  <c r="T95" i="3"/>
  <c r="S95" i="3"/>
  <c r="R95" i="3"/>
  <c r="Q95" i="3"/>
  <c r="P95" i="3"/>
  <c r="O95" i="3"/>
  <c r="N95" i="3"/>
  <c r="M95" i="3"/>
  <c r="L95" i="3"/>
  <c r="V94" i="3"/>
  <c r="U94" i="3"/>
  <c r="T94" i="3"/>
  <c r="S94" i="3"/>
  <c r="R94" i="3"/>
  <c r="P94" i="3"/>
  <c r="O94" i="3"/>
  <c r="N94" i="3"/>
  <c r="Q94" i="3" s="1"/>
  <c r="M94" i="3"/>
  <c r="L94" i="3"/>
  <c r="U93" i="3"/>
  <c r="V93" i="3" s="1"/>
  <c r="T93" i="3"/>
  <c r="S93" i="3"/>
  <c r="R93" i="3"/>
  <c r="Q93" i="3"/>
  <c r="P93" i="3"/>
  <c r="O93" i="3"/>
  <c r="N93" i="3"/>
  <c r="M93" i="3"/>
  <c r="L93" i="3"/>
  <c r="U92" i="3"/>
  <c r="T92" i="3"/>
  <c r="S92" i="3"/>
  <c r="R92" i="3"/>
  <c r="P92" i="3"/>
  <c r="O92" i="3"/>
  <c r="N92" i="3"/>
  <c r="Q92" i="3" s="1"/>
  <c r="M92" i="3"/>
  <c r="L92" i="3"/>
  <c r="V92" i="3" s="1"/>
  <c r="U91" i="3"/>
  <c r="V91" i="3" s="1"/>
  <c r="T91" i="3"/>
  <c r="S91" i="3"/>
  <c r="R91" i="3"/>
  <c r="P91" i="3"/>
  <c r="O91" i="3"/>
  <c r="N91" i="3"/>
  <c r="Q91" i="3" s="1"/>
  <c r="M91" i="3"/>
  <c r="L91" i="3"/>
  <c r="V90" i="3"/>
  <c r="U90" i="3"/>
  <c r="T90" i="3"/>
  <c r="S90" i="3"/>
  <c r="R90" i="3"/>
  <c r="P90" i="3"/>
  <c r="O90" i="3"/>
  <c r="N90" i="3"/>
  <c r="Q90" i="3" s="1"/>
  <c r="M90" i="3"/>
  <c r="L90" i="3"/>
  <c r="U89" i="3"/>
  <c r="V89" i="3" s="1"/>
  <c r="T89" i="3"/>
  <c r="S89" i="3"/>
  <c r="R89" i="3"/>
  <c r="Q89" i="3"/>
  <c r="P89" i="3"/>
  <c r="O89" i="3"/>
  <c r="N89" i="3"/>
  <c r="M89" i="3"/>
  <c r="L89" i="3"/>
  <c r="U88" i="3"/>
  <c r="T88" i="3"/>
  <c r="S88" i="3"/>
  <c r="R88" i="3"/>
  <c r="P88" i="3"/>
  <c r="O88" i="3"/>
  <c r="N88" i="3"/>
  <c r="Q88" i="3" s="1"/>
  <c r="M88" i="3"/>
  <c r="L88" i="3"/>
  <c r="V88" i="3" s="1"/>
  <c r="V87" i="3"/>
  <c r="U87" i="3"/>
  <c r="T87" i="3"/>
  <c r="S87" i="3"/>
  <c r="R87" i="3"/>
  <c r="Q87" i="3"/>
  <c r="P87" i="3"/>
  <c r="O87" i="3"/>
  <c r="N87" i="3"/>
  <c r="M87" i="3"/>
  <c r="L87" i="3"/>
  <c r="V86" i="3"/>
  <c r="U86" i="3"/>
  <c r="T86" i="3"/>
  <c r="S86" i="3"/>
  <c r="R86" i="3"/>
  <c r="P86" i="3"/>
  <c r="O86" i="3"/>
  <c r="N86" i="3"/>
  <c r="Q86" i="3" s="1"/>
  <c r="M86" i="3"/>
  <c r="L86" i="3"/>
  <c r="U85" i="3"/>
  <c r="V85" i="3" s="1"/>
  <c r="T85" i="3"/>
  <c r="S85" i="3"/>
  <c r="R85" i="3"/>
  <c r="Q85" i="3"/>
  <c r="P85" i="3"/>
  <c r="O85" i="3"/>
  <c r="N85" i="3"/>
  <c r="M85" i="3"/>
  <c r="L85" i="3"/>
  <c r="U84" i="3"/>
  <c r="T84" i="3"/>
  <c r="S84" i="3"/>
  <c r="R84" i="3"/>
  <c r="P84" i="3"/>
  <c r="O84" i="3"/>
  <c r="N84" i="3"/>
  <c r="Q84" i="3" s="1"/>
  <c r="M84" i="3"/>
  <c r="L84" i="3"/>
  <c r="V84" i="3" s="1"/>
  <c r="U83" i="3"/>
  <c r="V83" i="3" s="1"/>
  <c r="T83" i="3"/>
  <c r="S83" i="3"/>
  <c r="R83" i="3"/>
  <c r="P83" i="3"/>
  <c r="O83" i="3"/>
  <c r="N83" i="3"/>
  <c r="Q83" i="3" s="1"/>
  <c r="M83" i="3"/>
  <c r="L83" i="3"/>
  <c r="V82" i="3"/>
  <c r="U82" i="3"/>
  <c r="T82" i="3"/>
  <c r="S82" i="3"/>
  <c r="R82" i="3"/>
  <c r="P82" i="3"/>
  <c r="O82" i="3"/>
  <c r="N82" i="3"/>
  <c r="Q82" i="3" s="1"/>
  <c r="M82" i="3"/>
  <c r="L82" i="3"/>
  <c r="U81" i="3"/>
  <c r="V81" i="3" s="1"/>
  <c r="T81" i="3"/>
  <c r="S81" i="3"/>
  <c r="R81" i="3"/>
  <c r="Q81" i="3"/>
  <c r="P81" i="3"/>
  <c r="O81" i="3"/>
  <c r="N81" i="3"/>
  <c r="M81" i="3"/>
  <c r="L81" i="3"/>
  <c r="U80" i="3"/>
  <c r="T80" i="3"/>
  <c r="S80" i="3"/>
  <c r="R80" i="3"/>
  <c r="P80" i="3"/>
  <c r="O80" i="3"/>
  <c r="N80" i="3"/>
  <c r="Q80" i="3" s="1"/>
  <c r="M80" i="3"/>
  <c r="L80" i="3"/>
  <c r="V80" i="3" s="1"/>
  <c r="V79" i="3"/>
  <c r="U79" i="3"/>
  <c r="T79" i="3"/>
  <c r="S79" i="3"/>
  <c r="R79" i="3"/>
  <c r="Q79" i="3"/>
  <c r="P79" i="3"/>
  <c r="O79" i="3"/>
  <c r="N79" i="3"/>
  <c r="M79" i="3"/>
  <c r="L79" i="3"/>
  <c r="V78" i="3"/>
  <c r="U78" i="3"/>
  <c r="T78" i="3"/>
  <c r="S78" i="3"/>
  <c r="R78" i="3"/>
  <c r="P78" i="3"/>
  <c r="O78" i="3"/>
  <c r="N78" i="3"/>
  <c r="Q78" i="3" s="1"/>
  <c r="M78" i="3"/>
  <c r="L78" i="3"/>
  <c r="U77" i="3"/>
  <c r="V77" i="3" s="1"/>
  <c r="T77" i="3"/>
  <c r="S77" i="3"/>
  <c r="R77" i="3"/>
  <c r="Q77" i="3"/>
  <c r="P77" i="3"/>
  <c r="O77" i="3"/>
  <c r="N77" i="3"/>
  <c r="M77" i="3"/>
  <c r="L77" i="3"/>
  <c r="U76" i="3"/>
  <c r="T76" i="3"/>
  <c r="S76" i="3"/>
  <c r="R76" i="3"/>
  <c r="P76" i="3"/>
  <c r="O76" i="3"/>
  <c r="N76" i="3"/>
  <c r="Q76" i="3" s="1"/>
  <c r="M76" i="3"/>
  <c r="L76" i="3"/>
  <c r="V76" i="3" s="1"/>
  <c r="U75" i="3"/>
  <c r="V75" i="3" s="1"/>
  <c r="T75" i="3"/>
  <c r="S75" i="3"/>
  <c r="R75" i="3"/>
  <c r="P75" i="3"/>
  <c r="O75" i="3"/>
  <c r="N75" i="3"/>
  <c r="Q75" i="3" s="1"/>
  <c r="M75" i="3"/>
  <c r="L75" i="3"/>
  <c r="V74" i="3"/>
  <c r="U74" i="3"/>
  <c r="T74" i="3"/>
  <c r="S74" i="3"/>
  <c r="R74" i="3"/>
  <c r="P74" i="3"/>
  <c r="O74" i="3"/>
  <c r="N74" i="3"/>
  <c r="Q74" i="3" s="1"/>
  <c r="M74" i="3"/>
  <c r="L74" i="3"/>
  <c r="U73" i="3"/>
  <c r="V73" i="3" s="1"/>
  <c r="T73" i="3"/>
  <c r="S73" i="3"/>
  <c r="R73" i="3"/>
  <c r="Q73" i="3"/>
  <c r="P73" i="3"/>
  <c r="O73" i="3"/>
  <c r="N73" i="3"/>
  <c r="M73" i="3"/>
  <c r="L73" i="3"/>
  <c r="U72" i="3"/>
  <c r="T72" i="3"/>
  <c r="S72" i="3"/>
  <c r="R72" i="3"/>
  <c r="P72" i="3"/>
  <c r="O72" i="3"/>
  <c r="N72" i="3"/>
  <c r="Q72" i="3" s="1"/>
  <c r="M72" i="3"/>
  <c r="L72" i="3"/>
  <c r="V72" i="3" s="1"/>
  <c r="V71" i="3"/>
  <c r="U71" i="3"/>
  <c r="T71" i="3"/>
  <c r="S71" i="3"/>
  <c r="R71" i="3"/>
  <c r="Q71" i="3"/>
  <c r="P71" i="3"/>
  <c r="O71" i="3"/>
  <c r="N71" i="3"/>
  <c r="M71" i="3"/>
  <c r="L71" i="3"/>
  <c r="V70" i="3"/>
  <c r="U70" i="3"/>
  <c r="T70" i="3"/>
  <c r="S70" i="3"/>
  <c r="R70" i="3"/>
  <c r="P70" i="3"/>
  <c r="O70" i="3"/>
  <c r="N70" i="3"/>
  <c r="Q70" i="3" s="1"/>
  <c r="M70" i="3"/>
  <c r="L70" i="3"/>
  <c r="U69" i="3"/>
  <c r="V69" i="3" s="1"/>
  <c r="T69" i="3"/>
  <c r="S69" i="3"/>
  <c r="R69" i="3"/>
  <c r="Q69" i="3"/>
  <c r="P69" i="3"/>
  <c r="O69" i="3"/>
  <c r="N69" i="3"/>
  <c r="M69" i="3"/>
  <c r="L69" i="3"/>
  <c r="U68" i="3"/>
  <c r="T68" i="3"/>
  <c r="S68" i="3"/>
  <c r="R68" i="3"/>
  <c r="P68" i="3"/>
  <c r="O68" i="3"/>
  <c r="N68" i="3"/>
  <c r="Q68" i="3" s="1"/>
  <c r="M68" i="3"/>
  <c r="L68" i="3"/>
  <c r="V68" i="3" s="1"/>
  <c r="U67" i="3"/>
  <c r="V67" i="3" s="1"/>
  <c r="T67" i="3"/>
  <c r="S67" i="3"/>
  <c r="R67" i="3"/>
  <c r="P67" i="3"/>
  <c r="O67" i="3"/>
  <c r="N67" i="3"/>
  <c r="Q67" i="3" s="1"/>
  <c r="M67" i="3"/>
  <c r="L67" i="3"/>
  <c r="V66" i="3"/>
  <c r="U66" i="3"/>
  <c r="T66" i="3"/>
  <c r="S66" i="3"/>
  <c r="R66" i="3"/>
  <c r="P66" i="3"/>
  <c r="O66" i="3"/>
  <c r="N66" i="3"/>
  <c r="Q66" i="3" s="1"/>
  <c r="M66" i="3"/>
  <c r="L66" i="3"/>
  <c r="U65" i="3"/>
  <c r="V65" i="3" s="1"/>
  <c r="T65" i="3"/>
  <c r="S65" i="3"/>
  <c r="R65" i="3"/>
  <c r="Q65" i="3"/>
  <c r="P65" i="3"/>
  <c r="O65" i="3"/>
  <c r="N65" i="3"/>
  <c r="M65" i="3"/>
  <c r="N9" i="12" s="1"/>
  <c r="L65" i="3"/>
  <c r="U64" i="3"/>
  <c r="T64" i="3"/>
  <c r="S64" i="3"/>
  <c r="R64" i="3"/>
  <c r="P64" i="3"/>
  <c r="O64" i="3"/>
  <c r="N64" i="3"/>
  <c r="Q64" i="3" s="1"/>
  <c r="M64" i="3"/>
  <c r="L64" i="3"/>
  <c r="V64" i="3" s="1"/>
  <c r="V63" i="3"/>
  <c r="U63" i="3"/>
  <c r="T63" i="3"/>
  <c r="S63" i="3"/>
  <c r="R63" i="3"/>
  <c r="Q63" i="3"/>
  <c r="P63" i="3"/>
  <c r="O63" i="3"/>
  <c r="N63" i="3"/>
  <c r="M63" i="3"/>
  <c r="L63" i="3"/>
  <c r="V62" i="3"/>
  <c r="U62" i="3"/>
  <c r="T62" i="3"/>
  <c r="S62" i="3"/>
  <c r="R62" i="3"/>
  <c r="P62" i="3"/>
  <c r="O62" i="3"/>
  <c r="N62" i="3"/>
  <c r="Q62" i="3" s="1"/>
  <c r="M62" i="3"/>
  <c r="L62" i="3"/>
  <c r="U61" i="3"/>
  <c r="V61" i="3" s="1"/>
  <c r="T61" i="3"/>
  <c r="S61" i="3"/>
  <c r="R61" i="3"/>
  <c r="Q61" i="3"/>
  <c r="P61" i="3"/>
  <c r="O61" i="3"/>
  <c r="N61" i="3"/>
  <c r="M61" i="3"/>
  <c r="L61" i="3"/>
  <c r="U60" i="3"/>
  <c r="T60" i="3"/>
  <c r="S60" i="3"/>
  <c r="R60" i="3"/>
  <c r="P60" i="3"/>
  <c r="O60" i="3"/>
  <c r="N60" i="3"/>
  <c r="Q60" i="3" s="1"/>
  <c r="M60" i="3"/>
  <c r="N13" i="12" s="1"/>
  <c r="L60" i="3"/>
  <c r="V60" i="3" s="1"/>
  <c r="V59" i="3"/>
  <c r="U59" i="3"/>
  <c r="T59" i="3"/>
  <c r="S59" i="3"/>
  <c r="R59" i="3"/>
  <c r="P59" i="3"/>
  <c r="O59" i="3"/>
  <c r="N59" i="3"/>
  <c r="Q59" i="3" s="1"/>
  <c r="M59" i="3"/>
  <c r="L59" i="3"/>
  <c r="V58" i="3"/>
  <c r="U58" i="3"/>
  <c r="T58" i="3"/>
  <c r="S58" i="3"/>
  <c r="R58" i="3"/>
  <c r="P58" i="3"/>
  <c r="O58" i="3"/>
  <c r="N58" i="3"/>
  <c r="Q58" i="3" s="1"/>
  <c r="M58" i="3"/>
  <c r="L58" i="3"/>
  <c r="U57" i="3"/>
  <c r="V57" i="3" s="1"/>
  <c r="T57" i="3"/>
  <c r="S57" i="3"/>
  <c r="R57" i="3"/>
  <c r="Q57" i="3"/>
  <c r="P57" i="3"/>
  <c r="O57" i="3"/>
  <c r="N57" i="3"/>
  <c r="M57" i="3"/>
  <c r="L57" i="3"/>
  <c r="U56" i="3"/>
  <c r="T56" i="3"/>
  <c r="S56" i="3"/>
  <c r="R56" i="3"/>
  <c r="P56" i="3"/>
  <c r="O56" i="3"/>
  <c r="N56" i="3"/>
  <c r="Q56" i="3" s="1"/>
  <c r="M56" i="3"/>
  <c r="L56" i="3"/>
  <c r="V56" i="3" s="1"/>
  <c r="U55" i="3"/>
  <c r="V55" i="3" s="1"/>
  <c r="T55" i="3"/>
  <c r="S55" i="3"/>
  <c r="R55" i="3"/>
  <c r="Q55" i="3"/>
  <c r="P55" i="3"/>
  <c r="O55" i="3"/>
  <c r="N55" i="3"/>
  <c r="M55" i="3"/>
  <c r="L55" i="3"/>
  <c r="V54" i="3"/>
  <c r="U54" i="3"/>
  <c r="T54" i="3"/>
  <c r="S54" i="3"/>
  <c r="R54" i="3"/>
  <c r="P54" i="3"/>
  <c r="O54" i="3"/>
  <c r="N54" i="3"/>
  <c r="Q54" i="3" s="1"/>
  <c r="M54" i="3"/>
  <c r="L54" i="3"/>
  <c r="U53" i="3"/>
  <c r="V53" i="3" s="1"/>
  <c r="T53" i="3"/>
  <c r="S53" i="3"/>
  <c r="R53" i="3"/>
  <c r="Q53" i="3"/>
  <c r="P53" i="3"/>
  <c r="O53" i="3"/>
  <c r="N53" i="3"/>
  <c r="M53" i="3"/>
  <c r="L53" i="3"/>
  <c r="U52" i="3"/>
  <c r="V52" i="3" s="1"/>
  <c r="T52" i="3"/>
  <c r="S52" i="3"/>
  <c r="R52" i="3"/>
  <c r="P52" i="3"/>
  <c r="O52" i="3"/>
  <c r="N52" i="3"/>
  <c r="Q52" i="3" s="1"/>
  <c r="M52" i="3"/>
  <c r="L52" i="3"/>
  <c r="V51" i="3"/>
  <c r="U51" i="3"/>
  <c r="T51" i="3"/>
  <c r="S51" i="3"/>
  <c r="R51" i="3"/>
  <c r="P51" i="3"/>
  <c r="O51" i="3"/>
  <c r="N51" i="3"/>
  <c r="Q51" i="3" s="1"/>
  <c r="M51" i="3"/>
  <c r="L51" i="3"/>
  <c r="V50" i="3"/>
  <c r="U50" i="3"/>
  <c r="T50" i="3"/>
  <c r="S50" i="3"/>
  <c r="R50" i="3"/>
  <c r="P50" i="3"/>
  <c r="O50" i="3"/>
  <c r="N50" i="3"/>
  <c r="Q50" i="3" s="1"/>
  <c r="M50" i="3"/>
  <c r="L50" i="3"/>
  <c r="U49" i="3"/>
  <c r="V49" i="3" s="1"/>
  <c r="T49" i="3"/>
  <c r="S49" i="3"/>
  <c r="R49" i="3"/>
  <c r="Q49" i="3"/>
  <c r="P49" i="3"/>
  <c r="O49" i="3"/>
  <c r="N49" i="3"/>
  <c r="M49" i="3"/>
  <c r="L49" i="3"/>
  <c r="U48" i="3"/>
  <c r="T48" i="3"/>
  <c r="S48" i="3"/>
  <c r="R48" i="3"/>
  <c r="P48" i="3"/>
  <c r="O48" i="3"/>
  <c r="N48" i="3"/>
  <c r="Q48" i="3" s="1"/>
  <c r="M48" i="3"/>
  <c r="L48" i="3"/>
  <c r="V48" i="3" s="1"/>
  <c r="U47" i="3"/>
  <c r="V47" i="3" s="1"/>
  <c r="T47" i="3"/>
  <c r="S47" i="3"/>
  <c r="R47" i="3"/>
  <c r="Q47" i="3"/>
  <c r="P47" i="3"/>
  <c r="O47" i="3"/>
  <c r="N47" i="3"/>
  <c r="M47" i="3"/>
  <c r="L47" i="3"/>
  <c r="V46" i="3"/>
  <c r="U46" i="3"/>
  <c r="T46" i="3"/>
  <c r="S46" i="3"/>
  <c r="R46" i="3"/>
  <c r="P46" i="3"/>
  <c r="O46" i="3"/>
  <c r="N46" i="3"/>
  <c r="Q46" i="3" s="1"/>
  <c r="M46" i="3"/>
  <c r="L46" i="3"/>
  <c r="U45" i="3"/>
  <c r="V45" i="3" s="1"/>
  <c r="T45" i="3"/>
  <c r="S45" i="3"/>
  <c r="R45" i="3"/>
  <c r="Q45" i="3"/>
  <c r="P45" i="3"/>
  <c r="O45" i="3"/>
  <c r="N45" i="3"/>
  <c r="M45" i="3"/>
  <c r="L45" i="3"/>
  <c r="U44" i="3"/>
  <c r="V44" i="3" s="1"/>
  <c r="T44" i="3"/>
  <c r="S44" i="3"/>
  <c r="R44" i="3"/>
  <c r="P44" i="3"/>
  <c r="O44" i="3"/>
  <c r="N44" i="3"/>
  <c r="Q44" i="3" s="1"/>
  <c r="M44" i="3"/>
  <c r="L44" i="3"/>
  <c r="U43" i="3"/>
  <c r="V43" i="3" s="1"/>
  <c r="T43" i="3"/>
  <c r="S43" i="3"/>
  <c r="R43" i="3"/>
  <c r="P43" i="3"/>
  <c r="O43" i="3"/>
  <c r="N43" i="3"/>
  <c r="Q43" i="3" s="1"/>
  <c r="M43" i="3"/>
  <c r="L43" i="3"/>
  <c r="V42" i="3"/>
  <c r="U42" i="3"/>
  <c r="T42" i="3"/>
  <c r="S42" i="3"/>
  <c r="R42" i="3"/>
  <c r="P42" i="3"/>
  <c r="O42" i="3"/>
  <c r="N42" i="3"/>
  <c r="Q42" i="3" s="1"/>
  <c r="M42" i="3"/>
  <c r="L42" i="3"/>
  <c r="U41" i="3"/>
  <c r="V41" i="3" s="1"/>
  <c r="T41" i="3"/>
  <c r="S41" i="3"/>
  <c r="R41" i="3"/>
  <c r="Q41" i="3"/>
  <c r="P41" i="3"/>
  <c r="O41" i="3"/>
  <c r="N41" i="3"/>
  <c r="M41" i="3"/>
  <c r="L41" i="3"/>
  <c r="U40" i="3"/>
  <c r="T40" i="3"/>
  <c r="S40" i="3"/>
  <c r="R40" i="3"/>
  <c r="P40" i="3"/>
  <c r="O40" i="3"/>
  <c r="N40" i="3"/>
  <c r="Q40" i="3" s="1"/>
  <c r="M40" i="3"/>
  <c r="L40" i="3"/>
  <c r="V40" i="3" s="1"/>
  <c r="U39" i="3"/>
  <c r="V39" i="3" s="1"/>
  <c r="T39" i="3"/>
  <c r="S39" i="3"/>
  <c r="R39" i="3"/>
  <c r="Q39" i="3"/>
  <c r="P39" i="3"/>
  <c r="O39" i="3"/>
  <c r="N39" i="3"/>
  <c r="M39" i="3"/>
  <c r="L39" i="3"/>
  <c r="V38" i="3"/>
  <c r="U38" i="3"/>
  <c r="T38" i="3"/>
  <c r="S38" i="3"/>
  <c r="R38" i="3"/>
  <c r="P38" i="3"/>
  <c r="O38" i="3"/>
  <c r="N38" i="3"/>
  <c r="Q38" i="3" s="1"/>
  <c r="M38" i="3"/>
  <c r="L38" i="3"/>
  <c r="U37" i="3"/>
  <c r="V37" i="3" s="1"/>
  <c r="T37" i="3"/>
  <c r="S37" i="3"/>
  <c r="R37" i="3"/>
  <c r="Q37" i="3"/>
  <c r="P37" i="3"/>
  <c r="O37" i="3"/>
  <c r="N37" i="3"/>
  <c r="M37" i="3"/>
  <c r="L37" i="3"/>
  <c r="U36" i="3"/>
  <c r="V36" i="3" s="1"/>
  <c r="T36" i="3"/>
  <c r="S36" i="3"/>
  <c r="R36" i="3"/>
  <c r="P36" i="3"/>
  <c r="O36" i="3"/>
  <c r="N36" i="3"/>
  <c r="Q36" i="3" s="1"/>
  <c r="M36" i="3"/>
  <c r="L36" i="3"/>
  <c r="U35" i="3"/>
  <c r="V35" i="3" s="1"/>
  <c r="T35" i="3"/>
  <c r="S35" i="3"/>
  <c r="R35" i="3"/>
  <c r="P35" i="3"/>
  <c r="O35" i="3"/>
  <c r="N35" i="3"/>
  <c r="Q35" i="3" s="1"/>
  <c r="M35" i="3"/>
  <c r="L35" i="3"/>
  <c r="V34" i="3"/>
  <c r="U34" i="3"/>
  <c r="T34" i="3"/>
  <c r="S34" i="3"/>
  <c r="R34" i="3"/>
  <c r="P34" i="3"/>
  <c r="O34" i="3"/>
  <c r="N34" i="3"/>
  <c r="Q34" i="3" s="1"/>
  <c r="M34" i="3"/>
  <c r="N41" i="12" s="1"/>
  <c r="L34" i="3"/>
  <c r="U33" i="3"/>
  <c r="V33" i="3" s="1"/>
  <c r="T33" i="3"/>
  <c r="S33" i="3"/>
  <c r="R33" i="3"/>
  <c r="Q33" i="3"/>
  <c r="P33" i="3"/>
  <c r="O33" i="3"/>
  <c r="N33" i="3"/>
  <c r="M33" i="3"/>
  <c r="L33" i="3"/>
  <c r="U32" i="3"/>
  <c r="T32" i="3"/>
  <c r="S32" i="3"/>
  <c r="R32" i="3"/>
  <c r="P32" i="3"/>
  <c r="O32" i="3"/>
  <c r="N32" i="3"/>
  <c r="Q32" i="3" s="1"/>
  <c r="M32" i="3"/>
  <c r="L32" i="3"/>
  <c r="V32" i="3" s="1"/>
  <c r="V31" i="3"/>
  <c r="U31" i="3"/>
  <c r="T31" i="3"/>
  <c r="S31" i="3"/>
  <c r="R31" i="3"/>
  <c r="Q31" i="3"/>
  <c r="P31" i="3"/>
  <c r="O31" i="3"/>
  <c r="N31" i="3"/>
  <c r="M31" i="3"/>
  <c r="L31" i="3"/>
  <c r="V30" i="3"/>
  <c r="U30" i="3"/>
  <c r="T30" i="3"/>
  <c r="S30" i="3"/>
  <c r="R30" i="3"/>
  <c r="P30" i="3"/>
  <c r="O30" i="3"/>
  <c r="N30" i="3"/>
  <c r="Q30" i="3" s="1"/>
  <c r="M30" i="3"/>
  <c r="L30" i="3"/>
  <c r="U29" i="3"/>
  <c r="V29" i="3" s="1"/>
  <c r="T29" i="3"/>
  <c r="S29" i="3"/>
  <c r="R29" i="3"/>
  <c r="Q29" i="3"/>
  <c r="P29" i="3"/>
  <c r="O29" i="3"/>
  <c r="N29" i="3"/>
  <c r="M29" i="3"/>
  <c r="L29" i="3"/>
  <c r="U28" i="3"/>
  <c r="V28" i="3" s="1"/>
  <c r="T28" i="3"/>
  <c r="S28" i="3"/>
  <c r="R28" i="3"/>
  <c r="P28" i="3"/>
  <c r="O28" i="3"/>
  <c r="N28" i="3"/>
  <c r="Q28" i="3" s="1"/>
  <c r="M28" i="3"/>
  <c r="L28" i="3"/>
  <c r="U27" i="3"/>
  <c r="V27" i="3" s="1"/>
  <c r="T27" i="3"/>
  <c r="S27" i="3"/>
  <c r="R27" i="3"/>
  <c r="P27" i="3"/>
  <c r="O27" i="3"/>
  <c r="N27" i="3"/>
  <c r="Q27" i="3" s="1"/>
  <c r="M27" i="3"/>
  <c r="L27" i="3"/>
  <c r="V26" i="3"/>
  <c r="U26" i="3"/>
  <c r="T26" i="3"/>
  <c r="S26" i="3"/>
  <c r="R26" i="3"/>
  <c r="P26" i="3"/>
  <c r="O26" i="3"/>
  <c r="N26" i="3"/>
  <c r="Q26" i="3" s="1"/>
  <c r="M26" i="3"/>
  <c r="L26" i="3"/>
  <c r="U25" i="3"/>
  <c r="V25" i="3" s="1"/>
  <c r="T25" i="3"/>
  <c r="S25" i="3"/>
  <c r="R25" i="3"/>
  <c r="Q25" i="3"/>
  <c r="P25" i="3"/>
  <c r="O25" i="3"/>
  <c r="N25" i="3"/>
  <c r="M25" i="3"/>
  <c r="N48" i="12" s="1"/>
  <c r="L25" i="3"/>
  <c r="U24" i="3"/>
  <c r="T24" i="3"/>
  <c r="S24" i="3"/>
  <c r="R24" i="3"/>
  <c r="P24" i="3"/>
  <c r="O24" i="3"/>
  <c r="N24" i="3"/>
  <c r="Q24" i="3" s="1"/>
  <c r="M24" i="3"/>
  <c r="L24" i="3"/>
  <c r="V24" i="3" s="1"/>
  <c r="V23" i="3"/>
  <c r="U23" i="3"/>
  <c r="T23" i="3"/>
  <c r="S23" i="3"/>
  <c r="R23" i="3"/>
  <c r="Q23" i="3"/>
  <c r="P23" i="3"/>
  <c r="O23" i="3"/>
  <c r="N23" i="3"/>
  <c r="M23" i="3"/>
  <c r="L23" i="3"/>
  <c r="V22" i="3"/>
  <c r="U22" i="3"/>
  <c r="T22" i="3"/>
  <c r="S22" i="3"/>
  <c r="R22" i="3"/>
  <c r="P22" i="3"/>
  <c r="O22" i="3"/>
  <c r="N22" i="3"/>
  <c r="Q22" i="3" s="1"/>
  <c r="M22" i="3"/>
  <c r="L22" i="3"/>
  <c r="U21" i="3"/>
  <c r="V21" i="3" s="1"/>
  <c r="T21" i="3"/>
  <c r="S21" i="3"/>
  <c r="R21" i="3"/>
  <c r="Q21" i="3"/>
  <c r="P21" i="3"/>
  <c r="O21" i="3"/>
  <c r="N21" i="3"/>
  <c r="M21" i="3"/>
  <c r="L21" i="3"/>
  <c r="U20" i="3"/>
  <c r="V20" i="3" s="1"/>
  <c r="T20" i="3"/>
  <c r="S20" i="3"/>
  <c r="R20" i="3"/>
  <c r="P20" i="3"/>
  <c r="O20" i="3"/>
  <c r="N20" i="3"/>
  <c r="Q20" i="3" s="1"/>
  <c r="M20" i="3"/>
  <c r="N55" i="12" s="1"/>
  <c r="L20" i="3"/>
  <c r="U19" i="3"/>
  <c r="V19" i="3" s="1"/>
  <c r="T19" i="3"/>
  <c r="S19" i="3"/>
  <c r="R19" i="3"/>
  <c r="P19" i="3"/>
  <c r="O19" i="3"/>
  <c r="N19" i="3"/>
  <c r="Q19" i="3" s="1"/>
  <c r="M19" i="3"/>
  <c r="L19" i="3"/>
  <c r="V18" i="3"/>
  <c r="U18" i="3"/>
  <c r="T18" i="3"/>
  <c r="S18" i="3"/>
  <c r="R18" i="3"/>
  <c r="P18" i="3"/>
  <c r="O18" i="3"/>
  <c r="N18" i="3"/>
  <c r="Q18" i="3" s="1"/>
  <c r="M18" i="3"/>
  <c r="L18" i="3"/>
  <c r="U17" i="3"/>
  <c r="V17" i="3" s="1"/>
  <c r="T17" i="3"/>
  <c r="S17" i="3"/>
  <c r="R17" i="3"/>
  <c r="Q17" i="3"/>
  <c r="P17" i="3"/>
  <c r="O17" i="3"/>
  <c r="N17" i="3"/>
  <c r="M17" i="3"/>
  <c r="L17" i="3"/>
  <c r="U16" i="3"/>
  <c r="T16" i="3"/>
  <c r="S16" i="3"/>
  <c r="R16" i="3"/>
  <c r="P16" i="3"/>
  <c r="O16" i="3"/>
  <c r="N16" i="3"/>
  <c r="Q16" i="3" s="1"/>
  <c r="M16" i="3"/>
  <c r="L16" i="3"/>
  <c r="V16" i="3" s="1"/>
  <c r="U15" i="3"/>
  <c r="T15" i="3"/>
  <c r="S15" i="3"/>
  <c r="R15" i="3"/>
  <c r="Q15" i="3"/>
  <c r="P15" i="3"/>
  <c r="O15" i="3"/>
  <c r="N15" i="3"/>
  <c r="M15" i="3"/>
  <c r="L15" i="3"/>
  <c r="V15" i="3" s="1"/>
  <c r="V14" i="3"/>
  <c r="U14" i="3"/>
  <c r="T14" i="3"/>
  <c r="S14" i="3"/>
  <c r="R14" i="3"/>
  <c r="P14" i="3"/>
  <c r="O14" i="3"/>
  <c r="N14" i="3"/>
  <c r="Q14" i="3" s="1"/>
  <c r="M14" i="3"/>
  <c r="N6" i="12" s="1"/>
  <c r="L14" i="3"/>
  <c r="U13" i="3"/>
  <c r="V13" i="3" s="1"/>
  <c r="T13" i="3"/>
  <c r="S13" i="3"/>
  <c r="R13" i="3"/>
  <c r="Q13" i="3"/>
  <c r="P13" i="3"/>
  <c r="O13" i="3"/>
  <c r="N13" i="3"/>
  <c r="M13" i="3"/>
  <c r="L13" i="3"/>
  <c r="U12" i="3"/>
  <c r="V12" i="3" s="1"/>
  <c r="T12" i="3"/>
  <c r="S12" i="3"/>
  <c r="R12" i="3"/>
  <c r="P12" i="3"/>
  <c r="O12" i="3"/>
  <c r="N12" i="3"/>
  <c r="Q12" i="3" s="1"/>
  <c r="M12" i="3"/>
  <c r="L12" i="3"/>
  <c r="V11" i="3"/>
  <c r="U11" i="3"/>
  <c r="T11" i="3"/>
  <c r="S11" i="3"/>
  <c r="R11" i="3"/>
  <c r="P11" i="3"/>
  <c r="O11" i="3"/>
  <c r="N11" i="3"/>
  <c r="Q11" i="3" s="1"/>
  <c r="M11" i="3"/>
  <c r="L11" i="3"/>
  <c r="V10" i="3"/>
  <c r="U10" i="3"/>
  <c r="T10" i="3"/>
  <c r="S10" i="3"/>
  <c r="R10" i="3"/>
  <c r="P10" i="3"/>
  <c r="O10" i="3"/>
  <c r="N10" i="3"/>
  <c r="Q10" i="3" s="1"/>
  <c r="M10" i="3"/>
  <c r="L10" i="3"/>
  <c r="U9" i="3"/>
  <c r="V9" i="3" s="1"/>
  <c r="T9" i="3"/>
  <c r="S9" i="3"/>
  <c r="R9" i="3"/>
  <c r="Q9" i="3"/>
  <c r="P9" i="3"/>
  <c r="O9" i="3"/>
  <c r="N9" i="3"/>
  <c r="M9" i="3"/>
  <c r="N11" i="12" s="1"/>
  <c r="L9" i="3"/>
  <c r="U8" i="3"/>
  <c r="T8" i="3"/>
  <c r="S8" i="3"/>
  <c r="R8" i="3"/>
  <c r="P8" i="3"/>
  <c r="O8" i="3"/>
  <c r="N8" i="3"/>
  <c r="Q8" i="3" s="1"/>
  <c r="M8" i="3"/>
  <c r="L8" i="3"/>
  <c r="V8" i="3" s="1"/>
  <c r="U7" i="3"/>
  <c r="V7" i="3" s="1"/>
  <c r="T7" i="3"/>
  <c r="S7" i="3"/>
  <c r="R7" i="3"/>
  <c r="Q7" i="3"/>
  <c r="P7" i="3"/>
  <c r="O7" i="3"/>
  <c r="N7" i="3"/>
  <c r="M7" i="3"/>
  <c r="L7" i="3"/>
  <c r="V6" i="3"/>
  <c r="U6" i="3"/>
  <c r="T6" i="3"/>
  <c r="S6" i="3"/>
  <c r="R6" i="3"/>
  <c r="P6" i="3"/>
  <c r="O6" i="3"/>
  <c r="N6" i="3"/>
  <c r="Q6" i="3" s="1"/>
  <c r="M6" i="3"/>
  <c r="L6" i="3"/>
  <c r="U5" i="3"/>
  <c r="V5" i="3" s="1"/>
  <c r="T5" i="3"/>
  <c r="S5" i="3"/>
  <c r="R5" i="3"/>
  <c r="Q5" i="3"/>
  <c r="P5" i="3"/>
  <c r="O5" i="3"/>
  <c r="N5" i="3"/>
  <c r="M5" i="3"/>
  <c r="N32" i="12" s="1"/>
  <c r="L5" i="3"/>
  <c r="U4" i="3"/>
  <c r="V4" i="3" s="1"/>
  <c r="T4" i="3"/>
  <c r="S4" i="3"/>
  <c r="R4" i="3"/>
  <c r="P4" i="3"/>
  <c r="O4" i="3"/>
  <c r="N4" i="3"/>
  <c r="Q4" i="3" s="1"/>
  <c r="M4" i="3"/>
  <c r="L4" i="3"/>
  <c r="V3" i="3"/>
  <c r="U3" i="3"/>
  <c r="T3" i="3"/>
  <c r="S3" i="3"/>
  <c r="R3" i="3"/>
  <c r="P3" i="3"/>
  <c r="O3" i="3"/>
  <c r="N3" i="3"/>
  <c r="Q3" i="3" s="1"/>
  <c r="M3" i="3"/>
  <c r="L3" i="3"/>
  <c r="V2" i="3"/>
  <c r="U2" i="3"/>
  <c r="T2" i="3"/>
  <c r="S2" i="3"/>
  <c r="R2" i="3"/>
  <c r="E5" i="9" s="1"/>
  <c r="P2" i="3"/>
  <c r="O2" i="3"/>
  <c r="N2" i="3"/>
  <c r="Q2" i="3" s="1"/>
  <c r="M2" i="3"/>
  <c r="L2" i="3"/>
  <c r="U2047" i="1"/>
  <c r="V2047" i="1" s="1"/>
  <c r="T2047" i="1"/>
  <c r="S2047" i="1"/>
  <c r="R2047" i="1"/>
  <c r="Q2047" i="1"/>
  <c r="P2047" i="1"/>
  <c r="O2047" i="1"/>
  <c r="N2047" i="1"/>
  <c r="M2047" i="1"/>
  <c r="L2047" i="1"/>
  <c r="U2046" i="1"/>
  <c r="V2046" i="1" s="1"/>
  <c r="T2046" i="1"/>
  <c r="S2046" i="1"/>
  <c r="R2046" i="1"/>
  <c r="Q2046" i="1"/>
  <c r="P2046" i="1"/>
  <c r="O2046" i="1"/>
  <c r="N2046" i="1"/>
  <c r="M2046" i="1"/>
  <c r="L2046" i="1"/>
  <c r="U2045" i="1"/>
  <c r="V2045" i="1" s="1"/>
  <c r="T2045" i="1"/>
  <c r="S2045" i="1"/>
  <c r="R2045" i="1"/>
  <c r="Q2045" i="1"/>
  <c r="P2045" i="1"/>
  <c r="O2045" i="1"/>
  <c r="N2045" i="1"/>
  <c r="M2045" i="1"/>
  <c r="L2045" i="1"/>
  <c r="U2044" i="1"/>
  <c r="V2044" i="1" s="1"/>
  <c r="T2044" i="1"/>
  <c r="S2044" i="1"/>
  <c r="R2044" i="1"/>
  <c r="P2044" i="1"/>
  <c r="O2044" i="1"/>
  <c r="N2044" i="1"/>
  <c r="Q2044" i="1" s="1"/>
  <c r="M2044" i="1"/>
  <c r="L2044" i="1"/>
  <c r="U2043" i="1"/>
  <c r="V2043" i="1" s="1"/>
  <c r="T2043" i="1"/>
  <c r="S2043" i="1"/>
  <c r="R2043" i="1"/>
  <c r="Q2043" i="1"/>
  <c r="P2043" i="1"/>
  <c r="O2043" i="1"/>
  <c r="N2043" i="1"/>
  <c r="M2043" i="1"/>
  <c r="L2043" i="1"/>
  <c r="U2042" i="1"/>
  <c r="V2042" i="1" s="1"/>
  <c r="T2042" i="1"/>
  <c r="S2042" i="1"/>
  <c r="R2042" i="1"/>
  <c r="Q2042" i="1"/>
  <c r="P2042" i="1"/>
  <c r="O2042" i="1"/>
  <c r="N2042" i="1"/>
  <c r="M2042" i="1"/>
  <c r="L2042" i="1"/>
  <c r="V2041" i="1"/>
  <c r="U2041" i="1"/>
  <c r="T2041" i="1"/>
  <c r="S2041" i="1"/>
  <c r="R2041" i="1"/>
  <c r="P2041" i="1"/>
  <c r="O2041" i="1"/>
  <c r="N2041" i="1"/>
  <c r="Q2041" i="1" s="1"/>
  <c r="M2041" i="1"/>
  <c r="L2041" i="1"/>
  <c r="V2040" i="1"/>
  <c r="U2040" i="1"/>
  <c r="T2040" i="1"/>
  <c r="S2040" i="1"/>
  <c r="R2040" i="1"/>
  <c r="P2040" i="1"/>
  <c r="O2040" i="1"/>
  <c r="N2040" i="1"/>
  <c r="Q2040" i="1" s="1"/>
  <c r="M2040" i="1"/>
  <c r="L2040" i="1"/>
  <c r="V2039" i="1"/>
  <c r="U2039" i="1"/>
  <c r="T2039" i="1"/>
  <c r="S2039" i="1"/>
  <c r="R2039" i="1"/>
  <c r="P2039" i="1"/>
  <c r="O2039" i="1"/>
  <c r="N2039" i="1"/>
  <c r="Q2039" i="1" s="1"/>
  <c r="M2039" i="1"/>
  <c r="L2039" i="1"/>
  <c r="U2038" i="1"/>
  <c r="V2038" i="1" s="1"/>
  <c r="T2038" i="1"/>
  <c r="S2038" i="1"/>
  <c r="R2038" i="1"/>
  <c r="Q2038" i="1"/>
  <c r="P2038" i="1"/>
  <c r="O2038" i="1"/>
  <c r="N2038" i="1"/>
  <c r="M2038" i="1"/>
  <c r="L2038" i="1"/>
  <c r="U2037" i="1"/>
  <c r="V2037" i="1" s="1"/>
  <c r="T2037" i="1"/>
  <c r="S2037" i="1"/>
  <c r="R2037" i="1"/>
  <c r="Q2037" i="1"/>
  <c r="P2037" i="1"/>
  <c r="O2037" i="1"/>
  <c r="N2037" i="1"/>
  <c r="M2037" i="1"/>
  <c r="L2037" i="1"/>
  <c r="U2036" i="1"/>
  <c r="V2036" i="1" s="1"/>
  <c r="T2036" i="1"/>
  <c r="S2036" i="1"/>
  <c r="R2036" i="1"/>
  <c r="P2036" i="1"/>
  <c r="O2036" i="1"/>
  <c r="N2036" i="1"/>
  <c r="Q2036" i="1" s="1"/>
  <c r="M2036" i="1"/>
  <c r="L2036" i="1"/>
  <c r="U2035" i="1"/>
  <c r="V2035" i="1" s="1"/>
  <c r="T2035" i="1"/>
  <c r="S2035" i="1"/>
  <c r="R2035" i="1"/>
  <c r="P2035" i="1"/>
  <c r="O2035" i="1"/>
  <c r="N2035" i="1"/>
  <c r="Q2035" i="1" s="1"/>
  <c r="M2035" i="1"/>
  <c r="L2035" i="1"/>
  <c r="U2034" i="1"/>
  <c r="V2034" i="1" s="1"/>
  <c r="T2034" i="1"/>
  <c r="S2034" i="1"/>
  <c r="R2034" i="1"/>
  <c r="Q2034" i="1"/>
  <c r="P2034" i="1"/>
  <c r="O2034" i="1"/>
  <c r="N2034" i="1"/>
  <c r="M2034" i="1"/>
  <c r="L2034" i="1"/>
  <c r="U2033" i="1"/>
  <c r="V2033" i="1" s="1"/>
  <c r="T2033" i="1"/>
  <c r="S2033" i="1"/>
  <c r="R2033" i="1"/>
  <c r="P2033" i="1"/>
  <c r="O2033" i="1"/>
  <c r="N2033" i="1"/>
  <c r="Q2033" i="1" s="1"/>
  <c r="M2033" i="1"/>
  <c r="L2033" i="1"/>
  <c r="V2032" i="1"/>
  <c r="U2032" i="1"/>
  <c r="T2032" i="1"/>
  <c r="S2032" i="1"/>
  <c r="R2032" i="1"/>
  <c r="P2032" i="1"/>
  <c r="O2032" i="1"/>
  <c r="N2032" i="1"/>
  <c r="Q2032" i="1" s="1"/>
  <c r="M2032" i="1"/>
  <c r="L2032" i="1"/>
  <c r="V2031" i="1"/>
  <c r="U2031" i="1"/>
  <c r="T2031" i="1"/>
  <c r="S2031" i="1"/>
  <c r="R2031" i="1"/>
  <c r="Q2031" i="1"/>
  <c r="P2031" i="1"/>
  <c r="O2031" i="1"/>
  <c r="N2031" i="1"/>
  <c r="M2031" i="1"/>
  <c r="L2031" i="1"/>
  <c r="U2030" i="1"/>
  <c r="V2030" i="1" s="1"/>
  <c r="T2030" i="1"/>
  <c r="S2030" i="1"/>
  <c r="R2030" i="1"/>
  <c r="Q2030" i="1"/>
  <c r="P2030" i="1"/>
  <c r="O2030" i="1"/>
  <c r="N2030" i="1"/>
  <c r="M2030" i="1"/>
  <c r="L2030" i="1"/>
  <c r="U2029" i="1"/>
  <c r="V2029" i="1" s="1"/>
  <c r="T2029" i="1"/>
  <c r="S2029" i="1"/>
  <c r="R2029" i="1"/>
  <c r="Q2029" i="1"/>
  <c r="P2029" i="1"/>
  <c r="O2029" i="1"/>
  <c r="N2029" i="1"/>
  <c r="M2029" i="1"/>
  <c r="L2029" i="1"/>
  <c r="U2028" i="1"/>
  <c r="V2028" i="1" s="1"/>
  <c r="T2028" i="1"/>
  <c r="S2028" i="1"/>
  <c r="R2028" i="1"/>
  <c r="P2028" i="1"/>
  <c r="O2028" i="1"/>
  <c r="N2028" i="1"/>
  <c r="Q2028" i="1" s="1"/>
  <c r="M2028" i="1"/>
  <c r="L2028" i="1"/>
  <c r="U2027" i="1"/>
  <c r="V2027" i="1" s="1"/>
  <c r="T2027" i="1"/>
  <c r="S2027" i="1"/>
  <c r="R2027" i="1"/>
  <c r="P2027" i="1"/>
  <c r="O2027" i="1"/>
  <c r="N2027" i="1"/>
  <c r="Q2027" i="1" s="1"/>
  <c r="M2027" i="1"/>
  <c r="L2027" i="1"/>
  <c r="U2026" i="1"/>
  <c r="V2026" i="1" s="1"/>
  <c r="T2026" i="1"/>
  <c r="S2026" i="1"/>
  <c r="R2026" i="1"/>
  <c r="Q2026" i="1"/>
  <c r="P2026" i="1"/>
  <c r="O2026" i="1"/>
  <c r="N2026" i="1"/>
  <c r="M2026" i="1"/>
  <c r="L2026" i="1"/>
  <c r="U2025" i="1"/>
  <c r="V2025" i="1" s="1"/>
  <c r="T2025" i="1"/>
  <c r="S2025" i="1"/>
  <c r="R2025" i="1"/>
  <c r="P2025" i="1"/>
  <c r="O2025" i="1"/>
  <c r="N2025" i="1"/>
  <c r="Q2025" i="1" s="1"/>
  <c r="M2025" i="1"/>
  <c r="L2025" i="1"/>
  <c r="V2024" i="1"/>
  <c r="U2024" i="1"/>
  <c r="T2024" i="1"/>
  <c r="S2024" i="1"/>
  <c r="R2024" i="1"/>
  <c r="P2024" i="1"/>
  <c r="O2024" i="1"/>
  <c r="N2024" i="1"/>
  <c r="Q2024" i="1" s="1"/>
  <c r="M2024" i="1"/>
  <c r="L2024" i="1"/>
  <c r="V2023" i="1"/>
  <c r="U2023" i="1"/>
  <c r="T2023" i="1"/>
  <c r="S2023" i="1"/>
  <c r="R2023" i="1"/>
  <c r="Q2023" i="1"/>
  <c r="P2023" i="1"/>
  <c r="O2023" i="1"/>
  <c r="N2023" i="1"/>
  <c r="M2023" i="1"/>
  <c r="L2023" i="1"/>
  <c r="U2022" i="1"/>
  <c r="V2022" i="1" s="1"/>
  <c r="T2022" i="1"/>
  <c r="S2022" i="1"/>
  <c r="R2022" i="1"/>
  <c r="P2022" i="1"/>
  <c r="O2022" i="1"/>
  <c r="N2022" i="1"/>
  <c r="Q2022" i="1" s="1"/>
  <c r="M2022" i="1"/>
  <c r="L2022" i="1"/>
  <c r="U2021" i="1"/>
  <c r="V2021" i="1" s="1"/>
  <c r="T2021" i="1"/>
  <c r="S2021" i="1"/>
  <c r="R2021" i="1"/>
  <c r="Q2021" i="1"/>
  <c r="P2021" i="1"/>
  <c r="O2021" i="1"/>
  <c r="N2021" i="1"/>
  <c r="M2021" i="1"/>
  <c r="L2021" i="1"/>
  <c r="U2020" i="1"/>
  <c r="V2020" i="1" s="1"/>
  <c r="T2020" i="1"/>
  <c r="S2020" i="1"/>
  <c r="R2020" i="1"/>
  <c r="P2020" i="1"/>
  <c r="O2020" i="1"/>
  <c r="N2020" i="1"/>
  <c r="Q2020" i="1" s="1"/>
  <c r="M2020" i="1"/>
  <c r="L2020" i="1"/>
  <c r="U2019" i="1"/>
  <c r="V2019" i="1" s="1"/>
  <c r="T2019" i="1"/>
  <c r="S2019" i="1"/>
  <c r="R2019" i="1"/>
  <c r="P2019" i="1"/>
  <c r="O2019" i="1"/>
  <c r="N2019" i="1"/>
  <c r="Q2019" i="1" s="1"/>
  <c r="M2019" i="1"/>
  <c r="L2019" i="1"/>
  <c r="U2018" i="1"/>
  <c r="V2018" i="1" s="1"/>
  <c r="T2018" i="1"/>
  <c r="S2018" i="1"/>
  <c r="R2018" i="1"/>
  <c r="Q2018" i="1"/>
  <c r="P2018" i="1"/>
  <c r="O2018" i="1"/>
  <c r="N2018" i="1"/>
  <c r="M2018" i="1"/>
  <c r="L2018" i="1"/>
  <c r="U2017" i="1"/>
  <c r="V2017" i="1" s="1"/>
  <c r="T2017" i="1"/>
  <c r="S2017" i="1"/>
  <c r="R2017" i="1"/>
  <c r="Q2017" i="1"/>
  <c r="P2017" i="1"/>
  <c r="O2017" i="1"/>
  <c r="N2017" i="1"/>
  <c r="M2017" i="1"/>
  <c r="L2017" i="1"/>
  <c r="V2016" i="1"/>
  <c r="U2016" i="1"/>
  <c r="T2016" i="1"/>
  <c r="S2016" i="1"/>
  <c r="R2016" i="1"/>
  <c r="P2016" i="1"/>
  <c r="O2016" i="1"/>
  <c r="N2016" i="1"/>
  <c r="Q2016" i="1" s="1"/>
  <c r="M2016" i="1"/>
  <c r="L2016" i="1"/>
  <c r="V2015" i="1"/>
  <c r="U2015" i="1"/>
  <c r="T2015" i="1"/>
  <c r="S2015" i="1"/>
  <c r="R2015" i="1"/>
  <c r="Q2015" i="1"/>
  <c r="P2015" i="1"/>
  <c r="O2015" i="1"/>
  <c r="N2015" i="1"/>
  <c r="M2015" i="1"/>
  <c r="L2015" i="1"/>
  <c r="U2014" i="1"/>
  <c r="V2014" i="1" s="1"/>
  <c r="T2014" i="1"/>
  <c r="S2014" i="1"/>
  <c r="R2014" i="1"/>
  <c r="P2014" i="1"/>
  <c r="O2014" i="1"/>
  <c r="N2014" i="1"/>
  <c r="Q2014" i="1" s="1"/>
  <c r="M2014" i="1"/>
  <c r="L2014" i="1"/>
  <c r="U2013" i="1"/>
  <c r="V2013" i="1" s="1"/>
  <c r="T2013" i="1"/>
  <c r="S2013" i="1"/>
  <c r="R2013" i="1"/>
  <c r="Q2013" i="1"/>
  <c r="P2013" i="1"/>
  <c r="O2013" i="1"/>
  <c r="N2013" i="1"/>
  <c r="M2013" i="1"/>
  <c r="L2013" i="1"/>
  <c r="U2012" i="1"/>
  <c r="V2012" i="1" s="1"/>
  <c r="T2012" i="1"/>
  <c r="S2012" i="1"/>
  <c r="R2012" i="1"/>
  <c r="P2012" i="1"/>
  <c r="O2012" i="1"/>
  <c r="N2012" i="1"/>
  <c r="Q2012" i="1" s="1"/>
  <c r="M2012" i="1"/>
  <c r="L2012" i="1"/>
  <c r="U2011" i="1"/>
  <c r="V2011" i="1" s="1"/>
  <c r="T2011" i="1"/>
  <c r="S2011" i="1"/>
  <c r="R2011" i="1"/>
  <c r="P2011" i="1"/>
  <c r="O2011" i="1"/>
  <c r="N2011" i="1"/>
  <c r="Q2011" i="1" s="1"/>
  <c r="M2011" i="1"/>
  <c r="L2011" i="1"/>
  <c r="U2010" i="1"/>
  <c r="V2010" i="1" s="1"/>
  <c r="T2010" i="1"/>
  <c r="S2010" i="1"/>
  <c r="R2010" i="1"/>
  <c r="Q2010" i="1"/>
  <c r="P2010" i="1"/>
  <c r="O2010" i="1"/>
  <c r="N2010" i="1"/>
  <c r="M2010" i="1"/>
  <c r="L2010" i="1"/>
  <c r="U2009" i="1"/>
  <c r="V2009" i="1" s="1"/>
  <c r="T2009" i="1"/>
  <c r="S2009" i="1"/>
  <c r="R2009" i="1"/>
  <c r="Q2009" i="1"/>
  <c r="P2009" i="1"/>
  <c r="O2009" i="1"/>
  <c r="N2009" i="1"/>
  <c r="M2009" i="1"/>
  <c r="L2009" i="1"/>
  <c r="V2008" i="1"/>
  <c r="U2008" i="1"/>
  <c r="T2008" i="1"/>
  <c r="S2008" i="1"/>
  <c r="R2008" i="1"/>
  <c r="P2008" i="1"/>
  <c r="O2008" i="1"/>
  <c r="N2008" i="1"/>
  <c r="Q2008" i="1" s="1"/>
  <c r="M2008" i="1"/>
  <c r="L2008" i="1"/>
  <c r="V2007" i="1"/>
  <c r="U2007" i="1"/>
  <c r="T2007" i="1"/>
  <c r="S2007" i="1"/>
  <c r="R2007" i="1"/>
  <c r="Q2007" i="1"/>
  <c r="P2007" i="1"/>
  <c r="O2007" i="1"/>
  <c r="N2007" i="1"/>
  <c r="M2007" i="1"/>
  <c r="L2007" i="1"/>
  <c r="U2006" i="1"/>
  <c r="V2006" i="1" s="1"/>
  <c r="T2006" i="1"/>
  <c r="S2006" i="1"/>
  <c r="R2006" i="1"/>
  <c r="P2006" i="1"/>
  <c r="O2006" i="1"/>
  <c r="N2006" i="1"/>
  <c r="Q2006" i="1" s="1"/>
  <c r="M2006" i="1"/>
  <c r="L2006" i="1"/>
  <c r="U2005" i="1"/>
  <c r="V2005" i="1" s="1"/>
  <c r="T2005" i="1"/>
  <c r="S2005" i="1"/>
  <c r="R2005" i="1"/>
  <c r="Q2005" i="1"/>
  <c r="P2005" i="1"/>
  <c r="O2005" i="1"/>
  <c r="N2005" i="1"/>
  <c r="M2005" i="1"/>
  <c r="L2005" i="1"/>
  <c r="U2004" i="1"/>
  <c r="V2004" i="1" s="1"/>
  <c r="T2004" i="1"/>
  <c r="S2004" i="1"/>
  <c r="R2004" i="1"/>
  <c r="P2004" i="1"/>
  <c r="O2004" i="1"/>
  <c r="N2004" i="1"/>
  <c r="Q2004" i="1" s="1"/>
  <c r="M2004" i="1"/>
  <c r="L2004" i="1"/>
  <c r="U2003" i="1"/>
  <c r="V2003" i="1" s="1"/>
  <c r="T2003" i="1"/>
  <c r="S2003" i="1"/>
  <c r="R2003" i="1"/>
  <c r="P2003" i="1"/>
  <c r="O2003" i="1"/>
  <c r="N2003" i="1"/>
  <c r="Q2003" i="1" s="1"/>
  <c r="M2003" i="1"/>
  <c r="L2003" i="1"/>
  <c r="U2002" i="1"/>
  <c r="V2002" i="1" s="1"/>
  <c r="T2002" i="1"/>
  <c r="S2002" i="1"/>
  <c r="R2002" i="1"/>
  <c r="Q2002" i="1"/>
  <c r="P2002" i="1"/>
  <c r="O2002" i="1"/>
  <c r="N2002" i="1"/>
  <c r="M2002" i="1"/>
  <c r="L2002" i="1"/>
  <c r="U2001" i="1"/>
  <c r="V2001" i="1" s="1"/>
  <c r="T2001" i="1"/>
  <c r="S2001" i="1"/>
  <c r="R2001" i="1"/>
  <c r="Q2001" i="1"/>
  <c r="P2001" i="1"/>
  <c r="O2001" i="1"/>
  <c r="N2001" i="1"/>
  <c r="M2001" i="1"/>
  <c r="L2001" i="1"/>
  <c r="V2000" i="1"/>
  <c r="U2000" i="1"/>
  <c r="T2000" i="1"/>
  <c r="S2000" i="1"/>
  <c r="R2000" i="1"/>
  <c r="P2000" i="1"/>
  <c r="O2000" i="1"/>
  <c r="N2000" i="1"/>
  <c r="Q2000" i="1" s="1"/>
  <c r="M2000" i="1"/>
  <c r="L2000" i="1"/>
  <c r="V1999" i="1"/>
  <c r="U1999" i="1"/>
  <c r="T1999" i="1"/>
  <c r="S1999" i="1"/>
  <c r="R1999" i="1"/>
  <c r="Q1999" i="1"/>
  <c r="P1999" i="1"/>
  <c r="O1999" i="1"/>
  <c r="N1999" i="1"/>
  <c r="M1999" i="1"/>
  <c r="L1999" i="1"/>
  <c r="U1998" i="1"/>
  <c r="V1998" i="1" s="1"/>
  <c r="T1998" i="1"/>
  <c r="S1998" i="1"/>
  <c r="R1998" i="1"/>
  <c r="P1998" i="1"/>
  <c r="O1998" i="1"/>
  <c r="N1998" i="1"/>
  <c r="Q1998" i="1" s="1"/>
  <c r="M1998" i="1"/>
  <c r="L1998" i="1"/>
  <c r="U1997" i="1"/>
  <c r="V1997" i="1" s="1"/>
  <c r="T1997" i="1"/>
  <c r="S1997" i="1"/>
  <c r="R1997" i="1"/>
  <c r="Q1997" i="1"/>
  <c r="P1997" i="1"/>
  <c r="O1997" i="1"/>
  <c r="N1997" i="1"/>
  <c r="M1997" i="1"/>
  <c r="L1997" i="1"/>
  <c r="U1996" i="1"/>
  <c r="V1996" i="1" s="1"/>
  <c r="T1996" i="1"/>
  <c r="S1996" i="1"/>
  <c r="R1996" i="1"/>
  <c r="P1996" i="1"/>
  <c r="O1996" i="1"/>
  <c r="N1996" i="1"/>
  <c r="Q1996" i="1" s="1"/>
  <c r="M1996" i="1"/>
  <c r="L1996" i="1"/>
  <c r="U1995" i="1"/>
  <c r="V1995" i="1" s="1"/>
  <c r="T1995" i="1"/>
  <c r="S1995" i="1"/>
  <c r="R1995" i="1"/>
  <c r="P1995" i="1"/>
  <c r="O1995" i="1"/>
  <c r="N1995" i="1"/>
  <c r="Q1995" i="1" s="1"/>
  <c r="M1995" i="1"/>
  <c r="L1995" i="1"/>
  <c r="U1994" i="1"/>
  <c r="V1994" i="1" s="1"/>
  <c r="T1994" i="1"/>
  <c r="S1994" i="1"/>
  <c r="R1994" i="1"/>
  <c r="Q1994" i="1"/>
  <c r="P1994" i="1"/>
  <c r="O1994" i="1"/>
  <c r="N1994" i="1"/>
  <c r="M1994" i="1"/>
  <c r="L1994" i="1"/>
  <c r="U1993" i="1"/>
  <c r="V1993" i="1" s="1"/>
  <c r="T1993" i="1"/>
  <c r="S1993" i="1"/>
  <c r="R1993" i="1"/>
  <c r="Q1993" i="1"/>
  <c r="P1993" i="1"/>
  <c r="O1993" i="1"/>
  <c r="N1993" i="1"/>
  <c r="M1993" i="1"/>
  <c r="L1993" i="1"/>
  <c r="V1992" i="1"/>
  <c r="U1992" i="1"/>
  <c r="T1992" i="1"/>
  <c r="S1992" i="1"/>
  <c r="R1992" i="1"/>
  <c r="P1992" i="1"/>
  <c r="O1992" i="1"/>
  <c r="N1992" i="1"/>
  <c r="Q1992" i="1" s="1"/>
  <c r="M1992" i="1"/>
  <c r="L1992" i="1"/>
  <c r="V1991" i="1"/>
  <c r="U1991" i="1"/>
  <c r="T1991" i="1"/>
  <c r="S1991" i="1"/>
  <c r="R1991" i="1"/>
  <c r="Q1991" i="1"/>
  <c r="P1991" i="1"/>
  <c r="O1991" i="1"/>
  <c r="N1991" i="1"/>
  <c r="M1991" i="1"/>
  <c r="L1991" i="1"/>
  <c r="U1990" i="1"/>
  <c r="V1990" i="1" s="1"/>
  <c r="T1990" i="1"/>
  <c r="S1990" i="1"/>
  <c r="R1990" i="1"/>
  <c r="P1990" i="1"/>
  <c r="O1990" i="1"/>
  <c r="N1990" i="1"/>
  <c r="Q1990" i="1" s="1"/>
  <c r="M1990" i="1"/>
  <c r="L1990" i="1"/>
  <c r="U1989" i="1"/>
  <c r="V1989" i="1" s="1"/>
  <c r="T1989" i="1"/>
  <c r="S1989" i="1"/>
  <c r="R1989" i="1"/>
  <c r="Q1989" i="1"/>
  <c r="P1989" i="1"/>
  <c r="O1989" i="1"/>
  <c r="N1989" i="1"/>
  <c r="M1989" i="1"/>
  <c r="L1989" i="1"/>
  <c r="U1988" i="1"/>
  <c r="V1988" i="1" s="1"/>
  <c r="T1988" i="1"/>
  <c r="S1988" i="1"/>
  <c r="R1988" i="1"/>
  <c r="P1988" i="1"/>
  <c r="O1988" i="1"/>
  <c r="N1988" i="1"/>
  <c r="Q1988" i="1" s="1"/>
  <c r="M1988" i="1"/>
  <c r="L1988" i="1"/>
  <c r="U1987" i="1"/>
  <c r="V1987" i="1" s="1"/>
  <c r="T1987" i="1"/>
  <c r="S1987" i="1"/>
  <c r="R1987" i="1"/>
  <c r="P1987" i="1"/>
  <c r="O1987" i="1"/>
  <c r="N1987" i="1"/>
  <c r="Q1987" i="1" s="1"/>
  <c r="M1987" i="1"/>
  <c r="L1987" i="1"/>
  <c r="U1986" i="1"/>
  <c r="V1986" i="1" s="1"/>
  <c r="T1986" i="1"/>
  <c r="S1986" i="1"/>
  <c r="R1986" i="1"/>
  <c r="Q1986" i="1"/>
  <c r="P1986" i="1"/>
  <c r="O1986" i="1"/>
  <c r="N1986" i="1"/>
  <c r="M1986" i="1"/>
  <c r="L1986" i="1"/>
  <c r="U1985" i="1"/>
  <c r="V1985" i="1" s="1"/>
  <c r="T1985" i="1"/>
  <c r="S1985" i="1"/>
  <c r="R1985" i="1"/>
  <c r="Q1985" i="1"/>
  <c r="P1985" i="1"/>
  <c r="O1985" i="1"/>
  <c r="N1985" i="1"/>
  <c r="M1985" i="1"/>
  <c r="L1985" i="1"/>
  <c r="V1984" i="1"/>
  <c r="U1984" i="1"/>
  <c r="T1984" i="1"/>
  <c r="S1984" i="1"/>
  <c r="R1984" i="1"/>
  <c r="P1984" i="1"/>
  <c r="O1984" i="1"/>
  <c r="N1984" i="1"/>
  <c r="Q1984" i="1" s="1"/>
  <c r="M1984" i="1"/>
  <c r="L1984" i="1"/>
  <c r="V1983" i="1"/>
  <c r="U1983" i="1"/>
  <c r="T1983" i="1"/>
  <c r="S1983" i="1"/>
  <c r="R1983" i="1"/>
  <c r="Q1983" i="1"/>
  <c r="P1983" i="1"/>
  <c r="O1983" i="1"/>
  <c r="N1983" i="1"/>
  <c r="M1983" i="1"/>
  <c r="L1983" i="1"/>
  <c r="U1982" i="1"/>
  <c r="V1982" i="1" s="1"/>
  <c r="T1982" i="1"/>
  <c r="S1982" i="1"/>
  <c r="R1982" i="1"/>
  <c r="P1982" i="1"/>
  <c r="O1982" i="1"/>
  <c r="N1982" i="1"/>
  <c r="Q1982" i="1" s="1"/>
  <c r="M1982" i="1"/>
  <c r="L1982" i="1"/>
  <c r="U1981" i="1"/>
  <c r="V1981" i="1" s="1"/>
  <c r="T1981" i="1"/>
  <c r="S1981" i="1"/>
  <c r="R1981" i="1"/>
  <c r="Q1981" i="1"/>
  <c r="P1981" i="1"/>
  <c r="O1981" i="1"/>
  <c r="N1981" i="1"/>
  <c r="M1981" i="1"/>
  <c r="L1981" i="1"/>
  <c r="U1980" i="1"/>
  <c r="V1980" i="1" s="1"/>
  <c r="T1980" i="1"/>
  <c r="S1980" i="1"/>
  <c r="R1980" i="1"/>
  <c r="P1980" i="1"/>
  <c r="O1980" i="1"/>
  <c r="N1980" i="1"/>
  <c r="Q1980" i="1" s="1"/>
  <c r="M1980" i="1"/>
  <c r="L1980" i="1"/>
  <c r="U1979" i="1"/>
  <c r="V1979" i="1" s="1"/>
  <c r="T1979" i="1"/>
  <c r="S1979" i="1"/>
  <c r="R1979" i="1"/>
  <c r="P1979" i="1"/>
  <c r="O1979" i="1"/>
  <c r="N1979" i="1"/>
  <c r="Q1979" i="1" s="1"/>
  <c r="M1979" i="1"/>
  <c r="L1979" i="1"/>
  <c r="U1978" i="1"/>
  <c r="V1978" i="1" s="1"/>
  <c r="T1978" i="1"/>
  <c r="S1978" i="1"/>
  <c r="R1978" i="1"/>
  <c r="Q1978" i="1"/>
  <c r="P1978" i="1"/>
  <c r="O1978" i="1"/>
  <c r="N1978" i="1"/>
  <c r="M1978" i="1"/>
  <c r="L1978" i="1"/>
  <c r="U1977" i="1"/>
  <c r="V1977" i="1" s="1"/>
  <c r="T1977" i="1"/>
  <c r="S1977" i="1"/>
  <c r="R1977" i="1"/>
  <c r="Q1977" i="1"/>
  <c r="P1977" i="1"/>
  <c r="O1977" i="1"/>
  <c r="N1977" i="1"/>
  <c r="M1977" i="1"/>
  <c r="L1977" i="1"/>
  <c r="V1976" i="1"/>
  <c r="U1976" i="1"/>
  <c r="T1976" i="1"/>
  <c r="S1976" i="1"/>
  <c r="R1976" i="1"/>
  <c r="P1976" i="1"/>
  <c r="O1976" i="1"/>
  <c r="N1976" i="1"/>
  <c r="Q1976" i="1" s="1"/>
  <c r="M1976" i="1"/>
  <c r="L1976" i="1"/>
  <c r="V1975" i="1"/>
  <c r="U1975" i="1"/>
  <c r="T1975" i="1"/>
  <c r="S1975" i="1"/>
  <c r="R1975" i="1"/>
  <c r="Q1975" i="1"/>
  <c r="P1975" i="1"/>
  <c r="O1975" i="1"/>
  <c r="N1975" i="1"/>
  <c r="M1975" i="1"/>
  <c r="L1975" i="1"/>
  <c r="U1974" i="1"/>
  <c r="V1974" i="1" s="1"/>
  <c r="T1974" i="1"/>
  <c r="S1974" i="1"/>
  <c r="R1974" i="1"/>
  <c r="P1974" i="1"/>
  <c r="O1974" i="1"/>
  <c r="N1974" i="1"/>
  <c r="Q1974" i="1" s="1"/>
  <c r="M1974" i="1"/>
  <c r="L1974" i="1"/>
  <c r="U1973" i="1"/>
  <c r="V1973" i="1" s="1"/>
  <c r="T1973" i="1"/>
  <c r="S1973" i="1"/>
  <c r="R1973" i="1"/>
  <c r="Q1973" i="1"/>
  <c r="P1973" i="1"/>
  <c r="O1973" i="1"/>
  <c r="N1973" i="1"/>
  <c r="M1973" i="1"/>
  <c r="L1973" i="1"/>
  <c r="U1972" i="1"/>
  <c r="V1972" i="1" s="1"/>
  <c r="T1972" i="1"/>
  <c r="S1972" i="1"/>
  <c r="R1972" i="1"/>
  <c r="P1972" i="1"/>
  <c r="O1972" i="1"/>
  <c r="N1972" i="1"/>
  <c r="Q1972" i="1" s="1"/>
  <c r="M1972" i="1"/>
  <c r="L1972" i="1"/>
  <c r="U1971" i="1"/>
  <c r="V1971" i="1" s="1"/>
  <c r="T1971" i="1"/>
  <c r="S1971" i="1"/>
  <c r="R1971" i="1"/>
  <c r="P1971" i="1"/>
  <c r="O1971" i="1"/>
  <c r="N1971" i="1"/>
  <c r="Q1971" i="1" s="1"/>
  <c r="M1971" i="1"/>
  <c r="L1971" i="1"/>
  <c r="U1970" i="1"/>
  <c r="V1970" i="1" s="1"/>
  <c r="T1970" i="1"/>
  <c r="S1970" i="1"/>
  <c r="R1970" i="1"/>
  <c r="Q1970" i="1"/>
  <c r="P1970" i="1"/>
  <c r="O1970" i="1"/>
  <c r="N1970" i="1"/>
  <c r="M1970" i="1"/>
  <c r="L1970" i="1"/>
  <c r="U1969" i="1"/>
  <c r="V1969" i="1" s="1"/>
  <c r="T1969" i="1"/>
  <c r="S1969" i="1"/>
  <c r="R1969" i="1"/>
  <c r="Q1969" i="1"/>
  <c r="P1969" i="1"/>
  <c r="O1969" i="1"/>
  <c r="N1969" i="1"/>
  <c r="M1969" i="1"/>
  <c r="L1969" i="1"/>
  <c r="V1968" i="1"/>
  <c r="U1968" i="1"/>
  <c r="T1968" i="1"/>
  <c r="S1968" i="1"/>
  <c r="R1968" i="1"/>
  <c r="P1968" i="1"/>
  <c r="O1968" i="1"/>
  <c r="N1968" i="1"/>
  <c r="Q1968" i="1" s="1"/>
  <c r="M1968" i="1"/>
  <c r="L1968" i="1"/>
  <c r="V1967" i="1"/>
  <c r="U1967" i="1"/>
  <c r="T1967" i="1"/>
  <c r="S1967" i="1"/>
  <c r="R1967" i="1"/>
  <c r="Q1967" i="1"/>
  <c r="P1967" i="1"/>
  <c r="O1967" i="1"/>
  <c r="N1967" i="1"/>
  <c r="M1967" i="1"/>
  <c r="L1967" i="1"/>
  <c r="U1966" i="1"/>
  <c r="V1966" i="1" s="1"/>
  <c r="T1966" i="1"/>
  <c r="S1966" i="1"/>
  <c r="R1966" i="1"/>
  <c r="P1966" i="1"/>
  <c r="O1966" i="1"/>
  <c r="N1966" i="1"/>
  <c r="Q1966" i="1" s="1"/>
  <c r="M1966" i="1"/>
  <c r="L1966" i="1"/>
  <c r="U1965" i="1"/>
  <c r="V1965" i="1" s="1"/>
  <c r="T1965" i="1"/>
  <c r="S1965" i="1"/>
  <c r="R1965" i="1"/>
  <c r="Q1965" i="1"/>
  <c r="P1965" i="1"/>
  <c r="O1965" i="1"/>
  <c r="N1965" i="1"/>
  <c r="M1965" i="1"/>
  <c r="L1965" i="1"/>
  <c r="U1964" i="1"/>
  <c r="V1964" i="1" s="1"/>
  <c r="T1964" i="1"/>
  <c r="S1964" i="1"/>
  <c r="R1964" i="1"/>
  <c r="P1964" i="1"/>
  <c r="O1964" i="1"/>
  <c r="N1964" i="1"/>
  <c r="Q1964" i="1" s="1"/>
  <c r="M1964" i="1"/>
  <c r="L1964" i="1"/>
  <c r="U1963" i="1"/>
  <c r="V1963" i="1" s="1"/>
  <c r="T1963" i="1"/>
  <c r="S1963" i="1"/>
  <c r="R1963" i="1"/>
  <c r="P1963" i="1"/>
  <c r="O1963" i="1"/>
  <c r="N1963" i="1"/>
  <c r="Q1963" i="1" s="1"/>
  <c r="M1963" i="1"/>
  <c r="L1963" i="1"/>
  <c r="U1962" i="1"/>
  <c r="V1962" i="1" s="1"/>
  <c r="T1962" i="1"/>
  <c r="S1962" i="1"/>
  <c r="R1962" i="1"/>
  <c r="Q1962" i="1"/>
  <c r="P1962" i="1"/>
  <c r="O1962" i="1"/>
  <c r="N1962" i="1"/>
  <c r="M1962" i="1"/>
  <c r="L1962" i="1"/>
  <c r="U1961" i="1"/>
  <c r="V1961" i="1" s="1"/>
  <c r="T1961" i="1"/>
  <c r="S1961" i="1"/>
  <c r="R1961" i="1"/>
  <c r="Q1961" i="1"/>
  <c r="P1961" i="1"/>
  <c r="O1961" i="1"/>
  <c r="N1961" i="1"/>
  <c r="M1961" i="1"/>
  <c r="L1961" i="1"/>
  <c r="V1960" i="1"/>
  <c r="U1960" i="1"/>
  <c r="T1960" i="1"/>
  <c r="S1960" i="1"/>
  <c r="R1960" i="1"/>
  <c r="P1960" i="1"/>
  <c r="O1960" i="1"/>
  <c r="N1960" i="1"/>
  <c r="Q1960" i="1" s="1"/>
  <c r="M1960" i="1"/>
  <c r="L1960" i="1"/>
  <c r="V1959" i="1"/>
  <c r="U1959" i="1"/>
  <c r="T1959" i="1"/>
  <c r="S1959" i="1"/>
  <c r="R1959" i="1"/>
  <c r="Q1959" i="1"/>
  <c r="P1959" i="1"/>
  <c r="O1959" i="1"/>
  <c r="N1959" i="1"/>
  <c r="M1959" i="1"/>
  <c r="L1959" i="1"/>
  <c r="U1958" i="1"/>
  <c r="V1958" i="1" s="1"/>
  <c r="T1958" i="1"/>
  <c r="S1958" i="1"/>
  <c r="R1958" i="1"/>
  <c r="P1958" i="1"/>
  <c r="O1958" i="1"/>
  <c r="N1958" i="1"/>
  <c r="Q1958" i="1" s="1"/>
  <c r="M1958" i="1"/>
  <c r="L1958" i="1"/>
  <c r="U1957" i="1"/>
  <c r="V1957" i="1" s="1"/>
  <c r="T1957" i="1"/>
  <c r="S1957" i="1"/>
  <c r="R1957" i="1"/>
  <c r="Q1957" i="1"/>
  <c r="P1957" i="1"/>
  <c r="O1957" i="1"/>
  <c r="N1957" i="1"/>
  <c r="M1957" i="1"/>
  <c r="L1957" i="1"/>
  <c r="U1956" i="1"/>
  <c r="V1956" i="1" s="1"/>
  <c r="T1956" i="1"/>
  <c r="S1956" i="1"/>
  <c r="R1956" i="1"/>
  <c r="P1956" i="1"/>
  <c r="O1956" i="1"/>
  <c r="N1956" i="1"/>
  <c r="Q1956" i="1" s="1"/>
  <c r="M1956" i="1"/>
  <c r="L1956" i="1"/>
  <c r="U1955" i="1"/>
  <c r="V1955" i="1" s="1"/>
  <c r="T1955" i="1"/>
  <c r="S1955" i="1"/>
  <c r="R1955" i="1"/>
  <c r="P1955" i="1"/>
  <c r="O1955" i="1"/>
  <c r="N1955" i="1"/>
  <c r="Q1955" i="1" s="1"/>
  <c r="M1955" i="1"/>
  <c r="L1955" i="1"/>
  <c r="U1954" i="1"/>
  <c r="V1954" i="1" s="1"/>
  <c r="T1954" i="1"/>
  <c r="S1954" i="1"/>
  <c r="R1954" i="1"/>
  <c r="Q1954" i="1"/>
  <c r="P1954" i="1"/>
  <c r="O1954" i="1"/>
  <c r="N1954" i="1"/>
  <c r="M1954" i="1"/>
  <c r="L1954" i="1"/>
  <c r="U1953" i="1"/>
  <c r="V1953" i="1" s="1"/>
  <c r="T1953" i="1"/>
  <c r="S1953" i="1"/>
  <c r="R1953" i="1"/>
  <c r="Q1953" i="1"/>
  <c r="P1953" i="1"/>
  <c r="O1953" i="1"/>
  <c r="N1953" i="1"/>
  <c r="M1953" i="1"/>
  <c r="L1953" i="1"/>
  <c r="V1952" i="1"/>
  <c r="U1952" i="1"/>
  <c r="T1952" i="1"/>
  <c r="S1952" i="1"/>
  <c r="R1952" i="1"/>
  <c r="P1952" i="1"/>
  <c r="O1952" i="1"/>
  <c r="N1952" i="1"/>
  <c r="Q1952" i="1" s="1"/>
  <c r="M1952" i="1"/>
  <c r="L1952" i="1"/>
  <c r="V1951" i="1"/>
  <c r="U1951" i="1"/>
  <c r="T1951" i="1"/>
  <c r="S1951" i="1"/>
  <c r="R1951" i="1"/>
  <c r="Q1951" i="1"/>
  <c r="P1951" i="1"/>
  <c r="O1951" i="1"/>
  <c r="N1951" i="1"/>
  <c r="M1951" i="1"/>
  <c r="L1951" i="1"/>
  <c r="U1950" i="1"/>
  <c r="V1950" i="1" s="1"/>
  <c r="T1950" i="1"/>
  <c r="S1950" i="1"/>
  <c r="R1950" i="1"/>
  <c r="P1950" i="1"/>
  <c r="O1950" i="1"/>
  <c r="N1950" i="1"/>
  <c r="Q1950" i="1" s="1"/>
  <c r="M1950" i="1"/>
  <c r="L1950" i="1"/>
  <c r="U1949" i="1"/>
  <c r="V1949" i="1" s="1"/>
  <c r="T1949" i="1"/>
  <c r="S1949" i="1"/>
  <c r="R1949" i="1"/>
  <c r="Q1949" i="1"/>
  <c r="P1949" i="1"/>
  <c r="O1949" i="1"/>
  <c r="N1949" i="1"/>
  <c r="M1949" i="1"/>
  <c r="L1949" i="1"/>
  <c r="U1948" i="1"/>
  <c r="V1948" i="1" s="1"/>
  <c r="T1948" i="1"/>
  <c r="S1948" i="1"/>
  <c r="R1948" i="1"/>
  <c r="P1948" i="1"/>
  <c r="O1948" i="1"/>
  <c r="N1948" i="1"/>
  <c r="Q1948" i="1" s="1"/>
  <c r="M1948" i="1"/>
  <c r="L1948" i="1"/>
  <c r="U1947" i="1"/>
  <c r="V1947" i="1" s="1"/>
  <c r="T1947" i="1"/>
  <c r="S1947" i="1"/>
  <c r="R1947" i="1"/>
  <c r="P1947" i="1"/>
  <c r="O1947" i="1"/>
  <c r="N1947" i="1"/>
  <c r="Q1947" i="1" s="1"/>
  <c r="M1947" i="1"/>
  <c r="L1947" i="1"/>
  <c r="U1946" i="1"/>
  <c r="V1946" i="1" s="1"/>
  <c r="T1946" i="1"/>
  <c r="S1946" i="1"/>
  <c r="R1946" i="1"/>
  <c r="Q1946" i="1"/>
  <c r="P1946" i="1"/>
  <c r="O1946" i="1"/>
  <c r="N1946" i="1"/>
  <c r="M1946" i="1"/>
  <c r="L1946" i="1"/>
  <c r="U1945" i="1"/>
  <c r="V1945" i="1" s="1"/>
  <c r="T1945" i="1"/>
  <c r="S1945" i="1"/>
  <c r="R1945" i="1"/>
  <c r="Q1945" i="1"/>
  <c r="P1945" i="1"/>
  <c r="O1945" i="1"/>
  <c r="N1945" i="1"/>
  <c r="M1945" i="1"/>
  <c r="L1945" i="1"/>
  <c r="V1944" i="1"/>
  <c r="U1944" i="1"/>
  <c r="T1944" i="1"/>
  <c r="S1944" i="1"/>
  <c r="R1944" i="1"/>
  <c r="P1944" i="1"/>
  <c r="O1944" i="1"/>
  <c r="N1944" i="1"/>
  <c r="Q1944" i="1" s="1"/>
  <c r="M1944" i="1"/>
  <c r="L1944" i="1"/>
  <c r="V1943" i="1"/>
  <c r="U1943" i="1"/>
  <c r="T1943" i="1"/>
  <c r="S1943" i="1"/>
  <c r="R1943" i="1"/>
  <c r="Q1943" i="1"/>
  <c r="P1943" i="1"/>
  <c r="O1943" i="1"/>
  <c r="N1943" i="1"/>
  <c r="M1943" i="1"/>
  <c r="L1943" i="1"/>
  <c r="U1942" i="1"/>
  <c r="V1942" i="1" s="1"/>
  <c r="T1942" i="1"/>
  <c r="S1942" i="1"/>
  <c r="R1942" i="1"/>
  <c r="P1942" i="1"/>
  <c r="O1942" i="1"/>
  <c r="N1942" i="1"/>
  <c r="Q1942" i="1" s="1"/>
  <c r="M1942" i="1"/>
  <c r="L1942" i="1"/>
  <c r="U1941" i="1"/>
  <c r="V1941" i="1" s="1"/>
  <c r="T1941" i="1"/>
  <c r="S1941" i="1"/>
  <c r="R1941" i="1"/>
  <c r="Q1941" i="1"/>
  <c r="P1941" i="1"/>
  <c r="O1941" i="1"/>
  <c r="N1941" i="1"/>
  <c r="M1941" i="1"/>
  <c r="L1941" i="1"/>
  <c r="U1940" i="1"/>
  <c r="V1940" i="1" s="1"/>
  <c r="T1940" i="1"/>
  <c r="S1940" i="1"/>
  <c r="R1940" i="1"/>
  <c r="Q1940" i="1"/>
  <c r="P1940" i="1"/>
  <c r="O1940" i="1"/>
  <c r="N1940" i="1"/>
  <c r="M1940" i="1"/>
  <c r="L1940" i="1"/>
  <c r="U1939" i="1"/>
  <c r="V1939" i="1" s="1"/>
  <c r="T1939" i="1"/>
  <c r="S1939" i="1"/>
  <c r="R1939" i="1"/>
  <c r="P1939" i="1"/>
  <c r="O1939" i="1"/>
  <c r="N1939" i="1"/>
  <c r="Q1939" i="1" s="1"/>
  <c r="M1939" i="1"/>
  <c r="L1939" i="1"/>
  <c r="U1938" i="1"/>
  <c r="V1938" i="1" s="1"/>
  <c r="T1938" i="1"/>
  <c r="S1938" i="1"/>
  <c r="R1938" i="1"/>
  <c r="Q1938" i="1"/>
  <c r="P1938" i="1"/>
  <c r="O1938" i="1"/>
  <c r="N1938" i="1"/>
  <c r="M1938" i="1"/>
  <c r="L1938" i="1"/>
  <c r="U1937" i="1"/>
  <c r="V1937" i="1" s="1"/>
  <c r="T1937" i="1"/>
  <c r="S1937" i="1"/>
  <c r="R1937" i="1"/>
  <c r="Q1937" i="1"/>
  <c r="P1937" i="1"/>
  <c r="O1937" i="1"/>
  <c r="N1937" i="1"/>
  <c r="M1937" i="1"/>
  <c r="L1937" i="1"/>
  <c r="V1936" i="1"/>
  <c r="U1936" i="1"/>
  <c r="T1936" i="1"/>
  <c r="S1936" i="1"/>
  <c r="R1936" i="1"/>
  <c r="P1936" i="1"/>
  <c r="O1936" i="1"/>
  <c r="N1936" i="1"/>
  <c r="Q1936" i="1" s="1"/>
  <c r="M1936" i="1"/>
  <c r="L1936" i="1"/>
  <c r="V1935" i="1"/>
  <c r="U1935" i="1"/>
  <c r="T1935" i="1"/>
  <c r="S1935" i="1"/>
  <c r="R1935" i="1"/>
  <c r="Q1935" i="1"/>
  <c r="P1935" i="1"/>
  <c r="O1935" i="1"/>
  <c r="N1935" i="1"/>
  <c r="M1935" i="1"/>
  <c r="L1935" i="1"/>
  <c r="U1934" i="1"/>
  <c r="V1934" i="1" s="1"/>
  <c r="T1934" i="1"/>
  <c r="S1934" i="1"/>
  <c r="R1934" i="1"/>
  <c r="P1934" i="1"/>
  <c r="O1934" i="1"/>
  <c r="N1934" i="1"/>
  <c r="Q1934" i="1" s="1"/>
  <c r="M1934" i="1"/>
  <c r="L1934" i="1"/>
  <c r="U1933" i="1"/>
  <c r="V1933" i="1" s="1"/>
  <c r="T1933" i="1"/>
  <c r="S1933" i="1"/>
  <c r="R1933" i="1"/>
  <c r="Q1933" i="1"/>
  <c r="P1933" i="1"/>
  <c r="O1933" i="1"/>
  <c r="N1933" i="1"/>
  <c r="M1933" i="1"/>
  <c r="L1933" i="1"/>
  <c r="U1932" i="1"/>
  <c r="V1932" i="1" s="1"/>
  <c r="T1932" i="1"/>
  <c r="S1932" i="1"/>
  <c r="R1932" i="1"/>
  <c r="Q1932" i="1"/>
  <c r="P1932" i="1"/>
  <c r="O1932" i="1"/>
  <c r="N1932" i="1"/>
  <c r="M1932" i="1"/>
  <c r="L1932" i="1"/>
  <c r="U1931" i="1"/>
  <c r="V1931" i="1" s="1"/>
  <c r="T1931" i="1"/>
  <c r="S1931" i="1"/>
  <c r="R1931" i="1"/>
  <c r="P1931" i="1"/>
  <c r="O1931" i="1"/>
  <c r="N1931" i="1"/>
  <c r="Q1931" i="1" s="1"/>
  <c r="M1931" i="1"/>
  <c r="L1931" i="1"/>
  <c r="U1930" i="1"/>
  <c r="V1930" i="1" s="1"/>
  <c r="T1930" i="1"/>
  <c r="S1930" i="1"/>
  <c r="R1930" i="1"/>
  <c r="Q1930" i="1"/>
  <c r="P1930" i="1"/>
  <c r="O1930" i="1"/>
  <c r="N1930" i="1"/>
  <c r="M1930" i="1"/>
  <c r="L1930" i="1"/>
  <c r="U1929" i="1"/>
  <c r="V1929" i="1" s="1"/>
  <c r="T1929" i="1"/>
  <c r="S1929" i="1"/>
  <c r="R1929" i="1"/>
  <c r="Q1929" i="1"/>
  <c r="P1929" i="1"/>
  <c r="O1929" i="1"/>
  <c r="N1929" i="1"/>
  <c r="M1929" i="1"/>
  <c r="L1929" i="1"/>
  <c r="V1928" i="1"/>
  <c r="U1928" i="1"/>
  <c r="T1928" i="1"/>
  <c r="S1928" i="1"/>
  <c r="R1928" i="1"/>
  <c r="P1928" i="1"/>
  <c r="O1928" i="1"/>
  <c r="N1928" i="1"/>
  <c r="Q1928" i="1" s="1"/>
  <c r="M1928" i="1"/>
  <c r="L1928" i="1"/>
  <c r="V1927" i="1"/>
  <c r="U1927" i="1"/>
  <c r="T1927" i="1"/>
  <c r="S1927" i="1"/>
  <c r="R1927" i="1"/>
  <c r="Q1927" i="1"/>
  <c r="P1927" i="1"/>
  <c r="O1927" i="1"/>
  <c r="N1927" i="1"/>
  <c r="M1927" i="1"/>
  <c r="L1927" i="1"/>
  <c r="U1926" i="1"/>
  <c r="V1926" i="1" s="1"/>
  <c r="T1926" i="1"/>
  <c r="S1926" i="1"/>
  <c r="R1926" i="1"/>
  <c r="P1926" i="1"/>
  <c r="O1926" i="1"/>
  <c r="N1926" i="1"/>
  <c r="Q1926" i="1" s="1"/>
  <c r="M1926" i="1"/>
  <c r="L1926" i="1"/>
  <c r="U1925" i="1"/>
  <c r="V1925" i="1" s="1"/>
  <c r="T1925" i="1"/>
  <c r="S1925" i="1"/>
  <c r="R1925" i="1"/>
  <c r="Q1925" i="1"/>
  <c r="P1925" i="1"/>
  <c r="O1925" i="1"/>
  <c r="N1925" i="1"/>
  <c r="M1925" i="1"/>
  <c r="L1925" i="1"/>
  <c r="U1924" i="1"/>
  <c r="V1924" i="1" s="1"/>
  <c r="T1924" i="1"/>
  <c r="S1924" i="1"/>
  <c r="R1924" i="1"/>
  <c r="Q1924" i="1"/>
  <c r="P1924" i="1"/>
  <c r="O1924" i="1"/>
  <c r="N1924" i="1"/>
  <c r="M1924" i="1"/>
  <c r="L1924" i="1"/>
  <c r="U1923" i="1"/>
  <c r="V1923" i="1" s="1"/>
  <c r="T1923" i="1"/>
  <c r="S1923" i="1"/>
  <c r="R1923" i="1"/>
  <c r="P1923" i="1"/>
  <c r="O1923" i="1"/>
  <c r="N1923" i="1"/>
  <c r="Q1923" i="1" s="1"/>
  <c r="M1923" i="1"/>
  <c r="L1923" i="1"/>
  <c r="U1922" i="1"/>
  <c r="V1922" i="1" s="1"/>
  <c r="T1922" i="1"/>
  <c r="S1922" i="1"/>
  <c r="R1922" i="1"/>
  <c r="Q1922" i="1"/>
  <c r="P1922" i="1"/>
  <c r="O1922" i="1"/>
  <c r="N1922" i="1"/>
  <c r="M1922" i="1"/>
  <c r="L1922" i="1"/>
  <c r="U1921" i="1"/>
  <c r="V1921" i="1" s="1"/>
  <c r="T1921" i="1"/>
  <c r="S1921" i="1"/>
  <c r="R1921" i="1"/>
  <c r="Q1921" i="1"/>
  <c r="P1921" i="1"/>
  <c r="O1921" i="1"/>
  <c r="N1921" i="1"/>
  <c r="M1921" i="1"/>
  <c r="L1921" i="1"/>
  <c r="V1920" i="1"/>
  <c r="U1920" i="1"/>
  <c r="T1920" i="1"/>
  <c r="S1920" i="1"/>
  <c r="R1920" i="1"/>
  <c r="P1920" i="1"/>
  <c r="O1920" i="1"/>
  <c r="N1920" i="1"/>
  <c r="Q1920" i="1" s="1"/>
  <c r="M1920" i="1"/>
  <c r="L1920" i="1"/>
  <c r="V1919" i="1"/>
  <c r="U1919" i="1"/>
  <c r="T1919" i="1"/>
  <c r="S1919" i="1"/>
  <c r="R1919" i="1"/>
  <c r="Q1919" i="1"/>
  <c r="P1919" i="1"/>
  <c r="O1919" i="1"/>
  <c r="N1919" i="1"/>
  <c r="M1919" i="1"/>
  <c r="L1919" i="1"/>
  <c r="U1918" i="1"/>
  <c r="V1918" i="1" s="1"/>
  <c r="T1918" i="1"/>
  <c r="S1918" i="1"/>
  <c r="R1918" i="1"/>
  <c r="P1918" i="1"/>
  <c r="O1918" i="1"/>
  <c r="N1918" i="1"/>
  <c r="Q1918" i="1" s="1"/>
  <c r="M1918" i="1"/>
  <c r="L1918" i="1"/>
  <c r="U1917" i="1"/>
  <c r="V1917" i="1" s="1"/>
  <c r="T1917" i="1"/>
  <c r="S1917" i="1"/>
  <c r="R1917" i="1"/>
  <c r="Q1917" i="1"/>
  <c r="P1917" i="1"/>
  <c r="O1917" i="1"/>
  <c r="N1917" i="1"/>
  <c r="M1917" i="1"/>
  <c r="L1917" i="1"/>
  <c r="U1916" i="1"/>
  <c r="V1916" i="1" s="1"/>
  <c r="T1916" i="1"/>
  <c r="S1916" i="1"/>
  <c r="R1916" i="1"/>
  <c r="Q1916" i="1"/>
  <c r="P1916" i="1"/>
  <c r="O1916" i="1"/>
  <c r="N1916" i="1"/>
  <c r="M1916" i="1"/>
  <c r="L1916" i="1"/>
  <c r="U1915" i="1"/>
  <c r="V1915" i="1" s="1"/>
  <c r="T1915" i="1"/>
  <c r="S1915" i="1"/>
  <c r="R1915" i="1"/>
  <c r="P1915" i="1"/>
  <c r="O1915" i="1"/>
  <c r="N1915" i="1"/>
  <c r="Q1915" i="1" s="1"/>
  <c r="M1915" i="1"/>
  <c r="L1915" i="1"/>
  <c r="U1914" i="1"/>
  <c r="V1914" i="1" s="1"/>
  <c r="T1914" i="1"/>
  <c r="S1914" i="1"/>
  <c r="R1914" i="1"/>
  <c r="Q1914" i="1"/>
  <c r="P1914" i="1"/>
  <c r="O1914" i="1"/>
  <c r="N1914" i="1"/>
  <c r="M1914" i="1"/>
  <c r="L1914" i="1"/>
  <c r="U1913" i="1"/>
  <c r="V1913" i="1" s="1"/>
  <c r="T1913" i="1"/>
  <c r="S1913" i="1"/>
  <c r="R1913" i="1"/>
  <c r="Q1913" i="1"/>
  <c r="P1913" i="1"/>
  <c r="O1913" i="1"/>
  <c r="N1913" i="1"/>
  <c r="M1913" i="1"/>
  <c r="L1913" i="1"/>
  <c r="V1912" i="1"/>
  <c r="U1912" i="1"/>
  <c r="T1912" i="1"/>
  <c r="S1912" i="1"/>
  <c r="R1912" i="1"/>
  <c r="P1912" i="1"/>
  <c r="O1912" i="1"/>
  <c r="N1912" i="1"/>
  <c r="Q1912" i="1" s="1"/>
  <c r="M1912" i="1"/>
  <c r="L1912" i="1"/>
  <c r="V1911" i="1"/>
  <c r="U1911" i="1"/>
  <c r="T1911" i="1"/>
  <c r="S1911" i="1"/>
  <c r="R1911" i="1"/>
  <c r="Q1911" i="1"/>
  <c r="P1911" i="1"/>
  <c r="O1911" i="1"/>
  <c r="N1911" i="1"/>
  <c r="M1911" i="1"/>
  <c r="L1911" i="1"/>
  <c r="U1910" i="1"/>
  <c r="V1910" i="1" s="1"/>
  <c r="T1910" i="1"/>
  <c r="S1910" i="1"/>
  <c r="R1910" i="1"/>
  <c r="P1910" i="1"/>
  <c r="O1910" i="1"/>
  <c r="N1910" i="1"/>
  <c r="Q1910" i="1" s="1"/>
  <c r="M1910" i="1"/>
  <c r="L1910" i="1"/>
  <c r="U1909" i="1"/>
  <c r="V1909" i="1" s="1"/>
  <c r="T1909" i="1"/>
  <c r="S1909" i="1"/>
  <c r="R1909" i="1"/>
  <c r="Q1909" i="1"/>
  <c r="P1909" i="1"/>
  <c r="O1909" i="1"/>
  <c r="N1909" i="1"/>
  <c r="M1909" i="1"/>
  <c r="L1909" i="1"/>
  <c r="U1908" i="1"/>
  <c r="V1908" i="1" s="1"/>
  <c r="T1908" i="1"/>
  <c r="S1908" i="1"/>
  <c r="R1908" i="1"/>
  <c r="Q1908" i="1"/>
  <c r="P1908" i="1"/>
  <c r="O1908" i="1"/>
  <c r="N1908" i="1"/>
  <c r="M1908" i="1"/>
  <c r="L1908" i="1"/>
  <c r="U1907" i="1"/>
  <c r="V1907" i="1" s="1"/>
  <c r="T1907" i="1"/>
  <c r="S1907" i="1"/>
  <c r="R1907" i="1"/>
  <c r="P1907" i="1"/>
  <c r="O1907" i="1"/>
  <c r="N1907" i="1"/>
  <c r="Q1907" i="1" s="1"/>
  <c r="M1907" i="1"/>
  <c r="L1907" i="1"/>
  <c r="U1906" i="1"/>
  <c r="V1906" i="1" s="1"/>
  <c r="T1906" i="1"/>
  <c r="S1906" i="1"/>
  <c r="R1906" i="1"/>
  <c r="Q1906" i="1"/>
  <c r="P1906" i="1"/>
  <c r="O1906" i="1"/>
  <c r="N1906" i="1"/>
  <c r="M1906" i="1"/>
  <c r="L1906" i="1"/>
  <c r="U1905" i="1"/>
  <c r="V1905" i="1" s="1"/>
  <c r="T1905" i="1"/>
  <c r="S1905" i="1"/>
  <c r="R1905" i="1"/>
  <c r="Q1905" i="1"/>
  <c r="P1905" i="1"/>
  <c r="O1905" i="1"/>
  <c r="N1905" i="1"/>
  <c r="M1905" i="1"/>
  <c r="L1905" i="1"/>
  <c r="V1904" i="1"/>
  <c r="U1904" i="1"/>
  <c r="T1904" i="1"/>
  <c r="S1904" i="1"/>
  <c r="R1904" i="1"/>
  <c r="P1904" i="1"/>
  <c r="O1904" i="1"/>
  <c r="N1904" i="1"/>
  <c r="Q1904" i="1" s="1"/>
  <c r="M1904" i="1"/>
  <c r="L1904" i="1"/>
  <c r="V1903" i="1"/>
  <c r="U1903" i="1"/>
  <c r="T1903" i="1"/>
  <c r="S1903" i="1"/>
  <c r="R1903" i="1"/>
  <c r="Q1903" i="1"/>
  <c r="P1903" i="1"/>
  <c r="O1903" i="1"/>
  <c r="N1903" i="1"/>
  <c r="M1903" i="1"/>
  <c r="L1903" i="1"/>
  <c r="U1902" i="1"/>
  <c r="V1902" i="1" s="1"/>
  <c r="T1902" i="1"/>
  <c r="S1902" i="1"/>
  <c r="R1902" i="1"/>
  <c r="P1902" i="1"/>
  <c r="O1902" i="1"/>
  <c r="N1902" i="1"/>
  <c r="Q1902" i="1" s="1"/>
  <c r="M1902" i="1"/>
  <c r="L1902" i="1"/>
  <c r="U1901" i="1"/>
  <c r="V1901" i="1" s="1"/>
  <c r="T1901" i="1"/>
  <c r="S1901" i="1"/>
  <c r="R1901" i="1"/>
  <c r="Q1901" i="1"/>
  <c r="P1901" i="1"/>
  <c r="O1901" i="1"/>
  <c r="N1901" i="1"/>
  <c r="M1901" i="1"/>
  <c r="L1901" i="1"/>
  <c r="U1900" i="1"/>
  <c r="V1900" i="1" s="1"/>
  <c r="T1900" i="1"/>
  <c r="S1900" i="1"/>
  <c r="R1900" i="1"/>
  <c r="Q1900" i="1"/>
  <c r="P1900" i="1"/>
  <c r="O1900" i="1"/>
  <c r="N1900" i="1"/>
  <c r="M1900" i="1"/>
  <c r="L1900" i="1"/>
  <c r="U1899" i="1"/>
  <c r="V1899" i="1" s="1"/>
  <c r="T1899" i="1"/>
  <c r="S1899" i="1"/>
  <c r="R1899" i="1"/>
  <c r="P1899" i="1"/>
  <c r="O1899" i="1"/>
  <c r="N1899" i="1"/>
  <c r="Q1899" i="1" s="1"/>
  <c r="M1899" i="1"/>
  <c r="L1899" i="1"/>
  <c r="U1898" i="1"/>
  <c r="V1898" i="1" s="1"/>
  <c r="T1898" i="1"/>
  <c r="S1898" i="1"/>
  <c r="R1898" i="1"/>
  <c r="Q1898" i="1"/>
  <c r="P1898" i="1"/>
  <c r="O1898" i="1"/>
  <c r="N1898" i="1"/>
  <c r="M1898" i="1"/>
  <c r="L1898" i="1"/>
  <c r="U1897" i="1"/>
  <c r="V1897" i="1" s="1"/>
  <c r="T1897" i="1"/>
  <c r="S1897" i="1"/>
  <c r="R1897" i="1"/>
  <c r="Q1897" i="1"/>
  <c r="P1897" i="1"/>
  <c r="O1897" i="1"/>
  <c r="N1897" i="1"/>
  <c r="M1897" i="1"/>
  <c r="L1897" i="1"/>
  <c r="V1896" i="1"/>
  <c r="U1896" i="1"/>
  <c r="T1896" i="1"/>
  <c r="S1896" i="1"/>
  <c r="R1896" i="1"/>
  <c r="P1896" i="1"/>
  <c r="O1896" i="1"/>
  <c r="N1896" i="1"/>
  <c r="Q1896" i="1" s="1"/>
  <c r="M1896" i="1"/>
  <c r="L1896" i="1"/>
  <c r="V1895" i="1"/>
  <c r="U1895" i="1"/>
  <c r="T1895" i="1"/>
  <c r="S1895" i="1"/>
  <c r="R1895" i="1"/>
  <c r="Q1895" i="1"/>
  <c r="P1895" i="1"/>
  <c r="O1895" i="1"/>
  <c r="N1895" i="1"/>
  <c r="M1895" i="1"/>
  <c r="L1895" i="1"/>
  <c r="U1894" i="1"/>
  <c r="V1894" i="1" s="1"/>
  <c r="T1894" i="1"/>
  <c r="S1894" i="1"/>
  <c r="R1894" i="1"/>
  <c r="P1894" i="1"/>
  <c r="O1894" i="1"/>
  <c r="N1894" i="1"/>
  <c r="Q1894" i="1" s="1"/>
  <c r="M1894" i="1"/>
  <c r="L1894" i="1"/>
  <c r="U1893" i="1"/>
  <c r="V1893" i="1" s="1"/>
  <c r="T1893" i="1"/>
  <c r="S1893" i="1"/>
  <c r="R1893" i="1"/>
  <c r="Q1893" i="1"/>
  <c r="P1893" i="1"/>
  <c r="O1893" i="1"/>
  <c r="N1893" i="1"/>
  <c r="M1893" i="1"/>
  <c r="L1893" i="1"/>
  <c r="U1892" i="1"/>
  <c r="V1892" i="1" s="1"/>
  <c r="T1892" i="1"/>
  <c r="S1892" i="1"/>
  <c r="R1892" i="1"/>
  <c r="Q1892" i="1"/>
  <c r="P1892" i="1"/>
  <c r="O1892" i="1"/>
  <c r="N1892" i="1"/>
  <c r="M1892" i="1"/>
  <c r="L1892" i="1"/>
  <c r="U1891" i="1"/>
  <c r="V1891" i="1" s="1"/>
  <c r="T1891" i="1"/>
  <c r="S1891" i="1"/>
  <c r="R1891" i="1"/>
  <c r="P1891" i="1"/>
  <c r="O1891" i="1"/>
  <c r="N1891" i="1"/>
  <c r="Q1891" i="1" s="1"/>
  <c r="M1891" i="1"/>
  <c r="L1891" i="1"/>
  <c r="U1890" i="1"/>
  <c r="V1890" i="1" s="1"/>
  <c r="T1890" i="1"/>
  <c r="S1890" i="1"/>
  <c r="R1890" i="1"/>
  <c r="Q1890" i="1"/>
  <c r="P1890" i="1"/>
  <c r="O1890" i="1"/>
  <c r="N1890" i="1"/>
  <c r="M1890" i="1"/>
  <c r="L1890" i="1"/>
  <c r="U1889" i="1"/>
  <c r="V1889" i="1" s="1"/>
  <c r="T1889" i="1"/>
  <c r="S1889" i="1"/>
  <c r="R1889" i="1"/>
  <c r="Q1889" i="1"/>
  <c r="P1889" i="1"/>
  <c r="O1889" i="1"/>
  <c r="N1889" i="1"/>
  <c r="M1889" i="1"/>
  <c r="L1889" i="1"/>
  <c r="V1888" i="1"/>
  <c r="U1888" i="1"/>
  <c r="T1888" i="1"/>
  <c r="S1888" i="1"/>
  <c r="R1888" i="1"/>
  <c r="P1888" i="1"/>
  <c r="O1888" i="1"/>
  <c r="N1888" i="1"/>
  <c r="Q1888" i="1" s="1"/>
  <c r="M1888" i="1"/>
  <c r="L1888" i="1"/>
  <c r="V1887" i="1"/>
  <c r="U1887" i="1"/>
  <c r="T1887" i="1"/>
  <c r="S1887" i="1"/>
  <c r="R1887" i="1"/>
  <c r="Q1887" i="1"/>
  <c r="P1887" i="1"/>
  <c r="O1887" i="1"/>
  <c r="N1887" i="1"/>
  <c r="M1887" i="1"/>
  <c r="L1887" i="1"/>
  <c r="U1886" i="1"/>
  <c r="V1886" i="1" s="1"/>
  <c r="T1886" i="1"/>
  <c r="S1886" i="1"/>
  <c r="R1886" i="1"/>
  <c r="P1886" i="1"/>
  <c r="O1886" i="1"/>
  <c r="N1886" i="1"/>
  <c r="Q1886" i="1" s="1"/>
  <c r="M1886" i="1"/>
  <c r="L1886" i="1"/>
  <c r="U1885" i="1"/>
  <c r="V1885" i="1" s="1"/>
  <c r="T1885" i="1"/>
  <c r="S1885" i="1"/>
  <c r="R1885" i="1"/>
  <c r="Q1885" i="1"/>
  <c r="P1885" i="1"/>
  <c r="O1885" i="1"/>
  <c r="N1885" i="1"/>
  <c r="M1885" i="1"/>
  <c r="L1885" i="1"/>
  <c r="U1884" i="1"/>
  <c r="V1884" i="1" s="1"/>
  <c r="T1884" i="1"/>
  <c r="S1884" i="1"/>
  <c r="R1884" i="1"/>
  <c r="Q1884" i="1"/>
  <c r="P1884" i="1"/>
  <c r="O1884" i="1"/>
  <c r="N1884" i="1"/>
  <c r="M1884" i="1"/>
  <c r="L1884" i="1"/>
  <c r="U1883" i="1"/>
  <c r="V1883" i="1" s="1"/>
  <c r="T1883" i="1"/>
  <c r="S1883" i="1"/>
  <c r="R1883" i="1"/>
  <c r="P1883" i="1"/>
  <c r="O1883" i="1"/>
  <c r="N1883" i="1"/>
  <c r="Q1883" i="1" s="1"/>
  <c r="M1883" i="1"/>
  <c r="L1883" i="1"/>
  <c r="U1882" i="1"/>
  <c r="V1882" i="1" s="1"/>
  <c r="T1882" i="1"/>
  <c r="S1882" i="1"/>
  <c r="R1882" i="1"/>
  <c r="Q1882" i="1"/>
  <c r="P1882" i="1"/>
  <c r="O1882" i="1"/>
  <c r="N1882" i="1"/>
  <c r="M1882" i="1"/>
  <c r="L1882" i="1"/>
  <c r="U1881" i="1"/>
  <c r="V1881" i="1" s="1"/>
  <c r="T1881" i="1"/>
  <c r="S1881" i="1"/>
  <c r="R1881" i="1"/>
  <c r="Q1881" i="1"/>
  <c r="P1881" i="1"/>
  <c r="O1881" i="1"/>
  <c r="N1881" i="1"/>
  <c r="M1881" i="1"/>
  <c r="L1881" i="1"/>
  <c r="V1880" i="1"/>
  <c r="U1880" i="1"/>
  <c r="T1880" i="1"/>
  <c r="S1880" i="1"/>
  <c r="R1880" i="1"/>
  <c r="P1880" i="1"/>
  <c r="O1880" i="1"/>
  <c r="N1880" i="1"/>
  <c r="Q1880" i="1" s="1"/>
  <c r="M1880" i="1"/>
  <c r="L1880" i="1"/>
  <c r="V1879" i="1"/>
  <c r="U1879" i="1"/>
  <c r="T1879" i="1"/>
  <c r="S1879" i="1"/>
  <c r="R1879" i="1"/>
  <c r="Q1879" i="1"/>
  <c r="P1879" i="1"/>
  <c r="O1879" i="1"/>
  <c r="N1879" i="1"/>
  <c r="M1879" i="1"/>
  <c r="L1879" i="1"/>
  <c r="U1878" i="1"/>
  <c r="V1878" i="1" s="1"/>
  <c r="T1878" i="1"/>
  <c r="S1878" i="1"/>
  <c r="R1878" i="1"/>
  <c r="P1878" i="1"/>
  <c r="O1878" i="1"/>
  <c r="N1878" i="1"/>
  <c r="Q1878" i="1" s="1"/>
  <c r="M1878" i="1"/>
  <c r="L1878" i="1"/>
  <c r="U1877" i="1"/>
  <c r="V1877" i="1" s="1"/>
  <c r="T1877" i="1"/>
  <c r="S1877" i="1"/>
  <c r="R1877" i="1"/>
  <c r="Q1877" i="1"/>
  <c r="P1877" i="1"/>
  <c r="O1877" i="1"/>
  <c r="N1877" i="1"/>
  <c r="M1877" i="1"/>
  <c r="L1877" i="1"/>
  <c r="U1876" i="1"/>
  <c r="V1876" i="1" s="1"/>
  <c r="T1876" i="1"/>
  <c r="S1876" i="1"/>
  <c r="R1876" i="1"/>
  <c r="Q1876" i="1"/>
  <c r="P1876" i="1"/>
  <c r="O1876" i="1"/>
  <c r="N1876" i="1"/>
  <c r="M1876" i="1"/>
  <c r="L1876" i="1"/>
  <c r="U1875" i="1"/>
  <c r="V1875" i="1" s="1"/>
  <c r="T1875" i="1"/>
  <c r="S1875" i="1"/>
  <c r="R1875" i="1"/>
  <c r="P1875" i="1"/>
  <c r="O1875" i="1"/>
  <c r="N1875" i="1"/>
  <c r="Q1875" i="1" s="1"/>
  <c r="M1875" i="1"/>
  <c r="L1875" i="1"/>
  <c r="U1874" i="1"/>
  <c r="V1874" i="1" s="1"/>
  <c r="T1874" i="1"/>
  <c r="S1874" i="1"/>
  <c r="R1874" i="1"/>
  <c r="Q1874" i="1"/>
  <c r="P1874" i="1"/>
  <c r="O1874" i="1"/>
  <c r="N1874" i="1"/>
  <c r="M1874" i="1"/>
  <c r="L1874" i="1"/>
  <c r="U1873" i="1"/>
  <c r="V1873" i="1" s="1"/>
  <c r="T1873" i="1"/>
  <c r="S1873" i="1"/>
  <c r="R1873" i="1"/>
  <c r="Q1873" i="1"/>
  <c r="P1873" i="1"/>
  <c r="O1873" i="1"/>
  <c r="N1873" i="1"/>
  <c r="M1873" i="1"/>
  <c r="L1873" i="1"/>
  <c r="V1872" i="1"/>
  <c r="U1872" i="1"/>
  <c r="T1872" i="1"/>
  <c r="S1872" i="1"/>
  <c r="R1872" i="1"/>
  <c r="P1872" i="1"/>
  <c r="O1872" i="1"/>
  <c r="N1872" i="1"/>
  <c r="Q1872" i="1" s="1"/>
  <c r="M1872" i="1"/>
  <c r="L1872" i="1"/>
  <c r="V1871" i="1"/>
  <c r="U1871" i="1"/>
  <c r="T1871" i="1"/>
  <c r="S1871" i="1"/>
  <c r="R1871" i="1"/>
  <c r="Q1871" i="1"/>
  <c r="P1871" i="1"/>
  <c r="O1871" i="1"/>
  <c r="N1871" i="1"/>
  <c r="M1871" i="1"/>
  <c r="L1871" i="1"/>
  <c r="U1870" i="1"/>
  <c r="V1870" i="1" s="1"/>
  <c r="T1870" i="1"/>
  <c r="S1870" i="1"/>
  <c r="R1870" i="1"/>
  <c r="P1870" i="1"/>
  <c r="O1870" i="1"/>
  <c r="N1870" i="1"/>
  <c r="Q1870" i="1" s="1"/>
  <c r="M1870" i="1"/>
  <c r="L1870" i="1"/>
  <c r="U1869" i="1"/>
  <c r="V1869" i="1" s="1"/>
  <c r="T1869" i="1"/>
  <c r="S1869" i="1"/>
  <c r="R1869" i="1"/>
  <c r="Q1869" i="1"/>
  <c r="P1869" i="1"/>
  <c r="O1869" i="1"/>
  <c r="N1869" i="1"/>
  <c r="M1869" i="1"/>
  <c r="L1869" i="1"/>
  <c r="U1868" i="1"/>
  <c r="V1868" i="1" s="1"/>
  <c r="T1868" i="1"/>
  <c r="S1868" i="1"/>
  <c r="R1868" i="1"/>
  <c r="Q1868" i="1"/>
  <c r="P1868" i="1"/>
  <c r="O1868" i="1"/>
  <c r="N1868" i="1"/>
  <c r="M1868" i="1"/>
  <c r="L1868" i="1"/>
  <c r="U1867" i="1"/>
  <c r="V1867" i="1" s="1"/>
  <c r="T1867" i="1"/>
  <c r="S1867" i="1"/>
  <c r="R1867" i="1"/>
  <c r="P1867" i="1"/>
  <c r="O1867" i="1"/>
  <c r="N1867" i="1"/>
  <c r="Q1867" i="1" s="1"/>
  <c r="M1867" i="1"/>
  <c r="L1867" i="1"/>
  <c r="U1866" i="1"/>
  <c r="V1866" i="1" s="1"/>
  <c r="T1866" i="1"/>
  <c r="S1866" i="1"/>
  <c r="R1866" i="1"/>
  <c r="Q1866" i="1"/>
  <c r="P1866" i="1"/>
  <c r="O1866" i="1"/>
  <c r="N1866" i="1"/>
  <c r="M1866" i="1"/>
  <c r="L1866" i="1"/>
  <c r="U1865" i="1"/>
  <c r="V1865" i="1" s="1"/>
  <c r="T1865" i="1"/>
  <c r="S1865" i="1"/>
  <c r="R1865" i="1"/>
  <c r="Q1865" i="1"/>
  <c r="P1865" i="1"/>
  <c r="O1865" i="1"/>
  <c r="N1865" i="1"/>
  <c r="M1865" i="1"/>
  <c r="L1865" i="1"/>
  <c r="V1864" i="1"/>
  <c r="U1864" i="1"/>
  <c r="T1864" i="1"/>
  <c r="S1864" i="1"/>
  <c r="R1864" i="1"/>
  <c r="P1864" i="1"/>
  <c r="O1864" i="1"/>
  <c r="N1864" i="1"/>
  <c r="Q1864" i="1" s="1"/>
  <c r="M1864" i="1"/>
  <c r="L1864" i="1"/>
  <c r="V1863" i="1"/>
  <c r="U1863" i="1"/>
  <c r="T1863" i="1"/>
  <c r="S1863" i="1"/>
  <c r="R1863" i="1"/>
  <c r="Q1863" i="1"/>
  <c r="P1863" i="1"/>
  <c r="O1863" i="1"/>
  <c r="N1863" i="1"/>
  <c r="M1863" i="1"/>
  <c r="L1863" i="1"/>
  <c r="U1862" i="1"/>
  <c r="V1862" i="1" s="1"/>
  <c r="T1862" i="1"/>
  <c r="S1862" i="1"/>
  <c r="R1862" i="1"/>
  <c r="P1862" i="1"/>
  <c r="O1862" i="1"/>
  <c r="N1862" i="1"/>
  <c r="Q1862" i="1" s="1"/>
  <c r="M1862" i="1"/>
  <c r="L1862" i="1"/>
  <c r="U1861" i="1"/>
  <c r="V1861" i="1" s="1"/>
  <c r="T1861" i="1"/>
  <c r="S1861" i="1"/>
  <c r="R1861" i="1"/>
  <c r="Q1861" i="1"/>
  <c r="P1861" i="1"/>
  <c r="O1861" i="1"/>
  <c r="N1861" i="1"/>
  <c r="M1861" i="1"/>
  <c r="L1861" i="1"/>
  <c r="U1860" i="1"/>
  <c r="V1860" i="1" s="1"/>
  <c r="T1860" i="1"/>
  <c r="S1860" i="1"/>
  <c r="R1860" i="1"/>
  <c r="Q1860" i="1"/>
  <c r="P1860" i="1"/>
  <c r="O1860" i="1"/>
  <c r="N1860" i="1"/>
  <c r="M1860" i="1"/>
  <c r="L1860" i="1"/>
  <c r="U1859" i="1"/>
  <c r="V1859" i="1" s="1"/>
  <c r="T1859" i="1"/>
  <c r="S1859" i="1"/>
  <c r="R1859" i="1"/>
  <c r="P1859" i="1"/>
  <c r="O1859" i="1"/>
  <c r="N1859" i="1"/>
  <c r="Q1859" i="1" s="1"/>
  <c r="M1859" i="1"/>
  <c r="L1859" i="1"/>
  <c r="U1858" i="1"/>
  <c r="V1858" i="1" s="1"/>
  <c r="T1858" i="1"/>
  <c r="S1858" i="1"/>
  <c r="R1858" i="1"/>
  <c r="Q1858" i="1"/>
  <c r="P1858" i="1"/>
  <c r="O1858" i="1"/>
  <c r="N1858" i="1"/>
  <c r="M1858" i="1"/>
  <c r="L1858" i="1"/>
  <c r="U1857" i="1"/>
  <c r="V1857" i="1" s="1"/>
  <c r="T1857" i="1"/>
  <c r="S1857" i="1"/>
  <c r="R1857" i="1"/>
  <c r="Q1857" i="1"/>
  <c r="P1857" i="1"/>
  <c r="O1857" i="1"/>
  <c r="N1857" i="1"/>
  <c r="M1857" i="1"/>
  <c r="L1857" i="1"/>
  <c r="V1856" i="1"/>
  <c r="U1856" i="1"/>
  <c r="T1856" i="1"/>
  <c r="S1856" i="1"/>
  <c r="R1856" i="1"/>
  <c r="P1856" i="1"/>
  <c r="O1856" i="1"/>
  <c r="N1856" i="1"/>
  <c r="Q1856" i="1" s="1"/>
  <c r="M1856" i="1"/>
  <c r="L1856" i="1"/>
  <c r="V1855" i="1"/>
  <c r="U1855" i="1"/>
  <c r="T1855" i="1"/>
  <c r="S1855" i="1"/>
  <c r="R1855" i="1"/>
  <c r="Q1855" i="1"/>
  <c r="P1855" i="1"/>
  <c r="O1855" i="1"/>
  <c r="N1855" i="1"/>
  <c r="M1855" i="1"/>
  <c r="L1855" i="1"/>
  <c r="U1854" i="1"/>
  <c r="V1854" i="1" s="1"/>
  <c r="T1854" i="1"/>
  <c r="S1854" i="1"/>
  <c r="R1854" i="1"/>
  <c r="P1854" i="1"/>
  <c r="O1854" i="1"/>
  <c r="N1854" i="1"/>
  <c r="Q1854" i="1" s="1"/>
  <c r="M1854" i="1"/>
  <c r="L1854" i="1"/>
  <c r="U1853" i="1"/>
  <c r="V1853" i="1" s="1"/>
  <c r="T1853" i="1"/>
  <c r="S1853" i="1"/>
  <c r="R1853" i="1"/>
  <c r="Q1853" i="1"/>
  <c r="P1853" i="1"/>
  <c r="O1853" i="1"/>
  <c r="N1853" i="1"/>
  <c r="M1853" i="1"/>
  <c r="L1853" i="1"/>
  <c r="U1852" i="1"/>
  <c r="V1852" i="1" s="1"/>
  <c r="T1852" i="1"/>
  <c r="S1852" i="1"/>
  <c r="R1852" i="1"/>
  <c r="Q1852" i="1"/>
  <c r="P1852" i="1"/>
  <c r="O1852" i="1"/>
  <c r="N1852" i="1"/>
  <c r="M1852" i="1"/>
  <c r="L1852" i="1"/>
  <c r="U1851" i="1"/>
  <c r="V1851" i="1" s="1"/>
  <c r="T1851" i="1"/>
  <c r="S1851" i="1"/>
  <c r="R1851" i="1"/>
  <c r="P1851" i="1"/>
  <c r="O1851" i="1"/>
  <c r="N1851" i="1"/>
  <c r="Q1851" i="1" s="1"/>
  <c r="M1851" i="1"/>
  <c r="L1851" i="1"/>
  <c r="U1850" i="1"/>
  <c r="V1850" i="1" s="1"/>
  <c r="T1850" i="1"/>
  <c r="S1850" i="1"/>
  <c r="R1850" i="1"/>
  <c r="Q1850" i="1"/>
  <c r="P1850" i="1"/>
  <c r="O1850" i="1"/>
  <c r="N1850" i="1"/>
  <c r="M1850" i="1"/>
  <c r="L1850" i="1"/>
  <c r="U1849" i="1"/>
  <c r="V1849" i="1" s="1"/>
  <c r="T1849" i="1"/>
  <c r="S1849" i="1"/>
  <c r="R1849" i="1"/>
  <c r="Q1849" i="1"/>
  <c r="P1849" i="1"/>
  <c r="O1849" i="1"/>
  <c r="N1849" i="1"/>
  <c r="M1849" i="1"/>
  <c r="L1849" i="1"/>
  <c r="V1848" i="1"/>
  <c r="U1848" i="1"/>
  <c r="T1848" i="1"/>
  <c r="S1848" i="1"/>
  <c r="R1848" i="1"/>
  <c r="P1848" i="1"/>
  <c r="O1848" i="1"/>
  <c r="N1848" i="1"/>
  <c r="Q1848" i="1" s="1"/>
  <c r="M1848" i="1"/>
  <c r="L1848" i="1"/>
  <c r="V1847" i="1"/>
  <c r="U1847" i="1"/>
  <c r="T1847" i="1"/>
  <c r="S1847" i="1"/>
  <c r="R1847" i="1"/>
  <c r="Q1847" i="1"/>
  <c r="P1847" i="1"/>
  <c r="O1847" i="1"/>
  <c r="N1847" i="1"/>
  <c r="M1847" i="1"/>
  <c r="L1847" i="1"/>
  <c r="U1846" i="1"/>
  <c r="V1846" i="1" s="1"/>
  <c r="T1846" i="1"/>
  <c r="S1846" i="1"/>
  <c r="R1846" i="1"/>
  <c r="P1846" i="1"/>
  <c r="O1846" i="1"/>
  <c r="N1846" i="1"/>
  <c r="Q1846" i="1" s="1"/>
  <c r="M1846" i="1"/>
  <c r="L1846" i="1"/>
  <c r="U1845" i="1"/>
  <c r="V1845" i="1" s="1"/>
  <c r="T1845" i="1"/>
  <c r="S1845" i="1"/>
  <c r="R1845" i="1"/>
  <c r="Q1845" i="1"/>
  <c r="P1845" i="1"/>
  <c r="O1845" i="1"/>
  <c r="N1845" i="1"/>
  <c r="M1845" i="1"/>
  <c r="L1845" i="1"/>
  <c r="U1844" i="1"/>
  <c r="V1844" i="1" s="1"/>
  <c r="T1844" i="1"/>
  <c r="S1844" i="1"/>
  <c r="R1844" i="1"/>
  <c r="Q1844" i="1"/>
  <c r="P1844" i="1"/>
  <c r="O1844" i="1"/>
  <c r="N1844" i="1"/>
  <c r="M1844" i="1"/>
  <c r="L1844" i="1"/>
  <c r="U1843" i="1"/>
  <c r="V1843" i="1" s="1"/>
  <c r="T1843" i="1"/>
  <c r="S1843" i="1"/>
  <c r="R1843" i="1"/>
  <c r="P1843" i="1"/>
  <c r="O1843" i="1"/>
  <c r="N1843" i="1"/>
  <c r="Q1843" i="1" s="1"/>
  <c r="M1843" i="1"/>
  <c r="L1843" i="1"/>
  <c r="U1842" i="1"/>
  <c r="V1842" i="1" s="1"/>
  <c r="T1842" i="1"/>
  <c r="S1842" i="1"/>
  <c r="R1842" i="1"/>
  <c r="Q1842" i="1"/>
  <c r="P1842" i="1"/>
  <c r="O1842" i="1"/>
  <c r="N1842" i="1"/>
  <c r="M1842" i="1"/>
  <c r="L1842" i="1"/>
  <c r="U1841" i="1"/>
  <c r="V1841" i="1" s="1"/>
  <c r="T1841" i="1"/>
  <c r="S1841" i="1"/>
  <c r="R1841" i="1"/>
  <c r="Q1841" i="1"/>
  <c r="P1841" i="1"/>
  <c r="O1841" i="1"/>
  <c r="N1841" i="1"/>
  <c r="M1841" i="1"/>
  <c r="L1841" i="1"/>
  <c r="V1840" i="1"/>
  <c r="U1840" i="1"/>
  <c r="T1840" i="1"/>
  <c r="S1840" i="1"/>
  <c r="R1840" i="1"/>
  <c r="P1840" i="1"/>
  <c r="O1840" i="1"/>
  <c r="N1840" i="1"/>
  <c r="Q1840" i="1" s="1"/>
  <c r="M1840" i="1"/>
  <c r="L1840" i="1"/>
  <c r="V1839" i="1"/>
  <c r="U1839" i="1"/>
  <c r="T1839" i="1"/>
  <c r="S1839" i="1"/>
  <c r="R1839" i="1"/>
  <c r="Q1839" i="1"/>
  <c r="P1839" i="1"/>
  <c r="O1839" i="1"/>
  <c r="N1839" i="1"/>
  <c r="M1839" i="1"/>
  <c r="L1839" i="1"/>
  <c r="U1838" i="1"/>
  <c r="V1838" i="1" s="1"/>
  <c r="T1838" i="1"/>
  <c r="S1838" i="1"/>
  <c r="R1838" i="1"/>
  <c r="P1838" i="1"/>
  <c r="O1838" i="1"/>
  <c r="N1838" i="1"/>
  <c r="Q1838" i="1" s="1"/>
  <c r="M1838" i="1"/>
  <c r="L1838" i="1"/>
  <c r="U1837" i="1"/>
  <c r="V1837" i="1" s="1"/>
  <c r="T1837" i="1"/>
  <c r="S1837" i="1"/>
  <c r="R1837" i="1"/>
  <c r="Q1837" i="1"/>
  <c r="P1837" i="1"/>
  <c r="O1837" i="1"/>
  <c r="N1837" i="1"/>
  <c r="M1837" i="1"/>
  <c r="L1837" i="1"/>
  <c r="U1836" i="1"/>
  <c r="V1836" i="1" s="1"/>
  <c r="T1836" i="1"/>
  <c r="S1836" i="1"/>
  <c r="R1836" i="1"/>
  <c r="Q1836" i="1"/>
  <c r="P1836" i="1"/>
  <c r="O1836" i="1"/>
  <c r="N1836" i="1"/>
  <c r="M1836" i="1"/>
  <c r="L1836" i="1"/>
  <c r="U1835" i="1"/>
  <c r="V1835" i="1" s="1"/>
  <c r="T1835" i="1"/>
  <c r="S1835" i="1"/>
  <c r="R1835" i="1"/>
  <c r="P1835" i="1"/>
  <c r="O1835" i="1"/>
  <c r="N1835" i="1"/>
  <c r="Q1835" i="1" s="1"/>
  <c r="M1835" i="1"/>
  <c r="L1835" i="1"/>
  <c r="U1834" i="1"/>
  <c r="V1834" i="1" s="1"/>
  <c r="T1834" i="1"/>
  <c r="S1834" i="1"/>
  <c r="R1834" i="1"/>
  <c r="Q1834" i="1"/>
  <c r="P1834" i="1"/>
  <c r="O1834" i="1"/>
  <c r="N1834" i="1"/>
  <c r="M1834" i="1"/>
  <c r="L1834" i="1"/>
  <c r="U1833" i="1"/>
  <c r="V1833" i="1" s="1"/>
  <c r="T1833" i="1"/>
  <c r="S1833" i="1"/>
  <c r="R1833" i="1"/>
  <c r="Q1833" i="1"/>
  <c r="P1833" i="1"/>
  <c r="O1833" i="1"/>
  <c r="N1833" i="1"/>
  <c r="M1833" i="1"/>
  <c r="L1833" i="1"/>
  <c r="V1832" i="1"/>
  <c r="U1832" i="1"/>
  <c r="T1832" i="1"/>
  <c r="S1832" i="1"/>
  <c r="R1832" i="1"/>
  <c r="P1832" i="1"/>
  <c r="O1832" i="1"/>
  <c r="N1832" i="1"/>
  <c r="Q1832" i="1" s="1"/>
  <c r="M1832" i="1"/>
  <c r="L1832" i="1"/>
  <c r="V1831" i="1"/>
  <c r="U1831" i="1"/>
  <c r="T1831" i="1"/>
  <c r="S1831" i="1"/>
  <c r="R1831" i="1"/>
  <c r="Q1831" i="1"/>
  <c r="P1831" i="1"/>
  <c r="O1831" i="1"/>
  <c r="N1831" i="1"/>
  <c r="M1831" i="1"/>
  <c r="L1831" i="1"/>
  <c r="U1830" i="1"/>
  <c r="V1830" i="1" s="1"/>
  <c r="T1830" i="1"/>
  <c r="S1830" i="1"/>
  <c r="R1830" i="1"/>
  <c r="P1830" i="1"/>
  <c r="O1830" i="1"/>
  <c r="N1830" i="1"/>
  <c r="Q1830" i="1" s="1"/>
  <c r="M1830" i="1"/>
  <c r="L1830" i="1"/>
  <c r="U1829" i="1"/>
  <c r="V1829" i="1" s="1"/>
  <c r="T1829" i="1"/>
  <c r="S1829" i="1"/>
  <c r="R1829" i="1"/>
  <c r="Q1829" i="1"/>
  <c r="P1829" i="1"/>
  <c r="O1829" i="1"/>
  <c r="N1829" i="1"/>
  <c r="M1829" i="1"/>
  <c r="L1829" i="1"/>
  <c r="U1828" i="1"/>
  <c r="V1828" i="1" s="1"/>
  <c r="T1828" i="1"/>
  <c r="S1828" i="1"/>
  <c r="R1828" i="1"/>
  <c r="Q1828" i="1"/>
  <c r="P1828" i="1"/>
  <c r="O1828" i="1"/>
  <c r="N1828" i="1"/>
  <c r="M1828" i="1"/>
  <c r="L1828" i="1"/>
  <c r="V1827" i="1"/>
  <c r="U1827" i="1"/>
  <c r="T1827" i="1"/>
  <c r="S1827" i="1"/>
  <c r="R1827" i="1"/>
  <c r="P1827" i="1"/>
  <c r="O1827" i="1"/>
  <c r="N1827" i="1"/>
  <c r="Q1827" i="1" s="1"/>
  <c r="M1827" i="1"/>
  <c r="L1827" i="1"/>
  <c r="U1826" i="1"/>
  <c r="V1826" i="1" s="1"/>
  <c r="T1826" i="1"/>
  <c r="S1826" i="1"/>
  <c r="R1826" i="1"/>
  <c r="Q1826" i="1"/>
  <c r="P1826" i="1"/>
  <c r="O1826" i="1"/>
  <c r="N1826" i="1"/>
  <c r="M1826" i="1"/>
  <c r="L1826" i="1"/>
  <c r="U1825" i="1"/>
  <c r="V1825" i="1" s="1"/>
  <c r="T1825" i="1"/>
  <c r="S1825" i="1"/>
  <c r="R1825" i="1"/>
  <c r="Q1825" i="1"/>
  <c r="P1825" i="1"/>
  <c r="O1825" i="1"/>
  <c r="N1825" i="1"/>
  <c r="M1825" i="1"/>
  <c r="L1825" i="1"/>
  <c r="V1824" i="1"/>
  <c r="U1824" i="1"/>
  <c r="T1824" i="1"/>
  <c r="S1824" i="1"/>
  <c r="R1824" i="1"/>
  <c r="P1824" i="1"/>
  <c r="O1824" i="1"/>
  <c r="N1824" i="1"/>
  <c r="Q1824" i="1" s="1"/>
  <c r="M1824" i="1"/>
  <c r="L1824" i="1"/>
  <c r="V1823" i="1"/>
  <c r="U1823" i="1"/>
  <c r="T1823" i="1"/>
  <c r="S1823" i="1"/>
  <c r="R1823" i="1"/>
  <c r="Q1823" i="1"/>
  <c r="P1823" i="1"/>
  <c r="O1823" i="1"/>
  <c r="N1823" i="1"/>
  <c r="M1823" i="1"/>
  <c r="L1823" i="1"/>
  <c r="U1822" i="1"/>
  <c r="V1822" i="1" s="1"/>
  <c r="T1822" i="1"/>
  <c r="S1822" i="1"/>
  <c r="R1822" i="1"/>
  <c r="P1822" i="1"/>
  <c r="O1822" i="1"/>
  <c r="N1822" i="1"/>
  <c r="Q1822" i="1" s="1"/>
  <c r="M1822" i="1"/>
  <c r="L1822" i="1"/>
  <c r="U1821" i="1"/>
  <c r="V1821" i="1" s="1"/>
  <c r="T1821" i="1"/>
  <c r="S1821" i="1"/>
  <c r="R1821" i="1"/>
  <c r="Q1821" i="1"/>
  <c r="P1821" i="1"/>
  <c r="O1821" i="1"/>
  <c r="N1821" i="1"/>
  <c r="M1821" i="1"/>
  <c r="L1821" i="1"/>
  <c r="U1820" i="1"/>
  <c r="V1820" i="1" s="1"/>
  <c r="T1820" i="1"/>
  <c r="S1820" i="1"/>
  <c r="R1820" i="1"/>
  <c r="Q1820" i="1"/>
  <c r="P1820" i="1"/>
  <c r="O1820" i="1"/>
  <c r="N1820" i="1"/>
  <c r="M1820" i="1"/>
  <c r="L1820" i="1"/>
  <c r="V1819" i="1"/>
  <c r="U1819" i="1"/>
  <c r="T1819" i="1"/>
  <c r="S1819" i="1"/>
  <c r="R1819" i="1"/>
  <c r="P1819" i="1"/>
  <c r="O1819" i="1"/>
  <c r="N1819" i="1"/>
  <c r="Q1819" i="1" s="1"/>
  <c r="M1819" i="1"/>
  <c r="L1819" i="1"/>
  <c r="U1818" i="1"/>
  <c r="V1818" i="1" s="1"/>
  <c r="T1818" i="1"/>
  <c r="S1818" i="1"/>
  <c r="R1818" i="1"/>
  <c r="Q1818" i="1"/>
  <c r="P1818" i="1"/>
  <c r="O1818" i="1"/>
  <c r="N1818" i="1"/>
  <c r="M1818" i="1"/>
  <c r="L1818" i="1"/>
  <c r="U1817" i="1"/>
  <c r="V1817" i="1" s="1"/>
  <c r="T1817" i="1"/>
  <c r="S1817" i="1"/>
  <c r="R1817" i="1"/>
  <c r="Q1817" i="1"/>
  <c r="P1817" i="1"/>
  <c r="O1817" i="1"/>
  <c r="N1817" i="1"/>
  <c r="M1817" i="1"/>
  <c r="L1817" i="1"/>
  <c r="V1816" i="1"/>
  <c r="U1816" i="1"/>
  <c r="T1816" i="1"/>
  <c r="S1816" i="1"/>
  <c r="R1816" i="1"/>
  <c r="P1816" i="1"/>
  <c r="O1816" i="1"/>
  <c r="N1816" i="1"/>
  <c r="Q1816" i="1" s="1"/>
  <c r="M1816" i="1"/>
  <c r="L1816" i="1"/>
  <c r="V1815" i="1"/>
  <c r="U1815" i="1"/>
  <c r="T1815" i="1"/>
  <c r="S1815" i="1"/>
  <c r="R1815" i="1"/>
  <c r="Q1815" i="1"/>
  <c r="P1815" i="1"/>
  <c r="O1815" i="1"/>
  <c r="N1815" i="1"/>
  <c r="M1815" i="1"/>
  <c r="L1815" i="1"/>
  <c r="U1814" i="1"/>
  <c r="V1814" i="1" s="1"/>
  <c r="T1814" i="1"/>
  <c r="S1814" i="1"/>
  <c r="R1814" i="1"/>
  <c r="P1814" i="1"/>
  <c r="O1814" i="1"/>
  <c r="N1814" i="1"/>
  <c r="Q1814" i="1" s="1"/>
  <c r="M1814" i="1"/>
  <c r="L1814" i="1"/>
  <c r="U1813" i="1"/>
  <c r="V1813" i="1" s="1"/>
  <c r="T1813" i="1"/>
  <c r="S1813" i="1"/>
  <c r="R1813" i="1"/>
  <c r="Q1813" i="1"/>
  <c r="P1813" i="1"/>
  <c r="O1813" i="1"/>
  <c r="N1813" i="1"/>
  <c r="M1813" i="1"/>
  <c r="L1813" i="1"/>
  <c r="U1812" i="1"/>
  <c r="V1812" i="1" s="1"/>
  <c r="T1812" i="1"/>
  <c r="S1812" i="1"/>
  <c r="R1812" i="1"/>
  <c r="Q1812" i="1"/>
  <c r="P1812" i="1"/>
  <c r="O1812" i="1"/>
  <c r="N1812" i="1"/>
  <c r="M1812" i="1"/>
  <c r="L1812" i="1"/>
  <c r="V1811" i="1"/>
  <c r="U1811" i="1"/>
  <c r="T1811" i="1"/>
  <c r="S1811" i="1"/>
  <c r="R1811" i="1"/>
  <c r="P1811" i="1"/>
  <c r="O1811" i="1"/>
  <c r="N1811" i="1"/>
  <c r="Q1811" i="1" s="1"/>
  <c r="M1811" i="1"/>
  <c r="L1811" i="1"/>
  <c r="U1810" i="1"/>
  <c r="V1810" i="1" s="1"/>
  <c r="T1810" i="1"/>
  <c r="S1810" i="1"/>
  <c r="R1810" i="1"/>
  <c r="Q1810" i="1"/>
  <c r="P1810" i="1"/>
  <c r="O1810" i="1"/>
  <c r="N1810" i="1"/>
  <c r="M1810" i="1"/>
  <c r="L1810" i="1"/>
  <c r="U1809" i="1"/>
  <c r="V1809" i="1" s="1"/>
  <c r="T1809" i="1"/>
  <c r="S1809" i="1"/>
  <c r="R1809" i="1"/>
  <c r="Q1809" i="1"/>
  <c r="P1809" i="1"/>
  <c r="O1809" i="1"/>
  <c r="N1809" i="1"/>
  <c r="M1809" i="1"/>
  <c r="L1809" i="1"/>
  <c r="V1808" i="1"/>
  <c r="U1808" i="1"/>
  <c r="T1808" i="1"/>
  <c r="S1808" i="1"/>
  <c r="R1808" i="1"/>
  <c r="P1808" i="1"/>
  <c r="O1808" i="1"/>
  <c r="N1808" i="1"/>
  <c r="Q1808" i="1" s="1"/>
  <c r="M1808" i="1"/>
  <c r="L1808" i="1"/>
  <c r="V1807" i="1"/>
  <c r="U1807" i="1"/>
  <c r="T1807" i="1"/>
  <c r="S1807" i="1"/>
  <c r="R1807" i="1"/>
  <c r="Q1807" i="1"/>
  <c r="P1807" i="1"/>
  <c r="O1807" i="1"/>
  <c r="N1807" i="1"/>
  <c r="M1807" i="1"/>
  <c r="L1807" i="1"/>
  <c r="U1806" i="1"/>
  <c r="V1806" i="1" s="1"/>
  <c r="T1806" i="1"/>
  <c r="S1806" i="1"/>
  <c r="R1806" i="1"/>
  <c r="P1806" i="1"/>
  <c r="O1806" i="1"/>
  <c r="N1806" i="1"/>
  <c r="Q1806" i="1" s="1"/>
  <c r="M1806" i="1"/>
  <c r="L1806" i="1"/>
  <c r="U1805" i="1"/>
  <c r="V1805" i="1" s="1"/>
  <c r="T1805" i="1"/>
  <c r="S1805" i="1"/>
  <c r="R1805" i="1"/>
  <c r="Q1805" i="1"/>
  <c r="P1805" i="1"/>
  <c r="O1805" i="1"/>
  <c r="N1805" i="1"/>
  <c r="M1805" i="1"/>
  <c r="L1805" i="1"/>
  <c r="U1804" i="1"/>
  <c r="V1804" i="1" s="1"/>
  <c r="T1804" i="1"/>
  <c r="S1804" i="1"/>
  <c r="R1804" i="1"/>
  <c r="Q1804" i="1"/>
  <c r="P1804" i="1"/>
  <c r="O1804" i="1"/>
  <c r="N1804" i="1"/>
  <c r="M1804" i="1"/>
  <c r="L1804" i="1"/>
  <c r="V1803" i="1"/>
  <c r="U1803" i="1"/>
  <c r="T1803" i="1"/>
  <c r="S1803" i="1"/>
  <c r="R1803" i="1"/>
  <c r="P1803" i="1"/>
  <c r="O1803" i="1"/>
  <c r="N1803" i="1"/>
  <c r="Q1803" i="1" s="1"/>
  <c r="M1803" i="1"/>
  <c r="L1803" i="1"/>
  <c r="U1802" i="1"/>
  <c r="V1802" i="1" s="1"/>
  <c r="T1802" i="1"/>
  <c r="S1802" i="1"/>
  <c r="R1802" i="1"/>
  <c r="Q1802" i="1"/>
  <c r="P1802" i="1"/>
  <c r="O1802" i="1"/>
  <c r="N1802" i="1"/>
  <c r="M1802" i="1"/>
  <c r="L1802" i="1"/>
  <c r="U1801" i="1"/>
  <c r="V1801" i="1" s="1"/>
  <c r="T1801" i="1"/>
  <c r="S1801" i="1"/>
  <c r="R1801" i="1"/>
  <c r="Q1801" i="1"/>
  <c r="P1801" i="1"/>
  <c r="O1801" i="1"/>
  <c r="N1801" i="1"/>
  <c r="M1801" i="1"/>
  <c r="L1801" i="1"/>
  <c r="V1800" i="1"/>
  <c r="U1800" i="1"/>
  <c r="T1800" i="1"/>
  <c r="S1800" i="1"/>
  <c r="R1800" i="1"/>
  <c r="P1800" i="1"/>
  <c r="O1800" i="1"/>
  <c r="N1800" i="1"/>
  <c r="Q1800" i="1" s="1"/>
  <c r="M1800" i="1"/>
  <c r="L1800" i="1"/>
  <c r="V1799" i="1"/>
  <c r="U1799" i="1"/>
  <c r="T1799" i="1"/>
  <c r="S1799" i="1"/>
  <c r="R1799" i="1"/>
  <c r="Q1799" i="1"/>
  <c r="P1799" i="1"/>
  <c r="O1799" i="1"/>
  <c r="N1799" i="1"/>
  <c r="M1799" i="1"/>
  <c r="L1799" i="1"/>
  <c r="U1798" i="1"/>
  <c r="V1798" i="1" s="1"/>
  <c r="T1798" i="1"/>
  <c r="S1798" i="1"/>
  <c r="R1798" i="1"/>
  <c r="P1798" i="1"/>
  <c r="O1798" i="1"/>
  <c r="N1798" i="1"/>
  <c r="Q1798" i="1" s="1"/>
  <c r="M1798" i="1"/>
  <c r="L1798" i="1"/>
  <c r="U1797" i="1"/>
  <c r="V1797" i="1" s="1"/>
  <c r="T1797" i="1"/>
  <c r="S1797" i="1"/>
  <c r="R1797" i="1"/>
  <c r="Q1797" i="1"/>
  <c r="P1797" i="1"/>
  <c r="O1797" i="1"/>
  <c r="N1797" i="1"/>
  <c r="M1797" i="1"/>
  <c r="L1797" i="1"/>
  <c r="U1796" i="1"/>
  <c r="V1796" i="1" s="1"/>
  <c r="T1796" i="1"/>
  <c r="S1796" i="1"/>
  <c r="R1796" i="1"/>
  <c r="Q1796" i="1"/>
  <c r="P1796" i="1"/>
  <c r="O1796" i="1"/>
  <c r="N1796" i="1"/>
  <c r="M1796" i="1"/>
  <c r="L1796" i="1"/>
  <c r="V1795" i="1"/>
  <c r="U1795" i="1"/>
  <c r="T1795" i="1"/>
  <c r="S1795" i="1"/>
  <c r="R1795" i="1"/>
  <c r="P1795" i="1"/>
  <c r="O1795" i="1"/>
  <c r="N1795" i="1"/>
  <c r="Q1795" i="1" s="1"/>
  <c r="M1795" i="1"/>
  <c r="L1795" i="1"/>
  <c r="U1794" i="1"/>
  <c r="V1794" i="1" s="1"/>
  <c r="T1794" i="1"/>
  <c r="S1794" i="1"/>
  <c r="R1794" i="1"/>
  <c r="Q1794" i="1"/>
  <c r="P1794" i="1"/>
  <c r="O1794" i="1"/>
  <c r="N1794" i="1"/>
  <c r="M1794" i="1"/>
  <c r="L1794" i="1"/>
  <c r="U1793" i="1"/>
  <c r="V1793" i="1" s="1"/>
  <c r="T1793" i="1"/>
  <c r="S1793" i="1"/>
  <c r="R1793" i="1"/>
  <c r="Q1793" i="1"/>
  <c r="P1793" i="1"/>
  <c r="O1793" i="1"/>
  <c r="N1793" i="1"/>
  <c r="M1793" i="1"/>
  <c r="L1793" i="1"/>
  <c r="V1792" i="1"/>
  <c r="U1792" i="1"/>
  <c r="T1792" i="1"/>
  <c r="S1792" i="1"/>
  <c r="R1792" i="1"/>
  <c r="P1792" i="1"/>
  <c r="O1792" i="1"/>
  <c r="N1792" i="1"/>
  <c r="Q1792" i="1" s="1"/>
  <c r="M1792" i="1"/>
  <c r="L1792" i="1"/>
  <c r="V1791" i="1"/>
  <c r="U1791" i="1"/>
  <c r="T1791" i="1"/>
  <c r="S1791" i="1"/>
  <c r="R1791" i="1"/>
  <c r="Q1791" i="1"/>
  <c r="P1791" i="1"/>
  <c r="O1791" i="1"/>
  <c r="N1791" i="1"/>
  <c r="M1791" i="1"/>
  <c r="L1791" i="1"/>
  <c r="U1790" i="1"/>
  <c r="V1790" i="1" s="1"/>
  <c r="T1790" i="1"/>
  <c r="S1790" i="1"/>
  <c r="R1790" i="1"/>
  <c r="P1790" i="1"/>
  <c r="O1790" i="1"/>
  <c r="N1790" i="1"/>
  <c r="Q1790" i="1" s="1"/>
  <c r="M1790" i="1"/>
  <c r="L1790" i="1"/>
  <c r="U1789" i="1"/>
  <c r="V1789" i="1" s="1"/>
  <c r="T1789" i="1"/>
  <c r="S1789" i="1"/>
  <c r="R1789" i="1"/>
  <c r="Q1789" i="1"/>
  <c r="P1789" i="1"/>
  <c r="O1789" i="1"/>
  <c r="N1789" i="1"/>
  <c r="M1789" i="1"/>
  <c r="L1789" i="1"/>
  <c r="U1788" i="1"/>
  <c r="V1788" i="1" s="1"/>
  <c r="T1788" i="1"/>
  <c r="S1788" i="1"/>
  <c r="R1788" i="1"/>
  <c r="Q1788" i="1"/>
  <c r="P1788" i="1"/>
  <c r="O1788" i="1"/>
  <c r="N1788" i="1"/>
  <c r="M1788" i="1"/>
  <c r="L1788" i="1"/>
  <c r="V1787" i="1"/>
  <c r="U1787" i="1"/>
  <c r="T1787" i="1"/>
  <c r="S1787" i="1"/>
  <c r="R1787" i="1"/>
  <c r="P1787" i="1"/>
  <c r="O1787" i="1"/>
  <c r="N1787" i="1"/>
  <c r="Q1787" i="1" s="1"/>
  <c r="M1787" i="1"/>
  <c r="L1787" i="1"/>
  <c r="U1786" i="1"/>
  <c r="V1786" i="1" s="1"/>
  <c r="T1786" i="1"/>
  <c r="S1786" i="1"/>
  <c r="R1786" i="1"/>
  <c r="Q1786" i="1"/>
  <c r="P1786" i="1"/>
  <c r="O1786" i="1"/>
  <c r="N1786" i="1"/>
  <c r="M1786" i="1"/>
  <c r="L1786" i="1"/>
  <c r="U1785" i="1"/>
  <c r="V1785" i="1" s="1"/>
  <c r="T1785" i="1"/>
  <c r="S1785" i="1"/>
  <c r="R1785" i="1"/>
  <c r="Q1785" i="1"/>
  <c r="P1785" i="1"/>
  <c r="O1785" i="1"/>
  <c r="N1785" i="1"/>
  <c r="M1785" i="1"/>
  <c r="L1785" i="1"/>
  <c r="V1784" i="1"/>
  <c r="U1784" i="1"/>
  <c r="T1784" i="1"/>
  <c r="S1784" i="1"/>
  <c r="R1784" i="1"/>
  <c r="P1784" i="1"/>
  <c r="O1784" i="1"/>
  <c r="N1784" i="1"/>
  <c r="Q1784" i="1" s="1"/>
  <c r="M1784" i="1"/>
  <c r="L1784" i="1"/>
  <c r="V1783" i="1"/>
  <c r="U1783" i="1"/>
  <c r="T1783" i="1"/>
  <c r="S1783" i="1"/>
  <c r="R1783" i="1"/>
  <c r="Q1783" i="1"/>
  <c r="P1783" i="1"/>
  <c r="O1783" i="1"/>
  <c r="N1783" i="1"/>
  <c r="M1783" i="1"/>
  <c r="L1783" i="1"/>
  <c r="U1782" i="1"/>
  <c r="V1782" i="1" s="1"/>
  <c r="T1782" i="1"/>
  <c r="S1782" i="1"/>
  <c r="R1782" i="1"/>
  <c r="P1782" i="1"/>
  <c r="O1782" i="1"/>
  <c r="N1782" i="1"/>
  <c r="Q1782" i="1" s="1"/>
  <c r="M1782" i="1"/>
  <c r="L1782" i="1"/>
  <c r="U1781" i="1"/>
  <c r="V1781" i="1" s="1"/>
  <c r="T1781" i="1"/>
  <c r="S1781" i="1"/>
  <c r="R1781" i="1"/>
  <c r="Q1781" i="1"/>
  <c r="P1781" i="1"/>
  <c r="O1781" i="1"/>
  <c r="N1781" i="1"/>
  <c r="M1781" i="1"/>
  <c r="L1781" i="1"/>
  <c r="U1780" i="1"/>
  <c r="V1780" i="1" s="1"/>
  <c r="T1780" i="1"/>
  <c r="S1780" i="1"/>
  <c r="R1780" i="1"/>
  <c r="Q1780" i="1"/>
  <c r="P1780" i="1"/>
  <c r="O1780" i="1"/>
  <c r="N1780" i="1"/>
  <c r="M1780" i="1"/>
  <c r="L1780" i="1"/>
  <c r="V1779" i="1"/>
  <c r="U1779" i="1"/>
  <c r="T1779" i="1"/>
  <c r="S1779" i="1"/>
  <c r="R1779" i="1"/>
  <c r="P1779" i="1"/>
  <c r="O1779" i="1"/>
  <c r="N1779" i="1"/>
  <c r="Q1779" i="1" s="1"/>
  <c r="M1779" i="1"/>
  <c r="L1779" i="1"/>
  <c r="U1778" i="1"/>
  <c r="V1778" i="1" s="1"/>
  <c r="T1778" i="1"/>
  <c r="S1778" i="1"/>
  <c r="R1778" i="1"/>
  <c r="Q1778" i="1"/>
  <c r="P1778" i="1"/>
  <c r="O1778" i="1"/>
  <c r="N1778" i="1"/>
  <c r="M1778" i="1"/>
  <c r="L1778" i="1"/>
  <c r="U1777" i="1"/>
  <c r="V1777" i="1" s="1"/>
  <c r="T1777" i="1"/>
  <c r="S1777" i="1"/>
  <c r="R1777" i="1"/>
  <c r="Q1777" i="1"/>
  <c r="P1777" i="1"/>
  <c r="O1777" i="1"/>
  <c r="N1777" i="1"/>
  <c r="M1777" i="1"/>
  <c r="L1777" i="1"/>
  <c r="V1776" i="1"/>
  <c r="U1776" i="1"/>
  <c r="T1776" i="1"/>
  <c r="S1776" i="1"/>
  <c r="R1776" i="1"/>
  <c r="P1776" i="1"/>
  <c r="O1776" i="1"/>
  <c r="N1776" i="1"/>
  <c r="Q1776" i="1" s="1"/>
  <c r="M1776" i="1"/>
  <c r="L1776" i="1"/>
  <c r="V1775" i="1"/>
  <c r="U1775" i="1"/>
  <c r="T1775" i="1"/>
  <c r="S1775" i="1"/>
  <c r="R1775" i="1"/>
  <c r="Q1775" i="1"/>
  <c r="P1775" i="1"/>
  <c r="O1775" i="1"/>
  <c r="N1775" i="1"/>
  <c r="M1775" i="1"/>
  <c r="L1775" i="1"/>
  <c r="U1774" i="1"/>
  <c r="V1774" i="1" s="1"/>
  <c r="T1774" i="1"/>
  <c r="S1774" i="1"/>
  <c r="R1774" i="1"/>
  <c r="P1774" i="1"/>
  <c r="O1774" i="1"/>
  <c r="N1774" i="1"/>
  <c r="Q1774" i="1" s="1"/>
  <c r="M1774" i="1"/>
  <c r="L1774" i="1"/>
  <c r="U1773" i="1"/>
  <c r="V1773" i="1" s="1"/>
  <c r="T1773" i="1"/>
  <c r="S1773" i="1"/>
  <c r="R1773" i="1"/>
  <c r="Q1773" i="1"/>
  <c r="P1773" i="1"/>
  <c r="O1773" i="1"/>
  <c r="N1773" i="1"/>
  <c r="M1773" i="1"/>
  <c r="L1773" i="1"/>
  <c r="U1772" i="1"/>
  <c r="V1772" i="1" s="1"/>
  <c r="T1772" i="1"/>
  <c r="S1772" i="1"/>
  <c r="R1772" i="1"/>
  <c r="Q1772" i="1"/>
  <c r="P1772" i="1"/>
  <c r="O1772" i="1"/>
  <c r="N1772" i="1"/>
  <c r="M1772" i="1"/>
  <c r="L1772" i="1"/>
  <c r="V1771" i="1"/>
  <c r="U1771" i="1"/>
  <c r="T1771" i="1"/>
  <c r="S1771" i="1"/>
  <c r="R1771" i="1"/>
  <c r="P1771" i="1"/>
  <c r="O1771" i="1"/>
  <c r="N1771" i="1"/>
  <c r="Q1771" i="1" s="1"/>
  <c r="M1771" i="1"/>
  <c r="L1771" i="1"/>
  <c r="U1770" i="1"/>
  <c r="V1770" i="1" s="1"/>
  <c r="T1770" i="1"/>
  <c r="S1770" i="1"/>
  <c r="R1770" i="1"/>
  <c r="Q1770" i="1"/>
  <c r="P1770" i="1"/>
  <c r="O1770" i="1"/>
  <c r="N1770" i="1"/>
  <c r="M1770" i="1"/>
  <c r="L1770" i="1"/>
  <c r="U1769" i="1"/>
  <c r="V1769" i="1" s="1"/>
  <c r="T1769" i="1"/>
  <c r="S1769" i="1"/>
  <c r="R1769" i="1"/>
  <c r="Q1769" i="1"/>
  <c r="P1769" i="1"/>
  <c r="O1769" i="1"/>
  <c r="N1769" i="1"/>
  <c r="M1769" i="1"/>
  <c r="L1769" i="1"/>
  <c r="V1768" i="1"/>
  <c r="U1768" i="1"/>
  <c r="T1768" i="1"/>
  <c r="S1768" i="1"/>
  <c r="R1768" i="1"/>
  <c r="P1768" i="1"/>
  <c r="O1768" i="1"/>
  <c r="N1768" i="1"/>
  <c r="Q1768" i="1" s="1"/>
  <c r="M1768" i="1"/>
  <c r="L1768" i="1"/>
  <c r="V1767" i="1"/>
  <c r="U1767" i="1"/>
  <c r="T1767" i="1"/>
  <c r="S1767" i="1"/>
  <c r="R1767" i="1"/>
  <c r="Q1767" i="1"/>
  <c r="P1767" i="1"/>
  <c r="O1767" i="1"/>
  <c r="N1767" i="1"/>
  <c r="M1767" i="1"/>
  <c r="L1767" i="1"/>
  <c r="U1766" i="1"/>
  <c r="V1766" i="1" s="1"/>
  <c r="T1766" i="1"/>
  <c r="S1766" i="1"/>
  <c r="R1766" i="1"/>
  <c r="P1766" i="1"/>
  <c r="O1766" i="1"/>
  <c r="N1766" i="1"/>
  <c r="Q1766" i="1" s="1"/>
  <c r="M1766" i="1"/>
  <c r="L1766" i="1"/>
  <c r="U1765" i="1"/>
  <c r="V1765" i="1" s="1"/>
  <c r="T1765" i="1"/>
  <c r="S1765" i="1"/>
  <c r="R1765" i="1"/>
  <c r="Q1765" i="1"/>
  <c r="P1765" i="1"/>
  <c r="O1765" i="1"/>
  <c r="N1765" i="1"/>
  <c r="M1765" i="1"/>
  <c r="L1765" i="1"/>
  <c r="U1764" i="1"/>
  <c r="V1764" i="1" s="1"/>
  <c r="T1764" i="1"/>
  <c r="S1764" i="1"/>
  <c r="R1764" i="1"/>
  <c r="Q1764" i="1"/>
  <c r="P1764" i="1"/>
  <c r="O1764" i="1"/>
  <c r="N1764" i="1"/>
  <c r="M1764" i="1"/>
  <c r="L1764" i="1"/>
  <c r="V1763" i="1"/>
  <c r="U1763" i="1"/>
  <c r="T1763" i="1"/>
  <c r="S1763" i="1"/>
  <c r="R1763" i="1"/>
  <c r="P1763" i="1"/>
  <c r="O1763" i="1"/>
  <c r="N1763" i="1"/>
  <c r="Q1763" i="1" s="1"/>
  <c r="M1763" i="1"/>
  <c r="L1763" i="1"/>
  <c r="U1762" i="1"/>
  <c r="V1762" i="1" s="1"/>
  <c r="T1762" i="1"/>
  <c r="S1762" i="1"/>
  <c r="R1762" i="1"/>
  <c r="Q1762" i="1"/>
  <c r="P1762" i="1"/>
  <c r="O1762" i="1"/>
  <c r="N1762" i="1"/>
  <c r="M1762" i="1"/>
  <c r="L1762" i="1"/>
  <c r="U1761" i="1"/>
  <c r="V1761" i="1" s="1"/>
  <c r="T1761" i="1"/>
  <c r="S1761" i="1"/>
  <c r="R1761" i="1"/>
  <c r="Q1761" i="1"/>
  <c r="P1761" i="1"/>
  <c r="O1761" i="1"/>
  <c r="N1761" i="1"/>
  <c r="M1761" i="1"/>
  <c r="L1761" i="1"/>
  <c r="V1760" i="1"/>
  <c r="U1760" i="1"/>
  <c r="T1760" i="1"/>
  <c r="S1760" i="1"/>
  <c r="R1760" i="1"/>
  <c r="P1760" i="1"/>
  <c r="O1760" i="1"/>
  <c r="N1760" i="1"/>
  <c r="Q1760" i="1" s="1"/>
  <c r="M1760" i="1"/>
  <c r="L1760" i="1"/>
  <c r="V1759" i="1"/>
  <c r="U1759" i="1"/>
  <c r="T1759" i="1"/>
  <c r="S1759" i="1"/>
  <c r="R1759" i="1"/>
  <c r="Q1759" i="1"/>
  <c r="P1759" i="1"/>
  <c r="O1759" i="1"/>
  <c r="N1759" i="1"/>
  <c r="M1759" i="1"/>
  <c r="L1759" i="1"/>
  <c r="U1758" i="1"/>
  <c r="V1758" i="1" s="1"/>
  <c r="T1758" i="1"/>
  <c r="S1758" i="1"/>
  <c r="R1758" i="1"/>
  <c r="P1758" i="1"/>
  <c r="O1758" i="1"/>
  <c r="N1758" i="1"/>
  <c r="Q1758" i="1" s="1"/>
  <c r="M1758" i="1"/>
  <c r="L1758" i="1"/>
  <c r="U1757" i="1"/>
  <c r="V1757" i="1" s="1"/>
  <c r="T1757" i="1"/>
  <c r="S1757" i="1"/>
  <c r="R1757" i="1"/>
  <c r="Q1757" i="1"/>
  <c r="P1757" i="1"/>
  <c r="O1757" i="1"/>
  <c r="N1757" i="1"/>
  <c r="M1757" i="1"/>
  <c r="L1757" i="1"/>
  <c r="U1756" i="1"/>
  <c r="V1756" i="1" s="1"/>
  <c r="T1756" i="1"/>
  <c r="S1756" i="1"/>
  <c r="R1756" i="1"/>
  <c r="Q1756" i="1"/>
  <c r="P1756" i="1"/>
  <c r="O1756" i="1"/>
  <c r="N1756" i="1"/>
  <c r="M1756" i="1"/>
  <c r="L1756" i="1"/>
  <c r="V1755" i="1"/>
  <c r="U1755" i="1"/>
  <c r="T1755" i="1"/>
  <c r="S1755" i="1"/>
  <c r="R1755" i="1"/>
  <c r="P1755" i="1"/>
  <c r="O1755" i="1"/>
  <c r="N1755" i="1"/>
  <c r="Q1755" i="1" s="1"/>
  <c r="M1755" i="1"/>
  <c r="L1755" i="1"/>
  <c r="U1754" i="1"/>
  <c r="V1754" i="1" s="1"/>
  <c r="T1754" i="1"/>
  <c r="S1754" i="1"/>
  <c r="R1754" i="1"/>
  <c r="Q1754" i="1"/>
  <c r="P1754" i="1"/>
  <c r="O1754" i="1"/>
  <c r="N1754" i="1"/>
  <c r="M1754" i="1"/>
  <c r="L1754" i="1"/>
  <c r="U1753" i="1"/>
  <c r="V1753" i="1" s="1"/>
  <c r="T1753" i="1"/>
  <c r="S1753" i="1"/>
  <c r="R1753" i="1"/>
  <c r="Q1753" i="1"/>
  <c r="P1753" i="1"/>
  <c r="O1753" i="1"/>
  <c r="N1753" i="1"/>
  <c r="M1753" i="1"/>
  <c r="L1753" i="1"/>
  <c r="V1752" i="1"/>
  <c r="U1752" i="1"/>
  <c r="T1752" i="1"/>
  <c r="S1752" i="1"/>
  <c r="R1752" i="1"/>
  <c r="P1752" i="1"/>
  <c r="O1752" i="1"/>
  <c r="N1752" i="1"/>
  <c r="Q1752" i="1" s="1"/>
  <c r="M1752" i="1"/>
  <c r="L1752" i="1"/>
  <c r="V1751" i="1"/>
  <c r="U1751" i="1"/>
  <c r="T1751" i="1"/>
  <c r="S1751" i="1"/>
  <c r="R1751" i="1"/>
  <c r="Q1751" i="1"/>
  <c r="P1751" i="1"/>
  <c r="O1751" i="1"/>
  <c r="N1751" i="1"/>
  <c r="M1751" i="1"/>
  <c r="L1751" i="1"/>
  <c r="U1750" i="1"/>
  <c r="V1750" i="1" s="1"/>
  <c r="T1750" i="1"/>
  <c r="S1750" i="1"/>
  <c r="R1750" i="1"/>
  <c r="P1750" i="1"/>
  <c r="O1750" i="1"/>
  <c r="N1750" i="1"/>
  <c r="Q1750" i="1" s="1"/>
  <c r="M1750" i="1"/>
  <c r="L1750" i="1"/>
  <c r="U1749" i="1"/>
  <c r="V1749" i="1" s="1"/>
  <c r="T1749" i="1"/>
  <c r="S1749" i="1"/>
  <c r="R1749" i="1"/>
  <c r="Q1749" i="1"/>
  <c r="P1749" i="1"/>
  <c r="O1749" i="1"/>
  <c r="N1749" i="1"/>
  <c r="M1749" i="1"/>
  <c r="L1749" i="1"/>
  <c r="U1748" i="1"/>
  <c r="V1748" i="1" s="1"/>
  <c r="T1748" i="1"/>
  <c r="S1748" i="1"/>
  <c r="R1748" i="1"/>
  <c r="Q1748" i="1"/>
  <c r="P1748" i="1"/>
  <c r="O1748" i="1"/>
  <c r="N1748" i="1"/>
  <c r="M1748" i="1"/>
  <c r="L1748" i="1"/>
  <c r="V1747" i="1"/>
  <c r="U1747" i="1"/>
  <c r="T1747" i="1"/>
  <c r="S1747" i="1"/>
  <c r="R1747" i="1"/>
  <c r="P1747" i="1"/>
  <c r="O1747" i="1"/>
  <c r="N1747" i="1"/>
  <c r="Q1747" i="1" s="1"/>
  <c r="M1747" i="1"/>
  <c r="L1747" i="1"/>
  <c r="U1746" i="1"/>
  <c r="V1746" i="1" s="1"/>
  <c r="T1746" i="1"/>
  <c r="S1746" i="1"/>
  <c r="R1746" i="1"/>
  <c r="Q1746" i="1"/>
  <c r="P1746" i="1"/>
  <c r="O1746" i="1"/>
  <c r="N1746" i="1"/>
  <c r="M1746" i="1"/>
  <c r="L1746" i="1"/>
  <c r="U1745" i="1"/>
  <c r="V1745" i="1" s="1"/>
  <c r="T1745" i="1"/>
  <c r="S1745" i="1"/>
  <c r="R1745" i="1"/>
  <c r="Q1745" i="1"/>
  <c r="P1745" i="1"/>
  <c r="O1745" i="1"/>
  <c r="N1745" i="1"/>
  <c r="M1745" i="1"/>
  <c r="L1745" i="1"/>
  <c r="V1744" i="1"/>
  <c r="U1744" i="1"/>
  <c r="T1744" i="1"/>
  <c r="S1744" i="1"/>
  <c r="R1744" i="1"/>
  <c r="P1744" i="1"/>
  <c r="O1744" i="1"/>
  <c r="N1744" i="1"/>
  <c r="Q1744" i="1" s="1"/>
  <c r="M1744" i="1"/>
  <c r="L1744" i="1"/>
  <c r="V1743" i="1"/>
  <c r="U1743" i="1"/>
  <c r="T1743" i="1"/>
  <c r="S1743" i="1"/>
  <c r="R1743" i="1"/>
  <c r="Q1743" i="1"/>
  <c r="P1743" i="1"/>
  <c r="O1743" i="1"/>
  <c r="N1743" i="1"/>
  <c r="M1743" i="1"/>
  <c r="L1743" i="1"/>
  <c r="U1742" i="1"/>
  <c r="V1742" i="1" s="1"/>
  <c r="T1742" i="1"/>
  <c r="S1742" i="1"/>
  <c r="R1742" i="1"/>
  <c r="P1742" i="1"/>
  <c r="O1742" i="1"/>
  <c r="N1742" i="1"/>
  <c r="Q1742" i="1" s="1"/>
  <c r="M1742" i="1"/>
  <c r="L1742" i="1"/>
  <c r="U1741" i="1"/>
  <c r="V1741" i="1" s="1"/>
  <c r="T1741" i="1"/>
  <c r="S1741" i="1"/>
  <c r="R1741" i="1"/>
  <c r="Q1741" i="1"/>
  <c r="P1741" i="1"/>
  <c r="O1741" i="1"/>
  <c r="N1741" i="1"/>
  <c r="M1741" i="1"/>
  <c r="L1741" i="1"/>
  <c r="U1740" i="1"/>
  <c r="V1740" i="1" s="1"/>
  <c r="T1740" i="1"/>
  <c r="S1740" i="1"/>
  <c r="R1740" i="1"/>
  <c r="Q1740" i="1"/>
  <c r="P1740" i="1"/>
  <c r="O1740" i="1"/>
  <c r="N1740" i="1"/>
  <c r="M1740" i="1"/>
  <c r="L1740" i="1"/>
  <c r="V1739" i="1"/>
  <c r="U1739" i="1"/>
  <c r="T1739" i="1"/>
  <c r="S1739" i="1"/>
  <c r="R1739" i="1"/>
  <c r="P1739" i="1"/>
  <c r="O1739" i="1"/>
  <c r="N1739" i="1"/>
  <c r="Q1739" i="1" s="1"/>
  <c r="M1739" i="1"/>
  <c r="L1739" i="1"/>
  <c r="U1738" i="1"/>
  <c r="V1738" i="1" s="1"/>
  <c r="T1738" i="1"/>
  <c r="S1738" i="1"/>
  <c r="R1738" i="1"/>
  <c r="Q1738" i="1"/>
  <c r="P1738" i="1"/>
  <c r="O1738" i="1"/>
  <c r="N1738" i="1"/>
  <c r="M1738" i="1"/>
  <c r="L1738" i="1"/>
  <c r="U1737" i="1"/>
  <c r="V1737" i="1" s="1"/>
  <c r="T1737" i="1"/>
  <c r="S1737" i="1"/>
  <c r="R1737" i="1"/>
  <c r="Q1737" i="1"/>
  <c r="P1737" i="1"/>
  <c r="O1737" i="1"/>
  <c r="N1737" i="1"/>
  <c r="M1737" i="1"/>
  <c r="L1737" i="1"/>
  <c r="V1736" i="1"/>
  <c r="U1736" i="1"/>
  <c r="T1736" i="1"/>
  <c r="S1736" i="1"/>
  <c r="R1736" i="1"/>
  <c r="P1736" i="1"/>
  <c r="O1736" i="1"/>
  <c r="N1736" i="1"/>
  <c r="Q1736" i="1" s="1"/>
  <c r="M1736" i="1"/>
  <c r="L1736" i="1"/>
  <c r="V1735" i="1"/>
  <c r="U1735" i="1"/>
  <c r="T1735" i="1"/>
  <c r="S1735" i="1"/>
  <c r="R1735" i="1"/>
  <c r="Q1735" i="1"/>
  <c r="P1735" i="1"/>
  <c r="O1735" i="1"/>
  <c r="N1735" i="1"/>
  <c r="M1735" i="1"/>
  <c r="L1735" i="1"/>
  <c r="U1734" i="1"/>
  <c r="V1734" i="1" s="1"/>
  <c r="T1734" i="1"/>
  <c r="S1734" i="1"/>
  <c r="R1734" i="1"/>
  <c r="P1734" i="1"/>
  <c r="O1734" i="1"/>
  <c r="N1734" i="1"/>
  <c r="Q1734" i="1" s="1"/>
  <c r="M1734" i="1"/>
  <c r="L1734" i="1"/>
  <c r="U1733" i="1"/>
  <c r="V1733" i="1" s="1"/>
  <c r="T1733" i="1"/>
  <c r="S1733" i="1"/>
  <c r="R1733" i="1"/>
  <c r="Q1733" i="1"/>
  <c r="P1733" i="1"/>
  <c r="O1733" i="1"/>
  <c r="N1733" i="1"/>
  <c r="M1733" i="1"/>
  <c r="L1733" i="1"/>
  <c r="U1732" i="1"/>
  <c r="V1732" i="1" s="1"/>
  <c r="T1732" i="1"/>
  <c r="S1732" i="1"/>
  <c r="R1732" i="1"/>
  <c r="Q1732" i="1"/>
  <c r="P1732" i="1"/>
  <c r="O1732" i="1"/>
  <c r="N1732" i="1"/>
  <c r="M1732" i="1"/>
  <c r="L1732" i="1"/>
  <c r="V1731" i="1"/>
  <c r="U1731" i="1"/>
  <c r="T1731" i="1"/>
  <c r="S1731" i="1"/>
  <c r="R1731" i="1"/>
  <c r="P1731" i="1"/>
  <c r="O1731" i="1"/>
  <c r="N1731" i="1"/>
  <c r="Q1731" i="1" s="1"/>
  <c r="M1731" i="1"/>
  <c r="L1731" i="1"/>
  <c r="U1730" i="1"/>
  <c r="V1730" i="1" s="1"/>
  <c r="T1730" i="1"/>
  <c r="S1730" i="1"/>
  <c r="R1730" i="1"/>
  <c r="Q1730" i="1"/>
  <c r="P1730" i="1"/>
  <c r="O1730" i="1"/>
  <c r="N1730" i="1"/>
  <c r="M1730" i="1"/>
  <c r="L1730" i="1"/>
  <c r="U1729" i="1"/>
  <c r="V1729" i="1" s="1"/>
  <c r="T1729" i="1"/>
  <c r="S1729" i="1"/>
  <c r="R1729" i="1"/>
  <c r="Q1729" i="1"/>
  <c r="P1729" i="1"/>
  <c r="O1729" i="1"/>
  <c r="N1729" i="1"/>
  <c r="M1729" i="1"/>
  <c r="L1729" i="1"/>
  <c r="V1728" i="1"/>
  <c r="U1728" i="1"/>
  <c r="T1728" i="1"/>
  <c r="S1728" i="1"/>
  <c r="R1728" i="1"/>
  <c r="P1728" i="1"/>
  <c r="O1728" i="1"/>
  <c r="N1728" i="1"/>
  <c r="Q1728" i="1" s="1"/>
  <c r="M1728" i="1"/>
  <c r="L1728" i="1"/>
  <c r="V1727" i="1"/>
  <c r="U1727" i="1"/>
  <c r="T1727" i="1"/>
  <c r="S1727" i="1"/>
  <c r="R1727" i="1"/>
  <c r="Q1727" i="1"/>
  <c r="P1727" i="1"/>
  <c r="O1727" i="1"/>
  <c r="N1727" i="1"/>
  <c r="M1727" i="1"/>
  <c r="L1727" i="1"/>
  <c r="U1726" i="1"/>
  <c r="V1726" i="1" s="1"/>
  <c r="T1726" i="1"/>
  <c r="S1726" i="1"/>
  <c r="R1726" i="1"/>
  <c r="P1726" i="1"/>
  <c r="O1726" i="1"/>
  <c r="N1726" i="1"/>
  <c r="Q1726" i="1" s="1"/>
  <c r="M1726" i="1"/>
  <c r="L1726" i="1"/>
  <c r="U1725" i="1"/>
  <c r="V1725" i="1" s="1"/>
  <c r="T1725" i="1"/>
  <c r="S1725" i="1"/>
  <c r="R1725" i="1"/>
  <c r="Q1725" i="1"/>
  <c r="P1725" i="1"/>
  <c r="O1725" i="1"/>
  <c r="N1725" i="1"/>
  <c r="M1725" i="1"/>
  <c r="L1725" i="1"/>
  <c r="U1724" i="1"/>
  <c r="V1724" i="1" s="1"/>
  <c r="T1724" i="1"/>
  <c r="S1724" i="1"/>
  <c r="R1724" i="1"/>
  <c r="Q1724" i="1"/>
  <c r="P1724" i="1"/>
  <c r="O1724" i="1"/>
  <c r="N1724" i="1"/>
  <c r="M1724" i="1"/>
  <c r="L1724" i="1"/>
  <c r="V1723" i="1"/>
  <c r="U1723" i="1"/>
  <c r="T1723" i="1"/>
  <c r="S1723" i="1"/>
  <c r="R1723" i="1"/>
  <c r="P1723" i="1"/>
  <c r="O1723" i="1"/>
  <c r="N1723" i="1"/>
  <c r="Q1723" i="1" s="1"/>
  <c r="M1723" i="1"/>
  <c r="L1723" i="1"/>
  <c r="U1722" i="1"/>
  <c r="V1722" i="1" s="1"/>
  <c r="T1722" i="1"/>
  <c r="S1722" i="1"/>
  <c r="R1722" i="1"/>
  <c r="Q1722" i="1"/>
  <c r="P1722" i="1"/>
  <c r="O1722" i="1"/>
  <c r="N1722" i="1"/>
  <c r="M1722" i="1"/>
  <c r="L1722" i="1"/>
  <c r="U1721" i="1"/>
  <c r="V1721" i="1" s="1"/>
  <c r="T1721" i="1"/>
  <c r="S1721" i="1"/>
  <c r="R1721" i="1"/>
  <c r="Q1721" i="1"/>
  <c r="P1721" i="1"/>
  <c r="O1721" i="1"/>
  <c r="N1721" i="1"/>
  <c r="M1721" i="1"/>
  <c r="L1721" i="1"/>
  <c r="V1720" i="1"/>
  <c r="U1720" i="1"/>
  <c r="T1720" i="1"/>
  <c r="S1720" i="1"/>
  <c r="R1720" i="1"/>
  <c r="P1720" i="1"/>
  <c r="O1720" i="1"/>
  <c r="N1720" i="1"/>
  <c r="Q1720" i="1" s="1"/>
  <c r="M1720" i="1"/>
  <c r="L1720" i="1"/>
  <c r="V1719" i="1"/>
  <c r="U1719" i="1"/>
  <c r="T1719" i="1"/>
  <c r="S1719" i="1"/>
  <c r="R1719" i="1"/>
  <c r="Q1719" i="1"/>
  <c r="P1719" i="1"/>
  <c r="O1719" i="1"/>
  <c r="N1719" i="1"/>
  <c r="M1719" i="1"/>
  <c r="L1719" i="1"/>
  <c r="U1718" i="1"/>
  <c r="V1718" i="1" s="1"/>
  <c r="T1718" i="1"/>
  <c r="S1718" i="1"/>
  <c r="R1718" i="1"/>
  <c r="P1718" i="1"/>
  <c r="O1718" i="1"/>
  <c r="N1718" i="1"/>
  <c r="Q1718" i="1" s="1"/>
  <c r="M1718" i="1"/>
  <c r="L1718" i="1"/>
  <c r="U1717" i="1"/>
  <c r="V1717" i="1" s="1"/>
  <c r="T1717" i="1"/>
  <c r="S1717" i="1"/>
  <c r="R1717" i="1"/>
  <c r="Q1717" i="1"/>
  <c r="P1717" i="1"/>
  <c r="O1717" i="1"/>
  <c r="N1717" i="1"/>
  <c r="M1717" i="1"/>
  <c r="L1717" i="1"/>
  <c r="U1716" i="1"/>
  <c r="V1716" i="1" s="1"/>
  <c r="T1716" i="1"/>
  <c r="S1716" i="1"/>
  <c r="R1716" i="1"/>
  <c r="Q1716" i="1"/>
  <c r="P1716" i="1"/>
  <c r="O1716" i="1"/>
  <c r="N1716" i="1"/>
  <c r="M1716" i="1"/>
  <c r="L1716" i="1"/>
  <c r="V1715" i="1"/>
  <c r="U1715" i="1"/>
  <c r="T1715" i="1"/>
  <c r="S1715" i="1"/>
  <c r="R1715" i="1"/>
  <c r="P1715" i="1"/>
  <c r="O1715" i="1"/>
  <c r="N1715" i="1"/>
  <c r="Q1715" i="1" s="1"/>
  <c r="M1715" i="1"/>
  <c r="L1715" i="1"/>
  <c r="U1714" i="1"/>
  <c r="V1714" i="1" s="1"/>
  <c r="T1714" i="1"/>
  <c r="S1714" i="1"/>
  <c r="R1714" i="1"/>
  <c r="Q1714" i="1"/>
  <c r="P1714" i="1"/>
  <c r="O1714" i="1"/>
  <c r="N1714" i="1"/>
  <c r="M1714" i="1"/>
  <c r="L1714" i="1"/>
  <c r="U1713" i="1"/>
  <c r="V1713" i="1" s="1"/>
  <c r="T1713" i="1"/>
  <c r="S1713" i="1"/>
  <c r="R1713" i="1"/>
  <c r="Q1713" i="1"/>
  <c r="P1713" i="1"/>
  <c r="O1713" i="1"/>
  <c r="N1713" i="1"/>
  <c r="M1713" i="1"/>
  <c r="L1713" i="1"/>
  <c r="V1712" i="1"/>
  <c r="U1712" i="1"/>
  <c r="T1712" i="1"/>
  <c r="S1712" i="1"/>
  <c r="R1712" i="1"/>
  <c r="P1712" i="1"/>
  <c r="O1712" i="1"/>
  <c r="N1712" i="1"/>
  <c r="Q1712" i="1" s="1"/>
  <c r="M1712" i="1"/>
  <c r="L1712" i="1"/>
  <c r="V1711" i="1"/>
  <c r="U1711" i="1"/>
  <c r="T1711" i="1"/>
  <c r="S1711" i="1"/>
  <c r="R1711" i="1"/>
  <c r="Q1711" i="1"/>
  <c r="P1711" i="1"/>
  <c r="O1711" i="1"/>
  <c r="N1711" i="1"/>
  <c r="M1711" i="1"/>
  <c r="L1711" i="1"/>
  <c r="U1710" i="1"/>
  <c r="V1710" i="1" s="1"/>
  <c r="T1710" i="1"/>
  <c r="S1710" i="1"/>
  <c r="R1710" i="1"/>
  <c r="P1710" i="1"/>
  <c r="O1710" i="1"/>
  <c r="N1710" i="1"/>
  <c r="Q1710" i="1" s="1"/>
  <c r="M1710" i="1"/>
  <c r="L1710" i="1"/>
  <c r="U1709" i="1"/>
  <c r="V1709" i="1" s="1"/>
  <c r="T1709" i="1"/>
  <c r="S1709" i="1"/>
  <c r="R1709" i="1"/>
  <c r="Q1709" i="1"/>
  <c r="P1709" i="1"/>
  <c r="O1709" i="1"/>
  <c r="N1709" i="1"/>
  <c r="M1709" i="1"/>
  <c r="L1709" i="1"/>
  <c r="U1708" i="1"/>
  <c r="V1708" i="1" s="1"/>
  <c r="T1708" i="1"/>
  <c r="S1708" i="1"/>
  <c r="R1708" i="1"/>
  <c r="Q1708" i="1"/>
  <c r="P1708" i="1"/>
  <c r="O1708" i="1"/>
  <c r="N1708" i="1"/>
  <c r="M1708" i="1"/>
  <c r="L1708" i="1"/>
  <c r="V1707" i="1"/>
  <c r="U1707" i="1"/>
  <c r="T1707" i="1"/>
  <c r="S1707" i="1"/>
  <c r="R1707" i="1"/>
  <c r="P1707" i="1"/>
  <c r="O1707" i="1"/>
  <c r="N1707" i="1"/>
  <c r="Q1707" i="1" s="1"/>
  <c r="M1707" i="1"/>
  <c r="L1707" i="1"/>
  <c r="U1706" i="1"/>
  <c r="V1706" i="1" s="1"/>
  <c r="T1706" i="1"/>
  <c r="S1706" i="1"/>
  <c r="R1706" i="1"/>
  <c r="Q1706" i="1"/>
  <c r="P1706" i="1"/>
  <c r="O1706" i="1"/>
  <c r="N1706" i="1"/>
  <c r="M1706" i="1"/>
  <c r="L1706" i="1"/>
  <c r="U1705" i="1"/>
  <c r="V1705" i="1" s="1"/>
  <c r="T1705" i="1"/>
  <c r="S1705" i="1"/>
  <c r="R1705" i="1"/>
  <c r="P1705" i="1"/>
  <c r="O1705" i="1"/>
  <c r="N1705" i="1"/>
  <c r="Q1705" i="1" s="1"/>
  <c r="M1705" i="1"/>
  <c r="L1705" i="1"/>
  <c r="V1704" i="1"/>
  <c r="U1704" i="1"/>
  <c r="T1704" i="1"/>
  <c r="S1704" i="1"/>
  <c r="R1704" i="1"/>
  <c r="P1704" i="1"/>
  <c r="O1704" i="1"/>
  <c r="N1704" i="1"/>
  <c r="Q1704" i="1" s="1"/>
  <c r="M1704" i="1"/>
  <c r="L1704" i="1"/>
  <c r="V1703" i="1"/>
  <c r="U1703" i="1"/>
  <c r="T1703" i="1"/>
  <c r="S1703" i="1"/>
  <c r="R1703" i="1"/>
  <c r="Q1703" i="1"/>
  <c r="P1703" i="1"/>
  <c r="O1703" i="1"/>
  <c r="N1703" i="1"/>
  <c r="M1703" i="1"/>
  <c r="L1703" i="1"/>
  <c r="U1702" i="1"/>
  <c r="V1702" i="1" s="1"/>
  <c r="T1702" i="1"/>
  <c r="S1702" i="1"/>
  <c r="R1702" i="1"/>
  <c r="P1702" i="1"/>
  <c r="O1702" i="1"/>
  <c r="N1702" i="1"/>
  <c r="Q1702" i="1" s="1"/>
  <c r="M1702" i="1"/>
  <c r="L1702" i="1"/>
  <c r="U1701" i="1"/>
  <c r="V1701" i="1" s="1"/>
  <c r="T1701" i="1"/>
  <c r="S1701" i="1"/>
  <c r="R1701" i="1"/>
  <c r="Q1701" i="1"/>
  <c r="P1701" i="1"/>
  <c r="O1701" i="1"/>
  <c r="N1701" i="1"/>
  <c r="M1701" i="1"/>
  <c r="L1701" i="1"/>
  <c r="U1700" i="1"/>
  <c r="V1700" i="1" s="1"/>
  <c r="T1700" i="1"/>
  <c r="S1700" i="1"/>
  <c r="R1700" i="1"/>
  <c r="Q1700" i="1"/>
  <c r="P1700" i="1"/>
  <c r="O1700" i="1"/>
  <c r="N1700" i="1"/>
  <c r="M1700" i="1"/>
  <c r="L1700" i="1"/>
  <c r="V1699" i="1"/>
  <c r="U1699" i="1"/>
  <c r="T1699" i="1"/>
  <c r="S1699" i="1"/>
  <c r="R1699" i="1"/>
  <c r="P1699" i="1"/>
  <c r="O1699" i="1"/>
  <c r="N1699" i="1"/>
  <c r="Q1699" i="1" s="1"/>
  <c r="M1699" i="1"/>
  <c r="L1699" i="1"/>
  <c r="U1698" i="1"/>
  <c r="V1698" i="1" s="1"/>
  <c r="T1698" i="1"/>
  <c r="S1698" i="1"/>
  <c r="R1698" i="1"/>
  <c r="Q1698" i="1"/>
  <c r="P1698" i="1"/>
  <c r="O1698" i="1"/>
  <c r="N1698" i="1"/>
  <c r="M1698" i="1"/>
  <c r="L1698" i="1"/>
  <c r="U1697" i="1"/>
  <c r="V1697" i="1" s="1"/>
  <c r="T1697" i="1"/>
  <c r="S1697" i="1"/>
  <c r="R1697" i="1"/>
  <c r="P1697" i="1"/>
  <c r="O1697" i="1"/>
  <c r="N1697" i="1"/>
  <c r="Q1697" i="1" s="1"/>
  <c r="M1697" i="1"/>
  <c r="L1697" i="1"/>
  <c r="V1696" i="1"/>
  <c r="U1696" i="1"/>
  <c r="T1696" i="1"/>
  <c r="S1696" i="1"/>
  <c r="R1696" i="1"/>
  <c r="P1696" i="1"/>
  <c r="O1696" i="1"/>
  <c r="N1696" i="1"/>
  <c r="Q1696" i="1" s="1"/>
  <c r="M1696" i="1"/>
  <c r="L1696" i="1"/>
  <c r="V1695" i="1"/>
  <c r="U1695" i="1"/>
  <c r="T1695" i="1"/>
  <c r="S1695" i="1"/>
  <c r="R1695" i="1"/>
  <c r="Q1695" i="1"/>
  <c r="P1695" i="1"/>
  <c r="O1695" i="1"/>
  <c r="N1695" i="1"/>
  <c r="M1695" i="1"/>
  <c r="L1695" i="1"/>
  <c r="U1694" i="1"/>
  <c r="V1694" i="1" s="1"/>
  <c r="T1694" i="1"/>
  <c r="S1694" i="1"/>
  <c r="R1694" i="1"/>
  <c r="P1694" i="1"/>
  <c r="O1694" i="1"/>
  <c r="N1694" i="1"/>
  <c r="Q1694" i="1" s="1"/>
  <c r="M1694" i="1"/>
  <c r="L1694" i="1"/>
  <c r="U1693" i="1"/>
  <c r="V1693" i="1" s="1"/>
  <c r="T1693" i="1"/>
  <c r="S1693" i="1"/>
  <c r="R1693" i="1"/>
  <c r="Q1693" i="1"/>
  <c r="P1693" i="1"/>
  <c r="O1693" i="1"/>
  <c r="N1693" i="1"/>
  <c r="M1693" i="1"/>
  <c r="L1693" i="1"/>
  <c r="U1692" i="1"/>
  <c r="V1692" i="1" s="1"/>
  <c r="T1692" i="1"/>
  <c r="S1692" i="1"/>
  <c r="R1692" i="1"/>
  <c r="Q1692" i="1"/>
  <c r="P1692" i="1"/>
  <c r="O1692" i="1"/>
  <c r="N1692" i="1"/>
  <c r="M1692" i="1"/>
  <c r="L1692" i="1"/>
  <c r="V1691" i="1"/>
  <c r="U1691" i="1"/>
  <c r="T1691" i="1"/>
  <c r="S1691" i="1"/>
  <c r="R1691" i="1"/>
  <c r="P1691" i="1"/>
  <c r="O1691" i="1"/>
  <c r="N1691" i="1"/>
  <c r="Q1691" i="1" s="1"/>
  <c r="M1691" i="1"/>
  <c r="L1691" i="1"/>
  <c r="U1690" i="1"/>
  <c r="V1690" i="1" s="1"/>
  <c r="T1690" i="1"/>
  <c r="S1690" i="1"/>
  <c r="R1690" i="1"/>
  <c r="Q1690" i="1"/>
  <c r="P1690" i="1"/>
  <c r="O1690" i="1"/>
  <c r="N1690" i="1"/>
  <c r="M1690" i="1"/>
  <c r="L1690" i="1"/>
  <c r="U1689" i="1"/>
  <c r="V1689" i="1" s="1"/>
  <c r="T1689" i="1"/>
  <c r="S1689" i="1"/>
  <c r="R1689" i="1"/>
  <c r="P1689" i="1"/>
  <c r="O1689" i="1"/>
  <c r="N1689" i="1"/>
  <c r="Q1689" i="1" s="1"/>
  <c r="M1689" i="1"/>
  <c r="L1689" i="1"/>
  <c r="V1688" i="1"/>
  <c r="U1688" i="1"/>
  <c r="T1688" i="1"/>
  <c r="S1688" i="1"/>
  <c r="R1688" i="1"/>
  <c r="P1688" i="1"/>
  <c r="O1688" i="1"/>
  <c r="N1688" i="1"/>
  <c r="Q1688" i="1" s="1"/>
  <c r="M1688" i="1"/>
  <c r="L1688" i="1"/>
  <c r="V1687" i="1"/>
  <c r="U1687" i="1"/>
  <c r="T1687" i="1"/>
  <c r="S1687" i="1"/>
  <c r="R1687" i="1"/>
  <c r="Q1687" i="1"/>
  <c r="P1687" i="1"/>
  <c r="O1687" i="1"/>
  <c r="N1687" i="1"/>
  <c r="M1687" i="1"/>
  <c r="L1687" i="1"/>
  <c r="U1686" i="1"/>
  <c r="V1686" i="1" s="1"/>
  <c r="T1686" i="1"/>
  <c r="S1686" i="1"/>
  <c r="R1686" i="1"/>
  <c r="P1686" i="1"/>
  <c r="O1686" i="1"/>
  <c r="N1686" i="1"/>
  <c r="Q1686" i="1" s="1"/>
  <c r="M1686" i="1"/>
  <c r="L1686" i="1"/>
  <c r="U1685" i="1"/>
  <c r="V1685" i="1" s="1"/>
  <c r="T1685" i="1"/>
  <c r="S1685" i="1"/>
  <c r="R1685" i="1"/>
  <c r="Q1685" i="1"/>
  <c r="P1685" i="1"/>
  <c r="O1685" i="1"/>
  <c r="N1685" i="1"/>
  <c r="M1685" i="1"/>
  <c r="L1685" i="1"/>
  <c r="U1684" i="1"/>
  <c r="V1684" i="1" s="1"/>
  <c r="T1684" i="1"/>
  <c r="S1684" i="1"/>
  <c r="R1684" i="1"/>
  <c r="Q1684" i="1"/>
  <c r="P1684" i="1"/>
  <c r="O1684" i="1"/>
  <c r="N1684" i="1"/>
  <c r="M1684" i="1"/>
  <c r="L1684" i="1"/>
  <c r="V1683" i="1"/>
  <c r="U1683" i="1"/>
  <c r="T1683" i="1"/>
  <c r="S1683" i="1"/>
  <c r="R1683" i="1"/>
  <c r="P1683" i="1"/>
  <c r="O1683" i="1"/>
  <c r="N1683" i="1"/>
  <c r="Q1683" i="1" s="1"/>
  <c r="M1683" i="1"/>
  <c r="L1683" i="1"/>
  <c r="U1682" i="1"/>
  <c r="V1682" i="1" s="1"/>
  <c r="T1682" i="1"/>
  <c r="S1682" i="1"/>
  <c r="R1682" i="1"/>
  <c r="Q1682" i="1"/>
  <c r="P1682" i="1"/>
  <c r="O1682" i="1"/>
  <c r="N1682" i="1"/>
  <c r="M1682" i="1"/>
  <c r="L1682" i="1"/>
  <c r="U1681" i="1"/>
  <c r="V1681" i="1" s="1"/>
  <c r="T1681" i="1"/>
  <c r="S1681" i="1"/>
  <c r="R1681" i="1"/>
  <c r="P1681" i="1"/>
  <c r="O1681" i="1"/>
  <c r="N1681" i="1"/>
  <c r="Q1681" i="1" s="1"/>
  <c r="M1681" i="1"/>
  <c r="L1681" i="1"/>
  <c r="V1680" i="1"/>
  <c r="U1680" i="1"/>
  <c r="T1680" i="1"/>
  <c r="S1680" i="1"/>
  <c r="R1680" i="1"/>
  <c r="P1680" i="1"/>
  <c r="O1680" i="1"/>
  <c r="N1680" i="1"/>
  <c r="Q1680" i="1" s="1"/>
  <c r="M1680" i="1"/>
  <c r="L1680" i="1"/>
  <c r="V1679" i="1"/>
  <c r="U1679" i="1"/>
  <c r="T1679" i="1"/>
  <c r="S1679" i="1"/>
  <c r="R1679" i="1"/>
  <c r="Q1679" i="1"/>
  <c r="P1679" i="1"/>
  <c r="O1679" i="1"/>
  <c r="N1679" i="1"/>
  <c r="M1679" i="1"/>
  <c r="L1679" i="1"/>
  <c r="U1678" i="1"/>
  <c r="V1678" i="1" s="1"/>
  <c r="T1678" i="1"/>
  <c r="S1678" i="1"/>
  <c r="R1678" i="1"/>
  <c r="P1678" i="1"/>
  <c r="O1678" i="1"/>
  <c r="N1678" i="1"/>
  <c r="Q1678" i="1" s="1"/>
  <c r="M1678" i="1"/>
  <c r="L1678" i="1"/>
  <c r="U1677" i="1"/>
  <c r="V1677" i="1" s="1"/>
  <c r="T1677" i="1"/>
  <c r="S1677" i="1"/>
  <c r="R1677" i="1"/>
  <c r="Q1677" i="1"/>
  <c r="P1677" i="1"/>
  <c r="O1677" i="1"/>
  <c r="N1677" i="1"/>
  <c r="M1677" i="1"/>
  <c r="L1677" i="1"/>
  <c r="U1676" i="1"/>
  <c r="V1676" i="1" s="1"/>
  <c r="T1676" i="1"/>
  <c r="S1676" i="1"/>
  <c r="R1676" i="1"/>
  <c r="Q1676" i="1"/>
  <c r="P1676" i="1"/>
  <c r="O1676" i="1"/>
  <c r="N1676" i="1"/>
  <c r="M1676" i="1"/>
  <c r="L1676" i="1"/>
  <c r="V1675" i="1"/>
  <c r="U1675" i="1"/>
  <c r="T1675" i="1"/>
  <c r="S1675" i="1"/>
  <c r="R1675" i="1"/>
  <c r="P1675" i="1"/>
  <c r="O1675" i="1"/>
  <c r="N1675" i="1"/>
  <c r="Q1675" i="1" s="1"/>
  <c r="M1675" i="1"/>
  <c r="L1675" i="1"/>
  <c r="U1674" i="1"/>
  <c r="V1674" i="1" s="1"/>
  <c r="T1674" i="1"/>
  <c r="S1674" i="1"/>
  <c r="R1674" i="1"/>
  <c r="Q1674" i="1"/>
  <c r="P1674" i="1"/>
  <c r="O1674" i="1"/>
  <c r="N1674" i="1"/>
  <c r="M1674" i="1"/>
  <c r="L1674" i="1"/>
  <c r="U1673" i="1"/>
  <c r="T1673" i="1"/>
  <c r="S1673" i="1"/>
  <c r="R1673" i="1"/>
  <c r="P1673" i="1"/>
  <c r="O1673" i="1"/>
  <c r="N1673" i="1"/>
  <c r="Q1673" i="1" s="1"/>
  <c r="M1673" i="1"/>
  <c r="L1673" i="1"/>
  <c r="V1672" i="1"/>
  <c r="U1672" i="1"/>
  <c r="T1672" i="1"/>
  <c r="S1672" i="1"/>
  <c r="R1672" i="1"/>
  <c r="P1672" i="1"/>
  <c r="O1672" i="1"/>
  <c r="N1672" i="1"/>
  <c r="Q1672" i="1" s="1"/>
  <c r="M1672" i="1"/>
  <c r="L1672" i="1"/>
  <c r="V1671" i="1"/>
  <c r="U1671" i="1"/>
  <c r="T1671" i="1"/>
  <c r="S1671" i="1"/>
  <c r="R1671" i="1"/>
  <c r="Q1671" i="1"/>
  <c r="P1671" i="1"/>
  <c r="O1671" i="1"/>
  <c r="N1671" i="1"/>
  <c r="M1671" i="1"/>
  <c r="L1671" i="1"/>
  <c r="U1670" i="1"/>
  <c r="V1670" i="1" s="1"/>
  <c r="T1670" i="1"/>
  <c r="S1670" i="1"/>
  <c r="R1670" i="1"/>
  <c r="P1670" i="1"/>
  <c r="O1670" i="1"/>
  <c r="N1670" i="1"/>
  <c r="Q1670" i="1" s="1"/>
  <c r="M1670" i="1"/>
  <c r="L1670" i="1"/>
  <c r="U1669" i="1"/>
  <c r="V1669" i="1" s="1"/>
  <c r="T1669" i="1"/>
  <c r="S1669" i="1"/>
  <c r="R1669" i="1"/>
  <c r="Q1669" i="1"/>
  <c r="P1669" i="1"/>
  <c r="O1669" i="1"/>
  <c r="N1669" i="1"/>
  <c r="M1669" i="1"/>
  <c r="L1669" i="1"/>
  <c r="U1668" i="1"/>
  <c r="V1668" i="1" s="1"/>
  <c r="T1668" i="1"/>
  <c r="S1668" i="1"/>
  <c r="R1668" i="1"/>
  <c r="Q1668" i="1"/>
  <c r="P1668" i="1"/>
  <c r="O1668" i="1"/>
  <c r="N1668" i="1"/>
  <c r="M1668" i="1"/>
  <c r="L1668" i="1"/>
  <c r="U1667" i="1"/>
  <c r="V1667" i="1" s="1"/>
  <c r="T1667" i="1"/>
  <c r="S1667" i="1"/>
  <c r="R1667" i="1"/>
  <c r="P1667" i="1"/>
  <c r="O1667" i="1"/>
  <c r="N1667" i="1"/>
  <c r="Q1667" i="1" s="1"/>
  <c r="M1667" i="1"/>
  <c r="L1667" i="1"/>
  <c r="U1666" i="1"/>
  <c r="V1666" i="1" s="1"/>
  <c r="T1666" i="1"/>
  <c r="S1666" i="1"/>
  <c r="R1666" i="1"/>
  <c r="Q1666" i="1"/>
  <c r="P1666" i="1"/>
  <c r="O1666" i="1"/>
  <c r="N1666" i="1"/>
  <c r="M1666" i="1"/>
  <c r="L1666" i="1"/>
  <c r="U1665" i="1"/>
  <c r="T1665" i="1"/>
  <c r="S1665" i="1"/>
  <c r="R1665" i="1"/>
  <c r="P1665" i="1"/>
  <c r="O1665" i="1"/>
  <c r="N1665" i="1"/>
  <c r="Q1665" i="1" s="1"/>
  <c r="M1665" i="1"/>
  <c r="L1665" i="1"/>
  <c r="V1664" i="1"/>
  <c r="U1664" i="1"/>
  <c r="T1664" i="1"/>
  <c r="S1664" i="1"/>
  <c r="R1664" i="1"/>
  <c r="P1664" i="1"/>
  <c r="O1664" i="1"/>
  <c r="N1664" i="1"/>
  <c r="Q1664" i="1" s="1"/>
  <c r="M1664" i="1"/>
  <c r="L1664" i="1"/>
  <c r="V1663" i="1"/>
  <c r="U1663" i="1"/>
  <c r="T1663" i="1"/>
  <c r="S1663" i="1"/>
  <c r="R1663" i="1"/>
  <c r="Q1663" i="1"/>
  <c r="P1663" i="1"/>
  <c r="O1663" i="1"/>
  <c r="N1663" i="1"/>
  <c r="M1663" i="1"/>
  <c r="L1663" i="1"/>
  <c r="U1662" i="1"/>
  <c r="T1662" i="1"/>
  <c r="S1662" i="1"/>
  <c r="R1662" i="1"/>
  <c r="P1662" i="1"/>
  <c r="O1662" i="1"/>
  <c r="N1662" i="1"/>
  <c r="Q1662" i="1" s="1"/>
  <c r="M1662" i="1"/>
  <c r="L1662" i="1"/>
  <c r="U1661" i="1"/>
  <c r="V1661" i="1" s="1"/>
  <c r="T1661" i="1"/>
  <c r="S1661" i="1"/>
  <c r="R1661" i="1"/>
  <c r="Q1661" i="1"/>
  <c r="P1661" i="1"/>
  <c r="O1661" i="1"/>
  <c r="N1661" i="1"/>
  <c r="M1661" i="1"/>
  <c r="L1661" i="1"/>
  <c r="U1660" i="1"/>
  <c r="V1660" i="1" s="1"/>
  <c r="T1660" i="1"/>
  <c r="S1660" i="1"/>
  <c r="R1660" i="1"/>
  <c r="Q1660" i="1"/>
  <c r="P1660" i="1"/>
  <c r="O1660" i="1"/>
  <c r="N1660" i="1"/>
  <c r="M1660" i="1"/>
  <c r="L1660" i="1"/>
  <c r="U1659" i="1"/>
  <c r="V1659" i="1" s="1"/>
  <c r="T1659" i="1"/>
  <c r="S1659" i="1"/>
  <c r="R1659" i="1"/>
  <c r="P1659" i="1"/>
  <c r="O1659" i="1"/>
  <c r="N1659" i="1"/>
  <c r="Q1659" i="1" s="1"/>
  <c r="M1659" i="1"/>
  <c r="L1659" i="1"/>
  <c r="U1658" i="1"/>
  <c r="V1658" i="1" s="1"/>
  <c r="T1658" i="1"/>
  <c r="S1658" i="1"/>
  <c r="R1658" i="1"/>
  <c r="Q1658" i="1"/>
  <c r="P1658" i="1"/>
  <c r="O1658" i="1"/>
  <c r="N1658" i="1"/>
  <c r="M1658" i="1"/>
  <c r="L1658" i="1"/>
  <c r="U1657" i="1"/>
  <c r="T1657" i="1"/>
  <c r="S1657" i="1"/>
  <c r="R1657" i="1"/>
  <c r="P1657" i="1"/>
  <c r="O1657" i="1"/>
  <c r="N1657" i="1"/>
  <c r="Q1657" i="1" s="1"/>
  <c r="M1657" i="1"/>
  <c r="L1657" i="1"/>
  <c r="V1656" i="1"/>
  <c r="U1656" i="1"/>
  <c r="T1656" i="1"/>
  <c r="S1656" i="1"/>
  <c r="R1656" i="1"/>
  <c r="P1656" i="1"/>
  <c r="O1656" i="1"/>
  <c r="N1656" i="1"/>
  <c r="Q1656" i="1" s="1"/>
  <c r="M1656" i="1"/>
  <c r="L1656" i="1"/>
  <c r="V1655" i="1"/>
  <c r="U1655" i="1"/>
  <c r="T1655" i="1"/>
  <c r="S1655" i="1"/>
  <c r="R1655" i="1"/>
  <c r="Q1655" i="1"/>
  <c r="P1655" i="1"/>
  <c r="O1655" i="1"/>
  <c r="N1655" i="1"/>
  <c r="M1655" i="1"/>
  <c r="L1655" i="1"/>
  <c r="U1654" i="1"/>
  <c r="V1654" i="1" s="1"/>
  <c r="T1654" i="1"/>
  <c r="S1654" i="1"/>
  <c r="R1654" i="1"/>
  <c r="P1654" i="1"/>
  <c r="O1654" i="1"/>
  <c r="N1654" i="1"/>
  <c r="Q1654" i="1" s="1"/>
  <c r="M1654" i="1"/>
  <c r="L1654" i="1"/>
  <c r="U1653" i="1"/>
  <c r="V1653" i="1" s="1"/>
  <c r="T1653" i="1"/>
  <c r="S1653" i="1"/>
  <c r="R1653" i="1"/>
  <c r="Q1653" i="1"/>
  <c r="P1653" i="1"/>
  <c r="O1653" i="1"/>
  <c r="N1653" i="1"/>
  <c r="M1653" i="1"/>
  <c r="L1653" i="1"/>
  <c r="U1652" i="1"/>
  <c r="V1652" i="1" s="1"/>
  <c r="T1652" i="1"/>
  <c r="S1652" i="1"/>
  <c r="R1652" i="1"/>
  <c r="Q1652" i="1"/>
  <c r="P1652" i="1"/>
  <c r="O1652" i="1"/>
  <c r="N1652" i="1"/>
  <c r="M1652" i="1"/>
  <c r="L1652" i="1"/>
  <c r="U1651" i="1"/>
  <c r="V1651" i="1" s="1"/>
  <c r="T1651" i="1"/>
  <c r="S1651" i="1"/>
  <c r="R1651" i="1"/>
  <c r="P1651" i="1"/>
  <c r="O1651" i="1"/>
  <c r="N1651" i="1"/>
  <c r="Q1651" i="1" s="1"/>
  <c r="M1651" i="1"/>
  <c r="L1651" i="1"/>
  <c r="U1650" i="1"/>
  <c r="V1650" i="1" s="1"/>
  <c r="T1650" i="1"/>
  <c r="S1650" i="1"/>
  <c r="R1650" i="1"/>
  <c r="Q1650" i="1"/>
  <c r="P1650" i="1"/>
  <c r="O1650" i="1"/>
  <c r="N1650" i="1"/>
  <c r="M1650" i="1"/>
  <c r="L1650" i="1"/>
  <c r="U1649" i="1"/>
  <c r="T1649" i="1"/>
  <c r="S1649" i="1"/>
  <c r="R1649" i="1"/>
  <c r="P1649" i="1"/>
  <c r="O1649" i="1"/>
  <c r="N1649" i="1"/>
  <c r="Q1649" i="1" s="1"/>
  <c r="M1649" i="1"/>
  <c r="L1649" i="1"/>
  <c r="V1648" i="1"/>
  <c r="U1648" i="1"/>
  <c r="T1648" i="1"/>
  <c r="S1648" i="1"/>
  <c r="R1648" i="1"/>
  <c r="P1648" i="1"/>
  <c r="O1648" i="1"/>
  <c r="N1648" i="1"/>
  <c r="Q1648" i="1" s="1"/>
  <c r="M1648" i="1"/>
  <c r="L1648" i="1"/>
  <c r="V1647" i="1"/>
  <c r="U1647" i="1"/>
  <c r="T1647" i="1"/>
  <c r="S1647" i="1"/>
  <c r="R1647" i="1"/>
  <c r="Q1647" i="1"/>
  <c r="P1647" i="1"/>
  <c r="O1647" i="1"/>
  <c r="N1647" i="1"/>
  <c r="M1647" i="1"/>
  <c r="L1647" i="1"/>
  <c r="U1646" i="1"/>
  <c r="V1646" i="1" s="1"/>
  <c r="T1646" i="1"/>
  <c r="S1646" i="1"/>
  <c r="R1646" i="1"/>
  <c r="P1646" i="1"/>
  <c r="O1646" i="1"/>
  <c r="N1646" i="1"/>
  <c r="Q1646" i="1" s="1"/>
  <c r="M1646" i="1"/>
  <c r="L1646" i="1"/>
  <c r="U1645" i="1"/>
  <c r="V1645" i="1" s="1"/>
  <c r="T1645" i="1"/>
  <c r="S1645" i="1"/>
  <c r="R1645" i="1"/>
  <c r="Q1645" i="1"/>
  <c r="P1645" i="1"/>
  <c r="O1645" i="1"/>
  <c r="N1645" i="1"/>
  <c r="M1645" i="1"/>
  <c r="L1645" i="1"/>
  <c r="U1644" i="1"/>
  <c r="V1644" i="1" s="1"/>
  <c r="T1644" i="1"/>
  <c r="S1644" i="1"/>
  <c r="R1644" i="1"/>
  <c r="Q1644" i="1"/>
  <c r="P1644" i="1"/>
  <c r="O1644" i="1"/>
  <c r="N1644" i="1"/>
  <c r="M1644" i="1"/>
  <c r="L1644" i="1"/>
  <c r="U1643" i="1"/>
  <c r="V1643" i="1" s="1"/>
  <c r="T1643" i="1"/>
  <c r="S1643" i="1"/>
  <c r="R1643" i="1"/>
  <c r="P1643" i="1"/>
  <c r="O1643" i="1"/>
  <c r="N1643" i="1"/>
  <c r="Q1643" i="1" s="1"/>
  <c r="M1643" i="1"/>
  <c r="L1643" i="1"/>
  <c r="U1642" i="1"/>
  <c r="V1642" i="1" s="1"/>
  <c r="T1642" i="1"/>
  <c r="S1642" i="1"/>
  <c r="R1642" i="1"/>
  <c r="Q1642" i="1"/>
  <c r="P1642" i="1"/>
  <c r="O1642" i="1"/>
  <c r="N1642" i="1"/>
  <c r="M1642" i="1"/>
  <c r="L1642" i="1"/>
  <c r="U1641" i="1"/>
  <c r="T1641" i="1"/>
  <c r="S1641" i="1"/>
  <c r="R1641" i="1"/>
  <c r="P1641" i="1"/>
  <c r="O1641" i="1"/>
  <c r="N1641" i="1"/>
  <c r="Q1641" i="1" s="1"/>
  <c r="M1641" i="1"/>
  <c r="L1641" i="1"/>
  <c r="V1640" i="1"/>
  <c r="U1640" i="1"/>
  <c r="T1640" i="1"/>
  <c r="S1640" i="1"/>
  <c r="R1640" i="1"/>
  <c r="P1640" i="1"/>
  <c r="O1640" i="1"/>
  <c r="N1640" i="1"/>
  <c r="Q1640" i="1" s="1"/>
  <c r="M1640" i="1"/>
  <c r="L1640" i="1"/>
  <c r="V1639" i="1"/>
  <c r="U1639" i="1"/>
  <c r="T1639" i="1"/>
  <c r="S1639" i="1"/>
  <c r="R1639" i="1"/>
  <c r="Q1639" i="1"/>
  <c r="P1639" i="1"/>
  <c r="O1639" i="1"/>
  <c r="N1639" i="1"/>
  <c r="M1639" i="1"/>
  <c r="L1639" i="1"/>
  <c r="U1638" i="1"/>
  <c r="V1638" i="1" s="1"/>
  <c r="T1638" i="1"/>
  <c r="S1638" i="1"/>
  <c r="R1638" i="1"/>
  <c r="P1638" i="1"/>
  <c r="O1638" i="1"/>
  <c r="N1638" i="1"/>
  <c r="Q1638" i="1" s="1"/>
  <c r="M1638" i="1"/>
  <c r="L1638" i="1"/>
  <c r="U1637" i="1"/>
  <c r="V1637" i="1" s="1"/>
  <c r="T1637" i="1"/>
  <c r="S1637" i="1"/>
  <c r="R1637" i="1"/>
  <c r="Q1637" i="1"/>
  <c r="P1637" i="1"/>
  <c r="O1637" i="1"/>
  <c r="N1637" i="1"/>
  <c r="M1637" i="1"/>
  <c r="L1637" i="1"/>
  <c r="U1636" i="1"/>
  <c r="V1636" i="1" s="1"/>
  <c r="T1636" i="1"/>
  <c r="S1636" i="1"/>
  <c r="R1636" i="1"/>
  <c r="Q1636" i="1"/>
  <c r="P1636" i="1"/>
  <c r="O1636" i="1"/>
  <c r="N1636" i="1"/>
  <c r="M1636" i="1"/>
  <c r="L1636" i="1"/>
  <c r="U1635" i="1"/>
  <c r="V1635" i="1" s="1"/>
  <c r="T1635" i="1"/>
  <c r="S1635" i="1"/>
  <c r="R1635" i="1"/>
  <c r="P1635" i="1"/>
  <c r="O1635" i="1"/>
  <c r="N1635" i="1"/>
  <c r="Q1635" i="1" s="1"/>
  <c r="M1635" i="1"/>
  <c r="L1635" i="1"/>
  <c r="U1634" i="1"/>
  <c r="V1634" i="1" s="1"/>
  <c r="T1634" i="1"/>
  <c r="S1634" i="1"/>
  <c r="R1634" i="1"/>
  <c r="Q1634" i="1"/>
  <c r="P1634" i="1"/>
  <c r="O1634" i="1"/>
  <c r="N1634" i="1"/>
  <c r="M1634" i="1"/>
  <c r="L1634" i="1"/>
  <c r="U1633" i="1"/>
  <c r="T1633" i="1"/>
  <c r="S1633" i="1"/>
  <c r="R1633" i="1"/>
  <c r="P1633" i="1"/>
  <c r="O1633" i="1"/>
  <c r="N1633" i="1"/>
  <c r="Q1633" i="1" s="1"/>
  <c r="M1633" i="1"/>
  <c r="L1633" i="1"/>
  <c r="V1632" i="1"/>
  <c r="U1632" i="1"/>
  <c r="T1632" i="1"/>
  <c r="S1632" i="1"/>
  <c r="R1632" i="1"/>
  <c r="P1632" i="1"/>
  <c r="O1632" i="1"/>
  <c r="N1632" i="1"/>
  <c r="Q1632" i="1" s="1"/>
  <c r="M1632" i="1"/>
  <c r="L1632" i="1"/>
  <c r="V1631" i="1"/>
  <c r="U1631" i="1"/>
  <c r="T1631" i="1"/>
  <c r="S1631" i="1"/>
  <c r="R1631" i="1"/>
  <c r="Q1631" i="1"/>
  <c r="P1631" i="1"/>
  <c r="O1631" i="1"/>
  <c r="N1631" i="1"/>
  <c r="M1631" i="1"/>
  <c r="L1631" i="1"/>
  <c r="U1630" i="1"/>
  <c r="V1630" i="1" s="1"/>
  <c r="T1630" i="1"/>
  <c r="S1630" i="1"/>
  <c r="R1630" i="1"/>
  <c r="P1630" i="1"/>
  <c r="O1630" i="1"/>
  <c r="N1630" i="1"/>
  <c r="Q1630" i="1" s="1"/>
  <c r="M1630" i="1"/>
  <c r="L1630" i="1"/>
  <c r="U1629" i="1"/>
  <c r="V1629" i="1" s="1"/>
  <c r="T1629" i="1"/>
  <c r="S1629" i="1"/>
  <c r="R1629" i="1"/>
  <c r="Q1629" i="1"/>
  <c r="P1629" i="1"/>
  <c r="O1629" i="1"/>
  <c r="N1629" i="1"/>
  <c r="M1629" i="1"/>
  <c r="L1629" i="1"/>
  <c r="U1628" i="1"/>
  <c r="V1628" i="1" s="1"/>
  <c r="T1628" i="1"/>
  <c r="S1628" i="1"/>
  <c r="R1628" i="1"/>
  <c r="Q1628" i="1"/>
  <c r="P1628" i="1"/>
  <c r="O1628" i="1"/>
  <c r="N1628" i="1"/>
  <c r="M1628" i="1"/>
  <c r="L1628" i="1"/>
  <c r="U1627" i="1"/>
  <c r="V1627" i="1" s="1"/>
  <c r="T1627" i="1"/>
  <c r="S1627" i="1"/>
  <c r="R1627" i="1"/>
  <c r="P1627" i="1"/>
  <c r="O1627" i="1"/>
  <c r="N1627" i="1"/>
  <c r="Q1627" i="1" s="1"/>
  <c r="M1627" i="1"/>
  <c r="L1627" i="1"/>
  <c r="U1626" i="1"/>
  <c r="V1626" i="1" s="1"/>
  <c r="T1626" i="1"/>
  <c r="S1626" i="1"/>
  <c r="R1626" i="1"/>
  <c r="Q1626" i="1"/>
  <c r="P1626" i="1"/>
  <c r="O1626" i="1"/>
  <c r="N1626" i="1"/>
  <c r="M1626" i="1"/>
  <c r="L1626" i="1"/>
  <c r="U1625" i="1"/>
  <c r="T1625" i="1"/>
  <c r="S1625" i="1"/>
  <c r="R1625" i="1"/>
  <c r="P1625" i="1"/>
  <c r="O1625" i="1"/>
  <c r="N1625" i="1"/>
  <c r="Q1625" i="1" s="1"/>
  <c r="M1625" i="1"/>
  <c r="L1625" i="1"/>
  <c r="V1624" i="1"/>
  <c r="U1624" i="1"/>
  <c r="T1624" i="1"/>
  <c r="S1624" i="1"/>
  <c r="R1624" i="1"/>
  <c r="P1624" i="1"/>
  <c r="O1624" i="1"/>
  <c r="N1624" i="1"/>
  <c r="Q1624" i="1" s="1"/>
  <c r="M1624" i="1"/>
  <c r="L1624" i="1"/>
  <c r="V1623" i="1"/>
  <c r="U1623" i="1"/>
  <c r="T1623" i="1"/>
  <c r="S1623" i="1"/>
  <c r="R1623" i="1"/>
  <c r="Q1623" i="1"/>
  <c r="P1623" i="1"/>
  <c r="O1623" i="1"/>
  <c r="N1623" i="1"/>
  <c r="M1623" i="1"/>
  <c r="L1623" i="1"/>
  <c r="U1622" i="1"/>
  <c r="V1622" i="1" s="1"/>
  <c r="T1622" i="1"/>
  <c r="S1622" i="1"/>
  <c r="R1622" i="1"/>
  <c r="P1622" i="1"/>
  <c r="O1622" i="1"/>
  <c r="N1622" i="1"/>
  <c r="Q1622" i="1" s="1"/>
  <c r="M1622" i="1"/>
  <c r="L1622" i="1"/>
  <c r="U1621" i="1"/>
  <c r="V1621" i="1" s="1"/>
  <c r="T1621" i="1"/>
  <c r="S1621" i="1"/>
  <c r="R1621" i="1"/>
  <c r="Q1621" i="1"/>
  <c r="P1621" i="1"/>
  <c r="O1621" i="1"/>
  <c r="N1621" i="1"/>
  <c r="M1621" i="1"/>
  <c r="L1621" i="1"/>
  <c r="U1620" i="1"/>
  <c r="V1620" i="1" s="1"/>
  <c r="T1620" i="1"/>
  <c r="S1620" i="1"/>
  <c r="R1620" i="1"/>
  <c r="Q1620" i="1"/>
  <c r="P1620" i="1"/>
  <c r="O1620" i="1"/>
  <c r="N1620" i="1"/>
  <c r="M1620" i="1"/>
  <c r="L1620" i="1"/>
  <c r="U1619" i="1"/>
  <c r="V1619" i="1" s="1"/>
  <c r="T1619" i="1"/>
  <c r="S1619" i="1"/>
  <c r="R1619" i="1"/>
  <c r="P1619" i="1"/>
  <c r="O1619" i="1"/>
  <c r="N1619" i="1"/>
  <c r="Q1619" i="1" s="1"/>
  <c r="M1619" i="1"/>
  <c r="L1619" i="1"/>
  <c r="U1618" i="1"/>
  <c r="V1618" i="1" s="1"/>
  <c r="T1618" i="1"/>
  <c r="S1618" i="1"/>
  <c r="R1618" i="1"/>
  <c r="Q1618" i="1"/>
  <c r="P1618" i="1"/>
  <c r="O1618" i="1"/>
  <c r="N1618" i="1"/>
  <c r="M1618" i="1"/>
  <c r="L1618" i="1"/>
  <c r="U1617" i="1"/>
  <c r="T1617" i="1"/>
  <c r="S1617" i="1"/>
  <c r="R1617" i="1"/>
  <c r="P1617" i="1"/>
  <c r="O1617" i="1"/>
  <c r="N1617" i="1"/>
  <c r="Q1617" i="1" s="1"/>
  <c r="M1617" i="1"/>
  <c r="L1617" i="1"/>
  <c r="V1616" i="1"/>
  <c r="U1616" i="1"/>
  <c r="T1616" i="1"/>
  <c r="S1616" i="1"/>
  <c r="R1616" i="1"/>
  <c r="P1616" i="1"/>
  <c r="O1616" i="1"/>
  <c r="N1616" i="1"/>
  <c r="Q1616" i="1" s="1"/>
  <c r="M1616" i="1"/>
  <c r="L1616" i="1"/>
  <c r="V1615" i="1"/>
  <c r="U1615" i="1"/>
  <c r="T1615" i="1"/>
  <c r="S1615" i="1"/>
  <c r="R1615" i="1"/>
  <c r="Q1615" i="1"/>
  <c r="P1615" i="1"/>
  <c r="O1615" i="1"/>
  <c r="N1615" i="1"/>
  <c r="M1615" i="1"/>
  <c r="L1615" i="1"/>
  <c r="U1614" i="1"/>
  <c r="V1614" i="1" s="1"/>
  <c r="T1614" i="1"/>
  <c r="S1614" i="1"/>
  <c r="R1614" i="1"/>
  <c r="Q1614" i="1"/>
  <c r="P1614" i="1"/>
  <c r="O1614" i="1"/>
  <c r="N1614" i="1"/>
  <c r="M1614" i="1"/>
  <c r="L1614" i="1"/>
  <c r="U1613" i="1"/>
  <c r="V1613" i="1" s="1"/>
  <c r="T1613" i="1"/>
  <c r="S1613" i="1"/>
  <c r="R1613" i="1"/>
  <c r="Q1613" i="1"/>
  <c r="P1613" i="1"/>
  <c r="O1613" i="1"/>
  <c r="N1613" i="1"/>
  <c r="M1613" i="1"/>
  <c r="L1613" i="1"/>
  <c r="U1612" i="1"/>
  <c r="V1612" i="1" s="1"/>
  <c r="T1612" i="1"/>
  <c r="S1612" i="1"/>
  <c r="R1612" i="1"/>
  <c r="Q1612" i="1"/>
  <c r="P1612" i="1"/>
  <c r="O1612" i="1"/>
  <c r="N1612" i="1"/>
  <c r="M1612" i="1"/>
  <c r="L1612" i="1"/>
  <c r="V1611" i="1"/>
  <c r="U1611" i="1"/>
  <c r="T1611" i="1"/>
  <c r="S1611" i="1"/>
  <c r="R1611" i="1"/>
  <c r="P1611" i="1"/>
  <c r="O1611" i="1"/>
  <c r="N1611" i="1"/>
  <c r="Q1611" i="1" s="1"/>
  <c r="M1611" i="1"/>
  <c r="L1611" i="1"/>
  <c r="U1610" i="1"/>
  <c r="V1610" i="1" s="1"/>
  <c r="T1610" i="1"/>
  <c r="S1610" i="1"/>
  <c r="R1610" i="1"/>
  <c r="Q1610" i="1"/>
  <c r="P1610" i="1"/>
  <c r="O1610" i="1"/>
  <c r="N1610" i="1"/>
  <c r="M1610" i="1"/>
  <c r="L1610" i="1"/>
  <c r="U1609" i="1"/>
  <c r="T1609" i="1"/>
  <c r="S1609" i="1"/>
  <c r="R1609" i="1"/>
  <c r="P1609" i="1"/>
  <c r="O1609" i="1"/>
  <c r="N1609" i="1"/>
  <c r="Q1609" i="1" s="1"/>
  <c r="M1609" i="1"/>
  <c r="L1609" i="1"/>
  <c r="V1608" i="1"/>
  <c r="U1608" i="1"/>
  <c r="T1608" i="1"/>
  <c r="S1608" i="1"/>
  <c r="R1608" i="1"/>
  <c r="P1608" i="1"/>
  <c r="O1608" i="1"/>
  <c r="N1608" i="1"/>
  <c r="Q1608" i="1" s="1"/>
  <c r="M1608" i="1"/>
  <c r="L1608" i="1"/>
  <c r="V1607" i="1"/>
  <c r="U1607" i="1"/>
  <c r="T1607" i="1"/>
  <c r="S1607" i="1"/>
  <c r="R1607" i="1"/>
  <c r="Q1607" i="1"/>
  <c r="P1607" i="1"/>
  <c r="O1607" i="1"/>
  <c r="N1607" i="1"/>
  <c r="M1607" i="1"/>
  <c r="L1607" i="1"/>
  <c r="U1606" i="1"/>
  <c r="T1606" i="1"/>
  <c r="S1606" i="1"/>
  <c r="R1606" i="1"/>
  <c r="P1606" i="1"/>
  <c r="O1606" i="1"/>
  <c r="N1606" i="1"/>
  <c r="Q1606" i="1" s="1"/>
  <c r="M1606" i="1"/>
  <c r="L1606" i="1"/>
  <c r="V1606" i="1" s="1"/>
  <c r="U1605" i="1"/>
  <c r="V1605" i="1" s="1"/>
  <c r="T1605" i="1"/>
  <c r="S1605" i="1"/>
  <c r="R1605" i="1"/>
  <c r="Q1605" i="1"/>
  <c r="P1605" i="1"/>
  <c r="O1605" i="1"/>
  <c r="N1605" i="1"/>
  <c r="M1605" i="1"/>
  <c r="L1605" i="1"/>
  <c r="U1604" i="1"/>
  <c r="T1604" i="1"/>
  <c r="S1604" i="1"/>
  <c r="R1604" i="1"/>
  <c r="Q1604" i="1"/>
  <c r="P1604" i="1"/>
  <c r="O1604" i="1"/>
  <c r="N1604" i="1"/>
  <c r="M1604" i="1"/>
  <c r="L1604" i="1"/>
  <c r="U1603" i="1"/>
  <c r="V1603" i="1" s="1"/>
  <c r="T1603" i="1"/>
  <c r="S1603" i="1"/>
  <c r="R1603" i="1"/>
  <c r="P1603" i="1"/>
  <c r="O1603" i="1"/>
  <c r="N1603" i="1"/>
  <c r="Q1603" i="1" s="1"/>
  <c r="M1603" i="1"/>
  <c r="L1603" i="1"/>
  <c r="U1602" i="1"/>
  <c r="V1602" i="1" s="1"/>
  <c r="T1602" i="1"/>
  <c r="S1602" i="1"/>
  <c r="R1602" i="1"/>
  <c r="Q1602" i="1"/>
  <c r="P1602" i="1"/>
  <c r="O1602" i="1"/>
  <c r="N1602" i="1"/>
  <c r="M1602" i="1"/>
  <c r="L1602" i="1"/>
  <c r="U1601" i="1"/>
  <c r="T1601" i="1"/>
  <c r="S1601" i="1"/>
  <c r="R1601" i="1"/>
  <c r="P1601" i="1"/>
  <c r="O1601" i="1"/>
  <c r="N1601" i="1"/>
  <c r="Q1601" i="1" s="1"/>
  <c r="M1601" i="1"/>
  <c r="L1601" i="1"/>
  <c r="V1600" i="1"/>
  <c r="U1600" i="1"/>
  <c r="T1600" i="1"/>
  <c r="S1600" i="1"/>
  <c r="R1600" i="1"/>
  <c r="P1600" i="1"/>
  <c r="O1600" i="1"/>
  <c r="N1600" i="1"/>
  <c r="Q1600" i="1" s="1"/>
  <c r="M1600" i="1"/>
  <c r="L1600" i="1"/>
  <c r="V1599" i="1"/>
  <c r="U1599" i="1"/>
  <c r="T1599" i="1"/>
  <c r="S1599" i="1"/>
  <c r="R1599" i="1"/>
  <c r="P1599" i="1"/>
  <c r="O1599" i="1"/>
  <c r="N1599" i="1"/>
  <c r="Q1599" i="1" s="1"/>
  <c r="M1599" i="1"/>
  <c r="L1599" i="1"/>
  <c r="U1598" i="1"/>
  <c r="V1598" i="1" s="1"/>
  <c r="T1598" i="1"/>
  <c r="S1598" i="1"/>
  <c r="R1598" i="1"/>
  <c r="Q1598" i="1"/>
  <c r="P1598" i="1"/>
  <c r="O1598" i="1"/>
  <c r="N1598" i="1"/>
  <c r="M1598" i="1"/>
  <c r="L1598" i="1"/>
  <c r="U1597" i="1"/>
  <c r="V1597" i="1" s="1"/>
  <c r="T1597" i="1"/>
  <c r="S1597" i="1"/>
  <c r="R1597" i="1"/>
  <c r="Q1597" i="1"/>
  <c r="P1597" i="1"/>
  <c r="O1597" i="1"/>
  <c r="N1597" i="1"/>
  <c r="M1597" i="1"/>
  <c r="L1597" i="1"/>
  <c r="U1596" i="1"/>
  <c r="V1596" i="1" s="1"/>
  <c r="T1596" i="1"/>
  <c r="S1596" i="1"/>
  <c r="R1596" i="1"/>
  <c r="Q1596" i="1"/>
  <c r="P1596" i="1"/>
  <c r="O1596" i="1"/>
  <c r="N1596" i="1"/>
  <c r="M1596" i="1"/>
  <c r="L1596" i="1"/>
  <c r="V1595" i="1"/>
  <c r="U1595" i="1"/>
  <c r="T1595" i="1"/>
  <c r="S1595" i="1"/>
  <c r="R1595" i="1"/>
  <c r="P1595" i="1"/>
  <c r="O1595" i="1"/>
  <c r="N1595" i="1"/>
  <c r="Q1595" i="1" s="1"/>
  <c r="M1595" i="1"/>
  <c r="L1595" i="1"/>
  <c r="U1594" i="1"/>
  <c r="V1594" i="1" s="1"/>
  <c r="T1594" i="1"/>
  <c r="S1594" i="1"/>
  <c r="R1594" i="1"/>
  <c r="Q1594" i="1"/>
  <c r="P1594" i="1"/>
  <c r="O1594" i="1"/>
  <c r="N1594" i="1"/>
  <c r="M1594" i="1"/>
  <c r="L1594" i="1"/>
  <c r="U1593" i="1"/>
  <c r="T1593" i="1"/>
  <c r="S1593" i="1"/>
  <c r="R1593" i="1"/>
  <c r="P1593" i="1"/>
  <c r="O1593" i="1"/>
  <c r="N1593" i="1"/>
  <c r="Q1593" i="1" s="1"/>
  <c r="M1593" i="1"/>
  <c r="L1593" i="1"/>
  <c r="V1592" i="1"/>
  <c r="U1592" i="1"/>
  <c r="T1592" i="1"/>
  <c r="S1592" i="1"/>
  <c r="R1592" i="1"/>
  <c r="P1592" i="1"/>
  <c r="O1592" i="1"/>
  <c r="N1592" i="1"/>
  <c r="Q1592" i="1" s="1"/>
  <c r="M1592" i="1"/>
  <c r="L1592" i="1"/>
  <c r="V1591" i="1"/>
  <c r="U1591" i="1"/>
  <c r="T1591" i="1"/>
  <c r="S1591" i="1"/>
  <c r="R1591" i="1"/>
  <c r="Q1591" i="1"/>
  <c r="P1591" i="1"/>
  <c r="O1591" i="1"/>
  <c r="N1591" i="1"/>
  <c r="M1591" i="1"/>
  <c r="L1591" i="1"/>
  <c r="V1590" i="1"/>
  <c r="U1590" i="1"/>
  <c r="T1590" i="1"/>
  <c r="S1590" i="1"/>
  <c r="R1590" i="1"/>
  <c r="P1590" i="1"/>
  <c r="O1590" i="1"/>
  <c r="N1590" i="1"/>
  <c r="Q1590" i="1" s="1"/>
  <c r="M1590" i="1"/>
  <c r="L1590" i="1"/>
  <c r="U1589" i="1"/>
  <c r="T1589" i="1"/>
  <c r="S1589" i="1"/>
  <c r="R1589" i="1"/>
  <c r="Q1589" i="1"/>
  <c r="P1589" i="1"/>
  <c r="O1589" i="1"/>
  <c r="N1589" i="1"/>
  <c r="M1589" i="1"/>
  <c r="L1589" i="1"/>
  <c r="U1588" i="1"/>
  <c r="T1588" i="1"/>
  <c r="S1588" i="1"/>
  <c r="R1588" i="1"/>
  <c r="Q1588" i="1"/>
  <c r="P1588" i="1"/>
  <c r="O1588" i="1"/>
  <c r="N1588" i="1"/>
  <c r="M1588" i="1"/>
  <c r="L1588" i="1"/>
  <c r="U1587" i="1"/>
  <c r="V1587" i="1" s="1"/>
  <c r="T1587" i="1"/>
  <c r="S1587" i="1"/>
  <c r="R1587" i="1"/>
  <c r="P1587" i="1"/>
  <c r="O1587" i="1"/>
  <c r="N1587" i="1"/>
  <c r="Q1587" i="1" s="1"/>
  <c r="M1587" i="1"/>
  <c r="L1587" i="1"/>
  <c r="U1586" i="1"/>
  <c r="V1586" i="1" s="1"/>
  <c r="T1586" i="1"/>
  <c r="S1586" i="1"/>
  <c r="R1586" i="1"/>
  <c r="Q1586" i="1"/>
  <c r="P1586" i="1"/>
  <c r="O1586" i="1"/>
  <c r="N1586" i="1"/>
  <c r="M1586" i="1"/>
  <c r="L1586" i="1"/>
  <c r="U1585" i="1"/>
  <c r="T1585" i="1"/>
  <c r="S1585" i="1"/>
  <c r="R1585" i="1"/>
  <c r="P1585" i="1"/>
  <c r="O1585" i="1"/>
  <c r="N1585" i="1"/>
  <c r="Q1585" i="1" s="1"/>
  <c r="M1585" i="1"/>
  <c r="L1585" i="1"/>
  <c r="V1584" i="1"/>
  <c r="U1584" i="1"/>
  <c r="T1584" i="1"/>
  <c r="S1584" i="1"/>
  <c r="R1584" i="1"/>
  <c r="P1584" i="1"/>
  <c r="O1584" i="1"/>
  <c r="N1584" i="1"/>
  <c r="Q1584" i="1" s="1"/>
  <c r="M1584" i="1"/>
  <c r="L1584" i="1"/>
  <c r="V1583" i="1"/>
  <c r="U1583" i="1"/>
  <c r="T1583" i="1"/>
  <c r="S1583" i="1"/>
  <c r="R1583" i="1"/>
  <c r="P1583" i="1"/>
  <c r="O1583" i="1"/>
  <c r="N1583" i="1"/>
  <c r="Q1583" i="1" s="1"/>
  <c r="M1583" i="1"/>
  <c r="L1583" i="1"/>
  <c r="V1582" i="1"/>
  <c r="U1582" i="1"/>
  <c r="T1582" i="1"/>
  <c r="S1582" i="1"/>
  <c r="R1582" i="1"/>
  <c r="Q1582" i="1"/>
  <c r="P1582" i="1"/>
  <c r="O1582" i="1"/>
  <c r="N1582" i="1"/>
  <c r="M1582" i="1"/>
  <c r="L1582" i="1"/>
  <c r="V1581" i="1"/>
  <c r="U1581" i="1"/>
  <c r="T1581" i="1"/>
  <c r="S1581" i="1"/>
  <c r="R1581" i="1"/>
  <c r="P1581" i="1"/>
  <c r="O1581" i="1"/>
  <c r="N1581" i="1"/>
  <c r="Q1581" i="1" s="1"/>
  <c r="M1581" i="1"/>
  <c r="L1581" i="1"/>
  <c r="U1580" i="1"/>
  <c r="T1580" i="1"/>
  <c r="S1580" i="1"/>
  <c r="R1580" i="1"/>
  <c r="Q1580" i="1"/>
  <c r="P1580" i="1"/>
  <c r="O1580" i="1"/>
  <c r="N1580" i="1"/>
  <c r="M1580" i="1"/>
  <c r="L1580" i="1"/>
  <c r="U1579" i="1"/>
  <c r="V1579" i="1" s="1"/>
  <c r="T1579" i="1"/>
  <c r="S1579" i="1"/>
  <c r="R1579" i="1"/>
  <c r="P1579" i="1"/>
  <c r="O1579" i="1"/>
  <c r="N1579" i="1"/>
  <c r="Q1579" i="1" s="1"/>
  <c r="M1579" i="1"/>
  <c r="L1579" i="1"/>
  <c r="U1578" i="1"/>
  <c r="V1578" i="1" s="1"/>
  <c r="T1578" i="1"/>
  <c r="S1578" i="1"/>
  <c r="R1578" i="1"/>
  <c r="Q1578" i="1"/>
  <c r="P1578" i="1"/>
  <c r="O1578" i="1"/>
  <c r="N1578" i="1"/>
  <c r="M1578" i="1"/>
  <c r="L1578" i="1"/>
  <c r="U1577" i="1"/>
  <c r="T1577" i="1"/>
  <c r="S1577" i="1"/>
  <c r="R1577" i="1"/>
  <c r="P1577" i="1"/>
  <c r="O1577" i="1"/>
  <c r="N1577" i="1"/>
  <c r="Q1577" i="1" s="1"/>
  <c r="M1577" i="1"/>
  <c r="L1577" i="1"/>
  <c r="V1576" i="1"/>
  <c r="U1576" i="1"/>
  <c r="T1576" i="1"/>
  <c r="S1576" i="1"/>
  <c r="R1576" i="1"/>
  <c r="P1576" i="1"/>
  <c r="O1576" i="1"/>
  <c r="N1576" i="1"/>
  <c r="Q1576" i="1" s="1"/>
  <c r="M1576" i="1"/>
  <c r="L1576" i="1"/>
  <c r="V1575" i="1"/>
  <c r="U1575" i="1"/>
  <c r="T1575" i="1"/>
  <c r="S1575" i="1"/>
  <c r="R1575" i="1"/>
  <c r="P1575" i="1"/>
  <c r="O1575" i="1"/>
  <c r="N1575" i="1"/>
  <c r="Q1575" i="1" s="1"/>
  <c r="M1575" i="1"/>
  <c r="L1575" i="1"/>
  <c r="U1574" i="1"/>
  <c r="V1574" i="1" s="1"/>
  <c r="T1574" i="1"/>
  <c r="S1574" i="1"/>
  <c r="R1574" i="1"/>
  <c r="Q1574" i="1"/>
  <c r="P1574" i="1"/>
  <c r="O1574" i="1"/>
  <c r="N1574" i="1"/>
  <c r="M1574" i="1"/>
  <c r="L1574" i="1"/>
  <c r="U1573" i="1"/>
  <c r="T1573" i="1"/>
  <c r="S1573" i="1"/>
  <c r="R1573" i="1"/>
  <c r="P1573" i="1"/>
  <c r="O1573" i="1"/>
  <c r="N1573" i="1"/>
  <c r="Q1573" i="1" s="1"/>
  <c r="M1573" i="1"/>
  <c r="L1573" i="1"/>
  <c r="V1573" i="1" s="1"/>
  <c r="U1572" i="1"/>
  <c r="T1572" i="1"/>
  <c r="S1572" i="1"/>
  <c r="R1572" i="1"/>
  <c r="Q1572" i="1"/>
  <c r="P1572" i="1"/>
  <c r="O1572" i="1"/>
  <c r="N1572" i="1"/>
  <c r="M1572" i="1"/>
  <c r="L1572" i="1"/>
  <c r="U1571" i="1"/>
  <c r="V1571" i="1" s="1"/>
  <c r="T1571" i="1"/>
  <c r="S1571" i="1"/>
  <c r="R1571" i="1"/>
  <c r="P1571" i="1"/>
  <c r="O1571" i="1"/>
  <c r="N1571" i="1"/>
  <c r="Q1571" i="1" s="1"/>
  <c r="M1571" i="1"/>
  <c r="L1571" i="1"/>
  <c r="U1570" i="1"/>
  <c r="V1570" i="1" s="1"/>
  <c r="T1570" i="1"/>
  <c r="S1570" i="1"/>
  <c r="R1570" i="1"/>
  <c r="Q1570" i="1"/>
  <c r="P1570" i="1"/>
  <c r="O1570" i="1"/>
  <c r="N1570" i="1"/>
  <c r="M1570" i="1"/>
  <c r="L1570" i="1"/>
  <c r="U1569" i="1"/>
  <c r="T1569" i="1"/>
  <c r="S1569" i="1"/>
  <c r="R1569" i="1"/>
  <c r="P1569" i="1"/>
  <c r="O1569" i="1"/>
  <c r="N1569" i="1"/>
  <c r="Q1569" i="1" s="1"/>
  <c r="M1569" i="1"/>
  <c r="L1569" i="1"/>
  <c r="V1568" i="1"/>
  <c r="U1568" i="1"/>
  <c r="T1568" i="1"/>
  <c r="S1568" i="1"/>
  <c r="R1568" i="1"/>
  <c r="P1568" i="1"/>
  <c r="O1568" i="1"/>
  <c r="N1568" i="1"/>
  <c r="Q1568" i="1" s="1"/>
  <c r="M1568" i="1"/>
  <c r="L1568" i="1"/>
  <c r="V1567" i="1"/>
  <c r="U1567" i="1"/>
  <c r="T1567" i="1"/>
  <c r="S1567" i="1"/>
  <c r="R1567" i="1"/>
  <c r="P1567" i="1"/>
  <c r="O1567" i="1"/>
  <c r="N1567" i="1"/>
  <c r="Q1567" i="1" s="1"/>
  <c r="M1567" i="1"/>
  <c r="L1567" i="1"/>
  <c r="U1566" i="1"/>
  <c r="V1566" i="1" s="1"/>
  <c r="T1566" i="1"/>
  <c r="S1566" i="1"/>
  <c r="R1566" i="1"/>
  <c r="Q1566" i="1"/>
  <c r="P1566" i="1"/>
  <c r="O1566" i="1"/>
  <c r="N1566" i="1"/>
  <c r="M1566" i="1"/>
  <c r="L1566" i="1"/>
  <c r="V1565" i="1"/>
  <c r="U1565" i="1"/>
  <c r="T1565" i="1"/>
  <c r="S1565" i="1"/>
  <c r="R1565" i="1"/>
  <c r="P1565" i="1"/>
  <c r="O1565" i="1"/>
  <c r="N1565" i="1"/>
  <c r="Q1565" i="1" s="1"/>
  <c r="M1565" i="1"/>
  <c r="L1565" i="1"/>
  <c r="U1564" i="1"/>
  <c r="T1564" i="1"/>
  <c r="S1564" i="1"/>
  <c r="R1564" i="1"/>
  <c r="Q1564" i="1"/>
  <c r="P1564" i="1"/>
  <c r="O1564" i="1"/>
  <c r="N1564" i="1"/>
  <c r="M1564" i="1"/>
  <c r="L1564" i="1"/>
  <c r="U1563" i="1"/>
  <c r="V1563" i="1" s="1"/>
  <c r="T1563" i="1"/>
  <c r="S1563" i="1"/>
  <c r="R1563" i="1"/>
  <c r="P1563" i="1"/>
  <c r="O1563" i="1"/>
  <c r="N1563" i="1"/>
  <c r="Q1563" i="1" s="1"/>
  <c r="M1563" i="1"/>
  <c r="L1563" i="1"/>
  <c r="U1562" i="1"/>
  <c r="V1562" i="1" s="1"/>
  <c r="T1562" i="1"/>
  <c r="S1562" i="1"/>
  <c r="R1562" i="1"/>
  <c r="Q1562" i="1"/>
  <c r="P1562" i="1"/>
  <c r="O1562" i="1"/>
  <c r="N1562" i="1"/>
  <c r="M1562" i="1"/>
  <c r="L1562" i="1"/>
  <c r="U1561" i="1"/>
  <c r="T1561" i="1"/>
  <c r="S1561" i="1"/>
  <c r="R1561" i="1"/>
  <c r="P1561" i="1"/>
  <c r="O1561" i="1"/>
  <c r="N1561" i="1"/>
  <c r="Q1561" i="1" s="1"/>
  <c r="M1561" i="1"/>
  <c r="L1561" i="1"/>
  <c r="V1560" i="1"/>
  <c r="U1560" i="1"/>
  <c r="T1560" i="1"/>
  <c r="S1560" i="1"/>
  <c r="R1560" i="1"/>
  <c r="P1560" i="1"/>
  <c r="O1560" i="1"/>
  <c r="N1560" i="1"/>
  <c r="Q1560" i="1" s="1"/>
  <c r="M1560" i="1"/>
  <c r="L1560" i="1"/>
  <c r="U1559" i="1"/>
  <c r="T1559" i="1"/>
  <c r="S1559" i="1"/>
  <c r="R1559" i="1"/>
  <c r="Q1559" i="1"/>
  <c r="P1559" i="1"/>
  <c r="O1559" i="1"/>
  <c r="N1559" i="1"/>
  <c r="M1559" i="1"/>
  <c r="L1559" i="1"/>
  <c r="V1559" i="1" s="1"/>
  <c r="V1558" i="1"/>
  <c r="U1558" i="1"/>
  <c r="T1558" i="1"/>
  <c r="S1558" i="1"/>
  <c r="R1558" i="1"/>
  <c r="P1558" i="1"/>
  <c r="O1558" i="1"/>
  <c r="N1558" i="1"/>
  <c r="Q1558" i="1" s="1"/>
  <c r="M1558" i="1"/>
  <c r="L1558" i="1"/>
  <c r="U1557" i="1"/>
  <c r="T1557" i="1"/>
  <c r="S1557" i="1"/>
  <c r="R1557" i="1"/>
  <c r="Q1557" i="1"/>
  <c r="P1557" i="1"/>
  <c r="O1557" i="1"/>
  <c r="N1557" i="1"/>
  <c r="M1557" i="1"/>
  <c r="L1557" i="1"/>
  <c r="V1557" i="1" s="1"/>
  <c r="U1556" i="1"/>
  <c r="V1556" i="1" s="1"/>
  <c r="T1556" i="1"/>
  <c r="S1556" i="1"/>
  <c r="R1556" i="1"/>
  <c r="Q1556" i="1"/>
  <c r="P1556" i="1"/>
  <c r="O1556" i="1"/>
  <c r="N1556" i="1"/>
  <c r="M1556" i="1"/>
  <c r="L1556" i="1"/>
  <c r="V1555" i="1"/>
  <c r="U1555" i="1"/>
  <c r="T1555" i="1"/>
  <c r="S1555" i="1"/>
  <c r="R1555" i="1"/>
  <c r="P1555" i="1"/>
  <c r="O1555" i="1"/>
  <c r="N1555" i="1"/>
  <c r="Q1555" i="1" s="1"/>
  <c r="M1555" i="1"/>
  <c r="L1555" i="1"/>
  <c r="V1554" i="1"/>
  <c r="U1554" i="1"/>
  <c r="T1554" i="1"/>
  <c r="S1554" i="1"/>
  <c r="R1554" i="1"/>
  <c r="P1554" i="1"/>
  <c r="O1554" i="1"/>
  <c r="N1554" i="1"/>
  <c r="Q1554" i="1" s="1"/>
  <c r="M1554" i="1"/>
  <c r="L1554" i="1"/>
  <c r="U1553" i="1"/>
  <c r="V1553" i="1" s="1"/>
  <c r="T1553" i="1"/>
  <c r="S1553" i="1"/>
  <c r="R1553" i="1"/>
  <c r="Q1553" i="1"/>
  <c r="P1553" i="1"/>
  <c r="O1553" i="1"/>
  <c r="N1553" i="1"/>
  <c r="M1553" i="1"/>
  <c r="L1553" i="1"/>
  <c r="V1552" i="1"/>
  <c r="U1552" i="1"/>
  <c r="T1552" i="1"/>
  <c r="S1552" i="1"/>
  <c r="R1552" i="1"/>
  <c r="P1552" i="1"/>
  <c r="O1552" i="1"/>
  <c r="N1552" i="1"/>
  <c r="Q1552" i="1" s="1"/>
  <c r="M1552" i="1"/>
  <c r="L1552" i="1"/>
  <c r="U1551" i="1"/>
  <c r="T1551" i="1"/>
  <c r="S1551" i="1"/>
  <c r="R1551" i="1"/>
  <c r="Q1551" i="1"/>
  <c r="P1551" i="1"/>
  <c r="O1551" i="1"/>
  <c r="N1551" i="1"/>
  <c r="M1551" i="1"/>
  <c r="L1551" i="1"/>
  <c r="V1551" i="1" s="1"/>
  <c r="U1550" i="1"/>
  <c r="T1550" i="1"/>
  <c r="S1550" i="1"/>
  <c r="R1550" i="1"/>
  <c r="P1550" i="1"/>
  <c r="O1550" i="1"/>
  <c r="N1550" i="1"/>
  <c r="Q1550" i="1" s="1"/>
  <c r="M1550" i="1"/>
  <c r="L1550" i="1"/>
  <c r="V1550" i="1" s="1"/>
  <c r="U1549" i="1"/>
  <c r="V1549" i="1" s="1"/>
  <c r="T1549" i="1"/>
  <c r="S1549" i="1"/>
  <c r="R1549" i="1"/>
  <c r="Q1549" i="1"/>
  <c r="P1549" i="1"/>
  <c r="O1549" i="1"/>
  <c r="N1549" i="1"/>
  <c r="M1549" i="1"/>
  <c r="L1549" i="1"/>
  <c r="U1548" i="1"/>
  <c r="V1548" i="1" s="1"/>
  <c r="T1548" i="1"/>
  <c r="S1548" i="1"/>
  <c r="R1548" i="1"/>
  <c r="Q1548" i="1"/>
  <c r="P1548" i="1"/>
  <c r="O1548" i="1"/>
  <c r="N1548" i="1"/>
  <c r="M1548" i="1"/>
  <c r="L1548" i="1"/>
  <c r="V1547" i="1"/>
  <c r="U1547" i="1"/>
  <c r="T1547" i="1"/>
  <c r="S1547" i="1"/>
  <c r="R1547" i="1"/>
  <c r="P1547" i="1"/>
  <c r="O1547" i="1"/>
  <c r="N1547" i="1"/>
  <c r="Q1547" i="1" s="1"/>
  <c r="M1547" i="1"/>
  <c r="L1547" i="1"/>
  <c r="V1546" i="1"/>
  <c r="U1546" i="1"/>
  <c r="T1546" i="1"/>
  <c r="S1546" i="1"/>
  <c r="R1546" i="1"/>
  <c r="P1546" i="1"/>
  <c r="O1546" i="1"/>
  <c r="N1546" i="1"/>
  <c r="Q1546" i="1" s="1"/>
  <c r="M1546" i="1"/>
  <c r="L1546" i="1"/>
  <c r="U1545" i="1"/>
  <c r="V1545" i="1" s="1"/>
  <c r="T1545" i="1"/>
  <c r="S1545" i="1"/>
  <c r="R1545" i="1"/>
  <c r="Q1545" i="1"/>
  <c r="P1545" i="1"/>
  <c r="O1545" i="1"/>
  <c r="N1545" i="1"/>
  <c r="M1545" i="1"/>
  <c r="L1545" i="1"/>
  <c r="U1544" i="1"/>
  <c r="T1544" i="1"/>
  <c r="S1544" i="1"/>
  <c r="R1544" i="1"/>
  <c r="P1544" i="1"/>
  <c r="O1544" i="1"/>
  <c r="N1544" i="1"/>
  <c r="Q1544" i="1" s="1"/>
  <c r="M1544" i="1"/>
  <c r="L1544" i="1"/>
  <c r="V1544" i="1" s="1"/>
  <c r="V1543" i="1"/>
  <c r="U1543" i="1"/>
  <c r="T1543" i="1"/>
  <c r="S1543" i="1"/>
  <c r="R1543" i="1"/>
  <c r="Q1543" i="1"/>
  <c r="P1543" i="1"/>
  <c r="O1543" i="1"/>
  <c r="N1543" i="1"/>
  <c r="M1543" i="1"/>
  <c r="L1543" i="1"/>
  <c r="V1542" i="1"/>
  <c r="U1542" i="1"/>
  <c r="T1542" i="1"/>
  <c r="S1542" i="1"/>
  <c r="R1542" i="1"/>
  <c r="P1542" i="1"/>
  <c r="O1542" i="1"/>
  <c r="N1542" i="1"/>
  <c r="Q1542" i="1" s="1"/>
  <c r="M1542" i="1"/>
  <c r="L1542" i="1"/>
  <c r="U1541" i="1"/>
  <c r="V1541" i="1" s="1"/>
  <c r="T1541" i="1"/>
  <c r="S1541" i="1"/>
  <c r="R1541" i="1"/>
  <c r="Q1541" i="1"/>
  <c r="P1541" i="1"/>
  <c r="O1541" i="1"/>
  <c r="N1541" i="1"/>
  <c r="M1541" i="1"/>
  <c r="L1541" i="1"/>
  <c r="U1540" i="1"/>
  <c r="V1540" i="1" s="1"/>
  <c r="T1540" i="1"/>
  <c r="S1540" i="1"/>
  <c r="R1540" i="1"/>
  <c r="Q1540" i="1"/>
  <c r="P1540" i="1"/>
  <c r="O1540" i="1"/>
  <c r="N1540" i="1"/>
  <c r="M1540" i="1"/>
  <c r="L1540" i="1"/>
  <c r="V1539" i="1"/>
  <c r="U1539" i="1"/>
  <c r="T1539" i="1"/>
  <c r="S1539" i="1"/>
  <c r="R1539" i="1"/>
  <c r="P1539" i="1"/>
  <c r="O1539" i="1"/>
  <c r="N1539" i="1"/>
  <c r="Q1539" i="1" s="1"/>
  <c r="M1539" i="1"/>
  <c r="L1539" i="1"/>
  <c r="V1538" i="1"/>
  <c r="U1538" i="1"/>
  <c r="T1538" i="1"/>
  <c r="S1538" i="1"/>
  <c r="R1538" i="1"/>
  <c r="P1538" i="1"/>
  <c r="O1538" i="1"/>
  <c r="N1538" i="1"/>
  <c r="Q1538" i="1" s="1"/>
  <c r="M1538" i="1"/>
  <c r="L1538" i="1"/>
  <c r="U1537" i="1"/>
  <c r="V1537" i="1" s="1"/>
  <c r="T1537" i="1"/>
  <c r="S1537" i="1"/>
  <c r="R1537" i="1"/>
  <c r="Q1537" i="1"/>
  <c r="P1537" i="1"/>
  <c r="O1537" i="1"/>
  <c r="N1537" i="1"/>
  <c r="M1537" i="1"/>
  <c r="L1537" i="1"/>
  <c r="V1536" i="1"/>
  <c r="U1536" i="1"/>
  <c r="T1536" i="1"/>
  <c r="S1536" i="1"/>
  <c r="R1536" i="1"/>
  <c r="P1536" i="1"/>
  <c r="O1536" i="1"/>
  <c r="N1536" i="1"/>
  <c r="Q1536" i="1" s="1"/>
  <c r="M1536" i="1"/>
  <c r="L1536" i="1"/>
  <c r="V1535" i="1"/>
  <c r="U1535" i="1"/>
  <c r="T1535" i="1"/>
  <c r="S1535" i="1"/>
  <c r="R1535" i="1"/>
  <c r="Q1535" i="1"/>
  <c r="P1535" i="1"/>
  <c r="O1535" i="1"/>
  <c r="N1535" i="1"/>
  <c r="M1535" i="1"/>
  <c r="L1535" i="1"/>
  <c r="U1534" i="1"/>
  <c r="T1534" i="1"/>
  <c r="S1534" i="1"/>
  <c r="R1534" i="1"/>
  <c r="P1534" i="1"/>
  <c r="O1534" i="1"/>
  <c r="N1534" i="1"/>
  <c r="Q1534" i="1" s="1"/>
  <c r="M1534" i="1"/>
  <c r="L1534" i="1"/>
  <c r="V1534" i="1" s="1"/>
  <c r="U1533" i="1"/>
  <c r="V1533" i="1" s="1"/>
  <c r="T1533" i="1"/>
  <c r="S1533" i="1"/>
  <c r="R1533" i="1"/>
  <c r="Q1533" i="1"/>
  <c r="P1533" i="1"/>
  <c r="O1533" i="1"/>
  <c r="N1533" i="1"/>
  <c r="M1533" i="1"/>
  <c r="L1533" i="1"/>
  <c r="U1532" i="1"/>
  <c r="V1532" i="1" s="1"/>
  <c r="T1532" i="1"/>
  <c r="S1532" i="1"/>
  <c r="R1532" i="1"/>
  <c r="Q1532" i="1"/>
  <c r="P1532" i="1"/>
  <c r="O1532" i="1"/>
  <c r="N1532" i="1"/>
  <c r="M1532" i="1"/>
  <c r="L1532" i="1"/>
  <c r="V1531" i="1"/>
  <c r="U1531" i="1"/>
  <c r="T1531" i="1"/>
  <c r="S1531" i="1"/>
  <c r="R1531" i="1"/>
  <c r="P1531" i="1"/>
  <c r="O1531" i="1"/>
  <c r="N1531" i="1"/>
  <c r="Q1531" i="1" s="1"/>
  <c r="M1531" i="1"/>
  <c r="L1531" i="1"/>
  <c r="V1530" i="1"/>
  <c r="U1530" i="1"/>
  <c r="T1530" i="1"/>
  <c r="S1530" i="1"/>
  <c r="R1530" i="1"/>
  <c r="P1530" i="1"/>
  <c r="O1530" i="1"/>
  <c r="N1530" i="1"/>
  <c r="Q1530" i="1" s="1"/>
  <c r="M1530" i="1"/>
  <c r="L1530" i="1"/>
  <c r="U1529" i="1"/>
  <c r="V1529" i="1" s="1"/>
  <c r="T1529" i="1"/>
  <c r="S1529" i="1"/>
  <c r="R1529" i="1"/>
  <c r="Q1529" i="1"/>
  <c r="P1529" i="1"/>
  <c r="O1529" i="1"/>
  <c r="N1529" i="1"/>
  <c r="M1529" i="1"/>
  <c r="L1529" i="1"/>
  <c r="U1528" i="1"/>
  <c r="T1528" i="1"/>
  <c r="S1528" i="1"/>
  <c r="R1528" i="1"/>
  <c r="P1528" i="1"/>
  <c r="O1528" i="1"/>
  <c r="N1528" i="1"/>
  <c r="Q1528" i="1" s="1"/>
  <c r="M1528" i="1"/>
  <c r="L1528" i="1"/>
  <c r="V1528" i="1" s="1"/>
  <c r="U1527" i="1"/>
  <c r="T1527" i="1"/>
  <c r="S1527" i="1"/>
  <c r="R1527" i="1"/>
  <c r="Q1527" i="1"/>
  <c r="P1527" i="1"/>
  <c r="O1527" i="1"/>
  <c r="N1527" i="1"/>
  <c r="M1527" i="1"/>
  <c r="L1527" i="1"/>
  <c r="V1527" i="1" s="1"/>
  <c r="V1526" i="1"/>
  <c r="U1526" i="1"/>
  <c r="T1526" i="1"/>
  <c r="S1526" i="1"/>
  <c r="R1526" i="1"/>
  <c r="P1526" i="1"/>
  <c r="O1526" i="1"/>
  <c r="N1526" i="1"/>
  <c r="Q1526" i="1" s="1"/>
  <c r="M1526" i="1"/>
  <c r="L1526" i="1"/>
  <c r="U1525" i="1"/>
  <c r="V1525" i="1" s="1"/>
  <c r="T1525" i="1"/>
  <c r="S1525" i="1"/>
  <c r="R1525" i="1"/>
  <c r="Q1525" i="1"/>
  <c r="P1525" i="1"/>
  <c r="O1525" i="1"/>
  <c r="N1525" i="1"/>
  <c r="M1525" i="1"/>
  <c r="L1525" i="1"/>
  <c r="U1524" i="1"/>
  <c r="V1524" i="1" s="1"/>
  <c r="T1524" i="1"/>
  <c r="S1524" i="1"/>
  <c r="R1524" i="1"/>
  <c r="Q1524" i="1"/>
  <c r="P1524" i="1"/>
  <c r="O1524" i="1"/>
  <c r="N1524" i="1"/>
  <c r="M1524" i="1"/>
  <c r="L1524" i="1"/>
  <c r="V1523" i="1"/>
  <c r="U1523" i="1"/>
  <c r="T1523" i="1"/>
  <c r="S1523" i="1"/>
  <c r="R1523" i="1"/>
  <c r="P1523" i="1"/>
  <c r="O1523" i="1"/>
  <c r="N1523" i="1"/>
  <c r="Q1523" i="1" s="1"/>
  <c r="M1523" i="1"/>
  <c r="L1523" i="1"/>
  <c r="V1522" i="1"/>
  <c r="U1522" i="1"/>
  <c r="T1522" i="1"/>
  <c r="S1522" i="1"/>
  <c r="R1522" i="1"/>
  <c r="P1522" i="1"/>
  <c r="O1522" i="1"/>
  <c r="N1522" i="1"/>
  <c r="Q1522" i="1" s="1"/>
  <c r="M1522" i="1"/>
  <c r="L1522" i="1"/>
  <c r="U1521" i="1"/>
  <c r="V1521" i="1" s="1"/>
  <c r="T1521" i="1"/>
  <c r="S1521" i="1"/>
  <c r="R1521" i="1"/>
  <c r="Q1521" i="1"/>
  <c r="P1521" i="1"/>
  <c r="O1521" i="1"/>
  <c r="N1521" i="1"/>
  <c r="M1521" i="1"/>
  <c r="L1521" i="1"/>
  <c r="V1520" i="1"/>
  <c r="U1520" i="1"/>
  <c r="T1520" i="1"/>
  <c r="S1520" i="1"/>
  <c r="R1520" i="1"/>
  <c r="P1520" i="1"/>
  <c r="O1520" i="1"/>
  <c r="N1520" i="1"/>
  <c r="Q1520" i="1" s="1"/>
  <c r="M1520" i="1"/>
  <c r="L1520" i="1"/>
  <c r="U1519" i="1"/>
  <c r="T1519" i="1"/>
  <c r="S1519" i="1"/>
  <c r="R1519" i="1"/>
  <c r="Q1519" i="1"/>
  <c r="P1519" i="1"/>
  <c r="O1519" i="1"/>
  <c r="N1519" i="1"/>
  <c r="M1519" i="1"/>
  <c r="L1519" i="1"/>
  <c r="V1519" i="1" s="1"/>
  <c r="U1518" i="1"/>
  <c r="T1518" i="1"/>
  <c r="S1518" i="1"/>
  <c r="R1518" i="1"/>
  <c r="P1518" i="1"/>
  <c r="O1518" i="1"/>
  <c r="N1518" i="1"/>
  <c r="Q1518" i="1" s="1"/>
  <c r="M1518" i="1"/>
  <c r="L1518" i="1"/>
  <c r="V1518" i="1" s="1"/>
  <c r="V1517" i="1"/>
  <c r="U1517" i="1"/>
  <c r="T1517" i="1"/>
  <c r="S1517" i="1"/>
  <c r="R1517" i="1"/>
  <c r="Q1517" i="1"/>
  <c r="P1517" i="1"/>
  <c r="O1517" i="1"/>
  <c r="N1517" i="1"/>
  <c r="M1517" i="1"/>
  <c r="L1517" i="1"/>
  <c r="U1516" i="1"/>
  <c r="V1516" i="1" s="1"/>
  <c r="T1516" i="1"/>
  <c r="S1516" i="1"/>
  <c r="R1516" i="1"/>
  <c r="Q1516" i="1"/>
  <c r="P1516" i="1"/>
  <c r="O1516" i="1"/>
  <c r="N1516" i="1"/>
  <c r="M1516" i="1"/>
  <c r="L1516" i="1"/>
  <c r="V1515" i="1"/>
  <c r="U1515" i="1"/>
  <c r="T1515" i="1"/>
  <c r="S1515" i="1"/>
  <c r="R1515" i="1"/>
  <c r="P1515" i="1"/>
  <c r="O1515" i="1"/>
  <c r="N1515" i="1"/>
  <c r="Q1515" i="1" s="1"/>
  <c r="M1515" i="1"/>
  <c r="L1515" i="1"/>
  <c r="V1514" i="1"/>
  <c r="U1514" i="1"/>
  <c r="T1514" i="1"/>
  <c r="S1514" i="1"/>
  <c r="R1514" i="1"/>
  <c r="P1514" i="1"/>
  <c r="O1514" i="1"/>
  <c r="N1514" i="1"/>
  <c r="Q1514" i="1" s="1"/>
  <c r="M1514" i="1"/>
  <c r="L1514" i="1"/>
  <c r="U1513" i="1"/>
  <c r="V1513" i="1" s="1"/>
  <c r="T1513" i="1"/>
  <c r="S1513" i="1"/>
  <c r="R1513" i="1"/>
  <c r="Q1513" i="1"/>
  <c r="P1513" i="1"/>
  <c r="O1513" i="1"/>
  <c r="N1513" i="1"/>
  <c r="M1513" i="1"/>
  <c r="L1513" i="1"/>
  <c r="U1512" i="1"/>
  <c r="T1512" i="1"/>
  <c r="S1512" i="1"/>
  <c r="R1512" i="1"/>
  <c r="P1512" i="1"/>
  <c r="O1512" i="1"/>
  <c r="N1512" i="1"/>
  <c r="Q1512" i="1" s="1"/>
  <c r="M1512" i="1"/>
  <c r="L1512" i="1"/>
  <c r="V1512" i="1" s="1"/>
  <c r="U1511" i="1"/>
  <c r="V1511" i="1" s="1"/>
  <c r="T1511" i="1"/>
  <c r="S1511" i="1"/>
  <c r="R1511" i="1"/>
  <c r="Q1511" i="1"/>
  <c r="P1511" i="1"/>
  <c r="O1511" i="1"/>
  <c r="N1511" i="1"/>
  <c r="M1511" i="1"/>
  <c r="L1511" i="1"/>
  <c r="V1510" i="1"/>
  <c r="U1510" i="1"/>
  <c r="T1510" i="1"/>
  <c r="S1510" i="1"/>
  <c r="R1510" i="1"/>
  <c r="P1510" i="1"/>
  <c r="O1510" i="1"/>
  <c r="N1510" i="1"/>
  <c r="Q1510" i="1" s="1"/>
  <c r="M1510" i="1"/>
  <c r="L1510" i="1"/>
  <c r="U1509" i="1"/>
  <c r="V1509" i="1" s="1"/>
  <c r="T1509" i="1"/>
  <c r="S1509" i="1"/>
  <c r="R1509" i="1"/>
  <c r="Q1509" i="1"/>
  <c r="P1509" i="1"/>
  <c r="O1509" i="1"/>
  <c r="N1509" i="1"/>
  <c r="M1509" i="1"/>
  <c r="L1509" i="1"/>
  <c r="U1508" i="1"/>
  <c r="T1508" i="1"/>
  <c r="S1508" i="1"/>
  <c r="R1508" i="1"/>
  <c r="P1508" i="1"/>
  <c r="O1508" i="1"/>
  <c r="N1508" i="1"/>
  <c r="Q1508" i="1" s="1"/>
  <c r="M1508" i="1"/>
  <c r="L1508" i="1"/>
  <c r="V1508" i="1" s="1"/>
  <c r="U1507" i="1"/>
  <c r="V1507" i="1" s="1"/>
  <c r="T1507" i="1"/>
  <c r="S1507" i="1"/>
  <c r="R1507" i="1"/>
  <c r="Q1507" i="1"/>
  <c r="P1507" i="1"/>
  <c r="O1507" i="1"/>
  <c r="N1507" i="1"/>
  <c r="M1507" i="1"/>
  <c r="L1507" i="1"/>
  <c r="V1506" i="1"/>
  <c r="U1506" i="1"/>
  <c r="T1506" i="1"/>
  <c r="S1506" i="1"/>
  <c r="R1506" i="1"/>
  <c r="P1506" i="1"/>
  <c r="O1506" i="1"/>
  <c r="N1506" i="1"/>
  <c r="Q1506" i="1" s="1"/>
  <c r="M1506" i="1"/>
  <c r="L1506" i="1"/>
  <c r="U1505" i="1"/>
  <c r="V1505" i="1" s="1"/>
  <c r="T1505" i="1"/>
  <c r="S1505" i="1"/>
  <c r="R1505" i="1"/>
  <c r="Q1505" i="1"/>
  <c r="P1505" i="1"/>
  <c r="O1505" i="1"/>
  <c r="N1505" i="1"/>
  <c r="M1505" i="1"/>
  <c r="L1505" i="1"/>
  <c r="U1504" i="1"/>
  <c r="T1504" i="1"/>
  <c r="S1504" i="1"/>
  <c r="R1504" i="1"/>
  <c r="P1504" i="1"/>
  <c r="O1504" i="1"/>
  <c r="N1504" i="1"/>
  <c r="Q1504" i="1" s="1"/>
  <c r="M1504" i="1"/>
  <c r="L1504" i="1"/>
  <c r="V1504" i="1" s="1"/>
  <c r="U1503" i="1"/>
  <c r="V1503" i="1" s="1"/>
  <c r="T1503" i="1"/>
  <c r="S1503" i="1"/>
  <c r="R1503" i="1"/>
  <c r="Q1503" i="1"/>
  <c r="P1503" i="1"/>
  <c r="O1503" i="1"/>
  <c r="N1503" i="1"/>
  <c r="M1503" i="1"/>
  <c r="L1503" i="1"/>
  <c r="V1502" i="1"/>
  <c r="U1502" i="1"/>
  <c r="T1502" i="1"/>
  <c r="S1502" i="1"/>
  <c r="R1502" i="1"/>
  <c r="P1502" i="1"/>
  <c r="O1502" i="1"/>
  <c r="N1502" i="1"/>
  <c r="Q1502" i="1" s="1"/>
  <c r="M1502" i="1"/>
  <c r="L1502" i="1"/>
  <c r="U1501" i="1"/>
  <c r="V1501" i="1" s="1"/>
  <c r="T1501" i="1"/>
  <c r="S1501" i="1"/>
  <c r="R1501" i="1"/>
  <c r="Q1501" i="1"/>
  <c r="P1501" i="1"/>
  <c r="O1501" i="1"/>
  <c r="N1501" i="1"/>
  <c r="M1501" i="1"/>
  <c r="L1501" i="1"/>
  <c r="U1500" i="1"/>
  <c r="T1500" i="1"/>
  <c r="S1500" i="1"/>
  <c r="R1500" i="1"/>
  <c r="P1500" i="1"/>
  <c r="O1500" i="1"/>
  <c r="N1500" i="1"/>
  <c r="Q1500" i="1" s="1"/>
  <c r="M1500" i="1"/>
  <c r="L1500" i="1"/>
  <c r="V1500" i="1" s="1"/>
  <c r="U1499" i="1"/>
  <c r="V1499" i="1" s="1"/>
  <c r="T1499" i="1"/>
  <c r="S1499" i="1"/>
  <c r="R1499" i="1"/>
  <c r="Q1499" i="1"/>
  <c r="P1499" i="1"/>
  <c r="O1499" i="1"/>
  <c r="N1499" i="1"/>
  <c r="M1499" i="1"/>
  <c r="L1499" i="1"/>
  <c r="V1498" i="1"/>
  <c r="U1498" i="1"/>
  <c r="T1498" i="1"/>
  <c r="S1498" i="1"/>
  <c r="R1498" i="1"/>
  <c r="P1498" i="1"/>
  <c r="O1498" i="1"/>
  <c r="N1498" i="1"/>
  <c r="Q1498" i="1" s="1"/>
  <c r="M1498" i="1"/>
  <c r="L1498" i="1"/>
  <c r="U1497" i="1"/>
  <c r="V1497" i="1" s="1"/>
  <c r="T1497" i="1"/>
  <c r="S1497" i="1"/>
  <c r="R1497" i="1"/>
  <c r="Q1497" i="1"/>
  <c r="P1497" i="1"/>
  <c r="O1497" i="1"/>
  <c r="N1497" i="1"/>
  <c r="M1497" i="1"/>
  <c r="L1497" i="1"/>
  <c r="U1496" i="1"/>
  <c r="T1496" i="1"/>
  <c r="S1496" i="1"/>
  <c r="R1496" i="1"/>
  <c r="P1496" i="1"/>
  <c r="O1496" i="1"/>
  <c r="N1496" i="1"/>
  <c r="Q1496" i="1" s="1"/>
  <c r="M1496" i="1"/>
  <c r="L1496" i="1"/>
  <c r="V1496" i="1" s="1"/>
  <c r="U1495" i="1"/>
  <c r="V1495" i="1" s="1"/>
  <c r="T1495" i="1"/>
  <c r="S1495" i="1"/>
  <c r="R1495" i="1"/>
  <c r="Q1495" i="1"/>
  <c r="P1495" i="1"/>
  <c r="O1495" i="1"/>
  <c r="N1495" i="1"/>
  <c r="M1495" i="1"/>
  <c r="L1495" i="1"/>
  <c r="V1494" i="1"/>
  <c r="U1494" i="1"/>
  <c r="T1494" i="1"/>
  <c r="S1494" i="1"/>
  <c r="R1494" i="1"/>
  <c r="P1494" i="1"/>
  <c r="O1494" i="1"/>
  <c r="N1494" i="1"/>
  <c r="Q1494" i="1" s="1"/>
  <c r="M1494" i="1"/>
  <c r="L1494" i="1"/>
  <c r="U1493" i="1"/>
  <c r="V1493" i="1" s="1"/>
  <c r="T1493" i="1"/>
  <c r="S1493" i="1"/>
  <c r="R1493" i="1"/>
  <c r="Q1493" i="1"/>
  <c r="P1493" i="1"/>
  <c r="O1493" i="1"/>
  <c r="N1493" i="1"/>
  <c r="M1493" i="1"/>
  <c r="L1493" i="1"/>
  <c r="U1492" i="1"/>
  <c r="T1492" i="1"/>
  <c r="S1492" i="1"/>
  <c r="R1492" i="1"/>
  <c r="P1492" i="1"/>
  <c r="O1492" i="1"/>
  <c r="N1492" i="1"/>
  <c r="Q1492" i="1" s="1"/>
  <c r="M1492" i="1"/>
  <c r="L1492" i="1"/>
  <c r="V1492" i="1" s="1"/>
  <c r="U1491" i="1"/>
  <c r="V1491" i="1" s="1"/>
  <c r="T1491" i="1"/>
  <c r="S1491" i="1"/>
  <c r="R1491" i="1"/>
  <c r="Q1491" i="1"/>
  <c r="P1491" i="1"/>
  <c r="O1491" i="1"/>
  <c r="N1491" i="1"/>
  <c r="M1491" i="1"/>
  <c r="L1491" i="1"/>
  <c r="V1490" i="1"/>
  <c r="U1490" i="1"/>
  <c r="T1490" i="1"/>
  <c r="S1490" i="1"/>
  <c r="R1490" i="1"/>
  <c r="P1490" i="1"/>
  <c r="O1490" i="1"/>
  <c r="N1490" i="1"/>
  <c r="Q1490" i="1" s="1"/>
  <c r="M1490" i="1"/>
  <c r="L1490" i="1"/>
  <c r="U1489" i="1"/>
  <c r="V1489" i="1" s="1"/>
  <c r="T1489" i="1"/>
  <c r="S1489" i="1"/>
  <c r="R1489" i="1"/>
  <c r="Q1489" i="1"/>
  <c r="P1489" i="1"/>
  <c r="O1489" i="1"/>
  <c r="N1489" i="1"/>
  <c r="M1489" i="1"/>
  <c r="L1489" i="1"/>
  <c r="U1488" i="1"/>
  <c r="T1488" i="1"/>
  <c r="S1488" i="1"/>
  <c r="R1488" i="1"/>
  <c r="P1488" i="1"/>
  <c r="O1488" i="1"/>
  <c r="N1488" i="1"/>
  <c r="Q1488" i="1" s="1"/>
  <c r="M1488" i="1"/>
  <c r="L1488" i="1"/>
  <c r="V1488" i="1" s="1"/>
  <c r="U1487" i="1"/>
  <c r="V1487" i="1" s="1"/>
  <c r="T1487" i="1"/>
  <c r="S1487" i="1"/>
  <c r="R1487" i="1"/>
  <c r="Q1487" i="1"/>
  <c r="P1487" i="1"/>
  <c r="O1487" i="1"/>
  <c r="N1487" i="1"/>
  <c r="M1487" i="1"/>
  <c r="L1487" i="1"/>
  <c r="V1486" i="1"/>
  <c r="U1486" i="1"/>
  <c r="T1486" i="1"/>
  <c r="S1486" i="1"/>
  <c r="R1486" i="1"/>
  <c r="P1486" i="1"/>
  <c r="O1486" i="1"/>
  <c r="N1486" i="1"/>
  <c r="Q1486" i="1" s="1"/>
  <c r="M1486" i="1"/>
  <c r="L1486" i="1"/>
  <c r="U1485" i="1"/>
  <c r="V1485" i="1" s="1"/>
  <c r="T1485" i="1"/>
  <c r="S1485" i="1"/>
  <c r="R1485" i="1"/>
  <c r="Q1485" i="1"/>
  <c r="P1485" i="1"/>
  <c r="O1485" i="1"/>
  <c r="N1485" i="1"/>
  <c r="M1485" i="1"/>
  <c r="L1485" i="1"/>
  <c r="U1484" i="1"/>
  <c r="T1484" i="1"/>
  <c r="S1484" i="1"/>
  <c r="R1484" i="1"/>
  <c r="P1484" i="1"/>
  <c r="O1484" i="1"/>
  <c r="N1484" i="1"/>
  <c r="Q1484" i="1" s="1"/>
  <c r="M1484" i="1"/>
  <c r="L1484" i="1"/>
  <c r="V1484" i="1" s="1"/>
  <c r="U1483" i="1"/>
  <c r="V1483" i="1" s="1"/>
  <c r="T1483" i="1"/>
  <c r="S1483" i="1"/>
  <c r="R1483" i="1"/>
  <c r="Q1483" i="1"/>
  <c r="P1483" i="1"/>
  <c r="O1483" i="1"/>
  <c r="N1483" i="1"/>
  <c r="M1483" i="1"/>
  <c r="L1483" i="1"/>
  <c r="V1482" i="1"/>
  <c r="U1482" i="1"/>
  <c r="T1482" i="1"/>
  <c r="S1482" i="1"/>
  <c r="R1482" i="1"/>
  <c r="P1482" i="1"/>
  <c r="O1482" i="1"/>
  <c r="N1482" i="1"/>
  <c r="Q1482" i="1" s="1"/>
  <c r="M1482" i="1"/>
  <c r="L1482" i="1"/>
  <c r="U1481" i="1"/>
  <c r="V1481" i="1" s="1"/>
  <c r="T1481" i="1"/>
  <c r="S1481" i="1"/>
  <c r="R1481" i="1"/>
  <c r="Q1481" i="1"/>
  <c r="P1481" i="1"/>
  <c r="O1481" i="1"/>
  <c r="N1481" i="1"/>
  <c r="M1481" i="1"/>
  <c r="L1481" i="1"/>
  <c r="U1480" i="1"/>
  <c r="T1480" i="1"/>
  <c r="S1480" i="1"/>
  <c r="R1480" i="1"/>
  <c r="P1480" i="1"/>
  <c r="O1480" i="1"/>
  <c r="N1480" i="1"/>
  <c r="Q1480" i="1" s="1"/>
  <c r="M1480" i="1"/>
  <c r="L1480" i="1"/>
  <c r="V1480" i="1" s="1"/>
  <c r="U1479" i="1"/>
  <c r="V1479" i="1" s="1"/>
  <c r="T1479" i="1"/>
  <c r="S1479" i="1"/>
  <c r="R1479" i="1"/>
  <c r="Q1479" i="1"/>
  <c r="P1479" i="1"/>
  <c r="O1479" i="1"/>
  <c r="N1479" i="1"/>
  <c r="M1479" i="1"/>
  <c r="L1479" i="1"/>
  <c r="V1478" i="1"/>
  <c r="U1478" i="1"/>
  <c r="T1478" i="1"/>
  <c r="S1478" i="1"/>
  <c r="R1478" i="1"/>
  <c r="P1478" i="1"/>
  <c r="O1478" i="1"/>
  <c r="N1478" i="1"/>
  <c r="Q1478" i="1" s="1"/>
  <c r="M1478" i="1"/>
  <c r="L1478" i="1"/>
  <c r="U1477" i="1"/>
  <c r="V1477" i="1" s="1"/>
  <c r="T1477" i="1"/>
  <c r="S1477" i="1"/>
  <c r="R1477" i="1"/>
  <c r="Q1477" i="1"/>
  <c r="P1477" i="1"/>
  <c r="O1477" i="1"/>
  <c r="N1477" i="1"/>
  <c r="M1477" i="1"/>
  <c r="L1477" i="1"/>
  <c r="U1476" i="1"/>
  <c r="T1476" i="1"/>
  <c r="S1476" i="1"/>
  <c r="R1476" i="1"/>
  <c r="P1476" i="1"/>
  <c r="O1476" i="1"/>
  <c r="N1476" i="1"/>
  <c r="Q1476" i="1" s="1"/>
  <c r="M1476" i="1"/>
  <c r="L1476" i="1"/>
  <c r="V1476" i="1" s="1"/>
  <c r="U1475" i="1"/>
  <c r="V1475" i="1" s="1"/>
  <c r="T1475" i="1"/>
  <c r="S1475" i="1"/>
  <c r="R1475" i="1"/>
  <c r="Q1475" i="1"/>
  <c r="P1475" i="1"/>
  <c r="O1475" i="1"/>
  <c r="N1475" i="1"/>
  <c r="M1475" i="1"/>
  <c r="L1475" i="1"/>
  <c r="V1474" i="1"/>
  <c r="U1474" i="1"/>
  <c r="T1474" i="1"/>
  <c r="S1474" i="1"/>
  <c r="R1474" i="1"/>
  <c r="P1474" i="1"/>
  <c r="O1474" i="1"/>
  <c r="N1474" i="1"/>
  <c r="Q1474" i="1" s="1"/>
  <c r="M1474" i="1"/>
  <c r="L1474" i="1"/>
  <c r="U1473" i="1"/>
  <c r="V1473" i="1" s="1"/>
  <c r="T1473" i="1"/>
  <c r="S1473" i="1"/>
  <c r="R1473" i="1"/>
  <c r="Q1473" i="1"/>
  <c r="P1473" i="1"/>
  <c r="O1473" i="1"/>
  <c r="N1473" i="1"/>
  <c r="M1473" i="1"/>
  <c r="L1473" i="1"/>
  <c r="U1472" i="1"/>
  <c r="T1472" i="1"/>
  <c r="S1472" i="1"/>
  <c r="R1472" i="1"/>
  <c r="P1472" i="1"/>
  <c r="O1472" i="1"/>
  <c r="N1472" i="1"/>
  <c r="Q1472" i="1" s="1"/>
  <c r="M1472" i="1"/>
  <c r="L1472" i="1"/>
  <c r="V1472" i="1" s="1"/>
  <c r="U1471" i="1"/>
  <c r="V1471" i="1" s="1"/>
  <c r="T1471" i="1"/>
  <c r="S1471" i="1"/>
  <c r="R1471" i="1"/>
  <c r="Q1471" i="1"/>
  <c r="P1471" i="1"/>
  <c r="O1471" i="1"/>
  <c r="N1471" i="1"/>
  <c r="M1471" i="1"/>
  <c r="L1471" i="1"/>
  <c r="V1470" i="1"/>
  <c r="U1470" i="1"/>
  <c r="T1470" i="1"/>
  <c r="S1470" i="1"/>
  <c r="R1470" i="1"/>
  <c r="P1470" i="1"/>
  <c r="O1470" i="1"/>
  <c r="N1470" i="1"/>
  <c r="Q1470" i="1" s="1"/>
  <c r="M1470" i="1"/>
  <c r="L1470" i="1"/>
  <c r="U1469" i="1"/>
  <c r="V1469" i="1" s="1"/>
  <c r="T1469" i="1"/>
  <c r="S1469" i="1"/>
  <c r="R1469" i="1"/>
  <c r="Q1469" i="1"/>
  <c r="P1469" i="1"/>
  <c r="O1469" i="1"/>
  <c r="N1469" i="1"/>
  <c r="M1469" i="1"/>
  <c r="L1469" i="1"/>
  <c r="U1468" i="1"/>
  <c r="T1468" i="1"/>
  <c r="S1468" i="1"/>
  <c r="R1468" i="1"/>
  <c r="P1468" i="1"/>
  <c r="O1468" i="1"/>
  <c r="N1468" i="1"/>
  <c r="Q1468" i="1" s="1"/>
  <c r="M1468" i="1"/>
  <c r="L1468" i="1"/>
  <c r="V1468" i="1" s="1"/>
  <c r="U1467" i="1"/>
  <c r="V1467" i="1" s="1"/>
  <c r="T1467" i="1"/>
  <c r="S1467" i="1"/>
  <c r="R1467" i="1"/>
  <c r="Q1467" i="1"/>
  <c r="P1467" i="1"/>
  <c r="O1467" i="1"/>
  <c r="N1467" i="1"/>
  <c r="M1467" i="1"/>
  <c r="L1467" i="1"/>
  <c r="V1466" i="1"/>
  <c r="U1466" i="1"/>
  <c r="T1466" i="1"/>
  <c r="S1466" i="1"/>
  <c r="R1466" i="1"/>
  <c r="P1466" i="1"/>
  <c r="O1466" i="1"/>
  <c r="N1466" i="1"/>
  <c r="Q1466" i="1" s="1"/>
  <c r="M1466" i="1"/>
  <c r="L1466" i="1"/>
  <c r="U1465" i="1"/>
  <c r="V1465" i="1" s="1"/>
  <c r="T1465" i="1"/>
  <c r="S1465" i="1"/>
  <c r="R1465" i="1"/>
  <c r="Q1465" i="1"/>
  <c r="P1465" i="1"/>
  <c r="O1465" i="1"/>
  <c r="N1465" i="1"/>
  <c r="M1465" i="1"/>
  <c r="L1465" i="1"/>
  <c r="U1464" i="1"/>
  <c r="T1464" i="1"/>
  <c r="S1464" i="1"/>
  <c r="R1464" i="1"/>
  <c r="P1464" i="1"/>
  <c r="O1464" i="1"/>
  <c r="N1464" i="1"/>
  <c r="Q1464" i="1" s="1"/>
  <c r="M1464" i="1"/>
  <c r="L1464" i="1"/>
  <c r="V1464" i="1" s="1"/>
  <c r="U1463" i="1"/>
  <c r="V1463" i="1" s="1"/>
  <c r="T1463" i="1"/>
  <c r="S1463" i="1"/>
  <c r="R1463" i="1"/>
  <c r="Q1463" i="1"/>
  <c r="P1463" i="1"/>
  <c r="O1463" i="1"/>
  <c r="N1463" i="1"/>
  <c r="M1463" i="1"/>
  <c r="L1463" i="1"/>
  <c r="V1462" i="1"/>
  <c r="U1462" i="1"/>
  <c r="T1462" i="1"/>
  <c r="S1462" i="1"/>
  <c r="R1462" i="1"/>
  <c r="P1462" i="1"/>
  <c r="O1462" i="1"/>
  <c r="N1462" i="1"/>
  <c r="Q1462" i="1" s="1"/>
  <c r="M1462" i="1"/>
  <c r="L1462" i="1"/>
  <c r="U1461" i="1"/>
  <c r="V1461" i="1" s="1"/>
  <c r="T1461" i="1"/>
  <c r="S1461" i="1"/>
  <c r="R1461" i="1"/>
  <c r="Q1461" i="1"/>
  <c r="P1461" i="1"/>
  <c r="O1461" i="1"/>
  <c r="N1461" i="1"/>
  <c r="M1461" i="1"/>
  <c r="L1461" i="1"/>
  <c r="U1460" i="1"/>
  <c r="T1460" i="1"/>
  <c r="S1460" i="1"/>
  <c r="R1460" i="1"/>
  <c r="P1460" i="1"/>
  <c r="O1460" i="1"/>
  <c r="N1460" i="1"/>
  <c r="Q1460" i="1" s="1"/>
  <c r="M1460" i="1"/>
  <c r="L1460" i="1"/>
  <c r="V1460" i="1" s="1"/>
  <c r="U1459" i="1"/>
  <c r="V1459" i="1" s="1"/>
  <c r="T1459" i="1"/>
  <c r="S1459" i="1"/>
  <c r="R1459" i="1"/>
  <c r="Q1459" i="1"/>
  <c r="P1459" i="1"/>
  <c r="O1459" i="1"/>
  <c r="N1459" i="1"/>
  <c r="M1459" i="1"/>
  <c r="L1459" i="1"/>
  <c r="V1458" i="1"/>
  <c r="U1458" i="1"/>
  <c r="T1458" i="1"/>
  <c r="S1458" i="1"/>
  <c r="R1458" i="1"/>
  <c r="P1458" i="1"/>
  <c r="O1458" i="1"/>
  <c r="N1458" i="1"/>
  <c r="Q1458" i="1" s="1"/>
  <c r="M1458" i="1"/>
  <c r="L1458" i="1"/>
  <c r="U1457" i="1"/>
  <c r="V1457" i="1" s="1"/>
  <c r="T1457" i="1"/>
  <c r="S1457" i="1"/>
  <c r="R1457" i="1"/>
  <c r="Q1457" i="1"/>
  <c r="P1457" i="1"/>
  <c r="O1457" i="1"/>
  <c r="N1457" i="1"/>
  <c r="M1457" i="1"/>
  <c r="L1457" i="1"/>
  <c r="U1456" i="1"/>
  <c r="T1456" i="1"/>
  <c r="S1456" i="1"/>
  <c r="R1456" i="1"/>
  <c r="P1456" i="1"/>
  <c r="O1456" i="1"/>
  <c r="N1456" i="1"/>
  <c r="Q1456" i="1" s="1"/>
  <c r="M1456" i="1"/>
  <c r="L1456" i="1"/>
  <c r="V1456" i="1" s="1"/>
  <c r="U1455" i="1"/>
  <c r="V1455" i="1" s="1"/>
  <c r="T1455" i="1"/>
  <c r="S1455" i="1"/>
  <c r="R1455" i="1"/>
  <c r="Q1455" i="1"/>
  <c r="P1455" i="1"/>
  <c r="O1455" i="1"/>
  <c r="N1455" i="1"/>
  <c r="M1455" i="1"/>
  <c r="L1455" i="1"/>
  <c r="V1454" i="1"/>
  <c r="U1454" i="1"/>
  <c r="T1454" i="1"/>
  <c r="S1454" i="1"/>
  <c r="R1454" i="1"/>
  <c r="P1454" i="1"/>
  <c r="O1454" i="1"/>
  <c r="N1454" i="1"/>
  <c r="Q1454" i="1" s="1"/>
  <c r="M1454" i="1"/>
  <c r="L1454" i="1"/>
  <c r="U1453" i="1"/>
  <c r="V1453" i="1" s="1"/>
  <c r="T1453" i="1"/>
  <c r="S1453" i="1"/>
  <c r="R1453" i="1"/>
  <c r="Q1453" i="1"/>
  <c r="P1453" i="1"/>
  <c r="O1453" i="1"/>
  <c r="N1453" i="1"/>
  <c r="M1453" i="1"/>
  <c r="L1453" i="1"/>
  <c r="U1452" i="1"/>
  <c r="T1452" i="1"/>
  <c r="S1452" i="1"/>
  <c r="R1452" i="1"/>
  <c r="P1452" i="1"/>
  <c r="O1452" i="1"/>
  <c r="N1452" i="1"/>
  <c r="Q1452" i="1" s="1"/>
  <c r="M1452" i="1"/>
  <c r="L1452" i="1"/>
  <c r="V1452" i="1" s="1"/>
  <c r="U1451" i="1"/>
  <c r="V1451" i="1" s="1"/>
  <c r="T1451" i="1"/>
  <c r="S1451" i="1"/>
  <c r="R1451" i="1"/>
  <c r="Q1451" i="1"/>
  <c r="P1451" i="1"/>
  <c r="O1451" i="1"/>
  <c r="N1451" i="1"/>
  <c r="M1451" i="1"/>
  <c r="L1451" i="1"/>
  <c r="V1450" i="1"/>
  <c r="U1450" i="1"/>
  <c r="T1450" i="1"/>
  <c r="S1450" i="1"/>
  <c r="R1450" i="1"/>
  <c r="P1450" i="1"/>
  <c r="O1450" i="1"/>
  <c r="N1450" i="1"/>
  <c r="Q1450" i="1" s="1"/>
  <c r="M1450" i="1"/>
  <c r="L1450" i="1"/>
  <c r="U1449" i="1"/>
  <c r="V1449" i="1" s="1"/>
  <c r="T1449" i="1"/>
  <c r="S1449" i="1"/>
  <c r="R1449" i="1"/>
  <c r="Q1449" i="1"/>
  <c r="P1449" i="1"/>
  <c r="O1449" i="1"/>
  <c r="N1449" i="1"/>
  <c r="M1449" i="1"/>
  <c r="L1449" i="1"/>
  <c r="U1448" i="1"/>
  <c r="T1448" i="1"/>
  <c r="S1448" i="1"/>
  <c r="R1448" i="1"/>
  <c r="P1448" i="1"/>
  <c r="O1448" i="1"/>
  <c r="N1448" i="1"/>
  <c r="Q1448" i="1" s="1"/>
  <c r="M1448" i="1"/>
  <c r="L1448" i="1"/>
  <c r="V1448" i="1" s="1"/>
  <c r="U1447" i="1"/>
  <c r="V1447" i="1" s="1"/>
  <c r="T1447" i="1"/>
  <c r="S1447" i="1"/>
  <c r="R1447" i="1"/>
  <c r="Q1447" i="1"/>
  <c r="P1447" i="1"/>
  <c r="O1447" i="1"/>
  <c r="N1447" i="1"/>
  <c r="M1447" i="1"/>
  <c r="L1447" i="1"/>
  <c r="V1446" i="1"/>
  <c r="U1446" i="1"/>
  <c r="T1446" i="1"/>
  <c r="S1446" i="1"/>
  <c r="R1446" i="1"/>
  <c r="P1446" i="1"/>
  <c r="O1446" i="1"/>
  <c r="N1446" i="1"/>
  <c r="Q1446" i="1" s="1"/>
  <c r="M1446" i="1"/>
  <c r="L1446" i="1"/>
  <c r="U1445" i="1"/>
  <c r="V1445" i="1" s="1"/>
  <c r="T1445" i="1"/>
  <c r="S1445" i="1"/>
  <c r="R1445" i="1"/>
  <c r="Q1445" i="1"/>
  <c r="P1445" i="1"/>
  <c r="O1445" i="1"/>
  <c r="N1445" i="1"/>
  <c r="M1445" i="1"/>
  <c r="L1445" i="1"/>
  <c r="U1444" i="1"/>
  <c r="T1444" i="1"/>
  <c r="S1444" i="1"/>
  <c r="R1444" i="1"/>
  <c r="P1444" i="1"/>
  <c r="O1444" i="1"/>
  <c r="N1444" i="1"/>
  <c r="Q1444" i="1" s="1"/>
  <c r="M1444" i="1"/>
  <c r="L1444" i="1"/>
  <c r="V1444" i="1" s="1"/>
  <c r="U1443" i="1"/>
  <c r="V1443" i="1" s="1"/>
  <c r="T1443" i="1"/>
  <c r="S1443" i="1"/>
  <c r="R1443" i="1"/>
  <c r="Q1443" i="1"/>
  <c r="P1443" i="1"/>
  <c r="O1443" i="1"/>
  <c r="N1443" i="1"/>
  <c r="M1443" i="1"/>
  <c r="L1443" i="1"/>
  <c r="V1442" i="1"/>
  <c r="U1442" i="1"/>
  <c r="T1442" i="1"/>
  <c r="S1442" i="1"/>
  <c r="R1442" i="1"/>
  <c r="P1442" i="1"/>
  <c r="O1442" i="1"/>
  <c r="N1442" i="1"/>
  <c r="Q1442" i="1" s="1"/>
  <c r="M1442" i="1"/>
  <c r="L1442" i="1"/>
  <c r="U1441" i="1"/>
  <c r="V1441" i="1" s="1"/>
  <c r="T1441" i="1"/>
  <c r="S1441" i="1"/>
  <c r="R1441" i="1"/>
  <c r="Q1441" i="1"/>
  <c r="P1441" i="1"/>
  <c r="O1441" i="1"/>
  <c r="N1441" i="1"/>
  <c r="M1441" i="1"/>
  <c r="L1441" i="1"/>
  <c r="U1440" i="1"/>
  <c r="T1440" i="1"/>
  <c r="S1440" i="1"/>
  <c r="R1440" i="1"/>
  <c r="P1440" i="1"/>
  <c r="O1440" i="1"/>
  <c r="N1440" i="1"/>
  <c r="Q1440" i="1" s="1"/>
  <c r="M1440" i="1"/>
  <c r="L1440" i="1"/>
  <c r="V1440" i="1" s="1"/>
  <c r="U1439" i="1"/>
  <c r="V1439" i="1" s="1"/>
  <c r="T1439" i="1"/>
  <c r="S1439" i="1"/>
  <c r="R1439" i="1"/>
  <c r="Q1439" i="1"/>
  <c r="P1439" i="1"/>
  <c r="O1439" i="1"/>
  <c r="N1439" i="1"/>
  <c r="M1439" i="1"/>
  <c r="L1439" i="1"/>
  <c r="V1438" i="1"/>
  <c r="U1438" i="1"/>
  <c r="T1438" i="1"/>
  <c r="S1438" i="1"/>
  <c r="R1438" i="1"/>
  <c r="P1438" i="1"/>
  <c r="O1438" i="1"/>
  <c r="N1438" i="1"/>
  <c r="Q1438" i="1" s="1"/>
  <c r="M1438" i="1"/>
  <c r="L1438" i="1"/>
  <c r="U1437" i="1"/>
  <c r="V1437" i="1" s="1"/>
  <c r="T1437" i="1"/>
  <c r="S1437" i="1"/>
  <c r="R1437" i="1"/>
  <c r="Q1437" i="1"/>
  <c r="P1437" i="1"/>
  <c r="O1437" i="1"/>
  <c r="N1437" i="1"/>
  <c r="M1437" i="1"/>
  <c r="L1437" i="1"/>
  <c r="U1436" i="1"/>
  <c r="T1436" i="1"/>
  <c r="S1436" i="1"/>
  <c r="R1436" i="1"/>
  <c r="P1436" i="1"/>
  <c r="O1436" i="1"/>
  <c r="N1436" i="1"/>
  <c r="Q1436" i="1" s="1"/>
  <c r="M1436" i="1"/>
  <c r="L1436" i="1"/>
  <c r="V1436" i="1" s="1"/>
  <c r="U1435" i="1"/>
  <c r="V1435" i="1" s="1"/>
  <c r="T1435" i="1"/>
  <c r="S1435" i="1"/>
  <c r="R1435" i="1"/>
  <c r="Q1435" i="1"/>
  <c r="P1435" i="1"/>
  <c r="O1435" i="1"/>
  <c r="N1435" i="1"/>
  <c r="M1435" i="1"/>
  <c r="L1435" i="1"/>
  <c r="V1434" i="1"/>
  <c r="U1434" i="1"/>
  <c r="T1434" i="1"/>
  <c r="S1434" i="1"/>
  <c r="R1434" i="1"/>
  <c r="P1434" i="1"/>
  <c r="O1434" i="1"/>
  <c r="N1434" i="1"/>
  <c r="Q1434" i="1" s="1"/>
  <c r="M1434" i="1"/>
  <c r="L1434" i="1"/>
  <c r="U1433" i="1"/>
  <c r="V1433" i="1" s="1"/>
  <c r="T1433" i="1"/>
  <c r="S1433" i="1"/>
  <c r="R1433" i="1"/>
  <c r="Q1433" i="1"/>
  <c r="P1433" i="1"/>
  <c r="O1433" i="1"/>
  <c r="N1433" i="1"/>
  <c r="M1433" i="1"/>
  <c r="L1433" i="1"/>
  <c r="U1432" i="1"/>
  <c r="T1432" i="1"/>
  <c r="S1432" i="1"/>
  <c r="R1432" i="1"/>
  <c r="P1432" i="1"/>
  <c r="O1432" i="1"/>
  <c r="N1432" i="1"/>
  <c r="Q1432" i="1" s="1"/>
  <c r="M1432" i="1"/>
  <c r="L1432" i="1"/>
  <c r="V1432" i="1" s="1"/>
  <c r="U1431" i="1"/>
  <c r="V1431" i="1" s="1"/>
  <c r="T1431" i="1"/>
  <c r="S1431" i="1"/>
  <c r="R1431" i="1"/>
  <c r="Q1431" i="1"/>
  <c r="P1431" i="1"/>
  <c r="O1431" i="1"/>
  <c r="N1431" i="1"/>
  <c r="M1431" i="1"/>
  <c r="L1431" i="1"/>
  <c r="V1430" i="1"/>
  <c r="U1430" i="1"/>
  <c r="T1430" i="1"/>
  <c r="S1430" i="1"/>
  <c r="R1430" i="1"/>
  <c r="P1430" i="1"/>
  <c r="O1430" i="1"/>
  <c r="N1430" i="1"/>
  <c r="Q1430" i="1" s="1"/>
  <c r="M1430" i="1"/>
  <c r="L1430" i="1"/>
  <c r="U1429" i="1"/>
  <c r="V1429" i="1" s="1"/>
  <c r="T1429" i="1"/>
  <c r="S1429" i="1"/>
  <c r="R1429" i="1"/>
  <c r="Q1429" i="1"/>
  <c r="P1429" i="1"/>
  <c r="O1429" i="1"/>
  <c r="N1429" i="1"/>
  <c r="M1429" i="1"/>
  <c r="L1429" i="1"/>
  <c r="U1428" i="1"/>
  <c r="T1428" i="1"/>
  <c r="S1428" i="1"/>
  <c r="R1428" i="1"/>
  <c r="P1428" i="1"/>
  <c r="O1428" i="1"/>
  <c r="N1428" i="1"/>
  <c r="Q1428" i="1" s="1"/>
  <c r="M1428" i="1"/>
  <c r="L1428" i="1"/>
  <c r="V1428" i="1" s="1"/>
  <c r="U1427" i="1"/>
  <c r="V1427" i="1" s="1"/>
  <c r="T1427" i="1"/>
  <c r="S1427" i="1"/>
  <c r="R1427" i="1"/>
  <c r="Q1427" i="1"/>
  <c r="P1427" i="1"/>
  <c r="O1427" i="1"/>
  <c r="N1427" i="1"/>
  <c r="M1427" i="1"/>
  <c r="L1427" i="1"/>
  <c r="V1426" i="1"/>
  <c r="U1426" i="1"/>
  <c r="T1426" i="1"/>
  <c r="S1426" i="1"/>
  <c r="R1426" i="1"/>
  <c r="P1426" i="1"/>
  <c r="O1426" i="1"/>
  <c r="N1426" i="1"/>
  <c r="Q1426" i="1" s="1"/>
  <c r="M1426" i="1"/>
  <c r="L1426" i="1"/>
  <c r="U1425" i="1"/>
  <c r="V1425" i="1" s="1"/>
  <c r="T1425" i="1"/>
  <c r="S1425" i="1"/>
  <c r="R1425" i="1"/>
  <c r="Q1425" i="1"/>
  <c r="P1425" i="1"/>
  <c r="O1425" i="1"/>
  <c r="N1425" i="1"/>
  <c r="M1425" i="1"/>
  <c r="L1425" i="1"/>
  <c r="U1424" i="1"/>
  <c r="T1424" i="1"/>
  <c r="S1424" i="1"/>
  <c r="R1424" i="1"/>
  <c r="P1424" i="1"/>
  <c r="O1424" i="1"/>
  <c r="N1424" i="1"/>
  <c r="Q1424" i="1" s="1"/>
  <c r="M1424" i="1"/>
  <c r="L1424" i="1"/>
  <c r="V1424" i="1" s="1"/>
  <c r="U1423" i="1"/>
  <c r="V1423" i="1" s="1"/>
  <c r="T1423" i="1"/>
  <c r="S1423" i="1"/>
  <c r="R1423" i="1"/>
  <c r="Q1423" i="1"/>
  <c r="P1423" i="1"/>
  <c r="O1423" i="1"/>
  <c r="N1423" i="1"/>
  <c r="M1423" i="1"/>
  <c r="L1423" i="1"/>
  <c r="V1422" i="1"/>
  <c r="U1422" i="1"/>
  <c r="T1422" i="1"/>
  <c r="S1422" i="1"/>
  <c r="R1422" i="1"/>
  <c r="P1422" i="1"/>
  <c r="O1422" i="1"/>
  <c r="N1422" i="1"/>
  <c r="Q1422" i="1" s="1"/>
  <c r="M1422" i="1"/>
  <c r="L1422" i="1"/>
  <c r="U1421" i="1"/>
  <c r="V1421" i="1" s="1"/>
  <c r="T1421" i="1"/>
  <c r="S1421" i="1"/>
  <c r="R1421" i="1"/>
  <c r="Q1421" i="1"/>
  <c r="P1421" i="1"/>
  <c r="O1421" i="1"/>
  <c r="N1421" i="1"/>
  <c r="M1421" i="1"/>
  <c r="L1421" i="1"/>
  <c r="U1420" i="1"/>
  <c r="T1420" i="1"/>
  <c r="S1420" i="1"/>
  <c r="R1420" i="1"/>
  <c r="P1420" i="1"/>
  <c r="O1420" i="1"/>
  <c r="N1420" i="1"/>
  <c r="Q1420" i="1" s="1"/>
  <c r="M1420" i="1"/>
  <c r="L1420" i="1"/>
  <c r="V1420" i="1" s="1"/>
  <c r="U1419" i="1"/>
  <c r="V1419" i="1" s="1"/>
  <c r="T1419" i="1"/>
  <c r="S1419" i="1"/>
  <c r="R1419" i="1"/>
  <c r="Q1419" i="1"/>
  <c r="P1419" i="1"/>
  <c r="O1419" i="1"/>
  <c r="N1419" i="1"/>
  <c r="M1419" i="1"/>
  <c r="L1419" i="1"/>
  <c r="V1418" i="1"/>
  <c r="U1418" i="1"/>
  <c r="T1418" i="1"/>
  <c r="S1418" i="1"/>
  <c r="R1418" i="1"/>
  <c r="P1418" i="1"/>
  <c r="O1418" i="1"/>
  <c r="N1418" i="1"/>
  <c r="Q1418" i="1" s="1"/>
  <c r="M1418" i="1"/>
  <c r="L1418" i="1"/>
  <c r="U1417" i="1"/>
  <c r="V1417" i="1" s="1"/>
  <c r="T1417" i="1"/>
  <c r="S1417" i="1"/>
  <c r="R1417" i="1"/>
  <c r="Q1417" i="1"/>
  <c r="P1417" i="1"/>
  <c r="O1417" i="1"/>
  <c r="N1417" i="1"/>
  <c r="M1417" i="1"/>
  <c r="L1417" i="1"/>
  <c r="U1416" i="1"/>
  <c r="T1416" i="1"/>
  <c r="S1416" i="1"/>
  <c r="R1416" i="1"/>
  <c r="P1416" i="1"/>
  <c r="O1416" i="1"/>
  <c r="N1416" i="1"/>
  <c r="Q1416" i="1" s="1"/>
  <c r="M1416" i="1"/>
  <c r="L1416" i="1"/>
  <c r="V1416" i="1" s="1"/>
  <c r="U1415" i="1"/>
  <c r="V1415" i="1" s="1"/>
  <c r="T1415" i="1"/>
  <c r="S1415" i="1"/>
  <c r="R1415" i="1"/>
  <c r="Q1415" i="1"/>
  <c r="P1415" i="1"/>
  <c r="O1415" i="1"/>
  <c r="N1415" i="1"/>
  <c r="M1415" i="1"/>
  <c r="L1415" i="1"/>
  <c r="V1414" i="1"/>
  <c r="U1414" i="1"/>
  <c r="T1414" i="1"/>
  <c r="S1414" i="1"/>
  <c r="R1414" i="1"/>
  <c r="P1414" i="1"/>
  <c r="O1414" i="1"/>
  <c r="N1414" i="1"/>
  <c r="Q1414" i="1" s="1"/>
  <c r="M1414" i="1"/>
  <c r="L1414" i="1"/>
  <c r="U1413" i="1"/>
  <c r="V1413" i="1" s="1"/>
  <c r="T1413" i="1"/>
  <c r="S1413" i="1"/>
  <c r="R1413" i="1"/>
  <c r="Q1413" i="1"/>
  <c r="P1413" i="1"/>
  <c r="O1413" i="1"/>
  <c r="N1413" i="1"/>
  <c r="M1413" i="1"/>
  <c r="L1413" i="1"/>
  <c r="U1412" i="1"/>
  <c r="T1412" i="1"/>
  <c r="S1412" i="1"/>
  <c r="R1412" i="1"/>
  <c r="P1412" i="1"/>
  <c r="O1412" i="1"/>
  <c r="N1412" i="1"/>
  <c r="Q1412" i="1" s="1"/>
  <c r="M1412" i="1"/>
  <c r="L1412" i="1"/>
  <c r="V1412" i="1" s="1"/>
  <c r="U1411" i="1"/>
  <c r="V1411" i="1" s="1"/>
  <c r="T1411" i="1"/>
  <c r="S1411" i="1"/>
  <c r="R1411" i="1"/>
  <c r="Q1411" i="1"/>
  <c r="P1411" i="1"/>
  <c r="O1411" i="1"/>
  <c r="N1411" i="1"/>
  <c r="M1411" i="1"/>
  <c r="L1411" i="1"/>
  <c r="V1410" i="1"/>
  <c r="U1410" i="1"/>
  <c r="T1410" i="1"/>
  <c r="S1410" i="1"/>
  <c r="R1410" i="1"/>
  <c r="P1410" i="1"/>
  <c r="O1410" i="1"/>
  <c r="N1410" i="1"/>
  <c r="Q1410" i="1" s="1"/>
  <c r="M1410" i="1"/>
  <c r="L1410" i="1"/>
  <c r="U1409" i="1"/>
  <c r="V1409" i="1" s="1"/>
  <c r="T1409" i="1"/>
  <c r="S1409" i="1"/>
  <c r="R1409" i="1"/>
  <c r="Q1409" i="1"/>
  <c r="P1409" i="1"/>
  <c r="O1409" i="1"/>
  <c r="N1409" i="1"/>
  <c r="M1409" i="1"/>
  <c r="L1409" i="1"/>
  <c r="U1408" i="1"/>
  <c r="T1408" i="1"/>
  <c r="S1408" i="1"/>
  <c r="R1408" i="1"/>
  <c r="P1408" i="1"/>
  <c r="O1408" i="1"/>
  <c r="N1408" i="1"/>
  <c r="Q1408" i="1" s="1"/>
  <c r="M1408" i="1"/>
  <c r="L1408" i="1"/>
  <c r="V1408" i="1" s="1"/>
  <c r="U1407" i="1"/>
  <c r="V1407" i="1" s="1"/>
  <c r="T1407" i="1"/>
  <c r="S1407" i="1"/>
  <c r="R1407" i="1"/>
  <c r="Q1407" i="1"/>
  <c r="P1407" i="1"/>
  <c r="O1407" i="1"/>
  <c r="N1407" i="1"/>
  <c r="M1407" i="1"/>
  <c r="L1407" i="1"/>
  <c r="V1406" i="1"/>
  <c r="U1406" i="1"/>
  <c r="T1406" i="1"/>
  <c r="S1406" i="1"/>
  <c r="R1406" i="1"/>
  <c r="P1406" i="1"/>
  <c r="O1406" i="1"/>
  <c r="N1406" i="1"/>
  <c r="Q1406" i="1" s="1"/>
  <c r="M1406" i="1"/>
  <c r="L1406" i="1"/>
  <c r="U1405" i="1"/>
  <c r="V1405" i="1" s="1"/>
  <c r="T1405" i="1"/>
  <c r="S1405" i="1"/>
  <c r="R1405" i="1"/>
  <c r="Q1405" i="1"/>
  <c r="P1405" i="1"/>
  <c r="O1405" i="1"/>
  <c r="N1405" i="1"/>
  <c r="M1405" i="1"/>
  <c r="L1405" i="1"/>
  <c r="U1404" i="1"/>
  <c r="T1404" i="1"/>
  <c r="S1404" i="1"/>
  <c r="R1404" i="1"/>
  <c r="P1404" i="1"/>
  <c r="O1404" i="1"/>
  <c r="N1404" i="1"/>
  <c r="Q1404" i="1" s="1"/>
  <c r="M1404" i="1"/>
  <c r="L1404" i="1"/>
  <c r="V1404" i="1" s="1"/>
  <c r="U1403" i="1"/>
  <c r="V1403" i="1" s="1"/>
  <c r="T1403" i="1"/>
  <c r="S1403" i="1"/>
  <c r="R1403" i="1"/>
  <c r="Q1403" i="1"/>
  <c r="P1403" i="1"/>
  <c r="O1403" i="1"/>
  <c r="N1403" i="1"/>
  <c r="M1403" i="1"/>
  <c r="L1403" i="1"/>
  <c r="V1402" i="1"/>
  <c r="U1402" i="1"/>
  <c r="T1402" i="1"/>
  <c r="S1402" i="1"/>
  <c r="R1402" i="1"/>
  <c r="P1402" i="1"/>
  <c r="O1402" i="1"/>
  <c r="N1402" i="1"/>
  <c r="Q1402" i="1" s="1"/>
  <c r="M1402" i="1"/>
  <c r="L1402" i="1"/>
  <c r="U1401" i="1"/>
  <c r="V1401" i="1" s="1"/>
  <c r="T1401" i="1"/>
  <c r="S1401" i="1"/>
  <c r="R1401" i="1"/>
  <c r="Q1401" i="1"/>
  <c r="P1401" i="1"/>
  <c r="O1401" i="1"/>
  <c r="N1401" i="1"/>
  <c r="M1401" i="1"/>
  <c r="L1401" i="1"/>
  <c r="U1400" i="1"/>
  <c r="T1400" i="1"/>
  <c r="S1400" i="1"/>
  <c r="R1400" i="1"/>
  <c r="P1400" i="1"/>
  <c r="O1400" i="1"/>
  <c r="N1400" i="1"/>
  <c r="Q1400" i="1" s="1"/>
  <c r="M1400" i="1"/>
  <c r="L1400" i="1"/>
  <c r="V1400" i="1" s="1"/>
  <c r="U1399" i="1"/>
  <c r="V1399" i="1" s="1"/>
  <c r="T1399" i="1"/>
  <c r="S1399" i="1"/>
  <c r="R1399" i="1"/>
  <c r="Q1399" i="1"/>
  <c r="P1399" i="1"/>
  <c r="O1399" i="1"/>
  <c r="N1399" i="1"/>
  <c r="M1399" i="1"/>
  <c r="L1399" i="1"/>
  <c r="V1398" i="1"/>
  <c r="U1398" i="1"/>
  <c r="T1398" i="1"/>
  <c r="S1398" i="1"/>
  <c r="R1398" i="1"/>
  <c r="P1398" i="1"/>
  <c r="O1398" i="1"/>
  <c r="N1398" i="1"/>
  <c r="Q1398" i="1" s="1"/>
  <c r="M1398" i="1"/>
  <c r="L1398" i="1"/>
  <c r="U1397" i="1"/>
  <c r="V1397" i="1" s="1"/>
  <c r="T1397" i="1"/>
  <c r="S1397" i="1"/>
  <c r="R1397" i="1"/>
  <c r="Q1397" i="1"/>
  <c r="P1397" i="1"/>
  <c r="O1397" i="1"/>
  <c r="N1397" i="1"/>
  <c r="M1397" i="1"/>
  <c r="L1397" i="1"/>
  <c r="U1396" i="1"/>
  <c r="T1396" i="1"/>
  <c r="S1396" i="1"/>
  <c r="R1396" i="1"/>
  <c r="P1396" i="1"/>
  <c r="O1396" i="1"/>
  <c r="N1396" i="1"/>
  <c r="Q1396" i="1" s="1"/>
  <c r="M1396" i="1"/>
  <c r="L1396" i="1"/>
  <c r="V1396" i="1" s="1"/>
  <c r="U1395" i="1"/>
  <c r="V1395" i="1" s="1"/>
  <c r="T1395" i="1"/>
  <c r="S1395" i="1"/>
  <c r="R1395" i="1"/>
  <c r="Q1395" i="1"/>
  <c r="P1395" i="1"/>
  <c r="O1395" i="1"/>
  <c r="N1395" i="1"/>
  <c r="M1395" i="1"/>
  <c r="L1395" i="1"/>
  <c r="V1394" i="1"/>
  <c r="U1394" i="1"/>
  <c r="T1394" i="1"/>
  <c r="S1394" i="1"/>
  <c r="R1394" i="1"/>
  <c r="P1394" i="1"/>
  <c r="O1394" i="1"/>
  <c r="N1394" i="1"/>
  <c r="Q1394" i="1" s="1"/>
  <c r="M1394" i="1"/>
  <c r="L1394" i="1"/>
  <c r="U1393" i="1"/>
  <c r="V1393" i="1" s="1"/>
  <c r="T1393" i="1"/>
  <c r="S1393" i="1"/>
  <c r="R1393" i="1"/>
  <c r="Q1393" i="1"/>
  <c r="P1393" i="1"/>
  <c r="O1393" i="1"/>
  <c r="N1393" i="1"/>
  <c r="M1393" i="1"/>
  <c r="L1393" i="1"/>
  <c r="U1392" i="1"/>
  <c r="T1392" i="1"/>
  <c r="S1392" i="1"/>
  <c r="R1392" i="1"/>
  <c r="P1392" i="1"/>
  <c r="O1392" i="1"/>
  <c r="N1392" i="1"/>
  <c r="Q1392" i="1" s="1"/>
  <c r="M1392" i="1"/>
  <c r="L1392" i="1"/>
  <c r="V1392" i="1" s="1"/>
  <c r="U1391" i="1"/>
  <c r="V1391" i="1" s="1"/>
  <c r="T1391" i="1"/>
  <c r="S1391" i="1"/>
  <c r="R1391" i="1"/>
  <c r="Q1391" i="1"/>
  <c r="P1391" i="1"/>
  <c r="O1391" i="1"/>
  <c r="N1391" i="1"/>
  <c r="M1391" i="1"/>
  <c r="L1391" i="1"/>
  <c r="V1390" i="1"/>
  <c r="U1390" i="1"/>
  <c r="T1390" i="1"/>
  <c r="S1390" i="1"/>
  <c r="R1390" i="1"/>
  <c r="P1390" i="1"/>
  <c r="O1390" i="1"/>
  <c r="N1390" i="1"/>
  <c r="Q1390" i="1" s="1"/>
  <c r="M1390" i="1"/>
  <c r="L1390" i="1"/>
  <c r="U1389" i="1"/>
  <c r="V1389" i="1" s="1"/>
  <c r="T1389" i="1"/>
  <c r="S1389" i="1"/>
  <c r="R1389" i="1"/>
  <c r="Q1389" i="1"/>
  <c r="P1389" i="1"/>
  <c r="O1389" i="1"/>
  <c r="N1389" i="1"/>
  <c r="M1389" i="1"/>
  <c r="L1389" i="1"/>
  <c r="U1388" i="1"/>
  <c r="T1388" i="1"/>
  <c r="S1388" i="1"/>
  <c r="R1388" i="1"/>
  <c r="P1388" i="1"/>
  <c r="O1388" i="1"/>
  <c r="N1388" i="1"/>
  <c r="Q1388" i="1" s="1"/>
  <c r="M1388" i="1"/>
  <c r="L1388" i="1"/>
  <c r="V1388" i="1" s="1"/>
  <c r="U1387" i="1"/>
  <c r="V1387" i="1" s="1"/>
  <c r="T1387" i="1"/>
  <c r="S1387" i="1"/>
  <c r="R1387" i="1"/>
  <c r="Q1387" i="1"/>
  <c r="P1387" i="1"/>
  <c r="O1387" i="1"/>
  <c r="N1387" i="1"/>
  <c r="M1387" i="1"/>
  <c r="L1387" i="1"/>
  <c r="V1386" i="1"/>
  <c r="U1386" i="1"/>
  <c r="T1386" i="1"/>
  <c r="S1386" i="1"/>
  <c r="R1386" i="1"/>
  <c r="P1386" i="1"/>
  <c r="O1386" i="1"/>
  <c r="N1386" i="1"/>
  <c r="Q1386" i="1" s="1"/>
  <c r="M1386" i="1"/>
  <c r="L1386" i="1"/>
  <c r="U1385" i="1"/>
  <c r="V1385" i="1" s="1"/>
  <c r="T1385" i="1"/>
  <c r="S1385" i="1"/>
  <c r="R1385" i="1"/>
  <c r="Q1385" i="1"/>
  <c r="P1385" i="1"/>
  <c r="O1385" i="1"/>
  <c r="N1385" i="1"/>
  <c r="M1385" i="1"/>
  <c r="L1385" i="1"/>
  <c r="U1384" i="1"/>
  <c r="T1384" i="1"/>
  <c r="S1384" i="1"/>
  <c r="R1384" i="1"/>
  <c r="P1384" i="1"/>
  <c r="O1384" i="1"/>
  <c r="N1384" i="1"/>
  <c r="Q1384" i="1" s="1"/>
  <c r="M1384" i="1"/>
  <c r="L1384" i="1"/>
  <c r="V1384" i="1" s="1"/>
  <c r="U1383" i="1"/>
  <c r="V1383" i="1" s="1"/>
  <c r="T1383" i="1"/>
  <c r="S1383" i="1"/>
  <c r="R1383" i="1"/>
  <c r="Q1383" i="1"/>
  <c r="P1383" i="1"/>
  <c r="O1383" i="1"/>
  <c r="N1383" i="1"/>
  <c r="M1383" i="1"/>
  <c r="L1383" i="1"/>
  <c r="V1382" i="1"/>
  <c r="U1382" i="1"/>
  <c r="T1382" i="1"/>
  <c r="S1382" i="1"/>
  <c r="R1382" i="1"/>
  <c r="P1382" i="1"/>
  <c r="O1382" i="1"/>
  <c r="N1382" i="1"/>
  <c r="Q1382" i="1" s="1"/>
  <c r="M1382" i="1"/>
  <c r="L1382" i="1"/>
  <c r="U1381" i="1"/>
  <c r="V1381" i="1" s="1"/>
  <c r="T1381" i="1"/>
  <c r="S1381" i="1"/>
  <c r="R1381" i="1"/>
  <c r="Q1381" i="1"/>
  <c r="P1381" i="1"/>
  <c r="O1381" i="1"/>
  <c r="N1381" i="1"/>
  <c r="M1381" i="1"/>
  <c r="L1381" i="1"/>
  <c r="U1380" i="1"/>
  <c r="T1380" i="1"/>
  <c r="S1380" i="1"/>
  <c r="R1380" i="1"/>
  <c r="P1380" i="1"/>
  <c r="O1380" i="1"/>
  <c r="N1380" i="1"/>
  <c r="Q1380" i="1" s="1"/>
  <c r="M1380" i="1"/>
  <c r="L1380" i="1"/>
  <c r="V1380" i="1" s="1"/>
  <c r="U1379" i="1"/>
  <c r="V1379" i="1" s="1"/>
  <c r="T1379" i="1"/>
  <c r="S1379" i="1"/>
  <c r="R1379" i="1"/>
  <c r="Q1379" i="1"/>
  <c r="P1379" i="1"/>
  <c r="O1379" i="1"/>
  <c r="N1379" i="1"/>
  <c r="M1379" i="1"/>
  <c r="L1379" i="1"/>
  <c r="V1378" i="1"/>
  <c r="U1378" i="1"/>
  <c r="T1378" i="1"/>
  <c r="S1378" i="1"/>
  <c r="R1378" i="1"/>
  <c r="P1378" i="1"/>
  <c r="O1378" i="1"/>
  <c r="N1378" i="1"/>
  <c r="Q1378" i="1" s="1"/>
  <c r="M1378" i="1"/>
  <c r="L1378" i="1"/>
  <c r="U1377" i="1"/>
  <c r="V1377" i="1" s="1"/>
  <c r="T1377" i="1"/>
  <c r="S1377" i="1"/>
  <c r="R1377" i="1"/>
  <c r="Q1377" i="1"/>
  <c r="P1377" i="1"/>
  <c r="O1377" i="1"/>
  <c r="N1377" i="1"/>
  <c r="M1377" i="1"/>
  <c r="L1377" i="1"/>
  <c r="U1376" i="1"/>
  <c r="T1376" i="1"/>
  <c r="S1376" i="1"/>
  <c r="R1376" i="1"/>
  <c r="P1376" i="1"/>
  <c r="O1376" i="1"/>
  <c r="N1376" i="1"/>
  <c r="Q1376" i="1" s="1"/>
  <c r="M1376" i="1"/>
  <c r="L1376" i="1"/>
  <c r="V1376" i="1" s="1"/>
  <c r="U1375" i="1"/>
  <c r="V1375" i="1" s="1"/>
  <c r="T1375" i="1"/>
  <c r="S1375" i="1"/>
  <c r="R1375" i="1"/>
  <c r="Q1375" i="1"/>
  <c r="P1375" i="1"/>
  <c r="O1375" i="1"/>
  <c r="N1375" i="1"/>
  <c r="M1375" i="1"/>
  <c r="L1375" i="1"/>
  <c r="V1374" i="1"/>
  <c r="U1374" i="1"/>
  <c r="T1374" i="1"/>
  <c r="S1374" i="1"/>
  <c r="R1374" i="1"/>
  <c r="P1374" i="1"/>
  <c r="O1374" i="1"/>
  <c r="N1374" i="1"/>
  <c r="Q1374" i="1" s="1"/>
  <c r="M1374" i="1"/>
  <c r="L1374" i="1"/>
  <c r="U1373" i="1"/>
  <c r="V1373" i="1" s="1"/>
  <c r="T1373" i="1"/>
  <c r="S1373" i="1"/>
  <c r="R1373" i="1"/>
  <c r="Q1373" i="1"/>
  <c r="P1373" i="1"/>
  <c r="O1373" i="1"/>
  <c r="N1373" i="1"/>
  <c r="M1373" i="1"/>
  <c r="L1373" i="1"/>
  <c r="U1372" i="1"/>
  <c r="T1372" i="1"/>
  <c r="S1372" i="1"/>
  <c r="R1372" i="1"/>
  <c r="P1372" i="1"/>
  <c r="O1372" i="1"/>
  <c r="N1372" i="1"/>
  <c r="Q1372" i="1" s="1"/>
  <c r="M1372" i="1"/>
  <c r="L1372" i="1"/>
  <c r="V1372" i="1" s="1"/>
  <c r="U1371" i="1"/>
  <c r="V1371" i="1" s="1"/>
  <c r="T1371" i="1"/>
  <c r="S1371" i="1"/>
  <c r="R1371" i="1"/>
  <c r="Q1371" i="1"/>
  <c r="P1371" i="1"/>
  <c r="O1371" i="1"/>
  <c r="N1371" i="1"/>
  <c r="M1371" i="1"/>
  <c r="L1371" i="1"/>
  <c r="V1370" i="1"/>
  <c r="U1370" i="1"/>
  <c r="T1370" i="1"/>
  <c r="S1370" i="1"/>
  <c r="R1370" i="1"/>
  <c r="P1370" i="1"/>
  <c r="O1370" i="1"/>
  <c r="N1370" i="1"/>
  <c r="Q1370" i="1" s="1"/>
  <c r="M1370" i="1"/>
  <c r="L1370" i="1"/>
  <c r="U1369" i="1"/>
  <c r="V1369" i="1" s="1"/>
  <c r="T1369" i="1"/>
  <c r="S1369" i="1"/>
  <c r="R1369" i="1"/>
  <c r="Q1369" i="1"/>
  <c r="P1369" i="1"/>
  <c r="O1369" i="1"/>
  <c r="N1369" i="1"/>
  <c r="M1369" i="1"/>
  <c r="L1369" i="1"/>
  <c r="U1368" i="1"/>
  <c r="T1368" i="1"/>
  <c r="S1368" i="1"/>
  <c r="R1368" i="1"/>
  <c r="P1368" i="1"/>
  <c r="O1368" i="1"/>
  <c r="N1368" i="1"/>
  <c r="Q1368" i="1" s="1"/>
  <c r="M1368" i="1"/>
  <c r="L1368" i="1"/>
  <c r="V1368" i="1" s="1"/>
  <c r="U1367" i="1"/>
  <c r="V1367" i="1" s="1"/>
  <c r="T1367" i="1"/>
  <c r="S1367" i="1"/>
  <c r="R1367" i="1"/>
  <c r="Q1367" i="1"/>
  <c r="P1367" i="1"/>
  <c r="O1367" i="1"/>
  <c r="N1367" i="1"/>
  <c r="M1367" i="1"/>
  <c r="L1367" i="1"/>
  <c r="V1366" i="1"/>
  <c r="U1366" i="1"/>
  <c r="T1366" i="1"/>
  <c r="S1366" i="1"/>
  <c r="R1366" i="1"/>
  <c r="P1366" i="1"/>
  <c r="O1366" i="1"/>
  <c r="N1366" i="1"/>
  <c r="Q1366" i="1" s="1"/>
  <c r="M1366" i="1"/>
  <c r="L1366" i="1"/>
  <c r="U1365" i="1"/>
  <c r="V1365" i="1" s="1"/>
  <c r="T1365" i="1"/>
  <c r="S1365" i="1"/>
  <c r="R1365" i="1"/>
  <c r="Q1365" i="1"/>
  <c r="P1365" i="1"/>
  <c r="O1365" i="1"/>
  <c r="N1365" i="1"/>
  <c r="M1365" i="1"/>
  <c r="L1365" i="1"/>
  <c r="U1364" i="1"/>
  <c r="T1364" i="1"/>
  <c r="S1364" i="1"/>
  <c r="R1364" i="1"/>
  <c r="P1364" i="1"/>
  <c r="O1364" i="1"/>
  <c r="N1364" i="1"/>
  <c r="Q1364" i="1" s="1"/>
  <c r="M1364" i="1"/>
  <c r="L1364" i="1"/>
  <c r="V1364" i="1" s="1"/>
  <c r="U1363" i="1"/>
  <c r="V1363" i="1" s="1"/>
  <c r="T1363" i="1"/>
  <c r="S1363" i="1"/>
  <c r="R1363" i="1"/>
  <c r="Q1363" i="1"/>
  <c r="P1363" i="1"/>
  <c r="O1363" i="1"/>
  <c r="N1363" i="1"/>
  <c r="M1363" i="1"/>
  <c r="L1363" i="1"/>
  <c r="V1362" i="1"/>
  <c r="U1362" i="1"/>
  <c r="T1362" i="1"/>
  <c r="S1362" i="1"/>
  <c r="R1362" i="1"/>
  <c r="P1362" i="1"/>
  <c r="O1362" i="1"/>
  <c r="N1362" i="1"/>
  <c r="Q1362" i="1" s="1"/>
  <c r="M1362" i="1"/>
  <c r="L1362" i="1"/>
  <c r="U1361" i="1"/>
  <c r="V1361" i="1" s="1"/>
  <c r="T1361" i="1"/>
  <c r="S1361" i="1"/>
  <c r="R1361" i="1"/>
  <c r="Q1361" i="1"/>
  <c r="P1361" i="1"/>
  <c r="O1361" i="1"/>
  <c r="N1361" i="1"/>
  <c r="M1361" i="1"/>
  <c r="L1361" i="1"/>
  <c r="U1360" i="1"/>
  <c r="T1360" i="1"/>
  <c r="S1360" i="1"/>
  <c r="R1360" i="1"/>
  <c r="P1360" i="1"/>
  <c r="O1360" i="1"/>
  <c r="N1360" i="1"/>
  <c r="Q1360" i="1" s="1"/>
  <c r="M1360" i="1"/>
  <c r="L1360" i="1"/>
  <c r="V1360" i="1" s="1"/>
  <c r="U1359" i="1"/>
  <c r="V1359" i="1" s="1"/>
  <c r="T1359" i="1"/>
  <c r="S1359" i="1"/>
  <c r="R1359" i="1"/>
  <c r="Q1359" i="1"/>
  <c r="P1359" i="1"/>
  <c r="O1359" i="1"/>
  <c r="N1359" i="1"/>
  <c r="M1359" i="1"/>
  <c r="L1359" i="1"/>
  <c r="V1358" i="1"/>
  <c r="U1358" i="1"/>
  <c r="T1358" i="1"/>
  <c r="S1358" i="1"/>
  <c r="R1358" i="1"/>
  <c r="P1358" i="1"/>
  <c r="O1358" i="1"/>
  <c r="N1358" i="1"/>
  <c r="Q1358" i="1" s="1"/>
  <c r="M1358" i="1"/>
  <c r="L1358" i="1"/>
  <c r="U1357" i="1"/>
  <c r="V1357" i="1" s="1"/>
  <c r="T1357" i="1"/>
  <c r="S1357" i="1"/>
  <c r="R1357" i="1"/>
  <c r="Q1357" i="1"/>
  <c r="P1357" i="1"/>
  <c r="O1357" i="1"/>
  <c r="N1357" i="1"/>
  <c r="M1357" i="1"/>
  <c r="L1357" i="1"/>
  <c r="U1356" i="1"/>
  <c r="T1356" i="1"/>
  <c r="S1356" i="1"/>
  <c r="R1356" i="1"/>
  <c r="P1356" i="1"/>
  <c r="O1356" i="1"/>
  <c r="N1356" i="1"/>
  <c r="Q1356" i="1" s="1"/>
  <c r="M1356" i="1"/>
  <c r="L1356" i="1"/>
  <c r="V1356" i="1" s="1"/>
  <c r="U1355" i="1"/>
  <c r="V1355" i="1" s="1"/>
  <c r="T1355" i="1"/>
  <c r="S1355" i="1"/>
  <c r="R1355" i="1"/>
  <c r="Q1355" i="1"/>
  <c r="P1355" i="1"/>
  <c r="O1355" i="1"/>
  <c r="N1355" i="1"/>
  <c r="M1355" i="1"/>
  <c r="L1355" i="1"/>
  <c r="V1354" i="1"/>
  <c r="U1354" i="1"/>
  <c r="T1354" i="1"/>
  <c r="S1354" i="1"/>
  <c r="R1354" i="1"/>
  <c r="P1354" i="1"/>
  <c r="O1354" i="1"/>
  <c r="N1354" i="1"/>
  <c r="Q1354" i="1" s="1"/>
  <c r="M1354" i="1"/>
  <c r="L1354" i="1"/>
  <c r="U1353" i="1"/>
  <c r="V1353" i="1" s="1"/>
  <c r="T1353" i="1"/>
  <c r="S1353" i="1"/>
  <c r="R1353" i="1"/>
  <c r="Q1353" i="1"/>
  <c r="P1353" i="1"/>
  <c r="O1353" i="1"/>
  <c r="N1353" i="1"/>
  <c r="M1353" i="1"/>
  <c r="L1353" i="1"/>
  <c r="U1352" i="1"/>
  <c r="T1352" i="1"/>
  <c r="S1352" i="1"/>
  <c r="R1352" i="1"/>
  <c r="P1352" i="1"/>
  <c r="O1352" i="1"/>
  <c r="N1352" i="1"/>
  <c r="Q1352" i="1" s="1"/>
  <c r="M1352" i="1"/>
  <c r="L1352" i="1"/>
  <c r="V1352" i="1" s="1"/>
  <c r="U1351" i="1"/>
  <c r="V1351" i="1" s="1"/>
  <c r="T1351" i="1"/>
  <c r="S1351" i="1"/>
  <c r="R1351" i="1"/>
  <c r="Q1351" i="1"/>
  <c r="P1351" i="1"/>
  <c r="O1351" i="1"/>
  <c r="N1351" i="1"/>
  <c r="M1351" i="1"/>
  <c r="L1351" i="1"/>
  <c r="V1350" i="1"/>
  <c r="U1350" i="1"/>
  <c r="T1350" i="1"/>
  <c r="S1350" i="1"/>
  <c r="R1350" i="1"/>
  <c r="P1350" i="1"/>
  <c r="O1350" i="1"/>
  <c r="N1350" i="1"/>
  <c r="Q1350" i="1" s="1"/>
  <c r="M1350" i="1"/>
  <c r="L1350" i="1"/>
  <c r="U1349" i="1"/>
  <c r="V1349" i="1" s="1"/>
  <c r="T1349" i="1"/>
  <c r="S1349" i="1"/>
  <c r="R1349" i="1"/>
  <c r="Q1349" i="1"/>
  <c r="P1349" i="1"/>
  <c r="O1349" i="1"/>
  <c r="N1349" i="1"/>
  <c r="M1349" i="1"/>
  <c r="L1349" i="1"/>
  <c r="U1348" i="1"/>
  <c r="T1348" i="1"/>
  <c r="S1348" i="1"/>
  <c r="R1348" i="1"/>
  <c r="P1348" i="1"/>
  <c r="O1348" i="1"/>
  <c r="N1348" i="1"/>
  <c r="Q1348" i="1" s="1"/>
  <c r="M1348" i="1"/>
  <c r="L1348" i="1"/>
  <c r="V1348" i="1" s="1"/>
  <c r="U1347" i="1"/>
  <c r="V1347" i="1" s="1"/>
  <c r="T1347" i="1"/>
  <c r="S1347" i="1"/>
  <c r="R1347" i="1"/>
  <c r="Q1347" i="1"/>
  <c r="P1347" i="1"/>
  <c r="O1347" i="1"/>
  <c r="N1347" i="1"/>
  <c r="M1347" i="1"/>
  <c r="L1347" i="1"/>
  <c r="V1346" i="1"/>
  <c r="U1346" i="1"/>
  <c r="T1346" i="1"/>
  <c r="S1346" i="1"/>
  <c r="R1346" i="1"/>
  <c r="P1346" i="1"/>
  <c r="O1346" i="1"/>
  <c r="N1346" i="1"/>
  <c r="Q1346" i="1" s="1"/>
  <c r="M1346" i="1"/>
  <c r="L1346" i="1"/>
  <c r="U1345" i="1"/>
  <c r="V1345" i="1" s="1"/>
  <c r="T1345" i="1"/>
  <c r="S1345" i="1"/>
  <c r="R1345" i="1"/>
  <c r="Q1345" i="1"/>
  <c r="P1345" i="1"/>
  <c r="O1345" i="1"/>
  <c r="N1345" i="1"/>
  <c r="M1345" i="1"/>
  <c r="L1345" i="1"/>
  <c r="U1344" i="1"/>
  <c r="T1344" i="1"/>
  <c r="S1344" i="1"/>
  <c r="R1344" i="1"/>
  <c r="P1344" i="1"/>
  <c r="O1344" i="1"/>
  <c r="N1344" i="1"/>
  <c r="Q1344" i="1" s="1"/>
  <c r="M1344" i="1"/>
  <c r="L1344" i="1"/>
  <c r="V1344" i="1" s="1"/>
  <c r="U1343" i="1"/>
  <c r="V1343" i="1" s="1"/>
  <c r="T1343" i="1"/>
  <c r="S1343" i="1"/>
  <c r="R1343" i="1"/>
  <c r="Q1343" i="1"/>
  <c r="P1343" i="1"/>
  <c r="O1343" i="1"/>
  <c r="N1343" i="1"/>
  <c r="M1343" i="1"/>
  <c r="L1343" i="1"/>
  <c r="V1342" i="1"/>
  <c r="U1342" i="1"/>
  <c r="T1342" i="1"/>
  <c r="S1342" i="1"/>
  <c r="R1342" i="1"/>
  <c r="P1342" i="1"/>
  <c r="O1342" i="1"/>
  <c r="N1342" i="1"/>
  <c r="Q1342" i="1" s="1"/>
  <c r="M1342" i="1"/>
  <c r="L1342" i="1"/>
  <c r="U1341" i="1"/>
  <c r="V1341" i="1" s="1"/>
  <c r="T1341" i="1"/>
  <c r="S1341" i="1"/>
  <c r="R1341" i="1"/>
  <c r="Q1341" i="1"/>
  <c r="P1341" i="1"/>
  <c r="O1341" i="1"/>
  <c r="N1341" i="1"/>
  <c r="M1341" i="1"/>
  <c r="L1341" i="1"/>
  <c r="U1340" i="1"/>
  <c r="T1340" i="1"/>
  <c r="S1340" i="1"/>
  <c r="R1340" i="1"/>
  <c r="P1340" i="1"/>
  <c r="O1340" i="1"/>
  <c r="N1340" i="1"/>
  <c r="Q1340" i="1" s="1"/>
  <c r="M1340" i="1"/>
  <c r="L1340" i="1"/>
  <c r="V1340" i="1" s="1"/>
  <c r="U1339" i="1"/>
  <c r="V1339" i="1" s="1"/>
  <c r="T1339" i="1"/>
  <c r="S1339" i="1"/>
  <c r="R1339" i="1"/>
  <c r="Q1339" i="1"/>
  <c r="P1339" i="1"/>
  <c r="O1339" i="1"/>
  <c r="N1339" i="1"/>
  <c r="M1339" i="1"/>
  <c r="L1339" i="1"/>
  <c r="V1338" i="1"/>
  <c r="U1338" i="1"/>
  <c r="T1338" i="1"/>
  <c r="S1338" i="1"/>
  <c r="R1338" i="1"/>
  <c r="P1338" i="1"/>
  <c r="O1338" i="1"/>
  <c r="N1338" i="1"/>
  <c r="Q1338" i="1" s="1"/>
  <c r="M1338" i="1"/>
  <c r="L1338" i="1"/>
  <c r="U1337" i="1"/>
  <c r="V1337" i="1" s="1"/>
  <c r="T1337" i="1"/>
  <c r="S1337" i="1"/>
  <c r="R1337" i="1"/>
  <c r="Q1337" i="1"/>
  <c r="P1337" i="1"/>
  <c r="O1337" i="1"/>
  <c r="N1337" i="1"/>
  <c r="M1337" i="1"/>
  <c r="L1337" i="1"/>
  <c r="U1336" i="1"/>
  <c r="T1336" i="1"/>
  <c r="S1336" i="1"/>
  <c r="R1336" i="1"/>
  <c r="P1336" i="1"/>
  <c r="O1336" i="1"/>
  <c r="N1336" i="1"/>
  <c r="Q1336" i="1" s="1"/>
  <c r="M1336" i="1"/>
  <c r="L1336" i="1"/>
  <c r="V1336" i="1" s="1"/>
  <c r="U1335" i="1"/>
  <c r="V1335" i="1" s="1"/>
  <c r="T1335" i="1"/>
  <c r="S1335" i="1"/>
  <c r="R1335" i="1"/>
  <c r="Q1335" i="1"/>
  <c r="P1335" i="1"/>
  <c r="O1335" i="1"/>
  <c r="N1335" i="1"/>
  <c r="M1335" i="1"/>
  <c r="L1335" i="1"/>
  <c r="V1334" i="1"/>
  <c r="U1334" i="1"/>
  <c r="T1334" i="1"/>
  <c r="S1334" i="1"/>
  <c r="R1334" i="1"/>
  <c r="P1334" i="1"/>
  <c r="O1334" i="1"/>
  <c r="N1334" i="1"/>
  <c r="Q1334" i="1" s="1"/>
  <c r="M1334" i="1"/>
  <c r="L1334" i="1"/>
  <c r="U1333" i="1"/>
  <c r="V1333" i="1" s="1"/>
  <c r="T1333" i="1"/>
  <c r="S1333" i="1"/>
  <c r="R1333" i="1"/>
  <c r="Q1333" i="1"/>
  <c r="P1333" i="1"/>
  <c r="O1333" i="1"/>
  <c r="N1333" i="1"/>
  <c r="M1333" i="1"/>
  <c r="L1333" i="1"/>
  <c r="U1332" i="1"/>
  <c r="T1332" i="1"/>
  <c r="S1332" i="1"/>
  <c r="R1332" i="1"/>
  <c r="P1332" i="1"/>
  <c r="O1332" i="1"/>
  <c r="N1332" i="1"/>
  <c r="Q1332" i="1" s="1"/>
  <c r="M1332" i="1"/>
  <c r="L1332" i="1"/>
  <c r="V1332" i="1" s="1"/>
  <c r="U1331" i="1"/>
  <c r="V1331" i="1" s="1"/>
  <c r="T1331" i="1"/>
  <c r="S1331" i="1"/>
  <c r="R1331" i="1"/>
  <c r="Q1331" i="1"/>
  <c r="P1331" i="1"/>
  <c r="O1331" i="1"/>
  <c r="N1331" i="1"/>
  <c r="M1331" i="1"/>
  <c r="L1331" i="1"/>
  <c r="V1330" i="1"/>
  <c r="U1330" i="1"/>
  <c r="T1330" i="1"/>
  <c r="S1330" i="1"/>
  <c r="R1330" i="1"/>
  <c r="P1330" i="1"/>
  <c r="O1330" i="1"/>
  <c r="N1330" i="1"/>
  <c r="Q1330" i="1" s="1"/>
  <c r="M1330" i="1"/>
  <c r="L1330" i="1"/>
  <c r="U1329" i="1"/>
  <c r="V1329" i="1" s="1"/>
  <c r="T1329" i="1"/>
  <c r="S1329" i="1"/>
  <c r="R1329" i="1"/>
  <c r="Q1329" i="1"/>
  <c r="P1329" i="1"/>
  <c r="O1329" i="1"/>
  <c r="N1329" i="1"/>
  <c r="M1329" i="1"/>
  <c r="L1329" i="1"/>
  <c r="U1328" i="1"/>
  <c r="T1328" i="1"/>
  <c r="S1328" i="1"/>
  <c r="R1328" i="1"/>
  <c r="P1328" i="1"/>
  <c r="O1328" i="1"/>
  <c r="N1328" i="1"/>
  <c r="Q1328" i="1" s="1"/>
  <c r="M1328" i="1"/>
  <c r="L1328" i="1"/>
  <c r="V1328" i="1" s="1"/>
  <c r="U1327" i="1"/>
  <c r="V1327" i="1" s="1"/>
  <c r="T1327" i="1"/>
  <c r="S1327" i="1"/>
  <c r="R1327" i="1"/>
  <c r="Q1327" i="1"/>
  <c r="P1327" i="1"/>
  <c r="O1327" i="1"/>
  <c r="N1327" i="1"/>
  <c r="M1327" i="1"/>
  <c r="L1327" i="1"/>
  <c r="V1326" i="1"/>
  <c r="U1326" i="1"/>
  <c r="T1326" i="1"/>
  <c r="S1326" i="1"/>
  <c r="R1326" i="1"/>
  <c r="P1326" i="1"/>
  <c r="O1326" i="1"/>
  <c r="N1326" i="1"/>
  <c r="Q1326" i="1" s="1"/>
  <c r="M1326" i="1"/>
  <c r="L1326" i="1"/>
  <c r="U1325" i="1"/>
  <c r="V1325" i="1" s="1"/>
  <c r="T1325" i="1"/>
  <c r="S1325" i="1"/>
  <c r="R1325" i="1"/>
  <c r="Q1325" i="1"/>
  <c r="P1325" i="1"/>
  <c r="O1325" i="1"/>
  <c r="N1325" i="1"/>
  <c r="M1325" i="1"/>
  <c r="L1325" i="1"/>
  <c r="U1324" i="1"/>
  <c r="T1324" i="1"/>
  <c r="S1324" i="1"/>
  <c r="R1324" i="1"/>
  <c r="P1324" i="1"/>
  <c r="O1324" i="1"/>
  <c r="N1324" i="1"/>
  <c r="Q1324" i="1" s="1"/>
  <c r="M1324" i="1"/>
  <c r="L1324" i="1"/>
  <c r="V1324" i="1" s="1"/>
  <c r="U1323" i="1"/>
  <c r="V1323" i="1" s="1"/>
  <c r="T1323" i="1"/>
  <c r="S1323" i="1"/>
  <c r="R1323" i="1"/>
  <c r="Q1323" i="1"/>
  <c r="P1323" i="1"/>
  <c r="O1323" i="1"/>
  <c r="N1323" i="1"/>
  <c r="M1323" i="1"/>
  <c r="L1323" i="1"/>
  <c r="V1322" i="1"/>
  <c r="U1322" i="1"/>
  <c r="T1322" i="1"/>
  <c r="S1322" i="1"/>
  <c r="R1322" i="1"/>
  <c r="P1322" i="1"/>
  <c r="O1322" i="1"/>
  <c r="N1322" i="1"/>
  <c r="Q1322" i="1" s="1"/>
  <c r="M1322" i="1"/>
  <c r="L1322" i="1"/>
  <c r="U1321" i="1"/>
  <c r="V1321" i="1" s="1"/>
  <c r="T1321" i="1"/>
  <c r="S1321" i="1"/>
  <c r="R1321" i="1"/>
  <c r="Q1321" i="1"/>
  <c r="P1321" i="1"/>
  <c r="O1321" i="1"/>
  <c r="N1321" i="1"/>
  <c r="M1321" i="1"/>
  <c r="L1321" i="1"/>
  <c r="U1320" i="1"/>
  <c r="T1320" i="1"/>
  <c r="S1320" i="1"/>
  <c r="R1320" i="1"/>
  <c r="P1320" i="1"/>
  <c r="O1320" i="1"/>
  <c r="N1320" i="1"/>
  <c r="Q1320" i="1" s="1"/>
  <c r="M1320" i="1"/>
  <c r="L1320" i="1"/>
  <c r="V1320" i="1" s="1"/>
  <c r="U1319" i="1"/>
  <c r="V1319" i="1" s="1"/>
  <c r="T1319" i="1"/>
  <c r="S1319" i="1"/>
  <c r="R1319" i="1"/>
  <c r="Q1319" i="1"/>
  <c r="P1319" i="1"/>
  <c r="O1319" i="1"/>
  <c r="N1319" i="1"/>
  <c r="M1319" i="1"/>
  <c r="L1319" i="1"/>
  <c r="V1318" i="1"/>
  <c r="U1318" i="1"/>
  <c r="T1318" i="1"/>
  <c r="S1318" i="1"/>
  <c r="R1318" i="1"/>
  <c r="P1318" i="1"/>
  <c r="O1318" i="1"/>
  <c r="N1318" i="1"/>
  <c r="Q1318" i="1" s="1"/>
  <c r="M1318" i="1"/>
  <c r="L1318" i="1"/>
  <c r="U1317" i="1"/>
  <c r="V1317" i="1" s="1"/>
  <c r="T1317" i="1"/>
  <c r="S1317" i="1"/>
  <c r="R1317" i="1"/>
  <c r="Q1317" i="1"/>
  <c r="P1317" i="1"/>
  <c r="O1317" i="1"/>
  <c r="N1317" i="1"/>
  <c r="M1317" i="1"/>
  <c r="L1317" i="1"/>
  <c r="U1316" i="1"/>
  <c r="T1316" i="1"/>
  <c r="S1316" i="1"/>
  <c r="R1316" i="1"/>
  <c r="P1316" i="1"/>
  <c r="O1316" i="1"/>
  <c r="N1316" i="1"/>
  <c r="Q1316" i="1" s="1"/>
  <c r="M1316" i="1"/>
  <c r="L1316" i="1"/>
  <c r="V1316" i="1" s="1"/>
  <c r="U1315" i="1"/>
  <c r="V1315" i="1" s="1"/>
  <c r="T1315" i="1"/>
  <c r="S1315" i="1"/>
  <c r="R1315" i="1"/>
  <c r="Q1315" i="1"/>
  <c r="P1315" i="1"/>
  <c r="O1315" i="1"/>
  <c r="N1315" i="1"/>
  <c r="M1315" i="1"/>
  <c r="L1315" i="1"/>
  <c r="V1314" i="1"/>
  <c r="U1314" i="1"/>
  <c r="T1314" i="1"/>
  <c r="S1314" i="1"/>
  <c r="R1314" i="1"/>
  <c r="P1314" i="1"/>
  <c r="O1314" i="1"/>
  <c r="N1314" i="1"/>
  <c r="Q1314" i="1" s="1"/>
  <c r="M1314" i="1"/>
  <c r="L1314" i="1"/>
  <c r="U1313" i="1"/>
  <c r="V1313" i="1" s="1"/>
  <c r="T1313" i="1"/>
  <c r="S1313" i="1"/>
  <c r="R1313" i="1"/>
  <c r="Q1313" i="1"/>
  <c r="P1313" i="1"/>
  <c r="O1313" i="1"/>
  <c r="N1313" i="1"/>
  <c r="M1313" i="1"/>
  <c r="L1313" i="1"/>
  <c r="U1312" i="1"/>
  <c r="T1312" i="1"/>
  <c r="S1312" i="1"/>
  <c r="R1312" i="1"/>
  <c r="P1312" i="1"/>
  <c r="O1312" i="1"/>
  <c r="N1312" i="1"/>
  <c r="Q1312" i="1" s="1"/>
  <c r="M1312" i="1"/>
  <c r="L1312" i="1"/>
  <c r="V1312" i="1" s="1"/>
  <c r="U1311" i="1"/>
  <c r="V1311" i="1" s="1"/>
  <c r="T1311" i="1"/>
  <c r="S1311" i="1"/>
  <c r="R1311" i="1"/>
  <c r="Q1311" i="1"/>
  <c r="P1311" i="1"/>
  <c r="O1311" i="1"/>
  <c r="N1311" i="1"/>
  <c r="M1311" i="1"/>
  <c r="L1311" i="1"/>
  <c r="V1310" i="1"/>
  <c r="U1310" i="1"/>
  <c r="T1310" i="1"/>
  <c r="S1310" i="1"/>
  <c r="R1310" i="1"/>
  <c r="P1310" i="1"/>
  <c r="O1310" i="1"/>
  <c r="N1310" i="1"/>
  <c r="Q1310" i="1" s="1"/>
  <c r="M1310" i="1"/>
  <c r="L1310" i="1"/>
  <c r="U1309" i="1"/>
  <c r="V1309" i="1" s="1"/>
  <c r="T1309" i="1"/>
  <c r="S1309" i="1"/>
  <c r="R1309" i="1"/>
  <c r="Q1309" i="1"/>
  <c r="P1309" i="1"/>
  <c r="O1309" i="1"/>
  <c r="N1309" i="1"/>
  <c r="M1309" i="1"/>
  <c r="L1309" i="1"/>
  <c r="U1308" i="1"/>
  <c r="T1308" i="1"/>
  <c r="S1308" i="1"/>
  <c r="R1308" i="1"/>
  <c r="P1308" i="1"/>
  <c r="O1308" i="1"/>
  <c r="N1308" i="1"/>
  <c r="Q1308" i="1" s="1"/>
  <c r="M1308" i="1"/>
  <c r="L1308" i="1"/>
  <c r="V1308" i="1" s="1"/>
  <c r="U1307" i="1"/>
  <c r="V1307" i="1" s="1"/>
  <c r="T1307" i="1"/>
  <c r="S1307" i="1"/>
  <c r="R1307" i="1"/>
  <c r="Q1307" i="1"/>
  <c r="P1307" i="1"/>
  <c r="O1307" i="1"/>
  <c r="N1307" i="1"/>
  <c r="M1307" i="1"/>
  <c r="L1307" i="1"/>
  <c r="V1306" i="1"/>
  <c r="U1306" i="1"/>
  <c r="T1306" i="1"/>
  <c r="S1306" i="1"/>
  <c r="R1306" i="1"/>
  <c r="P1306" i="1"/>
  <c r="O1306" i="1"/>
  <c r="N1306" i="1"/>
  <c r="Q1306" i="1" s="1"/>
  <c r="M1306" i="1"/>
  <c r="L1306" i="1"/>
  <c r="U1305" i="1"/>
  <c r="V1305" i="1" s="1"/>
  <c r="T1305" i="1"/>
  <c r="S1305" i="1"/>
  <c r="R1305" i="1"/>
  <c r="Q1305" i="1"/>
  <c r="P1305" i="1"/>
  <c r="O1305" i="1"/>
  <c r="N1305" i="1"/>
  <c r="M1305" i="1"/>
  <c r="L1305" i="1"/>
  <c r="U1304" i="1"/>
  <c r="T1304" i="1"/>
  <c r="S1304" i="1"/>
  <c r="R1304" i="1"/>
  <c r="P1304" i="1"/>
  <c r="O1304" i="1"/>
  <c r="N1304" i="1"/>
  <c r="Q1304" i="1" s="1"/>
  <c r="M1304" i="1"/>
  <c r="L1304" i="1"/>
  <c r="V1304" i="1" s="1"/>
  <c r="U1303" i="1"/>
  <c r="V1303" i="1" s="1"/>
  <c r="T1303" i="1"/>
  <c r="S1303" i="1"/>
  <c r="R1303" i="1"/>
  <c r="Q1303" i="1"/>
  <c r="P1303" i="1"/>
  <c r="O1303" i="1"/>
  <c r="N1303" i="1"/>
  <c r="M1303" i="1"/>
  <c r="L1303" i="1"/>
  <c r="V1302" i="1"/>
  <c r="U1302" i="1"/>
  <c r="T1302" i="1"/>
  <c r="S1302" i="1"/>
  <c r="R1302" i="1"/>
  <c r="P1302" i="1"/>
  <c r="O1302" i="1"/>
  <c r="N1302" i="1"/>
  <c r="Q1302" i="1" s="1"/>
  <c r="M1302" i="1"/>
  <c r="L1302" i="1"/>
  <c r="U1301" i="1"/>
  <c r="V1301" i="1" s="1"/>
  <c r="T1301" i="1"/>
  <c r="S1301" i="1"/>
  <c r="R1301" i="1"/>
  <c r="Q1301" i="1"/>
  <c r="P1301" i="1"/>
  <c r="O1301" i="1"/>
  <c r="N1301" i="1"/>
  <c r="M1301" i="1"/>
  <c r="L1301" i="1"/>
  <c r="U1300" i="1"/>
  <c r="T1300" i="1"/>
  <c r="S1300" i="1"/>
  <c r="R1300" i="1"/>
  <c r="P1300" i="1"/>
  <c r="O1300" i="1"/>
  <c r="N1300" i="1"/>
  <c r="Q1300" i="1" s="1"/>
  <c r="M1300" i="1"/>
  <c r="L1300" i="1"/>
  <c r="V1300" i="1" s="1"/>
  <c r="U1299" i="1"/>
  <c r="V1299" i="1" s="1"/>
  <c r="T1299" i="1"/>
  <c r="S1299" i="1"/>
  <c r="R1299" i="1"/>
  <c r="Q1299" i="1"/>
  <c r="P1299" i="1"/>
  <c r="O1299" i="1"/>
  <c r="N1299" i="1"/>
  <c r="M1299" i="1"/>
  <c r="L1299" i="1"/>
  <c r="V1298" i="1"/>
  <c r="U1298" i="1"/>
  <c r="T1298" i="1"/>
  <c r="S1298" i="1"/>
  <c r="R1298" i="1"/>
  <c r="P1298" i="1"/>
  <c r="O1298" i="1"/>
  <c r="N1298" i="1"/>
  <c r="Q1298" i="1" s="1"/>
  <c r="M1298" i="1"/>
  <c r="L1298" i="1"/>
  <c r="U1297" i="1"/>
  <c r="V1297" i="1" s="1"/>
  <c r="T1297" i="1"/>
  <c r="S1297" i="1"/>
  <c r="R1297" i="1"/>
  <c r="Q1297" i="1"/>
  <c r="P1297" i="1"/>
  <c r="O1297" i="1"/>
  <c r="N1297" i="1"/>
  <c r="M1297" i="1"/>
  <c r="L1297" i="1"/>
  <c r="U1296" i="1"/>
  <c r="T1296" i="1"/>
  <c r="S1296" i="1"/>
  <c r="R1296" i="1"/>
  <c r="P1296" i="1"/>
  <c r="O1296" i="1"/>
  <c r="N1296" i="1"/>
  <c r="Q1296" i="1" s="1"/>
  <c r="M1296" i="1"/>
  <c r="L1296" i="1"/>
  <c r="V1296" i="1" s="1"/>
  <c r="U1295" i="1"/>
  <c r="V1295" i="1" s="1"/>
  <c r="T1295" i="1"/>
  <c r="S1295" i="1"/>
  <c r="R1295" i="1"/>
  <c r="Q1295" i="1"/>
  <c r="P1295" i="1"/>
  <c r="O1295" i="1"/>
  <c r="N1295" i="1"/>
  <c r="M1295" i="1"/>
  <c r="L1295" i="1"/>
  <c r="V1294" i="1"/>
  <c r="U1294" i="1"/>
  <c r="T1294" i="1"/>
  <c r="S1294" i="1"/>
  <c r="R1294" i="1"/>
  <c r="P1294" i="1"/>
  <c r="O1294" i="1"/>
  <c r="N1294" i="1"/>
  <c r="Q1294" i="1" s="1"/>
  <c r="M1294" i="1"/>
  <c r="L1294" i="1"/>
  <c r="U1293" i="1"/>
  <c r="V1293" i="1" s="1"/>
  <c r="T1293" i="1"/>
  <c r="S1293" i="1"/>
  <c r="R1293" i="1"/>
  <c r="Q1293" i="1"/>
  <c r="P1293" i="1"/>
  <c r="O1293" i="1"/>
  <c r="N1293" i="1"/>
  <c r="M1293" i="1"/>
  <c r="L1293" i="1"/>
  <c r="U1292" i="1"/>
  <c r="T1292" i="1"/>
  <c r="S1292" i="1"/>
  <c r="R1292" i="1"/>
  <c r="P1292" i="1"/>
  <c r="O1292" i="1"/>
  <c r="N1292" i="1"/>
  <c r="Q1292" i="1" s="1"/>
  <c r="M1292" i="1"/>
  <c r="L1292" i="1"/>
  <c r="V1292" i="1" s="1"/>
  <c r="U1291" i="1"/>
  <c r="V1291" i="1" s="1"/>
  <c r="T1291" i="1"/>
  <c r="S1291" i="1"/>
  <c r="R1291" i="1"/>
  <c r="Q1291" i="1"/>
  <c r="P1291" i="1"/>
  <c r="O1291" i="1"/>
  <c r="N1291" i="1"/>
  <c r="M1291" i="1"/>
  <c r="L1291" i="1"/>
  <c r="V1290" i="1"/>
  <c r="U1290" i="1"/>
  <c r="T1290" i="1"/>
  <c r="S1290" i="1"/>
  <c r="R1290" i="1"/>
  <c r="P1290" i="1"/>
  <c r="O1290" i="1"/>
  <c r="N1290" i="1"/>
  <c r="Q1290" i="1" s="1"/>
  <c r="M1290" i="1"/>
  <c r="L1290" i="1"/>
  <c r="U1289" i="1"/>
  <c r="V1289" i="1" s="1"/>
  <c r="T1289" i="1"/>
  <c r="S1289" i="1"/>
  <c r="R1289" i="1"/>
  <c r="Q1289" i="1"/>
  <c r="P1289" i="1"/>
  <c r="O1289" i="1"/>
  <c r="N1289" i="1"/>
  <c r="M1289" i="1"/>
  <c r="L1289" i="1"/>
  <c r="U1288" i="1"/>
  <c r="T1288" i="1"/>
  <c r="S1288" i="1"/>
  <c r="R1288" i="1"/>
  <c r="P1288" i="1"/>
  <c r="O1288" i="1"/>
  <c r="N1288" i="1"/>
  <c r="Q1288" i="1" s="1"/>
  <c r="M1288" i="1"/>
  <c r="L1288" i="1"/>
  <c r="V1288" i="1" s="1"/>
  <c r="U1287" i="1"/>
  <c r="V1287" i="1" s="1"/>
  <c r="T1287" i="1"/>
  <c r="S1287" i="1"/>
  <c r="R1287" i="1"/>
  <c r="Q1287" i="1"/>
  <c r="P1287" i="1"/>
  <c r="O1287" i="1"/>
  <c r="N1287" i="1"/>
  <c r="M1287" i="1"/>
  <c r="L1287" i="1"/>
  <c r="V1286" i="1"/>
  <c r="U1286" i="1"/>
  <c r="T1286" i="1"/>
  <c r="S1286" i="1"/>
  <c r="R1286" i="1"/>
  <c r="P1286" i="1"/>
  <c r="O1286" i="1"/>
  <c r="N1286" i="1"/>
  <c r="Q1286" i="1" s="1"/>
  <c r="M1286" i="1"/>
  <c r="L1286" i="1"/>
  <c r="U1285" i="1"/>
  <c r="V1285" i="1" s="1"/>
  <c r="T1285" i="1"/>
  <c r="S1285" i="1"/>
  <c r="R1285" i="1"/>
  <c r="Q1285" i="1"/>
  <c r="P1285" i="1"/>
  <c r="O1285" i="1"/>
  <c r="N1285" i="1"/>
  <c r="M1285" i="1"/>
  <c r="L1285" i="1"/>
  <c r="U1284" i="1"/>
  <c r="T1284" i="1"/>
  <c r="S1284" i="1"/>
  <c r="R1284" i="1"/>
  <c r="P1284" i="1"/>
  <c r="O1284" i="1"/>
  <c r="N1284" i="1"/>
  <c r="Q1284" i="1" s="1"/>
  <c r="M1284" i="1"/>
  <c r="L1284" i="1"/>
  <c r="V1284" i="1" s="1"/>
  <c r="U1283" i="1"/>
  <c r="V1283" i="1" s="1"/>
  <c r="T1283" i="1"/>
  <c r="S1283" i="1"/>
  <c r="R1283" i="1"/>
  <c r="Q1283" i="1"/>
  <c r="P1283" i="1"/>
  <c r="O1283" i="1"/>
  <c r="N1283" i="1"/>
  <c r="M1283" i="1"/>
  <c r="L1283" i="1"/>
  <c r="V1282" i="1"/>
  <c r="U1282" i="1"/>
  <c r="T1282" i="1"/>
  <c r="S1282" i="1"/>
  <c r="R1282" i="1"/>
  <c r="P1282" i="1"/>
  <c r="O1282" i="1"/>
  <c r="N1282" i="1"/>
  <c r="Q1282" i="1" s="1"/>
  <c r="M1282" i="1"/>
  <c r="L1282" i="1"/>
  <c r="U1281" i="1"/>
  <c r="V1281" i="1" s="1"/>
  <c r="T1281" i="1"/>
  <c r="S1281" i="1"/>
  <c r="R1281" i="1"/>
  <c r="Q1281" i="1"/>
  <c r="P1281" i="1"/>
  <c r="O1281" i="1"/>
  <c r="N1281" i="1"/>
  <c r="M1281" i="1"/>
  <c r="L1281" i="1"/>
  <c r="U1280" i="1"/>
  <c r="T1280" i="1"/>
  <c r="S1280" i="1"/>
  <c r="R1280" i="1"/>
  <c r="P1280" i="1"/>
  <c r="O1280" i="1"/>
  <c r="N1280" i="1"/>
  <c r="Q1280" i="1" s="1"/>
  <c r="M1280" i="1"/>
  <c r="L1280" i="1"/>
  <c r="V1280" i="1" s="1"/>
  <c r="U1279" i="1"/>
  <c r="V1279" i="1" s="1"/>
  <c r="T1279" i="1"/>
  <c r="S1279" i="1"/>
  <c r="R1279" i="1"/>
  <c r="Q1279" i="1"/>
  <c r="P1279" i="1"/>
  <c r="O1279" i="1"/>
  <c r="N1279" i="1"/>
  <c r="M1279" i="1"/>
  <c r="L1279" i="1"/>
  <c r="V1278" i="1"/>
  <c r="U1278" i="1"/>
  <c r="T1278" i="1"/>
  <c r="S1278" i="1"/>
  <c r="R1278" i="1"/>
  <c r="P1278" i="1"/>
  <c r="O1278" i="1"/>
  <c r="N1278" i="1"/>
  <c r="Q1278" i="1" s="1"/>
  <c r="M1278" i="1"/>
  <c r="L1278" i="1"/>
  <c r="U1277" i="1"/>
  <c r="V1277" i="1" s="1"/>
  <c r="T1277" i="1"/>
  <c r="S1277" i="1"/>
  <c r="R1277" i="1"/>
  <c r="Q1277" i="1"/>
  <c r="P1277" i="1"/>
  <c r="O1277" i="1"/>
  <c r="N1277" i="1"/>
  <c r="M1277" i="1"/>
  <c r="L1277" i="1"/>
  <c r="U1276" i="1"/>
  <c r="T1276" i="1"/>
  <c r="S1276" i="1"/>
  <c r="R1276" i="1"/>
  <c r="P1276" i="1"/>
  <c r="O1276" i="1"/>
  <c r="N1276" i="1"/>
  <c r="Q1276" i="1" s="1"/>
  <c r="M1276" i="1"/>
  <c r="L1276" i="1"/>
  <c r="V1276" i="1" s="1"/>
  <c r="U1275" i="1"/>
  <c r="V1275" i="1" s="1"/>
  <c r="T1275" i="1"/>
  <c r="S1275" i="1"/>
  <c r="R1275" i="1"/>
  <c r="Q1275" i="1"/>
  <c r="P1275" i="1"/>
  <c r="O1275" i="1"/>
  <c r="N1275" i="1"/>
  <c r="M1275" i="1"/>
  <c r="L1275" i="1"/>
  <c r="V1274" i="1"/>
  <c r="U1274" i="1"/>
  <c r="T1274" i="1"/>
  <c r="S1274" i="1"/>
  <c r="R1274" i="1"/>
  <c r="P1274" i="1"/>
  <c r="O1274" i="1"/>
  <c r="N1274" i="1"/>
  <c r="Q1274" i="1" s="1"/>
  <c r="M1274" i="1"/>
  <c r="L1274" i="1"/>
  <c r="U1273" i="1"/>
  <c r="V1273" i="1" s="1"/>
  <c r="T1273" i="1"/>
  <c r="S1273" i="1"/>
  <c r="R1273" i="1"/>
  <c r="Q1273" i="1"/>
  <c r="P1273" i="1"/>
  <c r="O1273" i="1"/>
  <c r="N1273" i="1"/>
  <c r="M1273" i="1"/>
  <c r="L1273" i="1"/>
  <c r="U1272" i="1"/>
  <c r="T1272" i="1"/>
  <c r="S1272" i="1"/>
  <c r="R1272" i="1"/>
  <c r="P1272" i="1"/>
  <c r="O1272" i="1"/>
  <c r="N1272" i="1"/>
  <c r="Q1272" i="1" s="1"/>
  <c r="M1272" i="1"/>
  <c r="L1272" i="1"/>
  <c r="V1272" i="1" s="1"/>
  <c r="U1271" i="1"/>
  <c r="V1271" i="1" s="1"/>
  <c r="T1271" i="1"/>
  <c r="S1271" i="1"/>
  <c r="R1271" i="1"/>
  <c r="Q1271" i="1"/>
  <c r="P1271" i="1"/>
  <c r="O1271" i="1"/>
  <c r="N1271" i="1"/>
  <c r="M1271" i="1"/>
  <c r="L1271" i="1"/>
  <c r="V1270" i="1"/>
  <c r="U1270" i="1"/>
  <c r="T1270" i="1"/>
  <c r="S1270" i="1"/>
  <c r="R1270" i="1"/>
  <c r="P1270" i="1"/>
  <c r="O1270" i="1"/>
  <c r="N1270" i="1"/>
  <c r="Q1270" i="1" s="1"/>
  <c r="M1270" i="1"/>
  <c r="L1270" i="1"/>
  <c r="U1269" i="1"/>
  <c r="V1269" i="1" s="1"/>
  <c r="T1269" i="1"/>
  <c r="S1269" i="1"/>
  <c r="R1269" i="1"/>
  <c r="Q1269" i="1"/>
  <c r="P1269" i="1"/>
  <c r="O1269" i="1"/>
  <c r="N1269" i="1"/>
  <c r="M1269" i="1"/>
  <c r="L1269" i="1"/>
  <c r="U1268" i="1"/>
  <c r="T1268" i="1"/>
  <c r="S1268" i="1"/>
  <c r="R1268" i="1"/>
  <c r="P1268" i="1"/>
  <c r="O1268" i="1"/>
  <c r="N1268" i="1"/>
  <c r="Q1268" i="1" s="1"/>
  <c r="M1268" i="1"/>
  <c r="L1268" i="1"/>
  <c r="V1268" i="1" s="1"/>
  <c r="U1267" i="1"/>
  <c r="V1267" i="1" s="1"/>
  <c r="T1267" i="1"/>
  <c r="S1267" i="1"/>
  <c r="R1267" i="1"/>
  <c r="Q1267" i="1"/>
  <c r="P1267" i="1"/>
  <c r="O1267" i="1"/>
  <c r="N1267" i="1"/>
  <c r="M1267" i="1"/>
  <c r="L1267" i="1"/>
  <c r="V1266" i="1"/>
  <c r="U1266" i="1"/>
  <c r="T1266" i="1"/>
  <c r="S1266" i="1"/>
  <c r="R1266" i="1"/>
  <c r="P1266" i="1"/>
  <c r="O1266" i="1"/>
  <c r="N1266" i="1"/>
  <c r="Q1266" i="1" s="1"/>
  <c r="M1266" i="1"/>
  <c r="L1266" i="1"/>
  <c r="U1265" i="1"/>
  <c r="V1265" i="1" s="1"/>
  <c r="T1265" i="1"/>
  <c r="S1265" i="1"/>
  <c r="R1265" i="1"/>
  <c r="Q1265" i="1"/>
  <c r="P1265" i="1"/>
  <c r="O1265" i="1"/>
  <c r="N1265" i="1"/>
  <c r="M1265" i="1"/>
  <c r="L1265" i="1"/>
  <c r="U1264" i="1"/>
  <c r="T1264" i="1"/>
  <c r="S1264" i="1"/>
  <c r="R1264" i="1"/>
  <c r="P1264" i="1"/>
  <c r="O1264" i="1"/>
  <c r="N1264" i="1"/>
  <c r="Q1264" i="1" s="1"/>
  <c r="M1264" i="1"/>
  <c r="L1264" i="1"/>
  <c r="V1264" i="1" s="1"/>
  <c r="U1263" i="1"/>
  <c r="V1263" i="1" s="1"/>
  <c r="T1263" i="1"/>
  <c r="S1263" i="1"/>
  <c r="R1263" i="1"/>
  <c r="Q1263" i="1"/>
  <c r="P1263" i="1"/>
  <c r="O1263" i="1"/>
  <c r="N1263" i="1"/>
  <c r="M1263" i="1"/>
  <c r="L1263" i="1"/>
  <c r="V1262" i="1"/>
  <c r="U1262" i="1"/>
  <c r="T1262" i="1"/>
  <c r="S1262" i="1"/>
  <c r="R1262" i="1"/>
  <c r="P1262" i="1"/>
  <c r="O1262" i="1"/>
  <c r="N1262" i="1"/>
  <c r="Q1262" i="1" s="1"/>
  <c r="M1262" i="1"/>
  <c r="L1262" i="1"/>
  <c r="U1261" i="1"/>
  <c r="V1261" i="1" s="1"/>
  <c r="T1261" i="1"/>
  <c r="S1261" i="1"/>
  <c r="R1261" i="1"/>
  <c r="Q1261" i="1"/>
  <c r="P1261" i="1"/>
  <c r="O1261" i="1"/>
  <c r="N1261" i="1"/>
  <c r="M1261" i="1"/>
  <c r="L1261" i="1"/>
  <c r="U1260" i="1"/>
  <c r="T1260" i="1"/>
  <c r="S1260" i="1"/>
  <c r="R1260" i="1"/>
  <c r="P1260" i="1"/>
  <c r="O1260" i="1"/>
  <c r="N1260" i="1"/>
  <c r="Q1260" i="1" s="1"/>
  <c r="M1260" i="1"/>
  <c r="L1260" i="1"/>
  <c r="V1260" i="1" s="1"/>
  <c r="U1259" i="1"/>
  <c r="V1259" i="1" s="1"/>
  <c r="T1259" i="1"/>
  <c r="S1259" i="1"/>
  <c r="R1259" i="1"/>
  <c r="Q1259" i="1"/>
  <c r="P1259" i="1"/>
  <c r="O1259" i="1"/>
  <c r="N1259" i="1"/>
  <c r="M1259" i="1"/>
  <c r="L1259" i="1"/>
  <c r="V1258" i="1"/>
  <c r="U1258" i="1"/>
  <c r="T1258" i="1"/>
  <c r="S1258" i="1"/>
  <c r="R1258" i="1"/>
  <c r="P1258" i="1"/>
  <c r="O1258" i="1"/>
  <c r="N1258" i="1"/>
  <c r="Q1258" i="1" s="1"/>
  <c r="M1258" i="1"/>
  <c r="L1258" i="1"/>
  <c r="U1257" i="1"/>
  <c r="V1257" i="1" s="1"/>
  <c r="T1257" i="1"/>
  <c r="S1257" i="1"/>
  <c r="R1257" i="1"/>
  <c r="Q1257" i="1"/>
  <c r="P1257" i="1"/>
  <c r="O1257" i="1"/>
  <c r="N1257" i="1"/>
  <c r="M1257" i="1"/>
  <c r="L1257" i="1"/>
  <c r="U1256" i="1"/>
  <c r="T1256" i="1"/>
  <c r="S1256" i="1"/>
  <c r="R1256" i="1"/>
  <c r="P1256" i="1"/>
  <c r="O1256" i="1"/>
  <c r="N1256" i="1"/>
  <c r="Q1256" i="1" s="1"/>
  <c r="M1256" i="1"/>
  <c r="L1256" i="1"/>
  <c r="V1256" i="1" s="1"/>
  <c r="U1255" i="1"/>
  <c r="V1255" i="1" s="1"/>
  <c r="T1255" i="1"/>
  <c r="S1255" i="1"/>
  <c r="R1255" i="1"/>
  <c r="Q1255" i="1"/>
  <c r="P1255" i="1"/>
  <c r="O1255" i="1"/>
  <c r="N1255" i="1"/>
  <c r="M1255" i="1"/>
  <c r="L1255" i="1"/>
  <c r="V1254" i="1"/>
  <c r="U1254" i="1"/>
  <c r="T1254" i="1"/>
  <c r="S1254" i="1"/>
  <c r="R1254" i="1"/>
  <c r="P1254" i="1"/>
  <c r="O1254" i="1"/>
  <c r="N1254" i="1"/>
  <c r="Q1254" i="1" s="1"/>
  <c r="M1254" i="1"/>
  <c r="L1254" i="1"/>
  <c r="U1253" i="1"/>
  <c r="V1253" i="1" s="1"/>
  <c r="T1253" i="1"/>
  <c r="S1253" i="1"/>
  <c r="R1253" i="1"/>
  <c r="Q1253" i="1"/>
  <c r="P1253" i="1"/>
  <c r="O1253" i="1"/>
  <c r="N1253" i="1"/>
  <c r="M1253" i="1"/>
  <c r="L1253" i="1"/>
  <c r="U1252" i="1"/>
  <c r="T1252" i="1"/>
  <c r="S1252" i="1"/>
  <c r="R1252" i="1"/>
  <c r="P1252" i="1"/>
  <c r="O1252" i="1"/>
  <c r="N1252" i="1"/>
  <c r="Q1252" i="1" s="1"/>
  <c r="M1252" i="1"/>
  <c r="L1252" i="1"/>
  <c r="V1252" i="1" s="1"/>
  <c r="U1251" i="1"/>
  <c r="V1251" i="1" s="1"/>
  <c r="T1251" i="1"/>
  <c r="S1251" i="1"/>
  <c r="R1251" i="1"/>
  <c r="Q1251" i="1"/>
  <c r="P1251" i="1"/>
  <c r="O1251" i="1"/>
  <c r="N1251" i="1"/>
  <c r="M1251" i="1"/>
  <c r="L1251" i="1"/>
  <c r="U1250" i="1"/>
  <c r="T1250" i="1"/>
  <c r="S1250" i="1"/>
  <c r="R1250" i="1"/>
  <c r="P1250" i="1"/>
  <c r="O1250" i="1"/>
  <c r="N1250" i="1"/>
  <c r="Q1250" i="1" s="1"/>
  <c r="M1250" i="1"/>
  <c r="L1250" i="1"/>
  <c r="V1250" i="1" s="1"/>
  <c r="U1249" i="1"/>
  <c r="V1249" i="1" s="1"/>
  <c r="T1249" i="1"/>
  <c r="S1249" i="1"/>
  <c r="R1249" i="1"/>
  <c r="Q1249" i="1"/>
  <c r="P1249" i="1"/>
  <c r="O1249" i="1"/>
  <c r="N1249" i="1"/>
  <c r="M1249" i="1"/>
  <c r="L1249" i="1"/>
  <c r="U1248" i="1"/>
  <c r="T1248" i="1"/>
  <c r="S1248" i="1"/>
  <c r="R1248" i="1"/>
  <c r="P1248" i="1"/>
  <c r="O1248" i="1"/>
  <c r="N1248" i="1"/>
  <c r="Q1248" i="1" s="1"/>
  <c r="M1248" i="1"/>
  <c r="L1248" i="1"/>
  <c r="V1248" i="1" s="1"/>
  <c r="U1247" i="1"/>
  <c r="V1247" i="1" s="1"/>
  <c r="T1247" i="1"/>
  <c r="S1247" i="1"/>
  <c r="R1247" i="1"/>
  <c r="Q1247" i="1"/>
  <c r="P1247" i="1"/>
  <c r="O1247" i="1"/>
  <c r="N1247" i="1"/>
  <c r="M1247" i="1"/>
  <c r="L1247" i="1"/>
  <c r="V1246" i="1"/>
  <c r="U1246" i="1"/>
  <c r="T1246" i="1"/>
  <c r="S1246" i="1"/>
  <c r="R1246" i="1"/>
  <c r="P1246" i="1"/>
  <c r="O1246" i="1"/>
  <c r="N1246" i="1"/>
  <c r="Q1246" i="1" s="1"/>
  <c r="M1246" i="1"/>
  <c r="L1246" i="1"/>
  <c r="U1245" i="1"/>
  <c r="V1245" i="1" s="1"/>
  <c r="T1245" i="1"/>
  <c r="S1245" i="1"/>
  <c r="R1245" i="1"/>
  <c r="Q1245" i="1"/>
  <c r="P1245" i="1"/>
  <c r="O1245" i="1"/>
  <c r="N1245" i="1"/>
  <c r="M1245" i="1"/>
  <c r="L1245" i="1"/>
  <c r="V1244" i="1"/>
  <c r="U1244" i="1"/>
  <c r="T1244" i="1"/>
  <c r="S1244" i="1"/>
  <c r="R1244" i="1"/>
  <c r="P1244" i="1"/>
  <c r="O1244" i="1"/>
  <c r="N1244" i="1"/>
  <c r="Q1244" i="1" s="1"/>
  <c r="M1244" i="1"/>
  <c r="L1244" i="1"/>
  <c r="U1243" i="1"/>
  <c r="T1243" i="1"/>
  <c r="S1243" i="1"/>
  <c r="R1243" i="1"/>
  <c r="Q1243" i="1"/>
  <c r="P1243" i="1"/>
  <c r="O1243" i="1"/>
  <c r="N1243" i="1"/>
  <c r="M1243" i="1"/>
  <c r="L1243" i="1"/>
  <c r="U1242" i="1"/>
  <c r="T1242" i="1"/>
  <c r="S1242" i="1"/>
  <c r="R1242" i="1"/>
  <c r="P1242" i="1"/>
  <c r="O1242" i="1"/>
  <c r="N1242" i="1"/>
  <c r="Q1242" i="1" s="1"/>
  <c r="M1242" i="1"/>
  <c r="L1242" i="1"/>
  <c r="V1242" i="1" s="1"/>
  <c r="U1241" i="1"/>
  <c r="V1241" i="1" s="1"/>
  <c r="T1241" i="1"/>
  <c r="S1241" i="1"/>
  <c r="R1241" i="1"/>
  <c r="Q1241" i="1"/>
  <c r="P1241" i="1"/>
  <c r="O1241" i="1"/>
  <c r="N1241" i="1"/>
  <c r="M1241" i="1"/>
  <c r="L1241" i="1"/>
  <c r="V1240" i="1"/>
  <c r="U1240" i="1"/>
  <c r="T1240" i="1"/>
  <c r="S1240" i="1"/>
  <c r="R1240" i="1"/>
  <c r="P1240" i="1"/>
  <c r="O1240" i="1"/>
  <c r="N1240" i="1"/>
  <c r="Q1240" i="1" s="1"/>
  <c r="M1240" i="1"/>
  <c r="L1240" i="1"/>
  <c r="U1239" i="1"/>
  <c r="V1239" i="1" s="1"/>
  <c r="T1239" i="1"/>
  <c r="S1239" i="1"/>
  <c r="R1239" i="1"/>
  <c r="Q1239" i="1"/>
  <c r="P1239" i="1"/>
  <c r="O1239" i="1"/>
  <c r="N1239" i="1"/>
  <c r="M1239" i="1"/>
  <c r="L1239" i="1"/>
  <c r="V1238" i="1"/>
  <c r="U1238" i="1"/>
  <c r="T1238" i="1"/>
  <c r="S1238" i="1"/>
  <c r="R1238" i="1"/>
  <c r="P1238" i="1"/>
  <c r="O1238" i="1"/>
  <c r="N1238" i="1"/>
  <c r="Q1238" i="1" s="1"/>
  <c r="M1238" i="1"/>
  <c r="L1238" i="1"/>
  <c r="U1237" i="1"/>
  <c r="V1237" i="1" s="1"/>
  <c r="T1237" i="1"/>
  <c r="S1237" i="1"/>
  <c r="R1237" i="1"/>
  <c r="Q1237" i="1"/>
  <c r="P1237" i="1"/>
  <c r="O1237" i="1"/>
  <c r="N1237" i="1"/>
  <c r="M1237" i="1"/>
  <c r="L1237" i="1"/>
  <c r="U1236" i="1"/>
  <c r="T1236" i="1"/>
  <c r="S1236" i="1"/>
  <c r="R1236" i="1"/>
  <c r="Q1236" i="1"/>
  <c r="P1236" i="1"/>
  <c r="O1236" i="1"/>
  <c r="N1236" i="1"/>
  <c r="M1236" i="1"/>
  <c r="L1236" i="1"/>
  <c r="V1236" i="1" s="1"/>
  <c r="U1235" i="1"/>
  <c r="T1235" i="1"/>
  <c r="S1235" i="1"/>
  <c r="R1235" i="1"/>
  <c r="Q1235" i="1"/>
  <c r="P1235" i="1"/>
  <c r="O1235" i="1"/>
  <c r="N1235" i="1"/>
  <c r="M1235" i="1"/>
  <c r="L1235" i="1"/>
  <c r="U1234" i="1"/>
  <c r="V1234" i="1" s="1"/>
  <c r="T1234" i="1"/>
  <c r="S1234" i="1"/>
  <c r="R1234" i="1"/>
  <c r="P1234" i="1"/>
  <c r="O1234" i="1"/>
  <c r="N1234" i="1"/>
  <c r="Q1234" i="1" s="1"/>
  <c r="M1234" i="1"/>
  <c r="L1234" i="1"/>
  <c r="U1233" i="1"/>
  <c r="V1233" i="1" s="1"/>
  <c r="T1233" i="1"/>
  <c r="S1233" i="1"/>
  <c r="R1233" i="1"/>
  <c r="Q1233" i="1"/>
  <c r="P1233" i="1"/>
  <c r="O1233" i="1"/>
  <c r="N1233" i="1"/>
  <c r="M1233" i="1"/>
  <c r="L1233" i="1"/>
  <c r="U1232" i="1"/>
  <c r="V1232" i="1" s="1"/>
  <c r="T1232" i="1"/>
  <c r="S1232" i="1"/>
  <c r="R1232" i="1"/>
  <c r="P1232" i="1"/>
  <c r="O1232" i="1"/>
  <c r="N1232" i="1"/>
  <c r="Q1232" i="1" s="1"/>
  <c r="M1232" i="1"/>
  <c r="L1232" i="1"/>
  <c r="U1231" i="1"/>
  <c r="V1231" i="1" s="1"/>
  <c r="T1231" i="1"/>
  <c r="S1231" i="1"/>
  <c r="R1231" i="1"/>
  <c r="Q1231" i="1"/>
  <c r="P1231" i="1"/>
  <c r="O1231" i="1"/>
  <c r="N1231" i="1"/>
  <c r="M1231" i="1"/>
  <c r="L1231" i="1"/>
  <c r="V1230" i="1"/>
  <c r="U1230" i="1"/>
  <c r="T1230" i="1"/>
  <c r="S1230" i="1"/>
  <c r="R1230" i="1"/>
  <c r="P1230" i="1"/>
  <c r="O1230" i="1"/>
  <c r="N1230" i="1"/>
  <c r="Q1230" i="1" s="1"/>
  <c r="M1230" i="1"/>
  <c r="L1230" i="1"/>
  <c r="U1229" i="1"/>
  <c r="V1229" i="1" s="1"/>
  <c r="T1229" i="1"/>
  <c r="S1229" i="1"/>
  <c r="R1229" i="1"/>
  <c r="Q1229" i="1"/>
  <c r="P1229" i="1"/>
  <c r="O1229" i="1"/>
  <c r="N1229" i="1"/>
  <c r="M1229" i="1"/>
  <c r="L1229" i="1"/>
  <c r="U1228" i="1"/>
  <c r="T1228" i="1"/>
  <c r="S1228" i="1"/>
  <c r="R1228" i="1"/>
  <c r="P1228" i="1"/>
  <c r="O1228" i="1"/>
  <c r="N1228" i="1"/>
  <c r="Q1228" i="1" s="1"/>
  <c r="M1228" i="1"/>
  <c r="L1228" i="1"/>
  <c r="V1228" i="1" s="1"/>
  <c r="U1227" i="1"/>
  <c r="T1227" i="1"/>
  <c r="S1227" i="1"/>
  <c r="R1227" i="1"/>
  <c r="Q1227" i="1"/>
  <c r="P1227" i="1"/>
  <c r="O1227" i="1"/>
  <c r="N1227" i="1"/>
  <c r="M1227" i="1"/>
  <c r="L1227" i="1"/>
  <c r="U1226" i="1"/>
  <c r="V1226" i="1" s="1"/>
  <c r="T1226" i="1"/>
  <c r="S1226" i="1"/>
  <c r="R1226" i="1"/>
  <c r="P1226" i="1"/>
  <c r="O1226" i="1"/>
  <c r="N1226" i="1"/>
  <c r="Q1226" i="1" s="1"/>
  <c r="M1226" i="1"/>
  <c r="L1226" i="1"/>
  <c r="U1225" i="1"/>
  <c r="V1225" i="1" s="1"/>
  <c r="T1225" i="1"/>
  <c r="S1225" i="1"/>
  <c r="R1225" i="1"/>
  <c r="Q1225" i="1"/>
  <c r="P1225" i="1"/>
  <c r="O1225" i="1"/>
  <c r="N1225" i="1"/>
  <c r="M1225" i="1"/>
  <c r="L1225" i="1"/>
  <c r="U1224" i="1"/>
  <c r="V1224" i="1" s="1"/>
  <c r="T1224" i="1"/>
  <c r="S1224" i="1"/>
  <c r="R1224" i="1"/>
  <c r="P1224" i="1"/>
  <c r="O1224" i="1"/>
  <c r="N1224" i="1"/>
  <c r="Q1224" i="1" s="1"/>
  <c r="M1224" i="1"/>
  <c r="L1224" i="1"/>
  <c r="U1223" i="1"/>
  <c r="V1223" i="1" s="1"/>
  <c r="T1223" i="1"/>
  <c r="S1223" i="1"/>
  <c r="R1223" i="1"/>
  <c r="Q1223" i="1"/>
  <c r="P1223" i="1"/>
  <c r="O1223" i="1"/>
  <c r="N1223" i="1"/>
  <c r="M1223" i="1"/>
  <c r="L1223" i="1"/>
  <c r="V1222" i="1"/>
  <c r="U1222" i="1"/>
  <c r="T1222" i="1"/>
  <c r="S1222" i="1"/>
  <c r="R1222" i="1"/>
  <c r="P1222" i="1"/>
  <c r="O1222" i="1"/>
  <c r="N1222" i="1"/>
  <c r="Q1222" i="1" s="1"/>
  <c r="M1222" i="1"/>
  <c r="L1222" i="1"/>
  <c r="U1221" i="1"/>
  <c r="V1221" i="1" s="1"/>
  <c r="T1221" i="1"/>
  <c r="S1221" i="1"/>
  <c r="R1221" i="1"/>
  <c r="Q1221" i="1"/>
  <c r="P1221" i="1"/>
  <c r="O1221" i="1"/>
  <c r="N1221" i="1"/>
  <c r="M1221" i="1"/>
  <c r="L1221" i="1"/>
  <c r="U1220" i="1"/>
  <c r="T1220" i="1"/>
  <c r="S1220" i="1"/>
  <c r="R1220" i="1"/>
  <c r="Q1220" i="1"/>
  <c r="P1220" i="1"/>
  <c r="O1220" i="1"/>
  <c r="N1220" i="1"/>
  <c r="M1220" i="1"/>
  <c r="L1220" i="1"/>
  <c r="V1220" i="1" s="1"/>
  <c r="U1219" i="1"/>
  <c r="T1219" i="1"/>
  <c r="S1219" i="1"/>
  <c r="R1219" i="1"/>
  <c r="Q1219" i="1"/>
  <c r="P1219" i="1"/>
  <c r="O1219" i="1"/>
  <c r="N1219" i="1"/>
  <c r="M1219" i="1"/>
  <c r="L1219" i="1"/>
  <c r="U1218" i="1"/>
  <c r="V1218" i="1" s="1"/>
  <c r="T1218" i="1"/>
  <c r="S1218" i="1"/>
  <c r="R1218" i="1"/>
  <c r="P1218" i="1"/>
  <c r="O1218" i="1"/>
  <c r="N1218" i="1"/>
  <c r="Q1218" i="1" s="1"/>
  <c r="M1218" i="1"/>
  <c r="L1218" i="1"/>
  <c r="U1217" i="1"/>
  <c r="V1217" i="1" s="1"/>
  <c r="T1217" i="1"/>
  <c r="S1217" i="1"/>
  <c r="R1217" i="1"/>
  <c r="Q1217" i="1"/>
  <c r="P1217" i="1"/>
  <c r="O1217" i="1"/>
  <c r="N1217" i="1"/>
  <c r="M1217" i="1"/>
  <c r="L1217" i="1"/>
  <c r="U1216" i="1"/>
  <c r="V1216" i="1" s="1"/>
  <c r="T1216" i="1"/>
  <c r="S1216" i="1"/>
  <c r="R1216" i="1"/>
  <c r="P1216" i="1"/>
  <c r="O1216" i="1"/>
  <c r="N1216" i="1"/>
  <c r="Q1216" i="1" s="1"/>
  <c r="M1216" i="1"/>
  <c r="L1216" i="1"/>
  <c r="U1215" i="1"/>
  <c r="V1215" i="1" s="1"/>
  <c r="T1215" i="1"/>
  <c r="S1215" i="1"/>
  <c r="R1215" i="1"/>
  <c r="Q1215" i="1"/>
  <c r="P1215" i="1"/>
  <c r="O1215" i="1"/>
  <c r="N1215" i="1"/>
  <c r="M1215" i="1"/>
  <c r="L1215" i="1"/>
  <c r="V1214" i="1"/>
  <c r="U1214" i="1"/>
  <c r="T1214" i="1"/>
  <c r="S1214" i="1"/>
  <c r="R1214" i="1"/>
  <c r="P1214" i="1"/>
  <c r="O1214" i="1"/>
  <c r="N1214" i="1"/>
  <c r="Q1214" i="1" s="1"/>
  <c r="M1214" i="1"/>
  <c r="L1214" i="1"/>
  <c r="U1213" i="1"/>
  <c r="V1213" i="1" s="1"/>
  <c r="T1213" i="1"/>
  <c r="S1213" i="1"/>
  <c r="R1213" i="1"/>
  <c r="Q1213" i="1"/>
  <c r="P1213" i="1"/>
  <c r="O1213" i="1"/>
  <c r="N1213" i="1"/>
  <c r="M1213" i="1"/>
  <c r="L1213" i="1"/>
  <c r="U1212" i="1"/>
  <c r="T1212" i="1"/>
  <c r="S1212" i="1"/>
  <c r="R1212" i="1"/>
  <c r="P1212" i="1"/>
  <c r="O1212" i="1"/>
  <c r="N1212" i="1"/>
  <c r="Q1212" i="1" s="1"/>
  <c r="M1212" i="1"/>
  <c r="L1212" i="1"/>
  <c r="V1212" i="1" s="1"/>
  <c r="U1211" i="1"/>
  <c r="V1211" i="1" s="1"/>
  <c r="T1211" i="1"/>
  <c r="S1211" i="1"/>
  <c r="R1211" i="1"/>
  <c r="Q1211" i="1"/>
  <c r="P1211" i="1"/>
  <c r="O1211" i="1"/>
  <c r="N1211" i="1"/>
  <c r="M1211" i="1"/>
  <c r="L1211" i="1"/>
  <c r="V1210" i="1"/>
  <c r="U1210" i="1"/>
  <c r="T1210" i="1"/>
  <c r="S1210" i="1"/>
  <c r="R1210" i="1"/>
  <c r="P1210" i="1"/>
  <c r="O1210" i="1"/>
  <c r="N1210" i="1"/>
  <c r="Q1210" i="1" s="1"/>
  <c r="M1210" i="1"/>
  <c r="L1210" i="1"/>
  <c r="U1209" i="1"/>
  <c r="V1209" i="1" s="1"/>
  <c r="T1209" i="1"/>
  <c r="S1209" i="1"/>
  <c r="R1209" i="1"/>
  <c r="Q1209" i="1"/>
  <c r="P1209" i="1"/>
  <c r="O1209" i="1"/>
  <c r="N1209" i="1"/>
  <c r="M1209" i="1"/>
  <c r="L1209" i="1"/>
  <c r="U1208" i="1"/>
  <c r="V1208" i="1" s="1"/>
  <c r="T1208" i="1"/>
  <c r="S1208" i="1"/>
  <c r="R1208" i="1"/>
  <c r="P1208" i="1"/>
  <c r="O1208" i="1"/>
  <c r="N1208" i="1"/>
  <c r="Q1208" i="1" s="1"/>
  <c r="M1208" i="1"/>
  <c r="L1208" i="1"/>
  <c r="U1207" i="1"/>
  <c r="V1207" i="1" s="1"/>
  <c r="T1207" i="1"/>
  <c r="S1207" i="1"/>
  <c r="R1207" i="1"/>
  <c r="Q1207" i="1"/>
  <c r="P1207" i="1"/>
  <c r="O1207" i="1"/>
  <c r="N1207" i="1"/>
  <c r="M1207" i="1"/>
  <c r="L1207" i="1"/>
  <c r="U1206" i="1"/>
  <c r="V1206" i="1" s="1"/>
  <c r="T1206" i="1"/>
  <c r="S1206" i="1"/>
  <c r="R1206" i="1"/>
  <c r="Q1206" i="1"/>
  <c r="P1206" i="1"/>
  <c r="O1206" i="1"/>
  <c r="N1206" i="1"/>
  <c r="M1206" i="1"/>
  <c r="L1206" i="1"/>
  <c r="U1205" i="1"/>
  <c r="V1205" i="1" s="1"/>
  <c r="T1205" i="1"/>
  <c r="S1205" i="1"/>
  <c r="R1205" i="1"/>
  <c r="Q1205" i="1"/>
  <c r="P1205" i="1"/>
  <c r="O1205" i="1"/>
  <c r="N1205" i="1"/>
  <c r="M1205" i="1"/>
  <c r="L1205" i="1"/>
  <c r="V1204" i="1"/>
  <c r="U1204" i="1"/>
  <c r="T1204" i="1"/>
  <c r="S1204" i="1"/>
  <c r="R1204" i="1"/>
  <c r="P1204" i="1"/>
  <c r="O1204" i="1"/>
  <c r="N1204" i="1"/>
  <c r="Q1204" i="1" s="1"/>
  <c r="M1204" i="1"/>
  <c r="L1204" i="1"/>
  <c r="V1203" i="1"/>
  <c r="U1203" i="1"/>
  <c r="T1203" i="1"/>
  <c r="S1203" i="1"/>
  <c r="R1203" i="1"/>
  <c r="Q1203" i="1"/>
  <c r="P1203" i="1"/>
  <c r="O1203" i="1"/>
  <c r="N1203" i="1"/>
  <c r="M1203" i="1"/>
  <c r="L1203" i="1"/>
  <c r="U1202" i="1"/>
  <c r="T1202" i="1"/>
  <c r="S1202" i="1"/>
  <c r="R1202" i="1"/>
  <c r="Q1202" i="1"/>
  <c r="P1202" i="1"/>
  <c r="O1202" i="1"/>
  <c r="N1202" i="1"/>
  <c r="M1202" i="1"/>
  <c r="L1202" i="1"/>
  <c r="V1202" i="1" s="1"/>
  <c r="U1201" i="1"/>
  <c r="T1201" i="1"/>
  <c r="S1201" i="1"/>
  <c r="R1201" i="1"/>
  <c r="Q1201" i="1"/>
  <c r="P1201" i="1"/>
  <c r="O1201" i="1"/>
  <c r="N1201" i="1"/>
  <c r="M1201" i="1"/>
  <c r="L1201" i="1"/>
  <c r="V1200" i="1"/>
  <c r="U1200" i="1"/>
  <c r="T1200" i="1"/>
  <c r="S1200" i="1"/>
  <c r="R1200" i="1"/>
  <c r="P1200" i="1"/>
  <c r="O1200" i="1"/>
  <c r="N1200" i="1"/>
  <c r="Q1200" i="1" s="1"/>
  <c r="M1200" i="1"/>
  <c r="L1200" i="1"/>
  <c r="U1199" i="1"/>
  <c r="V1199" i="1" s="1"/>
  <c r="T1199" i="1"/>
  <c r="S1199" i="1"/>
  <c r="R1199" i="1"/>
  <c r="Q1199" i="1"/>
  <c r="P1199" i="1"/>
  <c r="O1199" i="1"/>
  <c r="N1199" i="1"/>
  <c r="M1199" i="1"/>
  <c r="L1199" i="1"/>
  <c r="V1198" i="1"/>
  <c r="U1198" i="1"/>
  <c r="T1198" i="1"/>
  <c r="S1198" i="1"/>
  <c r="R1198" i="1"/>
  <c r="P1198" i="1"/>
  <c r="O1198" i="1"/>
  <c r="N1198" i="1"/>
  <c r="Q1198" i="1" s="1"/>
  <c r="M1198" i="1"/>
  <c r="L1198" i="1"/>
  <c r="U1197" i="1"/>
  <c r="V1197" i="1" s="1"/>
  <c r="T1197" i="1"/>
  <c r="S1197" i="1"/>
  <c r="R1197" i="1"/>
  <c r="Q1197" i="1"/>
  <c r="P1197" i="1"/>
  <c r="O1197" i="1"/>
  <c r="N1197" i="1"/>
  <c r="M1197" i="1"/>
  <c r="L1197" i="1"/>
  <c r="U1196" i="1"/>
  <c r="V1196" i="1" s="1"/>
  <c r="T1196" i="1"/>
  <c r="S1196" i="1"/>
  <c r="R1196" i="1"/>
  <c r="Q1196" i="1"/>
  <c r="P1196" i="1"/>
  <c r="O1196" i="1"/>
  <c r="N1196" i="1"/>
  <c r="M1196" i="1"/>
  <c r="L1196" i="1"/>
  <c r="U1195" i="1"/>
  <c r="V1195" i="1" s="1"/>
  <c r="T1195" i="1"/>
  <c r="S1195" i="1"/>
  <c r="R1195" i="1"/>
  <c r="Q1195" i="1"/>
  <c r="P1195" i="1"/>
  <c r="O1195" i="1"/>
  <c r="N1195" i="1"/>
  <c r="M1195" i="1"/>
  <c r="L1195" i="1"/>
  <c r="V1194" i="1"/>
  <c r="U1194" i="1"/>
  <c r="T1194" i="1"/>
  <c r="S1194" i="1"/>
  <c r="R1194" i="1"/>
  <c r="P1194" i="1"/>
  <c r="O1194" i="1"/>
  <c r="N1194" i="1"/>
  <c r="Q1194" i="1" s="1"/>
  <c r="M1194" i="1"/>
  <c r="L1194" i="1"/>
  <c r="U1193" i="1"/>
  <c r="V1193" i="1" s="1"/>
  <c r="T1193" i="1"/>
  <c r="S1193" i="1"/>
  <c r="R1193" i="1"/>
  <c r="Q1193" i="1"/>
  <c r="P1193" i="1"/>
  <c r="O1193" i="1"/>
  <c r="N1193" i="1"/>
  <c r="M1193" i="1"/>
  <c r="L1193" i="1"/>
  <c r="U1192" i="1"/>
  <c r="V1192" i="1" s="1"/>
  <c r="T1192" i="1"/>
  <c r="S1192" i="1"/>
  <c r="R1192" i="1"/>
  <c r="Q1192" i="1"/>
  <c r="P1192" i="1"/>
  <c r="O1192" i="1"/>
  <c r="N1192" i="1"/>
  <c r="M1192" i="1"/>
  <c r="L1192" i="1"/>
  <c r="U1191" i="1"/>
  <c r="V1191" i="1" s="1"/>
  <c r="T1191" i="1"/>
  <c r="S1191" i="1"/>
  <c r="R1191" i="1"/>
  <c r="Q1191" i="1"/>
  <c r="P1191" i="1"/>
  <c r="O1191" i="1"/>
  <c r="N1191" i="1"/>
  <c r="M1191" i="1"/>
  <c r="L1191" i="1"/>
  <c r="V1190" i="1"/>
  <c r="U1190" i="1"/>
  <c r="T1190" i="1"/>
  <c r="S1190" i="1"/>
  <c r="R1190" i="1"/>
  <c r="P1190" i="1"/>
  <c r="O1190" i="1"/>
  <c r="N1190" i="1"/>
  <c r="Q1190" i="1" s="1"/>
  <c r="M1190" i="1"/>
  <c r="L1190" i="1"/>
  <c r="U1189" i="1"/>
  <c r="V1189" i="1" s="1"/>
  <c r="T1189" i="1"/>
  <c r="S1189" i="1"/>
  <c r="R1189" i="1"/>
  <c r="Q1189" i="1"/>
  <c r="P1189" i="1"/>
  <c r="O1189" i="1"/>
  <c r="N1189" i="1"/>
  <c r="M1189" i="1"/>
  <c r="L1189" i="1"/>
  <c r="U1188" i="1"/>
  <c r="V1188" i="1" s="1"/>
  <c r="T1188" i="1"/>
  <c r="S1188" i="1"/>
  <c r="R1188" i="1"/>
  <c r="Q1188" i="1"/>
  <c r="P1188" i="1"/>
  <c r="O1188" i="1"/>
  <c r="N1188" i="1"/>
  <c r="M1188" i="1"/>
  <c r="L1188" i="1"/>
  <c r="U1187" i="1"/>
  <c r="V1187" i="1" s="1"/>
  <c r="T1187" i="1"/>
  <c r="S1187" i="1"/>
  <c r="R1187" i="1"/>
  <c r="Q1187" i="1"/>
  <c r="P1187" i="1"/>
  <c r="O1187" i="1"/>
  <c r="N1187" i="1"/>
  <c r="M1187" i="1"/>
  <c r="L1187" i="1"/>
  <c r="V1186" i="1"/>
  <c r="U1186" i="1"/>
  <c r="T1186" i="1"/>
  <c r="S1186" i="1"/>
  <c r="R1186" i="1"/>
  <c r="P1186" i="1"/>
  <c r="O1186" i="1"/>
  <c r="N1186" i="1"/>
  <c r="Q1186" i="1" s="1"/>
  <c r="M1186" i="1"/>
  <c r="L1186" i="1"/>
  <c r="U1185" i="1"/>
  <c r="V1185" i="1" s="1"/>
  <c r="T1185" i="1"/>
  <c r="S1185" i="1"/>
  <c r="R1185" i="1"/>
  <c r="Q1185" i="1"/>
  <c r="P1185" i="1"/>
  <c r="O1185" i="1"/>
  <c r="N1185" i="1"/>
  <c r="M1185" i="1"/>
  <c r="L1185" i="1"/>
  <c r="U1184" i="1"/>
  <c r="V1184" i="1" s="1"/>
  <c r="T1184" i="1"/>
  <c r="S1184" i="1"/>
  <c r="R1184" i="1"/>
  <c r="Q1184" i="1"/>
  <c r="P1184" i="1"/>
  <c r="O1184" i="1"/>
  <c r="N1184" i="1"/>
  <c r="M1184" i="1"/>
  <c r="L1184" i="1"/>
  <c r="U1183" i="1"/>
  <c r="V1183" i="1" s="1"/>
  <c r="T1183" i="1"/>
  <c r="S1183" i="1"/>
  <c r="R1183" i="1"/>
  <c r="Q1183" i="1"/>
  <c r="P1183" i="1"/>
  <c r="O1183" i="1"/>
  <c r="N1183" i="1"/>
  <c r="M1183" i="1"/>
  <c r="L1183" i="1"/>
  <c r="V1182" i="1"/>
  <c r="U1182" i="1"/>
  <c r="T1182" i="1"/>
  <c r="S1182" i="1"/>
  <c r="R1182" i="1"/>
  <c r="P1182" i="1"/>
  <c r="O1182" i="1"/>
  <c r="N1182" i="1"/>
  <c r="Q1182" i="1" s="1"/>
  <c r="M1182" i="1"/>
  <c r="L1182" i="1"/>
  <c r="V1181" i="1"/>
  <c r="U1181" i="1"/>
  <c r="T1181" i="1"/>
  <c r="S1181" i="1"/>
  <c r="R1181" i="1"/>
  <c r="Q1181" i="1"/>
  <c r="P1181" i="1"/>
  <c r="O1181" i="1"/>
  <c r="N1181" i="1"/>
  <c r="M1181" i="1"/>
  <c r="L1181" i="1"/>
  <c r="U1180" i="1"/>
  <c r="V1180" i="1" s="1"/>
  <c r="T1180" i="1"/>
  <c r="S1180" i="1"/>
  <c r="R1180" i="1"/>
  <c r="Q1180" i="1"/>
  <c r="P1180" i="1"/>
  <c r="O1180" i="1"/>
  <c r="N1180" i="1"/>
  <c r="M1180" i="1"/>
  <c r="L1180" i="1"/>
  <c r="U1179" i="1"/>
  <c r="V1179" i="1" s="1"/>
  <c r="T1179" i="1"/>
  <c r="S1179" i="1"/>
  <c r="R1179" i="1"/>
  <c r="Q1179" i="1"/>
  <c r="P1179" i="1"/>
  <c r="O1179" i="1"/>
  <c r="N1179" i="1"/>
  <c r="M1179" i="1"/>
  <c r="L1179" i="1"/>
  <c r="V1178" i="1"/>
  <c r="U1178" i="1"/>
  <c r="T1178" i="1"/>
  <c r="S1178" i="1"/>
  <c r="R1178" i="1"/>
  <c r="P1178" i="1"/>
  <c r="O1178" i="1"/>
  <c r="N1178" i="1"/>
  <c r="Q1178" i="1" s="1"/>
  <c r="M1178" i="1"/>
  <c r="L1178" i="1"/>
  <c r="U1177" i="1"/>
  <c r="V1177" i="1" s="1"/>
  <c r="T1177" i="1"/>
  <c r="S1177" i="1"/>
  <c r="R1177" i="1"/>
  <c r="Q1177" i="1"/>
  <c r="P1177" i="1"/>
  <c r="O1177" i="1"/>
  <c r="N1177" i="1"/>
  <c r="M1177" i="1"/>
  <c r="L1177" i="1"/>
  <c r="U1176" i="1"/>
  <c r="V1176" i="1" s="1"/>
  <c r="T1176" i="1"/>
  <c r="S1176" i="1"/>
  <c r="R1176" i="1"/>
  <c r="Q1176" i="1"/>
  <c r="P1176" i="1"/>
  <c r="O1176" i="1"/>
  <c r="N1176" i="1"/>
  <c r="M1176" i="1"/>
  <c r="L1176" i="1"/>
  <c r="U1175" i="1"/>
  <c r="V1175" i="1" s="1"/>
  <c r="T1175" i="1"/>
  <c r="S1175" i="1"/>
  <c r="R1175" i="1"/>
  <c r="Q1175" i="1"/>
  <c r="P1175" i="1"/>
  <c r="O1175" i="1"/>
  <c r="N1175" i="1"/>
  <c r="M1175" i="1"/>
  <c r="L1175" i="1"/>
  <c r="V1174" i="1"/>
  <c r="U1174" i="1"/>
  <c r="T1174" i="1"/>
  <c r="S1174" i="1"/>
  <c r="R1174" i="1"/>
  <c r="P1174" i="1"/>
  <c r="O1174" i="1"/>
  <c r="N1174" i="1"/>
  <c r="Q1174" i="1" s="1"/>
  <c r="M1174" i="1"/>
  <c r="L1174" i="1"/>
  <c r="V1173" i="1"/>
  <c r="U1173" i="1"/>
  <c r="T1173" i="1"/>
  <c r="S1173" i="1"/>
  <c r="R1173" i="1"/>
  <c r="Q1173" i="1"/>
  <c r="P1173" i="1"/>
  <c r="O1173" i="1"/>
  <c r="N1173" i="1"/>
  <c r="M1173" i="1"/>
  <c r="L1173" i="1"/>
  <c r="U1172" i="1"/>
  <c r="V1172" i="1" s="1"/>
  <c r="T1172" i="1"/>
  <c r="S1172" i="1"/>
  <c r="R1172" i="1"/>
  <c r="Q1172" i="1"/>
  <c r="P1172" i="1"/>
  <c r="O1172" i="1"/>
  <c r="N1172" i="1"/>
  <c r="M1172" i="1"/>
  <c r="L1172" i="1"/>
  <c r="U1171" i="1"/>
  <c r="V1171" i="1" s="1"/>
  <c r="T1171" i="1"/>
  <c r="S1171" i="1"/>
  <c r="R1171" i="1"/>
  <c r="Q1171" i="1"/>
  <c r="P1171" i="1"/>
  <c r="O1171" i="1"/>
  <c r="N1171" i="1"/>
  <c r="M1171" i="1"/>
  <c r="L1171" i="1"/>
  <c r="V1170" i="1"/>
  <c r="U1170" i="1"/>
  <c r="T1170" i="1"/>
  <c r="S1170" i="1"/>
  <c r="R1170" i="1"/>
  <c r="P1170" i="1"/>
  <c r="O1170" i="1"/>
  <c r="N1170" i="1"/>
  <c r="Q1170" i="1" s="1"/>
  <c r="M1170" i="1"/>
  <c r="L1170" i="1"/>
  <c r="U1169" i="1"/>
  <c r="V1169" i="1" s="1"/>
  <c r="T1169" i="1"/>
  <c r="S1169" i="1"/>
  <c r="R1169" i="1"/>
  <c r="Q1169" i="1"/>
  <c r="P1169" i="1"/>
  <c r="O1169" i="1"/>
  <c r="N1169" i="1"/>
  <c r="M1169" i="1"/>
  <c r="L1169" i="1"/>
  <c r="U1168" i="1"/>
  <c r="V1168" i="1" s="1"/>
  <c r="T1168" i="1"/>
  <c r="S1168" i="1"/>
  <c r="R1168" i="1"/>
  <c r="Q1168" i="1"/>
  <c r="P1168" i="1"/>
  <c r="O1168" i="1"/>
  <c r="N1168" i="1"/>
  <c r="M1168" i="1"/>
  <c r="L1168" i="1"/>
  <c r="U1167" i="1"/>
  <c r="V1167" i="1" s="1"/>
  <c r="T1167" i="1"/>
  <c r="S1167" i="1"/>
  <c r="R1167" i="1"/>
  <c r="Q1167" i="1"/>
  <c r="P1167" i="1"/>
  <c r="O1167" i="1"/>
  <c r="N1167" i="1"/>
  <c r="M1167" i="1"/>
  <c r="L1167" i="1"/>
  <c r="V1166" i="1"/>
  <c r="U1166" i="1"/>
  <c r="T1166" i="1"/>
  <c r="S1166" i="1"/>
  <c r="R1166" i="1"/>
  <c r="P1166" i="1"/>
  <c r="O1166" i="1"/>
  <c r="N1166" i="1"/>
  <c r="Q1166" i="1" s="1"/>
  <c r="M1166" i="1"/>
  <c r="L1166" i="1"/>
  <c r="V1165" i="1"/>
  <c r="U1165" i="1"/>
  <c r="T1165" i="1"/>
  <c r="S1165" i="1"/>
  <c r="R1165" i="1"/>
  <c r="Q1165" i="1"/>
  <c r="P1165" i="1"/>
  <c r="O1165" i="1"/>
  <c r="N1165" i="1"/>
  <c r="M1165" i="1"/>
  <c r="L1165" i="1"/>
  <c r="U1164" i="1"/>
  <c r="V1164" i="1" s="1"/>
  <c r="T1164" i="1"/>
  <c r="S1164" i="1"/>
  <c r="R1164" i="1"/>
  <c r="Q1164" i="1"/>
  <c r="P1164" i="1"/>
  <c r="O1164" i="1"/>
  <c r="N1164" i="1"/>
  <c r="M1164" i="1"/>
  <c r="L1164" i="1"/>
  <c r="U1163" i="1"/>
  <c r="V1163" i="1" s="1"/>
  <c r="T1163" i="1"/>
  <c r="S1163" i="1"/>
  <c r="R1163" i="1"/>
  <c r="Q1163" i="1"/>
  <c r="P1163" i="1"/>
  <c r="O1163" i="1"/>
  <c r="N1163" i="1"/>
  <c r="M1163" i="1"/>
  <c r="L1163" i="1"/>
  <c r="V1162" i="1"/>
  <c r="U1162" i="1"/>
  <c r="T1162" i="1"/>
  <c r="S1162" i="1"/>
  <c r="R1162" i="1"/>
  <c r="P1162" i="1"/>
  <c r="O1162" i="1"/>
  <c r="N1162" i="1"/>
  <c r="Q1162" i="1" s="1"/>
  <c r="M1162" i="1"/>
  <c r="L1162" i="1"/>
  <c r="U1161" i="1"/>
  <c r="V1161" i="1" s="1"/>
  <c r="T1161" i="1"/>
  <c r="S1161" i="1"/>
  <c r="R1161" i="1"/>
  <c r="Q1161" i="1"/>
  <c r="P1161" i="1"/>
  <c r="O1161" i="1"/>
  <c r="N1161" i="1"/>
  <c r="M1161" i="1"/>
  <c r="L1161" i="1"/>
  <c r="U1160" i="1"/>
  <c r="V1160" i="1" s="1"/>
  <c r="T1160" i="1"/>
  <c r="S1160" i="1"/>
  <c r="R1160" i="1"/>
  <c r="Q1160" i="1"/>
  <c r="P1160" i="1"/>
  <c r="O1160" i="1"/>
  <c r="N1160" i="1"/>
  <c r="M1160" i="1"/>
  <c r="L1160" i="1"/>
  <c r="U1159" i="1"/>
  <c r="V1159" i="1" s="1"/>
  <c r="T1159" i="1"/>
  <c r="S1159" i="1"/>
  <c r="R1159" i="1"/>
  <c r="Q1159" i="1"/>
  <c r="P1159" i="1"/>
  <c r="O1159" i="1"/>
  <c r="N1159" i="1"/>
  <c r="M1159" i="1"/>
  <c r="L1159" i="1"/>
  <c r="V1158" i="1"/>
  <c r="U1158" i="1"/>
  <c r="T1158" i="1"/>
  <c r="S1158" i="1"/>
  <c r="R1158" i="1"/>
  <c r="P1158" i="1"/>
  <c r="O1158" i="1"/>
  <c r="N1158" i="1"/>
  <c r="Q1158" i="1" s="1"/>
  <c r="M1158" i="1"/>
  <c r="L1158" i="1"/>
  <c r="V1157" i="1"/>
  <c r="U1157" i="1"/>
  <c r="T1157" i="1"/>
  <c r="S1157" i="1"/>
  <c r="R1157" i="1"/>
  <c r="Q1157" i="1"/>
  <c r="P1157" i="1"/>
  <c r="O1157" i="1"/>
  <c r="N1157" i="1"/>
  <c r="M1157" i="1"/>
  <c r="L1157" i="1"/>
  <c r="U1156" i="1"/>
  <c r="V1156" i="1" s="1"/>
  <c r="T1156" i="1"/>
  <c r="S1156" i="1"/>
  <c r="R1156" i="1"/>
  <c r="Q1156" i="1"/>
  <c r="P1156" i="1"/>
  <c r="O1156" i="1"/>
  <c r="N1156" i="1"/>
  <c r="M1156" i="1"/>
  <c r="L1156" i="1"/>
  <c r="U1155" i="1"/>
  <c r="T1155" i="1"/>
  <c r="S1155" i="1"/>
  <c r="R1155" i="1"/>
  <c r="P1155" i="1"/>
  <c r="O1155" i="1"/>
  <c r="N1155" i="1"/>
  <c r="Q1155" i="1" s="1"/>
  <c r="M1155" i="1"/>
  <c r="L1155" i="1"/>
  <c r="V1155" i="1" s="1"/>
  <c r="V1154" i="1"/>
  <c r="U1154" i="1"/>
  <c r="T1154" i="1"/>
  <c r="S1154" i="1"/>
  <c r="R1154" i="1"/>
  <c r="P1154" i="1"/>
  <c r="O1154" i="1"/>
  <c r="N1154" i="1"/>
  <c r="Q1154" i="1" s="1"/>
  <c r="M1154" i="1"/>
  <c r="L1154" i="1"/>
  <c r="U1153" i="1"/>
  <c r="V1153" i="1" s="1"/>
  <c r="T1153" i="1"/>
  <c r="S1153" i="1"/>
  <c r="R1153" i="1"/>
  <c r="Q1153" i="1"/>
  <c r="P1153" i="1"/>
  <c r="O1153" i="1"/>
  <c r="N1153" i="1"/>
  <c r="M1153" i="1"/>
  <c r="L1153" i="1"/>
  <c r="U1152" i="1"/>
  <c r="V1152" i="1" s="1"/>
  <c r="T1152" i="1"/>
  <c r="S1152" i="1"/>
  <c r="R1152" i="1"/>
  <c r="Q1152" i="1"/>
  <c r="P1152" i="1"/>
  <c r="O1152" i="1"/>
  <c r="N1152" i="1"/>
  <c r="M1152" i="1"/>
  <c r="L1152" i="1"/>
  <c r="U1151" i="1"/>
  <c r="V1151" i="1" s="1"/>
  <c r="T1151" i="1"/>
  <c r="S1151" i="1"/>
  <c r="R1151" i="1"/>
  <c r="Q1151" i="1"/>
  <c r="P1151" i="1"/>
  <c r="O1151" i="1"/>
  <c r="N1151" i="1"/>
  <c r="M1151" i="1"/>
  <c r="L1151" i="1"/>
  <c r="V1150" i="1"/>
  <c r="U1150" i="1"/>
  <c r="T1150" i="1"/>
  <c r="S1150" i="1"/>
  <c r="R1150" i="1"/>
  <c r="P1150" i="1"/>
  <c r="O1150" i="1"/>
  <c r="N1150" i="1"/>
  <c r="Q1150" i="1" s="1"/>
  <c r="M1150" i="1"/>
  <c r="L1150" i="1"/>
  <c r="V1149" i="1"/>
  <c r="U1149" i="1"/>
  <c r="T1149" i="1"/>
  <c r="S1149" i="1"/>
  <c r="R1149" i="1"/>
  <c r="Q1149" i="1"/>
  <c r="P1149" i="1"/>
  <c r="O1149" i="1"/>
  <c r="N1149" i="1"/>
  <c r="M1149" i="1"/>
  <c r="L1149" i="1"/>
  <c r="U1148" i="1"/>
  <c r="V1148" i="1" s="1"/>
  <c r="T1148" i="1"/>
  <c r="S1148" i="1"/>
  <c r="R1148" i="1"/>
  <c r="Q1148" i="1"/>
  <c r="P1148" i="1"/>
  <c r="O1148" i="1"/>
  <c r="N1148" i="1"/>
  <c r="M1148" i="1"/>
  <c r="L1148" i="1"/>
  <c r="U1147" i="1"/>
  <c r="V1147" i="1" s="1"/>
  <c r="T1147" i="1"/>
  <c r="S1147" i="1"/>
  <c r="R1147" i="1"/>
  <c r="P1147" i="1"/>
  <c r="O1147" i="1"/>
  <c r="N1147" i="1"/>
  <c r="Q1147" i="1" s="1"/>
  <c r="M1147" i="1"/>
  <c r="L1147" i="1"/>
  <c r="V1146" i="1"/>
  <c r="U1146" i="1"/>
  <c r="T1146" i="1"/>
  <c r="S1146" i="1"/>
  <c r="R1146" i="1"/>
  <c r="P1146" i="1"/>
  <c r="O1146" i="1"/>
  <c r="N1146" i="1"/>
  <c r="Q1146" i="1" s="1"/>
  <c r="M1146" i="1"/>
  <c r="L1146" i="1"/>
  <c r="U1145" i="1"/>
  <c r="V1145" i="1" s="1"/>
  <c r="T1145" i="1"/>
  <c r="S1145" i="1"/>
  <c r="R1145" i="1"/>
  <c r="Q1145" i="1"/>
  <c r="P1145" i="1"/>
  <c r="O1145" i="1"/>
  <c r="N1145" i="1"/>
  <c r="M1145" i="1"/>
  <c r="L1145" i="1"/>
  <c r="V1144" i="1"/>
  <c r="U1144" i="1"/>
  <c r="T1144" i="1"/>
  <c r="S1144" i="1"/>
  <c r="R1144" i="1"/>
  <c r="P1144" i="1"/>
  <c r="O1144" i="1"/>
  <c r="N1144" i="1"/>
  <c r="Q1144" i="1" s="1"/>
  <c r="M1144" i="1"/>
  <c r="L1144" i="1"/>
  <c r="U1143" i="1"/>
  <c r="V1143" i="1" s="1"/>
  <c r="T1143" i="1"/>
  <c r="S1143" i="1"/>
  <c r="R1143" i="1"/>
  <c r="Q1143" i="1"/>
  <c r="P1143" i="1"/>
  <c r="O1143" i="1"/>
  <c r="N1143" i="1"/>
  <c r="M1143" i="1"/>
  <c r="L1143" i="1"/>
  <c r="V1142" i="1"/>
  <c r="U1142" i="1"/>
  <c r="T1142" i="1"/>
  <c r="S1142" i="1"/>
  <c r="R1142" i="1"/>
  <c r="P1142" i="1"/>
  <c r="O1142" i="1"/>
  <c r="N1142" i="1"/>
  <c r="Q1142" i="1" s="1"/>
  <c r="M1142" i="1"/>
  <c r="L1142" i="1"/>
  <c r="V1141" i="1"/>
  <c r="U1141" i="1"/>
  <c r="T1141" i="1"/>
  <c r="S1141" i="1"/>
  <c r="R1141" i="1"/>
  <c r="Q1141" i="1"/>
  <c r="P1141" i="1"/>
  <c r="O1141" i="1"/>
  <c r="N1141" i="1"/>
  <c r="M1141" i="1"/>
  <c r="L1141" i="1"/>
  <c r="U1140" i="1"/>
  <c r="V1140" i="1" s="1"/>
  <c r="T1140" i="1"/>
  <c r="S1140" i="1"/>
  <c r="R1140" i="1"/>
  <c r="Q1140" i="1"/>
  <c r="P1140" i="1"/>
  <c r="O1140" i="1"/>
  <c r="N1140" i="1"/>
  <c r="M1140" i="1"/>
  <c r="L1140" i="1"/>
  <c r="U1139" i="1"/>
  <c r="V1139" i="1" s="1"/>
  <c r="T1139" i="1"/>
  <c r="S1139" i="1"/>
  <c r="R1139" i="1"/>
  <c r="P1139" i="1"/>
  <c r="O1139" i="1"/>
  <c r="N1139" i="1"/>
  <c r="Q1139" i="1" s="1"/>
  <c r="M1139" i="1"/>
  <c r="L1139" i="1"/>
  <c r="V1138" i="1"/>
  <c r="U1138" i="1"/>
  <c r="T1138" i="1"/>
  <c r="S1138" i="1"/>
  <c r="R1138" i="1"/>
  <c r="P1138" i="1"/>
  <c r="O1138" i="1"/>
  <c r="N1138" i="1"/>
  <c r="Q1138" i="1" s="1"/>
  <c r="M1138" i="1"/>
  <c r="L1138" i="1"/>
  <c r="U1137" i="1"/>
  <c r="V1137" i="1" s="1"/>
  <c r="T1137" i="1"/>
  <c r="S1137" i="1"/>
  <c r="R1137" i="1"/>
  <c r="Q1137" i="1"/>
  <c r="P1137" i="1"/>
  <c r="O1137" i="1"/>
  <c r="N1137" i="1"/>
  <c r="M1137" i="1"/>
  <c r="L1137" i="1"/>
  <c r="V1136" i="1"/>
  <c r="U1136" i="1"/>
  <c r="T1136" i="1"/>
  <c r="S1136" i="1"/>
  <c r="R1136" i="1"/>
  <c r="P1136" i="1"/>
  <c r="O1136" i="1"/>
  <c r="N1136" i="1"/>
  <c r="Q1136" i="1" s="1"/>
  <c r="M1136" i="1"/>
  <c r="L1136" i="1"/>
  <c r="U1135" i="1"/>
  <c r="V1135" i="1" s="1"/>
  <c r="T1135" i="1"/>
  <c r="S1135" i="1"/>
  <c r="R1135" i="1"/>
  <c r="Q1135" i="1"/>
  <c r="P1135" i="1"/>
  <c r="O1135" i="1"/>
  <c r="N1135" i="1"/>
  <c r="M1135" i="1"/>
  <c r="L1135" i="1"/>
  <c r="V1134" i="1"/>
  <c r="U1134" i="1"/>
  <c r="T1134" i="1"/>
  <c r="S1134" i="1"/>
  <c r="R1134" i="1"/>
  <c r="P1134" i="1"/>
  <c r="O1134" i="1"/>
  <c r="N1134" i="1"/>
  <c r="Q1134" i="1" s="1"/>
  <c r="M1134" i="1"/>
  <c r="L1134" i="1"/>
  <c r="V1133" i="1"/>
  <c r="U1133" i="1"/>
  <c r="T1133" i="1"/>
  <c r="S1133" i="1"/>
  <c r="R1133" i="1"/>
  <c r="Q1133" i="1"/>
  <c r="P1133" i="1"/>
  <c r="O1133" i="1"/>
  <c r="N1133" i="1"/>
  <c r="M1133" i="1"/>
  <c r="L1133" i="1"/>
  <c r="U1132" i="1"/>
  <c r="V1132" i="1" s="1"/>
  <c r="T1132" i="1"/>
  <c r="S1132" i="1"/>
  <c r="R1132" i="1"/>
  <c r="Q1132" i="1"/>
  <c r="P1132" i="1"/>
  <c r="O1132" i="1"/>
  <c r="N1132" i="1"/>
  <c r="M1132" i="1"/>
  <c r="L1132" i="1"/>
  <c r="U1131" i="1"/>
  <c r="V1131" i="1" s="1"/>
  <c r="T1131" i="1"/>
  <c r="S1131" i="1"/>
  <c r="R1131" i="1"/>
  <c r="P1131" i="1"/>
  <c r="O1131" i="1"/>
  <c r="N1131" i="1"/>
  <c r="Q1131" i="1" s="1"/>
  <c r="M1131" i="1"/>
  <c r="L1131" i="1"/>
  <c r="V1130" i="1"/>
  <c r="U1130" i="1"/>
  <c r="T1130" i="1"/>
  <c r="S1130" i="1"/>
  <c r="R1130" i="1"/>
  <c r="P1130" i="1"/>
  <c r="O1130" i="1"/>
  <c r="N1130" i="1"/>
  <c r="Q1130" i="1" s="1"/>
  <c r="M1130" i="1"/>
  <c r="L1130" i="1"/>
  <c r="U1129" i="1"/>
  <c r="V1129" i="1" s="1"/>
  <c r="T1129" i="1"/>
  <c r="S1129" i="1"/>
  <c r="R1129" i="1"/>
  <c r="Q1129" i="1"/>
  <c r="P1129" i="1"/>
  <c r="O1129" i="1"/>
  <c r="N1129" i="1"/>
  <c r="M1129" i="1"/>
  <c r="L1129" i="1"/>
  <c r="V1128" i="1"/>
  <c r="U1128" i="1"/>
  <c r="T1128" i="1"/>
  <c r="S1128" i="1"/>
  <c r="R1128" i="1"/>
  <c r="P1128" i="1"/>
  <c r="O1128" i="1"/>
  <c r="N1128" i="1"/>
  <c r="Q1128" i="1" s="1"/>
  <c r="M1128" i="1"/>
  <c r="L1128" i="1"/>
  <c r="U1127" i="1"/>
  <c r="V1127" i="1" s="1"/>
  <c r="T1127" i="1"/>
  <c r="S1127" i="1"/>
  <c r="R1127" i="1"/>
  <c r="Q1127" i="1"/>
  <c r="P1127" i="1"/>
  <c r="O1127" i="1"/>
  <c r="N1127" i="1"/>
  <c r="M1127" i="1"/>
  <c r="L1127" i="1"/>
  <c r="V1126" i="1"/>
  <c r="U1126" i="1"/>
  <c r="T1126" i="1"/>
  <c r="S1126" i="1"/>
  <c r="R1126" i="1"/>
  <c r="P1126" i="1"/>
  <c r="O1126" i="1"/>
  <c r="N1126" i="1"/>
  <c r="Q1126" i="1" s="1"/>
  <c r="M1126" i="1"/>
  <c r="L1126" i="1"/>
  <c r="V1125" i="1"/>
  <c r="U1125" i="1"/>
  <c r="T1125" i="1"/>
  <c r="S1125" i="1"/>
  <c r="R1125" i="1"/>
  <c r="Q1125" i="1"/>
  <c r="P1125" i="1"/>
  <c r="O1125" i="1"/>
  <c r="N1125" i="1"/>
  <c r="M1125" i="1"/>
  <c r="L1125" i="1"/>
  <c r="U1124" i="1"/>
  <c r="V1124" i="1" s="1"/>
  <c r="T1124" i="1"/>
  <c r="S1124" i="1"/>
  <c r="R1124" i="1"/>
  <c r="Q1124" i="1"/>
  <c r="P1124" i="1"/>
  <c r="O1124" i="1"/>
  <c r="N1124" i="1"/>
  <c r="M1124" i="1"/>
  <c r="L1124" i="1"/>
  <c r="U1123" i="1"/>
  <c r="V1123" i="1" s="1"/>
  <c r="T1123" i="1"/>
  <c r="S1123" i="1"/>
  <c r="R1123" i="1"/>
  <c r="P1123" i="1"/>
  <c r="O1123" i="1"/>
  <c r="N1123" i="1"/>
  <c r="Q1123" i="1" s="1"/>
  <c r="M1123" i="1"/>
  <c r="L1123" i="1"/>
  <c r="V1122" i="1"/>
  <c r="U1122" i="1"/>
  <c r="T1122" i="1"/>
  <c r="S1122" i="1"/>
  <c r="R1122" i="1"/>
  <c r="P1122" i="1"/>
  <c r="O1122" i="1"/>
  <c r="N1122" i="1"/>
  <c r="Q1122" i="1" s="1"/>
  <c r="M1122" i="1"/>
  <c r="L1122" i="1"/>
  <c r="U1121" i="1"/>
  <c r="V1121" i="1" s="1"/>
  <c r="T1121" i="1"/>
  <c r="S1121" i="1"/>
  <c r="R1121" i="1"/>
  <c r="Q1121" i="1"/>
  <c r="P1121" i="1"/>
  <c r="O1121" i="1"/>
  <c r="N1121" i="1"/>
  <c r="M1121" i="1"/>
  <c r="L1121" i="1"/>
  <c r="V1120" i="1"/>
  <c r="U1120" i="1"/>
  <c r="T1120" i="1"/>
  <c r="S1120" i="1"/>
  <c r="R1120" i="1"/>
  <c r="P1120" i="1"/>
  <c r="O1120" i="1"/>
  <c r="N1120" i="1"/>
  <c r="Q1120" i="1" s="1"/>
  <c r="M1120" i="1"/>
  <c r="L1120" i="1"/>
  <c r="U1119" i="1"/>
  <c r="V1119" i="1" s="1"/>
  <c r="T1119" i="1"/>
  <c r="S1119" i="1"/>
  <c r="R1119" i="1"/>
  <c r="Q1119" i="1"/>
  <c r="P1119" i="1"/>
  <c r="O1119" i="1"/>
  <c r="N1119" i="1"/>
  <c r="M1119" i="1"/>
  <c r="L1119" i="1"/>
  <c r="V1118" i="1"/>
  <c r="U1118" i="1"/>
  <c r="T1118" i="1"/>
  <c r="S1118" i="1"/>
  <c r="R1118" i="1"/>
  <c r="P1118" i="1"/>
  <c r="O1118" i="1"/>
  <c r="N1118" i="1"/>
  <c r="Q1118" i="1" s="1"/>
  <c r="M1118" i="1"/>
  <c r="L1118" i="1"/>
  <c r="V1117" i="1"/>
  <c r="U1117" i="1"/>
  <c r="T1117" i="1"/>
  <c r="S1117" i="1"/>
  <c r="R1117" i="1"/>
  <c r="Q1117" i="1"/>
  <c r="P1117" i="1"/>
  <c r="O1117" i="1"/>
  <c r="N1117" i="1"/>
  <c r="M1117" i="1"/>
  <c r="L1117" i="1"/>
  <c r="U1116" i="1"/>
  <c r="V1116" i="1" s="1"/>
  <c r="T1116" i="1"/>
  <c r="S1116" i="1"/>
  <c r="R1116" i="1"/>
  <c r="Q1116" i="1"/>
  <c r="P1116" i="1"/>
  <c r="O1116" i="1"/>
  <c r="N1116" i="1"/>
  <c r="M1116" i="1"/>
  <c r="L1116" i="1"/>
  <c r="U1115" i="1"/>
  <c r="V1115" i="1" s="1"/>
  <c r="T1115" i="1"/>
  <c r="S1115" i="1"/>
  <c r="R1115" i="1"/>
  <c r="P1115" i="1"/>
  <c r="O1115" i="1"/>
  <c r="N1115" i="1"/>
  <c r="Q1115" i="1" s="1"/>
  <c r="M1115" i="1"/>
  <c r="L1115" i="1"/>
  <c r="V1114" i="1"/>
  <c r="U1114" i="1"/>
  <c r="T1114" i="1"/>
  <c r="S1114" i="1"/>
  <c r="R1114" i="1"/>
  <c r="P1114" i="1"/>
  <c r="O1114" i="1"/>
  <c r="N1114" i="1"/>
  <c r="Q1114" i="1" s="1"/>
  <c r="M1114" i="1"/>
  <c r="L1114" i="1"/>
  <c r="U1113" i="1"/>
  <c r="V1113" i="1" s="1"/>
  <c r="T1113" i="1"/>
  <c r="S1113" i="1"/>
  <c r="R1113" i="1"/>
  <c r="Q1113" i="1"/>
  <c r="P1113" i="1"/>
  <c r="O1113" i="1"/>
  <c r="N1113" i="1"/>
  <c r="M1113" i="1"/>
  <c r="L1113" i="1"/>
  <c r="V1112" i="1"/>
  <c r="U1112" i="1"/>
  <c r="T1112" i="1"/>
  <c r="S1112" i="1"/>
  <c r="R1112" i="1"/>
  <c r="P1112" i="1"/>
  <c r="O1112" i="1"/>
  <c r="N1112" i="1"/>
  <c r="Q1112" i="1" s="1"/>
  <c r="M1112" i="1"/>
  <c r="L1112" i="1"/>
  <c r="U1111" i="1"/>
  <c r="V1111" i="1" s="1"/>
  <c r="T1111" i="1"/>
  <c r="S1111" i="1"/>
  <c r="R1111" i="1"/>
  <c r="Q1111" i="1"/>
  <c r="P1111" i="1"/>
  <c r="O1111" i="1"/>
  <c r="N1111" i="1"/>
  <c r="M1111" i="1"/>
  <c r="L1111" i="1"/>
  <c r="V1110" i="1"/>
  <c r="U1110" i="1"/>
  <c r="T1110" i="1"/>
  <c r="S1110" i="1"/>
  <c r="R1110" i="1"/>
  <c r="P1110" i="1"/>
  <c r="O1110" i="1"/>
  <c r="N1110" i="1"/>
  <c r="Q1110" i="1" s="1"/>
  <c r="M1110" i="1"/>
  <c r="L1110" i="1"/>
  <c r="V1109" i="1"/>
  <c r="U1109" i="1"/>
  <c r="T1109" i="1"/>
  <c r="S1109" i="1"/>
  <c r="R1109" i="1"/>
  <c r="Q1109" i="1"/>
  <c r="P1109" i="1"/>
  <c r="O1109" i="1"/>
  <c r="N1109" i="1"/>
  <c r="M1109" i="1"/>
  <c r="L1109" i="1"/>
  <c r="U1108" i="1"/>
  <c r="V1108" i="1" s="1"/>
  <c r="T1108" i="1"/>
  <c r="S1108" i="1"/>
  <c r="R1108" i="1"/>
  <c r="Q1108" i="1"/>
  <c r="P1108" i="1"/>
  <c r="O1108" i="1"/>
  <c r="N1108" i="1"/>
  <c r="M1108" i="1"/>
  <c r="L1108" i="1"/>
  <c r="U1107" i="1"/>
  <c r="V1107" i="1" s="1"/>
  <c r="T1107" i="1"/>
  <c r="S1107" i="1"/>
  <c r="R1107" i="1"/>
  <c r="P1107" i="1"/>
  <c r="O1107" i="1"/>
  <c r="N1107" i="1"/>
  <c r="Q1107" i="1" s="1"/>
  <c r="M1107" i="1"/>
  <c r="L1107" i="1"/>
  <c r="U1106" i="1"/>
  <c r="V1106" i="1" s="1"/>
  <c r="T1106" i="1"/>
  <c r="S1106" i="1"/>
  <c r="R1106" i="1"/>
  <c r="P1106" i="1"/>
  <c r="O1106" i="1"/>
  <c r="N1106" i="1"/>
  <c r="Q1106" i="1" s="1"/>
  <c r="M1106" i="1"/>
  <c r="L1106" i="1"/>
  <c r="U1105" i="1"/>
  <c r="V1105" i="1" s="1"/>
  <c r="T1105" i="1"/>
  <c r="S1105" i="1"/>
  <c r="R1105" i="1"/>
  <c r="Q1105" i="1"/>
  <c r="P1105" i="1"/>
  <c r="O1105" i="1"/>
  <c r="N1105" i="1"/>
  <c r="M1105" i="1"/>
  <c r="L1105" i="1"/>
  <c r="V1104" i="1"/>
  <c r="U1104" i="1"/>
  <c r="T1104" i="1"/>
  <c r="S1104" i="1"/>
  <c r="R1104" i="1"/>
  <c r="P1104" i="1"/>
  <c r="O1104" i="1"/>
  <c r="N1104" i="1"/>
  <c r="Q1104" i="1" s="1"/>
  <c r="M1104" i="1"/>
  <c r="L1104" i="1"/>
  <c r="V1103" i="1"/>
  <c r="U1103" i="1"/>
  <c r="T1103" i="1"/>
  <c r="S1103" i="1"/>
  <c r="R1103" i="1"/>
  <c r="P1103" i="1"/>
  <c r="O1103" i="1"/>
  <c r="N1103" i="1"/>
  <c r="Q1103" i="1" s="1"/>
  <c r="M1103" i="1"/>
  <c r="L1103" i="1"/>
  <c r="V1102" i="1"/>
  <c r="U1102" i="1"/>
  <c r="T1102" i="1"/>
  <c r="S1102" i="1"/>
  <c r="R1102" i="1"/>
  <c r="Q1102" i="1"/>
  <c r="P1102" i="1"/>
  <c r="O1102" i="1"/>
  <c r="N1102" i="1"/>
  <c r="M1102" i="1"/>
  <c r="L1102" i="1"/>
  <c r="U1101" i="1"/>
  <c r="T1101" i="1"/>
  <c r="S1101" i="1"/>
  <c r="R1101" i="1"/>
  <c r="Q1101" i="1"/>
  <c r="P1101" i="1"/>
  <c r="O1101" i="1"/>
  <c r="N1101" i="1"/>
  <c r="M1101" i="1"/>
  <c r="L1101" i="1"/>
  <c r="V1101" i="1" s="1"/>
  <c r="U1100" i="1"/>
  <c r="V1100" i="1" s="1"/>
  <c r="T1100" i="1"/>
  <c r="S1100" i="1"/>
  <c r="R1100" i="1"/>
  <c r="Q1100" i="1"/>
  <c r="P1100" i="1"/>
  <c r="O1100" i="1"/>
  <c r="N1100" i="1"/>
  <c r="M1100" i="1"/>
  <c r="L1100" i="1"/>
  <c r="U1099" i="1"/>
  <c r="V1099" i="1" s="1"/>
  <c r="T1099" i="1"/>
  <c r="S1099" i="1"/>
  <c r="R1099" i="1"/>
  <c r="P1099" i="1"/>
  <c r="O1099" i="1"/>
  <c r="N1099" i="1"/>
  <c r="Q1099" i="1" s="1"/>
  <c r="M1099" i="1"/>
  <c r="L1099" i="1"/>
  <c r="U1098" i="1"/>
  <c r="V1098" i="1" s="1"/>
  <c r="T1098" i="1"/>
  <c r="S1098" i="1"/>
  <c r="R1098" i="1"/>
  <c r="P1098" i="1"/>
  <c r="O1098" i="1"/>
  <c r="N1098" i="1"/>
  <c r="Q1098" i="1" s="1"/>
  <c r="M1098" i="1"/>
  <c r="L1098" i="1"/>
  <c r="U1097" i="1"/>
  <c r="V1097" i="1" s="1"/>
  <c r="T1097" i="1"/>
  <c r="S1097" i="1"/>
  <c r="R1097" i="1"/>
  <c r="Q1097" i="1"/>
  <c r="P1097" i="1"/>
  <c r="O1097" i="1"/>
  <c r="N1097" i="1"/>
  <c r="M1097" i="1"/>
  <c r="L1097" i="1"/>
  <c r="V1096" i="1"/>
  <c r="U1096" i="1"/>
  <c r="T1096" i="1"/>
  <c r="S1096" i="1"/>
  <c r="R1096" i="1"/>
  <c r="P1096" i="1"/>
  <c r="O1096" i="1"/>
  <c r="N1096" i="1"/>
  <c r="Q1096" i="1" s="1"/>
  <c r="M1096" i="1"/>
  <c r="L1096" i="1"/>
  <c r="V1095" i="1"/>
  <c r="U1095" i="1"/>
  <c r="T1095" i="1"/>
  <c r="S1095" i="1"/>
  <c r="R1095" i="1"/>
  <c r="P1095" i="1"/>
  <c r="O1095" i="1"/>
  <c r="N1095" i="1"/>
  <c r="Q1095" i="1" s="1"/>
  <c r="M1095" i="1"/>
  <c r="L1095" i="1"/>
  <c r="V1094" i="1"/>
  <c r="U1094" i="1"/>
  <c r="T1094" i="1"/>
  <c r="S1094" i="1"/>
  <c r="R1094" i="1"/>
  <c r="Q1094" i="1"/>
  <c r="P1094" i="1"/>
  <c r="O1094" i="1"/>
  <c r="N1094" i="1"/>
  <c r="M1094" i="1"/>
  <c r="L1094" i="1"/>
  <c r="U1093" i="1"/>
  <c r="T1093" i="1"/>
  <c r="S1093" i="1"/>
  <c r="R1093" i="1"/>
  <c r="Q1093" i="1"/>
  <c r="P1093" i="1"/>
  <c r="O1093" i="1"/>
  <c r="N1093" i="1"/>
  <c r="M1093" i="1"/>
  <c r="L1093" i="1"/>
  <c r="V1093" i="1" s="1"/>
  <c r="U1092" i="1"/>
  <c r="V1092" i="1" s="1"/>
  <c r="T1092" i="1"/>
  <c r="S1092" i="1"/>
  <c r="R1092" i="1"/>
  <c r="Q1092" i="1"/>
  <c r="P1092" i="1"/>
  <c r="O1092" i="1"/>
  <c r="N1092" i="1"/>
  <c r="M1092" i="1"/>
  <c r="L1092" i="1"/>
  <c r="U1091" i="1"/>
  <c r="V1091" i="1" s="1"/>
  <c r="T1091" i="1"/>
  <c r="S1091" i="1"/>
  <c r="R1091" i="1"/>
  <c r="P1091" i="1"/>
  <c r="O1091" i="1"/>
  <c r="N1091" i="1"/>
  <c r="Q1091" i="1" s="1"/>
  <c r="M1091" i="1"/>
  <c r="L1091" i="1"/>
  <c r="U1090" i="1"/>
  <c r="V1090" i="1" s="1"/>
  <c r="T1090" i="1"/>
  <c r="S1090" i="1"/>
  <c r="R1090" i="1"/>
  <c r="P1090" i="1"/>
  <c r="O1090" i="1"/>
  <c r="N1090" i="1"/>
  <c r="Q1090" i="1" s="1"/>
  <c r="M1090" i="1"/>
  <c r="L1090" i="1"/>
  <c r="U1089" i="1"/>
  <c r="V1089" i="1" s="1"/>
  <c r="T1089" i="1"/>
  <c r="S1089" i="1"/>
  <c r="R1089" i="1"/>
  <c r="Q1089" i="1"/>
  <c r="P1089" i="1"/>
  <c r="O1089" i="1"/>
  <c r="N1089" i="1"/>
  <c r="M1089" i="1"/>
  <c r="L1089" i="1"/>
  <c r="V1088" i="1"/>
  <c r="U1088" i="1"/>
  <c r="T1088" i="1"/>
  <c r="S1088" i="1"/>
  <c r="R1088" i="1"/>
  <c r="P1088" i="1"/>
  <c r="O1088" i="1"/>
  <c r="N1088" i="1"/>
  <c r="Q1088" i="1" s="1"/>
  <c r="M1088" i="1"/>
  <c r="L1088" i="1"/>
  <c r="V1087" i="1"/>
  <c r="U1087" i="1"/>
  <c r="T1087" i="1"/>
  <c r="S1087" i="1"/>
  <c r="R1087" i="1"/>
  <c r="P1087" i="1"/>
  <c r="O1087" i="1"/>
  <c r="N1087" i="1"/>
  <c r="Q1087" i="1" s="1"/>
  <c r="M1087" i="1"/>
  <c r="L1087" i="1"/>
  <c r="V1086" i="1"/>
  <c r="U1086" i="1"/>
  <c r="T1086" i="1"/>
  <c r="S1086" i="1"/>
  <c r="R1086" i="1"/>
  <c r="Q1086" i="1"/>
  <c r="P1086" i="1"/>
  <c r="O1086" i="1"/>
  <c r="N1086" i="1"/>
  <c r="M1086" i="1"/>
  <c r="L1086" i="1"/>
  <c r="U1085" i="1"/>
  <c r="T1085" i="1"/>
  <c r="S1085" i="1"/>
  <c r="R1085" i="1"/>
  <c r="Q1085" i="1"/>
  <c r="P1085" i="1"/>
  <c r="O1085" i="1"/>
  <c r="N1085" i="1"/>
  <c r="M1085" i="1"/>
  <c r="L1085" i="1"/>
  <c r="V1085" i="1" s="1"/>
  <c r="U1084" i="1"/>
  <c r="V1084" i="1" s="1"/>
  <c r="T1084" i="1"/>
  <c r="S1084" i="1"/>
  <c r="R1084" i="1"/>
  <c r="Q1084" i="1"/>
  <c r="P1084" i="1"/>
  <c r="O1084" i="1"/>
  <c r="N1084" i="1"/>
  <c r="M1084" i="1"/>
  <c r="L1084" i="1"/>
  <c r="U1083" i="1"/>
  <c r="V1083" i="1" s="1"/>
  <c r="T1083" i="1"/>
  <c r="S1083" i="1"/>
  <c r="R1083" i="1"/>
  <c r="P1083" i="1"/>
  <c r="O1083" i="1"/>
  <c r="N1083" i="1"/>
  <c r="Q1083" i="1" s="1"/>
  <c r="M1083" i="1"/>
  <c r="L1083" i="1"/>
  <c r="U1082" i="1"/>
  <c r="V1082" i="1" s="1"/>
  <c r="T1082" i="1"/>
  <c r="S1082" i="1"/>
  <c r="R1082" i="1"/>
  <c r="P1082" i="1"/>
  <c r="O1082" i="1"/>
  <c r="N1082" i="1"/>
  <c r="Q1082" i="1" s="1"/>
  <c r="M1082" i="1"/>
  <c r="L1082" i="1"/>
  <c r="U1081" i="1"/>
  <c r="V1081" i="1" s="1"/>
  <c r="T1081" i="1"/>
  <c r="S1081" i="1"/>
  <c r="R1081" i="1"/>
  <c r="Q1081" i="1"/>
  <c r="P1081" i="1"/>
  <c r="O1081" i="1"/>
  <c r="N1081" i="1"/>
  <c r="M1081" i="1"/>
  <c r="L1081" i="1"/>
  <c r="V1080" i="1"/>
  <c r="U1080" i="1"/>
  <c r="T1080" i="1"/>
  <c r="S1080" i="1"/>
  <c r="R1080" i="1"/>
  <c r="P1080" i="1"/>
  <c r="O1080" i="1"/>
  <c r="N1080" i="1"/>
  <c r="Q1080" i="1" s="1"/>
  <c r="M1080" i="1"/>
  <c r="L1080" i="1"/>
  <c r="V1079" i="1"/>
  <c r="U1079" i="1"/>
  <c r="T1079" i="1"/>
  <c r="S1079" i="1"/>
  <c r="R1079" i="1"/>
  <c r="P1079" i="1"/>
  <c r="O1079" i="1"/>
  <c r="N1079" i="1"/>
  <c r="Q1079" i="1" s="1"/>
  <c r="M1079" i="1"/>
  <c r="L1079" i="1"/>
  <c r="V1078" i="1"/>
  <c r="U1078" i="1"/>
  <c r="T1078" i="1"/>
  <c r="S1078" i="1"/>
  <c r="R1078" i="1"/>
  <c r="Q1078" i="1"/>
  <c r="P1078" i="1"/>
  <c r="O1078" i="1"/>
  <c r="N1078" i="1"/>
  <c r="M1078" i="1"/>
  <c r="L1078" i="1"/>
  <c r="U1077" i="1"/>
  <c r="T1077" i="1"/>
  <c r="S1077" i="1"/>
  <c r="R1077" i="1"/>
  <c r="Q1077" i="1"/>
  <c r="P1077" i="1"/>
  <c r="O1077" i="1"/>
  <c r="N1077" i="1"/>
  <c r="M1077" i="1"/>
  <c r="L1077" i="1"/>
  <c r="V1077" i="1" s="1"/>
  <c r="U1076" i="1"/>
  <c r="V1076" i="1" s="1"/>
  <c r="T1076" i="1"/>
  <c r="S1076" i="1"/>
  <c r="R1076" i="1"/>
  <c r="Q1076" i="1"/>
  <c r="P1076" i="1"/>
  <c r="O1076" i="1"/>
  <c r="N1076" i="1"/>
  <c r="M1076" i="1"/>
  <c r="L1076" i="1"/>
  <c r="U1075" i="1"/>
  <c r="V1075" i="1" s="1"/>
  <c r="T1075" i="1"/>
  <c r="S1075" i="1"/>
  <c r="R1075" i="1"/>
  <c r="P1075" i="1"/>
  <c r="O1075" i="1"/>
  <c r="N1075" i="1"/>
  <c r="Q1075" i="1" s="1"/>
  <c r="M1075" i="1"/>
  <c r="L1075" i="1"/>
  <c r="U1074" i="1"/>
  <c r="V1074" i="1" s="1"/>
  <c r="T1074" i="1"/>
  <c r="S1074" i="1"/>
  <c r="R1074" i="1"/>
  <c r="P1074" i="1"/>
  <c r="O1074" i="1"/>
  <c r="N1074" i="1"/>
  <c r="Q1074" i="1" s="1"/>
  <c r="M1074" i="1"/>
  <c r="L1074" i="1"/>
  <c r="U1073" i="1"/>
  <c r="V1073" i="1" s="1"/>
  <c r="T1073" i="1"/>
  <c r="S1073" i="1"/>
  <c r="R1073" i="1"/>
  <c r="Q1073" i="1"/>
  <c r="P1073" i="1"/>
  <c r="O1073" i="1"/>
  <c r="N1073" i="1"/>
  <c r="M1073" i="1"/>
  <c r="L1073" i="1"/>
  <c r="V1072" i="1"/>
  <c r="U1072" i="1"/>
  <c r="T1072" i="1"/>
  <c r="S1072" i="1"/>
  <c r="R1072" i="1"/>
  <c r="P1072" i="1"/>
  <c r="O1072" i="1"/>
  <c r="N1072" i="1"/>
  <c r="Q1072" i="1" s="1"/>
  <c r="M1072" i="1"/>
  <c r="L1072" i="1"/>
  <c r="V1071" i="1"/>
  <c r="U1071" i="1"/>
  <c r="T1071" i="1"/>
  <c r="S1071" i="1"/>
  <c r="R1071" i="1"/>
  <c r="P1071" i="1"/>
  <c r="O1071" i="1"/>
  <c r="N1071" i="1"/>
  <c r="Q1071" i="1" s="1"/>
  <c r="M1071" i="1"/>
  <c r="L1071" i="1"/>
  <c r="V1070" i="1"/>
  <c r="U1070" i="1"/>
  <c r="T1070" i="1"/>
  <c r="S1070" i="1"/>
  <c r="R1070" i="1"/>
  <c r="Q1070" i="1"/>
  <c r="P1070" i="1"/>
  <c r="O1070" i="1"/>
  <c r="N1070" i="1"/>
  <c r="M1070" i="1"/>
  <c r="L1070" i="1"/>
  <c r="U1069" i="1"/>
  <c r="T1069" i="1"/>
  <c r="S1069" i="1"/>
  <c r="R1069" i="1"/>
  <c r="Q1069" i="1"/>
  <c r="P1069" i="1"/>
  <c r="O1069" i="1"/>
  <c r="N1069" i="1"/>
  <c r="M1069" i="1"/>
  <c r="L1069" i="1"/>
  <c r="V1069" i="1" s="1"/>
  <c r="U1068" i="1"/>
  <c r="V1068" i="1" s="1"/>
  <c r="T1068" i="1"/>
  <c r="S1068" i="1"/>
  <c r="R1068" i="1"/>
  <c r="Q1068" i="1"/>
  <c r="P1068" i="1"/>
  <c r="O1068" i="1"/>
  <c r="N1068" i="1"/>
  <c r="M1068" i="1"/>
  <c r="L1068" i="1"/>
  <c r="U1067" i="1"/>
  <c r="V1067" i="1" s="1"/>
  <c r="T1067" i="1"/>
  <c r="S1067" i="1"/>
  <c r="R1067" i="1"/>
  <c r="P1067" i="1"/>
  <c r="O1067" i="1"/>
  <c r="N1067" i="1"/>
  <c r="Q1067" i="1" s="1"/>
  <c r="M1067" i="1"/>
  <c r="L1067" i="1"/>
  <c r="U1066" i="1"/>
  <c r="V1066" i="1" s="1"/>
  <c r="T1066" i="1"/>
  <c r="S1066" i="1"/>
  <c r="R1066" i="1"/>
  <c r="P1066" i="1"/>
  <c r="O1066" i="1"/>
  <c r="N1066" i="1"/>
  <c r="Q1066" i="1" s="1"/>
  <c r="M1066" i="1"/>
  <c r="L1066" i="1"/>
  <c r="U1065" i="1"/>
  <c r="V1065" i="1" s="1"/>
  <c r="T1065" i="1"/>
  <c r="S1065" i="1"/>
  <c r="R1065" i="1"/>
  <c r="Q1065" i="1"/>
  <c r="P1065" i="1"/>
  <c r="O1065" i="1"/>
  <c r="N1065" i="1"/>
  <c r="M1065" i="1"/>
  <c r="L1065" i="1"/>
  <c r="V1064" i="1"/>
  <c r="U1064" i="1"/>
  <c r="T1064" i="1"/>
  <c r="S1064" i="1"/>
  <c r="R1064" i="1"/>
  <c r="P1064" i="1"/>
  <c r="O1064" i="1"/>
  <c r="N1064" i="1"/>
  <c r="Q1064" i="1" s="1"/>
  <c r="M1064" i="1"/>
  <c r="L1064" i="1"/>
  <c r="V1063" i="1"/>
  <c r="U1063" i="1"/>
  <c r="T1063" i="1"/>
  <c r="S1063" i="1"/>
  <c r="R1063" i="1"/>
  <c r="P1063" i="1"/>
  <c r="O1063" i="1"/>
  <c r="N1063" i="1"/>
  <c r="Q1063" i="1" s="1"/>
  <c r="M1063" i="1"/>
  <c r="L1063" i="1"/>
  <c r="V1062" i="1"/>
  <c r="U1062" i="1"/>
  <c r="T1062" i="1"/>
  <c r="S1062" i="1"/>
  <c r="R1062" i="1"/>
  <c r="Q1062" i="1"/>
  <c r="P1062" i="1"/>
  <c r="O1062" i="1"/>
  <c r="N1062" i="1"/>
  <c r="M1062" i="1"/>
  <c r="L1062" i="1"/>
  <c r="U1061" i="1"/>
  <c r="T1061" i="1"/>
  <c r="S1061" i="1"/>
  <c r="R1061" i="1"/>
  <c r="Q1061" i="1"/>
  <c r="P1061" i="1"/>
  <c r="O1061" i="1"/>
  <c r="N1061" i="1"/>
  <c r="M1061" i="1"/>
  <c r="L1061" i="1"/>
  <c r="V1061" i="1" s="1"/>
  <c r="U1060" i="1"/>
  <c r="V1060" i="1" s="1"/>
  <c r="T1060" i="1"/>
  <c r="S1060" i="1"/>
  <c r="R1060" i="1"/>
  <c r="Q1060" i="1"/>
  <c r="P1060" i="1"/>
  <c r="O1060" i="1"/>
  <c r="N1060" i="1"/>
  <c r="M1060" i="1"/>
  <c r="L1060" i="1"/>
  <c r="U1059" i="1"/>
  <c r="V1059" i="1" s="1"/>
  <c r="T1059" i="1"/>
  <c r="S1059" i="1"/>
  <c r="R1059" i="1"/>
  <c r="P1059" i="1"/>
  <c r="O1059" i="1"/>
  <c r="N1059" i="1"/>
  <c r="Q1059" i="1" s="1"/>
  <c r="M1059" i="1"/>
  <c r="L1059" i="1"/>
  <c r="U1058" i="1"/>
  <c r="V1058" i="1" s="1"/>
  <c r="T1058" i="1"/>
  <c r="S1058" i="1"/>
  <c r="R1058" i="1"/>
  <c r="P1058" i="1"/>
  <c r="O1058" i="1"/>
  <c r="N1058" i="1"/>
  <c r="Q1058" i="1" s="1"/>
  <c r="M1058" i="1"/>
  <c r="L1058" i="1"/>
  <c r="U1057" i="1"/>
  <c r="V1057" i="1" s="1"/>
  <c r="T1057" i="1"/>
  <c r="S1057" i="1"/>
  <c r="R1057" i="1"/>
  <c r="Q1057" i="1"/>
  <c r="P1057" i="1"/>
  <c r="O1057" i="1"/>
  <c r="N1057" i="1"/>
  <c r="M1057" i="1"/>
  <c r="L1057" i="1"/>
  <c r="V1056" i="1"/>
  <c r="U1056" i="1"/>
  <c r="T1056" i="1"/>
  <c r="S1056" i="1"/>
  <c r="R1056" i="1"/>
  <c r="P1056" i="1"/>
  <c r="O1056" i="1"/>
  <c r="N1056" i="1"/>
  <c r="Q1056" i="1" s="1"/>
  <c r="M1056" i="1"/>
  <c r="L1056" i="1"/>
  <c r="V1055" i="1"/>
  <c r="U1055" i="1"/>
  <c r="T1055" i="1"/>
  <c r="S1055" i="1"/>
  <c r="R1055" i="1"/>
  <c r="P1055" i="1"/>
  <c r="O1055" i="1"/>
  <c r="N1055" i="1"/>
  <c r="Q1055" i="1" s="1"/>
  <c r="M1055" i="1"/>
  <c r="L1055" i="1"/>
  <c r="V1054" i="1"/>
  <c r="U1054" i="1"/>
  <c r="T1054" i="1"/>
  <c r="S1054" i="1"/>
  <c r="R1054" i="1"/>
  <c r="Q1054" i="1"/>
  <c r="P1054" i="1"/>
  <c r="O1054" i="1"/>
  <c r="N1054" i="1"/>
  <c r="M1054" i="1"/>
  <c r="L1054" i="1"/>
  <c r="U1053" i="1"/>
  <c r="T1053" i="1"/>
  <c r="S1053" i="1"/>
  <c r="R1053" i="1"/>
  <c r="Q1053" i="1"/>
  <c r="P1053" i="1"/>
  <c r="O1053" i="1"/>
  <c r="N1053" i="1"/>
  <c r="M1053" i="1"/>
  <c r="L1053" i="1"/>
  <c r="V1053" i="1" s="1"/>
  <c r="U1052" i="1"/>
  <c r="V1052" i="1" s="1"/>
  <c r="T1052" i="1"/>
  <c r="S1052" i="1"/>
  <c r="R1052" i="1"/>
  <c r="Q1052" i="1"/>
  <c r="P1052" i="1"/>
  <c r="O1052" i="1"/>
  <c r="N1052" i="1"/>
  <c r="M1052" i="1"/>
  <c r="L1052" i="1"/>
  <c r="U1051" i="1"/>
  <c r="V1051" i="1" s="1"/>
  <c r="T1051" i="1"/>
  <c r="S1051" i="1"/>
  <c r="R1051" i="1"/>
  <c r="P1051" i="1"/>
  <c r="O1051" i="1"/>
  <c r="N1051" i="1"/>
  <c r="Q1051" i="1" s="1"/>
  <c r="M1051" i="1"/>
  <c r="L1051" i="1"/>
  <c r="U1050" i="1"/>
  <c r="V1050" i="1" s="1"/>
  <c r="T1050" i="1"/>
  <c r="S1050" i="1"/>
  <c r="R1050" i="1"/>
  <c r="P1050" i="1"/>
  <c r="O1050" i="1"/>
  <c r="N1050" i="1"/>
  <c r="Q1050" i="1" s="1"/>
  <c r="M1050" i="1"/>
  <c r="L1050" i="1"/>
  <c r="U1049" i="1"/>
  <c r="V1049" i="1" s="1"/>
  <c r="T1049" i="1"/>
  <c r="S1049" i="1"/>
  <c r="R1049" i="1"/>
  <c r="Q1049" i="1"/>
  <c r="P1049" i="1"/>
  <c r="O1049" i="1"/>
  <c r="N1049" i="1"/>
  <c r="M1049" i="1"/>
  <c r="L1049" i="1"/>
  <c r="V1048" i="1"/>
  <c r="U1048" i="1"/>
  <c r="T1048" i="1"/>
  <c r="S1048" i="1"/>
  <c r="R1048" i="1"/>
  <c r="P1048" i="1"/>
  <c r="O1048" i="1"/>
  <c r="N1048" i="1"/>
  <c r="Q1048" i="1" s="1"/>
  <c r="M1048" i="1"/>
  <c r="L1048" i="1"/>
  <c r="V1047" i="1"/>
  <c r="U1047" i="1"/>
  <c r="T1047" i="1"/>
  <c r="S1047" i="1"/>
  <c r="R1047" i="1"/>
  <c r="P1047" i="1"/>
  <c r="O1047" i="1"/>
  <c r="N1047" i="1"/>
  <c r="Q1047" i="1" s="1"/>
  <c r="M1047" i="1"/>
  <c r="L1047" i="1"/>
  <c r="V1046" i="1"/>
  <c r="U1046" i="1"/>
  <c r="T1046" i="1"/>
  <c r="S1046" i="1"/>
  <c r="R1046" i="1"/>
  <c r="Q1046" i="1"/>
  <c r="P1046" i="1"/>
  <c r="O1046" i="1"/>
  <c r="N1046" i="1"/>
  <c r="M1046" i="1"/>
  <c r="L1046" i="1"/>
  <c r="U1045" i="1"/>
  <c r="T1045" i="1"/>
  <c r="S1045" i="1"/>
  <c r="R1045" i="1"/>
  <c r="Q1045" i="1"/>
  <c r="P1045" i="1"/>
  <c r="O1045" i="1"/>
  <c r="N1045" i="1"/>
  <c r="M1045" i="1"/>
  <c r="L1045" i="1"/>
  <c r="V1045" i="1" s="1"/>
  <c r="U1044" i="1"/>
  <c r="V1044" i="1" s="1"/>
  <c r="T1044" i="1"/>
  <c r="S1044" i="1"/>
  <c r="R1044" i="1"/>
  <c r="Q1044" i="1"/>
  <c r="P1044" i="1"/>
  <c r="O1044" i="1"/>
  <c r="N1044" i="1"/>
  <c r="M1044" i="1"/>
  <c r="L1044" i="1"/>
  <c r="U1043" i="1"/>
  <c r="V1043" i="1" s="1"/>
  <c r="T1043" i="1"/>
  <c r="S1043" i="1"/>
  <c r="R1043" i="1"/>
  <c r="P1043" i="1"/>
  <c r="O1043" i="1"/>
  <c r="N1043" i="1"/>
  <c r="Q1043" i="1" s="1"/>
  <c r="M1043" i="1"/>
  <c r="L1043" i="1"/>
  <c r="U1042" i="1"/>
  <c r="V1042" i="1" s="1"/>
  <c r="T1042" i="1"/>
  <c r="S1042" i="1"/>
  <c r="R1042" i="1"/>
  <c r="P1042" i="1"/>
  <c r="O1042" i="1"/>
  <c r="N1042" i="1"/>
  <c r="Q1042" i="1" s="1"/>
  <c r="M1042" i="1"/>
  <c r="L1042" i="1"/>
  <c r="U1041" i="1"/>
  <c r="V1041" i="1" s="1"/>
  <c r="T1041" i="1"/>
  <c r="S1041" i="1"/>
  <c r="R1041" i="1"/>
  <c r="Q1041" i="1"/>
  <c r="P1041" i="1"/>
  <c r="O1041" i="1"/>
  <c r="N1041" i="1"/>
  <c r="M1041" i="1"/>
  <c r="L1041" i="1"/>
  <c r="V1040" i="1"/>
  <c r="U1040" i="1"/>
  <c r="T1040" i="1"/>
  <c r="S1040" i="1"/>
  <c r="R1040" i="1"/>
  <c r="P1040" i="1"/>
  <c r="O1040" i="1"/>
  <c r="N1040" i="1"/>
  <c r="Q1040" i="1" s="1"/>
  <c r="M1040" i="1"/>
  <c r="L1040" i="1"/>
  <c r="V1039" i="1"/>
  <c r="U1039" i="1"/>
  <c r="T1039" i="1"/>
  <c r="S1039" i="1"/>
  <c r="R1039" i="1"/>
  <c r="P1039" i="1"/>
  <c r="O1039" i="1"/>
  <c r="N1039" i="1"/>
  <c r="Q1039" i="1" s="1"/>
  <c r="M1039" i="1"/>
  <c r="L1039" i="1"/>
  <c r="V1038" i="1"/>
  <c r="U1038" i="1"/>
  <c r="T1038" i="1"/>
  <c r="S1038" i="1"/>
  <c r="R1038" i="1"/>
  <c r="Q1038" i="1"/>
  <c r="P1038" i="1"/>
  <c r="O1038" i="1"/>
  <c r="N1038" i="1"/>
  <c r="M1038" i="1"/>
  <c r="L1038" i="1"/>
  <c r="U1037" i="1"/>
  <c r="T1037" i="1"/>
  <c r="S1037" i="1"/>
  <c r="R1037" i="1"/>
  <c r="Q1037" i="1"/>
  <c r="P1037" i="1"/>
  <c r="O1037" i="1"/>
  <c r="N1037" i="1"/>
  <c r="M1037" i="1"/>
  <c r="L1037" i="1"/>
  <c r="V1037" i="1" s="1"/>
  <c r="U1036" i="1"/>
  <c r="V1036" i="1" s="1"/>
  <c r="T1036" i="1"/>
  <c r="S1036" i="1"/>
  <c r="R1036" i="1"/>
  <c r="Q1036" i="1"/>
  <c r="P1036" i="1"/>
  <c r="O1036" i="1"/>
  <c r="N1036" i="1"/>
  <c r="M1036" i="1"/>
  <c r="L1036" i="1"/>
  <c r="U1035" i="1"/>
  <c r="V1035" i="1" s="1"/>
  <c r="T1035" i="1"/>
  <c r="S1035" i="1"/>
  <c r="R1035" i="1"/>
  <c r="P1035" i="1"/>
  <c r="O1035" i="1"/>
  <c r="N1035" i="1"/>
  <c r="Q1035" i="1" s="1"/>
  <c r="M1035" i="1"/>
  <c r="L1035" i="1"/>
  <c r="U1034" i="1"/>
  <c r="V1034" i="1" s="1"/>
  <c r="T1034" i="1"/>
  <c r="S1034" i="1"/>
  <c r="R1034" i="1"/>
  <c r="P1034" i="1"/>
  <c r="O1034" i="1"/>
  <c r="N1034" i="1"/>
  <c r="Q1034" i="1" s="1"/>
  <c r="M1034" i="1"/>
  <c r="L1034" i="1"/>
  <c r="U1033" i="1"/>
  <c r="V1033" i="1" s="1"/>
  <c r="T1033" i="1"/>
  <c r="S1033" i="1"/>
  <c r="R1033" i="1"/>
  <c r="Q1033" i="1"/>
  <c r="P1033" i="1"/>
  <c r="O1033" i="1"/>
  <c r="N1033" i="1"/>
  <c r="M1033" i="1"/>
  <c r="L1033" i="1"/>
  <c r="V1032" i="1"/>
  <c r="U1032" i="1"/>
  <c r="T1032" i="1"/>
  <c r="S1032" i="1"/>
  <c r="R1032" i="1"/>
  <c r="P1032" i="1"/>
  <c r="O1032" i="1"/>
  <c r="N1032" i="1"/>
  <c r="Q1032" i="1" s="1"/>
  <c r="M1032" i="1"/>
  <c r="L1032" i="1"/>
  <c r="V1031" i="1"/>
  <c r="U1031" i="1"/>
  <c r="T1031" i="1"/>
  <c r="S1031" i="1"/>
  <c r="R1031" i="1"/>
  <c r="P1031" i="1"/>
  <c r="O1031" i="1"/>
  <c r="N1031" i="1"/>
  <c r="Q1031" i="1" s="1"/>
  <c r="M1031" i="1"/>
  <c r="L1031" i="1"/>
  <c r="V1030" i="1"/>
  <c r="U1030" i="1"/>
  <c r="T1030" i="1"/>
  <c r="S1030" i="1"/>
  <c r="R1030" i="1"/>
  <c r="Q1030" i="1"/>
  <c r="P1030" i="1"/>
  <c r="O1030" i="1"/>
  <c r="N1030" i="1"/>
  <c r="M1030" i="1"/>
  <c r="L1030" i="1"/>
  <c r="U1029" i="1"/>
  <c r="T1029" i="1"/>
  <c r="S1029" i="1"/>
  <c r="R1029" i="1"/>
  <c r="Q1029" i="1"/>
  <c r="P1029" i="1"/>
  <c r="O1029" i="1"/>
  <c r="N1029" i="1"/>
  <c r="M1029" i="1"/>
  <c r="L1029" i="1"/>
  <c r="V1029" i="1" s="1"/>
  <c r="U1028" i="1"/>
  <c r="V1028" i="1" s="1"/>
  <c r="T1028" i="1"/>
  <c r="S1028" i="1"/>
  <c r="R1028" i="1"/>
  <c r="Q1028" i="1"/>
  <c r="P1028" i="1"/>
  <c r="O1028" i="1"/>
  <c r="N1028" i="1"/>
  <c r="M1028" i="1"/>
  <c r="L1028" i="1"/>
  <c r="U1027" i="1"/>
  <c r="V1027" i="1" s="1"/>
  <c r="T1027" i="1"/>
  <c r="S1027" i="1"/>
  <c r="R1027" i="1"/>
  <c r="P1027" i="1"/>
  <c r="O1027" i="1"/>
  <c r="N1027" i="1"/>
  <c r="Q1027" i="1" s="1"/>
  <c r="M1027" i="1"/>
  <c r="L1027" i="1"/>
  <c r="U1026" i="1"/>
  <c r="V1026" i="1" s="1"/>
  <c r="T1026" i="1"/>
  <c r="S1026" i="1"/>
  <c r="R1026" i="1"/>
  <c r="P1026" i="1"/>
  <c r="O1026" i="1"/>
  <c r="N1026" i="1"/>
  <c r="Q1026" i="1" s="1"/>
  <c r="M1026" i="1"/>
  <c r="L1026" i="1"/>
  <c r="U1025" i="1"/>
  <c r="V1025" i="1" s="1"/>
  <c r="T1025" i="1"/>
  <c r="S1025" i="1"/>
  <c r="R1025" i="1"/>
  <c r="Q1025" i="1"/>
  <c r="P1025" i="1"/>
  <c r="O1025" i="1"/>
  <c r="N1025" i="1"/>
  <c r="M1025" i="1"/>
  <c r="L1025" i="1"/>
  <c r="V1024" i="1"/>
  <c r="U1024" i="1"/>
  <c r="T1024" i="1"/>
  <c r="S1024" i="1"/>
  <c r="R1024" i="1"/>
  <c r="P1024" i="1"/>
  <c r="O1024" i="1"/>
  <c r="N1024" i="1"/>
  <c r="Q1024" i="1" s="1"/>
  <c r="M1024" i="1"/>
  <c r="L1024" i="1"/>
  <c r="V1023" i="1"/>
  <c r="U1023" i="1"/>
  <c r="T1023" i="1"/>
  <c r="S1023" i="1"/>
  <c r="R1023" i="1"/>
  <c r="P1023" i="1"/>
  <c r="O1023" i="1"/>
  <c r="N1023" i="1"/>
  <c r="Q1023" i="1" s="1"/>
  <c r="M1023" i="1"/>
  <c r="L1023" i="1"/>
  <c r="V1022" i="1"/>
  <c r="U1022" i="1"/>
  <c r="T1022" i="1"/>
  <c r="S1022" i="1"/>
  <c r="R1022" i="1"/>
  <c r="Q1022" i="1"/>
  <c r="P1022" i="1"/>
  <c r="O1022" i="1"/>
  <c r="N1022" i="1"/>
  <c r="M1022" i="1"/>
  <c r="L1022" i="1"/>
  <c r="U1021" i="1"/>
  <c r="T1021" i="1"/>
  <c r="S1021" i="1"/>
  <c r="R1021" i="1"/>
  <c r="Q1021" i="1"/>
  <c r="P1021" i="1"/>
  <c r="O1021" i="1"/>
  <c r="N1021" i="1"/>
  <c r="M1021" i="1"/>
  <c r="L1021" i="1"/>
  <c r="V1021" i="1" s="1"/>
  <c r="U1020" i="1"/>
  <c r="V1020" i="1" s="1"/>
  <c r="T1020" i="1"/>
  <c r="S1020" i="1"/>
  <c r="R1020" i="1"/>
  <c r="Q1020" i="1"/>
  <c r="P1020" i="1"/>
  <c r="O1020" i="1"/>
  <c r="N1020" i="1"/>
  <c r="M1020" i="1"/>
  <c r="L1020" i="1"/>
  <c r="U1019" i="1"/>
  <c r="V1019" i="1" s="1"/>
  <c r="T1019" i="1"/>
  <c r="S1019" i="1"/>
  <c r="R1019" i="1"/>
  <c r="P1019" i="1"/>
  <c r="O1019" i="1"/>
  <c r="N1019" i="1"/>
  <c r="Q1019" i="1" s="1"/>
  <c r="M1019" i="1"/>
  <c r="L1019" i="1"/>
  <c r="U1018" i="1"/>
  <c r="V1018" i="1" s="1"/>
  <c r="T1018" i="1"/>
  <c r="S1018" i="1"/>
  <c r="R1018" i="1"/>
  <c r="P1018" i="1"/>
  <c r="O1018" i="1"/>
  <c r="N1018" i="1"/>
  <c r="Q1018" i="1" s="1"/>
  <c r="M1018" i="1"/>
  <c r="L1018" i="1"/>
  <c r="U1017" i="1"/>
  <c r="V1017" i="1" s="1"/>
  <c r="T1017" i="1"/>
  <c r="S1017" i="1"/>
  <c r="R1017" i="1"/>
  <c r="Q1017" i="1"/>
  <c r="P1017" i="1"/>
  <c r="O1017" i="1"/>
  <c r="N1017" i="1"/>
  <c r="M1017" i="1"/>
  <c r="L1017" i="1"/>
  <c r="V1016" i="1"/>
  <c r="U1016" i="1"/>
  <c r="T1016" i="1"/>
  <c r="S1016" i="1"/>
  <c r="R1016" i="1"/>
  <c r="P1016" i="1"/>
  <c r="O1016" i="1"/>
  <c r="N1016" i="1"/>
  <c r="Q1016" i="1" s="1"/>
  <c r="M1016" i="1"/>
  <c r="L1016" i="1"/>
  <c r="V1015" i="1"/>
  <c r="U1015" i="1"/>
  <c r="T1015" i="1"/>
  <c r="S1015" i="1"/>
  <c r="R1015" i="1"/>
  <c r="P1015" i="1"/>
  <c r="O1015" i="1"/>
  <c r="N1015" i="1"/>
  <c r="Q1015" i="1" s="1"/>
  <c r="M1015" i="1"/>
  <c r="L1015" i="1"/>
  <c r="V1014" i="1"/>
  <c r="U1014" i="1"/>
  <c r="T1014" i="1"/>
  <c r="S1014" i="1"/>
  <c r="R1014" i="1"/>
  <c r="Q1014" i="1"/>
  <c r="P1014" i="1"/>
  <c r="O1014" i="1"/>
  <c r="N1014" i="1"/>
  <c r="M1014" i="1"/>
  <c r="L1014" i="1"/>
  <c r="U1013" i="1"/>
  <c r="T1013" i="1"/>
  <c r="S1013" i="1"/>
  <c r="R1013" i="1"/>
  <c r="Q1013" i="1"/>
  <c r="P1013" i="1"/>
  <c r="O1013" i="1"/>
  <c r="N1013" i="1"/>
  <c r="M1013" i="1"/>
  <c r="L1013" i="1"/>
  <c r="V1013" i="1" s="1"/>
  <c r="U1012" i="1"/>
  <c r="V1012" i="1" s="1"/>
  <c r="T1012" i="1"/>
  <c r="S1012" i="1"/>
  <c r="R1012" i="1"/>
  <c r="Q1012" i="1"/>
  <c r="P1012" i="1"/>
  <c r="O1012" i="1"/>
  <c r="N1012" i="1"/>
  <c r="M1012" i="1"/>
  <c r="L1012" i="1"/>
  <c r="U1011" i="1"/>
  <c r="V1011" i="1" s="1"/>
  <c r="T1011" i="1"/>
  <c r="S1011" i="1"/>
  <c r="R1011" i="1"/>
  <c r="P1011" i="1"/>
  <c r="O1011" i="1"/>
  <c r="N1011" i="1"/>
  <c r="Q1011" i="1" s="1"/>
  <c r="M1011" i="1"/>
  <c r="L1011" i="1"/>
  <c r="U1010" i="1"/>
  <c r="V1010" i="1" s="1"/>
  <c r="T1010" i="1"/>
  <c r="S1010" i="1"/>
  <c r="R1010" i="1"/>
  <c r="P1010" i="1"/>
  <c r="O1010" i="1"/>
  <c r="N1010" i="1"/>
  <c r="Q1010" i="1" s="1"/>
  <c r="M1010" i="1"/>
  <c r="L1010" i="1"/>
  <c r="U1009" i="1"/>
  <c r="V1009" i="1" s="1"/>
  <c r="T1009" i="1"/>
  <c r="S1009" i="1"/>
  <c r="R1009" i="1"/>
  <c r="Q1009" i="1"/>
  <c r="P1009" i="1"/>
  <c r="O1009" i="1"/>
  <c r="N1009" i="1"/>
  <c r="M1009" i="1"/>
  <c r="L1009" i="1"/>
  <c r="V1008" i="1"/>
  <c r="U1008" i="1"/>
  <c r="T1008" i="1"/>
  <c r="S1008" i="1"/>
  <c r="R1008" i="1"/>
  <c r="P1008" i="1"/>
  <c r="O1008" i="1"/>
  <c r="N1008" i="1"/>
  <c r="Q1008" i="1" s="1"/>
  <c r="M1008" i="1"/>
  <c r="L1008" i="1"/>
  <c r="V1007" i="1"/>
  <c r="U1007" i="1"/>
  <c r="T1007" i="1"/>
  <c r="S1007" i="1"/>
  <c r="R1007" i="1"/>
  <c r="P1007" i="1"/>
  <c r="O1007" i="1"/>
  <c r="N1007" i="1"/>
  <c r="Q1007" i="1" s="1"/>
  <c r="M1007" i="1"/>
  <c r="L1007" i="1"/>
  <c r="V1006" i="1"/>
  <c r="U1006" i="1"/>
  <c r="T1006" i="1"/>
  <c r="S1006" i="1"/>
  <c r="R1006" i="1"/>
  <c r="Q1006" i="1"/>
  <c r="P1006" i="1"/>
  <c r="O1006" i="1"/>
  <c r="N1006" i="1"/>
  <c r="M1006" i="1"/>
  <c r="L1006" i="1"/>
  <c r="U1005" i="1"/>
  <c r="T1005" i="1"/>
  <c r="S1005" i="1"/>
  <c r="R1005" i="1"/>
  <c r="Q1005" i="1"/>
  <c r="P1005" i="1"/>
  <c r="O1005" i="1"/>
  <c r="N1005" i="1"/>
  <c r="M1005" i="1"/>
  <c r="L1005" i="1"/>
  <c r="V1005" i="1" s="1"/>
  <c r="U1004" i="1"/>
  <c r="V1004" i="1" s="1"/>
  <c r="T1004" i="1"/>
  <c r="S1004" i="1"/>
  <c r="R1004" i="1"/>
  <c r="Q1004" i="1"/>
  <c r="P1004" i="1"/>
  <c r="O1004" i="1"/>
  <c r="N1004" i="1"/>
  <c r="M1004" i="1"/>
  <c r="L1004" i="1"/>
  <c r="U1003" i="1"/>
  <c r="V1003" i="1" s="1"/>
  <c r="T1003" i="1"/>
  <c r="S1003" i="1"/>
  <c r="R1003" i="1"/>
  <c r="P1003" i="1"/>
  <c r="O1003" i="1"/>
  <c r="N1003" i="1"/>
  <c r="Q1003" i="1" s="1"/>
  <c r="M1003" i="1"/>
  <c r="L1003" i="1"/>
  <c r="U1002" i="1"/>
  <c r="V1002" i="1" s="1"/>
  <c r="T1002" i="1"/>
  <c r="S1002" i="1"/>
  <c r="R1002" i="1"/>
  <c r="P1002" i="1"/>
  <c r="O1002" i="1"/>
  <c r="N1002" i="1"/>
  <c r="Q1002" i="1" s="1"/>
  <c r="M1002" i="1"/>
  <c r="L1002" i="1"/>
  <c r="U1001" i="1"/>
  <c r="V1001" i="1" s="1"/>
  <c r="T1001" i="1"/>
  <c r="S1001" i="1"/>
  <c r="R1001" i="1"/>
  <c r="Q1001" i="1"/>
  <c r="P1001" i="1"/>
  <c r="O1001" i="1"/>
  <c r="N1001" i="1"/>
  <c r="M1001" i="1"/>
  <c r="L1001" i="1"/>
  <c r="V1000" i="1"/>
  <c r="U1000" i="1"/>
  <c r="T1000" i="1"/>
  <c r="S1000" i="1"/>
  <c r="R1000" i="1"/>
  <c r="P1000" i="1"/>
  <c r="O1000" i="1"/>
  <c r="N1000" i="1"/>
  <c r="Q1000" i="1" s="1"/>
  <c r="M1000" i="1"/>
  <c r="L1000" i="1"/>
  <c r="V999" i="1"/>
  <c r="U999" i="1"/>
  <c r="T999" i="1"/>
  <c r="S999" i="1"/>
  <c r="R999" i="1"/>
  <c r="P999" i="1"/>
  <c r="O999" i="1"/>
  <c r="N999" i="1"/>
  <c r="Q999" i="1" s="1"/>
  <c r="M999" i="1"/>
  <c r="L999" i="1"/>
  <c r="V998" i="1"/>
  <c r="U998" i="1"/>
  <c r="T998" i="1"/>
  <c r="S998" i="1"/>
  <c r="R998" i="1"/>
  <c r="Q998" i="1"/>
  <c r="P998" i="1"/>
  <c r="O998" i="1"/>
  <c r="N998" i="1"/>
  <c r="M998" i="1"/>
  <c r="L998" i="1"/>
  <c r="U997" i="1"/>
  <c r="T997" i="1"/>
  <c r="S997" i="1"/>
  <c r="R997" i="1"/>
  <c r="Q997" i="1"/>
  <c r="P997" i="1"/>
  <c r="O997" i="1"/>
  <c r="N997" i="1"/>
  <c r="M997" i="1"/>
  <c r="L997" i="1"/>
  <c r="V997" i="1" s="1"/>
  <c r="U996" i="1"/>
  <c r="V996" i="1" s="1"/>
  <c r="T996" i="1"/>
  <c r="S996" i="1"/>
  <c r="R996" i="1"/>
  <c r="Q996" i="1"/>
  <c r="P996" i="1"/>
  <c r="O996" i="1"/>
  <c r="N996" i="1"/>
  <c r="M996" i="1"/>
  <c r="L996" i="1"/>
  <c r="U995" i="1"/>
  <c r="V995" i="1" s="1"/>
  <c r="T995" i="1"/>
  <c r="S995" i="1"/>
  <c r="R995" i="1"/>
  <c r="P995" i="1"/>
  <c r="O995" i="1"/>
  <c r="N995" i="1"/>
  <c r="Q995" i="1" s="1"/>
  <c r="M995" i="1"/>
  <c r="L995" i="1"/>
  <c r="U994" i="1"/>
  <c r="V994" i="1" s="1"/>
  <c r="T994" i="1"/>
  <c r="S994" i="1"/>
  <c r="R994" i="1"/>
  <c r="P994" i="1"/>
  <c r="O994" i="1"/>
  <c r="N994" i="1"/>
  <c r="Q994" i="1" s="1"/>
  <c r="M994" i="1"/>
  <c r="L994" i="1"/>
  <c r="U993" i="1"/>
  <c r="V993" i="1" s="1"/>
  <c r="T993" i="1"/>
  <c r="S993" i="1"/>
  <c r="R993" i="1"/>
  <c r="Q993" i="1"/>
  <c r="P993" i="1"/>
  <c r="O993" i="1"/>
  <c r="N993" i="1"/>
  <c r="M993" i="1"/>
  <c r="L993" i="1"/>
  <c r="V992" i="1"/>
  <c r="U992" i="1"/>
  <c r="T992" i="1"/>
  <c r="S992" i="1"/>
  <c r="R992" i="1"/>
  <c r="P992" i="1"/>
  <c r="O992" i="1"/>
  <c r="N992" i="1"/>
  <c r="Q992" i="1" s="1"/>
  <c r="M992" i="1"/>
  <c r="L992" i="1"/>
  <c r="V991" i="1"/>
  <c r="U991" i="1"/>
  <c r="T991" i="1"/>
  <c r="S991" i="1"/>
  <c r="R991" i="1"/>
  <c r="P991" i="1"/>
  <c r="O991" i="1"/>
  <c r="N991" i="1"/>
  <c r="Q991" i="1" s="1"/>
  <c r="M991" i="1"/>
  <c r="L991" i="1"/>
  <c r="V990" i="1"/>
  <c r="U990" i="1"/>
  <c r="T990" i="1"/>
  <c r="S990" i="1"/>
  <c r="R990" i="1"/>
  <c r="Q990" i="1"/>
  <c r="P990" i="1"/>
  <c r="O990" i="1"/>
  <c r="N990" i="1"/>
  <c r="M990" i="1"/>
  <c r="L990" i="1"/>
  <c r="U989" i="1"/>
  <c r="T989" i="1"/>
  <c r="S989" i="1"/>
  <c r="R989" i="1"/>
  <c r="Q989" i="1"/>
  <c r="P989" i="1"/>
  <c r="O989" i="1"/>
  <c r="N989" i="1"/>
  <c r="M989" i="1"/>
  <c r="L989" i="1"/>
  <c r="V989" i="1" s="1"/>
  <c r="U988" i="1"/>
  <c r="V988" i="1" s="1"/>
  <c r="T988" i="1"/>
  <c r="S988" i="1"/>
  <c r="R988" i="1"/>
  <c r="Q988" i="1"/>
  <c r="P988" i="1"/>
  <c r="O988" i="1"/>
  <c r="N988" i="1"/>
  <c r="M988" i="1"/>
  <c r="L988" i="1"/>
  <c r="U987" i="1"/>
  <c r="V987" i="1" s="1"/>
  <c r="T987" i="1"/>
  <c r="S987" i="1"/>
  <c r="R987" i="1"/>
  <c r="P987" i="1"/>
  <c r="O987" i="1"/>
  <c r="N987" i="1"/>
  <c r="Q987" i="1" s="1"/>
  <c r="M987" i="1"/>
  <c r="L987" i="1"/>
  <c r="U986" i="1"/>
  <c r="V986" i="1" s="1"/>
  <c r="T986" i="1"/>
  <c r="S986" i="1"/>
  <c r="R986" i="1"/>
  <c r="P986" i="1"/>
  <c r="O986" i="1"/>
  <c r="N986" i="1"/>
  <c r="Q986" i="1" s="1"/>
  <c r="M986" i="1"/>
  <c r="L986" i="1"/>
  <c r="U985" i="1"/>
  <c r="V985" i="1" s="1"/>
  <c r="T985" i="1"/>
  <c r="S985" i="1"/>
  <c r="R985" i="1"/>
  <c r="Q985" i="1"/>
  <c r="P985" i="1"/>
  <c r="O985" i="1"/>
  <c r="N985" i="1"/>
  <c r="M985" i="1"/>
  <c r="L985" i="1"/>
  <c r="V984" i="1"/>
  <c r="U984" i="1"/>
  <c r="T984" i="1"/>
  <c r="S984" i="1"/>
  <c r="R984" i="1"/>
  <c r="P984" i="1"/>
  <c r="O984" i="1"/>
  <c r="N984" i="1"/>
  <c r="Q984" i="1" s="1"/>
  <c r="M984" i="1"/>
  <c r="L984" i="1"/>
  <c r="V983" i="1"/>
  <c r="U983" i="1"/>
  <c r="T983" i="1"/>
  <c r="S983" i="1"/>
  <c r="R983" i="1"/>
  <c r="P983" i="1"/>
  <c r="O983" i="1"/>
  <c r="N983" i="1"/>
  <c r="Q983" i="1" s="1"/>
  <c r="M983" i="1"/>
  <c r="L983" i="1"/>
  <c r="V982" i="1"/>
  <c r="U982" i="1"/>
  <c r="T982" i="1"/>
  <c r="S982" i="1"/>
  <c r="R982" i="1"/>
  <c r="Q982" i="1"/>
  <c r="P982" i="1"/>
  <c r="O982" i="1"/>
  <c r="N982" i="1"/>
  <c r="M982" i="1"/>
  <c r="L982" i="1"/>
  <c r="U981" i="1"/>
  <c r="T981" i="1"/>
  <c r="S981" i="1"/>
  <c r="R981" i="1"/>
  <c r="Q981" i="1"/>
  <c r="P981" i="1"/>
  <c r="O981" i="1"/>
  <c r="N981" i="1"/>
  <c r="M981" i="1"/>
  <c r="L981" i="1"/>
  <c r="V981" i="1" s="1"/>
  <c r="U980" i="1"/>
  <c r="V980" i="1" s="1"/>
  <c r="T980" i="1"/>
  <c r="S980" i="1"/>
  <c r="R980" i="1"/>
  <c r="Q980" i="1"/>
  <c r="P980" i="1"/>
  <c r="O980" i="1"/>
  <c r="N980" i="1"/>
  <c r="M980" i="1"/>
  <c r="L980" i="1"/>
  <c r="U979" i="1"/>
  <c r="V979" i="1" s="1"/>
  <c r="T979" i="1"/>
  <c r="S979" i="1"/>
  <c r="R979" i="1"/>
  <c r="P979" i="1"/>
  <c r="O979" i="1"/>
  <c r="N979" i="1"/>
  <c r="Q979" i="1" s="1"/>
  <c r="M979" i="1"/>
  <c r="L979" i="1"/>
  <c r="U978" i="1"/>
  <c r="V978" i="1" s="1"/>
  <c r="T978" i="1"/>
  <c r="S978" i="1"/>
  <c r="R978" i="1"/>
  <c r="P978" i="1"/>
  <c r="O978" i="1"/>
  <c r="N978" i="1"/>
  <c r="Q978" i="1" s="1"/>
  <c r="M978" i="1"/>
  <c r="L978" i="1"/>
  <c r="U977" i="1"/>
  <c r="V977" i="1" s="1"/>
  <c r="T977" i="1"/>
  <c r="S977" i="1"/>
  <c r="R977" i="1"/>
  <c r="Q977" i="1"/>
  <c r="P977" i="1"/>
  <c r="O977" i="1"/>
  <c r="N977" i="1"/>
  <c r="M977" i="1"/>
  <c r="L977" i="1"/>
  <c r="V976" i="1"/>
  <c r="U976" i="1"/>
  <c r="T976" i="1"/>
  <c r="S976" i="1"/>
  <c r="R976" i="1"/>
  <c r="P976" i="1"/>
  <c r="O976" i="1"/>
  <c r="N976" i="1"/>
  <c r="Q976" i="1" s="1"/>
  <c r="M976" i="1"/>
  <c r="L976" i="1"/>
  <c r="V975" i="1"/>
  <c r="U975" i="1"/>
  <c r="T975" i="1"/>
  <c r="S975" i="1"/>
  <c r="R975" i="1"/>
  <c r="P975" i="1"/>
  <c r="O975" i="1"/>
  <c r="N975" i="1"/>
  <c r="Q975" i="1" s="1"/>
  <c r="M975" i="1"/>
  <c r="L975" i="1"/>
  <c r="V974" i="1"/>
  <c r="U974" i="1"/>
  <c r="T974" i="1"/>
  <c r="S974" i="1"/>
  <c r="R974" i="1"/>
  <c r="Q974" i="1"/>
  <c r="P974" i="1"/>
  <c r="O974" i="1"/>
  <c r="N974" i="1"/>
  <c r="M974" i="1"/>
  <c r="L974" i="1"/>
  <c r="U973" i="1"/>
  <c r="T973" i="1"/>
  <c r="S973" i="1"/>
  <c r="R973" i="1"/>
  <c r="Q973" i="1"/>
  <c r="P973" i="1"/>
  <c r="O973" i="1"/>
  <c r="N973" i="1"/>
  <c r="M973" i="1"/>
  <c r="L973" i="1"/>
  <c r="V973" i="1" s="1"/>
  <c r="U972" i="1"/>
  <c r="V972" i="1" s="1"/>
  <c r="T972" i="1"/>
  <c r="S972" i="1"/>
  <c r="R972" i="1"/>
  <c r="Q972" i="1"/>
  <c r="P972" i="1"/>
  <c r="O972" i="1"/>
  <c r="N972" i="1"/>
  <c r="M972" i="1"/>
  <c r="L972" i="1"/>
  <c r="U971" i="1"/>
  <c r="V971" i="1" s="1"/>
  <c r="T971" i="1"/>
  <c r="S971" i="1"/>
  <c r="R971" i="1"/>
  <c r="P971" i="1"/>
  <c r="O971" i="1"/>
  <c r="N971" i="1"/>
  <c r="Q971" i="1" s="1"/>
  <c r="M971" i="1"/>
  <c r="L971" i="1"/>
  <c r="U970" i="1"/>
  <c r="V970" i="1" s="1"/>
  <c r="T970" i="1"/>
  <c r="S970" i="1"/>
  <c r="R970" i="1"/>
  <c r="P970" i="1"/>
  <c r="O970" i="1"/>
  <c r="N970" i="1"/>
  <c r="Q970" i="1" s="1"/>
  <c r="M970" i="1"/>
  <c r="L970" i="1"/>
  <c r="U969" i="1"/>
  <c r="V969" i="1" s="1"/>
  <c r="T969" i="1"/>
  <c r="S969" i="1"/>
  <c r="R969" i="1"/>
  <c r="Q969" i="1"/>
  <c r="P969" i="1"/>
  <c r="O969" i="1"/>
  <c r="N969" i="1"/>
  <c r="M969" i="1"/>
  <c r="L969" i="1"/>
  <c r="V968" i="1"/>
  <c r="U968" i="1"/>
  <c r="T968" i="1"/>
  <c r="S968" i="1"/>
  <c r="R968" i="1"/>
  <c r="P968" i="1"/>
  <c r="O968" i="1"/>
  <c r="N968" i="1"/>
  <c r="Q968" i="1" s="1"/>
  <c r="M968" i="1"/>
  <c r="L968" i="1"/>
  <c r="V967" i="1"/>
  <c r="U967" i="1"/>
  <c r="T967" i="1"/>
  <c r="S967" i="1"/>
  <c r="R967" i="1"/>
  <c r="P967" i="1"/>
  <c r="O967" i="1"/>
  <c r="N967" i="1"/>
  <c r="Q967" i="1" s="1"/>
  <c r="M967" i="1"/>
  <c r="L967" i="1"/>
  <c r="V966" i="1"/>
  <c r="U966" i="1"/>
  <c r="T966" i="1"/>
  <c r="S966" i="1"/>
  <c r="R966" i="1"/>
  <c r="Q966" i="1"/>
  <c r="P966" i="1"/>
  <c r="O966" i="1"/>
  <c r="N966" i="1"/>
  <c r="M966" i="1"/>
  <c r="L966" i="1"/>
  <c r="U965" i="1"/>
  <c r="T965" i="1"/>
  <c r="S965" i="1"/>
  <c r="R965" i="1"/>
  <c r="Q965" i="1"/>
  <c r="P965" i="1"/>
  <c r="O965" i="1"/>
  <c r="N965" i="1"/>
  <c r="M965" i="1"/>
  <c r="L965" i="1"/>
  <c r="V965" i="1" s="1"/>
  <c r="U964" i="1"/>
  <c r="V964" i="1" s="1"/>
  <c r="T964" i="1"/>
  <c r="S964" i="1"/>
  <c r="R964" i="1"/>
  <c r="Q964" i="1"/>
  <c r="P964" i="1"/>
  <c r="O964" i="1"/>
  <c r="N964" i="1"/>
  <c r="M964" i="1"/>
  <c r="L964" i="1"/>
  <c r="U963" i="1"/>
  <c r="V963" i="1" s="1"/>
  <c r="T963" i="1"/>
  <c r="S963" i="1"/>
  <c r="R963" i="1"/>
  <c r="P963" i="1"/>
  <c r="O963" i="1"/>
  <c r="N963" i="1"/>
  <c r="Q963" i="1" s="1"/>
  <c r="M963" i="1"/>
  <c r="L963" i="1"/>
  <c r="U962" i="1"/>
  <c r="V962" i="1" s="1"/>
  <c r="T962" i="1"/>
  <c r="S962" i="1"/>
  <c r="R962" i="1"/>
  <c r="P962" i="1"/>
  <c r="O962" i="1"/>
  <c r="N962" i="1"/>
  <c r="Q962" i="1" s="1"/>
  <c r="M962" i="1"/>
  <c r="L962" i="1"/>
  <c r="U961" i="1"/>
  <c r="V961" i="1" s="1"/>
  <c r="T961" i="1"/>
  <c r="S961" i="1"/>
  <c r="R961" i="1"/>
  <c r="Q961" i="1"/>
  <c r="P961" i="1"/>
  <c r="O961" i="1"/>
  <c r="N961" i="1"/>
  <c r="M961" i="1"/>
  <c r="L961" i="1"/>
  <c r="V960" i="1"/>
  <c r="U960" i="1"/>
  <c r="T960" i="1"/>
  <c r="S960" i="1"/>
  <c r="R960" i="1"/>
  <c r="P960" i="1"/>
  <c r="O960" i="1"/>
  <c r="N960" i="1"/>
  <c r="Q960" i="1" s="1"/>
  <c r="M960" i="1"/>
  <c r="L960" i="1"/>
  <c r="V959" i="1"/>
  <c r="U959" i="1"/>
  <c r="T959" i="1"/>
  <c r="S959" i="1"/>
  <c r="R959" i="1"/>
  <c r="P959" i="1"/>
  <c r="O959" i="1"/>
  <c r="N959" i="1"/>
  <c r="Q959" i="1" s="1"/>
  <c r="M959" i="1"/>
  <c r="L959" i="1"/>
  <c r="V958" i="1"/>
  <c r="U958" i="1"/>
  <c r="T958" i="1"/>
  <c r="S958" i="1"/>
  <c r="R958" i="1"/>
  <c r="Q958" i="1"/>
  <c r="P958" i="1"/>
  <c r="O958" i="1"/>
  <c r="N958" i="1"/>
  <c r="M958" i="1"/>
  <c r="L958" i="1"/>
  <c r="U957" i="1"/>
  <c r="T957" i="1"/>
  <c r="S957" i="1"/>
  <c r="R957" i="1"/>
  <c r="Q957" i="1"/>
  <c r="P957" i="1"/>
  <c r="O957" i="1"/>
  <c r="N957" i="1"/>
  <c r="M957" i="1"/>
  <c r="L957" i="1"/>
  <c r="V957" i="1" s="1"/>
  <c r="U956" i="1"/>
  <c r="V956" i="1" s="1"/>
  <c r="T956" i="1"/>
  <c r="S956" i="1"/>
  <c r="R956" i="1"/>
  <c r="Q956" i="1"/>
  <c r="P956" i="1"/>
  <c r="O956" i="1"/>
  <c r="N956" i="1"/>
  <c r="M956" i="1"/>
  <c r="L956" i="1"/>
  <c r="U955" i="1"/>
  <c r="V955" i="1" s="1"/>
  <c r="T955" i="1"/>
  <c r="S955" i="1"/>
  <c r="R955" i="1"/>
  <c r="P955" i="1"/>
  <c r="O955" i="1"/>
  <c r="N955" i="1"/>
  <c r="Q955" i="1" s="1"/>
  <c r="M955" i="1"/>
  <c r="L955" i="1"/>
  <c r="U954" i="1"/>
  <c r="V954" i="1" s="1"/>
  <c r="T954" i="1"/>
  <c r="S954" i="1"/>
  <c r="R954" i="1"/>
  <c r="P954" i="1"/>
  <c r="O954" i="1"/>
  <c r="N954" i="1"/>
  <c r="Q954" i="1" s="1"/>
  <c r="M954" i="1"/>
  <c r="L954" i="1"/>
  <c r="U953" i="1"/>
  <c r="V953" i="1" s="1"/>
  <c r="T953" i="1"/>
  <c r="S953" i="1"/>
  <c r="R953" i="1"/>
  <c r="Q953" i="1"/>
  <c r="P953" i="1"/>
  <c r="O953" i="1"/>
  <c r="N953" i="1"/>
  <c r="M953" i="1"/>
  <c r="L953" i="1"/>
  <c r="V952" i="1"/>
  <c r="U952" i="1"/>
  <c r="T952" i="1"/>
  <c r="S952" i="1"/>
  <c r="R952" i="1"/>
  <c r="P952" i="1"/>
  <c r="O952" i="1"/>
  <c r="N952" i="1"/>
  <c r="Q952" i="1" s="1"/>
  <c r="M952" i="1"/>
  <c r="L952" i="1"/>
  <c r="V951" i="1"/>
  <c r="U951" i="1"/>
  <c r="T951" i="1"/>
  <c r="S951" i="1"/>
  <c r="R951" i="1"/>
  <c r="P951" i="1"/>
  <c r="O951" i="1"/>
  <c r="N951" i="1"/>
  <c r="Q951" i="1" s="1"/>
  <c r="M951" i="1"/>
  <c r="L951" i="1"/>
  <c r="V950" i="1"/>
  <c r="U950" i="1"/>
  <c r="T950" i="1"/>
  <c r="S950" i="1"/>
  <c r="R950" i="1"/>
  <c r="Q950" i="1"/>
  <c r="P950" i="1"/>
  <c r="O950" i="1"/>
  <c r="N950" i="1"/>
  <c r="M950" i="1"/>
  <c r="L950" i="1"/>
  <c r="U949" i="1"/>
  <c r="T949" i="1"/>
  <c r="S949" i="1"/>
  <c r="R949" i="1"/>
  <c r="Q949" i="1"/>
  <c r="P949" i="1"/>
  <c r="O949" i="1"/>
  <c r="N949" i="1"/>
  <c r="M949" i="1"/>
  <c r="L949" i="1"/>
  <c r="V949" i="1" s="1"/>
  <c r="U948" i="1"/>
  <c r="V948" i="1" s="1"/>
  <c r="T948" i="1"/>
  <c r="S948" i="1"/>
  <c r="R948" i="1"/>
  <c r="Q948" i="1"/>
  <c r="P948" i="1"/>
  <c r="O948" i="1"/>
  <c r="N948" i="1"/>
  <c r="M948" i="1"/>
  <c r="L948" i="1"/>
  <c r="U947" i="1"/>
  <c r="V947" i="1" s="1"/>
  <c r="T947" i="1"/>
  <c r="S947" i="1"/>
  <c r="R947" i="1"/>
  <c r="P947" i="1"/>
  <c r="O947" i="1"/>
  <c r="N947" i="1"/>
  <c r="Q947" i="1" s="1"/>
  <c r="M947" i="1"/>
  <c r="L947" i="1"/>
  <c r="U946" i="1"/>
  <c r="V946" i="1" s="1"/>
  <c r="T946" i="1"/>
  <c r="S946" i="1"/>
  <c r="R946" i="1"/>
  <c r="P946" i="1"/>
  <c r="O946" i="1"/>
  <c r="N946" i="1"/>
  <c r="Q946" i="1" s="1"/>
  <c r="M946" i="1"/>
  <c r="L946" i="1"/>
  <c r="U945" i="1"/>
  <c r="V945" i="1" s="1"/>
  <c r="T945" i="1"/>
  <c r="S945" i="1"/>
  <c r="R945" i="1"/>
  <c r="Q945" i="1"/>
  <c r="P945" i="1"/>
  <c r="O945" i="1"/>
  <c r="N945" i="1"/>
  <c r="M945" i="1"/>
  <c r="L945" i="1"/>
  <c r="V944" i="1"/>
  <c r="U944" i="1"/>
  <c r="T944" i="1"/>
  <c r="S944" i="1"/>
  <c r="R944" i="1"/>
  <c r="P944" i="1"/>
  <c r="O944" i="1"/>
  <c r="N944" i="1"/>
  <c r="Q944" i="1" s="1"/>
  <c r="M944" i="1"/>
  <c r="L944" i="1"/>
  <c r="V943" i="1"/>
  <c r="U943" i="1"/>
  <c r="T943" i="1"/>
  <c r="S943" i="1"/>
  <c r="R943" i="1"/>
  <c r="P943" i="1"/>
  <c r="O943" i="1"/>
  <c r="N943" i="1"/>
  <c r="Q943" i="1" s="1"/>
  <c r="M943" i="1"/>
  <c r="L943" i="1"/>
  <c r="V942" i="1"/>
  <c r="U942" i="1"/>
  <c r="T942" i="1"/>
  <c r="S942" i="1"/>
  <c r="R942" i="1"/>
  <c r="Q942" i="1"/>
  <c r="P942" i="1"/>
  <c r="O942" i="1"/>
  <c r="N942" i="1"/>
  <c r="M942" i="1"/>
  <c r="L942" i="1"/>
  <c r="U941" i="1"/>
  <c r="T941" i="1"/>
  <c r="S941" i="1"/>
  <c r="R941" i="1"/>
  <c r="Q941" i="1"/>
  <c r="P941" i="1"/>
  <c r="O941" i="1"/>
  <c r="N941" i="1"/>
  <c r="M941" i="1"/>
  <c r="L941" i="1"/>
  <c r="V941" i="1" s="1"/>
  <c r="U940" i="1"/>
  <c r="V940" i="1" s="1"/>
  <c r="T940" i="1"/>
  <c r="S940" i="1"/>
  <c r="R940" i="1"/>
  <c r="Q940" i="1"/>
  <c r="P940" i="1"/>
  <c r="O940" i="1"/>
  <c r="N940" i="1"/>
  <c r="M940" i="1"/>
  <c r="L940" i="1"/>
  <c r="U939" i="1"/>
  <c r="V939" i="1" s="1"/>
  <c r="T939" i="1"/>
  <c r="S939" i="1"/>
  <c r="R939" i="1"/>
  <c r="P939" i="1"/>
  <c r="O939" i="1"/>
  <c r="N939" i="1"/>
  <c r="Q939" i="1" s="1"/>
  <c r="M939" i="1"/>
  <c r="L939" i="1"/>
  <c r="U938" i="1"/>
  <c r="V938" i="1" s="1"/>
  <c r="T938" i="1"/>
  <c r="S938" i="1"/>
  <c r="R938" i="1"/>
  <c r="P938" i="1"/>
  <c r="O938" i="1"/>
  <c r="N938" i="1"/>
  <c r="Q938" i="1" s="1"/>
  <c r="M938" i="1"/>
  <c r="L938" i="1"/>
  <c r="U937" i="1"/>
  <c r="V937" i="1" s="1"/>
  <c r="T937" i="1"/>
  <c r="S937" i="1"/>
  <c r="R937" i="1"/>
  <c r="Q937" i="1"/>
  <c r="P937" i="1"/>
  <c r="O937" i="1"/>
  <c r="N937" i="1"/>
  <c r="M937" i="1"/>
  <c r="L937" i="1"/>
  <c r="V936" i="1"/>
  <c r="U936" i="1"/>
  <c r="T936" i="1"/>
  <c r="S936" i="1"/>
  <c r="R936" i="1"/>
  <c r="P936" i="1"/>
  <c r="O936" i="1"/>
  <c r="N936" i="1"/>
  <c r="Q936" i="1" s="1"/>
  <c r="M936" i="1"/>
  <c r="L936" i="1"/>
  <c r="V935" i="1"/>
  <c r="U935" i="1"/>
  <c r="T935" i="1"/>
  <c r="S935" i="1"/>
  <c r="R935" i="1"/>
  <c r="P935" i="1"/>
  <c r="O935" i="1"/>
  <c r="N935" i="1"/>
  <c r="Q935" i="1" s="1"/>
  <c r="M935" i="1"/>
  <c r="L935" i="1"/>
  <c r="V934" i="1"/>
  <c r="U934" i="1"/>
  <c r="T934" i="1"/>
  <c r="S934" i="1"/>
  <c r="R934" i="1"/>
  <c r="Q934" i="1"/>
  <c r="P934" i="1"/>
  <c r="O934" i="1"/>
  <c r="N934" i="1"/>
  <c r="M934" i="1"/>
  <c r="L934" i="1"/>
  <c r="U933" i="1"/>
  <c r="T933" i="1"/>
  <c r="S933" i="1"/>
  <c r="R933" i="1"/>
  <c r="Q933" i="1"/>
  <c r="P933" i="1"/>
  <c r="O933" i="1"/>
  <c r="N933" i="1"/>
  <c r="M933" i="1"/>
  <c r="L933" i="1"/>
  <c r="V933" i="1" s="1"/>
  <c r="U932" i="1"/>
  <c r="V932" i="1" s="1"/>
  <c r="T932" i="1"/>
  <c r="S932" i="1"/>
  <c r="R932" i="1"/>
  <c r="Q932" i="1"/>
  <c r="P932" i="1"/>
  <c r="O932" i="1"/>
  <c r="N932" i="1"/>
  <c r="M932" i="1"/>
  <c r="L932" i="1"/>
  <c r="U931" i="1"/>
  <c r="V931" i="1" s="1"/>
  <c r="T931" i="1"/>
  <c r="S931" i="1"/>
  <c r="R931" i="1"/>
  <c r="P931" i="1"/>
  <c r="O931" i="1"/>
  <c r="N931" i="1"/>
  <c r="Q931" i="1" s="1"/>
  <c r="M931" i="1"/>
  <c r="L931" i="1"/>
  <c r="U930" i="1"/>
  <c r="V930" i="1" s="1"/>
  <c r="T930" i="1"/>
  <c r="S930" i="1"/>
  <c r="R930" i="1"/>
  <c r="P930" i="1"/>
  <c r="O930" i="1"/>
  <c r="N930" i="1"/>
  <c r="Q930" i="1" s="1"/>
  <c r="M930" i="1"/>
  <c r="L930" i="1"/>
  <c r="U929" i="1"/>
  <c r="V929" i="1" s="1"/>
  <c r="T929" i="1"/>
  <c r="S929" i="1"/>
  <c r="R929" i="1"/>
  <c r="Q929" i="1"/>
  <c r="P929" i="1"/>
  <c r="O929" i="1"/>
  <c r="N929" i="1"/>
  <c r="M929" i="1"/>
  <c r="L929" i="1"/>
  <c r="V928" i="1"/>
  <c r="U928" i="1"/>
  <c r="T928" i="1"/>
  <c r="S928" i="1"/>
  <c r="R928" i="1"/>
  <c r="P928" i="1"/>
  <c r="O928" i="1"/>
  <c r="N928" i="1"/>
  <c r="Q928" i="1" s="1"/>
  <c r="M928" i="1"/>
  <c r="L928" i="1"/>
  <c r="V927" i="1"/>
  <c r="U927" i="1"/>
  <c r="T927" i="1"/>
  <c r="S927" i="1"/>
  <c r="R927" i="1"/>
  <c r="P927" i="1"/>
  <c r="O927" i="1"/>
  <c r="N927" i="1"/>
  <c r="Q927" i="1" s="1"/>
  <c r="M927" i="1"/>
  <c r="L927" i="1"/>
  <c r="V926" i="1"/>
  <c r="U926" i="1"/>
  <c r="T926" i="1"/>
  <c r="S926" i="1"/>
  <c r="R926" i="1"/>
  <c r="Q926" i="1"/>
  <c r="P926" i="1"/>
  <c r="O926" i="1"/>
  <c r="N926" i="1"/>
  <c r="M926" i="1"/>
  <c r="L926" i="1"/>
  <c r="U925" i="1"/>
  <c r="T925" i="1"/>
  <c r="S925" i="1"/>
  <c r="R925" i="1"/>
  <c r="Q925" i="1"/>
  <c r="P925" i="1"/>
  <c r="O925" i="1"/>
  <c r="N925" i="1"/>
  <c r="M925" i="1"/>
  <c r="L925" i="1"/>
  <c r="V925" i="1" s="1"/>
  <c r="U924" i="1"/>
  <c r="V924" i="1" s="1"/>
  <c r="T924" i="1"/>
  <c r="S924" i="1"/>
  <c r="R924" i="1"/>
  <c r="Q924" i="1"/>
  <c r="P924" i="1"/>
  <c r="O924" i="1"/>
  <c r="N924" i="1"/>
  <c r="M924" i="1"/>
  <c r="L924" i="1"/>
  <c r="U923" i="1"/>
  <c r="V923" i="1" s="1"/>
  <c r="T923" i="1"/>
  <c r="S923" i="1"/>
  <c r="R923" i="1"/>
  <c r="P923" i="1"/>
  <c r="O923" i="1"/>
  <c r="N923" i="1"/>
  <c r="Q923" i="1" s="1"/>
  <c r="M923" i="1"/>
  <c r="L923" i="1"/>
  <c r="U922" i="1"/>
  <c r="V922" i="1" s="1"/>
  <c r="T922" i="1"/>
  <c r="S922" i="1"/>
  <c r="R922" i="1"/>
  <c r="P922" i="1"/>
  <c r="O922" i="1"/>
  <c r="N922" i="1"/>
  <c r="Q922" i="1" s="1"/>
  <c r="M922" i="1"/>
  <c r="L922" i="1"/>
  <c r="U921" i="1"/>
  <c r="V921" i="1" s="1"/>
  <c r="T921" i="1"/>
  <c r="S921" i="1"/>
  <c r="R921" i="1"/>
  <c r="Q921" i="1"/>
  <c r="P921" i="1"/>
  <c r="O921" i="1"/>
  <c r="N921" i="1"/>
  <c r="M921" i="1"/>
  <c r="L921" i="1"/>
  <c r="V920" i="1"/>
  <c r="U920" i="1"/>
  <c r="T920" i="1"/>
  <c r="S920" i="1"/>
  <c r="R920" i="1"/>
  <c r="P920" i="1"/>
  <c r="O920" i="1"/>
  <c r="N920" i="1"/>
  <c r="Q920" i="1" s="1"/>
  <c r="M920" i="1"/>
  <c r="L920" i="1"/>
  <c r="V919" i="1"/>
  <c r="U919" i="1"/>
  <c r="T919" i="1"/>
  <c r="S919" i="1"/>
  <c r="R919" i="1"/>
  <c r="P919" i="1"/>
  <c r="O919" i="1"/>
  <c r="N919" i="1"/>
  <c r="Q919" i="1" s="1"/>
  <c r="M919" i="1"/>
  <c r="L919" i="1"/>
  <c r="V918" i="1"/>
  <c r="U918" i="1"/>
  <c r="T918" i="1"/>
  <c r="S918" i="1"/>
  <c r="R918" i="1"/>
  <c r="Q918" i="1"/>
  <c r="P918" i="1"/>
  <c r="O918" i="1"/>
  <c r="N918" i="1"/>
  <c r="M918" i="1"/>
  <c r="L918" i="1"/>
  <c r="U917" i="1"/>
  <c r="T917" i="1"/>
  <c r="S917" i="1"/>
  <c r="R917" i="1"/>
  <c r="Q917" i="1"/>
  <c r="P917" i="1"/>
  <c r="O917" i="1"/>
  <c r="N917" i="1"/>
  <c r="M917" i="1"/>
  <c r="L917" i="1"/>
  <c r="V917" i="1" s="1"/>
  <c r="U916" i="1"/>
  <c r="V916" i="1" s="1"/>
  <c r="T916" i="1"/>
  <c r="S916" i="1"/>
  <c r="R916" i="1"/>
  <c r="Q916" i="1"/>
  <c r="P916" i="1"/>
  <c r="O916" i="1"/>
  <c r="N916" i="1"/>
  <c r="M916" i="1"/>
  <c r="L916" i="1"/>
  <c r="U915" i="1"/>
  <c r="V915" i="1" s="1"/>
  <c r="T915" i="1"/>
  <c r="S915" i="1"/>
  <c r="R915" i="1"/>
  <c r="P915" i="1"/>
  <c r="O915" i="1"/>
  <c r="N915" i="1"/>
  <c r="Q915" i="1" s="1"/>
  <c r="M915" i="1"/>
  <c r="L915" i="1"/>
  <c r="U914" i="1"/>
  <c r="V914" i="1" s="1"/>
  <c r="T914" i="1"/>
  <c r="S914" i="1"/>
  <c r="R914" i="1"/>
  <c r="P914" i="1"/>
  <c r="O914" i="1"/>
  <c r="N914" i="1"/>
  <c r="Q914" i="1" s="1"/>
  <c r="M914" i="1"/>
  <c r="L914" i="1"/>
  <c r="U913" i="1"/>
  <c r="V913" i="1" s="1"/>
  <c r="T913" i="1"/>
  <c r="S913" i="1"/>
  <c r="R913" i="1"/>
  <c r="Q913" i="1"/>
  <c r="P913" i="1"/>
  <c r="O913" i="1"/>
  <c r="N913" i="1"/>
  <c r="M913" i="1"/>
  <c r="L913" i="1"/>
  <c r="V912" i="1"/>
  <c r="U912" i="1"/>
  <c r="T912" i="1"/>
  <c r="S912" i="1"/>
  <c r="R912" i="1"/>
  <c r="P912" i="1"/>
  <c r="O912" i="1"/>
  <c r="N912" i="1"/>
  <c r="Q912" i="1" s="1"/>
  <c r="M912" i="1"/>
  <c r="L912" i="1"/>
  <c r="V911" i="1"/>
  <c r="U911" i="1"/>
  <c r="T911" i="1"/>
  <c r="S911" i="1"/>
  <c r="R911" i="1"/>
  <c r="P911" i="1"/>
  <c r="O911" i="1"/>
  <c r="N911" i="1"/>
  <c r="Q911" i="1" s="1"/>
  <c r="M911" i="1"/>
  <c r="L911" i="1"/>
  <c r="V910" i="1"/>
  <c r="U910" i="1"/>
  <c r="T910" i="1"/>
  <c r="S910" i="1"/>
  <c r="R910" i="1"/>
  <c r="Q910" i="1"/>
  <c r="P910" i="1"/>
  <c r="O910" i="1"/>
  <c r="N910" i="1"/>
  <c r="M910" i="1"/>
  <c r="L910" i="1"/>
  <c r="U909" i="1"/>
  <c r="T909" i="1"/>
  <c r="S909" i="1"/>
  <c r="R909" i="1"/>
  <c r="Q909" i="1"/>
  <c r="P909" i="1"/>
  <c r="O909" i="1"/>
  <c r="N909" i="1"/>
  <c r="M909" i="1"/>
  <c r="L909" i="1"/>
  <c r="V909" i="1" s="1"/>
  <c r="U908" i="1"/>
  <c r="V908" i="1" s="1"/>
  <c r="T908" i="1"/>
  <c r="S908" i="1"/>
  <c r="R908" i="1"/>
  <c r="Q908" i="1"/>
  <c r="P908" i="1"/>
  <c r="O908" i="1"/>
  <c r="N908" i="1"/>
  <c r="M908" i="1"/>
  <c r="L908" i="1"/>
  <c r="U907" i="1"/>
  <c r="V907" i="1" s="1"/>
  <c r="T907" i="1"/>
  <c r="S907" i="1"/>
  <c r="R907" i="1"/>
  <c r="P907" i="1"/>
  <c r="O907" i="1"/>
  <c r="N907" i="1"/>
  <c r="Q907" i="1" s="1"/>
  <c r="M907" i="1"/>
  <c r="L907" i="1"/>
  <c r="U906" i="1"/>
  <c r="V906" i="1" s="1"/>
  <c r="T906" i="1"/>
  <c r="S906" i="1"/>
  <c r="R906" i="1"/>
  <c r="P906" i="1"/>
  <c r="O906" i="1"/>
  <c r="N906" i="1"/>
  <c r="Q906" i="1" s="1"/>
  <c r="M906" i="1"/>
  <c r="L906" i="1"/>
  <c r="U905" i="1"/>
  <c r="V905" i="1" s="1"/>
  <c r="T905" i="1"/>
  <c r="S905" i="1"/>
  <c r="R905" i="1"/>
  <c r="Q905" i="1"/>
  <c r="P905" i="1"/>
  <c r="O905" i="1"/>
  <c r="N905" i="1"/>
  <c r="M905" i="1"/>
  <c r="L905" i="1"/>
  <c r="V904" i="1"/>
  <c r="U904" i="1"/>
  <c r="T904" i="1"/>
  <c r="S904" i="1"/>
  <c r="R904" i="1"/>
  <c r="P904" i="1"/>
  <c r="O904" i="1"/>
  <c r="N904" i="1"/>
  <c r="Q904" i="1" s="1"/>
  <c r="M904" i="1"/>
  <c r="L904" i="1"/>
  <c r="V903" i="1"/>
  <c r="U903" i="1"/>
  <c r="T903" i="1"/>
  <c r="S903" i="1"/>
  <c r="R903" i="1"/>
  <c r="P903" i="1"/>
  <c r="O903" i="1"/>
  <c r="N903" i="1"/>
  <c r="Q903" i="1" s="1"/>
  <c r="M903" i="1"/>
  <c r="L903" i="1"/>
  <c r="V902" i="1"/>
  <c r="U902" i="1"/>
  <c r="T902" i="1"/>
  <c r="S902" i="1"/>
  <c r="R902" i="1"/>
  <c r="Q902" i="1"/>
  <c r="P902" i="1"/>
  <c r="O902" i="1"/>
  <c r="N902" i="1"/>
  <c r="M902" i="1"/>
  <c r="L902" i="1"/>
  <c r="U901" i="1"/>
  <c r="T901" i="1"/>
  <c r="S901" i="1"/>
  <c r="R901" i="1"/>
  <c r="Q901" i="1"/>
  <c r="P901" i="1"/>
  <c r="O901" i="1"/>
  <c r="N901" i="1"/>
  <c r="M901" i="1"/>
  <c r="L901" i="1"/>
  <c r="V901" i="1" s="1"/>
  <c r="U900" i="1"/>
  <c r="V900" i="1" s="1"/>
  <c r="T900" i="1"/>
  <c r="S900" i="1"/>
  <c r="R900" i="1"/>
  <c r="Q900" i="1"/>
  <c r="P900" i="1"/>
  <c r="O900" i="1"/>
  <c r="N900" i="1"/>
  <c r="M900" i="1"/>
  <c r="L900" i="1"/>
  <c r="U899" i="1"/>
  <c r="V899" i="1" s="1"/>
  <c r="T899" i="1"/>
  <c r="S899" i="1"/>
  <c r="R899" i="1"/>
  <c r="P899" i="1"/>
  <c r="O899" i="1"/>
  <c r="N899" i="1"/>
  <c r="Q899" i="1" s="1"/>
  <c r="M899" i="1"/>
  <c r="L899" i="1"/>
  <c r="U898" i="1"/>
  <c r="V898" i="1" s="1"/>
  <c r="T898" i="1"/>
  <c r="S898" i="1"/>
  <c r="R898" i="1"/>
  <c r="P898" i="1"/>
  <c r="O898" i="1"/>
  <c r="N898" i="1"/>
  <c r="Q898" i="1" s="1"/>
  <c r="M898" i="1"/>
  <c r="L898" i="1"/>
  <c r="U897" i="1"/>
  <c r="V897" i="1" s="1"/>
  <c r="T897" i="1"/>
  <c r="S897" i="1"/>
  <c r="R897" i="1"/>
  <c r="Q897" i="1"/>
  <c r="P897" i="1"/>
  <c r="O897" i="1"/>
  <c r="N897" i="1"/>
  <c r="M897" i="1"/>
  <c r="L897" i="1"/>
  <c r="V896" i="1"/>
  <c r="U896" i="1"/>
  <c r="T896" i="1"/>
  <c r="S896" i="1"/>
  <c r="R896" i="1"/>
  <c r="P896" i="1"/>
  <c r="O896" i="1"/>
  <c r="N896" i="1"/>
  <c r="Q896" i="1" s="1"/>
  <c r="M896" i="1"/>
  <c r="L896" i="1"/>
  <c r="V895" i="1"/>
  <c r="U895" i="1"/>
  <c r="T895" i="1"/>
  <c r="S895" i="1"/>
  <c r="R895" i="1"/>
  <c r="P895" i="1"/>
  <c r="O895" i="1"/>
  <c r="N895" i="1"/>
  <c r="Q895" i="1" s="1"/>
  <c r="M895" i="1"/>
  <c r="L895" i="1"/>
  <c r="V894" i="1"/>
  <c r="U894" i="1"/>
  <c r="T894" i="1"/>
  <c r="S894" i="1"/>
  <c r="R894" i="1"/>
  <c r="Q894" i="1"/>
  <c r="P894" i="1"/>
  <c r="O894" i="1"/>
  <c r="N894" i="1"/>
  <c r="M894" i="1"/>
  <c r="L894" i="1"/>
  <c r="U893" i="1"/>
  <c r="T893" i="1"/>
  <c r="S893" i="1"/>
  <c r="R893" i="1"/>
  <c r="Q893" i="1"/>
  <c r="P893" i="1"/>
  <c r="O893" i="1"/>
  <c r="N893" i="1"/>
  <c r="M893" i="1"/>
  <c r="L893" i="1"/>
  <c r="V893" i="1" s="1"/>
  <c r="U892" i="1"/>
  <c r="V892" i="1" s="1"/>
  <c r="T892" i="1"/>
  <c r="S892" i="1"/>
  <c r="R892" i="1"/>
  <c r="Q892" i="1"/>
  <c r="P892" i="1"/>
  <c r="O892" i="1"/>
  <c r="N892" i="1"/>
  <c r="M892" i="1"/>
  <c r="L892" i="1"/>
  <c r="U891" i="1"/>
  <c r="V891" i="1" s="1"/>
  <c r="T891" i="1"/>
  <c r="S891" i="1"/>
  <c r="R891" i="1"/>
  <c r="P891" i="1"/>
  <c r="O891" i="1"/>
  <c r="N891" i="1"/>
  <c r="Q891" i="1" s="1"/>
  <c r="M891" i="1"/>
  <c r="L891" i="1"/>
  <c r="U890" i="1"/>
  <c r="V890" i="1" s="1"/>
  <c r="T890" i="1"/>
  <c r="S890" i="1"/>
  <c r="R890" i="1"/>
  <c r="P890" i="1"/>
  <c r="O890" i="1"/>
  <c r="N890" i="1"/>
  <c r="Q890" i="1" s="1"/>
  <c r="M890" i="1"/>
  <c r="L890" i="1"/>
  <c r="U889" i="1"/>
  <c r="V889" i="1" s="1"/>
  <c r="T889" i="1"/>
  <c r="S889" i="1"/>
  <c r="R889" i="1"/>
  <c r="Q889" i="1"/>
  <c r="P889" i="1"/>
  <c r="O889" i="1"/>
  <c r="N889" i="1"/>
  <c r="M889" i="1"/>
  <c r="L889" i="1"/>
  <c r="V888" i="1"/>
  <c r="U888" i="1"/>
  <c r="T888" i="1"/>
  <c r="S888" i="1"/>
  <c r="R888" i="1"/>
  <c r="P888" i="1"/>
  <c r="O888" i="1"/>
  <c r="N888" i="1"/>
  <c r="Q888" i="1" s="1"/>
  <c r="M888" i="1"/>
  <c r="L888" i="1"/>
  <c r="V887" i="1"/>
  <c r="U887" i="1"/>
  <c r="T887" i="1"/>
  <c r="S887" i="1"/>
  <c r="R887" i="1"/>
  <c r="P887" i="1"/>
  <c r="O887" i="1"/>
  <c r="N887" i="1"/>
  <c r="Q887" i="1" s="1"/>
  <c r="M887" i="1"/>
  <c r="L887" i="1"/>
  <c r="V886" i="1"/>
  <c r="U886" i="1"/>
  <c r="T886" i="1"/>
  <c r="S886" i="1"/>
  <c r="R886" i="1"/>
  <c r="Q886" i="1"/>
  <c r="P886" i="1"/>
  <c r="O886" i="1"/>
  <c r="N886" i="1"/>
  <c r="M886" i="1"/>
  <c r="L886" i="1"/>
  <c r="U885" i="1"/>
  <c r="T885" i="1"/>
  <c r="S885" i="1"/>
  <c r="R885" i="1"/>
  <c r="Q885" i="1"/>
  <c r="P885" i="1"/>
  <c r="O885" i="1"/>
  <c r="N885" i="1"/>
  <c r="M885" i="1"/>
  <c r="L885" i="1"/>
  <c r="V885" i="1" s="1"/>
  <c r="U884" i="1"/>
  <c r="V884" i="1" s="1"/>
  <c r="T884" i="1"/>
  <c r="S884" i="1"/>
  <c r="R884" i="1"/>
  <c r="Q884" i="1"/>
  <c r="P884" i="1"/>
  <c r="O884" i="1"/>
  <c r="N884" i="1"/>
  <c r="M884" i="1"/>
  <c r="L884" i="1"/>
  <c r="U883" i="1"/>
  <c r="V883" i="1" s="1"/>
  <c r="T883" i="1"/>
  <c r="S883" i="1"/>
  <c r="R883" i="1"/>
  <c r="P883" i="1"/>
  <c r="O883" i="1"/>
  <c r="N883" i="1"/>
  <c r="Q883" i="1" s="1"/>
  <c r="M883" i="1"/>
  <c r="L883" i="1"/>
  <c r="U882" i="1"/>
  <c r="V882" i="1" s="1"/>
  <c r="T882" i="1"/>
  <c r="S882" i="1"/>
  <c r="R882" i="1"/>
  <c r="P882" i="1"/>
  <c r="O882" i="1"/>
  <c r="N882" i="1"/>
  <c r="Q882" i="1" s="1"/>
  <c r="M882" i="1"/>
  <c r="L882" i="1"/>
  <c r="U881" i="1"/>
  <c r="V881" i="1" s="1"/>
  <c r="T881" i="1"/>
  <c r="S881" i="1"/>
  <c r="R881" i="1"/>
  <c r="Q881" i="1"/>
  <c r="P881" i="1"/>
  <c r="O881" i="1"/>
  <c r="N881" i="1"/>
  <c r="M881" i="1"/>
  <c r="L881" i="1"/>
  <c r="V880" i="1"/>
  <c r="U880" i="1"/>
  <c r="T880" i="1"/>
  <c r="S880" i="1"/>
  <c r="R880" i="1"/>
  <c r="P880" i="1"/>
  <c r="O880" i="1"/>
  <c r="N880" i="1"/>
  <c r="Q880" i="1" s="1"/>
  <c r="M880" i="1"/>
  <c r="L880" i="1"/>
  <c r="V879" i="1"/>
  <c r="U879" i="1"/>
  <c r="T879" i="1"/>
  <c r="S879" i="1"/>
  <c r="R879" i="1"/>
  <c r="P879" i="1"/>
  <c r="O879" i="1"/>
  <c r="N879" i="1"/>
  <c r="Q879" i="1" s="1"/>
  <c r="M879" i="1"/>
  <c r="L879" i="1"/>
  <c r="V878" i="1"/>
  <c r="U878" i="1"/>
  <c r="T878" i="1"/>
  <c r="S878" i="1"/>
  <c r="R878" i="1"/>
  <c r="Q878" i="1"/>
  <c r="P878" i="1"/>
  <c r="O878" i="1"/>
  <c r="N878" i="1"/>
  <c r="M878" i="1"/>
  <c r="L878" i="1"/>
  <c r="U877" i="1"/>
  <c r="T877" i="1"/>
  <c r="S877" i="1"/>
  <c r="R877" i="1"/>
  <c r="Q877" i="1"/>
  <c r="P877" i="1"/>
  <c r="O877" i="1"/>
  <c r="N877" i="1"/>
  <c r="M877" i="1"/>
  <c r="L877" i="1"/>
  <c r="V877" i="1" s="1"/>
  <c r="U876" i="1"/>
  <c r="V876" i="1" s="1"/>
  <c r="T876" i="1"/>
  <c r="S876" i="1"/>
  <c r="R876" i="1"/>
  <c r="Q876" i="1"/>
  <c r="P876" i="1"/>
  <c r="O876" i="1"/>
  <c r="N876" i="1"/>
  <c r="M876" i="1"/>
  <c r="L876" i="1"/>
  <c r="U875" i="1"/>
  <c r="V875" i="1" s="1"/>
  <c r="T875" i="1"/>
  <c r="S875" i="1"/>
  <c r="R875" i="1"/>
  <c r="P875" i="1"/>
  <c r="O875" i="1"/>
  <c r="N875" i="1"/>
  <c r="Q875" i="1" s="1"/>
  <c r="M875" i="1"/>
  <c r="L875" i="1"/>
  <c r="U874" i="1"/>
  <c r="V874" i="1" s="1"/>
  <c r="T874" i="1"/>
  <c r="S874" i="1"/>
  <c r="R874" i="1"/>
  <c r="P874" i="1"/>
  <c r="O874" i="1"/>
  <c r="N874" i="1"/>
  <c r="Q874" i="1" s="1"/>
  <c r="M874" i="1"/>
  <c r="L874" i="1"/>
  <c r="U873" i="1"/>
  <c r="V873" i="1" s="1"/>
  <c r="T873" i="1"/>
  <c r="S873" i="1"/>
  <c r="R873" i="1"/>
  <c r="Q873" i="1"/>
  <c r="P873" i="1"/>
  <c r="O873" i="1"/>
  <c r="N873" i="1"/>
  <c r="M873" i="1"/>
  <c r="L873" i="1"/>
  <c r="V872" i="1"/>
  <c r="U872" i="1"/>
  <c r="T872" i="1"/>
  <c r="S872" i="1"/>
  <c r="R872" i="1"/>
  <c r="P872" i="1"/>
  <c r="O872" i="1"/>
  <c r="N872" i="1"/>
  <c r="Q872" i="1" s="1"/>
  <c r="M872" i="1"/>
  <c r="L872" i="1"/>
  <c r="V871" i="1"/>
  <c r="U871" i="1"/>
  <c r="T871" i="1"/>
  <c r="S871" i="1"/>
  <c r="R871" i="1"/>
  <c r="P871" i="1"/>
  <c r="O871" i="1"/>
  <c r="N871" i="1"/>
  <c r="Q871" i="1" s="1"/>
  <c r="M871" i="1"/>
  <c r="L871" i="1"/>
  <c r="V870" i="1"/>
  <c r="U870" i="1"/>
  <c r="T870" i="1"/>
  <c r="S870" i="1"/>
  <c r="R870" i="1"/>
  <c r="Q870" i="1"/>
  <c r="P870" i="1"/>
  <c r="O870" i="1"/>
  <c r="N870" i="1"/>
  <c r="M870" i="1"/>
  <c r="L870" i="1"/>
  <c r="U869" i="1"/>
  <c r="T869" i="1"/>
  <c r="S869" i="1"/>
  <c r="R869" i="1"/>
  <c r="Q869" i="1"/>
  <c r="P869" i="1"/>
  <c r="O869" i="1"/>
  <c r="N869" i="1"/>
  <c r="M869" i="1"/>
  <c r="L869" i="1"/>
  <c r="V869" i="1" s="1"/>
  <c r="U868" i="1"/>
  <c r="V868" i="1" s="1"/>
  <c r="T868" i="1"/>
  <c r="S868" i="1"/>
  <c r="R868" i="1"/>
  <c r="Q868" i="1"/>
  <c r="P868" i="1"/>
  <c r="O868" i="1"/>
  <c r="N868" i="1"/>
  <c r="M868" i="1"/>
  <c r="L868" i="1"/>
  <c r="U867" i="1"/>
  <c r="V867" i="1" s="1"/>
  <c r="T867" i="1"/>
  <c r="S867" i="1"/>
  <c r="R867" i="1"/>
  <c r="P867" i="1"/>
  <c r="O867" i="1"/>
  <c r="N867" i="1"/>
  <c r="Q867" i="1" s="1"/>
  <c r="M867" i="1"/>
  <c r="L867" i="1"/>
  <c r="U866" i="1"/>
  <c r="V866" i="1" s="1"/>
  <c r="T866" i="1"/>
  <c r="S866" i="1"/>
  <c r="R866" i="1"/>
  <c r="P866" i="1"/>
  <c r="O866" i="1"/>
  <c r="N866" i="1"/>
  <c r="Q866" i="1" s="1"/>
  <c r="M866" i="1"/>
  <c r="L866" i="1"/>
  <c r="U865" i="1"/>
  <c r="V865" i="1" s="1"/>
  <c r="T865" i="1"/>
  <c r="S865" i="1"/>
  <c r="R865" i="1"/>
  <c r="Q865" i="1"/>
  <c r="P865" i="1"/>
  <c r="O865" i="1"/>
  <c r="N865" i="1"/>
  <c r="M865" i="1"/>
  <c r="L865" i="1"/>
  <c r="V864" i="1"/>
  <c r="U864" i="1"/>
  <c r="T864" i="1"/>
  <c r="S864" i="1"/>
  <c r="R864" i="1"/>
  <c r="P864" i="1"/>
  <c r="O864" i="1"/>
  <c r="N864" i="1"/>
  <c r="Q864" i="1" s="1"/>
  <c r="M864" i="1"/>
  <c r="L864" i="1"/>
  <c r="V863" i="1"/>
  <c r="U863" i="1"/>
  <c r="T863" i="1"/>
  <c r="S863" i="1"/>
  <c r="R863" i="1"/>
  <c r="P863" i="1"/>
  <c r="O863" i="1"/>
  <c r="N863" i="1"/>
  <c r="Q863" i="1" s="1"/>
  <c r="M863" i="1"/>
  <c r="L863" i="1"/>
  <c r="V862" i="1"/>
  <c r="U862" i="1"/>
  <c r="T862" i="1"/>
  <c r="S862" i="1"/>
  <c r="R862" i="1"/>
  <c r="Q862" i="1"/>
  <c r="P862" i="1"/>
  <c r="O862" i="1"/>
  <c r="N862" i="1"/>
  <c r="M862" i="1"/>
  <c r="L862" i="1"/>
  <c r="U861" i="1"/>
  <c r="T861" i="1"/>
  <c r="S861" i="1"/>
  <c r="R861" i="1"/>
  <c r="Q861" i="1"/>
  <c r="P861" i="1"/>
  <c r="O861" i="1"/>
  <c r="N861" i="1"/>
  <c r="M861" i="1"/>
  <c r="L861" i="1"/>
  <c r="V861" i="1" s="1"/>
  <c r="U860" i="1"/>
  <c r="V860" i="1" s="1"/>
  <c r="T860" i="1"/>
  <c r="S860" i="1"/>
  <c r="R860" i="1"/>
  <c r="Q860" i="1"/>
  <c r="P860" i="1"/>
  <c r="O860" i="1"/>
  <c r="N860" i="1"/>
  <c r="M860" i="1"/>
  <c r="L860" i="1"/>
  <c r="U859" i="1"/>
  <c r="V859" i="1" s="1"/>
  <c r="T859" i="1"/>
  <c r="S859" i="1"/>
  <c r="R859" i="1"/>
  <c r="P859" i="1"/>
  <c r="O859" i="1"/>
  <c r="N859" i="1"/>
  <c r="Q859" i="1" s="1"/>
  <c r="M859" i="1"/>
  <c r="L859" i="1"/>
  <c r="U858" i="1"/>
  <c r="V858" i="1" s="1"/>
  <c r="T858" i="1"/>
  <c r="S858" i="1"/>
  <c r="R858" i="1"/>
  <c r="P858" i="1"/>
  <c r="O858" i="1"/>
  <c r="N858" i="1"/>
  <c r="Q858" i="1" s="1"/>
  <c r="M858" i="1"/>
  <c r="L858" i="1"/>
  <c r="U857" i="1"/>
  <c r="V857" i="1" s="1"/>
  <c r="T857" i="1"/>
  <c r="S857" i="1"/>
  <c r="R857" i="1"/>
  <c r="Q857" i="1"/>
  <c r="P857" i="1"/>
  <c r="O857" i="1"/>
  <c r="N857" i="1"/>
  <c r="M857" i="1"/>
  <c r="L857" i="1"/>
  <c r="V856" i="1"/>
  <c r="U856" i="1"/>
  <c r="T856" i="1"/>
  <c r="S856" i="1"/>
  <c r="R856" i="1"/>
  <c r="P856" i="1"/>
  <c r="O856" i="1"/>
  <c r="N856" i="1"/>
  <c r="Q856" i="1" s="1"/>
  <c r="M856" i="1"/>
  <c r="L856" i="1"/>
  <c r="V855" i="1"/>
  <c r="U855" i="1"/>
  <c r="T855" i="1"/>
  <c r="S855" i="1"/>
  <c r="R855" i="1"/>
  <c r="P855" i="1"/>
  <c r="O855" i="1"/>
  <c r="N855" i="1"/>
  <c r="Q855" i="1" s="1"/>
  <c r="M855" i="1"/>
  <c r="L855" i="1"/>
  <c r="V854" i="1"/>
  <c r="U854" i="1"/>
  <c r="T854" i="1"/>
  <c r="S854" i="1"/>
  <c r="R854" i="1"/>
  <c r="Q854" i="1"/>
  <c r="P854" i="1"/>
  <c r="O854" i="1"/>
  <c r="N854" i="1"/>
  <c r="M854" i="1"/>
  <c r="L854" i="1"/>
  <c r="U853" i="1"/>
  <c r="T853" i="1"/>
  <c r="S853" i="1"/>
  <c r="R853" i="1"/>
  <c r="Q853" i="1"/>
  <c r="P853" i="1"/>
  <c r="O853" i="1"/>
  <c r="N853" i="1"/>
  <c r="M853" i="1"/>
  <c r="L853" i="1"/>
  <c r="V853" i="1" s="1"/>
  <c r="U852" i="1"/>
  <c r="V852" i="1" s="1"/>
  <c r="T852" i="1"/>
  <c r="S852" i="1"/>
  <c r="R852" i="1"/>
  <c r="Q852" i="1"/>
  <c r="P852" i="1"/>
  <c r="O852" i="1"/>
  <c r="N852" i="1"/>
  <c r="M852" i="1"/>
  <c r="L852" i="1"/>
  <c r="U851" i="1"/>
  <c r="V851" i="1" s="1"/>
  <c r="T851" i="1"/>
  <c r="S851" i="1"/>
  <c r="R851" i="1"/>
  <c r="P851" i="1"/>
  <c r="O851" i="1"/>
  <c r="N851" i="1"/>
  <c r="Q851" i="1" s="1"/>
  <c r="M851" i="1"/>
  <c r="L851" i="1"/>
  <c r="U850" i="1"/>
  <c r="V850" i="1" s="1"/>
  <c r="T850" i="1"/>
  <c r="S850" i="1"/>
  <c r="R850" i="1"/>
  <c r="P850" i="1"/>
  <c r="O850" i="1"/>
  <c r="N850" i="1"/>
  <c r="Q850" i="1" s="1"/>
  <c r="M850" i="1"/>
  <c r="L850" i="1"/>
  <c r="U849" i="1"/>
  <c r="V849" i="1" s="1"/>
  <c r="T849" i="1"/>
  <c r="S849" i="1"/>
  <c r="R849" i="1"/>
  <c r="Q849" i="1"/>
  <c r="P849" i="1"/>
  <c r="O849" i="1"/>
  <c r="N849" i="1"/>
  <c r="M849" i="1"/>
  <c r="L849" i="1"/>
  <c r="V848" i="1"/>
  <c r="U848" i="1"/>
  <c r="T848" i="1"/>
  <c r="S848" i="1"/>
  <c r="R848" i="1"/>
  <c r="P848" i="1"/>
  <c r="O848" i="1"/>
  <c r="N848" i="1"/>
  <c r="Q848" i="1" s="1"/>
  <c r="M848" i="1"/>
  <c r="L848" i="1"/>
  <c r="V847" i="1"/>
  <c r="U847" i="1"/>
  <c r="T847" i="1"/>
  <c r="S847" i="1"/>
  <c r="R847" i="1"/>
  <c r="P847" i="1"/>
  <c r="O847" i="1"/>
  <c r="N847" i="1"/>
  <c r="Q847" i="1" s="1"/>
  <c r="M847" i="1"/>
  <c r="L847" i="1"/>
  <c r="V846" i="1"/>
  <c r="U846" i="1"/>
  <c r="T846" i="1"/>
  <c r="S846" i="1"/>
  <c r="R846" i="1"/>
  <c r="Q846" i="1"/>
  <c r="P846" i="1"/>
  <c r="O846" i="1"/>
  <c r="N846" i="1"/>
  <c r="M846" i="1"/>
  <c r="L846" i="1"/>
  <c r="U845" i="1"/>
  <c r="T845" i="1"/>
  <c r="S845" i="1"/>
  <c r="R845" i="1"/>
  <c r="Q845" i="1"/>
  <c r="P845" i="1"/>
  <c r="O845" i="1"/>
  <c r="N845" i="1"/>
  <c r="M845" i="1"/>
  <c r="L845" i="1"/>
  <c r="V845" i="1" s="1"/>
  <c r="U844" i="1"/>
  <c r="V844" i="1" s="1"/>
  <c r="T844" i="1"/>
  <c r="S844" i="1"/>
  <c r="R844" i="1"/>
  <c r="Q844" i="1"/>
  <c r="P844" i="1"/>
  <c r="O844" i="1"/>
  <c r="N844" i="1"/>
  <c r="M844" i="1"/>
  <c r="L844" i="1"/>
  <c r="U843" i="1"/>
  <c r="V843" i="1" s="1"/>
  <c r="T843" i="1"/>
  <c r="S843" i="1"/>
  <c r="R843" i="1"/>
  <c r="P843" i="1"/>
  <c r="O843" i="1"/>
  <c r="N843" i="1"/>
  <c r="Q843" i="1" s="1"/>
  <c r="M843" i="1"/>
  <c r="L843" i="1"/>
  <c r="U842" i="1"/>
  <c r="V842" i="1" s="1"/>
  <c r="T842" i="1"/>
  <c r="S842" i="1"/>
  <c r="R842" i="1"/>
  <c r="P842" i="1"/>
  <c r="O842" i="1"/>
  <c r="N842" i="1"/>
  <c r="Q842" i="1" s="1"/>
  <c r="M842" i="1"/>
  <c r="L842" i="1"/>
  <c r="U841" i="1"/>
  <c r="V841" i="1" s="1"/>
  <c r="T841" i="1"/>
  <c r="S841" i="1"/>
  <c r="R841" i="1"/>
  <c r="Q841" i="1"/>
  <c r="P841" i="1"/>
  <c r="O841" i="1"/>
  <c r="N841" i="1"/>
  <c r="M841" i="1"/>
  <c r="L841" i="1"/>
  <c r="V840" i="1"/>
  <c r="U840" i="1"/>
  <c r="T840" i="1"/>
  <c r="S840" i="1"/>
  <c r="R840" i="1"/>
  <c r="P840" i="1"/>
  <c r="O840" i="1"/>
  <c r="N840" i="1"/>
  <c r="Q840" i="1" s="1"/>
  <c r="M840" i="1"/>
  <c r="L840" i="1"/>
  <c r="V839" i="1"/>
  <c r="U839" i="1"/>
  <c r="T839" i="1"/>
  <c r="S839" i="1"/>
  <c r="R839" i="1"/>
  <c r="P839" i="1"/>
  <c r="O839" i="1"/>
  <c r="N839" i="1"/>
  <c r="Q839" i="1" s="1"/>
  <c r="M839" i="1"/>
  <c r="L839" i="1"/>
  <c r="V838" i="1"/>
  <c r="U838" i="1"/>
  <c r="T838" i="1"/>
  <c r="S838" i="1"/>
  <c r="R838" i="1"/>
  <c r="Q838" i="1"/>
  <c r="P838" i="1"/>
  <c r="O838" i="1"/>
  <c r="N838" i="1"/>
  <c r="M838" i="1"/>
  <c r="L838" i="1"/>
  <c r="U837" i="1"/>
  <c r="T837" i="1"/>
  <c r="S837" i="1"/>
  <c r="R837" i="1"/>
  <c r="Q837" i="1"/>
  <c r="P837" i="1"/>
  <c r="O837" i="1"/>
  <c r="N837" i="1"/>
  <c r="M837" i="1"/>
  <c r="L837" i="1"/>
  <c r="V837" i="1" s="1"/>
  <c r="U836" i="1"/>
  <c r="V836" i="1" s="1"/>
  <c r="T836" i="1"/>
  <c r="S836" i="1"/>
  <c r="R836" i="1"/>
  <c r="Q836" i="1"/>
  <c r="P836" i="1"/>
  <c r="O836" i="1"/>
  <c r="N836" i="1"/>
  <c r="M836" i="1"/>
  <c r="L836" i="1"/>
  <c r="U835" i="1"/>
  <c r="V835" i="1" s="1"/>
  <c r="T835" i="1"/>
  <c r="S835" i="1"/>
  <c r="R835" i="1"/>
  <c r="P835" i="1"/>
  <c r="O835" i="1"/>
  <c r="N835" i="1"/>
  <c r="Q835" i="1" s="1"/>
  <c r="M835" i="1"/>
  <c r="L835" i="1"/>
  <c r="U834" i="1"/>
  <c r="V834" i="1" s="1"/>
  <c r="T834" i="1"/>
  <c r="S834" i="1"/>
  <c r="R834" i="1"/>
  <c r="P834" i="1"/>
  <c r="O834" i="1"/>
  <c r="N834" i="1"/>
  <c r="Q834" i="1" s="1"/>
  <c r="M834" i="1"/>
  <c r="L834" i="1"/>
  <c r="U833" i="1"/>
  <c r="V833" i="1" s="1"/>
  <c r="T833" i="1"/>
  <c r="S833" i="1"/>
  <c r="R833" i="1"/>
  <c r="Q833" i="1"/>
  <c r="P833" i="1"/>
  <c r="O833" i="1"/>
  <c r="N833" i="1"/>
  <c r="M833" i="1"/>
  <c r="L833" i="1"/>
  <c r="V832" i="1"/>
  <c r="U832" i="1"/>
  <c r="T832" i="1"/>
  <c r="S832" i="1"/>
  <c r="R832" i="1"/>
  <c r="P832" i="1"/>
  <c r="O832" i="1"/>
  <c r="N832" i="1"/>
  <c r="Q832" i="1" s="1"/>
  <c r="M832" i="1"/>
  <c r="L832" i="1"/>
  <c r="V831" i="1"/>
  <c r="U831" i="1"/>
  <c r="T831" i="1"/>
  <c r="S831" i="1"/>
  <c r="R831" i="1"/>
  <c r="P831" i="1"/>
  <c r="O831" i="1"/>
  <c r="N831" i="1"/>
  <c r="Q831" i="1" s="1"/>
  <c r="M831" i="1"/>
  <c r="L831" i="1"/>
  <c r="V830" i="1"/>
  <c r="U830" i="1"/>
  <c r="T830" i="1"/>
  <c r="S830" i="1"/>
  <c r="R830" i="1"/>
  <c r="Q830" i="1"/>
  <c r="P830" i="1"/>
  <c r="O830" i="1"/>
  <c r="N830" i="1"/>
  <c r="M830" i="1"/>
  <c r="L830" i="1"/>
  <c r="U829" i="1"/>
  <c r="T829" i="1"/>
  <c r="S829" i="1"/>
  <c r="R829" i="1"/>
  <c r="Q829" i="1"/>
  <c r="P829" i="1"/>
  <c r="O829" i="1"/>
  <c r="N829" i="1"/>
  <c r="M829" i="1"/>
  <c r="L829" i="1"/>
  <c r="V829" i="1" s="1"/>
  <c r="U828" i="1"/>
  <c r="V828" i="1" s="1"/>
  <c r="T828" i="1"/>
  <c r="S828" i="1"/>
  <c r="R828" i="1"/>
  <c r="Q828" i="1"/>
  <c r="P828" i="1"/>
  <c r="O828" i="1"/>
  <c r="N828" i="1"/>
  <c r="M828" i="1"/>
  <c r="L828" i="1"/>
  <c r="U827" i="1"/>
  <c r="V827" i="1" s="1"/>
  <c r="T827" i="1"/>
  <c r="S827" i="1"/>
  <c r="R827" i="1"/>
  <c r="P827" i="1"/>
  <c r="O827" i="1"/>
  <c r="N827" i="1"/>
  <c r="Q827" i="1" s="1"/>
  <c r="M827" i="1"/>
  <c r="L827" i="1"/>
  <c r="U826" i="1"/>
  <c r="V826" i="1" s="1"/>
  <c r="T826" i="1"/>
  <c r="S826" i="1"/>
  <c r="R826" i="1"/>
  <c r="P826" i="1"/>
  <c r="O826" i="1"/>
  <c r="N826" i="1"/>
  <c r="Q826" i="1" s="1"/>
  <c r="M826" i="1"/>
  <c r="L826" i="1"/>
  <c r="U825" i="1"/>
  <c r="V825" i="1" s="1"/>
  <c r="T825" i="1"/>
  <c r="S825" i="1"/>
  <c r="R825" i="1"/>
  <c r="Q825" i="1"/>
  <c r="P825" i="1"/>
  <c r="O825" i="1"/>
  <c r="N825" i="1"/>
  <c r="M825" i="1"/>
  <c r="L825" i="1"/>
  <c r="V824" i="1"/>
  <c r="U824" i="1"/>
  <c r="T824" i="1"/>
  <c r="S824" i="1"/>
  <c r="R824" i="1"/>
  <c r="P824" i="1"/>
  <c r="O824" i="1"/>
  <c r="N824" i="1"/>
  <c r="Q824" i="1" s="1"/>
  <c r="M824" i="1"/>
  <c r="L824" i="1"/>
  <c r="V823" i="1"/>
  <c r="U823" i="1"/>
  <c r="T823" i="1"/>
  <c r="S823" i="1"/>
  <c r="R823" i="1"/>
  <c r="P823" i="1"/>
  <c r="O823" i="1"/>
  <c r="N823" i="1"/>
  <c r="Q823" i="1" s="1"/>
  <c r="M823" i="1"/>
  <c r="L823" i="1"/>
  <c r="V822" i="1"/>
  <c r="U822" i="1"/>
  <c r="T822" i="1"/>
  <c r="S822" i="1"/>
  <c r="R822" i="1"/>
  <c r="Q822" i="1"/>
  <c r="P822" i="1"/>
  <c r="O822" i="1"/>
  <c r="N822" i="1"/>
  <c r="M822" i="1"/>
  <c r="L822" i="1"/>
  <c r="U821" i="1"/>
  <c r="T821" i="1"/>
  <c r="S821" i="1"/>
  <c r="R821" i="1"/>
  <c r="Q821" i="1"/>
  <c r="P821" i="1"/>
  <c r="O821" i="1"/>
  <c r="N821" i="1"/>
  <c r="M821" i="1"/>
  <c r="L821" i="1"/>
  <c r="V821" i="1" s="1"/>
  <c r="U820" i="1"/>
  <c r="V820" i="1" s="1"/>
  <c r="T820" i="1"/>
  <c r="S820" i="1"/>
  <c r="R820" i="1"/>
  <c r="Q820" i="1"/>
  <c r="P820" i="1"/>
  <c r="O820" i="1"/>
  <c r="N820" i="1"/>
  <c r="M820" i="1"/>
  <c r="L820" i="1"/>
  <c r="U819" i="1"/>
  <c r="V819" i="1" s="1"/>
  <c r="T819" i="1"/>
  <c r="S819" i="1"/>
  <c r="R819" i="1"/>
  <c r="P819" i="1"/>
  <c r="O819" i="1"/>
  <c r="N819" i="1"/>
  <c r="Q819" i="1" s="1"/>
  <c r="M819" i="1"/>
  <c r="L819" i="1"/>
  <c r="U818" i="1"/>
  <c r="V818" i="1" s="1"/>
  <c r="T818" i="1"/>
  <c r="S818" i="1"/>
  <c r="R818" i="1"/>
  <c r="P818" i="1"/>
  <c r="O818" i="1"/>
  <c r="N818" i="1"/>
  <c r="Q818" i="1" s="1"/>
  <c r="M818" i="1"/>
  <c r="L818" i="1"/>
  <c r="U817" i="1"/>
  <c r="V817" i="1" s="1"/>
  <c r="T817" i="1"/>
  <c r="S817" i="1"/>
  <c r="R817" i="1"/>
  <c r="Q817" i="1"/>
  <c r="P817" i="1"/>
  <c r="O817" i="1"/>
  <c r="N817" i="1"/>
  <c r="M817" i="1"/>
  <c r="L817" i="1"/>
  <c r="V816" i="1"/>
  <c r="U816" i="1"/>
  <c r="T816" i="1"/>
  <c r="S816" i="1"/>
  <c r="R816" i="1"/>
  <c r="P816" i="1"/>
  <c r="O816" i="1"/>
  <c r="N816" i="1"/>
  <c r="Q816" i="1" s="1"/>
  <c r="M816" i="1"/>
  <c r="L816" i="1"/>
  <c r="V815" i="1"/>
  <c r="U815" i="1"/>
  <c r="T815" i="1"/>
  <c r="S815" i="1"/>
  <c r="R815" i="1"/>
  <c r="P815" i="1"/>
  <c r="O815" i="1"/>
  <c r="N815" i="1"/>
  <c r="Q815" i="1" s="1"/>
  <c r="M815" i="1"/>
  <c r="L815" i="1"/>
  <c r="V814" i="1"/>
  <c r="U814" i="1"/>
  <c r="T814" i="1"/>
  <c r="S814" i="1"/>
  <c r="R814" i="1"/>
  <c r="Q814" i="1"/>
  <c r="P814" i="1"/>
  <c r="O814" i="1"/>
  <c r="N814" i="1"/>
  <c r="M814" i="1"/>
  <c r="L814" i="1"/>
  <c r="U813" i="1"/>
  <c r="T813" i="1"/>
  <c r="S813" i="1"/>
  <c r="R813" i="1"/>
  <c r="Q813" i="1"/>
  <c r="P813" i="1"/>
  <c r="O813" i="1"/>
  <c r="N813" i="1"/>
  <c r="M813" i="1"/>
  <c r="L813" i="1"/>
  <c r="V813" i="1" s="1"/>
  <c r="U812" i="1"/>
  <c r="V812" i="1" s="1"/>
  <c r="T812" i="1"/>
  <c r="S812" i="1"/>
  <c r="R812" i="1"/>
  <c r="Q812" i="1"/>
  <c r="P812" i="1"/>
  <c r="O812" i="1"/>
  <c r="N812" i="1"/>
  <c r="M812" i="1"/>
  <c r="L812" i="1"/>
  <c r="U811" i="1"/>
  <c r="V811" i="1" s="1"/>
  <c r="T811" i="1"/>
  <c r="S811" i="1"/>
  <c r="R811" i="1"/>
  <c r="P811" i="1"/>
  <c r="O811" i="1"/>
  <c r="N811" i="1"/>
  <c r="Q811" i="1" s="1"/>
  <c r="M811" i="1"/>
  <c r="L811" i="1"/>
  <c r="U810" i="1"/>
  <c r="V810" i="1" s="1"/>
  <c r="T810" i="1"/>
  <c r="S810" i="1"/>
  <c r="R810" i="1"/>
  <c r="P810" i="1"/>
  <c r="O810" i="1"/>
  <c r="N810" i="1"/>
  <c r="Q810" i="1" s="1"/>
  <c r="M810" i="1"/>
  <c r="L810" i="1"/>
  <c r="U809" i="1"/>
  <c r="V809" i="1" s="1"/>
  <c r="T809" i="1"/>
  <c r="S809" i="1"/>
  <c r="R809" i="1"/>
  <c r="Q809" i="1"/>
  <c r="P809" i="1"/>
  <c r="O809" i="1"/>
  <c r="N809" i="1"/>
  <c r="M809" i="1"/>
  <c r="L809" i="1"/>
  <c r="V808" i="1"/>
  <c r="U808" i="1"/>
  <c r="T808" i="1"/>
  <c r="S808" i="1"/>
  <c r="R808" i="1"/>
  <c r="P808" i="1"/>
  <c r="O808" i="1"/>
  <c r="N808" i="1"/>
  <c r="Q808" i="1" s="1"/>
  <c r="M808" i="1"/>
  <c r="L808" i="1"/>
  <c r="V807" i="1"/>
  <c r="U807" i="1"/>
  <c r="T807" i="1"/>
  <c r="S807" i="1"/>
  <c r="R807" i="1"/>
  <c r="P807" i="1"/>
  <c r="O807" i="1"/>
  <c r="N807" i="1"/>
  <c r="Q807" i="1" s="1"/>
  <c r="M807" i="1"/>
  <c r="L807" i="1"/>
  <c r="V806" i="1"/>
  <c r="U806" i="1"/>
  <c r="T806" i="1"/>
  <c r="S806" i="1"/>
  <c r="R806" i="1"/>
  <c r="Q806" i="1"/>
  <c r="P806" i="1"/>
  <c r="O806" i="1"/>
  <c r="N806" i="1"/>
  <c r="M806" i="1"/>
  <c r="L806" i="1"/>
  <c r="U805" i="1"/>
  <c r="T805" i="1"/>
  <c r="S805" i="1"/>
  <c r="R805" i="1"/>
  <c r="Q805" i="1"/>
  <c r="P805" i="1"/>
  <c r="O805" i="1"/>
  <c r="N805" i="1"/>
  <c r="M805" i="1"/>
  <c r="L805" i="1"/>
  <c r="V805" i="1" s="1"/>
  <c r="U804" i="1"/>
  <c r="V804" i="1" s="1"/>
  <c r="T804" i="1"/>
  <c r="S804" i="1"/>
  <c r="R804" i="1"/>
  <c r="Q804" i="1"/>
  <c r="P804" i="1"/>
  <c r="O804" i="1"/>
  <c r="N804" i="1"/>
  <c r="M804" i="1"/>
  <c r="L804" i="1"/>
  <c r="U803" i="1"/>
  <c r="V803" i="1" s="1"/>
  <c r="T803" i="1"/>
  <c r="S803" i="1"/>
  <c r="R803" i="1"/>
  <c r="P803" i="1"/>
  <c r="O803" i="1"/>
  <c r="N803" i="1"/>
  <c r="Q803" i="1" s="1"/>
  <c r="M803" i="1"/>
  <c r="L803" i="1"/>
  <c r="U802" i="1"/>
  <c r="V802" i="1" s="1"/>
  <c r="T802" i="1"/>
  <c r="S802" i="1"/>
  <c r="R802" i="1"/>
  <c r="P802" i="1"/>
  <c r="O802" i="1"/>
  <c r="N802" i="1"/>
  <c r="Q802" i="1" s="1"/>
  <c r="M802" i="1"/>
  <c r="L802" i="1"/>
  <c r="U801" i="1"/>
  <c r="V801" i="1" s="1"/>
  <c r="T801" i="1"/>
  <c r="S801" i="1"/>
  <c r="R801" i="1"/>
  <c r="Q801" i="1"/>
  <c r="P801" i="1"/>
  <c r="O801" i="1"/>
  <c r="N801" i="1"/>
  <c r="M801" i="1"/>
  <c r="L801" i="1"/>
  <c r="V800" i="1"/>
  <c r="U800" i="1"/>
  <c r="T800" i="1"/>
  <c r="S800" i="1"/>
  <c r="R800" i="1"/>
  <c r="P800" i="1"/>
  <c r="O800" i="1"/>
  <c r="N800" i="1"/>
  <c r="Q800" i="1" s="1"/>
  <c r="M800" i="1"/>
  <c r="L800" i="1"/>
  <c r="V799" i="1"/>
  <c r="U799" i="1"/>
  <c r="T799" i="1"/>
  <c r="S799" i="1"/>
  <c r="R799" i="1"/>
  <c r="P799" i="1"/>
  <c r="O799" i="1"/>
  <c r="N799" i="1"/>
  <c r="Q799" i="1" s="1"/>
  <c r="M799" i="1"/>
  <c r="L799" i="1"/>
  <c r="V798" i="1"/>
  <c r="U798" i="1"/>
  <c r="T798" i="1"/>
  <c r="S798" i="1"/>
  <c r="R798" i="1"/>
  <c r="Q798" i="1"/>
  <c r="P798" i="1"/>
  <c r="O798" i="1"/>
  <c r="N798" i="1"/>
  <c r="M798" i="1"/>
  <c r="L798" i="1"/>
  <c r="U797" i="1"/>
  <c r="T797" i="1"/>
  <c r="S797" i="1"/>
  <c r="R797" i="1"/>
  <c r="Q797" i="1"/>
  <c r="P797" i="1"/>
  <c r="O797" i="1"/>
  <c r="N797" i="1"/>
  <c r="M797" i="1"/>
  <c r="L797" i="1"/>
  <c r="V797" i="1" s="1"/>
  <c r="U796" i="1"/>
  <c r="V796" i="1" s="1"/>
  <c r="T796" i="1"/>
  <c r="S796" i="1"/>
  <c r="R796" i="1"/>
  <c r="Q796" i="1"/>
  <c r="P796" i="1"/>
  <c r="O796" i="1"/>
  <c r="N796" i="1"/>
  <c r="M796" i="1"/>
  <c r="L796" i="1"/>
  <c r="U795" i="1"/>
  <c r="V795" i="1" s="1"/>
  <c r="T795" i="1"/>
  <c r="S795" i="1"/>
  <c r="R795" i="1"/>
  <c r="P795" i="1"/>
  <c r="O795" i="1"/>
  <c r="N795" i="1"/>
  <c r="Q795" i="1" s="1"/>
  <c r="M795" i="1"/>
  <c r="L795" i="1"/>
  <c r="U794" i="1"/>
  <c r="V794" i="1" s="1"/>
  <c r="T794" i="1"/>
  <c r="S794" i="1"/>
  <c r="R794" i="1"/>
  <c r="P794" i="1"/>
  <c r="O794" i="1"/>
  <c r="N794" i="1"/>
  <c r="Q794" i="1" s="1"/>
  <c r="M794" i="1"/>
  <c r="L794" i="1"/>
  <c r="U793" i="1"/>
  <c r="V793" i="1" s="1"/>
  <c r="T793" i="1"/>
  <c r="S793" i="1"/>
  <c r="R793" i="1"/>
  <c r="Q793" i="1"/>
  <c r="P793" i="1"/>
  <c r="O793" i="1"/>
  <c r="N793" i="1"/>
  <c r="M793" i="1"/>
  <c r="L793" i="1"/>
  <c r="V792" i="1"/>
  <c r="U792" i="1"/>
  <c r="T792" i="1"/>
  <c r="S792" i="1"/>
  <c r="R792" i="1"/>
  <c r="P792" i="1"/>
  <c r="O792" i="1"/>
  <c r="N792" i="1"/>
  <c r="Q792" i="1" s="1"/>
  <c r="M792" i="1"/>
  <c r="L792" i="1"/>
  <c r="V791" i="1"/>
  <c r="U791" i="1"/>
  <c r="T791" i="1"/>
  <c r="S791" i="1"/>
  <c r="R791" i="1"/>
  <c r="P791" i="1"/>
  <c r="O791" i="1"/>
  <c r="N791" i="1"/>
  <c r="Q791" i="1" s="1"/>
  <c r="M791" i="1"/>
  <c r="L791" i="1"/>
  <c r="V790" i="1"/>
  <c r="U790" i="1"/>
  <c r="T790" i="1"/>
  <c r="S790" i="1"/>
  <c r="R790" i="1"/>
  <c r="Q790" i="1"/>
  <c r="P790" i="1"/>
  <c r="O790" i="1"/>
  <c r="N790" i="1"/>
  <c r="M790" i="1"/>
  <c r="L790" i="1"/>
  <c r="U789" i="1"/>
  <c r="T789" i="1"/>
  <c r="S789" i="1"/>
  <c r="R789" i="1"/>
  <c r="Q789" i="1"/>
  <c r="P789" i="1"/>
  <c r="O789" i="1"/>
  <c r="N789" i="1"/>
  <c r="M789" i="1"/>
  <c r="L789" i="1"/>
  <c r="V789" i="1" s="1"/>
  <c r="U788" i="1"/>
  <c r="V788" i="1" s="1"/>
  <c r="T788" i="1"/>
  <c r="S788" i="1"/>
  <c r="R788" i="1"/>
  <c r="Q788" i="1"/>
  <c r="P788" i="1"/>
  <c r="O788" i="1"/>
  <c r="N788" i="1"/>
  <c r="M788" i="1"/>
  <c r="L788" i="1"/>
  <c r="U787" i="1"/>
  <c r="V787" i="1" s="1"/>
  <c r="T787" i="1"/>
  <c r="S787" i="1"/>
  <c r="R787" i="1"/>
  <c r="P787" i="1"/>
  <c r="O787" i="1"/>
  <c r="N787" i="1"/>
  <c r="Q787" i="1" s="1"/>
  <c r="M787" i="1"/>
  <c r="L787" i="1"/>
  <c r="U786" i="1"/>
  <c r="V786" i="1" s="1"/>
  <c r="T786" i="1"/>
  <c r="S786" i="1"/>
  <c r="R786" i="1"/>
  <c r="P786" i="1"/>
  <c r="O786" i="1"/>
  <c r="N786" i="1"/>
  <c r="Q786" i="1" s="1"/>
  <c r="M786" i="1"/>
  <c r="L786" i="1"/>
  <c r="U785" i="1"/>
  <c r="V785" i="1" s="1"/>
  <c r="T785" i="1"/>
  <c r="S785" i="1"/>
  <c r="R785" i="1"/>
  <c r="Q785" i="1"/>
  <c r="P785" i="1"/>
  <c r="O785" i="1"/>
  <c r="N785" i="1"/>
  <c r="M785" i="1"/>
  <c r="L785" i="1"/>
  <c r="V784" i="1"/>
  <c r="U784" i="1"/>
  <c r="T784" i="1"/>
  <c r="S784" i="1"/>
  <c r="R784" i="1"/>
  <c r="P784" i="1"/>
  <c r="O784" i="1"/>
  <c r="N784" i="1"/>
  <c r="Q784" i="1" s="1"/>
  <c r="M784" i="1"/>
  <c r="L784" i="1"/>
  <c r="V783" i="1"/>
  <c r="U783" i="1"/>
  <c r="T783" i="1"/>
  <c r="S783" i="1"/>
  <c r="R783" i="1"/>
  <c r="P783" i="1"/>
  <c r="O783" i="1"/>
  <c r="N783" i="1"/>
  <c r="Q783" i="1" s="1"/>
  <c r="M783" i="1"/>
  <c r="L783" i="1"/>
  <c r="V782" i="1"/>
  <c r="U782" i="1"/>
  <c r="T782" i="1"/>
  <c r="S782" i="1"/>
  <c r="R782" i="1"/>
  <c r="Q782" i="1"/>
  <c r="P782" i="1"/>
  <c r="O782" i="1"/>
  <c r="N782" i="1"/>
  <c r="M782" i="1"/>
  <c r="L782" i="1"/>
  <c r="U781" i="1"/>
  <c r="T781" i="1"/>
  <c r="S781" i="1"/>
  <c r="R781" i="1"/>
  <c r="Q781" i="1"/>
  <c r="P781" i="1"/>
  <c r="O781" i="1"/>
  <c r="N781" i="1"/>
  <c r="M781" i="1"/>
  <c r="L781" i="1"/>
  <c r="V781" i="1" s="1"/>
  <c r="U780" i="1"/>
  <c r="V780" i="1" s="1"/>
  <c r="T780" i="1"/>
  <c r="S780" i="1"/>
  <c r="R780" i="1"/>
  <c r="Q780" i="1"/>
  <c r="P780" i="1"/>
  <c r="O780" i="1"/>
  <c r="N780" i="1"/>
  <c r="M780" i="1"/>
  <c r="L780" i="1"/>
  <c r="U779" i="1"/>
  <c r="V779" i="1" s="1"/>
  <c r="T779" i="1"/>
  <c r="S779" i="1"/>
  <c r="R779" i="1"/>
  <c r="P779" i="1"/>
  <c r="O779" i="1"/>
  <c r="N779" i="1"/>
  <c r="Q779" i="1" s="1"/>
  <c r="M779" i="1"/>
  <c r="L779" i="1"/>
  <c r="U778" i="1"/>
  <c r="V778" i="1" s="1"/>
  <c r="T778" i="1"/>
  <c r="S778" i="1"/>
  <c r="R778" i="1"/>
  <c r="P778" i="1"/>
  <c r="O778" i="1"/>
  <c r="N778" i="1"/>
  <c r="Q778" i="1" s="1"/>
  <c r="M778" i="1"/>
  <c r="L778" i="1"/>
  <c r="U777" i="1"/>
  <c r="V777" i="1" s="1"/>
  <c r="T777" i="1"/>
  <c r="S777" i="1"/>
  <c r="R777" i="1"/>
  <c r="Q777" i="1"/>
  <c r="P777" i="1"/>
  <c r="O777" i="1"/>
  <c r="N777" i="1"/>
  <c r="M777" i="1"/>
  <c r="L777" i="1"/>
  <c r="V776" i="1"/>
  <c r="U776" i="1"/>
  <c r="T776" i="1"/>
  <c r="S776" i="1"/>
  <c r="R776" i="1"/>
  <c r="P776" i="1"/>
  <c r="O776" i="1"/>
  <c r="N776" i="1"/>
  <c r="Q776" i="1" s="1"/>
  <c r="M776" i="1"/>
  <c r="L776" i="1"/>
  <c r="V775" i="1"/>
  <c r="U775" i="1"/>
  <c r="T775" i="1"/>
  <c r="S775" i="1"/>
  <c r="R775" i="1"/>
  <c r="P775" i="1"/>
  <c r="O775" i="1"/>
  <c r="N775" i="1"/>
  <c r="Q775" i="1" s="1"/>
  <c r="M775" i="1"/>
  <c r="L775" i="1"/>
  <c r="V774" i="1"/>
  <c r="U774" i="1"/>
  <c r="T774" i="1"/>
  <c r="S774" i="1"/>
  <c r="R774" i="1"/>
  <c r="Q774" i="1"/>
  <c r="P774" i="1"/>
  <c r="O774" i="1"/>
  <c r="N774" i="1"/>
  <c r="M774" i="1"/>
  <c r="L774" i="1"/>
  <c r="U773" i="1"/>
  <c r="T773" i="1"/>
  <c r="S773" i="1"/>
  <c r="R773" i="1"/>
  <c r="Q773" i="1"/>
  <c r="P773" i="1"/>
  <c r="O773" i="1"/>
  <c r="N773" i="1"/>
  <c r="M773" i="1"/>
  <c r="L773" i="1"/>
  <c r="V773" i="1" s="1"/>
  <c r="U772" i="1"/>
  <c r="V772" i="1" s="1"/>
  <c r="T772" i="1"/>
  <c r="S772" i="1"/>
  <c r="R772" i="1"/>
  <c r="Q772" i="1"/>
  <c r="P772" i="1"/>
  <c r="O772" i="1"/>
  <c r="N772" i="1"/>
  <c r="M772" i="1"/>
  <c r="L772" i="1"/>
  <c r="U771" i="1"/>
  <c r="V771" i="1" s="1"/>
  <c r="T771" i="1"/>
  <c r="S771" i="1"/>
  <c r="R771" i="1"/>
  <c r="P771" i="1"/>
  <c r="O771" i="1"/>
  <c r="N771" i="1"/>
  <c r="Q771" i="1" s="1"/>
  <c r="M771" i="1"/>
  <c r="L771" i="1"/>
  <c r="U770" i="1"/>
  <c r="V770" i="1" s="1"/>
  <c r="T770" i="1"/>
  <c r="S770" i="1"/>
  <c r="R770" i="1"/>
  <c r="P770" i="1"/>
  <c r="O770" i="1"/>
  <c r="N770" i="1"/>
  <c r="Q770" i="1" s="1"/>
  <c r="M770" i="1"/>
  <c r="L770" i="1"/>
  <c r="U769" i="1"/>
  <c r="V769" i="1" s="1"/>
  <c r="T769" i="1"/>
  <c r="S769" i="1"/>
  <c r="R769" i="1"/>
  <c r="Q769" i="1"/>
  <c r="P769" i="1"/>
  <c r="O769" i="1"/>
  <c r="N769" i="1"/>
  <c r="M769" i="1"/>
  <c r="L769" i="1"/>
  <c r="V768" i="1"/>
  <c r="U768" i="1"/>
  <c r="T768" i="1"/>
  <c r="S768" i="1"/>
  <c r="R768" i="1"/>
  <c r="P768" i="1"/>
  <c r="O768" i="1"/>
  <c r="N768" i="1"/>
  <c r="Q768" i="1" s="1"/>
  <c r="M768" i="1"/>
  <c r="L768" i="1"/>
  <c r="V767" i="1"/>
  <c r="U767" i="1"/>
  <c r="T767" i="1"/>
  <c r="S767" i="1"/>
  <c r="R767" i="1"/>
  <c r="P767" i="1"/>
  <c r="O767" i="1"/>
  <c r="N767" i="1"/>
  <c r="Q767" i="1" s="1"/>
  <c r="M767" i="1"/>
  <c r="L767" i="1"/>
  <c r="V766" i="1"/>
  <c r="U766" i="1"/>
  <c r="T766" i="1"/>
  <c r="S766" i="1"/>
  <c r="R766" i="1"/>
  <c r="Q766" i="1"/>
  <c r="P766" i="1"/>
  <c r="O766" i="1"/>
  <c r="N766" i="1"/>
  <c r="M766" i="1"/>
  <c r="L766" i="1"/>
  <c r="U765" i="1"/>
  <c r="T765" i="1"/>
  <c r="S765" i="1"/>
  <c r="R765" i="1"/>
  <c r="Q765" i="1"/>
  <c r="P765" i="1"/>
  <c r="O765" i="1"/>
  <c r="N765" i="1"/>
  <c r="M765" i="1"/>
  <c r="L765" i="1"/>
  <c r="V765" i="1" s="1"/>
  <c r="U764" i="1"/>
  <c r="V764" i="1" s="1"/>
  <c r="T764" i="1"/>
  <c r="S764" i="1"/>
  <c r="R764" i="1"/>
  <c r="Q764" i="1"/>
  <c r="P764" i="1"/>
  <c r="O764" i="1"/>
  <c r="N764" i="1"/>
  <c r="M764" i="1"/>
  <c r="L764" i="1"/>
  <c r="U763" i="1"/>
  <c r="V763" i="1" s="1"/>
  <c r="T763" i="1"/>
  <c r="S763" i="1"/>
  <c r="R763" i="1"/>
  <c r="P763" i="1"/>
  <c r="O763" i="1"/>
  <c r="N763" i="1"/>
  <c r="Q763" i="1" s="1"/>
  <c r="M763" i="1"/>
  <c r="L763" i="1"/>
  <c r="U762" i="1"/>
  <c r="V762" i="1" s="1"/>
  <c r="T762" i="1"/>
  <c r="S762" i="1"/>
  <c r="R762" i="1"/>
  <c r="P762" i="1"/>
  <c r="O762" i="1"/>
  <c r="N762" i="1"/>
  <c r="Q762" i="1" s="1"/>
  <c r="M762" i="1"/>
  <c r="L762" i="1"/>
  <c r="U761" i="1"/>
  <c r="V761" i="1" s="1"/>
  <c r="T761" i="1"/>
  <c r="S761" i="1"/>
  <c r="R761" i="1"/>
  <c r="Q761" i="1"/>
  <c r="P761" i="1"/>
  <c r="O761" i="1"/>
  <c r="N761" i="1"/>
  <c r="M761" i="1"/>
  <c r="L761" i="1"/>
  <c r="V760" i="1"/>
  <c r="U760" i="1"/>
  <c r="T760" i="1"/>
  <c r="S760" i="1"/>
  <c r="R760" i="1"/>
  <c r="P760" i="1"/>
  <c r="O760" i="1"/>
  <c r="N760" i="1"/>
  <c r="Q760" i="1" s="1"/>
  <c r="M760" i="1"/>
  <c r="L760" i="1"/>
  <c r="V759" i="1"/>
  <c r="U759" i="1"/>
  <c r="T759" i="1"/>
  <c r="S759" i="1"/>
  <c r="R759" i="1"/>
  <c r="P759" i="1"/>
  <c r="O759" i="1"/>
  <c r="N759" i="1"/>
  <c r="Q759" i="1" s="1"/>
  <c r="M759" i="1"/>
  <c r="L759" i="1"/>
  <c r="V758" i="1"/>
  <c r="U758" i="1"/>
  <c r="T758" i="1"/>
  <c r="S758" i="1"/>
  <c r="R758" i="1"/>
  <c r="Q758" i="1"/>
  <c r="P758" i="1"/>
  <c r="O758" i="1"/>
  <c r="N758" i="1"/>
  <c r="M758" i="1"/>
  <c r="L758" i="1"/>
  <c r="U757" i="1"/>
  <c r="T757" i="1"/>
  <c r="S757" i="1"/>
  <c r="R757" i="1"/>
  <c r="Q757" i="1"/>
  <c r="P757" i="1"/>
  <c r="O757" i="1"/>
  <c r="N757" i="1"/>
  <c r="M757" i="1"/>
  <c r="L757" i="1"/>
  <c r="V757" i="1" s="1"/>
  <c r="U756" i="1"/>
  <c r="V756" i="1" s="1"/>
  <c r="T756" i="1"/>
  <c r="S756" i="1"/>
  <c r="R756" i="1"/>
  <c r="Q756" i="1"/>
  <c r="P756" i="1"/>
  <c r="O756" i="1"/>
  <c r="N756" i="1"/>
  <c r="M756" i="1"/>
  <c r="L756" i="1"/>
  <c r="U755" i="1"/>
  <c r="V755" i="1" s="1"/>
  <c r="T755" i="1"/>
  <c r="S755" i="1"/>
  <c r="R755" i="1"/>
  <c r="P755" i="1"/>
  <c r="O755" i="1"/>
  <c r="N755" i="1"/>
  <c r="Q755" i="1" s="1"/>
  <c r="M755" i="1"/>
  <c r="L755" i="1"/>
  <c r="U754" i="1"/>
  <c r="V754" i="1" s="1"/>
  <c r="T754" i="1"/>
  <c r="S754" i="1"/>
  <c r="R754" i="1"/>
  <c r="P754" i="1"/>
  <c r="O754" i="1"/>
  <c r="N754" i="1"/>
  <c r="Q754" i="1" s="1"/>
  <c r="M754" i="1"/>
  <c r="L754" i="1"/>
  <c r="U753" i="1"/>
  <c r="V753" i="1" s="1"/>
  <c r="T753" i="1"/>
  <c r="S753" i="1"/>
  <c r="R753" i="1"/>
  <c r="Q753" i="1"/>
  <c r="P753" i="1"/>
  <c r="O753" i="1"/>
  <c r="N753" i="1"/>
  <c r="M753" i="1"/>
  <c r="L753" i="1"/>
  <c r="V752" i="1"/>
  <c r="U752" i="1"/>
  <c r="T752" i="1"/>
  <c r="S752" i="1"/>
  <c r="R752" i="1"/>
  <c r="P752" i="1"/>
  <c r="O752" i="1"/>
  <c r="N752" i="1"/>
  <c r="Q752" i="1" s="1"/>
  <c r="M752" i="1"/>
  <c r="L752" i="1"/>
  <c r="V751" i="1"/>
  <c r="U751" i="1"/>
  <c r="T751" i="1"/>
  <c r="S751" i="1"/>
  <c r="R751" i="1"/>
  <c r="P751" i="1"/>
  <c r="O751" i="1"/>
  <c r="N751" i="1"/>
  <c r="Q751" i="1" s="1"/>
  <c r="M751" i="1"/>
  <c r="L751" i="1"/>
  <c r="V750" i="1"/>
  <c r="U750" i="1"/>
  <c r="T750" i="1"/>
  <c r="S750" i="1"/>
  <c r="R750" i="1"/>
  <c r="Q750" i="1"/>
  <c r="P750" i="1"/>
  <c r="O750" i="1"/>
  <c r="N750" i="1"/>
  <c r="M750" i="1"/>
  <c r="L750" i="1"/>
  <c r="U749" i="1"/>
  <c r="T749" i="1"/>
  <c r="S749" i="1"/>
  <c r="R749" i="1"/>
  <c r="Q749" i="1"/>
  <c r="P749" i="1"/>
  <c r="O749" i="1"/>
  <c r="N749" i="1"/>
  <c r="M749" i="1"/>
  <c r="L749" i="1"/>
  <c r="V749" i="1" s="1"/>
  <c r="U748" i="1"/>
  <c r="V748" i="1" s="1"/>
  <c r="T748" i="1"/>
  <c r="S748" i="1"/>
  <c r="R748" i="1"/>
  <c r="Q748" i="1"/>
  <c r="P748" i="1"/>
  <c r="O748" i="1"/>
  <c r="N748" i="1"/>
  <c r="M748" i="1"/>
  <c r="L748" i="1"/>
  <c r="U747" i="1"/>
  <c r="V747" i="1" s="1"/>
  <c r="T747" i="1"/>
  <c r="S747" i="1"/>
  <c r="R747" i="1"/>
  <c r="P747" i="1"/>
  <c r="O747" i="1"/>
  <c r="N747" i="1"/>
  <c r="Q747" i="1" s="1"/>
  <c r="M747" i="1"/>
  <c r="L747" i="1"/>
  <c r="U746" i="1"/>
  <c r="V746" i="1" s="1"/>
  <c r="T746" i="1"/>
  <c r="S746" i="1"/>
  <c r="R746" i="1"/>
  <c r="P746" i="1"/>
  <c r="O746" i="1"/>
  <c r="N746" i="1"/>
  <c r="Q746" i="1" s="1"/>
  <c r="M746" i="1"/>
  <c r="L746" i="1"/>
  <c r="U745" i="1"/>
  <c r="V745" i="1" s="1"/>
  <c r="T745" i="1"/>
  <c r="S745" i="1"/>
  <c r="R745" i="1"/>
  <c r="Q745" i="1"/>
  <c r="P745" i="1"/>
  <c r="O745" i="1"/>
  <c r="N745" i="1"/>
  <c r="M745" i="1"/>
  <c r="L745" i="1"/>
  <c r="V744" i="1"/>
  <c r="U744" i="1"/>
  <c r="T744" i="1"/>
  <c r="S744" i="1"/>
  <c r="R744" i="1"/>
  <c r="P744" i="1"/>
  <c r="O744" i="1"/>
  <c r="N744" i="1"/>
  <c r="Q744" i="1" s="1"/>
  <c r="M744" i="1"/>
  <c r="L744" i="1"/>
  <c r="V743" i="1"/>
  <c r="U743" i="1"/>
  <c r="T743" i="1"/>
  <c r="S743" i="1"/>
  <c r="R743" i="1"/>
  <c r="P743" i="1"/>
  <c r="O743" i="1"/>
  <c r="N743" i="1"/>
  <c r="Q743" i="1" s="1"/>
  <c r="M743" i="1"/>
  <c r="L743" i="1"/>
  <c r="V742" i="1"/>
  <c r="U742" i="1"/>
  <c r="T742" i="1"/>
  <c r="S742" i="1"/>
  <c r="R742" i="1"/>
  <c r="Q742" i="1"/>
  <c r="P742" i="1"/>
  <c r="O742" i="1"/>
  <c r="N742" i="1"/>
  <c r="M742" i="1"/>
  <c r="L742" i="1"/>
  <c r="U741" i="1"/>
  <c r="T741" i="1"/>
  <c r="S741" i="1"/>
  <c r="R741" i="1"/>
  <c r="Q741" i="1"/>
  <c r="P741" i="1"/>
  <c r="O741" i="1"/>
  <c r="N741" i="1"/>
  <c r="M741" i="1"/>
  <c r="L741" i="1"/>
  <c r="V741" i="1" s="1"/>
  <c r="U740" i="1"/>
  <c r="V740" i="1" s="1"/>
  <c r="T740" i="1"/>
  <c r="S740" i="1"/>
  <c r="R740" i="1"/>
  <c r="Q740" i="1"/>
  <c r="P740" i="1"/>
  <c r="O740" i="1"/>
  <c r="N740" i="1"/>
  <c r="M740" i="1"/>
  <c r="L740" i="1"/>
  <c r="U739" i="1"/>
  <c r="V739" i="1" s="1"/>
  <c r="T739" i="1"/>
  <c r="S739" i="1"/>
  <c r="R739" i="1"/>
  <c r="P739" i="1"/>
  <c r="O739" i="1"/>
  <c r="N739" i="1"/>
  <c r="Q739" i="1" s="1"/>
  <c r="M739" i="1"/>
  <c r="L739" i="1"/>
  <c r="U738" i="1"/>
  <c r="V738" i="1" s="1"/>
  <c r="T738" i="1"/>
  <c r="S738" i="1"/>
  <c r="R738" i="1"/>
  <c r="P738" i="1"/>
  <c r="O738" i="1"/>
  <c r="N738" i="1"/>
  <c r="Q738" i="1" s="1"/>
  <c r="M738" i="1"/>
  <c r="L738" i="1"/>
  <c r="U737" i="1"/>
  <c r="V737" i="1" s="1"/>
  <c r="T737" i="1"/>
  <c r="S737" i="1"/>
  <c r="R737" i="1"/>
  <c r="Q737" i="1"/>
  <c r="P737" i="1"/>
  <c r="O737" i="1"/>
  <c r="N737" i="1"/>
  <c r="M737" i="1"/>
  <c r="L737" i="1"/>
  <c r="V736" i="1"/>
  <c r="U736" i="1"/>
  <c r="T736" i="1"/>
  <c r="S736" i="1"/>
  <c r="R736" i="1"/>
  <c r="P736" i="1"/>
  <c r="O736" i="1"/>
  <c r="N736" i="1"/>
  <c r="Q736" i="1" s="1"/>
  <c r="M736" i="1"/>
  <c r="L736" i="1"/>
  <c r="V735" i="1"/>
  <c r="U735" i="1"/>
  <c r="T735" i="1"/>
  <c r="S735" i="1"/>
  <c r="R735" i="1"/>
  <c r="P735" i="1"/>
  <c r="O735" i="1"/>
  <c r="N735" i="1"/>
  <c r="Q735" i="1" s="1"/>
  <c r="M735" i="1"/>
  <c r="L735" i="1"/>
  <c r="V734" i="1"/>
  <c r="U734" i="1"/>
  <c r="T734" i="1"/>
  <c r="S734" i="1"/>
  <c r="R734" i="1"/>
  <c r="Q734" i="1"/>
  <c r="P734" i="1"/>
  <c r="O734" i="1"/>
  <c r="N734" i="1"/>
  <c r="M734" i="1"/>
  <c r="L734" i="1"/>
  <c r="U733" i="1"/>
  <c r="T733" i="1"/>
  <c r="S733" i="1"/>
  <c r="R733" i="1"/>
  <c r="Q733" i="1"/>
  <c r="P733" i="1"/>
  <c r="O733" i="1"/>
  <c r="N733" i="1"/>
  <c r="M733" i="1"/>
  <c r="L733" i="1"/>
  <c r="V733" i="1" s="1"/>
  <c r="U732" i="1"/>
  <c r="V732" i="1" s="1"/>
  <c r="T732" i="1"/>
  <c r="S732" i="1"/>
  <c r="R732" i="1"/>
  <c r="Q732" i="1"/>
  <c r="P732" i="1"/>
  <c r="O732" i="1"/>
  <c r="N732" i="1"/>
  <c r="M732" i="1"/>
  <c r="L732" i="1"/>
  <c r="U731" i="1"/>
  <c r="V731" i="1" s="1"/>
  <c r="T731" i="1"/>
  <c r="S731" i="1"/>
  <c r="R731" i="1"/>
  <c r="P731" i="1"/>
  <c r="O731" i="1"/>
  <c r="N731" i="1"/>
  <c r="Q731" i="1" s="1"/>
  <c r="M731" i="1"/>
  <c r="L731" i="1"/>
  <c r="U730" i="1"/>
  <c r="V730" i="1" s="1"/>
  <c r="T730" i="1"/>
  <c r="S730" i="1"/>
  <c r="R730" i="1"/>
  <c r="P730" i="1"/>
  <c r="O730" i="1"/>
  <c r="N730" i="1"/>
  <c r="Q730" i="1" s="1"/>
  <c r="M730" i="1"/>
  <c r="L730" i="1"/>
  <c r="U729" i="1"/>
  <c r="V729" i="1" s="1"/>
  <c r="T729" i="1"/>
  <c r="S729" i="1"/>
  <c r="R729" i="1"/>
  <c r="Q729" i="1"/>
  <c r="P729" i="1"/>
  <c r="O729" i="1"/>
  <c r="N729" i="1"/>
  <c r="M729" i="1"/>
  <c r="L729" i="1"/>
  <c r="V728" i="1"/>
  <c r="U728" i="1"/>
  <c r="T728" i="1"/>
  <c r="S728" i="1"/>
  <c r="R728" i="1"/>
  <c r="P728" i="1"/>
  <c r="O728" i="1"/>
  <c r="N728" i="1"/>
  <c r="Q728" i="1" s="1"/>
  <c r="M728" i="1"/>
  <c r="L728" i="1"/>
  <c r="V727" i="1"/>
  <c r="U727" i="1"/>
  <c r="T727" i="1"/>
  <c r="S727" i="1"/>
  <c r="R727" i="1"/>
  <c r="P727" i="1"/>
  <c r="O727" i="1"/>
  <c r="N727" i="1"/>
  <c r="Q727" i="1" s="1"/>
  <c r="M727" i="1"/>
  <c r="L727" i="1"/>
  <c r="V726" i="1"/>
  <c r="U726" i="1"/>
  <c r="T726" i="1"/>
  <c r="S726" i="1"/>
  <c r="R726" i="1"/>
  <c r="Q726" i="1"/>
  <c r="P726" i="1"/>
  <c r="O726" i="1"/>
  <c r="N726" i="1"/>
  <c r="M726" i="1"/>
  <c r="L726" i="1"/>
  <c r="U725" i="1"/>
  <c r="T725" i="1"/>
  <c r="S725" i="1"/>
  <c r="R725" i="1"/>
  <c r="Q725" i="1"/>
  <c r="P725" i="1"/>
  <c r="O725" i="1"/>
  <c r="N725" i="1"/>
  <c r="M725" i="1"/>
  <c r="L725" i="1"/>
  <c r="V725" i="1" s="1"/>
  <c r="U724" i="1"/>
  <c r="V724" i="1" s="1"/>
  <c r="T724" i="1"/>
  <c r="S724" i="1"/>
  <c r="R724" i="1"/>
  <c r="Q724" i="1"/>
  <c r="P724" i="1"/>
  <c r="O724" i="1"/>
  <c r="N724" i="1"/>
  <c r="M724" i="1"/>
  <c r="L724" i="1"/>
  <c r="U723" i="1"/>
  <c r="V723" i="1" s="1"/>
  <c r="T723" i="1"/>
  <c r="S723" i="1"/>
  <c r="R723" i="1"/>
  <c r="P723" i="1"/>
  <c r="O723" i="1"/>
  <c r="N723" i="1"/>
  <c r="Q723" i="1" s="1"/>
  <c r="M723" i="1"/>
  <c r="L723" i="1"/>
  <c r="U722" i="1"/>
  <c r="V722" i="1" s="1"/>
  <c r="T722" i="1"/>
  <c r="S722" i="1"/>
  <c r="R722" i="1"/>
  <c r="P722" i="1"/>
  <c r="O722" i="1"/>
  <c r="N722" i="1"/>
  <c r="Q722" i="1" s="1"/>
  <c r="M722" i="1"/>
  <c r="L722" i="1"/>
  <c r="U721" i="1"/>
  <c r="V721" i="1" s="1"/>
  <c r="T721" i="1"/>
  <c r="S721" i="1"/>
  <c r="R721" i="1"/>
  <c r="Q721" i="1"/>
  <c r="P721" i="1"/>
  <c r="O721" i="1"/>
  <c r="N721" i="1"/>
  <c r="M721" i="1"/>
  <c r="L721" i="1"/>
  <c r="V720" i="1"/>
  <c r="U720" i="1"/>
  <c r="T720" i="1"/>
  <c r="S720" i="1"/>
  <c r="R720" i="1"/>
  <c r="P720" i="1"/>
  <c r="O720" i="1"/>
  <c r="N720" i="1"/>
  <c r="Q720" i="1" s="1"/>
  <c r="M720" i="1"/>
  <c r="L720" i="1"/>
  <c r="V719" i="1"/>
  <c r="U719" i="1"/>
  <c r="T719" i="1"/>
  <c r="S719" i="1"/>
  <c r="R719" i="1"/>
  <c r="P719" i="1"/>
  <c r="O719" i="1"/>
  <c r="N719" i="1"/>
  <c r="Q719" i="1" s="1"/>
  <c r="M719" i="1"/>
  <c r="L719" i="1"/>
  <c r="V718" i="1"/>
  <c r="U718" i="1"/>
  <c r="T718" i="1"/>
  <c r="S718" i="1"/>
  <c r="R718" i="1"/>
  <c r="Q718" i="1"/>
  <c r="P718" i="1"/>
  <c r="O718" i="1"/>
  <c r="N718" i="1"/>
  <c r="M718" i="1"/>
  <c r="L718" i="1"/>
  <c r="U717" i="1"/>
  <c r="T717" i="1"/>
  <c r="S717" i="1"/>
  <c r="R717" i="1"/>
  <c r="Q717" i="1"/>
  <c r="P717" i="1"/>
  <c r="O717" i="1"/>
  <c r="N717" i="1"/>
  <c r="M717" i="1"/>
  <c r="L717" i="1"/>
  <c r="V717" i="1" s="1"/>
  <c r="U716" i="1"/>
  <c r="V716" i="1" s="1"/>
  <c r="T716" i="1"/>
  <c r="S716" i="1"/>
  <c r="R716" i="1"/>
  <c r="Q716" i="1"/>
  <c r="P716" i="1"/>
  <c r="O716" i="1"/>
  <c r="N716" i="1"/>
  <c r="M716" i="1"/>
  <c r="L716" i="1"/>
  <c r="U715" i="1"/>
  <c r="V715" i="1" s="1"/>
  <c r="T715" i="1"/>
  <c r="S715" i="1"/>
  <c r="R715" i="1"/>
  <c r="P715" i="1"/>
  <c r="O715" i="1"/>
  <c r="N715" i="1"/>
  <c r="Q715" i="1" s="1"/>
  <c r="M715" i="1"/>
  <c r="L715" i="1"/>
  <c r="U714" i="1"/>
  <c r="V714" i="1" s="1"/>
  <c r="T714" i="1"/>
  <c r="S714" i="1"/>
  <c r="R714" i="1"/>
  <c r="P714" i="1"/>
  <c r="O714" i="1"/>
  <c r="N714" i="1"/>
  <c r="Q714" i="1" s="1"/>
  <c r="M714" i="1"/>
  <c r="L714" i="1"/>
  <c r="U713" i="1"/>
  <c r="V713" i="1" s="1"/>
  <c r="T713" i="1"/>
  <c r="S713" i="1"/>
  <c r="R713" i="1"/>
  <c r="Q713" i="1"/>
  <c r="P713" i="1"/>
  <c r="O713" i="1"/>
  <c r="N713" i="1"/>
  <c r="M713" i="1"/>
  <c r="L713" i="1"/>
  <c r="V712" i="1"/>
  <c r="U712" i="1"/>
  <c r="T712" i="1"/>
  <c r="S712" i="1"/>
  <c r="R712" i="1"/>
  <c r="P712" i="1"/>
  <c r="O712" i="1"/>
  <c r="N712" i="1"/>
  <c r="Q712" i="1" s="1"/>
  <c r="M712" i="1"/>
  <c r="L712" i="1"/>
  <c r="V711" i="1"/>
  <c r="U711" i="1"/>
  <c r="T711" i="1"/>
  <c r="S711" i="1"/>
  <c r="R711" i="1"/>
  <c r="P711" i="1"/>
  <c r="O711" i="1"/>
  <c r="N711" i="1"/>
  <c r="Q711" i="1" s="1"/>
  <c r="M711" i="1"/>
  <c r="L711" i="1"/>
  <c r="V710" i="1"/>
  <c r="U710" i="1"/>
  <c r="T710" i="1"/>
  <c r="S710" i="1"/>
  <c r="R710" i="1"/>
  <c r="Q710" i="1"/>
  <c r="P710" i="1"/>
  <c r="O710" i="1"/>
  <c r="N710" i="1"/>
  <c r="M710" i="1"/>
  <c r="L710" i="1"/>
  <c r="U709" i="1"/>
  <c r="T709" i="1"/>
  <c r="S709" i="1"/>
  <c r="R709" i="1"/>
  <c r="Q709" i="1"/>
  <c r="P709" i="1"/>
  <c r="O709" i="1"/>
  <c r="N709" i="1"/>
  <c r="M709" i="1"/>
  <c r="L709" i="1"/>
  <c r="V709" i="1" s="1"/>
  <c r="U708" i="1"/>
  <c r="V708" i="1" s="1"/>
  <c r="T708" i="1"/>
  <c r="S708" i="1"/>
  <c r="R708" i="1"/>
  <c r="Q708" i="1"/>
  <c r="P708" i="1"/>
  <c r="O708" i="1"/>
  <c r="N708" i="1"/>
  <c r="M708" i="1"/>
  <c r="L708" i="1"/>
  <c r="U707" i="1"/>
  <c r="V707" i="1" s="1"/>
  <c r="T707" i="1"/>
  <c r="S707" i="1"/>
  <c r="R707" i="1"/>
  <c r="P707" i="1"/>
  <c r="O707" i="1"/>
  <c r="N707" i="1"/>
  <c r="Q707" i="1" s="1"/>
  <c r="M707" i="1"/>
  <c r="L707" i="1"/>
  <c r="U706" i="1"/>
  <c r="V706" i="1" s="1"/>
  <c r="T706" i="1"/>
  <c r="S706" i="1"/>
  <c r="R706" i="1"/>
  <c r="P706" i="1"/>
  <c r="O706" i="1"/>
  <c r="N706" i="1"/>
  <c r="Q706" i="1" s="1"/>
  <c r="M706" i="1"/>
  <c r="L706" i="1"/>
  <c r="U705" i="1"/>
  <c r="V705" i="1" s="1"/>
  <c r="T705" i="1"/>
  <c r="S705" i="1"/>
  <c r="R705" i="1"/>
  <c r="Q705" i="1"/>
  <c r="P705" i="1"/>
  <c r="O705" i="1"/>
  <c r="N705" i="1"/>
  <c r="M705" i="1"/>
  <c r="L705" i="1"/>
  <c r="V704" i="1"/>
  <c r="U704" i="1"/>
  <c r="T704" i="1"/>
  <c r="S704" i="1"/>
  <c r="R704" i="1"/>
  <c r="P704" i="1"/>
  <c r="O704" i="1"/>
  <c r="N704" i="1"/>
  <c r="Q704" i="1" s="1"/>
  <c r="M704" i="1"/>
  <c r="L704" i="1"/>
  <c r="V703" i="1"/>
  <c r="U703" i="1"/>
  <c r="T703" i="1"/>
  <c r="S703" i="1"/>
  <c r="R703" i="1"/>
  <c r="P703" i="1"/>
  <c r="O703" i="1"/>
  <c r="N703" i="1"/>
  <c r="Q703" i="1" s="1"/>
  <c r="M703" i="1"/>
  <c r="L703" i="1"/>
  <c r="V702" i="1"/>
  <c r="U702" i="1"/>
  <c r="T702" i="1"/>
  <c r="S702" i="1"/>
  <c r="R702" i="1"/>
  <c r="Q702" i="1"/>
  <c r="P702" i="1"/>
  <c r="O702" i="1"/>
  <c r="N702" i="1"/>
  <c r="M702" i="1"/>
  <c r="L702" i="1"/>
  <c r="U701" i="1"/>
  <c r="T701" i="1"/>
  <c r="S701" i="1"/>
  <c r="R701" i="1"/>
  <c r="Q701" i="1"/>
  <c r="P701" i="1"/>
  <c r="O701" i="1"/>
  <c r="N701" i="1"/>
  <c r="M701" i="1"/>
  <c r="L701" i="1"/>
  <c r="V701" i="1" s="1"/>
  <c r="U700" i="1"/>
  <c r="V700" i="1" s="1"/>
  <c r="T700" i="1"/>
  <c r="S700" i="1"/>
  <c r="R700" i="1"/>
  <c r="Q700" i="1"/>
  <c r="P700" i="1"/>
  <c r="O700" i="1"/>
  <c r="N700" i="1"/>
  <c r="M700" i="1"/>
  <c r="L700" i="1"/>
  <c r="U699" i="1"/>
  <c r="V699" i="1" s="1"/>
  <c r="T699" i="1"/>
  <c r="S699" i="1"/>
  <c r="R699" i="1"/>
  <c r="P699" i="1"/>
  <c r="O699" i="1"/>
  <c r="N699" i="1"/>
  <c r="Q699" i="1" s="1"/>
  <c r="M699" i="1"/>
  <c r="L699" i="1"/>
  <c r="U698" i="1"/>
  <c r="V698" i="1" s="1"/>
  <c r="T698" i="1"/>
  <c r="S698" i="1"/>
  <c r="R698" i="1"/>
  <c r="P698" i="1"/>
  <c r="O698" i="1"/>
  <c r="N698" i="1"/>
  <c r="Q698" i="1" s="1"/>
  <c r="M698" i="1"/>
  <c r="L698" i="1"/>
  <c r="U697" i="1"/>
  <c r="V697" i="1" s="1"/>
  <c r="T697" i="1"/>
  <c r="S697" i="1"/>
  <c r="R697" i="1"/>
  <c r="Q697" i="1"/>
  <c r="P697" i="1"/>
  <c r="O697" i="1"/>
  <c r="N697" i="1"/>
  <c r="M697" i="1"/>
  <c r="L697" i="1"/>
  <c r="V696" i="1"/>
  <c r="U696" i="1"/>
  <c r="T696" i="1"/>
  <c r="S696" i="1"/>
  <c r="R696" i="1"/>
  <c r="P696" i="1"/>
  <c r="O696" i="1"/>
  <c r="N696" i="1"/>
  <c r="Q696" i="1" s="1"/>
  <c r="M696" i="1"/>
  <c r="L696" i="1"/>
  <c r="V695" i="1"/>
  <c r="U695" i="1"/>
  <c r="T695" i="1"/>
  <c r="S695" i="1"/>
  <c r="R695" i="1"/>
  <c r="P695" i="1"/>
  <c r="O695" i="1"/>
  <c r="N695" i="1"/>
  <c r="Q695" i="1" s="1"/>
  <c r="M695" i="1"/>
  <c r="L695" i="1"/>
  <c r="V694" i="1"/>
  <c r="U694" i="1"/>
  <c r="T694" i="1"/>
  <c r="S694" i="1"/>
  <c r="R694" i="1"/>
  <c r="Q694" i="1"/>
  <c r="P694" i="1"/>
  <c r="O694" i="1"/>
  <c r="N694" i="1"/>
  <c r="M694" i="1"/>
  <c r="L694" i="1"/>
  <c r="U693" i="1"/>
  <c r="T693" i="1"/>
  <c r="S693" i="1"/>
  <c r="R693" i="1"/>
  <c r="Q693" i="1"/>
  <c r="P693" i="1"/>
  <c r="O693" i="1"/>
  <c r="N693" i="1"/>
  <c r="M693" i="1"/>
  <c r="L693" i="1"/>
  <c r="V693" i="1" s="1"/>
  <c r="U692" i="1"/>
  <c r="V692" i="1" s="1"/>
  <c r="T692" i="1"/>
  <c r="S692" i="1"/>
  <c r="R692" i="1"/>
  <c r="Q692" i="1"/>
  <c r="P692" i="1"/>
  <c r="O692" i="1"/>
  <c r="N692" i="1"/>
  <c r="M692" i="1"/>
  <c r="L692" i="1"/>
  <c r="U691" i="1"/>
  <c r="V691" i="1" s="1"/>
  <c r="T691" i="1"/>
  <c r="S691" i="1"/>
  <c r="R691" i="1"/>
  <c r="P691" i="1"/>
  <c r="O691" i="1"/>
  <c r="N691" i="1"/>
  <c r="Q691" i="1" s="1"/>
  <c r="M691" i="1"/>
  <c r="L691" i="1"/>
  <c r="U690" i="1"/>
  <c r="V690" i="1" s="1"/>
  <c r="T690" i="1"/>
  <c r="S690" i="1"/>
  <c r="R690" i="1"/>
  <c r="P690" i="1"/>
  <c r="O690" i="1"/>
  <c r="N690" i="1"/>
  <c r="Q690" i="1" s="1"/>
  <c r="M690" i="1"/>
  <c r="L690" i="1"/>
  <c r="U689" i="1"/>
  <c r="V689" i="1" s="1"/>
  <c r="T689" i="1"/>
  <c r="S689" i="1"/>
  <c r="R689" i="1"/>
  <c r="Q689" i="1"/>
  <c r="P689" i="1"/>
  <c r="O689" i="1"/>
  <c r="N689" i="1"/>
  <c r="M689" i="1"/>
  <c r="L689" i="1"/>
  <c r="V688" i="1"/>
  <c r="U688" i="1"/>
  <c r="T688" i="1"/>
  <c r="S688" i="1"/>
  <c r="R688" i="1"/>
  <c r="P688" i="1"/>
  <c r="O688" i="1"/>
  <c r="N688" i="1"/>
  <c r="Q688" i="1" s="1"/>
  <c r="M688" i="1"/>
  <c r="L688" i="1"/>
  <c r="V687" i="1"/>
  <c r="U687" i="1"/>
  <c r="T687" i="1"/>
  <c r="S687" i="1"/>
  <c r="R687" i="1"/>
  <c r="P687" i="1"/>
  <c r="O687" i="1"/>
  <c r="N687" i="1"/>
  <c r="Q687" i="1" s="1"/>
  <c r="M687" i="1"/>
  <c r="L687" i="1"/>
  <c r="V686" i="1"/>
  <c r="U686" i="1"/>
  <c r="T686" i="1"/>
  <c r="S686" i="1"/>
  <c r="R686" i="1"/>
  <c r="Q686" i="1"/>
  <c r="P686" i="1"/>
  <c r="O686" i="1"/>
  <c r="N686" i="1"/>
  <c r="M686" i="1"/>
  <c r="L686" i="1"/>
  <c r="U685" i="1"/>
  <c r="T685" i="1"/>
  <c r="S685" i="1"/>
  <c r="R685" i="1"/>
  <c r="Q685" i="1"/>
  <c r="P685" i="1"/>
  <c r="O685" i="1"/>
  <c r="N685" i="1"/>
  <c r="M685" i="1"/>
  <c r="L685" i="1"/>
  <c r="V685" i="1" s="1"/>
  <c r="U684" i="1"/>
  <c r="V684" i="1" s="1"/>
  <c r="T684" i="1"/>
  <c r="S684" i="1"/>
  <c r="R684" i="1"/>
  <c r="Q684" i="1"/>
  <c r="P684" i="1"/>
  <c r="O684" i="1"/>
  <c r="N684" i="1"/>
  <c r="M684" i="1"/>
  <c r="L684" i="1"/>
  <c r="U683" i="1"/>
  <c r="V683" i="1" s="1"/>
  <c r="T683" i="1"/>
  <c r="S683" i="1"/>
  <c r="R683" i="1"/>
  <c r="P683" i="1"/>
  <c r="O683" i="1"/>
  <c r="N683" i="1"/>
  <c r="Q683" i="1" s="1"/>
  <c r="M683" i="1"/>
  <c r="L683" i="1"/>
  <c r="U682" i="1"/>
  <c r="V682" i="1" s="1"/>
  <c r="T682" i="1"/>
  <c r="S682" i="1"/>
  <c r="R682" i="1"/>
  <c r="P682" i="1"/>
  <c r="O682" i="1"/>
  <c r="N682" i="1"/>
  <c r="Q682" i="1" s="1"/>
  <c r="M682" i="1"/>
  <c r="L682" i="1"/>
  <c r="U681" i="1"/>
  <c r="V681" i="1" s="1"/>
  <c r="T681" i="1"/>
  <c r="S681" i="1"/>
  <c r="R681" i="1"/>
  <c r="Q681" i="1"/>
  <c r="P681" i="1"/>
  <c r="O681" i="1"/>
  <c r="N681" i="1"/>
  <c r="M681" i="1"/>
  <c r="L681" i="1"/>
  <c r="V680" i="1"/>
  <c r="U680" i="1"/>
  <c r="T680" i="1"/>
  <c r="S680" i="1"/>
  <c r="R680" i="1"/>
  <c r="P680" i="1"/>
  <c r="O680" i="1"/>
  <c r="N680" i="1"/>
  <c r="Q680" i="1" s="1"/>
  <c r="M680" i="1"/>
  <c r="L680" i="1"/>
  <c r="V679" i="1"/>
  <c r="U679" i="1"/>
  <c r="T679" i="1"/>
  <c r="S679" i="1"/>
  <c r="R679" i="1"/>
  <c r="P679" i="1"/>
  <c r="O679" i="1"/>
  <c r="N679" i="1"/>
  <c r="Q679" i="1" s="1"/>
  <c r="M679" i="1"/>
  <c r="L679" i="1"/>
  <c r="V678" i="1"/>
  <c r="U678" i="1"/>
  <c r="T678" i="1"/>
  <c r="S678" i="1"/>
  <c r="R678" i="1"/>
  <c r="Q678" i="1"/>
  <c r="P678" i="1"/>
  <c r="O678" i="1"/>
  <c r="N678" i="1"/>
  <c r="M678" i="1"/>
  <c r="L678" i="1"/>
  <c r="U677" i="1"/>
  <c r="T677" i="1"/>
  <c r="S677" i="1"/>
  <c r="R677" i="1"/>
  <c r="Q677" i="1"/>
  <c r="P677" i="1"/>
  <c r="O677" i="1"/>
  <c r="N677" i="1"/>
  <c r="M677" i="1"/>
  <c r="L677" i="1"/>
  <c r="V677" i="1" s="1"/>
  <c r="U676" i="1"/>
  <c r="V676" i="1" s="1"/>
  <c r="T676" i="1"/>
  <c r="S676" i="1"/>
  <c r="R676" i="1"/>
  <c r="Q676" i="1"/>
  <c r="P676" i="1"/>
  <c r="O676" i="1"/>
  <c r="N676" i="1"/>
  <c r="M676" i="1"/>
  <c r="L676" i="1"/>
  <c r="U675" i="1"/>
  <c r="V675" i="1" s="1"/>
  <c r="T675" i="1"/>
  <c r="S675" i="1"/>
  <c r="R675" i="1"/>
  <c r="P675" i="1"/>
  <c r="O675" i="1"/>
  <c r="N675" i="1"/>
  <c r="Q675" i="1" s="1"/>
  <c r="M675" i="1"/>
  <c r="L675" i="1"/>
  <c r="U674" i="1"/>
  <c r="V674" i="1" s="1"/>
  <c r="T674" i="1"/>
  <c r="S674" i="1"/>
  <c r="R674" i="1"/>
  <c r="P674" i="1"/>
  <c r="O674" i="1"/>
  <c r="N674" i="1"/>
  <c r="Q674" i="1" s="1"/>
  <c r="M674" i="1"/>
  <c r="L674" i="1"/>
  <c r="U673" i="1"/>
  <c r="V673" i="1" s="1"/>
  <c r="T673" i="1"/>
  <c r="S673" i="1"/>
  <c r="R673" i="1"/>
  <c r="Q673" i="1"/>
  <c r="P673" i="1"/>
  <c r="O673" i="1"/>
  <c r="N673" i="1"/>
  <c r="M673" i="1"/>
  <c r="L673" i="1"/>
  <c r="V672" i="1"/>
  <c r="U672" i="1"/>
  <c r="T672" i="1"/>
  <c r="S672" i="1"/>
  <c r="R672" i="1"/>
  <c r="P672" i="1"/>
  <c r="O672" i="1"/>
  <c r="N672" i="1"/>
  <c r="Q672" i="1" s="1"/>
  <c r="M672" i="1"/>
  <c r="L672" i="1"/>
  <c r="V671" i="1"/>
  <c r="U671" i="1"/>
  <c r="T671" i="1"/>
  <c r="S671" i="1"/>
  <c r="R671" i="1"/>
  <c r="P671" i="1"/>
  <c r="O671" i="1"/>
  <c r="N671" i="1"/>
  <c r="Q671" i="1" s="1"/>
  <c r="M671" i="1"/>
  <c r="L671" i="1"/>
  <c r="V670" i="1"/>
  <c r="U670" i="1"/>
  <c r="T670" i="1"/>
  <c r="S670" i="1"/>
  <c r="R670" i="1"/>
  <c r="Q670" i="1"/>
  <c r="P670" i="1"/>
  <c r="O670" i="1"/>
  <c r="N670" i="1"/>
  <c r="M670" i="1"/>
  <c r="L670" i="1"/>
  <c r="U669" i="1"/>
  <c r="T669" i="1"/>
  <c r="S669" i="1"/>
  <c r="R669" i="1"/>
  <c r="Q669" i="1"/>
  <c r="P669" i="1"/>
  <c r="O669" i="1"/>
  <c r="N669" i="1"/>
  <c r="M669" i="1"/>
  <c r="L669" i="1"/>
  <c r="V669" i="1" s="1"/>
  <c r="U668" i="1"/>
  <c r="V668" i="1" s="1"/>
  <c r="T668" i="1"/>
  <c r="S668" i="1"/>
  <c r="R668" i="1"/>
  <c r="Q668" i="1"/>
  <c r="P668" i="1"/>
  <c r="O668" i="1"/>
  <c r="N668" i="1"/>
  <c r="M668" i="1"/>
  <c r="L668" i="1"/>
  <c r="U667" i="1"/>
  <c r="V667" i="1" s="1"/>
  <c r="T667" i="1"/>
  <c r="S667" i="1"/>
  <c r="R667" i="1"/>
  <c r="P667" i="1"/>
  <c r="O667" i="1"/>
  <c r="N667" i="1"/>
  <c r="Q667" i="1" s="1"/>
  <c r="M667" i="1"/>
  <c r="L667" i="1"/>
  <c r="U666" i="1"/>
  <c r="V666" i="1" s="1"/>
  <c r="T666" i="1"/>
  <c r="S666" i="1"/>
  <c r="R666" i="1"/>
  <c r="P666" i="1"/>
  <c r="O666" i="1"/>
  <c r="N666" i="1"/>
  <c r="Q666" i="1" s="1"/>
  <c r="M666" i="1"/>
  <c r="L666" i="1"/>
  <c r="U665" i="1"/>
  <c r="V665" i="1" s="1"/>
  <c r="T665" i="1"/>
  <c r="S665" i="1"/>
  <c r="R665" i="1"/>
  <c r="Q665" i="1"/>
  <c r="P665" i="1"/>
  <c r="O665" i="1"/>
  <c r="N665" i="1"/>
  <c r="M665" i="1"/>
  <c r="L665" i="1"/>
  <c r="V664" i="1"/>
  <c r="U664" i="1"/>
  <c r="T664" i="1"/>
  <c r="S664" i="1"/>
  <c r="R664" i="1"/>
  <c r="P664" i="1"/>
  <c r="O664" i="1"/>
  <c r="N664" i="1"/>
  <c r="Q664" i="1" s="1"/>
  <c r="M664" i="1"/>
  <c r="L664" i="1"/>
  <c r="V663" i="1"/>
  <c r="U663" i="1"/>
  <c r="T663" i="1"/>
  <c r="S663" i="1"/>
  <c r="R663" i="1"/>
  <c r="P663" i="1"/>
  <c r="O663" i="1"/>
  <c r="N663" i="1"/>
  <c r="Q663" i="1" s="1"/>
  <c r="M663" i="1"/>
  <c r="L663" i="1"/>
  <c r="V662" i="1"/>
  <c r="U662" i="1"/>
  <c r="T662" i="1"/>
  <c r="S662" i="1"/>
  <c r="R662" i="1"/>
  <c r="Q662" i="1"/>
  <c r="P662" i="1"/>
  <c r="O662" i="1"/>
  <c r="N662" i="1"/>
  <c r="M662" i="1"/>
  <c r="L662" i="1"/>
  <c r="U661" i="1"/>
  <c r="T661" i="1"/>
  <c r="S661" i="1"/>
  <c r="R661" i="1"/>
  <c r="Q661" i="1"/>
  <c r="P661" i="1"/>
  <c r="O661" i="1"/>
  <c r="N661" i="1"/>
  <c r="M661" i="1"/>
  <c r="L661" i="1"/>
  <c r="V661" i="1" s="1"/>
  <c r="U660" i="1"/>
  <c r="V660" i="1" s="1"/>
  <c r="T660" i="1"/>
  <c r="S660" i="1"/>
  <c r="R660" i="1"/>
  <c r="Q660" i="1"/>
  <c r="P660" i="1"/>
  <c r="O660" i="1"/>
  <c r="N660" i="1"/>
  <c r="M660" i="1"/>
  <c r="L660" i="1"/>
  <c r="U659" i="1"/>
  <c r="V659" i="1" s="1"/>
  <c r="T659" i="1"/>
  <c r="S659" i="1"/>
  <c r="R659" i="1"/>
  <c r="P659" i="1"/>
  <c r="O659" i="1"/>
  <c r="N659" i="1"/>
  <c r="Q659" i="1" s="1"/>
  <c r="M659" i="1"/>
  <c r="L659" i="1"/>
  <c r="U658" i="1"/>
  <c r="V658" i="1" s="1"/>
  <c r="T658" i="1"/>
  <c r="S658" i="1"/>
  <c r="R658" i="1"/>
  <c r="P658" i="1"/>
  <c r="O658" i="1"/>
  <c r="N658" i="1"/>
  <c r="Q658" i="1" s="1"/>
  <c r="M658" i="1"/>
  <c r="L658" i="1"/>
  <c r="U657" i="1"/>
  <c r="V657" i="1" s="1"/>
  <c r="T657" i="1"/>
  <c r="S657" i="1"/>
  <c r="R657" i="1"/>
  <c r="Q657" i="1"/>
  <c r="P657" i="1"/>
  <c r="O657" i="1"/>
  <c r="N657" i="1"/>
  <c r="M657" i="1"/>
  <c r="L657" i="1"/>
  <c r="V656" i="1"/>
  <c r="U656" i="1"/>
  <c r="T656" i="1"/>
  <c r="S656" i="1"/>
  <c r="R656" i="1"/>
  <c r="P656" i="1"/>
  <c r="O656" i="1"/>
  <c r="N656" i="1"/>
  <c r="Q656" i="1" s="1"/>
  <c r="M656" i="1"/>
  <c r="L656" i="1"/>
  <c r="V655" i="1"/>
  <c r="U655" i="1"/>
  <c r="T655" i="1"/>
  <c r="S655" i="1"/>
  <c r="R655" i="1"/>
  <c r="P655" i="1"/>
  <c r="O655" i="1"/>
  <c r="N655" i="1"/>
  <c r="Q655" i="1" s="1"/>
  <c r="M655" i="1"/>
  <c r="L655" i="1"/>
  <c r="V654" i="1"/>
  <c r="U654" i="1"/>
  <c r="T654" i="1"/>
  <c r="S654" i="1"/>
  <c r="R654" i="1"/>
  <c r="Q654" i="1"/>
  <c r="P654" i="1"/>
  <c r="O654" i="1"/>
  <c r="N654" i="1"/>
  <c r="M654" i="1"/>
  <c r="L654" i="1"/>
  <c r="U653" i="1"/>
  <c r="T653" i="1"/>
  <c r="S653" i="1"/>
  <c r="R653" i="1"/>
  <c r="Q653" i="1"/>
  <c r="P653" i="1"/>
  <c r="O653" i="1"/>
  <c r="N653" i="1"/>
  <c r="M653" i="1"/>
  <c r="L653" i="1"/>
  <c r="V653" i="1" s="1"/>
  <c r="U652" i="1"/>
  <c r="V652" i="1" s="1"/>
  <c r="T652" i="1"/>
  <c r="S652" i="1"/>
  <c r="R652" i="1"/>
  <c r="Q652" i="1"/>
  <c r="P652" i="1"/>
  <c r="O652" i="1"/>
  <c r="N652" i="1"/>
  <c r="M652" i="1"/>
  <c r="L652" i="1"/>
  <c r="U651" i="1"/>
  <c r="V651" i="1" s="1"/>
  <c r="T651" i="1"/>
  <c r="S651" i="1"/>
  <c r="R651" i="1"/>
  <c r="P651" i="1"/>
  <c r="O651" i="1"/>
  <c r="N651" i="1"/>
  <c r="Q651" i="1" s="1"/>
  <c r="M651" i="1"/>
  <c r="L651" i="1"/>
  <c r="U650" i="1"/>
  <c r="V650" i="1" s="1"/>
  <c r="T650" i="1"/>
  <c r="S650" i="1"/>
  <c r="R650" i="1"/>
  <c r="P650" i="1"/>
  <c r="O650" i="1"/>
  <c r="N650" i="1"/>
  <c r="Q650" i="1" s="1"/>
  <c r="M650" i="1"/>
  <c r="L650" i="1"/>
  <c r="U649" i="1"/>
  <c r="V649" i="1" s="1"/>
  <c r="T649" i="1"/>
  <c r="S649" i="1"/>
  <c r="R649" i="1"/>
  <c r="Q649" i="1"/>
  <c r="P649" i="1"/>
  <c r="O649" i="1"/>
  <c r="N649" i="1"/>
  <c r="M649" i="1"/>
  <c r="L649" i="1"/>
  <c r="V648" i="1"/>
  <c r="U648" i="1"/>
  <c r="T648" i="1"/>
  <c r="S648" i="1"/>
  <c r="R648" i="1"/>
  <c r="P648" i="1"/>
  <c r="O648" i="1"/>
  <c r="N648" i="1"/>
  <c r="Q648" i="1" s="1"/>
  <c r="M648" i="1"/>
  <c r="L648" i="1"/>
  <c r="V647" i="1"/>
  <c r="U647" i="1"/>
  <c r="T647" i="1"/>
  <c r="S647" i="1"/>
  <c r="R647" i="1"/>
  <c r="P647" i="1"/>
  <c r="O647" i="1"/>
  <c r="N647" i="1"/>
  <c r="Q647" i="1" s="1"/>
  <c r="M647" i="1"/>
  <c r="L647" i="1"/>
  <c r="V646" i="1"/>
  <c r="U646" i="1"/>
  <c r="T646" i="1"/>
  <c r="S646" i="1"/>
  <c r="R646" i="1"/>
  <c r="Q646" i="1"/>
  <c r="P646" i="1"/>
  <c r="O646" i="1"/>
  <c r="N646" i="1"/>
  <c r="M646" i="1"/>
  <c r="L646" i="1"/>
  <c r="U645" i="1"/>
  <c r="T645" i="1"/>
  <c r="S645" i="1"/>
  <c r="R645" i="1"/>
  <c r="Q645" i="1"/>
  <c r="P645" i="1"/>
  <c r="O645" i="1"/>
  <c r="N645" i="1"/>
  <c r="M645" i="1"/>
  <c r="L645" i="1"/>
  <c r="V645" i="1" s="1"/>
  <c r="U644" i="1"/>
  <c r="T644" i="1"/>
  <c r="S644" i="1"/>
  <c r="R644" i="1"/>
  <c r="Q644" i="1"/>
  <c r="P644" i="1"/>
  <c r="O644" i="1"/>
  <c r="N644" i="1"/>
  <c r="M644" i="1"/>
  <c r="L644" i="1"/>
  <c r="U643" i="1"/>
  <c r="V643" i="1" s="1"/>
  <c r="T643" i="1"/>
  <c r="S643" i="1"/>
  <c r="R643" i="1"/>
  <c r="P643" i="1"/>
  <c r="O643" i="1"/>
  <c r="N643" i="1"/>
  <c r="Q643" i="1" s="1"/>
  <c r="M643" i="1"/>
  <c r="L643" i="1"/>
  <c r="U642" i="1"/>
  <c r="V642" i="1" s="1"/>
  <c r="T642" i="1"/>
  <c r="S642" i="1"/>
  <c r="R642" i="1"/>
  <c r="P642" i="1"/>
  <c r="O642" i="1"/>
  <c r="N642" i="1"/>
  <c r="Q642" i="1" s="1"/>
  <c r="M642" i="1"/>
  <c r="L642" i="1"/>
  <c r="U641" i="1"/>
  <c r="V641" i="1" s="1"/>
  <c r="T641" i="1"/>
  <c r="S641" i="1"/>
  <c r="R641" i="1"/>
  <c r="Q641" i="1"/>
  <c r="P641" i="1"/>
  <c r="O641" i="1"/>
  <c r="N641" i="1"/>
  <c r="M641" i="1"/>
  <c r="L641" i="1"/>
  <c r="V640" i="1"/>
  <c r="U640" i="1"/>
  <c r="T640" i="1"/>
  <c r="S640" i="1"/>
  <c r="R640" i="1"/>
  <c r="P640" i="1"/>
  <c r="O640" i="1"/>
  <c r="N640" i="1"/>
  <c r="Q640" i="1" s="1"/>
  <c r="M640" i="1"/>
  <c r="L640" i="1"/>
  <c r="V639" i="1"/>
  <c r="U639" i="1"/>
  <c r="T639" i="1"/>
  <c r="S639" i="1"/>
  <c r="R639" i="1"/>
  <c r="P639" i="1"/>
  <c r="O639" i="1"/>
  <c r="N639" i="1"/>
  <c r="Q639" i="1" s="1"/>
  <c r="M639" i="1"/>
  <c r="L639" i="1"/>
  <c r="V638" i="1"/>
  <c r="U638" i="1"/>
  <c r="T638" i="1"/>
  <c r="S638" i="1"/>
  <c r="R638" i="1"/>
  <c r="Q638" i="1"/>
  <c r="P638" i="1"/>
  <c r="O638" i="1"/>
  <c r="N638" i="1"/>
  <c r="M638" i="1"/>
  <c r="L638" i="1"/>
  <c r="U637" i="1"/>
  <c r="T637" i="1"/>
  <c r="S637" i="1"/>
  <c r="R637" i="1"/>
  <c r="Q637" i="1"/>
  <c r="P637" i="1"/>
  <c r="O637" i="1"/>
  <c r="N637" i="1"/>
  <c r="M637" i="1"/>
  <c r="L637" i="1"/>
  <c r="V637" i="1" s="1"/>
  <c r="U636" i="1"/>
  <c r="V636" i="1" s="1"/>
  <c r="T636" i="1"/>
  <c r="S636" i="1"/>
  <c r="R636" i="1"/>
  <c r="Q636" i="1"/>
  <c r="P636" i="1"/>
  <c r="O636" i="1"/>
  <c r="N636" i="1"/>
  <c r="M636" i="1"/>
  <c r="L636" i="1"/>
  <c r="U635" i="1"/>
  <c r="V635" i="1" s="1"/>
  <c r="T635" i="1"/>
  <c r="S635" i="1"/>
  <c r="R635" i="1"/>
  <c r="P635" i="1"/>
  <c r="O635" i="1"/>
  <c r="N635" i="1"/>
  <c r="Q635" i="1" s="1"/>
  <c r="M635" i="1"/>
  <c r="L635" i="1"/>
  <c r="U634" i="1"/>
  <c r="V634" i="1" s="1"/>
  <c r="T634" i="1"/>
  <c r="S634" i="1"/>
  <c r="R634" i="1"/>
  <c r="P634" i="1"/>
  <c r="O634" i="1"/>
  <c r="N634" i="1"/>
  <c r="Q634" i="1" s="1"/>
  <c r="M634" i="1"/>
  <c r="L634" i="1"/>
  <c r="U633" i="1"/>
  <c r="V633" i="1" s="1"/>
  <c r="T633" i="1"/>
  <c r="S633" i="1"/>
  <c r="R633" i="1"/>
  <c r="Q633" i="1"/>
  <c r="P633" i="1"/>
  <c r="O633" i="1"/>
  <c r="N633" i="1"/>
  <c r="M633" i="1"/>
  <c r="L633" i="1"/>
  <c r="V632" i="1"/>
  <c r="U632" i="1"/>
  <c r="T632" i="1"/>
  <c r="S632" i="1"/>
  <c r="R632" i="1"/>
  <c r="P632" i="1"/>
  <c r="O632" i="1"/>
  <c r="N632" i="1"/>
  <c r="Q632" i="1" s="1"/>
  <c r="M632" i="1"/>
  <c r="L632" i="1"/>
  <c r="V631" i="1"/>
  <c r="U631" i="1"/>
  <c r="T631" i="1"/>
  <c r="S631" i="1"/>
  <c r="R631" i="1"/>
  <c r="P631" i="1"/>
  <c r="O631" i="1"/>
  <c r="N631" i="1"/>
  <c r="Q631" i="1" s="1"/>
  <c r="M631" i="1"/>
  <c r="L631" i="1"/>
  <c r="V630" i="1"/>
  <c r="U630" i="1"/>
  <c r="T630" i="1"/>
  <c r="S630" i="1"/>
  <c r="R630" i="1"/>
  <c r="Q630" i="1"/>
  <c r="P630" i="1"/>
  <c r="O630" i="1"/>
  <c r="N630" i="1"/>
  <c r="M630" i="1"/>
  <c r="L630" i="1"/>
  <c r="U629" i="1"/>
  <c r="T629" i="1"/>
  <c r="S629" i="1"/>
  <c r="R629" i="1"/>
  <c r="Q629" i="1"/>
  <c r="P629" i="1"/>
  <c r="O629" i="1"/>
  <c r="N629" i="1"/>
  <c r="M629" i="1"/>
  <c r="L629" i="1"/>
  <c r="V629" i="1" s="1"/>
  <c r="U628" i="1"/>
  <c r="T628" i="1"/>
  <c r="S628" i="1"/>
  <c r="R628" i="1"/>
  <c r="Q628" i="1"/>
  <c r="P628" i="1"/>
  <c r="O628" i="1"/>
  <c r="N628" i="1"/>
  <c r="M628" i="1"/>
  <c r="L628" i="1"/>
  <c r="U627" i="1"/>
  <c r="V627" i="1" s="1"/>
  <c r="T627" i="1"/>
  <c r="S627" i="1"/>
  <c r="R627" i="1"/>
  <c r="P627" i="1"/>
  <c r="O627" i="1"/>
  <c r="N627" i="1"/>
  <c r="Q627" i="1" s="1"/>
  <c r="M627" i="1"/>
  <c r="L627" i="1"/>
  <c r="U626" i="1"/>
  <c r="V626" i="1" s="1"/>
  <c r="T626" i="1"/>
  <c r="S626" i="1"/>
  <c r="R626" i="1"/>
  <c r="P626" i="1"/>
  <c r="O626" i="1"/>
  <c r="N626" i="1"/>
  <c r="Q626" i="1" s="1"/>
  <c r="M626" i="1"/>
  <c r="L626" i="1"/>
  <c r="U625" i="1"/>
  <c r="V625" i="1" s="1"/>
  <c r="T625" i="1"/>
  <c r="S625" i="1"/>
  <c r="R625" i="1"/>
  <c r="Q625" i="1"/>
  <c r="P625" i="1"/>
  <c r="O625" i="1"/>
  <c r="N625" i="1"/>
  <c r="M625" i="1"/>
  <c r="L625" i="1"/>
  <c r="V624" i="1"/>
  <c r="U624" i="1"/>
  <c r="T624" i="1"/>
  <c r="S624" i="1"/>
  <c r="R624" i="1"/>
  <c r="P624" i="1"/>
  <c r="O624" i="1"/>
  <c r="N624" i="1"/>
  <c r="Q624" i="1" s="1"/>
  <c r="M624" i="1"/>
  <c r="L624" i="1"/>
  <c r="V623" i="1"/>
  <c r="U623" i="1"/>
  <c r="T623" i="1"/>
  <c r="S623" i="1"/>
  <c r="R623" i="1"/>
  <c r="P623" i="1"/>
  <c r="O623" i="1"/>
  <c r="N623" i="1"/>
  <c r="Q623" i="1" s="1"/>
  <c r="M623" i="1"/>
  <c r="L623" i="1"/>
  <c r="V622" i="1"/>
  <c r="U622" i="1"/>
  <c r="T622" i="1"/>
  <c r="S622" i="1"/>
  <c r="R622" i="1"/>
  <c r="Q622" i="1"/>
  <c r="P622" i="1"/>
  <c r="O622" i="1"/>
  <c r="N622" i="1"/>
  <c r="M622" i="1"/>
  <c r="L622" i="1"/>
  <c r="U621" i="1"/>
  <c r="T621" i="1"/>
  <c r="S621" i="1"/>
  <c r="R621" i="1"/>
  <c r="Q621" i="1"/>
  <c r="P621" i="1"/>
  <c r="O621" i="1"/>
  <c r="N621" i="1"/>
  <c r="M621" i="1"/>
  <c r="L621" i="1"/>
  <c r="U620" i="1"/>
  <c r="T620" i="1"/>
  <c r="S620" i="1"/>
  <c r="R620" i="1"/>
  <c r="Q620" i="1"/>
  <c r="P620" i="1"/>
  <c r="O620" i="1"/>
  <c r="N620" i="1"/>
  <c r="M620" i="1"/>
  <c r="L620" i="1"/>
  <c r="U619" i="1"/>
  <c r="V619" i="1" s="1"/>
  <c r="T619" i="1"/>
  <c r="S619" i="1"/>
  <c r="R619" i="1"/>
  <c r="P619" i="1"/>
  <c r="O619" i="1"/>
  <c r="N619" i="1"/>
  <c r="Q619" i="1" s="1"/>
  <c r="M619" i="1"/>
  <c r="L619" i="1"/>
  <c r="U618" i="1"/>
  <c r="V618" i="1" s="1"/>
  <c r="T618" i="1"/>
  <c r="S618" i="1"/>
  <c r="R618" i="1"/>
  <c r="P618" i="1"/>
  <c r="O618" i="1"/>
  <c r="N618" i="1"/>
  <c r="Q618" i="1" s="1"/>
  <c r="M618" i="1"/>
  <c r="L618" i="1"/>
  <c r="U617" i="1"/>
  <c r="V617" i="1" s="1"/>
  <c r="T617" i="1"/>
  <c r="S617" i="1"/>
  <c r="R617" i="1"/>
  <c r="Q617" i="1"/>
  <c r="P617" i="1"/>
  <c r="O617" i="1"/>
  <c r="N617" i="1"/>
  <c r="M617" i="1"/>
  <c r="L617" i="1"/>
  <c r="V616" i="1"/>
  <c r="U616" i="1"/>
  <c r="T616" i="1"/>
  <c r="S616" i="1"/>
  <c r="R616" i="1"/>
  <c r="P616" i="1"/>
  <c r="O616" i="1"/>
  <c r="N616" i="1"/>
  <c r="Q616" i="1" s="1"/>
  <c r="M616" i="1"/>
  <c r="L616" i="1"/>
  <c r="V615" i="1"/>
  <c r="U615" i="1"/>
  <c r="T615" i="1"/>
  <c r="S615" i="1"/>
  <c r="R615" i="1"/>
  <c r="P615" i="1"/>
  <c r="O615" i="1"/>
  <c r="N615" i="1"/>
  <c r="Q615" i="1" s="1"/>
  <c r="M615" i="1"/>
  <c r="L615" i="1"/>
  <c r="V614" i="1"/>
  <c r="U614" i="1"/>
  <c r="T614" i="1"/>
  <c r="S614" i="1"/>
  <c r="R614" i="1"/>
  <c r="P614" i="1"/>
  <c r="O614" i="1"/>
  <c r="N614" i="1"/>
  <c r="Q614" i="1" s="1"/>
  <c r="M614" i="1"/>
  <c r="L614" i="1"/>
  <c r="U613" i="1"/>
  <c r="T613" i="1"/>
  <c r="S613" i="1"/>
  <c r="R613" i="1"/>
  <c r="Q613" i="1"/>
  <c r="P613" i="1"/>
  <c r="O613" i="1"/>
  <c r="N613" i="1"/>
  <c r="M613" i="1"/>
  <c r="L613" i="1"/>
  <c r="V613" i="1" s="1"/>
  <c r="U612" i="1"/>
  <c r="T612" i="1"/>
  <c r="S612" i="1"/>
  <c r="R612" i="1"/>
  <c r="Q612" i="1"/>
  <c r="P612" i="1"/>
  <c r="O612" i="1"/>
  <c r="N612" i="1"/>
  <c r="M612" i="1"/>
  <c r="L612" i="1"/>
  <c r="U611" i="1"/>
  <c r="V611" i="1" s="1"/>
  <c r="T611" i="1"/>
  <c r="S611" i="1"/>
  <c r="R611" i="1"/>
  <c r="P611" i="1"/>
  <c r="O611" i="1"/>
  <c r="N611" i="1"/>
  <c r="Q611" i="1" s="1"/>
  <c r="M611" i="1"/>
  <c r="L611" i="1"/>
  <c r="U610" i="1"/>
  <c r="V610" i="1" s="1"/>
  <c r="T610" i="1"/>
  <c r="S610" i="1"/>
  <c r="R610" i="1"/>
  <c r="P610" i="1"/>
  <c r="O610" i="1"/>
  <c r="N610" i="1"/>
  <c r="Q610" i="1" s="1"/>
  <c r="M610" i="1"/>
  <c r="L610" i="1"/>
  <c r="U609" i="1"/>
  <c r="V609" i="1" s="1"/>
  <c r="T609" i="1"/>
  <c r="S609" i="1"/>
  <c r="R609" i="1"/>
  <c r="Q609" i="1"/>
  <c r="P609" i="1"/>
  <c r="O609" i="1"/>
  <c r="N609" i="1"/>
  <c r="M609" i="1"/>
  <c r="L609" i="1"/>
  <c r="V608" i="1"/>
  <c r="U608" i="1"/>
  <c r="T608" i="1"/>
  <c r="S608" i="1"/>
  <c r="R608" i="1"/>
  <c r="P608" i="1"/>
  <c r="O608" i="1"/>
  <c r="N608" i="1"/>
  <c r="Q608" i="1" s="1"/>
  <c r="M608" i="1"/>
  <c r="L608" i="1"/>
  <c r="V607" i="1"/>
  <c r="U607" i="1"/>
  <c r="T607" i="1"/>
  <c r="S607" i="1"/>
  <c r="R607" i="1"/>
  <c r="P607" i="1"/>
  <c r="O607" i="1"/>
  <c r="N607" i="1"/>
  <c r="Q607" i="1" s="1"/>
  <c r="M607" i="1"/>
  <c r="L607" i="1"/>
  <c r="V606" i="1"/>
  <c r="U606" i="1"/>
  <c r="T606" i="1"/>
  <c r="S606" i="1"/>
  <c r="R606" i="1"/>
  <c r="Q606" i="1"/>
  <c r="P606" i="1"/>
  <c r="O606" i="1"/>
  <c r="N606" i="1"/>
  <c r="M606" i="1"/>
  <c r="L606" i="1"/>
  <c r="U605" i="1"/>
  <c r="T605" i="1"/>
  <c r="S605" i="1"/>
  <c r="R605" i="1"/>
  <c r="Q605" i="1"/>
  <c r="P605" i="1"/>
  <c r="O605" i="1"/>
  <c r="N605" i="1"/>
  <c r="M605" i="1"/>
  <c r="L605" i="1"/>
  <c r="V605" i="1" s="1"/>
  <c r="U604" i="1"/>
  <c r="V604" i="1" s="1"/>
  <c r="T604" i="1"/>
  <c r="S604" i="1"/>
  <c r="R604" i="1"/>
  <c r="Q604" i="1"/>
  <c r="P604" i="1"/>
  <c r="O604" i="1"/>
  <c r="N604" i="1"/>
  <c r="M604" i="1"/>
  <c r="L604" i="1"/>
  <c r="U603" i="1"/>
  <c r="V603" i="1" s="1"/>
  <c r="T603" i="1"/>
  <c r="S603" i="1"/>
  <c r="R603" i="1"/>
  <c r="P603" i="1"/>
  <c r="O603" i="1"/>
  <c r="N603" i="1"/>
  <c r="Q603" i="1" s="1"/>
  <c r="M603" i="1"/>
  <c r="L603" i="1"/>
  <c r="U602" i="1"/>
  <c r="V602" i="1" s="1"/>
  <c r="T602" i="1"/>
  <c r="S602" i="1"/>
  <c r="R602" i="1"/>
  <c r="P602" i="1"/>
  <c r="O602" i="1"/>
  <c r="N602" i="1"/>
  <c r="Q602" i="1" s="1"/>
  <c r="M602" i="1"/>
  <c r="L602" i="1"/>
  <c r="U601" i="1"/>
  <c r="V601" i="1" s="1"/>
  <c r="T601" i="1"/>
  <c r="S601" i="1"/>
  <c r="R601" i="1"/>
  <c r="Q601" i="1"/>
  <c r="P601" i="1"/>
  <c r="O601" i="1"/>
  <c r="N601" i="1"/>
  <c r="M601" i="1"/>
  <c r="L601" i="1"/>
  <c r="V600" i="1"/>
  <c r="U600" i="1"/>
  <c r="T600" i="1"/>
  <c r="S600" i="1"/>
  <c r="R600" i="1"/>
  <c r="P600" i="1"/>
  <c r="O600" i="1"/>
  <c r="N600" i="1"/>
  <c r="Q600" i="1" s="1"/>
  <c r="M600" i="1"/>
  <c r="L600" i="1"/>
  <c r="V599" i="1"/>
  <c r="U599" i="1"/>
  <c r="T599" i="1"/>
  <c r="S599" i="1"/>
  <c r="R599" i="1"/>
  <c r="P599" i="1"/>
  <c r="O599" i="1"/>
  <c r="N599" i="1"/>
  <c r="Q599" i="1" s="1"/>
  <c r="M599" i="1"/>
  <c r="L599" i="1"/>
  <c r="V598" i="1"/>
  <c r="U598" i="1"/>
  <c r="T598" i="1"/>
  <c r="S598" i="1"/>
  <c r="R598" i="1"/>
  <c r="Q598" i="1"/>
  <c r="P598" i="1"/>
  <c r="O598" i="1"/>
  <c r="N598" i="1"/>
  <c r="M598" i="1"/>
  <c r="L598" i="1"/>
  <c r="U597" i="1"/>
  <c r="T597" i="1"/>
  <c r="S597" i="1"/>
  <c r="R597" i="1"/>
  <c r="Q597" i="1"/>
  <c r="P597" i="1"/>
  <c r="O597" i="1"/>
  <c r="N597" i="1"/>
  <c r="M597" i="1"/>
  <c r="L597" i="1"/>
  <c r="V597" i="1" s="1"/>
  <c r="U596" i="1"/>
  <c r="V596" i="1" s="1"/>
  <c r="T596" i="1"/>
  <c r="S596" i="1"/>
  <c r="R596" i="1"/>
  <c r="Q596" i="1"/>
  <c r="P596" i="1"/>
  <c r="O596" i="1"/>
  <c r="N596" i="1"/>
  <c r="M596" i="1"/>
  <c r="L596" i="1"/>
  <c r="U595" i="1"/>
  <c r="V595" i="1" s="1"/>
  <c r="T595" i="1"/>
  <c r="S595" i="1"/>
  <c r="R595" i="1"/>
  <c r="P595" i="1"/>
  <c r="O595" i="1"/>
  <c r="N595" i="1"/>
  <c r="Q595" i="1" s="1"/>
  <c r="M595" i="1"/>
  <c r="L595" i="1"/>
  <c r="U594" i="1"/>
  <c r="V594" i="1" s="1"/>
  <c r="T594" i="1"/>
  <c r="S594" i="1"/>
  <c r="R594" i="1"/>
  <c r="P594" i="1"/>
  <c r="O594" i="1"/>
  <c r="N594" i="1"/>
  <c r="Q594" i="1" s="1"/>
  <c r="M594" i="1"/>
  <c r="L594" i="1"/>
  <c r="U593" i="1"/>
  <c r="V593" i="1" s="1"/>
  <c r="T593" i="1"/>
  <c r="S593" i="1"/>
  <c r="R593" i="1"/>
  <c r="Q593" i="1"/>
  <c r="P593" i="1"/>
  <c r="O593" i="1"/>
  <c r="N593" i="1"/>
  <c r="M593" i="1"/>
  <c r="L593" i="1"/>
  <c r="V592" i="1"/>
  <c r="U592" i="1"/>
  <c r="T592" i="1"/>
  <c r="S592" i="1"/>
  <c r="R592" i="1"/>
  <c r="P592" i="1"/>
  <c r="O592" i="1"/>
  <c r="N592" i="1"/>
  <c r="Q592" i="1" s="1"/>
  <c r="M592" i="1"/>
  <c r="L592" i="1"/>
  <c r="V591" i="1"/>
  <c r="U591" i="1"/>
  <c r="T591" i="1"/>
  <c r="S591" i="1"/>
  <c r="R591" i="1"/>
  <c r="P591" i="1"/>
  <c r="O591" i="1"/>
  <c r="N591" i="1"/>
  <c r="Q591" i="1" s="1"/>
  <c r="M591" i="1"/>
  <c r="L591" i="1"/>
  <c r="V590" i="1"/>
  <c r="U590" i="1"/>
  <c r="T590" i="1"/>
  <c r="S590" i="1"/>
  <c r="R590" i="1"/>
  <c r="Q590" i="1"/>
  <c r="P590" i="1"/>
  <c r="O590" i="1"/>
  <c r="N590" i="1"/>
  <c r="M590" i="1"/>
  <c r="L590" i="1"/>
  <c r="U589" i="1"/>
  <c r="T589" i="1"/>
  <c r="S589" i="1"/>
  <c r="R589" i="1"/>
  <c r="Q589" i="1"/>
  <c r="P589" i="1"/>
  <c r="O589" i="1"/>
  <c r="N589" i="1"/>
  <c r="M589" i="1"/>
  <c r="L589" i="1"/>
  <c r="V589" i="1" s="1"/>
  <c r="U588" i="1"/>
  <c r="V588" i="1" s="1"/>
  <c r="T588" i="1"/>
  <c r="S588" i="1"/>
  <c r="R588" i="1"/>
  <c r="Q588" i="1"/>
  <c r="P588" i="1"/>
  <c r="O588" i="1"/>
  <c r="N588" i="1"/>
  <c r="M588" i="1"/>
  <c r="L588" i="1"/>
  <c r="U587" i="1"/>
  <c r="V587" i="1" s="1"/>
  <c r="T587" i="1"/>
  <c r="S587" i="1"/>
  <c r="R587" i="1"/>
  <c r="P587" i="1"/>
  <c r="O587" i="1"/>
  <c r="N587" i="1"/>
  <c r="Q587" i="1" s="1"/>
  <c r="M587" i="1"/>
  <c r="L587" i="1"/>
  <c r="U586" i="1"/>
  <c r="V586" i="1" s="1"/>
  <c r="T586" i="1"/>
  <c r="S586" i="1"/>
  <c r="R586" i="1"/>
  <c r="P586" i="1"/>
  <c r="O586" i="1"/>
  <c r="N586" i="1"/>
  <c r="Q586" i="1" s="1"/>
  <c r="M586" i="1"/>
  <c r="L586" i="1"/>
  <c r="U585" i="1"/>
  <c r="V585" i="1" s="1"/>
  <c r="T585" i="1"/>
  <c r="S585" i="1"/>
  <c r="R585" i="1"/>
  <c r="Q585" i="1"/>
  <c r="P585" i="1"/>
  <c r="O585" i="1"/>
  <c r="N585" i="1"/>
  <c r="M585" i="1"/>
  <c r="L585" i="1"/>
  <c r="V584" i="1"/>
  <c r="U584" i="1"/>
  <c r="T584" i="1"/>
  <c r="S584" i="1"/>
  <c r="R584" i="1"/>
  <c r="P584" i="1"/>
  <c r="O584" i="1"/>
  <c r="N584" i="1"/>
  <c r="Q584" i="1" s="1"/>
  <c r="M584" i="1"/>
  <c r="L584" i="1"/>
  <c r="V583" i="1"/>
  <c r="U583" i="1"/>
  <c r="T583" i="1"/>
  <c r="S583" i="1"/>
  <c r="R583" i="1"/>
  <c r="P583" i="1"/>
  <c r="O583" i="1"/>
  <c r="N583" i="1"/>
  <c r="Q583" i="1" s="1"/>
  <c r="M583" i="1"/>
  <c r="L583" i="1"/>
  <c r="V582" i="1"/>
  <c r="U582" i="1"/>
  <c r="T582" i="1"/>
  <c r="S582" i="1"/>
  <c r="R582" i="1"/>
  <c r="Q582" i="1"/>
  <c r="P582" i="1"/>
  <c r="O582" i="1"/>
  <c r="N582" i="1"/>
  <c r="M582" i="1"/>
  <c r="L582" i="1"/>
  <c r="U581" i="1"/>
  <c r="T581" i="1"/>
  <c r="S581" i="1"/>
  <c r="R581" i="1"/>
  <c r="Q581" i="1"/>
  <c r="P581" i="1"/>
  <c r="O581" i="1"/>
  <c r="N581" i="1"/>
  <c r="M581" i="1"/>
  <c r="L581" i="1"/>
  <c r="V581" i="1" s="1"/>
  <c r="U580" i="1"/>
  <c r="T580" i="1"/>
  <c r="S580" i="1"/>
  <c r="R580" i="1"/>
  <c r="Q580" i="1"/>
  <c r="P580" i="1"/>
  <c r="O580" i="1"/>
  <c r="N580" i="1"/>
  <c r="M580" i="1"/>
  <c r="L580" i="1"/>
  <c r="U579" i="1"/>
  <c r="V579" i="1" s="1"/>
  <c r="T579" i="1"/>
  <c r="S579" i="1"/>
  <c r="R579" i="1"/>
  <c r="P579" i="1"/>
  <c r="O579" i="1"/>
  <c r="N579" i="1"/>
  <c r="Q579" i="1" s="1"/>
  <c r="M579" i="1"/>
  <c r="L579" i="1"/>
  <c r="U578" i="1"/>
  <c r="V578" i="1" s="1"/>
  <c r="T578" i="1"/>
  <c r="S578" i="1"/>
  <c r="R578" i="1"/>
  <c r="P578" i="1"/>
  <c r="O578" i="1"/>
  <c r="N578" i="1"/>
  <c r="Q578" i="1" s="1"/>
  <c r="M578" i="1"/>
  <c r="L578" i="1"/>
  <c r="U577" i="1"/>
  <c r="V577" i="1" s="1"/>
  <c r="T577" i="1"/>
  <c r="S577" i="1"/>
  <c r="R577" i="1"/>
  <c r="Q577" i="1"/>
  <c r="P577" i="1"/>
  <c r="O577" i="1"/>
  <c r="N577" i="1"/>
  <c r="M577" i="1"/>
  <c r="L577" i="1"/>
  <c r="V576" i="1"/>
  <c r="U576" i="1"/>
  <c r="T576" i="1"/>
  <c r="S576" i="1"/>
  <c r="R576" i="1"/>
  <c r="P576" i="1"/>
  <c r="O576" i="1"/>
  <c r="N576" i="1"/>
  <c r="Q576" i="1" s="1"/>
  <c r="M576" i="1"/>
  <c r="L576" i="1"/>
  <c r="V575" i="1"/>
  <c r="U575" i="1"/>
  <c r="T575" i="1"/>
  <c r="S575" i="1"/>
  <c r="R575" i="1"/>
  <c r="P575" i="1"/>
  <c r="O575" i="1"/>
  <c r="N575" i="1"/>
  <c r="Q575" i="1" s="1"/>
  <c r="M575" i="1"/>
  <c r="L575" i="1"/>
  <c r="V574" i="1"/>
  <c r="U574" i="1"/>
  <c r="T574" i="1"/>
  <c r="S574" i="1"/>
  <c r="R574" i="1"/>
  <c r="Q574" i="1"/>
  <c r="P574" i="1"/>
  <c r="O574" i="1"/>
  <c r="N574" i="1"/>
  <c r="M574" i="1"/>
  <c r="L574" i="1"/>
  <c r="U573" i="1"/>
  <c r="T573" i="1"/>
  <c r="S573" i="1"/>
  <c r="R573" i="1"/>
  <c r="Q573" i="1"/>
  <c r="P573" i="1"/>
  <c r="O573" i="1"/>
  <c r="N573" i="1"/>
  <c r="M573" i="1"/>
  <c r="L573" i="1"/>
  <c r="V573" i="1" s="1"/>
  <c r="U572" i="1"/>
  <c r="V572" i="1" s="1"/>
  <c r="T572" i="1"/>
  <c r="S572" i="1"/>
  <c r="R572" i="1"/>
  <c r="Q572" i="1"/>
  <c r="P572" i="1"/>
  <c r="O572" i="1"/>
  <c r="N572" i="1"/>
  <c r="M572" i="1"/>
  <c r="L572" i="1"/>
  <c r="U571" i="1"/>
  <c r="V571" i="1" s="1"/>
  <c r="T571" i="1"/>
  <c r="S571" i="1"/>
  <c r="R571" i="1"/>
  <c r="P571" i="1"/>
  <c r="O571" i="1"/>
  <c r="N571" i="1"/>
  <c r="Q571" i="1" s="1"/>
  <c r="M571" i="1"/>
  <c r="L571" i="1"/>
  <c r="U570" i="1"/>
  <c r="V570" i="1" s="1"/>
  <c r="T570" i="1"/>
  <c r="S570" i="1"/>
  <c r="R570" i="1"/>
  <c r="P570" i="1"/>
  <c r="O570" i="1"/>
  <c r="N570" i="1"/>
  <c r="Q570" i="1" s="1"/>
  <c r="M570" i="1"/>
  <c r="L570" i="1"/>
  <c r="U569" i="1"/>
  <c r="V569" i="1" s="1"/>
  <c r="T569" i="1"/>
  <c r="S569" i="1"/>
  <c r="R569" i="1"/>
  <c r="Q569" i="1"/>
  <c r="P569" i="1"/>
  <c r="O569" i="1"/>
  <c r="N569" i="1"/>
  <c r="M569" i="1"/>
  <c r="L569" i="1"/>
  <c r="V568" i="1"/>
  <c r="U568" i="1"/>
  <c r="T568" i="1"/>
  <c r="S568" i="1"/>
  <c r="R568" i="1"/>
  <c r="P568" i="1"/>
  <c r="O568" i="1"/>
  <c r="N568" i="1"/>
  <c r="Q568" i="1" s="1"/>
  <c r="M568" i="1"/>
  <c r="L568" i="1"/>
  <c r="V567" i="1"/>
  <c r="U567" i="1"/>
  <c r="T567" i="1"/>
  <c r="S567" i="1"/>
  <c r="R567" i="1"/>
  <c r="P567" i="1"/>
  <c r="O567" i="1"/>
  <c r="N567" i="1"/>
  <c r="Q567" i="1" s="1"/>
  <c r="M567" i="1"/>
  <c r="L567" i="1"/>
  <c r="V566" i="1"/>
  <c r="U566" i="1"/>
  <c r="T566" i="1"/>
  <c r="S566" i="1"/>
  <c r="R566" i="1"/>
  <c r="Q566" i="1"/>
  <c r="P566" i="1"/>
  <c r="O566" i="1"/>
  <c r="N566" i="1"/>
  <c r="M566" i="1"/>
  <c r="L566" i="1"/>
  <c r="U565" i="1"/>
  <c r="T565" i="1"/>
  <c r="S565" i="1"/>
  <c r="R565" i="1"/>
  <c r="Q565" i="1"/>
  <c r="P565" i="1"/>
  <c r="O565" i="1"/>
  <c r="N565" i="1"/>
  <c r="M565" i="1"/>
  <c r="L565" i="1"/>
  <c r="V565" i="1" s="1"/>
  <c r="U564" i="1"/>
  <c r="V564" i="1" s="1"/>
  <c r="T564" i="1"/>
  <c r="S564" i="1"/>
  <c r="R564" i="1"/>
  <c r="Q564" i="1"/>
  <c r="P564" i="1"/>
  <c r="O564" i="1"/>
  <c r="N564" i="1"/>
  <c r="M564" i="1"/>
  <c r="L564" i="1"/>
  <c r="U563" i="1"/>
  <c r="V563" i="1" s="1"/>
  <c r="T563" i="1"/>
  <c r="S563" i="1"/>
  <c r="R563" i="1"/>
  <c r="P563" i="1"/>
  <c r="O563" i="1"/>
  <c r="N563" i="1"/>
  <c r="Q563" i="1" s="1"/>
  <c r="M563" i="1"/>
  <c r="L563" i="1"/>
  <c r="U562" i="1"/>
  <c r="V562" i="1" s="1"/>
  <c r="T562" i="1"/>
  <c r="S562" i="1"/>
  <c r="R562" i="1"/>
  <c r="P562" i="1"/>
  <c r="O562" i="1"/>
  <c r="N562" i="1"/>
  <c r="Q562" i="1" s="1"/>
  <c r="M562" i="1"/>
  <c r="L562" i="1"/>
  <c r="U561" i="1"/>
  <c r="V561" i="1" s="1"/>
  <c r="T561" i="1"/>
  <c r="S561" i="1"/>
  <c r="R561" i="1"/>
  <c r="Q561" i="1"/>
  <c r="P561" i="1"/>
  <c r="O561" i="1"/>
  <c r="N561" i="1"/>
  <c r="M561" i="1"/>
  <c r="L561" i="1"/>
  <c r="V560" i="1"/>
  <c r="U560" i="1"/>
  <c r="T560" i="1"/>
  <c r="S560" i="1"/>
  <c r="R560" i="1"/>
  <c r="P560" i="1"/>
  <c r="O560" i="1"/>
  <c r="N560" i="1"/>
  <c r="Q560" i="1" s="1"/>
  <c r="M560" i="1"/>
  <c r="L560" i="1"/>
  <c r="V559" i="1"/>
  <c r="U559" i="1"/>
  <c r="T559" i="1"/>
  <c r="S559" i="1"/>
  <c r="R559" i="1"/>
  <c r="Q559" i="1"/>
  <c r="P559" i="1"/>
  <c r="O559" i="1"/>
  <c r="N559" i="1"/>
  <c r="M559" i="1"/>
  <c r="L559" i="1"/>
  <c r="V558" i="1"/>
  <c r="U558" i="1"/>
  <c r="T558" i="1"/>
  <c r="S558" i="1"/>
  <c r="R558" i="1"/>
  <c r="P558" i="1"/>
  <c r="O558" i="1"/>
  <c r="N558" i="1"/>
  <c r="Q558" i="1" s="1"/>
  <c r="M558" i="1"/>
  <c r="L558" i="1"/>
  <c r="V557" i="1"/>
  <c r="U557" i="1"/>
  <c r="T557" i="1"/>
  <c r="S557" i="1"/>
  <c r="R557" i="1"/>
  <c r="P557" i="1"/>
  <c r="O557" i="1"/>
  <c r="N557" i="1"/>
  <c r="Q557" i="1" s="1"/>
  <c r="M557" i="1"/>
  <c r="L557" i="1"/>
  <c r="U556" i="1"/>
  <c r="V556" i="1" s="1"/>
  <c r="T556" i="1"/>
  <c r="S556" i="1"/>
  <c r="R556" i="1"/>
  <c r="Q556" i="1"/>
  <c r="P556" i="1"/>
  <c r="O556" i="1"/>
  <c r="N556" i="1"/>
  <c r="M556" i="1"/>
  <c r="L556" i="1"/>
  <c r="U555" i="1"/>
  <c r="T555" i="1"/>
  <c r="S555" i="1"/>
  <c r="R555" i="1"/>
  <c r="P555" i="1"/>
  <c r="O555" i="1"/>
  <c r="N555" i="1"/>
  <c r="Q555" i="1" s="1"/>
  <c r="M555" i="1"/>
  <c r="L555" i="1"/>
  <c r="U554" i="1"/>
  <c r="V554" i="1" s="1"/>
  <c r="T554" i="1"/>
  <c r="S554" i="1"/>
  <c r="R554" i="1"/>
  <c r="P554" i="1"/>
  <c r="O554" i="1"/>
  <c r="N554" i="1"/>
  <c r="Q554" i="1" s="1"/>
  <c r="M554" i="1"/>
  <c r="L554" i="1"/>
  <c r="U553" i="1"/>
  <c r="V553" i="1" s="1"/>
  <c r="T553" i="1"/>
  <c r="S553" i="1"/>
  <c r="R553" i="1"/>
  <c r="Q553" i="1"/>
  <c r="P553" i="1"/>
  <c r="O553" i="1"/>
  <c r="N553" i="1"/>
  <c r="M553" i="1"/>
  <c r="L553" i="1"/>
  <c r="V552" i="1"/>
  <c r="U552" i="1"/>
  <c r="T552" i="1"/>
  <c r="S552" i="1"/>
  <c r="R552" i="1"/>
  <c r="P552" i="1"/>
  <c r="O552" i="1"/>
  <c r="N552" i="1"/>
  <c r="Q552" i="1" s="1"/>
  <c r="M552" i="1"/>
  <c r="L552" i="1"/>
  <c r="V551" i="1"/>
  <c r="U551" i="1"/>
  <c r="T551" i="1"/>
  <c r="S551" i="1"/>
  <c r="R551" i="1"/>
  <c r="Q551" i="1"/>
  <c r="P551" i="1"/>
  <c r="O551" i="1"/>
  <c r="N551" i="1"/>
  <c r="M551" i="1"/>
  <c r="L551" i="1"/>
  <c r="U550" i="1"/>
  <c r="T550" i="1"/>
  <c r="S550" i="1"/>
  <c r="R550" i="1"/>
  <c r="P550" i="1"/>
  <c r="O550" i="1"/>
  <c r="N550" i="1"/>
  <c r="Q550" i="1" s="1"/>
  <c r="M550" i="1"/>
  <c r="L550" i="1"/>
  <c r="V550" i="1" s="1"/>
  <c r="U549" i="1"/>
  <c r="V549" i="1" s="1"/>
  <c r="T549" i="1"/>
  <c r="S549" i="1"/>
  <c r="R549" i="1"/>
  <c r="P549" i="1"/>
  <c r="O549" i="1"/>
  <c r="N549" i="1"/>
  <c r="Q549" i="1" s="1"/>
  <c r="M549" i="1"/>
  <c r="L549" i="1"/>
  <c r="U548" i="1"/>
  <c r="V548" i="1" s="1"/>
  <c r="T548" i="1"/>
  <c r="S548" i="1"/>
  <c r="R548" i="1"/>
  <c r="Q548" i="1"/>
  <c r="P548" i="1"/>
  <c r="O548" i="1"/>
  <c r="N548" i="1"/>
  <c r="M548" i="1"/>
  <c r="L548" i="1"/>
  <c r="U547" i="1"/>
  <c r="T547" i="1"/>
  <c r="S547" i="1"/>
  <c r="R547" i="1"/>
  <c r="P547" i="1"/>
  <c r="O547" i="1"/>
  <c r="N547" i="1"/>
  <c r="Q547" i="1" s="1"/>
  <c r="M547" i="1"/>
  <c r="L547" i="1"/>
  <c r="V546" i="1"/>
  <c r="U546" i="1"/>
  <c r="T546" i="1"/>
  <c r="S546" i="1"/>
  <c r="R546" i="1"/>
  <c r="P546" i="1"/>
  <c r="O546" i="1"/>
  <c r="N546" i="1"/>
  <c r="Q546" i="1" s="1"/>
  <c r="M546" i="1"/>
  <c r="L546" i="1"/>
  <c r="U545" i="1"/>
  <c r="V545" i="1" s="1"/>
  <c r="T545" i="1"/>
  <c r="S545" i="1"/>
  <c r="R545" i="1"/>
  <c r="Q545" i="1"/>
  <c r="P545" i="1"/>
  <c r="O545" i="1"/>
  <c r="N545" i="1"/>
  <c r="M545" i="1"/>
  <c r="L545" i="1"/>
  <c r="U544" i="1"/>
  <c r="V544" i="1" s="1"/>
  <c r="T544" i="1"/>
  <c r="S544" i="1"/>
  <c r="R544" i="1"/>
  <c r="P544" i="1"/>
  <c r="O544" i="1"/>
  <c r="N544" i="1"/>
  <c r="Q544" i="1" s="1"/>
  <c r="M544" i="1"/>
  <c r="L544" i="1"/>
  <c r="V543" i="1"/>
  <c r="U543" i="1"/>
  <c r="T543" i="1"/>
  <c r="S543" i="1"/>
  <c r="R543" i="1"/>
  <c r="Q543" i="1"/>
  <c r="P543" i="1"/>
  <c r="O543" i="1"/>
  <c r="N543" i="1"/>
  <c r="M543" i="1"/>
  <c r="L543" i="1"/>
  <c r="U542" i="1"/>
  <c r="V542" i="1" s="1"/>
  <c r="T542" i="1"/>
  <c r="S542" i="1"/>
  <c r="R542" i="1"/>
  <c r="P542" i="1"/>
  <c r="O542" i="1"/>
  <c r="N542" i="1"/>
  <c r="Q542" i="1" s="1"/>
  <c r="M542" i="1"/>
  <c r="L542" i="1"/>
  <c r="U541" i="1"/>
  <c r="V541" i="1" s="1"/>
  <c r="T541" i="1"/>
  <c r="S541" i="1"/>
  <c r="R541" i="1"/>
  <c r="Q541" i="1"/>
  <c r="P541" i="1"/>
  <c r="O541" i="1"/>
  <c r="N541" i="1"/>
  <c r="M541" i="1"/>
  <c r="L541" i="1"/>
  <c r="U540" i="1"/>
  <c r="V540" i="1" s="1"/>
  <c r="T540" i="1"/>
  <c r="S540" i="1"/>
  <c r="R540" i="1"/>
  <c r="Q540" i="1"/>
  <c r="P540" i="1"/>
  <c r="O540" i="1"/>
  <c r="N540" i="1"/>
  <c r="M540" i="1"/>
  <c r="L540" i="1"/>
  <c r="U539" i="1"/>
  <c r="V539" i="1" s="1"/>
  <c r="T539" i="1"/>
  <c r="S539" i="1"/>
  <c r="R539" i="1"/>
  <c r="P539" i="1"/>
  <c r="O539" i="1"/>
  <c r="N539" i="1"/>
  <c r="Q539" i="1" s="1"/>
  <c r="M539" i="1"/>
  <c r="L539" i="1"/>
  <c r="V538" i="1"/>
  <c r="U538" i="1"/>
  <c r="T538" i="1"/>
  <c r="S538" i="1"/>
  <c r="R538" i="1"/>
  <c r="P538" i="1"/>
  <c r="O538" i="1"/>
  <c r="N538" i="1"/>
  <c r="Q538" i="1" s="1"/>
  <c r="M538" i="1"/>
  <c r="L538" i="1"/>
  <c r="U537" i="1"/>
  <c r="V537" i="1" s="1"/>
  <c r="T537" i="1"/>
  <c r="S537" i="1"/>
  <c r="R537" i="1"/>
  <c r="Q537" i="1"/>
  <c r="P537" i="1"/>
  <c r="O537" i="1"/>
  <c r="N537" i="1"/>
  <c r="M537" i="1"/>
  <c r="L537" i="1"/>
  <c r="U536" i="1"/>
  <c r="V536" i="1" s="1"/>
  <c r="T536" i="1"/>
  <c r="S536" i="1"/>
  <c r="R536" i="1"/>
  <c r="P536" i="1"/>
  <c r="O536" i="1"/>
  <c r="N536" i="1"/>
  <c r="Q536" i="1" s="1"/>
  <c r="M536" i="1"/>
  <c r="L536" i="1"/>
  <c r="U535" i="1"/>
  <c r="T535" i="1"/>
  <c r="S535" i="1"/>
  <c r="R535" i="1"/>
  <c r="Q535" i="1"/>
  <c r="P535" i="1"/>
  <c r="O535" i="1"/>
  <c r="N535" i="1"/>
  <c r="M535" i="1"/>
  <c r="L535" i="1"/>
  <c r="V535" i="1" s="1"/>
  <c r="V534" i="1"/>
  <c r="U534" i="1"/>
  <c r="T534" i="1"/>
  <c r="S534" i="1"/>
  <c r="R534" i="1"/>
  <c r="P534" i="1"/>
  <c r="O534" i="1"/>
  <c r="N534" i="1"/>
  <c r="Q534" i="1" s="1"/>
  <c r="M534" i="1"/>
  <c r="L534" i="1"/>
  <c r="V533" i="1"/>
  <c r="U533" i="1"/>
  <c r="T533" i="1"/>
  <c r="S533" i="1"/>
  <c r="R533" i="1"/>
  <c r="P533" i="1"/>
  <c r="O533" i="1"/>
  <c r="N533" i="1"/>
  <c r="Q533" i="1" s="1"/>
  <c r="M533" i="1"/>
  <c r="L533" i="1"/>
  <c r="U532" i="1"/>
  <c r="T532" i="1"/>
  <c r="S532" i="1"/>
  <c r="R532" i="1"/>
  <c r="Q532" i="1"/>
  <c r="P532" i="1"/>
  <c r="O532" i="1"/>
  <c r="N532" i="1"/>
  <c r="M532" i="1"/>
  <c r="L532" i="1"/>
  <c r="V531" i="1"/>
  <c r="U531" i="1"/>
  <c r="T531" i="1"/>
  <c r="S531" i="1"/>
  <c r="R531" i="1"/>
  <c r="P531" i="1"/>
  <c r="O531" i="1"/>
  <c r="N531" i="1"/>
  <c r="Q531" i="1" s="1"/>
  <c r="M531" i="1"/>
  <c r="L531" i="1"/>
  <c r="U530" i="1"/>
  <c r="V530" i="1" s="1"/>
  <c r="T530" i="1"/>
  <c r="S530" i="1"/>
  <c r="R530" i="1"/>
  <c r="P530" i="1"/>
  <c r="O530" i="1"/>
  <c r="N530" i="1"/>
  <c r="Q530" i="1" s="1"/>
  <c r="M530" i="1"/>
  <c r="L530" i="1"/>
  <c r="U529" i="1"/>
  <c r="V529" i="1" s="1"/>
  <c r="T529" i="1"/>
  <c r="S529" i="1"/>
  <c r="R529" i="1"/>
  <c r="Q529" i="1"/>
  <c r="P529" i="1"/>
  <c r="O529" i="1"/>
  <c r="N529" i="1"/>
  <c r="M529" i="1"/>
  <c r="L529" i="1"/>
  <c r="V528" i="1"/>
  <c r="U528" i="1"/>
  <c r="T528" i="1"/>
  <c r="S528" i="1"/>
  <c r="R528" i="1"/>
  <c r="P528" i="1"/>
  <c r="O528" i="1"/>
  <c r="N528" i="1"/>
  <c r="Q528" i="1" s="1"/>
  <c r="M528" i="1"/>
  <c r="L528" i="1"/>
  <c r="V527" i="1"/>
  <c r="U527" i="1"/>
  <c r="T527" i="1"/>
  <c r="S527" i="1"/>
  <c r="R527" i="1"/>
  <c r="P527" i="1"/>
  <c r="O527" i="1"/>
  <c r="N527" i="1"/>
  <c r="Q527" i="1" s="1"/>
  <c r="M527" i="1"/>
  <c r="L527" i="1"/>
  <c r="U526" i="1"/>
  <c r="V526" i="1" s="1"/>
  <c r="T526" i="1"/>
  <c r="S526" i="1"/>
  <c r="R526" i="1"/>
  <c r="Q526" i="1"/>
  <c r="P526" i="1"/>
  <c r="O526" i="1"/>
  <c r="N526" i="1"/>
  <c r="M526" i="1"/>
  <c r="L526" i="1"/>
  <c r="U525" i="1"/>
  <c r="V525" i="1" s="1"/>
  <c r="T525" i="1"/>
  <c r="S525" i="1"/>
  <c r="R525" i="1"/>
  <c r="P525" i="1"/>
  <c r="O525" i="1"/>
  <c r="N525" i="1"/>
  <c r="Q525" i="1" s="1"/>
  <c r="M525" i="1"/>
  <c r="L525" i="1"/>
  <c r="V524" i="1"/>
  <c r="U524" i="1"/>
  <c r="T524" i="1"/>
  <c r="S524" i="1"/>
  <c r="R524" i="1"/>
  <c r="P524" i="1"/>
  <c r="O524" i="1"/>
  <c r="N524" i="1"/>
  <c r="Q524" i="1" s="1"/>
  <c r="M524" i="1"/>
  <c r="L524" i="1"/>
  <c r="U523" i="1"/>
  <c r="V523" i="1" s="1"/>
  <c r="T523" i="1"/>
  <c r="S523" i="1"/>
  <c r="R523" i="1"/>
  <c r="Q523" i="1"/>
  <c r="P523" i="1"/>
  <c r="O523" i="1"/>
  <c r="N523" i="1"/>
  <c r="M523" i="1"/>
  <c r="L523" i="1"/>
  <c r="U522" i="1"/>
  <c r="V522" i="1" s="1"/>
  <c r="T522" i="1"/>
  <c r="S522" i="1"/>
  <c r="R522" i="1"/>
  <c r="P522" i="1"/>
  <c r="O522" i="1"/>
  <c r="N522" i="1"/>
  <c r="Q522" i="1" s="1"/>
  <c r="M522" i="1"/>
  <c r="L522" i="1"/>
  <c r="U521" i="1"/>
  <c r="V521" i="1" s="1"/>
  <c r="T521" i="1"/>
  <c r="S521" i="1"/>
  <c r="R521" i="1"/>
  <c r="Q521" i="1"/>
  <c r="P521" i="1"/>
  <c r="O521" i="1"/>
  <c r="N521" i="1"/>
  <c r="M521" i="1"/>
  <c r="L521" i="1"/>
  <c r="V520" i="1"/>
  <c r="U520" i="1"/>
  <c r="T520" i="1"/>
  <c r="S520" i="1"/>
  <c r="R520" i="1"/>
  <c r="P520" i="1"/>
  <c r="O520" i="1"/>
  <c r="N520" i="1"/>
  <c r="Q520" i="1" s="1"/>
  <c r="M520" i="1"/>
  <c r="L520" i="1"/>
  <c r="V519" i="1"/>
  <c r="U519" i="1"/>
  <c r="T519" i="1"/>
  <c r="S519" i="1"/>
  <c r="R519" i="1"/>
  <c r="P519" i="1"/>
  <c r="O519" i="1"/>
  <c r="N519" i="1"/>
  <c r="Q519" i="1" s="1"/>
  <c r="M519" i="1"/>
  <c r="L519" i="1"/>
  <c r="U518" i="1"/>
  <c r="V518" i="1" s="1"/>
  <c r="T518" i="1"/>
  <c r="S518" i="1"/>
  <c r="R518" i="1"/>
  <c r="Q518" i="1"/>
  <c r="P518" i="1"/>
  <c r="O518" i="1"/>
  <c r="N518" i="1"/>
  <c r="M518" i="1"/>
  <c r="L518" i="1"/>
  <c r="U517" i="1"/>
  <c r="V517" i="1" s="1"/>
  <c r="T517" i="1"/>
  <c r="S517" i="1"/>
  <c r="R517" i="1"/>
  <c r="P517" i="1"/>
  <c r="O517" i="1"/>
  <c r="N517" i="1"/>
  <c r="Q517" i="1" s="1"/>
  <c r="M517" i="1"/>
  <c r="L517" i="1"/>
  <c r="V516" i="1"/>
  <c r="U516" i="1"/>
  <c r="T516" i="1"/>
  <c r="S516" i="1"/>
  <c r="R516" i="1"/>
  <c r="P516" i="1"/>
  <c r="O516" i="1"/>
  <c r="N516" i="1"/>
  <c r="Q516" i="1" s="1"/>
  <c r="M516" i="1"/>
  <c r="L516" i="1"/>
  <c r="U515" i="1"/>
  <c r="V515" i="1" s="1"/>
  <c r="T515" i="1"/>
  <c r="S515" i="1"/>
  <c r="R515" i="1"/>
  <c r="Q515" i="1"/>
  <c r="P515" i="1"/>
  <c r="O515" i="1"/>
  <c r="N515" i="1"/>
  <c r="M515" i="1"/>
  <c r="L515" i="1"/>
  <c r="U514" i="1"/>
  <c r="V514" i="1" s="1"/>
  <c r="T514" i="1"/>
  <c r="S514" i="1"/>
  <c r="R514" i="1"/>
  <c r="P514" i="1"/>
  <c r="O514" i="1"/>
  <c r="N514" i="1"/>
  <c r="Q514" i="1" s="1"/>
  <c r="M514" i="1"/>
  <c r="L514" i="1"/>
  <c r="U513" i="1"/>
  <c r="V513" i="1" s="1"/>
  <c r="T513" i="1"/>
  <c r="S513" i="1"/>
  <c r="R513" i="1"/>
  <c r="Q513" i="1"/>
  <c r="P513" i="1"/>
  <c r="O513" i="1"/>
  <c r="N513" i="1"/>
  <c r="M513" i="1"/>
  <c r="L513" i="1"/>
  <c r="V512" i="1"/>
  <c r="U512" i="1"/>
  <c r="T512" i="1"/>
  <c r="S512" i="1"/>
  <c r="R512" i="1"/>
  <c r="P512" i="1"/>
  <c r="O512" i="1"/>
  <c r="N512" i="1"/>
  <c r="Q512" i="1" s="1"/>
  <c r="M512" i="1"/>
  <c r="L512" i="1"/>
  <c r="V511" i="1"/>
  <c r="U511" i="1"/>
  <c r="T511" i="1"/>
  <c r="S511" i="1"/>
  <c r="R511" i="1"/>
  <c r="P511" i="1"/>
  <c r="O511" i="1"/>
  <c r="N511" i="1"/>
  <c r="Q511" i="1" s="1"/>
  <c r="M511" i="1"/>
  <c r="L511" i="1"/>
  <c r="U510" i="1"/>
  <c r="V510" i="1" s="1"/>
  <c r="T510" i="1"/>
  <c r="S510" i="1"/>
  <c r="R510" i="1"/>
  <c r="Q510" i="1"/>
  <c r="P510" i="1"/>
  <c r="O510" i="1"/>
  <c r="N510" i="1"/>
  <c r="M510" i="1"/>
  <c r="L510" i="1"/>
  <c r="U509" i="1"/>
  <c r="T509" i="1"/>
  <c r="S509" i="1"/>
  <c r="R509" i="1"/>
  <c r="P509" i="1"/>
  <c r="O509" i="1"/>
  <c r="N509" i="1"/>
  <c r="Q509" i="1" s="1"/>
  <c r="M509" i="1"/>
  <c r="L509" i="1"/>
  <c r="V509" i="1" s="1"/>
  <c r="V508" i="1"/>
  <c r="U508" i="1"/>
  <c r="T508" i="1"/>
  <c r="S508" i="1"/>
  <c r="R508" i="1"/>
  <c r="Q508" i="1"/>
  <c r="P508" i="1"/>
  <c r="O508" i="1"/>
  <c r="N508" i="1"/>
  <c r="M508" i="1"/>
  <c r="L508" i="1"/>
  <c r="U507" i="1"/>
  <c r="V507" i="1" s="1"/>
  <c r="T507" i="1"/>
  <c r="S507" i="1"/>
  <c r="R507" i="1"/>
  <c r="Q507" i="1"/>
  <c r="P507" i="1"/>
  <c r="O507" i="1"/>
  <c r="N507" i="1"/>
  <c r="M507" i="1"/>
  <c r="L507" i="1"/>
  <c r="U506" i="1"/>
  <c r="V506" i="1" s="1"/>
  <c r="T506" i="1"/>
  <c r="S506" i="1"/>
  <c r="R506" i="1"/>
  <c r="P506" i="1"/>
  <c r="O506" i="1"/>
  <c r="N506" i="1"/>
  <c r="Q506" i="1" s="1"/>
  <c r="M506" i="1"/>
  <c r="L506" i="1"/>
  <c r="U505" i="1"/>
  <c r="V505" i="1" s="1"/>
  <c r="T505" i="1"/>
  <c r="S505" i="1"/>
  <c r="R505" i="1"/>
  <c r="Q505" i="1"/>
  <c r="P505" i="1"/>
  <c r="O505" i="1"/>
  <c r="N505" i="1"/>
  <c r="M505" i="1"/>
  <c r="L505" i="1"/>
  <c r="U504" i="1"/>
  <c r="V504" i="1" s="1"/>
  <c r="T504" i="1"/>
  <c r="S504" i="1"/>
  <c r="R504" i="1"/>
  <c r="P504" i="1"/>
  <c r="O504" i="1"/>
  <c r="N504" i="1"/>
  <c r="Q504" i="1" s="1"/>
  <c r="M504" i="1"/>
  <c r="L504" i="1"/>
  <c r="V503" i="1"/>
  <c r="U503" i="1"/>
  <c r="T503" i="1"/>
  <c r="S503" i="1"/>
  <c r="R503" i="1"/>
  <c r="P503" i="1"/>
  <c r="O503" i="1"/>
  <c r="N503" i="1"/>
  <c r="Q503" i="1" s="1"/>
  <c r="M503" i="1"/>
  <c r="L503" i="1"/>
  <c r="U502" i="1"/>
  <c r="V502" i="1" s="1"/>
  <c r="T502" i="1"/>
  <c r="S502" i="1"/>
  <c r="R502" i="1"/>
  <c r="Q502" i="1"/>
  <c r="P502" i="1"/>
  <c r="O502" i="1"/>
  <c r="N502" i="1"/>
  <c r="M502" i="1"/>
  <c r="L502" i="1"/>
  <c r="U501" i="1"/>
  <c r="T501" i="1"/>
  <c r="S501" i="1"/>
  <c r="R501" i="1"/>
  <c r="P501" i="1"/>
  <c r="O501" i="1"/>
  <c r="N501" i="1"/>
  <c r="Q501" i="1" s="1"/>
  <c r="M501" i="1"/>
  <c r="L501" i="1"/>
  <c r="V501" i="1" s="1"/>
  <c r="V500" i="1"/>
  <c r="U500" i="1"/>
  <c r="T500" i="1"/>
  <c r="S500" i="1"/>
  <c r="R500" i="1"/>
  <c r="Q500" i="1"/>
  <c r="P500" i="1"/>
  <c r="O500" i="1"/>
  <c r="N500" i="1"/>
  <c r="M500" i="1"/>
  <c r="L500" i="1"/>
  <c r="U499" i="1"/>
  <c r="V499" i="1" s="1"/>
  <c r="T499" i="1"/>
  <c r="S499" i="1"/>
  <c r="R499" i="1"/>
  <c r="Q499" i="1"/>
  <c r="P499" i="1"/>
  <c r="O499" i="1"/>
  <c r="N499" i="1"/>
  <c r="M499" i="1"/>
  <c r="L499" i="1"/>
  <c r="U498" i="1"/>
  <c r="V498" i="1" s="1"/>
  <c r="T498" i="1"/>
  <c r="S498" i="1"/>
  <c r="R498" i="1"/>
  <c r="P498" i="1"/>
  <c r="O498" i="1"/>
  <c r="N498" i="1"/>
  <c r="Q498" i="1" s="1"/>
  <c r="M498" i="1"/>
  <c r="L498" i="1"/>
  <c r="U497" i="1"/>
  <c r="V497" i="1" s="1"/>
  <c r="T497" i="1"/>
  <c r="S497" i="1"/>
  <c r="R497" i="1"/>
  <c r="Q497" i="1"/>
  <c r="P497" i="1"/>
  <c r="O497" i="1"/>
  <c r="N497" i="1"/>
  <c r="M497" i="1"/>
  <c r="L497" i="1"/>
  <c r="U496" i="1"/>
  <c r="V496" i="1" s="1"/>
  <c r="T496" i="1"/>
  <c r="S496" i="1"/>
  <c r="R496" i="1"/>
  <c r="P496" i="1"/>
  <c r="O496" i="1"/>
  <c r="N496" i="1"/>
  <c r="Q496" i="1" s="1"/>
  <c r="M496" i="1"/>
  <c r="L496" i="1"/>
  <c r="V495" i="1"/>
  <c r="U495" i="1"/>
  <c r="T495" i="1"/>
  <c r="S495" i="1"/>
  <c r="R495" i="1"/>
  <c r="P495" i="1"/>
  <c r="O495" i="1"/>
  <c r="N495" i="1"/>
  <c r="Q495" i="1" s="1"/>
  <c r="M495" i="1"/>
  <c r="L495" i="1"/>
  <c r="U494" i="1"/>
  <c r="V494" i="1" s="1"/>
  <c r="T494" i="1"/>
  <c r="S494" i="1"/>
  <c r="R494" i="1"/>
  <c r="Q494" i="1"/>
  <c r="P494" i="1"/>
  <c r="O494" i="1"/>
  <c r="N494" i="1"/>
  <c r="M494" i="1"/>
  <c r="L494" i="1"/>
  <c r="U493" i="1"/>
  <c r="T493" i="1"/>
  <c r="S493" i="1"/>
  <c r="R493" i="1"/>
  <c r="P493" i="1"/>
  <c r="O493" i="1"/>
  <c r="N493" i="1"/>
  <c r="Q493" i="1" s="1"/>
  <c r="M493" i="1"/>
  <c r="L493" i="1"/>
  <c r="V493" i="1" s="1"/>
  <c r="V492" i="1"/>
  <c r="U492" i="1"/>
  <c r="T492" i="1"/>
  <c r="S492" i="1"/>
  <c r="R492" i="1"/>
  <c r="Q492" i="1"/>
  <c r="P492" i="1"/>
  <c r="O492" i="1"/>
  <c r="N492" i="1"/>
  <c r="M492" i="1"/>
  <c r="L492" i="1"/>
  <c r="U491" i="1"/>
  <c r="V491" i="1" s="1"/>
  <c r="T491" i="1"/>
  <c r="S491" i="1"/>
  <c r="R491" i="1"/>
  <c r="Q491" i="1"/>
  <c r="P491" i="1"/>
  <c r="O491" i="1"/>
  <c r="N491" i="1"/>
  <c r="M491" i="1"/>
  <c r="L491" i="1"/>
  <c r="U490" i="1"/>
  <c r="V490" i="1" s="1"/>
  <c r="T490" i="1"/>
  <c r="S490" i="1"/>
  <c r="R490" i="1"/>
  <c r="P490" i="1"/>
  <c r="O490" i="1"/>
  <c r="N490" i="1"/>
  <c r="Q490" i="1" s="1"/>
  <c r="M490" i="1"/>
  <c r="L490" i="1"/>
  <c r="U489" i="1"/>
  <c r="V489" i="1" s="1"/>
  <c r="T489" i="1"/>
  <c r="S489" i="1"/>
  <c r="R489" i="1"/>
  <c r="Q489" i="1"/>
  <c r="P489" i="1"/>
  <c r="O489" i="1"/>
  <c r="N489" i="1"/>
  <c r="M489" i="1"/>
  <c r="L489" i="1"/>
  <c r="U488" i="1"/>
  <c r="V488" i="1" s="1"/>
  <c r="T488" i="1"/>
  <c r="S488" i="1"/>
  <c r="R488" i="1"/>
  <c r="P488" i="1"/>
  <c r="O488" i="1"/>
  <c r="N488" i="1"/>
  <c r="Q488" i="1" s="1"/>
  <c r="M488" i="1"/>
  <c r="L488" i="1"/>
  <c r="V487" i="1"/>
  <c r="U487" i="1"/>
  <c r="T487" i="1"/>
  <c r="S487" i="1"/>
  <c r="R487" i="1"/>
  <c r="P487" i="1"/>
  <c r="O487" i="1"/>
  <c r="N487" i="1"/>
  <c r="Q487" i="1" s="1"/>
  <c r="M487" i="1"/>
  <c r="L487" i="1"/>
  <c r="U486" i="1"/>
  <c r="V486" i="1" s="1"/>
  <c r="T486" i="1"/>
  <c r="S486" i="1"/>
  <c r="R486" i="1"/>
  <c r="Q486" i="1"/>
  <c r="P486" i="1"/>
  <c r="O486" i="1"/>
  <c r="N486" i="1"/>
  <c r="M486" i="1"/>
  <c r="L486" i="1"/>
  <c r="U485" i="1"/>
  <c r="T485" i="1"/>
  <c r="S485" i="1"/>
  <c r="R485" i="1"/>
  <c r="P485" i="1"/>
  <c r="O485" i="1"/>
  <c r="N485" i="1"/>
  <c r="Q485" i="1" s="1"/>
  <c r="M485" i="1"/>
  <c r="L485" i="1"/>
  <c r="V485" i="1" s="1"/>
  <c r="V484" i="1"/>
  <c r="U484" i="1"/>
  <c r="T484" i="1"/>
  <c r="S484" i="1"/>
  <c r="R484" i="1"/>
  <c r="Q484" i="1"/>
  <c r="P484" i="1"/>
  <c r="O484" i="1"/>
  <c r="N484" i="1"/>
  <c r="M484" i="1"/>
  <c r="L484" i="1"/>
  <c r="U483" i="1"/>
  <c r="V483" i="1" s="1"/>
  <c r="T483" i="1"/>
  <c r="S483" i="1"/>
  <c r="R483" i="1"/>
  <c r="Q483" i="1"/>
  <c r="P483" i="1"/>
  <c r="O483" i="1"/>
  <c r="N483" i="1"/>
  <c r="M483" i="1"/>
  <c r="L483" i="1"/>
  <c r="U482" i="1"/>
  <c r="V482" i="1" s="1"/>
  <c r="T482" i="1"/>
  <c r="S482" i="1"/>
  <c r="R482" i="1"/>
  <c r="P482" i="1"/>
  <c r="O482" i="1"/>
  <c r="N482" i="1"/>
  <c r="Q482" i="1" s="1"/>
  <c r="M482" i="1"/>
  <c r="L482" i="1"/>
  <c r="U481" i="1"/>
  <c r="V481" i="1" s="1"/>
  <c r="T481" i="1"/>
  <c r="S481" i="1"/>
  <c r="R481" i="1"/>
  <c r="Q481" i="1"/>
  <c r="P481" i="1"/>
  <c r="O481" i="1"/>
  <c r="N481" i="1"/>
  <c r="M481" i="1"/>
  <c r="L481" i="1"/>
  <c r="V480" i="1"/>
  <c r="U480" i="1"/>
  <c r="T480" i="1"/>
  <c r="S480" i="1"/>
  <c r="R480" i="1"/>
  <c r="P480" i="1"/>
  <c r="O480" i="1"/>
  <c r="N480" i="1"/>
  <c r="Q480" i="1" s="1"/>
  <c r="M480" i="1"/>
  <c r="L480" i="1"/>
  <c r="V479" i="1"/>
  <c r="U479" i="1"/>
  <c r="T479" i="1"/>
  <c r="S479" i="1"/>
  <c r="R479" i="1"/>
  <c r="Q479" i="1"/>
  <c r="P479" i="1"/>
  <c r="O479" i="1"/>
  <c r="N479" i="1"/>
  <c r="M479" i="1"/>
  <c r="L479" i="1"/>
  <c r="U478" i="1"/>
  <c r="V478" i="1" s="1"/>
  <c r="T478" i="1"/>
  <c r="S478" i="1"/>
  <c r="R478" i="1"/>
  <c r="Q478" i="1"/>
  <c r="P478" i="1"/>
  <c r="O478" i="1"/>
  <c r="N478" i="1"/>
  <c r="M478" i="1"/>
  <c r="L478" i="1"/>
  <c r="U477" i="1"/>
  <c r="T477" i="1"/>
  <c r="S477" i="1"/>
  <c r="R477" i="1"/>
  <c r="P477" i="1"/>
  <c r="O477" i="1"/>
  <c r="N477" i="1"/>
  <c r="Q477" i="1" s="1"/>
  <c r="M477" i="1"/>
  <c r="L477" i="1"/>
  <c r="V477" i="1" s="1"/>
  <c r="U476" i="1"/>
  <c r="T476" i="1"/>
  <c r="S476" i="1"/>
  <c r="R476" i="1"/>
  <c r="Q476" i="1"/>
  <c r="P476" i="1"/>
  <c r="O476" i="1"/>
  <c r="N476" i="1"/>
  <c r="M476" i="1"/>
  <c r="L476" i="1"/>
  <c r="V476" i="1" s="1"/>
  <c r="U475" i="1"/>
  <c r="V475" i="1" s="1"/>
  <c r="T475" i="1"/>
  <c r="S475" i="1"/>
  <c r="R475" i="1"/>
  <c r="P475" i="1"/>
  <c r="O475" i="1"/>
  <c r="N475" i="1"/>
  <c r="Q475" i="1" s="1"/>
  <c r="M475" i="1"/>
  <c r="L475" i="1"/>
  <c r="U474" i="1"/>
  <c r="V474" i="1" s="1"/>
  <c r="T474" i="1"/>
  <c r="S474" i="1"/>
  <c r="R474" i="1"/>
  <c r="Q474" i="1"/>
  <c r="P474" i="1"/>
  <c r="O474" i="1"/>
  <c r="N474" i="1"/>
  <c r="M474" i="1"/>
  <c r="L474" i="1"/>
  <c r="U473" i="1"/>
  <c r="V473" i="1" s="1"/>
  <c r="T473" i="1"/>
  <c r="S473" i="1"/>
  <c r="R473" i="1"/>
  <c r="Q473" i="1"/>
  <c r="P473" i="1"/>
  <c r="O473" i="1"/>
  <c r="N473" i="1"/>
  <c r="M473" i="1"/>
  <c r="L473" i="1"/>
  <c r="V472" i="1"/>
  <c r="U472" i="1"/>
  <c r="T472" i="1"/>
  <c r="S472" i="1"/>
  <c r="R472" i="1"/>
  <c r="P472" i="1"/>
  <c r="O472" i="1"/>
  <c r="N472" i="1"/>
  <c r="Q472" i="1" s="1"/>
  <c r="M472" i="1"/>
  <c r="L472" i="1"/>
  <c r="V471" i="1"/>
  <c r="U471" i="1"/>
  <c r="T471" i="1"/>
  <c r="S471" i="1"/>
  <c r="R471" i="1"/>
  <c r="Q471" i="1"/>
  <c r="P471" i="1"/>
  <c r="O471" i="1"/>
  <c r="N471" i="1"/>
  <c r="M471" i="1"/>
  <c r="L471" i="1"/>
  <c r="U470" i="1"/>
  <c r="V470" i="1" s="1"/>
  <c r="T470" i="1"/>
  <c r="S470" i="1"/>
  <c r="R470" i="1"/>
  <c r="Q470" i="1"/>
  <c r="P470" i="1"/>
  <c r="O470" i="1"/>
  <c r="N470" i="1"/>
  <c r="M470" i="1"/>
  <c r="L470" i="1"/>
  <c r="U469" i="1"/>
  <c r="T469" i="1"/>
  <c r="S469" i="1"/>
  <c r="R469" i="1"/>
  <c r="P469" i="1"/>
  <c r="O469" i="1"/>
  <c r="N469" i="1"/>
  <c r="Q469" i="1" s="1"/>
  <c r="M469" i="1"/>
  <c r="L469" i="1"/>
  <c r="V469" i="1" s="1"/>
  <c r="U468" i="1"/>
  <c r="T468" i="1"/>
  <c r="S468" i="1"/>
  <c r="R468" i="1"/>
  <c r="Q468" i="1"/>
  <c r="P468" i="1"/>
  <c r="O468" i="1"/>
  <c r="N468" i="1"/>
  <c r="M468" i="1"/>
  <c r="L468" i="1"/>
  <c r="V468" i="1" s="1"/>
  <c r="U467" i="1"/>
  <c r="V467" i="1" s="1"/>
  <c r="T467" i="1"/>
  <c r="S467" i="1"/>
  <c r="R467" i="1"/>
  <c r="P467" i="1"/>
  <c r="O467" i="1"/>
  <c r="N467" i="1"/>
  <c r="Q467" i="1" s="1"/>
  <c r="M467" i="1"/>
  <c r="L467" i="1"/>
  <c r="U466" i="1"/>
  <c r="V466" i="1" s="1"/>
  <c r="T466" i="1"/>
  <c r="S466" i="1"/>
  <c r="R466" i="1"/>
  <c r="P466" i="1"/>
  <c r="O466" i="1"/>
  <c r="N466" i="1"/>
  <c r="Q466" i="1" s="1"/>
  <c r="M466" i="1"/>
  <c r="L466" i="1"/>
  <c r="U465" i="1"/>
  <c r="V465" i="1" s="1"/>
  <c r="T465" i="1"/>
  <c r="S465" i="1"/>
  <c r="R465" i="1"/>
  <c r="Q465" i="1"/>
  <c r="P465" i="1"/>
  <c r="O465" i="1"/>
  <c r="N465" i="1"/>
  <c r="M465" i="1"/>
  <c r="L465" i="1"/>
  <c r="V464" i="1"/>
  <c r="U464" i="1"/>
  <c r="T464" i="1"/>
  <c r="S464" i="1"/>
  <c r="R464" i="1"/>
  <c r="P464" i="1"/>
  <c r="O464" i="1"/>
  <c r="N464" i="1"/>
  <c r="Q464" i="1" s="1"/>
  <c r="M464" i="1"/>
  <c r="L464" i="1"/>
  <c r="V463" i="1"/>
  <c r="U463" i="1"/>
  <c r="T463" i="1"/>
  <c r="S463" i="1"/>
  <c r="R463" i="1"/>
  <c r="Q463" i="1"/>
  <c r="P463" i="1"/>
  <c r="O463" i="1"/>
  <c r="N463" i="1"/>
  <c r="M463" i="1"/>
  <c r="L463" i="1"/>
  <c r="U462" i="1"/>
  <c r="V462" i="1" s="1"/>
  <c r="T462" i="1"/>
  <c r="S462" i="1"/>
  <c r="R462" i="1"/>
  <c r="Q462" i="1"/>
  <c r="P462" i="1"/>
  <c r="O462" i="1"/>
  <c r="N462" i="1"/>
  <c r="M462" i="1"/>
  <c r="L462" i="1"/>
  <c r="U461" i="1"/>
  <c r="T461" i="1"/>
  <c r="S461" i="1"/>
  <c r="R461" i="1"/>
  <c r="P461" i="1"/>
  <c r="O461" i="1"/>
  <c r="N461" i="1"/>
  <c r="Q461" i="1" s="1"/>
  <c r="M461" i="1"/>
  <c r="L461" i="1"/>
  <c r="V461" i="1" s="1"/>
  <c r="U460" i="1"/>
  <c r="T460" i="1"/>
  <c r="S460" i="1"/>
  <c r="R460" i="1"/>
  <c r="Q460" i="1"/>
  <c r="P460" i="1"/>
  <c r="O460" i="1"/>
  <c r="N460" i="1"/>
  <c r="M460" i="1"/>
  <c r="L460" i="1"/>
  <c r="V460" i="1" s="1"/>
  <c r="U459" i="1"/>
  <c r="V459" i="1" s="1"/>
  <c r="T459" i="1"/>
  <c r="S459" i="1"/>
  <c r="R459" i="1"/>
  <c r="P459" i="1"/>
  <c r="O459" i="1"/>
  <c r="N459" i="1"/>
  <c r="Q459" i="1" s="1"/>
  <c r="M459" i="1"/>
  <c r="L459" i="1"/>
  <c r="U458" i="1"/>
  <c r="V458" i="1" s="1"/>
  <c r="T458" i="1"/>
  <c r="S458" i="1"/>
  <c r="R458" i="1"/>
  <c r="P458" i="1"/>
  <c r="O458" i="1"/>
  <c r="N458" i="1"/>
  <c r="Q458" i="1" s="1"/>
  <c r="M458" i="1"/>
  <c r="L458" i="1"/>
  <c r="U457" i="1"/>
  <c r="V457" i="1" s="1"/>
  <c r="T457" i="1"/>
  <c r="S457" i="1"/>
  <c r="R457" i="1"/>
  <c r="Q457" i="1"/>
  <c r="P457" i="1"/>
  <c r="O457" i="1"/>
  <c r="N457" i="1"/>
  <c r="M457" i="1"/>
  <c r="L457" i="1"/>
  <c r="V456" i="1"/>
  <c r="U456" i="1"/>
  <c r="T456" i="1"/>
  <c r="S456" i="1"/>
  <c r="R456" i="1"/>
  <c r="P456" i="1"/>
  <c r="O456" i="1"/>
  <c r="N456" i="1"/>
  <c r="Q456" i="1" s="1"/>
  <c r="M456" i="1"/>
  <c r="L456" i="1"/>
  <c r="V455" i="1"/>
  <c r="U455" i="1"/>
  <c r="T455" i="1"/>
  <c r="S455" i="1"/>
  <c r="R455" i="1"/>
  <c r="Q455" i="1"/>
  <c r="P455" i="1"/>
  <c r="O455" i="1"/>
  <c r="N455" i="1"/>
  <c r="M455" i="1"/>
  <c r="L455" i="1"/>
  <c r="U454" i="1"/>
  <c r="V454" i="1" s="1"/>
  <c r="T454" i="1"/>
  <c r="S454" i="1"/>
  <c r="R454" i="1"/>
  <c r="Q454" i="1"/>
  <c r="P454" i="1"/>
  <c r="O454" i="1"/>
  <c r="N454" i="1"/>
  <c r="M454" i="1"/>
  <c r="L454" i="1"/>
  <c r="U453" i="1"/>
  <c r="T453" i="1"/>
  <c r="S453" i="1"/>
  <c r="R453" i="1"/>
  <c r="P453" i="1"/>
  <c r="O453" i="1"/>
  <c r="N453" i="1"/>
  <c r="Q453" i="1" s="1"/>
  <c r="M453" i="1"/>
  <c r="L453" i="1"/>
  <c r="V453" i="1" s="1"/>
  <c r="U452" i="1"/>
  <c r="T452" i="1"/>
  <c r="S452" i="1"/>
  <c r="R452" i="1"/>
  <c r="Q452" i="1"/>
  <c r="P452" i="1"/>
  <c r="O452" i="1"/>
  <c r="N452" i="1"/>
  <c r="M452" i="1"/>
  <c r="L452" i="1"/>
  <c r="V452" i="1" s="1"/>
  <c r="U451" i="1"/>
  <c r="V451" i="1" s="1"/>
  <c r="T451" i="1"/>
  <c r="S451" i="1"/>
  <c r="R451" i="1"/>
  <c r="P451" i="1"/>
  <c r="O451" i="1"/>
  <c r="N451" i="1"/>
  <c r="Q451" i="1" s="1"/>
  <c r="M451" i="1"/>
  <c r="L451" i="1"/>
  <c r="U450" i="1"/>
  <c r="V450" i="1" s="1"/>
  <c r="T450" i="1"/>
  <c r="S450" i="1"/>
  <c r="R450" i="1"/>
  <c r="P450" i="1"/>
  <c r="O450" i="1"/>
  <c r="N450" i="1"/>
  <c r="Q450" i="1" s="1"/>
  <c r="M450" i="1"/>
  <c r="L450" i="1"/>
  <c r="U449" i="1"/>
  <c r="V449" i="1" s="1"/>
  <c r="T449" i="1"/>
  <c r="S449" i="1"/>
  <c r="R449" i="1"/>
  <c r="Q449" i="1"/>
  <c r="P449" i="1"/>
  <c r="O449" i="1"/>
  <c r="N449" i="1"/>
  <c r="M449" i="1"/>
  <c r="L449" i="1"/>
  <c r="V448" i="1"/>
  <c r="U448" i="1"/>
  <c r="T448" i="1"/>
  <c r="S448" i="1"/>
  <c r="R448" i="1"/>
  <c r="P448" i="1"/>
  <c r="O448" i="1"/>
  <c r="N448" i="1"/>
  <c r="Q448" i="1" s="1"/>
  <c r="M448" i="1"/>
  <c r="L448" i="1"/>
  <c r="V447" i="1"/>
  <c r="U447" i="1"/>
  <c r="T447" i="1"/>
  <c r="S447" i="1"/>
  <c r="R447" i="1"/>
  <c r="Q447" i="1"/>
  <c r="P447" i="1"/>
  <c r="O447" i="1"/>
  <c r="N447" i="1"/>
  <c r="M447" i="1"/>
  <c r="L447" i="1"/>
  <c r="U446" i="1"/>
  <c r="V446" i="1" s="1"/>
  <c r="T446" i="1"/>
  <c r="S446" i="1"/>
  <c r="R446" i="1"/>
  <c r="Q446" i="1"/>
  <c r="P446" i="1"/>
  <c r="O446" i="1"/>
  <c r="N446" i="1"/>
  <c r="M446" i="1"/>
  <c r="L446" i="1"/>
  <c r="U445" i="1"/>
  <c r="T445" i="1"/>
  <c r="S445" i="1"/>
  <c r="R445" i="1"/>
  <c r="P445" i="1"/>
  <c r="O445" i="1"/>
  <c r="N445" i="1"/>
  <c r="Q445" i="1" s="1"/>
  <c r="M445" i="1"/>
  <c r="L445" i="1"/>
  <c r="V445" i="1" s="1"/>
  <c r="U444" i="1"/>
  <c r="T444" i="1"/>
  <c r="S444" i="1"/>
  <c r="R444" i="1"/>
  <c r="Q444" i="1"/>
  <c r="P444" i="1"/>
  <c r="O444" i="1"/>
  <c r="N444" i="1"/>
  <c r="M444" i="1"/>
  <c r="L444" i="1"/>
  <c r="V444" i="1" s="1"/>
  <c r="U443" i="1"/>
  <c r="V443" i="1" s="1"/>
  <c r="T443" i="1"/>
  <c r="S443" i="1"/>
  <c r="R443" i="1"/>
  <c r="Q443" i="1"/>
  <c r="P443" i="1"/>
  <c r="O443" i="1"/>
  <c r="N443" i="1"/>
  <c r="M443" i="1"/>
  <c r="L443" i="1"/>
  <c r="U442" i="1"/>
  <c r="V442" i="1" s="1"/>
  <c r="T442" i="1"/>
  <c r="S442" i="1"/>
  <c r="R442" i="1"/>
  <c r="P442" i="1"/>
  <c r="O442" i="1"/>
  <c r="N442" i="1"/>
  <c r="Q442" i="1" s="1"/>
  <c r="M442" i="1"/>
  <c r="L442" i="1"/>
  <c r="U441" i="1"/>
  <c r="V441" i="1" s="1"/>
  <c r="T441" i="1"/>
  <c r="S441" i="1"/>
  <c r="R441" i="1"/>
  <c r="Q441" i="1"/>
  <c r="P441" i="1"/>
  <c r="O441" i="1"/>
  <c r="N441" i="1"/>
  <c r="M441" i="1"/>
  <c r="L441" i="1"/>
  <c r="V440" i="1"/>
  <c r="U440" i="1"/>
  <c r="T440" i="1"/>
  <c r="S440" i="1"/>
  <c r="R440" i="1"/>
  <c r="P440" i="1"/>
  <c r="O440" i="1"/>
  <c r="N440" i="1"/>
  <c r="Q440" i="1" s="1"/>
  <c r="M440" i="1"/>
  <c r="L440" i="1"/>
  <c r="V439" i="1"/>
  <c r="U439" i="1"/>
  <c r="T439" i="1"/>
  <c r="S439" i="1"/>
  <c r="R439" i="1"/>
  <c r="Q439" i="1"/>
  <c r="P439" i="1"/>
  <c r="O439" i="1"/>
  <c r="N439" i="1"/>
  <c r="M439" i="1"/>
  <c r="L439" i="1"/>
  <c r="V438" i="1"/>
  <c r="U438" i="1"/>
  <c r="T438" i="1"/>
  <c r="S438" i="1"/>
  <c r="R438" i="1"/>
  <c r="P438" i="1"/>
  <c r="O438" i="1"/>
  <c r="N438" i="1"/>
  <c r="Q438" i="1" s="1"/>
  <c r="M438" i="1"/>
  <c r="L438" i="1"/>
  <c r="U437" i="1"/>
  <c r="V437" i="1" s="1"/>
  <c r="T437" i="1"/>
  <c r="S437" i="1"/>
  <c r="R437" i="1"/>
  <c r="Q437" i="1"/>
  <c r="P437" i="1"/>
  <c r="O437" i="1"/>
  <c r="N437" i="1"/>
  <c r="M437" i="1"/>
  <c r="L437" i="1"/>
  <c r="U436" i="1"/>
  <c r="T436" i="1"/>
  <c r="S436" i="1"/>
  <c r="R436" i="1"/>
  <c r="Q436" i="1"/>
  <c r="P436" i="1"/>
  <c r="O436" i="1"/>
  <c r="N436" i="1"/>
  <c r="M436" i="1"/>
  <c r="L436" i="1"/>
  <c r="V436" i="1" s="1"/>
  <c r="U435" i="1"/>
  <c r="V435" i="1" s="1"/>
  <c r="T435" i="1"/>
  <c r="S435" i="1"/>
  <c r="R435" i="1"/>
  <c r="P435" i="1"/>
  <c r="O435" i="1"/>
  <c r="N435" i="1"/>
  <c r="Q435" i="1" s="1"/>
  <c r="M435" i="1"/>
  <c r="L435" i="1"/>
  <c r="U434" i="1"/>
  <c r="V434" i="1" s="1"/>
  <c r="T434" i="1"/>
  <c r="S434" i="1"/>
  <c r="R434" i="1"/>
  <c r="Q434" i="1"/>
  <c r="P434" i="1"/>
  <c r="O434" i="1"/>
  <c r="N434" i="1"/>
  <c r="M434" i="1"/>
  <c r="L434" i="1"/>
  <c r="U433" i="1"/>
  <c r="V433" i="1" s="1"/>
  <c r="T433" i="1"/>
  <c r="S433" i="1"/>
  <c r="R433" i="1"/>
  <c r="Q433" i="1"/>
  <c r="P433" i="1"/>
  <c r="O433" i="1"/>
  <c r="N433" i="1"/>
  <c r="M433" i="1"/>
  <c r="L433" i="1"/>
  <c r="V432" i="1"/>
  <c r="U432" i="1"/>
  <c r="T432" i="1"/>
  <c r="S432" i="1"/>
  <c r="R432" i="1"/>
  <c r="P432" i="1"/>
  <c r="O432" i="1"/>
  <c r="N432" i="1"/>
  <c r="Q432" i="1" s="1"/>
  <c r="M432" i="1"/>
  <c r="L432" i="1"/>
  <c r="V431" i="1"/>
  <c r="U431" i="1"/>
  <c r="T431" i="1"/>
  <c r="S431" i="1"/>
  <c r="R431" i="1"/>
  <c r="Q431" i="1"/>
  <c r="P431" i="1"/>
  <c r="O431" i="1"/>
  <c r="N431" i="1"/>
  <c r="M431" i="1"/>
  <c r="L431" i="1"/>
  <c r="V430" i="1"/>
  <c r="U430" i="1"/>
  <c r="T430" i="1"/>
  <c r="S430" i="1"/>
  <c r="R430" i="1"/>
  <c r="P430" i="1"/>
  <c r="O430" i="1"/>
  <c r="N430" i="1"/>
  <c r="Q430" i="1" s="1"/>
  <c r="M430" i="1"/>
  <c r="L430" i="1"/>
  <c r="U429" i="1"/>
  <c r="V429" i="1" s="1"/>
  <c r="T429" i="1"/>
  <c r="S429" i="1"/>
  <c r="R429" i="1"/>
  <c r="Q429" i="1"/>
  <c r="P429" i="1"/>
  <c r="O429" i="1"/>
  <c r="N429" i="1"/>
  <c r="M429" i="1"/>
  <c r="L429" i="1"/>
  <c r="U428" i="1"/>
  <c r="T428" i="1"/>
  <c r="S428" i="1"/>
  <c r="R428" i="1"/>
  <c r="P428" i="1"/>
  <c r="O428" i="1"/>
  <c r="N428" i="1"/>
  <c r="Q428" i="1" s="1"/>
  <c r="M428" i="1"/>
  <c r="L428" i="1"/>
  <c r="V428" i="1" s="1"/>
  <c r="U427" i="1"/>
  <c r="V427" i="1" s="1"/>
  <c r="T427" i="1"/>
  <c r="S427" i="1"/>
  <c r="R427" i="1"/>
  <c r="P427" i="1"/>
  <c r="O427" i="1"/>
  <c r="N427" i="1"/>
  <c r="Q427" i="1" s="1"/>
  <c r="M427" i="1"/>
  <c r="L427" i="1"/>
  <c r="U426" i="1"/>
  <c r="V426" i="1" s="1"/>
  <c r="T426" i="1"/>
  <c r="S426" i="1"/>
  <c r="R426" i="1"/>
  <c r="Q426" i="1"/>
  <c r="P426" i="1"/>
  <c r="O426" i="1"/>
  <c r="N426" i="1"/>
  <c r="M426" i="1"/>
  <c r="L426" i="1"/>
  <c r="U425" i="1"/>
  <c r="V425" i="1" s="1"/>
  <c r="T425" i="1"/>
  <c r="S425" i="1"/>
  <c r="R425" i="1"/>
  <c r="Q425" i="1"/>
  <c r="P425" i="1"/>
  <c r="O425" i="1"/>
  <c r="N425" i="1"/>
  <c r="M425" i="1"/>
  <c r="L425" i="1"/>
  <c r="V424" i="1"/>
  <c r="U424" i="1"/>
  <c r="T424" i="1"/>
  <c r="S424" i="1"/>
  <c r="R424" i="1"/>
  <c r="P424" i="1"/>
  <c r="O424" i="1"/>
  <c r="N424" i="1"/>
  <c r="Q424" i="1" s="1"/>
  <c r="M424" i="1"/>
  <c r="L424" i="1"/>
  <c r="V423" i="1"/>
  <c r="U423" i="1"/>
  <c r="T423" i="1"/>
  <c r="S423" i="1"/>
  <c r="R423" i="1"/>
  <c r="Q423" i="1"/>
  <c r="P423" i="1"/>
  <c r="O423" i="1"/>
  <c r="N423" i="1"/>
  <c r="M423" i="1"/>
  <c r="L423" i="1"/>
  <c r="V422" i="1"/>
  <c r="U422" i="1"/>
  <c r="T422" i="1"/>
  <c r="S422" i="1"/>
  <c r="R422" i="1"/>
  <c r="P422" i="1"/>
  <c r="O422" i="1"/>
  <c r="N422" i="1"/>
  <c r="Q422" i="1" s="1"/>
  <c r="M422" i="1"/>
  <c r="L422" i="1"/>
  <c r="U421" i="1"/>
  <c r="V421" i="1" s="1"/>
  <c r="T421" i="1"/>
  <c r="S421" i="1"/>
  <c r="R421" i="1"/>
  <c r="Q421" i="1"/>
  <c r="P421" i="1"/>
  <c r="O421" i="1"/>
  <c r="N421" i="1"/>
  <c r="M421" i="1"/>
  <c r="L421" i="1"/>
  <c r="U420" i="1"/>
  <c r="T420" i="1"/>
  <c r="S420" i="1"/>
  <c r="R420" i="1"/>
  <c r="P420" i="1"/>
  <c r="O420" i="1"/>
  <c r="N420" i="1"/>
  <c r="Q420" i="1" s="1"/>
  <c r="M420" i="1"/>
  <c r="L420" i="1"/>
  <c r="V420" i="1" s="1"/>
  <c r="U419" i="1"/>
  <c r="V419" i="1" s="1"/>
  <c r="T419" i="1"/>
  <c r="S419" i="1"/>
  <c r="R419" i="1"/>
  <c r="Q419" i="1"/>
  <c r="P419" i="1"/>
  <c r="O419" i="1"/>
  <c r="N419" i="1"/>
  <c r="M419" i="1"/>
  <c r="L419" i="1"/>
  <c r="U418" i="1"/>
  <c r="V418" i="1" s="1"/>
  <c r="T418" i="1"/>
  <c r="S418" i="1"/>
  <c r="R418" i="1"/>
  <c r="P418" i="1"/>
  <c r="O418" i="1"/>
  <c r="N418" i="1"/>
  <c r="Q418" i="1" s="1"/>
  <c r="M418" i="1"/>
  <c r="L418" i="1"/>
  <c r="U417" i="1"/>
  <c r="V417" i="1" s="1"/>
  <c r="T417" i="1"/>
  <c r="S417" i="1"/>
  <c r="R417" i="1"/>
  <c r="Q417" i="1"/>
  <c r="P417" i="1"/>
  <c r="O417" i="1"/>
  <c r="N417" i="1"/>
  <c r="M417" i="1"/>
  <c r="L417" i="1"/>
  <c r="V416" i="1"/>
  <c r="U416" i="1"/>
  <c r="T416" i="1"/>
  <c r="S416" i="1"/>
  <c r="R416" i="1"/>
  <c r="P416" i="1"/>
  <c r="O416" i="1"/>
  <c r="N416" i="1"/>
  <c r="Q416" i="1" s="1"/>
  <c r="M416" i="1"/>
  <c r="L416" i="1"/>
  <c r="V415" i="1"/>
  <c r="U415" i="1"/>
  <c r="T415" i="1"/>
  <c r="S415" i="1"/>
  <c r="R415" i="1"/>
  <c r="Q415" i="1"/>
  <c r="P415" i="1"/>
  <c r="O415" i="1"/>
  <c r="N415" i="1"/>
  <c r="M415" i="1"/>
  <c r="L415" i="1"/>
  <c r="V414" i="1"/>
  <c r="U414" i="1"/>
  <c r="T414" i="1"/>
  <c r="S414" i="1"/>
  <c r="R414" i="1"/>
  <c r="P414" i="1"/>
  <c r="O414" i="1"/>
  <c r="N414" i="1"/>
  <c r="Q414" i="1" s="1"/>
  <c r="M414" i="1"/>
  <c r="L414" i="1"/>
  <c r="U413" i="1"/>
  <c r="T413" i="1"/>
  <c r="S413" i="1"/>
  <c r="R413" i="1"/>
  <c r="Q413" i="1"/>
  <c r="P413" i="1"/>
  <c r="O413" i="1"/>
  <c r="N413" i="1"/>
  <c r="M413" i="1"/>
  <c r="L413" i="1"/>
  <c r="V413" i="1" s="1"/>
  <c r="U412" i="1"/>
  <c r="T412" i="1"/>
  <c r="S412" i="1"/>
  <c r="R412" i="1"/>
  <c r="Q412" i="1"/>
  <c r="P412" i="1"/>
  <c r="O412" i="1"/>
  <c r="N412" i="1"/>
  <c r="M412" i="1"/>
  <c r="L412" i="1"/>
  <c r="V412" i="1" s="1"/>
  <c r="U411" i="1"/>
  <c r="V411" i="1" s="1"/>
  <c r="T411" i="1"/>
  <c r="S411" i="1"/>
  <c r="R411" i="1"/>
  <c r="Q411" i="1"/>
  <c r="P411" i="1"/>
  <c r="O411" i="1"/>
  <c r="N411" i="1"/>
  <c r="M411" i="1"/>
  <c r="L411" i="1"/>
  <c r="U410" i="1"/>
  <c r="V410" i="1" s="1"/>
  <c r="T410" i="1"/>
  <c r="S410" i="1"/>
  <c r="R410" i="1"/>
  <c r="P410" i="1"/>
  <c r="O410" i="1"/>
  <c r="N410" i="1"/>
  <c r="Q410" i="1" s="1"/>
  <c r="M410" i="1"/>
  <c r="L410" i="1"/>
  <c r="U409" i="1"/>
  <c r="V409" i="1" s="1"/>
  <c r="T409" i="1"/>
  <c r="S409" i="1"/>
  <c r="R409" i="1"/>
  <c r="Q409" i="1"/>
  <c r="P409" i="1"/>
  <c r="O409" i="1"/>
  <c r="N409" i="1"/>
  <c r="M409" i="1"/>
  <c r="L409" i="1"/>
  <c r="V408" i="1"/>
  <c r="U408" i="1"/>
  <c r="T408" i="1"/>
  <c r="S408" i="1"/>
  <c r="R408" i="1"/>
  <c r="P408" i="1"/>
  <c r="O408" i="1"/>
  <c r="N408" i="1"/>
  <c r="Q408" i="1" s="1"/>
  <c r="M408" i="1"/>
  <c r="L408" i="1"/>
  <c r="V407" i="1"/>
  <c r="U407" i="1"/>
  <c r="T407" i="1"/>
  <c r="S407" i="1"/>
  <c r="R407" i="1"/>
  <c r="Q407" i="1"/>
  <c r="P407" i="1"/>
  <c r="O407" i="1"/>
  <c r="N407" i="1"/>
  <c r="M407" i="1"/>
  <c r="L407" i="1"/>
  <c r="V406" i="1"/>
  <c r="U406" i="1"/>
  <c r="T406" i="1"/>
  <c r="S406" i="1"/>
  <c r="R406" i="1"/>
  <c r="P406" i="1"/>
  <c r="O406" i="1"/>
  <c r="N406" i="1"/>
  <c r="Q406" i="1" s="1"/>
  <c r="M406" i="1"/>
  <c r="L406" i="1"/>
  <c r="U405" i="1"/>
  <c r="V405" i="1" s="1"/>
  <c r="T405" i="1"/>
  <c r="S405" i="1"/>
  <c r="R405" i="1"/>
  <c r="Q405" i="1"/>
  <c r="P405" i="1"/>
  <c r="O405" i="1"/>
  <c r="N405" i="1"/>
  <c r="M405" i="1"/>
  <c r="L405" i="1"/>
  <c r="U404" i="1"/>
  <c r="T404" i="1"/>
  <c r="S404" i="1"/>
  <c r="R404" i="1"/>
  <c r="P404" i="1"/>
  <c r="O404" i="1"/>
  <c r="N404" i="1"/>
  <c r="Q404" i="1" s="1"/>
  <c r="M404" i="1"/>
  <c r="L404" i="1"/>
  <c r="V404" i="1" s="1"/>
  <c r="U403" i="1"/>
  <c r="V403" i="1" s="1"/>
  <c r="T403" i="1"/>
  <c r="S403" i="1"/>
  <c r="R403" i="1"/>
  <c r="Q403" i="1"/>
  <c r="P403" i="1"/>
  <c r="O403" i="1"/>
  <c r="N403" i="1"/>
  <c r="M403" i="1"/>
  <c r="L403" i="1"/>
  <c r="U402" i="1"/>
  <c r="V402" i="1" s="1"/>
  <c r="T402" i="1"/>
  <c r="S402" i="1"/>
  <c r="R402" i="1"/>
  <c r="P402" i="1"/>
  <c r="O402" i="1"/>
  <c r="N402" i="1"/>
  <c r="Q402" i="1" s="1"/>
  <c r="M402" i="1"/>
  <c r="L402" i="1"/>
  <c r="U401" i="1"/>
  <c r="V401" i="1" s="1"/>
  <c r="T401" i="1"/>
  <c r="S401" i="1"/>
  <c r="R401" i="1"/>
  <c r="Q401" i="1"/>
  <c r="P401" i="1"/>
  <c r="O401" i="1"/>
  <c r="N401" i="1"/>
  <c r="M401" i="1"/>
  <c r="L401" i="1"/>
  <c r="V400" i="1"/>
  <c r="U400" i="1"/>
  <c r="T400" i="1"/>
  <c r="S400" i="1"/>
  <c r="R400" i="1"/>
  <c r="P400" i="1"/>
  <c r="O400" i="1"/>
  <c r="N400" i="1"/>
  <c r="Q400" i="1" s="1"/>
  <c r="M400" i="1"/>
  <c r="L400" i="1"/>
  <c r="V399" i="1"/>
  <c r="U399" i="1"/>
  <c r="T399" i="1"/>
  <c r="S399" i="1"/>
  <c r="R399" i="1"/>
  <c r="Q399" i="1"/>
  <c r="P399" i="1"/>
  <c r="O399" i="1"/>
  <c r="N399" i="1"/>
  <c r="M399" i="1"/>
  <c r="L399" i="1"/>
  <c r="V398" i="1"/>
  <c r="U398" i="1"/>
  <c r="T398" i="1"/>
  <c r="S398" i="1"/>
  <c r="R398" i="1"/>
  <c r="P398" i="1"/>
  <c r="O398" i="1"/>
  <c r="N398" i="1"/>
  <c r="Q398" i="1" s="1"/>
  <c r="M398" i="1"/>
  <c r="L398" i="1"/>
  <c r="U397" i="1"/>
  <c r="T397" i="1"/>
  <c r="S397" i="1"/>
  <c r="R397" i="1"/>
  <c r="Q397" i="1"/>
  <c r="P397" i="1"/>
  <c r="O397" i="1"/>
  <c r="N397" i="1"/>
  <c r="M397" i="1"/>
  <c r="L397" i="1"/>
  <c r="V397" i="1" s="1"/>
  <c r="U396" i="1"/>
  <c r="T396" i="1"/>
  <c r="S396" i="1"/>
  <c r="R396" i="1"/>
  <c r="P396" i="1"/>
  <c r="O396" i="1"/>
  <c r="N396" i="1"/>
  <c r="Q396" i="1" s="1"/>
  <c r="M396" i="1"/>
  <c r="L396" i="1"/>
  <c r="V396" i="1" s="1"/>
  <c r="U395" i="1"/>
  <c r="V395" i="1" s="1"/>
  <c r="T395" i="1"/>
  <c r="S395" i="1"/>
  <c r="R395" i="1"/>
  <c r="Q395" i="1"/>
  <c r="P395" i="1"/>
  <c r="O395" i="1"/>
  <c r="N395" i="1"/>
  <c r="M395" i="1"/>
  <c r="L395" i="1"/>
  <c r="U394" i="1"/>
  <c r="V394" i="1" s="1"/>
  <c r="T394" i="1"/>
  <c r="S394" i="1"/>
  <c r="R394" i="1"/>
  <c r="P394" i="1"/>
  <c r="O394" i="1"/>
  <c r="N394" i="1"/>
  <c r="Q394" i="1" s="1"/>
  <c r="M394" i="1"/>
  <c r="L394" i="1"/>
  <c r="U393" i="1"/>
  <c r="V393" i="1" s="1"/>
  <c r="T393" i="1"/>
  <c r="S393" i="1"/>
  <c r="R393" i="1"/>
  <c r="Q393" i="1"/>
  <c r="P393" i="1"/>
  <c r="O393" i="1"/>
  <c r="N393" i="1"/>
  <c r="M393" i="1"/>
  <c r="L393" i="1"/>
  <c r="V392" i="1"/>
  <c r="U392" i="1"/>
  <c r="T392" i="1"/>
  <c r="S392" i="1"/>
  <c r="R392" i="1"/>
  <c r="P392" i="1"/>
  <c r="O392" i="1"/>
  <c r="N392" i="1"/>
  <c r="Q392" i="1" s="1"/>
  <c r="M392" i="1"/>
  <c r="L392" i="1"/>
  <c r="V391" i="1"/>
  <c r="U391" i="1"/>
  <c r="T391" i="1"/>
  <c r="S391" i="1"/>
  <c r="R391" i="1"/>
  <c r="Q391" i="1"/>
  <c r="P391" i="1"/>
  <c r="O391" i="1"/>
  <c r="N391" i="1"/>
  <c r="M391" i="1"/>
  <c r="L391" i="1"/>
  <c r="V390" i="1"/>
  <c r="U390" i="1"/>
  <c r="T390" i="1"/>
  <c r="S390" i="1"/>
  <c r="R390" i="1"/>
  <c r="P390" i="1"/>
  <c r="O390" i="1"/>
  <c r="N390" i="1"/>
  <c r="Q390" i="1" s="1"/>
  <c r="M390" i="1"/>
  <c r="L390" i="1"/>
  <c r="U389" i="1"/>
  <c r="T389" i="1"/>
  <c r="S389" i="1"/>
  <c r="R389" i="1"/>
  <c r="Q389" i="1"/>
  <c r="P389" i="1"/>
  <c r="O389" i="1"/>
  <c r="N389" i="1"/>
  <c r="M389" i="1"/>
  <c r="L389" i="1"/>
  <c r="V389" i="1" s="1"/>
  <c r="U388" i="1"/>
  <c r="T388" i="1"/>
  <c r="S388" i="1"/>
  <c r="R388" i="1"/>
  <c r="Q388" i="1"/>
  <c r="P388" i="1"/>
  <c r="O388" i="1"/>
  <c r="N388" i="1"/>
  <c r="M388" i="1"/>
  <c r="L388" i="1"/>
  <c r="V388" i="1" s="1"/>
  <c r="U387" i="1"/>
  <c r="V387" i="1" s="1"/>
  <c r="T387" i="1"/>
  <c r="S387" i="1"/>
  <c r="R387" i="1"/>
  <c r="Q387" i="1"/>
  <c r="P387" i="1"/>
  <c r="O387" i="1"/>
  <c r="N387" i="1"/>
  <c r="M387" i="1"/>
  <c r="L387" i="1"/>
  <c r="U386" i="1"/>
  <c r="V386" i="1" s="1"/>
  <c r="T386" i="1"/>
  <c r="S386" i="1"/>
  <c r="R386" i="1"/>
  <c r="P386" i="1"/>
  <c r="O386" i="1"/>
  <c r="N386" i="1"/>
  <c r="Q386" i="1" s="1"/>
  <c r="M386" i="1"/>
  <c r="L386" i="1"/>
  <c r="U385" i="1"/>
  <c r="V385" i="1" s="1"/>
  <c r="T385" i="1"/>
  <c r="S385" i="1"/>
  <c r="R385" i="1"/>
  <c r="Q385" i="1"/>
  <c r="P385" i="1"/>
  <c r="O385" i="1"/>
  <c r="N385" i="1"/>
  <c r="M385" i="1"/>
  <c r="L385" i="1"/>
  <c r="V384" i="1"/>
  <c r="U384" i="1"/>
  <c r="T384" i="1"/>
  <c r="S384" i="1"/>
  <c r="R384" i="1"/>
  <c r="P384" i="1"/>
  <c r="O384" i="1"/>
  <c r="N384" i="1"/>
  <c r="Q384" i="1" s="1"/>
  <c r="M384" i="1"/>
  <c r="L384" i="1"/>
  <c r="V383" i="1"/>
  <c r="U383" i="1"/>
  <c r="T383" i="1"/>
  <c r="S383" i="1"/>
  <c r="R383" i="1"/>
  <c r="Q383" i="1"/>
  <c r="P383" i="1"/>
  <c r="O383" i="1"/>
  <c r="N383" i="1"/>
  <c r="M383" i="1"/>
  <c r="L383" i="1"/>
  <c r="V382" i="1"/>
  <c r="U382" i="1"/>
  <c r="T382" i="1"/>
  <c r="S382" i="1"/>
  <c r="R382" i="1"/>
  <c r="P382" i="1"/>
  <c r="O382" i="1"/>
  <c r="N382" i="1"/>
  <c r="Q382" i="1" s="1"/>
  <c r="M382" i="1"/>
  <c r="L382" i="1"/>
  <c r="U381" i="1"/>
  <c r="T381" i="1"/>
  <c r="S381" i="1"/>
  <c r="R381" i="1"/>
  <c r="Q381" i="1"/>
  <c r="P381" i="1"/>
  <c r="O381" i="1"/>
  <c r="N381" i="1"/>
  <c r="M381" i="1"/>
  <c r="L381" i="1"/>
  <c r="V381" i="1" s="1"/>
  <c r="U380" i="1"/>
  <c r="T380" i="1"/>
  <c r="S380" i="1"/>
  <c r="R380" i="1"/>
  <c r="Q380" i="1"/>
  <c r="P380" i="1"/>
  <c r="O380" i="1"/>
  <c r="N380" i="1"/>
  <c r="M380" i="1"/>
  <c r="L380" i="1"/>
  <c r="V380" i="1" s="1"/>
  <c r="U379" i="1"/>
  <c r="V379" i="1" s="1"/>
  <c r="T379" i="1"/>
  <c r="S379" i="1"/>
  <c r="R379" i="1"/>
  <c r="Q379" i="1"/>
  <c r="P379" i="1"/>
  <c r="O379" i="1"/>
  <c r="N379" i="1"/>
  <c r="M379" i="1"/>
  <c r="L379" i="1"/>
  <c r="U378" i="1"/>
  <c r="V378" i="1" s="1"/>
  <c r="T378" i="1"/>
  <c r="S378" i="1"/>
  <c r="R378" i="1"/>
  <c r="P378" i="1"/>
  <c r="O378" i="1"/>
  <c r="N378" i="1"/>
  <c r="Q378" i="1" s="1"/>
  <c r="M378" i="1"/>
  <c r="L378" i="1"/>
  <c r="U377" i="1"/>
  <c r="V377" i="1" s="1"/>
  <c r="T377" i="1"/>
  <c r="S377" i="1"/>
  <c r="R377" i="1"/>
  <c r="Q377" i="1"/>
  <c r="P377" i="1"/>
  <c r="O377" i="1"/>
  <c r="N377" i="1"/>
  <c r="M377" i="1"/>
  <c r="L377" i="1"/>
  <c r="V376" i="1"/>
  <c r="U376" i="1"/>
  <c r="T376" i="1"/>
  <c r="S376" i="1"/>
  <c r="R376" i="1"/>
  <c r="P376" i="1"/>
  <c r="O376" i="1"/>
  <c r="N376" i="1"/>
  <c r="Q376" i="1" s="1"/>
  <c r="M376" i="1"/>
  <c r="L376" i="1"/>
  <c r="V375" i="1"/>
  <c r="U375" i="1"/>
  <c r="T375" i="1"/>
  <c r="S375" i="1"/>
  <c r="R375" i="1"/>
  <c r="Q375" i="1"/>
  <c r="P375" i="1"/>
  <c r="O375" i="1"/>
  <c r="N375" i="1"/>
  <c r="M375" i="1"/>
  <c r="L375" i="1"/>
  <c r="V374" i="1"/>
  <c r="U374" i="1"/>
  <c r="T374" i="1"/>
  <c r="S374" i="1"/>
  <c r="R374" i="1"/>
  <c r="P374" i="1"/>
  <c r="O374" i="1"/>
  <c r="N374" i="1"/>
  <c r="Q374" i="1" s="1"/>
  <c r="M374" i="1"/>
  <c r="L374" i="1"/>
  <c r="U373" i="1"/>
  <c r="T373" i="1"/>
  <c r="S373" i="1"/>
  <c r="R373" i="1"/>
  <c r="Q373" i="1"/>
  <c r="P373" i="1"/>
  <c r="O373" i="1"/>
  <c r="N373" i="1"/>
  <c r="M373" i="1"/>
  <c r="L373" i="1"/>
  <c r="V373" i="1" s="1"/>
  <c r="U372" i="1"/>
  <c r="T372" i="1"/>
  <c r="S372" i="1"/>
  <c r="R372" i="1"/>
  <c r="Q372" i="1"/>
  <c r="P372" i="1"/>
  <c r="O372" i="1"/>
  <c r="N372" i="1"/>
  <c r="M372" i="1"/>
  <c r="L372" i="1"/>
  <c r="V372" i="1" s="1"/>
  <c r="U371" i="1"/>
  <c r="V371" i="1" s="1"/>
  <c r="T371" i="1"/>
  <c r="S371" i="1"/>
  <c r="R371" i="1"/>
  <c r="Q371" i="1"/>
  <c r="P371" i="1"/>
  <c r="O371" i="1"/>
  <c r="N371" i="1"/>
  <c r="M371" i="1"/>
  <c r="L371" i="1"/>
  <c r="U370" i="1"/>
  <c r="V370" i="1" s="1"/>
  <c r="T370" i="1"/>
  <c r="S370" i="1"/>
  <c r="R370" i="1"/>
  <c r="P370" i="1"/>
  <c r="O370" i="1"/>
  <c r="N370" i="1"/>
  <c r="Q370" i="1" s="1"/>
  <c r="M370" i="1"/>
  <c r="L370" i="1"/>
  <c r="U369" i="1"/>
  <c r="V369" i="1" s="1"/>
  <c r="T369" i="1"/>
  <c r="S369" i="1"/>
  <c r="R369" i="1"/>
  <c r="Q369" i="1"/>
  <c r="P369" i="1"/>
  <c r="O369" i="1"/>
  <c r="N369" i="1"/>
  <c r="M369" i="1"/>
  <c r="L369" i="1"/>
  <c r="V368" i="1"/>
  <c r="U368" i="1"/>
  <c r="T368" i="1"/>
  <c r="S368" i="1"/>
  <c r="R368" i="1"/>
  <c r="P368" i="1"/>
  <c r="O368" i="1"/>
  <c r="N368" i="1"/>
  <c r="Q368" i="1" s="1"/>
  <c r="M368" i="1"/>
  <c r="L368" i="1"/>
  <c r="V367" i="1"/>
  <c r="U367" i="1"/>
  <c r="T367" i="1"/>
  <c r="S367" i="1"/>
  <c r="R367" i="1"/>
  <c r="Q367" i="1"/>
  <c r="P367" i="1"/>
  <c r="O367" i="1"/>
  <c r="N367" i="1"/>
  <c r="M367" i="1"/>
  <c r="L367" i="1"/>
  <c r="V366" i="1"/>
  <c r="U366" i="1"/>
  <c r="T366" i="1"/>
  <c r="S366" i="1"/>
  <c r="R366" i="1"/>
  <c r="P366" i="1"/>
  <c r="O366" i="1"/>
  <c r="N366" i="1"/>
  <c r="Q366" i="1" s="1"/>
  <c r="M366" i="1"/>
  <c r="L366" i="1"/>
  <c r="U365" i="1"/>
  <c r="T365" i="1"/>
  <c r="S365" i="1"/>
  <c r="R365" i="1"/>
  <c r="Q365" i="1"/>
  <c r="P365" i="1"/>
  <c r="O365" i="1"/>
  <c r="N365" i="1"/>
  <c r="M365" i="1"/>
  <c r="L365" i="1"/>
  <c r="V365" i="1" s="1"/>
  <c r="U364" i="1"/>
  <c r="T364" i="1"/>
  <c r="S364" i="1"/>
  <c r="R364" i="1"/>
  <c r="Q364" i="1"/>
  <c r="P364" i="1"/>
  <c r="O364" i="1"/>
  <c r="N364" i="1"/>
  <c r="M364" i="1"/>
  <c r="L364" i="1"/>
  <c r="V364" i="1" s="1"/>
  <c r="U363" i="1"/>
  <c r="V363" i="1" s="1"/>
  <c r="T363" i="1"/>
  <c r="S363" i="1"/>
  <c r="R363" i="1"/>
  <c r="Q363" i="1"/>
  <c r="P363" i="1"/>
  <c r="O363" i="1"/>
  <c r="N363" i="1"/>
  <c r="M363" i="1"/>
  <c r="L363" i="1"/>
  <c r="U362" i="1"/>
  <c r="V362" i="1" s="1"/>
  <c r="T362" i="1"/>
  <c r="S362" i="1"/>
  <c r="R362" i="1"/>
  <c r="P362" i="1"/>
  <c r="O362" i="1"/>
  <c r="N362" i="1"/>
  <c r="Q362" i="1" s="1"/>
  <c r="M362" i="1"/>
  <c r="L362" i="1"/>
  <c r="U361" i="1"/>
  <c r="V361" i="1" s="1"/>
  <c r="T361" i="1"/>
  <c r="S361" i="1"/>
  <c r="R361" i="1"/>
  <c r="Q361" i="1"/>
  <c r="P361" i="1"/>
  <c r="O361" i="1"/>
  <c r="N361" i="1"/>
  <c r="M361" i="1"/>
  <c r="L361" i="1"/>
  <c r="V360" i="1"/>
  <c r="U360" i="1"/>
  <c r="T360" i="1"/>
  <c r="S360" i="1"/>
  <c r="R360" i="1"/>
  <c r="P360" i="1"/>
  <c r="O360" i="1"/>
  <c r="N360" i="1"/>
  <c r="Q360" i="1" s="1"/>
  <c r="M360" i="1"/>
  <c r="L360" i="1"/>
  <c r="V359" i="1"/>
  <c r="U359" i="1"/>
  <c r="T359" i="1"/>
  <c r="S359" i="1"/>
  <c r="R359" i="1"/>
  <c r="Q359" i="1"/>
  <c r="P359" i="1"/>
  <c r="O359" i="1"/>
  <c r="N359" i="1"/>
  <c r="M359" i="1"/>
  <c r="L359" i="1"/>
  <c r="V358" i="1"/>
  <c r="U358" i="1"/>
  <c r="T358" i="1"/>
  <c r="S358" i="1"/>
  <c r="R358" i="1"/>
  <c r="P358" i="1"/>
  <c r="O358" i="1"/>
  <c r="N358" i="1"/>
  <c r="Q358" i="1" s="1"/>
  <c r="M358" i="1"/>
  <c r="L358" i="1"/>
  <c r="U357" i="1"/>
  <c r="T357" i="1"/>
  <c r="S357" i="1"/>
  <c r="R357" i="1"/>
  <c r="Q357" i="1"/>
  <c r="P357" i="1"/>
  <c r="O357" i="1"/>
  <c r="N357" i="1"/>
  <c r="M357" i="1"/>
  <c r="L357" i="1"/>
  <c r="V357" i="1" s="1"/>
  <c r="U356" i="1"/>
  <c r="T356" i="1"/>
  <c r="S356" i="1"/>
  <c r="R356" i="1"/>
  <c r="Q356" i="1"/>
  <c r="P356" i="1"/>
  <c r="O356" i="1"/>
  <c r="N356" i="1"/>
  <c r="M356" i="1"/>
  <c r="L356" i="1"/>
  <c r="V356" i="1" s="1"/>
  <c r="U355" i="1"/>
  <c r="V355" i="1" s="1"/>
  <c r="T355" i="1"/>
  <c r="S355" i="1"/>
  <c r="R355" i="1"/>
  <c r="Q355" i="1"/>
  <c r="P355" i="1"/>
  <c r="O355" i="1"/>
  <c r="N355" i="1"/>
  <c r="M355" i="1"/>
  <c r="L355" i="1"/>
  <c r="U354" i="1"/>
  <c r="V354" i="1" s="1"/>
  <c r="T354" i="1"/>
  <c r="S354" i="1"/>
  <c r="R354" i="1"/>
  <c r="P354" i="1"/>
  <c r="O354" i="1"/>
  <c r="N354" i="1"/>
  <c r="Q354" i="1" s="1"/>
  <c r="M354" i="1"/>
  <c r="L354" i="1"/>
  <c r="U353" i="1"/>
  <c r="V353" i="1" s="1"/>
  <c r="T353" i="1"/>
  <c r="S353" i="1"/>
  <c r="R353" i="1"/>
  <c r="Q353" i="1"/>
  <c r="P353" i="1"/>
  <c r="O353" i="1"/>
  <c r="N353" i="1"/>
  <c r="M353" i="1"/>
  <c r="L353" i="1"/>
  <c r="V352" i="1"/>
  <c r="U352" i="1"/>
  <c r="T352" i="1"/>
  <c r="S352" i="1"/>
  <c r="R352" i="1"/>
  <c r="P352" i="1"/>
  <c r="O352" i="1"/>
  <c r="N352" i="1"/>
  <c r="Q352" i="1" s="1"/>
  <c r="M352" i="1"/>
  <c r="L352" i="1"/>
  <c r="V351" i="1"/>
  <c r="U351" i="1"/>
  <c r="T351" i="1"/>
  <c r="S351" i="1"/>
  <c r="R351" i="1"/>
  <c r="Q351" i="1"/>
  <c r="P351" i="1"/>
  <c r="O351" i="1"/>
  <c r="N351" i="1"/>
  <c r="M351" i="1"/>
  <c r="L351" i="1"/>
  <c r="V350" i="1"/>
  <c r="U350" i="1"/>
  <c r="T350" i="1"/>
  <c r="S350" i="1"/>
  <c r="R350" i="1"/>
  <c r="P350" i="1"/>
  <c r="O350" i="1"/>
  <c r="N350" i="1"/>
  <c r="Q350" i="1" s="1"/>
  <c r="M350" i="1"/>
  <c r="L350" i="1"/>
  <c r="U349" i="1"/>
  <c r="T349" i="1"/>
  <c r="S349" i="1"/>
  <c r="R349" i="1"/>
  <c r="Q349" i="1"/>
  <c r="P349" i="1"/>
  <c r="O349" i="1"/>
  <c r="N349" i="1"/>
  <c r="M349" i="1"/>
  <c r="L349" i="1"/>
  <c r="V349" i="1" s="1"/>
  <c r="U348" i="1"/>
  <c r="T348" i="1"/>
  <c r="S348" i="1"/>
  <c r="R348" i="1"/>
  <c r="Q348" i="1"/>
  <c r="P348" i="1"/>
  <c r="O348" i="1"/>
  <c r="N348" i="1"/>
  <c r="M348" i="1"/>
  <c r="L348" i="1"/>
  <c r="V348" i="1" s="1"/>
  <c r="U347" i="1"/>
  <c r="V347" i="1" s="1"/>
  <c r="T347" i="1"/>
  <c r="S347" i="1"/>
  <c r="R347" i="1"/>
  <c r="Q347" i="1"/>
  <c r="P347" i="1"/>
  <c r="O347" i="1"/>
  <c r="N347" i="1"/>
  <c r="M347" i="1"/>
  <c r="L347" i="1"/>
  <c r="U346" i="1"/>
  <c r="V346" i="1" s="1"/>
  <c r="T346" i="1"/>
  <c r="S346" i="1"/>
  <c r="R346" i="1"/>
  <c r="P346" i="1"/>
  <c r="O346" i="1"/>
  <c r="N346" i="1"/>
  <c r="Q346" i="1" s="1"/>
  <c r="M346" i="1"/>
  <c r="L346" i="1"/>
  <c r="U345" i="1"/>
  <c r="V345" i="1" s="1"/>
  <c r="T345" i="1"/>
  <c r="S345" i="1"/>
  <c r="R345" i="1"/>
  <c r="Q345" i="1"/>
  <c r="P345" i="1"/>
  <c r="O345" i="1"/>
  <c r="N345" i="1"/>
  <c r="M345" i="1"/>
  <c r="L345" i="1"/>
  <c r="V344" i="1"/>
  <c r="U344" i="1"/>
  <c r="T344" i="1"/>
  <c r="S344" i="1"/>
  <c r="R344" i="1"/>
  <c r="P344" i="1"/>
  <c r="O344" i="1"/>
  <c r="N344" i="1"/>
  <c r="Q344" i="1" s="1"/>
  <c r="M344" i="1"/>
  <c r="L344" i="1"/>
  <c r="V343" i="1"/>
  <c r="U343" i="1"/>
  <c r="T343" i="1"/>
  <c r="S343" i="1"/>
  <c r="R343" i="1"/>
  <c r="Q343" i="1"/>
  <c r="P343" i="1"/>
  <c r="O343" i="1"/>
  <c r="N343" i="1"/>
  <c r="M343" i="1"/>
  <c r="L343" i="1"/>
  <c r="V342" i="1"/>
  <c r="U342" i="1"/>
  <c r="T342" i="1"/>
  <c r="S342" i="1"/>
  <c r="R342" i="1"/>
  <c r="P342" i="1"/>
  <c r="O342" i="1"/>
  <c r="N342" i="1"/>
  <c r="Q342" i="1" s="1"/>
  <c r="M342" i="1"/>
  <c r="L342" i="1"/>
  <c r="U341" i="1"/>
  <c r="T341" i="1"/>
  <c r="S341" i="1"/>
  <c r="R341" i="1"/>
  <c r="Q341" i="1"/>
  <c r="P341" i="1"/>
  <c r="O341" i="1"/>
  <c r="N341" i="1"/>
  <c r="M341" i="1"/>
  <c r="L341" i="1"/>
  <c r="V341" i="1" s="1"/>
  <c r="U340" i="1"/>
  <c r="T340" i="1"/>
  <c r="S340" i="1"/>
  <c r="R340" i="1"/>
  <c r="Q340" i="1"/>
  <c r="P340" i="1"/>
  <c r="O340" i="1"/>
  <c r="N340" i="1"/>
  <c r="M340" i="1"/>
  <c r="L340" i="1"/>
  <c r="V340" i="1" s="1"/>
  <c r="U339" i="1"/>
  <c r="V339" i="1" s="1"/>
  <c r="T339" i="1"/>
  <c r="S339" i="1"/>
  <c r="R339" i="1"/>
  <c r="Q339" i="1"/>
  <c r="P339" i="1"/>
  <c r="O339" i="1"/>
  <c r="N339" i="1"/>
  <c r="M339" i="1"/>
  <c r="L339" i="1"/>
  <c r="U338" i="1"/>
  <c r="V338" i="1" s="1"/>
  <c r="T338" i="1"/>
  <c r="S338" i="1"/>
  <c r="R338" i="1"/>
  <c r="P338" i="1"/>
  <c r="O338" i="1"/>
  <c r="N338" i="1"/>
  <c r="Q338" i="1" s="1"/>
  <c r="M338" i="1"/>
  <c r="L338" i="1"/>
  <c r="U337" i="1"/>
  <c r="V337" i="1" s="1"/>
  <c r="T337" i="1"/>
  <c r="S337" i="1"/>
  <c r="R337" i="1"/>
  <c r="Q337" i="1"/>
  <c r="P337" i="1"/>
  <c r="O337" i="1"/>
  <c r="N337" i="1"/>
  <c r="M337" i="1"/>
  <c r="L337" i="1"/>
  <c r="V336" i="1"/>
  <c r="U336" i="1"/>
  <c r="T336" i="1"/>
  <c r="S336" i="1"/>
  <c r="R336" i="1"/>
  <c r="P336" i="1"/>
  <c r="O336" i="1"/>
  <c r="N336" i="1"/>
  <c r="Q336" i="1" s="1"/>
  <c r="M336" i="1"/>
  <c r="L336" i="1"/>
  <c r="V335" i="1"/>
  <c r="U335" i="1"/>
  <c r="T335" i="1"/>
  <c r="S335" i="1"/>
  <c r="R335" i="1"/>
  <c r="Q335" i="1"/>
  <c r="P335" i="1"/>
  <c r="O335" i="1"/>
  <c r="N335" i="1"/>
  <c r="M335" i="1"/>
  <c r="L335" i="1"/>
  <c r="V334" i="1"/>
  <c r="U334" i="1"/>
  <c r="T334" i="1"/>
  <c r="S334" i="1"/>
  <c r="R334" i="1"/>
  <c r="P334" i="1"/>
  <c r="O334" i="1"/>
  <c r="N334" i="1"/>
  <c r="Q334" i="1" s="1"/>
  <c r="M334" i="1"/>
  <c r="L334" i="1"/>
  <c r="U333" i="1"/>
  <c r="T333" i="1"/>
  <c r="S333" i="1"/>
  <c r="R333" i="1"/>
  <c r="Q333" i="1"/>
  <c r="P333" i="1"/>
  <c r="O333" i="1"/>
  <c r="N333" i="1"/>
  <c r="M333" i="1"/>
  <c r="L333" i="1"/>
  <c r="V333" i="1" s="1"/>
  <c r="U332" i="1"/>
  <c r="T332" i="1"/>
  <c r="S332" i="1"/>
  <c r="R332" i="1"/>
  <c r="Q332" i="1"/>
  <c r="P332" i="1"/>
  <c r="O332" i="1"/>
  <c r="N332" i="1"/>
  <c r="M332" i="1"/>
  <c r="L332" i="1"/>
  <c r="V332" i="1" s="1"/>
  <c r="U331" i="1"/>
  <c r="V331" i="1" s="1"/>
  <c r="T331" i="1"/>
  <c r="S331" i="1"/>
  <c r="R331" i="1"/>
  <c r="Q331" i="1"/>
  <c r="P331" i="1"/>
  <c r="O331" i="1"/>
  <c r="N331" i="1"/>
  <c r="M331" i="1"/>
  <c r="L331" i="1"/>
  <c r="U330" i="1"/>
  <c r="V330" i="1" s="1"/>
  <c r="T330" i="1"/>
  <c r="S330" i="1"/>
  <c r="R330" i="1"/>
  <c r="P330" i="1"/>
  <c r="O330" i="1"/>
  <c r="N330" i="1"/>
  <c r="Q330" i="1" s="1"/>
  <c r="M330" i="1"/>
  <c r="L330" i="1"/>
  <c r="U329" i="1"/>
  <c r="V329" i="1" s="1"/>
  <c r="T329" i="1"/>
  <c r="S329" i="1"/>
  <c r="R329" i="1"/>
  <c r="Q329" i="1"/>
  <c r="P329" i="1"/>
  <c r="O329" i="1"/>
  <c r="N329" i="1"/>
  <c r="M329" i="1"/>
  <c r="L329" i="1"/>
  <c r="V328" i="1"/>
  <c r="U328" i="1"/>
  <c r="T328" i="1"/>
  <c r="S328" i="1"/>
  <c r="R328" i="1"/>
  <c r="P328" i="1"/>
  <c r="O328" i="1"/>
  <c r="N328" i="1"/>
  <c r="Q328" i="1" s="1"/>
  <c r="M328" i="1"/>
  <c r="L328" i="1"/>
  <c r="V327" i="1"/>
  <c r="U327" i="1"/>
  <c r="T327" i="1"/>
  <c r="S327" i="1"/>
  <c r="R327" i="1"/>
  <c r="Q327" i="1"/>
  <c r="P327" i="1"/>
  <c r="O327" i="1"/>
  <c r="N327" i="1"/>
  <c r="M327" i="1"/>
  <c r="L327" i="1"/>
  <c r="V326" i="1"/>
  <c r="U326" i="1"/>
  <c r="T326" i="1"/>
  <c r="S326" i="1"/>
  <c r="R326" i="1"/>
  <c r="P326" i="1"/>
  <c r="O326" i="1"/>
  <c r="N326" i="1"/>
  <c r="Q326" i="1" s="1"/>
  <c r="M326" i="1"/>
  <c r="L326" i="1"/>
  <c r="U325" i="1"/>
  <c r="T325" i="1"/>
  <c r="S325" i="1"/>
  <c r="R325" i="1"/>
  <c r="Q325" i="1"/>
  <c r="P325" i="1"/>
  <c r="O325" i="1"/>
  <c r="N325" i="1"/>
  <c r="M325" i="1"/>
  <c r="L325" i="1"/>
  <c r="V325" i="1" s="1"/>
  <c r="U324" i="1"/>
  <c r="T324" i="1"/>
  <c r="S324" i="1"/>
  <c r="R324" i="1"/>
  <c r="Q324" i="1"/>
  <c r="P324" i="1"/>
  <c r="O324" i="1"/>
  <c r="N324" i="1"/>
  <c r="M324" i="1"/>
  <c r="L324" i="1"/>
  <c r="V324" i="1" s="1"/>
  <c r="U323" i="1"/>
  <c r="V323" i="1" s="1"/>
  <c r="T323" i="1"/>
  <c r="S323" i="1"/>
  <c r="R323" i="1"/>
  <c r="Q323" i="1"/>
  <c r="P323" i="1"/>
  <c r="O323" i="1"/>
  <c r="N323" i="1"/>
  <c r="M323" i="1"/>
  <c r="L323" i="1"/>
  <c r="U322" i="1"/>
  <c r="V322" i="1" s="1"/>
  <c r="T322" i="1"/>
  <c r="S322" i="1"/>
  <c r="R322" i="1"/>
  <c r="P322" i="1"/>
  <c r="O322" i="1"/>
  <c r="N322" i="1"/>
  <c r="Q322" i="1" s="1"/>
  <c r="M322" i="1"/>
  <c r="L322" i="1"/>
  <c r="U321" i="1"/>
  <c r="V321" i="1" s="1"/>
  <c r="T321" i="1"/>
  <c r="S321" i="1"/>
  <c r="R321" i="1"/>
  <c r="Q321" i="1"/>
  <c r="P321" i="1"/>
  <c r="O321" i="1"/>
  <c r="N321" i="1"/>
  <c r="M321" i="1"/>
  <c r="L321" i="1"/>
  <c r="V320" i="1"/>
  <c r="U320" i="1"/>
  <c r="T320" i="1"/>
  <c r="S320" i="1"/>
  <c r="R320" i="1"/>
  <c r="P320" i="1"/>
  <c r="O320" i="1"/>
  <c r="N320" i="1"/>
  <c r="Q320" i="1" s="1"/>
  <c r="M320" i="1"/>
  <c r="L320" i="1"/>
  <c r="V319" i="1"/>
  <c r="U319" i="1"/>
  <c r="T319" i="1"/>
  <c r="S319" i="1"/>
  <c r="R319" i="1"/>
  <c r="Q319" i="1"/>
  <c r="P319" i="1"/>
  <c r="O319" i="1"/>
  <c r="N319" i="1"/>
  <c r="M319" i="1"/>
  <c r="L319" i="1"/>
  <c r="V318" i="1"/>
  <c r="U318" i="1"/>
  <c r="T318" i="1"/>
  <c r="S318" i="1"/>
  <c r="R318" i="1"/>
  <c r="P318" i="1"/>
  <c r="O318" i="1"/>
  <c r="N318" i="1"/>
  <c r="Q318" i="1" s="1"/>
  <c r="M318" i="1"/>
  <c r="L318" i="1"/>
  <c r="U317" i="1"/>
  <c r="T317" i="1"/>
  <c r="S317" i="1"/>
  <c r="R317" i="1"/>
  <c r="Q317" i="1"/>
  <c r="P317" i="1"/>
  <c r="O317" i="1"/>
  <c r="N317" i="1"/>
  <c r="M317" i="1"/>
  <c r="L317" i="1"/>
  <c r="V317" i="1" s="1"/>
  <c r="U316" i="1"/>
  <c r="T316" i="1"/>
  <c r="S316" i="1"/>
  <c r="R316" i="1"/>
  <c r="Q316" i="1"/>
  <c r="P316" i="1"/>
  <c r="O316" i="1"/>
  <c r="N316" i="1"/>
  <c r="M316" i="1"/>
  <c r="L316" i="1"/>
  <c r="V316" i="1" s="1"/>
  <c r="U315" i="1"/>
  <c r="V315" i="1" s="1"/>
  <c r="T315" i="1"/>
  <c r="S315" i="1"/>
  <c r="R315" i="1"/>
  <c r="Q315" i="1"/>
  <c r="P315" i="1"/>
  <c r="O315" i="1"/>
  <c r="N315" i="1"/>
  <c r="M315" i="1"/>
  <c r="L315" i="1"/>
  <c r="U314" i="1"/>
  <c r="V314" i="1" s="1"/>
  <c r="T314" i="1"/>
  <c r="S314" i="1"/>
  <c r="R314" i="1"/>
  <c r="P314" i="1"/>
  <c r="O314" i="1"/>
  <c r="N314" i="1"/>
  <c r="Q314" i="1" s="1"/>
  <c r="M314" i="1"/>
  <c r="L314" i="1"/>
  <c r="U313" i="1"/>
  <c r="V313" i="1" s="1"/>
  <c r="T313" i="1"/>
  <c r="S313" i="1"/>
  <c r="R313" i="1"/>
  <c r="Q313" i="1"/>
  <c r="P313" i="1"/>
  <c r="O313" i="1"/>
  <c r="N313" i="1"/>
  <c r="M313" i="1"/>
  <c r="L313" i="1"/>
  <c r="V312" i="1"/>
  <c r="U312" i="1"/>
  <c r="T312" i="1"/>
  <c r="S312" i="1"/>
  <c r="R312" i="1"/>
  <c r="P312" i="1"/>
  <c r="O312" i="1"/>
  <c r="N312" i="1"/>
  <c r="Q312" i="1" s="1"/>
  <c r="M312" i="1"/>
  <c r="L312" i="1"/>
  <c r="V311" i="1"/>
  <c r="U311" i="1"/>
  <c r="T311" i="1"/>
  <c r="S311" i="1"/>
  <c r="R311" i="1"/>
  <c r="Q311" i="1"/>
  <c r="P311" i="1"/>
  <c r="O311" i="1"/>
  <c r="N311" i="1"/>
  <c r="M311" i="1"/>
  <c r="L311" i="1"/>
  <c r="V310" i="1"/>
  <c r="U310" i="1"/>
  <c r="T310" i="1"/>
  <c r="S310" i="1"/>
  <c r="R310" i="1"/>
  <c r="P310" i="1"/>
  <c r="O310" i="1"/>
  <c r="N310" i="1"/>
  <c r="Q310" i="1" s="1"/>
  <c r="M310" i="1"/>
  <c r="L310" i="1"/>
  <c r="U309" i="1"/>
  <c r="T309" i="1"/>
  <c r="S309" i="1"/>
  <c r="R309" i="1"/>
  <c r="Q309" i="1"/>
  <c r="P309" i="1"/>
  <c r="O309" i="1"/>
  <c r="N309" i="1"/>
  <c r="M309" i="1"/>
  <c r="L309" i="1"/>
  <c r="V309" i="1" s="1"/>
  <c r="U308" i="1"/>
  <c r="T308" i="1"/>
  <c r="S308" i="1"/>
  <c r="R308" i="1"/>
  <c r="Q308" i="1"/>
  <c r="P308" i="1"/>
  <c r="O308" i="1"/>
  <c r="N308" i="1"/>
  <c r="M308" i="1"/>
  <c r="L308" i="1"/>
  <c r="V308" i="1" s="1"/>
  <c r="U307" i="1"/>
  <c r="V307" i="1" s="1"/>
  <c r="T307" i="1"/>
  <c r="S307" i="1"/>
  <c r="R307" i="1"/>
  <c r="Q307" i="1"/>
  <c r="P307" i="1"/>
  <c r="O307" i="1"/>
  <c r="N307" i="1"/>
  <c r="M307" i="1"/>
  <c r="L307" i="1"/>
  <c r="U306" i="1"/>
  <c r="V306" i="1" s="1"/>
  <c r="T306" i="1"/>
  <c r="S306" i="1"/>
  <c r="R306" i="1"/>
  <c r="P306" i="1"/>
  <c r="O306" i="1"/>
  <c r="N306" i="1"/>
  <c r="Q306" i="1" s="1"/>
  <c r="M306" i="1"/>
  <c r="L306" i="1"/>
  <c r="U305" i="1"/>
  <c r="V305" i="1" s="1"/>
  <c r="T305" i="1"/>
  <c r="S305" i="1"/>
  <c r="R305" i="1"/>
  <c r="Q305" i="1"/>
  <c r="P305" i="1"/>
  <c r="O305" i="1"/>
  <c r="N305" i="1"/>
  <c r="M305" i="1"/>
  <c r="L305" i="1"/>
  <c r="V304" i="1"/>
  <c r="U304" i="1"/>
  <c r="T304" i="1"/>
  <c r="S304" i="1"/>
  <c r="R304" i="1"/>
  <c r="P304" i="1"/>
  <c r="O304" i="1"/>
  <c r="N304" i="1"/>
  <c r="Q304" i="1" s="1"/>
  <c r="M304" i="1"/>
  <c r="L304" i="1"/>
  <c r="V303" i="1"/>
  <c r="U303" i="1"/>
  <c r="T303" i="1"/>
  <c r="S303" i="1"/>
  <c r="R303" i="1"/>
  <c r="Q303" i="1"/>
  <c r="P303" i="1"/>
  <c r="O303" i="1"/>
  <c r="N303" i="1"/>
  <c r="M303" i="1"/>
  <c r="L303" i="1"/>
  <c r="V302" i="1"/>
  <c r="U302" i="1"/>
  <c r="T302" i="1"/>
  <c r="S302" i="1"/>
  <c r="R302" i="1"/>
  <c r="P302" i="1"/>
  <c r="O302" i="1"/>
  <c r="N302" i="1"/>
  <c r="Q302" i="1" s="1"/>
  <c r="M302" i="1"/>
  <c r="L302" i="1"/>
  <c r="U301" i="1"/>
  <c r="T301" i="1"/>
  <c r="S301" i="1"/>
  <c r="R301" i="1"/>
  <c r="Q301" i="1"/>
  <c r="P301" i="1"/>
  <c r="O301" i="1"/>
  <c r="N301" i="1"/>
  <c r="M301" i="1"/>
  <c r="L301" i="1"/>
  <c r="V301" i="1" s="1"/>
  <c r="U300" i="1"/>
  <c r="T300" i="1"/>
  <c r="S300" i="1"/>
  <c r="R300" i="1"/>
  <c r="Q300" i="1"/>
  <c r="P300" i="1"/>
  <c r="O300" i="1"/>
  <c r="N300" i="1"/>
  <c r="M300" i="1"/>
  <c r="L300" i="1"/>
  <c r="V300" i="1" s="1"/>
  <c r="U299" i="1"/>
  <c r="V299" i="1" s="1"/>
  <c r="T299" i="1"/>
  <c r="S299" i="1"/>
  <c r="R299" i="1"/>
  <c r="Q299" i="1"/>
  <c r="P299" i="1"/>
  <c r="O299" i="1"/>
  <c r="N299" i="1"/>
  <c r="M299" i="1"/>
  <c r="L299" i="1"/>
  <c r="U298" i="1"/>
  <c r="V298" i="1" s="1"/>
  <c r="T298" i="1"/>
  <c r="S298" i="1"/>
  <c r="R298" i="1"/>
  <c r="P298" i="1"/>
  <c r="O298" i="1"/>
  <c r="N298" i="1"/>
  <c r="Q298" i="1" s="1"/>
  <c r="M298" i="1"/>
  <c r="L298" i="1"/>
  <c r="U297" i="1"/>
  <c r="V297" i="1" s="1"/>
  <c r="T297" i="1"/>
  <c r="S297" i="1"/>
  <c r="R297" i="1"/>
  <c r="Q297" i="1"/>
  <c r="P297" i="1"/>
  <c r="O297" i="1"/>
  <c r="N297" i="1"/>
  <c r="M297" i="1"/>
  <c r="L297" i="1"/>
  <c r="V296" i="1"/>
  <c r="U296" i="1"/>
  <c r="T296" i="1"/>
  <c r="S296" i="1"/>
  <c r="R296" i="1"/>
  <c r="P296" i="1"/>
  <c r="O296" i="1"/>
  <c r="N296" i="1"/>
  <c r="Q296" i="1" s="1"/>
  <c r="M296" i="1"/>
  <c r="L296" i="1"/>
  <c r="V295" i="1"/>
  <c r="U295" i="1"/>
  <c r="T295" i="1"/>
  <c r="S295" i="1"/>
  <c r="R295" i="1"/>
  <c r="Q295" i="1"/>
  <c r="P295" i="1"/>
  <c r="O295" i="1"/>
  <c r="N295" i="1"/>
  <c r="M295" i="1"/>
  <c r="L295" i="1"/>
  <c r="V294" i="1"/>
  <c r="U294" i="1"/>
  <c r="T294" i="1"/>
  <c r="S294" i="1"/>
  <c r="R294" i="1"/>
  <c r="P294" i="1"/>
  <c r="O294" i="1"/>
  <c r="N294" i="1"/>
  <c r="Q294" i="1" s="1"/>
  <c r="M294" i="1"/>
  <c r="L294" i="1"/>
  <c r="U293" i="1"/>
  <c r="T293" i="1"/>
  <c r="S293" i="1"/>
  <c r="R293" i="1"/>
  <c r="Q293" i="1"/>
  <c r="P293" i="1"/>
  <c r="O293" i="1"/>
  <c r="N293" i="1"/>
  <c r="M293" i="1"/>
  <c r="L293" i="1"/>
  <c r="V293" i="1" s="1"/>
  <c r="U292" i="1"/>
  <c r="T292" i="1"/>
  <c r="S292" i="1"/>
  <c r="R292" i="1"/>
  <c r="Q292" i="1"/>
  <c r="P292" i="1"/>
  <c r="O292" i="1"/>
  <c r="N292" i="1"/>
  <c r="M292" i="1"/>
  <c r="L292" i="1"/>
  <c r="V292" i="1" s="1"/>
  <c r="U291" i="1"/>
  <c r="V291" i="1" s="1"/>
  <c r="T291" i="1"/>
  <c r="S291" i="1"/>
  <c r="R291" i="1"/>
  <c r="Q291" i="1"/>
  <c r="P291" i="1"/>
  <c r="O291" i="1"/>
  <c r="N291" i="1"/>
  <c r="M291" i="1"/>
  <c r="L291" i="1"/>
  <c r="U290" i="1"/>
  <c r="V290" i="1" s="1"/>
  <c r="T290" i="1"/>
  <c r="S290" i="1"/>
  <c r="R290" i="1"/>
  <c r="P290" i="1"/>
  <c r="O290" i="1"/>
  <c r="N290" i="1"/>
  <c r="Q290" i="1" s="1"/>
  <c r="M290" i="1"/>
  <c r="L290" i="1"/>
  <c r="U289" i="1"/>
  <c r="V289" i="1" s="1"/>
  <c r="T289" i="1"/>
  <c r="S289" i="1"/>
  <c r="R289" i="1"/>
  <c r="Q289" i="1"/>
  <c r="P289" i="1"/>
  <c r="O289" i="1"/>
  <c r="N289" i="1"/>
  <c r="M289" i="1"/>
  <c r="L289" i="1"/>
  <c r="V288" i="1"/>
  <c r="U288" i="1"/>
  <c r="T288" i="1"/>
  <c r="S288" i="1"/>
  <c r="R288" i="1"/>
  <c r="P288" i="1"/>
  <c r="O288" i="1"/>
  <c r="N288" i="1"/>
  <c r="Q288" i="1" s="1"/>
  <c r="M288" i="1"/>
  <c r="L288" i="1"/>
  <c r="V287" i="1"/>
  <c r="U287" i="1"/>
  <c r="T287" i="1"/>
  <c r="S287" i="1"/>
  <c r="R287" i="1"/>
  <c r="Q287" i="1"/>
  <c r="P287" i="1"/>
  <c r="O287" i="1"/>
  <c r="N287" i="1"/>
  <c r="M287" i="1"/>
  <c r="L287" i="1"/>
  <c r="V286" i="1"/>
  <c r="U286" i="1"/>
  <c r="T286" i="1"/>
  <c r="S286" i="1"/>
  <c r="R286" i="1"/>
  <c r="P286" i="1"/>
  <c r="O286" i="1"/>
  <c r="N286" i="1"/>
  <c r="Q286" i="1" s="1"/>
  <c r="M286" i="1"/>
  <c r="L286" i="1"/>
  <c r="U285" i="1"/>
  <c r="T285" i="1"/>
  <c r="S285" i="1"/>
  <c r="R285" i="1"/>
  <c r="Q285" i="1"/>
  <c r="P285" i="1"/>
  <c r="O285" i="1"/>
  <c r="N285" i="1"/>
  <c r="M285" i="1"/>
  <c r="L285" i="1"/>
  <c r="V285" i="1" s="1"/>
  <c r="U284" i="1"/>
  <c r="T284" i="1"/>
  <c r="S284" i="1"/>
  <c r="R284" i="1"/>
  <c r="Q284" i="1"/>
  <c r="P284" i="1"/>
  <c r="O284" i="1"/>
  <c r="N284" i="1"/>
  <c r="M284" i="1"/>
  <c r="L284" i="1"/>
  <c r="V284" i="1" s="1"/>
  <c r="U283" i="1"/>
  <c r="V283" i="1" s="1"/>
  <c r="T283" i="1"/>
  <c r="S283" i="1"/>
  <c r="R283" i="1"/>
  <c r="Q283" i="1"/>
  <c r="P283" i="1"/>
  <c r="O283" i="1"/>
  <c r="N283" i="1"/>
  <c r="M283" i="1"/>
  <c r="L283" i="1"/>
  <c r="U282" i="1"/>
  <c r="V282" i="1" s="1"/>
  <c r="T282" i="1"/>
  <c r="S282" i="1"/>
  <c r="R282" i="1"/>
  <c r="P282" i="1"/>
  <c r="O282" i="1"/>
  <c r="N282" i="1"/>
  <c r="Q282" i="1" s="1"/>
  <c r="M282" i="1"/>
  <c r="L282" i="1"/>
  <c r="U281" i="1"/>
  <c r="V281" i="1" s="1"/>
  <c r="T281" i="1"/>
  <c r="S281" i="1"/>
  <c r="R281" i="1"/>
  <c r="Q281" i="1"/>
  <c r="P281" i="1"/>
  <c r="O281" i="1"/>
  <c r="N281" i="1"/>
  <c r="M281" i="1"/>
  <c r="L281" i="1"/>
  <c r="V280" i="1"/>
  <c r="U280" i="1"/>
  <c r="T280" i="1"/>
  <c r="S280" i="1"/>
  <c r="R280" i="1"/>
  <c r="P280" i="1"/>
  <c r="O280" i="1"/>
  <c r="N280" i="1"/>
  <c r="Q280" i="1" s="1"/>
  <c r="M280" i="1"/>
  <c r="L280" i="1"/>
  <c r="V279" i="1"/>
  <c r="U279" i="1"/>
  <c r="T279" i="1"/>
  <c r="S279" i="1"/>
  <c r="R279" i="1"/>
  <c r="Q279" i="1"/>
  <c r="P279" i="1"/>
  <c r="O279" i="1"/>
  <c r="N279" i="1"/>
  <c r="M279" i="1"/>
  <c r="L279" i="1"/>
  <c r="V278" i="1"/>
  <c r="U278" i="1"/>
  <c r="T278" i="1"/>
  <c r="S278" i="1"/>
  <c r="R278" i="1"/>
  <c r="P278" i="1"/>
  <c r="O278" i="1"/>
  <c r="N278" i="1"/>
  <c r="Q278" i="1" s="1"/>
  <c r="M278" i="1"/>
  <c r="L278" i="1"/>
  <c r="U277" i="1"/>
  <c r="T277" i="1"/>
  <c r="S277" i="1"/>
  <c r="R277" i="1"/>
  <c r="Q277" i="1"/>
  <c r="P277" i="1"/>
  <c r="O277" i="1"/>
  <c r="N277" i="1"/>
  <c r="M277" i="1"/>
  <c r="L277" i="1"/>
  <c r="V277" i="1" s="1"/>
  <c r="U276" i="1"/>
  <c r="T276" i="1"/>
  <c r="S276" i="1"/>
  <c r="R276" i="1"/>
  <c r="Q276" i="1"/>
  <c r="P276" i="1"/>
  <c r="O276" i="1"/>
  <c r="N276" i="1"/>
  <c r="M276" i="1"/>
  <c r="L276" i="1"/>
  <c r="V276" i="1" s="1"/>
  <c r="U275" i="1"/>
  <c r="V275" i="1" s="1"/>
  <c r="T275" i="1"/>
  <c r="S275" i="1"/>
  <c r="R275" i="1"/>
  <c r="Q275" i="1"/>
  <c r="P275" i="1"/>
  <c r="O275" i="1"/>
  <c r="N275" i="1"/>
  <c r="M275" i="1"/>
  <c r="L275" i="1"/>
  <c r="U274" i="1"/>
  <c r="V274" i="1" s="1"/>
  <c r="T274" i="1"/>
  <c r="S274" i="1"/>
  <c r="R274" i="1"/>
  <c r="P274" i="1"/>
  <c r="O274" i="1"/>
  <c r="N274" i="1"/>
  <c r="Q274" i="1" s="1"/>
  <c r="M274" i="1"/>
  <c r="L274" i="1"/>
  <c r="U273" i="1"/>
  <c r="V273" i="1" s="1"/>
  <c r="T273" i="1"/>
  <c r="S273" i="1"/>
  <c r="R273" i="1"/>
  <c r="Q273" i="1"/>
  <c r="P273" i="1"/>
  <c r="O273" i="1"/>
  <c r="N273" i="1"/>
  <c r="M273" i="1"/>
  <c r="L273" i="1"/>
  <c r="V272" i="1"/>
  <c r="U272" i="1"/>
  <c r="T272" i="1"/>
  <c r="S272" i="1"/>
  <c r="R272" i="1"/>
  <c r="P272" i="1"/>
  <c r="O272" i="1"/>
  <c r="N272" i="1"/>
  <c r="Q272" i="1" s="1"/>
  <c r="M272" i="1"/>
  <c r="L272" i="1"/>
  <c r="V271" i="1"/>
  <c r="U271" i="1"/>
  <c r="T271" i="1"/>
  <c r="S271" i="1"/>
  <c r="R271" i="1"/>
  <c r="Q271" i="1"/>
  <c r="P271" i="1"/>
  <c r="O271" i="1"/>
  <c r="N271" i="1"/>
  <c r="M271" i="1"/>
  <c r="L271" i="1"/>
  <c r="V270" i="1"/>
  <c r="U270" i="1"/>
  <c r="T270" i="1"/>
  <c r="S270" i="1"/>
  <c r="R270" i="1"/>
  <c r="P270" i="1"/>
  <c r="O270" i="1"/>
  <c r="N270" i="1"/>
  <c r="Q270" i="1" s="1"/>
  <c r="M270" i="1"/>
  <c r="L270" i="1"/>
  <c r="U269" i="1"/>
  <c r="T269" i="1"/>
  <c r="S269" i="1"/>
  <c r="R269" i="1"/>
  <c r="Q269" i="1"/>
  <c r="P269" i="1"/>
  <c r="O269" i="1"/>
  <c r="N269" i="1"/>
  <c r="M269" i="1"/>
  <c r="L269" i="1"/>
  <c r="V269" i="1" s="1"/>
  <c r="U268" i="1"/>
  <c r="T268" i="1"/>
  <c r="S268" i="1"/>
  <c r="R268" i="1"/>
  <c r="Q268" i="1"/>
  <c r="P268" i="1"/>
  <c r="O268" i="1"/>
  <c r="N268" i="1"/>
  <c r="M268" i="1"/>
  <c r="L268" i="1"/>
  <c r="V268" i="1" s="1"/>
  <c r="U267" i="1"/>
  <c r="V267" i="1" s="1"/>
  <c r="T267" i="1"/>
  <c r="S267" i="1"/>
  <c r="R267" i="1"/>
  <c r="Q267" i="1"/>
  <c r="P267" i="1"/>
  <c r="O267" i="1"/>
  <c r="N267" i="1"/>
  <c r="M267" i="1"/>
  <c r="L267" i="1"/>
  <c r="U266" i="1"/>
  <c r="V266" i="1" s="1"/>
  <c r="T266" i="1"/>
  <c r="S266" i="1"/>
  <c r="R266" i="1"/>
  <c r="P266" i="1"/>
  <c r="O266" i="1"/>
  <c r="N266" i="1"/>
  <c r="Q266" i="1" s="1"/>
  <c r="M266" i="1"/>
  <c r="L266" i="1"/>
  <c r="U265" i="1"/>
  <c r="V265" i="1" s="1"/>
  <c r="T265" i="1"/>
  <c r="S265" i="1"/>
  <c r="R265" i="1"/>
  <c r="Q265" i="1"/>
  <c r="P265" i="1"/>
  <c r="O265" i="1"/>
  <c r="N265" i="1"/>
  <c r="M265" i="1"/>
  <c r="L265" i="1"/>
  <c r="V264" i="1"/>
  <c r="U264" i="1"/>
  <c r="T264" i="1"/>
  <c r="S264" i="1"/>
  <c r="R264" i="1"/>
  <c r="P264" i="1"/>
  <c r="O264" i="1"/>
  <c r="N264" i="1"/>
  <c r="Q264" i="1" s="1"/>
  <c r="M264" i="1"/>
  <c r="L264" i="1"/>
  <c r="V263" i="1"/>
  <c r="U263" i="1"/>
  <c r="T263" i="1"/>
  <c r="S263" i="1"/>
  <c r="R263" i="1"/>
  <c r="Q263" i="1"/>
  <c r="P263" i="1"/>
  <c r="O263" i="1"/>
  <c r="N263" i="1"/>
  <c r="M263" i="1"/>
  <c r="L263" i="1"/>
  <c r="V262" i="1"/>
  <c r="U262" i="1"/>
  <c r="T262" i="1"/>
  <c r="S262" i="1"/>
  <c r="R262" i="1"/>
  <c r="P262" i="1"/>
  <c r="O262" i="1"/>
  <c r="N262" i="1"/>
  <c r="Q262" i="1" s="1"/>
  <c r="M262" i="1"/>
  <c r="L262" i="1"/>
  <c r="U261" i="1"/>
  <c r="T261" i="1"/>
  <c r="S261" i="1"/>
  <c r="R261" i="1"/>
  <c r="Q261" i="1"/>
  <c r="P261" i="1"/>
  <c r="O261" i="1"/>
  <c r="N261" i="1"/>
  <c r="M261" i="1"/>
  <c r="L261" i="1"/>
  <c r="V261" i="1" s="1"/>
  <c r="U260" i="1"/>
  <c r="T260" i="1"/>
  <c r="S260" i="1"/>
  <c r="R260" i="1"/>
  <c r="Q260" i="1"/>
  <c r="P260" i="1"/>
  <c r="O260" i="1"/>
  <c r="N260" i="1"/>
  <c r="M260" i="1"/>
  <c r="L260" i="1"/>
  <c r="V260" i="1" s="1"/>
  <c r="U259" i="1"/>
  <c r="V259" i="1" s="1"/>
  <c r="T259" i="1"/>
  <c r="S259" i="1"/>
  <c r="R259" i="1"/>
  <c r="Q259" i="1"/>
  <c r="P259" i="1"/>
  <c r="O259" i="1"/>
  <c r="N259" i="1"/>
  <c r="M259" i="1"/>
  <c r="L259" i="1"/>
  <c r="U258" i="1"/>
  <c r="V258" i="1" s="1"/>
  <c r="T258" i="1"/>
  <c r="S258" i="1"/>
  <c r="R258" i="1"/>
  <c r="P258" i="1"/>
  <c r="O258" i="1"/>
  <c r="N258" i="1"/>
  <c r="Q258" i="1" s="1"/>
  <c r="M258" i="1"/>
  <c r="L258" i="1"/>
  <c r="U257" i="1"/>
  <c r="V257" i="1" s="1"/>
  <c r="T257" i="1"/>
  <c r="S257" i="1"/>
  <c r="R257" i="1"/>
  <c r="Q257" i="1"/>
  <c r="P257" i="1"/>
  <c r="O257" i="1"/>
  <c r="N257" i="1"/>
  <c r="M257" i="1"/>
  <c r="L257" i="1"/>
  <c r="V256" i="1"/>
  <c r="U256" i="1"/>
  <c r="T256" i="1"/>
  <c r="S256" i="1"/>
  <c r="R256" i="1"/>
  <c r="P256" i="1"/>
  <c r="O256" i="1"/>
  <c r="N256" i="1"/>
  <c r="Q256" i="1" s="1"/>
  <c r="M256" i="1"/>
  <c r="L256" i="1"/>
  <c r="V255" i="1"/>
  <c r="U255" i="1"/>
  <c r="T255" i="1"/>
  <c r="S255" i="1"/>
  <c r="R255" i="1"/>
  <c r="Q255" i="1"/>
  <c r="P255" i="1"/>
  <c r="O255" i="1"/>
  <c r="N255" i="1"/>
  <c r="M255" i="1"/>
  <c r="L255" i="1"/>
  <c r="V254" i="1"/>
  <c r="U254" i="1"/>
  <c r="T254" i="1"/>
  <c r="S254" i="1"/>
  <c r="R254" i="1"/>
  <c r="P254" i="1"/>
  <c r="O254" i="1"/>
  <c r="N254" i="1"/>
  <c r="Q254" i="1" s="1"/>
  <c r="M254" i="1"/>
  <c r="L254" i="1"/>
  <c r="U253" i="1"/>
  <c r="T253" i="1"/>
  <c r="S253" i="1"/>
  <c r="R253" i="1"/>
  <c r="Q253" i="1"/>
  <c r="P253" i="1"/>
  <c r="O253" i="1"/>
  <c r="N253" i="1"/>
  <c r="M253" i="1"/>
  <c r="L253" i="1"/>
  <c r="V253" i="1" s="1"/>
  <c r="U252" i="1"/>
  <c r="T252" i="1"/>
  <c r="S252" i="1"/>
  <c r="R252" i="1"/>
  <c r="Q252" i="1"/>
  <c r="P252" i="1"/>
  <c r="O252" i="1"/>
  <c r="N252" i="1"/>
  <c r="M252" i="1"/>
  <c r="L252" i="1"/>
  <c r="V252" i="1" s="1"/>
  <c r="U251" i="1"/>
  <c r="V251" i="1" s="1"/>
  <c r="T251" i="1"/>
  <c r="S251" i="1"/>
  <c r="R251" i="1"/>
  <c r="Q251" i="1"/>
  <c r="P251" i="1"/>
  <c r="O251" i="1"/>
  <c r="N251" i="1"/>
  <c r="M251" i="1"/>
  <c r="L251" i="1"/>
  <c r="U250" i="1"/>
  <c r="V250" i="1" s="1"/>
  <c r="T250" i="1"/>
  <c r="S250" i="1"/>
  <c r="R250" i="1"/>
  <c r="P250" i="1"/>
  <c r="O250" i="1"/>
  <c r="N250" i="1"/>
  <c r="Q250" i="1" s="1"/>
  <c r="M250" i="1"/>
  <c r="L250" i="1"/>
  <c r="U249" i="1"/>
  <c r="V249" i="1" s="1"/>
  <c r="T249" i="1"/>
  <c r="S249" i="1"/>
  <c r="R249" i="1"/>
  <c r="Q249" i="1"/>
  <c r="P249" i="1"/>
  <c r="O249" i="1"/>
  <c r="N249" i="1"/>
  <c r="M249" i="1"/>
  <c r="L249" i="1"/>
  <c r="V248" i="1"/>
  <c r="U248" i="1"/>
  <c r="T248" i="1"/>
  <c r="S248" i="1"/>
  <c r="R248" i="1"/>
  <c r="P248" i="1"/>
  <c r="O248" i="1"/>
  <c r="N248" i="1"/>
  <c r="Q248" i="1" s="1"/>
  <c r="M248" i="1"/>
  <c r="L248" i="1"/>
  <c r="V247" i="1"/>
  <c r="U247" i="1"/>
  <c r="T247" i="1"/>
  <c r="S247" i="1"/>
  <c r="R247" i="1"/>
  <c r="Q247" i="1"/>
  <c r="P247" i="1"/>
  <c r="O247" i="1"/>
  <c r="N247" i="1"/>
  <c r="M247" i="1"/>
  <c r="L247" i="1"/>
  <c r="V246" i="1"/>
  <c r="U246" i="1"/>
  <c r="T246" i="1"/>
  <c r="S246" i="1"/>
  <c r="R246" i="1"/>
  <c r="P246" i="1"/>
  <c r="O246" i="1"/>
  <c r="N246" i="1"/>
  <c r="Q246" i="1" s="1"/>
  <c r="M246" i="1"/>
  <c r="L246" i="1"/>
  <c r="U245" i="1"/>
  <c r="T245" i="1"/>
  <c r="S245" i="1"/>
  <c r="R245" i="1"/>
  <c r="Q245" i="1"/>
  <c r="P245" i="1"/>
  <c r="O245" i="1"/>
  <c r="N245" i="1"/>
  <c r="M245" i="1"/>
  <c r="L245" i="1"/>
  <c r="V245" i="1" s="1"/>
  <c r="U244" i="1"/>
  <c r="T244" i="1"/>
  <c r="S244" i="1"/>
  <c r="R244" i="1"/>
  <c r="Q244" i="1"/>
  <c r="P244" i="1"/>
  <c r="O244" i="1"/>
  <c r="N244" i="1"/>
  <c r="M244" i="1"/>
  <c r="L244" i="1"/>
  <c r="V244" i="1" s="1"/>
  <c r="U243" i="1"/>
  <c r="V243" i="1" s="1"/>
  <c r="T243" i="1"/>
  <c r="S243" i="1"/>
  <c r="R243" i="1"/>
  <c r="Q243" i="1"/>
  <c r="P243" i="1"/>
  <c r="O243" i="1"/>
  <c r="N243" i="1"/>
  <c r="M243" i="1"/>
  <c r="L243" i="1"/>
  <c r="U242" i="1"/>
  <c r="V242" i="1" s="1"/>
  <c r="T242" i="1"/>
  <c r="S242" i="1"/>
  <c r="R242" i="1"/>
  <c r="P242" i="1"/>
  <c r="O242" i="1"/>
  <c r="N242" i="1"/>
  <c r="Q242" i="1" s="1"/>
  <c r="M242" i="1"/>
  <c r="L242" i="1"/>
  <c r="U241" i="1"/>
  <c r="V241" i="1" s="1"/>
  <c r="T241" i="1"/>
  <c r="S241" i="1"/>
  <c r="R241" i="1"/>
  <c r="Q241" i="1"/>
  <c r="P241" i="1"/>
  <c r="O241" i="1"/>
  <c r="N241" i="1"/>
  <c r="M241" i="1"/>
  <c r="L241" i="1"/>
  <c r="V240" i="1"/>
  <c r="U240" i="1"/>
  <c r="T240" i="1"/>
  <c r="S240" i="1"/>
  <c r="R240" i="1"/>
  <c r="P240" i="1"/>
  <c r="O240" i="1"/>
  <c r="N240" i="1"/>
  <c r="Q240" i="1" s="1"/>
  <c r="M240" i="1"/>
  <c r="L240" i="1"/>
  <c r="V239" i="1"/>
  <c r="U239" i="1"/>
  <c r="T239" i="1"/>
  <c r="S239" i="1"/>
  <c r="R239" i="1"/>
  <c r="Q239" i="1"/>
  <c r="P239" i="1"/>
  <c r="O239" i="1"/>
  <c r="N239" i="1"/>
  <c r="M239" i="1"/>
  <c r="L239" i="1"/>
  <c r="V238" i="1"/>
  <c r="U238" i="1"/>
  <c r="T238" i="1"/>
  <c r="S238" i="1"/>
  <c r="R238" i="1"/>
  <c r="P238" i="1"/>
  <c r="O238" i="1"/>
  <c r="N238" i="1"/>
  <c r="Q238" i="1" s="1"/>
  <c r="M238" i="1"/>
  <c r="L238" i="1"/>
  <c r="U237" i="1"/>
  <c r="T237" i="1"/>
  <c r="S237" i="1"/>
  <c r="R237" i="1"/>
  <c r="Q237" i="1"/>
  <c r="P237" i="1"/>
  <c r="O237" i="1"/>
  <c r="N237" i="1"/>
  <c r="M237" i="1"/>
  <c r="L237" i="1"/>
  <c r="V237" i="1" s="1"/>
  <c r="U236" i="1"/>
  <c r="T236" i="1"/>
  <c r="S236" i="1"/>
  <c r="R236" i="1"/>
  <c r="Q236" i="1"/>
  <c r="P236" i="1"/>
  <c r="O236" i="1"/>
  <c r="N236" i="1"/>
  <c r="M236" i="1"/>
  <c r="L236" i="1"/>
  <c r="V236" i="1" s="1"/>
  <c r="U235" i="1"/>
  <c r="V235" i="1" s="1"/>
  <c r="T235" i="1"/>
  <c r="S235" i="1"/>
  <c r="R235" i="1"/>
  <c r="Q235" i="1"/>
  <c r="P235" i="1"/>
  <c r="O235" i="1"/>
  <c r="N235" i="1"/>
  <c r="M235" i="1"/>
  <c r="L235" i="1"/>
  <c r="U234" i="1"/>
  <c r="V234" i="1" s="1"/>
  <c r="T234" i="1"/>
  <c r="S234" i="1"/>
  <c r="R234" i="1"/>
  <c r="P234" i="1"/>
  <c r="O234" i="1"/>
  <c r="N234" i="1"/>
  <c r="Q234" i="1" s="1"/>
  <c r="M234" i="1"/>
  <c r="L234" i="1"/>
  <c r="U233" i="1"/>
  <c r="V233" i="1" s="1"/>
  <c r="T233" i="1"/>
  <c r="S233" i="1"/>
  <c r="R233" i="1"/>
  <c r="Q233" i="1"/>
  <c r="P233" i="1"/>
  <c r="O233" i="1"/>
  <c r="N233" i="1"/>
  <c r="M233" i="1"/>
  <c r="L233" i="1"/>
  <c r="V232" i="1"/>
  <c r="U232" i="1"/>
  <c r="T232" i="1"/>
  <c r="S232" i="1"/>
  <c r="R232" i="1"/>
  <c r="P232" i="1"/>
  <c r="O232" i="1"/>
  <c r="N232" i="1"/>
  <c r="Q232" i="1" s="1"/>
  <c r="M232" i="1"/>
  <c r="L232" i="1"/>
  <c r="V231" i="1"/>
  <c r="U231" i="1"/>
  <c r="T231" i="1"/>
  <c r="S231" i="1"/>
  <c r="R231" i="1"/>
  <c r="Q231" i="1"/>
  <c r="P231" i="1"/>
  <c r="O231" i="1"/>
  <c r="N231" i="1"/>
  <c r="M231" i="1"/>
  <c r="L231" i="1"/>
  <c r="V230" i="1"/>
  <c r="U230" i="1"/>
  <c r="T230" i="1"/>
  <c r="S230" i="1"/>
  <c r="R230" i="1"/>
  <c r="P230" i="1"/>
  <c r="O230" i="1"/>
  <c r="N230" i="1"/>
  <c r="Q230" i="1" s="1"/>
  <c r="M230" i="1"/>
  <c r="L230" i="1"/>
  <c r="U229" i="1"/>
  <c r="T229" i="1"/>
  <c r="S229" i="1"/>
  <c r="R229" i="1"/>
  <c r="Q229" i="1"/>
  <c r="P229" i="1"/>
  <c r="O229" i="1"/>
  <c r="N229" i="1"/>
  <c r="M229" i="1"/>
  <c r="L229" i="1"/>
  <c r="V229" i="1" s="1"/>
  <c r="U228" i="1"/>
  <c r="T228" i="1"/>
  <c r="S228" i="1"/>
  <c r="R228" i="1"/>
  <c r="Q228" i="1"/>
  <c r="P228" i="1"/>
  <c r="O228" i="1"/>
  <c r="N228" i="1"/>
  <c r="M228" i="1"/>
  <c r="L228" i="1"/>
  <c r="V228" i="1" s="1"/>
  <c r="U227" i="1"/>
  <c r="V227" i="1" s="1"/>
  <c r="T227" i="1"/>
  <c r="S227" i="1"/>
  <c r="R227" i="1"/>
  <c r="Q227" i="1"/>
  <c r="P227" i="1"/>
  <c r="O227" i="1"/>
  <c r="N227" i="1"/>
  <c r="M227" i="1"/>
  <c r="L227" i="1"/>
  <c r="U226" i="1"/>
  <c r="V226" i="1" s="1"/>
  <c r="T226" i="1"/>
  <c r="S226" i="1"/>
  <c r="R226" i="1"/>
  <c r="P226" i="1"/>
  <c r="O226" i="1"/>
  <c r="N226" i="1"/>
  <c r="Q226" i="1" s="1"/>
  <c r="M226" i="1"/>
  <c r="L226" i="1"/>
  <c r="U225" i="1"/>
  <c r="V225" i="1" s="1"/>
  <c r="T225" i="1"/>
  <c r="S225" i="1"/>
  <c r="R225" i="1"/>
  <c r="Q225" i="1"/>
  <c r="P225" i="1"/>
  <c r="O225" i="1"/>
  <c r="N225" i="1"/>
  <c r="M225" i="1"/>
  <c r="L225" i="1"/>
  <c r="V224" i="1"/>
  <c r="U224" i="1"/>
  <c r="T224" i="1"/>
  <c r="S224" i="1"/>
  <c r="R224" i="1"/>
  <c r="P224" i="1"/>
  <c r="O224" i="1"/>
  <c r="N224" i="1"/>
  <c r="Q224" i="1" s="1"/>
  <c r="M224" i="1"/>
  <c r="L224" i="1"/>
  <c r="V223" i="1"/>
  <c r="U223" i="1"/>
  <c r="T223" i="1"/>
  <c r="S223" i="1"/>
  <c r="R223" i="1"/>
  <c r="Q223" i="1"/>
  <c r="P223" i="1"/>
  <c r="O223" i="1"/>
  <c r="N223" i="1"/>
  <c r="M223" i="1"/>
  <c r="L223" i="1"/>
  <c r="V222" i="1"/>
  <c r="U222" i="1"/>
  <c r="T222" i="1"/>
  <c r="S222" i="1"/>
  <c r="R222" i="1"/>
  <c r="P222" i="1"/>
  <c r="O222" i="1"/>
  <c r="N222" i="1"/>
  <c r="Q222" i="1" s="1"/>
  <c r="M222" i="1"/>
  <c r="L222" i="1"/>
  <c r="U221" i="1"/>
  <c r="T221" i="1"/>
  <c r="S221" i="1"/>
  <c r="R221" i="1"/>
  <c r="Q221" i="1"/>
  <c r="P221" i="1"/>
  <c r="O221" i="1"/>
  <c r="N221" i="1"/>
  <c r="M221" i="1"/>
  <c r="L221" i="1"/>
  <c r="V221" i="1" s="1"/>
  <c r="U220" i="1"/>
  <c r="T220" i="1"/>
  <c r="S220" i="1"/>
  <c r="R220" i="1"/>
  <c r="Q220" i="1"/>
  <c r="P220" i="1"/>
  <c r="O220" i="1"/>
  <c r="N220" i="1"/>
  <c r="M220" i="1"/>
  <c r="L220" i="1"/>
  <c r="V220" i="1" s="1"/>
  <c r="U219" i="1"/>
  <c r="V219" i="1" s="1"/>
  <c r="T219" i="1"/>
  <c r="S219" i="1"/>
  <c r="R219" i="1"/>
  <c r="Q219" i="1"/>
  <c r="P219" i="1"/>
  <c r="O219" i="1"/>
  <c r="N219" i="1"/>
  <c r="M219" i="1"/>
  <c r="L219" i="1"/>
  <c r="U218" i="1"/>
  <c r="V218" i="1" s="1"/>
  <c r="T218" i="1"/>
  <c r="S218" i="1"/>
  <c r="R218" i="1"/>
  <c r="P218" i="1"/>
  <c r="O218" i="1"/>
  <c r="N218" i="1"/>
  <c r="Q218" i="1" s="1"/>
  <c r="M218" i="1"/>
  <c r="L218" i="1"/>
  <c r="U217" i="1"/>
  <c r="V217" i="1" s="1"/>
  <c r="T217" i="1"/>
  <c r="S217" i="1"/>
  <c r="R217" i="1"/>
  <c r="Q217" i="1"/>
  <c r="P217" i="1"/>
  <c r="O217" i="1"/>
  <c r="N217" i="1"/>
  <c r="M217" i="1"/>
  <c r="L217" i="1"/>
  <c r="V216" i="1"/>
  <c r="U216" i="1"/>
  <c r="T216" i="1"/>
  <c r="S216" i="1"/>
  <c r="R216" i="1"/>
  <c r="P216" i="1"/>
  <c r="O216" i="1"/>
  <c r="N216" i="1"/>
  <c r="Q216" i="1" s="1"/>
  <c r="M216" i="1"/>
  <c r="L216" i="1"/>
  <c r="V215" i="1"/>
  <c r="U215" i="1"/>
  <c r="T215" i="1"/>
  <c r="S215" i="1"/>
  <c r="R215" i="1"/>
  <c r="Q215" i="1"/>
  <c r="P215" i="1"/>
  <c r="O215" i="1"/>
  <c r="N215" i="1"/>
  <c r="M215" i="1"/>
  <c r="L215" i="1"/>
  <c r="V214" i="1"/>
  <c r="U214" i="1"/>
  <c r="T214" i="1"/>
  <c r="S214" i="1"/>
  <c r="R214" i="1"/>
  <c r="P214" i="1"/>
  <c r="O214" i="1"/>
  <c r="N214" i="1"/>
  <c r="Q214" i="1" s="1"/>
  <c r="M214" i="1"/>
  <c r="L214" i="1"/>
  <c r="U213" i="1"/>
  <c r="T213" i="1"/>
  <c r="S213" i="1"/>
  <c r="R213" i="1"/>
  <c r="Q213" i="1"/>
  <c r="P213" i="1"/>
  <c r="O213" i="1"/>
  <c r="N213" i="1"/>
  <c r="M213" i="1"/>
  <c r="L213" i="1"/>
  <c r="V213" i="1" s="1"/>
  <c r="U212" i="1"/>
  <c r="T212" i="1"/>
  <c r="S212" i="1"/>
  <c r="R212" i="1"/>
  <c r="Q212" i="1"/>
  <c r="P212" i="1"/>
  <c r="O212" i="1"/>
  <c r="N212" i="1"/>
  <c r="M212" i="1"/>
  <c r="L212" i="1"/>
  <c r="V212" i="1" s="1"/>
  <c r="U211" i="1"/>
  <c r="V211" i="1" s="1"/>
  <c r="T211" i="1"/>
  <c r="S211" i="1"/>
  <c r="R211" i="1"/>
  <c r="Q211" i="1"/>
  <c r="P211" i="1"/>
  <c r="O211" i="1"/>
  <c r="N211" i="1"/>
  <c r="M211" i="1"/>
  <c r="L211" i="1"/>
  <c r="U210" i="1"/>
  <c r="V210" i="1" s="1"/>
  <c r="T210" i="1"/>
  <c r="S210" i="1"/>
  <c r="R210" i="1"/>
  <c r="P210" i="1"/>
  <c r="O210" i="1"/>
  <c r="N210" i="1"/>
  <c r="Q210" i="1" s="1"/>
  <c r="M210" i="1"/>
  <c r="L210" i="1"/>
  <c r="U209" i="1"/>
  <c r="V209" i="1" s="1"/>
  <c r="T209" i="1"/>
  <c r="S209" i="1"/>
  <c r="R209" i="1"/>
  <c r="Q209" i="1"/>
  <c r="P209" i="1"/>
  <c r="O209" i="1"/>
  <c r="N209" i="1"/>
  <c r="M209" i="1"/>
  <c r="L209" i="1"/>
  <c r="V208" i="1"/>
  <c r="U208" i="1"/>
  <c r="T208" i="1"/>
  <c r="S208" i="1"/>
  <c r="R208" i="1"/>
  <c r="P208" i="1"/>
  <c r="O208" i="1"/>
  <c r="N208" i="1"/>
  <c r="Q208" i="1" s="1"/>
  <c r="M208" i="1"/>
  <c r="L208" i="1"/>
  <c r="V207" i="1"/>
  <c r="U207" i="1"/>
  <c r="T207" i="1"/>
  <c r="S207" i="1"/>
  <c r="R207" i="1"/>
  <c r="Q207" i="1"/>
  <c r="P207" i="1"/>
  <c r="O207" i="1"/>
  <c r="N207" i="1"/>
  <c r="M207" i="1"/>
  <c r="L207" i="1"/>
  <c r="V206" i="1"/>
  <c r="U206" i="1"/>
  <c r="T206" i="1"/>
  <c r="S206" i="1"/>
  <c r="R206" i="1"/>
  <c r="P206" i="1"/>
  <c r="O206" i="1"/>
  <c r="N206" i="1"/>
  <c r="Q206" i="1" s="1"/>
  <c r="M206" i="1"/>
  <c r="L206" i="1"/>
  <c r="U205" i="1"/>
  <c r="T205" i="1"/>
  <c r="S205" i="1"/>
  <c r="R205" i="1"/>
  <c r="Q205" i="1"/>
  <c r="P205" i="1"/>
  <c r="O205" i="1"/>
  <c r="N205" i="1"/>
  <c r="M205" i="1"/>
  <c r="L205" i="1"/>
  <c r="V205" i="1" s="1"/>
  <c r="U204" i="1"/>
  <c r="T204" i="1"/>
  <c r="S204" i="1"/>
  <c r="R204" i="1"/>
  <c r="Q204" i="1"/>
  <c r="P204" i="1"/>
  <c r="O204" i="1"/>
  <c r="N204" i="1"/>
  <c r="M204" i="1"/>
  <c r="L204" i="1"/>
  <c r="V204" i="1" s="1"/>
  <c r="U203" i="1"/>
  <c r="V203" i="1" s="1"/>
  <c r="T203" i="1"/>
  <c r="S203" i="1"/>
  <c r="R203" i="1"/>
  <c r="Q203" i="1"/>
  <c r="P203" i="1"/>
  <c r="O203" i="1"/>
  <c r="N203" i="1"/>
  <c r="M203" i="1"/>
  <c r="L203" i="1"/>
  <c r="U202" i="1"/>
  <c r="V202" i="1" s="1"/>
  <c r="T202" i="1"/>
  <c r="S202" i="1"/>
  <c r="R202" i="1"/>
  <c r="P202" i="1"/>
  <c r="O202" i="1"/>
  <c r="N202" i="1"/>
  <c r="Q202" i="1" s="1"/>
  <c r="M202" i="1"/>
  <c r="L202" i="1"/>
  <c r="U201" i="1"/>
  <c r="V201" i="1" s="1"/>
  <c r="T201" i="1"/>
  <c r="S201" i="1"/>
  <c r="R201" i="1"/>
  <c r="Q201" i="1"/>
  <c r="P201" i="1"/>
  <c r="O201" i="1"/>
  <c r="N201" i="1"/>
  <c r="M201" i="1"/>
  <c r="L201" i="1"/>
  <c r="V200" i="1"/>
  <c r="U200" i="1"/>
  <c r="T200" i="1"/>
  <c r="S200" i="1"/>
  <c r="R200" i="1"/>
  <c r="P200" i="1"/>
  <c r="O200" i="1"/>
  <c r="N200" i="1"/>
  <c r="Q200" i="1" s="1"/>
  <c r="M200" i="1"/>
  <c r="L200" i="1"/>
  <c r="V199" i="1"/>
  <c r="U199" i="1"/>
  <c r="T199" i="1"/>
  <c r="S199" i="1"/>
  <c r="R199" i="1"/>
  <c r="Q199" i="1"/>
  <c r="P199" i="1"/>
  <c r="O199" i="1"/>
  <c r="N199" i="1"/>
  <c r="M199" i="1"/>
  <c r="L199" i="1"/>
  <c r="V198" i="1"/>
  <c r="U198" i="1"/>
  <c r="T198" i="1"/>
  <c r="S198" i="1"/>
  <c r="R198" i="1"/>
  <c r="P198" i="1"/>
  <c r="O198" i="1"/>
  <c r="N198" i="1"/>
  <c r="Q198" i="1" s="1"/>
  <c r="M198" i="1"/>
  <c r="L198" i="1"/>
  <c r="U197" i="1"/>
  <c r="T197" i="1"/>
  <c r="S197" i="1"/>
  <c r="R197" i="1"/>
  <c r="Q197" i="1"/>
  <c r="P197" i="1"/>
  <c r="O197" i="1"/>
  <c r="N197" i="1"/>
  <c r="M197" i="1"/>
  <c r="L197" i="1"/>
  <c r="V197" i="1" s="1"/>
  <c r="U196" i="1"/>
  <c r="T196" i="1"/>
  <c r="S196" i="1"/>
  <c r="R196" i="1"/>
  <c r="Q196" i="1"/>
  <c r="P196" i="1"/>
  <c r="O196" i="1"/>
  <c r="N196" i="1"/>
  <c r="M196" i="1"/>
  <c r="L196" i="1"/>
  <c r="V196" i="1" s="1"/>
  <c r="U195" i="1"/>
  <c r="V195" i="1" s="1"/>
  <c r="T195" i="1"/>
  <c r="S195" i="1"/>
  <c r="R195" i="1"/>
  <c r="Q195" i="1"/>
  <c r="P195" i="1"/>
  <c r="O195" i="1"/>
  <c r="N195" i="1"/>
  <c r="M195" i="1"/>
  <c r="L195" i="1"/>
  <c r="U194" i="1"/>
  <c r="V194" i="1" s="1"/>
  <c r="T194" i="1"/>
  <c r="S194" i="1"/>
  <c r="R194" i="1"/>
  <c r="P194" i="1"/>
  <c r="O194" i="1"/>
  <c r="N194" i="1"/>
  <c r="Q194" i="1" s="1"/>
  <c r="M194" i="1"/>
  <c r="L194" i="1"/>
  <c r="U193" i="1"/>
  <c r="V193" i="1" s="1"/>
  <c r="T193" i="1"/>
  <c r="S193" i="1"/>
  <c r="R193" i="1"/>
  <c r="Q193" i="1"/>
  <c r="P193" i="1"/>
  <c r="O193" i="1"/>
  <c r="N193" i="1"/>
  <c r="M193" i="1"/>
  <c r="L193" i="1"/>
  <c r="V192" i="1"/>
  <c r="U192" i="1"/>
  <c r="T192" i="1"/>
  <c r="S192" i="1"/>
  <c r="R192" i="1"/>
  <c r="P192" i="1"/>
  <c r="O192" i="1"/>
  <c r="N192" i="1"/>
  <c r="Q192" i="1" s="1"/>
  <c r="M192" i="1"/>
  <c r="L192" i="1"/>
  <c r="V191" i="1"/>
  <c r="U191" i="1"/>
  <c r="T191" i="1"/>
  <c r="S191" i="1"/>
  <c r="R191" i="1"/>
  <c r="Q191" i="1"/>
  <c r="P191" i="1"/>
  <c r="O191" i="1"/>
  <c r="N191" i="1"/>
  <c r="M191" i="1"/>
  <c r="L191" i="1"/>
  <c r="V190" i="1"/>
  <c r="U190" i="1"/>
  <c r="T190" i="1"/>
  <c r="S190" i="1"/>
  <c r="R190" i="1"/>
  <c r="P190" i="1"/>
  <c r="O190" i="1"/>
  <c r="N190" i="1"/>
  <c r="Q190" i="1" s="1"/>
  <c r="M190" i="1"/>
  <c r="L190" i="1"/>
  <c r="U189" i="1"/>
  <c r="T189" i="1"/>
  <c r="S189" i="1"/>
  <c r="R189" i="1"/>
  <c r="Q189" i="1"/>
  <c r="P189" i="1"/>
  <c r="O189" i="1"/>
  <c r="N189" i="1"/>
  <c r="M189" i="1"/>
  <c r="L189" i="1"/>
  <c r="V189" i="1" s="1"/>
  <c r="U188" i="1"/>
  <c r="T188" i="1"/>
  <c r="S188" i="1"/>
  <c r="R188" i="1"/>
  <c r="Q188" i="1"/>
  <c r="P188" i="1"/>
  <c r="O188" i="1"/>
  <c r="N188" i="1"/>
  <c r="M188" i="1"/>
  <c r="L188" i="1"/>
  <c r="V188" i="1" s="1"/>
  <c r="U187" i="1"/>
  <c r="V187" i="1" s="1"/>
  <c r="T187" i="1"/>
  <c r="S187" i="1"/>
  <c r="R187" i="1"/>
  <c r="Q187" i="1"/>
  <c r="P187" i="1"/>
  <c r="O187" i="1"/>
  <c r="N187" i="1"/>
  <c r="M187" i="1"/>
  <c r="L187" i="1"/>
  <c r="U186" i="1"/>
  <c r="V186" i="1" s="1"/>
  <c r="T186" i="1"/>
  <c r="S186" i="1"/>
  <c r="R186" i="1"/>
  <c r="P186" i="1"/>
  <c r="O186" i="1"/>
  <c r="N186" i="1"/>
  <c r="Q186" i="1" s="1"/>
  <c r="M186" i="1"/>
  <c r="L186" i="1"/>
  <c r="U185" i="1"/>
  <c r="V185" i="1" s="1"/>
  <c r="T185" i="1"/>
  <c r="S185" i="1"/>
  <c r="R185" i="1"/>
  <c r="Q185" i="1"/>
  <c r="P185" i="1"/>
  <c r="O185" i="1"/>
  <c r="N185" i="1"/>
  <c r="M185" i="1"/>
  <c r="L185" i="1"/>
  <c r="V184" i="1"/>
  <c r="U184" i="1"/>
  <c r="T184" i="1"/>
  <c r="S184" i="1"/>
  <c r="R184" i="1"/>
  <c r="P184" i="1"/>
  <c r="O184" i="1"/>
  <c r="N184" i="1"/>
  <c r="Q184" i="1" s="1"/>
  <c r="M184" i="1"/>
  <c r="L184" i="1"/>
  <c r="V183" i="1"/>
  <c r="U183" i="1"/>
  <c r="T183" i="1"/>
  <c r="S183" i="1"/>
  <c r="R183" i="1"/>
  <c r="Q183" i="1"/>
  <c r="P183" i="1"/>
  <c r="O183" i="1"/>
  <c r="N183" i="1"/>
  <c r="M183" i="1"/>
  <c r="L183" i="1"/>
  <c r="V182" i="1"/>
  <c r="U182" i="1"/>
  <c r="T182" i="1"/>
  <c r="S182" i="1"/>
  <c r="R182" i="1"/>
  <c r="P182" i="1"/>
  <c r="O182" i="1"/>
  <c r="N182" i="1"/>
  <c r="Q182" i="1" s="1"/>
  <c r="M182" i="1"/>
  <c r="L182" i="1"/>
  <c r="U181" i="1"/>
  <c r="T181" i="1"/>
  <c r="S181" i="1"/>
  <c r="R181" i="1"/>
  <c r="Q181" i="1"/>
  <c r="P181" i="1"/>
  <c r="O181" i="1"/>
  <c r="N181" i="1"/>
  <c r="M181" i="1"/>
  <c r="L181" i="1"/>
  <c r="V181" i="1" s="1"/>
  <c r="U180" i="1"/>
  <c r="T180" i="1"/>
  <c r="S180" i="1"/>
  <c r="R180" i="1"/>
  <c r="Q180" i="1"/>
  <c r="P180" i="1"/>
  <c r="O180" i="1"/>
  <c r="N180" i="1"/>
  <c r="M180" i="1"/>
  <c r="L180" i="1"/>
  <c r="V180" i="1" s="1"/>
  <c r="U179" i="1"/>
  <c r="V179" i="1" s="1"/>
  <c r="T179" i="1"/>
  <c r="S179" i="1"/>
  <c r="R179" i="1"/>
  <c r="Q179" i="1"/>
  <c r="P179" i="1"/>
  <c r="O179" i="1"/>
  <c r="N179" i="1"/>
  <c r="M179" i="1"/>
  <c r="L179" i="1"/>
  <c r="U178" i="1"/>
  <c r="V178" i="1" s="1"/>
  <c r="T178" i="1"/>
  <c r="S178" i="1"/>
  <c r="R178" i="1"/>
  <c r="P178" i="1"/>
  <c r="O178" i="1"/>
  <c r="N178" i="1"/>
  <c r="Q178" i="1" s="1"/>
  <c r="M178" i="1"/>
  <c r="L178" i="1"/>
  <c r="U177" i="1"/>
  <c r="V177" i="1" s="1"/>
  <c r="T177" i="1"/>
  <c r="S177" i="1"/>
  <c r="R177" i="1"/>
  <c r="Q177" i="1"/>
  <c r="P177" i="1"/>
  <c r="O177" i="1"/>
  <c r="N177" i="1"/>
  <c r="M177" i="1"/>
  <c r="L177" i="1"/>
  <c r="V176" i="1"/>
  <c r="U176" i="1"/>
  <c r="T176" i="1"/>
  <c r="S176" i="1"/>
  <c r="R176" i="1"/>
  <c r="P176" i="1"/>
  <c r="O176" i="1"/>
  <c r="N176" i="1"/>
  <c r="Q176" i="1" s="1"/>
  <c r="M176" i="1"/>
  <c r="L176" i="1"/>
  <c r="V175" i="1"/>
  <c r="U175" i="1"/>
  <c r="T175" i="1"/>
  <c r="S175" i="1"/>
  <c r="R175" i="1"/>
  <c r="Q175" i="1"/>
  <c r="P175" i="1"/>
  <c r="O175" i="1"/>
  <c r="N175" i="1"/>
  <c r="M175" i="1"/>
  <c r="L175" i="1"/>
  <c r="V174" i="1"/>
  <c r="U174" i="1"/>
  <c r="T174" i="1"/>
  <c r="S174" i="1"/>
  <c r="R174" i="1"/>
  <c r="P174" i="1"/>
  <c r="O174" i="1"/>
  <c r="N174" i="1"/>
  <c r="Q174" i="1" s="1"/>
  <c r="M174" i="1"/>
  <c r="L174" i="1"/>
  <c r="U173" i="1"/>
  <c r="T173" i="1"/>
  <c r="S173" i="1"/>
  <c r="R173" i="1"/>
  <c r="Q173" i="1"/>
  <c r="P173" i="1"/>
  <c r="O173" i="1"/>
  <c r="N173" i="1"/>
  <c r="M173" i="1"/>
  <c r="L173" i="1"/>
  <c r="V173" i="1" s="1"/>
  <c r="U172" i="1"/>
  <c r="T172" i="1"/>
  <c r="S172" i="1"/>
  <c r="R172" i="1"/>
  <c r="Q172" i="1"/>
  <c r="P172" i="1"/>
  <c r="O172" i="1"/>
  <c r="N172" i="1"/>
  <c r="M172" i="1"/>
  <c r="L172" i="1"/>
  <c r="V172" i="1" s="1"/>
  <c r="U171" i="1"/>
  <c r="V171" i="1" s="1"/>
  <c r="T171" i="1"/>
  <c r="S171" i="1"/>
  <c r="R171" i="1"/>
  <c r="Q171" i="1"/>
  <c r="P171" i="1"/>
  <c r="O171" i="1"/>
  <c r="N171" i="1"/>
  <c r="M171" i="1"/>
  <c r="L171" i="1"/>
  <c r="U170" i="1"/>
  <c r="V170" i="1" s="1"/>
  <c r="T170" i="1"/>
  <c r="S170" i="1"/>
  <c r="R170" i="1"/>
  <c r="P170" i="1"/>
  <c r="O170" i="1"/>
  <c r="N170" i="1"/>
  <c r="Q170" i="1" s="1"/>
  <c r="M170" i="1"/>
  <c r="L170" i="1"/>
  <c r="U169" i="1"/>
  <c r="V169" i="1" s="1"/>
  <c r="T169" i="1"/>
  <c r="S169" i="1"/>
  <c r="R169" i="1"/>
  <c r="Q169" i="1"/>
  <c r="P169" i="1"/>
  <c r="O169" i="1"/>
  <c r="N169" i="1"/>
  <c r="M169" i="1"/>
  <c r="L169" i="1"/>
  <c r="V168" i="1"/>
  <c r="U168" i="1"/>
  <c r="T168" i="1"/>
  <c r="S168" i="1"/>
  <c r="R168" i="1"/>
  <c r="P168" i="1"/>
  <c r="O168" i="1"/>
  <c r="N168" i="1"/>
  <c r="Q168" i="1" s="1"/>
  <c r="M168" i="1"/>
  <c r="L168" i="1"/>
  <c r="V167" i="1"/>
  <c r="U167" i="1"/>
  <c r="T167" i="1"/>
  <c r="S167" i="1"/>
  <c r="R167" i="1"/>
  <c r="Q167" i="1"/>
  <c r="P167" i="1"/>
  <c r="O167" i="1"/>
  <c r="N167" i="1"/>
  <c r="M167" i="1"/>
  <c r="L167" i="1"/>
  <c r="V166" i="1"/>
  <c r="U166" i="1"/>
  <c r="T166" i="1"/>
  <c r="S166" i="1"/>
  <c r="R166" i="1"/>
  <c r="P166" i="1"/>
  <c r="O166" i="1"/>
  <c r="N166" i="1"/>
  <c r="Q166" i="1" s="1"/>
  <c r="M166" i="1"/>
  <c r="L166" i="1"/>
  <c r="U165" i="1"/>
  <c r="T165" i="1"/>
  <c r="S165" i="1"/>
  <c r="R165" i="1"/>
  <c r="Q165" i="1"/>
  <c r="P165" i="1"/>
  <c r="O165" i="1"/>
  <c r="N165" i="1"/>
  <c r="M165" i="1"/>
  <c r="L165" i="1"/>
  <c r="V165" i="1" s="1"/>
  <c r="U164" i="1"/>
  <c r="T164" i="1"/>
  <c r="S164" i="1"/>
  <c r="R164" i="1"/>
  <c r="Q164" i="1"/>
  <c r="P164" i="1"/>
  <c r="O164" i="1"/>
  <c r="N164" i="1"/>
  <c r="M164" i="1"/>
  <c r="L164" i="1"/>
  <c r="V164" i="1" s="1"/>
  <c r="U163" i="1"/>
  <c r="V163" i="1" s="1"/>
  <c r="T163" i="1"/>
  <c r="S163" i="1"/>
  <c r="R163" i="1"/>
  <c r="Q163" i="1"/>
  <c r="P163" i="1"/>
  <c r="O163" i="1"/>
  <c r="N163" i="1"/>
  <c r="M163" i="1"/>
  <c r="L163" i="1"/>
  <c r="U162" i="1"/>
  <c r="V162" i="1" s="1"/>
  <c r="T162" i="1"/>
  <c r="S162" i="1"/>
  <c r="R162" i="1"/>
  <c r="P162" i="1"/>
  <c r="O162" i="1"/>
  <c r="N162" i="1"/>
  <c r="Q162" i="1" s="1"/>
  <c r="M162" i="1"/>
  <c r="L162" i="1"/>
  <c r="U161" i="1"/>
  <c r="V161" i="1" s="1"/>
  <c r="T161" i="1"/>
  <c r="S161" i="1"/>
  <c r="R161" i="1"/>
  <c r="Q161" i="1"/>
  <c r="P161" i="1"/>
  <c r="O161" i="1"/>
  <c r="N161" i="1"/>
  <c r="M161" i="1"/>
  <c r="L161" i="1"/>
  <c r="V160" i="1"/>
  <c r="U160" i="1"/>
  <c r="T160" i="1"/>
  <c r="S160" i="1"/>
  <c r="R160" i="1"/>
  <c r="P160" i="1"/>
  <c r="O160" i="1"/>
  <c r="N160" i="1"/>
  <c r="Q160" i="1" s="1"/>
  <c r="M160" i="1"/>
  <c r="L160" i="1"/>
  <c r="V159" i="1"/>
  <c r="U159" i="1"/>
  <c r="T159" i="1"/>
  <c r="S159" i="1"/>
  <c r="R159" i="1"/>
  <c r="Q159" i="1"/>
  <c r="P159" i="1"/>
  <c r="O159" i="1"/>
  <c r="N159" i="1"/>
  <c r="M159" i="1"/>
  <c r="L159" i="1"/>
  <c r="V158" i="1"/>
  <c r="U158" i="1"/>
  <c r="T158" i="1"/>
  <c r="S158" i="1"/>
  <c r="R158" i="1"/>
  <c r="P158" i="1"/>
  <c r="O158" i="1"/>
  <c r="N158" i="1"/>
  <c r="Q158" i="1" s="1"/>
  <c r="M158" i="1"/>
  <c r="L158" i="1"/>
  <c r="U157" i="1"/>
  <c r="T157" i="1"/>
  <c r="S157" i="1"/>
  <c r="R157" i="1"/>
  <c r="Q157" i="1"/>
  <c r="P157" i="1"/>
  <c r="O157" i="1"/>
  <c r="N157" i="1"/>
  <c r="M157" i="1"/>
  <c r="L157" i="1"/>
  <c r="V157" i="1" s="1"/>
  <c r="U156" i="1"/>
  <c r="T156" i="1"/>
  <c r="S156" i="1"/>
  <c r="R156" i="1"/>
  <c r="Q156" i="1"/>
  <c r="P156" i="1"/>
  <c r="O156" i="1"/>
  <c r="N156" i="1"/>
  <c r="M156" i="1"/>
  <c r="L156" i="1"/>
  <c r="V156" i="1" s="1"/>
  <c r="U155" i="1"/>
  <c r="V155" i="1" s="1"/>
  <c r="T155" i="1"/>
  <c r="S155" i="1"/>
  <c r="R155" i="1"/>
  <c r="Q155" i="1"/>
  <c r="P155" i="1"/>
  <c r="O155" i="1"/>
  <c r="N155" i="1"/>
  <c r="M155" i="1"/>
  <c r="L155" i="1"/>
  <c r="U154" i="1"/>
  <c r="V154" i="1" s="1"/>
  <c r="T154" i="1"/>
  <c r="S154" i="1"/>
  <c r="R154" i="1"/>
  <c r="P154" i="1"/>
  <c r="O154" i="1"/>
  <c r="N154" i="1"/>
  <c r="Q154" i="1" s="1"/>
  <c r="M154" i="1"/>
  <c r="L154" i="1"/>
  <c r="U153" i="1"/>
  <c r="V153" i="1" s="1"/>
  <c r="T153" i="1"/>
  <c r="S153" i="1"/>
  <c r="R153" i="1"/>
  <c r="Q153" i="1"/>
  <c r="P153" i="1"/>
  <c r="O153" i="1"/>
  <c r="N153" i="1"/>
  <c r="M153" i="1"/>
  <c r="L153" i="1"/>
  <c r="V152" i="1"/>
  <c r="U152" i="1"/>
  <c r="T152" i="1"/>
  <c r="S152" i="1"/>
  <c r="R152" i="1"/>
  <c r="P152" i="1"/>
  <c r="O152" i="1"/>
  <c r="N152" i="1"/>
  <c r="Q152" i="1" s="1"/>
  <c r="M152" i="1"/>
  <c r="L152" i="1"/>
  <c r="V151" i="1"/>
  <c r="U151" i="1"/>
  <c r="T151" i="1"/>
  <c r="S151" i="1"/>
  <c r="R151" i="1"/>
  <c r="Q151" i="1"/>
  <c r="P151" i="1"/>
  <c r="O151" i="1"/>
  <c r="N151" i="1"/>
  <c r="M151" i="1"/>
  <c r="L151" i="1"/>
  <c r="V150" i="1"/>
  <c r="U150" i="1"/>
  <c r="T150" i="1"/>
  <c r="S150" i="1"/>
  <c r="R150" i="1"/>
  <c r="P150" i="1"/>
  <c r="O150" i="1"/>
  <c r="N150" i="1"/>
  <c r="Q150" i="1" s="1"/>
  <c r="M150" i="1"/>
  <c r="L150" i="1"/>
  <c r="U149" i="1"/>
  <c r="T149" i="1"/>
  <c r="S149" i="1"/>
  <c r="R149" i="1"/>
  <c r="Q149" i="1"/>
  <c r="P149" i="1"/>
  <c r="O149" i="1"/>
  <c r="N149" i="1"/>
  <c r="M149" i="1"/>
  <c r="L149" i="1"/>
  <c r="V149" i="1" s="1"/>
  <c r="U148" i="1"/>
  <c r="T148" i="1"/>
  <c r="S148" i="1"/>
  <c r="R148" i="1"/>
  <c r="Q148" i="1"/>
  <c r="P148" i="1"/>
  <c r="O148" i="1"/>
  <c r="N148" i="1"/>
  <c r="M148" i="1"/>
  <c r="L148" i="1"/>
  <c r="V148" i="1" s="1"/>
  <c r="U147" i="1"/>
  <c r="V147" i="1" s="1"/>
  <c r="T147" i="1"/>
  <c r="S147" i="1"/>
  <c r="R147" i="1"/>
  <c r="Q147" i="1"/>
  <c r="P147" i="1"/>
  <c r="O147" i="1"/>
  <c r="N147" i="1"/>
  <c r="M147" i="1"/>
  <c r="L147" i="1"/>
  <c r="U146" i="1"/>
  <c r="V146" i="1" s="1"/>
  <c r="T146" i="1"/>
  <c r="S146" i="1"/>
  <c r="R146" i="1"/>
  <c r="P146" i="1"/>
  <c r="O146" i="1"/>
  <c r="N146" i="1"/>
  <c r="Q146" i="1" s="1"/>
  <c r="M146" i="1"/>
  <c r="L146" i="1"/>
  <c r="U145" i="1"/>
  <c r="V145" i="1" s="1"/>
  <c r="T145" i="1"/>
  <c r="S145" i="1"/>
  <c r="R145" i="1"/>
  <c r="Q145" i="1"/>
  <c r="P145" i="1"/>
  <c r="O145" i="1"/>
  <c r="N145" i="1"/>
  <c r="M145" i="1"/>
  <c r="L145" i="1"/>
  <c r="V144" i="1"/>
  <c r="U144" i="1"/>
  <c r="T144" i="1"/>
  <c r="S144" i="1"/>
  <c r="R144" i="1"/>
  <c r="P144" i="1"/>
  <c r="O144" i="1"/>
  <c r="N144" i="1"/>
  <c r="Q144" i="1" s="1"/>
  <c r="M144" i="1"/>
  <c r="L144" i="1"/>
  <c r="V143" i="1"/>
  <c r="U143" i="1"/>
  <c r="T143" i="1"/>
  <c r="S143" i="1"/>
  <c r="R143" i="1"/>
  <c r="Q143" i="1"/>
  <c r="P143" i="1"/>
  <c r="O143" i="1"/>
  <c r="N143" i="1"/>
  <c r="M143" i="1"/>
  <c r="L143" i="1"/>
  <c r="V142" i="1"/>
  <c r="U142" i="1"/>
  <c r="T142" i="1"/>
  <c r="S142" i="1"/>
  <c r="R142" i="1"/>
  <c r="P142" i="1"/>
  <c r="O142" i="1"/>
  <c r="N142" i="1"/>
  <c r="Q142" i="1" s="1"/>
  <c r="M142" i="1"/>
  <c r="L142" i="1"/>
  <c r="U141" i="1"/>
  <c r="T141" i="1"/>
  <c r="S141" i="1"/>
  <c r="R141" i="1"/>
  <c r="Q141" i="1"/>
  <c r="P141" i="1"/>
  <c r="O141" i="1"/>
  <c r="N141" i="1"/>
  <c r="M141" i="1"/>
  <c r="L141" i="1"/>
  <c r="V141" i="1" s="1"/>
  <c r="U140" i="1"/>
  <c r="T140" i="1"/>
  <c r="S140" i="1"/>
  <c r="R140" i="1"/>
  <c r="Q140" i="1"/>
  <c r="P140" i="1"/>
  <c r="O140" i="1"/>
  <c r="N140" i="1"/>
  <c r="M140" i="1"/>
  <c r="L140" i="1"/>
  <c r="V140" i="1" s="1"/>
  <c r="U139" i="1"/>
  <c r="V139" i="1" s="1"/>
  <c r="T139" i="1"/>
  <c r="S139" i="1"/>
  <c r="R139" i="1"/>
  <c r="Q139" i="1"/>
  <c r="P139" i="1"/>
  <c r="O139" i="1"/>
  <c r="N139" i="1"/>
  <c r="M139" i="1"/>
  <c r="L139" i="1"/>
  <c r="U138" i="1"/>
  <c r="V138" i="1" s="1"/>
  <c r="T138" i="1"/>
  <c r="S138" i="1"/>
  <c r="R138" i="1"/>
  <c r="P138" i="1"/>
  <c r="O138" i="1"/>
  <c r="N138" i="1"/>
  <c r="Q138" i="1" s="1"/>
  <c r="M138" i="1"/>
  <c r="L138" i="1"/>
  <c r="U137" i="1"/>
  <c r="V137" i="1" s="1"/>
  <c r="T137" i="1"/>
  <c r="S137" i="1"/>
  <c r="R137" i="1"/>
  <c r="Q137" i="1"/>
  <c r="P137" i="1"/>
  <c r="O137" i="1"/>
  <c r="N137" i="1"/>
  <c r="M137" i="1"/>
  <c r="L137" i="1"/>
  <c r="V136" i="1"/>
  <c r="U136" i="1"/>
  <c r="T136" i="1"/>
  <c r="S136" i="1"/>
  <c r="R136" i="1"/>
  <c r="P136" i="1"/>
  <c r="O136" i="1"/>
  <c r="N136" i="1"/>
  <c r="Q136" i="1" s="1"/>
  <c r="M136" i="1"/>
  <c r="L136" i="1"/>
  <c r="V135" i="1"/>
  <c r="U135" i="1"/>
  <c r="T135" i="1"/>
  <c r="S135" i="1"/>
  <c r="R135" i="1"/>
  <c r="Q135" i="1"/>
  <c r="P135" i="1"/>
  <c r="O135" i="1"/>
  <c r="N135" i="1"/>
  <c r="M135" i="1"/>
  <c r="L135" i="1"/>
  <c r="V134" i="1"/>
  <c r="U134" i="1"/>
  <c r="T134" i="1"/>
  <c r="S134" i="1"/>
  <c r="R134" i="1"/>
  <c r="P134" i="1"/>
  <c r="O134" i="1"/>
  <c r="N134" i="1"/>
  <c r="Q134" i="1" s="1"/>
  <c r="M134" i="1"/>
  <c r="L134" i="1"/>
  <c r="U133" i="1"/>
  <c r="T133" i="1"/>
  <c r="S133" i="1"/>
  <c r="R133" i="1"/>
  <c r="Q133" i="1"/>
  <c r="P133" i="1"/>
  <c r="O133" i="1"/>
  <c r="N133" i="1"/>
  <c r="M133" i="1"/>
  <c r="L133" i="1"/>
  <c r="V133" i="1" s="1"/>
  <c r="U132" i="1"/>
  <c r="T132" i="1"/>
  <c r="S132" i="1"/>
  <c r="R132" i="1"/>
  <c r="Q132" i="1"/>
  <c r="P132" i="1"/>
  <c r="O132" i="1"/>
  <c r="N132" i="1"/>
  <c r="M132" i="1"/>
  <c r="L132" i="1"/>
  <c r="V132" i="1" s="1"/>
  <c r="U131" i="1"/>
  <c r="V131" i="1" s="1"/>
  <c r="T131" i="1"/>
  <c r="S131" i="1"/>
  <c r="R131" i="1"/>
  <c r="Q131" i="1"/>
  <c r="P131" i="1"/>
  <c r="O131" i="1"/>
  <c r="N131" i="1"/>
  <c r="M131" i="1"/>
  <c r="L131" i="1"/>
  <c r="U130" i="1"/>
  <c r="V130" i="1" s="1"/>
  <c r="T130" i="1"/>
  <c r="S130" i="1"/>
  <c r="R130" i="1"/>
  <c r="P130" i="1"/>
  <c r="O130" i="1"/>
  <c r="N130" i="1"/>
  <c r="Q130" i="1" s="1"/>
  <c r="M130" i="1"/>
  <c r="L130" i="1"/>
  <c r="U129" i="1"/>
  <c r="V129" i="1" s="1"/>
  <c r="T129" i="1"/>
  <c r="S129" i="1"/>
  <c r="R129" i="1"/>
  <c r="Q129" i="1"/>
  <c r="P129" i="1"/>
  <c r="O129" i="1"/>
  <c r="N129" i="1"/>
  <c r="M129" i="1"/>
  <c r="L129" i="1"/>
  <c r="V128" i="1"/>
  <c r="U128" i="1"/>
  <c r="T128" i="1"/>
  <c r="S128" i="1"/>
  <c r="R128" i="1"/>
  <c r="P128" i="1"/>
  <c r="O128" i="1"/>
  <c r="N128" i="1"/>
  <c r="Q128" i="1" s="1"/>
  <c r="M128" i="1"/>
  <c r="L128" i="1"/>
  <c r="V127" i="1"/>
  <c r="U127" i="1"/>
  <c r="T127" i="1"/>
  <c r="S127" i="1"/>
  <c r="R127" i="1"/>
  <c r="Q127" i="1"/>
  <c r="P127" i="1"/>
  <c r="O127" i="1"/>
  <c r="N127" i="1"/>
  <c r="M127" i="1"/>
  <c r="L127" i="1"/>
  <c r="V126" i="1"/>
  <c r="U126" i="1"/>
  <c r="T126" i="1"/>
  <c r="S126" i="1"/>
  <c r="R126" i="1"/>
  <c r="P126" i="1"/>
  <c r="O126" i="1"/>
  <c r="N126" i="1"/>
  <c r="Q126" i="1" s="1"/>
  <c r="M126" i="1"/>
  <c r="L126" i="1"/>
  <c r="U125" i="1"/>
  <c r="T125" i="1"/>
  <c r="S125" i="1"/>
  <c r="R125" i="1"/>
  <c r="Q125" i="1"/>
  <c r="P125" i="1"/>
  <c r="O125" i="1"/>
  <c r="N125" i="1"/>
  <c r="M125" i="1"/>
  <c r="L125" i="1"/>
  <c r="V125" i="1" s="1"/>
  <c r="U124" i="1"/>
  <c r="T124" i="1"/>
  <c r="S124" i="1"/>
  <c r="R124" i="1"/>
  <c r="Q124" i="1"/>
  <c r="P124" i="1"/>
  <c r="O124" i="1"/>
  <c r="N124" i="1"/>
  <c r="M124" i="1"/>
  <c r="L124" i="1"/>
  <c r="V124" i="1" s="1"/>
  <c r="U123" i="1"/>
  <c r="V123" i="1" s="1"/>
  <c r="T123" i="1"/>
  <c r="S123" i="1"/>
  <c r="R123" i="1"/>
  <c r="Q123" i="1"/>
  <c r="P123" i="1"/>
  <c r="O123" i="1"/>
  <c r="N123" i="1"/>
  <c r="M123" i="1"/>
  <c r="L123" i="1"/>
  <c r="U122" i="1"/>
  <c r="V122" i="1" s="1"/>
  <c r="T122" i="1"/>
  <c r="S122" i="1"/>
  <c r="R122" i="1"/>
  <c r="P122" i="1"/>
  <c r="O122" i="1"/>
  <c r="N122" i="1"/>
  <c r="Q122" i="1" s="1"/>
  <c r="M122" i="1"/>
  <c r="L122" i="1"/>
  <c r="U121" i="1"/>
  <c r="V121" i="1" s="1"/>
  <c r="T121" i="1"/>
  <c r="S121" i="1"/>
  <c r="R121" i="1"/>
  <c r="Q121" i="1"/>
  <c r="P121" i="1"/>
  <c r="O121" i="1"/>
  <c r="N121" i="1"/>
  <c r="M121" i="1"/>
  <c r="L121" i="1"/>
  <c r="V120" i="1"/>
  <c r="U120" i="1"/>
  <c r="T120" i="1"/>
  <c r="S120" i="1"/>
  <c r="R120" i="1"/>
  <c r="P120" i="1"/>
  <c r="O120" i="1"/>
  <c r="N120" i="1"/>
  <c r="Q120" i="1" s="1"/>
  <c r="M120" i="1"/>
  <c r="L120" i="1"/>
  <c r="V119" i="1"/>
  <c r="U119" i="1"/>
  <c r="T119" i="1"/>
  <c r="S119" i="1"/>
  <c r="R119" i="1"/>
  <c r="Q119" i="1"/>
  <c r="P119" i="1"/>
  <c r="O119" i="1"/>
  <c r="N119" i="1"/>
  <c r="M119" i="1"/>
  <c r="L119" i="1"/>
  <c r="V118" i="1"/>
  <c r="U118" i="1"/>
  <c r="T118" i="1"/>
  <c r="S118" i="1"/>
  <c r="R118" i="1"/>
  <c r="P118" i="1"/>
  <c r="O118" i="1"/>
  <c r="N118" i="1"/>
  <c r="Q118" i="1" s="1"/>
  <c r="M118" i="1"/>
  <c r="L118" i="1"/>
  <c r="U117" i="1"/>
  <c r="T117" i="1"/>
  <c r="S117" i="1"/>
  <c r="R117" i="1"/>
  <c r="Q117" i="1"/>
  <c r="P117" i="1"/>
  <c r="O117" i="1"/>
  <c r="N117" i="1"/>
  <c r="M117" i="1"/>
  <c r="L117" i="1"/>
  <c r="V117" i="1" s="1"/>
  <c r="U116" i="1"/>
  <c r="T116" i="1"/>
  <c r="S116" i="1"/>
  <c r="R116" i="1"/>
  <c r="Q116" i="1"/>
  <c r="P116" i="1"/>
  <c r="O116" i="1"/>
  <c r="N116" i="1"/>
  <c r="M116" i="1"/>
  <c r="L116" i="1"/>
  <c r="V116" i="1" s="1"/>
  <c r="U115" i="1"/>
  <c r="V115" i="1" s="1"/>
  <c r="T115" i="1"/>
  <c r="S115" i="1"/>
  <c r="R115" i="1"/>
  <c r="Q115" i="1"/>
  <c r="P115" i="1"/>
  <c r="O115" i="1"/>
  <c r="N115" i="1"/>
  <c r="M115" i="1"/>
  <c r="L115" i="1"/>
  <c r="U114" i="1"/>
  <c r="V114" i="1" s="1"/>
  <c r="T114" i="1"/>
  <c r="S114" i="1"/>
  <c r="R114" i="1"/>
  <c r="P114" i="1"/>
  <c r="O114" i="1"/>
  <c r="N114" i="1"/>
  <c r="Q114" i="1" s="1"/>
  <c r="M114" i="1"/>
  <c r="L114" i="1"/>
  <c r="U113" i="1"/>
  <c r="V113" i="1" s="1"/>
  <c r="T113" i="1"/>
  <c r="S113" i="1"/>
  <c r="R113" i="1"/>
  <c r="Q113" i="1"/>
  <c r="P113" i="1"/>
  <c r="O113" i="1"/>
  <c r="N113" i="1"/>
  <c r="M113" i="1"/>
  <c r="L113" i="1"/>
  <c r="V112" i="1"/>
  <c r="U112" i="1"/>
  <c r="T112" i="1"/>
  <c r="S112" i="1"/>
  <c r="R112" i="1"/>
  <c r="P112" i="1"/>
  <c r="O112" i="1"/>
  <c r="N112" i="1"/>
  <c r="Q112" i="1" s="1"/>
  <c r="M112" i="1"/>
  <c r="L112" i="1"/>
  <c r="V111" i="1"/>
  <c r="U111" i="1"/>
  <c r="T111" i="1"/>
  <c r="S111" i="1"/>
  <c r="R111" i="1"/>
  <c r="Q111" i="1"/>
  <c r="P111" i="1"/>
  <c r="O111" i="1"/>
  <c r="N111" i="1"/>
  <c r="M111" i="1"/>
  <c r="L111" i="1"/>
  <c r="V110" i="1"/>
  <c r="U110" i="1"/>
  <c r="T110" i="1"/>
  <c r="S110" i="1"/>
  <c r="R110" i="1"/>
  <c r="P110" i="1"/>
  <c r="O110" i="1"/>
  <c r="N110" i="1"/>
  <c r="Q110" i="1" s="1"/>
  <c r="M110" i="1"/>
  <c r="L110" i="1"/>
  <c r="U109" i="1"/>
  <c r="T109" i="1"/>
  <c r="S109" i="1"/>
  <c r="R109" i="1"/>
  <c r="Q109" i="1"/>
  <c r="P109" i="1"/>
  <c r="O109" i="1"/>
  <c r="N109" i="1"/>
  <c r="M109" i="1"/>
  <c r="L109" i="1"/>
  <c r="V109" i="1" s="1"/>
  <c r="U108" i="1"/>
  <c r="T108" i="1"/>
  <c r="S108" i="1"/>
  <c r="R108" i="1"/>
  <c r="Q108" i="1"/>
  <c r="P108" i="1"/>
  <c r="O108" i="1"/>
  <c r="N108" i="1"/>
  <c r="M108" i="1"/>
  <c r="L108" i="1"/>
  <c r="V108" i="1" s="1"/>
  <c r="U107" i="1"/>
  <c r="V107" i="1" s="1"/>
  <c r="T107" i="1"/>
  <c r="S107" i="1"/>
  <c r="R107" i="1"/>
  <c r="Q107" i="1"/>
  <c r="P107" i="1"/>
  <c r="O107" i="1"/>
  <c r="N107" i="1"/>
  <c r="M107" i="1"/>
  <c r="L107" i="1"/>
  <c r="U106" i="1"/>
  <c r="V106" i="1" s="1"/>
  <c r="T106" i="1"/>
  <c r="S106" i="1"/>
  <c r="R106" i="1"/>
  <c r="P106" i="1"/>
  <c r="O106" i="1"/>
  <c r="N106" i="1"/>
  <c r="Q106" i="1" s="1"/>
  <c r="M106" i="1"/>
  <c r="L106" i="1"/>
  <c r="U105" i="1"/>
  <c r="V105" i="1" s="1"/>
  <c r="T105" i="1"/>
  <c r="S105" i="1"/>
  <c r="R105" i="1"/>
  <c r="Q105" i="1"/>
  <c r="P105" i="1"/>
  <c r="O105" i="1"/>
  <c r="N105" i="1"/>
  <c r="M105" i="1"/>
  <c r="L105" i="1"/>
  <c r="V104" i="1"/>
  <c r="U104" i="1"/>
  <c r="T104" i="1"/>
  <c r="S104" i="1"/>
  <c r="R104" i="1"/>
  <c r="P104" i="1"/>
  <c r="O104" i="1"/>
  <c r="N104" i="1"/>
  <c r="Q104" i="1" s="1"/>
  <c r="M104" i="1"/>
  <c r="L104" i="1"/>
  <c r="V103" i="1"/>
  <c r="U103" i="1"/>
  <c r="T103" i="1"/>
  <c r="S103" i="1"/>
  <c r="R103" i="1"/>
  <c r="Q103" i="1"/>
  <c r="P103" i="1"/>
  <c r="O103" i="1"/>
  <c r="N103" i="1"/>
  <c r="M103" i="1"/>
  <c r="L103" i="1"/>
  <c r="V102" i="1"/>
  <c r="U102" i="1"/>
  <c r="T102" i="1"/>
  <c r="S102" i="1"/>
  <c r="R102" i="1"/>
  <c r="P102" i="1"/>
  <c r="O102" i="1"/>
  <c r="N102" i="1"/>
  <c r="Q102" i="1" s="1"/>
  <c r="M102" i="1"/>
  <c r="L102" i="1"/>
  <c r="U101" i="1"/>
  <c r="T101" i="1"/>
  <c r="S101" i="1"/>
  <c r="R101" i="1"/>
  <c r="Q101" i="1"/>
  <c r="P101" i="1"/>
  <c r="O101" i="1"/>
  <c r="N101" i="1"/>
  <c r="M101" i="1"/>
  <c r="L101" i="1"/>
  <c r="V101" i="1" s="1"/>
  <c r="U100" i="1"/>
  <c r="T100" i="1"/>
  <c r="S100" i="1"/>
  <c r="R100" i="1"/>
  <c r="Q100" i="1"/>
  <c r="P100" i="1"/>
  <c r="O100" i="1"/>
  <c r="N100" i="1"/>
  <c r="M100" i="1"/>
  <c r="L100" i="1"/>
  <c r="V100" i="1" s="1"/>
  <c r="U99" i="1"/>
  <c r="V99" i="1" s="1"/>
  <c r="T99" i="1"/>
  <c r="S99" i="1"/>
  <c r="R99" i="1"/>
  <c r="Q99" i="1"/>
  <c r="P99" i="1"/>
  <c r="O99" i="1"/>
  <c r="N99" i="1"/>
  <c r="M99" i="1"/>
  <c r="L99" i="1"/>
  <c r="U98" i="1"/>
  <c r="V98" i="1" s="1"/>
  <c r="T98" i="1"/>
  <c r="S98" i="1"/>
  <c r="R98" i="1"/>
  <c r="P98" i="1"/>
  <c r="O98" i="1"/>
  <c r="N98" i="1"/>
  <c r="Q98" i="1" s="1"/>
  <c r="M98" i="1"/>
  <c r="L98" i="1"/>
  <c r="U97" i="1"/>
  <c r="V97" i="1" s="1"/>
  <c r="T97" i="1"/>
  <c r="S97" i="1"/>
  <c r="R97" i="1"/>
  <c r="Q97" i="1"/>
  <c r="P97" i="1"/>
  <c r="O97" i="1"/>
  <c r="N97" i="1"/>
  <c r="M97" i="1"/>
  <c r="L97" i="1"/>
  <c r="V96" i="1"/>
  <c r="U96" i="1"/>
  <c r="T96" i="1"/>
  <c r="S96" i="1"/>
  <c r="R96" i="1"/>
  <c r="P96" i="1"/>
  <c r="O96" i="1"/>
  <c r="N96" i="1"/>
  <c r="Q96" i="1" s="1"/>
  <c r="M96" i="1"/>
  <c r="L96" i="1"/>
  <c r="V95" i="1"/>
  <c r="U95" i="1"/>
  <c r="T95" i="1"/>
  <c r="S95" i="1"/>
  <c r="R95" i="1"/>
  <c r="P95" i="1"/>
  <c r="O95" i="1"/>
  <c r="N95" i="1"/>
  <c r="Q95" i="1" s="1"/>
  <c r="M95" i="1"/>
  <c r="L95" i="1"/>
  <c r="V94" i="1"/>
  <c r="U94" i="1"/>
  <c r="T94" i="1"/>
  <c r="S94" i="1"/>
  <c r="R94" i="1"/>
  <c r="P94" i="1"/>
  <c r="O94" i="1"/>
  <c r="N94" i="1"/>
  <c r="Q94" i="1" s="1"/>
  <c r="M94" i="1"/>
  <c r="L94" i="1"/>
  <c r="U93" i="1"/>
  <c r="T93" i="1"/>
  <c r="S93" i="1"/>
  <c r="R93" i="1"/>
  <c r="Q93" i="1"/>
  <c r="P93" i="1"/>
  <c r="O93" i="1"/>
  <c r="N93" i="1"/>
  <c r="M93" i="1"/>
  <c r="L93" i="1"/>
  <c r="V93" i="1" s="1"/>
  <c r="U92" i="1"/>
  <c r="T92" i="1"/>
  <c r="S92" i="1"/>
  <c r="R92" i="1"/>
  <c r="Q92" i="1"/>
  <c r="P92" i="1"/>
  <c r="O92" i="1"/>
  <c r="N92" i="1"/>
  <c r="M92" i="1"/>
  <c r="L92" i="1"/>
  <c r="V92" i="1" s="1"/>
  <c r="U91" i="1"/>
  <c r="V91" i="1" s="1"/>
  <c r="T91" i="1"/>
  <c r="S91" i="1"/>
  <c r="R91" i="1"/>
  <c r="Q91" i="1"/>
  <c r="P91" i="1"/>
  <c r="O91" i="1"/>
  <c r="N91" i="1"/>
  <c r="M91" i="1"/>
  <c r="L91" i="1"/>
  <c r="U90" i="1"/>
  <c r="V90" i="1" s="1"/>
  <c r="T90" i="1"/>
  <c r="S90" i="1"/>
  <c r="R90" i="1"/>
  <c r="P90" i="1"/>
  <c r="O90" i="1"/>
  <c r="N90" i="1"/>
  <c r="Q90" i="1" s="1"/>
  <c r="M90" i="1"/>
  <c r="L90" i="1"/>
  <c r="U89" i="1"/>
  <c r="V89" i="1" s="1"/>
  <c r="T89" i="1"/>
  <c r="S89" i="1"/>
  <c r="R89" i="1"/>
  <c r="Q89" i="1"/>
  <c r="P89" i="1"/>
  <c r="O89" i="1"/>
  <c r="N89" i="1"/>
  <c r="M89" i="1"/>
  <c r="L89" i="1"/>
  <c r="V88" i="1"/>
  <c r="U88" i="1"/>
  <c r="T88" i="1"/>
  <c r="S88" i="1"/>
  <c r="R88" i="1"/>
  <c r="P88" i="1"/>
  <c r="O88" i="1"/>
  <c r="N88" i="1"/>
  <c r="Q88" i="1" s="1"/>
  <c r="M88" i="1"/>
  <c r="L88" i="1"/>
  <c r="V87" i="1"/>
  <c r="U87" i="1"/>
  <c r="T87" i="1"/>
  <c r="S87" i="1"/>
  <c r="R87" i="1"/>
  <c r="P87" i="1"/>
  <c r="O87" i="1"/>
  <c r="N87" i="1"/>
  <c r="Q87" i="1" s="1"/>
  <c r="M87" i="1"/>
  <c r="L87" i="1"/>
  <c r="V86" i="1"/>
  <c r="U86" i="1"/>
  <c r="T86" i="1"/>
  <c r="S86" i="1"/>
  <c r="R86" i="1"/>
  <c r="P86" i="1"/>
  <c r="O86" i="1"/>
  <c r="N86" i="1"/>
  <c r="Q86" i="1" s="1"/>
  <c r="M86" i="1"/>
  <c r="L86" i="1"/>
  <c r="U85" i="1"/>
  <c r="T85" i="1"/>
  <c r="S85" i="1"/>
  <c r="R85" i="1"/>
  <c r="Q85" i="1"/>
  <c r="P85" i="1"/>
  <c r="O85" i="1"/>
  <c r="N85" i="1"/>
  <c r="M85" i="1"/>
  <c r="L85" i="1"/>
  <c r="V85" i="1" s="1"/>
  <c r="U84" i="1"/>
  <c r="T84" i="1"/>
  <c r="S84" i="1"/>
  <c r="R84" i="1"/>
  <c r="Q84" i="1"/>
  <c r="P84" i="1"/>
  <c r="O84" i="1"/>
  <c r="N84" i="1"/>
  <c r="M84" i="1"/>
  <c r="L84" i="1"/>
  <c r="V84" i="1" s="1"/>
  <c r="U83" i="1"/>
  <c r="V83" i="1" s="1"/>
  <c r="T83" i="1"/>
  <c r="S83" i="1"/>
  <c r="R83" i="1"/>
  <c r="Q83" i="1"/>
  <c r="P83" i="1"/>
  <c r="O83" i="1"/>
  <c r="N83" i="1"/>
  <c r="M83" i="1"/>
  <c r="L83" i="1"/>
  <c r="U82" i="1"/>
  <c r="V82" i="1" s="1"/>
  <c r="T82" i="1"/>
  <c r="S82" i="1"/>
  <c r="R82" i="1"/>
  <c r="P82" i="1"/>
  <c r="O82" i="1"/>
  <c r="N82" i="1"/>
  <c r="Q82" i="1" s="1"/>
  <c r="M82" i="1"/>
  <c r="L82" i="1"/>
  <c r="U81" i="1"/>
  <c r="V81" i="1" s="1"/>
  <c r="T81" i="1"/>
  <c r="S81" i="1"/>
  <c r="R81" i="1"/>
  <c r="Q81" i="1"/>
  <c r="P81" i="1"/>
  <c r="O81" i="1"/>
  <c r="N81" i="1"/>
  <c r="M81" i="1"/>
  <c r="L81" i="1"/>
  <c r="U80" i="1"/>
  <c r="V80" i="1" s="1"/>
  <c r="T80" i="1"/>
  <c r="S80" i="1"/>
  <c r="R80" i="1"/>
  <c r="P80" i="1"/>
  <c r="O80" i="1"/>
  <c r="N80" i="1"/>
  <c r="Q80" i="1" s="1"/>
  <c r="M80" i="1"/>
  <c r="L80" i="1"/>
  <c r="V79" i="1"/>
  <c r="U79" i="1"/>
  <c r="T79" i="1"/>
  <c r="S79" i="1"/>
  <c r="R79" i="1"/>
  <c r="P79" i="1"/>
  <c r="O79" i="1"/>
  <c r="N79" i="1"/>
  <c r="Q79" i="1" s="1"/>
  <c r="M79" i="1"/>
  <c r="L79" i="1"/>
  <c r="V78" i="1"/>
  <c r="U78" i="1"/>
  <c r="T78" i="1"/>
  <c r="S78" i="1"/>
  <c r="R78" i="1"/>
  <c r="P78" i="1"/>
  <c r="O78" i="1"/>
  <c r="N78" i="1"/>
  <c r="Q78" i="1" s="1"/>
  <c r="M78" i="1"/>
  <c r="L78" i="1"/>
  <c r="U77" i="1"/>
  <c r="T77" i="1"/>
  <c r="S77" i="1"/>
  <c r="R77" i="1"/>
  <c r="Q77" i="1"/>
  <c r="P77" i="1"/>
  <c r="O77" i="1"/>
  <c r="N77" i="1"/>
  <c r="M77" i="1"/>
  <c r="L77" i="1"/>
  <c r="V77" i="1" s="1"/>
  <c r="U76" i="1"/>
  <c r="T76" i="1"/>
  <c r="S76" i="1"/>
  <c r="R76" i="1"/>
  <c r="Q76" i="1"/>
  <c r="P76" i="1"/>
  <c r="O76" i="1"/>
  <c r="N76" i="1"/>
  <c r="M76" i="1"/>
  <c r="L76" i="1"/>
  <c r="V76" i="1" s="1"/>
  <c r="U75" i="1"/>
  <c r="V75" i="1" s="1"/>
  <c r="T75" i="1"/>
  <c r="S75" i="1"/>
  <c r="R75" i="1"/>
  <c r="Q75" i="1"/>
  <c r="P75" i="1"/>
  <c r="O75" i="1"/>
  <c r="N75" i="1"/>
  <c r="M75" i="1"/>
  <c r="L75" i="1"/>
  <c r="U74" i="1"/>
  <c r="V74" i="1" s="1"/>
  <c r="T74" i="1"/>
  <c r="S74" i="1"/>
  <c r="R74" i="1"/>
  <c r="P74" i="1"/>
  <c r="O74" i="1"/>
  <c r="N74" i="1"/>
  <c r="Q74" i="1" s="1"/>
  <c r="M74" i="1"/>
  <c r="L74" i="1"/>
  <c r="U73" i="1"/>
  <c r="V73" i="1" s="1"/>
  <c r="T73" i="1"/>
  <c r="S73" i="1"/>
  <c r="R73" i="1"/>
  <c r="Q73" i="1"/>
  <c r="P73" i="1"/>
  <c r="O73" i="1"/>
  <c r="N73" i="1"/>
  <c r="M73" i="1"/>
  <c r="L73" i="1"/>
  <c r="U72" i="1"/>
  <c r="V72" i="1" s="1"/>
  <c r="T72" i="1"/>
  <c r="S72" i="1"/>
  <c r="R72" i="1"/>
  <c r="P72" i="1"/>
  <c r="O72" i="1"/>
  <c r="N72" i="1"/>
  <c r="Q72" i="1" s="1"/>
  <c r="M72" i="1"/>
  <c r="L72" i="1"/>
  <c r="V71" i="1"/>
  <c r="U71" i="1"/>
  <c r="T71" i="1"/>
  <c r="S71" i="1"/>
  <c r="R71" i="1"/>
  <c r="P71" i="1"/>
  <c r="O71" i="1"/>
  <c r="N71" i="1"/>
  <c r="Q71" i="1" s="1"/>
  <c r="M71" i="1"/>
  <c r="L71" i="1"/>
  <c r="V70" i="1"/>
  <c r="U70" i="1"/>
  <c r="T70" i="1"/>
  <c r="S70" i="1"/>
  <c r="R70" i="1"/>
  <c r="P70" i="1"/>
  <c r="O70" i="1"/>
  <c r="N70" i="1"/>
  <c r="Q70" i="1" s="1"/>
  <c r="M70" i="1"/>
  <c r="L70" i="1"/>
  <c r="U69" i="1"/>
  <c r="T69" i="1"/>
  <c r="S69" i="1"/>
  <c r="R69" i="1"/>
  <c r="Q69" i="1"/>
  <c r="P69" i="1"/>
  <c r="O69" i="1"/>
  <c r="N69" i="1"/>
  <c r="M69" i="1"/>
  <c r="L69" i="1"/>
  <c r="V69" i="1" s="1"/>
  <c r="U68" i="1"/>
  <c r="T68" i="1"/>
  <c r="S68" i="1"/>
  <c r="R68" i="1"/>
  <c r="Q68" i="1"/>
  <c r="P68" i="1"/>
  <c r="O68" i="1"/>
  <c r="N68" i="1"/>
  <c r="M68" i="1"/>
  <c r="L68" i="1"/>
  <c r="V68" i="1" s="1"/>
  <c r="U67" i="1"/>
  <c r="V67" i="1" s="1"/>
  <c r="T67" i="1"/>
  <c r="S67" i="1"/>
  <c r="R67" i="1"/>
  <c r="Q67" i="1"/>
  <c r="P67" i="1"/>
  <c r="O67" i="1"/>
  <c r="N67" i="1"/>
  <c r="M67" i="1"/>
  <c r="L67" i="1"/>
  <c r="U66" i="1"/>
  <c r="V66" i="1" s="1"/>
  <c r="T66" i="1"/>
  <c r="S66" i="1"/>
  <c r="R66" i="1"/>
  <c r="P66" i="1"/>
  <c r="O66" i="1"/>
  <c r="N66" i="1"/>
  <c r="Q66" i="1" s="1"/>
  <c r="M66" i="1"/>
  <c r="L66" i="1"/>
  <c r="U65" i="1"/>
  <c r="V65" i="1" s="1"/>
  <c r="T65" i="1"/>
  <c r="S65" i="1"/>
  <c r="R65" i="1"/>
  <c r="Q65" i="1"/>
  <c r="P65" i="1"/>
  <c r="O65" i="1"/>
  <c r="N65" i="1"/>
  <c r="M65" i="1"/>
  <c r="L65" i="1"/>
  <c r="U64" i="1"/>
  <c r="V64" i="1" s="1"/>
  <c r="T64" i="1"/>
  <c r="S64" i="1"/>
  <c r="R64" i="1"/>
  <c r="P64" i="1"/>
  <c r="O64" i="1"/>
  <c r="N64" i="1"/>
  <c r="Q64" i="1" s="1"/>
  <c r="M64" i="1"/>
  <c r="L64" i="1"/>
  <c r="V63" i="1"/>
  <c r="U63" i="1"/>
  <c r="T63" i="1"/>
  <c r="S63" i="1"/>
  <c r="R63" i="1"/>
  <c r="P63" i="1"/>
  <c r="O63" i="1"/>
  <c r="N63" i="1"/>
  <c r="Q63" i="1" s="1"/>
  <c r="M63" i="1"/>
  <c r="L63" i="1"/>
  <c r="V62" i="1"/>
  <c r="U62" i="1"/>
  <c r="T62" i="1"/>
  <c r="S62" i="1"/>
  <c r="R62" i="1"/>
  <c r="P62" i="1"/>
  <c r="O62" i="1"/>
  <c r="N62" i="1"/>
  <c r="Q62" i="1" s="1"/>
  <c r="M62" i="1"/>
  <c r="L62" i="1"/>
  <c r="U61" i="1"/>
  <c r="T61" i="1"/>
  <c r="S61" i="1"/>
  <c r="R61" i="1"/>
  <c r="Q61" i="1"/>
  <c r="P61" i="1"/>
  <c r="O61" i="1"/>
  <c r="N61" i="1"/>
  <c r="M61" i="1"/>
  <c r="L61" i="1"/>
  <c r="V61" i="1" s="1"/>
  <c r="U60" i="1"/>
  <c r="T60" i="1"/>
  <c r="S60" i="1"/>
  <c r="R60" i="1"/>
  <c r="Q60" i="1"/>
  <c r="P60" i="1"/>
  <c r="O60" i="1"/>
  <c r="N60" i="1"/>
  <c r="M60" i="1"/>
  <c r="L60" i="1"/>
  <c r="V60" i="1" s="1"/>
  <c r="U59" i="1"/>
  <c r="V59" i="1" s="1"/>
  <c r="T59" i="1"/>
  <c r="S59" i="1"/>
  <c r="R59" i="1"/>
  <c r="Q59" i="1"/>
  <c r="P59" i="1"/>
  <c r="O59" i="1"/>
  <c r="N59" i="1"/>
  <c r="M59" i="1"/>
  <c r="L59" i="1"/>
  <c r="U58" i="1"/>
  <c r="V58" i="1" s="1"/>
  <c r="T58" i="1"/>
  <c r="S58" i="1"/>
  <c r="R58" i="1"/>
  <c r="P58" i="1"/>
  <c r="O58" i="1"/>
  <c r="N58" i="1"/>
  <c r="Q58" i="1" s="1"/>
  <c r="M58" i="1"/>
  <c r="L58" i="1"/>
  <c r="U57" i="1"/>
  <c r="V57" i="1" s="1"/>
  <c r="T57" i="1"/>
  <c r="S57" i="1"/>
  <c r="R57" i="1"/>
  <c r="Q57" i="1"/>
  <c r="P57" i="1"/>
  <c r="O57" i="1"/>
  <c r="N57" i="1"/>
  <c r="M57" i="1"/>
  <c r="L57" i="1"/>
  <c r="U56" i="1"/>
  <c r="V56" i="1" s="1"/>
  <c r="T56" i="1"/>
  <c r="S56" i="1"/>
  <c r="R56" i="1"/>
  <c r="P56" i="1"/>
  <c r="O56" i="1"/>
  <c r="N56" i="1"/>
  <c r="Q56" i="1" s="1"/>
  <c r="M56" i="1"/>
  <c r="L56" i="1"/>
  <c r="V55" i="1"/>
  <c r="U55" i="1"/>
  <c r="T55" i="1"/>
  <c r="S55" i="1"/>
  <c r="R55" i="1"/>
  <c r="P55" i="1"/>
  <c r="O55" i="1"/>
  <c r="N55" i="1"/>
  <c r="Q55" i="1" s="1"/>
  <c r="M55" i="1"/>
  <c r="L55" i="1"/>
  <c r="V54" i="1"/>
  <c r="U54" i="1"/>
  <c r="T54" i="1"/>
  <c r="S54" i="1"/>
  <c r="R54" i="1"/>
  <c r="P54" i="1"/>
  <c r="O54" i="1"/>
  <c r="N54" i="1"/>
  <c r="Q54" i="1" s="1"/>
  <c r="M54" i="1"/>
  <c r="L54" i="1"/>
  <c r="U53" i="1"/>
  <c r="T53" i="1"/>
  <c r="S53" i="1"/>
  <c r="R53" i="1"/>
  <c r="Q53" i="1"/>
  <c r="P53" i="1"/>
  <c r="O53" i="1"/>
  <c r="N53" i="1"/>
  <c r="M53" i="1"/>
  <c r="L53" i="1"/>
  <c r="V53" i="1" s="1"/>
  <c r="U52" i="1"/>
  <c r="T52" i="1"/>
  <c r="S52" i="1"/>
  <c r="R52" i="1"/>
  <c r="Q52" i="1"/>
  <c r="P52" i="1"/>
  <c r="O52" i="1"/>
  <c r="N52" i="1"/>
  <c r="M52" i="1"/>
  <c r="L52" i="1"/>
  <c r="V52" i="1" s="1"/>
  <c r="U51" i="1"/>
  <c r="V51" i="1" s="1"/>
  <c r="T51" i="1"/>
  <c r="S51" i="1"/>
  <c r="R51" i="1"/>
  <c r="Q51" i="1"/>
  <c r="P51" i="1"/>
  <c r="O51" i="1"/>
  <c r="N51" i="1"/>
  <c r="M51" i="1"/>
  <c r="L51" i="1"/>
  <c r="U50" i="1"/>
  <c r="V50" i="1" s="1"/>
  <c r="T50" i="1"/>
  <c r="S50" i="1"/>
  <c r="R50" i="1"/>
  <c r="P50" i="1"/>
  <c r="O50" i="1"/>
  <c r="N50" i="1"/>
  <c r="Q50" i="1" s="1"/>
  <c r="M50" i="1"/>
  <c r="L50" i="1"/>
  <c r="U49" i="1"/>
  <c r="V49" i="1" s="1"/>
  <c r="T49" i="1"/>
  <c r="S49" i="1"/>
  <c r="R49" i="1"/>
  <c r="Q49" i="1"/>
  <c r="P49" i="1"/>
  <c r="O49" i="1"/>
  <c r="N49" i="1"/>
  <c r="M49" i="1"/>
  <c r="L49" i="1"/>
  <c r="U48" i="1"/>
  <c r="V48" i="1" s="1"/>
  <c r="T48" i="1"/>
  <c r="S48" i="1"/>
  <c r="R48" i="1"/>
  <c r="Q48" i="1"/>
  <c r="P48" i="1"/>
  <c r="O48" i="1"/>
  <c r="N48" i="1"/>
  <c r="M48" i="1"/>
  <c r="L48" i="1"/>
  <c r="V47" i="1"/>
  <c r="U47" i="1"/>
  <c r="T47" i="1"/>
  <c r="S47" i="1"/>
  <c r="R47" i="1"/>
  <c r="P47" i="1"/>
  <c r="O47" i="1"/>
  <c r="N47" i="1"/>
  <c r="Q47" i="1" s="1"/>
  <c r="M47" i="1"/>
  <c r="L47" i="1"/>
  <c r="V46" i="1"/>
  <c r="U46" i="1"/>
  <c r="T46" i="1"/>
  <c r="S46" i="1"/>
  <c r="R46" i="1"/>
  <c r="P46" i="1"/>
  <c r="O46" i="1"/>
  <c r="N46" i="1"/>
  <c r="Q46" i="1" s="1"/>
  <c r="M46" i="1"/>
  <c r="L46" i="1"/>
  <c r="U45" i="1"/>
  <c r="V45" i="1" s="1"/>
  <c r="T45" i="1"/>
  <c r="S45" i="1"/>
  <c r="R45" i="1"/>
  <c r="Q45" i="1"/>
  <c r="P45" i="1"/>
  <c r="O45" i="1"/>
  <c r="N45" i="1"/>
  <c r="M45" i="1"/>
  <c r="L45" i="1"/>
  <c r="U44" i="1"/>
  <c r="T44" i="1"/>
  <c r="S44" i="1"/>
  <c r="R44" i="1"/>
  <c r="Q44" i="1"/>
  <c r="P44" i="1"/>
  <c r="O44" i="1"/>
  <c r="N44" i="1"/>
  <c r="M44" i="1"/>
  <c r="L44" i="1"/>
  <c r="V44" i="1" s="1"/>
  <c r="U43" i="1"/>
  <c r="V43" i="1" s="1"/>
  <c r="T43" i="1"/>
  <c r="S43" i="1"/>
  <c r="R43" i="1"/>
  <c r="Q43" i="1"/>
  <c r="P43" i="1"/>
  <c r="O43" i="1"/>
  <c r="N43" i="1"/>
  <c r="M43" i="1"/>
  <c r="L43" i="1"/>
  <c r="U42" i="1"/>
  <c r="V42" i="1" s="1"/>
  <c r="T42" i="1"/>
  <c r="S42" i="1"/>
  <c r="R42" i="1"/>
  <c r="P42" i="1"/>
  <c r="O42" i="1"/>
  <c r="N42" i="1"/>
  <c r="Q42" i="1" s="1"/>
  <c r="M42" i="1"/>
  <c r="L42" i="1"/>
  <c r="U41" i="1"/>
  <c r="V41" i="1" s="1"/>
  <c r="T41" i="1"/>
  <c r="S41" i="1"/>
  <c r="R41" i="1"/>
  <c r="Q41" i="1"/>
  <c r="P41" i="1"/>
  <c r="O41" i="1"/>
  <c r="N41" i="1"/>
  <c r="M41" i="1"/>
  <c r="L41" i="1"/>
  <c r="U40" i="1"/>
  <c r="V40" i="1" s="1"/>
  <c r="T40" i="1"/>
  <c r="S40" i="1"/>
  <c r="R40" i="1"/>
  <c r="Q40" i="1"/>
  <c r="P40" i="1"/>
  <c r="O40" i="1"/>
  <c r="N40" i="1"/>
  <c r="M40" i="1"/>
  <c r="L40" i="1"/>
  <c r="V39" i="1"/>
  <c r="U39" i="1"/>
  <c r="T39" i="1"/>
  <c r="S39" i="1"/>
  <c r="R39" i="1"/>
  <c r="P39" i="1"/>
  <c r="O39" i="1"/>
  <c r="N39" i="1"/>
  <c r="Q39" i="1" s="1"/>
  <c r="M39" i="1"/>
  <c r="L39" i="1"/>
  <c r="V38" i="1"/>
  <c r="U38" i="1"/>
  <c r="T38" i="1"/>
  <c r="S38" i="1"/>
  <c r="R38" i="1"/>
  <c r="P38" i="1"/>
  <c r="O38" i="1"/>
  <c r="N38" i="1"/>
  <c r="Q38" i="1" s="1"/>
  <c r="M38" i="1"/>
  <c r="L38" i="1"/>
  <c r="U37" i="1"/>
  <c r="V37" i="1" s="1"/>
  <c r="T37" i="1"/>
  <c r="S37" i="1"/>
  <c r="R37" i="1"/>
  <c r="Q37" i="1"/>
  <c r="P37" i="1"/>
  <c r="O37" i="1"/>
  <c r="N37" i="1"/>
  <c r="M37" i="1"/>
  <c r="L37" i="1"/>
  <c r="U36" i="1"/>
  <c r="T36" i="1"/>
  <c r="S36" i="1"/>
  <c r="R36" i="1"/>
  <c r="P36" i="1"/>
  <c r="O36" i="1"/>
  <c r="N36" i="1"/>
  <c r="Q36" i="1" s="1"/>
  <c r="M36" i="1"/>
  <c r="L36" i="1"/>
  <c r="V36" i="1" s="1"/>
  <c r="U35" i="1"/>
  <c r="V35" i="1" s="1"/>
  <c r="T35" i="1"/>
  <c r="S35" i="1"/>
  <c r="R35" i="1"/>
  <c r="Q35" i="1"/>
  <c r="P35" i="1"/>
  <c r="O35" i="1"/>
  <c r="N35" i="1"/>
  <c r="M35" i="1"/>
  <c r="L35" i="1"/>
  <c r="U34" i="1"/>
  <c r="V34" i="1" s="1"/>
  <c r="T34" i="1"/>
  <c r="S34" i="1"/>
  <c r="R34" i="1"/>
  <c r="P34" i="1"/>
  <c r="O34" i="1"/>
  <c r="N34" i="1"/>
  <c r="Q34" i="1" s="1"/>
  <c r="M34" i="1"/>
  <c r="L34" i="1"/>
  <c r="U33" i="1"/>
  <c r="V33" i="1" s="1"/>
  <c r="T33" i="1"/>
  <c r="S33" i="1"/>
  <c r="R33" i="1"/>
  <c r="Q33" i="1"/>
  <c r="P33" i="1"/>
  <c r="O33" i="1"/>
  <c r="N33" i="1"/>
  <c r="M33" i="1"/>
  <c r="L33" i="1"/>
  <c r="U32" i="1"/>
  <c r="V32" i="1" s="1"/>
  <c r="T32" i="1"/>
  <c r="S32" i="1"/>
  <c r="R32" i="1"/>
  <c r="Q32" i="1"/>
  <c r="P32" i="1"/>
  <c r="O32" i="1"/>
  <c r="N32" i="1"/>
  <c r="M32" i="1"/>
  <c r="L32" i="1"/>
  <c r="V31" i="1"/>
  <c r="U31" i="1"/>
  <c r="T31" i="1"/>
  <c r="S31" i="1"/>
  <c r="R31" i="1"/>
  <c r="P31" i="1"/>
  <c r="O31" i="1"/>
  <c r="N31" i="1"/>
  <c r="Q31" i="1" s="1"/>
  <c r="M31" i="1"/>
  <c r="L31" i="1"/>
  <c r="V30" i="1"/>
  <c r="U30" i="1"/>
  <c r="T30" i="1"/>
  <c r="S30" i="1"/>
  <c r="R30" i="1"/>
  <c r="P30" i="1"/>
  <c r="O30" i="1"/>
  <c r="N30" i="1"/>
  <c r="Q30" i="1" s="1"/>
  <c r="M30" i="1"/>
  <c r="L30" i="1"/>
  <c r="U29" i="1"/>
  <c r="V29" i="1" s="1"/>
  <c r="T29" i="1"/>
  <c r="S29" i="1"/>
  <c r="R29" i="1"/>
  <c r="Q29" i="1"/>
  <c r="P29" i="1"/>
  <c r="O29" i="1"/>
  <c r="N29" i="1"/>
  <c r="M29" i="1"/>
  <c r="L29" i="1"/>
  <c r="U28" i="1"/>
  <c r="T28" i="1"/>
  <c r="S28" i="1"/>
  <c r="R28" i="1"/>
  <c r="P28" i="1"/>
  <c r="O28" i="1"/>
  <c r="N28" i="1"/>
  <c r="Q28" i="1" s="1"/>
  <c r="M28" i="1"/>
  <c r="L28" i="1"/>
  <c r="V28" i="1" s="1"/>
  <c r="U27" i="1"/>
  <c r="V27" i="1" s="1"/>
  <c r="T27" i="1"/>
  <c r="S27" i="1"/>
  <c r="R27" i="1"/>
  <c r="Q27" i="1"/>
  <c r="P27" i="1"/>
  <c r="O27" i="1"/>
  <c r="N27" i="1"/>
  <c r="M27" i="1"/>
  <c r="L27" i="1"/>
  <c r="U26" i="1"/>
  <c r="V26" i="1" s="1"/>
  <c r="T26" i="1"/>
  <c r="S26" i="1"/>
  <c r="R26" i="1"/>
  <c r="P26" i="1"/>
  <c r="O26" i="1"/>
  <c r="N26" i="1"/>
  <c r="Q26" i="1" s="1"/>
  <c r="M26" i="1"/>
  <c r="L26" i="1"/>
  <c r="U25" i="1"/>
  <c r="V25" i="1" s="1"/>
  <c r="T25" i="1"/>
  <c r="S25" i="1"/>
  <c r="R25" i="1"/>
  <c r="Q25" i="1"/>
  <c r="P25" i="1"/>
  <c r="O25" i="1"/>
  <c r="N25" i="1"/>
  <c r="M25" i="1"/>
  <c r="L25" i="1"/>
  <c r="U24" i="1"/>
  <c r="V24" i="1" s="1"/>
  <c r="T24" i="1"/>
  <c r="S24" i="1"/>
  <c r="R24" i="1"/>
  <c r="Q24" i="1"/>
  <c r="P24" i="1"/>
  <c r="O24" i="1"/>
  <c r="N24" i="1"/>
  <c r="M24" i="1"/>
  <c r="L24" i="1"/>
  <c r="V23" i="1"/>
  <c r="U23" i="1"/>
  <c r="T23" i="1"/>
  <c r="S23" i="1"/>
  <c r="R23" i="1"/>
  <c r="P23" i="1"/>
  <c r="O23" i="1"/>
  <c r="N23" i="1"/>
  <c r="Q23" i="1" s="1"/>
  <c r="M23" i="1"/>
  <c r="L23" i="1"/>
  <c r="V22" i="1"/>
  <c r="U22" i="1"/>
  <c r="T22" i="1"/>
  <c r="S22" i="1"/>
  <c r="R22" i="1"/>
  <c r="P22" i="1"/>
  <c r="O22" i="1"/>
  <c r="N22" i="1"/>
  <c r="Q22" i="1" s="1"/>
  <c r="M22" i="1"/>
  <c r="L22" i="1"/>
  <c r="U21" i="1"/>
  <c r="V21" i="1" s="1"/>
  <c r="T21" i="1"/>
  <c r="S21" i="1"/>
  <c r="R21" i="1"/>
  <c r="Q21" i="1"/>
  <c r="P21" i="1"/>
  <c r="O21" i="1"/>
  <c r="N21" i="1"/>
  <c r="M21" i="1"/>
  <c r="L21" i="1"/>
  <c r="U20" i="1"/>
  <c r="T20" i="1"/>
  <c r="S20" i="1"/>
  <c r="R20" i="1"/>
  <c r="P20" i="1"/>
  <c r="O20" i="1"/>
  <c r="N20" i="1"/>
  <c r="Q20" i="1" s="1"/>
  <c r="M20" i="1"/>
  <c r="L20" i="1"/>
  <c r="V20" i="1" s="1"/>
  <c r="U19" i="1"/>
  <c r="V19" i="1" s="1"/>
  <c r="T19" i="1"/>
  <c r="S19" i="1"/>
  <c r="R19" i="1"/>
  <c r="Q19" i="1"/>
  <c r="P19" i="1"/>
  <c r="O19" i="1"/>
  <c r="N19" i="1"/>
  <c r="M19" i="1"/>
  <c r="L19" i="1"/>
  <c r="U18" i="1"/>
  <c r="V18" i="1" s="1"/>
  <c r="T18" i="1"/>
  <c r="S18" i="1"/>
  <c r="R18" i="1"/>
  <c r="P18" i="1"/>
  <c r="O18" i="1"/>
  <c r="N18" i="1"/>
  <c r="Q18" i="1" s="1"/>
  <c r="M18" i="1"/>
  <c r="L18" i="1"/>
  <c r="U17" i="1"/>
  <c r="V17" i="1" s="1"/>
  <c r="T17" i="1"/>
  <c r="S17" i="1"/>
  <c r="R17" i="1"/>
  <c r="Q17" i="1"/>
  <c r="P17" i="1"/>
  <c r="O17" i="1"/>
  <c r="N17" i="1"/>
  <c r="M17" i="1"/>
  <c r="L17" i="1"/>
  <c r="U16" i="1"/>
  <c r="V16" i="1" s="1"/>
  <c r="T16" i="1"/>
  <c r="S16" i="1"/>
  <c r="R16" i="1"/>
  <c r="Q16" i="1"/>
  <c r="P16" i="1"/>
  <c r="O16" i="1"/>
  <c r="N16" i="1"/>
  <c r="M16" i="1"/>
  <c r="L16" i="1"/>
  <c r="U15" i="1"/>
  <c r="V15" i="1" s="1"/>
  <c r="T15" i="1"/>
  <c r="S15" i="1"/>
  <c r="R15" i="1"/>
  <c r="P15" i="1"/>
  <c r="O15" i="1"/>
  <c r="N15" i="1"/>
  <c r="Q15" i="1" s="1"/>
  <c r="M15" i="1"/>
  <c r="L15" i="1"/>
  <c r="V14" i="1"/>
  <c r="U14" i="1"/>
  <c r="T14" i="1"/>
  <c r="S14" i="1"/>
  <c r="R14" i="1"/>
  <c r="P14" i="1"/>
  <c r="O14" i="1"/>
  <c r="N14" i="1"/>
  <c r="Q14" i="1" s="1"/>
  <c r="M14" i="1"/>
  <c r="L14" i="1"/>
  <c r="U13" i="1"/>
  <c r="V13" i="1" s="1"/>
  <c r="T13" i="1"/>
  <c r="S13" i="1"/>
  <c r="R13" i="1"/>
  <c r="Q13" i="1"/>
  <c r="P13" i="1"/>
  <c r="O13" i="1"/>
  <c r="N13" i="1"/>
  <c r="M13" i="1"/>
  <c r="L13" i="1"/>
  <c r="U12" i="1"/>
  <c r="T12" i="1"/>
  <c r="S12" i="1"/>
  <c r="R12" i="1"/>
  <c r="P12" i="1"/>
  <c r="O12" i="1"/>
  <c r="N12" i="1"/>
  <c r="Q12" i="1" s="1"/>
  <c r="M12" i="1"/>
  <c r="L12" i="1"/>
  <c r="V12" i="1" s="1"/>
  <c r="U11" i="1"/>
  <c r="V11" i="1" s="1"/>
  <c r="T11" i="1"/>
  <c r="S11" i="1"/>
  <c r="R11" i="1"/>
  <c r="Q11" i="1"/>
  <c r="P11" i="1"/>
  <c r="O11" i="1"/>
  <c r="N11" i="1"/>
  <c r="M11" i="1"/>
  <c r="L11" i="1"/>
  <c r="U10" i="1"/>
  <c r="V10" i="1" s="1"/>
  <c r="T10" i="1"/>
  <c r="S10" i="1"/>
  <c r="R10" i="1"/>
  <c r="P10" i="1"/>
  <c r="O10" i="1"/>
  <c r="N10" i="1"/>
  <c r="Q10" i="1" s="1"/>
  <c r="M10" i="1"/>
  <c r="L10" i="1"/>
  <c r="U9" i="1"/>
  <c r="V9" i="1" s="1"/>
  <c r="T9" i="1"/>
  <c r="S9" i="1"/>
  <c r="R9" i="1"/>
  <c r="P9" i="1"/>
  <c r="O9" i="1"/>
  <c r="N9" i="1"/>
  <c r="Q9" i="1" s="1"/>
  <c r="M9" i="1"/>
  <c r="L9" i="1"/>
  <c r="U8" i="1"/>
  <c r="V8" i="1" s="1"/>
  <c r="T8" i="1"/>
  <c r="S8" i="1"/>
  <c r="R8" i="1"/>
  <c r="Q8" i="1"/>
  <c r="P8" i="1"/>
  <c r="O8" i="1"/>
  <c r="N8" i="1"/>
  <c r="M8" i="1"/>
  <c r="L8" i="1"/>
  <c r="U7" i="1"/>
  <c r="V7" i="1" s="1"/>
  <c r="T7" i="1"/>
  <c r="S7" i="1"/>
  <c r="R7" i="1"/>
  <c r="P7" i="1"/>
  <c r="O7" i="1"/>
  <c r="N7" i="1"/>
  <c r="Q7" i="1" s="1"/>
  <c r="M7" i="1"/>
  <c r="L7" i="1"/>
  <c r="V6" i="1"/>
  <c r="U6" i="1"/>
  <c r="T6" i="1"/>
  <c r="S6" i="1"/>
  <c r="R6" i="1"/>
  <c r="P6" i="1"/>
  <c r="O6" i="1"/>
  <c r="N6" i="1"/>
  <c r="Q6" i="1" s="1"/>
  <c r="M6" i="1"/>
  <c r="L6" i="1"/>
  <c r="U5" i="1"/>
  <c r="V5" i="1" s="1"/>
  <c r="T5" i="1"/>
  <c r="S5" i="1"/>
  <c r="R5" i="1"/>
  <c r="Q5" i="1"/>
  <c r="P5" i="1"/>
  <c r="O5" i="1"/>
  <c r="N5" i="1"/>
  <c r="M5" i="1"/>
  <c r="L5" i="1"/>
  <c r="U4" i="1"/>
  <c r="T4" i="1"/>
  <c r="S4" i="1"/>
  <c r="R4" i="1"/>
  <c r="P4" i="1"/>
  <c r="O4" i="1"/>
  <c r="N4" i="1"/>
  <c r="Q4" i="1" s="1"/>
  <c r="M4" i="1"/>
  <c r="L4" i="1"/>
  <c r="V4" i="1" s="1"/>
  <c r="U3" i="1"/>
  <c r="V3" i="1" s="1"/>
  <c r="T3" i="1"/>
  <c r="S3" i="1"/>
  <c r="R3" i="1"/>
  <c r="Q3" i="1"/>
  <c r="P3" i="1"/>
  <c r="O3" i="1"/>
  <c r="N3" i="1"/>
  <c r="M3" i="1"/>
  <c r="L3" i="1"/>
  <c r="U2" i="1"/>
  <c r="V2" i="1" s="1"/>
  <c r="T2" i="1"/>
  <c r="S2" i="1"/>
  <c r="R2" i="1"/>
  <c r="P2" i="1"/>
  <c r="O2" i="1"/>
  <c r="N2" i="1"/>
  <c r="Q2" i="1" s="1"/>
  <c r="M2" i="1"/>
  <c r="L2" i="1"/>
  <c r="V532" i="1" l="1"/>
  <c r="V621" i="1"/>
  <c r="V555" i="1"/>
  <c r="V580" i="1"/>
  <c r="V644" i="1"/>
  <c r="V628" i="1"/>
  <c r="V620" i="1"/>
  <c r="V547" i="1"/>
  <c r="V612" i="1"/>
  <c r="V1201" i="1"/>
  <c r="V1219" i="1"/>
  <c r="V1235" i="1"/>
  <c r="V1227" i="1"/>
  <c r="V1243" i="1"/>
  <c r="V1609" i="1"/>
  <c r="V1665" i="1"/>
  <c r="V1569" i="1"/>
  <c r="V1580" i="1"/>
  <c r="V1617" i="1"/>
  <c r="V1625" i="1"/>
  <c r="V1633" i="1"/>
  <c r="V1641" i="1"/>
  <c r="V1649" i="1"/>
  <c r="V1657" i="1"/>
  <c r="V1662" i="1"/>
  <c r="V1577" i="1"/>
  <c r="V1588" i="1"/>
  <c r="V1564" i="1"/>
  <c r="V1585" i="1"/>
  <c r="V1589" i="1"/>
  <c r="V1604" i="1"/>
  <c r="V1593" i="1"/>
  <c r="V1561" i="1"/>
  <c r="V1572" i="1"/>
  <c r="V1601" i="1"/>
  <c r="V1673" i="1"/>
  <c r="N18" i="12"/>
  <c r="E7" i="11"/>
  <c r="E5" i="11"/>
  <c r="E9" i="11"/>
  <c r="E5" i="10"/>
  <c r="N47" i="12"/>
  <c r="V212" i="3"/>
  <c r="V283" i="3"/>
  <c r="V299" i="3"/>
  <c r="E10" i="10"/>
  <c r="N19" i="12"/>
  <c r="V191" i="3"/>
  <c r="V227" i="3"/>
  <c r="N24" i="12"/>
  <c r="N26" i="12"/>
  <c r="V251" i="3"/>
  <c r="N16" i="12"/>
  <c r="V183" i="3"/>
  <c r="E9" i="12" s="1"/>
  <c r="V291" i="3"/>
  <c r="V219" i="3"/>
  <c r="V243" i="3"/>
  <c r="V307" i="3"/>
  <c r="E9" i="9"/>
  <c r="N57" i="12"/>
  <c r="N8" i="12"/>
  <c r="V175" i="3"/>
  <c r="V199" i="3"/>
  <c r="V211" i="3"/>
  <c r="E7" i="10"/>
  <c r="E8" i="9"/>
  <c r="N40" i="12"/>
  <c r="N49" i="12"/>
  <c r="V203" i="3"/>
  <c r="V220" i="3"/>
  <c r="V235" i="3"/>
  <c r="V583" i="3"/>
  <c r="V499" i="3"/>
  <c r="V531" i="3"/>
  <c r="V567" i="3"/>
  <c r="V491" i="3"/>
  <c r="V523" i="3"/>
  <c r="V483" i="3"/>
  <c r="V515" i="3"/>
  <c r="V547" i="3"/>
  <c r="V559" i="3"/>
  <c r="V575" i="3"/>
  <c r="V899" i="3"/>
  <c r="V939" i="3"/>
  <c r="V923" i="3"/>
  <c r="V955" i="3"/>
  <c r="V1019" i="3"/>
  <c r="V963" i="3"/>
  <c r="V1027" i="3"/>
  <c r="V931" i="3"/>
  <c r="V979" i="3"/>
  <c r="V907" i="3"/>
  <c r="V987" i="3"/>
  <c r="V995" i="3"/>
  <c r="V1383" i="3"/>
  <c r="V1407" i="3"/>
  <c r="V1471" i="3"/>
  <c r="V1286" i="3"/>
  <c r="V1294" i="3"/>
  <c r="V1351" i="3"/>
  <c r="V1463" i="3"/>
  <c r="V1318" i="3"/>
  <c r="V1375" i="3"/>
  <c r="V1399" i="3"/>
  <c r="V1455" i="3"/>
  <c r="V1254" i="3"/>
  <c r="V1270" i="3"/>
  <c r="V1447" i="3"/>
  <c r="V1319" i="3"/>
  <c r="V1343" i="3"/>
  <c r="V1367" i="3"/>
  <c r="V1439" i="3"/>
  <c r="V1255" i="3"/>
  <c r="V1310" i="3"/>
  <c r="V1431" i="3"/>
  <c r="V1359" i="3"/>
  <c r="V1391" i="3"/>
  <c r="V1423" i="3"/>
  <c r="V1479" i="3"/>
  <c r="V1262" i="3"/>
  <c r="V1278" i="3"/>
  <c r="V1302" i="3"/>
  <c r="V1311" i="3"/>
  <c r="V1335" i="3"/>
  <c r="V1415" i="3"/>
  <c r="V1570" i="3"/>
  <c r="V1599" i="3"/>
  <c r="V1610" i="3"/>
  <c r="V1767" i="3"/>
  <c r="V1607" i="3"/>
  <c r="V1522" i="3"/>
  <c r="V1578" i="3"/>
  <c r="V1615" i="3"/>
  <c r="V1514" i="3"/>
  <c r="V1546" i="3"/>
  <c r="V1562" i="3"/>
  <c r="V1586" i="3"/>
  <c r="V1620" i="3"/>
  <c r="V1628" i="3"/>
  <c r="V1636" i="3"/>
  <c r="V1799" i="3"/>
  <c r="V1506" i="3"/>
  <c r="V1538" i="3"/>
  <c r="V1594" i="3"/>
  <c r="V1591" i="3"/>
  <c r="V1602" i="3"/>
  <c r="V1776" i="3"/>
  <c r="V1808" i="3"/>
  <c r="V1824" i="3"/>
  <c r="V1841" i="3"/>
  <c r="V1905" i="3"/>
  <c r="V1995" i="3"/>
  <c r="V1849" i="3"/>
  <c r="V1913" i="3"/>
  <c r="V1815" i="3"/>
  <c r="V1831" i="3"/>
  <c r="V1857" i="3"/>
  <c r="V1921" i="3"/>
  <c r="V1865" i="3"/>
  <c r="V1914" i="3"/>
  <c r="V1929" i="3"/>
  <c r="V1760" i="3"/>
  <c r="V1792" i="3"/>
  <c r="V1816" i="3"/>
  <c r="V1832" i="3"/>
  <c r="V1873" i="3"/>
  <c r="V1922" i="3"/>
  <c r="V1937" i="3"/>
  <c r="V1881" i="3"/>
  <c r="V1752" i="3"/>
  <c r="V1784" i="3"/>
  <c r="V1823" i="3"/>
  <c r="V1833" i="3"/>
  <c r="V1889" i="3"/>
  <c r="V1938" i="3"/>
  <c r="V1946" i="3"/>
  <c r="V1897" i="3"/>
  <c r="K15" i="12"/>
  <c r="N22" i="12"/>
  <c r="K25" i="12"/>
  <c r="K32" i="12"/>
  <c r="K34" i="12"/>
  <c r="V2011" i="3"/>
  <c r="V2019" i="3"/>
  <c r="V2027" i="3"/>
  <c r="Q6" i="11"/>
  <c r="K6" i="12"/>
  <c r="K11" i="12"/>
  <c r="K13" i="12"/>
  <c r="N15" i="12"/>
  <c r="N20" i="12"/>
  <c r="K30" i="12"/>
  <c r="N34" i="12"/>
  <c r="N42" i="12"/>
  <c r="N50" i="12"/>
  <c r="N58" i="12"/>
  <c r="K18" i="12"/>
  <c r="N25" i="12"/>
  <c r="K28" i="12"/>
  <c r="N35" i="12"/>
  <c r="N43" i="12"/>
  <c r="N51" i="12"/>
  <c r="N59" i="12"/>
  <c r="V2008" i="3"/>
  <c r="V2016" i="3"/>
  <c r="V2024" i="3"/>
  <c r="E11" i="8"/>
  <c r="I5" i="11"/>
  <c r="AG6" i="11"/>
  <c r="AG13" i="11"/>
  <c r="K5" i="12"/>
  <c r="K7" i="12"/>
  <c r="K9" i="12"/>
  <c r="K14" i="12"/>
  <c r="K23" i="12"/>
  <c r="N30" i="12"/>
  <c r="K33" i="12"/>
  <c r="N36" i="12"/>
  <c r="N44" i="12"/>
  <c r="N52" i="12"/>
  <c r="N60" i="12"/>
  <c r="I14" i="11"/>
  <c r="I16" i="11"/>
  <c r="I11" i="11"/>
  <c r="Q14" i="11"/>
  <c r="Q16" i="11"/>
  <c r="Q11" i="11"/>
  <c r="Y14" i="11"/>
  <c r="Y16" i="11"/>
  <c r="Y11" i="11"/>
  <c r="AG14" i="11"/>
  <c r="AG16" i="11"/>
  <c r="AG11" i="11"/>
  <c r="Q5" i="11"/>
  <c r="Q8" i="11"/>
  <c r="K12" i="12"/>
  <c r="K19" i="12"/>
  <c r="K21" i="12"/>
  <c r="N23" i="12"/>
  <c r="N28" i="12"/>
  <c r="N37" i="12"/>
  <c r="N45" i="12"/>
  <c r="N53" i="12"/>
  <c r="N61" i="12"/>
  <c r="Y5" i="11"/>
  <c r="I7" i="11"/>
  <c r="Y8" i="11"/>
  <c r="N5" i="12"/>
  <c r="O32" i="12" s="1"/>
  <c r="N7" i="12"/>
  <c r="N14" i="12"/>
  <c r="K17" i="12"/>
  <c r="K24" i="12"/>
  <c r="K26" i="12"/>
  <c r="N33" i="12"/>
  <c r="N38" i="12"/>
  <c r="N46" i="12"/>
  <c r="N54" i="12"/>
  <c r="N62" i="12"/>
  <c r="AG5" i="11"/>
  <c r="Q7" i="11"/>
  <c r="AG8" i="11"/>
  <c r="K8" i="12"/>
  <c r="N12" i="12"/>
  <c r="K22" i="12"/>
  <c r="K31" i="12"/>
  <c r="N63" i="12"/>
  <c r="E8" i="10"/>
  <c r="Y7" i="11"/>
  <c r="K10" i="12"/>
  <c r="N17" i="12"/>
  <c r="K20" i="12"/>
  <c r="K27" i="12"/>
  <c r="K29" i="12"/>
  <c r="N31" i="12"/>
  <c r="N64" i="12"/>
  <c r="O64" i="12" s="1"/>
  <c r="N5" i="11"/>
  <c r="V5" i="11"/>
  <c r="AD5" i="11"/>
  <c r="AL5" i="11"/>
  <c r="N6" i="11"/>
  <c r="V6" i="11"/>
  <c r="AD6" i="11"/>
  <c r="AL6" i="11"/>
  <c r="N7" i="11"/>
  <c r="V7" i="11"/>
  <c r="AD7" i="11"/>
  <c r="AL7" i="11"/>
  <c r="N8" i="11"/>
  <c r="V8" i="11"/>
  <c r="AD8" i="11"/>
  <c r="AL8" i="11"/>
  <c r="N9" i="11"/>
  <c r="V9" i="11"/>
  <c r="AD9" i="11"/>
  <c r="AL9" i="11"/>
  <c r="O10" i="11"/>
  <c r="W10" i="11"/>
  <c r="AE10" i="11"/>
  <c r="P11" i="11"/>
  <c r="X11" i="11"/>
  <c r="AF11" i="11"/>
  <c r="I12" i="11"/>
  <c r="Q12" i="11"/>
  <c r="Y12" i="11"/>
  <c r="AG12" i="11"/>
  <c r="J13" i="11"/>
  <c r="R13" i="11"/>
  <c r="Z13" i="11"/>
  <c r="AH13" i="11"/>
  <c r="K14" i="11"/>
  <c r="S14" i="11"/>
  <c r="AA14" i="11"/>
  <c r="AI14" i="11"/>
  <c r="L15" i="11"/>
  <c r="T15" i="11"/>
  <c r="AB15" i="11"/>
  <c r="AJ15" i="11"/>
  <c r="M16" i="11"/>
  <c r="U16" i="11"/>
  <c r="AC16" i="11"/>
  <c r="AK16" i="11"/>
  <c r="O5" i="11"/>
  <c r="W5" i="11"/>
  <c r="AE5" i="11"/>
  <c r="O6" i="11"/>
  <c r="W6" i="11"/>
  <c r="AE6" i="11"/>
  <c r="O7" i="11"/>
  <c r="W7" i="11"/>
  <c r="AE7" i="11"/>
  <c r="O8" i="11"/>
  <c r="W8" i="11"/>
  <c r="AE8" i="11"/>
  <c r="O9" i="11"/>
  <c r="W9" i="11"/>
  <c r="AE9" i="11"/>
  <c r="P10" i="11"/>
  <c r="X10" i="11"/>
  <c r="AF10" i="11"/>
  <c r="P5" i="11"/>
  <c r="X5" i="11"/>
  <c r="AF5" i="11"/>
  <c r="P6" i="11"/>
  <c r="X6" i="11"/>
  <c r="AF6" i="11"/>
  <c r="P7" i="11"/>
  <c r="X7" i="11"/>
  <c r="AF7" i="11"/>
  <c r="P8" i="11"/>
  <c r="X8" i="11"/>
  <c r="AF8" i="11"/>
  <c r="P9" i="11"/>
  <c r="X9" i="11"/>
  <c r="AF9" i="11"/>
  <c r="I10" i="11"/>
  <c r="Q10" i="11"/>
  <c r="Y10" i="11"/>
  <c r="AG10" i="11"/>
  <c r="J11" i="11"/>
  <c r="R11" i="11"/>
  <c r="Z11" i="11"/>
  <c r="AH11" i="11"/>
  <c r="K12" i="11"/>
  <c r="S12" i="11"/>
  <c r="AA12" i="11"/>
  <c r="AI12" i="11"/>
  <c r="L13" i="11"/>
  <c r="T13" i="11"/>
  <c r="AB13" i="11"/>
  <c r="AJ13" i="11"/>
  <c r="M14" i="11"/>
  <c r="U14" i="11"/>
  <c r="AC14" i="11"/>
  <c r="AK14" i="11"/>
  <c r="N15" i="11"/>
  <c r="V15" i="11"/>
  <c r="AD15" i="11"/>
  <c r="AL15" i="11"/>
  <c r="O16" i="11"/>
  <c r="W16" i="11"/>
  <c r="AE16" i="11"/>
  <c r="O15" i="11"/>
  <c r="W15" i="11"/>
  <c r="AE15" i="11"/>
  <c r="P16" i="11"/>
  <c r="X16" i="11"/>
  <c r="AF16" i="11"/>
  <c r="J5" i="11"/>
  <c r="R5" i="11"/>
  <c r="Z5" i="11"/>
  <c r="AH5" i="11"/>
  <c r="J6" i="11"/>
  <c r="R6" i="11"/>
  <c r="Z6" i="11"/>
  <c r="AH6" i="11"/>
  <c r="J7" i="11"/>
  <c r="R7" i="11"/>
  <c r="Z7" i="11"/>
  <c r="AH7" i="11"/>
  <c r="J8" i="11"/>
  <c r="R8" i="11"/>
  <c r="Z8" i="11"/>
  <c r="AH8" i="11"/>
  <c r="J9" i="11"/>
  <c r="R9" i="11"/>
  <c r="Z9" i="11"/>
  <c r="AH9" i="11"/>
  <c r="K10" i="11"/>
  <c r="S10" i="11"/>
  <c r="AA10" i="11"/>
  <c r="AI10" i="11"/>
  <c r="N13" i="11"/>
  <c r="V13" i="11"/>
  <c r="AD13" i="11"/>
  <c r="AL13" i="11"/>
  <c r="O14" i="11"/>
  <c r="W14" i="11"/>
  <c r="AE14" i="11"/>
  <c r="P15" i="11"/>
  <c r="X15" i="11"/>
  <c r="AF15" i="11"/>
  <c r="K5" i="11"/>
  <c r="S5" i="11"/>
  <c r="AA5" i="11"/>
  <c r="AI5" i="11"/>
  <c r="K6" i="11"/>
  <c r="S6" i="11"/>
  <c r="AA6" i="11"/>
  <c r="AI6" i="11"/>
  <c r="K7" i="11"/>
  <c r="S7" i="11"/>
  <c r="AA7" i="11"/>
  <c r="AI7" i="11"/>
  <c r="K8" i="11"/>
  <c r="S8" i="11"/>
  <c r="AA8" i="11"/>
  <c r="AI8" i="11"/>
  <c r="L10" i="11"/>
  <c r="T10" i="11"/>
  <c r="AB10" i="11"/>
  <c r="AJ10" i="11"/>
  <c r="O13" i="11"/>
  <c r="W13" i="11"/>
  <c r="AE13" i="11"/>
  <c r="P14" i="11"/>
  <c r="X14" i="11"/>
  <c r="AF14" i="11"/>
  <c r="I15" i="11"/>
  <c r="Q15" i="11"/>
  <c r="Y15" i="11"/>
  <c r="AG15" i="11"/>
  <c r="J16" i="11"/>
  <c r="R16" i="11"/>
  <c r="Z16" i="11"/>
  <c r="AH16" i="11"/>
  <c r="L5" i="11"/>
  <c r="T5" i="11"/>
  <c r="AB5" i="11"/>
  <c r="AJ5" i="11"/>
  <c r="L6" i="11"/>
  <c r="T6" i="11"/>
  <c r="AB6" i="11"/>
  <c r="AJ6" i="11"/>
  <c r="L7" i="11"/>
  <c r="T7" i="11"/>
  <c r="AB7" i="11"/>
  <c r="AJ7" i="11"/>
  <c r="L8" i="11"/>
  <c r="T8" i="11"/>
  <c r="AB8" i="11"/>
  <c r="AJ8" i="11"/>
  <c r="M10" i="11"/>
  <c r="U10" i="11"/>
  <c r="AC10" i="11"/>
  <c r="AK10" i="11"/>
  <c r="P13" i="11"/>
  <c r="X13" i="11"/>
  <c r="AF13" i="11"/>
  <c r="M5" i="11"/>
  <c r="U5" i="11"/>
  <c r="AC5" i="11"/>
  <c r="M6" i="11"/>
  <c r="U6" i="11"/>
  <c r="AC6" i="11"/>
  <c r="M7" i="11"/>
  <c r="U7" i="11"/>
  <c r="AC7" i="11"/>
  <c r="M8" i="11"/>
  <c r="U8" i="11"/>
  <c r="AC8" i="11"/>
  <c r="M9" i="11"/>
  <c r="U9" i="11"/>
  <c r="AC9" i="11"/>
  <c r="N10" i="11"/>
  <c r="V10" i="11"/>
  <c r="AD10" i="11"/>
  <c r="O11" i="11"/>
  <c r="W11" i="11"/>
  <c r="P12" i="11"/>
  <c r="X12" i="11"/>
  <c r="I13" i="11"/>
  <c r="Q13" i="11"/>
  <c r="Y13" i="11"/>
  <c r="J14" i="11"/>
  <c r="R14" i="11"/>
  <c r="Z14" i="11"/>
  <c r="K15" i="11"/>
  <c r="S15" i="11"/>
  <c r="AA15" i="11"/>
  <c r="L16" i="11"/>
  <c r="T16" i="11"/>
  <c r="AB16" i="11"/>
  <c r="O54" i="12" l="1"/>
  <c r="O7" i="12"/>
  <c r="O37" i="12"/>
  <c r="O43" i="12"/>
  <c r="O34" i="12"/>
  <c r="O55" i="12"/>
  <c r="O11" i="12"/>
  <c r="O26" i="12"/>
  <c r="O46" i="12"/>
  <c r="E7" i="12"/>
  <c r="O5" i="12"/>
  <c r="O28" i="12"/>
  <c r="O30" i="12"/>
  <c r="E6" i="11"/>
  <c r="O35" i="12"/>
  <c r="O57" i="12"/>
  <c r="O24" i="12"/>
  <c r="O12" i="12"/>
  <c r="O38" i="12"/>
  <c r="O23" i="12"/>
  <c r="O20" i="12"/>
  <c r="O17" i="12"/>
  <c r="O33" i="12"/>
  <c r="O25" i="12"/>
  <c r="O15" i="12"/>
  <c r="O21" i="12"/>
  <c r="O18" i="12"/>
  <c r="O60" i="12"/>
  <c r="O6" i="12"/>
  <c r="O10" i="12"/>
  <c r="O61" i="12"/>
  <c r="O52" i="12"/>
  <c r="O58" i="12"/>
  <c r="O39" i="12"/>
  <c r="O29" i="12"/>
  <c r="O16" i="12"/>
  <c r="O56" i="12"/>
  <c r="O41" i="12"/>
  <c r="O53" i="12"/>
  <c r="O44" i="12"/>
  <c r="R9" i="12"/>
  <c r="R8" i="12"/>
  <c r="R7" i="12"/>
  <c r="R6" i="12"/>
  <c r="R5" i="12"/>
  <c r="E5" i="12"/>
  <c r="O59" i="12"/>
  <c r="O50" i="12"/>
  <c r="O22" i="12"/>
  <c r="O49" i="12"/>
  <c r="O13" i="12"/>
  <c r="O9" i="12"/>
  <c r="O19" i="12"/>
  <c r="O47" i="12"/>
  <c r="O31" i="12"/>
  <c r="O63" i="12"/>
  <c r="O62" i="12"/>
  <c r="O14" i="12"/>
  <c r="O45" i="12"/>
  <c r="O36" i="12"/>
  <c r="O51" i="12"/>
  <c r="O42" i="12"/>
  <c r="O40" i="12"/>
  <c r="O8" i="12"/>
  <c r="O48" i="12"/>
  <c r="O27" i="12"/>
  <c r="E8" i="12" l="1"/>
</calcChain>
</file>

<file path=xl/sharedStrings.xml><?xml version="1.0" encoding="utf-8"?>
<sst xmlns="http://schemas.openxmlformats.org/spreadsheetml/2006/main" count="25872" uniqueCount="3049">
  <si>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</si>
  <si>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</si>
  <si>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</si>
  <si>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</si>
  <si>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</si>
  <si>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</si>
  <si>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</si>
  <si>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</si>
  <si>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</si>
  <si>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</si>
  <si>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</si>
  <si>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Category</t>
  </si>
  <si>
    <t>Sales Region</t>
  </si>
  <si>
    <t>Unit Cost</t>
  </si>
  <si>
    <t>Customer Segment</t>
  </si>
  <si>
    <t>Customer Age</t>
  </si>
  <si>
    <t>Profit Margin</t>
  </si>
  <si>
    <t>Duplicate Check</t>
  </si>
  <si>
    <t>Product Active</t>
  </si>
  <si>
    <t>Customer Ref Check</t>
  </si>
  <si>
    <t>Standardized Ship City</t>
  </si>
  <si>
    <t>Bengaluru Grocery Order Value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</si>
  <si>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</si>
  <si>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</si>
  <si>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</si>
  <si>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</si>
  <si>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</si>
  <si>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</si>
  <si>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</si>
  <si>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</si>
  <si>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</si>
  <si>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</si>
  <si>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</si>
  <si>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</si>
  <si>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</si>
  <si>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</si>
  <si>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</si>
  <si>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</si>
  <si>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</si>
  <si>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</si>
  <si>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</si>
  <si>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</si>
  <si>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</si>
  <si>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</si>
  <si>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</si>
  <si>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</si>
  <si>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</si>
  <si>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</si>
  <si>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</si>
  <si>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</si>
  <si>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</si>
  <si>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</si>
  <si>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</si>
  <si>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</si>
  <si>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</si>
  <si>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</si>
  <si>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</si>
  <si>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</si>
  <si>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</si>
  <si>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</si>
  <si>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</si>
  <si>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</si>
  <si>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</si>
  <si>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</si>
  <si>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</si>
  <si>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</si>
  <si>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</si>
  <si>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</si>
  <si>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</si>
  <si>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</si>
  <si>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</si>
  <si>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</si>
  <si>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</si>
  <si>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</si>
  <si>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</si>
  <si>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</si>
  <si>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</si>
  <si>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</si>
  <si>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</si>
  <si>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</si>
  <si>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</si>
  <si>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</si>
  <si>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</si>
  <si>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</si>
  <si>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</si>
  <si>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</si>
  <si>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</si>
  <si>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</si>
  <si>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</si>
  <si>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</si>
  <si>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</si>
  <si>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</si>
  <si>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</si>
  <si>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</si>
  <si>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</si>
  <si>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</si>
  <si>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</si>
  <si>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</si>
  <si>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</si>
  <si>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</si>
  <si>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</si>
  <si>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</si>
  <si>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</si>
  <si>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</si>
  <si>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</si>
  <si>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</si>
  <si>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</si>
  <si>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</si>
  <si>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</si>
  <si>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</si>
  <si>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</si>
  <si>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</si>
  <si>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</si>
  <si>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</si>
  <si>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</si>
  <si>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</si>
  <si>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</si>
  <si>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</si>
  <si>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</si>
  <si>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</si>
  <si>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</si>
  <si>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</si>
  <si>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</si>
  <si>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</si>
  <si>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</si>
  <si>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</si>
  <si>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</si>
  <si>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</si>
  <si>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</si>
  <si>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</si>
  <si>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</si>
  <si>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</si>
  <si>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</si>
  <si>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</si>
  <si>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</si>
  <si>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</si>
  <si>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</si>
  <si>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</si>
  <si>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</si>
  <si>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</si>
  <si>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</si>
  <si>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</si>
  <si>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</si>
  <si>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</si>
  <si>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</si>
  <si>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</si>
  <si>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</si>
  <si>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</si>
  <si>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</si>
  <si>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</si>
  <si>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</si>
  <si>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</si>
  <si>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</si>
  <si>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</si>
  <si>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</si>
  <si>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</si>
  <si>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</si>
  <si>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</si>
  <si>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</si>
  <si>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</si>
  <si>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</si>
  <si>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</si>
  <si>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</si>
  <si>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</si>
  <si>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</si>
  <si>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</si>
  <si>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</si>
  <si>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</si>
  <si>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</si>
  <si>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</si>
  <si>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</si>
  <si>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</si>
  <si>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</si>
  <si>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</si>
  <si>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</si>
  <si>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</si>
  <si>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</si>
  <si>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</si>
  <si>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</si>
  <si>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</si>
  <si>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</si>
  <si>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</si>
  <si>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</si>
  <si>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</si>
  <si>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</si>
  <si>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</si>
  <si>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</si>
  <si>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</si>
  <si>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</si>
  <si>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</si>
  <si>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</si>
  <si>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</si>
  <si>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</si>
  <si>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</si>
  <si>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</si>
  <si>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</si>
  <si>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</si>
  <si>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</si>
  <si>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</si>
  <si>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</si>
  <si>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</si>
  <si>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</si>
  <si>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</si>
  <si>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</si>
  <si>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</si>
  <si>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</si>
  <si>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</si>
  <si>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</si>
  <si>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</si>
  <si>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</si>
  <si>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</si>
  <si>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</si>
  <si>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</si>
  <si>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</si>
  <si>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</si>
  <si>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</si>
  <si>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</si>
  <si>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</si>
  <si>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</si>
  <si>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</si>
  <si>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</si>
  <si>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</si>
  <si>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</si>
  <si>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</si>
  <si>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</si>
  <si>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</si>
  <si>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</si>
  <si>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</si>
  <si>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</si>
  <si>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</si>
  <si>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</si>
  <si>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</si>
  <si>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</si>
  <si>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</si>
  <si>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</si>
  <si>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</si>
  <si>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</si>
  <si>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</si>
  <si>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</si>
  <si>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</si>
  <si>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</si>
  <si>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</si>
  <si>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</si>
  <si>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</si>
  <si>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</si>
  <si>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</si>
  <si>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</si>
  <si>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</si>
  <si>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</si>
  <si>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</si>
  <si>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</si>
  <si>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</si>
  <si>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</si>
  <si>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</si>
  <si>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</si>
  <si>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</si>
  <si>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</si>
  <si>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</si>
  <si>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</si>
  <si>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</si>
  <si>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</si>
  <si>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</si>
  <si>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</si>
  <si>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</si>
  <si>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</si>
  <si>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</si>
  <si>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</si>
  <si>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</si>
  <si>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</si>
  <si>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</si>
  <si>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</si>
  <si>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</si>
  <si>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</si>
  <si>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</si>
  <si>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</si>
  <si>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</si>
  <si>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</si>
  <si>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</si>
  <si>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</si>
  <si>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</si>
  <si>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</si>
  <si>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</si>
  <si>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</si>
  <si>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</si>
  <si>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</si>
  <si>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</si>
  <si>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</si>
  <si>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</si>
  <si>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</si>
  <si>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</si>
  <si>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</si>
  <si>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</si>
  <si>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</si>
  <si>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</si>
  <si>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</si>
  <si>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</si>
  <si>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</si>
  <si>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</si>
  <si>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</si>
  <si>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</si>
  <si>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</si>
  <si>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</si>
  <si>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</si>
  <si>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</si>
  <si>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</si>
  <si>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</si>
  <si>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</si>
  <si>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</si>
  <si>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</si>
  <si>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</si>
  <si>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</si>
  <si>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</si>
  <si>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</si>
  <si>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</si>
  <si>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</si>
  <si>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</si>
  <si>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</si>
  <si>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</si>
  <si>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</si>
  <si>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</si>
  <si>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</si>
  <si>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</si>
  <si>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</si>
  <si>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</si>
  <si>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</si>
  <si>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</si>
  <si>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</si>
  <si>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</si>
  <si>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</si>
  <si>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</si>
  <si>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</si>
  <si>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</si>
  <si>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</si>
  <si>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</si>
  <si>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</si>
  <si>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</si>
  <si>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</si>
  <si>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</si>
  <si>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</si>
  <si>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</si>
  <si>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</si>
  <si>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</si>
  <si>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</si>
  <si>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</si>
  <si>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</si>
  <si>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</si>
  <si>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</si>
  <si>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</si>
  <si>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</si>
  <si>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</si>
  <si>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</si>
  <si>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</si>
  <si>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</si>
  <si>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</si>
  <si>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</si>
  <si>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</si>
  <si>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</si>
  <si>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</si>
  <si>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</si>
  <si>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</si>
  <si>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</si>
  <si>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</si>
  <si>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</si>
  <si>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</si>
  <si>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</si>
  <si>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</si>
  <si>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</si>
  <si>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</si>
  <si>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</si>
  <si>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</si>
  <si>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</si>
  <si>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</si>
  <si>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</si>
  <si>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</si>
  <si>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</si>
  <si>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</si>
  <si>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</si>
  <si>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</si>
  <si>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</si>
  <si>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</si>
  <si>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</si>
  <si>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</si>
  <si>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</si>
  <si>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</si>
  <si>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</si>
  <si>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</si>
  <si>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</si>
  <si>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</si>
  <si>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</si>
  <si>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</si>
  <si>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</si>
  <si>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</si>
  <si>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</si>
  <si>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</si>
  <si>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</si>
  <si>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</si>
  <si>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</si>
  <si>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</si>
  <si>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</si>
  <si>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</si>
  <si>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</si>
  <si>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</si>
  <si>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</si>
  <si>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</si>
  <si>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</si>
  <si>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</si>
  <si>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</si>
  <si>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</si>
  <si>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</si>
  <si>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</si>
  <si>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</si>
  <si>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</si>
  <si>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</si>
  <si>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</si>
  <si>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</si>
  <si>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</si>
  <si>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</si>
  <si>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</si>
  <si>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</si>
  <si>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</si>
  <si>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</si>
  <si>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</si>
  <si>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</si>
  <si>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</si>
  <si>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</si>
  <si>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</si>
  <si>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</si>
  <si>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</si>
  <si>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</si>
  <si>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</si>
  <si>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</si>
  <si>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</si>
  <si>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</si>
  <si>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</si>
  <si>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</si>
  <si>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</si>
  <si>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</si>
  <si>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</si>
  <si>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</si>
  <si>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</si>
  <si>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</si>
  <si>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</si>
  <si>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</si>
  <si>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</si>
  <si>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</si>
  <si>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</si>
  <si>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</si>
  <si>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</si>
  <si>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</si>
  <si>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</si>
  <si>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</si>
  <si>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</si>
  <si>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</si>
  <si>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</si>
  <si>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</si>
  <si>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</si>
  <si>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</si>
  <si>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</si>
  <si>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</si>
  <si>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</si>
  <si>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</si>
  <si>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</si>
  <si>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</si>
  <si>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</si>
  <si>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</si>
  <si>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</si>
  <si>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</si>
  <si>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</si>
  <si>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</si>
  <si>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</si>
  <si>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</si>
  <si>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</si>
  <si>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</si>
  <si>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</si>
  <si>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</si>
  <si>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</si>
  <si>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</si>
  <si>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</si>
  <si>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</si>
  <si>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</si>
  <si>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</si>
  <si>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</si>
  <si>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</si>
  <si>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</si>
  <si>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</si>
  <si>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</si>
  <si>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</si>
  <si>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</si>
  <si>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</si>
  <si>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</si>
  <si>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</si>
  <si>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</si>
  <si>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</si>
  <si>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</si>
  <si>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</si>
  <si>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</si>
  <si>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</si>
  <si>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</si>
  <si>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</si>
  <si>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</si>
  <si>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</si>
  <si>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</si>
  <si>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</si>
  <si>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</si>
  <si>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</si>
  <si>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</si>
  <si>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</si>
  <si>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</si>
  <si>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</si>
  <si>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</si>
  <si>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</si>
  <si>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</si>
  <si>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</si>
  <si>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</si>
  <si>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</si>
  <si>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</si>
  <si>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</si>
  <si>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</si>
  <si>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</si>
  <si>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</si>
  <si>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</si>
  <si>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</si>
  <si>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</si>
  <si>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</si>
  <si>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</si>
  <si>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</si>
  <si>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</si>
  <si>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</si>
  <si>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</si>
  <si>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</si>
  <si>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</si>
  <si>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</si>
  <si>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</si>
  <si>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</si>
  <si>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</si>
  <si>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</si>
  <si>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</si>
  <si>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</si>
  <si>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</si>
  <si>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</si>
  <si>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</si>
  <si>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</si>
  <si>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</si>
  <si>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</si>
  <si>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</si>
  <si>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</si>
  <si>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</si>
  <si>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</si>
  <si>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</si>
  <si>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</si>
  <si>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</si>
  <si>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</si>
  <si>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</si>
  <si>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</si>
  <si>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</si>
  <si>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</si>
  <si>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</si>
  <si>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</si>
  <si>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</si>
  <si>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</si>
  <si>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</si>
  <si>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</si>
  <si>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</si>
  <si>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</si>
  <si>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</si>
  <si>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</si>
  <si>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</si>
  <si>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</si>
  <si>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</si>
  <si>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</si>
  <si>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</si>
  <si>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</si>
  <si>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</si>
  <si>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</si>
  <si>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</si>
  <si>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</si>
  <si>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</si>
  <si>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</si>
  <si>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</si>
  <si>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</si>
  <si>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</si>
  <si>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</si>
  <si>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</si>
  <si>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</si>
  <si>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</si>
  <si>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</si>
  <si>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</si>
  <si>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</si>
  <si>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</si>
  <si>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</si>
  <si>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</si>
  <si>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</si>
  <si>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</si>
  <si>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</si>
  <si>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</si>
  <si>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</si>
  <si>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</si>
  <si>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</si>
  <si>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</si>
  <si>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</si>
  <si>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</si>
  <si>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</si>
  <si>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</si>
  <si>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</si>
  <si>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</si>
  <si>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</si>
  <si>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</si>
  <si>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</si>
  <si>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</si>
  <si>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</si>
  <si>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</si>
  <si>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</si>
  <si>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</si>
  <si>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</si>
  <si>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</si>
  <si>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</si>
  <si>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</si>
  <si>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</si>
  <si>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</si>
  <si>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</si>
  <si>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</si>
  <si>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</si>
  <si>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</si>
  <si>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</si>
  <si>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</si>
  <si>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</si>
  <si>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</si>
  <si>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</si>
  <si>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</si>
  <si>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</si>
  <si>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</si>
  <si>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</si>
  <si>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</si>
  <si>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</si>
  <si>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</si>
  <si>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</si>
  <si>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</si>
  <si>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</si>
  <si>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</si>
  <si>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</si>
  <si>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</si>
  <si>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</si>
  <si>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</si>
  <si>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</si>
  <si>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</si>
  <si>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</si>
  <si>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</si>
  <si>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</si>
  <si>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</si>
  <si>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</si>
  <si>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</si>
  <si>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</si>
  <si>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</si>
  <si>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</si>
  <si>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</si>
  <si>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</si>
  <si>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</si>
  <si>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</si>
  <si>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</si>
  <si>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</si>
  <si>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</si>
  <si>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</si>
  <si>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</si>
  <si>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</si>
  <si>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</si>
  <si>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</si>
  <si>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</si>
  <si>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</si>
  <si>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</si>
  <si>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</si>
  <si>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</si>
  <si>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</si>
  <si>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</si>
  <si>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</si>
  <si>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</si>
  <si>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</si>
  <si>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</si>
  <si>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</si>
  <si>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</si>
  <si>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</si>
  <si>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</si>
  <si>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</si>
  <si>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</si>
  <si>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</si>
  <si>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</si>
  <si>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</si>
  <si>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</si>
  <si>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</si>
  <si>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</si>
  <si>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</si>
  <si>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</si>
  <si>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</si>
  <si>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</si>
  <si>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</si>
  <si>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</si>
  <si>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</si>
  <si>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</si>
  <si>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</si>
  <si>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</si>
  <si>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</si>
  <si>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</si>
  <si>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</si>
  <si>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</si>
  <si>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</si>
  <si>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</si>
  <si>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</si>
  <si>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</si>
  <si>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</si>
  <si>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</si>
  <si>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</si>
  <si>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</si>
  <si>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</si>
  <si>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</si>
  <si>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</si>
  <si>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</si>
  <si>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</si>
  <si>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</si>
  <si>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</si>
  <si>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</si>
  <si>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</si>
  <si>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</si>
  <si>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</si>
  <si>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</si>
  <si>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</si>
  <si>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</si>
  <si>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</si>
  <si>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</si>
  <si>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</si>
  <si>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</si>
  <si>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</si>
  <si>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</si>
  <si>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</si>
  <si>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</si>
  <si>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</si>
  <si>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</si>
  <si>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</si>
  <si>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</si>
  <si>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</si>
  <si>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</si>
  <si>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</si>
  <si>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</si>
  <si>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</si>
  <si>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</si>
  <si>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</si>
  <si>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</si>
  <si>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</si>
  <si>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</si>
  <si>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</si>
  <si>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</si>
  <si>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</si>
  <si>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</si>
  <si>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</si>
  <si>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</si>
  <si>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</si>
  <si>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</si>
  <si>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</si>
  <si>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</si>
  <si>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</si>
  <si>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</si>
  <si>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</si>
  <si>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</si>
  <si>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</si>
  <si>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</si>
  <si>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</si>
  <si>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</si>
  <si>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</si>
  <si>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</si>
  <si>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</si>
  <si>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</si>
  <si>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</si>
  <si>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</si>
  <si>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</si>
  <si>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</si>
  <si>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</si>
  <si>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</si>
  <si>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</si>
  <si>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</si>
  <si>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</si>
  <si>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</si>
  <si>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</si>
  <si>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</si>
  <si>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</si>
  <si>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</si>
  <si>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</si>
  <si>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</si>
  <si>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</si>
  <si>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</si>
  <si>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</si>
  <si>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</si>
  <si>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</si>
  <si>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</si>
  <si>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</si>
  <si>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</si>
  <si>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</si>
  <si>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</si>
  <si>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</si>
  <si>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</si>
  <si>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</si>
  <si>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</si>
  <si>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</si>
  <si>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</si>
  <si>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</si>
  <si>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</si>
  <si>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</si>
  <si>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</si>
  <si>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</si>
  <si>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</si>
  <si>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</si>
  <si>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</si>
  <si>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</si>
  <si>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</si>
  <si>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</si>
  <si>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</si>
  <si>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</si>
  <si>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</si>
  <si>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</si>
  <si>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</si>
  <si>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</si>
  <si>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</si>
  <si>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</si>
  <si>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</si>
  <si>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</si>
  <si>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</si>
  <si>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</si>
  <si>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</si>
  <si>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</si>
  <si>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</si>
  <si>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</si>
  <si>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</si>
  <si>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</si>
  <si>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</si>
  <si>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</si>
  <si>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</si>
  <si>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</si>
  <si>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</si>
  <si>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</si>
  <si>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</si>
  <si>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</si>
  <si>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</si>
  <si>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</si>
  <si>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</si>
  <si>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</si>
  <si>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</si>
  <si>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</si>
  <si>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</si>
  <si>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</si>
  <si>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</si>
  <si>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</si>
  <si>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</si>
  <si>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</si>
  <si>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</si>
  <si>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</si>
  <si>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</si>
  <si>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</si>
  <si>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</si>
  <si>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</si>
  <si>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</si>
  <si>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</si>
  <si>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</si>
  <si>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</si>
  <si>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</si>
  <si>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</si>
  <si>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</si>
  <si>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</si>
  <si>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</si>
  <si>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</si>
  <si>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</si>
  <si>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</si>
  <si>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</si>
  <si>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</si>
  <si>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</si>
  <si>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</si>
  <si>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</si>
  <si>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</si>
  <si>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</si>
  <si>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</si>
  <si>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</si>
  <si>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</si>
  <si>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</si>
  <si>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</si>
  <si>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</si>
  <si>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</si>
  <si>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</si>
  <si>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</si>
  <si>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</si>
  <si>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</si>
  <si>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</si>
  <si>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</si>
  <si>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</si>
  <si>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</si>
  <si>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</si>
  <si>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</si>
  <si>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</si>
  <si>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</si>
  <si>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</si>
  <si>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</si>
  <si>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</si>
  <si>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</si>
  <si>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</si>
  <si>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</si>
  <si>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</si>
  <si>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</si>
  <si>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</si>
  <si>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</si>
  <si>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</si>
  <si>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</si>
  <si>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</si>
  <si>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</si>
  <si>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</si>
  <si>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</si>
  <si>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</si>
  <si>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</si>
  <si>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</si>
  <si>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</si>
  <si>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</si>
  <si>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</si>
  <si>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</si>
  <si>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</si>
  <si>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</si>
  <si>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</si>
  <si>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</si>
  <si>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</si>
  <si>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</si>
  <si>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</si>
  <si>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</si>
  <si>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</si>
  <si>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</si>
  <si>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</si>
  <si>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</si>
  <si>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</si>
  <si>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</si>
  <si>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</si>
  <si>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</si>
  <si>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</si>
  <si>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</si>
  <si>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</si>
  <si>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</si>
  <si>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</si>
  <si>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</si>
  <si>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</si>
  <si>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</si>
  <si>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</si>
  <si>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</si>
  <si>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</si>
  <si>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</si>
  <si>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</si>
  <si>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</si>
  <si>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</si>
  <si>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</si>
  <si>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</si>
  <si>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</si>
  <si>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</si>
  <si>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</si>
  <si>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</si>
  <si>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</si>
  <si>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</si>
  <si>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</si>
  <si>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</si>
  <si>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</si>
  <si>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</si>
  <si>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</si>
  <si>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</si>
  <si>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</si>
  <si>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</si>
  <si>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</si>
  <si>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</si>
  <si>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</si>
  <si>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</si>
  <si>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</si>
  <si>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</si>
  <si>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</si>
  <si>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</si>
  <si>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</si>
  <si>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</si>
  <si>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</si>
  <si>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</si>
  <si>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</si>
  <si>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</si>
  <si>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</si>
  <si>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</si>
  <si>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</si>
  <si>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</si>
  <si>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</si>
  <si>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</si>
  <si>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</si>
  <si>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</si>
  <si>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</si>
  <si>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</si>
  <si>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</si>
  <si>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</si>
  <si>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</si>
  <si>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</si>
  <si>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</si>
  <si>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</si>
  <si>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</si>
  <si>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</si>
  <si>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</si>
  <si>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</si>
  <si>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</si>
  <si>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</si>
  <si>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</si>
  <si>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</si>
  <si>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</si>
  <si>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</si>
  <si>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</si>
  <si>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</si>
  <si>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</si>
  <si>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</si>
  <si>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</si>
  <si>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</si>
  <si>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</si>
  <si>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</si>
  <si>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</si>
  <si>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</si>
  <si>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</si>
  <si>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</si>
  <si>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</si>
  <si>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</si>
  <si>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</si>
  <si>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</si>
  <si>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</si>
  <si>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</si>
  <si>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</si>
  <si>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</si>
  <si>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</si>
  <si>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</si>
  <si>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</si>
  <si>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</si>
  <si>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</si>
  <si>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</si>
  <si>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</si>
  <si>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</si>
  <si>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</si>
  <si>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</si>
  <si>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</si>
  <si>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</si>
  <si>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</si>
  <si>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</si>
  <si>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</si>
  <si>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</si>
  <si>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</si>
  <si>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</si>
  <si>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</si>
  <si>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</si>
  <si>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</si>
  <si>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</si>
  <si>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</si>
  <si>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</si>
  <si>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</si>
  <si>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</si>
  <si>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</si>
  <si>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</si>
  <si>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</si>
  <si>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</si>
  <si>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</si>
  <si>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</si>
  <si>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</si>
  <si>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</si>
  <si>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</si>
  <si>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</si>
  <si>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</si>
  <si>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</si>
  <si>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</si>
  <si>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</si>
  <si>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</si>
  <si>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</si>
  <si>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</si>
  <si>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</si>
  <si>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</si>
  <si>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</si>
  <si>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</si>
  <si>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</si>
  <si>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</si>
  <si>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</si>
  <si>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</si>
  <si>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</si>
  <si>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</si>
  <si>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</si>
  <si>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</si>
  <si>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</si>
  <si>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</si>
  <si>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</si>
  <si>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</si>
  <si>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</si>
  <si>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</si>
  <si>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</si>
  <si>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</si>
  <si>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</si>
  <si>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</si>
  <si>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</si>
  <si>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</si>
  <si>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</si>
  <si>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</si>
  <si>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</si>
  <si>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</si>
  <si>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</si>
  <si>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</si>
  <si>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</si>
  <si>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</si>
  <si>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</si>
  <si>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</si>
  <si>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</si>
  <si>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</si>
  <si>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</si>
  <si>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</si>
  <si>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</si>
  <si>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</si>
  <si>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</si>
  <si>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</si>
  <si>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</si>
  <si>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</si>
  <si>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</si>
  <si>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</si>
  <si>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</si>
  <si>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</si>
  <si>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</si>
  <si>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</si>
  <si>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</si>
  <si>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</si>
  <si>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</si>
  <si>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</si>
  <si>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</si>
  <si>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</si>
  <si>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</si>
  <si>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</si>
  <si>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</si>
  <si>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</si>
  <si>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</si>
  <si>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</si>
  <si>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</si>
  <si>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</si>
  <si>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</si>
  <si>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</si>
  <si>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</si>
  <si>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</si>
  <si>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</si>
  <si>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</si>
  <si>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</si>
  <si>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</si>
  <si>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</si>
  <si>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</si>
  <si>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</si>
  <si>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</si>
  <si>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</si>
  <si>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</si>
  <si>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</si>
  <si>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</si>
  <si>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</si>
  <si>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</si>
  <si>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</si>
  <si>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</si>
  <si>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</si>
  <si>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</si>
  <si>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</si>
  <si>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</si>
  <si>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</si>
  <si>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</si>
  <si>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</si>
  <si>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</si>
  <si>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</si>
  <si>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</si>
  <si>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</si>
  <si>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</si>
  <si>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</si>
  <si>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</si>
  <si>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</si>
  <si>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</si>
  <si>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</si>
  <si>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</si>
  <si>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</si>
  <si>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</si>
  <si>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</si>
  <si>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</si>
  <si>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</si>
  <si>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</si>
  <si>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</si>
  <si>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</si>
  <si>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</si>
  <si>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</si>
  <si>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</si>
  <si>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</si>
  <si>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</si>
  <si>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</si>
  <si>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</si>
  <si>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</si>
  <si>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</si>
  <si>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</si>
  <si>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</si>
  <si>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</si>
  <si>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</si>
  <si>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</si>
  <si>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</si>
  <si>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</si>
  <si>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</si>
  <si>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</si>
  <si>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</si>
  <si>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</si>
  <si>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</si>
  <si>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</si>
  <si>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</si>
  <si>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</si>
  <si>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</si>
  <si>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</si>
  <si>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</si>
  <si>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</si>
  <si>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</si>
  <si>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</si>
  <si>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</si>
  <si>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</si>
  <si>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</si>
  <si>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</si>
  <si>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</si>
  <si>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</si>
  <si>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</si>
  <si>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</si>
  <si>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</si>
  <si>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</si>
  <si>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</si>
  <si>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</si>
  <si>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</si>
  <si>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</si>
  <si>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</si>
  <si>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</si>
  <si>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</si>
  <si>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</si>
  <si>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</si>
  <si>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</si>
  <si>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</si>
  <si>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</si>
  <si>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</si>
  <si>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</si>
  <si>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</si>
  <si>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</si>
  <si>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</si>
  <si>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</si>
  <si>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</si>
  <si>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</si>
  <si>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</si>
  <si>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</si>
  <si>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</si>
  <si>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</si>
  <si>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</si>
  <si>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</si>
  <si>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</si>
  <si>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</si>
  <si>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</si>
  <si>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</si>
  <si>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</si>
  <si>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</si>
  <si>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</si>
  <si>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</si>
  <si>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</si>
  <si>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</si>
  <si>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</si>
  <si>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</si>
  <si>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</si>
  <si>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</si>
  <si>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</si>
  <si>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</si>
  <si>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</si>
  <si>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</si>
  <si>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</si>
  <si>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</si>
  <si>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</si>
  <si>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</si>
  <si>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</si>
  <si>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</si>
  <si>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</si>
  <si>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</si>
  <si>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</si>
  <si>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</si>
  <si>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</si>
  <si>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</si>
  <si>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</si>
  <si>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</si>
  <si>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</si>
  <si>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</si>
  <si>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</si>
  <si>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</si>
  <si>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</si>
  <si>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</si>
  <si>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</si>
  <si>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</si>
  <si>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</si>
  <si>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</si>
  <si>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</si>
  <si>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</si>
  <si>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</si>
  <si>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</si>
  <si>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</si>
  <si>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</si>
  <si>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</si>
  <si>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</si>
  <si>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</si>
  <si>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</si>
  <si>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</si>
  <si>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</si>
  <si>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</si>
  <si>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</si>
  <si>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</si>
  <si>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</si>
  <si>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</si>
  <si>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</si>
  <si>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</si>
  <si>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</si>
  <si>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</si>
  <si>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</si>
  <si>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</si>
  <si>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</si>
  <si>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</si>
  <si>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</si>
  <si>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</si>
  <si>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</si>
  <si>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</si>
  <si>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</si>
  <si>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</si>
  <si>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</si>
  <si>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</si>
  <si>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</si>
  <si>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</si>
  <si>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</si>
  <si>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</si>
  <si>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</si>
  <si>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</si>
  <si>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</si>
  <si>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</si>
  <si>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</si>
  <si>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</si>
  <si>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</si>
  <si>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</si>
  <si>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</si>
  <si>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</si>
  <si>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</si>
  <si>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</si>
  <si>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</si>
  <si>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</si>
  <si>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</si>
  <si>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</si>
  <si>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</si>
  <si>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</si>
  <si>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</si>
  <si>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</si>
  <si>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</si>
  <si>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</si>
  <si>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</si>
  <si>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</si>
  <si>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</si>
  <si>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</si>
  <si>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</si>
  <si>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</si>
  <si>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</si>
  <si>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</si>
  <si>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</si>
  <si>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</si>
  <si>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</si>
  <si>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</si>
  <si>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</si>
  <si>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</si>
  <si>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</si>
  <si>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</si>
  <si>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</si>
  <si>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</si>
  <si>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</si>
  <si>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</si>
  <si>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</si>
  <si>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</si>
  <si>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</si>
  <si>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</si>
  <si>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</si>
  <si>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</si>
  <si>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</si>
  <si>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</si>
  <si>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</si>
  <si>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</si>
  <si>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</si>
  <si>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</si>
  <si>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</si>
  <si>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</si>
  <si>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</si>
  <si>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</si>
  <si>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</si>
  <si>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</si>
  <si>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</si>
  <si>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</si>
  <si>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</si>
  <si>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</si>
  <si>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</si>
  <si>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</si>
  <si>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</si>
  <si>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</si>
  <si>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</si>
  <si>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</si>
  <si>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</si>
  <si>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</si>
  <si>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</si>
  <si>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</si>
  <si>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</si>
  <si>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</si>
  <si>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</si>
  <si>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</si>
  <si>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</si>
  <si>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</si>
  <si>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</si>
  <si>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</si>
  <si>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</si>
  <si>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</si>
  <si>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</si>
  <si>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</si>
  <si>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</si>
  <si>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</si>
  <si>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</si>
  <si>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</si>
  <si>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</si>
  <si>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</si>
  <si>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</si>
  <si>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</si>
  <si>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</si>
  <si>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</si>
  <si>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</si>
  <si>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</si>
  <si>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</si>
  <si>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</si>
  <si>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</si>
  <si>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</si>
  <si>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</si>
  <si>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</si>
  <si>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</si>
  <si>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</si>
  <si>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</si>
  <si>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</si>
  <si>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</si>
  <si>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</si>
  <si>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</si>
  <si>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</si>
  <si>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</si>
  <si>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</si>
  <si>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</si>
  <si>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</si>
  <si>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</si>
  <si>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</si>
  <si>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</si>
  <si>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</si>
  <si>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</si>
  <si>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</si>
  <si>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</si>
  <si>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</si>
  <si>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</si>
  <si>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</si>
  <si>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</si>
  <si>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</si>
  <si>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</si>
  <si>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</si>
  <si>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</si>
  <si>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</si>
  <si>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</si>
  <si>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</si>
  <si>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</si>
  <si>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</si>
  <si>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</si>
  <si>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</si>
  <si>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</si>
  <si>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</si>
  <si>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</si>
  <si>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</si>
  <si>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</si>
  <si>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</si>
  <si>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</si>
  <si>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</si>
  <si>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</si>
  <si>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</si>
  <si>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</si>
  <si>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</si>
  <si>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</si>
  <si>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</si>
  <si>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</si>
  <si>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</si>
  <si>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</si>
  <si>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</si>
  <si>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</si>
  <si>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</si>
  <si>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</si>
  <si>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</si>
  <si>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</si>
  <si>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</si>
  <si>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</si>
  <si>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</si>
  <si>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</si>
  <si>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</si>
  <si>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</si>
  <si>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</si>
  <si>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</si>
  <si>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</si>
  <si>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</si>
  <si>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</si>
  <si>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</si>
  <si>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</si>
  <si>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</si>
  <si>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</si>
  <si>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</si>
  <si>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</si>
  <si>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</si>
  <si>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</si>
  <si>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</si>
  <si>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</si>
  <si>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</si>
  <si>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</si>
  <si>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</si>
  <si>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</si>
  <si>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</si>
  <si>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</si>
  <si>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</si>
  <si>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</si>
  <si>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</si>
  <si>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</si>
  <si>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</si>
  <si>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</si>
  <si>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</si>
  <si>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</si>
  <si>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</si>
  <si>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</si>
  <si>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</si>
  <si>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</si>
  <si>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</si>
  <si>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</si>
  <si>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</si>
  <si>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</si>
  <si>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</si>
  <si>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</si>
  <si>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</si>
  <si>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</si>
  <si>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</si>
  <si>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</si>
  <si>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</si>
  <si>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</si>
  <si>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</si>
  <si>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</si>
  <si>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</si>
  <si>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</si>
  <si>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</si>
  <si>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</si>
  <si>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</si>
  <si>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</si>
  <si>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</si>
  <si>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</si>
  <si>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</si>
  <si>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</si>
  <si>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</si>
  <si>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</si>
  <si>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</si>
  <si>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</si>
  <si>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</si>
  <si>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</si>
  <si>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</si>
  <si>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</si>
  <si>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</si>
  <si>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</si>
  <si>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</si>
  <si>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</si>
  <si>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</si>
  <si>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</si>
  <si>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</si>
  <si>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</si>
  <si>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</si>
  <si>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</si>
  <si>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</si>
  <si>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</si>
  <si>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</si>
  <si>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</si>
  <si>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</si>
  <si>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</si>
  <si>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</si>
  <si>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</si>
  <si>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</si>
  <si>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</si>
  <si>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</si>
  <si>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</si>
  <si>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</si>
  <si>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</si>
  <si>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</si>
  <si>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</si>
  <si>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</si>
  <si>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</si>
  <si>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</si>
  <si>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</si>
  <si>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</si>
  <si>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</si>
  <si>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</si>
  <si>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</si>
  <si>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</si>
  <si>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</si>
  <si>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</si>
  <si>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</si>
  <si>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</si>
  <si>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</si>
  <si>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</si>
  <si>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</si>
  <si>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</si>
  <si>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</si>
  <si>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</si>
  <si>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</si>
  <si>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</si>
  <si>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</si>
  <si>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</si>
  <si>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</si>
  <si>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</si>
  <si>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</si>
  <si>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</si>
  <si>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</si>
  <si>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</si>
  <si>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</si>
  <si>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</si>
  <si>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</si>
  <si>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</si>
  <si>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</si>
  <si>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</si>
  <si>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</si>
  <si>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</si>
  <si>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</si>
  <si>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</si>
  <si>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</si>
  <si>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</si>
  <si>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</si>
  <si>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</si>
  <si>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</si>
  <si>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</si>
  <si>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</si>
  <si>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</si>
  <si>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</si>
  <si>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</si>
  <si>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</si>
  <si>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</si>
  <si>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</si>
  <si>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</si>
  <si>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</si>
  <si>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</si>
  <si>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</si>
  <si>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</si>
  <si>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</si>
  <si>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</si>
  <si>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</si>
  <si>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</si>
  <si>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</si>
  <si>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</si>
  <si>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</si>
  <si>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</si>
  <si>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</si>
  <si>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</si>
  <si>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</si>
  <si>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</si>
  <si>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</si>
  <si>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</si>
  <si>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</si>
  <si>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</si>
  <si>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</si>
  <si>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</si>
  <si>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</si>
  <si>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</si>
  <si>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</si>
  <si>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</si>
  <si>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</si>
  <si>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</si>
  <si>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</si>
  <si>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</si>
  <si>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</si>
  <si>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</si>
  <si>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</si>
  <si>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</si>
  <si>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</si>
  <si>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</si>
  <si>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</si>
  <si>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</si>
  <si>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</si>
  <si>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</si>
  <si>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</si>
  <si>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</si>
  <si>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</si>
  <si>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</si>
  <si>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</si>
  <si>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</si>
  <si>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</si>
  <si>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</si>
  <si>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</si>
  <si>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</si>
  <si>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</si>
  <si>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</si>
  <si>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</si>
  <si>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</si>
  <si>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</si>
  <si>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</si>
  <si>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</si>
  <si>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</si>
  <si>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</si>
  <si>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</si>
  <si>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</si>
  <si>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</si>
  <si>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</si>
  <si>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</si>
  <si>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</si>
  <si>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</si>
  <si>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</si>
  <si>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</si>
  <si>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</si>
  <si>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</si>
  <si>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</si>
  <si>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</si>
  <si>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</si>
  <si>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</si>
  <si>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</si>
  <si>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</si>
  <si>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</si>
  <si>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</si>
  <si>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</si>
  <si>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</si>
  <si>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</si>
  <si>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</si>
  <si>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</si>
  <si>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</si>
  <si>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</si>
  <si>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</si>
  <si>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</si>
  <si>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</si>
  <si>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</si>
  <si>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</si>
  <si>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</si>
  <si>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</si>
  <si>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</si>
  <si>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</si>
  <si>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</si>
  <si>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</si>
  <si>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</si>
  <si>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</si>
  <si>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</si>
  <si>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</si>
  <si>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</si>
  <si>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</si>
  <si>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</si>
  <si>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</si>
  <si>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</si>
  <si>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</si>
  <si>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</si>
  <si>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</si>
  <si>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</si>
  <si>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</si>
  <si>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</si>
  <si>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</si>
  <si>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</si>
  <si>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</si>
  <si>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</si>
  <si>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</si>
  <si>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</si>
  <si>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</si>
  <si>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</si>
  <si>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</si>
  <si>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</si>
  <si>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</si>
  <si>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</si>
  <si>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</si>
  <si>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</si>
  <si>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</si>
  <si>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</si>
  <si>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</si>
  <si>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</si>
  <si>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</si>
  <si>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</si>
  <si>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</si>
  <si>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</si>
  <si>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</si>
  <si>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</si>
  <si>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</si>
  <si>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</si>
  <si>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</si>
  <si>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</si>
  <si>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</si>
  <si>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</si>
  <si>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</si>
  <si>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</si>
  <si>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</si>
  <si>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</si>
  <si>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</si>
  <si>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</si>
  <si>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</si>
  <si>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</si>
  <si>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</si>
  <si>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</si>
  <si>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</si>
  <si>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</si>
  <si>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</si>
  <si>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</si>
  <si>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</si>
  <si>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</si>
  <si>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</si>
  <si>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</si>
  <si>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</si>
  <si>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</si>
  <si>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</si>
  <si>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</si>
  <si>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</si>
  <si>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</si>
  <si>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</si>
  <si>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</si>
  <si>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</si>
  <si>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</si>
  <si>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</si>
  <si>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</si>
  <si>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</si>
  <si>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</si>
  <si>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</si>
  <si>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</si>
  <si>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</si>
  <si>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</si>
  <si>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</si>
  <si>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</si>
  <si>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</si>
  <si>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</si>
  <si>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</si>
  <si>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</si>
  <si>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</si>
  <si>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</si>
  <si>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</si>
  <si>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</si>
  <si>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</si>
  <si>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</si>
  <si>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</si>
  <si>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</si>
  <si>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</si>
  <si>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</si>
  <si>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</si>
  <si>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</si>
  <si>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</si>
  <si>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</si>
  <si>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</si>
  <si>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</si>
  <si>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</si>
  <si>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</si>
  <si>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</si>
  <si>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</si>
  <si>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</si>
  <si>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</si>
  <si>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</si>
  <si>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</si>
  <si>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</si>
  <si>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</si>
  <si>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</si>
  <si>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</si>
  <si>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</si>
  <si>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</si>
  <si>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</si>
  <si>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</si>
  <si>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</si>
  <si>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</si>
  <si>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</si>
  <si>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</si>
  <si>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</si>
  <si>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</si>
  <si>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</si>
  <si>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</si>
  <si>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</si>
  <si>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</si>
  <si>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</si>
  <si>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</si>
  <si>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</si>
  <si>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</si>
  <si>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</si>
  <si>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</si>
  <si>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</si>
  <si>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</si>
  <si>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</si>
  <si>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</si>
  <si>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</si>
  <si>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</si>
  <si>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</si>
  <si>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</si>
  <si>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</si>
  <si>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</si>
  <si>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</si>
  <si>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</si>
  <si>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</si>
  <si>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</si>
  <si>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</si>
  <si>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</si>
  <si>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</si>
  <si>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</si>
  <si>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</si>
  <si>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</si>
  <si>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</si>
  <si>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</si>
  <si>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</si>
  <si>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</si>
  <si>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</si>
  <si>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</si>
  <si>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</si>
  <si>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</si>
  <si>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</si>
  <si>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</si>
  <si>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</si>
  <si>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</si>
  <si>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</si>
  <si>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</si>
  <si>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</si>
  <si>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</si>
  <si>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</si>
  <si>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</si>
  <si>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</si>
  <si>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</si>
  <si>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</si>
  <si>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</si>
  <si>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</si>
  <si>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</si>
  <si>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</si>
  <si>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</si>
  <si>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</si>
  <si>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</si>
  <si>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</si>
  <si>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</si>
  <si>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</si>
  <si>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</si>
  <si>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</si>
  <si>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</si>
  <si>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</si>
  <si>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</si>
  <si>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</si>
  <si>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</si>
  <si>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</si>
  <si>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</si>
  <si>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</si>
  <si>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</si>
  <si>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</si>
  <si>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</si>
  <si>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</si>
  <si>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</si>
  <si>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</si>
  <si>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</si>
  <si>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</si>
  <si>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</si>
  <si>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</si>
  <si>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</si>
  <si>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</si>
  <si>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</si>
  <si>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</si>
  <si>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</si>
  <si>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</si>
  <si>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</si>
  <si>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</si>
  <si>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</si>
  <si>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</si>
  <si>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</si>
  <si>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</si>
  <si>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</si>
  <si>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</si>
  <si>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</si>
  <si>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</si>
  <si>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</si>
  <si>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</si>
  <si>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</si>
  <si>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</si>
  <si>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</si>
  <si>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</si>
  <si>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</si>
  <si>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</si>
  <si>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</si>
  <si>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</si>
  <si>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</si>
  <si>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</si>
  <si>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</si>
  <si>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</si>
  <si>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</si>
  <si>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</si>
  <si>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</si>
  <si>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</si>
  <si>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</si>
  <si>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</si>
  <si>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</si>
  <si>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</si>
  <si>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</si>
  <si>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</si>
  <si>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</si>
  <si>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</si>
  <si>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</si>
  <si>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</si>
  <si>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</si>
  <si>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</si>
  <si>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</si>
  <si>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</si>
  <si>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</si>
  <si>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</si>
  <si>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</si>
  <si>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</si>
  <si>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</si>
  <si>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</si>
  <si>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</si>
  <si>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</si>
  <si>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</si>
  <si>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</si>
  <si>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</si>
  <si>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</si>
  <si>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</si>
  <si>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</si>
  <si>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</si>
  <si>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</si>
  <si>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</si>
  <si>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</si>
  <si>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</si>
  <si>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</si>
  <si>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</si>
  <si>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</si>
  <si>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</si>
  <si>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</si>
  <si>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</si>
  <si>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</si>
  <si>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</si>
  <si>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</si>
  <si>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</si>
  <si>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</si>
  <si>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</si>
  <si>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</si>
  <si>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</si>
  <si>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</si>
  <si>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</si>
  <si>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</si>
  <si>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</si>
  <si>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</si>
  <si>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</si>
  <si>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</si>
  <si>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</si>
  <si>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</si>
  <si>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</si>
  <si>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</si>
  <si>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</si>
  <si>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</si>
  <si>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</si>
  <si>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</si>
  <si>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</si>
  <si>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</si>
  <si>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</si>
  <si>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</si>
  <si>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</si>
  <si>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</si>
  <si>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</si>
  <si>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</si>
  <si>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</si>
  <si>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</si>
  <si>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</si>
  <si>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</si>
  <si>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</si>
  <si>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</si>
  <si>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</si>
  <si>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</si>
  <si>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</si>
  <si>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</si>
  <si>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</si>
  <si>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</si>
  <si>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</si>
  <si>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</si>
  <si>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</si>
  <si>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</si>
  <si>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</si>
  <si>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</si>
  <si>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</si>
  <si>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</si>
  <si>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</si>
  <si>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</si>
  <si>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</si>
  <si>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</si>
  <si>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</si>
  <si>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</si>
  <si>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</si>
  <si>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</si>
  <si>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</si>
  <si>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</si>
  <si>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</si>
  <si>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</si>
  <si>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</si>
  <si>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</si>
  <si>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</si>
  <si>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</si>
  <si>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</si>
  <si>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</si>
  <si>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</si>
  <si>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</si>
  <si>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</si>
  <si>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</si>
  <si>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</si>
  <si>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</si>
  <si>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</si>
  <si>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</si>
  <si>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</si>
  <si>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</si>
  <si>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</si>
  <si>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</si>
  <si>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</si>
  <si>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</si>
  <si>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</si>
  <si>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</si>
  <si>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</si>
  <si>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</si>
  <si>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</si>
  <si>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</si>
  <si>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</si>
  <si>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</si>
  <si>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</si>
  <si>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</si>
  <si>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</si>
  <si>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</si>
  <si>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</si>
  <si>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</si>
  <si>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</si>
  <si>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</si>
  <si>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</si>
  <si>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</si>
  <si>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</si>
  <si>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</si>
  <si>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</si>
  <si>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</si>
  <si>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</si>
  <si>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</si>
  <si>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</si>
  <si>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</si>
  <si>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</si>
  <si>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</si>
  <si>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</si>
  <si>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</si>
  <si>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</si>
  <si>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</si>
  <si>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</si>
  <si>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</si>
  <si>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</si>
  <si>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</si>
  <si>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</si>
  <si>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</si>
  <si>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</si>
  <si>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</si>
  <si>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</si>
  <si>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</si>
  <si>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</si>
  <si>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</si>
  <si>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</si>
  <si>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</si>
  <si>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</si>
  <si>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</si>
  <si>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</si>
  <si>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</si>
  <si>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</si>
  <si>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</si>
  <si>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</si>
  <si>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</si>
  <si>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</si>
  <si>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</si>
  <si>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</si>
  <si>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</si>
  <si>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</si>
  <si>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</si>
  <si>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</si>
  <si>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</si>
  <si>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</si>
  <si>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</si>
  <si>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</si>
  <si>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</si>
  <si>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</si>
  <si>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</si>
  <si>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</si>
  <si>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</si>
  <si>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</si>
  <si>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</si>
  <si>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</si>
  <si>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</si>
  <si>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</si>
  <si>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</si>
  <si>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</si>
  <si>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</si>
  <si>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</si>
  <si>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</si>
  <si>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</si>
  <si>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</si>
  <si>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</si>
  <si>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</si>
  <si>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</si>
  <si>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</si>
  <si>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</si>
  <si>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</si>
  <si>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</si>
  <si>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</si>
  <si>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</si>
  <si>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</si>
  <si>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</si>
  <si>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</si>
  <si>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</si>
  <si>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</si>
  <si>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</si>
  <si>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</si>
  <si>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</si>
  <si>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</si>
  <si>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</si>
  <si>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</si>
  <si>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</si>
  <si>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</si>
  <si>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</si>
  <si>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</si>
  <si>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</si>
  <si>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</si>
  <si>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</si>
  <si>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</si>
  <si>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</si>
  <si>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</si>
  <si>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</si>
  <si>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</si>
  <si>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</si>
  <si>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</si>
  <si>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</si>
  <si>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</si>
  <si>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</si>
  <si>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</si>
  <si>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</si>
  <si>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</si>
  <si>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</si>
  <si>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</si>
  <si>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</si>
  <si>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</si>
  <si>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</si>
  <si>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</si>
  <si>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</si>
  <si>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</si>
  <si>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</si>
  <si>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</si>
  <si>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</si>
  <si>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</si>
  <si>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</si>
  <si>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</si>
  <si>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</si>
  <si>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</si>
  <si>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</si>
  <si>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</si>
  <si>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</si>
  <si>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</si>
  <si>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</si>
  <si>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</si>
  <si>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</si>
  <si>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</si>
  <si>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</si>
  <si>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</si>
  <si>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</si>
  <si>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</si>
  <si>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</si>
  <si>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</si>
  <si>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</si>
  <si>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</si>
  <si>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</si>
  <si>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</si>
  <si>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</si>
  <si>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</si>
  <si>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</si>
  <si>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</si>
  <si>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</si>
  <si>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</si>
  <si>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</si>
  <si>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</si>
  <si>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</si>
  <si>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</si>
  <si>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</si>
  <si>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</si>
  <si>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</si>
  <si>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</si>
  <si>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</si>
  <si>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</si>
  <si>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</si>
  <si>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</si>
  <si>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</si>
  <si>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</si>
  <si>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</si>
  <si>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</si>
  <si>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</si>
  <si>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</si>
  <si>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</si>
  <si>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</si>
  <si>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</si>
  <si>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</si>
  <si>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</si>
  <si>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</si>
  <si>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</si>
  <si>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</si>
  <si>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</si>
  <si>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</si>
  <si>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</si>
  <si>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</si>
  <si>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</si>
  <si>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</si>
  <si>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</si>
  <si>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</si>
  <si>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</si>
  <si>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</si>
  <si>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</si>
  <si>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</si>
  <si>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</si>
  <si>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</si>
  <si>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</si>
  <si>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</si>
  <si>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</si>
  <si>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</si>
  <si>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</si>
  <si>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</si>
  <si>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</si>
  <si>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</si>
  <si>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</si>
  <si>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</si>
  <si>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</si>
  <si>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</si>
  <si>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</si>
  <si>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</si>
  <si>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</si>
  <si>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</si>
  <si>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</si>
  <si>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</si>
  <si>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</si>
  <si>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</si>
  <si>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</si>
  <si>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</si>
  <si>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</si>
  <si>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</si>
  <si>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</si>
  <si>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</si>
  <si>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</si>
  <si>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</si>
  <si>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</si>
  <si>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</si>
  <si>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</si>
  <si>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</si>
  <si>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</si>
  <si>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</si>
  <si>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</si>
  <si>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</si>
  <si>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</si>
  <si>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</si>
  <si>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</si>
  <si>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</si>
  <si>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</si>
  <si>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</si>
  <si>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</si>
  <si>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</si>
  <si>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</si>
  <si>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</si>
  <si>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</si>
  <si>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</si>
  <si>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</si>
  <si>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</si>
  <si>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</si>
  <si>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</si>
  <si>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</si>
  <si>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</si>
  <si>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</si>
  <si>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</si>
  <si>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</si>
  <si>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</si>
  <si>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</si>
  <si>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</si>
  <si>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</si>
  <si>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</si>
  <si>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</si>
  <si>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</si>
  <si>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</si>
  <si>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</si>
  <si>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</si>
  <si>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</si>
  <si>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</si>
  <si>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</si>
  <si>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</si>
  <si>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</si>
  <si>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</si>
  <si>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</si>
  <si>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</si>
  <si>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</si>
  <si>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</si>
  <si>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</si>
  <si>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</si>
  <si>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</si>
  <si>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</si>
  <si>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</si>
  <si>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</si>
  <si>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</si>
  <si>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</si>
  <si>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</si>
  <si>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</si>
  <si>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</si>
  <si>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</si>
  <si>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</si>
  <si>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</si>
  <si>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</si>
  <si>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</si>
  <si>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</si>
  <si>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</si>
  <si>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</si>
  <si>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</si>
  <si>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</si>
  <si>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</si>
  <si>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</si>
  <si>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</si>
  <si>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</si>
  <si>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</si>
  <si>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</si>
  <si>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</si>
  <si>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</si>
  <si>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</si>
  <si>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</si>
  <si>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</si>
  <si>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</si>
  <si>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</si>
  <si>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</si>
  <si>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</si>
  <si>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</si>
  <si>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</si>
  <si>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</si>
  <si>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</si>
  <si>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</si>
  <si>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</si>
  <si>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</si>
  <si>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</si>
  <si>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</si>
  <si>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</si>
  <si>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</si>
  <si>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</si>
  <si>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</si>
  <si>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</si>
  <si>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</si>
  <si>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</si>
  <si>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</si>
  <si>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</si>
  <si>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</si>
  <si>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</si>
  <si>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</si>
  <si>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</si>
  <si>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</si>
  <si>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</si>
  <si>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</si>
  <si>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</si>
  <si>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</si>
  <si>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</si>
  <si>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</si>
  <si>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</si>
  <si>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</si>
  <si>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</si>
  <si>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</si>
  <si>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</si>
  <si>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THE UNLOX ACADEMY - DA/DS TRACK</t>
  </si>
  <si>
    <t>Excel Minor Project - Sales Operations Analytics</t>
  </si>
  <si>
    <t>Interview-Grade Data Analytics Assessment · 100 Marks</t>
  </si>
  <si>
    <t>THE SCENARIO</t>
  </si>
  <si>
    <t>You have just joined the analytics team at a fast-growing multi-category retailer operating across 6 Indian cities.</t>
  </si>
  <si>
    <t>The head of sales has handed you 5 raw data files - Orders, Customers, Products, Sales Reps, and Targets - and asked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</si>
  <si>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</si>
  <si>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</si>
  <si>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Part of the assessment is spotting and handling these issues correctly. A wrong-looking answer isn't always wrong -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</si>
  <si>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</si>
  <si>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</si>
  <si>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</si>
  <si>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</si>
  <si>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</si>
  <si>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4. Partial credit is awarded - a right approach with a small error scores more than a blank cell.</t>
  </si>
  <si>
    <t>5. Do not modify the DATA sheets. If cleaning is needed, use helper columns or a scratch area.</t>
  </si>
  <si>
    <t>6. Time management matters - attempt every section, perfect none if needed.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</si>
  <si>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</si>
  <si>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</si>
  <si>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</si>
  <si>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</si>
  <si>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</si>
  <si>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</si>
  <si>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</si>
  <si>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</si>
  <si>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</si>
  <si>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</si>
  <si>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</si>
  <si>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</si>
  <si>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</si>
  <si>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</si>
  <si>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</si>
  <si>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</si>
  <si>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</si>
  <si>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</si>
  <si>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</si>
  <si>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</si>
  <si>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</si>
  <si>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</si>
  <si>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</si>
  <si>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</si>
  <si>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</si>
  <si>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</si>
  <si>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</si>
  <si>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</si>
  <si>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</si>
  <si>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Round 1 clear - Excel not a concern</t>
  </si>
  <si>
    <t>70 - 84</t>
  </si>
  <si>
    <t>Good</t>
  </si>
  <si>
    <t>Round 1 clear with minor gaps</t>
  </si>
  <si>
    <t>55 - 69</t>
  </si>
  <si>
    <t>Borderline</t>
  </si>
  <si>
    <t>Round 1 uncertain - needs revision</t>
  </si>
  <si>
    <t>40 - 54</t>
  </si>
  <si>
    <t>Weak</t>
  </si>
  <si>
    <t>Round 1 likely reject - 2 weeks of practice needed</t>
  </si>
  <si>
    <t>&lt; 40</t>
  </si>
  <si>
    <t>Insufficient</t>
  </si>
  <si>
    <t>Round 1 reject - foundational gaps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</si>
  <si>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</si>
  <si>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</si>
  <si>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</si>
  <si>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</si>
  <si>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</si>
  <si>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</si>
  <si>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</si>
  <si>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</si>
  <si>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</si>
  <si>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</si>
  <si>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</si>
  <si>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</si>
  <si>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</si>
  <si>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</si>
  <si>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</si>
  <si>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</si>
  <si>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</si>
  <si>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</si>
  <si>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</si>
  <si>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</si>
  <si>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</si>
  <si>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</si>
  <si>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</si>
  <si>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</si>
  <si>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customer_name</t>
  </si>
  <si>
    <t>age</t>
  </si>
  <si>
    <t>city</t>
  </si>
  <si>
    <t>segment</t>
  </si>
  <si>
    <t>signup_date</t>
  </si>
  <si>
    <t>Standardized City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</si>
  <si>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</si>
  <si>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</si>
  <si>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</si>
  <si>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</si>
  <si>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</si>
  <si>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</si>
  <si>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</si>
  <si>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</si>
  <si>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</si>
  <si>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</si>
  <si>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</si>
  <si>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</si>
  <si>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</si>
  <si>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</si>
  <si>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</si>
  <si>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</si>
  <si>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</si>
  <si>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</si>
  <si>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</si>
  <si>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</si>
  <si>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</si>
  <si>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</si>
  <si>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</si>
  <si>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</si>
  <si>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</si>
  <si>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</si>
  <si>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</si>
  <si>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</si>
  <si>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</si>
  <si>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</si>
  <si>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</si>
  <si>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</si>
  <si>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</si>
  <si>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</si>
  <si>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</si>
  <si>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</si>
  <si>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</si>
  <si>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</si>
  <si>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</si>
  <si>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</si>
  <si>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</si>
  <si>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</si>
  <si>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</si>
  <si>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</si>
  <si>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</si>
  <si>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</si>
  <si>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</si>
  <si>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</si>
  <si>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</si>
  <si>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</si>
  <si>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</si>
  <si>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</si>
  <si>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</si>
  <si>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</si>
  <si>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</si>
  <si>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</si>
  <si>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</si>
  <si>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</si>
  <si>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</si>
  <si>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</si>
  <si>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</si>
  <si>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</si>
  <si>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</si>
  <si>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</si>
  <si>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</si>
  <si>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</si>
  <si>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</si>
  <si>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</si>
  <si>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</si>
  <si>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</si>
  <si>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</si>
  <si>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</si>
  <si>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</si>
  <si>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</si>
  <si>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</si>
  <si>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</si>
  <si>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</si>
  <si>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</si>
  <si>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</si>
  <si>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</si>
  <si>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</si>
  <si>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</si>
  <si>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</si>
  <si>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</si>
  <si>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</si>
  <si>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</si>
  <si>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</si>
  <si>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</si>
  <si>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</si>
  <si>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</si>
  <si>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</si>
  <si>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</si>
  <si>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</si>
  <si>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</si>
  <si>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</si>
  <si>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</si>
  <si>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</si>
  <si>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</si>
  <si>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</si>
  <si>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</si>
  <si>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</si>
  <si>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</si>
  <si>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</si>
  <si>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</si>
  <si>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</si>
  <si>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</si>
  <si>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</si>
  <si>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</si>
  <si>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</si>
  <si>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</si>
  <si>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</si>
  <si>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</si>
  <si>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</si>
  <si>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</si>
  <si>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</si>
  <si>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</si>
  <si>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</si>
  <si>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</si>
  <si>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</si>
  <si>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</si>
  <si>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</si>
  <si>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</si>
  <si>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</si>
  <si>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</si>
  <si>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</si>
  <si>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</si>
  <si>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</si>
  <si>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</si>
  <si>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</si>
  <si>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</si>
  <si>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</si>
  <si>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</si>
  <si>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</si>
  <si>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</si>
  <si>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</si>
  <si>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</si>
  <si>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</si>
  <si>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</si>
  <si>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</si>
  <si>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</si>
  <si>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</si>
  <si>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</si>
  <si>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</si>
  <si>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</si>
  <si>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</si>
  <si>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</si>
  <si>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</si>
  <si>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</si>
  <si>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</si>
  <si>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</si>
  <si>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</si>
  <si>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</si>
  <si>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</si>
  <si>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</si>
  <si>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</si>
  <si>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</si>
  <si>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</si>
  <si>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</si>
  <si>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</si>
  <si>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</si>
  <si>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</si>
  <si>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</si>
  <si>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</si>
  <si>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</si>
  <si>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</si>
  <si>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</si>
  <si>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</si>
  <si>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</si>
  <si>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</si>
  <si>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</si>
  <si>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</si>
  <si>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</si>
  <si>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</si>
  <si>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</si>
  <si>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</si>
  <si>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</si>
  <si>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</si>
  <si>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</si>
  <si>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</si>
  <si>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</si>
  <si>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</si>
  <si>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</si>
  <si>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</si>
  <si>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</si>
  <si>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</si>
  <si>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</si>
  <si>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</si>
  <si>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</si>
  <si>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</si>
  <si>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</si>
  <si>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</si>
  <si>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</si>
  <si>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</si>
  <si>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</si>
  <si>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</si>
  <si>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</si>
  <si>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</si>
  <si>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</si>
  <si>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</si>
  <si>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</si>
  <si>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</si>
  <si>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</si>
  <si>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</si>
  <si>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</si>
  <si>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</si>
  <si>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</si>
  <si>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</si>
  <si>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</si>
  <si>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</si>
  <si>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</si>
  <si>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</si>
  <si>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</si>
  <si>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</si>
  <si>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</si>
  <si>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</si>
  <si>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</si>
  <si>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</si>
  <si>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</si>
  <si>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</si>
  <si>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</si>
  <si>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</si>
  <si>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</si>
  <si>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</si>
  <si>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</si>
  <si>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</si>
  <si>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</si>
  <si>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</si>
  <si>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</si>
  <si>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</si>
  <si>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</si>
  <si>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</si>
  <si>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</si>
  <si>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</si>
  <si>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</si>
  <si>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</si>
  <si>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</si>
  <si>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</si>
  <si>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</si>
  <si>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</si>
  <si>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</si>
  <si>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</si>
  <si>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</si>
  <si>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</si>
  <si>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</si>
  <si>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</si>
  <si>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</si>
  <si>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</si>
  <si>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</si>
  <si>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</si>
  <si>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</si>
  <si>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</si>
  <si>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</si>
  <si>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</si>
  <si>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</si>
  <si>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</si>
  <si>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</si>
  <si>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</si>
  <si>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</si>
  <si>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</si>
  <si>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</si>
  <si>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</si>
  <si>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</si>
  <si>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</si>
  <si>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</si>
  <si>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</si>
  <si>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</si>
  <si>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</si>
  <si>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</si>
  <si>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</si>
  <si>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</si>
  <si>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</si>
  <si>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</si>
  <si>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</si>
  <si>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</si>
  <si>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</si>
  <si>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</si>
  <si>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</si>
  <si>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</si>
  <si>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</si>
  <si>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</si>
  <si>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</si>
  <si>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</si>
  <si>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</si>
  <si>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</si>
  <si>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</si>
  <si>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</si>
  <si>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</si>
  <si>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</si>
  <si>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</si>
  <si>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</si>
  <si>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</si>
  <si>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</si>
  <si>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</si>
  <si>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</si>
  <si>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</si>
  <si>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</si>
  <si>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</si>
  <si>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</si>
  <si>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</si>
  <si>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</si>
  <si>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</si>
  <si>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</si>
  <si>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</si>
  <si>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</si>
  <si>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</si>
  <si>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</si>
  <si>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</si>
  <si>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</si>
  <si>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</si>
  <si>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</si>
  <si>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</si>
  <si>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</si>
  <si>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</si>
  <si>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</si>
  <si>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</si>
  <si>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</si>
  <si>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</si>
  <si>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</si>
  <si>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</si>
  <si>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</si>
  <si>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</si>
  <si>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</si>
  <si>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</si>
  <si>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</si>
  <si>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</si>
  <si>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</si>
  <si>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</si>
  <si>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</si>
  <si>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</si>
  <si>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</si>
  <si>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</si>
  <si>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</si>
  <si>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</si>
  <si>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</si>
  <si>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</si>
  <si>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</si>
  <si>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</si>
  <si>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</si>
  <si>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</si>
  <si>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</si>
  <si>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</si>
  <si>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</si>
  <si>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</si>
  <si>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</si>
  <si>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</si>
  <si>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</si>
  <si>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</si>
  <si>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</si>
  <si>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</si>
  <si>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</si>
  <si>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</si>
  <si>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</si>
  <si>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</si>
  <si>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</si>
  <si>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</si>
  <si>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</si>
  <si>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</si>
  <si>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</si>
  <si>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</si>
  <si>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</si>
  <si>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</si>
  <si>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</si>
  <si>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</si>
  <si>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</si>
  <si>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</si>
  <si>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</si>
  <si>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</si>
  <si>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</si>
  <si>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</si>
  <si>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</si>
  <si>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</si>
  <si>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</si>
  <si>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</si>
  <si>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</si>
  <si>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</si>
  <si>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</si>
  <si>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</si>
  <si>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</si>
  <si>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</si>
  <si>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</si>
  <si>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</si>
  <si>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</si>
  <si>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</si>
  <si>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</si>
  <si>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</si>
  <si>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</si>
  <si>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</si>
  <si>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</si>
  <si>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</si>
  <si>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</si>
  <si>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</si>
  <si>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</si>
  <si>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Q1 - LOOKUP FUNCTIONS  (25 marks total)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</si>
  <si>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</si>
  <si>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</si>
  <si>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</si>
  <si>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</si>
  <si>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</si>
  <si>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</si>
  <si>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Q1.7 Helper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</si>
  <si>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</si>
  <si>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</si>
  <si>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</si>
  <si>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</si>
  <si>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</si>
  <si>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</si>
  <si>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</si>
  <si>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</si>
  <si>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</si>
  <si>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</si>
  <si>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VLOOKUP has directional limits - INDEX/MATCH does not.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</si>
  <si>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</si>
  <si>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</si>
  <si>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</si>
  <si>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</si>
  <si>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</si>
  <si>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</si>
  <si>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</si>
  <si>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</si>
  <si>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</si>
  <si>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</si>
  <si>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</si>
  <si>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For order ORD-01234, in one cell produce the string:  "&lt;rep_name&gt; (&lt;sales_region&gt;)"  - e.g. "Amit Singh (South)".</t>
  </si>
  <si>
    <t>Two lookups joined with &amp; or CONCATENATE.</t>
  </si>
  <si>
    <t>Q1.8</t>
  </si>
  <si>
    <t>What is the rep_name of the TEAM LEAD for rep R017? (The Sales_Reps sheet has team_lead_id - you need to self-join to find that person's name.)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</si>
  <si>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</si>
  <si>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</si>
  <si>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</si>
  <si>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</si>
  <si>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</si>
  <si>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</si>
  <si>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</si>
  <si>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</si>
  <si>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Q2 - DATA CLEANING &amp; QUALITY DIAGNOSTICS  (20 marks total)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</si>
  <si>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</si>
  <si>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</si>
  <si>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</si>
  <si>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COUNTIF &gt; 1, then count. Watch what you're counting - rows or IDs.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</si>
  <si>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</si>
  <si>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</si>
  <si>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</si>
  <si>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</si>
  <si>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</si>
  <si>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</si>
  <si>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</si>
  <si>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</si>
  <si>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</si>
  <si>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</si>
  <si>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</si>
  <si>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</si>
  <si>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</si>
  <si>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Find the "suspicious pattern": how many orders have payment_status = "Cancelled" AND a discount_pct &gt; 20%? (This pattern often indicates promo abuse - a real-world diagnostic query.)</t>
  </si>
  <si>
    <t>COUNTIFS with two criteria.</t>
  </si>
  <si>
    <t>Q3 - CONDITIONAL AGGREGATION  (25 marks total)</t>
  </si>
  <si>
    <t>SUMIFS · COUNTIFS · AVERAGEIFS · Nested IF logic · Multi-sheet aggregation · Top-N logic</t>
  </si>
  <si>
    <t>Helper: rep revenue totals</t>
  </si>
  <si>
    <t>Rep ID</t>
  </si>
  <si>
    <t>Total Revenue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</si>
  <si>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</si>
  <si>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</si>
  <si>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</si>
  <si>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</si>
  <si>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</si>
  <si>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</si>
  <si>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</si>
  <si>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</si>
  <si>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What is the AVERAGE final_amount for orders where the product CATEGORY is "Electronics" AND the customer SEGMENT is "Corporate"? Note: Both fields come from OTHER sheets - you'll need helper columns.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</si>
  <si>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</si>
  <si>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</si>
  <si>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</si>
  <si>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</si>
  <si>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</si>
  <si>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</si>
  <si>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</si>
  <si>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</si>
  <si>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</si>
  <si>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</si>
  <si>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Q4 - PIVOT TABLES  (20 marks total)</t>
  </si>
  <si>
    <t>2D Pivots · Filters · % of Row Total · Date Grouping · Calculated Fields · Cross-Sheet Data</t>
  </si>
  <si>
    <t>Helper: month × rep revenue matrix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</si>
  <si>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</si>
  <si>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</si>
  <si>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</si>
  <si>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</si>
  <si>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</si>
  <si>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</si>
  <si>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</si>
  <si>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</si>
  <si>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</si>
  <si>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</si>
  <si>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</si>
  <si>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</si>
  <si>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</si>
  <si>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</si>
  <si>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</si>
  <si>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</si>
  <si>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Q5 - ADVANCED  (10 marks total)</t>
  </si>
  <si>
    <t>RANK · Running Totals · TEXTJOIN · LARGE + INDEX/MATCH · Multi-condition top-N</t>
  </si>
  <si>
    <t>Helper calculations</t>
  </si>
  <si>
    <t>Rep Name</t>
  </si>
  <si>
    <t>Rank</t>
  </si>
  <si>
    <t>Product ID</t>
  </si>
  <si>
    <t>Total West Revenue</t>
  </si>
  <si>
    <t>Top 5 Rank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</si>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</sst>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\-yy"/>
  </numFmts>
  <fonts count="1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6"/>
      <color rgb="FF1F4E79"/>
      <name val="Arial"/>
      <charset val="1"/>
    </font>
    <font>
      <b/>
      <sz val="13"/>
      <color rgb="FF1F4E79"/>
      <name val="Arial"/>
      <charset val="1"/>
    </font>
    <font>
      <i/>
      <sz val="10"/>
      <color rgb="FF595959"/>
      <name val="Arial"/>
      <charset val="1"/>
    </font>
    <font>
      <b/>
      <sz val="12"/>
      <color rgb="FF1F4E79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6"/>
      <color rgb="FFFFFFFF"/>
      <name val="Arial"/>
      <charset val="1"/>
    </font>
    <font>
      <i/>
      <sz val="10"/>
      <color rgb="FF1F4E79"/>
      <name val="Arial"/>
      <charset val="1"/>
    </font>
    <font>
      <b/>
      <sz val="10"/>
      <color rgb="FF1F4E79"/>
      <name val="Arial"/>
      <charset val="1"/>
    </font>
    <font>
      <i/>
      <sz val="9"/>
      <color rgb="FF595959"/>
      <name val="Arial"/>
      <charset val="1"/>
    </font>
    <font>
      <b/>
      <sz val="11"/>
      <color rgb="FF1F4E79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E69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4" fontId="8" fillId="4" borderId="2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4" fontId="8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0" fillId="0" borderId="0" xfId="0" applyNumberFormat="1"/>
    <xf numFmtId="10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9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  <pageSetUpPr fitToPage="1"/>
  </sheetPr>
  <dimension ref="A1:V2047"/>
  <sheetViews>
    <sheetView topLeftCell="J1" zoomScaleNormal="100" workbookViewId="0">
      <pane ySplit="1" topLeftCell="A2" activePane="bottomLeft" state="frozen"/>
      <selection activeCell="J1" sqref="J1"/>
      <selection pane="bottomLeft" activeCell="R4" sqref="R4"/>
    </sheetView>
  </sheetViews>
  <sheetFormatPr defaultColWidth="8.7265625" defaultRowHeight="15" customHeight="1" x14ac:dyDescent="0.35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  <col min="12" max="12" width="12.1796875" customWidth="1"/>
    <col min="13" max="13" width="13.54296875" customWidth="1"/>
    <col min="15" max="15" width="17.7265625" customWidth="1"/>
    <col min="16" max="16" width="13.81640625" customWidth="1"/>
    <col min="17" max="17" width="12.81640625" customWidth="1"/>
  </cols>
  <sheetData>
    <row r="1" spans="1:22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" customHeight="1" x14ac:dyDescent="0.35">
      <c r="A2" s="3" t="s">
        <v>22</v>
      </c>
      <c r="B2" s="4">
        <v>45549</v>
      </c>
      <c r="C2" s="3" t="s">
        <v>23</v>
      </c>
      <c r="D2" s="3" t="s">
        <v>24</v>
      </c>
      <c r="E2" s="3" t="s">
        <v>25</v>
      </c>
      <c r="F2" s="5">
        <v>8</v>
      </c>
      <c r="G2" s="5">
        <v>3620</v>
      </c>
      <c r="H2" s="5">
        <v>15.4</v>
      </c>
      <c r="I2" s="5">
        <v>24500.16</v>
      </c>
      <c r="J2" s="3" t="s">
        <v>26</v>
      </c>
      <c r="K2" s="3" t="s">
        <v>27</v>
      </c>
      <c r="L2" t="str">
        <f>IFERROR(VLOOKUP(D2,Products!$A$2:$F$61,3,FALSE()),"")</f>
        <v>Apparel</v>
      </c>
      <c r="M2" t="str">
        <f>IFERROR(VLOOKUP(E2,Sales_Reps!$A$2:$C$31,3,FALSE()),"")</f>
        <v>North</v>
      </c>
      <c r="N2">
        <f>IFERROR(VLOOKUP(D2,Products!$A$2:$F$61,4,FALSE()),"")</f>
        <v>2509</v>
      </c>
      <c r="O2" t="str">
        <f>IFERROR(VLOOKUP(C2,Customers!$A$2:$F$301,5,FALSE()),"")</f>
        <v>SMB</v>
      </c>
      <c r="P2">
        <f>IFERROR(VLOOKUP(C2,Customers!$A$2:$F$301,3,FALSE()),"")</f>
        <v>44</v>
      </c>
      <c r="Q2">
        <f t="shared" ref="Q2:Q65" si="0">IFERROR((G2-N2)/G2,"")</f>
        <v>0.3069060773480663</v>
      </c>
      <c r="R2">
        <f>IF(AND(COUNTIF($A$2:$A$2047,A2)&gt;1,COUNTIF($A$2:A2,A2)=1),1,0)</f>
        <v>0</v>
      </c>
      <c r="S2" t="b">
        <f>IFERROR(VLOOKUP(D2,Products!$A$2:$F$61,6,FALSE()),"")</f>
        <v>1</v>
      </c>
      <c r="T2" t="str">
        <f>IF(COUNTIF(Customers!$A$2:$A$301,C2)=0,"Missing","OK")</f>
        <v>OK</v>
      </c>
      <c r="U2" t="str">
        <f t="shared" ref="U2:U65" si="1">IF(K2="","",PROPER(TRIM(K2)))</f>
        <v>Pune</v>
      </c>
      <c r="V2">
        <f t="shared" ref="V2:V65" si="2">IF(AND(U2="Bengaluru",L2="Grocery"),I2,0)</f>
        <v>0</v>
      </c>
    </row>
    <row r="3" spans="1:22" ht="15" customHeight="1" x14ac:dyDescent="0.35">
      <c r="A3" s="3" t="s">
        <v>28</v>
      </c>
      <c r="B3" s="4">
        <v>45340</v>
      </c>
      <c r="C3" s="3" t="s">
        <v>29</v>
      </c>
      <c r="D3" s="3" t="s">
        <v>30</v>
      </c>
      <c r="E3" s="3" t="s">
        <v>31</v>
      </c>
      <c r="F3" s="5">
        <v>2</v>
      </c>
      <c r="G3" s="5">
        <v>820</v>
      </c>
      <c r="H3" s="5">
        <v>10.8</v>
      </c>
      <c r="I3" s="5">
        <v>1462.88</v>
      </c>
      <c r="J3" s="3" t="s">
        <v>32</v>
      </c>
      <c r="K3" s="3" t="s">
        <v>33</v>
      </c>
      <c r="L3" t="str">
        <f>IFERROR(VLOOKUP(D3,Products!$A$2:$F$61,3,FALSE()),"")</f>
        <v>Apparel</v>
      </c>
      <c r="M3" t="str">
        <f>IFERROR(VLOOKUP(E3,Sales_Reps!$A$2:$C$31,3,FALSE()),"")</f>
        <v>North</v>
      </c>
      <c r="N3">
        <f>IFERROR(VLOOKUP(D3,Products!$A$2:$F$61,4,FALSE()),"")</f>
        <v>391</v>
      </c>
      <c r="O3" t="str">
        <f>IFERROR(VLOOKUP(C3,Customers!$A$2:$F$301,5,FALSE()),"")</f>
        <v>Retail</v>
      </c>
      <c r="P3">
        <f>IFERROR(VLOOKUP(C3,Customers!$A$2:$F$301,3,FALSE()),"")</f>
        <v>39</v>
      </c>
      <c r="Q3">
        <f t="shared" si="0"/>
        <v>0.52317073170731709</v>
      </c>
      <c r="R3">
        <f>IF(AND(COUNTIF($A$2:$A$2047,A3)&gt;1,COUNTIF($A$2:A3,A3)=1),1,0)</f>
        <v>0</v>
      </c>
      <c r="S3" t="b">
        <f>IFERROR(VLOOKUP(D3,Products!$A$2:$F$61,6,FALSE()),"")</f>
        <v>1</v>
      </c>
      <c r="T3" t="str">
        <f>IF(COUNTIF(Customers!$A$2:$A$301,C3)=0,"Missing","OK")</f>
        <v>OK</v>
      </c>
      <c r="U3" t="str">
        <f t="shared" si="1"/>
        <v>Chennai</v>
      </c>
      <c r="V3">
        <f t="shared" si="2"/>
        <v>0</v>
      </c>
    </row>
    <row r="4" spans="1:22" ht="15" customHeight="1" x14ac:dyDescent="0.35">
      <c r="A4" s="3" t="s">
        <v>34</v>
      </c>
      <c r="B4" s="4">
        <v>45371</v>
      </c>
      <c r="C4" s="3" t="s">
        <v>35</v>
      </c>
      <c r="D4" s="3" t="s">
        <v>36</v>
      </c>
      <c r="E4" s="3" t="s">
        <v>37</v>
      </c>
      <c r="F4" s="5">
        <v>8</v>
      </c>
      <c r="G4" s="5">
        <v>470</v>
      </c>
      <c r="H4" s="5">
        <v>3.3</v>
      </c>
      <c r="I4" s="5">
        <v>3635.92</v>
      </c>
      <c r="J4" s="3" t="s">
        <v>32</v>
      </c>
      <c r="K4" s="3" t="s">
        <v>38</v>
      </c>
      <c r="L4" t="str">
        <f>IFERROR(VLOOKUP(D4,Products!$A$2:$F$61,3,FALSE()),"")</f>
        <v>Sports</v>
      </c>
      <c r="M4" t="str">
        <f>IFERROR(VLOOKUP(E4,Sales_Reps!$A$2:$C$31,3,FALSE()),"")</f>
        <v>South</v>
      </c>
      <c r="N4">
        <f>IFERROR(VLOOKUP(D4,Products!$A$2:$F$61,4,FALSE()),"")</f>
        <v>302</v>
      </c>
      <c r="O4" t="str">
        <f>IFERROR(VLOOKUP(C4,Customers!$A$2:$F$301,5,FALSE()),"")</f>
        <v>Retail</v>
      </c>
      <c r="P4">
        <f>IFERROR(VLOOKUP(C4,Customers!$A$2:$F$301,3,FALSE()),"")</f>
        <v>52</v>
      </c>
      <c r="Q4">
        <f t="shared" si="0"/>
        <v>0.35744680851063831</v>
      </c>
      <c r="R4">
        <f>IF(AND(COUNTIF($A$2:$A$2047,A4)&gt;1,COUNTIF($A$2:A4,A4)=1),1,0)</f>
        <v>0</v>
      </c>
      <c r="S4" t="b">
        <f>IFERROR(VLOOKUP(D4,Products!$A$2:$F$61,6,FALSE()),"")</f>
        <v>0</v>
      </c>
      <c r="T4" t="str">
        <f>IF(COUNTIF(Customers!$A$2:$A$301,C4)=0,"Missing","OK")</f>
        <v>OK</v>
      </c>
      <c r="U4" t="str">
        <f t="shared" si="1"/>
        <v>Delhi</v>
      </c>
      <c r="V4">
        <f t="shared" si="2"/>
        <v>0</v>
      </c>
    </row>
    <row r="5" spans="1:22" ht="15" customHeight="1" x14ac:dyDescent="0.35">
      <c r="A5" s="3" t="s">
        <v>39</v>
      </c>
      <c r="B5" s="4">
        <v>45413</v>
      </c>
      <c r="C5" s="3" t="s">
        <v>40</v>
      </c>
      <c r="D5" s="3" t="s">
        <v>41</v>
      </c>
      <c r="E5" s="3" t="s">
        <v>42</v>
      </c>
      <c r="F5" s="5">
        <v>1</v>
      </c>
      <c r="G5" s="5">
        <v>3660</v>
      </c>
      <c r="H5" s="5">
        <v>15.7</v>
      </c>
      <c r="I5" s="5">
        <v>3085.38</v>
      </c>
      <c r="J5" s="3" t="s">
        <v>26</v>
      </c>
      <c r="K5" s="3" t="s">
        <v>38</v>
      </c>
      <c r="L5" t="str">
        <f>IFERROR(VLOOKUP(D5,Products!$A$2:$F$61,3,FALSE()),"")</f>
        <v>Grocery</v>
      </c>
      <c r="M5" t="str">
        <f>IFERROR(VLOOKUP(E5,Sales_Reps!$A$2:$C$31,3,FALSE()),"")</f>
        <v>North</v>
      </c>
      <c r="N5">
        <f>IFERROR(VLOOKUP(D5,Products!$A$2:$F$61,4,FALSE()),"")</f>
        <v>2214</v>
      </c>
      <c r="O5" t="str">
        <f>IFERROR(VLOOKUP(C5,Customers!$A$2:$F$301,5,FALSE()),"")</f>
        <v>Corporate</v>
      </c>
      <c r="P5">
        <f>IFERROR(VLOOKUP(C5,Customers!$A$2:$F$301,3,FALSE()),"")</f>
        <v>46</v>
      </c>
      <c r="Q5">
        <f t="shared" si="0"/>
        <v>0.39508196721311473</v>
      </c>
      <c r="R5">
        <f>IF(AND(COUNTIF($A$2:$A$2047,A5)&gt;1,COUNTIF($A$2:A5,A5)=1),1,0)</f>
        <v>0</v>
      </c>
      <c r="S5" t="b">
        <f>IFERROR(VLOOKUP(D5,Products!$A$2:$F$61,6,FALSE()),"")</f>
        <v>0</v>
      </c>
      <c r="T5" t="str">
        <f>IF(COUNTIF(Customers!$A$2:$A$301,C5)=0,"Missing","OK")</f>
        <v>OK</v>
      </c>
      <c r="U5" t="str">
        <f t="shared" si="1"/>
        <v>Delhi</v>
      </c>
      <c r="V5">
        <f t="shared" si="2"/>
        <v>0</v>
      </c>
    </row>
    <row r="6" spans="1:22" ht="15" customHeight="1" x14ac:dyDescent="0.35">
      <c r="A6" s="3" t="s">
        <v>43</v>
      </c>
      <c r="B6" s="4">
        <v>45611</v>
      </c>
      <c r="C6" s="3" t="s">
        <v>44</v>
      </c>
      <c r="D6" s="3" t="s">
        <v>45</v>
      </c>
      <c r="E6" s="3" t="s">
        <v>46</v>
      </c>
      <c r="F6" s="5">
        <v>1</v>
      </c>
      <c r="G6" s="5">
        <v>3160</v>
      </c>
      <c r="H6" s="5">
        <v>26</v>
      </c>
      <c r="I6" s="5">
        <v>2338.4</v>
      </c>
      <c r="J6" s="3" t="s">
        <v>26</v>
      </c>
      <c r="K6" s="3" t="s">
        <v>33</v>
      </c>
      <c r="L6" t="str">
        <f>IFERROR(VLOOKUP(D6,Products!$A$2:$F$61,3,FALSE()),"")</f>
        <v>Apparel</v>
      </c>
      <c r="M6" t="str">
        <f>IFERROR(VLOOKUP(E6,Sales_Reps!$A$2:$C$31,3,FALSE()),"")</f>
        <v>North</v>
      </c>
      <c r="N6">
        <f>IFERROR(VLOOKUP(D6,Products!$A$2:$F$61,4,FALSE()),"")</f>
        <v>1886</v>
      </c>
      <c r="O6" t="str">
        <f>IFERROR(VLOOKUP(C6,Customers!$A$2:$F$301,5,FALSE()),"")</f>
        <v>Retail</v>
      </c>
      <c r="P6">
        <f>IFERROR(VLOOKUP(C6,Customers!$A$2:$F$301,3,FALSE()),"")</f>
        <v>36</v>
      </c>
      <c r="Q6">
        <f t="shared" si="0"/>
        <v>0.4031645569620253</v>
      </c>
      <c r="R6">
        <f>IF(AND(COUNTIF($A$2:$A$2047,A6)&gt;1,COUNTIF($A$2:A6,A6)=1),1,0)</f>
        <v>0</v>
      </c>
      <c r="S6" t="b">
        <f>IFERROR(VLOOKUP(D6,Products!$A$2:$F$61,6,FALSE()),"")</f>
        <v>1</v>
      </c>
      <c r="T6" t="str">
        <f>IF(COUNTIF(Customers!$A$2:$A$301,C6)=0,"Missing","OK")</f>
        <v>OK</v>
      </c>
      <c r="U6" t="str">
        <f t="shared" si="1"/>
        <v>Chennai</v>
      </c>
      <c r="V6">
        <f t="shared" si="2"/>
        <v>0</v>
      </c>
    </row>
    <row r="7" spans="1:22" ht="15" customHeight="1" x14ac:dyDescent="0.35">
      <c r="A7" s="3" t="s">
        <v>47</v>
      </c>
      <c r="B7" s="4">
        <v>45406</v>
      </c>
      <c r="C7" s="3" t="s">
        <v>48</v>
      </c>
      <c r="D7" s="3" t="s">
        <v>49</v>
      </c>
      <c r="E7" s="3" t="s">
        <v>50</v>
      </c>
      <c r="F7" s="5">
        <v>4</v>
      </c>
      <c r="G7" s="5">
        <v>370</v>
      </c>
      <c r="H7" s="5">
        <v>29</v>
      </c>
      <c r="I7" s="5">
        <v>1050.8</v>
      </c>
      <c r="J7" s="3" t="s">
        <v>26</v>
      </c>
      <c r="K7" s="3" t="s">
        <v>51</v>
      </c>
      <c r="L7" t="str">
        <f>IFERROR(VLOOKUP(D7,Products!$A$2:$F$61,3,FALSE()),"")</f>
        <v>Home</v>
      </c>
      <c r="M7" t="str">
        <f>IFERROR(VLOOKUP(E7,Sales_Reps!$A$2:$C$31,3,FALSE()),"")</f>
        <v>West</v>
      </c>
      <c r="N7">
        <f>IFERROR(VLOOKUP(D7,Products!$A$2:$F$61,4,FALSE()),"")</f>
        <v>288</v>
      </c>
      <c r="O7" t="str">
        <f>IFERROR(VLOOKUP(C7,Customers!$A$2:$F$301,5,FALSE()),"")</f>
        <v>Retail</v>
      </c>
      <c r="P7">
        <f>IFERROR(VLOOKUP(C7,Customers!$A$2:$F$301,3,FALSE()),"")</f>
        <v>36</v>
      </c>
      <c r="Q7">
        <f t="shared" si="0"/>
        <v>0.22162162162162163</v>
      </c>
      <c r="R7">
        <f>IF(AND(COUNTIF($A$2:$A$2047,A7)&gt;1,COUNTIF($A$2:A7,A7)=1),1,0)</f>
        <v>0</v>
      </c>
      <c r="S7" t="b">
        <f>IFERROR(VLOOKUP(D7,Products!$A$2:$F$61,6,FALSE()),"")</f>
        <v>1</v>
      </c>
      <c r="T7" t="str">
        <f>IF(COUNTIF(Customers!$A$2:$A$301,C7)=0,"Missing","OK")</f>
        <v>OK</v>
      </c>
      <c r="U7" t="str">
        <f t="shared" si="1"/>
        <v>Mumbai</v>
      </c>
      <c r="V7">
        <f t="shared" si="2"/>
        <v>0</v>
      </c>
    </row>
    <row r="8" spans="1:22" ht="15" customHeight="1" x14ac:dyDescent="0.35">
      <c r="A8" s="3" t="s">
        <v>52</v>
      </c>
      <c r="B8" s="4">
        <v>45455</v>
      </c>
      <c r="C8" s="3" t="s">
        <v>53</v>
      </c>
      <c r="D8" s="3" t="s">
        <v>54</v>
      </c>
      <c r="E8" s="3" t="s">
        <v>55</v>
      </c>
      <c r="F8" s="5">
        <v>3</v>
      </c>
      <c r="G8" s="5">
        <v>960</v>
      </c>
      <c r="H8" s="5">
        <v>5.8</v>
      </c>
      <c r="I8" s="5">
        <v>2712.96</v>
      </c>
      <c r="J8" s="3" t="s">
        <v>26</v>
      </c>
      <c r="K8" s="3" t="s">
        <v>56</v>
      </c>
      <c r="L8" t="str">
        <f>IFERROR(VLOOKUP(D8,Products!$A$2:$F$61,3,FALSE()),"")</f>
        <v>Sports</v>
      </c>
      <c r="M8" t="str">
        <f>IFERROR(VLOOKUP(E8,Sales_Reps!$A$2:$C$31,3,FALSE()),"")</f>
        <v>West</v>
      </c>
      <c r="N8">
        <f>IFERROR(VLOOKUP(D8,Products!$A$2:$F$61,4,FALSE()),"")</f>
        <v>705</v>
      </c>
      <c r="O8" t="str">
        <f>IFERROR(VLOOKUP(C8,Customers!$A$2:$F$301,5,FALSE()),"")</f>
        <v>Retail</v>
      </c>
      <c r="P8">
        <f>IFERROR(VLOOKUP(C8,Customers!$A$2:$F$301,3,FALSE()),"")</f>
        <v>27</v>
      </c>
      <c r="Q8">
        <f t="shared" si="0"/>
        <v>0.265625</v>
      </c>
      <c r="R8">
        <f>IF(AND(COUNTIF($A$2:$A$2047,A8)&gt;1,COUNTIF($A$2:A8,A8)=1),1,0)</f>
        <v>0</v>
      </c>
      <c r="S8" t="b">
        <f>IFERROR(VLOOKUP(D8,Products!$A$2:$F$61,6,FALSE()),"")</f>
        <v>1</v>
      </c>
      <c r="T8" t="str">
        <f>IF(COUNTIF(Customers!$A$2:$A$301,C8)=0,"Missing","OK")</f>
        <v>OK</v>
      </c>
      <c r="U8" t="str">
        <f t="shared" si="1"/>
        <v>Bengaluru</v>
      </c>
      <c r="V8">
        <f t="shared" si="2"/>
        <v>0</v>
      </c>
    </row>
    <row r="9" spans="1:22" ht="15" customHeight="1" x14ac:dyDescent="0.35">
      <c r="A9" s="3" t="s">
        <v>57</v>
      </c>
      <c r="B9" s="4">
        <v>45617</v>
      </c>
      <c r="C9" s="3" t="s">
        <v>58</v>
      </c>
      <c r="D9" s="3" t="s">
        <v>59</v>
      </c>
      <c r="E9" s="3" t="s">
        <v>60</v>
      </c>
      <c r="F9" s="5">
        <v>8</v>
      </c>
      <c r="G9" s="5">
        <v>1430</v>
      </c>
      <c r="H9" s="5">
        <v>2.4</v>
      </c>
      <c r="I9" s="5">
        <v>11165.44</v>
      </c>
      <c r="J9" s="3" t="s">
        <v>26</v>
      </c>
      <c r="K9" s="3" t="s">
        <v>56</v>
      </c>
      <c r="L9" t="str">
        <f>IFERROR(VLOOKUP(D9,Products!$A$2:$F$61,3,FALSE()),"")</f>
        <v>Electronics</v>
      </c>
      <c r="M9" t="str">
        <f>IFERROR(VLOOKUP(E9,Sales_Reps!$A$2:$C$31,3,FALSE()),"")</f>
        <v>East</v>
      </c>
      <c r="N9">
        <f>IFERROR(VLOOKUP(D9,Products!$A$2:$F$61,4,FALSE()),"")</f>
        <v>861</v>
      </c>
      <c r="O9" t="str">
        <f>IFERROR(VLOOKUP(C9,Customers!$A$2:$F$301,5,FALSE()),"")</f>
        <v>Corporate</v>
      </c>
      <c r="P9">
        <f>IFERROR(VLOOKUP(C9,Customers!$A$2:$F$301,3,FALSE()),"")</f>
        <v>57</v>
      </c>
      <c r="Q9">
        <f t="shared" si="0"/>
        <v>0.39790209790209791</v>
      </c>
      <c r="R9">
        <f>IF(AND(COUNTIF($A$2:$A$2047,A9)&gt;1,COUNTIF($A$2:A9,A9)=1),1,0)</f>
        <v>0</v>
      </c>
      <c r="S9" t="b">
        <f>IFERROR(VLOOKUP(D9,Products!$A$2:$F$61,6,FALSE()),"")</f>
        <v>1</v>
      </c>
      <c r="T9" t="str">
        <f>IF(COUNTIF(Customers!$A$2:$A$301,C9)=0,"Missing","OK")</f>
        <v>OK</v>
      </c>
      <c r="U9" t="str">
        <f t="shared" si="1"/>
        <v>Bengaluru</v>
      </c>
      <c r="V9">
        <f t="shared" si="2"/>
        <v>0</v>
      </c>
    </row>
    <row r="10" spans="1:22" ht="15" customHeight="1" x14ac:dyDescent="0.35">
      <c r="A10" s="3" t="s">
        <v>61</v>
      </c>
      <c r="B10" s="4">
        <v>45549</v>
      </c>
      <c r="C10" s="3" t="s">
        <v>62</v>
      </c>
      <c r="D10" s="3" t="s">
        <v>63</v>
      </c>
      <c r="E10" s="3" t="s">
        <v>46</v>
      </c>
      <c r="F10" s="5">
        <v>3</v>
      </c>
      <c r="G10" s="5">
        <v>5490</v>
      </c>
      <c r="H10" s="5">
        <v>14.2</v>
      </c>
      <c r="I10" s="5">
        <v>14131.26</v>
      </c>
      <c r="J10" s="3" t="s">
        <v>26</v>
      </c>
      <c r="K10" s="3" t="s">
        <v>56</v>
      </c>
      <c r="L10" t="str">
        <f>IFERROR(VLOOKUP(D10,Products!$A$2:$F$61,3,FALSE()),"")</f>
        <v>Home</v>
      </c>
      <c r="M10" t="str">
        <f>IFERROR(VLOOKUP(E10,Sales_Reps!$A$2:$C$31,3,FALSE()),"")</f>
        <v>North</v>
      </c>
      <c r="N10">
        <f>IFERROR(VLOOKUP(D10,Products!$A$2:$F$61,4,FALSE()),"")</f>
        <v>2549</v>
      </c>
      <c r="O10" t="str">
        <f>IFERROR(VLOOKUP(C10,Customers!$A$2:$F$301,5,FALSE()),"")</f>
        <v>Retail</v>
      </c>
      <c r="P10">
        <f>IFERROR(VLOOKUP(C10,Customers!$A$2:$F$301,3,FALSE()),"")</f>
        <v>42</v>
      </c>
      <c r="Q10">
        <f t="shared" si="0"/>
        <v>0.53570127504553733</v>
      </c>
      <c r="R10">
        <f>IF(AND(COUNTIF($A$2:$A$2047,A10)&gt;1,COUNTIF($A$2:A10,A10)=1),1,0)</f>
        <v>0</v>
      </c>
      <c r="S10" t="b">
        <f>IFERROR(VLOOKUP(D10,Products!$A$2:$F$61,6,FALSE()),"")</f>
        <v>1</v>
      </c>
      <c r="T10" t="str">
        <f>IF(COUNTIF(Customers!$A$2:$A$301,C10)=0,"Missing","OK")</f>
        <v>OK</v>
      </c>
      <c r="U10" t="str">
        <f t="shared" si="1"/>
        <v>Bengaluru</v>
      </c>
      <c r="V10">
        <f t="shared" si="2"/>
        <v>0</v>
      </c>
    </row>
    <row r="11" spans="1:22" ht="15" customHeight="1" x14ac:dyDescent="0.35">
      <c r="A11" s="3" t="s">
        <v>64</v>
      </c>
      <c r="B11" s="4">
        <v>45396</v>
      </c>
      <c r="C11" s="3" t="s">
        <v>65</v>
      </c>
      <c r="D11" s="3" t="s">
        <v>66</v>
      </c>
      <c r="E11" s="3" t="s">
        <v>67</v>
      </c>
      <c r="F11" s="5">
        <v>3</v>
      </c>
      <c r="G11" s="5">
        <v>970</v>
      </c>
      <c r="H11" s="5">
        <v>1.2</v>
      </c>
      <c r="I11" s="5">
        <v>2875.08</v>
      </c>
      <c r="J11" s="3" t="s">
        <v>26</v>
      </c>
      <c r="K11" s="3" t="s">
        <v>27</v>
      </c>
      <c r="L11" t="str">
        <f>IFERROR(VLOOKUP(D11,Products!$A$2:$F$61,3,FALSE()),"")</f>
        <v>Grocery</v>
      </c>
      <c r="M11" t="str">
        <f>IFERROR(VLOOKUP(E11,Sales_Reps!$A$2:$C$31,3,FALSE()),"")</f>
        <v>West</v>
      </c>
      <c r="N11">
        <f>IFERROR(VLOOKUP(D11,Products!$A$2:$F$61,4,FALSE()),"")</f>
        <v>434</v>
      </c>
      <c r="O11" t="str">
        <f>IFERROR(VLOOKUP(C11,Customers!$A$2:$F$301,5,FALSE()),"")</f>
        <v>Retail</v>
      </c>
      <c r="P11">
        <f>IFERROR(VLOOKUP(C11,Customers!$A$2:$F$301,3,FALSE()),"")</f>
        <v>56</v>
      </c>
      <c r="Q11">
        <f t="shared" si="0"/>
        <v>0.5525773195876289</v>
      </c>
      <c r="R11">
        <f>IF(AND(COUNTIF($A$2:$A$2047,A11)&gt;1,COUNTIF($A$2:A11,A11)=1),1,0)</f>
        <v>0</v>
      </c>
      <c r="S11" t="b">
        <f>IFERROR(VLOOKUP(D11,Products!$A$2:$F$61,6,FALSE()),"")</f>
        <v>1</v>
      </c>
      <c r="T11" t="str">
        <f>IF(COUNTIF(Customers!$A$2:$A$301,C11)=0,"Missing","OK")</f>
        <v>OK</v>
      </c>
      <c r="U11" t="str">
        <f t="shared" si="1"/>
        <v>Pune</v>
      </c>
      <c r="V11">
        <f t="shared" si="2"/>
        <v>0</v>
      </c>
    </row>
    <row r="12" spans="1:22" ht="15" customHeight="1" x14ac:dyDescent="0.35">
      <c r="A12" s="3" t="s">
        <v>68</v>
      </c>
      <c r="B12" s="4">
        <v>45560</v>
      </c>
      <c r="C12" s="3" t="s">
        <v>69</v>
      </c>
      <c r="D12" s="3" t="s">
        <v>70</v>
      </c>
      <c r="E12" s="3" t="s">
        <v>71</v>
      </c>
      <c r="F12" s="5">
        <v>7</v>
      </c>
      <c r="G12" s="5">
        <v>2270</v>
      </c>
      <c r="H12" s="5">
        <v>7.1</v>
      </c>
      <c r="I12" s="5">
        <v>14761.81</v>
      </c>
      <c r="J12" s="3" t="s">
        <v>32</v>
      </c>
      <c r="K12" s="3" t="s">
        <v>72</v>
      </c>
      <c r="L12" t="str">
        <f>IFERROR(VLOOKUP(D12,Products!$A$2:$F$61,3,FALSE()),"")</f>
        <v>Grocery</v>
      </c>
      <c r="M12" t="str">
        <f>IFERROR(VLOOKUP(E12,Sales_Reps!$A$2:$C$31,3,FALSE()),"")</f>
        <v>South</v>
      </c>
      <c r="N12">
        <f>IFERROR(VLOOKUP(D12,Products!$A$2:$F$61,4,FALSE()),"")</f>
        <v>1203</v>
      </c>
      <c r="O12" t="str">
        <f>IFERROR(VLOOKUP(C12,Customers!$A$2:$F$301,5,FALSE()),"")</f>
        <v>Retail</v>
      </c>
      <c r="P12">
        <f>IFERROR(VLOOKUP(C12,Customers!$A$2:$F$301,3,FALSE()),"")</f>
        <v>60</v>
      </c>
      <c r="Q12">
        <f t="shared" si="0"/>
        <v>0.47004405286343615</v>
      </c>
      <c r="R12">
        <f>IF(AND(COUNTIF($A$2:$A$2047,A12)&gt;1,COUNTIF($A$2:A12,A12)=1),1,0)</f>
        <v>0</v>
      </c>
      <c r="S12" t="b">
        <f>IFERROR(VLOOKUP(D12,Products!$A$2:$F$61,6,FALSE()),"")</f>
        <v>1</v>
      </c>
      <c r="T12" t="str">
        <f>IF(COUNTIF(Customers!$A$2:$A$301,C12)=0,"Missing","OK")</f>
        <v>OK</v>
      </c>
      <c r="U12" t="str">
        <f t="shared" si="1"/>
        <v>Hyderabad</v>
      </c>
      <c r="V12">
        <f t="shared" si="2"/>
        <v>0</v>
      </c>
    </row>
    <row r="13" spans="1:22" ht="15" customHeight="1" x14ac:dyDescent="0.35">
      <c r="A13" s="3" t="s">
        <v>73</v>
      </c>
      <c r="B13" s="4">
        <v>45332</v>
      </c>
      <c r="C13" s="3" t="s">
        <v>65</v>
      </c>
      <c r="D13" s="3" t="s">
        <v>74</v>
      </c>
      <c r="E13" s="3" t="s">
        <v>55</v>
      </c>
      <c r="F13" s="5">
        <v>9</v>
      </c>
      <c r="G13" s="5">
        <v>2640</v>
      </c>
      <c r="H13" s="5">
        <v>21.7</v>
      </c>
      <c r="I13" s="5">
        <v>18604.080000000002</v>
      </c>
      <c r="J13" s="3" t="s">
        <v>26</v>
      </c>
      <c r="K13" s="3" t="s">
        <v>27</v>
      </c>
      <c r="L13" t="str">
        <f>IFERROR(VLOOKUP(D13,Products!$A$2:$F$61,3,FALSE()),"")</f>
        <v>Electronics</v>
      </c>
      <c r="M13" t="str">
        <f>IFERROR(VLOOKUP(E13,Sales_Reps!$A$2:$C$31,3,FALSE()),"")</f>
        <v>West</v>
      </c>
      <c r="N13">
        <f>IFERROR(VLOOKUP(D13,Products!$A$2:$F$61,4,FALSE()),"")</f>
        <v>1149</v>
      </c>
      <c r="O13" t="str">
        <f>IFERROR(VLOOKUP(C13,Customers!$A$2:$F$301,5,FALSE()),"")</f>
        <v>Retail</v>
      </c>
      <c r="P13">
        <f>IFERROR(VLOOKUP(C13,Customers!$A$2:$F$301,3,FALSE()),"")</f>
        <v>56</v>
      </c>
      <c r="Q13">
        <f t="shared" si="0"/>
        <v>0.56477272727272732</v>
      </c>
      <c r="R13">
        <f>IF(AND(COUNTIF($A$2:$A$2047,A13)&gt;1,COUNTIF($A$2:A13,A13)=1),1,0)</f>
        <v>0</v>
      </c>
      <c r="S13" t="b">
        <f>IFERROR(VLOOKUP(D13,Products!$A$2:$F$61,6,FALSE()),"")</f>
        <v>1</v>
      </c>
      <c r="T13" t="str">
        <f>IF(COUNTIF(Customers!$A$2:$A$301,C13)=0,"Missing","OK")</f>
        <v>OK</v>
      </c>
      <c r="U13" t="str">
        <f t="shared" si="1"/>
        <v>Pune</v>
      </c>
      <c r="V13">
        <f t="shared" si="2"/>
        <v>0</v>
      </c>
    </row>
    <row r="14" spans="1:22" ht="15" customHeight="1" x14ac:dyDescent="0.35">
      <c r="A14" s="3" t="s">
        <v>75</v>
      </c>
      <c r="B14" s="4">
        <v>45507</v>
      </c>
      <c r="C14" s="3" t="s">
        <v>76</v>
      </c>
      <c r="D14" s="3" t="s">
        <v>77</v>
      </c>
      <c r="E14" s="3" t="s">
        <v>78</v>
      </c>
      <c r="F14" s="5">
        <v>3</v>
      </c>
      <c r="G14" s="5">
        <v>2600</v>
      </c>
      <c r="H14" s="5">
        <v>4.3</v>
      </c>
      <c r="I14" s="5">
        <v>7464.6</v>
      </c>
      <c r="J14" s="3" t="s">
        <v>79</v>
      </c>
      <c r="K14" s="3" t="s">
        <v>38</v>
      </c>
      <c r="L14" t="str">
        <f>IFERROR(VLOOKUP(D14,Products!$A$2:$F$61,3,FALSE()),"")</f>
        <v>Electronics</v>
      </c>
      <c r="M14" t="str">
        <f>IFERROR(VLOOKUP(E14,Sales_Reps!$A$2:$C$31,3,FALSE()),"")</f>
        <v>North</v>
      </c>
      <c r="N14">
        <f>IFERROR(VLOOKUP(D14,Products!$A$2:$F$61,4,FALSE()),"")</f>
        <v>1052</v>
      </c>
      <c r="O14" t="str">
        <f>IFERROR(VLOOKUP(C14,Customers!$A$2:$F$301,5,FALSE()),"")</f>
        <v>SMB</v>
      </c>
      <c r="P14">
        <f>IFERROR(VLOOKUP(C14,Customers!$A$2:$F$301,3,FALSE()),"")</f>
        <v>27</v>
      </c>
      <c r="Q14">
        <f t="shared" si="0"/>
        <v>0.5953846153846154</v>
      </c>
      <c r="R14">
        <f>IF(AND(COUNTIF($A$2:$A$2047,A14)&gt;1,COUNTIF($A$2:A14,A14)=1),1,0)</f>
        <v>0</v>
      </c>
      <c r="S14" t="b">
        <f>IFERROR(VLOOKUP(D14,Products!$A$2:$F$61,6,FALSE()),"")</f>
        <v>1</v>
      </c>
      <c r="T14" t="str">
        <f>IF(COUNTIF(Customers!$A$2:$A$301,C14)=0,"Missing","OK")</f>
        <v>OK</v>
      </c>
      <c r="U14" t="str">
        <f t="shared" si="1"/>
        <v>Delhi</v>
      </c>
      <c r="V14">
        <f t="shared" si="2"/>
        <v>0</v>
      </c>
    </row>
    <row r="15" spans="1:22" ht="15" customHeight="1" x14ac:dyDescent="0.35">
      <c r="A15" s="3" t="s">
        <v>80</v>
      </c>
      <c r="B15" s="4">
        <v>45466</v>
      </c>
      <c r="C15" s="3" t="s">
        <v>81</v>
      </c>
      <c r="D15" s="3" t="s">
        <v>82</v>
      </c>
      <c r="E15" s="3" t="s">
        <v>50</v>
      </c>
      <c r="F15" s="5">
        <v>3</v>
      </c>
      <c r="G15" s="5">
        <v>3250</v>
      </c>
      <c r="H15" s="5">
        <v>14.1</v>
      </c>
      <c r="I15" s="5">
        <v>8375.25</v>
      </c>
      <c r="J15" s="3" t="s">
        <v>83</v>
      </c>
      <c r="K15" s="3" t="s">
        <v>27</v>
      </c>
      <c r="L15" t="str">
        <f>IFERROR(VLOOKUP(D15,Products!$A$2:$F$61,3,FALSE()),"")</f>
        <v>Home</v>
      </c>
      <c r="M15" t="str">
        <f>IFERROR(VLOOKUP(E15,Sales_Reps!$A$2:$C$31,3,FALSE()),"")</f>
        <v>West</v>
      </c>
      <c r="N15">
        <f>IFERROR(VLOOKUP(D15,Products!$A$2:$F$61,4,FALSE()),"")</f>
        <v>1556</v>
      </c>
      <c r="O15" t="str">
        <f>IFERROR(VLOOKUP(C15,Customers!$A$2:$F$301,5,FALSE()),"")</f>
        <v>SMB</v>
      </c>
      <c r="P15">
        <f>IFERROR(VLOOKUP(C15,Customers!$A$2:$F$301,3,FALSE()),"")</f>
        <v>39</v>
      </c>
      <c r="Q15">
        <f t="shared" si="0"/>
        <v>0.52123076923076928</v>
      </c>
      <c r="R15">
        <f>IF(AND(COUNTIF($A$2:$A$2047,A15)&gt;1,COUNTIF($A$2:A15,A15)=1),1,0)</f>
        <v>0</v>
      </c>
      <c r="S15" t="b">
        <f>IFERROR(VLOOKUP(D15,Products!$A$2:$F$61,6,FALSE()),"")</f>
        <v>1</v>
      </c>
      <c r="T15" t="str">
        <f>IF(COUNTIF(Customers!$A$2:$A$301,C15)=0,"Missing","OK")</f>
        <v>OK</v>
      </c>
      <c r="U15" t="str">
        <f t="shared" si="1"/>
        <v>Pune</v>
      </c>
      <c r="V15">
        <f t="shared" si="2"/>
        <v>0</v>
      </c>
    </row>
    <row r="16" spans="1:22" ht="15" customHeight="1" x14ac:dyDescent="0.35">
      <c r="A16" s="3" t="s">
        <v>84</v>
      </c>
      <c r="B16" s="4">
        <v>45365</v>
      </c>
      <c r="C16" s="3" t="s">
        <v>85</v>
      </c>
      <c r="D16" s="3" t="s">
        <v>86</v>
      </c>
      <c r="E16" s="3" t="s">
        <v>87</v>
      </c>
      <c r="F16" s="5">
        <v>1</v>
      </c>
      <c r="G16" s="5">
        <v>190</v>
      </c>
      <c r="H16" s="5">
        <v>20.7</v>
      </c>
      <c r="I16" s="5">
        <v>150.66999999999999</v>
      </c>
      <c r="J16" s="3" t="s">
        <v>26</v>
      </c>
      <c r="K16" s="3" t="s">
        <v>27</v>
      </c>
      <c r="L16" t="str">
        <f>IFERROR(VLOOKUP(D16,Products!$A$2:$F$61,3,FALSE()),"")</f>
        <v>Sports</v>
      </c>
      <c r="M16" t="str">
        <f>IFERROR(VLOOKUP(E16,Sales_Reps!$A$2:$C$31,3,FALSE()),"")</f>
        <v>North</v>
      </c>
      <c r="N16">
        <f>IFERROR(VLOOKUP(D16,Products!$A$2:$F$61,4,FALSE()),"")</f>
        <v>147</v>
      </c>
      <c r="O16" t="str">
        <f>IFERROR(VLOOKUP(C16,Customers!$A$2:$F$301,5,FALSE()),"")</f>
        <v>Retail</v>
      </c>
      <c r="P16">
        <f>IFERROR(VLOOKUP(C16,Customers!$A$2:$F$301,3,FALSE()),"")</f>
        <v>38</v>
      </c>
      <c r="Q16">
        <f t="shared" si="0"/>
        <v>0.22631578947368422</v>
      </c>
      <c r="R16">
        <f>IF(AND(COUNTIF($A$2:$A$2047,A16)&gt;1,COUNTIF($A$2:A16,A16)=1),1,0)</f>
        <v>0</v>
      </c>
      <c r="S16" t="b">
        <f>IFERROR(VLOOKUP(D16,Products!$A$2:$F$61,6,FALSE()),"")</f>
        <v>1</v>
      </c>
      <c r="T16" t="str">
        <f>IF(COUNTIF(Customers!$A$2:$A$301,C16)=0,"Missing","OK")</f>
        <v>OK</v>
      </c>
      <c r="U16" t="str">
        <f t="shared" si="1"/>
        <v>Pune</v>
      </c>
      <c r="V16">
        <f t="shared" si="2"/>
        <v>0</v>
      </c>
    </row>
    <row r="17" spans="1:22" ht="15" customHeight="1" x14ac:dyDescent="0.35">
      <c r="A17" s="3" t="s">
        <v>88</v>
      </c>
      <c r="B17" s="4">
        <v>45546</v>
      </c>
      <c r="C17" s="3" t="s">
        <v>89</v>
      </c>
      <c r="D17" s="3" t="s">
        <v>90</v>
      </c>
      <c r="E17" s="3" t="s">
        <v>37</v>
      </c>
      <c r="F17" s="5">
        <v>7</v>
      </c>
      <c r="G17" s="5">
        <v>2400</v>
      </c>
      <c r="H17" s="5">
        <v>10.199999999999999</v>
      </c>
      <c r="I17" s="5">
        <v>15086.4</v>
      </c>
      <c r="J17" s="3" t="s">
        <v>32</v>
      </c>
      <c r="K17" s="3" t="s">
        <v>27</v>
      </c>
      <c r="L17" t="str">
        <f>IFERROR(VLOOKUP(D17,Products!$A$2:$F$61,3,FALSE()),"")</f>
        <v>Sports</v>
      </c>
      <c r="M17" t="str">
        <f>IFERROR(VLOOKUP(E17,Sales_Reps!$A$2:$C$31,3,FALSE()),"")</f>
        <v>South</v>
      </c>
      <c r="N17">
        <f>IFERROR(VLOOKUP(D17,Products!$A$2:$F$61,4,FALSE()),"")</f>
        <v>974</v>
      </c>
      <c r="O17" t="str">
        <f>IFERROR(VLOOKUP(C17,Customers!$A$2:$F$301,5,FALSE()),"")</f>
        <v>Retail</v>
      </c>
      <c r="P17">
        <f>IFERROR(VLOOKUP(C17,Customers!$A$2:$F$301,3,FALSE()),"")</f>
        <v>63</v>
      </c>
      <c r="Q17">
        <f t="shared" si="0"/>
        <v>0.59416666666666662</v>
      </c>
      <c r="R17">
        <f>IF(AND(COUNTIF($A$2:$A$2047,A17)&gt;1,COUNTIF($A$2:A17,A17)=1),1,0)</f>
        <v>0</v>
      </c>
      <c r="S17" t="b">
        <f>IFERROR(VLOOKUP(D17,Products!$A$2:$F$61,6,FALSE()),"")</f>
        <v>1</v>
      </c>
      <c r="T17" t="str">
        <f>IF(COUNTIF(Customers!$A$2:$A$301,C17)=0,"Missing","OK")</f>
        <v>OK</v>
      </c>
      <c r="U17" t="str">
        <f t="shared" si="1"/>
        <v>Pune</v>
      </c>
      <c r="V17">
        <f t="shared" si="2"/>
        <v>0</v>
      </c>
    </row>
    <row r="18" spans="1:22" ht="15" customHeight="1" x14ac:dyDescent="0.35">
      <c r="A18" s="3" t="s">
        <v>91</v>
      </c>
      <c r="B18" s="4">
        <v>45512</v>
      </c>
      <c r="C18" s="3" t="s">
        <v>92</v>
      </c>
      <c r="D18" s="3" t="s">
        <v>41</v>
      </c>
      <c r="E18" s="3" t="s">
        <v>93</v>
      </c>
      <c r="F18" s="5">
        <v>4</v>
      </c>
      <c r="G18" s="5">
        <v>3660</v>
      </c>
      <c r="H18" s="5">
        <v>2.6</v>
      </c>
      <c r="I18" s="5">
        <v>14259.36</v>
      </c>
      <c r="J18" s="3" t="s">
        <v>26</v>
      </c>
      <c r="K18" s="3" t="s">
        <v>56</v>
      </c>
      <c r="L18" t="str">
        <f>IFERROR(VLOOKUP(D18,Products!$A$2:$F$61,3,FALSE()),"")</f>
        <v>Grocery</v>
      </c>
      <c r="M18" t="str">
        <f>IFERROR(VLOOKUP(E18,Sales_Reps!$A$2:$C$31,3,FALSE()),"")</f>
        <v>East</v>
      </c>
      <c r="N18">
        <f>IFERROR(VLOOKUP(D18,Products!$A$2:$F$61,4,FALSE()),"")</f>
        <v>2214</v>
      </c>
      <c r="O18" t="str">
        <f>IFERROR(VLOOKUP(C18,Customers!$A$2:$F$301,5,FALSE()),"")</f>
        <v>SMB</v>
      </c>
      <c r="P18">
        <f>IFERROR(VLOOKUP(C18,Customers!$A$2:$F$301,3,FALSE()),"")</f>
        <v>46</v>
      </c>
      <c r="Q18">
        <f t="shared" si="0"/>
        <v>0.39508196721311473</v>
      </c>
      <c r="R18">
        <f>IF(AND(COUNTIF($A$2:$A$2047,A18)&gt;1,COUNTIF($A$2:A18,A18)=1),1,0)</f>
        <v>0</v>
      </c>
      <c r="S18" t="b">
        <f>IFERROR(VLOOKUP(D18,Products!$A$2:$F$61,6,FALSE()),"")</f>
        <v>0</v>
      </c>
      <c r="T18" t="str">
        <f>IF(COUNTIF(Customers!$A$2:$A$301,C18)=0,"Missing","OK")</f>
        <v>OK</v>
      </c>
      <c r="U18" t="str">
        <f t="shared" si="1"/>
        <v>Bengaluru</v>
      </c>
      <c r="V18">
        <f t="shared" si="2"/>
        <v>14259.36</v>
      </c>
    </row>
    <row r="19" spans="1:22" ht="15" customHeight="1" x14ac:dyDescent="0.35">
      <c r="A19" s="3" t="s">
        <v>94</v>
      </c>
      <c r="B19" s="4">
        <v>45654</v>
      </c>
      <c r="C19" s="3" t="s">
        <v>95</v>
      </c>
      <c r="D19" s="3" t="s">
        <v>96</v>
      </c>
      <c r="E19" s="3" t="s">
        <v>97</v>
      </c>
      <c r="F19" s="5">
        <v>8</v>
      </c>
      <c r="G19" s="5">
        <v>3450</v>
      </c>
      <c r="H19" s="5">
        <v>18.5</v>
      </c>
      <c r="I19" s="5">
        <v>22494</v>
      </c>
      <c r="J19" s="3" t="s">
        <v>26</v>
      </c>
      <c r="K19" s="3" t="s">
        <v>72</v>
      </c>
      <c r="L19" t="str">
        <f>IFERROR(VLOOKUP(D19,Products!$A$2:$F$61,3,FALSE()),"")</f>
        <v>Beauty</v>
      </c>
      <c r="M19" t="str">
        <f>IFERROR(VLOOKUP(E19,Sales_Reps!$A$2:$C$31,3,FALSE()),"")</f>
        <v>East</v>
      </c>
      <c r="N19">
        <f>IFERROR(VLOOKUP(D19,Products!$A$2:$F$61,4,FALSE()),"")</f>
        <v>2420</v>
      </c>
      <c r="O19" t="str">
        <f>IFERROR(VLOOKUP(C19,Customers!$A$2:$F$301,5,FALSE()),"")</f>
        <v>Corporate</v>
      </c>
      <c r="P19">
        <f>IFERROR(VLOOKUP(C19,Customers!$A$2:$F$301,3,FALSE()),"")</f>
        <v>32</v>
      </c>
      <c r="Q19">
        <f t="shared" si="0"/>
        <v>0.29855072463768118</v>
      </c>
      <c r="R19">
        <f>IF(AND(COUNTIF($A$2:$A$2047,A19)&gt;1,COUNTIF($A$2:A19,A19)=1),1,0)</f>
        <v>0</v>
      </c>
      <c r="S19" t="b">
        <f>IFERROR(VLOOKUP(D19,Products!$A$2:$F$61,6,FALSE()),"")</f>
        <v>1</v>
      </c>
      <c r="T19" t="str">
        <f>IF(COUNTIF(Customers!$A$2:$A$301,C19)=0,"Missing","OK")</f>
        <v>OK</v>
      </c>
      <c r="U19" t="str">
        <f t="shared" si="1"/>
        <v>Hyderabad</v>
      </c>
      <c r="V19">
        <f t="shared" si="2"/>
        <v>0</v>
      </c>
    </row>
    <row r="20" spans="1:22" ht="15" customHeight="1" x14ac:dyDescent="0.35">
      <c r="A20" s="3" t="s">
        <v>98</v>
      </c>
      <c r="B20" s="4">
        <v>45626</v>
      </c>
      <c r="C20" s="3" t="s">
        <v>99</v>
      </c>
      <c r="D20" s="3" t="s">
        <v>100</v>
      </c>
      <c r="E20" s="3" t="s">
        <v>93</v>
      </c>
      <c r="F20" s="5">
        <v>5</v>
      </c>
      <c r="G20" s="5">
        <v>3450</v>
      </c>
      <c r="H20" s="5">
        <v>7.3</v>
      </c>
      <c r="I20" s="5">
        <v>15990.75</v>
      </c>
      <c r="J20" s="3" t="s">
        <v>26</v>
      </c>
      <c r="K20" s="3" t="s">
        <v>51</v>
      </c>
      <c r="L20" t="str">
        <f>IFERROR(VLOOKUP(D20,Products!$A$2:$F$61,3,FALSE()),"")</f>
        <v>Sports</v>
      </c>
      <c r="M20" t="str">
        <f>IFERROR(VLOOKUP(E20,Sales_Reps!$A$2:$C$31,3,FALSE()),"")</f>
        <v>East</v>
      </c>
      <c r="N20">
        <f>IFERROR(VLOOKUP(D20,Products!$A$2:$F$61,4,FALSE()),"")</f>
        <v>2467</v>
      </c>
      <c r="O20" t="str">
        <f>IFERROR(VLOOKUP(C20,Customers!$A$2:$F$301,5,FALSE()),"")</f>
        <v>Retail</v>
      </c>
      <c r="P20">
        <f>IFERROR(VLOOKUP(C20,Customers!$A$2:$F$301,3,FALSE()),"")</f>
        <v>54</v>
      </c>
      <c r="Q20">
        <f t="shared" si="0"/>
        <v>0.28492753623188405</v>
      </c>
      <c r="R20">
        <f>IF(AND(COUNTIF($A$2:$A$2047,A20)&gt;1,COUNTIF($A$2:A20,A20)=1),1,0)</f>
        <v>0</v>
      </c>
      <c r="S20" t="b">
        <f>IFERROR(VLOOKUP(D20,Products!$A$2:$F$61,6,FALSE()),"")</f>
        <v>1</v>
      </c>
      <c r="T20" t="str">
        <f>IF(COUNTIF(Customers!$A$2:$A$301,C20)=0,"Missing","OK")</f>
        <v>OK</v>
      </c>
      <c r="U20" t="str">
        <f t="shared" si="1"/>
        <v>Mumbai</v>
      </c>
      <c r="V20">
        <f t="shared" si="2"/>
        <v>0</v>
      </c>
    </row>
    <row r="21" spans="1:22" ht="15" customHeight="1" x14ac:dyDescent="0.35">
      <c r="A21" s="3" t="s">
        <v>101</v>
      </c>
      <c r="B21" s="4">
        <v>45394</v>
      </c>
      <c r="C21" s="3" t="s">
        <v>102</v>
      </c>
      <c r="D21" s="3" t="s">
        <v>103</v>
      </c>
      <c r="E21" s="3" t="s">
        <v>93</v>
      </c>
      <c r="F21" s="5">
        <v>8</v>
      </c>
      <c r="G21" s="5">
        <v>1080</v>
      </c>
      <c r="H21" s="5">
        <v>2.2000000000000002</v>
      </c>
      <c r="I21" s="5">
        <v>8449.92</v>
      </c>
      <c r="J21" s="3" t="s">
        <v>26</v>
      </c>
      <c r="K21" s="3" t="s">
        <v>33</v>
      </c>
      <c r="L21" t="str">
        <f>IFERROR(VLOOKUP(D21,Products!$A$2:$F$61,3,FALSE()),"")</f>
        <v>Home</v>
      </c>
      <c r="M21" t="str">
        <f>IFERROR(VLOOKUP(E21,Sales_Reps!$A$2:$C$31,3,FALSE()),"")</f>
        <v>East</v>
      </c>
      <c r="N21">
        <f>IFERROR(VLOOKUP(D21,Products!$A$2:$F$61,4,FALSE()),"")</f>
        <v>519</v>
      </c>
      <c r="O21" t="str">
        <f>IFERROR(VLOOKUP(C21,Customers!$A$2:$F$301,5,FALSE()),"")</f>
        <v>Retail</v>
      </c>
      <c r="P21">
        <f>IFERROR(VLOOKUP(C21,Customers!$A$2:$F$301,3,FALSE()),"")</f>
        <v>49</v>
      </c>
      <c r="Q21">
        <f t="shared" si="0"/>
        <v>0.51944444444444449</v>
      </c>
      <c r="R21">
        <f>IF(AND(COUNTIF($A$2:$A$2047,A21)&gt;1,COUNTIF($A$2:A21,A21)=1),1,0)</f>
        <v>0</v>
      </c>
      <c r="S21" t="b">
        <f>IFERROR(VLOOKUP(D21,Products!$A$2:$F$61,6,FALSE()),"")</f>
        <v>1</v>
      </c>
      <c r="T21" t="str">
        <f>IF(COUNTIF(Customers!$A$2:$A$301,C21)=0,"Missing","OK")</f>
        <v>OK</v>
      </c>
      <c r="U21" t="str">
        <f t="shared" si="1"/>
        <v>Chennai</v>
      </c>
      <c r="V21">
        <f t="shared" si="2"/>
        <v>0</v>
      </c>
    </row>
    <row r="22" spans="1:22" ht="15" customHeight="1" x14ac:dyDescent="0.35">
      <c r="A22" s="3" t="s">
        <v>104</v>
      </c>
      <c r="B22" s="4">
        <v>45470</v>
      </c>
      <c r="C22" s="3" t="s">
        <v>105</v>
      </c>
      <c r="D22" s="3" t="s">
        <v>106</v>
      </c>
      <c r="E22" s="3" t="s">
        <v>42</v>
      </c>
      <c r="F22" s="5">
        <v>7</v>
      </c>
      <c r="G22" s="5">
        <v>2480</v>
      </c>
      <c r="H22" s="5">
        <v>28.7</v>
      </c>
      <c r="I22" s="5">
        <v>12377.68</v>
      </c>
      <c r="J22" s="3" t="s">
        <v>26</v>
      </c>
      <c r="K22" s="3" t="s">
        <v>72</v>
      </c>
      <c r="L22" t="str">
        <f>IFERROR(VLOOKUP(D22,Products!$A$2:$F$61,3,FALSE()),"")</f>
        <v>Apparel</v>
      </c>
      <c r="M22" t="str">
        <f>IFERROR(VLOOKUP(E22,Sales_Reps!$A$2:$C$31,3,FALSE()),"")</f>
        <v>North</v>
      </c>
      <c r="N22">
        <f>IFERROR(VLOOKUP(D22,Products!$A$2:$F$61,4,FALSE()),"")</f>
        <v>1173</v>
      </c>
      <c r="O22" t="str">
        <f>IFERROR(VLOOKUP(C22,Customers!$A$2:$F$301,5,FALSE()),"")</f>
        <v>Retail</v>
      </c>
      <c r="P22">
        <f>IFERROR(VLOOKUP(C22,Customers!$A$2:$F$301,3,FALSE()),"")</f>
        <v>32</v>
      </c>
      <c r="Q22">
        <f t="shared" si="0"/>
        <v>0.52701612903225803</v>
      </c>
      <c r="R22">
        <f>IF(AND(COUNTIF($A$2:$A$2047,A22)&gt;1,COUNTIF($A$2:A22,A22)=1),1,0)</f>
        <v>0</v>
      </c>
      <c r="S22" t="b">
        <f>IFERROR(VLOOKUP(D22,Products!$A$2:$F$61,6,FALSE()),"")</f>
        <v>1</v>
      </c>
      <c r="T22" t="str">
        <f>IF(COUNTIF(Customers!$A$2:$A$301,C22)=0,"Missing","OK")</f>
        <v>OK</v>
      </c>
      <c r="U22" t="str">
        <f t="shared" si="1"/>
        <v>Hyderabad</v>
      </c>
      <c r="V22">
        <f t="shared" si="2"/>
        <v>0</v>
      </c>
    </row>
    <row r="23" spans="1:22" ht="15" customHeight="1" x14ac:dyDescent="0.35">
      <c r="A23" s="3" t="s">
        <v>107</v>
      </c>
      <c r="B23" s="4">
        <v>45354</v>
      </c>
      <c r="C23" s="3" t="s">
        <v>108</v>
      </c>
      <c r="D23" s="3" t="s">
        <v>82</v>
      </c>
      <c r="E23" s="3" t="s">
        <v>109</v>
      </c>
      <c r="F23" s="5">
        <v>4</v>
      </c>
      <c r="G23" s="5">
        <v>3250</v>
      </c>
      <c r="H23" s="5">
        <v>24.6</v>
      </c>
      <c r="I23" s="5">
        <v>9802</v>
      </c>
      <c r="J23" s="3" t="s">
        <v>26</v>
      </c>
      <c r="K23" s="3" t="s">
        <v>51</v>
      </c>
      <c r="L23" t="str">
        <f>IFERROR(VLOOKUP(D23,Products!$A$2:$F$61,3,FALSE()),"")</f>
        <v>Home</v>
      </c>
      <c r="M23" t="str">
        <f>IFERROR(VLOOKUP(E23,Sales_Reps!$A$2:$C$31,3,FALSE()),"")</f>
        <v>West</v>
      </c>
      <c r="N23">
        <f>IFERROR(VLOOKUP(D23,Products!$A$2:$F$61,4,FALSE()),"")</f>
        <v>1556</v>
      </c>
      <c r="O23" t="str">
        <f>IFERROR(VLOOKUP(C23,Customers!$A$2:$F$301,5,FALSE()),"")</f>
        <v>Retail</v>
      </c>
      <c r="P23">
        <f>IFERROR(VLOOKUP(C23,Customers!$A$2:$F$301,3,FALSE()),"")</f>
        <v>34</v>
      </c>
      <c r="Q23">
        <f t="shared" si="0"/>
        <v>0.52123076923076928</v>
      </c>
      <c r="R23">
        <f>IF(AND(COUNTIF($A$2:$A$2047,A23)&gt;1,COUNTIF($A$2:A23,A23)=1),1,0)</f>
        <v>0</v>
      </c>
      <c r="S23" t="b">
        <f>IFERROR(VLOOKUP(D23,Products!$A$2:$F$61,6,FALSE()),"")</f>
        <v>1</v>
      </c>
      <c r="T23" t="str">
        <f>IF(COUNTIF(Customers!$A$2:$A$301,C23)=0,"Missing","OK")</f>
        <v>OK</v>
      </c>
      <c r="U23" t="str">
        <f t="shared" si="1"/>
        <v>Mumbai</v>
      </c>
      <c r="V23">
        <f t="shared" si="2"/>
        <v>0</v>
      </c>
    </row>
    <row r="24" spans="1:22" ht="15" customHeight="1" x14ac:dyDescent="0.35">
      <c r="A24" s="3" t="s">
        <v>110</v>
      </c>
      <c r="B24" s="4">
        <v>45530</v>
      </c>
      <c r="C24" s="3" t="s">
        <v>111</v>
      </c>
      <c r="D24" s="3" t="s">
        <v>112</v>
      </c>
      <c r="E24" s="3" t="s">
        <v>109</v>
      </c>
      <c r="F24" s="5">
        <v>9</v>
      </c>
      <c r="G24" s="5">
        <v>2720</v>
      </c>
      <c r="H24" s="5">
        <v>26.2</v>
      </c>
      <c r="I24" s="5">
        <v>18066.240000000002</v>
      </c>
      <c r="J24" s="3" t="s">
        <v>26</v>
      </c>
      <c r="K24" s="3" t="s">
        <v>27</v>
      </c>
      <c r="L24" t="str">
        <f>IFERROR(VLOOKUP(D24,Products!$A$2:$F$61,3,FALSE()),"")</f>
        <v>Apparel</v>
      </c>
      <c r="M24" t="str">
        <f>IFERROR(VLOOKUP(E24,Sales_Reps!$A$2:$C$31,3,FALSE()),"")</f>
        <v>West</v>
      </c>
      <c r="N24">
        <f>IFERROR(VLOOKUP(D24,Products!$A$2:$F$61,4,FALSE()),"")</f>
        <v>1962</v>
      </c>
      <c r="O24" t="str">
        <f>IFERROR(VLOOKUP(C24,Customers!$A$2:$F$301,5,FALSE()),"")</f>
        <v>Retail</v>
      </c>
      <c r="P24">
        <f>IFERROR(VLOOKUP(C24,Customers!$A$2:$F$301,3,FALSE()),"")</f>
        <v>50</v>
      </c>
      <c r="Q24">
        <f t="shared" si="0"/>
        <v>0.2786764705882353</v>
      </c>
      <c r="R24">
        <f>IF(AND(COUNTIF($A$2:$A$2047,A24)&gt;1,COUNTIF($A$2:A24,A24)=1),1,0)</f>
        <v>0</v>
      </c>
      <c r="S24" t="b">
        <f>IFERROR(VLOOKUP(D24,Products!$A$2:$F$61,6,FALSE()),"")</f>
        <v>1</v>
      </c>
      <c r="T24" t="str">
        <f>IF(COUNTIF(Customers!$A$2:$A$301,C24)=0,"Missing","OK")</f>
        <v>OK</v>
      </c>
      <c r="U24" t="str">
        <f t="shared" si="1"/>
        <v>Pune</v>
      </c>
      <c r="V24">
        <f t="shared" si="2"/>
        <v>0</v>
      </c>
    </row>
    <row r="25" spans="1:22" ht="15" customHeight="1" x14ac:dyDescent="0.35">
      <c r="A25" s="3" t="s">
        <v>113</v>
      </c>
      <c r="B25" s="4">
        <v>45472</v>
      </c>
      <c r="C25" s="3" t="s">
        <v>114</v>
      </c>
      <c r="D25" s="3" t="s">
        <v>115</v>
      </c>
      <c r="E25" s="3" t="s">
        <v>87</v>
      </c>
      <c r="F25" s="5">
        <v>2</v>
      </c>
      <c r="G25" s="5">
        <v>1650</v>
      </c>
      <c r="H25" s="5">
        <v>9.4</v>
      </c>
      <c r="I25" s="5">
        <v>2989.8</v>
      </c>
      <c r="J25" s="3" t="s">
        <v>26</v>
      </c>
      <c r="K25" s="3" t="s">
        <v>72</v>
      </c>
      <c r="L25" t="str">
        <f>IFERROR(VLOOKUP(D25,Products!$A$2:$F$61,3,FALSE()),"")</f>
        <v>Beauty</v>
      </c>
      <c r="M25" t="str">
        <f>IFERROR(VLOOKUP(E25,Sales_Reps!$A$2:$C$31,3,FALSE()),"")</f>
        <v>North</v>
      </c>
      <c r="N25">
        <f>IFERROR(VLOOKUP(D25,Products!$A$2:$F$61,4,FALSE()),"")</f>
        <v>1222</v>
      </c>
      <c r="O25" t="str">
        <f>IFERROR(VLOOKUP(C25,Customers!$A$2:$F$301,5,FALSE()),"")</f>
        <v>SMB</v>
      </c>
      <c r="P25">
        <f>IFERROR(VLOOKUP(C25,Customers!$A$2:$F$301,3,FALSE()),"")</f>
        <v>40</v>
      </c>
      <c r="Q25">
        <f t="shared" si="0"/>
        <v>0.2593939393939394</v>
      </c>
      <c r="R25">
        <f>IF(AND(COUNTIF($A$2:$A$2047,A25)&gt;1,COUNTIF($A$2:A25,A25)=1),1,0)</f>
        <v>0</v>
      </c>
      <c r="S25" t="b">
        <f>IFERROR(VLOOKUP(D25,Products!$A$2:$F$61,6,FALSE()),"")</f>
        <v>1</v>
      </c>
      <c r="T25" t="str">
        <f>IF(COUNTIF(Customers!$A$2:$A$301,C25)=0,"Missing","OK")</f>
        <v>OK</v>
      </c>
      <c r="U25" t="str">
        <f t="shared" si="1"/>
        <v>Hyderabad</v>
      </c>
      <c r="V25">
        <f t="shared" si="2"/>
        <v>0</v>
      </c>
    </row>
    <row r="26" spans="1:22" ht="15" customHeight="1" x14ac:dyDescent="0.35">
      <c r="A26" s="3" t="s">
        <v>116</v>
      </c>
      <c r="B26" s="4">
        <v>45394</v>
      </c>
      <c r="C26" s="3" t="s">
        <v>117</v>
      </c>
      <c r="D26" s="3" t="s">
        <v>118</v>
      </c>
      <c r="E26" s="3" t="s">
        <v>93</v>
      </c>
      <c r="F26" s="5">
        <v>6</v>
      </c>
      <c r="G26" s="5">
        <v>3350</v>
      </c>
      <c r="H26" s="5">
        <v>6.1</v>
      </c>
      <c r="I26" s="5">
        <v>18873.900000000001</v>
      </c>
      <c r="J26" s="3" t="s">
        <v>32</v>
      </c>
      <c r="K26" s="3" t="s">
        <v>33</v>
      </c>
      <c r="L26" t="str">
        <f>IFERROR(VLOOKUP(D26,Products!$A$2:$F$61,3,FALSE()),"")</f>
        <v>Beauty</v>
      </c>
      <c r="M26" t="str">
        <f>IFERROR(VLOOKUP(E26,Sales_Reps!$A$2:$C$31,3,FALSE()),"")</f>
        <v>East</v>
      </c>
      <c r="N26">
        <f>IFERROR(VLOOKUP(D26,Products!$A$2:$F$61,4,FALSE()),"")</f>
        <v>1728</v>
      </c>
      <c r="O26" t="str">
        <f>IFERROR(VLOOKUP(C26,Customers!$A$2:$F$301,5,FALSE()),"")</f>
        <v>Corporate</v>
      </c>
      <c r="P26">
        <f>IFERROR(VLOOKUP(C26,Customers!$A$2:$F$301,3,FALSE()),"")</f>
        <v>55</v>
      </c>
      <c r="Q26">
        <f t="shared" si="0"/>
        <v>0.48417910447761192</v>
      </c>
      <c r="R26">
        <f>IF(AND(COUNTIF($A$2:$A$2047,A26)&gt;1,COUNTIF($A$2:A26,A26)=1),1,0)</f>
        <v>0</v>
      </c>
      <c r="S26" t="b">
        <f>IFERROR(VLOOKUP(D26,Products!$A$2:$F$61,6,FALSE()),"")</f>
        <v>1</v>
      </c>
      <c r="T26" t="str">
        <f>IF(COUNTIF(Customers!$A$2:$A$301,C26)=0,"Missing","OK")</f>
        <v>OK</v>
      </c>
      <c r="U26" t="str">
        <f t="shared" si="1"/>
        <v>Chennai</v>
      </c>
      <c r="V26">
        <f t="shared" si="2"/>
        <v>0</v>
      </c>
    </row>
    <row r="27" spans="1:22" ht="15" customHeight="1" x14ac:dyDescent="0.35">
      <c r="A27" s="3" t="s">
        <v>119</v>
      </c>
      <c r="B27" s="4">
        <v>45570</v>
      </c>
      <c r="C27" s="3" t="s">
        <v>120</v>
      </c>
      <c r="D27" s="3" t="s">
        <v>121</v>
      </c>
      <c r="E27" s="3" t="s">
        <v>60</v>
      </c>
      <c r="F27" s="5">
        <v>2</v>
      </c>
      <c r="G27" s="5">
        <v>1010</v>
      </c>
      <c r="H27" s="5">
        <v>16.5</v>
      </c>
      <c r="I27" s="5">
        <v>1686.7</v>
      </c>
      <c r="J27" s="3" t="s">
        <v>79</v>
      </c>
      <c r="K27" s="3" t="s">
        <v>38</v>
      </c>
      <c r="L27" t="str">
        <f>IFERROR(VLOOKUP(D27,Products!$A$2:$F$61,3,FALSE()),"")</f>
        <v>Sports</v>
      </c>
      <c r="M27" t="str">
        <f>IFERROR(VLOOKUP(E27,Sales_Reps!$A$2:$C$31,3,FALSE()),"")</f>
        <v>East</v>
      </c>
      <c r="N27">
        <f>IFERROR(VLOOKUP(D27,Products!$A$2:$F$61,4,FALSE()),"")</f>
        <v>516</v>
      </c>
      <c r="O27" t="str">
        <f>IFERROR(VLOOKUP(C27,Customers!$A$2:$F$301,5,FALSE()),"")</f>
        <v>Retail</v>
      </c>
      <c r="P27">
        <f>IFERROR(VLOOKUP(C27,Customers!$A$2:$F$301,3,FALSE()),"")</f>
        <v>31</v>
      </c>
      <c r="Q27">
        <f t="shared" si="0"/>
        <v>0.4891089108910891</v>
      </c>
      <c r="R27">
        <f>IF(AND(COUNTIF($A$2:$A$2047,A27)&gt;1,COUNTIF($A$2:A27,A27)=1),1,0)</f>
        <v>0</v>
      </c>
      <c r="S27" t="b">
        <f>IFERROR(VLOOKUP(D27,Products!$A$2:$F$61,6,FALSE()),"")</f>
        <v>1</v>
      </c>
      <c r="T27" t="str">
        <f>IF(COUNTIF(Customers!$A$2:$A$301,C27)=0,"Missing","OK")</f>
        <v>OK</v>
      </c>
      <c r="U27" t="str">
        <f t="shared" si="1"/>
        <v>Delhi</v>
      </c>
      <c r="V27">
        <f t="shared" si="2"/>
        <v>0</v>
      </c>
    </row>
    <row r="28" spans="1:22" ht="15" customHeight="1" x14ac:dyDescent="0.35">
      <c r="A28" s="3" t="s">
        <v>122</v>
      </c>
      <c r="B28" s="4">
        <v>45401</v>
      </c>
      <c r="C28" s="3" t="s">
        <v>35</v>
      </c>
      <c r="D28" s="3" t="s">
        <v>123</v>
      </c>
      <c r="E28" s="3" t="s">
        <v>42</v>
      </c>
      <c r="F28" s="5">
        <v>5</v>
      </c>
      <c r="G28" s="5">
        <v>4880</v>
      </c>
      <c r="H28" s="5">
        <v>23.6</v>
      </c>
      <c r="I28" s="5">
        <v>18641.599999999999</v>
      </c>
      <c r="J28" s="3" t="s">
        <v>26</v>
      </c>
      <c r="K28" s="3" t="s">
        <v>38</v>
      </c>
      <c r="L28" t="str">
        <f>IFERROR(VLOOKUP(D28,Products!$A$2:$F$61,3,FALSE()),"")</f>
        <v>Beauty</v>
      </c>
      <c r="M28" t="str">
        <f>IFERROR(VLOOKUP(E28,Sales_Reps!$A$2:$C$31,3,FALSE()),"")</f>
        <v>North</v>
      </c>
      <c r="N28">
        <f>IFERROR(VLOOKUP(D28,Products!$A$2:$F$61,4,FALSE()),"")</f>
        <v>2768</v>
      </c>
      <c r="O28" t="str">
        <f>IFERROR(VLOOKUP(C28,Customers!$A$2:$F$301,5,FALSE()),"")</f>
        <v>Retail</v>
      </c>
      <c r="P28">
        <f>IFERROR(VLOOKUP(C28,Customers!$A$2:$F$301,3,FALSE()),"")</f>
        <v>52</v>
      </c>
      <c r="Q28">
        <f t="shared" si="0"/>
        <v>0.43278688524590164</v>
      </c>
      <c r="R28">
        <f>IF(AND(COUNTIF($A$2:$A$2047,A28)&gt;1,COUNTIF($A$2:A28,A28)=1),1,0)</f>
        <v>0</v>
      </c>
      <c r="S28" t="b">
        <f>IFERROR(VLOOKUP(D28,Products!$A$2:$F$61,6,FALSE()),"")</f>
        <v>1</v>
      </c>
      <c r="T28" t="str">
        <f>IF(COUNTIF(Customers!$A$2:$A$301,C28)=0,"Missing","OK")</f>
        <v>OK</v>
      </c>
      <c r="U28" t="str">
        <f t="shared" si="1"/>
        <v>Delhi</v>
      </c>
      <c r="V28">
        <f t="shared" si="2"/>
        <v>0</v>
      </c>
    </row>
    <row r="29" spans="1:22" ht="15" customHeight="1" x14ac:dyDescent="0.35">
      <c r="A29" s="3" t="s">
        <v>124</v>
      </c>
      <c r="B29" s="4">
        <v>45517</v>
      </c>
      <c r="C29" s="3" t="s">
        <v>125</v>
      </c>
      <c r="D29" s="3" t="s">
        <v>126</v>
      </c>
      <c r="E29" s="3" t="s">
        <v>127</v>
      </c>
      <c r="F29" s="5">
        <v>7</v>
      </c>
      <c r="G29" s="5">
        <v>3570</v>
      </c>
      <c r="H29" s="5">
        <v>5.8</v>
      </c>
      <c r="I29" s="5">
        <v>23540.58</v>
      </c>
      <c r="J29" s="3" t="s">
        <v>79</v>
      </c>
      <c r="K29" s="3" t="s">
        <v>33</v>
      </c>
      <c r="L29" t="str">
        <f>IFERROR(VLOOKUP(D29,Products!$A$2:$F$61,3,FALSE()),"")</f>
        <v>Electronics</v>
      </c>
      <c r="M29" t="str">
        <f>IFERROR(VLOOKUP(E29,Sales_Reps!$A$2:$C$31,3,FALSE()),"")</f>
        <v>South</v>
      </c>
      <c r="N29">
        <f>IFERROR(VLOOKUP(D29,Products!$A$2:$F$61,4,FALSE()),"")</f>
        <v>1665</v>
      </c>
      <c r="O29" t="str">
        <f>IFERROR(VLOOKUP(C29,Customers!$A$2:$F$301,5,FALSE()),"")</f>
        <v>SMB</v>
      </c>
      <c r="P29">
        <f>IFERROR(VLOOKUP(C29,Customers!$A$2:$F$301,3,FALSE()),"")</f>
        <v>52</v>
      </c>
      <c r="Q29">
        <f t="shared" si="0"/>
        <v>0.53361344537815125</v>
      </c>
      <c r="R29">
        <f>IF(AND(COUNTIF($A$2:$A$2047,A29)&gt;1,COUNTIF($A$2:A29,A29)=1),1,0)</f>
        <v>0</v>
      </c>
      <c r="S29" t="b">
        <f>IFERROR(VLOOKUP(D29,Products!$A$2:$F$61,6,FALSE()),"")</f>
        <v>1</v>
      </c>
      <c r="T29" t="str">
        <f>IF(COUNTIF(Customers!$A$2:$A$301,C29)=0,"Missing","OK")</f>
        <v>OK</v>
      </c>
      <c r="U29" t="str">
        <f t="shared" si="1"/>
        <v>Chennai</v>
      </c>
      <c r="V29">
        <f t="shared" si="2"/>
        <v>0</v>
      </c>
    </row>
    <row r="30" spans="1:22" ht="15" customHeight="1" x14ac:dyDescent="0.35">
      <c r="A30" s="3" t="s">
        <v>128</v>
      </c>
      <c r="B30" s="4">
        <v>45363</v>
      </c>
      <c r="C30" s="3" t="s">
        <v>129</v>
      </c>
      <c r="D30" s="3" t="s">
        <v>130</v>
      </c>
      <c r="E30" s="3" t="s">
        <v>131</v>
      </c>
      <c r="F30" s="5">
        <v>9</v>
      </c>
      <c r="G30" s="5">
        <v>5100</v>
      </c>
      <c r="H30" s="5">
        <v>16.7</v>
      </c>
      <c r="I30" s="5">
        <v>38234.699999999997</v>
      </c>
      <c r="J30" s="3" t="s">
        <v>26</v>
      </c>
      <c r="K30" s="3" t="s">
        <v>72</v>
      </c>
      <c r="L30" t="str">
        <f>IFERROR(VLOOKUP(D30,Products!$A$2:$F$61,3,FALSE()),"")</f>
        <v>Beauty</v>
      </c>
      <c r="M30" t="str">
        <f>IFERROR(VLOOKUP(E30,Sales_Reps!$A$2:$C$31,3,FALSE()),"")</f>
        <v>East</v>
      </c>
      <c r="N30">
        <f>IFERROR(VLOOKUP(D30,Products!$A$2:$F$61,4,FALSE()),"")</f>
        <v>2237</v>
      </c>
      <c r="O30" t="str">
        <f>IFERROR(VLOOKUP(C30,Customers!$A$2:$F$301,5,FALSE()),"")</f>
        <v>Corporate</v>
      </c>
      <c r="P30">
        <f>IFERROR(VLOOKUP(C30,Customers!$A$2:$F$301,3,FALSE()),"")</f>
        <v>56</v>
      </c>
      <c r="Q30">
        <f t="shared" si="0"/>
        <v>0.56137254901960787</v>
      </c>
      <c r="R30">
        <f>IF(AND(COUNTIF($A$2:$A$2047,A30)&gt;1,COUNTIF($A$2:A30,A30)=1),1,0)</f>
        <v>0</v>
      </c>
      <c r="S30" t="b">
        <f>IFERROR(VLOOKUP(D30,Products!$A$2:$F$61,6,FALSE()),"")</f>
        <v>1</v>
      </c>
      <c r="T30" t="str">
        <f>IF(COUNTIF(Customers!$A$2:$A$301,C30)=0,"Missing","OK")</f>
        <v>OK</v>
      </c>
      <c r="U30" t="str">
        <f t="shared" si="1"/>
        <v>Hyderabad</v>
      </c>
      <c r="V30">
        <f t="shared" si="2"/>
        <v>0</v>
      </c>
    </row>
    <row r="31" spans="1:22" ht="15" customHeight="1" x14ac:dyDescent="0.35">
      <c r="A31" s="3" t="s">
        <v>132</v>
      </c>
      <c r="B31" s="4">
        <v>45367</v>
      </c>
      <c r="C31" s="3" t="s">
        <v>133</v>
      </c>
      <c r="D31" s="3" t="s">
        <v>134</v>
      </c>
      <c r="E31" s="3" t="s">
        <v>31</v>
      </c>
      <c r="F31" s="5">
        <v>3</v>
      </c>
      <c r="G31" s="5">
        <v>2860</v>
      </c>
      <c r="H31" s="5">
        <v>25.8</v>
      </c>
      <c r="I31" s="5">
        <v>6366.36</v>
      </c>
      <c r="J31" s="3" t="s">
        <v>26</v>
      </c>
      <c r="K31" s="3" t="s">
        <v>27</v>
      </c>
      <c r="L31" t="str">
        <f>IFERROR(VLOOKUP(D31,Products!$A$2:$F$61,3,FALSE()),"")</f>
        <v>Sports</v>
      </c>
      <c r="M31" t="str">
        <f>IFERROR(VLOOKUP(E31,Sales_Reps!$A$2:$C$31,3,FALSE()),"")</f>
        <v>North</v>
      </c>
      <c r="N31">
        <f>IFERROR(VLOOKUP(D31,Products!$A$2:$F$61,4,FALSE()),"")</f>
        <v>2028</v>
      </c>
      <c r="O31" t="str">
        <f>IFERROR(VLOOKUP(C31,Customers!$A$2:$F$301,5,FALSE()),"")</f>
        <v>SMB</v>
      </c>
      <c r="P31">
        <f>IFERROR(VLOOKUP(C31,Customers!$A$2:$F$301,3,FALSE()),"")</f>
        <v>44</v>
      </c>
      <c r="Q31">
        <f t="shared" si="0"/>
        <v>0.29090909090909089</v>
      </c>
      <c r="R31">
        <f>IF(AND(COUNTIF($A$2:$A$2047,A31)&gt;1,COUNTIF($A$2:A31,A31)=1),1,0)</f>
        <v>0</v>
      </c>
      <c r="S31" t="b">
        <f>IFERROR(VLOOKUP(D31,Products!$A$2:$F$61,6,FALSE()),"")</f>
        <v>1</v>
      </c>
      <c r="T31" t="str">
        <f>IF(COUNTIF(Customers!$A$2:$A$301,C31)=0,"Missing","OK")</f>
        <v>OK</v>
      </c>
      <c r="U31" t="str">
        <f t="shared" si="1"/>
        <v>Pune</v>
      </c>
      <c r="V31">
        <f t="shared" si="2"/>
        <v>0</v>
      </c>
    </row>
    <row r="32" spans="1:22" ht="15" customHeight="1" x14ac:dyDescent="0.35">
      <c r="A32" s="3" t="s">
        <v>135</v>
      </c>
      <c r="B32" s="4">
        <v>45569</v>
      </c>
      <c r="C32" s="3" t="s">
        <v>136</v>
      </c>
      <c r="D32" s="3" t="s">
        <v>66</v>
      </c>
      <c r="E32" s="3" t="s">
        <v>42</v>
      </c>
      <c r="F32" s="5">
        <v>7</v>
      </c>
      <c r="G32" s="5">
        <v>970</v>
      </c>
      <c r="H32" s="5">
        <v>29.8</v>
      </c>
      <c r="I32" s="5">
        <v>4766.58</v>
      </c>
      <c r="J32" s="3" t="s">
        <v>26</v>
      </c>
      <c r="K32" s="3" t="s">
        <v>27</v>
      </c>
      <c r="L32" t="str">
        <f>IFERROR(VLOOKUP(D32,Products!$A$2:$F$61,3,FALSE()),"")</f>
        <v>Grocery</v>
      </c>
      <c r="M32" t="str">
        <f>IFERROR(VLOOKUP(E32,Sales_Reps!$A$2:$C$31,3,FALSE()),"")</f>
        <v>North</v>
      </c>
      <c r="N32">
        <f>IFERROR(VLOOKUP(D32,Products!$A$2:$F$61,4,FALSE()),"")</f>
        <v>434</v>
      </c>
      <c r="O32" t="str">
        <f>IFERROR(VLOOKUP(C32,Customers!$A$2:$F$301,5,FALSE()),"")</f>
        <v>Corporate</v>
      </c>
      <c r="P32">
        <f>IFERROR(VLOOKUP(C32,Customers!$A$2:$F$301,3,FALSE()),"")</f>
        <v>47</v>
      </c>
      <c r="Q32">
        <f t="shared" si="0"/>
        <v>0.5525773195876289</v>
      </c>
      <c r="R32">
        <f>IF(AND(COUNTIF($A$2:$A$2047,A32)&gt;1,COUNTIF($A$2:A32,A32)=1),1,0)</f>
        <v>0</v>
      </c>
      <c r="S32" t="b">
        <f>IFERROR(VLOOKUP(D32,Products!$A$2:$F$61,6,FALSE()),"")</f>
        <v>1</v>
      </c>
      <c r="T32" t="str">
        <f>IF(COUNTIF(Customers!$A$2:$A$301,C32)=0,"Missing","OK")</f>
        <v>OK</v>
      </c>
      <c r="U32" t="str">
        <f t="shared" si="1"/>
        <v>Pune</v>
      </c>
      <c r="V32">
        <f t="shared" si="2"/>
        <v>0</v>
      </c>
    </row>
    <row r="33" spans="1:22" ht="15" customHeight="1" x14ac:dyDescent="0.35">
      <c r="A33" s="3" t="s">
        <v>137</v>
      </c>
      <c r="B33" s="4">
        <v>45641</v>
      </c>
      <c r="C33" s="3" t="s">
        <v>138</v>
      </c>
      <c r="D33" s="3" t="s">
        <v>139</v>
      </c>
      <c r="E33" s="3" t="s">
        <v>140</v>
      </c>
      <c r="F33" s="5">
        <v>4</v>
      </c>
      <c r="G33" s="5">
        <v>2760</v>
      </c>
      <c r="H33" s="5">
        <v>5.9</v>
      </c>
      <c r="I33" s="5">
        <v>10388.64</v>
      </c>
      <c r="J33" s="3" t="s">
        <v>26</v>
      </c>
      <c r="K33" s="3" t="s">
        <v>72</v>
      </c>
      <c r="L33" t="str">
        <f>IFERROR(VLOOKUP(D33,Products!$A$2:$F$61,3,FALSE()),"")</f>
        <v>Grocery</v>
      </c>
      <c r="M33" t="str">
        <f>IFERROR(VLOOKUP(E33,Sales_Reps!$A$2:$C$31,3,FALSE()),"")</f>
        <v>West</v>
      </c>
      <c r="N33">
        <f>IFERROR(VLOOKUP(D33,Products!$A$2:$F$61,4,FALSE()),"")</f>
        <v>1435</v>
      </c>
      <c r="O33" t="str">
        <f>IFERROR(VLOOKUP(C33,Customers!$A$2:$F$301,5,FALSE()),"")</f>
        <v>Retail</v>
      </c>
      <c r="P33">
        <f>IFERROR(VLOOKUP(C33,Customers!$A$2:$F$301,3,FALSE()),"")</f>
        <v>53</v>
      </c>
      <c r="Q33">
        <f t="shared" si="0"/>
        <v>0.48007246376811596</v>
      </c>
      <c r="R33">
        <f>IF(AND(COUNTIF($A$2:$A$2047,A33)&gt;1,COUNTIF($A$2:A33,A33)=1),1,0)</f>
        <v>0</v>
      </c>
      <c r="S33" t="b">
        <f>IFERROR(VLOOKUP(D33,Products!$A$2:$F$61,6,FALSE()),"")</f>
        <v>1</v>
      </c>
      <c r="T33" t="str">
        <f>IF(COUNTIF(Customers!$A$2:$A$301,C33)=0,"Missing","OK")</f>
        <v>OK</v>
      </c>
      <c r="U33" t="str">
        <f t="shared" si="1"/>
        <v>Hyderabad</v>
      </c>
      <c r="V33">
        <f t="shared" si="2"/>
        <v>0</v>
      </c>
    </row>
    <row r="34" spans="1:22" ht="15" customHeight="1" x14ac:dyDescent="0.35">
      <c r="A34" s="3" t="s">
        <v>141</v>
      </c>
      <c r="B34" s="4">
        <v>45343</v>
      </c>
      <c r="C34" s="3" t="s">
        <v>95</v>
      </c>
      <c r="D34" s="3" t="s">
        <v>142</v>
      </c>
      <c r="E34" s="3" t="s">
        <v>143</v>
      </c>
      <c r="F34" s="5">
        <v>10</v>
      </c>
      <c r="G34" s="5">
        <v>660</v>
      </c>
      <c r="H34" s="5">
        <v>18.3</v>
      </c>
      <c r="I34" s="5">
        <v>5392.2</v>
      </c>
      <c r="J34" s="3" t="s">
        <v>32</v>
      </c>
      <c r="K34" s="3" t="s">
        <v>72</v>
      </c>
      <c r="L34" t="str">
        <f>IFERROR(VLOOKUP(D34,Products!$A$2:$F$61,3,FALSE()),"")</f>
        <v>Home</v>
      </c>
      <c r="M34" t="str">
        <f>IFERROR(VLOOKUP(E34,Sales_Reps!$A$2:$C$31,3,FALSE()),"")</f>
        <v>South</v>
      </c>
      <c r="N34">
        <f>IFERROR(VLOOKUP(D34,Products!$A$2:$F$61,4,FALSE()),"")</f>
        <v>329</v>
      </c>
      <c r="O34" t="str">
        <f>IFERROR(VLOOKUP(C34,Customers!$A$2:$F$301,5,FALSE()),"")</f>
        <v>Corporate</v>
      </c>
      <c r="P34">
        <f>IFERROR(VLOOKUP(C34,Customers!$A$2:$F$301,3,FALSE()),"")</f>
        <v>32</v>
      </c>
      <c r="Q34">
        <f t="shared" si="0"/>
        <v>0.50151515151515147</v>
      </c>
      <c r="R34">
        <f>IF(AND(COUNTIF($A$2:$A$2047,A34)&gt;1,COUNTIF($A$2:A34,A34)=1),1,0)</f>
        <v>0</v>
      </c>
      <c r="S34" t="b">
        <f>IFERROR(VLOOKUP(D34,Products!$A$2:$F$61,6,FALSE()),"")</f>
        <v>1</v>
      </c>
      <c r="T34" t="str">
        <f>IF(COUNTIF(Customers!$A$2:$A$301,C34)=0,"Missing","OK")</f>
        <v>OK</v>
      </c>
      <c r="U34" t="str">
        <f t="shared" si="1"/>
        <v>Hyderabad</v>
      </c>
      <c r="V34">
        <f t="shared" si="2"/>
        <v>0</v>
      </c>
    </row>
    <row r="35" spans="1:22" ht="15" customHeight="1" x14ac:dyDescent="0.35">
      <c r="A35" s="3" t="s">
        <v>144</v>
      </c>
      <c r="B35" s="4">
        <v>45576</v>
      </c>
      <c r="C35" s="3" t="s">
        <v>145</v>
      </c>
      <c r="D35" s="3" t="s">
        <v>82</v>
      </c>
      <c r="E35" s="3" t="s">
        <v>60</v>
      </c>
      <c r="F35" s="5">
        <v>1</v>
      </c>
      <c r="G35" s="5">
        <v>3250</v>
      </c>
      <c r="H35" s="5">
        <v>10.7</v>
      </c>
      <c r="I35" s="5">
        <v>2902.25</v>
      </c>
      <c r="J35" s="3" t="s">
        <v>26</v>
      </c>
      <c r="K35" s="3" t="s">
        <v>72</v>
      </c>
      <c r="L35" t="str">
        <f>IFERROR(VLOOKUP(D35,Products!$A$2:$F$61,3,FALSE()),"")</f>
        <v>Home</v>
      </c>
      <c r="M35" t="str">
        <f>IFERROR(VLOOKUP(E35,Sales_Reps!$A$2:$C$31,3,FALSE()),"")</f>
        <v>East</v>
      </c>
      <c r="N35">
        <f>IFERROR(VLOOKUP(D35,Products!$A$2:$F$61,4,FALSE()),"")</f>
        <v>1556</v>
      </c>
      <c r="O35" t="str">
        <f>IFERROR(VLOOKUP(C35,Customers!$A$2:$F$301,5,FALSE()),"")</f>
        <v>SMB</v>
      </c>
      <c r="P35">
        <f>IFERROR(VLOOKUP(C35,Customers!$A$2:$F$301,3,FALSE()),"")</f>
        <v>40</v>
      </c>
      <c r="Q35">
        <f t="shared" si="0"/>
        <v>0.52123076923076928</v>
      </c>
      <c r="R35">
        <f>IF(AND(COUNTIF($A$2:$A$2047,A35)&gt;1,COUNTIF($A$2:A35,A35)=1),1,0)</f>
        <v>0</v>
      </c>
      <c r="S35" t="b">
        <f>IFERROR(VLOOKUP(D35,Products!$A$2:$F$61,6,FALSE()),"")</f>
        <v>1</v>
      </c>
      <c r="T35" t="str">
        <f>IF(COUNTIF(Customers!$A$2:$A$301,C35)=0,"Missing","OK")</f>
        <v>OK</v>
      </c>
      <c r="U35" t="str">
        <f t="shared" si="1"/>
        <v>Hyderabad</v>
      </c>
      <c r="V35">
        <f t="shared" si="2"/>
        <v>0</v>
      </c>
    </row>
    <row r="36" spans="1:22" ht="15" customHeight="1" x14ac:dyDescent="0.35">
      <c r="A36" s="3" t="s">
        <v>146</v>
      </c>
      <c r="B36" s="4">
        <v>45462</v>
      </c>
      <c r="C36" s="3" t="s">
        <v>147</v>
      </c>
      <c r="D36" s="3" t="s">
        <v>130</v>
      </c>
      <c r="E36" s="3" t="s">
        <v>60</v>
      </c>
      <c r="F36" s="5">
        <v>8</v>
      </c>
      <c r="G36" s="5">
        <v>5100</v>
      </c>
      <c r="H36" s="5">
        <v>26.4</v>
      </c>
      <c r="I36" s="5">
        <v>30028.799999999999</v>
      </c>
      <c r="J36" s="3" t="s">
        <v>79</v>
      </c>
      <c r="K36" s="3" t="s">
        <v>72</v>
      </c>
      <c r="L36" t="str">
        <f>IFERROR(VLOOKUP(D36,Products!$A$2:$F$61,3,FALSE()),"")</f>
        <v>Beauty</v>
      </c>
      <c r="M36" t="str">
        <f>IFERROR(VLOOKUP(E36,Sales_Reps!$A$2:$C$31,3,FALSE()),"")</f>
        <v>East</v>
      </c>
      <c r="N36">
        <f>IFERROR(VLOOKUP(D36,Products!$A$2:$F$61,4,FALSE()),"")</f>
        <v>2237</v>
      </c>
      <c r="O36" t="str">
        <f>IFERROR(VLOOKUP(C36,Customers!$A$2:$F$301,5,FALSE()),"")</f>
        <v>Retail</v>
      </c>
      <c r="P36">
        <f>IFERROR(VLOOKUP(C36,Customers!$A$2:$F$301,3,FALSE()),"")</f>
        <v>26</v>
      </c>
      <c r="Q36">
        <f t="shared" si="0"/>
        <v>0.56137254901960787</v>
      </c>
      <c r="R36">
        <f>IF(AND(COUNTIF($A$2:$A$2047,A36)&gt;1,COUNTIF($A$2:A36,A36)=1),1,0)</f>
        <v>0</v>
      </c>
      <c r="S36" t="b">
        <f>IFERROR(VLOOKUP(D36,Products!$A$2:$F$61,6,FALSE()),"")</f>
        <v>1</v>
      </c>
      <c r="T36" t="str">
        <f>IF(COUNTIF(Customers!$A$2:$A$301,C36)=0,"Missing","OK")</f>
        <v>OK</v>
      </c>
      <c r="U36" t="str">
        <f t="shared" si="1"/>
        <v>Hyderabad</v>
      </c>
      <c r="V36">
        <f t="shared" si="2"/>
        <v>0</v>
      </c>
    </row>
    <row r="37" spans="1:22" ht="15" customHeight="1" x14ac:dyDescent="0.35">
      <c r="A37" s="3" t="s">
        <v>148</v>
      </c>
      <c r="B37" s="4">
        <v>45442</v>
      </c>
      <c r="C37" s="3" t="s">
        <v>149</v>
      </c>
      <c r="D37" s="3" t="s">
        <v>103</v>
      </c>
      <c r="E37" s="3" t="s">
        <v>97</v>
      </c>
      <c r="F37" s="5">
        <v>1</v>
      </c>
      <c r="G37" s="5">
        <v>1080</v>
      </c>
      <c r="H37" s="5">
        <v>5.0999999999999996</v>
      </c>
      <c r="I37" s="5">
        <v>1024.92</v>
      </c>
      <c r="J37" s="3" t="s">
        <v>26</v>
      </c>
      <c r="K37" s="3" t="s">
        <v>38</v>
      </c>
      <c r="L37" t="str">
        <f>IFERROR(VLOOKUP(D37,Products!$A$2:$F$61,3,FALSE()),"")</f>
        <v>Home</v>
      </c>
      <c r="M37" t="str">
        <f>IFERROR(VLOOKUP(E37,Sales_Reps!$A$2:$C$31,3,FALSE()),"")</f>
        <v>East</v>
      </c>
      <c r="N37">
        <f>IFERROR(VLOOKUP(D37,Products!$A$2:$F$61,4,FALSE()),"")</f>
        <v>519</v>
      </c>
      <c r="O37" t="str">
        <f>IFERROR(VLOOKUP(C37,Customers!$A$2:$F$301,5,FALSE()),"")</f>
        <v>Retail</v>
      </c>
      <c r="P37">
        <f>IFERROR(VLOOKUP(C37,Customers!$A$2:$F$301,3,FALSE()),"")</f>
        <v>41</v>
      </c>
      <c r="Q37">
        <f t="shared" si="0"/>
        <v>0.51944444444444449</v>
      </c>
      <c r="R37">
        <f>IF(AND(COUNTIF($A$2:$A$2047,A37)&gt;1,COUNTIF($A$2:A37,A37)=1),1,0)</f>
        <v>0</v>
      </c>
      <c r="S37" t="b">
        <f>IFERROR(VLOOKUP(D37,Products!$A$2:$F$61,6,FALSE()),"")</f>
        <v>1</v>
      </c>
      <c r="T37" t="str">
        <f>IF(COUNTIF(Customers!$A$2:$A$301,C37)=0,"Missing","OK")</f>
        <v>OK</v>
      </c>
      <c r="U37" t="str">
        <f t="shared" si="1"/>
        <v>Delhi</v>
      </c>
      <c r="V37">
        <f t="shared" si="2"/>
        <v>0</v>
      </c>
    </row>
    <row r="38" spans="1:22" ht="15" customHeight="1" x14ac:dyDescent="0.35">
      <c r="A38" s="3" t="s">
        <v>150</v>
      </c>
      <c r="B38" s="4">
        <v>45646</v>
      </c>
      <c r="C38" s="3" t="s">
        <v>151</v>
      </c>
      <c r="D38" s="3" t="s">
        <v>63</v>
      </c>
      <c r="E38" s="3" t="s">
        <v>143</v>
      </c>
      <c r="F38" s="5">
        <v>2</v>
      </c>
      <c r="G38" s="5">
        <v>5490</v>
      </c>
      <c r="H38" s="5">
        <v>21.1</v>
      </c>
      <c r="I38" s="5">
        <v>8663.2199999999993</v>
      </c>
      <c r="J38" s="3" t="s">
        <v>79</v>
      </c>
      <c r="K38" s="3" t="s">
        <v>51</v>
      </c>
      <c r="L38" t="str">
        <f>IFERROR(VLOOKUP(D38,Products!$A$2:$F$61,3,FALSE()),"")</f>
        <v>Home</v>
      </c>
      <c r="M38" t="str">
        <f>IFERROR(VLOOKUP(E38,Sales_Reps!$A$2:$C$31,3,FALSE()),"")</f>
        <v>South</v>
      </c>
      <c r="N38">
        <f>IFERROR(VLOOKUP(D38,Products!$A$2:$F$61,4,FALSE()),"")</f>
        <v>2549</v>
      </c>
      <c r="O38" t="str">
        <f>IFERROR(VLOOKUP(C38,Customers!$A$2:$F$301,5,FALSE()),"")</f>
        <v>SMB</v>
      </c>
      <c r="P38">
        <f>IFERROR(VLOOKUP(C38,Customers!$A$2:$F$301,3,FALSE()),"")</f>
        <v>36</v>
      </c>
      <c r="Q38">
        <f t="shared" si="0"/>
        <v>0.53570127504553733</v>
      </c>
      <c r="R38">
        <f>IF(AND(COUNTIF($A$2:$A$2047,A38)&gt;1,COUNTIF($A$2:A38,A38)=1),1,0)</f>
        <v>0</v>
      </c>
      <c r="S38" t="b">
        <f>IFERROR(VLOOKUP(D38,Products!$A$2:$F$61,6,FALSE()),"")</f>
        <v>1</v>
      </c>
      <c r="T38" t="str">
        <f>IF(COUNTIF(Customers!$A$2:$A$301,C38)=0,"Missing","OK")</f>
        <v>OK</v>
      </c>
      <c r="U38" t="str">
        <f t="shared" si="1"/>
        <v>Mumbai</v>
      </c>
      <c r="V38">
        <f t="shared" si="2"/>
        <v>0</v>
      </c>
    </row>
    <row r="39" spans="1:22" ht="15" customHeight="1" x14ac:dyDescent="0.35">
      <c r="A39" s="3" t="s">
        <v>152</v>
      </c>
      <c r="B39" s="4">
        <v>45478</v>
      </c>
      <c r="C39" s="3" t="s">
        <v>153</v>
      </c>
      <c r="D39" s="3" t="s">
        <v>86</v>
      </c>
      <c r="E39" s="3" t="s">
        <v>154</v>
      </c>
      <c r="F39" s="5">
        <v>7</v>
      </c>
      <c r="G39" s="5">
        <v>190</v>
      </c>
      <c r="H39" s="5">
        <v>28.7</v>
      </c>
      <c r="I39" s="5">
        <v>948.29</v>
      </c>
      <c r="J39" s="3" t="s">
        <v>26</v>
      </c>
      <c r="K39" s="3" t="s">
        <v>56</v>
      </c>
      <c r="L39" t="str">
        <f>IFERROR(VLOOKUP(D39,Products!$A$2:$F$61,3,FALSE()),"")</f>
        <v>Sports</v>
      </c>
      <c r="M39" t="str">
        <f>IFERROR(VLOOKUP(E39,Sales_Reps!$A$2:$C$31,3,FALSE()),"")</f>
        <v>North</v>
      </c>
      <c r="N39">
        <f>IFERROR(VLOOKUP(D39,Products!$A$2:$F$61,4,FALSE()),"")</f>
        <v>147</v>
      </c>
      <c r="O39" t="str">
        <f>IFERROR(VLOOKUP(C39,Customers!$A$2:$F$301,5,FALSE()),"")</f>
        <v>Retail</v>
      </c>
      <c r="P39">
        <f>IFERROR(VLOOKUP(C39,Customers!$A$2:$F$301,3,FALSE()),"")</f>
        <v>42</v>
      </c>
      <c r="Q39">
        <f t="shared" si="0"/>
        <v>0.22631578947368422</v>
      </c>
      <c r="R39">
        <f>IF(AND(COUNTIF($A$2:$A$2047,A39)&gt;1,COUNTIF($A$2:A39,A39)=1),1,0)</f>
        <v>0</v>
      </c>
      <c r="S39" t="b">
        <f>IFERROR(VLOOKUP(D39,Products!$A$2:$F$61,6,FALSE()),"")</f>
        <v>1</v>
      </c>
      <c r="T39" t="str">
        <f>IF(COUNTIF(Customers!$A$2:$A$301,C39)=0,"Missing","OK")</f>
        <v>OK</v>
      </c>
      <c r="U39" t="str">
        <f t="shared" si="1"/>
        <v>Bengaluru</v>
      </c>
      <c r="V39">
        <f t="shared" si="2"/>
        <v>0</v>
      </c>
    </row>
    <row r="40" spans="1:22" ht="15" customHeight="1" x14ac:dyDescent="0.35">
      <c r="A40" s="3" t="s">
        <v>155</v>
      </c>
      <c r="B40" s="4">
        <v>45355</v>
      </c>
      <c r="C40" s="3" t="s">
        <v>156</v>
      </c>
      <c r="D40" s="3" t="s">
        <v>90</v>
      </c>
      <c r="E40" s="3" t="s">
        <v>127</v>
      </c>
      <c r="F40" s="5">
        <v>6</v>
      </c>
      <c r="G40" s="5">
        <v>2400</v>
      </c>
      <c r="H40" s="5">
        <v>2.7</v>
      </c>
      <c r="I40" s="5">
        <v>14011.2</v>
      </c>
      <c r="J40" s="3" t="s">
        <v>26</v>
      </c>
      <c r="K40" s="3" t="s">
        <v>33</v>
      </c>
      <c r="L40" t="str">
        <f>IFERROR(VLOOKUP(D40,Products!$A$2:$F$61,3,FALSE()),"")</f>
        <v>Sports</v>
      </c>
      <c r="M40" t="str">
        <f>IFERROR(VLOOKUP(E40,Sales_Reps!$A$2:$C$31,3,FALSE()),"")</f>
        <v>South</v>
      </c>
      <c r="N40">
        <f>IFERROR(VLOOKUP(D40,Products!$A$2:$F$61,4,FALSE()),"")</f>
        <v>974</v>
      </c>
      <c r="O40" t="str">
        <f>IFERROR(VLOOKUP(C40,Customers!$A$2:$F$301,5,FALSE()),"")</f>
        <v>Retail</v>
      </c>
      <c r="P40">
        <f>IFERROR(VLOOKUP(C40,Customers!$A$2:$F$301,3,FALSE()),"")</f>
        <v>51</v>
      </c>
      <c r="Q40">
        <f t="shared" si="0"/>
        <v>0.59416666666666662</v>
      </c>
      <c r="R40">
        <f>IF(AND(COUNTIF($A$2:$A$2047,A40)&gt;1,COUNTIF($A$2:A40,A40)=1),1,0)</f>
        <v>0</v>
      </c>
      <c r="S40" t="b">
        <f>IFERROR(VLOOKUP(D40,Products!$A$2:$F$61,6,FALSE()),"")</f>
        <v>1</v>
      </c>
      <c r="T40" t="str">
        <f>IF(COUNTIF(Customers!$A$2:$A$301,C40)=0,"Missing","OK")</f>
        <v>OK</v>
      </c>
      <c r="U40" t="str">
        <f t="shared" si="1"/>
        <v>Chennai</v>
      </c>
      <c r="V40">
        <f t="shared" si="2"/>
        <v>0</v>
      </c>
    </row>
    <row r="41" spans="1:22" ht="15" customHeight="1" x14ac:dyDescent="0.35">
      <c r="A41" s="3" t="s">
        <v>157</v>
      </c>
      <c r="B41" s="4">
        <v>45599</v>
      </c>
      <c r="C41" s="3" t="s">
        <v>158</v>
      </c>
      <c r="D41" s="3" t="s">
        <v>115</v>
      </c>
      <c r="E41" s="3" t="s">
        <v>93</v>
      </c>
      <c r="F41" s="5">
        <v>9</v>
      </c>
      <c r="G41" s="5">
        <v>1650</v>
      </c>
      <c r="H41" s="5">
        <v>11.6</v>
      </c>
      <c r="I41" s="5">
        <v>13127.4</v>
      </c>
      <c r="J41" s="3" t="s">
        <v>26</v>
      </c>
      <c r="K41" s="3" t="s">
        <v>38</v>
      </c>
      <c r="L41" t="str">
        <f>IFERROR(VLOOKUP(D41,Products!$A$2:$F$61,3,FALSE()),"")</f>
        <v>Beauty</v>
      </c>
      <c r="M41" t="str">
        <f>IFERROR(VLOOKUP(E41,Sales_Reps!$A$2:$C$31,3,FALSE()),"")</f>
        <v>East</v>
      </c>
      <c r="N41">
        <f>IFERROR(VLOOKUP(D41,Products!$A$2:$F$61,4,FALSE()),"")</f>
        <v>1222</v>
      </c>
      <c r="O41" t="str">
        <f>IFERROR(VLOOKUP(C41,Customers!$A$2:$F$301,5,FALSE()),"")</f>
        <v>SMB</v>
      </c>
      <c r="P41">
        <f>IFERROR(VLOOKUP(C41,Customers!$A$2:$F$301,3,FALSE()),"")</f>
        <v>50</v>
      </c>
      <c r="Q41">
        <f t="shared" si="0"/>
        <v>0.2593939393939394</v>
      </c>
      <c r="R41">
        <f>IF(AND(COUNTIF($A$2:$A$2047,A41)&gt;1,COUNTIF($A$2:A41,A41)=1),1,0)</f>
        <v>0</v>
      </c>
      <c r="S41" t="b">
        <f>IFERROR(VLOOKUP(D41,Products!$A$2:$F$61,6,FALSE()),"")</f>
        <v>1</v>
      </c>
      <c r="T41" t="str">
        <f>IF(COUNTIF(Customers!$A$2:$A$301,C41)=0,"Missing","OK")</f>
        <v>OK</v>
      </c>
      <c r="U41" t="str">
        <f t="shared" si="1"/>
        <v>Delhi</v>
      </c>
      <c r="V41">
        <f t="shared" si="2"/>
        <v>0</v>
      </c>
    </row>
    <row r="42" spans="1:22" ht="15" customHeight="1" x14ac:dyDescent="0.35">
      <c r="A42" s="3" t="s">
        <v>159</v>
      </c>
      <c r="B42" s="4">
        <v>45606</v>
      </c>
      <c r="C42" s="3" t="s">
        <v>160</v>
      </c>
      <c r="D42" s="3" t="s">
        <v>63</v>
      </c>
      <c r="E42" s="3" t="s">
        <v>42</v>
      </c>
      <c r="F42" s="5">
        <v>4</v>
      </c>
      <c r="G42" s="5">
        <v>5490</v>
      </c>
      <c r="H42" s="5">
        <v>12.8</v>
      </c>
      <c r="I42" s="5">
        <v>19149.12</v>
      </c>
      <c r="J42" s="3" t="s">
        <v>79</v>
      </c>
      <c r="K42" s="3" t="s">
        <v>33</v>
      </c>
      <c r="L42" t="str">
        <f>IFERROR(VLOOKUP(D42,Products!$A$2:$F$61,3,FALSE()),"")</f>
        <v>Home</v>
      </c>
      <c r="M42" t="str">
        <f>IFERROR(VLOOKUP(E42,Sales_Reps!$A$2:$C$31,3,FALSE()),"")</f>
        <v>North</v>
      </c>
      <c r="N42">
        <f>IFERROR(VLOOKUP(D42,Products!$A$2:$F$61,4,FALSE()),"")</f>
        <v>2549</v>
      </c>
      <c r="O42" t="str">
        <f>IFERROR(VLOOKUP(C42,Customers!$A$2:$F$301,5,FALSE()),"")</f>
        <v/>
      </c>
      <c r="P42" t="str">
        <f>IFERROR(VLOOKUP(C42,Customers!$A$2:$F$301,3,FALSE()),"")</f>
        <v/>
      </c>
      <c r="Q42">
        <f t="shared" si="0"/>
        <v>0.53570127504553733</v>
      </c>
      <c r="R42">
        <f>IF(AND(COUNTIF($A$2:$A$2047,A42)&gt;1,COUNTIF($A$2:A42,A42)=1),1,0)</f>
        <v>0</v>
      </c>
      <c r="S42" t="b">
        <f>IFERROR(VLOOKUP(D42,Products!$A$2:$F$61,6,FALSE()),"")</f>
        <v>1</v>
      </c>
      <c r="T42" t="str">
        <f>IF(COUNTIF(Customers!$A$2:$A$301,C42)=0,"Missing","OK")</f>
        <v>Missing</v>
      </c>
      <c r="U42" t="str">
        <f t="shared" si="1"/>
        <v>Chennai</v>
      </c>
      <c r="V42">
        <f t="shared" si="2"/>
        <v>0</v>
      </c>
    </row>
    <row r="43" spans="1:22" ht="15" customHeight="1" x14ac:dyDescent="0.35">
      <c r="A43" s="3" t="s">
        <v>161</v>
      </c>
      <c r="B43" s="4">
        <v>45432</v>
      </c>
      <c r="C43" s="3" t="s">
        <v>162</v>
      </c>
      <c r="D43" s="3" t="s">
        <v>123</v>
      </c>
      <c r="E43" s="3" t="s">
        <v>37</v>
      </c>
      <c r="F43" s="5">
        <v>10</v>
      </c>
      <c r="G43" s="5">
        <v>4880</v>
      </c>
      <c r="H43" s="5">
        <v>12.7</v>
      </c>
      <c r="I43" s="5">
        <v>42602.400000000001</v>
      </c>
      <c r="J43" s="3" t="s">
        <v>26</v>
      </c>
      <c r="K43" s="3" t="s">
        <v>38</v>
      </c>
      <c r="L43" t="str">
        <f>IFERROR(VLOOKUP(D43,Products!$A$2:$F$61,3,FALSE()),"")</f>
        <v>Beauty</v>
      </c>
      <c r="M43" t="str">
        <f>IFERROR(VLOOKUP(E43,Sales_Reps!$A$2:$C$31,3,FALSE()),"")</f>
        <v>South</v>
      </c>
      <c r="N43">
        <f>IFERROR(VLOOKUP(D43,Products!$A$2:$F$61,4,FALSE()),"")</f>
        <v>2768</v>
      </c>
      <c r="O43" t="str">
        <f>IFERROR(VLOOKUP(C43,Customers!$A$2:$F$301,5,FALSE()),"")</f>
        <v>Retail</v>
      </c>
      <c r="P43">
        <f>IFERROR(VLOOKUP(C43,Customers!$A$2:$F$301,3,FALSE()),"")</f>
        <v>53</v>
      </c>
      <c r="Q43">
        <f t="shared" si="0"/>
        <v>0.43278688524590164</v>
      </c>
      <c r="R43">
        <f>IF(AND(COUNTIF($A$2:$A$2047,A43)&gt;1,COUNTIF($A$2:A43,A43)=1),1,0)</f>
        <v>0</v>
      </c>
      <c r="S43" t="b">
        <f>IFERROR(VLOOKUP(D43,Products!$A$2:$F$61,6,FALSE()),"")</f>
        <v>1</v>
      </c>
      <c r="T43" t="str">
        <f>IF(COUNTIF(Customers!$A$2:$A$301,C43)=0,"Missing","OK")</f>
        <v>OK</v>
      </c>
      <c r="U43" t="str">
        <f t="shared" si="1"/>
        <v>Delhi</v>
      </c>
      <c r="V43">
        <f t="shared" si="2"/>
        <v>0</v>
      </c>
    </row>
    <row r="44" spans="1:22" ht="15" customHeight="1" x14ac:dyDescent="0.35">
      <c r="A44" s="3" t="s">
        <v>163</v>
      </c>
      <c r="B44" s="4">
        <v>45392</v>
      </c>
      <c r="C44" s="3" t="s">
        <v>164</v>
      </c>
      <c r="D44" s="3" t="s">
        <v>165</v>
      </c>
      <c r="E44" s="3" t="s">
        <v>60</v>
      </c>
      <c r="F44" s="5">
        <v>2</v>
      </c>
      <c r="G44" s="5">
        <v>3730</v>
      </c>
      <c r="H44" s="5">
        <v>25.8</v>
      </c>
      <c r="I44" s="5">
        <v>5535.32</v>
      </c>
      <c r="J44" s="3" t="s">
        <v>26</v>
      </c>
      <c r="K44" s="3" t="s">
        <v>33</v>
      </c>
      <c r="L44" t="str">
        <f>IFERROR(VLOOKUP(D44,Products!$A$2:$F$61,3,FALSE()),"")</f>
        <v>Home</v>
      </c>
      <c r="M44" t="str">
        <f>IFERROR(VLOOKUP(E44,Sales_Reps!$A$2:$C$31,3,FALSE()),"")</f>
        <v>East</v>
      </c>
      <c r="N44">
        <f>IFERROR(VLOOKUP(D44,Products!$A$2:$F$61,4,FALSE()),"")</f>
        <v>2135</v>
      </c>
      <c r="O44" t="str">
        <f>IFERROR(VLOOKUP(C44,Customers!$A$2:$F$301,5,FALSE()),"")</f>
        <v>Retail</v>
      </c>
      <c r="P44">
        <f>IFERROR(VLOOKUP(C44,Customers!$A$2:$F$301,3,FALSE()),"")</f>
        <v>37</v>
      </c>
      <c r="Q44">
        <f t="shared" si="0"/>
        <v>0.42761394101876676</v>
      </c>
      <c r="R44">
        <f>IF(AND(COUNTIF($A$2:$A$2047,A44)&gt;1,COUNTIF($A$2:A44,A44)=1),1,0)</f>
        <v>0</v>
      </c>
      <c r="S44" t="b">
        <f>IFERROR(VLOOKUP(D44,Products!$A$2:$F$61,6,FALSE()),"")</f>
        <v>1</v>
      </c>
      <c r="T44" t="str">
        <f>IF(COUNTIF(Customers!$A$2:$A$301,C44)=0,"Missing","OK")</f>
        <v>OK</v>
      </c>
      <c r="U44" t="str">
        <f t="shared" si="1"/>
        <v>Chennai</v>
      </c>
      <c r="V44">
        <f t="shared" si="2"/>
        <v>0</v>
      </c>
    </row>
    <row r="45" spans="1:22" ht="15" customHeight="1" x14ac:dyDescent="0.35">
      <c r="A45" s="3" t="s">
        <v>166</v>
      </c>
      <c r="B45" s="4">
        <v>45396</v>
      </c>
      <c r="C45" s="3" t="s">
        <v>167</v>
      </c>
      <c r="D45" s="3" t="s">
        <v>96</v>
      </c>
      <c r="E45" s="3" t="s">
        <v>168</v>
      </c>
      <c r="F45" s="5">
        <v>4</v>
      </c>
      <c r="G45" s="5">
        <v>3450</v>
      </c>
      <c r="H45" s="5">
        <v>20.7</v>
      </c>
      <c r="I45" s="5">
        <v>10943.4</v>
      </c>
      <c r="J45" s="3" t="s">
        <v>26</v>
      </c>
      <c r="K45" s="3" t="s">
        <v>51</v>
      </c>
      <c r="L45" t="str">
        <f>IFERROR(VLOOKUP(D45,Products!$A$2:$F$61,3,FALSE()),"")</f>
        <v>Beauty</v>
      </c>
      <c r="M45" t="str">
        <f>IFERROR(VLOOKUP(E45,Sales_Reps!$A$2:$C$31,3,FALSE()),"")</f>
        <v>West</v>
      </c>
      <c r="N45">
        <f>IFERROR(VLOOKUP(D45,Products!$A$2:$F$61,4,FALSE()),"")</f>
        <v>2420</v>
      </c>
      <c r="O45" t="str">
        <f>IFERROR(VLOOKUP(C45,Customers!$A$2:$F$301,5,FALSE()),"")</f>
        <v>SMB</v>
      </c>
      <c r="P45">
        <f>IFERROR(VLOOKUP(C45,Customers!$A$2:$F$301,3,FALSE()),"")</f>
        <v>54</v>
      </c>
      <c r="Q45">
        <f t="shared" si="0"/>
        <v>0.29855072463768118</v>
      </c>
      <c r="R45">
        <f>IF(AND(COUNTIF($A$2:$A$2047,A45)&gt;1,COUNTIF($A$2:A45,A45)=1),1,0)</f>
        <v>0</v>
      </c>
      <c r="S45" t="b">
        <f>IFERROR(VLOOKUP(D45,Products!$A$2:$F$61,6,FALSE()),"")</f>
        <v>1</v>
      </c>
      <c r="T45" t="str">
        <f>IF(COUNTIF(Customers!$A$2:$A$301,C45)=0,"Missing","OK")</f>
        <v>OK</v>
      </c>
      <c r="U45" t="str">
        <f t="shared" si="1"/>
        <v>Mumbai</v>
      </c>
      <c r="V45">
        <f t="shared" si="2"/>
        <v>0</v>
      </c>
    </row>
    <row r="46" spans="1:22" ht="15" customHeight="1" x14ac:dyDescent="0.35">
      <c r="A46" s="3" t="s">
        <v>169</v>
      </c>
      <c r="B46" s="4">
        <v>45373</v>
      </c>
      <c r="C46" s="3" t="s">
        <v>170</v>
      </c>
      <c r="D46" s="3" t="s">
        <v>106</v>
      </c>
      <c r="E46" s="3" t="s">
        <v>60</v>
      </c>
      <c r="F46" s="5">
        <v>2</v>
      </c>
      <c r="G46" s="5">
        <v>2480</v>
      </c>
      <c r="H46" s="5">
        <v>17.3</v>
      </c>
      <c r="I46" s="5">
        <v>4101.92</v>
      </c>
      <c r="J46" s="3" t="s">
        <v>26</v>
      </c>
      <c r="K46" s="3" t="s">
        <v>56</v>
      </c>
      <c r="L46" t="str">
        <f>IFERROR(VLOOKUP(D46,Products!$A$2:$F$61,3,FALSE()),"")</f>
        <v>Apparel</v>
      </c>
      <c r="M46" t="str">
        <f>IFERROR(VLOOKUP(E46,Sales_Reps!$A$2:$C$31,3,FALSE()),"")</f>
        <v>East</v>
      </c>
      <c r="N46">
        <f>IFERROR(VLOOKUP(D46,Products!$A$2:$F$61,4,FALSE()),"")</f>
        <v>1173</v>
      </c>
      <c r="O46" t="str">
        <f>IFERROR(VLOOKUP(C46,Customers!$A$2:$F$301,5,FALSE()),"")</f>
        <v>SMB</v>
      </c>
      <c r="P46">
        <f>IFERROR(VLOOKUP(C46,Customers!$A$2:$F$301,3,FALSE()),"")</f>
        <v>64</v>
      </c>
      <c r="Q46">
        <f t="shared" si="0"/>
        <v>0.52701612903225803</v>
      </c>
      <c r="R46">
        <f>IF(AND(COUNTIF($A$2:$A$2047,A46)&gt;1,COUNTIF($A$2:A46,A46)=1),1,0)</f>
        <v>0</v>
      </c>
      <c r="S46" t="b">
        <f>IFERROR(VLOOKUP(D46,Products!$A$2:$F$61,6,FALSE()),"")</f>
        <v>1</v>
      </c>
      <c r="T46" t="str">
        <f>IF(COUNTIF(Customers!$A$2:$A$301,C46)=0,"Missing","OK")</f>
        <v>OK</v>
      </c>
      <c r="U46" t="str">
        <f t="shared" si="1"/>
        <v>Bengaluru</v>
      </c>
      <c r="V46">
        <f t="shared" si="2"/>
        <v>0</v>
      </c>
    </row>
    <row r="47" spans="1:22" ht="15" customHeight="1" x14ac:dyDescent="0.35">
      <c r="A47" s="3" t="s">
        <v>171</v>
      </c>
      <c r="B47" s="4">
        <v>45312</v>
      </c>
      <c r="C47" s="3" t="s">
        <v>172</v>
      </c>
      <c r="D47" s="3" t="s">
        <v>173</v>
      </c>
      <c r="E47" s="3" t="s">
        <v>127</v>
      </c>
      <c r="F47" s="5">
        <v>9</v>
      </c>
      <c r="G47" s="5">
        <v>3780</v>
      </c>
      <c r="H47" s="5">
        <v>8.6999999999999993</v>
      </c>
      <c r="I47" s="5">
        <v>31060.26</v>
      </c>
      <c r="J47" s="3" t="s">
        <v>32</v>
      </c>
      <c r="K47" s="3" t="s">
        <v>27</v>
      </c>
      <c r="L47" t="str">
        <f>IFERROR(VLOOKUP(D47,Products!$A$2:$F$61,3,FALSE()),"")</f>
        <v>Grocery</v>
      </c>
      <c r="M47" t="str">
        <f>IFERROR(VLOOKUP(E47,Sales_Reps!$A$2:$C$31,3,FALSE()),"")</f>
        <v>South</v>
      </c>
      <c r="N47">
        <f>IFERROR(VLOOKUP(D47,Products!$A$2:$F$61,4,FALSE()),"")</f>
        <v>2436</v>
      </c>
      <c r="O47" t="str">
        <f>IFERROR(VLOOKUP(C47,Customers!$A$2:$F$301,5,FALSE()),"")</f>
        <v>SMB</v>
      </c>
      <c r="P47">
        <f>IFERROR(VLOOKUP(C47,Customers!$A$2:$F$301,3,FALSE()),"")</f>
        <v>29</v>
      </c>
      <c r="Q47">
        <f t="shared" si="0"/>
        <v>0.35555555555555557</v>
      </c>
      <c r="R47">
        <f>IF(AND(COUNTIF($A$2:$A$2047,A47)&gt;1,COUNTIF($A$2:A47,A47)=1),1,0)</f>
        <v>0</v>
      </c>
      <c r="S47" t="b">
        <f>IFERROR(VLOOKUP(D47,Products!$A$2:$F$61,6,FALSE()),"")</f>
        <v>1</v>
      </c>
      <c r="T47" t="str">
        <f>IF(COUNTIF(Customers!$A$2:$A$301,C47)=0,"Missing","OK")</f>
        <v>OK</v>
      </c>
      <c r="U47" t="str">
        <f t="shared" si="1"/>
        <v>Pune</v>
      </c>
      <c r="V47">
        <f t="shared" si="2"/>
        <v>0</v>
      </c>
    </row>
    <row r="48" spans="1:22" ht="15" customHeight="1" x14ac:dyDescent="0.35">
      <c r="A48" s="3" t="s">
        <v>174</v>
      </c>
      <c r="B48" s="4">
        <v>45340</v>
      </c>
      <c r="C48" s="3" t="s">
        <v>175</v>
      </c>
      <c r="D48" s="3" t="s">
        <v>176</v>
      </c>
      <c r="E48" s="3" t="s">
        <v>177</v>
      </c>
      <c r="F48" s="5">
        <v>4</v>
      </c>
      <c r="G48" s="5">
        <v>3640</v>
      </c>
      <c r="H48" s="5">
        <v>20.7</v>
      </c>
      <c r="I48" s="5">
        <v>11546.08</v>
      </c>
      <c r="J48" s="3" t="s">
        <v>26</v>
      </c>
      <c r="K48" s="3" t="s">
        <v>72</v>
      </c>
      <c r="L48" t="str">
        <f>IFERROR(VLOOKUP(D48,Products!$A$2:$F$61,3,FALSE()),"")</f>
        <v>Apparel</v>
      </c>
      <c r="M48" t="str">
        <f>IFERROR(VLOOKUP(E48,Sales_Reps!$A$2:$C$31,3,FALSE()),"")</f>
        <v>East</v>
      </c>
      <c r="N48">
        <f>IFERROR(VLOOKUP(D48,Products!$A$2:$F$61,4,FALSE()),"")</f>
        <v>2611</v>
      </c>
      <c r="O48" t="str">
        <f>IFERROR(VLOOKUP(C48,Customers!$A$2:$F$301,5,FALSE()),"")</f>
        <v>Retail</v>
      </c>
      <c r="P48">
        <f>IFERROR(VLOOKUP(C48,Customers!$A$2:$F$301,3,FALSE()),"")</f>
        <v>64</v>
      </c>
      <c r="Q48">
        <f t="shared" si="0"/>
        <v>0.28269230769230769</v>
      </c>
      <c r="R48">
        <f>IF(AND(COUNTIF($A$2:$A$2047,A48)&gt;1,COUNTIF($A$2:A48,A48)=1),1,0)</f>
        <v>0</v>
      </c>
      <c r="S48" t="b">
        <f>IFERROR(VLOOKUP(D48,Products!$A$2:$F$61,6,FALSE()),"")</f>
        <v>1</v>
      </c>
      <c r="T48" t="str">
        <f>IF(COUNTIF(Customers!$A$2:$A$301,C48)=0,"Missing","OK")</f>
        <v>OK</v>
      </c>
      <c r="U48" t="str">
        <f t="shared" si="1"/>
        <v>Hyderabad</v>
      </c>
      <c r="V48">
        <f t="shared" si="2"/>
        <v>0</v>
      </c>
    </row>
    <row r="49" spans="1:22" ht="15" customHeight="1" x14ac:dyDescent="0.35">
      <c r="A49" s="3" t="s">
        <v>178</v>
      </c>
      <c r="B49" s="4">
        <v>45370</v>
      </c>
      <c r="C49" s="3" t="s">
        <v>179</v>
      </c>
      <c r="D49" s="3" t="s">
        <v>180</v>
      </c>
      <c r="E49" s="3" t="s">
        <v>87</v>
      </c>
      <c r="F49" s="5">
        <v>8</v>
      </c>
      <c r="G49" s="5">
        <v>6080</v>
      </c>
      <c r="H49" s="5">
        <v>24.4</v>
      </c>
      <c r="I49" s="5">
        <v>36771.839999999997</v>
      </c>
      <c r="J49" s="3" t="s">
        <v>26</v>
      </c>
      <c r="K49" s="3" t="s">
        <v>27</v>
      </c>
      <c r="L49" t="str">
        <f>IFERROR(VLOOKUP(D49,Products!$A$2:$F$61,3,FALSE()),"")</f>
        <v>Beauty</v>
      </c>
      <c r="M49" t="str">
        <f>IFERROR(VLOOKUP(E49,Sales_Reps!$A$2:$C$31,3,FALSE()),"")</f>
        <v>North</v>
      </c>
      <c r="N49">
        <f>IFERROR(VLOOKUP(D49,Products!$A$2:$F$61,4,FALSE()),"")</f>
        <v>2617</v>
      </c>
      <c r="O49" t="str">
        <f>IFERROR(VLOOKUP(C49,Customers!$A$2:$F$301,5,FALSE()),"")</f>
        <v/>
      </c>
      <c r="P49" t="str">
        <f>IFERROR(VLOOKUP(C49,Customers!$A$2:$F$301,3,FALSE()),"")</f>
        <v/>
      </c>
      <c r="Q49">
        <f t="shared" si="0"/>
        <v>0.56957236842105263</v>
      </c>
      <c r="R49">
        <f>IF(AND(COUNTIF($A$2:$A$2047,A49)&gt;1,COUNTIF($A$2:A49,A49)=1),1,0)</f>
        <v>0</v>
      </c>
      <c r="S49" t="b">
        <f>IFERROR(VLOOKUP(D49,Products!$A$2:$F$61,6,FALSE()),"")</f>
        <v>1</v>
      </c>
      <c r="T49" t="str">
        <f>IF(COUNTIF(Customers!$A$2:$A$301,C49)=0,"Missing","OK")</f>
        <v>Missing</v>
      </c>
      <c r="U49" t="str">
        <f t="shared" si="1"/>
        <v>Pune</v>
      </c>
      <c r="V49">
        <f t="shared" si="2"/>
        <v>0</v>
      </c>
    </row>
    <row r="50" spans="1:22" ht="15" customHeight="1" x14ac:dyDescent="0.35">
      <c r="A50" s="3" t="s">
        <v>181</v>
      </c>
      <c r="B50" s="4">
        <v>45389</v>
      </c>
      <c r="C50" s="3" t="s">
        <v>125</v>
      </c>
      <c r="D50" s="3" t="s">
        <v>66</v>
      </c>
      <c r="E50" s="3" t="s">
        <v>25</v>
      </c>
      <c r="F50" s="5">
        <v>10</v>
      </c>
      <c r="G50" s="5">
        <v>970</v>
      </c>
      <c r="H50" s="5">
        <v>0.6</v>
      </c>
      <c r="I50" s="5">
        <v>9641.7999999999993</v>
      </c>
      <c r="J50" s="3" t="s">
        <v>79</v>
      </c>
      <c r="K50" s="3" t="s">
        <v>33</v>
      </c>
      <c r="L50" t="str">
        <f>IFERROR(VLOOKUP(D50,Products!$A$2:$F$61,3,FALSE()),"")</f>
        <v>Grocery</v>
      </c>
      <c r="M50" t="str">
        <f>IFERROR(VLOOKUP(E50,Sales_Reps!$A$2:$C$31,3,FALSE()),"")</f>
        <v>North</v>
      </c>
      <c r="N50">
        <f>IFERROR(VLOOKUP(D50,Products!$A$2:$F$61,4,FALSE()),"")</f>
        <v>434</v>
      </c>
      <c r="O50" t="str">
        <f>IFERROR(VLOOKUP(C50,Customers!$A$2:$F$301,5,FALSE()),"")</f>
        <v>SMB</v>
      </c>
      <c r="P50">
        <f>IFERROR(VLOOKUP(C50,Customers!$A$2:$F$301,3,FALSE()),"")</f>
        <v>52</v>
      </c>
      <c r="Q50">
        <f t="shared" si="0"/>
        <v>0.5525773195876289</v>
      </c>
      <c r="R50">
        <f>IF(AND(COUNTIF($A$2:$A$2047,A50)&gt;1,COUNTIF($A$2:A50,A50)=1),1,0)</f>
        <v>0</v>
      </c>
      <c r="S50" t="b">
        <f>IFERROR(VLOOKUP(D50,Products!$A$2:$F$61,6,FALSE()),"")</f>
        <v>1</v>
      </c>
      <c r="T50" t="str">
        <f>IF(COUNTIF(Customers!$A$2:$A$301,C50)=0,"Missing","OK")</f>
        <v>OK</v>
      </c>
      <c r="U50" t="str">
        <f t="shared" si="1"/>
        <v>Chennai</v>
      </c>
      <c r="V50">
        <f t="shared" si="2"/>
        <v>0</v>
      </c>
    </row>
    <row r="51" spans="1:22" ht="15" customHeight="1" x14ac:dyDescent="0.35">
      <c r="A51" s="3" t="s">
        <v>182</v>
      </c>
      <c r="B51" s="4">
        <v>45565</v>
      </c>
      <c r="C51" s="3" t="s">
        <v>183</v>
      </c>
      <c r="D51" s="3" t="s">
        <v>184</v>
      </c>
      <c r="E51" s="3" t="s">
        <v>67</v>
      </c>
      <c r="F51" s="5">
        <v>1</v>
      </c>
      <c r="G51" s="5">
        <v>2270</v>
      </c>
      <c r="H51" s="5">
        <v>11.5</v>
      </c>
      <c r="I51" s="5">
        <v>2008.95</v>
      </c>
      <c r="J51" s="3" t="s">
        <v>32</v>
      </c>
      <c r="K51" s="3" t="s">
        <v>33</v>
      </c>
      <c r="L51" t="str">
        <f>IFERROR(VLOOKUP(D51,Products!$A$2:$F$61,3,FALSE()),"")</f>
        <v>Grocery</v>
      </c>
      <c r="M51" t="str">
        <f>IFERROR(VLOOKUP(E51,Sales_Reps!$A$2:$C$31,3,FALSE()),"")</f>
        <v>West</v>
      </c>
      <c r="N51">
        <f>IFERROR(VLOOKUP(D51,Products!$A$2:$F$61,4,FALSE()),"")</f>
        <v>1412</v>
      </c>
      <c r="O51" t="str">
        <f>IFERROR(VLOOKUP(C51,Customers!$A$2:$F$301,5,FALSE()),"")</f>
        <v>Corporate</v>
      </c>
      <c r="P51">
        <f>IFERROR(VLOOKUP(C51,Customers!$A$2:$F$301,3,FALSE()),"")</f>
        <v>52</v>
      </c>
      <c r="Q51">
        <f t="shared" si="0"/>
        <v>0.37797356828193834</v>
      </c>
      <c r="R51">
        <f>IF(AND(COUNTIF($A$2:$A$2047,A51)&gt;1,COUNTIF($A$2:A51,A51)=1),1,0)</f>
        <v>0</v>
      </c>
      <c r="S51" t="b">
        <f>IFERROR(VLOOKUP(D51,Products!$A$2:$F$61,6,FALSE()),"")</f>
        <v>1</v>
      </c>
      <c r="T51" t="str">
        <f>IF(COUNTIF(Customers!$A$2:$A$301,C51)=0,"Missing","OK")</f>
        <v>OK</v>
      </c>
      <c r="U51" t="str">
        <f t="shared" si="1"/>
        <v>Chennai</v>
      </c>
      <c r="V51">
        <f t="shared" si="2"/>
        <v>0</v>
      </c>
    </row>
    <row r="52" spans="1:22" ht="15" customHeight="1" x14ac:dyDescent="0.35">
      <c r="A52" s="3" t="s">
        <v>185</v>
      </c>
      <c r="B52" s="4">
        <v>45323</v>
      </c>
      <c r="C52" s="3" t="s">
        <v>186</v>
      </c>
      <c r="D52" s="3" t="s">
        <v>187</v>
      </c>
      <c r="E52" s="3" t="s">
        <v>93</v>
      </c>
      <c r="F52" s="5">
        <v>7</v>
      </c>
      <c r="G52" s="5">
        <v>3870</v>
      </c>
      <c r="H52" s="5">
        <v>0.3</v>
      </c>
      <c r="I52" s="5">
        <v>27008.73</v>
      </c>
      <c r="J52" s="3" t="s">
        <v>79</v>
      </c>
      <c r="K52" s="3" t="s">
        <v>56</v>
      </c>
      <c r="L52" t="str">
        <f>IFERROR(VLOOKUP(D52,Products!$A$2:$F$61,3,FALSE()),"")</f>
        <v>Electronics</v>
      </c>
      <c r="M52" t="str">
        <f>IFERROR(VLOOKUP(E52,Sales_Reps!$A$2:$C$31,3,FALSE()),"")</f>
        <v>East</v>
      </c>
      <c r="N52">
        <f>IFERROR(VLOOKUP(D52,Products!$A$2:$F$61,4,FALSE()),"")</f>
        <v>1559</v>
      </c>
      <c r="O52" t="str">
        <f>IFERROR(VLOOKUP(C52,Customers!$A$2:$F$301,5,FALSE()),"")</f>
        <v>Retail</v>
      </c>
      <c r="P52">
        <f>IFERROR(VLOOKUP(C52,Customers!$A$2:$F$301,3,FALSE()),"")</f>
        <v>34</v>
      </c>
      <c r="Q52">
        <f t="shared" si="0"/>
        <v>0.59715762273901807</v>
      </c>
      <c r="R52">
        <f>IF(AND(COUNTIF($A$2:$A$2047,A52)&gt;1,COUNTIF($A$2:A52,A52)=1),1,0)</f>
        <v>0</v>
      </c>
      <c r="S52" t="b">
        <f>IFERROR(VLOOKUP(D52,Products!$A$2:$F$61,6,FALSE()),"")</f>
        <v>1</v>
      </c>
      <c r="T52" t="str">
        <f>IF(COUNTIF(Customers!$A$2:$A$301,C52)=0,"Missing","OK")</f>
        <v>OK</v>
      </c>
      <c r="U52" t="str">
        <f t="shared" si="1"/>
        <v>Bengaluru</v>
      </c>
      <c r="V52">
        <f t="shared" si="2"/>
        <v>0</v>
      </c>
    </row>
    <row r="53" spans="1:22" ht="15" customHeight="1" x14ac:dyDescent="0.35">
      <c r="A53" s="3" t="s">
        <v>188</v>
      </c>
      <c r="B53" s="4">
        <v>45506</v>
      </c>
      <c r="C53" s="3" t="s">
        <v>189</v>
      </c>
      <c r="D53" s="3" t="s">
        <v>123</v>
      </c>
      <c r="E53" s="3" t="s">
        <v>143</v>
      </c>
      <c r="F53" s="5">
        <v>1</v>
      </c>
      <c r="G53" s="5">
        <v>4880</v>
      </c>
      <c r="H53" s="5">
        <v>23.9</v>
      </c>
      <c r="I53" s="5">
        <v>3713.68</v>
      </c>
      <c r="J53" s="3" t="s">
        <v>32</v>
      </c>
      <c r="K53" s="3" t="s">
        <v>56</v>
      </c>
      <c r="L53" t="str">
        <f>IFERROR(VLOOKUP(D53,Products!$A$2:$F$61,3,FALSE()),"")</f>
        <v>Beauty</v>
      </c>
      <c r="M53" t="str">
        <f>IFERROR(VLOOKUP(E53,Sales_Reps!$A$2:$C$31,3,FALSE()),"")</f>
        <v>South</v>
      </c>
      <c r="N53">
        <f>IFERROR(VLOOKUP(D53,Products!$A$2:$F$61,4,FALSE()),"")</f>
        <v>2768</v>
      </c>
      <c r="O53" t="str">
        <f>IFERROR(VLOOKUP(C53,Customers!$A$2:$F$301,5,FALSE()),"")</f>
        <v>SMB</v>
      </c>
      <c r="P53">
        <f>IFERROR(VLOOKUP(C53,Customers!$A$2:$F$301,3,FALSE()),"")</f>
        <v>34</v>
      </c>
      <c r="Q53">
        <f t="shared" si="0"/>
        <v>0.43278688524590164</v>
      </c>
      <c r="R53">
        <f>IF(AND(COUNTIF($A$2:$A$2047,A53)&gt;1,COUNTIF($A$2:A53,A53)=1),1,0)</f>
        <v>0</v>
      </c>
      <c r="S53" t="b">
        <f>IFERROR(VLOOKUP(D53,Products!$A$2:$F$61,6,FALSE()),"")</f>
        <v>1</v>
      </c>
      <c r="T53" t="str">
        <f>IF(COUNTIF(Customers!$A$2:$A$301,C53)=0,"Missing","OK")</f>
        <v>OK</v>
      </c>
      <c r="U53" t="str">
        <f t="shared" si="1"/>
        <v>Bengaluru</v>
      </c>
      <c r="V53">
        <f t="shared" si="2"/>
        <v>0</v>
      </c>
    </row>
    <row r="54" spans="1:22" ht="15" customHeight="1" x14ac:dyDescent="0.35">
      <c r="A54" s="3" t="s">
        <v>190</v>
      </c>
      <c r="B54" s="4">
        <v>45616</v>
      </c>
      <c r="C54" s="3" t="s">
        <v>44</v>
      </c>
      <c r="D54" s="3" t="s">
        <v>173</v>
      </c>
      <c r="E54" s="3" t="s">
        <v>191</v>
      </c>
      <c r="F54" s="5">
        <v>5</v>
      </c>
      <c r="G54" s="5">
        <v>3780</v>
      </c>
      <c r="H54" s="5">
        <v>18.5</v>
      </c>
      <c r="I54" s="5">
        <v>15403.5</v>
      </c>
      <c r="J54" s="3" t="s">
        <v>26</v>
      </c>
      <c r="K54" s="3" t="s">
        <v>33</v>
      </c>
      <c r="L54" t="str">
        <f>IFERROR(VLOOKUP(D54,Products!$A$2:$F$61,3,FALSE()),"")</f>
        <v>Grocery</v>
      </c>
      <c r="M54" t="str">
        <f>IFERROR(VLOOKUP(E54,Sales_Reps!$A$2:$C$31,3,FALSE()),"")</f>
        <v>South</v>
      </c>
      <c r="N54">
        <f>IFERROR(VLOOKUP(D54,Products!$A$2:$F$61,4,FALSE()),"")</f>
        <v>2436</v>
      </c>
      <c r="O54" t="str">
        <f>IFERROR(VLOOKUP(C54,Customers!$A$2:$F$301,5,FALSE()),"")</f>
        <v>Retail</v>
      </c>
      <c r="P54">
        <f>IFERROR(VLOOKUP(C54,Customers!$A$2:$F$301,3,FALSE()),"")</f>
        <v>36</v>
      </c>
      <c r="Q54">
        <f t="shared" si="0"/>
        <v>0.35555555555555557</v>
      </c>
      <c r="R54">
        <f>IF(AND(COUNTIF($A$2:$A$2047,A54)&gt;1,COUNTIF($A$2:A54,A54)=1),1,0)</f>
        <v>0</v>
      </c>
      <c r="S54" t="b">
        <f>IFERROR(VLOOKUP(D54,Products!$A$2:$F$61,6,FALSE()),"")</f>
        <v>1</v>
      </c>
      <c r="T54" t="str">
        <f>IF(COUNTIF(Customers!$A$2:$A$301,C54)=0,"Missing","OK")</f>
        <v>OK</v>
      </c>
      <c r="U54" t="str">
        <f t="shared" si="1"/>
        <v>Chennai</v>
      </c>
      <c r="V54">
        <f t="shared" si="2"/>
        <v>0</v>
      </c>
    </row>
    <row r="55" spans="1:22" ht="15" customHeight="1" x14ac:dyDescent="0.35">
      <c r="A55" s="3" t="s">
        <v>192</v>
      </c>
      <c r="B55" s="4">
        <v>45428</v>
      </c>
      <c r="C55" s="3" t="s">
        <v>193</v>
      </c>
      <c r="D55" s="3" t="s">
        <v>82</v>
      </c>
      <c r="E55" s="3" t="s">
        <v>131</v>
      </c>
      <c r="F55" s="5">
        <v>10</v>
      </c>
      <c r="G55" s="5">
        <v>3250</v>
      </c>
      <c r="H55" s="5">
        <v>25.5</v>
      </c>
      <c r="I55" s="5">
        <v>24212.5</v>
      </c>
      <c r="J55" s="3" t="s">
        <v>26</v>
      </c>
      <c r="K55" s="3" t="s">
        <v>33</v>
      </c>
      <c r="L55" t="str">
        <f>IFERROR(VLOOKUP(D55,Products!$A$2:$F$61,3,FALSE()),"")</f>
        <v>Home</v>
      </c>
      <c r="M55" t="str">
        <f>IFERROR(VLOOKUP(E55,Sales_Reps!$A$2:$C$31,3,FALSE()),"")</f>
        <v>East</v>
      </c>
      <c r="N55">
        <f>IFERROR(VLOOKUP(D55,Products!$A$2:$F$61,4,FALSE()),"")</f>
        <v>1556</v>
      </c>
      <c r="O55" t="str">
        <f>IFERROR(VLOOKUP(C55,Customers!$A$2:$F$301,5,FALSE()),"")</f>
        <v>Retail</v>
      </c>
      <c r="P55">
        <f>IFERROR(VLOOKUP(C55,Customers!$A$2:$F$301,3,FALSE()),"")</f>
        <v>24</v>
      </c>
      <c r="Q55">
        <f t="shared" si="0"/>
        <v>0.52123076923076928</v>
      </c>
      <c r="R55">
        <f>IF(AND(COUNTIF($A$2:$A$2047,A55)&gt;1,COUNTIF($A$2:A55,A55)=1),1,0)</f>
        <v>0</v>
      </c>
      <c r="S55" t="b">
        <f>IFERROR(VLOOKUP(D55,Products!$A$2:$F$61,6,FALSE()),"")</f>
        <v>1</v>
      </c>
      <c r="T55" t="str">
        <f>IF(COUNTIF(Customers!$A$2:$A$301,C55)=0,"Missing","OK")</f>
        <v>OK</v>
      </c>
      <c r="U55" t="str">
        <f t="shared" si="1"/>
        <v>Chennai</v>
      </c>
      <c r="V55">
        <f t="shared" si="2"/>
        <v>0</v>
      </c>
    </row>
    <row r="56" spans="1:22" ht="15" customHeight="1" x14ac:dyDescent="0.35">
      <c r="A56" s="3" t="s">
        <v>194</v>
      </c>
      <c r="B56" s="4">
        <v>45515</v>
      </c>
      <c r="C56" s="3" t="s">
        <v>195</v>
      </c>
      <c r="D56" s="3" t="s">
        <v>176</v>
      </c>
      <c r="E56" s="3" t="s">
        <v>25</v>
      </c>
      <c r="F56" s="5">
        <v>4</v>
      </c>
      <c r="G56" s="5">
        <v>3640</v>
      </c>
      <c r="H56" s="5">
        <v>9.9</v>
      </c>
      <c r="I56" s="5">
        <v>13118.56</v>
      </c>
      <c r="J56" s="3" t="s">
        <v>83</v>
      </c>
      <c r="K56" s="3" t="s">
        <v>72</v>
      </c>
      <c r="L56" t="str">
        <f>IFERROR(VLOOKUP(D56,Products!$A$2:$F$61,3,FALSE()),"")</f>
        <v>Apparel</v>
      </c>
      <c r="M56" t="str">
        <f>IFERROR(VLOOKUP(E56,Sales_Reps!$A$2:$C$31,3,FALSE()),"")</f>
        <v>North</v>
      </c>
      <c r="N56">
        <f>IFERROR(VLOOKUP(D56,Products!$A$2:$F$61,4,FALSE()),"")</f>
        <v>2611</v>
      </c>
      <c r="O56" t="str">
        <f>IFERROR(VLOOKUP(C56,Customers!$A$2:$F$301,5,FALSE()),"")</f>
        <v>Retail</v>
      </c>
      <c r="P56">
        <f>IFERROR(VLOOKUP(C56,Customers!$A$2:$F$301,3,FALSE()),"")</f>
        <v>27</v>
      </c>
      <c r="Q56">
        <f t="shared" si="0"/>
        <v>0.28269230769230769</v>
      </c>
      <c r="R56">
        <f>IF(AND(COUNTIF($A$2:$A$2047,A56)&gt;1,COUNTIF($A$2:A56,A56)=1),1,0)</f>
        <v>0</v>
      </c>
      <c r="S56" t="b">
        <f>IFERROR(VLOOKUP(D56,Products!$A$2:$F$61,6,FALSE()),"")</f>
        <v>1</v>
      </c>
      <c r="T56" t="str">
        <f>IF(COUNTIF(Customers!$A$2:$A$301,C56)=0,"Missing","OK")</f>
        <v>OK</v>
      </c>
      <c r="U56" t="str">
        <f t="shared" si="1"/>
        <v>Hyderabad</v>
      </c>
      <c r="V56">
        <f t="shared" si="2"/>
        <v>0</v>
      </c>
    </row>
    <row r="57" spans="1:22" ht="15" customHeight="1" x14ac:dyDescent="0.35">
      <c r="A57" s="3" t="s">
        <v>196</v>
      </c>
      <c r="B57" s="4">
        <v>45649</v>
      </c>
      <c r="C57" s="3" t="s">
        <v>197</v>
      </c>
      <c r="D57" s="3" t="s">
        <v>198</v>
      </c>
      <c r="E57" s="3" t="s">
        <v>93</v>
      </c>
      <c r="F57" s="5">
        <v>4</v>
      </c>
      <c r="G57" s="5">
        <v>1540</v>
      </c>
      <c r="H57" s="5">
        <v>28.8</v>
      </c>
      <c r="I57" s="5">
        <v>4385.92</v>
      </c>
      <c r="J57" s="3" t="s">
        <v>26</v>
      </c>
      <c r="K57" s="3" t="s">
        <v>38</v>
      </c>
      <c r="L57" t="str">
        <f>IFERROR(VLOOKUP(D57,Products!$A$2:$F$61,3,FALSE()),"")</f>
        <v>Beauty</v>
      </c>
      <c r="M57" t="str">
        <f>IFERROR(VLOOKUP(E57,Sales_Reps!$A$2:$C$31,3,FALSE()),"")</f>
        <v>East</v>
      </c>
      <c r="N57">
        <f>IFERROR(VLOOKUP(D57,Products!$A$2:$F$61,4,FALSE()),"")</f>
        <v>647</v>
      </c>
      <c r="O57" t="str">
        <f>IFERROR(VLOOKUP(C57,Customers!$A$2:$F$301,5,FALSE()),"")</f>
        <v>SMB</v>
      </c>
      <c r="P57">
        <f>IFERROR(VLOOKUP(C57,Customers!$A$2:$F$301,3,FALSE()),"")</f>
        <v>55</v>
      </c>
      <c r="Q57">
        <f t="shared" si="0"/>
        <v>0.57987012987012987</v>
      </c>
      <c r="R57">
        <f>IF(AND(COUNTIF($A$2:$A$2047,A57)&gt;1,COUNTIF($A$2:A57,A57)=1),1,0)</f>
        <v>0</v>
      </c>
      <c r="S57" t="b">
        <f>IFERROR(VLOOKUP(D57,Products!$A$2:$F$61,6,FALSE()),"")</f>
        <v>0</v>
      </c>
      <c r="T57" t="str">
        <f>IF(COUNTIF(Customers!$A$2:$A$301,C57)=0,"Missing","OK")</f>
        <v>OK</v>
      </c>
      <c r="U57" t="str">
        <f t="shared" si="1"/>
        <v>Delhi</v>
      </c>
      <c r="V57">
        <f t="shared" si="2"/>
        <v>0</v>
      </c>
    </row>
    <row r="58" spans="1:22" ht="15" customHeight="1" x14ac:dyDescent="0.35">
      <c r="A58" s="3" t="s">
        <v>199</v>
      </c>
      <c r="B58" s="4">
        <v>45616</v>
      </c>
      <c r="C58" s="3" t="s">
        <v>200</v>
      </c>
      <c r="D58" s="3" t="s">
        <v>103</v>
      </c>
      <c r="E58" s="3" t="s">
        <v>177</v>
      </c>
      <c r="F58" s="5">
        <v>1</v>
      </c>
      <c r="G58" s="5">
        <v>1080</v>
      </c>
      <c r="H58" s="5">
        <v>23</v>
      </c>
      <c r="I58" s="5">
        <v>831.6</v>
      </c>
      <c r="J58" s="3" t="s">
        <v>79</v>
      </c>
      <c r="K58" s="3" t="s">
        <v>38</v>
      </c>
      <c r="L58" t="str">
        <f>IFERROR(VLOOKUP(D58,Products!$A$2:$F$61,3,FALSE()),"")</f>
        <v>Home</v>
      </c>
      <c r="M58" t="str">
        <f>IFERROR(VLOOKUP(E58,Sales_Reps!$A$2:$C$31,3,FALSE()),"")</f>
        <v>East</v>
      </c>
      <c r="N58">
        <f>IFERROR(VLOOKUP(D58,Products!$A$2:$F$61,4,FALSE()),"")</f>
        <v>519</v>
      </c>
      <c r="O58" t="str">
        <f>IFERROR(VLOOKUP(C58,Customers!$A$2:$F$301,5,FALSE()),"")</f>
        <v>Retail</v>
      </c>
      <c r="P58">
        <f>IFERROR(VLOOKUP(C58,Customers!$A$2:$F$301,3,FALSE()),"")</f>
        <v>54</v>
      </c>
      <c r="Q58">
        <f t="shared" si="0"/>
        <v>0.51944444444444449</v>
      </c>
      <c r="R58">
        <f>IF(AND(COUNTIF($A$2:$A$2047,A58)&gt;1,COUNTIF($A$2:A58,A58)=1),1,0)</f>
        <v>0</v>
      </c>
      <c r="S58" t="b">
        <f>IFERROR(VLOOKUP(D58,Products!$A$2:$F$61,6,FALSE()),"")</f>
        <v>1</v>
      </c>
      <c r="T58" t="str">
        <f>IF(COUNTIF(Customers!$A$2:$A$301,C58)=0,"Missing","OK")</f>
        <v>OK</v>
      </c>
      <c r="U58" t="str">
        <f t="shared" si="1"/>
        <v>Delhi</v>
      </c>
      <c r="V58">
        <f t="shared" si="2"/>
        <v>0</v>
      </c>
    </row>
    <row r="59" spans="1:22" ht="15" customHeight="1" x14ac:dyDescent="0.35">
      <c r="A59" s="3" t="s">
        <v>201</v>
      </c>
      <c r="B59" s="4">
        <v>45573</v>
      </c>
      <c r="C59" s="3" t="s">
        <v>202</v>
      </c>
      <c r="D59" s="3" t="s">
        <v>203</v>
      </c>
      <c r="E59" s="3" t="s">
        <v>25</v>
      </c>
      <c r="F59" s="5">
        <v>1</v>
      </c>
      <c r="G59" s="5">
        <v>4070</v>
      </c>
      <c r="H59" s="5">
        <v>6.7</v>
      </c>
      <c r="I59" s="5">
        <v>3797.31</v>
      </c>
      <c r="J59" s="3" t="s">
        <v>26</v>
      </c>
      <c r="K59" s="3" t="s">
        <v>72</v>
      </c>
      <c r="L59" t="str">
        <f>IFERROR(VLOOKUP(D59,Products!$A$2:$F$61,3,FALSE()),"")</f>
        <v>Grocery</v>
      </c>
      <c r="M59" t="str">
        <f>IFERROR(VLOOKUP(E59,Sales_Reps!$A$2:$C$31,3,FALSE()),"")</f>
        <v>North</v>
      </c>
      <c r="N59">
        <f>IFERROR(VLOOKUP(D59,Products!$A$2:$F$61,4,FALSE()),"")</f>
        <v>2027</v>
      </c>
      <c r="O59" t="str">
        <f>IFERROR(VLOOKUP(C59,Customers!$A$2:$F$301,5,FALSE()),"")</f>
        <v>Retail</v>
      </c>
      <c r="P59">
        <f>IFERROR(VLOOKUP(C59,Customers!$A$2:$F$301,3,FALSE()),"")</f>
        <v>53</v>
      </c>
      <c r="Q59">
        <f t="shared" si="0"/>
        <v>0.50196560196560192</v>
      </c>
      <c r="R59">
        <f>IF(AND(COUNTIF($A$2:$A$2047,A59)&gt;1,COUNTIF($A$2:A59,A59)=1),1,0)</f>
        <v>0</v>
      </c>
      <c r="S59" t="b">
        <f>IFERROR(VLOOKUP(D59,Products!$A$2:$F$61,6,FALSE()),"")</f>
        <v>1</v>
      </c>
      <c r="T59" t="str">
        <f>IF(COUNTIF(Customers!$A$2:$A$301,C59)=0,"Missing","OK")</f>
        <v>OK</v>
      </c>
      <c r="U59" t="str">
        <f t="shared" si="1"/>
        <v>Hyderabad</v>
      </c>
      <c r="V59">
        <f t="shared" si="2"/>
        <v>0</v>
      </c>
    </row>
    <row r="60" spans="1:22" ht="15" customHeight="1" x14ac:dyDescent="0.35">
      <c r="A60" s="3" t="s">
        <v>204</v>
      </c>
      <c r="B60" s="4">
        <v>45417</v>
      </c>
      <c r="C60" s="3" t="s">
        <v>205</v>
      </c>
      <c r="D60" s="3" t="s">
        <v>206</v>
      </c>
      <c r="E60" s="3" t="s">
        <v>109</v>
      </c>
      <c r="F60" s="5">
        <v>2</v>
      </c>
      <c r="G60" s="5">
        <v>1220</v>
      </c>
      <c r="H60" s="5">
        <v>11.7</v>
      </c>
      <c r="I60" s="5">
        <v>2154.52</v>
      </c>
      <c r="J60" s="3" t="s">
        <v>79</v>
      </c>
      <c r="K60" s="3" t="s">
        <v>38</v>
      </c>
      <c r="L60" t="str">
        <f>IFERROR(VLOOKUP(D60,Products!$A$2:$F$61,3,FALSE()),"")</f>
        <v>Electronics</v>
      </c>
      <c r="M60" t="str">
        <f>IFERROR(VLOOKUP(E60,Sales_Reps!$A$2:$C$31,3,FALSE()),"")</f>
        <v>West</v>
      </c>
      <c r="N60">
        <f>IFERROR(VLOOKUP(D60,Products!$A$2:$F$61,4,FALSE()),"")</f>
        <v>517</v>
      </c>
      <c r="O60" t="str">
        <f>IFERROR(VLOOKUP(C60,Customers!$A$2:$F$301,5,FALSE()),"")</f>
        <v>Corporate</v>
      </c>
      <c r="P60">
        <f>IFERROR(VLOOKUP(C60,Customers!$A$2:$F$301,3,FALSE()),"")</f>
        <v>55</v>
      </c>
      <c r="Q60">
        <f t="shared" si="0"/>
        <v>0.57622950819672136</v>
      </c>
      <c r="R60">
        <f>IF(AND(COUNTIF($A$2:$A$2047,A60)&gt;1,COUNTIF($A$2:A60,A60)=1),1,0)</f>
        <v>0</v>
      </c>
      <c r="S60" t="b">
        <f>IFERROR(VLOOKUP(D60,Products!$A$2:$F$61,6,FALSE()),"")</f>
        <v>1</v>
      </c>
      <c r="T60" t="str">
        <f>IF(COUNTIF(Customers!$A$2:$A$301,C60)=0,"Missing","OK")</f>
        <v>OK</v>
      </c>
      <c r="U60" t="str">
        <f t="shared" si="1"/>
        <v>Delhi</v>
      </c>
      <c r="V60">
        <f t="shared" si="2"/>
        <v>0</v>
      </c>
    </row>
    <row r="61" spans="1:22" ht="15" customHeight="1" x14ac:dyDescent="0.35">
      <c r="A61" s="3" t="s">
        <v>207</v>
      </c>
      <c r="B61" s="4">
        <v>45425</v>
      </c>
      <c r="C61" s="3" t="s">
        <v>208</v>
      </c>
      <c r="D61" s="3" t="s">
        <v>209</v>
      </c>
      <c r="E61" s="3" t="s">
        <v>168</v>
      </c>
      <c r="F61" s="5">
        <v>4</v>
      </c>
      <c r="G61" s="5">
        <v>4610</v>
      </c>
      <c r="H61" s="5">
        <v>26.9</v>
      </c>
      <c r="I61" s="5">
        <v>13479.64</v>
      </c>
      <c r="J61" s="3" t="s">
        <v>32</v>
      </c>
      <c r="K61" s="3" t="s">
        <v>51</v>
      </c>
      <c r="L61" t="str">
        <f>IFERROR(VLOOKUP(D61,Products!$A$2:$F$61,3,FALSE()),"")</f>
        <v>Home</v>
      </c>
      <c r="M61" t="str">
        <f>IFERROR(VLOOKUP(E61,Sales_Reps!$A$2:$C$31,3,FALSE()),"")</f>
        <v>West</v>
      </c>
      <c r="N61">
        <f>IFERROR(VLOOKUP(D61,Products!$A$2:$F$61,4,FALSE()),"")</f>
        <v>1850</v>
      </c>
      <c r="O61" t="str">
        <f>IFERROR(VLOOKUP(C61,Customers!$A$2:$F$301,5,FALSE()),"")</f>
        <v>Retail</v>
      </c>
      <c r="P61">
        <f>IFERROR(VLOOKUP(C61,Customers!$A$2:$F$301,3,FALSE()),"")</f>
        <v>40</v>
      </c>
      <c r="Q61">
        <f t="shared" si="0"/>
        <v>0.59869848156182215</v>
      </c>
      <c r="R61">
        <f>IF(AND(COUNTIF($A$2:$A$2047,A61)&gt;1,COUNTIF($A$2:A61,A61)=1),1,0)</f>
        <v>0</v>
      </c>
      <c r="S61" t="b">
        <f>IFERROR(VLOOKUP(D61,Products!$A$2:$F$61,6,FALSE()),"")</f>
        <v>1</v>
      </c>
      <c r="T61" t="str">
        <f>IF(COUNTIF(Customers!$A$2:$A$301,C61)=0,"Missing","OK")</f>
        <v>OK</v>
      </c>
      <c r="U61" t="str">
        <f t="shared" si="1"/>
        <v>Mumbai</v>
      </c>
      <c r="V61">
        <f t="shared" si="2"/>
        <v>0</v>
      </c>
    </row>
    <row r="62" spans="1:22" ht="15" customHeight="1" x14ac:dyDescent="0.35">
      <c r="A62" s="3" t="s">
        <v>210</v>
      </c>
      <c r="B62" s="4">
        <v>45589</v>
      </c>
      <c r="C62" s="3" t="s">
        <v>211</v>
      </c>
      <c r="D62" s="3" t="s">
        <v>103</v>
      </c>
      <c r="E62" s="3" t="s">
        <v>212</v>
      </c>
      <c r="F62" s="5">
        <v>8</v>
      </c>
      <c r="G62" s="5">
        <v>1080</v>
      </c>
      <c r="H62" s="5">
        <v>28.4</v>
      </c>
      <c r="I62" s="5">
        <v>6186.24</v>
      </c>
      <c r="J62" s="3" t="s">
        <v>26</v>
      </c>
      <c r="K62" s="3" t="s">
        <v>33</v>
      </c>
      <c r="L62" t="str">
        <f>IFERROR(VLOOKUP(D62,Products!$A$2:$F$61,3,FALSE()),"")</f>
        <v>Home</v>
      </c>
      <c r="M62" t="str">
        <f>IFERROR(VLOOKUP(E62,Sales_Reps!$A$2:$C$31,3,FALSE()),"")</f>
        <v>South</v>
      </c>
      <c r="N62">
        <f>IFERROR(VLOOKUP(D62,Products!$A$2:$F$61,4,FALSE()),"")</f>
        <v>519</v>
      </c>
      <c r="O62" t="str">
        <f>IFERROR(VLOOKUP(C62,Customers!$A$2:$F$301,5,FALSE()),"")</f>
        <v>SMB</v>
      </c>
      <c r="P62">
        <f>IFERROR(VLOOKUP(C62,Customers!$A$2:$F$301,3,FALSE()),"")</f>
        <v>55</v>
      </c>
      <c r="Q62">
        <f t="shared" si="0"/>
        <v>0.51944444444444449</v>
      </c>
      <c r="R62">
        <f>IF(AND(COUNTIF($A$2:$A$2047,A62)&gt;1,COUNTIF($A$2:A62,A62)=1),1,0)</f>
        <v>0</v>
      </c>
      <c r="S62" t="b">
        <f>IFERROR(VLOOKUP(D62,Products!$A$2:$F$61,6,FALSE()),"")</f>
        <v>1</v>
      </c>
      <c r="T62" t="str">
        <f>IF(COUNTIF(Customers!$A$2:$A$301,C62)=0,"Missing","OK")</f>
        <v>OK</v>
      </c>
      <c r="U62" t="str">
        <f t="shared" si="1"/>
        <v>Chennai</v>
      </c>
      <c r="V62">
        <f t="shared" si="2"/>
        <v>0</v>
      </c>
    </row>
    <row r="63" spans="1:22" ht="15" customHeight="1" x14ac:dyDescent="0.35">
      <c r="A63" s="3" t="s">
        <v>213</v>
      </c>
      <c r="B63" s="4">
        <v>45488</v>
      </c>
      <c r="C63" s="3" t="s">
        <v>214</v>
      </c>
      <c r="D63" s="3" t="s">
        <v>215</v>
      </c>
      <c r="E63" s="3" t="s">
        <v>42</v>
      </c>
      <c r="F63" s="5">
        <v>10</v>
      </c>
      <c r="G63" s="5">
        <v>3020</v>
      </c>
      <c r="H63" s="5">
        <v>25.4</v>
      </c>
      <c r="I63" s="5">
        <v>22529.200000000001</v>
      </c>
      <c r="J63" s="3" t="s">
        <v>26</v>
      </c>
      <c r="K63" s="3" t="s">
        <v>27</v>
      </c>
      <c r="L63" t="str">
        <f>IFERROR(VLOOKUP(D63,Products!$A$2:$F$61,3,FALSE()),"")</f>
        <v>Beauty</v>
      </c>
      <c r="M63" t="str">
        <f>IFERROR(VLOOKUP(E63,Sales_Reps!$A$2:$C$31,3,FALSE()),"")</f>
        <v>North</v>
      </c>
      <c r="N63">
        <f>IFERROR(VLOOKUP(D63,Products!$A$2:$F$61,4,FALSE()),"")</f>
        <v>1626</v>
      </c>
      <c r="O63" t="str">
        <f>IFERROR(VLOOKUP(C63,Customers!$A$2:$F$301,5,FALSE()),"")</f>
        <v>Retail</v>
      </c>
      <c r="P63">
        <f>IFERROR(VLOOKUP(C63,Customers!$A$2:$F$301,3,FALSE()),"")</f>
        <v>44</v>
      </c>
      <c r="Q63">
        <f t="shared" si="0"/>
        <v>0.46158940397350995</v>
      </c>
      <c r="R63">
        <f>IF(AND(COUNTIF($A$2:$A$2047,A63)&gt;1,COUNTIF($A$2:A63,A63)=1),1,0)</f>
        <v>0</v>
      </c>
      <c r="S63" t="b">
        <f>IFERROR(VLOOKUP(D63,Products!$A$2:$F$61,6,FALSE()),"")</f>
        <v>1</v>
      </c>
      <c r="T63" t="str">
        <f>IF(COUNTIF(Customers!$A$2:$A$301,C63)=0,"Missing","OK")</f>
        <v>OK</v>
      </c>
      <c r="U63" t="str">
        <f t="shared" si="1"/>
        <v>Pune</v>
      </c>
      <c r="V63">
        <f t="shared" si="2"/>
        <v>0</v>
      </c>
    </row>
    <row r="64" spans="1:22" ht="15" customHeight="1" x14ac:dyDescent="0.35">
      <c r="A64" s="3" t="s">
        <v>216</v>
      </c>
      <c r="B64" s="4">
        <v>45465</v>
      </c>
      <c r="C64" s="3" t="s">
        <v>217</v>
      </c>
      <c r="D64" s="3" t="s">
        <v>218</v>
      </c>
      <c r="E64" s="3" t="s">
        <v>177</v>
      </c>
      <c r="F64" s="5">
        <v>7</v>
      </c>
      <c r="G64" s="5">
        <v>2660</v>
      </c>
      <c r="H64" s="5">
        <v>5.3</v>
      </c>
      <c r="I64" s="5">
        <v>17633.14</v>
      </c>
      <c r="J64" s="3" t="s">
        <v>26</v>
      </c>
      <c r="K64" s="3" t="s">
        <v>72</v>
      </c>
      <c r="L64" t="str">
        <f>IFERROR(VLOOKUP(D64,Products!$A$2:$F$61,3,FALSE()),"")</f>
        <v>Electronics</v>
      </c>
      <c r="M64" t="str">
        <f>IFERROR(VLOOKUP(E64,Sales_Reps!$A$2:$C$31,3,FALSE()),"")</f>
        <v>East</v>
      </c>
      <c r="N64">
        <f>IFERROR(VLOOKUP(D64,Products!$A$2:$F$61,4,FALSE()),"")</f>
        <v>1259</v>
      </c>
      <c r="O64" t="str">
        <f>IFERROR(VLOOKUP(C64,Customers!$A$2:$F$301,5,FALSE()),"")</f>
        <v>Corporate</v>
      </c>
      <c r="P64">
        <f>IFERROR(VLOOKUP(C64,Customers!$A$2:$F$301,3,FALSE()),"")</f>
        <v>29</v>
      </c>
      <c r="Q64">
        <f t="shared" si="0"/>
        <v>0.52669172932330832</v>
      </c>
      <c r="R64">
        <f>IF(AND(COUNTIF($A$2:$A$2047,A64)&gt;1,COUNTIF($A$2:A64,A64)=1),1,0)</f>
        <v>0</v>
      </c>
      <c r="S64" t="b">
        <f>IFERROR(VLOOKUP(D64,Products!$A$2:$F$61,6,FALSE()),"")</f>
        <v>0</v>
      </c>
      <c r="T64" t="str">
        <f>IF(COUNTIF(Customers!$A$2:$A$301,C64)=0,"Missing","OK")</f>
        <v>OK</v>
      </c>
      <c r="U64" t="str">
        <f t="shared" si="1"/>
        <v>Hyderabad</v>
      </c>
      <c r="V64">
        <f t="shared" si="2"/>
        <v>0</v>
      </c>
    </row>
    <row r="65" spans="1:22" ht="15" customHeight="1" x14ac:dyDescent="0.35">
      <c r="A65" s="3" t="s">
        <v>219</v>
      </c>
      <c r="B65" s="4">
        <v>45599</v>
      </c>
      <c r="C65" s="3" t="s">
        <v>220</v>
      </c>
      <c r="D65" s="3" t="s">
        <v>221</v>
      </c>
      <c r="E65" s="3" t="s">
        <v>87</v>
      </c>
      <c r="F65" s="5">
        <v>9</v>
      </c>
      <c r="G65" s="5">
        <v>300</v>
      </c>
      <c r="H65" s="5">
        <v>25.3</v>
      </c>
      <c r="I65" s="5">
        <v>2016.9</v>
      </c>
      <c r="J65" s="3" t="s">
        <v>26</v>
      </c>
      <c r="K65" s="3" t="s">
        <v>27</v>
      </c>
      <c r="L65" t="str">
        <f>IFERROR(VLOOKUP(D65,Products!$A$2:$F$61,3,FALSE()),"")</f>
        <v>Electronics</v>
      </c>
      <c r="M65" t="str">
        <f>IFERROR(VLOOKUP(E65,Sales_Reps!$A$2:$C$31,3,FALSE()),"")</f>
        <v>North</v>
      </c>
      <c r="N65">
        <f>IFERROR(VLOOKUP(D65,Products!$A$2:$F$61,4,FALSE()),"")</f>
        <v>128</v>
      </c>
      <c r="O65" t="str">
        <f>IFERROR(VLOOKUP(C65,Customers!$A$2:$F$301,5,FALSE()),"")</f>
        <v>Retail</v>
      </c>
      <c r="P65">
        <f>IFERROR(VLOOKUP(C65,Customers!$A$2:$F$301,3,FALSE()),"")</f>
        <v>25</v>
      </c>
      <c r="Q65">
        <f t="shared" si="0"/>
        <v>0.57333333333333336</v>
      </c>
      <c r="R65">
        <f>IF(AND(COUNTIF($A$2:$A$2047,A65)&gt;1,COUNTIF($A$2:A65,A65)=1),1,0)</f>
        <v>0</v>
      </c>
      <c r="S65" t="b">
        <f>IFERROR(VLOOKUP(D65,Products!$A$2:$F$61,6,FALSE()),"")</f>
        <v>1</v>
      </c>
      <c r="T65" t="str">
        <f>IF(COUNTIF(Customers!$A$2:$A$301,C65)=0,"Missing","OK")</f>
        <v>OK</v>
      </c>
      <c r="U65" t="str">
        <f t="shared" si="1"/>
        <v>Pune</v>
      </c>
      <c r="V65">
        <f t="shared" si="2"/>
        <v>0</v>
      </c>
    </row>
    <row r="66" spans="1:22" ht="15" customHeight="1" x14ac:dyDescent="0.35">
      <c r="A66" s="3" t="s">
        <v>222</v>
      </c>
      <c r="B66" s="4">
        <v>45317</v>
      </c>
      <c r="C66" s="3" t="s">
        <v>223</v>
      </c>
      <c r="D66" s="3" t="s">
        <v>74</v>
      </c>
      <c r="E66" s="3" t="s">
        <v>224</v>
      </c>
      <c r="F66" s="5">
        <v>10</v>
      </c>
      <c r="G66" s="5">
        <v>2640</v>
      </c>
      <c r="H66" s="5">
        <v>18.7</v>
      </c>
      <c r="I66" s="5">
        <v>21463.200000000001</v>
      </c>
      <c r="J66" s="3" t="s">
        <v>79</v>
      </c>
      <c r="K66" s="3" t="s">
        <v>33</v>
      </c>
      <c r="L66" t="str">
        <f>IFERROR(VLOOKUP(D66,Products!$A$2:$F$61,3,FALSE()),"")</f>
        <v>Electronics</v>
      </c>
      <c r="M66" t="str">
        <f>IFERROR(VLOOKUP(E66,Sales_Reps!$A$2:$C$31,3,FALSE()),"")</f>
        <v>East</v>
      </c>
      <c r="N66">
        <f>IFERROR(VLOOKUP(D66,Products!$A$2:$F$61,4,FALSE()),"")</f>
        <v>1149</v>
      </c>
      <c r="O66" t="str">
        <f>IFERROR(VLOOKUP(C66,Customers!$A$2:$F$301,5,FALSE()),"")</f>
        <v>Retail</v>
      </c>
      <c r="P66">
        <f>IFERROR(VLOOKUP(C66,Customers!$A$2:$F$301,3,FALSE()),"")</f>
        <v>28</v>
      </c>
      <c r="Q66">
        <f t="shared" ref="Q66:Q129" si="3">IFERROR((G66-N66)/G66,"")</f>
        <v>0.56477272727272732</v>
      </c>
      <c r="R66">
        <f>IF(AND(COUNTIF($A$2:$A$2047,A66)&gt;1,COUNTIF($A$2:A66,A66)=1),1,0)</f>
        <v>0</v>
      </c>
      <c r="S66" t="b">
        <f>IFERROR(VLOOKUP(D66,Products!$A$2:$F$61,6,FALSE()),"")</f>
        <v>1</v>
      </c>
      <c r="T66" t="str">
        <f>IF(COUNTIF(Customers!$A$2:$A$301,C66)=0,"Missing","OK")</f>
        <v>OK</v>
      </c>
      <c r="U66" t="str">
        <f t="shared" ref="U66:U129" si="4">IF(K66="","",PROPER(TRIM(K66)))</f>
        <v>Chennai</v>
      </c>
      <c r="V66">
        <f t="shared" ref="V66:V129" si="5">IF(AND(U66="Bengaluru",L66="Grocery"),I66,0)</f>
        <v>0</v>
      </c>
    </row>
    <row r="67" spans="1:22" ht="15" customHeight="1" x14ac:dyDescent="0.35">
      <c r="A67" s="3" t="s">
        <v>225</v>
      </c>
      <c r="B67" s="4">
        <v>45462</v>
      </c>
      <c r="C67" s="3" t="s">
        <v>158</v>
      </c>
      <c r="D67" s="3" t="s">
        <v>30</v>
      </c>
      <c r="E67" s="3" t="s">
        <v>131</v>
      </c>
      <c r="F67" s="5">
        <v>8</v>
      </c>
      <c r="G67" s="5">
        <v>820</v>
      </c>
      <c r="H67" s="5">
        <v>24</v>
      </c>
      <c r="I67" s="5">
        <v>4985.6000000000004</v>
      </c>
      <c r="J67" s="3" t="s">
        <v>26</v>
      </c>
      <c r="K67" s="3" t="s">
        <v>38</v>
      </c>
      <c r="L67" t="str">
        <f>IFERROR(VLOOKUP(D67,Products!$A$2:$F$61,3,FALSE()),"")</f>
        <v>Apparel</v>
      </c>
      <c r="M67" t="str">
        <f>IFERROR(VLOOKUP(E67,Sales_Reps!$A$2:$C$31,3,FALSE()),"")</f>
        <v>East</v>
      </c>
      <c r="N67">
        <f>IFERROR(VLOOKUP(D67,Products!$A$2:$F$61,4,FALSE()),"")</f>
        <v>391</v>
      </c>
      <c r="O67" t="str">
        <f>IFERROR(VLOOKUP(C67,Customers!$A$2:$F$301,5,FALSE()),"")</f>
        <v>SMB</v>
      </c>
      <c r="P67">
        <f>IFERROR(VLOOKUP(C67,Customers!$A$2:$F$301,3,FALSE()),"")</f>
        <v>50</v>
      </c>
      <c r="Q67">
        <f t="shared" si="3"/>
        <v>0.52317073170731709</v>
      </c>
      <c r="R67">
        <f>IF(AND(COUNTIF($A$2:$A$2047,A67)&gt;1,COUNTIF($A$2:A67,A67)=1),1,0)</f>
        <v>0</v>
      </c>
      <c r="S67" t="b">
        <f>IFERROR(VLOOKUP(D67,Products!$A$2:$F$61,6,FALSE()),"")</f>
        <v>1</v>
      </c>
      <c r="T67" t="str">
        <f>IF(COUNTIF(Customers!$A$2:$A$301,C67)=0,"Missing","OK")</f>
        <v>OK</v>
      </c>
      <c r="U67" t="str">
        <f t="shared" si="4"/>
        <v>Delhi</v>
      </c>
      <c r="V67">
        <f t="shared" si="5"/>
        <v>0</v>
      </c>
    </row>
    <row r="68" spans="1:22" ht="15" customHeight="1" x14ac:dyDescent="0.35">
      <c r="A68" s="3" t="s">
        <v>226</v>
      </c>
      <c r="B68" s="4">
        <v>45499</v>
      </c>
      <c r="C68" s="3" t="s">
        <v>29</v>
      </c>
      <c r="D68" s="3" t="s">
        <v>139</v>
      </c>
      <c r="E68" s="3" t="s">
        <v>67</v>
      </c>
      <c r="F68" s="5">
        <v>1</v>
      </c>
      <c r="G68" s="5">
        <v>2760</v>
      </c>
      <c r="H68" s="5">
        <v>4.8</v>
      </c>
      <c r="I68" s="5">
        <v>2627.52</v>
      </c>
      <c r="J68" s="3" t="s">
        <v>26</v>
      </c>
      <c r="K68" s="3" t="s">
        <v>33</v>
      </c>
      <c r="L68" t="str">
        <f>IFERROR(VLOOKUP(D68,Products!$A$2:$F$61,3,FALSE()),"")</f>
        <v>Grocery</v>
      </c>
      <c r="M68" t="str">
        <f>IFERROR(VLOOKUP(E68,Sales_Reps!$A$2:$C$31,3,FALSE()),"")</f>
        <v>West</v>
      </c>
      <c r="N68">
        <f>IFERROR(VLOOKUP(D68,Products!$A$2:$F$61,4,FALSE()),"")</f>
        <v>1435</v>
      </c>
      <c r="O68" t="str">
        <f>IFERROR(VLOOKUP(C68,Customers!$A$2:$F$301,5,FALSE()),"")</f>
        <v>Retail</v>
      </c>
      <c r="P68">
        <f>IFERROR(VLOOKUP(C68,Customers!$A$2:$F$301,3,FALSE()),"")</f>
        <v>39</v>
      </c>
      <c r="Q68">
        <f t="shared" si="3"/>
        <v>0.48007246376811596</v>
      </c>
      <c r="R68">
        <f>IF(AND(COUNTIF($A$2:$A$2047,A68)&gt;1,COUNTIF($A$2:A68,A68)=1),1,0)</f>
        <v>0</v>
      </c>
      <c r="S68" t="b">
        <f>IFERROR(VLOOKUP(D68,Products!$A$2:$F$61,6,FALSE()),"")</f>
        <v>1</v>
      </c>
      <c r="T68" t="str">
        <f>IF(COUNTIF(Customers!$A$2:$A$301,C68)=0,"Missing","OK")</f>
        <v>OK</v>
      </c>
      <c r="U68" t="str">
        <f t="shared" si="4"/>
        <v>Chennai</v>
      </c>
      <c r="V68">
        <f t="shared" si="5"/>
        <v>0</v>
      </c>
    </row>
    <row r="69" spans="1:22" ht="15" customHeight="1" x14ac:dyDescent="0.35">
      <c r="A69" s="3" t="s">
        <v>227</v>
      </c>
      <c r="B69" s="4">
        <v>45328</v>
      </c>
      <c r="C69" s="3" t="s">
        <v>228</v>
      </c>
      <c r="D69" s="3" t="s">
        <v>24</v>
      </c>
      <c r="E69" s="3" t="s">
        <v>177</v>
      </c>
      <c r="F69" s="5">
        <v>2</v>
      </c>
      <c r="G69" s="5">
        <v>3620</v>
      </c>
      <c r="H69" s="5">
        <v>19.100000000000001</v>
      </c>
      <c r="I69" s="5">
        <v>5857.16</v>
      </c>
      <c r="J69" s="3" t="s">
        <v>26</v>
      </c>
      <c r="K69" s="3" t="s">
        <v>33</v>
      </c>
      <c r="L69" t="str">
        <f>IFERROR(VLOOKUP(D69,Products!$A$2:$F$61,3,FALSE()),"")</f>
        <v>Apparel</v>
      </c>
      <c r="M69" t="str">
        <f>IFERROR(VLOOKUP(E69,Sales_Reps!$A$2:$C$31,3,FALSE()),"")</f>
        <v>East</v>
      </c>
      <c r="N69">
        <f>IFERROR(VLOOKUP(D69,Products!$A$2:$F$61,4,FALSE()),"")</f>
        <v>2509</v>
      </c>
      <c r="O69" t="str">
        <f>IFERROR(VLOOKUP(C69,Customers!$A$2:$F$301,5,FALSE()),"")</f>
        <v>Retail</v>
      </c>
      <c r="P69">
        <f>IFERROR(VLOOKUP(C69,Customers!$A$2:$F$301,3,FALSE()),"")</f>
        <v>38</v>
      </c>
      <c r="Q69">
        <f t="shared" si="3"/>
        <v>0.3069060773480663</v>
      </c>
      <c r="R69">
        <f>IF(AND(COUNTIF($A$2:$A$2047,A69)&gt;1,COUNTIF($A$2:A69,A69)=1),1,0)</f>
        <v>0</v>
      </c>
      <c r="S69" t="b">
        <f>IFERROR(VLOOKUP(D69,Products!$A$2:$F$61,6,FALSE()),"")</f>
        <v>1</v>
      </c>
      <c r="T69" t="str">
        <f>IF(COUNTIF(Customers!$A$2:$A$301,C69)=0,"Missing","OK")</f>
        <v>OK</v>
      </c>
      <c r="U69" t="str">
        <f t="shared" si="4"/>
        <v>Chennai</v>
      </c>
      <c r="V69">
        <f t="shared" si="5"/>
        <v>0</v>
      </c>
    </row>
    <row r="70" spans="1:22" ht="15" customHeight="1" x14ac:dyDescent="0.35">
      <c r="A70" s="3" t="s">
        <v>229</v>
      </c>
      <c r="B70" s="4">
        <v>45459</v>
      </c>
      <c r="C70" s="3" t="s">
        <v>230</v>
      </c>
      <c r="D70" s="3" t="s">
        <v>231</v>
      </c>
      <c r="E70" s="3" t="s">
        <v>50</v>
      </c>
      <c r="F70" s="5">
        <v>1</v>
      </c>
      <c r="G70" s="5">
        <v>620</v>
      </c>
      <c r="H70" s="5">
        <v>1</v>
      </c>
      <c r="I70" s="5">
        <v>613.79999999999995</v>
      </c>
      <c r="J70" s="3" t="s">
        <v>26</v>
      </c>
      <c r="K70" s="3" t="s">
        <v>38</v>
      </c>
      <c r="L70" t="str">
        <f>IFERROR(VLOOKUP(D70,Products!$A$2:$F$61,3,FALSE()),"")</f>
        <v>Apparel</v>
      </c>
      <c r="M70" t="str">
        <f>IFERROR(VLOOKUP(E70,Sales_Reps!$A$2:$C$31,3,FALSE()),"")</f>
        <v>West</v>
      </c>
      <c r="N70">
        <f>IFERROR(VLOOKUP(D70,Products!$A$2:$F$61,4,FALSE()),"")</f>
        <v>396</v>
      </c>
      <c r="O70" t="str">
        <f>IFERROR(VLOOKUP(C70,Customers!$A$2:$F$301,5,FALSE()),"")</f>
        <v>Retail</v>
      </c>
      <c r="P70">
        <f>IFERROR(VLOOKUP(C70,Customers!$A$2:$F$301,3,FALSE()),"")</f>
        <v>35</v>
      </c>
      <c r="Q70">
        <f t="shared" si="3"/>
        <v>0.36129032258064514</v>
      </c>
      <c r="R70">
        <f>IF(AND(COUNTIF($A$2:$A$2047,A70)&gt;1,COUNTIF($A$2:A70,A70)=1),1,0)</f>
        <v>0</v>
      </c>
      <c r="S70" t="b">
        <f>IFERROR(VLOOKUP(D70,Products!$A$2:$F$61,6,FALSE()),"")</f>
        <v>1</v>
      </c>
      <c r="T70" t="str">
        <f>IF(COUNTIF(Customers!$A$2:$A$301,C70)=0,"Missing","OK")</f>
        <v>OK</v>
      </c>
      <c r="U70" t="str">
        <f t="shared" si="4"/>
        <v>Delhi</v>
      </c>
      <c r="V70">
        <f t="shared" si="5"/>
        <v>0</v>
      </c>
    </row>
    <row r="71" spans="1:22" ht="15" customHeight="1" x14ac:dyDescent="0.35">
      <c r="A71" s="3" t="s">
        <v>232</v>
      </c>
      <c r="B71" s="4">
        <v>45398</v>
      </c>
      <c r="C71" s="3" t="s">
        <v>233</v>
      </c>
      <c r="D71" s="3" t="s">
        <v>234</v>
      </c>
      <c r="E71" s="3" t="s">
        <v>109</v>
      </c>
      <c r="F71" s="5">
        <v>1</v>
      </c>
      <c r="G71" s="5">
        <v>2030</v>
      </c>
      <c r="H71" s="5">
        <v>3.3</v>
      </c>
      <c r="I71" s="5">
        <v>1963.01</v>
      </c>
      <c r="J71" s="3" t="s">
        <v>26</v>
      </c>
      <c r="K71" s="3" t="s">
        <v>72</v>
      </c>
      <c r="L71" t="str">
        <f>IFERROR(VLOOKUP(D71,Products!$A$2:$F$61,3,FALSE()),"")</f>
        <v>Home</v>
      </c>
      <c r="M71" t="str">
        <f>IFERROR(VLOOKUP(E71,Sales_Reps!$A$2:$C$31,3,FALSE()),"")</f>
        <v>West</v>
      </c>
      <c r="N71">
        <f>IFERROR(VLOOKUP(D71,Products!$A$2:$F$61,4,FALSE()),"")</f>
        <v>1143</v>
      </c>
      <c r="O71" t="str">
        <f>IFERROR(VLOOKUP(C71,Customers!$A$2:$F$301,5,FALSE()),"")</f>
        <v>SMB</v>
      </c>
      <c r="P71">
        <f>IFERROR(VLOOKUP(C71,Customers!$A$2:$F$301,3,FALSE()),"")</f>
        <v>43</v>
      </c>
      <c r="Q71">
        <f t="shared" si="3"/>
        <v>0.43694581280788175</v>
      </c>
      <c r="R71">
        <f>IF(AND(COUNTIF($A$2:$A$2047,A71)&gt;1,COUNTIF($A$2:A71,A71)=1),1,0)</f>
        <v>0</v>
      </c>
      <c r="S71" t="b">
        <f>IFERROR(VLOOKUP(D71,Products!$A$2:$F$61,6,FALSE()),"")</f>
        <v>1</v>
      </c>
      <c r="T71" t="str">
        <f>IF(COUNTIF(Customers!$A$2:$A$301,C71)=0,"Missing","OK")</f>
        <v>OK</v>
      </c>
      <c r="U71" t="str">
        <f t="shared" si="4"/>
        <v>Hyderabad</v>
      </c>
      <c r="V71">
        <f t="shared" si="5"/>
        <v>0</v>
      </c>
    </row>
    <row r="72" spans="1:22" ht="15" customHeight="1" x14ac:dyDescent="0.35">
      <c r="A72" s="3" t="s">
        <v>235</v>
      </c>
      <c r="B72" s="4">
        <v>45470</v>
      </c>
      <c r="C72" s="3" t="s">
        <v>44</v>
      </c>
      <c r="D72" s="3" t="s">
        <v>45</v>
      </c>
      <c r="E72" s="3" t="s">
        <v>236</v>
      </c>
      <c r="F72" s="5">
        <v>10</v>
      </c>
      <c r="G72" s="5">
        <v>3160</v>
      </c>
      <c r="H72" s="5">
        <v>15.8</v>
      </c>
      <c r="I72" s="5">
        <v>26607.200000000001</v>
      </c>
      <c r="J72" s="3" t="s">
        <v>26</v>
      </c>
      <c r="K72" s="3" t="s">
        <v>33</v>
      </c>
      <c r="L72" t="str">
        <f>IFERROR(VLOOKUP(D72,Products!$A$2:$F$61,3,FALSE()),"")</f>
        <v>Apparel</v>
      </c>
      <c r="M72" t="str">
        <f>IFERROR(VLOOKUP(E72,Sales_Reps!$A$2:$C$31,3,FALSE()),"")</f>
        <v>North</v>
      </c>
      <c r="N72">
        <f>IFERROR(VLOOKUP(D72,Products!$A$2:$F$61,4,FALSE()),"")</f>
        <v>1886</v>
      </c>
      <c r="O72" t="str">
        <f>IFERROR(VLOOKUP(C72,Customers!$A$2:$F$301,5,FALSE()),"")</f>
        <v>Retail</v>
      </c>
      <c r="P72">
        <f>IFERROR(VLOOKUP(C72,Customers!$A$2:$F$301,3,FALSE()),"")</f>
        <v>36</v>
      </c>
      <c r="Q72">
        <f t="shared" si="3"/>
        <v>0.4031645569620253</v>
      </c>
      <c r="R72">
        <f>IF(AND(COUNTIF($A$2:$A$2047,A72)&gt;1,COUNTIF($A$2:A72,A72)=1),1,0)</f>
        <v>0</v>
      </c>
      <c r="S72" t="b">
        <f>IFERROR(VLOOKUP(D72,Products!$A$2:$F$61,6,FALSE()),"")</f>
        <v>1</v>
      </c>
      <c r="T72" t="str">
        <f>IF(COUNTIF(Customers!$A$2:$A$301,C72)=0,"Missing","OK")</f>
        <v>OK</v>
      </c>
      <c r="U72" t="str">
        <f t="shared" si="4"/>
        <v>Chennai</v>
      </c>
      <c r="V72">
        <f t="shared" si="5"/>
        <v>0</v>
      </c>
    </row>
    <row r="73" spans="1:22" ht="15" customHeight="1" x14ac:dyDescent="0.35">
      <c r="A73" s="3" t="s">
        <v>237</v>
      </c>
      <c r="B73" s="4">
        <v>45346</v>
      </c>
      <c r="C73" s="3" t="s">
        <v>238</v>
      </c>
      <c r="D73" s="3" t="s">
        <v>66</v>
      </c>
      <c r="E73" s="3" t="s">
        <v>154</v>
      </c>
      <c r="F73" s="5">
        <v>5</v>
      </c>
      <c r="G73" s="5">
        <v>970</v>
      </c>
      <c r="H73" s="5">
        <v>12.2</v>
      </c>
      <c r="I73" s="5">
        <v>4258.3</v>
      </c>
      <c r="J73" s="3" t="s">
        <v>26</v>
      </c>
      <c r="K73" s="3" t="s">
        <v>72</v>
      </c>
      <c r="L73" t="str">
        <f>IFERROR(VLOOKUP(D73,Products!$A$2:$F$61,3,FALSE()),"")</f>
        <v>Grocery</v>
      </c>
      <c r="M73" t="str">
        <f>IFERROR(VLOOKUP(E73,Sales_Reps!$A$2:$C$31,3,FALSE()),"")</f>
        <v>North</v>
      </c>
      <c r="N73">
        <f>IFERROR(VLOOKUP(D73,Products!$A$2:$F$61,4,FALSE()),"")</f>
        <v>434</v>
      </c>
      <c r="O73" t="str">
        <f>IFERROR(VLOOKUP(C73,Customers!$A$2:$F$301,5,FALSE()),"")</f>
        <v>Retail</v>
      </c>
      <c r="P73">
        <f>IFERROR(VLOOKUP(C73,Customers!$A$2:$F$301,3,FALSE()),"")</f>
        <v>29</v>
      </c>
      <c r="Q73">
        <f t="shared" si="3"/>
        <v>0.5525773195876289</v>
      </c>
      <c r="R73">
        <f>IF(AND(COUNTIF($A$2:$A$2047,A73)&gt;1,COUNTIF($A$2:A73,A73)=1),1,0)</f>
        <v>0</v>
      </c>
      <c r="S73" t="b">
        <f>IFERROR(VLOOKUP(D73,Products!$A$2:$F$61,6,FALSE()),"")</f>
        <v>1</v>
      </c>
      <c r="T73" t="str">
        <f>IF(COUNTIF(Customers!$A$2:$A$301,C73)=0,"Missing","OK")</f>
        <v>OK</v>
      </c>
      <c r="U73" t="str">
        <f t="shared" si="4"/>
        <v>Hyderabad</v>
      </c>
      <c r="V73">
        <f t="shared" si="5"/>
        <v>0</v>
      </c>
    </row>
    <row r="74" spans="1:22" ht="15" customHeight="1" x14ac:dyDescent="0.35">
      <c r="A74" s="3" t="s">
        <v>239</v>
      </c>
      <c r="B74" s="4">
        <v>45483</v>
      </c>
      <c r="C74" s="3" t="s">
        <v>240</v>
      </c>
      <c r="D74" s="3" t="s">
        <v>118</v>
      </c>
      <c r="E74" s="3" t="s">
        <v>87</v>
      </c>
      <c r="F74" s="5">
        <v>9</v>
      </c>
      <c r="G74" s="5">
        <v>3350</v>
      </c>
      <c r="H74" s="5">
        <v>25.8</v>
      </c>
      <c r="I74" s="5">
        <v>22371.3</v>
      </c>
      <c r="J74" s="3" t="s">
        <v>32</v>
      </c>
      <c r="K74" s="3" t="s">
        <v>33</v>
      </c>
      <c r="L74" t="str">
        <f>IFERROR(VLOOKUP(D74,Products!$A$2:$F$61,3,FALSE()),"")</f>
        <v>Beauty</v>
      </c>
      <c r="M74" t="str">
        <f>IFERROR(VLOOKUP(E74,Sales_Reps!$A$2:$C$31,3,FALSE()),"")</f>
        <v>North</v>
      </c>
      <c r="N74">
        <f>IFERROR(VLOOKUP(D74,Products!$A$2:$F$61,4,FALSE()),"")</f>
        <v>1728</v>
      </c>
      <c r="O74" t="str">
        <f>IFERROR(VLOOKUP(C74,Customers!$A$2:$F$301,5,FALSE()),"")</f>
        <v>Retail</v>
      </c>
      <c r="P74">
        <f>IFERROR(VLOOKUP(C74,Customers!$A$2:$F$301,3,FALSE()),"")</f>
        <v>41</v>
      </c>
      <c r="Q74">
        <f t="shared" si="3"/>
        <v>0.48417910447761192</v>
      </c>
      <c r="R74">
        <f>IF(AND(COUNTIF($A$2:$A$2047,A74)&gt;1,COUNTIF($A$2:A74,A74)=1),1,0)</f>
        <v>0</v>
      </c>
      <c r="S74" t="b">
        <f>IFERROR(VLOOKUP(D74,Products!$A$2:$F$61,6,FALSE()),"")</f>
        <v>1</v>
      </c>
      <c r="T74" t="str">
        <f>IF(COUNTIF(Customers!$A$2:$A$301,C74)=0,"Missing","OK")</f>
        <v>OK</v>
      </c>
      <c r="U74" t="str">
        <f t="shared" si="4"/>
        <v>Chennai</v>
      </c>
      <c r="V74">
        <f t="shared" si="5"/>
        <v>0</v>
      </c>
    </row>
    <row r="75" spans="1:22" ht="15" customHeight="1" x14ac:dyDescent="0.35">
      <c r="A75" s="3" t="s">
        <v>241</v>
      </c>
      <c r="B75" s="4">
        <v>45585</v>
      </c>
      <c r="C75" s="3" t="s">
        <v>197</v>
      </c>
      <c r="D75" s="3" t="s">
        <v>49</v>
      </c>
      <c r="E75" s="3" t="s">
        <v>242</v>
      </c>
      <c r="F75" s="5">
        <v>1</v>
      </c>
      <c r="G75" s="5">
        <v>370</v>
      </c>
      <c r="H75" s="5">
        <v>28.9</v>
      </c>
      <c r="I75" s="5">
        <v>263.07</v>
      </c>
      <c r="J75" s="3" t="s">
        <v>26</v>
      </c>
      <c r="K75" s="3" t="s">
        <v>38</v>
      </c>
      <c r="L75" t="str">
        <f>IFERROR(VLOOKUP(D75,Products!$A$2:$F$61,3,FALSE()),"")</f>
        <v>Home</v>
      </c>
      <c r="M75" t="str">
        <f>IFERROR(VLOOKUP(E75,Sales_Reps!$A$2:$C$31,3,FALSE()),"")</f>
        <v>East</v>
      </c>
      <c r="N75">
        <f>IFERROR(VLOOKUP(D75,Products!$A$2:$F$61,4,FALSE()),"")</f>
        <v>288</v>
      </c>
      <c r="O75" t="str">
        <f>IFERROR(VLOOKUP(C75,Customers!$A$2:$F$301,5,FALSE()),"")</f>
        <v>SMB</v>
      </c>
      <c r="P75">
        <f>IFERROR(VLOOKUP(C75,Customers!$A$2:$F$301,3,FALSE()),"")</f>
        <v>55</v>
      </c>
      <c r="Q75">
        <f t="shared" si="3"/>
        <v>0.22162162162162163</v>
      </c>
      <c r="R75">
        <f>IF(AND(COUNTIF($A$2:$A$2047,A75)&gt;1,COUNTIF($A$2:A75,A75)=1),1,0)</f>
        <v>0</v>
      </c>
      <c r="S75" t="b">
        <f>IFERROR(VLOOKUP(D75,Products!$A$2:$F$61,6,FALSE()),"")</f>
        <v>1</v>
      </c>
      <c r="T75" t="str">
        <f>IF(COUNTIF(Customers!$A$2:$A$301,C75)=0,"Missing","OK")</f>
        <v>OK</v>
      </c>
      <c r="U75" t="str">
        <f t="shared" si="4"/>
        <v>Delhi</v>
      </c>
      <c r="V75">
        <f t="shared" si="5"/>
        <v>0</v>
      </c>
    </row>
    <row r="76" spans="1:22" ht="15" customHeight="1" x14ac:dyDescent="0.35">
      <c r="A76" s="3" t="s">
        <v>243</v>
      </c>
      <c r="B76" s="4">
        <v>45500</v>
      </c>
      <c r="C76" s="3" t="s">
        <v>244</v>
      </c>
      <c r="D76" s="3" t="s">
        <v>66</v>
      </c>
      <c r="E76" s="3" t="s">
        <v>71</v>
      </c>
      <c r="F76" s="5">
        <v>3</v>
      </c>
      <c r="G76" s="5">
        <v>970</v>
      </c>
      <c r="H76" s="5">
        <v>4.3</v>
      </c>
      <c r="I76" s="5">
        <v>2784.87</v>
      </c>
      <c r="J76" s="3" t="s">
        <v>79</v>
      </c>
      <c r="K76" s="3" t="s">
        <v>72</v>
      </c>
      <c r="L76" t="str">
        <f>IFERROR(VLOOKUP(D76,Products!$A$2:$F$61,3,FALSE()),"")</f>
        <v>Grocery</v>
      </c>
      <c r="M76" t="str">
        <f>IFERROR(VLOOKUP(E76,Sales_Reps!$A$2:$C$31,3,FALSE()),"")</f>
        <v>South</v>
      </c>
      <c r="N76">
        <f>IFERROR(VLOOKUP(D76,Products!$A$2:$F$61,4,FALSE()),"")</f>
        <v>434</v>
      </c>
      <c r="O76" t="str">
        <f>IFERROR(VLOOKUP(C76,Customers!$A$2:$F$301,5,FALSE()),"")</f>
        <v>Corporate</v>
      </c>
      <c r="P76">
        <f>IFERROR(VLOOKUP(C76,Customers!$A$2:$F$301,3,FALSE()),"")</f>
        <v>46</v>
      </c>
      <c r="Q76">
        <f t="shared" si="3"/>
        <v>0.5525773195876289</v>
      </c>
      <c r="R76">
        <f>IF(AND(COUNTIF($A$2:$A$2047,A76)&gt;1,COUNTIF($A$2:A76,A76)=1),1,0)</f>
        <v>0</v>
      </c>
      <c r="S76" t="b">
        <f>IFERROR(VLOOKUP(D76,Products!$A$2:$F$61,6,FALSE()),"")</f>
        <v>1</v>
      </c>
      <c r="T76" t="str">
        <f>IF(COUNTIF(Customers!$A$2:$A$301,C76)=0,"Missing","OK")</f>
        <v>OK</v>
      </c>
      <c r="U76" t="str">
        <f t="shared" si="4"/>
        <v>Hyderabad</v>
      </c>
      <c r="V76">
        <f t="shared" si="5"/>
        <v>0</v>
      </c>
    </row>
    <row r="77" spans="1:22" ht="15" customHeight="1" x14ac:dyDescent="0.35">
      <c r="A77" s="3" t="s">
        <v>245</v>
      </c>
      <c r="B77" s="4">
        <v>45375</v>
      </c>
      <c r="C77" s="3" t="s">
        <v>81</v>
      </c>
      <c r="D77" s="3" t="s">
        <v>139</v>
      </c>
      <c r="E77" s="3" t="s">
        <v>224</v>
      </c>
      <c r="F77" s="5">
        <v>6</v>
      </c>
      <c r="G77" s="5">
        <v>2760</v>
      </c>
      <c r="H77" s="5">
        <v>19.899999999999999</v>
      </c>
      <c r="I77" s="5">
        <v>13264.56</v>
      </c>
      <c r="J77" s="3" t="s">
        <v>32</v>
      </c>
      <c r="K77" s="3" t="s">
        <v>27</v>
      </c>
      <c r="L77" t="str">
        <f>IFERROR(VLOOKUP(D77,Products!$A$2:$F$61,3,FALSE()),"")</f>
        <v>Grocery</v>
      </c>
      <c r="M77" t="str">
        <f>IFERROR(VLOOKUP(E77,Sales_Reps!$A$2:$C$31,3,FALSE()),"")</f>
        <v>East</v>
      </c>
      <c r="N77">
        <f>IFERROR(VLOOKUP(D77,Products!$A$2:$F$61,4,FALSE()),"")</f>
        <v>1435</v>
      </c>
      <c r="O77" t="str">
        <f>IFERROR(VLOOKUP(C77,Customers!$A$2:$F$301,5,FALSE()),"")</f>
        <v>SMB</v>
      </c>
      <c r="P77">
        <f>IFERROR(VLOOKUP(C77,Customers!$A$2:$F$301,3,FALSE()),"")</f>
        <v>39</v>
      </c>
      <c r="Q77">
        <f t="shared" si="3"/>
        <v>0.48007246376811596</v>
      </c>
      <c r="R77">
        <f>IF(AND(COUNTIF($A$2:$A$2047,A77)&gt;1,COUNTIF($A$2:A77,A77)=1),1,0)</f>
        <v>0</v>
      </c>
      <c r="S77" t="b">
        <f>IFERROR(VLOOKUP(D77,Products!$A$2:$F$61,6,FALSE()),"")</f>
        <v>1</v>
      </c>
      <c r="T77" t="str">
        <f>IF(COUNTIF(Customers!$A$2:$A$301,C77)=0,"Missing","OK")</f>
        <v>OK</v>
      </c>
      <c r="U77" t="str">
        <f t="shared" si="4"/>
        <v>Pune</v>
      </c>
      <c r="V77">
        <f t="shared" si="5"/>
        <v>0</v>
      </c>
    </row>
    <row r="78" spans="1:22" ht="15" customHeight="1" x14ac:dyDescent="0.35">
      <c r="A78" s="3" t="s">
        <v>246</v>
      </c>
      <c r="B78" s="4">
        <v>45443</v>
      </c>
      <c r="C78" s="3" t="s">
        <v>247</v>
      </c>
      <c r="D78" s="3" t="s">
        <v>139</v>
      </c>
      <c r="E78" s="3" t="s">
        <v>60</v>
      </c>
      <c r="F78" s="5">
        <v>7</v>
      </c>
      <c r="G78" s="5">
        <v>2760</v>
      </c>
      <c r="H78" s="5">
        <v>25.2</v>
      </c>
      <c r="I78" s="5">
        <v>14451.36</v>
      </c>
      <c r="J78" s="3" t="s">
        <v>26</v>
      </c>
      <c r="K78" s="3" t="s">
        <v>27</v>
      </c>
      <c r="L78" t="str">
        <f>IFERROR(VLOOKUP(D78,Products!$A$2:$F$61,3,FALSE()),"")</f>
        <v>Grocery</v>
      </c>
      <c r="M78" t="str">
        <f>IFERROR(VLOOKUP(E78,Sales_Reps!$A$2:$C$31,3,FALSE()),"")</f>
        <v>East</v>
      </c>
      <c r="N78">
        <f>IFERROR(VLOOKUP(D78,Products!$A$2:$F$61,4,FALSE()),"")</f>
        <v>1435</v>
      </c>
      <c r="O78" t="str">
        <f>IFERROR(VLOOKUP(C78,Customers!$A$2:$F$301,5,FALSE()),"")</f>
        <v>SMB</v>
      </c>
      <c r="P78">
        <f>IFERROR(VLOOKUP(C78,Customers!$A$2:$F$301,3,FALSE()),"")</f>
        <v>54</v>
      </c>
      <c r="Q78">
        <f t="shared" si="3"/>
        <v>0.48007246376811596</v>
      </c>
      <c r="R78">
        <f>IF(AND(COUNTIF($A$2:$A$2047,A78)&gt;1,COUNTIF($A$2:A78,A78)=1),1,0)</f>
        <v>0</v>
      </c>
      <c r="S78" t="b">
        <f>IFERROR(VLOOKUP(D78,Products!$A$2:$F$61,6,FALSE()),"")</f>
        <v>1</v>
      </c>
      <c r="T78" t="str">
        <f>IF(COUNTIF(Customers!$A$2:$A$301,C78)=0,"Missing","OK")</f>
        <v>OK</v>
      </c>
      <c r="U78" t="str">
        <f t="shared" si="4"/>
        <v>Pune</v>
      </c>
      <c r="V78">
        <f t="shared" si="5"/>
        <v>0</v>
      </c>
    </row>
    <row r="79" spans="1:22" ht="15" customHeight="1" x14ac:dyDescent="0.35">
      <c r="A79" s="3" t="s">
        <v>248</v>
      </c>
      <c r="B79" s="4">
        <v>45390</v>
      </c>
      <c r="C79" s="3" t="s">
        <v>249</v>
      </c>
      <c r="D79" s="3" t="s">
        <v>206</v>
      </c>
      <c r="E79" s="3" t="s">
        <v>224</v>
      </c>
      <c r="F79" s="5">
        <v>4</v>
      </c>
      <c r="G79" s="5">
        <v>1220</v>
      </c>
      <c r="H79" s="5">
        <v>8.4</v>
      </c>
      <c r="I79" s="5">
        <v>4470.08</v>
      </c>
      <c r="J79" s="3" t="s">
        <v>26</v>
      </c>
      <c r="K79" s="3" t="s">
        <v>56</v>
      </c>
      <c r="L79" t="str">
        <f>IFERROR(VLOOKUP(D79,Products!$A$2:$F$61,3,FALSE()),"")</f>
        <v>Electronics</v>
      </c>
      <c r="M79" t="str">
        <f>IFERROR(VLOOKUP(E79,Sales_Reps!$A$2:$C$31,3,FALSE()),"")</f>
        <v>East</v>
      </c>
      <c r="N79">
        <f>IFERROR(VLOOKUP(D79,Products!$A$2:$F$61,4,FALSE()),"")</f>
        <v>517</v>
      </c>
      <c r="O79" t="str">
        <f>IFERROR(VLOOKUP(C79,Customers!$A$2:$F$301,5,FALSE()),"")</f>
        <v>Retail</v>
      </c>
      <c r="P79">
        <f>IFERROR(VLOOKUP(C79,Customers!$A$2:$F$301,3,FALSE()),"")</f>
        <v>42</v>
      </c>
      <c r="Q79">
        <f t="shared" si="3"/>
        <v>0.57622950819672136</v>
      </c>
      <c r="R79">
        <f>IF(AND(COUNTIF($A$2:$A$2047,A79)&gt;1,COUNTIF($A$2:A79,A79)=1),1,0)</f>
        <v>0</v>
      </c>
      <c r="S79" t="b">
        <f>IFERROR(VLOOKUP(D79,Products!$A$2:$F$61,6,FALSE()),"")</f>
        <v>1</v>
      </c>
      <c r="T79" t="str">
        <f>IF(COUNTIF(Customers!$A$2:$A$301,C79)=0,"Missing","OK")</f>
        <v>OK</v>
      </c>
      <c r="U79" t="str">
        <f t="shared" si="4"/>
        <v>Bengaluru</v>
      </c>
      <c r="V79">
        <f t="shared" si="5"/>
        <v>0</v>
      </c>
    </row>
    <row r="80" spans="1:22" ht="15" customHeight="1" x14ac:dyDescent="0.35">
      <c r="A80" s="3" t="s">
        <v>250</v>
      </c>
      <c r="B80" s="4">
        <v>45615</v>
      </c>
      <c r="C80" s="3" t="s">
        <v>251</v>
      </c>
      <c r="D80" s="3" t="s">
        <v>77</v>
      </c>
      <c r="E80" s="3" t="s">
        <v>67</v>
      </c>
      <c r="F80" s="5">
        <v>2</v>
      </c>
      <c r="G80" s="5">
        <v>2600</v>
      </c>
      <c r="H80" s="5">
        <v>1.9</v>
      </c>
      <c r="I80" s="5">
        <v>5101.2</v>
      </c>
      <c r="J80" s="3" t="s">
        <v>32</v>
      </c>
      <c r="K80" s="3" t="s">
        <v>72</v>
      </c>
      <c r="L80" t="str">
        <f>IFERROR(VLOOKUP(D80,Products!$A$2:$F$61,3,FALSE()),"")</f>
        <v>Electronics</v>
      </c>
      <c r="M80" t="str">
        <f>IFERROR(VLOOKUP(E80,Sales_Reps!$A$2:$C$31,3,FALSE()),"")</f>
        <v>West</v>
      </c>
      <c r="N80">
        <f>IFERROR(VLOOKUP(D80,Products!$A$2:$F$61,4,FALSE()),"")</f>
        <v>1052</v>
      </c>
      <c r="O80" t="str">
        <f>IFERROR(VLOOKUP(C80,Customers!$A$2:$F$301,5,FALSE()),"")</f>
        <v>Retail</v>
      </c>
      <c r="P80">
        <f>IFERROR(VLOOKUP(C80,Customers!$A$2:$F$301,3,FALSE()),"")</f>
        <v>46</v>
      </c>
      <c r="Q80">
        <f t="shared" si="3"/>
        <v>0.5953846153846154</v>
      </c>
      <c r="R80">
        <f>IF(AND(COUNTIF($A$2:$A$2047,A80)&gt;1,COUNTIF($A$2:A80,A80)=1),1,0)</f>
        <v>0</v>
      </c>
      <c r="S80" t="b">
        <f>IFERROR(VLOOKUP(D80,Products!$A$2:$F$61,6,FALSE()),"")</f>
        <v>1</v>
      </c>
      <c r="T80" t="str">
        <f>IF(COUNTIF(Customers!$A$2:$A$301,C80)=0,"Missing","OK")</f>
        <v>OK</v>
      </c>
      <c r="U80" t="str">
        <f t="shared" si="4"/>
        <v>Hyderabad</v>
      </c>
      <c r="V80">
        <f t="shared" si="5"/>
        <v>0</v>
      </c>
    </row>
    <row r="81" spans="1:22" ht="15" customHeight="1" x14ac:dyDescent="0.35">
      <c r="A81" s="3" t="s">
        <v>252</v>
      </c>
      <c r="B81" s="4">
        <v>45498</v>
      </c>
      <c r="C81" s="3" t="s">
        <v>253</v>
      </c>
      <c r="D81" s="3" t="s">
        <v>203</v>
      </c>
      <c r="E81" s="3" t="s">
        <v>109</v>
      </c>
      <c r="F81" s="5">
        <v>9</v>
      </c>
      <c r="G81" s="5">
        <v>4070</v>
      </c>
      <c r="H81" s="5">
        <v>28.8</v>
      </c>
      <c r="I81" s="5">
        <v>26080.560000000001</v>
      </c>
      <c r="J81" s="3" t="s">
        <v>26</v>
      </c>
      <c r="K81" s="3" t="s">
        <v>27</v>
      </c>
      <c r="L81" t="str">
        <f>IFERROR(VLOOKUP(D81,Products!$A$2:$F$61,3,FALSE()),"")</f>
        <v>Grocery</v>
      </c>
      <c r="M81" t="str">
        <f>IFERROR(VLOOKUP(E81,Sales_Reps!$A$2:$C$31,3,FALSE()),"")</f>
        <v>West</v>
      </c>
      <c r="N81">
        <f>IFERROR(VLOOKUP(D81,Products!$A$2:$F$61,4,FALSE()),"")</f>
        <v>2027</v>
      </c>
      <c r="O81" t="str">
        <f>IFERROR(VLOOKUP(C81,Customers!$A$2:$F$301,5,FALSE()),"")</f>
        <v>Corporate</v>
      </c>
      <c r="P81">
        <f>IFERROR(VLOOKUP(C81,Customers!$A$2:$F$301,3,FALSE()),"")</f>
        <v>33</v>
      </c>
      <c r="Q81">
        <f t="shared" si="3"/>
        <v>0.50196560196560192</v>
      </c>
      <c r="R81">
        <f>IF(AND(COUNTIF($A$2:$A$2047,A81)&gt;1,COUNTIF($A$2:A81,A81)=1),1,0)</f>
        <v>0</v>
      </c>
      <c r="S81" t="b">
        <f>IFERROR(VLOOKUP(D81,Products!$A$2:$F$61,6,FALSE()),"")</f>
        <v>1</v>
      </c>
      <c r="T81" t="str">
        <f>IF(COUNTIF(Customers!$A$2:$A$301,C81)=0,"Missing","OK")</f>
        <v>OK</v>
      </c>
      <c r="U81" t="str">
        <f t="shared" si="4"/>
        <v>Pune</v>
      </c>
      <c r="V81">
        <f t="shared" si="5"/>
        <v>0</v>
      </c>
    </row>
    <row r="82" spans="1:22" ht="15" customHeight="1" x14ac:dyDescent="0.35">
      <c r="A82" s="3" t="s">
        <v>254</v>
      </c>
      <c r="B82" s="4">
        <v>45515</v>
      </c>
      <c r="C82" s="3" t="s">
        <v>255</v>
      </c>
      <c r="D82" s="3" t="s">
        <v>70</v>
      </c>
      <c r="E82" s="3" t="s">
        <v>31</v>
      </c>
      <c r="F82" s="5">
        <v>2</v>
      </c>
      <c r="G82" s="5">
        <v>2270</v>
      </c>
      <c r="H82" s="5">
        <v>18</v>
      </c>
      <c r="I82" s="5">
        <v>3722.8</v>
      </c>
      <c r="J82" s="3" t="s">
        <v>83</v>
      </c>
      <c r="K82" s="3" t="s">
        <v>27</v>
      </c>
      <c r="L82" t="str">
        <f>IFERROR(VLOOKUP(D82,Products!$A$2:$F$61,3,FALSE()),"")</f>
        <v>Grocery</v>
      </c>
      <c r="M82" t="str">
        <f>IFERROR(VLOOKUP(E82,Sales_Reps!$A$2:$C$31,3,FALSE()),"")</f>
        <v>North</v>
      </c>
      <c r="N82">
        <f>IFERROR(VLOOKUP(D82,Products!$A$2:$F$61,4,FALSE()),"")</f>
        <v>1203</v>
      </c>
      <c r="O82" t="str">
        <f>IFERROR(VLOOKUP(C82,Customers!$A$2:$F$301,5,FALSE()),"")</f>
        <v>SMB</v>
      </c>
      <c r="P82">
        <f>IFERROR(VLOOKUP(C82,Customers!$A$2:$F$301,3,FALSE()),"")</f>
        <v>60</v>
      </c>
      <c r="Q82">
        <f t="shared" si="3"/>
        <v>0.47004405286343615</v>
      </c>
      <c r="R82">
        <f>IF(AND(COUNTIF($A$2:$A$2047,A82)&gt;1,COUNTIF($A$2:A82,A82)=1),1,0)</f>
        <v>0</v>
      </c>
      <c r="S82" t="b">
        <f>IFERROR(VLOOKUP(D82,Products!$A$2:$F$61,6,FALSE()),"")</f>
        <v>1</v>
      </c>
      <c r="T82" t="str">
        <f>IF(COUNTIF(Customers!$A$2:$A$301,C82)=0,"Missing","OK")</f>
        <v>OK</v>
      </c>
      <c r="U82" t="str">
        <f t="shared" si="4"/>
        <v>Pune</v>
      </c>
      <c r="V82">
        <f t="shared" si="5"/>
        <v>0</v>
      </c>
    </row>
    <row r="83" spans="1:22" ht="15" customHeight="1" x14ac:dyDescent="0.35">
      <c r="A83" s="3" t="s">
        <v>256</v>
      </c>
      <c r="B83" s="4">
        <v>45528</v>
      </c>
      <c r="C83" s="3" t="s">
        <v>257</v>
      </c>
      <c r="D83" s="3" t="s">
        <v>45</v>
      </c>
      <c r="E83" s="3" t="s">
        <v>177</v>
      </c>
      <c r="F83" s="5">
        <v>2</v>
      </c>
      <c r="G83" s="5">
        <v>3160</v>
      </c>
      <c r="H83" s="5">
        <v>18.3</v>
      </c>
      <c r="I83" s="5">
        <v>5163.4399999999996</v>
      </c>
      <c r="J83" s="3" t="s">
        <v>26</v>
      </c>
      <c r="K83" s="3" t="s">
        <v>33</v>
      </c>
      <c r="L83" t="str">
        <f>IFERROR(VLOOKUP(D83,Products!$A$2:$F$61,3,FALSE()),"")</f>
        <v>Apparel</v>
      </c>
      <c r="M83" t="str">
        <f>IFERROR(VLOOKUP(E83,Sales_Reps!$A$2:$C$31,3,FALSE()),"")</f>
        <v>East</v>
      </c>
      <c r="N83">
        <f>IFERROR(VLOOKUP(D83,Products!$A$2:$F$61,4,FALSE()),"")</f>
        <v>1886</v>
      </c>
      <c r="O83" t="str">
        <f>IFERROR(VLOOKUP(C83,Customers!$A$2:$F$301,5,FALSE()),"")</f>
        <v>SMB</v>
      </c>
      <c r="P83">
        <f>IFERROR(VLOOKUP(C83,Customers!$A$2:$F$301,3,FALSE()),"")</f>
        <v>57</v>
      </c>
      <c r="Q83">
        <f t="shared" si="3"/>
        <v>0.4031645569620253</v>
      </c>
      <c r="R83">
        <f>IF(AND(COUNTIF($A$2:$A$2047,A83)&gt;1,COUNTIF($A$2:A83,A83)=1),1,0)</f>
        <v>0</v>
      </c>
      <c r="S83" t="b">
        <f>IFERROR(VLOOKUP(D83,Products!$A$2:$F$61,6,FALSE()),"")</f>
        <v>1</v>
      </c>
      <c r="T83" t="str">
        <f>IF(COUNTIF(Customers!$A$2:$A$301,C83)=0,"Missing","OK")</f>
        <v>OK</v>
      </c>
      <c r="U83" t="str">
        <f t="shared" si="4"/>
        <v>Chennai</v>
      </c>
      <c r="V83">
        <f t="shared" si="5"/>
        <v>0</v>
      </c>
    </row>
    <row r="84" spans="1:22" ht="15" customHeight="1" x14ac:dyDescent="0.35">
      <c r="A84" s="3" t="s">
        <v>258</v>
      </c>
      <c r="B84" s="4">
        <v>45402</v>
      </c>
      <c r="C84" s="3" t="s">
        <v>259</v>
      </c>
      <c r="D84" s="3" t="s">
        <v>106</v>
      </c>
      <c r="E84" s="3" t="s">
        <v>25</v>
      </c>
      <c r="F84" s="5">
        <v>4</v>
      </c>
      <c r="G84" s="5">
        <v>2480</v>
      </c>
      <c r="H84" s="5">
        <v>1.1000000000000001</v>
      </c>
      <c r="I84" s="5">
        <v>9810.8799999999992</v>
      </c>
      <c r="J84" s="3" t="s">
        <v>32</v>
      </c>
      <c r="K84" s="3" t="s">
        <v>72</v>
      </c>
      <c r="L84" t="str">
        <f>IFERROR(VLOOKUP(D84,Products!$A$2:$F$61,3,FALSE()),"")</f>
        <v>Apparel</v>
      </c>
      <c r="M84" t="str">
        <f>IFERROR(VLOOKUP(E84,Sales_Reps!$A$2:$C$31,3,FALSE()),"")</f>
        <v>North</v>
      </c>
      <c r="N84">
        <f>IFERROR(VLOOKUP(D84,Products!$A$2:$F$61,4,FALSE()),"")</f>
        <v>1173</v>
      </c>
      <c r="O84" t="str">
        <f>IFERROR(VLOOKUP(C84,Customers!$A$2:$F$301,5,FALSE()),"")</f>
        <v>SMB</v>
      </c>
      <c r="P84">
        <f>IFERROR(VLOOKUP(C84,Customers!$A$2:$F$301,3,FALSE()),"")</f>
        <v>36</v>
      </c>
      <c r="Q84">
        <f t="shared" si="3"/>
        <v>0.52701612903225803</v>
      </c>
      <c r="R84">
        <f>IF(AND(COUNTIF($A$2:$A$2047,A84)&gt;1,COUNTIF($A$2:A84,A84)=1),1,0)</f>
        <v>0</v>
      </c>
      <c r="S84" t="b">
        <f>IFERROR(VLOOKUP(D84,Products!$A$2:$F$61,6,FALSE()),"")</f>
        <v>1</v>
      </c>
      <c r="T84" t="str">
        <f>IF(COUNTIF(Customers!$A$2:$A$301,C84)=0,"Missing","OK")</f>
        <v>OK</v>
      </c>
      <c r="U84" t="str">
        <f t="shared" si="4"/>
        <v>Hyderabad</v>
      </c>
      <c r="V84">
        <f t="shared" si="5"/>
        <v>0</v>
      </c>
    </row>
    <row r="85" spans="1:22" ht="15" customHeight="1" x14ac:dyDescent="0.35">
      <c r="A85" s="3" t="s">
        <v>260</v>
      </c>
      <c r="B85" s="4">
        <v>45547</v>
      </c>
      <c r="C85" s="3" t="s">
        <v>261</v>
      </c>
      <c r="D85" s="3" t="s">
        <v>218</v>
      </c>
      <c r="E85" s="3" t="s">
        <v>140</v>
      </c>
      <c r="F85" s="5">
        <v>1</v>
      </c>
      <c r="G85" s="5">
        <v>2660</v>
      </c>
      <c r="H85" s="5">
        <v>21</v>
      </c>
      <c r="I85" s="5">
        <v>2101.4</v>
      </c>
      <c r="J85" s="3" t="s">
        <v>26</v>
      </c>
      <c r="K85" s="3" t="s">
        <v>38</v>
      </c>
      <c r="L85" t="str">
        <f>IFERROR(VLOOKUP(D85,Products!$A$2:$F$61,3,FALSE()),"")</f>
        <v>Electronics</v>
      </c>
      <c r="M85" t="str">
        <f>IFERROR(VLOOKUP(E85,Sales_Reps!$A$2:$C$31,3,FALSE()),"")</f>
        <v>West</v>
      </c>
      <c r="N85">
        <f>IFERROR(VLOOKUP(D85,Products!$A$2:$F$61,4,FALSE()),"")</f>
        <v>1259</v>
      </c>
      <c r="O85" t="str">
        <f>IFERROR(VLOOKUP(C85,Customers!$A$2:$F$301,5,FALSE()),"")</f>
        <v>Retail</v>
      </c>
      <c r="P85">
        <f>IFERROR(VLOOKUP(C85,Customers!$A$2:$F$301,3,FALSE()),"")</f>
        <v>31</v>
      </c>
      <c r="Q85">
        <f t="shared" si="3"/>
        <v>0.52669172932330832</v>
      </c>
      <c r="R85">
        <f>IF(AND(COUNTIF($A$2:$A$2047,A85)&gt;1,COUNTIF($A$2:A85,A85)=1),1,0)</f>
        <v>0</v>
      </c>
      <c r="S85" t="b">
        <f>IFERROR(VLOOKUP(D85,Products!$A$2:$F$61,6,FALSE()),"")</f>
        <v>0</v>
      </c>
      <c r="T85" t="str">
        <f>IF(COUNTIF(Customers!$A$2:$A$301,C85)=0,"Missing","OK")</f>
        <v>OK</v>
      </c>
      <c r="U85" t="str">
        <f t="shared" si="4"/>
        <v>Delhi</v>
      </c>
      <c r="V85">
        <f t="shared" si="5"/>
        <v>0</v>
      </c>
    </row>
    <row r="86" spans="1:22" ht="15" customHeight="1" x14ac:dyDescent="0.35">
      <c r="A86" s="3" t="s">
        <v>262</v>
      </c>
      <c r="B86" s="4">
        <v>45424</v>
      </c>
      <c r="C86" s="3" t="s">
        <v>263</v>
      </c>
      <c r="D86" s="3" t="s">
        <v>215</v>
      </c>
      <c r="E86" s="3" t="s">
        <v>264</v>
      </c>
      <c r="F86" s="5">
        <v>5</v>
      </c>
      <c r="G86" s="5">
        <v>3020</v>
      </c>
      <c r="H86" s="5">
        <v>22.2</v>
      </c>
      <c r="I86" s="5">
        <v>11747.8</v>
      </c>
      <c r="J86" s="3" t="s">
        <v>26</v>
      </c>
      <c r="K86" s="3" t="s">
        <v>72</v>
      </c>
      <c r="L86" t="str">
        <f>IFERROR(VLOOKUP(D86,Products!$A$2:$F$61,3,FALSE()),"")</f>
        <v>Beauty</v>
      </c>
      <c r="M86" t="str">
        <f>IFERROR(VLOOKUP(E86,Sales_Reps!$A$2:$C$31,3,FALSE()),"")</f>
        <v>South</v>
      </c>
      <c r="N86">
        <f>IFERROR(VLOOKUP(D86,Products!$A$2:$F$61,4,FALSE()),"")</f>
        <v>1626</v>
      </c>
      <c r="O86" t="str">
        <f>IFERROR(VLOOKUP(C86,Customers!$A$2:$F$301,5,FALSE()),"")</f>
        <v>Retail</v>
      </c>
      <c r="P86">
        <f>IFERROR(VLOOKUP(C86,Customers!$A$2:$F$301,3,FALSE()),"")</f>
        <v>28</v>
      </c>
      <c r="Q86">
        <f t="shared" si="3"/>
        <v>0.46158940397350995</v>
      </c>
      <c r="R86">
        <f>IF(AND(COUNTIF($A$2:$A$2047,A86)&gt;1,COUNTIF($A$2:A86,A86)=1),1,0)</f>
        <v>0</v>
      </c>
      <c r="S86" t="b">
        <f>IFERROR(VLOOKUP(D86,Products!$A$2:$F$61,6,FALSE()),"")</f>
        <v>1</v>
      </c>
      <c r="T86" t="str">
        <f>IF(COUNTIF(Customers!$A$2:$A$301,C86)=0,"Missing","OK")</f>
        <v>OK</v>
      </c>
      <c r="U86" t="str">
        <f t="shared" si="4"/>
        <v>Hyderabad</v>
      </c>
      <c r="V86">
        <f t="shared" si="5"/>
        <v>0</v>
      </c>
    </row>
    <row r="87" spans="1:22" ht="15" customHeight="1" x14ac:dyDescent="0.35">
      <c r="A87" s="3" t="s">
        <v>265</v>
      </c>
      <c r="B87" s="4">
        <v>45461</v>
      </c>
      <c r="C87" s="3" t="s">
        <v>133</v>
      </c>
      <c r="D87" s="3" t="s">
        <v>231</v>
      </c>
      <c r="E87" s="3" t="s">
        <v>109</v>
      </c>
      <c r="F87" s="5">
        <v>9</v>
      </c>
      <c r="G87" s="5">
        <v>620</v>
      </c>
      <c r="H87" s="5">
        <v>23.3</v>
      </c>
      <c r="I87" s="5">
        <v>4279.8599999999997</v>
      </c>
      <c r="J87" s="3" t="s">
        <v>26</v>
      </c>
      <c r="K87" s="3" t="s">
        <v>27</v>
      </c>
      <c r="L87" t="str">
        <f>IFERROR(VLOOKUP(D87,Products!$A$2:$F$61,3,FALSE()),"")</f>
        <v>Apparel</v>
      </c>
      <c r="M87" t="str">
        <f>IFERROR(VLOOKUP(E87,Sales_Reps!$A$2:$C$31,3,FALSE()),"")</f>
        <v>West</v>
      </c>
      <c r="N87">
        <f>IFERROR(VLOOKUP(D87,Products!$A$2:$F$61,4,FALSE()),"")</f>
        <v>396</v>
      </c>
      <c r="O87" t="str">
        <f>IFERROR(VLOOKUP(C87,Customers!$A$2:$F$301,5,FALSE()),"")</f>
        <v>SMB</v>
      </c>
      <c r="P87">
        <f>IFERROR(VLOOKUP(C87,Customers!$A$2:$F$301,3,FALSE()),"")</f>
        <v>44</v>
      </c>
      <c r="Q87">
        <f t="shared" si="3"/>
        <v>0.36129032258064514</v>
      </c>
      <c r="R87">
        <f>IF(AND(COUNTIF($A$2:$A$2047,A87)&gt;1,COUNTIF($A$2:A87,A87)=1),1,0)</f>
        <v>0</v>
      </c>
      <c r="S87" t="b">
        <f>IFERROR(VLOOKUP(D87,Products!$A$2:$F$61,6,FALSE()),"")</f>
        <v>1</v>
      </c>
      <c r="T87" t="str">
        <f>IF(COUNTIF(Customers!$A$2:$A$301,C87)=0,"Missing","OK")</f>
        <v>OK</v>
      </c>
      <c r="U87" t="str">
        <f t="shared" si="4"/>
        <v>Pune</v>
      </c>
      <c r="V87">
        <f t="shared" si="5"/>
        <v>0</v>
      </c>
    </row>
    <row r="88" spans="1:22" ht="15" customHeight="1" x14ac:dyDescent="0.35">
      <c r="A88" s="3" t="s">
        <v>266</v>
      </c>
      <c r="B88" s="4">
        <v>45600</v>
      </c>
      <c r="C88" s="3" t="s">
        <v>267</v>
      </c>
      <c r="D88" s="3" t="s">
        <v>36</v>
      </c>
      <c r="E88" s="3" t="s">
        <v>140</v>
      </c>
      <c r="F88" s="5">
        <v>2</v>
      </c>
      <c r="G88" s="5">
        <v>470</v>
      </c>
      <c r="H88" s="5">
        <v>5.4</v>
      </c>
      <c r="I88" s="5">
        <v>889.24</v>
      </c>
      <c r="J88" s="3" t="s">
        <v>26</v>
      </c>
      <c r="K88" s="3" t="s">
        <v>33</v>
      </c>
      <c r="L88" t="str">
        <f>IFERROR(VLOOKUP(D88,Products!$A$2:$F$61,3,FALSE()),"")</f>
        <v>Sports</v>
      </c>
      <c r="M88" t="str">
        <f>IFERROR(VLOOKUP(E88,Sales_Reps!$A$2:$C$31,3,FALSE()),"")</f>
        <v>West</v>
      </c>
      <c r="N88">
        <f>IFERROR(VLOOKUP(D88,Products!$A$2:$F$61,4,FALSE()),"")</f>
        <v>302</v>
      </c>
      <c r="O88" t="str">
        <f>IFERROR(VLOOKUP(C88,Customers!$A$2:$F$301,5,FALSE()),"")</f>
        <v>Retail</v>
      </c>
      <c r="P88">
        <f>IFERROR(VLOOKUP(C88,Customers!$A$2:$F$301,3,FALSE()),"")</f>
        <v>28</v>
      </c>
      <c r="Q88">
        <f t="shared" si="3"/>
        <v>0.35744680851063831</v>
      </c>
      <c r="R88">
        <f>IF(AND(COUNTIF($A$2:$A$2047,A88)&gt;1,COUNTIF($A$2:A88,A88)=1),1,0)</f>
        <v>0</v>
      </c>
      <c r="S88" t="b">
        <f>IFERROR(VLOOKUP(D88,Products!$A$2:$F$61,6,FALSE()),"")</f>
        <v>0</v>
      </c>
      <c r="T88" t="str">
        <f>IF(COUNTIF(Customers!$A$2:$A$301,C88)=0,"Missing","OK")</f>
        <v>OK</v>
      </c>
      <c r="U88" t="str">
        <f t="shared" si="4"/>
        <v>Chennai</v>
      </c>
      <c r="V88">
        <f t="shared" si="5"/>
        <v>0</v>
      </c>
    </row>
    <row r="89" spans="1:22" ht="15" customHeight="1" x14ac:dyDescent="0.35">
      <c r="A89" s="3" t="s">
        <v>268</v>
      </c>
      <c r="B89" s="4">
        <v>45587</v>
      </c>
      <c r="C89" s="3" t="s">
        <v>111</v>
      </c>
      <c r="D89" s="3" t="s">
        <v>59</v>
      </c>
      <c r="E89" s="3" t="s">
        <v>71</v>
      </c>
      <c r="F89" s="5">
        <v>3</v>
      </c>
      <c r="G89" s="5">
        <v>1430</v>
      </c>
      <c r="H89" s="5">
        <v>6.5</v>
      </c>
      <c r="I89" s="5">
        <v>4011.15</v>
      </c>
      <c r="J89" s="3" t="s">
        <v>26</v>
      </c>
      <c r="K89" s="3" t="s">
        <v>27</v>
      </c>
      <c r="L89" t="str">
        <f>IFERROR(VLOOKUP(D89,Products!$A$2:$F$61,3,FALSE()),"")</f>
        <v>Electronics</v>
      </c>
      <c r="M89" t="str">
        <f>IFERROR(VLOOKUP(E89,Sales_Reps!$A$2:$C$31,3,FALSE()),"")</f>
        <v>South</v>
      </c>
      <c r="N89">
        <f>IFERROR(VLOOKUP(D89,Products!$A$2:$F$61,4,FALSE()),"")</f>
        <v>861</v>
      </c>
      <c r="O89" t="str">
        <f>IFERROR(VLOOKUP(C89,Customers!$A$2:$F$301,5,FALSE()),"")</f>
        <v>Retail</v>
      </c>
      <c r="P89">
        <f>IFERROR(VLOOKUP(C89,Customers!$A$2:$F$301,3,FALSE()),"")</f>
        <v>50</v>
      </c>
      <c r="Q89">
        <f t="shared" si="3"/>
        <v>0.39790209790209791</v>
      </c>
      <c r="R89">
        <f>IF(AND(COUNTIF($A$2:$A$2047,A89)&gt;1,COUNTIF($A$2:A89,A89)=1),1,0)</f>
        <v>0</v>
      </c>
      <c r="S89" t="b">
        <f>IFERROR(VLOOKUP(D89,Products!$A$2:$F$61,6,FALSE()),"")</f>
        <v>1</v>
      </c>
      <c r="T89" t="str">
        <f>IF(COUNTIF(Customers!$A$2:$A$301,C89)=0,"Missing","OK")</f>
        <v>OK</v>
      </c>
      <c r="U89" t="str">
        <f t="shared" si="4"/>
        <v>Pune</v>
      </c>
      <c r="V89">
        <f t="shared" si="5"/>
        <v>0</v>
      </c>
    </row>
    <row r="90" spans="1:22" ht="15" customHeight="1" x14ac:dyDescent="0.35">
      <c r="A90" s="3" t="s">
        <v>269</v>
      </c>
      <c r="B90" s="4">
        <v>45518</v>
      </c>
      <c r="C90" s="3" t="s">
        <v>270</v>
      </c>
      <c r="D90" s="3" t="s">
        <v>231</v>
      </c>
      <c r="E90" s="3" t="s">
        <v>78</v>
      </c>
      <c r="F90" s="5">
        <v>6</v>
      </c>
      <c r="G90" s="5">
        <v>620</v>
      </c>
      <c r="H90" s="5">
        <v>2.6</v>
      </c>
      <c r="I90" s="5">
        <v>3623.28</v>
      </c>
      <c r="J90" s="3" t="s">
        <v>26</v>
      </c>
      <c r="K90" s="3" t="s">
        <v>56</v>
      </c>
      <c r="L90" t="str">
        <f>IFERROR(VLOOKUP(D90,Products!$A$2:$F$61,3,FALSE()),"")</f>
        <v>Apparel</v>
      </c>
      <c r="M90" t="str">
        <f>IFERROR(VLOOKUP(E90,Sales_Reps!$A$2:$C$31,3,FALSE()),"")</f>
        <v>North</v>
      </c>
      <c r="N90">
        <f>IFERROR(VLOOKUP(D90,Products!$A$2:$F$61,4,FALSE()),"")</f>
        <v>396</v>
      </c>
      <c r="O90" t="str">
        <f>IFERROR(VLOOKUP(C90,Customers!$A$2:$F$301,5,FALSE()),"")</f>
        <v>Corporate</v>
      </c>
      <c r="P90">
        <f>IFERROR(VLOOKUP(C90,Customers!$A$2:$F$301,3,FALSE()),"")</f>
        <v>59</v>
      </c>
      <c r="Q90">
        <f t="shared" si="3"/>
        <v>0.36129032258064514</v>
      </c>
      <c r="R90">
        <f>IF(AND(COUNTIF($A$2:$A$2047,A90)&gt;1,COUNTIF($A$2:A90,A90)=1),1,0)</f>
        <v>0</v>
      </c>
      <c r="S90" t="b">
        <f>IFERROR(VLOOKUP(D90,Products!$A$2:$F$61,6,FALSE()),"")</f>
        <v>1</v>
      </c>
      <c r="T90" t="str">
        <f>IF(COUNTIF(Customers!$A$2:$A$301,C90)=0,"Missing","OK")</f>
        <v>OK</v>
      </c>
      <c r="U90" t="str">
        <f t="shared" si="4"/>
        <v>Bengaluru</v>
      </c>
      <c r="V90">
        <f t="shared" si="5"/>
        <v>0</v>
      </c>
    </row>
    <row r="91" spans="1:22" ht="15" customHeight="1" x14ac:dyDescent="0.35">
      <c r="A91" s="3" t="s">
        <v>271</v>
      </c>
      <c r="B91" s="4">
        <v>45533</v>
      </c>
      <c r="C91" s="3" t="s">
        <v>272</v>
      </c>
      <c r="D91" s="3" t="s">
        <v>126</v>
      </c>
      <c r="E91" s="3" t="s">
        <v>264</v>
      </c>
      <c r="F91" s="5">
        <v>4</v>
      </c>
      <c r="G91" s="5">
        <v>3570</v>
      </c>
      <c r="H91" s="5">
        <v>4.5</v>
      </c>
      <c r="I91" s="5">
        <v>13637.4</v>
      </c>
      <c r="J91" s="3" t="s">
        <v>32</v>
      </c>
      <c r="K91" s="3" t="s">
        <v>72</v>
      </c>
      <c r="L91" t="str">
        <f>IFERROR(VLOOKUP(D91,Products!$A$2:$F$61,3,FALSE()),"")</f>
        <v>Electronics</v>
      </c>
      <c r="M91" t="str">
        <f>IFERROR(VLOOKUP(E91,Sales_Reps!$A$2:$C$31,3,FALSE()),"")</f>
        <v>South</v>
      </c>
      <c r="N91">
        <f>IFERROR(VLOOKUP(D91,Products!$A$2:$F$61,4,FALSE()),"")</f>
        <v>1665</v>
      </c>
      <c r="O91" t="str">
        <f>IFERROR(VLOOKUP(C91,Customers!$A$2:$F$301,5,FALSE()),"")</f>
        <v>SMB</v>
      </c>
      <c r="P91">
        <f>IFERROR(VLOOKUP(C91,Customers!$A$2:$F$301,3,FALSE()),"")</f>
        <v>65</v>
      </c>
      <c r="Q91">
        <f t="shared" si="3"/>
        <v>0.53361344537815125</v>
      </c>
      <c r="R91">
        <f>IF(AND(COUNTIF($A$2:$A$2047,A91)&gt;1,COUNTIF($A$2:A91,A91)=1),1,0)</f>
        <v>0</v>
      </c>
      <c r="S91" t="b">
        <f>IFERROR(VLOOKUP(D91,Products!$A$2:$F$61,6,FALSE()),"")</f>
        <v>1</v>
      </c>
      <c r="T91" t="str">
        <f>IF(COUNTIF(Customers!$A$2:$A$301,C91)=0,"Missing","OK")</f>
        <v>OK</v>
      </c>
      <c r="U91" t="str">
        <f t="shared" si="4"/>
        <v>Hyderabad</v>
      </c>
      <c r="V91">
        <f t="shared" si="5"/>
        <v>0</v>
      </c>
    </row>
    <row r="92" spans="1:22" ht="15" customHeight="1" x14ac:dyDescent="0.35">
      <c r="A92" s="3" t="s">
        <v>273</v>
      </c>
      <c r="B92" s="4">
        <v>45622</v>
      </c>
      <c r="C92" s="3" t="s">
        <v>244</v>
      </c>
      <c r="D92" s="3" t="s">
        <v>184</v>
      </c>
      <c r="E92" s="3" t="s">
        <v>71</v>
      </c>
      <c r="F92" s="5">
        <v>6</v>
      </c>
      <c r="G92" s="5">
        <v>2270</v>
      </c>
      <c r="H92" s="5">
        <v>2</v>
      </c>
      <c r="I92" s="5">
        <v>13347.6</v>
      </c>
      <c r="J92" s="3" t="s">
        <v>26</v>
      </c>
      <c r="K92" s="3" t="s">
        <v>72</v>
      </c>
      <c r="L92" t="str">
        <f>IFERROR(VLOOKUP(D92,Products!$A$2:$F$61,3,FALSE()),"")</f>
        <v>Grocery</v>
      </c>
      <c r="M92" t="str">
        <f>IFERROR(VLOOKUP(E92,Sales_Reps!$A$2:$C$31,3,FALSE()),"")</f>
        <v>South</v>
      </c>
      <c r="N92">
        <f>IFERROR(VLOOKUP(D92,Products!$A$2:$F$61,4,FALSE()),"")</f>
        <v>1412</v>
      </c>
      <c r="O92" t="str">
        <f>IFERROR(VLOOKUP(C92,Customers!$A$2:$F$301,5,FALSE()),"")</f>
        <v>Corporate</v>
      </c>
      <c r="P92">
        <f>IFERROR(VLOOKUP(C92,Customers!$A$2:$F$301,3,FALSE()),"")</f>
        <v>46</v>
      </c>
      <c r="Q92">
        <f t="shared" si="3"/>
        <v>0.37797356828193834</v>
      </c>
      <c r="R92">
        <f>IF(AND(COUNTIF($A$2:$A$2047,A92)&gt;1,COUNTIF($A$2:A92,A92)=1),1,0)</f>
        <v>0</v>
      </c>
      <c r="S92" t="b">
        <f>IFERROR(VLOOKUP(D92,Products!$A$2:$F$61,6,FALSE()),"")</f>
        <v>1</v>
      </c>
      <c r="T92" t="str">
        <f>IF(COUNTIF(Customers!$A$2:$A$301,C92)=0,"Missing","OK")</f>
        <v>OK</v>
      </c>
      <c r="U92" t="str">
        <f t="shared" si="4"/>
        <v>Hyderabad</v>
      </c>
      <c r="V92">
        <f t="shared" si="5"/>
        <v>0</v>
      </c>
    </row>
    <row r="93" spans="1:22" ht="15" customHeight="1" x14ac:dyDescent="0.35">
      <c r="A93" s="3" t="s">
        <v>274</v>
      </c>
      <c r="B93" s="4">
        <v>45328</v>
      </c>
      <c r="C93" s="3" t="s">
        <v>275</v>
      </c>
      <c r="D93" s="3" t="s">
        <v>112</v>
      </c>
      <c r="E93" s="3" t="s">
        <v>37</v>
      </c>
      <c r="F93" s="5">
        <v>7</v>
      </c>
      <c r="G93" s="5">
        <v>2720</v>
      </c>
      <c r="H93" s="5">
        <v>15.4</v>
      </c>
      <c r="I93" s="5">
        <v>16107.84</v>
      </c>
      <c r="J93" s="3" t="s">
        <v>26</v>
      </c>
      <c r="K93" s="3" t="s">
        <v>51</v>
      </c>
      <c r="L93" t="str">
        <f>IFERROR(VLOOKUP(D93,Products!$A$2:$F$61,3,FALSE()),"")</f>
        <v>Apparel</v>
      </c>
      <c r="M93" t="str">
        <f>IFERROR(VLOOKUP(E93,Sales_Reps!$A$2:$C$31,3,FALSE()),"")</f>
        <v>South</v>
      </c>
      <c r="N93">
        <f>IFERROR(VLOOKUP(D93,Products!$A$2:$F$61,4,FALSE()),"")</f>
        <v>1962</v>
      </c>
      <c r="O93" t="str">
        <f>IFERROR(VLOOKUP(C93,Customers!$A$2:$F$301,5,FALSE()),"")</f>
        <v>Retail</v>
      </c>
      <c r="P93">
        <f>IFERROR(VLOOKUP(C93,Customers!$A$2:$F$301,3,FALSE()),"")</f>
        <v>49</v>
      </c>
      <c r="Q93">
        <f t="shared" si="3"/>
        <v>0.2786764705882353</v>
      </c>
      <c r="R93">
        <f>IF(AND(COUNTIF($A$2:$A$2047,A93)&gt;1,COUNTIF($A$2:A93,A93)=1),1,0)</f>
        <v>0</v>
      </c>
      <c r="S93" t="b">
        <f>IFERROR(VLOOKUP(D93,Products!$A$2:$F$61,6,FALSE()),"")</f>
        <v>1</v>
      </c>
      <c r="T93" t="str">
        <f>IF(COUNTIF(Customers!$A$2:$A$301,C93)=0,"Missing","OK")</f>
        <v>OK</v>
      </c>
      <c r="U93" t="str">
        <f t="shared" si="4"/>
        <v>Mumbai</v>
      </c>
      <c r="V93">
        <f t="shared" si="5"/>
        <v>0</v>
      </c>
    </row>
    <row r="94" spans="1:22" ht="15" customHeight="1" x14ac:dyDescent="0.35">
      <c r="A94" s="3" t="s">
        <v>276</v>
      </c>
      <c r="B94" s="4">
        <v>45380</v>
      </c>
      <c r="C94" s="3" t="s">
        <v>228</v>
      </c>
      <c r="D94" s="3" t="s">
        <v>277</v>
      </c>
      <c r="E94" s="3" t="s">
        <v>154</v>
      </c>
      <c r="F94" s="5">
        <v>9</v>
      </c>
      <c r="G94" s="5">
        <v>2210</v>
      </c>
      <c r="H94" s="5">
        <v>12.4</v>
      </c>
      <c r="I94" s="5">
        <v>17423.64</v>
      </c>
      <c r="J94" s="3" t="s">
        <v>26</v>
      </c>
      <c r="K94" s="3" t="s">
        <v>33</v>
      </c>
      <c r="L94" t="str">
        <f>IFERROR(VLOOKUP(D94,Products!$A$2:$F$61,3,FALSE()),"")</f>
        <v>Grocery</v>
      </c>
      <c r="M94" t="str">
        <f>IFERROR(VLOOKUP(E94,Sales_Reps!$A$2:$C$31,3,FALSE()),"")</f>
        <v>North</v>
      </c>
      <c r="N94">
        <f>IFERROR(VLOOKUP(D94,Products!$A$2:$F$61,4,FALSE()),"")</f>
        <v>1010</v>
      </c>
      <c r="O94" t="str">
        <f>IFERROR(VLOOKUP(C94,Customers!$A$2:$F$301,5,FALSE()),"")</f>
        <v>Retail</v>
      </c>
      <c r="P94">
        <f>IFERROR(VLOOKUP(C94,Customers!$A$2:$F$301,3,FALSE()),"")</f>
        <v>38</v>
      </c>
      <c r="Q94">
        <f t="shared" si="3"/>
        <v>0.54298642533936647</v>
      </c>
      <c r="R94">
        <f>IF(AND(COUNTIF($A$2:$A$2047,A94)&gt;1,COUNTIF($A$2:A94,A94)=1),1,0)</f>
        <v>0</v>
      </c>
      <c r="S94" t="b">
        <f>IFERROR(VLOOKUP(D94,Products!$A$2:$F$61,6,FALSE()),"")</f>
        <v>1</v>
      </c>
      <c r="T94" t="str">
        <f>IF(COUNTIF(Customers!$A$2:$A$301,C94)=0,"Missing","OK")</f>
        <v>OK</v>
      </c>
      <c r="U94" t="str">
        <f t="shared" si="4"/>
        <v>Chennai</v>
      </c>
      <c r="V94">
        <f t="shared" si="5"/>
        <v>0</v>
      </c>
    </row>
    <row r="95" spans="1:22" ht="15" customHeight="1" x14ac:dyDescent="0.35">
      <c r="A95" s="3" t="s">
        <v>278</v>
      </c>
      <c r="B95" s="4">
        <v>45648</v>
      </c>
      <c r="C95" s="3" t="s">
        <v>279</v>
      </c>
      <c r="D95" s="3" t="s">
        <v>86</v>
      </c>
      <c r="E95" s="3" t="s">
        <v>140</v>
      </c>
      <c r="F95" s="5">
        <v>6</v>
      </c>
      <c r="G95" s="5">
        <v>190</v>
      </c>
      <c r="H95" s="5">
        <v>19.2</v>
      </c>
      <c r="I95" s="5">
        <v>921.12</v>
      </c>
      <c r="J95" s="3" t="s">
        <v>26</v>
      </c>
      <c r="K95" s="3" t="s">
        <v>27</v>
      </c>
      <c r="L95" t="str">
        <f>IFERROR(VLOOKUP(D95,Products!$A$2:$F$61,3,FALSE()),"")</f>
        <v>Sports</v>
      </c>
      <c r="M95" t="str">
        <f>IFERROR(VLOOKUP(E95,Sales_Reps!$A$2:$C$31,3,FALSE()),"")</f>
        <v>West</v>
      </c>
      <c r="N95">
        <f>IFERROR(VLOOKUP(D95,Products!$A$2:$F$61,4,FALSE()),"")</f>
        <v>147</v>
      </c>
      <c r="O95" t="str">
        <f>IFERROR(VLOOKUP(C95,Customers!$A$2:$F$301,5,FALSE()),"")</f>
        <v>Retail</v>
      </c>
      <c r="P95">
        <f>IFERROR(VLOOKUP(C95,Customers!$A$2:$F$301,3,FALSE()),"")</f>
        <v>25</v>
      </c>
      <c r="Q95">
        <f t="shared" si="3"/>
        <v>0.22631578947368422</v>
      </c>
      <c r="R95">
        <f>IF(AND(COUNTIF($A$2:$A$2047,A95)&gt;1,COUNTIF($A$2:A95,A95)=1),1,0)</f>
        <v>0</v>
      </c>
      <c r="S95" t="b">
        <f>IFERROR(VLOOKUP(D95,Products!$A$2:$F$61,6,FALSE()),"")</f>
        <v>1</v>
      </c>
      <c r="T95" t="str">
        <f>IF(COUNTIF(Customers!$A$2:$A$301,C95)=0,"Missing","OK")</f>
        <v>OK</v>
      </c>
      <c r="U95" t="str">
        <f t="shared" si="4"/>
        <v>Pune</v>
      </c>
      <c r="V95">
        <f t="shared" si="5"/>
        <v>0</v>
      </c>
    </row>
    <row r="96" spans="1:22" ht="15" customHeight="1" x14ac:dyDescent="0.35">
      <c r="A96" s="3" t="s">
        <v>280</v>
      </c>
      <c r="B96" s="4">
        <v>45607</v>
      </c>
      <c r="C96" s="3" t="s">
        <v>281</v>
      </c>
      <c r="D96" s="3" t="s">
        <v>130</v>
      </c>
      <c r="E96" s="3" t="s">
        <v>282</v>
      </c>
      <c r="F96" s="5">
        <v>10</v>
      </c>
      <c r="G96" s="5">
        <v>5100</v>
      </c>
      <c r="H96" s="5">
        <v>25.4</v>
      </c>
      <c r="I96" s="5">
        <v>38046</v>
      </c>
      <c r="J96" s="3" t="s">
        <v>83</v>
      </c>
      <c r="K96" s="3" t="s">
        <v>33</v>
      </c>
      <c r="L96" t="str">
        <f>IFERROR(VLOOKUP(D96,Products!$A$2:$F$61,3,FALSE()),"")</f>
        <v>Beauty</v>
      </c>
      <c r="M96" t="str">
        <f>IFERROR(VLOOKUP(E96,Sales_Reps!$A$2:$C$31,3,FALSE()),"")</f>
        <v>West</v>
      </c>
      <c r="N96">
        <f>IFERROR(VLOOKUP(D96,Products!$A$2:$F$61,4,FALSE()),"")</f>
        <v>2237</v>
      </c>
      <c r="O96" t="str">
        <f>IFERROR(VLOOKUP(C96,Customers!$A$2:$F$301,5,FALSE()),"")</f>
        <v>Retail</v>
      </c>
      <c r="P96">
        <f>IFERROR(VLOOKUP(C96,Customers!$A$2:$F$301,3,FALSE()),"")</f>
        <v>26</v>
      </c>
      <c r="Q96">
        <f t="shared" si="3"/>
        <v>0.56137254901960787</v>
      </c>
      <c r="R96">
        <f>IF(AND(COUNTIF($A$2:$A$2047,A96)&gt;1,COUNTIF($A$2:A96,A96)=1),1,0)</f>
        <v>0</v>
      </c>
      <c r="S96" t="b">
        <f>IFERROR(VLOOKUP(D96,Products!$A$2:$F$61,6,FALSE()),"")</f>
        <v>1</v>
      </c>
      <c r="T96" t="str">
        <f>IF(COUNTIF(Customers!$A$2:$A$301,C96)=0,"Missing","OK")</f>
        <v>OK</v>
      </c>
      <c r="U96" t="str">
        <f t="shared" si="4"/>
        <v>Chennai</v>
      </c>
      <c r="V96">
        <f t="shared" si="5"/>
        <v>0</v>
      </c>
    </row>
    <row r="97" spans="1:22" ht="15" customHeight="1" x14ac:dyDescent="0.35">
      <c r="A97" s="3" t="s">
        <v>283</v>
      </c>
      <c r="B97" s="4">
        <v>45414</v>
      </c>
      <c r="C97" s="3" t="s">
        <v>284</v>
      </c>
      <c r="D97" s="3" t="s">
        <v>121</v>
      </c>
      <c r="E97" s="3" t="s">
        <v>285</v>
      </c>
      <c r="F97" s="5">
        <v>5</v>
      </c>
      <c r="G97" s="5">
        <v>1010</v>
      </c>
      <c r="H97" s="5">
        <v>1.6</v>
      </c>
      <c r="I97" s="5">
        <v>4969.2</v>
      </c>
      <c r="J97" s="3" t="s">
        <v>26</v>
      </c>
      <c r="K97" s="3" t="s">
        <v>33</v>
      </c>
      <c r="L97" t="str">
        <f>IFERROR(VLOOKUP(D97,Products!$A$2:$F$61,3,FALSE()),"")</f>
        <v>Sports</v>
      </c>
      <c r="M97" t="str">
        <f>IFERROR(VLOOKUP(E97,Sales_Reps!$A$2:$C$31,3,FALSE()),"")</f>
        <v>South</v>
      </c>
      <c r="N97">
        <f>IFERROR(VLOOKUP(D97,Products!$A$2:$F$61,4,FALSE()),"")</f>
        <v>516</v>
      </c>
      <c r="O97" t="str">
        <f>IFERROR(VLOOKUP(C97,Customers!$A$2:$F$301,5,FALSE()),"")</f>
        <v>Corporate</v>
      </c>
      <c r="P97">
        <f>IFERROR(VLOOKUP(C97,Customers!$A$2:$F$301,3,FALSE()),"")</f>
        <v>38</v>
      </c>
      <c r="Q97">
        <f t="shared" si="3"/>
        <v>0.4891089108910891</v>
      </c>
      <c r="R97">
        <f>IF(AND(COUNTIF($A$2:$A$2047,A97)&gt;1,COUNTIF($A$2:A97,A97)=1),1,0)</f>
        <v>0</v>
      </c>
      <c r="S97" t="b">
        <f>IFERROR(VLOOKUP(D97,Products!$A$2:$F$61,6,FALSE()),"")</f>
        <v>1</v>
      </c>
      <c r="T97" t="str">
        <f>IF(COUNTIF(Customers!$A$2:$A$301,C97)=0,"Missing","OK")</f>
        <v>OK</v>
      </c>
      <c r="U97" t="str">
        <f t="shared" si="4"/>
        <v>Chennai</v>
      </c>
      <c r="V97">
        <f t="shared" si="5"/>
        <v>0</v>
      </c>
    </row>
    <row r="98" spans="1:22" ht="15" customHeight="1" x14ac:dyDescent="0.35">
      <c r="A98" s="3" t="s">
        <v>286</v>
      </c>
      <c r="B98" s="4">
        <v>45328</v>
      </c>
      <c r="C98" s="3" t="s">
        <v>202</v>
      </c>
      <c r="D98" s="3" t="s">
        <v>165</v>
      </c>
      <c r="E98" s="3" t="s">
        <v>50</v>
      </c>
      <c r="F98" s="5">
        <v>1</v>
      </c>
      <c r="G98" s="5">
        <v>3730</v>
      </c>
      <c r="H98" s="5">
        <v>22.7</v>
      </c>
      <c r="I98" s="5">
        <v>2883.29</v>
      </c>
      <c r="J98" s="3" t="s">
        <v>26</v>
      </c>
      <c r="K98" s="3" t="s">
        <v>72</v>
      </c>
      <c r="L98" t="str">
        <f>IFERROR(VLOOKUP(D98,Products!$A$2:$F$61,3,FALSE()),"")</f>
        <v>Home</v>
      </c>
      <c r="M98" t="str">
        <f>IFERROR(VLOOKUP(E98,Sales_Reps!$A$2:$C$31,3,FALSE()),"")</f>
        <v>West</v>
      </c>
      <c r="N98">
        <f>IFERROR(VLOOKUP(D98,Products!$A$2:$F$61,4,FALSE()),"")</f>
        <v>2135</v>
      </c>
      <c r="O98" t="str">
        <f>IFERROR(VLOOKUP(C98,Customers!$A$2:$F$301,5,FALSE()),"")</f>
        <v>Retail</v>
      </c>
      <c r="P98">
        <f>IFERROR(VLOOKUP(C98,Customers!$A$2:$F$301,3,FALSE()),"")</f>
        <v>53</v>
      </c>
      <c r="Q98">
        <f t="shared" si="3"/>
        <v>0.42761394101876676</v>
      </c>
      <c r="R98">
        <f>IF(AND(COUNTIF($A$2:$A$2047,A98)&gt;1,COUNTIF($A$2:A98,A98)=1),1,0)</f>
        <v>0</v>
      </c>
      <c r="S98" t="b">
        <f>IFERROR(VLOOKUP(D98,Products!$A$2:$F$61,6,FALSE()),"")</f>
        <v>1</v>
      </c>
      <c r="T98" t="str">
        <f>IF(COUNTIF(Customers!$A$2:$A$301,C98)=0,"Missing","OK")</f>
        <v>OK</v>
      </c>
      <c r="U98" t="str">
        <f t="shared" si="4"/>
        <v>Hyderabad</v>
      </c>
      <c r="V98">
        <f t="shared" si="5"/>
        <v>0</v>
      </c>
    </row>
    <row r="99" spans="1:22" ht="15" customHeight="1" x14ac:dyDescent="0.35">
      <c r="A99" s="3" t="s">
        <v>287</v>
      </c>
      <c r="B99" s="4">
        <v>45373</v>
      </c>
      <c r="C99" s="3" t="s">
        <v>240</v>
      </c>
      <c r="D99" s="3" t="s">
        <v>77</v>
      </c>
      <c r="E99" s="3" t="s">
        <v>67</v>
      </c>
      <c r="F99" s="5">
        <v>10</v>
      </c>
      <c r="G99" s="5">
        <v>2600</v>
      </c>
      <c r="H99" s="5">
        <v>20.7</v>
      </c>
      <c r="I99" s="5">
        <v>20618</v>
      </c>
      <c r="J99" s="3" t="s">
        <v>26</v>
      </c>
      <c r="K99" s="3" t="s">
        <v>33</v>
      </c>
      <c r="L99" t="str">
        <f>IFERROR(VLOOKUP(D99,Products!$A$2:$F$61,3,FALSE()),"")</f>
        <v>Electronics</v>
      </c>
      <c r="M99" t="str">
        <f>IFERROR(VLOOKUP(E99,Sales_Reps!$A$2:$C$31,3,FALSE()),"")</f>
        <v>West</v>
      </c>
      <c r="N99">
        <f>IFERROR(VLOOKUP(D99,Products!$A$2:$F$61,4,FALSE()),"")</f>
        <v>1052</v>
      </c>
      <c r="O99" t="str">
        <f>IFERROR(VLOOKUP(C99,Customers!$A$2:$F$301,5,FALSE()),"")</f>
        <v>Retail</v>
      </c>
      <c r="P99">
        <f>IFERROR(VLOOKUP(C99,Customers!$A$2:$F$301,3,FALSE()),"")</f>
        <v>41</v>
      </c>
      <c r="Q99">
        <f t="shared" si="3"/>
        <v>0.5953846153846154</v>
      </c>
      <c r="R99">
        <f>IF(AND(COUNTIF($A$2:$A$2047,A99)&gt;1,COUNTIF($A$2:A99,A99)=1),1,0)</f>
        <v>0</v>
      </c>
      <c r="S99" t="b">
        <f>IFERROR(VLOOKUP(D99,Products!$A$2:$F$61,6,FALSE()),"")</f>
        <v>1</v>
      </c>
      <c r="T99" t="str">
        <f>IF(COUNTIF(Customers!$A$2:$A$301,C99)=0,"Missing","OK")</f>
        <v>OK</v>
      </c>
      <c r="U99" t="str">
        <f t="shared" si="4"/>
        <v>Chennai</v>
      </c>
      <c r="V99">
        <f t="shared" si="5"/>
        <v>0</v>
      </c>
    </row>
    <row r="100" spans="1:22" ht="15" customHeight="1" x14ac:dyDescent="0.35">
      <c r="A100" s="3" t="s">
        <v>288</v>
      </c>
      <c r="B100" s="4">
        <v>45458</v>
      </c>
      <c r="C100" s="3" t="s">
        <v>289</v>
      </c>
      <c r="D100" s="3" t="s">
        <v>290</v>
      </c>
      <c r="E100" s="3" t="s">
        <v>42</v>
      </c>
      <c r="F100" s="5">
        <v>4</v>
      </c>
      <c r="G100" s="5">
        <v>4060</v>
      </c>
      <c r="H100" s="5">
        <v>13.9</v>
      </c>
      <c r="I100" s="5">
        <v>13982.64</v>
      </c>
      <c r="J100" s="3" t="s">
        <v>26</v>
      </c>
      <c r="K100" s="3" t="s">
        <v>51</v>
      </c>
      <c r="L100" t="str">
        <f>IFERROR(VLOOKUP(D100,Products!$A$2:$F$61,3,FALSE()),"")</f>
        <v>Grocery</v>
      </c>
      <c r="M100" t="str">
        <f>IFERROR(VLOOKUP(E100,Sales_Reps!$A$2:$C$31,3,FALSE()),"")</f>
        <v>North</v>
      </c>
      <c r="N100">
        <f>IFERROR(VLOOKUP(D100,Products!$A$2:$F$61,4,FALSE()),"")</f>
        <v>2911</v>
      </c>
      <c r="O100" t="str">
        <f>IFERROR(VLOOKUP(C100,Customers!$A$2:$F$301,5,FALSE()),"")</f>
        <v>SMB</v>
      </c>
      <c r="P100">
        <f>IFERROR(VLOOKUP(C100,Customers!$A$2:$F$301,3,FALSE()),"")</f>
        <v>22</v>
      </c>
      <c r="Q100">
        <f t="shared" si="3"/>
        <v>0.28300492610837441</v>
      </c>
      <c r="R100">
        <f>IF(AND(COUNTIF($A$2:$A$2047,A100)&gt;1,COUNTIF($A$2:A100,A100)=1),1,0)</f>
        <v>0</v>
      </c>
      <c r="S100" t="b">
        <f>IFERROR(VLOOKUP(D100,Products!$A$2:$F$61,6,FALSE()),"")</f>
        <v>1</v>
      </c>
      <c r="T100" t="str">
        <f>IF(COUNTIF(Customers!$A$2:$A$301,C100)=0,"Missing","OK")</f>
        <v>OK</v>
      </c>
      <c r="U100" t="str">
        <f t="shared" si="4"/>
        <v>Mumbai</v>
      </c>
      <c r="V100">
        <f t="shared" si="5"/>
        <v>0</v>
      </c>
    </row>
    <row r="101" spans="1:22" ht="15" customHeight="1" x14ac:dyDescent="0.35">
      <c r="A101" s="3" t="s">
        <v>291</v>
      </c>
      <c r="B101" s="4">
        <v>45426</v>
      </c>
      <c r="C101" s="3" t="s">
        <v>292</v>
      </c>
      <c r="D101" s="3" t="s">
        <v>180</v>
      </c>
      <c r="E101" s="3" t="s">
        <v>282</v>
      </c>
      <c r="F101" s="5">
        <v>6</v>
      </c>
      <c r="G101" s="5">
        <v>6080</v>
      </c>
      <c r="H101" s="5">
        <v>16.5</v>
      </c>
      <c r="I101" s="5">
        <v>30460.799999999999</v>
      </c>
      <c r="J101" s="3" t="s">
        <v>26</v>
      </c>
      <c r="K101" s="3" t="s">
        <v>33</v>
      </c>
      <c r="L101" t="str">
        <f>IFERROR(VLOOKUP(D101,Products!$A$2:$F$61,3,FALSE()),"")</f>
        <v>Beauty</v>
      </c>
      <c r="M101" t="str">
        <f>IFERROR(VLOOKUP(E101,Sales_Reps!$A$2:$C$31,3,FALSE()),"")</f>
        <v>West</v>
      </c>
      <c r="N101">
        <f>IFERROR(VLOOKUP(D101,Products!$A$2:$F$61,4,FALSE()),"")</f>
        <v>2617</v>
      </c>
      <c r="O101" t="str">
        <f>IFERROR(VLOOKUP(C101,Customers!$A$2:$F$301,5,FALSE()),"")</f>
        <v>Retail</v>
      </c>
      <c r="P101">
        <f>IFERROR(VLOOKUP(C101,Customers!$A$2:$F$301,3,FALSE()),"")</f>
        <v>60</v>
      </c>
      <c r="Q101">
        <f t="shared" si="3"/>
        <v>0.56957236842105263</v>
      </c>
      <c r="R101">
        <f>IF(AND(COUNTIF($A$2:$A$2047,A101)&gt;1,COUNTIF($A$2:A101,A101)=1),1,0)</f>
        <v>0</v>
      </c>
      <c r="S101" t="b">
        <f>IFERROR(VLOOKUP(D101,Products!$A$2:$F$61,6,FALSE()),"")</f>
        <v>1</v>
      </c>
      <c r="T101" t="str">
        <f>IF(COUNTIF(Customers!$A$2:$A$301,C101)=0,"Missing","OK")</f>
        <v>OK</v>
      </c>
      <c r="U101" t="str">
        <f t="shared" si="4"/>
        <v>Chennai</v>
      </c>
      <c r="V101">
        <f t="shared" si="5"/>
        <v>0</v>
      </c>
    </row>
    <row r="102" spans="1:22" ht="15" customHeight="1" x14ac:dyDescent="0.35">
      <c r="A102" s="3" t="s">
        <v>293</v>
      </c>
      <c r="B102" s="4">
        <v>45557</v>
      </c>
      <c r="C102" s="3" t="s">
        <v>133</v>
      </c>
      <c r="D102" s="3" t="s">
        <v>294</v>
      </c>
      <c r="E102" s="3" t="s">
        <v>67</v>
      </c>
      <c r="F102" s="5">
        <v>6</v>
      </c>
      <c r="G102" s="5">
        <v>2510</v>
      </c>
      <c r="H102" s="5">
        <v>11.7</v>
      </c>
      <c r="I102" s="5">
        <v>13297.98</v>
      </c>
      <c r="J102" s="3" t="s">
        <v>26</v>
      </c>
      <c r="K102" s="3" t="s">
        <v>27</v>
      </c>
      <c r="L102" t="str">
        <f>IFERROR(VLOOKUP(D102,Products!$A$2:$F$61,3,FALSE()),"")</f>
        <v>Apparel</v>
      </c>
      <c r="M102" t="str">
        <f>IFERROR(VLOOKUP(E102,Sales_Reps!$A$2:$C$31,3,FALSE()),"")</f>
        <v>West</v>
      </c>
      <c r="N102">
        <f>IFERROR(VLOOKUP(D102,Products!$A$2:$F$61,4,FALSE()),"")</f>
        <v>1075</v>
      </c>
      <c r="O102" t="str">
        <f>IFERROR(VLOOKUP(C102,Customers!$A$2:$F$301,5,FALSE()),"")</f>
        <v>SMB</v>
      </c>
      <c r="P102">
        <f>IFERROR(VLOOKUP(C102,Customers!$A$2:$F$301,3,FALSE()),"")</f>
        <v>44</v>
      </c>
      <c r="Q102">
        <f t="shared" si="3"/>
        <v>0.57171314741035861</v>
      </c>
      <c r="R102">
        <f>IF(AND(COUNTIF($A$2:$A$2047,A102)&gt;1,COUNTIF($A$2:A102,A102)=1),1,0)</f>
        <v>0</v>
      </c>
      <c r="S102" t="b">
        <f>IFERROR(VLOOKUP(D102,Products!$A$2:$F$61,6,FALSE()),"")</f>
        <v>0</v>
      </c>
      <c r="T102" t="str">
        <f>IF(COUNTIF(Customers!$A$2:$A$301,C102)=0,"Missing","OK")</f>
        <v>OK</v>
      </c>
      <c r="U102" t="str">
        <f t="shared" si="4"/>
        <v>Pune</v>
      </c>
      <c r="V102">
        <f t="shared" si="5"/>
        <v>0</v>
      </c>
    </row>
    <row r="103" spans="1:22" ht="15" customHeight="1" x14ac:dyDescent="0.35">
      <c r="A103" s="3" t="s">
        <v>295</v>
      </c>
      <c r="B103" s="4">
        <v>45509</v>
      </c>
      <c r="C103" s="3" t="s">
        <v>296</v>
      </c>
      <c r="D103" s="3" t="s">
        <v>82</v>
      </c>
      <c r="E103" s="3" t="s">
        <v>140</v>
      </c>
      <c r="F103" s="5">
        <v>5</v>
      </c>
      <c r="G103" s="5">
        <v>3250</v>
      </c>
      <c r="H103" s="5">
        <v>18.399999999999999</v>
      </c>
      <c r="I103" s="5">
        <v>13260</v>
      </c>
      <c r="J103" s="3" t="s">
        <v>26</v>
      </c>
      <c r="K103" s="3" t="s">
        <v>38</v>
      </c>
      <c r="L103" t="str">
        <f>IFERROR(VLOOKUP(D103,Products!$A$2:$F$61,3,FALSE()),"")</f>
        <v>Home</v>
      </c>
      <c r="M103" t="str">
        <f>IFERROR(VLOOKUP(E103,Sales_Reps!$A$2:$C$31,3,FALSE()),"")</f>
        <v>West</v>
      </c>
      <c r="N103">
        <f>IFERROR(VLOOKUP(D103,Products!$A$2:$F$61,4,FALSE()),"")</f>
        <v>1556</v>
      </c>
      <c r="O103" t="str">
        <f>IFERROR(VLOOKUP(C103,Customers!$A$2:$F$301,5,FALSE()),"")</f>
        <v>SMB</v>
      </c>
      <c r="P103">
        <f>IFERROR(VLOOKUP(C103,Customers!$A$2:$F$301,3,FALSE()),"")</f>
        <v>38</v>
      </c>
      <c r="Q103">
        <f t="shared" si="3"/>
        <v>0.52123076923076928</v>
      </c>
      <c r="R103">
        <f>IF(AND(COUNTIF($A$2:$A$2047,A103)&gt;1,COUNTIF($A$2:A103,A103)=1),1,0)</f>
        <v>0</v>
      </c>
      <c r="S103" t="b">
        <f>IFERROR(VLOOKUP(D103,Products!$A$2:$F$61,6,FALSE()),"")</f>
        <v>1</v>
      </c>
      <c r="T103" t="str">
        <f>IF(COUNTIF(Customers!$A$2:$A$301,C103)=0,"Missing","OK")</f>
        <v>OK</v>
      </c>
      <c r="U103" t="str">
        <f t="shared" si="4"/>
        <v>Delhi</v>
      </c>
      <c r="V103">
        <f t="shared" si="5"/>
        <v>0</v>
      </c>
    </row>
    <row r="104" spans="1:22" ht="15" customHeight="1" x14ac:dyDescent="0.35">
      <c r="A104" s="3" t="s">
        <v>297</v>
      </c>
      <c r="B104" s="4">
        <v>45329</v>
      </c>
      <c r="C104" s="3" t="s">
        <v>298</v>
      </c>
      <c r="D104" s="3" t="s">
        <v>299</v>
      </c>
      <c r="E104" s="3" t="s">
        <v>31</v>
      </c>
      <c r="F104" s="5">
        <v>4</v>
      </c>
      <c r="G104" s="5">
        <v>5410</v>
      </c>
      <c r="H104" s="5">
        <v>9.8000000000000007</v>
      </c>
      <c r="I104" s="5">
        <v>19519.28</v>
      </c>
      <c r="J104" s="3" t="s">
        <v>79</v>
      </c>
      <c r="K104" s="3" t="s">
        <v>38</v>
      </c>
      <c r="L104" t="str">
        <f>IFERROR(VLOOKUP(D104,Products!$A$2:$F$61,3,FALSE()),"")</f>
        <v>Sports</v>
      </c>
      <c r="M104" t="str">
        <f>IFERROR(VLOOKUP(E104,Sales_Reps!$A$2:$C$31,3,FALSE()),"")</f>
        <v>North</v>
      </c>
      <c r="N104">
        <f>IFERROR(VLOOKUP(D104,Products!$A$2:$F$61,4,FALSE()),"")</f>
        <v>2265</v>
      </c>
      <c r="O104" t="str">
        <f>IFERROR(VLOOKUP(C104,Customers!$A$2:$F$301,5,FALSE()),"")</f>
        <v>SMB</v>
      </c>
      <c r="P104">
        <f>IFERROR(VLOOKUP(C104,Customers!$A$2:$F$301,3,FALSE()),"")</f>
        <v>28</v>
      </c>
      <c r="Q104">
        <f t="shared" si="3"/>
        <v>0.58133086876155271</v>
      </c>
      <c r="R104">
        <f>IF(AND(COUNTIF($A$2:$A$2047,A104)&gt;1,COUNTIF($A$2:A104,A104)=1),1,0)</f>
        <v>0</v>
      </c>
      <c r="S104" t="b">
        <f>IFERROR(VLOOKUP(D104,Products!$A$2:$F$61,6,FALSE()),"")</f>
        <v>1</v>
      </c>
      <c r="T104" t="str">
        <f>IF(COUNTIF(Customers!$A$2:$A$301,C104)=0,"Missing","OK")</f>
        <v>OK</v>
      </c>
      <c r="U104" t="str">
        <f t="shared" si="4"/>
        <v>Delhi</v>
      </c>
      <c r="V104">
        <f t="shared" si="5"/>
        <v>0</v>
      </c>
    </row>
    <row r="105" spans="1:22" ht="15" customHeight="1" x14ac:dyDescent="0.35">
      <c r="A105" s="3" t="s">
        <v>300</v>
      </c>
      <c r="B105" s="4">
        <v>45411</v>
      </c>
      <c r="C105" s="3" t="s">
        <v>301</v>
      </c>
      <c r="D105" s="3" t="s">
        <v>126</v>
      </c>
      <c r="E105" s="3" t="s">
        <v>242</v>
      </c>
      <c r="F105" s="5">
        <v>8</v>
      </c>
      <c r="G105" s="5">
        <v>3570</v>
      </c>
      <c r="H105" s="5">
        <v>11.1</v>
      </c>
      <c r="I105" s="5">
        <v>25389.84</v>
      </c>
      <c r="J105" s="3" t="s">
        <v>26</v>
      </c>
      <c r="K105" s="3" t="s">
        <v>33</v>
      </c>
      <c r="L105" t="str">
        <f>IFERROR(VLOOKUP(D105,Products!$A$2:$F$61,3,FALSE()),"")</f>
        <v>Electronics</v>
      </c>
      <c r="M105" t="str">
        <f>IFERROR(VLOOKUP(E105,Sales_Reps!$A$2:$C$31,3,FALSE()),"")</f>
        <v>East</v>
      </c>
      <c r="N105">
        <f>IFERROR(VLOOKUP(D105,Products!$A$2:$F$61,4,FALSE()),"")</f>
        <v>1665</v>
      </c>
      <c r="O105" t="str">
        <f>IFERROR(VLOOKUP(C105,Customers!$A$2:$F$301,5,FALSE()),"")</f>
        <v>Corporate</v>
      </c>
      <c r="P105">
        <f>IFERROR(VLOOKUP(C105,Customers!$A$2:$F$301,3,FALSE()),"")</f>
        <v>51</v>
      </c>
      <c r="Q105">
        <f t="shared" si="3"/>
        <v>0.53361344537815125</v>
      </c>
      <c r="R105">
        <f>IF(AND(COUNTIF($A$2:$A$2047,A105)&gt;1,COUNTIF($A$2:A105,A105)=1),1,0)</f>
        <v>0</v>
      </c>
      <c r="S105" t="b">
        <f>IFERROR(VLOOKUP(D105,Products!$A$2:$F$61,6,FALSE()),"")</f>
        <v>1</v>
      </c>
      <c r="T105" t="str">
        <f>IF(COUNTIF(Customers!$A$2:$A$301,C105)=0,"Missing","OK")</f>
        <v>OK</v>
      </c>
      <c r="U105" t="str">
        <f t="shared" si="4"/>
        <v>Chennai</v>
      </c>
      <c r="V105">
        <f t="shared" si="5"/>
        <v>0</v>
      </c>
    </row>
    <row r="106" spans="1:22" ht="15" customHeight="1" x14ac:dyDescent="0.35">
      <c r="A106" s="3" t="s">
        <v>302</v>
      </c>
      <c r="B106" s="4">
        <v>45297</v>
      </c>
      <c r="C106" s="3" t="s">
        <v>289</v>
      </c>
      <c r="D106" s="3" t="s">
        <v>303</v>
      </c>
      <c r="E106" s="3" t="s">
        <v>87</v>
      </c>
      <c r="F106" s="5">
        <v>10</v>
      </c>
      <c r="G106" s="5">
        <v>5330</v>
      </c>
      <c r="H106" s="5">
        <v>21.2</v>
      </c>
      <c r="I106" s="5">
        <v>42000.4</v>
      </c>
      <c r="J106" s="3" t="s">
        <v>26</v>
      </c>
      <c r="K106" s="3" t="s">
        <v>51</v>
      </c>
      <c r="L106" t="str">
        <f>IFERROR(VLOOKUP(D106,Products!$A$2:$F$61,3,FALSE()),"")</f>
        <v>Electronics</v>
      </c>
      <c r="M106" t="str">
        <f>IFERROR(VLOOKUP(E106,Sales_Reps!$A$2:$C$31,3,FALSE()),"")</f>
        <v>North</v>
      </c>
      <c r="N106">
        <f>IFERROR(VLOOKUP(D106,Products!$A$2:$F$61,4,FALSE()),"")</f>
        <v>2405</v>
      </c>
      <c r="O106" t="str">
        <f>IFERROR(VLOOKUP(C106,Customers!$A$2:$F$301,5,FALSE()),"")</f>
        <v>SMB</v>
      </c>
      <c r="P106">
        <f>IFERROR(VLOOKUP(C106,Customers!$A$2:$F$301,3,FALSE()),"")</f>
        <v>22</v>
      </c>
      <c r="Q106">
        <f t="shared" si="3"/>
        <v>0.54878048780487809</v>
      </c>
      <c r="R106">
        <f>IF(AND(COUNTIF($A$2:$A$2047,A106)&gt;1,COUNTIF($A$2:A106,A106)=1),1,0)</f>
        <v>0</v>
      </c>
      <c r="S106" t="b">
        <f>IFERROR(VLOOKUP(D106,Products!$A$2:$F$61,6,FALSE()),"")</f>
        <v>1</v>
      </c>
      <c r="T106" t="str">
        <f>IF(COUNTIF(Customers!$A$2:$A$301,C106)=0,"Missing","OK")</f>
        <v>OK</v>
      </c>
      <c r="U106" t="str">
        <f t="shared" si="4"/>
        <v>Mumbai</v>
      </c>
      <c r="V106">
        <f t="shared" si="5"/>
        <v>0</v>
      </c>
    </row>
    <row r="107" spans="1:22" ht="15" customHeight="1" x14ac:dyDescent="0.35">
      <c r="A107" s="3" t="s">
        <v>304</v>
      </c>
      <c r="B107" s="4">
        <v>45640</v>
      </c>
      <c r="C107" s="3" t="s">
        <v>305</v>
      </c>
      <c r="D107" s="3" t="s">
        <v>306</v>
      </c>
      <c r="E107" s="3" t="s">
        <v>177</v>
      </c>
      <c r="F107" s="5">
        <v>4</v>
      </c>
      <c r="G107" s="5">
        <v>2380</v>
      </c>
      <c r="H107" s="5">
        <v>26.2</v>
      </c>
      <c r="I107" s="5">
        <v>7025.76</v>
      </c>
      <c r="J107" s="3" t="s">
        <v>26</v>
      </c>
      <c r="K107" s="3" t="s">
        <v>51</v>
      </c>
      <c r="L107" t="str">
        <f>IFERROR(VLOOKUP(D107,Products!$A$2:$F$61,3,FALSE()),"")</f>
        <v>Grocery</v>
      </c>
      <c r="M107" t="str">
        <f>IFERROR(VLOOKUP(E107,Sales_Reps!$A$2:$C$31,3,FALSE()),"")</f>
        <v>East</v>
      </c>
      <c r="N107">
        <f>IFERROR(VLOOKUP(D107,Products!$A$2:$F$61,4,FALSE()),"")</f>
        <v>1182</v>
      </c>
      <c r="O107" t="str">
        <f>IFERROR(VLOOKUP(C107,Customers!$A$2:$F$301,5,FALSE()),"")</f>
        <v>Retail</v>
      </c>
      <c r="P107">
        <f>IFERROR(VLOOKUP(C107,Customers!$A$2:$F$301,3,FALSE()),"")</f>
        <v>25</v>
      </c>
      <c r="Q107">
        <f t="shared" si="3"/>
        <v>0.50336134453781511</v>
      </c>
      <c r="R107">
        <f>IF(AND(COUNTIF($A$2:$A$2047,A107)&gt;1,COUNTIF($A$2:A107,A107)=1),1,0)</f>
        <v>0</v>
      </c>
      <c r="S107" t="b">
        <f>IFERROR(VLOOKUP(D107,Products!$A$2:$F$61,6,FALSE()),"")</f>
        <v>1</v>
      </c>
      <c r="T107" t="str">
        <f>IF(COUNTIF(Customers!$A$2:$A$301,C107)=0,"Missing","OK")</f>
        <v>OK</v>
      </c>
      <c r="U107" t="str">
        <f t="shared" si="4"/>
        <v>Mumbai</v>
      </c>
      <c r="V107">
        <f t="shared" si="5"/>
        <v>0</v>
      </c>
    </row>
    <row r="108" spans="1:22" ht="15" customHeight="1" x14ac:dyDescent="0.35">
      <c r="A108" s="3" t="s">
        <v>307</v>
      </c>
      <c r="B108" s="4">
        <v>45322</v>
      </c>
      <c r="C108" s="3" t="s">
        <v>308</v>
      </c>
      <c r="D108" s="3" t="s">
        <v>121</v>
      </c>
      <c r="E108" s="3" t="s">
        <v>282</v>
      </c>
      <c r="F108" s="5">
        <v>1</v>
      </c>
      <c r="G108" s="5">
        <v>1010</v>
      </c>
      <c r="H108" s="5">
        <v>19.5</v>
      </c>
      <c r="I108" s="5">
        <v>813.05</v>
      </c>
      <c r="J108" s="3" t="s">
        <v>79</v>
      </c>
      <c r="K108" s="3" t="s">
        <v>33</v>
      </c>
      <c r="L108" t="str">
        <f>IFERROR(VLOOKUP(D108,Products!$A$2:$F$61,3,FALSE()),"")</f>
        <v>Sports</v>
      </c>
      <c r="M108" t="str">
        <f>IFERROR(VLOOKUP(E108,Sales_Reps!$A$2:$C$31,3,FALSE()),"")</f>
        <v>West</v>
      </c>
      <c r="N108">
        <f>IFERROR(VLOOKUP(D108,Products!$A$2:$F$61,4,FALSE()),"")</f>
        <v>516</v>
      </c>
      <c r="O108" t="str">
        <f>IFERROR(VLOOKUP(C108,Customers!$A$2:$F$301,5,FALSE()),"")</f>
        <v>SMB</v>
      </c>
      <c r="P108">
        <f>IFERROR(VLOOKUP(C108,Customers!$A$2:$F$301,3,FALSE()),"")</f>
        <v>62</v>
      </c>
      <c r="Q108">
        <f t="shared" si="3"/>
        <v>0.4891089108910891</v>
      </c>
      <c r="R108">
        <f>IF(AND(COUNTIF($A$2:$A$2047,A108)&gt;1,COUNTIF($A$2:A108,A108)=1),1,0)</f>
        <v>0</v>
      </c>
      <c r="S108" t="b">
        <f>IFERROR(VLOOKUP(D108,Products!$A$2:$F$61,6,FALSE()),"")</f>
        <v>1</v>
      </c>
      <c r="T108" t="str">
        <f>IF(COUNTIF(Customers!$A$2:$A$301,C108)=0,"Missing","OK")</f>
        <v>OK</v>
      </c>
      <c r="U108" t="str">
        <f t="shared" si="4"/>
        <v>Chennai</v>
      </c>
      <c r="V108">
        <f t="shared" si="5"/>
        <v>0</v>
      </c>
    </row>
    <row r="109" spans="1:22" ht="15" customHeight="1" x14ac:dyDescent="0.35">
      <c r="A109" s="3" t="s">
        <v>309</v>
      </c>
      <c r="B109" s="4">
        <v>45414</v>
      </c>
      <c r="C109" s="3" t="s">
        <v>310</v>
      </c>
      <c r="D109" s="3" t="s">
        <v>41</v>
      </c>
      <c r="E109" s="3" t="s">
        <v>50</v>
      </c>
      <c r="F109" s="5">
        <v>1</v>
      </c>
      <c r="G109" s="5">
        <v>3660</v>
      </c>
      <c r="H109" s="5">
        <v>1.3</v>
      </c>
      <c r="I109" s="5">
        <v>3612.42</v>
      </c>
      <c r="J109" s="3" t="s">
        <v>26</v>
      </c>
      <c r="K109" s="3" t="s">
        <v>51</v>
      </c>
      <c r="L109" t="str">
        <f>IFERROR(VLOOKUP(D109,Products!$A$2:$F$61,3,FALSE()),"")</f>
        <v>Grocery</v>
      </c>
      <c r="M109" t="str">
        <f>IFERROR(VLOOKUP(E109,Sales_Reps!$A$2:$C$31,3,FALSE()),"")</f>
        <v>West</v>
      </c>
      <c r="N109">
        <f>IFERROR(VLOOKUP(D109,Products!$A$2:$F$61,4,FALSE()),"")</f>
        <v>2214</v>
      </c>
      <c r="O109" t="str">
        <f>IFERROR(VLOOKUP(C109,Customers!$A$2:$F$301,5,FALSE()),"")</f>
        <v>Retail</v>
      </c>
      <c r="P109">
        <f>IFERROR(VLOOKUP(C109,Customers!$A$2:$F$301,3,FALSE()),"")</f>
        <v>42</v>
      </c>
      <c r="Q109">
        <f t="shared" si="3"/>
        <v>0.39508196721311473</v>
      </c>
      <c r="R109">
        <f>IF(AND(COUNTIF($A$2:$A$2047,A109)&gt;1,COUNTIF($A$2:A109,A109)=1),1,0)</f>
        <v>0</v>
      </c>
      <c r="S109" t="b">
        <f>IFERROR(VLOOKUP(D109,Products!$A$2:$F$61,6,FALSE()),"")</f>
        <v>0</v>
      </c>
      <c r="T109" t="str">
        <f>IF(COUNTIF(Customers!$A$2:$A$301,C109)=0,"Missing","OK")</f>
        <v>OK</v>
      </c>
      <c r="U109" t="str">
        <f t="shared" si="4"/>
        <v>Mumbai</v>
      </c>
      <c r="V109">
        <f t="shared" si="5"/>
        <v>0</v>
      </c>
    </row>
    <row r="110" spans="1:22" ht="15" customHeight="1" x14ac:dyDescent="0.35">
      <c r="A110" s="3" t="s">
        <v>311</v>
      </c>
      <c r="B110" s="4">
        <v>45592</v>
      </c>
      <c r="C110" s="3" t="s">
        <v>312</v>
      </c>
      <c r="D110" s="3" t="s">
        <v>203</v>
      </c>
      <c r="E110" s="3" t="s">
        <v>191</v>
      </c>
      <c r="F110" s="5">
        <v>2</v>
      </c>
      <c r="G110" s="5">
        <v>4070</v>
      </c>
      <c r="H110" s="5">
        <v>29</v>
      </c>
      <c r="I110" s="5">
        <v>5779.4</v>
      </c>
      <c r="J110" s="3" t="s">
        <v>79</v>
      </c>
      <c r="K110" s="3" t="s">
        <v>27</v>
      </c>
      <c r="L110" t="str">
        <f>IFERROR(VLOOKUP(D110,Products!$A$2:$F$61,3,FALSE()),"")</f>
        <v>Grocery</v>
      </c>
      <c r="M110" t="str">
        <f>IFERROR(VLOOKUP(E110,Sales_Reps!$A$2:$C$31,3,FALSE()),"")</f>
        <v>South</v>
      </c>
      <c r="N110">
        <f>IFERROR(VLOOKUP(D110,Products!$A$2:$F$61,4,FALSE()),"")</f>
        <v>2027</v>
      </c>
      <c r="O110" t="str">
        <f>IFERROR(VLOOKUP(C110,Customers!$A$2:$F$301,5,FALSE()),"")</f>
        <v>Retail</v>
      </c>
      <c r="P110">
        <f>IFERROR(VLOOKUP(C110,Customers!$A$2:$F$301,3,FALSE()),"")</f>
        <v>43</v>
      </c>
      <c r="Q110">
        <f t="shared" si="3"/>
        <v>0.50196560196560192</v>
      </c>
      <c r="R110">
        <f>IF(AND(COUNTIF($A$2:$A$2047,A110)&gt;1,COUNTIF($A$2:A110,A110)=1),1,0)</f>
        <v>0</v>
      </c>
      <c r="S110" t="b">
        <f>IFERROR(VLOOKUP(D110,Products!$A$2:$F$61,6,FALSE()),"")</f>
        <v>1</v>
      </c>
      <c r="T110" t="str">
        <f>IF(COUNTIF(Customers!$A$2:$A$301,C110)=0,"Missing","OK")</f>
        <v>OK</v>
      </c>
      <c r="U110" t="str">
        <f t="shared" si="4"/>
        <v>Pune</v>
      </c>
      <c r="V110">
        <f t="shared" si="5"/>
        <v>0</v>
      </c>
    </row>
    <row r="111" spans="1:22" ht="15" customHeight="1" x14ac:dyDescent="0.35">
      <c r="A111" s="3" t="s">
        <v>313</v>
      </c>
      <c r="B111" s="4">
        <v>45439</v>
      </c>
      <c r="C111" s="3" t="s">
        <v>129</v>
      </c>
      <c r="D111" s="3" t="s">
        <v>142</v>
      </c>
      <c r="E111" s="3" t="s">
        <v>168</v>
      </c>
      <c r="F111" s="5">
        <v>6</v>
      </c>
      <c r="G111" s="5">
        <v>660</v>
      </c>
      <c r="H111" s="5">
        <v>20.2</v>
      </c>
      <c r="I111" s="5">
        <v>3160.08</v>
      </c>
      <c r="J111" s="3" t="s">
        <v>32</v>
      </c>
      <c r="K111" s="3" t="s">
        <v>72</v>
      </c>
      <c r="L111" t="str">
        <f>IFERROR(VLOOKUP(D111,Products!$A$2:$F$61,3,FALSE()),"")</f>
        <v>Home</v>
      </c>
      <c r="M111" t="str">
        <f>IFERROR(VLOOKUP(E111,Sales_Reps!$A$2:$C$31,3,FALSE()),"")</f>
        <v>West</v>
      </c>
      <c r="N111">
        <f>IFERROR(VLOOKUP(D111,Products!$A$2:$F$61,4,FALSE()),"")</f>
        <v>329</v>
      </c>
      <c r="O111" t="str">
        <f>IFERROR(VLOOKUP(C111,Customers!$A$2:$F$301,5,FALSE()),"")</f>
        <v>Corporate</v>
      </c>
      <c r="P111">
        <f>IFERROR(VLOOKUP(C111,Customers!$A$2:$F$301,3,FALSE()),"")</f>
        <v>56</v>
      </c>
      <c r="Q111">
        <f t="shared" si="3"/>
        <v>0.50151515151515147</v>
      </c>
      <c r="R111">
        <f>IF(AND(COUNTIF($A$2:$A$2047,A111)&gt;1,COUNTIF($A$2:A111,A111)=1),1,0)</f>
        <v>0</v>
      </c>
      <c r="S111" t="b">
        <f>IFERROR(VLOOKUP(D111,Products!$A$2:$F$61,6,FALSE()),"")</f>
        <v>1</v>
      </c>
      <c r="T111" t="str">
        <f>IF(COUNTIF(Customers!$A$2:$A$301,C111)=0,"Missing","OK")</f>
        <v>OK</v>
      </c>
      <c r="U111" t="str">
        <f t="shared" si="4"/>
        <v>Hyderabad</v>
      </c>
      <c r="V111">
        <f t="shared" si="5"/>
        <v>0</v>
      </c>
    </row>
    <row r="112" spans="1:22" ht="15" customHeight="1" x14ac:dyDescent="0.35">
      <c r="A112" s="3" t="s">
        <v>314</v>
      </c>
      <c r="B112" s="4">
        <v>45486</v>
      </c>
      <c r="C112" s="3" t="s">
        <v>315</v>
      </c>
      <c r="D112" s="3" t="s">
        <v>103</v>
      </c>
      <c r="E112" s="3" t="s">
        <v>55</v>
      </c>
      <c r="F112" s="5">
        <v>3</v>
      </c>
      <c r="G112" s="5">
        <v>1080</v>
      </c>
      <c r="H112" s="5">
        <v>29.7</v>
      </c>
      <c r="I112" s="5">
        <v>2277.7199999999998</v>
      </c>
      <c r="J112" s="3" t="s">
        <v>26</v>
      </c>
      <c r="K112" s="3" t="s">
        <v>56</v>
      </c>
      <c r="L112" t="str">
        <f>IFERROR(VLOOKUP(D112,Products!$A$2:$F$61,3,FALSE()),"")</f>
        <v>Home</v>
      </c>
      <c r="M112" t="str">
        <f>IFERROR(VLOOKUP(E112,Sales_Reps!$A$2:$C$31,3,FALSE()),"")</f>
        <v>West</v>
      </c>
      <c r="N112">
        <f>IFERROR(VLOOKUP(D112,Products!$A$2:$F$61,4,FALSE()),"")</f>
        <v>519</v>
      </c>
      <c r="O112" t="str">
        <f>IFERROR(VLOOKUP(C112,Customers!$A$2:$F$301,5,FALSE()),"")</f>
        <v>SMB</v>
      </c>
      <c r="P112">
        <f>IFERROR(VLOOKUP(C112,Customers!$A$2:$F$301,3,FALSE()),"")</f>
        <v>44</v>
      </c>
      <c r="Q112">
        <f t="shared" si="3"/>
        <v>0.51944444444444449</v>
      </c>
      <c r="R112">
        <f>IF(AND(COUNTIF($A$2:$A$2047,A112)&gt;1,COUNTIF($A$2:A112,A112)=1),1,0)</f>
        <v>0</v>
      </c>
      <c r="S112" t="b">
        <f>IFERROR(VLOOKUP(D112,Products!$A$2:$F$61,6,FALSE()),"")</f>
        <v>1</v>
      </c>
      <c r="T112" t="str">
        <f>IF(COUNTIF(Customers!$A$2:$A$301,C112)=0,"Missing","OK")</f>
        <v>OK</v>
      </c>
      <c r="U112" t="str">
        <f t="shared" si="4"/>
        <v>Bengaluru</v>
      </c>
      <c r="V112">
        <f t="shared" si="5"/>
        <v>0</v>
      </c>
    </row>
    <row r="113" spans="1:22" ht="15" customHeight="1" x14ac:dyDescent="0.35">
      <c r="A113" s="3" t="s">
        <v>316</v>
      </c>
      <c r="B113" s="4">
        <v>45629</v>
      </c>
      <c r="C113" s="3" t="s">
        <v>317</v>
      </c>
      <c r="D113" s="3" t="s">
        <v>30</v>
      </c>
      <c r="E113" s="3" t="s">
        <v>42</v>
      </c>
      <c r="F113" s="5">
        <v>7</v>
      </c>
      <c r="G113" s="5">
        <v>820</v>
      </c>
      <c r="H113" s="5">
        <v>13.5</v>
      </c>
      <c r="I113" s="5">
        <v>4965.1000000000004</v>
      </c>
      <c r="J113" s="3" t="s">
        <v>79</v>
      </c>
      <c r="K113" s="3" t="s">
        <v>33</v>
      </c>
      <c r="L113" t="str">
        <f>IFERROR(VLOOKUP(D113,Products!$A$2:$F$61,3,FALSE()),"")</f>
        <v>Apparel</v>
      </c>
      <c r="M113" t="str">
        <f>IFERROR(VLOOKUP(E113,Sales_Reps!$A$2:$C$31,3,FALSE()),"")</f>
        <v>North</v>
      </c>
      <c r="N113">
        <f>IFERROR(VLOOKUP(D113,Products!$A$2:$F$61,4,FALSE()),"")</f>
        <v>391</v>
      </c>
      <c r="O113" t="str">
        <f>IFERROR(VLOOKUP(C113,Customers!$A$2:$F$301,5,FALSE()),"")</f>
        <v>SMB</v>
      </c>
      <c r="P113">
        <f>IFERROR(VLOOKUP(C113,Customers!$A$2:$F$301,3,FALSE()),"")</f>
        <v>53</v>
      </c>
      <c r="Q113">
        <f t="shared" si="3"/>
        <v>0.52317073170731709</v>
      </c>
      <c r="R113">
        <f>IF(AND(COUNTIF($A$2:$A$2047,A113)&gt;1,COUNTIF($A$2:A113,A113)=1),1,0)</f>
        <v>0</v>
      </c>
      <c r="S113" t="b">
        <f>IFERROR(VLOOKUP(D113,Products!$A$2:$F$61,6,FALSE()),"")</f>
        <v>1</v>
      </c>
      <c r="T113" t="str">
        <f>IF(COUNTIF(Customers!$A$2:$A$301,C113)=0,"Missing","OK")</f>
        <v>OK</v>
      </c>
      <c r="U113" t="str">
        <f t="shared" si="4"/>
        <v>Chennai</v>
      </c>
      <c r="V113">
        <f t="shared" si="5"/>
        <v>0</v>
      </c>
    </row>
    <row r="114" spans="1:22" ht="15" customHeight="1" x14ac:dyDescent="0.35">
      <c r="A114" s="3" t="s">
        <v>318</v>
      </c>
      <c r="B114" s="4">
        <v>45394</v>
      </c>
      <c r="C114" s="3" t="s">
        <v>76</v>
      </c>
      <c r="D114" s="3" t="s">
        <v>319</v>
      </c>
      <c r="E114" s="3" t="s">
        <v>282</v>
      </c>
      <c r="F114" s="5">
        <v>4</v>
      </c>
      <c r="G114" s="5">
        <v>960</v>
      </c>
      <c r="H114" s="5">
        <v>26</v>
      </c>
      <c r="I114" s="5">
        <v>2841.6</v>
      </c>
      <c r="J114" s="3" t="s">
        <v>26</v>
      </c>
      <c r="K114" s="3" t="s">
        <v>38</v>
      </c>
      <c r="L114" t="str">
        <f>IFERROR(VLOOKUP(D114,Products!$A$2:$F$61,3,FALSE()),"")</f>
        <v>Beauty</v>
      </c>
      <c r="M114" t="str">
        <f>IFERROR(VLOOKUP(E114,Sales_Reps!$A$2:$C$31,3,FALSE()),"")</f>
        <v>West</v>
      </c>
      <c r="N114">
        <f>IFERROR(VLOOKUP(D114,Products!$A$2:$F$61,4,FALSE()),"")</f>
        <v>675</v>
      </c>
      <c r="O114" t="str">
        <f>IFERROR(VLOOKUP(C114,Customers!$A$2:$F$301,5,FALSE()),"")</f>
        <v>SMB</v>
      </c>
      <c r="P114">
        <f>IFERROR(VLOOKUP(C114,Customers!$A$2:$F$301,3,FALSE()),"")</f>
        <v>27</v>
      </c>
      <c r="Q114">
        <f t="shared" si="3"/>
        <v>0.296875</v>
      </c>
      <c r="R114">
        <f>IF(AND(COUNTIF($A$2:$A$2047,A114)&gt;1,COUNTIF($A$2:A114,A114)=1),1,0)</f>
        <v>0</v>
      </c>
      <c r="S114" t="b">
        <f>IFERROR(VLOOKUP(D114,Products!$A$2:$F$61,6,FALSE()),"")</f>
        <v>1</v>
      </c>
      <c r="T114" t="str">
        <f>IF(COUNTIF(Customers!$A$2:$A$301,C114)=0,"Missing","OK")</f>
        <v>OK</v>
      </c>
      <c r="U114" t="str">
        <f t="shared" si="4"/>
        <v>Delhi</v>
      </c>
      <c r="V114">
        <f t="shared" si="5"/>
        <v>0</v>
      </c>
    </row>
    <row r="115" spans="1:22" ht="15" customHeight="1" x14ac:dyDescent="0.35">
      <c r="A115" s="3" t="s">
        <v>320</v>
      </c>
      <c r="B115" s="4">
        <v>45453</v>
      </c>
      <c r="C115" s="3" t="s">
        <v>321</v>
      </c>
      <c r="D115" s="3" t="s">
        <v>77</v>
      </c>
      <c r="E115" s="3" t="s">
        <v>37</v>
      </c>
      <c r="F115" s="5">
        <v>3</v>
      </c>
      <c r="G115" s="5">
        <v>2600</v>
      </c>
      <c r="H115" s="5">
        <v>18.2</v>
      </c>
      <c r="I115" s="5">
        <v>6380.4</v>
      </c>
      <c r="J115" s="3" t="s">
        <v>26</v>
      </c>
      <c r="K115" s="3" t="s">
        <v>38</v>
      </c>
      <c r="L115" t="str">
        <f>IFERROR(VLOOKUP(D115,Products!$A$2:$F$61,3,FALSE()),"")</f>
        <v>Electronics</v>
      </c>
      <c r="M115" t="str">
        <f>IFERROR(VLOOKUP(E115,Sales_Reps!$A$2:$C$31,3,FALSE()),"")</f>
        <v>South</v>
      </c>
      <c r="N115">
        <f>IFERROR(VLOOKUP(D115,Products!$A$2:$F$61,4,FALSE()),"")</f>
        <v>1052</v>
      </c>
      <c r="O115" t="str">
        <f>IFERROR(VLOOKUP(C115,Customers!$A$2:$F$301,5,FALSE()),"")</f>
        <v>Corporate</v>
      </c>
      <c r="P115">
        <f>IFERROR(VLOOKUP(C115,Customers!$A$2:$F$301,3,FALSE()),"")</f>
        <v>27</v>
      </c>
      <c r="Q115">
        <f t="shared" si="3"/>
        <v>0.5953846153846154</v>
      </c>
      <c r="R115">
        <f>IF(AND(COUNTIF($A$2:$A$2047,A115)&gt;1,COUNTIF($A$2:A115,A115)=1),1,0)</f>
        <v>0</v>
      </c>
      <c r="S115" t="b">
        <f>IFERROR(VLOOKUP(D115,Products!$A$2:$F$61,6,FALSE()),"")</f>
        <v>1</v>
      </c>
      <c r="T115" t="str">
        <f>IF(COUNTIF(Customers!$A$2:$A$301,C115)=0,"Missing","OK")</f>
        <v>OK</v>
      </c>
      <c r="U115" t="str">
        <f t="shared" si="4"/>
        <v>Delhi</v>
      </c>
      <c r="V115">
        <f t="shared" si="5"/>
        <v>0</v>
      </c>
    </row>
    <row r="116" spans="1:22" ht="15" customHeight="1" x14ac:dyDescent="0.35">
      <c r="A116" s="3" t="s">
        <v>322</v>
      </c>
      <c r="B116" s="4">
        <v>45370</v>
      </c>
      <c r="C116" s="3" t="s">
        <v>89</v>
      </c>
      <c r="D116" s="3" t="s">
        <v>234</v>
      </c>
      <c r="E116" s="3" t="s">
        <v>168</v>
      </c>
      <c r="F116" s="5">
        <v>9</v>
      </c>
      <c r="G116" s="5">
        <v>2030</v>
      </c>
      <c r="H116" s="5">
        <v>26.1</v>
      </c>
      <c r="I116" s="5">
        <v>13501.53</v>
      </c>
      <c r="J116" s="3" t="s">
        <v>26</v>
      </c>
      <c r="K116" s="3" t="s">
        <v>27</v>
      </c>
      <c r="L116" t="str">
        <f>IFERROR(VLOOKUP(D116,Products!$A$2:$F$61,3,FALSE()),"")</f>
        <v>Home</v>
      </c>
      <c r="M116" t="str">
        <f>IFERROR(VLOOKUP(E116,Sales_Reps!$A$2:$C$31,3,FALSE()),"")</f>
        <v>West</v>
      </c>
      <c r="N116">
        <f>IFERROR(VLOOKUP(D116,Products!$A$2:$F$61,4,FALSE()),"")</f>
        <v>1143</v>
      </c>
      <c r="O116" t="str">
        <f>IFERROR(VLOOKUP(C116,Customers!$A$2:$F$301,5,FALSE()),"")</f>
        <v>Retail</v>
      </c>
      <c r="P116">
        <f>IFERROR(VLOOKUP(C116,Customers!$A$2:$F$301,3,FALSE()),"")</f>
        <v>63</v>
      </c>
      <c r="Q116">
        <f t="shared" si="3"/>
        <v>0.43694581280788175</v>
      </c>
      <c r="R116">
        <f>IF(AND(COUNTIF($A$2:$A$2047,A116)&gt;1,COUNTIF($A$2:A116,A116)=1),1,0)</f>
        <v>0</v>
      </c>
      <c r="S116" t="b">
        <f>IFERROR(VLOOKUP(D116,Products!$A$2:$F$61,6,FALSE()),"")</f>
        <v>1</v>
      </c>
      <c r="T116" t="str">
        <f>IF(COUNTIF(Customers!$A$2:$A$301,C116)=0,"Missing","OK")</f>
        <v>OK</v>
      </c>
      <c r="U116" t="str">
        <f t="shared" si="4"/>
        <v>Pune</v>
      </c>
      <c r="V116">
        <f t="shared" si="5"/>
        <v>0</v>
      </c>
    </row>
    <row r="117" spans="1:22" ht="15" customHeight="1" x14ac:dyDescent="0.35">
      <c r="A117" s="3" t="s">
        <v>323</v>
      </c>
      <c r="B117" s="4">
        <v>45597</v>
      </c>
      <c r="C117" s="3" t="s">
        <v>324</v>
      </c>
      <c r="D117" s="3" t="s">
        <v>325</v>
      </c>
      <c r="E117" s="3" t="s">
        <v>67</v>
      </c>
      <c r="F117" s="5">
        <v>8</v>
      </c>
      <c r="G117" s="5">
        <v>2290</v>
      </c>
      <c r="H117" s="5">
        <v>20.8</v>
      </c>
      <c r="I117" s="5">
        <v>14509.44</v>
      </c>
      <c r="J117" s="3" t="s">
        <v>26</v>
      </c>
      <c r="K117" s="3" t="s">
        <v>56</v>
      </c>
      <c r="L117" t="str">
        <f>IFERROR(VLOOKUP(D117,Products!$A$2:$F$61,3,FALSE()),"")</f>
        <v>Beauty</v>
      </c>
      <c r="M117" t="str">
        <f>IFERROR(VLOOKUP(E117,Sales_Reps!$A$2:$C$31,3,FALSE()),"")</f>
        <v>West</v>
      </c>
      <c r="N117">
        <f>IFERROR(VLOOKUP(D117,Products!$A$2:$F$61,4,FALSE()),"")</f>
        <v>1219</v>
      </c>
      <c r="O117" t="str">
        <f>IFERROR(VLOOKUP(C117,Customers!$A$2:$F$301,5,FALSE()),"")</f>
        <v>Retail</v>
      </c>
      <c r="P117">
        <f>IFERROR(VLOOKUP(C117,Customers!$A$2:$F$301,3,FALSE()),"")</f>
        <v>23</v>
      </c>
      <c r="Q117">
        <f t="shared" si="3"/>
        <v>0.46768558951965067</v>
      </c>
      <c r="R117">
        <f>IF(AND(COUNTIF($A$2:$A$2047,A117)&gt;1,COUNTIF($A$2:A117,A117)=1),1,0)</f>
        <v>0</v>
      </c>
      <c r="S117" t="b">
        <f>IFERROR(VLOOKUP(D117,Products!$A$2:$F$61,6,FALSE()),"")</f>
        <v>1</v>
      </c>
      <c r="T117" t="str">
        <f>IF(COUNTIF(Customers!$A$2:$A$301,C117)=0,"Missing","OK")</f>
        <v>OK</v>
      </c>
      <c r="U117" t="str">
        <f t="shared" si="4"/>
        <v>Bengaluru</v>
      </c>
      <c r="V117">
        <f t="shared" si="5"/>
        <v>0</v>
      </c>
    </row>
    <row r="118" spans="1:22" ht="15" customHeight="1" x14ac:dyDescent="0.35">
      <c r="A118" s="3" t="s">
        <v>326</v>
      </c>
      <c r="B118" s="4">
        <v>45531</v>
      </c>
      <c r="C118" s="3" t="s">
        <v>327</v>
      </c>
      <c r="D118" s="3" t="s">
        <v>165</v>
      </c>
      <c r="E118" s="3" t="s">
        <v>168</v>
      </c>
      <c r="F118" s="5">
        <v>3</v>
      </c>
      <c r="G118" s="5">
        <v>3730</v>
      </c>
      <c r="H118" s="5">
        <v>7.9</v>
      </c>
      <c r="I118" s="5">
        <v>10305.99</v>
      </c>
      <c r="J118" s="3" t="s">
        <v>26</v>
      </c>
      <c r="K118" s="3" t="s">
        <v>72</v>
      </c>
      <c r="L118" t="str">
        <f>IFERROR(VLOOKUP(D118,Products!$A$2:$F$61,3,FALSE()),"")</f>
        <v>Home</v>
      </c>
      <c r="M118" t="str">
        <f>IFERROR(VLOOKUP(E118,Sales_Reps!$A$2:$C$31,3,FALSE()),"")</f>
        <v>West</v>
      </c>
      <c r="N118">
        <f>IFERROR(VLOOKUP(D118,Products!$A$2:$F$61,4,FALSE()),"")</f>
        <v>2135</v>
      </c>
      <c r="O118" t="str">
        <f>IFERROR(VLOOKUP(C118,Customers!$A$2:$F$301,5,FALSE()),"")</f>
        <v>Retail</v>
      </c>
      <c r="P118">
        <f>IFERROR(VLOOKUP(C118,Customers!$A$2:$F$301,3,FALSE()),"")</f>
        <v>44</v>
      </c>
      <c r="Q118">
        <f t="shared" si="3"/>
        <v>0.42761394101876676</v>
      </c>
      <c r="R118">
        <f>IF(AND(COUNTIF($A$2:$A$2047,A118)&gt;1,COUNTIF($A$2:A118,A118)=1),1,0)</f>
        <v>0</v>
      </c>
      <c r="S118" t="b">
        <f>IFERROR(VLOOKUP(D118,Products!$A$2:$F$61,6,FALSE()),"")</f>
        <v>1</v>
      </c>
      <c r="T118" t="str">
        <f>IF(COUNTIF(Customers!$A$2:$A$301,C118)=0,"Missing","OK")</f>
        <v>OK</v>
      </c>
      <c r="U118" t="str">
        <f t="shared" si="4"/>
        <v>Hyderabad</v>
      </c>
      <c r="V118">
        <f t="shared" si="5"/>
        <v>0</v>
      </c>
    </row>
    <row r="119" spans="1:22" ht="15" customHeight="1" x14ac:dyDescent="0.35">
      <c r="A119" s="3" t="s">
        <v>328</v>
      </c>
      <c r="B119" s="4">
        <v>45596</v>
      </c>
      <c r="C119" s="3" t="s">
        <v>329</v>
      </c>
      <c r="D119" s="3" t="s">
        <v>221</v>
      </c>
      <c r="E119" s="3" t="s">
        <v>37</v>
      </c>
      <c r="F119" s="5">
        <v>1</v>
      </c>
      <c r="G119" s="5">
        <v>300</v>
      </c>
      <c r="H119" s="5">
        <v>16.899999999999999</v>
      </c>
      <c r="I119" s="5">
        <v>249.3</v>
      </c>
      <c r="J119" s="3" t="s">
        <v>32</v>
      </c>
      <c r="K119" s="3" t="s">
        <v>27</v>
      </c>
      <c r="L119" t="str">
        <f>IFERROR(VLOOKUP(D119,Products!$A$2:$F$61,3,FALSE()),"")</f>
        <v>Electronics</v>
      </c>
      <c r="M119" t="str">
        <f>IFERROR(VLOOKUP(E119,Sales_Reps!$A$2:$C$31,3,FALSE()),"")</f>
        <v>South</v>
      </c>
      <c r="N119">
        <f>IFERROR(VLOOKUP(D119,Products!$A$2:$F$61,4,FALSE()),"")</f>
        <v>128</v>
      </c>
      <c r="O119" t="str">
        <f>IFERROR(VLOOKUP(C119,Customers!$A$2:$F$301,5,FALSE()),"")</f>
        <v>SMB</v>
      </c>
      <c r="P119">
        <f>IFERROR(VLOOKUP(C119,Customers!$A$2:$F$301,3,FALSE()),"")</f>
        <v>54</v>
      </c>
      <c r="Q119">
        <f t="shared" si="3"/>
        <v>0.57333333333333336</v>
      </c>
      <c r="R119">
        <f>IF(AND(COUNTIF($A$2:$A$2047,A119)&gt;1,COUNTIF($A$2:A119,A119)=1),1,0)</f>
        <v>0</v>
      </c>
      <c r="S119" t="b">
        <f>IFERROR(VLOOKUP(D119,Products!$A$2:$F$61,6,FALSE()),"")</f>
        <v>1</v>
      </c>
      <c r="T119" t="str">
        <f>IF(COUNTIF(Customers!$A$2:$A$301,C119)=0,"Missing","OK")</f>
        <v>OK</v>
      </c>
      <c r="U119" t="str">
        <f t="shared" si="4"/>
        <v>Pune</v>
      </c>
      <c r="V119">
        <f t="shared" si="5"/>
        <v>0</v>
      </c>
    </row>
    <row r="120" spans="1:22" ht="15" customHeight="1" x14ac:dyDescent="0.35">
      <c r="A120" s="3" t="s">
        <v>330</v>
      </c>
      <c r="B120" s="4">
        <v>45420</v>
      </c>
      <c r="C120" s="3" t="s">
        <v>331</v>
      </c>
      <c r="D120" s="3" t="s">
        <v>221</v>
      </c>
      <c r="E120" s="3" t="s">
        <v>264</v>
      </c>
      <c r="F120" s="5">
        <v>3</v>
      </c>
      <c r="G120" s="5">
        <v>300</v>
      </c>
      <c r="H120" s="5">
        <v>0.6</v>
      </c>
      <c r="I120" s="5">
        <v>894.6</v>
      </c>
      <c r="J120" s="3" t="s">
        <v>26</v>
      </c>
      <c r="K120" s="3" t="s">
        <v>51</v>
      </c>
      <c r="L120" t="str">
        <f>IFERROR(VLOOKUP(D120,Products!$A$2:$F$61,3,FALSE()),"")</f>
        <v>Electronics</v>
      </c>
      <c r="M120" t="str">
        <f>IFERROR(VLOOKUP(E120,Sales_Reps!$A$2:$C$31,3,FALSE()),"")</f>
        <v>South</v>
      </c>
      <c r="N120">
        <f>IFERROR(VLOOKUP(D120,Products!$A$2:$F$61,4,FALSE()),"")</f>
        <v>128</v>
      </c>
      <c r="O120" t="str">
        <f>IFERROR(VLOOKUP(C120,Customers!$A$2:$F$301,5,FALSE()),"")</f>
        <v>Retail</v>
      </c>
      <c r="P120">
        <f>IFERROR(VLOOKUP(C120,Customers!$A$2:$F$301,3,FALSE()),"")</f>
        <v>50</v>
      </c>
      <c r="Q120">
        <f t="shared" si="3"/>
        <v>0.57333333333333336</v>
      </c>
      <c r="R120">
        <f>IF(AND(COUNTIF($A$2:$A$2047,A120)&gt;1,COUNTIF($A$2:A120,A120)=1),1,0)</f>
        <v>0</v>
      </c>
      <c r="S120" t="b">
        <f>IFERROR(VLOOKUP(D120,Products!$A$2:$F$61,6,FALSE()),"")</f>
        <v>1</v>
      </c>
      <c r="T120" t="str">
        <f>IF(COUNTIF(Customers!$A$2:$A$301,C120)=0,"Missing","OK")</f>
        <v>OK</v>
      </c>
      <c r="U120" t="str">
        <f t="shared" si="4"/>
        <v>Mumbai</v>
      </c>
      <c r="V120">
        <f t="shared" si="5"/>
        <v>0</v>
      </c>
    </row>
    <row r="121" spans="1:22" ht="15" customHeight="1" x14ac:dyDescent="0.35">
      <c r="A121" s="3" t="s">
        <v>332</v>
      </c>
      <c r="B121" s="4">
        <v>45329</v>
      </c>
      <c r="C121" s="3" t="s">
        <v>333</v>
      </c>
      <c r="D121" s="3" t="s">
        <v>118</v>
      </c>
      <c r="E121" s="3" t="s">
        <v>25</v>
      </c>
      <c r="F121" s="5">
        <v>6</v>
      </c>
      <c r="G121" s="5">
        <v>3350</v>
      </c>
      <c r="H121" s="5">
        <v>2.2999999999999998</v>
      </c>
      <c r="I121" s="5">
        <v>19637.7</v>
      </c>
      <c r="J121" s="3" t="s">
        <v>79</v>
      </c>
      <c r="K121" s="3" t="s">
        <v>56</v>
      </c>
      <c r="L121" t="str">
        <f>IFERROR(VLOOKUP(D121,Products!$A$2:$F$61,3,FALSE()),"")</f>
        <v>Beauty</v>
      </c>
      <c r="M121" t="str">
        <f>IFERROR(VLOOKUP(E121,Sales_Reps!$A$2:$C$31,3,FALSE()),"")</f>
        <v>North</v>
      </c>
      <c r="N121">
        <f>IFERROR(VLOOKUP(D121,Products!$A$2:$F$61,4,FALSE()),"")</f>
        <v>1728</v>
      </c>
      <c r="O121" t="str">
        <f>IFERROR(VLOOKUP(C121,Customers!$A$2:$F$301,5,FALSE()),"")</f>
        <v>SMB</v>
      </c>
      <c r="P121">
        <f>IFERROR(VLOOKUP(C121,Customers!$A$2:$F$301,3,FALSE()),"")</f>
        <v>28</v>
      </c>
      <c r="Q121">
        <f t="shared" si="3"/>
        <v>0.48417910447761192</v>
      </c>
      <c r="R121">
        <f>IF(AND(COUNTIF($A$2:$A$2047,A121)&gt;1,COUNTIF($A$2:A121,A121)=1),1,0)</f>
        <v>0</v>
      </c>
      <c r="S121" t="b">
        <f>IFERROR(VLOOKUP(D121,Products!$A$2:$F$61,6,FALSE()),"")</f>
        <v>1</v>
      </c>
      <c r="T121" t="str">
        <f>IF(COUNTIF(Customers!$A$2:$A$301,C121)=0,"Missing","OK")</f>
        <v>OK</v>
      </c>
      <c r="U121" t="str">
        <f t="shared" si="4"/>
        <v>Bengaluru</v>
      </c>
      <c r="V121">
        <f t="shared" si="5"/>
        <v>0</v>
      </c>
    </row>
    <row r="122" spans="1:22" ht="15" customHeight="1" x14ac:dyDescent="0.35">
      <c r="A122" s="3" t="s">
        <v>334</v>
      </c>
      <c r="B122" s="4">
        <v>45416</v>
      </c>
      <c r="C122" s="3" t="s">
        <v>92</v>
      </c>
      <c r="D122" s="3" t="s">
        <v>303</v>
      </c>
      <c r="E122" s="3" t="s">
        <v>87</v>
      </c>
      <c r="F122" s="5">
        <v>4</v>
      </c>
      <c r="G122" s="5">
        <v>5330</v>
      </c>
      <c r="H122" s="5">
        <v>29.3</v>
      </c>
      <c r="I122" s="5">
        <v>15073.24</v>
      </c>
      <c r="J122" s="3" t="s">
        <v>26</v>
      </c>
      <c r="K122" s="3" t="s">
        <v>56</v>
      </c>
      <c r="L122" t="str">
        <f>IFERROR(VLOOKUP(D122,Products!$A$2:$F$61,3,FALSE()),"")</f>
        <v>Electronics</v>
      </c>
      <c r="M122" t="str">
        <f>IFERROR(VLOOKUP(E122,Sales_Reps!$A$2:$C$31,3,FALSE()),"")</f>
        <v>North</v>
      </c>
      <c r="N122">
        <f>IFERROR(VLOOKUP(D122,Products!$A$2:$F$61,4,FALSE()),"")</f>
        <v>2405</v>
      </c>
      <c r="O122" t="str">
        <f>IFERROR(VLOOKUP(C122,Customers!$A$2:$F$301,5,FALSE()),"")</f>
        <v>SMB</v>
      </c>
      <c r="P122">
        <f>IFERROR(VLOOKUP(C122,Customers!$A$2:$F$301,3,FALSE()),"")</f>
        <v>46</v>
      </c>
      <c r="Q122">
        <f t="shared" si="3"/>
        <v>0.54878048780487809</v>
      </c>
      <c r="R122">
        <f>IF(AND(COUNTIF($A$2:$A$2047,A122)&gt;1,COUNTIF($A$2:A122,A122)=1),1,0)</f>
        <v>0</v>
      </c>
      <c r="S122" t="b">
        <f>IFERROR(VLOOKUP(D122,Products!$A$2:$F$61,6,FALSE()),"")</f>
        <v>1</v>
      </c>
      <c r="T122" t="str">
        <f>IF(COUNTIF(Customers!$A$2:$A$301,C122)=0,"Missing","OK")</f>
        <v>OK</v>
      </c>
      <c r="U122" t="str">
        <f t="shared" si="4"/>
        <v>Bengaluru</v>
      </c>
      <c r="V122">
        <f t="shared" si="5"/>
        <v>0</v>
      </c>
    </row>
    <row r="123" spans="1:22" ht="15" customHeight="1" x14ac:dyDescent="0.35">
      <c r="A123" s="3" t="s">
        <v>335</v>
      </c>
      <c r="B123" s="4">
        <v>45614</v>
      </c>
      <c r="C123" s="3" t="s">
        <v>336</v>
      </c>
      <c r="D123" s="3" t="s">
        <v>24</v>
      </c>
      <c r="E123" s="3" t="s">
        <v>236</v>
      </c>
      <c r="F123" s="5">
        <v>6</v>
      </c>
      <c r="G123" s="5">
        <v>3620</v>
      </c>
      <c r="H123" s="5">
        <v>10.8</v>
      </c>
      <c r="I123" s="5">
        <v>19374.240000000002</v>
      </c>
      <c r="J123" s="3" t="s">
        <v>26</v>
      </c>
      <c r="K123" s="3" t="s">
        <v>38</v>
      </c>
      <c r="L123" t="str">
        <f>IFERROR(VLOOKUP(D123,Products!$A$2:$F$61,3,FALSE()),"")</f>
        <v>Apparel</v>
      </c>
      <c r="M123" t="str">
        <f>IFERROR(VLOOKUP(E123,Sales_Reps!$A$2:$C$31,3,FALSE()),"")</f>
        <v>North</v>
      </c>
      <c r="N123">
        <f>IFERROR(VLOOKUP(D123,Products!$A$2:$F$61,4,FALSE()),"")</f>
        <v>2509</v>
      </c>
      <c r="O123" t="str">
        <f>IFERROR(VLOOKUP(C123,Customers!$A$2:$F$301,5,FALSE()),"")</f>
        <v>Retail</v>
      </c>
      <c r="P123">
        <f>IFERROR(VLOOKUP(C123,Customers!$A$2:$F$301,3,FALSE()),"")</f>
        <v>30</v>
      </c>
      <c r="Q123">
        <f t="shared" si="3"/>
        <v>0.3069060773480663</v>
      </c>
      <c r="R123">
        <f>IF(AND(COUNTIF($A$2:$A$2047,A123)&gt;1,COUNTIF($A$2:A123,A123)=1),1,0)</f>
        <v>0</v>
      </c>
      <c r="S123" t="b">
        <f>IFERROR(VLOOKUP(D123,Products!$A$2:$F$61,6,FALSE()),"")</f>
        <v>1</v>
      </c>
      <c r="T123" t="str">
        <f>IF(COUNTIF(Customers!$A$2:$A$301,C123)=0,"Missing","OK")</f>
        <v>OK</v>
      </c>
      <c r="U123" t="str">
        <f t="shared" si="4"/>
        <v>Delhi</v>
      </c>
      <c r="V123">
        <f t="shared" si="5"/>
        <v>0</v>
      </c>
    </row>
    <row r="124" spans="1:22" ht="15" customHeight="1" x14ac:dyDescent="0.35">
      <c r="A124" s="3" t="s">
        <v>337</v>
      </c>
      <c r="B124" s="4">
        <v>45593</v>
      </c>
      <c r="C124" s="3" t="s">
        <v>338</v>
      </c>
      <c r="D124" s="3" t="s">
        <v>24</v>
      </c>
      <c r="E124" s="3" t="s">
        <v>31</v>
      </c>
      <c r="F124" s="5">
        <v>6</v>
      </c>
      <c r="G124" s="5">
        <v>3620</v>
      </c>
      <c r="H124" s="5">
        <v>21.7</v>
      </c>
      <c r="I124" s="5">
        <v>17006.759999999998</v>
      </c>
      <c r="J124" s="3" t="s">
        <v>26</v>
      </c>
      <c r="K124" s="3" t="s">
        <v>38</v>
      </c>
      <c r="L124" t="str">
        <f>IFERROR(VLOOKUP(D124,Products!$A$2:$F$61,3,FALSE()),"")</f>
        <v>Apparel</v>
      </c>
      <c r="M124" t="str">
        <f>IFERROR(VLOOKUP(E124,Sales_Reps!$A$2:$C$31,3,FALSE()),"")</f>
        <v>North</v>
      </c>
      <c r="N124">
        <f>IFERROR(VLOOKUP(D124,Products!$A$2:$F$61,4,FALSE()),"")</f>
        <v>2509</v>
      </c>
      <c r="O124" t="str">
        <f>IFERROR(VLOOKUP(C124,Customers!$A$2:$F$301,5,FALSE()),"")</f>
        <v>SMB</v>
      </c>
      <c r="P124">
        <f>IFERROR(VLOOKUP(C124,Customers!$A$2:$F$301,3,FALSE()),"")</f>
        <v>53</v>
      </c>
      <c r="Q124">
        <f t="shared" si="3"/>
        <v>0.3069060773480663</v>
      </c>
      <c r="R124">
        <f>IF(AND(COUNTIF($A$2:$A$2047,A124)&gt;1,COUNTIF($A$2:A124,A124)=1),1,0)</f>
        <v>0</v>
      </c>
      <c r="S124" t="b">
        <f>IFERROR(VLOOKUP(D124,Products!$A$2:$F$61,6,FALSE()),"")</f>
        <v>1</v>
      </c>
      <c r="T124" t="str">
        <f>IF(COUNTIF(Customers!$A$2:$A$301,C124)=0,"Missing","OK")</f>
        <v>OK</v>
      </c>
      <c r="U124" t="str">
        <f t="shared" si="4"/>
        <v>Delhi</v>
      </c>
      <c r="V124">
        <f t="shared" si="5"/>
        <v>0</v>
      </c>
    </row>
    <row r="125" spans="1:22" ht="15" customHeight="1" x14ac:dyDescent="0.35">
      <c r="A125" s="3" t="s">
        <v>339</v>
      </c>
      <c r="B125" s="4">
        <v>45360</v>
      </c>
      <c r="C125" s="3" t="s">
        <v>340</v>
      </c>
      <c r="D125" s="3" t="s">
        <v>54</v>
      </c>
      <c r="E125" s="3" t="s">
        <v>46</v>
      </c>
      <c r="F125" s="5">
        <v>8</v>
      </c>
      <c r="G125" s="5">
        <v>960</v>
      </c>
      <c r="H125" s="5">
        <v>27.9</v>
      </c>
      <c r="I125" s="5">
        <v>5537.28</v>
      </c>
      <c r="J125" s="3" t="s">
        <v>26</v>
      </c>
      <c r="K125" s="3" t="s">
        <v>33</v>
      </c>
      <c r="L125" t="str">
        <f>IFERROR(VLOOKUP(D125,Products!$A$2:$F$61,3,FALSE()),"")</f>
        <v>Sports</v>
      </c>
      <c r="M125" t="str">
        <f>IFERROR(VLOOKUP(E125,Sales_Reps!$A$2:$C$31,3,FALSE()),"")</f>
        <v>North</v>
      </c>
      <c r="N125">
        <f>IFERROR(VLOOKUP(D125,Products!$A$2:$F$61,4,FALSE()),"")</f>
        <v>705</v>
      </c>
      <c r="O125" t="str">
        <f>IFERROR(VLOOKUP(C125,Customers!$A$2:$F$301,5,FALSE()),"")</f>
        <v>SMB</v>
      </c>
      <c r="P125">
        <f>IFERROR(VLOOKUP(C125,Customers!$A$2:$F$301,3,FALSE()),"")</f>
        <v>51</v>
      </c>
      <c r="Q125">
        <f t="shared" si="3"/>
        <v>0.265625</v>
      </c>
      <c r="R125">
        <f>IF(AND(COUNTIF($A$2:$A$2047,A125)&gt;1,COUNTIF($A$2:A125,A125)=1),1,0)</f>
        <v>0</v>
      </c>
      <c r="S125" t="b">
        <f>IFERROR(VLOOKUP(D125,Products!$A$2:$F$61,6,FALSE()),"")</f>
        <v>1</v>
      </c>
      <c r="T125" t="str">
        <f>IF(COUNTIF(Customers!$A$2:$A$301,C125)=0,"Missing","OK")</f>
        <v>OK</v>
      </c>
      <c r="U125" t="str">
        <f t="shared" si="4"/>
        <v>Chennai</v>
      </c>
      <c r="V125">
        <f t="shared" si="5"/>
        <v>0</v>
      </c>
    </row>
    <row r="126" spans="1:22" ht="15" customHeight="1" x14ac:dyDescent="0.35">
      <c r="A126" s="3" t="s">
        <v>341</v>
      </c>
      <c r="B126" s="4">
        <v>45628</v>
      </c>
      <c r="C126" s="3" t="s">
        <v>342</v>
      </c>
      <c r="D126" s="3" t="s">
        <v>115</v>
      </c>
      <c r="E126" s="3" t="s">
        <v>50</v>
      </c>
      <c r="F126" s="5">
        <v>5</v>
      </c>
      <c r="G126" s="5">
        <v>1650</v>
      </c>
      <c r="H126" s="5">
        <v>4.9000000000000004</v>
      </c>
      <c r="I126" s="5">
        <v>7845.75</v>
      </c>
      <c r="J126" s="3" t="s">
        <v>26</v>
      </c>
      <c r="K126" s="3" t="s">
        <v>56</v>
      </c>
      <c r="L126" t="str">
        <f>IFERROR(VLOOKUP(D126,Products!$A$2:$F$61,3,FALSE()),"")</f>
        <v>Beauty</v>
      </c>
      <c r="M126" t="str">
        <f>IFERROR(VLOOKUP(E126,Sales_Reps!$A$2:$C$31,3,FALSE()),"")</f>
        <v>West</v>
      </c>
      <c r="N126">
        <f>IFERROR(VLOOKUP(D126,Products!$A$2:$F$61,4,FALSE()),"")</f>
        <v>1222</v>
      </c>
      <c r="O126" t="str">
        <f>IFERROR(VLOOKUP(C126,Customers!$A$2:$F$301,5,FALSE()),"")</f>
        <v>Retail</v>
      </c>
      <c r="P126">
        <f>IFERROR(VLOOKUP(C126,Customers!$A$2:$F$301,3,FALSE()),"")</f>
        <v>59</v>
      </c>
      <c r="Q126">
        <f t="shared" si="3"/>
        <v>0.2593939393939394</v>
      </c>
      <c r="R126">
        <f>IF(AND(COUNTIF($A$2:$A$2047,A126)&gt;1,COUNTIF($A$2:A126,A126)=1),1,0)</f>
        <v>0</v>
      </c>
      <c r="S126" t="b">
        <f>IFERROR(VLOOKUP(D126,Products!$A$2:$F$61,6,FALSE()),"")</f>
        <v>1</v>
      </c>
      <c r="T126" t="str">
        <f>IF(COUNTIF(Customers!$A$2:$A$301,C126)=0,"Missing","OK")</f>
        <v>OK</v>
      </c>
      <c r="U126" t="str">
        <f t="shared" si="4"/>
        <v>Bengaluru</v>
      </c>
      <c r="V126">
        <f t="shared" si="5"/>
        <v>0</v>
      </c>
    </row>
    <row r="127" spans="1:22" ht="15" customHeight="1" x14ac:dyDescent="0.35">
      <c r="A127" s="3" t="s">
        <v>343</v>
      </c>
      <c r="B127" s="4">
        <v>45592</v>
      </c>
      <c r="C127" s="3" t="s">
        <v>344</v>
      </c>
      <c r="D127" s="3" t="s">
        <v>319</v>
      </c>
      <c r="E127" s="3" t="s">
        <v>71</v>
      </c>
      <c r="F127" s="5">
        <v>9</v>
      </c>
      <c r="G127" s="5">
        <v>960</v>
      </c>
      <c r="H127" s="5">
        <v>25.1</v>
      </c>
      <c r="I127" s="5">
        <v>6471.36</v>
      </c>
      <c r="J127" s="3" t="s">
        <v>83</v>
      </c>
      <c r="K127" s="3" t="s">
        <v>33</v>
      </c>
      <c r="L127" t="str">
        <f>IFERROR(VLOOKUP(D127,Products!$A$2:$F$61,3,FALSE()),"")</f>
        <v>Beauty</v>
      </c>
      <c r="M127" t="str">
        <f>IFERROR(VLOOKUP(E127,Sales_Reps!$A$2:$C$31,3,FALSE()),"")</f>
        <v>South</v>
      </c>
      <c r="N127">
        <f>IFERROR(VLOOKUP(D127,Products!$A$2:$F$61,4,FALSE()),"")</f>
        <v>675</v>
      </c>
      <c r="O127" t="str">
        <f>IFERROR(VLOOKUP(C127,Customers!$A$2:$F$301,5,FALSE()),"")</f>
        <v>Corporate</v>
      </c>
      <c r="P127">
        <f>IFERROR(VLOOKUP(C127,Customers!$A$2:$F$301,3,FALSE()),"")</f>
        <v>24</v>
      </c>
      <c r="Q127">
        <f t="shared" si="3"/>
        <v>0.296875</v>
      </c>
      <c r="R127">
        <f>IF(AND(COUNTIF($A$2:$A$2047,A127)&gt;1,COUNTIF($A$2:A127,A127)=1),1,0)</f>
        <v>0</v>
      </c>
      <c r="S127" t="b">
        <f>IFERROR(VLOOKUP(D127,Products!$A$2:$F$61,6,FALSE()),"")</f>
        <v>1</v>
      </c>
      <c r="T127" t="str">
        <f>IF(COUNTIF(Customers!$A$2:$A$301,C127)=0,"Missing","OK")</f>
        <v>OK</v>
      </c>
      <c r="U127" t="str">
        <f t="shared" si="4"/>
        <v>Chennai</v>
      </c>
      <c r="V127">
        <f t="shared" si="5"/>
        <v>0</v>
      </c>
    </row>
    <row r="128" spans="1:22" ht="15" customHeight="1" x14ac:dyDescent="0.35">
      <c r="A128" s="3" t="s">
        <v>345</v>
      </c>
      <c r="B128" s="4">
        <v>45453</v>
      </c>
      <c r="C128" s="3" t="s">
        <v>346</v>
      </c>
      <c r="D128" s="3" t="s">
        <v>347</v>
      </c>
      <c r="E128" s="3" t="s">
        <v>87</v>
      </c>
      <c r="F128" s="5">
        <v>7</v>
      </c>
      <c r="G128" s="5">
        <v>3970</v>
      </c>
      <c r="H128" s="5">
        <v>13.8</v>
      </c>
      <c r="I128" s="5">
        <v>23954.98</v>
      </c>
      <c r="J128" s="3" t="s">
        <v>32</v>
      </c>
      <c r="K128" s="3" t="s">
        <v>27</v>
      </c>
      <c r="L128" t="str">
        <f>IFERROR(VLOOKUP(D128,Products!$A$2:$F$61,3,FALSE()),"")</f>
        <v>Electronics</v>
      </c>
      <c r="M128" t="str">
        <f>IFERROR(VLOOKUP(E128,Sales_Reps!$A$2:$C$31,3,FALSE()),"")</f>
        <v>North</v>
      </c>
      <c r="N128">
        <f>IFERROR(VLOOKUP(D128,Products!$A$2:$F$61,4,FALSE()),"")</f>
        <v>2865</v>
      </c>
      <c r="O128" t="str">
        <f>IFERROR(VLOOKUP(C128,Customers!$A$2:$F$301,5,FALSE()),"")</f>
        <v>SMB</v>
      </c>
      <c r="P128">
        <f>IFERROR(VLOOKUP(C128,Customers!$A$2:$F$301,3,FALSE()),"")</f>
        <v>53</v>
      </c>
      <c r="Q128">
        <f t="shared" si="3"/>
        <v>0.27833753148614609</v>
      </c>
      <c r="R128">
        <f>IF(AND(COUNTIF($A$2:$A$2047,A128)&gt;1,COUNTIF($A$2:A128,A128)=1),1,0)</f>
        <v>0</v>
      </c>
      <c r="S128" t="b">
        <f>IFERROR(VLOOKUP(D128,Products!$A$2:$F$61,6,FALSE()),"")</f>
        <v>1</v>
      </c>
      <c r="T128" t="str">
        <f>IF(COUNTIF(Customers!$A$2:$A$301,C128)=0,"Missing","OK")</f>
        <v>OK</v>
      </c>
      <c r="U128" t="str">
        <f t="shared" si="4"/>
        <v>Pune</v>
      </c>
      <c r="V128">
        <f t="shared" si="5"/>
        <v>0</v>
      </c>
    </row>
    <row r="129" spans="1:22" ht="15" customHeight="1" x14ac:dyDescent="0.35">
      <c r="A129" s="3" t="s">
        <v>348</v>
      </c>
      <c r="B129" s="4">
        <v>45612</v>
      </c>
      <c r="C129" s="3" t="s">
        <v>238</v>
      </c>
      <c r="D129" s="3" t="s">
        <v>66</v>
      </c>
      <c r="E129" s="3" t="s">
        <v>31</v>
      </c>
      <c r="F129" s="5">
        <v>7</v>
      </c>
      <c r="G129" s="5">
        <v>970</v>
      </c>
      <c r="H129" s="5">
        <v>21.6</v>
      </c>
      <c r="I129" s="5">
        <v>5323.36</v>
      </c>
      <c r="J129" s="3" t="s">
        <v>32</v>
      </c>
      <c r="K129" s="3" t="s">
        <v>72</v>
      </c>
      <c r="L129" t="str">
        <f>IFERROR(VLOOKUP(D129,Products!$A$2:$F$61,3,FALSE()),"")</f>
        <v>Grocery</v>
      </c>
      <c r="M129" t="str">
        <f>IFERROR(VLOOKUP(E129,Sales_Reps!$A$2:$C$31,3,FALSE()),"")</f>
        <v>North</v>
      </c>
      <c r="N129">
        <f>IFERROR(VLOOKUP(D129,Products!$A$2:$F$61,4,FALSE()),"")</f>
        <v>434</v>
      </c>
      <c r="O129" t="str">
        <f>IFERROR(VLOOKUP(C129,Customers!$A$2:$F$301,5,FALSE()),"")</f>
        <v>Retail</v>
      </c>
      <c r="P129">
        <f>IFERROR(VLOOKUP(C129,Customers!$A$2:$F$301,3,FALSE()),"")</f>
        <v>29</v>
      </c>
      <c r="Q129">
        <f t="shared" si="3"/>
        <v>0.5525773195876289</v>
      </c>
      <c r="R129">
        <f>IF(AND(COUNTIF($A$2:$A$2047,A129)&gt;1,COUNTIF($A$2:A129,A129)=1),1,0)</f>
        <v>0</v>
      </c>
      <c r="S129" t="b">
        <f>IFERROR(VLOOKUP(D129,Products!$A$2:$F$61,6,FALSE()),"")</f>
        <v>1</v>
      </c>
      <c r="T129" t="str">
        <f>IF(COUNTIF(Customers!$A$2:$A$301,C129)=0,"Missing","OK")</f>
        <v>OK</v>
      </c>
      <c r="U129" t="str">
        <f t="shared" si="4"/>
        <v>Hyderabad</v>
      </c>
      <c r="V129">
        <f t="shared" si="5"/>
        <v>0</v>
      </c>
    </row>
    <row r="130" spans="1:22" ht="15" customHeight="1" x14ac:dyDescent="0.35">
      <c r="A130" s="3" t="s">
        <v>349</v>
      </c>
      <c r="B130" s="4">
        <v>45541</v>
      </c>
      <c r="C130" s="3" t="s">
        <v>350</v>
      </c>
      <c r="D130" s="3" t="s">
        <v>234</v>
      </c>
      <c r="E130" s="3" t="s">
        <v>154</v>
      </c>
      <c r="F130" s="5">
        <v>10</v>
      </c>
      <c r="G130" s="5">
        <v>2030</v>
      </c>
      <c r="H130" s="5">
        <v>1.2</v>
      </c>
      <c r="I130" s="5">
        <v>20056.400000000001</v>
      </c>
      <c r="J130" s="3" t="s">
        <v>26</v>
      </c>
      <c r="K130" s="3" t="s">
        <v>51</v>
      </c>
      <c r="L130" t="str">
        <f>IFERROR(VLOOKUP(D130,Products!$A$2:$F$61,3,FALSE()),"")</f>
        <v>Home</v>
      </c>
      <c r="M130" t="str">
        <f>IFERROR(VLOOKUP(E130,Sales_Reps!$A$2:$C$31,3,FALSE()),"")</f>
        <v>North</v>
      </c>
      <c r="N130">
        <f>IFERROR(VLOOKUP(D130,Products!$A$2:$F$61,4,FALSE()),"")</f>
        <v>1143</v>
      </c>
      <c r="O130" t="str">
        <f>IFERROR(VLOOKUP(C130,Customers!$A$2:$F$301,5,FALSE()),"")</f>
        <v>Retail</v>
      </c>
      <c r="P130">
        <f>IFERROR(VLOOKUP(C130,Customers!$A$2:$F$301,3,FALSE()),"")</f>
        <v>61</v>
      </c>
      <c r="Q130">
        <f t="shared" ref="Q130:Q193" si="6">IFERROR((G130-N130)/G130,"")</f>
        <v>0.43694581280788175</v>
      </c>
      <c r="R130">
        <f>IF(AND(COUNTIF($A$2:$A$2047,A130)&gt;1,COUNTIF($A$2:A130,A130)=1),1,0)</f>
        <v>0</v>
      </c>
      <c r="S130" t="b">
        <f>IFERROR(VLOOKUP(D130,Products!$A$2:$F$61,6,FALSE()),"")</f>
        <v>1</v>
      </c>
      <c r="T130" t="str">
        <f>IF(COUNTIF(Customers!$A$2:$A$301,C130)=0,"Missing","OK")</f>
        <v>OK</v>
      </c>
      <c r="U130" t="str">
        <f t="shared" ref="U130:U193" si="7">IF(K130="","",PROPER(TRIM(K130)))</f>
        <v>Mumbai</v>
      </c>
      <c r="V130">
        <f t="shared" ref="V130:V193" si="8">IF(AND(U130="Bengaluru",L130="Grocery"),I130,0)</f>
        <v>0</v>
      </c>
    </row>
    <row r="131" spans="1:22" ht="15" customHeight="1" x14ac:dyDescent="0.35">
      <c r="A131" s="3" t="s">
        <v>351</v>
      </c>
      <c r="B131" s="4">
        <v>45640</v>
      </c>
      <c r="C131" s="3" t="s">
        <v>352</v>
      </c>
      <c r="D131" s="3" t="s">
        <v>70</v>
      </c>
      <c r="E131" s="3" t="s">
        <v>97</v>
      </c>
      <c r="F131" s="5">
        <v>9</v>
      </c>
      <c r="G131" s="5">
        <v>2270</v>
      </c>
      <c r="H131" s="5">
        <v>13.2</v>
      </c>
      <c r="I131" s="5">
        <v>17733.240000000002</v>
      </c>
      <c r="J131" s="3" t="s">
        <v>32</v>
      </c>
      <c r="K131" s="3" t="s">
        <v>27</v>
      </c>
      <c r="L131" t="str">
        <f>IFERROR(VLOOKUP(D131,Products!$A$2:$F$61,3,FALSE()),"")</f>
        <v>Grocery</v>
      </c>
      <c r="M131" t="str">
        <f>IFERROR(VLOOKUP(E131,Sales_Reps!$A$2:$C$31,3,FALSE()),"")</f>
        <v>East</v>
      </c>
      <c r="N131">
        <f>IFERROR(VLOOKUP(D131,Products!$A$2:$F$61,4,FALSE()),"")</f>
        <v>1203</v>
      </c>
      <c r="O131" t="str">
        <f>IFERROR(VLOOKUP(C131,Customers!$A$2:$F$301,5,FALSE()),"")</f>
        <v>Retail</v>
      </c>
      <c r="P131">
        <f>IFERROR(VLOOKUP(C131,Customers!$A$2:$F$301,3,FALSE()),"")</f>
        <v>22</v>
      </c>
      <c r="Q131">
        <f t="shared" si="6"/>
        <v>0.47004405286343615</v>
      </c>
      <c r="R131">
        <f>IF(AND(COUNTIF($A$2:$A$2047,A131)&gt;1,COUNTIF($A$2:A131,A131)=1),1,0)</f>
        <v>0</v>
      </c>
      <c r="S131" t="b">
        <f>IFERROR(VLOOKUP(D131,Products!$A$2:$F$61,6,FALSE()),"")</f>
        <v>1</v>
      </c>
      <c r="T131" t="str">
        <f>IF(COUNTIF(Customers!$A$2:$A$301,C131)=0,"Missing","OK")</f>
        <v>OK</v>
      </c>
      <c r="U131" t="str">
        <f t="shared" si="7"/>
        <v>Pune</v>
      </c>
      <c r="V131">
        <f t="shared" si="8"/>
        <v>0</v>
      </c>
    </row>
    <row r="132" spans="1:22" ht="15" customHeight="1" x14ac:dyDescent="0.35">
      <c r="A132" s="3" t="s">
        <v>353</v>
      </c>
      <c r="B132" s="4">
        <v>45524</v>
      </c>
      <c r="C132" s="3" t="s">
        <v>95</v>
      </c>
      <c r="D132" s="3" t="s">
        <v>123</v>
      </c>
      <c r="E132" s="3" t="s">
        <v>87</v>
      </c>
      <c r="F132" s="5">
        <v>8</v>
      </c>
      <c r="G132" s="5">
        <v>4880</v>
      </c>
      <c r="H132" s="5">
        <v>13.4</v>
      </c>
      <c r="I132" s="5">
        <v>33808.639999999999</v>
      </c>
      <c r="J132" s="3" t="s">
        <v>26</v>
      </c>
      <c r="K132" s="3" t="s">
        <v>72</v>
      </c>
      <c r="L132" t="str">
        <f>IFERROR(VLOOKUP(D132,Products!$A$2:$F$61,3,FALSE()),"")</f>
        <v>Beauty</v>
      </c>
      <c r="M132" t="str">
        <f>IFERROR(VLOOKUP(E132,Sales_Reps!$A$2:$C$31,3,FALSE()),"")</f>
        <v>North</v>
      </c>
      <c r="N132">
        <f>IFERROR(VLOOKUP(D132,Products!$A$2:$F$61,4,FALSE()),"")</f>
        <v>2768</v>
      </c>
      <c r="O132" t="str">
        <f>IFERROR(VLOOKUP(C132,Customers!$A$2:$F$301,5,FALSE()),"")</f>
        <v>Corporate</v>
      </c>
      <c r="P132">
        <f>IFERROR(VLOOKUP(C132,Customers!$A$2:$F$301,3,FALSE()),"")</f>
        <v>32</v>
      </c>
      <c r="Q132">
        <f t="shared" si="6"/>
        <v>0.43278688524590164</v>
      </c>
      <c r="R132">
        <f>IF(AND(COUNTIF($A$2:$A$2047,A132)&gt;1,COUNTIF($A$2:A132,A132)=1),1,0)</f>
        <v>0</v>
      </c>
      <c r="S132" t="b">
        <f>IFERROR(VLOOKUP(D132,Products!$A$2:$F$61,6,FALSE()),"")</f>
        <v>1</v>
      </c>
      <c r="T132" t="str">
        <f>IF(COUNTIF(Customers!$A$2:$A$301,C132)=0,"Missing","OK")</f>
        <v>OK</v>
      </c>
      <c r="U132" t="str">
        <f t="shared" si="7"/>
        <v>Hyderabad</v>
      </c>
      <c r="V132">
        <f t="shared" si="8"/>
        <v>0</v>
      </c>
    </row>
    <row r="133" spans="1:22" ht="15" customHeight="1" x14ac:dyDescent="0.35">
      <c r="A133" s="3" t="s">
        <v>354</v>
      </c>
      <c r="B133" s="4">
        <v>45344</v>
      </c>
      <c r="C133" s="3" t="s">
        <v>355</v>
      </c>
      <c r="D133" s="3" t="s">
        <v>187</v>
      </c>
      <c r="E133" s="3" t="s">
        <v>212</v>
      </c>
      <c r="F133" s="5">
        <v>10</v>
      </c>
      <c r="G133" s="5">
        <v>3870</v>
      </c>
      <c r="H133" s="5">
        <v>23.9</v>
      </c>
      <c r="I133" s="5">
        <v>29450.7</v>
      </c>
      <c r="J133" s="3" t="s">
        <v>26</v>
      </c>
      <c r="K133" s="3" t="s">
        <v>56</v>
      </c>
      <c r="L133" t="str">
        <f>IFERROR(VLOOKUP(D133,Products!$A$2:$F$61,3,FALSE()),"")</f>
        <v>Electronics</v>
      </c>
      <c r="M133" t="str">
        <f>IFERROR(VLOOKUP(E133,Sales_Reps!$A$2:$C$31,3,FALSE()),"")</f>
        <v>South</v>
      </c>
      <c r="N133">
        <f>IFERROR(VLOOKUP(D133,Products!$A$2:$F$61,4,FALSE()),"")</f>
        <v>1559</v>
      </c>
      <c r="O133" t="str">
        <f>IFERROR(VLOOKUP(C133,Customers!$A$2:$F$301,5,FALSE()),"")</f>
        <v>Corporate</v>
      </c>
      <c r="P133">
        <f>IFERROR(VLOOKUP(C133,Customers!$A$2:$F$301,3,FALSE()),"")</f>
        <v>42</v>
      </c>
      <c r="Q133">
        <f t="shared" si="6"/>
        <v>0.59715762273901807</v>
      </c>
      <c r="R133">
        <f>IF(AND(COUNTIF($A$2:$A$2047,A133)&gt;1,COUNTIF($A$2:A133,A133)=1),1,0)</f>
        <v>0</v>
      </c>
      <c r="S133" t="b">
        <f>IFERROR(VLOOKUP(D133,Products!$A$2:$F$61,6,FALSE()),"")</f>
        <v>1</v>
      </c>
      <c r="T133" t="str">
        <f>IF(COUNTIF(Customers!$A$2:$A$301,C133)=0,"Missing","OK")</f>
        <v>OK</v>
      </c>
      <c r="U133" t="str">
        <f t="shared" si="7"/>
        <v>Bengaluru</v>
      </c>
      <c r="V133">
        <f t="shared" si="8"/>
        <v>0</v>
      </c>
    </row>
    <row r="134" spans="1:22" ht="15" customHeight="1" x14ac:dyDescent="0.35">
      <c r="A134" s="3" t="s">
        <v>356</v>
      </c>
      <c r="B134" s="4">
        <v>45463</v>
      </c>
      <c r="C134" s="3" t="s">
        <v>357</v>
      </c>
      <c r="D134" s="3" t="s">
        <v>325</v>
      </c>
      <c r="E134" s="3" t="s">
        <v>236</v>
      </c>
      <c r="F134" s="5">
        <v>4</v>
      </c>
      <c r="G134" s="5">
        <v>2290</v>
      </c>
      <c r="H134" s="5">
        <v>15.2</v>
      </c>
      <c r="I134" s="5">
        <v>7767.68</v>
      </c>
      <c r="J134" s="3" t="s">
        <v>26</v>
      </c>
      <c r="K134" s="3" t="s">
        <v>72</v>
      </c>
      <c r="L134" t="str">
        <f>IFERROR(VLOOKUP(D134,Products!$A$2:$F$61,3,FALSE()),"")</f>
        <v>Beauty</v>
      </c>
      <c r="M134" t="str">
        <f>IFERROR(VLOOKUP(E134,Sales_Reps!$A$2:$C$31,3,FALSE()),"")</f>
        <v>North</v>
      </c>
      <c r="N134">
        <f>IFERROR(VLOOKUP(D134,Products!$A$2:$F$61,4,FALSE()),"")</f>
        <v>1219</v>
      </c>
      <c r="O134" t="str">
        <f>IFERROR(VLOOKUP(C134,Customers!$A$2:$F$301,5,FALSE()),"")</f>
        <v>Retail</v>
      </c>
      <c r="P134">
        <f>IFERROR(VLOOKUP(C134,Customers!$A$2:$F$301,3,FALSE()),"")</f>
        <v>22</v>
      </c>
      <c r="Q134">
        <f t="shared" si="6"/>
        <v>0.46768558951965067</v>
      </c>
      <c r="R134">
        <f>IF(AND(COUNTIF($A$2:$A$2047,A134)&gt;1,COUNTIF($A$2:A134,A134)=1),1,0)</f>
        <v>0</v>
      </c>
      <c r="S134" t="b">
        <f>IFERROR(VLOOKUP(D134,Products!$A$2:$F$61,6,FALSE()),"")</f>
        <v>1</v>
      </c>
      <c r="T134" t="str">
        <f>IF(COUNTIF(Customers!$A$2:$A$301,C134)=0,"Missing","OK")</f>
        <v>OK</v>
      </c>
      <c r="U134" t="str">
        <f t="shared" si="7"/>
        <v>Hyderabad</v>
      </c>
      <c r="V134">
        <f t="shared" si="8"/>
        <v>0</v>
      </c>
    </row>
    <row r="135" spans="1:22" ht="15" customHeight="1" x14ac:dyDescent="0.35">
      <c r="A135" s="3" t="s">
        <v>358</v>
      </c>
      <c r="B135" s="4">
        <v>45443</v>
      </c>
      <c r="C135" s="3" t="s">
        <v>359</v>
      </c>
      <c r="D135" s="3" t="s">
        <v>306</v>
      </c>
      <c r="E135" s="3" t="s">
        <v>131</v>
      </c>
      <c r="F135" s="5">
        <v>8</v>
      </c>
      <c r="G135" s="5">
        <v>2380</v>
      </c>
      <c r="H135" s="5">
        <v>4.2</v>
      </c>
      <c r="I135" s="5">
        <v>18240.32</v>
      </c>
      <c r="J135" s="3" t="s">
        <v>26</v>
      </c>
      <c r="K135" s="3" t="s">
        <v>38</v>
      </c>
      <c r="L135" t="str">
        <f>IFERROR(VLOOKUP(D135,Products!$A$2:$F$61,3,FALSE()),"")</f>
        <v>Grocery</v>
      </c>
      <c r="M135" t="str">
        <f>IFERROR(VLOOKUP(E135,Sales_Reps!$A$2:$C$31,3,FALSE()),"")</f>
        <v>East</v>
      </c>
      <c r="N135">
        <f>IFERROR(VLOOKUP(D135,Products!$A$2:$F$61,4,FALSE()),"")</f>
        <v>1182</v>
      </c>
      <c r="O135" t="str">
        <f>IFERROR(VLOOKUP(C135,Customers!$A$2:$F$301,5,FALSE()),"")</f>
        <v>Retail</v>
      </c>
      <c r="P135">
        <f>IFERROR(VLOOKUP(C135,Customers!$A$2:$F$301,3,FALSE()),"")</f>
        <v>44</v>
      </c>
      <c r="Q135">
        <f t="shared" si="6"/>
        <v>0.50336134453781511</v>
      </c>
      <c r="R135">
        <f>IF(AND(COUNTIF($A$2:$A$2047,A135)&gt;1,COUNTIF($A$2:A135,A135)=1),1,0)</f>
        <v>0</v>
      </c>
      <c r="S135" t="b">
        <f>IFERROR(VLOOKUP(D135,Products!$A$2:$F$61,6,FALSE()),"")</f>
        <v>1</v>
      </c>
      <c r="T135" t="str">
        <f>IF(COUNTIF(Customers!$A$2:$A$301,C135)=0,"Missing","OK")</f>
        <v>OK</v>
      </c>
      <c r="U135" t="str">
        <f t="shared" si="7"/>
        <v>Delhi</v>
      </c>
      <c r="V135">
        <f t="shared" si="8"/>
        <v>0</v>
      </c>
    </row>
    <row r="136" spans="1:22" ht="15" customHeight="1" x14ac:dyDescent="0.35">
      <c r="A136" s="3" t="s">
        <v>360</v>
      </c>
      <c r="B136" s="4">
        <v>45301</v>
      </c>
      <c r="C136" s="3" t="s">
        <v>361</v>
      </c>
      <c r="D136" s="3" t="s">
        <v>277</v>
      </c>
      <c r="E136" s="3" t="s">
        <v>191</v>
      </c>
      <c r="F136" s="5">
        <v>8</v>
      </c>
      <c r="G136" s="5">
        <v>2210</v>
      </c>
      <c r="H136" s="5">
        <v>11.5</v>
      </c>
      <c r="I136" s="5">
        <v>15646.8</v>
      </c>
      <c r="J136" s="3" t="s">
        <v>26</v>
      </c>
      <c r="K136" s="3" t="s">
        <v>33</v>
      </c>
      <c r="L136" t="str">
        <f>IFERROR(VLOOKUP(D136,Products!$A$2:$F$61,3,FALSE()),"")</f>
        <v>Grocery</v>
      </c>
      <c r="M136" t="str">
        <f>IFERROR(VLOOKUP(E136,Sales_Reps!$A$2:$C$31,3,FALSE()),"")</f>
        <v>South</v>
      </c>
      <c r="N136">
        <f>IFERROR(VLOOKUP(D136,Products!$A$2:$F$61,4,FALSE()),"")</f>
        <v>1010</v>
      </c>
      <c r="O136" t="str">
        <f>IFERROR(VLOOKUP(C136,Customers!$A$2:$F$301,5,FALSE()),"")</f>
        <v>SMB</v>
      </c>
      <c r="P136">
        <f>IFERROR(VLOOKUP(C136,Customers!$A$2:$F$301,3,FALSE()),"")</f>
        <v>64</v>
      </c>
      <c r="Q136">
        <f t="shared" si="6"/>
        <v>0.54298642533936647</v>
      </c>
      <c r="R136">
        <f>IF(AND(COUNTIF($A$2:$A$2047,A136)&gt;1,COUNTIF($A$2:A136,A136)=1),1,0)</f>
        <v>1</v>
      </c>
      <c r="S136" t="b">
        <f>IFERROR(VLOOKUP(D136,Products!$A$2:$F$61,6,FALSE()),"")</f>
        <v>1</v>
      </c>
      <c r="T136" t="str">
        <f>IF(COUNTIF(Customers!$A$2:$A$301,C136)=0,"Missing","OK")</f>
        <v>OK</v>
      </c>
      <c r="U136" t="str">
        <f t="shared" si="7"/>
        <v>Chennai</v>
      </c>
      <c r="V136">
        <f t="shared" si="8"/>
        <v>0</v>
      </c>
    </row>
    <row r="137" spans="1:22" ht="15" customHeight="1" x14ac:dyDescent="0.35">
      <c r="A137" s="3" t="s">
        <v>362</v>
      </c>
      <c r="B137" s="4">
        <v>45360</v>
      </c>
      <c r="C137" s="3" t="s">
        <v>172</v>
      </c>
      <c r="D137" s="3" t="s">
        <v>303</v>
      </c>
      <c r="E137" s="3" t="s">
        <v>224</v>
      </c>
      <c r="F137" s="5">
        <v>4</v>
      </c>
      <c r="G137" s="5">
        <v>5330</v>
      </c>
      <c r="H137" s="5">
        <v>22.6</v>
      </c>
      <c r="I137" s="5">
        <v>16501.68</v>
      </c>
      <c r="J137" s="3" t="s">
        <v>32</v>
      </c>
      <c r="K137" s="3" t="s">
        <v>27</v>
      </c>
      <c r="L137" t="str">
        <f>IFERROR(VLOOKUP(D137,Products!$A$2:$F$61,3,FALSE()),"")</f>
        <v>Electronics</v>
      </c>
      <c r="M137" t="str">
        <f>IFERROR(VLOOKUP(E137,Sales_Reps!$A$2:$C$31,3,FALSE()),"")</f>
        <v>East</v>
      </c>
      <c r="N137">
        <f>IFERROR(VLOOKUP(D137,Products!$A$2:$F$61,4,FALSE()),"")</f>
        <v>2405</v>
      </c>
      <c r="O137" t="str">
        <f>IFERROR(VLOOKUP(C137,Customers!$A$2:$F$301,5,FALSE()),"")</f>
        <v>SMB</v>
      </c>
      <c r="P137">
        <f>IFERROR(VLOOKUP(C137,Customers!$A$2:$F$301,3,FALSE()),"")</f>
        <v>29</v>
      </c>
      <c r="Q137">
        <f t="shared" si="6"/>
        <v>0.54878048780487809</v>
      </c>
      <c r="R137">
        <f>IF(AND(COUNTIF($A$2:$A$2047,A137)&gt;1,COUNTIF($A$2:A137,A137)=1),1,0)</f>
        <v>1</v>
      </c>
      <c r="S137" t="b">
        <f>IFERROR(VLOOKUP(D137,Products!$A$2:$F$61,6,FALSE()),"")</f>
        <v>1</v>
      </c>
      <c r="T137" t="str">
        <f>IF(COUNTIF(Customers!$A$2:$A$301,C137)=0,"Missing","OK")</f>
        <v>OK</v>
      </c>
      <c r="U137" t="str">
        <f t="shared" si="7"/>
        <v>Pune</v>
      </c>
      <c r="V137">
        <f t="shared" si="8"/>
        <v>0</v>
      </c>
    </row>
    <row r="138" spans="1:22" ht="15" customHeight="1" x14ac:dyDescent="0.35">
      <c r="A138" s="3" t="s">
        <v>363</v>
      </c>
      <c r="B138" s="4">
        <v>45559</v>
      </c>
      <c r="C138" s="3" t="s">
        <v>364</v>
      </c>
      <c r="D138" s="3" t="s">
        <v>347</v>
      </c>
      <c r="E138" s="3" t="s">
        <v>224</v>
      </c>
      <c r="F138" s="5">
        <v>8</v>
      </c>
      <c r="G138" s="5">
        <v>3970</v>
      </c>
      <c r="H138" s="5">
        <v>21.8</v>
      </c>
      <c r="I138" s="5">
        <v>24836.32</v>
      </c>
      <c r="J138" s="3" t="s">
        <v>26</v>
      </c>
      <c r="K138" s="3" t="s">
        <v>33</v>
      </c>
      <c r="L138" t="str">
        <f>IFERROR(VLOOKUP(D138,Products!$A$2:$F$61,3,FALSE()),"")</f>
        <v>Electronics</v>
      </c>
      <c r="M138" t="str">
        <f>IFERROR(VLOOKUP(E138,Sales_Reps!$A$2:$C$31,3,FALSE()),"")</f>
        <v>East</v>
      </c>
      <c r="N138">
        <f>IFERROR(VLOOKUP(D138,Products!$A$2:$F$61,4,FALSE()),"")</f>
        <v>2865</v>
      </c>
      <c r="O138" t="str">
        <f>IFERROR(VLOOKUP(C138,Customers!$A$2:$F$301,5,FALSE()),"")</f>
        <v>SMB</v>
      </c>
      <c r="P138">
        <f>IFERROR(VLOOKUP(C138,Customers!$A$2:$F$301,3,FALSE()),"")</f>
        <v>64</v>
      </c>
      <c r="Q138">
        <f t="shared" si="6"/>
        <v>0.27833753148614609</v>
      </c>
      <c r="R138">
        <f>IF(AND(COUNTIF($A$2:$A$2047,A138)&gt;1,COUNTIF($A$2:A138,A138)=1),1,0)</f>
        <v>0</v>
      </c>
      <c r="S138" t="b">
        <f>IFERROR(VLOOKUP(D138,Products!$A$2:$F$61,6,FALSE()),"")</f>
        <v>1</v>
      </c>
      <c r="T138" t="str">
        <f>IF(COUNTIF(Customers!$A$2:$A$301,C138)=0,"Missing","OK")</f>
        <v>OK</v>
      </c>
      <c r="U138" t="str">
        <f t="shared" si="7"/>
        <v>Chennai</v>
      </c>
      <c r="V138">
        <f t="shared" si="8"/>
        <v>0</v>
      </c>
    </row>
    <row r="139" spans="1:22" ht="15" customHeight="1" x14ac:dyDescent="0.35">
      <c r="A139" s="3" t="s">
        <v>365</v>
      </c>
      <c r="B139" s="4">
        <v>45546</v>
      </c>
      <c r="C139" s="3" t="s">
        <v>366</v>
      </c>
      <c r="D139" s="3" t="s">
        <v>45</v>
      </c>
      <c r="E139" s="3" t="s">
        <v>131</v>
      </c>
      <c r="F139" s="5">
        <v>10</v>
      </c>
      <c r="G139" s="5">
        <v>3160</v>
      </c>
      <c r="H139" s="5">
        <v>16.100000000000001</v>
      </c>
      <c r="I139" s="5">
        <v>26512.400000000001</v>
      </c>
      <c r="J139" s="3" t="s">
        <v>79</v>
      </c>
      <c r="K139" s="3" t="s">
        <v>27</v>
      </c>
      <c r="L139" t="str">
        <f>IFERROR(VLOOKUP(D139,Products!$A$2:$F$61,3,FALSE()),"")</f>
        <v>Apparel</v>
      </c>
      <c r="M139" t="str">
        <f>IFERROR(VLOOKUP(E139,Sales_Reps!$A$2:$C$31,3,FALSE()),"")</f>
        <v>East</v>
      </c>
      <c r="N139">
        <f>IFERROR(VLOOKUP(D139,Products!$A$2:$F$61,4,FALSE()),"")</f>
        <v>1886</v>
      </c>
      <c r="O139" t="str">
        <f>IFERROR(VLOOKUP(C139,Customers!$A$2:$F$301,5,FALSE()),"")</f>
        <v>Corporate</v>
      </c>
      <c r="P139">
        <f>IFERROR(VLOOKUP(C139,Customers!$A$2:$F$301,3,FALSE()),"")</f>
        <v>48</v>
      </c>
      <c r="Q139">
        <f t="shared" si="6"/>
        <v>0.4031645569620253</v>
      </c>
      <c r="R139">
        <f>IF(AND(COUNTIF($A$2:$A$2047,A139)&gt;1,COUNTIF($A$2:A139,A139)=1),1,0)</f>
        <v>0</v>
      </c>
      <c r="S139" t="b">
        <f>IFERROR(VLOOKUP(D139,Products!$A$2:$F$61,6,FALSE()),"")</f>
        <v>1</v>
      </c>
      <c r="T139" t="str">
        <f>IF(COUNTIF(Customers!$A$2:$A$301,C139)=0,"Missing","OK")</f>
        <v>OK</v>
      </c>
      <c r="U139" t="str">
        <f t="shared" si="7"/>
        <v>Pune</v>
      </c>
      <c r="V139">
        <f t="shared" si="8"/>
        <v>0</v>
      </c>
    </row>
    <row r="140" spans="1:22" ht="15" customHeight="1" x14ac:dyDescent="0.35">
      <c r="A140" s="3" t="s">
        <v>367</v>
      </c>
      <c r="B140" s="4">
        <v>45425</v>
      </c>
      <c r="C140" s="3" t="s">
        <v>368</v>
      </c>
      <c r="D140" s="3" t="s">
        <v>86</v>
      </c>
      <c r="E140" s="3" t="s">
        <v>143</v>
      </c>
      <c r="F140" s="5">
        <v>5</v>
      </c>
      <c r="G140" s="5">
        <v>190</v>
      </c>
      <c r="H140" s="5">
        <v>14.8</v>
      </c>
      <c r="I140" s="5">
        <v>809.4</v>
      </c>
      <c r="J140" s="3" t="s">
        <v>26</v>
      </c>
      <c r="K140" s="3" t="s">
        <v>56</v>
      </c>
      <c r="L140" t="str">
        <f>IFERROR(VLOOKUP(D140,Products!$A$2:$F$61,3,FALSE()),"")</f>
        <v>Sports</v>
      </c>
      <c r="M140" t="str">
        <f>IFERROR(VLOOKUP(E140,Sales_Reps!$A$2:$C$31,3,FALSE()),"")</f>
        <v>South</v>
      </c>
      <c r="N140">
        <f>IFERROR(VLOOKUP(D140,Products!$A$2:$F$61,4,FALSE()),"")</f>
        <v>147</v>
      </c>
      <c r="O140" t="str">
        <f>IFERROR(VLOOKUP(C140,Customers!$A$2:$F$301,5,FALSE()),"")</f>
        <v>Retail</v>
      </c>
      <c r="P140">
        <f>IFERROR(VLOOKUP(C140,Customers!$A$2:$F$301,3,FALSE()),"")</f>
        <v>55</v>
      </c>
      <c r="Q140">
        <f t="shared" si="6"/>
        <v>0.22631578947368422</v>
      </c>
      <c r="R140">
        <f>IF(AND(COUNTIF($A$2:$A$2047,A140)&gt;1,COUNTIF($A$2:A140,A140)=1),1,0)</f>
        <v>0</v>
      </c>
      <c r="S140" t="b">
        <f>IFERROR(VLOOKUP(D140,Products!$A$2:$F$61,6,FALSE()),"")</f>
        <v>1</v>
      </c>
      <c r="T140" t="str">
        <f>IF(COUNTIF(Customers!$A$2:$A$301,C140)=0,"Missing","OK")</f>
        <v>OK</v>
      </c>
      <c r="U140" t="str">
        <f t="shared" si="7"/>
        <v>Bengaluru</v>
      </c>
      <c r="V140">
        <f t="shared" si="8"/>
        <v>0</v>
      </c>
    </row>
    <row r="141" spans="1:22" ht="15" customHeight="1" x14ac:dyDescent="0.35">
      <c r="A141" s="3" t="s">
        <v>369</v>
      </c>
      <c r="B141" s="4">
        <v>45351</v>
      </c>
      <c r="C141" s="3" t="s">
        <v>261</v>
      </c>
      <c r="D141" s="3" t="s">
        <v>139</v>
      </c>
      <c r="E141" s="3" t="s">
        <v>25</v>
      </c>
      <c r="F141" s="5">
        <v>6</v>
      </c>
      <c r="G141" s="5">
        <v>2760</v>
      </c>
      <c r="H141" s="5">
        <v>19.8</v>
      </c>
      <c r="I141" s="5">
        <v>13281.12</v>
      </c>
      <c r="J141" s="3" t="s">
        <v>26</v>
      </c>
      <c r="K141" s="3" t="s">
        <v>38</v>
      </c>
      <c r="L141" t="str">
        <f>IFERROR(VLOOKUP(D141,Products!$A$2:$F$61,3,FALSE()),"")</f>
        <v>Grocery</v>
      </c>
      <c r="M141" t="str">
        <f>IFERROR(VLOOKUP(E141,Sales_Reps!$A$2:$C$31,3,FALSE()),"")</f>
        <v>North</v>
      </c>
      <c r="N141">
        <f>IFERROR(VLOOKUP(D141,Products!$A$2:$F$61,4,FALSE()),"")</f>
        <v>1435</v>
      </c>
      <c r="O141" t="str">
        <f>IFERROR(VLOOKUP(C141,Customers!$A$2:$F$301,5,FALSE()),"")</f>
        <v>Retail</v>
      </c>
      <c r="P141">
        <f>IFERROR(VLOOKUP(C141,Customers!$A$2:$F$301,3,FALSE()),"")</f>
        <v>31</v>
      </c>
      <c r="Q141">
        <f t="shared" si="6"/>
        <v>0.48007246376811596</v>
      </c>
      <c r="R141">
        <f>IF(AND(COUNTIF($A$2:$A$2047,A141)&gt;1,COUNTIF($A$2:A141,A141)=1),1,0)</f>
        <v>0</v>
      </c>
      <c r="S141" t="b">
        <f>IFERROR(VLOOKUP(D141,Products!$A$2:$F$61,6,FALSE()),"")</f>
        <v>1</v>
      </c>
      <c r="T141" t="str">
        <f>IF(COUNTIF(Customers!$A$2:$A$301,C141)=0,"Missing","OK")</f>
        <v>OK</v>
      </c>
      <c r="U141" t="str">
        <f t="shared" si="7"/>
        <v>Delhi</v>
      </c>
      <c r="V141">
        <f t="shared" si="8"/>
        <v>0</v>
      </c>
    </row>
    <row r="142" spans="1:22" ht="15" customHeight="1" x14ac:dyDescent="0.35">
      <c r="A142" s="3" t="s">
        <v>370</v>
      </c>
      <c r="B142" s="4">
        <v>45604</v>
      </c>
      <c r="C142" s="3" t="s">
        <v>310</v>
      </c>
      <c r="D142" s="3" t="s">
        <v>184</v>
      </c>
      <c r="E142" s="3" t="s">
        <v>60</v>
      </c>
      <c r="F142" s="5">
        <v>9</v>
      </c>
      <c r="G142" s="5">
        <v>2270</v>
      </c>
      <c r="H142" s="5">
        <v>20.8</v>
      </c>
      <c r="I142" s="5">
        <v>16180.56</v>
      </c>
      <c r="J142" s="3" t="s">
        <v>79</v>
      </c>
      <c r="K142" s="3" t="s">
        <v>51</v>
      </c>
      <c r="L142" t="str">
        <f>IFERROR(VLOOKUP(D142,Products!$A$2:$F$61,3,FALSE()),"")</f>
        <v>Grocery</v>
      </c>
      <c r="M142" t="str">
        <f>IFERROR(VLOOKUP(E142,Sales_Reps!$A$2:$C$31,3,FALSE()),"")</f>
        <v>East</v>
      </c>
      <c r="N142">
        <f>IFERROR(VLOOKUP(D142,Products!$A$2:$F$61,4,FALSE()),"")</f>
        <v>1412</v>
      </c>
      <c r="O142" t="str">
        <f>IFERROR(VLOOKUP(C142,Customers!$A$2:$F$301,5,FALSE()),"")</f>
        <v>Retail</v>
      </c>
      <c r="P142">
        <f>IFERROR(VLOOKUP(C142,Customers!$A$2:$F$301,3,FALSE()),"")</f>
        <v>42</v>
      </c>
      <c r="Q142">
        <f t="shared" si="6"/>
        <v>0.37797356828193834</v>
      </c>
      <c r="R142">
        <f>IF(AND(COUNTIF($A$2:$A$2047,A142)&gt;1,COUNTIF($A$2:A142,A142)=1),1,0)</f>
        <v>0</v>
      </c>
      <c r="S142" t="b">
        <f>IFERROR(VLOOKUP(D142,Products!$A$2:$F$61,6,FALSE()),"")</f>
        <v>1</v>
      </c>
      <c r="T142" t="str">
        <f>IF(COUNTIF(Customers!$A$2:$A$301,C142)=0,"Missing","OK")</f>
        <v>OK</v>
      </c>
      <c r="U142" t="str">
        <f t="shared" si="7"/>
        <v>Mumbai</v>
      </c>
      <c r="V142">
        <f t="shared" si="8"/>
        <v>0</v>
      </c>
    </row>
    <row r="143" spans="1:22" ht="15" customHeight="1" x14ac:dyDescent="0.35">
      <c r="A143" s="3" t="s">
        <v>371</v>
      </c>
      <c r="B143" s="4">
        <v>45328</v>
      </c>
      <c r="C143" s="3" t="s">
        <v>105</v>
      </c>
      <c r="D143" s="3" t="s">
        <v>299</v>
      </c>
      <c r="E143" s="3" t="s">
        <v>154</v>
      </c>
      <c r="F143" s="5">
        <v>8</v>
      </c>
      <c r="G143" s="5">
        <v>5410</v>
      </c>
      <c r="H143" s="5">
        <v>12.9</v>
      </c>
      <c r="I143" s="5">
        <v>37696.879999999997</v>
      </c>
      <c r="J143" s="3" t="s">
        <v>26</v>
      </c>
      <c r="K143" s="3" t="s">
        <v>72</v>
      </c>
      <c r="L143" t="str">
        <f>IFERROR(VLOOKUP(D143,Products!$A$2:$F$61,3,FALSE()),"")</f>
        <v>Sports</v>
      </c>
      <c r="M143" t="str">
        <f>IFERROR(VLOOKUP(E143,Sales_Reps!$A$2:$C$31,3,FALSE()),"")</f>
        <v>North</v>
      </c>
      <c r="N143">
        <f>IFERROR(VLOOKUP(D143,Products!$A$2:$F$61,4,FALSE()),"")</f>
        <v>2265</v>
      </c>
      <c r="O143" t="str">
        <f>IFERROR(VLOOKUP(C143,Customers!$A$2:$F$301,5,FALSE()),"")</f>
        <v>Retail</v>
      </c>
      <c r="P143">
        <f>IFERROR(VLOOKUP(C143,Customers!$A$2:$F$301,3,FALSE()),"")</f>
        <v>32</v>
      </c>
      <c r="Q143">
        <f t="shared" si="6"/>
        <v>0.58133086876155271</v>
      </c>
      <c r="R143">
        <f>IF(AND(COUNTIF($A$2:$A$2047,A143)&gt;1,COUNTIF($A$2:A143,A143)=1),1,0)</f>
        <v>0</v>
      </c>
      <c r="S143" t="b">
        <f>IFERROR(VLOOKUP(D143,Products!$A$2:$F$61,6,FALSE()),"")</f>
        <v>1</v>
      </c>
      <c r="T143" t="str">
        <f>IF(COUNTIF(Customers!$A$2:$A$301,C143)=0,"Missing","OK")</f>
        <v>OK</v>
      </c>
      <c r="U143" t="str">
        <f t="shared" si="7"/>
        <v>Hyderabad</v>
      </c>
      <c r="V143">
        <f t="shared" si="8"/>
        <v>0</v>
      </c>
    </row>
    <row r="144" spans="1:22" ht="15" customHeight="1" x14ac:dyDescent="0.35">
      <c r="A144" s="3" t="s">
        <v>372</v>
      </c>
      <c r="B144" s="4">
        <v>45508</v>
      </c>
      <c r="C144" s="3" t="s">
        <v>373</v>
      </c>
      <c r="D144" s="3" t="s">
        <v>70</v>
      </c>
      <c r="E144" s="3" t="s">
        <v>143</v>
      </c>
      <c r="F144" s="5">
        <v>9</v>
      </c>
      <c r="G144" s="5">
        <v>2270</v>
      </c>
      <c r="H144" s="5">
        <v>6.8</v>
      </c>
      <c r="I144" s="5">
        <v>19040.759999999998</v>
      </c>
      <c r="J144" s="3" t="s">
        <v>26</v>
      </c>
      <c r="K144" s="3" t="s">
        <v>38</v>
      </c>
      <c r="L144" t="str">
        <f>IFERROR(VLOOKUP(D144,Products!$A$2:$F$61,3,FALSE()),"")</f>
        <v>Grocery</v>
      </c>
      <c r="M144" t="str">
        <f>IFERROR(VLOOKUP(E144,Sales_Reps!$A$2:$C$31,3,FALSE()),"")</f>
        <v>South</v>
      </c>
      <c r="N144">
        <f>IFERROR(VLOOKUP(D144,Products!$A$2:$F$61,4,FALSE()),"")</f>
        <v>1203</v>
      </c>
      <c r="O144" t="str">
        <f>IFERROR(VLOOKUP(C144,Customers!$A$2:$F$301,5,FALSE()),"")</f>
        <v>Corporate</v>
      </c>
      <c r="P144">
        <f>IFERROR(VLOOKUP(C144,Customers!$A$2:$F$301,3,FALSE()),"")</f>
        <v>31</v>
      </c>
      <c r="Q144">
        <f t="shared" si="6"/>
        <v>0.47004405286343615</v>
      </c>
      <c r="R144">
        <f>IF(AND(COUNTIF($A$2:$A$2047,A144)&gt;1,COUNTIF($A$2:A144,A144)=1),1,0)</f>
        <v>0</v>
      </c>
      <c r="S144" t="b">
        <f>IFERROR(VLOOKUP(D144,Products!$A$2:$F$61,6,FALSE()),"")</f>
        <v>1</v>
      </c>
      <c r="T144" t="str">
        <f>IF(COUNTIF(Customers!$A$2:$A$301,C144)=0,"Missing","OK")</f>
        <v>OK</v>
      </c>
      <c r="U144" t="str">
        <f t="shared" si="7"/>
        <v>Delhi</v>
      </c>
      <c r="V144">
        <f t="shared" si="8"/>
        <v>0</v>
      </c>
    </row>
    <row r="145" spans="1:22" ht="15" customHeight="1" x14ac:dyDescent="0.35">
      <c r="A145" s="3" t="s">
        <v>374</v>
      </c>
      <c r="B145" s="4">
        <v>45309</v>
      </c>
      <c r="C145" s="3" t="s">
        <v>76</v>
      </c>
      <c r="D145" s="3" t="s">
        <v>45</v>
      </c>
      <c r="E145" s="3" t="s">
        <v>154</v>
      </c>
      <c r="F145" s="5">
        <v>3</v>
      </c>
      <c r="G145" s="5">
        <v>3160</v>
      </c>
      <c r="H145" s="5">
        <v>12.8</v>
      </c>
      <c r="I145" s="5">
        <v>8266.56</v>
      </c>
      <c r="J145" s="3" t="s">
        <v>26</v>
      </c>
      <c r="K145" s="3" t="s">
        <v>38</v>
      </c>
      <c r="L145" t="str">
        <f>IFERROR(VLOOKUP(D145,Products!$A$2:$F$61,3,FALSE()),"")</f>
        <v>Apparel</v>
      </c>
      <c r="M145" t="str">
        <f>IFERROR(VLOOKUP(E145,Sales_Reps!$A$2:$C$31,3,FALSE()),"")</f>
        <v>North</v>
      </c>
      <c r="N145">
        <f>IFERROR(VLOOKUP(D145,Products!$A$2:$F$61,4,FALSE()),"")</f>
        <v>1886</v>
      </c>
      <c r="O145" t="str">
        <f>IFERROR(VLOOKUP(C145,Customers!$A$2:$F$301,5,FALSE()),"")</f>
        <v>SMB</v>
      </c>
      <c r="P145">
        <f>IFERROR(VLOOKUP(C145,Customers!$A$2:$F$301,3,FALSE()),"")</f>
        <v>27</v>
      </c>
      <c r="Q145">
        <f t="shared" si="6"/>
        <v>0.4031645569620253</v>
      </c>
      <c r="R145">
        <f>IF(AND(COUNTIF($A$2:$A$2047,A145)&gt;1,COUNTIF($A$2:A145,A145)=1),1,0)</f>
        <v>0</v>
      </c>
      <c r="S145" t="b">
        <f>IFERROR(VLOOKUP(D145,Products!$A$2:$F$61,6,FALSE()),"")</f>
        <v>1</v>
      </c>
      <c r="T145" t="str">
        <f>IF(COUNTIF(Customers!$A$2:$A$301,C145)=0,"Missing","OK")</f>
        <v>OK</v>
      </c>
      <c r="U145" t="str">
        <f t="shared" si="7"/>
        <v>Delhi</v>
      </c>
      <c r="V145">
        <f t="shared" si="8"/>
        <v>0</v>
      </c>
    </row>
    <row r="146" spans="1:22" ht="15" customHeight="1" x14ac:dyDescent="0.35">
      <c r="A146" s="3" t="s">
        <v>375</v>
      </c>
      <c r="B146" s="4">
        <v>45448</v>
      </c>
      <c r="C146" s="3" t="s">
        <v>172</v>
      </c>
      <c r="D146" s="3" t="s">
        <v>290</v>
      </c>
      <c r="E146" s="3" t="s">
        <v>67</v>
      </c>
      <c r="F146" s="5">
        <v>8</v>
      </c>
      <c r="G146" s="5">
        <v>4060</v>
      </c>
      <c r="H146" s="5">
        <v>20.9</v>
      </c>
      <c r="I146" s="5">
        <v>25691.68</v>
      </c>
      <c r="J146" s="3" t="s">
        <v>26</v>
      </c>
      <c r="K146" s="3" t="s">
        <v>27</v>
      </c>
      <c r="L146" t="str">
        <f>IFERROR(VLOOKUP(D146,Products!$A$2:$F$61,3,FALSE()),"")</f>
        <v>Grocery</v>
      </c>
      <c r="M146" t="str">
        <f>IFERROR(VLOOKUP(E146,Sales_Reps!$A$2:$C$31,3,FALSE()),"")</f>
        <v>West</v>
      </c>
      <c r="N146">
        <f>IFERROR(VLOOKUP(D146,Products!$A$2:$F$61,4,FALSE()),"")</f>
        <v>2911</v>
      </c>
      <c r="O146" t="str">
        <f>IFERROR(VLOOKUP(C146,Customers!$A$2:$F$301,5,FALSE()),"")</f>
        <v>SMB</v>
      </c>
      <c r="P146">
        <f>IFERROR(VLOOKUP(C146,Customers!$A$2:$F$301,3,FALSE()),"")</f>
        <v>29</v>
      </c>
      <c r="Q146">
        <f t="shared" si="6"/>
        <v>0.28300492610837441</v>
      </c>
      <c r="R146">
        <f>IF(AND(COUNTIF($A$2:$A$2047,A146)&gt;1,COUNTIF($A$2:A146,A146)=1),1,0)</f>
        <v>0</v>
      </c>
      <c r="S146" t="b">
        <f>IFERROR(VLOOKUP(D146,Products!$A$2:$F$61,6,FALSE()),"")</f>
        <v>1</v>
      </c>
      <c r="T146" t="str">
        <f>IF(COUNTIF(Customers!$A$2:$A$301,C146)=0,"Missing","OK")</f>
        <v>OK</v>
      </c>
      <c r="U146" t="str">
        <f t="shared" si="7"/>
        <v>Pune</v>
      </c>
      <c r="V146">
        <f t="shared" si="8"/>
        <v>0</v>
      </c>
    </row>
    <row r="147" spans="1:22" ht="15" customHeight="1" x14ac:dyDescent="0.35">
      <c r="A147" s="3" t="s">
        <v>376</v>
      </c>
      <c r="B147" s="4">
        <v>45449</v>
      </c>
      <c r="C147" s="3" t="s">
        <v>377</v>
      </c>
      <c r="D147" s="3" t="s">
        <v>30</v>
      </c>
      <c r="E147" s="3" t="s">
        <v>242</v>
      </c>
      <c r="F147" s="5">
        <v>5</v>
      </c>
      <c r="G147" s="5">
        <v>820</v>
      </c>
      <c r="H147" s="5">
        <v>9.1</v>
      </c>
      <c r="I147" s="5">
        <v>3726.9</v>
      </c>
      <c r="J147" s="3" t="s">
        <v>83</v>
      </c>
      <c r="K147" s="3" t="s">
        <v>27</v>
      </c>
      <c r="L147" t="str">
        <f>IFERROR(VLOOKUP(D147,Products!$A$2:$F$61,3,FALSE()),"")</f>
        <v>Apparel</v>
      </c>
      <c r="M147" t="str">
        <f>IFERROR(VLOOKUP(E147,Sales_Reps!$A$2:$C$31,3,FALSE()),"")</f>
        <v>East</v>
      </c>
      <c r="N147">
        <f>IFERROR(VLOOKUP(D147,Products!$A$2:$F$61,4,FALSE()),"")</f>
        <v>391</v>
      </c>
      <c r="O147" t="str">
        <f>IFERROR(VLOOKUP(C147,Customers!$A$2:$F$301,5,FALSE()),"")</f>
        <v/>
      </c>
      <c r="P147" t="str">
        <f>IFERROR(VLOOKUP(C147,Customers!$A$2:$F$301,3,FALSE()),"")</f>
        <v/>
      </c>
      <c r="Q147">
        <f t="shared" si="6"/>
        <v>0.52317073170731709</v>
      </c>
      <c r="R147">
        <f>IF(AND(COUNTIF($A$2:$A$2047,A147)&gt;1,COUNTIF($A$2:A147,A147)=1),1,0)</f>
        <v>0</v>
      </c>
      <c r="S147" t="b">
        <f>IFERROR(VLOOKUP(D147,Products!$A$2:$F$61,6,FALSE()),"")</f>
        <v>1</v>
      </c>
      <c r="T147" t="str">
        <f>IF(COUNTIF(Customers!$A$2:$A$301,C147)=0,"Missing","OK")</f>
        <v>Missing</v>
      </c>
      <c r="U147" t="str">
        <f t="shared" si="7"/>
        <v>Pune</v>
      </c>
      <c r="V147">
        <f t="shared" si="8"/>
        <v>0</v>
      </c>
    </row>
    <row r="148" spans="1:22" ht="15" customHeight="1" x14ac:dyDescent="0.35">
      <c r="A148" s="3" t="s">
        <v>378</v>
      </c>
      <c r="B148" s="4">
        <v>45555</v>
      </c>
      <c r="C148" s="3" t="s">
        <v>379</v>
      </c>
      <c r="D148" s="3" t="s">
        <v>49</v>
      </c>
      <c r="E148" s="3" t="s">
        <v>25</v>
      </c>
      <c r="F148" s="5">
        <v>5</v>
      </c>
      <c r="G148" s="5">
        <v>370</v>
      </c>
      <c r="H148" s="5">
        <v>11.5</v>
      </c>
      <c r="I148" s="5">
        <v>1637.25</v>
      </c>
      <c r="J148" s="3" t="s">
        <v>26</v>
      </c>
      <c r="K148" s="3" t="s">
        <v>27</v>
      </c>
      <c r="L148" t="str">
        <f>IFERROR(VLOOKUP(D148,Products!$A$2:$F$61,3,FALSE()),"")</f>
        <v>Home</v>
      </c>
      <c r="M148" t="str">
        <f>IFERROR(VLOOKUP(E148,Sales_Reps!$A$2:$C$31,3,FALSE()),"")</f>
        <v>North</v>
      </c>
      <c r="N148">
        <f>IFERROR(VLOOKUP(D148,Products!$A$2:$F$61,4,FALSE()),"")</f>
        <v>288</v>
      </c>
      <c r="O148" t="str">
        <f>IFERROR(VLOOKUP(C148,Customers!$A$2:$F$301,5,FALSE()),"")</f>
        <v>SMB</v>
      </c>
      <c r="P148">
        <f>IFERROR(VLOOKUP(C148,Customers!$A$2:$F$301,3,FALSE()),"")</f>
        <v>30</v>
      </c>
      <c r="Q148">
        <f t="shared" si="6"/>
        <v>0.22162162162162163</v>
      </c>
      <c r="R148">
        <f>IF(AND(COUNTIF($A$2:$A$2047,A148)&gt;1,COUNTIF($A$2:A148,A148)=1),1,0)</f>
        <v>0</v>
      </c>
      <c r="S148" t="b">
        <f>IFERROR(VLOOKUP(D148,Products!$A$2:$F$61,6,FALSE()),"")</f>
        <v>1</v>
      </c>
      <c r="T148" t="str">
        <f>IF(COUNTIF(Customers!$A$2:$A$301,C148)=0,"Missing","OK")</f>
        <v>OK</v>
      </c>
      <c r="U148" t="str">
        <f t="shared" si="7"/>
        <v>Pune</v>
      </c>
      <c r="V148">
        <f t="shared" si="8"/>
        <v>0</v>
      </c>
    </row>
    <row r="149" spans="1:22" ht="15" customHeight="1" x14ac:dyDescent="0.35">
      <c r="A149" s="3" t="s">
        <v>380</v>
      </c>
      <c r="B149" s="4">
        <v>45341</v>
      </c>
      <c r="C149" s="3" t="s">
        <v>381</v>
      </c>
      <c r="D149" s="3" t="s">
        <v>382</v>
      </c>
      <c r="E149" s="3" t="s">
        <v>236</v>
      </c>
      <c r="F149" s="5">
        <v>9</v>
      </c>
      <c r="G149" s="5">
        <v>5080</v>
      </c>
      <c r="H149" s="5">
        <v>27.5</v>
      </c>
      <c r="I149" s="5">
        <v>33147</v>
      </c>
      <c r="J149" s="3" t="s">
        <v>26</v>
      </c>
      <c r="K149" s="3" t="s">
        <v>27</v>
      </c>
      <c r="L149" t="str">
        <f>IFERROR(VLOOKUP(D149,Products!$A$2:$F$61,3,FALSE()),"")</f>
        <v>Home</v>
      </c>
      <c r="M149" t="str">
        <f>IFERROR(VLOOKUP(E149,Sales_Reps!$A$2:$C$31,3,FALSE()),"")</f>
        <v>North</v>
      </c>
      <c r="N149">
        <f>IFERROR(VLOOKUP(D149,Products!$A$2:$F$61,4,FALSE()),"")</f>
        <v>2459</v>
      </c>
      <c r="O149" t="str">
        <f>IFERROR(VLOOKUP(C149,Customers!$A$2:$F$301,5,FALSE()),"")</f>
        <v>Retail</v>
      </c>
      <c r="P149">
        <f>IFERROR(VLOOKUP(C149,Customers!$A$2:$F$301,3,FALSE()),"")</f>
        <v>65</v>
      </c>
      <c r="Q149">
        <f t="shared" si="6"/>
        <v>0.51594488188976373</v>
      </c>
      <c r="R149">
        <f>IF(AND(COUNTIF($A$2:$A$2047,A149)&gt;1,COUNTIF($A$2:A149,A149)=1),1,0)</f>
        <v>0</v>
      </c>
      <c r="S149" t="b">
        <f>IFERROR(VLOOKUP(D149,Products!$A$2:$F$61,6,FALSE()),"")</f>
        <v>1</v>
      </c>
      <c r="T149" t="str">
        <f>IF(COUNTIF(Customers!$A$2:$A$301,C149)=0,"Missing","OK")</f>
        <v>OK</v>
      </c>
      <c r="U149" t="str">
        <f t="shared" si="7"/>
        <v>Pune</v>
      </c>
      <c r="V149">
        <f t="shared" si="8"/>
        <v>0</v>
      </c>
    </row>
    <row r="150" spans="1:22" ht="15" customHeight="1" x14ac:dyDescent="0.35">
      <c r="A150" s="3" t="s">
        <v>383</v>
      </c>
      <c r="B150" s="4">
        <v>45422</v>
      </c>
      <c r="C150" s="3" t="s">
        <v>247</v>
      </c>
      <c r="D150" s="3" t="s">
        <v>203</v>
      </c>
      <c r="E150" s="3" t="s">
        <v>264</v>
      </c>
      <c r="F150" s="5">
        <v>6</v>
      </c>
      <c r="G150" s="5">
        <v>4070</v>
      </c>
      <c r="H150" s="5">
        <v>12.5</v>
      </c>
      <c r="I150" s="5">
        <v>21367.5</v>
      </c>
      <c r="J150" s="3" t="s">
        <v>26</v>
      </c>
      <c r="K150" s="3" t="s">
        <v>27</v>
      </c>
      <c r="L150" t="str">
        <f>IFERROR(VLOOKUP(D150,Products!$A$2:$F$61,3,FALSE()),"")</f>
        <v>Grocery</v>
      </c>
      <c r="M150" t="str">
        <f>IFERROR(VLOOKUP(E150,Sales_Reps!$A$2:$C$31,3,FALSE()),"")</f>
        <v>South</v>
      </c>
      <c r="N150">
        <f>IFERROR(VLOOKUP(D150,Products!$A$2:$F$61,4,FALSE()),"")</f>
        <v>2027</v>
      </c>
      <c r="O150" t="str">
        <f>IFERROR(VLOOKUP(C150,Customers!$A$2:$F$301,5,FALSE()),"")</f>
        <v>SMB</v>
      </c>
      <c r="P150">
        <f>IFERROR(VLOOKUP(C150,Customers!$A$2:$F$301,3,FALSE()),"")</f>
        <v>54</v>
      </c>
      <c r="Q150">
        <f t="shared" si="6"/>
        <v>0.50196560196560192</v>
      </c>
      <c r="R150">
        <f>IF(AND(COUNTIF($A$2:$A$2047,A150)&gt;1,COUNTIF($A$2:A150,A150)=1),1,0)</f>
        <v>0</v>
      </c>
      <c r="S150" t="b">
        <f>IFERROR(VLOOKUP(D150,Products!$A$2:$F$61,6,FALSE()),"")</f>
        <v>1</v>
      </c>
      <c r="T150" t="str">
        <f>IF(COUNTIF(Customers!$A$2:$A$301,C150)=0,"Missing","OK")</f>
        <v>OK</v>
      </c>
      <c r="U150" t="str">
        <f t="shared" si="7"/>
        <v>Pune</v>
      </c>
      <c r="V150">
        <f t="shared" si="8"/>
        <v>0</v>
      </c>
    </row>
    <row r="151" spans="1:22" ht="15" customHeight="1" x14ac:dyDescent="0.35">
      <c r="A151" s="3" t="s">
        <v>384</v>
      </c>
      <c r="B151" s="4">
        <v>45346</v>
      </c>
      <c r="C151" s="3" t="s">
        <v>379</v>
      </c>
      <c r="D151" s="3" t="s">
        <v>221</v>
      </c>
      <c r="E151" s="3" t="s">
        <v>55</v>
      </c>
      <c r="F151" s="5">
        <v>5</v>
      </c>
      <c r="G151" s="5">
        <v>300</v>
      </c>
      <c r="H151" s="5">
        <v>25.8</v>
      </c>
      <c r="I151" s="5">
        <v>1113</v>
      </c>
      <c r="J151" s="3" t="s">
        <v>26</v>
      </c>
      <c r="K151" s="3" t="s">
        <v>27</v>
      </c>
      <c r="L151" t="str">
        <f>IFERROR(VLOOKUP(D151,Products!$A$2:$F$61,3,FALSE()),"")</f>
        <v>Electronics</v>
      </c>
      <c r="M151" t="str">
        <f>IFERROR(VLOOKUP(E151,Sales_Reps!$A$2:$C$31,3,FALSE()),"")</f>
        <v>West</v>
      </c>
      <c r="N151">
        <f>IFERROR(VLOOKUP(D151,Products!$A$2:$F$61,4,FALSE()),"")</f>
        <v>128</v>
      </c>
      <c r="O151" t="str">
        <f>IFERROR(VLOOKUP(C151,Customers!$A$2:$F$301,5,FALSE()),"")</f>
        <v>SMB</v>
      </c>
      <c r="P151">
        <f>IFERROR(VLOOKUP(C151,Customers!$A$2:$F$301,3,FALSE()),"")</f>
        <v>30</v>
      </c>
      <c r="Q151">
        <f t="shared" si="6"/>
        <v>0.57333333333333336</v>
      </c>
      <c r="R151">
        <f>IF(AND(COUNTIF($A$2:$A$2047,A151)&gt;1,COUNTIF($A$2:A151,A151)=1),1,0)</f>
        <v>0</v>
      </c>
      <c r="S151" t="b">
        <f>IFERROR(VLOOKUP(D151,Products!$A$2:$F$61,6,FALSE()),"")</f>
        <v>1</v>
      </c>
      <c r="T151" t="str">
        <f>IF(COUNTIF(Customers!$A$2:$A$301,C151)=0,"Missing","OK")</f>
        <v>OK</v>
      </c>
      <c r="U151" t="str">
        <f t="shared" si="7"/>
        <v>Pune</v>
      </c>
      <c r="V151">
        <f t="shared" si="8"/>
        <v>0</v>
      </c>
    </row>
    <row r="152" spans="1:22" ht="15" customHeight="1" x14ac:dyDescent="0.35">
      <c r="A152" s="3" t="s">
        <v>385</v>
      </c>
      <c r="B152" s="4">
        <v>45318</v>
      </c>
      <c r="C152" s="3" t="s">
        <v>386</v>
      </c>
      <c r="D152" s="3" t="s">
        <v>130</v>
      </c>
      <c r="E152" s="3" t="s">
        <v>212</v>
      </c>
      <c r="F152" s="5">
        <v>7</v>
      </c>
      <c r="G152" s="5">
        <v>5100</v>
      </c>
      <c r="H152" s="5">
        <v>28.8</v>
      </c>
      <c r="I152" s="5">
        <v>25418.400000000001</v>
      </c>
      <c r="J152" s="3" t="s">
        <v>26</v>
      </c>
      <c r="K152" s="3" t="s">
        <v>387</v>
      </c>
      <c r="L152" t="str">
        <f>IFERROR(VLOOKUP(D152,Products!$A$2:$F$61,3,FALSE()),"")</f>
        <v>Beauty</v>
      </c>
      <c r="M152" t="str">
        <f>IFERROR(VLOOKUP(E152,Sales_Reps!$A$2:$C$31,3,FALSE()),"")</f>
        <v>South</v>
      </c>
      <c r="N152">
        <f>IFERROR(VLOOKUP(D152,Products!$A$2:$F$61,4,FALSE()),"")</f>
        <v>2237</v>
      </c>
      <c r="O152" t="str">
        <f>IFERROR(VLOOKUP(C152,Customers!$A$2:$F$301,5,FALSE()),"")</f>
        <v>Retail</v>
      </c>
      <c r="P152">
        <f>IFERROR(VLOOKUP(C152,Customers!$A$2:$F$301,3,FALSE()),"")</f>
        <v>41</v>
      </c>
      <c r="Q152">
        <f t="shared" si="6"/>
        <v>0.56137254901960787</v>
      </c>
      <c r="R152">
        <f>IF(AND(COUNTIF($A$2:$A$2047,A152)&gt;1,COUNTIF($A$2:A152,A152)=1),1,0)</f>
        <v>0</v>
      </c>
      <c r="S152" t="b">
        <f>IFERROR(VLOOKUP(D152,Products!$A$2:$F$61,6,FALSE()),"")</f>
        <v>1</v>
      </c>
      <c r="T152" t="str">
        <f>IF(COUNTIF(Customers!$A$2:$A$301,C152)=0,"Missing","OK")</f>
        <v>OK</v>
      </c>
      <c r="U152" t="str">
        <f t="shared" si="7"/>
        <v>Mumbai</v>
      </c>
      <c r="V152">
        <f t="shared" si="8"/>
        <v>0</v>
      </c>
    </row>
    <row r="153" spans="1:22" ht="15" customHeight="1" x14ac:dyDescent="0.35">
      <c r="A153" s="3" t="s">
        <v>388</v>
      </c>
      <c r="B153" s="4">
        <v>45521</v>
      </c>
      <c r="C153" s="3" t="s">
        <v>164</v>
      </c>
      <c r="D153" s="3" t="s">
        <v>63</v>
      </c>
      <c r="E153" s="3" t="s">
        <v>264</v>
      </c>
      <c r="F153" s="5">
        <v>2</v>
      </c>
      <c r="G153" s="5">
        <v>5490</v>
      </c>
      <c r="H153" s="5">
        <v>5.5</v>
      </c>
      <c r="I153" s="5">
        <v>10376.1</v>
      </c>
      <c r="J153" s="3" t="s">
        <v>26</v>
      </c>
      <c r="K153" s="3" t="s">
        <v>33</v>
      </c>
      <c r="L153" t="str">
        <f>IFERROR(VLOOKUP(D153,Products!$A$2:$F$61,3,FALSE()),"")</f>
        <v>Home</v>
      </c>
      <c r="M153" t="str">
        <f>IFERROR(VLOOKUP(E153,Sales_Reps!$A$2:$C$31,3,FALSE()),"")</f>
        <v>South</v>
      </c>
      <c r="N153">
        <f>IFERROR(VLOOKUP(D153,Products!$A$2:$F$61,4,FALSE()),"")</f>
        <v>2549</v>
      </c>
      <c r="O153" t="str">
        <f>IFERROR(VLOOKUP(C153,Customers!$A$2:$F$301,5,FALSE()),"")</f>
        <v>Retail</v>
      </c>
      <c r="P153">
        <f>IFERROR(VLOOKUP(C153,Customers!$A$2:$F$301,3,FALSE()),"")</f>
        <v>37</v>
      </c>
      <c r="Q153">
        <f t="shared" si="6"/>
        <v>0.53570127504553733</v>
      </c>
      <c r="R153">
        <f>IF(AND(COUNTIF($A$2:$A$2047,A153)&gt;1,COUNTIF($A$2:A153,A153)=1),1,0)</f>
        <v>0</v>
      </c>
      <c r="S153" t="b">
        <f>IFERROR(VLOOKUP(D153,Products!$A$2:$F$61,6,FALSE()),"")</f>
        <v>1</v>
      </c>
      <c r="T153" t="str">
        <f>IF(COUNTIF(Customers!$A$2:$A$301,C153)=0,"Missing","OK")</f>
        <v>OK</v>
      </c>
      <c r="U153" t="str">
        <f t="shared" si="7"/>
        <v>Chennai</v>
      </c>
      <c r="V153">
        <f t="shared" si="8"/>
        <v>0</v>
      </c>
    </row>
    <row r="154" spans="1:22" ht="15" customHeight="1" x14ac:dyDescent="0.35">
      <c r="A154" s="3" t="s">
        <v>389</v>
      </c>
      <c r="B154" s="4">
        <v>45595</v>
      </c>
      <c r="C154" s="3" t="s">
        <v>390</v>
      </c>
      <c r="D154" s="3" t="s">
        <v>391</v>
      </c>
      <c r="E154" s="3" t="s">
        <v>127</v>
      </c>
      <c r="F154" s="5">
        <v>2</v>
      </c>
      <c r="G154" s="5">
        <v>3450</v>
      </c>
      <c r="H154" s="5">
        <v>1.2</v>
      </c>
      <c r="I154" s="5">
        <v>6817.2</v>
      </c>
      <c r="J154" s="3" t="s">
        <v>26</v>
      </c>
      <c r="K154" s="3" t="s">
        <v>38</v>
      </c>
      <c r="L154" t="str">
        <f>IFERROR(VLOOKUP(D154,Products!$A$2:$F$61,3,FALSE()),"")</f>
        <v>Apparel</v>
      </c>
      <c r="M154" t="str">
        <f>IFERROR(VLOOKUP(E154,Sales_Reps!$A$2:$C$31,3,FALSE()),"")</f>
        <v>South</v>
      </c>
      <c r="N154">
        <f>IFERROR(VLOOKUP(D154,Products!$A$2:$F$61,4,FALSE()),"")</f>
        <v>1748</v>
      </c>
      <c r="O154" t="str">
        <f>IFERROR(VLOOKUP(C154,Customers!$A$2:$F$301,5,FALSE()),"")</f>
        <v>SMB</v>
      </c>
      <c r="P154">
        <f>IFERROR(VLOOKUP(C154,Customers!$A$2:$F$301,3,FALSE()),"")</f>
        <v>34</v>
      </c>
      <c r="Q154">
        <f t="shared" si="6"/>
        <v>0.49333333333333335</v>
      </c>
      <c r="R154">
        <f>IF(AND(COUNTIF($A$2:$A$2047,A154)&gt;1,COUNTIF($A$2:A154,A154)=1),1,0)</f>
        <v>0</v>
      </c>
      <c r="S154" t="b">
        <f>IFERROR(VLOOKUP(D154,Products!$A$2:$F$61,6,FALSE()),"")</f>
        <v>1</v>
      </c>
      <c r="T154" t="str">
        <f>IF(COUNTIF(Customers!$A$2:$A$301,C154)=0,"Missing","OK")</f>
        <v>OK</v>
      </c>
      <c r="U154" t="str">
        <f t="shared" si="7"/>
        <v>Delhi</v>
      </c>
      <c r="V154">
        <f t="shared" si="8"/>
        <v>0</v>
      </c>
    </row>
    <row r="155" spans="1:22" ht="15" customHeight="1" x14ac:dyDescent="0.35">
      <c r="A155" s="3" t="s">
        <v>392</v>
      </c>
      <c r="B155" s="4">
        <v>45530</v>
      </c>
      <c r="C155" s="3" t="s">
        <v>393</v>
      </c>
      <c r="D155" s="3" t="s">
        <v>277</v>
      </c>
      <c r="E155" s="3" t="s">
        <v>236</v>
      </c>
      <c r="F155" s="5">
        <v>10</v>
      </c>
      <c r="G155" s="5">
        <v>2210</v>
      </c>
      <c r="H155" s="5">
        <v>18.8</v>
      </c>
      <c r="I155" s="5">
        <v>17945.2</v>
      </c>
      <c r="J155" s="3" t="s">
        <v>26</v>
      </c>
      <c r="K155" s="3" t="s">
        <v>72</v>
      </c>
      <c r="L155" t="str">
        <f>IFERROR(VLOOKUP(D155,Products!$A$2:$F$61,3,FALSE()),"")</f>
        <v>Grocery</v>
      </c>
      <c r="M155" t="str">
        <f>IFERROR(VLOOKUP(E155,Sales_Reps!$A$2:$C$31,3,FALSE()),"")</f>
        <v>North</v>
      </c>
      <c r="N155">
        <f>IFERROR(VLOOKUP(D155,Products!$A$2:$F$61,4,FALSE()),"")</f>
        <v>1010</v>
      </c>
      <c r="O155" t="str">
        <f>IFERROR(VLOOKUP(C155,Customers!$A$2:$F$301,5,FALSE()),"")</f>
        <v>Corporate</v>
      </c>
      <c r="P155">
        <f>IFERROR(VLOOKUP(C155,Customers!$A$2:$F$301,3,FALSE()),"")</f>
        <v>43</v>
      </c>
      <c r="Q155">
        <f t="shared" si="6"/>
        <v>0.54298642533936647</v>
      </c>
      <c r="R155">
        <f>IF(AND(COUNTIF($A$2:$A$2047,A155)&gt;1,COUNTIF($A$2:A155,A155)=1),1,0)</f>
        <v>0</v>
      </c>
      <c r="S155" t="b">
        <f>IFERROR(VLOOKUP(D155,Products!$A$2:$F$61,6,FALSE()),"")</f>
        <v>1</v>
      </c>
      <c r="T155" t="str">
        <f>IF(COUNTIF(Customers!$A$2:$A$301,C155)=0,"Missing","OK")</f>
        <v>OK</v>
      </c>
      <c r="U155" t="str">
        <f t="shared" si="7"/>
        <v>Hyderabad</v>
      </c>
      <c r="V155">
        <f t="shared" si="8"/>
        <v>0</v>
      </c>
    </row>
    <row r="156" spans="1:22" ht="15" customHeight="1" x14ac:dyDescent="0.35">
      <c r="A156" s="3" t="s">
        <v>394</v>
      </c>
      <c r="B156" s="4">
        <v>45644</v>
      </c>
      <c r="C156" s="3" t="s">
        <v>259</v>
      </c>
      <c r="D156" s="3" t="s">
        <v>82</v>
      </c>
      <c r="E156" s="3" t="s">
        <v>191</v>
      </c>
      <c r="F156" s="5">
        <v>2</v>
      </c>
      <c r="G156" s="5">
        <v>3250</v>
      </c>
      <c r="H156" s="5">
        <v>26.2</v>
      </c>
      <c r="I156" s="5">
        <v>4797</v>
      </c>
      <c r="J156" s="3" t="s">
        <v>26</v>
      </c>
      <c r="K156" s="3" t="s">
        <v>72</v>
      </c>
      <c r="L156" t="str">
        <f>IFERROR(VLOOKUP(D156,Products!$A$2:$F$61,3,FALSE()),"")</f>
        <v>Home</v>
      </c>
      <c r="M156" t="str">
        <f>IFERROR(VLOOKUP(E156,Sales_Reps!$A$2:$C$31,3,FALSE()),"")</f>
        <v>South</v>
      </c>
      <c r="N156">
        <f>IFERROR(VLOOKUP(D156,Products!$A$2:$F$61,4,FALSE()),"")</f>
        <v>1556</v>
      </c>
      <c r="O156" t="str">
        <f>IFERROR(VLOOKUP(C156,Customers!$A$2:$F$301,5,FALSE()),"")</f>
        <v>SMB</v>
      </c>
      <c r="P156">
        <f>IFERROR(VLOOKUP(C156,Customers!$A$2:$F$301,3,FALSE()),"")</f>
        <v>36</v>
      </c>
      <c r="Q156">
        <f t="shared" si="6"/>
        <v>0.52123076923076928</v>
      </c>
      <c r="R156">
        <f>IF(AND(COUNTIF($A$2:$A$2047,A156)&gt;1,COUNTIF($A$2:A156,A156)=1),1,0)</f>
        <v>0</v>
      </c>
      <c r="S156" t="b">
        <f>IFERROR(VLOOKUP(D156,Products!$A$2:$F$61,6,FALSE()),"")</f>
        <v>1</v>
      </c>
      <c r="T156" t="str">
        <f>IF(COUNTIF(Customers!$A$2:$A$301,C156)=0,"Missing","OK")</f>
        <v>OK</v>
      </c>
      <c r="U156" t="str">
        <f t="shared" si="7"/>
        <v>Hyderabad</v>
      </c>
      <c r="V156">
        <f t="shared" si="8"/>
        <v>0</v>
      </c>
    </row>
    <row r="157" spans="1:22" ht="15" customHeight="1" x14ac:dyDescent="0.35">
      <c r="A157" s="3" t="s">
        <v>395</v>
      </c>
      <c r="B157" s="4">
        <v>45298</v>
      </c>
      <c r="C157" s="3" t="s">
        <v>396</v>
      </c>
      <c r="D157" s="3" t="s">
        <v>45</v>
      </c>
      <c r="E157" s="3" t="s">
        <v>154</v>
      </c>
      <c r="F157" s="5">
        <v>5</v>
      </c>
      <c r="G157" s="5">
        <v>3160</v>
      </c>
      <c r="H157" s="5">
        <v>0.9</v>
      </c>
      <c r="I157" s="5">
        <v>15657.8</v>
      </c>
      <c r="J157" s="3" t="s">
        <v>26</v>
      </c>
      <c r="K157" s="3" t="s">
        <v>27</v>
      </c>
      <c r="L157" t="str">
        <f>IFERROR(VLOOKUP(D157,Products!$A$2:$F$61,3,FALSE()),"")</f>
        <v>Apparel</v>
      </c>
      <c r="M157" t="str">
        <f>IFERROR(VLOOKUP(E157,Sales_Reps!$A$2:$C$31,3,FALSE()),"")</f>
        <v>North</v>
      </c>
      <c r="N157">
        <f>IFERROR(VLOOKUP(D157,Products!$A$2:$F$61,4,FALSE()),"")</f>
        <v>1886</v>
      </c>
      <c r="O157" t="str">
        <f>IFERROR(VLOOKUP(C157,Customers!$A$2:$F$301,5,FALSE()),"")</f>
        <v>Retail</v>
      </c>
      <c r="P157">
        <f>IFERROR(VLOOKUP(C157,Customers!$A$2:$F$301,3,FALSE()),"")</f>
        <v>29</v>
      </c>
      <c r="Q157">
        <f t="shared" si="6"/>
        <v>0.4031645569620253</v>
      </c>
      <c r="R157">
        <f>IF(AND(COUNTIF($A$2:$A$2047,A157)&gt;1,COUNTIF($A$2:A157,A157)=1),1,0)</f>
        <v>0</v>
      </c>
      <c r="S157" t="b">
        <f>IFERROR(VLOOKUP(D157,Products!$A$2:$F$61,6,FALSE()),"")</f>
        <v>1</v>
      </c>
      <c r="T157" t="str">
        <f>IF(COUNTIF(Customers!$A$2:$A$301,C157)=0,"Missing","OK")</f>
        <v>OK</v>
      </c>
      <c r="U157" t="str">
        <f t="shared" si="7"/>
        <v>Pune</v>
      </c>
      <c r="V157">
        <f t="shared" si="8"/>
        <v>0</v>
      </c>
    </row>
    <row r="158" spans="1:22" ht="15" customHeight="1" x14ac:dyDescent="0.35">
      <c r="A158" s="3" t="s">
        <v>397</v>
      </c>
      <c r="B158" s="4">
        <v>45447</v>
      </c>
      <c r="C158" s="3" t="s">
        <v>346</v>
      </c>
      <c r="D158" s="3" t="s">
        <v>187</v>
      </c>
      <c r="E158" s="3" t="s">
        <v>109</v>
      </c>
      <c r="F158" s="5">
        <v>4</v>
      </c>
      <c r="G158" s="5">
        <v>3870</v>
      </c>
      <c r="H158" s="5">
        <v>29.6</v>
      </c>
      <c r="I158" s="5">
        <v>10897.92</v>
      </c>
      <c r="J158" s="3" t="s">
        <v>79</v>
      </c>
      <c r="K158" s="3" t="s">
        <v>27</v>
      </c>
      <c r="L158" t="str">
        <f>IFERROR(VLOOKUP(D158,Products!$A$2:$F$61,3,FALSE()),"")</f>
        <v>Electronics</v>
      </c>
      <c r="M158" t="str">
        <f>IFERROR(VLOOKUP(E158,Sales_Reps!$A$2:$C$31,3,FALSE()),"")</f>
        <v>West</v>
      </c>
      <c r="N158">
        <f>IFERROR(VLOOKUP(D158,Products!$A$2:$F$61,4,FALSE()),"")</f>
        <v>1559</v>
      </c>
      <c r="O158" t="str">
        <f>IFERROR(VLOOKUP(C158,Customers!$A$2:$F$301,5,FALSE()),"")</f>
        <v>SMB</v>
      </c>
      <c r="P158">
        <f>IFERROR(VLOOKUP(C158,Customers!$A$2:$F$301,3,FALSE()),"")</f>
        <v>53</v>
      </c>
      <c r="Q158">
        <f t="shared" si="6"/>
        <v>0.59715762273901807</v>
      </c>
      <c r="R158">
        <f>IF(AND(COUNTIF($A$2:$A$2047,A158)&gt;1,COUNTIF($A$2:A158,A158)=1),1,0)</f>
        <v>0</v>
      </c>
      <c r="S158" t="b">
        <f>IFERROR(VLOOKUP(D158,Products!$A$2:$F$61,6,FALSE()),"")</f>
        <v>1</v>
      </c>
      <c r="T158" t="str">
        <f>IF(COUNTIF(Customers!$A$2:$A$301,C158)=0,"Missing","OK")</f>
        <v>OK</v>
      </c>
      <c r="U158" t="str">
        <f t="shared" si="7"/>
        <v>Pune</v>
      </c>
      <c r="V158">
        <f t="shared" si="8"/>
        <v>0</v>
      </c>
    </row>
    <row r="159" spans="1:22" ht="15" customHeight="1" x14ac:dyDescent="0.35">
      <c r="A159" s="3" t="s">
        <v>398</v>
      </c>
      <c r="B159" s="4">
        <v>45601</v>
      </c>
      <c r="C159" s="3" t="s">
        <v>399</v>
      </c>
      <c r="D159" s="3" t="s">
        <v>400</v>
      </c>
      <c r="E159" s="3" t="s">
        <v>224</v>
      </c>
      <c r="F159" s="5">
        <v>4</v>
      </c>
      <c r="G159" s="5">
        <v>3780</v>
      </c>
      <c r="H159" s="5">
        <v>3.5</v>
      </c>
      <c r="I159" s="5">
        <v>14590.8</v>
      </c>
      <c r="J159" s="3" t="s">
        <v>79</v>
      </c>
      <c r="K159" s="3" t="s">
        <v>27</v>
      </c>
      <c r="L159" t="str">
        <f>IFERROR(VLOOKUP(D159,Products!$A$2:$F$61,3,FALSE()),"")</f>
        <v>Sports</v>
      </c>
      <c r="M159" t="str">
        <f>IFERROR(VLOOKUP(E159,Sales_Reps!$A$2:$C$31,3,FALSE()),"")</f>
        <v>East</v>
      </c>
      <c r="N159">
        <f>IFERROR(VLOOKUP(D159,Products!$A$2:$F$61,4,FALSE()),"")</f>
        <v>1860</v>
      </c>
      <c r="O159" t="str">
        <f>IFERROR(VLOOKUP(C159,Customers!$A$2:$F$301,5,FALSE()),"")</f>
        <v>Corporate</v>
      </c>
      <c r="P159">
        <f>IFERROR(VLOOKUP(C159,Customers!$A$2:$F$301,3,FALSE()),"")</f>
        <v>37</v>
      </c>
      <c r="Q159">
        <f t="shared" si="6"/>
        <v>0.50793650793650791</v>
      </c>
      <c r="R159">
        <f>IF(AND(COUNTIF($A$2:$A$2047,A159)&gt;1,COUNTIF($A$2:A159,A159)=1),1,0)</f>
        <v>0</v>
      </c>
      <c r="S159" t="b">
        <f>IFERROR(VLOOKUP(D159,Products!$A$2:$F$61,6,FALSE()),"")</f>
        <v>1</v>
      </c>
      <c r="T159" t="str">
        <f>IF(COUNTIF(Customers!$A$2:$A$301,C159)=0,"Missing","OK")</f>
        <v>OK</v>
      </c>
      <c r="U159" t="str">
        <f t="shared" si="7"/>
        <v>Pune</v>
      </c>
      <c r="V159">
        <f t="shared" si="8"/>
        <v>0</v>
      </c>
    </row>
    <row r="160" spans="1:22" ht="15" customHeight="1" x14ac:dyDescent="0.35">
      <c r="A160" s="3" t="s">
        <v>401</v>
      </c>
      <c r="B160" s="4">
        <v>45428</v>
      </c>
      <c r="C160" s="3" t="s">
        <v>402</v>
      </c>
      <c r="D160" s="3" t="s">
        <v>215</v>
      </c>
      <c r="E160" s="3" t="s">
        <v>97</v>
      </c>
      <c r="F160" s="5">
        <v>4</v>
      </c>
      <c r="G160" s="5">
        <v>3020</v>
      </c>
      <c r="H160" s="5">
        <v>18.899999999999999</v>
      </c>
      <c r="I160" s="5">
        <v>9796.8799999999992</v>
      </c>
      <c r="J160" s="3" t="s">
        <v>26</v>
      </c>
      <c r="K160" s="3" t="s">
        <v>56</v>
      </c>
      <c r="L160" t="str">
        <f>IFERROR(VLOOKUP(D160,Products!$A$2:$F$61,3,FALSE()),"")</f>
        <v>Beauty</v>
      </c>
      <c r="M160" t="str">
        <f>IFERROR(VLOOKUP(E160,Sales_Reps!$A$2:$C$31,3,FALSE()),"")</f>
        <v>East</v>
      </c>
      <c r="N160">
        <f>IFERROR(VLOOKUP(D160,Products!$A$2:$F$61,4,FALSE()),"")</f>
        <v>1626</v>
      </c>
      <c r="O160" t="str">
        <f>IFERROR(VLOOKUP(C160,Customers!$A$2:$F$301,5,FALSE()),"")</f>
        <v>Retail</v>
      </c>
      <c r="P160">
        <f>IFERROR(VLOOKUP(C160,Customers!$A$2:$F$301,3,FALSE()),"")</f>
        <v>55</v>
      </c>
      <c r="Q160">
        <f t="shared" si="6"/>
        <v>0.46158940397350995</v>
      </c>
      <c r="R160">
        <f>IF(AND(COUNTIF($A$2:$A$2047,A160)&gt;1,COUNTIF($A$2:A160,A160)=1),1,0)</f>
        <v>0</v>
      </c>
      <c r="S160" t="b">
        <f>IFERROR(VLOOKUP(D160,Products!$A$2:$F$61,6,FALSE()),"")</f>
        <v>1</v>
      </c>
      <c r="T160" t="str">
        <f>IF(COUNTIF(Customers!$A$2:$A$301,C160)=0,"Missing","OK")</f>
        <v>OK</v>
      </c>
      <c r="U160" t="str">
        <f t="shared" si="7"/>
        <v>Bengaluru</v>
      </c>
      <c r="V160">
        <f t="shared" si="8"/>
        <v>0</v>
      </c>
    </row>
    <row r="161" spans="1:22" ht="15" customHeight="1" x14ac:dyDescent="0.35">
      <c r="A161" s="3" t="s">
        <v>403</v>
      </c>
      <c r="B161" s="4">
        <v>45409</v>
      </c>
      <c r="C161" s="3" t="s">
        <v>404</v>
      </c>
      <c r="D161" s="3" t="s">
        <v>165</v>
      </c>
      <c r="E161" s="3" t="s">
        <v>127</v>
      </c>
      <c r="F161" s="5">
        <v>1</v>
      </c>
      <c r="G161" s="5">
        <v>3730</v>
      </c>
      <c r="H161" s="5">
        <v>10.8</v>
      </c>
      <c r="I161" s="5">
        <v>3327.16</v>
      </c>
      <c r="J161" s="3" t="s">
        <v>83</v>
      </c>
      <c r="K161" s="3" t="s">
        <v>51</v>
      </c>
      <c r="L161" t="str">
        <f>IFERROR(VLOOKUP(D161,Products!$A$2:$F$61,3,FALSE()),"")</f>
        <v>Home</v>
      </c>
      <c r="M161" t="str">
        <f>IFERROR(VLOOKUP(E161,Sales_Reps!$A$2:$C$31,3,FALSE()),"")</f>
        <v>South</v>
      </c>
      <c r="N161">
        <f>IFERROR(VLOOKUP(D161,Products!$A$2:$F$61,4,FALSE()),"")</f>
        <v>2135</v>
      </c>
      <c r="O161" t="str">
        <f>IFERROR(VLOOKUP(C161,Customers!$A$2:$F$301,5,FALSE()),"")</f>
        <v>Retail</v>
      </c>
      <c r="P161">
        <f>IFERROR(VLOOKUP(C161,Customers!$A$2:$F$301,3,FALSE()),"")</f>
        <v>61</v>
      </c>
      <c r="Q161">
        <f t="shared" si="6"/>
        <v>0.42761394101876676</v>
      </c>
      <c r="R161">
        <f>IF(AND(COUNTIF($A$2:$A$2047,A161)&gt;1,COUNTIF($A$2:A161,A161)=1),1,0)</f>
        <v>0</v>
      </c>
      <c r="S161" t="b">
        <f>IFERROR(VLOOKUP(D161,Products!$A$2:$F$61,6,FALSE()),"")</f>
        <v>1</v>
      </c>
      <c r="T161" t="str">
        <f>IF(COUNTIF(Customers!$A$2:$A$301,C161)=0,"Missing","OK")</f>
        <v>OK</v>
      </c>
      <c r="U161" t="str">
        <f t="shared" si="7"/>
        <v>Mumbai</v>
      </c>
      <c r="V161">
        <f t="shared" si="8"/>
        <v>0</v>
      </c>
    </row>
    <row r="162" spans="1:22" ht="15" customHeight="1" x14ac:dyDescent="0.35">
      <c r="A162" s="3" t="s">
        <v>405</v>
      </c>
      <c r="B162" s="4">
        <v>45394</v>
      </c>
      <c r="C162" s="3" t="s">
        <v>272</v>
      </c>
      <c r="D162" s="3" t="s">
        <v>123</v>
      </c>
      <c r="E162" s="3" t="s">
        <v>242</v>
      </c>
      <c r="F162" s="5">
        <v>8</v>
      </c>
      <c r="G162" s="5">
        <v>4880</v>
      </c>
      <c r="H162" s="5">
        <v>20.3</v>
      </c>
      <c r="I162" s="5">
        <v>31114.880000000001</v>
      </c>
      <c r="J162" s="3" t="s">
        <v>26</v>
      </c>
      <c r="K162" s="3" t="s">
        <v>72</v>
      </c>
      <c r="L162" t="str">
        <f>IFERROR(VLOOKUP(D162,Products!$A$2:$F$61,3,FALSE()),"")</f>
        <v>Beauty</v>
      </c>
      <c r="M162" t="str">
        <f>IFERROR(VLOOKUP(E162,Sales_Reps!$A$2:$C$31,3,FALSE()),"")</f>
        <v>East</v>
      </c>
      <c r="N162">
        <f>IFERROR(VLOOKUP(D162,Products!$A$2:$F$61,4,FALSE()),"")</f>
        <v>2768</v>
      </c>
      <c r="O162" t="str">
        <f>IFERROR(VLOOKUP(C162,Customers!$A$2:$F$301,5,FALSE()),"")</f>
        <v>SMB</v>
      </c>
      <c r="P162">
        <f>IFERROR(VLOOKUP(C162,Customers!$A$2:$F$301,3,FALSE()),"")</f>
        <v>65</v>
      </c>
      <c r="Q162">
        <f t="shared" si="6"/>
        <v>0.43278688524590164</v>
      </c>
      <c r="R162">
        <f>IF(AND(COUNTIF($A$2:$A$2047,A162)&gt;1,COUNTIF($A$2:A162,A162)=1),1,0)</f>
        <v>0</v>
      </c>
      <c r="S162" t="b">
        <f>IFERROR(VLOOKUP(D162,Products!$A$2:$F$61,6,FALSE()),"")</f>
        <v>1</v>
      </c>
      <c r="T162" t="str">
        <f>IF(COUNTIF(Customers!$A$2:$A$301,C162)=0,"Missing","OK")</f>
        <v>OK</v>
      </c>
      <c r="U162" t="str">
        <f t="shared" si="7"/>
        <v>Hyderabad</v>
      </c>
      <c r="V162">
        <f t="shared" si="8"/>
        <v>0</v>
      </c>
    </row>
    <row r="163" spans="1:22" ht="15" customHeight="1" x14ac:dyDescent="0.35">
      <c r="A163" s="3" t="s">
        <v>406</v>
      </c>
      <c r="B163" s="4">
        <v>45579</v>
      </c>
      <c r="C163" s="3" t="s">
        <v>89</v>
      </c>
      <c r="D163" s="3" t="s">
        <v>66</v>
      </c>
      <c r="E163" s="3" t="s">
        <v>140</v>
      </c>
      <c r="F163" s="5">
        <v>9</v>
      </c>
      <c r="G163" s="5">
        <v>970</v>
      </c>
      <c r="H163" s="5">
        <v>18.2</v>
      </c>
      <c r="I163" s="5">
        <v>7141.14</v>
      </c>
      <c r="J163" s="3" t="s">
        <v>26</v>
      </c>
      <c r="K163" s="3" t="s">
        <v>27</v>
      </c>
      <c r="L163" t="str">
        <f>IFERROR(VLOOKUP(D163,Products!$A$2:$F$61,3,FALSE()),"")</f>
        <v>Grocery</v>
      </c>
      <c r="M163" t="str">
        <f>IFERROR(VLOOKUP(E163,Sales_Reps!$A$2:$C$31,3,FALSE()),"")</f>
        <v>West</v>
      </c>
      <c r="N163">
        <f>IFERROR(VLOOKUP(D163,Products!$A$2:$F$61,4,FALSE()),"")</f>
        <v>434</v>
      </c>
      <c r="O163" t="str">
        <f>IFERROR(VLOOKUP(C163,Customers!$A$2:$F$301,5,FALSE()),"")</f>
        <v>Retail</v>
      </c>
      <c r="P163">
        <f>IFERROR(VLOOKUP(C163,Customers!$A$2:$F$301,3,FALSE()),"")</f>
        <v>63</v>
      </c>
      <c r="Q163">
        <f t="shared" si="6"/>
        <v>0.5525773195876289</v>
      </c>
      <c r="R163">
        <f>IF(AND(COUNTIF($A$2:$A$2047,A163)&gt;1,COUNTIF($A$2:A163,A163)=1),1,0)</f>
        <v>0</v>
      </c>
      <c r="S163" t="b">
        <f>IFERROR(VLOOKUP(D163,Products!$A$2:$F$61,6,FALSE()),"")</f>
        <v>1</v>
      </c>
      <c r="T163" t="str">
        <f>IF(COUNTIF(Customers!$A$2:$A$301,C163)=0,"Missing","OK")</f>
        <v>OK</v>
      </c>
      <c r="U163" t="str">
        <f t="shared" si="7"/>
        <v>Pune</v>
      </c>
      <c r="V163">
        <f t="shared" si="8"/>
        <v>0</v>
      </c>
    </row>
    <row r="164" spans="1:22" ht="15" customHeight="1" x14ac:dyDescent="0.35">
      <c r="A164" s="3" t="s">
        <v>407</v>
      </c>
      <c r="B164" s="4">
        <v>45442</v>
      </c>
      <c r="C164" s="3" t="s">
        <v>408</v>
      </c>
      <c r="D164" s="3" t="s">
        <v>218</v>
      </c>
      <c r="E164" s="3" t="s">
        <v>177</v>
      </c>
      <c r="F164" s="5">
        <v>8</v>
      </c>
      <c r="G164" s="5">
        <v>2660</v>
      </c>
      <c r="H164" s="5">
        <v>17.600000000000001</v>
      </c>
      <c r="I164" s="5">
        <v>17534.72</v>
      </c>
      <c r="J164" s="3" t="s">
        <v>26</v>
      </c>
      <c r="K164" s="3" t="s">
        <v>56</v>
      </c>
      <c r="L164" t="str">
        <f>IFERROR(VLOOKUP(D164,Products!$A$2:$F$61,3,FALSE()),"")</f>
        <v>Electronics</v>
      </c>
      <c r="M164" t="str">
        <f>IFERROR(VLOOKUP(E164,Sales_Reps!$A$2:$C$31,3,FALSE()),"")</f>
        <v>East</v>
      </c>
      <c r="N164">
        <f>IFERROR(VLOOKUP(D164,Products!$A$2:$F$61,4,FALSE()),"")</f>
        <v>1259</v>
      </c>
      <c r="O164" t="str">
        <f>IFERROR(VLOOKUP(C164,Customers!$A$2:$F$301,5,FALSE()),"")</f>
        <v>SMB</v>
      </c>
      <c r="P164">
        <f>IFERROR(VLOOKUP(C164,Customers!$A$2:$F$301,3,FALSE()),"")</f>
        <v>43</v>
      </c>
      <c r="Q164">
        <f t="shared" si="6"/>
        <v>0.52669172932330832</v>
      </c>
      <c r="R164">
        <f>IF(AND(COUNTIF($A$2:$A$2047,A164)&gt;1,COUNTIF($A$2:A164,A164)=1),1,0)</f>
        <v>0</v>
      </c>
      <c r="S164" t="b">
        <f>IFERROR(VLOOKUP(D164,Products!$A$2:$F$61,6,FALSE()),"")</f>
        <v>0</v>
      </c>
      <c r="T164" t="str">
        <f>IF(COUNTIF(Customers!$A$2:$A$301,C164)=0,"Missing","OK")</f>
        <v>OK</v>
      </c>
      <c r="U164" t="str">
        <f t="shared" si="7"/>
        <v>Bengaluru</v>
      </c>
      <c r="V164">
        <f t="shared" si="8"/>
        <v>0</v>
      </c>
    </row>
    <row r="165" spans="1:22" ht="15" customHeight="1" x14ac:dyDescent="0.35">
      <c r="A165" s="3" t="s">
        <v>409</v>
      </c>
      <c r="B165" s="4">
        <v>45414</v>
      </c>
      <c r="C165" s="3" t="s">
        <v>76</v>
      </c>
      <c r="D165" s="3" t="s">
        <v>30</v>
      </c>
      <c r="E165" s="3" t="s">
        <v>127</v>
      </c>
      <c r="F165" s="5">
        <v>2</v>
      </c>
      <c r="G165" s="5">
        <v>820</v>
      </c>
      <c r="H165" s="5">
        <v>18.100000000000001</v>
      </c>
      <c r="I165" s="5">
        <v>1343.16</v>
      </c>
      <c r="J165" s="3" t="s">
        <v>79</v>
      </c>
      <c r="K165" s="3" t="s">
        <v>38</v>
      </c>
      <c r="L165" t="str">
        <f>IFERROR(VLOOKUP(D165,Products!$A$2:$F$61,3,FALSE()),"")</f>
        <v>Apparel</v>
      </c>
      <c r="M165" t="str">
        <f>IFERROR(VLOOKUP(E165,Sales_Reps!$A$2:$C$31,3,FALSE()),"")</f>
        <v>South</v>
      </c>
      <c r="N165">
        <f>IFERROR(VLOOKUP(D165,Products!$A$2:$F$61,4,FALSE()),"")</f>
        <v>391</v>
      </c>
      <c r="O165" t="str">
        <f>IFERROR(VLOOKUP(C165,Customers!$A$2:$F$301,5,FALSE()),"")</f>
        <v>SMB</v>
      </c>
      <c r="P165">
        <f>IFERROR(VLOOKUP(C165,Customers!$A$2:$F$301,3,FALSE()),"")</f>
        <v>27</v>
      </c>
      <c r="Q165">
        <f t="shared" si="6"/>
        <v>0.52317073170731709</v>
      </c>
      <c r="R165">
        <f>IF(AND(COUNTIF($A$2:$A$2047,A165)&gt;1,COUNTIF($A$2:A165,A165)=1),1,0)</f>
        <v>0</v>
      </c>
      <c r="S165" t="b">
        <f>IFERROR(VLOOKUP(D165,Products!$A$2:$F$61,6,FALSE()),"")</f>
        <v>1</v>
      </c>
      <c r="T165" t="str">
        <f>IF(COUNTIF(Customers!$A$2:$A$301,C165)=0,"Missing","OK")</f>
        <v>OK</v>
      </c>
      <c r="U165" t="str">
        <f t="shared" si="7"/>
        <v>Delhi</v>
      </c>
      <c r="V165">
        <f t="shared" si="8"/>
        <v>0</v>
      </c>
    </row>
    <row r="166" spans="1:22" ht="15" customHeight="1" x14ac:dyDescent="0.35">
      <c r="A166" s="3" t="s">
        <v>410</v>
      </c>
      <c r="B166" s="4">
        <v>45349</v>
      </c>
      <c r="C166" s="3" t="s">
        <v>411</v>
      </c>
      <c r="D166" s="3" t="s">
        <v>234</v>
      </c>
      <c r="E166" s="3" t="s">
        <v>143</v>
      </c>
      <c r="F166" s="5">
        <v>7</v>
      </c>
      <c r="G166" s="5">
        <v>2030</v>
      </c>
      <c r="H166" s="5">
        <v>23.7</v>
      </c>
      <c r="I166" s="5">
        <v>10842.23</v>
      </c>
      <c r="J166" s="3" t="s">
        <v>32</v>
      </c>
      <c r="K166" s="3" t="s">
        <v>33</v>
      </c>
      <c r="L166" t="str">
        <f>IFERROR(VLOOKUP(D166,Products!$A$2:$F$61,3,FALSE()),"")</f>
        <v>Home</v>
      </c>
      <c r="M166" t="str">
        <f>IFERROR(VLOOKUP(E166,Sales_Reps!$A$2:$C$31,3,FALSE()),"")</f>
        <v>South</v>
      </c>
      <c r="N166">
        <f>IFERROR(VLOOKUP(D166,Products!$A$2:$F$61,4,FALSE()),"")</f>
        <v>1143</v>
      </c>
      <c r="O166" t="str">
        <f>IFERROR(VLOOKUP(C166,Customers!$A$2:$F$301,5,FALSE()),"")</f>
        <v>Corporate</v>
      </c>
      <c r="P166">
        <f>IFERROR(VLOOKUP(C166,Customers!$A$2:$F$301,3,FALSE()),"")</f>
        <v>35</v>
      </c>
      <c r="Q166">
        <f t="shared" si="6"/>
        <v>0.43694581280788175</v>
      </c>
      <c r="R166">
        <f>IF(AND(COUNTIF($A$2:$A$2047,A166)&gt;1,COUNTIF($A$2:A166,A166)=1),1,0)</f>
        <v>0</v>
      </c>
      <c r="S166" t="b">
        <f>IFERROR(VLOOKUP(D166,Products!$A$2:$F$61,6,FALSE()),"")</f>
        <v>1</v>
      </c>
      <c r="T166" t="str">
        <f>IF(COUNTIF(Customers!$A$2:$A$301,C166)=0,"Missing","OK")</f>
        <v>OK</v>
      </c>
      <c r="U166" t="str">
        <f t="shared" si="7"/>
        <v>Chennai</v>
      </c>
      <c r="V166">
        <f t="shared" si="8"/>
        <v>0</v>
      </c>
    </row>
    <row r="167" spans="1:22" ht="15" customHeight="1" x14ac:dyDescent="0.35">
      <c r="A167" s="3" t="s">
        <v>412</v>
      </c>
      <c r="B167" s="4">
        <v>45533</v>
      </c>
      <c r="C167" s="3" t="s">
        <v>413</v>
      </c>
      <c r="D167" s="3" t="s">
        <v>231</v>
      </c>
      <c r="E167" s="3" t="s">
        <v>143</v>
      </c>
      <c r="F167" s="5">
        <v>5</v>
      </c>
      <c r="G167" s="5">
        <v>620</v>
      </c>
      <c r="H167" s="5">
        <v>13.8</v>
      </c>
      <c r="I167" s="5">
        <v>2672.2</v>
      </c>
      <c r="J167" s="3" t="s">
        <v>26</v>
      </c>
      <c r="K167" s="3" t="s">
        <v>38</v>
      </c>
      <c r="L167" t="str">
        <f>IFERROR(VLOOKUP(D167,Products!$A$2:$F$61,3,FALSE()),"")</f>
        <v>Apparel</v>
      </c>
      <c r="M167" t="str">
        <f>IFERROR(VLOOKUP(E167,Sales_Reps!$A$2:$C$31,3,FALSE()),"")</f>
        <v>South</v>
      </c>
      <c r="N167">
        <f>IFERROR(VLOOKUP(D167,Products!$A$2:$F$61,4,FALSE()),"")</f>
        <v>396</v>
      </c>
      <c r="O167" t="str">
        <f>IFERROR(VLOOKUP(C167,Customers!$A$2:$F$301,5,FALSE()),"")</f>
        <v>SMB</v>
      </c>
      <c r="P167">
        <f>IFERROR(VLOOKUP(C167,Customers!$A$2:$F$301,3,FALSE()),"")</f>
        <v>59</v>
      </c>
      <c r="Q167">
        <f t="shared" si="6"/>
        <v>0.36129032258064514</v>
      </c>
      <c r="R167">
        <f>IF(AND(COUNTIF($A$2:$A$2047,A167)&gt;1,COUNTIF($A$2:A167,A167)=1),1,0)</f>
        <v>0</v>
      </c>
      <c r="S167" t="b">
        <f>IFERROR(VLOOKUP(D167,Products!$A$2:$F$61,6,FALSE()),"")</f>
        <v>1</v>
      </c>
      <c r="T167" t="str">
        <f>IF(COUNTIF(Customers!$A$2:$A$301,C167)=0,"Missing","OK")</f>
        <v>OK</v>
      </c>
      <c r="U167" t="str">
        <f t="shared" si="7"/>
        <v>Delhi</v>
      </c>
      <c r="V167">
        <f t="shared" si="8"/>
        <v>0</v>
      </c>
    </row>
    <row r="168" spans="1:22" ht="15" customHeight="1" x14ac:dyDescent="0.35">
      <c r="A168" s="3" t="s">
        <v>414</v>
      </c>
      <c r="B168" s="4">
        <v>45489</v>
      </c>
      <c r="C168" s="3" t="s">
        <v>390</v>
      </c>
      <c r="D168" s="3" t="s">
        <v>184</v>
      </c>
      <c r="E168" s="3" t="s">
        <v>224</v>
      </c>
      <c r="F168" s="5">
        <v>7</v>
      </c>
      <c r="G168" s="5">
        <v>2270</v>
      </c>
      <c r="H168" s="5">
        <v>5.5</v>
      </c>
      <c r="I168" s="5">
        <v>15016.05</v>
      </c>
      <c r="J168" s="3" t="s">
        <v>26</v>
      </c>
      <c r="K168" s="3" t="s">
        <v>38</v>
      </c>
      <c r="L168" t="str">
        <f>IFERROR(VLOOKUP(D168,Products!$A$2:$F$61,3,FALSE()),"")</f>
        <v>Grocery</v>
      </c>
      <c r="M168" t="str">
        <f>IFERROR(VLOOKUP(E168,Sales_Reps!$A$2:$C$31,3,FALSE()),"")</f>
        <v>East</v>
      </c>
      <c r="N168">
        <f>IFERROR(VLOOKUP(D168,Products!$A$2:$F$61,4,FALSE()),"")</f>
        <v>1412</v>
      </c>
      <c r="O168" t="str">
        <f>IFERROR(VLOOKUP(C168,Customers!$A$2:$F$301,5,FALSE()),"")</f>
        <v>SMB</v>
      </c>
      <c r="P168">
        <f>IFERROR(VLOOKUP(C168,Customers!$A$2:$F$301,3,FALSE()),"")</f>
        <v>34</v>
      </c>
      <c r="Q168">
        <f t="shared" si="6"/>
        <v>0.37797356828193834</v>
      </c>
      <c r="R168">
        <f>IF(AND(COUNTIF($A$2:$A$2047,A168)&gt;1,COUNTIF($A$2:A168,A168)=1),1,0)</f>
        <v>0</v>
      </c>
      <c r="S168" t="b">
        <f>IFERROR(VLOOKUP(D168,Products!$A$2:$F$61,6,FALSE()),"")</f>
        <v>1</v>
      </c>
      <c r="T168" t="str">
        <f>IF(COUNTIF(Customers!$A$2:$A$301,C168)=0,"Missing","OK")</f>
        <v>OK</v>
      </c>
      <c r="U168" t="str">
        <f t="shared" si="7"/>
        <v>Delhi</v>
      </c>
      <c r="V168">
        <f t="shared" si="8"/>
        <v>0</v>
      </c>
    </row>
    <row r="169" spans="1:22" ht="15" customHeight="1" x14ac:dyDescent="0.35">
      <c r="A169" s="3" t="s">
        <v>415</v>
      </c>
      <c r="B169" s="4">
        <v>45457</v>
      </c>
      <c r="C169" s="3" t="s">
        <v>114</v>
      </c>
      <c r="D169" s="3" t="s">
        <v>36</v>
      </c>
      <c r="E169" s="3" t="s">
        <v>285</v>
      </c>
      <c r="F169" s="5">
        <v>1</v>
      </c>
      <c r="G169" s="5">
        <v>470</v>
      </c>
      <c r="H169" s="5">
        <v>13.7</v>
      </c>
      <c r="I169" s="5">
        <v>405.61</v>
      </c>
      <c r="J169" s="3" t="s">
        <v>32</v>
      </c>
      <c r="K169" s="3" t="s">
        <v>72</v>
      </c>
      <c r="L169" t="str">
        <f>IFERROR(VLOOKUP(D169,Products!$A$2:$F$61,3,FALSE()),"")</f>
        <v>Sports</v>
      </c>
      <c r="M169" t="str">
        <f>IFERROR(VLOOKUP(E169,Sales_Reps!$A$2:$C$31,3,FALSE()),"")</f>
        <v>South</v>
      </c>
      <c r="N169">
        <f>IFERROR(VLOOKUP(D169,Products!$A$2:$F$61,4,FALSE()),"")</f>
        <v>302</v>
      </c>
      <c r="O169" t="str">
        <f>IFERROR(VLOOKUP(C169,Customers!$A$2:$F$301,5,FALSE()),"")</f>
        <v>SMB</v>
      </c>
      <c r="P169">
        <f>IFERROR(VLOOKUP(C169,Customers!$A$2:$F$301,3,FALSE()),"")</f>
        <v>40</v>
      </c>
      <c r="Q169">
        <f t="shared" si="6"/>
        <v>0.35744680851063831</v>
      </c>
      <c r="R169">
        <f>IF(AND(COUNTIF($A$2:$A$2047,A169)&gt;1,COUNTIF($A$2:A169,A169)=1),1,0)</f>
        <v>1</v>
      </c>
      <c r="S169" t="b">
        <f>IFERROR(VLOOKUP(D169,Products!$A$2:$F$61,6,FALSE()),"")</f>
        <v>0</v>
      </c>
      <c r="T169" t="str">
        <f>IF(COUNTIF(Customers!$A$2:$A$301,C169)=0,"Missing","OK")</f>
        <v>OK</v>
      </c>
      <c r="U169" t="str">
        <f t="shared" si="7"/>
        <v>Hyderabad</v>
      </c>
      <c r="V169">
        <f t="shared" si="8"/>
        <v>0</v>
      </c>
    </row>
    <row r="170" spans="1:22" ht="15" customHeight="1" x14ac:dyDescent="0.35">
      <c r="A170" s="3" t="s">
        <v>416</v>
      </c>
      <c r="B170" s="4">
        <v>45601</v>
      </c>
      <c r="C170" s="3" t="s">
        <v>89</v>
      </c>
      <c r="D170" s="3" t="s">
        <v>303</v>
      </c>
      <c r="E170" s="3" t="s">
        <v>25</v>
      </c>
      <c r="F170" s="5">
        <v>6</v>
      </c>
      <c r="G170" s="5">
        <v>5330</v>
      </c>
      <c r="H170" s="5">
        <v>17.899999999999999</v>
      </c>
      <c r="I170" s="5">
        <v>26255.58</v>
      </c>
      <c r="J170" s="3" t="s">
        <v>26</v>
      </c>
      <c r="K170" s="3" t="s">
        <v>27</v>
      </c>
      <c r="L170" t="str">
        <f>IFERROR(VLOOKUP(D170,Products!$A$2:$F$61,3,FALSE()),"")</f>
        <v>Electronics</v>
      </c>
      <c r="M170" t="str">
        <f>IFERROR(VLOOKUP(E170,Sales_Reps!$A$2:$C$31,3,FALSE()),"")</f>
        <v>North</v>
      </c>
      <c r="N170">
        <f>IFERROR(VLOOKUP(D170,Products!$A$2:$F$61,4,FALSE()),"")</f>
        <v>2405</v>
      </c>
      <c r="O170" t="str">
        <f>IFERROR(VLOOKUP(C170,Customers!$A$2:$F$301,5,FALSE()),"")</f>
        <v>Retail</v>
      </c>
      <c r="P170">
        <f>IFERROR(VLOOKUP(C170,Customers!$A$2:$F$301,3,FALSE()),"")</f>
        <v>63</v>
      </c>
      <c r="Q170">
        <f t="shared" si="6"/>
        <v>0.54878048780487809</v>
      </c>
      <c r="R170">
        <f>IF(AND(COUNTIF($A$2:$A$2047,A170)&gt;1,COUNTIF($A$2:A170,A170)=1),1,0)</f>
        <v>0</v>
      </c>
      <c r="S170" t="b">
        <f>IFERROR(VLOOKUP(D170,Products!$A$2:$F$61,6,FALSE()),"")</f>
        <v>1</v>
      </c>
      <c r="T170" t="str">
        <f>IF(COUNTIF(Customers!$A$2:$A$301,C170)=0,"Missing","OK")</f>
        <v>OK</v>
      </c>
      <c r="U170" t="str">
        <f t="shared" si="7"/>
        <v>Pune</v>
      </c>
      <c r="V170">
        <f t="shared" si="8"/>
        <v>0</v>
      </c>
    </row>
    <row r="171" spans="1:22" ht="15" customHeight="1" x14ac:dyDescent="0.35">
      <c r="A171" s="3" t="s">
        <v>417</v>
      </c>
      <c r="B171" s="4">
        <v>45294</v>
      </c>
      <c r="C171" s="3" t="s">
        <v>418</v>
      </c>
      <c r="D171" s="3" t="s">
        <v>180</v>
      </c>
      <c r="E171" s="3" t="s">
        <v>236</v>
      </c>
      <c r="F171" s="5">
        <v>1</v>
      </c>
      <c r="G171" s="5">
        <v>6080</v>
      </c>
      <c r="H171" s="5">
        <v>25.5</v>
      </c>
      <c r="I171" s="5">
        <v>4529.6000000000004</v>
      </c>
      <c r="J171" s="3" t="s">
        <v>26</v>
      </c>
      <c r="K171" s="3" t="s">
        <v>27</v>
      </c>
      <c r="L171" t="str">
        <f>IFERROR(VLOOKUP(D171,Products!$A$2:$F$61,3,FALSE()),"")</f>
        <v>Beauty</v>
      </c>
      <c r="M171" t="str">
        <f>IFERROR(VLOOKUP(E171,Sales_Reps!$A$2:$C$31,3,FALSE()),"")</f>
        <v>North</v>
      </c>
      <c r="N171">
        <f>IFERROR(VLOOKUP(D171,Products!$A$2:$F$61,4,FALSE()),"")</f>
        <v>2617</v>
      </c>
      <c r="O171" t="str">
        <f>IFERROR(VLOOKUP(C171,Customers!$A$2:$F$301,5,FALSE()),"")</f>
        <v>SMB</v>
      </c>
      <c r="P171">
        <f>IFERROR(VLOOKUP(C171,Customers!$A$2:$F$301,3,FALSE()),"")</f>
        <v>49</v>
      </c>
      <c r="Q171">
        <f t="shared" si="6"/>
        <v>0.56957236842105263</v>
      </c>
      <c r="R171">
        <f>IF(AND(COUNTIF($A$2:$A$2047,A171)&gt;1,COUNTIF($A$2:A171,A171)=1),1,0)</f>
        <v>0</v>
      </c>
      <c r="S171" t="b">
        <f>IFERROR(VLOOKUP(D171,Products!$A$2:$F$61,6,FALSE()),"")</f>
        <v>1</v>
      </c>
      <c r="T171" t="str">
        <f>IF(COUNTIF(Customers!$A$2:$A$301,C171)=0,"Missing","OK")</f>
        <v>OK</v>
      </c>
      <c r="U171" t="str">
        <f t="shared" si="7"/>
        <v>Pune</v>
      </c>
      <c r="V171">
        <f t="shared" si="8"/>
        <v>0</v>
      </c>
    </row>
    <row r="172" spans="1:22" ht="15" customHeight="1" x14ac:dyDescent="0.35">
      <c r="A172" s="3" t="s">
        <v>419</v>
      </c>
      <c r="B172" s="4">
        <v>45345</v>
      </c>
      <c r="C172" s="3" t="s">
        <v>200</v>
      </c>
      <c r="D172" s="3" t="s">
        <v>173</v>
      </c>
      <c r="E172" s="3" t="s">
        <v>224</v>
      </c>
      <c r="F172" s="5">
        <v>5</v>
      </c>
      <c r="G172" s="5">
        <v>3780</v>
      </c>
      <c r="H172" s="5">
        <v>28.6</v>
      </c>
      <c r="I172" s="5">
        <v>13494.6</v>
      </c>
      <c r="J172" s="3" t="s">
        <v>26</v>
      </c>
      <c r="K172" s="3" t="s">
        <v>38</v>
      </c>
      <c r="L172" t="str">
        <f>IFERROR(VLOOKUP(D172,Products!$A$2:$F$61,3,FALSE()),"")</f>
        <v>Grocery</v>
      </c>
      <c r="M172" t="str">
        <f>IFERROR(VLOOKUP(E172,Sales_Reps!$A$2:$C$31,3,FALSE()),"")</f>
        <v>East</v>
      </c>
      <c r="N172">
        <f>IFERROR(VLOOKUP(D172,Products!$A$2:$F$61,4,FALSE()),"")</f>
        <v>2436</v>
      </c>
      <c r="O172" t="str">
        <f>IFERROR(VLOOKUP(C172,Customers!$A$2:$F$301,5,FALSE()),"")</f>
        <v>Retail</v>
      </c>
      <c r="P172">
        <f>IFERROR(VLOOKUP(C172,Customers!$A$2:$F$301,3,FALSE()),"")</f>
        <v>54</v>
      </c>
      <c r="Q172">
        <f t="shared" si="6"/>
        <v>0.35555555555555557</v>
      </c>
      <c r="R172">
        <f>IF(AND(COUNTIF($A$2:$A$2047,A172)&gt;1,COUNTIF($A$2:A172,A172)=1),1,0)</f>
        <v>0</v>
      </c>
      <c r="S172" t="b">
        <f>IFERROR(VLOOKUP(D172,Products!$A$2:$F$61,6,FALSE()),"")</f>
        <v>1</v>
      </c>
      <c r="T172" t="str">
        <f>IF(COUNTIF(Customers!$A$2:$A$301,C172)=0,"Missing","OK")</f>
        <v>OK</v>
      </c>
      <c r="U172" t="str">
        <f t="shared" si="7"/>
        <v>Delhi</v>
      </c>
      <c r="V172">
        <f t="shared" si="8"/>
        <v>0</v>
      </c>
    </row>
    <row r="173" spans="1:22" ht="15" customHeight="1" x14ac:dyDescent="0.35">
      <c r="A173" s="3" t="s">
        <v>420</v>
      </c>
      <c r="B173" s="4">
        <v>45391</v>
      </c>
      <c r="C173" s="3" t="s">
        <v>421</v>
      </c>
      <c r="D173" s="3" t="s">
        <v>231</v>
      </c>
      <c r="E173" s="3" t="s">
        <v>71</v>
      </c>
      <c r="F173" s="5">
        <v>5</v>
      </c>
      <c r="G173" s="5">
        <v>620</v>
      </c>
      <c r="H173" s="5">
        <v>6.9</v>
      </c>
      <c r="I173" s="5">
        <v>2886.1</v>
      </c>
      <c r="J173" s="3" t="s">
        <v>79</v>
      </c>
      <c r="K173" s="3" t="s">
        <v>72</v>
      </c>
      <c r="L173" t="str">
        <f>IFERROR(VLOOKUP(D173,Products!$A$2:$F$61,3,FALSE()),"")</f>
        <v>Apparel</v>
      </c>
      <c r="M173" t="str">
        <f>IFERROR(VLOOKUP(E173,Sales_Reps!$A$2:$C$31,3,FALSE()),"")</f>
        <v>South</v>
      </c>
      <c r="N173">
        <f>IFERROR(VLOOKUP(D173,Products!$A$2:$F$61,4,FALSE()),"")</f>
        <v>396</v>
      </c>
      <c r="O173" t="str">
        <f>IFERROR(VLOOKUP(C173,Customers!$A$2:$F$301,5,FALSE()),"")</f>
        <v>Corporate</v>
      </c>
      <c r="P173">
        <f>IFERROR(VLOOKUP(C173,Customers!$A$2:$F$301,3,FALSE()),"")</f>
        <v>52</v>
      </c>
      <c r="Q173">
        <f t="shared" si="6"/>
        <v>0.36129032258064514</v>
      </c>
      <c r="R173">
        <f>IF(AND(COUNTIF($A$2:$A$2047,A173)&gt;1,COUNTIF($A$2:A173,A173)=1),1,0)</f>
        <v>0</v>
      </c>
      <c r="S173" t="b">
        <f>IFERROR(VLOOKUP(D173,Products!$A$2:$F$61,6,FALSE()),"")</f>
        <v>1</v>
      </c>
      <c r="T173" t="str">
        <f>IF(COUNTIF(Customers!$A$2:$A$301,C173)=0,"Missing","OK")</f>
        <v>OK</v>
      </c>
      <c r="U173" t="str">
        <f t="shared" si="7"/>
        <v>Hyderabad</v>
      </c>
      <c r="V173">
        <f t="shared" si="8"/>
        <v>0</v>
      </c>
    </row>
    <row r="174" spans="1:22" ht="15" customHeight="1" x14ac:dyDescent="0.35">
      <c r="A174" s="3" t="s">
        <v>422</v>
      </c>
      <c r="B174" s="4">
        <v>45419</v>
      </c>
      <c r="C174" s="3" t="s">
        <v>366</v>
      </c>
      <c r="D174" s="3" t="s">
        <v>294</v>
      </c>
      <c r="E174" s="3" t="s">
        <v>282</v>
      </c>
      <c r="F174" s="5">
        <v>8</v>
      </c>
      <c r="G174" s="5">
        <v>2510</v>
      </c>
      <c r="H174" s="5">
        <v>0.7</v>
      </c>
      <c r="I174" s="5">
        <v>19939.439999999999</v>
      </c>
      <c r="J174" s="3" t="s">
        <v>26</v>
      </c>
      <c r="K174" s="3" t="s">
        <v>27</v>
      </c>
      <c r="L174" t="str">
        <f>IFERROR(VLOOKUP(D174,Products!$A$2:$F$61,3,FALSE()),"")</f>
        <v>Apparel</v>
      </c>
      <c r="M174" t="str">
        <f>IFERROR(VLOOKUP(E174,Sales_Reps!$A$2:$C$31,3,FALSE()),"")</f>
        <v>West</v>
      </c>
      <c r="N174">
        <f>IFERROR(VLOOKUP(D174,Products!$A$2:$F$61,4,FALSE()),"")</f>
        <v>1075</v>
      </c>
      <c r="O174" t="str">
        <f>IFERROR(VLOOKUP(C174,Customers!$A$2:$F$301,5,FALSE()),"")</f>
        <v>Corporate</v>
      </c>
      <c r="P174">
        <f>IFERROR(VLOOKUP(C174,Customers!$A$2:$F$301,3,FALSE()),"")</f>
        <v>48</v>
      </c>
      <c r="Q174">
        <f t="shared" si="6"/>
        <v>0.57171314741035861</v>
      </c>
      <c r="R174">
        <f>IF(AND(COUNTIF($A$2:$A$2047,A174)&gt;1,COUNTIF($A$2:A174,A174)=1),1,0)</f>
        <v>0</v>
      </c>
      <c r="S174" t="b">
        <f>IFERROR(VLOOKUP(D174,Products!$A$2:$F$61,6,FALSE()),"")</f>
        <v>0</v>
      </c>
      <c r="T174" t="str">
        <f>IF(COUNTIF(Customers!$A$2:$A$301,C174)=0,"Missing","OK")</f>
        <v>OK</v>
      </c>
      <c r="U174" t="str">
        <f t="shared" si="7"/>
        <v>Pune</v>
      </c>
      <c r="V174">
        <f t="shared" si="8"/>
        <v>0</v>
      </c>
    </row>
    <row r="175" spans="1:22" ht="15" customHeight="1" x14ac:dyDescent="0.35">
      <c r="A175" s="3" t="s">
        <v>423</v>
      </c>
      <c r="B175" s="4">
        <v>45306</v>
      </c>
      <c r="C175" s="3" t="s">
        <v>424</v>
      </c>
      <c r="D175" s="3" t="s">
        <v>112</v>
      </c>
      <c r="E175" s="3" t="s">
        <v>131</v>
      </c>
      <c r="F175" s="5">
        <v>1</v>
      </c>
      <c r="G175" s="5">
        <v>2720</v>
      </c>
      <c r="H175" s="5">
        <v>13.7</v>
      </c>
      <c r="I175" s="5">
        <v>2347.36</v>
      </c>
      <c r="J175" s="3" t="s">
        <v>26</v>
      </c>
      <c r="K175" s="3" t="s">
        <v>27</v>
      </c>
      <c r="L175" t="str">
        <f>IFERROR(VLOOKUP(D175,Products!$A$2:$F$61,3,FALSE()),"")</f>
        <v>Apparel</v>
      </c>
      <c r="M175" t="str">
        <f>IFERROR(VLOOKUP(E175,Sales_Reps!$A$2:$C$31,3,FALSE()),"")</f>
        <v>East</v>
      </c>
      <c r="N175">
        <f>IFERROR(VLOOKUP(D175,Products!$A$2:$F$61,4,FALSE()),"")</f>
        <v>1962</v>
      </c>
      <c r="O175" t="str">
        <f>IFERROR(VLOOKUP(C175,Customers!$A$2:$F$301,5,FALSE()),"")</f>
        <v>Retail</v>
      </c>
      <c r="P175">
        <f>IFERROR(VLOOKUP(C175,Customers!$A$2:$F$301,3,FALSE()),"")</f>
        <v>49</v>
      </c>
      <c r="Q175">
        <f t="shared" si="6"/>
        <v>0.2786764705882353</v>
      </c>
      <c r="R175">
        <f>IF(AND(COUNTIF($A$2:$A$2047,A175)&gt;1,COUNTIF($A$2:A175,A175)=1),1,0)</f>
        <v>0</v>
      </c>
      <c r="S175" t="b">
        <f>IFERROR(VLOOKUP(D175,Products!$A$2:$F$61,6,FALSE()),"")</f>
        <v>1</v>
      </c>
      <c r="T175" t="str">
        <f>IF(COUNTIF(Customers!$A$2:$A$301,C175)=0,"Missing","OK")</f>
        <v>OK</v>
      </c>
      <c r="U175" t="str">
        <f t="shared" si="7"/>
        <v>Pune</v>
      </c>
      <c r="V175">
        <f t="shared" si="8"/>
        <v>0</v>
      </c>
    </row>
    <row r="176" spans="1:22" ht="15" customHeight="1" x14ac:dyDescent="0.35">
      <c r="A176" s="3" t="s">
        <v>425</v>
      </c>
      <c r="B176" s="4">
        <v>45546</v>
      </c>
      <c r="C176" s="3" t="s">
        <v>426</v>
      </c>
      <c r="D176" s="3" t="s">
        <v>36</v>
      </c>
      <c r="E176" s="3" t="s">
        <v>242</v>
      </c>
      <c r="F176" s="5">
        <v>9</v>
      </c>
      <c r="G176" s="5">
        <v>470</v>
      </c>
      <c r="H176" s="5">
        <v>23.6</v>
      </c>
      <c r="I176" s="5">
        <v>3231.72</v>
      </c>
      <c r="J176" s="3" t="s">
        <v>26</v>
      </c>
      <c r="K176" s="3" t="s">
        <v>27</v>
      </c>
      <c r="L176" t="str">
        <f>IFERROR(VLOOKUP(D176,Products!$A$2:$F$61,3,FALSE()),"")</f>
        <v>Sports</v>
      </c>
      <c r="M176" t="str">
        <f>IFERROR(VLOOKUP(E176,Sales_Reps!$A$2:$C$31,3,FALSE()),"")</f>
        <v>East</v>
      </c>
      <c r="N176">
        <f>IFERROR(VLOOKUP(D176,Products!$A$2:$F$61,4,FALSE()),"")</f>
        <v>302</v>
      </c>
      <c r="O176" t="str">
        <f>IFERROR(VLOOKUP(C176,Customers!$A$2:$F$301,5,FALSE()),"")</f>
        <v>Corporate</v>
      </c>
      <c r="P176">
        <f>IFERROR(VLOOKUP(C176,Customers!$A$2:$F$301,3,FALSE()),"")</f>
        <v>29</v>
      </c>
      <c r="Q176">
        <f t="shared" si="6"/>
        <v>0.35744680851063831</v>
      </c>
      <c r="R176">
        <f>IF(AND(COUNTIF($A$2:$A$2047,A176)&gt;1,COUNTIF($A$2:A176,A176)=1),1,0)</f>
        <v>0</v>
      </c>
      <c r="S176" t="b">
        <f>IFERROR(VLOOKUP(D176,Products!$A$2:$F$61,6,FALSE()),"")</f>
        <v>0</v>
      </c>
      <c r="T176" t="str">
        <f>IF(COUNTIF(Customers!$A$2:$A$301,C176)=0,"Missing","OK")</f>
        <v>OK</v>
      </c>
      <c r="U176" t="str">
        <f t="shared" si="7"/>
        <v>Pune</v>
      </c>
      <c r="V176">
        <f t="shared" si="8"/>
        <v>0</v>
      </c>
    </row>
    <row r="177" spans="1:22" ht="15" customHeight="1" x14ac:dyDescent="0.35">
      <c r="A177" s="3" t="s">
        <v>427</v>
      </c>
      <c r="B177" s="4">
        <v>45633</v>
      </c>
      <c r="C177" s="3" t="s">
        <v>251</v>
      </c>
      <c r="D177" s="3" t="s">
        <v>82</v>
      </c>
      <c r="E177" s="3" t="s">
        <v>242</v>
      </c>
      <c r="F177" s="5">
        <v>10</v>
      </c>
      <c r="G177" s="5">
        <v>3250</v>
      </c>
      <c r="H177" s="5">
        <v>21</v>
      </c>
      <c r="I177" s="5">
        <v>25675</v>
      </c>
      <c r="J177" s="3" t="s">
        <v>79</v>
      </c>
      <c r="K177" s="3" t="s">
        <v>72</v>
      </c>
      <c r="L177" t="str">
        <f>IFERROR(VLOOKUP(D177,Products!$A$2:$F$61,3,FALSE()),"")</f>
        <v>Home</v>
      </c>
      <c r="M177" t="str">
        <f>IFERROR(VLOOKUP(E177,Sales_Reps!$A$2:$C$31,3,FALSE()),"")</f>
        <v>East</v>
      </c>
      <c r="N177">
        <f>IFERROR(VLOOKUP(D177,Products!$A$2:$F$61,4,FALSE()),"")</f>
        <v>1556</v>
      </c>
      <c r="O177" t="str">
        <f>IFERROR(VLOOKUP(C177,Customers!$A$2:$F$301,5,FALSE()),"")</f>
        <v>Retail</v>
      </c>
      <c r="P177">
        <f>IFERROR(VLOOKUP(C177,Customers!$A$2:$F$301,3,FALSE()),"")</f>
        <v>46</v>
      </c>
      <c r="Q177">
        <f t="shared" si="6"/>
        <v>0.52123076923076928</v>
      </c>
      <c r="R177">
        <f>IF(AND(COUNTIF($A$2:$A$2047,A177)&gt;1,COUNTIF($A$2:A177,A177)=1),1,0)</f>
        <v>0</v>
      </c>
      <c r="S177" t="b">
        <f>IFERROR(VLOOKUP(D177,Products!$A$2:$F$61,6,FALSE()),"")</f>
        <v>1</v>
      </c>
      <c r="T177" t="str">
        <f>IF(COUNTIF(Customers!$A$2:$A$301,C177)=0,"Missing","OK")</f>
        <v>OK</v>
      </c>
      <c r="U177" t="str">
        <f t="shared" si="7"/>
        <v>Hyderabad</v>
      </c>
      <c r="V177">
        <f t="shared" si="8"/>
        <v>0</v>
      </c>
    </row>
    <row r="178" spans="1:22" ht="15" customHeight="1" x14ac:dyDescent="0.35">
      <c r="A178" s="3" t="s">
        <v>428</v>
      </c>
      <c r="B178" s="4">
        <v>45649</v>
      </c>
      <c r="C178" s="3" t="s">
        <v>429</v>
      </c>
      <c r="D178" s="3" t="s">
        <v>382</v>
      </c>
      <c r="E178" s="3" t="s">
        <v>67</v>
      </c>
      <c r="F178" s="5">
        <v>6</v>
      </c>
      <c r="G178" s="5">
        <v>5080</v>
      </c>
      <c r="H178" s="5">
        <v>16.8</v>
      </c>
      <c r="I178" s="5">
        <v>25359.360000000001</v>
      </c>
      <c r="J178" s="3" t="s">
        <v>32</v>
      </c>
      <c r="K178" s="3" t="s">
        <v>38</v>
      </c>
      <c r="L178" t="str">
        <f>IFERROR(VLOOKUP(D178,Products!$A$2:$F$61,3,FALSE()),"")</f>
        <v>Home</v>
      </c>
      <c r="M178" t="str">
        <f>IFERROR(VLOOKUP(E178,Sales_Reps!$A$2:$C$31,3,FALSE()),"")</f>
        <v>West</v>
      </c>
      <c r="N178">
        <f>IFERROR(VLOOKUP(D178,Products!$A$2:$F$61,4,FALSE()),"")</f>
        <v>2459</v>
      </c>
      <c r="O178" t="str">
        <f>IFERROR(VLOOKUP(C178,Customers!$A$2:$F$301,5,FALSE()),"")</f>
        <v>Retail</v>
      </c>
      <c r="P178">
        <f>IFERROR(VLOOKUP(C178,Customers!$A$2:$F$301,3,FALSE()),"")</f>
        <v>59</v>
      </c>
      <c r="Q178">
        <f t="shared" si="6"/>
        <v>0.51594488188976373</v>
      </c>
      <c r="R178">
        <f>IF(AND(COUNTIF($A$2:$A$2047,A178)&gt;1,COUNTIF($A$2:A178,A178)=1),1,0)</f>
        <v>0</v>
      </c>
      <c r="S178" t="b">
        <f>IFERROR(VLOOKUP(D178,Products!$A$2:$F$61,6,FALSE()),"")</f>
        <v>1</v>
      </c>
      <c r="T178" t="str">
        <f>IF(COUNTIF(Customers!$A$2:$A$301,C178)=0,"Missing","OK")</f>
        <v>OK</v>
      </c>
      <c r="U178" t="str">
        <f t="shared" si="7"/>
        <v>Delhi</v>
      </c>
      <c r="V178">
        <f t="shared" si="8"/>
        <v>0</v>
      </c>
    </row>
    <row r="179" spans="1:22" ht="15" customHeight="1" x14ac:dyDescent="0.35">
      <c r="A179" s="3" t="s">
        <v>430</v>
      </c>
      <c r="B179" s="4">
        <v>45312</v>
      </c>
      <c r="C179" s="3" t="s">
        <v>381</v>
      </c>
      <c r="D179" s="3" t="s">
        <v>126</v>
      </c>
      <c r="E179" s="3" t="s">
        <v>264</v>
      </c>
      <c r="F179" s="5">
        <v>2</v>
      </c>
      <c r="G179" s="5">
        <v>3570</v>
      </c>
      <c r="H179" s="5">
        <v>6.7</v>
      </c>
      <c r="I179" s="5">
        <v>6661.62</v>
      </c>
      <c r="J179" s="3" t="s">
        <v>79</v>
      </c>
      <c r="K179" s="3" t="s">
        <v>27</v>
      </c>
      <c r="L179" t="str">
        <f>IFERROR(VLOOKUP(D179,Products!$A$2:$F$61,3,FALSE()),"")</f>
        <v>Electronics</v>
      </c>
      <c r="M179" t="str">
        <f>IFERROR(VLOOKUP(E179,Sales_Reps!$A$2:$C$31,3,FALSE()),"")</f>
        <v>South</v>
      </c>
      <c r="N179">
        <f>IFERROR(VLOOKUP(D179,Products!$A$2:$F$61,4,FALSE()),"")</f>
        <v>1665</v>
      </c>
      <c r="O179" t="str">
        <f>IFERROR(VLOOKUP(C179,Customers!$A$2:$F$301,5,FALSE()),"")</f>
        <v>Retail</v>
      </c>
      <c r="P179">
        <f>IFERROR(VLOOKUP(C179,Customers!$A$2:$F$301,3,FALSE()),"")</f>
        <v>65</v>
      </c>
      <c r="Q179">
        <f t="shared" si="6"/>
        <v>0.53361344537815125</v>
      </c>
      <c r="R179">
        <f>IF(AND(COUNTIF($A$2:$A$2047,A179)&gt;1,COUNTIF($A$2:A179,A179)=1),1,0)</f>
        <v>0</v>
      </c>
      <c r="S179" t="b">
        <f>IFERROR(VLOOKUP(D179,Products!$A$2:$F$61,6,FALSE()),"")</f>
        <v>1</v>
      </c>
      <c r="T179" t="str">
        <f>IF(COUNTIF(Customers!$A$2:$A$301,C179)=0,"Missing","OK")</f>
        <v>OK</v>
      </c>
      <c r="U179" t="str">
        <f t="shared" si="7"/>
        <v>Pune</v>
      </c>
      <c r="V179">
        <f t="shared" si="8"/>
        <v>0</v>
      </c>
    </row>
    <row r="180" spans="1:22" ht="15" customHeight="1" x14ac:dyDescent="0.35">
      <c r="A180" s="3" t="s">
        <v>431</v>
      </c>
      <c r="B180" s="4">
        <v>45382</v>
      </c>
      <c r="C180" s="3" t="s">
        <v>432</v>
      </c>
      <c r="D180" s="3" t="s">
        <v>176</v>
      </c>
      <c r="E180" s="3" t="s">
        <v>264</v>
      </c>
      <c r="F180" s="5">
        <v>4</v>
      </c>
      <c r="G180" s="5">
        <v>3640</v>
      </c>
      <c r="H180" s="5">
        <v>18.399999999999999</v>
      </c>
      <c r="I180" s="5">
        <v>11880.96</v>
      </c>
      <c r="J180" s="3" t="s">
        <v>26</v>
      </c>
      <c r="K180" s="3" t="s">
        <v>27</v>
      </c>
      <c r="L180" t="str">
        <f>IFERROR(VLOOKUP(D180,Products!$A$2:$F$61,3,FALSE()),"")</f>
        <v>Apparel</v>
      </c>
      <c r="M180" t="str">
        <f>IFERROR(VLOOKUP(E180,Sales_Reps!$A$2:$C$31,3,FALSE()),"")</f>
        <v>South</v>
      </c>
      <c r="N180">
        <f>IFERROR(VLOOKUP(D180,Products!$A$2:$F$61,4,FALSE()),"")</f>
        <v>2611</v>
      </c>
      <c r="O180" t="str">
        <f>IFERROR(VLOOKUP(C180,Customers!$A$2:$F$301,5,FALSE()),"")</f>
        <v>Retail</v>
      </c>
      <c r="P180">
        <f>IFERROR(VLOOKUP(C180,Customers!$A$2:$F$301,3,FALSE()),"")</f>
        <v>57</v>
      </c>
      <c r="Q180">
        <f t="shared" si="6"/>
        <v>0.28269230769230769</v>
      </c>
      <c r="R180">
        <f>IF(AND(COUNTIF($A$2:$A$2047,A180)&gt;1,COUNTIF($A$2:A180,A180)=1),1,0)</f>
        <v>0</v>
      </c>
      <c r="S180" t="b">
        <f>IFERROR(VLOOKUP(D180,Products!$A$2:$F$61,6,FALSE()),"")</f>
        <v>1</v>
      </c>
      <c r="T180" t="str">
        <f>IF(COUNTIF(Customers!$A$2:$A$301,C180)=0,"Missing","OK")</f>
        <v>OK</v>
      </c>
      <c r="U180" t="str">
        <f t="shared" si="7"/>
        <v>Pune</v>
      </c>
      <c r="V180">
        <f t="shared" si="8"/>
        <v>0</v>
      </c>
    </row>
    <row r="181" spans="1:22" ht="15" customHeight="1" x14ac:dyDescent="0.35">
      <c r="A181" s="3" t="s">
        <v>433</v>
      </c>
      <c r="B181" s="4">
        <v>45524</v>
      </c>
      <c r="C181" s="3" t="s">
        <v>89</v>
      </c>
      <c r="D181" s="3" t="s">
        <v>203</v>
      </c>
      <c r="E181" s="3" t="s">
        <v>154</v>
      </c>
      <c r="F181" s="5">
        <v>8</v>
      </c>
      <c r="G181" s="5">
        <v>4070</v>
      </c>
      <c r="H181" s="5">
        <v>6.6</v>
      </c>
      <c r="I181" s="5">
        <v>30411.040000000001</v>
      </c>
      <c r="J181" s="3" t="s">
        <v>26</v>
      </c>
      <c r="K181" s="3" t="s">
        <v>27</v>
      </c>
      <c r="L181" t="str">
        <f>IFERROR(VLOOKUP(D181,Products!$A$2:$F$61,3,FALSE()),"")</f>
        <v>Grocery</v>
      </c>
      <c r="M181" t="str">
        <f>IFERROR(VLOOKUP(E181,Sales_Reps!$A$2:$C$31,3,FALSE()),"")</f>
        <v>North</v>
      </c>
      <c r="N181">
        <f>IFERROR(VLOOKUP(D181,Products!$A$2:$F$61,4,FALSE()),"")</f>
        <v>2027</v>
      </c>
      <c r="O181" t="str">
        <f>IFERROR(VLOOKUP(C181,Customers!$A$2:$F$301,5,FALSE()),"")</f>
        <v>Retail</v>
      </c>
      <c r="P181">
        <f>IFERROR(VLOOKUP(C181,Customers!$A$2:$F$301,3,FALSE()),"")</f>
        <v>63</v>
      </c>
      <c r="Q181">
        <f t="shared" si="6"/>
        <v>0.50196560196560192</v>
      </c>
      <c r="R181">
        <f>IF(AND(COUNTIF($A$2:$A$2047,A181)&gt;1,COUNTIF($A$2:A181,A181)=1),1,0)</f>
        <v>0</v>
      </c>
      <c r="S181" t="b">
        <f>IFERROR(VLOOKUP(D181,Products!$A$2:$F$61,6,FALSE()),"")</f>
        <v>1</v>
      </c>
      <c r="T181" t="str">
        <f>IF(COUNTIF(Customers!$A$2:$A$301,C181)=0,"Missing","OK")</f>
        <v>OK</v>
      </c>
      <c r="U181" t="str">
        <f t="shared" si="7"/>
        <v>Pune</v>
      </c>
      <c r="V181">
        <f t="shared" si="8"/>
        <v>0</v>
      </c>
    </row>
    <row r="182" spans="1:22" ht="15" customHeight="1" x14ac:dyDescent="0.35">
      <c r="A182" s="3" t="s">
        <v>434</v>
      </c>
      <c r="B182" s="4">
        <v>45392</v>
      </c>
      <c r="C182" s="3" t="s">
        <v>108</v>
      </c>
      <c r="D182" s="3" t="s">
        <v>391</v>
      </c>
      <c r="E182" s="3" t="s">
        <v>264</v>
      </c>
      <c r="F182" s="5">
        <v>6</v>
      </c>
      <c r="G182" s="5">
        <v>3450</v>
      </c>
      <c r="H182" s="5">
        <v>14.4</v>
      </c>
      <c r="I182" s="5">
        <v>17719.2</v>
      </c>
      <c r="J182" s="3" t="s">
        <v>32</v>
      </c>
      <c r="K182" s="3" t="s">
        <v>51</v>
      </c>
      <c r="L182" t="str">
        <f>IFERROR(VLOOKUP(D182,Products!$A$2:$F$61,3,FALSE()),"")</f>
        <v>Apparel</v>
      </c>
      <c r="M182" t="str">
        <f>IFERROR(VLOOKUP(E182,Sales_Reps!$A$2:$C$31,3,FALSE()),"")</f>
        <v>South</v>
      </c>
      <c r="N182">
        <f>IFERROR(VLOOKUP(D182,Products!$A$2:$F$61,4,FALSE()),"")</f>
        <v>1748</v>
      </c>
      <c r="O182" t="str">
        <f>IFERROR(VLOOKUP(C182,Customers!$A$2:$F$301,5,FALSE()),"")</f>
        <v>Retail</v>
      </c>
      <c r="P182">
        <f>IFERROR(VLOOKUP(C182,Customers!$A$2:$F$301,3,FALSE()),"")</f>
        <v>34</v>
      </c>
      <c r="Q182">
        <f t="shared" si="6"/>
        <v>0.49333333333333335</v>
      </c>
      <c r="R182">
        <f>IF(AND(COUNTIF($A$2:$A$2047,A182)&gt;1,COUNTIF($A$2:A182,A182)=1),1,0)</f>
        <v>0</v>
      </c>
      <c r="S182" t="b">
        <f>IFERROR(VLOOKUP(D182,Products!$A$2:$F$61,6,FALSE()),"")</f>
        <v>1</v>
      </c>
      <c r="T182" t="str">
        <f>IF(COUNTIF(Customers!$A$2:$A$301,C182)=0,"Missing","OK")</f>
        <v>OK</v>
      </c>
      <c r="U182" t="str">
        <f t="shared" si="7"/>
        <v>Mumbai</v>
      </c>
      <c r="V182">
        <f t="shared" si="8"/>
        <v>0</v>
      </c>
    </row>
    <row r="183" spans="1:22" ht="15" customHeight="1" x14ac:dyDescent="0.35">
      <c r="A183" s="3" t="s">
        <v>435</v>
      </c>
      <c r="B183" s="4">
        <v>45443</v>
      </c>
      <c r="C183" s="3" t="s">
        <v>69</v>
      </c>
      <c r="D183" s="3" t="s">
        <v>382</v>
      </c>
      <c r="E183" s="3" t="s">
        <v>168</v>
      </c>
      <c r="F183" s="5">
        <v>7</v>
      </c>
      <c r="G183" s="5">
        <v>5080</v>
      </c>
      <c r="H183" s="5">
        <v>25.4</v>
      </c>
      <c r="I183" s="5">
        <v>26527.759999999998</v>
      </c>
      <c r="J183" s="3" t="s">
        <v>32</v>
      </c>
      <c r="K183" s="3" t="s">
        <v>72</v>
      </c>
      <c r="L183" t="str">
        <f>IFERROR(VLOOKUP(D183,Products!$A$2:$F$61,3,FALSE()),"")</f>
        <v>Home</v>
      </c>
      <c r="M183" t="str">
        <f>IFERROR(VLOOKUP(E183,Sales_Reps!$A$2:$C$31,3,FALSE()),"")</f>
        <v>West</v>
      </c>
      <c r="N183">
        <f>IFERROR(VLOOKUP(D183,Products!$A$2:$F$61,4,FALSE()),"")</f>
        <v>2459</v>
      </c>
      <c r="O183" t="str">
        <f>IFERROR(VLOOKUP(C183,Customers!$A$2:$F$301,5,FALSE()),"")</f>
        <v>Retail</v>
      </c>
      <c r="P183">
        <f>IFERROR(VLOOKUP(C183,Customers!$A$2:$F$301,3,FALSE()),"")</f>
        <v>60</v>
      </c>
      <c r="Q183">
        <f t="shared" si="6"/>
        <v>0.51594488188976373</v>
      </c>
      <c r="R183">
        <f>IF(AND(COUNTIF($A$2:$A$2047,A183)&gt;1,COUNTIF($A$2:A183,A183)=1),1,0)</f>
        <v>0</v>
      </c>
      <c r="S183" t="b">
        <f>IFERROR(VLOOKUP(D183,Products!$A$2:$F$61,6,FALSE()),"")</f>
        <v>1</v>
      </c>
      <c r="T183" t="str">
        <f>IF(COUNTIF(Customers!$A$2:$A$301,C183)=0,"Missing","OK")</f>
        <v>OK</v>
      </c>
      <c r="U183" t="str">
        <f t="shared" si="7"/>
        <v>Hyderabad</v>
      </c>
      <c r="V183">
        <f t="shared" si="8"/>
        <v>0</v>
      </c>
    </row>
    <row r="184" spans="1:22" ht="15" customHeight="1" x14ac:dyDescent="0.35">
      <c r="A184" s="3" t="s">
        <v>436</v>
      </c>
      <c r="B184" s="4">
        <v>45333</v>
      </c>
      <c r="C184" s="3" t="s">
        <v>263</v>
      </c>
      <c r="D184" s="3" t="s">
        <v>139</v>
      </c>
      <c r="E184" s="3" t="s">
        <v>67</v>
      </c>
      <c r="F184" s="5">
        <v>10</v>
      </c>
      <c r="G184" s="5">
        <v>2760</v>
      </c>
      <c r="H184" s="5">
        <v>20.100000000000001</v>
      </c>
      <c r="I184" s="5">
        <v>22052.400000000001</v>
      </c>
      <c r="J184" s="3" t="s">
        <v>26</v>
      </c>
      <c r="K184" s="3" t="s">
        <v>72</v>
      </c>
      <c r="L184" t="str">
        <f>IFERROR(VLOOKUP(D184,Products!$A$2:$F$61,3,FALSE()),"")</f>
        <v>Grocery</v>
      </c>
      <c r="M184" t="str">
        <f>IFERROR(VLOOKUP(E184,Sales_Reps!$A$2:$C$31,3,FALSE()),"")</f>
        <v>West</v>
      </c>
      <c r="N184">
        <f>IFERROR(VLOOKUP(D184,Products!$A$2:$F$61,4,FALSE()),"")</f>
        <v>1435</v>
      </c>
      <c r="O184" t="str">
        <f>IFERROR(VLOOKUP(C184,Customers!$A$2:$F$301,5,FALSE()),"")</f>
        <v>Retail</v>
      </c>
      <c r="P184">
        <f>IFERROR(VLOOKUP(C184,Customers!$A$2:$F$301,3,FALSE()),"")</f>
        <v>28</v>
      </c>
      <c r="Q184">
        <f t="shared" si="6"/>
        <v>0.48007246376811596</v>
      </c>
      <c r="R184">
        <f>IF(AND(COUNTIF($A$2:$A$2047,A184)&gt;1,COUNTIF($A$2:A184,A184)=1),1,0)</f>
        <v>0</v>
      </c>
      <c r="S184" t="b">
        <f>IFERROR(VLOOKUP(D184,Products!$A$2:$F$61,6,FALSE()),"")</f>
        <v>1</v>
      </c>
      <c r="T184" t="str">
        <f>IF(COUNTIF(Customers!$A$2:$A$301,C184)=0,"Missing","OK")</f>
        <v>OK</v>
      </c>
      <c r="U184" t="str">
        <f t="shared" si="7"/>
        <v>Hyderabad</v>
      </c>
      <c r="V184">
        <f t="shared" si="8"/>
        <v>0</v>
      </c>
    </row>
    <row r="185" spans="1:22" ht="15" customHeight="1" x14ac:dyDescent="0.35">
      <c r="A185" s="3" t="s">
        <v>437</v>
      </c>
      <c r="B185" s="4">
        <v>45456</v>
      </c>
      <c r="C185" s="3" t="s">
        <v>350</v>
      </c>
      <c r="D185" s="3" t="s">
        <v>115</v>
      </c>
      <c r="E185" s="3" t="s">
        <v>285</v>
      </c>
      <c r="F185" s="5">
        <v>6</v>
      </c>
      <c r="G185" s="5">
        <v>1650</v>
      </c>
      <c r="H185" s="5">
        <v>11.3</v>
      </c>
      <c r="I185" s="5">
        <v>8781.2999999999993</v>
      </c>
      <c r="J185" s="3" t="s">
        <v>32</v>
      </c>
      <c r="K185" s="3" t="s">
        <v>51</v>
      </c>
      <c r="L185" t="str">
        <f>IFERROR(VLOOKUP(D185,Products!$A$2:$F$61,3,FALSE()),"")</f>
        <v>Beauty</v>
      </c>
      <c r="M185" t="str">
        <f>IFERROR(VLOOKUP(E185,Sales_Reps!$A$2:$C$31,3,FALSE()),"")</f>
        <v>South</v>
      </c>
      <c r="N185">
        <f>IFERROR(VLOOKUP(D185,Products!$A$2:$F$61,4,FALSE()),"")</f>
        <v>1222</v>
      </c>
      <c r="O185" t="str">
        <f>IFERROR(VLOOKUP(C185,Customers!$A$2:$F$301,5,FALSE()),"")</f>
        <v>Retail</v>
      </c>
      <c r="P185">
        <f>IFERROR(VLOOKUP(C185,Customers!$A$2:$F$301,3,FALSE()),"")</f>
        <v>61</v>
      </c>
      <c r="Q185">
        <f t="shared" si="6"/>
        <v>0.2593939393939394</v>
      </c>
      <c r="R185">
        <f>IF(AND(COUNTIF($A$2:$A$2047,A185)&gt;1,COUNTIF($A$2:A185,A185)=1),1,0)</f>
        <v>0</v>
      </c>
      <c r="S185" t="b">
        <f>IFERROR(VLOOKUP(D185,Products!$A$2:$F$61,6,FALSE()),"")</f>
        <v>1</v>
      </c>
      <c r="T185" t="str">
        <f>IF(COUNTIF(Customers!$A$2:$A$301,C185)=0,"Missing","OK")</f>
        <v>OK</v>
      </c>
      <c r="U185" t="str">
        <f t="shared" si="7"/>
        <v>Mumbai</v>
      </c>
      <c r="V185">
        <f t="shared" si="8"/>
        <v>0</v>
      </c>
    </row>
    <row r="186" spans="1:22" ht="15" customHeight="1" x14ac:dyDescent="0.35">
      <c r="A186" s="3" t="s">
        <v>438</v>
      </c>
      <c r="B186" s="4">
        <v>45295</v>
      </c>
      <c r="C186" s="3" t="s">
        <v>233</v>
      </c>
      <c r="D186" s="3" t="s">
        <v>187</v>
      </c>
      <c r="E186" s="3" t="s">
        <v>25</v>
      </c>
      <c r="F186" s="5">
        <v>9</v>
      </c>
      <c r="G186" s="5">
        <v>3870</v>
      </c>
      <c r="H186" s="5">
        <v>27.5</v>
      </c>
      <c r="I186" s="5">
        <v>25251.75</v>
      </c>
      <c r="J186" s="3" t="s">
        <v>26</v>
      </c>
      <c r="K186" s="3" t="s">
        <v>72</v>
      </c>
      <c r="L186" t="str">
        <f>IFERROR(VLOOKUP(D186,Products!$A$2:$F$61,3,FALSE()),"")</f>
        <v>Electronics</v>
      </c>
      <c r="M186" t="str">
        <f>IFERROR(VLOOKUP(E186,Sales_Reps!$A$2:$C$31,3,FALSE()),"")</f>
        <v>North</v>
      </c>
      <c r="N186">
        <f>IFERROR(VLOOKUP(D186,Products!$A$2:$F$61,4,FALSE()),"")</f>
        <v>1559</v>
      </c>
      <c r="O186" t="str">
        <f>IFERROR(VLOOKUP(C186,Customers!$A$2:$F$301,5,FALSE()),"")</f>
        <v>SMB</v>
      </c>
      <c r="P186">
        <f>IFERROR(VLOOKUP(C186,Customers!$A$2:$F$301,3,FALSE()),"")</f>
        <v>43</v>
      </c>
      <c r="Q186">
        <f t="shared" si="6"/>
        <v>0.59715762273901807</v>
      </c>
      <c r="R186">
        <f>IF(AND(COUNTIF($A$2:$A$2047,A186)&gt;1,COUNTIF($A$2:A186,A186)=1),1,0)</f>
        <v>0</v>
      </c>
      <c r="S186" t="b">
        <f>IFERROR(VLOOKUP(D186,Products!$A$2:$F$61,6,FALSE()),"")</f>
        <v>1</v>
      </c>
      <c r="T186" t="str">
        <f>IF(COUNTIF(Customers!$A$2:$A$301,C186)=0,"Missing","OK")</f>
        <v>OK</v>
      </c>
      <c r="U186" t="str">
        <f t="shared" si="7"/>
        <v>Hyderabad</v>
      </c>
      <c r="V186">
        <f t="shared" si="8"/>
        <v>0</v>
      </c>
    </row>
    <row r="187" spans="1:22" ht="15" customHeight="1" x14ac:dyDescent="0.35">
      <c r="A187" s="3" t="s">
        <v>439</v>
      </c>
      <c r="B187" s="4">
        <v>45532</v>
      </c>
      <c r="C187" s="3" t="s">
        <v>440</v>
      </c>
      <c r="D187" s="3" t="s">
        <v>441</v>
      </c>
      <c r="E187" s="3" t="s">
        <v>224</v>
      </c>
      <c r="F187" s="5">
        <v>2</v>
      </c>
      <c r="G187" s="5">
        <v>1090</v>
      </c>
      <c r="H187" s="5">
        <v>18.7</v>
      </c>
      <c r="I187" s="5">
        <v>1772.34</v>
      </c>
      <c r="J187" s="3" t="s">
        <v>83</v>
      </c>
      <c r="K187" s="3" t="s">
        <v>72</v>
      </c>
      <c r="L187" t="str">
        <f>IFERROR(VLOOKUP(D187,Products!$A$2:$F$61,3,FALSE()),"")</f>
        <v>Home</v>
      </c>
      <c r="M187" t="str">
        <f>IFERROR(VLOOKUP(E187,Sales_Reps!$A$2:$C$31,3,FALSE()),"")</f>
        <v>East</v>
      </c>
      <c r="N187">
        <f>IFERROR(VLOOKUP(D187,Products!$A$2:$F$61,4,FALSE()),"")</f>
        <v>464</v>
      </c>
      <c r="O187" t="str">
        <f>IFERROR(VLOOKUP(C187,Customers!$A$2:$F$301,5,FALSE()),"")</f>
        <v>SMB</v>
      </c>
      <c r="P187">
        <f>IFERROR(VLOOKUP(C187,Customers!$A$2:$F$301,3,FALSE()),"")</f>
        <v>65</v>
      </c>
      <c r="Q187">
        <f t="shared" si="6"/>
        <v>0.57431192660550456</v>
      </c>
      <c r="R187">
        <f>IF(AND(COUNTIF($A$2:$A$2047,A187)&gt;1,COUNTIF($A$2:A187,A187)=1),1,0)</f>
        <v>0</v>
      </c>
      <c r="S187" t="b">
        <f>IFERROR(VLOOKUP(D187,Products!$A$2:$F$61,6,FALSE()),"")</f>
        <v>1</v>
      </c>
      <c r="T187" t="str">
        <f>IF(COUNTIF(Customers!$A$2:$A$301,C187)=0,"Missing","OK")</f>
        <v>OK</v>
      </c>
      <c r="U187" t="str">
        <f t="shared" si="7"/>
        <v>Hyderabad</v>
      </c>
      <c r="V187">
        <f t="shared" si="8"/>
        <v>0</v>
      </c>
    </row>
    <row r="188" spans="1:22" ht="15" customHeight="1" x14ac:dyDescent="0.35">
      <c r="A188" s="3" t="s">
        <v>442</v>
      </c>
      <c r="B188" s="4">
        <v>45564</v>
      </c>
      <c r="C188" s="3" t="s">
        <v>443</v>
      </c>
      <c r="D188" s="3" t="s">
        <v>319</v>
      </c>
      <c r="E188" s="3" t="s">
        <v>50</v>
      </c>
      <c r="F188" s="5">
        <v>4</v>
      </c>
      <c r="G188" s="5">
        <v>960</v>
      </c>
      <c r="H188" s="5">
        <v>23.4</v>
      </c>
      <c r="I188" s="5">
        <v>2941.44</v>
      </c>
      <c r="J188" s="3" t="s">
        <v>26</v>
      </c>
      <c r="K188" s="3" t="s">
        <v>56</v>
      </c>
      <c r="L188" t="str">
        <f>IFERROR(VLOOKUP(D188,Products!$A$2:$F$61,3,FALSE()),"")</f>
        <v>Beauty</v>
      </c>
      <c r="M188" t="str">
        <f>IFERROR(VLOOKUP(E188,Sales_Reps!$A$2:$C$31,3,FALSE()),"")</f>
        <v>West</v>
      </c>
      <c r="N188">
        <f>IFERROR(VLOOKUP(D188,Products!$A$2:$F$61,4,FALSE()),"")</f>
        <v>675</v>
      </c>
      <c r="O188" t="str">
        <f>IFERROR(VLOOKUP(C188,Customers!$A$2:$F$301,5,FALSE()),"")</f>
        <v>Corporate</v>
      </c>
      <c r="P188">
        <f>IFERROR(VLOOKUP(C188,Customers!$A$2:$F$301,3,FALSE()),"")</f>
        <v>36</v>
      </c>
      <c r="Q188">
        <f t="shared" si="6"/>
        <v>0.296875</v>
      </c>
      <c r="R188">
        <f>IF(AND(COUNTIF($A$2:$A$2047,A188)&gt;1,COUNTIF($A$2:A188,A188)=1),1,0)</f>
        <v>0</v>
      </c>
      <c r="S188" t="b">
        <f>IFERROR(VLOOKUP(D188,Products!$A$2:$F$61,6,FALSE()),"")</f>
        <v>1</v>
      </c>
      <c r="T188" t="str">
        <f>IF(COUNTIF(Customers!$A$2:$A$301,C188)=0,"Missing","OK")</f>
        <v>OK</v>
      </c>
      <c r="U188" t="str">
        <f t="shared" si="7"/>
        <v>Bengaluru</v>
      </c>
      <c r="V188">
        <f t="shared" si="8"/>
        <v>0</v>
      </c>
    </row>
    <row r="189" spans="1:22" ht="15" customHeight="1" x14ac:dyDescent="0.35">
      <c r="A189" s="3" t="s">
        <v>444</v>
      </c>
      <c r="B189" s="4">
        <v>45539</v>
      </c>
      <c r="C189" s="3" t="s">
        <v>186</v>
      </c>
      <c r="D189" s="3" t="s">
        <v>118</v>
      </c>
      <c r="E189" s="3" t="s">
        <v>97</v>
      </c>
      <c r="F189" s="5">
        <v>3</v>
      </c>
      <c r="G189" s="5">
        <v>3350</v>
      </c>
      <c r="H189" s="5">
        <v>17.899999999999999</v>
      </c>
      <c r="I189" s="5">
        <v>8251.0499999999993</v>
      </c>
      <c r="J189" s="3" t="s">
        <v>26</v>
      </c>
      <c r="K189" s="3" t="s">
        <v>56</v>
      </c>
      <c r="L189" t="str">
        <f>IFERROR(VLOOKUP(D189,Products!$A$2:$F$61,3,FALSE()),"")</f>
        <v>Beauty</v>
      </c>
      <c r="M189" t="str">
        <f>IFERROR(VLOOKUP(E189,Sales_Reps!$A$2:$C$31,3,FALSE()),"")</f>
        <v>East</v>
      </c>
      <c r="N189">
        <f>IFERROR(VLOOKUP(D189,Products!$A$2:$F$61,4,FALSE()),"")</f>
        <v>1728</v>
      </c>
      <c r="O189" t="str">
        <f>IFERROR(VLOOKUP(C189,Customers!$A$2:$F$301,5,FALSE()),"")</f>
        <v>Retail</v>
      </c>
      <c r="P189">
        <f>IFERROR(VLOOKUP(C189,Customers!$A$2:$F$301,3,FALSE()),"")</f>
        <v>34</v>
      </c>
      <c r="Q189">
        <f t="shared" si="6"/>
        <v>0.48417910447761192</v>
      </c>
      <c r="R189">
        <f>IF(AND(COUNTIF($A$2:$A$2047,A189)&gt;1,COUNTIF($A$2:A189,A189)=1),1,0)</f>
        <v>0</v>
      </c>
      <c r="S189" t="b">
        <f>IFERROR(VLOOKUP(D189,Products!$A$2:$F$61,6,FALSE()),"")</f>
        <v>1</v>
      </c>
      <c r="T189" t="str">
        <f>IF(COUNTIF(Customers!$A$2:$A$301,C189)=0,"Missing","OK")</f>
        <v>OK</v>
      </c>
      <c r="U189" t="str">
        <f t="shared" si="7"/>
        <v>Bengaluru</v>
      </c>
      <c r="V189">
        <f t="shared" si="8"/>
        <v>0</v>
      </c>
    </row>
    <row r="190" spans="1:22" ht="15" customHeight="1" x14ac:dyDescent="0.35">
      <c r="A190" s="3" t="s">
        <v>445</v>
      </c>
      <c r="B190" s="4">
        <v>45605</v>
      </c>
      <c r="C190" s="3" t="s">
        <v>446</v>
      </c>
      <c r="D190" s="3" t="s">
        <v>184</v>
      </c>
      <c r="E190" s="3" t="s">
        <v>31</v>
      </c>
      <c r="F190" s="5">
        <v>4</v>
      </c>
      <c r="G190" s="5">
        <v>2270</v>
      </c>
      <c r="H190" s="5">
        <v>29</v>
      </c>
      <c r="I190" s="5">
        <v>6446.8</v>
      </c>
      <c r="J190" s="3" t="s">
        <v>26</v>
      </c>
      <c r="K190" s="3" t="s">
        <v>27</v>
      </c>
      <c r="L190" t="str">
        <f>IFERROR(VLOOKUP(D190,Products!$A$2:$F$61,3,FALSE()),"")</f>
        <v>Grocery</v>
      </c>
      <c r="M190" t="str">
        <f>IFERROR(VLOOKUP(E190,Sales_Reps!$A$2:$C$31,3,FALSE()),"")</f>
        <v>North</v>
      </c>
      <c r="N190">
        <f>IFERROR(VLOOKUP(D190,Products!$A$2:$F$61,4,FALSE()),"")</f>
        <v>1412</v>
      </c>
      <c r="O190" t="str">
        <f>IFERROR(VLOOKUP(C190,Customers!$A$2:$F$301,5,FALSE()),"")</f>
        <v>Retail</v>
      </c>
      <c r="P190">
        <f>IFERROR(VLOOKUP(C190,Customers!$A$2:$F$301,3,FALSE()),"")</f>
        <v>59</v>
      </c>
      <c r="Q190">
        <f t="shared" si="6"/>
        <v>0.37797356828193834</v>
      </c>
      <c r="R190">
        <f>IF(AND(COUNTIF($A$2:$A$2047,A190)&gt;1,COUNTIF($A$2:A190,A190)=1),1,0)</f>
        <v>0</v>
      </c>
      <c r="S190" t="b">
        <f>IFERROR(VLOOKUP(D190,Products!$A$2:$F$61,6,FALSE()),"")</f>
        <v>1</v>
      </c>
      <c r="T190" t="str">
        <f>IF(COUNTIF(Customers!$A$2:$A$301,C190)=0,"Missing","OK")</f>
        <v>OK</v>
      </c>
      <c r="U190" t="str">
        <f t="shared" si="7"/>
        <v>Pune</v>
      </c>
      <c r="V190">
        <f t="shared" si="8"/>
        <v>0</v>
      </c>
    </row>
    <row r="191" spans="1:22" ht="15" customHeight="1" x14ac:dyDescent="0.35">
      <c r="A191" s="3" t="s">
        <v>447</v>
      </c>
      <c r="B191" s="4">
        <v>45460</v>
      </c>
      <c r="C191" s="3" t="s">
        <v>368</v>
      </c>
      <c r="D191" s="3" t="s">
        <v>209</v>
      </c>
      <c r="E191" s="3" t="s">
        <v>93</v>
      </c>
      <c r="F191" s="5">
        <v>9</v>
      </c>
      <c r="G191" s="5">
        <v>4610</v>
      </c>
      <c r="H191" s="5">
        <v>28.3</v>
      </c>
      <c r="I191" s="5">
        <v>29748.33</v>
      </c>
      <c r="J191" s="3" t="s">
        <v>32</v>
      </c>
      <c r="K191" s="3" t="s">
        <v>56</v>
      </c>
      <c r="L191" t="str">
        <f>IFERROR(VLOOKUP(D191,Products!$A$2:$F$61,3,FALSE()),"")</f>
        <v>Home</v>
      </c>
      <c r="M191" t="str">
        <f>IFERROR(VLOOKUP(E191,Sales_Reps!$A$2:$C$31,3,FALSE()),"")</f>
        <v>East</v>
      </c>
      <c r="N191">
        <f>IFERROR(VLOOKUP(D191,Products!$A$2:$F$61,4,FALSE()),"")</f>
        <v>1850</v>
      </c>
      <c r="O191" t="str">
        <f>IFERROR(VLOOKUP(C191,Customers!$A$2:$F$301,5,FALSE()),"")</f>
        <v>Retail</v>
      </c>
      <c r="P191">
        <f>IFERROR(VLOOKUP(C191,Customers!$A$2:$F$301,3,FALSE()),"")</f>
        <v>55</v>
      </c>
      <c r="Q191">
        <f t="shared" si="6"/>
        <v>0.59869848156182215</v>
      </c>
      <c r="R191">
        <f>IF(AND(COUNTIF($A$2:$A$2047,A191)&gt;1,COUNTIF($A$2:A191,A191)=1),1,0)</f>
        <v>0</v>
      </c>
      <c r="S191" t="b">
        <f>IFERROR(VLOOKUP(D191,Products!$A$2:$F$61,6,FALSE()),"")</f>
        <v>1</v>
      </c>
      <c r="T191" t="str">
        <f>IF(COUNTIF(Customers!$A$2:$A$301,C191)=0,"Missing","OK")</f>
        <v>OK</v>
      </c>
      <c r="U191" t="str">
        <f t="shared" si="7"/>
        <v>Bengaluru</v>
      </c>
      <c r="V191">
        <f t="shared" si="8"/>
        <v>0</v>
      </c>
    </row>
    <row r="192" spans="1:22" ht="15" customHeight="1" x14ac:dyDescent="0.35">
      <c r="A192" s="3" t="s">
        <v>448</v>
      </c>
      <c r="B192" s="4">
        <v>45538</v>
      </c>
      <c r="C192" s="3" t="s">
        <v>449</v>
      </c>
      <c r="D192" s="3" t="s">
        <v>45</v>
      </c>
      <c r="E192" s="3" t="s">
        <v>143</v>
      </c>
      <c r="F192" s="5">
        <v>3</v>
      </c>
      <c r="G192" s="5">
        <v>3160</v>
      </c>
      <c r="H192" s="5">
        <v>7.3</v>
      </c>
      <c r="I192" s="5">
        <v>8787.9599999999991</v>
      </c>
      <c r="J192" s="3" t="s">
        <v>26</v>
      </c>
      <c r="K192" s="3" t="s">
        <v>56</v>
      </c>
      <c r="L192" t="str">
        <f>IFERROR(VLOOKUP(D192,Products!$A$2:$F$61,3,FALSE()),"")</f>
        <v>Apparel</v>
      </c>
      <c r="M192" t="str">
        <f>IFERROR(VLOOKUP(E192,Sales_Reps!$A$2:$C$31,3,FALSE()),"")</f>
        <v>South</v>
      </c>
      <c r="N192">
        <f>IFERROR(VLOOKUP(D192,Products!$A$2:$F$61,4,FALSE()),"")</f>
        <v>1886</v>
      </c>
      <c r="O192" t="str">
        <f>IFERROR(VLOOKUP(C192,Customers!$A$2:$F$301,5,FALSE()),"")</f>
        <v>SMB</v>
      </c>
      <c r="P192">
        <f>IFERROR(VLOOKUP(C192,Customers!$A$2:$F$301,3,FALSE()),"")</f>
        <v>26</v>
      </c>
      <c r="Q192">
        <f t="shared" si="6"/>
        <v>0.4031645569620253</v>
      </c>
      <c r="R192">
        <f>IF(AND(COUNTIF($A$2:$A$2047,A192)&gt;1,COUNTIF($A$2:A192,A192)=1),1,0)</f>
        <v>0</v>
      </c>
      <c r="S192" t="b">
        <f>IFERROR(VLOOKUP(D192,Products!$A$2:$F$61,6,FALSE()),"")</f>
        <v>1</v>
      </c>
      <c r="T192" t="str">
        <f>IF(COUNTIF(Customers!$A$2:$A$301,C192)=0,"Missing","OK")</f>
        <v>OK</v>
      </c>
      <c r="U192" t="str">
        <f t="shared" si="7"/>
        <v>Bengaluru</v>
      </c>
      <c r="V192">
        <f t="shared" si="8"/>
        <v>0</v>
      </c>
    </row>
    <row r="193" spans="1:22" ht="15" customHeight="1" x14ac:dyDescent="0.35">
      <c r="A193" s="3" t="s">
        <v>450</v>
      </c>
      <c r="B193" s="4">
        <v>45573</v>
      </c>
      <c r="C193" s="3" t="s">
        <v>451</v>
      </c>
      <c r="D193" s="3" t="s">
        <v>184</v>
      </c>
      <c r="E193" s="3" t="s">
        <v>78</v>
      </c>
      <c r="F193" s="5">
        <v>8</v>
      </c>
      <c r="G193" s="5">
        <v>2270</v>
      </c>
      <c r="H193" s="5">
        <v>15.6</v>
      </c>
      <c r="I193" s="5">
        <v>15327.04</v>
      </c>
      <c r="J193" s="3" t="s">
        <v>26</v>
      </c>
      <c r="K193" s="3" t="s">
        <v>72</v>
      </c>
      <c r="L193" t="str">
        <f>IFERROR(VLOOKUP(D193,Products!$A$2:$F$61,3,FALSE()),"")</f>
        <v>Grocery</v>
      </c>
      <c r="M193" t="str">
        <f>IFERROR(VLOOKUP(E193,Sales_Reps!$A$2:$C$31,3,FALSE()),"")</f>
        <v>North</v>
      </c>
      <c r="N193">
        <f>IFERROR(VLOOKUP(D193,Products!$A$2:$F$61,4,FALSE()),"")</f>
        <v>1412</v>
      </c>
      <c r="O193" t="str">
        <f>IFERROR(VLOOKUP(C193,Customers!$A$2:$F$301,5,FALSE()),"")</f>
        <v>Retail</v>
      </c>
      <c r="P193">
        <f>IFERROR(VLOOKUP(C193,Customers!$A$2:$F$301,3,FALSE()),"")</f>
        <v>61</v>
      </c>
      <c r="Q193">
        <f t="shared" si="6"/>
        <v>0.37797356828193834</v>
      </c>
      <c r="R193">
        <f>IF(AND(COUNTIF($A$2:$A$2047,A193)&gt;1,COUNTIF($A$2:A193,A193)=1),1,0)</f>
        <v>0</v>
      </c>
      <c r="S193" t="b">
        <f>IFERROR(VLOOKUP(D193,Products!$A$2:$F$61,6,FALSE()),"")</f>
        <v>1</v>
      </c>
      <c r="T193" t="str">
        <f>IF(COUNTIF(Customers!$A$2:$A$301,C193)=0,"Missing","OK")</f>
        <v>OK</v>
      </c>
      <c r="U193" t="str">
        <f t="shared" si="7"/>
        <v>Hyderabad</v>
      </c>
      <c r="V193">
        <f t="shared" si="8"/>
        <v>0</v>
      </c>
    </row>
    <row r="194" spans="1:22" ht="15" customHeight="1" x14ac:dyDescent="0.35">
      <c r="A194" s="3" t="s">
        <v>452</v>
      </c>
      <c r="B194" s="4">
        <v>45483</v>
      </c>
      <c r="C194" s="3" t="s">
        <v>65</v>
      </c>
      <c r="D194" s="3" t="s">
        <v>215</v>
      </c>
      <c r="E194" s="3" t="s">
        <v>67</v>
      </c>
      <c r="F194" s="5">
        <v>8</v>
      </c>
      <c r="G194" s="5">
        <v>3020</v>
      </c>
      <c r="H194" s="5">
        <v>16.3</v>
      </c>
      <c r="I194" s="5">
        <v>20221.919999999998</v>
      </c>
      <c r="J194" s="3" t="s">
        <v>79</v>
      </c>
      <c r="K194" s="3" t="s">
        <v>27</v>
      </c>
      <c r="L194" t="str">
        <f>IFERROR(VLOOKUP(D194,Products!$A$2:$F$61,3,FALSE()),"")</f>
        <v>Beauty</v>
      </c>
      <c r="M194" t="str">
        <f>IFERROR(VLOOKUP(E194,Sales_Reps!$A$2:$C$31,3,FALSE()),"")</f>
        <v>West</v>
      </c>
      <c r="N194">
        <f>IFERROR(VLOOKUP(D194,Products!$A$2:$F$61,4,FALSE()),"")</f>
        <v>1626</v>
      </c>
      <c r="O194" t="str">
        <f>IFERROR(VLOOKUP(C194,Customers!$A$2:$F$301,5,FALSE()),"")</f>
        <v>Retail</v>
      </c>
      <c r="P194">
        <f>IFERROR(VLOOKUP(C194,Customers!$A$2:$F$301,3,FALSE()),"")</f>
        <v>56</v>
      </c>
      <c r="Q194">
        <f t="shared" ref="Q194:Q257" si="9">IFERROR((G194-N194)/G194,"")</f>
        <v>0.46158940397350995</v>
      </c>
      <c r="R194">
        <f>IF(AND(COUNTIF($A$2:$A$2047,A194)&gt;1,COUNTIF($A$2:A194,A194)=1),1,0)</f>
        <v>0</v>
      </c>
      <c r="S194" t="b">
        <f>IFERROR(VLOOKUP(D194,Products!$A$2:$F$61,6,FALSE()),"")</f>
        <v>1</v>
      </c>
      <c r="T194" t="str">
        <f>IF(COUNTIF(Customers!$A$2:$A$301,C194)=0,"Missing","OK")</f>
        <v>OK</v>
      </c>
      <c r="U194" t="str">
        <f t="shared" ref="U194:U257" si="10">IF(K194="","",PROPER(TRIM(K194)))</f>
        <v>Pune</v>
      </c>
      <c r="V194">
        <f t="shared" ref="V194:V257" si="11">IF(AND(U194="Bengaluru",L194="Grocery"),I194,0)</f>
        <v>0</v>
      </c>
    </row>
    <row r="195" spans="1:22" ht="15" customHeight="1" x14ac:dyDescent="0.35">
      <c r="A195" s="3" t="s">
        <v>453</v>
      </c>
      <c r="B195" s="4">
        <v>45617</v>
      </c>
      <c r="C195" s="3" t="s">
        <v>92</v>
      </c>
      <c r="D195" s="3" t="s">
        <v>454</v>
      </c>
      <c r="E195" s="3" t="s">
        <v>109</v>
      </c>
      <c r="F195" s="5">
        <v>7</v>
      </c>
      <c r="G195" s="5">
        <v>6940</v>
      </c>
      <c r="H195" s="5">
        <v>8.5</v>
      </c>
      <c r="I195" s="5">
        <v>44450.7</v>
      </c>
      <c r="J195" s="3" t="s">
        <v>26</v>
      </c>
      <c r="K195" s="3" t="s">
        <v>56</v>
      </c>
      <c r="L195" t="str">
        <f>IFERROR(VLOOKUP(D195,Products!$A$2:$F$61,3,FALSE()),"")</f>
        <v>Sports</v>
      </c>
      <c r="M195" t="str">
        <f>IFERROR(VLOOKUP(E195,Sales_Reps!$A$2:$C$31,3,FALSE()),"")</f>
        <v>West</v>
      </c>
      <c r="N195">
        <f>IFERROR(VLOOKUP(D195,Products!$A$2:$F$61,4,FALSE()),"")</f>
        <v>2827</v>
      </c>
      <c r="O195" t="str">
        <f>IFERROR(VLOOKUP(C195,Customers!$A$2:$F$301,5,FALSE()),"")</f>
        <v>SMB</v>
      </c>
      <c r="P195">
        <f>IFERROR(VLOOKUP(C195,Customers!$A$2:$F$301,3,FALSE()),"")</f>
        <v>46</v>
      </c>
      <c r="Q195">
        <f t="shared" si="9"/>
        <v>0.5926512968299712</v>
      </c>
      <c r="R195">
        <f>IF(AND(COUNTIF($A$2:$A$2047,A195)&gt;1,COUNTIF($A$2:A195,A195)=1),1,0)</f>
        <v>0</v>
      </c>
      <c r="S195" t="b">
        <f>IFERROR(VLOOKUP(D195,Products!$A$2:$F$61,6,FALSE()),"")</f>
        <v>1</v>
      </c>
      <c r="T195" t="str">
        <f>IF(COUNTIF(Customers!$A$2:$A$301,C195)=0,"Missing","OK")</f>
        <v>OK</v>
      </c>
      <c r="U195" t="str">
        <f t="shared" si="10"/>
        <v>Bengaluru</v>
      </c>
      <c r="V195">
        <f t="shared" si="11"/>
        <v>0</v>
      </c>
    </row>
    <row r="196" spans="1:22" ht="15" customHeight="1" x14ac:dyDescent="0.35">
      <c r="A196" s="3" t="s">
        <v>455</v>
      </c>
      <c r="B196" s="4">
        <v>45546</v>
      </c>
      <c r="C196" s="3" t="s">
        <v>426</v>
      </c>
      <c r="D196" s="3" t="s">
        <v>198</v>
      </c>
      <c r="E196" s="3" t="s">
        <v>264</v>
      </c>
      <c r="F196" s="5">
        <v>8</v>
      </c>
      <c r="G196" s="5">
        <v>1540</v>
      </c>
      <c r="H196" s="5">
        <v>21</v>
      </c>
      <c r="I196" s="5">
        <v>9732.7999999999993</v>
      </c>
      <c r="J196" s="3" t="s">
        <v>26</v>
      </c>
      <c r="K196" s="3" t="s">
        <v>27</v>
      </c>
      <c r="L196" t="str">
        <f>IFERROR(VLOOKUP(D196,Products!$A$2:$F$61,3,FALSE()),"")</f>
        <v>Beauty</v>
      </c>
      <c r="M196" t="str">
        <f>IFERROR(VLOOKUP(E196,Sales_Reps!$A$2:$C$31,3,FALSE()),"")</f>
        <v>South</v>
      </c>
      <c r="N196">
        <f>IFERROR(VLOOKUP(D196,Products!$A$2:$F$61,4,FALSE()),"")</f>
        <v>647</v>
      </c>
      <c r="O196" t="str">
        <f>IFERROR(VLOOKUP(C196,Customers!$A$2:$F$301,5,FALSE()),"")</f>
        <v>Corporate</v>
      </c>
      <c r="P196">
        <f>IFERROR(VLOOKUP(C196,Customers!$A$2:$F$301,3,FALSE()),"")</f>
        <v>29</v>
      </c>
      <c r="Q196">
        <f t="shared" si="9"/>
        <v>0.57987012987012987</v>
      </c>
      <c r="R196">
        <f>IF(AND(COUNTIF($A$2:$A$2047,A196)&gt;1,COUNTIF($A$2:A196,A196)=1),1,0)</f>
        <v>0</v>
      </c>
      <c r="S196" t="b">
        <f>IFERROR(VLOOKUP(D196,Products!$A$2:$F$61,6,FALSE()),"")</f>
        <v>0</v>
      </c>
      <c r="T196" t="str">
        <f>IF(COUNTIF(Customers!$A$2:$A$301,C196)=0,"Missing","OK")</f>
        <v>OK</v>
      </c>
      <c r="U196" t="str">
        <f t="shared" si="10"/>
        <v>Pune</v>
      </c>
      <c r="V196">
        <f t="shared" si="11"/>
        <v>0</v>
      </c>
    </row>
    <row r="197" spans="1:22" ht="15" customHeight="1" x14ac:dyDescent="0.35">
      <c r="A197" s="3" t="s">
        <v>456</v>
      </c>
      <c r="B197" s="4">
        <v>45380</v>
      </c>
      <c r="C197" s="3" t="s">
        <v>457</v>
      </c>
      <c r="D197" s="3" t="s">
        <v>106</v>
      </c>
      <c r="E197" s="3" t="s">
        <v>168</v>
      </c>
      <c r="F197" s="5">
        <v>6</v>
      </c>
      <c r="G197" s="5">
        <v>2480</v>
      </c>
      <c r="H197" s="5">
        <v>27.9</v>
      </c>
      <c r="I197" s="5">
        <v>10728.48</v>
      </c>
      <c r="J197" s="3" t="s">
        <v>26</v>
      </c>
      <c r="K197" s="3" t="s">
        <v>27</v>
      </c>
      <c r="L197" t="str">
        <f>IFERROR(VLOOKUP(D197,Products!$A$2:$F$61,3,FALSE()),"")</f>
        <v>Apparel</v>
      </c>
      <c r="M197" t="str">
        <f>IFERROR(VLOOKUP(E197,Sales_Reps!$A$2:$C$31,3,FALSE()),"")</f>
        <v>West</v>
      </c>
      <c r="N197">
        <f>IFERROR(VLOOKUP(D197,Products!$A$2:$F$61,4,FALSE()),"")</f>
        <v>1173</v>
      </c>
      <c r="O197" t="str">
        <f>IFERROR(VLOOKUP(C197,Customers!$A$2:$F$301,5,FALSE()),"")</f>
        <v>Retail</v>
      </c>
      <c r="P197">
        <f>IFERROR(VLOOKUP(C197,Customers!$A$2:$F$301,3,FALSE()),"")</f>
        <v>49</v>
      </c>
      <c r="Q197">
        <f t="shared" si="9"/>
        <v>0.52701612903225803</v>
      </c>
      <c r="R197">
        <f>IF(AND(COUNTIF($A$2:$A$2047,A197)&gt;1,COUNTIF($A$2:A197,A197)=1),1,0)</f>
        <v>0</v>
      </c>
      <c r="S197" t="b">
        <f>IFERROR(VLOOKUP(D197,Products!$A$2:$F$61,6,FALSE()),"")</f>
        <v>1</v>
      </c>
      <c r="T197" t="str">
        <f>IF(COUNTIF(Customers!$A$2:$A$301,C197)=0,"Missing","OK")</f>
        <v>OK</v>
      </c>
      <c r="U197" t="str">
        <f t="shared" si="10"/>
        <v>Pune</v>
      </c>
      <c r="V197">
        <f t="shared" si="11"/>
        <v>0</v>
      </c>
    </row>
    <row r="198" spans="1:22" ht="15" customHeight="1" x14ac:dyDescent="0.35">
      <c r="A198" s="3" t="s">
        <v>458</v>
      </c>
      <c r="B198" s="4">
        <v>45320</v>
      </c>
      <c r="C198" s="3" t="s">
        <v>459</v>
      </c>
      <c r="D198" s="3" t="s">
        <v>86</v>
      </c>
      <c r="E198" s="3" t="s">
        <v>224</v>
      </c>
      <c r="F198" s="5">
        <v>4</v>
      </c>
      <c r="G198" s="5">
        <v>190</v>
      </c>
      <c r="H198" s="5">
        <v>21.5</v>
      </c>
      <c r="I198" s="5">
        <v>596.6</v>
      </c>
      <c r="J198" s="3" t="s">
        <v>26</v>
      </c>
      <c r="K198" s="3" t="s">
        <v>51</v>
      </c>
      <c r="L198" t="str">
        <f>IFERROR(VLOOKUP(D198,Products!$A$2:$F$61,3,FALSE()),"")</f>
        <v>Sports</v>
      </c>
      <c r="M198" t="str">
        <f>IFERROR(VLOOKUP(E198,Sales_Reps!$A$2:$C$31,3,FALSE()),"")</f>
        <v>East</v>
      </c>
      <c r="N198">
        <f>IFERROR(VLOOKUP(D198,Products!$A$2:$F$61,4,FALSE()),"")</f>
        <v>147</v>
      </c>
      <c r="O198" t="str">
        <f>IFERROR(VLOOKUP(C198,Customers!$A$2:$F$301,5,FALSE()),"")</f>
        <v>Corporate</v>
      </c>
      <c r="P198">
        <f>IFERROR(VLOOKUP(C198,Customers!$A$2:$F$301,3,FALSE()),"")</f>
        <v>35</v>
      </c>
      <c r="Q198">
        <f t="shared" si="9"/>
        <v>0.22631578947368422</v>
      </c>
      <c r="R198">
        <f>IF(AND(COUNTIF($A$2:$A$2047,A198)&gt;1,COUNTIF($A$2:A198,A198)=1),1,0)</f>
        <v>0</v>
      </c>
      <c r="S198" t="b">
        <f>IFERROR(VLOOKUP(D198,Products!$A$2:$F$61,6,FALSE()),"")</f>
        <v>1</v>
      </c>
      <c r="T198" t="str">
        <f>IF(COUNTIF(Customers!$A$2:$A$301,C198)=0,"Missing","OK")</f>
        <v>OK</v>
      </c>
      <c r="U198" t="str">
        <f t="shared" si="10"/>
        <v>Mumbai</v>
      </c>
      <c r="V198">
        <f t="shared" si="11"/>
        <v>0</v>
      </c>
    </row>
    <row r="199" spans="1:22" ht="15" customHeight="1" x14ac:dyDescent="0.35">
      <c r="A199" s="3" t="s">
        <v>460</v>
      </c>
      <c r="B199" s="4">
        <v>45355</v>
      </c>
      <c r="C199" s="3" t="s">
        <v>461</v>
      </c>
      <c r="D199" s="3" t="s">
        <v>134</v>
      </c>
      <c r="E199" s="3" t="s">
        <v>37</v>
      </c>
      <c r="F199" s="5">
        <v>1</v>
      </c>
      <c r="G199" s="5">
        <v>2860</v>
      </c>
      <c r="H199" s="5">
        <v>15.3</v>
      </c>
      <c r="I199" s="5">
        <v>2422.42</v>
      </c>
      <c r="J199" s="3" t="s">
        <v>26</v>
      </c>
      <c r="K199" s="3" t="s">
        <v>38</v>
      </c>
      <c r="L199" t="str">
        <f>IFERROR(VLOOKUP(D199,Products!$A$2:$F$61,3,FALSE()),"")</f>
        <v>Sports</v>
      </c>
      <c r="M199" t="str">
        <f>IFERROR(VLOOKUP(E199,Sales_Reps!$A$2:$C$31,3,FALSE()),"")</f>
        <v>South</v>
      </c>
      <c r="N199">
        <f>IFERROR(VLOOKUP(D199,Products!$A$2:$F$61,4,FALSE()),"")</f>
        <v>2028</v>
      </c>
      <c r="O199" t="str">
        <f>IFERROR(VLOOKUP(C199,Customers!$A$2:$F$301,5,FALSE()),"")</f>
        <v>SMB</v>
      </c>
      <c r="P199">
        <f>IFERROR(VLOOKUP(C199,Customers!$A$2:$F$301,3,FALSE()),"")</f>
        <v>55</v>
      </c>
      <c r="Q199">
        <f t="shared" si="9"/>
        <v>0.29090909090909089</v>
      </c>
      <c r="R199">
        <f>IF(AND(COUNTIF($A$2:$A$2047,A199)&gt;1,COUNTIF($A$2:A199,A199)=1),1,0)</f>
        <v>0</v>
      </c>
      <c r="S199" t="b">
        <f>IFERROR(VLOOKUP(D199,Products!$A$2:$F$61,6,FALSE()),"")</f>
        <v>1</v>
      </c>
      <c r="T199" t="str">
        <f>IF(COUNTIF(Customers!$A$2:$A$301,C199)=0,"Missing","OK")</f>
        <v>OK</v>
      </c>
      <c r="U199" t="str">
        <f t="shared" si="10"/>
        <v>Delhi</v>
      </c>
      <c r="V199">
        <f t="shared" si="11"/>
        <v>0</v>
      </c>
    </row>
    <row r="200" spans="1:22" ht="15" customHeight="1" x14ac:dyDescent="0.35">
      <c r="A200" s="3" t="s">
        <v>462</v>
      </c>
      <c r="B200" s="4">
        <v>45350</v>
      </c>
      <c r="C200" s="3" t="s">
        <v>463</v>
      </c>
      <c r="D200" s="3" t="s">
        <v>294</v>
      </c>
      <c r="E200" s="3" t="s">
        <v>127</v>
      </c>
      <c r="F200" s="5">
        <v>4</v>
      </c>
      <c r="G200" s="5">
        <v>2510</v>
      </c>
      <c r="H200" s="5">
        <v>10.1</v>
      </c>
      <c r="I200" s="5">
        <v>9025.9599999999991</v>
      </c>
      <c r="J200" s="3" t="s">
        <v>83</v>
      </c>
      <c r="K200" s="3" t="s">
        <v>51</v>
      </c>
      <c r="L200" t="str">
        <f>IFERROR(VLOOKUP(D200,Products!$A$2:$F$61,3,FALSE()),"")</f>
        <v>Apparel</v>
      </c>
      <c r="M200" t="str">
        <f>IFERROR(VLOOKUP(E200,Sales_Reps!$A$2:$C$31,3,FALSE()),"")</f>
        <v>South</v>
      </c>
      <c r="N200">
        <f>IFERROR(VLOOKUP(D200,Products!$A$2:$F$61,4,FALSE()),"")</f>
        <v>1075</v>
      </c>
      <c r="O200" t="str">
        <f>IFERROR(VLOOKUP(C200,Customers!$A$2:$F$301,5,FALSE()),"")</f>
        <v>Corporate</v>
      </c>
      <c r="P200">
        <f>IFERROR(VLOOKUP(C200,Customers!$A$2:$F$301,3,FALSE()),"")</f>
        <v>55</v>
      </c>
      <c r="Q200">
        <f t="shared" si="9"/>
        <v>0.57171314741035861</v>
      </c>
      <c r="R200">
        <f>IF(AND(COUNTIF($A$2:$A$2047,A200)&gt;1,COUNTIF($A$2:A200,A200)=1),1,0)</f>
        <v>0</v>
      </c>
      <c r="S200" t="b">
        <f>IFERROR(VLOOKUP(D200,Products!$A$2:$F$61,6,FALSE()),"")</f>
        <v>0</v>
      </c>
      <c r="T200" t="str">
        <f>IF(COUNTIF(Customers!$A$2:$A$301,C200)=0,"Missing","OK")</f>
        <v>OK</v>
      </c>
      <c r="U200" t="str">
        <f t="shared" si="10"/>
        <v>Mumbai</v>
      </c>
      <c r="V200">
        <f t="shared" si="11"/>
        <v>0</v>
      </c>
    </row>
    <row r="201" spans="1:22" ht="15" customHeight="1" x14ac:dyDescent="0.35">
      <c r="A201" s="3" t="s">
        <v>464</v>
      </c>
      <c r="B201" s="4">
        <v>45587</v>
      </c>
      <c r="C201" s="3" t="s">
        <v>324</v>
      </c>
      <c r="D201" s="3" t="s">
        <v>126</v>
      </c>
      <c r="E201" s="3" t="s">
        <v>87</v>
      </c>
      <c r="F201" s="5">
        <v>2</v>
      </c>
      <c r="G201" s="5">
        <v>3570</v>
      </c>
      <c r="H201" s="5">
        <v>11.6</v>
      </c>
      <c r="I201" s="5">
        <v>6311.76</v>
      </c>
      <c r="J201" s="3" t="s">
        <v>32</v>
      </c>
      <c r="K201" s="3" t="s">
        <v>56</v>
      </c>
      <c r="L201" t="str">
        <f>IFERROR(VLOOKUP(D201,Products!$A$2:$F$61,3,FALSE()),"")</f>
        <v>Electronics</v>
      </c>
      <c r="M201" t="str">
        <f>IFERROR(VLOOKUP(E201,Sales_Reps!$A$2:$C$31,3,FALSE()),"")</f>
        <v>North</v>
      </c>
      <c r="N201">
        <f>IFERROR(VLOOKUP(D201,Products!$A$2:$F$61,4,FALSE()),"")</f>
        <v>1665</v>
      </c>
      <c r="O201" t="str">
        <f>IFERROR(VLOOKUP(C201,Customers!$A$2:$F$301,5,FALSE()),"")</f>
        <v>Retail</v>
      </c>
      <c r="P201">
        <f>IFERROR(VLOOKUP(C201,Customers!$A$2:$F$301,3,FALSE()),"")</f>
        <v>23</v>
      </c>
      <c r="Q201">
        <f t="shared" si="9"/>
        <v>0.53361344537815125</v>
      </c>
      <c r="R201">
        <f>IF(AND(COUNTIF($A$2:$A$2047,A201)&gt;1,COUNTIF($A$2:A201,A201)=1),1,0)</f>
        <v>0</v>
      </c>
      <c r="S201" t="b">
        <f>IFERROR(VLOOKUP(D201,Products!$A$2:$F$61,6,FALSE()),"")</f>
        <v>1</v>
      </c>
      <c r="T201" t="str">
        <f>IF(COUNTIF(Customers!$A$2:$A$301,C201)=0,"Missing","OK")</f>
        <v>OK</v>
      </c>
      <c r="U201" t="str">
        <f t="shared" si="10"/>
        <v>Bengaluru</v>
      </c>
      <c r="V201">
        <f t="shared" si="11"/>
        <v>0</v>
      </c>
    </row>
    <row r="202" spans="1:22" ht="15" customHeight="1" x14ac:dyDescent="0.35">
      <c r="A202" s="3" t="s">
        <v>465</v>
      </c>
      <c r="B202" s="4">
        <v>45344</v>
      </c>
      <c r="C202" s="3" t="s">
        <v>429</v>
      </c>
      <c r="D202" s="3" t="s">
        <v>165</v>
      </c>
      <c r="E202" s="3" t="s">
        <v>285</v>
      </c>
      <c r="F202" s="5">
        <v>7</v>
      </c>
      <c r="G202" s="5">
        <v>3730</v>
      </c>
      <c r="H202" s="5">
        <v>2.5</v>
      </c>
      <c r="I202" s="5">
        <v>25457.25</v>
      </c>
      <c r="J202" s="3" t="s">
        <v>79</v>
      </c>
      <c r="K202" s="3" t="s">
        <v>38</v>
      </c>
      <c r="L202" t="str">
        <f>IFERROR(VLOOKUP(D202,Products!$A$2:$F$61,3,FALSE()),"")</f>
        <v>Home</v>
      </c>
      <c r="M202" t="str">
        <f>IFERROR(VLOOKUP(E202,Sales_Reps!$A$2:$C$31,3,FALSE()),"")</f>
        <v>South</v>
      </c>
      <c r="N202">
        <f>IFERROR(VLOOKUP(D202,Products!$A$2:$F$61,4,FALSE()),"")</f>
        <v>2135</v>
      </c>
      <c r="O202" t="str">
        <f>IFERROR(VLOOKUP(C202,Customers!$A$2:$F$301,5,FALSE()),"")</f>
        <v>Retail</v>
      </c>
      <c r="P202">
        <f>IFERROR(VLOOKUP(C202,Customers!$A$2:$F$301,3,FALSE()),"")</f>
        <v>59</v>
      </c>
      <c r="Q202">
        <f t="shared" si="9"/>
        <v>0.42761394101876676</v>
      </c>
      <c r="R202">
        <f>IF(AND(COUNTIF($A$2:$A$2047,A202)&gt;1,COUNTIF($A$2:A202,A202)=1),1,0)</f>
        <v>0</v>
      </c>
      <c r="S202" t="b">
        <f>IFERROR(VLOOKUP(D202,Products!$A$2:$F$61,6,FALSE()),"")</f>
        <v>1</v>
      </c>
      <c r="T202" t="str">
        <f>IF(COUNTIF(Customers!$A$2:$A$301,C202)=0,"Missing","OK")</f>
        <v>OK</v>
      </c>
      <c r="U202" t="str">
        <f t="shared" si="10"/>
        <v>Delhi</v>
      </c>
      <c r="V202">
        <f t="shared" si="11"/>
        <v>0</v>
      </c>
    </row>
    <row r="203" spans="1:22" ht="15" customHeight="1" x14ac:dyDescent="0.35">
      <c r="A203" s="3" t="s">
        <v>466</v>
      </c>
      <c r="B203" s="4">
        <v>45492</v>
      </c>
      <c r="C203" s="3" t="s">
        <v>467</v>
      </c>
      <c r="D203" s="3" t="s">
        <v>49</v>
      </c>
      <c r="E203" s="3" t="s">
        <v>109</v>
      </c>
      <c r="F203" s="5">
        <v>6</v>
      </c>
      <c r="G203" s="5">
        <v>370</v>
      </c>
      <c r="H203" s="5">
        <v>9.9</v>
      </c>
      <c r="I203" s="5">
        <v>2000.22</v>
      </c>
      <c r="J203" s="3" t="s">
        <v>26</v>
      </c>
      <c r="K203" s="3" t="s">
        <v>51</v>
      </c>
      <c r="L203" t="str">
        <f>IFERROR(VLOOKUP(D203,Products!$A$2:$F$61,3,FALSE()),"")</f>
        <v>Home</v>
      </c>
      <c r="M203" t="str">
        <f>IFERROR(VLOOKUP(E203,Sales_Reps!$A$2:$C$31,3,FALSE()),"")</f>
        <v>West</v>
      </c>
      <c r="N203">
        <f>IFERROR(VLOOKUP(D203,Products!$A$2:$F$61,4,FALSE()),"")</f>
        <v>288</v>
      </c>
      <c r="O203" t="str">
        <f>IFERROR(VLOOKUP(C203,Customers!$A$2:$F$301,5,FALSE()),"")</f>
        <v>Retail</v>
      </c>
      <c r="P203">
        <f>IFERROR(VLOOKUP(C203,Customers!$A$2:$F$301,3,FALSE()),"")</f>
        <v>44</v>
      </c>
      <c r="Q203">
        <f t="shared" si="9"/>
        <v>0.22162162162162163</v>
      </c>
      <c r="R203">
        <f>IF(AND(COUNTIF($A$2:$A$2047,A203)&gt;1,COUNTIF($A$2:A203,A203)=1),1,0)</f>
        <v>0</v>
      </c>
      <c r="S203" t="b">
        <f>IFERROR(VLOOKUP(D203,Products!$A$2:$F$61,6,FALSE()),"")</f>
        <v>1</v>
      </c>
      <c r="T203" t="str">
        <f>IF(COUNTIF(Customers!$A$2:$A$301,C203)=0,"Missing","OK")</f>
        <v>OK</v>
      </c>
      <c r="U203" t="str">
        <f t="shared" si="10"/>
        <v>Mumbai</v>
      </c>
      <c r="V203">
        <f t="shared" si="11"/>
        <v>0</v>
      </c>
    </row>
    <row r="204" spans="1:22" ht="15" customHeight="1" x14ac:dyDescent="0.35">
      <c r="A204" s="3" t="s">
        <v>468</v>
      </c>
      <c r="B204" s="4">
        <v>45490</v>
      </c>
      <c r="C204" s="3" t="s">
        <v>469</v>
      </c>
      <c r="D204" s="3" t="s">
        <v>218</v>
      </c>
      <c r="E204" s="3" t="s">
        <v>37</v>
      </c>
      <c r="F204" s="5">
        <v>4</v>
      </c>
      <c r="G204" s="5">
        <v>2660</v>
      </c>
      <c r="H204" s="5">
        <v>29.7</v>
      </c>
      <c r="I204" s="5">
        <v>7479.92</v>
      </c>
      <c r="J204" s="3" t="s">
        <v>26</v>
      </c>
      <c r="K204" s="3" t="s">
        <v>38</v>
      </c>
      <c r="L204" t="str">
        <f>IFERROR(VLOOKUP(D204,Products!$A$2:$F$61,3,FALSE()),"")</f>
        <v>Electronics</v>
      </c>
      <c r="M204" t="str">
        <f>IFERROR(VLOOKUP(E204,Sales_Reps!$A$2:$C$31,3,FALSE()),"")</f>
        <v>South</v>
      </c>
      <c r="N204">
        <f>IFERROR(VLOOKUP(D204,Products!$A$2:$F$61,4,FALSE()),"")</f>
        <v>1259</v>
      </c>
      <c r="O204" t="str">
        <f>IFERROR(VLOOKUP(C204,Customers!$A$2:$F$301,5,FALSE()),"")</f>
        <v>Retail</v>
      </c>
      <c r="P204">
        <f>IFERROR(VLOOKUP(C204,Customers!$A$2:$F$301,3,FALSE()),"")</f>
        <v>45</v>
      </c>
      <c r="Q204">
        <f t="shared" si="9"/>
        <v>0.52669172932330832</v>
      </c>
      <c r="R204">
        <f>IF(AND(COUNTIF($A$2:$A$2047,A204)&gt;1,COUNTIF($A$2:A204,A204)=1),1,0)</f>
        <v>0</v>
      </c>
      <c r="S204" t="b">
        <f>IFERROR(VLOOKUP(D204,Products!$A$2:$F$61,6,FALSE()),"")</f>
        <v>0</v>
      </c>
      <c r="T204" t="str">
        <f>IF(COUNTIF(Customers!$A$2:$A$301,C204)=0,"Missing","OK")</f>
        <v>OK</v>
      </c>
      <c r="U204" t="str">
        <f t="shared" si="10"/>
        <v>Delhi</v>
      </c>
      <c r="V204">
        <f t="shared" si="11"/>
        <v>0</v>
      </c>
    </row>
    <row r="205" spans="1:22" ht="15" customHeight="1" x14ac:dyDescent="0.35">
      <c r="A205" s="3" t="s">
        <v>470</v>
      </c>
      <c r="B205" s="4">
        <v>45538</v>
      </c>
      <c r="C205" s="3" t="s">
        <v>324</v>
      </c>
      <c r="D205" s="3" t="s">
        <v>139</v>
      </c>
      <c r="E205" s="3" t="s">
        <v>127</v>
      </c>
      <c r="F205" s="5">
        <v>6</v>
      </c>
      <c r="G205" s="5">
        <v>2760</v>
      </c>
      <c r="H205" s="5">
        <v>0.9</v>
      </c>
      <c r="I205" s="5">
        <v>16410.96</v>
      </c>
      <c r="J205" s="3" t="s">
        <v>26</v>
      </c>
      <c r="K205" s="3" t="s">
        <v>56</v>
      </c>
      <c r="L205" t="str">
        <f>IFERROR(VLOOKUP(D205,Products!$A$2:$F$61,3,FALSE()),"")</f>
        <v>Grocery</v>
      </c>
      <c r="M205" t="str">
        <f>IFERROR(VLOOKUP(E205,Sales_Reps!$A$2:$C$31,3,FALSE()),"")</f>
        <v>South</v>
      </c>
      <c r="N205">
        <f>IFERROR(VLOOKUP(D205,Products!$A$2:$F$61,4,FALSE()),"")</f>
        <v>1435</v>
      </c>
      <c r="O205" t="str">
        <f>IFERROR(VLOOKUP(C205,Customers!$A$2:$F$301,5,FALSE()),"")</f>
        <v>Retail</v>
      </c>
      <c r="P205">
        <f>IFERROR(VLOOKUP(C205,Customers!$A$2:$F$301,3,FALSE()),"")</f>
        <v>23</v>
      </c>
      <c r="Q205">
        <f t="shared" si="9"/>
        <v>0.48007246376811596</v>
      </c>
      <c r="R205">
        <f>IF(AND(COUNTIF($A$2:$A$2047,A205)&gt;1,COUNTIF($A$2:A205,A205)=1),1,0)</f>
        <v>0</v>
      </c>
      <c r="S205" t="b">
        <f>IFERROR(VLOOKUP(D205,Products!$A$2:$F$61,6,FALSE()),"")</f>
        <v>1</v>
      </c>
      <c r="T205" t="str">
        <f>IF(COUNTIF(Customers!$A$2:$A$301,C205)=0,"Missing","OK")</f>
        <v>OK</v>
      </c>
      <c r="U205" t="str">
        <f t="shared" si="10"/>
        <v>Bengaluru</v>
      </c>
      <c r="V205">
        <f t="shared" si="11"/>
        <v>16410.96</v>
      </c>
    </row>
    <row r="206" spans="1:22" ht="15" customHeight="1" x14ac:dyDescent="0.35">
      <c r="A206" s="3" t="s">
        <v>471</v>
      </c>
      <c r="B206" s="4">
        <v>45591</v>
      </c>
      <c r="C206" s="3" t="s">
        <v>472</v>
      </c>
      <c r="D206" s="3" t="s">
        <v>118</v>
      </c>
      <c r="E206" s="3" t="s">
        <v>143</v>
      </c>
      <c r="F206" s="5">
        <v>6</v>
      </c>
      <c r="G206" s="5">
        <v>3350</v>
      </c>
      <c r="H206" s="5">
        <v>17.899999999999999</v>
      </c>
      <c r="I206" s="5">
        <v>16502.099999999999</v>
      </c>
      <c r="J206" s="3" t="s">
        <v>26</v>
      </c>
      <c r="K206" s="3" t="s">
        <v>38</v>
      </c>
      <c r="L206" t="str">
        <f>IFERROR(VLOOKUP(D206,Products!$A$2:$F$61,3,FALSE()),"")</f>
        <v>Beauty</v>
      </c>
      <c r="M206" t="str">
        <f>IFERROR(VLOOKUP(E206,Sales_Reps!$A$2:$C$31,3,FALSE()),"")</f>
        <v>South</v>
      </c>
      <c r="N206">
        <f>IFERROR(VLOOKUP(D206,Products!$A$2:$F$61,4,FALSE()),"")</f>
        <v>1728</v>
      </c>
      <c r="O206" t="str">
        <f>IFERROR(VLOOKUP(C206,Customers!$A$2:$F$301,5,FALSE()),"")</f>
        <v>SMB</v>
      </c>
      <c r="P206">
        <f>IFERROR(VLOOKUP(C206,Customers!$A$2:$F$301,3,FALSE()),"")</f>
        <v>48</v>
      </c>
      <c r="Q206">
        <f t="shared" si="9"/>
        <v>0.48417910447761192</v>
      </c>
      <c r="R206">
        <f>IF(AND(COUNTIF($A$2:$A$2047,A206)&gt;1,COUNTIF($A$2:A206,A206)=1),1,0)</f>
        <v>0</v>
      </c>
      <c r="S206" t="b">
        <f>IFERROR(VLOOKUP(D206,Products!$A$2:$F$61,6,FALSE()),"")</f>
        <v>1</v>
      </c>
      <c r="T206" t="str">
        <f>IF(COUNTIF(Customers!$A$2:$A$301,C206)=0,"Missing","OK")</f>
        <v>OK</v>
      </c>
      <c r="U206" t="str">
        <f t="shared" si="10"/>
        <v>Delhi</v>
      </c>
      <c r="V206">
        <f t="shared" si="11"/>
        <v>0</v>
      </c>
    </row>
    <row r="207" spans="1:22" ht="15" customHeight="1" x14ac:dyDescent="0.35">
      <c r="A207" s="3" t="s">
        <v>473</v>
      </c>
      <c r="B207" s="4">
        <v>45319</v>
      </c>
      <c r="C207" s="3" t="s">
        <v>379</v>
      </c>
      <c r="D207" s="3" t="s">
        <v>221</v>
      </c>
      <c r="E207" s="3" t="s">
        <v>177</v>
      </c>
      <c r="F207" s="5">
        <v>8</v>
      </c>
      <c r="G207" s="5">
        <v>300</v>
      </c>
      <c r="H207" s="5">
        <v>20.6</v>
      </c>
      <c r="I207" s="5">
        <v>1905.6</v>
      </c>
      <c r="J207" s="3" t="s">
        <v>83</v>
      </c>
      <c r="K207" s="3" t="s">
        <v>27</v>
      </c>
      <c r="L207" t="str">
        <f>IFERROR(VLOOKUP(D207,Products!$A$2:$F$61,3,FALSE()),"")</f>
        <v>Electronics</v>
      </c>
      <c r="M207" t="str">
        <f>IFERROR(VLOOKUP(E207,Sales_Reps!$A$2:$C$31,3,FALSE()),"")</f>
        <v>East</v>
      </c>
      <c r="N207">
        <f>IFERROR(VLOOKUP(D207,Products!$A$2:$F$61,4,FALSE()),"")</f>
        <v>128</v>
      </c>
      <c r="O207" t="str">
        <f>IFERROR(VLOOKUP(C207,Customers!$A$2:$F$301,5,FALSE()),"")</f>
        <v>SMB</v>
      </c>
      <c r="P207">
        <f>IFERROR(VLOOKUP(C207,Customers!$A$2:$F$301,3,FALSE()),"")</f>
        <v>30</v>
      </c>
      <c r="Q207">
        <f t="shared" si="9"/>
        <v>0.57333333333333336</v>
      </c>
      <c r="R207">
        <f>IF(AND(COUNTIF($A$2:$A$2047,A207)&gt;1,COUNTIF($A$2:A207,A207)=1),1,0)</f>
        <v>0</v>
      </c>
      <c r="S207" t="b">
        <f>IFERROR(VLOOKUP(D207,Products!$A$2:$F$61,6,FALSE()),"")</f>
        <v>1</v>
      </c>
      <c r="T207" t="str">
        <f>IF(COUNTIF(Customers!$A$2:$A$301,C207)=0,"Missing","OK")</f>
        <v>OK</v>
      </c>
      <c r="U207" t="str">
        <f t="shared" si="10"/>
        <v>Pune</v>
      </c>
      <c r="V207">
        <f t="shared" si="11"/>
        <v>0</v>
      </c>
    </row>
    <row r="208" spans="1:22" ht="15" customHeight="1" x14ac:dyDescent="0.35">
      <c r="A208" s="3" t="s">
        <v>474</v>
      </c>
      <c r="B208" s="4">
        <v>45527</v>
      </c>
      <c r="C208" s="3" t="s">
        <v>467</v>
      </c>
      <c r="D208" s="3" t="s">
        <v>112</v>
      </c>
      <c r="E208" s="3" t="s">
        <v>236</v>
      </c>
      <c r="F208" s="5">
        <v>5</v>
      </c>
      <c r="G208" s="5">
        <v>2720</v>
      </c>
      <c r="H208" s="5">
        <v>17.100000000000001</v>
      </c>
      <c r="I208" s="5">
        <v>11274.4</v>
      </c>
      <c r="J208" s="3" t="s">
        <v>32</v>
      </c>
      <c r="K208" s="3" t="s">
        <v>51</v>
      </c>
      <c r="L208" t="str">
        <f>IFERROR(VLOOKUP(D208,Products!$A$2:$F$61,3,FALSE()),"")</f>
        <v>Apparel</v>
      </c>
      <c r="M208" t="str">
        <f>IFERROR(VLOOKUP(E208,Sales_Reps!$A$2:$C$31,3,FALSE()),"")</f>
        <v>North</v>
      </c>
      <c r="N208">
        <f>IFERROR(VLOOKUP(D208,Products!$A$2:$F$61,4,FALSE()),"")</f>
        <v>1962</v>
      </c>
      <c r="O208" t="str">
        <f>IFERROR(VLOOKUP(C208,Customers!$A$2:$F$301,5,FALSE()),"")</f>
        <v>Retail</v>
      </c>
      <c r="P208">
        <f>IFERROR(VLOOKUP(C208,Customers!$A$2:$F$301,3,FALSE()),"")</f>
        <v>44</v>
      </c>
      <c r="Q208">
        <f t="shared" si="9"/>
        <v>0.2786764705882353</v>
      </c>
      <c r="R208">
        <f>IF(AND(COUNTIF($A$2:$A$2047,A208)&gt;1,COUNTIF($A$2:A208,A208)=1),1,0)</f>
        <v>0</v>
      </c>
      <c r="S208" t="b">
        <f>IFERROR(VLOOKUP(D208,Products!$A$2:$F$61,6,FALSE()),"")</f>
        <v>1</v>
      </c>
      <c r="T208" t="str">
        <f>IF(COUNTIF(Customers!$A$2:$A$301,C208)=0,"Missing","OK")</f>
        <v>OK</v>
      </c>
      <c r="U208" t="str">
        <f t="shared" si="10"/>
        <v>Mumbai</v>
      </c>
      <c r="V208">
        <f t="shared" si="11"/>
        <v>0</v>
      </c>
    </row>
    <row r="209" spans="1:22" ht="15" customHeight="1" x14ac:dyDescent="0.35">
      <c r="A209" s="3" t="s">
        <v>475</v>
      </c>
      <c r="B209" s="4">
        <v>45572</v>
      </c>
      <c r="C209" s="3" t="s">
        <v>476</v>
      </c>
      <c r="D209" s="3" t="s">
        <v>187</v>
      </c>
      <c r="E209" s="3" t="s">
        <v>127</v>
      </c>
      <c r="F209" s="5">
        <v>1</v>
      </c>
      <c r="G209" s="5">
        <v>3870</v>
      </c>
      <c r="H209" s="5">
        <v>23.5</v>
      </c>
      <c r="I209" s="5">
        <v>2960.55</v>
      </c>
      <c r="J209" s="3" t="s">
        <v>32</v>
      </c>
      <c r="K209" s="3" t="s">
        <v>72</v>
      </c>
      <c r="L209" t="str">
        <f>IFERROR(VLOOKUP(D209,Products!$A$2:$F$61,3,FALSE()),"")</f>
        <v>Electronics</v>
      </c>
      <c r="M209" t="str">
        <f>IFERROR(VLOOKUP(E209,Sales_Reps!$A$2:$C$31,3,FALSE()),"")</f>
        <v>South</v>
      </c>
      <c r="N209">
        <f>IFERROR(VLOOKUP(D209,Products!$A$2:$F$61,4,FALSE()),"")</f>
        <v>1559</v>
      </c>
      <c r="O209" t="str">
        <f>IFERROR(VLOOKUP(C209,Customers!$A$2:$F$301,5,FALSE()),"")</f>
        <v>SMB</v>
      </c>
      <c r="P209">
        <f>IFERROR(VLOOKUP(C209,Customers!$A$2:$F$301,3,FALSE()),"")</f>
        <v>48</v>
      </c>
      <c r="Q209">
        <f t="shared" si="9"/>
        <v>0.59715762273901807</v>
      </c>
      <c r="R209">
        <f>IF(AND(COUNTIF($A$2:$A$2047,A209)&gt;1,COUNTIF($A$2:A209,A209)=1),1,0)</f>
        <v>0</v>
      </c>
      <c r="S209" t="b">
        <f>IFERROR(VLOOKUP(D209,Products!$A$2:$F$61,6,FALSE()),"")</f>
        <v>1</v>
      </c>
      <c r="T209" t="str">
        <f>IF(COUNTIF(Customers!$A$2:$A$301,C209)=0,"Missing","OK")</f>
        <v>OK</v>
      </c>
      <c r="U209" t="str">
        <f t="shared" si="10"/>
        <v>Hyderabad</v>
      </c>
      <c r="V209">
        <f t="shared" si="11"/>
        <v>0</v>
      </c>
    </row>
    <row r="210" spans="1:22" ht="15" customHeight="1" x14ac:dyDescent="0.35">
      <c r="A210" s="3" t="s">
        <v>477</v>
      </c>
      <c r="B210" s="4">
        <v>45637</v>
      </c>
      <c r="C210" s="3" t="s">
        <v>478</v>
      </c>
      <c r="D210" s="3" t="s">
        <v>165</v>
      </c>
      <c r="E210" s="3" t="s">
        <v>264</v>
      </c>
      <c r="F210" s="5">
        <v>3</v>
      </c>
      <c r="G210" s="5">
        <v>3730</v>
      </c>
      <c r="H210" s="5">
        <v>0.7</v>
      </c>
      <c r="I210" s="5">
        <v>11111.67</v>
      </c>
      <c r="J210" s="3" t="s">
        <v>32</v>
      </c>
      <c r="K210" s="3" t="s">
        <v>72</v>
      </c>
      <c r="L210" t="str">
        <f>IFERROR(VLOOKUP(D210,Products!$A$2:$F$61,3,FALSE()),"")</f>
        <v>Home</v>
      </c>
      <c r="M210" t="str">
        <f>IFERROR(VLOOKUP(E210,Sales_Reps!$A$2:$C$31,3,FALSE()),"")</f>
        <v>South</v>
      </c>
      <c r="N210">
        <f>IFERROR(VLOOKUP(D210,Products!$A$2:$F$61,4,FALSE()),"")</f>
        <v>2135</v>
      </c>
      <c r="O210" t="str">
        <f>IFERROR(VLOOKUP(C210,Customers!$A$2:$F$301,5,FALSE()),"")</f>
        <v>Retail</v>
      </c>
      <c r="P210">
        <f>IFERROR(VLOOKUP(C210,Customers!$A$2:$F$301,3,FALSE()),"")</f>
        <v>38</v>
      </c>
      <c r="Q210">
        <f t="shared" si="9"/>
        <v>0.42761394101876676</v>
      </c>
      <c r="R210">
        <f>IF(AND(COUNTIF($A$2:$A$2047,A210)&gt;1,COUNTIF($A$2:A210,A210)=1),1,0)</f>
        <v>0</v>
      </c>
      <c r="S210" t="b">
        <f>IFERROR(VLOOKUP(D210,Products!$A$2:$F$61,6,FALSE()),"")</f>
        <v>1</v>
      </c>
      <c r="T210" t="str">
        <f>IF(COUNTIF(Customers!$A$2:$A$301,C210)=0,"Missing","OK")</f>
        <v>OK</v>
      </c>
      <c r="U210" t="str">
        <f t="shared" si="10"/>
        <v>Hyderabad</v>
      </c>
      <c r="V210">
        <f t="shared" si="11"/>
        <v>0</v>
      </c>
    </row>
    <row r="211" spans="1:22" ht="15" customHeight="1" x14ac:dyDescent="0.35">
      <c r="A211" s="3" t="s">
        <v>479</v>
      </c>
      <c r="B211" s="4">
        <v>45315</v>
      </c>
      <c r="C211" s="3" t="s">
        <v>480</v>
      </c>
      <c r="D211" s="3" t="s">
        <v>106</v>
      </c>
      <c r="E211" s="3" t="s">
        <v>264</v>
      </c>
      <c r="F211" s="5">
        <v>8</v>
      </c>
      <c r="G211" s="5">
        <v>2480</v>
      </c>
      <c r="H211" s="5">
        <v>18.2</v>
      </c>
      <c r="I211" s="5">
        <v>16229.12</v>
      </c>
      <c r="J211" s="3" t="s">
        <v>79</v>
      </c>
      <c r="K211" s="3" t="s">
        <v>33</v>
      </c>
      <c r="L211" t="str">
        <f>IFERROR(VLOOKUP(D211,Products!$A$2:$F$61,3,FALSE()),"")</f>
        <v>Apparel</v>
      </c>
      <c r="M211" t="str">
        <f>IFERROR(VLOOKUP(E211,Sales_Reps!$A$2:$C$31,3,FALSE()),"")</f>
        <v>South</v>
      </c>
      <c r="N211">
        <f>IFERROR(VLOOKUP(D211,Products!$A$2:$F$61,4,FALSE()),"")</f>
        <v>1173</v>
      </c>
      <c r="O211" t="str">
        <f>IFERROR(VLOOKUP(C211,Customers!$A$2:$F$301,5,FALSE()),"")</f>
        <v>Corporate</v>
      </c>
      <c r="P211">
        <f>IFERROR(VLOOKUP(C211,Customers!$A$2:$F$301,3,FALSE()),"")</f>
        <v>34</v>
      </c>
      <c r="Q211">
        <f t="shared" si="9"/>
        <v>0.52701612903225803</v>
      </c>
      <c r="R211">
        <f>IF(AND(COUNTIF($A$2:$A$2047,A211)&gt;1,COUNTIF($A$2:A211,A211)=1),1,0)</f>
        <v>0</v>
      </c>
      <c r="S211" t="b">
        <f>IFERROR(VLOOKUP(D211,Products!$A$2:$F$61,6,FALSE()),"")</f>
        <v>1</v>
      </c>
      <c r="T211" t="str">
        <f>IF(COUNTIF(Customers!$A$2:$A$301,C211)=0,"Missing","OK")</f>
        <v>OK</v>
      </c>
      <c r="U211" t="str">
        <f t="shared" si="10"/>
        <v>Chennai</v>
      </c>
      <c r="V211">
        <f t="shared" si="11"/>
        <v>0</v>
      </c>
    </row>
    <row r="212" spans="1:22" ht="15" customHeight="1" x14ac:dyDescent="0.35">
      <c r="A212" s="3" t="s">
        <v>481</v>
      </c>
      <c r="B212" s="4">
        <v>45374</v>
      </c>
      <c r="C212" s="3" t="s">
        <v>327</v>
      </c>
      <c r="D212" s="3" t="s">
        <v>54</v>
      </c>
      <c r="E212" s="3" t="s">
        <v>60</v>
      </c>
      <c r="F212" s="5">
        <v>2</v>
      </c>
      <c r="G212" s="5">
        <v>960</v>
      </c>
      <c r="H212" s="5">
        <v>2.2000000000000002</v>
      </c>
      <c r="I212" s="5">
        <v>1877.76</v>
      </c>
      <c r="J212" s="3" t="s">
        <v>26</v>
      </c>
      <c r="K212" s="3" t="s">
        <v>72</v>
      </c>
      <c r="L212" t="str">
        <f>IFERROR(VLOOKUP(D212,Products!$A$2:$F$61,3,FALSE()),"")</f>
        <v>Sports</v>
      </c>
      <c r="M212" t="str">
        <f>IFERROR(VLOOKUP(E212,Sales_Reps!$A$2:$C$31,3,FALSE()),"")</f>
        <v>East</v>
      </c>
      <c r="N212">
        <f>IFERROR(VLOOKUP(D212,Products!$A$2:$F$61,4,FALSE()),"")</f>
        <v>705</v>
      </c>
      <c r="O212" t="str">
        <f>IFERROR(VLOOKUP(C212,Customers!$A$2:$F$301,5,FALSE()),"")</f>
        <v>Retail</v>
      </c>
      <c r="P212">
        <f>IFERROR(VLOOKUP(C212,Customers!$A$2:$F$301,3,FALSE()),"")</f>
        <v>44</v>
      </c>
      <c r="Q212">
        <f t="shared" si="9"/>
        <v>0.265625</v>
      </c>
      <c r="R212">
        <f>IF(AND(COUNTIF($A$2:$A$2047,A212)&gt;1,COUNTIF($A$2:A212,A212)=1),1,0)</f>
        <v>0</v>
      </c>
      <c r="S212" t="b">
        <f>IFERROR(VLOOKUP(D212,Products!$A$2:$F$61,6,FALSE()),"")</f>
        <v>1</v>
      </c>
      <c r="T212" t="str">
        <f>IF(COUNTIF(Customers!$A$2:$A$301,C212)=0,"Missing","OK")</f>
        <v>OK</v>
      </c>
      <c r="U212" t="str">
        <f t="shared" si="10"/>
        <v>Hyderabad</v>
      </c>
      <c r="V212">
        <f t="shared" si="11"/>
        <v>0</v>
      </c>
    </row>
    <row r="213" spans="1:22" ht="15" customHeight="1" x14ac:dyDescent="0.35">
      <c r="A213" s="3" t="s">
        <v>482</v>
      </c>
      <c r="B213" s="4">
        <v>45335</v>
      </c>
      <c r="C213" s="3" t="s">
        <v>483</v>
      </c>
      <c r="D213" s="3" t="s">
        <v>123</v>
      </c>
      <c r="E213" s="3" t="s">
        <v>242</v>
      </c>
      <c r="F213" s="5">
        <v>8</v>
      </c>
      <c r="G213" s="5">
        <v>4880</v>
      </c>
      <c r="H213" s="5">
        <v>11.9</v>
      </c>
      <c r="I213" s="5">
        <v>34394.239999999998</v>
      </c>
      <c r="J213" s="3" t="s">
        <v>26</v>
      </c>
      <c r="K213" s="3" t="s">
        <v>72</v>
      </c>
      <c r="L213" t="str">
        <f>IFERROR(VLOOKUP(D213,Products!$A$2:$F$61,3,FALSE()),"")</f>
        <v>Beauty</v>
      </c>
      <c r="M213" t="str">
        <f>IFERROR(VLOOKUP(E213,Sales_Reps!$A$2:$C$31,3,FALSE()),"")</f>
        <v>East</v>
      </c>
      <c r="N213">
        <f>IFERROR(VLOOKUP(D213,Products!$A$2:$F$61,4,FALSE()),"")</f>
        <v>2768</v>
      </c>
      <c r="O213" t="str">
        <f>IFERROR(VLOOKUP(C213,Customers!$A$2:$F$301,5,FALSE()),"")</f>
        <v>Retail</v>
      </c>
      <c r="P213">
        <f>IFERROR(VLOOKUP(C213,Customers!$A$2:$F$301,3,FALSE()),"")</f>
        <v>25</v>
      </c>
      <c r="Q213">
        <f t="shared" si="9"/>
        <v>0.43278688524590164</v>
      </c>
      <c r="R213">
        <f>IF(AND(COUNTIF($A$2:$A$2047,A213)&gt;1,COUNTIF($A$2:A213,A213)=1),1,0)</f>
        <v>0</v>
      </c>
      <c r="S213" t="b">
        <f>IFERROR(VLOOKUP(D213,Products!$A$2:$F$61,6,FALSE()),"")</f>
        <v>1</v>
      </c>
      <c r="T213" t="str">
        <f>IF(COUNTIF(Customers!$A$2:$A$301,C213)=0,"Missing","OK")</f>
        <v>OK</v>
      </c>
      <c r="U213" t="str">
        <f t="shared" si="10"/>
        <v>Hyderabad</v>
      </c>
      <c r="V213">
        <f t="shared" si="11"/>
        <v>0</v>
      </c>
    </row>
    <row r="214" spans="1:22" ht="15" customHeight="1" x14ac:dyDescent="0.35">
      <c r="A214" s="3" t="s">
        <v>484</v>
      </c>
      <c r="B214" s="4">
        <v>45656</v>
      </c>
      <c r="C214" s="3" t="s">
        <v>485</v>
      </c>
      <c r="D214" s="3" t="s">
        <v>24</v>
      </c>
      <c r="E214" s="3" t="s">
        <v>109</v>
      </c>
      <c r="F214" s="5">
        <v>2</v>
      </c>
      <c r="G214" s="5">
        <v>3620</v>
      </c>
      <c r="H214" s="5">
        <v>1.1000000000000001</v>
      </c>
      <c r="I214" s="5">
        <v>7160.36</v>
      </c>
      <c r="J214" s="3" t="s">
        <v>32</v>
      </c>
      <c r="K214" s="3" t="s">
        <v>38</v>
      </c>
      <c r="L214" t="str">
        <f>IFERROR(VLOOKUP(D214,Products!$A$2:$F$61,3,FALSE()),"")</f>
        <v>Apparel</v>
      </c>
      <c r="M214" t="str">
        <f>IFERROR(VLOOKUP(E214,Sales_Reps!$A$2:$C$31,3,FALSE()),"")</f>
        <v>West</v>
      </c>
      <c r="N214">
        <f>IFERROR(VLOOKUP(D214,Products!$A$2:$F$61,4,FALSE()),"")</f>
        <v>2509</v>
      </c>
      <c r="O214" t="str">
        <f>IFERROR(VLOOKUP(C214,Customers!$A$2:$F$301,5,FALSE()),"")</f>
        <v>SMB</v>
      </c>
      <c r="P214">
        <f>IFERROR(VLOOKUP(C214,Customers!$A$2:$F$301,3,FALSE()),"")</f>
        <v>29</v>
      </c>
      <c r="Q214">
        <f t="shared" si="9"/>
        <v>0.3069060773480663</v>
      </c>
      <c r="R214">
        <f>IF(AND(COUNTIF($A$2:$A$2047,A214)&gt;1,COUNTIF($A$2:A214,A214)=1),1,0)</f>
        <v>0</v>
      </c>
      <c r="S214" t="b">
        <f>IFERROR(VLOOKUP(D214,Products!$A$2:$F$61,6,FALSE()),"")</f>
        <v>1</v>
      </c>
      <c r="T214" t="str">
        <f>IF(COUNTIF(Customers!$A$2:$A$301,C214)=0,"Missing","OK")</f>
        <v>OK</v>
      </c>
      <c r="U214" t="str">
        <f t="shared" si="10"/>
        <v>Delhi</v>
      </c>
      <c r="V214">
        <f t="shared" si="11"/>
        <v>0</v>
      </c>
    </row>
    <row r="215" spans="1:22" ht="15" customHeight="1" x14ac:dyDescent="0.35">
      <c r="A215" s="3" t="s">
        <v>486</v>
      </c>
      <c r="B215" s="4">
        <v>45573</v>
      </c>
      <c r="C215" s="3" t="s">
        <v>230</v>
      </c>
      <c r="D215" s="3" t="s">
        <v>347</v>
      </c>
      <c r="E215" s="3" t="s">
        <v>46</v>
      </c>
      <c r="F215" s="5">
        <v>8</v>
      </c>
      <c r="G215" s="5">
        <v>3970</v>
      </c>
      <c r="H215" s="5">
        <v>18.100000000000001</v>
      </c>
      <c r="I215" s="5">
        <v>26011.439999999999</v>
      </c>
      <c r="J215" s="3" t="s">
        <v>26</v>
      </c>
      <c r="K215" s="3" t="s">
        <v>38</v>
      </c>
      <c r="L215" t="str">
        <f>IFERROR(VLOOKUP(D215,Products!$A$2:$F$61,3,FALSE()),"")</f>
        <v>Electronics</v>
      </c>
      <c r="M215" t="str">
        <f>IFERROR(VLOOKUP(E215,Sales_Reps!$A$2:$C$31,3,FALSE()),"")</f>
        <v>North</v>
      </c>
      <c r="N215">
        <f>IFERROR(VLOOKUP(D215,Products!$A$2:$F$61,4,FALSE()),"")</f>
        <v>2865</v>
      </c>
      <c r="O215" t="str">
        <f>IFERROR(VLOOKUP(C215,Customers!$A$2:$F$301,5,FALSE()),"")</f>
        <v>Retail</v>
      </c>
      <c r="P215">
        <f>IFERROR(VLOOKUP(C215,Customers!$A$2:$F$301,3,FALSE()),"")</f>
        <v>35</v>
      </c>
      <c r="Q215">
        <f t="shared" si="9"/>
        <v>0.27833753148614609</v>
      </c>
      <c r="R215">
        <f>IF(AND(COUNTIF($A$2:$A$2047,A215)&gt;1,COUNTIF($A$2:A215,A215)=1),1,0)</f>
        <v>0</v>
      </c>
      <c r="S215" t="b">
        <f>IFERROR(VLOOKUP(D215,Products!$A$2:$F$61,6,FALSE()),"")</f>
        <v>1</v>
      </c>
      <c r="T215" t="str">
        <f>IF(COUNTIF(Customers!$A$2:$A$301,C215)=0,"Missing","OK")</f>
        <v>OK</v>
      </c>
      <c r="U215" t="str">
        <f t="shared" si="10"/>
        <v>Delhi</v>
      </c>
      <c r="V215">
        <f t="shared" si="11"/>
        <v>0</v>
      </c>
    </row>
    <row r="216" spans="1:22" ht="15" customHeight="1" x14ac:dyDescent="0.35">
      <c r="A216" s="3" t="s">
        <v>487</v>
      </c>
      <c r="B216" s="4">
        <v>45534</v>
      </c>
      <c r="C216" s="3" t="s">
        <v>105</v>
      </c>
      <c r="D216" s="3" t="s">
        <v>184</v>
      </c>
      <c r="E216" s="3" t="s">
        <v>140</v>
      </c>
      <c r="F216" s="5">
        <v>8</v>
      </c>
      <c r="G216" s="5">
        <v>2270</v>
      </c>
      <c r="H216" s="5">
        <v>19.600000000000001</v>
      </c>
      <c r="I216" s="5">
        <v>14600.64</v>
      </c>
      <c r="J216" s="3" t="s">
        <v>26</v>
      </c>
      <c r="K216" s="3" t="s">
        <v>72</v>
      </c>
      <c r="L216" t="str">
        <f>IFERROR(VLOOKUP(D216,Products!$A$2:$F$61,3,FALSE()),"")</f>
        <v>Grocery</v>
      </c>
      <c r="M216" t="str">
        <f>IFERROR(VLOOKUP(E216,Sales_Reps!$A$2:$C$31,3,FALSE()),"")</f>
        <v>West</v>
      </c>
      <c r="N216">
        <f>IFERROR(VLOOKUP(D216,Products!$A$2:$F$61,4,FALSE()),"")</f>
        <v>1412</v>
      </c>
      <c r="O216" t="str">
        <f>IFERROR(VLOOKUP(C216,Customers!$A$2:$F$301,5,FALSE()),"")</f>
        <v>Retail</v>
      </c>
      <c r="P216">
        <f>IFERROR(VLOOKUP(C216,Customers!$A$2:$F$301,3,FALSE()),"")</f>
        <v>32</v>
      </c>
      <c r="Q216">
        <f t="shared" si="9"/>
        <v>0.37797356828193834</v>
      </c>
      <c r="R216">
        <f>IF(AND(COUNTIF($A$2:$A$2047,A216)&gt;1,COUNTIF($A$2:A216,A216)=1),1,0)</f>
        <v>0</v>
      </c>
      <c r="S216" t="b">
        <f>IFERROR(VLOOKUP(D216,Products!$A$2:$F$61,6,FALSE()),"")</f>
        <v>1</v>
      </c>
      <c r="T216" t="str">
        <f>IF(COUNTIF(Customers!$A$2:$A$301,C216)=0,"Missing","OK")</f>
        <v>OK</v>
      </c>
      <c r="U216" t="str">
        <f t="shared" si="10"/>
        <v>Hyderabad</v>
      </c>
      <c r="V216">
        <f t="shared" si="11"/>
        <v>0</v>
      </c>
    </row>
    <row r="217" spans="1:22" ht="15" customHeight="1" x14ac:dyDescent="0.35">
      <c r="A217" s="3" t="s">
        <v>488</v>
      </c>
      <c r="B217" s="4">
        <v>45639</v>
      </c>
      <c r="C217" s="3" t="s">
        <v>205</v>
      </c>
      <c r="D217" s="3" t="s">
        <v>173</v>
      </c>
      <c r="E217" s="3" t="s">
        <v>191</v>
      </c>
      <c r="F217" s="5">
        <v>1</v>
      </c>
      <c r="G217" s="5">
        <v>3780</v>
      </c>
      <c r="H217" s="5">
        <v>22.6</v>
      </c>
      <c r="I217" s="5">
        <v>2925.72</v>
      </c>
      <c r="J217" s="3" t="s">
        <v>26</v>
      </c>
      <c r="K217" s="3" t="s">
        <v>38</v>
      </c>
      <c r="L217" t="str">
        <f>IFERROR(VLOOKUP(D217,Products!$A$2:$F$61,3,FALSE()),"")</f>
        <v>Grocery</v>
      </c>
      <c r="M217" t="str">
        <f>IFERROR(VLOOKUP(E217,Sales_Reps!$A$2:$C$31,3,FALSE()),"")</f>
        <v>South</v>
      </c>
      <c r="N217">
        <f>IFERROR(VLOOKUP(D217,Products!$A$2:$F$61,4,FALSE()),"")</f>
        <v>2436</v>
      </c>
      <c r="O217" t="str">
        <f>IFERROR(VLOOKUP(C217,Customers!$A$2:$F$301,5,FALSE()),"")</f>
        <v>Corporate</v>
      </c>
      <c r="P217">
        <f>IFERROR(VLOOKUP(C217,Customers!$A$2:$F$301,3,FALSE()),"")</f>
        <v>55</v>
      </c>
      <c r="Q217">
        <f t="shared" si="9"/>
        <v>0.35555555555555557</v>
      </c>
      <c r="R217">
        <f>IF(AND(COUNTIF($A$2:$A$2047,A217)&gt;1,COUNTIF($A$2:A217,A217)=1),1,0)</f>
        <v>0</v>
      </c>
      <c r="S217" t="b">
        <f>IFERROR(VLOOKUP(D217,Products!$A$2:$F$61,6,FALSE()),"")</f>
        <v>1</v>
      </c>
      <c r="T217" t="str">
        <f>IF(COUNTIF(Customers!$A$2:$A$301,C217)=0,"Missing","OK")</f>
        <v>OK</v>
      </c>
      <c r="U217" t="str">
        <f t="shared" si="10"/>
        <v>Delhi</v>
      </c>
      <c r="V217">
        <f t="shared" si="11"/>
        <v>0</v>
      </c>
    </row>
    <row r="218" spans="1:22" ht="15" customHeight="1" x14ac:dyDescent="0.35">
      <c r="A218" s="3" t="s">
        <v>489</v>
      </c>
      <c r="B218" s="4">
        <v>45653</v>
      </c>
      <c r="C218" s="3" t="s">
        <v>490</v>
      </c>
      <c r="D218" s="3" t="s">
        <v>203</v>
      </c>
      <c r="E218" s="3" t="s">
        <v>224</v>
      </c>
      <c r="F218" s="5">
        <v>9</v>
      </c>
      <c r="G218" s="5">
        <v>4070</v>
      </c>
      <c r="H218" s="5">
        <v>28.2</v>
      </c>
      <c r="I218" s="5">
        <v>26300.34</v>
      </c>
      <c r="J218" s="3" t="s">
        <v>26</v>
      </c>
      <c r="K218" s="3" t="s">
        <v>51</v>
      </c>
      <c r="L218" t="str">
        <f>IFERROR(VLOOKUP(D218,Products!$A$2:$F$61,3,FALSE()),"")</f>
        <v>Grocery</v>
      </c>
      <c r="M218" t="str">
        <f>IFERROR(VLOOKUP(E218,Sales_Reps!$A$2:$C$31,3,FALSE()),"")</f>
        <v>East</v>
      </c>
      <c r="N218">
        <f>IFERROR(VLOOKUP(D218,Products!$A$2:$F$61,4,FALSE()),"")</f>
        <v>2027</v>
      </c>
      <c r="O218" t="str">
        <f>IFERROR(VLOOKUP(C218,Customers!$A$2:$F$301,5,FALSE()),"")</f>
        <v>Corporate</v>
      </c>
      <c r="P218">
        <f>IFERROR(VLOOKUP(C218,Customers!$A$2:$F$301,3,FALSE()),"")</f>
        <v>60</v>
      </c>
      <c r="Q218">
        <f t="shared" si="9"/>
        <v>0.50196560196560192</v>
      </c>
      <c r="R218">
        <f>IF(AND(COUNTIF($A$2:$A$2047,A218)&gt;1,COUNTIF($A$2:A218,A218)=1),1,0)</f>
        <v>0</v>
      </c>
      <c r="S218" t="b">
        <f>IFERROR(VLOOKUP(D218,Products!$A$2:$F$61,6,FALSE()),"")</f>
        <v>1</v>
      </c>
      <c r="T218" t="str">
        <f>IF(COUNTIF(Customers!$A$2:$A$301,C218)=0,"Missing","OK")</f>
        <v>OK</v>
      </c>
      <c r="U218" t="str">
        <f t="shared" si="10"/>
        <v>Mumbai</v>
      </c>
      <c r="V218">
        <f t="shared" si="11"/>
        <v>0</v>
      </c>
    </row>
    <row r="219" spans="1:22" ht="15" customHeight="1" x14ac:dyDescent="0.35">
      <c r="A219" s="3" t="s">
        <v>491</v>
      </c>
      <c r="B219" s="4">
        <v>45424</v>
      </c>
      <c r="C219" s="3" t="s">
        <v>492</v>
      </c>
      <c r="D219" s="3" t="s">
        <v>218</v>
      </c>
      <c r="E219" s="3" t="s">
        <v>42</v>
      </c>
      <c r="F219" s="5">
        <v>9</v>
      </c>
      <c r="G219" s="5">
        <v>2660</v>
      </c>
      <c r="H219" s="5">
        <v>13.1</v>
      </c>
      <c r="I219" s="5">
        <v>20803.86</v>
      </c>
      <c r="J219" s="3" t="s">
        <v>32</v>
      </c>
      <c r="K219" s="3" t="s">
        <v>51</v>
      </c>
      <c r="L219" t="str">
        <f>IFERROR(VLOOKUP(D219,Products!$A$2:$F$61,3,FALSE()),"")</f>
        <v>Electronics</v>
      </c>
      <c r="M219" t="str">
        <f>IFERROR(VLOOKUP(E219,Sales_Reps!$A$2:$C$31,3,FALSE()),"")</f>
        <v>North</v>
      </c>
      <c r="N219">
        <f>IFERROR(VLOOKUP(D219,Products!$A$2:$F$61,4,FALSE()),"")</f>
        <v>1259</v>
      </c>
      <c r="O219" t="str">
        <f>IFERROR(VLOOKUP(C219,Customers!$A$2:$F$301,5,FALSE()),"")</f>
        <v>Retail</v>
      </c>
      <c r="P219">
        <f>IFERROR(VLOOKUP(C219,Customers!$A$2:$F$301,3,FALSE()),"")</f>
        <v>65</v>
      </c>
      <c r="Q219">
        <f t="shared" si="9"/>
        <v>0.52669172932330832</v>
      </c>
      <c r="R219">
        <f>IF(AND(COUNTIF($A$2:$A$2047,A219)&gt;1,COUNTIF($A$2:A219,A219)=1),1,0)</f>
        <v>0</v>
      </c>
      <c r="S219" t="b">
        <f>IFERROR(VLOOKUP(D219,Products!$A$2:$F$61,6,FALSE()),"")</f>
        <v>0</v>
      </c>
      <c r="T219" t="str">
        <f>IF(COUNTIF(Customers!$A$2:$A$301,C219)=0,"Missing","OK")</f>
        <v>OK</v>
      </c>
      <c r="U219" t="str">
        <f t="shared" si="10"/>
        <v>Mumbai</v>
      </c>
      <c r="V219">
        <f t="shared" si="11"/>
        <v>0</v>
      </c>
    </row>
    <row r="220" spans="1:22" ht="15" customHeight="1" x14ac:dyDescent="0.35">
      <c r="A220" s="3" t="s">
        <v>493</v>
      </c>
      <c r="B220" s="4">
        <v>45400</v>
      </c>
      <c r="C220" s="3" t="s">
        <v>494</v>
      </c>
      <c r="D220" s="3" t="s">
        <v>126</v>
      </c>
      <c r="E220" s="3" t="s">
        <v>78</v>
      </c>
      <c r="F220" s="5">
        <v>4</v>
      </c>
      <c r="G220" s="5">
        <v>3570</v>
      </c>
      <c r="H220" s="5">
        <v>1.5</v>
      </c>
      <c r="I220" s="5">
        <v>14065.8</v>
      </c>
      <c r="J220" s="3" t="s">
        <v>79</v>
      </c>
      <c r="K220" s="3" t="s">
        <v>51</v>
      </c>
      <c r="L220" t="str">
        <f>IFERROR(VLOOKUP(D220,Products!$A$2:$F$61,3,FALSE()),"")</f>
        <v>Electronics</v>
      </c>
      <c r="M220" t="str">
        <f>IFERROR(VLOOKUP(E220,Sales_Reps!$A$2:$C$31,3,FALSE()),"")</f>
        <v>North</v>
      </c>
      <c r="N220">
        <f>IFERROR(VLOOKUP(D220,Products!$A$2:$F$61,4,FALSE()),"")</f>
        <v>1665</v>
      </c>
      <c r="O220" t="str">
        <f>IFERROR(VLOOKUP(C220,Customers!$A$2:$F$301,5,FALSE()),"")</f>
        <v>Retail</v>
      </c>
      <c r="P220">
        <f>IFERROR(VLOOKUP(C220,Customers!$A$2:$F$301,3,FALSE()),"")</f>
        <v>37</v>
      </c>
      <c r="Q220">
        <f t="shared" si="9"/>
        <v>0.53361344537815125</v>
      </c>
      <c r="R220">
        <f>IF(AND(COUNTIF($A$2:$A$2047,A220)&gt;1,COUNTIF($A$2:A220,A220)=1),1,0)</f>
        <v>0</v>
      </c>
      <c r="S220" t="b">
        <f>IFERROR(VLOOKUP(D220,Products!$A$2:$F$61,6,FALSE()),"")</f>
        <v>1</v>
      </c>
      <c r="T220" t="str">
        <f>IF(COUNTIF(Customers!$A$2:$A$301,C220)=0,"Missing","OK")</f>
        <v>OK</v>
      </c>
      <c r="U220" t="str">
        <f t="shared" si="10"/>
        <v>Mumbai</v>
      </c>
      <c r="V220">
        <f t="shared" si="11"/>
        <v>0</v>
      </c>
    </row>
    <row r="221" spans="1:22" ht="15" customHeight="1" x14ac:dyDescent="0.35">
      <c r="A221" s="3" t="s">
        <v>495</v>
      </c>
      <c r="B221" s="4">
        <v>45531</v>
      </c>
      <c r="C221" s="3" t="s">
        <v>496</v>
      </c>
      <c r="D221" s="3" t="s">
        <v>319</v>
      </c>
      <c r="E221" s="3" t="s">
        <v>154</v>
      </c>
      <c r="F221" s="5">
        <v>2</v>
      </c>
      <c r="G221" s="5">
        <v>960</v>
      </c>
      <c r="H221" s="5">
        <v>18.600000000000001</v>
      </c>
      <c r="I221" s="5">
        <v>1562.88</v>
      </c>
      <c r="J221" s="3" t="s">
        <v>26</v>
      </c>
      <c r="K221" s="3" t="s">
        <v>51</v>
      </c>
      <c r="L221" t="str">
        <f>IFERROR(VLOOKUP(D221,Products!$A$2:$F$61,3,FALSE()),"")</f>
        <v>Beauty</v>
      </c>
      <c r="M221" t="str">
        <f>IFERROR(VLOOKUP(E221,Sales_Reps!$A$2:$C$31,3,FALSE()),"")</f>
        <v>North</v>
      </c>
      <c r="N221">
        <f>IFERROR(VLOOKUP(D221,Products!$A$2:$F$61,4,FALSE()),"")</f>
        <v>675</v>
      </c>
      <c r="O221" t="str">
        <f>IFERROR(VLOOKUP(C221,Customers!$A$2:$F$301,5,FALSE()),"")</f>
        <v>Retail</v>
      </c>
      <c r="P221">
        <f>IFERROR(VLOOKUP(C221,Customers!$A$2:$F$301,3,FALSE()),"")</f>
        <v>65</v>
      </c>
      <c r="Q221">
        <f t="shared" si="9"/>
        <v>0.296875</v>
      </c>
      <c r="R221">
        <f>IF(AND(COUNTIF($A$2:$A$2047,A221)&gt;1,COUNTIF($A$2:A221,A221)=1),1,0)</f>
        <v>0</v>
      </c>
      <c r="S221" t="b">
        <f>IFERROR(VLOOKUP(D221,Products!$A$2:$F$61,6,FALSE()),"")</f>
        <v>1</v>
      </c>
      <c r="T221" t="str">
        <f>IF(COUNTIF(Customers!$A$2:$A$301,C221)=0,"Missing","OK")</f>
        <v>OK</v>
      </c>
      <c r="U221" t="str">
        <f t="shared" si="10"/>
        <v>Mumbai</v>
      </c>
      <c r="V221">
        <f t="shared" si="11"/>
        <v>0</v>
      </c>
    </row>
    <row r="222" spans="1:22" ht="15" customHeight="1" x14ac:dyDescent="0.35">
      <c r="A222" s="3" t="s">
        <v>497</v>
      </c>
      <c r="B222" s="4">
        <v>45546</v>
      </c>
      <c r="C222" s="3" t="s">
        <v>498</v>
      </c>
      <c r="D222" s="3" t="s">
        <v>96</v>
      </c>
      <c r="E222" s="3" t="s">
        <v>242</v>
      </c>
      <c r="F222" s="5">
        <v>2</v>
      </c>
      <c r="G222" s="5">
        <v>3450</v>
      </c>
      <c r="H222" s="5">
        <v>3.7</v>
      </c>
      <c r="I222" s="5">
        <v>6644.7</v>
      </c>
      <c r="J222" s="3" t="s">
        <v>26</v>
      </c>
      <c r="K222" s="3" t="s">
        <v>27</v>
      </c>
      <c r="L222" t="str">
        <f>IFERROR(VLOOKUP(D222,Products!$A$2:$F$61,3,FALSE()),"")</f>
        <v>Beauty</v>
      </c>
      <c r="M222" t="str">
        <f>IFERROR(VLOOKUP(E222,Sales_Reps!$A$2:$C$31,3,FALSE()),"")</f>
        <v>East</v>
      </c>
      <c r="N222">
        <f>IFERROR(VLOOKUP(D222,Products!$A$2:$F$61,4,FALSE()),"")</f>
        <v>2420</v>
      </c>
      <c r="O222" t="str">
        <f>IFERROR(VLOOKUP(C222,Customers!$A$2:$F$301,5,FALSE()),"")</f>
        <v>Retail</v>
      </c>
      <c r="P222">
        <f>IFERROR(VLOOKUP(C222,Customers!$A$2:$F$301,3,FALSE()),"")</f>
        <v>62</v>
      </c>
      <c r="Q222">
        <f t="shared" si="9"/>
        <v>0.29855072463768118</v>
      </c>
      <c r="R222">
        <f>IF(AND(COUNTIF($A$2:$A$2047,A222)&gt;1,COUNTIF($A$2:A222,A222)=1),1,0)</f>
        <v>0</v>
      </c>
      <c r="S222" t="b">
        <f>IFERROR(VLOOKUP(D222,Products!$A$2:$F$61,6,FALSE()),"")</f>
        <v>1</v>
      </c>
      <c r="T222" t="str">
        <f>IF(COUNTIF(Customers!$A$2:$A$301,C222)=0,"Missing","OK")</f>
        <v>OK</v>
      </c>
      <c r="U222" t="str">
        <f t="shared" si="10"/>
        <v>Pune</v>
      </c>
      <c r="V222">
        <f t="shared" si="11"/>
        <v>0</v>
      </c>
    </row>
    <row r="223" spans="1:22" ht="15" customHeight="1" x14ac:dyDescent="0.35">
      <c r="A223" s="3" t="s">
        <v>499</v>
      </c>
      <c r="B223" s="4">
        <v>45608</v>
      </c>
      <c r="C223" s="3" t="s">
        <v>500</v>
      </c>
      <c r="D223" s="3" t="s">
        <v>130</v>
      </c>
      <c r="E223" s="3" t="s">
        <v>25</v>
      </c>
      <c r="F223" s="5">
        <v>6</v>
      </c>
      <c r="G223" s="5">
        <v>5100</v>
      </c>
      <c r="H223" s="5">
        <v>1.2</v>
      </c>
      <c r="I223" s="5">
        <v>30232.799999999999</v>
      </c>
      <c r="J223" s="3" t="s">
        <v>26</v>
      </c>
      <c r="K223" s="3" t="s">
        <v>72</v>
      </c>
      <c r="L223" t="str">
        <f>IFERROR(VLOOKUP(D223,Products!$A$2:$F$61,3,FALSE()),"")</f>
        <v>Beauty</v>
      </c>
      <c r="M223" t="str">
        <f>IFERROR(VLOOKUP(E223,Sales_Reps!$A$2:$C$31,3,FALSE()),"")</f>
        <v>North</v>
      </c>
      <c r="N223">
        <f>IFERROR(VLOOKUP(D223,Products!$A$2:$F$61,4,FALSE()),"")</f>
        <v>2237</v>
      </c>
      <c r="O223" t="str">
        <f>IFERROR(VLOOKUP(C223,Customers!$A$2:$F$301,5,FALSE()),"")</f>
        <v>SMB</v>
      </c>
      <c r="P223">
        <f>IFERROR(VLOOKUP(C223,Customers!$A$2:$F$301,3,FALSE()),"")</f>
        <v>43</v>
      </c>
      <c r="Q223">
        <f t="shared" si="9"/>
        <v>0.56137254901960787</v>
      </c>
      <c r="R223">
        <f>IF(AND(COUNTIF($A$2:$A$2047,A223)&gt;1,COUNTIF($A$2:A223,A223)=1),1,0)</f>
        <v>0</v>
      </c>
      <c r="S223" t="b">
        <f>IFERROR(VLOOKUP(D223,Products!$A$2:$F$61,6,FALSE()),"")</f>
        <v>1</v>
      </c>
      <c r="T223" t="str">
        <f>IF(COUNTIF(Customers!$A$2:$A$301,C223)=0,"Missing","OK")</f>
        <v>OK</v>
      </c>
      <c r="U223" t="str">
        <f t="shared" si="10"/>
        <v>Hyderabad</v>
      </c>
      <c r="V223">
        <f t="shared" si="11"/>
        <v>0</v>
      </c>
    </row>
    <row r="224" spans="1:22" ht="15" customHeight="1" x14ac:dyDescent="0.35">
      <c r="A224" s="3" t="s">
        <v>501</v>
      </c>
      <c r="B224" s="4">
        <v>45614</v>
      </c>
      <c r="C224" s="3" t="s">
        <v>502</v>
      </c>
      <c r="D224" s="3" t="s">
        <v>221</v>
      </c>
      <c r="E224" s="3" t="s">
        <v>31</v>
      </c>
      <c r="F224" s="5">
        <v>9</v>
      </c>
      <c r="G224" s="5">
        <v>300</v>
      </c>
      <c r="H224" s="5">
        <v>25.4</v>
      </c>
      <c r="I224" s="5">
        <v>2014.2</v>
      </c>
      <c r="J224" s="3" t="s">
        <v>79</v>
      </c>
      <c r="K224" s="3" t="s">
        <v>27</v>
      </c>
      <c r="L224" t="str">
        <f>IFERROR(VLOOKUP(D224,Products!$A$2:$F$61,3,FALSE()),"")</f>
        <v>Electronics</v>
      </c>
      <c r="M224" t="str">
        <f>IFERROR(VLOOKUP(E224,Sales_Reps!$A$2:$C$31,3,FALSE()),"")</f>
        <v>North</v>
      </c>
      <c r="N224">
        <f>IFERROR(VLOOKUP(D224,Products!$A$2:$F$61,4,FALSE()),"")</f>
        <v>128</v>
      </c>
      <c r="O224" t="str">
        <f>IFERROR(VLOOKUP(C224,Customers!$A$2:$F$301,5,FALSE()),"")</f>
        <v>SMB</v>
      </c>
      <c r="P224">
        <f>IFERROR(VLOOKUP(C224,Customers!$A$2:$F$301,3,FALSE()),"")</f>
        <v>24</v>
      </c>
      <c r="Q224">
        <f t="shared" si="9"/>
        <v>0.57333333333333336</v>
      </c>
      <c r="R224">
        <f>IF(AND(COUNTIF($A$2:$A$2047,A224)&gt;1,COUNTIF($A$2:A224,A224)=1),1,0)</f>
        <v>0</v>
      </c>
      <c r="S224" t="b">
        <f>IFERROR(VLOOKUP(D224,Products!$A$2:$F$61,6,FALSE()),"")</f>
        <v>1</v>
      </c>
      <c r="T224" t="str">
        <f>IF(COUNTIF(Customers!$A$2:$A$301,C224)=0,"Missing","OK")</f>
        <v>OK</v>
      </c>
      <c r="U224" t="str">
        <f t="shared" si="10"/>
        <v>Pune</v>
      </c>
      <c r="V224">
        <f t="shared" si="11"/>
        <v>0</v>
      </c>
    </row>
    <row r="225" spans="1:22" ht="15" customHeight="1" x14ac:dyDescent="0.35">
      <c r="A225" s="3" t="s">
        <v>503</v>
      </c>
      <c r="B225" s="4">
        <v>45405</v>
      </c>
      <c r="C225" s="3" t="s">
        <v>504</v>
      </c>
      <c r="D225" s="3" t="s">
        <v>123</v>
      </c>
      <c r="E225" s="3" t="s">
        <v>131</v>
      </c>
      <c r="F225" s="5">
        <v>7</v>
      </c>
      <c r="G225" s="5">
        <v>4880</v>
      </c>
      <c r="H225" s="5">
        <v>16.899999999999999</v>
      </c>
      <c r="I225" s="5">
        <v>28386.959999999999</v>
      </c>
      <c r="J225" s="3" t="s">
        <v>32</v>
      </c>
      <c r="K225" s="3" t="s">
        <v>51</v>
      </c>
      <c r="L225" t="str">
        <f>IFERROR(VLOOKUP(D225,Products!$A$2:$F$61,3,FALSE()),"")</f>
        <v>Beauty</v>
      </c>
      <c r="M225" t="str">
        <f>IFERROR(VLOOKUP(E225,Sales_Reps!$A$2:$C$31,3,FALSE()),"")</f>
        <v>East</v>
      </c>
      <c r="N225">
        <f>IFERROR(VLOOKUP(D225,Products!$A$2:$F$61,4,FALSE()),"")</f>
        <v>2768</v>
      </c>
      <c r="O225" t="str">
        <f>IFERROR(VLOOKUP(C225,Customers!$A$2:$F$301,5,FALSE()),"")</f>
        <v>SMB</v>
      </c>
      <c r="P225">
        <f>IFERROR(VLOOKUP(C225,Customers!$A$2:$F$301,3,FALSE()),"")</f>
        <v>61</v>
      </c>
      <c r="Q225">
        <f t="shared" si="9"/>
        <v>0.43278688524590164</v>
      </c>
      <c r="R225">
        <f>IF(AND(COUNTIF($A$2:$A$2047,A225)&gt;1,COUNTIF($A$2:A225,A225)=1),1,0)</f>
        <v>0</v>
      </c>
      <c r="S225" t="b">
        <f>IFERROR(VLOOKUP(D225,Products!$A$2:$F$61,6,FALSE()),"")</f>
        <v>1</v>
      </c>
      <c r="T225" t="str">
        <f>IF(COUNTIF(Customers!$A$2:$A$301,C225)=0,"Missing","OK")</f>
        <v>OK</v>
      </c>
      <c r="U225" t="str">
        <f t="shared" si="10"/>
        <v>Mumbai</v>
      </c>
      <c r="V225">
        <f t="shared" si="11"/>
        <v>0</v>
      </c>
    </row>
    <row r="226" spans="1:22" ht="15" customHeight="1" x14ac:dyDescent="0.35">
      <c r="A226" s="3" t="s">
        <v>505</v>
      </c>
      <c r="B226" s="4">
        <v>45504</v>
      </c>
      <c r="C226" s="3" t="s">
        <v>506</v>
      </c>
      <c r="D226" s="3" t="s">
        <v>82</v>
      </c>
      <c r="E226" s="3" t="s">
        <v>93</v>
      </c>
      <c r="F226" s="5">
        <v>9</v>
      </c>
      <c r="G226" s="5">
        <v>3250</v>
      </c>
      <c r="H226" s="5">
        <v>10.8</v>
      </c>
      <c r="I226" s="5">
        <v>26091</v>
      </c>
      <c r="J226" s="3" t="s">
        <v>79</v>
      </c>
      <c r="K226" s="3" t="s">
        <v>56</v>
      </c>
      <c r="L226" t="str">
        <f>IFERROR(VLOOKUP(D226,Products!$A$2:$F$61,3,FALSE()),"")</f>
        <v>Home</v>
      </c>
      <c r="M226" t="str">
        <f>IFERROR(VLOOKUP(E226,Sales_Reps!$A$2:$C$31,3,FALSE()),"")</f>
        <v>East</v>
      </c>
      <c r="N226">
        <f>IFERROR(VLOOKUP(D226,Products!$A$2:$F$61,4,FALSE()),"")</f>
        <v>1556</v>
      </c>
      <c r="O226" t="str">
        <f>IFERROR(VLOOKUP(C226,Customers!$A$2:$F$301,5,FALSE()),"")</f>
        <v>Corporate</v>
      </c>
      <c r="P226">
        <f>IFERROR(VLOOKUP(C226,Customers!$A$2:$F$301,3,FALSE()),"")</f>
        <v>41</v>
      </c>
      <c r="Q226">
        <f t="shared" si="9"/>
        <v>0.52123076923076928</v>
      </c>
      <c r="R226">
        <f>IF(AND(COUNTIF($A$2:$A$2047,A226)&gt;1,COUNTIF($A$2:A226,A226)=1),1,0)</f>
        <v>0</v>
      </c>
      <c r="S226" t="b">
        <f>IFERROR(VLOOKUP(D226,Products!$A$2:$F$61,6,FALSE()),"")</f>
        <v>1</v>
      </c>
      <c r="T226" t="str">
        <f>IF(COUNTIF(Customers!$A$2:$A$301,C226)=0,"Missing","OK")</f>
        <v>OK</v>
      </c>
      <c r="U226" t="str">
        <f t="shared" si="10"/>
        <v>Bengaluru</v>
      </c>
      <c r="V226">
        <f t="shared" si="11"/>
        <v>0</v>
      </c>
    </row>
    <row r="227" spans="1:22" ht="15" customHeight="1" x14ac:dyDescent="0.35">
      <c r="A227" s="3" t="s">
        <v>507</v>
      </c>
      <c r="B227" s="4">
        <v>45298</v>
      </c>
      <c r="C227" s="3" t="s">
        <v>381</v>
      </c>
      <c r="D227" s="3" t="s">
        <v>96</v>
      </c>
      <c r="E227" s="3" t="s">
        <v>42</v>
      </c>
      <c r="F227" s="5">
        <v>3</v>
      </c>
      <c r="G227" s="5">
        <v>3450</v>
      </c>
      <c r="H227" s="5">
        <v>5.4</v>
      </c>
      <c r="I227" s="5">
        <v>9791.1</v>
      </c>
      <c r="J227" s="3" t="s">
        <v>32</v>
      </c>
      <c r="K227" s="3" t="s">
        <v>27</v>
      </c>
      <c r="L227" t="str">
        <f>IFERROR(VLOOKUP(D227,Products!$A$2:$F$61,3,FALSE()),"")</f>
        <v>Beauty</v>
      </c>
      <c r="M227" t="str">
        <f>IFERROR(VLOOKUP(E227,Sales_Reps!$A$2:$C$31,3,FALSE()),"")</f>
        <v>North</v>
      </c>
      <c r="N227">
        <f>IFERROR(VLOOKUP(D227,Products!$A$2:$F$61,4,FALSE()),"")</f>
        <v>2420</v>
      </c>
      <c r="O227" t="str">
        <f>IFERROR(VLOOKUP(C227,Customers!$A$2:$F$301,5,FALSE()),"")</f>
        <v>Retail</v>
      </c>
      <c r="P227">
        <f>IFERROR(VLOOKUP(C227,Customers!$A$2:$F$301,3,FALSE()),"")</f>
        <v>65</v>
      </c>
      <c r="Q227">
        <f t="shared" si="9"/>
        <v>0.29855072463768118</v>
      </c>
      <c r="R227">
        <f>IF(AND(COUNTIF($A$2:$A$2047,A227)&gt;1,COUNTIF($A$2:A227,A227)=1),1,0)</f>
        <v>0</v>
      </c>
      <c r="S227" t="b">
        <f>IFERROR(VLOOKUP(D227,Products!$A$2:$F$61,6,FALSE()),"")</f>
        <v>1</v>
      </c>
      <c r="T227" t="str">
        <f>IF(COUNTIF(Customers!$A$2:$A$301,C227)=0,"Missing","OK")</f>
        <v>OK</v>
      </c>
      <c r="U227" t="str">
        <f t="shared" si="10"/>
        <v>Pune</v>
      </c>
      <c r="V227">
        <f t="shared" si="11"/>
        <v>0</v>
      </c>
    </row>
    <row r="228" spans="1:22" ht="15" customHeight="1" x14ac:dyDescent="0.35">
      <c r="A228" s="3" t="s">
        <v>508</v>
      </c>
      <c r="B228" s="4">
        <v>45346</v>
      </c>
      <c r="C228" s="3" t="s">
        <v>509</v>
      </c>
      <c r="D228" s="3" t="s">
        <v>180</v>
      </c>
      <c r="E228" s="3" t="s">
        <v>97</v>
      </c>
      <c r="F228" s="5">
        <v>5</v>
      </c>
      <c r="G228" s="5">
        <v>6080</v>
      </c>
      <c r="H228" s="5">
        <v>18</v>
      </c>
      <c r="I228" s="5">
        <v>24928</v>
      </c>
      <c r="J228" s="3" t="s">
        <v>26</v>
      </c>
      <c r="K228" s="3" t="s">
        <v>38</v>
      </c>
      <c r="L228" t="str">
        <f>IFERROR(VLOOKUP(D228,Products!$A$2:$F$61,3,FALSE()),"")</f>
        <v>Beauty</v>
      </c>
      <c r="M228" t="str">
        <f>IFERROR(VLOOKUP(E228,Sales_Reps!$A$2:$C$31,3,FALSE()),"")</f>
        <v>East</v>
      </c>
      <c r="N228">
        <f>IFERROR(VLOOKUP(D228,Products!$A$2:$F$61,4,FALSE()),"")</f>
        <v>2617</v>
      </c>
      <c r="O228" t="str">
        <f>IFERROR(VLOOKUP(C228,Customers!$A$2:$F$301,5,FALSE()),"")</f>
        <v>Corporate</v>
      </c>
      <c r="P228">
        <f>IFERROR(VLOOKUP(C228,Customers!$A$2:$F$301,3,FALSE()),"")</f>
        <v>47</v>
      </c>
      <c r="Q228">
        <f t="shared" si="9"/>
        <v>0.56957236842105263</v>
      </c>
      <c r="R228">
        <f>IF(AND(COUNTIF($A$2:$A$2047,A228)&gt;1,COUNTIF($A$2:A228,A228)=1),1,0)</f>
        <v>0</v>
      </c>
      <c r="S228" t="b">
        <f>IFERROR(VLOOKUP(D228,Products!$A$2:$F$61,6,FALSE()),"")</f>
        <v>1</v>
      </c>
      <c r="T228" t="str">
        <f>IF(COUNTIF(Customers!$A$2:$A$301,C228)=0,"Missing","OK")</f>
        <v>OK</v>
      </c>
      <c r="U228" t="str">
        <f t="shared" si="10"/>
        <v>Delhi</v>
      </c>
      <c r="V228">
        <f t="shared" si="11"/>
        <v>0</v>
      </c>
    </row>
    <row r="229" spans="1:22" ht="15" customHeight="1" x14ac:dyDescent="0.35">
      <c r="A229" s="3" t="s">
        <v>510</v>
      </c>
      <c r="B229" s="4">
        <v>45487</v>
      </c>
      <c r="C229" s="3" t="s">
        <v>379</v>
      </c>
      <c r="D229" s="3" t="s">
        <v>180</v>
      </c>
      <c r="E229" s="3" t="s">
        <v>224</v>
      </c>
      <c r="F229" s="5">
        <v>7</v>
      </c>
      <c r="G229" s="5">
        <v>6080</v>
      </c>
      <c r="H229" s="5">
        <v>9.1999999999999993</v>
      </c>
      <c r="I229" s="5">
        <v>38644.480000000003</v>
      </c>
      <c r="J229" s="3" t="s">
        <v>26</v>
      </c>
      <c r="K229" s="3" t="s">
        <v>27</v>
      </c>
      <c r="L229" t="str">
        <f>IFERROR(VLOOKUP(D229,Products!$A$2:$F$61,3,FALSE()),"")</f>
        <v>Beauty</v>
      </c>
      <c r="M229" t="str">
        <f>IFERROR(VLOOKUP(E229,Sales_Reps!$A$2:$C$31,3,FALSE()),"")</f>
        <v>East</v>
      </c>
      <c r="N229">
        <f>IFERROR(VLOOKUP(D229,Products!$A$2:$F$61,4,FALSE()),"")</f>
        <v>2617</v>
      </c>
      <c r="O229" t="str">
        <f>IFERROR(VLOOKUP(C229,Customers!$A$2:$F$301,5,FALSE()),"")</f>
        <v>SMB</v>
      </c>
      <c r="P229">
        <f>IFERROR(VLOOKUP(C229,Customers!$A$2:$F$301,3,FALSE()),"")</f>
        <v>30</v>
      </c>
      <c r="Q229">
        <f t="shared" si="9"/>
        <v>0.56957236842105263</v>
      </c>
      <c r="R229">
        <f>IF(AND(COUNTIF($A$2:$A$2047,A229)&gt;1,COUNTIF($A$2:A229,A229)=1),1,0)</f>
        <v>0</v>
      </c>
      <c r="S229" t="b">
        <f>IFERROR(VLOOKUP(D229,Products!$A$2:$F$61,6,FALSE()),"")</f>
        <v>1</v>
      </c>
      <c r="T229" t="str">
        <f>IF(COUNTIF(Customers!$A$2:$A$301,C229)=0,"Missing","OK")</f>
        <v>OK</v>
      </c>
      <c r="U229" t="str">
        <f t="shared" si="10"/>
        <v>Pune</v>
      </c>
      <c r="V229">
        <f t="shared" si="11"/>
        <v>0</v>
      </c>
    </row>
    <row r="230" spans="1:22" ht="15" customHeight="1" x14ac:dyDescent="0.35">
      <c r="A230" s="3" t="s">
        <v>511</v>
      </c>
      <c r="B230" s="4">
        <v>45585</v>
      </c>
      <c r="C230" s="3" t="s">
        <v>478</v>
      </c>
      <c r="D230" s="3" t="s">
        <v>70</v>
      </c>
      <c r="E230" s="3" t="s">
        <v>37</v>
      </c>
      <c r="F230" s="5">
        <v>5</v>
      </c>
      <c r="G230" s="5">
        <v>2270</v>
      </c>
      <c r="H230" s="5">
        <v>0.4</v>
      </c>
      <c r="I230" s="5">
        <v>11304.6</v>
      </c>
      <c r="J230" s="3" t="s">
        <v>79</v>
      </c>
      <c r="K230" s="3" t="s">
        <v>72</v>
      </c>
      <c r="L230" t="str">
        <f>IFERROR(VLOOKUP(D230,Products!$A$2:$F$61,3,FALSE()),"")</f>
        <v>Grocery</v>
      </c>
      <c r="M230" t="str">
        <f>IFERROR(VLOOKUP(E230,Sales_Reps!$A$2:$C$31,3,FALSE()),"")</f>
        <v>South</v>
      </c>
      <c r="N230">
        <f>IFERROR(VLOOKUP(D230,Products!$A$2:$F$61,4,FALSE()),"")</f>
        <v>1203</v>
      </c>
      <c r="O230" t="str">
        <f>IFERROR(VLOOKUP(C230,Customers!$A$2:$F$301,5,FALSE()),"")</f>
        <v>Retail</v>
      </c>
      <c r="P230">
        <f>IFERROR(VLOOKUP(C230,Customers!$A$2:$F$301,3,FALSE()),"")</f>
        <v>38</v>
      </c>
      <c r="Q230">
        <f t="shared" si="9"/>
        <v>0.47004405286343615</v>
      </c>
      <c r="R230">
        <f>IF(AND(COUNTIF($A$2:$A$2047,A230)&gt;1,COUNTIF($A$2:A230,A230)=1),1,0)</f>
        <v>0</v>
      </c>
      <c r="S230" t="b">
        <f>IFERROR(VLOOKUP(D230,Products!$A$2:$F$61,6,FALSE()),"")</f>
        <v>1</v>
      </c>
      <c r="T230" t="str">
        <f>IF(COUNTIF(Customers!$A$2:$A$301,C230)=0,"Missing","OK")</f>
        <v>OK</v>
      </c>
      <c r="U230" t="str">
        <f t="shared" si="10"/>
        <v>Hyderabad</v>
      </c>
      <c r="V230">
        <f t="shared" si="11"/>
        <v>0</v>
      </c>
    </row>
    <row r="231" spans="1:22" ht="15" customHeight="1" x14ac:dyDescent="0.35">
      <c r="A231" s="3" t="s">
        <v>512</v>
      </c>
      <c r="B231" s="4">
        <v>45373</v>
      </c>
      <c r="C231" s="3" t="s">
        <v>310</v>
      </c>
      <c r="D231" s="3" t="s">
        <v>123</v>
      </c>
      <c r="E231" s="3" t="s">
        <v>285</v>
      </c>
      <c r="F231" s="5">
        <v>10</v>
      </c>
      <c r="G231" s="5">
        <v>4880</v>
      </c>
      <c r="H231" s="5">
        <v>24.5</v>
      </c>
      <c r="I231" s="5">
        <v>36844</v>
      </c>
      <c r="J231" s="3" t="s">
        <v>83</v>
      </c>
      <c r="K231" s="3" t="s">
        <v>51</v>
      </c>
      <c r="L231" t="str">
        <f>IFERROR(VLOOKUP(D231,Products!$A$2:$F$61,3,FALSE()),"")</f>
        <v>Beauty</v>
      </c>
      <c r="M231" t="str">
        <f>IFERROR(VLOOKUP(E231,Sales_Reps!$A$2:$C$31,3,FALSE()),"")</f>
        <v>South</v>
      </c>
      <c r="N231">
        <f>IFERROR(VLOOKUP(D231,Products!$A$2:$F$61,4,FALSE()),"")</f>
        <v>2768</v>
      </c>
      <c r="O231" t="str">
        <f>IFERROR(VLOOKUP(C231,Customers!$A$2:$F$301,5,FALSE()),"")</f>
        <v>Retail</v>
      </c>
      <c r="P231">
        <f>IFERROR(VLOOKUP(C231,Customers!$A$2:$F$301,3,FALSE()),"")</f>
        <v>42</v>
      </c>
      <c r="Q231">
        <f t="shared" si="9"/>
        <v>0.43278688524590164</v>
      </c>
      <c r="R231">
        <f>IF(AND(COUNTIF($A$2:$A$2047,A231)&gt;1,COUNTIF($A$2:A231,A231)=1),1,0)</f>
        <v>0</v>
      </c>
      <c r="S231" t="b">
        <f>IFERROR(VLOOKUP(D231,Products!$A$2:$F$61,6,FALSE()),"")</f>
        <v>1</v>
      </c>
      <c r="T231" t="str">
        <f>IF(COUNTIF(Customers!$A$2:$A$301,C231)=0,"Missing","OK")</f>
        <v>OK</v>
      </c>
      <c r="U231" t="str">
        <f t="shared" si="10"/>
        <v>Mumbai</v>
      </c>
      <c r="V231">
        <f t="shared" si="11"/>
        <v>0</v>
      </c>
    </row>
    <row r="232" spans="1:22" ht="15" customHeight="1" x14ac:dyDescent="0.35">
      <c r="A232" s="3" t="s">
        <v>513</v>
      </c>
      <c r="B232" s="4">
        <v>45293</v>
      </c>
      <c r="C232" s="3" t="s">
        <v>117</v>
      </c>
      <c r="D232" s="3" t="s">
        <v>306</v>
      </c>
      <c r="E232" s="3" t="s">
        <v>236</v>
      </c>
      <c r="F232" s="5">
        <v>2</v>
      </c>
      <c r="G232" s="5">
        <v>2380</v>
      </c>
      <c r="H232" s="5">
        <v>2.2999999999999998</v>
      </c>
      <c r="I232" s="5">
        <v>4650.5200000000004</v>
      </c>
      <c r="J232" s="3" t="s">
        <v>26</v>
      </c>
      <c r="K232" s="3" t="s">
        <v>33</v>
      </c>
      <c r="L232" t="str">
        <f>IFERROR(VLOOKUP(D232,Products!$A$2:$F$61,3,FALSE()),"")</f>
        <v>Grocery</v>
      </c>
      <c r="M232" t="str">
        <f>IFERROR(VLOOKUP(E232,Sales_Reps!$A$2:$C$31,3,FALSE()),"")</f>
        <v>North</v>
      </c>
      <c r="N232">
        <f>IFERROR(VLOOKUP(D232,Products!$A$2:$F$61,4,FALSE()),"")</f>
        <v>1182</v>
      </c>
      <c r="O232" t="str">
        <f>IFERROR(VLOOKUP(C232,Customers!$A$2:$F$301,5,FALSE()),"")</f>
        <v>Corporate</v>
      </c>
      <c r="P232">
        <f>IFERROR(VLOOKUP(C232,Customers!$A$2:$F$301,3,FALSE()),"")</f>
        <v>55</v>
      </c>
      <c r="Q232">
        <f t="shared" si="9"/>
        <v>0.50336134453781511</v>
      </c>
      <c r="R232">
        <f>IF(AND(COUNTIF($A$2:$A$2047,A232)&gt;1,COUNTIF($A$2:A232,A232)=1),1,0)</f>
        <v>0</v>
      </c>
      <c r="S232" t="b">
        <f>IFERROR(VLOOKUP(D232,Products!$A$2:$F$61,6,FALSE()),"")</f>
        <v>1</v>
      </c>
      <c r="T232" t="str">
        <f>IF(COUNTIF(Customers!$A$2:$A$301,C232)=0,"Missing","OK")</f>
        <v>OK</v>
      </c>
      <c r="U232" t="str">
        <f t="shared" si="10"/>
        <v>Chennai</v>
      </c>
      <c r="V232">
        <f t="shared" si="11"/>
        <v>0</v>
      </c>
    </row>
    <row r="233" spans="1:22" ht="15" customHeight="1" x14ac:dyDescent="0.35">
      <c r="A233" s="3" t="s">
        <v>514</v>
      </c>
      <c r="B233" s="4">
        <v>45498</v>
      </c>
      <c r="C233" s="3" t="s">
        <v>228</v>
      </c>
      <c r="D233" s="3" t="s">
        <v>121</v>
      </c>
      <c r="E233" s="3" t="s">
        <v>50</v>
      </c>
      <c r="F233" s="5">
        <v>1</v>
      </c>
      <c r="G233" s="5">
        <v>1010</v>
      </c>
      <c r="H233" s="5">
        <v>29.9</v>
      </c>
      <c r="I233" s="5">
        <v>708.01</v>
      </c>
      <c r="J233" s="3" t="s">
        <v>26</v>
      </c>
      <c r="K233" s="3" t="s">
        <v>33</v>
      </c>
      <c r="L233" t="str">
        <f>IFERROR(VLOOKUP(D233,Products!$A$2:$F$61,3,FALSE()),"")</f>
        <v>Sports</v>
      </c>
      <c r="M233" t="str">
        <f>IFERROR(VLOOKUP(E233,Sales_Reps!$A$2:$C$31,3,FALSE()),"")</f>
        <v>West</v>
      </c>
      <c r="N233">
        <f>IFERROR(VLOOKUP(D233,Products!$A$2:$F$61,4,FALSE()),"")</f>
        <v>516</v>
      </c>
      <c r="O233" t="str">
        <f>IFERROR(VLOOKUP(C233,Customers!$A$2:$F$301,5,FALSE()),"")</f>
        <v>Retail</v>
      </c>
      <c r="P233">
        <f>IFERROR(VLOOKUP(C233,Customers!$A$2:$F$301,3,FALSE()),"")</f>
        <v>38</v>
      </c>
      <c r="Q233">
        <f t="shared" si="9"/>
        <v>0.4891089108910891</v>
      </c>
      <c r="R233">
        <f>IF(AND(COUNTIF($A$2:$A$2047,A233)&gt;1,COUNTIF($A$2:A233,A233)=1),1,0)</f>
        <v>0</v>
      </c>
      <c r="S233" t="b">
        <f>IFERROR(VLOOKUP(D233,Products!$A$2:$F$61,6,FALSE()),"")</f>
        <v>1</v>
      </c>
      <c r="T233" t="str">
        <f>IF(COUNTIF(Customers!$A$2:$A$301,C233)=0,"Missing","OK")</f>
        <v>OK</v>
      </c>
      <c r="U233" t="str">
        <f t="shared" si="10"/>
        <v>Chennai</v>
      </c>
      <c r="V233">
        <f t="shared" si="11"/>
        <v>0</v>
      </c>
    </row>
    <row r="234" spans="1:22" ht="15" customHeight="1" x14ac:dyDescent="0.35">
      <c r="A234" s="3" t="s">
        <v>515</v>
      </c>
      <c r="B234" s="4">
        <v>45643</v>
      </c>
      <c r="C234" s="3" t="s">
        <v>251</v>
      </c>
      <c r="D234" s="3" t="s">
        <v>454</v>
      </c>
      <c r="E234" s="3" t="s">
        <v>168</v>
      </c>
      <c r="F234" s="5">
        <v>7</v>
      </c>
      <c r="G234" s="5">
        <v>6940</v>
      </c>
      <c r="H234" s="5">
        <v>25.8</v>
      </c>
      <c r="I234" s="5">
        <v>36046.36</v>
      </c>
      <c r="J234" s="3" t="s">
        <v>26</v>
      </c>
      <c r="K234" s="3" t="s">
        <v>72</v>
      </c>
      <c r="L234" t="str">
        <f>IFERROR(VLOOKUP(D234,Products!$A$2:$F$61,3,FALSE()),"")</f>
        <v>Sports</v>
      </c>
      <c r="M234" t="str">
        <f>IFERROR(VLOOKUP(E234,Sales_Reps!$A$2:$C$31,3,FALSE()),"")</f>
        <v>West</v>
      </c>
      <c r="N234">
        <f>IFERROR(VLOOKUP(D234,Products!$A$2:$F$61,4,FALSE()),"")</f>
        <v>2827</v>
      </c>
      <c r="O234" t="str">
        <f>IFERROR(VLOOKUP(C234,Customers!$A$2:$F$301,5,FALSE()),"")</f>
        <v>Retail</v>
      </c>
      <c r="P234">
        <f>IFERROR(VLOOKUP(C234,Customers!$A$2:$F$301,3,FALSE()),"")</f>
        <v>46</v>
      </c>
      <c r="Q234">
        <f t="shared" si="9"/>
        <v>0.5926512968299712</v>
      </c>
      <c r="R234">
        <f>IF(AND(COUNTIF($A$2:$A$2047,A234)&gt;1,COUNTIF($A$2:A234,A234)=1),1,0)</f>
        <v>0</v>
      </c>
      <c r="S234" t="b">
        <f>IFERROR(VLOOKUP(D234,Products!$A$2:$F$61,6,FALSE()),"")</f>
        <v>1</v>
      </c>
      <c r="T234" t="str">
        <f>IF(COUNTIF(Customers!$A$2:$A$301,C234)=0,"Missing","OK")</f>
        <v>OK</v>
      </c>
      <c r="U234" t="str">
        <f t="shared" si="10"/>
        <v>Hyderabad</v>
      </c>
      <c r="V234">
        <f t="shared" si="11"/>
        <v>0</v>
      </c>
    </row>
    <row r="235" spans="1:22" ht="15" customHeight="1" x14ac:dyDescent="0.35">
      <c r="A235" s="3" t="s">
        <v>516</v>
      </c>
      <c r="B235" s="4">
        <v>45542</v>
      </c>
      <c r="C235" s="3" t="s">
        <v>492</v>
      </c>
      <c r="D235" s="3" t="s">
        <v>325</v>
      </c>
      <c r="E235" s="3" t="s">
        <v>55</v>
      </c>
      <c r="F235" s="5">
        <v>6</v>
      </c>
      <c r="G235" s="5">
        <v>2290</v>
      </c>
      <c r="H235" s="5">
        <v>25.9</v>
      </c>
      <c r="I235" s="5">
        <v>10181.34</v>
      </c>
      <c r="J235" s="3" t="s">
        <v>32</v>
      </c>
      <c r="K235" s="3" t="s">
        <v>51</v>
      </c>
      <c r="L235" t="str">
        <f>IFERROR(VLOOKUP(D235,Products!$A$2:$F$61,3,FALSE()),"")</f>
        <v>Beauty</v>
      </c>
      <c r="M235" t="str">
        <f>IFERROR(VLOOKUP(E235,Sales_Reps!$A$2:$C$31,3,FALSE()),"")</f>
        <v>West</v>
      </c>
      <c r="N235">
        <f>IFERROR(VLOOKUP(D235,Products!$A$2:$F$61,4,FALSE()),"")</f>
        <v>1219</v>
      </c>
      <c r="O235" t="str">
        <f>IFERROR(VLOOKUP(C235,Customers!$A$2:$F$301,5,FALSE()),"")</f>
        <v>Retail</v>
      </c>
      <c r="P235">
        <f>IFERROR(VLOOKUP(C235,Customers!$A$2:$F$301,3,FALSE()),"")</f>
        <v>65</v>
      </c>
      <c r="Q235">
        <f t="shared" si="9"/>
        <v>0.46768558951965067</v>
      </c>
      <c r="R235">
        <f>IF(AND(COUNTIF($A$2:$A$2047,A235)&gt;1,COUNTIF($A$2:A235,A235)=1),1,0)</f>
        <v>0</v>
      </c>
      <c r="S235" t="b">
        <f>IFERROR(VLOOKUP(D235,Products!$A$2:$F$61,6,FALSE()),"")</f>
        <v>1</v>
      </c>
      <c r="T235" t="str">
        <f>IF(COUNTIF(Customers!$A$2:$A$301,C235)=0,"Missing","OK")</f>
        <v>OK</v>
      </c>
      <c r="U235" t="str">
        <f t="shared" si="10"/>
        <v>Mumbai</v>
      </c>
      <c r="V235">
        <f t="shared" si="11"/>
        <v>0</v>
      </c>
    </row>
    <row r="236" spans="1:22" ht="15" customHeight="1" x14ac:dyDescent="0.35">
      <c r="A236" s="3" t="s">
        <v>517</v>
      </c>
      <c r="B236" s="4">
        <v>45508</v>
      </c>
      <c r="C236" s="3" t="s">
        <v>76</v>
      </c>
      <c r="D236" s="3" t="s">
        <v>49</v>
      </c>
      <c r="E236" s="3" t="s">
        <v>37</v>
      </c>
      <c r="F236" s="5">
        <v>2</v>
      </c>
      <c r="G236" s="5">
        <v>370</v>
      </c>
      <c r="H236" s="5">
        <v>3.9</v>
      </c>
      <c r="I236" s="5">
        <v>711.14</v>
      </c>
      <c r="J236" s="3" t="s">
        <v>26</v>
      </c>
      <c r="K236" s="3" t="s">
        <v>38</v>
      </c>
      <c r="L236" t="str">
        <f>IFERROR(VLOOKUP(D236,Products!$A$2:$F$61,3,FALSE()),"")</f>
        <v>Home</v>
      </c>
      <c r="M236" t="str">
        <f>IFERROR(VLOOKUP(E236,Sales_Reps!$A$2:$C$31,3,FALSE()),"")</f>
        <v>South</v>
      </c>
      <c r="N236">
        <f>IFERROR(VLOOKUP(D236,Products!$A$2:$F$61,4,FALSE()),"")</f>
        <v>288</v>
      </c>
      <c r="O236" t="str">
        <f>IFERROR(VLOOKUP(C236,Customers!$A$2:$F$301,5,FALSE()),"")</f>
        <v>SMB</v>
      </c>
      <c r="P236">
        <f>IFERROR(VLOOKUP(C236,Customers!$A$2:$F$301,3,FALSE()),"")</f>
        <v>27</v>
      </c>
      <c r="Q236">
        <f t="shared" si="9"/>
        <v>0.22162162162162163</v>
      </c>
      <c r="R236">
        <f>IF(AND(COUNTIF($A$2:$A$2047,A236)&gt;1,COUNTIF($A$2:A236,A236)=1),1,0)</f>
        <v>0</v>
      </c>
      <c r="S236" t="b">
        <f>IFERROR(VLOOKUP(D236,Products!$A$2:$F$61,6,FALSE()),"")</f>
        <v>1</v>
      </c>
      <c r="T236" t="str">
        <f>IF(COUNTIF(Customers!$A$2:$A$301,C236)=0,"Missing","OK")</f>
        <v>OK</v>
      </c>
      <c r="U236" t="str">
        <f t="shared" si="10"/>
        <v>Delhi</v>
      </c>
      <c r="V236">
        <f t="shared" si="11"/>
        <v>0</v>
      </c>
    </row>
    <row r="237" spans="1:22" ht="15" customHeight="1" x14ac:dyDescent="0.35">
      <c r="A237" s="3" t="s">
        <v>518</v>
      </c>
      <c r="B237" s="4">
        <v>45353</v>
      </c>
      <c r="C237" s="3" t="s">
        <v>519</v>
      </c>
      <c r="D237" s="3" t="s">
        <v>184</v>
      </c>
      <c r="E237" s="3" t="s">
        <v>131</v>
      </c>
      <c r="F237" s="5">
        <v>1</v>
      </c>
      <c r="G237" s="5">
        <v>2270</v>
      </c>
      <c r="H237" s="5">
        <v>25.3</v>
      </c>
      <c r="I237" s="5">
        <v>1695.69</v>
      </c>
      <c r="J237" s="3" t="s">
        <v>26</v>
      </c>
      <c r="K237" s="3" t="s">
        <v>27</v>
      </c>
      <c r="L237" t="str">
        <f>IFERROR(VLOOKUP(D237,Products!$A$2:$F$61,3,FALSE()),"")</f>
        <v>Grocery</v>
      </c>
      <c r="M237" t="str">
        <f>IFERROR(VLOOKUP(E237,Sales_Reps!$A$2:$C$31,3,FALSE()),"")</f>
        <v>East</v>
      </c>
      <c r="N237">
        <f>IFERROR(VLOOKUP(D237,Products!$A$2:$F$61,4,FALSE()),"")</f>
        <v>1412</v>
      </c>
      <c r="O237" t="str">
        <f>IFERROR(VLOOKUP(C237,Customers!$A$2:$F$301,5,FALSE()),"")</f>
        <v>Corporate</v>
      </c>
      <c r="P237">
        <f>IFERROR(VLOOKUP(C237,Customers!$A$2:$F$301,3,FALSE()),"")</f>
        <v>40</v>
      </c>
      <c r="Q237">
        <f t="shared" si="9"/>
        <v>0.37797356828193834</v>
      </c>
      <c r="R237">
        <f>IF(AND(COUNTIF($A$2:$A$2047,A237)&gt;1,COUNTIF($A$2:A237,A237)=1),1,0)</f>
        <v>0</v>
      </c>
      <c r="S237" t="b">
        <f>IFERROR(VLOOKUP(D237,Products!$A$2:$F$61,6,FALSE()),"")</f>
        <v>1</v>
      </c>
      <c r="T237" t="str">
        <f>IF(COUNTIF(Customers!$A$2:$A$301,C237)=0,"Missing","OK")</f>
        <v>OK</v>
      </c>
      <c r="U237" t="str">
        <f t="shared" si="10"/>
        <v>Pune</v>
      </c>
      <c r="V237">
        <f t="shared" si="11"/>
        <v>0</v>
      </c>
    </row>
    <row r="238" spans="1:22" ht="15" customHeight="1" x14ac:dyDescent="0.35">
      <c r="A238" s="3" t="s">
        <v>520</v>
      </c>
      <c r="B238" s="4">
        <v>45344</v>
      </c>
      <c r="C238" s="3" t="s">
        <v>521</v>
      </c>
      <c r="D238" s="3" t="s">
        <v>180</v>
      </c>
      <c r="E238" s="3" t="s">
        <v>236</v>
      </c>
      <c r="F238" s="5">
        <v>4</v>
      </c>
      <c r="G238" s="5">
        <v>6080</v>
      </c>
      <c r="H238" s="5">
        <v>28.8</v>
      </c>
      <c r="I238" s="5">
        <v>17315.84</v>
      </c>
      <c r="J238" s="3" t="s">
        <v>32</v>
      </c>
      <c r="K238" s="3" t="s">
        <v>33</v>
      </c>
      <c r="L238" t="str">
        <f>IFERROR(VLOOKUP(D238,Products!$A$2:$F$61,3,FALSE()),"")</f>
        <v>Beauty</v>
      </c>
      <c r="M238" t="str">
        <f>IFERROR(VLOOKUP(E238,Sales_Reps!$A$2:$C$31,3,FALSE()),"")</f>
        <v>North</v>
      </c>
      <c r="N238">
        <f>IFERROR(VLOOKUP(D238,Products!$A$2:$F$61,4,FALSE()),"")</f>
        <v>2617</v>
      </c>
      <c r="O238" t="str">
        <f>IFERROR(VLOOKUP(C238,Customers!$A$2:$F$301,5,FALSE()),"")</f>
        <v>SMB</v>
      </c>
      <c r="P238">
        <f>IFERROR(VLOOKUP(C238,Customers!$A$2:$F$301,3,FALSE()),"")</f>
        <v>59</v>
      </c>
      <c r="Q238">
        <f t="shared" si="9"/>
        <v>0.56957236842105263</v>
      </c>
      <c r="R238">
        <f>IF(AND(COUNTIF($A$2:$A$2047,A238)&gt;1,COUNTIF($A$2:A238,A238)=1),1,0)</f>
        <v>0</v>
      </c>
      <c r="S238" t="b">
        <f>IFERROR(VLOOKUP(D238,Products!$A$2:$F$61,6,FALSE()),"")</f>
        <v>1</v>
      </c>
      <c r="T238" t="str">
        <f>IF(COUNTIF(Customers!$A$2:$A$301,C238)=0,"Missing","OK")</f>
        <v>OK</v>
      </c>
      <c r="U238" t="str">
        <f t="shared" si="10"/>
        <v>Chennai</v>
      </c>
      <c r="V238">
        <f t="shared" si="11"/>
        <v>0</v>
      </c>
    </row>
    <row r="239" spans="1:22" ht="15" customHeight="1" x14ac:dyDescent="0.35">
      <c r="A239" s="3" t="s">
        <v>522</v>
      </c>
      <c r="B239" s="4">
        <v>45389</v>
      </c>
      <c r="C239" s="3" t="s">
        <v>186</v>
      </c>
      <c r="D239" s="3" t="s">
        <v>303</v>
      </c>
      <c r="E239" s="3" t="s">
        <v>242</v>
      </c>
      <c r="F239" s="5">
        <v>2</v>
      </c>
      <c r="G239" s="5">
        <v>5330</v>
      </c>
      <c r="H239" s="5">
        <v>23.8</v>
      </c>
      <c r="I239" s="5">
        <v>8122.92</v>
      </c>
      <c r="J239" s="3" t="s">
        <v>32</v>
      </c>
      <c r="K239" s="3" t="s">
        <v>56</v>
      </c>
      <c r="L239" t="str">
        <f>IFERROR(VLOOKUP(D239,Products!$A$2:$F$61,3,FALSE()),"")</f>
        <v>Electronics</v>
      </c>
      <c r="M239" t="str">
        <f>IFERROR(VLOOKUP(E239,Sales_Reps!$A$2:$C$31,3,FALSE()),"")</f>
        <v>East</v>
      </c>
      <c r="N239">
        <f>IFERROR(VLOOKUP(D239,Products!$A$2:$F$61,4,FALSE()),"")</f>
        <v>2405</v>
      </c>
      <c r="O239" t="str">
        <f>IFERROR(VLOOKUP(C239,Customers!$A$2:$F$301,5,FALSE()),"")</f>
        <v>Retail</v>
      </c>
      <c r="P239">
        <f>IFERROR(VLOOKUP(C239,Customers!$A$2:$F$301,3,FALSE()),"")</f>
        <v>34</v>
      </c>
      <c r="Q239">
        <f t="shared" si="9"/>
        <v>0.54878048780487809</v>
      </c>
      <c r="R239">
        <f>IF(AND(COUNTIF($A$2:$A$2047,A239)&gt;1,COUNTIF($A$2:A239,A239)=1),1,0)</f>
        <v>0</v>
      </c>
      <c r="S239" t="b">
        <f>IFERROR(VLOOKUP(D239,Products!$A$2:$F$61,6,FALSE()),"")</f>
        <v>1</v>
      </c>
      <c r="T239" t="str">
        <f>IF(COUNTIF(Customers!$A$2:$A$301,C239)=0,"Missing","OK")</f>
        <v>OK</v>
      </c>
      <c r="U239" t="str">
        <f t="shared" si="10"/>
        <v>Bengaluru</v>
      </c>
      <c r="V239">
        <f t="shared" si="11"/>
        <v>0</v>
      </c>
    </row>
    <row r="240" spans="1:22" ht="15" customHeight="1" x14ac:dyDescent="0.35">
      <c r="A240" s="3" t="s">
        <v>523</v>
      </c>
      <c r="B240" s="4">
        <v>45344</v>
      </c>
      <c r="C240" s="3" t="s">
        <v>524</v>
      </c>
      <c r="D240" s="3" t="s">
        <v>203</v>
      </c>
      <c r="E240" s="3" t="s">
        <v>55</v>
      </c>
      <c r="F240" s="5">
        <v>2</v>
      </c>
      <c r="G240" s="5">
        <v>4070</v>
      </c>
      <c r="H240" s="5">
        <v>4.3</v>
      </c>
      <c r="I240" s="5">
        <v>7789.98</v>
      </c>
      <c r="J240" s="3" t="s">
        <v>26</v>
      </c>
      <c r="K240" s="3" t="s">
        <v>33</v>
      </c>
      <c r="L240" t="str">
        <f>IFERROR(VLOOKUP(D240,Products!$A$2:$F$61,3,FALSE()),"")</f>
        <v>Grocery</v>
      </c>
      <c r="M240" t="str">
        <f>IFERROR(VLOOKUP(E240,Sales_Reps!$A$2:$C$31,3,FALSE()),"")</f>
        <v>West</v>
      </c>
      <c r="N240">
        <f>IFERROR(VLOOKUP(D240,Products!$A$2:$F$61,4,FALSE()),"")</f>
        <v>2027</v>
      </c>
      <c r="O240" t="str">
        <f>IFERROR(VLOOKUP(C240,Customers!$A$2:$F$301,5,FALSE()),"")</f>
        <v>Retail</v>
      </c>
      <c r="P240">
        <f>IFERROR(VLOOKUP(C240,Customers!$A$2:$F$301,3,FALSE()),"")</f>
        <v>26</v>
      </c>
      <c r="Q240">
        <f t="shared" si="9"/>
        <v>0.50196560196560192</v>
      </c>
      <c r="R240">
        <f>IF(AND(COUNTIF($A$2:$A$2047,A240)&gt;1,COUNTIF($A$2:A240,A240)=1),1,0)</f>
        <v>0</v>
      </c>
      <c r="S240" t="b">
        <f>IFERROR(VLOOKUP(D240,Products!$A$2:$F$61,6,FALSE()),"")</f>
        <v>1</v>
      </c>
      <c r="T240" t="str">
        <f>IF(COUNTIF(Customers!$A$2:$A$301,C240)=0,"Missing","OK")</f>
        <v>OK</v>
      </c>
      <c r="U240" t="str">
        <f t="shared" si="10"/>
        <v>Chennai</v>
      </c>
      <c r="V240">
        <f t="shared" si="11"/>
        <v>0</v>
      </c>
    </row>
    <row r="241" spans="1:22" ht="15" customHeight="1" x14ac:dyDescent="0.35">
      <c r="A241" s="3" t="s">
        <v>525</v>
      </c>
      <c r="B241" s="4">
        <v>45480</v>
      </c>
      <c r="C241" s="3" t="s">
        <v>399</v>
      </c>
      <c r="D241" s="3" t="s">
        <v>221</v>
      </c>
      <c r="E241" s="3" t="s">
        <v>78</v>
      </c>
      <c r="F241" s="5">
        <v>6</v>
      </c>
      <c r="G241" s="5">
        <v>300</v>
      </c>
      <c r="H241" s="5">
        <v>17.399999999999999</v>
      </c>
      <c r="I241" s="5">
        <v>1486.8</v>
      </c>
      <c r="J241" s="3" t="s">
        <v>79</v>
      </c>
      <c r="K241" s="3" t="s">
        <v>27</v>
      </c>
      <c r="L241" t="str">
        <f>IFERROR(VLOOKUP(D241,Products!$A$2:$F$61,3,FALSE()),"")</f>
        <v>Electronics</v>
      </c>
      <c r="M241" t="str">
        <f>IFERROR(VLOOKUP(E241,Sales_Reps!$A$2:$C$31,3,FALSE()),"")</f>
        <v>North</v>
      </c>
      <c r="N241">
        <f>IFERROR(VLOOKUP(D241,Products!$A$2:$F$61,4,FALSE()),"")</f>
        <v>128</v>
      </c>
      <c r="O241" t="str">
        <f>IFERROR(VLOOKUP(C241,Customers!$A$2:$F$301,5,FALSE()),"")</f>
        <v>Corporate</v>
      </c>
      <c r="P241">
        <f>IFERROR(VLOOKUP(C241,Customers!$A$2:$F$301,3,FALSE()),"")</f>
        <v>37</v>
      </c>
      <c r="Q241">
        <f t="shared" si="9"/>
        <v>0.57333333333333336</v>
      </c>
      <c r="R241">
        <f>IF(AND(COUNTIF($A$2:$A$2047,A241)&gt;1,COUNTIF($A$2:A241,A241)=1),1,0)</f>
        <v>0</v>
      </c>
      <c r="S241" t="b">
        <f>IFERROR(VLOOKUP(D241,Products!$A$2:$F$61,6,FALSE()),"")</f>
        <v>1</v>
      </c>
      <c r="T241" t="str">
        <f>IF(COUNTIF(Customers!$A$2:$A$301,C241)=0,"Missing","OK")</f>
        <v>OK</v>
      </c>
      <c r="U241" t="str">
        <f t="shared" si="10"/>
        <v>Pune</v>
      </c>
      <c r="V241">
        <f t="shared" si="11"/>
        <v>0</v>
      </c>
    </row>
    <row r="242" spans="1:22" ht="15" customHeight="1" x14ac:dyDescent="0.35">
      <c r="A242" s="3" t="s">
        <v>526</v>
      </c>
      <c r="B242" s="4">
        <v>45488</v>
      </c>
      <c r="C242" s="3" t="s">
        <v>65</v>
      </c>
      <c r="D242" s="3" t="s">
        <v>123</v>
      </c>
      <c r="E242" s="3" t="s">
        <v>37</v>
      </c>
      <c r="F242" s="5">
        <v>1</v>
      </c>
      <c r="G242" s="5">
        <v>4880</v>
      </c>
      <c r="H242" s="5">
        <v>17.5</v>
      </c>
      <c r="I242" s="5">
        <v>4026</v>
      </c>
      <c r="J242" s="3" t="s">
        <v>26</v>
      </c>
      <c r="K242" s="3" t="s">
        <v>27</v>
      </c>
      <c r="L242" t="str">
        <f>IFERROR(VLOOKUP(D242,Products!$A$2:$F$61,3,FALSE()),"")</f>
        <v>Beauty</v>
      </c>
      <c r="M242" t="str">
        <f>IFERROR(VLOOKUP(E242,Sales_Reps!$A$2:$C$31,3,FALSE()),"")</f>
        <v>South</v>
      </c>
      <c r="N242">
        <f>IFERROR(VLOOKUP(D242,Products!$A$2:$F$61,4,FALSE()),"")</f>
        <v>2768</v>
      </c>
      <c r="O242" t="str">
        <f>IFERROR(VLOOKUP(C242,Customers!$A$2:$F$301,5,FALSE()),"")</f>
        <v>Retail</v>
      </c>
      <c r="P242">
        <f>IFERROR(VLOOKUP(C242,Customers!$A$2:$F$301,3,FALSE()),"")</f>
        <v>56</v>
      </c>
      <c r="Q242">
        <f t="shared" si="9"/>
        <v>0.43278688524590164</v>
      </c>
      <c r="R242">
        <f>IF(AND(COUNTIF($A$2:$A$2047,A242)&gt;1,COUNTIF($A$2:A242,A242)=1),1,0)</f>
        <v>0</v>
      </c>
      <c r="S242" t="b">
        <f>IFERROR(VLOOKUP(D242,Products!$A$2:$F$61,6,FALSE()),"")</f>
        <v>1</v>
      </c>
      <c r="T242" t="str">
        <f>IF(COUNTIF(Customers!$A$2:$A$301,C242)=0,"Missing","OK")</f>
        <v>OK</v>
      </c>
      <c r="U242" t="str">
        <f t="shared" si="10"/>
        <v>Pune</v>
      </c>
      <c r="V242">
        <f t="shared" si="11"/>
        <v>0</v>
      </c>
    </row>
    <row r="243" spans="1:22" ht="15" customHeight="1" x14ac:dyDescent="0.35">
      <c r="A243" s="3" t="s">
        <v>527</v>
      </c>
      <c r="B243" s="4">
        <v>45326</v>
      </c>
      <c r="C243" s="3" t="s">
        <v>528</v>
      </c>
      <c r="D243" s="3" t="s">
        <v>134</v>
      </c>
      <c r="E243" s="3" t="s">
        <v>282</v>
      </c>
      <c r="F243" s="5">
        <v>3</v>
      </c>
      <c r="G243" s="5">
        <v>2860</v>
      </c>
      <c r="H243" s="5">
        <v>20.100000000000001</v>
      </c>
      <c r="I243" s="5">
        <v>6855.42</v>
      </c>
      <c r="J243" s="3" t="s">
        <v>26</v>
      </c>
      <c r="K243" s="3" t="s">
        <v>33</v>
      </c>
      <c r="L243" t="str">
        <f>IFERROR(VLOOKUP(D243,Products!$A$2:$F$61,3,FALSE()),"")</f>
        <v>Sports</v>
      </c>
      <c r="M243" t="str">
        <f>IFERROR(VLOOKUP(E243,Sales_Reps!$A$2:$C$31,3,FALSE()),"")</f>
        <v>West</v>
      </c>
      <c r="N243">
        <f>IFERROR(VLOOKUP(D243,Products!$A$2:$F$61,4,FALSE()),"")</f>
        <v>2028</v>
      </c>
      <c r="O243" t="str">
        <f>IFERROR(VLOOKUP(C243,Customers!$A$2:$F$301,5,FALSE()),"")</f>
        <v>Corporate</v>
      </c>
      <c r="P243">
        <f>IFERROR(VLOOKUP(C243,Customers!$A$2:$F$301,3,FALSE()),"")</f>
        <v>30</v>
      </c>
      <c r="Q243">
        <f t="shared" si="9"/>
        <v>0.29090909090909089</v>
      </c>
      <c r="R243">
        <f>IF(AND(COUNTIF($A$2:$A$2047,A243)&gt;1,COUNTIF($A$2:A243,A243)=1),1,0)</f>
        <v>0</v>
      </c>
      <c r="S243" t="b">
        <f>IFERROR(VLOOKUP(D243,Products!$A$2:$F$61,6,FALSE()),"")</f>
        <v>1</v>
      </c>
      <c r="T243" t="str">
        <f>IF(COUNTIF(Customers!$A$2:$A$301,C243)=0,"Missing","OK")</f>
        <v>OK</v>
      </c>
      <c r="U243" t="str">
        <f t="shared" si="10"/>
        <v>Chennai</v>
      </c>
      <c r="V243">
        <f t="shared" si="11"/>
        <v>0</v>
      </c>
    </row>
    <row r="244" spans="1:22" ht="15" customHeight="1" x14ac:dyDescent="0.35">
      <c r="A244" s="3" t="s">
        <v>529</v>
      </c>
      <c r="B244" s="4">
        <v>45627</v>
      </c>
      <c r="C244" s="3" t="s">
        <v>247</v>
      </c>
      <c r="D244" s="3" t="s">
        <v>198</v>
      </c>
      <c r="E244" s="3" t="s">
        <v>236</v>
      </c>
      <c r="F244" s="5">
        <v>3</v>
      </c>
      <c r="G244" s="5">
        <v>1540</v>
      </c>
      <c r="H244" s="5">
        <v>20.9</v>
      </c>
      <c r="I244" s="5">
        <v>3654.42</v>
      </c>
      <c r="J244" s="3" t="s">
        <v>26</v>
      </c>
      <c r="K244" s="3" t="s">
        <v>27</v>
      </c>
      <c r="L244" t="str">
        <f>IFERROR(VLOOKUP(D244,Products!$A$2:$F$61,3,FALSE()),"")</f>
        <v>Beauty</v>
      </c>
      <c r="M244" t="str">
        <f>IFERROR(VLOOKUP(E244,Sales_Reps!$A$2:$C$31,3,FALSE()),"")</f>
        <v>North</v>
      </c>
      <c r="N244">
        <f>IFERROR(VLOOKUP(D244,Products!$A$2:$F$61,4,FALSE()),"")</f>
        <v>647</v>
      </c>
      <c r="O244" t="str">
        <f>IFERROR(VLOOKUP(C244,Customers!$A$2:$F$301,5,FALSE()),"")</f>
        <v>SMB</v>
      </c>
      <c r="P244">
        <f>IFERROR(VLOOKUP(C244,Customers!$A$2:$F$301,3,FALSE()),"")</f>
        <v>54</v>
      </c>
      <c r="Q244">
        <f t="shared" si="9"/>
        <v>0.57987012987012987</v>
      </c>
      <c r="R244">
        <f>IF(AND(COUNTIF($A$2:$A$2047,A244)&gt;1,COUNTIF($A$2:A244,A244)=1),1,0)</f>
        <v>0</v>
      </c>
      <c r="S244" t="b">
        <f>IFERROR(VLOOKUP(D244,Products!$A$2:$F$61,6,FALSE()),"")</f>
        <v>0</v>
      </c>
      <c r="T244" t="str">
        <f>IF(COUNTIF(Customers!$A$2:$A$301,C244)=0,"Missing","OK")</f>
        <v>OK</v>
      </c>
      <c r="U244" t="str">
        <f t="shared" si="10"/>
        <v>Pune</v>
      </c>
      <c r="V244">
        <f t="shared" si="11"/>
        <v>0</v>
      </c>
    </row>
    <row r="245" spans="1:22" ht="15" customHeight="1" x14ac:dyDescent="0.35">
      <c r="A245" s="3" t="s">
        <v>530</v>
      </c>
      <c r="B245" s="4">
        <v>45576</v>
      </c>
      <c r="C245" s="3" t="s">
        <v>531</v>
      </c>
      <c r="D245" s="3" t="s">
        <v>74</v>
      </c>
      <c r="E245" s="3" t="s">
        <v>71</v>
      </c>
      <c r="F245" s="5">
        <v>10</v>
      </c>
      <c r="G245" s="5">
        <v>2640</v>
      </c>
      <c r="H245" s="5">
        <v>11.2</v>
      </c>
      <c r="I245" s="5">
        <v>23443.200000000001</v>
      </c>
      <c r="J245" s="3" t="s">
        <v>32</v>
      </c>
      <c r="K245" s="3" t="s">
        <v>72</v>
      </c>
      <c r="L245" t="str">
        <f>IFERROR(VLOOKUP(D245,Products!$A$2:$F$61,3,FALSE()),"")</f>
        <v>Electronics</v>
      </c>
      <c r="M245" t="str">
        <f>IFERROR(VLOOKUP(E245,Sales_Reps!$A$2:$C$31,3,FALSE()),"")</f>
        <v>South</v>
      </c>
      <c r="N245">
        <f>IFERROR(VLOOKUP(D245,Products!$A$2:$F$61,4,FALSE()),"")</f>
        <v>1149</v>
      </c>
      <c r="O245" t="str">
        <f>IFERROR(VLOOKUP(C245,Customers!$A$2:$F$301,5,FALSE()),"")</f>
        <v>Retail</v>
      </c>
      <c r="P245">
        <f>IFERROR(VLOOKUP(C245,Customers!$A$2:$F$301,3,FALSE()),"")</f>
        <v>22</v>
      </c>
      <c r="Q245">
        <f t="shared" si="9"/>
        <v>0.56477272727272732</v>
      </c>
      <c r="R245">
        <f>IF(AND(COUNTIF($A$2:$A$2047,A245)&gt;1,COUNTIF($A$2:A245,A245)=1),1,0)</f>
        <v>0</v>
      </c>
      <c r="S245" t="b">
        <f>IFERROR(VLOOKUP(D245,Products!$A$2:$F$61,6,FALSE()),"")</f>
        <v>1</v>
      </c>
      <c r="T245" t="str">
        <f>IF(COUNTIF(Customers!$A$2:$A$301,C245)=0,"Missing","OK")</f>
        <v>OK</v>
      </c>
      <c r="U245" t="str">
        <f t="shared" si="10"/>
        <v>Hyderabad</v>
      </c>
      <c r="V245">
        <f t="shared" si="11"/>
        <v>0</v>
      </c>
    </row>
    <row r="246" spans="1:22" ht="15" customHeight="1" x14ac:dyDescent="0.35">
      <c r="A246" s="3" t="s">
        <v>532</v>
      </c>
      <c r="B246" s="4">
        <v>45317</v>
      </c>
      <c r="C246" s="3" t="s">
        <v>355</v>
      </c>
      <c r="D246" s="3" t="s">
        <v>45</v>
      </c>
      <c r="E246" s="3" t="s">
        <v>191</v>
      </c>
      <c r="F246" s="5">
        <v>1</v>
      </c>
      <c r="G246" s="5">
        <v>3160</v>
      </c>
      <c r="H246" s="5">
        <v>11.5</v>
      </c>
      <c r="I246" s="5">
        <v>2796.6</v>
      </c>
      <c r="J246" s="3" t="s">
        <v>26</v>
      </c>
      <c r="K246" s="3" t="s">
        <v>56</v>
      </c>
      <c r="L246" t="str">
        <f>IFERROR(VLOOKUP(D246,Products!$A$2:$F$61,3,FALSE()),"")</f>
        <v>Apparel</v>
      </c>
      <c r="M246" t="str">
        <f>IFERROR(VLOOKUP(E246,Sales_Reps!$A$2:$C$31,3,FALSE()),"")</f>
        <v>South</v>
      </c>
      <c r="N246">
        <f>IFERROR(VLOOKUP(D246,Products!$A$2:$F$61,4,FALSE()),"")</f>
        <v>1886</v>
      </c>
      <c r="O246" t="str">
        <f>IFERROR(VLOOKUP(C246,Customers!$A$2:$F$301,5,FALSE()),"")</f>
        <v>Corporate</v>
      </c>
      <c r="P246">
        <f>IFERROR(VLOOKUP(C246,Customers!$A$2:$F$301,3,FALSE()),"")</f>
        <v>42</v>
      </c>
      <c r="Q246">
        <f t="shared" si="9"/>
        <v>0.4031645569620253</v>
      </c>
      <c r="R246">
        <f>IF(AND(COUNTIF($A$2:$A$2047,A246)&gt;1,COUNTIF($A$2:A246,A246)=1),1,0)</f>
        <v>0</v>
      </c>
      <c r="S246" t="b">
        <f>IFERROR(VLOOKUP(D246,Products!$A$2:$F$61,6,FALSE()),"")</f>
        <v>1</v>
      </c>
      <c r="T246" t="str">
        <f>IF(COUNTIF(Customers!$A$2:$A$301,C246)=0,"Missing","OK")</f>
        <v>OK</v>
      </c>
      <c r="U246" t="str">
        <f t="shared" si="10"/>
        <v>Bengaluru</v>
      </c>
      <c r="V246">
        <f t="shared" si="11"/>
        <v>0</v>
      </c>
    </row>
    <row r="247" spans="1:22" ht="15" customHeight="1" x14ac:dyDescent="0.35">
      <c r="A247" s="3" t="s">
        <v>533</v>
      </c>
      <c r="B247" s="4">
        <v>45650</v>
      </c>
      <c r="C247" s="3" t="s">
        <v>534</v>
      </c>
      <c r="D247" s="3" t="s">
        <v>103</v>
      </c>
      <c r="E247" s="3" t="s">
        <v>25</v>
      </c>
      <c r="F247" s="5">
        <v>4</v>
      </c>
      <c r="G247" s="5">
        <v>1080</v>
      </c>
      <c r="H247" s="5">
        <v>20.7</v>
      </c>
      <c r="I247" s="5">
        <v>3425.76</v>
      </c>
      <c r="J247" s="3" t="s">
        <v>32</v>
      </c>
      <c r="K247" s="3" t="s">
        <v>38</v>
      </c>
      <c r="L247" t="str">
        <f>IFERROR(VLOOKUP(D247,Products!$A$2:$F$61,3,FALSE()),"")</f>
        <v>Home</v>
      </c>
      <c r="M247" t="str">
        <f>IFERROR(VLOOKUP(E247,Sales_Reps!$A$2:$C$31,3,FALSE()),"")</f>
        <v>North</v>
      </c>
      <c r="N247">
        <f>IFERROR(VLOOKUP(D247,Products!$A$2:$F$61,4,FALSE()),"")</f>
        <v>519</v>
      </c>
      <c r="O247" t="str">
        <f>IFERROR(VLOOKUP(C247,Customers!$A$2:$F$301,5,FALSE()),"")</f>
        <v>SMB</v>
      </c>
      <c r="P247">
        <f>IFERROR(VLOOKUP(C247,Customers!$A$2:$F$301,3,FALSE()),"")</f>
        <v>48</v>
      </c>
      <c r="Q247">
        <f t="shared" si="9"/>
        <v>0.51944444444444449</v>
      </c>
      <c r="R247">
        <f>IF(AND(COUNTIF($A$2:$A$2047,A247)&gt;1,COUNTIF($A$2:A247,A247)=1),1,0)</f>
        <v>0</v>
      </c>
      <c r="S247" t="b">
        <f>IFERROR(VLOOKUP(D247,Products!$A$2:$F$61,6,FALSE()),"")</f>
        <v>1</v>
      </c>
      <c r="T247" t="str">
        <f>IF(COUNTIF(Customers!$A$2:$A$301,C247)=0,"Missing","OK")</f>
        <v>OK</v>
      </c>
      <c r="U247" t="str">
        <f t="shared" si="10"/>
        <v>Delhi</v>
      </c>
      <c r="V247">
        <f t="shared" si="11"/>
        <v>0</v>
      </c>
    </row>
    <row r="248" spans="1:22" ht="15" customHeight="1" x14ac:dyDescent="0.35">
      <c r="A248" s="3" t="s">
        <v>535</v>
      </c>
      <c r="B248" s="4">
        <v>45585</v>
      </c>
      <c r="C248" s="3" t="s">
        <v>536</v>
      </c>
      <c r="D248" s="3" t="s">
        <v>121</v>
      </c>
      <c r="E248" s="3" t="s">
        <v>191</v>
      </c>
      <c r="F248" s="5">
        <v>4</v>
      </c>
      <c r="G248" s="5">
        <v>1010</v>
      </c>
      <c r="H248" s="5">
        <v>29.5</v>
      </c>
      <c r="I248" s="5">
        <v>2848.2</v>
      </c>
      <c r="J248" s="3" t="s">
        <v>32</v>
      </c>
      <c r="K248" s="3" t="s">
        <v>51</v>
      </c>
      <c r="L248" t="str">
        <f>IFERROR(VLOOKUP(D248,Products!$A$2:$F$61,3,FALSE()),"")</f>
        <v>Sports</v>
      </c>
      <c r="M248" t="str">
        <f>IFERROR(VLOOKUP(E248,Sales_Reps!$A$2:$C$31,3,FALSE()),"")</f>
        <v>South</v>
      </c>
      <c r="N248">
        <f>IFERROR(VLOOKUP(D248,Products!$A$2:$F$61,4,FALSE()),"")</f>
        <v>516</v>
      </c>
      <c r="O248" t="str">
        <f>IFERROR(VLOOKUP(C248,Customers!$A$2:$F$301,5,FALSE()),"")</f>
        <v>Retail</v>
      </c>
      <c r="P248">
        <f>IFERROR(VLOOKUP(C248,Customers!$A$2:$F$301,3,FALSE()),"")</f>
        <v>39</v>
      </c>
      <c r="Q248">
        <f t="shared" si="9"/>
        <v>0.4891089108910891</v>
      </c>
      <c r="R248">
        <f>IF(AND(COUNTIF($A$2:$A$2047,A248)&gt;1,COUNTIF($A$2:A248,A248)=1),1,0)</f>
        <v>0</v>
      </c>
      <c r="S248" t="b">
        <f>IFERROR(VLOOKUP(D248,Products!$A$2:$F$61,6,FALSE()),"")</f>
        <v>1</v>
      </c>
      <c r="T248" t="str">
        <f>IF(COUNTIF(Customers!$A$2:$A$301,C248)=0,"Missing","OK")</f>
        <v>OK</v>
      </c>
      <c r="U248" t="str">
        <f t="shared" si="10"/>
        <v>Mumbai</v>
      </c>
      <c r="V248">
        <f t="shared" si="11"/>
        <v>0</v>
      </c>
    </row>
    <row r="249" spans="1:22" ht="15" customHeight="1" x14ac:dyDescent="0.35">
      <c r="A249" s="3" t="s">
        <v>537</v>
      </c>
      <c r="B249" s="4">
        <v>45545</v>
      </c>
      <c r="C249" s="3" t="s">
        <v>538</v>
      </c>
      <c r="D249" s="3" t="s">
        <v>77</v>
      </c>
      <c r="E249" s="3" t="s">
        <v>282</v>
      </c>
      <c r="F249" s="5">
        <v>7</v>
      </c>
      <c r="G249" s="5">
        <v>2600</v>
      </c>
      <c r="H249" s="5">
        <v>6.6</v>
      </c>
      <c r="I249" s="5">
        <v>16998.8</v>
      </c>
      <c r="J249" s="3" t="s">
        <v>26</v>
      </c>
      <c r="K249" s="3" t="s">
        <v>56</v>
      </c>
      <c r="L249" t="str">
        <f>IFERROR(VLOOKUP(D249,Products!$A$2:$F$61,3,FALSE()),"")</f>
        <v>Electronics</v>
      </c>
      <c r="M249" t="str">
        <f>IFERROR(VLOOKUP(E249,Sales_Reps!$A$2:$C$31,3,FALSE()),"")</f>
        <v>West</v>
      </c>
      <c r="N249">
        <f>IFERROR(VLOOKUP(D249,Products!$A$2:$F$61,4,FALSE()),"")</f>
        <v>1052</v>
      </c>
      <c r="O249" t="str">
        <f>IFERROR(VLOOKUP(C249,Customers!$A$2:$F$301,5,FALSE()),"")</f>
        <v>Corporate</v>
      </c>
      <c r="P249">
        <f>IFERROR(VLOOKUP(C249,Customers!$A$2:$F$301,3,FALSE()),"")</f>
        <v>26</v>
      </c>
      <c r="Q249">
        <f t="shared" si="9"/>
        <v>0.5953846153846154</v>
      </c>
      <c r="R249">
        <f>IF(AND(COUNTIF($A$2:$A$2047,A249)&gt;1,COUNTIF($A$2:A249,A249)=1),1,0)</f>
        <v>0</v>
      </c>
      <c r="S249" t="b">
        <f>IFERROR(VLOOKUP(D249,Products!$A$2:$F$61,6,FALSE()),"")</f>
        <v>1</v>
      </c>
      <c r="T249" t="str">
        <f>IF(COUNTIF(Customers!$A$2:$A$301,C249)=0,"Missing","OK")</f>
        <v>OK</v>
      </c>
      <c r="U249" t="str">
        <f t="shared" si="10"/>
        <v>Bengaluru</v>
      </c>
      <c r="V249">
        <f t="shared" si="11"/>
        <v>0</v>
      </c>
    </row>
    <row r="250" spans="1:22" ht="15" customHeight="1" x14ac:dyDescent="0.35">
      <c r="A250" s="3" t="s">
        <v>539</v>
      </c>
      <c r="B250" s="4">
        <v>45395</v>
      </c>
      <c r="C250" s="3" t="s">
        <v>197</v>
      </c>
      <c r="D250" s="3" t="s">
        <v>294</v>
      </c>
      <c r="E250" s="3" t="s">
        <v>143</v>
      </c>
      <c r="F250" s="5">
        <v>4</v>
      </c>
      <c r="G250" s="5">
        <v>2510</v>
      </c>
      <c r="H250" s="5">
        <v>1</v>
      </c>
      <c r="I250" s="5">
        <v>9939.6</v>
      </c>
      <c r="J250" s="3" t="s">
        <v>26</v>
      </c>
      <c r="K250" s="3" t="s">
        <v>38</v>
      </c>
      <c r="L250" t="str">
        <f>IFERROR(VLOOKUP(D250,Products!$A$2:$F$61,3,FALSE()),"")</f>
        <v>Apparel</v>
      </c>
      <c r="M250" t="str">
        <f>IFERROR(VLOOKUP(E250,Sales_Reps!$A$2:$C$31,3,FALSE()),"")</f>
        <v>South</v>
      </c>
      <c r="N250">
        <f>IFERROR(VLOOKUP(D250,Products!$A$2:$F$61,4,FALSE()),"")</f>
        <v>1075</v>
      </c>
      <c r="O250" t="str">
        <f>IFERROR(VLOOKUP(C250,Customers!$A$2:$F$301,5,FALSE()),"")</f>
        <v>SMB</v>
      </c>
      <c r="P250">
        <f>IFERROR(VLOOKUP(C250,Customers!$A$2:$F$301,3,FALSE()),"")</f>
        <v>55</v>
      </c>
      <c r="Q250">
        <f t="shared" si="9"/>
        <v>0.57171314741035861</v>
      </c>
      <c r="R250">
        <f>IF(AND(COUNTIF($A$2:$A$2047,A250)&gt;1,COUNTIF($A$2:A250,A250)=1),1,0)</f>
        <v>0</v>
      </c>
      <c r="S250" t="b">
        <f>IFERROR(VLOOKUP(D250,Products!$A$2:$F$61,6,FALSE()),"")</f>
        <v>0</v>
      </c>
      <c r="T250" t="str">
        <f>IF(COUNTIF(Customers!$A$2:$A$301,C250)=0,"Missing","OK")</f>
        <v>OK</v>
      </c>
      <c r="U250" t="str">
        <f t="shared" si="10"/>
        <v>Delhi</v>
      </c>
      <c r="V250">
        <f t="shared" si="11"/>
        <v>0</v>
      </c>
    </row>
    <row r="251" spans="1:22" ht="15" customHeight="1" x14ac:dyDescent="0.35">
      <c r="A251" s="3" t="s">
        <v>540</v>
      </c>
      <c r="B251" s="4">
        <v>45636</v>
      </c>
      <c r="C251" s="3" t="s">
        <v>541</v>
      </c>
      <c r="D251" s="3" t="s">
        <v>203</v>
      </c>
      <c r="E251" s="3" t="s">
        <v>224</v>
      </c>
      <c r="F251" s="5">
        <v>9</v>
      </c>
      <c r="G251" s="5">
        <v>4070</v>
      </c>
      <c r="H251" s="5">
        <v>6.7</v>
      </c>
      <c r="I251" s="5">
        <v>34175.79</v>
      </c>
      <c r="J251" s="3" t="s">
        <v>79</v>
      </c>
      <c r="K251" s="3" t="s">
        <v>33</v>
      </c>
      <c r="L251" t="str">
        <f>IFERROR(VLOOKUP(D251,Products!$A$2:$F$61,3,FALSE()),"")</f>
        <v>Grocery</v>
      </c>
      <c r="M251" t="str">
        <f>IFERROR(VLOOKUP(E251,Sales_Reps!$A$2:$C$31,3,FALSE()),"")</f>
        <v>East</v>
      </c>
      <c r="N251">
        <f>IFERROR(VLOOKUP(D251,Products!$A$2:$F$61,4,FALSE()),"")</f>
        <v>2027</v>
      </c>
      <c r="O251" t="str">
        <f>IFERROR(VLOOKUP(C251,Customers!$A$2:$F$301,5,FALSE()),"")</f>
        <v>Retail</v>
      </c>
      <c r="P251">
        <f>IFERROR(VLOOKUP(C251,Customers!$A$2:$F$301,3,FALSE()),"")</f>
        <v>61</v>
      </c>
      <c r="Q251">
        <f t="shared" si="9"/>
        <v>0.50196560196560192</v>
      </c>
      <c r="R251">
        <f>IF(AND(COUNTIF($A$2:$A$2047,A251)&gt;1,COUNTIF($A$2:A251,A251)=1),1,0)</f>
        <v>0</v>
      </c>
      <c r="S251" t="b">
        <f>IFERROR(VLOOKUP(D251,Products!$A$2:$F$61,6,FALSE()),"")</f>
        <v>1</v>
      </c>
      <c r="T251" t="str">
        <f>IF(COUNTIF(Customers!$A$2:$A$301,C251)=0,"Missing","OK")</f>
        <v>OK</v>
      </c>
      <c r="U251" t="str">
        <f t="shared" si="10"/>
        <v>Chennai</v>
      </c>
      <c r="V251">
        <f t="shared" si="11"/>
        <v>0</v>
      </c>
    </row>
    <row r="252" spans="1:22" ht="15" customHeight="1" x14ac:dyDescent="0.35">
      <c r="A252" s="3" t="s">
        <v>542</v>
      </c>
      <c r="B252" s="4">
        <v>45612</v>
      </c>
      <c r="C252" s="3" t="s">
        <v>543</v>
      </c>
      <c r="D252" s="3" t="s">
        <v>30</v>
      </c>
      <c r="E252" s="3" t="s">
        <v>71</v>
      </c>
      <c r="F252" s="5">
        <v>6</v>
      </c>
      <c r="G252" s="5">
        <v>820</v>
      </c>
      <c r="H252" s="5">
        <v>14</v>
      </c>
      <c r="I252" s="5">
        <v>4231.2</v>
      </c>
      <c r="J252" s="3" t="s">
        <v>26</v>
      </c>
      <c r="K252" s="3" t="s">
        <v>56</v>
      </c>
      <c r="L252" t="str">
        <f>IFERROR(VLOOKUP(D252,Products!$A$2:$F$61,3,FALSE()),"")</f>
        <v>Apparel</v>
      </c>
      <c r="M252" t="str">
        <f>IFERROR(VLOOKUP(E252,Sales_Reps!$A$2:$C$31,3,FALSE()),"")</f>
        <v>South</v>
      </c>
      <c r="N252">
        <f>IFERROR(VLOOKUP(D252,Products!$A$2:$F$61,4,FALSE()),"")</f>
        <v>391</v>
      </c>
      <c r="O252" t="str">
        <f>IFERROR(VLOOKUP(C252,Customers!$A$2:$F$301,5,FALSE()),"")</f>
        <v>Retail</v>
      </c>
      <c r="P252">
        <f>IFERROR(VLOOKUP(C252,Customers!$A$2:$F$301,3,FALSE()),"")</f>
        <v>34</v>
      </c>
      <c r="Q252">
        <f t="shared" si="9"/>
        <v>0.52317073170731709</v>
      </c>
      <c r="R252">
        <f>IF(AND(COUNTIF($A$2:$A$2047,A252)&gt;1,COUNTIF($A$2:A252,A252)=1),1,0)</f>
        <v>0</v>
      </c>
      <c r="S252" t="b">
        <f>IFERROR(VLOOKUP(D252,Products!$A$2:$F$61,6,FALSE()),"")</f>
        <v>1</v>
      </c>
      <c r="T252" t="str">
        <f>IF(COUNTIF(Customers!$A$2:$A$301,C252)=0,"Missing","OK")</f>
        <v>OK</v>
      </c>
      <c r="U252" t="str">
        <f t="shared" si="10"/>
        <v>Bengaluru</v>
      </c>
      <c r="V252">
        <f t="shared" si="11"/>
        <v>0</v>
      </c>
    </row>
    <row r="253" spans="1:22" ht="15" customHeight="1" x14ac:dyDescent="0.35">
      <c r="A253" s="3" t="s">
        <v>544</v>
      </c>
      <c r="B253" s="4">
        <v>45495</v>
      </c>
      <c r="C253" s="3" t="s">
        <v>545</v>
      </c>
      <c r="D253" s="3" t="s">
        <v>66</v>
      </c>
      <c r="E253" s="3" t="s">
        <v>31</v>
      </c>
      <c r="F253" s="5">
        <v>2</v>
      </c>
      <c r="G253" s="5">
        <v>970</v>
      </c>
      <c r="H253" s="5">
        <v>23.8</v>
      </c>
      <c r="I253" s="5">
        <v>1478.28</v>
      </c>
      <c r="J253" s="3" t="s">
        <v>26</v>
      </c>
      <c r="K253" s="3" t="s">
        <v>51</v>
      </c>
      <c r="L253" t="str">
        <f>IFERROR(VLOOKUP(D253,Products!$A$2:$F$61,3,FALSE()),"")</f>
        <v>Grocery</v>
      </c>
      <c r="M253" t="str">
        <f>IFERROR(VLOOKUP(E253,Sales_Reps!$A$2:$C$31,3,FALSE()),"")</f>
        <v>North</v>
      </c>
      <c r="N253">
        <f>IFERROR(VLOOKUP(D253,Products!$A$2:$F$61,4,FALSE()),"")</f>
        <v>434</v>
      </c>
      <c r="O253" t="str">
        <f>IFERROR(VLOOKUP(C253,Customers!$A$2:$F$301,5,FALSE()),"")</f>
        <v>Retail</v>
      </c>
      <c r="P253">
        <f>IFERROR(VLOOKUP(C253,Customers!$A$2:$F$301,3,FALSE()),"")</f>
        <v>52</v>
      </c>
      <c r="Q253">
        <f t="shared" si="9"/>
        <v>0.5525773195876289</v>
      </c>
      <c r="R253">
        <f>IF(AND(COUNTIF($A$2:$A$2047,A253)&gt;1,COUNTIF($A$2:A253,A253)=1),1,0)</f>
        <v>0</v>
      </c>
      <c r="S253" t="b">
        <f>IFERROR(VLOOKUP(D253,Products!$A$2:$F$61,6,FALSE()),"")</f>
        <v>1</v>
      </c>
      <c r="T253" t="str">
        <f>IF(COUNTIF(Customers!$A$2:$A$301,C253)=0,"Missing","OK")</f>
        <v>OK</v>
      </c>
      <c r="U253" t="str">
        <f t="shared" si="10"/>
        <v>Mumbai</v>
      </c>
      <c r="V253">
        <f t="shared" si="11"/>
        <v>0</v>
      </c>
    </row>
    <row r="254" spans="1:22" ht="15" customHeight="1" x14ac:dyDescent="0.35">
      <c r="A254" s="3" t="s">
        <v>546</v>
      </c>
      <c r="B254" s="4">
        <v>45337</v>
      </c>
      <c r="C254" s="3" t="s">
        <v>547</v>
      </c>
      <c r="D254" s="3" t="s">
        <v>203</v>
      </c>
      <c r="E254" s="3" t="s">
        <v>264</v>
      </c>
      <c r="F254" s="5">
        <v>4</v>
      </c>
      <c r="G254" s="5">
        <v>4070</v>
      </c>
      <c r="H254" s="5">
        <v>19</v>
      </c>
      <c r="I254" s="5">
        <v>13186.8</v>
      </c>
      <c r="J254" s="3" t="s">
        <v>32</v>
      </c>
      <c r="K254" s="3" t="s">
        <v>27</v>
      </c>
      <c r="L254" t="str">
        <f>IFERROR(VLOOKUP(D254,Products!$A$2:$F$61,3,FALSE()),"")</f>
        <v>Grocery</v>
      </c>
      <c r="M254" t="str">
        <f>IFERROR(VLOOKUP(E254,Sales_Reps!$A$2:$C$31,3,FALSE()),"")</f>
        <v>South</v>
      </c>
      <c r="N254">
        <f>IFERROR(VLOOKUP(D254,Products!$A$2:$F$61,4,FALSE()),"")</f>
        <v>2027</v>
      </c>
      <c r="O254" t="str">
        <f>IFERROR(VLOOKUP(C254,Customers!$A$2:$F$301,5,FALSE()),"")</f>
        <v>Corporate</v>
      </c>
      <c r="P254">
        <f>IFERROR(VLOOKUP(C254,Customers!$A$2:$F$301,3,FALSE()),"")</f>
        <v>40</v>
      </c>
      <c r="Q254">
        <f t="shared" si="9"/>
        <v>0.50196560196560192</v>
      </c>
      <c r="R254">
        <f>IF(AND(COUNTIF($A$2:$A$2047,A254)&gt;1,COUNTIF($A$2:A254,A254)=1),1,0)</f>
        <v>0</v>
      </c>
      <c r="S254" t="b">
        <f>IFERROR(VLOOKUP(D254,Products!$A$2:$F$61,6,FALSE()),"")</f>
        <v>1</v>
      </c>
      <c r="T254" t="str">
        <f>IF(COUNTIF(Customers!$A$2:$A$301,C254)=0,"Missing","OK")</f>
        <v>OK</v>
      </c>
      <c r="U254" t="str">
        <f t="shared" si="10"/>
        <v>Pune</v>
      </c>
      <c r="V254">
        <f t="shared" si="11"/>
        <v>0</v>
      </c>
    </row>
    <row r="255" spans="1:22" ht="15" customHeight="1" x14ac:dyDescent="0.35">
      <c r="A255" s="3" t="s">
        <v>548</v>
      </c>
      <c r="B255" s="4">
        <v>45333</v>
      </c>
      <c r="C255" s="3" t="s">
        <v>549</v>
      </c>
      <c r="D255" s="3" t="s">
        <v>96</v>
      </c>
      <c r="E255" s="3" t="s">
        <v>177</v>
      </c>
      <c r="F255" s="5">
        <v>3</v>
      </c>
      <c r="G255" s="5">
        <v>3450</v>
      </c>
      <c r="H255" s="5">
        <v>4.4000000000000004</v>
      </c>
      <c r="I255" s="5">
        <v>9894.6</v>
      </c>
      <c r="J255" s="3" t="s">
        <v>79</v>
      </c>
      <c r="K255" s="3" t="s">
        <v>56</v>
      </c>
      <c r="L255" t="str">
        <f>IFERROR(VLOOKUP(D255,Products!$A$2:$F$61,3,FALSE()),"")</f>
        <v>Beauty</v>
      </c>
      <c r="M255" t="str">
        <f>IFERROR(VLOOKUP(E255,Sales_Reps!$A$2:$C$31,3,FALSE()),"")</f>
        <v>East</v>
      </c>
      <c r="N255">
        <f>IFERROR(VLOOKUP(D255,Products!$A$2:$F$61,4,FALSE()),"")</f>
        <v>2420</v>
      </c>
      <c r="O255" t="str">
        <f>IFERROR(VLOOKUP(C255,Customers!$A$2:$F$301,5,FALSE()),"")</f>
        <v>SMB</v>
      </c>
      <c r="P255">
        <f>IFERROR(VLOOKUP(C255,Customers!$A$2:$F$301,3,FALSE()),"")</f>
        <v>42</v>
      </c>
      <c r="Q255">
        <f t="shared" si="9"/>
        <v>0.29855072463768118</v>
      </c>
      <c r="R255">
        <f>IF(AND(COUNTIF($A$2:$A$2047,A255)&gt;1,COUNTIF($A$2:A255,A255)=1),1,0)</f>
        <v>0</v>
      </c>
      <c r="S255" t="b">
        <f>IFERROR(VLOOKUP(D255,Products!$A$2:$F$61,6,FALSE()),"")</f>
        <v>1</v>
      </c>
      <c r="T255" t="str">
        <f>IF(COUNTIF(Customers!$A$2:$A$301,C255)=0,"Missing","OK")</f>
        <v>OK</v>
      </c>
      <c r="U255" t="str">
        <f t="shared" si="10"/>
        <v>Bengaluru</v>
      </c>
      <c r="V255">
        <f t="shared" si="11"/>
        <v>0</v>
      </c>
    </row>
    <row r="256" spans="1:22" ht="15" customHeight="1" x14ac:dyDescent="0.35">
      <c r="A256" s="3" t="s">
        <v>550</v>
      </c>
      <c r="B256" s="4">
        <v>45511</v>
      </c>
      <c r="C256" s="3" t="s">
        <v>275</v>
      </c>
      <c r="D256" s="3" t="s">
        <v>173</v>
      </c>
      <c r="E256" s="3" t="s">
        <v>71</v>
      </c>
      <c r="F256" s="5">
        <v>5</v>
      </c>
      <c r="G256" s="5">
        <v>3780</v>
      </c>
      <c r="H256" s="5">
        <v>13.5</v>
      </c>
      <c r="I256" s="5">
        <v>16348.5</v>
      </c>
      <c r="J256" s="3" t="s">
        <v>26</v>
      </c>
      <c r="K256" s="3" t="s">
        <v>51</v>
      </c>
      <c r="L256" t="str">
        <f>IFERROR(VLOOKUP(D256,Products!$A$2:$F$61,3,FALSE()),"")</f>
        <v>Grocery</v>
      </c>
      <c r="M256" t="str">
        <f>IFERROR(VLOOKUP(E256,Sales_Reps!$A$2:$C$31,3,FALSE()),"")</f>
        <v>South</v>
      </c>
      <c r="N256">
        <f>IFERROR(VLOOKUP(D256,Products!$A$2:$F$61,4,FALSE()),"")</f>
        <v>2436</v>
      </c>
      <c r="O256" t="str">
        <f>IFERROR(VLOOKUP(C256,Customers!$A$2:$F$301,5,FALSE()),"")</f>
        <v>Retail</v>
      </c>
      <c r="P256">
        <f>IFERROR(VLOOKUP(C256,Customers!$A$2:$F$301,3,FALSE()),"")</f>
        <v>49</v>
      </c>
      <c r="Q256">
        <f t="shared" si="9"/>
        <v>0.35555555555555557</v>
      </c>
      <c r="R256">
        <f>IF(AND(COUNTIF($A$2:$A$2047,A256)&gt;1,COUNTIF($A$2:A256,A256)=1),1,0)</f>
        <v>0</v>
      </c>
      <c r="S256" t="b">
        <f>IFERROR(VLOOKUP(D256,Products!$A$2:$F$61,6,FALSE()),"")</f>
        <v>1</v>
      </c>
      <c r="T256" t="str">
        <f>IF(COUNTIF(Customers!$A$2:$A$301,C256)=0,"Missing","OK")</f>
        <v>OK</v>
      </c>
      <c r="U256" t="str">
        <f t="shared" si="10"/>
        <v>Mumbai</v>
      </c>
      <c r="V256">
        <f t="shared" si="11"/>
        <v>0</v>
      </c>
    </row>
    <row r="257" spans="1:22" ht="15" customHeight="1" x14ac:dyDescent="0.35">
      <c r="A257" s="3" t="s">
        <v>551</v>
      </c>
      <c r="B257" s="4">
        <v>45595</v>
      </c>
      <c r="C257" s="3" t="s">
        <v>552</v>
      </c>
      <c r="D257" s="3" t="s">
        <v>54</v>
      </c>
      <c r="E257" s="3" t="s">
        <v>78</v>
      </c>
      <c r="F257" s="5">
        <v>1</v>
      </c>
      <c r="G257" s="5">
        <v>960</v>
      </c>
      <c r="H257" s="5">
        <v>29.2</v>
      </c>
      <c r="I257" s="5">
        <v>679.68</v>
      </c>
      <c r="J257" s="3" t="s">
        <v>26</v>
      </c>
      <c r="K257" s="3" t="s">
        <v>51</v>
      </c>
      <c r="L257" t="str">
        <f>IFERROR(VLOOKUP(D257,Products!$A$2:$F$61,3,FALSE()),"")</f>
        <v>Sports</v>
      </c>
      <c r="M257" t="str">
        <f>IFERROR(VLOOKUP(E257,Sales_Reps!$A$2:$C$31,3,FALSE()),"")</f>
        <v>North</v>
      </c>
      <c r="N257">
        <f>IFERROR(VLOOKUP(D257,Products!$A$2:$F$61,4,FALSE()),"")</f>
        <v>705</v>
      </c>
      <c r="O257" t="str">
        <f>IFERROR(VLOOKUP(C257,Customers!$A$2:$F$301,5,FALSE()),"")</f>
        <v>Retail</v>
      </c>
      <c r="P257">
        <f>IFERROR(VLOOKUP(C257,Customers!$A$2:$F$301,3,FALSE()),"")</f>
        <v>44</v>
      </c>
      <c r="Q257">
        <f t="shared" si="9"/>
        <v>0.265625</v>
      </c>
      <c r="R257">
        <f>IF(AND(COUNTIF($A$2:$A$2047,A257)&gt;1,COUNTIF($A$2:A257,A257)=1),1,0)</f>
        <v>0</v>
      </c>
      <c r="S257" t="b">
        <f>IFERROR(VLOOKUP(D257,Products!$A$2:$F$61,6,FALSE()),"")</f>
        <v>1</v>
      </c>
      <c r="T257" t="str">
        <f>IF(COUNTIF(Customers!$A$2:$A$301,C257)=0,"Missing","OK")</f>
        <v>OK</v>
      </c>
      <c r="U257" t="str">
        <f t="shared" si="10"/>
        <v>Mumbai</v>
      </c>
      <c r="V257">
        <f t="shared" si="11"/>
        <v>0</v>
      </c>
    </row>
    <row r="258" spans="1:22" ht="15" customHeight="1" x14ac:dyDescent="0.35">
      <c r="A258" s="3" t="s">
        <v>553</v>
      </c>
      <c r="B258" s="4">
        <v>45321</v>
      </c>
      <c r="C258" s="3" t="s">
        <v>554</v>
      </c>
      <c r="D258" s="3" t="s">
        <v>126</v>
      </c>
      <c r="E258" s="3" t="s">
        <v>224</v>
      </c>
      <c r="F258" s="5">
        <v>10</v>
      </c>
      <c r="G258" s="5">
        <v>3570</v>
      </c>
      <c r="H258" s="5">
        <v>10.7</v>
      </c>
      <c r="I258" s="5">
        <v>31880.1</v>
      </c>
      <c r="J258" s="3" t="s">
        <v>26</v>
      </c>
      <c r="K258" s="3" t="s">
        <v>51</v>
      </c>
      <c r="L258" t="str">
        <f>IFERROR(VLOOKUP(D258,Products!$A$2:$F$61,3,FALSE()),"")</f>
        <v>Electronics</v>
      </c>
      <c r="M258" t="str">
        <f>IFERROR(VLOOKUP(E258,Sales_Reps!$A$2:$C$31,3,FALSE()),"")</f>
        <v>East</v>
      </c>
      <c r="N258">
        <f>IFERROR(VLOOKUP(D258,Products!$A$2:$F$61,4,FALSE()),"")</f>
        <v>1665</v>
      </c>
      <c r="O258" t="str">
        <f>IFERROR(VLOOKUP(C258,Customers!$A$2:$F$301,5,FALSE()),"")</f>
        <v>Retail</v>
      </c>
      <c r="P258">
        <f>IFERROR(VLOOKUP(C258,Customers!$A$2:$F$301,3,FALSE()),"")</f>
        <v>53</v>
      </c>
      <c r="Q258">
        <f t="shared" ref="Q258:Q321" si="12">IFERROR((G258-N258)/G258,"")</f>
        <v>0.53361344537815125</v>
      </c>
      <c r="R258">
        <f>IF(AND(COUNTIF($A$2:$A$2047,A258)&gt;1,COUNTIF($A$2:A258,A258)=1),1,0)</f>
        <v>0</v>
      </c>
      <c r="S258" t="b">
        <f>IFERROR(VLOOKUP(D258,Products!$A$2:$F$61,6,FALSE()),"")</f>
        <v>1</v>
      </c>
      <c r="T258" t="str">
        <f>IF(COUNTIF(Customers!$A$2:$A$301,C258)=0,"Missing","OK")</f>
        <v>OK</v>
      </c>
      <c r="U258" t="str">
        <f t="shared" ref="U258:U321" si="13">IF(K258="","",PROPER(TRIM(K258)))</f>
        <v>Mumbai</v>
      </c>
      <c r="V258">
        <f t="shared" ref="V258:V321" si="14">IF(AND(U258="Bengaluru",L258="Grocery"),I258,0)</f>
        <v>0</v>
      </c>
    </row>
    <row r="259" spans="1:22" ht="15" customHeight="1" x14ac:dyDescent="0.35">
      <c r="A259" s="3" t="s">
        <v>555</v>
      </c>
      <c r="B259" s="4">
        <v>45511</v>
      </c>
      <c r="C259" s="3" t="s">
        <v>556</v>
      </c>
      <c r="D259" s="3" t="s">
        <v>126</v>
      </c>
      <c r="E259" s="3" t="s">
        <v>55</v>
      </c>
      <c r="F259" s="5">
        <v>7</v>
      </c>
      <c r="G259" s="5">
        <v>3570</v>
      </c>
      <c r="H259" s="5">
        <v>12.2</v>
      </c>
      <c r="I259" s="5">
        <v>21941.22</v>
      </c>
      <c r="J259" s="3" t="s">
        <v>26</v>
      </c>
      <c r="K259" s="3" t="s">
        <v>51</v>
      </c>
      <c r="L259" t="str">
        <f>IFERROR(VLOOKUP(D259,Products!$A$2:$F$61,3,FALSE()),"")</f>
        <v>Electronics</v>
      </c>
      <c r="M259" t="str">
        <f>IFERROR(VLOOKUP(E259,Sales_Reps!$A$2:$C$31,3,FALSE()),"")</f>
        <v>West</v>
      </c>
      <c r="N259">
        <f>IFERROR(VLOOKUP(D259,Products!$A$2:$F$61,4,FALSE()),"")</f>
        <v>1665</v>
      </c>
      <c r="O259" t="str">
        <f>IFERROR(VLOOKUP(C259,Customers!$A$2:$F$301,5,FALSE()),"")</f>
        <v>SMB</v>
      </c>
      <c r="P259">
        <f>IFERROR(VLOOKUP(C259,Customers!$A$2:$F$301,3,FALSE()),"")</f>
        <v>65</v>
      </c>
      <c r="Q259">
        <f t="shared" si="12"/>
        <v>0.53361344537815125</v>
      </c>
      <c r="R259">
        <f>IF(AND(COUNTIF($A$2:$A$2047,A259)&gt;1,COUNTIF($A$2:A259,A259)=1),1,0)</f>
        <v>0</v>
      </c>
      <c r="S259" t="b">
        <f>IFERROR(VLOOKUP(D259,Products!$A$2:$F$61,6,FALSE()),"")</f>
        <v>1</v>
      </c>
      <c r="T259" t="str">
        <f>IF(COUNTIF(Customers!$A$2:$A$301,C259)=0,"Missing","OK")</f>
        <v>OK</v>
      </c>
      <c r="U259" t="str">
        <f t="shared" si="13"/>
        <v>Mumbai</v>
      </c>
      <c r="V259">
        <f t="shared" si="14"/>
        <v>0</v>
      </c>
    </row>
    <row r="260" spans="1:22" ht="15" customHeight="1" x14ac:dyDescent="0.35">
      <c r="A260" s="3" t="s">
        <v>557</v>
      </c>
      <c r="B260" s="4">
        <v>45575</v>
      </c>
      <c r="C260" s="3" t="s">
        <v>449</v>
      </c>
      <c r="D260" s="3" t="s">
        <v>103</v>
      </c>
      <c r="E260" s="3" t="s">
        <v>37</v>
      </c>
      <c r="F260" s="5">
        <v>6</v>
      </c>
      <c r="G260" s="5">
        <v>1080</v>
      </c>
      <c r="H260" s="5">
        <v>19.8</v>
      </c>
      <c r="I260" s="5">
        <v>5196.96</v>
      </c>
      <c r="J260" s="3" t="s">
        <v>26</v>
      </c>
      <c r="K260" s="3" t="s">
        <v>56</v>
      </c>
      <c r="L260" t="str">
        <f>IFERROR(VLOOKUP(D260,Products!$A$2:$F$61,3,FALSE()),"")</f>
        <v>Home</v>
      </c>
      <c r="M260" t="str">
        <f>IFERROR(VLOOKUP(E260,Sales_Reps!$A$2:$C$31,3,FALSE()),"")</f>
        <v>South</v>
      </c>
      <c r="N260">
        <f>IFERROR(VLOOKUP(D260,Products!$A$2:$F$61,4,FALSE()),"")</f>
        <v>519</v>
      </c>
      <c r="O260" t="str">
        <f>IFERROR(VLOOKUP(C260,Customers!$A$2:$F$301,5,FALSE()),"")</f>
        <v>SMB</v>
      </c>
      <c r="P260">
        <f>IFERROR(VLOOKUP(C260,Customers!$A$2:$F$301,3,FALSE()),"")</f>
        <v>26</v>
      </c>
      <c r="Q260">
        <f t="shared" si="12"/>
        <v>0.51944444444444449</v>
      </c>
      <c r="R260">
        <f>IF(AND(COUNTIF($A$2:$A$2047,A260)&gt;1,COUNTIF($A$2:A260,A260)=1),1,0)</f>
        <v>0</v>
      </c>
      <c r="S260" t="b">
        <f>IFERROR(VLOOKUP(D260,Products!$A$2:$F$61,6,FALSE()),"")</f>
        <v>1</v>
      </c>
      <c r="T260" t="str">
        <f>IF(COUNTIF(Customers!$A$2:$A$301,C260)=0,"Missing","OK")</f>
        <v>OK</v>
      </c>
      <c r="U260" t="str">
        <f t="shared" si="13"/>
        <v>Bengaluru</v>
      </c>
      <c r="V260">
        <f t="shared" si="14"/>
        <v>0</v>
      </c>
    </row>
    <row r="261" spans="1:22" ht="15" customHeight="1" x14ac:dyDescent="0.35">
      <c r="A261" s="3" t="s">
        <v>558</v>
      </c>
      <c r="B261" s="4">
        <v>45649</v>
      </c>
      <c r="C261" s="3" t="s">
        <v>114</v>
      </c>
      <c r="D261" s="3" t="s">
        <v>391</v>
      </c>
      <c r="E261" s="3" t="s">
        <v>71</v>
      </c>
      <c r="F261" s="5">
        <v>8</v>
      </c>
      <c r="G261" s="5">
        <v>3450</v>
      </c>
      <c r="H261" s="5">
        <v>19</v>
      </c>
      <c r="I261" s="5">
        <v>22356</v>
      </c>
      <c r="J261" s="3" t="s">
        <v>26</v>
      </c>
      <c r="K261" s="3" t="s">
        <v>72</v>
      </c>
      <c r="L261" t="str">
        <f>IFERROR(VLOOKUP(D261,Products!$A$2:$F$61,3,FALSE()),"")</f>
        <v>Apparel</v>
      </c>
      <c r="M261" t="str">
        <f>IFERROR(VLOOKUP(E261,Sales_Reps!$A$2:$C$31,3,FALSE()),"")</f>
        <v>South</v>
      </c>
      <c r="N261">
        <f>IFERROR(VLOOKUP(D261,Products!$A$2:$F$61,4,FALSE()),"")</f>
        <v>1748</v>
      </c>
      <c r="O261" t="str">
        <f>IFERROR(VLOOKUP(C261,Customers!$A$2:$F$301,5,FALSE()),"")</f>
        <v>SMB</v>
      </c>
      <c r="P261">
        <f>IFERROR(VLOOKUP(C261,Customers!$A$2:$F$301,3,FALSE()),"")</f>
        <v>40</v>
      </c>
      <c r="Q261">
        <f t="shared" si="12"/>
        <v>0.49333333333333335</v>
      </c>
      <c r="R261">
        <f>IF(AND(COUNTIF($A$2:$A$2047,A261)&gt;1,COUNTIF($A$2:A261,A261)=1),1,0)</f>
        <v>0</v>
      </c>
      <c r="S261" t="b">
        <f>IFERROR(VLOOKUP(D261,Products!$A$2:$F$61,6,FALSE()),"")</f>
        <v>1</v>
      </c>
      <c r="T261" t="str">
        <f>IF(COUNTIF(Customers!$A$2:$A$301,C261)=0,"Missing","OK")</f>
        <v>OK</v>
      </c>
      <c r="U261" t="str">
        <f t="shared" si="13"/>
        <v>Hyderabad</v>
      </c>
      <c r="V261">
        <f t="shared" si="14"/>
        <v>0</v>
      </c>
    </row>
    <row r="262" spans="1:22" ht="15" customHeight="1" x14ac:dyDescent="0.35">
      <c r="A262" s="3" t="s">
        <v>559</v>
      </c>
      <c r="B262" s="4">
        <v>45371</v>
      </c>
      <c r="C262" s="3" t="s">
        <v>560</v>
      </c>
      <c r="D262" s="3" t="s">
        <v>218</v>
      </c>
      <c r="E262" s="3" t="s">
        <v>93</v>
      </c>
      <c r="F262" s="5">
        <v>4</v>
      </c>
      <c r="G262" s="5">
        <v>2660</v>
      </c>
      <c r="H262" s="5">
        <v>18.8</v>
      </c>
      <c r="I262" s="5">
        <v>8639.68</v>
      </c>
      <c r="J262" s="3" t="s">
        <v>32</v>
      </c>
      <c r="K262" s="3" t="s">
        <v>33</v>
      </c>
      <c r="L262" t="str">
        <f>IFERROR(VLOOKUP(D262,Products!$A$2:$F$61,3,FALSE()),"")</f>
        <v>Electronics</v>
      </c>
      <c r="M262" t="str">
        <f>IFERROR(VLOOKUP(E262,Sales_Reps!$A$2:$C$31,3,FALSE()),"")</f>
        <v>East</v>
      </c>
      <c r="N262">
        <f>IFERROR(VLOOKUP(D262,Products!$A$2:$F$61,4,FALSE()),"")</f>
        <v>1259</v>
      </c>
      <c r="O262" t="str">
        <f>IFERROR(VLOOKUP(C262,Customers!$A$2:$F$301,5,FALSE()),"")</f>
        <v>Corporate</v>
      </c>
      <c r="P262">
        <f>IFERROR(VLOOKUP(C262,Customers!$A$2:$F$301,3,FALSE()),"")</f>
        <v>22</v>
      </c>
      <c r="Q262">
        <f t="shared" si="12"/>
        <v>0.52669172932330832</v>
      </c>
      <c r="R262">
        <f>IF(AND(COUNTIF($A$2:$A$2047,A262)&gt;1,COUNTIF($A$2:A262,A262)=1),1,0)</f>
        <v>0</v>
      </c>
      <c r="S262" t="b">
        <f>IFERROR(VLOOKUP(D262,Products!$A$2:$F$61,6,FALSE()),"")</f>
        <v>0</v>
      </c>
      <c r="T262" t="str">
        <f>IF(COUNTIF(Customers!$A$2:$A$301,C262)=0,"Missing","OK")</f>
        <v>OK</v>
      </c>
      <c r="U262" t="str">
        <f t="shared" si="13"/>
        <v>Chennai</v>
      </c>
      <c r="V262">
        <f t="shared" si="14"/>
        <v>0</v>
      </c>
    </row>
    <row r="263" spans="1:22" ht="15" customHeight="1" x14ac:dyDescent="0.35">
      <c r="A263" s="3" t="s">
        <v>561</v>
      </c>
      <c r="B263" s="4">
        <v>45522</v>
      </c>
      <c r="C263" s="3" t="s">
        <v>244</v>
      </c>
      <c r="D263" s="3" t="s">
        <v>90</v>
      </c>
      <c r="E263" s="3" t="s">
        <v>143</v>
      </c>
      <c r="F263" s="5">
        <v>4</v>
      </c>
      <c r="G263" s="5">
        <v>2400</v>
      </c>
      <c r="H263" s="5">
        <v>5.6</v>
      </c>
      <c r="I263" s="5">
        <v>9062.4</v>
      </c>
      <c r="J263" s="3" t="s">
        <v>26</v>
      </c>
      <c r="K263" s="3" t="s">
        <v>72</v>
      </c>
      <c r="L263" t="str">
        <f>IFERROR(VLOOKUP(D263,Products!$A$2:$F$61,3,FALSE()),"")</f>
        <v>Sports</v>
      </c>
      <c r="M263" t="str">
        <f>IFERROR(VLOOKUP(E263,Sales_Reps!$A$2:$C$31,3,FALSE()),"")</f>
        <v>South</v>
      </c>
      <c r="N263">
        <f>IFERROR(VLOOKUP(D263,Products!$A$2:$F$61,4,FALSE()),"")</f>
        <v>974</v>
      </c>
      <c r="O263" t="str">
        <f>IFERROR(VLOOKUP(C263,Customers!$A$2:$F$301,5,FALSE()),"")</f>
        <v>Corporate</v>
      </c>
      <c r="P263">
        <f>IFERROR(VLOOKUP(C263,Customers!$A$2:$F$301,3,FALSE()),"")</f>
        <v>46</v>
      </c>
      <c r="Q263">
        <f t="shared" si="12"/>
        <v>0.59416666666666662</v>
      </c>
      <c r="R263">
        <f>IF(AND(COUNTIF($A$2:$A$2047,A263)&gt;1,COUNTIF($A$2:A263,A263)=1),1,0)</f>
        <v>0</v>
      </c>
      <c r="S263" t="b">
        <f>IFERROR(VLOOKUP(D263,Products!$A$2:$F$61,6,FALSE()),"")</f>
        <v>1</v>
      </c>
      <c r="T263" t="str">
        <f>IF(COUNTIF(Customers!$A$2:$A$301,C263)=0,"Missing","OK")</f>
        <v>OK</v>
      </c>
      <c r="U263" t="str">
        <f t="shared" si="13"/>
        <v>Hyderabad</v>
      </c>
      <c r="V263">
        <f t="shared" si="14"/>
        <v>0</v>
      </c>
    </row>
    <row r="264" spans="1:22" ht="15" customHeight="1" x14ac:dyDescent="0.35">
      <c r="A264" s="3" t="s">
        <v>562</v>
      </c>
      <c r="B264" s="4">
        <v>45513</v>
      </c>
      <c r="C264" s="3" t="s">
        <v>563</v>
      </c>
      <c r="D264" s="3" t="s">
        <v>77</v>
      </c>
      <c r="E264" s="3" t="s">
        <v>87</v>
      </c>
      <c r="F264" s="5">
        <v>10</v>
      </c>
      <c r="G264" s="5">
        <v>2600</v>
      </c>
      <c r="H264" s="5">
        <v>24.7</v>
      </c>
      <c r="I264" s="5">
        <v>19578</v>
      </c>
      <c r="J264" s="3" t="s">
        <v>26</v>
      </c>
      <c r="K264" s="3" t="s">
        <v>27</v>
      </c>
      <c r="L264" t="str">
        <f>IFERROR(VLOOKUP(D264,Products!$A$2:$F$61,3,FALSE()),"")</f>
        <v>Electronics</v>
      </c>
      <c r="M264" t="str">
        <f>IFERROR(VLOOKUP(E264,Sales_Reps!$A$2:$C$31,3,FALSE()),"")</f>
        <v>North</v>
      </c>
      <c r="N264">
        <f>IFERROR(VLOOKUP(D264,Products!$A$2:$F$61,4,FALSE()),"")</f>
        <v>1052</v>
      </c>
      <c r="O264" t="str">
        <f>IFERROR(VLOOKUP(C264,Customers!$A$2:$F$301,5,FALSE()),"")</f>
        <v>Corporate</v>
      </c>
      <c r="P264">
        <f>IFERROR(VLOOKUP(C264,Customers!$A$2:$F$301,3,FALSE()),"")</f>
        <v>31</v>
      </c>
      <c r="Q264">
        <f t="shared" si="12"/>
        <v>0.5953846153846154</v>
      </c>
      <c r="R264">
        <f>IF(AND(COUNTIF($A$2:$A$2047,A264)&gt;1,COUNTIF($A$2:A264,A264)=1),1,0)</f>
        <v>0</v>
      </c>
      <c r="S264" t="b">
        <f>IFERROR(VLOOKUP(D264,Products!$A$2:$F$61,6,FALSE()),"")</f>
        <v>1</v>
      </c>
      <c r="T264" t="str">
        <f>IF(COUNTIF(Customers!$A$2:$A$301,C264)=0,"Missing","OK")</f>
        <v>OK</v>
      </c>
      <c r="U264" t="str">
        <f t="shared" si="13"/>
        <v>Pune</v>
      </c>
      <c r="V264">
        <f t="shared" si="14"/>
        <v>0</v>
      </c>
    </row>
    <row r="265" spans="1:22" ht="15" customHeight="1" x14ac:dyDescent="0.35">
      <c r="A265" s="3" t="s">
        <v>564</v>
      </c>
      <c r="B265" s="4">
        <v>45513</v>
      </c>
      <c r="C265" s="3" t="s">
        <v>565</v>
      </c>
      <c r="D265" s="3" t="s">
        <v>290</v>
      </c>
      <c r="E265" s="3" t="s">
        <v>78</v>
      </c>
      <c r="F265" s="5">
        <v>3</v>
      </c>
      <c r="G265" s="5">
        <v>4060</v>
      </c>
      <c r="H265" s="5">
        <v>6.9</v>
      </c>
      <c r="I265" s="5">
        <v>11339.58</v>
      </c>
      <c r="J265" s="3" t="s">
        <v>26</v>
      </c>
      <c r="K265" s="3" t="s">
        <v>38</v>
      </c>
      <c r="L265" t="str">
        <f>IFERROR(VLOOKUP(D265,Products!$A$2:$F$61,3,FALSE()),"")</f>
        <v>Grocery</v>
      </c>
      <c r="M265" t="str">
        <f>IFERROR(VLOOKUP(E265,Sales_Reps!$A$2:$C$31,3,FALSE()),"")</f>
        <v>North</v>
      </c>
      <c r="N265">
        <f>IFERROR(VLOOKUP(D265,Products!$A$2:$F$61,4,FALSE()),"")</f>
        <v>2911</v>
      </c>
      <c r="O265" t="str">
        <f>IFERROR(VLOOKUP(C265,Customers!$A$2:$F$301,5,FALSE()),"")</f>
        <v>Retail</v>
      </c>
      <c r="P265">
        <f>IFERROR(VLOOKUP(C265,Customers!$A$2:$F$301,3,FALSE()),"")</f>
        <v>40</v>
      </c>
      <c r="Q265">
        <f t="shared" si="12"/>
        <v>0.28300492610837441</v>
      </c>
      <c r="R265">
        <f>IF(AND(COUNTIF($A$2:$A$2047,A265)&gt;1,COUNTIF($A$2:A265,A265)=1),1,0)</f>
        <v>0</v>
      </c>
      <c r="S265" t="b">
        <f>IFERROR(VLOOKUP(D265,Products!$A$2:$F$61,6,FALSE()),"")</f>
        <v>1</v>
      </c>
      <c r="T265" t="str">
        <f>IF(COUNTIF(Customers!$A$2:$A$301,C265)=0,"Missing","OK")</f>
        <v>OK</v>
      </c>
      <c r="U265" t="str">
        <f t="shared" si="13"/>
        <v>Delhi</v>
      </c>
      <c r="V265">
        <f t="shared" si="14"/>
        <v>0</v>
      </c>
    </row>
    <row r="266" spans="1:22" ht="15" customHeight="1" x14ac:dyDescent="0.35">
      <c r="A266" s="3" t="s">
        <v>566</v>
      </c>
      <c r="B266" s="4">
        <v>45465</v>
      </c>
      <c r="C266" s="3" t="s">
        <v>567</v>
      </c>
      <c r="D266" s="3" t="s">
        <v>63</v>
      </c>
      <c r="E266" s="3" t="s">
        <v>93</v>
      </c>
      <c r="F266" s="5">
        <v>6</v>
      </c>
      <c r="G266" s="5">
        <v>5490</v>
      </c>
      <c r="H266" s="5">
        <v>8.4</v>
      </c>
      <c r="I266" s="5">
        <v>30173.040000000001</v>
      </c>
      <c r="J266" s="3" t="s">
        <v>26</v>
      </c>
      <c r="K266" s="3" t="s">
        <v>72</v>
      </c>
      <c r="L266" t="str">
        <f>IFERROR(VLOOKUP(D266,Products!$A$2:$F$61,3,FALSE()),"")</f>
        <v>Home</v>
      </c>
      <c r="M266" t="str">
        <f>IFERROR(VLOOKUP(E266,Sales_Reps!$A$2:$C$31,3,FALSE()),"")</f>
        <v>East</v>
      </c>
      <c r="N266">
        <f>IFERROR(VLOOKUP(D266,Products!$A$2:$F$61,4,FALSE()),"")</f>
        <v>2549</v>
      </c>
      <c r="O266" t="str">
        <f>IFERROR(VLOOKUP(C266,Customers!$A$2:$F$301,5,FALSE()),"")</f>
        <v>Corporate</v>
      </c>
      <c r="P266">
        <f>IFERROR(VLOOKUP(C266,Customers!$A$2:$F$301,3,FALSE()),"")</f>
        <v>22</v>
      </c>
      <c r="Q266">
        <f t="shared" si="12"/>
        <v>0.53570127504553733</v>
      </c>
      <c r="R266">
        <f>IF(AND(COUNTIF($A$2:$A$2047,A266)&gt;1,COUNTIF($A$2:A266,A266)=1),1,0)</f>
        <v>0</v>
      </c>
      <c r="S266" t="b">
        <f>IFERROR(VLOOKUP(D266,Products!$A$2:$F$61,6,FALSE()),"")</f>
        <v>1</v>
      </c>
      <c r="T266" t="str">
        <f>IF(COUNTIF(Customers!$A$2:$A$301,C266)=0,"Missing","OK")</f>
        <v>OK</v>
      </c>
      <c r="U266" t="str">
        <f t="shared" si="13"/>
        <v>Hyderabad</v>
      </c>
      <c r="V266">
        <f t="shared" si="14"/>
        <v>0</v>
      </c>
    </row>
    <row r="267" spans="1:22" ht="15" customHeight="1" x14ac:dyDescent="0.35">
      <c r="A267" s="3" t="s">
        <v>568</v>
      </c>
      <c r="B267" s="4">
        <v>45407</v>
      </c>
      <c r="C267" s="3" t="s">
        <v>424</v>
      </c>
      <c r="D267" s="3" t="s">
        <v>49</v>
      </c>
      <c r="E267" s="3" t="s">
        <v>242</v>
      </c>
      <c r="F267" s="5">
        <v>6</v>
      </c>
      <c r="G267" s="5">
        <v>370</v>
      </c>
      <c r="H267" s="5">
        <v>15.1</v>
      </c>
      <c r="I267" s="5">
        <v>1884.78</v>
      </c>
      <c r="J267" s="3" t="s">
        <v>26</v>
      </c>
      <c r="K267" s="3" t="s">
        <v>27</v>
      </c>
      <c r="L267" t="str">
        <f>IFERROR(VLOOKUP(D267,Products!$A$2:$F$61,3,FALSE()),"")</f>
        <v>Home</v>
      </c>
      <c r="M267" t="str">
        <f>IFERROR(VLOOKUP(E267,Sales_Reps!$A$2:$C$31,3,FALSE()),"")</f>
        <v>East</v>
      </c>
      <c r="N267">
        <f>IFERROR(VLOOKUP(D267,Products!$A$2:$F$61,4,FALSE()),"")</f>
        <v>288</v>
      </c>
      <c r="O267" t="str">
        <f>IFERROR(VLOOKUP(C267,Customers!$A$2:$F$301,5,FALSE()),"")</f>
        <v>Retail</v>
      </c>
      <c r="P267">
        <f>IFERROR(VLOOKUP(C267,Customers!$A$2:$F$301,3,FALSE()),"")</f>
        <v>49</v>
      </c>
      <c r="Q267">
        <f t="shared" si="12"/>
        <v>0.22162162162162163</v>
      </c>
      <c r="R267">
        <f>IF(AND(COUNTIF($A$2:$A$2047,A267)&gt;1,COUNTIF($A$2:A267,A267)=1),1,0)</f>
        <v>0</v>
      </c>
      <c r="S267" t="b">
        <f>IFERROR(VLOOKUP(D267,Products!$A$2:$F$61,6,FALSE()),"")</f>
        <v>1</v>
      </c>
      <c r="T267" t="str">
        <f>IF(COUNTIF(Customers!$A$2:$A$301,C267)=0,"Missing","OK")</f>
        <v>OK</v>
      </c>
      <c r="U267" t="str">
        <f t="shared" si="13"/>
        <v>Pune</v>
      </c>
      <c r="V267">
        <f t="shared" si="14"/>
        <v>0</v>
      </c>
    </row>
    <row r="268" spans="1:22" ht="15" customHeight="1" x14ac:dyDescent="0.35">
      <c r="A268" s="3" t="s">
        <v>569</v>
      </c>
      <c r="B268" s="4">
        <v>45405</v>
      </c>
      <c r="C268" s="3" t="s">
        <v>296</v>
      </c>
      <c r="D268" s="3" t="s">
        <v>231</v>
      </c>
      <c r="E268" s="3" t="s">
        <v>93</v>
      </c>
      <c r="F268" s="5">
        <v>5</v>
      </c>
      <c r="G268" s="5">
        <v>620</v>
      </c>
      <c r="H268" s="5">
        <v>13.1</v>
      </c>
      <c r="I268" s="5">
        <v>2693.9</v>
      </c>
      <c r="J268" s="3" t="s">
        <v>79</v>
      </c>
      <c r="K268" s="3" t="s">
        <v>38</v>
      </c>
      <c r="L268" t="str">
        <f>IFERROR(VLOOKUP(D268,Products!$A$2:$F$61,3,FALSE()),"")</f>
        <v>Apparel</v>
      </c>
      <c r="M268" t="str">
        <f>IFERROR(VLOOKUP(E268,Sales_Reps!$A$2:$C$31,3,FALSE()),"")</f>
        <v>East</v>
      </c>
      <c r="N268">
        <f>IFERROR(VLOOKUP(D268,Products!$A$2:$F$61,4,FALSE()),"")</f>
        <v>396</v>
      </c>
      <c r="O268" t="str">
        <f>IFERROR(VLOOKUP(C268,Customers!$A$2:$F$301,5,FALSE()),"")</f>
        <v>SMB</v>
      </c>
      <c r="P268">
        <f>IFERROR(VLOOKUP(C268,Customers!$A$2:$F$301,3,FALSE()),"")</f>
        <v>38</v>
      </c>
      <c r="Q268">
        <f t="shared" si="12"/>
        <v>0.36129032258064514</v>
      </c>
      <c r="R268">
        <f>IF(AND(COUNTIF($A$2:$A$2047,A268)&gt;1,COUNTIF($A$2:A268,A268)=1),1,0)</f>
        <v>0</v>
      </c>
      <c r="S268" t="b">
        <f>IFERROR(VLOOKUP(D268,Products!$A$2:$F$61,6,FALSE()),"")</f>
        <v>1</v>
      </c>
      <c r="T268" t="str">
        <f>IF(COUNTIF(Customers!$A$2:$A$301,C268)=0,"Missing","OK")</f>
        <v>OK</v>
      </c>
      <c r="U268" t="str">
        <f t="shared" si="13"/>
        <v>Delhi</v>
      </c>
      <c r="V268">
        <f t="shared" si="14"/>
        <v>0</v>
      </c>
    </row>
    <row r="269" spans="1:22" ht="15" customHeight="1" x14ac:dyDescent="0.35">
      <c r="A269" s="3" t="s">
        <v>570</v>
      </c>
      <c r="B269" s="4">
        <v>45332</v>
      </c>
      <c r="C269" s="3" t="s">
        <v>281</v>
      </c>
      <c r="D269" s="3" t="s">
        <v>82</v>
      </c>
      <c r="E269" s="3" t="s">
        <v>168</v>
      </c>
      <c r="F269" s="5">
        <v>9</v>
      </c>
      <c r="G269" s="5">
        <v>3250</v>
      </c>
      <c r="H269" s="5">
        <v>16.5</v>
      </c>
      <c r="I269" s="5">
        <v>24423.75</v>
      </c>
      <c r="J269" s="3" t="s">
        <v>26</v>
      </c>
      <c r="K269" s="3" t="s">
        <v>33</v>
      </c>
      <c r="L269" t="str">
        <f>IFERROR(VLOOKUP(D269,Products!$A$2:$F$61,3,FALSE()),"")</f>
        <v>Home</v>
      </c>
      <c r="M269" t="str">
        <f>IFERROR(VLOOKUP(E269,Sales_Reps!$A$2:$C$31,3,FALSE()),"")</f>
        <v>West</v>
      </c>
      <c r="N269">
        <f>IFERROR(VLOOKUP(D269,Products!$A$2:$F$61,4,FALSE()),"")</f>
        <v>1556</v>
      </c>
      <c r="O269" t="str">
        <f>IFERROR(VLOOKUP(C269,Customers!$A$2:$F$301,5,FALSE()),"")</f>
        <v>Retail</v>
      </c>
      <c r="P269">
        <f>IFERROR(VLOOKUP(C269,Customers!$A$2:$F$301,3,FALSE()),"")</f>
        <v>26</v>
      </c>
      <c r="Q269">
        <f t="shared" si="12"/>
        <v>0.52123076923076928</v>
      </c>
      <c r="R269">
        <f>IF(AND(COUNTIF($A$2:$A$2047,A269)&gt;1,COUNTIF($A$2:A269,A269)=1),1,0)</f>
        <v>1</v>
      </c>
      <c r="S269" t="b">
        <f>IFERROR(VLOOKUP(D269,Products!$A$2:$F$61,6,FALSE()),"")</f>
        <v>1</v>
      </c>
      <c r="T269" t="str">
        <f>IF(COUNTIF(Customers!$A$2:$A$301,C269)=0,"Missing","OK")</f>
        <v>OK</v>
      </c>
      <c r="U269" t="str">
        <f t="shared" si="13"/>
        <v>Chennai</v>
      </c>
      <c r="V269">
        <f t="shared" si="14"/>
        <v>0</v>
      </c>
    </row>
    <row r="270" spans="1:22" ht="15" customHeight="1" x14ac:dyDescent="0.35">
      <c r="A270" s="3" t="s">
        <v>571</v>
      </c>
      <c r="B270" s="4">
        <v>45299</v>
      </c>
      <c r="C270" s="3" t="s">
        <v>167</v>
      </c>
      <c r="D270" s="3" t="s">
        <v>180</v>
      </c>
      <c r="E270" s="3" t="s">
        <v>212</v>
      </c>
      <c r="F270" s="5">
        <v>1</v>
      </c>
      <c r="G270" s="5">
        <v>6080</v>
      </c>
      <c r="H270" s="5">
        <v>0.1</v>
      </c>
      <c r="I270" s="5">
        <v>6073.92</v>
      </c>
      <c r="J270" s="3" t="s">
        <v>26</v>
      </c>
      <c r="K270" s="3" t="s">
        <v>51</v>
      </c>
      <c r="L270" t="str">
        <f>IFERROR(VLOOKUP(D270,Products!$A$2:$F$61,3,FALSE()),"")</f>
        <v>Beauty</v>
      </c>
      <c r="M270" t="str">
        <f>IFERROR(VLOOKUP(E270,Sales_Reps!$A$2:$C$31,3,FALSE()),"")</f>
        <v>South</v>
      </c>
      <c r="N270">
        <f>IFERROR(VLOOKUP(D270,Products!$A$2:$F$61,4,FALSE()),"")</f>
        <v>2617</v>
      </c>
      <c r="O270" t="str">
        <f>IFERROR(VLOOKUP(C270,Customers!$A$2:$F$301,5,FALSE()),"")</f>
        <v>SMB</v>
      </c>
      <c r="P270">
        <f>IFERROR(VLOOKUP(C270,Customers!$A$2:$F$301,3,FALSE()),"")</f>
        <v>54</v>
      </c>
      <c r="Q270">
        <f t="shared" si="12"/>
        <v>0.56957236842105263</v>
      </c>
      <c r="R270">
        <f>IF(AND(COUNTIF($A$2:$A$2047,A270)&gt;1,COUNTIF($A$2:A270,A270)=1),1,0)</f>
        <v>0</v>
      </c>
      <c r="S270" t="b">
        <f>IFERROR(VLOOKUP(D270,Products!$A$2:$F$61,6,FALSE()),"")</f>
        <v>1</v>
      </c>
      <c r="T270" t="str">
        <f>IF(COUNTIF(Customers!$A$2:$A$301,C270)=0,"Missing","OK")</f>
        <v>OK</v>
      </c>
      <c r="U270" t="str">
        <f t="shared" si="13"/>
        <v>Mumbai</v>
      </c>
      <c r="V270">
        <f t="shared" si="14"/>
        <v>0</v>
      </c>
    </row>
    <row r="271" spans="1:22" ht="15" customHeight="1" x14ac:dyDescent="0.35">
      <c r="A271" s="3" t="s">
        <v>572</v>
      </c>
      <c r="B271" s="4">
        <v>45386</v>
      </c>
      <c r="C271" s="3" t="s">
        <v>528</v>
      </c>
      <c r="D271" s="3" t="s">
        <v>176</v>
      </c>
      <c r="E271" s="3" t="s">
        <v>37</v>
      </c>
      <c r="F271" s="5">
        <v>8</v>
      </c>
      <c r="G271" s="5">
        <v>3640</v>
      </c>
      <c r="H271" s="5">
        <v>13.5</v>
      </c>
      <c r="I271" s="5">
        <v>25188.799999999999</v>
      </c>
      <c r="J271" s="3" t="s">
        <v>26</v>
      </c>
      <c r="K271" s="3" t="s">
        <v>33</v>
      </c>
      <c r="L271" t="str">
        <f>IFERROR(VLOOKUP(D271,Products!$A$2:$F$61,3,FALSE()),"")</f>
        <v>Apparel</v>
      </c>
      <c r="M271" t="str">
        <f>IFERROR(VLOOKUP(E271,Sales_Reps!$A$2:$C$31,3,FALSE()),"")</f>
        <v>South</v>
      </c>
      <c r="N271">
        <f>IFERROR(VLOOKUP(D271,Products!$A$2:$F$61,4,FALSE()),"")</f>
        <v>2611</v>
      </c>
      <c r="O271" t="str">
        <f>IFERROR(VLOOKUP(C271,Customers!$A$2:$F$301,5,FALSE()),"")</f>
        <v>Corporate</v>
      </c>
      <c r="P271">
        <f>IFERROR(VLOOKUP(C271,Customers!$A$2:$F$301,3,FALSE()),"")</f>
        <v>30</v>
      </c>
      <c r="Q271">
        <f t="shared" si="12"/>
        <v>0.28269230769230769</v>
      </c>
      <c r="R271">
        <f>IF(AND(COUNTIF($A$2:$A$2047,A271)&gt;1,COUNTIF($A$2:A271,A271)=1),1,0)</f>
        <v>0</v>
      </c>
      <c r="S271" t="b">
        <f>IFERROR(VLOOKUP(D271,Products!$A$2:$F$61,6,FALSE()),"")</f>
        <v>1</v>
      </c>
      <c r="T271" t="str">
        <f>IF(COUNTIF(Customers!$A$2:$A$301,C271)=0,"Missing","OK")</f>
        <v>OK</v>
      </c>
      <c r="U271" t="str">
        <f t="shared" si="13"/>
        <v>Chennai</v>
      </c>
      <c r="V271">
        <f t="shared" si="14"/>
        <v>0</v>
      </c>
    </row>
    <row r="272" spans="1:22" ht="15" customHeight="1" x14ac:dyDescent="0.35">
      <c r="A272" s="3" t="s">
        <v>573</v>
      </c>
      <c r="B272" s="4">
        <v>45472</v>
      </c>
      <c r="C272" s="3" t="s">
        <v>574</v>
      </c>
      <c r="D272" s="3" t="s">
        <v>45</v>
      </c>
      <c r="E272" s="3" t="s">
        <v>31</v>
      </c>
      <c r="F272" s="5">
        <v>9</v>
      </c>
      <c r="G272" s="5">
        <v>3160</v>
      </c>
      <c r="H272" s="5">
        <v>29.7</v>
      </c>
      <c r="I272" s="5">
        <v>19993.32</v>
      </c>
      <c r="J272" s="3" t="s">
        <v>26</v>
      </c>
      <c r="K272" s="3" t="s">
        <v>38</v>
      </c>
      <c r="L272" t="str">
        <f>IFERROR(VLOOKUP(D272,Products!$A$2:$F$61,3,FALSE()),"")</f>
        <v>Apparel</v>
      </c>
      <c r="M272" t="str">
        <f>IFERROR(VLOOKUP(E272,Sales_Reps!$A$2:$C$31,3,FALSE()),"")</f>
        <v>North</v>
      </c>
      <c r="N272">
        <f>IFERROR(VLOOKUP(D272,Products!$A$2:$F$61,4,FALSE()),"")</f>
        <v>1886</v>
      </c>
      <c r="O272" t="str">
        <f>IFERROR(VLOOKUP(C272,Customers!$A$2:$F$301,5,FALSE()),"")</f>
        <v>Retail</v>
      </c>
      <c r="P272">
        <f>IFERROR(VLOOKUP(C272,Customers!$A$2:$F$301,3,FALSE()),"")</f>
        <v>49</v>
      </c>
      <c r="Q272">
        <f t="shared" si="12"/>
        <v>0.4031645569620253</v>
      </c>
      <c r="R272">
        <f>IF(AND(COUNTIF($A$2:$A$2047,A272)&gt;1,COUNTIF($A$2:A272,A272)=1),1,0)</f>
        <v>0</v>
      </c>
      <c r="S272" t="b">
        <f>IFERROR(VLOOKUP(D272,Products!$A$2:$F$61,6,FALSE()),"")</f>
        <v>1</v>
      </c>
      <c r="T272" t="str">
        <f>IF(COUNTIF(Customers!$A$2:$A$301,C272)=0,"Missing","OK")</f>
        <v>OK</v>
      </c>
      <c r="U272" t="str">
        <f t="shared" si="13"/>
        <v>Delhi</v>
      </c>
      <c r="V272">
        <f t="shared" si="14"/>
        <v>0</v>
      </c>
    </row>
    <row r="273" spans="1:22" ht="15" customHeight="1" x14ac:dyDescent="0.35">
      <c r="A273" s="3" t="s">
        <v>575</v>
      </c>
      <c r="B273" s="4">
        <v>45428</v>
      </c>
      <c r="C273" s="3" t="s">
        <v>500</v>
      </c>
      <c r="D273" s="3" t="s">
        <v>187</v>
      </c>
      <c r="E273" s="3" t="s">
        <v>25</v>
      </c>
      <c r="F273" s="5">
        <v>2</v>
      </c>
      <c r="G273" s="5">
        <v>3870</v>
      </c>
      <c r="H273" s="5">
        <v>18.100000000000001</v>
      </c>
      <c r="I273" s="5">
        <v>6339.06</v>
      </c>
      <c r="J273" s="3" t="s">
        <v>79</v>
      </c>
      <c r="K273" s="3" t="s">
        <v>72</v>
      </c>
      <c r="L273" t="str">
        <f>IFERROR(VLOOKUP(D273,Products!$A$2:$F$61,3,FALSE()),"")</f>
        <v>Electronics</v>
      </c>
      <c r="M273" t="str">
        <f>IFERROR(VLOOKUP(E273,Sales_Reps!$A$2:$C$31,3,FALSE()),"")</f>
        <v>North</v>
      </c>
      <c r="N273">
        <f>IFERROR(VLOOKUP(D273,Products!$A$2:$F$61,4,FALSE()),"")</f>
        <v>1559</v>
      </c>
      <c r="O273" t="str">
        <f>IFERROR(VLOOKUP(C273,Customers!$A$2:$F$301,5,FALSE()),"")</f>
        <v>SMB</v>
      </c>
      <c r="P273">
        <f>IFERROR(VLOOKUP(C273,Customers!$A$2:$F$301,3,FALSE()),"")</f>
        <v>43</v>
      </c>
      <c r="Q273">
        <f t="shared" si="12"/>
        <v>0.59715762273901807</v>
      </c>
      <c r="R273">
        <f>IF(AND(COUNTIF($A$2:$A$2047,A273)&gt;1,COUNTIF($A$2:A273,A273)=1),1,0)</f>
        <v>0</v>
      </c>
      <c r="S273" t="b">
        <f>IFERROR(VLOOKUP(D273,Products!$A$2:$F$61,6,FALSE()),"")</f>
        <v>1</v>
      </c>
      <c r="T273" t="str">
        <f>IF(COUNTIF(Customers!$A$2:$A$301,C273)=0,"Missing","OK")</f>
        <v>OK</v>
      </c>
      <c r="U273" t="str">
        <f t="shared" si="13"/>
        <v>Hyderabad</v>
      </c>
      <c r="V273">
        <f t="shared" si="14"/>
        <v>0</v>
      </c>
    </row>
    <row r="274" spans="1:22" ht="15" customHeight="1" x14ac:dyDescent="0.35">
      <c r="A274" s="3" t="s">
        <v>576</v>
      </c>
      <c r="B274" s="4">
        <v>45430</v>
      </c>
      <c r="C274" s="3" t="s">
        <v>577</v>
      </c>
      <c r="D274" s="3" t="s">
        <v>142</v>
      </c>
      <c r="E274" s="3" t="s">
        <v>109</v>
      </c>
      <c r="F274" s="5">
        <v>3</v>
      </c>
      <c r="G274" s="5">
        <v>660</v>
      </c>
      <c r="H274" s="5">
        <v>9.1999999999999993</v>
      </c>
      <c r="I274" s="5">
        <v>1797.84</v>
      </c>
      <c r="J274" s="3" t="s">
        <v>26</v>
      </c>
      <c r="K274" s="3" t="s">
        <v>38</v>
      </c>
      <c r="L274" t="str">
        <f>IFERROR(VLOOKUP(D274,Products!$A$2:$F$61,3,FALSE()),"")</f>
        <v>Home</v>
      </c>
      <c r="M274" t="str">
        <f>IFERROR(VLOOKUP(E274,Sales_Reps!$A$2:$C$31,3,FALSE()),"")</f>
        <v>West</v>
      </c>
      <c r="N274">
        <f>IFERROR(VLOOKUP(D274,Products!$A$2:$F$61,4,FALSE()),"")</f>
        <v>329</v>
      </c>
      <c r="O274" t="str">
        <f>IFERROR(VLOOKUP(C274,Customers!$A$2:$F$301,5,FALSE()),"")</f>
        <v>Retail</v>
      </c>
      <c r="P274">
        <f>IFERROR(VLOOKUP(C274,Customers!$A$2:$F$301,3,FALSE()),"")</f>
        <v>43</v>
      </c>
      <c r="Q274">
        <f t="shared" si="12"/>
        <v>0.50151515151515147</v>
      </c>
      <c r="R274">
        <f>IF(AND(COUNTIF($A$2:$A$2047,A274)&gt;1,COUNTIF($A$2:A274,A274)=1),1,0)</f>
        <v>0</v>
      </c>
      <c r="S274" t="b">
        <f>IFERROR(VLOOKUP(D274,Products!$A$2:$F$61,6,FALSE()),"")</f>
        <v>1</v>
      </c>
      <c r="T274" t="str">
        <f>IF(COUNTIF(Customers!$A$2:$A$301,C274)=0,"Missing","OK")</f>
        <v>OK</v>
      </c>
      <c r="U274" t="str">
        <f t="shared" si="13"/>
        <v>Delhi</v>
      </c>
      <c r="V274">
        <f t="shared" si="14"/>
        <v>0</v>
      </c>
    </row>
    <row r="275" spans="1:22" ht="15" customHeight="1" x14ac:dyDescent="0.35">
      <c r="A275" s="3" t="s">
        <v>578</v>
      </c>
      <c r="B275" s="4">
        <v>45418</v>
      </c>
      <c r="C275" s="3" t="s">
        <v>344</v>
      </c>
      <c r="D275" s="3" t="s">
        <v>290</v>
      </c>
      <c r="E275" s="3" t="s">
        <v>191</v>
      </c>
      <c r="F275" s="5">
        <v>4</v>
      </c>
      <c r="G275" s="5">
        <v>4060</v>
      </c>
      <c r="H275" s="5">
        <v>28</v>
      </c>
      <c r="I275" s="5">
        <v>11692.8</v>
      </c>
      <c r="J275" s="3" t="s">
        <v>26</v>
      </c>
      <c r="K275" s="3" t="s">
        <v>33</v>
      </c>
      <c r="L275" t="str">
        <f>IFERROR(VLOOKUP(D275,Products!$A$2:$F$61,3,FALSE()),"")</f>
        <v>Grocery</v>
      </c>
      <c r="M275" t="str">
        <f>IFERROR(VLOOKUP(E275,Sales_Reps!$A$2:$C$31,3,FALSE()),"")</f>
        <v>South</v>
      </c>
      <c r="N275">
        <f>IFERROR(VLOOKUP(D275,Products!$A$2:$F$61,4,FALSE()),"")</f>
        <v>2911</v>
      </c>
      <c r="O275" t="str">
        <f>IFERROR(VLOOKUP(C275,Customers!$A$2:$F$301,5,FALSE()),"")</f>
        <v>Corporate</v>
      </c>
      <c r="P275">
        <f>IFERROR(VLOOKUP(C275,Customers!$A$2:$F$301,3,FALSE()),"")</f>
        <v>24</v>
      </c>
      <c r="Q275">
        <f t="shared" si="12"/>
        <v>0.28300492610837441</v>
      </c>
      <c r="R275">
        <f>IF(AND(COUNTIF($A$2:$A$2047,A275)&gt;1,COUNTIF($A$2:A275,A275)=1),1,0)</f>
        <v>0</v>
      </c>
      <c r="S275" t="b">
        <f>IFERROR(VLOOKUP(D275,Products!$A$2:$F$61,6,FALSE()),"")</f>
        <v>1</v>
      </c>
      <c r="T275" t="str">
        <f>IF(COUNTIF(Customers!$A$2:$A$301,C275)=0,"Missing","OK")</f>
        <v>OK</v>
      </c>
      <c r="U275" t="str">
        <f t="shared" si="13"/>
        <v>Chennai</v>
      </c>
      <c r="V275">
        <f t="shared" si="14"/>
        <v>0</v>
      </c>
    </row>
    <row r="276" spans="1:22" ht="15" customHeight="1" x14ac:dyDescent="0.35">
      <c r="A276" s="3" t="s">
        <v>579</v>
      </c>
      <c r="B276" s="4">
        <v>45360</v>
      </c>
      <c r="C276" s="3" t="s">
        <v>296</v>
      </c>
      <c r="D276" s="3" t="s">
        <v>382</v>
      </c>
      <c r="E276" s="3" t="s">
        <v>285</v>
      </c>
      <c r="F276" s="5">
        <v>2</v>
      </c>
      <c r="G276" s="5">
        <v>5080</v>
      </c>
      <c r="H276" s="5">
        <v>7.7</v>
      </c>
      <c r="I276" s="5">
        <v>9377.68</v>
      </c>
      <c r="J276" s="3" t="s">
        <v>83</v>
      </c>
      <c r="K276" s="3" t="s">
        <v>38</v>
      </c>
      <c r="L276" t="str">
        <f>IFERROR(VLOOKUP(D276,Products!$A$2:$F$61,3,FALSE()),"")</f>
        <v>Home</v>
      </c>
      <c r="M276" t="str">
        <f>IFERROR(VLOOKUP(E276,Sales_Reps!$A$2:$C$31,3,FALSE()),"")</f>
        <v>South</v>
      </c>
      <c r="N276">
        <f>IFERROR(VLOOKUP(D276,Products!$A$2:$F$61,4,FALSE()),"")</f>
        <v>2459</v>
      </c>
      <c r="O276" t="str">
        <f>IFERROR(VLOOKUP(C276,Customers!$A$2:$F$301,5,FALSE()),"")</f>
        <v>SMB</v>
      </c>
      <c r="P276">
        <f>IFERROR(VLOOKUP(C276,Customers!$A$2:$F$301,3,FALSE()),"")</f>
        <v>38</v>
      </c>
      <c r="Q276">
        <f t="shared" si="12"/>
        <v>0.51594488188976373</v>
      </c>
      <c r="R276">
        <f>IF(AND(COUNTIF($A$2:$A$2047,A276)&gt;1,COUNTIF($A$2:A276,A276)=1),1,0)</f>
        <v>0</v>
      </c>
      <c r="S276" t="b">
        <f>IFERROR(VLOOKUP(D276,Products!$A$2:$F$61,6,FALSE()),"")</f>
        <v>1</v>
      </c>
      <c r="T276" t="str">
        <f>IF(COUNTIF(Customers!$A$2:$A$301,C276)=0,"Missing","OK")</f>
        <v>OK</v>
      </c>
      <c r="U276" t="str">
        <f t="shared" si="13"/>
        <v>Delhi</v>
      </c>
      <c r="V276">
        <f t="shared" si="14"/>
        <v>0</v>
      </c>
    </row>
    <row r="277" spans="1:22" ht="15" customHeight="1" x14ac:dyDescent="0.35">
      <c r="A277" s="3" t="s">
        <v>580</v>
      </c>
      <c r="B277" s="4">
        <v>45296</v>
      </c>
      <c r="C277" s="3" t="s">
        <v>251</v>
      </c>
      <c r="D277" s="3" t="s">
        <v>126</v>
      </c>
      <c r="E277" s="3" t="s">
        <v>31</v>
      </c>
      <c r="F277" s="5">
        <v>3</v>
      </c>
      <c r="G277" s="5">
        <v>3570</v>
      </c>
      <c r="H277" s="5">
        <v>9.5</v>
      </c>
      <c r="I277" s="5">
        <v>9692.5499999999993</v>
      </c>
      <c r="J277" s="3" t="s">
        <v>26</v>
      </c>
      <c r="K277" s="3" t="s">
        <v>72</v>
      </c>
      <c r="L277" t="str">
        <f>IFERROR(VLOOKUP(D277,Products!$A$2:$F$61,3,FALSE()),"")</f>
        <v>Electronics</v>
      </c>
      <c r="M277" t="str">
        <f>IFERROR(VLOOKUP(E277,Sales_Reps!$A$2:$C$31,3,FALSE()),"")</f>
        <v>North</v>
      </c>
      <c r="N277">
        <f>IFERROR(VLOOKUP(D277,Products!$A$2:$F$61,4,FALSE()),"")</f>
        <v>1665</v>
      </c>
      <c r="O277" t="str">
        <f>IFERROR(VLOOKUP(C277,Customers!$A$2:$F$301,5,FALSE()),"")</f>
        <v>Retail</v>
      </c>
      <c r="P277">
        <f>IFERROR(VLOOKUP(C277,Customers!$A$2:$F$301,3,FALSE()),"")</f>
        <v>46</v>
      </c>
      <c r="Q277">
        <f t="shared" si="12"/>
        <v>0.53361344537815125</v>
      </c>
      <c r="R277">
        <f>IF(AND(COUNTIF($A$2:$A$2047,A277)&gt;1,COUNTIF($A$2:A277,A277)=1),1,0)</f>
        <v>0</v>
      </c>
      <c r="S277" t="b">
        <f>IFERROR(VLOOKUP(D277,Products!$A$2:$F$61,6,FALSE()),"")</f>
        <v>1</v>
      </c>
      <c r="T277" t="str">
        <f>IF(COUNTIF(Customers!$A$2:$A$301,C277)=0,"Missing","OK")</f>
        <v>OK</v>
      </c>
      <c r="U277" t="str">
        <f t="shared" si="13"/>
        <v>Hyderabad</v>
      </c>
      <c r="V277">
        <f t="shared" si="14"/>
        <v>0</v>
      </c>
    </row>
    <row r="278" spans="1:22" ht="15" customHeight="1" x14ac:dyDescent="0.35">
      <c r="A278" s="3" t="s">
        <v>581</v>
      </c>
      <c r="B278" s="4">
        <v>45460</v>
      </c>
      <c r="C278" s="3" t="s">
        <v>582</v>
      </c>
      <c r="D278" s="3" t="s">
        <v>231</v>
      </c>
      <c r="E278" s="3" t="s">
        <v>131</v>
      </c>
      <c r="F278" s="5">
        <v>2</v>
      </c>
      <c r="G278" s="5">
        <v>620</v>
      </c>
      <c r="H278" s="5">
        <v>29.5</v>
      </c>
      <c r="I278" s="5">
        <v>874.2</v>
      </c>
      <c r="J278" s="3" t="s">
        <v>26</v>
      </c>
      <c r="K278" s="3" t="s">
        <v>51</v>
      </c>
      <c r="L278" t="str">
        <f>IFERROR(VLOOKUP(D278,Products!$A$2:$F$61,3,FALSE()),"")</f>
        <v>Apparel</v>
      </c>
      <c r="M278" t="str">
        <f>IFERROR(VLOOKUP(E278,Sales_Reps!$A$2:$C$31,3,FALSE()),"")</f>
        <v>East</v>
      </c>
      <c r="N278">
        <f>IFERROR(VLOOKUP(D278,Products!$A$2:$F$61,4,FALSE()),"")</f>
        <v>396</v>
      </c>
      <c r="O278" t="str">
        <f>IFERROR(VLOOKUP(C278,Customers!$A$2:$F$301,5,FALSE()),"")</f>
        <v>SMB</v>
      </c>
      <c r="P278">
        <f>IFERROR(VLOOKUP(C278,Customers!$A$2:$F$301,3,FALSE()),"")</f>
        <v>27</v>
      </c>
      <c r="Q278">
        <f t="shared" si="12"/>
        <v>0.36129032258064514</v>
      </c>
      <c r="R278">
        <f>IF(AND(COUNTIF($A$2:$A$2047,A278)&gt;1,COUNTIF($A$2:A278,A278)=1),1,0)</f>
        <v>0</v>
      </c>
      <c r="S278" t="b">
        <f>IFERROR(VLOOKUP(D278,Products!$A$2:$F$61,6,FALSE()),"")</f>
        <v>1</v>
      </c>
      <c r="T278" t="str">
        <f>IF(COUNTIF(Customers!$A$2:$A$301,C278)=0,"Missing","OK")</f>
        <v>OK</v>
      </c>
      <c r="U278" t="str">
        <f t="shared" si="13"/>
        <v>Mumbai</v>
      </c>
      <c r="V278">
        <f t="shared" si="14"/>
        <v>0</v>
      </c>
    </row>
    <row r="279" spans="1:22" ht="15" customHeight="1" x14ac:dyDescent="0.35">
      <c r="A279" s="3" t="s">
        <v>583</v>
      </c>
      <c r="B279" s="4">
        <v>45638</v>
      </c>
      <c r="C279" s="3" t="s">
        <v>342</v>
      </c>
      <c r="D279" s="3" t="s">
        <v>391</v>
      </c>
      <c r="E279" s="3" t="s">
        <v>191</v>
      </c>
      <c r="F279" s="5">
        <v>3</v>
      </c>
      <c r="G279" s="5">
        <v>3450</v>
      </c>
      <c r="H279" s="5">
        <v>3</v>
      </c>
      <c r="I279" s="5">
        <v>10039.5</v>
      </c>
      <c r="J279" s="3" t="s">
        <v>26</v>
      </c>
      <c r="K279" s="3" t="s">
        <v>56</v>
      </c>
      <c r="L279" t="str">
        <f>IFERROR(VLOOKUP(D279,Products!$A$2:$F$61,3,FALSE()),"")</f>
        <v>Apparel</v>
      </c>
      <c r="M279" t="str">
        <f>IFERROR(VLOOKUP(E279,Sales_Reps!$A$2:$C$31,3,FALSE()),"")</f>
        <v>South</v>
      </c>
      <c r="N279">
        <f>IFERROR(VLOOKUP(D279,Products!$A$2:$F$61,4,FALSE()),"")</f>
        <v>1748</v>
      </c>
      <c r="O279" t="str">
        <f>IFERROR(VLOOKUP(C279,Customers!$A$2:$F$301,5,FALSE()),"")</f>
        <v>Retail</v>
      </c>
      <c r="P279">
        <f>IFERROR(VLOOKUP(C279,Customers!$A$2:$F$301,3,FALSE()),"")</f>
        <v>59</v>
      </c>
      <c r="Q279">
        <f t="shared" si="12"/>
        <v>0.49333333333333335</v>
      </c>
      <c r="R279">
        <f>IF(AND(COUNTIF($A$2:$A$2047,A279)&gt;1,COUNTIF($A$2:A279,A279)=1),1,0)</f>
        <v>0</v>
      </c>
      <c r="S279" t="b">
        <f>IFERROR(VLOOKUP(D279,Products!$A$2:$F$61,6,FALSE()),"")</f>
        <v>1</v>
      </c>
      <c r="T279" t="str">
        <f>IF(COUNTIF(Customers!$A$2:$A$301,C279)=0,"Missing","OK")</f>
        <v>OK</v>
      </c>
      <c r="U279" t="str">
        <f t="shared" si="13"/>
        <v>Bengaluru</v>
      </c>
      <c r="V279">
        <f t="shared" si="14"/>
        <v>0</v>
      </c>
    </row>
    <row r="280" spans="1:22" ht="15" customHeight="1" x14ac:dyDescent="0.35">
      <c r="A280" s="3" t="s">
        <v>584</v>
      </c>
      <c r="B280" s="4">
        <v>45408</v>
      </c>
      <c r="C280" s="3" t="s">
        <v>461</v>
      </c>
      <c r="D280" s="3" t="s">
        <v>130</v>
      </c>
      <c r="E280" s="3" t="s">
        <v>42</v>
      </c>
      <c r="F280" s="5">
        <v>7</v>
      </c>
      <c r="G280" s="5">
        <v>5100</v>
      </c>
      <c r="H280" s="5">
        <v>4.3</v>
      </c>
      <c r="I280" s="5">
        <v>34164.9</v>
      </c>
      <c r="J280" s="3" t="s">
        <v>26</v>
      </c>
      <c r="K280" s="3" t="s">
        <v>38</v>
      </c>
      <c r="L280" t="str">
        <f>IFERROR(VLOOKUP(D280,Products!$A$2:$F$61,3,FALSE()),"")</f>
        <v>Beauty</v>
      </c>
      <c r="M280" t="str">
        <f>IFERROR(VLOOKUP(E280,Sales_Reps!$A$2:$C$31,3,FALSE()),"")</f>
        <v>North</v>
      </c>
      <c r="N280">
        <f>IFERROR(VLOOKUP(D280,Products!$A$2:$F$61,4,FALSE()),"")</f>
        <v>2237</v>
      </c>
      <c r="O280" t="str">
        <f>IFERROR(VLOOKUP(C280,Customers!$A$2:$F$301,5,FALSE()),"")</f>
        <v>SMB</v>
      </c>
      <c r="P280">
        <f>IFERROR(VLOOKUP(C280,Customers!$A$2:$F$301,3,FALSE()),"")</f>
        <v>55</v>
      </c>
      <c r="Q280">
        <f t="shared" si="12"/>
        <v>0.56137254901960787</v>
      </c>
      <c r="R280">
        <f>IF(AND(COUNTIF($A$2:$A$2047,A280)&gt;1,COUNTIF($A$2:A280,A280)=1),1,0)</f>
        <v>0</v>
      </c>
      <c r="S280" t="b">
        <f>IFERROR(VLOOKUP(D280,Products!$A$2:$F$61,6,FALSE()),"")</f>
        <v>1</v>
      </c>
      <c r="T280" t="str">
        <f>IF(COUNTIF(Customers!$A$2:$A$301,C280)=0,"Missing","OK")</f>
        <v>OK</v>
      </c>
      <c r="U280" t="str">
        <f t="shared" si="13"/>
        <v>Delhi</v>
      </c>
      <c r="V280">
        <f t="shared" si="14"/>
        <v>0</v>
      </c>
    </row>
    <row r="281" spans="1:22" ht="15" customHeight="1" x14ac:dyDescent="0.35">
      <c r="A281" s="3" t="s">
        <v>585</v>
      </c>
      <c r="B281" s="4">
        <v>45541</v>
      </c>
      <c r="C281" s="3" t="s">
        <v>368</v>
      </c>
      <c r="D281" s="3" t="s">
        <v>187</v>
      </c>
      <c r="E281" s="3" t="s">
        <v>87</v>
      </c>
      <c r="F281" s="5">
        <v>9</v>
      </c>
      <c r="G281" s="5">
        <v>3870</v>
      </c>
      <c r="H281" s="5">
        <v>4.8</v>
      </c>
      <c r="I281" s="5">
        <v>33158.160000000003</v>
      </c>
      <c r="J281" s="3" t="s">
        <v>26</v>
      </c>
      <c r="K281" s="3" t="s">
        <v>56</v>
      </c>
      <c r="L281" t="str">
        <f>IFERROR(VLOOKUP(D281,Products!$A$2:$F$61,3,FALSE()),"")</f>
        <v>Electronics</v>
      </c>
      <c r="M281" t="str">
        <f>IFERROR(VLOOKUP(E281,Sales_Reps!$A$2:$C$31,3,FALSE()),"")</f>
        <v>North</v>
      </c>
      <c r="N281">
        <f>IFERROR(VLOOKUP(D281,Products!$A$2:$F$61,4,FALSE()),"")</f>
        <v>1559</v>
      </c>
      <c r="O281" t="str">
        <f>IFERROR(VLOOKUP(C281,Customers!$A$2:$F$301,5,FALSE()),"")</f>
        <v>Retail</v>
      </c>
      <c r="P281">
        <f>IFERROR(VLOOKUP(C281,Customers!$A$2:$F$301,3,FALSE()),"")</f>
        <v>55</v>
      </c>
      <c r="Q281">
        <f t="shared" si="12"/>
        <v>0.59715762273901807</v>
      </c>
      <c r="R281">
        <f>IF(AND(COUNTIF($A$2:$A$2047,A281)&gt;1,COUNTIF($A$2:A281,A281)=1),1,0)</f>
        <v>0</v>
      </c>
      <c r="S281" t="b">
        <f>IFERROR(VLOOKUP(D281,Products!$A$2:$F$61,6,FALSE()),"")</f>
        <v>1</v>
      </c>
      <c r="T281" t="str">
        <f>IF(COUNTIF(Customers!$A$2:$A$301,C281)=0,"Missing","OK")</f>
        <v>OK</v>
      </c>
      <c r="U281" t="str">
        <f t="shared" si="13"/>
        <v>Bengaluru</v>
      </c>
      <c r="V281">
        <f t="shared" si="14"/>
        <v>0</v>
      </c>
    </row>
    <row r="282" spans="1:22" ht="15" customHeight="1" x14ac:dyDescent="0.35">
      <c r="A282" s="3" t="s">
        <v>586</v>
      </c>
      <c r="B282" s="4">
        <v>45633</v>
      </c>
      <c r="C282" s="3" t="s">
        <v>547</v>
      </c>
      <c r="D282" s="3" t="s">
        <v>206</v>
      </c>
      <c r="E282" s="3" t="s">
        <v>168</v>
      </c>
      <c r="F282" s="5">
        <v>5</v>
      </c>
      <c r="G282" s="5">
        <v>1220</v>
      </c>
      <c r="H282" s="5">
        <v>4</v>
      </c>
      <c r="I282" s="5">
        <v>5856</v>
      </c>
      <c r="J282" s="3" t="s">
        <v>79</v>
      </c>
      <c r="K282" s="3" t="s">
        <v>27</v>
      </c>
      <c r="L282" t="str">
        <f>IFERROR(VLOOKUP(D282,Products!$A$2:$F$61,3,FALSE()),"")</f>
        <v>Electronics</v>
      </c>
      <c r="M282" t="str">
        <f>IFERROR(VLOOKUP(E282,Sales_Reps!$A$2:$C$31,3,FALSE()),"")</f>
        <v>West</v>
      </c>
      <c r="N282">
        <f>IFERROR(VLOOKUP(D282,Products!$A$2:$F$61,4,FALSE()),"")</f>
        <v>517</v>
      </c>
      <c r="O282" t="str">
        <f>IFERROR(VLOOKUP(C282,Customers!$A$2:$F$301,5,FALSE()),"")</f>
        <v>Corporate</v>
      </c>
      <c r="P282">
        <f>IFERROR(VLOOKUP(C282,Customers!$A$2:$F$301,3,FALSE()),"")</f>
        <v>40</v>
      </c>
      <c r="Q282">
        <f t="shared" si="12"/>
        <v>0.57622950819672136</v>
      </c>
      <c r="R282">
        <f>IF(AND(COUNTIF($A$2:$A$2047,A282)&gt;1,COUNTIF($A$2:A282,A282)=1),1,0)</f>
        <v>0</v>
      </c>
      <c r="S282" t="b">
        <f>IFERROR(VLOOKUP(D282,Products!$A$2:$F$61,6,FALSE()),"")</f>
        <v>1</v>
      </c>
      <c r="T282" t="str">
        <f>IF(COUNTIF(Customers!$A$2:$A$301,C282)=0,"Missing","OK")</f>
        <v>OK</v>
      </c>
      <c r="U282" t="str">
        <f t="shared" si="13"/>
        <v>Pune</v>
      </c>
      <c r="V282">
        <f t="shared" si="14"/>
        <v>0</v>
      </c>
    </row>
    <row r="283" spans="1:22" ht="15" customHeight="1" x14ac:dyDescent="0.35">
      <c r="A283" s="3" t="s">
        <v>587</v>
      </c>
      <c r="B283" s="4">
        <v>45338</v>
      </c>
      <c r="C283" s="3" t="s">
        <v>105</v>
      </c>
      <c r="D283" s="3" t="s">
        <v>63</v>
      </c>
      <c r="E283" s="3" t="s">
        <v>93</v>
      </c>
      <c r="F283" s="5">
        <v>5</v>
      </c>
      <c r="G283" s="5">
        <v>5490</v>
      </c>
      <c r="H283" s="5">
        <v>19.8</v>
      </c>
      <c r="I283" s="5">
        <v>22014.9</v>
      </c>
      <c r="J283" s="3" t="s">
        <v>26</v>
      </c>
      <c r="K283" s="3" t="s">
        <v>72</v>
      </c>
      <c r="L283" t="str">
        <f>IFERROR(VLOOKUP(D283,Products!$A$2:$F$61,3,FALSE()),"")</f>
        <v>Home</v>
      </c>
      <c r="M283" t="str">
        <f>IFERROR(VLOOKUP(E283,Sales_Reps!$A$2:$C$31,3,FALSE()),"")</f>
        <v>East</v>
      </c>
      <c r="N283">
        <f>IFERROR(VLOOKUP(D283,Products!$A$2:$F$61,4,FALSE()),"")</f>
        <v>2549</v>
      </c>
      <c r="O283" t="str">
        <f>IFERROR(VLOOKUP(C283,Customers!$A$2:$F$301,5,FALSE()),"")</f>
        <v>Retail</v>
      </c>
      <c r="P283">
        <f>IFERROR(VLOOKUP(C283,Customers!$A$2:$F$301,3,FALSE()),"")</f>
        <v>32</v>
      </c>
      <c r="Q283">
        <f t="shared" si="12"/>
        <v>0.53570127504553733</v>
      </c>
      <c r="R283">
        <f>IF(AND(COUNTIF($A$2:$A$2047,A283)&gt;1,COUNTIF($A$2:A283,A283)=1),1,0)</f>
        <v>0</v>
      </c>
      <c r="S283" t="b">
        <f>IFERROR(VLOOKUP(D283,Products!$A$2:$F$61,6,FALSE()),"")</f>
        <v>1</v>
      </c>
      <c r="T283" t="str">
        <f>IF(COUNTIF(Customers!$A$2:$A$301,C283)=0,"Missing","OK")</f>
        <v>OK</v>
      </c>
      <c r="U283" t="str">
        <f t="shared" si="13"/>
        <v>Hyderabad</v>
      </c>
      <c r="V283">
        <f t="shared" si="14"/>
        <v>0</v>
      </c>
    </row>
    <row r="284" spans="1:22" ht="15" customHeight="1" x14ac:dyDescent="0.35">
      <c r="A284" s="3" t="s">
        <v>588</v>
      </c>
      <c r="B284" s="4">
        <v>45529</v>
      </c>
      <c r="C284" s="3" t="s">
        <v>324</v>
      </c>
      <c r="D284" s="3" t="s">
        <v>115</v>
      </c>
      <c r="E284" s="3" t="s">
        <v>154</v>
      </c>
      <c r="F284" s="5">
        <v>1</v>
      </c>
      <c r="G284" s="5">
        <v>1650</v>
      </c>
      <c r="H284" s="5">
        <v>26.2</v>
      </c>
      <c r="I284" s="5">
        <v>1217.7</v>
      </c>
      <c r="J284" s="3" t="s">
        <v>26</v>
      </c>
      <c r="K284" s="3" t="s">
        <v>56</v>
      </c>
      <c r="L284" t="str">
        <f>IFERROR(VLOOKUP(D284,Products!$A$2:$F$61,3,FALSE()),"")</f>
        <v>Beauty</v>
      </c>
      <c r="M284" t="str">
        <f>IFERROR(VLOOKUP(E284,Sales_Reps!$A$2:$C$31,3,FALSE()),"")</f>
        <v>North</v>
      </c>
      <c r="N284">
        <f>IFERROR(VLOOKUP(D284,Products!$A$2:$F$61,4,FALSE()),"")</f>
        <v>1222</v>
      </c>
      <c r="O284" t="str">
        <f>IFERROR(VLOOKUP(C284,Customers!$A$2:$F$301,5,FALSE()),"")</f>
        <v>Retail</v>
      </c>
      <c r="P284">
        <f>IFERROR(VLOOKUP(C284,Customers!$A$2:$F$301,3,FALSE()),"")</f>
        <v>23</v>
      </c>
      <c r="Q284">
        <f t="shared" si="12"/>
        <v>0.2593939393939394</v>
      </c>
      <c r="R284">
        <f>IF(AND(COUNTIF($A$2:$A$2047,A284)&gt;1,COUNTIF($A$2:A284,A284)=1),1,0)</f>
        <v>0</v>
      </c>
      <c r="S284" t="b">
        <f>IFERROR(VLOOKUP(D284,Products!$A$2:$F$61,6,FALSE()),"")</f>
        <v>1</v>
      </c>
      <c r="T284" t="str">
        <f>IF(COUNTIF(Customers!$A$2:$A$301,C284)=0,"Missing","OK")</f>
        <v>OK</v>
      </c>
      <c r="U284" t="str">
        <f t="shared" si="13"/>
        <v>Bengaluru</v>
      </c>
      <c r="V284">
        <f t="shared" si="14"/>
        <v>0</v>
      </c>
    </row>
    <row r="285" spans="1:22" ht="15" customHeight="1" x14ac:dyDescent="0.35">
      <c r="A285" s="3" t="s">
        <v>589</v>
      </c>
      <c r="B285" s="4">
        <v>45460</v>
      </c>
      <c r="C285" s="3" t="s">
        <v>590</v>
      </c>
      <c r="D285" s="3" t="s">
        <v>218</v>
      </c>
      <c r="E285" s="3" t="s">
        <v>87</v>
      </c>
      <c r="F285" s="5">
        <v>1</v>
      </c>
      <c r="G285" s="5">
        <v>2660</v>
      </c>
      <c r="H285" s="5">
        <v>21</v>
      </c>
      <c r="I285" s="5">
        <v>2101.4</v>
      </c>
      <c r="J285" s="3" t="s">
        <v>26</v>
      </c>
      <c r="K285" s="3" t="s">
        <v>72</v>
      </c>
      <c r="L285" t="str">
        <f>IFERROR(VLOOKUP(D285,Products!$A$2:$F$61,3,FALSE()),"")</f>
        <v>Electronics</v>
      </c>
      <c r="M285" t="str">
        <f>IFERROR(VLOOKUP(E285,Sales_Reps!$A$2:$C$31,3,FALSE()),"")</f>
        <v>North</v>
      </c>
      <c r="N285">
        <f>IFERROR(VLOOKUP(D285,Products!$A$2:$F$61,4,FALSE()),"")</f>
        <v>1259</v>
      </c>
      <c r="O285" t="str">
        <f>IFERROR(VLOOKUP(C285,Customers!$A$2:$F$301,5,FALSE()),"")</f>
        <v>Retail</v>
      </c>
      <c r="P285">
        <f>IFERROR(VLOOKUP(C285,Customers!$A$2:$F$301,3,FALSE()),"")</f>
        <v>50</v>
      </c>
      <c r="Q285">
        <f t="shared" si="12"/>
        <v>0.52669172932330832</v>
      </c>
      <c r="R285">
        <f>IF(AND(COUNTIF($A$2:$A$2047,A285)&gt;1,COUNTIF($A$2:A285,A285)=1),1,0)</f>
        <v>0</v>
      </c>
      <c r="S285" t="b">
        <f>IFERROR(VLOOKUP(D285,Products!$A$2:$F$61,6,FALSE()),"")</f>
        <v>0</v>
      </c>
      <c r="T285" t="str">
        <f>IF(COUNTIF(Customers!$A$2:$A$301,C285)=0,"Missing","OK")</f>
        <v>OK</v>
      </c>
      <c r="U285" t="str">
        <f t="shared" si="13"/>
        <v>Hyderabad</v>
      </c>
      <c r="V285">
        <f t="shared" si="14"/>
        <v>0</v>
      </c>
    </row>
    <row r="286" spans="1:22" ht="15" customHeight="1" x14ac:dyDescent="0.35">
      <c r="A286" s="3" t="s">
        <v>591</v>
      </c>
      <c r="B286" s="4">
        <v>45375</v>
      </c>
      <c r="C286" s="3" t="s">
        <v>270</v>
      </c>
      <c r="D286" s="3" t="s">
        <v>277</v>
      </c>
      <c r="E286" s="3" t="s">
        <v>87</v>
      </c>
      <c r="F286" s="5">
        <v>6</v>
      </c>
      <c r="G286" s="5">
        <v>2210</v>
      </c>
      <c r="H286" s="5">
        <v>9.8000000000000007</v>
      </c>
      <c r="I286" s="5">
        <v>11960.52</v>
      </c>
      <c r="J286" s="3" t="s">
        <v>32</v>
      </c>
      <c r="K286" s="3" t="s">
        <v>56</v>
      </c>
      <c r="L286" t="str">
        <f>IFERROR(VLOOKUP(D286,Products!$A$2:$F$61,3,FALSE()),"")</f>
        <v>Grocery</v>
      </c>
      <c r="M286" t="str">
        <f>IFERROR(VLOOKUP(E286,Sales_Reps!$A$2:$C$31,3,FALSE()),"")</f>
        <v>North</v>
      </c>
      <c r="N286">
        <f>IFERROR(VLOOKUP(D286,Products!$A$2:$F$61,4,FALSE()),"")</f>
        <v>1010</v>
      </c>
      <c r="O286" t="str">
        <f>IFERROR(VLOOKUP(C286,Customers!$A$2:$F$301,5,FALSE()),"")</f>
        <v>Corporate</v>
      </c>
      <c r="P286">
        <f>IFERROR(VLOOKUP(C286,Customers!$A$2:$F$301,3,FALSE()),"")</f>
        <v>59</v>
      </c>
      <c r="Q286">
        <f t="shared" si="12"/>
        <v>0.54298642533936647</v>
      </c>
      <c r="R286">
        <f>IF(AND(COUNTIF($A$2:$A$2047,A286)&gt;1,COUNTIF($A$2:A286,A286)=1),1,0)</f>
        <v>0</v>
      </c>
      <c r="S286" t="b">
        <f>IFERROR(VLOOKUP(D286,Products!$A$2:$F$61,6,FALSE()),"")</f>
        <v>1</v>
      </c>
      <c r="T286" t="str">
        <f>IF(COUNTIF(Customers!$A$2:$A$301,C286)=0,"Missing","OK")</f>
        <v>OK</v>
      </c>
      <c r="U286" t="str">
        <f t="shared" si="13"/>
        <v>Bengaluru</v>
      </c>
      <c r="V286">
        <f t="shared" si="14"/>
        <v>11960.52</v>
      </c>
    </row>
    <row r="287" spans="1:22" ht="15" customHeight="1" x14ac:dyDescent="0.35">
      <c r="A287" s="3" t="s">
        <v>592</v>
      </c>
      <c r="B287" s="4">
        <v>45310</v>
      </c>
      <c r="C287" s="3" t="s">
        <v>461</v>
      </c>
      <c r="D287" s="3" t="s">
        <v>77</v>
      </c>
      <c r="E287" s="3" t="s">
        <v>154</v>
      </c>
      <c r="F287" s="5">
        <v>9</v>
      </c>
      <c r="G287" s="5">
        <v>2600</v>
      </c>
      <c r="H287" s="5">
        <v>15.7</v>
      </c>
      <c r="I287" s="5">
        <v>19726.2</v>
      </c>
      <c r="J287" s="3" t="s">
        <v>26</v>
      </c>
      <c r="K287" s="3" t="s">
        <v>38</v>
      </c>
      <c r="L287" t="str">
        <f>IFERROR(VLOOKUP(D287,Products!$A$2:$F$61,3,FALSE()),"")</f>
        <v>Electronics</v>
      </c>
      <c r="M287" t="str">
        <f>IFERROR(VLOOKUP(E287,Sales_Reps!$A$2:$C$31,3,FALSE()),"")</f>
        <v>North</v>
      </c>
      <c r="N287">
        <f>IFERROR(VLOOKUP(D287,Products!$A$2:$F$61,4,FALSE()),"")</f>
        <v>1052</v>
      </c>
      <c r="O287" t="str">
        <f>IFERROR(VLOOKUP(C287,Customers!$A$2:$F$301,5,FALSE()),"")</f>
        <v>SMB</v>
      </c>
      <c r="P287">
        <f>IFERROR(VLOOKUP(C287,Customers!$A$2:$F$301,3,FALSE()),"")</f>
        <v>55</v>
      </c>
      <c r="Q287">
        <f t="shared" si="12"/>
        <v>0.5953846153846154</v>
      </c>
      <c r="R287">
        <f>IF(AND(COUNTIF($A$2:$A$2047,A287)&gt;1,COUNTIF($A$2:A287,A287)=1),1,0)</f>
        <v>0</v>
      </c>
      <c r="S287" t="b">
        <f>IFERROR(VLOOKUP(D287,Products!$A$2:$F$61,6,FALSE()),"")</f>
        <v>1</v>
      </c>
      <c r="T287" t="str">
        <f>IF(COUNTIF(Customers!$A$2:$A$301,C287)=0,"Missing","OK")</f>
        <v>OK</v>
      </c>
      <c r="U287" t="str">
        <f t="shared" si="13"/>
        <v>Delhi</v>
      </c>
      <c r="V287">
        <f t="shared" si="14"/>
        <v>0</v>
      </c>
    </row>
    <row r="288" spans="1:22" ht="15" customHeight="1" x14ac:dyDescent="0.35">
      <c r="A288" s="3" t="s">
        <v>593</v>
      </c>
      <c r="B288" s="4">
        <v>45314</v>
      </c>
      <c r="C288" s="3" t="s">
        <v>594</v>
      </c>
      <c r="D288" s="3" t="s">
        <v>215</v>
      </c>
      <c r="E288" s="3" t="s">
        <v>50</v>
      </c>
      <c r="F288" s="5">
        <v>3</v>
      </c>
      <c r="G288" s="5">
        <v>3020</v>
      </c>
      <c r="H288" s="5">
        <v>22.6</v>
      </c>
      <c r="I288" s="5">
        <v>7012.44</v>
      </c>
      <c r="J288" s="3" t="s">
        <v>26</v>
      </c>
      <c r="K288" s="3" t="s">
        <v>72</v>
      </c>
      <c r="L288" t="str">
        <f>IFERROR(VLOOKUP(D288,Products!$A$2:$F$61,3,FALSE()),"")</f>
        <v>Beauty</v>
      </c>
      <c r="M288" t="str">
        <f>IFERROR(VLOOKUP(E288,Sales_Reps!$A$2:$C$31,3,FALSE()),"")</f>
        <v>West</v>
      </c>
      <c r="N288">
        <f>IFERROR(VLOOKUP(D288,Products!$A$2:$F$61,4,FALSE()),"")</f>
        <v>1626</v>
      </c>
      <c r="O288" t="str">
        <f>IFERROR(VLOOKUP(C288,Customers!$A$2:$F$301,5,FALSE()),"")</f>
        <v>Retail</v>
      </c>
      <c r="P288">
        <f>IFERROR(VLOOKUP(C288,Customers!$A$2:$F$301,3,FALSE()),"")</f>
        <v>27</v>
      </c>
      <c r="Q288">
        <f t="shared" si="12"/>
        <v>0.46158940397350995</v>
      </c>
      <c r="R288">
        <f>IF(AND(COUNTIF($A$2:$A$2047,A288)&gt;1,COUNTIF($A$2:A288,A288)=1),1,0)</f>
        <v>0</v>
      </c>
      <c r="S288" t="b">
        <f>IFERROR(VLOOKUP(D288,Products!$A$2:$F$61,6,FALSE()),"")</f>
        <v>1</v>
      </c>
      <c r="T288" t="str">
        <f>IF(COUNTIF(Customers!$A$2:$A$301,C288)=0,"Missing","OK")</f>
        <v>OK</v>
      </c>
      <c r="U288" t="str">
        <f t="shared" si="13"/>
        <v>Hyderabad</v>
      </c>
      <c r="V288">
        <f t="shared" si="14"/>
        <v>0</v>
      </c>
    </row>
    <row r="289" spans="1:22" ht="15" customHeight="1" x14ac:dyDescent="0.35">
      <c r="A289" s="3" t="s">
        <v>595</v>
      </c>
      <c r="B289" s="4">
        <v>45459</v>
      </c>
      <c r="C289" s="3" t="s">
        <v>253</v>
      </c>
      <c r="D289" s="3" t="s">
        <v>49</v>
      </c>
      <c r="E289" s="3" t="s">
        <v>31</v>
      </c>
      <c r="F289" s="5">
        <v>6</v>
      </c>
      <c r="G289" s="5">
        <v>370</v>
      </c>
      <c r="H289" s="5">
        <v>12.4</v>
      </c>
      <c r="I289" s="5">
        <v>1944.72</v>
      </c>
      <c r="J289" s="3" t="s">
        <v>26</v>
      </c>
      <c r="K289" s="3" t="s">
        <v>27</v>
      </c>
      <c r="L289" t="str">
        <f>IFERROR(VLOOKUP(D289,Products!$A$2:$F$61,3,FALSE()),"")</f>
        <v>Home</v>
      </c>
      <c r="M289" t="str">
        <f>IFERROR(VLOOKUP(E289,Sales_Reps!$A$2:$C$31,3,FALSE()),"")</f>
        <v>North</v>
      </c>
      <c r="N289">
        <f>IFERROR(VLOOKUP(D289,Products!$A$2:$F$61,4,FALSE()),"")</f>
        <v>288</v>
      </c>
      <c r="O289" t="str">
        <f>IFERROR(VLOOKUP(C289,Customers!$A$2:$F$301,5,FALSE()),"")</f>
        <v>Corporate</v>
      </c>
      <c r="P289">
        <f>IFERROR(VLOOKUP(C289,Customers!$A$2:$F$301,3,FALSE()),"")</f>
        <v>33</v>
      </c>
      <c r="Q289">
        <f t="shared" si="12"/>
        <v>0.22162162162162163</v>
      </c>
      <c r="R289">
        <f>IF(AND(COUNTIF($A$2:$A$2047,A289)&gt;1,COUNTIF($A$2:A289,A289)=1),1,0)</f>
        <v>0</v>
      </c>
      <c r="S289" t="b">
        <f>IFERROR(VLOOKUP(D289,Products!$A$2:$F$61,6,FALSE()),"")</f>
        <v>1</v>
      </c>
      <c r="T289" t="str">
        <f>IF(COUNTIF(Customers!$A$2:$A$301,C289)=0,"Missing","OK")</f>
        <v>OK</v>
      </c>
      <c r="U289" t="str">
        <f t="shared" si="13"/>
        <v>Pune</v>
      </c>
      <c r="V289">
        <f t="shared" si="14"/>
        <v>0</v>
      </c>
    </row>
    <row r="290" spans="1:22" ht="15" customHeight="1" x14ac:dyDescent="0.35">
      <c r="A290" s="3" t="s">
        <v>596</v>
      </c>
      <c r="B290" s="4">
        <v>45312</v>
      </c>
      <c r="C290" s="3" t="s">
        <v>554</v>
      </c>
      <c r="D290" s="3" t="s">
        <v>303</v>
      </c>
      <c r="E290" s="3" t="s">
        <v>42</v>
      </c>
      <c r="F290" s="5">
        <v>8</v>
      </c>
      <c r="G290" s="5">
        <v>5330</v>
      </c>
      <c r="H290" s="5">
        <v>16.2</v>
      </c>
      <c r="I290" s="5">
        <v>35732.32</v>
      </c>
      <c r="J290" s="3" t="s">
        <v>26</v>
      </c>
      <c r="K290" s="3" t="s">
        <v>51</v>
      </c>
      <c r="L290" t="str">
        <f>IFERROR(VLOOKUP(D290,Products!$A$2:$F$61,3,FALSE()),"")</f>
        <v>Electronics</v>
      </c>
      <c r="M290" t="str">
        <f>IFERROR(VLOOKUP(E290,Sales_Reps!$A$2:$C$31,3,FALSE()),"")</f>
        <v>North</v>
      </c>
      <c r="N290">
        <f>IFERROR(VLOOKUP(D290,Products!$A$2:$F$61,4,FALSE()),"")</f>
        <v>2405</v>
      </c>
      <c r="O290" t="str">
        <f>IFERROR(VLOOKUP(C290,Customers!$A$2:$F$301,5,FALSE()),"")</f>
        <v>Retail</v>
      </c>
      <c r="P290">
        <f>IFERROR(VLOOKUP(C290,Customers!$A$2:$F$301,3,FALSE()),"")</f>
        <v>53</v>
      </c>
      <c r="Q290">
        <f t="shared" si="12"/>
        <v>0.54878048780487809</v>
      </c>
      <c r="R290">
        <f>IF(AND(COUNTIF($A$2:$A$2047,A290)&gt;1,COUNTIF($A$2:A290,A290)=1),1,0)</f>
        <v>0</v>
      </c>
      <c r="S290" t="b">
        <f>IFERROR(VLOOKUP(D290,Products!$A$2:$F$61,6,FALSE()),"")</f>
        <v>1</v>
      </c>
      <c r="T290" t="str">
        <f>IF(COUNTIF(Customers!$A$2:$A$301,C290)=0,"Missing","OK")</f>
        <v>OK</v>
      </c>
      <c r="U290" t="str">
        <f t="shared" si="13"/>
        <v>Mumbai</v>
      </c>
      <c r="V290">
        <f t="shared" si="14"/>
        <v>0</v>
      </c>
    </row>
    <row r="291" spans="1:22" ht="15" customHeight="1" x14ac:dyDescent="0.35">
      <c r="A291" s="3" t="s">
        <v>597</v>
      </c>
      <c r="B291" s="4">
        <v>45500</v>
      </c>
      <c r="C291" s="3" t="s">
        <v>164</v>
      </c>
      <c r="D291" s="3" t="s">
        <v>598</v>
      </c>
      <c r="E291" s="3" t="s">
        <v>109</v>
      </c>
      <c r="F291" s="5">
        <v>4</v>
      </c>
      <c r="G291" s="5">
        <v>3560</v>
      </c>
      <c r="H291" s="5">
        <v>10.5</v>
      </c>
      <c r="I291" s="5">
        <v>12744.8</v>
      </c>
      <c r="J291" s="3" t="s">
        <v>26</v>
      </c>
      <c r="K291" s="3" t="s">
        <v>33</v>
      </c>
      <c r="L291" t="str">
        <f>IFERROR(VLOOKUP(D291,Products!$A$2:$F$61,3,FALSE()),"")</f>
        <v>Apparel</v>
      </c>
      <c r="M291" t="str">
        <f>IFERROR(VLOOKUP(E291,Sales_Reps!$A$2:$C$31,3,FALSE()),"")</f>
        <v>West</v>
      </c>
      <c r="N291">
        <f>IFERROR(VLOOKUP(D291,Products!$A$2:$F$61,4,FALSE()),"")</f>
        <v>2629</v>
      </c>
      <c r="O291" t="str">
        <f>IFERROR(VLOOKUP(C291,Customers!$A$2:$F$301,5,FALSE()),"")</f>
        <v>Retail</v>
      </c>
      <c r="P291">
        <f>IFERROR(VLOOKUP(C291,Customers!$A$2:$F$301,3,FALSE()),"")</f>
        <v>37</v>
      </c>
      <c r="Q291">
        <f t="shared" si="12"/>
        <v>0.26151685393258428</v>
      </c>
      <c r="R291">
        <f>IF(AND(COUNTIF($A$2:$A$2047,A291)&gt;1,COUNTIF($A$2:A291,A291)=1),1,0)</f>
        <v>0</v>
      </c>
      <c r="S291" t="b">
        <f>IFERROR(VLOOKUP(D291,Products!$A$2:$F$61,6,FALSE()),"")</f>
        <v>1</v>
      </c>
      <c r="T291" t="str">
        <f>IF(COUNTIF(Customers!$A$2:$A$301,C291)=0,"Missing","OK")</f>
        <v>OK</v>
      </c>
      <c r="U291" t="str">
        <f t="shared" si="13"/>
        <v>Chennai</v>
      </c>
      <c r="V291">
        <f t="shared" si="14"/>
        <v>0</v>
      </c>
    </row>
    <row r="292" spans="1:22" ht="15" customHeight="1" x14ac:dyDescent="0.35">
      <c r="A292" s="3" t="s">
        <v>599</v>
      </c>
      <c r="B292" s="4">
        <v>45389</v>
      </c>
      <c r="C292" s="3" t="s">
        <v>543</v>
      </c>
      <c r="D292" s="3" t="s">
        <v>121</v>
      </c>
      <c r="E292" s="3" t="s">
        <v>109</v>
      </c>
      <c r="F292" s="5">
        <v>10</v>
      </c>
      <c r="G292" s="5">
        <v>1010</v>
      </c>
      <c r="H292" s="5">
        <v>10.8</v>
      </c>
      <c r="I292" s="5">
        <v>9009.2000000000007</v>
      </c>
      <c r="J292" s="3" t="s">
        <v>26</v>
      </c>
      <c r="K292" s="3" t="s">
        <v>56</v>
      </c>
      <c r="L292" t="str">
        <f>IFERROR(VLOOKUP(D292,Products!$A$2:$F$61,3,FALSE()),"")</f>
        <v>Sports</v>
      </c>
      <c r="M292" t="str">
        <f>IFERROR(VLOOKUP(E292,Sales_Reps!$A$2:$C$31,3,FALSE()),"")</f>
        <v>West</v>
      </c>
      <c r="N292">
        <f>IFERROR(VLOOKUP(D292,Products!$A$2:$F$61,4,FALSE()),"")</f>
        <v>516</v>
      </c>
      <c r="O292" t="str">
        <f>IFERROR(VLOOKUP(C292,Customers!$A$2:$F$301,5,FALSE()),"")</f>
        <v>Retail</v>
      </c>
      <c r="P292">
        <f>IFERROR(VLOOKUP(C292,Customers!$A$2:$F$301,3,FALSE()),"")</f>
        <v>34</v>
      </c>
      <c r="Q292">
        <f t="shared" si="12"/>
        <v>0.4891089108910891</v>
      </c>
      <c r="R292">
        <f>IF(AND(COUNTIF($A$2:$A$2047,A292)&gt;1,COUNTIF($A$2:A292,A292)=1),1,0)</f>
        <v>0</v>
      </c>
      <c r="S292" t="b">
        <f>IFERROR(VLOOKUP(D292,Products!$A$2:$F$61,6,FALSE()),"")</f>
        <v>1</v>
      </c>
      <c r="T292" t="str">
        <f>IF(COUNTIF(Customers!$A$2:$A$301,C292)=0,"Missing","OK")</f>
        <v>OK</v>
      </c>
      <c r="U292" t="str">
        <f t="shared" si="13"/>
        <v>Bengaluru</v>
      </c>
      <c r="V292">
        <f t="shared" si="14"/>
        <v>0</v>
      </c>
    </row>
    <row r="293" spans="1:22" ht="15" customHeight="1" x14ac:dyDescent="0.35">
      <c r="A293" s="3" t="s">
        <v>600</v>
      </c>
      <c r="B293" s="4">
        <v>45619</v>
      </c>
      <c r="C293" s="3" t="s">
        <v>601</v>
      </c>
      <c r="D293" s="3" t="s">
        <v>454</v>
      </c>
      <c r="E293" s="3" t="s">
        <v>42</v>
      </c>
      <c r="F293" s="5">
        <v>8</v>
      </c>
      <c r="G293" s="5">
        <v>6940</v>
      </c>
      <c r="H293" s="5">
        <v>3.2</v>
      </c>
      <c r="I293" s="5">
        <v>53743.360000000001</v>
      </c>
      <c r="J293" s="3" t="s">
        <v>79</v>
      </c>
      <c r="K293" s="3" t="s">
        <v>33</v>
      </c>
      <c r="L293" t="str">
        <f>IFERROR(VLOOKUP(D293,Products!$A$2:$F$61,3,FALSE()),"")</f>
        <v>Sports</v>
      </c>
      <c r="M293" t="str">
        <f>IFERROR(VLOOKUP(E293,Sales_Reps!$A$2:$C$31,3,FALSE()),"")</f>
        <v>North</v>
      </c>
      <c r="N293">
        <f>IFERROR(VLOOKUP(D293,Products!$A$2:$F$61,4,FALSE()),"")</f>
        <v>2827</v>
      </c>
      <c r="O293" t="str">
        <f>IFERROR(VLOOKUP(C293,Customers!$A$2:$F$301,5,FALSE()),"")</f>
        <v>Corporate</v>
      </c>
      <c r="P293">
        <f>IFERROR(VLOOKUP(C293,Customers!$A$2:$F$301,3,FALSE()),"")</f>
        <v>41</v>
      </c>
      <c r="Q293">
        <f t="shared" si="12"/>
        <v>0.5926512968299712</v>
      </c>
      <c r="R293">
        <f>IF(AND(COUNTIF($A$2:$A$2047,A293)&gt;1,COUNTIF($A$2:A293,A293)=1),1,0)</f>
        <v>0</v>
      </c>
      <c r="S293" t="b">
        <f>IFERROR(VLOOKUP(D293,Products!$A$2:$F$61,6,FALSE()),"")</f>
        <v>1</v>
      </c>
      <c r="T293" t="str">
        <f>IF(COUNTIF(Customers!$A$2:$A$301,C293)=0,"Missing","OK")</f>
        <v>OK</v>
      </c>
      <c r="U293" t="str">
        <f t="shared" si="13"/>
        <v>Chennai</v>
      </c>
      <c r="V293">
        <f t="shared" si="14"/>
        <v>0</v>
      </c>
    </row>
    <row r="294" spans="1:22" ht="15" customHeight="1" x14ac:dyDescent="0.35">
      <c r="A294" s="3" t="s">
        <v>602</v>
      </c>
      <c r="B294" s="4">
        <v>45617</v>
      </c>
      <c r="C294" s="3" t="s">
        <v>251</v>
      </c>
      <c r="D294" s="3" t="s">
        <v>45</v>
      </c>
      <c r="E294" s="3" t="s">
        <v>127</v>
      </c>
      <c r="F294" s="5">
        <v>7</v>
      </c>
      <c r="G294" s="5">
        <v>3160</v>
      </c>
      <c r="H294" s="5">
        <v>3.6</v>
      </c>
      <c r="I294" s="5">
        <v>21323.68</v>
      </c>
      <c r="J294" s="3" t="s">
        <v>26</v>
      </c>
      <c r="K294" s="3" t="s">
        <v>72</v>
      </c>
      <c r="L294" t="str">
        <f>IFERROR(VLOOKUP(D294,Products!$A$2:$F$61,3,FALSE()),"")</f>
        <v>Apparel</v>
      </c>
      <c r="M294" t="str">
        <f>IFERROR(VLOOKUP(E294,Sales_Reps!$A$2:$C$31,3,FALSE()),"")</f>
        <v>South</v>
      </c>
      <c r="N294">
        <f>IFERROR(VLOOKUP(D294,Products!$A$2:$F$61,4,FALSE()),"")</f>
        <v>1886</v>
      </c>
      <c r="O294" t="str">
        <f>IFERROR(VLOOKUP(C294,Customers!$A$2:$F$301,5,FALSE()),"")</f>
        <v>Retail</v>
      </c>
      <c r="P294">
        <f>IFERROR(VLOOKUP(C294,Customers!$A$2:$F$301,3,FALSE()),"")</f>
        <v>46</v>
      </c>
      <c r="Q294">
        <f t="shared" si="12"/>
        <v>0.4031645569620253</v>
      </c>
      <c r="R294">
        <f>IF(AND(COUNTIF($A$2:$A$2047,A294)&gt;1,COUNTIF($A$2:A294,A294)=1),1,0)</f>
        <v>1</v>
      </c>
      <c r="S294" t="b">
        <f>IFERROR(VLOOKUP(D294,Products!$A$2:$F$61,6,FALSE()),"")</f>
        <v>1</v>
      </c>
      <c r="T294" t="str">
        <f>IF(COUNTIF(Customers!$A$2:$A$301,C294)=0,"Missing","OK")</f>
        <v>OK</v>
      </c>
      <c r="U294" t="str">
        <f t="shared" si="13"/>
        <v>Hyderabad</v>
      </c>
      <c r="V294">
        <f t="shared" si="14"/>
        <v>0</v>
      </c>
    </row>
    <row r="295" spans="1:22" ht="15" customHeight="1" x14ac:dyDescent="0.35">
      <c r="A295" s="3" t="s">
        <v>603</v>
      </c>
      <c r="B295" s="4">
        <v>45640</v>
      </c>
      <c r="C295" s="3" t="s">
        <v>424</v>
      </c>
      <c r="D295" s="3" t="s">
        <v>41</v>
      </c>
      <c r="E295" s="3" t="s">
        <v>46</v>
      </c>
      <c r="F295" s="5">
        <v>2</v>
      </c>
      <c r="G295" s="5">
        <v>3660</v>
      </c>
      <c r="H295" s="5">
        <v>30</v>
      </c>
      <c r="I295" s="5">
        <v>5124</v>
      </c>
      <c r="J295" s="3" t="s">
        <v>32</v>
      </c>
      <c r="K295" s="3" t="s">
        <v>27</v>
      </c>
      <c r="L295" t="str">
        <f>IFERROR(VLOOKUP(D295,Products!$A$2:$F$61,3,FALSE()),"")</f>
        <v>Grocery</v>
      </c>
      <c r="M295" t="str">
        <f>IFERROR(VLOOKUP(E295,Sales_Reps!$A$2:$C$31,3,FALSE()),"")</f>
        <v>North</v>
      </c>
      <c r="N295">
        <f>IFERROR(VLOOKUP(D295,Products!$A$2:$F$61,4,FALSE()),"")</f>
        <v>2214</v>
      </c>
      <c r="O295" t="str">
        <f>IFERROR(VLOOKUP(C295,Customers!$A$2:$F$301,5,FALSE()),"")</f>
        <v>Retail</v>
      </c>
      <c r="P295">
        <f>IFERROR(VLOOKUP(C295,Customers!$A$2:$F$301,3,FALSE()),"")</f>
        <v>49</v>
      </c>
      <c r="Q295">
        <f t="shared" si="12"/>
        <v>0.39508196721311473</v>
      </c>
      <c r="R295">
        <f>IF(AND(COUNTIF($A$2:$A$2047,A295)&gt;1,COUNTIF($A$2:A295,A295)=1),1,0)</f>
        <v>0</v>
      </c>
      <c r="S295" t="b">
        <f>IFERROR(VLOOKUP(D295,Products!$A$2:$F$61,6,FALSE()),"")</f>
        <v>0</v>
      </c>
      <c r="T295" t="str">
        <f>IF(COUNTIF(Customers!$A$2:$A$301,C295)=0,"Missing","OK")</f>
        <v>OK</v>
      </c>
      <c r="U295" t="str">
        <f t="shared" si="13"/>
        <v>Pune</v>
      </c>
      <c r="V295">
        <f t="shared" si="14"/>
        <v>0</v>
      </c>
    </row>
    <row r="296" spans="1:22" ht="15" customHeight="1" x14ac:dyDescent="0.35">
      <c r="A296" s="3" t="s">
        <v>604</v>
      </c>
      <c r="B296" s="4">
        <v>45401</v>
      </c>
      <c r="C296" s="3" t="s">
        <v>305</v>
      </c>
      <c r="D296" s="3" t="s">
        <v>70</v>
      </c>
      <c r="E296" s="3" t="s">
        <v>31</v>
      </c>
      <c r="F296" s="5">
        <v>1</v>
      </c>
      <c r="G296" s="5">
        <v>2270</v>
      </c>
      <c r="H296" s="5">
        <v>4.8</v>
      </c>
      <c r="I296" s="5">
        <v>2161.04</v>
      </c>
      <c r="J296" s="3" t="s">
        <v>79</v>
      </c>
      <c r="K296" s="3" t="s">
        <v>51</v>
      </c>
      <c r="L296" t="str">
        <f>IFERROR(VLOOKUP(D296,Products!$A$2:$F$61,3,FALSE()),"")</f>
        <v>Grocery</v>
      </c>
      <c r="M296" t="str">
        <f>IFERROR(VLOOKUP(E296,Sales_Reps!$A$2:$C$31,3,FALSE()),"")</f>
        <v>North</v>
      </c>
      <c r="N296">
        <f>IFERROR(VLOOKUP(D296,Products!$A$2:$F$61,4,FALSE()),"")</f>
        <v>1203</v>
      </c>
      <c r="O296" t="str">
        <f>IFERROR(VLOOKUP(C296,Customers!$A$2:$F$301,5,FALSE()),"")</f>
        <v>Retail</v>
      </c>
      <c r="P296">
        <f>IFERROR(VLOOKUP(C296,Customers!$A$2:$F$301,3,FALSE()),"")</f>
        <v>25</v>
      </c>
      <c r="Q296">
        <f t="shared" si="12"/>
        <v>0.47004405286343615</v>
      </c>
      <c r="R296">
        <f>IF(AND(COUNTIF($A$2:$A$2047,A296)&gt;1,COUNTIF($A$2:A296,A296)=1),1,0)</f>
        <v>0</v>
      </c>
      <c r="S296" t="b">
        <f>IFERROR(VLOOKUP(D296,Products!$A$2:$F$61,6,FALSE()),"")</f>
        <v>1</v>
      </c>
      <c r="T296" t="str">
        <f>IF(COUNTIF(Customers!$A$2:$A$301,C296)=0,"Missing","OK")</f>
        <v>OK</v>
      </c>
      <c r="U296" t="str">
        <f t="shared" si="13"/>
        <v>Mumbai</v>
      </c>
      <c r="V296">
        <f t="shared" si="14"/>
        <v>0</v>
      </c>
    </row>
    <row r="297" spans="1:22" ht="15" customHeight="1" x14ac:dyDescent="0.35">
      <c r="A297" s="3" t="s">
        <v>605</v>
      </c>
      <c r="B297" s="4">
        <v>45405</v>
      </c>
      <c r="C297" s="3" t="s">
        <v>162</v>
      </c>
      <c r="D297" s="3" t="s">
        <v>400</v>
      </c>
      <c r="E297" s="3" t="s">
        <v>50</v>
      </c>
      <c r="F297" s="5">
        <v>8</v>
      </c>
      <c r="G297" s="5">
        <v>3780</v>
      </c>
      <c r="H297" s="5">
        <v>13</v>
      </c>
      <c r="I297" s="5">
        <v>26308.799999999999</v>
      </c>
      <c r="J297" s="3" t="s">
        <v>26</v>
      </c>
      <c r="K297" s="3" t="s">
        <v>38</v>
      </c>
      <c r="L297" t="str">
        <f>IFERROR(VLOOKUP(D297,Products!$A$2:$F$61,3,FALSE()),"")</f>
        <v>Sports</v>
      </c>
      <c r="M297" t="str">
        <f>IFERROR(VLOOKUP(E297,Sales_Reps!$A$2:$C$31,3,FALSE()),"")</f>
        <v>West</v>
      </c>
      <c r="N297">
        <f>IFERROR(VLOOKUP(D297,Products!$A$2:$F$61,4,FALSE()),"")</f>
        <v>1860</v>
      </c>
      <c r="O297" t="str">
        <f>IFERROR(VLOOKUP(C297,Customers!$A$2:$F$301,5,FALSE()),"")</f>
        <v>Retail</v>
      </c>
      <c r="P297">
        <f>IFERROR(VLOOKUP(C297,Customers!$A$2:$F$301,3,FALSE()),"")</f>
        <v>53</v>
      </c>
      <c r="Q297">
        <f t="shared" si="12"/>
        <v>0.50793650793650791</v>
      </c>
      <c r="R297">
        <f>IF(AND(COUNTIF($A$2:$A$2047,A297)&gt;1,COUNTIF($A$2:A297,A297)=1),1,0)</f>
        <v>0</v>
      </c>
      <c r="S297" t="b">
        <f>IFERROR(VLOOKUP(D297,Products!$A$2:$F$61,6,FALSE()),"")</f>
        <v>1</v>
      </c>
      <c r="T297" t="str">
        <f>IF(COUNTIF(Customers!$A$2:$A$301,C297)=0,"Missing","OK")</f>
        <v>OK</v>
      </c>
      <c r="U297" t="str">
        <f t="shared" si="13"/>
        <v>Delhi</v>
      </c>
      <c r="V297">
        <f t="shared" si="14"/>
        <v>0</v>
      </c>
    </row>
    <row r="298" spans="1:22" ht="15" customHeight="1" x14ac:dyDescent="0.35">
      <c r="A298" s="3" t="s">
        <v>606</v>
      </c>
      <c r="B298" s="4">
        <v>45537</v>
      </c>
      <c r="C298" s="3" t="s">
        <v>556</v>
      </c>
      <c r="D298" s="3" t="s">
        <v>176</v>
      </c>
      <c r="E298" s="3" t="s">
        <v>264</v>
      </c>
      <c r="F298" s="5">
        <v>1</v>
      </c>
      <c r="G298" s="5">
        <v>3640</v>
      </c>
      <c r="H298" s="5">
        <v>15.3</v>
      </c>
      <c r="I298" s="5">
        <v>3083.08</v>
      </c>
      <c r="J298" s="3" t="s">
        <v>32</v>
      </c>
      <c r="K298" s="3" t="s">
        <v>51</v>
      </c>
      <c r="L298" t="str">
        <f>IFERROR(VLOOKUP(D298,Products!$A$2:$F$61,3,FALSE()),"")</f>
        <v>Apparel</v>
      </c>
      <c r="M298" t="str">
        <f>IFERROR(VLOOKUP(E298,Sales_Reps!$A$2:$C$31,3,FALSE()),"")</f>
        <v>South</v>
      </c>
      <c r="N298">
        <f>IFERROR(VLOOKUP(D298,Products!$A$2:$F$61,4,FALSE()),"")</f>
        <v>2611</v>
      </c>
      <c r="O298" t="str">
        <f>IFERROR(VLOOKUP(C298,Customers!$A$2:$F$301,5,FALSE()),"")</f>
        <v>SMB</v>
      </c>
      <c r="P298">
        <f>IFERROR(VLOOKUP(C298,Customers!$A$2:$F$301,3,FALSE()),"")</f>
        <v>65</v>
      </c>
      <c r="Q298">
        <f t="shared" si="12"/>
        <v>0.28269230769230769</v>
      </c>
      <c r="R298">
        <f>IF(AND(COUNTIF($A$2:$A$2047,A298)&gt;1,COUNTIF($A$2:A298,A298)=1),1,0)</f>
        <v>1</v>
      </c>
      <c r="S298" t="b">
        <f>IFERROR(VLOOKUP(D298,Products!$A$2:$F$61,6,FALSE()),"")</f>
        <v>1</v>
      </c>
      <c r="T298" t="str">
        <f>IF(COUNTIF(Customers!$A$2:$A$301,C298)=0,"Missing","OK")</f>
        <v>OK</v>
      </c>
      <c r="U298" t="str">
        <f t="shared" si="13"/>
        <v>Mumbai</v>
      </c>
      <c r="V298">
        <f t="shared" si="14"/>
        <v>0</v>
      </c>
    </row>
    <row r="299" spans="1:22" ht="15" customHeight="1" x14ac:dyDescent="0.35">
      <c r="A299" s="3" t="s">
        <v>607</v>
      </c>
      <c r="B299" s="4">
        <v>45475</v>
      </c>
      <c r="C299" s="3" t="s">
        <v>608</v>
      </c>
      <c r="D299" s="3" t="s">
        <v>206</v>
      </c>
      <c r="E299" s="3" t="s">
        <v>143</v>
      </c>
      <c r="F299" s="5">
        <v>8</v>
      </c>
      <c r="G299" s="5">
        <v>1220</v>
      </c>
      <c r="H299" s="5">
        <v>28.2</v>
      </c>
      <c r="I299" s="5">
        <v>7007.68</v>
      </c>
      <c r="J299" s="3" t="s">
        <v>26</v>
      </c>
      <c r="K299" s="3" t="s">
        <v>72</v>
      </c>
      <c r="L299" t="str">
        <f>IFERROR(VLOOKUP(D299,Products!$A$2:$F$61,3,FALSE()),"")</f>
        <v>Electronics</v>
      </c>
      <c r="M299" t="str">
        <f>IFERROR(VLOOKUP(E299,Sales_Reps!$A$2:$C$31,3,FALSE()),"")</f>
        <v>South</v>
      </c>
      <c r="N299">
        <f>IFERROR(VLOOKUP(D299,Products!$A$2:$F$61,4,FALSE()),"")</f>
        <v>517</v>
      </c>
      <c r="O299" t="str">
        <f>IFERROR(VLOOKUP(C299,Customers!$A$2:$F$301,5,FALSE()),"")</f>
        <v>Retail</v>
      </c>
      <c r="P299">
        <f>IFERROR(VLOOKUP(C299,Customers!$A$2:$F$301,3,FALSE()),"")</f>
        <v>31</v>
      </c>
      <c r="Q299">
        <f t="shared" si="12"/>
        <v>0.57622950819672136</v>
      </c>
      <c r="R299">
        <f>IF(AND(COUNTIF($A$2:$A$2047,A299)&gt;1,COUNTIF($A$2:A299,A299)=1),1,0)</f>
        <v>0</v>
      </c>
      <c r="S299" t="b">
        <f>IFERROR(VLOOKUP(D299,Products!$A$2:$F$61,6,FALSE()),"")</f>
        <v>1</v>
      </c>
      <c r="T299" t="str">
        <f>IF(COUNTIF(Customers!$A$2:$A$301,C299)=0,"Missing","OK")</f>
        <v>OK</v>
      </c>
      <c r="U299" t="str">
        <f t="shared" si="13"/>
        <v>Hyderabad</v>
      </c>
      <c r="V299">
        <f t="shared" si="14"/>
        <v>0</v>
      </c>
    </row>
    <row r="300" spans="1:22" ht="15" customHeight="1" x14ac:dyDescent="0.35">
      <c r="A300" s="3" t="s">
        <v>609</v>
      </c>
      <c r="B300" s="4">
        <v>45624</v>
      </c>
      <c r="C300" s="3" t="s">
        <v>208</v>
      </c>
      <c r="D300" s="3" t="s">
        <v>294</v>
      </c>
      <c r="E300" s="3" t="s">
        <v>109</v>
      </c>
      <c r="F300" s="5">
        <v>3</v>
      </c>
      <c r="G300" s="5">
        <v>2510</v>
      </c>
      <c r="H300" s="5">
        <v>17.399999999999999</v>
      </c>
      <c r="I300" s="5">
        <v>6219.78</v>
      </c>
      <c r="J300" s="3" t="s">
        <v>26</v>
      </c>
      <c r="K300" s="3" t="s">
        <v>51</v>
      </c>
      <c r="L300" t="str">
        <f>IFERROR(VLOOKUP(D300,Products!$A$2:$F$61,3,FALSE()),"")</f>
        <v>Apparel</v>
      </c>
      <c r="M300" t="str">
        <f>IFERROR(VLOOKUP(E300,Sales_Reps!$A$2:$C$31,3,FALSE()),"")</f>
        <v>West</v>
      </c>
      <c r="N300">
        <f>IFERROR(VLOOKUP(D300,Products!$A$2:$F$61,4,FALSE()),"")</f>
        <v>1075</v>
      </c>
      <c r="O300" t="str">
        <f>IFERROR(VLOOKUP(C300,Customers!$A$2:$F$301,5,FALSE()),"")</f>
        <v>Retail</v>
      </c>
      <c r="P300">
        <f>IFERROR(VLOOKUP(C300,Customers!$A$2:$F$301,3,FALSE()),"")</f>
        <v>40</v>
      </c>
      <c r="Q300">
        <f t="shared" si="12"/>
        <v>0.57171314741035861</v>
      </c>
      <c r="R300">
        <f>IF(AND(COUNTIF($A$2:$A$2047,A300)&gt;1,COUNTIF($A$2:A300,A300)=1),1,0)</f>
        <v>0</v>
      </c>
      <c r="S300" t="b">
        <f>IFERROR(VLOOKUP(D300,Products!$A$2:$F$61,6,FALSE()),"")</f>
        <v>0</v>
      </c>
      <c r="T300" t="str">
        <f>IF(COUNTIF(Customers!$A$2:$A$301,C300)=0,"Missing","OK")</f>
        <v>OK</v>
      </c>
      <c r="U300" t="str">
        <f t="shared" si="13"/>
        <v>Mumbai</v>
      </c>
      <c r="V300">
        <f t="shared" si="14"/>
        <v>0</v>
      </c>
    </row>
    <row r="301" spans="1:22" ht="15" customHeight="1" x14ac:dyDescent="0.35">
      <c r="A301" s="3" t="s">
        <v>610</v>
      </c>
      <c r="B301" s="4">
        <v>45635</v>
      </c>
      <c r="C301" s="3" t="s">
        <v>504</v>
      </c>
      <c r="D301" s="3" t="s">
        <v>103</v>
      </c>
      <c r="E301" s="3" t="s">
        <v>78</v>
      </c>
      <c r="F301" s="5">
        <v>1</v>
      </c>
      <c r="G301" s="5">
        <v>1080</v>
      </c>
      <c r="H301" s="5">
        <v>13.9</v>
      </c>
      <c r="I301" s="5">
        <v>929.88</v>
      </c>
      <c r="J301" s="3" t="s">
        <v>26</v>
      </c>
      <c r="K301" s="3" t="s">
        <v>51</v>
      </c>
      <c r="L301" t="str">
        <f>IFERROR(VLOOKUP(D301,Products!$A$2:$F$61,3,FALSE()),"")</f>
        <v>Home</v>
      </c>
      <c r="M301" t="str">
        <f>IFERROR(VLOOKUP(E301,Sales_Reps!$A$2:$C$31,3,FALSE()),"")</f>
        <v>North</v>
      </c>
      <c r="N301">
        <f>IFERROR(VLOOKUP(D301,Products!$A$2:$F$61,4,FALSE()),"")</f>
        <v>519</v>
      </c>
      <c r="O301" t="str">
        <f>IFERROR(VLOOKUP(C301,Customers!$A$2:$F$301,5,FALSE()),"")</f>
        <v>SMB</v>
      </c>
      <c r="P301">
        <f>IFERROR(VLOOKUP(C301,Customers!$A$2:$F$301,3,FALSE()),"")</f>
        <v>61</v>
      </c>
      <c r="Q301">
        <f t="shared" si="12"/>
        <v>0.51944444444444449</v>
      </c>
      <c r="R301">
        <f>IF(AND(COUNTIF($A$2:$A$2047,A301)&gt;1,COUNTIF($A$2:A301,A301)=1),1,0)</f>
        <v>0</v>
      </c>
      <c r="S301" t="b">
        <f>IFERROR(VLOOKUP(D301,Products!$A$2:$F$61,6,FALSE()),"")</f>
        <v>1</v>
      </c>
      <c r="T301" t="str">
        <f>IF(COUNTIF(Customers!$A$2:$A$301,C301)=0,"Missing","OK")</f>
        <v>OK</v>
      </c>
      <c r="U301" t="str">
        <f t="shared" si="13"/>
        <v>Mumbai</v>
      </c>
      <c r="V301">
        <f t="shared" si="14"/>
        <v>0</v>
      </c>
    </row>
    <row r="302" spans="1:22" ht="15" customHeight="1" x14ac:dyDescent="0.35">
      <c r="A302" s="3" t="s">
        <v>611</v>
      </c>
      <c r="B302" s="4">
        <v>45395</v>
      </c>
      <c r="C302" s="3" t="s">
        <v>612</v>
      </c>
      <c r="D302" s="3" t="s">
        <v>234</v>
      </c>
      <c r="E302" s="3" t="s">
        <v>285</v>
      </c>
      <c r="F302" s="5">
        <v>7</v>
      </c>
      <c r="G302" s="5">
        <v>2030</v>
      </c>
      <c r="H302" s="5">
        <v>29.2</v>
      </c>
      <c r="I302" s="5">
        <v>10060.68</v>
      </c>
      <c r="J302" s="3" t="s">
        <v>26</v>
      </c>
      <c r="K302" s="3" t="s">
        <v>51</v>
      </c>
      <c r="L302" t="str">
        <f>IFERROR(VLOOKUP(D302,Products!$A$2:$F$61,3,FALSE()),"")</f>
        <v>Home</v>
      </c>
      <c r="M302" t="str">
        <f>IFERROR(VLOOKUP(E302,Sales_Reps!$A$2:$C$31,3,FALSE()),"")</f>
        <v>South</v>
      </c>
      <c r="N302">
        <f>IFERROR(VLOOKUP(D302,Products!$A$2:$F$61,4,FALSE()),"")</f>
        <v>1143</v>
      </c>
      <c r="O302" t="str">
        <f>IFERROR(VLOOKUP(C302,Customers!$A$2:$F$301,5,FALSE()),"")</f>
        <v>Retail</v>
      </c>
      <c r="P302">
        <f>IFERROR(VLOOKUP(C302,Customers!$A$2:$F$301,3,FALSE()),"")</f>
        <v>35</v>
      </c>
      <c r="Q302">
        <f t="shared" si="12"/>
        <v>0.43694581280788175</v>
      </c>
      <c r="R302">
        <f>IF(AND(COUNTIF($A$2:$A$2047,A302)&gt;1,COUNTIF($A$2:A302,A302)=1),1,0)</f>
        <v>0</v>
      </c>
      <c r="S302" t="b">
        <f>IFERROR(VLOOKUP(D302,Products!$A$2:$F$61,6,FALSE()),"")</f>
        <v>1</v>
      </c>
      <c r="T302" t="str">
        <f>IF(COUNTIF(Customers!$A$2:$A$301,C302)=0,"Missing","OK")</f>
        <v>OK</v>
      </c>
      <c r="U302" t="str">
        <f t="shared" si="13"/>
        <v>Mumbai</v>
      </c>
      <c r="V302">
        <f t="shared" si="14"/>
        <v>0</v>
      </c>
    </row>
    <row r="303" spans="1:22" ht="15" customHeight="1" x14ac:dyDescent="0.35">
      <c r="A303" s="3" t="s">
        <v>613</v>
      </c>
      <c r="B303" s="4">
        <v>45415</v>
      </c>
      <c r="C303" s="3" t="s">
        <v>108</v>
      </c>
      <c r="D303" s="3" t="s">
        <v>400</v>
      </c>
      <c r="E303" s="3" t="s">
        <v>131</v>
      </c>
      <c r="F303" s="5">
        <v>6</v>
      </c>
      <c r="G303" s="5">
        <v>3780</v>
      </c>
      <c r="H303" s="5">
        <v>20.9</v>
      </c>
      <c r="I303" s="5">
        <v>17939.88</v>
      </c>
      <c r="J303" s="3" t="s">
        <v>83</v>
      </c>
      <c r="K303" s="3" t="s">
        <v>51</v>
      </c>
      <c r="L303" t="str">
        <f>IFERROR(VLOOKUP(D303,Products!$A$2:$F$61,3,FALSE()),"")</f>
        <v>Sports</v>
      </c>
      <c r="M303" t="str">
        <f>IFERROR(VLOOKUP(E303,Sales_Reps!$A$2:$C$31,3,FALSE()),"")</f>
        <v>East</v>
      </c>
      <c r="N303">
        <f>IFERROR(VLOOKUP(D303,Products!$A$2:$F$61,4,FALSE()),"")</f>
        <v>1860</v>
      </c>
      <c r="O303" t="str">
        <f>IFERROR(VLOOKUP(C303,Customers!$A$2:$F$301,5,FALSE()),"")</f>
        <v>Retail</v>
      </c>
      <c r="P303">
        <f>IFERROR(VLOOKUP(C303,Customers!$A$2:$F$301,3,FALSE()),"")</f>
        <v>34</v>
      </c>
      <c r="Q303">
        <f t="shared" si="12"/>
        <v>0.50793650793650791</v>
      </c>
      <c r="R303">
        <f>IF(AND(COUNTIF($A$2:$A$2047,A303)&gt;1,COUNTIF($A$2:A303,A303)=1),1,0)</f>
        <v>0</v>
      </c>
      <c r="S303" t="b">
        <f>IFERROR(VLOOKUP(D303,Products!$A$2:$F$61,6,FALSE()),"")</f>
        <v>1</v>
      </c>
      <c r="T303" t="str">
        <f>IF(COUNTIF(Customers!$A$2:$A$301,C303)=0,"Missing","OK")</f>
        <v>OK</v>
      </c>
      <c r="U303" t="str">
        <f t="shared" si="13"/>
        <v>Mumbai</v>
      </c>
      <c r="V303">
        <f t="shared" si="14"/>
        <v>0</v>
      </c>
    </row>
    <row r="304" spans="1:22" ht="15" customHeight="1" x14ac:dyDescent="0.35">
      <c r="A304" s="3" t="s">
        <v>614</v>
      </c>
      <c r="B304" s="4">
        <v>45653</v>
      </c>
      <c r="C304" s="3" t="s">
        <v>615</v>
      </c>
      <c r="D304" s="3" t="s">
        <v>45</v>
      </c>
      <c r="E304" s="3" t="s">
        <v>285</v>
      </c>
      <c r="F304" s="5">
        <v>1</v>
      </c>
      <c r="G304" s="5">
        <v>3160</v>
      </c>
      <c r="H304" s="5">
        <v>10.7</v>
      </c>
      <c r="I304" s="5">
        <v>2821.88</v>
      </c>
      <c r="J304" s="3" t="s">
        <v>26</v>
      </c>
      <c r="K304" s="3" t="s">
        <v>27</v>
      </c>
      <c r="L304" t="str">
        <f>IFERROR(VLOOKUP(D304,Products!$A$2:$F$61,3,FALSE()),"")</f>
        <v>Apparel</v>
      </c>
      <c r="M304" t="str">
        <f>IFERROR(VLOOKUP(E304,Sales_Reps!$A$2:$C$31,3,FALSE()),"")</f>
        <v>South</v>
      </c>
      <c r="N304">
        <f>IFERROR(VLOOKUP(D304,Products!$A$2:$F$61,4,FALSE()),"")</f>
        <v>1886</v>
      </c>
      <c r="O304" t="str">
        <f>IFERROR(VLOOKUP(C304,Customers!$A$2:$F$301,5,FALSE()),"")</f>
        <v>SMB</v>
      </c>
      <c r="P304">
        <f>IFERROR(VLOOKUP(C304,Customers!$A$2:$F$301,3,FALSE()),"")</f>
        <v>35</v>
      </c>
      <c r="Q304">
        <f t="shared" si="12"/>
        <v>0.4031645569620253</v>
      </c>
      <c r="R304">
        <f>IF(AND(COUNTIF($A$2:$A$2047,A304)&gt;1,COUNTIF($A$2:A304,A304)=1),1,0)</f>
        <v>0</v>
      </c>
      <c r="S304" t="b">
        <f>IFERROR(VLOOKUP(D304,Products!$A$2:$F$61,6,FALSE()),"")</f>
        <v>1</v>
      </c>
      <c r="T304" t="str">
        <f>IF(COUNTIF(Customers!$A$2:$A$301,C304)=0,"Missing","OK")</f>
        <v>OK</v>
      </c>
      <c r="U304" t="str">
        <f t="shared" si="13"/>
        <v>Pune</v>
      </c>
      <c r="V304">
        <f t="shared" si="14"/>
        <v>0</v>
      </c>
    </row>
    <row r="305" spans="1:22" ht="15" customHeight="1" x14ac:dyDescent="0.35">
      <c r="A305" s="3" t="s">
        <v>616</v>
      </c>
      <c r="B305" s="4">
        <v>45564</v>
      </c>
      <c r="C305" s="3" t="s">
        <v>233</v>
      </c>
      <c r="D305" s="3" t="s">
        <v>123</v>
      </c>
      <c r="E305" s="3" t="s">
        <v>71</v>
      </c>
      <c r="F305" s="5">
        <v>5</v>
      </c>
      <c r="G305" s="5">
        <v>4880</v>
      </c>
      <c r="H305" s="5">
        <v>11.4</v>
      </c>
      <c r="I305" s="5">
        <v>21618.400000000001</v>
      </c>
      <c r="J305" s="3" t="s">
        <v>26</v>
      </c>
      <c r="K305" s="3" t="s">
        <v>72</v>
      </c>
      <c r="L305" t="str">
        <f>IFERROR(VLOOKUP(D305,Products!$A$2:$F$61,3,FALSE()),"")</f>
        <v>Beauty</v>
      </c>
      <c r="M305" t="str">
        <f>IFERROR(VLOOKUP(E305,Sales_Reps!$A$2:$C$31,3,FALSE()),"")</f>
        <v>South</v>
      </c>
      <c r="N305">
        <f>IFERROR(VLOOKUP(D305,Products!$A$2:$F$61,4,FALSE()),"")</f>
        <v>2768</v>
      </c>
      <c r="O305" t="str">
        <f>IFERROR(VLOOKUP(C305,Customers!$A$2:$F$301,5,FALSE()),"")</f>
        <v>SMB</v>
      </c>
      <c r="P305">
        <f>IFERROR(VLOOKUP(C305,Customers!$A$2:$F$301,3,FALSE()),"")</f>
        <v>43</v>
      </c>
      <c r="Q305">
        <f t="shared" si="12"/>
        <v>0.43278688524590164</v>
      </c>
      <c r="R305">
        <f>IF(AND(COUNTIF($A$2:$A$2047,A305)&gt;1,COUNTIF($A$2:A305,A305)=1),1,0)</f>
        <v>1</v>
      </c>
      <c r="S305" t="b">
        <f>IFERROR(VLOOKUP(D305,Products!$A$2:$F$61,6,FALSE()),"")</f>
        <v>1</v>
      </c>
      <c r="T305" t="str">
        <f>IF(COUNTIF(Customers!$A$2:$A$301,C305)=0,"Missing","OK")</f>
        <v>OK</v>
      </c>
      <c r="U305" t="str">
        <f t="shared" si="13"/>
        <v>Hyderabad</v>
      </c>
      <c r="V305">
        <f t="shared" si="14"/>
        <v>0</v>
      </c>
    </row>
    <row r="306" spans="1:22" ht="15" customHeight="1" x14ac:dyDescent="0.35">
      <c r="A306" s="3" t="s">
        <v>617</v>
      </c>
      <c r="B306" s="4">
        <v>45633</v>
      </c>
      <c r="C306" s="3" t="s">
        <v>577</v>
      </c>
      <c r="D306" s="3" t="s">
        <v>165</v>
      </c>
      <c r="E306" s="3" t="s">
        <v>143</v>
      </c>
      <c r="F306" s="5">
        <v>9</v>
      </c>
      <c r="G306" s="5">
        <v>3730</v>
      </c>
      <c r="H306" s="5">
        <v>10</v>
      </c>
      <c r="I306" s="5">
        <v>30213</v>
      </c>
      <c r="J306" s="3" t="s">
        <v>26</v>
      </c>
      <c r="K306" s="3" t="s">
        <v>38</v>
      </c>
      <c r="L306" t="str">
        <f>IFERROR(VLOOKUP(D306,Products!$A$2:$F$61,3,FALSE()),"")</f>
        <v>Home</v>
      </c>
      <c r="M306" t="str">
        <f>IFERROR(VLOOKUP(E306,Sales_Reps!$A$2:$C$31,3,FALSE()),"")</f>
        <v>South</v>
      </c>
      <c r="N306">
        <f>IFERROR(VLOOKUP(D306,Products!$A$2:$F$61,4,FALSE()),"")</f>
        <v>2135</v>
      </c>
      <c r="O306" t="str">
        <f>IFERROR(VLOOKUP(C306,Customers!$A$2:$F$301,5,FALSE()),"")</f>
        <v>Retail</v>
      </c>
      <c r="P306">
        <f>IFERROR(VLOOKUP(C306,Customers!$A$2:$F$301,3,FALSE()),"")</f>
        <v>43</v>
      </c>
      <c r="Q306">
        <f t="shared" si="12"/>
        <v>0.42761394101876676</v>
      </c>
      <c r="R306">
        <f>IF(AND(COUNTIF($A$2:$A$2047,A306)&gt;1,COUNTIF($A$2:A306,A306)=1),1,0)</f>
        <v>0</v>
      </c>
      <c r="S306" t="b">
        <f>IFERROR(VLOOKUP(D306,Products!$A$2:$F$61,6,FALSE()),"")</f>
        <v>1</v>
      </c>
      <c r="T306" t="str">
        <f>IF(COUNTIF(Customers!$A$2:$A$301,C306)=0,"Missing","OK")</f>
        <v>OK</v>
      </c>
      <c r="U306" t="str">
        <f t="shared" si="13"/>
        <v>Delhi</v>
      </c>
      <c r="V306">
        <f t="shared" si="14"/>
        <v>0</v>
      </c>
    </row>
    <row r="307" spans="1:22" ht="15" customHeight="1" x14ac:dyDescent="0.35">
      <c r="A307" s="3" t="s">
        <v>618</v>
      </c>
      <c r="B307" s="4">
        <v>45309</v>
      </c>
      <c r="C307" s="3" t="s">
        <v>619</v>
      </c>
      <c r="D307" s="3" t="s">
        <v>382</v>
      </c>
      <c r="E307" s="3" t="s">
        <v>78</v>
      </c>
      <c r="F307" s="5">
        <v>5</v>
      </c>
      <c r="G307" s="5">
        <v>5080</v>
      </c>
      <c r="H307" s="5">
        <v>15.3</v>
      </c>
      <c r="I307" s="5">
        <v>21513.8</v>
      </c>
      <c r="J307" s="3" t="s">
        <v>26</v>
      </c>
      <c r="K307" s="3" t="s">
        <v>33</v>
      </c>
      <c r="L307" t="str">
        <f>IFERROR(VLOOKUP(D307,Products!$A$2:$F$61,3,FALSE()),"")</f>
        <v>Home</v>
      </c>
      <c r="M307" t="str">
        <f>IFERROR(VLOOKUP(E307,Sales_Reps!$A$2:$C$31,3,FALSE()),"")</f>
        <v>North</v>
      </c>
      <c r="N307">
        <f>IFERROR(VLOOKUP(D307,Products!$A$2:$F$61,4,FALSE()),"")</f>
        <v>2459</v>
      </c>
      <c r="O307" t="str">
        <f>IFERROR(VLOOKUP(C307,Customers!$A$2:$F$301,5,FALSE()),"")</f>
        <v>Retail</v>
      </c>
      <c r="P307">
        <f>IFERROR(VLOOKUP(C307,Customers!$A$2:$F$301,3,FALSE()),"")</f>
        <v>26</v>
      </c>
      <c r="Q307">
        <f t="shared" si="12"/>
        <v>0.51594488188976373</v>
      </c>
      <c r="R307">
        <f>IF(AND(COUNTIF($A$2:$A$2047,A307)&gt;1,COUNTIF($A$2:A307,A307)=1),1,0)</f>
        <v>0</v>
      </c>
      <c r="S307" t="b">
        <f>IFERROR(VLOOKUP(D307,Products!$A$2:$F$61,6,FALSE()),"")</f>
        <v>1</v>
      </c>
      <c r="T307" t="str">
        <f>IF(COUNTIF(Customers!$A$2:$A$301,C307)=0,"Missing","OK")</f>
        <v>OK</v>
      </c>
      <c r="U307" t="str">
        <f t="shared" si="13"/>
        <v>Chennai</v>
      </c>
      <c r="V307">
        <f t="shared" si="14"/>
        <v>0</v>
      </c>
    </row>
    <row r="308" spans="1:22" ht="15" customHeight="1" x14ac:dyDescent="0.35">
      <c r="A308" s="3" t="s">
        <v>620</v>
      </c>
      <c r="B308" s="4">
        <v>45403</v>
      </c>
      <c r="C308" s="3" t="s">
        <v>99</v>
      </c>
      <c r="D308" s="3" t="s">
        <v>325</v>
      </c>
      <c r="E308" s="3" t="s">
        <v>191</v>
      </c>
      <c r="F308" s="5">
        <v>9</v>
      </c>
      <c r="G308" s="5">
        <v>2290</v>
      </c>
      <c r="H308" s="5">
        <v>3.3</v>
      </c>
      <c r="I308" s="5">
        <v>19929.87</v>
      </c>
      <c r="J308" s="3" t="s">
        <v>32</v>
      </c>
      <c r="K308" s="3" t="s">
        <v>51</v>
      </c>
      <c r="L308" t="str">
        <f>IFERROR(VLOOKUP(D308,Products!$A$2:$F$61,3,FALSE()),"")</f>
        <v>Beauty</v>
      </c>
      <c r="M308" t="str">
        <f>IFERROR(VLOOKUP(E308,Sales_Reps!$A$2:$C$31,3,FALSE()),"")</f>
        <v>South</v>
      </c>
      <c r="N308">
        <f>IFERROR(VLOOKUP(D308,Products!$A$2:$F$61,4,FALSE()),"")</f>
        <v>1219</v>
      </c>
      <c r="O308" t="str">
        <f>IFERROR(VLOOKUP(C308,Customers!$A$2:$F$301,5,FALSE()),"")</f>
        <v>Retail</v>
      </c>
      <c r="P308">
        <f>IFERROR(VLOOKUP(C308,Customers!$A$2:$F$301,3,FALSE()),"")</f>
        <v>54</v>
      </c>
      <c r="Q308">
        <f t="shared" si="12"/>
        <v>0.46768558951965067</v>
      </c>
      <c r="R308">
        <f>IF(AND(COUNTIF($A$2:$A$2047,A308)&gt;1,COUNTIF($A$2:A308,A308)=1),1,0)</f>
        <v>0</v>
      </c>
      <c r="S308" t="b">
        <f>IFERROR(VLOOKUP(D308,Products!$A$2:$F$61,6,FALSE()),"")</f>
        <v>1</v>
      </c>
      <c r="T308" t="str">
        <f>IF(COUNTIF(Customers!$A$2:$A$301,C308)=0,"Missing","OK")</f>
        <v>OK</v>
      </c>
      <c r="U308" t="str">
        <f t="shared" si="13"/>
        <v>Mumbai</v>
      </c>
      <c r="V308">
        <f t="shared" si="14"/>
        <v>0</v>
      </c>
    </row>
    <row r="309" spans="1:22" ht="15" customHeight="1" x14ac:dyDescent="0.35">
      <c r="A309" s="3" t="s">
        <v>621</v>
      </c>
      <c r="B309" s="4">
        <v>45554</v>
      </c>
      <c r="C309" s="3" t="s">
        <v>485</v>
      </c>
      <c r="D309" s="3" t="s">
        <v>218</v>
      </c>
      <c r="E309" s="3" t="s">
        <v>71</v>
      </c>
      <c r="F309" s="5">
        <v>5</v>
      </c>
      <c r="G309" s="5">
        <v>2660</v>
      </c>
      <c r="H309" s="5">
        <v>8.3000000000000007</v>
      </c>
      <c r="I309" s="5">
        <v>12196.1</v>
      </c>
      <c r="J309" s="3" t="s">
        <v>26</v>
      </c>
      <c r="K309" s="3" t="s">
        <v>38</v>
      </c>
      <c r="L309" t="str">
        <f>IFERROR(VLOOKUP(D309,Products!$A$2:$F$61,3,FALSE()),"")</f>
        <v>Electronics</v>
      </c>
      <c r="M309" t="str">
        <f>IFERROR(VLOOKUP(E309,Sales_Reps!$A$2:$C$31,3,FALSE()),"")</f>
        <v>South</v>
      </c>
      <c r="N309">
        <f>IFERROR(VLOOKUP(D309,Products!$A$2:$F$61,4,FALSE()),"")</f>
        <v>1259</v>
      </c>
      <c r="O309" t="str">
        <f>IFERROR(VLOOKUP(C309,Customers!$A$2:$F$301,5,FALSE()),"")</f>
        <v>SMB</v>
      </c>
      <c r="P309">
        <f>IFERROR(VLOOKUP(C309,Customers!$A$2:$F$301,3,FALSE()),"")</f>
        <v>29</v>
      </c>
      <c r="Q309">
        <f t="shared" si="12"/>
        <v>0.52669172932330832</v>
      </c>
      <c r="R309">
        <f>IF(AND(COUNTIF($A$2:$A$2047,A309)&gt;1,COUNTIF($A$2:A309,A309)=1),1,0)</f>
        <v>0</v>
      </c>
      <c r="S309" t="b">
        <f>IFERROR(VLOOKUP(D309,Products!$A$2:$F$61,6,FALSE()),"")</f>
        <v>0</v>
      </c>
      <c r="T309" t="str">
        <f>IF(COUNTIF(Customers!$A$2:$A$301,C309)=0,"Missing","OK")</f>
        <v>OK</v>
      </c>
      <c r="U309" t="str">
        <f t="shared" si="13"/>
        <v>Delhi</v>
      </c>
      <c r="V309">
        <f t="shared" si="14"/>
        <v>0</v>
      </c>
    </row>
    <row r="310" spans="1:22" ht="15" customHeight="1" x14ac:dyDescent="0.35">
      <c r="A310" s="3" t="s">
        <v>622</v>
      </c>
      <c r="B310" s="4">
        <v>45529</v>
      </c>
      <c r="C310" s="3" t="s">
        <v>623</v>
      </c>
      <c r="D310" s="3" t="s">
        <v>173</v>
      </c>
      <c r="E310" s="3" t="s">
        <v>50</v>
      </c>
      <c r="F310" s="5">
        <v>6</v>
      </c>
      <c r="G310" s="5">
        <v>3780</v>
      </c>
      <c r="H310" s="5">
        <v>28.3</v>
      </c>
      <c r="I310" s="5">
        <v>16261.56</v>
      </c>
      <c r="J310" s="3" t="s">
        <v>26</v>
      </c>
      <c r="K310" s="3" t="s">
        <v>38</v>
      </c>
      <c r="L310" t="str">
        <f>IFERROR(VLOOKUP(D310,Products!$A$2:$F$61,3,FALSE()),"")</f>
        <v>Grocery</v>
      </c>
      <c r="M310" t="str">
        <f>IFERROR(VLOOKUP(E310,Sales_Reps!$A$2:$C$31,3,FALSE()),"")</f>
        <v>West</v>
      </c>
      <c r="N310">
        <f>IFERROR(VLOOKUP(D310,Products!$A$2:$F$61,4,FALSE()),"")</f>
        <v>2436</v>
      </c>
      <c r="O310" t="str">
        <f>IFERROR(VLOOKUP(C310,Customers!$A$2:$F$301,5,FALSE()),"")</f>
        <v>Retail</v>
      </c>
      <c r="P310">
        <f>IFERROR(VLOOKUP(C310,Customers!$A$2:$F$301,3,FALSE()),"")</f>
        <v>41</v>
      </c>
      <c r="Q310">
        <f t="shared" si="12"/>
        <v>0.35555555555555557</v>
      </c>
      <c r="R310">
        <f>IF(AND(COUNTIF($A$2:$A$2047,A310)&gt;1,COUNTIF($A$2:A310,A310)=1),1,0)</f>
        <v>0</v>
      </c>
      <c r="S310" t="b">
        <f>IFERROR(VLOOKUP(D310,Products!$A$2:$F$61,6,FALSE()),"")</f>
        <v>1</v>
      </c>
      <c r="T310" t="str">
        <f>IF(COUNTIF(Customers!$A$2:$A$301,C310)=0,"Missing","OK")</f>
        <v>OK</v>
      </c>
      <c r="U310" t="str">
        <f t="shared" si="13"/>
        <v>Delhi</v>
      </c>
      <c r="V310">
        <f t="shared" si="14"/>
        <v>0</v>
      </c>
    </row>
    <row r="311" spans="1:22" ht="15" customHeight="1" x14ac:dyDescent="0.35">
      <c r="A311" s="3" t="s">
        <v>624</v>
      </c>
      <c r="B311" s="4">
        <v>45300</v>
      </c>
      <c r="C311" s="3" t="s">
        <v>625</v>
      </c>
      <c r="D311" s="3" t="s">
        <v>139</v>
      </c>
      <c r="E311" s="3" t="s">
        <v>67</v>
      </c>
      <c r="F311" s="5">
        <v>5</v>
      </c>
      <c r="G311" s="5">
        <v>2760</v>
      </c>
      <c r="H311" s="5">
        <v>4.9000000000000004</v>
      </c>
      <c r="I311" s="5">
        <v>13123.8</v>
      </c>
      <c r="J311" s="3" t="s">
        <v>26</v>
      </c>
      <c r="K311" s="3" t="s">
        <v>51</v>
      </c>
      <c r="L311" t="str">
        <f>IFERROR(VLOOKUP(D311,Products!$A$2:$F$61,3,FALSE()),"")</f>
        <v>Grocery</v>
      </c>
      <c r="M311" t="str">
        <f>IFERROR(VLOOKUP(E311,Sales_Reps!$A$2:$C$31,3,FALSE()),"")</f>
        <v>West</v>
      </c>
      <c r="N311">
        <f>IFERROR(VLOOKUP(D311,Products!$A$2:$F$61,4,FALSE()),"")</f>
        <v>1435</v>
      </c>
      <c r="O311" t="str">
        <f>IFERROR(VLOOKUP(C311,Customers!$A$2:$F$301,5,FALSE()),"")</f>
        <v>Retail</v>
      </c>
      <c r="P311">
        <f>IFERROR(VLOOKUP(C311,Customers!$A$2:$F$301,3,FALSE()),"")</f>
        <v>35</v>
      </c>
      <c r="Q311">
        <f t="shared" si="12"/>
        <v>0.48007246376811596</v>
      </c>
      <c r="R311">
        <f>IF(AND(COUNTIF($A$2:$A$2047,A311)&gt;1,COUNTIF($A$2:A311,A311)=1),1,0)</f>
        <v>0</v>
      </c>
      <c r="S311" t="b">
        <f>IFERROR(VLOOKUP(D311,Products!$A$2:$F$61,6,FALSE()),"")</f>
        <v>1</v>
      </c>
      <c r="T311" t="str">
        <f>IF(COUNTIF(Customers!$A$2:$A$301,C311)=0,"Missing","OK")</f>
        <v>OK</v>
      </c>
      <c r="U311" t="str">
        <f t="shared" si="13"/>
        <v>Mumbai</v>
      </c>
      <c r="V311">
        <f t="shared" si="14"/>
        <v>0</v>
      </c>
    </row>
    <row r="312" spans="1:22" ht="15" customHeight="1" x14ac:dyDescent="0.35">
      <c r="A312" s="3" t="s">
        <v>626</v>
      </c>
      <c r="B312" s="4">
        <v>45368</v>
      </c>
      <c r="C312" s="3" t="s">
        <v>272</v>
      </c>
      <c r="D312" s="3" t="s">
        <v>198</v>
      </c>
      <c r="E312" s="3" t="s">
        <v>42</v>
      </c>
      <c r="F312" s="5">
        <v>8</v>
      </c>
      <c r="G312" s="5">
        <v>1540</v>
      </c>
      <c r="H312" s="5">
        <v>29.4</v>
      </c>
      <c r="I312" s="5">
        <v>8697.92</v>
      </c>
      <c r="J312" s="3" t="s">
        <v>79</v>
      </c>
      <c r="K312" s="3" t="s">
        <v>72</v>
      </c>
      <c r="L312" t="str">
        <f>IFERROR(VLOOKUP(D312,Products!$A$2:$F$61,3,FALSE()),"")</f>
        <v>Beauty</v>
      </c>
      <c r="M312" t="str">
        <f>IFERROR(VLOOKUP(E312,Sales_Reps!$A$2:$C$31,3,FALSE()),"")</f>
        <v>North</v>
      </c>
      <c r="N312">
        <f>IFERROR(VLOOKUP(D312,Products!$A$2:$F$61,4,FALSE()),"")</f>
        <v>647</v>
      </c>
      <c r="O312" t="str">
        <f>IFERROR(VLOOKUP(C312,Customers!$A$2:$F$301,5,FALSE()),"")</f>
        <v>SMB</v>
      </c>
      <c r="P312">
        <f>IFERROR(VLOOKUP(C312,Customers!$A$2:$F$301,3,FALSE()),"")</f>
        <v>65</v>
      </c>
      <c r="Q312">
        <f t="shared" si="12"/>
        <v>0.57987012987012987</v>
      </c>
      <c r="R312">
        <f>IF(AND(COUNTIF($A$2:$A$2047,A312)&gt;1,COUNTIF($A$2:A312,A312)=1),1,0)</f>
        <v>0</v>
      </c>
      <c r="S312" t="b">
        <f>IFERROR(VLOOKUP(D312,Products!$A$2:$F$61,6,FALSE()),"")</f>
        <v>0</v>
      </c>
      <c r="T312" t="str">
        <f>IF(COUNTIF(Customers!$A$2:$A$301,C312)=0,"Missing","OK")</f>
        <v>OK</v>
      </c>
      <c r="U312" t="str">
        <f t="shared" si="13"/>
        <v>Hyderabad</v>
      </c>
      <c r="V312">
        <f t="shared" si="14"/>
        <v>0</v>
      </c>
    </row>
    <row r="313" spans="1:22" ht="15" customHeight="1" x14ac:dyDescent="0.35">
      <c r="A313" s="3" t="s">
        <v>627</v>
      </c>
      <c r="B313" s="4">
        <v>45374</v>
      </c>
      <c r="C313" s="3" t="s">
        <v>628</v>
      </c>
      <c r="D313" s="3" t="s">
        <v>123</v>
      </c>
      <c r="E313" s="3" t="s">
        <v>224</v>
      </c>
      <c r="F313" s="5">
        <v>1</v>
      </c>
      <c r="G313" s="5">
        <v>4880</v>
      </c>
      <c r="H313" s="5">
        <v>18.100000000000001</v>
      </c>
      <c r="I313" s="5">
        <v>3996.72</v>
      </c>
      <c r="J313" s="3" t="s">
        <v>26</v>
      </c>
      <c r="K313" s="3" t="s">
        <v>72</v>
      </c>
      <c r="L313" t="str">
        <f>IFERROR(VLOOKUP(D313,Products!$A$2:$F$61,3,FALSE()),"")</f>
        <v>Beauty</v>
      </c>
      <c r="M313" t="str">
        <f>IFERROR(VLOOKUP(E313,Sales_Reps!$A$2:$C$31,3,FALSE()),"")</f>
        <v>East</v>
      </c>
      <c r="N313">
        <f>IFERROR(VLOOKUP(D313,Products!$A$2:$F$61,4,FALSE()),"")</f>
        <v>2768</v>
      </c>
      <c r="O313" t="str">
        <f>IFERROR(VLOOKUP(C313,Customers!$A$2:$F$301,5,FALSE()),"")</f>
        <v>Retail</v>
      </c>
      <c r="P313">
        <f>IFERROR(VLOOKUP(C313,Customers!$A$2:$F$301,3,FALSE()),"")</f>
        <v>28</v>
      </c>
      <c r="Q313">
        <f t="shared" si="12"/>
        <v>0.43278688524590164</v>
      </c>
      <c r="R313">
        <f>IF(AND(COUNTIF($A$2:$A$2047,A313)&gt;1,COUNTIF($A$2:A313,A313)=1),1,0)</f>
        <v>0</v>
      </c>
      <c r="S313" t="b">
        <f>IFERROR(VLOOKUP(D313,Products!$A$2:$F$61,6,FALSE()),"")</f>
        <v>1</v>
      </c>
      <c r="T313" t="str">
        <f>IF(COUNTIF(Customers!$A$2:$A$301,C313)=0,"Missing","OK")</f>
        <v>OK</v>
      </c>
      <c r="U313" t="str">
        <f t="shared" si="13"/>
        <v>Hyderabad</v>
      </c>
      <c r="V313">
        <f t="shared" si="14"/>
        <v>0</v>
      </c>
    </row>
    <row r="314" spans="1:22" ht="15" customHeight="1" x14ac:dyDescent="0.35">
      <c r="A314" s="3" t="s">
        <v>629</v>
      </c>
      <c r="B314" s="4">
        <v>45592</v>
      </c>
      <c r="C314" s="3" t="s">
        <v>421</v>
      </c>
      <c r="D314" s="3" t="s">
        <v>70</v>
      </c>
      <c r="E314" s="3" t="s">
        <v>127</v>
      </c>
      <c r="F314" s="5">
        <v>8</v>
      </c>
      <c r="G314" s="5">
        <v>2270</v>
      </c>
      <c r="H314" s="5">
        <v>19.8</v>
      </c>
      <c r="I314" s="5">
        <v>14564.32</v>
      </c>
      <c r="J314" s="3" t="s">
        <v>32</v>
      </c>
      <c r="K314" s="3" t="s">
        <v>72</v>
      </c>
      <c r="L314" t="str">
        <f>IFERROR(VLOOKUP(D314,Products!$A$2:$F$61,3,FALSE()),"")</f>
        <v>Grocery</v>
      </c>
      <c r="M314" t="str">
        <f>IFERROR(VLOOKUP(E314,Sales_Reps!$A$2:$C$31,3,FALSE()),"")</f>
        <v>South</v>
      </c>
      <c r="N314">
        <f>IFERROR(VLOOKUP(D314,Products!$A$2:$F$61,4,FALSE()),"")</f>
        <v>1203</v>
      </c>
      <c r="O314" t="str">
        <f>IFERROR(VLOOKUP(C314,Customers!$A$2:$F$301,5,FALSE()),"")</f>
        <v>Corporate</v>
      </c>
      <c r="P314">
        <f>IFERROR(VLOOKUP(C314,Customers!$A$2:$F$301,3,FALSE()),"")</f>
        <v>52</v>
      </c>
      <c r="Q314">
        <f t="shared" si="12"/>
        <v>0.47004405286343615</v>
      </c>
      <c r="R314">
        <f>IF(AND(COUNTIF($A$2:$A$2047,A314)&gt;1,COUNTIF($A$2:A314,A314)=1),1,0)</f>
        <v>0</v>
      </c>
      <c r="S314" t="b">
        <f>IFERROR(VLOOKUP(D314,Products!$A$2:$F$61,6,FALSE()),"")</f>
        <v>1</v>
      </c>
      <c r="T314" t="str">
        <f>IF(COUNTIF(Customers!$A$2:$A$301,C314)=0,"Missing","OK")</f>
        <v>OK</v>
      </c>
      <c r="U314" t="str">
        <f t="shared" si="13"/>
        <v>Hyderabad</v>
      </c>
      <c r="V314">
        <f t="shared" si="14"/>
        <v>0</v>
      </c>
    </row>
    <row r="315" spans="1:22" ht="15" customHeight="1" x14ac:dyDescent="0.35">
      <c r="A315" s="3" t="s">
        <v>630</v>
      </c>
      <c r="B315" s="4">
        <v>45508</v>
      </c>
      <c r="C315" s="3" t="s">
        <v>554</v>
      </c>
      <c r="D315" s="3" t="s">
        <v>106</v>
      </c>
      <c r="E315" s="3" t="s">
        <v>71</v>
      </c>
      <c r="F315" s="5">
        <v>10</v>
      </c>
      <c r="G315" s="5">
        <v>2480</v>
      </c>
      <c r="H315" s="5">
        <v>24.4</v>
      </c>
      <c r="I315" s="5">
        <v>18748.8</v>
      </c>
      <c r="J315" s="3" t="s">
        <v>32</v>
      </c>
      <c r="K315" s="3" t="s">
        <v>51</v>
      </c>
      <c r="L315" t="str">
        <f>IFERROR(VLOOKUP(D315,Products!$A$2:$F$61,3,FALSE()),"")</f>
        <v>Apparel</v>
      </c>
      <c r="M315" t="str">
        <f>IFERROR(VLOOKUP(E315,Sales_Reps!$A$2:$C$31,3,FALSE()),"")</f>
        <v>South</v>
      </c>
      <c r="N315">
        <f>IFERROR(VLOOKUP(D315,Products!$A$2:$F$61,4,FALSE()),"")</f>
        <v>1173</v>
      </c>
      <c r="O315" t="str">
        <f>IFERROR(VLOOKUP(C315,Customers!$A$2:$F$301,5,FALSE()),"")</f>
        <v>Retail</v>
      </c>
      <c r="P315">
        <f>IFERROR(VLOOKUP(C315,Customers!$A$2:$F$301,3,FALSE()),"")</f>
        <v>53</v>
      </c>
      <c r="Q315">
        <f t="shared" si="12"/>
        <v>0.52701612903225803</v>
      </c>
      <c r="R315">
        <f>IF(AND(COUNTIF($A$2:$A$2047,A315)&gt;1,COUNTIF($A$2:A315,A315)=1),1,0)</f>
        <v>0</v>
      </c>
      <c r="S315" t="b">
        <f>IFERROR(VLOOKUP(D315,Products!$A$2:$F$61,6,FALSE()),"")</f>
        <v>1</v>
      </c>
      <c r="T315" t="str">
        <f>IF(COUNTIF(Customers!$A$2:$A$301,C315)=0,"Missing","OK")</f>
        <v>OK</v>
      </c>
      <c r="U315" t="str">
        <f t="shared" si="13"/>
        <v>Mumbai</v>
      </c>
      <c r="V315">
        <f t="shared" si="14"/>
        <v>0</v>
      </c>
    </row>
    <row r="316" spans="1:22" ht="15" customHeight="1" x14ac:dyDescent="0.35">
      <c r="A316" s="3" t="s">
        <v>631</v>
      </c>
      <c r="B316" s="4">
        <v>45481</v>
      </c>
      <c r="C316" s="3" t="s">
        <v>69</v>
      </c>
      <c r="D316" s="3" t="s">
        <v>215</v>
      </c>
      <c r="E316" s="3" t="s">
        <v>37</v>
      </c>
      <c r="F316" s="5">
        <v>8</v>
      </c>
      <c r="G316" s="5">
        <v>3020</v>
      </c>
      <c r="H316" s="5">
        <v>15.2</v>
      </c>
      <c r="I316" s="5">
        <v>20487.68</v>
      </c>
      <c r="J316" s="3" t="s">
        <v>32</v>
      </c>
      <c r="K316" s="3" t="s">
        <v>72</v>
      </c>
      <c r="L316" t="str">
        <f>IFERROR(VLOOKUP(D316,Products!$A$2:$F$61,3,FALSE()),"")</f>
        <v>Beauty</v>
      </c>
      <c r="M316" t="str">
        <f>IFERROR(VLOOKUP(E316,Sales_Reps!$A$2:$C$31,3,FALSE()),"")</f>
        <v>South</v>
      </c>
      <c r="N316">
        <f>IFERROR(VLOOKUP(D316,Products!$A$2:$F$61,4,FALSE()),"")</f>
        <v>1626</v>
      </c>
      <c r="O316" t="str">
        <f>IFERROR(VLOOKUP(C316,Customers!$A$2:$F$301,5,FALSE()),"")</f>
        <v>Retail</v>
      </c>
      <c r="P316">
        <f>IFERROR(VLOOKUP(C316,Customers!$A$2:$F$301,3,FALSE()),"")</f>
        <v>60</v>
      </c>
      <c r="Q316">
        <f t="shared" si="12"/>
        <v>0.46158940397350995</v>
      </c>
      <c r="R316">
        <f>IF(AND(COUNTIF($A$2:$A$2047,A316)&gt;1,COUNTIF($A$2:A316,A316)=1),1,0)</f>
        <v>0</v>
      </c>
      <c r="S316" t="b">
        <f>IFERROR(VLOOKUP(D316,Products!$A$2:$F$61,6,FALSE()),"")</f>
        <v>1</v>
      </c>
      <c r="T316" t="str">
        <f>IF(COUNTIF(Customers!$A$2:$A$301,C316)=0,"Missing","OK")</f>
        <v>OK</v>
      </c>
      <c r="U316" t="str">
        <f t="shared" si="13"/>
        <v>Hyderabad</v>
      </c>
      <c r="V316">
        <f t="shared" si="14"/>
        <v>0</v>
      </c>
    </row>
    <row r="317" spans="1:22" ht="15" customHeight="1" x14ac:dyDescent="0.35">
      <c r="A317" s="3" t="s">
        <v>632</v>
      </c>
      <c r="B317" s="4">
        <v>45517</v>
      </c>
      <c r="C317" s="3" t="s">
        <v>267</v>
      </c>
      <c r="D317" s="3" t="s">
        <v>198</v>
      </c>
      <c r="E317" s="3" t="s">
        <v>60</v>
      </c>
      <c r="F317" s="5">
        <v>10</v>
      </c>
      <c r="G317" s="5">
        <v>1540</v>
      </c>
      <c r="H317" s="5">
        <v>0.6</v>
      </c>
      <c r="I317" s="5">
        <v>15307.6</v>
      </c>
      <c r="J317" s="3" t="s">
        <v>26</v>
      </c>
      <c r="K317" s="3" t="s">
        <v>33</v>
      </c>
      <c r="L317" t="str">
        <f>IFERROR(VLOOKUP(D317,Products!$A$2:$F$61,3,FALSE()),"")</f>
        <v>Beauty</v>
      </c>
      <c r="M317" t="str">
        <f>IFERROR(VLOOKUP(E317,Sales_Reps!$A$2:$C$31,3,FALSE()),"")</f>
        <v>East</v>
      </c>
      <c r="N317">
        <f>IFERROR(VLOOKUP(D317,Products!$A$2:$F$61,4,FALSE()),"")</f>
        <v>647</v>
      </c>
      <c r="O317" t="str">
        <f>IFERROR(VLOOKUP(C317,Customers!$A$2:$F$301,5,FALSE()),"")</f>
        <v>Retail</v>
      </c>
      <c r="P317">
        <f>IFERROR(VLOOKUP(C317,Customers!$A$2:$F$301,3,FALSE()),"")</f>
        <v>28</v>
      </c>
      <c r="Q317">
        <f t="shared" si="12"/>
        <v>0.57987012987012987</v>
      </c>
      <c r="R317">
        <f>IF(AND(COUNTIF($A$2:$A$2047,A317)&gt;1,COUNTIF($A$2:A317,A317)=1),1,0)</f>
        <v>0</v>
      </c>
      <c r="S317" t="b">
        <f>IFERROR(VLOOKUP(D317,Products!$A$2:$F$61,6,FALSE()),"")</f>
        <v>0</v>
      </c>
      <c r="T317" t="str">
        <f>IF(COUNTIF(Customers!$A$2:$A$301,C317)=0,"Missing","OK")</f>
        <v>OK</v>
      </c>
      <c r="U317" t="str">
        <f t="shared" si="13"/>
        <v>Chennai</v>
      </c>
      <c r="V317">
        <f t="shared" si="14"/>
        <v>0</v>
      </c>
    </row>
    <row r="318" spans="1:22" ht="15" customHeight="1" x14ac:dyDescent="0.35">
      <c r="A318" s="3" t="s">
        <v>633</v>
      </c>
      <c r="B318" s="4">
        <v>45632</v>
      </c>
      <c r="C318" s="3" t="s">
        <v>429</v>
      </c>
      <c r="D318" s="3" t="s">
        <v>45</v>
      </c>
      <c r="E318" s="3" t="s">
        <v>154</v>
      </c>
      <c r="F318" s="5">
        <v>7</v>
      </c>
      <c r="G318" s="5">
        <v>3160</v>
      </c>
      <c r="H318" s="5">
        <v>8.9</v>
      </c>
      <c r="I318" s="5">
        <v>20151.32</v>
      </c>
      <c r="J318" s="3" t="s">
        <v>26</v>
      </c>
      <c r="K318" s="3" t="s">
        <v>38</v>
      </c>
      <c r="L318" t="str">
        <f>IFERROR(VLOOKUP(D318,Products!$A$2:$F$61,3,FALSE()),"")</f>
        <v>Apparel</v>
      </c>
      <c r="M318" t="str">
        <f>IFERROR(VLOOKUP(E318,Sales_Reps!$A$2:$C$31,3,FALSE()),"")</f>
        <v>North</v>
      </c>
      <c r="N318">
        <f>IFERROR(VLOOKUP(D318,Products!$A$2:$F$61,4,FALSE()),"")</f>
        <v>1886</v>
      </c>
      <c r="O318" t="str">
        <f>IFERROR(VLOOKUP(C318,Customers!$A$2:$F$301,5,FALSE()),"")</f>
        <v>Retail</v>
      </c>
      <c r="P318">
        <f>IFERROR(VLOOKUP(C318,Customers!$A$2:$F$301,3,FALSE()),"")</f>
        <v>59</v>
      </c>
      <c r="Q318">
        <f t="shared" si="12"/>
        <v>0.4031645569620253</v>
      </c>
      <c r="R318">
        <f>IF(AND(COUNTIF($A$2:$A$2047,A318)&gt;1,COUNTIF($A$2:A318,A318)=1),1,0)</f>
        <v>0</v>
      </c>
      <c r="S318" t="b">
        <f>IFERROR(VLOOKUP(D318,Products!$A$2:$F$61,6,FALSE()),"")</f>
        <v>1</v>
      </c>
      <c r="T318" t="str">
        <f>IF(COUNTIF(Customers!$A$2:$A$301,C318)=0,"Missing","OK")</f>
        <v>OK</v>
      </c>
      <c r="U318" t="str">
        <f t="shared" si="13"/>
        <v>Delhi</v>
      </c>
      <c r="V318">
        <f t="shared" si="14"/>
        <v>0</v>
      </c>
    </row>
    <row r="319" spans="1:22" ht="15" customHeight="1" x14ac:dyDescent="0.35">
      <c r="A319" s="3" t="s">
        <v>634</v>
      </c>
      <c r="B319" s="4">
        <v>45592</v>
      </c>
      <c r="C319" s="3" t="s">
        <v>149</v>
      </c>
      <c r="D319" s="3" t="s">
        <v>121</v>
      </c>
      <c r="E319" s="3" t="s">
        <v>191</v>
      </c>
      <c r="F319" s="5">
        <v>6</v>
      </c>
      <c r="G319" s="5">
        <v>1010</v>
      </c>
      <c r="H319" s="5">
        <v>12.9</v>
      </c>
      <c r="I319" s="5">
        <v>5278.26</v>
      </c>
      <c r="J319" s="3" t="s">
        <v>26</v>
      </c>
      <c r="K319" s="3" t="s">
        <v>38</v>
      </c>
      <c r="L319" t="str">
        <f>IFERROR(VLOOKUP(D319,Products!$A$2:$F$61,3,FALSE()),"")</f>
        <v>Sports</v>
      </c>
      <c r="M319" t="str">
        <f>IFERROR(VLOOKUP(E319,Sales_Reps!$A$2:$C$31,3,FALSE()),"")</f>
        <v>South</v>
      </c>
      <c r="N319">
        <f>IFERROR(VLOOKUP(D319,Products!$A$2:$F$61,4,FALSE()),"")</f>
        <v>516</v>
      </c>
      <c r="O319" t="str">
        <f>IFERROR(VLOOKUP(C319,Customers!$A$2:$F$301,5,FALSE()),"")</f>
        <v>Retail</v>
      </c>
      <c r="P319">
        <f>IFERROR(VLOOKUP(C319,Customers!$A$2:$F$301,3,FALSE()),"")</f>
        <v>41</v>
      </c>
      <c r="Q319">
        <f t="shared" si="12"/>
        <v>0.4891089108910891</v>
      </c>
      <c r="R319">
        <f>IF(AND(COUNTIF($A$2:$A$2047,A319)&gt;1,COUNTIF($A$2:A319,A319)=1),1,0)</f>
        <v>0</v>
      </c>
      <c r="S319" t="b">
        <f>IFERROR(VLOOKUP(D319,Products!$A$2:$F$61,6,FALSE()),"")</f>
        <v>1</v>
      </c>
      <c r="T319" t="str">
        <f>IF(COUNTIF(Customers!$A$2:$A$301,C319)=0,"Missing","OK")</f>
        <v>OK</v>
      </c>
      <c r="U319" t="str">
        <f t="shared" si="13"/>
        <v>Delhi</v>
      </c>
      <c r="V319">
        <f t="shared" si="14"/>
        <v>0</v>
      </c>
    </row>
    <row r="320" spans="1:22" ht="15" customHeight="1" x14ac:dyDescent="0.35">
      <c r="A320" s="3" t="s">
        <v>635</v>
      </c>
      <c r="B320" s="4">
        <v>45450</v>
      </c>
      <c r="C320" s="3" t="s">
        <v>636</v>
      </c>
      <c r="D320" s="3" t="s">
        <v>209</v>
      </c>
      <c r="E320" s="3" t="s">
        <v>131</v>
      </c>
      <c r="F320" s="5">
        <v>4</v>
      </c>
      <c r="G320" s="5">
        <v>4610</v>
      </c>
      <c r="H320" s="5">
        <v>18.2</v>
      </c>
      <c r="I320" s="5">
        <v>15083.92</v>
      </c>
      <c r="J320" s="3" t="s">
        <v>26</v>
      </c>
      <c r="K320" s="3" t="s">
        <v>72</v>
      </c>
      <c r="L320" t="str">
        <f>IFERROR(VLOOKUP(D320,Products!$A$2:$F$61,3,FALSE()),"")</f>
        <v>Home</v>
      </c>
      <c r="M320" t="str">
        <f>IFERROR(VLOOKUP(E320,Sales_Reps!$A$2:$C$31,3,FALSE()),"")</f>
        <v>East</v>
      </c>
      <c r="N320">
        <f>IFERROR(VLOOKUP(D320,Products!$A$2:$F$61,4,FALSE()),"")</f>
        <v>1850</v>
      </c>
      <c r="O320" t="str">
        <f>IFERROR(VLOOKUP(C320,Customers!$A$2:$F$301,5,FALSE()),"")</f>
        <v>Retail</v>
      </c>
      <c r="P320">
        <f>IFERROR(VLOOKUP(C320,Customers!$A$2:$F$301,3,FALSE()),"")</f>
        <v>65</v>
      </c>
      <c r="Q320">
        <f t="shared" si="12"/>
        <v>0.59869848156182215</v>
      </c>
      <c r="R320">
        <f>IF(AND(COUNTIF($A$2:$A$2047,A320)&gt;1,COUNTIF($A$2:A320,A320)=1),1,0)</f>
        <v>0</v>
      </c>
      <c r="S320" t="b">
        <f>IFERROR(VLOOKUP(D320,Products!$A$2:$F$61,6,FALSE()),"")</f>
        <v>1</v>
      </c>
      <c r="T320" t="str">
        <f>IF(COUNTIF(Customers!$A$2:$A$301,C320)=0,"Missing","OK")</f>
        <v>OK</v>
      </c>
      <c r="U320" t="str">
        <f t="shared" si="13"/>
        <v>Hyderabad</v>
      </c>
      <c r="V320">
        <f t="shared" si="14"/>
        <v>0</v>
      </c>
    </row>
    <row r="321" spans="1:22" ht="15" customHeight="1" x14ac:dyDescent="0.35">
      <c r="A321" s="3" t="s">
        <v>637</v>
      </c>
      <c r="B321" s="4">
        <v>45343</v>
      </c>
      <c r="C321" s="3" t="s">
        <v>202</v>
      </c>
      <c r="D321" s="3" t="s">
        <v>290</v>
      </c>
      <c r="E321" s="3" t="s">
        <v>168</v>
      </c>
      <c r="F321" s="5">
        <v>6</v>
      </c>
      <c r="G321" s="5">
        <v>4060</v>
      </c>
      <c r="H321" s="5">
        <v>24.3</v>
      </c>
      <c r="I321" s="5">
        <v>18440.52</v>
      </c>
      <c r="J321" s="3" t="s">
        <v>26</v>
      </c>
      <c r="K321" s="3" t="s">
        <v>72</v>
      </c>
      <c r="L321" t="str">
        <f>IFERROR(VLOOKUP(D321,Products!$A$2:$F$61,3,FALSE()),"")</f>
        <v>Grocery</v>
      </c>
      <c r="M321" t="str">
        <f>IFERROR(VLOOKUP(E321,Sales_Reps!$A$2:$C$31,3,FALSE()),"")</f>
        <v>West</v>
      </c>
      <c r="N321">
        <f>IFERROR(VLOOKUP(D321,Products!$A$2:$F$61,4,FALSE()),"")</f>
        <v>2911</v>
      </c>
      <c r="O321" t="str">
        <f>IFERROR(VLOOKUP(C321,Customers!$A$2:$F$301,5,FALSE()),"")</f>
        <v>Retail</v>
      </c>
      <c r="P321">
        <f>IFERROR(VLOOKUP(C321,Customers!$A$2:$F$301,3,FALSE()),"")</f>
        <v>53</v>
      </c>
      <c r="Q321">
        <f t="shared" si="12"/>
        <v>0.28300492610837441</v>
      </c>
      <c r="R321">
        <f>IF(AND(COUNTIF($A$2:$A$2047,A321)&gt;1,COUNTIF($A$2:A321,A321)=1),1,0)</f>
        <v>0</v>
      </c>
      <c r="S321" t="b">
        <f>IFERROR(VLOOKUP(D321,Products!$A$2:$F$61,6,FALSE()),"")</f>
        <v>1</v>
      </c>
      <c r="T321" t="str">
        <f>IF(COUNTIF(Customers!$A$2:$A$301,C321)=0,"Missing","OK")</f>
        <v>OK</v>
      </c>
      <c r="U321" t="str">
        <f t="shared" si="13"/>
        <v>Hyderabad</v>
      </c>
      <c r="V321">
        <f t="shared" si="14"/>
        <v>0</v>
      </c>
    </row>
    <row r="322" spans="1:22" ht="15" customHeight="1" x14ac:dyDescent="0.35">
      <c r="A322" s="3" t="s">
        <v>638</v>
      </c>
      <c r="B322" s="4">
        <v>45509</v>
      </c>
      <c r="C322" s="3" t="s">
        <v>639</v>
      </c>
      <c r="D322" s="3" t="s">
        <v>231</v>
      </c>
      <c r="E322" s="3" t="s">
        <v>154</v>
      </c>
      <c r="F322" s="5">
        <v>5</v>
      </c>
      <c r="G322" s="5">
        <v>620</v>
      </c>
      <c r="H322" s="5">
        <v>10.7</v>
      </c>
      <c r="I322" s="5">
        <v>2768.3</v>
      </c>
      <c r="J322" s="3" t="s">
        <v>83</v>
      </c>
      <c r="K322" s="3" t="s">
        <v>33</v>
      </c>
      <c r="L322" t="str">
        <f>IFERROR(VLOOKUP(D322,Products!$A$2:$F$61,3,FALSE()),"")</f>
        <v>Apparel</v>
      </c>
      <c r="M322" t="str">
        <f>IFERROR(VLOOKUP(E322,Sales_Reps!$A$2:$C$31,3,FALSE()),"")</f>
        <v>North</v>
      </c>
      <c r="N322">
        <f>IFERROR(VLOOKUP(D322,Products!$A$2:$F$61,4,FALSE()),"")</f>
        <v>396</v>
      </c>
      <c r="O322" t="str">
        <f>IFERROR(VLOOKUP(C322,Customers!$A$2:$F$301,5,FALSE()),"")</f>
        <v>SMB</v>
      </c>
      <c r="P322">
        <f>IFERROR(VLOOKUP(C322,Customers!$A$2:$F$301,3,FALSE()),"")</f>
        <v>46</v>
      </c>
      <c r="Q322">
        <f t="shared" ref="Q322:Q385" si="15">IFERROR((G322-N322)/G322,"")</f>
        <v>0.36129032258064514</v>
      </c>
      <c r="R322">
        <f>IF(AND(COUNTIF($A$2:$A$2047,A322)&gt;1,COUNTIF($A$2:A322,A322)=1),1,0)</f>
        <v>0</v>
      </c>
      <c r="S322" t="b">
        <f>IFERROR(VLOOKUP(D322,Products!$A$2:$F$61,6,FALSE()),"")</f>
        <v>1</v>
      </c>
      <c r="T322" t="str">
        <f>IF(COUNTIF(Customers!$A$2:$A$301,C322)=0,"Missing","OK")</f>
        <v>OK</v>
      </c>
      <c r="U322" t="str">
        <f t="shared" ref="U322:U385" si="16">IF(K322="","",PROPER(TRIM(K322)))</f>
        <v>Chennai</v>
      </c>
      <c r="V322">
        <f t="shared" ref="V322:V385" si="17">IF(AND(U322="Bengaluru",L322="Grocery"),I322,0)</f>
        <v>0</v>
      </c>
    </row>
    <row r="323" spans="1:22" ht="15" customHeight="1" x14ac:dyDescent="0.35">
      <c r="A323" s="3" t="s">
        <v>640</v>
      </c>
      <c r="B323" s="4">
        <v>45513</v>
      </c>
      <c r="C323" s="3" t="s">
        <v>393</v>
      </c>
      <c r="D323" s="3" t="s">
        <v>598</v>
      </c>
      <c r="E323" s="3" t="s">
        <v>87</v>
      </c>
      <c r="F323" s="5">
        <v>3</v>
      </c>
      <c r="G323" s="5">
        <v>3560</v>
      </c>
      <c r="H323" s="5">
        <v>4.0999999999999996</v>
      </c>
      <c r="I323" s="5">
        <v>10242.120000000001</v>
      </c>
      <c r="J323" s="3" t="s">
        <v>26</v>
      </c>
      <c r="K323" s="3" t="s">
        <v>72</v>
      </c>
      <c r="L323" t="str">
        <f>IFERROR(VLOOKUP(D323,Products!$A$2:$F$61,3,FALSE()),"")</f>
        <v>Apparel</v>
      </c>
      <c r="M323" t="str">
        <f>IFERROR(VLOOKUP(E323,Sales_Reps!$A$2:$C$31,3,FALSE()),"")</f>
        <v>North</v>
      </c>
      <c r="N323">
        <f>IFERROR(VLOOKUP(D323,Products!$A$2:$F$61,4,FALSE()),"")</f>
        <v>2629</v>
      </c>
      <c r="O323" t="str">
        <f>IFERROR(VLOOKUP(C323,Customers!$A$2:$F$301,5,FALSE()),"")</f>
        <v>Corporate</v>
      </c>
      <c r="P323">
        <f>IFERROR(VLOOKUP(C323,Customers!$A$2:$F$301,3,FALSE()),"")</f>
        <v>43</v>
      </c>
      <c r="Q323">
        <f t="shared" si="15"/>
        <v>0.26151685393258428</v>
      </c>
      <c r="R323">
        <f>IF(AND(COUNTIF($A$2:$A$2047,A323)&gt;1,COUNTIF($A$2:A323,A323)=1),1,0)</f>
        <v>0</v>
      </c>
      <c r="S323" t="b">
        <f>IFERROR(VLOOKUP(D323,Products!$A$2:$F$61,6,FALSE()),"")</f>
        <v>1</v>
      </c>
      <c r="T323" t="str">
        <f>IF(COUNTIF(Customers!$A$2:$A$301,C323)=0,"Missing","OK")</f>
        <v>OK</v>
      </c>
      <c r="U323" t="str">
        <f t="shared" si="16"/>
        <v>Hyderabad</v>
      </c>
      <c r="V323">
        <f t="shared" si="17"/>
        <v>0</v>
      </c>
    </row>
    <row r="324" spans="1:22" ht="15" customHeight="1" x14ac:dyDescent="0.35">
      <c r="A324" s="3" t="s">
        <v>641</v>
      </c>
      <c r="B324" s="4">
        <v>45500</v>
      </c>
      <c r="C324" s="3" t="s">
        <v>642</v>
      </c>
      <c r="D324" s="3" t="s">
        <v>90</v>
      </c>
      <c r="E324" s="3" t="s">
        <v>264</v>
      </c>
      <c r="F324" s="5">
        <v>2</v>
      </c>
      <c r="G324" s="5">
        <v>2400</v>
      </c>
      <c r="H324" s="5">
        <v>13</v>
      </c>
      <c r="I324" s="5">
        <v>4176</v>
      </c>
      <c r="J324" s="3" t="s">
        <v>26</v>
      </c>
      <c r="K324" s="3" t="s">
        <v>27</v>
      </c>
      <c r="L324" t="str">
        <f>IFERROR(VLOOKUP(D324,Products!$A$2:$F$61,3,FALSE()),"")</f>
        <v>Sports</v>
      </c>
      <c r="M324" t="str">
        <f>IFERROR(VLOOKUP(E324,Sales_Reps!$A$2:$C$31,3,FALSE()),"")</f>
        <v>South</v>
      </c>
      <c r="N324">
        <f>IFERROR(VLOOKUP(D324,Products!$A$2:$F$61,4,FALSE()),"")</f>
        <v>974</v>
      </c>
      <c r="O324" t="str">
        <f>IFERROR(VLOOKUP(C324,Customers!$A$2:$F$301,5,FALSE()),"")</f>
        <v>Corporate</v>
      </c>
      <c r="P324">
        <f>IFERROR(VLOOKUP(C324,Customers!$A$2:$F$301,3,FALSE()),"")</f>
        <v>52</v>
      </c>
      <c r="Q324">
        <f t="shared" si="15"/>
        <v>0.59416666666666662</v>
      </c>
      <c r="R324">
        <f>IF(AND(COUNTIF($A$2:$A$2047,A324)&gt;1,COUNTIF($A$2:A324,A324)=1),1,0)</f>
        <v>0</v>
      </c>
      <c r="S324" t="b">
        <f>IFERROR(VLOOKUP(D324,Products!$A$2:$F$61,6,FALSE()),"")</f>
        <v>1</v>
      </c>
      <c r="T324" t="str">
        <f>IF(COUNTIF(Customers!$A$2:$A$301,C324)=0,"Missing","OK")</f>
        <v>OK</v>
      </c>
      <c r="U324" t="str">
        <f t="shared" si="16"/>
        <v>Pune</v>
      </c>
      <c r="V324">
        <f t="shared" si="17"/>
        <v>0</v>
      </c>
    </row>
    <row r="325" spans="1:22" ht="15" customHeight="1" x14ac:dyDescent="0.35">
      <c r="A325" s="3" t="s">
        <v>643</v>
      </c>
      <c r="B325" s="4">
        <v>45407</v>
      </c>
      <c r="C325" s="3" t="s">
        <v>644</v>
      </c>
      <c r="D325" s="3" t="s">
        <v>454</v>
      </c>
      <c r="E325" s="3" t="s">
        <v>42</v>
      </c>
      <c r="F325" s="5">
        <v>9</v>
      </c>
      <c r="G325" s="5">
        <v>6940</v>
      </c>
      <c r="H325" s="5">
        <v>26.2</v>
      </c>
      <c r="I325" s="5">
        <v>46095.48</v>
      </c>
      <c r="J325" s="3" t="s">
        <v>26</v>
      </c>
      <c r="K325" s="3" t="s">
        <v>38</v>
      </c>
      <c r="L325" t="str">
        <f>IFERROR(VLOOKUP(D325,Products!$A$2:$F$61,3,FALSE()),"")</f>
        <v>Sports</v>
      </c>
      <c r="M325" t="str">
        <f>IFERROR(VLOOKUP(E325,Sales_Reps!$A$2:$C$31,3,FALSE()),"")</f>
        <v>North</v>
      </c>
      <c r="N325">
        <f>IFERROR(VLOOKUP(D325,Products!$A$2:$F$61,4,FALSE()),"")</f>
        <v>2827</v>
      </c>
      <c r="O325" t="str">
        <f>IFERROR(VLOOKUP(C325,Customers!$A$2:$F$301,5,FALSE()),"")</f>
        <v>Retail</v>
      </c>
      <c r="P325">
        <f>IFERROR(VLOOKUP(C325,Customers!$A$2:$F$301,3,FALSE()),"")</f>
        <v>53</v>
      </c>
      <c r="Q325">
        <f t="shared" si="15"/>
        <v>0.5926512968299712</v>
      </c>
      <c r="R325">
        <f>IF(AND(COUNTIF($A$2:$A$2047,A325)&gt;1,COUNTIF($A$2:A325,A325)=1),1,0)</f>
        <v>0</v>
      </c>
      <c r="S325" t="b">
        <f>IFERROR(VLOOKUP(D325,Products!$A$2:$F$61,6,FALSE()),"")</f>
        <v>1</v>
      </c>
      <c r="T325" t="str">
        <f>IF(COUNTIF(Customers!$A$2:$A$301,C325)=0,"Missing","OK")</f>
        <v>OK</v>
      </c>
      <c r="U325" t="str">
        <f t="shared" si="16"/>
        <v>Delhi</v>
      </c>
      <c r="V325">
        <f t="shared" si="17"/>
        <v>0</v>
      </c>
    </row>
    <row r="326" spans="1:22" ht="15" customHeight="1" x14ac:dyDescent="0.35">
      <c r="A326" s="3" t="s">
        <v>645</v>
      </c>
      <c r="B326" s="4">
        <v>45385</v>
      </c>
      <c r="C326" s="3" t="s">
        <v>646</v>
      </c>
      <c r="D326" s="3" t="s">
        <v>306</v>
      </c>
      <c r="E326" s="3" t="s">
        <v>50</v>
      </c>
      <c r="F326" s="5">
        <v>9</v>
      </c>
      <c r="G326" s="5">
        <v>2380</v>
      </c>
      <c r="H326" s="5">
        <v>22.7</v>
      </c>
      <c r="I326" s="5">
        <v>16557.66</v>
      </c>
      <c r="J326" s="3" t="s">
        <v>26</v>
      </c>
      <c r="K326" s="3" t="s">
        <v>51</v>
      </c>
      <c r="L326" t="str">
        <f>IFERROR(VLOOKUP(D326,Products!$A$2:$F$61,3,FALSE()),"")</f>
        <v>Grocery</v>
      </c>
      <c r="M326" t="str">
        <f>IFERROR(VLOOKUP(E326,Sales_Reps!$A$2:$C$31,3,FALSE()),"")</f>
        <v>West</v>
      </c>
      <c r="N326">
        <f>IFERROR(VLOOKUP(D326,Products!$A$2:$F$61,4,FALSE()),"")</f>
        <v>1182</v>
      </c>
      <c r="O326" t="str">
        <f>IFERROR(VLOOKUP(C326,Customers!$A$2:$F$301,5,FALSE()),"")</f>
        <v>Retail</v>
      </c>
      <c r="P326">
        <f>IFERROR(VLOOKUP(C326,Customers!$A$2:$F$301,3,FALSE()),"")</f>
        <v>33</v>
      </c>
      <c r="Q326">
        <f t="shared" si="15"/>
        <v>0.50336134453781511</v>
      </c>
      <c r="R326">
        <f>IF(AND(COUNTIF($A$2:$A$2047,A326)&gt;1,COUNTIF($A$2:A326,A326)=1),1,0)</f>
        <v>0</v>
      </c>
      <c r="S326" t="b">
        <f>IFERROR(VLOOKUP(D326,Products!$A$2:$F$61,6,FALSE()),"")</f>
        <v>1</v>
      </c>
      <c r="T326" t="str">
        <f>IF(COUNTIF(Customers!$A$2:$A$301,C326)=0,"Missing","OK")</f>
        <v>OK</v>
      </c>
      <c r="U326" t="str">
        <f t="shared" si="16"/>
        <v>Mumbai</v>
      </c>
      <c r="V326">
        <f t="shared" si="17"/>
        <v>0</v>
      </c>
    </row>
    <row r="327" spans="1:22" ht="15" customHeight="1" x14ac:dyDescent="0.35">
      <c r="A327" s="3" t="s">
        <v>647</v>
      </c>
      <c r="B327" s="4">
        <v>45542</v>
      </c>
      <c r="C327" s="3" t="s">
        <v>205</v>
      </c>
      <c r="D327" s="3" t="s">
        <v>24</v>
      </c>
      <c r="E327" s="3" t="s">
        <v>67</v>
      </c>
      <c r="F327" s="5">
        <v>6</v>
      </c>
      <c r="G327" s="5">
        <v>3620</v>
      </c>
      <c r="H327" s="5">
        <v>9.1999999999999993</v>
      </c>
      <c r="I327" s="5">
        <v>19721.759999999998</v>
      </c>
      <c r="J327" s="3" t="s">
        <v>26</v>
      </c>
      <c r="K327" s="3" t="s">
        <v>38</v>
      </c>
      <c r="L327" t="str">
        <f>IFERROR(VLOOKUP(D327,Products!$A$2:$F$61,3,FALSE()),"")</f>
        <v>Apparel</v>
      </c>
      <c r="M327" t="str">
        <f>IFERROR(VLOOKUP(E327,Sales_Reps!$A$2:$C$31,3,FALSE()),"")</f>
        <v>West</v>
      </c>
      <c r="N327">
        <f>IFERROR(VLOOKUP(D327,Products!$A$2:$F$61,4,FALSE()),"")</f>
        <v>2509</v>
      </c>
      <c r="O327" t="str">
        <f>IFERROR(VLOOKUP(C327,Customers!$A$2:$F$301,5,FALSE()),"")</f>
        <v>Corporate</v>
      </c>
      <c r="P327">
        <f>IFERROR(VLOOKUP(C327,Customers!$A$2:$F$301,3,FALSE()),"")</f>
        <v>55</v>
      </c>
      <c r="Q327">
        <f t="shared" si="15"/>
        <v>0.3069060773480663</v>
      </c>
      <c r="R327">
        <f>IF(AND(COUNTIF($A$2:$A$2047,A327)&gt;1,COUNTIF($A$2:A327,A327)=1),1,0)</f>
        <v>0</v>
      </c>
      <c r="S327" t="b">
        <f>IFERROR(VLOOKUP(D327,Products!$A$2:$F$61,6,FALSE()),"")</f>
        <v>1</v>
      </c>
      <c r="T327" t="str">
        <f>IF(COUNTIF(Customers!$A$2:$A$301,C327)=0,"Missing","OK")</f>
        <v>OK</v>
      </c>
      <c r="U327" t="str">
        <f t="shared" si="16"/>
        <v>Delhi</v>
      </c>
      <c r="V327">
        <f t="shared" si="17"/>
        <v>0</v>
      </c>
    </row>
    <row r="328" spans="1:22" ht="15" customHeight="1" x14ac:dyDescent="0.35">
      <c r="A328" s="3" t="s">
        <v>648</v>
      </c>
      <c r="B328" s="4">
        <v>45422</v>
      </c>
      <c r="C328" s="3" t="s">
        <v>393</v>
      </c>
      <c r="D328" s="3" t="s">
        <v>180</v>
      </c>
      <c r="E328" s="3" t="s">
        <v>78</v>
      </c>
      <c r="F328" s="5">
        <v>1</v>
      </c>
      <c r="G328" s="5">
        <v>6080</v>
      </c>
      <c r="H328" s="5">
        <v>29.4</v>
      </c>
      <c r="I328" s="5">
        <v>4292.4799999999996</v>
      </c>
      <c r="J328" s="3" t="s">
        <v>79</v>
      </c>
      <c r="K328" s="3" t="s">
        <v>72</v>
      </c>
      <c r="L328" t="str">
        <f>IFERROR(VLOOKUP(D328,Products!$A$2:$F$61,3,FALSE()),"")</f>
        <v>Beauty</v>
      </c>
      <c r="M328" t="str">
        <f>IFERROR(VLOOKUP(E328,Sales_Reps!$A$2:$C$31,3,FALSE()),"")</f>
        <v>North</v>
      </c>
      <c r="N328">
        <f>IFERROR(VLOOKUP(D328,Products!$A$2:$F$61,4,FALSE()),"")</f>
        <v>2617</v>
      </c>
      <c r="O328" t="str">
        <f>IFERROR(VLOOKUP(C328,Customers!$A$2:$F$301,5,FALSE()),"")</f>
        <v>Corporate</v>
      </c>
      <c r="P328">
        <f>IFERROR(VLOOKUP(C328,Customers!$A$2:$F$301,3,FALSE()),"")</f>
        <v>43</v>
      </c>
      <c r="Q328">
        <f t="shared" si="15"/>
        <v>0.56957236842105263</v>
      </c>
      <c r="R328">
        <f>IF(AND(COUNTIF($A$2:$A$2047,A328)&gt;1,COUNTIF($A$2:A328,A328)=1),1,0)</f>
        <v>0</v>
      </c>
      <c r="S328" t="b">
        <f>IFERROR(VLOOKUP(D328,Products!$A$2:$F$61,6,FALSE()),"")</f>
        <v>1</v>
      </c>
      <c r="T328" t="str">
        <f>IF(COUNTIF(Customers!$A$2:$A$301,C328)=0,"Missing","OK")</f>
        <v>OK</v>
      </c>
      <c r="U328" t="str">
        <f t="shared" si="16"/>
        <v>Hyderabad</v>
      </c>
      <c r="V328">
        <f t="shared" si="17"/>
        <v>0</v>
      </c>
    </row>
    <row r="329" spans="1:22" ht="15" customHeight="1" x14ac:dyDescent="0.35">
      <c r="A329" s="3" t="s">
        <v>649</v>
      </c>
      <c r="B329" s="4">
        <v>45343</v>
      </c>
      <c r="C329" s="3" t="s">
        <v>619</v>
      </c>
      <c r="D329" s="3" t="s">
        <v>30</v>
      </c>
      <c r="E329" s="3" t="s">
        <v>242</v>
      </c>
      <c r="F329" s="5">
        <v>6</v>
      </c>
      <c r="G329" s="5">
        <v>820</v>
      </c>
      <c r="H329" s="5">
        <v>29.1</v>
      </c>
      <c r="I329" s="5">
        <v>3488.28</v>
      </c>
      <c r="J329" s="3" t="s">
        <v>26</v>
      </c>
      <c r="K329" s="3" t="s">
        <v>33</v>
      </c>
      <c r="L329" t="str">
        <f>IFERROR(VLOOKUP(D329,Products!$A$2:$F$61,3,FALSE()),"")</f>
        <v>Apparel</v>
      </c>
      <c r="M329" t="str">
        <f>IFERROR(VLOOKUP(E329,Sales_Reps!$A$2:$C$31,3,FALSE()),"")</f>
        <v>East</v>
      </c>
      <c r="N329">
        <f>IFERROR(VLOOKUP(D329,Products!$A$2:$F$61,4,FALSE()),"")</f>
        <v>391</v>
      </c>
      <c r="O329" t="str">
        <f>IFERROR(VLOOKUP(C329,Customers!$A$2:$F$301,5,FALSE()),"")</f>
        <v>Retail</v>
      </c>
      <c r="P329">
        <f>IFERROR(VLOOKUP(C329,Customers!$A$2:$F$301,3,FALSE()),"")</f>
        <v>26</v>
      </c>
      <c r="Q329">
        <f t="shared" si="15"/>
        <v>0.52317073170731709</v>
      </c>
      <c r="R329">
        <f>IF(AND(COUNTIF($A$2:$A$2047,A329)&gt;1,COUNTIF($A$2:A329,A329)=1),1,0)</f>
        <v>0</v>
      </c>
      <c r="S329" t="b">
        <f>IFERROR(VLOOKUP(D329,Products!$A$2:$F$61,6,FALSE()),"")</f>
        <v>1</v>
      </c>
      <c r="T329" t="str">
        <f>IF(COUNTIF(Customers!$A$2:$A$301,C329)=0,"Missing","OK")</f>
        <v>OK</v>
      </c>
      <c r="U329" t="str">
        <f t="shared" si="16"/>
        <v>Chennai</v>
      </c>
      <c r="V329">
        <f t="shared" si="17"/>
        <v>0</v>
      </c>
    </row>
    <row r="330" spans="1:22" ht="15" customHeight="1" x14ac:dyDescent="0.35">
      <c r="A330" s="3" t="s">
        <v>650</v>
      </c>
      <c r="B330" s="4">
        <v>45646</v>
      </c>
      <c r="C330" s="3" t="s">
        <v>651</v>
      </c>
      <c r="D330" s="3" t="s">
        <v>215</v>
      </c>
      <c r="E330" s="3" t="s">
        <v>55</v>
      </c>
      <c r="F330" s="5">
        <v>9</v>
      </c>
      <c r="G330" s="5">
        <v>3020</v>
      </c>
      <c r="H330" s="5">
        <v>7.9</v>
      </c>
      <c r="I330" s="5">
        <v>25032.78</v>
      </c>
      <c r="J330" s="3" t="s">
        <v>26</v>
      </c>
      <c r="K330" s="3" t="s">
        <v>51</v>
      </c>
      <c r="L330" t="str">
        <f>IFERROR(VLOOKUP(D330,Products!$A$2:$F$61,3,FALSE()),"")</f>
        <v>Beauty</v>
      </c>
      <c r="M330" t="str">
        <f>IFERROR(VLOOKUP(E330,Sales_Reps!$A$2:$C$31,3,FALSE()),"")</f>
        <v>West</v>
      </c>
      <c r="N330">
        <f>IFERROR(VLOOKUP(D330,Products!$A$2:$F$61,4,FALSE()),"")</f>
        <v>1626</v>
      </c>
      <c r="O330" t="str">
        <f>IFERROR(VLOOKUP(C330,Customers!$A$2:$F$301,5,FALSE()),"")</f>
        <v>Corporate</v>
      </c>
      <c r="P330">
        <f>IFERROR(VLOOKUP(C330,Customers!$A$2:$F$301,3,FALSE()),"")</f>
        <v>51</v>
      </c>
      <c r="Q330">
        <f t="shared" si="15"/>
        <v>0.46158940397350995</v>
      </c>
      <c r="R330">
        <f>IF(AND(COUNTIF($A$2:$A$2047,A330)&gt;1,COUNTIF($A$2:A330,A330)=1),1,0)</f>
        <v>0</v>
      </c>
      <c r="S330" t="b">
        <f>IFERROR(VLOOKUP(D330,Products!$A$2:$F$61,6,FALSE()),"")</f>
        <v>1</v>
      </c>
      <c r="T330" t="str">
        <f>IF(COUNTIF(Customers!$A$2:$A$301,C330)=0,"Missing","OK")</f>
        <v>OK</v>
      </c>
      <c r="U330" t="str">
        <f t="shared" si="16"/>
        <v>Mumbai</v>
      </c>
      <c r="V330">
        <f t="shared" si="17"/>
        <v>0</v>
      </c>
    </row>
    <row r="331" spans="1:22" ht="15" customHeight="1" x14ac:dyDescent="0.35">
      <c r="A331" s="3" t="s">
        <v>652</v>
      </c>
      <c r="B331" s="4">
        <v>45645</v>
      </c>
      <c r="C331" s="3" t="s">
        <v>653</v>
      </c>
      <c r="D331" s="3" t="s">
        <v>187</v>
      </c>
      <c r="E331" s="3" t="s">
        <v>168</v>
      </c>
      <c r="F331" s="5">
        <v>8</v>
      </c>
      <c r="G331" s="5">
        <v>3870</v>
      </c>
      <c r="H331" s="5">
        <v>11.9</v>
      </c>
      <c r="I331" s="5">
        <v>27275.759999999998</v>
      </c>
      <c r="J331" s="3" t="s">
        <v>26</v>
      </c>
      <c r="K331" s="3" t="s">
        <v>38</v>
      </c>
      <c r="L331" t="str">
        <f>IFERROR(VLOOKUP(D331,Products!$A$2:$F$61,3,FALSE()),"")</f>
        <v>Electronics</v>
      </c>
      <c r="M331" t="str">
        <f>IFERROR(VLOOKUP(E331,Sales_Reps!$A$2:$C$31,3,FALSE()),"")</f>
        <v>West</v>
      </c>
      <c r="N331">
        <f>IFERROR(VLOOKUP(D331,Products!$A$2:$F$61,4,FALSE()),"")</f>
        <v>1559</v>
      </c>
      <c r="O331" t="str">
        <f>IFERROR(VLOOKUP(C331,Customers!$A$2:$F$301,5,FALSE()),"")</f>
        <v>Retail</v>
      </c>
      <c r="P331">
        <f>IFERROR(VLOOKUP(C331,Customers!$A$2:$F$301,3,FALSE()),"")</f>
        <v>24</v>
      </c>
      <c r="Q331">
        <f t="shared" si="15"/>
        <v>0.59715762273901807</v>
      </c>
      <c r="R331">
        <f>IF(AND(COUNTIF($A$2:$A$2047,A331)&gt;1,COUNTIF($A$2:A331,A331)=1),1,0)</f>
        <v>0</v>
      </c>
      <c r="S331" t="b">
        <f>IFERROR(VLOOKUP(D331,Products!$A$2:$F$61,6,FALSE()),"")</f>
        <v>1</v>
      </c>
      <c r="T331" t="str">
        <f>IF(COUNTIF(Customers!$A$2:$A$301,C331)=0,"Missing","OK")</f>
        <v>OK</v>
      </c>
      <c r="U331" t="str">
        <f t="shared" si="16"/>
        <v>Delhi</v>
      </c>
      <c r="V331">
        <f t="shared" si="17"/>
        <v>0</v>
      </c>
    </row>
    <row r="332" spans="1:22" ht="15" customHeight="1" x14ac:dyDescent="0.35">
      <c r="A332" s="3" t="s">
        <v>654</v>
      </c>
      <c r="B332" s="4">
        <v>45528</v>
      </c>
      <c r="C332" s="3" t="s">
        <v>379</v>
      </c>
      <c r="D332" s="3" t="s">
        <v>96</v>
      </c>
      <c r="E332" s="3" t="s">
        <v>109</v>
      </c>
      <c r="F332" s="5">
        <v>6</v>
      </c>
      <c r="G332" s="5">
        <v>3450</v>
      </c>
      <c r="H332" s="5">
        <v>13.9</v>
      </c>
      <c r="I332" s="5">
        <v>17822.7</v>
      </c>
      <c r="J332" s="3" t="s">
        <v>26</v>
      </c>
      <c r="K332" s="3" t="s">
        <v>27</v>
      </c>
      <c r="L332" t="str">
        <f>IFERROR(VLOOKUP(D332,Products!$A$2:$F$61,3,FALSE()),"")</f>
        <v>Beauty</v>
      </c>
      <c r="M332" t="str">
        <f>IFERROR(VLOOKUP(E332,Sales_Reps!$A$2:$C$31,3,FALSE()),"")</f>
        <v>West</v>
      </c>
      <c r="N332">
        <f>IFERROR(VLOOKUP(D332,Products!$A$2:$F$61,4,FALSE()),"")</f>
        <v>2420</v>
      </c>
      <c r="O332" t="str">
        <f>IFERROR(VLOOKUP(C332,Customers!$A$2:$F$301,5,FALSE()),"")</f>
        <v>SMB</v>
      </c>
      <c r="P332">
        <f>IFERROR(VLOOKUP(C332,Customers!$A$2:$F$301,3,FALSE()),"")</f>
        <v>30</v>
      </c>
      <c r="Q332">
        <f t="shared" si="15"/>
        <v>0.29855072463768118</v>
      </c>
      <c r="R332">
        <f>IF(AND(COUNTIF($A$2:$A$2047,A332)&gt;1,COUNTIF($A$2:A332,A332)=1),1,0)</f>
        <v>0</v>
      </c>
      <c r="S332" t="b">
        <f>IFERROR(VLOOKUP(D332,Products!$A$2:$F$61,6,FALSE()),"")</f>
        <v>1</v>
      </c>
      <c r="T332" t="str">
        <f>IF(COUNTIF(Customers!$A$2:$A$301,C332)=0,"Missing","OK")</f>
        <v>OK</v>
      </c>
      <c r="U332" t="str">
        <f t="shared" si="16"/>
        <v>Pune</v>
      </c>
      <c r="V332">
        <f t="shared" si="17"/>
        <v>0</v>
      </c>
    </row>
    <row r="333" spans="1:22" ht="15" customHeight="1" x14ac:dyDescent="0.35">
      <c r="A333" s="3" t="s">
        <v>655</v>
      </c>
      <c r="B333" s="4">
        <v>45655</v>
      </c>
      <c r="C333" s="3" t="s">
        <v>656</v>
      </c>
      <c r="D333" s="3" t="s">
        <v>130</v>
      </c>
      <c r="E333" s="3" t="s">
        <v>46</v>
      </c>
      <c r="F333" s="5">
        <v>9</v>
      </c>
      <c r="G333" s="5">
        <v>5100</v>
      </c>
      <c r="H333" s="5">
        <v>2.1</v>
      </c>
      <c r="I333" s="5">
        <v>44936.1</v>
      </c>
      <c r="J333" s="3" t="s">
        <v>26</v>
      </c>
      <c r="K333" s="3" t="s">
        <v>33</v>
      </c>
      <c r="L333" t="str">
        <f>IFERROR(VLOOKUP(D333,Products!$A$2:$F$61,3,FALSE()),"")</f>
        <v>Beauty</v>
      </c>
      <c r="M333" t="str">
        <f>IFERROR(VLOOKUP(E333,Sales_Reps!$A$2:$C$31,3,FALSE()),"")</f>
        <v>North</v>
      </c>
      <c r="N333">
        <f>IFERROR(VLOOKUP(D333,Products!$A$2:$F$61,4,FALSE()),"")</f>
        <v>2237</v>
      </c>
      <c r="O333" t="str">
        <f>IFERROR(VLOOKUP(C333,Customers!$A$2:$F$301,5,FALSE()),"")</f>
        <v>Retail</v>
      </c>
      <c r="P333">
        <f>IFERROR(VLOOKUP(C333,Customers!$A$2:$F$301,3,FALSE()),"")</f>
        <v>24</v>
      </c>
      <c r="Q333">
        <f t="shared" si="15"/>
        <v>0.56137254901960787</v>
      </c>
      <c r="R333">
        <f>IF(AND(COUNTIF($A$2:$A$2047,A333)&gt;1,COUNTIF($A$2:A333,A333)=1),1,0)</f>
        <v>0</v>
      </c>
      <c r="S333" t="b">
        <f>IFERROR(VLOOKUP(D333,Products!$A$2:$F$61,6,FALSE()),"")</f>
        <v>1</v>
      </c>
      <c r="T333" t="str">
        <f>IF(COUNTIF(Customers!$A$2:$A$301,C333)=0,"Missing","OK")</f>
        <v>OK</v>
      </c>
      <c r="U333" t="str">
        <f t="shared" si="16"/>
        <v>Chennai</v>
      </c>
      <c r="V333">
        <f t="shared" si="17"/>
        <v>0</v>
      </c>
    </row>
    <row r="334" spans="1:22" ht="15" customHeight="1" x14ac:dyDescent="0.35">
      <c r="A334" s="3" t="s">
        <v>657</v>
      </c>
      <c r="B334" s="4">
        <v>45518</v>
      </c>
      <c r="C334" s="3" t="s">
        <v>338</v>
      </c>
      <c r="D334" s="3" t="s">
        <v>203</v>
      </c>
      <c r="E334" s="3" t="s">
        <v>46</v>
      </c>
      <c r="F334" s="5">
        <v>2</v>
      </c>
      <c r="G334" s="5">
        <v>4070</v>
      </c>
      <c r="H334" s="5">
        <v>28.6</v>
      </c>
      <c r="I334" s="5">
        <v>5811.96</v>
      </c>
      <c r="J334" s="3" t="s">
        <v>26</v>
      </c>
      <c r="K334" s="3" t="s">
        <v>38</v>
      </c>
      <c r="L334" t="str">
        <f>IFERROR(VLOOKUP(D334,Products!$A$2:$F$61,3,FALSE()),"")</f>
        <v>Grocery</v>
      </c>
      <c r="M334" t="str">
        <f>IFERROR(VLOOKUP(E334,Sales_Reps!$A$2:$C$31,3,FALSE()),"")</f>
        <v>North</v>
      </c>
      <c r="N334">
        <f>IFERROR(VLOOKUP(D334,Products!$A$2:$F$61,4,FALSE()),"")</f>
        <v>2027</v>
      </c>
      <c r="O334" t="str">
        <f>IFERROR(VLOOKUP(C334,Customers!$A$2:$F$301,5,FALSE()),"")</f>
        <v>SMB</v>
      </c>
      <c r="P334">
        <f>IFERROR(VLOOKUP(C334,Customers!$A$2:$F$301,3,FALSE()),"")</f>
        <v>53</v>
      </c>
      <c r="Q334">
        <f t="shared" si="15"/>
        <v>0.50196560196560192</v>
      </c>
      <c r="R334">
        <f>IF(AND(COUNTIF($A$2:$A$2047,A334)&gt;1,COUNTIF($A$2:A334,A334)=1),1,0)</f>
        <v>0</v>
      </c>
      <c r="S334" t="b">
        <f>IFERROR(VLOOKUP(D334,Products!$A$2:$F$61,6,FALSE()),"")</f>
        <v>1</v>
      </c>
      <c r="T334" t="str">
        <f>IF(COUNTIF(Customers!$A$2:$A$301,C334)=0,"Missing","OK")</f>
        <v>OK</v>
      </c>
      <c r="U334" t="str">
        <f t="shared" si="16"/>
        <v>Delhi</v>
      </c>
      <c r="V334">
        <f t="shared" si="17"/>
        <v>0</v>
      </c>
    </row>
    <row r="335" spans="1:22" ht="15" customHeight="1" x14ac:dyDescent="0.35">
      <c r="A335" s="3" t="s">
        <v>658</v>
      </c>
      <c r="B335" s="4">
        <v>45339</v>
      </c>
      <c r="C335" s="3" t="s">
        <v>615</v>
      </c>
      <c r="D335" s="3" t="s">
        <v>303</v>
      </c>
      <c r="E335" s="3" t="s">
        <v>25</v>
      </c>
      <c r="F335" s="5">
        <v>9</v>
      </c>
      <c r="G335" s="5">
        <v>5330</v>
      </c>
      <c r="H335" s="5">
        <v>6.2</v>
      </c>
      <c r="I335" s="5">
        <v>44995.86</v>
      </c>
      <c r="J335" s="3" t="s">
        <v>26</v>
      </c>
      <c r="K335" s="3" t="s">
        <v>27</v>
      </c>
      <c r="L335" t="str">
        <f>IFERROR(VLOOKUP(D335,Products!$A$2:$F$61,3,FALSE()),"")</f>
        <v>Electronics</v>
      </c>
      <c r="M335" t="str">
        <f>IFERROR(VLOOKUP(E335,Sales_Reps!$A$2:$C$31,3,FALSE()),"")</f>
        <v>North</v>
      </c>
      <c r="N335">
        <f>IFERROR(VLOOKUP(D335,Products!$A$2:$F$61,4,FALSE()),"")</f>
        <v>2405</v>
      </c>
      <c r="O335" t="str">
        <f>IFERROR(VLOOKUP(C335,Customers!$A$2:$F$301,5,FALSE()),"")</f>
        <v>SMB</v>
      </c>
      <c r="P335">
        <f>IFERROR(VLOOKUP(C335,Customers!$A$2:$F$301,3,FALSE()),"")</f>
        <v>35</v>
      </c>
      <c r="Q335">
        <f t="shared" si="15"/>
        <v>0.54878048780487809</v>
      </c>
      <c r="R335">
        <f>IF(AND(COUNTIF($A$2:$A$2047,A335)&gt;1,COUNTIF($A$2:A335,A335)=1),1,0)</f>
        <v>0</v>
      </c>
      <c r="S335" t="b">
        <f>IFERROR(VLOOKUP(D335,Products!$A$2:$F$61,6,FALSE()),"")</f>
        <v>1</v>
      </c>
      <c r="T335" t="str">
        <f>IF(COUNTIF(Customers!$A$2:$A$301,C335)=0,"Missing","OK")</f>
        <v>OK</v>
      </c>
      <c r="U335" t="str">
        <f t="shared" si="16"/>
        <v>Pune</v>
      </c>
      <c r="V335">
        <f t="shared" si="17"/>
        <v>0</v>
      </c>
    </row>
    <row r="336" spans="1:22" ht="15" customHeight="1" x14ac:dyDescent="0.35">
      <c r="A336" s="3" t="s">
        <v>602</v>
      </c>
      <c r="B336" s="4">
        <v>45319</v>
      </c>
      <c r="C336" s="3" t="s">
        <v>659</v>
      </c>
      <c r="D336" s="3" t="s">
        <v>70</v>
      </c>
      <c r="E336" s="3" t="s">
        <v>131</v>
      </c>
      <c r="F336" s="5">
        <v>6</v>
      </c>
      <c r="G336" s="5">
        <v>2270</v>
      </c>
      <c r="H336" s="5">
        <v>23.7</v>
      </c>
      <c r="I336" s="5">
        <v>10392.06</v>
      </c>
      <c r="J336" s="3" t="s">
        <v>26</v>
      </c>
      <c r="K336" s="3" t="s">
        <v>660</v>
      </c>
      <c r="L336" t="str">
        <f>IFERROR(VLOOKUP(D336,Products!$A$2:$F$61,3,FALSE()),"")</f>
        <v>Grocery</v>
      </c>
      <c r="M336" t="str">
        <f>IFERROR(VLOOKUP(E336,Sales_Reps!$A$2:$C$31,3,FALSE()),"")</f>
        <v>East</v>
      </c>
      <c r="N336">
        <f>IFERROR(VLOOKUP(D336,Products!$A$2:$F$61,4,FALSE()),"")</f>
        <v>1203</v>
      </c>
      <c r="O336" t="str">
        <f>IFERROR(VLOOKUP(C336,Customers!$A$2:$F$301,5,FALSE()),"")</f>
        <v>Retail</v>
      </c>
      <c r="P336">
        <f>IFERROR(VLOOKUP(C336,Customers!$A$2:$F$301,3,FALSE()),"")</f>
        <v>48</v>
      </c>
      <c r="Q336">
        <f t="shared" si="15"/>
        <v>0.47004405286343615</v>
      </c>
      <c r="R336">
        <f>IF(AND(COUNTIF($A$2:$A$2047,A336)&gt;1,COUNTIF($A$2:A336,A336)=1),1,0)</f>
        <v>0</v>
      </c>
      <c r="S336" t="b">
        <f>IFERROR(VLOOKUP(D336,Products!$A$2:$F$61,6,FALSE()),"")</f>
        <v>1</v>
      </c>
      <c r="T336" t="str">
        <f>IF(COUNTIF(Customers!$A$2:$A$301,C336)=0,"Missing","OK")</f>
        <v>OK</v>
      </c>
      <c r="U336" t="str">
        <f t="shared" si="16"/>
        <v>Pune</v>
      </c>
      <c r="V336">
        <f t="shared" si="17"/>
        <v>0</v>
      </c>
    </row>
    <row r="337" spans="1:22" ht="15" customHeight="1" x14ac:dyDescent="0.35">
      <c r="A337" s="3" t="s">
        <v>661</v>
      </c>
      <c r="B337" s="4">
        <v>45618</v>
      </c>
      <c r="C337" s="3" t="s">
        <v>81</v>
      </c>
      <c r="D337" s="3" t="s">
        <v>294</v>
      </c>
      <c r="E337" s="3" t="s">
        <v>55</v>
      </c>
      <c r="F337" s="5">
        <v>5</v>
      </c>
      <c r="G337" s="5">
        <v>2510</v>
      </c>
      <c r="H337" s="5">
        <v>25</v>
      </c>
      <c r="I337" s="5">
        <v>9412.5</v>
      </c>
      <c r="J337" s="3" t="s">
        <v>26</v>
      </c>
      <c r="K337" s="3" t="s">
        <v>27</v>
      </c>
      <c r="L337" t="str">
        <f>IFERROR(VLOOKUP(D337,Products!$A$2:$F$61,3,FALSE()),"")</f>
        <v>Apparel</v>
      </c>
      <c r="M337" t="str">
        <f>IFERROR(VLOOKUP(E337,Sales_Reps!$A$2:$C$31,3,FALSE()),"")</f>
        <v>West</v>
      </c>
      <c r="N337">
        <f>IFERROR(VLOOKUP(D337,Products!$A$2:$F$61,4,FALSE()),"")</f>
        <v>1075</v>
      </c>
      <c r="O337" t="str">
        <f>IFERROR(VLOOKUP(C337,Customers!$A$2:$F$301,5,FALSE()),"")</f>
        <v>SMB</v>
      </c>
      <c r="P337">
        <f>IFERROR(VLOOKUP(C337,Customers!$A$2:$F$301,3,FALSE()),"")</f>
        <v>39</v>
      </c>
      <c r="Q337">
        <f t="shared" si="15"/>
        <v>0.57171314741035861</v>
      </c>
      <c r="R337">
        <f>IF(AND(COUNTIF($A$2:$A$2047,A337)&gt;1,COUNTIF($A$2:A337,A337)=1),1,0)</f>
        <v>0</v>
      </c>
      <c r="S337" t="b">
        <f>IFERROR(VLOOKUP(D337,Products!$A$2:$F$61,6,FALSE()),"")</f>
        <v>0</v>
      </c>
      <c r="T337" t="str">
        <f>IF(COUNTIF(Customers!$A$2:$A$301,C337)=0,"Missing","OK")</f>
        <v>OK</v>
      </c>
      <c r="U337" t="str">
        <f t="shared" si="16"/>
        <v>Pune</v>
      </c>
      <c r="V337">
        <f t="shared" si="17"/>
        <v>0</v>
      </c>
    </row>
    <row r="338" spans="1:22" ht="15" customHeight="1" x14ac:dyDescent="0.35">
      <c r="A338" s="3" t="s">
        <v>662</v>
      </c>
      <c r="B338" s="4">
        <v>45335</v>
      </c>
      <c r="C338" s="3" t="s">
        <v>565</v>
      </c>
      <c r="D338" s="3" t="s">
        <v>306</v>
      </c>
      <c r="E338" s="3" t="s">
        <v>60</v>
      </c>
      <c r="F338" s="5">
        <v>9</v>
      </c>
      <c r="G338" s="5">
        <v>2380</v>
      </c>
      <c r="H338" s="5">
        <v>16.8</v>
      </c>
      <c r="I338" s="5">
        <v>17821.439999999999</v>
      </c>
      <c r="J338" s="3" t="s">
        <v>26</v>
      </c>
      <c r="K338" s="3" t="s">
        <v>38</v>
      </c>
      <c r="L338" t="str">
        <f>IFERROR(VLOOKUP(D338,Products!$A$2:$F$61,3,FALSE()),"")</f>
        <v>Grocery</v>
      </c>
      <c r="M338" t="str">
        <f>IFERROR(VLOOKUP(E338,Sales_Reps!$A$2:$C$31,3,FALSE()),"")</f>
        <v>East</v>
      </c>
      <c r="N338">
        <f>IFERROR(VLOOKUP(D338,Products!$A$2:$F$61,4,FALSE()),"")</f>
        <v>1182</v>
      </c>
      <c r="O338" t="str">
        <f>IFERROR(VLOOKUP(C338,Customers!$A$2:$F$301,5,FALSE()),"")</f>
        <v>Retail</v>
      </c>
      <c r="P338">
        <f>IFERROR(VLOOKUP(C338,Customers!$A$2:$F$301,3,FALSE()),"")</f>
        <v>40</v>
      </c>
      <c r="Q338">
        <f t="shared" si="15"/>
        <v>0.50336134453781511</v>
      </c>
      <c r="R338">
        <f>IF(AND(COUNTIF($A$2:$A$2047,A338)&gt;1,COUNTIF($A$2:A338,A338)=1),1,0)</f>
        <v>0</v>
      </c>
      <c r="S338" t="b">
        <f>IFERROR(VLOOKUP(D338,Products!$A$2:$F$61,6,FALSE()),"")</f>
        <v>1</v>
      </c>
      <c r="T338" t="str">
        <f>IF(COUNTIF(Customers!$A$2:$A$301,C338)=0,"Missing","OK")</f>
        <v>OK</v>
      </c>
      <c r="U338" t="str">
        <f t="shared" si="16"/>
        <v>Delhi</v>
      </c>
      <c r="V338">
        <f t="shared" si="17"/>
        <v>0</v>
      </c>
    </row>
    <row r="339" spans="1:22" ht="15" customHeight="1" x14ac:dyDescent="0.35">
      <c r="A339" s="3" t="s">
        <v>663</v>
      </c>
      <c r="B339" s="4">
        <v>45420</v>
      </c>
      <c r="C339" s="3" t="s">
        <v>664</v>
      </c>
      <c r="D339" s="3" t="s">
        <v>391</v>
      </c>
      <c r="E339" s="3" t="s">
        <v>46</v>
      </c>
      <c r="F339" s="5">
        <v>1</v>
      </c>
      <c r="G339" s="5">
        <v>3450</v>
      </c>
      <c r="H339" s="5">
        <v>1.5</v>
      </c>
      <c r="I339" s="5">
        <v>3398.25</v>
      </c>
      <c r="J339" s="3" t="s">
        <v>83</v>
      </c>
      <c r="K339" s="3" t="s">
        <v>38</v>
      </c>
      <c r="L339" t="str">
        <f>IFERROR(VLOOKUP(D339,Products!$A$2:$F$61,3,FALSE()),"")</f>
        <v>Apparel</v>
      </c>
      <c r="M339" t="str">
        <f>IFERROR(VLOOKUP(E339,Sales_Reps!$A$2:$C$31,3,FALSE()),"")</f>
        <v>North</v>
      </c>
      <c r="N339">
        <f>IFERROR(VLOOKUP(D339,Products!$A$2:$F$61,4,FALSE()),"")</f>
        <v>1748</v>
      </c>
      <c r="O339" t="str">
        <f>IFERROR(VLOOKUP(C339,Customers!$A$2:$F$301,5,FALSE()),"")</f>
        <v>SMB</v>
      </c>
      <c r="P339">
        <f>IFERROR(VLOOKUP(C339,Customers!$A$2:$F$301,3,FALSE()),"")</f>
        <v>26</v>
      </c>
      <c r="Q339">
        <f t="shared" si="15"/>
        <v>0.49333333333333335</v>
      </c>
      <c r="R339">
        <f>IF(AND(COUNTIF($A$2:$A$2047,A339)&gt;1,COUNTIF($A$2:A339,A339)=1),1,0)</f>
        <v>0</v>
      </c>
      <c r="S339" t="b">
        <f>IFERROR(VLOOKUP(D339,Products!$A$2:$F$61,6,FALSE()),"")</f>
        <v>1</v>
      </c>
      <c r="T339" t="str">
        <f>IF(COUNTIF(Customers!$A$2:$A$301,C339)=0,"Missing","OK")</f>
        <v>OK</v>
      </c>
      <c r="U339" t="str">
        <f t="shared" si="16"/>
        <v>Delhi</v>
      </c>
      <c r="V339">
        <f t="shared" si="17"/>
        <v>0</v>
      </c>
    </row>
    <row r="340" spans="1:22" ht="15" customHeight="1" x14ac:dyDescent="0.35">
      <c r="A340" s="3" t="s">
        <v>665</v>
      </c>
      <c r="B340" s="4">
        <v>45295</v>
      </c>
      <c r="C340" s="3" t="s">
        <v>58</v>
      </c>
      <c r="D340" s="3" t="s">
        <v>126</v>
      </c>
      <c r="E340" s="3" t="s">
        <v>236</v>
      </c>
      <c r="F340" s="5">
        <v>5</v>
      </c>
      <c r="G340" s="5">
        <v>3570</v>
      </c>
      <c r="H340" s="5">
        <v>12.8</v>
      </c>
      <c r="I340" s="5">
        <v>15565.2</v>
      </c>
      <c r="J340" s="3" t="s">
        <v>26</v>
      </c>
      <c r="K340" s="3" t="s">
        <v>56</v>
      </c>
      <c r="L340" t="str">
        <f>IFERROR(VLOOKUP(D340,Products!$A$2:$F$61,3,FALSE()),"")</f>
        <v>Electronics</v>
      </c>
      <c r="M340" t="str">
        <f>IFERROR(VLOOKUP(E340,Sales_Reps!$A$2:$C$31,3,FALSE()),"")</f>
        <v>North</v>
      </c>
      <c r="N340">
        <f>IFERROR(VLOOKUP(D340,Products!$A$2:$F$61,4,FALSE()),"")</f>
        <v>1665</v>
      </c>
      <c r="O340" t="str">
        <f>IFERROR(VLOOKUP(C340,Customers!$A$2:$F$301,5,FALSE()),"")</f>
        <v>Corporate</v>
      </c>
      <c r="P340">
        <f>IFERROR(VLOOKUP(C340,Customers!$A$2:$F$301,3,FALSE()),"")</f>
        <v>57</v>
      </c>
      <c r="Q340">
        <f t="shared" si="15"/>
        <v>0.53361344537815125</v>
      </c>
      <c r="R340">
        <f>IF(AND(COUNTIF($A$2:$A$2047,A340)&gt;1,COUNTIF($A$2:A340,A340)=1),1,0)</f>
        <v>0</v>
      </c>
      <c r="S340" t="b">
        <f>IFERROR(VLOOKUP(D340,Products!$A$2:$F$61,6,FALSE()),"")</f>
        <v>1</v>
      </c>
      <c r="T340" t="str">
        <f>IF(COUNTIF(Customers!$A$2:$A$301,C340)=0,"Missing","OK")</f>
        <v>OK</v>
      </c>
      <c r="U340" t="str">
        <f t="shared" si="16"/>
        <v>Bengaluru</v>
      </c>
      <c r="V340">
        <f t="shared" si="17"/>
        <v>0</v>
      </c>
    </row>
    <row r="341" spans="1:22" ht="15" customHeight="1" x14ac:dyDescent="0.35">
      <c r="A341" s="3" t="s">
        <v>666</v>
      </c>
      <c r="B341" s="4">
        <v>45590</v>
      </c>
      <c r="C341" s="3" t="s">
        <v>195</v>
      </c>
      <c r="D341" s="3" t="s">
        <v>303</v>
      </c>
      <c r="E341" s="3" t="s">
        <v>168</v>
      </c>
      <c r="F341" s="5">
        <v>3</v>
      </c>
      <c r="G341" s="5">
        <v>5330</v>
      </c>
      <c r="H341" s="5">
        <v>16.2</v>
      </c>
      <c r="I341" s="5">
        <v>13399.62</v>
      </c>
      <c r="J341" s="3" t="s">
        <v>26</v>
      </c>
      <c r="K341" s="3" t="s">
        <v>72</v>
      </c>
      <c r="L341" t="str">
        <f>IFERROR(VLOOKUP(D341,Products!$A$2:$F$61,3,FALSE()),"")</f>
        <v>Electronics</v>
      </c>
      <c r="M341" t="str">
        <f>IFERROR(VLOOKUP(E341,Sales_Reps!$A$2:$C$31,3,FALSE()),"")</f>
        <v>West</v>
      </c>
      <c r="N341">
        <f>IFERROR(VLOOKUP(D341,Products!$A$2:$F$61,4,FALSE()),"")</f>
        <v>2405</v>
      </c>
      <c r="O341" t="str">
        <f>IFERROR(VLOOKUP(C341,Customers!$A$2:$F$301,5,FALSE()),"")</f>
        <v>Retail</v>
      </c>
      <c r="P341">
        <f>IFERROR(VLOOKUP(C341,Customers!$A$2:$F$301,3,FALSE()),"")</f>
        <v>27</v>
      </c>
      <c r="Q341">
        <f t="shared" si="15"/>
        <v>0.54878048780487809</v>
      </c>
      <c r="R341">
        <f>IF(AND(COUNTIF($A$2:$A$2047,A341)&gt;1,COUNTIF($A$2:A341,A341)=1),1,0)</f>
        <v>0</v>
      </c>
      <c r="S341" t="b">
        <f>IFERROR(VLOOKUP(D341,Products!$A$2:$F$61,6,FALSE()),"")</f>
        <v>1</v>
      </c>
      <c r="T341" t="str">
        <f>IF(COUNTIF(Customers!$A$2:$A$301,C341)=0,"Missing","OK")</f>
        <v>OK</v>
      </c>
      <c r="U341" t="str">
        <f t="shared" si="16"/>
        <v>Hyderabad</v>
      </c>
      <c r="V341">
        <f t="shared" si="17"/>
        <v>0</v>
      </c>
    </row>
    <row r="342" spans="1:22" ht="15" customHeight="1" x14ac:dyDescent="0.35">
      <c r="A342" s="3" t="s">
        <v>667</v>
      </c>
      <c r="B342" s="4">
        <v>45341</v>
      </c>
      <c r="C342" s="3" t="s">
        <v>668</v>
      </c>
      <c r="D342" s="3" t="s">
        <v>41</v>
      </c>
      <c r="E342" s="3" t="s">
        <v>282</v>
      </c>
      <c r="F342" s="5">
        <v>3</v>
      </c>
      <c r="G342" s="5">
        <v>3660</v>
      </c>
      <c r="H342" s="5">
        <v>25.3</v>
      </c>
      <c r="I342" s="5">
        <v>8202.06</v>
      </c>
      <c r="J342" s="3" t="s">
        <v>26</v>
      </c>
      <c r="K342" s="3" t="s">
        <v>51</v>
      </c>
      <c r="L342" t="str">
        <f>IFERROR(VLOOKUP(D342,Products!$A$2:$F$61,3,FALSE()),"")</f>
        <v>Grocery</v>
      </c>
      <c r="M342" t="str">
        <f>IFERROR(VLOOKUP(E342,Sales_Reps!$A$2:$C$31,3,FALSE()),"")</f>
        <v>West</v>
      </c>
      <c r="N342">
        <f>IFERROR(VLOOKUP(D342,Products!$A$2:$F$61,4,FALSE()),"")</f>
        <v>2214</v>
      </c>
      <c r="O342" t="str">
        <f>IFERROR(VLOOKUP(C342,Customers!$A$2:$F$301,5,FALSE()),"")</f>
        <v>Retail</v>
      </c>
      <c r="P342">
        <f>IFERROR(VLOOKUP(C342,Customers!$A$2:$F$301,3,FALSE()),"")</f>
        <v>56</v>
      </c>
      <c r="Q342">
        <f t="shared" si="15"/>
        <v>0.39508196721311473</v>
      </c>
      <c r="R342">
        <f>IF(AND(COUNTIF($A$2:$A$2047,A342)&gt;1,COUNTIF($A$2:A342,A342)=1),1,0)</f>
        <v>0</v>
      </c>
      <c r="S342" t="b">
        <f>IFERROR(VLOOKUP(D342,Products!$A$2:$F$61,6,FALSE()),"")</f>
        <v>0</v>
      </c>
      <c r="T342" t="str">
        <f>IF(COUNTIF(Customers!$A$2:$A$301,C342)=0,"Missing","OK")</f>
        <v>OK</v>
      </c>
      <c r="U342" t="str">
        <f t="shared" si="16"/>
        <v>Mumbai</v>
      </c>
      <c r="V342">
        <f t="shared" si="17"/>
        <v>0</v>
      </c>
    </row>
    <row r="343" spans="1:22" ht="15" customHeight="1" x14ac:dyDescent="0.35">
      <c r="A343" s="3" t="s">
        <v>669</v>
      </c>
      <c r="B343" s="4">
        <v>45600</v>
      </c>
      <c r="C343" s="3" t="s">
        <v>612</v>
      </c>
      <c r="D343" s="3" t="s">
        <v>121</v>
      </c>
      <c r="E343" s="3" t="s">
        <v>127</v>
      </c>
      <c r="F343" s="5">
        <v>2</v>
      </c>
      <c r="G343" s="5">
        <v>1010</v>
      </c>
      <c r="H343" s="5">
        <v>29.2</v>
      </c>
      <c r="I343" s="5">
        <v>1430.16</v>
      </c>
      <c r="J343" s="3" t="s">
        <v>26</v>
      </c>
      <c r="K343" s="3" t="s">
        <v>51</v>
      </c>
      <c r="L343" t="str">
        <f>IFERROR(VLOOKUP(D343,Products!$A$2:$F$61,3,FALSE()),"")</f>
        <v>Sports</v>
      </c>
      <c r="M343" t="str">
        <f>IFERROR(VLOOKUP(E343,Sales_Reps!$A$2:$C$31,3,FALSE()),"")</f>
        <v>South</v>
      </c>
      <c r="N343">
        <f>IFERROR(VLOOKUP(D343,Products!$A$2:$F$61,4,FALSE()),"")</f>
        <v>516</v>
      </c>
      <c r="O343" t="str">
        <f>IFERROR(VLOOKUP(C343,Customers!$A$2:$F$301,5,FALSE()),"")</f>
        <v>Retail</v>
      </c>
      <c r="P343">
        <f>IFERROR(VLOOKUP(C343,Customers!$A$2:$F$301,3,FALSE()),"")</f>
        <v>35</v>
      </c>
      <c r="Q343">
        <f t="shared" si="15"/>
        <v>0.4891089108910891</v>
      </c>
      <c r="R343">
        <f>IF(AND(COUNTIF($A$2:$A$2047,A343)&gt;1,COUNTIF($A$2:A343,A343)=1),1,0)</f>
        <v>0</v>
      </c>
      <c r="S343" t="b">
        <f>IFERROR(VLOOKUP(D343,Products!$A$2:$F$61,6,FALSE()),"")</f>
        <v>1</v>
      </c>
      <c r="T343" t="str">
        <f>IF(COUNTIF(Customers!$A$2:$A$301,C343)=0,"Missing","OK")</f>
        <v>OK</v>
      </c>
      <c r="U343" t="str">
        <f t="shared" si="16"/>
        <v>Mumbai</v>
      </c>
      <c r="V343">
        <f t="shared" si="17"/>
        <v>0</v>
      </c>
    </row>
    <row r="344" spans="1:22" ht="15" customHeight="1" x14ac:dyDescent="0.35">
      <c r="A344" s="3" t="s">
        <v>670</v>
      </c>
      <c r="B344" s="4">
        <v>45506</v>
      </c>
      <c r="C344" s="3" t="s">
        <v>534</v>
      </c>
      <c r="D344" s="3" t="s">
        <v>103</v>
      </c>
      <c r="E344" s="3" t="s">
        <v>127</v>
      </c>
      <c r="F344" s="5">
        <v>1</v>
      </c>
      <c r="G344" s="5">
        <v>1080</v>
      </c>
      <c r="H344" s="5">
        <v>1.8</v>
      </c>
      <c r="I344" s="5">
        <v>1060.56</v>
      </c>
      <c r="J344" s="3" t="s">
        <v>26</v>
      </c>
      <c r="K344" s="3" t="s">
        <v>38</v>
      </c>
      <c r="L344" t="str">
        <f>IFERROR(VLOOKUP(D344,Products!$A$2:$F$61,3,FALSE()),"")</f>
        <v>Home</v>
      </c>
      <c r="M344" t="str">
        <f>IFERROR(VLOOKUP(E344,Sales_Reps!$A$2:$C$31,3,FALSE()),"")</f>
        <v>South</v>
      </c>
      <c r="N344">
        <f>IFERROR(VLOOKUP(D344,Products!$A$2:$F$61,4,FALSE()),"")</f>
        <v>519</v>
      </c>
      <c r="O344" t="str">
        <f>IFERROR(VLOOKUP(C344,Customers!$A$2:$F$301,5,FALSE()),"")</f>
        <v>SMB</v>
      </c>
      <c r="P344">
        <f>IFERROR(VLOOKUP(C344,Customers!$A$2:$F$301,3,FALSE()),"")</f>
        <v>48</v>
      </c>
      <c r="Q344">
        <f t="shared" si="15"/>
        <v>0.51944444444444449</v>
      </c>
      <c r="R344">
        <f>IF(AND(COUNTIF($A$2:$A$2047,A344)&gt;1,COUNTIF($A$2:A344,A344)=1),1,0)</f>
        <v>0</v>
      </c>
      <c r="S344" t="b">
        <f>IFERROR(VLOOKUP(D344,Products!$A$2:$F$61,6,FALSE()),"")</f>
        <v>1</v>
      </c>
      <c r="T344" t="str">
        <f>IF(COUNTIF(Customers!$A$2:$A$301,C344)=0,"Missing","OK")</f>
        <v>OK</v>
      </c>
      <c r="U344" t="str">
        <f t="shared" si="16"/>
        <v>Delhi</v>
      </c>
      <c r="V344">
        <f t="shared" si="17"/>
        <v>0</v>
      </c>
    </row>
    <row r="345" spans="1:22" ht="15" customHeight="1" x14ac:dyDescent="0.35">
      <c r="A345" s="3" t="s">
        <v>671</v>
      </c>
      <c r="B345" s="4">
        <v>45414</v>
      </c>
      <c r="C345" s="3" t="s">
        <v>352</v>
      </c>
      <c r="D345" s="3" t="s">
        <v>100</v>
      </c>
      <c r="E345" s="3" t="s">
        <v>71</v>
      </c>
      <c r="F345" s="5">
        <v>8</v>
      </c>
      <c r="G345" s="5">
        <v>3450</v>
      </c>
      <c r="H345" s="5">
        <v>20.399999999999999</v>
      </c>
      <c r="I345" s="5">
        <v>21969.599999999999</v>
      </c>
      <c r="J345" s="3" t="s">
        <v>26</v>
      </c>
      <c r="K345" s="3" t="s">
        <v>27</v>
      </c>
      <c r="L345" t="str">
        <f>IFERROR(VLOOKUP(D345,Products!$A$2:$F$61,3,FALSE()),"")</f>
        <v>Sports</v>
      </c>
      <c r="M345" t="str">
        <f>IFERROR(VLOOKUP(E345,Sales_Reps!$A$2:$C$31,3,FALSE()),"")</f>
        <v>South</v>
      </c>
      <c r="N345">
        <f>IFERROR(VLOOKUP(D345,Products!$A$2:$F$61,4,FALSE()),"")</f>
        <v>2467</v>
      </c>
      <c r="O345" t="str">
        <f>IFERROR(VLOOKUP(C345,Customers!$A$2:$F$301,5,FALSE()),"")</f>
        <v>Retail</v>
      </c>
      <c r="P345">
        <f>IFERROR(VLOOKUP(C345,Customers!$A$2:$F$301,3,FALSE()),"")</f>
        <v>22</v>
      </c>
      <c r="Q345">
        <f t="shared" si="15"/>
        <v>0.28492753623188405</v>
      </c>
      <c r="R345">
        <f>IF(AND(COUNTIF($A$2:$A$2047,A345)&gt;1,COUNTIF($A$2:A345,A345)=1),1,0)</f>
        <v>0</v>
      </c>
      <c r="S345" t="b">
        <f>IFERROR(VLOOKUP(D345,Products!$A$2:$F$61,6,FALSE()),"")</f>
        <v>1</v>
      </c>
      <c r="T345" t="str">
        <f>IF(COUNTIF(Customers!$A$2:$A$301,C345)=0,"Missing","OK")</f>
        <v>OK</v>
      </c>
      <c r="U345" t="str">
        <f t="shared" si="16"/>
        <v>Pune</v>
      </c>
      <c r="V345">
        <f t="shared" si="17"/>
        <v>0</v>
      </c>
    </row>
    <row r="346" spans="1:22" ht="15" customHeight="1" x14ac:dyDescent="0.35">
      <c r="A346" s="3" t="s">
        <v>672</v>
      </c>
      <c r="B346" s="4">
        <v>45553</v>
      </c>
      <c r="C346" s="3" t="s">
        <v>310</v>
      </c>
      <c r="D346" s="3" t="s">
        <v>454</v>
      </c>
      <c r="E346" s="3" t="s">
        <v>127</v>
      </c>
      <c r="F346" s="5">
        <v>8</v>
      </c>
      <c r="G346" s="5">
        <v>6940</v>
      </c>
      <c r="H346" s="5">
        <v>19.399999999999999</v>
      </c>
      <c r="I346" s="5">
        <v>44749.120000000003</v>
      </c>
      <c r="J346" s="3" t="s">
        <v>26</v>
      </c>
      <c r="K346" s="3" t="s">
        <v>51</v>
      </c>
      <c r="L346" t="str">
        <f>IFERROR(VLOOKUP(D346,Products!$A$2:$F$61,3,FALSE()),"")</f>
        <v>Sports</v>
      </c>
      <c r="M346" t="str">
        <f>IFERROR(VLOOKUP(E346,Sales_Reps!$A$2:$C$31,3,FALSE()),"")</f>
        <v>South</v>
      </c>
      <c r="N346">
        <f>IFERROR(VLOOKUP(D346,Products!$A$2:$F$61,4,FALSE()),"")</f>
        <v>2827</v>
      </c>
      <c r="O346" t="str">
        <f>IFERROR(VLOOKUP(C346,Customers!$A$2:$F$301,5,FALSE()),"")</f>
        <v>Retail</v>
      </c>
      <c r="P346">
        <f>IFERROR(VLOOKUP(C346,Customers!$A$2:$F$301,3,FALSE()),"")</f>
        <v>42</v>
      </c>
      <c r="Q346">
        <f t="shared" si="15"/>
        <v>0.5926512968299712</v>
      </c>
      <c r="R346">
        <f>IF(AND(COUNTIF($A$2:$A$2047,A346)&gt;1,COUNTIF($A$2:A346,A346)=1),1,0)</f>
        <v>1</v>
      </c>
      <c r="S346" t="b">
        <f>IFERROR(VLOOKUP(D346,Products!$A$2:$F$61,6,FALSE()),"")</f>
        <v>1</v>
      </c>
      <c r="T346" t="str">
        <f>IF(COUNTIF(Customers!$A$2:$A$301,C346)=0,"Missing","OK")</f>
        <v>OK</v>
      </c>
      <c r="U346" t="str">
        <f t="shared" si="16"/>
        <v>Mumbai</v>
      </c>
      <c r="V346">
        <f t="shared" si="17"/>
        <v>0</v>
      </c>
    </row>
    <row r="347" spans="1:22" ht="15" customHeight="1" x14ac:dyDescent="0.35">
      <c r="A347" s="3" t="s">
        <v>673</v>
      </c>
      <c r="B347" s="4">
        <v>45434</v>
      </c>
      <c r="C347" s="3" t="s">
        <v>674</v>
      </c>
      <c r="D347" s="3" t="s">
        <v>198</v>
      </c>
      <c r="E347" s="3" t="s">
        <v>87</v>
      </c>
      <c r="F347" s="5">
        <v>2</v>
      </c>
      <c r="G347" s="5">
        <v>1540</v>
      </c>
      <c r="H347" s="5">
        <v>9.3000000000000007</v>
      </c>
      <c r="I347" s="5">
        <v>2793.56</v>
      </c>
      <c r="J347" s="3" t="s">
        <v>26</v>
      </c>
      <c r="K347" s="3" t="s">
        <v>27</v>
      </c>
      <c r="L347" t="str">
        <f>IFERROR(VLOOKUP(D347,Products!$A$2:$F$61,3,FALSE()),"")</f>
        <v>Beauty</v>
      </c>
      <c r="M347" t="str">
        <f>IFERROR(VLOOKUP(E347,Sales_Reps!$A$2:$C$31,3,FALSE()),"")</f>
        <v>North</v>
      </c>
      <c r="N347">
        <f>IFERROR(VLOOKUP(D347,Products!$A$2:$F$61,4,FALSE()),"")</f>
        <v>647</v>
      </c>
      <c r="O347" t="str">
        <f>IFERROR(VLOOKUP(C347,Customers!$A$2:$F$301,5,FALSE()),"")</f>
        <v>Retail</v>
      </c>
      <c r="P347">
        <f>IFERROR(VLOOKUP(C347,Customers!$A$2:$F$301,3,FALSE()),"")</f>
        <v>54</v>
      </c>
      <c r="Q347">
        <f t="shared" si="15"/>
        <v>0.57987012987012987</v>
      </c>
      <c r="R347">
        <f>IF(AND(COUNTIF($A$2:$A$2047,A347)&gt;1,COUNTIF($A$2:A347,A347)=1),1,0)</f>
        <v>0</v>
      </c>
      <c r="S347" t="b">
        <f>IFERROR(VLOOKUP(D347,Products!$A$2:$F$61,6,FALSE()),"")</f>
        <v>0</v>
      </c>
      <c r="T347" t="str">
        <f>IF(COUNTIF(Customers!$A$2:$A$301,C347)=0,"Missing","OK")</f>
        <v>OK</v>
      </c>
      <c r="U347" t="str">
        <f t="shared" si="16"/>
        <v>Pune</v>
      </c>
      <c r="V347">
        <f t="shared" si="17"/>
        <v>0</v>
      </c>
    </row>
    <row r="348" spans="1:22" ht="15" customHeight="1" x14ac:dyDescent="0.35">
      <c r="A348" s="3" t="s">
        <v>675</v>
      </c>
      <c r="B348" s="4">
        <v>45446</v>
      </c>
      <c r="C348" s="3" t="s">
        <v>136</v>
      </c>
      <c r="D348" s="3" t="s">
        <v>74</v>
      </c>
      <c r="E348" s="3" t="s">
        <v>127</v>
      </c>
      <c r="F348" s="5">
        <v>4</v>
      </c>
      <c r="G348" s="5">
        <v>2640</v>
      </c>
      <c r="H348" s="5">
        <v>23.2</v>
      </c>
      <c r="I348" s="5">
        <v>8110.08</v>
      </c>
      <c r="J348" s="3" t="s">
        <v>83</v>
      </c>
      <c r="K348" s="3" t="s">
        <v>27</v>
      </c>
      <c r="L348" t="str">
        <f>IFERROR(VLOOKUP(D348,Products!$A$2:$F$61,3,FALSE()),"")</f>
        <v>Electronics</v>
      </c>
      <c r="M348" t="str">
        <f>IFERROR(VLOOKUP(E348,Sales_Reps!$A$2:$C$31,3,FALSE()),"")</f>
        <v>South</v>
      </c>
      <c r="N348">
        <f>IFERROR(VLOOKUP(D348,Products!$A$2:$F$61,4,FALSE()),"")</f>
        <v>1149</v>
      </c>
      <c r="O348" t="str">
        <f>IFERROR(VLOOKUP(C348,Customers!$A$2:$F$301,5,FALSE()),"")</f>
        <v>Corporate</v>
      </c>
      <c r="P348">
        <f>IFERROR(VLOOKUP(C348,Customers!$A$2:$F$301,3,FALSE()),"")</f>
        <v>47</v>
      </c>
      <c r="Q348">
        <f t="shared" si="15"/>
        <v>0.56477272727272732</v>
      </c>
      <c r="R348">
        <f>IF(AND(COUNTIF($A$2:$A$2047,A348)&gt;1,COUNTIF($A$2:A348,A348)=1),1,0)</f>
        <v>0</v>
      </c>
      <c r="S348" t="b">
        <f>IFERROR(VLOOKUP(D348,Products!$A$2:$F$61,6,FALSE()),"")</f>
        <v>1</v>
      </c>
      <c r="T348" t="str">
        <f>IF(COUNTIF(Customers!$A$2:$A$301,C348)=0,"Missing","OK")</f>
        <v>OK</v>
      </c>
      <c r="U348" t="str">
        <f t="shared" si="16"/>
        <v>Pune</v>
      </c>
      <c r="V348">
        <f t="shared" si="17"/>
        <v>0</v>
      </c>
    </row>
    <row r="349" spans="1:22" ht="15" customHeight="1" x14ac:dyDescent="0.35">
      <c r="A349" s="3" t="s">
        <v>676</v>
      </c>
      <c r="B349" s="4">
        <v>45626</v>
      </c>
      <c r="C349" s="3" t="s">
        <v>677</v>
      </c>
      <c r="D349" s="3" t="s">
        <v>299</v>
      </c>
      <c r="E349" s="3" t="s">
        <v>55</v>
      </c>
      <c r="F349" s="5">
        <v>6</v>
      </c>
      <c r="G349" s="5">
        <v>5410</v>
      </c>
      <c r="H349" s="5">
        <v>29.4</v>
      </c>
      <c r="I349" s="5">
        <v>22916.76</v>
      </c>
      <c r="J349" s="3" t="s">
        <v>26</v>
      </c>
      <c r="K349" s="3" t="s">
        <v>27</v>
      </c>
      <c r="L349" t="str">
        <f>IFERROR(VLOOKUP(D349,Products!$A$2:$F$61,3,FALSE()),"")</f>
        <v>Sports</v>
      </c>
      <c r="M349" t="str">
        <f>IFERROR(VLOOKUP(E349,Sales_Reps!$A$2:$C$31,3,FALSE()),"")</f>
        <v>West</v>
      </c>
      <c r="N349">
        <f>IFERROR(VLOOKUP(D349,Products!$A$2:$F$61,4,FALSE()),"")</f>
        <v>2265</v>
      </c>
      <c r="O349" t="str">
        <f>IFERROR(VLOOKUP(C349,Customers!$A$2:$F$301,5,FALSE()),"")</f>
        <v>Retail</v>
      </c>
      <c r="P349">
        <f>IFERROR(VLOOKUP(C349,Customers!$A$2:$F$301,3,FALSE()),"")</f>
        <v>36</v>
      </c>
      <c r="Q349">
        <f t="shared" si="15"/>
        <v>0.58133086876155271</v>
      </c>
      <c r="R349">
        <f>IF(AND(COUNTIF($A$2:$A$2047,A349)&gt;1,COUNTIF($A$2:A349,A349)=1),1,0)</f>
        <v>0</v>
      </c>
      <c r="S349" t="b">
        <f>IFERROR(VLOOKUP(D349,Products!$A$2:$F$61,6,FALSE()),"")</f>
        <v>1</v>
      </c>
      <c r="T349" t="str">
        <f>IF(COUNTIF(Customers!$A$2:$A$301,C349)=0,"Missing","OK")</f>
        <v>OK</v>
      </c>
      <c r="U349" t="str">
        <f t="shared" si="16"/>
        <v>Pune</v>
      </c>
      <c r="V349">
        <f t="shared" si="17"/>
        <v>0</v>
      </c>
    </row>
    <row r="350" spans="1:22" ht="15" customHeight="1" x14ac:dyDescent="0.35">
      <c r="A350" s="3" t="s">
        <v>678</v>
      </c>
      <c r="B350" s="4">
        <v>45459</v>
      </c>
      <c r="C350" s="3" t="s">
        <v>296</v>
      </c>
      <c r="D350" s="3" t="s">
        <v>126</v>
      </c>
      <c r="E350" s="3" t="s">
        <v>282</v>
      </c>
      <c r="F350" s="5">
        <v>1</v>
      </c>
      <c r="G350" s="5">
        <v>3570</v>
      </c>
      <c r="H350" s="5">
        <v>4.3</v>
      </c>
      <c r="I350" s="5">
        <v>3416.49</v>
      </c>
      <c r="J350" s="3" t="s">
        <v>26</v>
      </c>
      <c r="K350" s="3" t="s">
        <v>38</v>
      </c>
      <c r="L350" t="str">
        <f>IFERROR(VLOOKUP(D350,Products!$A$2:$F$61,3,FALSE()),"")</f>
        <v>Electronics</v>
      </c>
      <c r="M350" t="str">
        <f>IFERROR(VLOOKUP(E350,Sales_Reps!$A$2:$C$31,3,FALSE()),"")</f>
        <v>West</v>
      </c>
      <c r="N350">
        <f>IFERROR(VLOOKUP(D350,Products!$A$2:$F$61,4,FALSE()),"")</f>
        <v>1665</v>
      </c>
      <c r="O350" t="str">
        <f>IFERROR(VLOOKUP(C350,Customers!$A$2:$F$301,5,FALSE()),"")</f>
        <v>SMB</v>
      </c>
      <c r="P350">
        <f>IFERROR(VLOOKUP(C350,Customers!$A$2:$F$301,3,FALSE()),"")</f>
        <v>38</v>
      </c>
      <c r="Q350">
        <f t="shared" si="15"/>
        <v>0.53361344537815125</v>
      </c>
      <c r="R350">
        <f>IF(AND(COUNTIF($A$2:$A$2047,A350)&gt;1,COUNTIF($A$2:A350,A350)=1),1,0)</f>
        <v>0</v>
      </c>
      <c r="S350" t="b">
        <f>IFERROR(VLOOKUP(D350,Products!$A$2:$F$61,6,FALSE()),"")</f>
        <v>1</v>
      </c>
      <c r="T350" t="str">
        <f>IF(COUNTIF(Customers!$A$2:$A$301,C350)=0,"Missing","OK")</f>
        <v>OK</v>
      </c>
      <c r="U350" t="str">
        <f t="shared" si="16"/>
        <v>Delhi</v>
      </c>
      <c r="V350">
        <f t="shared" si="17"/>
        <v>0</v>
      </c>
    </row>
    <row r="351" spans="1:22" ht="15" customHeight="1" x14ac:dyDescent="0.35">
      <c r="A351" s="3" t="s">
        <v>679</v>
      </c>
      <c r="B351" s="4">
        <v>45520</v>
      </c>
      <c r="C351" s="3" t="s">
        <v>680</v>
      </c>
      <c r="D351" s="3" t="s">
        <v>49</v>
      </c>
      <c r="E351" s="3" t="s">
        <v>67</v>
      </c>
      <c r="F351" s="5">
        <v>2</v>
      </c>
      <c r="G351" s="5">
        <v>370</v>
      </c>
      <c r="H351" s="5">
        <v>7.2</v>
      </c>
      <c r="I351" s="5">
        <v>686.72</v>
      </c>
      <c r="J351" s="3" t="s">
        <v>26</v>
      </c>
      <c r="K351" s="3" t="s">
        <v>72</v>
      </c>
      <c r="L351" t="str">
        <f>IFERROR(VLOOKUP(D351,Products!$A$2:$F$61,3,FALSE()),"")</f>
        <v>Home</v>
      </c>
      <c r="M351" t="str">
        <f>IFERROR(VLOOKUP(E351,Sales_Reps!$A$2:$C$31,3,FALSE()),"")</f>
        <v>West</v>
      </c>
      <c r="N351">
        <f>IFERROR(VLOOKUP(D351,Products!$A$2:$F$61,4,FALSE()),"")</f>
        <v>288</v>
      </c>
      <c r="O351" t="str">
        <f>IFERROR(VLOOKUP(C351,Customers!$A$2:$F$301,5,FALSE()),"")</f>
        <v>SMB</v>
      </c>
      <c r="P351">
        <f>IFERROR(VLOOKUP(C351,Customers!$A$2:$F$301,3,FALSE()),"")</f>
        <v>29</v>
      </c>
      <c r="Q351">
        <f t="shared" si="15"/>
        <v>0.22162162162162163</v>
      </c>
      <c r="R351">
        <f>IF(AND(COUNTIF($A$2:$A$2047,A351)&gt;1,COUNTIF($A$2:A351,A351)=1),1,0)</f>
        <v>0</v>
      </c>
      <c r="S351" t="b">
        <f>IFERROR(VLOOKUP(D351,Products!$A$2:$F$61,6,FALSE()),"")</f>
        <v>1</v>
      </c>
      <c r="T351" t="str">
        <f>IF(COUNTIF(Customers!$A$2:$A$301,C351)=0,"Missing","OK")</f>
        <v>OK</v>
      </c>
      <c r="U351" t="str">
        <f t="shared" si="16"/>
        <v>Hyderabad</v>
      </c>
      <c r="V351">
        <f t="shared" si="17"/>
        <v>0</v>
      </c>
    </row>
    <row r="352" spans="1:22" ht="15" customHeight="1" x14ac:dyDescent="0.35">
      <c r="A352" s="3" t="s">
        <v>681</v>
      </c>
      <c r="B352" s="4">
        <v>45314</v>
      </c>
      <c r="C352" s="3" t="s">
        <v>536</v>
      </c>
      <c r="D352" s="3" t="s">
        <v>294</v>
      </c>
      <c r="E352" s="3" t="s">
        <v>177</v>
      </c>
      <c r="F352" s="5">
        <v>1</v>
      </c>
      <c r="G352" s="5">
        <v>2510</v>
      </c>
      <c r="H352" s="5">
        <v>2.4</v>
      </c>
      <c r="I352" s="5">
        <v>2449.7600000000002</v>
      </c>
      <c r="J352" s="3" t="s">
        <v>26</v>
      </c>
      <c r="K352" s="3" t="s">
        <v>51</v>
      </c>
      <c r="L352" t="str">
        <f>IFERROR(VLOOKUP(D352,Products!$A$2:$F$61,3,FALSE()),"")</f>
        <v>Apparel</v>
      </c>
      <c r="M352" t="str">
        <f>IFERROR(VLOOKUP(E352,Sales_Reps!$A$2:$C$31,3,FALSE()),"")</f>
        <v>East</v>
      </c>
      <c r="N352">
        <f>IFERROR(VLOOKUP(D352,Products!$A$2:$F$61,4,FALSE()),"")</f>
        <v>1075</v>
      </c>
      <c r="O352" t="str">
        <f>IFERROR(VLOOKUP(C352,Customers!$A$2:$F$301,5,FALSE()),"")</f>
        <v>Retail</v>
      </c>
      <c r="P352">
        <f>IFERROR(VLOOKUP(C352,Customers!$A$2:$F$301,3,FALSE()),"")</f>
        <v>39</v>
      </c>
      <c r="Q352">
        <f t="shared" si="15"/>
        <v>0.57171314741035861</v>
      </c>
      <c r="R352">
        <f>IF(AND(COUNTIF($A$2:$A$2047,A352)&gt;1,COUNTIF($A$2:A352,A352)=1),1,0)</f>
        <v>0</v>
      </c>
      <c r="S352" t="b">
        <f>IFERROR(VLOOKUP(D352,Products!$A$2:$F$61,6,FALSE()),"")</f>
        <v>0</v>
      </c>
      <c r="T352" t="str">
        <f>IF(COUNTIF(Customers!$A$2:$A$301,C352)=0,"Missing","OK")</f>
        <v>OK</v>
      </c>
      <c r="U352" t="str">
        <f t="shared" si="16"/>
        <v>Mumbai</v>
      </c>
      <c r="V352">
        <f t="shared" si="17"/>
        <v>0</v>
      </c>
    </row>
    <row r="353" spans="1:22" ht="15" customHeight="1" x14ac:dyDescent="0.35">
      <c r="A353" s="3" t="s">
        <v>682</v>
      </c>
      <c r="B353" s="4">
        <v>45480</v>
      </c>
      <c r="C353" s="3" t="s">
        <v>683</v>
      </c>
      <c r="D353" s="3" t="s">
        <v>176</v>
      </c>
      <c r="E353" s="3" t="s">
        <v>224</v>
      </c>
      <c r="F353" s="5">
        <v>8</v>
      </c>
      <c r="G353" s="5">
        <v>3640</v>
      </c>
      <c r="H353" s="5">
        <v>28.7</v>
      </c>
      <c r="I353" s="5">
        <v>20762.560000000001</v>
      </c>
      <c r="J353" s="3" t="s">
        <v>32</v>
      </c>
      <c r="K353" s="3" t="s">
        <v>72</v>
      </c>
      <c r="L353" t="str">
        <f>IFERROR(VLOOKUP(D353,Products!$A$2:$F$61,3,FALSE()),"")</f>
        <v>Apparel</v>
      </c>
      <c r="M353" t="str">
        <f>IFERROR(VLOOKUP(E353,Sales_Reps!$A$2:$C$31,3,FALSE()),"")</f>
        <v>East</v>
      </c>
      <c r="N353">
        <f>IFERROR(VLOOKUP(D353,Products!$A$2:$F$61,4,FALSE()),"")</f>
        <v>2611</v>
      </c>
      <c r="O353" t="str">
        <f>IFERROR(VLOOKUP(C353,Customers!$A$2:$F$301,5,FALSE()),"")</f>
        <v>Retail</v>
      </c>
      <c r="P353">
        <f>IFERROR(VLOOKUP(C353,Customers!$A$2:$F$301,3,FALSE()),"")</f>
        <v>64</v>
      </c>
      <c r="Q353">
        <f t="shared" si="15"/>
        <v>0.28269230769230769</v>
      </c>
      <c r="R353">
        <f>IF(AND(COUNTIF($A$2:$A$2047,A353)&gt;1,COUNTIF($A$2:A353,A353)=1),1,0)</f>
        <v>0</v>
      </c>
      <c r="S353" t="b">
        <f>IFERROR(VLOOKUP(D353,Products!$A$2:$F$61,6,FALSE()),"")</f>
        <v>1</v>
      </c>
      <c r="T353" t="str">
        <f>IF(COUNTIF(Customers!$A$2:$A$301,C353)=0,"Missing","OK")</f>
        <v>OK</v>
      </c>
      <c r="U353" t="str">
        <f t="shared" si="16"/>
        <v>Hyderabad</v>
      </c>
      <c r="V353">
        <f t="shared" si="17"/>
        <v>0</v>
      </c>
    </row>
    <row r="354" spans="1:22" ht="15" customHeight="1" x14ac:dyDescent="0.35">
      <c r="A354" s="3" t="s">
        <v>684</v>
      </c>
      <c r="B354" s="4">
        <v>45520</v>
      </c>
      <c r="C354" s="3" t="s">
        <v>125</v>
      </c>
      <c r="D354" s="3" t="s">
        <v>115</v>
      </c>
      <c r="E354" s="3" t="s">
        <v>168</v>
      </c>
      <c r="F354" s="5">
        <v>5</v>
      </c>
      <c r="G354" s="5">
        <v>1650</v>
      </c>
      <c r="H354" s="5">
        <v>13.4</v>
      </c>
      <c r="I354" s="5">
        <v>7144.5</v>
      </c>
      <c r="J354" s="3" t="s">
        <v>32</v>
      </c>
      <c r="K354" s="3" t="s">
        <v>33</v>
      </c>
      <c r="L354" t="str">
        <f>IFERROR(VLOOKUP(D354,Products!$A$2:$F$61,3,FALSE()),"")</f>
        <v>Beauty</v>
      </c>
      <c r="M354" t="str">
        <f>IFERROR(VLOOKUP(E354,Sales_Reps!$A$2:$C$31,3,FALSE()),"")</f>
        <v>West</v>
      </c>
      <c r="N354">
        <f>IFERROR(VLOOKUP(D354,Products!$A$2:$F$61,4,FALSE()),"")</f>
        <v>1222</v>
      </c>
      <c r="O354" t="str">
        <f>IFERROR(VLOOKUP(C354,Customers!$A$2:$F$301,5,FALSE()),"")</f>
        <v>SMB</v>
      </c>
      <c r="P354">
        <f>IFERROR(VLOOKUP(C354,Customers!$A$2:$F$301,3,FALSE()),"")</f>
        <v>52</v>
      </c>
      <c r="Q354">
        <f t="shared" si="15"/>
        <v>0.2593939393939394</v>
      </c>
      <c r="R354">
        <f>IF(AND(COUNTIF($A$2:$A$2047,A354)&gt;1,COUNTIF($A$2:A354,A354)=1),1,0)</f>
        <v>0</v>
      </c>
      <c r="S354" t="b">
        <f>IFERROR(VLOOKUP(D354,Products!$A$2:$F$61,6,FALSE()),"")</f>
        <v>1</v>
      </c>
      <c r="T354" t="str">
        <f>IF(COUNTIF(Customers!$A$2:$A$301,C354)=0,"Missing","OK")</f>
        <v>OK</v>
      </c>
      <c r="U354" t="str">
        <f t="shared" si="16"/>
        <v>Chennai</v>
      </c>
      <c r="V354">
        <f t="shared" si="17"/>
        <v>0</v>
      </c>
    </row>
    <row r="355" spans="1:22" ht="15" customHeight="1" x14ac:dyDescent="0.35">
      <c r="A355" s="3" t="s">
        <v>685</v>
      </c>
      <c r="B355" s="4">
        <v>45360</v>
      </c>
      <c r="C355" s="3" t="s">
        <v>292</v>
      </c>
      <c r="D355" s="3" t="s">
        <v>319</v>
      </c>
      <c r="E355" s="3" t="s">
        <v>55</v>
      </c>
      <c r="F355" s="5">
        <v>9</v>
      </c>
      <c r="G355" s="5">
        <v>960</v>
      </c>
      <c r="H355" s="5">
        <v>28.6</v>
      </c>
      <c r="I355" s="5">
        <v>6168.96</v>
      </c>
      <c r="J355" s="3" t="s">
        <v>32</v>
      </c>
      <c r="K355" s="3" t="s">
        <v>33</v>
      </c>
      <c r="L355" t="str">
        <f>IFERROR(VLOOKUP(D355,Products!$A$2:$F$61,3,FALSE()),"")</f>
        <v>Beauty</v>
      </c>
      <c r="M355" t="str">
        <f>IFERROR(VLOOKUP(E355,Sales_Reps!$A$2:$C$31,3,FALSE()),"")</f>
        <v>West</v>
      </c>
      <c r="N355">
        <f>IFERROR(VLOOKUP(D355,Products!$A$2:$F$61,4,FALSE()),"")</f>
        <v>675</v>
      </c>
      <c r="O355" t="str">
        <f>IFERROR(VLOOKUP(C355,Customers!$A$2:$F$301,5,FALSE()),"")</f>
        <v>Retail</v>
      </c>
      <c r="P355">
        <f>IFERROR(VLOOKUP(C355,Customers!$A$2:$F$301,3,FALSE()),"")</f>
        <v>60</v>
      </c>
      <c r="Q355">
        <f t="shared" si="15"/>
        <v>0.296875</v>
      </c>
      <c r="R355">
        <f>IF(AND(COUNTIF($A$2:$A$2047,A355)&gt;1,COUNTIF($A$2:A355,A355)=1),1,0)</f>
        <v>0</v>
      </c>
      <c r="S355" t="b">
        <f>IFERROR(VLOOKUP(D355,Products!$A$2:$F$61,6,FALSE()),"")</f>
        <v>1</v>
      </c>
      <c r="T355" t="str">
        <f>IF(COUNTIF(Customers!$A$2:$A$301,C355)=0,"Missing","OK")</f>
        <v>OK</v>
      </c>
      <c r="U355" t="str">
        <f t="shared" si="16"/>
        <v>Chennai</v>
      </c>
      <c r="V355">
        <f t="shared" si="17"/>
        <v>0</v>
      </c>
    </row>
    <row r="356" spans="1:22" ht="15" customHeight="1" x14ac:dyDescent="0.35">
      <c r="A356" s="3" t="s">
        <v>686</v>
      </c>
      <c r="B356" s="4">
        <v>45486</v>
      </c>
      <c r="C356" s="3" t="s">
        <v>170</v>
      </c>
      <c r="D356" s="3" t="s">
        <v>173</v>
      </c>
      <c r="E356" s="3" t="s">
        <v>97</v>
      </c>
      <c r="F356" s="5">
        <v>4</v>
      </c>
      <c r="G356" s="5">
        <v>3780</v>
      </c>
      <c r="H356" s="5">
        <v>25.3</v>
      </c>
      <c r="I356" s="5">
        <v>11294.64</v>
      </c>
      <c r="J356" s="3" t="s">
        <v>26</v>
      </c>
      <c r="K356" s="3" t="s">
        <v>56</v>
      </c>
      <c r="L356" t="str">
        <f>IFERROR(VLOOKUP(D356,Products!$A$2:$F$61,3,FALSE()),"")</f>
        <v>Grocery</v>
      </c>
      <c r="M356" t="str">
        <f>IFERROR(VLOOKUP(E356,Sales_Reps!$A$2:$C$31,3,FALSE()),"")</f>
        <v>East</v>
      </c>
      <c r="N356">
        <f>IFERROR(VLOOKUP(D356,Products!$A$2:$F$61,4,FALSE()),"")</f>
        <v>2436</v>
      </c>
      <c r="O356" t="str">
        <f>IFERROR(VLOOKUP(C356,Customers!$A$2:$F$301,5,FALSE()),"")</f>
        <v>SMB</v>
      </c>
      <c r="P356">
        <f>IFERROR(VLOOKUP(C356,Customers!$A$2:$F$301,3,FALSE()),"")</f>
        <v>64</v>
      </c>
      <c r="Q356">
        <f t="shared" si="15"/>
        <v>0.35555555555555557</v>
      </c>
      <c r="R356">
        <f>IF(AND(COUNTIF($A$2:$A$2047,A356)&gt;1,COUNTIF($A$2:A356,A356)=1),1,0)</f>
        <v>0</v>
      </c>
      <c r="S356" t="b">
        <f>IFERROR(VLOOKUP(D356,Products!$A$2:$F$61,6,FALSE()),"")</f>
        <v>1</v>
      </c>
      <c r="T356" t="str">
        <f>IF(COUNTIF(Customers!$A$2:$A$301,C356)=0,"Missing","OK")</f>
        <v>OK</v>
      </c>
      <c r="U356" t="str">
        <f t="shared" si="16"/>
        <v>Bengaluru</v>
      </c>
      <c r="V356">
        <f t="shared" si="17"/>
        <v>11294.64</v>
      </c>
    </row>
    <row r="357" spans="1:22" ht="15" customHeight="1" x14ac:dyDescent="0.35">
      <c r="A357" s="3" t="s">
        <v>687</v>
      </c>
      <c r="B357" s="4">
        <v>45544</v>
      </c>
      <c r="C357" s="3" t="s">
        <v>125</v>
      </c>
      <c r="D357" s="3" t="s">
        <v>115</v>
      </c>
      <c r="E357" s="3" t="s">
        <v>37</v>
      </c>
      <c r="F357" s="5">
        <v>4</v>
      </c>
      <c r="G357" s="5">
        <v>1650</v>
      </c>
      <c r="H357" s="5">
        <v>13.7</v>
      </c>
      <c r="I357" s="5">
        <v>5695.8</v>
      </c>
      <c r="J357" s="3" t="s">
        <v>79</v>
      </c>
      <c r="K357" s="3" t="s">
        <v>33</v>
      </c>
      <c r="L357" t="str">
        <f>IFERROR(VLOOKUP(D357,Products!$A$2:$F$61,3,FALSE()),"")</f>
        <v>Beauty</v>
      </c>
      <c r="M357" t="str">
        <f>IFERROR(VLOOKUP(E357,Sales_Reps!$A$2:$C$31,3,FALSE()),"")</f>
        <v>South</v>
      </c>
      <c r="N357">
        <f>IFERROR(VLOOKUP(D357,Products!$A$2:$F$61,4,FALSE()),"")</f>
        <v>1222</v>
      </c>
      <c r="O357" t="str">
        <f>IFERROR(VLOOKUP(C357,Customers!$A$2:$F$301,5,FALSE()),"")</f>
        <v>SMB</v>
      </c>
      <c r="P357">
        <f>IFERROR(VLOOKUP(C357,Customers!$A$2:$F$301,3,FALSE()),"")</f>
        <v>52</v>
      </c>
      <c r="Q357">
        <f t="shared" si="15"/>
        <v>0.2593939393939394</v>
      </c>
      <c r="R357">
        <f>IF(AND(COUNTIF($A$2:$A$2047,A357)&gt;1,COUNTIF($A$2:A357,A357)=1),1,0)</f>
        <v>0</v>
      </c>
      <c r="S357" t="b">
        <f>IFERROR(VLOOKUP(D357,Products!$A$2:$F$61,6,FALSE()),"")</f>
        <v>1</v>
      </c>
      <c r="T357" t="str">
        <f>IF(COUNTIF(Customers!$A$2:$A$301,C357)=0,"Missing","OK")</f>
        <v>OK</v>
      </c>
      <c r="U357" t="str">
        <f t="shared" si="16"/>
        <v>Chennai</v>
      </c>
      <c r="V357">
        <f t="shared" si="17"/>
        <v>0</v>
      </c>
    </row>
    <row r="358" spans="1:22" ht="15" customHeight="1" x14ac:dyDescent="0.35">
      <c r="A358" s="3" t="s">
        <v>688</v>
      </c>
      <c r="B358" s="4">
        <v>45580</v>
      </c>
      <c r="C358" s="3" t="s">
        <v>478</v>
      </c>
      <c r="D358" s="3" t="s">
        <v>24</v>
      </c>
      <c r="E358" s="3" t="s">
        <v>264</v>
      </c>
      <c r="F358" s="5">
        <v>6</v>
      </c>
      <c r="G358" s="5">
        <v>3620</v>
      </c>
      <c r="H358" s="5">
        <v>21.3</v>
      </c>
      <c r="I358" s="5">
        <v>17093.64</v>
      </c>
      <c r="J358" s="3" t="s">
        <v>32</v>
      </c>
      <c r="K358" s="3" t="s">
        <v>72</v>
      </c>
      <c r="L358" t="str">
        <f>IFERROR(VLOOKUP(D358,Products!$A$2:$F$61,3,FALSE()),"")</f>
        <v>Apparel</v>
      </c>
      <c r="M358" t="str">
        <f>IFERROR(VLOOKUP(E358,Sales_Reps!$A$2:$C$31,3,FALSE()),"")</f>
        <v>South</v>
      </c>
      <c r="N358">
        <f>IFERROR(VLOOKUP(D358,Products!$A$2:$F$61,4,FALSE()),"")</f>
        <v>2509</v>
      </c>
      <c r="O358" t="str">
        <f>IFERROR(VLOOKUP(C358,Customers!$A$2:$F$301,5,FALSE()),"")</f>
        <v>Retail</v>
      </c>
      <c r="P358">
        <f>IFERROR(VLOOKUP(C358,Customers!$A$2:$F$301,3,FALSE()),"")</f>
        <v>38</v>
      </c>
      <c r="Q358">
        <f t="shared" si="15"/>
        <v>0.3069060773480663</v>
      </c>
      <c r="R358">
        <f>IF(AND(COUNTIF($A$2:$A$2047,A358)&gt;1,COUNTIF($A$2:A358,A358)=1),1,0)</f>
        <v>0</v>
      </c>
      <c r="S358" t="b">
        <f>IFERROR(VLOOKUP(D358,Products!$A$2:$F$61,6,FALSE()),"")</f>
        <v>1</v>
      </c>
      <c r="T358" t="str">
        <f>IF(COUNTIF(Customers!$A$2:$A$301,C358)=0,"Missing","OK")</f>
        <v>OK</v>
      </c>
      <c r="U358" t="str">
        <f t="shared" si="16"/>
        <v>Hyderabad</v>
      </c>
      <c r="V358">
        <f t="shared" si="17"/>
        <v>0</v>
      </c>
    </row>
    <row r="359" spans="1:22" ht="15" customHeight="1" x14ac:dyDescent="0.35">
      <c r="A359" s="3" t="s">
        <v>689</v>
      </c>
      <c r="B359" s="4">
        <v>45312</v>
      </c>
      <c r="C359" s="3" t="s">
        <v>413</v>
      </c>
      <c r="D359" s="3" t="s">
        <v>184</v>
      </c>
      <c r="E359" s="3" t="s">
        <v>109</v>
      </c>
      <c r="F359" s="5">
        <v>10</v>
      </c>
      <c r="G359" s="5">
        <v>2270</v>
      </c>
      <c r="H359" s="5">
        <v>17.7</v>
      </c>
      <c r="I359" s="5">
        <v>18682.099999999999</v>
      </c>
      <c r="J359" s="3" t="s">
        <v>26</v>
      </c>
      <c r="K359" s="3" t="s">
        <v>38</v>
      </c>
      <c r="L359" t="str">
        <f>IFERROR(VLOOKUP(D359,Products!$A$2:$F$61,3,FALSE()),"")</f>
        <v>Grocery</v>
      </c>
      <c r="M359" t="str">
        <f>IFERROR(VLOOKUP(E359,Sales_Reps!$A$2:$C$31,3,FALSE()),"")</f>
        <v>West</v>
      </c>
      <c r="N359">
        <f>IFERROR(VLOOKUP(D359,Products!$A$2:$F$61,4,FALSE()),"")</f>
        <v>1412</v>
      </c>
      <c r="O359" t="str">
        <f>IFERROR(VLOOKUP(C359,Customers!$A$2:$F$301,5,FALSE()),"")</f>
        <v>SMB</v>
      </c>
      <c r="P359">
        <f>IFERROR(VLOOKUP(C359,Customers!$A$2:$F$301,3,FALSE()),"")</f>
        <v>59</v>
      </c>
      <c r="Q359">
        <f t="shared" si="15"/>
        <v>0.37797356828193834</v>
      </c>
      <c r="R359">
        <f>IF(AND(COUNTIF($A$2:$A$2047,A359)&gt;1,COUNTIF($A$2:A359,A359)=1),1,0)</f>
        <v>0</v>
      </c>
      <c r="S359" t="b">
        <f>IFERROR(VLOOKUP(D359,Products!$A$2:$F$61,6,FALSE()),"")</f>
        <v>1</v>
      </c>
      <c r="T359" t="str">
        <f>IF(COUNTIF(Customers!$A$2:$A$301,C359)=0,"Missing","OK")</f>
        <v>OK</v>
      </c>
      <c r="U359" t="str">
        <f t="shared" si="16"/>
        <v>Delhi</v>
      </c>
      <c r="V359">
        <f t="shared" si="17"/>
        <v>0</v>
      </c>
    </row>
    <row r="360" spans="1:22" ht="15" customHeight="1" x14ac:dyDescent="0.35">
      <c r="A360" s="3" t="s">
        <v>690</v>
      </c>
      <c r="B360" s="4">
        <v>45447</v>
      </c>
      <c r="C360" s="3" t="s">
        <v>691</v>
      </c>
      <c r="D360" s="3" t="s">
        <v>198</v>
      </c>
      <c r="E360" s="3" t="s">
        <v>191</v>
      </c>
      <c r="F360" s="5">
        <v>9</v>
      </c>
      <c r="G360" s="5">
        <v>1540</v>
      </c>
      <c r="H360" s="5">
        <v>10.7</v>
      </c>
      <c r="I360" s="5">
        <v>12376.98</v>
      </c>
      <c r="J360" s="3" t="s">
        <v>26</v>
      </c>
      <c r="K360" s="3" t="s">
        <v>56</v>
      </c>
      <c r="L360" t="str">
        <f>IFERROR(VLOOKUP(D360,Products!$A$2:$F$61,3,FALSE()),"")</f>
        <v>Beauty</v>
      </c>
      <c r="M360" t="str">
        <f>IFERROR(VLOOKUP(E360,Sales_Reps!$A$2:$C$31,3,FALSE()),"")</f>
        <v>South</v>
      </c>
      <c r="N360">
        <f>IFERROR(VLOOKUP(D360,Products!$A$2:$F$61,4,FALSE()),"")</f>
        <v>647</v>
      </c>
      <c r="O360" t="str">
        <f>IFERROR(VLOOKUP(C360,Customers!$A$2:$F$301,5,FALSE()),"")</f>
        <v>Retail</v>
      </c>
      <c r="P360">
        <f>IFERROR(VLOOKUP(C360,Customers!$A$2:$F$301,3,FALSE()),"")</f>
        <v>32</v>
      </c>
      <c r="Q360">
        <f t="shared" si="15"/>
        <v>0.57987012987012987</v>
      </c>
      <c r="R360">
        <f>IF(AND(COUNTIF($A$2:$A$2047,A360)&gt;1,COUNTIF($A$2:A360,A360)=1),1,0)</f>
        <v>0</v>
      </c>
      <c r="S360" t="b">
        <f>IFERROR(VLOOKUP(D360,Products!$A$2:$F$61,6,FALSE()),"")</f>
        <v>0</v>
      </c>
      <c r="T360" t="str">
        <f>IF(COUNTIF(Customers!$A$2:$A$301,C360)=0,"Missing","OK")</f>
        <v>OK</v>
      </c>
      <c r="U360" t="str">
        <f t="shared" si="16"/>
        <v>Bengaluru</v>
      </c>
      <c r="V360">
        <f t="shared" si="17"/>
        <v>0</v>
      </c>
    </row>
    <row r="361" spans="1:22" ht="15" customHeight="1" x14ac:dyDescent="0.35">
      <c r="A361" s="3" t="s">
        <v>692</v>
      </c>
      <c r="B361" s="4">
        <v>45607</v>
      </c>
      <c r="C361" s="3" t="s">
        <v>147</v>
      </c>
      <c r="D361" s="3" t="s">
        <v>134</v>
      </c>
      <c r="E361" s="3" t="s">
        <v>97</v>
      </c>
      <c r="F361" s="5">
        <v>9</v>
      </c>
      <c r="G361" s="5">
        <v>2860</v>
      </c>
      <c r="H361" s="5">
        <v>12.9</v>
      </c>
      <c r="I361" s="5">
        <v>22419.54</v>
      </c>
      <c r="J361" s="3" t="s">
        <v>26</v>
      </c>
      <c r="K361" s="3" t="s">
        <v>72</v>
      </c>
      <c r="L361" t="str">
        <f>IFERROR(VLOOKUP(D361,Products!$A$2:$F$61,3,FALSE()),"")</f>
        <v>Sports</v>
      </c>
      <c r="M361" t="str">
        <f>IFERROR(VLOOKUP(E361,Sales_Reps!$A$2:$C$31,3,FALSE()),"")</f>
        <v>East</v>
      </c>
      <c r="N361">
        <f>IFERROR(VLOOKUP(D361,Products!$A$2:$F$61,4,FALSE()),"")</f>
        <v>2028</v>
      </c>
      <c r="O361" t="str">
        <f>IFERROR(VLOOKUP(C361,Customers!$A$2:$F$301,5,FALSE()),"")</f>
        <v>Retail</v>
      </c>
      <c r="P361">
        <f>IFERROR(VLOOKUP(C361,Customers!$A$2:$F$301,3,FALSE()),"")</f>
        <v>26</v>
      </c>
      <c r="Q361">
        <f t="shared" si="15"/>
        <v>0.29090909090909089</v>
      </c>
      <c r="R361">
        <f>IF(AND(COUNTIF($A$2:$A$2047,A361)&gt;1,COUNTIF($A$2:A361,A361)=1),1,0)</f>
        <v>0</v>
      </c>
      <c r="S361" t="b">
        <f>IFERROR(VLOOKUP(D361,Products!$A$2:$F$61,6,FALSE()),"")</f>
        <v>1</v>
      </c>
      <c r="T361" t="str">
        <f>IF(COUNTIF(Customers!$A$2:$A$301,C361)=0,"Missing","OK")</f>
        <v>OK</v>
      </c>
      <c r="U361" t="str">
        <f t="shared" si="16"/>
        <v>Hyderabad</v>
      </c>
      <c r="V361">
        <f t="shared" si="17"/>
        <v>0</v>
      </c>
    </row>
    <row r="362" spans="1:22" ht="15" customHeight="1" x14ac:dyDescent="0.35">
      <c r="A362" s="3" t="s">
        <v>693</v>
      </c>
      <c r="B362" s="4">
        <v>45379</v>
      </c>
      <c r="C362" s="3" t="s">
        <v>639</v>
      </c>
      <c r="D362" s="3" t="s">
        <v>277</v>
      </c>
      <c r="E362" s="3" t="s">
        <v>285</v>
      </c>
      <c r="F362" s="5">
        <v>5</v>
      </c>
      <c r="G362" s="5">
        <v>2210</v>
      </c>
      <c r="H362" s="5">
        <v>5.0999999999999996</v>
      </c>
      <c r="I362" s="5">
        <v>10486.45</v>
      </c>
      <c r="J362" s="3" t="s">
        <v>26</v>
      </c>
      <c r="K362" s="3" t="s">
        <v>33</v>
      </c>
      <c r="L362" t="str">
        <f>IFERROR(VLOOKUP(D362,Products!$A$2:$F$61,3,FALSE()),"")</f>
        <v>Grocery</v>
      </c>
      <c r="M362" t="str">
        <f>IFERROR(VLOOKUP(E362,Sales_Reps!$A$2:$C$31,3,FALSE()),"")</f>
        <v>South</v>
      </c>
      <c r="N362">
        <f>IFERROR(VLOOKUP(D362,Products!$A$2:$F$61,4,FALSE()),"")</f>
        <v>1010</v>
      </c>
      <c r="O362" t="str">
        <f>IFERROR(VLOOKUP(C362,Customers!$A$2:$F$301,5,FALSE()),"")</f>
        <v>SMB</v>
      </c>
      <c r="P362">
        <f>IFERROR(VLOOKUP(C362,Customers!$A$2:$F$301,3,FALSE()),"")</f>
        <v>46</v>
      </c>
      <c r="Q362">
        <f t="shared" si="15"/>
        <v>0.54298642533936647</v>
      </c>
      <c r="R362">
        <f>IF(AND(COUNTIF($A$2:$A$2047,A362)&gt;1,COUNTIF($A$2:A362,A362)=1),1,0)</f>
        <v>0</v>
      </c>
      <c r="S362" t="b">
        <f>IFERROR(VLOOKUP(D362,Products!$A$2:$F$61,6,FALSE()),"")</f>
        <v>1</v>
      </c>
      <c r="T362" t="str">
        <f>IF(COUNTIF(Customers!$A$2:$A$301,C362)=0,"Missing","OK")</f>
        <v>OK</v>
      </c>
      <c r="U362" t="str">
        <f t="shared" si="16"/>
        <v>Chennai</v>
      </c>
      <c r="V362">
        <f t="shared" si="17"/>
        <v>0</v>
      </c>
    </row>
    <row r="363" spans="1:22" ht="15" customHeight="1" x14ac:dyDescent="0.35">
      <c r="A363" s="3" t="s">
        <v>694</v>
      </c>
      <c r="B363" s="4">
        <v>45591</v>
      </c>
      <c r="C363" s="3" t="s">
        <v>317</v>
      </c>
      <c r="D363" s="3" t="s">
        <v>206</v>
      </c>
      <c r="E363" s="3" t="s">
        <v>168</v>
      </c>
      <c r="F363" s="5">
        <v>1</v>
      </c>
      <c r="G363" s="5">
        <v>1220</v>
      </c>
      <c r="H363" s="5">
        <v>16.100000000000001</v>
      </c>
      <c r="I363" s="5">
        <v>1023.58</v>
      </c>
      <c r="J363" s="3" t="s">
        <v>26</v>
      </c>
      <c r="K363" s="3" t="s">
        <v>33</v>
      </c>
      <c r="L363" t="str">
        <f>IFERROR(VLOOKUP(D363,Products!$A$2:$F$61,3,FALSE()),"")</f>
        <v>Electronics</v>
      </c>
      <c r="M363" t="str">
        <f>IFERROR(VLOOKUP(E363,Sales_Reps!$A$2:$C$31,3,FALSE()),"")</f>
        <v>West</v>
      </c>
      <c r="N363">
        <f>IFERROR(VLOOKUP(D363,Products!$A$2:$F$61,4,FALSE()),"")</f>
        <v>517</v>
      </c>
      <c r="O363" t="str">
        <f>IFERROR(VLOOKUP(C363,Customers!$A$2:$F$301,5,FALSE()),"")</f>
        <v>SMB</v>
      </c>
      <c r="P363">
        <f>IFERROR(VLOOKUP(C363,Customers!$A$2:$F$301,3,FALSE()),"")</f>
        <v>53</v>
      </c>
      <c r="Q363">
        <f t="shared" si="15"/>
        <v>0.57622950819672136</v>
      </c>
      <c r="R363">
        <f>IF(AND(COUNTIF($A$2:$A$2047,A363)&gt;1,COUNTIF($A$2:A363,A363)=1),1,0)</f>
        <v>0</v>
      </c>
      <c r="S363" t="b">
        <f>IFERROR(VLOOKUP(D363,Products!$A$2:$F$61,6,FALSE()),"")</f>
        <v>1</v>
      </c>
      <c r="T363" t="str">
        <f>IF(COUNTIF(Customers!$A$2:$A$301,C363)=0,"Missing","OK")</f>
        <v>OK</v>
      </c>
      <c r="U363" t="str">
        <f t="shared" si="16"/>
        <v>Chennai</v>
      </c>
      <c r="V363">
        <f t="shared" si="17"/>
        <v>0</v>
      </c>
    </row>
    <row r="364" spans="1:22" ht="15" customHeight="1" x14ac:dyDescent="0.35">
      <c r="A364" s="3" t="s">
        <v>695</v>
      </c>
      <c r="B364" s="4">
        <v>45561</v>
      </c>
      <c r="C364" s="3" t="s">
        <v>696</v>
      </c>
      <c r="D364" s="3" t="s">
        <v>126</v>
      </c>
      <c r="E364" s="3" t="s">
        <v>42</v>
      </c>
      <c r="F364" s="5">
        <v>2</v>
      </c>
      <c r="G364" s="5">
        <v>3570</v>
      </c>
      <c r="H364" s="5">
        <v>1.1000000000000001</v>
      </c>
      <c r="I364" s="5">
        <v>7061.46</v>
      </c>
      <c r="J364" s="3" t="s">
        <v>26</v>
      </c>
      <c r="K364" s="3" t="s">
        <v>56</v>
      </c>
      <c r="L364" t="str">
        <f>IFERROR(VLOOKUP(D364,Products!$A$2:$F$61,3,FALSE()),"")</f>
        <v>Electronics</v>
      </c>
      <c r="M364" t="str">
        <f>IFERROR(VLOOKUP(E364,Sales_Reps!$A$2:$C$31,3,FALSE()),"")</f>
        <v>North</v>
      </c>
      <c r="N364">
        <f>IFERROR(VLOOKUP(D364,Products!$A$2:$F$61,4,FALSE()),"")</f>
        <v>1665</v>
      </c>
      <c r="O364" t="str">
        <f>IFERROR(VLOOKUP(C364,Customers!$A$2:$F$301,5,FALSE()),"")</f>
        <v>Corporate</v>
      </c>
      <c r="P364">
        <f>IFERROR(VLOOKUP(C364,Customers!$A$2:$F$301,3,FALSE()),"")</f>
        <v>43</v>
      </c>
      <c r="Q364">
        <f t="shared" si="15"/>
        <v>0.53361344537815125</v>
      </c>
      <c r="R364">
        <f>IF(AND(COUNTIF($A$2:$A$2047,A364)&gt;1,COUNTIF($A$2:A364,A364)=1),1,0)</f>
        <v>0</v>
      </c>
      <c r="S364" t="b">
        <f>IFERROR(VLOOKUP(D364,Products!$A$2:$F$61,6,FALSE()),"")</f>
        <v>1</v>
      </c>
      <c r="T364" t="str">
        <f>IF(COUNTIF(Customers!$A$2:$A$301,C364)=0,"Missing","OK")</f>
        <v>OK</v>
      </c>
      <c r="U364" t="str">
        <f t="shared" si="16"/>
        <v>Bengaluru</v>
      </c>
      <c r="V364">
        <f t="shared" si="17"/>
        <v>0</v>
      </c>
    </row>
    <row r="365" spans="1:22" ht="15" customHeight="1" x14ac:dyDescent="0.35">
      <c r="A365" s="3" t="s">
        <v>697</v>
      </c>
      <c r="B365" s="4">
        <v>45308</v>
      </c>
      <c r="C365" s="3" t="s">
        <v>698</v>
      </c>
      <c r="D365" s="3" t="s">
        <v>391</v>
      </c>
      <c r="E365" s="3" t="s">
        <v>285</v>
      </c>
      <c r="F365" s="5">
        <v>10</v>
      </c>
      <c r="G365" s="5">
        <v>3450</v>
      </c>
      <c r="H365" s="5">
        <v>12.6</v>
      </c>
      <c r="I365" s="5">
        <v>30153</v>
      </c>
      <c r="J365" s="3" t="s">
        <v>26</v>
      </c>
      <c r="K365" s="3" t="s">
        <v>56</v>
      </c>
      <c r="L365" t="str">
        <f>IFERROR(VLOOKUP(D365,Products!$A$2:$F$61,3,FALSE()),"")</f>
        <v>Apparel</v>
      </c>
      <c r="M365" t="str">
        <f>IFERROR(VLOOKUP(E365,Sales_Reps!$A$2:$C$31,3,FALSE()),"")</f>
        <v>South</v>
      </c>
      <c r="N365">
        <f>IFERROR(VLOOKUP(D365,Products!$A$2:$F$61,4,FALSE()),"")</f>
        <v>1748</v>
      </c>
      <c r="O365" t="str">
        <f>IFERROR(VLOOKUP(C365,Customers!$A$2:$F$301,5,FALSE()),"")</f>
        <v>Retail</v>
      </c>
      <c r="P365">
        <f>IFERROR(VLOOKUP(C365,Customers!$A$2:$F$301,3,FALSE()),"")</f>
        <v>29</v>
      </c>
      <c r="Q365">
        <f t="shared" si="15"/>
        <v>0.49333333333333335</v>
      </c>
      <c r="R365">
        <f>IF(AND(COUNTIF($A$2:$A$2047,A365)&gt;1,COUNTIF($A$2:A365,A365)=1),1,0)</f>
        <v>0</v>
      </c>
      <c r="S365" t="b">
        <f>IFERROR(VLOOKUP(D365,Products!$A$2:$F$61,6,FALSE()),"")</f>
        <v>1</v>
      </c>
      <c r="T365" t="str">
        <f>IF(COUNTIF(Customers!$A$2:$A$301,C365)=0,"Missing","OK")</f>
        <v>OK</v>
      </c>
      <c r="U365" t="str">
        <f t="shared" si="16"/>
        <v>Bengaluru</v>
      </c>
      <c r="V365">
        <f t="shared" si="17"/>
        <v>0</v>
      </c>
    </row>
    <row r="366" spans="1:22" ht="15" customHeight="1" x14ac:dyDescent="0.35">
      <c r="A366" s="3" t="s">
        <v>699</v>
      </c>
      <c r="B366" s="4">
        <v>45563</v>
      </c>
      <c r="C366" s="3" t="s">
        <v>677</v>
      </c>
      <c r="D366" s="3" t="s">
        <v>277</v>
      </c>
      <c r="E366" s="3" t="s">
        <v>97</v>
      </c>
      <c r="F366" s="5">
        <v>4</v>
      </c>
      <c r="G366" s="5">
        <v>2210</v>
      </c>
      <c r="H366" s="5">
        <v>5.4</v>
      </c>
      <c r="I366" s="5">
        <v>8362.64</v>
      </c>
      <c r="J366" s="3" t="s">
        <v>26</v>
      </c>
      <c r="K366" s="3" t="s">
        <v>27</v>
      </c>
      <c r="L366" t="str">
        <f>IFERROR(VLOOKUP(D366,Products!$A$2:$F$61,3,FALSE()),"")</f>
        <v>Grocery</v>
      </c>
      <c r="M366" t="str">
        <f>IFERROR(VLOOKUP(E366,Sales_Reps!$A$2:$C$31,3,FALSE()),"")</f>
        <v>East</v>
      </c>
      <c r="N366">
        <f>IFERROR(VLOOKUP(D366,Products!$A$2:$F$61,4,FALSE()),"")</f>
        <v>1010</v>
      </c>
      <c r="O366" t="str">
        <f>IFERROR(VLOOKUP(C366,Customers!$A$2:$F$301,5,FALSE()),"")</f>
        <v>Retail</v>
      </c>
      <c r="P366">
        <f>IFERROR(VLOOKUP(C366,Customers!$A$2:$F$301,3,FALSE()),"")</f>
        <v>36</v>
      </c>
      <c r="Q366">
        <f t="shared" si="15"/>
        <v>0.54298642533936647</v>
      </c>
      <c r="R366">
        <f>IF(AND(COUNTIF($A$2:$A$2047,A366)&gt;1,COUNTIF($A$2:A366,A366)=1),1,0)</f>
        <v>0</v>
      </c>
      <c r="S366" t="b">
        <f>IFERROR(VLOOKUP(D366,Products!$A$2:$F$61,6,FALSE()),"")</f>
        <v>1</v>
      </c>
      <c r="T366" t="str">
        <f>IF(COUNTIF(Customers!$A$2:$A$301,C366)=0,"Missing","OK")</f>
        <v>OK</v>
      </c>
      <c r="U366" t="str">
        <f t="shared" si="16"/>
        <v>Pune</v>
      </c>
      <c r="V366">
        <f t="shared" si="17"/>
        <v>0</v>
      </c>
    </row>
    <row r="367" spans="1:22" ht="15" customHeight="1" x14ac:dyDescent="0.35">
      <c r="A367" s="3" t="s">
        <v>700</v>
      </c>
      <c r="B367" s="4">
        <v>45476</v>
      </c>
      <c r="C367" s="3" t="s">
        <v>701</v>
      </c>
      <c r="D367" s="3" t="s">
        <v>441</v>
      </c>
      <c r="E367" s="3" t="s">
        <v>37</v>
      </c>
      <c r="F367" s="5">
        <v>6</v>
      </c>
      <c r="G367" s="5">
        <v>1090</v>
      </c>
      <c r="H367" s="5">
        <v>2.9</v>
      </c>
      <c r="I367" s="5">
        <v>6350.34</v>
      </c>
      <c r="J367" s="3" t="s">
        <v>79</v>
      </c>
      <c r="K367" s="3" t="s">
        <v>72</v>
      </c>
      <c r="L367" t="str">
        <f>IFERROR(VLOOKUP(D367,Products!$A$2:$F$61,3,FALSE()),"")</f>
        <v>Home</v>
      </c>
      <c r="M367" t="str">
        <f>IFERROR(VLOOKUP(E367,Sales_Reps!$A$2:$C$31,3,FALSE()),"")</f>
        <v>South</v>
      </c>
      <c r="N367">
        <f>IFERROR(VLOOKUP(D367,Products!$A$2:$F$61,4,FALSE()),"")</f>
        <v>464</v>
      </c>
      <c r="O367" t="str">
        <f>IFERROR(VLOOKUP(C367,Customers!$A$2:$F$301,5,FALSE()),"")</f>
        <v>Retail</v>
      </c>
      <c r="P367">
        <f>IFERROR(VLOOKUP(C367,Customers!$A$2:$F$301,3,FALSE()),"")</f>
        <v>52</v>
      </c>
      <c r="Q367">
        <f t="shared" si="15"/>
        <v>0.57431192660550456</v>
      </c>
      <c r="R367">
        <f>IF(AND(COUNTIF($A$2:$A$2047,A367)&gt;1,COUNTIF($A$2:A367,A367)=1),1,0)</f>
        <v>0</v>
      </c>
      <c r="S367" t="b">
        <f>IFERROR(VLOOKUP(D367,Products!$A$2:$F$61,6,FALSE()),"")</f>
        <v>1</v>
      </c>
      <c r="T367" t="str">
        <f>IF(COUNTIF(Customers!$A$2:$A$301,C367)=0,"Missing","OK")</f>
        <v>OK</v>
      </c>
      <c r="U367" t="str">
        <f t="shared" si="16"/>
        <v>Hyderabad</v>
      </c>
      <c r="V367">
        <f t="shared" si="17"/>
        <v>0</v>
      </c>
    </row>
    <row r="368" spans="1:22" ht="15" customHeight="1" x14ac:dyDescent="0.35">
      <c r="A368" s="3" t="s">
        <v>702</v>
      </c>
      <c r="B368" s="4">
        <v>45364</v>
      </c>
      <c r="C368" s="3" t="s">
        <v>703</v>
      </c>
      <c r="D368" s="3" t="s">
        <v>198</v>
      </c>
      <c r="E368" s="3" t="s">
        <v>177</v>
      </c>
      <c r="F368" s="5">
        <v>8</v>
      </c>
      <c r="G368" s="5">
        <v>1540</v>
      </c>
      <c r="H368" s="5">
        <v>17.899999999999999</v>
      </c>
      <c r="I368" s="5">
        <v>10114.719999999999</v>
      </c>
      <c r="J368" s="3" t="s">
        <v>32</v>
      </c>
      <c r="K368" s="3" t="s">
        <v>33</v>
      </c>
      <c r="L368" t="str">
        <f>IFERROR(VLOOKUP(D368,Products!$A$2:$F$61,3,FALSE()),"")</f>
        <v>Beauty</v>
      </c>
      <c r="M368" t="str">
        <f>IFERROR(VLOOKUP(E368,Sales_Reps!$A$2:$C$31,3,FALSE()),"")</f>
        <v>East</v>
      </c>
      <c r="N368">
        <f>IFERROR(VLOOKUP(D368,Products!$A$2:$F$61,4,FALSE()),"")</f>
        <v>647</v>
      </c>
      <c r="O368" t="str">
        <f>IFERROR(VLOOKUP(C368,Customers!$A$2:$F$301,5,FALSE()),"")</f>
        <v>SMB</v>
      </c>
      <c r="P368">
        <f>IFERROR(VLOOKUP(C368,Customers!$A$2:$F$301,3,FALSE()),"")</f>
        <v>26</v>
      </c>
      <c r="Q368">
        <f t="shared" si="15"/>
        <v>0.57987012987012987</v>
      </c>
      <c r="R368">
        <f>IF(AND(COUNTIF($A$2:$A$2047,A368)&gt;1,COUNTIF($A$2:A368,A368)=1),1,0)</f>
        <v>0</v>
      </c>
      <c r="S368" t="b">
        <f>IFERROR(VLOOKUP(D368,Products!$A$2:$F$61,6,FALSE()),"")</f>
        <v>0</v>
      </c>
      <c r="T368" t="str">
        <f>IF(COUNTIF(Customers!$A$2:$A$301,C368)=0,"Missing","OK")</f>
        <v>OK</v>
      </c>
      <c r="U368" t="str">
        <f t="shared" si="16"/>
        <v>Chennai</v>
      </c>
      <c r="V368">
        <f t="shared" si="17"/>
        <v>0</v>
      </c>
    </row>
    <row r="369" spans="1:22" ht="15" customHeight="1" x14ac:dyDescent="0.35">
      <c r="A369" s="3" t="s">
        <v>704</v>
      </c>
      <c r="B369" s="4">
        <v>45371</v>
      </c>
      <c r="C369" s="3" t="s">
        <v>424</v>
      </c>
      <c r="D369" s="3" t="s">
        <v>77</v>
      </c>
      <c r="E369" s="3" t="s">
        <v>67</v>
      </c>
      <c r="F369" s="5">
        <v>9</v>
      </c>
      <c r="G369" s="5">
        <v>2600</v>
      </c>
      <c r="H369" s="5">
        <v>4.0999999999999996</v>
      </c>
      <c r="I369" s="5">
        <v>22440.6</v>
      </c>
      <c r="J369" s="3" t="s">
        <v>26</v>
      </c>
      <c r="K369" s="3" t="s">
        <v>27</v>
      </c>
      <c r="L369" t="str">
        <f>IFERROR(VLOOKUP(D369,Products!$A$2:$F$61,3,FALSE()),"")</f>
        <v>Electronics</v>
      </c>
      <c r="M369" t="str">
        <f>IFERROR(VLOOKUP(E369,Sales_Reps!$A$2:$C$31,3,FALSE()),"")</f>
        <v>West</v>
      </c>
      <c r="N369">
        <f>IFERROR(VLOOKUP(D369,Products!$A$2:$F$61,4,FALSE()),"")</f>
        <v>1052</v>
      </c>
      <c r="O369" t="str">
        <f>IFERROR(VLOOKUP(C369,Customers!$A$2:$F$301,5,FALSE()),"")</f>
        <v>Retail</v>
      </c>
      <c r="P369">
        <f>IFERROR(VLOOKUP(C369,Customers!$A$2:$F$301,3,FALSE()),"")</f>
        <v>49</v>
      </c>
      <c r="Q369">
        <f t="shared" si="15"/>
        <v>0.5953846153846154</v>
      </c>
      <c r="R369">
        <f>IF(AND(COUNTIF($A$2:$A$2047,A369)&gt;1,COUNTIF($A$2:A369,A369)=1),1,0)</f>
        <v>0</v>
      </c>
      <c r="S369" t="b">
        <f>IFERROR(VLOOKUP(D369,Products!$A$2:$F$61,6,FALSE()),"")</f>
        <v>1</v>
      </c>
      <c r="T369" t="str">
        <f>IF(COUNTIF(Customers!$A$2:$A$301,C369)=0,"Missing","OK")</f>
        <v>OK</v>
      </c>
      <c r="U369" t="str">
        <f t="shared" si="16"/>
        <v>Pune</v>
      </c>
      <c r="V369">
        <f t="shared" si="17"/>
        <v>0</v>
      </c>
    </row>
    <row r="370" spans="1:22" ht="15" customHeight="1" x14ac:dyDescent="0.35">
      <c r="A370" s="3" t="s">
        <v>705</v>
      </c>
      <c r="B370" s="4">
        <v>45623</v>
      </c>
      <c r="C370" s="3" t="s">
        <v>619</v>
      </c>
      <c r="D370" s="3" t="s">
        <v>86</v>
      </c>
      <c r="E370" s="3" t="s">
        <v>25</v>
      </c>
      <c r="F370" s="5">
        <v>2</v>
      </c>
      <c r="G370" s="5">
        <v>190</v>
      </c>
      <c r="H370" s="5">
        <v>4.8</v>
      </c>
      <c r="I370" s="5">
        <v>361.76</v>
      </c>
      <c r="J370" s="3" t="s">
        <v>26</v>
      </c>
      <c r="K370" s="3" t="s">
        <v>33</v>
      </c>
      <c r="L370" t="str">
        <f>IFERROR(VLOOKUP(D370,Products!$A$2:$F$61,3,FALSE()),"")</f>
        <v>Sports</v>
      </c>
      <c r="M370" t="str">
        <f>IFERROR(VLOOKUP(E370,Sales_Reps!$A$2:$C$31,3,FALSE()),"")</f>
        <v>North</v>
      </c>
      <c r="N370">
        <f>IFERROR(VLOOKUP(D370,Products!$A$2:$F$61,4,FALSE()),"")</f>
        <v>147</v>
      </c>
      <c r="O370" t="str">
        <f>IFERROR(VLOOKUP(C370,Customers!$A$2:$F$301,5,FALSE()),"")</f>
        <v>Retail</v>
      </c>
      <c r="P370">
        <f>IFERROR(VLOOKUP(C370,Customers!$A$2:$F$301,3,FALSE()),"")</f>
        <v>26</v>
      </c>
      <c r="Q370">
        <f t="shared" si="15"/>
        <v>0.22631578947368422</v>
      </c>
      <c r="R370">
        <f>IF(AND(COUNTIF($A$2:$A$2047,A370)&gt;1,COUNTIF($A$2:A370,A370)=1),1,0)</f>
        <v>0</v>
      </c>
      <c r="S370" t="b">
        <f>IFERROR(VLOOKUP(D370,Products!$A$2:$F$61,6,FALSE()),"")</f>
        <v>1</v>
      </c>
      <c r="T370" t="str">
        <f>IF(COUNTIF(Customers!$A$2:$A$301,C370)=0,"Missing","OK")</f>
        <v>OK</v>
      </c>
      <c r="U370" t="str">
        <f t="shared" si="16"/>
        <v>Chennai</v>
      </c>
      <c r="V370">
        <f t="shared" si="17"/>
        <v>0</v>
      </c>
    </row>
    <row r="371" spans="1:22" ht="15" customHeight="1" x14ac:dyDescent="0.35">
      <c r="A371" s="3" t="s">
        <v>706</v>
      </c>
      <c r="B371" s="4">
        <v>45441</v>
      </c>
      <c r="C371" s="3" t="s">
        <v>707</v>
      </c>
      <c r="D371" s="3" t="s">
        <v>106</v>
      </c>
      <c r="E371" s="3" t="s">
        <v>37</v>
      </c>
      <c r="F371" s="5">
        <v>9</v>
      </c>
      <c r="G371" s="5">
        <v>2480</v>
      </c>
      <c r="H371" s="5">
        <v>28.3</v>
      </c>
      <c r="I371" s="5">
        <v>16003.44</v>
      </c>
      <c r="J371" s="3" t="s">
        <v>26</v>
      </c>
      <c r="K371" s="3" t="s">
        <v>27</v>
      </c>
      <c r="L371" t="str">
        <f>IFERROR(VLOOKUP(D371,Products!$A$2:$F$61,3,FALSE()),"")</f>
        <v>Apparel</v>
      </c>
      <c r="M371" t="str">
        <f>IFERROR(VLOOKUP(E371,Sales_Reps!$A$2:$C$31,3,FALSE()),"")</f>
        <v>South</v>
      </c>
      <c r="N371">
        <f>IFERROR(VLOOKUP(D371,Products!$A$2:$F$61,4,FALSE()),"")</f>
        <v>1173</v>
      </c>
      <c r="O371" t="str">
        <f>IFERROR(VLOOKUP(C371,Customers!$A$2:$F$301,5,FALSE()),"")</f>
        <v>Corporate</v>
      </c>
      <c r="P371">
        <f>IFERROR(VLOOKUP(C371,Customers!$A$2:$F$301,3,FALSE()),"")</f>
        <v>42</v>
      </c>
      <c r="Q371">
        <f t="shared" si="15"/>
        <v>0.52701612903225803</v>
      </c>
      <c r="R371">
        <f>IF(AND(COUNTIF($A$2:$A$2047,A371)&gt;1,COUNTIF($A$2:A371,A371)=1),1,0)</f>
        <v>0</v>
      </c>
      <c r="S371" t="b">
        <f>IFERROR(VLOOKUP(D371,Products!$A$2:$F$61,6,FALSE()),"")</f>
        <v>1</v>
      </c>
      <c r="T371" t="str">
        <f>IF(COUNTIF(Customers!$A$2:$A$301,C371)=0,"Missing","OK")</f>
        <v>OK</v>
      </c>
      <c r="U371" t="str">
        <f t="shared" si="16"/>
        <v>Pune</v>
      </c>
      <c r="V371">
        <f t="shared" si="17"/>
        <v>0</v>
      </c>
    </row>
    <row r="372" spans="1:22" ht="15" customHeight="1" x14ac:dyDescent="0.35">
      <c r="A372" s="3" t="s">
        <v>708</v>
      </c>
      <c r="B372" s="4">
        <v>45442</v>
      </c>
      <c r="C372" s="3" t="s">
        <v>709</v>
      </c>
      <c r="D372" s="3" t="s">
        <v>325</v>
      </c>
      <c r="E372" s="3" t="s">
        <v>42</v>
      </c>
      <c r="F372" s="5">
        <v>7</v>
      </c>
      <c r="G372" s="5">
        <v>2290</v>
      </c>
      <c r="H372" s="5">
        <v>25</v>
      </c>
      <c r="I372" s="5">
        <v>12022.5</v>
      </c>
      <c r="J372" s="3" t="s">
        <v>79</v>
      </c>
      <c r="K372" s="3" t="s">
        <v>27</v>
      </c>
      <c r="L372" t="str">
        <f>IFERROR(VLOOKUP(D372,Products!$A$2:$F$61,3,FALSE()),"")</f>
        <v>Beauty</v>
      </c>
      <c r="M372" t="str">
        <f>IFERROR(VLOOKUP(E372,Sales_Reps!$A$2:$C$31,3,FALSE()),"")</f>
        <v>North</v>
      </c>
      <c r="N372">
        <f>IFERROR(VLOOKUP(D372,Products!$A$2:$F$61,4,FALSE()),"")</f>
        <v>1219</v>
      </c>
      <c r="O372" t="str">
        <f>IFERROR(VLOOKUP(C372,Customers!$A$2:$F$301,5,FALSE()),"")</f>
        <v>Retail</v>
      </c>
      <c r="P372">
        <f>IFERROR(VLOOKUP(C372,Customers!$A$2:$F$301,3,FALSE()),"")</f>
        <v>35</v>
      </c>
      <c r="Q372">
        <f t="shared" si="15"/>
        <v>0.46768558951965067</v>
      </c>
      <c r="R372">
        <f>IF(AND(COUNTIF($A$2:$A$2047,A372)&gt;1,COUNTIF($A$2:A372,A372)=1),1,0)</f>
        <v>0</v>
      </c>
      <c r="S372" t="b">
        <f>IFERROR(VLOOKUP(D372,Products!$A$2:$F$61,6,FALSE()),"")</f>
        <v>1</v>
      </c>
      <c r="T372" t="str">
        <f>IF(COUNTIF(Customers!$A$2:$A$301,C372)=0,"Missing","OK")</f>
        <v>OK</v>
      </c>
      <c r="U372" t="str">
        <f t="shared" si="16"/>
        <v>Pune</v>
      </c>
      <c r="V372">
        <f t="shared" si="17"/>
        <v>0</v>
      </c>
    </row>
    <row r="373" spans="1:22" ht="15" customHeight="1" x14ac:dyDescent="0.35">
      <c r="A373" s="3" t="s">
        <v>710</v>
      </c>
      <c r="B373" s="4">
        <v>45567</v>
      </c>
      <c r="C373" s="3" t="s">
        <v>175</v>
      </c>
      <c r="D373" s="3" t="s">
        <v>198</v>
      </c>
      <c r="E373" s="3" t="s">
        <v>127</v>
      </c>
      <c r="F373" s="5">
        <v>9</v>
      </c>
      <c r="G373" s="5">
        <v>1540</v>
      </c>
      <c r="H373" s="5">
        <v>23.3</v>
      </c>
      <c r="I373" s="5">
        <v>10630.62</v>
      </c>
      <c r="J373" s="3" t="s">
        <v>26</v>
      </c>
      <c r="K373" s="3" t="s">
        <v>72</v>
      </c>
      <c r="L373" t="str">
        <f>IFERROR(VLOOKUP(D373,Products!$A$2:$F$61,3,FALSE()),"")</f>
        <v>Beauty</v>
      </c>
      <c r="M373" t="str">
        <f>IFERROR(VLOOKUP(E373,Sales_Reps!$A$2:$C$31,3,FALSE()),"")</f>
        <v>South</v>
      </c>
      <c r="N373">
        <f>IFERROR(VLOOKUP(D373,Products!$A$2:$F$61,4,FALSE()),"")</f>
        <v>647</v>
      </c>
      <c r="O373" t="str">
        <f>IFERROR(VLOOKUP(C373,Customers!$A$2:$F$301,5,FALSE()),"")</f>
        <v>Retail</v>
      </c>
      <c r="P373">
        <f>IFERROR(VLOOKUP(C373,Customers!$A$2:$F$301,3,FALSE()),"")</f>
        <v>64</v>
      </c>
      <c r="Q373">
        <f t="shared" si="15"/>
        <v>0.57987012987012987</v>
      </c>
      <c r="R373">
        <f>IF(AND(COUNTIF($A$2:$A$2047,A373)&gt;1,COUNTIF($A$2:A373,A373)=1),1,0)</f>
        <v>1</v>
      </c>
      <c r="S373" t="b">
        <f>IFERROR(VLOOKUP(D373,Products!$A$2:$F$61,6,FALSE()),"")</f>
        <v>0</v>
      </c>
      <c r="T373" t="str">
        <f>IF(COUNTIF(Customers!$A$2:$A$301,C373)=0,"Missing","OK")</f>
        <v>OK</v>
      </c>
      <c r="U373" t="str">
        <f t="shared" si="16"/>
        <v>Hyderabad</v>
      </c>
      <c r="V373">
        <f t="shared" si="17"/>
        <v>0</v>
      </c>
    </row>
    <row r="374" spans="1:22" ht="15" customHeight="1" x14ac:dyDescent="0.35">
      <c r="A374" s="3" t="s">
        <v>711</v>
      </c>
      <c r="B374" s="4">
        <v>45653</v>
      </c>
      <c r="C374" s="3" t="s">
        <v>298</v>
      </c>
      <c r="D374" s="3" t="s">
        <v>382</v>
      </c>
      <c r="E374" s="3" t="s">
        <v>50</v>
      </c>
      <c r="F374" s="5">
        <v>2</v>
      </c>
      <c r="G374" s="5">
        <v>5080</v>
      </c>
      <c r="H374" s="5">
        <v>2.5</v>
      </c>
      <c r="I374" s="5">
        <v>9906</v>
      </c>
      <c r="J374" s="3" t="s">
        <v>79</v>
      </c>
      <c r="K374" s="3" t="s">
        <v>38</v>
      </c>
      <c r="L374" t="str">
        <f>IFERROR(VLOOKUP(D374,Products!$A$2:$F$61,3,FALSE()),"")</f>
        <v>Home</v>
      </c>
      <c r="M374" t="str">
        <f>IFERROR(VLOOKUP(E374,Sales_Reps!$A$2:$C$31,3,FALSE()),"")</f>
        <v>West</v>
      </c>
      <c r="N374">
        <f>IFERROR(VLOOKUP(D374,Products!$A$2:$F$61,4,FALSE()),"")</f>
        <v>2459</v>
      </c>
      <c r="O374" t="str">
        <f>IFERROR(VLOOKUP(C374,Customers!$A$2:$F$301,5,FALSE()),"")</f>
        <v>SMB</v>
      </c>
      <c r="P374">
        <f>IFERROR(VLOOKUP(C374,Customers!$A$2:$F$301,3,FALSE()),"")</f>
        <v>28</v>
      </c>
      <c r="Q374">
        <f t="shared" si="15"/>
        <v>0.51594488188976373</v>
      </c>
      <c r="R374">
        <f>IF(AND(COUNTIF($A$2:$A$2047,A374)&gt;1,COUNTIF($A$2:A374,A374)=1),1,0)</f>
        <v>0</v>
      </c>
      <c r="S374" t="b">
        <f>IFERROR(VLOOKUP(D374,Products!$A$2:$F$61,6,FALSE()),"")</f>
        <v>1</v>
      </c>
      <c r="T374" t="str">
        <f>IF(COUNTIF(Customers!$A$2:$A$301,C374)=0,"Missing","OK")</f>
        <v>OK</v>
      </c>
      <c r="U374" t="str">
        <f t="shared" si="16"/>
        <v>Delhi</v>
      </c>
      <c r="V374">
        <f t="shared" si="17"/>
        <v>0</v>
      </c>
    </row>
    <row r="375" spans="1:22" ht="15" customHeight="1" x14ac:dyDescent="0.35">
      <c r="A375" s="3" t="s">
        <v>712</v>
      </c>
      <c r="B375" s="4">
        <v>45331</v>
      </c>
      <c r="C375" s="3" t="s">
        <v>432</v>
      </c>
      <c r="D375" s="3" t="s">
        <v>294</v>
      </c>
      <c r="E375" s="3" t="s">
        <v>285</v>
      </c>
      <c r="F375" s="5">
        <v>4</v>
      </c>
      <c r="G375" s="5">
        <v>2510</v>
      </c>
      <c r="H375" s="5">
        <v>23.6</v>
      </c>
      <c r="I375" s="5">
        <v>7670.56</v>
      </c>
      <c r="J375" s="3" t="s">
        <v>26</v>
      </c>
      <c r="K375" s="3" t="s">
        <v>27</v>
      </c>
      <c r="L375" t="str">
        <f>IFERROR(VLOOKUP(D375,Products!$A$2:$F$61,3,FALSE()),"")</f>
        <v>Apparel</v>
      </c>
      <c r="M375" t="str">
        <f>IFERROR(VLOOKUP(E375,Sales_Reps!$A$2:$C$31,3,FALSE()),"")</f>
        <v>South</v>
      </c>
      <c r="N375">
        <f>IFERROR(VLOOKUP(D375,Products!$A$2:$F$61,4,FALSE()),"")</f>
        <v>1075</v>
      </c>
      <c r="O375" t="str">
        <f>IFERROR(VLOOKUP(C375,Customers!$A$2:$F$301,5,FALSE()),"")</f>
        <v>Retail</v>
      </c>
      <c r="P375">
        <f>IFERROR(VLOOKUP(C375,Customers!$A$2:$F$301,3,FALSE()),"")</f>
        <v>57</v>
      </c>
      <c r="Q375">
        <f t="shared" si="15"/>
        <v>0.57171314741035861</v>
      </c>
      <c r="R375">
        <f>IF(AND(COUNTIF($A$2:$A$2047,A375)&gt;1,COUNTIF($A$2:A375,A375)=1),1,0)</f>
        <v>0</v>
      </c>
      <c r="S375" t="b">
        <f>IFERROR(VLOOKUP(D375,Products!$A$2:$F$61,6,FALSE()),"")</f>
        <v>0</v>
      </c>
      <c r="T375" t="str">
        <f>IF(COUNTIF(Customers!$A$2:$A$301,C375)=0,"Missing","OK")</f>
        <v>OK</v>
      </c>
      <c r="U375" t="str">
        <f t="shared" si="16"/>
        <v>Pune</v>
      </c>
      <c r="V375">
        <f t="shared" si="17"/>
        <v>0</v>
      </c>
    </row>
    <row r="376" spans="1:22" ht="15" customHeight="1" x14ac:dyDescent="0.35">
      <c r="A376" s="3" t="s">
        <v>713</v>
      </c>
      <c r="B376" s="4">
        <v>45332</v>
      </c>
      <c r="C376" s="3" t="s">
        <v>298</v>
      </c>
      <c r="D376" s="3" t="s">
        <v>325</v>
      </c>
      <c r="E376" s="3" t="s">
        <v>212</v>
      </c>
      <c r="F376" s="5">
        <v>5</v>
      </c>
      <c r="G376" s="5">
        <v>2290</v>
      </c>
      <c r="H376" s="5">
        <v>17</v>
      </c>
      <c r="I376" s="5">
        <v>9503.5</v>
      </c>
      <c r="J376" s="3" t="s">
        <v>26</v>
      </c>
      <c r="K376" s="3" t="s">
        <v>38</v>
      </c>
      <c r="L376" t="str">
        <f>IFERROR(VLOOKUP(D376,Products!$A$2:$F$61,3,FALSE()),"")</f>
        <v>Beauty</v>
      </c>
      <c r="M376" t="str">
        <f>IFERROR(VLOOKUP(E376,Sales_Reps!$A$2:$C$31,3,FALSE()),"")</f>
        <v>South</v>
      </c>
      <c r="N376">
        <f>IFERROR(VLOOKUP(D376,Products!$A$2:$F$61,4,FALSE()),"")</f>
        <v>1219</v>
      </c>
      <c r="O376" t="str">
        <f>IFERROR(VLOOKUP(C376,Customers!$A$2:$F$301,5,FALSE()),"")</f>
        <v>SMB</v>
      </c>
      <c r="P376">
        <f>IFERROR(VLOOKUP(C376,Customers!$A$2:$F$301,3,FALSE()),"")</f>
        <v>28</v>
      </c>
      <c r="Q376">
        <f t="shared" si="15"/>
        <v>0.46768558951965067</v>
      </c>
      <c r="R376">
        <f>IF(AND(COUNTIF($A$2:$A$2047,A376)&gt;1,COUNTIF($A$2:A376,A376)=1),1,0)</f>
        <v>0</v>
      </c>
      <c r="S376" t="b">
        <f>IFERROR(VLOOKUP(D376,Products!$A$2:$F$61,6,FALSE()),"")</f>
        <v>1</v>
      </c>
      <c r="T376" t="str">
        <f>IF(COUNTIF(Customers!$A$2:$A$301,C376)=0,"Missing","OK")</f>
        <v>OK</v>
      </c>
      <c r="U376" t="str">
        <f t="shared" si="16"/>
        <v>Delhi</v>
      </c>
      <c r="V376">
        <f t="shared" si="17"/>
        <v>0</v>
      </c>
    </row>
    <row r="377" spans="1:22" ht="15" customHeight="1" x14ac:dyDescent="0.35">
      <c r="A377" s="3" t="s">
        <v>714</v>
      </c>
      <c r="B377" s="4">
        <v>45340</v>
      </c>
      <c r="C377" s="3" t="s">
        <v>267</v>
      </c>
      <c r="D377" s="3" t="s">
        <v>36</v>
      </c>
      <c r="E377" s="3" t="s">
        <v>42</v>
      </c>
      <c r="F377" s="5">
        <v>8</v>
      </c>
      <c r="G377" s="5">
        <v>470</v>
      </c>
      <c r="H377" s="5">
        <v>9.3000000000000007</v>
      </c>
      <c r="I377" s="5">
        <v>3410.32</v>
      </c>
      <c r="J377" s="3" t="s">
        <v>26</v>
      </c>
      <c r="K377" s="3" t="s">
        <v>33</v>
      </c>
      <c r="L377" t="str">
        <f>IFERROR(VLOOKUP(D377,Products!$A$2:$F$61,3,FALSE()),"")</f>
        <v>Sports</v>
      </c>
      <c r="M377" t="str">
        <f>IFERROR(VLOOKUP(E377,Sales_Reps!$A$2:$C$31,3,FALSE()),"")</f>
        <v>North</v>
      </c>
      <c r="N377">
        <f>IFERROR(VLOOKUP(D377,Products!$A$2:$F$61,4,FALSE()),"")</f>
        <v>302</v>
      </c>
      <c r="O377" t="str">
        <f>IFERROR(VLOOKUP(C377,Customers!$A$2:$F$301,5,FALSE()),"")</f>
        <v>Retail</v>
      </c>
      <c r="P377">
        <f>IFERROR(VLOOKUP(C377,Customers!$A$2:$F$301,3,FALSE()),"")</f>
        <v>28</v>
      </c>
      <c r="Q377">
        <f t="shared" si="15"/>
        <v>0.35744680851063831</v>
      </c>
      <c r="R377">
        <f>IF(AND(COUNTIF($A$2:$A$2047,A377)&gt;1,COUNTIF($A$2:A377,A377)=1),1,0)</f>
        <v>0</v>
      </c>
      <c r="S377" t="b">
        <f>IFERROR(VLOOKUP(D377,Products!$A$2:$F$61,6,FALSE()),"")</f>
        <v>0</v>
      </c>
      <c r="T377" t="str">
        <f>IF(COUNTIF(Customers!$A$2:$A$301,C377)=0,"Missing","OK")</f>
        <v>OK</v>
      </c>
      <c r="U377" t="str">
        <f t="shared" si="16"/>
        <v>Chennai</v>
      </c>
      <c r="V377">
        <f t="shared" si="17"/>
        <v>0</v>
      </c>
    </row>
    <row r="378" spans="1:22" ht="15" customHeight="1" x14ac:dyDescent="0.35">
      <c r="A378" s="3" t="s">
        <v>715</v>
      </c>
      <c r="B378" s="4">
        <v>45564</v>
      </c>
      <c r="C378" s="3" t="s">
        <v>259</v>
      </c>
      <c r="D378" s="3" t="s">
        <v>130</v>
      </c>
      <c r="E378" s="3" t="s">
        <v>143</v>
      </c>
      <c r="F378" s="5">
        <v>8</v>
      </c>
      <c r="G378" s="5">
        <v>5100</v>
      </c>
      <c r="H378" s="5">
        <v>4.5999999999999996</v>
      </c>
      <c r="I378" s="5">
        <v>38923.199999999997</v>
      </c>
      <c r="J378" s="3" t="s">
        <v>26</v>
      </c>
      <c r="K378" s="3" t="s">
        <v>72</v>
      </c>
      <c r="L378" t="str">
        <f>IFERROR(VLOOKUP(D378,Products!$A$2:$F$61,3,FALSE()),"")</f>
        <v>Beauty</v>
      </c>
      <c r="M378" t="str">
        <f>IFERROR(VLOOKUP(E378,Sales_Reps!$A$2:$C$31,3,FALSE()),"")</f>
        <v>South</v>
      </c>
      <c r="N378">
        <f>IFERROR(VLOOKUP(D378,Products!$A$2:$F$61,4,FALSE()),"")</f>
        <v>2237</v>
      </c>
      <c r="O378" t="str">
        <f>IFERROR(VLOOKUP(C378,Customers!$A$2:$F$301,5,FALSE()),"")</f>
        <v>SMB</v>
      </c>
      <c r="P378">
        <f>IFERROR(VLOOKUP(C378,Customers!$A$2:$F$301,3,FALSE()),"")</f>
        <v>36</v>
      </c>
      <c r="Q378">
        <f t="shared" si="15"/>
        <v>0.56137254901960787</v>
      </c>
      <c r="R378">
        <f>IF(AND(COUNTIF($A$2:$A$2047,A378)&gt;1,COUNTIF($A$2:A378,A378)=1),1,0)</f>
        <v>0</v>
      </c>
      <c r="S378" t="b">
        <f>IFERROR(VLOOKUP(D378,Products!$A$2:$F$61,6,FALSE()),"")</f>
        <v>1</v>
      </c>
      <c r="T378" t="str">
        <f>IF(COUNTIF(Customers!$A$2:$A$301,C378)=0,"Missing","OK")</f>
        <v>OK</v>
      </c>
      <c r="U378" t="str">
        <f t="shared" si="16"/>
        <v>Hyderabad</v>
      </c>
      <c r="V378">
        <f t="shared" si="17"/>
        <v>0</v>
      </c>
    </row>
    <row r="379" spans="1:22" ht="15" customHeight="1" x14ac:dyDescent="0.35">
      <c r="A379" s="3" t="s">
        <v>716</v>
      </c>
      <c r="B379" s="4">
        <v>45296</v>
      </c>
      <c r="C379" s="3" t="s">
        <v>521</v>
      </c>
      <c r="D379" s="3" t="s">
        <v>303</v>
      </c>
      <c r="E379" s="3" t="s">
        <v>71</v>
      </c>
      <c r="F379" s="5">
        <v>7</v>
      </c>
      <c r="G379" s="5">
        <v>5330</v>
      </c>
      <c r="H379" s="5">
        <v>2.5</v>
      </c>
      <c r="I379" s="5">
        <v>36377.25</v>
      </c>
      <c r="J379" s="3" t="s">
        <v>26</v>
      </c>
      <c r="K379" s="3" t="s">
        <v>33</v>
      </c>
      <c r="L379" t="str">
        <f>IFERROR(VLOOKUP(D379,Products!$A$2:$F$61,3,FALSE()),"")</f>
        <v>Electronics</v>
      </c>
      <c r="M379" t="str">
        <f>IFERROR(VLOOKUP(E379,Sales_Reps!$A$2:$C$31,3,FALSE()),"")</f>
        <v>South</v>
      </c>
      <c r="N379">
        <f>IFERROR(VLOOKUP(D379,Products!$A$2:$F$61,4,FALSE()),"")</f>
        <v>2405</v>
      </c>
      <c r="O379" t="str">
        <f>IFERROR(VLOOKUP(C379,Customers!$A$2:$F$301,5,FALSE()),"")</f>
        <v>SMB</v>
      </c>
      <c r="P379">
        <f>IFERROR(VLOOKUP(C379,Customers!$A$2:$F$301,3,FALSE()),"")</f>
        <v>59</v>
      </c>
      <c r="Q379">
        <f t="shared" si="15"/>
        <v>0.54878048780487809</v>
      </c>
      <c r="R379">
        <f>IF(AND(COUNTIF($A$2:$A$2047,A379)&gt;1,COUNTIF($A$2:A379,A379)=1),1,0)</f>
        <v>0</v>
      </c>
      <c r="S379" t="b">
        <f>IFERROR(VLOOKUP(D379,Products!$A$2:$F$61,6,FALSE()),"")</f>
        <v>1</v>
      </c>
      <c r="T379" t="str">
        <f>IF(COUNTIF(Customers!$A$2:$A$301,C379)=0,"Missing","OK")</f>
        <v>OK</v>
      </c>
      <c r="U379" t="str">
        <f t="shared" si="16"/>
        <v>Chennai</v>
      </c>
      <c r="V379">
        <f t="shared" si="17"/>
        <v>0</v>
      </c>
    </row>
    <row r="380" spans="1:22" ht="15" customHeight="1" x14ac:dyDescent="0.35">
      <c r="A380" s="3" t="s">
        <v>717</v>
      </c>
      <c r="B380" s="4">
        <v>45364</v>
      </c>
      <c r="C380" s="3" t="s">
        <v>718</v>
      </c>
      <c r="D380" s="3" t="s">
        <v>234</v>
      </c>
      <c r="E380" s="3" t="s">
        <v>67</v>
      </c>
      <c r="F380" s="5">
        <v>10</v>
      </c>
      <c r="G380" s="5">
        <v>2030</v>
      </c>
      <c r="H380" s="5">
        <v>8.5</v>
      </c>
      <c r="I380" s="5">
        <v>18574.5</v>
      </c>
      <c r="J380" s="3" t="s">
        <v>26</v>
      </c>
      <c r="K380" s="3" t="s">
        <v>56</v>
      </c>
      <c r="L380" t="str">
        <f>IFERROR(VLOOKUP(D380,Products!$A$2:$F$61,3,FALSE()),"")</f>
        <v>Home</v>
      </c>
      <c r="M380" t="str">
        <f>IFERROR(VLOOKUP(E380,Sales_Reps!$A$2:$C$31,3,FALSE()),"")</f>
        <v>West</v>
      </c>
      <c r="N380">
        <f>IFERROR(VLOOKUP(D380,Products!$A$2:$F$61,4,FALSE()),"")</f>
        <v>1143</v>
      </c>
      <c r="O380" t="str">
        <f>IFERROR(VLOOKUP(C380,Customers!$A$2:$F$301,5,FALSE()),"")</f>
        <v>Retail</v>
      </c>
      <c r="P380">
        <f>IFERROR(VLOOKUP(C380,Customers!$A$2:$F$301,3,FALSE()),"")</f>
        <v>27</v>
      </c>
      <c r="Q380">
        <f t="shared" si="15"/>
        <v>0.43694581280788175</v>
      </c>
      <c r="R380">
        <f>IF(AND(COUNTIF($A$2:$A$2047,A380)&gt;1,COUNTIF($A$2:A380,A380)=1),1,0)</f>
        <v>0</v>
      </c>
      <c r="S380" t="b">
        <f>IFERROR(VLOOKUP(D380,Products!$A$2:$F$61,6,FALSE()),"")</f>
        <v>1</v>
      </c>
      <c r="T380" t="str">
        <f>IF(COUNTIF(Customers!$A$2:$A$301,C380)=0,"Missing","OK")</f>
        <v>OK</v>
      </c>
      <c r="U380" t="str">
        <f t="shared" si="16"/>
        <v>Bengaluru</v>
      </c>
      <c r="V380">
        <f t="shared" si="17"/>
        <v>0</v>
      </c>
    </row>
    <row r="381" spans="1:22" ht="15" customHeight="1" x14ac:dyDescent="0.35">
      <c r="A381" s="3" t="s">
        <v>719</v>
      </c>
      <c r="B381" s="4">
        <v>45560</v>
      </c>
      <c r="C381" s="3" t="s">
        <v>720</v>
      </c>
      <c r="D381" s="3" t="s">
        <v>382</v>
      </c>
      <c r="E381" s="3" t="s">
        <v>87</v>
      </c>
      <c r="F381" s="5">
        <v>8</v>
      </c>
      <c r="G381" s="5">
        <v>5080</v>
      </c>
      <c r="H381" s="5">
        <v>9.6</v>
      </c>
      <c r="I381" s="5">
        <v>36738.559999999998</v>
      </c>
      <c r="J381" s="3" t="s">
        <v>79</v>
      </c>
      <c r="K381" s="3" t="s">
        <v>38</v>
      </c>
      <c r="L381" t="str">
        <f>IFERROR(VLOOKUP(D381,Products!$A$2:$F$61,3,FALSE()),"")</f>
        <v>Home</v>
      </c>
      <c r="M381" t="str">
        <f>IFERROR(VLOOKUP(E381,Sales_Reps!$A$2:$C$31,3,FALSE()),"")</f>
        <v>North</v>
      </c>
      <c r="N381">
        <f>IFERROR(VLOOKUP(D381,Products!$A$2:$F$61,4,FALSE()),"")</f>
        <v>2459</v>
      </c>
      <c r="O381" t="str">
        <f>IFERROR(VLOOKUP(C381,Customers!$A$2:$F$301,5,FALSE()),"")</f>
        <v>SMB</v>
      </c>
      <c r="P381">
        <f>IFERROR(VLOOKUP(C381,Customers!$A$2:$F$301,3,FALSE()),"")</f>
        <v>29</v>
      </c>
      <c r="Q381">
        <f t="shared" si="15"/>
        <v>0.51594488188976373</v>
      </c>
      <c r="R381">
        <f>IF(AND(COUNTIF($A$2:$A$2047,A381)&gt;1,COUNTIF($A$2:A381,A381)=1),1,0)</f>
        <v>0</v>
      </c>
      <c r="S381" t="b">
        <f>IFERROR(VLOOKUP(D381,Products!$A$2:$F$61,6,FALSE()),"")</f>
        <v>1</v>
      </c>
      <c r="T381" t="str">
        <f>IF(COUNTIF(Customers!$A$2:$A$301,C381)=0,"Missing","OK")</f>
        <v>OK</v>
      </c>
      <c r="U381" t="str">
        <f t="shared" si="16"/>
        <v>Delhi</v>
      </c>
      <c r="V381">
        <f t="shared" si="17"/>
        <v>0</v>
      </c>
    </row>
    <row r="382" spans="1:22" ht="15" customHeight="1" x14ac:dyDescent="0.35">
      <c r="A382" s="3" t="s">
        <v>721</v>
      </c>
      <c r="B382" s="4">
        <v>45378</v>
      </c>
      <c r="C382" s="3" t="s">
        <v>114</v>
      </c>
      <c r="D382" s="3" t="s">
        <v>306</v>
      </c>
      <c r="E382" s="3" t="s">
        <v>37</v>
      </c>
      <c r="F382" s="5">
        <v>1</v>
      </c>
      <c r="G382" s="5">
        <v>2380</v>
      </c>
      <c r="H382" s="5">
        <v>11.6</v>
      </c>
      <c r="I382" s="5">
        <v>2103.92</v>
      </c>
      <c r="J382" s="3" t="s">
        <v>32</v>
      </c>
      <c r="K382" s="3" t="s">
        <v>72</v>
      </c>
      <c r="L382" t="str">
        <f>IFERROR(VLOOKUP(D382,Products!$A$2:$F$61,3,FALSE()),"")</f>
        <v>Grocery</v>
      </c>
      <c r="M382" t="str">
        <f>IFERROR(VLOOKUP(E382,Sales_Reps!$A$2:$C$31,3,FALSE()),"")</f>
        <v>South</v>
      </c>
      <c r="N382">
        <f>IFERROR(VLOOKUP(D382,Products!$A$2:$F$61,4,FALSE()),"")</f>
        <v>1182</v>
      </c>
      <c r="O382" t="str">
        <f>IFERROR(VLOOKUP(C382,Customers!$A$2:$F$301,5,FALSE()),"")</f>
        <v>SMB</v>
      </c>
      <c r="P382">
        <f>IFERROR(VLOOKUP(C382,Customers!$A$2:$F$301,3,FALSE()),"")</f>
        <v>40</v>
      </c>
      <c r="Q382">
        <f t="shared" si="15"/>
        <v>0.50336134453781511</v>
      </c>
      <c r="R382">
        <f>IF(AND(COUNTIF($A$2:$A$2047,A382)&gt;1,COUNTIF($A$2:A382,A382)=1),1,0)</f>
        <v>0</v>
      </c>
      <c r="S382" t="b">
        <f>IFERROR(VLOOKUP(D382,Products!$A$2:$F$61,6,FALSE()),"")</f>
        <v>1</v>
      </c>
      <c r="T382" t="str">
        <f>IF(COUNTIF(Customers!$A$2:$A$301,C382)=0,"Missing","OK")</f>
        <v>OK</v>
      </c>
      <c r="U382" t="str">
        <f t="shared" si="16"/>
        <v>Hyderabad</v>
      </c>
      <c r="V382">
        <f t="shared" si="17"/>
        <v>0</v>
      </c>
    </row>
    <row r="383" spans="1:22" ht="15" customHeight="1" x14ac:dyDescent="0.35">
      <c r="A383" s="3" t="s">
        <v>722</v>
      </c>
      <c r="B383" s="4">
        <v>45590</v>
      </c>
      <c r="C383" s="3" t="s">
        <v>211</v>
      </c>
      <c r="D383" s="3" t="s">
        <v>198</v>
      </c>
      <c r="E383" s="3" t="s">
        <v>282</v>
      </c>
      <c r="F383" s="5">
        <v>8</v>
      </c>
      <c r="G383" s="5">
        <v>1540</v>
      </c>
      <c r="H383" s="5">
        <v>27.8</v>
      </c>
      <c r="I383" s="5">
        <v>8895.0400000000009</v>
      </c>
      <c r="J383" s="3" t="s">
        <v>26</v>
      </c>
      <c r="K383" s="3" t="s">
        <v>33</v>
      </c>
      <c r="L383" t="str">
        <f>IFERROR(VLOOKUP(D383,Products!$A$2:$F$61,3,FALSE()),"")</f>
        <v>Beauty</v>
      </c>
      <c r="M383" t="str">
        <f>IFERROR(VLOOKUP(E383,Sales_Reps!$A$2:$C$31,3,FALSE()),"")</f>
        <v>West</v>
      </c>
      <c r="N383">
        <f>IFERROR(VLOOKUP(D383,Products!$A$2:$F$61,4,FALSE()),"")</f>
        <v>647</v>
      </c>
      <c r="O383" t="str">
        <f>IFERROR(VLOOKUP(C383,Customers!$A$2:$F$301,5,FALSE()),"")</f>
        <v>SMB</v>
      </c>
      <c r="P383">
        <f>IFERROR(VLOOKUP(C383,Customers!$A$2:$F$301,3,FALSE()),"")</f>
        <v>55</v>
      </c>
      <c r="Q383">
        <f t="shared" si="15"/>
        <v>0.57987012987012987</v>
      </c>
      <c r="R383">
        <f>IF(AND(COUNTIF($A$2:$A$2047,A383)&gt;1,COUNTIF($A$2:A383,A383)=1),1,0)</f>
        <v>0</v>
      </c>
      <c r="S383" t="b">
        <f>IFERROR(VLOOKUP(D383,Products!$A$2:$F$61,6,FALSE()),"")</f>
        <v>0</v>
      </c>
      <c r="T383" t="str">
        <f>IF(COUNTIF(Customers!$A$2:$A$301,C383)=0,"Missing","OK")</f>
        <v>OK</v>
      </c>
      <c r="U383" t="str">
        <f t="shared" si="16"/>
        <v>Chennai</v>
      </c>
      <c r="V383">
        <f t="shared" si="17"/>
        <v>0</v>
      </c>
    </row>
    <row r="384" spans="1:22" ht="15" customHeight="1" x14ac:dyDescent="0.35">
      <c r="A384" s="3" t="s">
        <v>723</v>
      </c>
      <c r="B384" s="4">
        <v>45591</v>
      </c>
      <c r="C384" s="3" t="s">
        <v>724</v>
      </c>
      <c r="D384" s="3" t="s">
        <v>70</v>
      </c>
      <c r="E384" s="3" t="s">
        <v>55</v>
      </c>
      <c r="F384" s="5">
        <v>1</v>
      </c>
      <c r="G384" s="5">
        <v>2270</v>
      </c>
      <c r="H384" s="5">
        <v>6.5</v>
      </c>
      <c r="I384" s="5">
        <v>2122.4499999999998</v>
      </c>
      <c r="J384" s="3" t="s">
        <v>32</v>
      </c>
      <c r="K384" s="3" t="s">
        <v>725</v>
      </c>
      <c r="L384" t="str">
        <f>IFERROR(VLOOKUP(D384,Products!$A$2:$F$61,3,FALSE()),"")</f>
        <v>Grocery</v>
      </c>
      <c r="M384" t="str">
        <f>IFERROR(VLOOKUP(E384,Sales_Reps!$A$2:$C$31,3,FALSE()),"")</f>
        <v>West</v>
      </c>
      <c r="N384">
        <f>IFERROR(VLOOKUP(D384,Products!$A$2:$F$61,4,FALSE()),"")</f>
        <v>1203</v>
      </c>
      <c r="O384" t="str">
        <f>IFERROR(VLOOKUP(C384,Customers!$A$2:$F$301,5,FALSE()),"")</f>
        <v>Retail</v>
      </c>
      <c r="P384">
        <f>IFERROR(VLOOKUP(C384,Customers!$A$2:$F$301,3,FALSE()),"")</f>
        <v>31</v>
      </c>
      <c r="Q384">
        <f t="shared" si="15"/>
        <v>0.47004405286343615</v>
      </c>
      <c r="R384">
        <f>IF(AND(COUNTIF($A$2:$A$2047,A384)&gt;1,COUNTIF($A$2:A384,A384)=1),1,0)</f>
        <v>0</v>
      </c>
      <c r="S384" t="b">
        <f>IFERROR(VLOOKUP(D384,Products!$A$2:$F$61,6,FALSE()),"")</f>
        <v>1</v>
      </c>
      <c r="T384" t="str">
        <f>IF(COUNTIF(Customers!$A$2:$A$301,C384)=0,"Missing","OK")</f>
        <v>OK</v>
      </c>
      <c r="U384" t="str">
        <f t="shared" si="16"/>
        <v>Pune</v>
      </c>
      <c r="V384">
        <f t="shared" si="17"/>
        <v>0</v>
      </c>
    </row>
    <row r="385" spans="1:22" ht="15" customHeight="1" x14ac:dyDescent="0.35">
      <c r="A385" s="3" t="s">
        <v>726</v>
      </c>
      <c r="B385" s="4">
        <v>45503</v>
      </c>
      <c r="C385" s="3" t="s">
        <v>255</v>
      </c>
      <c r="D385" s="3" t="s">
        <v>106</v>
      </c>
      <c r="E385" s="3" t="s">
        <v>67</v>
      </c>
      <c r="F385" s="5">
        <v>6</v>
      </c>
      <c r="G385" s="5">
        <v>2480</v>
      </c>
      <c r="H385" s="5">
        <v>25.9</v>
      </c>
      <c r="I385" s="5">
        <v>11026.08</v>
      </c>
      <c r="J385" s="3" t="s">
        <v>26</v>
      </c>
      <c r="K385" s="3" t="s">
        <v>27</v>
      </c>
      <c r="L385" t="str">
        <f>IFERROR(VLOOKUP(D385,Products!$A$2:$F$61,3,FALSE()),"")</f>
        <v>Apparel</v>
      </c>
      <c r="M385" t="str">
        <f>IFERROR(VLOOKUP(E385,Sales_Reps!$A$2:$C$31,3,FALSE()),"")</f>
        <v>West</v>
      </c>
      <c r="N385">
        <f>IFERROR(VLOOKUP(D385,Products!$A$2:$F$61,4,FALSE()),"")</f>
        <v>1173</v>
      </c>
      <c r="O385" t="str">
        <f>IFERROR(VLOOKUP(C385,Customers!$A$2:$F$301,5,FALSE()),"")</f>
        <v>SMB</v>
      </c>
      <c r="P385">
        <f>IFERROR(VLOOKUP(C385,Customers!$A$2:$F$301,3,FALSE()),"")</f>
        <v>60</v>
      </c>
      <c r="Q385">
        <f t="shared" si="15"/>
        <v>0.52701612903225803</v>
      </c>
      <c r="R385">
        <f>IF(AND(COUNTIF($A$2:$A$2047,A385)&gt;1,COUNTIF($A$2:A385,A385)=1),1,0)</f>
        <v>0</v>
      </c>
      <c r="S385" t="b">
        <f>IFERROR(VLOOKUP(D385,Products!$A$2:$F$61,6,FALSE()),"")</f>
        <v>1</v>
      </c>
      <c r="T385" t="str">
        <f>IF(COUNTIF(Customers!$A$2:$A$301,C385)=0,"Missing","OK")</f>
        <v>OK</v>
      </c>
      <c r="U385" t="str">
        <f t="shared" si="16"/>
        <v>Pune</v>
      </c>
      <c r="V385">
        <f t="shared" si="17"/>
        <v>0</v>
      </c>
    </row>
    <row r="386" spans="1:22" ht="15" customHeight="1" x14ac:dyDescent="0.35">
      <c r="A386" s="3" t="s">
        <v>727</v>
      </c>
      <c r="B386" s="4">
        <v>45608</v>
      </c>
      <c r="C386" s="3" t="s">
        <v>257</v>
      </c>
      <c r="D386" s="3" t="s">
        <v>598</v>
      </c>
      <c r="E386" s="3" t="s">
        <v>60</v>
      </c>
      <c r="F386" s="5">
        <v>3</v>
      </c>
      <c r="G386" s="5">
        <v>3560</v>
      </c>
      <c r="H386" s="5">
        <v>0.4</v>
      </c>
      <c r="I386" s="5">
        <v>10637.28</v>
      </c>
      <c r="J386" s="3" t="s">
        <v>83</v>
      </c>
      <c r="K386" s="3" t="s">
        <v>33</v>
      </c>
      <c r="L386" t="str">
        <f>IFERROR(VLOOKUP(D386,Products!$A$2:$F$61,3,FALSE()),"")</f>
        <v>Apparel</v>
      </c>
      <c r="M386" t="str">
        <f>IFERROR(VLOOKUP(E386,Sales_Reps!$A$2:$C$31,3,FALSE()),"")</f>
        <v>East</v>
      </c>
      <c r="N386">
        <f>IFERROR(VLOOKUP(D386,Products!$A$2:$F$61,4,FALSE()),"")</f>
        <v>2629</v>
      </c>
      <c r="O386" t="str">
        <f>IFERROR(VLOOKUP(C386,Customers!$A$2:$F$301,5,FALSE()),"")</f>
        <v>SMB</v>
      </c>
      <c r="P386">
        <f>IFERROR(VLOOKUP(C386,Customers!$A$2:$F$301,3,FALSE()),"")</f>
        <v>57</v>
      </c>
      <c r="Q386">
        <f t="shared" ref="Q386:Q449" si="18">IFERROR((G386-N386)/G386,"")</f>
        <v>0.26151685393258428</v>
      </c>
      <c r="R386">
        <f>IF(AND(COUNTIF($A$2:$A$2047,A386)&gt;1,COUNTIF($A$2:A386,A386)=1),1,0)</f>
        <v>0</v>
      </c>
      <c r="S386" t="b">
        <f>IFERROR(VLOOKUP(D386,Products!$A$2:$F$61,6,FALSE()),"")</f>
        <v>1</v>
      </c>
      <c r="T386" t="str">
        <f>IF(COUNTIF(Customers!$A$2:$A$301,C386)=0,"Missing","OK")</f>
        <v>OK</v>
      </c>
      <c r="U386" t="str">
        <f t="shared" ref="U386:U449" si="19">IF(K386="","",PROPER(TRIM(K386)))</f>
        <v>Chennai</v>
      </c>
      <c r="V386">
        <f t="shared" ref="V386:V449" si="20">IF(AND(U386="Bengaluru",L386="Grocery"),I386,0)</f>
        <v>0</v>
      </c>
    </row>
    <row r="387" spans="1:22" ht="15" customHeight="1" x14ac:dyDescent="0.35">
      <c r="A387" s="3" t="s">
        <v>728</v>
      </c>
      <c r="B387" s="4">
        <v>45422</v>
      </c>
      <c r="C387" s="3" t="s">
        <v>590</v>
      </c>
      <c r="D387" s="3" t="s">
        <v>218</v>
      </c>
      <c r="E387" s="3" t="s">
        <v>42</v>
      </c>
      <c r="F387" s="5">
        <v>4</v>
      </c>
      <c r="G387" s="5">
        <v>2660</v>
      </c>
      <c r="H387" s="5">
        <v>19.7</v>
      </c>
      <c r="I387" s="5">
        <v>8543.92</v>
      </c>
      <c r="J387" s="3" t="s">
        <v>79</v>
      </c>
      <c r="K387" s="3" t="s">
        <v>72</v>
      </c>
      <c r="L387" t="str">
        <f>IFERROR(VLOOKUP(D387,Products!$A$2:$F$61,3,FALSE()),"")</f>
        <v>Electronics</v>
      </c>
      <c r="M387" t="str">
        <f>IFERROR(VLOOKUP(E387,Sales_Reps!$A$2:$C$31,3,FALSE()),"")</f>
        <v>North</v>
      </c>
      <c r="N387">
        <f>IFERROR(VLOOKUP(D387,Products!$A$2:$F$61,4,FALSE()),"")</f>
        <v>1259</v>
      </c>
      <c r="O387" t="str">
        <f>IFERROR(VLOOKUP(C387,Customers!$A$2:$F$301,5,FALSE()),"")</f>
        <v>Retail</v>
      </c>
      <c r="P387">
        <f>IFERROR(VLOOKUP(C387,Customers!$A$2:$F$301,3,FALSE()),"")</f>
        <v>50</v>
      </c>
      <c r="Q387">
        <f t="shared" si="18"/>
        <v>0.52669172932330832</v>
      </c>
      <c r="R387">
        <f>IF(AND(COUNTIF($A$2:$A$2047,A387)&gt;1,COUNTIF($A$2:A387,A387)=1),1,0)</f>
        <v>0</v>
      </c>
      <c r="S387" t="b">
        <f>IFERROR(VLOOKUP(D387,Products!$A$2:$F$61,6,FALSE()),"")</f>
        <v>0</v>
      </c>
      <c r="T387" t="str">
        <f>IF(COUNTIF(Customers!$A$2:$A$301,C387)=0,"Missing","OK")</f>
        <v>OK</v>
      </c>
      <c r="U387" t="str">
        <f t="shared" si="19"/>
        <v>Hyderabad</v>
      </c>
      <c r="V387">
        <f t="shared" si="20"/>
        <v>0</v>
      </c>
    </row>
    <row r="388" spans="1:22" ht="15" customHeight="1" x14ac:dyDescent="0.35">
      <c r="A388" s="3" t="s">
        <v>729</v>
      </c>
      <c r="B388" s="4">
        <v>45386</v>
      </c>
      <c r="C388" s="3" t="s">
        <v>111</v>
      </c>
      <c r="D388" s="3" t="s">
        <v>206</v>
      </c>
      <c r="E388" s="3" t="s">
        <v>191</v>
      </c>
      <c r="F388" s="5">
        <v>10</v>
      </c>
      <c r="G388" s="5">
        <v>1220</v>
      </c>
      <c r="H388" s="5">
        <v>10.1</v>
      </c>
      <c r="I388" s="5">
        <v>10967.8</v>
      </c>
      <c r="J388" s="3" t="s">
        <v>79</v>
      </c>
      <c r="K388" s="3" t="s">
        <v>27</v>
      </c>
      <c r="L388" t="str">
        <f>IFERROR(VLOOKUP(D388,Products!$A$2:$F$61,3,FALSE()),"")</f>
        <v>Electronics</v>
      </c>
      <c r="M388" t="str">
        <f>IFERROR(VLOOKUP(E388,Sales_Reps!$A$2:$C$31,3,FALSE()),"")</f>
        <v>South</v>
      </c>
      <c r="N388">
        <f>IFERROR(VLOOKUP(D388,Products!$A$2:$F$61,4,FALSE()),"")</f>
        <v>517</v>
      </c>
      <c r="O388" t="str">
        <f>IFERROR(VLOOKUP(C388,Customers!$A$2:$F$301,5,FALSE()),"")</f>
        <v>Retail</v>
      </c>
      <c r="P388">
        <f>IFERROR(VLOOKUP(C388,Customers!$A$2:$F$301,3,FALSE()),"")</f>
        <v>50</v>
      </c>
      <c r="Q388">
        <f t="shared" si="18"/>
        <v>0.57622950819672136</v>
      </c>
      <c r="R388">
        <f>IF(AND(COUNTIF($A$2:$A$2047,A388)&gt;1,COUNTIF($A$2:A388,A388)=1),1,0)</f>
        <v>0</v>
      </c>
      <c r="S388" t="b">
        <f>IFERROR(VLOOKUP(D388,Products!$A$2:$F$61,6,FALSE()),"")</f>
        <v>1</v>
      </c>
      <c r="T388" t="str">
        <f>IF(COUNTIF(Customers!$A$2:$A$301,C388)=0,"Missing","OK")</f>
        <v>OK</v>
      </c>
      <c r="U388" t="str">
        <f t="shared" si="19"/>
        <v>Pune</v>
      </c>
      <c r="V388">
        <f t="shared" si="20"/>
        <v>0</v>
      </c>
    </row>
    <row r="389" spans="1:22" ht="15" customHeight="1" x14ac:dyDescent="0.35">
      <c r="A389" s="3" t="s">
        <v>730</v>
      </c>
      <c r="B389" s="4">
        <v>45584</v>
      </c>
      <c r="C389" s="3" t="s">
        <v>615</v>
      </c>
      <c r="D389" s="3" t="s">
        <v>77</v>
      </c>
      <c r="E389" s="3" t="s">
        <v>37</v>
      </c>
      <c r="F389" s="5">
        <v>8</v>
      </c>
      <c r="G389" s="5">
        <v>2600</v>
      </c>
      <c r="H389" s="5">
        <v>26.7</v>
      </c>
      <c r="I389" s="5">
        <v>15246.4</v>
      </c>
      <c r="J389" s="3" t="s">
        <v>26</v>
      </c>
      <c r="K389" s="3" t="s">
        <v>27</v>
      </c>
      <c r="L389" t="str">
        <f>IFERROR(VLOOKUP(D389,Products!$A$2:$F$61,3,FALSE()),"")</f>
        <v>Electronics</v>
      </c>
      <c r="M389" t="str">
        <f>IFERROR(VLOOKUP(E389,Sales_Reps!$A$2:$C$31,3,FALSE()),"")</f>
        <v>South</v>
      </c>
      <c r="N389">
        <f>IFERROR(VLOOKUP(D389,Products!$A$2:$F$61,4,FALSE()),"")</f>
        <v>1052</v>
      </c>
      <c r="O389" t="str">
        <f>IFERROR(VLOOKUP(C389,Customers!$A$2:$F$301,5,FALSE()),"")</f>
        <v>SMB</v>
      </c>
      <c r="P389">
        <f>IFERROR(VLOOKUP(C389,Customers!$A$2:$F$301,3,FALSE()),"")</f>
        <v>35</v>
      </c>
      <c r="Q389">
        <f t="shared" si="18"/>
        <v>0.5953846153846154</v>
      </c>
      <c r="R389">
        <f>IF(AND(COUNTIF($A$2:$A$2047,A389)&gt;1,COUNTIF($A$2:A389,A389)=1),1,0)</f>
        <v>0</v>
      </c>
      <c r="S389" t="b">
        <f>IFERROR(VLOOKUP(D389,Products!$A$2:$F$61,6,FALSE()),"")</f>
        <v>1</v>
      </c>
      <c r="T389" t="str">
        <f>IF(COUNTIF(Customers!$A$2:$A$301,C389)=0,"Missing","OK")</f>
        <v>OK</v>
      </c>
      <c r="U389" t="str">
        <f t="shared" si="19"/>
        <v>Pune</v>
      </c>
      <c r="V389">
        <f t="shared" si="20"/>
        <v>0</v>
      </c>
    </row>
    <row r="390" spans="1:22" ht="15" customHeight="1" x14ac:dyDescent="0.35">
      <c r="A390" s="3" t="s">
        <v>731</v>
      </c>
      <c r="B390" s="4">
        <v>45440</v>
      </c>
      <c r="C390" s="3" t="s">
        <v>457</v>
      </c>
      <c r="D390" s="3" t="s">
        <v>391</v>
      </c>
      <c r="E390" s="3" t="s">
        <v>131</v>
      </c>
      <c r="F390" s="5">
        <v>10</v>
      </c>
      <c r="G390" s="5">
        <v>3450</v>
      </c>
      <c r="H390" s="5">
        <v>20.399999999999999</v>
      </c>
      <c r="I390" s="5">
        <v>27462</v>
      </c>
      <c r="J390" s="3" t="s">
        <v>26</v>
      </c>
      <c r="K390" s="3" t="s">
        <v>27</v>
      </c>
      <c r="L390" t="str">
        <f>IFERROR(VLOOKUP(D390,Products!$A$2:$F$61,3,FALSE()),"")</f>
        <v>Apparel</v>
      </c>
      <c r="M390" t="str">
        <f>IFERROR(VLOOKUP(E390,Sales_Reps!$A$2:$C$31,3,FALSE()),"")</f>
        <v>East</v>
      </c>
      <c r="N390">
        <f>IFERROR(VLOOKUP(D390,Products!$A$2:$F$61,4,FALSE()),"")</f>
        <v>1748</v>
      </c>
      <c r="O390" t="str">
        <f>IFERROR(VLOOKUP(C390,Customers!$A$2:$F$301,5,FALSE()),"")</f>
        <v>Retail</v>
      </c>
      <c r="P390">
        <f>IFERROR(VLOOKUP(C390,Customers!$A$2:$F$301,3,FALSE()),"")</f>
        <v>49</v>
      </c>
      <c r="Q390">
        <f t="shared" si="18"/>
        <v>0.49333333333333335</v>
      </c>
      <c r="R390">
        <f>IF(AND(COUNTIF($A$2:$A$2047,A390)&gt;1,COUNTIF($A$2:A390,A390)=1),1,0)</f>
        <v>0</v>
      </c>
      <c r="S390" t="b">
        <f>IFERROR(VLOOKUP(D390,Products!$A$2:$F$61,6,FALSE()),"")</f>
        <v>1</v>
      </c>
      <c r="T390" t="str">
        <f>IF(COUNTIF(Customers!$A$2:$A$301,C390)=0,"Missing","OK")</f>
        <v>OK</v>
      </c>
      <c r="U390" t="str">
        <f t="shared" si="19"/>
        <v>Pune</v>
      </c>
      <c r="V390">
        <f t="shared" si="20"/>
        <v>0</v>
      </c>
    </row>
    <row r="391" spans="1:22" ht="15" customHeight="1" x14ac:dyDescent="0.35">
      <c r="A391" s="3" t="s">
        <v>732</v>
      </c>
      <c r="B391" s="4">
        <v>45440</v>
      </c>
      <c r="C391" s="3" t="s">
        <v>147</v>
      </c>
      <c r="D391" s="3" t="s">
        <v>454</v>
      </c>
      <c r="E391" s="3" t="s">
        <v>60</v>
      </c>
      <c r="F391" s="5">
        <v>1</v>
      </c>
      <c r="G391" s="5">
        <v>6940</v>
      </c>
      <c r="H391" s="5">
        <v>9.6999999999999993</v>
      </c>
      <c r="I391" s="5">
        <v>6266.82</v>
      </c>
      <c r="J391" s="3" t="s">
        <v>26</v>
      </c>
      <c r="K391" s="3" t="s">
        <v>72</v>
      </c>
      <c r="L391" t="str">
        <f>IFERROR(VLOOKUP(D391,Products!$A$2:$F$61,3,FALSE()),"")</f>
        <v>Sports</v>
      </c>
      <c r="M391" t="str">
        <f>IFERROR(VLOOKUP(E391,Sales_Reps!$A$2:$C$31,3,FALSE()),"")</f>
        <v>East</v>
      </c>
      <c r="N391">
        <f>IFERROR(VLOOKUP(D391,Products!$A$2:$F$61,4,FALSE()),"")</f>
        <v>2827</v>
      </c>
      <c r="O391" t="str">
        <f>IFERROR(VLOOKUP(C391,Customers!$A$2:$F$301,5,FALSE()),"")</f>
        <v>Retail</v>
      </c>
      <c r="P391">
        <f>IFERROR(VLOOKUP(C391,Customers!$A$2:$F$301,3,FALSE()),"")</f>
        <v>26</v>
      </c>
      <c r="Q391">
        <f t="shared" si="18"/>
        <v>0.5926512968299712</v>
      </c>
      <c r="R391">
        <f>IF(AND(COUNTIF($A$2:$A$2047,A391)&gt;1,COUNTIF($A$2:A391,A391)=1),1,0)</f>
        <v>0</v>
      </c>
      <c r="S391" t="b">
        <f>IFERROR(VLOOKUP(D391,Products!$A$2:$F$61,6,FALSE()),"")</f>
        <v>1</v>
      </c>
      <c r="T391" t="str">
        <f>IF(COUNTIF(Customers!$A$2:$A$301,C391)=0,"Missing","OK")</f>
        <v>OK</v>
      </c>
      <c r="U391" t="str">
        <f t="shared" si="19"/>
        <v>Hyderabad</v>
      </c>
      <c r="V391">
        <f t="shared" si="20"/>
        <v>0</v>
      </c>
    </row>
    <row r="392" spans="1:22" ht="15" customHeight="1" x14ac:dyDescent="0.35">
      <c r="A392" s="3" t="s">
        <v>733</v>
      </c>
      <c r="B392" s="4">
        <v>45358</v>
      </c>
      <c r="C392" s="3" t="s">
        <v>734</v>
      </c>
      <c r="D392" s="3" t="s">
        <v>118</v>
      </c>
      <c r="E392" s="3" t="s">
        <v>42</v>
      </c>
      <c r="F392" s="5">
        <v>10</v>
      </c>
      <c r="G392" s="5">
        <v>3350</v>
      </c>
      <c r="H392" s="5">
        <v>3.2</v>
      </c>
      <c r="I392" s="5">
        <v>32428</v>
      </c>
      <c r="J392" s="3" t="s">
        <v>26</v>
      </c>
      <c r="K392" s="3" t="s">
        <v>33</v>
      </c>
      <c r="L392" t="str">
        <f>IFERROR(VLOOKUP(D392,Products!$A$2:$F$61,3,FALSE()),"")</f>
        <v>Beauty</v>
      </c>
      <c r="M392" t="str">
        <f>IFERROR(VLOOKUP(E392,Sales_Reps!$A$2:$C$31,3,FALSE()),"")</f>
        <v>North</v>
      </c>
      <c r="N392">
        <f>IFERROR(VLOOKUP(D392,Products!$A$2:$F$61,4,FALSE()),"")</f>
        <v>1728</v>
      </c>
      <c r="O392" t="str">
        <f>IFERROR(VLOOKUP(C392,Customers!$A$2:$F$301,5,FALSE()),"")</f>
        <v>Retail</v>
      </c>
      <c r="P392">
        <f>IFERROR(VLOOKUP(C392,Customers!$A$2:$F$301,3,FALSE()),"")</f>
        <v>22</v>
      </c>
      <c r="Q392">
        <f t="shared" si="18"/>
        <v>0.48417910447761192</v>
      </c>
      <c r="R392">
        <f>IF(AND(COUNTIF($A$2:$A$2047,A392)&gt;1,COUNTIF($A$2:A392,A392)=1),1,0)</f>
        <v>0</v>
      </c>
      <c r="S392" t="b">
        <f>IFERROR(VLOOKUP(D392,Products!$A$2:$F$61,6,FALSE()),"")</f>
        <v>1</v>
      </c>
      <c r="T392" t="str">
        <f>IF(COUNTIF(Customers!$A$2:$A$301,C392)=0,"Missing","OK")</f>
        <v>OK</v>
      </c>
      <c r="U392" t="str">
        <f t="shared" si="19"/>
        <v>Chennai</v>
      </c>
      <c r="V392">
        <f t="shared" si="20"/>
        <v>0</v>
      </c>
    </row>
    <row r="393" spans="1:22" ht="15" customHeight="1" x14ac:dyDescent="0.35">
      <c r="A393" s="3" t="s">
        <v>735</v>
      </c>
      <c r="B393" s="4">
        <v>45387</v>
      </c>
      <c r="C393" s="3" t="s">
        <v>736</v>
      </c>
      <c r="D393" s="3" t="s">
        <v>198</v>
      </c>
      <c r="E393" s="3" t="s">
        <v>140</v>
      </c>
      <c r="F393" s="5">
        <v>7</v>
      </c>
      <c r="G393" s="5">
        <v>1540</v>
      </c>
      <c r="H393" s="5">
        <v>0.5</v>
      </c>
      <c r="I393" s="5">
        <v>10726.1</v>
      </c>
      <c r="J393" s="3" t="s">
        <v>26</v>
      </c>
      <c r="K393" s="3" t="s">
        <v>38</v>
      </c>
      <c r="L393" t="str">
        <f>IFERROR(VLOOKUP(D393,Products!$A$2:$F$61,3,FALSE()),"")</f>
        <v>Beauty</v>
      </c>
      <c r="M393" t="str">
        <f>IFERROR(VLOOKUP(E393,Sales_Reps!$A$2:$C$31,3,FALSE()),"")</f>
        <v>West</v>
      </c>
      <c r="N393">
        <f>IFERROR(VLOOKUP(D393,Products!$A$2:$F$61,4,FALSE()),"")</f>
        <v>647</v>
      </c>
      <c r="O393" t="str">
        <f>IFERROR(VLOOKUP(C393,Customers!$A$2:$F$301,5,FALSE()),"")</f>
        <v>Retail</v>
      </c>
      <c r="P393">
        <f>IFERROR(VLOOKUP(C393,Customers!$A$2:$F$301,3,FALSE()),"")</f>
        <v>63</v>
      </c>
      <c r="Q393">
        <f t="shared" si="18"/>
        <v>0.57987012987012987</v>
      </c>
      <c r="R393">
        <f>IF(AND(COUNTIF($A$2:$A$2047,A393)&gt;1,COUNTIF($A$2:A393,A393)=1),1,0)</f>
        <v>0</v>
      </c>
      <c r="S393" t="b">
        <f>IFERROR(VLOOKUP(D393,Products!$A$2:$F$61,6,FALSE()),"")</f>
        <v>0</v>
      </c>
      <c r="T393" t="str">
        <f>IF(COUNTIF(Customers!$A$2:$A$301,C393)=0,"Missing","OK")</f>
        <v>OK</v>
      </c>
      <c r="U393" t="str">
        <f t="shared" si="19"/>
        <v>Delhi</v>
      </c>
      <c r="V393">
        <f t="shared" si="20"/>
        <v>0</v>
      </c>
    </row>
    <row r="394" spans="1:22" ht="15" customHeight="1" x14ac:dyDescent="0.35">
      <c r="A394" s="3" t="s">
        <v>737</v>
      </c>
      <c r="B394" s="4">
        <v>45655</v>
      </c>
      <c r="C394" s="3" t="s">
        <v>738</v>
      </c>
      <c r="D394" s="3" t="s">
        <v>24</v>
      </c>
      <c r="E394" s="3" t="s">
        <v>140</v>
      </c>
      <c r="F394" s="5">
        <v>10</v>
      </c>
      <c r="G394" s="5">
        <v>3620</v>
      </c>
      <c r="H394" s="5">
        <v>22</v>
      </c>
      <c r="I394" s="5">
        <v>28236</v>
      </c>
      <c r="J394" s="3" t="s">
        <v>26</v>
      </c>
      <c r="K394" s="3" t="s">
        <v>27</v>
      </c>
      <c r="L394" t="str">
        <f>IFERROR(VLOOKUP(D394,Products!$A$2:$F$61,3,FALSE()),"")</f>
        <v>Apparel</v>
      </c>
      <c r="M394" t="str">
        <f>IFERROR(VLOOKUP(E394,Sales_Reps!$A$2:$C$31,3,FALSE()),"")</f>
        <v>West</v>
      </c>
      <c r="N394">
        <f>IFERROR(VLOOKUP(D394,Products!$A$2:$F$61,4,FALSE()),"")</f>
        <v>2509</v>
      </c>
      <c r="O394" t="str">
        <f>IFERROR(VLOOKUP(C394,Customers!$A$2:$F$301,5,FALSE()),"")</f>
        <v/>
      </c>
      <c r="P394" t="str">
        <f>IFERROR(VLOOKUP(C394,Customers!$A$2:$F$301,3,FALSE()),"")</f>
        <v/>
      </c>
      <c r="Q394">
        <f t="shared" si="18"/>
        <v>0.3069060773480663</v>
      </c>
      <c r="R394">
        <f>IF(AND(COUNTIF($A$2:$A$2047,A394)&gt;1,COUNTIF($A$2:A394,A394)=1),1,0)</f>
        <v>0</v>
      </c>
      <c r="S394" t="b">
        <f>IFERROR(VLOOKUP(D394,Products!$A$2:$F$61,6,FALSE()),"")</f>
        <v>1</v>
      </c>
      <c r="T394" t="str">
        <f>IF(COUNTIF(Customers!$A$2:$A$301,C394)=0,"Missing","OK")</f>
        <v>Missing</v>
      </c>
      <c r="U394" t="str">
        <f t="shared" si="19"/>
        <v>Pune</v>
      </c>
      <c r="V394">
        <f t="shared" si="20"/>
        <v>0</v>
      </c>
    </row>
    <row r="395" spans="1:22" ht="15" customHeight="1" x14ac:dyDescent="0.35">
      <c r="A395" s="3" t="s">
        <v>739</v>
      </c>
      <c r="B395" s="4">
        <v>45629</v>
      </c>
      <c r="C395" s="3" t="s">
        <v>172</v>
      </c>
      <c r="D395" s="3" t="s">
        <v>36</v>
      </c>
      <c r="E395" s="3" t="s">
        <v>140</v>
      </c>
      <c r="F395" s="5">
        <v>2</v>
      </c>
      <c r="G395" s="5">
        <v>470</v>
      </c>
      <c r="H395" s="5">
        <v>26.5</v>
      </c>
      <c r="I395" s="5">
        <v>690.9</v>
      </c>
      <c r="J395" s="3" t="s">
        <v>32</v>
      </c>
      <c r="K395" s="3" t="s">
        <v>27</v>
      </c>
      <c r="L395" t="str">
        <f>IFERROR(VLOOKUP(D395,Products!$A$2:$F$61,3,FALSE()),"")</f>
        <v>Sports</v>
      </c>
      <c r="M395" t="str">
        <f>IFERROR(VLOOKUP(E395,Sales_Reps!$A$2:$C$31,3,FALSE()),"")</f>
        <v>West</v>
      </c>
      <c r="N395">
        <f>IFERROR(VLOOKUP(D395,Products!$A$2:$F$61,4,FALSE()),"")</f>
        <v>302</v>
      </c>
      <c r="O395" t="str">
        <f>IFERROR(VLOOKUP(C395,Customers!$A$2:$F$301,5,FALSE()),"")</f>
        <v>SMB</v>
      </c>
      <c r="P395">
        <f>IFERROR(VLOOKUP(C395,Customers!$A$2:$F$301,3,FALSE()),"")</f>
        <v>29</v>
      </c>
      <c r="Q395">
        <f t="shared" si="18"/>
        <v>0.35744680851063831</v>
      </c>
      <c r="R395">
        <f>IF(AND(COUNTIF($A$2:$A$2047,A395)&gt;1,COUNTIF($A$2:A395,A395)=1),1,0)</f>
        <v>0</v>
      </c>
      <c r="S395" t="b">
        <f>IFERROR(VLOOKUP(D395,Products!$A$2:$F$61,6,FALSE()),"")</f>
        <v>0</v>
      </c>
      <c r="T395" t="str">
        <f>IF(COUNTIF(Customers!$A$2:$A$301,C395)=0,"Missing","OK")</f>
        <v>OK</v>
      </c>
      <c r="U395" t="str">
        <f t="shared" si="19"/>
        <v>Pune</v>
      </c>
      <c r="V395">
        <f t="shared" si="20"/>
        <v>0</v>
      </c>
    </row>
    <row r="396" spans="1:22" ht="15" customHeight="1" x14ac:dyDescent="0.35">
      <c r="A396" s="3" t="s">
        <v>740</v>
      </c>
      <c r="B396" s="4">
        <v>45323</v>
      </c>
      <c r="C396" s="3" t="s">
        <v>741</v>
      </c>
      <c r="D396" s="3" t="s">
        <v>41</v>
      </c>
      <c r="E396" s="3" t="s">
        <v>71</v>
      </c>
      <c r="F396" s="5">
        <v>6</v>
      </c>
      <c r="G396" s="5">
        <v>3660</v>
      </c>
      <c r="H396" s="5">
        <v>1.5</v>
      </c>
      <c r="I396" s="5">
        <v>21630.6</v>
      </c>
      <c r="J396" s="3" t="s">
        <v>26</v>
      </c>
      <c r="K396" s="3" t="s">
        <v>33</v>
      </c>
      <c r="L396" t="str">
        <f>IFERROR(VLOOKUP(D396,Products!$A$2:$F$61,3,FALSE()),"")</f>
        <v>Grocery</v>
      </c>
      <c r="M396" t="str">
        <f>IFERROR(VLOOKUP(E396,Sales_Reps!$A$2:$C$31,3,FALSE()),"")</f>
        <v>South</v>
      </c>
      <c r="N396">
        <f>IFERROR(VLOOKUP(D396,Products!$A$2:$F$61,4,FALSE()),"")</f>
        <v>2214</v>
      </c>
      <c r="O396" t="str">
        <f>IFERROR(VLOOKUP(C396,Customers!$A$2:$F$301,5,FALSE()),"")</f>
        <v>SMB</v>
      </c>
      <c r="P396">
        <f>IFERROR(VLOOKUP(C396,Customers!$A$2:$F$301,3,FALSE()),"")</f>
        <v>39</v>
      </c>
      <c r="Q396">
        <f t="shared" si="18"/>
        <v>0.39508196721311473</v>
      </c>
      <c r="R396">
        <f>IF(AND(COUNTIF($A$2:$A$2047,A396)&gt;1,COUNTIF($A$2:A396,A396)=1),1,0)</f>
        <v>0</v>
      </c>
      <c r="S396" t="b">
        <f>IFERROR(VLOOKUP(D396,Products!$A$2:$F$61,6,FALSE()),"")</f>
        <v>0</v>
      </c>
      <c r="T396" t="str">
        <f>IF(COUNTIF(Customers!$A$2:$A$301,C396)=0,"Missing","OK")</f>
        <v>OK</v>
      </c>
      <c r="U396" t="str">
        <f t="shared" si="19"/>
        <v>Chennai</v>
      </c>
      <c r="V396">
        <f t="shared" si="20"/>
        <v>0</v>
      </c>
    </row>
    <row r="397" spans="1:22" ht="15" customHeight="1" x14ac:dyDescent="0.35">
      <c r="A397" s="3" t="s">
        <v>742</v>
      </c>
      <c r="B397" s="4">
        <v>45432</v>
      </c>
      <c r="C397" s="3" t="s">
        <v>58</v>
      </c>
      <c r="D397" s="3" t="s">
        <v>454</v>
      </c>
      <c r="E397" s="3" t="s">
        <v>177</v>
      </c>
      <c r="F397" s="5">
        <v>10</v>
      </c>
      <c r="G397" s="5">
        <v>6940</v>
      </c>
      <c r="H397" s="5">
        <v>1.9</v>
      </c>
      <c r="I397" s="5">
        <v>68081.399999999994</v>
      </c>
      <c r="J397" s="3" t="s">
        <v>26</v>
      </c>
      <c r="K397" s="3" t="s">
        <v>56</v>
      </c>
      <c r="L397" t="str">
        <f>IFERROR(VLOOKUP(D397,Products!$A$2:$F$61,3,FALSE()),"")</f>
        <v>Sports</v>
      </c>
      <c r="M397" t="str">
        <f>IFERROR(VLOOKUP(E397,Sales_Reps!$A$2:$C$31,3,FALSE()),"")</f>
        <v>East</v>
      </c>
      <c r="N397">
        <f>IFERROR(VLOOKUP(D397,Products!$A$2:$F$61,4,FALSE()),"")</f>
        <v>2827</v>
      </c>
      <c r="O397" t="str">
        <f>IFERROR(VLOOKUP(C397,Customers!$A$2:$F$301,5,FALSE()),"")</f>
        <v>Corporate</v>
      </c>
      <c r="P397">
        <f>IFERROR(VLOOKUP(C397,Customers!$A$2:$F$301,3,FALSE()),"")</f>
        <v>57</v>
      </c>
      <c r="Q397">
        <f t="shared" si="18"/>
        <v>0.5926512968299712</v>
      </c>
      <c r="R397">
        <f>IF(AND(COUNTIF($A$2:$A$2047,A397)&gt;1,COUNTIF($A$2:A397,A397)=1),1,0)</f>
        <v>0</v>
      </c>
      <c r="S397" t="b">
        <f>IFERROR(VLOOKUP(D397,Products!$A$2:$F$61,6,FALSE()),"")</f>
        <v>1</v>
      </c>
      <c r="T397" t="str">
        <f>IF(COUNTIF(Customers!$A$2:$A$301,C397)=0,"Missing","OK")</f>
        <v>OK</v>
      </c>
      <c r="U397" t="str">
        <f t="shared" si="19"/>
        <v>Bengaluru</v>
      </c>
      <c r="V397">
        <f t="shared" si="20"/>
        <v>0</v>
      </c>
    </row>
    <row r="398" spans="1:22" ht="15" customHeight="1" x14ac:dyDescent="0.35">
      <c r="A398" s="3" t="s">
        <v>743</v>
      </c>
      <c r="B398" s="4">
        <v>45397</v>
      </c>
      <c r="C398" s="3" t="s">
        <v>519</v>
      </c>
      <c r="D398" s="3" t="s">
        <v>325</v>
      </c>
      <c r="E398" s="3" t="s">
        <v>31</v>
      </c>
      <c r="F398" s="5">
        <v>8</v>
      </c>
      <c r="G398" s="5">
        <v>2290</v>
      </c>
      <c r="H398" s="5">
        <v>27.9</v>
      </c>
      <c r="I398" s="5">
        <v>13208.72</v>
      </c>
      <c r="J398" s="3" t="s">
        <v>26</v>
      </c>
      <c r="K398" s="3" t="s">
        <v>27</v>
      </c>
      <c r="L398" t="str">
        <f>IFERROR(VLOOKUP(D398,Products!$A$2:$F$61,3,FALSE()),"")</f>
        <v>Beauty</v>
      </c>
      <c r="M398" t="str">
        <f>IFERROR(VLOOKUP(E398,Sales_Reps!$A$2:$C$31,3,FALSE()),"")</f>
        <v>North</v>
      </c>
      <c r="N398">
        <f>IFERROR(VLOOKUP(D398,Products!$A$2:$F$61,4,FALSE()),"")</f>
        <v>1219</v>
      </c>
      <c r="O398" t="str">
        <f>IFERROR(VLOOKUP(C398,Customers!$A$2:$F$301,5,FALSE()),"")</f>
        <v>Corporate</v>
      </c>
      <c r="P398">
        <f>IFERROR(VLOOKUP(C398,Customers!$A$2:$F$301,3,FALSE()),"")</f>
        <v>40</v>
      </c>
      <c r="Q398">
        <f t="shared" si="18"/>
        <v>0.46768558951965067</v>
      </c>
      <c r="R398">
        <f>IF(AND(COUNTIF($A$2:$A$2047,A398)&gt;1,COUNTIF($A$2:A398,A398)=1),1,0)</f>
        <v>0</v>
      </c>
      <c r="S398" t="b">
        <f>IFERROR(VLOOKUP(D398,Products!$A$2:$F$61,6,FALSE()),"")</f>
        <v>1</v>
      </c>
      <c r="T398" t="str">
        <f>IF(COUNTIF(Customers!$A$2:$A$301,C398)=0,"Missing","OK")</f>
        <v>OK</v>
      </c>
      <c r="U398" t="str">
        <f t="shared" si="19"/>
        <v>Pune</v>
      </c>
      <c r="V398">
        <f t="shared" si="20"/>
        <v>0</v>
      </c>
    </row>
    <row r="399" spans="1:22" ht="15" customHeight="1" x14ac:dyDescent="0.35">
      <c r="A399" s="3" t="s">
        <v>744</v>
      </c>
      <c r="B399" s="4">
        <v>45573</v>
      </c>
      <c r="C399" s="3" t="s">
        <v>451</v>
      </c>
      <c r="D399" s="3" t="s">
        <v>45</v>
      </c>
      <c r="E399" s="3" t="s">
        <v>55</v>
      </c>
      <c r="F399" s="5">
        <v>9</v>
      </c>
      <c r="G399" s="5">
        <v>3160</v>
      </c>
      <c r="H399" s="5">
        <v>10.199999999999999</v>
      </c>
      <c r="I399" s="5">
        <v>25539.119999999999</v>
      </c>
      <c r="J399" s="3" t="s">
        <v>26</v>
      </c>
      <c r="K399" s="3" t="s">
        <v>72</v>
      </c>
      <c r="L399" t="str">
        <f>IFERROR(VLOOKUP(D399,Products!$A$2:$F$61,3,FALSE()),"")</f>
        <v>Apparel</v>
      </c>
      <c r="M399" t="str">
        <f>IFERROR(VLOOKUP(E399,Sales_Reps!$A$2:$C$31,3,FALSE()),"")</f>
        <v>West</v>
      </c>
      <c r="N399">
        <f>IFERROR(VLOOKUP(D399,Products!$A$2:$F$61,4,FALSE()),"")</f>
        <v>1886</v>
      </c>
      <c r="O399" t="str">
        <f>IFERROR(VLOOKUP(C399,Customers!$A$2:$F$301,5,FALSE()),"")</f>
        <v>Retail</v>
      </c>
      <c r="P399">
        <f>IFERROR(VLOOKUP(C399,Customers!$A$2:$F$301,3,FALSE()),"")</f>
        <v>61</v>
      </c>
      <c r="Q399">
        <f t="shared" si="18"/>
        <v>0.4031645569620253</v>
      </c>
      <c r="R399">
        <f>IF(AND(COUNTIF($A$2:$A$2047,A399)&gt;1,COUNTIF($A$2:A399,A399)=1),1,0)</f>
        <v>0</v>
      </c>
      <c r="S399" t="b">
        <f>IFERROR(VLOOKUP(D399,Products!$A$2:$F$61,6,FALSE()),"")</f>
        <v>1</v>
      </c>
      <c r="T399" t="str">
        <f>IF(COUNTIF(Customers!$A$2:$A$301,C399)=0,"Missing","OK")</f>
        <v>OK</v>
      </c>
      <c r="U399" t="str">
        <f t="shared" si="19"/>
        <v>Hyderabad</v>
      </c>
      <c r="V399">
        <f t="shared" si="20"/>
        <v>0</v>
      </c>
    </row>
    <row r="400" spans="1:22" ht="15" customHeight="1" x14ac:dyDescent="0.35">
      <c r="A400" s="3" t="s">
        <v>745</v>
      </c>
      <c r="B400" s="4">
        <v>45307</v>
      </c>
      <c r="C400" s="3" t="s">
        <v>746</v>
      </c>
      <c r="D400" s="3" t="s">
        <v>382</v>
      </c>
      <c r="E400" s="3" t="s">
        <v>67</v>
      </c>
      <c r="F400" s="5">
        <v>6</v>
      </c>
      <c r="G400" s="5">
        <v>5080</v>
      </c>
      <c r="H400" s="5">
        <v>25.4</v>
      </c>
      <c r="I400" s="5">
        <v>22738.080000000002</v>
      </c>
      <c r="J400" s="3" t="s">
        <v>26</v>
      </c>
      <c r="K400" s="3" t="s">
        <v>27</v>
      </c>
      <c r="L400" t="str">
        <f>IFERROR(VLOOKUP(D400,Products!$A$2:$F$61,3,FALSE()),"")</f>
        <v>Home</v>
      </c>
      <c r="M400" t="str">
        <f>IFERROR(VLOOKUP(E400,Sales_Reps!$A$2:$C$31,3,FALSE()),"")</f>
        <v>West</v>
      </c>
      <c r="N400">
        <f>IFERROR(VLOOKUP(D400,Products!$A$2:$F$61,4,FALSE()),"")</f>
        <v>2459</v>
      </c>
      <c r="O400" t="str">
        <f>IFERROR(VLOOKUP(C400,Customers!$A$2:$F$301,5,FALSE()),"")</f>
        <v>Retail</v>
      </c>
      <c r="P400">
        <f>IFERROR(VLOOKUP(C400,Customers!$A$2:$F$301,3,FALSE()),"")</f>
        <v>36</v>
      </c>
      <c r="Q400">
        <f t="shared" si="18"/>
        <v>0.51594488188976373</v>
      </c>
      <c r="R400">
        <f>IF(AND(COUNTIF($A$2:$A$2047,A400)&gt;1,COUNTIF($A$2:A400,A400)=1),1,0)</f>
        <v>0</v>
      </c>
      <c r="S400" t="b">
        <f>IFERROR(VLOOKUP(D400,Products!$A$2:$F$61,6,FALSE()),"")</f>
        <v>1</v>
      </c>
      <c r="T400" t="str">
        <f>IF(COUNTIF(Customers!$A$2:$A$301,C400)=0,"Missing","OK")</f>
        <v>OK</v>
      </c>
      <c r="U400" t="str">
        <f t="shared" si="19"/>
        <v>Pune</v>
      </c>
      <c r="V400">
        <f t="shared" si="20"/>
        <v>0</v>
      </c>
    </row>
    <row r="401" spans="1:22" ht="15" customHeight="1" x14ac:dyDescent="0.35">
      <c r="A401" s="3" t="s">
        <v>747</v>
      </c>
      <c r="B401" s="4">
        <v>45620</v>
      </c>
      <c r="C401" s="3" t="s">
        <v>683</v>
      </c>
      <c r="D401" s="3" t="s">
        <v>139</v>
      </c>
      <c r="E401" s="3" t="s">
        <v>264</v>
      </c>
      <c r="F401" s="5">
        <v>6</v>
      </c>
      <c r="G401" s="5">
        <v>2760</v>
      </c>
      <c r="H401" s="5">
        <v>21.3</v>
      </c>
      <c r="I401" s="5">
        <v>13032.72</v>
      </c>
      <c r="J401" s="3" t="s">
        <v>26</v>
      </c>
      <c r="K401" s="3" t="s">
        <v>72</v>
      </c>
      <c r="L401" t="str">
        <f>IFERROR(VLOOKUP(D401,Products!$A$2:$F$61,3,FALSE()),"")</f>
        <v>Grocery</v>
      </c>
      <c r="M401" t="str">
        <f>IFERROR(VLOOKUP(E401,Sales_Reps!$A$2:$C$31,3,FALSE()),"")</f>
        <v>South</v>
      </c>
      <c r="N401">
        <f>IFERROR(VLOOKUP(D401,Products!$A$2:$F$61,4,FALSE()),"")</f>
        <v>1435</v>
      </c>
      <c r="O401" t="str">
        <f>IFERROR(VLOOKUP(C401,Customers!$A$2:$F$301,5,FALSE()),"")</f>
        <v>Retail</v>
      </c>
      <c r="P401">
        <f>IFERROR(VLOOKUP(C401,Customers!$A$2:$F$301,3,FALSE()),"")</f>
        <v>64</v>
      </c>
      <c r="Q401">
        <f t="shared" si="18"/>
        <v>0.48007246376811596</v>
      </c>
      <c r="R401">
        <f>IF(AND(COUNTIF($A$2:$A$2047,A401)&gt;1,COUNTIF($A$2:A401,A401)=1),1,0)</f>
        <v>0</v>
      </c>
      <c r="S401" t="b">
        <f>IFERROR(VLOOKUP(D401,Products!$A$2:$F$61,6,FALSE()),"")</f>
        <v>1</v>
      </c>
      <c r="T401" t="str">
        <f>IF(COUNTIF(Customers!$A$2:$A$301,C401)=0,"Missing","OK")</f>
        <v>OK</v>
      </c>
      <c r="U401" t="str">
        <f t="shared" si="19"/>
        <v>Hyderabad</v>
      </c>
      <c r="V401">
        <f t="shared" si="20"/>
        <v>0</v>
      </c>
    </row>
    <row r="402" spans="1:22" ht="15" customHeight="1" x14ac:dyDescent="0.35">
      <c r="A402" s="3" t="s">
        <v>748</v>
      </c>
      <c r="B402" s="4">
        <v>45462</v>
      </c>
      <c r="C402" s="3" t="s">
        <v>749</v>
      </c>
      <c r="D402" s="3" t="s">
        <v>206</v>
      </c>
      <c r="E402" s="3" t="s">
        <v>264</v>
      </c>
      <c r="F402" s="5">
        <v>5</v>
      </c>
      <c r="G402" s="5">
        <v>1220</v>
      </c>
      <c r="H402" s="5">
        <v>7.6</v>
      </c>
      <c r="I402" s="5">
        <v>5636.4</v>
      </c>
      <c r="J402" s="3" t="s">
        <v>26</v>
      </c>
      <c r="K402" s="3" t="s">
        <v>51</v>
      </c>
      <c r="L402" t="str">
        <f>IFERROR(VLOOKUP(D402,Products!$A$2:$F$61,3,FALSE()),"")</f>
        <v>Electronics</v>
      </c>
      <c r="M402" t="str">
        <f>IFERROR(VLOOKUP(E402,Sales_Reps!$A$2:$C$31,3,FALSE()),"")</f>
        <v>South</v>
      </c>
      <c r="N402">
        <f>IFERROR(VLOOKUP(D402,Products!$A$2:$F$61,4,FALSE()),"")</f>
        <v>517</v>
      </c>
      <c r="O402" t="str">
        <f>IFERROR(VLOOKUP(C402,Customers!$A$2:$F$301,5,FALSE()),"")</f>
        <v/>
      </c>
      <c r="P402" t="str">
        <f>IFERROR(VLOOKUP(C402,Customers!$A$2:$F$301,3,FALSE()),"")</f>
        <v/>
      </c>
      <c r="Q402">
        <f t="shared" si="18"/>
        <v>0.57622950819672136</v>
      </c>
      <c r="R402">
        <f>IF(AND(COUNTIF($A$2:$A$2047,A402)&gt;1,COUNTIF($A$2:A402,A402)=1),1,0)</f>
        <v>0</v>
      </c>
      <c r="S402" t="b">
        <f>IFERROR(VLOOKUP(D402,Products!$A$2:$F$61,6,FALSE()),"")</f>
        <v>1</v>
      </c>
      <c r="T402" t="str">
        <f>IF(COUNTIF(Customers!$A$2:$A$301,C402)=0,"Missing","OK")</f>
        <v>Missing</v>
      </c>
      <c r="U402" t="str">
        <f t="shared" si="19"/>
        <v>Mumbai</v>
      </c>
      <c r="V402">
        <f t="shared" si="20"/>
        <v>0</v>
      </c>
    </row>
    <row r="403" spans="1:22" ht="15" customHeight="1" x14ac:dyDescent="0.35">
      <c r="A403" s="3" t="s">
        <v>750</v>
      </c>
      <c r="B403" s="4">
        <v>45622</v>
      </c>
      <c r="C403" s="3" t="s">
        <v>240</v>
      </c>
      <c r="D403" s="3" t="s">
        <v>123</v>
      </c>
      <c r="E403" s="3" t="s">
        <v>67</v>
      </c>
      <c r="F403" s="5">
        <v>5</v>
      </c>
      <c r="G403" s="5">
        <v>4880</v>
      </c>
      <c r="H403" s="5">
        <v>8.5</v>
      </c>
      <c r="I403" s="5">
        <v>22326</v>
      </c>
      <c r="J403" s="3" t="s">
        <v>26</v>
      </c>
      <c r="K403" s="3" t="s">
        <v>33</v>
      </c>
      <c r="L403" t="str">
        <f>IFERROR(VLOOKUP(D403,Products!$A$2:$F$61,3,FALSE()),"")</f>
        <v>Beauty</v>
      </c>
      <c r="M403" t="str">
        <f>IFERROR(VLOOKUP(E403,Sales_Reps!$A$2:$C$31,3,FALSE()),"")</f>
        <v>West</v>
      </c>
      <c r="N403">
        <f>IFERROR(VLOOKUP(D403,Products!$A$2:$F$61,4,FALSE()),"")</f>
        <v>2768</v>
      </c>
      <c r="O403" t="str">
        <f>IFERROR(VLOOKUP(C403,Customers!$A$2:$F$301,5,FALSE()),"")</f>
        <v>Retail</v>
      </c>
      <c r="P403">
        <f>IFERROR(VLOOKUP(C403,Customers!$A$2:$F$301,3,FALSE()),"")</f>
        <v>41</v>
      </c>
      <c r="Q403">
        <f t="shared" si="18"/>
        <v>0.43278688524590164</v>
      </c>
      <c r="R403">
        <f>IF(AND(COUNTIF($A$2:$A$2047,A403)&gt;1,COUNTIF($A$2:A403,A403)=1),1,0)</f>
        <v>0</v>
      </c>
      <c r="S403" t="b">
        <f>IFERROR(VLOOKUP(D403,Products!$A$2:$F$61,6,FALSE()),"")</f>
        <v>1</v>
      </c>
      <c r="T403" t="str">
        <f>IF(COUNTIF(Customers!$A$2:$A$301,C403)=0,"Missing","OK")</f>
        <v>OK</v>
      </c>
      <c r="U403" t="str">
        <f t="shared" si="19"/>
        <v>Chennai</v>
      </c>
      <c r="V403">
        <f t="shared" si="20"/>
        <v>0</v>
      </c>
    </row>
    <row r="404" spans="1:22" ht="15" customHeight="1" x14ac:dyDescent="0.35">
      <c r="A404" s="3" t="s">
        <v>751</v>
      </c>
      <c r="B404" s="4">
        <v>45596</v>
      </c>
      <c r="C404" s="3" t="s">
        <v>170</v>
      </c>
      <c r="D404" s="3" t="s">
        <v>203</v>
      </c>
      <c r="E404" s="3" t="s">
        <v>224</v>
      </c>
      <c r="F404" s="5">
        <v>7</v>
      </c>
      <c r="G404" s="5">
        <v>4070</v>
      </c>
      <c r="H404" s="5">
        <v>28</v>
      </c>
      <c r="I404" s="5">
        <v>20512.8</v>
      </c>
      <c r="J404" s="3" t="s">
        <v>26</v>
      </c>
      <c r="K404" s="3" t="s">
        <v>56</v>
      </c>
      <c r="L404" t="str">
        <f>IFERROR(VLOOKUP(D404,Products!$A$2:$F$61,3,FALSE()),"")</f>
        <v>Grocery</v>
      </c>
      <c r="M404" t="str">
        <f>IFERROR(VLOOKUP(E404,Sales_Reps!$A$2:$C$31,3,FALSE()),"")</f>
        <v>East</v>
      </c>
      <c r="N404">
        <f>IFERROR(VLOOKUP(D404,Products!$A$2:$F$61,4,FALSE()),"")</f>
        <v>2027</v>
      </c>
      <c r="O404" t="str">
        <f>IFERROR(VLOOKUP(C404,Customers!$A$2:$F$301,5,FALSE()),"")</f>
        <v>SMB</v>
      </c>
      <c r="P404">
        <f>IFERROR(VLOOKUP(C404,Customers!$A$2:$F$301,3,FALSE()),"")</f>
        <v>64</v>
      </c>
      <c r="Q404">
        <f t="shared" si="18"/>
        <v>0.50196560196560192</v>
      </c>
      <c r="R404">
        <f>IF(AND(COUNTIF($A$2:$A$2047,A404)&gt;1,COUNTIF($A$2:A404,A404)=1),1,0)</f>
        <v>0</v>
      </c>
      <c r="S404" t="b">
        <f>IFERROR(VLOOKUP(D404,Products!$A$2:$F$61,6,FALSE()),"")</f>
        <v>1</v>
      </c>
      <c r="T404" t="str">
        <f>IF(COUNTIF(Customers!$A$2:$A$301,C404)=0,"Missing","OK")</f>
        <v>OK</v>
      </c>
      <c r="U404" t="str">
        <f t="shared" si="19"/>
        <v>Bengaluru</v>
      </c>
      <c r="V404">
        <f t="shared" si="20"/>
        <v>20512.8</v>
      </c>
    </row>
    <row r="405" spans="1:22" ht="15" customHeight="1" x14ac:dyDescent="0.35">
      <c r="A405" s="3" t="s">
        <v>752</v>
      </c>
      <c r="B405" s="4">
        <v>45506</v>
      </c>
      <c r="C405" s="3" t="s">
        <v>440</v>
      </c>
      <c r="D405" s="3" t="s">
        <v>347</v>
      </c>
      <c r="E405" s="3" t="s">
        <v>67</v>
      </c>
      <c r="F405" s="5">
        <v>2</v>
      </c>
      <c r="G405" s="5">
        <v>3970</v>
      </c>
      <c r="H405" s="5">
        <v>14</v>
      </c>
      <c r="I405" s="5">
        <v>6828.4</v>
      </c>
      <c r="J405" s="3" t="s">
        <v>26</v>
      </c>
      <c r="K405" s="3" t="s">
        <v>72</v>
      </c>
      <c r="L405" t="str">
        <f>IFERROR(VLOOKUP(D405,Products!$A$2:$F$61,3,FALSE()),"")</f>
        <v>Electronics</v>
      </c>
      <c r="M405" t="str">
        <f>IFERROR(VLOOKUP(E405,Sales_Reps!$A$2:$C$31,3,FALSE()),"")</f>
        <v>West</v>
      </c>
      <c r="N405">
        <f>IFERROR(VLOOKUP(D405,Products!$A$2:$F$61,4,FALSE()),"")</f>
        <v>2865</v>
      </c>
      <c r="O405" t="str">
        <f>IFERROR(VLOOKUP(C405,Customers!$A$2:$F$301,5,FALSE()),"")</f>
        <v>SMB</v>
      </c>
      <c r="P405">
        <f>IFERROR(VLOOKUP(C405,Customers!$A$2:$F$301,3,FALSE()),"")</f>
        <v>65</v>
      </c>
      <c r="Q405">
        <f t="shared" si="18"/>
        <v>0.27833753148614609</v>
      </c>
      <c r="R405">
        <f>IF(AND(COUNTIF($A$2:$A$2047,A405)&gt;1,COUNTIF($A$2:A405,A405)=1),1,0)</f>
        <v>0</v>
      </c>
      <c r="S405" t="b">
        <f>IFERROR(VLOOKUP(D405,Products!$A$2:$F$61,6,FALSE()),"")</f>
        <v>1</v>
      </c>
      <c r="T405" t="str">
        <f>IF(COUNTIF(Customers!$A$2:$A$301,C405)=0,"Missing","OK")</f>
        <v>OK</v>
      </c>
      <c r="U405" t="str">
        <f t="shared" si="19"/>
        <v>Hyderabad</v>
      </c>
      <c r="V405">
        <f t="shared" si="20"/>
        <v>0</v>
      </c>
    </row>
    <row r="406" spans="1:22" ht="15" customHeight="1" x14ac:dyDescent="0.35">
      <c r="A406" s="3" t="s">
        <v>753</v>
      </c>
      <c r="B406" s="4">
        <v>45349</v>
      </c>
      <c r="C406" s="3" t="s">
        <v>205</v>
      </c>
      <c r="D406" s="3" t="s">
        <v>218</v>
      </c>
      <c r="E406" s="3" t="s">
        <v>242</v>
      </c>
      <c r="F406" s="5">
        <v>9</v>
      </c>
      <c r="G406" s="5">
        <v>2660</v>
      </c>
      <c r="H406" s="5">
        <v>10.1</v>
      </c>
      <c r="I406" s="5">
        <v>21522.06</v>
      </c>
      <c r="J406" s="3" t="s">
        <v>26</v>
      </c>
      <c r="K406" s="3" t="s">
        <v>38</v>
      </c>
      <c r="L406" t="str">
        <f>IFERROR(VLOOKUP(D406,Products!$A$2:$F$61,3,FALSE()),"")</f>
        <v>Electronics</v>
      </c>
      <c r="M406" t="str">
        <f>IFERROR(VLOOKUP(E406,Sales_Reps!$A$2:$C$31,3,FALSE()),"")</f>
        <v>East</v>
      </c>
      <c r="N406">
        <f>IFERROR(VLOOKUP(D406,Products!$A$2:$F$61,4,FALSE()),"")</f>
        <v>1259</v>
      </c>
      <c r="O406" t="str">
        <f>IFERROR(VLOOKUP(C406,Customers!$A$2:$F$301,5,FALSE()),"")</f>
        <v>Corporate</v>
      </c>
      <c r="P406">
        <f>IFERROR(VLOOKUP(C406,Customers!$A$2:$F$301,3,FALSE()),"")</f>
        <v>55</v>
      </c>
      <c r="Q406">
        <f t="shared" si="18"/>
        <v>0.52669172932330832</v>
      </c>
      <c r="R406">
        <f>IF(AND(COUNTIF($A$2:$A$2047,A406)&gt;1,COUNTIF($A$2:A406,A406)=1),1,0)</f>
        <v>0</v>
      </c>
      <c r="S406" t="b">
        <f>IFERROR(VLOOKUP(D406,Products!$A$2:$F$61,6,FALSE()),"")</f>
        <v>0</v>
      </c>
      <c r="T406" t="str">
        <f>IF(COUNTIF(Customers!$A$2:$A$301,C406)=0,"Missing","OK")</f>
        <v>OK</v>
      </c>
      <c r="U406" t="str">
        <f t="shared" si="19"/>
        <v>Delhi</v>
      </c>
      <c r="V406">
        <f t="shared" si="20"/>
        <v>0</v>
      </c>
    </row>
    <row r="407" spans="1:22" ht="15" customHeight="1" x14ac:dyDescent="0.35">
      <c r="A407" s="3" t="s">
        <v>754</v>
      </c>
      <c r="B407" s="4">
        <v>45407</v>
      </c>
      <c r="C407" s="3" t="s">
        <v>755</v>
      </c>
      <c r="D407" s="3" t="s">
        <v>134</v>
      </c>
      <c r="E407" s="3" t="s">
        <v>224</v>
      </c>
      <c r="F407" s="5">
        <v>9</v>
      </c>
      <c r="G407" s="5">
        <v>2860</v>
      </c>
      <c r="H407" s="5">
        <v>10.1</v>
      </c>
      <c r="I407" s="5">
        <v>23140.26</v>
      </c>
      <c r="J407" s="3" t="s">
        <v>83</v>
      </c>
      <c r="K407" s="3" t="s">
        <v>27</v>
      </c>
      <c r="L407" t="str">
        <f>IFERROR(VLOOKUP(D407,Products!$A$2:$F$61,3,FALSE()),"")</f>
        <v>Sports</v>
      </c>
      <c r="M407" t="str">
        <f>IFERROR(VLOOKUP(E407,Sales_Reps!$A$2:$C$31,3,FALSE()),"")</f>
        <v>East</v>
      </c>
      <c r="N407">
        <f>IFERROR(VLOOKUP(D407,Products!$A$2:$F$61,4,FALSE()),"")</f>
        <v>2028</v>
      </c>
      <c r="O407" t="str">
        <f>IFERROR(VLOOKUP(C407,Customers!$A$2:$F$301,5,FALSE()),"")</f>
        <v>Retail</v>
      </c>
      <c r="P407">
        <f>IFERROR(VLOOKUP(C407,Customers!$A$2:$F$301,3,FALSE()),"")</f>
        <v>36</v>
      </c>
      <c r="Q407">
        <f t="shared" si="18"/>
        <v>0.29090909090909089</v>
      </c>
      <c r="R407">
        <f>IF(AND(COUNTIF($A$2:$A$2047,A407)&gt;1,COUNTIF($A$2:A407,A407)=1),1,0)</f>
        <v>0</v>
      </c>
      <c r="S407" t="b">
        <f>IFERROR(VLOOKUP(D407,Products!$A$2:$F$61,6,FALSE()),"")</f>
        <v>1</v>
      </c>
      <c r="T407" t="str">
        <f>IF(COUNTIF(Customers!$A$2:$A$301,C407)=0,"Missing","OK")</f>
        <v>OK</v>
      </c>
      <c r="U407" t="str">
        <f t="shared" si="19"/>
        <v>Pune</v>
      </c>
      <c r="V407">
        <f t="shared" si="20"/>
        <v>0</v>
      </c>
    </row>
    <row r="408" spans="1:22" ht="15" customHeight="1" x14ac:dyDescent="0.35">
      <c r="A408" s="3" t="s">
        <v>756</v>
      </c>
      <c r="B408" s="4">
        <v>45591</v>
      </c>
      <c r="C408" s="3" t="s">
        <v>230</v>
      </c>
      <c r="D408" s="3" t="s">
        <v>206</v>
      </c>
      <c r="E408" s="3" t="s">
        <v>25</v>
      </c>
      <c r="F408" s="5">
        <v>7</v>
      </c>
      <c r="G408" s="5">
        <v>1220</v>
      </c>
      <c r="H408" s="5">
        <v>23.5</v>
      </c>
      <c r="I408" s="5">
        <v>6533.1</v>
      </c>
      <c r="J408" s="3" t="s">
        <v>83</v>
      </c>
      <c r="K408" s="3" t="s">
        <v>38</v>
      </c>
      <c r="L408" t="str">
        <f>IFERROR(VLOOKUP(D408,Products!$A$2:$F$61,3,FALSE()),"")</f>
        <v>Electronics</v>
      </c>
      <c r="M408" t="str">
        <f>IFERROR(VLOOKUP(E408,Sales_Reps!$A$2:$C$31,3,FALSE()),"")</f>
        <v>North</v>
      </c>
      <c r="N408">
        <f>IFERROR(VLOOKUP(D408,Products!$A$2:$F$61,4,FALSE()),"")</f>
        <v>517</v>
      </c>
      <c r="O408" t="str">
        <f>IFERROR(VLOOKUP(C408,Customers!$A$2:$F$301,5,FALSE()),"")</f>
        <v>Retail</v>
      </c>
      <c r="P408">
        <f>IFERROR(VLOOKUP(C408,Customers!$A$2:$F$301,3,FALSE()),"")</f>
        <v>35</v>
      </c>
      <c r="Q408">
        <f t="shared" si="18"/>
        <v>0.57622950819672136</v>
      </c>
      <c r="R408">
        <f>IF(AND(COUNTIF($A$2:$A$2047,A408)&gt;1,COUNTIF($A$2:A408,A408)=1),1,0)</f>
        <v>0</v>
      </c>
      <c r="S408" t="b">
        <f>IFERROR(VLOOKUP(D408,Products!$A$2:$F$61,6,FALSE()),"")</f>
        <v>1</v>
      </c>
      <c r="T408" t="str">
        <f>IF(COUNTIF(Customers!$A$2:$A$301,C408)=0,"Missing","OK")</f>
        <v>OK</v>
      </c>
      <c r="U408" t="str">
        <f t="shared" si="19"/>
        <v>Delhi</v>
      </c>
      <c r="V408">
        <f t="shared" si="20"/>
        <v>0</v>
      </c>
    </row>
    <row r="409" spans="1:22" ht="15" customHeight="1" x14ac:dyDescent="0.35">
      <c r="A409" s="3" t="s">
        <v>757</v>
      </c>
      <c r="B409" s="4">
        <v>45584</v>
      </c>
      <c r="C409" s="3" t="s">
        <v>373</v>
      </c>
      <c r="D409" s="3" t="s">
        <v>184</v>
      </c>
      <c r="E409" s="3" t="s">
        <v>140</v>
      </c>
      <c r="F409" s="5">
        <v>1</v>
      </c>
      <c r="G409" s="5">
        <v>2270</v>
      </c>
      <c r="H409" s="5">
        <v>5.8</v>
      </c>
      <c r="I409" s="5">
        <v>2138.34</v>
      </c>
      <c r="J409" s="3" t="s">
        <v>79</v>
      </c>
      <c r="K409" s="3" t="s">
        <v>38</v>
      </c>
      <c r="L409" t="str">
        <f>IFERROR(VLOOKUP(D409,Products!$A$2:$F$61,3,FALSE()),"")</f>
        <v>Grocery</v>
      </c>
      <c r="M409" t="str">
        <f>IFERROR(VLOOKUP(E409,Sales_Reps!$A$2:$C$31,3,FALSE()),"")</f>
        <v>West</v>
      </c>
      <c r="N409">
        <f>IFERROR(VLOOKUP(D409,Products!$A$2:$F$61,4,FALSE()),"")</f>
        <v>1412</v>
      </c>
      <c r="O409" t="str">
        <f>IFERROR(VLOOKUP(C409,Customers!$A$2:$F$301,5,FALSE()),"")</f>
        <v>Corporate</v>
      </c>
      <c r="P409">
        <f>IFERROR(VLOOKUP(C409,Customers!$A$2:$F$301,3,FALSE()),"")</f>
        <v>31</v>
      </c>
      <c r="Q409">
        <f t="shared" si="18"/>
        <v>0.37797356828193834</v>
      </c>
      <c r="R409">
        <f>IF(AND(COUNTIF($A$2:$A$2047,A409)&gt;1,COUNTIF($A$2:A409,A409)=1),1,0)</f>
        <v>0</v>
      </c>
      <c r="S409" t="b">
        <f>IFERROR(VLOOKUP(D409,Products!$A$2:$F$61,6,FALSE()),"")</f>
        <v>1</v>
      </c>
      <c r="T409" t="str">
        <f>IF(COUNTIF(Customers!$A$2:$A$301,C409)=0,"Missing","OK")</f>
        <v>OK</v>
      </c>
      <c r="U409" t="str">
        <f t="shared" si="19"/>
        <v>Delhi</v>
      </c>
      <c r="V409">
        <f t="shared" si="20"/>
        <v>0</v>
      </c>
    </row>
    <row r="410" spans="1:22" ht="15" customHeight="1" x14ac:dyDescent="0.35">
      <c r="A410" s="3" t="s">
        <v>758</v>
      </c>
      <c r="B410" s="4">
        <v>45581</v>
      </c>
      <c r="C410" s="3" t="s">
        <v>556</v>
      </c>
      <c r="D410" s="3" t="s">
        <v>142</v>
      </c>
      <c r="E410" s="3" t="s">
        <v>236</v>
      </c>
      <c r="F410" s="5">
        <v>2</v>
      </c>
      <c r="G410" s="5">
        <v>660</v>
      </c>
      <c r="H410" s="5">
        <v>2.2999999999999998</v>
      </c>
      <c r="I410" s="5">
        <v>1289.6400000000001</v>
      </c>
      <c r="J410" s="3" t="s">
        <v>26</v>
      </c>
      <c r="K410" s="3" t="s">
        <v>51</v>
      </c>
      <c r="L410" t="str">
        <f>IFERROR(VLOOKUP(D410,Products!$A$2:$F$61,3,FALSE()),"")</f>
        <v>Home</v>
      </c>
      <c r="M410" t="str">
        <f>IFERROR(VLOOKUP(E410,Sales_Reps!$A$2:$C$31,3,FALSE()),"")</f>
        <v>North</v>
      </c>
      <c r="N410">
        <f>IFERROR(VLOOKUP(D410,Products!$A$2:$F$61,4,FALSE()),"")</f>
        <v>329</v>
      </c>
      <c r="O410" t="str">
        <f>IFERROR(VLOOKUP(C410,Customers!$A$2:$F$301,5,FALSE()),"")</f>
        <v>SMB</v>
      </c>
      <c r="P410">
        <f>IFERROR(VLOOKUP(C410,Customers!$A$2:$F$301,3,FALSE()),"")</f>
        <v>65</v>
      </c>
      <c r="Q410">
        <f t="shared" si="18"/>
        <v>0.50151515151515147</v>
      </c>
      <c r="R410">
        <f>IF(AND(COUNTIF($A$2:$A$2047,A410)&gt;1,COUNTIF($A$2:A410,A410)=1),1,0)</f>
        <v>0</v>
      </c>
      <c r="S410" t="b">
        <f>IFERROR(VLOOKUP(D410,Products!$A$2:$F$61,6,FALSE()),"")</f>
        <v>1</v>
      </c>
      <c r="T410" t="str">
        <f>IF(COUNTIF(Customers!$A$2:$A$301,C410)=0,"Missing","OK")</f>
        <v>OK</v>
      </c>
      <c r="U410" t="str">
        <f t="shared" si="19"/>
        <v>Mumbai</v>
      </c>
      <c r="V410">
        <f t="shared" si="20"/>
        <v>0</v>
      </c>
    </row>
    <row r="411" spans="1:22" ht="15" customHeight="1" x14ac:dyDescent="0.35">
      <c r="A411" s="3" t="s">
        <v>759</v>
      </c>
      <c r="B411" s="4">
        <v>45441</v>
      </c>
      <c r="C411" s="3" t="s">
        <v>284</v>
      </c>
      <c r="D411" s="3" t="s">
        <v>45</v>
      </c>
      <c r="E411" s="3" t="s">
        <v>37</v>
      </c>
      <c r="F411" s="5">
        <v>1</v>
      </c>
      <c r="G411" s="5">
        <v>3160</v>
      </c>
      <c r="H411" s="5">
        <v>5.6</v>
      </c>
      <c r="I411" s="5">
        <v>2983.04</v>
      </c>
      <c r="J411" s="3" t="s">
        <v>26</v>
      </c>
      <c r="K411" s="3" t="s">
        <v>33</v>
      </c>
      <c r="L411" t="str">
        <f>IFERROR(VLOOKUP(D411,Products!$A$2:$F$61,3,FALSE()),"")</f>
        <v>Apparel</v>
      </c>
      <c r="M411" t="str">
        <f>IFERROR(VLOOKUP(E411,Sales_Reps!$A$2:$C$31,3,FALSE()),"")</f>
        <v>South</v>
      </c>
      <c r="N411">
        <f>IFERROR(VLOOKUP(D411,Products!$A$2:$F$61,4,FALSE()),"")</f>
        <v>1886</v>
      </c>
      <c r="O411" t="str">
        <f>IFERROR(VLOOKUP(C411,Customers!$A$2:$F$301,5,FALSE()),"")</f>
        <v>Corporate</v>
      </c>
      <c r="P411">
        <f>IFERROR(VLOOKUP(C411,Customers!$A$2:$F$301,3,FALSE()),"")</f>
        <v>38</v>
      </c>
      <c r="Q411">
        <f t="shared" si="18"/>
        <v>0.4031645569620253</v>
      </c>
      <c r="R411">
        <f>IF(AND(COUNTIF($A$2:$A$2047,A411)&gt;1,COUNTIF($A$2:A411,A411)=1),1,0)</f>
        <v>0</v>
      </c>
      <c r="S411" t="b">
        <f>IFERROR(VLOOKUP(D411,Products!$A$2:$F$61,6,FALSE()),"")</f>
        <v>1</v>
      </c>
      <c r="T411" t="str">
        <f>IF(COUNTIF(Customers!$A$2:$A$301,C411)=0,"Missing","OK")</f>
        <v>OK</v>
      </c>
      <c r="U411" t="str">
        <f t="shared" si="19"/>
        <v>Chennai</v>
      </c>
      <c r="V411">
        <f t="shared" si="20"/>
        <v>0</v>
      </c>
    </row>
    <row r="412" spans="1:22" ht="15" customHeight="1" x14ac:dyDescent="0.35">
      <c r="A412" s="3" t="s">
        <v>760</v>
      </c>
      <c r="B412" s="4">
        <v>45408</v>
      </c>
      <c r="C412" s="3" t="s">
        <v>44</v>
      </c>
      <c r="D412" s="3" t="s">
        <v>77</v>
      </c>
      <c r="E412" s="3" t="s">
        <v>191</v>
      </c>
      <c r="F412" s="5">
        <v>1</v>
      </c>
      <c r="G412" s="5">
        <v>2600</v>
      </c>
      <c r="H412" s="5">
        <v>1</v>
      </c>
      <c r="I412" s="5">
        <v>2574</v>
      </c>
      <c r="J412" s="3" t="s">
        <v>26</v>
      </c>
      <c r="K412" s="3" t="s">
        <v>33</v>
      </c>
      <c r="L412" t="str">
        <f>IFERROR(VLOOKUP(D412,Products!$A$2:$F$61,3,FALSE()),"")</f>
        <v>Electronics</v>
      </c>
      <c r="M412" t="str">
        <f>IFERROR(VLOOKUP(E412,Sales_Reps!$A$2:$C$31,3,FALSE()),"")</f>
        <v>South</v>
      </c>
      <c r="N412">
        <f>IFERROR(VLOOKUP(D412,Products!$A$2:$F$61,4,FALSE()),"")</f>
        <v>1052</v>
      </c>
      <c r="O412" t="str">
        <f>IFERROR(VLOOKUP(C412,Customers!$A$2:$F$301,5,FALSE()),"")</f>
        <v>Retail</v>
      </c>
      <c r="P412">
        <f>IFERROR(VLOOKUP(C412,Customers!$A$2:$F$301,3,FALSE()),"")</f>
        <v>36</v>
      </c>
      <c r="Q412">
        <f t="shared" si="18"/>
        <v>0.5953846153846154</v>
      </c>
      <c r="R412">
        <f>IF(AND(COUNTIF($A$2:$A$2047,A412)&gt;1,COUNTIF($A$2:A412,A412)=1),1,0)</f>
        <v>0</v>
      </c>
      <c r="S412" t="b">
        <f>IFERROR(VLOOKUP(D412,Products!$A$2:$F$61,6,FALSE()),"")</f>
        <v>1</v>
      </c>
      <c r="T412" t="str">
        <f>IF(COUNTIF(Customers!$A$2:$A$301,C412)=0,"Missing","OK")</f>
        <v>OK</v>
      </c>
      <c r="U412" t="str">
        <f t="shared" si="19"/>
        <v>Chennai</v>
      </c>
      <c r="V412">
        <f t="shared" si="20"/>
        <v>0</v>
      </c>
    </row>
    <row r="413" spans="1:22" ht="15" customHeight="1" x14ac:dyDescent="0.35">
      <c r="A413" s="3" t="s">
        <v>761</v>
      </c>
      <c r="B413" s="4">
        <v>45515</v>
      </c>
      <c r="C413" s="3" t="s">
        <v>762</v>
      </c>
      <c r="D413" s="3" t="s">
        <v>209</v>
      </c>
      <c r="E413" s="3" t="s">
        <v>37</v>
      </c>
      <c r="F413" s="5">
        <v>4</v>
      </c>
      <c r="G413" s="5">
        <v>4610</v>
      </c>
      <c r="H413" s="5">
        <v>18.7</v>
      </c>
      <c r="I413" s="5">
        <v>14991.72</v>
      </c>
      <c r="J413" s="3" t="s">
        <v>26</v>
      </c>
      <c r="K413" s="3" t="s">
        <v>33</v>
      </c>
      <c r="L413" t="str">
        <f>IFERROR(VLOOKUP(D413,Products!$A$2:$F$61,3,FALSE()),"")</f>
        <v>Home</v>
      </c>
      <c r="M413" t="str">
        <f>IFERROR(VLOOKUP(E413,Sales_Reps!$A$2:$C$31,3,FALSE()),"")</f>
        <v>South</v>
      </c>
      <c r="N413">
        <f>IFERROR(VLOOKUP(D413,Products!$A$2:$F$61,4,FALSE()),"")</f>
        <v>1850</v>
      </c>
      <c r="O413" t="str">
        <f>IFERROR(VLOOKUP(C413,Customers!$A$2:$F$301,5,FALSE()),"")</f>
        <v>Retail</v>
      </c>
      <c r="P413">
        <f>IFERROR(VLOOKUP(C413,Customers!$A$2:$F$301,3,FALSE()),"")</f>
        <v>32</v>
      </c>
      <c r="Q413">
        <f t="shared" si="18"/>
        <v>0.59869848156182215</v>
      </c>
      <c r="R413">
        <f>IF(AND(COUNTIF($A$2:$A$2047,A413)&gt;1,COUNTIF($A$2:A413,A413)=1),1,0)</f>
        <v>0</v>
      </c>
      <c r="S413" t="b">
        <f>IFERROR(VLOOKUP(D413,Products!$A$2:$F$61,6,FALSE()),"")</f>
        <v>1</v>
      </c>
      <c r="T413" t="str">
        <f>IF(COUNTIF(Customers!$A$2:$A$301,C413)=0,"Missing","OK")</f>
        <v>OK</v>
      </c>
      <c r="U413" t="str">
        <f t="shared" si="19"/>
        <v>Chennai</v>
      </c>
      <c r="V413">
        <f t="shared" si="20"/>
        <v>0</v>
      </c>
    </row>
    <row r="414" spans="1:22" ht="15" customHeight="1" x14ac:dyDescent="0.35">
      <c r="A414" s="3" t="s">
        <v>763</v>
      </c>
      <c r="B414" s="4">
        <v>45412</v>
      </c>
      <c r="C414" s="3" t="s">
        <v>498</v>
      </c>
      <c r="D414" s="3" t="s">
        <v>176</v>
      </c>
      <c r="E414" s="3" t="s">
        <v>242</v>
      </c>
      <c r="F414" s="5">
        <v>3</v>
      </c>
      <c r="G414" s="5">
        <v>3640</v>
      </c>
      <c r="H414" s="5">
        <v>9.6999999999999993</v>
      </c>
      <c r="I414" s="5">
        <v>9860.76</v>
      </c>
      <c r="J414" s="3" t="s">
        <v>79</v>
      </c>
      <c r="K414" s="3" t="s">
        <v>27</v>
      </c>
      <c r="L414" t="str">
        <f>IFERROR(VLOOKUP(D414,Products!$A$2:$F$61,3,FALSE()),"")</f>
        <v>Apparel</v>
      </c>
      <c r="M414" t="str">
        <f>IFERROR(VLOOKUP(E414,Sales_Reps!$A$2:$C$31,3,FALSE()),"")</f>
        <v>East</v>
      </c>
      <c r="N414">
        <f>IFERROR(VLOOKUP(D414,Products!$A$2:$F$61,4,FALSE()),"")</f>
        <v>2611</v>
      </c>
      <c r="O414" t="str">
        <f>IFERROR(VLOOKUP(C414,Customers!$A$2:$F$301,5,FALSE()),"")</f>
        <v>Retail</v>
      </c>
      <c r="P414">
        <f>IFERROR(VLOOKUP(C414,Customers!$A$2:$F$301,3,FALSE()),"")</f>
        <v>62</v>
      </c>
      <c r="Q414">
        <f t="shared" si="18"/>
        <v>0.28269230769230769</v>
      </c>
      <c r="R414">
        <f>IF(AND(COUNTIF($A$2:$A$2047,A414)&gt;1,COUNTIF($A$2:A414,A414)=1),1,0)</f>
        <v>0</v>
      </c>
      <c r="S414" t="b">
        <f>IFERROR(VLOOKUP(D414,Products!$A$2:$F$61,6,FALSE()),"")</f>
        <v>1</v>
      </c>
      <c r="T414" t="str">
        <f>IF(COUNTIF(Customers!$A$2:$A$301,C414)=0,"Missing","OK")</f>
        <v>OK</v>
      </c>
      <c r="U414" t="str">
        <f t="shared" si="19"/>
        <v>Pune</v>
      </c>
      <c r="V414">
        <f t="shared" si="20"/>
        <v>0</v>
      </c>
    </row>
    <row r="415" spans="1:22" ht="15" customHeight="1" x14ac:dyDescent="0.35">
      <c r="A415" s="3" t="s">
        <v>764</v>
      </c>
      <c r="B415" s="4">
        <v>45448</v>
      </c>
      <c r="C415" s="3" t="s">
        <v>485</v>
      </c>
      <c r="D415" s="3" t="s">
        <v>112</v>
      </c>
      <c r="E415" s="3" t="s">
        <v>78</v>
      </c>
      <c r="F415" s="5">
        <v>6</v>
      </c>
      <c r="G415" s="5">
        <v>2720</v>
      </c>
      <c r="H415" s="5">
        <v>13</v>
      </c>
      <c r="I415" s="5">
        <v>14198.4</v>
      </c>
      <c r="J415" s="3" t="s">
        <v>32</v>
      </c>
      <c r="K415" s="3" t="s">
        <v>38</v>
      </c>
      <c r="L415" t="str">
        <f>IFERROR(VLOOKUP(D415,Products!$A$2:$F$61,3,FALSE()),"")</f>
        <v>Apparel</v>
      </c>
      <c r="M415" t="str">
        <f>IFERROR(VLOOKUP(E415,Sales_Reps!$A$2:$C$31,3,FALSE()),"")</f>
        <v>North</v>
      </c>
      <c r="N415">
        <f>IFERROR(VLOOKUP(D415,Products!$A$2:$F$61,4,FALSE()),"")</f>
        <v>1962</v>
      </c>
      <c r="O415" t="str">
        <f>IFERROR(VLOOKUP(C415,Customers!$A$2:$F$301,5,FALSE()),"")</f>
        <v>SMB</v>
      </c>
      <c r="P415">
        <f>IFERROR(VLOOKUP(C415,Customers!$A$2:$F$301,3,FALSE()),"")</f>
        <v>29</v>
      </c>
      <c r="Q415">
        <f t="shared" si="18"/>
        <v>0.2786764705882353</v>
      </c>
      <c r="R415">
        <f>IF(AND(COUNTIF($A$2:$A$2047,A415)&gt;1,COUNTIF($A$2:A415,A415)=1),1,0)</f>
        <v>0</v>
      </c>
      <c r="S415" t="b">
        <f>IFERROR(VLOOKUP(D415,Products!$A$2:$F$61,6,FALSE()),"")</f>
        <v>1</v>
      </c>
      <c r="T415" t="str">
        <f>IF(COUNTIF(Customers!$A$2:$A$301,C415)=0,"Missing","OK")</f>
        <v>OK</v>
      </c>
      <c r="U415" t="str">
        <f t="shared" si="19"/>
        <v>Delhi</v>
      </c>
      <c r="V415">
        <f t="shared" si="20"/>
        <v>0</v>
      </c>
    </row>
    <row r="416" spans="1:22" ht="15" customHeight="1" x14ac:dyDescent="0.35">
      <c r="A416" s="3" t="s">
        <v>765</v>
      </c>
      <c r="B416" s="4">
        <v>45644</v>
      </c>
      <c r="C416" s="3" t="s">
        <v>469</v>
      </c>
      <c r="D416" s="3" t="s">
        <v>400</v>
      </c>
      <c r="E416" s="3" t="s">
        <v>46</v>
      </c>
      <c r="F416" s="5">
        <v>5</v>
      </c>
      <c r="G416" s="5">
        <v>3780</v>
      </c>
      <c r="H416" s="5">
        <v>15.2</v>
      </c>
      <c r="I416" s="5">
        <v>16027.2</v>
      </c>
      <c r="J416" s="3" t="s">
        <v>26</v>
      </c>
      <c r="K416" s="3" t="s">
        <v>38</v>
      </c>
      <c r="L416" t="str">
        <f>IFERROR(VLOOKUP(D416,Products!$A$2:$F$61,3,FALSE()),"")</f>
        <v>Sports</v>
      </c>
      <c r="M416" t="str">
        <f>IFERROR(VLOOKUP(E416,Sales_Reps!$A$2:$C$31,3,FALSE()),"")</f>
        <v>North</v>
      </c>
      <c r="N416">
        <f>IFERROR(VLOOKUP(D416,Products!$A$2:$F$61,4,FALSE()),"")</f>
        <v>1860</v>
      </c>
      <c r="O416" t="str">
        <f>IFERROR(VLOOKUP(C416,Customers!$A$2:$F$301,5,FALSE()),"")</f>
        <v>Retail</v>
      </c>
      <c r="P416">
        <f>IFERROR(VLOOKUP(C416,Customers!$A$2:$F$301,3,FALSE()),"")</f>
        <v>45</v>
      </c>
      <c r="Q416">
        <f t="shared" si="18"/>
        <v>0.50793650793650791</v>
      </c>
      <c r="R416">
        <f>IF(AND(COUNTIF($A$2:$A$2047,A416)&gt;1,COUNTIF($A$2:A416,A416)=1),1,0)</f>
        <v>0</v>
      </c>
      <c r="S416" t="b">
        <f>IFERROR(VLOOKUP(D416,Products!$A$2:$F$61,6,FALSE()),"")</f>
        <v>1</v>
      </c>
      <c r="T416" t="str">
        <f>IF(COUNTIF(Customers!$A$2:$A$301,C416)=0,"Missing","OK")</f>
        <v>OK</v>
      </c>
      <c r="U416" t="str">
        <f t="shared" si="19"/>
        <v>Delhi</v>
      </c>
      <c r="V416">
        <f t="shared" si="20"/>
        <v>0</v>
      </c>
    </row>
    <row r="417" spans="1:22" ht="15" customHeight="1" x14ac:dyDescent="0.35">
      <c r="A417" s="3" t="s">
        <v>766</v>
      </c>
      <c r="B417" s="4">
        <v>45407</v>
      </c>
      <c r="C417" s="3" t="s">
        <v>767</v>
      </c>
      <c r="D417" s="3" t="s">
        <v>441</v>
      </c>
      <c r="E417" s="3" t="s">
        <v>109</v>
      </c>
      <c r="F417" s="5">
        <v>9</v>
      </c>
      <c r="G417" s="5">
        <v>1090</v>
      </c>
      <c r="H417" s="5">
        <v>28.5</v>
      </c>
      <c r="I417" s="5">
        <v>7014.15</v>
      </c>
      <c r="J417" s="3" t="s">
        <v>26</v>
      </c>
      <c r="K417" s="3" t="s">
        <v>72</v>
      </c>
      <c r="L417" t="str">
        <f>IFERROR(VLOOKUP(D417,Products!$A$2:$F$61,3,FALSE()),"")</f>
        <v>Home</v>
      </c>
      <c r="M417" t="str">
        <f>IFERROR(VLOOKUP(E417,Sales_Reps!$A$2:$C$31,3,FALSE()),"")</f>
        <v>West</v>
      </c>
      <c r="N417">
        <f>IFERROR(VLOOKUP(D417,Products!$A$2:$F$61,4,FALSE()),"")</f>
        <v>464</v>
      </c>
      <c r="O417" t="str">
        <f>IFERROR(VLOOKUP(C417,Customers!$A$2:$F$301,5,FALSE()),"")</f>
        <v>Retail</v>
      </c>
      <c r="P417">
        <f>IFERROR(VLOOKUP(C417,Customers!$A$2:$F$301,3,FALSE()),"")</f>
        <v>52</v>
      </c>
      <c r="Q417">
        <f t="shared" si="18"/>
        <v>0.57431192660550456</v>
      </c>
      <c r="R417">
        <f>IF(AND(COUNTIF($A$2:$A$2047,A417)&gt;1,COUNTIF($A$2:A417,A417)=1),1,0)</f>
        <v>0</v>
      </c>
      <c r="S417" t="b">
        <f>IFERROR(VLOOKUP(D417,Products!$A$2:$F$61,6,FALSE()),"")</f>
        <v>1</v>
      </c>
      <c r="T417" t="str">
        <f>IF(COUNTIF(Customers!$A$2:$A$301,C417)=0,"Missing","OK")</f>
        <v>OK</v>
      </c>
      <c r="U417" t="str">
        <f t="shared" si="19"/>
        <v>Hyderabad</v>
      </c>
      <c r="V417">
        <f t="shared" si="20"/>
        <v>0</v>
      </c>
    </row>
    <row r="418" spans="1:22" ht="15" customHeight="1" x14ac:dyDescent="0.35">
      <c r="A418" s="3" t="s">
        <v>768</v>
      </c>
      <c r="B418" s="4">
        <v>45581</v>
      </c>
      <c r="C418" s="3" t="s">
        <v>524</v>
      </c>
      <c r="D418" s="3" t="s">
        <v>441</v>
      </c>
      <c r="E418" s="3" t="s">
        <v>67</v>
      </c>
      <c r="F418" s="5">
        <v>6</v>
      </c>
      <c r="G418" s="5">
        <v>1090</v>
      </c>
      <c r="H418" s="5">
        <v>28.7</v>
      </c>
      <c r="I418" s="5">
        <v>4663.0200000000004</v>
      </c>
      <c r="J418" s="3" t="s">
        <v>26</v>
      </c>
      <c r="K418" s="3" t="s">
        <v>33</v>
      </c>
      <c r="L418" t="str">
        <f>IFERROR(VLOOKUP(D418,Products!$A$2:$F$61,3,FALSE()),"")</f>
        <v>Home</v>
      </c>
      <c r="M418" t="str">
        <f>IFERROR(VLOOKUP(E418,Sales_Reps!$A$2:$C$31,3,FALSE()),"")</f>
        <v>West</v>
      </c>
      <c r="N418">
        <f>IFERROR(VLOOKUP(D418,Products!$A$2:$F$61,4,FALSE()),"")</f>
        <v>464</v>
      </c>
      <c r="O418" t="str">
        <f>IFERROR(VLOOKUP(C418,Customers!$A$2:$F$301,5,FALSE()),"")</f>
        <v>Retail</v>
      </c>
      <c r="P418">
        <f>IFERROR(VLOOKUP(C418,Customers!$A$2:$F$301,3,FALSE()),"")</f>
        <v>26</v>
      </c>
      <c r="Q418">
        <f t="shared" si="18"/>
        <v>0.57431192660550456</v>
      </c>
      <c r="R418">
        <f>IF(AND(COUNTIF($A$2:$A$2047,A418)&gt;1,COUNTIF($A$2:A418,A418)=1),1,0)</f>
        <v>0</v>
      </c>
      <c r="S418" t="b">
        <f>IFERROR(VLOOKUP(D418,Products!$A$2:$F$61,6,FALSE()),"")</f>
        <v>1</v>
      </c>
      <c r="T418" t="str">
        <f>IF(COUNTIF(Customers!$A$2:$A$301,C418)=0,"Missing","OK")</f>
        <v>OK</v>
      </c>
      <c r="U418" t="str">
        <f t="shared" si="19"/>
        <v>Chennai</v>
      </c>
      <c r="V418">
        <f t="shared" si="20"/>
        <v>0</v>
      </c>
    </row>
    <row r="419" spans="1:22" ht="15" customHeight="1" x14ac:dyDescent="0.35">
      <c r="A419" s="3" t="s">
        <v>769</v>
      </c>
      <c r="B419" s="4">
        <v>45366</v>
      </c>
      <c r="C419" s="3" t="s">
        <v>552</v>
      </c>
      <c r="D419" s="3" t="s">
        <v>294</v>
      </c>
      <c r="E419" s="3" t="s">
        <v>109</v>
      </c>
      <c r="F419" s="5">
        <v>5</v>
      </c>
      <c r="G419" s="5">
        <v>2510</v>
      </c>
      <c r="H419" s="5">
        <v>25</v>
      </c>
      <c r="I419" s="5">
        <v>9412.5</v>
      </c>
      <c r="J419" s="3" t="s">
        <v>26</v>
      </c>
      <c r="K419" s="3" t="s">
        <v>51</v>
      </c>
      <c r="L419" t="str">
        <f>IFERROR(VLOOKUP(D419,Products!$A$2:$F$61,3,FALSE()),"")</f>
        <v>Apparel</v>
      </c>
      <c r="M419" t="str">
        <f>IFERROR(VLOOKUP(E419,Sales_Reps!$A$2:$C$31,3,FALSE()),"")</f>
        <v>West</v>
      </c>
      <c r="N419">
        <f>IFERROR(VLOOKUP(D419,Products!$A$2:$F$61,4,FALSE()),"")</f>
        <v>1075</v>
      </c>
      <c r="O419" t="str">
        <f>IFERROR(VLOOKUP(C419,Customers!$A$2:$F$301,5,FALSE()),"")</f>
        <v>Retail</v>
      </c>
      <c r="P419">
        <f>IFERROR(VLOOKUP(C419,Customers!$A$2:$F$301,3,FALSE()),"")</f>
        <v>44</v>
      </c>
      <c r="Q419">
        <f t="shared" si="18"/>
        <v>0.57171314741035861</v>
      </c>
      <c r="R419">
        <f>IF(AND(COUNTIF($A$2:$A$2047,A419)&gt;1,COUNTIF($A$2:A419,A419)=1),1,0)</f>
        <v>0</v>
      </c>
      <c r="S419" t="b">
        <f>IFERROR(VLOOKUP(D419,Products!$A$2:$F$61,6,FALSE()),"")</f>
        <v>0</v>
      </c>
      <c r="T419" t="str">
        <f>IF(COUNTIF(Customers!$A$2:$A$301,C419)=0,"Missing","OK")</f>
        <v>OK</v>
      </c>
      <c r="U419" t="str">
        <f t="shared" si="19"/>
        <v>Mumbai</v>
      </c>
      <c r="V419">
        <f t="shared" si="20"/>
        <v>0</v>
      </c>
    </row>
    <row r="420" spans="1:22" ht="15" customHeight="1" x14ac:dyDescent="0.35">
      <c r="A420" s="3" t="s">
        <v>770</v>
      </c>
      <c r="B420" s="4">
        <v>45577</v>
      </c>
      <c r="C420" s="3" t="s">
        <v>312</v>
      </c>
      <c r="D420" s="3" t="s">
        <v>347</v>
      </c>
      <c r="E420" s="3" t="s">
        <v>71</v>
      </c>
      <c r="F420" s="5">
        <v>5</v>
      </c>
      <c r="G420" s="5">
        <v>3970</v>
      </c>
      <c r="H420" s="5">
        <v>26</v>
      </c>
      <c r="I420" s="5">
        <v>14689</v>
      </c>
      <c r="J420" s="3" t="s">
        <v>26</v>
      </c>
      <c r="K420" s="3" t="s">
        <v>27</v>
      </c>
      <c r="L420" t="str">
        <f>IFERROR(VLOOKUP(D420,Products!$A$2:$F$61,3,FALSE()),"")</f>
        <v>Electronics</v>
      </c>
      <c r="M420" t="str">
        <f>IFERROR(VLOOKUP(E420,Sales_Reps!$A$2:$C$31,3,FALSE()),"")</f>
        <v>South</v>
      </c>
      <c r="N420">
        <f>IFERROR(VLOOKUP(D420,Products!$A$2:$F$61,4,FALSE()),"")</f>
        <v>2865</v>
      </c>
      <c r="O420" t="str">
        <f>IFERROR(VLOOKUP(C420,Customers!$A$2:$F$301,5,FALSE()),"")</f>
        <v>Retail</v>
      </c>
      <c r="P420">
        <f>IFERROR(VLOOKUP(C420,Customers!$A$2:$F$301,3,FALSE()),"")</f>
        <v>43</v>
      </c>
      <c r="Q420">
        <f t="shared" si="18"/>
        <v>0.27833753148614609</v>
      </c>
      <c r="R420">
        <f>IF(AND(COUNTIF($A$2:$A$2047,A420)&gt;1,COUNTIF($A$2:A420,A420)=1),1,0)</f>
        <v>0</v>
      </c>
      <c r="S420" t="b">
        <f>IFERROR(VLOOKUP(D420,Products!$A$2:$F$61,6,FALSE()),"")</f>
        <v>1</v>
      </c>
      <c r="T420" t="str">
        <f>IF(COUNTIF(Customers!$A$2:$A$301,C420)=0,"Missing","OK")</f>
        <v>OK</v>
      </c>
      <c r="U420" t="str">
        <f t="shared" si="19"/>
        <v>Pune</v>
      </c>
      <c r="V420">
        <f t="shared" si="20"/>
        <v>0</v>
      </c>
    </row>
    <row r="421" spans="1:22" ht="15" customHeight="1" x14ac:dyDescent="0.35">
      <c r="A421" s="3" t="s">
        <v>771</v>
      </c>
      <c r="B421" s="4">
        <v>45333</v>
      </c>
      <c r="C421" s="3" t="s">
        <v>467</v>
      </c>
      <c r="D421" s="3" t="s">
        <v>203</v>
      </c>
      <c r="E421" s="3" t="s">
        <v>154</v>
      </c>
      <c r="F421" s="5">
        <v>9</v>
      </c>
      <c r="G421" s="5">
        <v>4070</v>
      </c>
      <c r="H421" s="5">
        <v>15.7</v>
      </c>
      <c r="I421" s="5">
        <v>30879.09</v>
      </c>
      <c r="J421" s="3" t="s">
        <v>26</v>
      </c>
      <c r="K421" s="3" t="s">
        <v>51</v>
      </c>
      <c r="L421" t="str">
        <f>IFERROR(VLOOKUP(D421,Products!$A$2:$F$61,3,FALSE()),"")</f>
        <v>Grocery</v>
      </c>
      <c r="M421" t="str">
        <f>IFERROR(VLOOKUP(E421,Sales_Reps!$A$2:$C$31,3,FALSE()),"")</f>
        <v>North</v>
      </c>
      <c r="N421">
        <f>IFERROR(VLOOKUP(D421,Products!$A$2:$F$61,4,FALSE()),"")</f>
        <v>2027</v>
      </c>
      <c r="O421" t="str">
        <f>IFERROR(VLOOKUP(C421,Customers!$A$2:$F$301,5,FALSE()),"")</f>
        <v>Retail</v>
      </c>
      <c r="P421">
        <f>IFERROR(VLOOKUP(C421,Customers!$A$2:$F$301,3,FALSE()),"")</f>
        <v>44</v>
      </c>
      <c r="Q421">
        <f t="shared" si="18"/>
        <v>0.50196560196560192</v>
      </c>
      <c r="R421">
        <f>IF(AND(COUNTIF($A$2:$A$2047,A421)&gt;1,COUNTIF($A$2:A421,A421)=1),1,0)</f>
        <v>0</v>
      </c>
      <c r="S421" t="b">
        <f>IFERROR(VLOOKUP(D421,Products!$A$2:$F$61,6,FALSE()),"")</f>
        <v>1</v>
      </c>
      <c r="T421" t="str">
        <f>IF(COUNTIF(Customers!$A$2:$A$301,C421)=0,"Missing","OK")</f>
        <v>OK</v>
      </c>
      <c r="U421" t="str">
        <f t="shared" si="19"/>
        <v>Mumbai</v>
      </c>
      <c r="V421">
        <f t="shared" si="20"/>
        <v>0</v>
      </c>
    </row>
    <row r="422" spans="1:22" ht="15" customHeight="1" x14ac:dyDescent="0.35">
      <c r="A422" s="3" t="s">
        <v>772</v>
      </c>
      <c r="B422" s="4">
        <v>45418</v>
      </c>
      <c r="C422" s="3" t="s">
        <v>193</v>
      </c>
      <c r="D422" s="3" t="s">
        <v>63</v>
      </c>
      <c r="E422" s="3" t="s">
        <v>78</v>
      </c>
      <c r="F422" s="5">
        <v>6</v>
      </c>
      <c r="G422" s="5">
        <v>5490</v>
      </c>
      <c r="H422" s="5">
        <v>8.5</v>
      </c>
      <c r="I422" s="5">
        <v>30140.1</v>
      </c>
      <c r="J422" s="3" t="s">
        <v>83</v>
      </c>
      <c r="K422" s="3" t="s">
        <v>33</v>
      </c>
      <c r="L422" t="str">
        <f>IFERROR(VLOOKUP(D422,Products!$A$2:$F$61,3,FALSE()),"")</f>
        <v>Home</v>
      </c>
      <c r="M422" t="str">
        <f>IFERROR(VLOOKUP(E422,Sales_Reps!$A$2:$C$31,3,FALSE()),"")</f>
        <v>North</v>
      </c>
      <c r="N422">
        <f>IFERROR(VLOOKUP(D422,Products!$A$2:$F$61,4,FALSE()),"")</f>
        <v>2549</v>
      </c>
      <c r="O422" t="str">
        <f>IFERROR(VLOOKUP(C422,Customers!$A$2:$F$301,5,FALSE()),"")</f>
        <v>Retail</v>
      </c>
      <c r="P422">
        <f>IFERROR(VLOOKUP(C422,Customers!$A$2:$F$301,3,FALSE()),"")</f>
        <v>24</v>
      </c>
      <c r="Q422">
        <f t="shared" si="18"/>
        <v>0.53570127504553733</v>
      </c>
      <c r="R422">
        <f>IF(AND(COUNTIF($A$2:$A$2047,A422)&gt;1,COUNTIF($A$2:A422,A422)=1),1,0)</f>
        <v>0</v>
      </c>
      <c r="S422" t="b">
        <f>IFERROR(VLOOKUP(D422,Products!$A$2:$F$61,6,FALSE()),"")</f>
        <v>1</v>
      </c>
      <c r="T422" t="str">
        <f>IF(COUNTIF(Customers!$A$2:$A$301,C422)=0,"Missing","OK")</f>
        <v>OK</v>
      </c>
      <c r="U422" t="str">
        <f t="shared" si="19"/>
        <v>Chennai</v>
      </c>
      <c r="V422">
        <f t="shared" si="20"/>
        <v>0</v>
      </c>
    </row>
    <row r="423" spans="1:22" ht="15" customHeight="1" x14ac:dyDescent="0.35">
      <c r="A423" s="3" t="s">
        <v>773</v>
      </c>
      <c r="B423" s="4">
        <v>45615</v>
      </c>
      <c r="C423" s="3" t="s">
        <v>774</v>
      </c>
      <c r="D423" s="3" t="s">
        <v>121</v>
      </c>
      <c r="E423" s="3" t="s">
        <v>224</v>
      </c>
      <c r="F423" s="5">
        <v>9</v>
      </c>
      <c r="G423" s="5">
        <v>1010</v>
      </c>
      <c r="H423" s="5">
        <v>3.6</v>
      </c>
      <c r="I423" s="5">
        <v>8762.76</v>
      </c>
      <c r="J423" s="3" t="s">
        <v>26</v>
      </c>
      <c r="K423" s="3" t="s">
        <v>56</v>
      </c>
      <c r="L423" t="str">
        <f>IFERROR(VLOOKUP(D423,Products!$A$2:$F$61,3,FALSE()),"")</f>
        <v>Sports</v>
      </c>
      <c r="M423" t="str">
        <f>IFERROR(VLOOKUP(E423,Sales_Reps!$A$2:$C$31,3,FALSE()),"")</f>
        <v>East</v>
      </c>
      <c r="N423">
        <f>IFERROR(VLOOKUP(D423,Products!$A$2:$F$61,4,FALSE()),"")</f>
        <v>516</v>
      </c>
      <c r="O423" t="str">
        <f>IFERROR(VLOOKUP(C423,Customers!$A$2:$F$301,5,FALSE()),"")</f>
        <v>Retail</v>
      </c>
      <c r="P423">
        <f>IFERROR(VLOOKUP(C423,Customers!$A$2:$F$301,3,FALSE()),"")</f>
        <v>52</v>
      </c>
      <c r="Q423">
        <f t="shared" si="18"/>
        <v>0.4891089108910891</v>
      </c>
      <c r="R423">
        <f>IF(AND(COUNTIF($A$2:$A$2047,A423)&gt;1,COUNTIF($A$2:A423,A423)=1),1,0)</f>
        <v>0</v>
      </c>
      <c r="S423" t="b">
        <f>IFERROR(VLOOKUP(D423,Products!$A$2:$F$61,6,FALSE()),"")</f>
        <v>1</v>
      </c>
      <c r="T423" t="str">
        <f>IF(COUNTIF(Customers!$A$2:$A$301,C423)=0,"Missing","OK")</f>
        <v>OK</v>
      </c>
      <c r="U423" t="str">
        <f t="shared" si="19"/>
        <v>Bengaluru</v>
      </c>
      <c r="V423">
        <f t="shared" si="20"/>
        <v>0</v>
      </c>
    </row>
    <row r="424" spans="1:22" ht="15" customHeight="1" x14ac:dyDescent="0.35">
      <c r="A424" s="3" t="s">
        <v>775</v>
      </c>
      <c r="B424" s="4">
        <v>45631</v>
      </c>
      <c r="C424" s="3" t="s">
        <v>776</v>
      </c>
      <c r="D424" s="3" t="s">
        <v>41</v>
      </c>
      <c r="E424" s="3" t="s">
        <v>46</v>
      </c>
      <c r="F424" s="5">
        <v>6</v>
      </c>
      <c r="G424" s="5">
        <v>3660</v>
      </c>
      <c r="H424" s="5">
        <v>10.8</v>
      </c>
      <c r="I424" s="5">
        <v>19588.32</v>
      </c>
      <c r="J424" s="3" t="s">
        <v>26</v>
      </c>
      <c r="K424" s="3" t="s">
        <v>56</v>
      </c>
      <c r="L424" t="str">
        <f>IFERROR(VLOOKUP(D424,Products!$A$2:$F$61,3,FALSE()),"")</f>
        <v>Grocery</v>
      </c>
      <c r="M424" t="str">
        <f>IFERROR(VLOOKUP(E424,Sales_Reps!$A$2:$C$31,3,FALSE()),"")</f>
        <v>North</v>
      </c>
      <c r="N424">
        <f>IFERROR(VLOOKUP(D424,Products!$A$2:$F$61,4,FALSE()),"")</f>
        <v>2214</v>
      </c>
      <c r="O424" t="str">
        <f>IFERROR(VLOOKUP(C424,Customers!$A$2:$F$301,5,FALSE()),"")</f>
        <v>Retail</v>
      </c>
      <c r="P424">
        <f>IFERROR(VLOOKUP(C424,Customers!$A$2:$F$301,3,FALSE()),"")</f>
        <v>37</v>
      </c>
      <c r="Q424">
        <f t="shared" si="18"/>
        <v>0.39508196721311473</v>
      </c>
      <c r="R424">
        <f>IF(AND(COUNTIF($A$2:$A$2047,A424)&gt;1,COUNTIF($A$2:A424,A424)=1),1,0)</f>
        <v>0</v>
      </c>
      <c r="S424" t="b">
        <f>IFERROR(VLOOKUP(D424,Products!$A$2:$F$61,6,FALSE()),"")</f>
        <v>0</v>
      </c>
      <c r="T424" t="str">
        <f>IF(COUNTIF(Customers!$A$2:$A$301,C424)=0,"Missing","OK")</f>
        <v>OK</v>
      </c>
      <c r="U424" t="str">
        <f t="shared" si="19"/>
        <v>Bengaluru</v>
      </c>
      <c r="V424">
        <f t="shared" si="20"/>
        <v>19588.32</v>
      </c>
    </row>
    <row r="425" spans="1:22" ht="15" customHeight="1" x14ac:dyDescent="0.35">
      <c r="A425" s="3" t="s">
        <v>777</v>
      </c>
      <c r="B425" s="4">
        <v>45524</v>
      </c>
      <c r="C425" s="3" t="s">
        <v>352</v>
      </c>
      <c r="D425" s="3" t="s">
        <v>96</v>
      </c>
      <c r="E425" s="3" t="s">
        <v>285</v>
      </c>
      <c r="F425" s="5">
        <v>6</v>
      </c>
      <c r="G425" s="5">
        <v>3450</v>
      </c>
      <c r="H425" s="5">
        <v>10.7</v>
      </c>
      <c r="I425" s="5">
        <v>18485.099999999999</v>
      </c>
      <c r="J425" s="3" t="s">
        <v>26</v>
      </c>
      <c r="K425" s="3" t="s">
        <v>27</v>
      </c>
      <c r="L425" t="str">
        <f>IFERROR(VLOOKUP(D425,Products!$A$2:$F$61,3,FALSE()),"")</f>
        <v>Beauty</v>
      </c>
      <c r="M425" t="str">
        <f>IFERROR(VLOOKUP(E425,Sales_Reps!$A$2:$C$31,3,FALSE()),"")</f>
        <v>South</v>
      </c>
      <c r="N425">
        <f>IFERROR(VLOOKUP(D425,Products!$A$2:$F$61,4,FALSE()),"")</f>
        <v>2420</v>
      </c>
      <c r="O425" t="str">
        <f>IFERROR(VLOOKUP(C425,Customers!$A$2:$F$301,5,FALSE()),"")</f>
        <v>Retail</v>
      </c>
      <c r="P425">
        <f>IFERROR(VLOOKUP(C425,Customers!$A$2:$F$301,3,FALSE()),"")</f>
        <v>22</v>
      </c>
      <c r="Q425">
        <f t="shared" si="18"/>
        <v>0.29855072463768118</v>
      </c>
      <c r="R425">
        <f>IF(AND(COUNTIF($A$2:$A$2047,A425)&gt;1,COUNTIF($A$2:A425,A425)=1),1,0)</f>
        <v>0</v>
      </c>
      <c r="S425" t="b">
        <f>IFERROR(VLOOKUP(D425,Products!$A$2:$F$61,6,FALSE()),"")</f>
        <v>1</v>
      </c>
      <c r="T425" t="str">
        <f>IF(COUNTIF(Customers!$A$2:$A$301,C425)=0,"Missing","OK")</f>
        <v>OK</v>
      </c>
      <c r="U425" t="str">
        <f t="shared" si="19"/>
        <v>Pune</v>
      </c>
      <c r="V425">
        <f t="shared" si="20"/>
        <v>0</v>
      </c>
    </row>
    <row r="426" spans="1:22" ht="15" customHeight="1" x14ac:dyDescent="0.35">
      <c r="A426" s="3" t="s">
        <v>778</v>
      </c>
      <c r="B426" s="4">
        <v>45379</v>
      </c>
      <c r="C426" s="3" t="s">
        <v>164</v>
      </c>
      <c r="D426" s="3" t="s">
        <v>203</v>
      </c>
      <c r="E426" s="3" t="s">
        <v>212</v>
      </c>
      <c r="F426" s="5">
        <v>10</v>
      </c>
      <c r="G426" s="5">
        <v>4070</v>
      </c>
      <c r="H426" s="5">
        <v>23.4</v>
      </c>
      <c r="I426" s="5">
        <v>31176.2</v>
      </c>
      <c r="J426" s="3" t="s">
        <v>83</v>
      </c>
      <c r="K426" s="3" t="s">
        <v>33</v>
      </c>
      <c r="L426" t="str">
        <f>IFERROR(VLOOKUP(D426,Products!$A$2:$F$61,3,FALSE()),"")</f>
        <v>Grocery</v>
      </c>
      <c r="M426" t="str">
        <f>IFERROR(VLOOKUP(E426,Sales_Reps!$A$2:$C$31,3,FALSE()),"")</f>
        <v>South</v>
      </c>
      <c r="N426">
        <f>IFERROR(VLOOKUP(D426,Products!$A$2:$F$61,4,FALSE()),"")</f>
        <v>2027</v>
      </c>
      <c r="O426" t="str">
        <f>IFERROR(VLOOKUP(C426,Customers!$A$2:$F$301,5,FALSE()),"")</f>
        <v>Retail</v>
      </c>
      <c r="P426">
        <f>IFERROR(VLOOKUP(C426,Customers!$A$2:$F$301,3,FALSE()),"")</f>
        <v>37</v>
      </c>
      <c r="Q426">
        <f t="shared" si="18"/>
        <v>0.50196560196560192</v>
      </c>
      <c r="R426">
        <f>IF(AND(COUNTIF($A$2:$A$2047,A426)&gt;1,COUNTIF($A$2:A426,A426)=1),1,0)</f>
        <v>0</v>
      </c>
      <c r="S426" t="b">
        <f>IFERROR(VLOOKUP(D426,Products!$A$2:$F$61,6,FALSE()),"")</f>
        <v>1</v>
      </c>
      <c r="T426" t="str">
        <f>IF(COUNTIF(Customers!$A$2:$A$301,C426)=0,"Missing","OK")</f>
        <v>OK</v>
      </c>
      <c r="U426" t="str">
        <f t="shared" si="19"/>
        <v>Chennai</v>
      </c>
      <c r="V426">
        <f t="shared" si="20"/>
        <v>0</v>
      </c>
    </row>
    <row r="427" spans="1:22" ht="15" customHeight="1" x14ac:dyDescent="0.35">
      <c r="A427" s="3" t="s">
        <v>779</v>
      </c>
      <c r="B427" s="4">
        <v>45454</v>
      </c>
      <c r="C427" s="3" t="s">
        <v>780</v>
      </c>
      <c r="D427" s="3" t="s">
        <v>126</v>
      </c>
      <c r="E427" s="3" t="s">
        <v>50</v>
      </c>
      <c r="F427" s="5">
        <v>9</v>
      </c>
      <c r="G427" s="5">
        <v>3570</v>
      </c>
      <c r="H427" s="5">
        <v>15.2</v>
      </c>
      <c r="I427" s="5">
        <v>27246.240000000002</v>
      </c>
      <c r="J427" s="3" t="s">
        <v>26</v>
      </c>
      <c r="K427" s="3" t="s">
        <v>56</v>
      </c>
      <c r="L427" t="str">
        <f>IFERROR(VLOOKUP(D427,Products!$A$2:$F$61,3,FALSE()),"")</f>
        <v>Electronics</v>
      </c>
      <c r="M427" t="str">
        <f>IFERROR(VLOOKUP(E427,Sales_Reps!$A$2:$C$31,3,FALSE()),"")</f>
        <v>West</v>
      </c>
      <c r="N427">
        <f>IFERROR(VLOOKUP(D427,Products!$A$2:$F$61,4,FALSE()),"")</f>
        <v>1665</v>
      </c>
      <c r="O427" t="str">
        <f>IFERROR(VLOOKUP(C427,Customers!$A$2:$F$301,5,FALSE()),"")</f>
        <v>Corporate</v>
      </c>
      <c r="P427">
        <f>IFERROR(VLOOKUP(C427,Customers!$A$2:$F$301,3,FALSE()),"")</f>
        <v>41</v>
      </c>
      <c r="Q427">
        <f t="shared" si="18"/>
        <v>0.53361344537815125</v>
      </c>
      <c r="R427">
        <f>IF(AND(COUNTIF($A$2:$A$2047,A427)&gt;1,COUNTIF($A$2:A427,A427)=1),1,0)</f>
        <v>0</v>
      </c>
      <c r="S427" t="b">
        <f>IFERROR(VLOOKUP(D427,Products!$A$2:$F$61,6,FALSE()),"")</f>
        <v>1</v>
      </c>
      <c r="T427" t="str">
        <f>IF(COUNTIF(Customers!$A$2:$A$301,C427)=0,"Missing","OK")</f>
        <v>OK</v>
      </c>
      <c r="U427" t="str">
        <f t="shared" si="19"/>
        <v>Bengaluru</v>
      </c>
      <c r="V427">
        <f t="shared" si="20"/>
        <v>0</v>
      </c>
    </row>
    <row r="428" spans="1:22" ht="15" customHeight="1" x14ac:dyDescent="0.35">
      <c r="A428" s="3" t="s">
        <v>781</v>
      </c>
      <c r="B428" s="4">
        <v>45562</v>
      </c>
      <c r="C428" s="3" t="s">
        <v>58</v>
      </c>
      <c r="D428" s="3" t="s">
        <v>454</v>
      </c>
      <c r="E428" s="3" t="s">
        <v>31</v>
      </c>
      <c r="F428" s="5">
        <v>10</v>
      </c>
      <c r="G428" s="5">
        <v>6940</v>
      </c>
      <c r="H428" s="5">
        <v>21.8</v>
      </c>
      <c r="I428" s="5">
        <v>54270.8</v>
      </c>
      <c r="J428" s="3" t="s">
        <v>32</v>
      </c>
      <c r="K428" s="3" t="s">
        <v>56</v>
      </c>
      <c r="L428" t="str">
        <f>IFERROR(VLOOKUP(D428,Products!$A$2:$F$61,3,FALSE()),"")</f>
        <v>Sports</v>
      </c>
      <c r="M428" t="str">
        <f>IFERROR(VLOOKUP(E428,Sales_Reps!$A$2:$C$31,3,FALSE()),"")</f>
        <v>North</v>
      </c>
      <c r="N428">
        <f>IFERROR(VLOOKUP(D428,Products!$A$2:$F$61,4,FALSE()),"")</f>
        <v>2827</v>
      </c>
      <c r="O428" t="str">
        <f>IFERROR(VLOOKUP(C428,Customers!$A$2:$F$301,5,FALSE()),"")</f>
        <v>Corporate</v>
      </c>
      <c r="P428">
        <f>IFERROR(VLOOKUP(C428,Customers!$A$2:$F$301,3,FALSE()),"")</f>
        <v>57</v>
      </c>
      <c r="Q428">
        <f t="shared" si="18"/>
        <v>0.5926512968299712</v>
      </c>
      <c r="R428">
        <f>IF(AND(COUNTIF($A$2:$A$2047,A428)&gt;1,COUNTIF($A$2:A428,A428)=1),1,0)</f>
        <v>0</v>
      </c>
      <c r="S428" t="b">
        <f>IFERROR(VLOOKUP(D428,Products!$A$2:$F$61,6,FALSE()),"")</f>
        <v>1</v>
      </c>
      <c r="T428" t="str">
        <f>IF(COUNTIF(Customers!$A$2:$A$301,C428)=0,"Missing","OK")</f>
        <v>OK</v>
      </c>
      <c r="U428" t="str">
        <f t="shared" si="19"/>
        <v>Bengaluru</v>
      </c>
      <c r="V428">
        <f t="shared" si="20"/>
        <v>0</v>
      </c>
    </row>
    <row r="429" spans="1:22" ht="15" customHeight="1" x14ac:dyDescent="0.35">
      <c r="A429" s="3" t="s">
        <v>782</v>
      </c>
      <c r="B429" s="4">
        <v>45489</v>
      </c>
      <c r="C429" s="3" t="s">
        <v>255</v>
      </c>
      <c r="D429" s="3" t="s">
        <v>115</v>
      </c>
      <c r="E429" s="3" t="s">
        <v>37</v>
      </c>
      <c r="F429" s="5">
        <v>9</v>
      </c>
      <c r="G429" s="5">
        <v>1650</v>
      </c>
      <c r="H429" s="5">
        <v>24.3</v>
      </c>
      <c r="I429" s="5">
        <v>11241.45</v>
      </c>
      <c r="J429" s="3" t="s">
        <v>26</v>
      </c>
      <c r="K429" s="3" t="s">
        <v>27</v>
      </c>
      <c r="L429" t="str">
        <f>IFERROR(VLOOKUP(D429,Products!$A$2:$F$61,3,FALSE()),"")</f>
        <v>Beauty</v>
      </c>
      <c r="M429" t="str">
        <f>IFERROR(VLOOKUP(E429,Sales_Reps!$A$2:$C$31,3,FALSE()),"")</f>
        <v>South</v>
      </c>
      <c r="N429">
        <f>IFERROR(VLOOKUP(D429,Products!$A$2:$F$61,4,FALSE()),"")</f>
        <v>1222</v>
      </c>
      <c r="O429" t="str">
        <f>IFERROR(VLOOKUP(C429,Customers!$A$2:$F$301,5,FALSE()),"")</f>
        <v>SMB</v>
      </c>
      <c r="P429">
        <f>IFERROR(VLOOKUP(C429,Customers!$A$2:$F$301,3,FALSE()),"")</f>
        <v>60</v>
      </c>
      <c r="Q429">
        <f t="shared" si="18"/>
        <v>0.2593939393939394</v>
      </c>
      <c r="R429">
        <f>IF(AND(COUNTIF($A$2:$A$2047,A429)&gt;1,COUNTIF($A$2:A429,A429)=1),1,0)</f>
        <v>0</v>
      </c>
      <c r="S429" t="b">
        <f>IFERROR(VLOOKUP(D429,Products!$A$2:$F$61,6,FALSE()),"")</f>
        <v>1</v>
      </c>
      <c r="T429" t="str">
        <f>IF(COUNTIF(Customers!$A$2:$A$301,C429)=0,"Missing","OK")</f>
        <v>OK</v>
      </c>
      <c r="U429" t="str">
        <f t="shared" si="19"/>
        <v>Pune</v>
      </c>
      <c r="V429">
        <f t="shared" si="20"/>
        <v>0</v>
      </c>
    </row>
    <row r="430" spans="1:22" ht="15" customHeight="1" x14ac:dyDescent="0.35">
      <c r="A430" s="3" t="s">
        <v>783</v>
      </c>
      <c r="B430" s="4">
        <v>45624</v>
      </c>
      <c r="C430" s="3" t="s">
        <v>506</v>
      </c>
      <c r="D430" s="3" t="s">
        <v>59</v>
      </c>
      <c r="E430" s="3" t="s">
        <v>37</v>
      </c>
      <c r="F430" s="5">
        <v>10</v>
      </c>
      <c r="G430" s="5">
        <v>1430</v>
      </c>
      <c r="H430" s="5">
        <v>25.2</v>
      </c>
      <c r="I430" s="5">
        <v>10696.4</v>
      </c>
      <c r="J430" s="3" t="s">
        <v>26</v>
      </c>
      <c r="K430" s="3" t="s">
        <v>56</v>
      </c>
      <c r="L430" t="str">
        <f>IFERROR(VLOOKUP(D430,Products!$A$2:$F$61,3,FALSE()),"")</f>
        <v>Electronics</v>
      </c>
      <c r="M430" t="str">
        <f>IFERROR(VLOOKUP(E430,Sales_Reps!$A$2:$C$31,3,FALSE()),"")</f>
        <v>South</v>
      </c>
      <c r="N430">
        <f>IFERROR(VLOOKUP(D430,Products!$A$2:$F$61,4,FALSE()),"")</f>
        <v>861</v>
      </c>
      <c r="O430" t="str">
        <f>IFERROR(VLOOKUP(C430,Customers!$A$2:$F$301,5,FALSE()),"")</f>
        <v>Corporate</v>
      </c>
      <c r="P430">
        <f>IFERROR(VLOOKUP(C430,Customers!$A$2:$F$301,3,FALSE()),"")</f>
        <v>41</v>
      </c>
      <c r="Q430">
        <f t="shared" si="18"/>
        <v>0.39790209790209791</v>
      </c>
      <c r="R430">
        <f>IF(AND(COUNTIF($A$2:$A$2047,A430)&gt;1,COUNTIF($A$2:A430,A430)=1),1,0)</f>
        <v>0</v>
      </c>
      <c r="S430" t="b">
        <f>IFERROR(VLOOKUP(D430,Products!$A$2:$F$61,6,FALSE()),"")</f>
        <v>1</v>
      </c>
      <c r="T430" t="str">
        <f>IF(COUNTIF(Customers!$A$2:$A$301,C430)=0,"Missing","OK")</f>
        <v>OK</v>
      </c>
      <c r="U430" t="str">
        <f t="shared" si="19"/>
        <v>Bengaluru</v>
      </c>
      <c r="V430">
        <f t="shared" si="20"/>
        <v>0</v>
      </c>
    </row>
    <row r="431" spans="1:22" ht="15" customHeight="1" x14ac:dyDescent="0.35">
      <c r="A431" s="3" t="s">
        <v>784</v>
      </c>
      <c r="B431" s="4">
        <v>45480</v>
      </c>
      <c r="C431" s="3" t="s">
        <v>563</v>
      </c>
      <c r="D431" s="3" t="s">
        <v>290</v>
      </c>
      <c r="E431" s="3" t="s">
        <v>71</v>
      </c>
      <c r="F431" s="5">
        <v>4</v>
      </c>
      <c r="G431" s="5">
        <v>4060</v>
      </c>
      <c r="H431" s="5">
        <v>1.6</v>
      </c>
      <c r="I431" s="5">
        <v>15980.16</v>
      </c>
      <c r="J431" s="3" t="s">
        <v>26</v>
      </c>
      <c r="K431" s="3" t="s">
        <v>27</v>
      </c>
      <c r="L431" t="str">
        <f>IFERROR(VLOOKUP(D431,Products!$A$2:$F$61,3,FALSE()),"")</f>
        <v>Grocery</v>
      </c>
      <c r="M431" t="str">
        <f>IFERROR(VLOOKUP(E431,Sales_Reps!$A$2:$C$31,3,FALSE()),"")</f>
        <v>South</v>
      </c>
      <c r="N431">
        <f>IFERROR(VLOOKUP(D431,Products!$A$2:$F$61,4,FALSE()),"")</f>
        <v>2911</v>
      </c>
      <c r="O431" t="str">
        <f>IFERROR(VLOOKUP(C431,Customers!$A$2:$F$301,5,FALSE()),"")</f>
        <v>Corporate</v>
      </c>
      <c r="P431">
        <f>IFERROR(VLOOKUP(C431,Customers!$A$2:$F$301,3,FALSE()),"")</f>
        <v>31</v>
      </c>
      <c r="Q431">
        <f t="shared" si="18"/>
        <v>0.28300492610837441</v>
      </c>
      <c r="R431">
        <f>IF(AND(COUNTIF($A$2:$A$2047,A431)&gt;1,COUNTIF($A$2:A431,A431)=1),1,0)</f>
        <v>0</v>
      </c>
      <c r="S431" t="b">
        <f>IFERROR(VLOOKUP(D431,Products!$A$2:$F$61,6,FALSE()),"")</f>
        <v>1</v>
      </c>
      <c r="T431" t="str">
        <f>IF(COUNTIF(Customers!$A$2:$A$301,C431)=0,"Missing","OK")</f>
        <v>OK</v>
      </c>
      <c r="U431" t="str">
        <f t="shared" si="19"/>
        <v>Pune</v>
      </c>
      <c r="V431">
        <f t="shared" si="20"/>
        <v>0</v>
      </c>
    </row>
    <row r="432" spans="1:22" ht="15" customHeight="1" x14ac:dyDescent="0.35">
      <c r="A432" s="3" t="s">
        <v>785</v>
      </c>
      <c r="B432" s="4">
        <v>45420</v>
      </c>
      <c r="C432" s="3" t="s">
        <v>545</v>
      </c>
      <c r="D432" s="3" t="s">
        <v>49</v>
      </c>
      <c r="E432" s="3" t="s">
        <v>31</v>
      </c>
      <c r="F432" s="5">
        <v>9</v>
      </c>
      <c r="G432" s="5">
        <v>370</v>
      </c>
      <c r="H432" s="5">
        <v>17</v>
      </c>
      <c r="I432" s="5">
        <v>2763.9</v>
      </c>
      <c r="J432" s="3" t="s">
        <v>26</v>
      </c>
      <c r="K432" s="3" t="s">
        <v>51</v>
      </c>
      <c r="L432" t="str">
        <f>IFERROR(VLOOKUP(D432,Products!$A$2:$F$61,3,FALSE()),"")</f>
        <v>Home</v>
      </c>
      <c r="M432" t="str">
        <f>IFERROR(VLOOKUP(E432,Sales_Reps!$A$2:$C$31,3,FALSE()),"")</f>
        <v>North</v>
      </c>
      <c r="N432">
        <f>IFERROR(VLOOKUP(D432,Products!$A$2:$F$61,4,FALSE()),"")</f>
        <v>288</v>
      </c>
      <c r="O432" t="str">
        <f>IFERROR(VLOOKUP(C432,Customers!$A$2:$F$301,5,FALSE()),"")</f>
        <v>Retail</v>
      </c>
      <c r="P432">
        <f>IFERROR(VLOOKUP(C432,Customers!$A$2:$F$301,3,FALSE()),"")</f>
        <v>52</v>
      </c>
      <c r="Q432">
        <f t="shared" si="18"/>
        <v>0.22162162162162163</v>
      </c>
      <c r="R432">
        <f>IF(AND(COUNTIF($A$2:$A$2047,A432)&gt;1,COUNTIF($A$2:A432,A432)=1),1,0)</f>
        <v>0</v>
      </c>
      <c r="S432" t="b">
        <f>IFERROR(VLOOKUP(D432,Products!$A$2:$F$61,6,FALSE()),"")</f>
        <v>1</v>
      </c>
      <c r="T432" t="str">
        <f>IF(COUNTIF(Customers!$A$2:$A$301,C432)=0,"Missing","OK")</f>
        <v>OK</v>
      </c>
      <c r="U432" t="str">
        <f t="shared" si="19"/>
        <v>Mumbai</v>
      </c>
      <c r="V432">
        <f t="shared" si="20"/>
        <v>0</v>
      </c>
    </row>
    <row r="433" spans="1:22" ht="15" customHeight="1" x14ac:dyDescent="0.35">
      <c r="A433" s="3" t="s">
        <v>786</v>
      </c>
      <c r="B433" s="4">
        <v>45322</v>
      </c>
      <c r="C433" s="3" t="s">
        <v>642</v>
      </c>
      <c r="D433" s="3" t="s">
        <v>198</v>
      </c>
      <c r="E433" s="3" t="s">
        <v>71</v>
      </c>
      <c r="F433" s="5">
        <v>1</v>
      </c>
      <c r="G433" s="5">
        <v>1540</v>
      </c>
      <c r="H433" s="5">
        <v>24</v>
      </c>
      <c r="I433" s="5">
        <v>1170.4000000000001</v>
      </c>
      <c r="J433" s="3" t="s">
        <v>79</v>
      </c>
      <c r="K433" s="3" t="s">
        <v>27</v>
      </c>
      <c r="L433" t="str">
        <f>IFERROR(VLOOKUP(D433,Products!$A$2:$F$61,3,FALSE()),"")</f>
        <v>Beauty</v>
      </c>
      <c r="M433" t="str">
        <f>IFERROR(VLOOKUP(E433,Sales_Reps!$A$2:$C$31,3,FALSE()),"")</f>
        <v>South</v>
      </c>
      <c r="N433">
        <f>IFERROR(VLOOKUP(D433,Products!$A$2:$F$61,4,FALSE()),"")</f>
        <v>647</v>
      </c>
      <c r="O433" t="str">
        <f>IFERROR(VLOOKUP(C433,Customers!$A$2:$F$301,5,FALSE()),"")</f>
        <v>Corporate</v>
      </c>
      <c r="P433">
        <f>IFERROR(VLOOKUP(C433,Customers!$A$2:$F$301,3,FALSE()),"")</f>
        <v>52</v>
      </c>
      <c r="Q433">
        <f t="shared" si="18"/>
        <v>0.57987012987012987</v>
      </c>
      <c r="R433">
        <f>IF(AND(COUNTIF($A$2:$A$2047,A433)&gt;1,COUNTIF($A$2:A433,A433)=1),1,0)</f>
        <v>0</v>
      </c>
      <c r="S433" t="b">
        <f>IFERROR(VLOOKUP(D433,Products!$A$2:$F$61,6,FALSE()),"")</f>
        <v>0</v>
      </c>
      <c r="T433" t="str">
        <f>IF(COUNTIF(Customers!$A$2:$A$301,C433)=0,"Missing","OK")</f>
        <v>OK</v>
      </c>
      <c r="U433" t="str">
        <f t="shared" si="19"/>
        <v>Pune</v>
      </c>
      <c r="V433">
        <f t="shared" si="20"/>
        <v>0</v>
      </c>
    </row>
    <row r="434" spans="1:22" ht="15" customHeight="1" x14ac:dyDescent="0.35">
      <c r="A434" s="3" t="s">
        <v>787</v>
      </c>
      <c r="B434" s="4">
        <v>45382</v>
      </c>
      <c r="C434" s="3" t="s">
        <v>502</v>
      </c>
      <c r="D434" s="3" t="s">
        <v>77</v>
      </c>
      <c r="E434" s="3" t="s">
        <v>50</v>
      </c>
      <c r="F434" s="5">
        <v>9</v>
      </c>
      <c r="G434" s="5">
        <v>2600</v>
      </c>
      <c r="H434" s="5">
        <v>7.7</v>
      </c>
      <c r="I434" s="5">
        <v>21598.2</v>
      </c>
      <c r="J434" s="3" t="s">
        <v>26</v>
      </c>
      <c r="K434" s="3" t="s">
        <v>27</v>
      </c>
      <c r="L434" t="str">
        <f>IFERROR(VLOOKUP(D434,Products!$A$2:$F$61,3,FALSE()),"")</f>
        <v>Electronics</v>
      </c>
      <c r="M434" t="str">
        <f>IFERROR(VLOOKUP(E434,Sales_Reps!$A$2:$C$31,3,FALSE()),"")</f>
        <v>West</v>
      </c>
      <c r="N434">
        <f>IFERROR(VLOOKUP(D434,Products!$A$2:$F$61,4,FALSE()),"")</f>
        <v>1052</v>
      </c>
      <c r="O434" t="str">
        <f>IFERROR(VLOOKUP(C434,Customers!$A$2:$F$301,5,FALSE()),"")</f>
        <v>SMB</v>
      </c>
      <c r="P434">
        <f>IFERROR(VLOOKUP(C434,Customers!$A$2:$F$301,3,FALSE()),"")</f>
        <v>24</v>
      </c>
      <c r="Q434">
        <f t="shared" si="18"/>
        <v>0.5953846153846154</v>
      </c>
      <c r="R434">
        <f>IF(AND(COUNTIF($A$2:$A$2047,A434)&gt;1,COUNTIF($A$2:A434,A434)=1),1,0)</f>
        <v>0</v>
      </c>
      <c r="S434" t="b">
        <f>IFERROR(VLOOKUP(D434,Products!$A$2:$F$61,6,FALSE()),"")</f>
        <v>1</v>
      </c>
      <c r="T434" t="str">
        <f>IF(COUNTIF(Customers!$A$2:$A$301,C434)=0,"Missing","OK")</f>
        <v>OK</v>
      </c>
      <c r="U434" t="str">
        <f t="shared" si="19"/>
        <v>Pune</v>
      </c>
      <c r="V434">
        <f t="shared" si="20"/>
        <v>0</v>
      </c>
    </row>
    <row r="435" spans="1:22" ht="15" customHeight="1" x14ac:dyDescent="0.35">
      <c r="A435" s="3" t="s">
        <v>788</v>
      </c>
      <c r="B435" s="4">
        <v>45497</v>
      </c>
      <c r="C435" s="3" t="s">
        <v>789</v>
      </c>
      <c r="D435" s="3" t="s">
        <v>294</v>
      </c>
      <c r="E435" s="3" t="s">
        <v>127</v>
      </c>
      <c r="F435" s="5">
        <v>8</v>
      </c>
      <c r="G435" s="5">
        <v>2510</v>
      </c>
      <c r="H435" s="5">
        <v>3.7</v>
      </c>
      <c r="I435" s="5">
        <v>19337.04</v>
      </c>
      <c r="J435" s="3" t="s">
        <v>26</v>
      </c>
      <c r="K435" s="3" t="s">
        <v>33</v>
      </c>
      <c r="L435" t="str">
        <f>IFERROR(VLOOKUP(D435,Products!$A$2:$F$61,3,FALSE()),"")</f>
        <v>Apparel</v>
      </c>
      <c r="M435" t="str">
        <f>IFERROR(VLOOKUP(E435,Sales_Reps!$A$2:$C$31,3,FALSE()),"")</f>
        <v>South</v>
      </c>
      <c r="N435">
        <f>IFERROR(VLOOKUP(D435,Products!$A$2:$F$61,4,FALSE()),"")</f>
        <v>1075</v>
      </c>
      <c r="O435" t="str">
        <f>IFERROR(VLOOKUP(C435,Customers!$A$2:$F$301,5,FALSE()),"")</f>
        <v>SMB</v>
      </c>
      <c r="P435">
        <f>IFERROR(VLOOKUP(C435,Customers!$A$2:$F$301,3,FALSE()),"")</f>
        <v>26</v>
      </c>
      <c r="Q435">
        <f t="shared" si="18"/>
        <v>0.57171314741035861</v>
      </c>
      <c r="R435">
        <f>IF(AND(COUNTIF($A$2:$A$2047,A435)&gt;1,COUNTIF($A$2:A435,A435)=1),1,0)</f>
        <v>0</v>
      </c>
      <c r="S435" t="b">
        <f>IFERROR(VLOOKUP(D435,Products!$A$2:$F$61,6,FALSE()),"")</f>
        <v>0</v>
      </c>
      <c r="T435" t="str">
        <f>IF(COUNTIF(Customers!$A$2:$A$301,C435)=0,"Missing","OK")</f>
        <v>OK</v>
      </c>
      <c r="U435" t="str">
        <f t="shared" si="19"/>
        <v>Chennai</v>
      </c>
      <c r="V435">
        <f t="shared" si="20"/>
        <v>0</v>
      </c>
    </row>
    <row r="436" spans="1:22" ht="15" customHeight="1" x14ac:dyDescent="0.35">
      <c r="A436" s="3" t="s">
        <v>790</v>
      </c>
      <c r="B436" s="4">
        <v>45510</v>
      </c>
      <c r="C436" s="3" t="s">
        <v>563</v>
      </c>
      <c r="D436" s="3" t="s">
        <v>303</v>
      </c>
      <c r="E436" s="3" t="s">
        <v>87</v>
      </c>
      <c r="F436" s="5">
        <v>6</v>
      </c>
      <c r="G436" s="5">
        <v>5330</v>
      </c>
      <c r="H436" s="5">
        <v>8.4</v>
      </c>
      <c r="I436" s="5">
        <v>29293.68</v>
      </c>
      <c r="J436" s="3" t="s">
        <v>26</v>
      </c>
      <c r="K436" s="3" t="s">
        <v>27</v>
      </c>
      <c r="L436" t="str">
        <f>IFERROR(VLOOKUP(D436,Products!$A$2:$F$61,3,FALSE()),"")</f>
        <v>Electronics</v>
      </c>
      <c r="M436" t="str">
        <f>IFERROR(VLOOKUP(E436,Sales_Reps!$A$2:$C$31,3,FALSE()),"")</f>
        <v>North</v>
      </c>
      <c r="N436">
        <f>IFERROR(VLOOKUP(D436,Products!$A$2:$F$61,4,FALSE()),"")</f>
        <v>2405</v>
      </c>
      <c r="O436" t="str">
        <f>IFERROR(VLOOKUP(C436,Customers!$A$2:$F$301,5,FALSE()),"")</f>
        <v>Corporate</v>
      </c>
      <c r="P436">
        <f>IFERROR(VLOOKUP(C436,Customers!$A$2:$F$301,3,FALSE()),"")</f>
        <v>31</v>
      </c>
      <c r="Q436">
        <f t="shared" si="18"/>
        <v>0.54878048780487809</v>
      </c>
      <c r="R436">
        <f>IF(AND(COUNTIF($A$2:$A$2047,A436)&gt;1,COUNTIF($A$2:A436,A436)=1),1,0)</f>
        <v>0</v>
      </c>
      <c r="S436" t="b">
        <f>IFERROR(VLOOKUP(D436,Products!$A$2:$F$61,6,FALSE()),"")</f>
        <v>1</v>
      </c>
      <c r="T436" t="str">
        <f>IF(COUNTIF(Customers!$A$2:$A$301,C436)=0,"Missing","OK")</f>
        <v>OK</v>
      </c>
      <c r="U436" t="str">
        <f t="shared" si="19"/>
        <v>Pune</v>
      </c>
      <c r="V436">
        <f t="shared" si="20"/>
        <v>0</v>
      </c>
    </row>
    <row r="437" spans="1:22" ht="15" customHeight="1" x14ac:dyDescent="0.35">
      <c r="A437" s="3" t="s">
        <v>791</v>
      </c>
      <c r="B437" s="4">
        <v>45522</v>
      </c>
      <c r="C437" s="3" t="s">
        <v>368</v>
      </c>
      <c r="D437" s="3" t="s">
        <v>382</v>
      </c>
      <c r="E437" s="3" t="s">
        <v>37</v>
      </c>
      <c r="F437" s="5">
        <v>5</v>
      </c>
      <c r="G437" s="5">
        <v>5080</v>
      </c>
      <c r="H437" s="5">
        <v>10.3</v>
      </c>
      <c r="I437" s="5">
        <v>22783.8</v>
      </c>
      <c r="J437" s="3" t="s">
        <v>26</v>
      </c>
      <c r="K437" s="3" t="s">
        <v>56</v>
      </c>
      <c r="L437" t="str">
        <f>IFERROR(VLOOKUP(D437,Products!$A$2:$F$61,3,FALSE()),"")</f>
        <v>Home</v>
      </c>
      <c r="M437" t="str">
        <f>IFERROR(VLOOKUP(E437,Sales_Reps!$A$2:$C$31,3,FALSE()),"")</f>
        <v>South</v>
      </c>
      <c r="N437">
        <f>IFERROR(VLOOKUP(D437,Products!$A$2:$F$61,4,FALSE()),"")</f>
        <v>2459</v>
      </c>
      <c r="O437" t="str">
        <f>IFERROR(VLOOKUP(C437,Customers!$A$2:$F$301,5,FALSE()),"")</f>
        <v>Retail</v>
      </c>
      <c r="P437">
        <f>IFERROR(VLOOKUP(C437,Customers!$A$2:$F$301,3,FALSE()),"")</f>
        <v>55</v>
      </c>
      <c r="Q437">
        <f t="shared" si="18"/>
        <v>0.51594488188976373</v>
      </c>
      <c r="R437">
        <f>IF(AND(COUNTIF($A$2:$A$2047,A437)&gt;1,COUNTIF($A$2:A437,A437)=1),1,0)</f>
        <v>0</v>
      </c>
      <c r="S437" t="b">
        <f>IFERROR(VLOOKUP(D437,Products!$A$2:$F$61,6,FALSE()),"")</f>
        <v>1</v>
      </c>
      <c r="T437" t="str">
        <f>IF(COUNTIF(Customers!$A$2:$A$301,C437)=0,"Missing","OK")</f>
        <v>OK</v>
      </c>
      <c r="U437" t="str">
        <f t="shared" si="19"/>
        <v>Bengaluru</v>
      </c>
      <c r="V437">
        <f t="shared" si="20"/>
        <v>0</v>
      </c>
    </row>
    <row r="438" spans="1:22" ht="15" customHeight="1" x14ac:dyDescent="0.35">
      <c r="A438" s="3" t="s">
        <v>792</v>
      </c>
      <c r="B438" s="4">
        <v>45381</v>
      </c>
      <c r="C438" s="3" t="s">
        <v>549</v>
      </c>
      <c r="D438" s="3" t="s">
        <v>203</v>
      </c>
      <c r="E438" s="3" t="s">
        <v>50</v>
      </c>
      <c r="F438" s="5">
        <v>3</v>
      </c>
      <c r="G438" s="5">
        <v>4070</v>
      </c>
      <c r="H438" s="5">
        <v>23.7</v>
      </c>
      <c r="I438" s="5">
        <v>9316.23</v>
      </c>
      <c r="J438" s="3" t="s">
        <v>26</v>
      </c>
      <c r="K438" s="3" t="s">
        <v>56</v>
      </c>
      <c r="L438" t="str">
        <f>IFERROR(VLOOKUP(D438,Products!$A$2:$F$61,3,FALSE()),"")</f>
        <v>Grocery</v>
      </c>
      <c r="M438" t="str">
        <f>IFERROR(VLOOKUP(E438,Sales_Reps!$A$2:$C$31,3,FALSE()),"")</f>
        <v>West</v>
      </c>
      <c r="N438">
        <f>IFERROR(VLOOKUP(D438,Products!$A$2:$F$61,4,FALSE()),"")</f>
        <v>2027</v>
      </c>
      <c r="O438" t="str">
        <f>IFERROR(VLOOKUP(C438,Customers!$A$2:$F$301,5,FALSE()),"")</f>
        <v>SMB</v>
      </c>
      <c r="P438">
        <f>IFERROR(VLOOKUP(C438,Customers!$A$2:$F$301,3,FALSE()),"")</f>
        <v>42</v>
      </c>
      <c r="Q438">
        <f t="shared" si="18"/>
        <v>0.50196560196560192</v>
      </c>
      <c r="R438">
        <f>IF(AND(COUNTIF($A$2:$A$2047,A438)&gt;1,COUNTIF($A$2:A438,A438)=1),1,0)</f>
        <v>0</v>
      </c>
      <c r="S438" t="b">
        <f>IFERROR(VLOOKUP(D438,Products!$A$2:$F$61,6,FALSE()),"")</f>
        <v>1</v>
      </c>
      <c r="T438" t="str">
        <f>IF(COUNTIF(Customers!$A$2:$A$301,C438)=0,"Missing","OK")</f>
        <v>OK</v>
      </c>
      <c r="U438" t="str">
        <f t="shared" si="19"/>
        <v>Bengaluru</v>
      </c>
      <c r="V438">
        <f t="shared" si="20"/>
        <v>9316.23</v>
      </c>
    </row>
    <row r="439" spans="1:22" ht="15" customHeight="1" x14ac:dyDescent="0.35">
      <c r="A439" s="3" t="s">
        <v>793</v>
      </c>
      <c r="B439" s="4">
        <v>45511</v>
      </c>
      <c r="C439" s="3" t="s">
        <v>129</v>
      </c>
      <c r="D439" s="3" t="s">
        <v>231</v>
      </c>
      <c r="E439" s="3" t="s">
        <v>191</v>
      </c>
      <c r="F439" s="5">
        <v>4</v>
      </c>
      <c r="G439" s="5">
        <v>620</v>
      </c>
      <c r="H439" s="5">
        <v>18.8</v>
      </c>
      <c r="I439" s="5">
        <v>2013.76</v>
      </c>
      <c r="J439" s="3" t="s">
        <v>26</v>
      </c>
      <c r="K439" s="3" t="s">
        <v>72</v>
      </c>
      <c r="L439" t="str">
        <f>IFERROR(VLOOKUP(D439,Products!$A$2:$F$61,3,FALSE()),"")</f>
        <v>Apparel</v>
      </c>
      <c r="M439" t="str">
        <f>IFERROR(VLOOKUP(E439,Sales_Reps!$A$2:$C$31,3,FALSE()),"")</f>
        <v>South</v>
      </c>
      <c r="N439">
        <f>IFERROR(VLOOKUP(D439,Products!$A$2:$F$61,4,FALSE()),"")</f>
        <v>396</v>
      </c>
      <c r="O439" t="str">
        <f>IFERROR(VLOOKUP(C439,Customers!$A$2:$F$301,5,FALSE()),"")</f>
        <v>Corporate</v>
      </c>
      <c r="P439">
        <f>IFERROR(VLOOKUP(C439,Customers!$A$2:$F$301,3,FALSE()),"")</f>
        <v>56</v>
      </c>
      <c r="Q439">
        <f t="shared" si="18"/>
        <v>0.36129032258064514</v>
      </c>
      <c r="R439">
        <f>IF(AND(COUNTIF($A$2:$A$2047,A439)&gt;1,COUNTIF($A$2:A439,A439)=1),1,0)</f>
        <v>0</v>
      </c>
      <c r="S439" t="b">
        <f>IFERROR(VLOOKUP(D439,Products!$A$2:$F$61,6,FALSE()),"")</f>
        <v>1</v>
      </c>
      <c r="T439" t="str">
        <f>IF(COUNTIF(Customers!$A$2:$A$301,C439)=0,"Missing","OK")</f>
        <v>OK</v>
      </c>
      <c r="U439" t="str">
        <f t="shared" si="19"/>
        <v>Hyderabad</v>
      </c>
      <c r="V439">
        <f t="shared" si="20"/>
        <v>0</v>
      </c>
    </row>
    <row r="440" spans="1:22" ht="15" customHeight="1" x14ac:dyDescent="0.35">
      <c r="A440" s="3" t="s">
        <v>794</v>
      </c>
      <c r="B440" s="4">
        <v>45628</v>
      </c>
      <c r="C440" s="3" t="s">
        <v>795</v>
      </c>
      <c r="D440" s="3" t="s">
        <v>74</v>
      </c>
      <c r="E440" s="3" t="s">
        <v>177</v>
      </c>
      <c r="F440" s="5">
        <v>10</v>
      </c>
      <c r="G440" s="5">
        <v>2640</v>
      </c>
      <c r="H440" s="5">
        <v>12.7</v>
      </c>
      <c r="I440" s="5">
        <v>23047.200000000001</v>
      </c>
      <c r="J440" s="3" t="s">
        <v>26</v>
      </c>
      <c r="K440" s="3" t="s">
        <v>27</v>
      </c>
      <c r="L440" t="str">
        <f>IFERROR(VLOOKUP(D440,Products!$A$2:$F$61,3,FALSE()),"")</f>
        <v>Electronics</v>
      </c>
      <c r="M440" t="str">
        <f>IFERROR(VLOOKUP(E440,Sales_Reps!$A$2:$C$31,3,FALSE()),"")</f>
        <v>East</v>
      </c>
      <c r="N440">
        <f>IFERROR(VLOOKUP(D440,Products!$A$2:$F$61,4,FALSE()),"")</f>
        <v>1149</v>
      </c>
      <c r="O440" t="str">
        <f>IFERROR(VLOOKUP(C440,Customers!$A$2:$F$301,5,FALSE()),"")</f>
        <v>SMB</v>
      </c>
      <c r="P440">
        <f>IFERROR(VLOOKUP(C440,Customers!$A$2:$F$301,3,FALSE()),"")</f>
        <v>59</v>
      </c>
      <c r="Q440">
        <f t="shared" si="18"/>
        <v>0.56477272727272732</v>
      </c>
      <c r="R440">
        <f>IF(AND(COUNTIF($A$2:$A$2047,A440)&gt;1,COUNTIF($A$2:A440,A440)=1),1,0)</f>
        <v>0</v>
      </c>
      <c r="S440" t="b">
        <f>IFERROR(VLOOKUP(D440,Products!$A$2:$F$61,6,FALSE()),"")</f>
        <v>1</v>
      </c>
      <c r="T440" t="str">
        <f>IF(COUNTIF(Customers!$A$2:$A$301,C440)=0,"Missing","OK")</f>
        <v>OK</v>
      </c>
      <c r="U440" t="str">
        <f t="shared" si="19"/>
        <v>Pune</v>
      </c>
      <c r="V440">
        <f t="shared" si="20"/>
        <v>0</v>
      </c>
    </row>
    <row r="441" spans="1:22" ht="15" customHeight="1" x14ac:dyDescent="0.35">
      <c r="A441" s="3" t="s">
        <v>796</v>
      </c>
      <c r="B441" s="4">
        <v>45326</v>
      </c>
      <c r="C441" s="3" t="s">
        <v>408</v>
      </c>
      <c r="D441" s="3" t="s">
        <v>203</v>
      </c>
      <c r="E441" s="3" t="s">
        <v>109</v>
      </c>
      <c r="F441" s="5">
        <v>2</v>
      </c>
      <c r="G441" s="5">
        <v>4070</v>
      </c>
      <c r="H441" s="5">
        <v>29</v>
      </c>
      <c r="I441" s="5">
        <v>5779.4</v>
      </c>
      <c r="J441" s="3" t="s">
        <v>26</v>
      </c>
      <c r="K441" s="3" t="s">
        <v>56</v>
      </c>
      <c r="L441" t="str">
        <f>IFERROR(VLOOKUP(D441,Products!$A$2:$F$61,3,FALSE()),"")</f>
        <v>Grocery</v>
      </c>
      <c r="M441" t="str">
        <f>IFERROR(VLOOKUP(E441,Sales_Reps!$A$2:$C$31,3,FALSE()),"")</f>
        <v>West</v>
      </c>
      <c r="N441">
        <f>IFERROR(VLOOKUP(D441,Products!$A$2:$F$61,4,FALSE()),"")</f>
        <v>2027</v>
      </c>
      <c r="O441" t="str">
        <f>IFERROR(VLOOKUP(C441,Customers!$A$2:$F$301,5,FALSE()),"")</f>
        <v>SMB</v>
      </c>
      <c r="P441">
        <f>IFERROR(VLOOKUP(C441,Customers!$A$2:$F$301,3,FALSE()),"")</f>
        <v>43</v>
      </c>
      <c r="Q441">
        <f t="shared" si="18"/>
        <v>0.50196560196560192</v>
      </c>
      <c r="R441">
        <f>IF(AND(COUNTIF($A$2:$A$2047,A441)&gt;1,COUNTIF($A$2:A441,A441)=1),1,0)</f>
        <v>0</v>
      </c>
      <c r="S441" t="b">
        <f>IFERROR(VLOOKUP(D441,Products!$A$2:$F$61,6,FALSE()),"")</f>
        <v>1</v>
      </c>
      <c r="T441" t="str">
        <f>IF(COUNTIF(Customers!$A$2:$A$301,C441)=0,"Missing","OK")</f>
        <v>OK</v>
      </c>
      <c r="U441" t="str">
        <f t="shared" si="19"/>
        <v>Bengaluru</v>
      </c>
      <c r="V441">
        <f t="shared" si="20"/>
        <v>5779.4</v>
      </c>
    </row>
    <row r="442" spans="1:22" ht="15" customHeight="1" x14ac:dyDescent="0.35">
      <c r="A442" s="3" t="s">
        <v>797</v>
      </c>
      <c r="B442" s="4">
        <v>45561</v>
      </c>
      <c r="C442" s="3" t="s">
        <v>601</v>
      </c>
      <c r="D442" s="3" t="s">
        <v>121</v>
      </c>
      <c r="E442" s="3" t="s">
        <v>25</v>
      </c>
      <c r="F442" s="5">
        <v>8</v>
      </c>
      <c r="G442" s="5">
        <v>1010</v>
      </c>
      <c r="H442" s="5">
        <v>25.4</v>
      </c>
      <c r="I442" s="5">
        <v>6027.68</v>
      </c>
      <c r="J442" s="3" t="s">
        <v>26</v>
      </c>
      <c r="K442" s="3" t="s">
        <v>33</v>
      </c>
      <c r="L442" t="str">
        <f>IFERROR(VLOOKUP(D442,Products!$A$2:$F$61,3,FALSE()),"")</f>
        <v>Sports</v>
      </c>
      <c r="M442" t="str">
        <f>IFERROR(VLOOKUP(E442,Sales_Reps!$A$2:$C$31,3,FALSE()),"")</f>
        <v>North</v>
      </c>
      <c r="N442">
        <f>IFERROR(VLOOKUP(D442,Products!$A$2:$F$61,4,FALSE()),"")</f>
        <v>516</v>
      </c>
      <c r="O442" t="str">
        <f>IFERROR(VLOOKUP(C442,Customers!$A$2:$F$301,5,FALSE()),"")</f>
        <v>Corporate</v>
      </c>
      <c r="P442">
        <f>IFERROR(VLOOKUP(C442,Customers!$A$2:$F$301,3,FALSE()),"")</f>
        <v>41</v>
      </c>
      <c r="Q442">
        <f t="shared" si="18"/>
        <v>0.4891089108910891</v>
      </c>
      <c r="R442">
        <f>IF(AND(COUNTIF($A$2:$A$2047,A442)&gt;1,COUNTIF($A$2:A442,A442)=1),1,0)</f>
        <v>0</v>
      </c>
      <c r="S442" t="b">
        <f>IFERROR(VLOOKUP(D442,Products!$A$2:$F$61,6,FALSE()),"")</f>
        <v>1</v>
      </c>
      <c r="T442" t="str">
        <f>IF(COUNTIF(Customers!$A$2:$A$301,C442)=0,"Missing","OK")</f>
        <v>OK</v>
      </c>
      <c r="U442" t="str">
        <f t="shared" si="19"/>
        <v>Chennai</v>
      </c>
      <c r="V442">
        <f t="shared" si="20"/>
        <v>0</v>
      </c>
    </row>
    <row r="443" spans="1:22" ht="15" customHeight="1" x14ac:dyDescent="0.35">
      <c r="A443" s="3" t="s">
        <v>798</v>
      </c>
      <c r="B443" s="4">
        <v>45629</v>
      </c>
      <c r="C443" s="3" t="s">
        <v>426</v>
      </c>
      <c r="D443" s="3" t="s">
        <v>82</v>
      </c>
      <c r="E443" s="3" t="s">
        <v>31</v>
      </c>
      <c r="F443" s="5">
        <v>8</v>
      </c>
      <c r="G443" s="5">
        <v>3250</v>
      </c>
      <c r="H443" s="5">
        <v>5.4</v>
      </c>
      <c r="I443" s="5">
        <v>24596</v>
      </c>
      <c r="J443" s="3" t="s">
        <v>26</v>
      </c>
      <c r="K443" s="3" t="s">
        <v>27</v>
      </c>
      <c r="L443" t="str">
        <f>IFERROR(VLOOKUP(D443,Products!$A$2:$F$61,3,FALSE()),"")</f>
        <v>Home</v>
      </c>
      <c r="M443" t="str">
        <f>IFERROR(VLOOKUP(E443,Sales_Reps!$A$2:$C$31,3,FALSE()),"")</f>
        <v>North</v>
      </c>
      <c r="N443">
        <f>IFERROR(VLOOKUP(D443,Products!$A$2:$F$61,4,FALSE()),"")</f>
        <v>1556</v>
      </c>
      <c r="O443" t="str">
        <f>IFERROR(VLOOKUP(C443,Customers!$A$2:$F$301,5,FALSE()),"")</f>
        <v>Corporate</v>
      </c>
      <c r="P443">
        <f>IFERROR(VLOOKUP(C443,Customers!$A$2:$F$301,3,FALSE()),"")</f>
        <v>29</v>
      </c>
      <c r="Q443">
        <f t="shared" si="18"/>
        <v>0.52123076923076928</v>
      </c>
      <c r="R443">
        <f>IF(AND(COUNTIF($A$2:$A$2047,A443)&gt;1,COUNTIF($A$2:A443,A443)=1),1,0)</f>
        <v>0</v>
      </c>
      <c r="S443" t="b">
        <f>IFERROR(VLOOKUP(D443,Products!$A$2:$F$61,6,FALSE()),"")</f>
        <v>1</v>
      </c>
      <c r="T443" t="str">
        <f>IF(COUNTIF(Customers!$A$2:$A$301,C443)=0,"Missing","OK")</f>
        <v>OK</v>
      </c>
      <c r="U443" t="str">
        <f t="shared" si="19"/>
        <v>Pune</v>
      </c>
      <c r="V443">
        <f t="shared" si="20"/>
        <v>0</v>
      </c>
    </row>
    <row r="444" spans="1:22" ht="15" customHeight="1" x14ac:dyDescent="0.35">
      <c r="A444" s="3" t="s">
        <v>799</v>
      </c>
      <c r="B444" s="4">
        <v>45460</v>
      </c>
      <c r="C444" s="3" t="s">
        <v>366</v>
      </c>
      <c r="D444" s="3" t="s">
        <v>59</v>
      </c>
      <c r="E444" s="3" t="s">
        <v>143</v>
      </c>
      <c r="F444" s="5">
        <v>7</v>
      </c>
      <c r="G444" s="5">
        <v>1430</v>
      </c>
      <c r="H444" s="5">
        <v>19.3</v>
      </c>
      <c r="I444" s="5">
        <v>8078.07</v>
      </c>
      <c r="J444" s="3" t="s">
        <v>26</v>
      </c>
      <c r="K444" s="3" t="s">
        <v>27</v>
      </c>
      <c r="L444" t="str">
        <f>IFERROR(VLOOKUP(D444,Products!$A$2:$F$61,3,FALSE()),"")</f>
        <v>Electronics</v>
      </c>
      <c r="M444" t="str">
        <f>IFERROR(VLOOKUP(E444,Sales_Reps!$A$2:$C$31,3,FALSE()),"")</f>
        <v>South</v>
      </c>
      <c r="N444">
        <f>IFERROR(VLOOKUP(D444,Products!$A$2:$F$61,4,FALSE()),"")</f>
        <v>861</v>
      </c>
      <c r="O444" t="str">
        <f>IFERROR(VLOOKUP(C444,Customers!$A$2:$F$301,5,FALSE()),"")</f>
        <v>Corporate</v>
      </c>
      <c r="P444">
        <f>IFERROR(VLOOKUP(C444,Customers!$A$2:$F$301,3,FALSE()),"")</f>
        <v>48</v>
      </c>
      <c r="Q444">
        <f t="shared" si="18"/>
        <v>0.39790209790209791</v>
      </c>
      <c r="R444">
        <f>IF(AND(COUNTIF($A$2:$A$2047,A444)&gt;1,COUNTIF($A$2:A444,A444)=1),1,0)</f>
        <v>0</v>
      </c>
      <c r="S444" t="b">
        <f>IFERROR(VLOOKUP(D444,Products!$A$2:$F$61,6,FALSE()),"")</f>
        <v>1</v>
      </c>
      <c r="T444" t="str">
        <f>IF(COUNTIF(Customers!$A$2:$A$301,C444)=0,"Missing","OK")</f>
        <v>OK</v>
      </c>
      <c r="U444" t="str">
        <f t="shared" si="19"/>
        <v>Pune</v>
      </c>
      <c r="V444">
        <f t="shared" si="20"/>
        <v>0</v>
      </c>
    </row>
    <row r="445" spans="1:22" ht="15" customHeight="1" x14ac:dyDescent="0.35">
      <c r="A445" s="3" t="s">
        <v>800</v>
      </c>
      <c r="B445" s="4">
        <v>45597</v>
      </c>
      <c r="C445" s="3" t="s">
        <v>315</v>
      </c>
      <c r="D445" s="3" t="s">
        <v>215</v>
      </c>
      <c r="E445" s="3" t="s">
        <v>242</v>
      </c>
      <c r="F445" s="5">
        <v>9</v>
      </c>
      <c r="G445" s="5">
        <v>3020</v>
      </c>
      <c r="H445" s="5">
        <v>15</v>
      </c>
      <c r="I445" s="5">
        <v>23103</v>
      </c>
      <c r="J445" s="3" t="s">
        <v>26</v>
      </c>
      <c r="K445" s="3" t="s">
        <v>56</v>
      </c>
      <c r="L445" t="str">
        <f>IFERROR(VLOOKUP(D445,Products!$A$2:$F$61,3,FALSE()),"")</f>
        <v>Beauty</v>
      </c>
      <c r="M445" t="str">
        <f>IFERROR(VLOOKUP(E445,Sales_Reps!$A$2:$C$31,3,FALSE()),"")</f>
        <v>East</v>
      </c>
      <c r="N445">
        <f>IFERROR(VLOOKUP(D445,Products!$A$2:$F$61,4,FALSE()),"")</f>
        <v>1626</v>
      </c>
      <c r="O445" t="str">
        <f>IFERROR(VLOOKUP(C445,Customers!$A$2:$F$301,5,FALSE()),"")</f>
        <v>SMB</v>
      </c>
      <c r="P445">
        <f>IFERROR(VLOOKUP(C445,Customers!$A$2:$F$301,3,FALSE()),"")</f>
        <v>44</v>
      </c>
      <c r="Q445">
        <f t="shared" si="18"/>
        <v>0.46158940397350995</v>
      </c>
      <c r="R445">
        <f>IF(AND(COUNTIF($A$2:$A$2047,A445)&gt;1,COUNTIF($A$2:A445,A445)=1),1,0)</f>
        <v>0</v>
      </c>
      <c r="S445" t="b">
        <f>IFERROR(VLOOKUP(D445,Products!$A$2:$F$61,6,FALSE()),"")</f>
        <v>1</v>
      </c>
      <c r="T445" t="str">
        <f>IF(COUNTIF(Customers!$A$2:$A$301,C445)=0,"Missing","OK")</f>
        <v>OK</v>
      </c>
      <c r="U445" t="str">
        <f t="shared" si="19"/>
        <v>Bengaluru</v>
      </c>
      <c r="V445">
        <f t="shared" si="20"/>
        <v>0</v>
      </c>
    </row>
    <row r="446" spans="1:22" ht="15" customHeight="1" x14ac:dyDescent="0.35">
      <c r="A446" s="3" t="s">
        <v>801</v>
      </c>
      <c r="B446" s="4">
        <v>45324</v>
      </c>
      <c r="C446" s="3" t="s">
        <v>802</v>
      </c>
      <c r="D446" s="3" t="s">
        <v>218</v>
      </c>
      <c r="E446" s="3" t="s">
        <v>236</v>
      </c>
      <c r="F446" s="5">
        <v>2</v>
      </c>
      <c r="G446" s="5">
        <v>2660</v>
      </c>
      <c r="H446" s="5">
        <v>21.4</v>
      </c>
      <c r="I446" s="5">
        <v>4181.5200000000004</v>
      </c>
      <c r="J446" s="3" t="s">
        <v>26</v>
      </c>
      <c r="K446" s="3" t="s">
        <v>33</v>
      </c>
      <c r="L446" t="str">
        <f>IFERROR(VLOOKUP(D446,Products!$A$2:$F$61,3,FALSE()),"")</f>
        <v>Electronics</v>
      </c>
      <c r="M446" t="str">
        <f>IFERROR(VLOOKUP(E446,Sales_Reps!$A$2:$C$31,3,FALSE()),"")</f>
        <v>North</v>
      </c>
      <c r="N446">
        <f>IFERROR(VLOOKUP(D446,Products!$A$2:$F$61,4,FALSE()),"")</f>
        <v>1259</v>
      </c>
      <c r="O446" t="str">
        <f>IFERROR(VLOOKUP(C446,Customers!$A$2:$F$301,5,FALSE()),"")</f>
        <v/>
      </c>
      <c r="P446" t="str">
        <f>IFERROR(VLOOKUP(C446,Customers!$A$2:$F$301,3,FALSE()),"")</f>
        <v/>
      </c>
      <c r="Q446">
        <f t="shared" si="18"/>
        <v>0.52669172932330832</v>
      </c>
      <c r="R446">
        <f>IF(AND(COUNTIF($A$2:$A$2047,A446)&gt;1,COUNTIF($A$2:A446,A446)=1),1,0)</f>
        <v>0</v>
      </c>
      <c r="S446" t="b">
        <f>IFERROR(VLOOKUP(D446,Products!$A$2:$F$61,6,FALSE()),"")</f>
        <v>0</v>
      </c>
      <c r="T446" t="str">
        <f>IF(COUNTIF(Customers!$A$2:$A$301,C446)=0,"Missing","OK")</f>
        <v>Missing</v>
      </c>
      <c r="U446" t="str">
        <f t="shared" si="19"/>
        <v>Chennai</v>
      </c>
      <c r="V446">
        <f t="shared" si="20"/>
        <v>0</v>
      </c>
    </row>
    <row r="447" spans="1:22" ht="15" customHeight="1" x14ac:dyDescent="0.35">
      <c r="A447" s="3" t="s">
        <v>803</v>
      </c>
      <c r="B447" s="4">
        <v>45490</v>
      </c>
      <c r="C447" s="3" t="s">
        <v>120</v>
      </c>
      <c r="D447" s="3" t="s">
        <v>126</v>
      </c>
      <c r="E447" s="3" t="s">
        <v>60</v>
      </c>
      <c r="F447" s="5">
        <v>10</v>
      </c>
      <c r="G447" s="5">
        <v>3570</v>
      </c>
      <c r="H447" s="5">
        <v>20.3</v>
      </c>
      <c r="I447" s="5">
        <v>28452.9</v>
      </c>
      <c r="J447" s="3" t="s">
        <v>26</v>
      </c>
      <c r="K447" s="3" t="s">
        <v>38</v>
      </c>
      <c r="L447" t="str">
        <f>IFERROR(VLOOKUP(D447,Products!$A$2:$F$61,3,FALSE()),"")</f>
        <v>Electronics</v>
      </c>
      <c r="M447" t="str">
        <f>IFERROR(VLOOKUP(E447,Sales_Reps!$A$2:$C$31,3,FALSE()),"")</f>
        <v>East</v>
      </c>
      <c r="N447">
        <f>IFERROR(VLOOKUP(D447,Products!$A$2:$F$61,4,FALSE()),"")</f>
        <v>1665</v>
      </c>
      <c r="O447" t="str">
        <f>IFERROR(VLOOKUP(C447,Customers!$A$2:$F$301,5,FALSE()),"")</f>
        <v>Retail</v>
      </c>
      <c r="P447">
        <f>IFERROR(VLOOKUP(C447,Customers!$A$2:$F$301,3,FALSE()),"")</f>
        <v>31</v>
      </c>
      <c r="Q447">
        <f t="shared" si="18"/>
        <v>0.53361344537815125</v>
      </c>
      <c r="R447">
        <f>IF(AND(COUNTIF($A$2:$A$2047,A447)&gt;1,COUNTIF($A$2:A447,A447)=1),1,0)</f>
        <v>0</v>
      </c>
      <c r="S447" t="b">
        <f>IFERROR(VLOOKUP(D447,Products!$A$2:$F$61,6,FALSE()),"")</f>
        <v>1</v>
      </c>
      <c r="T447" t="str">
        <f>IF(COUNTIF(Customers!$A$2:$A$301,C447)=0,"Missing","OK")</f>
        <v>OK</v>
      </c>
      <c r="U447" t="str">
        <f t="shared" si="19"/>
        <v>Delhi</v>
      </c>
      <c r="V447">
        <f t="shared" si="20"/>
        <v>0</v>
      </c>
    </row>
    <row r="448" spans="1:22" ht="15" customHeight="1" x14ac:dyDescent="0.35">
      <c r="A448" s="3" t="s">
        <v>804</v>
      </c>
      <c r="B448" s="4">
        <v>45330</v>
      </c>
      <c r="C448" s="3" t="s">
        <v>136</v>
      </c>
      <c r="D448" s="3" t="s">
        <v>118</v>
      </c>
      <c r="E448" s="3" t="s">
        <v>71</v>
      </c>
      <c r="F448" s="5">
        <v>4</v>
      </c>
      <c r="G448" s="5">
        <v>3350</v>
      </c>
      <c r="H448" s="5">
        <v>28.1</v>
      </c>
      <c r="I448" s="5">
        <v>9634.6</v>
      </c>
      <c r="J448" s="3" t="s">
        <v>26</v>
      </c>
      <c r="K448" s="3" t="s">
        <v>27</v>
      </c>
      <c r="L448" t="str">
        <f>IFERROR(VLOOKUP(D448,Products!$A$2:$F$61,3,FALSE()),"")</f>
        <v>Beauty</v>
      </c>
      <c r="M448" t="str">
        <f>IFERROR(VLOOKUP(E448,Sales_Reps!$A$2:$C$31,3,FALSE()),"")</f>
        <v>South</v>
      </c>
      <c r="N448">
        <f>IFERROR(VLOOKUP(D448,Products!$A$2:$F$61,4,FALSE()),"")</f>
        <v>1728</v>
      </c>
      <c r="O448" t="str">
        <f>IFERROR(VLOOKUP(C448,Customers!$A$2:$F$301,5,FALSE()),"")</f>
        <v>Corporate</v>
      </c>
      <c r="P448">
        <f>IFERROR(VLOOKUP(C448,Customers!$A$2:$F$301,3,FALSE()),"")</f>
        <v>47</v>
      </c>
      <c r="Q448">
        <f t="shared" si="18"/>
        <v>0.48417910447761192</v>
      </c>
      <c r="R448">
        <f>IF(AND(COUNTIF($A$2:$A$2047,A448)&gt;1,COUNTIF($A$2:A448,A448)=1),1,0)</f>
        <v>0</v>
      </c>
      <c r="S448" t="b">
        <f>IFERROR(VLOOKUP(D448,Products!$A$2:$F$61,6,FALSE()),"")</f>
        <v>1</v>
      </c>
      <c r="T448" t="str">
        <f>IF(COUNTIF(Customers!$A$2:$A$301,C448)=0,"Missing","OK")</f>
        <v>OK</v>
      </c>
      <c r="U448" t="str">
        <f t="shared" si="19"/>
        <v>Pune</v>
      </c>
      <c r="V448">
        <f t="shared" si="20"/>
        <v>0</v>
      </c>
    </row>
    <row r="449" spans="1:22" ht="15" customHeight="1" x14ac:dyDescent="0.35">
      <c r="A449" s="3" t="s">
        <v>805</v>
      </c>
      <c r="B449" s="4">
        <v>45336</v>
      </c>
      <c r="C449" s="3" t="s">
        <v>40</v>
      </c>
      <c r="D449" s="3" t="s">
        <v>106</v>
      </c>
      <c r="E449" s="3" t="s">
        <v>97</v>
      </c>
      <c r="F449" s="5">
        <v>1</v>
      </c>
      <c r="G449" s="5">
        <v>2480</v>
      </c>
      <c r="H449" s="5">
        <v>13.5</v>
      </c>
      <c r="I449" s="5">
        <v>2145.1999999999998</v>
      </c>
      <c r="J449" s="3" t="s">
        <v>26</v>
      </c>
      <c r="K449" s="3" t="s">
        <v>38</v>
      </c>
      <c r="L449" t="str">
        <f>IFERROR(VLOOKUP(D449,Products!$A$2:$F$61,3,FALSE()),"")</f>
        <v>Apparel</v>
      </c>
      <c r="M449" t="str">
        <f>IFERROR(VLOOKUP(E449,Sales_Reps!$A$2:$C$31,3,FALSE()),"")</f>
        <v>East</v>
      </c>
      <c r="N449">
        <f>IFERROR(VLOOKUP(D449,Products!$A$2:$F$61,4,FALSE()),"")</f>
        <v>1173</v>
      </c>
      <c r="O449" t="str">
        <f>IFERROR(VLOOKUP(C449,Customers!$A$2:$F$301,5,FALSE()),"")</f>
        <v>Corporate</v>
      </c>
      <c r="P449">
        <f>IFERROR(VLOOKUP(C449,Customers!$A$2:$F$301,3,FALSE()),"")</f>
        <v>46</v>
      </c>
      <c r="Q449">
        <f t="shared" si="18"/>
        <v>0.52701612903225803</v>
      </c>
      <c r="R449">
        <f>IF(AND(COUNTIF($A$2:$A$2047,A449)&gt;1,COUNTIF($A$2:A449,A449)=1),1,0)</f>
        <v>0</v>
      </c>
      <c r="S449" t="b">
        <f>IFERROR(VLOOKUP(D449,Products!$A$2:$F$61,6,FALSE()),"")</f>
        <v>1</v>
      </c>
      <c r="T449" t="str">
        <f>IF(COUNTIF(Customers!$A$2:$A$301,C449)=0,"Missing","OK")</f>
        <v>OK</v>
      </c>
      <c r="U449" t="str">
        <f t="shared" si="19"/>
        <v>Delhi</v>
      </c>
      <c r="V449">
        <f t="shared" si="20"/>
        <v>0</v>
      </c>
    </row>
    <row r="450" spans="1:22" ht="15" customHeight="1" x14ac:dyDescent="0.35">
      <c r="A450" s="3" t="s">
        <v>806</v>
      </c>
      <c r="B450" s="4">
        <v>45649</v>
      </c>
      <c r="C450" s="3" t="s">
        <v>807</v>
      </c>
      <c r="D450" s="3" t="s">
        <v>299</v>
      </c>
      <c r="E450" s="3" t="s">
        <v>127</v>
      </c>
      <c r="F450" s="5">
        <v>10</v>
      </c>
      <c r="G450" s="5">
        <v>5410</v>
      </c>
      <c r="H450" s="5">
        <v>26.1</v>
      </c>
      <c r="I450" s="5">
        <v>39979.9</v>
      </c>
      <c r="J450" s="3" t="s">
        <v>26</v>
      </c>
      <c r="K450" s="3" t="s">
        <v>38</v>
      </c>
      <c r="L450" t="str">
        <f>IFERROR(VLOOKUP(D450,Products!$A$2:$F$61,3,FALSE()),"")</f>
        <v>Sports</v>
      </c>
      <c r="M450" t="str">
        <f>IFERROR(VLOOKUP(E450,Sales_Reps!$A$2:$C$31,3,FALSE()),"")</f>
        <v>South</v>
      </c>
      <c r="N450">
        <f>IFERROR(VLOOKUP(D450,Products!$A$2:$F$61,4,FALSE()),"")</f>
        <v>2265</v>
      </c>
      <c r="O450" t="str">
        <f>IFERROR(VLOOKUP(C450,Customers!$A$2:$F$301,5,FALSE()),"")</f>
        <v>SMB</v>
      </c>
      <c r="P450">
        <f>IFERROR(VLOOKUP(C450,Customers!$A$2:$F$301,3,FALSE()),"")</f>
        <v>38</v>
      </c>
      <c r="Q450">
        <f t="shared" ref="Q450:Q513" si="21">IFERROR((G450-N450)/G450,"")</f>
        <v>0.58133086876155271</v>
      </c>
      <c r="R450">
        <f>IF(AND(COUNTIF($A$2:$A$2047,A450)&gt;1,COUNTIF($A$2:A450,A450)=1),1,0)</f>
        <v>0</v>
      </c>
      <c r="S450" t="b">
        <f>IFERROR(VLOOKUP(D450,Products!$A$2:$F$61,6,FALSE()),"")</f>
        <v>1</v>
      </c>
      <c r="T450" t="str">
        <f>IF(COUNTIF(Customers!$A$2:$A$301,C450)=0,"Missing","OK")</f>
        <v>OK</v>
      </c>
      <c r="U450" t="str">
        <f t="shared" ref="U450:U513" si="22">IF(K450="","",PROPER(TRIM(K450)))</f>
        <v>Delhi</v>
      </c>
      <c r="V450">
        <f t="shared" ref="V450:V513" si="23">IF(AND(U450="Bengaluru",L450="Grocery"),I450,0)</f>
        <v>0</v>
      </c>
    </row>
    <row r="451" spans="1:22" ht="15" customHeight="1" x14ac:dyDescent="0.35">
      <c r="A451" s="3" t="s">
        <v>808</v>
      </c>
      <c r="B451" s="4">
        <v>45586</v>
      </c>
      <c r="C451" s="3" t="s">
        <v>809</v>
      </c>
      <c r="D451" s="3" t="s">
        <v>142</v>
      </c>
      <c r="E451" s="3" t="s">
        <v>93</v>
      </c>
      <c r="F451" s="5">
        <v>2</v>
      </c>
      <c r="G451" s="5">
        <v>660</v>
      </c>
      <c r="H451" s="5">
        <v>5</v>
      </c>
      <c r="I451" s="5">
        <v>1254</v>
      </c>
      <c r="J451" s="3" t="s">
        <v>26</v>
      </c>
      <c r="K451" s="3" t="s">
        <v>56</v>
      </c>
      <c r="L451" t="str">
        <f>IFERROR(VLOOKUP(D451,Products!$A$2:$F$61,3,FALSE()),"")</f>
        <v>Home</v>
      </c>
      <c r="M451" t="str">
        <f>IFERROR(VLOOKUP(E451,Sales_Reps!$A$2:$C$31,3,FALSE()),"")</f>
        <v>East</v>
      </c>
      <c r="N451">
        <f>IFERROR(VLOOKUP(D451,Products!$A$2:$F$61,4,FALSE()),"")</f>
        <v>329</v>
      </c>
      <c r="O451" t="str">
        <f>IFERROR(VLOOKUP(C451,Customers!$A$2:$F$301,5,FALSE()),"")</f>
        <v>Retail</v>
      </c>
      <c r="P451">
        <f>IFERROR(VLOOKUP(C451,Customers!$A$2:$F$301,3,FALSE()),"")</f>
        <v>47</v>
      </c>
      <c r="Q451">
        <f t="shared" si="21"/>
        <v>0.50151515151515147</v>
      </c>
      <c r="R451">
        <f>IF(AND(COUNTIF($A$2:$A$2047,A451)&gt;1,COUNTIF($A$2:A451,A451)=1),1,0)</f>
        <v>0</v>
      </c>
      <c r="S451" t="b">
        <f>IFERROR(VLOOKUP(D451,Products!$A$2:$F$61,6,FALSE()),"")</f>
        <v>1</v>
      </c>
      <c r="T451" t="str">
        <f>IF(COUNTIF(Customers!$A$2:$A$301,C451)=0,"Missing","OK")</f>
        <v>OK</v>
      </c>
      <c r="U451" t="str">
        <f t="shared" si="22"/>
        <v>Bengaluru</v>
      </c>
      <c r="V451">
        <f t="shared" si="23"/>
        <v>0</v>
      </c>
    </row>
    <row r="452" spans="1:22" ht="15" customHeight="1" x14ac:dyDescent="0.35">
      <c r="A452" s="3" t="s">
        <v>810</v>
      </c>
      <c r="B452" s="4">
        <v>45647</v>
      </c>
      <c r="C452" s="3" t="s">
        <v>811</v>
      </c>
      <c r="D452" s="3" t="s">
        <v>121</v>
      </c>
      <c r="E452" s="3" t="s">
        <v>25</v>
      </c>
      <c r="F452" s="5">
        <v>10</v>
      </c>
      <c r="G452" s="5">
        <v>1010</v>
      </c>
      <c r="H452" s="5">
        <v>10</v>
      </c>
      <c r="I452" s="5">
        <v>9090</v>
      </c>
      <c r="J452" s="3" t="s">
        <v>26</v>
      </c>
      <c r="K452" s="3" t="s">
        <v>51</v>
      </c>
      <c r="L452" t="str">
        <f>IFERROR(VLOOKUP(D452,Products!$A$2:$F$61,3,FALSE()),"")</f>
        <v>Sports</v>
      </c>
      <c r="M452" t="str">
        <f>IFERROR(VLOOKUP(E452,Sales_Reps!$A$2:$C$31,3,FALSE()),"")</f>
        <v>North</v>
      </c>
      <c r="N452">
        <f>IFERROR(VLOOKUP(D452,Products!$A$2:$F$61,4,FALSE()),"")</f>
        <v>516</v>
      </c>
      <c r="O452" t="str">
        <f>IFERROR(VLOOKUP(C452,Customers!$A$2:$F$301,5,FALSE()),"")</f>
        <v>Corporate</v>
      </c>
      <c r="P452">
        <f>IFERROR(VLOOKUP(C452,Customers!$A$2:$F$301,3,FALSE()),"")</f>
        <v>62</v>
      </c>
      <c r="Q452">
        <f t="shared" si="21"/>
        <v>0.4891089108910891</v>
      </c>
      <c r="R452">
        <f>IF(AND(COUNTIF($A$2:$A$2047,A452)&gt;1,COUNTIF($A$2:A452,A452)=1),1,0)</f>
        <v>0</v>
      </c>
      <c r="S452" t="b">
        <f>IFERROR(VLOOKUP(D452,Products!$A$2:$F$61,6,FALSE()),"")</f>
        <v>1</v>
      </c>
      <c r="T452" t="str">
        <f>IF(COUNTIF(Customers!$A$2:$A$301,C452)=0,"Missing","OK")</f>
        <v>OK</v>
      </c>
      <c r="U452" t="str">
        <f t="shared" si="22"/>
        <v>Mumbai</v>
      </c>
      <c r="V452">
        <f t="shared" si="23"/>
        <v>0</v>
      </c>
    </row>
    <row r="453" spans="1:22" ht="15" customHeight="1" x14ac:dyDescent="0.35">
      <c r="A453" s="3" t="s">
        <v>812</v>
      </c>
      <c r="B453" s="4">
        <v>45496</v>
      </c>
      <c r="C453" s="3" t="s">
        <v>813</v>
      </c>
      <c r="D453" s="3" t="s">
        <v>325</v>
      </c>
      <c r="E453" s="3" t="s">
        <v>154</v>
      </c>
      <c r="F453" s="5">
        <v>3</v>
      </c>
      <c r="G453" s="5">
        <v>2290</v>
      </c>
      <c r="H453" s="5">
        <v>8.9</v>
      </c>
      <c r="I453" s="5">
        <v>6258.57</v>
      </c>
      <c r="J453" s="3" t="s">
        <v>26</v>
      </c>
      <c r="K453" s="3" t="s">
        <v>51</v>
      </c>
      <c r="L453" t="str">
        <f>IFERROR(VLOOKUP(D453,Products!$A$2:$F$61,3,FALSE()),"")</f>
        <v>Beauty</v>
      </c>
      <c r="M453" t="str">
        <f>IFERROR(VLOOKUP(E453,Sales_Reps!$A$2:$C$31,3,FALSE()),"")</f>
        <v>North</v>
      </c>
      <c r="N453">
        <f>IFERROR(VLOOKUP(D453,Products!$A$2:$F$61,4,FALSE()),"")</f>
        <v>1219</v>
      </c>
      <c r="O453" t="str">
        <f>IFERROR(VLOOKUP(C453,Customers!$A$2:$F$301,5,FALSE()),"")</f>
        <v>Retail</v>
      </c>
      <c r="P453">
        <f>IFERROR(VLOOKUP(C453,Customers!$A$2:$F$301,3,FALSE()),"")</f>
        <v>57</v>
      </c>
      <c r="Q453">
        <f t="shared" si="21"/>
        <v>0.46768558951965067</v>
      </c>
      <c r="R453">
        <f>IF(AND(COUNTIF($A$2:$A$2047,A453)&gt;1,COUNTIF($A$2:A453,A453)=1),1,0)</f>
        <v>0</v>
      </c>
      <c r="S453" t="b">
        <f>IFERROR(VLOOKUP(D453,Products!$A$2:$F$61,6,FALSE()),"")</f>
        <v>1</v>
      </c>
      <c r="T453" t="str">
        <f>IF(COUNTIF(Customers!$A$2:$A$301,C453)=0,"Missing","OK")</f>
        <v>OK</v>
      </c>
      <c r="U453" t="str">
        <f t="shared" si="22"/>
        <v>Mumbai</v>
      </c>
      <c r="V453">
        <f t="shared" si="23"/>
        <v>0</v>
      </c>
    </row>
    <row r="454" spans="1:22" ht="15" customHeight="1" x14ac:dyDescent="0.35">
      <c r="A454" s="3" t="s">
        <v>814</v>
      </c>
      <c r="B454" s="4">
        <v>45369</v>
      </c>
      <c r="C454" s="3" t="s">
        <v>653</v>
      </c>
      <c r="D454" s="3" t="s">
        <v>96</v>
      </c>
      <c r="E454" s="3" t="s">
        <v>154</v>
      </c>
      <c r="F454" s="5">
        <v>9</v>
      </c>
      <c r="G454" s="5">
        <v>3450</v>
      </c>
      <c r="H454" s="5">
        <v>24.3</v>
      </c>
      <c r="I454" s="5">
        <v>23504.85</v>
      </c>
      <c r="J454" s="3" t="s">
        <v>26</v>
      </c>
      <c r="K454" s="3" t="s">
        <v>38</v>
      </c>
      <c r="L454" t="str">
        <f>IFERROR(VLOOKUP(D454,Products!$A$2:$F$61,3,FALSE()),"")</f>
        <v>Beauty</v>
      </c>
      <c r="M454" t="str">
        <f>IFERROR(VLOOKUP(E454,Sales_Reps!$A$2:$C$31,3,FALSE()),"")</f>
        <v>North</v>
      </c>
      <c r="N454">
        <f>IFERROR(VLOOKUP(D454,Products!$A$2:$F$61,4,FALSE()),"")</f>
        <v>2420</v>
      </c>
      <c r="O454" t="str">
        <f>IFERROR(VLOOKUP(C454,Customers!$A$2:$F$301,5,FALSE()),"")</f>
        <v>Retail</v>
      </c>
      <c r="P454">
        <f>IFERROR(VLOOKUP(C454,Customers!$A$2:$F$301,3,FALSE()),"")</f>
        <v>24</v>
      </c>
      <c r="Q454">
        <f t="shared" si="21"/>
        <v>0.29855072463768118</v>
      </c>
      <c r="R454">
        <f>IF(AND(COUNTIF($A$2:$A$2047,A454)&gt;1,COUNTIF($A$2:A454,A454)=1),1,0)</f>
        <v>0</v>
      </c>
      <c r="S454" t="b">
        <f>IFERROR(VLOOKUP(D454,Products!$A$2:$F$61,6,FALSE()),"")</f>
        <v>1</v>
      </c>
      <c r="T454" t="str">
        <f>IF(COUNTIF(Customers!$A$2:$A$301,C454)=0,"Missing","OK")</f>
        <v>OK</v>
      </c>
      <c r="U454" t="str">
        <f t="shared" si="22"/>
        <v>Delhi</v>
      </c>
      <c r="V454">
        <f t="shared" si="23"/>
        <v>0</v>
      </c>
    </row>
    <row r="455" spans="1:22" ht="15" customHeight="1" x14ac:dyDescent="0.35">
      <c r="A455" s="3" t="s">
        <v>815</v>
      </c>
      <c r="B455" s="4">
        <v>45389</v>
      </c>
      <c r="C455" s="3" t="s">
        <v>228</v>
      </c>
      <c r="D455" s="3" t="s">
        <v>176</v>
      </c>
      <c r="E455" s="3" t="s">
        <v>87</v>
      </c>
      <c r="F455" s="5">
        <v>10</v>
      </c>
      <c r="G455" s="5">
        <v>3640</v>
      </c>
      <c r="H455" s="5">
        <v>21.4</v>
      </c>
      <c r="I455" s="5">
        <v>28610.400000000001</v>
      </c>
      <c r="J455" s="3" t="s">
        <v>79</v>
      </c>
      <c r="K455" s="3" t="s">
        <v>33</v>
      </c>
      <c r="L455" t="str">
        <f>IFERROR(VLOOKUP(D455,Products!$A$2:$F$61,3,FALSE()),"")</f>
        <v>Apparel</v>
      </c>
      <c r="M455" t="str">
        <f>IFERROR(VLOOKUP(E455,Sales_Reps!$A$2:$C$31,3,FALSE()),"")</f>
        <v>North</v>
      </c>
      <c r="N455">
        <f>IFERROR(VLOOKUP(D455,Products!$A$2:$F$61,4,FALSE()),"")</f>
        <v>2611</v>
      </c>
      <c r="O455" t="str">
        <f>IFERROR(VLOOKUP(C455,Customers!$A$2:$F$301,5,FALSE()),"")</f>
        <v>Retail</v>
      </c>
      <c r="P455">
        <f>IFERROR(VLOOKUP(C455,Customers!$A$2:$F$301,3,FALSE()),"")</f>
        <v>38</v>
      </c>
      <c r="Q455">
        <f t="shared" si="21"/>
        <v>0.28269230769230769</v>
      </c>
      <c r="R455">
        <f>IF(AND(COUNTIF($A$2:$A$2047,A455)&gt;1,COUNTIF($A$2:A455,A455)=1),1,0)</f>
        <v>0</v>
      </c>
      <c r="S455" t="b">
        <f>IFERROR(VLOOKUP(D455,Products!$A$2:$F$61,6,FALSE()),"")</f>
        <v>1</v>
      </c>
      <c r="T455" t="str">
        <f>IF(COUNTIF(Customers!$A$2:$A$301,C455)=0,"Missing","OK")</f>
        <v>OK</v>
      </c>
      <c r="U455" t="str">
        <f t="shared" si="22"/>
        <v>Chennai</v>
      </c>
      <c r="V455">
        <f t="shared" si="23"/>
        <v>0</v>
      </c>
    </row>
    <row r="456" spans="1:22" ht="15" customHeight="1" x14ac:dyDescent="0.35">
      <c r="A456" s="3" t="s">
        <v>816</v>
      </c>
      <c r="B456" s="4">
        <v>45336</v>
      </c>
      <c r="C456" s="3" t="s">
        <v>817</v>
      </c>
      <c r="D456" s="3" t="s">
        <v>306</v>
      </c>
      <c r="E456" s="3" t="s">
        <v>127</v>
      </c>
      <c r="F456" s="5">
        <v>5</v>
      </c>
      <c r="G456" s="5">
        <v>2380</v>
      </c>
      <c r="H456" s="5">
        <v>12.2</v>
      </c>
      <c r="I456" s="5">
        <v>10448.200000000001</v>
      </c>
      <c r="J456" s="3" t="s">
        <v>26</v>
      </c>
      <c r="K456" s="3" t="s">
        <v>51</v>
      </c>
      <c r="L456" t="str">
        <f>IFERROR(VLOOKUP(D456,Products!$A$2:$F$61,3,FALSE()),"")</f>
        <v>Grocery</v>
      </c>
      <c r="M456" t="str">
        <f>IFERROR(VLOOKUP(E456,Sales_Reps!$A$2:$C$31,3,FALSE()),"")</f>
        <v>South</v>
      </c>
      <c r="N456">
        <f>IFERROR(VLOOKUP(D456,Products!$A$2:$F$61,4,FALSE()),"")</f>
        <v>1182</v>
      </c>
      <c r="O456" t="str">
        <f>IFERROR(VLOOKUP(C456,Customers!$A$2:$F$301,5,FALSE()),"")</f>
        <v>Corporate</v>
      </c>
      <c r="P456">
        <f>IFERROR(VLOOKUP(C456,Customers!$A$2:$F$301,3,FALSE()),"")</f>
        <v>62</v>
      </c>
      <c r="Q456">
        <f t="shared" si="21"/>
        <v>0.50336134453781511</v>
      </c>
      <c r="R456">
        <f>IF(AND(COUNTIF($A$2:$A$2047,A456)&gt;1,COUNTIF($A$2:A456,A456)=1),1,0)</f>
        <v>0</v>
      </c>
      <c r="S456" t="b">
        <f>IFERROR(VLOOKUP(D456,Products!$A$2:$F$61,6,FALSE()),"")</f>
        <v>1</v>
      </c>
      <c r="T456" t="str">
        <f>IF(COUNTIF(Customers!$A$2:$A$301,C456)=0,"Missing","OK")</f>
        <v>OK</v>
      </c>
      <c r="U456" t="str">
        <f t="shared" si="22"/>
        <v>Mumbai</v>
      </c>
      <c r="V456">
        <f t="shared" si="23"/>
        <v>0</v>
      </c>
    </row>
    <row r="457" spans="1:22" ht="15" customHeight="1" x14ac:dyDescent="0.35">
      <c r="A457" s="3" t="s">
        <v>818</v>
      </c>
      <c r="B457" s="4">
        <v>45505</v>
      </c>
      <c r="C457" s="3" t="s">
        <v>478</v>
      </c>
      <c r="D457" s="3" t="s">
        <v>299</v>
      </c>
      <c r="E457" s="3" t="s">
        <v>177</v>
      </c>
      <c r="F457" s="5">
        <v>10</v>
      </c>
      <c r="G457" s="5">
        <v>5410</v>
      </c>
      <c r="H457" s="5">
        <v>29.8</v>
      </c>
      <c r="I457" s="5">
        <v>37978.199999999997</v>
      </c>
      <c r="J457" s="3" t="s">
        <v>26</v>
      </c>
      <c r="K457" s="3" t="s">
        <v>72</v>
      </c>
      <c r="L457" t="str">
        <f>IFERROR(VLOOKUP(D457,Products!$A$2:$F$61,3,FALSE()),"")</f>
        <v>Sports</v>
      </c>
      <c r="M457" t="str">
        <f>IFERROR(VLOOKUP(E457,Sales_Reps!$A$2:$C$31,3,FALSE()),"")</f>
        <v>East</v>
      </c>
      <c r="N457">
        <f>IFERROR(VLOOKUP(D457,Products!$A$2:$F$61,4,FALSE()),"")</f>
        <v>2265</v>
      </c>
      <c r="O457" t="str">
        <f>IFERROR(VLOOKUP(C457,Customers!$A$2:$F$301,5,FALSE()),"")</f>
        <v>Retail</v>
      </c>
      <c r="P457">
        <f>IFERROR(VLOOKUP(C457,Customers!$A$2:$F$301,3,FALSE()),"")</f>
        <v>38</v>
      </c>
      <c r="Q457">
        <f t="shared" si="21"/>
        <v>0.58133086876155271</v>
      </c>
      <c r="R457">
        <f>IF(AND(COUNTIF($A$2:$A$2047,A457)&gt;1,COUNTIF($A$2:A457,A457)=1),1,0)</f>
        <v>0</v>
      </c>
      <c r="S457" t="b">
        <f>IFERROR(VLOOKUP(D457,Products!$A$2:$F$61,6,FALSE()),"")</f>
        <v>1</v>
      </c>
      <c r="T457" t="str">
        <f>IF(COUNTIF(Customers!$A$2:$A$301,C457)=0,"Missing","OK")</f>
        <v>OK</v>
      </c>
      <c r="U457" t="str">
        <f t="shared" si="22"/>
        <v>Hyderabad</v>
      </c>
      <c r="V457">
        <f t="shared" si="23"/>
        <v>0</v>
      </c>
    </row>
    <row r="458" spans="1:22" ht="15" customHeight="1" x14ac:dyDescent="0.35">
      <c r="A458" s="3" t="s">
        <v>819</v>
      </c>
      <c r="B458" s="4">
        <v>45375</v>
      </c>
      <c r="C458" s="3" t="s">
        <v>811</v>
      </c>
      <c r="D458" s="3" t="s">
        <v>115</v>
      </c>
      <c r="E458" s="3" t="s">
        <v>97</v>
      </c>
      <c r="F458" s="5">
        <v>3</v>
      </c>
      <c r="G458" s="5">
        <v>1650</v>
      </c>
      <c r="H458" s="5">
        <v>9.4</v>
      </c>
      <c r="I458" s="5">
        <v>4484.7</v>
      </c>
      <c r="J458" s="3" t="s">
        <v>79</v>
      </c>
      <c r="K458" s="3" t="s">
        <v>51</v>
      </c>
      <c r="L458" t="str">
        <f>IFERROR(VLOOKUP(D458,Products!$A$2:$F$61,3,FALSE()),"")</f>
        <v>Beauty</v>
      </c>
      <c r="M458" t="str">
        <f>IFERROR(VLOOKUP(E458,Sales_Reps!$A$2:$C$31,3,FALSE()),"")</f>
        <v>East</v>
      </c>
      <c r="N458">
        <f>IFERROR(VLOOKUP(D458,Products!$A$2:$F$61,4,FALSE()),"")</f>
        <v>1222</v>
      </c>
      <c r="O458" t="str">
        <f>IFERROR(VLOOKUP(C458,Customers!$A$2:$F$301,5,FALSE()),"")</f>
        <v>Corporate</v>
      </c>
      <c r="P458">
        <f>IFERROR(VLOOKUP(C458,Customers!$A$2:$F$301,3,FALSE()),"")</f>
        <v>62</v>
      </c>
      <c r="Q458">
        <f t="shared" si="21"/>
        <v>0.2593939393939394</v>
      </c>
      <c r="R458">
        <f>IF(AND(COUNTIF($A$2:$A$2047,A458)&gt;1,COUNTIF($A$2:A458,A458)=1),1,0)</f>
        <v>0</v>
      </c>
      <c r="S458" t="b">
        <f>IFERROR(VLOOKUP(D458,Products!$A$2:$F$61,6,FALSE()),"")</f>
        <v>1</v>
      </c>
      <c r="T458" t="str">
        <f>IF(COUNTIF(Customers!$A$2:$A$301,C458)=0,"Missing","OK")</f>
        <v>OK</v>
      </c>
      <c r="U458" t="str">
        <f t="shared" si="22"/>
        <v>Mumbai</v>
      </c>
      <c r="V458">
        <f t="shared" si="23"/>
        <v>0</v>
      </c>
    </row>
    <row r="459" spans="1:22" ht="15" customHeight="1" x14ac:dyDescent="0.35">
      <c r="A459" s="3" t="s">
        <v>820</v>
      </c>
      <c r="B459" s="4">
        <v>45383</v>
      </c>
      <c r="C459" s="3" t="s">
        <v>821</v>
      </c>
      <c r="D459" s="3" t="s">
        <v>77</v>
      </c>
      <c r="E459" s="3" t="s">
        <v>224</v>
      </c>
      <c r="F459" s="5">
        <v>7</v>
      </c>
      <c r="G459" s="5">
        <v>2600</v>
      </c>
      <c r="H459" s="5">
        <v>19.899999999999999</v>
      </c>
      <c r="I459" s="5">
        <v>14578.2</v>
      </c>
      <c r="J459" s="3" t="s">
        <v>32</v>
      </c>
      <c r="K459" s="3" t="s">
        <v>51</v>
      </c>
      <c r="L459" t="str">
        <f>IFERROR(VLOOKUP(D459,Products!$A$2:$F$61,3,FALSE()),"")</f>
        <v>Electronics</v>
      </c>
      <c r="M459" t="str">
        <f>IFERROR(VLOOKUP(E459,Sales_Reps!$A$2:$C$31,3,FALSE()),"")</f>
        <v>East</v>
      </c>
      <c r="N459">
        <f>IFERROR(VLOOKUP(D459,Products!$A$2:$F$61,4,FALSE()),"")</f>
        <v>1052</v>
      </c>
      <c r="O459" t="str">
        <f>IFERROR(VLOOKUP(C459,Customers!$A$2:$F$301,5,FALSE()),"")</f>
        <v>Retail</v>
      </c>
      <c r="P459">
        <f>IFERROR(VLOOKUP(C459,Customers!$A$2:$F$301,3,FALSE()),"")</f>
        <v>22</v>
      </c>
      <c r="Q459">
        <f t="shared" si="21"/>
        <v>0.5953846153846154</v>
      </c>
      <c r="R459">
        <f>IF(AND(COUNTIF($A$2:$A$2047,A459)&gt;1,COUNTIF($A$2:A459,A459)=1),1,0)</f>
        <v>0</v>
      </c>
      <c r="S459" t="b">
        <f>IFERROR(VLOOKUP(D459,Products!$A$2:$F$61,6,FALSE()),"")</f>
        <v>1</v>
      </c>
      <c r="T459" t="str">
        <f>IF(COUNTIF(Customers!$A$2:$A$301,C459)=0,"Missing","OK")</f>
        <v>OK</v>
      </c>
      <c r="U459" t="str">
        <f t="shared" si="22"/>
        <v>Mumbai</v>
      </c>
      <c r="V459">
        <f t="shared" si="23"/>
        <v>0</v>
      </c>
    </row>
    <row r="460" spans="1:22" ht="15" customHeight="1" x14ac:dyDescent="0.35">
      <c r="A460" s="3" t="s">
        <v>360</v>
      </c>
      <c r="B460" s="4">
        <v>45474</v>
      </c>
      <c r="C460" s="3" t="s">
        <v>822</v>
      </c>
      <c r="D460" s="3" t="s">
        <v>209</v>
      </c>
      <c r="E460" s="3" t="s">
        <v>236</v>
      </c>
      <c r="F460" s="5">
        <v>4</v>
      </c>
      <c r="G460" s="5">
        <v>4610</v>
      </c>
      <c r="H460" s="5">
        <v>13.2</v>
      </c>
      <c r="I460" s="5">
        <v>16005.92</v>
      </c>
      <c r="J460" s="3" t="s">
        <v>26</v>
      </c>
      <c r="K460" s="3" t="s">
        <v>72</v>
      </c>
      <c r="L460" t="str">
        <f>IFERROR(VLOOKUP(D460,Products!$A$2:$F$61,3,FALSE()),"")</f>
        <v>Home</v>
      </c>
      <c r="M460" t="str">
        <f>IFERROR(VLOOKUP(E460,Sales_Reps!$A$2:$C$31,3,FALSE()),"")</f>
        <v>North</v>
      </c>
      <c r="N460">
        <f>IFERROR(VLOOKUP(D460,Products!$A$2:$F$61,4,FALSE()),"")</f>
        <v>1850</v>
      </c>
      <c r="O460" t="str">
        <f>IFERROR(VLOOKUP(C460,Customers!$A$2:$F$301,5,FALSE()),"")</f>
        <v>SMB</v>
      </c>
      <c r="P460">
        <f>IFERROR(VLOOKUP(C460,Customers!$A$2:$F$301,3,FALSE()),"")</f>
        <v>28</v>
      </c>
      <c r="Q460">
        <f t="shared" si="21"/>
        <v>0.59869848156182215</v>
      </c>
      <c r="R460">
        <f>IF(AND(COUNTIF($A$2:$A$2047,A460)&gt;1,COUNTIF($A$2:A460,A460)=1),1,0)</f>
        <v>0</v>
      </c>
      <c r="S460" t="b">
        <f>IFERROR(VLOOKUP(D460,Products!$A$2:$F$61,6,FALSE()),"")</f>
        <v>1</v>
      </c>
      <c r="T460" t="str">
        <f>IF(COUNTIF(Customers!$A$2:$A$301,C460)=0,"Missing","OK")</f>
        <v>OK</v>
      </c>
      <c r="U460" t="str">
        <f t="shared" si="22"/>
        <v>Hyderabad</v>
      </c>
      <c r="V460">
        <f t="shared" si="23"/>
        <v>0</v>
      </c>
    </row>
    <row r="461" spans="1:22" ht="15" customHeight="1" x14ac:dyDescent="0.35">
      <c r="A461" s="3" t="s">
        <v>823</v>
      </c>
      <c r="B461" s="4">
        <v>45361</v>
      </c>
      <c r="C461" s="3" t="s">
        <v>202</v>
      </c>
      <c r="D461" s="3" t="s">
        <v>209</v>
      </c>
      <c r="E461" s="3" t="s">
        <v>97</v>
      </c>
      <c r="F461" s="5">
        <v>9</v>
      </c>
      <c r="G461" s="5">
        <v>4610</v>
      </c>
      <c r="H461" s="5">
        <v>25.8</v>
      </c>
      <c r="I461" s="5">
        <v>30785.58</v>
      </c>
      <c r="J461" s="3" t="s">
        <v>26</v>
      </c>
      <c r="K461" s="3" t="s">
        <v>72</v>
      </c>
      <c r="L461" t="str">
        <f>IFERROR(VLOOKUP(D461,Products!$A$2:$F$61,3,FALSE()),"")</f>
        <v>Home</v>
      </c>
      <c r="M461" t="str">
        <f>IFERROR(VLOOKUP(E461,Sales_Reps!$A$2:$C$31,3,FALSE()),"")</f>
        <v>East</v>
      </c>
      <c r="N461">
        <f>IFERROR(VLOOKUP(D461,Products!$A$2:$F$61,4,FALSE()),"")</f>
        <v>1850</v>
      </c>
      <c r="O461" t="str">
        <f>IFERROR(VLOOKUP(C461,Customers!$A$2:$F$301,5,FALSE()),"")</f>
        <v>Retail</v>
      </c>
      <c r="P461">
        <f>IFERROR(VLOOKUP(C461,Customers!$A$2:$F$301,3,FALSE()),"")</f>
        <v>53</v>
      </c>
      <c r="Q461">
        <f t="shared" si="21"/>
        <v>0.59869848156182215</v>
      </c>
      <c r="R461">
        <f>IF(AND(COUNTIF($A$2:$A$2047,A461)&gt;1,COUNTIF($A$2:A461,A461)=1),1,0)</f>
        <v>0</v>
      </c>
      <c r="S461" t="b">
        <f>IFERROR(VLOOKUP(D461,Products!$A$2:$F$61,6,FALSE()),"")</f>
        <v>1</v>
      </c>
      <c r="T461" t="str">
        <f>IF(COUNTIF(Customers!$A$2:$A$301,C461)=0,"Missing","OK")</f>
        <v>OK</v>
      </c>
      <c r="U461" t="str">
        <f t="shared" si="22"/>
        <v>Hyderabad</v>
      </c>
      <c r="V461">
        <f t="shared" si="23"/>
        <v>0</v>
      </c>
    </row>
    <row r="462" spans="1:22" ht="15" customHeight="1" x14ac:dyDescent="0.35">
      <c r="A462" s="3" t="s">
        <v>824</v>
      </c>
      <c r="B462" s="4">
        <v>45550</v>
      </c>
      <c r="C462" s="3" t="s">
        <v>825</v>
      </c>
      <c r="D462" s="3" t="s">
        <v>221</v>
      </c>
      <c r="E462" s="3" t="s">
        <v>37</v>
      </c>
      <c r="F462" s="5">
        <v>5</v>
      </c>
      <c r="G462" s="5">
        <v>300</v>
      </c>
      <c r="H462" s="5">
        <v>11.8</v>
      </c>
      <c r="I462" s="5">
        <v>1323</v>
      </c>
      <c r="J462" s="3" t="s">
        <v>26</v>
      </c>
      <c r="K462" s="3" t="s">
        <v>33</v>
      </c>
      <c r="L462" t="str">
        <f>IFERROR(VLOOKUP(D462,Products!$A$2:$F$61,3,FALSE()),"")</f>
        <v>Electronics</v>
      </c>
      <c r="M462" t="str">
        <f>IFERROR(VLOOKUP(E462,Sales_Reps!$A$2:$C$31,3,FALSE()),"")</f>
        <v>South</v>
      </c>
      <c r="N462">
        <f>IFERROR(VLOOKUP(D462,Products!$A$2:$F$61,4,FALSE()),"")</f>
        <v>128</v>
      </c>
      <c r="O462" t="str">
        <f>IFERROR(VLOOKUP(C462,Customers!$A$2:$F$301,5,FALSE()),"")</f>
        <v>Corporate</v>
      </c>
      <c r="P462">
        <f>IFERROR(VLOOKUP(C462,Customers!$A$2:$F$301,3,FALSE()),"")</f>
        <v>44</v>
      </c>
      <c r="Q462">
        <f t="shared" si="21"/>
        <v>0.57333333333333336</v>
      </c>
      <c r="R462">
        <f>IF(AND(COUNTIF($A$2:$A$2047,A462)&gt;1,COUNTIF($A$2:A462,A462)=1),1,0)</f>
        <v>0</v>
      </c>
      <c r="S462" t="b">
        <f>IFERROR(VLOOKUP(D462,Products!$A$2:$F$61,6,FALSE()),"")</f>
        <v>1</v>
      </c>
      <c r="T462" t="str">
        <f>IF(COUNTIF(Customers!$A$2:$A$301,C462)=0,"Missing","OK")</f>
        <v>OK</v>
      </c>
      <c r="U462" t="str">
        <f t="shared" si="22"/>
        <v>Chennai</v>
      </c>
      <c r="V462">
        <f t="shared" si="23"/>
        <v>0</v>
      </c>
    </row>
    <row r="463" spans="1:22" ht="15" customHeight="1" x14ac:dyDescent="0.35">
      <c r="A463" s="3" t="s">
        <v>826</v>
      </c>
      <c r="B463" s="4">
        <v>45485</v>
      </c>
      <c r="C463" s="3" t="s">
        <v>734</v>
      </c>
      <c r="D463" s="3" t="s">
        <v>391</v>
      </c>
      <c r="E463" s="3" t="s">
        <v>131</v>
      </c>
      <c r="F463" s="5">
        <v>3</v>
      </c>
      <c r="G463" s="5">
        <v>3450</v>
      </c>
      <c r="H463" s="5">
        <v>14.2</v>
      </c>
      <c r="I463" s="5">
        <v>8880.2999999999993</v>
      </c>
      <c r="J463" s="3" t="s">
        <v>26</v>
      </c>
      <c r="K463" s="3" t="s">
        <v>33</v>
      </c>
      <c r="L463" t="str">
        <f>IFERROR(VLOOKUP(D463,Products!$A$2:$F$61,3,FALSE()),"")</f>
        <v>Apparel</v>
      </c>
      <c r="M463" t="str">
        <f>IFERROR(VLOOKUP(E463,Sales_Reps!$A$2:$C$31,3,FALSE()),"")</f>
        <v>East</v>
      </c>
      <c r="N463">
        <f>IFERROR(VLOOKUP(D463,Products!$A$2:$F$61,4,FALSE()),"")</f>
        <v>1748</v>
      </c>
      <c r="O463" t="str">
        <f>IFERROR(VLOOKUP(C463,Customers!$A$2:$F$301,5,FALSE()),"")</f>
        <v>Retail</v>
      </c>
      <c r="P463">
        <f>IFERROR(VLOOKUP(C463,Customers!$A$2:$F$301,3,FALSE()),"")</f>
        <v>22</v>
      </c>
      <c r="Q463">
        <f t="shared" si="21"/>
        <v>0.49333333333333335</v>
      </c>
      <c r="R463">
        <f>IF(AND(COUNTIF($A$2:$A$2047,A463)&gt;1,COUNTIF($A$2:A463,A463)=1),1,0)</f>
        <v>0</v>
      </c>
      <c r="S463" t="b">
        <f>IFERROR(VLOOKUP(D463,Products!$A$2:$F$61,6,FALSE()),"")</f>
        <v>1</v>
      </c>
      <c r="T463" t="str">
        <f>IF(COUNTIF(Customers!$A$2:$A$301,C463)=0,"Missing","OK")</f>
        <v>OK</v>
      </c>
      <c r="U463" t="str">
        <f t="shared" si="22"/>
        <v>Chennai</v>
      </c>
      <c r="V463">
        <f t="shared" si="23"/>
        <v>0</v>
      </c>
    </row>
    <row r="464" spans="1:22" ht="15" customHeight="1" x14ac:dyDescent="0.35">
      <c r="A464" s="3" t="s">
        <v>827</v>
      </c>
      <c r="B464" s="4">
        <v>45523</v>
      </c>
      <c r="C464" s="3" t="s">
        <v>528</v>
      </c>
      <c r="D464" s="3" t="s">
        <v>112</v>
      </c>
      <c r="E464" s="3" t="s">
        <v>67</v>
      </c>
      <c r="F464" s="5">
        <v>2</v>
      </c>
      <c r="G464" s="5">
        <v>2720</v>
      </c>
      <c r="H464" s="5">
        <v>14.6</v>
      </c>
      <c r="I464" s="5">
        <v>4645.76</v>
      </c>
      <c r="J464" s="3" t="s">
        <v>79</v>
      </c>
      <c r="K464" s="3" t="s">
        <v>33</v>
      </c>
      <c r="L464" t="str">
        <f>IFERROR(VLOOKUP(D464,Products!$A$2:$F$61,3,FALSE()),"")</f>
        <v>Apparel</v>
      </c>
      <c r="M464" t="str">
        <f>IFERROR(VLOOKUP(E464,Sales_Reps!$A$2:$C$31,3,FALSE()),"")</f>
        <v>West</v>
      </c>
      <c r="N464">
        <f>IFERROR(VLOOKUP(D464,Products!$A$2:$F$61,4,FALSE()),"")</f>
        <v>1962</v>
      </c>
      <c r="O464" t="str">
        <f>IFERROR(VLOOKUP(C464,Customers!$A$2:$F$301,5,FALSE()),"")</f>
        <v>Corporate</v>
      </c>
      <c r="P464">
        <f>IFERROR(VLOOKUP(C464,Customers!$A$2:$F$301,3,FALSE()),"")</f>
        <v>30</v>
      </c>
      <c r="Q464">
        <f t="shared" si="21"/>
        <v>0.2786764705882353</v>
      </c>
      <c r="R464">
        <f>IF(AND(COUNTIF($A$2:$A$2047,A464)&gt;1,COUNTIF($A$2:A464,A464)=1),1,0)</f>
        <v>0</v>
      </c>
      <c r="S464" t="b">
        <f>IFERROR(VLOOKUP(D464,Products!$A$2:$F$61,6,FALSE()),"")</f>
        <v>1</v>
      </c>
      <c r="T464" t="str">
        <f>IF(COUNTIF(Customers!$A$2:$A$301,C464)=0,"Missing","OK")</f>
        <v>OK</v>
      </c>
      <c r="U464" t="str">
        <f t="shared" si="22"/>
        <v>Chennai</v>
      </c>
      <c r="V464">
        <f t="shared" si="23"/>
        <v>0</v>
      </c>
    </row>
    <row r="465" spans="1:22" ht="15" customHeight="1" x14ac:dyDescent="0.35">
      <c r="A465" s="3" t="s">
        <v>828</v>
      </c>
      <c r="B465" s="4">
        <v>45626</v>
      </c>
      <c r="C465" s="3" t="s">
        <v>608</v>
      </c>
      <c r="D465" s="3" t="s">
        <v>218</v>
      </c>
      <c r="E465" s="3" t="s">
        <v>177</v>
      </c>
      <c r="F465" s="5">
        <v>7</v>
      </c>
      <c r="G465" s="5">
        <v>2660</v>
      </c>
      <c r="H465" s="5">
        <v>27.4</v>
      </c>
      <c r="I465" s="5">
        <v>13518.12</v>
      </c>
      <c r="J465" s="3" t="s">
        <v>79</v>
      </c>
      <c r="K465" s="3" t="s">
        <v>72</v>
      </c>
      <c r="L465" t="str">
        <f>IFERROR(VLOOKUP(D465,Products!$A$2:$F$61,3,FALSE()),"")</f>
        <v>Electronics</v>
      </c>
      <c r="M465" t="str">
        <f>IFERROR(VLOOKUP(E465,Sales_Reps!$A$2:$C$31,3,FALSE()),"")</f>
        <v>East</v>
      </c>
      <c r="N465">
        <f>IFERROR(VLOOKUP(D465,Products!$A$2:$F$61,4,FALSE()),"")</f>
        <v>1259</v>
      </c>
      <c r="O465" t="str">
        <f>IFERROR(VLOOKUP(C465,Customers!$A$2:$F$301,5,FALSE()),"")</f>
        <v>Retail</v>
      </c>
      <c r="P465">
        <f>IFERROR(VLOOKUP(C465,Customers!$A$2:$F$301,3,FALSE()),"")</f>
        <v>31</v>
      </c>
      <c r="Q465">
        <f t="shared" si="21"/>
        <v>0.52669172932330832</v>
      </c>
      <c r="R465">
        <f>IF(AND(COUNTIF($A$2:$A$2047,A465)&gt;1,COUNTIF($A$2:A465,A465)=1),1,0)</f>
        <v>0</v>
      </c>
      <c r="S465" t="b">
        <f>IFERROR(VLOOKUP(D465,Products!$A$2:$F$61,6,FALSE()),"")</f>
        <v>0</v>
      </c>
      <c r="T465" t="str">
        <f>IF(COUNTIF(Customers!$A$2:$A$301,C465)=0,"Missing","OK")</f>
        <v>OK</v>
      </c>
      <c r="U465" t="str">
        <f t="shared" si="22"/>
        <v>Hyderabad</v>
      </c>
      <c r="V465">
        <f t="shared" si="23"/>
        <v>0</v>
      </c>
    </row>
    <row r="466" spans="1:22" ht="15" customHeight="1" x14ac:dyDescent="0.35">
      <c r="A466" s="3" t="s">
        <v>829</v>
      </c>
      <c r="B466" s="4">
        <v>45302</v>
      </c>
      <c r="C466" s="3" t="s">
        <v>554</v>
      </c>
      <c r="D466" s="3" t="s">
        <v>100</v>
      </c>
      <c r="E466" s="3" t="s">
        <v>31</v>
      </c>
      <c r="F466" s="5">
        <v>8</v>
      </c>
      <c r="G466" s="5">
        <v>3450</v>
      </c>
      <c r="H466" s="5">
        <v>20.399999999999999</v>
      </c>
      <c r="I466" s="5">
        <v>21969.599999999999</v>
      </c>
      <c r="J466" s="3" t="s">
        <v>26</v>
      </c>
      <c r="K466" s="3" t="s">
        <v>51</v>
      </c>
      <c r="L466" t="str">
        <f>IFERROR(VLOOKUP(D466,Products!$A$2:$F$61,3,FALSE()),"")</f>
        <v>Sports</v>
      </c>
      <c r="M466" t="str">
        <f>IFERROR(VLOOKUP(E466,Sales_Reps!$A$2:$C$31,3,FALSE()),"")</f>
        <v>North</v>
      </c>
      <c r="N466">
        <f>IFERROR(VLOOKUP(D466,Products!$A$2:$F$61,4,FALSE()),"")</f>
        <v>2467</v>
      </c>
      <c r="O466" t="str">
        <f>IFERROR(VLOOKUP(C466,Customers!$A$2:$F$301,5,FALSE()),"")</f>
        <v>Retail</v>
      </c>
      <c r="P466">
        <f>IFERROR(VLOOKUP(C466,Customers!$A$2:$F$301,3,FALSE()),"")</f>
        <v>53</v>
      </c>
      <c r="Q466">
        <f t="shared" si="21"/>
        <v>0.28492753623188405</v>
      </c>
      <c r="R466">
        <f>IF(AND(COUNTIF($A$2:$A$2047,A466)&gt;1,COUNTIF($A$2:A466,A466)=1),1,0)</f>
        <v>0</v>
      </c>
      <c r="S466" t="b">
        <f>IFERROR(VLOOKUP(D466,Products!$A$2:$F$61,6,FALSE()),"")</f>
        <v>1</v>
      </c>
      <c r="T466" t="str">
        <f>IF(COUNTIF(Customers!$A$2:$A$301,C466)=0,"Missing","OK")</f>
        <v>OK</v>
      </c>
      <c r="U466" t="str">
        <f t="shared" si="22"/>
        <v>Mumbai</v>
      </c>
      <c r="V466">
        <f t="shared" si="23"/>
        <v>0</v>
      </c>
    </row>
    <row r="467" spans="1:22" ht="15" customHeight="1" x14ac:dyDescent="0.35">
      <c r="A467" s="3" t="s">
        <v>830</v>
      </c>
      <c r="B467" s="4">
        <v>45427</v>
      </c>
      <c r="C467" s="3" t="s">
        <v>421</v>
      </c>
      <c r="D467" s="3" t="s">
        <v>299</v>
      </c>
      <c r="E467" s="3" t="s">
        <v>285</v>
      </c>
      <c r="F467" s="5">
        <v>2</v>
      </c>
      <c r="G467" s="5">
        <v>5410</v>
      </c>
      <c r="H467" s="5">
        <v>7.2</v>
      </c>
      <c r="I467" s="5">
        <v>10040.959999999999</v>
      </c>
      <c r="J467" s="3" t="s">
        <v>26</v>
      </c>
      <c r="K467" s="3" t="s">
        <v>72</v>
      </c>
      <c r="L467" t="str">
        <f>IFERROR(VLOOKUP(D467,Products!$A$2:$F$61,3,FALSE()),"")</f>
        <v>Sports</v>
      </c>
      <c r="M467" t="str">
        <f>IFERROR(VLOOKUP(E467,Sales_Reps!$A$2:$C$31,3,FALSE()),"")</f>
        <v>South</v>
      </c>
      <c r="N467">
        <f>IFERROR(VLOOKUP(D467,Products!$A$2:$F$61,4,FALSE()),"")</f>
        <v>2265</v>
      </c>
      <c r="O467" t="str">
        <f>IFERROR(VLOOKUP(C467,Customers!$A$2:$F$301,5,FALSE()),"")</f>
        <v>Corporate</v>
      </c>
      <c r="P467">
        <f>IFERROR(VLOOKUP(C467,Customers!$A$2:$F$301,3,FALSE()),"")</f>
        <v>52</v>
      </c>
      <c r="Q467">
        <f t="shared" si="21"/>
        <v>0.58133086876155271</v>
      </c>
      <c r="R467">
        <f>IF(AND(COUNTIF($A$2:$A$2047,A467)&gt;1,COUNTIF($A$2:A467,A467)=1),1,0)</f>
        <v>0</v>
      </c>
      <c r="S467" t="b">
        <f>IFERROR(VLOOKUP(D467,Products!$A$2:$F$61,6,FALSE()),"")</f>
        <v>1</v>
      </c>
      <c r="T467" t="str">
        <f>IF(COUNTIF(Customers!$A$2:$A$301,C467)=0,"Missing","OK")</f>
        <v>OK</v>
      </c>
      <c r="U467" t="str">
        <f t="shared" si="22"/>
        <v>Hyderabad</v>
      </c>
      <c r="V467">
        <f t="shared" si="23"/>
        <v>0</v>
      </c>
    </row>
    <row r="468" spans="1:22" ht="15" customHeight="1" x14ac:dyDescent="0.35">
      <c r="A468" s="3" t="s">
        <v>831</v>
      </c>
      <c r="B468" s="4">
        <v>45315</v>
      </c>
      <c r="C468" s="3" t="s">
        <v>528</v>
      </c>
      <c r="D468" s="3" t="s">
        <v>187</v>
      </c>
      <c r="E468" s="3" t="s">
        <v>191</v>
      </c>
      <c r="F468" s="5">
        <v>3</v>
      </c>
      <c r="G468" s="5">
        <v>3870</v>
      </c>
      <c r="H468" s="5">
        <v>4.2</v>
      </c>
      <c r="I468" s="5">
        <v>11122.38</v>
      </c>
      <c r="J468" s="3" t="s">
        <v>26</v>
      </c>
      <c r="K468" s="3" t="s">
        <v>33</v>
      </c>
      <c r="L468" t="str">
        <f>IFERROR(VLOOKUP(D468,Products!$A$2:$F$61,3,FALSE()),"")</f>
        <v>Electronics</v>
      </c>
      <c r="M468" t="str">
        <f>IFERROR(VLOOKUP(E468,Sales_Reps!$A$2:$C$31,3,FALSE()),"")</f>
        <v>South</v>
      </c>
      <c r="N468">
        <f>IFERROR(VLOOKUP(D468,Products!$A$2:$F$61,4,FALSE()),"")</f>
        <v>1559</v>
      </c>
      <c r="O468" t="str">
        <f>IFERROR(VLOOKUP(C468,Customers!$A$2:$F$301,5,FALSE()),"")</f>
        <v>Corporate</v>
      </c>
      <c r="P468">
        <f>IFERROR(VLOOKUP(C468,Customers!$A$2:$F$301,3,FALSE()),"")</f>
        <v>30</v>
      </c>
      <c r="Q468">
        <f t="shared" si="21"/>
        <v>0.59715762273901807</v>
      </c>
      <c r="R468">
        <f>IF(AND(COUNTIF($A$2:$A$2047,A468)&gt;1,COUNTIF($A$2:A468,A468)=1),1,0)</f>
        <v>0</v>
      </c>
      <c r="S468" t="b">
        <f>IFERROR(VLOOKUP(D468,Products!$A$2:$F$61,6,FALSE()),"")</f>
        <v>1</v>
      </c>
      <c r="T468" t="str">
        <f>IF(COUNTIF(Customers!$A$2:$A$301,C468)=0,"Missing","OK")</f>
        <v>OK</v>
      </c>
      <c r="U468" t="str">
        <f t="shared" si="22"/>
        <v>Chennai</v>
      </c>
      <c r="V468">
        <f t="shared" si="23"/>
        <v>0</v>
      </c>
    </row>
    <row r="469" spans="1:22" ht="15" customHeight="1" x14ac:dyDescent="0.35">
      <c r="A469" s="3" t="s">
        <v>832</v>
      </c>
      <c r="B469" s="4">
        <v>45328</v>
      </c>
      <c r="C469" s="3" t="s">
        <v>255</v>
      </c>
      <c r="D469" s="3" t="s">
        <v>70</v>
      </c>
      <c r="E469" s="3" t="s">
        <v>31</v>
      </c>
      <c r="F469" s="5">
        <v>10</v>
      </c>
      <c r="G469" s="5">
        <v>2270</v>
      </c>
      <c r="H469" s="5">
        <v>17.3</v>
      </c>
      <c r="I469" s="5">
        <v>18772.900000000001</v>
      </c>
      <c r="J469" s="3" t="s">
        <v>26</v>
      </c>
      <c r="K469" s="3" t="s">
        <v>27</v>
      </c>
      <c r="L469" t="str">
        <f>IFERROR(VLOOKUP(D469,Products!$A$2:$F$61,3,FALSE()),"")</f>
        <v>Grocery</v>
      </c>
      <c r="M469" t="str">
        <f>IFERROR(VLOOKUP(E469,Sales_Reps!$A$2:$C$31,3,FALSE()),"")</f>
        <v>North</v>
      </c>
      <c r="N469">
        <f>IFERROR(VLOOKUP(D469,Products!$A$2:$F$61,4,FALSE()),"")</f>
        <v>1203</v>
      </c>
      <c r="O469" t="str">
        <f>IFERROR(VLOOKUP(C469,Customers!$A$2:$F$301,5,FALSE()),"")</f>
        <v>SMB</v>
      </c>
      <c r="P469">
        <f>IFERROR(VLOOKUP(C469,Customers!$A$2:$F$301,3,FALSE()),"")</f>
        <v>60</v>
      </c>
      <c r="Q469">
        <f t="shared" si="21"/>
        <v>0.47004405286343615</v>
      </c>
      <c r="R469">
        <f>IF(AND(COUNTIF($A$2:$A$2047,A469)&gt;1,COUNTIF($A$2:A469,A469)=1),1,0)</f>
        <v>0</v>
      </c>
      <c r="S469" t="b">
        <f>IFERROR(VLOOKUP(D469,Products!$A$2:$F$61,6,FALSE()),"")</f>
        <v>1</v>
      </c>
      <c r="T469" t="str">
        <f>IF(COUNTIF(Customers!$A$2:$A$301,C469)=0,"Missing","OK")</f>
        <v>OK</v>
      </c>
      <c r="U469" t="str">
        <f t="shared" si="22"/>
        <v>Pune</v>
      </c>
      <c r="V469">
        <f t="shared" si="23"/>
        <v>0</v>
      </c>
    </row>
    <row r="470" spans="1:22" ht="15" customHeight="1" x14ac:dyDescent="0.35">
      <c r="A470" s="3" t="s">
        <v>833</v>
      </c>
      <c r="B470" s="4">
        <v>45394</v>
      </c>
      <c r="C470" s="3" t="s">
        <v>834</v>
      </c>
      <c r="D470" s="3" t="s">
        <v>303</v>
      </c>
      <c r="E470" s="3" t="s">
        <v>50</v>
      </c>
      <c r="F470" s="5">
        <v>1</v>
      </c>
      <c r="G470" s="5">
        <v>5330</v>
      </c>
      <c r="H470" s="5">
        <v>24.2</v>
      </c>
      <c r="I470" s="5">
        <v>4040.14</v>
      </c>
      <c r="J470" s="3" t="s">
        <v>26</v>
      </c>
      <c r="K470" s="3" t="s">
        <v>56</v>
      </c>
      <c r="L470" t="str">
        <f>IFERROR(VLOOKUP(D470,Products!$A$2:$F$61,3,FALSE()),"")</f>
        <v>Electronics</v>
      </c>
      <c r="M470" t="str">
        <f>IFERROR(VLOOKUP(E470,Sales_Reps!$A$2:$C$31,3,FALSE()),"")</f>
        <v>West</v>
      </c>
      <c r="N470">
        <f>IFERROR(VLOOKUP(D470,Products!$A$2:$F$61,4,FALSE()),"")</f>
        <v>2405</v>
      </c>
      <c r="O470" t="str">
        <f>IFERROR(VLOOKUP(C470,Customers!$A$2:$F$301,5,FALSE()),"")</f>
        <v>Retail</v>
      </c>
      <c r="P470">
        <f>IFERROR(VLOOKUP(C470,Customers!$A$2:$F$301,3,FALSE()),"")</f>
        <v>46</v>
      </c>
      <c r="Q470">
        <f t="shared" si="21"/>
        <v>0.54878048780487809</v>
      </c>
      <c r="R470">
        <f>IF(AND(COUNTIF($A$2:$A$2047,A470)&gt;1,COUNTIF($A$2:A470,A470)=1),1,0)</f>
        <v>0</v>
      </c>
      <c r="S470" t="b">
        <f>IFERROR(VLOOKUP(D470,Products!$A$2:$F$61,6,FALSE()),"")</f>
        <v>1</v>
      </c>
      <c r="T470" t="str">
        <f>IF(COUNTIF(Customers!$A$2:$A$301,C470)=0,"Missing","OK")</f>
        <v>OK</v>
      </c>
      <c r="U470" t="str">
        <f t="shared" si="22"/>
        <v>Bengaluru</v>
      </c>
      <c r="V470">
        <f t="shared" si="23"/>
        <v>0</v>
      </c>
    </row>
    <row r="471" spans="1:22" ht="15" customHeight="1" x14ac:dyDescent="0.35">
      <c r="A471" s="3" t="s">
        <v>835</v>
      </c>
      <c r="B471" s="4">
        <v>45414</v>
      </c>
      <c r="C471" s="3" t="s">
        <v>58</v>
      </c>
      <c r="D471" s="3" t="s">
        <v>118</v>
      </c>
      <c r="E471" s="3" t="s">
        <v>127</v>
      </c>
      <c r="F471" s="5">
        <v>2</v>
      </c>
      <c r="G471" s="5">
        <v>3350</v>
      </c>
      <c r="H471" s="5">
        <v>23.4</v>
      </c>
      <c r="I471" s="5">
        <v>5132.2</v>
      </c>
      <c r="J471" s="3" t="s">
        <v>26</v>
      </c>
      <c r="K471" s="3" t="s">
        <v>56</v>
      </c>
      <c r="L471" t="str">
        <f>IFERROR(VLOOKUP(D471,Products!$A$2:$F$61,3,FALSE()),"")</f>
        <v>Beauty</v>
      </c>
      <c r="M471" t="str">
        <f>IFERROR(VLOOKUP(E471,Sales_Reps!$A$2:$C$31,3,FALSE()),"")</f>
        <v>South</v>
      </c>
      <c r="N471">
        <f>IFERROR(VLOOKUP(D471,Products!$A$2:$F$61,4,FALSE()),"")</f>
        <v>1728</v>
      </c>
      <c r="O471" t="str">
        <f>IFERROR(VLOOKUP(C471,Customers!$A$2:$F$301,5,FALSE()),"")</f>
        <v>Corporate</v>
      </c>
      <c r="P471">
        <f>IFERROR(VLOOKUP(C471,Customers!$A$2:$F$301,3,FALSE()),"")</f>
        <v>57</v>
      </c>
      <c r="Q471">
        <f t="shared" si="21"/>
        <v>0.48417910447761192</v>
      </c>
      <c r="R471">
        <f>IF(AND(COUNTIF($A$2:$A$2047,A471)&gt;1,COUNTIF($A$2:A471,A471)=1),1,0)</f>
        <v>0</v>
      </c>
      <c r="S471" t="b">
        <f>IFERROR(VLOOKUP(D471,Products!$A$2:$F$61,6,FALSE()),"")</f>
        <v>1</v>
      </c>
      <c r="T471" t="str">
        <f>IF(COUNTIF(Customers!$A$2:$A$301,C471)=0,"Missing","OK")</f>
        <v>OK</v>
      </c>
      <c r="U471" t="str">
        <f t="shared" si="22"/>
        <v>Bengaluru</v>
      </c>
      <c r="V471">
        <f t="shared" si="23"/>
        <v>0</v>
      </c>
    </row>
    <row r="472" spans="1:22" ht="15" customHeight="1" x14ac:dyDescent="0.35">
      <c r="A472" s="3" t="s">
        <v>836</v>
      </c>
      <c r="B472" s="4">
        <v>45393</v>
      </c>
      <c r="C472" s="3" t="s">
        <v>762</v>
      </c>
      <c r="D472" s="3" t="s">
        <v>215</v>
      </c>
      <c r="E472" s="3" t="s">
        <v>42</v>
      </c>
      <c r="F472" s="5">
        <v>7</v>
      </c>
      <c r="G472" s="5">
        <v>3020</v>
      </c>
      <c r="H472" s="5">
        <v>23.7</v>
      </c>
      <c r="I472" s="5">
        <v>16129.82</v>
      </c>
      <c r="J472" s="3" t="s">
        <v>26</v>
      </c>
      <c r="K472" s="3" t="s">
        <v>33</v>
      </c>
      <c r="L472" t="str">
        <f>IFERROR(VLOOKUP(D472,Products!$A$2:$F$61,3,FALSE()),"")</f>
        <v>Beauty</v>
      </c>
      <c r="M472" t="str">
        <f>IFERROR(VLOOKUP(E472,Sales_Reps!$A$2:$C$31,3,FALSE()),"")</f>
        <v>North</v>
      </c>
      <c r="N472">
        <f>IFERROR(VLOOKUP(D472,Products!$A$2:$F$61,4,FALSE()),"")</f>
        <v>1626</v>
      </c>
      <c r="O472" t="str">
        <f>IFERROR(VLOOKUP(C472,Customers!$A$2:$F$301,5,FALSE()),"")</f>
        <v>Retail</v>
      </c>
      <c r="P472">
        <f>IFERROR(VLOOKUP(C472,Customers!$A$2:$F$301,3,FALSE()),"")</f>
        <v>32</v>
      </c>
      <c r="Q472">
        <f t="shared" si="21"/>
        <v>0.46158940397350995</v>
      </c>
      <c r="R472">
        <f>IF(AND(COUNTIF($A$2:$A$2047,A472)&gt;1,COUNTIF($A$2:A472,A472)=1),1,0)</f>
        <v>0</v>
      </c>
      <c r="S472" t="b">
        <f>IFERROR(VLOOKUP(D472,Products!$A$2:$F$61,6,FALSE()),"")</f>
        <v>1</v>
      </c>
      <c r="T472" t="str">
        <f>IF(COUNTIF(Customers!$A$2:$A$301,C472)=0,"Missing","OK")</f>
        <v>OK</v>
      </c>
      <c r="U472" t="str">
        <f t="shared" si="22"/>
        <v>Chennai</v>
      </c>
      <c r="V472">
        <f t="shared" si="23"/>
        <v>0</v>
      </c>
    </row>
    <row r="473" spans="1:22" ht="15" customHeight="1" x14ac:dyDescent="0.35">
      <c r="A473" s="3" t="s">
        <v>837</v>
      </c>
      <c r="B473" s="4">
        <v>45535</v>
      </c>
      <c r="C473" s="3" t="s">
        <v>504</v>
      </c>
      <c r="D473" s="3" t="s">
        <v>45</v>
      </c>
      <c r="E473" s="3" t="s">
        <v>131</v>
      </c>
      <c r="F473" s="5">
        <v>7</v>
      </c>
      <c r="G473" s="5">
        <v>3160</v>
      </c>
      <c r="H473" s="5">
        <v>22.8</v>
      </c>
      <c r="I473" s="5">
        <v>17076.64</v>
      </c>
      <c r="J473" s="3" t="s">
        <v>26</v>
      </c>
      <c r="K473" s="3" t="s">
        <v>51</v>
      </c>
      <c r="L473" t="str">
        <f>IFERROR(VLOOKUP(D473,Products!$A$2:$F$61,3,FALSE()),"")</f>
        <v>Apparel</v>
      </c>
      <c r="M473" t="str">
        <f>IFERROR(VLOOKUP(E473,Sales_Reps!$A$2:$C$31,3,FALSE()),"")</f>
        <v>East</v>
      </c>
      <c r="N473">
        <f>IFERROR(VLOOKUP(D473,Products!$A$2:$F$61,4,FALSE()),"")</f>
        <v>1886</v>
      </c>
      <c r="O473" t="str">
        <f>IFERROR(VLOOKUP(C473,Customers!$A$2:$F$301,5,FALSE()),"")</f>
        <v>SMB</v>
      </c>
      <c r="P473">
        <f>IFERROR(VLOOKUP(C473,Customers!$A$2:$F$301,3,FALSE()),"")</f>
        <v>61</v>
      </c>
      <c r="Q473">
        <f t="shared" si="21"/>
        <v>0.4031645569620253</v>
      </c>
      <c r="R473">
        <f>IF(AND(COUNTIF($A$2:$A$2047,A473)&gt;1,COUNTIF($A$2:A473,A473)=1),1,0)</f>
        <v>0</v>
      </c>
      <c r="S473" t="b">
        <f>IFERROR(VLOOKUP(D473,Products!$A$2:$F$61,6,FALSE()),"")</f>
        <v>1</v>
      </c>
      <c r="T473" t="str">
        <f>IF(COUNTIF(Customers!$A$2:$A$301,C473)=0,"Missing","OK")</f>
        <v>OK</v>
      </c>
      <c r="U473" t="str">
        <f t="shared" si="22"/>
        <v>Mumbai</v>
      </c>
      <c r="V473">
        <f t="shared" si="23"/>
        <v>0</v>
      </c>
    </row>
    <row r="474" spans="1:22" ht="15" customHeight="1" x14ac:dyDescent="0.35">
      <c r="A474" s="3" t="s">
        <v>838</v>
      </c>
      <c r="B474" s="4">
        <v>45541</v>
      </c>
      <c r="C474" s="3" t="s">
        <v>839</v>
      </c>
      <c r="D474" s="3" t="s">
        <v>36</v>
      </c>
      <c r="E474" s="3" t="s">
        <v>131</v>
      </c>
      <c r="F474" s="5">
        <v>2</v>
      </c>
      <c r="G474" s="5">
        <v>470</v>
      </c>
      <c r="H474" s="5">
        <v>28.8</v>
      </c>
      <c r="I474" s="5">
        <v>669.28</v>
      </c>
      <c r="J474" s="3" t="s">
        <v>79</v>
      </c>
      <c r="K474" s="3" t="s">
        <v>56</v>
      </c>
      <c r="L474" t="str">
        <f>IFERROR(VLOOKUP(D474,Products!$A$2:$F$61,3,FALSE()),"")</f>
        <v>Sports</v>
      </c>
      <c r="M474" t="str">
        <f>IFERROR(VLOOKUP(E474,Sales_Reps!$A$2:$C$31,3,FALSE()),"")</f>
        <v>East</v>
      </c>
      <c r="N474">
        <f>IFERROR(VLOOKUP(D474,Products!$A$2:$F$61,4,FALSE()),"")</f>
        <v>302</v>
      </c>
      <c r="O474" t="str">
        <f>IFERROR(VLOOKUP(C474,Customers!$A$2:$F$301,5,FALSE()),"")</f>
        <v>Retail</v>
      </c>
      <c r="P474">
        <f>IFERROR(VLOOKUP(C474,Customers!$A$2:$F$301,3,FALSE()),"")</f>
        <v>35</v>
      </c>
      <c r="Q474">
        <f t="shared" si="21"/>
        <v>0.35744680851063831</v>
      </c>
      <c r="R474">
        <f>IF(AND(COUNTIF($A$2:$A$2047,A474)&gt;1,COUNTIF($A$2:A474,A474)=1),1,0)</f>
        <v>0</v>
      </c>
      <c r="S474" t="b">
        <f>IFERROR(VLOOKUP(D474,Products!$A$2:$F$61,6,FALSE()),"")</f>
        <v>0</v>
      </c>
      <c r="T474" t="str">
        <f>IF(COUNTIF(Customers!$A$2:$A$301,C474)=0,"Missing","OK")</f>
        <v>OK</v>
      </c>
      <c r="U474" t="str">
        <f t="shared" si="22"/>
        <v>Bengaluru</v>
      </c>
      <c r="V474">
        <f t="shared" si="23"/>
        <v>0</v>
      </c>
    </row>
    <row r="475" spans="1:22" ht="15" customHeight="1" x14ac:dyDescent="0.35">
      <c r="A475" s="3" t="s">
        <v>840</v>
      </c>
      <c r="B475" s="4">
        <v>45454</v>
      </c>
      <c r="C475" s="3" t="s">
        <v>841</v>
      </c>
      <c r="D475" s="3" t="s">
        <v>82</v>
      </c>
      <c r="E475" s="3" t="s">
        <v>97</v>
      </c>
      <c r="F475" s="5">
        <v>2</v>
      </c>
      <c r="G475" s="5">
        <v>3250</v>
      </c>
      <c r="H475" s="5">
        <v>24.7</v>
      </c>
      <c r="I475" s="5">
        <v>4894.5</v>
      </c>
      <c r="J475" s="3" t="s">
        <v>26</v>
      </c>
      <c r="K475" s="3" t="s">
        <v>51</v>
      </c>
      <c r="L475" t="str">
        <f>IFERROR(VLOOKUP(D475,Products!$A$2:$F$61,3,FALSE()),"")</f>
        <v>Home</v>
      </c>
      <c r="M475" t="str">
        <f>IFERROR(VLOOKUP(E475,Sales_Reps!$A$2:$C$31,3,FALSE()),"")</f>
        <v>East</v>
      </c>
      <c r="N475">
        <f>IFERROR(VLOOKUP(D475,Products!$A$2:$F$61,4,FALSE()),"")</f>
        <v>1556</v>
      </c>
      <c r="O475" t="str">
        <f>IFERROR(VLOOKUP(C475,Customers!$A$2:$F$301,5,FALSE()),"")</f>
        <v>Retail</v>
      </c>
      <c r="P475">
        <f>IFERROR(VLOOKUP(C475,Customers!$A$2:$F$301,3,FALSE()),"")</f>
        <v>37</v>
      </c>
      <c r="Q475">
        <f t="shared" si="21"/>
        <v>0.52123076923076928</v>
      </c>
      <c r="R475">
        <f>IF(AND(COUNTIF($A$2:$A$2047,A475)&gt;1,COUNTIF($A$2:A475,A475)=1),1,0)</f>
        <v>0</v>
      </c>
      <c r="S475" t="b">
        <f>IFERROR(VLOOKUP(D475,Products!$A$2:$F$61,6,FALSE()),"")</f>
        <v>1</v>
      </c>
      <c r="T475" t="str">
        <f>IF(COUNTIF(Customers!$A$2:$A$301,C475)=0,"Missing","OK")</f>
        <v>OK</v>
      </c>
      <c r="U475" t="str">
        <f t="shared" si="22"/>
        <v>Mumbai</v>
      </c>
      <c r="V475">
        <f t="shared" si="23"/>
        <v>0</v>
      </c>
    </row>
    <row r="476" spans="1:22" ht="15" customHeight="1" x14ac:dyDescent="0.35">
      <c r="A476" s="3" t="s">
        <v>842</v>
      </c>
      <c r="B476" s="4">
        <v>45631</v>
      </c>
      <c r="C476" s="3" t="s">
        <v>329</v>
      </c>
      <c r="D476" s="3" t="s">
        <v>121</v>
      </c>
      <c r="E476" s="3" t="s">
        <v>93</v>
      </c>
      <c r="F476" s="5">
        <v>2</v>
      </c>
      <c r="G476" s="5">
        <v>1010</v>
      </c>
      <c r="H476" s="5">
        <v>5.2</v>
      </c>
      <c r="I476" s="5">
        <v>1914.96</v>
      </c>
      <c r="J476" s="3" t="s">
        <v>79</v>
      </c>
      <c r="K476" s="3" t="s">
        <v>27</v>
      </c>
      <c r="L476" t="str">
        <f>IFERROR(VLOOKUP(D476,Products!$A$2:$F$61,3,FALSE()),"")</f>
        <v>Sports</v>
      </c>
      <c r="M476" t="str">
        <f>IFERROR(VLOOKUP(E476,Sales_Reps!$A$2:$C$31,3,FALSE()),"")</f>
        <v>East</v>
      </c>
      <c r="N476">
        <f>IFERROR(VLOOKUP(D476,Products!$A$2:$F$61,4,FALSE()),"")</f>
        <v>516</v>
      </c>
      <c r="O476" t="str">
        <f>IFERROR(VLOOKUP(C476,Customers!$A$2:$F$301,5,FALSE()),"")</f>
        <v>SMB</v>
      </c>
      <c r="P476">
        <f>IFERROR(VLOOKUP(C476,Customers!$A$2:$F$301,3,FALSE()),"")</f>
        <v>54</v>
      </c>
      <c r="Q476">
        <f t="shared" si="21"/>
        <v>0.4891089108910891</v>
      </c>
      <c r="R476">
        <f>IF(AND(COUNTIF($A$2:$A$2047,A476)&gt;1,COUNTIF($A$2:A476,A476)=1),1,0)</f>
        <v>0</v>
      </c>
      <c r="S476" t="b">
        <f>IFERROR(VLOOKUP(D476,Products!$A$2:$F$61,6,FALSE()),"")</f>
        <v>1</v>
      </c>
      <c r="T476" t="str">
        <f>IF(COUNTIF(Customers!$A$2:$A$301,C476)=0,"Missing","OK")</f>
        <v>OK</v>
      </c>
      <c r="U476" t="str">
        <f t="shared" si="22"/>
        <v>Pune</v>
      </c>
      <c r="V476">
        <f t="shared" si="23"/>
        <v>0</v>
      </c>
    </row>
    <row r="477" spans="1:22" ht="15" customHeight="1" x14ac:dyDescent="0.35">
      <c r="A477" s="3" t="s">
        <v>843</v>
      </c>
      <c r="B477" s="4">
        <v>45588</v>
      </c>
      <c r="C477" s="3" t="s">
        <v>844</v>
      </c>
      <c r="D477" s="3" t="s">
        <v>221</v>
      </c>
      <c r="E477" s="3" t="s">
        <v>154</v>
      </c>
      <c r="F477" s="5">
        <v>9</v>
      </c>
      <c r="G477" s="5">
        <v>300</v>
      </c>
      <c r="H477" s="5">
        <v>7.9</v>
      </c>
      <c r="I477" s="5">
        <v>2486.6999999999998</v>
      </c>
      <c r="J477" s="3" t="s">
        <v>26</v>
      </c>
      <c r="K477" s="3" t="s">
        <v>51</v>
      </c>
      <c r="L477" t="str">
        <f>IFERROR(VLOOKUP(D477,Products!$A$2:$F$61,3,FALSE()),"")</f>
        <v>Electronics</v>
      </c>
      <c r="M477" t="str">
        <f>IFERROR(VLOOKUP(E477,Sales_Reps!$A$2:$C$31,3,FALSE()),"")</f>
        <v>North</v>
      </c>
      <c r="N477">
        <f>IFERROR(VLOOKUP(D477,Products!$A$2:$F$61,4,FALSE()),"")</f>
        <v>128</v>
      </c>
      <c r="O477" t="str">
        <f>IFERROR(VLOOKUP(C477,Customers!$A$2:$F$301,5,FALSE()),"")</f>
        <v>SMB</v>
      </c>
      <c r="P477">
        <f>IFERROR(VLOOKUP(C477,Customers!$A$2:$F$301,3,FALSE()),"")</f>
        <v>43</v>
      </c>
      <c r="Q477">
        <f t="shared" si="21"/>
        <v>0.57333333333333336</v>
      </c>
      <c r="R477">
        <f>IF(AND(COUNTIF($A$2:$A$2047,A477)&gt;1,COUNTIF($A$2:A477,A477)=1),1,0)</f>
        <v>0</v>
      </c>
      <c r="S477" t="b">
        <f>IFERROR(VLOOKUP(D477,Products!$A$2:$F$61,6,FALSE()),"")</f>
        <v>1</v>
      </c>
      <c r="T477" t="str">
        <f>IF(COUNTIF(Customers!$A$2:$A$301,C477)=0,"Missing","OK")</f>
        <v>OK</v>
      </c>
      <c r="U477" t="str">
        <f t="shared" si="22"/>
        <v>Mumbai</v>
      </c>
      <c r="V477">
        <f t="shared" si="23"/>
        <v>0</v>
      </c>
    </row>
    <row r="478" spans="1:22" ht="15" customHeight="1" x14ac:dyDescent="0.35">
      <c r="A478" s="3" t="s">
        <v>845</v>
      </c>
      <c r="B478" s="4">
        <v>45469</v>
      </c>
      <c r="C478" s="3" t="s">
        <v>642</v>
      </c>
      <c r="D478" s="3" t="s">
        <v>130</v>
      </c>
      <c r="E478" s="3" t="s">
        <v>42</v>
      </c>
      <c r="F478" s="5">
        <v>10</v>
      </c>
      <c r="G478" s="5">
        <v>5100</v>
      </c>
      <c r="H478" s="5">
        <v>26.3</v>
      </c>
      <c r="I478" s="5">
        <v>37587</v>
      </c>
      <c r="J478" s="3" t="s">
        <v>32</v>
      </c>
      <c r="K478" s="3" t="s">
        <v>27</v>
      </c>
      <c r="L478" t="str">
        <f>IFERROR(VLOOKUP(D478,Products!$A$2:$F$61,3,FALSE()),"")</f>
        <v>Beauty</v>
      </c>
      <c r="M478" t="str">
        <f>IFERROR(VLOOKUP(E478,Sales_Reps!$A$2:$C$31,3,FALSE()),"")</f>
        <v>North</v>
      </c>
      <c r="N478">
        <f>IFERROR(VLOOKUP(D478,Products!$A$2:$F$61,4,FALSE()),"")</f>
        <v>2237</v>
      </c>
      <c r="O478" t="str">
        <f>IFERROR(VLOOKUP(C478,Customers!$A$2:$F$301,5,FALSE()),"")</f>
        <v>Corporate</v>
      </c>
      <c r="P478">
        <f>IFERROR(VLOOKUP(C478,Customers!$A$2:$F$301,3,FALSE()),"")</f>
        <v>52</v>
      </c>
      <c r="Q478">
        <f t="shared" si="21"/>
        <v>0.56137254901960787</v>
      </c>
      <c r="R478">
        <f>IF(AND(COUNTIF($A$2:$A$2047,A478)&gt;1,COUNTIF($A$2:A478,A478)=1),1,0)</f>
        <v>0</v>
      </c>
      <c r="S478" t="b">
        <f>IFERROR(VLOOKUP(D478,Products!$A$2:$F$61,6,FALSE()),"")</f>
        <v>1</v>
      </c>
      <c r="T478" t="str">
        <f>IF(COUNTIF(Customers!$A$2:$A$301,C478)=0,"Missing","OK")</f>
        <v>OK</v>
      </c>
      <c r="U478" t="str">
        <f t="shared" si="22"/>
        <v>Pune</v>
      </c>
      <c r="V478">
        <f t="shared" si="23"/>
        <v>0</v>
      </c>
    </row>
    <row r="479" spans="1:22" ht="15" customHeight="1" x14ac:dyDescent="0.35">
      <c r="A479" s="3" t="s">
        <v>846</v>
      </c>
      <c r="B479" s="4">
        <v>45552</v>
      </c>
      <c r="C479" s="3" t="s">
        <v>847</v>
      </c>
      <c r="D479" s="3" t="s">
        <v>118</v>
      </c>
      <c r="E479" s="3" t="s">
        <v>67</v>
      </c>
      <c r="F479" s="5">
        <v>1</v>
      </c>
      <c r="G479" s="5">
        <v>3350</v>
      </c>
      <c r="H479" s="5">
        <v>8.5</v>
      </c>
      <c r="I479" s="5">
        <v>3065.25</v>
      </c>
      <c r="J479" s="3" t="s">
        <v>79</v>
      </c>
      <c r="K479" s="3" t="s">
        <v>72</v>
      </c>
      <c r="L479" t="str">
        <f>IFERROR(VLOOKUP(D479,Products!$A$2:$F$61,3,FALSE()),"")</f>
        <v>Beauty</v>
      </c>
      <c r="M479" t="str">
        <f>IFERROR(VLOOKUP(E479,Sales_Reps!$A$2:$C$31,3,FALSE()),"")</f>
        <v>West</v>
      </c>
      <c r="N479">
        <f>IFERROR(VLOOKUP(D479,Products!$A$2:$F$61,4,FALSE()),"")</f>
        <v>1728</v>
      </c>
      <c r="O479" t="str">
        <f>IFERROR(VLOOKUP(C479,Customers!$A$2:$F$301,5,FALSE()),"")</f>
        <v>Retail</v>
      </c>
      <c r="P479">
        <f>IFERROR(VLOOKUP(C479,Customers!$A$2:$F$301,3,FALSE()),"")</f>
        <v>31</v>
      </c>
      <c r="Q479">
        <f t="shared" si="21"/>
        <v>0.48417910447761192</v>
      </c>
      <c r="R479">
        <f>IF(AND(COUNTIF($A$2:$A$2047,A479)&gt;1,COUNTIF($A$2:A479,A479)=1),1,0)</f>
        <v>0</v>
      </c>
      <c r="S479" t="b">
        <f>IFERROR(VLOOKUP(D479,Products!$A$2:$F$61,6,FALSE()),"")</f>
        <v>1</v>
      </c>
      <c r="T479" t="str">
        <f>IF(COUNTIF(Customers!$A$2:$A$301,C479)=0,"Missing","OK")</f>
        <v>OK</v>
      </c>
      <c r="U479" t="str">
        <f t="shared" si="22"/>
        <v>Hyderabad</v>
      </c>
      <c r="V479">
        <f t="shared" si="23"/>
        <v>0</v>
      </c>
    </row>
    <row r="480" spans="1:22" ht="15" customHeight="1" x14ac:dyDescent="0.35">
      <c r="A480" s="3" t="s">
        <v>848</v>
      </c>
      <c r="B480" s="4">
        <v>45554</v>
      </c>
      <c r="C480" s="3" t="s">
        <v>849</v>
      </c>
      <c r="D480" s="3" t="s">
        <v>82</v>
      </c>
      <c r="E480" s="3" t="s">
        <v>224</v>
      </c>
      <c r="F480" s="5">
        <v>2</v>
      </c>
      <c r="G480" s="5">
        <v>3250</v>
      </c>
      <c r="H480" s="5">
        <v>25.7</v>
      </c>
      <c r="I480" s="5">
        <v>4829.5</v>
      </c>
      <c r="J480" s="3" t="s">
        <v>83</v>
      </c>
      <c r="K480" s="3" t="s">
        <v>38</v>
      </c>
      <c r="L480" t="str">
        <f>IFERROR(VLOOKUP(D480,Products!$A$2:$F$61,3,FALSE()),"")</f>
        <v>Home</v>
      </c>
      <c r="M480" t="str">
        <f>IFERROR(VLOOKUP(E480,Sales_Reps!$A$2:$C$31,3,FALSE()),"")</f>
        <v>East</v>
      </c>
      <c r="N480">
        <f>IFERROR(VLOOKUP(D480,Products!$A$2:$F$61,4,FALSE()),"")</f>
        <v>1556</v>
      </c>
      <c r="O480" t="str">
        <f>IFERROR(VLOOKUP(C480,Customers!$A$2:$F$301,5,FALSE()),"")</f>
        <v>Retail</v>
      </c>
      <c r="P480">
        <f>IFERROR(VLOOKUP(C480,Customers!$A$2:$F$301,3,FALSE()),"")</f>
        <v>55</v>
      </c>
      <c r="Q480">
        <f t="shared" si="21"/>
        <v>0.52123076923076928</v>
      </c>
      <c r="R480">
        <f>IF(AND(COUNTIF($A$2:$A$2047,A480)&gt;1,COUNTIF($A$2:A480,A480)=1),1,0)</f>
        <v>1</v>
      </c>
      <c r="S480" t="b">
        <f>IFERROR(VLOOKUP(D480,Products!$A$2:$F$61,6,FALSE()),"")</f>
        <v>1</v>
      </c>
      <c r="T480" t="str">
        <f>IF(COUNTIF(Customers!$A$2:$A$301,C480)=0,"Missing","OK")</f>
        <v>OK</v>
      </c>
      <c r="U480" t="str">
        <f t="shared" si="22"/>
        <v>Delhi</v>
      </c>
      <c r="V480">
        <f t="shared" si="23"/>
        <v>0</v>
      </c>
    </row>
    <row r="481" spans="1:22" ht="15" customHeight="1" x14ac:dyDescent="0.35">
      <c r="A481" s="3" t="s">
        <v>850</v>
      </c>
      <c r="B481" s="4">
        <v>45352</v>
      </c>
      <c r="C481" s="3" t="s">
        <v>85</v>
      </c>
      <c r="D481" s="3" t="s">
        <v>41</v>
      </c>
      <c r="E481" s="3" t="s">
        <v>46</v>
      </c>
      <c r="F481" s="5">
        <v>10</v>
      </c>
      <c r="G481" s="5">
        <v>3660</v>
      </c>
      <c r="H481" s="5">
        <v>12</v>
      </c>
      <c r="I481" s="5">
        <v>32208</v>
      </c>
      <c r="J481" s="3" t="s">
        <v>26</v>
      </c>
      <c r="K481" s="3" t="s">
        <v>27</v>
      </c>
      <c r="L481" t="str">
        <f>IFERROR(VLOOKUP(D481,Products!$A$2:$F$61,3,FALSE()),"")</f>
        <v>Grocery</v>
      </c>
      <c r="M481" t="str">
        <f>IFERROR(VLOOKUP(E481,Sales_Reps!$A$2:$C$31,3,FALSE()),"")</f>
        <v>North</v>
      </c>
      <c r="N481">
        <f>IFERROR(VLOOKUP(D481,Products!$A$2:$F$61,4,FALSE()),"")</f>
        <v>2214</v>
      </c>
      <c r="O481" t="str">
        <f>IFERROR(VLOOKUP(C481,Customers!$A$2:$F$301,5,FALSE()),"")</f>
        <v>Retail</v>
      </c>
      <c r="P481">
        <f>IFERROR(VLOOKUP(C481,Customers!$A$2:$F$301,3,FALSE()),"")</f>
        <v>38</v>
      </c>
      <c r="Q481">
        <f t="shared" si="21"/>
        <v>0.39508196721311473</v>
      </c>
      <c r="R481">
        <f>IF(AND(COUNTIF($A$2:$A$2047,A481)&gt;1,COUNTIF($A$2:A481,A481)=1),1,0)</f>
        <v>0</v>
      </c>
      <c r="S481" t="b">
        <f>IFERROR(VLOOKUP(D481,Products!$A$2:$F$61,6,FALSE()),"")</f>
        <v>0</v>
      </c>
      <c r="T481" t="str">
        <f>IF(COUNTIF(Customers!$A$2:$A$301,C481)=0,"Missing","OK")</f>
        <v>OK</v>
      </c>
      <c r="U481" t="str">
        <f t="shared" si="22"/>
        <v>Pune</v>
      </c>
      <c r="V481">
        <f t="shared" si="23"/>
        <v>0</v>
      </c>
    </row>
    <row r="482" spans="1:22" ht="15" customHeight="1" x14ac:dyDescent="0.35">
      <c r="A482" s="3" t="s">
        <v>851</v>
      </c>
      <c r="B482" s="4">
        <v>45521</v>
      </c>
      <c r="C482" s="3" t="s">
        <v>156</v>
      </c>
      <c r="D482" s="3" t="s">
        <v>90</v>
      </c>
      <c r="E482" s="3" t="s">
        <v>143</v>
      </c>
      <c r="F482" s="5">
        <v>1</v>
      </c>
      <c r="G482" s="5">
        <v>2400</v>
      </c>
      <c r="H482" s="5">
        <v>24.5</v>
      </c>
      <c r="I482" s="5">
        <v>1812</v>
      </c>
      <c r="J482" s="3" t="s">
        <v>26</v>
      </c>
      <c r="K482" s="3" t="s">
        <v>33</v>
      </c>
      <c r="L482" t="str">
        <f>IFERROR(VLOOKUP(D482,Products!$A$2:$F$61,3,FALSE()),"")</f>
        <v>Sports</v>
      </c>
      <c r="M482" t="str">
        <f>IFERROR(VLOOKUP(E482,Sales_Reps!$A$2:$C$31,3,FALSE()),"")</f>
        <v>South</v>
      </c>
      <c r="N482">
        <f>IFERROR(VLOOKUP(D482,Products!$A$2:$F$61,4,FALSE()),"")</f>
        <v>974</v>
      </c>
      <c r="O482" t="str">
        <f>IFERROR(VLOOKUP(C482,Customers!$A$2:$F$301,5,FALSE()),"")</f>
        <v>Retail</v>
      </c>
      <c r="P482">
        <f>IFERROR(VLOOKUP(C482,Customers!$A$2:$F$301,3,FALSE()),"")</f>
        <v>51</v>
      </c>
      <c r="Q482">
        <f t="shared" si="21"/>
        <v>0.59416666666666662</v>
      </c>
      <c r="R482">
        <f>IF(AND(COUNTIF($A$2:$A$2047,A482)&gt;1,COUNTIF($A$2:A482,A482)=1),1,0)</f>
        <v>0</v>
      </c>
      <c r="S482" t="b">
        <f>IFERROR(VLOOKUP(D482,Products!$A$2:$F$61,6,FALSE()),"")</f>
        <v>1</v>
      </c>
      <c r="T482" t="str">
        <f>IF(COUNTIF(Customers!$A$2:$A$301,C482)=0,"Missing","OK")</f>
        <v>OK</v>
      </c>
      <c r="U482" t="str">
        <f t="shared" si="22"/>
        <v>Chennai</v>
      </c>
      <c r="V482">
        <f t="shared" si="23"/>
        <v>0</v>
      </c>
    </row>
    <row r="483" spans="1:22" ht="15" customHeight="1" x14ac:dyDescent="0.35">
      <c r="A483" s="3" t="s">
        <v>852</v>
      </c>
      <c r="B483" s="4">
        <v>45496</v>
      </c>
      <c r="C483" s="3" t="s">
        <v>373</v>
      </c>
      <c r="D483" s="3" t="s">
        <v>441</v>
      </c>
      <c r="E483" s="3" t="s">
        <v>71</v>
      </c>
      <c r="F483" s="5">
        <v>1</v>
      </c>
      <c r="G483" s="5">
        <v>1090</v>
      </c>
      <c r="H483" s="5">
        <v>18.399999999999999</v>
      </c>
      <c r="I483" s="5">
        <v>889.44</v>
      </c>
      <c r="J483" s="3" t="s">
        <v>26</v>
      </c>
      <c r="K483" s="3" t="s">
        <v>38</v>
      </c>
      <c r="L483" t="str">
        <f>IFERROR(VLOOKUP(D483,Products!$A$2:$F$61,3,FALSE()),"")</f>
        <v>Home</v>
      </c>
      <c r="M483" t="str">
        <f>IFERROR(VLOOKUP(E483,Sales_Reps!$A$2:$C$31,3,FALSE()),"")</f>
        <v>South</v>
      </c>
      <c r="N483">
        <f>IFERROR(VLOOKUP(D483,Products!$A$2:$F$61,4,FALSE()),"")</f>
        <v>464</v>
      </c>
      <c r="O483" t="str">
        <f>IFERROR(VLOOKUP(C483,Customers!$A$2:$F$301,5,FALSE()),"")</f>
        <v>Corporate</v>
      </c>
      <c r="P483">
        <f>IFERROR(VLOOKUP(C483,Customers!$A$2:$F$301,3,FALSE()),"")</f>
        <v>31</v>
      </c>
      <c r="Q483">
        <f t="shared" si="21"/>
        <v>0.57431192660550456</v>
      </c>
      <c r="R483">
        <f>IF(AND(COUNTIF($A$2:$A$2047,A483)&gt;1,COUNTIF($A$2:A483,A483)=1),1,0)</f>
        <v>0</v>
      </c>
      <c r="S483" t="b">
        <f>IFERROR(VLOOKUP(D483,Products!$A$2:$F$61,6,FALSE()),"")</f>
        <v>1</v>
      </c>
      <c r="T483" t="str">
        <f>IF(COUNTIF(Customers!$A$2:$A$301,C483)=0,"Missing","OK")</f>
        <v>OK</v>
      </c>
      <c r="U483" t="str">
        <f t="shared" si="22"/>
        <v>Delhi</v>
      </c>
      <c r="V483">
        <f t="shared" si="23"/>
        <v>0</v>
      </c>
    </row>
    <row r="484" spans="1:22" ht="15" customHeight="1" x14ac:dyDescent="0.35">
      <c r="A484" s="3" t="s">
        <v>853</v>
      </c>
      <c r="B484" s="4">
        <v>45404</v>
      </c>
      <c r="C484" s="3" t="s">
        <v>734</v>
      </c>
      <c r="D484" s="3" t="s">
        <v>400</v>
      </c>
      <c r="E484" s="3" t="s">
        <v>127</v>
      </c>
      <c r="F484" s="5">
        <v>6</v>
      </c>
      <c r="G484" s="5">
        <v>3780</v>
      </c>
      <c r="H484" s="5">
        <v>15.9</v>
      </c>
      <c r="I484" s="5">
        <v>19073.88</v>
      </c>
      <c r="J484" s="3" t="s">
        <v>26</v>
      </c>
      <c r="K484" s="3" t="s">
        <v>33</v>
      </c>
      <c r="L484" t="str">
        <f>IFERROR(VLOOKUP(D484,Products!$A$2:$F$61,3,FALSE()),"")</f>
        <v>Sports</v>
      </c>
      <c r="M484" t="str">
        <f>IFERROR(VLOOKUP(E484,Sales_Reps!$A$2:$C$31,3,FALSE()),"")</f>
        <v>South</v>
      </c>
      <c r="N484">
        <f>IFERROR(VLOOKUP(D484,Products!$A$2:$F$61,4,FALSE()),"")</f>
        <v>1860</v>
      </c>
      <c r="O484" t="str">
        <f>IFERROR(VLOOKUP(C484,Customers!$A$2:$F$301,5,FALSE()),"")</f>
        <v>Retail</v>
      </c>
      <c r="P484">
        <f>IFERROR(VLOOKUP(C484,Customers!$A$2:$F$301,3,FALSE()),"")</f>
        <v>22</v>
      </c>
      <c r="Q484">
        <f t="shared" si="21"/>
        <v>0.50793650793650791</v>
      </c>
      <c r="R484">
        <f>IF(AND(COUNTIF($A$2:$A$2047,A484)&gt;1,COUNTIF($A$2:A484,A484)=1),1,0)</f>
        <v>0</v>
      </c>
      <c r="S484" t="b">
        <f>IFERROR(VLOOKUP(D484,Products!$A$2:$F$61,6,FALSE()),"")</f>
        <v>1</v>
      </c>
      <c r="T484" t="str">
        <f>IF(COUNTIF(Customers!$A$2:$A$301,C484)=0,"Missing","OK")</f>
        <v>OK</v>
      </c>
      <c r="U484" t="str">
        <f t="shared" si="22"/>
        <v>Chennai</v>
      </c>
      <c r="V484">
        <f t="shared" si="23"/>
        <v>0</v>
      </c>
    </row>
    <row r="485" spans="1:22" ht="15" customHeight="1" x14ac:dyDescent="0.35">
      <c r="A485" s="3" t="s">
        <v>854</v>
      </c>
      <c r="B485" s="4">
        <v>45330</v>
      </c>
      <c r="C485" s="3" t="s">
        <v>418</v>
      </c>
      <c r="D485" s="3" t="s">
        <v>118</v>
      </c>
      <c r="E485" s="3" t="s">
        <v>60</v>
      </c>
      <c r="F485" s="5">
        <v>3</v>
      </c>
      <c r="G485" s="5">
        <v>3350</v>
      </c>
      <c r="H485" s="5">
        <v>18.8</v>
      </c>
      <c r="I485" s="5">
        <v>8160.6</v>
      </c>
      <c r="J485" s="3" t="s">
        <v>83</v>
      </c>
      <c r="K485" s="3" t="s">
        <v>27</v>
      </c>
      <c r="L485" t="str">
        <f>IFERROR(VLOOKUP(D485,Products!$A$2:$F$61,3,FALSE()),"")</f>
        <v>Beauty</v>
      </c>
      <c r="M485" t="str">
        <f>IFERROR(VLOOKUP(E485,Sales_Reps!$A$2:$C$31,3,FALSE()),"")</f>
        <v>East</v>
      </c>
      <c r="N485">
        <f>IFERROR(VLOOKUP(D485,Products!$A$2:$F$61,4,FALSE()),"")</f>
        <v>1728</v>
      </c>
      <c r="O485" t="str">
        <f>IFERROR(VLOOKUP(C485,Customers!$A$2:$F$301,5,FALSE()),"")</f>
        <v>SMB</v>
      </c>
      <c r="P485">
        <f>IFERROR(VLOOKUP(C485,Customers!$A$2:$F$301,3,FALSE()),"")</f>
        <v>49</v>
      </c>
      <c r="Q485">
        <f t="shared" si="21"/>
        <v>0.48417910447761192</v>
      </c>
      <c r="R485">
        <f>IF(AND(COUNTIF($A$2:$A$2047,A485)&gt;1,COUNTIF($A$2:A485,A485)=1),1,0)</f>
        <v>0</v>
      </c>
      <c r="S485" t="b">
        <f>IFERROR(VLOOKUP(D485,Products!$A$2:$F$61,6,FALSE()),"")</f>
        <v>1</v>
      </c>
      <c r="T485" t="str">
        <f>IF(COUNTIF(Customers!$A$2:$A$301,C485)=0,"Missing","OK")</f>
        <v>OK</v>
      </c>
      <c r="U485" t="str">
        <f t="shared" si="22"/>
        <v>Pune</v>
      </c>
      <c r="V485">
        <f t="shared" si="23"/>
        <v>0</v>
      </c>
    </row>
    <row r="486" spans="1:22" ht="15" customHeight="1" x14ac:dyDescent="0.35">
      <c r="A486" s="3" t="s">
        <v>855</v>
      </c>
      <c r="B486" s="4">
        <v>45323</v>
      </c>
      <c r="C486" s="3" t="s">
        <v>58</v>
      </c>
      <c r="D486" s="3" t="s">
        <v>103</v>
      </c>
      <c r="E486" s="3" t="s">
        <v>109</v>
      </c>
      <c r="F486" s="5">
        <v>3</v>
      </c>
      <c r="G486" s="5">
        <v>1080</v>
      </c>
      <c r="H486" s="5">
        <v>3.4</v>
      </c>
      <c r="I486" s="5">
        <v>3129.84</v>
      </c>
      <c r="J486" s="3" t="s">
        <v>26</v>
      </c>
      <c r="K486" s="3" t="s">
        <v>56</v>
      </c>
      <c r="L486" t="str">
        <f>IFERROR(VLOOKUP(D486,Products!$A$2:$F$61,3,FALSE()),"")</f>
        <v>Home</v>
      </c>
      <c r="M486" t="str">
        <f>IFERROR(VLOOKUP(E486,Sales_Reps!$A$2:$C$31,3,FALSE()),"")</f>
        <v>West</v>
      </c>
      <c r="N486">
        <f>IFERROR(VLOOKUP(D486,Products!$A$2:$F$61,4,FALSE()),"")</f>
        <v>519</v>
      </c>
      <c r="O486" t="str">
        <f>IFERROR(VLOOKUP(C486,Customers!$A$2:$F$301,5,FALSE()),"")</f>
        <v>Corporate</v>
      </c>
      <c r="P486">
        <f>IFERROR(VLOOKUP(C486,Customers!$A$2:$F$301,3,FALSE()),"")</f>
        <v>57</v>
      </c>
      <c r="Q486">
        <f t="shared" si="21"/>
        <v>0.51944444444444449</v>
      </c>
      <c r="R486">
        <f>IF(AND(COUNTIF($A$2:$A$2047,A486)&gt;1,COUNTIF($A$2:A486,A486)=1),1,0)</f>
        <v>0</v>
      </c>
      <c r="S486" t="b">
        <f>IFERROR(VLOOKUP(D486,Products!$A$2:$F$61,6,FALSE()),"")</f>
        <v>1</v>
      </c>
      <c r="T486" t="str">
        <f>IF(COUNTIF(Customers!$A$2:$A$301,C486)=0,"Missing","OK")</f>
        <v>OK</v>
      </c>
      <c r="U486" t="str">
        <f t="shared" si="22"/>
        <v>Bengaluru</v>
      </c>
      <c r="V486">
        <f t="shared" si="23"/>
        <v>0</v>
      </c>
    </row>
    <row r="487" spans="1:22" ht="15" customHeight="1" x14ac:dyDescent="0.35">
      <c r="A487" s="3" t="s">
        <v>856</v>
      </c>
      <c r="B487" s="4">
        <v>45519</v>
      </c>
      <c r="C487" s="3" t="s">
        <v>257</v>
      </c>
      <c r="D487" s="3" t="s">
        <v>203</v>
      </c>
      <c r="E487" s="3" t="s">
        <v>224</v>
      </c>
      <c r="F487" s="5">
        <v>6</v>
      </c>
      <c r="G487" s="5">
        <v>4070</v>
      </c>
      <c r="H487" s="5">
        <v>27.7</v>
      </c>
      <c r="I487" s="5">
        <v>17655.66</v>
      </c>
      <c r="J487" s="3" t="s">
        <v>32</v>
      </c>
      <c r="K487" s="3" t="s">
        <v>33</v>
      </c>
      <c r="L487" t="str">
        <f>IFERROR(VLOOKUP(D487,Products!$A$2:$F$61,3,FALSE()),"")</f>
        <v>Grocery</v>
      </c>
      <c r="M487" t="str">
        <f>IFERROR(VLOOKUP(E487,Sales_Reps!$A$2:$C$31,3,FALSE()),"")</f>
        <v>East</v>
      </c>
      <c r="N487">
        <f>IFERROR(VLOOKUP(D487,Products!$A$2:$F$61,4,FALSE()),"")</f>
        <v>2027</v>
      </c>
      <c r="O487" t="str">
        <f>IFERROR(VLOOKUP(C487,Customers!$A$2:$F$301,5,FALSE()),"")</f>
        <v>SMB</v>
      </c>
      <c r="P487">
        <f>IFERROR(VLOOKUP(C487,Customers!$A$2:$F$301,3,FALSE()),"")</f>
        <v>57</v>
      </c>
      <c r="Q487">
        <f t="shared" si="21"/>
        <v>0.50196560196560192</v>
      </c>
      <c r="R487">
        <f>IF(AND(COUNTIF($A$2:$A$2047,A487)&gt;1,COUNTIF($A$2:A487,A487)=1),1,0)</f>
        <v>0</v>
      </c>
      <c r="S487" t="b">
        <f>IFERROR(VLOOKUP(D487,Products!$A$2:$F$61,6,FALSE()),"")</f>
        <v>1</v>
      </c>
      <c r="T487" t="str">
        <f>IF(COUNTIF(Customers!$A$2:$A$301,C487)=0,"Missing","OK")</f>
        <v>OK</v>
      </c>
      <c r="U487" t="str">
        <f t="shared" si="22"/>
        <v>Chennai</v>
      </c>
      <c r="V487">
        <f t="shared" si="23"/>
        <v>0</v>
      </c>
    </row>
    <row r="488" spans="1:22" ht="15" customHeight="1" x14ac:dyDescent="0.35">
      <c r="A488" s="3" t="s">
        <v>857</v>
      </c>
      <c r="B488" s="4">
        <v>45514</v>
      </c>
      <c r="C488" s="3" t="s">
        <v>734</v>
      </c>
      <c r="D488" s="3" t="s">
        <v>198</v>
      </c>
      <c r="E488" s="3" t="s">
        <v>140</v>
      </c>
      <c r="F488" s="5">
        <v>5</v>
      </c>
      <c r="G488" s="5">
        <v>1540</v>
      </c>
      <c r="H488" s="5">
        <v>24.9</v>
      </c>
      <c r="I488" s="5">
        <v>5782.7</v>
      </c>
      <c r="J488" s="3" t="s">
        <v>26</v>
      </c>
      <c r="K488" s="3" t="s">
        <v>33</v>
      </c>
      <c r="L488" t="str">
        <f>IFERROR(VLOOKUP(D488,Products!$A$2:$F$61,3,FALSE()),"")</f>
        <v>Beauty</v>
      </c>
      <c r="M488" t="str">
        <f>IFERROR(VLOOKUP(E488,Sales_Reps!$A$2:$C$31,3,FALSE()),"")</f>
        <v>West</v>
      </c>
      <c r="N488">
        <f>IFERROR(VLOOKUP(D488,Products!$A$2:$F$61,4,FALSE()),"")</f>
        <v>647</v>
      </c>
      <c r="O488" t="str">
        <f>IFERROR(VLOOKUP(C488,Customers!$A$2:$F$301,5,FALSE()),"")</f>
        <v>Retail</v>
      </c>
      <c r="P488">
        <f>IFERROR(VLOOKUP(C488,Customers!$A$2:$F$301,3,FALSE()),"")</f>
        <v>22</v>
      </c>
      <c r="Q488">
        <f t="shared" si="21"/>
        <v>0.57987012987012987</v>
      </c>
      <c r="R488">
        <f>IF(AND(COUNTIF($A$2:$A$2047,A488)&gt;1,COUNTIF($A$2:A488,A488)=1),1,0)</f>
        <v>0</v>
      </c>
      <c r="S488" t="b">
        <f>IFERROR(VLOOKUP(D488,Products!$A$2:$F$61,6,FALSE()),"")</f>
        <v>0</v>
      </c>
      <c r="T488" t="str">
        <f>IF(COUNTIF(Customers!$A$2:$A$301,C488)=0,"Missing","OK")</f>
        <v>OK</v>
      </c>
      <c r="U488" t="str">
        <f t="shared" si="22"/>
        <v>Chennai</v>
      </c>
      <c r="V488">
        <f t="shared" si="23"/>
        <v>0</v>
      </c>
    </row>
    <row r="489" spans="1:22" ht="15" customHeight="1" x14ac:dyDescent="0.35">
      <c r="A489" s="3" t="s">
        <v>858</v>
      </c>
      <c r="B489" s="4">
        <v>45497</v>
      </c>
      <c r="C489" s="3" t="s">
        <v>333</v>
      </c>
      <c r="D489" s="3" t="s">
        <v>139</v>
      </c>
      <c r="E489" s="3" t="s">
        <v>67</v>
      </c>
      <c r="F489" s="5">
        <v>6</v>
      </c>
      <c r="G489" s="5">
        <v>2760</v>
      </c>
      <c r="H489" s="5">
        <v>29.9</v>
      </c>
      <c r="I489" s="5">
        <v>11608.56</v>
      </c>
      <c r="J489" s="3" t="s">
        <v>26</v>
      </c>
      <c r="K489" s="3" t="s">
        <v>56</v>
      </c>
      <c r="L489" t="str">
        <f>IFERROR(VLOOKUP(D489,Products!$A$2:$F$61,3,FALSE()),"")</f>
        <v>Grocery</v>
      </c>
      <c r="M489" t="str">
        <f>IFERROR(VLOOKUP(E489,Sales_Reps!$A$2:$C$31,3,FALSE()),"")</f>
        <v>West</v>
      </c>
      <c r="N489">
        <f>IFERROR(VLOOKUP(D489,Products!$A$2:$F$61,4,FALSE()),"")</f>
        <v>1435</v>
      </c>
      <c r="O489" t="str">
        <f>IFERROR(VLOOKUP(C489,Customers!$A$2:$F$301,5,FALSE()),"")</f>
        <v>SMB</v>
      </c>
      <c r="P489">
        <f>IFERROR(VLOOKUP(C489,Customers!$A$2:$F$301,3,FALSE()),"")</f>
        <v>28</v>
      </c>
      <c r="Q489">
        <f t="shared" si="21"/>
        <v>0.48007246376811596</v>
      </c>
      <c r="R489">
        <f>IF(AND(COUNTIF($A$2:$A$2047,A489)&gt;1,COUNTIF($A$2:A489,A489)=1),1,0)</f>
        <v>0</v>
      </c>
      <c r="S489" t="b">
        <f>IFERROR(VLOOKUP(D489,Products!$A$2:$F$61,6,FALSE()),"")</f>
        <v>1</v>
      </c>
      <c r="T489" t="str">
        <f>IF(COUNTIF(Customers!$A$2:$A$301,C489)=0,"Missing","OK")</f>
        <v>OK</v>
      </c>
      <c r="U489" t="str">
        <f t="shared" si="22"/>
        <v>Bengaluru</v>
      </c>
      <c r="V489">
        <f t="shared" si="23"/>
        <v>11608.56</v>
      </c>
    </row>
    <row r="490" spans="1:22" ht="15" customHeight="1" x14ac:dyDescent="0.35">
      <c r="A490" s="3" t="s">
        <v>859</v>
      </c>
      <c r="B490" s="4">
        <v>45639</v>
      </c>
      <c r="C490" s="3" t="s">
        <v>860</v>
      </c>
      <c r="D490" s="3" t="s">
        <v>347</v>
      </c>
      <c r="E490" s="3" t="s">
        <v>224</v>
      </c>
      <c r="F490" s="5">
        <v>8</v>
      </c>
      <c r="G490" s="5">
        <v>3970</v>
      </c>
      <c r="H490" s="5">
        <v>23.7</v>
      </c>
      <c r="I490" s="5">
        <v>24232.880000000001</v>
      </c>
      <c r="J490" s="3" t="s">
        <v>26</v>
      </c>
      <c r="K490" s="3" t="s">
        <v>56</v>
      </c>
      <c r="L490" t="str">
        <f>IFERROR(VLOOKUP(D490,Products!$A$2:$F$61,3,FALSE()),"")</f>
        <v>Electronics</v>
      </c>
      <c r="M490" t="str">
        <f>IFERROR(VLOOKUP(E490,Sales_Reps!$A$2:$C$31,3,FALSE()),"")</f>
        <v>East</v>
      </c>
      <c r="N490">
        <f>IFERROR(VLOOKUP(D490,Products!$A$2:$F$61,4,FALSE()),"")</f>
        <v>2865</v>
      </c>
      <c r="O490" t="str">
        <f>IFERROR(VLOOKUP(C490,Customers!$A$2:$F$301,5,FALSE()),"")</f>
        <v>Retail</v>
      </c>
      <c r="P490">
        <f>IFERROR(VLOOKUP(C490,Customers!$A$2:$F$301,3,FALSE()),"")</f>
        <v>28</v>
      </c>
      <c r="Q490">
        <f t="shared" si="21"/>
        <v>0.27833753148614609</v>
      </c>
      <c r="R490">
        <f>IF(AND(COUNTIF($A$2:$A$2047,A490)&gt;1,COUNTIF($A$2:A490,A490)=1),1,0)</f>
        <v>0</v>
      </c>
      <c r="S490" t="b">
        <f>IFERROR(VLOOKUP(D490,Products!$A$2:$F$61,6,FALSE()),"")</f>
        <v>1</v>
      </c>
      <c r="T490" t="str">
        <f>IF(COUNTIF(Customers!$A$2:$A$301,C490)=0,"Missing","OK")</f>
        <v>OK</v>
      </c>
      <c r="U490" t="str">
        <f t="shared" si="22"/>
        <v>Bengaluru</v>
      </c>
      <c r="V490">
        <f t="shared" si="23"/>
        <v>0</v>
      </c>
    </row>
    <row r="491" spans="1:22" ht="15" customHeight="1" x14ac:dyDescent="0.35">
      <c r="A491" s="3" t="s">
        <v>861</v>
      </c>
      <c r="B491" s="4">
        <v>45562</v>
      </c>
      <c r="C491" s="3" t="s">
        <v>841</v>
      </c>
      <c r="D491" s="3" t="s">
        <v>391</v>
      </c>
      <c r="E491" s="3" t="s">
        <v>97</v>
      </c>
      <c r="F491" s="5">
        <v>1</v>
      </c>
      <c r="G491" s="5">
        <v>3450</v>
      </c>
      <c r="H491" s="5">
        <v>7.4</v>
      </c>
      <c r="I491" s="5">
        <v>3194.7</v>
      </c>
      <c r="J491" s="3" t="s">
        <v>26</v>
      </c>
      <c r="K491" s="3" t="s">
        <v>51</v>
      </c>
      <c r="L491" t="str">
        <f>IFERROR(VLOOKUP(D491,Products!$A$2:$F$61,3,FALSE()),"")</f>
        <v>Apparel</v>
      </c>
      <c r="M491" t="str">
        <f>IFERROR(VLOOKUP(E491,Sales_Reps!$A$2:$C$31,3,FALSE()),"")</f>
        <v>East</v>
      </c>
      <c r="N491">
        <f>IFERROR(VLOOKUP(D491,Products!$A$2:$F$61,4,FALSE()),"")</f>
        <v>1748</v>
      </c>
      <c r="O491" t="str">
        <f>IFERROR(VLOOKUP(C491,Customers!$A$2:$F$301,5,FALSE()),"")</f>
        <v>Retail</v>
      </c>
      <c r="P491">
        <f>IFERROR(VLOOKUP(C491,Customers!$A$2:$F$301,3,FALSE()),"")</f>
        <v>37</v>
      </c>
      <c r="Q491">
        <f t="shared" si="21"/>
        <v>0.49333333333333335</v>
      </c>
      <c r="R491">
        <f>IF(AND(COUNTIF($A$2:$A$2047,A491)&gt;1,COUNTIF($A$2:A491,A491)=1),1,0)</f>
        <v>0</v>
      </c>
      <c r="S491" t="b">
        <f>IFERROR(VLOOKUP(D491,Products!$A$2:$F$61,6,FALSE()),"")</f>
        <v>1</v>
      </c>
      <c r="T491" t="str">
        <f>IF(COUNTIF(Customers!$A$2:$A$301,C491)=0,"Missing","OK")</f>
        <v>OK</v>
      </c>
      <c r="U491" t="str">
        <f t="shared" si="22"/>
        <v>Mumbai</v>
      </c>
      <c r="V491">
        <f t="shared" si="23"/>
        <v>0</v>
      </c>
    </row>
    <row r="492" spans="1:22" ht="15" customHeight="1" x14ac:dyDescent="0.35">
      <c r="A492" s="3" t="s">
        <v>862</v>
      </c>
      <c r="B492" s="4">
        <v>45308</v>
      </c>
      <c r="C492" s="3" t="s">
        <v>443</v>
      </c>
      <c r="D492" s="3" t="s">
        <v>598</v>
      </c>
      <c r="E492" s="3" t="s">
        <v>31</v>
      </c>
      <c r="F492" s="5">
        <v>3</v>
      </c>
      <c r="G492" s="5">
        <v>3560</v>
      </c>
      <c r="H492" s="5">
        <v>15.2</v>
      </c>
      <c r="I492" s="5">
        <v>9056.64</v>
      </c>
      <c r="J492" s="3" t="s">
        <v>26</v>
      </c>
      <c r="K492" s="3" t="s">
        <v>56</v>
      </c>
      <c r="L492" t="str">
        <f>IFERROR(VLOOKUP(D492,Products!$A$2:$F$61,3,FALSE()),"")</f>
        <v>Apparel</v>
      </c>
      <c r="M492" t="str">
        <f>IFERROR(VLOOKUP(E492,Sales_Reps!$A$2:$C$31,3,FALSE()),"")</f>
        <v>North</v>
      </c>
      <c r="N492">
        <f>IFERROR(VLOOKUP(D492,Products!$A$2:$F$61,4,FALSE()),"")</f>
        <v>2629</v>
      </c>
      <c r="O492" t="str">
        <f>IFERROR(VLOOKUP(C492,Customers!$A$2:$F$301,5,FALSE()),"")</f>
        <v>Corporate</v>
      </c>
      <c r="P492">
        <f>IFERROR(VLOOKUP(C492,Customers!$A$2:$F$301,3,FALSE()),"")</f>
        <v>36</v>
      </c>
      <c r="Q492">
        <f t="shared" si="21"/>
        <v>0.26151685393258428</v>
      </c>
      <c r="R492">
        <f>IF(AND(COUNTIF($A$2:$A$2047,A492)&gt;1,COUNTIF($A$2:A492,A492)=1),1,0)</f>
        <v>0</v>
      </c>
      <c r="S492" t="b">
        <f>IFERROR(VLOOKUP(D492,Products!$A$2:$F$61,6,FALSE()),"")</f>
        <v>1</v>
      </c>
      <c r="T492" t="str">
        <f>IF(COUNTIF(Customers!$A$2:$A$301,C492)=0,"Missing","OK")</f>
        <v>OK</v>
      </c>
      <c r="U492" t="str">
        <f t="shared" si="22"/>
        <v>Bengaluru</v>
      </c>
      <c r="V492">
        <f t="shared" si="23"/>
        <v>0</v>
      </c>
    </row>
    <row r="493" spans="1:22" ht="15" customHeight="1" x14ac:dyDescent="0.35">
      <c r="A493" s="3" t="s">
        <v>863</v>
      </c>
      <c r="B493" s="4">
        <v>45428</v>
      </c>
      <c r="C493" s="3" t="s">
        <v>426</v>
      </c>
      <c r="D493" s="3" t="s">
        <v>126</v>
      </c>
      <c r="E493" s="3" t="s">
        <v>109</v>
      </c>
      <c r="F493" s="5">
        <v>4</v>
      </c>
      <c r="G493" s="5">
        <v>3570</v>
      </c>
      <c r="H493" s="5">
        <v>18.899999999999999</v>
      </c>
      <c r="I493" s="5">
        <v>11581.08</v>
      </c>
      <c r="J493" s="3" t="s">
        <v>26</v>
      </c>
      <c r="K493" s="3" t="s">
        <v>27</v>
      </c>
      <c r="L493" t="str">
        <f>IFERROR(VLOOKUP(D493,Products!$A$2:$F$61,3,FALSE()),"")</f>
        <v>Electronics</v>
      </c>
      <c r="M493" t="str">
        <f>IFERROR(VLOOKUP(E493,Sales_Reps!$A$2:$C$31,3,FALSE()),"")</f>
        <v>West</v>
      </c>
      <c r="N493">
        <f>IFERROR(VLOOKUP(D493,Products!$A$2:$F$61,4,FALSE()),"")</f>
        <v>1665</v>
      </c>
      <c r="O493" t="str">
        <f>IFERROR(VLOOKUP(C493,Customers!$A$2:$F$301,5,FALSE()),"")</f>
        <v>Corporate</v>
      </c>
      <c r="P493">
        <f>IFERROR(VLOOKUP(C493,Customers!$A$2:$F$301,3,FALSE()),"")</f>
        <v>29</v>
      </c>
      <c r="Q493">
        <f t="shared" si="21"/>
        <v>0.53361344537815125</v>
      </c>
      <c r="R493">
        <f>IF(AND(COUNTIF($A$2:$A$2047,A493)&gt;1,COUNTIF($A$2:A493,A493)=1),1,0)</f>
        <v>0</v>
      </c>
      <c r="S493" t="b">
        <f>IFERROR(VLOOKUP(D493,Products!$A$2:$F$61,6,FALSE()),"")</f>
        <v>1</v>
      </c>
      <c r="T493" t="str">
        <f>IF(COUNTIF(Customers!$A$2:$A$301,C493)=0,"Missing","OK")</f>
        <v>OK</v>
      </c>
      <c r="U493" t="str">
        <f t="shared" si="22"/>
        <v>Pune</v>
      </c>
      <c r="V493">
        <f t="shared" si="23"/>
        <v>0</v>
      </c>
    </row>
    <row r="494" spans="1:22" ht="15" customHeight="1" x14ac:dyDescent="0.35">
      <c r="A494" s="3" t="s">
        <v>864</v>
      </c>
      <c r="B494" s="4">
        <v>45472</v>
      </c>
      <c r="C494" s="3" t="s">
        <v>446</v>
      </c>
      <c r="D494" s="3" t="s">
        <v>54</v>
      </c>
      <c r="E494" s="3" t="s">
        <v>50</v>
      </c>
      <c r="F494" s="5">
        <v>9</v>
      </c>
      <c r="G494" s="5">
        <v>960</v>
      </c>
      <c r="H494" s="5">
        <v>14</v>
      </c>
      <c r="I494" s="5">
        <v>7430.4</v>
      </c>
      <c r="J494" s="3" t="s">
        <v>83</v>
      </c>
      <c r="K494" s="3" t="s">
        <v>27</v>
      </c>
      <c r="L494" t="str">
        <f>IFERROR(VLOOKUP(D494,Products!$A$2:$F$61,3,FALSE()),"")</f>
        <v>Sports</v>
      </c>
      <c r="M494" t="str">
        <f>IFERROR(VLOOKUP(E494,Sales_Reps!$A$2:$C$31,3,FALSE()),"")</f>
        <v>West</v>
      </c>
      <c r="N494">
        <f>IFERROR(VLOOKUP(D494,Products!$A$2:$F$61,4,FALSE()),"")</f>
        <v>705</v>
      </c>
      <c r="O494" t="str">
        <f>IFERROR(VLOOKUP(C494,Customers!$A$2:$F$301,5,FALSE()),"")</f>
        <v>Retail</v>
      </c>
      <c r="P494">
        <f>IFERROR(VLOOKUP(C494,Customers!$A$2:$F$301,3,FALSE()),"")</f>
        <v>59</v>
      </c>
      <c r="Q494">
        <f t="shared" si="21"/>
        <v>0.265625</v>
      </c>
      <c r="R494">
        <f>IF(AND(COUNTIF($A$2:$A$2047,A494)&gt;1,COUNTIF($A$2:A494,A494)=1),1,0)</f>
        <v>0</v>
      </c>
      <c r="S494" t="b">
        <f>IFERROR(VLOOKUP(D494,Products!$A$2:$F$61,6,FALSE()),"")</f>
        <v>1</v>
      </c>
      <c r="T494" t="str">
        <f>IF(COUNTIF(Customers!$A$2:$A$301,C494)=0,"Missing","OK")</f>
        <v>OK</v>
      </c>
      <c r="U494" t="str">
        <f t="shared" si="22"/>
        <v>Pune</v>
      </c>
      <c r="V494">
        <f t="shared" si="23"/>
        <v>0</v>
      </c>
    </row>
    <row r="495" spans="1:22" ht="15" customHeight="1" x14ac:dyDescent="0.35">
      <c r="A495" s="3" t="s">
        <v>865</v>
      </c>
      <c r="B495" s="4">
        <v>45406</v>
      </c>
      <c r="C495" s="3" t="s">
        <v>642</v>
      </c>
      <c r="D495" s="3" t="s">
        <v>96</v>
      </c>
      <c r="E495" s="3" t="s">
        <v>285</v>
      </c>
      <c r="F495" s="5">
        <v>9</v>
      </c>
      <c r="G495" s="5">
        <v>3450</v>
      </c>
      <c r="H495" s="5">
        <v>6</v>
      </c>
      <c r="I495" s="5">
        <v>29187</v>
      </c>
      <c r="J495" s="3" t="s">
        <v>79</v>
      </c>
      <c r="K495" s="3" t="s">
        <v>27</v>
      </c>
      <c r="L495" t="str">
        <f>IFERROR(VLOOKUP(D495,Products!$A$2:$F$61,3,FALSE()),"")</f>
        <v>Beauty</v>
      </c>
      <c r="M495" t="str">
        <f>IFERROR(VLOOKUP(E495,Sales_Reps!$A$2:$C$31,3,FALSE()),"")</f>
        <v>South</v>
      </c>
      <c r="N495">
        <f>IFERROR(VLOOKUP(D495,Products!$A$2:$F$61,4,FALSE()),"")</f>
        <v>2420</v>
      </c>
      <c r="O495" t="str">
        <f>IFERROR(VLOOKUP(C495,Customers!$A$2:$F$301,5,FALSE()),"")</f>
        <v>Corporate</v>
      </c>
      <c r="P495">
        <f>IFERROR(VLOOKUP(C495,Customers!$A$2:$F$301,3,FALSE()),"")</f>
        <v>52</v>
      </c>
      <c r="Q495">
        <f t="shared" si="21"/>
        <v>0.29855072463768118</v>
      </c>
      <c r="R495">
        <f>IF(AND(COUNTIF($A$2:$A$2047,A495)&gt;1,COUNTIF($A$2:A495,A495)=1),1,0)</f>
        <v>0</v>
      </c>
      <c r="S495" t="b">
        <f>IFERROR(VLOOKUP(D495,Products!$A$2:$F$61,6,FALSE()),"")</f>
        <v>1</v>
      </c>
      <c r="T495" t="str">
        <f>IF(COUNTIF(Customers!$A$2:$A$301,C495)=0,"Missing","OK")</f>
        <v>OK</v>
      </c>
      <c r="U495" t="str">
        <f t="shared" si="22"/>
        <v>Pune</v>
      </c>
      <c r="V495">
        <f t="shared" si="23"/>
        <v>0</v>
      </c>
    </row>
    <row r="496" spans="1:22" ht="15" customHeight="1" x14ac:dyDescent="0.35">
      <c r="A496" s="3" t="s">
        <v>866</v>
      </c>
      <c r="B496" s="4">
        <v>45457</v>
      </c>
      <c r="C496" s="3" t="s">
        <v>342</v>
      </c>
      <c r="D496" s="3" t="s">
        <v>118</v>
      </c>
      <c r="E496" s="3" t="s">
        <v>264</v>
      </c>
      <c r="F496" s="5">
        <v>7</v>
      </c>
      <c r="G496" s="5">
        <v>3350</v>
      </c>
      <c r="H496" s="5">
        <v>14</v>
      </c>
      <c r="I496" s="5">
        <v>20167</v>
      </c>
      <c r="J496" s="3" t="s">
        <v>79</v>
      </c>
      <c r="K496" s="3" t="s">
        <v>56</v>
      </c>
      <c r="L496" t="str">
        <f>IFERROR(VLOOKUP(D496,Products!$A$2:$F$61,3,FALSE()),"")</f>
        <v>Beauty</v>
      </c>
      <c r="M496" t="str">
        <f>IFERROR(VLOOKUP(E496,Sales_Reps!$A$2:$C$31,3,FALSE()),"")</f>
        <v>South</v>
      </c>
      <c r="N496">
        <f>IFERROR(VLOOKUP(D496,Products!$A$2:$F$61,4,FALSE()),"")</f>
        <v>1728</v>
      </c>
      <c r="O496" t="str">
        <f>IFERROR(VLOOKUP(C496,Customers!$A$2:$F$301,5,FALSE()),"")</f>
        <v>Retail</v>
      </c>
      <c r="P496">
        <f>IFERROR(VLOOKUP(C496,Customers!$A$2:$F$301,3,FALSE()),"")</f>
        <v>59</v>
      </c>
      <c r="Q496">
        <f t="shared" si="21"/>
        <v>0.48417910447761192</v>
      </c>
      <c r="R496">
        <f>IF(AND(COUNTIF($A$2:$A$2047,A496)&gt;1,COUNTIF($A$2:A496,A496)=1),1,0)</f>
        <v>0</v>
      </c>
      <c r="S496" t="b">
        <f>IFERROR(VLOOKUP(D496,Products!$A$2:$F$61,6,FALSE()),"")</f>
        <v>1</v>
      </c>
      <c r="T496" t="str">
        <f>IF(COUNTIF(Customers!$A$2:$A$301,C496)=0,"Missing","OK")</f>
        <v>OK</v>
      </c>
      <c r="U496" t="str">
        <f t="shared" si="22"/>
        <v>Bengaluru</v>
      </c>
      <c r="V496">
        <f t="shared" si="23"/>
        <v>0</v>
      </c>
    </row>
    <row r="497" spans="1:22" ht="15" customHeight="1" x14ac:dyDescent="0.35">
      <c r="A497" s="3" t="s">
        <v>867</v>
      </c>
      <c r="B497" s="4">
        <v>45298</v>
      </c>
      <c r="C497" s="3" t="s">
        <v>230</v>
      </c>
      <c r="D497" s="3" t="s">
        <v>319</v>
      </c>
      <c r="E497" s="3" t="s">
        <v>78</v>
      </c>
      <c r="F497" s="5">
        <v>6</v>
      </c>
      <c r="G497" s="5">
        <v>960</v>
      </c>
      <c r="H497" s="5">
        <v>10.1</v>
      </c>
      <c r="I497" s="5">
        <v>5178.24</v>
      </c>
      <c r="J497" s="3" t="s">
        <v>26</v>
      </c>
      <c r="K497" s="3" t="s">
        <v>38</v>
      </c>
      <c r="L497" t="str">
        <f>IFERROR(VLOOKUP(D497,Products!$A$2:$F$61,3,FALSE()),"")</f>
        <v>Beauty</v>
      </c>
      <c r="M497" t="str">
        <f>IFERROR(VLOOKUP(E497,Sales_Reps!$A$2:$C$31,3,FALSE()),"")</f>
        <v>North</v>
      </c>
      <c r="N497">
        <f>IFERROR(VLOOKUP(D497,Products!$A$2:$F$61,4,FALSE()),"")</f>
        <v>675</v>
      </c>
      <c r="O497" t="str">
        <f>IFERROR(VLOOKUP(C497,Customers!$A$2:$F$301,5,FALSE()),"")</f>
        <v>Retail</v>
      </c>
      <c r="P497">
        <f>IFERROR(VLOOKUP(C497,Customers!$A$2:$F$301,3,FALSE()),"")</f>
        <v>35</v>
      </c>
      <c r="Q497">
        <f t="shared" si="21"/>
        <v>0.296875</v>
      </c>
      <c r="R497">
        <f>IF(AND(COUNTIF($A$2:$A$2047,A497)&gt;1,COUNTIF($A$2:A497,A497)=1),1,0)</f>
        <v>0</v>
      </c>
      <c r="S497" t="b">
        <f>IFERROR(VLOOKUP(D497,Products!$A$2:$F$61,6,FALSE()),"")</f>
        <v>1</v>
      </c>
      <c r="T497" t="str">
        <f>IF(COUNTIF(Customers!$A$2:$A$301,C497)=0,"Missing","OK")</f>
        <v>OK</v>
      </c>
      <c r="U497" t="str">
        <f t="shared" si="22"/>
        <v>Delhi</v>
      </c>
      <c r="V497">
        <f t="shared" si="23"/>
        <v>0</v>
      </c>
    </row>
    <row r="498" spans="1:22" ht="15" customHeight="1" x14ac:dyDescent="0.35">
      <c r="A498" s="3" t="s">
        <v>868</v>
      </c>
      <c r="B498" s="4">
        <v>45337</v>
      </c>
      <c r="C498" s="3" t="s">
        <v>76</v>
      </c>
      <c r="D498" s="3" t="s">
        <v>221</v>
      </c>
      <c r="E498" s="3" t="s">
        <v>285</v>
      </c>
      <c r="F498" s="5">
        <v>7</v>
      </c>
      <c r="G498" s="5">
        <v>300</v>
      </c>
      <c r="H498" s="5">
        <v>21.9</v>
      </c>
      <c r="I498" s="5">
        <v>1640.1</v>
      </c>
      <c r="J498" s="3" t="s">
        <v>26</v>
      </c>
      <c r="K498" s="3" t="s">
        <v>38</v>
      </c>
      <c r="L498" t="str">
        <f>IFERROR(VLOOKUP(D498,Products!$A$2:$F$61,3,FALSE()),"")</f>
        <v>Electronics</v>
      </c>
      <c r="M498" t="str">
        <f>IFERROR(VLOOKUP(E498,Sales_Reps!$A$2:$C$31,3,FALSE()),"")</f>
        <v>South</v>
      </c>
      <c r="N498">
        <f>IFERROR(VLOOKUP(D498,Products!$A$2:$F$61,4,FALSE()),"")</f>
        <v>128</v>
      </c>
      <c r="O498" t="str">
        <f>IFERROR(VLOOKUP(C498,Customers!$A$2:$F$301,5,FALSE()),"")</f>
        <v>SMB</v>
      </c>
      <c r="P498">
        <f>IFERROR(VLOOKUP(C498,Customers!$A$2:$F$301,3,FALSE()),"")</f>
        <v>27</v>
      </c>
      <c r="Q498">
        <f t="shared" si="21"/>
        <v>0.57333333333333336</v>
      </c>
      <c r="R498">
        <f>IF(AND(COUNTIF($A$2:$A$2047,A498)&gt;1,COUNTIF($A$2:A498,A498)=1),1,0)</f>
        <v>0</v>
      </c>
      <c r="S498" t="b">
        <f>IFERROR(VLOOKUP(D498,Products!$A$2:$F$61,6,FALSE()),"")</f>
        <v>1</v>
      </c>
      <c r="T498" t="str">
        <f>IF(COUNTIF(Customers!$A$2:$A$301,C498)=0,"Missing","OK")</f>
        <v>OK</v>
      </c>
      <c r="U498" t="str">
        <f t="shared" si="22"/>
        <v>Delhi</v>
      </c>
      <c r="V498">
        <f t="shared" si="23"/>
        <v>0</v>
      </c>
    </row>
    <row r="499" spans="1:22" ht="15" customHeight="1" x14ac:dyDescent="0.35">
      <c r="A499" s="3" t="s">
        <v>869</v>
      </c>
      <c r="B499" s="4">
        <v>45389</v>
      </c>
      <c r="C499" s="3" t="s">
        <v>478</v>
      </c>
      <c r="D499" s="3" t="s">
        <v>306</v>
      </c>
      <c r="E499" s="3" t="s">
        <v>60</v>
      </c>
      <c r="F499" s="5">
        <v>2</v>
      </c>
      <c r="G499" s="5">
        <v>2380</v>
      </c>
      <c r="H499" s="5">
        <v>6.8</v>
      </c>
      <c r="I499" s="5">
        <v>4436.32</v>
      </c>
      <c r="J499" s="3" t="s">
        <v>26</v>
      </c>
      <c r="K499" s="3" t="s">
        <v>72</v>
      </c>
      <c r="L499" t="str">
        <f>IFERROR(VLOOKUP(D499,Products!$A$2:$F$61,3,FALSE()),"")</f>
        <v>Grocery</v>
      </c>
      <c r="M499" t="str">
        <f>IFERROR(VLOOKUP(E499,Sales_Reps!$A$2:$C$31,3,FALSE()),"")</f>
        <v>East</v>
      </c>
      <c r="N499">
        <f>IFERROR(VLOOKUP(D499,Products!$A$2:$F$61,4,FALSE()),"")</f>
        <v>1182</v>
      </c>
      <c r="O499" t="str">
        <f>IFERROR(VLOOKUP(C499,Customers!$A$2:$F$301,5,FALSE()),"")</f>
        <v>Retail</v>
      </c>
      <c r="P499">
        <f>IFERROR(VLOOKUP(C499,Customers!$A$2:$F$301,3,FALSE()),"")</f>
        <v>38</v>
      </c>
      <c r="Q499">
        <f t="shared" si="21"/>
        <v>0.50336134453781511</v>
      </c>
      <c r="R499">
        <f>IF(AND(COUNTIF($A$2:$A$2047,A499)&gt;1,COUNTIF($A$2:A499,A499)=1),1,0)</f>
        <v>0</v>
      </c>
      <c r="S499" t="b">
        <f>IFERROR(VLOOKUP(D499,Products!$A$2:$F$61,6,FALSE()),"")</f>
        <v>1</v>
      </c>
      <c r="T499" t="str">
        <f>IF(COUNTIF(Customers!$A$2:$A$301,C499)=0,"Missing","OK")</f>
        <v>OK</v>
      </c>
      <c r="U499" t="str">
        <f t="shared" si="22"/>
        <v>Hyderabad</v>
      </c>
      <c r="V499">
        <f t="shared" si="23"/>
        <v>0</v>
      </c>
    </row>
    <row r="500" spans="1:22" ht="15" customHeight="1" x14ac:dyDescent="0.35">
      <c r="A500" s="3" t="s">
        <v>870</v>
      </c>
      <c r="B500" s="4">
        <v>45298</v>
      </c>
      <c r="C500" s="3" t="s">
        <v>698</v>
      </c>
      <c r="D500" s="3" t="s">
        <v>54</v>
      </c>
      <c r="E500" s="3" t="s">
        <v>55</v>
      </c>
      <c r="F500" s="5">
        <v>5</v>
      </c>
      <c r="G500" s="5">
        <v>960</v>
      </c>
      <c r="H500" s="5">
        <v>15</v>
      </c>
      <c r="I500" s="5">
        <v>4080</v>
      </c>
      <c r="J500" s="3" t="s">
        <v>79</v>
      </c>
      <c r="K500" s="3" t="s">
        <v>56</v>
      </c>
      <c r="L500" t="str">
        <f>IFERROR(VLOOKUP(D500,Products!$A$2:$F$61,3,FALSE()),"")</f>
        <v>Sports</v>
      </c>
      <c r="M500" t="str">
        <f>IFERROR(VLOOKUP(E500,Sales_Reps!$A$2:$C$31,3,FALSE()),"")</f>
        <v>West</v>
      </c>
      <c r="N500">
        <f>IFERROR(VLOOKUP(D500,Products!$A$2:$F$61,4,FALSE()),"")</f>
        <v>705</v>
      </c>
      <c r="O500" t="str">
        <f>IFERROR(VLOOKUP(C500,Customers!$A$2:$F$301,5,FALSE()),"")</f>
        <v>Retail</v>
      </c>
      <c r="P500">
        <f>IFERROR(VLOOKUP(C500,Customers!$A$2:$F$301,3,FALSE()),"")</f>
        <v>29</v>
      </c>
      <c r="Q500">
        <f t="shared" si="21"/>
        <v>0.265625</v>
      </c>
      <c r="R500">
        <f>IF(AND(COUNTIF($A$2:$A$2047,A500)&gt;1,COUNTIF($A$2:A500,A500)=1),1,0)</f>
        <v>0</v>
      </c>
      <c r="S500" t="b">
        <f>IFERROR(VLOOKUP(D500,Products!$A$2:$F$61,6,FALSE()),"")</f>
        <v>1</v>
      </c>
      <c r="T500" t="str">
        <f>IF(COUNTIF(Customers!$A$2:$A$301,C500)=0,"Missing","OK")</f>
        <v>OK</v>
      </c>
      <c r="U500" t="str">
        <f t="shared" si="22"/>
        <v>Bengaluru</v>
      </c>
      <c r="V500">
        <f t="shared" si="23"/>
        <v>0</v>
      </c>
    </row>
    <row r="501" spans="1:22" ht="15" customHeight="1" x14ac:dyDescent="0.35">
      <c r="A501" s="3" t="s">
        <v>871</v>
      </c>
      <c r="B501" s="4">
        <v>45577</v>
      </c>
      <c r="C501" s="3" t="s">
        <v>211</v>
      </c>
      <c r="D501" s="3" t="s">
        <v>400</v>
      </c>
      <c r="E501" s="3" t="s">
        <v>264</v>
      </c>
      <c r="F501" s="5">
        <v>10</v>
      </c>
      <c r="G501" s="5">
        <v>3780</v>
      </c>
      <c r="H501" s="5">
        <v>24.1</v>
      </c>
      <c r="I501" s="5">
        <v>28690.2</v>
      </c>
      <c r="J501" s="3" t="s">
        <v>83</v>
      </c>
      <c r="K501" s="3" t="s">
        <v>33</v>
      </c>
      <c r="L501" t="str">
        <f>IFERROR(VLOOKUP(D501,Products!$A$2:$F$61,3,FALSE()),"")</f>
        <v>Sports</v>
      </c>
      <c r="M501" t="str">
        <f>IFERROR(VLOOKUP(E501,Sales_Reps!$A$2:$C$31,3,FALSE()),"")</f>
        <v>South</v>
      </c>
      <c r="N501">
        <f>IFERROR(VLOOKUP(D501,Products!$A$2:$F$61,4,FALSE()),"")</f>
        <v>1860</v>
      </c>
      <c r="O501" t="str">
        <f>IFERROR(VLOOKUP(C501,Customers!$A$2:$F$301,5,FALSE()),"")</f>
        <v>SMB</v>
      </c>
      <c r="P501">
        <f>IFERROR(VLOOKUP(C501,Customers!$A$2:$F$301,3,FALSE()),"")</f>
        <v>55</v>
      </c>
      <c r="Q501">
        <f t="shared" si="21"/>
        <v>0.50793650793650791</v>
      </c>
      <c r="R501">
        <f>IF(AND(COUNTIF($A$2:$A$2047,A501)&gt;1,COUNTIF($A$2:A501,A501)=1),1,0)</f>
        <v>0</v>
      </c>
      <c r="S501" t="b">
        <f>IFERROR(VLOOKUP(D501,Products!$A$2:$F$61,6,FALSE()),"")</f>
        <v>1</v>
      </c>
      <c r="T501" t="str">
        <f>IF(COUNTIF(Customers!$A$2:$A$301,C501)=0,"Missing","OK")</f>
        <v>OK</v>
      </c>
      <c r="U501" t="str">
        <f t="shared" si="22"/>
        <v>Chennai</v>
      </c>
      <c r="V501">
        <f t="shared" si="23"/>
        <v>0</v>
      </c>
    </row>
    <row r="502" spans="1:22" ht="15" customHeight="1" x14ac:dyDescent="0.35">
      <c r="A502" s="3" t="s">
        <v>872</v>
      </c>
      <c r="B502" s="4">
        <v>45355</v>
      </c>
      <c r="C502" s="3" t="s">
        <v>156</v>
      </c>
      <c r="D502" s="3" t="s">
        <v>198</v>
      </c>
      <c r="E502" s="3" t="s">
        <v>131</v>
      </c>
      <c r="F502" s="5">
        <v>4</v>
      </c>
      <c r="G502" s="5">
        <v>1540</v>
      </c>
      <c r="H502" s="5">
        <v>14.2</v>
      </c>
      <c r="I502" s="5">
        <v>5285.28</v>
      </c>
      <c r="J502" s="3" t="s">
        <v>79</v>
      </c>
      <c r="K502" s="3" t="s">
        <v>33</v>
      </c>
      <c r="L502" t="str">
        <f>IFERROR(VLOOKUP(D502,Products!$A$2:$F$61,3,FALSE()),"")</f>
        <v>Beauty</v>
      </c>
      <c r="M502" t="str">
        <f>IFERROR(VLOOKUP(E502,Sales_Reps!$A$2:$C$31,3,FALSE()),"")</f>
        <v>East</v>
      </c>
      <c r="N502">
        <f>IFERROR(VLOOKUP(D502,Products!$A$2:$F$61,4,FALSE()),"")</f>
        <v>647</v>
      </c>
      <c r="O502" t="str">
        <f>IFERROR(VLOOKUP(C502,Customers!$A$2:$F$301,5,FALSE()),"")</f>
        <v>Retail</v>
      </c>
      <c r="P502">
        <f>IFERROR(VLOOKUP(C502,Customers!$A$2:$F$301,3,FALSE()),"")</f>
        <v>51</v>
      </c>
      <c r="Q502">
        <f t="shared" si="21"/>
        <v>0.57987012987012987</v>
      </c>
      <c r="R502">
        <f>IF(AND(COUNTIF($A$2:$A$2047,A502)&gt;1,COUNTIF($A$2:A502,A502)=1),1,0)</f>
        <v>0</v>
      </c>
      <c r="S502" t="b">
        <f>IFERROR(VLOOKUP(D502,Products!$A$2:$F$61,6,FALSE()),"")</f>
        <v>0</v>
      </c>
      <c r="T502" t="str">
        <f>IF(COUNTIF(Customers!$A$2:$A$301,C502)=0,"Missing","OK")</f>
        <v>OK</v>
      </c>
      <c r="U502" t="str">
        <f t="shared" si="22"/>
        <v>Chennai</v>
      </c>
      <c r="V502">
        <f t="shared" si="23"/>
        <v>0</v>
      </c>
    </row>
    <row r="503" spans="1:22" ht="15" customHeight="1" x14ac:dyDescent="0.35">
      <c r="A503" s="3" t="s">
        <v>873</v>
      </c>
      <c r="B503" s="4">
        <v>45463</v>
      </c>
      <c r="C503" s="3" t="s">
        <v>774</v>
      </c>
      <c r="D503" s="3" t="s">
        <v>294</v>
      </c>
      <c r="E503" s="3" t="s">
        <v>31</v>
      </c>
      <c r="F503" s="5">
        <v>10</v>
      </c>
      <c r="G503" s="5">
        <v>2510</v>
      </c>
      <c r="H503" s="5">
        <v>20.8</v>
      </c>
      <c r="I503" s="5">
        <v>19879.2</v>
      </c>
      <c r="J503" s="3" t="s">
        <v>26</v>
      </c>
      <c r="K503" s="3" t="s">
        <v>56</v>
      </c>
      <c r="L503" t="str">
        <f>IFERROR(VLOOKUP(D503,Products!$A$2:$F$61,3,FALSE()),"")</f>
        <v>Apparel</v>
      </c>
      <c r="M503" t="str">
        <f>IFERROR(VLOOKUP(E503,Sales_Reps!$A$2:$C$31,3,FALSE()),"")</f>
        <v>North</v>
      </c>
      <c r="N503">
        <f>IFERROR(VLOOKUP(D503,Products!$A$2:$F$61,4,FALSE()),"")</f>
        <v>1075</v>
      </c>
      <c r="O503" t="str">
        <f>IFERROR(VLOOKUP(C503,Customers!$A$2:$F$301,5,FALSE()),"")</f>
        <v>Retail</v>
      </c>
      <c r="P503">
        <f>IFERROR(VLOOKUP(C503,Customers!$A$2:$F$301,3,FALSE()),"")</f>
        <v>52</v>
      </c>
      <c r="Q503">
        <f t="shared" si="21"/>
        <v>0.57171314741035861</v>
      </c>
      <c r="R503">
        <f>IF(AND(COUNTIF($A$2:$A$2047,A503)&gt;1,COUNTIF($A$2:A503,A503)=1),1,0)</f>
        <v>0</v>
      </c>
      <c r="S503" t="b">
        <f>IFERROR(VLOOKUP(D503,Products!$A$2:$F$61,6,FALSE()),"")</f>
        <v>0</v>
      </c>
      <c r="T503" t="str">
        <f>IF(COUNTIF(Customers!$A$2:$A$301,C503)=0,"Missing","OK")</f>
        <v>OK</v>
      </c>
      <c r="U503" t="str">
        <f t="shared" si="22"/>
        <v>Bengaluru</v>
      </c>
      <c r="V503">
        <f t="shared" si="23"/>
        <v>0</v>
      </c>
    </row>
    <row r="504" spans="1:22" ht="15" customHeight="1" x14ac:dyDescent="0.35">
      <c r="A504" s="3" t="s">
        <v>874</v>
      </c>
      <c r="B504" s="4">
        <v>45374</v>
      </c>
      <c r="C504" s="3" t="s">
        <v>327</v>
      </c>
      <c r="D504" s="3" t="s">
        <v>290</v>
      </c>
      <c r="E504" s="3" t="s">
        <v>37</v>
      </c>
      <c r="F504" s="5">
        <v>9</v>
      </c>
      <c r="G504" s="5">
        <v>4060</v>
      </c>
      <c r="H504" s="5">
        <v>27.1</v>
      </c>
      <c r="I504" s="5">
        <v>26637.66</v>
      </c>
      <c r="J504" s="3" t="s">
        <v>26</v>
      </c>
      <c r="K504" s="3" t="s">
        <v>72</v>
      </c>
      <c r="L504" t="str">
        <f>IFERROR(VLOOKUP(D504,Products!$A$2:$F$61,3,FALSE()),"")</f>
        <v>Grocery</v>
      </c>
      <c r="M504" t="str">
        <f>IFERROR(VLOOKUP(E504,Sales_Reps!$A$2:$C$31,3,FALSE()),"")</f>
        <v>South</v>
      </c>
      <c r="N504">
        <f>IFERROR(VLOOKUP(D504,Products!$A$2:$F$61,4,FALSE()),"")</f>
        <v>2911</v>
      </c>
      <c r="O504" t="str">
        <f>IFERROR(VLOOKUP(C504,Customers!$A$2:$F$301,5,FALSE()),"")</f>
        <v>Retail</v>
      </c>
      <c r="P504">
        <f>IFERROR(VLOOKUP(C504,Customers!$A$2:$F$301,3,FALSE()),"")</f>
        <v>44</v>
      </c>
      <c r="Q504">
        <f t="shared" si="21"/>
        <v>0.28300492610837441</v>
      </c>
      <c r="R504">
        <f>IF(AND(COUNTIF($A$2:$A$2047,A504)&gt;1,COUNTIF($A$2:A504,A504)=1),1,0)</f>
        <v>0</v>
      </c>
      <c r="S504" t="b">
        <f>IFERROR(VLOOKUP(D504,Products!$A$2:$F$61,6,FALSE()),"")</f>
        <v>1</v>
      </c>
      <c r="T504" t="str">
        <f>IF(COUNTIF(Customers!$A$2:$A$301,C504)=0,"Missing","OK")</f>
        <v>OK</v>
      </c>
      <c r="U504" t="str">
        <f t="shared" si="22"/>
        <v>Hyderabad</v>
      </c>
      <c r="V504">
        <f t="shared" si="23"/>
        <v>0</v>
      </c>
    </row>
    <row r="505" spans="1:22" ht="15" customHeight="1" x14ac:dyDescent="0.35">
      <c r="A505" s="3" t="s">
        <v>875</v>
      </c>
      <c r="B505" s="4">
        <v>45638</v>
      </c>
      <c r="C505" s="3" t="s">
        <v>298</v>
      </c>
      <c r="D505" s="3" t="s">
        <v>90</v>
      </c>
      <c r="E505" s="3" t="s">
        <v>50</v>
      </c>
      <c r="F505" s="5">
        <v>4</v>
      </c>
      <c r="G505" s="5">
        <v>2400</v>
      </c>
      <c r="H505" s="5">
        <v>19.100000000000001</v>
      </c>
      <c r="I505" s="5">
        <v>7766.4</v>
      </c>
      <c r="J505" s="3" t="s">
        <v>26</v>
      </c>
      <c r="K505" s="3" t="s">
        <v>38</v>
      </c>
      <c r="L505" t="str">
        <f>IFERROR(VLOOKUP(D505,Products!$A$2:$F$61,3,FALSE()),"")</f>
        <v>Sports</v>
      </c>
      <c r="M505" t="str">
        <f>IFERROR(VLOOKUP(E505,Sales_Reps!$A$2:$C$31,3,FALSE()),"")</f>
        <v>West</v>
      </c>
      <c r="N505">
        <f>IFERROR(VLOOKUP(D505,Products!$A$2:$F$61,4,FALSE()),"")</f>
        <v>974</v>
      </c>
      <c r="O505" t="str">
        <f>IFERROR(VLOOKUP(C505,Customers!$A$2:$F$301,5,FALSE()),"")</f>
        <v>SMB</v>
      </c>
      <c r="P505">
        <f>IFERROR(VLOOKUP(C505,Customers!$A$2:$F$301,3,FALSE()),"")</f>
        <v>28</v>
      </c>
      <c r="Q505">
        <f t="shared" si="21"/>
        <v>0.59416666666666662</v>
      </c>
      <c r="R505">
        <f>IF(AND(COUNTIF($A$2:$A$2047,A505)&gt;1,COUNTIF($A$2:A505,A505)=1),1,0)</f>
        <v>0</v>
      </c>
      <c r="S505" t="b">
        <f>IFERROR(VLOOKUP(D505,Products!$A$2:$F$61,6,FALSE()),"")</f>
        <v>1</v>
      </c>
      <c r="T505" t="str">
        <f>IF(COUNTIF(Customers!$A$2:$A$301,C505)=0,"Missing","OK")</f>
        <v>OK</v>
      </c>
      <c r="U505" t="str">
        <f t="shared" si="22"/>
        <v>Delhi</v>
      </c>
      <c r="V505">
        <f t="shared" si="23"/>
        <v>0</v>
      </c>
    </row>
    <row r="506" spans="1:22" ht="15" customHeight="1" x14ac:dyDescent="0.35">
      <c r="A506" s="3" t="s">
        <v>876</v>
      </c>
      <c r="B506" s="4">
        <v>45525</v>
      </c>
      <c r="C506" s="3" t="s">
        <v>40</v>
      </c>
      <c r="D506" s="3" t="s">
        <v>123</v>
      </c>
      <c r="E506" s="3" t="s">
        <v>224</v>
      </c>
      <c r="F506" s="5">
        <v>8</v>
      </c>
      <c r="G506" s="5">
        <v>4880</v>
      </c>
      <c r="H506" s="5">
        <v>9.1999999999999993</v>
      </c>
      <c r="I506" s="5">
        <v>35448.32</v>
      </c>
      <c r="J506" s="3" t="s">
        <v>79</v>
      </c>
      <c r="K506" s="3" t="s">
        <v>38</v>
      </c>
      <c r="L506" t="str">
        <f>IFERROR(VLOOKUP(D506,Products!$A$2:$F$61,3,FALSE()),"")</f>
        <v>Beauty</v>
      </c>
      <c r="M506" t="str">
        <f>IFERROR(VLOOKUP(E506,Sales_Reps!$A$2:$C$31,3,FALSE()),"")</f>
        <v>East</v>
      </c>
      <c r="N506">
        <f>IFERROR(VLOOKUP(D506,Products!$A$2:$F$61,4,FALSE()),"")</f>
        <v>2768</v>
      </c>
      <c r="O506" t="str">
        <f>IFERROR(VLOOKUP(C506,Customers!$A$2:$F$301,5,FALSE()),"")</f>
        <v>Corporate</v>
      </c>
      <c r="P506">
        <f>IFERROR(VLOOKUP(C506,Customers!$A$2:$F$301,3,FALSE()),"")</f>
        <v>46</v>
      </c>
      <c r="Q506">
        <f t="shared" si="21"/>
        <v>0.43278688524590164</v>
      </c>
      <c r="R506">
        <f>IF(AND(COUNTIF($A$2:$A$2047,A506)&gt;1,COUNTIF($A$2:A506,A506)=1),1,0)</f>
        <v>0</v>
      </c>
      <c r="S506" t="b">
        <f>IFERROR(VLOOKUP(D506,Products!$A$2:$F$61,6,FALSE()),"")</f>
        <v>1</v>
      </c>
      <c r="T506" t="str">
        <f>IF(COUNTIF(Customers!$A$2:$A$301,C506)=0,"Missing","OK")</f>
        <v>OK</v>
      </c>
      <c r="U506" t="str">
        <f t="shared" si="22"/>
        <v>Delhi</v>
      </c>
      <c r="V506">
        <f t="shared" si="23"/>
        <v>0</v>
      </c>
    </row>
    <row r="507" spans="1:22" ht="15" customHeight="1" x14ac:dyDescent="0.35">
      <c r="A507" s="3" t="s">
        <v>877</v>
      </c>
      <c r="B507" s="4">
        <v>45586</v>
      </c>
      <c r="C507" s="3" t="s">
        <v>552</v>
      </c>
      <c r="D507" s="3" t="s">
        <v>130</v>
      </c>
      <c r="E507" s="3" t="s">
        <v>60</v>
      </c>
      <c r="F507" s="5">
        <v>9</v>
      </c>
      <c r="G507" s="5">
        <v>5100</v>
      </c>
      <c r="H507" s="5">
        <v>11.1</v>
      </c>
      <c r="I507" s="5">
        <v>40805.1</v>
      </c>
      <c r="J507" s="3" t="s">
        <v>79</v>
      </c>
      <c r="K507" s="3" t="s">
        <v>51</v>
      </c>
      <c r="L507" t="str">
        <f>IFERROR(VLOOKUP(D507,Products!$A$2:$F$61,3,FALSE()),"")</f>
        <v>Beauty</v>
      </c>
      <c r="M507" t="str">
        <f>IFERROR(VLOOKUP(E507,Sales_Reps!$A$2:$C$31,3,FALSE()),"")</f>
        <v>East</v>
      </c>
      <c r="N507">
        <f>IFERROR(VLOOKUP(D507,Products!$A$2:$F$61,4,FALSE()),"")</f>
        <v>2237</v>
      </c>
      <c r="O507" t="str">
        <f>IFERROR(VLOOKUP(C507,Customers!$A$2:$F$301,5,FALSE()),"")</f>
        <v>Retail</v>
      </c>
      <c r="P507">
        <f>IFERROR(VLOOKUP(C507,Customers!$A$2:$F$301,3,FALSE()),"")</f>
        <v>44</v>
      </c>
      <c r="Q507">
        <f t="shared" si="21"/>
        <v>0.56137254901960787</v>
      </c>
      <c r="R507">
        <f>IF(AND(COUNTIF($A$2:$A$2047,A507)&gt;1,COUNTIF($A$2:A507,A507)=1),1,0)</f>
        <v>0</v>
      </c>
      <c r="S507" t="b">
        <f>IFERROR(VLOOKUP(D507,Products!$A$2:$F$61,6,FALSE()),"")</f>
        <v>1</v>
      </c>
      <c r="T507" t="str">
        <f>IF(COUNTIF(Customers!$A$2:$A$301,C507)=0,"Missing","OK")</f>
        <v>OK</v>
      </c>
      <c r="U507" t="str">
        <f t="shared" si="22"/>
        <v>Mumbai</v>
      </c>
      <c r="V507">
        <f t="shared" si="23"/>
        <v>0</v>
      </c>
    </row>
    <row r="508" spans="1:22" ht="15" customHeight="1" x14ac:dyDescent="0.35">
      <c r="A508" s="3" t="s">
        <v>878</v>
      </c>
      <c r="B508" s="4">
        <v>45637</v>
      </c>
      <c r="C508" s="3" t="s">
        <v>296</v>
      </c>
      <c r="D508" s="3" t="s">
        <v>221</v>
      </c>
      <c r="E508" s="3" t="s">
        <v>67</v>
      </c>
      <c r="F508" s="5">
        <v>4</v>
      </c>
      <c r="G508" s="5">
        <v>300</v>
      </c>
      <c r="H508" s="5">
        <v>16.7</v>
      </c>
      <c r="I508" s="5">
        <v>999.6</v>
      </c>
      <c r="J508" s="3" t="s">
        <v>26</v>
      </c>
      <c r="K508" s="3" t="s">
        <v>38</v>
      </c>
      <c r="L508" t="str">
        <f>IFERROR(VLOOKUP(D508,Products!$A$2:$F$61,3,FALSE()),"")</f>
        <v>Electronics</v>
      </c>
      <c r="M508" t="str">
        <f>IFERROR(VLOOKUP(E508,Sales_Reps!$A$2:$C$31,3,FALSE()),"")</f>
        <v>West</v>
      </c>
      <c r="N508">
        <f>IFERROR(VLOOKUP(D508,Products!$A$2:$F$61,4,FALSE()),"")</f>
        <v>128</v>
      </c>
      <c r="O508" t="str">
        <f>IFERROR(VLOOKUP(C508,Customers!$A$2:$F$301,5,FALSE()),"")</f>
        <v>SMB</v>
      </c>
      <c r="P508">
        <f>IFERROR(VLOOKUP(C508,Customers!$A$2:$F$301,3,FALSE()),"")</f>
        <v>38</v>
      </c>
      <c r="Q508">
        <f t="shared" si="21"/>
        <v>0.57333333333333336</v>
      </c>
      <c r="R508">
        <f>IF(AND(COUNTIF($A$2:$A$2047,A508)&gt;1,COUNTIF($A$2:A508,A508)=1),1,0)</f>
        <v>0</v>
      </c>
      <c r="S508" t="b">
        <f>IFERROR(VLOOKUP(D508,Products!$A$2:$F$61,6,FALSE()),"")</f>
        <v>1</v>
      </c>
      <c r="T508" t="str">
        <f>IF(COUNTIF(Customers!$A$2:$A$301,C508)=0,"Missing","OK")</f>
        <v>OK</v>
      </c>
      <c r="U508" t="str">
        <f t="shared" si="22"/>
        <v>Delhi</v>
      </c>
      <c r="V508">
        <f t="shared" si="23"/>
        <v>0</v>
      </c>
    </row>
    <row r="509" spans="1:22" ht="15" customHeight="1" x14ac:dyDescent="0.35">
      <c r="A509" s="3" t="s">
        <v>879</v>
      </c>
      <c r="B509" s="4">
        <v>45443</v>
      </c>
      <c r="C509" s="3" t="s">
        <v>524</v>
      </c>
      <c r="D509" s="3" t="s">
        <v>106</v>
      </c>
      <c r="E509" s="3" t="s">
        <v>37</v>
      </c>
      <c r="F509" s="5">
        <v>6</v>
      </c>
      <c r="G509" s="5">
        <v>2480</v>
      </c>
      <c r="H509" s="5">
        <v>3.3</v>
      </c>
      <c r="I509" s="5">
        <v>14388.96</v>
      </c>
      <c r="J509" s="3" t="s">
        <v>26</v>
      </c>
      <c r="K509" s="3" t="s">
        <v>33</v>
      </c>
      <c r="L509" t="str">
        <f>IFERROR(VLOOKUP(D509,Products!$A$2:$F$61,3,FALSE()),"")</f>
        <v>Apparel</v>
      </c>
      <c r="M509" t="str">
        <f>IFERROR(VLOOKUP(E509,Sales_Reps!$A$2:$C$31,3,FALSE()),"")</f>
        <v>South</v>
      </c>
      <c r="N509">
        <f>IFERROR(VLOOKUP(D509,Products!$A$2:$F$61,4,FALSE()),"")</f>
        <v>1173</v>
      </c>
      <c r="O509" t="str">
        <f>IFERROR(VLOOKUP(C509,Customers!$A$2:$F$301,5,FALSE()),"")</f>
        <v>Retail</v>
      </c>
      <c r="P509">
        <f>IFERROR(VLOOKUP(C509,Customers!$A$2:$F$301,3,FALSE()),"")</f>
        <v>26</v>
      </c>
      <c r="Q509">
        <f t="shared" si="21"/>
        <v>0.52701612903225803</v>
      </c>
      <c r="R509">
        <f>IF(AND(COUNTIF($A$2:$A$2047,A509)&gt;1,COUNTIF($A$2:A509,A509)=1),1,0)</f>
        <v>0</v>
      </c>
      <c r="S509" t="b">
        <f>IFERROR(VLOOKUP(D509,Products!$A$2:$F$61,6,FALSE()),"")</f>
        <v>1</v>
      </c>
      <c r="T509" t="str">
        <f>IF(COUNTIF(Customers!$A$2:$A$301,C509)=0,"Missing","OK")</f>
        <v>OK</v>
      </c>
      <c r="U509" t="str">
        <f t="shared" si="22"/>
        <v>Chennai</v>
      </c>
      <c r="V509">
        <f t="shared" si="23"/>
        <v>0</v>
      </c>
    </row>
    <row r="510" spans="1:22" ht="15" customHeight="1" x14ac:dyDescent="0.35">
      <c r="A510" s="3" t="s">
        <v>880</v>
      </c>
      <c r="B510" s="4">
        <v>45569</v>
      </c>
      <c r="C510" s="3" t="s">
        <v>44</v>
      </c>
      <c r="D510" s="3" t="s">
        <v>115</v>
      </c>
      <c r="E510" s="3" t="s">
        <v>93</v>
      </c>
      <c r="F510" s="5">
        <v>10</v>
      </c>
      <c r="G510" s="5">
        <v>1650</v>
      </c>
      <c r="H510" s="5">
        <v>22.9</v>
      </c>
      <c r="I510" s="5">
        <v>12721.5</v>
      </c>
      <c r="J510" s="3" t="s">
        <v>83</v>
      </c>
      <c r="K510" s="3" t="s">
        <v>33</v>
      </c>
      <c r="L510" t="str">
        <f>IFERROR(VLOOKUP(D510,Products!$A$2:$F$61,3,FALSE()),"")</f>
        <v>Beauty</v>
      </c>
      <c r="M510" t="str">
        <f>IFERROR(VLOOKUP(E510,Sales_Reps!$A$2:$C$31,3,FALSE()),"")</f>
        <v>East</v>
      </c>
      <c r="N510">
        <f>IFERROR(VLOOKUP(D510,Products!$A$2:$F$61,4,FALSE()),"")</f>
        <v>1222</v>
      </c>
      <c r="O510" t="str">
        <f>IFERROR(VLOOKUP(C510,Customers!$A$2:$F$301,5,FALSE()),"")</f>
        <v>Retail</v>
      </c>
      <c r="P510">
        <f>IFERROR(VLOOKUP(C510,Customers!$A$2:$F$301,3,FALSE()),"")</f>
        <v>36</v>
      </c>
      <c r="Q510">
        <f t="shared" si="21"/>
        <v>0.2593939393939394</v>
      </c>
      <c r="R510">
        <f>IF(AND(COUNTIF($A$2:$A$2047,A510)&gt;1,COUNTIF($A$2:A510,A510)=1),1,0)</f>
        <v>0</v>
      </c>
      <c r="S510" t="b">
        <f>IFERROR(VLOOKUP(D510,Products!$A$2:$F$61,6,FALSE()),"")</f>
        <v>1</v>
      </c>
      <c r="T510" t="str">
        <f>IF(COUNTIF(Customers!$A$2:$A$301,C510)=0,"Missing","OK")</f>
        <v>OK</v>
      </c>
      <c r="U510" t="str">
        <f t="shared" si="22"/>
        <v>Chennai</v>
      </c>
      <c r="V510">
        <f t="shared" si="23"/>
        <v>0</v>
      </c>
    </row>
    <row r="511" spans="1:22" ht="15" customHeight="1" x14ac:dyDescent="0.35">
      <c r="A511" s="3" t="s">
        <v>881</v>
      </c>
      <c r="B511" s="4">
        <v>45319</v>
      </c>
      <c r="C511" s="3" t="s">
        <v>882</v>
      </c>
      <c r="D511" s="3" t="s">
        <v>277</v>
      </c>
      <c r="E511" s="3" t="s">
        <v>264</v>
      </c>
      <c r="F511" s="5">
        <v>3</v>
      </c>
      <c r="G511" s="5">
        <v>2210</v>
      </c>
      <c r="H511" s="5">
        <v>11.1</v>
      </c>
      <c r="I511" s="5">
        <v>5894.07</v>
      </c>
      <c r="J511" s="3" t="s">
        <v>26</v>
      </c>
      <c r="K511" s="3" t="s">
        <v>72</v>
      </c>
      <c r="L511" t="str">
        <f>IFERROR(VLOOKUP(D511,Products!$A$2:$F$61,3,FALSE()),"")</f>
        <v>Grocery</v>
      </c>
      <c r="M511" t="str">
        <f>IFERROR(VLOOKUP(E511,Sales_Reps!$A$2:$C$31,3,FALSE()),"")</f>
        <v>South</v>
      </c>
      <c r="N511">
        <f>IFERROR(VLOOKUP(D511,Products!$A$2:$F$61,4,FALSE()),"")</f>
        <v>1010</v>
      </c>
      <c r="O511" t="str">
        <f>IFERROR(VLOOKUP(C511,Customers!$A$2:$F$301,5,FALSE()),"")</f>
        <v>Corporate</v>
      </c>
      <c r="P511">
        <f>IFERROR(VLOOKUP(C511,Customers!$A$2:$F$301,3,FALSE()),"")</f>
        <v>54</v>
      </c>
      <c r="Q511">
        <f t="shared" si="21"/>
        <v>0.54298642533936647</v>
      </c>
      <c r="R511">
        <f>IF(AND(COUNTIF($A$2:$A$2047,A511)&gt;1,COUNTIF($A$2:A511,A511)=1),1,0)</f>
        <v>0</v>
      </c>
      <c r="S511" t="b">
        <f>IFERROR(VLOOKUP(D511,Products!$A$2:$F$61,6,FALSE()),"")</f>
        <v>1</v>
      </c>
      <c r="T511" t="str">
        <f>IF(COUNTIF(Customers!$A$2:$A$301,C511)=0,"Missing","OK")</f>
        <v>OK</v>
      </c>
      <c r="U511" t="str">
        <f t="shared" si="22"/>
        <v>Hyderabad</v>
      </c>
      <c r="V511">
        <f t="shared" si="23"/>
        <v>0</v>
      </c>
    </row>
    <row r="512" spans="1:22" ht="15" customHeight="1" x14ac:dyDescent="0.35">
      <c r="A512" s="3" t="s">
        <v>883</v>
      </c>
      <c r="B512" s="4">
        <v>45406</v>
      </c>
      <c r="C512" s="3" t="s">
        <v>884</v>
      </c>
      <c r="D512" s="3" t="s">
        <v>106</v>
      </c>
      <c r="E512" s="3" t="s">
        <v>31</v>
      </c>
      <c r="F512" s="5">
        <v>10</v>
      </c>
      <c r="G512" s="5">
        <v>2480</v>
      </c>
      <c r="H512" s="5">
        <v>13</v>
      </c>
      <c r="I512" s="5">
        <v>21576</v>
      </c>
      <c r="J512" s="3" t="s">
        <v>32</v>
      </c>
      <c r="K512" s="3" t="s">
        <v>27</v>
      </c>
      <c r="L512" t="str">
        <f>IFERROR(VLOOKUP(D512,Products!$A$2:$F$61,3,FALSE()),"")</f>
        <v>Apparel</v>
      </c>
      <c r="M512" t="str">
        <f>IFERROR(VLOOKUP(E512,Sales_Reps!$A$2:$C$31,3,FALSE()),"")</f>
        <v>North</v>
      </c>
      <c r="N512">
        <f>IFERROR(VLOOKUP(D512,Products!$A$2:$F$61,4,FALSE()),"")</f>
        <v>1173</v>
      </c>
      <c r="O512" t="str">
        <f>IFERROR(VLOOKUP(C512,Customers!$A$2:$F$301,5,FALSE()),"")</f>
        <v>Retail</v>
      </c>
      <c r="P512">
        <f>IFERROR(VLOOKUP(C512,Customers!$A$2:$F$301,3,FALSE()),"")</f>
        <v>54</v>
      </c>
      <c r="Q512">
        <f t="shared" si="21"/>
        <v>0.52701612903225803</v>
      </c>
      <c r="R512">
        <f>IF(AND(COUNTIF($A$2:$A$2047,A512)&gt;1,COUNTIF($A$2:A512,A512)=1),1,0)</f>
        <v>0</v>
      </c>
      <c r="S512" t="b">
        <f>IFERROR(VLOOKUP(D512,Products!$A$2:$F$61,6,FALSE()),"")</f>
        <v>1</v>
      </c>
      <c r="T512" t="str">
        <f>IF(COUNTIF(Customers!$A$2:$A$301,C512)=0,"Missing","OK")</f>
        <v>OK</v>
      </c>
      <c r="U512" t="str">
        <f t="shared" si="22"/>
        <v>Pune</v>
      </c>
      <c r="V512">
        <f t="shared" si="23"/>
        <v>0</v>
      </c>
    </row>
    <row r="513" spans="1:22" ht="15" customHeight="1" x14ac:dyDescent="0.35">
      <c r="A513" s="3" t="s">
        <v>885</v>
      </c>
      <c r="B513" s="4">
        <v>45629</v>
      </c>
      <c r="C513" s="3" t="s">
        <v>40</v>
      </c>
      <c r="D513" s="3" t="s">
        <v>303</v>
      </c>
      <c r="E513" s="3" t="s">
        <v>93</v>
      </c>
      <c r="F513" s="5">
        <v>10</v>
      </c>
      <c r="G513" s="5">
        <v>5330</v>
      </c>
      <c r="H513" s="5">
        <v>0.7</v>
      </c>
      <c r="I513" s="5">
        <v>52926.9</v>
      </c>
      <c r="J513" s="3" t="s">
        <v>26</v>
      </c>
      <c r="K513" s="3" t="s">
        <v>38</v>
      </c>
      <c r="L513" t="str">
        <f>IFERROR(VLOOKUP(D513,Products!$A$2:$F$61,3,FALSE()),"")</f>
        <v>Electronics</v>
      </c>
      <c r="M513" t="str">
        <f>IFERROR(VLOOKUP(E513,Sales_Reps!$A$2:$C$31,3,FALSE()),"")</f>
        <v>East</v>
      </c>
      <c r="N513">
        <f>IFERROR(VLOOKUP(D513,Products!$A$2:$F$61,4,FALSE()),"")</f>
        <v>2405</v>
      </c>
      <c r="O513" t="str">
        <f>IFERROR(VLOOKUP(C513,Customers!$A$2:$F$301,5,FALSE()),"")</f>
        <v>Corporate</v>
      </c>
      <c r="P513">
        <f>IFERROR(VLOOKUP(C513,Customers!$A$2:$F$301,3,FALSE()),"")</f>
        <v>46</v>
      </c>
      <c r="Q513">
        <f t="shared" si="21"/>
        <v>0.54878048780487809</v>
      </c>
      <c r="R513">
        <f>IF(AND(COUNTIF($A$2:$A$2047,A513)&gt;1,COUNTIF($A$2:A513,A513)=1),1,0)</f>
        <v>0</v>
      </c>
      <c r="S513" t="b">
        <f>IFERROR(VLOOKUP(D513,Products!$A$2:$F$61,6,FALSE()),"")</f>
        <v>1</v>
      </c>
      <c r="T513" t="str">
        <f>IF(COUNTIF(Customers!$A$2:$A$301,C513)=0,"Missing","OK")</f>
        <v>OK</v>
      </c>
      <c r="U513" t="str">
        <f t="shared" si="22"/>
        <v>Delhi</v>
      </c>
      <c r="V513">
        <f t="shared" si="23"/>
        <v>0</v>
      </c>
    </row>
    <row r="514" spans="1:22" ht="15" customHeight="1" x14ac:dyDescent="0.35">
      <c r="A514" s="3" t="s">
        <v>886</v>
      </c>
      <c r="B514" s="4">
        <v>45612</v>
      </c>
      <c r="C514" s="3" t="s">
        <v>887</v>
      </c>
      <c r="D514" s="3" t="s">
        <v>203</v>
      </c>
      <c r="E514" s="3" t="s">
        <v>264</v>
      </c>
      <c r="F514" s="5">
        <v>9</v>
      </c>
      <c r="G514" s="5">
        <v>4070</v>
      </c>
      <c r="H514" s="5">
        <v>15.6</v>
      </c>
      <c r="I514" s="5">
        <v>30915.72</v>
      </c>
      <c r="J514" s="3" t="s">
        <v>26</v>
      </c>
      <c r="K514" s="3" t="s">
        <v>27</v>
      </c>
      <c r="L514" t="str">
        <f>IFERROR(VLOOKUP(D514,Products!$A$2:$F$61,3,FALSE()),"")</f>
        <v>Grocery</v>
      </c>
      <c r="M514" t="str">
        <f>IFERROR(VLOOKUP(E514,Sales_Reps!$A$2:$C$31,3,FALSE()),"")</f>
        <v>South</v>
      </c>
      <c r="N514">
        <f>IFERROR(VLOOKUP(D514,Products!$A$2:$F$61,4,FALSE()),"")</f>
        <v>2027</v>
      </c>
      <c r="O514" t="str">
        <f>IFERROR(VLOOKUP(C514,Customers!$A$2:$F$301,5,FALSE()),"")</f>
        <v>Retail</v>
      </c>
      <c r="P514">
        <f>IFERROR(VLOOKUP(C514,Customers!$A$2:$F$301,3,FALSE()),"")</f>
        <v>65</v>
      </c>
      <c r="Q514">
        <f t="shared" ref="Q514:Q577" si="24">IFERROR((G514-N514)/G514,"")</f>
        <v>0.50196560196560192</v>
      </c>
      <c r="R514">
        <f>IF(AND(COUNTIF($A$2:$A$2047,A514)&gt;1,COUNTIF($A$2:A514,A514)=1),1,0)</f>
        <v>0</v>
      </c>
      <c r="S514" t="b">
        <f>IFERROR(VLOOKUP(D514,Products!$A$2:$F$61,6,FALSE()),"")</f>
        <v>1</v>
      </c>
      <c r="T514" t="str">
        <f>IF(COUNTIF(Customers!$A$2:$A$301,C514)=0,"Missing","OK")</f>
        <v>OK</v>
      </c>
      <c r="U514" t="str">
        <f t="shared" ref="U514:U577" si="25">IF(K514="","",PROPER(TRIM(K514)))</f>
        <v>Pune</v>
      </c>
      <c r="V514">
        <f t="shared" ref="V514:V577" si="26">IF(AND(U514="Bengaluru",L514="Grocery"),I514,0)</f>
        <v>0</v>
      </c>
    </row>
    <row r="515" spans="1:22" ht="15" customHeight="1" x14ac:dyDescent="0.35">
      <c r="A515" s="3" t="s">
        <v>888</v>
      </c>
      <c r="B515" s="4">
        <v>45613</v>
      </c>
      <c r="C515" s="3" t="s">
        <v>762</v>
      </c>
      <c r="D515" s="3" t="s">
        <v>112</v>
      </c>
      <c r="E515" s="3" t="s">
        <v>154</v>
      </c>
      <c r="F515" s="5">
        <v>5</v>
      </c>
      <c r="G515" s="5">
        <v>2720</v>
      </c>
      <c r="H515" s="5">
        <v>10.3</v>
      </c>
      <c r="I515" s="5">
        <v>12199.2</v>
      </c>
      <c r="J515" s="3" t="s">
        <v>79</v>
      </c>
      <c r="K515" s="3" t="s">
        <v>33</v>
      </c>
      <c r="L515" t="str">
        <f>IFERROR(VLOOKUP(D515,Products!$A$2:$F$61,3,FALSE()),"")</f>
        <v>Apparel</v>
      </c>
      <c r="M515" t="str">
        <f>IFERROR(VLOOKUP(E515,Sales_Reps!$A$2:$C$31,3,FALSE()),"")</f>
        <v>North</v>
      </c>
      <c r="N515">
        <f>IFERROR(VLOOKUP(D515,Products!$A$2:$F$61,4,FALSE()),"")</f>
        <v>1962</v>
      </c>
      <c r="O515" t="str">
        <f>IFERROR(VLOOKUP(C515,Customers!$A$2:$F$301,5,FALSE()),"")</f>
        <v>Retail</v>
      </c>
      <c r="P515">
        <f>IFERROR(VLOOKUP(C515,Customers!$A$2:$F$301,3,FALSE()),"")</f>
        <v>32</v>
      </c>
      <c r="Q515">
        <f t="shared" si="24"/>
        <v>0.2786764705882353</v>
      </c>
      <c r="R515">
        <f>IF(AND(COUNTIF($A$2:$A$2047,A515)&gt;1,COUNTIF($A$2:A515,A515)=1),1,0)</f>
        <v>0</v>
      </c>
      <c r="S515" t="b">
        <f>IFERROR(VLOOKUP(D515,Products!$A$2:$F$61,6,FALSE()),"")</f>
        <v>1</v>
      </c>
      <c r="T515" t="str">
        <f>IF(COUNTIF(Customers!$A$2:$A$301,C515)=0,"Missing","OK")</f>
        <v>OK</v>
      </c>
      <c r="U515" t="str">
        <f t="shared" si="25"/>
        <v>Chennai</v>
      </c>
      <c r="V515">
        <f t="shared" si="26"/>
        <v>0</v>
      </c>
    </row>
    <row r="516" spans="1:22" ht="15" customHeight="1" x14ac:dyDescent="0.35">
      <c r="A516" s="3" t="s">
        <v>889</v>
      </c>
      <c r="B516" s="4">
        <v>45484</v>
      </c>
      <c r="C516" s="3" t="s">
        <v>696</v>
      </c>
      <c r="D516" s="3" t="s">
        <v>134</v>
      </c>
      <c r="E516" s="3" t="s">
        <v>168</v>
      </c>
      <c r="F516" s="5">
        <v>6</v>
      </c>
      <c r="G516" s="5">
        <v>2860</v>
      </c>
      <c r="H516" s="5">
        <v>28.9</v>
      </c>
      <c r="I516" s="5">
        <v>12200.76</v>
      </c>
      <c r="J516" s="3" t="s">
        <v>26</v>
      </c>
      <c r="K516" s="3" t="s">
        <v>56</v>
      </c>
      <c r="L516" t="str">
        <f>IFERROR(VLOOKUP(D516,Products!$A$2:$F$61,3,FALSE()),"")</f>
        <v>Sports</v>
      </c>
      <c r="M516" t="str">
        <f>IFERROR(VLOOKUP(E516,Sales_Reps!$A$2:$C$31,3,FALSE()),"")</f>
        <v>West</v>
      </c>
      <c r="N516">
        <f>IFERROR(VLOOKUP(D516,Products!$A$2:$F$61,4,FALSE()),"")</f>
        <v>2028</v>
      </c>
      <c r="O516" t="str">
        <f>IFERROR(VLOOKUP(C516,Customers!$A$2:$F$301,5,FALSE()),"")</f>
        <v>Corporate</v>
      </c>
      <c r="P516">
        <f>IFERROR(VLOOKUP(C516,Customers!$A$2:$F$301,3,FALSE()),"")</f>
        <v>43</v>
      </c>
      <c r="Q516">
        <f t="shared" si="24"/>
        <v>0.29090909090909089</v>
      </c>
      <c r="R516">
        <f>IF(AND(COUNTIF($A$2:$A$2047,A516)&gt;1,COUNTIF($A$2:A516,A516)=1),1,0)</f>
        <v>0</v>
      </c>
      <c r="S516" t="b">
        <f>IFERROR(VLOOKUP(D516,Products!$A$2:$F$61,6,FALSE()),"")</f>
        <v>1</v>
      </c>
      <c r="T516" t="str">
        <f>IF(COUNTIF(Customers!$A$2:$A$301,C516)=0,"Missing","OK")</f>
        <v>OK</v>
      </c>
      <c r="U516" t="str">
        <f t="shared" si="25"/>
        <v>Bengaluru</v>
      </c>
      <c r="V516">
        <f t="shared" si="26"/>
        <v>0</v>
      </c>
    </row>
    <row r="517" spans="1:22" ht="15" customHeight="1" x14ac:dyDescent="0.35">
      <c r="A517" s="3" t="s">
        <v>890</v>
      </c>
      <c r="B517" s="4">
        <v>45656</v>
      </c>
      <c r="C517" s="3" t="s">
        <v>891</v>
      </c>
      <c r="D517" s="3" t="s">
        <v>24</v>
      </c>
      <c r="E517" s="3" t="s">
        <v>264</v>
      </c>
      <c r="F517" s="5">
        <v>5</v>
      </c>
      <c r="G517" s="5">
        <v>3620</v>
      </c>
      <c r="H517" s="5">
        <v>18.2</v>
      </c>
      <c r="I517" s="5">
        <v>14805.8</v>
      </c>
      <c r="J517" s="3" t="s">
        <v>26</v>
      </c>
      <c r="K517" s="3" t="s">
        <v>72</v>
      </c>
      <c r="L517" t="str">
        <f>IFERROR(VLOOKUP(D517,Products!$A$2:$F$61,3,FALSE()),"")</f>
        <v>Apparel</v>
      </c>
      <c r="M517" t="str">
        <f>IFERROR(VLOOKUP(E517,Sales_Reps!$A$2:$C$31,3,FALSE()),"")</f>
        <v>South</v>
      </c>
      <c r="N517">
        <f>IFERROR(VLOOKUP(D517,Products!$A$2:$F$61,4,FALSE()),"")</f>
        <v>2509</v>
      </c>
      <c r="O517" t="str">
        <f>IFERROR(VLOOKUP(C517,Customers!$A$2:$F$301,5,FALSE()),"")</f>
        <v>Retail</v>
      </c>
      <c r="P517">
        <f>IFERROR(VLOOKUP(C517,Customers!$A$2:$F$301,3,FALSE()),"")</f>
        <v>35</v>
      </c>
      <c r="Q517">
        <f t="shared" si="24"/>
        <v>0.3069060773480663</v>
      </c>
      <c r="R517">
        <f>IF(AND(COUNTIF($A$2:$A$2047,A517)&gt;1,COUNTIF($A$2:A517,A517)=1),1,0)</f>
        <v>0</v>
      </c>
      <c r="S517" t="b">
        <f>IFERROR(VLOOKUP(D517,Products!$A$2:$F$61,6,FALSE()),"")</f>
        <v>1</v>
      </c>
      <c r="T517" t="str">
        <f>IF(COUNTIF(Customers!$A$2:$A$301,C517)=0,"Missing","OK")</f>
        <v>OK</v>
      </c>
      <c r="U517" t="str">
        <f t="shared" si="25"/>
        <v>Hyderabad</v>
      </c>
      <c r="V517">
        <f t="shared" si="26"/>
        <v>0</v>
      </c>
    </row>
    <row r="518" spans="1:22" ht="15" customHeight="1" x14ac:dyDescent="0.35">
      <c r="A518" s="3" t="s">
        <v>892</v>
      </c>
      <c r="B518" s="4">
        <v>45432</v>
      </c>
      <c r="C518" s="3" t="s">
        <v>92</v>
      </c>
      <c r="D518" s="3" t="s">
        <v>115</v>
      </c>
      <c r="E518" s="3" t="s">
        <v>242</v>
      </c>
      <c r="F518" s="5">
        <v>3</v>
      </c>
      <c r="G518" s="5">
        <v>1650</v>
      </c>
      <c r="H518" s="5">
        <v>10.7</v>
      </c>
      <c r="I518" s="5">
        <v>4420.3500000000004</v>
      </c>
      <c r="J518" s="3" t="s">
        <v>26</v>
      </c>
      <c r="K518" s="3" t="s">
        <v>56</v>
      </c>
      <c r="L518" t="str">
        <f>IFERROR(VLOOKUP(D518,Products!$A$2:$F$61,3,FALSE()),"")</f>
        <v>Beauty</v>
      </c>
      <c r="M518" t="str">
        <f>IFERROR(VLOOKUP(E518,Sales_Reps!$A$2:$C$31,3,FALSE()),"")</f>
        <v>East</v>
      </c>
      <c r="N518">
        <f>IFERROR(VLOOKUP(D518,Products!$A$2:$F$61,4,FALSE()),"")</f>
        <v>1222</v>
      </c>
      <c r="O518" t="str">
        <f>IFERROR(VLOOKUP(C518,Customers!$A$2:$F$301,5,FALSE()),"")</f>
        <v>SMB</v>
      </c>
      <c r="P518">
        <f>IFERROR(VLOOKUP(C518,Customers!$A$2:$F$301,3,FALSE()),"")</f>
        <v>46</v>
      </c>
      <c r="Q518">
        <f t="shared" si="24"/>
        <v>0.2593939393939394</v>
      </c>
      <c r="R518">
        <f>IF(AND(COUNTIF($A$2:$A$2047,A518)&gt;1,COUNTIF($A$2:A518,A518)=1),1,0)</f>
        <v>0</v>
      </c>
      <c r="S518" t="b">
        <f>IFERROR(VLOOKUP(D518,Products!$A$2:$F$61,6,FALSE()),"")</f>
        <v>1</v>
      </c>
      <c r="T518" t="str">
        <f>IF(COUNTIF(Customers!$A$2:$A$301,C518)=0,"Missing","OK")</f>
        <v>OK</v>
      </c>
      <c r="U518" t="str">
        <f t="shared" si="25"/>
        <v>Bengaluru</v>
      </c>
      <c r="V518">
        <f t="shared" si="26"/>
        <v>0</v>
      </c>
    </row>
    <row r="519" spans="1:22" ht="15" customHeight="1" x14ac:dyDescent="0.35">
      <c r="A519" s="3" t="s">
        <v>893</v>
      </c>
      <c r="B519" s="4">
        <v>45495</v>
      </c>
      <c r="C519" s="3" t="s">
        <v>483</v>
      </c>
      <c r="D519" s="3" t="s">
        <v>86</v>
      </c>
      <c r="E519" s="3" t="s">
        <v>168</v>
      </c>
      <c r="F519" s="5">
        <v>8</v>
      </c>
      <c r="G519" s="5">
        <v>190</v>
      </c>
      <c r="H519" s="5">
        <v>18</v>
      </c>
      <c r="I519" s="5">
        <v>1246.4000000000001</v>
      </c>
      <c r="J519" s="3" t="s">
        <v>32</v>
      </c>
      <c r="K519" s="3" t="s">
        <v>72</v>
      </c>
      <c r="L519" t="str">
        <f>IFERROR(VLOOKUP(D519,Products!$A$2:$F$61,3,FALSE()),"")</f>
        <v>Sports</v>
      </c>
      <c r="M519" t="str">
        <f>IFERROR(VLOOKUP(E519,Sales_Reps!$A$2:$C$31,3,FALSE()),"")</f>
        <v>West</v>
      </c>
      <c r="N519">
        <f>IFERROR(VLOOKUP(D519,Products!$A$2:$F$61,4,FALSE()),"")</f>
        <v>147</v>
      </c>
      <c r="O519" t="str">
        <f>IFERROR(VLOOKUP(C519,Customers!$A$2:$F$301,5,FALSE()),"")</f>
        <v>Retail</v>
      </c>
      <c r="P519">
        <f>IFERROR(VLOOKUP(C519,Customers!$A$2:$F$301,3,FALSE()),"")</f>
        <v>25</v>
      </c>
      <c r="Q519">
        <f t="shared" si="24"/>
        <v>0.22631578947368422</v>
      </c>
      <c r="R519">
        <f>IF(AND(COUNTIF($A$2:$A$2047,A519)&gt;1,COUNTIF($A$2:A519,A519)=1),1,0)</f>
        <v>0</v>
      </c>
      <c r="S519" t="b">
        <f>IFERROR(VLOOKUP(D519,Products!$A$2:$F$61,6,FALSE()),"")</f>
        <v>1</v>
      </c>
      <c r="T519" t="str">
        <f>IF(COUNTIF(Customers!$A$2:$A$301,C519)=0,"Missing","OK")</f>
        <v>OK</v>
      </c>
      <c r="U519" t="str">
        <f t="shared" si="25"/>
        <v>Hyderabad</v>
      </c>
      <c r="V519">
        <f t="shared" si="26"/>
        <v>0</v>
      </c>
    </row>
    <row r="520" spans="1:22" ht="15" customHeight="1" x14ac:dyDescent="0.35">
      <c r="A520" s="3" t="s">
        <v>894</v>
      </c>
      <c r="B520" s="4">
        <v>45443</v>
      </c>
      <c r="C520" s="3" t="s">
        <v>895</v>
      </c>
      <c r="D520" s="3" t="s">
        <v>325</v>
      </c>
      <c r="E520" s="3" t="s">
        <v>168</v>
      </c>
      <c r="F520" s="5">
        <v>7</v>
      </c>
      <c r="G520" s="5">
        <v>2290</v>
      </c>
      <c r="H520" s="5">
        <v>12.5</v>
      </c>
      <c r="I520" s="5">
        <v>14026.25</v>
      </c>
      <c r="J520" s="3" t="s">
        <v>26</v>
      </c>
      <c r="K520" s="3" t="s">
        <v>51</v>
      </c>
      <c r="L520" t="str">
        <f>IFERROR(VLOOKUP(D520,Products!$A$2:$F$61,3,FALSE()),"")</f>
        <v>Beauty</v>
      </c>
      <c r="M520" t="str">
        <f>IFERROR(VLOOKUP(E520,Sales_Reps!$A$2:$C$31,3,FALSE()),"")</f>
        <v>West</v>
      </c>
      <c r="N520">
        <f>IFERROR(VLOOKUP(D520,Products!$A$2:$F$61,4,FALSE()),"")</f>
        <v>1219</v>
      </c>
      <c r="O520" t="str">
        <f>IFERROR(VLOOKUP(C520,Customers!$A$2:$F$301,5,FALSE()),"")</f>
        <v>Retail</v>
      </c>
      <c r="P520">
        <f>IFERROR(VLOOKUP(C520,Customers!$A$2:$F$301,3,FALSE()),"")</f>
        <v>49</v>
      </c>
      <c r="Q520">
        <f t="shared" si="24"/>
        <v>0.46768558951965067</v>
      </c>
      <c r="R520">
        <f>IF(AND(COUNTIF($A$2:$A$2047,A520)&gt;1,COUNTIF($A$2:A520,A520)=1),1,0)</f>
        <v>0</v>
      </c>
      <c r="S520" t="b">
        <f>IFERROR(VLOOKUP(D520,Products!$A$2:$F$61,6,FALSE()),"")</f>
        <v>1</v>
      </c>
      <c r="T520" t="str">
        <f>IF(COUNTIF(Customers!$A$2:$A$301,C520)=0,"Missing","OK")</f>
        <v>OK</v>
      </c>
      <c r="U520" t="str">
        <f t="shared" si="25"/>
        <v>Mumbai</v>
      </c>
      <c r="V520">
        <f t="shared" si="26"/>
        <v>0</v>
      </c>
    </row>
    <row r="521" spans="1:22" ht="15" customHeight="1" x14ac:dyDescent="0.35">
      <c r="A521" s="3" t="s">
        <v>896</v>
      </c>
      <c r="B521" s="4">
        <v>45638</v>
      </c>
      <c r="C521" s="3" t="s">
        <v>125</v>
      </c>
      <c r="D521" s="3" t="s">
        <v>303</v>
      </c>
      <c r="E521" s="3" t="s">
        <v>177</v>
      </c>
      <c r="F521" s="5">
        <v>2</v>
      </c>
      <c r="G521" s="5">
        <v>5330</v>
      </c>
      <c r="H521" s="5">
        <v>26.5</v>
      </c>
      <c r="I521" s="5">
        <v>7835.1</v>
      </c>
      <c r="J521" s="3" t="s">
        <v>26</v>
      </c>
      <c r="K521" s="3" t="s">
        <v>33</v>
      </c>
      <c r="L521" t="str">
        <f>IFERROR(VLOOKUP(D521,Products!$A$2:$F$61,3,FALSE()),"")</f>
        <v>Electronics</v>
      </c>
      <c r="M521" t="str">
        <f>IFERROR(VLOOKUP(E521,Sales_Reps!$A$2:$C$31,3,FALSE()),"")</f>
        <v>East</v>
      </c>
      <c r="N521">
        <f>IFERROR(VLOOKUP(D521,Products!$A$2:$F$61,4,FALSE()),"")</f>
        <v>2405</v>
      </c>
      <c r="O521" t="str">
        <f>IFERROR(VLOOKUP(C521,Customers!$A$2:$F$301,5,FALSE()),"")</f>
        <v>SMB</v>
      </c>
      <c r="P521">
        <f>IFERROR(VLOOKUP(C521,Customers!$A$2:$F$301,3,FALSE()),"")</f>
        <v>52</v>
      </c>
      <c r="Q521">
        <f t="shared" si="24"/>
        <v>0.54878048780487809</v>
      </c>
      <c r="R521">
        <f>IF(AND(COUNTIF($A$2:$A$2047,A521)&gt;1,COUNTIF($A$2:A521,A521)=1),1,0)</f>
        <v>0</v>
      </c>
      <c r="S521" t="b">
        <f>IFERROR(VLOOKUP(D521,Products!$A$2:$F$61,6,FALSE()),"")</f>
        <v>1</v>
      </c>
      <c r="T521" t="str">
        <f>IF(COUNTIF(Customers!$A$2:$A$301,C521)=0,"Missing","OK")</f>
        <v>OK</v>
      </c>
      <c r="U521" t="str">
        <f t="shared" si="25"/>
        <v>Chennai</v>
      </c>
      <c r="V521">
        <f t="shared" si="26"/>
        <v>0</v>
      </c>
    </row>
    <row r="522" spans="1:22" ht="15" customHeight="1" x14ac:dyDescent="0.35">
      <c r="A522" s="3" t="s">
        <v>897</v>
      </c>
      <c r="B522" s="4">
        <v>45476</v>
      </c>
      <c r="C522" s="3" t="s">
        <v>898</v>
      </c>
      <c r="D522" s="3" t="s">
        <v>303</v>
      </c>
      <c r="E522" s="3" t="s">
        <v>127</v>
      </c>
      <c r="F522" s="5">
        <v>4</v>
      </c>
      <c r="G522" s="5">
        <v>5330</v>
      </c>
      <c r="H522" s="5">
        <v>25.6</v>
      </c>
      <c r="I522" s="5">
        <v>15862.08</v>
      </c>
      <c r="J522" s="3" t="s">
        <v>26</v>
      </c>
      <c r="K522" s="3" t="s">
        <v>51</v>
      </c>
      <c r="L522" t="str">
        <f>IFERROR(VLOOKUP(D522,Products!$A$2:$F$61,3,FALSE()),"")</f>
        <v>Electronics</v>
      </c>
      <c r="M522" t="str">
        <f>IFERROR(VLOOKUP(E522,Sales_Reps!$A$2:$C$31,3,FALSE()),"")</f>
        <v>South</v>
      </c>
      <c r="N522">
        <f>IFERROR(VLOOKUP(D522,Products!$A$2:$F$61,4,FALSE()),"")</f>
        <v>2405</v>
      </c>
      <c r="O522" t="str">
        <f>IFERROR(VLOOKUP(C522,Customers!$A$2:$F$301,5,FALSE()),"")</f>
        <v>SMB</v>
      </c>
      <c r="P522">
        <f>IFERROR(VLOOKUP(C522,Customers!$A$2:$F$301,3,FALSE()),"")</f>
        <v>65</v>
      </c>
      <c r="Q522">
        <f t="shared" si="24"/>
        <v>0.54878048780487809</v>
      </c>
      <c r="R522">
        <f>IF(AND(COUNTIF($A$2:$A$2047,A522)&gt;1,COUNTIF($A$2:A522,A522)=1),1,0)</f>
        <v>0</v>
      </c>
      <c r="S522" t="b">
        <f>IFERROR(VLOOKUP(D522,Products!$A$2:$F$61,6,FALSE()),"")</f>
        <v>1</v>
      </c>
      <c r="T522" t="str">
        <f>IF(COUNTIF(Customers!$A$2:$A$301,C522)=0,"Missing","OK")</f>
        <v>OK</v>
      </c>
      <c r="U522" t="str">
        <f t="shared" si="25"/>
        <v>Mumbai</v>
      </c>
      <c r="V522">
        <f t="shared" si="26"/>
        <v>0</v>
      </c>
    </row>
    <row r="523" spans="1:22" ht="15" customHeight="1" x14ac:dyDescent="0.35">
      <c r="A523" s="3" t="s">
        <v>899</v>
      </c>
      <c r="B523" s="4">
        <v>45566</v>
      </c>
      <c r="C523" s="3" t="s">
        <v>228</v>
      </c>
      <c r="D523" s="3" t="s">
        <v>382</v>
      </c>
      <c r="E523" s="3" t="s">
        <v>42</v>
      </c>
      <c r="F523" s="5">
        <v>4</v>
      </c>
      <c r="G523" s="5">
        <v>5080</v>
      </c>
      <c r="H523" s="5">
        <v>28.6</v>
      </c>
      <c r="I523" s="5">
        <v>14508.48</v>
      </c>
      <c r="J523" s="3" t="s">
        <v>26</v>
      </c>
      <c r="K523" s="3" t="s">
        <v>33</v>
      </c>
      <c r="L523" t="str">
        <f>IFERROR(VLOOKUP(D523,Products!$A$2:$F$61,3,FALSE()),"")</f>
        <v>Home</v>
      </c>
      <c r="M523" t="str">
        <f>IFERROR(VLOOKUP(E523,Sales_Reps!$A$2:$C$31,3,FALSE()),"")</f>
        <v>North</v>
      </c>
      <c r="N523">
        <f>IFERROR(VLOOKUP(D523,Products!$A$2:$F$61,4,FALSE()),"")</f>
        <v>2459</v>
      </c>
      <c r="O523" t="str">
        <f>IFERROR(VLOOKUP(C523,Customers!$A$2:$F$301,5,FALSE()),"")</f>
        <v>Retail</v>
      </c>
      <c r="P523">
        <f>IFERROR(VLOOKUP(C523,Customers!$A$2:$F$301,3,FALSE()),"")</f>
        <v>38</v>
      </c>
      <c r="Q523">
        <f t="shared" si="24"/>
        <v>0.51594488188976373</v>
      </c>
      <c r="R523">
        <f>IF(AND(COUNTIF($A$2:$A$2047,A523)&gt;1,COUNTIF($A$2:A523,A523)=1),1,0)</f>
        <v>0</v>
      </c>
      <c r="S523" t="b">
        <f>IFERROR(VLOOKUP(D523,Products!$A$2:$F$61,6,FALSE()),"")</f>
        <v>1</v>
      </c>
      <c r="T523" t="str">
        <f>IF(COUNTIF(Customers!$A$2:$A$301,C523)=0,"Missing","OK")</f>
        <v>OK</v>
      </c>
      <c r="U523" t="str">
        <f t="shared" si="25"/>
        <v>Chennai</v>
      </c>
      <c r="V523">
        <f t="shared" si="26"/>
        <v>0</v>
      </c>
    </row>
    <row r="524" spans="1:22" ht="15" customHeight="1" x14ac:dyDescent="0.35">
      <c r="A524" s="3" t="s">
        <v>900</v>
      </c>
      <c r="B524" s="4">
        <v>45392</v>
      </c>
      <c r="C524" s="3" t="s">
        <v>418</v>
      </c>
      <c r="D524" s="3" t="s">
        <v>49</v>
      </c>
      <c r="E524" s="3" t="s">
        <v>236</v>
      </c>
      <c r="F524" s="5">
        <v>4</v>
      </c>
      <c r="G524" s="5">
        <v>370</v>
      </c>
      <c r="H524" s="5">
        <v>12.6</v>
      </c>
      <c r="I524" s="5">
        <v>1293.52</v>
      </c>
      <c r="J524" s="3" t="s">
        <v>32</v>
      </c>
      <c r="K524" s="3" t="s">
        <v>27</v>
      </c>
      <c r="L524" t="str">
        <f>IFERROR(VLOOKUP(D524,Products!$A$2:$F$61,3,FALSE()),"")</f>
        <v>Home</v>
      </c>
      <c r="M524" t="str">
        <f>IFERROR(VLOOKUP(E524,Sales_Reps!$A$2:$C$31,3,FALSE()),"")</f>
        <v>North</v>
      </c>
      <c r="N524">
        <f>IFERROR(VLOOKUP(D524,Products!$A$2:$F$61,4,FALSE()),"")</f>
        <v>288</v>
      </c>
      <c r="O524" t="str">
        <f>IFERROR(VLOOKUP(C524,Customers!$A$2:$F$301,5,FALSE()),"")</f>
        <v>SMB</v>
      </c>
      <c r="P524">
        <f>IFERROR(VLOOKUP(C524,Customers!$A$2:$F$301,3,FALSE()),"")</f>
        <v>49</v>
      </c>
      <c r="Q524">
        <f t="shared" si="24"/>
        <v>0.22162162162162163</v>
      </c>
      <c r="R524">
        <f>IF(AND(COUNTIF($A$2:$A$2047,A524)&gt;1,COUNTIF($A$2:A524,A524)=1),1,0)</f>
        <v>0</v>
      </c>
      <c r="S524" t="b">
        <f>IFERROR(VLOOKUP(D524,Products!$A$2:$F$61,6,FALSE()),"")</f>
        <v>1</v>
      </c>
      <c r="T524" t="str">
        <f>IF(COUNTIF(Customers!$A$2:$A$301,C524)=0,"Missing","OK")</f>
        <v>OK</v>
      </c>
      <c r="U524" t="str">
        <f t="shared" si="25"/>
        <v>Pune</v>
      </c>
      <c r="V524">
        <f t="shared" si="26"/>
        <v>0</v>
      </c>
    </row>
    <row r="525" spans="1:22" ht="15" customHeight="1" x14ac:dyDescent="0.35">
      <c r="A525" s="3" t="s">
        <v>901</v>
      </c>
      <c r="B525" s="4">
        <v>45561</v>
      </c>
      <c r="C525" s="3" t="s">
        <v>902</v>
      </c>
      <c r="D525" s="3" t="s">
        <v>36</v>
      </c>
      <c r="E525" s="3" t="s">
        <v>191</v>
      </c>
      <c r="F525" s="5">
        <v>9</v>
      </c>
      <c r="G525" s="5">
        <v>470</v>
      </c>
      <c r="H525" s="5">
        <v>3.6</v>
      </c>
      <c r="I525" s="5">
        <v>4077.72</v>
      </c>
      <c r="J525" s="3" t="s">
        <v>26</v>
      </c>
      <c r="K525" s="3" t="s">
        <v>33</v>
      </c>
      <c r="L525" t="str">
        <f>IFERROR(VLOOKUP(D525,Products!$A$2:$F$61,3,FALSE()),"")</f>
        <v>Sports</v>
      </c>
      <c r="M525" t="str">
        <f>IFERROR(VLOOKUP(E525,Sales_Reps!$A$2:$C$31,3,FALSE()),"")</f>
        <v>South</v>
      </c>
      <c r="N525">
        <f>IFERROR(VLOOKUP(D525,Products!$A$2:$F$61,4,FALSE()),"")</f>
        <v>302</v>
      </c>
      <c r="O525" t="str">
        <f>IFERROR(VLOOKUP(C525,Customers!$A$2:$F$301,5,FALSE()),"")</f>
        <v>Retail</v>
      </c>
      <c r="P525">
        <f>IFERROR(VLOOKUP(C525,Customers!$A$2:$F$301,3,FALSE()),"")</f>
        <v>31</v>
      </c>
      <c r="Q525">
        <f t="shared" si="24"/>
        <v>0.35744680851063831</v>
      </c>
      <c r="R525">
        <f>IF(AND(COUNTIF($A$2:$A$2047,A525)&gt;1,COUNTIF($A$2:A525,A525)=1),1,0)</f>
        <v>0</v>
      </c>
      <c r="S525" t="b">
        <f>IFERROR(VLOOKUP(D525,Products!$A$2:$F$61,6,FALSE()),"")</f>
        <v>0</v>
      </c>
      <c r="T525" t="str">
        <f>IF(COUNTIF(Customers!$A$2:$A$301,C525)=0,"Missing","OK")</f>
        <v>OK</v>
      </c>
      <c r="U525" t="str">
        <f t="shared" si="25"/>
        <v>Chennai</v>
      </c>
      <c r="V525">
        <f t="shared" si="26"/>
        <v>0</v>
      </c>
    </row>
    <row r="526" spans="1:22" ht="15" customHeight="1" x14ac:dyDescent="0.35">
      <c r="A526" s="3" t="s">
        <v>903</v>
      </c>
      <c r="B526" s="4">
        <v>45634</v>
      </c>
      <c r="C526" s="3" t="s">
        <v>582</v>
      </c>
      <c r="D526" s="3" t="s">
        <v>299</v>
      </c>
      <c r="E526" s="3" t="s">
        <v>282</v>
      </c>
      <c r="F526" s="5">
        <v>4</v>
      </c>
      <c r="G526" s="5">
        <v>5410</v>
      </c>
      <c r="H526" s="5">
        <v>11.3</v>
      </c>
      <c r="I526" s="5">
        <v>19194.68</v>
      </c>
      <c r="J526" s="3" t="s">
        <v>83</v>
      </c>
      <c r="K526" s="3" t="s">
        <v>51</v>
      </c>
      <c r="L526" t="str">
        <f>IFERROR(VLOOKUP(D526,Products!$A$2:$F$61,3,FALSE()),"")</f>
        <v>Sports</v>
      </c>
      <c r="M526" t="str">
        <f>IFERROR(VLOOKUP(E526,Sales_Reps!$A$2:$C$31,3,FALSE()),"")</f>
        <v>West</v>
      </c>
      <c r="N526">
        <f>IFERROR(VLOOKUP(D526,Products!$A$2:$F$61,4,FALSE()),"")</f>
        <v>2265</v>
      </c>
      <c r="O526" t="str">
        <f>IFERROR(VLOOKUP(C526,Customers!$A$2:$F$301,5,FALSE()),"")</f>
        <v>SMB</v>
      </c>
      <c r="P526">
        <f>IFERROR(VLOOKUP(C526,Customers!$A$2:$F$301,3,FALSE()),"")</f>
        <v>27</v>
      </c>
      <c r="Q526">
        <f t="shared" si="24"/>
        <v>0.58133086876155271</v>
      </c>
      <c r="R526">
        <f>IF(AND(COUNTIF($A$2:$A$2047,A526)&gt;1,COUNTIF($A$2:A526,A526)=1),1,0)</f>
        <v>0</v>
      </c>
      <c r="S526" t="b">
        <f>IFERROR(VLOOKUP(D526,Products!$A$2:$F$61,6,FALSE()),"")</f>
        <v>1</v>
      </c>
      <c r="T526" t="str">
        <f>IF(COUNTIF(Customers!$A$2:$A$301,C526)=0,"Missing","OK")</f>
        <v>OK</v>
      </c>
      <c r="U526" t="str">
        <f t="shared" si="25"/>
        <v>Mumbai</v>
      </c>
      <c r="V526">
        <f t="shared" si="26"/>
        <v>0</v>
      </c>
    </row>
    <row r="527" spans="1:22" ht="15" customHeight="1" x14ac:dyDescent="0.35">
      <c r="A527" s="3" t="s">
        <v>904</v>
      </c>
      <c r="B527" s="4">
        <v>45311</v>
      </c>
      <c r="C527" s="3" t="s">
        <v>905</v>
      </c>
      <c r="D527" s="3" t="s">
        <v>24</v>
      </c>
      <c r="E527" s="3" t="s">
        <v>25</v>
      </c>
      <c r="F527" s="5">
        <v>10</v>
      </c>
      <c r="G527" s="5">
        <v>3620</v>
      </c>
      <c r="H527" s="5">
        <v>2.5</v>
      </c>
      <c r="I527" s="5">
        <v>35295</v>
      </c>
      <c r="J527" s="3" t="s">
        <v>26</v>
      </c>
      <c r="K527" s="3" t="s">
        <v>72</v>
      </c>
      <c r="L527" t="str">
        <f>IFERROR(VLOOKUP(D527,Products!$A$2:$F$61,3,FALSE()),"")</f>
        <v>Apparel</v>
      </c>
      <c r="M527" t="str">
        <f>IFERROR(VLOOKUP(E527,Sales_Reps!$A$2:$C$31,3,FALSE()),"")</f>
        <v>North</v>
      </c>
      <c r="N527">
        <f>IFERROR(VLOOKUP(D527,Products!$A$2:$F$61,4,FALSE()),"")</f>
        <v>2509</v>
      </c>
      <c r="O527" t="str">
        <f>IFERROR(VLOOKUP(C527,Customers!$A$2:$F$301,5,FALSE()),"")</f>
        <v>SMB</v>
      </c>
      <c r="P527">
        <f>IFERROR(VLOOKUP(C527,Customers!$A$2:$F$301,3,FALSE()),"")</f>
        <v>31</v>
      </c>
      <c r="Q527">
        <f t="shared" si="24"/>
        <v>0.3069060773480663</v>
      </c>
      <c r="R527">
        <f>IF(AND(COUNTIF($A$2:$A$2047,A527)&gt;1,COUNTIF($A$2:A527,A527)=1),1,0)</f>
        <v>0</v>
      </c>
      <c r="S527" t="b">
        <f>IFERROR(VLOOKUP(D527,Products!$A$2:$F$61,6,FALSE()),"")</f>
        <v>1</v>
      </c>
      <c r="T527" t="str">
        <f>IF(COUNTIF(Customers!$A$2:$A$301,C527)=0,"Missing","OK")</f>
        <v>OK</v>
      </c>
      <c r="U527" t="str">
        <f t="shared" si="25"/>
        <v>Hyderabad</v>
      </c>
      <c r="V527">
        <f t="shared" si="26"/>
        <v>0</v>
      </c>
    </row>
    <row r="528" spans="1:22" ht="15" customHeight="1" x14ac:dyDescent="0.35">
      <c r="A528" s="3" t="s">
        <v>906</v>
      </c>
      <c r="B528" s="4">
        <v>45380</v>
      </c>
      <c r="C528" s="3" t="s">
        <v>907</v>
      </c>
      <c r="D528" s="3" t="s">
        <v>139</v>
      </c>
      <c r="E528" s="3" t="s">
        <v>109</v>
      </c>
      <c r="F528" s="5">
        <v>1</v>
      </c>
      <c r="G528" s="5">
        <v>2760</v>
      </c>
      <c r="H528" s="5">
        <v>22.2</v>
      </c>
      <c r="I528" s="5">
        <v>2147.2800000000002</v>
      </c>
      <c r="J528" s="3" t="s">
        <v>26</v>
      </c>
      <c r="K528" s="3" t="s">
        <v>38</v>
      </c>
      <c r="L528" t="str">
        <f>IFERROR(VLOOKUP(D528,Products!$A$2:$F$61,3,FALSE()),"")</f>
        <v>Grocery</v>
      </c>
      <c r="M528" t="str">
        <f>IFERROR(VLOOKUP(E528,Sales_Reps!$A$2:$C$31,3,FALSE()),"")</f>
        <v>West</v>
      </c>
      <c r="N528">
        <f>IFERROR(VLOOKUP(D528,Products!$A$2:$F$61,4,FALSE()),"")</f>
        <v>1435</v>
      </c>
      <c r="O528" t="str">
        <f>IFERROR(VLOOKUP(C528,Customers!$A$2:$F$301,5,FALSE()),"")</f>
        <v>Retail</v>
      </c>
      <c r="P528">
        <f>IFERROR(VLOOKUP(C528,Customers!$A$2:$F$301,3,FALSE()),"")</f>
        <v>47</v>
      </c>
      <c r="Q528">
        <f t="shared" si="24"/>
        <v>0.48007246376811596</v>
      </c>
      <c r="R528">
        <f>IF(AND(COUNTIF($A$2:$A$2047,A528)&gt;1,COUNTIF($A$2:A528,A528)=1),1,0)</f>
        <v>0</v>
      </c>
      <c r="S528" t="b">
        <f>IFERROR(VLOOKUP(D528,Products!$A$2:$F$61,6,FALSE()),"")</f>
        <v>1</v>
      </c>
      <c r="T528" t="str">
        <f>IF(COUNTIF(Customers!$A$2:$A$301,C528)=0,"Missing","OK")</f>
        <v>OK</v>
      </c>
      <c r="U528" t="str">
        <f t="shared" si="25"/>
        <v>Delhi</v>
      </c>
      <c r="V528">
        <f t="shared" si="26"/>
        <v>0</v>
      </c>
    </row>
    <row r="529" spans="1:22" ht="15" customHeight="1" x14ac:dyDescent="0.35">
      <c r="A529" s="3" t="s">
        <v>908</v>
      </c>
      <c r="B529" s="4">
        <v>45549</v>
      </c>
      <c r="C529" s="3" t="s">
        <v>909</v>
      </c>
      <c r="D529" s="3" t="s">
        <v>96</v>
      </c>
      <c r="E529" s="3" t="s">
        <v>154</v>
      </c>
      <c r="F529" s="5">
        <v>7</v>
      </c>
      <c r="G529" s="5">
        <v>3450</v>
      </c>
      <c r="H529" s="5">
        <v>8.6</v>
      </c>
      <c r="I529" s="5">
        <v>22073.1</v>
      </c>
      <c r="J529" s="3" t="s">
        <v>26</v>
      </c>
      <c r="K529" s="3" t="s">
        <v>51</v>
      </c>
      <c r="L529" t="str">
        <f>IFERROR(VLOOKUP(D529,Products!$A$2:$F$61,3,FALSE()),"")</f>
        <v>Beauty</v>
      </c>
      <c r="M529" t="str">
        <f>IFERROR(VLOOKUP(E529,Sales_Reps!$A$2:$C$31,3,FALSE()),"")</f>
        <v>North</v>
      </c>
      <c r="N529">
        <f>IFERROR(VLOOKUP(D529,Products!$A$2:$F$61,4,FALSE()),"")</f>
        <v>2420</v>
      </c>
      <c r="O529" t="str">
        <f>IFERROR(VLOOKUP(C529,Customers!$A$2:$F$301,5,FALSE()),"")</f>
        <v>Retail</v>
      </c>
      <c r="P529">
        <f>IFERROR(VLOOKUP(C529,Customers!$A$2:$F$301,3,FALSE()),"")</f>
        <v>40</v>
      </c>
      <c r="Q529">
        <f t="shared" si="24"/>
        <v>0.29855072463768118</v>
      </c>
      <c r="R529">
        <f>IF(AND(COUNTIF($A$2:$A$2047,A529)&gt;1,COUNTIF($A$2:A529,A529)=1),1,0)</f>
        <v>0</v>
      </c>
      <c r="S529" t="b">
        <f>IFERROR(VLOOKUP(D529,Products!$A$2:$F$61,6,FALSE()),"")</f>
        <v>1</v>
      </c>
      <c r="T529" t="str">
        <f>IF(COUNTIF(Customers!$A$2:$A$301,C529)=0,"Missing","OK")</f>
        <v>OK</v>
      </c>
      <c r="U529" t="str">
        <f t="shared" si="25"/>
        <v>Mumbai</v>
      </c>
      <c r="V529">
        <f t="shared" si="26"/>
        <v>0</v>
      </c>
    </row>
    <row r="530" spans="1:22" ht="15" customHeight="1" x14ac:dyDescent="0.35">
      <c r="A530" s="3" t="s">
        <v>910</v>
      </c>
      <c r="B530" s="4">
        <v>45418</v>
      </c>
      <c r="C530" s="3" t="s">
        <v>485</v>
      </c>
      <c r="D530" s="3" t="s">
        <v>41</v>
      </c>
      <c r="E530" s="3" t="s">
        <v>67</v>
      </c>
      <c r="F530" s="5">
        <v>6</v>
      </c>
      <c r="G530" s="5">
        <v>3660</v>
      </c>
      <c r="H530" s="5">
        <v>10.6</v>
      </c>
      <c r="I530" s="5">
        <v>19632.240000000002</v>
      </c>
      <c r="J530" s="3" t="s">
        <v>26</v>
      </c>
      <c r="K530" s="3" t="s">
        <v>38</v>
      </c>
      <c r="L530" t="str">
        <f>IFERROR(VLOOKUP(D530,Products!$A$2:$F$61,3,FALSE()),"")</f>
        <v>Grocery</v>
      </c>
      <c r="M530" t="str">
        <f>IFERROR(VLOOKUP(E530,Sales_Reps!$A$2:$C$31,3,FALSE()),"")</f>
        <v>West</v>
      </c>
      <c r="N530">
        <f>IFERROR(VLOOKUP(D530,Products!$A$2:$F$61,4,FALSE()),"")</f>
        <v>2214</v>
      </c>
      <c r="O530" t="str">
        <f>IFERROR(VLOOKUP(C530,Customers!$A$2:$F$301,5,FALSE()),"")</f>
        <v>SMB</v>
      </c>
      <c r="P530">
        <f>IFERROR(VLOOKUP(C530,Customers!$A$2:$F$301,3,FALSE()),"")</f>
        <v>29</v>
      </c>
      <c r="Q530">
        <f t="shared" si="24"/>
        <v>0.39508196721311473</v>
      </c>
      <c r="R530">
        <f>IF(AND(COUNTIF($A$2:$A$2047,A530)&gt;1,COUNTIF($A$2:A530,A530)=1),1,0)</f>
        <v>0</v>
      </c>
      <c r="S530" t="b">
        <f>IFERROR(VLOOKUP(D530,Products!$A$2:$F$61,6,FALSE()),"")</f>
        <v>0</v>
      </c>
      <c r="T530" t="str">
        <f>IF(COUNTIF(Customers!$A$2:$A$301,C530)=0,"Missing","OK")</f>
        <v>OK</v>
      </c>
      <c r="U530" t="str">
        <f t="shared" si="25"/>
        <v>Delhi</v>
      </c>
      <c r="V530">
        <f t="shared" si="26"/>
        <v>0</v>
      </c>
    </row>
    <row r="531" spans="1:22" ht="15" customHeight="1" x14ac:dyDescent="0.35">
      <c r="A531" s="3" t="s">
        <v>911</v>
      </c>
      <c r="B531" s="4">
        <v>45532</v>
      </c>
      <c r="C531" s="3" t="s">
        <v>463</v>
      </c>
      <c r="D531" s="3" t="s">
        <v>126</v>
      </c>
      <c r="E531" s="3" t="s">
        <v>67</v>
      </c>
      <c r="F531" s="5">
        <v>10</v>
      </c>
      <c r="G531" s="5">
        <v>3570</v>
      </c>
      <c r="H531" s="5">
        <v>1.2</v>
      </c>
      <c r="I531" s="5">
        <v>35271.599999999999</v>
      </c>
      <c r="J531" s="3" t="s">
        <v>26</v>
      </c>
      <c r="K531" s="3" t="s">
        <v>51</v>
      </c>
      <c r="L531" t="str">
        <f>IFERROR(VLOOKUP(D531,Products!$A$2:$F$61,3,FALSE()),"")</f>
        <v>Electronics</v>
      </c>
      <c r="M531" t="str">
        <f>IFERROR(VLOOKUP(E531,Sales_Reps!$A$2:$C$31,3,FALSE()),"")</f>
        <v>West</v>
      </c>
      <c r="N531">
        <f>IFERROR(VLOOKUP(D531,Products!$A$2:$F$61,4,FALSE()),"")</f>
        <v>1665</v>
      </c>
      <c r="O531" t="str">
        <f>IFERROR(VLOOKUP(C531,Customers!$A$2:$F$301,5,FALSE()),"")</f>
        <v>Corporate</v>
      </c>
      <c r="P531">
        <f>IFERROR(VLOOKUP(C531,Customers!$A$2:$F$301,3,FALSE()),"")</f>
        <v>55</v>
      </c>
      <c r="Q531">
        <f t="shared" si="24"/>
        <v>0.53361344537815125</v>
      </c>
      <c r="R531">
        <f>IF(AND(COUNTIF($A$2:$A$2047,A531)&gt;1,COUNTIF($A$2:A531,A531)=1),1,0)</f>
        <v>0</v>
      </c>
      <c r="S531" t="b">
        <f>IFERROR(VLOOKUP(D531,Products!$A$2:$F$61,6,FALSE()),"")</f>
        <v>1</v>
      </c>
      <c r="T531" t="str">
        <f>IF(COUNTIF(Customers!$A$2:$A$301,C531)=0,"Missing","OK")</f>
        <v>OK</v>
      </c>
      <c r="U531" t="str">
        <f t="shared" si="25"/>
        <v>Mumbai</v>
      </c>
      <c r="V531">
        <f t="shared" si="26"/>
        <v>0</v>
      </c>
    </row>
    <row r="532" spans="1:22" ht="15" customHeight="1" x14ac:dyDescent="0.35">
      <c r="A532" s="3" t="s">
        <v>912</v>
      </c>
      <c r="B532" s="4">
        <v>45542</v>
      </c>
      <c r="C532" s="3" t="s">
        <v>359</v>
      </c>
      <c r="D532" s="3" t="s">
        <v>441</v>
      </c>
      <c r="E532" s="3" t="s">
        <v>143</v>
      </c>
      <c r="F532" s="5">
        <v>8</v>
      </c>
      <c r="G532" s="5">
        <v>1090</v>
      </c>
      <c r="H532" s="5">
        <v>13.2</v>
      </c>
      <c r="I532" s="5">
        <v>7568.96</v>
      </c>
      <c r="J532" s="3" t="s">
        <v>83</v>
      </c>
      <c r="K532" s="3" t="s">
        <v>38</v>
      </c>
      <c r="L532" t="str">
        <f>IFERROR(VLOOKUP(D532,Products!$A$2:$F$61,3,FALSE()),"")</f>
        <v>Home</v>
      </c>
      <c r="M532" t="str">
        <f>IFERROR(VLOOKUP(E532,Sales_Reps!$A$2:$C$31,3,FALSE()),"")</f>
        <v>South</v>
      </c>
      <c r="N532">
        <f>IFERROR(VLOOKUP(D532,Products!$A$2:$F$61,4,FALSE()),"")</f>
        <v>464</v>
      </c>
      <c r="O532" t="str">
        <f>IFERROR(VLOOKUP(C532,Customers!$A$2:$F$301,5,FALSE()),"")</f>
        <v>Retail</v>
      </c>
      <c r="P532">
        <f>IFERROR(VLOOKUP(C532,Customers!$A$2:$F$301,3,FALSE()),"")</f>
        <v>44</v>
      </c>
      <c r="Q532">
        <f t="shared" si="24"/>
        <v>0.57431192660550456</v>
      </c>
      <c r="R532">
        <f>IF(AND(COUNTIF($A$2:$A$2047,A532)&gt;1,COUNTIF($A$2:A532,A532)=1),1,0)</f>
        <v>0</v>
      </c>
      <c r="S532" t="b">
        <f>IFERROR(VLOOKUP(D532,Products!$A$2:$F$61,6,FALSE()),"")</f>
        <v>1</v>
      </c>
      <c r="T532" t="str">
        <f>IF(COUNTIF(Customers!$A$2:$A$301,C532)=0,"Missing","OK")</f>
        <v>OK</v>
      </c>
      <c r="U532" t="str">
        <f t="shared" si="25"/>
        <v>Delhi</v>
      </c>
      <c r="V532">
        <f t="shared" si="26"/>
        <v>0</v>
      </c>
    </row>
    <row r="533" spans="1:22" ht="15" customHeight="1" x14ac:dyDescent="0.35">
      <c r="A533" s="3" t="s">
        <v>913</v>
      </c>
      <c r="B533" s="4">
        <v>45320</v>
      </c>
      <c r="C533" s="3" t="s">
        <v>396</v>
      </c>
      <c r="D533" s="3" t="s">
        <v>24</v>
      </c>
      <c r="E533" s="3" t="s">
        <v>242</v>
      </c>
      <c r="F533" s="5">
        <v>8</v>
      </c>
      <c r="G533" s="5">
        <v>3620</v>
      </c>
      <c r="H533" s="5">
        <v>29</v>
      </c>
      <c r="I533" s="5">
        <v>20561.599999999999</v>
      </c>
      <c r="J533" s="3" t="s">
        <v>26</v>
      </c>
      <c r="K533" s="3" t="s">
        <v>27</v>
      </c>
      <c r="L533" t="str">
        <f>IFERROR(VLOOKUP(D533,Products!$A$2:$F$61,3,FALSE()),"")</f>
        <v>Apparel</v>
      </c>
      <c r="M533" t="str">
        <f>IFERROR(VLOOKUP(E533,Sales_Reps!$A$2:$C$31,3,FALSE()),"")</f>
        <v>East</v>
      </c>
      <c r="N533">
        <f>IFERROR(VLOOKUP(D533,Products!$A$2:$F$61,4,FALSE()),"")</f>
        <v>2509</v>
      </c>
      <c r="O533" t="str">
        <f>IFERROR(VLOOKUP(C533,Customers!$A$2:$F$301,5,FALSE()),"")</f>
        <v>Retail</v>
      </c>
      <c r="P533">
        <f>IFERROR(VLOOKUP(C533,Customers!$A$2:$F$301,3,FALSE()),"")</f>
        <v>29</v>
      </c>
      <c r="Q533">
        <f t="shared" si="24"/>
        <v>0.3069060773480663</v>
      </c>
      <c r="R533">
        <f>IF(AND(COUNTIF($A$2:$A$2047,A533)&gt;1,COUNTIF($A$2:A533,A533)=1),1,0)</f>
        <v>0</v>
      </c>
      <c r="S533" t="b">
        <f>IFERROR(VLOOKUP(D533,Products!$A$2:$F$61,6,FALSE()),"")</f>
        <v>1</v>
      </c>
      <c r="T533" t="str">
        <f>IF(COUNTIF(Customers!$A$2:$A$301,C533)=0,"Missing","OK")</f>
        <v>OK</v>
      </c>
      <c r="U533" t="str">
        <f t="shared" si="25"/>
        <v>Pune</v>
      </c>
      <c r="V533">
        <f t="shared" si="26"/>
        <v>0</v>
      </c>
    </row>
    <row r="534" spans="1:22" ht="15" customHeight="1" x14ac:dyDescent="0.35">
      <c r="A534" s="3" t="s">
        <v>914</v>
      </c>
      <c r="B534" s="4">
        <v>45548</v>
      </c>
      <c r="C534" s="3" t="s">
        <v>230</v>
      </c>
      <c r="D534" s="3" t="s">
        <v>123</v>
      </c>
      <c r="E534" s="3" t="s">
        <v>71</v>
      </c>
      <c r="F534" s="5">
        <v>7</v>
      </c>
      <c r="G534" s="5">
        <v>4880</v>
      </c>
      <c r="H534" s="5">
        <v>25.6</v>
      </c>
      <c r="I534" s="5">
        <v>25415.040000000001</v>
      </c>
      <c r="J534" s="3" t="s">
        <v>83</v>
      </c>
      <c r="K534" s="3" t="s">
        <v>38</v>
      </c>
      <c r="L534" t="str">
        <f>IFERROR(VLOOKUP(D534,Products!$A$2:$F$61,3,FALSE()),"")</f>
        <v>Beauty</v>
      </c>
      <c r="M534" t="str">
        <f>IFERROR(VLOOKUP(E534,Sales_Reps!$A$2:$C$31,3,FALSE()),"")</f>
        <v>South</v>
      </c>
      <c r="N534">
        <f>IFERROR(VLOOKUP(D534,Products!$A$2:$F$61,4,FALSE()),"")</f>
        <v>2768</v>
      </c>
      <c r="O534" t="str">
        <f>IFERROR(VLOOKUP(C534,Customers!$A$2:$F$301,5,FALSE()),"")</f>
        <v>Retail</v>
      </c>
      <c r="P534">
        <f>IFERROR(VLOOKUP(C534,Customers!$A$2:$F$301,3,FALSE()),"")</f>
        <v>35</v>
      </c>
      <c r="Q534">
        <f t="shared" si="24"/>
        <v>0.43278688524590164</v>
      </c>
      <c r="R534">
        <f>IF(AND(COUNTIF($A$2:$A$2047,A534)&gt;1,COUNTIF($A$2:A534,A534)=1),1,0)</f>
        <v>0</v>
      </c>
      <c r="S534" t="b">
        <f>IFERROR(VLOOKUP(D534,Products!$A$2:$F$61,6,FALSE()),"")</f>
        <v>1</v>
      </c>
      <c r="T534" t="str">
        <f>IF(COUNTIF(Customers!$A$2:$A$301,C534)=0,"Missing","OK")</f>
        <v>OK</v>
      </c>
      <c r="U534" t="str">
        <f t="shared" si="25"/>
        <v>Delhi</v>
      </c>
      <c r="V534">
        <f t="shared" si="26"/>
        <v>0</v>
      </c>
    </row>
    <row r="535" spans="1:22" ht="15" customHeight="1" x14ac:dyDescent="0.35">
      <c r="A535" s="3" t="s">
        <v>915</v>
      </c>
      <c r="B535" s="4">
        <v>45434</v>
      </c>
      <c r="C535" s="3" t="s">
        <v>916</v>
      </c>
      <c r="D535" s="3" t="s">
        <v>36</v>
      </c>
      <c r="E535" s="3" t="s">
        <v>67</v>
      </c>
      <c r="F535" s="5">
        <v>2</v>
      </c>
      <c r="G535" s="5">
        <v>470</v>
      </c>
      <c r="H535" s="5">
        <v>9.6999999999999993</v>
      </c>
      <c r="I535" s="5">
        <v>848.82</v>
      </c>
      <c r="J535" s="3" t="s">
        <v>26</v>
      </c>
      <c r="K535" s="3" t="s">
        <v>27</v>
      </c>
      <c r="L535" t="str">
        <f>IFERROR(VLOOKUP(D535,Products!$A$2:$F$61,3,FALSE()),"")</f>
        <v>Sports</v>
      </c>
      <c r="M535" t="str">
        <f>IFERROR(VLOOKUP(E535,Sales_Reps!$A$2:$C$31,3,FALSE()),"")</f>
        <v>West</v>
      </c>
      <c r="N535">
        <f>IFERROR(VLOOKUP(D535,Products!$A$2:$F$61,4,FALSE()),"")</f>
        <v>302</v>
      </c>
      <c r="O535" t="str">
        <f>IFERROR(VLOOKUP(C535,Customers!$A$2:$F$301,5,FALSE()),"")</f>
        <v>Corporate</v>
      </c>
      <c r="P535">
        <f>IFERROR(VLOOKUP(C535,Customers!$A$2:$F$301,3,FALSE()),"")</f>
        <v>29</v>
      </c>
      <c r="Q535">
        <f t="shared" si="24"/>
        <v>0.35744680851063831</v>
      </c>
      <c r="R535">
        <f>IF(AND(COUNTIF($A$2:$A$2047,A535)&gt;1,COUNTIF($A$2:A535,A535)=1),1,0)</f>
        <v>0</v>
      </c>
      <c r="S535" t="b">
        <f>IFERROR(VLOOKUP(D535,Products!$A$2:$F$61,6,FALSE()),"")</f>
        <v>0</v>
      </c>
      <c r="T535" t="str">
        <f>IF(COUNTIF(Customers!$A$2:$A$301,C535)=0,"Missing","OK")</f>
        <v>OK</v>
      </c>
      <c r="U535" t="str">
        <f t="shared" si="25"/>
        <v>Pune</v>
      </c>
      <c r="V535">
        <f t="shared" si="26"/>
        <v>0</v>
      </c>
    </row>
    <row r="536" spans="1:22" ht="15" customHeight="1" x14ac:dyDescent="0.35">
      <c r="A536" s="3" t="s">
        <v>917</v>
      </c>
      <c r="B536" s="4">
        <v>45539</v>
      </c>
      <c r="C536" s="3" t="s">
        <v>774</v>
      </c>
      <c r="D536" s="3" t="s">
        <v>325</v>
      </c>
      <c r="E536" s="3" t="s">
        <v>224</v>
      </c>
      <c r="F536" s="5">
        <v>6</v>
      </c>
      <c r="G536" s="5">
        <v>2290</v>
      </c>
      <c r="H536" s="5">
        <v>8.9</v>
      </c>
      <c r="I536" s="5">
        <v>12517.14</v>
      </c>
      <c r="J536" s="3" t="s">
        <v>26</v>
      </c>
      <c r="K536" s="3" t="s">
        <v>56</v>
      </c>
      <c r="L536" t="str">
        <f>IFERROR(VLOOKUP(D536,Products!$A$2:$F$61,3,FALSE()),"")</f>
        <v>Beauty</v>
      </c>
      <c r="M536" t="str">
        <f>IFERROR(VLOOKUP(E536,Sales_Reps!$A$2:$C$31,3,FALSE()),"")</f>
        <v>East</v>
      </c>
      <c r="N536">
        <f>IFERROR(VLOOKUP(D536,Products!$A$2:$F$61,4,FALSE()),"")</f>
        <v>1219</v>
      </c>
      <c r="O536" t="str">
        <f>IFERROR(VLOOKUP(C536,Customers!$A$2:$F$301,5,FALSE()),"")</f>
        <v>Retail</v>
      </c>
      <c r="P536">
        <f>IFERROR(VLOOKUP(C536,Customers!$A$2:$F$301,3,FALSE()),"")</f>
        <v>52</v>
      </c>
      <c r="Q536">
        <f t="shared" si="24"/>
        <v>0.46768558951965067</v>
      </c>
      <c r="R536">
        <f>IF(AND(COUNTIF($A$2:$A$2047,A536)&gt;1,COUNTIF($A$2:A536,A536)=1),1,0)</f>
        <v>0</v>
      </c>
      <c r="S536" t="b">
        <f>IFERROR(VLOOKUP(D536,Products!$A$2:$F$61,6,FALSE()),"")</f>
        <v>1</v>
      </c>
      <c r="T536" t="str">
        <f>IF(COUNTIF(Customers!$A$2:$A$301,C536)=0,"Missing","OK")</f>
        <v>OK</v>
      </c>
      <c r="U536" t="str">
        <f t="shared" si="25"/>
        <v>Bengaluru</v>
      </c>
      <c r="V536">
        <f t="shared" si="26"/>
        <v>0</v>
      </c>
    </row>
    <row r="537" spans="1:22" ht="15" customHeight="1" x14ac:dyDescent="0.35">
      <c r="A537" s="3" t="s">
        <v>918</v>
      </c>
      <c r="B537" s="4">
        <v>45468</v>
      </c>
      <c r="C537" s="3" t="s">
        <v>399</v>
      </c>
      <c r="D537" s="3" t="s">
        <v>306</v>
      </c>
      <c r="E537" s="3" t="s">
        <v>71</v>
      </c>
      <c r="F537" s="5">
        <v>3</v>
      </c>
      <c r="G537" s="5">
        <v>2380</v>
      </c>
      <c r="H537" s="5">
        <v>2.7</v>
      </c>
      <c r="I537" s="5">
        <v>6947.22</v>
      </c>
      <c r="J537" s="3" t="s">
        <v>32</v>
      </c>
      <c r="K537" s="3" t="s">
        <v>27</v>
      </c>
      <c r="L537" t="str">
        <f>IFERROR(VLOOKUP(D537,Products!$A$2:$F$61,3,FALSE()),"")</f>
        <v>Grocery</v>
      </c>
      <c r="M537" t="str">
        <f>IFERROR(VLOOKUP(E537,Sales_Reps!$A$2:$C$31,3,FALSE()),"")</f>
        <v>South</v>
      </c>
      <c r="N537">
        <f>IFERROR(VLOOKUP(D537,Products!$A$2:$F$61,4,FALSE()),"")</f>
        <v>1182</v>
      </c>
      <c r="O537" t="str">
        <f>IFERROR(VLOOKUP(C537,Customers!$A$2:$F$301,5,FALSE()),"")</f>
        <v>Corporate</v>
      </c>
      <c r="P537">
        <f>IFERROR(VLOOKUP(C537,Customers!$A$2:$F$301,3,FALSE()),"")</f>
        <v>37</v>
      </c>
      <c r="Q537">
        <f t="shared" si="24"/>
        <v>0.50336134453781511</v>
      </c>
      <c r="R537">
        <f>IF(AND(COUNTIF($A$2:$A$2047,A537)&gt;1,COUNTIF($A$2:A537,A537)=1),1,0)</f>
        <v>0</v>
      </c>
      <c r="S537" t="b">
        <f>IFERROR(VLOOKUP(D537,Products!$A$2:$F$61,6,FALSE()),"")</f>
        <v>1</v>
      </c>
      <c r="T537" t="str">
        <f>IF(COUNTIF(Customers!$A$2:$A$301,C537)=0,"Missing","OK")</f>
        <v>OK</v>
      </c>
      <c r="U537" t="str">
        <f t="shared" si="25"/>
        <v>Pune</v>
      </c>
      <c r="V537">
        <f t="shared" si="26"/>
        <v>0</v>
      </c>
    </row>
    <row r="538" spans="1:22" ht="15" customHeight="1" x14ac:dyDescent="0.35">
      <c r="A538" s="3" t="s">
        <v>919</v>
      </c>
      <c r="B538" s="4">
        <v>45485</v>
      </c>
      <c r="C538" s="3" t="s">
        <v>668</v>
      </c>
      <c r="D538" s="3" t="s">
        <v>306</v>
      </c>
      <c r="E538" s="3" t="s">
        <v>46</v>
      </c>
      <c r="F538" s="5">
        <v>9</v>
      </c>
      <c r="G538" s="5">
        <v>2380</v>
      </c>
      <c r="H538" s="5">
        <v>20.100000000000001</v>
      </c>
      <c r="I538" s="5">
        <v>17114.580000000002</v>
      </c>
      <c r="J538" s="3" t="s">
        <v>26</v>
      </c>
      <c r="K538" s="3" t="s">
        <v>51</v>
      </c>
      <c r="L538" t="str">
        <f>IFERROR(VLOOKUP(D538,Products!$A$2:$F$61,3,FALSE()),"")</f>
        <v>Grocery</v>
      </c>
      <c r="M538" t="str">
        <f>IFERROR(VLOOKUP(E538,Sales_Reps!$A$2:$C$31,3,FALSE()),"")</f>
        <v>North</v>
      </c>
      <c r="N538">
        <f>IFERROR(VLOOKUP(D538,Products!$A$2:$F$61,4,FALSE()),"")</f>
        <v>1182</v>
      </c>
      <c r="O538" t="str">
        <f>IFERROR(VLOOKUP(C538,Customers!$A$2:$F$301,5,FALSE()),"")</f>
        <v>Retail</v>
      </c>
      <c r="P538">
        <f>IFERROR(VLOOKUP(C538,Customers!$A$2:$F$301,3,FALSE()),"")</f>
        <v>56</v>
      </c>
      <c r="Q538">
        <f t="shared" si="24"/>
        <v>0.50336134453781511</v>
      </c>
      <c r="R538">
        <f>IF(AND(COUNTIF($A$2:$A$2047,A538)&gt;1,COUNTIF($A$2:A538,A538)=1),1,0)</f>
        <v>0</v>
      </c>
      <c r="S538" t="b">
        <f>IFERROR(VLOOKUP(D538,Products!$A$2:$F$61,6,FALSE()),"")</f>
        <v>1</v>
      </c>
      <c r="T538" t="str">
        <f>IF(COUNTIF(Customers!$A$2:$A$301,C538)=0,"Missing","OK")</f>
        <v>OK</v>
      </c>
      <c r="U538" t="str">
        <f t="shared" si="25"/>
        <v>Mumbai</v>
      </c>
      <c r="V538">
        <f t="shared" si="26"/>
        <v>0</v>
      </c>
    </row>
    <row r="539" spans="1:22" ht="15" customHeight="1" x14ac:dyDescent="0.35">
      <c r="A539" s="3" t="s">
        <v>920</v>
      </c>
      <c r="B539" s="4">
        <v>45303</v>
      </c>
      <c r="C539" s="3" t="s">
        <v>506</v>
      </c>
      <c r="D539" s="3" t="s">
        <v>299</v>
      </c>
      <c r="E539" s="3" t="s">
        <v>37</v>
      </c>
      <c r="F539" s="5">
        <v>8</v>
      </c>
      <c r="G539" s="5">
        <v>5410</v>
      </c>
      <c r="H539" s="5">
        <v>11.2</v>
      </c>
      <c r="I539" s="5">
        <v>38432.639999999999</v>
      </c>
      <c r="J539" s="3" t="s">
        <v>26</v>
      </c>
      <c r="K539" s="3" t="s">
        <v>56</v>
      </c>
      <c r="L539" t="str">
        <f>IFERROR(VLOOKUP(D539,Products!$A$2:$F$61,3,FALSE()),"")</f>
        <v>Sports</v>
      </c>
      <c r="M539" t="str">
        <f>IFERROR(VLOOKUP(E539,Sales_Reps!$A$2:$C$31,3,FALSE()),"")</f>
        <v>South</v>
      </c>
      <c r="N539">
        <f>IFERROR(VLOOKUP(D539,Products!$A$2:$F$61,4,FALSE()),"")</f>
        <v>2265</v>
      </c>
      <c r="O539" t="str">
        <f>IFERROR(VLOOKUP(C539,Customers!$A$2:$F$301,5,FALSE()),"")</f>
        <v>Corporate</v>
      </c>
      <c r="P539">
        <f>IFERROR(VLOOKUP(C539,Customers!$A$2:$F$301,3,FALSE()),"")</f>
        <v>41</v>
      </c>
      <c r="Q539">
        <f t="shared" si="24"/>
        <v>0.58133086876155271</v>
      </c>
      <c r="R539">
        <f>IF(AND(COUNTIF($A$2:$A$2047,A539)&gt;1,COUNTIF($A$2:A539,A539)=1),1,0)</f>
        <v>0</v>
      </c>
      <c r="S539" t="b">
        <f>IFERROR(VLOOKUP(D539,Products!$A$2:$F$61,6,FALSE()),"")</f>
        <v>1</v>
      </c>
      <c r="T539" t="str">
        <f>IF(COUNTIF(Customers!$A$2:$A$301,C539)=0,"Missing","OK")</f>
        <v>OK</v>
      </c>
      <c r="U539" t="str">
        <f t="shared" si="25"/>
        <v>Bengaluru</v>
      </c>
      <c r="V539">
        <f t="shared" si="26"/>
        <v>0</v>
      </c>
    </row>
    <row r="540" spans="1:22" ht="15" customHeight="1" x14ac:dyDescent="0.35">
      <c r="A540" s="3" t="s">
        <v>921</v>
      </c>
      <c r="B540" s="4">
        <v>45605</v>
      </c>
      <c r="C540" s="3" t="s">
        <v>922</v>
      </c>
      <c r="D540" s="3" t="s">
        <v>59</v>
      </c>
      <c r="E540" s="3" t="s">
        <v>46</v>
      </c>
      <c r="F540" s="5">
        <v>1</v>
      </c>
      <c r="G540" s="5">
        <v>1430</v>
      </c>
      <c r="H540" s="5">
        <v>19.600000000000001</v>
      </c>
      <c r="I540" s="5">
        <v>1149.72</v>
      </c>
      <c r="J540" s="3" t="s">
        <v>26</v>
      </c>
      <c r="K540" s="3" t="s">
        <v>56</v>
      </c>
      <c r="L540" t="str">
        <f>IFERROR(VLOOKUP(D540,Products!$A$2:$F$61,3,FALSE()),"")</f>
        <v>Electronics</v>
      </c>
      <c r="M540" t="str">
        <f>IFERROR(VLOOKUP(E540,Sales_Reps!$A$2:$C$31,3,FALSE()),"")</f>
        <v>North</v>
      </c>
      <c r="N540">
        <f>IFERROR(VLOOKUP(D540,Products!$A$2:$F$61,4,FALSE()),"")</f>
        <v>861</v>
      </c>
      <c r="O540" t="str">
        <f>IFERROR(VLOOKUP(C540,Customers!$A$2:$F$301,5,FALSE()),"")</f>
        <v>SMB</v>
      </c>
      <c r="P540">
        <f>IFERROR(VLOOKUP(C540,Customers!$A$2:$F$301,3,FALSE()),"")</f>
        <v>36</v>
      </c>
      <c r="Q540">
        <f t="shared" si="24"/>
        <v>0.39790209790209791</v>
      </c>
      <c r="R540">
        <f>IF(AND(COUNTIF($A$2:$A$2047,A540)&gt;1,COUNTIF($A$2:A540,A540)=1),1,0)</f>
        <v>0</v>
      </c>
      <c r="S540" t="b">
        <f>IFERROR(VLOOKUP(D540,Products!$A$2:$F$61,6,FALSE()),"")</f>
        <v>1</v>
      </c>
      <c r="T540" t="str">
        <f>IF(COUNTIF(Customers!$A$2:$A$301,C540)=0,"Missing","OK")</f>
        <v>OK</v>
      </c>
      <c r="U540" t="str">
        <f t="shared" si="25"/>
        <v>Bengaluru</v>
      </c>
      <c r="V540">
        <f t="shared" si="26"/>
        <v>0</v>
      </c>
    </row>
    <row r="541" spans="1:22" ht="15" customHeight="1" x14ac:dyDescent="0.35">
      <c r="A541" s="3" t="s">
        <v>923</v>
      </c>
      <c r="B541" s="4">
        <v>45421</v>
      </c>
      <c r="C541" s="3" t="s">
        <v>809</v>
      </c>
      <c r="D541" s="3" t="s">
        <v>90</v>
      </c>
      <c r="E541" s="3" t="s">
        <v>282</v>
      </c>
      <c r="F541" s="5">
        <v>9</v>
      </c>
      <c r="G541" s="5">
        <v>2400</v>
      </c>
      <c r="H541" s="5">
        <v>5</v>
      </c>
      <c r="I541" s="5">
        <v>20520</v>
      </c>
      <c r="J541" s="3" t="s">
        <v>26</v>
      </c>
      <c r="K541" s="3" t="s">
        <v>56</v>
      </c>
      <c r="L541" t="str">
        <f>IFERROR(VLOOKUP(D541,Products!$A$2:$F$61,3,FALSE()),"")</f>
        <v>Sports</v>
      </c>
      <c r="M541" t="str">
        <f>IFERROR(VLOOKUP(E541,Sales_Reps!$A$2:$C$31,3,FALSE()),"")</f>
        <v>West</v>
      </c>
      <c r="N541">
        <f>IFERROR(VLOOKUP(D541,Products!$A$2:$F$61,4,FALSE()),"")</f>
        <v>974</v>
      </c>
      <c r="O541" t="str">
        <f>IFERROR(VLOOKUP(C541,Customers!$A$2:$F$301,5,FALSE()),"")</f>
        <v>Retail</v>
      </c>
      <c r="P541">
        <f>IFERROR(VLOOKUP(C541,Customers!$A$2:$F$301,3,FALSE()),"")</f>
        <v>47</v>
      </c>
      <c r="Q541">
        <f t="shared" si="24"/>
        <v>0.59416666666666662</v>
      </c>
      <c r="R541">
        <f>IF(AND(COUNTIF($A$2:$A$2047,A541)&gt;1,COUNTIF($A$2:A541,A541)=1),1,0)</f>
        <v>0</v>
      </c>
      <c r="S541" t="b">
        <f>IFERROR(VLOOKUP(D541,Products!$A$2:$F$61,6,FALSE()),"")</f>
        <v>1</v>
      </c>
      <c r="T541" t="str">
        <f>IF(COUNTIF(Customers!$A$2:$A$301,C541)=0,"Missing","OK")</f>
        <v>OK</v>
      </c>
      <c r="U541" t="str">
        <f t="shared" si="25"/>
        <v>Bengaluru</v>
      </c>
      <c r="V541">
        <f t="shared" si="26"/>
        <v>0</v>
      </c>
    </row>
    <row r="542" spans="1:22" ht="15" customHeight="1" x14ac:dyDescent="0.35">
      <c r="A542" s="3" t="s">
        <v>924</v>
      </c>
      <c r="B542" s="4">
        <v>45493</v>
      </c>
      <c r="C542" s="3" t="s">
        <v>925</v>
      </c>
      <c r="D542" s="3" t="s">
        <v>173</v>
      </c>
      <c r="E542" s="3" t="s">
        <v>154</v>
      </c>
      <c r="F542" s="5">
        <v>1</v>
      </c>
      <c r="G542" s="5">
        <v>3780</v>
      </c>
      <c r="H542" s="5">
        <v>4.7</v>
      </c>
      <c r="I542" s="5">
        <v>3602.34</v>
      </c>
      <c r="J542" s="3" t="s">
        <v>26</v>
      </c>
      <c r="K542" s="3" t="s">
        <v>33</v>
      </c>
      <c r="L542" t="str">
        <f>IFERROR(VLOOKUP(D542,Products!$A$2:$F$61,3,FALSE()),"")</f>
        <v>Grocery</v>
      </c>
      <c r="M542" t="str">
        <f>IFERROR(VLOOKUP(E542,Sales_Reps!$A$2:$C$31,3,FALSE()),"")</f>
        <v>North</v>
      </c>
      <c r="N542">
        <f>IFERROR(VLOOKUP(D542,Products!$A$2:$F$61,4,FALSE()),"")</f>
        <v>2436</v>
      </c>
      <c r="O542" t="str">
        <f>IFERROR(VLOOKUP(C542,Customers!$A$2:$F$301,5,FALSE()),"")</f>
        <v>Corporate</v>
      </c>
      <c r="P542">
        <f>IFERROR(VLOOKUP(C542,Customers!$A$2:$F$301,3,FALSE()),"")</f>
        <v>52</v>
      </c>
      <c r="Q542">
        <f t="shared" si="24"/>
        <v>0.35555555555555557</v>
      </c>
      <c r="R542">
        <f>IF(AND(COUNTIF($A$2:$A$2047,A542)&gt;1,COUNTIF($A$2:A542,A542)=1),1,0)</f>
        <v>0</v>
      </c>
      <c r="S542" t="b">
        <f>IFERROR(VLOOKUP(D542,Products!$A$2:$F$61,6,FALSE()),"")</f>
        <v>1</v>
      </c>
      <c r="T542" t="str">
        <f>IF(COUNTIF(Customers!$A$2:$A$301,C542)=0,"Missing","OK")</f>
        <v>OK</v>
      </c>
      <c r="U542" t="str">
        <f t="shared" si="25"/>
        <v>Chennai</v>
      </c>
      <c r="V542">
        <f t="shared" si="26"/>
        <v>0</v>
      </c>
    </row>
    <row r="543" spans="1:22" ht="15" customHeight="1" x14ac:dyDescent="0.35">
      <c r="A543" s="3" t="s">
        <v>926</v>
      </c>
      <c r="B543" s="4">
        <v>45592</v>
      </c>
      <c r="C543" s="3" t="s">
        <v>817</v>
      </c>
      <c r="D543" s="3" t="s">
        <v>231</v>
      </c>
      <c r="E543" s="3" t="s">
        <v>60</v>
      </c>
      <c r="F543" s="5">
        <v>2</v>
      </c>
      <c r="G543" s="5">
        <v>620</v>
      </c>
      <c r="H543" s="5">
        <v>8</v>
      </c>
      <c r="I543" s="5">
        <v>1140.8</v>
      </c>
      <c r="J543" s="3" t="s">
        <v>26</v>
      </c>
      <c r="K543" s="3" t="s">
        <v>51</v>
      </c>
      <c r="L543" t="str">
        <f>IFERROR(VLOOKUP(D543,Products!$A$2:$F$61,3,FALSE()),"")</f>
        <v>Apparel</v>
      </c>
      <c r="M543" t="str">
        <f>IFERROR(VLOOKUP(E543,Sales_Reps!$A$2:$C$31,3,FALSE()),"")</f>
        <v>East</v>
      </c>
      <c r="N543">
        <f>IFERROR(VLOOKUP(D543,Products!$A$2:$F$61,4,FALSE()),"")</f>
        <v>396</v>
      </c>
      <c r="O543" t="str">
        <f>IFERROR(VLOOKUP(C543,Customers!$A$2:$F$301,5,FALSE()),"")</f>
        <v>Corporate</v>
      </c>
      <c r="P543">
        <f>IFERROR(VLOOKUP(C543,Customers!$A$2:$F$301,3,FALSE()),"")</f>
        <v>62</v>
      </c>
      <c r="Q543">
        <f t="shared" si="24"/>
        <v>0.36129032258064514</v>
      </c>
      <c r="R543">
        <f>IF(AND(COUNTIF($A$2:$A$2047,A543)&gt;1,COUNTIF($A$2:A543,A543)=1),1,0)</f>
        <v>0</v>
      </c>
      <c r="S543" t="b">
        <f>IFERROR(VLOOKUP(D543,Products!$A$2:$F$61,6,FALSE()),"")</f>
        <v>1</v>
      </c>
      <c r="T543" t="str">
        <f>IF(COUNTIF(Customers!$A$2:$A$301,C543)=0,"Missing","OK")</f>
        <v>OK</v>
      </c>
      <c r="U543" t="str">
        <f t="shared" si="25"/>
        <v>Mumbai</v>
      </c>
      <c r="V543">
        <f t="shared" si="26"/>
        <v>0</v>
      </c>
    </row>
    <row r="544" spans="1:22" ht="15" customHeight="1" x14ac:dyDescent="0.35">
      <c r="A544" s="3" t="s">
        <v>927</v>
      </c>
      <c r="B544" s="4">
        <v>45379</v>
      </c>
      <c r="C544" s="3" t="s">
        <v>577</v>
      </c>
      <c r="D544" s="3" t="s">
        <v>86</v>
      </c>
      <c r="E544" s="3" t="s">
        <v>25</v>
      </c>
      <c r="F544" s="5">
        <v>3</v>
      </c>
      <c r="G544" s="5">
        <v>190</v>
      </c>
      <c r="H544" s="5">
        <v>17.899999999999999</v>
      </c>
      <c r="I544" s="5">
        <v>467.97</v>
      </c>
      <c r="J544" s="3" t="s">
        <v>32</v>
      </c>
      <c r="K544" s="3" t="s">
        <v>38</v>
      </c>
      <c r="L544" t="str">
        <f>IFERROR(VLOOKUP(D544,Products!$A$2:$F$61,3,FALSE()),"")</f>
        <v>Sports</v>
      </c>
      <c r="M544" t="str">
        <f>IFERROR(VLOOKUP(E544,Sales_Reps!$A$2:$C$31,3,FALSE()),"")</f>
        <v>North</v>
      </c>
      <c r="N544">
        <f>IFERROR(VLOOKUP(D544,Products!$A$2:$F$61,4,FALSE()),"")</f>
        <v>147</v>
      </c>
      <c r="O544" t="str">
        <f>IFERROR(VLOOKUP(C544,Customers!$A$2:$F$301,5,FALSE()),"")</f>
        <v>Retail</v>
      </c>
      <c r="P544">
        <f>IFERROR(VLOOKUP(C544,Customers!$A$2:$F$301,3,FALSE()),"")</f>
        <v>43</v>
      </c>
      <c r="Q544">
        <f t="shared" si="24"/>
        <v>0.22631578947368422</v>
      </c>
      <c r="R544">
        <f>IF(AND(COUNTIF($A$2:$A$2047,A544)&gt;1,COUNTIF($A$2:A544,A544)=1),1,0)</f>
        <v>0</v>
      </c>
      <c r="S544" t="b">
        <f>IFERROR(VLOOKUP(D544,Products!$A$2:$F$61,6,FALSE()),"")</f>
        <v>1</v>
      </c>
      <c r="T544" t="str">
        <f>IF(COUNTIF(Customers!$A$2:$A$301,C544)=0,"Missing","OK")</f>
        <v>OK</v>
      </c>
      <c r="U544" t="str">
        <f t="shared" si="25"/>
        <v>Delhi</v>
      </c>
      <c r="V544">
        <f t="shared" si="26"/>
        <v>0</v>
      </c>
    </row>
    <row r="545" spans="1:22" ht="15" customHeight="1" x14ac:dyDescent="0.35">
      <c r="A545" s="3" t="s">
        <v>928</v>
      </c>
      <c r="B545" s="4">
        <v>45332</v>
      </c>
      <c r="C545" s="3" t="s">
        <v>929</v>
      </c>
      <c r="D545" s="3" t="s">
        <v>24</v>
      </c>
      <c r="E545" s="3" t="s">
        <v>60</v>
      </c>
      <c r="F545" s="5">
        <v>2</v>
      </c>
      <c r="G545" s="5">
        <v>3620</v>
      </c>
      <c r="H545" s="5">
        <v>15.5</v>
      </c>
      <c r="I545" s="5">
        <v>6117.8</v>
      </c>
      <c r="J545" s="3" t="s">
        <v>26</v>
      </c>
      <c r="K545" s="3" t="s">
        <v>56</v>
      </c>
      <c r="L545" t="str">
        <f>IFERROR(VLOOKUP(D545,Products!$A$2:$F$61,3,FALSE()),"")</f>
        <v>Apparel</v>
      </c>
      <c r="M545" t="str">
        <f>IFERROR(VLOOKUP(E545,Sales_Reps!$A$2:$C$31,3,FALSE()),"")</f>
        <v>East</v>
      </c>
      <c r="N545">
        <f>IFERROR(VLOOKUP(D545,Products!$A$2:$F$61,4,FALSE()),"")</f>
        <v>2509</v>
      </c>
      <c r="O545" t="str">
        <f>IFERROR(VLOOKUP(C545,Customers!$A$2:$F$301,5,FALSE()),"")</f>
        <v>Retail</v>
      </c>
      <c r="P545">
        <f>IFERROR(VLOOKUP(C545,Customers!$A$2:$F$301,3,FALSE()),"")</f>
        <v>61</v>
      </c>
      <c r="Q545">
        <f t="shared" si="24"/>
        <v>0.3069060773480663</v>
      </c>
      <c r="R545">
        <f>IF(AND(COUNTIF($A$2:$A$2047,A545)&gt;1,COUNTIF($A$2:A545,A545)=1),1,0)</f>
        <v>0</v>
      </c>
      <c r="S545" t="b">
        <f>IFERROR(VLOOKUP(D545,Products!$A$2:$F$61,6,FALSE()),"")</f>
        <v>1</v>
      </c>
      <c r="T545" t="str">
        <f>IF(COUNTIF(Customers!$A$2:$A$301,C545)=0,"Missing","OK")</f>
        <v>OK</v>
      </c>
      <c r="U545" t="str">
        <f t="shared" si="25"/>
        <v>Bengaluru</v>
      </c>
      <c r="V545">
        <f t="shared" si="26"/>
        <v>0</v>
      </c>
    </row>
    <row r="546" spans="1:22" ht="15" customHeight="1" x14ac:dyDescent="0.35">
      <c r="A546" s="3" t="s">
        <v>930</v>
      </c>
      <c r="B546" s="4">
        <v>45610</v>
      </c>
      <c r="C546" s="3" t="s">
        <v>129</v>
      </c>
      <c r="D546" s="3" t="s">
        <v>134</v>
      </c>
      <c r="E546" s="3" t="s">
        <v>242</v>
      </c>
      <c r="F546" s="5">
        <v>5</v>
      </c>
      <c r="G546" s="5">
        <v>2860</v>
      </c>
      <c r="H546" s="5">
        <v>26.8</v>
      </c>
      <c r="I546" s="5">
        <v>10467.6</v>
      </c>
      <c r="J546" s="3" t="s">
        <v>26</v>
      </c>
      <c r="K546" s="3" t="s">
        <v>72</v>
      </c>
      <c r="L546" t="str">
        <f>IFERROR(VLOOKUP(D546,Products!$A$2:$F$61,3,FALSE()),"")</f>
        <v>Sports</v>
      </c>
      <c r="M546" t="str">
        <f>IFERROR(VLOOKUP(E546,Sales_Reps!$A$2:$C$31,3,FALSE()),"")</f>
        <v>East</v>
      </c>
      <c r="N546">
        <f>IFERROR(VLOOKUP(D546,Products!$A$2:$F$61,4,FALSE()),"")</f>
        <v>2028</v>
      </c>
      <c r="O546" t="str">
        <f>IFERROR(VLOOKUP(C546,Customers!$A$2:$F$301,5,FALSE()),"")</f>
        <v>Corporate</v>
      </c>
      <c r="P546">
        <f>IFERROR(VLOOKUP(C546,Customers!$A$2:$F$301,3,FALSE()),"")</f>
        <v>56</v>
      </c>
      <c r="Q546">
        <f t="shared" si="24"/>
        <v>0.29090909090909089</v>
      </c>
      <c r="R546">
        <f>IF(AND(COUNTIF($A$2:$A$2047,A546)&gt;1,COUNTIF($A$2:A546,A546)=1),1,0)</f>
        <v>0</v>
      </c>
      <c r="S546" t="b">
        <f>IFERROR(VLOOKUP(D546,Products!$A$2:$F$61,6,FALSE()),"")</f>
        <v>1</v>
      </c>
      <c r="T546" t="str">
        <f>IF(COUNTIF(Customers!$A$2:$A$301,C546)=0,"Missing","OK")</f>
        <v>OK</v>
      </c>
      <c r="U546" t="str">
        <f t="shared" si="25"/>
        <v>Hyderabad</v>
      </c>
      <c r="V546">
        <f t="shared" si="26"/>
        <v>0</v>
      </c>
    </row>
    <row r="547" spans="1:22" ht="15" customHeight="1" x14ac:dyDescent="0.35">
      <c r="A547" s="3" t="s">
        <v>931</v>
      </c>
      <c r="B547" s="4">
        <v>45638</v>
      </c>
      <c r="C547" s="3" t="s">
        <v>849</v>
      </c>
      <c r="D547" s="3" t="s">
        <v>90</v>
      </c>
      <c r="E547" s="3" t="s">
        <v>93</v>
      </c>
      <c r="F547" s="5">
        <v>6</v>
      </c>
      <c r="G547" s="5">
        <v>2400</v>
      </c>
      <c r="H547" s="5">
        <v>19.2</v>
      </c>
      <c r="I547" s="5">
        <v>11635.2</v>
      </c>
      <c r="J547" s="3" t="s">
        <v>79</v>
      </c>
      <c r="K547" s="3" t="s">
        <v>38</v>
      </c>
      <c r="L547" t="str">
        <f>IFERROR(VLOOKUP(D547,Products!$A$2:$F$61,3,FALSE()),"")</f>
        <v>Sports</v>
      </c>
      <c r="M547" t="str">
        <f>IFERROR(VLOOKUP(E547,Sales_Reps!$A$2:$C$31,3,FALSE()),"")</f>
        <v>East</v>
      </c>
      <c r="N547">
        <f>IFERROR(VLOOKUP(D547,Products!$A$2:$F$61,4,FALSE()),"")</f>
        <v>974</v>
      </c>
      <c r="O547" t="str">
        <f>IFERROR(VLOOKUP(C547,Customers!$A$2:$F$301,5,FALSE()),"")</f>
        <v>Retail</v>
      </c>
      <c r="P547">
        <f>IFERROR(VLOOKUP(C547,Customers!$A$2:$F$301,3,FALSE()),"")</f>
        <v>55</v>
      </c>
      <c r="Q547">
        <f t="shared" si="24"/>
        <v>0.59416666666666662</v>
      </c>
      <c r="R547">
        <f>IF(AND(COUNTIF($A$2:$A$2047,A547)&gt;1,COUNTIF($A$2:A547,A547)=1),1,0)</f>
        <v>0</v>
      </c>
      <c r="S547" t="b">
        <f>IFERROR(VLOOKUP(D547,Products!$A$2:$F$61,6,FALSE()),"")</f>
        <v>1</v>
      </c>
      <c r="T547" t="str">
        <f>IF(COUNTIF(Customers!$A$2:$A$301,C547)=0,"Missing","OK")</f>
        <v>OK</v>
      </c>
      <c r="U547" t="str">
        <f t="shared" si="25"/>
        <v>Delhi</v>
      </c>
      <c r="V547">
        <f t="shared" si="26"/>
        <v>0</v>
      </c>
    </row>
    <row r="548" spans="1:22" ht="15" customHeight="1" x14ac:dyDescent="0.35">
      <c r="A548" s="3" t="s">
        <v>932</v>
      </c>
      <c r="B548" s="4">
        <v>45546</v>
      </c>
      <c r="C548" s="3" t="s">
        <v>549</v>
      </c>
      <c r="D548" s="3" t="s">
        <v>382</v>
      </c>
      <c r="E548" s="3" t="s">
        <v>143</v>
      </c>
      <c r="F548" s="5">
        <v>7</v>
      </c>
      <c r="G548" s="5">
        <v>5080</v>
      </c>
      <c r="H548" s="5">
        <v>16.600000000000001</v>
      </c>
      <c r="I548" s="5">
        <v>29657.040000000001</v>
      </c>
      <c r="J548" s="3" t="s">
        <v>32</v>
      </c>
      <c r="K548" s="3" t="s">
        <v>56</v>
      </c>
      <c r="L548" t="str">
        <f>IFERROR(VLOOKUP(D548,Products!$A$2:$F$61,3,FALSE()),"")</f>
        <v>Home</v>
      </c>
      <c r="M548" t="str">
        <f>IFERROR(VLOOKUP(E548,Sales_Reps!$A$2:$C$31,3,FALSE()),"")</f>
        <v>South</v>
      </c>
      <c r="N548">
        <f>IFERROR(VLOOKUP(D548,Products!$A$2:$F$61,4,FALSE()),"")</f>
        <v>2459</v>
      </c>
      <c r="O548" t="str">
        <f>IFERROR(VLOOKUP(C548,Customers!$A$2:$F$301,5,FALSE()),"")</f>
        <v>SMB</v>
      </c>
      <c r="P548">
        <f>IFERROR(VLOOKUP(C548,Customers!$A$2:$F$301,3,FALSE()),"")</f>
        <v>42</v>
      </c>
      <c r="Q548">
        <f t="shared" si="24"/>
        <v>0.51594488188976373</v>
      </c>
      <c r="R548">
        <f>IF(AND(COUNTIF($A$2:$A$2047,A548)&gt;1,COUNTIF($A$2:A548,A548)=1),1,0)</f>
        <v>0</v>
      </c>
      <c r="S548" t="b">
        <f>IFERROR(VLOOKUP(D548,Products!$A$2:$F$61,6,FALSE()),"")</f>
        <v>1</v>
      </c>
      <c r="T548" t="str">
        <f>IF(COUNTIF(Customers!$A$2:$A$301,C548)=0,"Missing","OK")</f>
        <v>OK</v>
      </c>
      <c r="U548" t="str">
        <f t="shared" si="25"/>
        <v>Bengaluru</v>
      </c>
      <c r="V548">
        <f t="shared" si="26"/>
        <v>0</v>
      </c>
    </row>
    <row r="549" spans="1:22" ht="15" customHeight="1" x14ac:dyDescent="0.35">
      <c r="A549" s="3" t="s">
        <v>933</v>
      </c>
      <c r="B549" s="4">
        <v>45436</v>
      </c>
      <c r="C549" s="3" t="s">
        <v>95</v>
      </c>
      <c r="D549" s="3" t="s">
        <v>382</v>
      </c>
      <c r="E549" s="3" t="s">
        <v>127</v>
      </c>
      <c r="F549" s="5">
        <v>10</v>
      </c>
      <c r="G549" s="5">
        <v>5080</v>
      </c>
      <c r="H549" s="5">
        <v>24.6</v>
      </c>
      <c r="I549" s="5">
        <v>38303.199999999997</v>
      </c>
      <c r="J549" s="3" t="s">
        <v>26</v>
      </c>
      <c r="K549" s="3" t="s">
        <v>72</v>
      </c>
      <c r="L549" t="str">
        <f>IFERROR(VLOOKUP(D549,Products!$A$2:$F$61,3,FALSE()),"")</f>
        <v>Home</v>
      </c>
      <c r="M549" t="str">
        <f>IFERROR(VLOOKUP(E549,Sales_Reps!$A$2:$C$31,3,FALSE()),"")</f>
        <v>South</v>
      </c>
      <c r="N549">
        <f>IFERROR(VLOOKUP(D549,Products!$A$2:$F$61,4,FALSE()),"")</f>
        <v>2459</v>
      </c>
      <c r="O549" t="str">
        <f>IFERROR(VLOOKUP(C549,Customers!$A$2:$F$301,5,FALSE()),"")</f>
        <v>Corporate</v>
      </c>
      <c r="P549">
        <f>IFERROR(VLOOKUP(C549,Customers!$A$2:$F$301,3,FALSE()),"")</f>
        <v>32</v>
      </c>
      <c r="Q549">
        <f t="shared" si="24"/>
        <v>0.51594488188976373</v>
      </c>
      <c r="R549">
        <f>IF(AND(COUNTIF($A$2:$A$2047,A549)&gt;1,COUNTIF($A$2:A549,A549)=1),1,0)</f>
        <v>0</v>
      </c>
      <c r="S549" t="b">
        <f>IFERROR(VLOOKUP(D549,Products!$A$2:$F$61,6,FALSE()),"")</f>
        <v>1</v>
      </c>
      <c r="T549" t="str">
        <f>IF(COUNTIF(Customers!$A$2:$A$301,C549)=0,"Missing","OK")</f>
        <v>OK</v>
      </c>
      <c r="U549" t="str">
        <f t="shared" si="25"/>
        <v>Hyderabad</v>
      </c>
      <c r="V549">
        <f t="shared" si="26"/>
        <v>0</v>
      </c>
    </row>
    <row r="550" spans="1:22" ht="15" customHeight="1" x14ac:dyDescent="0.35">
      <c r="A550" s="3" t="s">
        <v>934</v>
      </c>
      <c r="B550" s="4">
        <v>45532</v>
      </c>
      <c r="C550" s="3" t="s">
        <v>898</v>
      </c>
      <c r="D550" s="3" t="s">
        <v>54</v>
      </c>
      <c r="E550" s="3" t="s">
        <v>46</v>
      </c>
      <c r="F550" s="5">
        <v>7</v>
      </c>
      <c r="G550" s="5">
        <v>960</v>
      </c>
      <c r="H550" s="5">
        <v>16.600000000000001</v>
      </c>
      <c r="I550" s="5">
        <v>5604.48</v>
      </c>
      <c r="J550" s="3" t="s">
        <v>26</v>
      </c>
      <c r="K550" s="3" t="s">
        <v>51</v>
      </c>
      <c r="L550" t="str">
        <f>IFERROR(VLOOKUP(D550,Products!$A$2:$F$61,3,FALSE()),"")</f>
        <v>Sports</v>
      </c>
      <c r="M550" t="str">
        <f>IFERROR(VLOOKUP(E550,Sales_Reps!$A$2:$C$31,3,FALSE()),"")</f>
        <v>North</v>
      </c>
      <c r="N550">
        <f>IFERROR(VLOOKUP(D550,Products!$A$2:$F$61,4,FALSE()),"")</f>
        <v>705</v>
      </c>
      <c r="O550" t="str">
        <f>IFERROR(VLOOKUP(C550,Customers!$A$2:$F$301,5,FALSE()),"")</f>
        <v>SMB</v>
      </c>
      <c r="P550">
        <f>IFERROR(VLOOKUP(C550,Customers!$A$2:$F$301,3,FALSE()),"")</f>
        <v>65</v>
      </c>
      <c r="Q550">
        <f t="shared" si="24"/>
        <v>0.265625</v>
      </c>
      <c r="R550">
        <f>IF(AND(COUNTIF($A$2:$A$2047,A550)&gt;1,COUNTIF($A$2:A550,A550)=1),1,0)</f>
        <v>0</v>
      </c>
      <c r="S550" t="b">
        <f>IFERROR(VLOOKUP(D550,Products!$A$2:$F$61,6,FALSE()),"")</f>
        <v>1</v>
      </c>
      <c r="T550" t="str">
        <f>IF(COUNTIF(Customers!$A$2:$A$301,C550)=0,"Missing","OK")</f>
        <v>OK</v>
      </c>
      <c r="U550" t="str">
        <f t="shared" si="25"/>
        <v>Mumbai</v>
      </c>
      <c r="V550">
        <f t="shared" si="26"/>
        <v>0</v>
      </c>
    </row>
    <row r="551" spans="1:22" ht="15" customHeight="1" x14ac:dyDescent="0.35">
      <c r="A551" s="3" t="s">
        <v>935</v>
      </c>
      <c r="B551" s="4">
        <v>45568</v>
      </c>
      <c r="C551" s="3" t="s">
        <v>205</v>
      </c>
      <c r="D551" s="3" t="s">
        <v>41</v>
      </c>
      <c r="E551" s="3" t="s">
        <v>67</v>
      </c>
      <c r="F551" s="5">
        <v>3</v>
      </c>
      <c r="G551" s="5">
        <v>3660</v>
      </c>
      <c r="H551" s="5">
        <v>3.2</v>
      </c>
      <c r="I551" s="5">
        <v>10628.64</v>
      </c>
      <c r="J551" s="3" t="s">
        <v>32</v>
      </c>
      <c r="K551" s="3" t="s">
        <v>38</v>
      </c>
      <c r="L551" t="str">
        <f>IFERROR(VLOOKUP(D551,Products!$A$2:$F$61,3,FALSE()),"")</f>
        <v>Grocery</v>
      </c>
      <c r="M551" t="str">
        <f>IFERROR(VLOOKUP(E551,Sales_Reps!$A$2:$C$31,3,FALSE()),"")</f>
        <v>West</v>
      </c>
      <c r="N551">
        <f>IFERROR(VLOOKUP(D551,Products!$A$2:$F$61,4,FALSE()),"")</f>
        <v>2214</v>
      </c>
      <c r="O551" t="str">
        <f>IFERROR(VLOOKUP(C551,Customers!$A$2:$F$301,5,FALSE()),"")</f>
        <v>Corporate</v>
      </c>
      <c r="P551">
        <f>IFERROR(VLOOKUP(C551,Customers!$A$2:$F$301,3,FALSE()),"")</f>
        <v>55</v>
      </c>
      <c r="Q551">
        <f t="shared" si="24"/>
        <v>0.39508196721311473</v>
      </c>
      <c r="R551">
        <f>IF(AND(COUNTIF($A$2:$A$2047,A551)&gt;1,COUNTIF($A$2:A551,A551)=1),1,0)</f>
        <v>0</v>
      </c>
      <c r="S551" t="b">
        <f>IFERROR(VLOOKUP(D551,Products!$A$2:$F$61,6,FALSE()),"")</f>
        <v>0</v>
      </c>
      <c r="T551" t="str">
        <f>IF(COUNTIF(Customers!$A$2:$A$301,C551)=0,"Missing","OK")</f>
        <v>OK</v>
      </c>
      <c r="U551" t="str">
        <f t="shared" si="25"/>
        <v>Delhi</v>
      </c>
      <c r="V551">
        <f t="shared" si="26"/>
        <v>0</v>
      </c>
    </row>
    <row r="552" spans="1:22" ht="15" customHeight="1" x14ac:dyDescent="0.35">
      <c r="A552" s="3" t="s">
        <v>936</v>
      </c>
      <c r="B552" s="4">
        <v>45572</v>
      </c>
      <c r="C552" s="3" t="s">
        <v>136</v>
      </c>
      <c r="D552" s="3" t="s">
        <v>74</v>
      </c>
      <c r="E552" s="3" t="s">
        <v>143</v>
      </c>
      <c r="F552" s="5">
        <v>6</v>
      </c>
      <c r="G552" s="5">
        <v>2640</v>
      </c>
      <c r="H552" s="5">
        <v>26.3</v>
      </c>
      <c r="I552" s="5">
        <v>11674.08</v>
      </c>
      <c r="J552" s="3" t="s">
        <v>26</v>
      </c>
      <c r="K552" s="3" t="s">
        <v>27</v>
      </c>
      <c r="L552" t="str">
        <f>IFERROR(VLOOKUP(D552,Products!$A$2:$F$61,3,FALSE()),"")</f>
        <v>Electronics</v>
      </c>
      <c r="M552" t="str">
        <f>IFERROR(VLOOKUP(E552,Sales_Reps!$A$2:$C$31,3,FALSE()),"")</f>
        <v>South</v>
      </c>
      <c r="N552">
        <f>IFERROR(VLOOKUP(D552,Products!$A$2:$F$61,4,FALSE()),"")</f>
        <v>1149</v>
      </c>
      <c r="O552" t="str">
        <f>IFERROR(VLOOKUP(C552,Customers!$A$2:$F$301,5,FALSE()),"")</f>
        <v>Corporate</v>
      </c>
      <c r="P552">
        <f>IFERROR(VLOOKUP(C552,Customers!$A$2:$F$301,3,FALSE()),"")</f>
        <v>47</v>
      </c>
      <c r="Q552">
        <f t="shared" si="24"/>
        <v>0.56477272727272732</v>
      </c>
      <c r="R552">
        <f>IF(AND(COUNTIF($A$2:$A$2047,A552)&gt;1,COUNTIF($A$2:A552,A552)=1),1,0)</f>
        <v>0</v>
      </c>
      <c r="S552" t="b">
        <f>IFERROR(VLOOKUP(D552,Products!$A$2:$F$61,6,FALSE()),"")</f>
        <v>1</v>
      </c>
      <c r="T552" t="str">
        <f>IF(COUNTIF(Customers!$A$2:$A$301,C552)=0,"Missing","OK")</f>
        <v>OK</v>
      </c>
      <c r="U552" t="str">
        <f t="shared" si="25"/>
        <v>Pune</v>
      </c>
      <c r="V552">
        <f t="shared" si="26"/>
        <v>0</v>
      </c>
    </row>
    <row r="553" spans="1:22" ht="15" customHeight="1" x14ac:dyDescent="0.35">
      <c r="A553" s="3" t="s">
        <v>937</v>
      </c>
      <c r="B553" s="4">
        <v>45562</v>
      </c>
      <c r="C553" s="3" t="s">
        <v>364</v>
      </c>
      <c r="D553" s="3" t="s">
        <v>206</v>
      </c>
      <c r="E553" s="3" t="s">
        <v>143</v>
      </c>
      <c r="F553" s="5">
        <v>6</v>
      </c>
      <c r="G553" s="5">
        <v>1220</v>
      </c>
      <c r="H553" s="5">
        <v>22.3</v>
      </c>
      <c r="I553" s="5">
        <v>5687.64</v>
      </c>
      <c r="J553" s="3" t="s">
        <v>79</v>
      </c>
      <c r="K553" s="3" t="s">
        <v>33</v>
      </c>
      <c r="L553" t="str">
        <f>IFERROR(VLOOKUP(D553,Products!$A$2:$F$61,3,FALSE()),"")</f>
        <v>Electronics</v>
      </c>
      <c r="M553" t="str">
        <f>IFERROR(VLOOKUP(E553,Sales_Reps!$A$2:$C$31,3,FALSE()),"")</f>
        <v>South</v>
      </c>
      <c r="N553">
        <f>IFERROR(VLOOKUP(D553,Products!$A$2:$F$61,4,FALSE()),"")</f>
        <v>517</v>
      </c>
      <c r="O553" t="str">
        <f>IFERROR(VLOOKUP(C553,Customers!$A$2:$F$301,5,FALSE()),"")</f>
        <v>SMB</v>
      </c>
      <c r="P553">
        <f>IFERROR(VLOOKUP(C553,Customers!$A$2:$F$301,3,FALSE()),"")</f>
        <v>64</v>
      </c>
      <c r="Q553">
        <f t="shared" si="24"/>
        <v>0.57622950819672136</v>
      </c>
      <c r="R553">
        <f>IF(AND(COUNTIF($A$2:$A$2047,A553)&gt;1,COUNTIF($A$2:A553,A553)=1),1,0)</f>
        <v>0</v>
      </c>
      <c r="S553" t="b">
        <f>IFERROR(VLOOKUP(D553,Products!$A$2:$F$61,6,FALSE()),"")</f>
        <v>1</v>
      </c>
      <c r="T553" t="str">
        <f>IF(COUNTIF(Customers!$A$2:$A$301,C553)=0,"Missing","OK")</f>
        <v>OK</v>
      </c>
      <c r="U553" t="str">
        <f t="shared" si="25"/>
        <v>Chennai</v>
      </c>
      <c r="V553">
        <f t="shared" si="26"/>
        <v>0</v>
      </c>
    </row>
    <row r="554" spans="1:22" ht="15" customHeight="1" x14ac:dyDescent="0.35">
      <c r="A554" s="3" t="s">
        <v>938</v>
      </c>
      <c r="B554" s="4">
        <v>45345</v>
      </c>
      <c r="C554" s="3" t="s">
        <v>939</v>
      </c>
      <c r="D554" s="3" t="s">
        <v>221</v>
      </c>
      <c r="E554" s="3" t="s">
        <v>191</v>
      </c>
      <c r="F554" s="5">
        <v>1</v>
      </c>
      <c r="G554" s="5">
        <v>300</v>
      </c>
      <c r="H554" s="5">
        <v>0.7</v>
      </c>
      <c r="I554" s="5">
        <v>297.89999999999998</v>
      </c>
      <c r="J554" s="3" t="s">
        <v>26</v>
      </c>
      <c r="K554" s="3" t="s">
        <v>56</v>
      </c>
      <c r="L554" t="str">
        <f>IFERROR(VLOOKUP(D554,Products!$A$2:$F$61,3,FALSE()),"")</f>
        <v>Electronics</v>
      </c>
      <c r="M554" t="str">
        <f>IFERROR(VLOOKUP(E554,Sales_Reps!$A$2:$C$31,3,FALSE()),"")</f>
        <v>South</v>
      </c>
      <c r="N554">
        <f>IFERROR(VLOOKUP(D554,Products!$A$2:$F$61,4,FALSE()),"")</f>
        <v>128</v>
      </c>
      <c r="O554" t="str">
        <f>IFERROR(VLOOKUP(C554,Customers!$A$2:$F$301,5,FALSE()),"")</f>
        <v>Retail</v>
      </c>
      <c r="P554">
        <f>IFERROR(VLOOKUP(C554,Customers!$A$2:$F$301,3,FALSE()),"")</f>
        <v>27</v>
      </c>
      <c r="Q554">
        <f t="shared" si="24"/>
        <v>0.57333333333333336</v>
      </c>
      <c r="R554">
        <f>IF(AND(COUNTIF($A$2:$A$2047,A554)&gt;1,COUNTIF($A$2:A554,A554)=1),1,0)</f>
        <v>0</v>
      </c>
      <c r="S554" t="b">
        <f>IFERROR(VLOOKUP(D554,Products!$A$2:$F$61,6,FALSE()),"")</f>
        <v>1</v>
      </c>
      <c r="T554" t="str">
        <f>IF(COUNTIF(Customers!$A$2:$A$301,C554)=0,"Missing","OK")</f>
        <v>OK</v>
      </c>
      <c r="U554" t="str">
        <f t="shared" si="25"/>
        <v>Bengaluru</v>
      </c>
      <c r="V554">
        <f t="shared" si="26"/>
        <v>0</v>
      </c>
    </row>
    <row r="555" spans="1:22" ht="15" customHeight="1" x14ac:dyDescent="0.35">
      <c r="A555" s="3" t="s">
        <v>940</v>
      </c>
      <c r="B555" s="4">
        <v>45370</v>
      </c>
      <c r="C555" s="3" t="s">
        <v>636</v>
      </c>
      <c r="D555" s="3" t="s">
        <v>121</v>
      </c>
      <c r="E555" s="3" t="s">
        <v>131</v>
      </c>
      <c r="F555" s="5">
        <v>2</v>
      </c>
      <c r="G555" s="5">
        <v>1010</v>
      </c>
      <c r="H555" s="5">
        <v>28</v>
      </c>
      <c r="I555" s="5">
        <v>1454.4</v>
      </c>
      <c r="J555" s="3" t="s">
        <v>26</v>
      </c>
      <c r="K555" s="3" t="s">
        <v>72</v>
      </c>
      <c r="L555" t="str">
        <f>IFERROR(VLOOKUP(D555,Products!$A$2:$F$61,3,FALSE()),"")</f>
        <v>Sports</v>
      </c>
      <c r="M555" t="str">
        <f>IFERROR(VLOOKUP(E555,Sales_Reps!$A$2:$C$31,3,FALSE()),"")</f>
        <v>East</v>
      </c>
      <c r="N555">
        <f>IFERROR(VLOOKUP(D555,Products!$A$2:$F$61,4,FALSE()),"")</f>
        <v>516</v>
      </c>
      <c r="O555" t="str">
        <f>IFERROR(VLOOKUP(C555,Customers!$A$2:$F$301,5,FALSE()),"")</f>
        <v>Retail</v>
      </c>
      <c r="P555">
        <f>IFERROR(VLOOKUP(C555,Customers!$A$2:$F$301,3,FALSE()),"")</f>
        <v>65</v>
      </c>
      <c r="Q555">
        <f t="shared" si="24"/>
        <v>0.4891089108910891</v>
      </c>
      <c r="R555">
        <f>IF(AND(COUNTIF($A$2:$A$2047,A555)&gt;1,COUNTIF($A$2:A555,A555)=1),1,0)</f>
        <v>0</v>
      </c>
      <c r="S555" t="b">
        <f>IFERROR(VLOOKUP(D555,Products!$A$2:$F$61,6,FALSE()),"")</f>
        <v>1</v>
      </c>
      <c r="T555" t="str">
        <f>IF(COUNTIF(Customers!$A$2:$A$301,C555)=0,"Missing","OK")</f>
        <v>OK</v>
      </c>
      <c r="U555" t="str">
        <f t="shared" si="25"/>
        <v>Hyderabad</v>
      </c>
      <c r="V555">
        <f t="shared" si="26"/>
        <v>0</v>
      </c>
    </row>
    <row r="556" spans="1:22" ht="15" customHeight="1" x14ac:dyDescent="0.35">
      <c r="A556" s="3" t="s">
        <v>941</v>
      </c>
      <c r="B556" s="4">
        <v>45407</v>
      </c>
      <c r="C556" s="3" t="s">
        <v>942</v>
      </c>
      <c r="D556" s="3" t="s">
        <v>77</v>
      </c>
      <c r="E556" s="3" t="s">
        <v>212</v>
      </c>
      <c r="F556" s="5">
        <v>5</v>
      </c>
      <c r="G556" s="5">
        <v>2600</v>
      </c>
      <c r="H556" s="5">
        <v>0.8</v>
      </c>
      <c r="I556" s="5">
        <v>12896</v>
      </c>
      <c r="J556" s="3" t="s">
        <v>79</v>
      </c>
      <c r="K556" s="3" t="s">
        <v>38</v>
      </c>
      <c r="L556" t="str">
        <f>IFERROR(VLOOKUP(D556,Products!$A$2:$F$61,3,FALSE()),"")</f>
        <v>Electronics</v>
      </c>
      <c r="M556" t="str">
        <f>IFERROR(VLOOKUP(E556,Sales_Reps!$A$2:$C$31,3,FALSE()),"")</f>
        <v>South</v>
      </c>
      <c r="N556">
        <f>IFERROR(VLOOKUP(D556,Products!$A$2:$F$61,4,FALSE()),"")</f>
        <v>1052</v>
      </c>
      <c r="O556" t="str">
        <f>IFERROR(VLOOKUP(C556,Customers!$A$2:$F$301,5,FALSE()),"")</f>
        <v>SMB</v>
      </c>
      <c r="P556">
        <f>IFERROR(VLOOKUP(C556,Customers!$A$2:$F$301,3,FALSE()),"")</f>
        <v>45</v>
      </c>
      <c r="Q556">
        <f t="shared" si="24"/>
        <v>0.5953846153846154</v>
      </c>
      <c r="R556">
        <f>IF(AND(COUNTIF($A$2:$A$2047,A556)&gt;1,COUNTIF($A$2:A556,A556)=1),1,0)</f>
        <v>0</v>
      </c>
      <c r="S556" t="b">
        <f>IFERROR(VLOOKUP(D556,Products!$A$2:$F$61,6,FALSE()),"")</f>
        <v>1</v>
      </c>
      <c r="T556" t="str">
        <f>IF(COUNTIF(Customers!$A$2:$A$301,C556)=0,"Missing","OK")</f>
        <v>OK</v>
      </c>
      <c r="U556" t="str">
        <f t="shared" si="25"/>
        <v>Delhi</v>
      </c>
      <c r="V556">
        <f t="shared" si="26"/>
        <v>0</v>
      </c>
    </row>
    <row r="557" spans="1:22" ht="15" customHeight="1" x14ac:dyDescent="0.35">
      <c r="A557" s="3" t="s">
        <v>943</v>
      </c>
      <c r="B557" s="4">
        <v>45337</v>
      </c>
      <c r="C557" s="3" t="s">
        <v>494</v>
      </c>
      <c r="D557" s="3" t="s">
        <v>454</v>
      </c>
      <c r="E557" s="3" t="s">
        <v>140</v>
      </c>
      <c r="F557" s="5">
        <v>3</v>
      </c>
      <c r="G557" s="5">
        <v>6940</v>
      </c>
      <c r="H557" s="5">
        <v>10.7</v>
      </c>
      <c r="I557" s="5">
        <v>18592.259999999998</v>
      </c>
      <c r="J557" s="3" t="s">
        <v>79</v>
      </c>
      <c r="K557" s="3" t="s">
        <v>51</v>
      </c>
      <c r="L557" t="str">
        <f>IFERROR(VLOOKUP(D557,Products!$A$2:$F$61,3,FALSE()),"")</f>
        <v>Sports</v>
      </c>
      <c r="M557" t="str">
        <f>IFERROR(VLOOKUP(E557,Sales_Reps!$A$2:$C$31,3,FALSE()),"")</f>
        <v>West</v>
      </c>
      <c r="N557">
        <f>IFERROR(VLOOKUP(D557,Products!$A$2:$F$61,4,FALSE()),"")</f>
        <v>2827</v>
      </c>
      <c r="O557" t="str">
        <f>IFERROR(VLOOKUP(C557,Customers!$A$2:$F$301,5,FALSE()),"")</f>
        <v>Retail</v>
      </c>
      <c r="P557">
        <f>IFERROR(VLOOKUP(C557,Customers!$A$2:$F$301,3,FALSE()),"")</f>
        <v>37</v>
      </c>
      <c r="Q557">
        <f t="shared" si="24"/>
        <v>0.5926512968299712</v>
      </c>
      <c r="R557">
        <f>IF(AND(COUNTIF($A$2:$A$2047,A557)&gt;1,COUNTIF($A$2:A557,A557)=1),1,0)</f>
        <v>0</v>
      </c>
      <c r="S557" t="b">
        <f>IFERROR(VLOOKUP(D557,Products!$A$2:$F$61,6,FALSE()),"")</f>
        <v>1</v>
      </c>
      <c r="T557" t="str">
        <f>IF(COUNTIF(Customers!$A$2:$A$301,C557)=0,"Missing","OK")</f>
        <v>OK</v>
      </c>
      <c r="U557" t="str">
        <f t="shared" si="25"/>
        <v>Mumbai</v>
      </c>
      <c r="V557">
        <f t="shared" si="26"/>
        <v>0</v>
      </c>
    </row>
    <row r="558" spans="1:22" ht="15" customHeight="1" x14ac:dyDescent="0.35">
      <c r="A558" s="3" t="s">
        <v>944</v>
      </c>
      <c r="B558" s="4">
        <v>45571</v>
      </c>
      <c r="C558" s="3" t="s">
        <v>945</v>
      </c>
      <c r="D558" s="3" t="s">
        <v>49</v>
      </c>
      <c r="E558" s="3" t="s">
        <v>212</v>
      </c>
      <c r="F558" s="5">
        <v>1</v>
      </c>
      <c r="G558" s="5">
        <v>370</v>
      </c>
      <c r="H558" s="5">
        <v>10.3</v>
      </c>
      <c r="I558" s="5">
        <v>331.89</v>
      </c>
      <c r="J558" s="3" t="s">
        <v>83</v>
      </c>
      <c r="K558" s="3" t="s">
        <v>56</v>
      </c>
      <c r="L558" t="str">
        <f>IFERROR(VLOOKUP(D558,Products!$A$2:$F$61,3,FALSE()),"")</f>
        <v>Home</v>
      </c>
      <c r="M558" t="str">
        <f>IFERROR(VLOOKUP(E558,Sales_Reps!$A$2:$C$31,3,FALSE()),"")</f>
        <v>South</v>
      </c>
      <c r="N558">
        <f>IFERROR(VLOOKUP(D558,Products!$A$2:$F$61,4,FALSE()),"")</f>
        <v>288</v>
      </c>
      <c r="O558" t="str">
        <f>IFERROR(VLOOKUP(C558,Customers!$A$2:$F$301,5,FALSE()),"")</f>
        <v>SMB</v>
      </c>
      <c r="P558">
        <f>IFERROR(VLOOKUP(C558,Customers!$A$2:$F$301,3,FALSE()),"")</f>
        <v>44</v>
      </c>
      <c r="Q558">
        <f t="shared" si="24"/>
        <v>0.22162162162162163</v>
      </c>
      <c r="R558">
        <f>IF(AND(COUNTIF($A$2:$A$2047,A558)&gt;1,COUNTIF($A$2:A558,A558)=1),1,0)</f>
        <v>0</v>
      </c>
      <c r="S558" t="b">
        <f>IFERROR(VLOOKUP(D558,Products!$A$2:$F$61,6,FALSE()),"")</f>
        <v>1</v>
      </c>
      <c r="T558" t="str">
        <f>IF(COUNTIF(Customers!$A$2:$A$301,C558)=0,"Missing","OK")</f>
        <v>OK</v>
      </c>
      <c r="U558" t="str">
        <f t="shared" si="25"/>
        <v>Bengaluru</v>
      </c>
      <c r="V558">
        <f t="shared" si="26"/>
        <v>0</v>
      </c>
    </row>
    <row r="559" spans="1:22" ht="15" customHeight="1" x14ac:dyDescent="0.35">
      <c r="A559" s="3" t="s">
        <v>946</v>
      </c>
      <c r="B559" s="4">
        <v>45357</v>
      </c>
      <c r="C559" s="3" t="s">
        <v>536</v>
      </c>
      <c r="D559" s="3" t="s">
        <v>173</v>
      </c>
      <c r="E559" s="3" t="s">
        <v>168</v>
      </c>
      <c r="F559" s="5">
        <v>2</v>
      </c>
      <c r="G559" s="5">
        <v>3780</v>
      </c>
      <c r="H559" s="5">
        <v>29.4</v>
      </c>
      <c r="I559" s="5">
        <v>5337.36</v>
      </c>
      <c r="J559" s="3" t="s">
        <v>26</v>
      </c>
      <c r="K559" s="3" t="s">
        <v>51</v>
      </c>
      <c r="L559" t="str">
        <f>IFERROR(VLOOKUP(D559,Products!$A$2:$F$61,3,FALSE()),"")</f>
        <v>Grocery</v>
      </c>
      <c r="M559" t="str">
        <f>IFERROR(VLOOKUP(E559,Sales_Reps!$A$2:$C$31,3,FALSE()),"")</f>
        <v>West</v>
      </c>
      <c r="N559">
        <f>IFERROR(VLOOKUP(D559,Products!$A$2:$F$61,4,FALSE()),"")</f>
        <v>2436</v>
      </c>
      <c r="O559" t="str">
        <f>IFERROR(VLOOKUP(C559,Customers!$A$2:$F$301,5,FALSE()),"")</f>
        <v>Retail</v>
      </c>
      <c r="P559">
        <f>IFERROR(VLOOKUP(C559,Customers!$A$2:$F$301,3,FALSE()),"")</f>
        <v>39</v>
      </c>
      <c r="Q559">
        <f t="shared" si="24"/>
        <v>0.35555555555555557</v>
      </c>
      <c r="R559">
        <f>IF(AND(COUNTIF($A$2:$A$2047,A559)&gt;1,COUNTIF($A$2:A559,A559)=1),1,0)</f>
        <v>0</v>
      </c>
      <c r="S559" t="b">
        <f>IFERROR(VLOOKUP(D559,Products!$A$2:$F$61,6,FALSE()),"")</f>
        <v>1</v>
      </c>
      <c r="T559" t="str">
        <f>IF(COUNTIF(Customers!$A$2:$A$301,C559)=0,"Missing","OK")</f>
        <v>OK</v>
      </c>
      <c r="U559" t="str">
        <f t="shared" si="25"/>
        <v>Mumbai</v>
      </c>
      <c r="V559">
        <f t="shared" si="26"/>
        <v>0</v>
      </c>
    </row>
    <row r="560" spans="1:22" ht="15" customHeight="1" x14ac:dyDescent="0.35">
      <c r="A560" s="3" t="s">
        <v>947</v>
      </c>
      <c r="B560" s="4">
        <v>45432</v>
      </c>
      <c r="C560" s="3" t="s">
        <v>418</v>
      </c>
      <c r="D560" s="3" t="s">
        <v>66</v>
      </c>
      <c r="E560" s="3" t="s">
        <v>224</v>
      </c>
      <c r="F560" s="5">
        <v>5</v>
      </c>
      <c r="G560" s="5">
        <v>970</v>
      </c>
      <c r="H560" s="5">
        <v>14.6</v>
      </c>
      <c r="I560" s="5">
        <v>4141.8999999999996</v>
      </c>
      <c r="J560" s="3" t="s">
        <v>26</v>
      </c>
      <c r="K560" s="3" t="s">
        <v>27</v>
      </c>
      <c r="L560" t="str">
        <f>IFERROR(VLOOKUP(D560,Products!$A$2:$F$61,3,FALSE()),"")</f>
        <v>Grocery</v>
      </c>
      <c r="M560" t="str">
        <f>IFERROR(VLOOKUP(E560,Sales_Reps!$A$2:$C$31,3,FALSE()),"")</f>
        <v>East</v>
      </c>
      <c r="N560">
        <f>IFERROR(VLOOKUP(D560,Products!$A$2:$F$61,4,FALSE()),"")</f>
        <v>434</v>
      </c>
      <c r="O560" t="str">
        <f>IFERROR(VLOOKUP(C560,Customers!$A$2:$F$301,5,FALSE()),"")</f>
        <v>SMB</v>
      </c>
      <c r="P560">
        <f>IFERROR(VLOOKUP(C560,Customers!$A$2:$F$301,3,FALSE()),"")</f>
        <v>49</v>
      </c>
      <c r="Q560">
        <f t="shared" si="24"/>
        <v>0.5525773195876289</v>
      </c>
      <c r="R560">
        <f>IF(AND(COUNTIF($A$2:$A$2047,A560)&gt;1,COUNTIF($A$2:A560,A560)=1),1,0)</f>
        <v>0</v>
      </c>
      <c r="S560" t="b">
        <f>IFERROR(VLOOKUP(D560,Products!$A$2:$F$61,6,FALSE()),"")</f>
        <v>1</v>
      </c>
      <c r="T560" t="str">
        <f>IF(COUNTIF(Customers!$A$2:$A$301,C560)=0,"Missing","OK")</f>
        <v>OK</v>
      </c>
      <c r="U560" t="str">
        <f t="shared" si="25"/>
        <v>Pune</v>
      </c>
      <c r="V560">
        <f t="shared" si="26"/>
        <v>0</v>
      </c>
    </row>
    <row r="561" spans="1:22" ht="15" customHeight="1" x14ac:dyDescent="0.35">
      <c r="A561" s="3" t="s">
        <v>948</v>
      </c>
      <c r="B561" s="4">
        <v>45604</v>
      </c>
      <c r="C561" s="3" t="s">
        <v>724</v>
      </c>
      <c r="D561" s="3" t="s">
        <v>184</v>
      </c>
      <c r="E561" s="3" t="s">
        <v>236</v>
      </c>
      <c r="F561" s="5">
        <v>3</v>
      </c>
      <c r="G561" s="5">
        <v>2270</v>
      </c>
      <c r="H561" s="5">
        <v>6.5</v>
      </c>
      <c r="I561" s="5">
        <v>6367.35</v>
      </c>
      <c r="J561" s="3" t="s">
        <v>26</v>
      </c>
      <c r="K561" s="3" t="s">
        <v>27</v>
      </c>
      <c r="L561" t="str">
        <f>IFERROR(VLOOKUP(D561,Products!$A$2:$F$61,3,FALSE()),"")</f>
        <v>Grocery</v>
      </c>
      <c r="M561" t="str">
        <f>IFERROR(VLOOKUP(E561,Sales_Reps!$A$2:$C$31,3,FALSE()),"")</f>
        <v>North</v>
      </c>
      <c r="N561">
        <f>IFERROR(VLOOKUP(D561,Products!$A$2:$F$61,4,FALSE()),"")</f>
        <v>1412</v>
      </c>
      <c r="O561" t="str">
        <f>IFERROR(VLOOKUP(C561,Customers!$A$2:$F$301,5,FALSE()),"")</f>
        <v>Retail</v>
      </c>
      <c r="P561">
        <f>IFERROR(VLOOKUP(C561,Customers!$A$2:$F$301,3,FALSE()),"")</f>
        <v>31</v>
      </c>
      <c r="Q561">
        <f t="shared" si="24"/>
        <v>0.37797356828193834</v>
      </c>
      <c r="R561">
        <f>IF(AND(COUNTIF($A$2:$A$2047,A561)&gt;1,COUNTIF($A$2:A561,A561)=1),1,0)</f>
        <v>0</v>
      </c>
      <c r="S561" t="b">
        <f>IFERROR(VLOOKUP(D561,Products!$A$2:$F$61,6,FALSE()),"")</f>
        <v>1</v>
      </c>
      <c r="T561" t="str">
        <f>IF(COUNTIF(Customers!$A$2:$A$301,C561)=0,"Missing","OK")</f>
        <v>OK</v>
      </c>
      <c r="U561" t="str">
        <f t="shared" si="25"/>
        <v>Pune</v>
      </c>
      <c r="V561">
        <f t="shared" si="26"/>
        <v>0</v>
      </c>
    </row>
    <row r="562" spans="1:22" ht="15" customHeight="1" x14ac:dyDescent="0.35">
      <c r="A562" s="3" t="s">
        <v>949</v>
      </c>
      <c r="B562" s="4">
        <v>45467</v>
      </c>
      <c r="C562" s="3" t="s">
        <v>639</v>
      </c>
      <c r="D562" s="3" t="s">
        <v>198</v>
      </c>
      <c r="E562" s="3" t="s">
        <v>168</v>
      </c>
      <c r="F562" s="5">
        <v>10</v>
      </c>
      <c r="G562" s="5">
        <v>1540</v>
      </c>
      <c r="H562" s="5">
        <v>16.5</v>
      </c>
      <c r="I562" s="5">
        <v>12859</v>
      </c>
      <c r="J562" s="3" t="s">
        <v>26</v>
      </c>
      <c r="K562" s="3" t="s">
        <v>33</v>
      </c>
      <c r="L562" t="str">
        <f>IFERROR(VLOOKUP(D562,Products!$A$2:$F$61,3,FALSE()),"")</f>
        <v>Beauty</v>
      </c>
      <c r="M562" t="str">
        <f>IFERROR(VLOOKUP(E562,Sales_Reps!$A$2:$C$31,3,FALSE()),"")</f>
        <v>West</v>
      </c>
      <c r="N562">
        <f>IFERROR(VLOOKUP(D562,Products!$A$2:$F$61,4,FALSE()),"")</f>
        <v>647</v>
      </c>
      <c r="O562" t="str">
        <f>IFERROR(VLOOKUP(C562,Customers!$A$2:$F$301,5,FALSE()),"")</f>
        <v>SMB</v>
      </c>
      <c r="P562">
        <f>IFERROR(VLOOKUP(C562,Customers!$A$2:$F$301,3,FALSE()),"")</f>
        <v>46</v>
      </c>
      <c r="Q562">
        <f t="shared" si="24"/>
        <v>0.57987012987012987</v>
      </c>
      <c r="R562">
        <f>IF(AND(COUNTIF($A$2:$A$2047,A562)&gt;1,COUNTIF($A$2:A562,A562)=1),1,0)</f>
        <v>0</v>
      </c>
      <c r="S562" t="b">
        <f>IFERROR(VLOOKUP(D562,Products!$A$2:$F$61,6,FALSE()),"")</f>
        <v>0</v>
      </c>
      <c r="T562" t="str">
        <f>IF(COUNTIF(Customers!$A$2:$A$301,C562)=0,"Missing","OK")</f>
        <v>OK</v>
      </c>
      <c r="U562" t="str">
        <f t="shared" si="25"/>
        <v>Chennai</v>
      </c>
      <c r="V562">
        <f t="shared" si="26"/>
        <v>0</v>
      </c>
    </row>
    <row r="563" spans="1:22" ht="15" customHeight="1" x14ac:dyDescent="0.35">
      <c r="A563" s="3" t="s">
        <v>950</v>
      </c>
      <c r="B563" s="4">
        <v>45649</v>
      </c>
      <c r="C563" s="3" t="s">
        <v>44</v>
      </c>
      <c r="D563" s="3" t="s">
        <v>139</v>
      </c>
      <c r="E563" s="3" t="s">
        <v>177</v>
      </c>
      <c r="F563" s="5">
        <v>4</v>
      </c>
      <c r="G563" s="5">
        <v>2760</v>
      </c>
      <c r="H563" s="5">
        <v>19.8</v>
      </c>
      <c r="I563" s="5">
        <v>8854.08</v>
      </c>
      <c r="J563" s="3" t="s">
        <v>26</v>
      </c>
      <c r="K563" s="3" t="s">
        <v>33</v>
      </c>
      <c r="L563" t="str">
        <f>IFERROR(VLOOKUP(D563,Products!$A$2:$F$61,3,FALSE()),"")</f>
        <v>Grocery</v>
      </c>
      <c r="M563" t="str">
        <f>IFERROR(VLOOKUP(E563,Sales_Reps!$A$2:$C$31,3,FALSE()),"")</f>
        <v>East</v>
      </c>
      <c r="N563">
        <f>IFERROR(VLOOKUP(D563,Products!$A$2:$F$61,4,FALSE()),"")</f>
        <v>1435</v>
      </c>
      <c r="O563" t="str">
        <f>IFERROR(VLOOKUP(C563,Customers!$A$2:$F$301,5,FALSE()),"")</f>
        <v>Retail</v>
      </c>
      <c r="P563">
        <f>IFERROR(VLOOKUP(C563,Customers!$A$2:$F$301,3,FALSE()),"")</f>
        <v>36</v>
      </c>
      <c r="Q563">
        <f t="shared" si="24"/>
        <v>0.48007246376811596</v>
      </c>
      <c r="R563">
        <f>IF(AND(COUNTIF($A$2:$A$2047,A563)&gt;1,COUNTIF($A$2:A563,A563)=1),1,0)</f>
        <v>0</v>
      </c>
      <c r="S563" t="b">
        <f>IFERROR(VLOOKUP(D563,Products!$A$2:$F$61,6,FALSE()),"")</f>
        <v>1</v>
      </c>
      <c r="T563" t="str">
        <f>IF(COUNTIF(Customers!$A$2:$A$301,C563)=0,"Missing","OK")</f>
        <v>OK</v>
      </c>
      <c r="U563" t="str">
        <f t="shared" si="25"/>
        <v>Chennai</v>
      </c>
      <c r="V563">
        <f t="shared" si="26"/>
        <v>0</v>
      </c>
    </row>
    <row r="564" spans="1:22" ht="15" customHeight="1" x14ac:dyDescent="0.35">
      <c r="A564" s="3" t="s">
        <v>951</v>
      </c>
      <c r="B564" s="4">
        <v>45332</v>
      </c>
      <c r="C564" s="3" t="s">
        <v>324</v>
      </c>
      <c r="D564" s="3" t="s">
        <v>70</v>
      </c>
      <c r="E564" s="3" t="s">
        <v>109</v>
      </c>
      <c r="F564" s="5">
        <v>3</v>
      </c>
      <c r="G564" s="5">
        <v>2270</v>
      </c>
      <c r="H564" s="5">
        <v>29.5</v>
      </c>
      <c r="I564" s="5">
        <v>4801.05</v>
      </c>
      <c r="J564" s="3" t="s">
        <v>83</v>
      </c>
      <c r="K564" s="3" t="s">
        <v>56</v>
      </c>
      <c r="L564" t="str">
        <f>IFERROR(VLOOKUP(D564,Products!$A$2:$F$61,3,FALSE()),"")</f>
        <v>Grocery</v>
      </c>
      <c r="M564" t="str">
        <f>IFERROR(VLOOKUP(E564,Sales_Reps!$A$2:$C$31,3,FALSE()),"")</f>
        <v>West</v>
      </c>
      <c r="N564">
        <f>IFERROR(VLOOKUP(D564,Products!$A$2:$F$61,4,FALSE()),"")</f>
        <v>1203</v>
      </c>
      <c r="O564" t="str">
        <f>IFERROR(VLOOKUP(C564,Customers!$A$2:$F$301,5,FALSE()),"")</f>
        <v>Retail</v>
      </c>
      <c r="P564">
        <f>IFERROR(VLOOKUP(C564,Customers!$A$2:$F$301,3,FALSE()),"")</f>
        <v>23</v>
      </c>
      <c r="Q564">
        <f t="shared" si="24"/>
        <v>0.47004405286343615</v>
      </c>
      <c r="R564">
        <f>IF(AND(COUNTIF($A$2:$A$2047,A564)&gt;1,COUNTIF($A$2:A564,A564)=1),1,0)</f>
        <v>0</v>
      </c>
      <c r="S564" t="b">
        <f>IFERROR(VLOOKUP(D564,Products!$A$2:$F$61,6,FALSE()),"")</f>
        <v>1</v>
      </c>
      <c r="T564" t="str">
        <f>IF(COUNTIF(Customers!$A$2:$A$301,C564)=0,"Missing","OK")</f>
        <v>OK</v>
      </c>
      <c r="U564" t="str">
        <f t="shared" si="25"/>
        <v>Bengaluru</v>
      </c>
      <c r="V564">
        <f t="shared" si="26"/>
        <v>4801.05</v>
      </c>
    </row>
    <row r="565" spans="1:22" ht="15" customHeight="1" x14ac:dyDescent="0.35">
      <c r="A565" s="3" t="s">
        <v>952</v>
      </c>
      <c r="B565" s="4">
        <v>45418</v>
      </c>
      <c r="C565" s="3" t="s">
        <v>506</v>
      </c>
      <c r="D565" s="3" t="s">
        <v>215</v>
      </c>
      <c r="E565" s="3" t="s">
        <v>127</v>
      </c>
      <c r="F565" s="5">
        <v>8</v>
      </c>
      <c r="G565" s="5">
        <v>3020</v>
      </c>
      <c r="H565" s="5">
        <v>1.2</v>
      </c>
      <c r="I565" s="5">
        <v>23870.080000000002</v>
      </c>
      <c r="J565" s="3" t="s">
        <v>26</v>
      </c>
      <c r="K565" s="3" t="s">
        <v>56</v>
      </c>
      <c r="L565" t="str">
        <f>IFERROR(VLOOKUP(D565,Products!$A$2:$F$61,3,FALSE()),"")</f>
        <v>Beauty</v>
      </c>
      <c r="M565" t="str">
        <f>IFERROR(VLOOKUP(E565,Sales_Reps!$A$2:$C$31,3,FALSE()),"")</f>
        <v>South</v>
      </c>
      <c r="N565">
        <f>IFERROR(VLOOKUP(D565,Products!$A$2:$F$61,4,FALSE()),"")</f>
        <v>1626</v>
      </c>
      <c r="O565" t="str">
        <f>IFERROR(VLOOKUP(C565,Customers!$A$2:$F$301,5,FALSE()),"")</f>
        <v>Corporate</v>
      </c>
      <c r="P565">
        <f>IFERROR(VLOOKUP(C565,Customers!$A$2:$F$301,3,FALSE()),"")</f>
        <v>41</v>
      </c>
      <c r="Q565">
        <f t="shared" si="24"/>
        <v>0.46158940397350995</v>
      </c>
      <c r="R565">
        <f>IF(AND(COUNTIF($A$2:$A$2047,A565)&gt;1,COUNTIF($A$2:A565,A565)=1),1,0)</f>
        <v>0</v>
      </c>
      <c r="S565" t="b">
        <f>IFERROR(VLOOKUP(D565,Products!$A$2:$F$61,6,FALSE()),"")</f>
        <v>1</v>
      </c>
      <c r="T565" t="str">
        <f>IF(COUNTIF(Customers!$A$2:$A$301,C565)=0,"Missing","OK")</f>
        <v>OK</v>
      </c>
      <c r="U565" t="str">
        <f t="shared" si="25"/>
        <v>Bengaluru</v>
      </c>
      <c r="V565">
        <f t="shared" si="26"/>
        <v>0</v>
      </c>
    </row>
    <row r="566" spans="1:22" ht="15" customHeight="1" x14ac:dyDescent="0.35">
      <c r="A566" s="3" t="s">
        <v>953</v>
      </c>
      <c r="B566" s="4">
        <v>45490</v>
      </c>
      <c r="C566" s="3" t="s">
        <v>498</v>
      </c>
      <c r="D566" s="3" t="s">
        <v>306</v>
      </c>
      <c r="E566" s="3" t="s">
        <v>242</v>
      </c>
      <c r="F566" s="5">
        <v>6</v>
      </c>
      <c r="G566" s="5">
        <v>2380</v>
      </c>
      <c r="H566" s="5">
        <v>20.399999999999999</v>
      </c>
      <c r="I566" s="5">
        <v>11366.88</v>
      </c>
      <c r="J566" s="3" t="s">
        <v>26</v>
      </c>
      <c r="K566" s="3" t="s">
        <v>27</v>
      </c>
      <c r="L566" t="str">
        <f>IFERROR(VLOOKUP(D566,Products!$A$2:$F$61,3,FALSE()),"")</f>
        <v>Grocery</v>
      </c>
      <c r="M566" t="str">
        <f>IFERROR(VLOOKUP(E566,Sales_Reps!$A$2:$C$31,3,FALSE()),"")</f>
        <v>East</v>
      </c>
      <c r="N566">
        <f>IFERROR(VLOOKUP(D566,Products!$A$2:$F$61,4,FALSE()),"")</f>
        <v>1182</v>
      </c>
      <c r="O566" t="str">
        <f>IFERROR(VLOOKUP(C566,Customers!$A$2:$F$301,5,FALSE()),"")</f>
        <v>Retail</v>
      </c>
      <c r="P566">
        <f>IFERROR(VLOOKUP(C566,Customers!$A$2:$F$301,3,FALSE()),"")</f>
        <v>62</v>
      </c>
      <c r="Q566">
        <f t="shared" si="24"/>
        <v>0.50336134453781511</v>
      </c>
      <c r="R566">
        <f>IF(AND(COUNTIF($A$2:$A$2047,A566)&gt;1,COUNTIF($A$2:A566,A566)=1),1,0)</f>
        <v>0</v>
      </c>
      <c r="S566" t="b">
        <f>IFERROR(VLOOKUP(D566,Products!$A$2:$F$61,6,FALSE()),"")</f>
        <v>1</v>
      </c>
      <c r="T566" t="str">
        <f>IF(COUNTIF(Customers!$A$2:$A$301,C566)=0,"Missing","OK")</f>
        <v>OK</v>
      </c>
      <c r="U566" t="str">
        <f t="shared" si="25"/>
        <v>Pune</v>
      </c>
      <c r="V566">
        <f t="shared" si="26"/>
        <v>0</v>
      </c>
    </row>
    <row r="567" spans="1:22" ht="15" customHeight="1" x14ac:dyDescent="0.35">
      <c r="A567" s="3" t="s">
        <v>954</v>
      </c>
      <c r="B567" s="4">
        <v>45470</v>
      </c>
      <c r="C567" s="3" t="s">
        <v>955</v>
      </c>
      <c r="D567" s="3" t="s">
        <v>454</v>
      </c>
      <c r="E567" s="3" t="s">
        <v>67</v>
      </c>
      <c r="F567" s="5">
        <v>1</v>
      </c>
      <c r="G567" s="5">
        <v>6940</v>
      </c>
      <c r="H567" s="5">
        <v>15</v>
      </c>
      <c r="I567" s="5">
        <v>5899</v>
      </c>
      <c r="J567" s="3" t="s">
        <v>79</v>
      </c>
      <c r="K567" s="3" t="s">
        <v>56</v>
      </c>
      <c r="L567" t="str">
        <f>IFERROR(VLOOKUP(D567,Products!$A$2:$F$61,3,FALSE()),"")</f>
        <v>Sports</v>
      </c>
      <c r="M567" t="str">
        <f>IFERROR(VLOOKUP(E567,Sales_Reps!$A$2:$C$31,3,FALSE()),"")</f>
        <v>West</v>
      </c>
      <c r="N567">
        <f>IFERROR(VLOOKUP(D567,Products!$A$2:$F$61,4,FALSE()),"")</f>
        <v>2827</v>
      </c>
      <c r="O567" t="str">
        <f>IFERROR(VLOOKUP(C567,Customers!$A$2:$F$301,5,FALSE()),"")</f>
        <v>SMB</v>
      </c>
      <c r="P567">
        <f>IFERROR(VLOOKUP(C567,Customers!$A$2:$F$301,3,FALSE()),"")</f>
        <v>49</v>
      </c>
      <c r="Q567">
        <f t="shared" si="24"/>
        <v>0.5926512968299712</v>
      </c>
      <c r="R567">
        <f>IF(AND(COUNTIF($A$2:$A$2047,A567)&gt;1,COUNTIF($A$2:A567,A567)=1),1,0)</f>
        <v>0</v>
      </c>
      <c r="S567" t="b">
        <f>IFERROR(VLOOKUP(D567,Products!$A$2:$F$61,6,FALSE()),"")</f>
        <v>1</v>
      </c>
      <c r="T567" t="str">
        <f>IF(COUNTIF(Customers!$A$2:$A$301,C567)=0,"Missing","OK")</f>
        <v>OK</v>
      </c>
      <c r="U567" t="str">
        <f t="shared" si="25"/>
        <v>Bengaluru</v>
      </c>
      <c r="V567">
        <f t="shared" si="26"/>
        <v>0</v>
      </c>
    </row>
    <row r="568" spans="1:22" ht="15" customHeight="1" x14ac:dyDescent="0.35">
      <c r="A568" s="3" t="s">
        <v>956</v>
      </c>
      <c r="B568" s="4">
        <v>45654</v>
      </c>
      <c r="C568" s="3" t="s">
        <v>230</v>
      </c>
      <c r="D568" s="3" t="s">
        <v>218</v>
      </c>
      <c r="E568" s="3" t="s">
        <v>71</v>
      </c>
      <c r="F568" s="5">
        <v>1</v>
      </c>
      <c r="G568" s="5">
        <v>2660</v>
      </c>
      <c r="H568" s="5">
        <v>11.6</v>
      </c>
      <c r="I568" s="5">
        <v>2351.44</v>
      </c>
      <c r="J568" s="3" t="s">
        <v>26</v>
      </c>
      <c r="K568" s="3" t="s">
        <v>38</v>
      </c>
      <c r="L568" t="str">
        <f>IFERROR(VLOOKUP(D568,Products!$A$2:$F$61,3,FALSE()),"")</f>
        <v>Electronics</v>
      </c>
      <c r="M568" t="str">
        <f>IFERROR(VLOOKUP(E568,Sales_Reps!$A$2:$C$31,3,FALSE()),"")</f>
        <v>South</v>
      </c>
      <c r="N568">
        <f>IFERROR(VLOOKUP(D568,Products!$A$2:$F$61,4,FALSE()),"")</f>
        <v>1259</v>
      </c>
      <c r="O568" t="str">
        <f>IFERROR(VLOOKUP(C568,Customers!$A$2:$F$301,5,FALSE()),"")</f>
        <v>Retail</v>
      </c>
      <c r="P568">
        <f>IFERROR(VLOOKUP(C568,Customers!$A$2:$F$301,3,FALSE()),"")</f>
        <v>35</v>
      </c>
      <c r="Q568">
        <f t="shared" si="24"/>
        <v>0.52669172932330832</v>
      </c>
      <c r="R568">
        <f>IF(AND(COUNTIF($A$2:$A$2047,A568)&gt;1,COUNTIF($A$2:A568,A568)=1),1,0)</f>
        <v>0</v>
      </c>
      <c r="S568" t="b">
        <f>IFERROR(VLOOKUP(D568,Products!$A$2:$F$61,6,FALSE()),"")</f>
        <v>0</v>
      </c>
      <c r="T568" t="str">
        <f>IF(COUNTIF(Customers!$A$2:$A$301,C568)=0,"Missing","OK")</f>
        <v>OK</v>
      </c>
      <c r="U568" t="str">
        <f t="shared" si="25"/>
        <v>Delhi</v>
      </c>
      <c r="V568">
        <f t="shared" si="26"/>
        <v>0</v>
      </c>
    </row>
    <row r="569" spans="1:22" ht="15" customHeight="1" x14ac:dyDescent="0.35">
      <c r="A569" s="3" t="s">
        <v>957</v>
      </c>
      <c r="B569" s="4">
        <v>45548</v>
      </c>
      <c r="C569" s="3" t="s">
        <v>709</v>
      </c>
      <c r="D569" s="3" t="s">
        <v>66</v>
      </c>
      <c r="E569" s="3" t="s">
        <v>191</v>
      </c>
      <c r="F569" s="5">
        <v>4</v>
      </c>
      <c r="G569" s="5">
        <v>970</v>
      </c>
      <c r="H569" s="5">
        <v>11.6</v>
      </c>
      <c r="I569" s="5">
        <v>3429.92</v>
      </c>
      <c r="J569" s="3" t="s">
        <v>26</v>
      </c>
      <c r="K569" s="3" t="s">
        <v>27</v>
      </c>
      <c r="L569" t="str">
        <f>IFERROR(VLOOKUP(D569,Products!$A$2:$F$61,3,FALSE()),"")</f>
        <v>Grocery</v>
      </c>
      <c r="M569" t="str">
        <f>IFERROR(VLOOKUP(E569,Sales_Reps!$A$2:$C$31,3,FALSE()),"")</f>
        <v>South</v>
      </c>
      <c r="N569">
        <f>IFERROR(VLOOKUP(D569,Products!$A$2:$F$61,4,FALSE()),"")</f>
        <v>434</v>
      </c>
      <c r="O569" t="str">
        <f>IFERROR(VLOOKUP(C569,Customers!$A$2:$F$301,5,FALSE()),"")</f>
        <v>Retail</v>
      </c>
      <c r="P569">
        <f>IFERROR(VLOOKUP(C569,Customers!$A$2:$F$301,3,FALSE()),"")</f>
        <v>35</v>
      </c>
      <c r="Q569">
        <f t="shared" si="24"/>
        <v>0.5525773195876289</v>
      </c>
      <c r="R569">
        <f>IF(AND(COUNTIF($A$2:$A$2047,A569)&gt;1,COUNTIF($A$2:A569,A569)=1),1,0)</f>
        <v>0</v>
      </c>
      <c r="S569" t="b">
        <f>IFERROR(VLOOKUP(D569,Products!$A$2:$F$61,6,FALSE()),"")</f>
        <v>1</v>
      </c>
      <c r="T569" t="str">
        <f>IF(COUNTIF(Customers!$A$2:$A$301,C569)=0,"Missing","OK")</f>
        <v>OK</v>
      </c>
      <c r="U569" t="str">
        <f t="shared" si="25"/>
        <v>Pune</v>
      </c>
      <c r="V569">
        <f t="shared" si="26"/>
        <v>0</v>
      </c>
    </row>
    <row r="570" spans="1:22" ht="15" customHeight="1" x14ac:dyDescent="0.35">
      <c r="A570" s="3" t="s">
        <v>958</v>
      </c>
      <c r="B570" s="4">
        <v>45632</v>
      </c>
      <c r="C570" s="3" t="s">
        <v>541</v>
      </c>
      <c r="D570" s="3" t="s">
        <v>184</v>
      </c>
      <c r="E570" s="3" t="s">
        <v>236</v>
      </c>
      <c r="F570" s="5">
        <v>7</v>
      </c>
      <c r="G570" s="5">
        <v>2270</v>
      </c>
      <c r="H570" s="5">
        <v>27.9</v>
      </c>
      <c r="I570" s="5">
        <v>11456.69</v>
      </c>
      <c r="J570" s="3" t="s">
        <v>26</v>
      </c>
      <c r="K570" s="3" t="s">
        <v>33</v>
      </c>
      <c r="L570" t="str">
        <f>IFERROR(VLOOKUP(D570,Products!$A$2:$F$61,3,FALSE()),"")</f>
        <v>Grocery</v>
      </c>
      <c r="M570" t="str">
        <f>IFERROR(VLOOKUP(E570,Sales_Reps!$A$2:$C$31,3,FALSE()),"")</f>
        <v>North</v>
      </c>
      <c r="N570">
        <f>IFERROR(VLOOKUP(D570,Products!$A$2:$F$61,4,FALSE()),"")</f>
        <v>1412</v>
      </c>
      <c r="O570" t="str">
        <f>IFERROR(VLOOKUP(C570,Customers!$A$2:$F$301,5,FALSE()),"")</f>
        <v>Retail</v>
      </c>
      <c r="P570">
        <f>IFERROR(VLOOKUP(C570,Customers!$A$2:$F$301,3,FALSE()),"")</f>
        <v>61</v>
      </c>
      <c r="Q570">
        <f t="shared" si="24"/>
        <v>0.37797356828193834</v>
      </c>
      <c r="R570">
        <f>IF(AND(COUNTIF($A$2:$A$2047,A570)&gt;1,COUNTIF($A$2:A570,A570)=1),1,0)</f>
        <v>0</v>
      </c>
      <c r="S570" t="b">
        <f>IFERROR(VLOOKUP(D570,Products!$A$2:$F$61,6,FALSE()),"")</f>
        <v>1</v>
      </c>
      <c r="T570" t="str">
        <f>IF(COUNTIF(Customers!$A$2:$A$301,C570)=0,"Missing","OK")</f>
        <v>OK</v>
      </c>
      <c r="U570" t="str">
        <f t="shared" si="25"/>
        <v>Chennai</v>
      </c>
      <c r="V570">
        <f t="shared" si="26"/>
        <v>0</v>
      </c>
    </row>
    <row r="571" spans="1:22" ht="15" customHeight="1" x14ac:dyDescent="0.35">
      <c r="A571" s="3" t="s">
        <v>959</v>
      </c>
      <c r="B571" s="4">
        <v>45304</v>
      </c>
      <c r="C571" s="3" t="s">
        <v>202</v>
      </c>
      <c r="D571" s="3" t="s">
        <v>121</v>
      </c>
      <c r="E571" s="3" t="s">
        <v>285</v>
      </c>
      <c r="F571" s="5">
        <v>8</v>
      </c>
      <c r="G571" s="5">
        <v>1010</v>
      </c>
      <c r="H571" s="5">
        <v>13.7</v>
      </c>
      <c r="I571" s="5">
        <v>6973.04</v>
      </c>
      <c r="J571" s="3" t="s">
        <v>79</v>
      </c>
      <c r="K571" s="3" t="s">
        <v>72</v>
      </c>
      <c r="L571" t="str">
        <f>IFERROR(VLOOKUP(D571,Products!$A$2:$F$61,3,FALSE()),"")</f>
        <v>Sports</v>
      </c>
      <c r="M571" t="str">
        <f>IFERROR(VLOOKUP(E571,Sales_Reps!$A$2:$C$31,3,FALSE()),"")</f>
        <v>South</v>
      </c>
      <c r="N571">
        <f>IFERROR(VLOOKUP(D571,Products!$A$2:$F$61,4,FALSE()),"")</f>
        <v>516</v>
      </c>
      <c r="O571" t="str">
        <f>IFERROR(VLOOKUP(C571,Customers!$A$2:$F$301,5,FALSE()),"")</f>
        <v>Retail</v>
      </c>
      <c r="P571">
        <f>IFERROR(VLOOKUP(C571,Customers!$A$2:$F$301,3,FALSE()),"")</f>
        <v>53</v>
      </c>
      <c r="Q571">
        <f t="shared" si="24"/>
        <v>0.4891089108910891</v>
      </c>
      <c r="R571">
        <f>IF(AND(COUNTIF($A$2:$A$2047,A571)&gt;1,COUNTIF($A$2:A571,A571)=1),1,0)</f>
        <v>0</v>
      </c>
      <c r="S571" t="b">
        <f>IFERROR(VLOOKUP(D571,Products!$A$2:$F$61,6,FALSE()),"")</f>
        <v>1</v>
      </c>
      <c r="T571" t="str">
        <f>IF(COUNTIF(Customers!$A$2:$A$301,C571)=0,"Missing","OK")</f>
        <v>OK</v>
      </c>
      <c r="U571" t="str">
        <f t="shared" si="25"/>
        <v>Hyderabad</v>
      </c>
      <c r="V571">
        <f t="shared" si="26"/>
        <v>0</v>
      </c>
    </row>
    <row r="572" spans="1:22" ht="15" customHeight="1" x14ac:dyDescent="0.35">
      <c r="A572" s="3" t="s">
        <v>960</v>
      </c>
      <c r="B572" s="4">
        <v>45330</v>
      </c>
      <c r="C572" s="3" t="s">
        <v>399</v>
      </c>
      <c r="D572" s="3" t="s">
        <v>306</v>
      </c>
      <c r="E572" s="3" t="s">
        <v>154</v>
      </c>
      <c r="F572" s="5">
        <v>8</v>
      </c>
      <c r="G572" s="5">
        <v>2380</v>
      </c>
      <c r="H572" s="5">
        <v>15.3</v>
      </c>
      <c r="I572" s="5">
        <v>16126.88</v>
      </c>
      <c r="J572" s="3" t="s">
        <v>79</v>
      </c>
      <c r="K572" s="3" t="s">
        <v>27</v>
      </c>
      <c r="L572" t="str">
        <f>IFERROR(VLOOKUP(D572,Products!$A$2:$F$61,3,FALSE()),"")</f>
        <v>Grocery</v>
      </c>
      <c r="M572" t="str">
        <f>IFERROR(VLOOKUP(E572,Sales_Reps!$A$2:$C$31,3,FALSE()),"")</f>
        <v>North</v>
      </c>
      <c r="N572">
        <f>IFERROR(VLOOKUP(D572,Products!$A$2:$F$61,4,FALSE()),"")</f>
        <v>1182</v>
      </c>
      <c r="O572" t="str">
        <f>IFERROR(VLOOKUP(C572,Customers!$A$2:$F$301,5,FALSE()),"")</f>
        <v>Corporate</v>
      </c>
      <c r="P572">
        <f>IFERROR(VLOOKUP(C572,Customers!$A$2:$F$301,3,FALSE()),"")</f>
        <v>37</v>
      </c>
      <c r="Q572">
        <f t="shared" si="24"/>
        <v>0.50336134453781511</v>
      </c>
      <c r="R572">
        <f>IF(AND(COUNTIF($A$2:$A$2047,A572)&gt;1,COUNTIF($A$2:A572,A572)=1),1,0)</f>
        <v>0</v>
      </c>
      <c r="S572" t="b">
        <f>IFERROR(VLOOKUP(D572,Products!$A$2:$F$61,6,FALSE()),"")</f>
        <v>1</v>
      </c>
      <c r="T572" t="str">
        <f>IF(COUNTIF(Customers!$A$2:$A$301,C572)=0,"Missing","OK")</f>
        <v>OK</v>
      </c>
      <c r="U572" t="str">
        <f t="shared" si="25"/>
        <v>Pune</v>
      </c>
      <c r="V572">
        <f t="shared" si="26"/>
        <v>0</v>
      </c>
    </row>
    <row r="573" spans="1:22" ht="15" customHeight="1" x14ac:dyDescent="0.35">
      <c r="A573" s="3" t="s">
        <v>961</v>
      </c>
      <c r="B573" s="4">
        <v>45633</v>
      </c>
      <c r="C573" s="3" t="s">
        <v>922</v>
      </c>
      <c r="D573" s="3" t="s">
        <v>36</v>
      </c>
      <c r="E573" s="3" t="s">
        <v>242</v>
      </c>
      <c r="F573" s="5">
        <v>10</v>
      </c>
      <c r="G573" s="5">
        <v>470</v>
      </c>
      <c r="H573" s="5">
        <v>2.1</v>
      </c>
      <c r="I573" s="5">
        <v>4601.3</v>
      </c>
      <c r="J573" s="3" t="s">
        <v>26</v>
      </c>
      <c r="K573" s="3" t="s">
        <v>56</v>
      </c>
      <c r="L573" t="str">
        <f>IFERROR(VLOOKUP(D573,Products!$A$2:$F$61,3,FALSE()),"")</f>
        <v>Sports</v>
      </c>
      <c r="M573" t="str">
        <f>IFERROR(VLOOKUP(E573,Sales_Reps!$A$2:$C$31,3,FALSE()),"")</f>
        <v>East</v>
      </c>
      <c r="N573">
        <f>IFERROR(VLOOKUP(D573,Products!$A$2:$F$61,4,FALSE()),"")</f>
        <v>302</v>
      </c>
      <c r="O573" t="str">
        <f>IFERROR(VLOOKUP(C573,Customers!$A$2:$F$301,5,FALSE()),"")</f>
        <v>SMB</v>
      </c>
      <c r="P573">
        <f>IFERROR(VLOOKUP(C573,Customers!$A$2:$F$301,3,FALSE()),"")</f>
        <v>36</v>
      </c>
      <c r="Q573">
        <f t="shared" si="24"/>
        <v>0.35744680851063831</v>
      </c>
      <c r="R573">
        <f>IF(AND(COUNTIF($A$2:$A$2047,A573)&gt;1,COUNTIF($A$2:A573,A573)=1),1,0)</f>
        <v>0</v>
      </c>
      <c r="S573" t="b">
        <f>IFERROR(VLOOKUP(D573,Products!$A$2:$F$61,6,FALSE()),"")</f>
        <v>0</v>
      </c>
      <c r="T573" t="str">
        <f>IF(COUNTIF(Customers!$A$2:$A$301,C573)=0,"Missing","OK")</f>
        <v>OK</v>
      </c>
      <c r="U573" t="str">
        <f t="shared" si="25"/>
        <v>Bengaluru</v>
      </c>
      <c r="V573">
        <f t="shared" si="26"/>
        <v>0</v>
      </c>
    </row>
    <row r="574" spans="1:22" ht="15" customHeight="1" x14ac:dyDescent="0.35">
      <c r="A574" s="3" t="s">
        <v>962</v>
      </c>
      <c r="B574" s="4">
        <v>45480</v>
      </c>
      <c r="C574" s="3" t="s">
        <v>390</v>
      </c>
      <c r="D574" s="3" t="s">
        <v>130</v>
      </c>
      <c r="E574" s="3" t="s">
        <v>50</v>
      </c>
      <c r="F574" s="5">
        <v>5</v>
      </c>
      <c r="G574" s="5">
        <v>5100</v>
      </c>
      <c r="H574" s="5">
        <v>9.6999999999999993</v>
      </c>
      <c r="I574" s="5">
        <v>23026.5</v>
      </c>
      <c r="J574" s="3" t="s">
        <v>26</v>
      </c>
      <c r="K574" s="3" t="s">
        <v>38</v>
      </c>
      <c r="L574" t="str">
        <f>IFERROR(VLOOKUP(D574,Products!$A$2:$F$61,3,FALSE()),"")</f>
        <v>Beauty</v>
      </c>
      <c r="M574" t="str">
        <f>IFERROR(VLOOKUP(E574,Sales_Reps!$A$2:$C$31,3,FALSE()),"")</f>
        <v>West</v>
      </c>
      <c r="N574">
        <f>IFERROR(VLOOKUP(D574,Products!$A$2:$F$61,4,FALSE()),"")</f>
        <v>2237</v>
      </c>
      <c r="O574" t="str">
        <f>IFERROR(VLOOKUP(C574,Customers!$A$2:$F$301,5,FALSE()),"")</f>
        <v>SMB</v>
      </c>
      <c r="P574">
        <f>IFERROR(VLOOKUP(C574,Customers!$A$2:$F$301,3,FALSE()),"")</f>
        <v>34</v>
      </c>
      <c r="Q574">
        <f t="shared" si="24"/>
        <v>0.56137254901960787</v>
      </c>
      <c r="R574">
        <f>IF(AND(COUNTIF($A$2:$A$2047,A574)&gt;1,COUNTIF($A$2:A574,A574)=1),1,0)</f>
        <v>0</v>
      </c>
      <c r="S574" t="b">
        <f>IFERROR(VLOOKUP(D574,Products!$A$2:$F$61,6,FALSE()),"")</f>
        <v>1</v>
      </c>
      <c r="T574" t="str">
        <f>IF(COUNTIF(Customers!$A$2:$A$301,C574)=0,"Missing","OK")</f>
        <v>OK</v>
      </c>
      <c r="U574" t="str">
        <f t="shared" si="25"/>
        <v>Delhi</v>
      </c>
      <c r="V574">
        <f t="shared" si="26"/>
        <v>0</v>
      </c>
    </row>
    <row r="575" spans="1:22" ht="15" customHeight="1" x14ac:dyDescent="0.35">
      <c r="A575" s="3" t="s">
        <v>963</v>
      </c>
      <c r="B575" s="4">
        <v>45402</v>
      </c>
      <c r="C575" s="3" t="s">
        <v>105</v>
      </c>
      <c r="D575" s="3" t="s">
        <v>319</v>
      </c>
      <c r="E575" s="3" t="s">
        <v>140</v>
      </c>
      <c r="F575" s="5">
        <v>9</v>
      </c>
      <c r="G575" s="5">
        <v>960</v>
      </c>
      <c r="H575" s="5">
        <v>17.7</v>
      </c>
      <c r="I575" s="5">
        <v>7110.72</v>
      </c>
      <c r="J575" s="3" t="s">
        <v>26</v>
      </c>
      <c r="K575" s="3" t="s">
        <v>72</v>
      </c>
      <c r="L575" t="str">
        <f>IFERROR(VLOOKUP(D575,Products!$A$2:$F$61,3,FALSE()),"")</f>
        <v>Beauty</v>
      </c>
      <c r="M575" t="str">
        <f>IFERROR(VLOOKUP(E575,Sales_Reps!$A$2:$C$31,3,FALSE()),"")</f>
        <v>West</v>
      </c>
      <c r="N575">
        <f>IFERROR(VLOOKUP(D575,Products!$A$2:$F$61,4,FALSE()),"")</f>
        <v>675</v>
      </c>
      <c r="O575" t="str">
        <f>IFERROR(VLOOKUP(C575,Customers!$A$2:$F$301,5,FALSE()),"")</f>
        <v>Retail</v>
      </c>
      <c r="P575">
        <f>IFERROR(VLOOKUP(C575,Customers!$A$2:$F$301,3,FALSE()),"")</f>
        <v>32</v>
      </c>
      <c r="Q575">
        <f t="shared" si="24"/>
        <v>0.296875</v>
      </c>
      <c r="R575">
        <f>IF(AND(COUNTIF($A$2:$A$2047,A575)&gt;1,COUNTIF($A$2:A575,A575)=1),1,0)</f>
        <v>0</v>
      </c>
      <c r="S575" t="b">
        <f>IFERROR(VLOOKUP(D575,Products!$A$2:$F$61,6,FALSE()),"")</f>
        <v>1</v>
      </c>
      <c r="T575" t="str">
        <f>IF(COUNTIF(Customers!$A$2:$A$301,C575)=0,"Missing","OK")</f>
        <v>OK</v>
      </c>
      <c r="U575" t="str">
        <f t="shared" si="25"/>
        <v>Hyderabad</v>
      </c>
      <c r="V575">
        <f t="shared" si="26"/>
        <v>0</v>
      </c>
    </row>
    <row r="576" spans="1:22" ht="15" customHeight="1" x14ac:dyDescent="0.35">
      <c r="A576" s="3" t="s">
        <v>964</v>
      </c>
      <c r="B576" s="4">
        <v>45478</v>
      </c>
      <c r="C576" s="3" t="s">
        <v>145</v>
      </c>
      <c r="D576" s="3" t="s">
        <v>203</v>
      </c>
      <c r="E576" s="3" t="s">
        <v>25</v>
      </c>
      <c r="F576" s="5">
        <v>2</v>
      </c>
      <c r="G576" s="5">
        <v>4070</v>
      </c>
      <c r="H576" s="5">
        <v>2.1</v>
      </c>
      <c r="I576" s="5">
        <v>7969.06</v>
      </c>
      <c r="J576" s="3" t="s">
        <v>26</v>
      </c>
      <c r="K576" s="3" t="s">
        <v>72</v>
      </c>
      <c r="L576" t="str">
        <f>IFERROR(VLOOKUP(D576,Products!$A$2:$F$61,3,FALSE()),"")</f>
        <v>Grocery</v>
      </c>
      <c r="M576" t="str">
        <f>IFERROR(VLOOKUP(E576,Sales_Reps!$A$2:$C$31,3,FALSE()),"")</f>
        <v>North</v>
      </c>
      <c r="N576">
        <f>IFERROR(VLOOKUP(D576,Products!$A$2:$F$61,4,FALSE()),"")</f>
        <v>2027</v>
      </c>
      <c r="O576" t="str">
        <f>IFERROR(VLOOKUP(C576,Customers!$A$2:$F$301,5,FALSE()),"")</f>
        <v>SMB</v>
      </c>
      <c r="P576">
        <f>IFERROR(VLOOKUP(C576,Customers!$A$2:$F$301,3,FALSE()),"")</f>
        <v>40</v>
      </c>
      <c r="Q576">
        <f t="shared" si="24"/>
        <v>0.50196560196560192</v>
      </c>
      <c r="R576">
        <f>IF(AND(COUNTIF($A$2:$A$2047,A576)&gt;1,COUNTIF($A$2:A576,A576)=1),1,0)</f>
        <v>0</v>
      </c>
      <c r="S576" t="b">
        <f>IFERROR(VLOOKUP(D576,Products!$A$2:$F$61,6,FALSE()),"")</f>
        <v>1</v>
      </c>
      <c r="T576" t="str">
        <f>IF(COUNTIF(Customers!$A$2:$A$301,C576)=0,"Missing","OK")</f>
        <v>OK</v>
      </c>
      <c r="U576" t="str">
        <f t="shared" si="25"/>
        <v>Hyderabad</v>
      </c>
      <c r="V576">
        <f t="shared" si="26"/>
        <v>0</v>
      </c>
    </row>
    <row r="577" spans="1:22" ht="15" customHeight="1" x14ac:dyDescent="0.35">
      <c r="A577" s="3" t="s">
        <v>965</v>
      </c>
      <c r="B577" s="4">
        <v>45358</v>
      </c>
      <c r="C577" s="3" t="s">
        <v>966</v>
      </c>
      <c r="D577" s="3" t="s">
        <v>165</v>
      </c>
      <c r="E577" s="3" t="s">
        <v>97</v>
      </c>
      <c r="F577" s="5">
        <v>5</v>
      </c>
      <c r="G577" s="5">
        <v>3730</v>
      </c>
      <c r="H577" s="5">
        <v>16.5</v>
      </c>
      <c r="I577" s="5">
        <v>15572.75</v>
      </c>
      <c r="J577" s="3" t="s">
        <v>26</v>
      </c>
      <c r="K577" s="3" t="s">
        <v>51</v>
      </c>
      <c r="L577" t="str">
        <f>IFERROR(VLOOKUP(D577,Products!$A$2:$F$61,3,FALSE()),"")</f>
        <v>Home</v>
      </c>
      <c r="M577" t="str">
        <f>IFERROR(VLOOKUP(E577,Sales_Reps!$A$2:$C$31,3,FALSE()),"")</f>
        <v>East</v>
      </c>
      <c r="N577">
        <f>IFERROR(VLOOKUP(D577,Products!$A$2:$F$61,4,FALSE()),"")</f>
        <v>2135</v>
      </c>
      <c r="O577" t="str">
        <f>IFERROR(VLOOKUP(C577,Customers!$A$2:$F$301,5,FALSE()),"")</f>
        <v>SMB</v>
      </c>
      <c r="P577">
        <f>IFERROR(VLOOKUP(C577,Customers!$A$2:$F$301,3,FALSE()),"")</f>
        <v>47</v>
      </c>
      <c r="Q577">
        <f t="shared" si="24"/>
        <v>0.42761394101876676</v>
      </c>
      <c r="R577">
        <f>IF(AND(COUNTIF($A$2:$A$2047,A577)&gt;1,COUNTIF($A$2:A577,A577)=1),1,0)</f>
        <v>0</v>
      </c>
      <c r="S577" t="b">
        <f>IFERROR(VLOOKUP(D577,Products!$A$2:$F$61,6,FALSE()),"")</f>
        <v>1</v>
      </c>
      <c r="T577" t="str">
        <f>IF(COUNTIF(Customers!$A$2:$A$301,C577)=0,"Missing","OK")</f>
        <v>OK</v>
      </c>
      <c r="U577" t="str">
        <f t="shared" si="25"/>
        <v>Mumbai</v>
      </c>
      <c r="V577">
        <f t="shared" si="26"/>
        <v>0</v>
      </c>
    </row>
    <row r="578" spans="1:22" ht="15" customHeight="1" x14ac:dyDescent="0.35">
      <c r="A578" s="3" t="s">
        <v>967</v>
      </c>
      <c r="B578" s="4">
        <v>45589</v>
      </c>
      <c r="C578" s="3" t="s">
        <v>40</v>
      </c>
      <c r="D578" s="3" t="s">
        <v>134</v>
      </c>
      <c r="E578" s="3" t="s">
        <v>224</v>
      </c>
      <c r="F578" s="5">
        <v>1</v>
      </c>
      <c r="G578" s="5">
        <v>2860</v>
      </c>
      <c r="H578" s="5">
        <v>10.4</v>
      </c>
      <c r="I578" s="5">
        <v>2562.56</v>
      </c>
      <c r="J578" s="3" t="s">
        <v>79</v>
      </c>
      <c r="K578" s="3" t="s">
        <v>38</v>
      </c>
      <c r="L578" t="str">
        <f>IFERROR(VLOOKUP(D578,Products!$A$2:$F$61,3,FALSE()),"")</f>
        <v>Sports</v>
      </c>
      <c r="M578" t="str">
        <f>IFERROR(VLOOKUP(E578,Sales_Reps!$A$2:$C$31,3,FALSE()),"")</f>
        <v>East</v>
      </c>
      <c r="N578">
        <f>IFERROR(VLOOKUP(D578,Products!$A$2:$F$61,4,FALSE()),"")</f>
        <v>2028</v>
      </c>
      <c r="O578" t="str">
        <f>IFERROR(VLOOKUP(C578,Customers!$A$2:$F$301,5,FALSE()),"")</f>
        <v>Corporate</v>
      </c>
      <c r="P578">
        <f>IFERROR(VLOOKUP(C578,Customers!$A$2:$F$301,3,FALSE()),"")</f>
        <v>46</v>
      </c>
      <c r="Q578">
        <f t="shared" ref="Q578:Q641" si="27">IFERROR((G578-N578)/G578,"")</f>
        <v>0.29090909090909089</v>
      </c>
      <c r="R578">
        <f>IF(AND(COUNTIF($A$2:$A$2047,A578)&gt;1,COUNTIF($A$2:A578,A578)=1),1,0)</f>
        <v>0</v>
      </c>
      <c r="S578" t="b">
        <f>IFERROR(VLOOKUP(D578,Products!$A$2:$F$61,6,FALSE()),"")</f>
        <v>1</v>
      </c>
      <c r="T578" t="str">
        <f>IF(COUNTIF(Customers!$A$2:$A$301,C578)=0,"Missing","OK")</f>
        <v>OK</v>
      </c>
      <c r="U578" t="str">
        <f t="shared" ref="U578:U641" si="28">IF(K578="","",PROPER(TRIM(K578)))</f>
        <v>Delhi</v>
      </c>
      <c r="V578">
        <f t="shared" ref="V578:V641" si="29">IF(AND(U578="Bengaluru",L578="Grocery"),I578,0)</f>
        <v>0</v>
      </c>
    </row>
    <row r="579" spans="1:22" ht="15" customHeight="1" x14ac:dyDescent="0.35">
      <c r="A579" s="3" t="s">
        <v>968</v>
      </c>
      <c r="B579" s="4">
        <v>45507</v>
      </c>
      <c r="C579" s="3" t="s">
        <v>741</v>
      </c>
      <c r="D579" s="3" t="s">
        <v>123</v>
      </c>
      <c r="E579" s="3" t="s">
        <v>242</v>
      </c>
      <c r="F579" s="5">
        <v>4</v>
      </c>
      <c r="G579" s="5">
        <v>4880</v>
      </c>
      <c r="H579" s="5">
        <v>27.5</v>
      </c>
      <c r="I579" s="5">
        <v>14152</v>
      </c>
      <c r="J579" s="3" t="s">
        <v>32</v>
      </c>
      <c r="K579" s="3" t="s">
        <v>33</v>
      </c>
      <c r="L579" t="str">
        <f>IFERROR(VLOOKUP(D579,Products!$A$2:$F$61,3,FALSE()),"")</f>
        <v>Beauty</v>
      </c>
      <c r="M579" t="str">
        <f>IFERROR(VLOOKUP(E579,Sales_Reps!$A$2:$C$31,3,FALSE()),"")</f>
        <v>East</v>
      </c>
      <c r="N579">
        <f>IFERROR(VLOOKUP(D579,Products!$A$2:$F$61,4,FALSE()),"")</f>
        <v>2768</v>
      </c>
      <c r="O579" t="str">
        <f>IFERROR(VLOOKUP(C579,Customers!$A$2:$F$301,5,FALSE()),"")</f>
        <v>SMB</v>
      </c>
      <c r="P579">
        <f>IFERROR(VLOOKUP(C579,Customers!$A$2:$F$301,3,FALSE()),"")</f>
        <v>39</v>
      </c>
      <c r="Q579">
        <f t="shared" si="27"/>
        <v>0.43278688524590164</v>
      </c>
      <c r="R579">
        <f>IF(AND(COUNTIF($A$2:$A$2047,A579)&gt;1,COUNTIF($A$2:A579,A579)=1),1,0)</f>
        <v>0</v>
      </c>
      <c r="S579" t="b">
        <f>IFERROR(VLOOKUP(D579,Products!$A$2:$F$61,6,FALSE()),"")</f>
        <v>1</v>
      </c>
      <c r="T579" t="str">
        <f>IF(COUNTIF(Customers!$A$2:$A$301,C579)=0,"Missing","OK")</f>
        <v>OK</v>
      </c>
      <c r="U579" t="str">
        <f t="shared" si="28"/>
        <v>Chennai</v>
      </c>
      <c r="V579">
        <f t="shared" si="29"/>
        <v>0</v>
      </c>
    </row>
    <row r="580" spans="1:22" ht="15" customHeight="1" x14ac:dyDescent="0.35">
      <c r="A580" s="3" t="s">
        <v>969</v>
      </c>
      <c r="B580" s="4">
        <v>45470</v>
      </c>
      <c r="C580" s="3" t="s">
        <v>762</v>
      </c>
      <c r="D580" s="3" t="s">
        <v>184</v>
      </c>
      <c r="E580" s="3" t="s">
        <v>224</v>
      </c>
      <c r="F580" s="5">
        <v>3</v>
      </c>
      <c r="G580" s="5">
        <v>2270</v>
      </c>
      <c r="H580" s="5">
        <v>6.7</v>
      </c>
      <c r="I580" s="5">
        <v>6353.73</v>
      </c>
      <c r="J580" s="3" t="s">
        <v>26</v>
      </c>
      <c r="K580" s="3" t="s">
        <v>33</v>
      </c>
      <c r="L580" t="str">
        <f>IFERROR(VLOOKUP(D580,Products!$A$2:$F$61,3,FALSE()),"")</f>
        <v>Grocery</v>
      </c>
      <c r="M580" t="str">
        <f>IFERROR(VLOOKUP(E580,Sales_Reps!$A$2:$C$31,3,FALSE()),"")</f>
        <v>East</v>
      </c>
      <c r="N580">
        <f>IFERROR(VLOOKUP(D580,Products!$A$2:$F$61,4,FALSE()),"")</f>
        <v>1412</v>
      </c>
      <c r="O580" t="str">
        <f>IFERROR(VLOOKUP(C580,Customers!$A$2:$F$301,5,FALSE()),"")</f>
        <v>Retail</v>
      </c>
      <c r="P580">
        <f>IFERROR(VLOOKUP(C580,Customers!$A$2:$F$301,3,FALSE()),"")</f>
        <v>32</v>
      </c>
      <c r="Q580">
        <f t="shared" si="27"/>
        <v>0.37797356828193834</v>
      </c>
      <c r="R580">
        <f>IF(AND(COUNTIF($A$2:$A$2047,A580)&gt;1,COUNTIF($A$2:A580,A580)=1),1,0)</f>
        <v>0</v>
      </c>
      <c r="S580" t="b">
        <f>IFERROR(VLOOKUP(D580,Products!$A$2:$F$61,6,FALSE()),"")</f>
        <v>1</v>
      </c>
      <c r="T580" t="str">
        <f>IF(COUNTIF(Customers!$A$2:$A$301,C580)=0,"Missing","OK")</f>
        <v>OK</v>
      </c>
      <c r="U580" t="str">
        <f t="shared" si="28"/>
        <v>Chennai</v>
      </c>
      <c r="V580">
        <f t="shared" si="29"/>
        <v>0</v>
      </c>
    </row>
    <row r="581" spans="1:22" ht="15" customHeight="1" x14ac:dyDescent="0.35">
      <c r="A581" s="3" t="s">
        <v>970</v>
      </c>
      <c r="B581" s="4">
        <v>45589</v>
      </c>
      <c r="C581" s="3" t="s">
        <v>496</v>
      </c>
      <c r="D581" s="3" t="s">
        <v>290</v>
      </c>
      <c r="E581" s="3" t="s">
        <v>25</v>
      </c>
      <c r="F581" s="5">
        <v>10</v>
      </c>
      <c r="G581" s="5">
        <v>4060</v>
      </c>
      <c r="H581" s="5">
        <v>3.6</v>
      </c>
      <c r="I581" s="5">
        <v>39138.400000000001</v>
      </c>
      <c r="J581" s="3" t="s">
        <v>32</v>
      </c>
      <c r="K581" s="3" t="s">
        <v>51</v>
      </c>
      <c r="L581" t="str">
        <f>IFERROR(VLOOKUP(D581,Products!$A$2:$F$61,3,FALSE()),"")</f>
        <v>Grocery</v>
      </c>
      <c r="M581" t="str">
        <f>IFERROR(VLOOKUP(E581,Sales_Reps!$A$2:$C$31,3,FALSE()),"")</f>
        <v>North</v>
      </c>
      <c r="N581">
        <f>IFERROR(VLOOKUP(D581,Products!$A$2:$F$61,4,FALSE()),"")</f>
        <v>2911</v>
      </c>
      <c r="O581" t="str">
        <f>IFERROR(VLOOKUP(C581,Customers!$A$2:$F$301,5,FALSE()),"")</f>
        <v>Retail</v>
      </c>
      <c r="P581">
        <f>IFERROR(VLOOKUP(C581,Customers!$A$2:$F$301,3,FALSE()),"")</f>
        <v>65</v>
      </c>
      <c r="Q581">
        <f t="shared" si="27"/>
        <v>0.28300492610837441</v>
      </c>
      <c r="R581">
        <f>IF(AND(COUNTIF($A$2:$A$2047,A581)&gt;1,COUNTIF($A$2:A581,A581)=1),1,0)</f>
        <v>0</v>
      </c>
      <c r="S581" t="b">
        <f>IFERROR(VLOOKUP(D581,Products!$A$2:$F$61,6,FALSE()),"")</f>
        <v>1</v>
      </c>
      <c r="T581" t="str">
        <f>IF(COUNTIF(Customers!$A$2:$A$301,C581)=0,"Missing","OK")</f>
        <v>OK</v>
      </c>
      <c r="U581" t="str">
        <f t="shared" si="28"/>
        <v>Mumbai</v>
      </c>
      <c r="V581">
        <f t="shared" si="29"/>
        <v>0</v>
      </c>
    </row>
    <row r="582" spans="1:22" ht="15" customHeight="1" x14ac:dyDescent="0.35">
      <c r="A582" s="3" t="s">
        <v>971</v>
      </c>
      <c r="B582" s="4">
        <v>45433</v>
      </c>
      <c r="C582" s="3" t="s">
        <v>554</v>
      </c>
      <c r="D582" s="3" t="s">
        <v>74</v>
      </c>
      <c r="E582" s="3" t="s">
        <v>78</v>
      </c>
      <c r="F582" s="5">
        <v>8</v>
      </c>
      <c r="G582" s="5">
        <v>2640</v>
      </c>
      <c r="H582" s="5">
        <v>28.8</v>
      </c>
      <c r="I582" s="5">
        <v>15037.44</v>
      </c>
      <c r="J582" s="3" t="s">
        <v>26</v>
      </c>
      <c r="K582" s="3" t="s">
        <v>51</v>
      </c>
      <c r="L582" t="str">
        <f>IFERROR(VLOOKUP(D582,Products!$A$2:$F$61,3,FALSE()),"")</f>
        <v>Electronics</v>
      </c>
      <c r="M582" t="str">
        <f>IFERROR(VLOOKUP(E582,Sales_Reps!$A$2:$C$31,3,FALSE()),"")</f>
        <v>North</v>
      </c>
      <c r="N582">
        <f>IFERROR(VLOOKUP(D582,Products!$A$2:$F$61,4,FALSE()),"")</f>
        <v>1149</v>
      </c>
      <c r="O582" t="str">
        <f>IFERROR(VLOOKUP(C582,Customers!$A$2:$F$301,5,FALSE()),"")</f>
        <v>Retail</v>
      </c>
      <c r="P582">
        <f>IFERROR(VLOOKUP(C582,Customers!$A$2:$F$301,3,FALSE()),"")</f>
        <v>53</v>
      </c>
      <c r="Q582">
        <f t="shared" si="27"/>
        <v>0.56477272727272732</v>
      </c>
      <c r="R582">
        <f>IF(AND(COUNTIF($A$2:$A$2047,A582)&gt;1,COUNTIF($A$2:A582,A582)=1),1,0)</f>
        <v>0</v>
      </c>
      <c r="S582" t="b">
        <f>IFERROR(VLOOKUP(D582,Products!$A$2:$F$61,6,FALSE()),"")</f>
        <v>1</v>
      </c>
      <c r="T582" t="str">
        <f>IF(COUNTIF(Customers!$A$2:$A$301,C582)=0,"Missing","OK")</f>
        <v>OK</v>
      </c>
      <c r="U582" t="str">
        <f t="shared" si="28"/>
        <v>Mumbai</v>
      </c>
      <c r="V582">
        <f t="shared" si="29"/>
        <v>0</v>
      </c>
    </row>
    <row r="583" spans="1:22" ht="15" customHeight="1" x14ac:dyDescent="0.35">
      <c r="A583" s="3" t="s">
        <v>972</v>
      </c>
      <c r="B583" s="4">
        <v>45477</v>
      </c>
      <c r="C583" s="3" t="s">
        <v>429</v>
      </c>
      <c r="D583" s="3" t="s">
        <v>165</v>
      </c>
      <c r="E583" s="3" t="s">
        <v>264</v>
      </c>
      <c r="F583" s="5">
        <v>6</v>
      </c>
      <c r="G583" s="5">
        <v>3730</v>
      </c>
      <c r="H583" s="5">
        <v>21.9</v>
      </c>
      <c r="I583" s="5">
        <v>17478.78</v>
      </c>
      <c r="J583" s="3" t="s">
        <v>26</v>
      </c>
      <c r="K583" s="3" t="s">
        <v>38</v>
      </c>
      <c r="L583" t="str">
        <f>IFERROR(VLOOKUP(D583,Products!$A$2:$F$61,3,FALSE()),"")</f>
        <v>Home</v>
      </c>
      <c r="M583" t="str">
        <f>IFERROR(VLOOKUP(E583,Sales_Reps!$A$2:$C$31,3,FALSE()),"")</f>
        <v>South</v>
      </c>
      <c r="N583">
        <f>IFERROR(VLOOKUP(D583,Products!$A$2:$F$61,4,FALSE()),"")</f>
        <v>2135</v>
      </c>
      <c r="O583" t="str">
        <f>IFERROR(VLOOKUP(C583,Customers!$A$2:$F$301,5,FALSE()),"")</f>
        <v>Retail</v>
      </c>
      <c r="P583">
        <f>IFERROR(VLOOKUP(C583,Customers!$A$2:$F$301,3,FALSE()),"")</f>
        <v>59</v>
      </c>
      <c r="Q583">
        <f t="shared" si="27"/>
        <v>0.42761394101876676</v>
      </c>
      <c r="R583">
        <f>IF(AND(COUNTIF($A$2:$A$2047,A583)&gt;1,COUNTIF($A$2:A583,A583)=1),1,0)</f>
        <v>0</v>
      </c>
      <c r="S583" t="b">
        <f>IFERROR(VLOOKUP(D583,Products!$A$2:$F$61,6,FALSE()),"")</f>
        <v>1</v>
      </c>
      <c r="T583" t="str">
        <f>IF(COUNTIF(Customers!$A$2:$A$301,C583)=0,"Missing","OK")</f>
        <v>OK</v>
      </c>
      <c r="U583" t="str">
        <f t="shared" si="28"/>
        <v>Delhi</v>
      </c>
      <c r="V583">
        <f t="shared" si="29"/>
        <v>0</v>
      </c>
    </row>
    <row r="584" spans="1:22" ht="15" customHeight="1" x14ac:dyDescent="0.35">
      <c r="A584" s="3" t="s">
        <v>973</v>
      </c>
      <c r="B584" s="4">
        <v>45443</v>
      </c>
      <c r="C584" s="3" t="s">
        <v>429</v>
      </c>
      <c r="D584" s="3" t="s">
        <v>303</v>
      </c>
      <c r="E584" s="3" t="s">
        <v>42</v>
      </c>
      <c r="F584" s="5">
        <v>9</v>
      </c>
      <c r="G584" s="5">
        <v>5330</v>
      </c>
      <c r="H584" s="5">
        <v>29.4</v>
      </c>
      <c r="I584" s="5">
        <v>33866.82</v>
      </c>
      <c r="J584" s="3" t="s">
        <v>79</v>
      </c>
      <c r="K584" s="3" t="s">
        <v>38</v>
      </c>
      <c r="L584" t="str">
        <f>IFERROR(VLOOKUP(D584,Products!$A$2:$F$61,3,FALSE()),"")</f>
        <v>Electronics</v>
      </c>
      <c r="M584" t="str">
        <f>IFERROR(VLOOKUP(E584,Sales_Reps!$A$2:$C$31,3,FALSE()),"")</f>
        <v>North</v>
      </c>
      <c r="N584">
        <f>IFERROR(VLOOKUP(D584,Products!$A$2:$F$61,4,FALSE()),"")</f>
        <v>2405</v>
      </c>
      <c r="O584" t="str">
        <f>IFERROR(VLOOKUP(C584,Customers!$A$2:$F$301,5,FALSE()),"")</f>
        <v>Retail</v>
      </c>
      <c r="P584">
        <f>IFERROR(VLOOKUP(C584,Customers!$A$2:$F$301,3,FALSE()),"")</f>
        <v>59</v>
      </c>
      <c r="Q584">
        <f t="shared" si="27"/>
        <v>0.54878048780487809</v>
      </c>
      <c r="R584">
        <f>IF(AND(COUNTIF($A$2:$A$2047,A584)&gt;1,COUNTIF($A$2:A584,A584)=1),1,0)</f>
        <v>0</v>
      </c>
      <c r="S584" t="b">
        <f>IFERROR(VLOOKUP(D584,Products!$A$2:$F$61,6,FALSE()),"")</f>
        <v>1</v>
      </c>
      <c r="T584" t="str">
        <f>IF(COUNTIF(Customers!$A$2:$A$301,C584)=0,"Missing","OK")</f>
        <v>OK</v>
      </c>
      <c r="U584" t="str">
        <f t="shared" si="28"/>
        <v>Delhi</v>
      </c>
      <c r="V584">
        <f t="shared" si="29"/>
        <v>0</v>
      </c>
    </row>
    <row r="585" spans="1:22" ht="15" customHeight="1" x14ac:dyDescent="0.35">
      <c r="A585" s="3" t="s">
        <v>974</v>
      </c>
      <c r="B585" s="4">
        <v>45322</v>
      </c>
      <c r="C585" s="3" t="s">
        <v>975</v>
      </c>
      <c r="D585" s="3" t="s">
        <v>391</v>
      </c>
      <c r="E585" s="3" t="s">
        <v>282</v>
      </c>
      <c r="F585" s="5">
        <v>1</v>
      </c>
      <c r="G585" s="5">
        <v>3450</v>
      </c>
      <c r="H585" s="5">
        <v>23.3</v>
      </c>
      <c r="I585" s="5">
        <v>2646.15</v>
      </c>
      <c r="J585" s="3" t="s">
        <v>26</v>
      </c>
      <c r="K585" s="3" t="s">
        <v>51</v>
      </c>
      <c r="L585" t="str">
        <f>IFERROR(VLOOKUP(D585,Products!$A$2:$F$61,3,FALSE()),"")</f>
        <v>Apparel</v>
      </c>
      <c r="M585" t="str">
        <f>IFERROR(VLOOKUP(E585,Sales_Reps!$A$2:$C$31,3,FALSE()),"")</f>
        <v>West</v>
      </c>
      <c r="N585">
        <f>IFERROR(VLOOKUP(D585,Products!$A$2:$F$61,4,FALSE()),"")</f>
        <v>1748</v>
      </c>
      <c r="O585" t="str">
        <f>IFERROR(VLOOKUP(C585,Customers!$A$2:$F$301,5,FALSE()),"")</f>
        <v>Retail</v>
      </c>
      <c r="P585">
        <f>IFERROR(VLOOKUP(C585,Customers!$A$2:$F$301,3,FALSE()),"")</f>
        <v>33</v>
      </c>
      <c r="Q585">
        <f t="shared" si="27"/>
        <v>0.49333333333333335</v>
      </c>
      <c r="R585">
        <f>IF(AND(COUNTIF($A$2:$A$2047,A585)&gt;1,COUNTIF($A$2:A585,A585)=1),1,0)</f>
        <v>0</v>
      </c>
      <c r="S585" t="b">
        <f>IFERROR(VLOOKUP(D585,Products!$A$2:$F$61,6,FALSE()),"")</f>
        <v>1</v>
      </c>
      <c r="T585" t="str">
        <f>IF(COUNTIF(Customers!$A$2:$A$301,C585)=0,"Missing","OK")</f>
        <v>OK</v>
      </c>
      <c r="U585" t="str">
        <f t="shared" si="28"/>
        <v>Mumbai</v>
      </c>
      <c r="V585">
        <f t="shared" si="29"/>
        <v>0</v>
      </c>
    </row>
    <row r="586" spans="1:22" ht="15" customHeight="1" x14ac:dyDescent="0.35">
      <c r="A586" s="3" t="s">
        <v>976</v>
      </c>
      <c r="B586" s="4">
        <v>45544</v>
      </c>
      <c r="C586" s="3" t="s">
        <v>977</v>
      </c>
      <c r="D586" s="3" t="s">
        <v>180</v>
      </c>
      <c r="E586" s="3" t="s">
        <v>177</v>
      </c>
      <c r="F586" s="5">
        <v>3</v>
      </c>
      <c r="G586" s="5">
        <v>6080</v>
      </c>
      <c r="H586" s="5">
        <v>14.5</v>
      </c>
      <c r="I586" s="5">
        <v>15595.2</v>
      </c>
      <c r="J586" s="3" t="s">
        <v>26</v>
      </c>
      <c r="K586" s="3" t="s">
        <v>56</v>
      </c>
      <c r="L586" t="str">
        <f>IFERROR(VLOOKUP(D586,Products!$A$2:$F$61,3,FALSE()),"")</f>
        <v>Beauty</v>
      </c>
      <c r="M586" t="str">
        <f>IFERROR(VLOOKUP(E586,Sales_Reps!$A$2:$C$31,3,FALSE()),"")</f>
        <v>East</v>
      </c>
      <c r="N586">
        <f>IFERROR(VLOOKUP(D586,Products!$A$2:$F$61,4,FALSE()),"")</f>
        <v>2617</v>
      </c>
      <c r="O586" t="str">
        <f>IFERROR(VLOOKUP(C586,Customers!$A$2:$F$301,5,FALSE()),"")</f>
        <v>Corporate</v>
      </c>
      <c r="P586">
        <f>IFERROR(VLOOKUP(C586,Customers!$A$2:$F$301,3,FALSE()),"")</f>
        <v>55</v>
      </c>
      <c r="Q586">
        <f t="shared" si="27"/>
        <v>0.56957236842105263</v>
      </c>
      <c r="R586">
        <f>IF(AND(COUNTIF($A$2:$A$2047,A586)&gt;1,COUNTIF($A$2:A586,A586)=1),1,0)</f>
        <v>0</v>
      </c>
      <c r="S586" t="b">
        <f>IFERROR(VLOOKUP(D586,Products!$A$2:$F$61,6,FALSE()),"")</f>
        <v>1</v>
      </c>
      <c r="T586" t="str">
        <f>IF(COUNTIF(Customers!$A$2:$A$301,C586)=0,"Missing","OK")</f>
        <v>OK</v>
      </c>
      <c r="U586" t="str">
        <f t="shared" si="28"/>
        <v>Bengaluru</v>
      </c>
      <c r="V586">
        <f t="shared" si="29"/>
        <v>0</v>
      </c>
    </row>
    <row r="587" spans="1:22" ht="15" customHeight="1" x14ac:dyDescent="0.35">
      <c r="A587" s="3" t="s">
        <v>978</v>
      </c>
      <c r="B587" s="4">
        <v>45609</v>
      </c>
      <c r="C587" s="3" t="s">
        <v>249</v>
      </c>
      <c r="D587" s="3" t="s">
        <v>165</v>
      </c>
      <c r="E587" s="3" t="s">
        <v>236</v>
      </c>
      <c r="F587" s="5">
        <v>4</v>
      </c>
      <c r="G587" s="5">
        <v>3730</v>
      </c>
      <c r="H587" s="5">
        <v>3.4</v>
      </c>
      <c r="I587" s="5">
        <v>14412.72</v>
      </c>
      <c r="J587" s="3" t="s">
        <v>79</v>
      </c>
      <c r="K587" s="3" t="s">
        <v>56</v>
      </c>
      <c r="L587" t="str">
        <f>IFERROR(VLOOKUP(D587,Products!$A$2:$F$61,3,FALSE()),"")</f>
        <v>Home</v>
      </c>
      <c r="M587" t="str">
        <f>IFERROR(VLOOKUP(E587,Sales_Reps!$A$2:$C$31,3,FALSE()),"")</f>
        <v>North</v>
      </c>
      <c r="N587">
        <f>IFERROR(VLOOKUP(D587,Products!$A$2:$F$61,4,FALSE()),"")</f>
        <v>2135</v>
      </c>
      <c r="O587" t="str">
        <f>IFERROR(VLOOKUP(C587,Customers!$A$2:$F$301,5,FALSE()),"")</f>
        <v>Retail</v>
      </c>
      <c r="P587">
        <f>IFERROR(VLOOKUP(C587,Customers!$A$2:$F$301,3,FALSE()),"")</f>
        <v>42</v>
      </c>
      <c r="Q587">
        <f t="shared" si="27"/>
        <v>0.42761394101876676</v>
      </c>
      <c r="R587">
        <f>IF(AND(COUNTIF($A$2:$A$2047,A587)&gt;1,COUNTIF($A$2:A587,A587)=1),1,0)</f>
        <v>0</v>
      </c>
      <c r="S587" t="b">
        <f>IFERROR(VLOOKUP(D587,Products!$A$2:$F$61,6,FALSE()),"")</f>
        <v>1</v>
      </c>
      <c r="T587" t="str">
        <f>IF(COUNTIF(Customers!$A$2:$A$301,C587)=0,"Missing","OK")</f>
        <v>OK</v>
      </c>
      <c r="U587" t="str">
        <f t="shared" si="28"/>
        <v>Bengaluru</v>
      </c>
      <c r="V587">
        <f t="shared" si="29"/>
        <v>0</v>
      </c>
    </row>
    <row r="588" spans="1:22" ht="15" customHeight="1" x14ac:dyDescent="0.35">
      <c r="A588" s="3" t="s">
        <v>979</v>
      </c>
      <c r="B588" s="4">
        <v>45491</v>
      </c>
      <c r="C588" s="3" t="s">
        <v>240</v>
      </c>
      <c r="D588" s="3" t="s">
        <v>218</v>
      </c>
      <c r="E588" s="3" t="s">
        <v>224</v>
      </c>
      <c r="F588" s="5">
        <v>10</v>
      </c>
      <c r="G588" s="5">
        <v>2660</v>
      </c>
      <c r="H588" s="5">
        <v>2.1</v>
      </c>
      <c r="I588" s="5">
        <v>26041.4</v>
      </c>
      <c r="J588" s="3" t="s">
        <v>26</v>
      </c>
      <c r="K588" s="3" t="s">
        <v>33</v>
      </c>
      <c r="L588" t="str">
        <f>IFERROR(VLOOKUP(D588,Products!$A$2:$F$61,3,FALSE()),"")</f>
        <v>Electronics</v>
      </c>
      <c r="M588" t="str">
        <f>IFERROR(VLOOKUP(E588,Sales_Reps!$A$2:$C$31,3,FALSE()),"")</f>
        <v>East</v>
      </c>
      <c r="N588">
        <f>IFERROR(VLOOKUP(D588,Products!$A$2:$F$61,4,FALSE()),"")</f>
        <v>1259</v>
      </c>
      <c r="O588" t="str">
        <f>IFERROR(VLOOKUP(C588,Customers!$A$2:$F$301,5,FALSE()),"")</f>
        <v>Retail</v>
      </c>
      <c r="P588">
        <f>IFERROR(VLOOKUP(C588,Customers!$A$2:$F$301,3,FALSE()),"")</f>
        <v>41</v>
      </c>
      <c r="Q588">
        <f t="shared" si="27"/>
        <v>0.52669172932330832</v>
      </c>
      <c r="R588">
        <f>IF(AND(COUNTIF($A$2:$A$2047,A588)&gt;1,COUNTIF($A$2:A588,A588)=1),1,0)</f>
        <v>0</v>
      </c>
      <c r="S588" t="b">
        <f>IFERROR(VLOOKUP(D588,Products!$A$2:$F$61,6,FALSE()),"")</f>
        <v>0</v>
      </c>
      <c r="T588" t="str">
        <f>IF(COUNTIF(Customers!$A$2:$A$301,C588)=0,"Missing","OK")</f>
        <v>OK</v>
      </c>
      <c r="U588" t="str">
        <f t="shared" si="28"/>
        <v>Chennai</v>
      </c>
      <c r="V588">
        <f t="shared" si="29"/>
        <v>0</v>
      </c>
    </row>
    <row r="589" spans="1:22" ht="15" customHeight="1" x14ac:dyDescent="0.35">
      <c r="A589" s="3" t="s">
        <v>980</v>
      </c>
      <c r="B589" s="4">
        <v>45373</v>
      </c>
      <c r="C589" s="3" t="s">
        <v>114</v>
      </c>
      <c r="D589" s="3" t="s">
        <v>277</v>
      </c>
      <c r="E589" s="3" t="s">
        <v>97</v>
      </c>
      <c r="F589" s="5">
        <v>7</v>
      </c>
      <c r="G589" s="5">
        <v>2210</v>
      </c>
      <c r="H589" s="5">
        <v>17.100000000000001</v>
      </c>
      <c r="I589" s="5">
        <v>12824.63</v>
      </c>
      <c r="J589" s="3" t="s">
        <v>26</v>
      </c>
      <c r="K589" s="3" t="s">
        <v>72</v>
      </c>
      <c r="L589" t="str">
        <f>IFERROR(VLOOKUP(D589,Products!$A$2:$F$61,3,FALSE()),"")</f>
        <v>Grocery</v>
      </c>
      <c r="M589" t="str">
        <f>IFERROR(VLOOKUP(E589,Sales_Reps!$A$2:$C$31,3,FALSE()),"")</f>
        <v>East</v>
      </c>
      <c r="N589">
        <f>IFERROR(VLOOKUP(D589,Products!$A$2:$F$61,4,FALSE()),"")</f>
        <v>1010</v>
      </c>
      <c r="O589" t="str">
        <f>IFERROR(VLOOKUP(C589,Customers!$A$2:$F$301,5,FALSE()),"")</f>
        <v>SMB</v>
      </c>
      <c r="P589">
        <f>IFERROR(VLOOKUP(C589,Customers!$A$2:$F$301,3,FALSE()),"")</f>
        <v>40</v>
      </c>
      <c r="Q589">
        <f t="shared" si="27"/>
        <v>0.54298642533936647</v>
      </c>
      <c r="R589">
        <f>IF(AND(COUNTIF($A$2:$A$2047,A589)&gt;1,COUNTIF($A$2:A589,A589)=1),1,0)</f>
        <v>0</v>
      </c>
      <c r="S589" t="b">
        <f>IFERROR(VLOOKUP(D589,Products!$A$2:$F$61,6,FALSE()),"")</f>
        <v>1</v>
      </c>
      <c r="T589" t="str">
        <f>IF(COUNTIF(Customers!$A$2:$A$301,C589)=0,"Missing","OK")</f>
        <v>OK</v>
      </c>
      <c r="U589" t="str">
        <f t="shared" si="28"/>
        <v>Hyderabad</v>
      </c>
      <c r="V589">
        <f t="shared" si="29"/>
        <v>0</v>
      </c>
    </row>
    <row r="590" spans="1:22" ht="15" customHeight="1" x14ac:dyDescent="0.35">
      <c r="A590" s="3" t="s">
        <v>981</v>
      </c>
      <c r="B590" s="4">
        <v>45607</v>
      </c>
      <c r="C590" s="3" t="s">
        <v>133</v>
      </c>
      <c r="D590" s="3" t="s">
        <v>400</v>
      </c>
      <c r="E590" s="3" t="s">
        <v>191</v>
      </c>
      <c r="F590" s="5">
        <v>6</v>
      </c>
      <c r="G590" s="5">
        <v>3780</v>
      </c>
      <c r="H590" s="5">
        <v>12.7</v>
      </c>
      <c r="I590" s="5">
        <v>19799.64</v>
      </c>
      <c r="J590" s="3" t="s">
        <v>26</v>
      </c>
      <c r="K590" s="3" t="s">
        <v>27</v>
      </c>
      <c r="L590" t="str">
        <f>IFERROR(VLOOKUP(D590,Products!$A$2:$F$61,3,FALSE()),"")</f>
        <v>Sports</v>
      </c>
      <c r="M590" t="str">
        <f>IFERROR(VLOOKUP(E590,Sales_Reps!$A$2:$C$31,3,FALSE()),"")</f>
        <v>South</v>
      </c>
      <c r="N590">
        <f>IFERROR(VLOOKUP(D590,Products!$A$2:$F$61,4,FALSE()),"")</f>
        <v>1860</v>
      </c>
      <c r="O590" t="str">
        <f>IFERROR(VLOOKUP(C590,Customers!$A$2:$F$301,5,FALSE()),"")</f>
        <v>SMB</v>
      </c>
      <c r="P590">
        <f>IFERROR(VLOOKUP(C590,Customers!$A$2:$F$301,3,FALSE()),"")</f>
        <v>44</v>
      </c>
      <c r="Q590">
        <f t="shared" si="27"/>
        <v>0.50793650793650791</v>
      </c>
      <c r="R590">
        <f>IF(AND(COUNTIF($A$2:$A$2047,A590)&gt;1,COUNTIF($A$2:A590,A590)=1),1,0)</f>
        <v>0</v>
      </c>
      <c r="S590" t="b">
        <f>IFERROR(VLOOKUP(D590,Products!$A$2:$F$61,6,FALSE()),"")</f>
        <v>1</v>
      </c>
      <c r="T590" t="str">
        <f>IF(COUNTIF(Customers!$A$2:$A$301,C590)=0,"Missing","OK")</f>
        <v>OK</v>
      </c>
      <c r="U590" t="str">
        <f t="shared" si="28"/>
        <v>Pune</v>
      </c>
      <c r="V590">
        <f t="shared" si="29"/>
        <v>0</v>
      </c>
    </row>
    <row r="591" spans="1:22" ht="15" customHeight="1" x14ac:dyDescent="0.35">
      <c r="A591" s="3" t="s">
        <v>982</v>
      </c>
      <c r="B591" s="4">
        <v>45412</v>
      </c>
      <c r="C591" s="3" t="s">
        <v>902</v>
      </c>
      <c r="D591" s="3" t="s">
        <v>63</v>
      </c>
      <c r="E591" s="3" t="s">
        <v>168</v>
      </c>
      <c r="F591" s="5">
        <v>4</v>
      </c>
      <c r="G591" s="5">
        <v>5490</v>
      </c>
      <c r="H591" s="5">
        <v>26.9</v>
      </c>
      <c r="I591" s="5">
        <v>16052.76</v>
      </c>
      <c r="J591" s="3" t="s">
        <v>26</v>
      </c>
      <c r="K591" s="3" t="s">
        <v>33</v>
      </c>
      <c r="L591" t="str">
        <f>IFERROR(VLOOKUP(D591,Products!$A$2:$F$61,3,FALSE()),"")</f>
        <v>Home</v>
      </c>
      <c r="M591" t="str">
        <f>IFERROR(VLOOKUP(E591,Sales_Reps!$A$2:$C$31,3,FALSE()),"")</f>
        <v>West</v>
      </c>
      <c r="N591">
        <f>IFERROR(VLOOKUP(D591,Products!$A$2:$F$61,4,FALSE()),"")</f>
        <v>2549</v>
      </c>
      <c r="O591" t="str">
        <f>IFERROR(VLOOKUP(C591,Customers!$A$2:$F$301,5,FALSE()),"")</f>
        <v>Retail</v>
      </c>
      <c r="P591">
        <f>IFERROR(VLOOKUP(C591,Customers!$A$2:$F$301,3,FALSE()),"")</f>
        <v>31</v>
      </c>
      <c r="Q591">
        <f t="shared" si="27"/>
        <v>0.53570127504553733</v>
      </c>
      <c r="R591">
        <f>IF(AND(COUNTIF($A$2:$A$2047,A591)&gt;1,COUNTIF($A$2:A591,A591)=1),1,0)</f>
        <v>0</v>
      </c>
      <c r="S591" t="b">
        <f>IFERROR(VLOOKUP(D591,Products!$A$2:$F$61,6,FALSE()),"")</f>
        <v>1</v>
      </c>
      <c r="T591" t="str">
        <f>IF(COUNTIF(Customers!$A$2:$A$301,C591)=0,"Missing","OK")</f>
        <v>OK</v>
      </c>
      <c r="U591" t="str">
        <f t="shared" si="28"/>
        <v>Chennai</v>
      </c>
      <c r="V591">
        <f t="shared" si="29"/>
        <v>0</v>
      </c>
    </row>
    <row r="592" spans="1:22" ht="15" customHeight="1" x14ac:dyDescent="0.35">
      <c r="A592" s="3" t="s">
        <v>983</v>
      </c>
      <c r="B592" s="4">
        <v>45351</v>
      </c>
      <c r="C592" s="3" t="s">
        <v>741</v>
      </c>
      <c r="D592" s="3" t="s">
        <v>218</v>
      </c>
      <c r="E592" s="3" t="s">
        <v>191</v>
      </c>
      <c r="F592" s="5">
        <v>9</v>
      </c>
      <c r="G592" s="5">
        <v>2660</v>
      </c>
      <c r="H592" s="5">
        <v>21.9</v>
      </c>
      <c r="I592" s="5">
        <v>18697.14</v>
      </c>
      <c r="J592" s="3" t="s">
        <v>26</v>
      </c>
      <c r="K592" s="3" t="s">
        <v>33</v>
      </c>
      <c r="L592" t="str">
        <f>IFERROR(VLOOKUP(D592,Products!$A$2:$F$61,3,FALSE()),"")</f>
        <v>Electronics</v>
      </c>
      <c r="M592" t="str">
        <f>IFERROR(VLOOKUP(E592,Sales_Reps!$A$2:$C$31,3,FALSE()),"")</f>
        <v>South</v>
      </c>
      <c r="N592">
        <f>IFERROR(VLOOKUP(D592,Products!$A$2:$F$61,4,FALSE()),"")</f>
        <v>1259</v>
      </c>
      <c r="O592" t="str">
        <f>IFERROR(VLOOKUP(C592,Customers!$A$2:$F$301,5,FALSE()),"")</f>
        <v>SMB</v>
      </c>
      <c r="P592">
        <f>IFERROR(VLOOKUP(C592,Customers!$A$2:$F$301,3,FALSE()),"")</f>
        <v>39</v>
      </c>
      <c r="Q592">
        <f t="shared" si="27"/>
        <v>0.52669172932330832</v>
      </c>
      <c r="R592">
        <f>IF(AND(COUNTIF($A$2:$A$2047,A592)&gt;1,COUNTIF($A$2:A592,A592)=1),1,0)</f>
        <v>0</v>
      </c>
      <c r="S592" t="b">
        <f>IFERROR(VLOOKUP(D592,Products!$A$2:$F$61,6,FALSE()),"")</f>
        <v>0</v>
      </c>
      <c r="T592" t="str">
        <f>IF(COUNTIF(Customers!$A$2:$A$301,C592)=0,"Missing","OK")</f>
        <v>OK</v>
      </c>
      <c r="U592" t="str">
        <f t="shared" si="28"/>
        <v>Chennai</v>
      </c>
      <c r="V592">
        <f t="shared" si="29"/>
        <v>0</v>
      </c>
    </row>
    <row r="593" spans="1:22" ht="15" customHeight="1" x14ac:dyDescent="0.35">
      <c r="A593" s="3" t="s">
        <v>984</v>
      </c>
      <c r="B593" s="4">
        <v>45572</v>
      </c>
      <c r="C593" s="3" t="s">
        <v>342</v>
      </c>
      <c r="D593" s="3" t="s">
        <v>454</v>
      </c>
      <c r="E593" s="3" t="s">
        <v>67</v>
      </c>
      <c r="F593" s="5">
        <v>9</v>
      </c>
      <c r="G593" s="5">
        <v>6940</v>
      </c>
      <c r="H593" s="5">
        <v>8</v>
      </c>
      <c r="I593" s="5">
        <v>57463.199999999997</v>
      </c>
      <c r="J593" s="3" t="s">
        <v>26</v>
      </c>
      <c r="K593" s="3" t="s">
        <v>56</v>
      </c>
      <c r="L593" t="str">
        <f>IFERROR(VLOOKUP(D593,Products!$A$2:$F$61,3,FALSE()),"")</f>
        <v>Sports</v>
      </c>
      <c r="M593" t="str">
        <f>IFERROR(VLOOKUP(E593,Sales_Reps!$A$2:$C$31,3,FALSE()),"")</f>
        <v>West</v>
      </c>
      <c r="N593">
        <f>IFERROR(VLOOKUP(D593,Products!$A$2:$F$61,4,FALSE()),"")</f>
        <v>2827</v>
      </c>
      <c r="O593" t="str">
        <f>IFERROR(VLOOKUP(C593,Customers!$A$2:$F$301,5,FALSE()),"")</f>
        <v>Retail</v>
      </c>
      <c r="P593">
        <f>IFERROR(VLOOKUP(C593,Customers!$A$2:$F$301,3,FALSE()),"")</f>
        <v>59</v>
      </c>
      <c r="Q593">
        <f t="shared" si="27"/>
        <v>0.5926512968299712</v>
      </c>
      <c r="R593">
        <f>IF(AND(COUNTIF($A$2:$A$2047,A593)&gt;1,COUNTIF($A$2:A593,A593)=1),1,0)</f>
        <v>0</v>
      </c>
      <c r="S593" t="b">
        <f>IFERROR(VLOOKUP(D593,Products!$A$2:$F$61,6,FALSE()),"")</f>
        <v>1</v>
      </c>
      <c r="T593" t="str">
        <f>IF(COUNTIF(Customers!$A$2:$A$301,C593)=0,"Missing","OK")</f>
        <v>OK</v>
      </c>
      <c r="U593" t="str">
        <f t="shared" si="28"/>
        <v>Bengaluru</v>
      </c>
      <c r="V593">
        <f t="shared" si="29"/>
        <v>0</v>
      </c>
    </row>
    <row r="594" spans="1:22" ht="15" customHeight="1" x14ac:dyDescent="0.35">
      <c r="A594" s="3" t="s">
        <v>672</v>
      </c>
      <c r="B594" s="4">
        <v>45402</v>
      </c>
      <c r="C594" s="3" t="s">
        <v>136</v>
      </c>
      <c r="D594" s="3" t="s">
        <v>187</v>
      </c>
      <c r="E594" s="3" t="s">
        <v>42</v>
      </c>
      <c r="F594" s="5">
        <v>1</v>
      </c>
      <c r="G594" s="5">
        <v>3870</v>
      </c>
      <c r="H594" s="5">
        <v>22.6</v>
      </c>
      <c r="I594" s="5">
        <v>2995.38</v>
      </c>
      <c r="J594" s="3" t="s">
        <v>26</v>
      </c>
      <c r="K594" s="3" t="s">
        <v>27</v>
      </c>
      <c r="L594" t="str">
        <f>IFERROR(VLOOKUP(D594,Products!$A$2:$F$61,3,FALSE()),"")</f>
        <v>Electronics</v>
      </c>
      <c r="M594" t="str">
        <f>IFERROR(VLOOKUP(E594,Sales_Reps!$A$2:$C$31,3,FALSE()),"")</f>
        <v>North</v>
      </c>
      <c r="N594">
        <f>IFERROR(VLOOKUP(D594,Products!$A$2:$F$61,4,FALSE()),"")</f>
        <v>1559</v>
      </c>
      <c r="O594" t="str">
        <f>IFERROR(VLOOKUP(C594,Customers!$A$2:$F$301,5,FALSE()),"")</f>
        <v>Corporate</v>
      </c>
      <c r="P594">
        <f>IFERROR(VLOOKUP(C594,Customers!$A$2:$F$301,3,FALSE()),"")</f>
        <v>47</v>
      </c>
      <c r="Q594">
        <f t="shared" si="27"/>
        <v>0.59715762273901807</v>
      </c>
      <c r="R594">
        <f>IF(AND(COUNTIF($A$2:$A$2047,A594)&gt;1,COUNTIF($A$2:A594,A594)=1),1,0)</f>
        <v>0</v>
      </c>
      <c r="S594" t="b">
        <f>IFERROR(VLOOKUP(D594,Products!$A$2:$F$61,6,FALSE()),"")</f>
        <v>1</v>
      </c>
      <c r="T594" t="str">
        <f>IF(COUNTIF(Customers!$A$2:$A$301,C594)=0,"Missing","OK")</f>
        <v>OK</v>
      </c>
      <c r="U594" t="str">
        <f t="shared" si="28"/>
        <v>Pune</v>
      </c>
      <c r="V594">
        <f t="shared" si="29"/>
        <v>0</v>
      </c>
    </row>
    <row r="595" spans="1:22" ht="15" customHeight="1" x14ac:dyDescent="0.35">
      <c r="A595" s="3" t="s">
        <v>985</v>
      </c>
      <c r="B595" s="4">
        <v>45503</v>
      </c>
      <c r="C595" s="3" t="s">
        <v>986</v>
      </c>
      <c r="D595" s="3" t="s">
        <v>441</v>
      </c>
      <c r="E595" s="3" t="s">
        <v>46</v>
      </c>
      <c r="F595" s="5">
        <v>3</v>
      </c>
      <c r="G595" s="5">
        <v>1090</v>
      </c>
      <c r="H595" s="5">
        <v>28.1</v>
      </c>
      <c r="I595" s="5">
        <v>2351.13</v>
      </c>
      <c r="J595" s="3" t="s">
        <v>26</v>
      </c>
      <c r="K595" s="3" t="s">
        <v>72</v>
      </c>
      <c r="L595" t="str">
        <f>IFERROR(VLOOKUP(D595,Products!$A$2:$F$61,3,FALSE()),"")</f>
        <v>Home</v>
      </c>
      <c r="M595" t="str">
        <f>IFERROR(VLOOKUP(E595,Sales_Reps!$A$2:$C$31,3,FALSE()),"")</f>
        <v>North</v>
      </c>
      <c r="N595">
        <f>IFERROR(VLOOKUP(D595,Products!$A$2:$F$61,4,FALSE()),"")</f>
        <v>464</v>
      </c>
      <c r="O595" t="str">
        <f>IFERROR(VLOOKUP(C595,Customers!$A$2:$F$301,5,FALSE()),"")</f>
        <v>Retail</v>
      </c>
      <c r="P595">
        <f>IFERROR(VLOOKUP(C595,Customers!$A$2:$F$301,3,FALSE()),"")</f>
        <v>41</v>
      </c>
      <c r="Q595">
        <f t="shared" si="27"/>
        <v>0.57431192660550456</v>
      </c>
      <c r="R595">
        <f>IF(AND(COUNTIF($A$2:$A$2047,A595)&gt;1,COUNTIF($A$2:A595,A595)=1),1,0)</f>
        <v>0</v>
      </c>
      <c r="S595" t="b">
        <f>IFERROR(VLOOKUP(D595,Products!$A$2:$F$61,6,FALSE()),"")</f>
        <v>1</v>
      </c>
      <c r="T595" t="str">
        <f>IF(COUNTIF(Customers!$A$2:$A$301,C595)=0,"Missing","OK")</f>
        <v>OK</v>
      </c>
      <c r="U595" t="str">
        <f t="shared" si="28"/>
        <v>Hyderabad</v>
      </c>
      <c r="V595">
        <f t="shared" si="29"/>
        <v>0</v>
      </c>
    </row>
    <row r="596" spans="1:22" ht="15" customHeight="1" x14ac:dyDescent="0.35">
      <c r="A596" s="3" t="s">
        <v>987</v>
      </c>
      <c r="B596" s="4">
        <v>45524</v>
      </c>
      <c r="C596" s="3" t="s">
        <v>404</v>
      </c>
      <c r="D596" s="3" t="s">
        <v>77</v>
      </c>
      <c r="E596" s="3" t="s">
        <v>154</v>
      </c>
      <c r="F596" s="5">
        <v>2</v>
      </c>
      <c r="G596" s="5">
        <v>2600</v>
      </c>
      <c r="H596" s="5">
        <v>5.6</v>
      </c>
      <c r="I596" s="5">
        <v>4908.8</v>
      </c>
      <c r="J596" s="3" t="s">
        <v>26</v>
      </c>
      <c r="K596" s="3" t="s">
        <v>51</v>
      </c>
      <c r="L596" t="str">
        <f>IFERROR(VLOOKUP(D596,Products!$A$2:$F$61,3,FALSE()),"")</f>
        <v>Electronics</v>
      </c>
      <c r="M596" t="str">
        <f>IFERROR(VLOOKUP(E596,Sales_Reps!$A$2:$C$31,3,FALSE()),"")</f>
        <v>North</v>
      </c>
      <c r="N596">
        <f>IFERROR(VLOOKUP(D596,Products!$A$2:$F$61,4,FALSE()),"")</f>
        <v>1052</v>
      </c>
      <c r="O596" t="str">
        <f>IFERROR(VLOOKUP(C596,Customers!$A$2:$F$301,5,FALSE()),"")</f>
        <v>Retail</v>
      </c>
      <c r="P596">
        <f>IFERROR(VLOOKUP(C596,Customers!$A$2:$F$301,3,FALSE()),"")</f>
        <v>61</v>
      </c>
      <c r="Q596">
        <f t="shared" si="27"/>
        <v>0.5953846153846154</v>
      </c>
      <c r="R596">
        <f>IF(AND(COUNTIF($A$2:$A$2047,A596)&gt;1,COUNTIF($A$2:A596,A596)=1),1,0)</f>
        <v>0</v>
      </c>
      <c r="S596" t="b">
        <f>IFERROR(VLOOKUP(D596,Products!$A$2:$F$61,6,FALSE()),"")</f>
        <v>1</v>
      </c>
      <c r="T596" t="str">
        <f>IF(COUNTIF(Customers!$A$2:$A$301,C596)=0,"Missing","OK")</f>
        <v>OK</v>
      </c>
      <c r="U596" t="str">
        <f t="shared" si="28"/>
        <v>Mumbai</v>
      </c>
      <c r="V596">
        <f t="shared" si="29"/>
        <v>0</v>
      </c>
    </row>
    <row r="597" spans="1:22" ht="15" customHeight="1" x14ac:dyDescent="0.35">
      <c r="A597" s="3" t="s">
        <v>988</v>
      </c>
      <c r="B597" s="4">
        <v>45425</v>
      </c>
      <c r="C597" s="3" t="s">
        <v>795</v>
      </c>
      <c r="D597" s="3" t="s">
        <v>54</v>
      </c>
      <c r="E597" s="3" t="s">
        <v>131</v>
      </c>
      <c r="F597" s="5">
        <v>4</v>
      </c>
      <c r="G597" s="5">
        <v>960</v>
      </c>
      <c r="H597" s="5">
        <v>21.7</v>
      </c>
      <c r="I597" s="5">
        <v>3006.72</v>
      </c>
      <c r="J597" s="3" t="s">
        <v>26</v>
      </c>
      <c r="K597" s="3" t="s">
        <v>27</v>
      </c>
      <c r="L597" t="str">
        <f>IFERROR(VLOOKUP(D597,Products!$A$2:$F$61,3,FALSE()),"")</f>
        <v>Sports</v>
      </c>
      <c r="M597" t="str">
        <f>IFERROR(VLOOKUP(E597,Sales_Reps!$A$2:$C$31,3,FALSE()),"")</f>
        <v>East</v>
      </c>
      <c r="N597">
        <f>IFERROR(VLOOKUP(D597,Products!$A$2:$F$61,4,FALSE()),"")</f>
        <v>705</v>
      </c>
      <c r="O597" t="str">
        <f>IFERROR(VLOOKUP(C597,Customers!$A$2:$F$301,5,FALSE()),"")</f>
        <v>SMB</v>
      </c>
      <c r="P597">
        <f>IFERROR(VLOOKUP(C597,Customers!$A$2:$F$301,3,FALSE()),"")</f>
        <v>59</v>
      </c>
      <c r="Q597">
        <f t="shared" si="27"/>
        <v>0.265625</v>
      </c>
      <c r="R597">
        <f>IF(AND(COUNTIF($A$2:$A$2047,A597)&gt;1,COUNTIF($A$2:A597,A597)=1),1,0)</f>
        <v>0</v>
      </c>
      <c r="S597" t="b">
        <f>IFERROR(VLOOKUP(D597,Products!$A$2:$F$61,6,FALSE()),"")</f>
        <v>1</v>
      </c>
      <c r="T597" t="str">
        <f>IF(COUNTIF(Customers!$A$2:$A$301,C597)=0,"Missing","OK")</f>
        <v>OK</v>
      </c>
      <c r="U597" t="str">
        <f t="shared" si="28"/>
        <v>Pune</v>
      </c>
      <c r="V597">
        <f t="shared" si="29"/>
        <v>0</v>
      </c>
    </row>
    <row r="598" spans="1:22" ht="15" customHeight="1" x14ac:dyDescent="0.35">
      <c r="A598" s="3" t="s">
        <v>989</v>
      </c>
      <c r="B598" s="4">
        <v>45533</v>
      </c>
      <c r="C598" s="3" t="s">
        <v>990</v>
      </c>
      <c r="D598" s="3" t="s">
        <v>49</v>
      </c>
      <c r="E598" s="3" t="s">
        <v>140</v>
      </c>
      <c r="F598" s="5">
        <v>6</v>
      </c>
      <c r="G598" s="5">
        <v>370</v>
      </c>
      <c r="H598" s="5">
        <v>22.5</v>
      </c>
      <c r="I598" s="5">
        <v>1720.5</v>
      </c>
      <c r="J598" s="3" t="s">
        <v>26</v>
      </c>
      <c r="K598" s="3" t="s">
        <v>51</v>
      </c>
      <c r="L598" t="str">
        <f>IFERROR(VLOOKUP(D598,Products!$A$2:$F$61,3,FALSE()),"")</f>
        <v>Home</v>
      </c>
      <c r="M598" t="str">
        <f>IFERROR(VLOOKUP(E598,Sales_Reps!$A$2:$C$31,3,FALSE()),"")</f>
        <v>West</v>
      </c>
      <c r="N598">
        <f>IFERROR(VLOOKUP(D598,Products!$A$2:$F$61,4,FALSE()),"")</f>
        <v>288</v>
      </c>
      <c r="O598" t="str">
        <f>IFERROR(VLOOKUP(C598,Customers!$A$2:$F$301,5,FALSE()),"")</f>
        <v>Retail</v>
      </c>
      <c r="P598">
        <f>IFERROR(VLOOKUP(C598,Customers!$A$2:$F$301,3,FALSE()),"")</f>
        <v>54</v>
      </c>
      <c r="Q598">
        <f t="shared" si="27"/>
        <v>0.22162162162162163</v>
      </c>
      <c r="R598">
        <f>IF(AND(COUNTIF($A$2:$A$2047,A598)&gt;1,COUNTIF($A$2:A598,A598)=1),1,0)</f>
        <v>0</v>
      </c>
      <c r="S598" t="b">
        <f>IFERROR(VLOOKUP(D598,Products!$A$2:$F$61,6,FALSE()),"")</f>
        <v>1</v>
      </c>
      <c r="T598" t="str">
        <f>IF(COUNTIF(Customers!$A$2:$A$301,C598)=0,"Missing","OK")</f>
        <v>OK</v>
      </c>
      <c r="U598" t="str">
        <f t="shared" si="28"/>
        <v>Mumbai</v>
      </c>
      <c r="V598">
        <f t="shared" si="29"/>
        <v>0</v>
      </c>
    </row>
    <row r="599" spans="1:22" ht="15" customHeight="1" x14ac:dyDescent="0.35">
      <c r="A599" s="3" t="s">
        <v>991</v>
      </c>
      <c r="B599" s="4">
        <v>45649</v>
      </c>
      <c r="C599" s="3" t="s">
        <v>189</v>
      </c>
      <c r="D599" s="3" t="s">
        <v>382</v>
      </c>
      <c r="E599" s="3" t="s">
        <v>42</v>
      </c>
      <c r="F599" s="5">
        <v>5</v>
      </c>
      <c r="G599" s="5">
        <v>5080</v>
      </c>
      <c r="H599" s="5">
        <v>23.8</v>
      </c>
      <c r="I599" s="5">
        <v>19354.8</v>
      </c>
      <c r="J599" s="3" t="s">
        <v>26</v>
      </c>
      <c r="K599" s="3" t="s">
        <v>56</v>
      </c>
      <c r="L599" t="str">
        <f>IFERROR(VLOOKUP(D599,Products!$A$2:$F$61,3,FALSE()),"")</f>
        <v>Home</v>
      </c>
      <c r="M599" t="str">
        <f>IFERROR(VLOOKUP(E599,Sales_Reps!$A$2:$C$31,3,FALSE()),"")</f>
        <v>North</v>
      </c>
      <c r="N599">
        <f>IFERROR(VLOOKUP(D599,Products!$A$2:$F$61,4,FALSE()),"")</f>
        <v>2459</v>
      </c>
      <c r="O599" t="str">
        <f>IFERROR(VLOOKUP(C599,Customers!$A$2:$F$301,5,FALSE()),"")</f>
        <v>SMB</v>
      </c>
      <c r="P599">
        <f>IFERROR(VLOOKUP(C599,Customers!$A$2:$F$301,3,FALSE()),"")</f>
        <v>34</v>
      </c>
      <c r="Q599">
        <f t="shared" si="27"/>
        <v>0.51594488188976373</v>
      </c>
      <c r="R599">
        <f>IF(AND(COUNTIF($A$2:$A$2047,A599)&gt;1,COUNTIF($A$2:A599,A599)=1),1,0)</f>
        <v>0</v>
      </c>
      <c r="S599" t="b">
        <f>IFERROR(VLOOKUP(D599,Products!$A$2:$F$61,6,FALSE()),"")</f>
        <v>1</v>
      </c>
      <c r="T599" t="str">
        <f>IF(COUNTIF(Customers!$A$2:$A$301,C599)=0,"Missing","OK")</f>
        <v>OK</v>
      </c>
      <c r="U599" t="str">
        <f t="shared" si="28"/>
        <v>Bengaluru</v>
      </c>
      <c r="V599">
        <f t="shared" si="29"/>
        <v>0</v>
      </c>
    </row>
    <row r="600" spans="1:22" ht="15" customHeight="1" x14ac:dyDescent="0.35">
      <c r="A600" s="3" t="s">
        <v>992</v>
      </c>
      <c r="B600" s="4">
        <v>45375</v>
      </c>
      <c r="C600" s="3" t="s">
        <v>498</v>
      </c>
      <c r="D600" s="3" t="s">
        <v>198</v>
      </c>
      <c r="E600" s="3" t="s">
        <v>87</v>
      </c>
      <c r="F600" s="5">
        <v>5</v>
      </c>
      <c r="G600" s="5">
        <v>1540</v>
      </c>
      <c r="H600" s="5">
        <v>6.1</v>
      </c>
      <c r="I600" s="5">
        <v>7230.3</v>
      </c>
      <c r="J600" s="3" t="s">
        <v>26</v>
      </c>
      <c r="K600" s="3" t="s">
        <v>27</v>
      </c>
      <c r="L600" t="str">
        <f>IFERROR(VLOOKUP(D600,Products!$A$2:$F$61,3,FALSE()),"")</f>
        <v>Beauty</v>
      </c>
      <c r="M600" t="str">
        <f>IFERROR(VLOOKUP(E600,Sales_Reps!$A$2:$C$31,3,FALSE()),"")</f>
        <v>North</v>
      </c>
      <c r="N600">
        <f>IFERROR(VLOOKUP(D600,Products!$A$2:$F$61,4,FALSE()),"")</f>
        <v>647</v>
      </c>
      <c r="O600" t="str">
        <f>IFERROR(VLOOKUP(C600,Customers!$A$2:$F$301,5,FALSE()),"")</f>
        <v>Retail</v>
      </c>
      <c r="P600">
        <f>IFERROR(VLOOKUP(C600,Customers!$A$2:$F$301,3,FALSE()),"")</f>
        <v>62</v>
      </c>
      <c r="Q600">
        <f t="shared" si="27"/>
        <v>0.57987012987012987</v>
      </c>
      <c r="R600">
        <f>IF(AND(COUNTIF($A$2:$A$2047,A600)&gt;1,COUNTIF($A$2:A600,A600)=1),1,0)</f>
        <v>0</v>
      </c>
      <c r="S600" t="b">
        <f>IFERROR(VLOOKUP(D600,Products!$A$2:$F$61,6,FALSE()),"")</f>
        <v>0</v>
      </c>
      <c r="T600" t="str">
        <f>IF(COUNTIF(Customers!$A$2:$A$301,C600)=0,"Missing","OK")</f>
        <v>OK</v>
      </c>
      <c r="U600" t="str">
        <f t="shared" si="28"/>
        <v>Pune</v>
      </c>
      <c r="V600">
        <f t="shared" si="29"/>
        <v>0</v>
      </c>
    </row>
    <row r="601" spans="1:22" ht="15" customHeight="1" x14ac:dyDescent="0.35">
      <c r="A601" s="3" t="s">
        <v>993</v>
      </c>
      <c r="B601" s="4">
        <v>45342</v>
      </c>
      <c r="C601" s="3" t="s">
        <v>994</v>
      </c>
      <c r="D601" s="3" t="s">
        <v>70</v>
      </c>
      <c r="E601" s="3" t="s">
        <v>127</v>
      </c>
      <c r="F601" s="5">
        <v>7</v>
      </c>
      <c r="G601" s="5">
        <v>2270</v>
      </c>
      <c r="H601" s="5">
        <v>0.4</v>
      </c>
      <c r="I601" s="5">
        <v>15826.44</v>
      </c>
      <c r="J601" s="3" t="s">
        <v>26</v>
      </c>
      <c r="K601" s="3" t="s">
        <v>51</v>
      </c>
      <c r="L601" t="str">
        <f>IFERROR(VLOOKUP(D601,Products!$A$2:$F$61,3,FALSE()),"")</f>
        <v>Grocery</v>
      </c>
      <c r="M601" t="str">
        <f>IFERROR(VLOOKUP(E601,Sales_Reps!$A$2:$C$31,3,FALSE()),"")</f>
        <v>South</v>
      </c>
      <c r="N601">
        <f>IFERROR(VLOOKUP(D601,Products!$A$2:$F$61,4,FALSE()),"")</f>
        <v>1203</v>
      </c>
      <c r="O601" t="str">
        <f>IFERROR(VLOOKUP(C601,Customers!$A$2:$F$301,5,FALSE()),"")</f>
        <v>Retail</v>
      </c>
      <c r="P601">
        <f>IFERROR(VLOOKUP(C601,Customers!$A$2:$F$301,3,FALSE()),"")</f>
        <v>37</v>
      </c>
      <c r="Q601">
        <f t="shared" si="27"/>
        <v>0.47004405286343615</v>
      </c>
      <c r="R601">
        <f>IF(AND(COUNTIF($A$2:$A$2047,A601)&gt;1,COUNTIF($A$2:A601,A601)=1),1,0)</f>
        <v>1</v>
      </c>
      <c r="S601" t="b">
        <f>IFERROR(VLOOKUP(D601,Products!$A$2:$F$61,6,FALSE()),"")</f>
        <v>1</v>
      </c>
      <c r="T601" t="str">
        <f>IF(COUNTIF(Customers!$A$2:$A$301,C601)=0,"Missing","OK")</f>
        <v>OK</v>
      </c>
      <c r="U601" t="str">
        <f t="shared" si="28"/>
        <v>Mumbai</v>
      </c>
      <c r="V601">
        <f t="shared" si="29"/>
        <v>0</v>
      </c>
    </row>
    <row r="602" spans="1:22" ht="15" customHeight="1" x14ac:dyDescent="0.35">
      <c r="A602" s="3" t="s">
        <v>995</v>
      </c>
      <c r="B602" s="4">
        <v>45441</v>
      </c>
      <c r="C602" s="3" t="s">
        <v>767</v>
      </c>
      <c r="D602" s="3" t="s">
        <v>54</v>
      </c>
      <c r="E602" s="3" t="s">
        <v>127</v>
      </c>
      <c r="F602" s="5">
        <v>2</v>
      </c>
      <c r="G602" s="5">
        <v>960</v>
      </c>
      <c r="H602" s="5">
        <v>3.7</v>
      </c>
      <c r="I602" s="5">
        <v>1848.96</v>
      </c>
      <c r="J602" s="3" t="s">
        <v>26</v>
      </c>
      <c r="K602" s="3" t="s">
        <v>72</v>
      </c>
      <c r="L602" t="str">
        <f>IFERROR(VLOOKUP(D602,Products!$A$2:$F$61,3,FALSE()),"")</f>
        <v>Sports</v>
      </c>
      <c r="M602" t="str">
        <f>IFERROR(VLOOKUP(E602,Sales_Reps!$A$2:$C$31,3,FALSE()),"")</f>
        <v>South</v>
      </c>
      <c r="N602">
        <f>IFERROR(VLOOKUP(D602,Products!$A$2:$F$61,4,FALSE()),"")</f>
        <v>705</v>
      </c>
      <c r="O602" t="str">
        <f>IFERROR(VLOOKUP(C602,Customers!$A$2:$F$301,5,FALSE()),"")</f>
        <v>Retail</v>
      </c>
      <c r="P602">
        <f>IFERROR(VLOOKUP(C602,Customers!$A$2:$F$301,3,FALSE()),"")</f>
        <v>52</v>
      </c>
      <c r="Q602">
        <f t="shared" si="27"/>
        <v>0.265625</v>
      </c>
      <c r="R602">
        <f>IF(AND(COUNTIF($A$2:$A$2047,A602)&gt;1,COUNTIF($A$2:A602,A602)=1),1,0)</f>
        <v>0</v>
      </c>
      <c r="S602" t="b">
        <f>IFERROR(VLOOKUP(D602,Products!$A$2:$F$61,6,FALSE()),"")</f>
        <v>1</v>
      </c>
      <c r="T602" t="str">
        <f>IF(COUNTIF(Customers!$A$2:$A$301,C602)=0,"Missing","OK")</f>
        <v>OK</v>
      </c>
      <c r="U602" t="str">
        <f t="shared" si="28"/>
        <v>Hyderabad</v>
      </c>
      <c r="V602">
        <f t="shared" si="29"/>
        <v>0</v>
      </c>
    </row>
    <row r="603" spans="1:22" ht="15" customHeight="1" x14ac:dyDescent="0.35">
      <c r="A603" s="3" t="s">
        <v>996</v>
      </c>
      <c r="B603" s="4">
        <v>45410</v>
      </c>
      <c r="C603" s="3" t="s">
        <v>346</v>
      </c>
      <c r="D603" s="3" t="s">
        <v>59</v>
      </c>
      <c r="E603" s="3" t="s">
        <v>282</v>
      </c>
      <c r="F603" s="5">
        <v>6</v>
      </c>
      <c r="G603" s="5">
        <v>1430</v>
      </c>
      <c r="H603" s="5">
        <v>2</v>
      </c>
      <c r="I603" s="5">
        <v>8408.4</v>
      </c>
      <c r="J603" s="3" t="s">
        <v>32</v>
      </c>
      <c r="K603" s="3" t="s">
        <v>27</v>
      </c>
      <c r="L603" t="str">
        <f>IFERROR(VLOOKUP(D603,Products!$A$2:$F$61,3,FALSE()),"")</f>
        <v>Electronics</v>
      </c>
      <c r="M603" t="str">
        <f>IFERROR(VLOOKUP(E603,Sales_Reps!$A$2:$C$31,3,FALSE()),"")</f>
        <v>West</v>
      </c>
      <c r="N603">
        <f>IFERROR(VLOOKUP(D603,Products!$A$2:$F$61,4,FALSE()),"")</f>
        <v>861</v>
      </c>
      <c r="O603" t="str">
        <f>IFERROR(VLOOKUP(C603,Customers!$A$2:$F$301,5,FALSE()),"")</f>
        <v>SMB</v>
      </c>
      <c r="P603">
        <f>IFERROR(VLOOKUP(C603,Customers!$A$2:$F$301,3,FALSE()),"")</f>
        <v>53</v>
      </c>
      <c r="Q603">
        <f t="shared" si="27"/>
        <v>0.39790209790209791</v>
      </c>
      <c r="R603">
        <f>IF(AND(COUNTIF($A$2:$A$2047,A603)&gt;1,COUNTIF($A$2:A603,A603)=1),1,0)</f>
        <v>0</v>
      </c>
      <c r="S603" t="b">
        <f>IFERROR(VLOOKUP(D603,Products!$A$2:$F$61,6,FALSE()),"")</f>
        <v>1</v>
      </c>
      <c r="T603" t="str">
        <f>IF(COUNTIF(Customers!$A$2:$A$301,C603)=0,"Missing","OK")</f>
        <v>OK</v>
      </c>
      <c r="U603" t="str">
        <f t="shared" si="28"/>
        <v>Pune</v>
      </c>
      <c r="V603">
        <f t="shared" si="29"/>
        <v>0</v>
      </c>
    </row>
    <row r="604" spans="1:22" ht="15" customHeight="1" x14ac:dyDescent="0.35">
      <c r="A604" s="3" t="s">
        <v>997</v>
      </c>
      <c r="B604" s="4">
        <v>45588</v>
      </c>
      <c r="C604" s="3" t="s">
        <v>238</v>
      </c>
      <c r="D604" s="3" t="s">
        <v>96</v>
      </c>
      <c r="E604" s="3" t="s">
        <v>42</v>
      </c>
      <c r="F604" s="5">
        <v>10</v>
      </c>
      <c r="G604" s="5">
        <v>3450</v>
      </c>
      <c r="H604" s="5">
        <v>19.100000000000001</v>
      </c>
      <c r="I604" s="5">
        <v>27910.5</v>
      </c>
      <c r="J604" s="3" t="s">
        <v>26</v>
      </c>
      <c r="K604" s="3" t="s">
        <v>72</v>
      </c>
      <c r="L604" t="str">
        <f>IFERROR(VLOOKUP(D604,Products!$A$2:$F$61,3,FALSE()),"")</f>
        <v>Beauty</v>
      </c>
      <c r="M604" t="str">
        <f>IFERROR(VLOOKUP(E604,Sales_Reps!$A$2:$C$31,3,FALSE()),"")</f>
        <v>North</v>
      </c>
      <c r="N604">
        <f>IFERROR(VLOOKUP(D604,Products!$A$2:$F$61,4,FALSE()),"")</f>
        <v>2420</v>
      </c>
      <c r="O604" t="str">
        <f>IFERROR(VLOOKUP(C604,Customers!$A$2:$F$301,5,FALSE()),"")</f>
        <v>Retail</v>
      </c>
      <c r="P604">
        <f>IFERROR(VLOOKUP(C604,Customers!$A$2:$F$301,3,FALSE()),"")</f>
        <v>29</v>
      </c>
      <c r="Q604">
        <f t="shared" si="27"/>
        <v>0.29855072463768118</v>
      </c>
      <c r="R604">
        <f>IF(AND(COUNTIF($A$2:$A$2047,A604)&gt;1,COUNTIF($A$2:A604,A604)=1),1,0)</f>
        <v>0</v>
      </c>
      <c r="S604" t="b">
        <f>IFERROR(VLOOKUP(D604,Products!$A$2:$F$61,6,FALSE()),"")</f>
        <v>1</v>
      </c>
      <c r="T604" t="str">
        <f>IF(COUNTIF(Customers!$A$2:$A$301,C604)=0,"Missing","OK")</f>
        <v>OK</v>
      </c>
      <c r="U604" t="str">
        <f t="shared" si="28"/>
        <v>Hyderabad</v>
      </c>
      <c r="V604">
        <f t="shared" si="29"/>
        <v>0</v>
      </c>
    </row>
    <row r="605" spans="1:22" ht="15" customHeight="1" x14ac:dyDescent="0.35">
      <c r="A605" s="3" t="s">
        <v>998</v>
      </c>
      <c r="B605" s="4">
        <v>45412</v>
      </c>
      <c r="C605" s="3" t="s">
        <v>379</v>
      </c>
      <c r="D605" s="3" t="s">
        <v>206</v>
      </c>
      <c r="E605" s="3" t="s">
        <v>140</v>
      </c>
      <c r="F605" s="5">
        <v>8</v>
      </c>
      <c r="G605" s="5">
        <v>1220</v>
      </c>
      <c r="H605" s="5">
        <v>16.899999999999999</v>
      </c>
      <c r="I605" s="5">
        <v>8110.56</v>
      </c>
      <c r="J605" s="3" t="s">
        <v>26</v>
      </c>
      <c r="K605" s="3" t="s">
        <v>27</v>
      </c>
      <c r="L605" t="str">
        <f>IFERROR(VLOOKUP(D605,Products!$A$2:$F$61,3,FALSE()),"")</f>
        <v>Electronics</v>
      </c>
      <c r="M605" t="str">
        <f>IFERROR(VLOOKUP(E605,Sales_Reps!$A$2:$C$31,3,FALSE()),"")</f>
        <v>West</v>
      </c>
      <c r="N605">
        <f>IFERROR(VLOOKUP(D605,Products!$A$2:$F$61,4,FALSE()),"")</f>
        <v>517</v>
      </c>
      <c r="O605" t="str">
        <f>IFERROR(VLOOKUP(C605,Customers!$A$2:$F$301,5,FALSE()),"")</f>
        <v>SMB</v>
      </c>
      <c r="P605">
        <f>IFERROR(VLOOKUP(C605,Customers!$A$2:$F$301,3,FALSE()),"")</f>
        <v>30</v>
      </c>
      <c r="Q605">
        <f t="shared" si="27"/>
        <v>0.57622950819672136</v>
      </c>
      <c r="R605">
        <f>IF(AND(COUNTIF($A$2:$A$2047,A605)&gt;1,COUNTIF($A$2:A605,A605)=1),1,0)</f>
        <v>0</v>
      </c>
      <c r="S605" t="b">
        <f>IFERROR(VLOOKUP(D605,Products!$A$2:$F$61,6,FALSE()),"")</f>
        <v>1</v>
      </c>
      <c r="T605" t="str">
        <f>IF(COUNTIF(Customers!$A$2:$A$301,C605)=0,"Missing","OK")</f>
        <v>OK</v>
      </c>
      <c r="U605" t="str">
        <f t="shared" si="28"/>
        <v>Pune</v>
      </c>
      <c r="V605">
        <f t="shared" si="29"/>
        <v>0</v>
      </c>
    </row>
    <row r="606" spans="1:22" ht="15" customHeight="1" x14ac:dyDescent="0.35">
      <c r="A606" s="3" t="s">
        <v>999</v>
      </c>
      <c r="B606" s="4">
        <v>45439</v>
      </c>
      <c r="C606" s="3" t="s">
        <v>907</v>
      </c>
      <c r="D606" s="3" t="s">
        <v>139</v>
      </c>
      <c r="E606" s="3" t="s">
        <v>131</v>
      </c>
      <c r="F606" s="5">
        <v>9</v>
      </c>
      <c r="G606" s="5">
        <v>2760</v>
      </c>
      <c r="H606" s="5">
        <v>16.899999999999999</v>
      </c>
      <c r="I606" s="5">
        <v>20642.04</v>
      </c>
      <c r="J606" s="3" t="s">
        <v>26</v>
      </c>
      <c r="K606" s="3" t="s">
        <v>38</v>
      </c>
      <c r="L606" t="str">
        <f>IFERROR(VLOOKUP(D606,Products!$A$2:$F$61,3,FALSE()),"")</f>
        <v>Grocery</v>
      </c>
      <c r="M606" t="str">
        <f>IFERROR(VLOOKUP(E606,Sales_Reps!$A$2:$C$31,3,FALSE()),"")</f>
        <v>East</v>
      </c>
      <c r="N606">
        <f>IFERROR(VLOOKUP(D606,Products!$A$2:$F$61,4,FALSE()),"")</f>
        <v>1435</v>
      </c>
      <c r="O606" t="str">
        <f>IFERROR(VLOOKUP(C606,Customers!$A$2:$F$301,5,FALSE()),"")</f>
        <v>Retail</v>
      </c>
      <c r="P606">
        <f>IFERROR(VLOOKUP(C606,Customers!$A$2:$F$301,3,FALSE()),"")</f>
        <v>47</v>
      </c>
      <c r="Q606">
        <f t="shared" si="27"/>
        <v>0.48007246376811596</v>
      </c>
      <c r="R606">
        <f>IF(AND(COUNTIF($A$2:$A$2047,A606)&gt;1,COUNTIF($A$2:A606,A606)=1),1,0)</f>
        <v>0</v>
      </c>
      <c r="S606" t="b">
        <f>IFERROR(VLOOKUP(D606,Products!$A$2:$F$61,6,FALSE()),"")</f>
        <v>1</v>
      </c>
      <c r="T606" t="str">
        <f>IF(COUNTIF(Customers!$A$2:$A$301,C606)=0,"Missing","OK")</f>
        <v>OK</v>
      </c>
      <c r="U606" t="str">
        <f t="shared" si="28"/>
        <v>Delhi</v>
      </c>
      <c r="V606">
        <f t="shared" si="29"/>
        <v>0</v>
      </c>
    </row>
    <row r="607" spans="1:22" ht="15" customHeight="1" x14ac:dyDescent="0.35">
      <c r="A607" s="3" t="s">
        <v>1000</v>
      </c>
      <c r="B607" s="4">
        <v>45593</v>
      </c>
      <c r="C607" s="3" t="s">
        <v>1001</v>
      </c>
      <c r="D607" s="3" t="s">
        <v>118</v>
      </c>
      <c r="E607" s="3" t="s">
        <v>177</v>
      </c>
      <c r="F607" s="5">
        <v>6</v>
      </c>
      <c r="G607" s="5">
        <v>3350</v>
      </c>
      <c r="H607" s="5">
        <v>11.8</v>
      </c>
      <c r="I607" s="5">
        <v>17728.2</v>
      </c>
      <c r="J607" s="3" t="s">
        <v>32</v>
      </c>
      <c r="K607" s="3" t="s">
        <v>51</v>
      </c>
      <c r="L607" t="str">
        <f>IFERROR(VLOOKUP(D607,Products!$A$2:$F$61,3,FALSE()),"")</f>
        <v>Beauty</v>
      </c>
      <c r="M607" t="str">
        <f>IFERROR(VLOOKUP(E607,Sales_Reps!$A$2:$C$31,3,FALSE()),"")</f>
        <v>East</v>
      </c>
      <c r="N607">
        <f>IFERROR(VLOOKUP(D607,Products!$A$2:$F$61,4,FALSE()),"")</f>
        <v>1728</v>
      </c>
      <c r="O607" t="str">
        <f>IFERROR(VLOOKUP(C607,Customers!$A$2:$F$301,5,FALSE()),"")</f>
        <v>SMB</v>
      </c>
      <c r="P607">
        <f>IFERROR(VLOOKUP(C607,Customers!$A$2:$F$301,3,FALSE()),"")</f>
        <v>54</v>
      </c>
      <c r="Q607">
        <f t="shared" si="27"/>
        <v>0.48417910447761192</v>
      </c>
      <c r="R607">
        <f>IF(AND(COUNTIF($A$2:$A$2047,A607)&gt;1,COUNTIF($A$2:A607,A607)=1),1,0)</f>
        <v>0</v>
      </c>
      <c r="S607" t="b">
        <f>IFERROR(VLOOKUP(D607,Products!$A$2:$F$61,6,FALSE()),"")</f>
        <v>1</v>
      </c>
      <c r="T607" t="str">
        <f>IF(COUNTIF(Customers!$A$2:$A$301,C607)=0,"Missing","OK")</f>
        <v>OK</v>
      </c>
      <c r="U607" t="str">
        <f t="shared" si="28"/>
        <v>Mumbai</v>
      </c>
      <c r="V607">
        <f t="shared" si="29"/>
        <v>0</v>
      </c>
    </row>
    <row r="608" spans="1:22" ht="15" customHeight="1" x14ac:dyDescent="0.35">
      <c r="A608" s="3" t="s">
        <v>1002</v>
      </c>
      <c r="B608" s="4">
        <v>45570</v>
      </c>
      <c r="C608" s="3" t="s">
        <v>189</v>
      </c>
      <c r="D608" s="3" t="s">
        <v>130</v>
      </c>
      <c r="E608" s="3" t="s">
        <v>191</v>
      </c>
      <c r="F608" s="5">
        <v>6</v>
      </c>
      <c r="G608" s="5">
        <v>5100</v>
      </c>
      <c r="H608" s="5">
        <v>13.2</v>
      </c>
      <c r="I608" s="5">
        <v>26560.799999999999</v>
      </c>
      <c r="J608" s="3" t="s">
        <v>26</v>
      </c>
      <c r="K608" s="3" t="s">
        <v>56</v>
      </c>
      <c r="L608" t="str">
        <f>IFERROR(VLOOKUP(D608,Products!$A$2:$F$61,3,FALSE()),"")</f>
        <v>Beauty</v>
      </c>
      <c r="M608" t="str">
        <f>IFERROR(VLOOKUP(E608,Sales_Reps!$A$2:$C$31,3,FALSE()),"")</f>
        <v>South</v>
      </c>
      <c r="N608">
        <f>IFERROR(VLOOKUP(D608,Products!$A$2:$F$61,4,FALSE()),"")</f>
        <v>2237</v>
      </c>
      <c r="O608" t="str">
        <f>IFERROR(VLOOKUP(C608,Customers!$A$2:$F$301,5,FALSE()),"")</f>
        <v>SMB</v>
      </c>
      <c r="P608">
        <f>IFERROR(VLOOKUP(C608,Customers!$A$2:$F$301,3,FALSE()),"")</f>
        <v>34</v>
      </c>
      <c r="Q608">
        <f t="shared" si="27"/>
        <v>0.56137254901960787</v>
      </c>
      <c r="R608">
        <f>IF(AND(COUNTIF($A$2:$A$2047,A608)&gt;1,COUNTIF($A$2:A608,A608)=1),1,0)</f>
        <v>0</v>
      </c>
      <c r="S608" t="b">
        <f>IFERROR(VLOOKUP(D608,Products!$A$2:$F$61,6,FALSE()),"")</f>
        <v>1</v>
      </c>
      <c r="T608" t="str">
        <f>IF(COUNTIF(Customers!$A$2:$A$301,C608)=0,"Missing","OK")</f>
        <v>OK</v>
      </c>
      <c r="U608" t="str">
        <f t="shared" si="28"/>
        <v>Bengaluru</v>
      </c>
      <c r="V608">
        <f t="shared" si="29"/>
        <v>0</v>
      </c>
    </row>
    <row r="609" spans="1:22" ht="15" customHeight="1" x14ac:dyDescent="0.35">
      <c r="A609" s="3" t="s">
        <v>1003</v>
      </c>
      <c r="B609" s="4">
        <v>45474</v>
      </c>
      <c r="C609" s="3" t="s">
        <v>1004</v>
      </c>
      <c r="D609" s="3" t="s">
        <v>74</v>
      </c>
      <c r="E609" s="3" t="s">
        <v>282</v>
      </c>
      <c r="F609" s="5">
        <v>6</v>
      </c>
      <c r="G609" s="5">
        <v>2640</v>
      </c>
      <c r="H609" s="5">
        <v>26.2</v>
      </c>
      <c r="I609" s="5">
        <v>11689.92</v>
      </c>
      <c r="J609" s="3" t="s">
        <v>26</v>
      </c>
      <c r="K609" s="3" t="s">
        <v>33</v>
      </c>
      <c r="L609" t="str">
        <f>IFERROR(VLOOKUP(D609,Products!$A$2:$F$61,3,FALSE()),"")</f>
        <v>Electronics</v>
      </c>
      <c r="M609" t="str">
        <f>IFERROR(VLOOKUP(E609,Sales_Reps!$A$2:$C$31,3,FALSE()),"")</f>
        <v>West</v>
      </c>
      <c r="N609">
        <f>IFERROR(VLOOKUP(D609,Products!$A$2:$F$61,4,FALSE()),"")</f>
        <v>1149</v>
      </c>
      <c r="O609" t="str">
        <f>IFERROR(VLOOKUP(C609,Customers!$A$2:$F$301,5,FALSE()),"")</f>
        <v>Retail</v>
      </c>
      <c r="P609">
        <f>IFERROR(VLOOKUP(C609,Customers!$A$2:$F$301,3,FALSE()),"")</f>
        <v>49</v>
      </c>
      <c r="Q609">
        <f t="shared" si="27"/>
        <v>0.56477272727272732</v>
      </c>
      <c r="R609">
        <f>IF(AND(COUNTIF($A$2:$A$2047,A609)&gt;1,COUNTIF($A$2:A609,A609)=1),1,0)</f>
        <v>0</v>
      </c>
      <c r="S609" t="b">
        <f>IFERROR(VLOOKUP(D609,Products!$A$2:$F$61,6,FALSE()),"")</f>
        <v>1</v>
      </c>
      <c r="T609" t="str">
        <f>IF(COUNTIF(Customers!$A$2:$A$301,C609)=0,"Missing","OK")</f>
        <v>OK</v>
      </c>
      <c r="U609" t="str">
        <f t="shared" si="28"/>
        <v>Chennai</v>
      </c>
      <c r="V609">
        <f t="shared" si="29"/>
        <v>0</v>
      </c>
    </row>
    <row r="610" spans="1:22" ht="15" customHeight="1" x14ac:dyDescent="0.35">
      <c r="A610" s="3" t="s">
        <v>1005</v>
      </c>
      <c r="B610" s="4">
        <v>45524</v>
      </c>
      <c r="C610" s="3" t="s">
        <v>536</v>
      </c>
      <c r="D610" s="3" t="s">
        <v>41</v>
      </c>
      <c r="E610" s="3" t="s">
        <v>285</v>
      </c>
      <c r="F610" s="5">
        <v>1</v>
      </c>
      <c r="G610" s="5">
        <v>3660</v>
      </c>
      <c r="H610" s="5">
        <v>19.7</v>
      </c>
      <c r="I610" s="5">
        <v>2938.98</v>
      </c>
      <c r="J610" s="3" t="s">
        <v>26</v>
      </c>
      <c r="K610" s="3" t="s">
        <v>51</v>
      </c>
      <c r="L610" t="str">
        <f>IFERROR(VLOOKUP(D610,Products!$A$2:$F$61,3,FALSE()),"")</f>
        <v>Grocery</v>
      </c>
      <c r="M610" t="str">
        <f>IFERROR(VLOOKUP(E610,Sales_Reps!$A$2:$C$31,3,FALSE()),"")</f>
        <v>South</v>
      </c>
      <c r="N610">
        <f>IFERROR(VLOOKUP(D610,Products!$A$2:$F$61,4,FALSE()),"")</f>
        <v>2214</v>
      </c>
      <c r="O610" t="str">
        <f>IFERROR(VLOOKUP(C610,Customers!$A$2:$F$301,5,FALSE()),"")</f>
        <v>Retail</v>
      </c>
      <c r="P610">
        <f>IFERROR(VLOOKUP(C610,Customers!$A$2:$F$301,3,FALSE()),"")</f>
        <v>39</v>
      </c>
      <c r="Q610">
        <f t="shared" si="27"/>
        <v>0.39508196721311473</v>
      </c>
      <c r="R610">
        <f>IF(AND(COUNTIF($A$2:$A$2047,A610)&gt;1,COUNTIF($A$2:A610,A610)=1),1,0)</f>
        <v>0</v>
      </c>
      <c r="S610" t="b">
        <f>IFERROR(VLOOKUP(D610,Products!$A$2:$F$61,6,FALSE()),"")</f>
        <v>0</v>
      </c>
      <c r="T610" t="str">
        <f>IF(COUNTIF(Customers!$A$2:$A$301,C610)=0,"Missing","OK")</f>
        <v>OK</v>
      </c>
      <c r="U610" t="str">
        <f t="shared" si="28"/>
        <v>Mumbai</v>
      </c>
      <c r="V610">
        <f t="shared" si="29"/>
        <v>0</v>
      </c>
    </row>
    <row r="611" spans="1:22" ht="15" customHeight="1" x14ac:dyDescent="0.35">
      <c r="A611" s="3" t="s">
        <v>1006</v>
      </c>
      <c r="B611" s="4">
        <v>45468</v>
      </c>
      <c r="C611" s="3" t="s">
        <v>552</v>
      </c>
      <c r="D611" s="3" t="s">
        <v>49</v>
      </c>
      <c r="E611" s="3" t="s">
        <v>282</v>
      </c>
      <c r="F611" s="5">
        <v>5</v>
      </c>
      <c r="G611" s="5">
        <v>370</v>
      </c>
      <c r="H611" s="5">
        <v>21.7</v>
      </c>
      <c r="I611" s="5">
        <v>1448.55</v>
      </c>
      <c r="J611" s="3" t="s">
        <v>26</v>
      </c>
      <c r="K611" s="3" t="s">
        <v>51</v>
      </c>
      <c r="L611" t="str">
        <f>IFERROR(VLOOKUP(D611,Products!$A$2:$F$61,3,FALSE()),"")</f>
        <v>Home</v>
      </c>
      <c r="M611" t="str">
        <f>IFERROR(VLOOKUP(E611,Sales_Reps!$A$2:$C$31,3,FALSE()),"")</f>
        <v>West</v>
      </c>
      <c r="N611">
        <f>IFERROR(VLOOKUP(D611,Products!$A$2:$F$61,4,FALSE()),"")</f>
        <v>288</v>
      </c>
      <c r="O611" t="str">
        <f>IFERROR(VLOOKUP(C611,Customers!$A$2:$F$301,5,FALSE()),"")</f>
        <v>Retail</v>
      </c>
      <c r="P611">
        <f>IFERROR(VLOOKUP(C611,Customers!$A$2:$F$301,3,FALSE()),"")</f>
        <v>44</v>
      </c>
      <c r="Q611">
        <f t="shared" si="27"/>
        <v>0.22162162162162163</v>
      </c>
      <c r="R611">
        <f>IF(AND(COUNTIF($A$2:$A$2047,A611)&gt;1,COUNTIF($A$2:A611,A611)=1),1,0)</f>
        <v>0</v>
      </c>
      <c r="S611" t="b">
        <f>IFERROR(VLOOKUP(D611,Products!$A$2:$F$61,6,FALSE()),"")</f>
        <v>1</v>
      </c>
      <c r="T611" t="str">
        <f>IF(COUNTIF(Customers!$A$2:$A$301,C611)=0,"Missing","OK")</f>
        <v>OK</v>
      </c>
      <c r="U611" t="str">
        <f t="shared" si="28"/>
        <v>Mumbai</v>
      </c>
      <c r="V611">
        <f t="shared" si="29"/>
        <v>0</v>
      </c>
    </row>
    <row r="612" spans="1:22" ht="15" customHeight="1" x14ac:dyDescent="0.35">
      <c r="A612" s="3" t="s">
        <v>1007</v>
      </c>
      <c r="B612" s="4">
        <v>45336</v>
      </c>
      <c r="C612" s="3" t="s">
        <v>333</v>
      </c>
      <c r="D612" s="3" t="s">
        <v>231</v>
      </c>
      <c r="E612" s="3" t="s">
        <v>50</v>
      </c>
      <c r="F612" s="5">
        <v>5</v>
      </c>
      <c r="G612" s="5">
        <v>620</v>
      </c>
      <c r="H612" s="5">
        <v>10.199999999999999</v>
      </c>
      <c r="I612" s="5">
        <v>2783.8</v>
      </c>
      <c r="J612" s="3" t="s">
        <v>26</v>
      </c>
      <c r="K612" s="3" t="s">
        <v>56</v>
      </c>
      <c r="L612" t="str">
        <f>IFERROR(VLOOKUP(D612,Products!$A$2:$F$61,3,FALSE()),"")</f>
        <v>Apparel</v>
      </c>
      <c r="M612" t="str">
        <f>IFERROR(VLOOKUP(E612,Sales_Reps!$A$2:$C$31,3,FALSE()),"")</f>
        <v>West</v>
      </c>
      <c r="N612">
        <f>IFERROR(VLOOKUP(D612,Products!$A$2:$F$61,4,FALSE()),"")</f>
        <v>396</v>
      </c>
      <c r="O612" t="str">
        <f>IFERROR(VLOOKUP(C612,Customers!$A$2:$F$301,5,FALSE()),"")</f>
        <v>SMB</v>
      </c>
      <c r="P612">
        <f>IFERROR(VLOOKUP(C612,Customers!$A$2:$F$301,3,FALSE()),"")</f>
        <v>28</v>
      </c>
      <c r="Q612">
        <f t="shared" si="27"/>
        <v>0.36129032258064514</v>
      </c>
      <c r="R612">
        <f>IF(AND(COUNTIF($A$2:$A$2047,A612)&gt;1,COUNTIF($A$2:A612,A612)=1),1,0)</f>
        <v>0</v>
      </c>
      <c r="S612" t="b">
        <f>IFERROR(VLOOKUP(D612,Products!$A$2:$F$61,6,FALSE()),"")</f>
        <v>1</v>
      </c>
      <c r="T612" t="str">
        <f>IF(COUNTIF(Customers!$A$2:$A$301,C612)=0,"Missing","OK")</f>
        <v>OK</v>
      </c>
      <c r="U612" t="str">
        <f t="shared" si="28"/>
        <v>Bengaluru</v>
      </c>
      <c r="V612">
        <f t="shared" si="29"/>
        <v>0</v>
      </c>
    </row>
    <row r="613" spans="1:22" ht="15" customHeight="1" x14ac:dyDescent="0.35">
      <c r="A613" s="3" t="s">
        <v>1008</v>
      </c>
      <c r="B613" s="4">
        <v>45392</v>
      </c>
      <c r="C613" s="3" t="s">
        <v>636</v>
      </c>
      <c r="D613" s="3" t="s">
        <v>36</v>
      </c>
      <c r="E613" s="3" t="s">
        <v>242</v>
      </c>
      <c r="F613" s="5">
        <v>8</v>
      </c>
      <c r="G613" s="5">
        <v>470</v>
      </c>
      <c r="H613" s="5">
        <v>2.4</v>
      </c>
      <c r="I613" s="5">
        <v>3669.76</v>
      </c>
      <c r="J613" s="3" t="s">
        <v>26</v>
      </c>
      <c r="K613" s="3" t="s">
        <v>72</v>
      </c>
      <c r="L613" t="str">
        <f>IFERROR(VLOOKUP(D613,Products!$A$2:$F$61,3,FALSE()),"")</f>
        <v>Sports</v>
      </c>
      <c r="M613" t="str">
        <f>IFERROR(VLOOKUP(E613,Sales_Reps!$A$2:$C$31,3,FALSE()),"")</f>
        <v>East</v>
      </c>
      <c r="N613">
        <f>IFERROR(VLOOKUP(D613,Products!$A$2:$F$61,4,FALSE()),"")</f>
        <v>302</v>
      </c>
      <c r="O613" t="str">
        <f>IFERROR(VLOOKUP(C613,Customers!$A$2:$F$301,5,FALSE()),"")</f>
        <v>Retail</v>
      </c>
      <c r="P613">
        <f>IFERROR(VLOOKUP(C613,Customers!$A$2:$F$301,3,FALSE()),"")</f>
        <v>65</v>
      </c>
      <c r="Q613">
        <f t="shared" si="27"/>
        <v>0.35744680851063831</v>
      </c>
      <c r="R613">
        <f>IF(AND(COUNTIF($A$2:$A$2047,A613)&gt;1,COUNTIF($A$2:A613,A613)=1),1,0)</f>
        <v>0</v>
      </c>
      <c r="S613" t="b">
        <f>IFERROR(VLOOKUP(D613,Products!$A$2:$F$61,6,FALSE()),"")</f>
        <v>0</v>
      </c>
      <c r="T613" t="str">
        <f>IF(COUNTIF(Customers!$A$2:$A$301,C613)=0,"Missing","OK")</f>
        <v>OK</v>
      </c>
      <c r="U613" t="str">
        <f t="shared" si="28"/>
        <v>Hyderabad</v>
      </c>
      <c r="V613">
        <f t="shared" si="29"/>
        <v>0</v>
      </c>
    </row>
    <row r="614" spans="1:22" ht="15" customHeight="1" x14ac:dyDescent="0.35">
      <c r="A614" s="3" t="s">
        <v>1009</v>
      </c>
      <c r="B614" s="4">
        <v>45610</v>
      </c>
      <c r="C614" s="3" t="s">
        <v>565</v>
      </c>
      <c r="D614" s="3" t="s">
        <v>325</v>
      </c>
      <c r="E614" s="3" t="s">
        <v>31</v>
      </c>
      <c r="F614" s="5">
        <v>3</v>
      </c>
      <c r="G614" s="5">
        <v>2290</v>
      </c>
      <c r="H614" s="5">
        <v>20.8</v>
      </c>
      <c r="I614" s="5">
        <v>5441.04</v>
      </c>
      <c r="J614" s="3" t="s">
        <v>26</v>
      </c>
      <c r="K614" s="3" t="s">
        <v>38</v>
      </c>
      <c r="L614" t="str">
        <f>IFERROR(VLOOKUP(D614,Products!$A$2:$F$61,3,FALSE()),"")</f>
        <v>Beauty</v>
      </c>
      <c r="M614" t="str">
        <f>IFERROR(VLOOKUP(E614,Sales_Reps!$A$2:$C$31,3,FALSE()),"")</f>
        <v>North</v>
      </c>
      <c r="N614">
        <f>IFERROR(VLOOKUP(D614,Products!$A$2:$F$61,4,FALSE()),"")</f>
        <v>1219</v>
      </c>
      <c r="O614" t="str">
        <f>IFERROR(VLOOKUP(C614,Customers!$A$2:$F$301,5,FALSE()),"")</f>
        <v>Retail</v>
      </c>
      <c r="P614">
        <f>IFERROR(VLOOKUP(C614,Customers!$A$2:$F$301,3,FALSE()),"")</f>
        <v>40</v>
      </c>
      <c r="Q614">
        <f t="shared" si="27"/>
        <v>0.46768558951965067</v>
      </c>
      <c r="R614">
        <f>IF(AND(COUNTIF($A$2:$A$2047,A614)&gt;1,COUNTIF($A$2:A614,A614)=1),1,0)</f>
        <v>1</v>
      </c>
      <c r="S614" t="b">
        <f>IFERROR(VLOOKUP(D614,Products!$A$2:$F$61,6,FALSE()),"")</f>
        <v>1</v>
      </c>
      <c r="T614" t="str">
        <f>IF(COUNTIF(Customers!$A$2:$A$301,C614)=0,"Missing","OK")</f>
        <v>OK</v>
      </c>
      <c r="U614" t="str">
        <f t="shared" si="28"/>
        <v>Delhi</v>
      </c>
      <c r="V614">
        <f t="shared" si="29"/>
        <v>0</v>
      </c>
    </row>
    <row r="615" spans="1:22" ht="15" customHeight="1" x14ac:dyDescent="0.35">
      <c r="A615" s="3" t="s">
        <v>1010</v>
      </c>
      <c r="B615" s="4">
        <v>45297</v>
      </c>
      <c r="C615" s="3" t="s">
        <v>1011</v>
      </c>
      <c r="D615" s="3" t="s">
        <v>54</v>
      </c>
      <c r="E615" s="3" t="s">
        <v>55</v>
      </c>
      <c r="F615" s="5">
        <v>4</v>
      </c>
      <c r="G615" s="5">
        <v>960</v>
      </c>
      <c r="H615" s="5">
        <v>28.8</v>
      </c>
      <c r="I615" s="5">
        <v>2734.08</v>
      </c>
      <c r="J615" s="3" t="s">
        <v>32</v>
      </c>
      <c r="K615" s="3" t="s">
        <v>51</v>
      </c>
      <c r="L615" t="str">
        <f>IFERROR(VLOOKUP(D615,Products!$A$2:$F$61,3,FALSE()),"")</f>
        <v>Sports</v>
      </c>
      <c r="M615" t="str">
        <f>IFERROR(VLOOKUP(E615,Sales_Reps!$A$2:$C$31,3,FALSE()),"")</f>
        <v>West</v>
      </c>
      <c r="N615">
        <f>IFERROR(VLOOKUP(D615,Products!$A$2:$F$61,4,FALSE()),"")</f>
        <v>705</v>
      </c>
      <c r="O615" t="str">
        <f>IFERROR(VLOOKUP(C615,Customers!$A$2:$F$301,5,FALSE()),"")</f>
        <v>SMB</v>
      </c>
      <c r="P615">
        <f>IFERROR(VLOOKUP(C615,Customers!$A$2:$F$301,3,FALSE()),"")</f>
        <v>53</v>
      </c>
      <c r="Q615">
        <f t="shared" si="27"/>
        <v>0.265625</v>
      </c>
      <c r="R615">
        <f>IF(AND(COUNTIF($A$2:$A$2047,A615)&gt;1,COUNTIF($A$2:A615,A615)=1),1,0)</f>
        <v>0</v>
      </c>
      <c r="S615" t="b">
        <f>IFERROR(VLOOKUP(D615,Products!$A$2:$F$61,6,FALSE()),"")</f>
        <v>1</v>
      </c>
      <c r="T615" t="str">
        <f>IF(COUNTIF(Customers!$A$2:$A$301,C615)=0,"Missing","OK")</f>
        <v>OK</v>
      </c>
      <c r="U615" t="str">
        <f t="shared" si="28"/>
        <v>Mumbai</v>
      </c>
      <c r="V615">
        <f t="shared" si="29"/>
        <v>0</v>
      </c>
    </row>
    <row r="616" spans="1:22" ht="15" customHeight="1" x14ac:dyDescent="0.35">
      <c r="A616" s="3" t="s">
        <v>1012</v>
      </c>
      <c r="B616" s="4">
        <v>45558</v>
      </c>
      <c r="C616" s="3" t="s">
        <v>381</v>
      </c>
      <c r="D616" s="3" t="s">
        <v>41</v>
      </c>
      <c r="E616" s="3" t="s">
        <v>71</v>
      </c>
      <c r="F616" s="5">
        <v>5</v>
      </c>
      <c r="G616" s="5">
        <v>3660</v>
      </c>
      <c r="H616" s="5">
        <v>11.9</v>
      </c>
      <c r="I616" s="5">
        <v>16122.3</v>
      </c>
      <c r="J616" s="3" t="s">
        <v>32</v>
      </c>
      <c r="K616" s="3" t="s">
        <v>27</v>
      </c>
      <c r="L616" t="str">
        <f>IFERROR(VLOOKUP(D616,Products!$A$2:$F$61,3,FALSE()),"")</f>
        <v>Grocery</v>
      </c>
      <c r="M616" t="str">
        <f>IFERROR(VLOOKUP(E616,Sales_Reps!$A$2:$C$31,3,FALSE()),"")</f>
        <v>South</v>
      </c>
      <c r="N616">
        <f>IFERROR(VLOOKUP(D616,Products!$A$2:$F$61,4,FALSE()),"")</f>
        <v>2214</v>
      </c>
      <c r="O616" t="str">
        <f>IFERROR(VLOOKUP(C616,Customers!$A$2:$F$301,5,FALSE()),"")</f>
        <v>Retail</v>
      </c>
      <c r="P616">
        <f>IFERROR(VLOOKUP(C616,Customers!$A$2:$F$301,3,FALSE()),"")</f>
        <v>65</v>
      </c>
      <c r="Q616">
        <f t="shared" si="27"/>
        <v>0.39508196721311473</v>
      </c>
      <c r="R616">
        <f>IF(AND(COUNTIF($A$2:$A$2047,A616)&gt;1,COUNTIF($A$2:A616,A616)=1),1,0)</f>
        <v>0</v>
      </c>
      <c r="S616" t="b">
        <f>IFERROR(VLOOKUP(D616,Products!$A$2:$F$61,6,FALSE()),"")</f>
        <v>0</v>
      </c>
      <c r="T616" t="str">
        <f>IF(COUNTIF(Customers!$A$2:$A$301,C616)=0,"Missing","OK")</f>
        <v>OK</v>
      </c>
      <c r="U616" t="str">
        <f t="shared" si="28"/>
        <v>Pune</v>
      </c>
      <c r="V616">
        <f t="shared" si="29"/>
        <v>0</v>
      </c>
    </row>
    <row r="617" spans="1:22" ht="15" customHeight="1" x14ac:dyDescent="0.35">
      <c r="A617" s="3" t="s">
        <v>1013</v>
      </c>
      <c r="B617" s="4">
        <v>45487</v>
      </c>
      <c r="C617" s="3" t="s">
        <v>272</v>
      </c>
      <c r="D617" s="3" t="s">
        <v>126</v>
      </c>
      <c r="E617" s="3" t="s">
        <v>60</v>
      </c>
      <c r="F617" s="5">
        <v>5</v>
      </c>
      <c r="G617" s="5">
        <v>3570</v>
      </c>
      <c r="H617" s="5">
        <v>12.4</v>
      </c>
      <c r="I617" s="5">
        <v>15636.6</v>
      </c>
      <c r="J617" s="3" t="s">
        <v>26</v>
      </c>
      <c r="K617" s="3" t="s">
        <v>72</v>
      </c>
      <c r="L617" t="str">
        <f>IFERROR(VLOOKUP(D617,Products!$A$2:$F$61,3,FALSE()),"")</f>
        <v>Electronics</v>
      </c>
      <c r="M617" t="str">
        <f>IFERROR(VLOOKUP(E617,Sales_Reps!$A$2:$C$31,3,FALSE()),"")</f>
        <v>East</v>
      </c>
      <c r="N617">
        <f>IFERROR(VLOOKUP(D617,Products!$A$2:$F$61,4,FALSE()),"")</f>
        <v>1665</v>
      </c>
      <c r="O617" t="str">
        <f>IFERROR(VLOOKUP(C617,Customers!$A$2:$F$301,5,FALSE()),"")</f>
        <v>SMB</v>
      </c>
      <c r="P617">
        <f>IFERROR(VLOOKUP(C617,Customers!$A$2:$F$301,3,FALSE()),"")</f>
        <v>65</v>
      </c>
      <c r="Q617">
        <f t="shared" si="27"/>
        <v>0.53361344537815125</v>
      </c>
      <c r="R617">
        <f>IF(AND(COUNTIF($A$2:$A$2047,A617)&gt;1,COUNTIF($A$2:A617,A617)=1),1,0)</f>
        <v>0</v>
      </c>
      <c r="S617" t="b">
        <f>IFERROR(VLOOKUP(D617,Products!$A$2:$F$61,6,FALSE()),"")</f>
        <v>1</v>
      </c>
      <c r="T617" t="str">
        <f>IF(COUNTIF(Customers!$A$2:$A$301,C617)=0,"Missing","OK")</f>
        <v>OK</v>
      </c>
      <c r="U617" t="str">
        <f t="shared" si="28"/>
        <v>Hyderabad</v>
      </c>
      <c r="V617">
        <f t="shared" si="29"/>
        <v>0</v>
      </c>
    </row>
    <row r="618" spans="1:22" ht="15" customHeight="1" x14ac:dyDescent="0.35">
      <c r="A618" s="3" t="s">
        <v>1014</v>
      </c>
      <c r="B618" s="4">
        <v>45307</v>
      </c>
      <c r="C618" s="3" t="s">
        <v>48</v>
      </c>
      <c r="D618" s="3" t="s">
        <v>234</v>
      </c>
      <c r="E618" s="3" t="s">
        <v>177</v>
      </c>
      <c r="F618" s="5">
        <v>9</v>
      </c>
      <c r="G618" s="5">
        <v>2030</v>
      </c>
      <c r="H618" s="5">
        <v>23.4</v>
      </c>
      <c r="I618" s="5">
        <v>13994.82</v>
      </c>
      <c r="J618" s="3" t="s">
        <v>26</v>
      </c>
      <c r="K618" s="3" t="s">
        <v>51</v>
      </c>
      <c r="L618" t="str">
        <f>IFERROR(VLOOKUP(D618,Products!$A$2:$F$61,3,FALSE()),"")</f>
        <v>Home</v>
      </c>
      <c r="M618" t="str">
        <f>IFERROR(VLOOKUP(E618,Sales_Reps!$A$2:$C$31,3,FALSE()),"")</f>
        <v>East</v>
      </c>
      <c r="N618">
        <f>IFERROR(VLOOKUP(D618,Products!$A$2:$F$61,4,FALSE()),"")</f>
        <v>1143</v>
      </c>
      <c r="O618" t="str">
        <f>IFERROR(VLOOKUP(C618,Customers!$A$2:$F$301,5,FALSE()),"")</f>
        <v>Retail</v>
      </c>
      <c r="P618">
        <f>IFERROR(VLOOKUP(C618,Customers!$A$2:$F$301,3,FALSE()),"")</f>
        <v>36</v>
      </c>
      <c r="Q618">
        <f t="shared" si="27"/>
        <v>0.43694581280788175</v>
      </c>
      <c r="R618">
        <f>IF(AND(COUNTIF($A$2:$A$2047,A618)&gt;1,COUNTIF($A$2:A618,A618)=1),1,0)</f>
        <v>0</v>
      </c>
      <c r="S618" t="b">
        <f>IFERROR(VLOOKUP(D618,Products!$A$2:$F$61,6,FALSE()),"")</f>
        <v>1</v>
      </c>
      <c r="T618" t="str">
        <f>IF(COUNTIF(Customers!$A$2:$A$301,C618)=0,"Missing","OK")</f>
        <v>OK</v>
      </c>
      <c r="U618" t="str">
        <f t="shared" si="28"/>
        <v>Mumbai</v>
      </c>
      <c r="V618">
        <f t="shared" si="29"/>
        <v>0</v>
      </c>
    </row>
    <row r="619" spans="1:22" ht="15" customHeight="1" x14ac:dyDescent="0.35">
      <c r="A619" s="3" t="s">
        <v>1015</v>
      </c>
      <c r="B619" s="4">
        <v>45328</v>
      </c>
      <c r="C619" s="3" t="s">
        <v>133</v>
      </c>
      <c r="D619" s="3" t="s">
        <v>112</v>
      </c>
      <c r="E619" s="3" t="s">
        <v>55</v>
      </c>
      <c r="F619" s="5">
        <v>7</v>
      </c>
      <c r="G619" s="5">
        <v>2720</v>
      </c>
      <c r="H619" s="5">
        <v>11.2</v>
      </c>
      <c r="I619" s="5">
        <v>16907.52</v>
      </c>
      <c r="J619" s="3" t="s">
        <v>83</v>
      </c>
      <c r="K619" s="3" t="s">
        <v>27</v>
      </c>
      <c r="L619" t="str">
        <f>IFERROR(VLOOKUP(D619,Products!$A$2:$F$61,3,FALSE()),"")</f>
        <v>Apparel</v>
      </c>
      <c r="M619" t="str">
        <f>IFERROR(VLOOKUP(E619,Sales_Reps!$A$2:$C$31,3,FALSE()),"")</f>
        <v>West</v>
      </c>
      <c r="N619">
        <f>IFERROR(VLOOKUP(D619,Products!$A$2:$F$61,4,FALSE()),"")</f>
        <v>1962</v>
      </c>
      <c r="O619" t="str">
        <f>IFERROR(VLOOKUP(C619,Customers!$A$2:$F$301,5,FALSE()),"")</f>
        <v>SMB</v>
      </c>
      <c r="P619">
        <f>IFERROR(VLOOKUP(C619,Customers!$A$2:$F$301,3,FALSE()),"")</f>
        <v>44</v>
      </c>
      <c r="Q619">
        <f t="shared" si="27"/>
        <v>0.2786764705882353</v>
      </c>
      <c r="R619">
        <f>IF(AND(COUNTIF($A$2:$A$2047,A619)&gt;1,COUNTIF($A$2:A619,A619)=1),1,0)</f>
        <v>0</v>
      </c>
      <c r="S619" t="b">
        <f>IFERROR(VLOOKUP(D619,Products!$A$2:$F$61,6,FALSE()),"")</f>
        <v>1</v>
      </c>
      <c r="T619" t="str">
        <f>IF(COUNTIF(Customers!$A$2:$A$301,C619)=0,"Missing","OK")</f>
        <v>OK</v>
      </c>
      <c r="U619" t="str">
        <f t="shared" si="28"/>
        <v>Pune</v>
      </c>
      <c r="V619">
        <f t="shared" si="29"/>
        <v>0</v>
      </c>
    </row>
    <row r="620" spans="1:22" ht="15" customHeight="1" x14ac:dyDescent="0.35">
      <c r="A620" s="3" t="s">
        <v>1016</v>
      </c>
      <c r="B620" s="4">
        <v>45627</v>
      </c>
      <c r="C620" s="3" t="s">
        <v>668</v>
      </c>
      <c r="D620" s="3" t="s">
        <v>126</v>
      </c>
      <c r="E620" s="3" t="s">
        <v>46</v>
      </c>
      <c r="F620" s="5">
        <v>2</v>
      </c>
      <c r="G620" s="5">
        <v>3570</v>
      </c>
      <c r="H620" s="5">
        <v>6.1</v>
      </c>
      <c r="I620" s="5">
        <v>6704.46</v>
      </c>
      <c r="J620" s="3" t="s">
        <v>79</v>
      </c>
      <c r="K620" s="3" t="s">
        <v>51</v>
      </c>
      <c r="L620" t="str">
        <f>IFERROR(VLOOKUP(D620,Products!$A$2:$F$61,3,FALSE()),"")</f>
        <v>Electronics</v>
      </c>
      <c r="M620" t="str">
        <f>IFERROR(VLOOKUP(E620,Sales_Reps!$A$2:$C$31,3,FALSE()),"")</f>
        <v>North</v>
      </c>
      <c r="N620">
        <f>IFERROR(VLOOKUP(D620,Products!$A$2:$F$61,4,FALSE()),"")</f>
        <v>1665</v>
      </c>
      <c r="O620" t="str">
        <f>IFERROR(VLOOKUP(C620,Customers!$A$2:$F$301,5,FALSE()),"")</f>
        <v>Retail</v>
      </c>
      <c r="P620">
        <f>IFERROR(VLOOKUP(C620,Customers!$A$2:$F$301,3,FALSE()),"")</f>
        <v>56</v>
      </c>
      <c r="Q620">
        <f t="shared" si="27"/>
        <v>0.53361344537815125</v>
      </c>
      <c r="R620">
        <f>IF(AND(COUNTIF($A$2:$A$2047,A620)&gt;1,COUNTIF($A$2:A620,A620)=1),1,0)</f>
        <v>0</v>
      </c>
      <c r="S620" t="b">
        <f>IFERROR(VLOOKUP(D620,Products!$A$2:$F$61,6,FALSE()),"")</f>
        <v>1</v>
      </c>
      <c r="T620" t="str">
        <f>IF(COUNTIF(Customers!$A$2:$A$301,C620)=0,"Missing","OK")</f>
        <v>OK</v>
      </c>
      <c r="U620" t="str">
        <f t="shared" si="28"/>
        <v>Mumbai</v>
      </c>
      <c r="V620">
        <f t="shared" si="29"/>
        <v>0</v>
      </c>
    </row>
    <row r="621" spans="1:22" ht="15" customHeight="1" x14ac:dyDescent="0.35">
      <c r="A621" s="3" t="s">
        <v>1017</v>
      </c>
      <c r="B621" s="4">
        <v>45574</v>
      </c>
      <c r="C621" s="3" t="s">
        <v>755</v>
      </c>
      <c r="D621" s="3" t="s">
        <v>90</v>
      </c>
      <c r="E621" s="3" t="s">
        <v>154</v>
      </c>
      <c r="F621" s="5">
        <v>5</v>
      </c>
      <c r="G621" s="5">
        <v>2400</v>
      </c>
      <c r="H621" s="5">
        <v>16.100000000000001</v>
      </c>
      <c r="I621" s="5">
        <v>10068</v>
      </c>
      <c r="J621" s="3" t="s">
        <v>26</v>
      </c>
      <c r="K621" s="3" t="s">
        <v>27</v>
      </c>
      <c r="L621" t="str">
        <f>IFERROR(VLOOKUP(D621,Products!$A$2:$F$61,3,FALSE()),"")</f>
        <v>Sports</v>
      </c>
      <c r="M621" t="str">
        <f>IFERROR(VLOOKUP(E621,Sales_Reps!$A$2:$C$31,3,FALSE()),"")</f>
        <v>North</v>
      </c>
      <c r="N621">
        <f>IFERROR(VLOOKUP(D621,Products!$A$2:$F$61,4,FALSE()),"")</f>
        <v>974</v>
      </c>
      <c r="O621" t="str">
        <f>IFERROR(VLOOKUP(C621,Customers!$A$2:$F$301,5,FALSE()),"")</f>
        <v>Retail</v>
      </c>
      <c r="P621">
        <f>IFERROR(VLOOKUP(C621,Customers!$A$2:$F$301,3,FALSE()),"")</f>
        <v>36</v>
      </c>
      <c r="Q621">
        <f t="shared" si="27"/>
        <v>0.59416666666666662</v>
      </c>
      <c r="R621">
        <f>IF(AND(COUNTIF($A$2:$A$2047,A621)&gt;1,COUNTIF($A$2:A621,A621)=1),1,0)</f>
        <v>0</v>
      </c>
      <c r="S621" t="b">
        <f>IFERROR(VLOOKUP(D621,Products!$A$2:$F$61,6,FALSE()),"")</f>
        <v>1</v>
      </c>
      <c r="T621" t="str">
        <f>IF(COUNTIF(Customers!$A$2:$A$301,C621)=0,"Missing","OK")</f>
        <v>OK</v>
      </c>
      <c r="U621" t="str">
        <f t="shared" si="28"/>
        <v>Pune</v>
      </c>
      <c r="V621">
        <f t="shared" si="29"/>
        <v>0</v>
      </c>
    </row>
    <row r="622" spans="1:22" ht="15" customHeight="1" x14ac:dyDescent="0.35">
      <c r="A622" s="3" t="s">
        <v>1018</v>
      </c>
      <c r="B622" s="4">
        <v>45592</v>
      </c>
      <c r="C622" s="3" t="s">
        <v>1011</v>
      </c>
      <c r="D622" s="3" t="s">
        <v>70</v>
      </c>
      <c r="E622" s="3" t="s">
        <v>236</v>
      </c>
      <c r="F622" s="5">
        <v>4</v>
      </c>
      <c r="G622" s="5">
        <v>2270</v>
      </c>
      <c r="H622" s="5">
        <v>27.5</v>
      </c>
      <c r="I622" s="5">
        <v>6583</v>
      </c>
      <c r="J622" s="3" t="s">
        <v>32</v>
      </c>
      <c r="K622" s="3" t="s">
        <v>51</v>
      </c>
      <c r="L622" t="str">
        <f>IFERROR(VLOOKUP(D622,Products!$A$2:$F$61,3,FALSE()),"")</f>
        <v>Grocery</v>
      </c>
      <c r="M622" t="str">
        <f>IFERROR(VLOOKUP(E622,Sales_Reps!$A$2:$C$31,3,FALSE()),"")</f>
        <v>North</v>
      </c>
      <c r="N622">
        <f>IFERROR(VLOOKUP(D622,Products!$A$2:$F$61,4,FALSE()),"")</f>
        <v>1203</v>
      </c>
      <c r="O622" t="str">
        <f>IFERROR(VLOOKUP(C622,Customers!$A$2:$F$301,5,FALSE()),"")</f>
        <v>SMB</v>
      </c>
      <c r="P622">
        <f>IFERROR(VLOOKUP(C622,Customers!$A$2:$F$301,3,FALSE()),"")</f>
        <v>53</v>
      </c>
      <c r="Q622">
        <f t="shared" si="27"/>
        <v>0.47004405286343615</v>
      </c>
      <c r="R622">
        <f>IF(AND(COUNTIF($A$2:$A$2047,A622)&gt;1,COUNTIF($A$2:A622,A622)=1),1,0)</f>
        <v>0</v>
      </c>
      <c r="S622" t="b">
        <f>IFERROR(VLOOKUP(D622,Products!$A$2:$F$61,6,FALSE()),"")</f>
        <v>1</v>
      </c>
      <c r="T622" t="str">
        <f>IF(COUNTIF(Customers!$A$2:$A$301,C622)=0,"Missing","OK")</f>
        <v>OK</v>
      </c>
      <c r="U622" t="str">
        <f t="shared" si="28"/>
        <v>Mumbai</v>
      </c>
      <c r="V622">
        <f t="shared" si="29"/>
        <v>0</v>
      </c>
    </row>
    <row r="623" spans="1:22" ht="15" customHeight="1" x14ac:dyDescent="0.35">
      <c r="A623" s="3" t="s">
        <v>1019</v>
      </c>
      <c r="B623" s="4">
        <v>45509</v>
      </c>
      <c r="C623" s="3" t="s">
        <v>40</v>
      </c>
      <c r="D623" s="3" t="s">
        <v>66</v>
      </c>
      <c r="E623" s="3" t="s">
        <v>264</v>
      </c>
      <c r="F623" s="5">
        <v>1</v>
      </c>
      <c r="G623" s="5">
        <v>970</v>
      </c>
      <c r="H623" s="5">
        <v>12.7</v>
      </c>
      <c r="I623" s="5">
        <v>846.81</v>
      </c>
      <c r="J623" s="3" t="s">
        <v>26</v>
      </c>
      <c r="K623" s="3" t="s">
        <v>38</v>
      </c>
      <c r="L623" t="str">
        <f>IFERROR(VLOOKUP(D623,Products!$A$2:$F$61,3,FALSE()),"")</f>
        <v>Grocery</v>
      </c>
      <c r="M623" t="str">
        <f>IFERROR(VLOOKUP(E623,Sales_Reps!$A$2:$C$31,3,FALSE()),"")</f>
        <v>South</v>
      </c>
      <c r="N623">
        <f>IFERROR(VLOOKUP(D623,Products!$A$2:$F$61,4,FALSE()),"")</f>
        <v>434</v>
      </c>
      <c r="O623" t="str">
        <f>IFERROR(VLOOKUP(C623,Customers!$A$2:$F$301,5,FALSE()),"")</f>
        <v>Corporate</v>
      </c>
      <c r="P623">
        <f>IFERROR(VLOOKUP(C623,Customers!$A$2:$F$301,3,FALSE()),"")</f>
        <v>46</v>
      </c>
      <c r="Q623">
        <f t="shared" si="27"/>
        <v>0.5525773195876289</v>
      </c>
      <c r="R623">
        <f>IF(AND(COUNTIF($A$2:$A$2047,A623)&gt;1,COUNTIF($A$2:A623,A623)=1),1,0)</f>
        <v>0</v>
      </c>
      <c r="S623" t="b">
        <f>IFERROR(VLOOKUP(D623,Products!$A$2:$F$61,6,FALSE()),"")</f>
        <v>1</v>
      </c>
      <c r="T623" t="str">
        <f>IF(COUNTIF(Customers!$A$2:$A$301,C623)=0,"Missing","OK")</f>
        <v>OK</v>
      </c>
      <c r="U623" t="str">
        <f t="shared" si="28"/>
        <v>Delhi</v>
      </c>
      <c r="V623">
        <f t="shared" si="29"/>
        <v>0</v>
      </c>
    </row>
    <row r="624" spans="1:22" ht="15" customHeight="1" x14ac:dyDescent="0.35">
      <c r="A624" s="3" t="s">
        <v>1020</v>
      </c>
      <c r="B624" s="4">
        <v>45307</v>
      </c>
      <c r="C624" s="3" t="s">
        <v>408</v>
      </c>
      <c r="D624" s="3" t="s">
        <v>454</v>
      </c>
      <c r="E624" s="3" t="s">
        <v>242</v>
      </c>
      <c r="F624" s="5">
        <v>5</v>
      </c>
      <c r="G624" s="5">
        <v>6940</v>
      </c>
      <c r="H624" s="5">
        <v>16.2</v>
      </c>
      <c r="I624" s="5">
        <v>29078.6</v>
      </c>
      <c r="J624" s="3" t="s">
        <v>26</v>
      </c>
      <c r="K624" s="3" t="s">
        <v>56</v>
      </c>
      <c r="L624" t="str">
        <f>IFERROR(VLOOKUP(D624,Products!$A$2:$F$61,3,FALSE()),"")</f>
        <v>Sports</v>
      </c>
      <c r="M624" t="str">
        <f>IFERROR(VLOOKUP(E624,Sales_Reps!$A$2:$C$31,3,FALSE()),"")</f>
        <v>East</v>
      </c>
      <c r="N624">
        <f>IFERROR(VLOOKUP(D624,Products!$A$2:$F$61,4,FALSE()),"")</f>
        <v>2827</v>
      </c>
      <c r="O624" t="str">
        <f>IFERROR(VLOOKUP(C624,Customers!$A$2:$F$301,5,FALSE()),"")</f>
        <v>SMB</v>
      </c>
      <c r="P624">
        <f>IFERROR(VLOOKUP(C624,Customers!$A$2:$F$301,3,FALSE()),"")</f>
        <v>43</v>
      </c>
      <c r="Q624">
        <f t="shared" si="27"/>
        <v>0.5926512968299712</v>
      </c>
      <c r="R624">
        <f>IF(AND(COUNTIF($A$2:$A$2047,A624)&gt;1,COUNTIF($A$2:A624,A624)=1),1,0)</f>
        <v>0</v>
      </c>
      <c r="S624" t="b">
        <f>IFERROR(VLOOKUP(D624,Products!$A$2:$F$61,6,FALSE()),"")</f>
        <v>1</v>
      </c>
      <c r="T624" t="str">
        <f>IF(COUNTIF(Customers!$A$2:$A$301,C624)=0,"Missing","OK")</f>
        <v>OK</v>
      </c>
      <c r="U624" t="str">
        <f t="shared" si="28"/>
        <v>Bengaluru</v>
      </c>
      <c r="V624">
        <f t="shared" si="29"/>
        <v>0</v>
      </c>
    </row>
    <row r="625" spans="1:22" ht="15" customHeight="1" x14ac:dyDescent="0.35">
      <c r="A625" s="3" t="s">
        <v>1021</v>
      </c>
      <c r="B625" s="4">
        <v>45586</v>
      </c>
      <c r="C625" s="3" t="s">
        <v>138</v>
      </c>
      <c r="D625" s="3" t="s">
        <v>454</v>
      </c>
      <c r="E625" s="3" t="s">
        <v>143</v>
      </c>
      <c r="F625" s="5">
        <v>4</v>
      </c>
      <c r="G625" s="5">
        <v>6940</v>
      </c>
      <c r="H625" s="5">
        <v>15.1</v>
      </c>
      <c r="I625" s="5">
        <v>23568.240000000002</v>
      </c>
      <c r="J625" s="3" t="s">
        <v>26</v>
      </c>
      <c r="K625" s="3" t="s">
        <v>72</v>
      </c>
      <c r="L625" t="str">
        <f>IFERROR(VLOOKUP(D625,Products!$A$2:$F$61,3,FALSE()),"")</f>
        <v>Sports</v>
      </c>
      <c r="M625" t="str">
        <f>IFERROR(VLOOKUP(E625,Sales_Reps!$A$2:$C$31,3,FALSE()),"")</f>
        <v>South</v>
      </c>
      <c r="N625">
        <f>IFERROR(VLOOKUP(D625,Products!$A$2:$F$61,4,FALSE()),"")</f>
        <v>2827</v>
      </c>
      <c r="O625" t="str">
        <f>IFERROR(VLOOKUP(C625,Customers!$A$2:$F$301,5,FALSE()),"")</f>
        <v>Retail</v>
      </c>
      <c r="P625">
        <f>IFERROR(VLOOKUP(C625,Customers!$A$2:$F$301,3,FALSE()),"")</f>
        <v>53</v>
      </c>
      <c r="Q625">
        <f t="shared" si="27"/>
        <v>0.5926512968299712</v>
      </c>
      <c r="R625">
        <f>IF(AND(COUNTIF($A$2:$A$2047,A625)&gt;1,COUNTIF($A$2:A625,A625)=1),1,0)</f>
        <v>0</v>
      </c>
      <c r="S625" t="b">
        <f>IFERROR(VLOOKUP(D625,Products!$A$2:$F$61,6,FALSE()),"")</f>
        <v>1</v>
      </c>
      <c r="T625" t="str">
        <f>IF(COUNTIF(Customers!$A$2:$A$301,C625)=0,"Missing","OK")</f>
        <v>OK</v>
      </c>
      <c r="U625" t="str">
        <f t="shared" si="28"/>
        <v>Hyderabad</v>
      </c>
      <c r="V625">
        <f t="shared" si="29"/>
        <v>0</v>
      </c>
    </row>
    <row r="626" spans="1:22" ht="15" customHeight="1" x14ac:dyDescent="0.35">
      <c r="A626" s="3" t="s">
        <v>1022</v>
      </c>
      <c r="B626" s="4">
        <v>45587</v>
      </c>
      <c r="C626" s="3" t="s">
        <v>279</v>
      </c>
      <c r="D626" s="3" t="s">
        <v>121</v>
      </c>
      <c r="E626" s="3" t="s">
        <v>42</v>
      </c>
      <c r="F626" s="5">
        <v>1</v>
      </c>
      <c r="G626" s="5">
        <v>1010</v>
      </c>
      <c r="H626" s="5">
        <v>1.7</v>
      </c>
      <c r="I626" s="5">
        <v>992.83</v>
      </c>
      <c r="J626" s="3" t="s">
        <v>26</v>
      </c>
      <c r="K626" s="3" t="s">
        <v>27</v>
      </c>
      <c r="L626" t="str">
        <f>IFERROR(VLOOKUP(D626,Products!$A$2:$F$61,3,FALSE()),"")</f>
        <v>Sports</v>
      </c>
      <c r="M626" t="str">
        <f>IFERROR(VLOOKUP(E626,Sales_Reps!$A$2:$C$31,3,FALSE()),"")</f>
        <v>North</v>
      </c>
      <c r="N626">
        <f>IFERROR(VLOOKUP(D626,Products!$A$2:$F$61,4,FALSE()),"")</f>
        <v>516</v>
      </c>
      <c r="O626" t="str">
        <f>IFERROR(VLOOKUP(C626,Customers!$A$2:$F$301,5,FALSE()),"")</f>
        <v>Retail</v>
      </c>
      <c r="P626">
        <f>IFERROR(VLOOKUP(C626,Customers!$A$2:$F$301,3,FALSE()),"")</f>
        <v>25</v>
      </c>
      <c r="Q626">
        <f t="shared" si="27"/>
        <v>0.4891089108910891</v>
      </c>
      <c r="R626">
        <f>IF(AND(COUNTIF($A$2:$A$2047,A626)&gt;1,COUNTIF($A$2:A626,A626)=1),1,0)</f>
        <v>0</v>
      </c>
      <c r="S626" t="b">
        <f>IFERROR(VLOOKUP(D626,Products!$A$2:$F$61,6,FALSE()),"")</f>
        <v>1</v>
      </c>
      <c r="T626" t="str">
        <f>IF(COUNTIF(Customers!$A$2:$A$301,C626)=0,"Missing","OK")</f>
        <v>OK</v>
      </c>
      <c r="U626" t="str">
        <f t="shared" si="28"/>
        <v>Pune</v>
      </c>
      <c r="V626">
        <f t="shared" si="29"/>
        <v>0</v>
      </c>
    </row>
    <row r="627" spans="1:22" ht="15" customHeight="1" x14ac:dyDescent="0.35">
      <c r="A627" s="3" t="s">
        <v>1023</v>
      </c>
      <c r="B627" s="4">
        <v>45609</v>
      </c>
      <c r="C627" s="3" t="s">
        <v>230</v>
      </c>
      <c r="D627" s="3" t="s">
        <v>187</v>
      </c>
      <c r="E627" s="3" t="s">
        <v>25</v>
      </c>
      <c r="F627" s="5">
        <v>6</v>
      </c>
      <c r="G627" s="5">
        <v>3870</v>
      </c>
      <c r="H627" s="5">
        <v>12.2</v>
      </c>
      <c r="I627" s="5">
        <v>20387.16</v>
      </c>
      <c r="J627" s="3" t="s">
        <v>26</v>
      </c>
      <c r="K627" s="3" t="s">
        <v>38</v>
      </c>
      <c r="L627" t="str">
        <f>IFERROR(VLOOKUP(D627,Products!$A$2:$F$61,3,FALSE()),"")</f>
        <v>Electronics</v>
      </c>
      <c r="M627" t="str">
        <f>IFERROR(VLOOKUP(E627,Sales_Reps!$A$2:$C$31,3,FALSE()),"")</f>
        <v>North</v>
      </c>
      <c r="N627">
        <f>IFERROR(VLOOKUP(D627,Products!$A$2:$F$61,4,FALSE()),"")</f>
        <v>1559</v>
      </c>
      <c r="O627" t="str">
        <f>IFERROR(VLOOKUP(C627,Customers!$A$2:$F$301,5,FALSE()),"")</f>
        <v>Retail</v>
      </c>
      <c r="P627">
        <f>IFERROR(VLOOKUP(C627,Customers!$A$2:$F$301,3,FALSE()),"")</f>
        <v>35</v>
      </c>
      <c r="Q627">
        <f t="shared" si="27"/>
        <v>0.59715762273901807</v>
      </c>
      <c r="R627">
        <f>IF(AND(COUNTIF($A$2:$A$2047,A627)&gt;1,COUNTIF($A$2:A627,A627)=1),1,0)</f>
        <v>0</v>
      </c>
      <c r="S627" t="b">
        <f>IFERROR(VLOOKUP(D627,Products!$A$2:$F$61,6,FALSE()),"")</f>
        <v>1</v>
      </c>
      <c r="T627" t="str">
        <f>IF(COUNTIF(Customers!$A$2:$A$301,C627)=0,"Missing","OK")</f>
        <v>OK</v>
      </c>
      <c r="U627" t="str">
        <f t="shared" si="28"/>
        <v>Delhi</v>
      </c>
      <c r="V627">
        <f t="shared" si="29"/>
        <v>0</v>
      </c>
    </row>
    <row r="628" spans="1:22" ht="15" customHeight="1" x14ac:dyDescent="0.35">
      <c r="A628" s="3" t="s">
        <v>1024</v>
      </c>
      <c r="B628" s="4">
        <v>45316</v>
      </c>
      <c r="C628" s="3" t="s">
        <v>476</v>
      </c>
      <c r="D628" s="3" t="s">
        <v>130</v>
      </c>
      <c r="E628" s="3" t="s">
        <v>212</v>
      </c>
      <c r="F628" s="5">
        <v>9</v>
      </c>
      <c r="G628" s="5">
        <v>5100</v>
      </c>
      <c r="H628" s="5">
        <v>26.4</v>
      </c>
      <c r="I628" s="5">
        <v>33782.400000000001</v>
      </c>
      <c r="J628" s="3" t="s">
        <v>26</v>
      </c>
      <c r="K628" s="3" t="s">
        <v>72</v>
      </c>
      <c r="L628" t="str">
        <f>IFERROR(VLOOKUP(D628,Products!$A$2:$F$61,3,FALSE()),"")</f>
        <v>Beauty</v>
      </c>
      <c r="M628" t="str">
        <f>IFERROR(VLOOKUP(E628,Sales_Reps!$A$2:$C$31,3,FALSE()),"")</f>
        <v>South</v>
      </c>
      <c r="N628">
        <f>IFERROR(VLOOKUP(D628,Products!$A$2:$F$61,4,FALSE()),"")</f>
        <v>2237</v>
      </c>
      <c r="O628" t="str">
        <f>IFERROR(VLOOKUP(C628,Customers!$A$2:$F$301,5,FALSE()),"")</f>
        <v>SMB</v>
      </c>
      <c r="P628">
        <f>IFERROR(VLOOKUP(C628,Customers!$A$2:$F$301,3,FALSE()),"")</f>
        <v>48</v>
      </c>
      <c r="Q628">
        <f t="shared" si="27"/>
        <v>0.56137254901960787</v>
      </c>
      <c r="R628">
        <f>IF(AND(COUNTIF($A$2:$A$2047,A628)&gt;1,COUNTIF($A$2:A628,A628)=1),1,0)</f>
        <v>0</v>
      </c>
      <c r="S628" t="b">
        <f>IFERROR(VLOOKUP(D628,Products!$A$2:$F$61,6,FALSE()),"")</f>
        <v>1</v>
      </c>
      <c r="T628" t="str">
        <f>IF(COUNTIF(Customers!$A$2:$A$301,C628)=0,"Missing","OK")</f>
        <v>OK</v>
      </c>
      <c r="U628" t="str">
        <f t="shared" si="28"/>
        <v>Hyderabad</v>
      </c>
      <c r="V628">
        <f t="shared" si="29"/>
        <v>0</v>
      </c>
    </row>
    <row r="629" spans="1:22" ht="15" customHeight="1" x14ac:dyDescent="0.35">
      <c r="A629" s="3" t="s">
        <v>1025</v>
      </c>
      <c r="B629" s="4">
        <v>45451</v>
      </c>
      <c r="C629" s="3" t="s">
        <v>887</v>
      </c>
      <c r="D629" s="3" t="s">
        <v>45</v>
      </c>
      <c r="E629" s="3" t="s">
        <v>46</v>
      </c>
      <c r="F629" s="5">
        <v>2</v>
      </c>
      <c r="G629" s="5">
        <v>3160</v>
      </c>
      <c r="H629" s="5">
        <v>13.4</v>
      </c>
      <c r="I629" s="5">
        <v>5473.12</v>
      </c>
      <c r="J629" s="3" t="s">
        <v>83</v>
      </c>
      <c r="K629" s="3" t="s">
        <v>27</v>
      </c>
      <c r="L629" t="str">
        <f>IFERROR(VLOOKUP(D629,Products!$A$2:$F$61,3,FALSE()),"")</f>
        <v>Apparel</v>
      </c>
      <c r="M629" t="str">
        <f>IFERROR(VLOOKUP(E629,Sales_Reps!$A$2:$C$31,3,FALSE()),"")</f>
        <v>North</v>
      </c>
      <c r="N629">
        <f>IFERROR(VLOOKUP(D629,Products!$A$2:$F$61,4,FALSE()),"")</f>
        <v>1886</v>
      </c>
      <c r="O629" t="str">
        <f>IFERROR(VLOOKUP(C629,Customers!$A$2:$F$301,5,FALSE()),"")</f>
        <v>Retail</v>
      </c>
      <c r="P629">
        <f>IFERROR(VLOOKUP(C629,Customers!$A$2:$F$301,3,FALSE()),"")</f>
        <v>65</v>
      </c>
      <c r="Q629">
        <f t="shared" si="27"/>
        <v>0.4031645569620253</v>
      </c>
      <c r="R629">
        <f>IF(AND(COUNTIF($A$2:$A$2047,A629)&gt;1,COUNTIF($A$2:A629,A629)=1),1,0)</f>
        <v>0</v>
      </c>
      <c r="S629" t="b">
        <f>IFERROR(VLOOKUP(D629,Products!$A$2:$F$61,6,FALSE()),"")</f>
        <v>1</v>
      </c>
      <c r="T629" t="str">
        <f>IF(COUNTIF(Customers!$A$2:$A$301,C629)=0,"Missing","OK")</f>
        <v>OK</v>
      </c>
      <c r="U629" t="str">
        <f t="shared" si="28"/>
        <v>Pune</v>
      </c>
      <c r="V629">
        <f t="shared" si="29"/>
        <v>0</v>
      </c>
    </row>
    <row r="630" spans="1:22" ht="15" customHeight="1" x14ac:dyDescent="0.35">
      <c r="A630" s="3" t="s">
        <v>1026</v>
      </c>
      <c r="B630" s="4">
        <v>45554</v>
      </c>
      <c r="C630" s="3" t="s">
        <v>966</v>
      </c>
      <c r="D630" s="3" t="s">
        <v>277</v>
      </c>
      <c r="E630" s="3" t="s">
        <v>212</v>
      </c>
      <c r="F630" s="5">
        <v>8</v>
      </c>
      <c r="G630" s="5">
        <v>2210</v>
      </c>
      <c r="H630" s="5">
        <v>26</v>
      </c>
      <c r="I630" s="5">
        <v>13083.2</v>
      </c>
      <c r="J630" s="3" t="s">
        <v>26</v>
      </c>
      <c r="K630" s="3" t="s">
        <v>51</v>
      </c>
      <c r="L630" t="str">
        <f>IFERROR(VLOOKUP(D630,Products!$A$2:$F$61,3,FALSE()),"")</f>
        <v>Grocery</v>
      </c>
      <c r="M630" t="str">
        <f>IFERROR(VLOOKUP(E630,Sales_Reps!$A$2:$C$31,3,FALSE()),"")</f>
        <v>South</v>
      </c>
      <c r="N630">
        <f>IFERROR(VLOOKUP(D630,Products!$A$2:$F$61,4,FALSE()),"")</f>
        <v>1010</v>
      </c>
      <c r="O630" t="str">
        <f>IFERROR(VLOOKUP(C630,Customers!$A$2:$F$301,5,FALSE()),"")</f>
        <v>SMB</v>
      </c>
      <c r="P630">
        <f>IFERROR(VLOOKUP(C630,Customers!$A$2:$F$301,3,FALSE()),"")</f>
        <v>47</v>
      </c>
      <c r="Q630">
        <f t="shared" si="27"/>
        <v>0.54298642533936647</v>
      </c>
      <c r="R630">
        <f>IF(AND(COUNTIF($A$2:$A$2047,A630)&gt;1,COUNTIF($A$2:A630,A630)=1),1,0)</f>
        <v>0</v>
      </c>
      <c r="S630" t="b">
        <f>IFERROR(VLOOKUP(D630,Products!$A$2:$F$61,6,FALSE()),"")</f>
        <v>1</v>
      </c>
      <c r="T630" t="str">
        <f>IF(COUNTIF(Customers!$A$2:$A$301,C630)=0,"Missing","OK")</f>
        <v>OK</v>
      </c>
      <c r="U630" t="str">
        <f t="shared" si="28"/>
        <v>Mumbai</v>
      </c>
      <c r="V630">
        <f t="shared" si="29"/>
        <v>0</v>
      </c>
    </row>
    <row r="631" spans="1:22" ht="15" customHeight="1" x14ac:dyDescent="0.35">
      <c r="A631" s="3" t="s">
        <v>1027</v>
      </c>
      <c r="B631" s="4">
        <v>45567</v>
      </c>
      <c r="C631" s="3" t="s">
        <v>338</v>
      </c>
      <c r="D631" s="3" t="s">
        <v>598</v>
      </c>
      <c r="E631" s="3" t="s">
        <v>140</v>
      </c>
      <c r="F631" s="5">
        <v>5</v>
      </c>
      <c r="G631" s="5">
        <v>3560</v>
      </c>
      <c r="H631" s="5">
        <v>15</v>
      </c>
      <c r="I631" s="5">
        <v>15130</v>
      </c>
      <c r="J631" s="3" t="s">
        <v>26</v>
      </c>
      <c r="K631" s="3" t="s">
        <v>38</v>
      </c>
      <c r="L631" t="str">
        <f>IFERROR(VLOOKUP(D631,Products!$A$2:$F$61,3,FALSE()),"")</f>
        <v>Apparel</v>
      </c>
      <c r="M631" t="str">
        <f>IFERROR(VLOOKUP(E631,Sales_Reps!$A$2:$C$31,3,FALSE()),"")</f>
        <v>West</v>
      </c>
      <c r="N631">
        <f>IFERROR(VLOOKUP(D631,Products!$A$2:$F$61,4,FALSE()),"")</f>
        <v>2629</v>
      </c>
      <c r="O631" t="str">
        <f>IFERROR(VLOOKUP(C631,Customers!$A$2:$F$301,5,FALSE()),"")</f>
        <v>SMB</v>
      </c>
      <c r="P631">
        <f>IFERROR(VLOOKUP(C631,Customers!$A$2:$F$301,3,FALSE()),"")</f>
        <v>53</v>
      </c>
      <c r="Q631">
        <f t="shared" si="27"/>
        <v>0.26151685393258428</v>
      </c>
      <c r="R631">
        <f>IF(AND(COUNTIF($A$2:$A$2047,A631)&gt;1,COUNTIF($A$2:A631,A631)=1),1,0)</f>
        <v>0</v>
      </c>
      <c r="S631" t="b">
        <f>IFERROR(VLOOKUP(D631,Products!$A$2:$F$61,6,FALSE()),"")</f>
        <v>1</v>
      </c>
      <c r="T631" t="str">
        <f>IF(COUNTIF(Customers!$A$2:$A$301,C631)=0,"Missing","OK")</f>
        <v>OK</v>
      </c>
      <c r="U631" t="str">
        <f t="shared" si="28"/>
        <v>Delhi</v>
      </c>
      <c r="V631">
        <f t="shared" si="29"/>
        <v>0</v>
      </c>
    </row>
    <row r="632" spans="1:22" ht="15" customHeight="1" x14ac:dyDescent="0.35">
      <c r="A632" s="3" t="s">
        <v>1028</v>
      </c>
      <c r="B632" s="4">
        <v>45633</v>
      </c>
      <c r="C632" s="3" t="s">
        <v>939</v>
      </c>
      <c r="D632" s="3" t="s">
        <v>231</v>
      </c>
      <c r="E632" s="3" t="s">
        <v>71</v>
      </c>
      <c r="F632" s="5">
        <v>10</v>
      </c>
      <c r="G632" s="5">
        <v>620</v>
      </c>
      <c r="H632" s="5">
        <v>15.8</v>
      </c>
      <c r="I632" s="5">
        <v>5220.3999999999996</v>
      </c>
      <c r="J632" s="3" t="s">
        <v>83</v>
      </c>
      <c r="K632" s="3" t="s">
        <v>56</v>
      </c>
      <c r="L632" t="str">
        <f>IFERROR(VLOOKUP(D632,Products!$A$2:$F$61,3,FALSE()),"")</f>
        <v>Apparel</v>
      </c>
      <c r="M632" t="str">
        <f>IFERROR(VLOOKUP(E632,Sales_Reps!$A$2:$C$31,3,FALSE()),"")</f>
        <v>South</v>
      </c>
      <c r="N632">
        <f>IFERROR(VLOOKUP(D632,Products!$A$2:$F$61,4,FALSE()),"")</f>
        <v>396</v>
      </c>
      <c r="O632" t="str">
        <f>IFERROR(VLOOKUP(C632,Customers!$A$2:$F$301,5,FALSE()),"")</f>
        <v>Retail</v>
      </c>
      <c r="P632">
        <f>IFERROR(VLOOKUP(C632,Customers!$A$2:$F$301,3,FALSE()),"")</f>
        <v>27</v>
      </c>
      <c r="Q632">
        <f t="shared" si="27"/>
        <v>0.36129032258064514</v>
      </c>
      <c r="R632">
        <f>IF(AND(COUNTIF($A$2:$A$2047,A632)&gt;1,COUNTIF($A$2:A632,A632)=1),1,0)</f>
        <v>0</v>
      </c>
      <c r="S632" t="b">
        <f>IFERROR(VLOOKUP(D632,Products!$A$2:$F$61,6,FALSE()),"")</f>
        <v>1</v>
      </c>
      <c r="T632" t="str">
        <f>IF(COUNTIF(Customers!$A$2:$A$301,C632)=0,"Missing","OK")</f>
        <v>OK</v>
      </c>
      <c r="U632" t="str">
        <f t="shared" si="28"/>
        <v>Bengaluru</v>
      </c>
      <c r="V632">
        <f t="shared" si="29"/>
        <v>0</v>
      </c>
    </row>
    <row r="633" spans="1:22" ht="15" customHeight="1" x14ac:dyDescent="0.35">
      <c r="A633" s="3" t="s">
        <v>1029</v>
      </c>
      <c r="B633" s="4">
        <v>45588</v>
      </c>
      <c r="C633" s="3" t="s">
        <v>496</v>
      </c>
      <c r="D633" s="3" t="s">
        <v>139</v>
      </c>
      <c r="E633" s="3" t="s">
        <v>236</v>
      </c>
      <c r="F633" s="5">
        <v>3</v>
      </c>
      <c r="G633" s="5">
        <v>2760</v>
      </c>
      <c r="H633" s="5">
        <v>1.9</v>
      </c>
      <c r="I633" s="5">
        <v>8122.68</v>
      </c>
      <c r="J633" s="3" t="s">
        <v>79</v>
      </c>
      <c r="K633" s="3" t="s">
        <v>51</v>
      </c>
      <c r="L633" t="str">
        <f>IFERROR(VLOOKUP(D633,Products!$A$2:$F$61,3,FALSE()),"")</f>
        <v>Grocery</v>
      </c>
      <c r="M633" t="str">
        <f>IFERROR(VLOOKUP(E633,Sales_Reps!$A$2:$C$31,3,FALSE()),"")</f>
        <v>North</v>
      </c>
      <c r="N633">
        <f>IFERROR(VLOOKUP(D633,Products!$A$2:$F$61,4,FALSE()),"")</f>
        <v>1435</v>
      </c>
      <c r="O633" t="str">
        <f>IFERROR(VLOOKUP(C633,Customers!$A$2:$F$301,5,FALSE()),"")</f>
        <v>Retail</v>
      </c>
      <c r="P633">
        <f>IFERROR(VLOOKUP(C633,Customers!$A$2:$F$301,3,FALSE()),"")</f>
        <v>65</v>
      </c>
      <c r="Q633">
        <f t="shared" si="27"/>
        <v>0.48007246376811596</v>
      </c>
      <c r="R633">
        <f>IF(AND(COUNTIF($A$2:$A$2047,A633)&gt;1,COUNTIF($A$2:A633,A633)=1),1,0)</f>
        <v>0</v>
      </c>
      <c r="S633" t="b">
        <f>IFERROR(VLOOKUP(D633,Products!$A$2:$F$61,6,FALSE()),"")</f>
        <v>1</v>
      </c>
      <c r="T633" t="str">
        <f>IF(COUNTIF(Customers!$A$2:$A$301,C633)=0,"Missing","OK")</f>
        <v>OK</v>
      </c>
      <c r="U633" t="str">
        <f t="shared" si="28"/>
        <v>Mumbai</v>
      </c>
      <c r="V633">
        <f t="shared" si="29"/>
        <v>0</v>
      </c>
    </row>
    <row r="634" spans="1:22" ht="15" customHeight="1" x14ac:dyDescent="0.35">
      <c r="A634" s="3" t="s">
        <v>1030</v>
      </c>
      <c r="B634" s="4">
        <v>45634</v>
      </c>
      <c r="C634" s="3" t="s">
        <v>158</v>
      </c>
      <c r="D634" s="3" t="s">
        <v>121</v>
      </c>
      <c r="E634" s="3" t="s">
        <v>31</v>
      </c>
      <c r="F634" s="5">
        <v>10</v>
      </c>
      <c r="G634" s="5">
        <v>1010</v>
      </c>
      <c r="H634" s="5">
        <v>28.9</v>
      </c>
      <c r="I634" s="5">
        <v>7181.1</v>
      </c>
      <c r="J634" s="3" t="s">
        <v>26</v>
      </c>
      <c r="K634" s="3" t="s">
        <v>38</v>
      </c>
      <c r="L634" t="str">
        <f>IFERROR(VLOOKUP(D634,Products!$A$2:$F$61,3,FALSE()),"")</f>
        <v>Sports</v>
      </c>
      <c r="M634" t="str">
        <f>IFERROR(VLOOKUP(E634,Sales_Reps!$A$2:$C$31,3,FALSE()),"")</f>
        <v>North</v>
      </c>
      <c r="N634">
        <f>IFERROR(VLOOKUP(D634,Products!$A$2:$F$61,4,FALSE()),"")</f>
        <v>516</v>
      </c>
      <c r="O634" t="str">
        <f>IFERROR(VLOOKUP(C634,Customers!$A$2:$F$301,5,FALSE()),"")</f>
        <v>SMB</v>
      </c>
      <c r="P634">
        <f>IFERROR(VLOOKUP(C634,Customers!$A$2:$F$301,3,FALSE()),"")</f>
        <v>50</v>
      </c>
      <c r="Q634">
        <f t="shared" si="27"/>
        <v>0.4891089108910891</v>
      </c>
      <c r="R634">
        <f>IF(AND(COUNTIF($A$2:$A$2047,A634)&gt;1,COUNTIF($A$2:A634,A634)=1),1,0)</f>
        <v>0</v>
      </c>
      <c r="S634" t="b">
        <f>IFERROR(VLOOKUP(D634,Products!$A$2:$F$61,6,FALSE()),"")</f>
        <v>1</v>
      </c>
      <c r="T634" t="str">
        <f>IF(COUNTIF(Customers!$A$2:$A$301,C634)=0,"Missing","OK")</f>
        <v>OK</v>
      </c>
      <c r="U634" t="str">
        <f t="shared" si="28"/>
        <v>Delhi</v>
      </c>
      <c r="V634">
        <f t="shared" si="29"/>
        <v>0</v>
      </c>
    </row>
    <row r="635" spans="1:22" ht="15" customHeight="1" x14ac:dyDescent="0.35">
      <c r="A635" s="3" t="s">
        <v>1031</v>
      </c>
      <c r="B635" s="4">
        <v>45352</v>
      </c>
      <c r="C635" s="3" t="s">
        <v>145</v>
      </c>
      <c r="D635" s="3" t="s">
        <v>176</v>
      </c>
      <c r="E635" s="3" t="s">
        <v>236</v>
      </c>
      <c r="F635" s="5">
        <v>1</v>
      </c>
      <c r="G635" s="5">
        <v>3640</v>
      </c>
      <c r="H635" s="5">
        <v>9.6999999999999993</v>
      </c>
      <c r="I635" s="5">
        <v>3286.92</v>
      </c>
      <c r="J635" s="3" t="s">
        <v>26</v>
      </c>
      <c r="K635" s="3" t="s">
        <v>72</v>
      </c>
      <c r="L635" t="str">
        <f>IFERROR(VLOOKUP(D635,Products!$A$2:$F$61,3,FALSE()),"")</f>
        <v>Apparel</v>
      </c>
      <c r="M635" t="str">
        <f>IFERROR(VLOOKUP(E635,Sales_Reps!$A$2:$C$31,3,FALSE()),"")</f>
        <v>North</v>
      </c>
      <c r="N635">
        <f>IFERROR(VLOOKUP(D635,Products!$A$2:$F$61,4,FALSE()),"")</f>
        <v>2611</v>
      </c>
      <c r="O635" t="str">
        <f>IFERROR(VLOOKUP(C635,Customers!$A$2:$F$301,5,FALSE()),"")</f>
        <v>SMB</v>
      </c>
      <c r="P635">
        <f>IFERROR(VLOOKUP(C635,Customers!$A$2:$F$301,3,FALSE()),"")</f>
        <v>40</v>
      </c>
      <c r="Q635">
        <f t="shared" si="27"/>
        <v>0.28269230769230769</v>
      </c>
      <c r="R635">
        <f>IF(AND(COUNTIF($A$2:$A$2047,A635)&gt;1,COUNTIF($A$2:A635,A635)=1),1,0)</f>
        <v>0</v>
      </c>
      <c r="S635" t="b">
        <f>IFERROR(VLOOKUP(D635,Products!$A$2:$F$61,6,FALSE()),"")</f>
        <v>1</v>
      </c>
      <c r="T635" t="str">
        <f>IF(COUNTIF(Customers!$A$2:$A$301,C635)=0,"Missing","OK")</f>
        <v>OK</v>
      </c>
      <c r="U635" t="str">
        <f t="shared" si="28"/>
        <v>Hyderabad</v>
      </c>
      <c r="V635">
        <f t="shared" si="29"/>
        <v>0</v>
      </c>
    </row>
    <row r="636" spans="1:22" ht="15" customHeight="1" x14ac:dyDescent="0.35">
      <c r="A636" s="3" t="s">
        <v>1032</v>
      </c>
      <c r="B636" s="4">
        <v>45489</v>
      </c>
      <c r="C636" s="3" t="s">
        <v>125</v>
      </c>
      <c r="D636" s="3" t="s">
        <v>30</v>
      </c>
      <c r="E636" s="3" t="s">
        <v>71</v>
      </c>
      <c r="F636" s="5">
        <v>1</v>
      </c>
      <c r="G636" s="5">
        <v>820</v>
      </c>
      <c r="H636" s="5">
        <v>15</v>
      </c>
      <c r="I636" s="5">
        <v>697</v>
      </c>
      <c r="J636" s="3" t="s">
        <v>26</v>
      </c>
      <c r="K636" s="3" t="s">
        <v>33</v>
      </c>
      <c r="L636" t="str">
        <f>IFERROR(VLOOKUP(D636,Products!$A$2:$F$61,3,FALSE()),"")</f>
        <v>Apparel</v>
      </c>
      <c r="M636" t="str">
        <f>IFERROR(VLOOKUP(E636,Sales_Reps!$A$2:$C$31,3,FALSE()),"")</f>
        <v>South</v>
      </c>
      <c r="N636">
        <f>IFERROR(VLOOKUP(D636,Products!$A$2:$F$61,4,FALSE()),"")</f>
        <v>391</v>
      </c>
      <c r="O636" t="str">
        <f>IFERROR(VLOOKUP(C636,Customers!$A$2:$F$301,5,FALSE()),"")</f>
        <v>SMB</v>
      </c>
      <c r="P636">
        <f>IFERROR(VLOOKUP(C636,Customers!$A$2:$F$301,3,FALSE()),"")</f>
        <v>52</v>
      </c>
      <c r="Q636">
        <f t="shared" si="27"/>
        <v>0.52317073170731709</v>
      </c>
      <c r="R636">
        <f>IF(AND(COUNTIF($A$2:$A$2047,A636)&gt;1,COUNTIF($A$2:A636,A636)=1),1,0)</f>
        <v>0</v>
      </c>
      <c r="S636" t="b">
        <f>IFERROR(VLOOKUP(D636,Products!$A$2:$F$61,6,FALSE()),"")</f>
        <v>1</v>
      </c>
      <c r="T636" t="str">
        <f>IF(COUNTIF(Customers!$A$2:$A$301,C636)=0,"Missing","OK")</f>
        <v>OK</v>
      </c>
      <c r="U636" t="str">
        <f t="shared" si="28"/>
        <v>Chennai</v>
      </c>
      <c r="V636">
        <f t="shared" si="29"/>
        <v>0</v>
      </c>
    </row>
    <row r="637" spans="1:22" ht="15" customHeight="1" x14ac:dyDescent="0.35">
      <c r="A637" s="3" t="s">
        <v>1033</v>
      </c>
      <c r="B637" s="4">
        <v>45342</v>
      </c>
      <c r="C637" s="3" t="s">
        <v>102</v>
      </c>
      <c r="D637" s="3" t="s">
        <v>176</v>
      </c>
      <c r="E637" s="3" t="s">
        <v>212</v>
      </c>
      <c r="F637" s="5">
        <v>4</v>
      </c>
      <c r="G637" s="5">
        <v>3640</v>
      </c>
      <c r="H637" s="5">
        <v>17</v>
      </c>
      <c r="I637" s="5">
        <v>12084.8</v>
      </c>
      <c r="J637" s="3" t="s">
        <v>26</v>
      </c>
      <c r="K637" s="3" t="s">
        <v>33</v>
      </c>
      <c r="L637" t="str">
        <f>IFERROR(VLOOKUP(D637,Products!$A$2:$F$61,3,FALSE()),"")</f>
        <v>Apparel</v>
      </c>
      <c r="M637" t="str">
        <f>IFERROR(VLOOKUP(E637,Sales_Reps!$A$2:$C$31,3,FALSE()),"")</f>
        <v>South</v>
      </c>
      <c r="N637">
        <f>IFERROR(VLOOKUP(D637,Products!$A$2:$F$61,4,FALSE()),"")</f>
        <v>2611</v>
      </c>
      <c r="O637" t="str">
        <f>IFERROR(VLOOKUP(C637,Customers!$A$2:$F$301,5,FALSE()),"")</f>
        <v>Retail</v>
      </c>
      <c r="P637">
        <f>IFERROR(VLOOKUP(C637,Customers!$A$2:$F$301,3,FALSE()),"")</f>
        <v>49</v>
      </c>
      <c r="Q637">
        <f t="shared" si="27"/>
        <v>0.28269230769230769</v>
      </c>
      <c r="R637">
        <f>IF(AND(COUNTIF($A$2:$A$2047,A637)&gt;1,COUNTIF($A$2:A637,A637)=1),1,0)</f>
        <v>0</v>
      </c>
      <c r="S637" t="b">
        <f>IFERROR(VLOOKUP(D637,Products!$A$2:$F$61,6,FALSE()),"")</f>
        <v>1</v>
      </c>
      <c r="T637" t="str">
        <f>IF(COUNTIF(Customers!$A$2:$A$301,C637)=0,"Missing","OK")</f>
        <v>OK</v>
      </c>
      <c r="U637" t="str">
        <f t="shared" si="28"/>
        <v>Chennai</v>
      </c>
      <c r="V637">
        <f t="shared" si="29"/>
        <v>0</v>
      </c>
    </row>
    <row r="638" spans="1:22" ht="15" customHeight="1" x14ac:dyDescent="0.35">
      <c r="A638" s="3" t="s">
        <v>1034</v>
      </c>
      <c r="B638" s="4">
        <v>45425</v>
      </c>
      <c r="C638" s="3" t="s">
        <v>1035</v>
      </c>
      <c r="D638" s="3" t="s">
        <v>306</v>
      </c>
      <c r="E638" s="3" t="s">
        <v>236</v>
      </c>
      <c r="F638" s="5">
        <v>7</v>
      </c>
      <c r="G638" s="5">
        <v>2380</v>
      </c>
      <c r="H638" s="5">
        <v>25.5</v>
      </c>
      <c r="I638" s="5">
        <v>12411.7</v>
      </c>
      <c r="J638" s="3" t="s">
        <v>26</v>
      </c>
      <c r="K638" s="3" t="s">
        <v>27</v>
      </c>
      <c r="L638" t="str">
        <f>IFERROR(VLOOKUP(D638,Products!$A$2:$F$61,3,FALSE()),"")</f>
        <v>Grocery</v>
      </c>
      <c r="M638" t="str">
        <f>IFERROR(VLOOKUP(E638,Sales_Reps!$A$2:$C$31,3,FALSE()),"")</f>
        <v>North</v>
      </c>
      <c r="N638">
        <f>IFERROR(VLOOKUP(D638,Products!$A$2:$F$61,4,FALSE()),"")</f>
        <v>1182</v>
      </c>
      <c r="O638" t="str">
        <f>IFERROR(VLOOKUP(C638,Customers!$A$2:$F$301,5,FALSE()),"")</f>
        <v>Corporate</v>
      </c>
      <c r="P638">
        <f>IFERROR(VLOOKUP(C638,Customers!$A$2:$F$301,3,FALSE()),"")</f>
        <v>42</v>
      </c>
      <c r="Q638">
        <f t="shared" si="27"/>
        <v>0.50336134453781511</v>
      </c>
      <c r="R638">
        <f>IF(AND(COUNTIF($A$2:$A$2047,A638)&gt;1,COUNTIF($A$2:A638,A638)=1),1,0)</f>
        <v>0</v>
      </c>
      <c r="S638" t="b">
        <f>IFERROR(VLOOKUP(D638,Products!$A$2:$F$61,6,FALSE()),"")</f>
        <v>1</v>
      </c>
      <c r="T638" t="str">
        <f>IF(COUNTIF(Customers!$A$2:$A$301,C638)=0,"Missing","OK")</f>
        <v>OK</v>
      </c>
      <c r="U638" t="str">
        <f t="shared" si="28"/>
        <v>Pune</v>
      </c>
      <c r="V638">
        <f t="shared" si="29"/>
        <v>0</v>
      </c>
    </row>
    <row r="639" spans="1:22" ht="15" customHeight="1" x14ac:dyDescent="0.35">
      <c r="A639" s="3" t="s">
        <v>1036</v>
      </c>
      <c r="B639" s="4">
        <v>45598</v>
      </c>
      <c r="C639" s="3" t="s">
        <v>746</v>
      </c>
      <c r="D639" s="3" t="s">
        <v>142</v>
      </c>
      <c r="E639" s="3" t="s">
        <v>46</v>
      </c>
      <c r="F639" s="5">
        <v>1</v>
      </c>
      <c r="G639" s="5">
        <v>660</v>
      </c>
      <c r="H639" s="5">
        <v>2.5</v>
      </c>
      <c r="I639" s="5">
        <v>643.5</v>
      </c>
      <c r="J639" s="3" t="s">
        <v>26</v>
      </c>
      <c r="K639" s="3" t="s">
        <v>27</v>
      </c>
      <c r="L639" t="str">
        <f>IFERROR(VLOOKUP(D639,Products!$A$2:$F$61,3,FALSE()),"")</f>
        <v>Home</v>
      </c>
      <c r="M639" t="str">
        <f>IFERROR(VLOOKUP(E639,Sales_Reps!$A$2:$C$31,3,FALSE()),"")</f>
        <v>North</v>
      </c>
      <c r="N639">
        <f>IFERROR(VLOOKUP(D639,Products!$A$2:$F$61,4,FALSE()),"")</f>
        <v>329</v>
      </c>
      <c r="O639" t="str">
        <f>IFERROR(VLOOKUP(C639,Customers!$A$2:$F$301,5,FALSE()),"")</f>
        <v>Retail</v>
      </c>
      <c r="P639">
        <f>IFERROR(VLOOKUP(C639,Customers!$A$2:$F$301,3,FALSE()),"")</f>
        <v>36</v>
      </c>
      <c r="Q639">
        <f t="shared" si="27"/>
        <v>0.50151515151515147</v>
      </c>
      <c r="R639">
        <f>IF(AND(COUNTIF($A$2:$A$2047,A639)&gt;1,COUNTIF($A$2:A639,A639)=1),1,0)</f>
        <v>0</v>
      </c>
      <c r="S639" t="b">
        <f>IFERROR(VLOOKUP(D639,Products!$A$2:$F$61,6,FALSE()),"")</f>
        <v>1</v>
      </c>
      <c r="T639" t="str">
        <f>IF(COUNTIF(Customers!$A$2:$A$301,C639)=0,"Missing","OK")</f>
        <v>OK</v>
      </c>
      <c r="U639" t="str">
        <f t="shared" si="28"/>
        <v>Pune</v>
      </c>
      <c r="V639">
        <f t="shared" si="29"/>
        <v>0</v>
      </c>
    </row>
    <row r="640" spans="1:22" ht="15" customHeight="1" x14ac:dyDescent="0.35">
      <c r="A640" s="3" t="s">
        <v>1037</v>
      </c>
      <c r="B640" s="4">
        <v>45353</v>
      </c>
      <c r="C640" s="3" t="s">
        <v>709</v>
      </c>
      <c r="D640" s="3" t="s">
        <v>187</v>
      </c>
      <c r="E640" s="3" t="s">
        <v>131</v>
      </c>
      <c r="F640" s="5">
        <v>7</v>
      </c>
      <c r="G640" s="5">
        <v>3870</v>
      </c>
      <c r="H640" s="5">
        <v>20.3</v>
      </c>
      <c r="I640" s="5">
        <v>21590.73</v>
      </c>
      <c r="J640" s="3" t="s">
        <v>32</v>
      </c>
      <c r="K640" s="3" t="s">
        <v>27</v>
      </c>
      <c r="L640" t="str">
        <f>IFERROR(VLOOKUP(D640,Products!$A$2:$F$61,3,FALSE()),"")</f>
        <v>Electronics</v>
      </c>
      <c r="M640" t="str">
        <f>IFERROR(VLOOKUP(E640,Sales_Reps!$A$2:$C$31,3,FALSE()),"")</f>
        <v>East</v>
      </c>
      <c r="N640">
        <f>IFERROR(VLOOKUP(D640,Products!$A$2:$F$61,4,FALSE()),"")</f>
        <v>1559</v>
      </c>
      <c r="O640" t="str">
        <f>IFERROR(VLOOKUP(C640,Customers!$A$2:$F$301,5,FALSE()),"")</f>
        <v>Retail</v>
      </c>
      <c r="P640">
        <f>IFERROR(VLOOKUP(C640,Customers!$A$2:$F$301,3,FALSE()),"")</f>
        <v>35</v>
      </c>
      <c r="Q640">
        <f t="shared" si="27"/>
        <v>0.59715762273901807</v>
      </c>
      <c r="R640">
        <f>IF(AND(COUNTIF($A$2:$A$2047,A640)&gt;1,COUNTIF($A$2:A640,A640)=1),1,0)</f>
        <v>0</v>
      </c>
      <c r="S640" t="b">
        <f>IFERROR(VLOOKUP(D640,Products!$A$2:$F$61,6,FALSE()),"")</f>
        <v>1</v>
      </c>
      <c r="T640" t="str">
        <f>IF(COUNTIF(Customers!$A$2:$A$301,C640)=0,"Missing","OK")</f>
        <v>OK</v>
      </c>
      <c r="U640" t="str">
        <f t="shared" si="28"/>
        <v>Pune</v>
      </c>
      <c r="V640">
        <f t="shared" si="29"/>
        <v>0</v>
      </c>
    </row>
    <row r="641" spans="1:22" ht="15" customHeight="1" x14ac:dyDescent="0.35">
      <c r="A641" s="3" t="s">
        <v>1038</v>
      </c>
      <c r="B641" s="4">
        <v>45542</v>
      </c>
      <c r="C641" s="3" t="s">
        <v>193</v>
      </c>
      <c r="D641" s="3" t="s">
        <v>49</v>
      </c>
      <c r="E641" s="3" t="s">
        <v>285</v>
      </c>
      <c r="F641" s="5">
        <v>10</v>
      </c>
      <c r="G641" s="5">
        <v>370</v>
      </c>
      <c r="H641" s="5">
        <v>1.3</v>
      </c>
      <c r="I641" s="5">
        <v>3651.9</v>
      </c>
      <c r="J641" s="3" t="s">
        <v>83</v>
      </c>
      <c r="K641" s="3" t="s">
        <v>33</v>
      </c>
      <c r="L641" t="str">
        <f>IFERROR(VLOOKUP(D641,Products!$A$2:$F$61,3,FALSE()),"")</f>
        <v>Home</v>
      </c>
      <c r="M641" t="str">
        <f>IFERROR(VLOOKUP(E641,Sales_Reps!$A$2:$C$31,3,FALSE()),"")</f>
        <v>South</v>
      </c>
      <c r="N641">
        <f>IFERROR(VLOOKUP(D641,Products!$A$2:$F$61,4,FALSE()),"")</f>
        <v>288</v>
      </c>
      <c r="O641" t="str">
        <f>IFERROR(VLOOKUP(C641,Customers!$A$2:$F$301,5,FALSE()),"")</f>
        <v>Retail</v>
      </c>
      <c r="P641">
        <f>IFERROR(VLOOKUP(C641,Customers!$A$2:$F$301,3,FALSE()),"")</f>
        <v>24</v>
      </c>
      <c r="Q641">
        <f t="shared" si="27"/>
        <v>0.22162162162162163</v>
      </c>
      <c r="R641">
        <f>IF(AND(COUNTIF($A$2:$A$2047,A641)&gt;1,COUNTIF($A$2:A641,A641)=1),1,0)</f>
        <v>0</v>
      </c>
      <c r="S641" t="b">
        <f>IFERROR(VLOOKUP(D641,Products!$A$2:$F$61,6,FALSE()),"")</f>
        <v>1</v>
      </c>
      <c r="T641" t="str">
        <f>IF(COUNTIF(Customers!$A$2:$A$301,C641)=0,"Missing","OK")</f>
        <v>OK</v>
      </c>
      <c r="U641" t="str">
        <f t="shared" si="28"/>
        <v>Chennai</v>
      </c>
      <c r="V641">
        <f t="shared" si="29"/>
        <v>0</v>
      </c>
    </row>
    <row r="642" spans="1:22" ht="15" customHeight="1" x14ac:dyDescent="0.35">
      <c r="A642" s="3" t="s">
        <v>1039</v>
      </c>
      <c r="B642" s="4">
        <v>45365</v>
      </c>
      <c r="C642" s="3" t="s">
        <v>145</v>
      </c>
      <c r="D642" s="3" t="s">
        <v>24</v>
      </c>
      <c r="E642" s="3" t="s">
        <v>242</v>
      </c>
      <c r="F642" s="5">
        <v>1</v>
      </c>
      <c r="G642" s="5">
        <v>3620</v>
      </c>
      <c r="H642" s="5">
        <v>1.4</v>
      </c>
      <c r="I642" s="5">
        <v>3569.32</v>
      </c>
      <c r="J642" s="3" t="s">
        <v>26</v>
      </c>
      <c r="K642" s="3" t="s">
        <v>72</v>
      </c>
      <c r="L642" t="str">
        <f>IFERROR(VLOOKUP(D642,Products!$A$2:$F$61,3,FALSE()),"")</f>
        <v>Apparel</v>
      </c>
      <c r="M642" t="str">
        <f>IFERROR(VLOOKUP(E642,Sales_Reps!$A$2:$C$31,3,FALSE()),"")</f>
        <v>East</v>
      </c>
      <c r="N642">
        <f>IFERROR(VLOOKUP(D642,Products!$A$2:$F$61,4,FALSE()),"")</f>
        <v>2509</v>
      </c>
      <c r="O642" t="str">
        <f>IFERROR(VLOOKUP(C642,Customers!$A$2:$F$301,5,FALSE()),"")</f>
        <v>SMB</v>
      </c>
      <c r="P642">
        <f>IFERROR(VLOOKUP(C642,Customers!$A$2:$F$301,3,FALSE()),"")</f>
        <v>40</v>
      </c>
      <c r="Q642">
        <f t="shared" ref="Q642:Q705" si="30">IFERROR((G642-N642)/G642,"")</f>
        <v>0.3069060773480663</v>
      </c>
      <c r="R642">
        <f>IF(AND(COUNTIF($A$2:$A$2047,A642)&gt;1,COUNTIF($A$2:A642,A642)=1),1,0)</f>
        <v>0</v>
      </c>
      <c r="S642" t="b">
        <f>IFERROR(VLOOKUP(D642,Products!$A$2:$F$61,6,FALSE()),"")</f>
        <v>1</v>
      </c>
      <c r="T642" t="str">
        <f>IF(COUNTIF(Customers!$A$2:$A$301,C642)=0,"Missing","OK")</f>
        <v>OK</v>
      </c>
      <c r="U642" t="str">
        <f t="shared" ref="U642:U705" si="31">IF(K642="","",PROPER(TRIM(K642)))</f>
        <v>Hyderabad</v>
      </c>
      <c r="V642">
        <f t="shared" ref="V642:V705" si="32">IF(AND(U642="Bengaluru",L642="Grocery"),I642,0)</f>
        <v>0</v>
      </c>
    </row>
    <row r="643" spans="1:22" ht="15" customHeight="1" x14ac:dyDescent="0.35">
      <c r="A643" s="3" t="s">
        <v>1040</v>
      </c>
      <c r="B643" s="4">
        <v>45574</v>
      </c>
      <c r="C643" s="3" t="s">
        <v>368</v>
      </c>
      <c r="D643" s="3" t="s">
        <v>218</v>
      </c>
      <c r="E643" s="3" t="s">
        <v>31</v>
      </c>
      <c r="F643" s="5">
        <v>10</v>
      </c>
      <c r="G643" s="5">
        <v>2660</v>
      </c>
      <c r="H643" s="5">
        <v>20.2</v>
      </c>
      <c r="I643" s="5">
        <v>21226.799999999999</v>
      </c>
      <c r="J643" s="3" t="s">
        <v>26</v>
      </c>
      <c r="K643" s="3" t="s">
        <v>56</v>
      </c>
      <c r="L643" t="str">
        <f>IFERROR(VLOOKUP(D643,Products!$A$2:$F$61,3,FALSE()),"")</f>
        <v>Electronics</v>
      </c>
      <c r="M643" t="str">
        <f>IFERROR(VLOOKUP(E643,Sales_Reps!$A$2:$C$31,3,FALSE()),"")</f>
        <v>North</v>
      </c>
      <c r="N643">
        <f>IFERROR(VLOOKUP(D643,Products!$A$2:$F$61,4,FALSE()),"")</f>
        <v>1259</v>
      </c>
      <c r="O643" t="str">
        <f>IFERROR(VLOOKUP(C643,Customers!$A$2:$F$301,5,FALSE()),"")</f>
        <v>Retail</v>
      </c>
      <c r="P643">
        <f>IFERROR(VLOOKUP(C643,Customers!$A$2:$F$301,3,FALSE()),"")</f>
        <v>55</v>
      </c>
      <c r="Q643">
        <f t="shared" si="30"/>
        <v>0.52669172932330832</v>
      </c>
      <c r="R643">
        <f>IF(AND(COUNTIF($A$2:$A$2047,A643)&gt;1,COUNTIF($A$2:A643,A643)=1),1,0)</f>
        <v>0</v>
      </c>
      <c r="S643" t="b">
        <f>IFERROR(VLOOKUP(D643,Products!$A$2:$F$61,6,FALSE()),"")</f>
        <v>0</v>
      </c>
      <c r="T643" t="str">
        <f>IF(COUNTIF(Customers!$A$2:$A$301,C643)=0,"Missing","OK")</f>
        <v>OK</v>
      </c>
      <c r="U643" t="str">
        <f t="shared" si="31"/>
        <v>Bengaluru</v>
      </c>
      <c r="V643">
        <f t="shared" si="32"/>
        <v>0</v>
      </c>
    </row>
    <row r="644" spans="1:22" ht="15" customHeight="1" x14ac:dyDescent="0.35">
      <c r="A644" s="3" t="s">
        <v>1041</v>
      </c>
      <c r="B644" s="4">
        <v>45614</v>
      </c>
      <c r="C644" s="3" t="s">
        <v>205</v>
      </c>
      <c r="D644" s="3" t="s">
        <v>100</v>
      </c>
      <c r="E644" s="3" t="s">
        <v>127</v>
      </c>
      <c r="F644" s="5">
        <v>10</v>
      </c>
      <c r="G644" s="5">
        <v>3450</v>
      </c>
      <c r="H644" s="5">
        <v>25.1</v>
      </c>
      <c r="I644" s="5">
        <v>25840.5</v>
      </c>
      <c r="J644" s="3" t="s">
        <v>26</v>
      </c>
      <c r="K644" s="3" t="s">
        <v>38</v>
      </c>
      <c r="L644" t="str">
        <f>IFERROR(VLOOKUP(D644,Products!$A$2:$F$61,3,FALSE()),"")</f>
        <v>Sports</v>
      </c>
      <c r="M644" t="str">
        <f>IFERROR(VLOOKUP(E644,Sales_Reps!$A$2:$C$31,3,FALSE()),"")</f>
        <v>South</v>
      </c>
      <c r="N644">
        <f>IFERROR(VLOOKUP(D644,Products!$A$2:$F$61,4,FALSE()),"")</f>
        <v>2467</v>
      </c>
      <c r="O644" t="str">
        <f>IFERROR(VLOOKUP(C644,Customers!$A$2:$F$301,5,FALSE()),"")</f>
        <v>Corporate</v>
      </c>
      <c r="P644">
        <f>IFERROR(VLOOKUP(C644,Customers!$A$2:$F$301,3,FALSE()),"")</f>
        <v>55</v>
      </c>
      <c r="Q644">
        <f t="shared" si="30"/>
        <v>0.28492753623188405</v>
      </c>
      <c r="R644">
        <f>IF(AND(COUNTIF($A$2:$A$2047,A644)&gt;1,COUNTIF($A$2:A644,A644)=1),1,0)</f>
        <v>0</v>
      </c>
      <c r="S644" t="b">
        <f>IFERROR(VLOOKUP(D644,Products!$A$2:$F$61,6,FALSE()),"")</f>
        <v>1</v>
      </c>
      <c r="T644" t="str">
        <f>IF(COUNTIF(Customers!$A$2:$A$301,C644)=0,"Missing","OK")</f>
        <v>OK</v>
      </c>
      <c r="U644" t="str">
        <f t="shared" si="31"/>
        <v>Delhi</v>
      </c>
      <c r="V644">
        <f t="shared" si="32"/>
        <v>0</v>
      </c>
    </row>
    <row r="645" spans="1:22" ht="15" customHeight="1" x14ac:dyDescent="0.35">
      <c r="A645" s="3" t="s">
        <v>1042</v>
      </c>
      <c r="B645" s="4">
        <v>45629</v>
      </c>
      <c r="C645" s="3" t="s">
        <v>1043</v>
      </c>
      <c r="D645" s="3" t="s">
        <v>290</v>
      </c>
      <c r="E645" s="3" t="s">
        <v>191</v>
      </c>
      <c r="F645" s="5">
        <v>3</v>
      </c>
      <c r="G645" s="5">
        <v>4060</v>
      </c>
      <c r="H645" s="5">
        <v>2.5</v>
      </c>
      <c r="I645" s="5">
        <v>11875.5</v>
      </c>
      <c r="J645" s="3" t="s">
        <v>83</v>
      </c>
      <c r="K645" s="3" t="s">
        <v>56</v>
      </c>
      <c r="L645" t="str">
        <f>IFERROR(VLOOKUP(D645,Products!$A$2:$F$61,3,FALSE()),"")</f>
        <v>Grocery</v>
      </c>
      <c r="M645" t="str">
        <f>IFERROR(VLOOKUP(E645,Sales_Reps!$A$2:$C$31,3,FALSE()),"")</f>
        <v>South</v>
      </c>
      <c r="N645">
        <f>IFERROR(VLOOKUP(D645,Products!$A$2:$F$61,4,FALSE()),"")</f>
        <v>2911</v>
      </c>
      <c r="O645" t="str">
        <f>IFERROR(VLOOKUP(C645,Customers!$A$2:$F$301,5,FALSE()),"")</f>
        <v>Corporate</v>
      </c>
      <c r="P645">
        <f>IFERROR(VLOOKUP(C645,Customers!$A$2:$F$301,3,FALSE()),"")</f>
        <v>31</v>
      </c>
      <c r="Q645">
        <f t="shared" si="30"/>
        <v>0.28300492610837441</v>
      </c>
      <c r="R645">
        <f>IF(AND(COUNTIF($A$2:$A$2047,A645)&gt;1,COUNTIF($A$2:A645,A645)=1),1,0)</f>
        <v>0</v>
      </c>
      <c r="S645" t="b">
        <f>IFERROR(VLOOKUP(D645,Products!$A$2:$F$61,6,FALSE()),"")</f>
        <v>1</v>
      </c>
      <c r="T645" t="str">
        <f>IF(COUNTIF(Customers!$A$2:$A$301,C645)=0,"Missing","OK")</f>
        <v>OK</v>
      </c>
      <c r="U645" t="str">
        <f t="shared" si="31"/>
        <v>Bengaluru</v>
      </c>
      <c r="V645">
        <f t="shared" si="32"/>
        <v>11875.5</v>
      </c>
    </row>
    <row r="646" spans="1:22" ht="15" customHeight="1" x14ac:dyDescent="0.35">
      <c r="A646" s="3" t="s">
        <v>1044</v>
      </c>
      <c r="B646" s="4">
        <v>45294</v>
      </c>
      <c r="C646" s="3" t="s">
        <v>117</v>
      </c>
      <c r="D646" s="3" t="s">
        <v>54</v>
      </c>
      <c r="E646" s="3" t="s">
        <v>97</v>
      </c>
      <c r="F646" s="5">
        <v>3</v>
      </c>
      <c r="G646" s="5">
        <v>960</v>
      </c>
      <c r="H646" s="5">
        <v>6.6</v>
      </c>
      <c r="I646" s="5">
        <v>2689.92</v>
      </c>
      <c r="J646" s="3" t="s">
        <v>79</v>
      </c>
      <c r="K646" s="3" t="s">
        <v>33</v>
      </c>
      <c r="L646" t="str">
        <f>IFERROR(VLOOKUP(D646,Products!$A$2:$F$61,3,FALSE()),"")</f>
        <v>Sports</v>
      </c>
      <c r="M646" t="str">
        <f>IFERROR(VLOOKUP(E646,Sales_Reps!$A$2:$C$31,3,FALSE()),"")</f>
        <v>East</v>
      </c>
      <c r="N646">
        <f>IFERROR(VLOOKUP(D646,Products!$A$2:$F$61,4,FALSE()),"")</f>
        <v>705</v>
      </c>
      <c r="O646" t="str">
        <f>IFERROR(VLOOKUP(C646,Customers!$A$2:$F$301,5,FALSE()),"")</f>
        <v>Corporate</v>
      </c>
      <c r="P646">
        <f>IFERROR(VLOOKUP(C646,Customers!$A$2:$F$301,3,FALSE()),"")</f>
        <v>55</v>
      </c>
      <c r="Q646">
        <f t="shared" si="30"/>
        <v>0.265625</v>
      </c>
      <c r="R646">
        <f>IF(AND(COUNTIF($A$2:$A$2047,A646)&gt;1,COUNTIF($A$2:A646,A646)=1),1,0)</f>
        <v>0</v>
      </c>
      <c r="S646" t="b">
        <f>IFERROR(VLOOKUP(D646,Products!$A$2:$F$61,6,FALSE()),"")</f>
        <v>1</v>
      </c>
      <c r="T646" t="str">
        <f>IF(COUNTIF(Customers!$A$2:$A$301,C646)=0,"Missing","OK")</f>
        <v>OK</v>
      </c>
      <c r="U646" t="str">
        <f t="shared" si="31"/>
        <v>Chennai</v>
      </c>
      <c r="V646">
        <f t="shared" si="32"/>
        <v>0</v>
      </c>
    </row>
    <row r="647" spans="1:22" ht="15" customHeight="1" x14ac:dyDescent="0.35">
      <c r="A647" s="3" t="s">
        <v>1045</v>
      </c>
      <c r="B647" s="4">
        <v>45418</v>
      </c>
      <c r="C647" s="3" t="s">
        <v>500</v>
      </c>
      <c r="D647" s="3" t="s">
        <v>218</v>
      </c>
      <c r="E647" s="3" t="s">
        <v>46</v>
      </c>
      <c r="F647" s="5">
        <v>4</v>
      </c>
      <c r="G647" s="5">
        <v>2660</v>
      </c>
      <c r="H647" s="5">
        <v>16.899999999999999</v>
      </c>
      <c r="I647" s="5">
        <v>8841.84</v>
      </c>
      <c r="J647" s="3" t="s">
        <v>26</v>
      </c>
      <c r="K647" s="3" t="s">
        <v>72</v>
      </c>
      <c r="L647" t="str">
        <f>IFERROR(VLOOKUP(D647,Products!$A$2:$F$61,3,FALSE()),"")</f>
        <v>Electronics</v>
      </c>
      <c r="M647" t="str">
        <f>IFERROR(VLOOKUP(E647,Sales_Reps!$A$2:$C$31,3,FALSE()),"")</f>
        <v>North</v>
      </c>
      <c r="N647">
        <f>IFERROR(VLOOKUP(D647,Products!$A$2:$F$61,4,FALSE()),"")</f>
        <v>1259</v>
      </c>
      <c r="O647" t="str">
        <f>IFERROR(VLOOKUP(C647,Customers!$A$2:$F$301,5,FALSE()),"")</f>
        <v>SMB</v>
      </c>
      <c r="P647">
        <f>IFERROR(VLOOKUP(C647,Customers!$A$2:$F$301,3,FALSE()),"")</f>
        <v>43</v>
      </c>
      <c r="Q647">
        <f t="shared" si="30"/>
        <v>0.52669172932330832</v>
      </c>
      <c r="R647">
        <f>IF(AND(COUNTIF($A$2:$A$2047,A647)&gt;1,COUNTIF($A$2:A647,A647)=1),1,0)</f>
        <v>0</v>
      </c>
      <c r="S647" t="b">
        <f>IFERROR(VLOOKUP(D647,Products!$A$2:$F$61,6,FALSE()),"")</f>
        <v>0</v>
      </c>
      <c r="T647" t="str">
        <f>IF(COUNTIF(Customers!$A$2:$A$301,C647)=0,"Missing","OK")</f>
        <v>OK</v>
      </c>
      <c r="U647" t="str">
        <f t="shared" si="31"/>
        <v>Hyderabad</v>
      </c>
      <c r="V647">
        <f t="shared" si="32"/>
        <v>0</v>
      </c>
    </row>
    <row r="648" spans="1:22" ht="15" customHeight="1" x14ac:dyDescent="0.35">
      <c r="A648" s="3" t="s">
        <v>1046</v>
      </c>
      <c r="B648" s="4">
        <v>45369</v>
      </c>
      <c r="C648" s="3" t="s">
        <v>440</v>
      </c>
      <c r="D648" s="3" t="s">
        <v>70</v>
      </c>
      <c r="E648" s="3" t="s">
        <v>242</v>
      </c>
      <c r="F648" s="5">
        <v>6</v>
      </c>
      <c r="G648" s="5">
        <v>2270</v>
      </c>
      <c r="H648" s="5">
        <v>16.7</v>
      </c>
      <c r="I648" s="5">
        <v>11345.46</v>
      </c>
      <c r="J648" s="3" t="s">
        <v>26</v>
      </c>
      <c r="K648" s="3" t="s">
        <v>72</v>
      </c>
      <c r="L648" t="str">
        <f>IFERROR(VLOOKUP(D648,Products!$A$2:$F$61,3,FALSE()),"")</f>
        <v>Grocery</v>
      </c>
      <c r="M648" t="str">
        <f>IFERROR(VLOOKUP(E648,Sales_Reps!$A$2:$C$31,3,FALSE()),"")</f>
        <v>East</v>
      </c>
      <c r="N648">
        <f>IFERROR(VLOOKUP(D648,Products!$A$2:$F$61,4,FALSE()),"")</f>
        <v>1203</v>
      </c>
      <c r="O648" t="str">
        <f>IFERROR(VLOOKUP(C648,Customers!$A$2:$F$301,5,FALSE()),"")</f>
        <v>SMB</v>
      </c>
      <c r="P648">
        <f>IFERROR(VLOOKUP(C648,Customers!$A$2:$F$301,3,FALSE()),"")</f>
        <v>65</v>
      </c>
      <c r="Q648">
        <f t="shared" si="30"/>
        <v>0.47004405286343615</v>
      </c>
      <c r="R648">
        <f>IF(AND(COUNTIF($A$2:$A$2047,A648)&gt;1,COUNTIF($A$2:A648,A648)=1),1,0)</f>
        <v>0</v>
      </c>
      <c r="S648" t="b">
        <f>IFERROR(VLOOKUP(D648,Products!$A$2:$F$61,6,FALSE()),"")</f>
        <v>1</v>
      </c>
      <c r="T648" t="str">
        <f>IF(COUNTIF(Customers!$A$2:$A$301,C648)=0,"Missing","OK")</f>
        <v>OK</v>
      </c>
      <c r="U648" t="str">
        <f t="shared" si="31"/>
        <v>Hyderabad</v>
      </c>
      <c r="V648">
        <f t="shared" si="32"/>
        <v>0</v>
      </c>
    </row>
    <row r="649" spans="1:22" ht="15" customHeight="1" x14ac:dyDescent="0.35">
      <c r="A649" s="3" t="s">
        <v>1047</v>
      </c>
      <c r="B649" s="4">
        <v>45549</v>
      </c>
      <c r="C649" s="3" t="s">
        <v>333</v>
      </c>
      <c r="D649" s="3" t="s">
        <v>173</v>
      </c>
      <c r="E649" s="3" t="s">
        <v>50</v>
      </c>
      <c r="F649" s="5">
        <v>5</v>
      </c>
      <c r="G649" s="5">
        <v>3780</v>
      </c>
      <c r="H649" s="5">
        <v>21.5</v>
      </c>
      <c r="I649" s="5">
        <v>14836.5</v>
      </c>
      <c r="J649" s="3" t="s">
        <v>26</v>
      </c>
      <c r="K649" s="3" t="s">
        <v>56</v>
      </c>
      <c r="L649" t="str">
        <f>IFERROR(VLOOKUP(D649,Products!$A$2:$F$61,3,FALSE()),"")</f>
        <v>Grocery</v>
      </c>
      <c r="M649" t="str">
        <f>IFERROR(VLOOKUP(E649,Sales_Reps!$A$2:$C$31,3,FALSE()),"")</f>
        <v>West</v>
      </c>
      <c r="N649">
        <f>IFERROR(VLOOKUP(D649,Products!$A$2:$F$61,4,FALSE()),"")</f>
        <v>2436</v>
      </c>
      <c r="O649" t="str">
        <f>IFERROR(VLOOKUP(C649,Customers!$A$2:$F$301,5,FALSE()),"")</f>
        <v>SMB</v>
      </c>
      <c r="P649">
        <f>IFERROR(VLOOKUP(C649,Customers!$A$2:$F$301,3,FALSE()),"")</f>
        <v>28</v>
      </c>
      <c r="Q649">
        <f t="shared" si="30"/>
        <v>0.35555555555555557</v>
      </c>
      <c r="R649">
        <f>IF(AND(COUNTIF($A$2:$A$2047,A649)&gt;1,COUNTIF($A$2:A649,A649)=1),1,0)</f>
        <v>0</v>
      </c>
      <c r="S649" t="b">
        <f>IFERROR(VLOOKUP(D649,Products!$A$2:$F$61,6,FALSE()),"")</f>
        <v>1</v>
      </c>
      <c r="T649" t="str">
        <f>IF(COUNTIF(Customers!$A$2:$A$301,C649)=0,"Missing","OK")</f>
        <v>OK</v>
      </c>
      <c r="U649" t="str">
        <f t="shared" si="31"/>
        <v>Bengaluru</v>
      </c>
      <c r="V649">
        <f t="shared" si="32"/>
        <v>14836.5</v>
      </c>
    </row>
    <row r="650" spans="1:22" ht="15" customHeight="1" x14ac:dyDescent="0.35">
      <c r="A650" s="3" t="s">
        <v>1048</v>
      </c>
      <c r="B650" s="4">
        <v>45505</v>
      </c>
      <c r="C650" s="3" t="s">
        <v>849</v>
      </c>
      <c r="D650" s="3" t="s">
        <v>142</v>
      </c>
      <c r="E650" s="3" t="s">
        <v>60</v>
      </c>
      <c r="F650" s="5">
        <v>10</v>
      </c>
      <c r="G650" s="5">
        <v>660</v>
      </c>
      <c r="H650" s="5">
        <v>18.8</v>
      </c>
      <c r="I650" s="5">
        <v>5359.2</v>
      </c>
      <c r="J650" s="3" t="s">
        <v>26</v>
      </c>
      <c r="K650" s="3" t="s">
        <v>38</v>
      </c>
      <c r="L650" t="str">
        <f>IFERROR(VLOOKUP(D650,Products!$A$2:$F$61,3,FALSE()),"")</f>
        <v>Home</v>
      </c>
      <c r="M650" t="str">
        <f>IFERROR(VLOOKUP(E650,Sales_Reps!$A$2:$C$31,3,FALSE()),"")</f>
        <v>East</v>
      </c>
      <c r="N650">
        <f>IFERROR(VLOOKUP(D650,Products!$A$2:$F$61,4,FALSE()),"")</f>
        <v>329</v>
      </c>
      <c r="O650" t="str">
        <f>IFERROR(VLOOKUP(C650,Customers!$A$2:$F$301,5,FALSE()),"")</f>
        <v>Retail</v>
      </c>
      <c r="P650">
        <f>IFERROR(VLOOKUP(C650,Customers!$A$2:$F$301,3,FALSE()),"")</f>
        <v>55</v>
      </c>
      <c r="Q650">
        <f t="shared" si="30"/>
        <v>0.50151515151515147</v>
      </c>
      <c r="R650">
        <f>IF(AND(COUNTIF($A$2:$A$2047,A650)&gt;1,COUNTIF($A$2:A650,A650)=1),1,0)</f>
        <v>0</v>
      </c>
      <c r="S650" t="b">
        <f>IFERROR(VLOOKUP(D650,Products!$A$2:$F$61,6,FALSE()),"")</f>
        <v>1</v>
      </c>
      <c r="T650" t="str">
        <f>IF(COUNTIF(Customers!$A$2:$A$301,C650)=0,"Missing","OK")</f>
        <v>OK</v>
      </c>
      <c r="U650" t="str">
        <f t="shared" si="31"/>
        <v>Delhi</v>
      </c>
      <c r="V650">
        <f t="shared" si="32"/>
        <v>0</v>
      </c>
    </row>
    <row r="651" spans="1:22" ht="15" customHeight="1" x14ac:dyDescent="0.35">
      <c r="A651" s="3" t="s">
        <v>1049</v>
      </c>
      <c r="B651" s="4">
        <v>45413</v>
      </c>
      <c r="C651" s="3" t="s">
        <v>547</v>
      </c>
      <c r="D651" s="3" t="s">
        <v>165</v>
      </c>
      <c r="E651" s="3" t="s">
        <v>55</v>
      </c>
      <c r="F651" s="5">
        <v>10</v>
      </c>
      <c r="G651" s="5">
        <v>3730</v>
      </c>
      <c r="H651" s="5">
        <v>15.1</v>
      </c>
      <c r="I651" s="5">
        <v>31667.7</v>
      </c>
      <c r="J651" s="3" t="s">
        <v>26</v>
      </c>
      <c r="K651" s="3" t="s">
        <v>27</v>
      </c>
      <c r="L651" t="str">
        <f>IFERROR(VLOOKUP(D651,Products!$A$2:$F$61,3,FALSE()),"")</f>
        <v>Home</v>
      </c>
      <c r="M651" t="str">
        <f>IFERROR(VLOOKUP(E651,Sales_Reps!$A$2:$C$31,3,FALSE()),"")</f>
        <v>West</v>
      </c>
      <c r="N651">
        <f>IFERROR(VLOOKUP(D651,Products!$A$2:$F$61,4,FALSE()),"")</f>
        <v>2135</v>
      </c>
      <c r="O651" t="str">
        <f>IFERROR(VLOOKUP(C651,Customers!$A$2:$F$301,5,FALSE()),"")</f>
        <v>Corporate</v>
      </c>
      <c r="P651">
        <f>IFERROR(VLOOKUP(C651,Customers!$A$2:$F$301,3,FALSE()),"")</f>
        <v>40</v>
      </c>
      <c r="Q651">
        <f t="shared" si="30"/>
        <v>0.42761394101876676</v>
      </c>
      <c r="R651">
        <f>IF(AND(COUNTIF($A$2:$A$2047,A651)&gt;1,COUNTIF($A$2:A651,A651)=1),1,0)</f>
        <v>0</v>
      </c>
      <c r="S651" t="b">
        <f>IFERROR(VLOOKUP(D651,Products!$A$2:$F$61,6,FALSE()),"")</f>
        <v>1</v>
      </c>
      <c r="T651" t="str">
        <f>IF(COUNTIF(Customers!$A$2:$A$301,C651)=0,"Missing","OK")</f>
        <v>OK</v>
      </c>
      <c r="U651" t="str">
        <f t="shared" si="31"/>
        <v>Pune</v>
      </c>
      <c r="V651">
        <f t="shared" si="32"/>
        <v>0</v>
      </c>
    </row>
    <row r="652" spans="1:22" ht="15" customHeight="1" x14ac:dyDescent="0.35">
      <c r="A652" s="3" t="s">
        <v>1050</v>
      </c>
      <c r="B652" s="4">
        <v>45559</v>
      </c>
      <c r="C652" s="3" t="s">
        <v>76</v>
      </c>
      <c r="D652" s="3" t="s">
        <v>290</v>
      </c>
      <c r="E652" s="3" t="s">
        <v>97</v>
      </c>
      <c r="F652" s="5">
        <v>6</v>
      </c>
      <c r="G652" s="5">
        <v>4060</v>
      </c>
      <c r="H652" s="5">
        <v>20.100000000000001</v>
      </c>
      <c r="I652" s="5">
        <v>19463.64</v>
      </c>
      <c r="J652" s="3" t="s">
        <v>32</v>
      </c>
      <c r="K652" s="3" t="s">
        <v>1051</v>
      </c>
      <c r="L652" t="str">
        <f>IFERROR(VLOOKUP(D652,Products!$A$2:$F$61,3,FALSE()),"")</f>
        <v>Grocery</v>
      </c>
      <c r="M652" t="str">
        <f>IFERROR(VLOOKUP(E652,Sales_Reps!$A$2:$C$31,3,FALSE()),"")</f>
        <v>East</v>
      </c>
      <c r="N652">
        <f>IFERROR(VLOOKUP(D652,Products!$A$2:$F$61,4,FALSE()),"")</f>
        <v>2911</v>
      </c>
      <c r="O652" t="str">
        <f>IFERROR(VLOOKUP(C652,Customers!$A$2:$F$301,5,FALSE()),"")</f>
        <v>SMB</v>
      </c>
      <c r="P652">
        <f>IFERROR(VLOOKUP(C652,Customers!$A$2:$F$301,3,FALSE()),"")</f>
        <v>27</v>
      </c>
      <c r="Q652">
        <f t="shared" si="30"/>
        <v>0.28300492610837441</v>
      </c>
      <c r="R652">
        <f>IF(AND(COUNTIF($A$2:$A$2047,A652)&gt;1,COUNTIF($A$2:A652,A652)=1),1,0)</f>
        <v>0</v>
      </c>
      <c r="S652" t="b">
        <f>IFERROR(VLOOKUP(D652,Products!$A$2:$F$61,6,FALSE()),"")</f>
        <v>1</v>
      </c>
      <c r="T652" t="str">
        <f>IF(COUNTIF(Customers!$A$2:$A$301,C652)=0,"Missing","OK")</f>
        <v>OK</v>
      </c>
      <c r="U652" t="str">
        <f t="shared" si="31"/>
        <v>Delhi</v>
      </c>
      <c r="V652">
        <f t="shared" si="32"/>
        <v>0</v>
      </c>
    </row>
    <row r="653" spans="1:22" ht="15" customHeight="1" x14ac:dyDescent="0.35">
      <c r="A653" s="3" t="s">
        <v>1052</v>
      </c>
      <c r="B653" s="4">
        <v>45525</v>
      </c>
      <c r="C653" s="3" t="s">
        <v>922</v>
      </c>
      <c r="D653" s="3" t="s">
        <v>70</v>
      </c>
      <c r="E653" s="3" t="s">
        <v>87</v>
      </c>
      <c r="F653" s="5">
        <v>2</v>
      </c>
      <c r="G653" s="5">
        <v>2270</v>
      </c>
      <c r="H653" s="5">
        <v>17.7</v>
      </c>
      <c r="I653" s="5">
        <v>3736.42</v>
      </c>
      <c r="J653" s="3" t="s">
        <v>26</v>
      </c>
      <c r="K653" s="3" t="s">
        <v>56</v>
      </c>
      <c r="L653" t="str">
        <f>IFERROR(VLOOKUP(D653,Products!$A$2:$F$61,3,FALSE()),"")</f>
        <v>Grocery</v>
      </c>
      <c r="M653" t="str">
        <f>IFERROR(VLOOKUP(E653,Sales_Reps!$A$2:$C$31,3,FALSE()),"")</f>
        <v>North</v>
      </c>
      <c r="N653">
        <f>IFERROR(VLOOKUP(D653,Products!$A$2:$F$61,4,FALSE()),"")</f>
        <v>1203</v>
      </c>
      <c r="O653" t="str">
        <f>IFERROR(VLOOKUP(C653,Customers!$A$2:$F$301,5,FALSE()),"")</f>
        <v>SMB</v>
      </c>
      <c r="P653">
        <f>IFERROR(VLOOKUP(C653,Customers!$A$2:$F$301,3,FALSE()),"")</f>
        <v>36</v>
      </c>
      <c r="Q653">
        <f t="shared" si="30"/>
        <v>0.47004405286343615</v>
      </c>
      <c r="R653">
        <f>IF(AND(COUNTIF($A$2:$A$2047,A653)&gt;1,COUNTIF($A$2:A653,A653)=1),1,0)</f>
        <v>0</v>
      </c>
      <c r="S653" t="b">
        <f>IFERROR(VLOOKUP(D653,Products!$A$2:$F$61,6,FALSE()),"")</f>
        <v>1</v>
      </c>
      <c r="T653" t="str">
        <f>IF(COUNTIF(Customers!$A$2:$A$301,C653)=0,"Missing","OK")</f>
        <v>OK</v>
      </c>
      <c r="U653" t="str">
        <f t="shared" si="31"/>
        <v>Bengaluru</v>
      </c>
      <c r="V653">
        <f t="shared" si="32"/>
        <v>3736.42</v>
      </c>
    </row>
    <row r="654" spans="1:22" ht="15" customHeight="1" x14ac:dyDescent="0.35">
      <c r="A654" s="3" t="s">
        <v>1053</v>
      </c>
      <c r="B654" s="4">
        <v>45610</v>
      </c>
      <c r="C654" s="3" t="s">
        <v>476</v>
      </c>
      <c r="D654" s="3" t="s">
        <v>126</v>
      </c>
      <c r="E654" s="3" t="s">
        <v>67</v>
      </c>
      <c r="F654" s="5">
        <v>9</v>
      </c>
      <c r="G654" s="5">
        <v>3570</v>
      </c>
      <c r="H654" s="5">
        <v>29.9</v>
      </c>
      <c r="I654" s="5">
        <v>22523.13</v>
      </c>
      <c r="J654" s="3" t="s">
        <v>26</v>
      </c>
      <c r="K654" s="3" t="s">
        <v>72</v>
      </c>
      <c r="L654" t="str">
        <f>IFERROR(VLOOKUP(D654,Products!$A$2:$F$61,3,FALSE()),"")</f>
        <v>Electronics</v>
      </c>
      <c r="M654" t="str">
        <f>IFERROR(VLOOKUP(E654,Sales_Reps!$A$2:$C$31,3,FALSE()),"")</f>
        <v>West</v>
      </c>
      <c r="N654">
        <f>IFERROR(VLOOKUP(D654,Products!$A$2:$F$61,4,FALSE()),"")</f>
        <v>1665</v>
      </c>
      <c r="O654" t="str">
        <f>IFERROR(VLOOKUP(C654,Customers!$A$2:$F$301,5,FALSE()),"")</f>
        <v>SMB</v>
      </c>
      <c r="P654">
        <f>IFERROR(VLOOKUP(C654,Customers!$A$2:$F$301,3,FALSE()),"")</f>
        <v>48</v>
      </c>
      <c r="Q654">
        <f t="shared" si="30"/>
        <v>0.53361344537815125</v>
      </c>
      <c r="R654">
        <f>IF(AND(COUNTIF($A$2:$A$2047,A654)&gt;1,COUNTIF($A$2:A654,A654)=1),1,0)</f>
        <v>0</v>
      </c>
      <c r="S654" t="b">
        <f>IFERROR(VLOOKUP(D654,Products!$A$2:$F$61,6,FALSE()),"")</f>
        <v>1</v>
      </c>
      <c r="T654" t="str">
        <f>IF(COUNTIF(Customers!$A$2:$A$301,C654)=0,"Missing","OK")</f>
        <v>OK</v>
      </c>
      <c r="U654" t="str">
        <f t="shared" si="31"/>
        <v>Hyderabad</v>
      </c>
      <c r="V654">
        <f t="shared" si="32"/>
        <v>0</v>
      </c>
    </row>
    <row r="655" spans="1:22" ht="15" customHeight="1" x14ac:dyDescent="0.35">
      <c r="A655" s="3" t="s">
        <v>1054</v>
      </c>
      <c r="B655" s="4">
        <v>45521</v>
      </c>
      <c r="C655" s="3" t="s">
        <v>767</v>
      </c>
      <c r="D655" s="3" t="s">
        <v>277</v>
      </c>
      <c r="E655" s="3" t="s">
        <v>78</v>
      </c>
      <c r="F655" s="5">
        <v>7</v>
      </c>
      <c r="G655" s="5">
        <v>2210</v>
      </c>
      <c r="H655" s="5">
        <v>25</v>
      </c>
      <c r="I655" s="5">
        <v>11602.5</v>
      </c>
      <c r="J655" s="3" t="s">
        <v>26</v>
      </c>
      <c r="K655" s="3" t="s">
        <v>72</v>
      </c>
      <c r="L655" t="str">
        <f>IFERROR(VLOOKUP(D655,Products!$A$2:$F$61,3,FALSE()),"")</f>
        <v>Grocery</v>
      </c>
      <c r="M655" t="str">
        <f>IFERROR(VLOOKUP(E655,Sales_Reps!$A$2:$C$31,3,FALSE()),"")</f>
        <v>North</v>
      </c>
      <c r="N655">
        <f>IFERROR(VLOOKUP(D655,Products!$A$2:$F$61,4,FALSE()),"")</f>
        <v>1010</v>
      </c>
      <c r="O655" t="str">
        <f>IFERROR(VLOOKUP(C655,Customers!$A$2:$F$301,5,FALSE()),"")</f>
        <v>Retail</v>
      </c>
      <c r="P655">
        <f>IFERROR(VLOOKUP(C655,Customers!$A$2:$F$301,3,FALSE()),"")</f>
        <v>52</v>
      </c>
      <c r="Q655">
        <f t="shared" si="30"/>
        <v>0.54298642533936647</v>
      </c>
      <c r="R655">
        <f>IF(AND(COUNTIF($A$2:$A$2047,A655)&gt;1,COUNTIF($A$2:A655,A655)=1),1,0)</f>
        <v>0</v>
      </c>
      <c r="S655" t="b">
        <f>IFERROR(VLOOKUP(D655,Products!$A$2:$F$61,6,FALSE()),"")</f>
        <v>1</v>
      </c>
      <c r="T655" t="str">
        <f>IF(COUNTIF(Customers!$A$2:$A$301,C655)=0,"Missing","OK")</f>
        <v>OK</v>
      </c>
      <c r="U655" t="str">
        <f t="shared" si="31"/>
        <v>Hyderabad</v>
      </c>
      <c r="V655">
        <f t="shared" si="32"/>
        <v>0</v>
      </c>
    </row>
    <row r="656" spans="1:22" ht="15" customHeight="1" x14ac:dyDescent="0.35">
      <c r="A656" s="3" t="s">
        <v>1055</v>
      </c>
      <c r="B656" s="4">
        <v>45381</v>
      </c>
      <c r="C656" s="3" t="s">
        <v>844</v>
      </c>
      <c r="D656" s="3" t="s">
        <v>54</v>
      </c>
      <c r="E656" s="3" t="s">
        <v>140</v>
      </c>
      <c r="F656" s="5">
        <v>2</v>
      </c>
      <c r="G656" s="5">
        <v>960</v>
      </c>
      <c r="H656" s="5">
        <v>8.1999999999999993</v>
      </c>
      <c r="I656" s="5">
        <v>1762.56</v>
      </c>
      <c r="J656" s="3" t="s">
        <v>79</v>
      </c>
      <c r="K656" s="3" t="s">
        <v>51</v>
      </c>
      <c r="L656" t="str">
        <f>IFERROR(VLOOKUP(D656,Products!$A$2:$F$61,3,FALSE()),"")</f>
        <v>Sports</v>
      </c>
      <c r="M656" t="str">
        <f>IFERROR(VLOOKUP(E656,Sales_Reps!$A$2:$C$31,3,FALSE()),"")</f>
        <v>West</v>
      </c>
      <c r="N656">
        <f>IFERROR(VLOOKUP(D656,Products!$A$2:$F$61,4,FALSE()),"")</f>
        <v>705</v>
      </c>
      <c r="O656" t="str">
        <f>IFERROR(VLOOKUP(C656,Customers!$A$2:$F$301,5,FALSE()),"")</f>
        <v>SMB</v>
      </c>
      <c r="P656">
        <f>IFERROR(VLOOKUP(C656,Customers!$A$2:$F$301,3,FALSE()),"")</f>
        <v>43</v>
      </c>
      <c r="Q656">
        <f t="shared" si="30"/>
        <v>0.265625</v>
      </c>
      <c r="R656">
        <f>IF(AND(COUNTIF($A$2:$A$2047,A656)&gt;1,COUNTIF($A$2:A656,A656)=1),1,0)</f>
        <v>0</v>
      </c>
      <c r="S656" t="b">
        <f>IFERROR(VLOOKUP(D656,Products!$A$2:$F$61,6,FALSE()),"")</f>
        <v>1</v>
      </c>
      <c r="T656" t="str">
        <f>IF(COUNTIF(Customers!$A$2:$A$301,C656)=0,"Missing","OK")</f>
        <v>OK</v>
      </c>
      <c r="U656" t="str">
        <f t="shared" si="31"/>
        <v>Mumbai</v>
      </c>
      <c r="V656">
        <f t="shared" si="32"/>
        <v>0</v>
      </c>
    </row>
    <row r="657" spans="1:22" ht="15" customHeight="1" x14ac:dyDescent="0.35">
      <c r="A657" s="3" t="s">
        <v>1056</v>
      </c>
      <c r="B657" s="4">
        <v>45401</v>
      </c>
      <c r="C657" s="3" t="s">
        <v>567</v>
      </c>
      <c r="D657" s="3" t="s">
        <v>400</v>
      </c>
      <c r="E657" s="3" t="s">
        <v>140</v>
      </c>
      <c r="F657" s="5">
        <v>9</v>
      </c>
      <c r="G657" s="5">
        <v>3780</v>
      </c>
      <c r="H657" s="5">
        <v>28.4</v>
      </c>
      <c r="I657" s="5">
        <v>24358.32</v>
      </c>
      <c r="J657" s="3" t="s">
        <v>32</v>
      </c>
      <c r="K657" s="3" t="s">
        <v>72</v>
      </c>
      <c r="L657" t="str">
        <f>IFERROR(VLOOKUP(D657,Products!$A$2:$F$61,3,FALSE()),"")</f>
        <v>Sports</v>
      </c>
      <c r="M657" t="str">
        <f>IFERROR(VLOOKUP(E657,Sales_Reps!$A$2:$C$31,3,FALSE()),"")</f>
        <v>West</v>
      </c>
      <c r="N657">
        <f>IFERROR(VLOOKUP(D657,Products!$A$2:$F$61,4,FALSE()),"")</f>
        <v>1860</v>
      </c>
      <c r="O657" t="str">
        <f>IFERROR(VLOOKUP(C657,Customers!$A$2:$F$301,5,FALSE()),"")</f>
        <v>Corporate</v>
      </c>
      <c r="P657">
        <f>IFERROR(VLOOKUP(C657,Customers!$A$2:$F$301,3,FALSE()),"")</f>
        <v>22</v>
      </c>
      <c r="Q657">
        <f t="shared" si="30"/>
        <v>0.50793650793650791</v>
      </c>
      <c r="R657">
        <f>IF(AND(COUNTIF($A$2:$A$2047,A657)&gt;1,COUNTIF($A$2:A657,A657)=1),1,0)</f>
        <v>0</v>
      </c>
      <c r="S657" t="b">
        <f>IFERROR(VLOOKUP(D657,Products!$A$2:$F$61,6,FALSE()),"")</f>
        <v>1</v>
      </c>
      <c r="T657" t="str">
        <f>IF(COUNTIF(Customers!$A$2:$A$301,C657)=0,"Missing","OK")</f>
        <v>OK</v>
      </c>
      <c r="U657" t="str">
        <f t="shared" si="31"/>
        <v>Hyderabad</v>
      </c>
      <c r="V657">
        <f t="shared" si="32"/>
        <v>0</v>
      </c>
    </row>
    <row r="658" spans="1:22" ht="15" customHeight="1" x14ac:dyDescent="0.35">
      <c r="A658" s="3" t="s">
        <v>1057</v>
      </c>
      <c r="B658" s="4">
        <v>45581</v>
      </c>
      <c r="C658" s="3" t="s">
        <v>825</v>
      </c>
      <c r="D658" s="3" t="s">
        <v>130</v>
      </c>
      <c r="E658" s="3" t="s">
        <v>37</v>
      </c>
      <c r="F658" s="5">
        <v>2</v>
      </c>
      <c r="G658" s="5">
        <v>5100</v>
      </c>
      <c r="H658" s="5">
        <v>8.6</v>
      </c>
      <c r="I658" s="5">
        <v>9322.7999999999993</v>
      </c>
      <c r="J658" s="3" t="s">
        <v>26</v>
      </c>
      <c r="K658" s="3" t="s">
        <v>33</v>
      </c>
      <c r="L658" t="str">
        <f>IFERROR(VLOOKUP(D658,Products!$A$2:$F$61,3,FALSE()),"")</f>
        <v>Beauty</v>
      </c>
      <c r="M658" t="str">
        <f>IFERROR(VLOOKUP(E658,Sales_Reps!$A$2:$C$31,3,FALSE()),"")</f>
        <v>South</v>
      </c>
      <c r="N658">
        <f>IFERROR(VLOOKUP(D658,Products!$A$2:$F$61,4,FALSE()),"")</f>
        <v>2237</v>
      </c>
      <c r="O658" t="str">
        <f>IFERROR(VLOOKUP(C658,Customers!$A$2:$F$301,5,FALSE()),"")</f>
        <v>Corporate</v>
      </c>
      <c r="P658">
        <f>IFERROR(VLOOKUP(C658,Customers!$A$2:$F$301,3,FALSE()),"")</f>
        <v>44</v>
      </c>
      <c r="Q658">
        <f t="shared" si="30"/>
        <v>0.56137254901960787</v>
      </c>
      <c r="R658">
        <f>IF(AND(COUNTIF($A$2:$A$2047,A658)&gt;1,COUNTIF($A$2:A658,A658)=1),1,0)</f>
        <v>0</v>
      </c>
      <c r="S658" t="b">
        <f>IFERROR(VLOOKUP(D658,Products!$A$2:$F$61,6,FALSE()),"")</f>
        <v>1</v>
      </c>
      <c r="T658" t="str">
        <f>IF(COUNTIF(Customers!$A$2:$A$301,C658)=0,"Missing","OK")</f>
        <v>OK</v>
      </c>
      <c r="U658" t="str">
        <f t="shared" si="31"/>
        <v>Chennai</v>
      </c>
      <c r="V658">
        <f t="shared" si="32"/>
        <v>0</v>
      </c>
    </row>
    <row r="659" spans="1:22" ht="15" customHeight="1" x14ac:dyDescent="0.35">
      <c r="A659" s="3" t="s">
        <v>1058</v>
      </c>
      <c r="B659" s="4">
        <v>45414</v>
      </c>
      <c r="C659" s="3" t="s">
        <v>449</v>
      </c>
      <c r="D659" s="3" t="s">
        <v>106</v>
      </c>
      <c r="E659" s="3" t="s">
        <v>97</v>
      </c>
      <c r="F659" s="5">
        <v>4</v>
      </c>
      <c r="G659" s="5">
        <v>2480</v>
      </c>
      <c r="H659" s="5">
        <v>16.600000000000001</v>
      </c>
      <c r="I659" s="5">
        <v>8273.2800000000007</v>
      </c>
      <c r="J659" s="3" t="s">
        <v>26</v>
      </c>
      <c r="K659" s="3" t="s">
        <v>56</v>
      </c>
      <c r="L659" t="str">
        <f>IFERROR(VLOOKUP(D659,Products!$A$2:$F$61,3,FALSE()),"")</f>
        <v>Apparel</v>
      </c>
      <c r="M659" t="str">
        <f>IFERROR(VLOOKUP(E659,Sales_Reps!$A$2:$C$31,3,FALSE()),"")</f>
        <v>East</v>
      </c>
      <c r="N659">
        <f>IFERROR(VLOOKUP(D659,Products!$A$2:$F$61,4,FALSE()),"")</f>
        <v>1173</v>
      </c>
      <c r="O659" t="str">
        <f>IFERROR(VLOOKUP(C659,Customers!$A$2:$F$301,5,FALSE()),"")</f>
        <v>SMB</v>
      </c>
      <c r="P659">
        <f>IFERROR(VLOOKUP(C659,Customers!$A$2:$F$301,3,FALSE()),"")</f>
        <v>26</v>
      </c>
      <c r="Q659">
        <f t="shared" si="30"/>
        <v>0.52701612903225803</v>
      </c>
      <c r="R659">
        <f>IF(AND(COUNTIF($A$2:$A$2047,A659)&gt;1,COUNTIF($A$2:A659,A659)=1),1,0)</f>
        <v>0</v>
      </c>
      <c r="S659" t="b">
        <f>IFERROR(VLOOKUP(D659,Products!$A$2:$F$61,6,FALSE()),"")</f>
        <v>1</v>
      </c>
      <c r="T659" t="str">
        <f>IF(COUNTIF(Customers!$A$2:$A$301,C659)=0,"Missing","OK")</f>
        <v>OK</v>
      </c>
      <c r="U659" t="str">
        <f t="shared" si="31"/>
        <v>Bengaluru</v>
      </c>
      <c r="V659">
        <f t="shared" si="32"/>
        <v>0</v>
      </c>
    </row>
    <row r="660" spans="1:22" ht="15" customHeight="1" x14ac:dyDescent="0.35">
      <c r="A660" s="3" t="s">
        <v>1059</v>
      </c>
      <c r="B660" s="4">
        <v>45443</v>
      </c>
      <c r="C660" s="3" t="s">
        <v>1060</v>
      </c>
      <c r="D660" s="3" t="s">
        <v>103</v>
      </c>
      <c r="E660" s="3" t="s">
        <v>242</v>
      </c>
      <c r="F660" s="5">
        <v>10</v>
      </c>
      <c r="G660" s="5">
        <v>1080</v>
      </c>
      <c r="H660" s="5">
        <v>14.5</v>
      </c>
      <c r="I660" s="5">
        <v>9234</v>
      </c>
      <c r="J660" s="3" t="s">
        <v>26</v>
      </c>
      <c r="K660" s="3" t="s">
        <v>51</v>
      </c>
      <c r="L660" t="str">
        <f>IFERROR(VLOOKUP(D660,Products!$A$2:$F$61,3,FALSE()),"")</f>
        <v>Home</v>
      </c>
      <c r="M660" t="str">
        <f>IFERROR(VLOOKUP(E660,Sales_Reps!$A$2:$C$31,3,FALSE()),"")</f>
        <v>East</v>
      </c>
      <c r="N660">
        <f>IFERROR(VLOOKUP(D660,Products!$A$2:$F$61,4,FALSE()),"")</f>
        <v>519</v>
      </c>
      <c r="O660" t="str">
        <f>IFERROR(VLOOKUP(C660,Customers!$A$2:$F$301,5,FALSE()),"")</f>
        <v>Corporate</v>
      </c>
      <c r="P660">
        <f>IFERROR(VLOOKUP(C660,Customers!$A$2:$F$301,3,FALSE()),"")</f>
        <v>46</v>
      </c>
      <c r="Q660">
        <f t="shared" si="30"/>
        <v>0.51944444444444449</v>
      </c>
      <c r="R660">
        <f>IF(AND(COUNTIF($A$2:$A$2047,A660)&gt;1,COUNTIF($A$2:A660,A660)=1),1,0)</f>
        <v>0</v>
      </c>
      <c r="S660" t="b">
        <f>IFERROR(VLOOKUP(D660,Products!$A$2:$F$61,6,FALSE()),"")</f>
        <v>1</v>
      </c>
      <c r="T660" t="str">
        <f>IF(COUNTIF(Customers!$A$2:$A$301,C660)=0,"Missing","OK")</f>
        <v>OK</v>
      </c>
      <c r="U660" t="str">
        <f t="shared" si="31"/>
        <v>Mumbai</v>
      </c>
      <c r="V660">
        <f t="shared" si="32"/>
        <v>0</v>
      </c>
    </row>
    <row r="661" spans="1:22" ht="15" customHeight="1" x14ac:dyDescent="0.35">
      <c r="A661" s="3" t="s">
        <v>1061</v>
      </c>
      <c r="B661" s="4">
        <v>45377</v>
      </c>
      <c r="C661" s="3" t="s">
        <v>565</v>
      </c>
      <c r="D661" s="3" t="s">
        <v>77</v>
      </c>
      <c r="E661" s="3" t="s">
        <v>168</v>
      </c>
      <c r="F661" s="5">
        <v>7</v>
      </c>
      <c r="G661" s="5">
        <v>2600</v>
      </c>
      <c r="H661" s="5">
        <v>21</v>
      </c>
      <c r="I661" s="5">
        <v>14378</v>
      </c>
      <c r="J661" s="3" t="s">
        <v>26</v>
      </c>
      <c r="K661" s="3" t="s">
        <v>38</v>
      </c>
      <c r="L661" t="str">
        <f>IFERROR(VLOOKUP(D661,Products!$A$2:$F$61,3,FALSE()),"")</f>
        <v>Electronics</v>
      </c>
      <c r="M661" t="str">
        <f>IFERROR(VLOOKUP(E661,Sales_Reps!$A$2:$C$31,3,FALSE()),"")</f>
        <v>West</v>
      </c>
      <c r="N661">
        <f>IFERROR(VLOOKUP(D661,Products!$A$2:$F$61,4,FALSE()),"")</f>
        <v>1052</v>
      </c>
      <c r="O661" t="str">
        <f>IFERROR(VLOOKUP(C661,Customers!$A$2:$F$301,5,FALSE()),"")</f>
        <v>Retail</v>
      </c>
      <c r="P661">
        <f>IFERROR(VLOOKUP(C661,Customers!$A$2:$F$301,3,FALSE()),"")</f>
        <v>40</v>
      </c>
      <c r="Q661">
        <f t="shared" si="30"/>
        <v>0.5953846153846154</v>
      </c>
      <c r="R661">
        <f>IF(AND(COUNTIF($A$2:$A$2047,A661)&gt;1,COUNTIF($A$2:A661,A661)=1),1,0)</f>
        <v>0</v>
      </c>
      <c r="S661" t="b">
        <f>IFERROR(VLOOKUP(D661,Products!$A$2:$F$61,6,FALSE()),"")</f>
        <v>1</v>
      </c>
      <c r="T661" t="str">
        <f>IF(COUNTIF(Customers!$A$2:$A$301,C661)=0,"Missing","OK")</f>
        <v>OK</v>
      </c>
      <c r="U661" t="str">
        <f t="shared" si="31"/>
        <v>Delhi</v>
      </c>
      <c r="V661">
        <f t="shared" si="32"/>
        <v>0</v>
      </c>
    </row>
    <row r="662" spans="1:22" ht="15" customHeight="1" x14ac:dyDescent="0.35">
      <c r="A662" s="3" t="s">
        <v>1062</v>
      </c>
      <c r="B662" s="4">
        <v>45622</v>
      </c>
      <c r="C662" s="3" t="s">
        <v>44</v>
      </c>
      <c r="D662" s="3" t="s">
        <v>77</v>
      </c>
      <c r="E662" s="3" t="s">
        <v>127</v>
      </c>
      <c r="F662" s="5">
        <v>7</v>
      </c>
      <c r="G662" s="5">
        <v>2600</v>
      </c>
      <c r="H662" s="5">
        <v>6.7</v>
      </c>
      <c r="I662" s="5">
        <v>16980.599999999999</v>
      </c>
      <c r="J662" s="3" t="s">
        <v>32</v>
      </c>
      <c r="K662" s="3" t="s">
        <v>33</v>
      </c>
      <c r="L662" t="str">
        <f>IFERROR(VLOOKUP(D662,Products!$A$2:$F$61,3,FALSE()),"")</f>
        <v>Electronics</v>
      </c>
      <c r="M662" t="str">
        <f>IFERROR(VLOOKUP(E662,Sales_Reps!$A$2:$C$31,3,FALSE()),"")</f>
        <v>South</v>
      </c>
      <c r="N662">
        <f>IFERROR(VLOOKUP(D662,Products!$A$2:$F$61,4,FALSE()),"")</f>
        <v>1052</v>
      </c>
      <c r="O662" t="str">
        <f>IFERROR(VLOOKUP(C662,Customers!$A$2:$F$301,5,FALSE()),"")</f>
        <v>Retail</v>
      </c>
      <c r="P662">
        <f>IFERROR(VLOOKUP(C662,Customers!$A$2:$F$301,3,FALSE()),"")</f>
        <v>36</v>
      </c>
      <c r="Q662">
        <f t="shared" si="30"/>
        <v>0.5953846153846154</v>
      </c>
      <c r="R662">
        <f>IF(AND(COUNTIF($A$2:$A$2047,A662)&gt;1,COUNTIF($A$2:A662,A662)=1),1,0)</f>
        <v>0</v>
      </c>
      <c r="S662" t="b">
        <f>IFERROR(VLOOKUP(D662,Products!$A$2:$F$61,6,FALSE()),"")</f>
        <v>1</v>
      </c>
      <c r="T662" t="str">
        <f>IF(COUNTIF(Customers!$A$2:$A$301,C662)=0,"Missing","OK")</f>
        <v>OK</v>
      </c>
      <c r="U662" t="str">
        <f t="shared" si="31"/>
        <v>Chennai</v>
      </c>
      <c r="V662">
        <f t="shared" si="32"/>
        <v>0</v>
      </c>
    </row>
    <row r="663" spans="1:22" ht="15" customHeight="1" x14ac:dyDescent="0.35">
      <c r="A663" s="3" t="s">
        <v>1063</v>
      </c>
      <c r="B663" s="4">
        <v>45403</v>
      </c>
      <c r="C663" s="3" t="s">
        <v>158</v>
      </c>
      <c r="D663" s="3" t="s">
        <v>30</v>
      </c>
      <c r="E663" s="3" t="s">
        <v>93</v>
      </c>
      <c r="F663" s="5">
        <v>8</v>
      </c>
      <c r="G663" s="5">
        <v>820</v>
      </c>
      <c r="H663" s="5">
        <v>17.8</v>
      </c>
      <c r="I663" s="5">
        <v>5392.32</v>
      </c>
      <c r="J663" s="3" t="s">
        <v>32</v>
      </c>
      <c r="K663" s="3" t="s">
        <v>38</v>
      </c>
      <c r="L663" t="str">
        <f>IFERROR(VLOOKUP(D663,Products!$A$2:$F$61,3,FALSE()),"")</f>
        <v>Apparel</v>
      </c>
      <c r="M663" t="str">
        <f>IFERROR(VLOOKUP(E663,Sales_Reps!$A$2:$C$31,3,FALSE()),"")</f>
        <v>East</v>
      </c>
      <c r="N663">
        <f>IFERROR(VLOOKUP(D663,Products!$A$2:$F$61,4,FALSE()),"")</f>
        <v>391</v>
      </c>
      <c r="O663" t="str">
        <f>IFERROR(VLOOKUP(C663,Customers!$A$2:$F$301,5,FALSE()),"")</f>
        <v>SMB</v>
      </c>
      <c r="P663">
        <f>IFERROR(VLOOKUP(C663,Customers!$A$2:$F$301,3,FALSE()),"")</f>
        <v>50</v>
      </c>
      <c r="Q663">
        <f t="shared" si="30"/>
        <v>0.52317073170731709</v>
      </c>
      <c r="R663">
        <f>IF(AND(COUNTIF($A$2:$A$2047,A663)&gt;1,COUNTIF($A$2:A663,A663)=1),1,0)</f>
        <v>0</v>
      </c>
      <c r="S663" t="b">
        <f>IFERROR(VLOOKUP(D663,Products!$A$2:$F$61,6,FALSE()),"")</f>
        <v>1</v>
      </c>
      <c r="T663" t="str">
        <f>IF(COUNTIF(Customers!$A$2:$A$301,C663)=0,"Missing","OK")</f>
        <v>OK</v>
      </c>
      <c r="U663" t="str">
        <f t="shared" si="31"/>
        <v>Delhi</v>
      </c>
      <c r="V663">
        <f t="shared" si="32"/>
        <v>0</v>
      </c>
    </row>
    <row r="664" spans="1:22" ht="15" customHeight="1" x14ac:dyDescent="0.35">
      <c r="A664" s="3" t="s">
        <v>1064</v>
      </c>
      <c r="B664" s="4">
        <v>45532</v>
      </c>
      <c r="C664" s="3" t="s">
        <v>457</v>
      </c>
      <c r="D664" s="3" t="s">
        <v>54</v>
      </c>
      <c r="E664" s="3" t="s">
        <v>143</v>
      </c>
      <c r="F664" s="5">
        <v>3</v>
      </c>
      <c r="G664" s="5">
        <v>960</v>
      </c>
      <c r="H664" s="5">
        <v>17.8</v>
      </c>
      <c r="I664" s="5">
        <v>2367.36</v>
      </c>
      <c r="J664" s="3" t="s">
        <v>26</v>
      </c>
      <c r="K664" s="3" t="s">
        <v>27</v>
      </c>
      <c r="L664" t="str">
        <f>IFERROR(VLOOKUP(D664,Products!$A$2:$F$61,3,FALSE()),"")</f>
        <v>Sports</v>
      </c>
      <c r="M664" t="str">
        <f>IFERROR(VLOOKUP(E664,Sales_Reps!$A$2:$C$31,3,FALSE()),"")</f>
        <v>South</v>
      </c>
      <c r="N664">
        <f>IFERROR(VLOOKUP(D664,Products!$A$2:$F$61,4,FALSE()),"")</f>
        <v>705</v>
      </c>
      <c r="O664" t="str">
        <f>IFERROR(VLOOKUP(C664,Customers!$A$2:$F$301,5,FALSE()),"")</f>
        <v>Retail</v>
      </c>
      <c r="P664">
        <f>IFERROR(VLOOKUP(C664,Customers!$A$2:$F$301,3,FALSE()),"")</f>
        <v>49</v>
      </c>
      <c r="Q664">
        <f t="shared" si="30"/>
        <v>0.265625</v>
      </c>
      <c r="R664">
        <f>IF(AND(COUNTIF($A$2:$A$2047,A664)&gt;1,COUNTIF($A$2:A664,A664)=1),1,0)</f>
        <v>0</v>
      </c>
      <c r="S664" t="b">
        <f>IFERROR(VLOOKUP(D664,Products!$A$2:$F$61,6,FALSE()),"")</f>
        <v>1</v>
      </c>
      <c r="T664" t="str">
        <f>IF(COUNTIF(Customers!$A$2:$A$301,C664)=0,"Missing","OK")</f>
        <v>OK</v>
      </c>
      <c r="U664" t="str">
        <f t="shared" si="31"/>
        <v>Pune</v>
      </c>
      <c r="V664">
        <f t="shared" si="32"/>
        <v>0</v>
      </c>
    </row>
    <row r="665" spans="1:22" ht="15" customHeight="1" x14ac:dyDescent="0.35">
      <c r="A665" s="3" t="s">
        <v>1065</v>
      </c>
      <c r="B665" s="4">
        <v>45301</v>
      </c>
      <c r="C665" s="3" t="s">
        <v>205</v>
      </c>
      <c r="D665" s="3" t="s">
        <v>198</v>
      </c>
      <c r="E665" s="3" t="s">
        <v>93</v>
      </c>
      <c r="F665" s="5">
        <v>2</v>
      </c>
      <c r="G665" s="5">
        <v>1540</v>
      </c>
      <c r="H665" s="5">
        <v>1.8</v>
      </c>
      <c r="I665" s="5">
        <v>3024.56</v>
      </c>
      <c r="J665" s="3" t="s">
        <v>79</v>
      </c>
      <c r="K665" s="3" t="s">
        <v>38</v>
      </c>
      <c r="L665" t="str">
        <f>IFERROR(VLOOKUP(D665,Products!$A$2:$F$61,3,FALSE()),"")</f>
        <v>Beauty</v>
      </c>
      <c r="M665" t="str">
        <f>IFERROR(VLOOKUP(E665,Sales_Reps!$A$2:$C$31,3,FALSE()),"")</f>
        <v>East</v>
      </c>
      <c r="N665">
        <f>IFERROR(VLOOKUP(D665,Products!$A$2:$F$61,4,FALSE()),"")</f>
        <v>647</v>
      </c>
      <c r="O665" t="str">
        <f>IFERROR(VLOOKUP(C665,Customers!$A$2:$F$301,5,FALSE()),"")</f>
        <v>Corporate</v>
      </c>
      <c r="P665">
        <f>IFERROR(VLOOKUP(C665,Customers!$A$2:$F$301,3,FALSE()),"")</f>
        <v>55</v>
      </c>
      <c r="Q665">
        <f t="shared" si="30"/>
        <v>0.57987012987012987</v>
      </c>
      <c r="R665">
        <f>IF(AND(COUNTIF($A$2:$A$2047,A665)&gt;1,COUNTIF($A$2:A665,A665)=1),1,0)</f>
        <v>0</v>
      </c>
      <c r="S665" t="b">
        <f>IFERROR(VLOOKUP(D665,Products!$A$2:$F$61,6,FALSE()),"")</f>
        <v>0</v>
      </c>
      <c r="T665" t="str">
        <f>IF(COUNTIF(Customers!$A$2:$A$301,C665)=0,"Missing","OK")</f>
        <v>OK</v>
      </c>
      <c r="U665" t="str">
        <f t="shared" si="31"/>
        <v>Delhi</v>
      </c>
      <c r="V665">
        <f t="shared" si="32"/>
        <v>0</v>
      </c>
    </row>
    <row r="666" spans="1:22" ht="15" customHeight="1" x14ac:dyDescent="0.35">
      <c r="A666" s="3" t="s">
        <v>1066</v>
      </c>
      <c r="B666" s="4">
        <v>45622</v>
      </c>
      <c r="C666" s="3" t="s">
        <v>945</v>
      </c>
      <c r="D666" s="3" t="s">
        <v>454</v>
      </c>
      <c r="E666" s="3" t="s">
        <v>109</v>
      </c>
      <c r="F666" s="5">
        <v>5</v>
      </c>
      <c r="G666" s="5">
        <v>6940</v>
      </c>
      <c r="H666" s="5">
        <v>2.9</v>
      </c>
      <c r="I666" s="5">
        <v>33693.699999999997</v>
      </c>
      <c r="J666" s="3" t="s">
        <v>26</v>
      </c>
      <c r="K666" s="3" t="s">
        <v>56</v>
      </c>
      <c r="L666" t="str">
        <f>IFERROR(VLOOKUP(D666,Products!$A$2:$F$61,3,FALSE()),"")</f>
        <v>Sports</v>
      </c>
      <c r="M666" t="str">
        <f>IFERROR(VLOOKUP(E666,Sales_Reps!$A$2:$C$31,3,FALSE()),"")</f>
        <v>West</v>
      </c>
      <c r="N666">
        <f>IFERROR(VLOOKUP(D666,Products!$A$2:$F$61,4,FALSE()),"")</f>
        <v>2827</v>
      </c>
      <c r="O666" t="str">
        <f>IFERROR(VLOOKUP(C666,Customers!$A$2:$F$301,5,FALSE()),"")</f>
        <v>SMB</v>
      </c>
      <c r="P666">
        <f>IFERROR(VLOOKUP(C666,Customers!$A$2:$F$301,3,FALSE()),"")</f>
        <v>44</v>
      </c>
      <c r="Q666">
        <f t="shared" si="30"/>
        <v>0.5926512968299712</v>
      </c>
      <c r="R666">
        <f>IF(AND(COUNTIF($A$2:$A$2047,A666)&gt;1,COUNTIF($A$2:A666,A666)=1),1,0)</f>
        <v>0</v>
      </c>
      <c r="S666" t="b">
        <f>IFERROR(VLOOKUP(D666,Products!$A$2:$F$61,6,FALSE()),"")</f>
        <v>1</v>
      </c>
      <c r="T666" t="str">
        <f>IF(COUNTIF(Customers!$A$2:$A$301,C666)=0,"Missing","OK")</f>
        <v>OK</v>
      </c>
      <c r="U666" t="str">
        <f t="shared" si="31"/>
        <v>Bengaluru</v>
      </c>
      <c r="V666">
        <f t="shared" si="32"/>
        <v>0</v>
      </c>
    </row>
    <row r="667" spans="1:22" ht="15" customHeight="1" x14ac:dyDescent="0.35">
      <c r="A667" s="3" t="s">
        <v>1067</v>
      </c>
      <c r="B667" s="4">
        <v>45531</v>
      </c>
      <c r="C667" s="3" t="s">
        <v>317</v>
      </c>
      <c r="D667" s="3" t="s">
        <v>198</v>
      </c>
      <c r="E667" s="3" t="s">
        <v>191</v>
      </c>
      <c r="F667" s="5">
        <v>5</v>
      </c>
      <c r="G667" s="5">
        <v>1540</v>
      </c>
      <c r="H667" s="5">
        <v>28.8</v>
      </c>
      <c r="I667" s="5">
        <v>5482.4</v>
      </c>
      <c r="J667" s="3" t="s">
        <v>26</v>
      </c>
      <c r="K667" s="3" t="s">
        <v>33</v>
      </c>
      <c r="L667" t="str">
        <f>IFERROR(VLOOKUP(D667,Products!$A$2:$F$61,3,FALSE()),"")</f>
        <v>Beauty</v>
      </c>
      <c r="M667" t="str">
        <f>IFERROR(VLOOKUP(E667,Sales_Reps!$A$2:$C$31,3,FALSE()),"")</f>
        <v>South</v>
      </c>
      <c r="N667">
        <f>IFERROR(VLOOKUP(D667,Products!$A$2:$F$61,4,FALSE()),"")</f>
        <v>647</v>
      </c>
      <c r="O667" t="str">
        <f>IFERROR(VLOOKUP(C667,Customers!$A$2:$F$301,5,FALSE()),"")</f>
        <v>SMB</v>
      </c>
      <c r="P667">
        <f>IFERROR(VLOOKUP(C667,Customers!$A$2:$F$301,3,FALSE()),"")</f>
        <v>53</v>
      </c>
      <c r="Q667">
        <f t="shared" si="30"/>
        <v>0.57987012987012987</v>
      </c>
      <c r="R667">
        <f>IF(AND(COUNTIF($A$2:$A$2047,A667)&gt;1,COUNTIF($A$2:A667,A667)=1),1,0)</f>
        <v>0</v>
      </c>
      <c r="S667" t="b">
        <f>IFERROR(VLOOKUP(D667,Products!$A$2:$F$61,6,FALSE()),"")</f>
        <v>0</v>
      </c>
      <c r="T667" t="str">
        <f>IF(COUNTIF(Customers!$A$2:$A$301,C667)=0,"Missing","OK")</f>
        <v>OK</v>
      </c>
      <c r="U667" t="str">
        <f t="shared" si="31"/>
        <v>Chennai</v>
      </c>
      <c r="V667">
        <f t="shared" si="32"/>
        <v>0</v>
      </c>
    </row>
    <row r="668" spans="1:22" ht="15" customHeight="1" x14ac:dyDescent="0.35">
      <c r="A668" s="3" t="s">
        <v>1068</v>
      </c>
      <c r="B668" s="4">
        <v>45326</v>
      </c>
      <c r="C668" s="3" t="s">
        <v>644</v>
      </c>
      <c r="D668" s="3" t="s">
        <v>165</v>
      </c>
      <c r="E668" s="3" t="s">
        <v>264</v>
      </c>
      <c r="F668" s="5">
        <v>8</v>
      </c>
      <c r="G668" s="5">
        <v>3730</v>
      </c>
      <c r="H668" s="5">
        <v>21.1</v>
      </c>
      <c r="I668" s="5">
        <v>23543.759999999998</v>
      </c>
      <c r="J668" s="3" t="s">
        <v>26</v>
      </c>
      <c r="K668" s="3" t="s">
        <v>38</v>
      </c>
      <c r="L668" t="str">
        <f>IFERROR(VLOOKUP(D668,Products!$A$2:$F$61,3,FALSE()),"")</f>
        <v>Home</v>
      </c>
      <c r="M668" t="str">
        <f>IFERROR(VLOOKUP(E668,Sales_Reps!$A$2:$C$31,3,FALSE()),"")</f>
        <v>South</v>
      </c>
      <c r="N668">
        <f>IFERROR(VLOOKUP(D668,Products!$A$2:$F$61,4,FALSE()),"")</f>
        <v>2135</v>
      </c>
      <c r="O668" t="str">
        <f>IFERROR(VLOOKUP(C668,Customers!$A$2:$F$301,5,FALSE()),"")</f>
        <v>Retail</v>
      </c>
      <c r="P668">
        <f>IFERROR(VLOOKUP(C668,Customers!$A$2:$F$301,3,FALSE()),"")</f>
        <v>53</v>
      </c>
      <c r="Q668">
        <f t="shared" si="30"/>
        <v>0.42761394101876676</v>
      </c>
      <c r="R668">
        <f>IF(AND(COUNTIF($A$2:$A$2047,A668)&gt;1,COUNTIF($A$2:A668,A668)=1),1,0)</f>
        <v>0</v>
      </c>
      <c r="S668" t="b">
        <f>IFERROR(VLOOKUP(D668,Products!$A$2:$F$61,6,FALSE()),"")</f>
        <v>1</v>
      </c>
      <c r="T668" t="str">
        <f>IF(COUNTIF(Customers!$A$2:$A$301,C668)=0,"Missing","OK")</f>
        <v>OK</v>
      </c>
      <c r="U668" t="str">
        <f t="shared" si="31"/>
        <v>Delhi</v>
      </c>
      <c r="V668">
        <f t="shared" si="32"/>
        <v>0</v>
      </c>
    </row>
    <row r="669" spans="1:22" ht="15" customHeight="1" x14ac:dyDescent="0.35">
      <c r="A669" s="3" t="s">
        <v>1069</v>
      </c>
      <c r="B669" s="4">
        <v>45635</v>
      </c>
      <c r="C669" s="3" t="s">
        <v>186</v>
      </c>
      <c r="D669" s="3" t="s">
        <v>139</v>
      </c>
      <c r="E669" s="3" t="s">
        <v>93</v>
      </c>
      <c r="F669" s="5">
        <v>7</v>
      </c>
      <c r="G669" s="5">
        <v>2760</v>
      </c>
      <c r="H669" s="5">
        <v>1.2</v>
      </c>
      <c r="I669" s="5">
        <v>19088.16</v>
      </c>
      <c r="J669" s="3" t="s">
        <v>79</v>
      </c>
      <c r="K669" s="3" t="s">
        <v>56</v>
      </c>
      <c r="L669" t="str">
        <f>IFERROR(VLOOKUP(D669,Products!$A$2:$F$61,3,FALSE()),"")</f>
        <v>Grocery</v>
      </c>
      <c r="M669" t="str">
        <f>IFERROR(VLOOKUP(E669,Sales_Reps!$A$2:$C$31,3,FALSE()),"")</f>
        <v>East</v>
      </c>
      <c r="N669">
        <f>IFERROR(VLOOKUP(D669,Products!$A$2:$F$61,4,FALSE()),"")</f>
        <v>1435</v>
      </c>
      <c r="O669" t="str">
        <f>IFERROR(VLOOKUP(C669,Customers!$A$2:$F$301,5,FALSE()),"")</f>
        <v>Retail</v>
      </c>
      <c r="P669">
        <f>IFERROR(VLOOKUP(C669,Customers!$A$2:$F$301,3,FALSE()),"")</f>
        <v>34</v>
      </c>
      <c r="Q669">
        <f t="shared" si="30"/>
        <v>0.48007246376811596</v>
      </c>
      <c r="R669">
        <f>IF(AND(COUNTIF($A$2:$A$2047,A669)&gt;1,COUNTIF($A$2:A669,A669)=1),1,0)</f>
        <v>0</v>
      </c>
      <c r="S669" t="b">
        <f>IFERROR(VLOOKUP(D669,Products!$A$2:$F$61,6,FALSE()),"")</f>
        <v>1</v>
      </c>
      <c r="T669" t="str">
        <f>IF(COUNTIF(Customers!$A$2:$A$301,C669)=0,"Missing","OK")</f>
        <v>OK</v>
      </c>
      <c r="U669" t="str">
        <f t="shared" si="31"/>
        <v>Bengaluru</v>
      </c>
      <c r="V669">
        <f t="shared" si="32"/>
        <v>19088.16</v>
      </c>
    </row>
    <row r="670" spans="1:22" ht="15" customHeight="1" x14ac:dyDescent="0.35">
      <c r="A670" s="3" t="s">
        <v>1070</v>
      </c>
      <c r="B670" s="4">
        <v>45431</v>
      </c>
      <c r="C670" s="3" t="s">
        <v>301</v>
      </c>
      <c r="D670" s="3" t="s">
        <v>347</v>
      </c>
      <c r="E670" s="3" t="s">
        <v>131</v>
      </c>
      <c r="F670" s="5">
        <v>3</v>
      </c>
      <c r="G670" s="5">
        <v>3970</v>
      </c>
      <c r="H670" s="5">
        <v>18.3</v>
      </c>
      <c r="I670" s="5">
        <v>9730.4699999999993</v>
      </c>
      <c r="J670" s="3" t="s">
        <v>26</v>
      </c>
      <c r="K670" s="3" t="s">
        <v>33</v>
      </c>
      <c r="L670" t="str">
        <f>IFERROR(VLOOKUP(D670,Products!$A$2:$F$61,3,FALSE()),"")</f>
        <v>Electronics</v>
      </c>
      <c r="M670" t="str">
        <f>IFERROR(VLOOKUP(E670,Sales_Reps!$A$2:$C$31,3,FALSE()),"")</f>
        <v>East</v>
      </c>
      <c r="N670">
        <f>IFERROR(VLOOKUP(D670,Products!$A$2:$F$61,4,FALSE()),"")</f>
        <v>2865</v>
      </c>
      <c r="O670" t="str">
        <f>IFERROR(VLOOKUP(C670,Customers!$A$2:$F$301,5,FALSE()),"")</f>
        <v>Corporate</v>
      </c>
      <c r="P670">
        <f>IFERROR(VLOOKUP(C670,Customers!$A$2:$F$301,3,FALSE()),"")</f>
        <v>51</v>
      </c>
      <c r="Q670">
        <f t="shared" si="30"/>
        <v>0.27833753148614609</v>
      </c>
      <c r="R670">
        <f>IF(AND(COUNTIF($A$2:$A$2047,A670)&gt;1,COUNTIF($A$2:A670,A670)=1),1,0)</f>
        <v>0</v>
      </c>
      <c r="S670" t="b">
        <f>IFERROR(VLOOKUP(D670,Products!$A$2:$F$61,6,FALSE()),"")</f>
        <v>1</v>
      </c>
      <c r="T670" t="str">
        <f>IF(COUNTIF(Customers!$A$2:$A$301,C670)=0,"Missing","OK")</f>
        <v>OK</v>
      </c>
      <c r="U670" t="str">
        <f t="shared" si="31"/>
        <v>Chennai</v>
      </c>
      <c r="V670">
        <f t="shared" si="32"/>
        <v>0</v>
      </c>
    </row>
    <row r="671" spans="1:22" ht="15" customHeight="1" x14ac:dyDescent="0.35">
      <c r="A671" s="3" t="s">
        <v>1071</v>
      </c>
      <c r="B671" s="4">
        <v>45393</v>
      </c>
      <c r="C671" s="3" t="s">
        <v>333</v>
      </c>
      <c r="D671" s="3" t="s">
        <v>173</v>
      </c>
      <c r="E671" s="3" t="s">
        <v>93</v>
      </c>
      <c r="F671" s="5">
        <v>4</v>
      </c>
      <c r="G671" s="5">
        <v>3780</v>
      </c>
      <c r="H671" s="5">
        <v>24.6</v>
      </c>
      <c r="I671" s="5">
        <v>11400.48</v>
      </c>
      <c r="J671" s="3" t="s">
        <v>26</v>
      </c>
      <c r="K671" s="3" t="s">
        <v>56</v>
      </c>
      <c r="L671" t="str">
        <f>IFERROR(VLOOKUP(D671,Products!$A$2:$F$61,3,FALSE()),"")</f>
        <v>Grocery</v>
      </c>
      <c r="M671" t="str">
        <f>IFERROR(VLOOKUP(E671,Sales_Reps!$A$2:$C$31,3,FALSE()),"")</f>
        <v>East</v>
      </c>
      <c r="N671">
        <f>IFERROR(VLOOKUP(D671,Products!$A$2:$F$61,4,FALSE()),"")</f>
        <v>2436</v>
      </c>
      <c r="O671" t="str">
        <f>IFERROR(VLOOKUP(C671,Customers!$A$2:$F$301,5,FALSE()),"")</f>
        <v>SMB</v>
      </c>
      <c r="P671">
        <f>IFERROR(VLOOKUP(C671,Customers!$A$2:$F$301,3,FALSE()),"")</f>
        <v>28</v>
      </c>
      <c r="Q671">
        <f t="shared" si="30"/>
        <v>0.35555555555555557</v>
      </c>
      <c r="R671">
        <f>IF(AND(COUNTIF($A$2:$A$2047,A671)&gt;1,COUNTIF($A$2:A671,A671)=1),1,0)</f>
        <v>0</v>
      </c>
      <c r="S671" t="b">
        <f>IFERROR(VLOOKUP(D671,Products!$A$2:$F$61,6,FALSE()),"")</f>
        <v>1</v>
      </c>
      <c r="T671" t="str">
        <f>IF(COUNTIF(Customers!$A$2:$A$301,C671)=0,"Missing","OK")</f>
        <v>OK</v>
      </c>
      <c r="U671" t="str">
        <f t="shared" si="31"/>
        <v>Bengaluru</v>
      </c>
      <c r="V671">
        <f t="shared" si="32"/>
        <v>11400.48</v>
      </c>
    </row>
    <row r="672" spans="1:22" ht="15" customHeight="1" x14ac:dyDescent="0.35">
      <c r="A672" s="3" t="s">
        <v>1072</v>
      </c>
      <c r="B672" s="4">
        <v>45295</v>
      </c>
      <c r="C672" s="3" t="s">
        <v>774</v>
      </c>
      <c r="D672" s="3" t="s">
        <v>112</v>
      </c>
      <c r="E672" s="3" t="s">
        <v>46</v>
      </c>
      <c r="F672" s="5">
        <v>10</v>
      </c>
      <c r="G672" s="5">
        <v>2720</v>
      </c>
      <c r="H672" s="5">
        <v>12.8</v>
      </c>
      <c r="I672" s="5">
        <v>23718.400000000001</v>
      </c>
      <c r="J672" s="3" t="s">
        <v>26</v>
      </c>
      <c r="K672" s="3" t="s">
        <v>56</v>
      </c>
      <c r="L672" t="str">
        <f>IFERROR(VLOOKUP(D672,Products!$A$2:$F$61,3,FALSE()),"")</f>
        <v>Apparel</v>
      </c>
      <c r="M672" t="str">
        <f>IFERROR(VLOOKUP(E672,Sales_Reps!$A$2:$C$31,3,FALSE()),"")</f>
        <v>North</v>
      </c>
      <c r="N672">
        <f>IFERROR(VLOOKUP(D672,Products!$A$2:$F$61,4,FALSE()),"")</f>
        <v>1962</v>
      </c>
      <c r="O672" t="str">
        <f>IFERROR(VLOOKUP(C672,Customers!$A$2:$F$301,5,FALSE()),"")</f>
        <v>Retail</v>
      </c>
      <c r="P672">
        <f>IFERROR(VLOOKUP(C672,Customers!$A$2:$F$301,3,FALSE()),"")</f>
        <v>52</v>
      </c>
      <c r="Q672">
        <f t="shared" si="30"/>
        <v>0.2786764705882353</v>
      </c>
      <c r="R672">
        <f>IF(AND(COUNTIF($A$2:$A$2047,A672)&gt;1,COUNTIF($A$2:A672,A672)=1),1,0)</f>
        <v>0</v>
      </c>
      <c r="S672" t="b">
        <f>IFERROR(VLOOKUP(D672,Products!$A$2:$F$61,6,FALSE()),"")</f>
        <v>1</v>
      </c>
      <c r="T672" t="str">
        <f>IF(COUNTIF(Customers!$A$2:$A$301,C672)=0,"Missing","OK")</f>
        <v>OK</v>
      </c>
      <c r="U672" t="str">
        <f t="shared" si="31"/>
        <v>Bengaluru</v>
      </c>
      <c r="V672">
        <f t="shared" si="32"/>
        <v>0</v>
      </c>
    </row>
    <row r="673" spans="1:22" ht="15" customHeight="1" x14ac:dyDescent="0.35">
      <c r="A673" s="3" t="s">
        <v>1073</v>
      </c>
      <c r="B673" s="4">
        <v>45371</v>
      </c>
      <c r="C673" s="3" t="s">
        <v>275</v>
      </c>
      <c r="D673" s="3" t="s">
        <v>347</v>
      </c>
      <c r="E673" s="3" t="s">
        <v>177</v>
      </c>
      <c r="F673" s="5">
        <v>5</v>
      </c>
      <c r="G673" s="5">
        <v>3970</v>
      </c>
      <c r="H673" s="5">
        <v>5.9</v>
      </c>
      <c r="I673" s="5">
        <v>18678.849999999999</v>
      </c>
      <c r="J673" s="3" t="s">
        <v>26</v>
      </c>
      <c r="K673" s="3" t="s">
        <v>51</v>
      </c>
      <c r="L673" t="str">
        <f>IFERROR(VLOOKUP(D673,Products!$A$2:$F$61,3,FALSE()),"")</f>
        <v>Electronics</v>
      </c>
      <c r="M673" t="str">
        <f>IFERROR(VLOOKUP(E673,Sales_Reps!$A$2:$C$31,3,FALSE()),"")</f>
        <v>East</v>
      </c>
      <c r="N673">
        <f>IFERROR(VLOOKUP(D673,Products!$A$2:$F$61,4,FALSE()),"")</f>
        <v>2865</v>
      </c>
      <c r="O673" t="str">
        <f>IFERROR(VLOOKUP(C673,Customers!$A$2:$F$301,5,FALSE()),"")</f>
        <v>Retail</v>
      </c>
      <c r="P673">
        <f>IFERROR(VLOOKUP(C673,Customers!$A$2:$F$301,3,FALSE()),"")</f>
        <v>49</v>
      </c>
      <c r="Q673">
        <f t="shared" si="30"/>
        <v>0.27833753148614609</v>
      </c>
      <c r="R673">
        <f>IF(AND(COUNTIF($A$2:$A$2047,A673)&gt;1,COUNTIF($A$2:A673,A673)=1),1,0)</f>
        <v>0</v>
      </c>
      <c r="S673" t="b">
        <f>IFERROR(VLOOKUP(D673,Products!$A$2:$F$61,6,FALSE()),"")</f>
        <v>1</v>
      </c>
      <c r="T673" t="str">
        <f>IF(COUNTIF(Customers!$A$2:$A$301,C673)=0,"Missing","OK")</f>
        <v>OK</v>
      </c>
      <c r="U673" t="str">
        <f t="shared" si="31"/>
        <v>Mumbai</v>
      </c>
      <c r="V673">
        <f t="shared" si="32"/>
        <v>0</v>
      </c>
    </row>
    <row r="674" spans="1:22" ht="15" customHeight="1" x14ac:dyDescent="0.35">
      <c r="A674" s="3" t="s">
        <v>1074</v>
      </c>
      <c r="B674" s="4">
        <v>45601</v>
      </c>
      <c r="C674" s="3" t="s">
        <v>81</v>
      </c>
      <c r="D674" s="3" t="s">
        <v>30</v>
      </c>
      <c r="E674" s="3" t="s">
        <v>212</v>
      </c>
      <c r="F674" s="5">
        <v>3</v>
      </c>
      <c r="G674" s="5">
        <v>820</v>
      </c>
      <c r="H674" s="5">
        <v>19.399999999999999</v>
      </c>
      <c r="I674" s="5">
        <v>1982.76</v>
      </c>
      <c r="J674" s="3" t="s">
        <v>26</v>
      </c>
      <c r="K674" s="3" t="s">
        <v>27</v>
      </c>
      <c r="L674" t="str">
        <f>IFERROR(VLOOKUP(D674,Products!$A$2:$F$61,3,FALSE()),"")</f>
        <v>Apparel</v>
      </c>
      <c r="M674" t="str">
        <f>IFERROR(VLOOKUP(E674,Sales_Reps!$A$2:$C$31,3,FALSE()),"")</f>
        <v>South</v>
      </c>
      <c r="N674">
        <f>IFERROR(VLOOKUP(D674,Products!$A$2:$F$61,4,FALSE()),"")</f>
        <v>391</v>
      </c>
      <c r="O674" t="str">
        <f>IFERROR(VLOOKUP(C674,Customers!$A$2:$F$301,5,FALSE()),"")</f>
        <v>SMB</v>
      </c>
      <c r="P674">
        <f>IFERROR(VLOOKUP(C674,Customers!$A$2:$F$301,3,FALSE()),"")</f>
        <v>39</v>
      </c>
      <c r="Q674">
        <f t="shared" si="30"/>
        <v>0.52317073170731709</v>
      </c>
      <c r="R674">
        <f>IF(AND(COUNTIF($A$2:$A$2047,A674)&gt;1,COUNTIF($A$2:A674,A674)=1),1,0)</f>
        <v>0</v>
      </c>
      <c r="S674" t="b">
        <f>IFERROR(VLOOKUP(D674,Products!$A$2:$F$61,6,FALSE()),"")</f>
        <v>1</v>
      </c>
      <c r="T674" t="str">
        <f>IF(COUNTIF(Customers!$A$2:$A$301,C674)=0,"Missing","OK")</f>
        <v>OK</v>
      </c>
      <c r="U674" t="str">
        <f t="shared" si="31"/>
        <v>Pune</v>
      </c>
      <c r="V674">
        <f t="shared" si="32"/>
        <v>0</v>
      </c>
    </row>
    <row r="675" spans="1:22" ht="15" customHeight="1" x14ac:dyDescent="0.35">
      <c r="A675" s="3" t="s">
        <v>1075</v>
      </c>
      <c r="B675" s="4">
        <v>45471</v>
      </c>
      <c r="C675" s="3" t="s">
        <v>494</v>
      </c>
      <c r="D675" s="3" t="s">
        <v>231</v>
      </c>
      <c r="E675" s="3" t="s">
        <v>71</v>
      </c>
      <c r="F675" s="5">
        <v>7</v>
      </c>
      <c r="G675" s="5">
        <v>620</v>
      </c>
      <c r="H675" s="5">
        <v>9.9</v>
      </c>
      <c r="I675" s="5">
        <v>3910.34</v>
      </c>
      <c r="J675" s="3" t="s">
        <v>26</v>
      </c>
      <c r="K675" s="3" t="s">
        <v>51</v>
      </c>
      <c r="L675" t="str">
        <f>IFERROR(VLOOKUP(D675,Products!$A$2:$F$61,3,FALSE()),"")</f>
        <v>Apparel</v>
      </c>
      <c r="M675" t="str">
        <f>IFERROR(VLOOKUP(E675,Sales_Reps!$A$2:$C$31,3,FALSE()),"")</f>
        <v>South</v>
      </c>
      <c r="N675">
        <f>IFERROR(VLOOKUP(D675,Products!$A$2:$F$61,4,FALSE()),"")</f>
        <v>396</v>
      </c>
      <c r="O675" t="str">
        <f>IFERROR(VLOOKUP(C675,Customers!$A$2:$F$301,5,FALSE()),"")</f>
        <v>Retail</v>
      </c>
      <c r="P675">
        <f>IFERROR(VLOOKUP(C675,Customers!$A$2:$F$301,3,FALSE()),"")</f>
        <v>37</v>
      </c>
      <c r="Q675">
        <f t="shared" si="30"/>
        <v>0.36129032258064514</v>
      </c>
      <c r="R675">
        <f>IF(AND(COUNTIF($A$2:$A$2047,A675)&gt;1,COUNTIF($A$2:A675,A675)=1),1,0)</f>
        <v>0</v>
      </c>
      <c r="S675" t="b">
        <f>IFERROR(VLOOKUP(D675,Products!$A$2:$F$61,6,FALSE()),"")</f>
        <v>1</v>
      </c>
      <c r="T675" t="str">
        <f>IF(COUNTIF(Customers!$A$2:$A$301,C675)=0,"Missing","OK")</f>
        <v>OK</v>
      </c>
      <c r="U675" t="str">
        <f t="shared" si="31"/>
        <v>Mumbai</v>
      </c>
      <c r="V675">
        <f t="shared" si="32"/>
        <v>0</v>
      </c>
    </row>
    <row r="676" spans="1:22" ht="15" customHeight="1" x14ac:dyDescent="0.35">
      <c r="A676" s="3" t="s">
        <v>1076</v>
      </c>
      <c r="B676" s="4">
        <v>45318</v>
      </c>
      <c r="C676" s="3" t="s">
        <v>608</v>
      </c>
      <c r="D676" s="3" t="s">
        <v>325</v>
      </c>
      <c r="E676" s="3" t="s">
        <v>282</v>
      </c>
      <c r="F676" s="5">
        <v>8</v>
      </c>
      <c r="G676" s="5">
        <v>2290</v>
      </c>
      <c r="H676" s="5">
        <v>18.3</v>
      </c>
      <c r="I676" s="5">
        <v>14967.44</v>
      </c>
      <c r="J676" s="3" t="s">
        <v>26</v>
      </c>
      <c r="K676" s="3" t="s">
        <v>72</v>
      </c>
      <c r="L676" t="str">
        <f>IFERROR(VLOOKUP(D676,Products!$A$2:$F$61,3,FALSE()),"")</f>
        <v>Beauty</v>
      </c>
      <c r="M676" t="str">
        <f>IFERROR(VLOOKUP(E676,Sales_Reps!$A$2:$C$31,3,FALSE()),"")</f>
        <v>West</v>
      </c>
      <c r="N676">
        <f>IFERROR(VLOOKUP(D676,Products!$A$2:$F$61,4,FALSE()),"")</f>
        <v>1219</v>
      </c>
      <c r="O676" t="str">
        <f>IFERROR(VLOOKUP(C676,Customers!$A$2:$F$301,5,FALSE()),"")</f>
        <v>Retail</v>
      </c>
      <c r="P676">
        <f>IFERROR(VLOOKUP(C676,Customers!$A$2:$F$301,3,FALSE()),"")</f>
        <v>31</v>
      </c>
      <c r="Q676">
        <f t="shared" si="30"/>
        <v>0.46768558951965067</v>
      </c>
      <c r="R676">
        <f>IF(AND(COUNTIF($A$2:$A$2047,A676)&gt;1,COUNTIF($A$2:A676,A676)=1),1,0)</f>
        <v>0</v>
      </c>
      <c r="S676" t="b">
        <f>IFERROR(VLOOKUP(D676,Products!$A$2:$F$61,6,FALSE()),"")</f>
        <v>1</v>
      </c>
      <c r="T676" t="str">
        <f>IF(COUNTIF(Customers!$A$2:$A$301,C676)=0,"Missing","OK")</f>
        <v>OK</v>
      </c>
      <c r="U676" t="str">
        <f t="shared" si="31"/>
        <v>Hyderabad</v>
      </c>
      <c r="V676">
        <f t="shared" si="32"/>
        <v>0</v>
      </c>
    </row>
    <row r="677" spans="1:22" ht="15" customHeight="1" x14ac:dyDescent="0.35">
      <c r="A677" s="3" t="s">
        <v>1077</v>
      </c>
      <c r="B677" s="4">
        <v>45364</v>
      </c>
      <c r="C677" s="3" t="s">
        <v>506</v>
      </c>
      <c r="D677" s="3" t="s">
        <v>66</v>
      </c>
      <c r="E677" s="3" t="s">
        <v>50</v>
      </c>
      <c r="F677" s="5">
        <v>3</v>
      </c>
      <c r="G677" s="5">
        <v>970</v>
      </c>
      <c r="H677" s="5">
        <v>18.399999999999999</v>
      </c>
      <c r="I677" s="5">
        <v>2374.56</v>
      </c>
      <c r="J677" s="3" t="s">
        <v>26</v>
      </c>
      <c r="K677" s="3" t="s">
        <v>56</v>
      </c>
      <c r="L677" t="str">
        <f>IFERROR(VLOOKUP(D677,Products!$A$2:$F$61,3,FALSE()),"")</f>
        <v>Grocery</v>
      </c>
      <c r="M677" t="str">
        <f>IFERROR(VLOOKUP(E677,Sales_Reps!$A$2:$C$31,3,FALSE()),"")</f>
        <v>West</v>
      </c>
      <c r="N677">
        <f>IFERROR(VLOOKUP(D677,Products!$A$2:$F$61,4,FALSE()),"")</f>
        <v>434</v>
      </c>
      <c r="O677" t="str">
        <f>IFERROR(VLOOKUP(C677,Customers!$A$2:$F$301,5,FALSE()),"")</f>
        <v>Corporate</v>
      </c>
      <c r="P677">
        <f>IFERROR(VLOOKUP(C677,Customers!$A$2:$F$301,3,FALSE()),"")</f>
        <v>41</v>
      </c>
      <c r="Q677">
        <f t="shared" si="30"/>
        <v>0.5525773195876289</v>
      </c>
      <c r="R677">
        <f>IF(AND(COUNTIF($A$2:$A$2047,A677)&gt;1,COUNTIF($A$2:A677,A677)=1),1,0)</f>
        <v>0</v>
      </c>
      <c r="S677" t="b">
        <f>IFERROR(VLOOKUP(D677,Products!$A$2:$F$61,6,FALSE()),"")</f>
        <v>1</v>
      </c>
      <c r="T677" t="str">
        <f>IF(COUNTIF(Customers!$A$2:$A$301,C677)=0,"Missing","OK")</f>
        <v>OK</v>
      </c>
      <c r="U677" t="str">
        <f t="shared" si="31"/>
        <v>Bengaluru</v>
      </c>
      <c r="V677">
        <f t="shared" si="32"/>
        <v>2374.56</v>
      </c>
    </row>
    <row r="678" spans="1:22" ht="15" customHeight="1" x14ac:dyDescent="0.35">
      <c r="A678" s="3" t="s">
        <v>1078</v>
      </c>
      <c r="B678" s="4">
        <v>45419</v>
      </c>
      <c r="C678" s="3" t="s">
        <v>907</v>
      </c>
      <c r="D678" s="3" t="s">
        <v>49</v>
      </c>
      <c r="E678" s="3" t="s">
        <v>37</v>
      </c>
      <c r="F678" s="5">
        <v>2</v>
      </c>
      <c r="G678" s="5">
        <v>370</v>
      </c>
      <c r="H678" s="5">
        <v>8.9</v>
      </c>
      <c r="I678" s="5">
        <v>674.14</v>
      </c>
      <c r="J678" s="3" t="s">
        <v>26</v>
      </c>
      <c r="K678" s="3" t="s">
        <v>38</v>
      </c>
      <c r="L678" t="str">
        <f>IFERROR(VLOOKUP(D678,Products!$A$2:$F$61,3,FALSE()),"")</f>
        <v>Home</v>
      </c>
      <c r="M678" t="str">
        <f>IFERROR(VLOOKUP(E678,Sales_Reps!$A$2:$C$31,3,FALSE()),"")</f>
        <v>South</v>
      </c>
      <c r="N678">
        <f>IFERROR(VLOOKUP(D678,Products!$A$2:$F$61,4,FALSE()),"")</f>
        <v>288</v>
      </c>
      <c r="O678" t="str">
        <f>IFERROR(VLOOKUP(C678,Customers!$A$2:$F$301,5,FALSE()),"")</f>
        <v>Retail</v>
      </c>
      <c r="P678">
        <f>IFERROR(VLOOKUP(C678,Customers!$A$2:$F$301,3,FALSE()),"")</f>
        <v>47</v>
      </c>
      <c r="Q678">
        <f t="shared" si="30"/>
        <v>0.22162162162162163</v>
      </c>
      <c r="R678">
        <f>IF(AND(COUNTIF($A$2:$A$2047,A678)&gt;1,COUNTIF($A$2:A678,A678)=1),1,0)</f>
        <v>0</v>
      </c>
      <c r="S678" t="b">
        <f>IFERROR(VLOOKUP(D678,Products!$A$2:$F$61,6,FALSE()),"")</f>
        <v>1</v>
      </c>
      <c r="T678" t="str">
        <f>IF(COUNTIF(Customers!$A$2:$A$301,C678)=0,"Missing","OK")</f>
        <v>OK</v>
      </c>
      <c r="U678" t="str">
        <f t="shared" si="31"/>
        <v>Delhi</v>
      </c>
      <c r="V678">
        <f t="shared" si="32"/>
        <v>0</v>
      </c>
    </row>
    <row r="679" spans="1:22" ht="15" customHeight="1" x14ac:dyDescent="0.35">
      <c r="A679" s="3" t="s">
        <v>1079</v>
      </c>
      <c r="B679" s="4">
        <v>45632</v>
      </c>
      <c r="C679" s="3" t="s">
        <v>664</v>
      </c>
      <c r="D679" s="3" t="s">
        <v>59</v>
      </c>
      <c r="E679" s="3" t="s">
        <v>25</v>
      </c>
      <c r="F679" s="5">
        <v>1</v>
      </c>
      <c r="G679" s="5">
        <v>1430</v>
      </c>
      <c r="H679" s="5">
        <v>5.9</v>
      </c>
      <c r="I679" s="5">
        <v>1345.63</v>
      </c>
      <c r="J679" s="3" t="s">
        <v>79</v>
      </c>
      <c r="K679" s="3" t="s">
        <v>38</v>
      </c>
      <c r="L679" t="str">
        <f>IFERROR(VLOOKUP(D679,Products!$A$2:$F$61,3,FALSE()),"")</f>
        <v>Electronics</v>
      </c>
      <c r="M679" t="str">
        <f>IFERROR(VLOOKUP(E679,Sales_Reps!$A$2:$C$31,3,FALSE()),"")</f>
        <v>North</v>
      </c>
      <c r="N679">
        <f>IFERROR(VLOOKUP(D679,Products!$A$2:$F$61,4,FALSE()),"")</f>
        <v>861</v>
      </c>
      <c r="O679" t="str">
        <f>IFERROR(VLOOKUP(C679,Customers!$A$2:$F$301,5,FALSE()),"")</f>
        <v>SMB</v>
      </c>
      <c r="P679">
        <f>IFERROR(VLOOKUP(C679,Customers!$A$2:$F$301,3,FALSE()),"")</f>
        <v>26</v>
      </c>
      <c r="Q679">
        <f t="shared" si="30"/>
        <v>0.39790209790209791</v>
      </c>
      <c r="R679">
        <f>IF(AND(COUNTIF($A$2:$A$2047,A679)&gt;1,COUNTIF($A$2:A679,A679)=1),1,0)</f>
        <v>0</v>
      </c>
      <c r="S679" t="b">
        <f>IFERROR(VLOOKUP(D679,Products!$A$2:$F$61,6,FALSE()),"")</f>
        <v>1</v>
      </c>
      <c r="T679" t="str">
        <f>IF(COUNTIF(Customers!$A$2:$A$301,C679)=0,"Missing","OK")</f>
        <v>OK</v>
      </c>
      <c r="U679" t="str">
        <f t="shared" si="31"/>
        <v>Delhi</v>
      </c>
      <c r="V679">
        <f t="shared" si="32"/>
        <v>0</v>
      </c>
    </row>
    <row r="680" spans="1:22" ht="15" customHeight="1" x14ac:dyDescent="0.35">
      <c r="A680" s="3" t="s">
        <v>1080</v>
      </c>
      <c r="B680" s="4">
        <v>45494</v>
      </c>
      <c r="C680" s="3" t="s">
        <v>776</v>
      </c>
      <c r="D680" s="3" t="s">
        <v>90</v>
      </c>
      <c r="E680" s="3" t="s">
        <v>109</v>
      </c>
      <c r="F680" s="5">
        <v>2</v>
      </c>
      <c r="G680" s="5">
        <v>2400</v>
      </c>
      <c r="H680" s="5">
        <v>29.1</v>
      </c>
      <c r="I680" s="5">
        <v>3403.2</v>
      </c>
      <c r="J680" s="3" t="s">
        <v>26</v>
      </c>
      <c r="K680" s="3" t="s">
        <v>56</v>
      </c>
      <c r="L680" t="str">
        <f>IFERROR(VLOOKUP(D680,Products!$A$2:$F$61,3,FALSE()),"")</f>
        <v>Sports</v>
      </c>
      <c r="M680" t="str">
        <f>IFERROR(VLOOKUP(E680,Sales_Reps!$A$2:$C$31,3,FALSE()),"")</f>
        <v>West</v>
      </c>
      <c r="N680">
        <f>IFERROR(VLOOKUP(D680,Products!$A$2:$F$61,4,FALSE()),"")</f>
        <v>974</v>
      </c>
      <c r="O680" t="str">
        <f>IFERROR(VLOOKUP(C680,Customers!$A$2:$F$301,5,FALSE()),"")</f>
        <v>Retail</v>
      </c>
      <c r="P680">
        <f>IFERROR(VLOOKUP(C680,Customers!$A$2:$F$301,3,FALSE()),"")</f>
        <v>37</v>
      </c>
      <c r="Q680">
        <f t="shared" si="30"/>
        <v>0.59416666666666662</v>
      </c>
      <c r="R680">
        <f>IF(AND(COUNTIF($A$2:$A$2047,A680)&gt;1,COUNTIF($A$2:A680,A680)=1),1,0)</f>
        <v>0</v>
      </c>
      <c r="S680" t="b">
        <f>IFERROR(VLOOKUP(D680,Products!$A$2:$F$61,6,FALSE()),"")</f>
        <v>1</v>
      </c>
      <c r="T680" t="str">
        <f>IF(COUNTIF(Customers!$A$2:$A$301,C680)=0,"Missing","OK")</f>
        <v>OK</v>
      </c>
      <c r="U680" t="str">
        <f t="shared" si="31"/>
        <v>Bengaluru</v>
      </c>
      <c r="V680">
        <f t="shared" si="32"/>
        <v>0</v>
      </c>
    </row>
    <row r="681" spans="1:22" ht="15" customHeight="1" x14ac:dyDescent="0.35">
      <c r="A681" s="3" t="s">
        <v>1081</v>
      </c>
      <c r="B681" s="4">
        <v>45337</v>
      </c>
      <c r="C681" s="3" t="s">
        <v>338</v>
      </c>
      <c r="D681" s="3" t="s">
        <v>59</v>
      </c>
      <c r="E681" s="3" t="s">
        <v>212</v>
      </c>
      <c r="F681" s="5">
        <v>9</v>
      </c>
      <c r="G681" s="5">
        <v>1430</v>
      </c>
      <c r="H681" s="5">
        <v>6</v>
      </c>
      <c r="I681" s="5">
        <v>12097.8</v>
      </c>
      <c r="J681" s="3" t="s">
        <v>26</v>
      </c>
      <c r="K681" s="3" t="s">
        <v>38</v>
      </c>
      <c r="L681" t="str">
        <f>IFERROR(VLOOKUP(D681,Products!$A$2:$F$61,3,FALSE()),"")</f>
        <v>Electronics</v>
      </c>
      <c r="M681" t="str">
        <f>IFERROR(VLOOKUP(E681,Sales_Reps!$A$2:$C$31,3,FALSE()),"")</f>
        <v>South</v>
      </c>
      <c r="N681">
        <f>IFERROR(VLOOKUP(D681,Products!$A$2:$F$61,4,FALSE()),"")</f>
        <v>861</v>
      </c>
      <c r="O681" t="str">
        <f>IFERROR(VLOOKUP(C681,Customers!$A$2:$F$301,5,FALSE()),"")</f>
        <v>SMB</v>
      </c>
      <c r="P681">
        <f>IFERROR(VLOOKUP(C681,Customers!$A$2:$F$301,3,FALSE()),"")</f>
        <v>53</v>
      </c>
      <c r="Q681">
        <f t="shared" si="30"/>
        <v>0.39790209790209791</v>
      </c>
      <c r="R681">
        <f>IF(AND(COUNTIF($A$2:$A$2047,A681)&gt;1,COUNTIF($A$2:A681,A681)=1),1,0)</f>
        <v>0</v>
      </c>
      <c r="S681" t="b">
        <f>IFERROR(VLOOKUP(D681,Products!$A$2:$F$61,6,FALSE()),"")</f>
        <v>1</v>
      </c>
      <c r="T681" t="str">
        <f>IF(COUNTIF(Customers!$A$2:$A$301,C681)=0,"Missing","OK")</f>
        <v>OK</v>
      </c>
      <c r="U681" t="str">
        <f t="shared" si="31"/>
        <v>Delhi</v>
      </c>
      <c r="V681">
        <f t="shared" si="32"/>
        <v>0</v>
      </c>
    </row>
    <row r="682" spans="1:22" ht="15" customHeight="1" x14ac:dyDescent="0.35">
      <c r="A682" s="3" t="s">
        <v>1082</v>
      </c>
      <c r="B682" s="4">
        <v>45510</v>
      </c>
      <c r="C682" s="3" t="s">
        <v>534</v>
      </c>
      <c r="D682" s="3" t="s">
        <v>112</v>
      </c>
      <c r="E682" s="3" t="s">
        <v>25</v>
      </c>
      <c r="F682" s="5">
        <v>8</v>
      </c>
      <c r="G682" s="5">
        <v>2720</v>
      </c>
      <c r="H682" s="5">
        <v>25.7</v>
      </c>
      <c r="I682" s="5">
        <v>16167.68</v>
      </c>
      <c r="J682" s="3" t="s">
        <v>26</v>
      </c>
      <c r="K682" s="3" t="s">
        <v>38</v>
      </c>
      <c r="L682" t="str">
        <f>IFERROR(VLOOKUP(D682,Products!$A$2:$F$61,3,FALSE()),"")</f>
        <v>Apparel</v>
      </c>
      <c r="M682" t="str">
        <f>IFERROR(VLOOKUP(E682,Sales_Reps!$A$2:$C$31,3,FALSE()),"")</f>
        <v>North</v>
      </c>
      <c r="N682">
        <f>IFERROR(VLOOKUP(D682,Products!$A$2:$F$61,4,FALSE()),"")</f>
        <v>1962</v>
      </c>
      <c r="O682" t="str">
        <f>IFERROR(VLOOKUP(C682,Customers!$A$2:$F$301,5,FALSE()),"")</f>
        <v>SMB</v>
      </c>
      <c r="P682">
        <f>IFERROR(VLOOKUP(C682,Customers!$A$2:$F$301,3,FALSE()),"")</f>
        <v>48</v>
      </c>
      <c r="Q682">
        <f t="shared" si="30"/>
        <v>0.2786764705882353</v>
      </c>
      <c r="R682">
        <f>IF(AND(COUNTIF($A$2:$A$2047,A682)&gt;1,COUNTIF($A$2:A682,A682)=1),1,0)</f>
        <v>0</v>
      </c>
      <c r="S682" t="b">
        <f>IFERROR(VLOOKUP(D682,Products!$A$2:$F$61,6,FALSE()),"")</f>
        <v>1</v>
      </c>
      <c r="T682" t="str">
        <f>IF(COUNTIF(Customers!$A$2:$A$301,C682)=0,"Missing","OK")</f>
        <v>OK</v>
      </c>
      <c r="U682" t="str">
        <f t="shared" si="31"/>
        <v>Delhi</v>
      </c>
      <c r="V682">
        <f t="shared" si="32"/>
        <v>0</v>
      </c>
    </row>
    <row r="683" spans="1:22" ht="15" customHeight="1" x14ac:dyDescent="0.35">
      <c r="A683" s="3" t="s">
        <v>1083</v>
      </c>
      <c r="B683" s="4">
        <v>45572</v>
      </c>
      <c r="C683" s="3" t="s">
        <v>656</v>
      </c>
      <c r="D683" s="3" t="s">
        <v>454</v>
      </c>
      <c r="E683" s="3" t="s">
        <v>282</v>
      </c>
      <c r="F683" s="5">
        <v>6</v>
      </c>
      <c r="G683" s="5">
        <v>6940</v>
      </c>
      <c r="H683" s="5">
        <v>25.7</v>
      </c>
      <c r="I683" s="5">
        <v>30938.52</v>
      </c>
      <c r="J683" s="3" t="s">
        <v>26</v>
      </c>
      <c r="K683" s="3" t="s">
        <v>33</v>
      </c>
      <c r="L683" t="str">
        <f>IFERROR(VLOOKUP(D683,Products!$A$2:$F$61,3,FALSE()),"")</f>
        <v>Sports</v>
      </c>
      <c r="M683" t="str">
        <f>IFERROR(VLOOKUP(E683,Sales_Reps!$A$2:$C$31,3,FALSE()),"")</f>
        <v>West</v>
      </c>
      <c r="N683">
        <f>IFERROR(VLOOKUP(D683,Products!$A$2:$F$61,4,FALSE()),"")</f>
        <v>2827</v>
      </c>
      <c r="O683" t="str">
        <f>IFERROR(VLOOKUP(C683,Customers!$A$2:$F$301,5,FALSE()),"")</f>
        <v>Retail</v>
      </c>
      <c r="P683">
        <f>IFERROR(VLOOKUP(C683,Customers!$A$2:$F$301,3,FALSE()),"")</f>
        <v>24</v>
      </c>
      <c r="Q683">
        <f t="shared" si="30"/>
        <v>0.5926512968299712</v>
      </c>
      <c r="R683">
        <f>IF(AND(COUNTIF($A$2:$A$2047,A683)&gt;1,COUNTIF($A$2:A683,A683)=1),1,0)</f>
        <v>0</v>
      </c>
      <c r="S683" t="b">
        <f>IFERROR(VLOOKUP(D683,Products!$A$2:$F$61,6,FALSE()),"")</f>
        <v>1</v>
      </c>
      <c r="T683" t="str">
        <f>IF(COUNTIF(Customers!$A$2:$A$301,C683)=0,"Missing","OK")</f>
        <v>OK</v>
      </c>
      <c r="U683" t="str">
        <f t="shared" si="31"/>
        <v>Chennai</v>
      </c>
      <c r="V683">
        <f t="shared" si="32"/>
        <v>0</v>
      </c>
    </row>
    <row r="684" spans="1:22" ht="15" customHeight="1" x14ac:dyDescent="0.35">
      <c r="A684" s="3" t="s">
        <v>1084</v>
      </c>
      <c r="B684" s="4">
        <v>45472</v>
      </c>
      <c r="C684" s="3" t="s">
        <v>707</v>
      </c>
      <c r="D684" s="3" t="s">
        <v>24</v>
      </c>
      <c r="E684" s="3" t="s">
        <v>25</v>
      </c>
      <c r="F684" s="5">
        <v>3</v>
      </c>
      <c r="G684" s="5">
        <v>3620</v>
      </c>
      <c r="H684" s="5">
        <v>29.7</v>
      </c>
      <c r="I684" s="5">
        <v>7634.58</v>
      </c>
      <c r="J684" s="3" t="s">
        <v>26</v>
      </c>
      <c r="K684" s="3" t="s">
        <v>27</v>
      </c>
      <c r="L684" t="str">
        <f>IFERROR(VLOOKUP(D684,Products!$A$2:$F$61,3,FALSE()),"")</f>
        <v>Apparel</v>
      </c>
      <c r="M684" t="str">
        <f>IFERROR(VLOOKUP(E684,Sales_Reps!$A$2:$C$31,3,FALSE()),"")</f>
        <v>North</v>
      </c>
      <c r="N684">
        <f>IFERROR(VLOOKUP(D684,Products!$A$2:$F$61,4,FALSE()),"")</f>
        <v>2509</v>
      </c>
      <c r="O684" t="str">
        <f>IFERROR(VLOOKUP(C684,Customers!$A$2:$F$301,5,FALSE()),"")</f>
        <v>Corporate</v>
      </c>
      <c r="P684">
        <f>IFERROR(VLOOKUP(C684,Customers!$A$2:$F$301,3,FALSE()),"")</f>
        <v>42</v>
      </c>
      <c r="Q684">
        <f t="shared" si="30"/>
        <v>0.3069060773480663</v>
      </c>
      <c r="R684">
        <f>IF(AND(COUNTIF($A$2:$A$2047,A684)&gt;1,COUNTIF($A$2:A684,A684)=1),1,0)</f>
        <v>0</v>
      </c>
      <c r="S684" t="b">
        <f>IFERROR(VLOOKUP(D684,Products!$A$2:$F$61,6,FALSE()),"")</f>
        <v>1</v>
      </c>
      <c r="T684" t="str">
        <f>IF(COUNTIF(Customers!$A$2:$A$301,C684)=0,"Missing","OK")</f>
        <v>OK</v>
      </c>
      <c r="U684" t="str">
        <f t="shared" si="31"/>
        <v>Pune</v>
      </c>
      <c r="V684">
        <f t="shared" si="32"/>
        <v>0</v>
      </c>
    </row>
    <row r="685" spans="1:22" ht="15" customHeight="1" x14ac:dyDescent="0.35">
      <c r="A685" s="3" t="s">
        <v>1085</v>
      </c>
      <c r="B685" s="4">
        <v>45615</v>
      </c>
      <c r="C685" s="3" t="s">
        <v>317</v>
      </c>
      <c r="D685" s="3" t="s">
        <v>74</v>
      </c>
      <c r="E685" s="3" t="s">
        <v>50</v>
      </c>
      <c r="F685" s="5">
        <v>8</v>
      </c>
      <c r="G685" s="5">
        <v>2640</v>
      </c>
      <c r="H685" s="5">
        <v>24.4</v>
      </c>
      <c r="I685" s="5">
        <v>15966.72</v>
      </c>
      <c r="J685" s="3" t="s">
        <v>26</v>
      </c>
      <c r="K685" s="3" t="s">
        <v>33</v>
      </c>
      <c r="L685" t="str">
        <f>IFERROR(VLOOKUP(D685,Products!$A$2:$F$61,3,FALSE()),"")</f>
        <v>Electronics</v>
      </c>
      <c r="M685" t="str">
        <f>IFERROR(VLOOKUP(E685,Sales_Reps!$A$2:$C$31,3,FALSE()),"")</f>
        <v>West</v>
      </c>
      <c r="N685">
        <f>IFERROR(VLOOKUP(D685,Products!$A$2:$F$61,4,FALSE()),"")</f>
        <v>1149</v>
      </c>
      <c r="O685" t="str">
        <f>IFERROR(VLOOKUP(C685,Customers!$A$2:$F$301,5,FALSE()),"")</f>
        <v>SMB</v>
      </c>
      <c r="P685">
        <f>IFERROR(VLOOKUP(C685,Customers!$A$2:$F$301,3,FALSE()),"")</f>
        <v>53</v>
      </c>
      <c r="Q685">
        <f t="shared" si="30"/>
        <v>0.56477272727272732</v>
      </c>
      <c r="R685">
        <f>IF(AND(COUNTIF($A$2:$A$2047,A685)&gt;1,COUNTIF($A$2:A685,A685)=1),1,0)</f>
        <v>0</v>
      </c>
      <c r="S685" t="b">
        <f>IFERROR(VLOOKUP(D685,Products!$A$2:$F$61,6,FALSE()),"")</f>
        <v>1</v>
      </c>
      <c r="T685" t="str">
        <f>IF(COUNTIF(Customers!$A$2:$A$301,C685)=0,"Missing","OK")</f>
        <v>OK</v>
      </c>
      <c r="U685" t="str">
        <f t="shared" si="31"/>
        <v>Chennai</v>
      </c>
      <c r="V685">
        <f t="shared" si="32"/>
        <v>0</v>
      </c>
    </row>
    <row r="686" spans="1:22" ht="15" customHeight="1" x14ac:dyDescent="0.35">
      <c r="A686" s="3" t="s">
        <v>1086</v>
      </c>
      <c r="B686" s="4">
        <v>45349</v>
      </c>
      <c r="C686" s="3" t="s">
        <v>668</v>
      </c>
      <c r="D686" s="3" t="s">
        <v>63</v>
      </c>
      <c r="E686" s="3" t="s">
        <v>42</v>
      </c>
      <c r="F686" s="5">
        <v>3</v>
      </c>
      <c r="G686" s="5">
        <v>5490</v>
      </c>
      <c r="H686" s="5">
        <v>13.5</v>
      </c>
      <c r="I686" s="5">
        <v>14246.55</v>
      </c>
      <c r="J686" s="3" t="s">
        <v>26</v>
      </c>
      <c r="K686" s="3" t="s">
        <v>51</v>
      </c>
      <c r="L686" t="str">
        <f>IFERROR(VLOOKUP(D686,Products!$A$2:$F$61,3,FALSE()),"")</f>
        <v>Home</v>
      </c>
      <c r="M686" t="str">
        <f>IFERROR(VLOOKUP(E686,Sales_Reps!$A$2:$C$31,3,FALSE()),"")</f>
        <v>North</v>
      </c>
      <c r="N686">
        <f>IFERROR(VLOOKUP(D686,Products!$A$2:$F$61,4,FALSE()),"")</f>
        <v>2549</v>
      </c>
      <c r="O686" t="str">
        <f>IFERROR(VLOOKUP(C686,Customers!$A$2:$F$301,5,FALSE()),"")</f>
        <v>Retail</v>
      </c>
      <c r="P686">
        <f>IFERROR(VLOOKUP(C686,Customers!$A$2:$F$301,3,FALSE()),"")</f>
        <v>56</v>
      </c>
      <c r="Q686">
        <f t="shared" si="30"/>
        <v>0.53570127504553733</v>
      </c>
      <c r="R686">
        <f>IF(AND(COUNTIF($A$2:$A$2047,A686)&gt;1,COUNTIF($A$2:A686,A686)=1),1,0)</f>
        <v>0</v>
      </c>
      <c r="S686" t="b">
        <f>IFERROR(VLOOKUP(D686,Products!$A$2:$F$61,6,FALSE()),"")</f>
        <v>1</v>
      </c>
      <c r="T686" t="str">
        <f>IF(COUNTIF(Customers!$A$2:$A$301,C686)=0,"Missing","OK")</f>
        <v>OK</v>
      </c>
      <c r="U686" t="str">
        <f t="shared" si="31"/>
        <v>Mumbai</v>
      </c>
      <c r="V686">
        <f t="shared" si="32"/>
        <v>0</v>
      </c>
    </row>
    <row r="687" spans="1:22" ht="15" customHeight="1" x14ac:dyDescent="0.35">
      <c r="A687" s="3" t="s">
        <v>1087</v>
      </c>
      <c r="B687" s="4">
        <v>45413</v>
      </c>
      <c r="C687" s="3" t="s">
        <v>81</v>
      </c>
      <c r="D687" s="3" t="s">
        <v>382</v>
      </c>
      <c r="E687" s="3" t="s">
        <v>177</v>
      </c>
      <c r="F687" s="5">
        <v>3</v>
      </c>
      <c r="G687" s="5">
        <v>5080</v>
      </c>
      <c r="H687" s="5">
        <v>9.3000000000000007</v>
      </c>
      <c r="I687" s="5">
        <v>13822.68</v>
      </c>
      <c r="J687" s="3" t="s">
        <v>26</v>
      </c>
      <c r="K687" s="3" t="s">
        <v>27</v>
      </c>
      <c r="L687" t="str">
        <f>IFERROR(VLOOKUP(D687,Products!$A$2:$F$61,3,FALSE()),"")</f>
        <v>Home</v>
      </c>
      <c r="M687" t="str">
        <f>IFERROR(VLOOKUP(E687,Sales_Reps!$A$2:$C$31,3,FALSE()),"")</f>
        <v>East</v>
      </c>
      <c r="N687">
        <f>IFERROR(VLOOKUP(D687,Products!$A$2:$F$61,4,FALSE()),"")</f>
        <v>2459</v>
      </c>
      <c r="O687" t="str">
        <f>IFERROR(VLOOKUP(C687,Customers!$A$2:$F$301,5,FALSE()),"")</f>
        <v>SMB</v>
      </c>
      <c r="P687">
        <f>IFERROR(VLOOKUP(C687,Customers!$A$2:$F$301,3,FALSE()),"")</f>
        <v>39</v>
      </c>
      <c r="Q687">
        <f t="shared" si="30"/>
        <v>0.51594488188976373</v>
      </c>
      <c r="R687">
        <f>IF(AND(COUNTIF($A$2:$A$2047,A687)&gt;1,COUNTIF($A$2:A687,A687)=1),1,0)</f>
        <v>0</v>
      </c>
      <c r="S687" t="b">
        <f>IFERROR(VLOOKUP(D687,Products!$A$2:$F$61,6,FALSE()),"")</f>
        <v>1</v>
      </c>
      <c r="T687" t="str">
        <f>IF(COUNTIF(Customers!$A$2:$A$301,C687)=0,"Missing","OK")</f>
        <v>OK</v>
      </c>
      <c r="U687" t="str">
        <f t="shared" si="31"/>
        <v>Pune</v>
      </c>
      <c r="V687">
        <f t="shared" si="32"/>
        <v>0</v>
      </c>
    </row>
    <row r="688" spans="1:22" ht="15" customHeight="1" x14ac:dyDescent="0.35">
      <c r="A688" s="3" t="s">
        <v>1088</v>
      </c>
      <c r="B688" s="4">
        <v>45515</v>
      </c>
      <c r="C688" s="3" t="s">
        <v>333</v>
      </c>
      <c r="D688" s="3" t="s">
        <v>325</v>
      </c>
      <c r="E688" s="3" t="s">
        <v>109</v>
      </c>
      <c r="F688" s="5">
        <v>4</v>
      </c>
      <c r="G688" s="5">
        <v>2290</v>
      </c>
      <c r="H688" s="5">
        <v>24.4</v>
      </c>
      <c r="I688" s="5">
        <v>6924.96</v>
      </c>
      <c r="J688" s="3" t="s">
        <v>26</v>
      </c>
      <c r="K688" s="3" t="s">
        <v>56</v>
      </c>
      <c r="L688" t="str">
        <f>IFERROR(VLOOKUP(D688,Products!$A$2:$F$61,3,FALSE()),"")</f>
        <v>Beauty</v>
      </c>
      <c r="M688" t="str">
        <f>IFERROR(VLOOKUP(E688,Sales_Reps!$A$2:$C$31,3,FALSE()),"")</f>
        <v>West</v>
      </c>
      <c r="N688">
        <f>IFERROR(VLOOKUP(D688,Products!$A$2:$F$61,4,FALSE()),"")</f>
        <v>1219</v>
      </c>
      <c r="O688" t="str">
        <f>IFERROR(VLOOKUP(C688,Customers!$A$2:$F$301,5,FALSE()),"")</f>
        <v>SMB</v>
      </c>
      <c r="P688">
        <f>IFERROR(VLOOKUP(C688,Customers!$A$2:$F$301,3,FALSE()),"")</f>
        <v>28</v>
      </c>
      <c r="Q688">
        <f t="shared" si="30"/>
        <v>0.46768558951965067</v>
      </c>
      <c r="R688">
        <f>IF(AND(COUNTIF($A$2:$A$2047,A688)&gt;1,COUNTIF($A$2:A688,A688)=1),1,0)</f>
        <v>0</v>
      </c>
      <c r="S688" t="b">
        <f>IFERROR(VLOOKUP(D688,Products!$A$2:$F$61,6,FALSE()),"")</f>
        <v>1</v>
      </c>
      <c r="T688" t="str">
        <f>IF(COUNTIF(Customers!$A$2:$A$301,C688)=0,"Missing","OK")</f>
        <v>OK</v>
      </c>
      <c r="U688" t="str">
        <f t="shared" si="31"/>
        <v>Bengaluru</v>
      </c>
      <c r="V688">
        <f t="shared" si="32"/>
        <v>0</v>
      </c>
    </row>
    <row r="689" spans="1:22" ht="15" customHeight="1" x14ac:dyDescent="0.35">
      <c r="A689" s="3" t="s">
        <v>1089</v>
      </c>
      <c r="B689" s="4">
        <v>45463</v>
      </c>
      <c r="C689" s="3" t="s">
        <v>352</v>
      </c>
      <c r="D689" s="3" t="s">
        <v>234</v>
      </c>
      <c r="E689" s="3" t="s">
        <v>212</v>
      </c>
      <c r="F689" s="5">
        <v>10</v>
      </c>
      <c r="G689" s="5">
        <v>2030</v>
      </c>
      <c r="H689" s="5">
        <v>13.6</v>
      </c>
      <c r="I689" s="5">
        <v>17539.2</v>
      </c>
      <c r="J689" s="3" t="s">
        <v>32</v>
      </c>
      <c r="K689" s="3" t="s">
        <v>27</v>
      </c>
      <c r="L689" t="str">
        <f>IFERROR(VLOOKUP(D689,Products!$A$2:$F$61,3,FALSE()),"")</f>
        <v>Home</v>
      </c>
      <c r="M689" t="str">
        <f>IFERROR(VLOOKUP(E689,Sales_Reps!$A$2:$C$31,3,FALSE()),"")</f>
        <v>South</v>
      </c>
      <c r="N689">
        <f>IFERROR(VLOOKUP(D689,Products!$A$2:$F$61,4,FALSE()),"")</f>
        <v>1143</v>
      </c>
      <c r="O689" t="str">
        <f>IFERROR(VLOOKUP(C689,Customers!$A$2:$F$301,5,FALSE()),"")</f>
        <v>Retail</v>
      </c>
      <c r="P689">
        <f>IFERROR(VLOOKUP(C689,Customers!$A$2:$F$301,3,FALSE()),"")</f>
        <v>22</v>
      </c>
      <c r="Q689">
        <f t="shared" si="30"/>
        <v>0.43694581280788175</v>
      </c>
      <c r="R689">
        <f>IF(AND(COUNTIF($A$2:$A$2047,A689)&gt;1,COUNTIF($A$2:A689,A689)=1),1,0)</f>
        <v>0</v>
      </c>
      <c r="S689" t="b">
        <f>IFERROR(VLOOKUP(D689,Products!$A$2:$F$61,6,FALSE()),"")</f>
        <v>1</v>
      </c>
      <c r="T689" t="str">
        <f>IF(COUNTIF(Customers!$A$2:$A$301,C689)=0,"Missing","OK")</f>
        <v>OK</v>
      </c>
      <c r="U689" t="str">
        <f t="shared" si="31"/>
        <v>Pune</v>
      </c>
      <c r="V689">
        <f t="shared" si="32"/>
        <v>0</v>
      </c>
    </row>
    <row r="690" spans="1:22" ht="15" customHeight="1" x14ac:dyDescent="0.35">
      <c r="A690" s="3" t="s">
        <v>1090</v>
      </c>
      <c r="B690" s="4">
        <v>45607</v>
      </c>
      <c r="C690" s="3" t="s">
        <v>504</v>
      </c>
      <c r="D690" s="3" t="s">
        <v>59</v>
      </c>
      <c r="E690" s="3" t="s">
        <v>264</v>
      </c>
      <c r="F690" s="5">
        <v>10</v>
      </c>
      <c r="G690" s="5">
        <v>1430</v>
      </c>
      <c r="H690" s="5">
        <v>16.100000000000001</v>
      </c>
      <c r="I690" s="5">
        <v>11997.7</v>
      </c>
      <c r="J690" s="3" t="s">
        <v>79</v>
      </c>
      <c r="K690" s="3" t="s">
        <v>51</v>
      </c>
      <c r="L690" t="str">
        <f>IFERROR(VLOOKUP(D690,Products!$A$2:$F$61,3,FALSE()),"")</f>
        <v>Electronics</v>
      </c>
      <c r="M690" t="str">
        <f>IFERROR(VLOOKUP(E690,Sales_Reps!$A$2:$C$31,3,FALSE()),"")</f>
        <v>South</v>
      </c>
      <c r="N690">
        <f>IFERROR(VLOOKUP(D690,Products!$A$2:$F$61,4,FALSE()),"")</f>
        <v>861</v>
      </c>
      <c r="O690" t="str">
        <f>IFERROR(VLOOKUP(C690,Customers!$A$2:$F$301,5,FALSE()),"")</f>
        <v>SMB</v>
      </c>
      <c r="P690">
        <f>IFERROR(VLOOKUP(C690,Customers!$A$2:$F$301,3,FALSE()),"")</f>
        <v>61</v>
      </c>
      <c r="Q690">
        <f t="shared" si="30"/>
        <v>0.39790209790209791</v>
      </c>
      <c r="R690">
        <f>IF(AND(COUNTIF($A$2:$A$2047,A690)&gt;1,COUNTIF($A$2:A690,A690)=1),1,0)</f>
        <v>0</v>
      </c>
      <c r="S690" t="b">
        <f>IFERROR(VLOOKUP(D690,Products!$A$2:$F$61,6,FALSE()),"")</f>
        <v>1</v>
      </c>
      <c r="T690" t="str">
        <f>IF(COUNTIF(Customers!$A$2:$A$301,C690)=0,"Missing","OK")</f>
        <v>OK</v>
      </c>
      <c r="U690" t="str">
        <f t="shared" si="31"/>
        <v>Mumbai</v>
      </c>
      <c r="V690">
        <f t="shared" si="32"/>
        <v>0</v>
      </c>
    </row>
    <row r="691" spans="1:22" ht="15" customHeight="1" x14ac:dyDescent="0.35">
      <c r="A691" s="3" t="s">
        <v>1091</v>
      </c>
      <c r="B691" s="4">
        <v>45357</v>
      </c>
      <c r="C691" s="3" t="s">
        <v>1001</v>
      </c>
      <c r="D691" s="3" t="s">
        <v>173</v>
      </c>
      <c r="E691" s="3" t="s">
        <v>143</v>
      </c>
      <c r="F691" s="5">
        <v>1</v>
      </c>
      <c r="G691" s="5">
        <v>3780</v>
      </c>
      <c r="H691" s="5">
        <v>22.7</v>
      </c>
      <c r="I691" s="5">
        <v>2921.94</v>
      </c>
      <c r="J691" s="3" t="s">
        <v>26</v>
      </c>
      <c r="K691" s="3" t="s">
        <v>51</v>
      </c>
      <c r="L691" t="str">
        <f>IFERROR(VLOOKUP(D691,Products!$A$2:$F$61,3,FALSE()),"")</f>
        <v>Grocery</v>
      </c>
      <c r="M691" t="str">
        <f>IFERROR(VLOOKUP(E691,Sales_Reps!$A$2:$C$31,3,FALSE()),"")</f>
        <v>South</v>
      </c>
      <c r="N691">
        <f>IFERROR(VLOOKUP(D691,Products!$A$2:$F$61,4,FALSE()),"")</f>
        <v>2436</v>
      </c>
      <c r="O691" t="str">
        <f>IFERROR(VLOOKUP(C691,Customers!$A$2:$F$301,5,FALSE()),"")</f>
        <v>SMB</v>
      </c>
      <c r="P691">
        <f>IFERROR(VLOOKUP(C691,Customers!$A$2:$F$301,3,FALSE()),"")</f>
        <v>54</v>
      </c>
      <c r="Q691">
        <f t="shared" si="30"/>
        <v>0.35555555555555557</v>
      </c>
      <c r="R691">
        <f>IF(AND(COUNTIF($A$2:$A$2047,A691)&gt;1,COUNTIF($A$2:A691,A691)=1),1,0)</f>
        <v>0</v>
      </c>
      <c r="S691" t="b">
        <f>IFERROR(VLOOKUP(D691,Products!$A$2:$F$61,6,FALSE()),"")</f>
        <v>1</v>
      </c>
      <c r="T691" t="str">
        <f>IF(COUNTIF(Customers!$A$2:$A$301,C691)=0,"Missing","OK")</f>
        <v>OK</v>
      </c>
      <c r="U691" t="str">
        <f t="shared" si="31"/>
        <v>Mumbai</v>
      </c>
      <c r="V691">
        <f t="shared" si="32"/>
        <v>0</v>
      </c>
    </row>
    <row r="692" spans="1:22" ht="15" customHeight="1" x14ac:dyDescent="0.35">
      <c r="A692" s="3" t="s">
        <v>1092</v>
      </c>
      <c r="B692" s="4">
        <v>45443</v>
      </c>
      <c r="C692" s="3" t="s">
        <v>331</v>
      </c>
      <c r="D692" s="3" t="s">
        <v>45</v>
      </c>
      <c r="E692" s="3" t="s">
        <v>97</v>
      </c>
      <c r="F692" s="5">
        <v>10</v>
      </c>
      <c r="G692" s="5">
        <v>3160</v>
      </c>
      <c r="H692" s="5">
        <v>13.4</v>
      </c>
      <c r="I692" s="5">
        <v>27365.599999999999</v>
      </c>
      <c r="J692" s="3" t="s">
        <v>26</v>
      </c>
      <c r="K692" s="3" t="s">
        <v>51</v>
      </c>
      <c r="L692" t="str">
        <f>IFERROR(VLOOKUP(D692,Products!$A$2:$F$61,3,FALSE()),"")</f>
        <v>Apparel</v>
      </c>
      <c r="M692" t="str">
        <f>IFERROR(VLOOKUP(E692,Sales_Reps!$A$2:$C$31,3,FALSE()),"")</f>
        <v>East</v>
      </c>
      <c r="N692">
        <f>IFERROR(VLOOKUP(D692,Products!$A$2:$F$61,4,FALSE()),"")</f>
        <v>1886</v>
      </c>
      <c r="O692" t="str">
        <f>IFERROR(VLOOKUP(C692,Customers!$A$2:$F$301,5,FALSE()),"")</f>
        <v>Retail</v>
      </c>
      <c r="P692">
        <f>IFERROR(VLOOKUP(C692,Customers!$A$2:$F$301,3,FALSE()),"")</f>
        <v>50</v>
      </c>
      <c r="Q692">
        <f t="shared" si="30"/>
        <v>0.4031645569620253</v>
      </c>
      <c r="R692">
        <f>IF(AND(COUNTIF($A$2:$A$2047,A692)&gt;1,COUNTIF($A$2:A692,A692)=1),1,0)</f>
        <v>0</v>
      </c>
      <c r="S692" t="b">
        <f>IFERROR(VLOOKUP(D692,Products!$A$2:$F$61,6,FALSE()),"")</f>
        <v>1</v>
      </c>
      <c r="T692" t="str">
        <f>IF(COUNTIF(Customers!$A$2:$A$301,C692)=0,"Missing","OK")</f>
        <v>OK</v>
      </c>
      <c r="U692" t="str">
        <f t="shared" si="31"/>
        <v>Mumbai</v>
      </c>
      <c r="V692">
        <f t="shared" si="32"/>
        <v>0</v>
      </c>
    </row>
    <row r="693" spans="1:22" ht="15" customHeight="1" x14ac:dyDescent="0.35">
      <c r="A693" s="3" t="s">
        <v>1093</v>
      </c>
      <c r="B693" s="4">
        <v>45422</v>
      </c>
      <c r="C693" s="3" t="s">
        <v>381</v>
      </c>
      <c r="D693" s="3" t="s">
        <v>59</v>
      </c>
      <c r="E693" s="3" t="s">
        <v>87</v>
      </c>
      <c r="F693" s="5">
        <v>2</v>
      </c>
      <c r="G693" s="5">
        <v>1430</v>
      </c>
      <c r="H693" s="5">
        <v>7.4</v>
      </c>
      <c r="I693" s="5">
        <v>2648.36</v>
      </c>
      <c r="J693" s="3" t="s">
        <v>26</v>
      </c>
      <c r="K693" s="3" t="s">
        <v>27</v>
      </c>
      <c r="L693" t="str">
        <f>IFERROR(VLOOKUP(D693,Products!$A$2:$F$61,3,FALSE()),"")</f>
        <v>Electronics</v>
      </c>
      <c r="M693" t="str">
        <f>IFERROR(VLOOKUP(E693,Sales_Reps!$A$2:$C$31,3,FALSE()),"")</f>
        <v>North</v>
      </c>
      <c r="N693">
        <f>IFERROR(VLOOKUP(D693,Products!$A$2:$F$61,4,FALSE()),"")</f>
        <v>861</v>
      </c>
      <c r="O693" t="str">
        <f>IFERROR(VLOOKUP(C693,Customers!$A$2:$F$301,5,FALSE()),"")</f>
        <v>Retail</v>
      </c>
      <c r="P693">
        <f>IFERROR(VLOOKUP(C693,Customers!$A$2:$F$301,3,FALSE()),"")</f>
        <v>65</v>
      </c>
      <c r="Q693">
        <f t="shared" si="30"/>
        <v>0.39790209790209791</v>
      </c>
      <c r="R693">
        <f>IF(AND(COUNTIF($A$2:$A$2047,A693)&gt;1,COUNTIF($A$2:A693,A693)=1),1,0)</f>
        <v>0</v>
      </c>
      <c r="S693" t="b">
        <f>IFERROR(VLOOKUP(D693,Products!$A$2:$F$61,6,FALSE()),"")</f>
        <v>1</v>
      </c>
      <c r="T693" t="str">
        <f>IF(COUNTIF(Customers!$A$2:$A$301,C693)=0,"Missing","OK")</f>
        <v>OK</v>
      </c>
      <c r="U693" t="str">
        <f t="shared" si="31"/>
        <v>Pune</v>
      </c>
      <c r="V693">
        <f t="shared" si="32"/>
        <v>0</v>
      </c>
    </row>
    <row r="694" spans="1:22" ht="15" customHeight="1" x14ac:dyDescent="0.35">
      <c r="A694" s="3" t="s">
        <v>1094</v>
      </c>
      <c r="B694" s="4">
        <v>45640</v>
      </c>
      <c r="C694" s="3" t="s">
        <v>170</v>
      </c>
      <c r="D694" s="3" t="s">
        <v>45</v>
      </c>
      <c r="E694" s="3" t="s">
        <v>42</v>
      </c>
      <c r="F694" s="5">
        <v>5</v>
      </c>
      <c r="G694" s="5">
        <v>3160</v>
      </c>
      <c r="H694" s="5">
        <v>3.6</v>
      </c>
      <c r="I694" s="5">
        <v>15231.2</v>
      </c>
      <c r="J694" s="3" t="s">
        <v>32</v>
      </c>
      <c r="K694" s="3" t="s">
        <v>56</v>
      </c>
      <c r="L694" t="str">
        <f>IFERROR(VLOOKUP(D694,Products!$A$2:$F$61,3,FALSE()),"")</f>
        <v>Apparel</v>
      </c>
      <c r="M694" t="str">
        <f>IFERROR(VLOOKUP(E694,Sales_Reps!$A$2:$C$31,3,FALSE()),"")</f>
        <v>North</v>
      </c>
      <c r="N694">
        <f>IFERROR(VLOOKUP(D694,Products!$A$2:$F$61,4,FALSE()),"")</f>
        <v>1886</v>
      </c>
      <c r="O694" t="str">
        <f>IFERROR(VLOOKUP(C694,Customers!$A$2:$F$301,5,FALSE()),"")</f>
        <v>SMB</v>
      </c>
      <c r="P694">
        <f>IFERROR(VLOOKUP(C694,Customers!$A$2:$F$301,3,FALSE()),"")</f>
        <v>64</v>
      </c>
      <c r="Q694">
        <f t="shared" si="30"/>
        <v>0.4031645569620253</v>
      </c>
      <c r="R694">
        <f>IF(AND(COUNTIF($A$2:$A$2047,A694)&gt;1,COUNTIF($A$2:A694,A694)=1),1,0)</f>
        <v>0</v>
      </c>
      <c r="S694" t="b">
        <f>IFERROR(VLOOKUP(D694,Products!$A$2:$F$61,6,FALSE()),"")</f>
        <v>1</v>
      </c>
      <c r="T694" t="str">
        <f>IF(COUNTIF(Customers!$A$2:$A$301,C694)=0,"Missing","OK")</f>
        <v>OK</v>
      </c>
      <c r="U694" t="str">
        <f t="shared" si="31"/>
        <v>Bengaluru</v>
      </c>
      <c r="V694">
        <f t="shared" si="32"/>
        <v>0</v>
      </c>
    </row>
    <row r="695" spans="1:22" ht="15" customHeight="1" x14ac:dyDescent="0.35">
      <c r="A695" s="3" t="s">
        <v>1095</v>
      </c>
      <c r="B695" s="4">
        <v>45521</v>
      </c>
      <c r="C695" s="3" t="s">
        <v>746</v>
      </c>
      <c r="D695" s="3" t="s">
        <v>325</v>
      </c>
      <c r="E695" s="3" t="s">
        <v>78</v>
      </c>
      <c r="F695" s="5">
        <v>2</v>
      </c>
      <c r="G695" s="5">
        <v>2290</v>
      </c>
      <c r="H695" s="5">
        <v>28.2</v>
      </c>
      <c r="I695" s="5">
        <v>3288.44</v>
      </c>
      <c r="J695" s="3" t="s">
        <v>26</v>
      </c>
      <c r="K695" s="3" t="s">
        <v>27</v>
      </c>
      <c r="L695" t="str">
        <f>IFERROR(VLOOKUP(D695,Products!$A$2:$F$61,3,FALSE()),"")</f>
        <v>Beauty</v>
      </c>
      <c r="M695" t="str">
        <f>IFERROR(VLOOKUP(E695,Sales_Reps!$A$2:$C$31,3,FALSE()),"")</f>
        <v>North</v>
      </c>
      <c r="N695">
        <f>IFERROR(VLOOKUP(D695,Products!$A$2:$F$61,4,FALSE()),"")</f>
        <v>1219</v>
      </c>
      <c r="O695" t="str">
        <f>IFERROR(VLOOKUP(C695,Customers!$A$2:$F$301,5,FALSE()),"")</f>
        <v>Retail</v>
      </c>
      <c r="P695">
        <f>IFERROR(VLOOKUP(C695,Customers!$A$2:$F$301,3,FALSE()),"")</f>
        <v>36</v>
      </c>
      <c r="Q695">
        <f t="shared" si="30"/>
        <v>0.46768558951965067</v>
      </c>
      <c r="R695">
        <f>IF(AND(COUNTIF($A$2:$A$2047,A695)&gt;1,COUNTIF($A$2:A695,A695)=1),1,0)</f>
        <v>0</v>
      </c>
      <c r="S695" t="b">
        <f>IFERROR(VLOOKUP(D695,Products!$A$2:$F$61,6,FALSE()),"")</f>
        <v>1</v>
      </c>
      <c r="T695" t="str">
        <f>IF(COUNTIF(Customers!$A$2:$A$301,C695)=0,"Missing","OK")</f>
        <v>OK</v>
      </c>
      <c r="U695" t="str">
        <f t="shared" si="31"/>
        <v>Pune</v>
      </c>
      <c r="V695">
        <f t="shared" si="32"/>
        <v>0</v>
      </c>
    </row>
    <row r="696" spans="1:22" ht="15" customHeight="1" x14ac:dyDescent="0.35">
      <c r="A696" s="3" t="s">
        <v>1096</v>
      </c>
      <c r="B696" s="4">
        <v>45366</v>
      </c>
      <c r="C696" s="3" t="s">
        <v>677</v>
      </c>
      <c r="D696" s="3" t="s">
        <v>391</v>
      </c>
      <c r="E696" s="3" t="s">
        <v>127</v>
      </c>
      <c r="F696" s="5">
        <v>5</v>
      </c>
      <c r="G696" s="5">
        <v>3450</v>
      </c>
      <c r="H696" s="5">
        <v>18.100000000000001</v>
      </c>
      <c r="I696" s="5">
        <v>14127.75</v>
      </c>
      <c r="J696" s="3" t="s">
        <v>79</v>
      </c>
      <c r="K696" s="3" t="s">
        <v>27</v>
      </c>
      <c r="L696" t="str">
        <f>IFERROR(VLOOKUP(D696,Products!$A$2:$F$61,3,FALSE()),"")</f>
        <v>Apparel</v>
      </c>
      <c r="M696" t="str">
        <f>IFERROR(VLOOKUP(E696,Sales_Reps!$A$2:$C$31,3,FALSE()),"")</f>
        <v>South</v>
      </c>
      <c r="N696">
        <f>IFERROR(VLOOKUP(D696,Products!$A$2:$F$61,4,FALSE()),"")</f>
        <v>1748</v>
      </c>
      <c r="O696" t="str">
        <f>IFERROR(VLOOKUP(C696,Customers!$A$2:$F$301,5,FALSE()),"")</f>
        <v>Retail</v>
      </c>
      <c r="P696">
        <f>IFERROR(VLOOKUP(C696,Customers!$A$2:$F$301,3,FALSE()),"")</f>
        <v>36</v>
      </c>
      <c r="Q696">
        <f t="shared" si="30"/>
        <v>0.49333333333333335</v>
      </c>
      <c r="R696">
        <f>IF(AND(COUNTIF($A$2:$A$2047,A696)&gt;1,COUNTIF($A$2:A696,A696)=1),1,0)</f>
        <v>0</v>
      </c>
      <c r="S696" t="b">
        <f>IFERROR(VLOOKUP(D696,Products!$A$2:$F$61,6,FALSE()),"")</f>
        <v>1</v>
      </c>
      <c r="T696" t="str">
        <f>IF(COUNTIF(Customers!$A$2:$A$301,C696)=0,"Missing","OK")</f>
        <v>OK</v>
      </c>
      <c r="U696" t="str">
        <f t="shared" si="31"/>
        <v>Pune</v>
      </c>
      <c r="V696">
        <f t="shared" si="32"/>
        <v>0</v>
      </c>
    </row>
    <row r="697" spans="1:22" ht="15" customHeight="1" x14ac:dyDescent="0.35">
      <c r="A697" s="3" t="s">
        <v>1097</v>
      </c>
      <c r="B697" s="4">
        <v>45439</v>
      </c>
      <c r="C697" s="3" t="s">
        <v>156</v>
      </c>
      <c r="D697" s="3" t="s">
        <v>598</v>
      </c>
      <c r="E697" s="3" t="s">
        <v>154</v>
      </c>
      <c r="F697" s="5">
        <v>1</v>
      </c>
      <c r="G697" s="5">
        <v>3560</v>
      </c>
      <c r="H697" s="5">
        <v>18.7</v>
      </c>
      <c r="I697" s="5">
        <v>2894.28</v>
      </c>
      <c r="J697" s="3" t="s">
        <v>26</v>
      </c>
      <c r="K697" s="3" t="s">
        <v>33</v>
      </c>
      <c r="L697" t="str">
        <f>IFERROR(VLOOKUP(D697,Products!$A$2:$F$61,3,FALSE()),"")</f>
        <v>Apparel</v>
      </c>
      <c r="M697" t="str">
        <f>IFERROR(VLOOKUP(E697,Sales_Reps!$A$2:$C$31,3,FALSE()),"")</f>
        <v>North</v>
      </c>
      <c r="N697">
        <f>IFERROR(VLOOKUP(D697,Products!$A$2:$F$61,4,FALSE()),"")</f>
        <v>2629</v>
      </c>
      <c r="O697" t="str">
        <f>IFERROR(VLOOKUP(C697,Customers!$A$2:$F$301,5,FALSE()),"")</f>
        <v>Retail</v>
      </c>
      <c r="P697">
        <f>IFERROR(VLOOKUP(C697,Customers!$A$2:$F$301,3,FALSE()),"")</f>
        <v>51</v>
      </c>
      <c r="Q697">
        <f t="shared" si="30"/>
        <v>0.26151685393258428</v>
      </c>
      <c r="R697">
        <f>IF(AND(COUNTIF($A$2:$A$2047,A697)&gt;1,COUNTIF($A$2:A697,A697)=1),1,0)</f>
        <v>0</v>
      </c>
      <c r="S697" t="b">
        <f>IFERROR(VLOOKUP(D697,Products!$A$2:$F$61,6,FALSE()),"")</f>
        <v>1</v>
      </c>
      <c r="T697" t="str">
        <f>IF(COUNTIF(Customers!$A$2:$A$301,C697)=0,"Missing","OK")</f>
        <v>OK</v>
      </c>
      <c r="U697" t="str">
        <f t="shared" si="31"/>
        <v>Chennai</v>
      </c>
      <c r="V697">
        <f t="shared" si="32"/>
        <v>0</v>
      </c>
    </row>
    <row r="698" spans="1:22" ht="15" customHeight="1" x14ac:dyDescent="0.35">
      <c r="A698" s="3" t="s">
        <v>1098</v>
      </c>
      <c r="B698" s="4">
        <v>45426</v>
      </c>
      <c r="C698" s="3" t="s">
        <v>244</v>
      </c>
      <c r="D698" s="3" t="s">
        <v>90</v>
      </c>
      <c r="E698" s="3" t="s">
        <v>143</v>
      </c>
      <c r="F698" s="5">
        <v>9</v>
      </c>
      <c r="G698" s="5">
        <v>2400</v>
      </c>
      <c r="H698" s="5">
        <v>18.5</v>
      </c>
      <c r="I698" s="5">
        <v>17604</v>
      </c>
      <c r="J698" s="3" t="s">
        <v>26</v>
      </c>
      <c r="K698" s="3" t="s">
        <v>72</v>
      </c>
      <c r="L698" t="str">
        <f>IFERROR(VLOOKUP(D698,Products!$A$2:$F$61,3,FALSE()),"")</f>
        <v>Sports</v>
      </c>
      <c r="M698" t="str">
        <f>IFERROR(VLOOKUP(E698,Sales_Reps!$A$2:$C$31,3,FALSE()),"")</f>
        <v>South</v>
      </c>
      <c r="N698">
        <f>IFERROR(VLOOKUP(D698,Products!$A$2:$F$61,4,FALSE()),"")</f>
        <v>974</v>
      </c>
      <c r="O698" t="str">
        <f>IFERROR(VLOOKUP(C698,Customers!$A$2:$F$301,5,FALSE()),"")</f>
        <v>Corporate</v>
      </c>
      <c r="P698">
        <f>IFERROR(VLOOKUP(C698,Customers!$A$2:$F$301,3,FALSE()),"")</f>
        <v>46</v>
      </c>
      <c r="Q698">
        <f t="shared" si="30"/>
        <v>0.59416666666666662</v>
      </c>
      <c r="R698">
        <f>IF(AND(COUNTIF($A$2:$A$2047,A698)&gt;1,COUNTIF($A$2:A698,A698)=1),1,0)</f>
        <v>0</v>
      </c>
      <c r="S698" t="b">
        <f>IFERROR(VLOOKUP(D698,Products!$A$2:$F$61,6,FALSE()),"")</f>
        <v>1</v>
      </c>
      <c r="T698" t="str">
        <f>IF(COUNTIF(Customers!$A$2:$A$301,C698)=0,"Missing","OK")</f>
        <v>OK</v>
      </c>
      <c r="U698" t="str">
        <f t="shared" si="31"/>
        <v>Hyderabad</v>
      </c>
      <c r="V698">
        <f t="shared" si="32"/>
        <v>0</v>
      </c>
    </row>
    <row r="699" spans="1:22" ht="15" customHeight="1" x14ac:dyDescent="0.35">
      <c r="A699" s="3" t="s">
        <v>1099</v>
      </c>
      <c r="B699" s="4">
        <v>45415</v>
      </c>
      <c r="C699" s="3" t="s">
        <v>292</v>
      </c>
      <c r="D699" s="3" t="s">
        <v>187</v>
      </c>
      <c r="E699" s="3" t="s">
        <v>93</v>
      </c>
      <c r="F699" s="5">
        <v>9</v>
      </c>
      <c r="G699" s="5">
        <v>3870</v>
      </c>
      <c r="H699" s="5">
        <v>6.9</v>
      </c>
      <c r="I699" s="5">
        <v>32426.73</v>
      </c>
      <c r="J699" s="3" t="s">
        <v>83</v>
      </c>
      <c r="K699" s="3" t="s">
        <v>33</v>
      </c>
      <c r="L699" t="str">
        <f>IFERROR(VLOOKUP(D699,Products!$A$2:$F$61,3,FALSE()),"")</f>
        <v>Electronics</v>
      </c>
      <c r="M699" t="str">
        <f>IFERROR(VLOOKUP(E699,Sales_Reps!$A$2:$C$31,3,FALSE()),"")</f>
        <v>East</v>
      </c>
      <c r="N699">
        <f>IFERROR(VLOOKUP(D699,Products!$A$2:$F$61,4,FALSE()),"")</f>
        <v>1559</v>
      </c>
      <c r="O699" t="str">
        <f>IFERROR(VLOOKUP(C699,Customers!$A$2:$F$301,5,FALSE()),"")</f>
        <v>Retail</v>
      </c>
      <c r="P699">
        <f>IFERROR(VLOOKUP(C699,Customers!$A$2:$F$301,3,FALSE()),"")</f>
        <v>60</v>
      </c>
      <c r="Q699">
        <f t="shared" si="30"/>
        <v>0.59715762273901807</v>
      </c>
      <c r="R699">
        <f>IF(AND(COUNTIF($A$2:$A$2047,A699)&gt;1,COUNTIF($A$2:A699,A699)=1),1,0)</f>
        <v>0</v>
      </c>
      <c r="S699" t="b">
        <f>IFERROR(VLOOKUP(D699,Products!$A$2:$F$61,6,FALSE()),"")</f>
        <v>1</v>
      </c>
      <c r="T699" t="str">
        <f>IF(COUNTIF(Customers!$A$2:$A$301,C699)=0,"Missing","OK")</f>
        <v>OK</v>
      </c>
      <c r="U699" t="str">
        <f t="shared" si="31"/>
        <v>Chennai</v>
      </c>
      <c r="V699">
        <f t="shared" si="32"/>
        <v>0</v>
      </c>
    </row>
    <row r="700" spans="1:22" ht="15" customHeight="1" x14ac:dyDescent="0.35">
      <c r="A700" s="3" t="s">
        <v>1100</v>
      </c>
      <c r="B700" s="4">
        <v>45620</v>
      </c>
      <c r="C700" s="3" t="s">
        <v>644</v>
      </c>
      <c r="D700" s="3" t="s">
        <v>41</v>
      </c>
      <c r="E700" s="3" t="s">
        <v>224</v>
      </c>
      <c r="F700" s="5">
        <v>5</v>
      </c>
      <c r="G700" s="5">
        <v>3660</v>
      </c>
      <c r="H700" s="5">
        <v>11.7</v>
      </c>
      <c r="I700" s="5">
        <v>16158.9</v>
      </c>
      <c r="J700" s="3" t="s">
        <v>26</v>
      </c>
      <c r="K700" s="3" t="s">
        <v>38</v>
      </c>
      <c r="L700" t="str">
        <f>IFERROR(VLOOKUP(D700,Products!$A$2:$F$61,3,FALSE()),"")</f>
        <v>Grocery</v>
      </c>
      <c r="M700" t="str">
        <f>IFERROR(VLOOKUP(E700,Sales_Reps!$A$2:$C$31,3,FALSE()),"")</f>
        <v>East</v>
      </c>
      <c r="N700">
        <f>IFERROR(VLOOKUP(D700,Products!$A$2:$F$61,4,FALSE()),"")</f>
        <v>2214</v>
      </c>
      <c r="O700" t="str">
        <f>IFERROR(VLOOKUP(C700,Customers!$A$2:$F$301,5,FALSE()),"")</f>
        <v>Retail</v>
      </c>
      <c r="P700">
        <f>IFERROR(VLOOKUP(C700,Customers!$A$2:$F$301,3,FALSE()),"")</f>
        <v>53</v>
      </c>
      <c r="Q700">
        <f t="shared" si="30"/>
        <v>0.39508196721311473</v>
      </c>
      <c r="R700">
        <f>IF(AND(COUNTIF($A$2:$A$2047,A700)&gt;1,COUNTIF($A$2:A700,A700)=1),1,0)</f>
        <v>0</v>
      </c>
      <c r="S700" t="b">
        <f>IFERROR(VLOOKUP(D700,Products!$A$2:$F$61,6,FALSE()),"")</f>
        <v>0</v>
      </c>
      <c r="T700" t="str">
        <f>IF(COUNTIF(Customers!$A$2:$A$301,C700)=0,"Missing","OK")</f>
        <v>OK</v>
      </c>
      <c r="U700" t="str">
        <f t="shared" si="31"/>
        <v>Delhi</v>
      </c>
      <c r="V700">
        <f t="shared" si="32"/>
        <v>0</v>
      </c>
    </row>
    <row r="701" spans="1:22" ht="15" customHeight="1" x14ac:dyDescent="0.35">
      <c r="A701" s="3" t="s">
        <v>1101</v>
      </c>
      <c r="B701" s="4">
        <v>45346</v>
      </c>
      <c r="C701" s="3" t="s">
        <v>344</v>
      </c>
      <c r="D701" s="3" t="s">
        <v>103</v>
      </c>
      <c r="E701" s="3" t="s">
        <v>109</v>
      </c>
      <c r="F701" s="5">
        <v>4</v>
      </c>
      <c r="G701" s="5">
        <v>1080</v>
      </c>
      <c r="H701" s="5">
        <v>17.5</v>
      </c>
      <c r="I701" s="5">
        <v>3564</v>
      </c>
      <c r="J701" s="3" t="s">
        <v>26</v>
      </c>
      <c r="K701" s="3" t="s">
        <v>33</v>
      </c>
      <c r="L701" t="str">
        <f>IFERROR(VLOOKUP(D701,Products!$A$2:$F$61,3,FALSE()),"")</f>
        <v>Home</v>
      </c>
      <c r="M701" t="str">
        <f>IFERROR(VLOOKUP(E701,Sales_Reps!$A$2:$C$31,3,FALSE()),"")</f>
        <v>West</v>
      </c>
      <c r="N701">
        <f>IFERROR(VLOOKUP(D701,Products!$A$2:$F$61,4,FALSE()),"")</f>
        <v>519</v>
      </c>
      <c r="O701" t="str">
        <f>IFERROR(VLOOKUP(C701,Customers!$A$2:$F$301,5,FALSE()),"")</f>
        <v>Corporate</v>
      </c>
      <c r="P701">
        <f>IFERROR(VLOOKUP(C701,Customers!$A$2:$F$301,3,FALSE()),"")</f>
        <v>24</v>
      </c>
      <c r="Q701">
        <f t="shared" si="30"/>
        <v>0.51944444444444449</v>
      </c>
      <c r="R701">
        <f>IF(AND(COUNTIF($A$2:$A$2047,A701)&gt;1,COUNTIF($A$2:A701,A701)=1),1,0)</f>
        <v>0</v>
      </c>
      <c r="S701" t="b">
        <f>IFERROR(VLOOKUP(D701,Products!$A$2:$F$61,6,FALSE()),"")</f>
        <v>1</v>
      </c>
      <c r="T701" t="str">
        <f>IF(COUNTIF(Customers!$A$2:$A$301,C701)=0,"Missing","OK")</f>
        <v>OK</v>
      </c>
      <c r="U701" t="str">
        <f t="shared" si="31"/>
        <v>Chennai</v>
      </c>
      <c r="V701">
        <f t="shared" si="32"/>
        <v>0</v>
      </c>
    </row>
    <row r="702" spans="1:22" ht="15" customHeight="1" x14ac:dyDescent="0.35">
      <c r="A702" s="3" t="s">
        <v>1102</v>
      </c>
      <c r="B702" s="4">
        <v>45297</v>
      </c>
      <c r="C702" s="3" t="s">
        <v>774</v>
      </c>
      <c r="D702" s="3" t="s">
        <v>400</v>
      </c>
      <c r="E702" s="3" t="s">
        <v>42</v>
      </c>
      <c r="F702" s="5">
        <v>6</v>
      </c>
      <c r="G702" s="5">
        <v>3780</v>
      </c>
      <c r="H702" s="5">
        <v>27.8</v>
      </c>
      <c r="I702" s="5">
        <v>16374.96</v>
      </c>
      <c r="J702" s="3" t="s">
        <v>26</v>
      </c>
      <c r="K702" s="3" t="s">
        <v>56</v>
      </c>
      <c r="L702" t="str">
        <f>IFERROR(VLOOKUP(D702,Products!$A$2:$F$61,3,FALSE()),"")</f>
        <v>Sports</v>
      </c>
      <c r="M702" t="str">
        <f>IFERROR(VLOOKUP(E702,Sales_Reps!$A$2:$C$31,3,FALSE()),"")</f>
        <v>North</v>
      </c>
      <c r="N702">
        <f>IFERROR(VLOOKUP(D702,Products!$A$2:$F$61,4,FALSE()),"")</f>
        <v>1860</v>
      </c>
      <c r="O702" t="str">
        <f>IFERROR(VLOOKUP(C702,Customers!$A$2:$F$301,5,FALSE()),"")</f>
        <v>Retail</v>
      </c>
      <c r="P702">
        <f>IFERROR(VLOOKUP(C702,Customers!$A$2:$F$301,3,FALSE()),"")</f>
        <v>52</v>
      </c>
      <c r="Q702">
        <f t="shared" si="30"/>
        <v>0.50793650793650791</v>
      </c>
      <c r="R702">
        <f>IF(AND(COUNTIF($A$2:$A$2047,A702)&gt;1,COUNTIF($A$2:A702,A702)=1),1,0)</f>
        <v>1</v>
      </c>
      <c r="S702" t="b">
        <f>IFERROR(VLOOKUP(D702,Products!$A$2:$F$61,6,FALSE()),"")</f>
        <v>1</v>
      </c>
      <c r="T702" t="str">
        <f>IF(COUNTIF(Customers!$A$2:$A$301,C702)=0,"Missing","OK")</f>
        <v>OK</v>
      </c>
      <c r="U702" t="str">
        <f t="shared" si="31"/>
        <v>Bengaluru</v>
      </c>
      <c r="V702">
        <f t="shared" si="32"/>
        <v>0</v>
      </c>
    </row>
    <row r="703" spans="1:22" ht="15" customHeight="1" x14ac:dyDescent="0.35">
      <c r="A703" s="3" t="s">
        <v>1103</v>
      </c>
      <c r="B703" s="4">
        <v>45521</v>
      </c>
      <c r="C703" s="3" t="s">
        <v>1001</v>
      </c>
      <c r="D703" s="3" t="s">
        <v>106</v>
      </c>
      <c r="E703" s="3" t="s">
        <v>224</v>
      </c>
      <c r="F703" s="5">
        <v>8</v>
      </c>
      <c r="G703" s="5">
        <v>2480</v>
      </c>
      <c r="H703" s="5">
        <v>15.7</v>
      </c>
      <c r="I703" s="5">
        <v>16725.12</v>
      </c>
      <c r="J703" s="3" t="s">
        <v>32</v>
      </c>
      <c r="K703" s="3" t="s">
        <v>51</v>
      </c>
      <c r="L703" t="str">
        <f>IFERROR(VLOOKUP(D703,Products!$A$2:$F$61,3,FALSE()),"")</f>
        <v>Apparel</v>
      </c>
      <c r="M703" t="str">
        <f>IFERROR(VLOOKUP(E703,Sales_Reps!$A$2:$C$31,3,FALSE()),"")</f>
        <v>East</v>
      </c>
      <c r="N703">
        <f>IFERROR(VLOOKUP(D703,Products!$A$2:$F$61,4,FALSE()),"")</f>
        <v>1173</v>
      </c>
      <c r="O703" t="str">
        <f>IFERROR(VLOOKUP(C703,Customers!$A$2:$F$301,5,FALSE()),"")</f>
        <v>SMB</v>
      </c>
      <c r="P703">
        <f>IFERROR(VLOOKUP(C703,Customers!$A$2:$F$301,3,FALSE()),"")</f>
        <v>54</v>
      </c>
      <c r="Q703">
        <f t="shared" si="30"/>
        <v>0.52701612903225803</v>
      </c>
      <c r="R703">
        <f>IF(AND(COUNTIF($A$2:$A$2047,A703)&gt;1,COUNTIF($A$2:A703,A703)=1),1,0)</f>
        <v>0</v>
      </c>
      <c r="S703" t="b">
        <f>IFERROR(VLOOKUP(D703,Products!$A$2:$F$61,6,FALSE()),"")</f>
        <v>1</v>
      </c>
      <c r="T703" t="str">
        <f>IF(COUNTIF(Customers!$A$2:$A$301,C703)=0,"Missing","OK")</f>
        <v>OK</v>
      </c>
      <c r="U703" t="str">
        <f t="shared" si="31"/>
        <v>Mumbai</v>
      </c>
      <c r="V703">
        <f t="shared" si="32"/>
        <v>0</v>
      </c>
    </row>
    <row r="704" spans="1:22" ht="15" customHeight="1" x14ac:dyDescent="0.35">
      <c r="A704" s="3" t="s">
        <v>1104</v>
      </c>
      <c r="B704" s="4">
        <v>45409</v>
      </c>
      <c r="C704" s="3" t="s">
        <v>329</v>
      </c>
      <c r="D704" s="3" t="s">
        <v>121</v>
      </c>
      <c r="E704" s="3" t="s">
        <v>37</v>
      </c>
      <c r="F704" s="5">
        <v>10</v>
      </c>
      <c r="G704" s="5">
        <v>1010</v>
      </c>
      <c r="H704" s="5">
        <v>0.1</v>
      </c>
      <c r="I704" s="5">
        <v>10089.9</v>
      </c>
      <c r="J704" s="3" t="s">
        <v>32</v>
      </c>
      <c r="K704" s="3" t="s">
        <v>27</v>
      </c>
      <c r="L704" t="str">
        <f>IFERROR(VLOOKUP(D704,Products!$A$2:$F$61,3,FALSE()),"")</f>
        <v>Sports</v>
      </c>
      <c r="M704" t="str">
        <f>IFERROR(VLOOKUP(E704,Sales_Reps!$A$2:$C$31,3,FALSE()),"")</f>
        <v>South</v>
      </c>
      <c r="N704">
        <f>IFERROR(VLOOKUP(D704,Products!$A$2:$F$61,4,FALSE()),"")</f>
        <v>516</v>
      </c>
      <c r="O704" t="str">
        <f>IFERROR(VLOOKUP(C704,Customers!$A$2:$F$301,5,FALSE()),"")</f>
        <v>SMB</v>
      </c>
      <c r="P704">
        <f>IFERROR(VLOOKUP(C704,Customers!$A$2:$F$301,3,FALSE()),"")</f>
        <v>54</v>
      </c>
      <c r="Q704">
        <f t="shared" si="30"/>
        <v>0.4891089108910891</v>
      </c>
      <c r="R704">
        <f>IF(AND(COUNTIF($A$2:$A$2047,A704)&gt;1,COUNTIF($A$2:A704,A704)=1),1,0)</f>
        <v>0</v>
      </c>
      <c r="S704" t="b">
        <f>IFERROR(VLOOKUP(D704,Products!$A$2:$F$61,6,FALSE()),"")</f>
        <v>1</v>
      </c>
      <c r="T704" t="str">
        <f>IF(COUNTIF(Customers!$A$2:$A$301,C704)=0,"Missing","OK")</f>
        <v>OK</v>
      </c>
      <c r="U704" t="str">
        <f t="shared" si="31"/>
        <v>Pune</v>
      </c>
      <c r="V704">
        <f t="shared" si="32"/>
        <v>0</v>
      </c>
    </row>
    <row r="705" spans="1:22" ht="15" customHeight="1" x14ac:dyDescent="0.35">
      <c r="A705" s="3" t="s">
        <v>1105</v>
      </c>
      <c r="B705" s="4">
        <v>45406</v>
      </c>
      <c r="C705" s="3" t="s">
        <v>89</v>
      </c>
      <c r="D705" s="3" t="s">
        <v>36</v>
      </c>
      <c r="E705" s="3" t="s">
        <v>127</v>
      </c>
      <c r="F705" s="5">
        <v>3</v>
      </c>
      <c r="G705" s="5">
        <v>470</v>
      </c>
      <c r="H705" s="5">
        <v>1.1000000000000001</v>
      </c>
      <c r="I705" s="5">
        <v>1394.49</v>
      </c>
      <c r="J705" s="3" t="s">
        <v>26</v>
      </c>
      <c r="K705" s="3" t="s">
        <v>27</v>
      </c>
      <c r="L705" t="str">
        <f>IFERROR(VLOOKUP(D705,Products!$A$2:$F$61,3,FALSE()),"")</f>
        <v>Sports</v>
      </c>
      <c r="M705" t="str">
        <f>IFERROR(VLOOKUP(E705,Sales_Reps!$A$2:$C$31,3,FALSE()),"")</f>
        <v>South</v>
      </c>
      <c r="N705">
        <f>IFERROR(VLOOKUP(D705,Products!$A$2:$F$61,4,FALSE()),"")</f>
        <v>302</v>
      </c>
      <c r="O705" t="str">
        <f>IFERROR(VLOOKUP(C705,Customers!$A$2:$F$301,5,FALSE()),"")</f>
        <v>Retail</v>
      </c>
      <c r="P705">
        <f>IFERROR(VLOOKUP(C705,Customers!$A$2:$F$301,3,FALSE()),"")</f>
        <v>63</v>
      </c>
      <c r="Q705">
        <f t="shared" si="30"/>
        <v>0.35744680851063831</v>
      </c>
      <c r="R705">
        <f>IF(AND(COUNTIF($A$2:$A$2047,A705)&gt;1,COUNTIF($A$2:A705,A705)=1),1,0)</f>
        <v>0</v>
      </c>
      <c r="S705" t="b">
        <f>IFERROR(VLOOKUP(D705,Products!$A$2:$F$61,6,FALSE()),"")</f>
        <v>0</v>
      </c>
      <c r="T705" t="str">
        <f>IF(COUNTIF(Customers!$A$2:$A$301,C705)=0,"Missing","OK")</f>
        <v>OK</v>
      </c>
      <c r="U705" t="str">
        <f t="shared" si="31"/>
        <v>Pune</v>
      </c>
      <c r="V705">
        <f t="shared" si="32"/>
        <v>0</v>
      </c>
    </row>
    <row r="706" spans="1:22" ht="15" customHeight="1" x14ac:dyDescent="0.35">
      <c r="A706" s="3" t="s">
        <v>1106</v>
      </c>
      <c r="B706" s="4">
        <v>45474</v>
      </c>
      <c r="C706" s="3" t="s">
        <v>653</v>
      </c>
      <c r="D706" s="3" t="s">
        <v>70</v>
      </c>
      <c r="E706" s="3" t="s">
        <v>60</v>
      </c>
      <c r="F706" s="5">
        <v>4</v>
      </c>
      <c r="G706" s="5">
        <v>2270</v>
      </c>
      <c r="H706" s="5">
        <v>17.100000000000001</v>
      </c>
      <c r="I706" s="5">
        <v>7527.32</v>
      </c>
      <c r="J706" s="3" t="s">
        <v>26</v>
      </c>
      <c r="K706" s="3" t="s">
        <v>38</v>
      </c>
      <c r="L706" t="str">
        <f>IFERROR(VLOOKUP(D706,Products!$A$2:$F$61,3,FALSE()),"")</f>
        <v>Grocery</v>
      </c>
      <c r="M706" t="str">
        <f>IFERROR(VLOOKUP(E706,Sales_Reps!$A$2:$C$31,3,FALSE()),"")</f>
        <v>East</v>
      </c>
      <c r="N706">
        <f>IFERROR(VLOOKUP(D706,Products!$A$2:$F$61,4,FALSE()),"")</f>
        <v>1203</v>
      </c>
      <c r="O706" t="str">
        <f>IFERROR(VLOOKUP(C706,Customers!$A$2:$F$301,5,FALSE()),"")</f>
        <v>Retail</v>
      </c>
      <c r="P706">
        <f>IFERROR(VLOOKUP(C706,Customers!$A$2:$F$301,3,FALSE()),"")</f>
        <v>24</v>
      </c>
      <c r="Q706">
        <f t="shared" ref="Q706:Q769" si="33">IFERROR((G706-N706)/G706,"")</f>
        <v>0.47004405286343615</v>
      </c>
      <c r="R706">
        <f>IF(AND(COUNTIF($A$2:$A$2047,A706)&gt;1,COUNTIF($A$2:A706,A706)=1),1,0)</f>
        <v>0</v>
      </c>
      <c r="S706" t="b">
        <f>IFERROR(VLOOKUP(D706,Products!$A$2:$F$61,6,FALSE()),"")</f>
        <v>1</v>
      </c>
      <c r="T706" t="str">
        <f>IF(COUNTIF(Customers!$A$2:$A$301,C706)=0,"Missing","OK")</f>
        <v>OK</v>
      </c>
      <c r="U706" t="str">
        <f t="shared" ref="U706:U769" si="34">IF(K706="","",PROPER(TRIM(K706)))</f>
        <v>Delhi</v>
      </c>
      <c r="V706">
        <f t="shared" ref="V706:V769" si="35">IF(AND(U706="Bengaluru",L706="Grocery"),I706,0)</f>
        <v>0</v>
      </c>
    </row>
    <row r="707" spans="1:22" ht="15" customHeight="1" x14ac:dyDescent="0.35">
      <c r="A707" s="3" t="s">
        <v>1107</v>
      </c>
      <c r="B707" s="4">
        <v>45588</v>
      </c>
      <c r="C707" s="3" t="s">
        <v>162</v>
      </c>
      <c r="D707" s="3" t="s">
        <v>139</v>
      </c>
      <c r="E707" s="3" t="s">
        <v>71</v>
      </c>
      <c r="F707" s="5">
        <v>7</v>
      </c>
      <c r="G707" s="5">
        <v>2760</v>
      </c>
      <c r="H707" s="5">
        <v>17.100000000000001</v>
      </c>
      <c r="I707" s="5">
        <v>16016.28</v>
      </c>
      <c r="J707" s="3" t="s">
        <v>26</v>
      </c>
      <c r="K707" s="3" t="s">
        <v>38</v>
      </c>
      <c r="L707" t="str">
        <f>IFERROR(VLOOKUP(D707,Products!$A$2:$F$61,3,FALSE()),"")</f>
        <v>Grocery</v>
      </c>
      <c r="M707" t="str">
        <f>IFERROR(VLOOKUP(E707,Sales_Reps!$A$2:$C$31,3,FALSE()),"")</f>
        <v>South</v>
      </c>
      <c r="N707">
        <f>IFERROR(VLOOKUP(D707,Products!$A$2:$F$61,4,FALSE()),"")</f>
        <v>1435</v>
      </c>
      <c r="O707" t="str">
        <f>IFERROR(VLOOKUP(C707,Customers!$A$2:$F$301,5,FALSE()),"")</f>
        <v>Retail</v>
      </c>
      <c r="P707">
        <f>IFERROR(VLOOKUP(C707,Customers!$A$2:$F$301,3,FALSE()),"")</f>
        <v>53</v>
      </c>
      <c r="Q707">
        <f t="shared" si="33"/>
        <v>0.48007246376811596</v>
      </c>
      <c r="R707">
        <f>IF(AND(COUNTIF($A$2:$A$2047,A707)&gt;1,COUNTIF($A$2:A707,A707)=1),1,0)</f>
        <v>0</v>
      </c>
      <c r="S707" t="b">
        <f>IFERROR(VLOOKUP(D707,Products!$A$2:$F$61,6,FALSE()),"")</f>
        <v>1</v>
      </c>
      <c r="T707" t="str">
        <f>IF(COUNTIF(Customers!$A$2:$A$301,C707)=0,"Missing","OK")</f>
        <v>OK</v>
      </c>
      <c r="U707" t="str">
        <f t="shared" si="34"/>
        <v>Delhi</v>
      </c>
      <c r="V707">
        <f t="shared" si="35"/>
        <v>0</v>
      </c>
    </row>
    <row r="708" spans="1:22" ht="15" customHeight="1" x14ac:dyDescent="0.35">
      <c r="A708" s="3" t="s">
        <v>1108</v>
      </c>
      <c r="B708" s="4">
        <v>45530</v>
      </c>
      <c r="C708" s="3" t="s">
        <v>986</v>
      </c>
      <c r="D708" s="3" t="s">
        <v>100</v>
      </c>
      <c r="E708" s="3" t="s">
        <v>46</v>
      </c>
      <c r="F708" s="5">
        <v>6</v>
      </c>
      <c r="G708" s="5">
        <v>3450</v>
      </c>
      <c r="H708" s="5">
        <v>6.6</v>
      </c>
      <c r="I708" s="5">
        <v>19333.8</v>
      </c>
      <c r="J708" s="3" t="s">
        <v>83</v>
      </c>
      <c r="K708" s="3" t="s">
        <v>72</v>
      </c>
      <c r="L708" t="str">
        <f>IFERROR(VLOOKUP(D708,Products!$A$2:$F$61,3,FALSE()),"")</f>
        <v>Sports</v>
      </c>
      <c r="M708" t="str">
        <f>IFERROR(VLOOKUP(E708,Sales_Reps!$A$2:$C$31,3,FALSE()),"")</f>
        <v>North</v>
      </c>
      <c r="N708">
        <f>IFERROR(VLOOKUP(D708,Products!$A$2:$F$61,4,FALSE()),"")</f>
        <v>2467</v>
      </c>
      <c r="O708" t="str">
        <f>IFERROR(VLOOKUP(C708,Customers!$A$2:$F$301,5,FALSE()),"")</f>
        <v>Retail</v>
      </c>
      <c r="P708">
        <f>IFERROR(VLOOKUP(C708,Customers!$A$2:$F$301,3,FALSE()),"")</f>
        <v>41</v>
      </c>
      <c r="Q708">
        <f t="shared" si="33"/>
        <v>0.28492753623188405</v>
      </c>
      <c r="R708">
        <f>IF(AND(COUNTIF($A$2:$A$2047,A708)&gt;1,COUNTIF($A$2:A708,A708)=1),1,0)</f>
        <v>0</v>
      </c>
      <c r="S708" t="b">
        <f>IFERROR(VLOOKUP(D708,Products!$A$2:$F$61,6,FALSE()),"")</f>
        <v>1</v>
      </c>
      <c r="T708" t="str">
        <f>IF(COUNTIF(Customers!$A$2:$A$301,C708)=0,"Missing","OK")</f>
        <v>OK</v>
      </c>
      <c r="U708" t="str">
        <f t="shared" si="34"/>
        <v>Hyderabad</v>
      </c>
      <c r="V708">
        <f t="shared" si="35"/>
        <v>0</v>
      </c>
    </row>
    <row r="709" spans="1:22" ht="15" customHeight="1" x14ac:dyDescent="0.35">
      <c r="A709" s="3" t="s">
        <v>1109</v>
      </c>
      <c r="B709" s="4">
        <v>45630</v>
      </c>
      <c r="C709" s="3" t="s">
        <v>531</v>
      </c>
      <c r="D709" s="3" t="s">
        <v>41</v>
      </c>
      <c r="E709" s="3" t="s">
        <v>25</v>
      </c>
      <c r="F709" s="5">
        <v>8</v>
      </c>
      <c r="G709" s="5">
        <v>3660</v>
      </c>
      <c r="H709" s="5">
        <v>7.2</v>
      </c>
      <c r="I709" s="5">
        <v>27171.84</v>
      </c>
      <c r="J709" s="3" t="s">
        <v>26</v>
      </c>
      <c r="K709" s="3" t="s">
        <v>72</v>
      </c>
      <c r="L709" t="str">
        <f>IFERROR(VLOOKUP(D709,Products!$A$2:$F$61,3,FALSE()),"")</f>
        <v>Grocery</v>
      </c>
      <c r="M709" t="str">
        <f>IFERROR(VLOOKUP(E709,Sales_Reps!$A$2:$C$31,3,FALSE()),"")</f>
        <v>North</v>
      </c>
      <c r="N709">
        <f>IFERROR(VLOOKUP(D709,Products!$A$2:$F$61,4,FALSE()),"")</f>
        <v>2214</v>
      </c>
      <c r="O709" t="str">
        <f>IFERROR(VLOOKUP(C709,Customers!$A$2:$F$301,5,FALSE()),"")</f>
        <v>Retail</v>
      </c>
      <c r="P709">
        <f>IFERROR(VLOOKUP(C709,Customers!$A$2:$F$301,3,FALSE()),"")</f>
        <v>22</v>
      </c>
      <c r="Q709">
        <f t="shared" si="33"/>
        <v>0.39508196721311473</v>
      </c>
      <c r="R709">
        <f>IF(AND(COUNTIF($A$2:$A$2047,A709)&gt;1,COUNTIF($A$2:A709,A709)=1),1,0)</f>
        <v>0</v>
      </c>
      <c r="S709" t="b">
        <f>IFERROR(VLOOKUP(D709,Products!$A$2:$F$61,6,FALSE()),"")</f>
        <v>0</v>
      </c>
      <c r="T709" t="str">
        <f>IF(COUNTIF(Customers!$A$2:$A$301,C709)=0,"Missing","OK")</f>
        <v>OK</v>
      </c>
      <c r="U709" t="str">
        <f t="shared" si="34"/>
        <v>Hyderabad</v>
      </c>
      <c r="V709">
        <f t="shared" si="35"/>
        <v>0</v>
      </c>
    </row>
    <row r="710" spans="1:22" ht="15" customHeight="1" x14ac:dyDescent="0.35">
      <c r="A710" s="3" t="s">
        <v>1110</v>
      </c>
      <c r="B710" s="4">
        <v>45551</v>
      </c>
      <c r="C710" s="3" t="s">
        <v>1111</v>
      </c>
      <c r="D710" s="3" t="s">
        <v>206</v>
      </c>
      <c r="E710" s="3" t="s">
        <v>109</v>
      </c>
      <c r="F710" s="5">
        <v>4</v>
      </c>
      <c r="G710" s="5">
        <v>1220</v>
      </c>
      <c r="H710" s="5">
        <v>24.3</v>
      </c>
      <c r="I710" s="5">
        <v>3694.16</v>
      </c>
      <c r="J710" s="3" t="s">
        <v>79</v>
      </c>
      <c r="K710" s="3" t="s">
        <v>27</v>
      </c>
      <c r="L710" t="str">
        <f>IFERROR(VLOOKUP(D710,Products!$A$2:$F$61,3,FALSE()),"")</f>
        <v>Electronics</v>
      </c>
      <c r="M710" t="str">
        <f>IFERROR(VLOOKUP(E710,Sales_Reps!$A$2:$C$31,3,FALSE()),"")</f>
        <v>West</v>
      </c>
      <c r="N710">
        <f>IFERROR(VLOOKUP(D710,Products!$A$2:$F$61,4,FALSE()),"")</f>
        <v>517</v>
      </c>
      <c r="O710" t="str">
        <f>IFERROR(VLOOKUP(C710,Customers!$A$2:$F$301,5,FALSE()),"")</f>
        <v>Retail</v>
      </c>
      <c r="P710">
        <f>IFERROR(VLOOKUP(C710,Customers!$A$2:$F$301,3,FALSE()),"")</f>
        <v>39</v>
      </c>
      <c r="Q710">
        <f t="shared" si="33"/>
        <v>0.57622950819672136</v>
      </c>
      <c r="R710">
        <f>IF(AND(COUNTIF($A$2:$A$2047,A710)&gt;1,COUNTIF($A$2:A710,A710)=1),1,0)</f>
        <v>0</v>
      </c>
      <c r="S710" t="b">
        <f>IFERROR(VLOOKUP(D710,Products!$A$2:$F$61,6,FALSE()),"")</f>
        <v>1</v>
      </c>
      <c r="T710" t="str">
        <f>IF(COUNTIF(Customers!$A$2:$A$301,C710)=0,"Missing","OK")</f>
        <v>OK</v>
      </c>
      <c r="U710" t="str">
        <f t="shared" si="34"/>
        <v>Pune</v>
      </c>
      <c r="V710">
        <f t="shared" si="35"/>
        <v>0</v>
      </c>
    </row>
    <row r="711" spans="1:22" ht="15" customHeight="1" x14ac:dyDescent="0.35">
      <c r="A711" s="3" t="s">
        <v>1112</v>
      </c>
      <c r="B711" s="4">
        <v>45610</v>
      </c>
      <c r="C711" s="3" t="s">
        <v>822</v>
      </c>
      <c r="D711" s="3" t="s">
        <v>299</v>
      </c>
      <c r="E711" s="3" t="s">
        <v>25</v>
      </c>
      <c r="F711" s="5">
        <v>2</v>
      </c>
      <c r="G711" s="5">
        <v>5410</v>
      </c>
      <c r="H711" s="5">
        <v>0.9</v>
      </c>
      <c r="I711" s="5">
        <v>10722.62</v>
      </c>
      <c r="J711" s="3" t="s">
        <v>32</v>
      </c>
      <c r="K711" s="3" t="s">
        <v>72</v>
      </c>
      <c r="L711" t="str">
        <f>IFERROR(VLOOKUP(D711,Products!$A$2:$F$61,3,FALSE()),"")</f>
        <v>Sports</v>
      </c>
      <c r="M711" t="str">
        <f>IFERROR(VLOOKUP(E711,Sales_Reps!$A$2:$C$31,3,FALSE()),"")</f>
        <v>North</v>
      </c>
      <c r="N711">
        <f>IFERROR(VLOOKUP(D711,Products!$A$2:$F$61,4,FALSE()),"")</f>
        <v>2265</v>
      </c>
      <c r="O711" t="str">
        <f>IFERROR(VLOOKUP(C711,Customers!$A$2:$F$301,5,FALSE()),"")</f>
        <v>SMB</v>
      </c>
      <c r="P711">
        <f>IFERROR(VLOOKUP(C711,Customers!$A$2:$F$301,3,FALSE()),"")</f>
        <v>28</v>
      </c>
      <c r="Q711">
        <f t="shared" si="33"/>
        <v>0.58133086876155271</v>
      </c>
      <c r="R711">
        <f>IF(AND(COUNTIF($A$2:$A$2047,A711)&gt;1,COUNTIF($A$2:A711,A711)=1),1,0)</f>
        <v>0</v>
      </c>
      <c r="S711" t="b">
        <f>IFERROR(VLOOKUP(D711,Products!$A$2:$F$61,6,FALSE()),"")</f>
        <v>1</v>
      </c>
      <c r="T711" t="str">
        <f>IF(COUNTIF(Customers!$A$2:$A$301,C711)=0,"Missing","OK")</f>
        <v>OK</v>
      </c>
      <c r="U711" t="str">
        <f t="shared" si="34"/>
        <v>Hyderabad</v>
      </c>
      <c r="V711">
        <f t="shared" si="35"/>
        <v>0</v>
      </c>
    </row>
    <row r="712" spans="1:22" ht="15" customHeight="1" x14ac:dyDescent="0.35">
      <c r="A712" s="3" t="s">
        <v>1113</v>
      </c>
      <c r="B712" s="4">
        <v>45322</v>
      </c>
      <c r="C712" s="3" t="s">
        <v>352</v>
      </c>
      <c r="D712" s="3" t="s">
        <v>234</v>
      </c>
      <c r="E712" s="3" t="s">
        <v>143</v>
      </c>
      <c r="F712" s="5">
        <v>5</v>
      </c>
      <c r="G712" s="5">
        <v>2030</v>
      </c>
      <c r="H712" s="5">
        <v>25.2</v>
      </c>
      <c r="I712" s="5">
        <v>7592.2</v>
      </c>
      <c r="J712" s="3" t="s">
        <v>26</v>
      </c>
      <c r="K712" s="3" t="s">
        <v>27</v>
      </c>
      <c r="L712" t="str">
        <f>IFERROR(VLOOKUP(D712,Products!$A$2:$F$61,3,FALSE()),"")</f>
        <v>Home</v>
      </c>
      <c r="M712" t="str">
        <f>IFERROR(VLOOKUP(E712,Sales_Reps!$A$2:$C$31,3,FALSE()),"")</f>
        <v>South</v>
      </c>
      <c r="N712">
        <f>IFERROR(VLOOKUP(D712,Products!$A$2:$F$61,4,FALSE()),"")</f>
        <v>1143</v>
      </c>
      <c r="O712" t="str">
        <f>IFERROR(VLOOKUP(C712,Customers!$A$2:$F$301,5,FALSE()),"")</f>
        <v>Retail</v>
      </c>
      <c r="P712">
        <f>IFERROR(VLOOKUP(C712,Customers!$A$2:$F$301,3,FALSE()),"")</f>
        <v>22</v>
      </c>
      <c r="Q712">
        <f t="shared" si="33"/>
        <v>0.43694581280788175</v>
      </c>
      <c r="R712">
        <f>IF(AND(COUNTIF($A$2:$A$2047,A712)&gt;1,COUNTIF($A$2:A712,A712)=1),1,0)</f>
        <v>0</v>
      </c>
      <c r="S712" t="b">
        <f>IFERROR(VLOOKUP(D712,Products!$A$2:$F$61,6,FALSE()),"")</f>
        <v>1</v>
      </c>
      <c r="T712" t="str">
        <f>IF(COUNTIF(Customers!$A$2:$A$301,C712)=0,"Missing","OK")</f>
        <v>OK</v>
      </c>
      <c r="U712" t="str">
        <f t="shared" si="34"/>
        <v>Pune</v>
      </c>
      <c r="V712">
        <f t="shared" si="35"/>
        <v>0</v>
      </c>
    </row>
    <row r="713" spans="1:22" ht="15" customHeight="1" x14ac:dyDescent="0.35">
      <c r="A713" s="3" t="s">
        <v>1114</v>
      </c>
      <c r="B713" s="4">
        <v>45363</v>
      </c>
      <c r="C713" s="3" t="s">
        <v>524</v>
      </c>
      <c r="D713" s="3" t="s">
        <v>206</v>
      </c>
      <c r="E713" s="3" t="s">
        <v>264</v>
      </c>
      <c r="F713" s="5">
        <v>5</v>
      </c>
      <c r="G713" s="5">
        <v>1220</v>
      </c>
      <c r="H713" s="5">
        <v>2.6</v>
      </c>
      <c r="I713" s="5">
        <v>5941.4</v>
      </c>
      <c r="J713" s="3" t="s">
        <v>26</v>
      </c>
      <c r="K713" s="3" t="s">
        <v>33</v>
      </c>
      <c r="L713" t="str">
        <f>IFERROR(VLOOKUP(D713,Products!$A$2:$F$61,3,FALSE()),"")</f>
        <v>Electronics</v>
      </c>
      <c r="M713" t="str">
        <f>IFERROR(VLOOKUP(E713,Sales_Reps!$A$2:$C$31,3,FALSE()),"")</f>
        <v>South</v>
      </c>
      <c r="N713">
        <f>IFERROR(VLOOKUP(D713,Products!$A$2:$F$61,4,FALSE()),"")</f>
        <v>517</v>
      </c>
      <c r="O713" t="str">
        <f>IFERROR(VLOOKUP(C713,Customers!$A$2:$F$301,5,FALSE()),"")</f>
        <v>Retail</v>
      </c>
      <c r="P713">
        <f>IFERROR(VLOOKUP(C713,Customers!$A$2:$F$301,3,FALSE()),"")</f>
        <v>26</v>
      </c>
      <c r="Q713">
        <f t="shared" si="33"/>
        <v>0.57622950819672136</v>
      </c>
      <c r="R713">
        <f>IF(AND(COUNTIF($A$2:$A$2047,A713)&gt;1,COUNTIF($A$2:A713,A713)=1),1,0)</f>
        <v>0</v>
      </c>
      <c r="S713" t="b">
        <f>IFERROR(VLOOKUP(D713,Products!$A$2:$F$61,6,FALSE()),"")</f>
        <v>1</v>
      </c>
      <c r="T713" t="str">
        <f>IF(COUNTIF(Customers!$A$2:$A$301,C713)=0,"Missing","OK")</f>
        <v>OK</v>
      </c>
      <c r="U713" t="str">
        <f t="shared" si="34"/>
        <v>Chennai</v>
      </c>
      <c r="V713">
        <f t="shared" si="35"/>
        <v>0</v>
      </c>
    </row>
    <row r="714" spans="1:22" ht="15" customHeight="1" x14ac:dyDescent="0.35">
      <c r="A714" s="3" t="s">
        <v>1115</v>
      </c>
      <c r="B714" s="4">
        <v>45600</v>
      </c>
      <c r="C714" s="3" t="s">
        <v>463</v>
      </c>
      <c r="D714" s="3" t="s">
        <v>218</v>
      </c>
      <c r="E714" s="3" t="s">
        <v>42</v>
      </c>
      <c r="F714" s="5">
        <v>4</v>
      </c>
      <c r="G714" s="5">
        <v>2660</v>
      </c>
      <c r="H714" s="5">
        <v>19.100000000000001</v>
      </c>
      <c r="I714" s="5">
        <v>8607.76</v>
      </c>
      <c r="J714" s="3" t="s">
        <v>83</v>
      </c>
      <c r="K714" s="3" t="s">
        <v>51</v>
      </c>
      <c r="L714" t="str">
        <f>IFERROR(VLOOKUP(D714,Products!$A$2:$F$61,3,FALSE()),"")</f>
        <v>Electronics</v>
      </c>
      <c r="M714" t="str">
        <f>IFERROR(VLOOKUP(E714,Sales_Reps!$A$2:$C$31,3,FALSE()),"")</f>
        <v>North</v>
      </c>
      <c r="N714">
        <f>IFERROR(VLOOKUP(D714,Products!$A$2:$F$61,4,FALSE()),"")</f>
        <v>1259</v>
      </c>
      <c r="O714" t="str">
        <f>IFERROR(VLOOKUP(C714,Customers!$A$2:$F$301,5,FALSE()),"")</f>
        <v>Corporate</v>
      </c>
      <c r="P714">
        <f>IFERROR(VLOOKUP(C714,Customers!$A$2:$F$301,3,FALSE()),"")</f>
        <v>55</v>
      </c>
      <c r="Q714">
        <f t="shared" si="33"/>
        <v>0.52669172932330832</v>
      </c>
      <c r="R714">
        <f>IF(AND(COUNTIF($A$2:$A$2047,A714)&gt;1,COUNTIF($A$2:A714,A714)=1),1,0)</f>
        <v>0</v>
      </c>
      <c r="S714" t="b">
        <f>IFERROR(VLOOKUP(D714,Products!$A$2:$F$61,6,FALSE()),"")</f>
        <v>0</v>
      </c>
      <c r="T714" t="str">
        <f>IF(COUNTIF(Customers!$A$2:$A$301,C714)=0,"Missing","OK")</f>
        <v>OK</v>
      </c>
      <c r="U714" t="str">
        <f t="shared" si="34"/>
        <v>Mumbai</v>
      </c>
      <c r="V714">
        <f t="shared" si="35"/>
        <v>0</v>
      </c>
    </row>
    <row r="715" spans="1:22" ht="15" customHeight="1" x14ac:dyDescent="0.35">
      <c r="A715" s="3" t="s">
        <v>1116</v>
      </c>
      <c r="B715" s="4">
        <v>45351</v>
      </c>
      <c r="C715" s="3" t="s">
        <v>549</v>
      </c>
      <c r="D715" s="3" t="s">
        <v>203</v>
      </c>
      <c r="E715" s="3" t="s">
        <v>285</v>
      </c>
      <c r="F715" s="5">
        <v>3</v>
      </c>
      <c r="G715" s="5">
        <v>4070</v>
      </c>
      <c r="H715" s="5">
        <v>25.2</v>
      </c>
      <c r="I715" s="5">
        <v>9133.08</v>
      </c>
      <c r="J715" s="3" t="s">
        <v>26</v>
      </c>
      <c r="K715" s="3" t="s">
        <v>56</v>
      </c>
      <c r="L715" t="str">
        <f>IFERROR(VLOOKUP(D715,Products!$A$2:$F$61,3,FALSE()),"")</f>
        <v>Grocery</v>
      </c>
      <c r="M715" t="str">
        <f>IFERROR(VLOOKUP(E715,Sales_Reps!$A$2:$C$31,3,FALSE()),"")</f>
        <v>South</v>
      </c>
      <c r="N715">
        <f>IFERROR(VLOOKUP(D715,Products!$A$2:$F$61,4,FALSE()),"")</f>
        <v>2027</v>
      </c>
      <c r="O715" t="str">
        <f>IFERROR(VLOOKUP(C715,Customers!$A$2:$F$301,5,FALSE()),"")</f>
        <v>SMB</v>
      </c>
      <c r="P715">
        <f>IFERROR(VLOOKUP(C715,Customers!$A$2:$F$301,3,FALSE()),"")</f>
        <v>42</v>
      </c>
      <c r="Q715">
        <f t="shared" si="33"/>
        <v>0.50196560196560192</v>
      </c>
      <c r="R715">
        <f>IF(AND(COUNTIF($A$2:$A$2047,A715)&gt;1,COUNTIF($A$2:A715,A715)=1),1,0)</f>
        <v>0</v>
      </c>
      <c r="S715" t="b">
        <f>IFERROR(VLOOKUP(D715,Products!$A$2:$F$61,6,FALSE()),"")</f>
        <v>1</v>
      </c>
      <c r="T715" t="str">
        <f>IF(COUNTIF(Customers!$A$2:$A$301,C715)=0,"Missing","OK")</f>
        <v>OK</v>
      </c>
      <c r="U715" t="str">
        <f t="shared" si="34"/>
        <v>Bengaluru</v>
      </c>
      <c r="V715">
        <f t="shared" si="35"/>
        <v>9133.08</v>
      </c>
    </row>
    <row r="716" spans="1:22" ht="15" customHeight="1" x14ac:dyDescent="0.35">
      <c r="A716" s="3" t="s">
        <v>1117</v>
      </c>
      <c r="B716" s="4">
        <v>45461</v>
      </c>
      <c r="C716" s="3" t="s">
        <v>608</v>
      </c>
      <c r="D716" s="3" t="s">
        <v>319</v>
      </c>
      <c r="E716" s="3" t="s">
        <v>37</v>
      </c>
      <c r="F716" s="5">
        <v>10</v>
      </c>
      <c r="G716" s="5">
        <v>960</v>
      </c>
      <c r="H716" s="5">
        <v>0.3</v>
      </c>
      <c r="I716" s="5">
        <v>9571.2000000000007</v>
      </c>
      <c r="J716" s="3" t="s">
        <v>26</v>
      </c>
      <c r="K716" s="3" t="s">
        <v>72</v>
      </c>
      <c r="L716" t="str">
        <f>IFERROR(VLOOKUP(D716,Products!$A$2:$F$61,3,FALSE()),"")</f>
        <v>Beauty</v>
      </c>
      <c r="M716" t="str">
        <f>IFERROR(VLOOKUP(E716,Sales_Reps!$A$2:$C$31,3,FALSE()),"")</f>
        <v>South</v>
      </c>
      <c r="N716">
        <f>IFERROR(VLOOKUP(D716,Products!$A$2:$F$61,4,FALSE()),"")</f>
        <v>675</v>
      </c>
      <c r="O716" t="str">
        <f>IFERROR(VLOOKUP(C716,Customers!$A$2:$F$301,5,FALSE()),"")</f>
        <v>Retail</v>
      </c>
      <c r="P716">
        <f>IFERROR(VLOOKUP(C716,Customers!$A$2:$F$301,3,FALSE()),"")</f>
        <v>31</v>
      </c>
      <c r="Q716">
        <f t="shared" si="33"/>
        <v>0.296875</v>
      </c>
      <c r="R716">
        <f>IF(AND(COUNTIF($A$2:$A$2047,A716)&gt;1,COUNTIF($A$2:A716,A716)=1),1,0)</f>
        <v>0</v>
      </c>
      <c r="S716" t="b">
        <f>IFERROR(VLOOKUP(D716,Products!$A$2:$F$61,6,FALSE()),"")</f>
        <v>1</v>
      </c>
      <c r="T716" t="str">
        <f>IF(COUNTIF(Customers!$A$2:$A$301,C716)=0,"Missing","OK")</f>
        <v>OK</v>
      </c>
      <c r="U716" t="str">
        <f t="shared" si="34"/>
        <v>Hyderabad</v>
      </c>
      <c r="V716">
        <f t="shared" si="35"/>
        <v>0</v>
      </c>
    </row>
    <row r="717" spans="1:22" ht="15" customHeight="1" x14ac:dyDescent="0.35">
      <c r="A717" s="3" t="s">
        <v>1118</v>
      </c>
      <c r="B717" s="4">
        <v>45431</v>
      </c>
      <c r="C717" s="3" t="s">
        <v>1119</v>
      </c>
      <c r="D717" s="3" t="s">
        <v>165</v>
      </c>
      <c r="E717" s="3" t="s">
        <v>168</v>
      </c>
      <c r="F717" s="5">
        <v>2</v>
      </c>
      <c r="G717" s="5">
        <v>3730</v>
      </c>
      <c r="H717" s="5">
        <v>29.9</v>
      </c>
      <c r="I717" s="5">
        <v>5229.46</v>
      </c>
      <c r="J717" s="3" t="s">
        <v>26</v>
      </c>
      <c r="K717" s="3" t="s">
        <v>33</v>
      </c>
      <c r="L717" t="str">
        <f>IFERROR(VLOOKUP(D717,Products!$A$2:$F$61,3,FALSE()),"")</f>
        <v>Home</v>
      </c>
      <c r="M717" t="str">
        <f>IFERROR(VLOOKUP(E717,Sales_Reps!$A$2:$C$31,3,FALSE()),"")</f>
        <v>West</v>
      </c>
      <c r="N717">
        <f>IFERROR(VLOOKUP(D717,Products!$A$2:$F$61,4,FALSE()),"")</f>
        <v>2135</v>
      </c>
      <c r="O717" t="str">
        <f>IFERROR(VLOOKUP(C717,Customers!$A$2:$F$301,5,FALSE()),"")</f>
        <v>Corporate</v>
      </c>
      <c r="P717">
        <f>IFERROR(VLOOKUP(C717,Customers!$A$2:$F$301,3,FALSE()),"")</f>
        <v>49</v>
      </c>
      <c r="Q717">
        <f t="shared" si="33"/>
        <v>0.42761394101876676</v>
      </c>
      <c r="R717">
        <f>IF(AND(COUNTIF($A$2:$A$2047,A717)&gt;1,COUNTIF($A$2:A717,A717)=1),1,0)</f>
        <v>0</v>
      </c>
      <c r="S717" t="b">
        <f>IFERROR(VLOOKUP(D717,Products!$A$2:$F$61,6,FALSE()),"")</f>
        <v>1</v>
      </c>
      <c r="T717" t="str">
        <f>IF(COUNTIF(Customers!$A$2:$A$301,C717)=0,"Missing","OK")</f>
        <v>OK</v>
      </c>
      <c r="U717" t="str">
        <f t="shared" si="34"/>
        <v>Chennai</v>
      </c>
      <c r="V717">
        <f t="shared" si="35"/>
        <v>0</v>
      </c>
    </row>
    <row r="718" spans="1:22" ht="15" customHeight="1" x14ac:dyDescent="0.35">
      <c r="A718" s="3" t="s">
        <v>1120</v>
      </c>
      <c r="B718" s="4">
        <v>45592</v>
      </c>
      <c r="C718" s="3" t="s">
        <v>308</v>
      </c>
      <c r="D718" s="3" t="s">
        <v>54</v>
      </c>
      <c r="E718" s="3" t="s">
        <v>78</v>
      </c>
      <c r="F718" s="5">
        <v>9</v>
      </c>
      <c r="G718" s="5">
        <v>960</v>
      </c>
      <c r="H718" s="5">
        <v>1.9</v>
      </c>
      <c r="I718" s="5">
        <v>8475.84</v>
      </c>
      <c r="J718" s="3" t="s">
        <v>26</v>
      </c>
      <c r="K718" s="3" t="s">
        <v>33</v>
      </c>
      <c r="L718" t="str">
        <f>IFERROR(VLOOKUP(D718,Products!$A$2:$F$61,3,FALSE()),"")</f>
        <v>Sports</v>
      </c>
      <c r="M718" t="str">
        <f>IFERROR(VLOOKUP(E718,Sales_Reps!$A$2:$C$31,3,FALSE()),"")</f>
        <v>North</v>
      </c>
      <c r="N718">
        <f>IFERROR(VLOOKUP(D718,Products!$A$2:$F$61,4,FALSE()),"")</f>
        <v>705</v>
      </c>
      <c r="O718" t="str">
        <f>IFERROR(VLOOKUP(C718,Customers!$A$2:$F$301,5,FALSE()),"")</f>
        <v>SMB</v>
      </c>
      <c r="P718">
        <f>IFERROR(VLOOKUP(C718,Customers!$A$2:$F$301,3,FALSE()),"")</f>
        <v>62</v>
      </c>
      <c r="Q718">
        <f t="shared" si="33"/>
        <v>0.265625</v>
      </c>
      <c r="R718">
        <f>IF(AND(COUNTIF($A$2:$A$2047,A718)&gt;1,COUNTIF($A$2:A718,A718)=1),1,0)</f>
        <v>0</v>
      </c>
      <c r="S718" t="b">
        <f>IFERROR(VLOOKUP(D718,Products!$A$2:$F$61,6,FALSE()),"")</f>
        <v>1</v>
      </c>
      <c r="T718" t="str">
        <f>IF(COUNTIF(Customers!$A$2:$A$301,C718)=0,"Missing","OK")</f>
        <v>OK</v>
      </c>
      <c r="U718" t="str">
        <f t="shared" si="34"/>
        <v>Chennai</v>
      </c>
      <c r="V718">
        <f t="shared" si="35"/>
        <v>0</v>
      </c>
    </row>
    <row r="719" spans="1:22" ht="15" customHeight="1" x14ac:dyDescent="0.35">
      <c r="A719" s="3" t="s">
        <v>1121</v>
      </c>
      <c r="B719" s="4">
        <v>45454</v>
      </c>
      <c r="C719" s="3" t="s">
        <v>85</v>
      </c>
      <c r="D719" s="3" t="s">
        <v>391</v>
      </c>
      <c r="E719" s="3" t="s">
        <v>78</v>
      </c>
      <c r="F719" s="5">
        <v>2</v>
      </c>
      <c r="G719" s="5">
        <v>3450</v>
      </c>
      <c r="H719" s="5">
        <v>22.9</v>
      </c>
      <c r="I719" s="5">
        <v>5319.9</v>
      </c>
      <c r="J719" s="3" t="s">
        <v>32</v>
      </c>
      <c r="K719" s="3" t="s">
        <v>27</v>
      </c>
      <c r="L719" t="str">
        <f>IFERROR(VLOOKUP(D719,Products!$A$2:$F$61,3,FALSE()),"")</f>
        <v>Apparel</v>
      </c>
      <c r="M719" t="str">
        <f>IFERROR(VLOOKUP(E719,Sales_Reps!$A$2:$C$31,3,FALSE()),"")</f>
        <v>North</v>
      </c>
      <c r="N719">
        <f>IFERROR(VLOOKUP(D719,Products!$A$2:$F$61,4,FALSE()),"")</f>
        <v>1748</v>
      </c>
      <c r="O719" t="str">
        <f>IFERROR(VLOOKUP(C719,Customers!$A$2:$F$301,5,FALSE()),"")</f>
        <v>Retail</v>
      </c>
      <c r="P719">
        <f>IFERROR(VLOOKUP(C719,Customers!$A$2:$F$301,3,FALSE()),"")</f>
        <v>38</v>
      </c>
      <c r="Q719">
        <f t="shared" si="33"/>
        <v>0.49333333333333335</v>
      </c>
      <c r="R719">
        <f>IF(AND(COUNTIF($A$2:$A$2047,A719)&gt;1,COUNTIF($A$2:A719,A719)=1),1,0)</f>
        <v>0</v>
      </c>
      <c r="S719" t="b">
        <f>IFERROR(VLOOKUP(D719,Products!$A$2:$F$61,6,FALSE()),"")</f>
        <v>1</v>
      </c>
      <c r="T719" t="str">
        <f>IF(COUNTIF(Customers!$A$2:$A$301,C719)=0,"Missing","OK")</f>
        <v>OK</v>
      </c>
      <c r="U719" t="str">
        <f t="shared" si="34"/>
        <v>Pune</v>
      </c>
      <c r="V719">
        <f t="shared" si="35"/>
        <v>0</v>
      </c>
    </row>
    <row r="720" spans="1:22" ht="15" customHeight="1" x14ac:dyDescent="0.35">
      <c r="A720" s="3" t="s">
        <v>1122</v>
      </c>
      <c r="B720" s="4">
        <v>45616</v>
      </c>
      <c r="C720" s="3" t="s">
        <v>780</v>
      </c>
      <c r="D720" s="3" t="s">
        <v>299</v>
      </c>
      <c r="E720" s="3" t="s">
        <v>71</v>
      </c>
      <c r="F720" s="5">
        <v>3</v>
      </c>
      <c r="G720" s="5">
        <v>5410</v>
      </c>
      <c r="H720" s="5">
        <v>15.5</v>
      </c>
      <c r="I720" s="5">
        <v>13714.35</v>
      </c>
      <c r="J720" s="3" t="s">
        <v>26</v>
      </c>
      <c r="K720" s="3" t="s">
        <v>56</v>
      </c>
      <c r="L720" t="str">
        <f>IFERROR(VLOOKUP(D720,Products!$A$2:$F$61,3,FALSE()),"")</f>
        <v>Sports</v>
      </c>
      <c r="M720" t="str">
        <f>IFERROR(VLOOKUP(E720,Sales_Reps!$A$2:$C$31,3,FALSE()),"")</f>
        <v>South</v>
      </c>
      <c r="N720">
        <f>IFERROR(VLOOKUP(D720,Products!$A$2:$F$61,4,FALSE()),"")</f>
        <v>2265</v>
      </c>
      <c r="O720" t="str">
        <f>IFERROR(VLOOKUP(C720,Customers!$A$2:$F$301,5,FALSE()),"")</f>
        <v>Corporate</v>
      </c>
      <c r="P720">
        <f>IFERROR(VLOOKUP(C720,Customers!$A$2:$F$301,3,FALSE()),"")</f>
        <v>41</v>
      </c>
      <c r="Q720">
        <f t="shared" si="33"/>
        <v>0.58133086876155271</v>
      </c>
      <c r="R720">
        <f>IF(AND(COUNTIF($A$2:$A$2047,A720)&gt;1,COUNTIF($A$2:A720,A720)=1),1,0)</f>
        <v>0</v>
      </c>
      <c r="S720" t="b">
        <f>IFERROR(VLOOKUP(D720,Products!$A$2:$F$61,6,FALSE()),"")</f>
        <v>1</v>
      </c>
      <c r="T720" t="str">
        <f>IF(COUNTIF(Customers!$A$2:$A$301,C720)=0,"Missing","OK")</f>
        <v>OK</v>
      </c>
      <c r="U720" t="str">
        <f t="shared" si="34"/>
        <v>Bengaluru</v>
      </c>
      <c r="V720">
        <f t="shared" si="35"/>
        <v>0</v>
      </c>
    </row>
    <row r="721" spans="1:22" ht="15" customHeight="1" x14ac:dyDescent="0.35">
      <c r="A721" s="3" t="s">
        <v>1123</v>
      </c>
      <c r="B721" s="4">
        <v>45448</v>
      </c>
      <c r="C721" s="3" t="s">
        <v>440</v>
      </c>
      <c r="D721" s="3" t="s">
        <v>118</v>
      </c>
      <c r="E721" s="3" t="s">
        <v>60</v>
      </c>
      <c r="F721" s="5">
        <v>8</v>
      </c>
      <c r="G721" s="5">
        <v>3350</v>
      </c>
      <c r="H721" s="5">
        <v>18.399999999999999</v>
      </c>
      <c r="I721" s="5">
        <v>21868.799999999999</v>
      </c>
      <c r="J721" s="3" t="s">
        <v>26</v>
      </c>
      <c r="K721" s="3" t="s">
        <v>72</v>
      </c>
      <c r="L721" t="str">
        <f>IFERROR(VLOOKUP(D721,Products!$A$2:$F$61,3,FALSE()),"")</f>
        <v>Beauty</v>
      </c>
      <c r="M721" t="str">
        <f>IFERROR(VLOOKUP(E721,Sales_Reps!$A$2:$C$31,3,FALSE()),"")</f>
        <v>East</v>
      </c>
      <c r="N721">
        <f>IFERROR(VLOOKUP(D721,Products!$A$2:$F$61,4,FALSE()),"")</f>
        <v>1728</v>
      </c>
      <c r="O721" t="str">
        <f>IFERROR(VLOOKUP(C721,Customers!$A$2:$F$301,5,FALSE()),"")</f>
        <v>SMB</v>
      </c>
      <c r="P721">
        <f>IFERROR(VLOOKUP(C721,Customers!$A$2:$F$301,3,FALSE()),"")</f>
        <v>65</v>
      </c>
      <c r="Q721">
        <f t="shared" si="33"/>
        <v>0.48417910447761192</v>
      </c>
      <c r="R721">
        <f>IF(AND(COUNTIF($A$2:$A$2047,A721)&gt;1,COUNTIF($A$2:A721,A721)=1),1,0)</f>
        <v>0</v>
      </c>
      <c r="S721" t="b">
        <f>IFERROR(VLOOKUP(D721,Products!$A$2:$F$61,6,FALSE()),"")</f>
        <v>1</v>
      </c>
      <c r="T721" t="str">
        <f>IF(COUNTIF(Customers!$A$2:$A$301,C721)=0,"Missing","OK")</f>
        <v>OK</v>
      </c>
      <c r="U721" t="str">
        <f t="shared" si="34"/>
        <v>Hyderabad</v>
      </c>
      <c r="V721">
        <f t="shared" si="35"/>
        <v>0</v>
      </c>
    </row>
    <row r="722" spans="1:22" ht="15" customHeight="1" x14ac:dyDescent="0.35">
      <c r="A722" s="3" t="s">
        <v>1124</v>
      </c>
      <c r="B722" s="4">
        <v>45611</v>
      </c>
      <c r="C722" s="3" t="s">
        <v>162</v>
      </c>
      <c r="D722" s="3" t="s">
        <v>112</v>
      </c>
      <c r="E722" s="3" t="s">
        <v>46</v>
      </c>
      <c r="F722" s="5">
        <v>5</v>
      </c>
      <c r="G722" s="5">
        <v>2720</v>
      </c>
      <c r="H722" s="5">
        <v>17.3</v>
      </c>
      <c r="I722" s="5">
        <v>11247.2</v>
      </c>
      <c r="J722" s="3" t="s">
        <v>79</v>
      </c>
      <c r="K722" s="3" t="s">
        <v>38</v>
      </c>
      <c r="L722" t="str">
        <f>IFERROR(VLOOKUP(D722,Products!$A$2:$F$61,3,FALSE()),"")</f>
        <v>Apparel</v>
      </c>
      <c r="M722" t="str">
        <f>IFERROR(VLOOKUP(E722,Sales_Reps!$A$2:$C$31,3,FALSE()),"")</f>
        <v>North</v>
      </c>
      <c r="N722">
        <f>IFERROR(VLOOKUP(D722,Products!$A$2:$F$61,4,FALSE()),"")</f>
        <v>1962</v>
      </c>
      <c r="O722" t="str">
        <f>IFERROR(VLOOKUP(C722,Customers!$A$2:$F$301,5,FALSE()),"")</f>
        <v>Retail</v>
      </c>
      <c r="P722">
        <f>IFERROR(VLOOKUP(C722,Customers!$A$2:$F$301,3,FALSE()),"")</f>
        <v>53</v>
      </c>
      <c r="Q722">
        <f t="shared" si="33"/>
        <v>0.2786764705882353</v>
      </c>
      <c r="R722">
        <f>IF(AND(COUNTIF($A$2:$A$2047,A722)&gt;1,COUNTIF($A$2:A722,A722)=1),1,0)</f>
        <v>0</v>
      </c>
      <c r="S722" t="b">
        <f>IFERROR(VLOOKUP(D722,Products!$A$2:$F$61,6,FALSE()),"")</f>
        <v>1</v>
      </c>
      <c r="T722" t="str">
        <f>IF(COUNTIF(Customers!$A$2:$A$301,C722)=0,"Missing","OK")</f>
        <v>OK</v>
      </c>
      <c r="U722" t="str">
        <f t="shared" si="34"/>
        <v>Delhi</v>
      </c>
      <c r="V722">
        <f t="shared" si="35"/>
        <v>0</v>
      </c>
    </row>
    <row r="723" spans="1:22" ht="15" customHeight="1" x14ac:dyDescent="0.35">
      <c r="A723" s="3" t="s">
        <v>1125</v>
      </c>
      <c r="B723" s="4">
        <v>45403</v>
      </c>
      <c r="C723" s="3" t="s">
        <v>53</v>
      </c>
      <c r="D723" s="3" t="s">
        <v>41</v>
      </c>
      <c r="E723" s="3" t="s">
        <v>177</v>
      </c>
      <c r="F723" s="5">
        <v>8</v>
      </c>
      <c r="G723" s="5">
        <v>3660</v>
      </c>
      <c r="H723" s="5">
        <v>28.8</v>
      </c>
      <c r="I723" s="5">
        <v>20847.36</v>
      </c>
      <c r="J723" s="3" t="s">
        <v>26</v>
      </c>
      <c r="K723" s="3" t="s">
        <v>56</v>
      </c>
      <c r="L723" t="str">
        <f>IFERROR(VLOOKUP(D723,Products!$A$2:$F$61,3,FALSE()),"")</f>
        <v>Grocery</v>
      </c>
      <c r="M723" t="str">
        <f>IFERROR(VLOOKUP(E723,Sales_Reps!$A$2:$C$31,3,FALSE()),"")</f>
        <v>East</v>
      </c>
      <c r="N723">
        <f>IFERROR(VLOOKUP(D723,Products!$A$2:$F$61,4,FALSE()),"")</f>
        <v>2214</v>
      </c>
      <c r="O723" t="str">
        <f>IFERROR(VLOOKUP(C723,Customers!$A$2:$F$301,5,FALSE()),"")</f>
        <v>Retail</v>
      </c>
      <c r="P723">
        <f>IFERROR(VLOOKUP(C723,Customers!$A$2:$F$301,3,FALSE()),"")</f>
        <v>27</v>
      </c>
      <c r="Q723">
        <f t="shared" si="33"/>
        <v>0.39508196721311473</v>
      </c>
      <c r="R723">
        <f>IF(AND(COUNTIF($A$2:$A$2047,A723)&gt;1,COUNTIF($A$2:A723,A723)=1),1,0)</f>
        <v>0</v>
      </c>
      <c r="S723" t="b">
        <f>IFERROR(VLOOKUP(D723,Products!$A$2:$F$61,6,FALSE()),"")</f>
        <v>0</v>
      </c>
      <c r="T723" t="str">
        <f>IF(COUNTIF(Customers!$A$2:$A$301,C723)=0,"Missing","OK")</f>
        <v>OK</v>
      </c>
      <c r="U723" t="str">
        <f t="shared" si="34"/>
        <v>Bengaluru</v>
      </c>
      <c r="V723">
        <f t="shared" si="35"/>
        <v>20847.36</v>
      </c>
    </row>
    <row r="724" spans="1:22" ht="15" customHeight="1" x14ac:dyDescent="0.35">
      <c r="A724" s="3" t="s">
        <v>1126</v>
      </c>
      <c r="B724" s="4">
        <v>45530</v>
      </c>
      <c r="C724" s="3" t="s">
        <v>521</v>
      </c>
      <c r="D724" s="3" t="s">
        <v>221</v>
      </c>
      <c r="E724" s="3" t="s">
        <v>191</v>
      </c>
      <c r="F724" s="5">
        <v>6</v>
      </c>
      <c r="G724" s="5">
        <v>300</v>
      </c>
      <c r="H724" s="5">
        <v>23.9</v>
      </c>
      <c r="I724" s="5">
        <v>1369.8</v>
      </c>
      <c r="J724" s="3" t="s">
        <v>79</v>
      </c>
      <c r="K724" s="3" t="s">
        <v>33</v>
      </c>
      <c r="L724" t="str">
        <f>IFERROR(VLOOKUP(D724,Products!$A$2:$F$61,3,FALSE()),"")</f>
        <v>Electronics</v>
      </c>
      <c r="M724" t="str">
        <f>IFERROR(VLOOKUP(E724,Sales_Reps!$A$2:$C$31,3,FALSE()),"")</f>
        <v>South</v>
      </c>
      <c r="N724">
        <f>IFERROR(VLOOKUP(D724,Products!$A$2:$F$61,4,FALSE()),"")</f>
        <v>128</v>
      </c>
      <c r="O724" t="str">
        <f>IFERROR(VLOOKUP(C724,Customers!$A$2:$F$301,5,FALSE()),"")</f>
        <v>SMB</v>
      </c>
      <c r="P724">
        <f>IFERROR(VLOOKUP(C724,Customers!$A$2:$F$301,3,FALSE()),"")</f>
        <v>59</v>
      </c>
      <c r="Q724">
        <f t="shared" si="33"/>
        <v>0.57333333333333336</v>
      </c>
      <c r="R724">
        <f>IF(AND(COUNTIF($A$2:$A$2047,A724)&gt;1,COUNTIF($A$2:A724,A724)=1),1,0)</f>
        <v>0</v>
      </c>
      <c r="S724" t="b">
        <f>IFERROR(VLOOKUP(D724,Products!$A$2:$F$61,6,FALSE()),"")</f>
        <v>1</v>
      </c>
      <c r="T724" t="str">
        <f>IF(COUNTIF(Customers!$A$2:$A$301,C724)=0,"Missing","OK")</f>
        <v>OK</v>
      </c>
      <c r="U724" t="str">
        <f t="shared" si="34"/>
        <v>Chennai</v>
      </c>
      <c r="V724">
        <f t="shared" si="35"/>
        <v>0</v>
      </c>
    </row>
    <row r="725" spans="1:22" ht="15" customHeight="1" x14ac:dyDescent="0.35">
      <c r="A725" s="3" t="s">
        <v>1127</v>
      </c>
      <c r="B725" s="4">
        <v>45548</v>
      </c>
      <c r="C725" s="3" t="s">
        <v>183</v>
      </c>
      <c r="D725" s="3" t="s">
        <v>325</v>
      </c>
      <c r="E725" s="3" t="s">
        <v>140</v>
      </c>
      <c r="F725" s="5">
        <v>3</v>
      </c>
      <c r="G725" s="5">
        <v>2290</v>
      </c>
      <c r="H725" s="5">
        <v>2.4</v>
      </c>
      <c r="I725" s="5">
        <v>6705.12</v>
      </c>
      <c r="J725" s="3" t="s">
        <v>26</v>
      </c>
      <c r="K725" s="3" t="s">
        <v>33</v>
      </c>
      <c r="L725" t="str">
        <f>IFERROR(VLOOKUP(D725,Products!$A$2:$F$61,3,FALSE()),"")</f>
        <v>Beauty</v>
      </c>
      <c r="M725" t="str">
        <f>IFERROR(VLOOKUP(E725,Sales_Reps!$A$2:$C$31,3,FALSE()),"")</f>
        <v>West</v>
      </c>
      <c r="N725">
        <f>IFERROR(VLOOKUP(D725,Products!$A$2:$F$61,4,FALSE()),"")</f>
        <v>1219</v>
      </c>
      <c r="O725" t="str">
        <f>IFERROR(VLOOKUP(C725,Customers!$A$2:$F$301,5,FALSE()),"")</f>
        <v>Corporate</v>
      </c>
      <c r="P725">
        <f>IFERROR(VLOOKUP(C725,Customers!$A$2:$F$301,3,FALSE()),"")</f>
        <v>52</v>
      </c>
      <c r="Q725">
        <f t="shared" si="33"/>
        <v>0.46768558951965067</v>
      </c>
      <c r="R725">
        <f>IF(AND(COUNTIF($A$2:$A$2047,A725)&gt;1,COUNTIF($A$2:A725,A725)=1),1,0)</f>
        <v>0</v>
      </c>
      <c r="S725" t="b">
        <f>IFERROR(VLOOKUP(D725,Products!$A$2:$F$61,6,FALSE()),"")</f>
        <v>1</v>
      </c>
      <c r="T725" t="str">
        <f>IF(COUNTIF(Customers!$A$2:$A$301,C725)=0,"Missing","OK")</f>
        <v>OK</v>
      </c>
      <c r="U725" t="str">
        <f t="shared" si="34"/>
        <v>Chennai</v>
      </c>
      <c r="V725">
        <f t="shared" si="35"/>
        <v>0</v>
      </c>
    </row>
    <row r="726" spans="1:22" ht="15" customHeight="1" x14ac:dyDescent="0.35">
      <c r="A726" s="3" t="s">
        <v>1128</v>
      </c>
      <c r="B726" s="4">
        <v>45403</v>
      </c>
      <c r="C726" s="3" t="s">
        <v>925</v>
      </c>
      <c r="D726" s="3" t="s">
        <v>123</v>
      </c>
      <c r="E726" s="3" t="s">
        <v>37</v>
      </c>
      <c r="F726" s="5">
        <v>6</v>
      </c>
      <c r="G726" s="5">
        <v>4880</v>
      </c>
      <c r="H726" s="5">
        <v>11.1</v>
      </c>
      <c r="I726" s="5">
        <v>26029.919999999998</v>
      </c>
      <c r="J726" s="3" t="s">
        <v>32</v>
      </c>
      <c r="K726" s="3" t="s">
        <v>33</v>
      </c>
      <c r="L726" t="str">
        <f>IFERROR(VLOOKUP(D726,Products!$A$2:$F$61,3,FALSE()),"")</f>
        <v>Beauty</v>
      </c>
      <c r="M726" t="str">
        <f>IFERROR(VLOOKUP(E726,Sales_Reps!$A$2:$C$31,3,FALSE()),"")</f>
        <v>South</v>
      </c>
      <c r="N726">
        <f>IFERROR(VLOOKUP(D726,Products!$A$2:$F$61,4,FALSE()),"")</f>
        <v>2768</v>
      </c>
      <c r="O726" t="str">
        <f>IFERROR(VLOOKUP(C726,Customers!$A$2:$F$301,5,FALSE()),"")</f>
        <v>Corporate</v>
      </c>
      <c r="P726">
        <f>IFERROR(VLOOKUP(C726,Customers!$A$2:$F$301,3,FALSE()),"")</f>
        <v>52</v>
      </c>
      <c r="Q726">
        <f t="shared" si="33"/>
        <v>0.43278688524590164</v>
      </c>
      <c r="R726">
        <f>IF(AND(COUNTIF($A$2:$A$2047,A726)&gt;1,COUNTIF($A$2:A726,A726)=1),1,0)</f>
        <v>0</v>
      </c>
      <c r="S726" t="b">
        <f>IFERROR(VLOOKUP(D726,Products!$A$2:$F$61,6,FALSE()),"")</f>
        <v>1</v>
      </c>
      <c r="T726" t="str">
        <f>IF(COUNTIF(Customers!$A$2:$A$301,C726)=0,"Missing","OK")</f>
        <v>OK</v>
      </c>
      <c r="U726" t="str">
        <f t="shared" si="34"/>
        <v>Chennai</v>
      </c>
      <c r="V726">
        <f t="shared" si="35"/>
        <v>0</v>
      </c>
    </row>
    <row r="727" spans="1:22" ht="15" customHeight="1" x14ac:dyDescent="0.35">
      <c r="A727" s="3" t="s">
        <v>1129</v>
      </c>
      <c r="B727" s="4">
        <v>45562</v>
      </c>
      <c r="C727" s="3" t="s">
        <v>1130</v>
      </c>
      <c r="D727" s="3" t="s">
        <v>221</v>
      </c>
      <c r="E727" s="3" t="s">
        <v>25</v>
      </c>
      <c r="F727" s="5">
        <v>5</v>
      </c>
      <c r="G727" s="5">
        <v>300</v>
      </c>
      <c r="H727" s="5">
        <v>19.399999999999999</v>
      </c>
      <c r="I727" s="5">
        <v>1209</v>
      </c>
      <c r="J727" s="3" t="s">
        <v>26</v>
      </c>
      <c r="K727" s="3" t="s">
        <v>56</v>
      </c>
      <c r="L727" t="str">
        <f>IFERROR(VLOOKUP(D727,Products!$A$2:$F$61,3,FALSE()),"")</f>
        <v>Electronics</v>
      </c>
      <c r="M727" t="str">
        <f>IFERROR(VLOOKUP(E727,Sales_Reps!$A$2:$C$31,3,FALSE()),"")</f>
        <v>North</v>
      </c>
      <c r="N727">
        <f>IFERROR(VLOOKUP(D727,Products!$A$2:$F$61,4,FALSE()),"")</f>
        <v>128</v>
      </c>
      <c r="O727" t="str">
        <f>IFERROR(VLOOKUP(C727,Customers!$A$2:$F$301,5,FALSE()),"")</f>
        <v>Retail</v>
      </c>
      <c r="P727">
        <f>IFERROR(VLOOKUP(C727,Customers!$A$2:$F$301,3,FALSE()),"")</f>
        <v>36</v>
      </c>
      <c r="Q727">
        <f t="shared" si="33"/>
        <v>0.57333333333333336</v>
      </c>
      <c r="R727">
        <f>IF(AND(COUNTIF($A$2:$A$2047,A727)&gt;1,COUNTIF($A$2:A727,A727)=1),1,0)</f>
        <v>0</v>
      </c>
      <c r="S727" t="b">
        <f>IFERROR(VLOOKUP(D727,Products!$A$2:$F$61,6,FALSE()),"")</f>
        <v>1</v>
      </c>
      <c r="T727" t="str">
        <f>IF(COUNTIF(Customers!$A$2:$A$301,C727)=0,"Missing","OK")</f>
        <v>OK</v>
      </c>
      <c r="U727" t="str">
        <f t="shared" si="34"/>
        <v>Bengaluru</v>
      </c>
      <c r="V727">
        <f t="shared" si="35"/>
        <v>0</v>
      </c>
    </row>
    <row r="728" spans="1:22" ht="15" customHeight="1" x14ac:dyDescent="0.35">
      <c r="A728" s="3" t="s">
        <v>1131</v>
      </c>
      <c r="B728" s="4">
        <v>45635</v>
      </c>
      <c r="C728" s="3" t="s">
        <v>1132</v>
      </c>
      <c r="D728" s="3" t="s">
        <v>218</v>
      </c>
      <c r="E728" s="3" t="s">
        <v>109</v>
      </c>
      <c r="F728" s="5">
        <v>3</v>
      </c>
      <c r="G728" s="5">
        <v>2660</v>
      </c>
      <c r="H728" s="5">
        <v>28.5</v>
      </c>
      <c r="I728" s="5">
        <v>5705.7</v>
      </c>
      <c r="J728" s="3" t="s">
        <v>32</v>
      </c>
      <c r="K728" s="3" t="s">
        <v>72</v>
      </c>
      <c r="L728" t="str">
        <f>IFERROR(VLOOKUP(D728,Products!$A$2:$F$61,3,FALSE()),"")</f>
        <v>Electronics</v>
      </c>
      <c r="M728" t="str">
        <f>IFERROR(VLOOKUP(E728,Sales_Reps!$A$2:$C$31,3,FALSE()),"")</f>
        <v>West</v>
      </c>
      <c r="N728">
        <f>IFERROR(VLOOKUP(D728,Products!$A$2:$F$61,4,FALSE()),"")</f>
        <v>1259</v>
      </c>
      <c r="O728" t="str">
        <f>IFERROR(VLOOKUP(C728,Customers!$A$2:$F$301,5,FALSE()),"")</f>
        <v>SMB</v>
      </c>
      <c r="P728">
        <f>IFERROR(VLOOKUP(C728,Customers!$A$2:$F$301,3,FALSE()),"")</f>
        <v>25</v>
      </c>
      <c r="Q728">
        <f t="shared" si="33"/>
        <v>0.52669172932330832</v>
      </c>
      <c r="R728">
        <f>IF(AND(COUNTIF($A$2:$A$2047,A728)&gt;1,COUNTIF($A$2:A728,A728)=1),1,0)</f>
        <v>0</v>
      </c>
      <c r="S728" t="b">
        <f>IFERROR(VLOOKUP(D728,Products!$A$2:$F$61,6,FALSE()),"")</f>
        <v>0</v>
      </c>
      <c r="T728" t="str">
        <f>IF(COUNTIF(Customers!$A$2:$A$301,C728)=0,"Missing","OK")</f>
        <v>OK</v>
      </c>
      <c r="U728" t="str">
        <f t="shared" si="34"/>
        <v>Hyderabad</v>
      </c>
      <c r="V728">
        <f t="shared" si="35"/>
        <v>0</v>
      </c>
    </row>
    <row r="729" spans="1:22" ht="15" customHeight="1" x14ac:dyDescent="0.35">
      <c r="A729" s="3" t="s">
        <v>1133</v>
      </c>
      <c r="B729" s="4">
        <v>45434</v>
      </c>
      <c r="C729" s="3" t="s">
        <v>774</v>
      </c>
      <c r="D729" s="3" t="s">
        <v>441</v>
      </c>
      <c r="E729" s="3" t="s">
        <v>55</v>
      </c>
      <c r="F729" s="5">
        <v>7</v>
      </c>
      <c r="G729" s="5">
        <v>1090</v>
      </c>
      <c r="H729" s="5">
        <v>10.3</v>
      </c>
      <c r="I729" s="5">
        <v>6844.11</v>
      </c>
      <c r="J729" s="3" t="s">
        <v>26</v>
      </c>
      <c r="K729" s="3" t="s">
        <v>56</v>
      </c>
      <c r="L729" t="str">
        <f>IFERROR(VLOOKUP(D729,Products!$A$2:$F$61,3,FALSE()),"")</f>
        <v>Home</v>
      </c>
      <c r="M729" t="str">
        <f>IFERROR(VLOOKUP(E729,Sales_Reps!$A$2:$C$31,3,FALSE()),"")</f>
        <v>West</v>
      </c>
      <c r="N729">
        <f>IFERROR(VLOOKUP(D729,Products!$A$2:$F$61,4,FALSE()),"")</f>
        <v>464</v>
      </c>
      <c r="O729" t="str">
        <f>IFERROR(VLOOKUP(C729,Customers!$A$2:$F$301,5,FALSE()),"")</f>
        <v>Retail</v>
      </c>
      <c r="P729">
        <f>IFERROR(VLOOKUP(C729,Customers!$A$2:$F$301,3,FALSE()),"")</f>
        <v>52</v>
      </c>
      <c r="Q729">
        <f t="shared" si="33"/>
        <v>0.57431192660550456</v>
      </c>
      <c r="R729">
        <f>IF(AND(COUNTIF($A$2:$A$2047,A729)&gt;1,COUNTIF($A$2:A729,A729)=1),1,0)</f>
        <v>0</v>
      </c>
      <c r="S729" t="b">
        <f>IFERROR(VLOOKUP(D729,Products!$A$2:$F$61,6,FALSE()),"")</f>
        <v>1</v>
      </c>
      <c r="T729" t="str">
        <f>IF(COUNTIF(Customers!$A$2:$A$301,C729)=0,"Missing","OK")</f>
        <v>OK</v>
      </c>
      <c r="U729" t="str">
        <f t="shared" si="34"/>
        <v>Bengaluru</v>
      </c>
      <c r="V729">
        <f t="shared" si="35"/>
        <v>0</v>
      </c>
    </row>
    <row r="730" spans="1:22" ht="15" customHeight="1" x14ac:dyDescent="0.35">
      <c r="A730" s="3" t="s">
        <v>1134</v>
      </c>
      <c r="B730" s="4">
        <v>45350</v>
      </c>
      <c r="C730" s="3" t="s">
        <v>426</v>
      </c>
      <c r="D730" s="3" t="s">
        <v>59</v>
      </c>
      <c r="E730" s="3" t="s">
        <v>264</v>
      </c>
      <c r="F730" s="5">
        <v>9</v>
      </c>
      <c r="G730" s="5">
        <v>1430</v>
      </c>
      <c r="H730" s="5">
        <v>12.1</v>
      </c>
      <c r="I730" s="5">
        <v>11312.73</v>
      </c>
      <c r="J730" s="3" t="s">
        <v>79</v>
      </c>
      <c r="K730" s="3" t="s">
        <v>27</v>
      </c>
      <c r="L730" t="str">
        <f>IFERROR(VLOOKUP(D730,Products!$A$2:$F$61,3,FALSE()),"")</f>
        <v>Electronics</v>
      </c>
      <c r="M730" t="str">
        <f>IFERROR(VLOOKUP(E730,Sales_Reps!$A$2:$C$31,3,FALSE()),"")</f>
        <v>South</v>
      </c>
      <c r="N730">
        <f>IFERROR(VLOOKUP(D730,Products!$A$2:$F$61,4,FALSE()),"")</f>
        <v>861</v>
      </c>
      <c r="O730" t="str">
        <f>IFERROR(VLOOKUP(C730,Customers!$A$2:$F$301,5,FALSE()),"")</f>
        <v>Corporate</v>
      </c>
      <c r="P730">
        <f>IFERROR(VLOOKUP(C730,Customers!$A$2:$F$301,3,FALSE()),"")</f>
        <v>29</v>
      </c>
      <c r="Q730">
        <f t="shared" si="33"/>
        <v>0.39790209790209791</v>
      </c>
      <c r="R730">
        <f>IF(AND(COUNTIF($A$2:$A$2047,A730)&gt;1,COUNTIF($A$2:A730,A730)=1),1,0)</f>
        <v>0</v>
      </c>
      <c r="S730" t="b">
        <f>IFERROR(VLOOKUP(D730,Products!$A$2:$F$61,6,FALSE()),"")</f>
        <v>1</v>
      </c>
      <c r="T730" t="str">
        <f>IF(COUNTIF(Customers!$A$2:$A$301,C730)=0,"Missing","OK")</f>
        <v>OK</v>
      </c>
      <c r="U730" t="str">
        <f t="shared" si="34"/>
        <v>Pune</v>
      </c>
      <c r="V730">
        <f t="shared" si="35"/>
        <v>0</v>
      </c>
    </row>
    <row r="731" spans="1:22" ht="15" customHeight="1" x14ac:dyDescent="0.35">
      <c r="A731" s="3" t="s">
        <v>1135</v>
      </c>
      <c r="B731" s="4">
        <v>45344</v>
      </c>
      <c r="C731" s="3" t="s">
        <v>164</v>
      </c>
      <c r="D731" s="3" t="s">
        <v>74</v>
      </c>
      <c r="E731" s="3" t="s">
        <v>31</v>
      </c>
      <c r="F731" s="5">
        <v>5</v>
      </c>
      <c r="G731" s="5">
        <v>2640</v>
      </c>
      <c r="H731" s="5">
        <v>26.8</v>
      </c>
      <c r="I731" s="5">
        <v>9662.4</v>
      </c>
      <c r="J731" s="3" t="s">
        <v>26</v>
      </c>
      <c r="K731" s="3" t="s">
        <v>33</v>
      </c>
      <c r="L731" t="str">
        <f>IFERROR(VLOOKUP(D731,Products!$A$2:$F$61,3,FALSE()),"")</f>
        <v>Electronics</v>
      </c>
      <c r="M731" t="str">
        <f>IFERROR(VLOOKUP(E731,Sales_Reps!$A$2:$C$31,3,FALSE()),"")</f>
        <v>North</v>
      </c>
      <c r="N731">
        <f>IFERROR(VLOOKUP(D731,Products!$A$2:$F$61,4,FALSE()),"")</f>
        <v>1149</v>
      </c>
      <c r="O731" t="str">
        <f>IFERROR(VLOOKUP(C731,Customers!$A$2:$F$301,5,FALSE()),"")</f>
        <v>Retail</v>
      </c>
      <c r="P731">
        <f>IFERROR(VLOOKUP(C731,Customers!$A$2:$F$301,3,FALSE()),"")</f>
        <v>37</v>
      </c>
      <c r="Q731">
        <f t="shared" si="33"/>
        <v>0.56477272727272732</v>
      </c>
      <c r="R731">
        <f>IF(AND(COUNTIF($A$2:$A$2047,A731)&gt;1,COUNTIF($A$2:A731,A731)=1),1,0)</f>
        <v>0</v>
      </c>
      <c r="S731" t="b">
        <f>IFERROR(VLOOKUP(D731,Products!$A$2:$F$61,6,FALSE()),"")</f>
        <v>1</v>
      </c>
      <c r="T731" t="str">
        <f>IF(COUNTIF(Customers!$A$2:$A$301,C731)=0,"Missing","OK")</f>
        <v>OK</v>
      </c>
      <c r="U731" t="str">
        <f t="shared" si="34"/>
        <v>Chennai</v>
      </c>
      <c r="V731">
        <f t="shared" si="35"/>
        <v>0</v>
      </c>
    </row>
    <row r="732" spans="1:22" ht="15" customHeight="1" x14ac:dyDescent="0.35">
      <c r="A732" s="3" t="s">
        <v>1136</v>
      </c>
      <c r="B732" s="4">
        <v>45498</v>
      </c>
      <c r="C732" s="3" t="s">
        <v>642</v>
      </c>
      <c r="D732" s="3" t="s">
        <v>112</v>
      </c>
      <c r="E732" s="3" t="s">
        <v>154</v>
      </c>
      <c r="F732" s="5">
        <v>8</v>
      </c>
      <c r="G732" s="5">
        <v>2720</v>
      </c>
      <c r="H732" s="5">
        <v>17.5</v>
      </c>
      <c r="I732" s="5">
        <v>17952</v>
      </c>
      <c r="J732" s="3" t="s">
        <v>26</v>
      </c>
      <c r="K732" s="3" t="s">
        <v>27</v>
      </c>
      <c r="L732" t="str">
        <f>IFERROR(VLOOKUP(D732,Products!$A$2:$F$61,3,FALSE()),"")</f>
        <v>Apparel</v>
      </c>
      <c r="M732" t="str">
        <f>IFERROR(VLOOKUP(E732,Sales_Reps!$A$2:$C$31,3,FALSE()),"")</f>
        <v>North</v>
      </c>
      <c r="N732">
        <f>IFERROR(VLOOKUP(D732,Products!$A$2:$F$61,4,FALSE()),"")</f>
        <v>1962</v>
      </c>
      <c r="O732" t="str">
        <f>IFERROR(VLOOKUP(C732,Customers!$A$2:$F$301,5,FALSE()),"")</f>
        <v>Corporate</v>
      </c>
      <c r="P732">
        <f>IFERROR(VLOOKUP(C732,Customers!$A$2:$F$301,3,FALSE()),"")</f>
        <v>52</v>
      </c>
      <c r="Q732">
        <f t="shared" si="33"/>
        <v>0.2786764705882353</v>
      </c>
      <c r="R732">
        <f>IF(AND(COUNTIF($A$2:$A$2047,A732)&gt;1,COUNTIF($A$2:A732,A732)=1),1,0)</f>
        <v>0</v>
      </c>
      <c r="S732" t="b">
        <f>IFERROR(VLOOKUP(D732,Products!$A$2:$F$61,6,FALSE()),"")</f>
        <v>1</v>
      </c>
      <c r="T732" t="str">
        <f>IF(COUNTIF(Customers!$A$2:$A$301,C732)=0,"Missing","OK")</f>
        <v>OK</v>
      </c>
      <c r="U732" t="str">
        <f t="shared" si="34"/>
        <v>Pune</v>
      </c>
      <c r="V732">
        <f t="shared" si="35"/>
        <v>0</v>
      </c>
    </row>
    <row r="733" spans="1:22" ht="15" customHeight="1" x14ac:dyDescent="0.35">
      <c r="A733" s="3" t="s">
        <v>1137</v>
      </c>
      <c r="B733" s="4">
        <v>45520</v>
      </c>
      <c r="C733" s="3" t="s">
        <v>421</v>
      </c>
      <c r="D733" s="3" t="s">
        <v>176</v>
      </c>
      <c r="E733" s="3" t="s">
        <v>285</v>
      </c>
      <c r="F733" s="5">
        <v>9</v>
      </c>
      <c r="G733" s="5">
        <v>3640</v>
      </c>
      <c r="H733" s="5">
        <v>3.6</v>
      </c>
      <c r="I733" s="5">
        <v>31580.639999999999</v>
      </c>
      <c r="J733" s="3" t="s">
        <v>26</v>
      </c>
      <c r="K733" s="3" t="s">
        <v>72</v>
      </c>
      <c r="L733" t="str">
        <f>IFERROR(VLOOKUP(D733,Products!$A$2:$F$61,3,FALSE()),"")</f>
        <v>Apparel</v>
      </c>
      <c r="M733" t="str">
        <f>IFERROR(VLOOKUP(E733,Sales_Reps!$A$2:$C$31,3,FALSE()),"")</f>
        <v>South</v>
      </c>
      <c r="N733">
        <f>IFERROR(VLOOKUP(D733,Products!$A$2:$F$61,4,FALSE()),"")</f>
        <v>2611</v>
      </c>
      <c r="O733" t="str">
        <f>IFERROR(VLOOKUP(C733,Customers!$A$2:$F$301,5,FALSE()),"")</f>
        <v>Corporate</v>
      </c>
      <c r="P733">
        <f>IFERROR(VLOOKUP(C733,Customers!$A$2:$F$301,3,FALSE()),"")</f>
        <v>52</v>
      </c>
      <c r="Q733">
        <f t="shared" si="33"/>
        <v>0.28269230769230769</v>
      </c>
      <c r="R733">
        <f>IF(AND(COUNTIF($A$2:$A$2047,A733)&gt;1,COUNTIF($A$2:A733,A733)=1),1,0)</f>
        <v>0</v>
      </c>
      <c r="S733" t="b">
        <f>IFERROR(VLOOKUP(D733,Products!$A$2:$F$61,6,FALSE()),"")</f>
        <v>1</v>
      </c>
      <c r="T733" t="str">
        <f>IF(COUNTIF(Customers!$A$2:$A$301,C733)=0,"Missing","OK")</f>
        <v>OK</v>
      </c>
      <c r="U733" t="str">
        <f t="shared" si="34"/>
        <v>Hyderabad</v>
      </c>
      <c r="V733">
        <f t="shared" si="35"/>
        <v>0</v>
      </c>
    </row>
    <row r="734" spans="1:22" ht="15" customHeight="1" x14ac:dyDescent="0.35">
      <c r="A734" s="3" t="s">
        <v>1138</v>
      </c>
      <c r="B734" s="4">
        <v>45554</v>
      </c>
      <c r="C734" s="3" t="s">
        <v>1139</v>
      </c>
      <c r="D734" s="3" t="s">
        <v>180</v>
      </c>
      <c r="E734" s="3" t="s">
        <v>97</v>
      </c>
      <c r="F734" s="5">
        <v>7</v>
      </c>
      <c r="G734" s="5">
        <v>6080</v>
      </c>
      <c r="H734" s="5">
        <v>23.6</v>
      </c>
      <c r="I734" s="5">
        <v>32515.84</v>
      </c>
      <c r="J734" s="3" t="s">
        <v>26</v>
      </c>
      <c r="K734" s="3" t="s">
        <v>51</v>
      </c>
      <c r="L734" t="str">
        <f>IFERROR(VLOOKUP(D734,Products!$A$2:$F$61,3,FALSE()),"")</f>
        <v>Beauty</v>
      </c>
      <c r="M734" t="str">
        <f>IFERROR(VLOOKUP(E734,Sales_Reps!$A$2:$C$31,3,FALSE()),"")</f>
        <v>East</v>
      </c>
      <c r="N734">
        <f>IFERROR(VLOOKUP(D734,Products!$A$2:$F$61,4,FALSE()),"")</f>
        <v>2617</v>
      </c>
      <c r="O734" t="str">
        <f>IFERROR(VLOOKUP(C734,Customers!$A$2:$F$301,5,FALSE()),"")</f>
        <v/>
      </c>
      <c r="P734" t="str">
        <f>IFERROR(VLOOKUP(C734,Customers!$A$2:$F$301,3,FALSE()),"")</f>
        <v/>
      </c>
      <c r="Q734">
        <f t="shared" si="33"/>
        <v>0.56957236842105263</v>
      </c>
      <c r="R734">
        <f>IF(AND(COUNTIF($A$2:$A$2047,A734)&gt;1,COUNTIF($A$2:A734,A734)=1),1,0)</f>
        <v>0</v>
      </c>
      <c r="S734" t="b">
        <f>IFERROR(VLOOKUP(D734,Products!$A$2:$F$61,6,FALSE()),"")</f>
        <v>1</v>
      </c>
      <c r="T734" t="str">
        <f>IF(COUNTIF(Customers!$A$2:$A$301,C734)=0,"Missing","OK")</f>
        <v>Missing</v>
      </c>
      <c r="U734" t="str">
        <f t="shared" si="34"/>
        <v>Mumbai</v>
      </c>
      <c r="V734">
        <f t="shared" si="35"/>
        <v>0</v>
      </c>
    </row>
    <row r="735" spans="1:22" ht="15" customHeight="1" x14ac:dyDescent="0.35">
      <c r="A735" s="3" t="s">
        <v>1140</v>
      </c>
      <c r="B735" s="4">
        <v>45584</v>
      </c>
      <c r="C735" s="3" t="s">
        <v>601</v>
      </c>
      <c r="D735" s="3" t="s">
        <v>303</v>
      </c>
      <c r="E735" s="3" t="s">
        <v>127</v>
      </c>
      <c r="F735" s="5">
        <v>7</v>
      </c>
      <c r="G735" s="5">
        <v>5330</v>
      </c>
      <c r="H735" s="5">
        <v>19.7</v>
      </c>
      <c r="I735" s="5">
        <v>29959.93</v>
      </c>
      <c r="J735" s="3" t="s">
        <v>79</v>
      </c>
      <c r="K735" s="3" t="s">
        <v>33</v>
      </c>
      <c r="L735" t="str">
        <f>IFERROR(VLOOKUP(D735,Products!$A$2:$F$61,3,FALSE()),"")</f>
        <v>Electronics</v>
      </c>
      <c r="M735" t="str">
        <f>IFERROR(VLOOKUP(E735,Sales_Reps!$A$2:$C$31,3,FALSE()),"")</f>
        <v>South</v>
      </c>
      <c r="N735">
        <f>IFERROR(VLOOKUP(D735,Products!$A$2:$F$61,4,FALSE()),"")</f>
        <v>2405</v>
      </c>
      <c r="O735" t="str">
        <f>IFERROR(VLOOKUP(C735,Customers!$A$2:$F$301,5,FALSE()),"")</f>
        <v>Corporate</v>
      </c>
      <c r="P735">
        <f>IFERROR(VLOOKUP(C735,Customers!$A$2:$F$301,3,FALSE()),"")</f>
        <v>41</v>
      </c>
      <c r="Q735">
        <f t="shared" si="33"/>
        <v>0.54878048780487809</v>
      </c>
      <c r="R735">
        <f>IF(AND(COUNTIF($A$2:$A$2047,A735)&gt;1,COUNTIF($A$2:A735,A735)=1),1,0)</f>
        <v>0</v>
      </c>
      <c r="S735" t="b">
        <f>IFERROR(VLOOKUP(D735,Products!$A$2:$F$61,6,FALSE()),"")</f>
        <v>1</v>
      </c>
      <c r="T735" t="str">
        <f>IF(COUNTIF(Customers!$A$2:$A$301,C735)=0,"Missing","OK")</f>
        <v>OK</v>
      </c>
      <c r="U735" t="str">
        <f t="shared" si="34"/>
        <v>Chennai</v>
      </c>
      <c r="V735">
        <f t="shared" si="35"/>
        <v>0</v>
      </c>
    </row>
    <row r="736" spans="1:22" ht="15" customHeight="1" x14ac:dyDescent="0.35">
      <c r="A736" s="3" t="s">
        <v>1141</v>
      </c>
      <c r="B736" s="4">
        <v>45593</v>
      </c>
      <c r="C736" s="3" t="s">
        <v>451</v>
      </c>
      <c r="D736" s="3" t="s">
        <v>209</v>
      </c>
      <c r="E736" s="3" t="s">
        <v>55</v>
      </c>
      <c r="F736" s="5">
        <v>5</v>
      </c>
      <c r="G736" s="5">
        <v>4610</v>
      </c>
      <c r="H736" s="5">
        <v>3.6</v>
      </c>
      <c r="I736" s="5">
        <v>22220.2</v>
      </c>
      <c r="J736" s="3" t="s">
        <v>26</v>
      </c>
      <c r="K736" s="3" t="s">
        <v>72</v>
      </c>
      <c r="L736" t="str">
        <f>IFERROR(VLOOKUP(D736,Products!$A$2:$F$61,3,FALSE()),"")</f>
        <v>Home</v>
      </c>
      <c r="M736" t="str">
        <f>IFERROR(VLOOKUP(E736,Sales_Reps!$A$2:$C$31,3,FALSE()),"")</f>
        <v>West</v>
      </c>
      <c r="N736">
        <f>IFERROR(VLOOKUP(D736,Products!$A$2:$F$61,4,FALSE()),"")</f>
        <v>1850</v>
      </c>
      <c r="O736" t="str">
        <f>IFERROR(VLOOKUP(C736,Customers!$A$2:$F$301,5,FALSE()),"")</f>
        <v>Retail</v>
      </c>
      <c r="P736">
        <f>IFERROR(VLOOKUP(C736,Customers!$A$2:$F$301,3,FALSE()),"")</f>
        <v>61</v>
      </c>
      <c r="Q736">
        <f t="shared" si="33"/>
        <v>0.59869848156182215</v>
      </c>
      <c r="R736">
        <f>IF(AND(COUNTIF($A$2:$A$2047,A736)&gt;1,COUNTIF($A$2:A736,A736)=1),1,0)</f>
        <v>0</v>
      </c>
      <c r="S736" t="b">
        <f>IFERROR(VLOOKUP(D736,Products!$A$2:$F$61,6,FALSE()),"")</f>
        <v>1</v>
      </c>
      <c r="T736" t="str">
        <f>IF(COUNTIF(Customers!$A$2:$A$301,C736)=0,"Missing","OK")</f>
        <v>OK</v>
      </c>
      <c r="U736" t="str">
        <f t="shared" si="34"/>
        <v>Hyderabad</v>
      </c>
      <c r="V736">
        <f t="shared" si="35"/>
        <v>0</v>
      </c>
    </row>
    <row r="737" spans="1:22" ht="15" customHeight="1" x14ac:dyDescent="0.35">
      <c r="A737" s="3" t="s">
        <v>1142</v>
      </c>
      <c r="B737" s="4">
        <v>45302</v>
      </c>
      <c r="C737" s="3" t="s">
        <v>746</v>
      </c>
      <c r="D737" s="3" t="s">
        <v>303</v>
      </c>
      <c r="E737" s="3" t="s">
        <v>109</v>
      </c>
      <c r="F737" s="5">
        <v>9</v>
      </c>
      <c r="G737" s="5">
        <v>5330</v>
      </c>
      <c r="H737" s="5">
        <v>22.9</v>
      </c>
      <c r="I737" s="5">
        <v>36984.870000000003</v>
      </c>
      <c r="J737" s="3" t="s">
        <v>26</v>
      </c>
      <c r="K737" s="3" t="s">
        <v>27</v>
      </c>
      <c r="L737" t="str">
        <f>IFERROR(VLOOKUP(D737,Products!$A$2:$F$61,3,FALSE()),"")</f>
        <v>Electronics</v>
      </c>
      <c r="M737" t="str">
        <f>IFERROR(VLOOKUP(E737,Sales_Reps!$A$2:$C$31,3,FALSE()),"")</f>
        <v>West</v>
      </c>
      <c r="N737">
        <f>IFERROR(VLOOKUP(D737,Products!$A$2:$F$61,4,FALSE()),"")</f>
        <v>2405</v>
      </c>
      <c r="O737" t="str">
        <f>IFERROR(VLOOKUP(C737,Customers!$A$2:$F$301,5,FALSE()),"")</f>
        <v>Retail</v>
      </c>
      <c r="P737">
        <f>IFERROR(VLOOKUP(C737,Customers!$A$2:$F$301,3,FALSE()),"")</f>
        <v>36</v>
      </c>
      <c r="Q737">
        <f t="shared" si="33"/>
        <v>0.54878048780487809</v>
      </c>
      <c r="R737">
        <f>IF(AND(COUNTIF($A$2:$A$2047,A737)&gt;1,COUNTIF($A$2:A737,A737)=1),1,0)</f>
        <v>0</v>
      </c>
      <c r="S737" t="b">
        <f>IFERROR(VLOOKUP(D737,Products!$A$2:$F$61,6,FALSE()),"")</f>
        <v>1</v>
      </c>
      <c r="T737" t="str">
        <f>IF(COUNTIF(Customers!$A$2:$A$301,C737)=0,"Missing","OK")</f>
        <v>OK</v>
      </c>
      <c r="U737" t="str">
        <f t="shared" si="34"/>
        <v>Pune</v>
      </c>
      <c r="V737">
        <f t="shared" si="35"/>
        <v>0</v>
      </c>
    </row>
    <row r="738" spans="1:22" ht="15" customHeight="1" x14ac:dyDescent="0.35">
      <c r="A738" s="3" t="s">
        <v>1143</v>
      </c>
      <c r="B738" s="4">
        <v>45440</v>
      </c>
      <c r="C738" s="3" t="s">
        <v>424</v>
      </c>
      <c r="D738" s="3" t="s">
        <v>180</v>
      </c>
      <c r="E738" s="3" t="s">
        <v>242</v>
      </c>
      <c r="F738" s="5">
        <v>5</v>
      </c>
      <c r="G738" s="5">
        <v>6080</v>
      </c>
      <c r="H738" s="5">
        <v>6</v>
      </c>
      <c r="I738" s="5">
        <v>28576</v>
      </c>
      <c r="J738" s="3" t="s">
        <v>83</v>
      </c>
      <c r="K738" s="3" t="s">
        <v>27</v>
      </c>
      <c r="L738" t="str">
        <f>IFERROR(VLOOKUP(D738,Products!$A$2:$F$61,3,FALSE()),"")</f>
        <v>Beauty</v>
      </c>
      <c r="M738" t="str">
        <f>IFERROR(VLOOKUP(E738,Sales_Reps!$A$2:$C$31,3,FALSE()),"")</f>
        <v>East</v>
      </c>
      <c r="N738">
        <f>IFERROR(VLOOKUP(D738,Products!$A$2:$F$61,4,FALSE()),"")</f>
        <v>2617</v>
      </c>
      <c r="O738" t="str">
        <f>IFERROR(VLOOKUP(C738,Customers!$A$2:$F$301,5,FALSE()),"")</f>
        <v>Retail</v>
      </c>
      <c r="P738">
        <f>IFERROR(VLOOKUP(C738,Customers!$A$2:$F$301,3,FALSE()),"")</f>
        <v>49</v>
      </c>
      <c r="Q738">
        <f t="shared" si="33"/>
        <v>0.56957236842105263</v>
      </c>
      <c r="R738">
        <f>IF(AND(COUNTIF($A$2:$A$2047,A738)&gt;1,COUNTIF($A$2:A738,A738)=1),1,0)</f>
        <v>0</v>
      </c>
      <c r="S738" t="b">
        <f>IFERROR(VLOOKUP(D738,Products!$A$2:$F$61,6,FALSE()),"")</f>
        <v>1</v>
      </c>
      <c r="T738" t="str">
        <f>IF(COUNTIF(Customers!$A$2:$A$301,C738)=0,"Missing","OK")</f>
        <v>OK</v>
      </c>
      <c r="U738" t="str">
        <f t="shared" si="34"/>
        <v>Pune</v>
      </c>
      <c r="V738">
        <f t="shared" si="35"/>
        <v>0</v>
      </c>
    </row>
    <row r="739" spans="1:22" ht="15" customHeight="1" x14ac:dyDescent="0.35">
      <c r="A739" s="3" t="s">
        <v>1144</v>
      </c>
      <c r="B739" s="4">
        <v>45299</v>
      </c>
      <c r="C739" s="3" t="s">
        <v>651</v>
      </c>
      <c r="D739" s="3" t="s">
        <v>176</v>
      </c>
      <c r="E739" s="3" t="s">
        <v>177</v>
      </c>
      <c r="F739" s="5">
        <v>7</v>
      </c>
      <c r="G739" s="5">
        <v>3640</v>
      </c>
      <c r="H739" s="5">
        <v>5.5</v>
      </c>
      <c r="I739" s="5">
        <v>24078.6</v>
      </c>
      <c r="J739" s="3" t="s">
        <v>26</v>
      </c>
      <c r="K739" s="3" t="s">
        <v>51</v>
      </c>
      <c r="L739" t="str">
        <f>IFERROR(VLOOKUP(D739,Products!$A$2:$F$61,3,FALSE()),"")</f>
        <v>Apparel</v>
      </c>
      <c r="M739" t="str">
        <f>IFERROR(VLOOKUP(E739,Sales_Reps!$A$2:$C$31,3,FALSE()),"")</f>
        <v>East</v>
      </c>
      <c r="N739">
        <f>IFERROR(VLOOKUP(D739,Products!$A$2:$F$61,4,FALSE()),"")</f>
        <v>2611</v>
      </c>
      <c r="O739" t="str">
        <f>IFERROR(VLOOKUP(C739,Customers!$A$2:$F$301,5,FALSE()),"")</f>
        <v>Corporate</v>
      </c>
      <c r="P739">
        <f>IFERROR(VLOOKUP(C739,Customers!$A$2:$F$301,3,FALSE()),"")</f>
        <v>51</v>
      </c>
      <c r="Q739">
        <f t="shared" si="33"/>
        <v>0.28269230769230769</v>
      </c>
      <c r="R739">
        <f>IF(AND(COUNTIF($A$2:$A$2047,A739)&gt;1,COUNTIF($A$2:A739,A739)=1),1,0)</f>
        <v>0</v>
      </c>
      <c r="S739" t="b">
        <f>IFERROR(VLOOKUP(D739,Products!$A$2:$F$61,6,FALSE()),"")</f>
        <v>1</v>
      </c>
      <c r="T739" t="str">
        <f>IF(COUNTIF(Customers!$A$2:$A$301,C739)=0,"Missing","OK")</f>
        <v>OK</v>
      </c>
      <c r="U739" t="str">
        <f t="shared" si="34"/>
        <v>Mumbai</v>
      </c>
      <c r="V739">
        <f t="shared" si="35"/>
        <v>0</v>
      </c>
    </row>
    <row r="740" spans="1:22" ht="15" customHeight="1" x14ac:dyDescent="0.35">
      <c r="A740" s="3" t="s">
        <v>1145</v>
      </c>
      <c r="B740" s="4">
        <v>45336</v>
      </c>
      <c r="C740" s="3" t="s">
        <v>411</v>
      </c>
      <c r="D740" s="3" t="s">
        <v>218</v>
      </c>
      <c r="E740" s="3" t="s">
        <v>191</v>
      </c>
      <c r="F740" s="5">
        <v>1</v>
      </c>
      <c r="G740" s="5">
        <v>2660</v>
      </c>
      <c r="H740" s="5">
        <v>6.1</v>
      </c>
      <c r="I740" s="5">
        <v>2497.7399999999998</v>
      </c>
      <c r="J740" s="3" t="s">
        <v>79</v>
      </c>
      <c r="K740" s="3" t="s">
        <v>33</v>
      </c>
      <c r="L740" t="str">
        <f>IFERROR(VLOOKUP(D740,Products!$A$2:$F$61,3,FALSE()),"")</f>
        <v>Electronics</v>
      </c>
      <c r="M740" t="str">
        <f>IFERROR(VLOOKUP(E740,Sales_Reps!$A$2:$C$31,3,FALSE()),"")</f>
        <v>South</v>
      </c>
      <c r="N740">
        <f>IFERROR(VLOOKUP(D740,Products!$A$2:$F$61,4,FALSE()),"")</f>
        <v>1259</v>
      </c>
      <c r="O740" t="str">
        <f>IFERROR(VLOOKUP(C740,Customers!$A$2:$F$301,5,FALSE()),"")</f>
        <v>Corporate</v>
      </c>
      <c r="P740">
        <f>IFERROR(VLOOKUP(C740,Customers!$A$2:$F$301,3,FALSE()),"")</f>
        <v>35</v>
      </c>
      <c r="Q740">
        <f t="shared" si="33"/>
        <v>0.52669172932330832</v>
      </c>
      <c r="R740">
        <f>IF(AND(COUNTIF($A$2:$A$2047,A740)&gt;1,COUNTIF($A$2:A740,A740)=1),1,0)</f>
        <v>0</v>
      </c>
      <c r="S740" t="b">
        <f>IFERROR(VLOOKUP(D740,Products!$A$2:$F$61,6,FALSE()),"")</f>
        <v>0</v>
      </c>
      <c r="T740" t="str">
        <f>IF(COUNTIF(Customers!$A$2:$A$301,C740)=0,"Missing","OK")</f>
        <v>OK</v>
      </c>
      <c r="U740" t="str">
        <f t="shared" si="34"/>
        <v>Chennai</v>
      </c>
      <c r="V740">
        <f t="shared" si="35"/>
        <v>0</v>
      </c>
    </row>
    <row r="741" spans="1:22" ht="15" customHeight="1" x14ac:dyDescent="0.35">
      <c r="A741" s="3" t="s">
        <v>1146</v>
      </c>
      <c r="B741" s="4">
        <v>45300</v>
      </c>
      <c r="C741" s="3" t="s">
        <v>172</v>
      </c>
      <c r="D741" s="3" t="s">
        <v>118</v>
      </c>
      <c r="E741" s="3" t="s">
        <v>127</v>
      </c>
      <c r="F741" s="5">
        <v>8</v>
      </c>
      <c r="G741" s="5">
        <v>3350</v>
      </c>
      <c r="H741" s="5">
        <v>19.5</v>
      </c>
      <c r="I741" s="5">
        <v>21574</v>
      </c>
      <c r="J741" s="3" t="s">
        <v>26</v>
      </c>
      <c r="K741" s="3" t="s">
        <v>27</v>
      </c>
      <c r="L741" t="str">
        <f>IFERROR(VLOOKUP(D741,Products!$A$2:$F$61,3,FALSE()),"")</f>
        <v>Beauty</v>
      </c>
      <c r="M741" t="str">
        <f>IFERROR(VLOOKUP(E741,Sales_Reps!$A$2:$C$31,3,FALSE()),"")</f>
        <v>South</v>
      </c>
      <c r="N741">
        <f>IFERROR(VLOOKUP(D741,Products!$A$2:$F$61,4,FALSE()),"")</f>
        <v>1728</v>
      </c>
      <c r="O741" t="str">
        <f>IFERROR(VLOOKUP(C741,Customers!$A$2:$F$301,5,FALSE()),"")</f>
        <v>SMB</v>
      </c>
      <c r="P741">
        <f>IFERROR(VLOOKUP(C741,Customers!$A$2:$F$301,3,FALSE()),"")</f>
        <v>29</v>
      </c>
      <c r="Q741">
        <f t="shared" si="33"/>
        <v>0.48417910447761192</v>
      </c>
      <c r="R741">
        <f>IF(AND(COUNTIF($A$2:$A$2047,A741)&gt;1,COUNTIF($A$2:A741,A741)=1),1,0)</f>
        <v>0</v>
      </c>
      <c r="S741" t="b">
        <f>IFERROR(VLOOKUP(D741,Products!$A$2:$F$61,6,FALSE()),"")</f>
        <v>1</v>
      </c>
      <c r="T741" t="str">
        <f>IF(COUNTIF(Customers!$A$2:$A$301,C741)=0,"Missing","OK")</f>
        <v>OK</v>
      </c>
      <c r="U741" t="str">
        <f t="shared" si="34"/>
        <v>Pune</v>
      </c>
      <c r="V741">
        <f t="shared" si="35"/>
        <v>0</v>
      </c>
    </row>
    <row r="742" spans="1:22" ht="15" customHeight="1" x14ac:dyDescent="0.35">
      <c r="A742" s="3" t="s">
        <v>1147</v>
      </c>
      <c r="B742" s="4">
        <v>45648</v>
      </c>
      <c r="C742" s="3" t="s">
        <v>23</v>
      </c>
      <c r="D742" s="3" t="s">
        <v>209</v>
      </c>
      <c r="E742" s="3" t="s">
        <v>60</v>
      </c>
      <c r="F742" s="5">
        <v>4</v>
      </c>
      <c r="G742" s="5">
        <v>4610</v>
      </c>
      <c r="H742" s="5">
        <v>24</v>
      </c>
      <c r="I742" s="5">
        <v>14014.4</v>
      </c>
      <c r="J742" s="3" t="s">
        <v>26</v>
      </c>
      <c r="K742" s="3" t="s">
        <v>27</v>
      </c>
      <c r="L742" t="str">
        <f>IFERROR(VLOOKUP(D742,Products!$A$2:$F$61,3,FALSE()),"")</f>
        <v>Home</v>
      </c>
      <c r="M742" t="str">
        <f>IFERROR(VLOOKUP(E742,Sales_Reps!$A$2:$C$31,3,FALSE()),"")</f>
        <v>East</v>
      </c>
      <c r="N742">
        <f>IFERROR(VLOOKUP(D742,Products!$A$2:$F$61,4,FALSE()),"")</f>
        <v>1850</v>
      </c>
      <c r="O742" t="str">
        <f>IFERROR(VLOOKUP(C742,Customers!$A$2:$F$301,5,FALSE()),"")</f>
        <v>SMB</v>
      </c>
      <c r="P742">
        <f>IFERROR(VLOOKUP(C742,Customers!$A$2:$F$301,3,FALSE()),"")</f>
        <v>44</v>
      </c>
      <c r="Q742">
        <f t="shared" si="33"/>
        <v>0.59869848156182215</v>
      </c>
      <c r="R742">
        <f>IF(AND(COUNTIF($A$2:$A$2047,A742)&gt;1,COUNTIF($A$2:A742,A742)=1),1,0)</f>
        <v>0</v>
      </c>
      <c r="S742" t="b">
        <f>IFERROR(VLOOKUP(D742,Products!$A$2:$F$61,6,FALSE()),"")</f>
        <v>1</v>
      </c>
      <c r="T742" t="str">
        <f>IF(COUNTIF(Customers!$A$2:$A$301,C742)=0,"Missing","OK")</f>
        <v>OK</v>
      </c>
      <c r="U742" t="str">
        <f t="shared" si="34"/>
        <v>Pune</v>
      </c>
      <c r="V742">
        <f t="shared" si="35"/>
        <v>0</v>
      </c>
    </row>
    <row r="743" spans="1:22" ht="15" customHeight="1" x14ac:dyDescent="0.35">
      <c r="A743" s="3" t="s">
        <v>1148</v>
      </c>
      <c r="B743" s="4">
        <v>45293</v>
      </c>
      <c r="C743" s="3" t="s">
        <v>519</v>
      </c>
      <c r="D743" s="3" t="s">
        <v>134</v>
      </c>
      <c r="E743" s="3" t="s">
        <v>37</v>
      </c>
      <c r="F743" s="5">
        <v>7</v>
      </c>
      <c r="G743" s="5">
        <v>2860</v>
      </c>
      <c r="H743" s="5">
        <v>23.2</v>
      </c>
      <c r="I743" s="5">
        <v>15375.36</v>
      </c>
      <c r="J743" s="3" t="s">
        <v>26</v>
      </c>
      <c r="K743" s="3" t="s">
        <v>27</v>
      </c>
      <c r="L743" t="str">
        <f>IFERROR(VLOOKUP(D743,Products!$A$2:$F$61,3,FALSE()),"")</f>
        <v>Sports</v>
      </c>
      <c r="M743" t="str">
        <f>IFERROR(VLOOKUP(E743,Sales_Reps!$A$2:$C$31,3,FALSE()),"")</f>
        <v>South</v>
      </c>
      <c r="N743">
        <f>IFERROR(VLOOKUP(D743,Products!$A$2:$F$61,4,FALSE()),"")</f>
        <v>2028</v>
      </c>
      <c r="O743" t="str">
        <f>IFERROR(VLOOKUP(C743,Customers!$A$2:$F$301,5,FALSE()),"")</f>
        <v>Corporate</v>
      </c>
      <c r="P743">
        <f>IFERROR(VLOOKUP(C743,Customers!$A$2:$F$301,3,FALSE()),"")</f>
        <v>40</v>
      </c>
      <c r="Q743">
        <f t="shared" si="33"/>
        <v>0.29090909090909089</v>
      </c>
      <c r="R743">
        <f>IF(AND(COUNTIF($A$2:$A$2047,A743)&gt;1,COUNTIF($A$2:A743,A743)=1),1,0)</f>
        <v>0</v>
      </c>
      <c r="S743" t="b">
        <f>IFERROR(VLOOKUP(D743,Products!$A$2:$F$61,6,FALSE()),"")</f>
        <v>1</v>
      </c>
      <c r="T743" t="str">
        <f>IF(COUNTIF(Customers!$A$2:$A$301,C743)=0,"Missing","OK")</f>
        <v>OK</v>
      </c>
      <c r="U743" t="str">
        <f t="shared" si="34"/>
        <v>Pune</v>
      </c>
      <c r="V743">
        <f t="shared" si="35"/>
        <v>0</v>
      </c>
    </row>
    <row r="744" spans="1:22" ht="15" customHeight="1" x14ac:dyDescent="0.35">
      <c r="A744" s="3" t="s">
        <v>1149</v>
      </c>
      <c r="B744" s="4">
        <v>45644</v>
      </c>
      <c r="C744" s="3" t="s">
        <v>746</v>
      </c>
      <c r="D744" s="3" t="s">
        <v>118</v>
      </c>
      <c r="E744" s="3" t="s">
        <v>191</v>
      </c>
      <c r="F744" s="5">
        <v>7</v>
      </c>
      <c r="G744" s="5">
        <v>3350</v>
      </c>
      <c r="H744" s="5">
        <v>10.6</v>
      </c>
      <c r="I744" s="5">
        <v>20964.3</v>
      </c>
      <c r="J744" s="3" t="s">
        <v>32</v>
      </c>
      <c r="K744" s="3" t="s">
        <v>27</v>
      </c>
      <c r="L744" t="str">
        <f>IFERROR(VLOOKUP(D744,Products!$A$2:$F$61,3,FALSE()),"")</f>
        <v>Beauty</v>
      </c>
      <c r="M744" t="str">
        <f>IFERROR(VLOOKUP(E744,Sales_Reps!$A$2:$C$31,3,FALSE()),"")</f>
        <v>South</v>
      </c>
      <c r="N744">
        <f>IFERROR(VLOOKUP(D744,Products!$A$2:$F$61,4,FALSE()),"")</f>
        <v>1728</v>
      </c>
      <c r="O744" t="str">
        <f>IFERROR(VLOOKUP(C744,Customers!$A$2:$F$301,5,FALSE()),"")</f>
        <v>Retail</v>
      </c>
      <c r="P744">
        <f>IFERROR(VLOOKUP(C744,Customers!$A$2:$F$301,3,FALSE()),"")</f>
        <v>36</v>
      </c>
      <c r="Q744">
        <f t="shared" si="33"/>
        <v>0.48417910447761192</v>
      </c>
      <c r="R744">
        <f>IF(AND(COUNTIF($A$2:$A$2047,A744)&gt;1,COUNTIF($A$2:A744,A744)=1),1,0)</f>
        <v>0</v>
      </c>
      <c r="S744" t="b">
        <f>IFERROR(VLOOKUP(D744,Products!$A$2:$F$61,6,FALSE()),"")</f>
        <v>1</v>
      </c>
      <c r="T744" t="str">
        <f>IF(COUNTIF(Customers!$A$2:$A$301,C744)=0,"Missing","OK")</f>
        <v>OK</v>
      </c>
      <c r="U744" t="str">
        <f t="shared" si="34"/>
        <v>Pune</v>
      </c>
      <c r="V744">
        <f t="shared" si="35"/>
        <v>0</v>
      </c>
    </row>
    <row r="745" spans="1:22" ht="15" customHeight="1" x14ac:dyDescent="0.35">
      <c r="A745" s="3" t="s">
        <v>1150</v>
      </c>
      <c r="B745" s="4">
        <v>45589</v>
      </c>
      <c r="C745" s="3" t="s">
        <v>267</v>
      </c>
      <c r="D745" s="3" t="s">
        <v>277</v>
      </c>
      <c r="E745" s="3" t="s">
        <v>67</v>
      </c>
      <c r="F745" s="5">
        <v>5</v>
      </c>
      <c r="G745" s="5">
        <v>2210</v>
      </c>
      <c r="H745" s="5">
        <v>12.1</v>
      </c>
      <c r="I745" s="5">
        <v>9712.9500000000007</v>
      </c>
      <c r="J745" s="3" t="s">
        <v>26</v>
      </c>
      <c r="K745" s="3" t="s">
        <v>33</v>
      </c>
      <c r="L745" t="str">
        <f>IFERROR(VLOOKUP(D745,Products!$A$2:$F$61,3,FALSE()),"")</f>
        <v>Grocery</v>
      </c>
      <c r="M745" t="str">
        <f>IFERROR(VLOOKUP(E745,Sales_Reps!$A$2:$C$31,3,FALSE()),"")</f>
        <v>West</v>
      </c>
      <c r="N745">
        <f>IFERROR(VLOOKUP(D745,Products!$A$2:$F$61,4,FALSE()),"")</f>
        <v>1010</v>
      </c>
      <c r="O745" t="str">
        <f>IFERROR(VLOOKUP(C745,Customers!$A$2:$F$301,5,FALSE()),"")</f>
        <v>Retail</v>
      </c>
      <c r="P745">
        <f>IFERROR(VLOOKUP(C745,Customers!$A$2:$F$301,3,FALSE()),"")</f>
        <v>28</v>
      </c>
      <c r="Q745">
        <f t="shared" si="33"/>
        <v>0.54298642533936647</v>
      </c>
      <c r="R745">
        <f>IF(AND(COUNTIF($A$2:$A$2047,A745)&gt;1,COUNTIF($A$2:A745,A745)=1),1,0)</f>
        <v>0</v>
      </c>
      <c r="S745" t="b">
        <f>IFERROR(VLOOKUP(D745,Products!$A$2:$F$61,6,FALSE()),"")</f>
        <v>1</v>
      </c>
      <c r="T745" t="str">
        <f>IF(COUNTIF(Customers!$A$2:$A$301,C745)=0,"Missing","OK")</f>
        <v>OK</v>
      </c>
      <c r="U745" t="str">
        <f t="shared" si="34"/>
        <v>Chennai</v>
      </c>
      <c r="V745">
        <f t="shared" si="35"/>
        <v>0</v>
      </c>
    </row>
    <row r="746" spans="1:22" ht="15" customHeight="1" x14ac:dyDescent="0.35">
      <c r="A746" s="3" t="s">
        <v>1151</v>
      </c>
      <c r="B746" s="4">
        <v>45329</v>
      </c>
      <c r="C746" s="3" t="s">
        <v>399</v>
      </c>
      <c r="D746" s="3" t="s">
        <v>96</v>
      </c>
      <c r="E746" s="3" t="s">
        <v>191</v>
      </c>
      <c r="F746" s="5">
        <v>1</v>
      </c>
      <c r="G746" s="5">
        <v>3450</v>
      </c>
      <c r="H746" s="5">
        <v>19.100000000000001</v>
      </c>
      <c r="I746" s="5">
        <v>2791.05</v>
      </c>
      <c r="J746" s="3" t="s">
        <v>32</v>
      </c>
      <c r="K746" s="3" t="s">
        <v>27</v>
      </c>
      <c r="L746" t="str">
        <f>IFERROR(VLOOKUP(D746,Products!$A$2:$F$61,3,FALSE()),"")</f>
        <v>Beauty</v>
      </c>
      <c r="M746" t="str">
        <f>IFERROR(VLOOKUP(E746,Sales_Reps!$A$2:$C$31,3,FALSE()),"")</f>
        <v>South</v>
      </c>
      <c r="N746">
        <f>IFERROR(VLOOKUP(D746,Products!$A$2:$F$61,4,FALSE()),"")</f>
        <v>2420</v>
      </c>
      <c r="O746" t="str">
        <f>IFERROR(VLOOKUP(C746,Customers!$A$2:$F$301,5,FALSE()),"")</f>
        <v>Corporate</v>
      </c>
      <c r="P746">
        <f>IFERROR(VLOOKUP(C746,Customers!$A$2:$F$301,3,FALSE()),"")</f>
        <v>37</v>
      </c>
      <c r="Q746">
        <f t="shared" si="33"/>
        <v>0.29855072463768118</v>
      </c>
      <c r="R746">
        <f>IF(AND(COUNTIF($A$2:$A$2047,A746)&gt;1,COUNTIF($A$2:A746,A746)=1),1,0)</f>
        <v>0</v>
      </c>
      <c r="S746" t="b">
        <f>IFERROR(VLOOKUP(D746,Products!$A$2:$F$61,6,FALSE()),"")</f>
        <v>1</v>
      </c>
      <c r="T746" t="str">
        <f>IF(COUNTIF(Customers!$A$2:$A$301,C746)=0,"Missing","OK")</f>
        <v>OK</v>
      </c>
      <c r="U746" t="str">
        <f t="shared" si="34"/>
        <v>Pune</v>
      </c>
      <c r="V746">
        <f t="shared" si="35"/>
        <v>0</v>
      </c>
    </row>
    <row r="747" spans="1:22" ht="15" customHeight="1" x14ac:dyDescent="0.35">
      <c r="A747" s="3" t="s">
        <v>1152</v>
      </c>
      <c r="B747" s="4">
        <v>45587</v>
      </c>
      <c r="C747" s="3" t="s">
        <v>478</v>
      </c>
      <c r="D747" s="3" t="s">
        <v>130</v>
      </c>
      <c r="E747" s="3" t="s">
        <v>67</v>
      </c>
      <c r="F747" s="5">
        <v>5</v>
      </c>
      <c r="G747" s="5">
        <v>5100</v>
      </c>
      <c r="H747" s="5">
        <v>2.8</v>
      </c>
      <c r="I747" s="5">
        <v>24786</v>
      </c>
      <c r="J747" s="3" t="s">
        <v>26</v>
      </c>
      <c r="K747" s="3" t="s">
        <v>72</v>
      </c>
      <c r="L747" t="str">
        <f>IFERROR(VLOOKUP(D747,Products!$A$2:$F$61,3,FALSE()),"")</f>
        <v>Beauty</v>
      </c>
      <c r="M747" t="str">
        <f>IFERROR(VLOOKUP(E747,Sales_Reps!$A$2:$C$31,3,FALSE()),"")</f>
        <v>West</v>
      </c>
      <c r="N747">
        <f>IFERROR(VLOOKUP(D747,Products!$A$2:$F$61,4,FALSE()),"")</f>
        <v>2237</v>
      </c>
      <c r="O747" t="str">
        <f>IFERROR(VLOOKUP(C747,Customers!$A$2:$F$301,5,FALSE()),"")</f>
        <v>Retail</v>
      </c>
      <c r="P747">
        <f>IFERROR(VLOOKUP(C747,Customers!$A$2:$F$301,3,FALSE()),"")</f>
        <v>38</v>
      </c>
      <c r="Q747">
        <f t="shared" si="33"/>
        <v>0.56137254901960787</v>
      </c>
      <c r="R747">
        <f>IF(AND(COUNTIF($A$2:$A$2047,A747)&gt;1,COUNTIF($A$2:A747,A747)=1),1,0)</f>
        <v>0</v>
      </c>
      <c r="S747" t="b">
        <f>IFERROR(VLOOKUP(D747,Products!$A$2:$F$61,6,FALSE()),"")</f>
        <v>1</v>
      </c>
      <c r="T747" t="str">
        <f>IF(COUNTIF(Customers!$A$2:$A$301,C747)=0,"Missing","OK")</f>
        <v>OK</v>
      </c>
      <c r="U747" t="str">
        <f t="shared" si="34"/>
        <v>Hyderabad</v>
      </c>
      <c r="V747">
        <f t="shared" si="35"/>
        <v>0</v>
      </c>
    </row>
    <row r="748" spans="1:22" ht="15" customHeight="1" x14ac:dyDescent="0.35">
      <c r="A748" s="3" t="s">
        <v>1153</v>
      </c>
      <c r="B748" s="4">
        <v>45423</v>
      </c>
      <c r="C748" s="3" t="s">
        <v>238</v>
      </c>
      <c r="D748" s="3" t="s">
        <v>130</v>
      </c>
      <c r="E748" s="3" t="s">
        <v>87</v>
      </c>
      <c r="F748" s="5">
        <v>9</v>
      </c>
      <c r="G748" s="5">
        <v>5100</v>
      </c>
      <c r="H748" s="5">
        <v>24.4</v>
      </c>
      <c r="I748" s="5">
        <v>34700.400000000001</v>
      </c>
      <c r="J748" s="3" t="s">
        <v>26</v>
      </c>
      <c r="K748" s="3" t="s">
        <v>72</v>
      </c>
      <c r="L748" t="str">
        <f>IFERROR(VLOOKUP(D748,Products!$A$2:$F$61,3,FALSE()),"")</f>
        <v>Beauty</v>
      </c>
      <c r="M748" t="str">
        <f>IFERROR(VLOOKUP(E748,Sales_Reps!$A$2:$C$31,3,FALSE()),"")</f>
        <v>North</v>
      </c>
      <c r="N748">
        <f>IFERROR(VLOOKUP(D748,Products!$A$2:$F$61,4,FALSE()),"")</f>
        <v>2237</v>
      </c>
      <c r="O748" t="str">
        <f>IFERROR(VLOOKUP(C748,Customers!$A$2:$F$301,5,FALSE()),"")</f>
        <v>Retail</v>
      </c>
      <c r="P748">
        <f>IFERROR(VLOOKUP(C748,Customers!$A$2:$F$301,3,FALSE()),"")</f>
        <v>29</v>
      </c>
      <c r="Q748">
        <f t="shared" si="33"/>
        <v>0.56137254901960787</v>
      </c>
      <c r="R748">
        <f>IF(AND(COUNTIF($A$2:$A$2047,A748)&gt;1,COUNTIF($A$2:A748,A748)=1),1,0)</f>
        <v>0</v>
      </c>
      <c r="S748" t="b">
        <f>IFERROR(VLOOKUP(D748,Products!$A$2:$F$61,6,FALSE()),"")</f>
        <v>1</v>
      </c>
      <c r="T748" t="str">
        <f>IF(COUNTIF(Customers!$A$2:$A$301,C748)=0,"Missing","OK")</f>
        <v>OK</v>
      </c>
      <c r="U748" t="str">
        <f t="shared" si="34"/>
        <v>Hyderabad</v>
      </c>
      <c r="V748">
        <f t="shared" si="35"/>
        <v>0</v>
      </c>
    </row>
    <row r="749" spans="1:22" ht="15" customHeight="1" x14ac:dyDescent="0.35">
      <c r="A749" s="3" t="s">
        <v>1154</v>
      </c>
      <c r="B749" s="4">
        <v>45568</v>
      </c>
      <c r="C749" s="3" t="s">
        <v>240</v>
      </c>
      <c r="D749" s="3" t="s">
        <v>142</v>
      </c>
      <c r="E749" s="3" t="s">
        <v>42</v>
      </c>
      <c r="F749" s="5">
        <v>9</v>
      </c>
      <c r="G749" s="5">
        <v>660</v>
      </c>
      <c r="H749" s="5">
        <v>19.8</v>
      </c>
      <c r="I749" s="5">
        <v>4763.88</v>
      </c>
      <c r="J749" s="3" t="s">
        <v>26</v>
      </c>
      <c r="K749" s="3" t="s">
        <v>33</v>
      </c>
      <c r="L749" t="str">
        <f>IFERROR(VLOOKUP(D749,Products!$A$2:$F$61,3,FALSE()),"")</f>
        <v>Home</v>
      </c>
      <c r="M749" t="str">
        <f>IFERROR(VLOOKUP(E749,Sales_Reps!$A$2:$C$31,3,FALSE()),"")</f>
        <v>North</v>
      </c>
      <c r="N749">
        <f>IFERROR(VLOOKUP(D749,Products!$A$2:$F$61,4,FALSE()),"")</f>
        <v>329</v>
      </c>
      <c r="O749" t="str">
        <f>IFERROR(VLOOKUP(C749,Customers!$A$2:$F$301,5,FALSE()),"")</f>
        <v>Retail</v>
      </c>
      <c r="P749">
        <f>IFERROR(VLOOKUP(C749,Customers!$A$2:$F$301,3,FALSE()),"")</f>
        <v>41</v>
      </c>
      <c r="Q749">
        <f t="shared" si="33"/>
        <v>0.50151515151515147</v>
      </c>
      <c r="R749">
        <f>IF(AND(COUNTIF($A$2:$A$2047,A749)&gt;1,COUNTIF($A$2:A749,A749)=1),1,0)</f>
        <v>0</v>
      </c>
      <c r="S749" t="b">
        <f>IFERROR(VLOOKUP(D749,Products!$A$2:$F$61,6,FALSE()),"")</f>
        <v>1</v>
      </c>
      <c r="T749" t="str">
        <f>IF(COUNTIF(Customers!$A$2:$A$301,C749)=0,"Missing","OK")</f>
        <v>OK</v>
      </c>
      <c r="U749" t="str">
        <f t="shared" si="34"/>
        <v>Chennai</v>
      </c>
      <c r="V749">
        <f t="shared" si="35"/>
        <v>0</v>
      </c>
    </row>
    <row r="750" spans="1:22" ht="15" customHeight="1" x14ac:dyDescent="0.35">
      <c r="A750" s="3" t="s">
        <v>1155</v>
      </c>
      <c r="B750" s="4">
        <v>45549</v>
      </c>
      <c r="C750" s="3" t="s">
        <v>1156</v>
      </c>
      <c r="D750" s="3" t="s">
        <v>203</v>
      </c>
      <c r="E750" s="3" t="s">
        <v>42</v>
      </c>
      <c r="F750" s="5">
        <v>3</v>
      </c>
      <c r="G750" s="5">
        <v>4070</v>
      </c>
      <c r="H750" s="5">
        <v>27.1</v>
      </c>
      <c r="I750" s="5">
        <v>8901.09</v>
      </c>
      <c r="J750" s="3" t="s">
        <v>26</v>
      </c>
      <c r="K750" s="3" t="s">
        <v>51</v>
      </c>
      <c r="L750" t="str">
        <f>IFERROR(VLOOKUP(D750,Products!$A$2:$F$61,3,FALSE()),"")</f>
        <v>Grocery</v>
      </c>
      <c r="M750" t="str">
        <f>IFERROR(VLOOKUP(E750,Sales_Reps!$A$2:$C$31,3,FALSE()),"")</f>
        <v>North</v>
      </c>
      <c r="N750">
        <f>IFERROR(VLOOKUP(D750,Products!$A$2:$F$61,4,FALSE()),"")</f>
        <v>2027</v>
      </c>
      <c r="O750" t="str">
        <f>IFERROR(VLOOKUP(C750,Customers!$A$2:$F$301,5,FALSE()),"")</f>
        <v>Retail</v>
      </c>
      <c r="P750">
        <f>IFERROR(VLOOKUP(C750,Customers!$A$2:$F$301,3,FALSE()),"")</f>
        <v>44</v>
      </c>
      <c r="Q750">
        <f t="shared" si="33"/>
        <v>0.50196560196560192</v>
      </c>
      <c r="R750">
        <f>IF(AND(COUNTIF($A$2:$A$2047,A750)&gt;1,COUNTIF($A$2:A750,A750)=1),1,0)</f>
        <v>0</v>
      </c>
      <c r="S750" t="b">
        <f>IFERROR(VLOOKUP(D750,Products!$A$2:$F$61,6,FALSE()),"")</f>
        <v>1</v>
      </c>
      <c r="T750" t="str">
        <f>IF(COUNTIF(Customers!$A$2:$A$301,C750)=0,"Missing","OK")</f>
        <v>OK</v>
      </c>
      <c r="U750" t="str">
        <f t="shared" si="34"/>
        <v>Mumbai</v>
      </c>
      <c r="V750">
        <f t="shared" si="35"/>
        <v>0</v>
      </c>
    </row>
    <row r="751" spans="1:22" ht="15" customHeight="1" x14ac:dyDescent="0.35">
      <c r="A751" s="3" t="s">
        <v>1157</v>
      </c>
      <c r="B751" s="4">
        <v>45504</v>
      </c>
      <c r="C751" s="3" t="s">
        <v>289</v>
      </c>
      <c r="D751" s="3" t="s">
        <v>294</v>
      </c>
      <c r="E751" s="3" t="s">
        <v>25</v>
      </c>
      <c r="F751" s="5">
        <v>2</v>
      </c>
      <c r="G751" s="5">
        <v>2510</v>
      </c>
      <c r="H751" s="5">
        <v>29.1</v>
      </c>
      <c r="I751" s="5">
        <v>3559.18</v>
      </c>
      <c r="J751" s="3" t="s">
        <v>26</v>
      </c>
      <c r="K751" s="3" t="s">
        <v>51</v>
      </c>
      <c r="L751" t="str">
        <f>IFERROR(VLOOKUP(D751,Products!$A$2:$F$61,3,FALSE()),"")</f>
        <v>Apparel</v>
      </c>
      <c r="M751" t="str">
        <f>IFERROR(VLOOKUP(E751,Sales_Reps!$A$2:$C$31,3,FALSE()),"")</f>
        <v>North</v>
      </c>
      <c r="N751">
        <f>IFERROR(VLOOKUP(D751,Products!$A$2:$F$61,4,FALSE()),"")</f>
        <v>1075</v>
      </c>
      <c r="O751" t="str">
        <f>IFERROR(VLOOKUP(C751,Customers!$A$2:$F$301,5,FALSE()),"")</f>
        <v>SMB</v>
      </c>
      <c r="P751">
        <f>IFERROR(VLOOKUP(C751,Customers!$A$2:$F$301,3,FALSE()),"")</f>
        <v>22</v>
      </c>
      <c r="Q751">
        <f t="shared" si="33"/>
        <v>0.57171314741035861</v>
      </c>
      <c r="R751">
        <f>IF(AND(COUNTIF($A$2:$A$2047,A751)&gt;1,COUNTIF($A$2:A751,A751)=1),1,0)</f>
        <v>0</v>
      </c>
      <c r="S751" t="b">
        <f>IFERROR(VLOOKUP(D751,Products!$A$2:$F$61,6,FALSE()),"")</f>
        <v>0</v>
      </c>
      <c r="T751" t="str">
        <f>IF(COUNTIF(Customers!$A$2:$A$301,C751)=0,"Missing","OK")</f>
        <v>OK</v>
      </c>
      <c r="U751" t="str">
        <f t="shared" si="34"/>
        <v>Mumbai</v>
      </c>
      <c r="V751">
        <f t="shared" si="35"/>
        <v>0</v>
      </c>
    </row>
    <row r="752" spans="1:22" ht="15" customHeight="1" x14ac:dyDescent="0.35">
      <c r="A752" s="3" t="s">
        <v>1158</v>
      </c>
      <c r="B752" s="4">
        <v>45449</v>
      </c>
      <c r="C752" s="3" t="s">
        <v>172</v>
      </c>
      <c r="D752" s="3" t="s">
        <v>82</v>
      </c>
      <c r="E752" s="3" t="s">
        <v>109</v>
      </c>
      <c r="F752" s="5">
        <v>4</v>
      </c>
      <c r="G752" s="5">
        <v>3250</v>
      </c>
      <c r="H752" s="5">
        <v>21.1</v>
      </c>
      <c r="I752" s="5">
        <v>10257</v>
      </c>
      <c r="J752" s="3" t="s">
        <v>26</v>
      </c>
      <c r="K752" s="3" t="s">
        <v>27</v>
      </c>
      <c r="L752" t="str">
        <f>IFERROR(VLOOKUP(D752,Products!$A$2:$F$61,3,FALSE()),"")</f>
        <v>Home</v>
      </c>
      <c r="M752" t="str">
        <f>IFERROR(VLOOKUP(E752,Sales_Reps!$A$2:$C$31,3,FALSE()),"")</f>
        <v>West</v>
      </c>
      <c r="N752">
        <f>IFERROR(VLOOKUP(D752,Products!$A$2:$F$61,4,FALSE()),"")</f>
        <v>1556</v>
      </c>
      <c r="O752" t="str">
        <f>IFERROR(VLOOKUP(C752,Customers!$A$2:$F$301,5,FALSE()),"")</f>
        <v>SMB</v>
      </c>
      <c r="P752">
        <f>IFERROR(VLOOKUP(C752,Customers!$A$2:$F$301,3,FALSE()),"")</f>
        <v>29</v>
      </c>
      <c r="Q752">
        <f t="shared" si="33"/>
        <v>0.52123076923076928</v>
      </c>
      <c r="R752">
        <f>IF(AND(COUNTIF($A$2:$A$2047,A752)&gt;1,COUNTIF($A$2:A752,A752)=1),1,0)</f>
        <v>0</v>
      </c>
      <c r="S752" t="b">
        <f>IFERROR(VLOOKUP(D752,Products!$A$2:$F$61,6,FALSE()),"")</f>
        <v>1</v>
      </c>
      <c r="T752" t="str">
        <f>IF(COUNTIF(Customers!$A$2:$A$301,C752)=0,"Missing","OK")</f>
        <v>OK</v>
      </c>
      <c r="U752" t="str">
        <f t="shared" si="34"/>
        <v>Pune</v>
      </c>
      <c r="V752">
        <f t="shared" si="35"/>
        <v>0</v>
      </c>
    </row>
    <row r="753" spans="1:22" ht="15" customHeight="1" x14ac:dyDescent="0.35">
      <c r="A753" s="3" t="s">
        <v>1159</v>
      </c>
      <c r="B753" s="4">
        <v>45600</v>
      </c>
      <c r="C753" s="3" t="s">
        <v>538</v>
      </c>
      <c r="D753" s="3" t="s">
        <v>49</v>
      </c>
      <c r="E753" s="3" t="s">
        <v>31</v>
      </c>
      <c r="F753" s="5">
        <v>3</v>
      </c>
      <c r="G753" s="5">
        <v>370</v>
      </c>
      <c r="H753" s="5">
        <v>7.7</v>
      </c>
      <c r="I753" s="5">
        <v>1024.53</v>
      </c>
      <c r="J753" s="3" t="s">
        <v>26</v>
      </c>
      <c r="K753" s="3" t="s">
        <v>56</v>
      </c>
      <c r="L753" t="str">
        <f>IFERROR(VLOOKUP(D753,Products!$A$2:$F$61,3,FALSE()),"")</f>
        <v>Home</v>
      </c>
      <c r="M753" t="str">
        <f>IFERROR(VLOOKUP(E753,Sales_Reps!$A$2:$C$31,3,FALSE()),"")</f>
        <v>North</v>
      </c>
      <c r="N753">
        <f>IFERROR(VLOOKUP(D753,Products!$A$2:$F$61,4,FALSE()),"")</f>
        <v>288</v>
      </c>
      <c r="O753" t="str">
        <f>IFERROR(VLOOKUP(C753,Customers!$A$2:$F$301,5,FALSE()),"")</f>
        <v>Corporate</v>
      </c>
      <c r="P753">
        <f>IFERROR(VLOOKUP(C753,Customers!$A$2:$F$301,3,FALSE()),"")</f>
        <v>26</v>
      </c>
      <c r="Q753">
        <f t="shared" si="33"/>
        <v>0.22162162162162163</v>
      </c>
      <c r="R753">
        <f>IF(AND(COUNTIF($A$2:$A$2047,A753)&gt;1,COUNTIF($A$2:A753,A753)=1),1,0)</f>
        <v>0</v>
      </c>
      <c r="S753" t="b">
        <f>IFERROR(VLOOKUP(D753,Products!$A$2:$F$61,6,FALSE()),"")</f>
        <v>1</v>
      </c>
      <c r="T753" t="str">
        <f>IF(COUNTIF(Customers!$A$2:$A$301,C753)=0,"Missing","OK")</f>
        <v>OK</v>
      </c>
      <c r="U753" t="str">
        <f t="shared" si="34"/>
        <v>Bengaluru</v>
      </c>
      <c r="V753">
        <f t="shared" si="35"/>
        <v>0</v>
      </c>
    </row>
    <row r="754" spans="1:22" ht="15" customHeight="1" x14ac:dyDescent="0.35">
      <c r="A754" s="3" t="s">
        <v>1160</v>
      </c>
      <c r="B754" s="4">
        <v>45479</v>
      </c>
      <c r="C754" s="3" t="s">
        <v>916</v>
      </c>
      <c r="D754" s="3" t="s">
        <v>30</v>
      </c>
      <c r="E754" s="3" t="s">
        <v>42</v>
      </c>
      <c r="F754" s="5">
        <v>10</v>
      </c>
      <c r="G754" s="5">
        <v>820</v>
      </c>
      <c r="H754" s="5">
        <v>3.5</v>
      </c>
      <c r="I754" s="5">
        <v>7913</v>
      </c>
      <c r="J754" s="3" t="s">
        <v>26</v>
      </c>
      <c r="K754" s="3" t="s">
        <v>27</v>
      </c>
      <c r="L754" t="str">
        <f>IFERROR(VLOOKUP(D754,Products!$A$2:$F$61,3,FALSE()),"")</f>
        <v>Apparel</v>
      </c>
      <c r="M754" t="str">
        <f>IFERROR(VLOOKUP(E754,Sales_Reps!$A$2:$C$31,3,FALSE()),"")</f>
        <v>North</v>
      </c>
      <c r="N754">
        <f>IFERROR(VLOOKUP(D754,Products!$A$2:$F$61,4,FALSE()),"")</f>
        <v>391</v>
      </c>
      <c r="O754" t="str">
        <f>IFERROR(VLOOKUP(C754,Customers!$A$2:$F$301,5,FALSE()),"")</f>
        <v>Corporate</v>
      </c>
      <c r="P754">
        <f>IFERROR(VLOOKUP(C754,Customers!$A$2:$F$301,3,FALSE()),"")</f>
        <v>29</v>
      </c>
      <c r="Q754">
        <f t="shared" si="33"/>
        <v>0.52317073170731709</v>
      </c>
      <c r="R754">
        <f>IF(AND(COUNTIF($A$2:$A$2047,A754)&gt;1,COUNTIF($A$2:A754,A754)=1),1,0)</f>
        <v>0</v>
      </c>
      <c r="S754" t="b">
        <f>IFERROR(VLOOKUP(D754,Products!$A$2:$F$61,6,FALSE()),"")</f>
        <v>1</v>
      </c>
      <c r="T754" t="str">
        <f>IF(COUNTIF(Customers!$A$2:$A$301,C754)=0,"Missing","OK")</f>
        <v>OK</v>
      </c>
      <c r="U754" t="str">
        <f t="shared" si="34"/>
        <v>Pune</v>
      </c>
      <c r="V754">
        <f t="shared" si="35"/>
        <v>0</v>
      </c>
    </row>
    <row r="755" spans="1:22" ht="15" customHeight="1" x14ac:dyDescent="0.35">
      <c r="A755" s="3" t="s">
        <v>1161</v>
      </c>
      <c r="B755" s="4">
        <v>45531</v>
      </c>
      <c r="C755" s="3" t="s">
        <v>368</v>
      </c>
      <c r="D755" s="3" t="s">
        <v>203</v>
      </c>
      <c r="E755" s="3" t="s">
        <v>168</v>
      </c>
      <c r="F755" s="5">
        <v>4</v>
      </c>
      <c r="G755" s="5">
        <v>4070</v>
      </c>
      <c r="H755" s="5">
        <v>23.8</v>
      </c>
      <c r="I755" s="5">
        <v>12405.36</v>
      </c>
      <c r="J755" s="3" t="s">
        <v>26</v>
      </c>
      <c r="K755" s="3" t="s">
        <v>56</v>
      </c>
      <c r="L755" t="str">
        <f>IFERROR(VLOOKUP(D755,Products!$A$2:$F$61,3,FALSE()),"")</f>
        <v>Grocery</v>
      </c>
      <c r="M755" t="str">
        <f>IFERROR(VLOOKUP(E755,Sales_Reps!$A$2:$C$31,3,FALSE()),"")</f>
        <v>West</v>
      </c>
      <c r="N755">
        <f>IFERROR(VLOOKUP(D755,Products!$A$2:$F$61,4,FALSE()),"")</f>
        <v>2027</v>
      </c>
      <c r="O755" t="str">
        <f>IFERROR(VLOOKUP(C755,Customers!$A$2:$F$301,5,FALSE()),"")</f>
        <v>Retail</v>
      </c>
      <c r="P755">
        <f>IFERROR(VLOOKUP(C755,Customers!$A$2:$F$301,3,FALSE()),"")</f>
        <v>55</v>
      </c>
      <c r="Q755">
        <f t="shared" si="33"/>
        <v>0.50196560196560192</v>
      </c>
      <c r="R755">
        <f>IF(AND(COUNTIF($A$2:$A$2047,A755)&gt;1,COUNTIF($A$2:A755,A755)=1),1,0)</f>
        <v>0</v>
      </c>
      <c r="S755" t="b">
        <f>IFERROR(VLOOKUP(D755,Products!$A$2:$F$61,6,FALSE()),"")</f>
        <v>1</v>
      </c>
      <c r="T755" t="str">
        <f>IF(COUNTIF(Customers!$A$2:$A$301,C755)=0,"Missing","OK")</f>
        <v>OK</v>
      </c>
      <c r="U755" t="str">
        <f t="shared" si="34"/>
        <v>Bengaluru</v>
      </c>
      <c r="V755">
        <f t="shared" si="35"/>
        <v>12405.36</v>
      </c>
    </row>
    <row r="756" spans="1:22" ht="15" customHeight="1" x14ac:dyDescent="0.35">
      <c r="A756" s="3" t="s">
        <v>1162</v>
      </c>
      <c r="B756" s="4">
        <v>45356</v>
      </c>
      <c r="C756" s="3" t="s">
        <v>698</v>
      </c>
      <c r="D756" s="3" t="s">
        <v>306</v>
      </c>
      <c r="E756" s="3" t="s">
        <v>212</v>
      </c>
      <c r="F756" s="5">
        <v>1</v>
      </c>
      <c r="G756" s="5">
        <v>2380</v>
      </c>
      <c r="H756" s="5">
        <v>19.600000000000001</v>
      </c>
      <c r="I756" s="5">
        <v>1913.52</v>
      </c>
      <c r="J756" s="3" t="s">
        <v>79</v>
      </c>
      <c r="K756" s="3" t="s">
        <v>56</v>
      </c>
      <c r="L756" t="str">
        <f>IFERROR(VLOOKUP(D756,Products!$A$2:$F$61,3,FALSE()),"")</f>
        <v>Grocery</v>
      </c>
      <c r="M756" t="str">
        <f>IFERROR(VLOOKUP(E756,Sales_Reps!$A$2:$C$31,3,FALSE()),"")</f>
        <v>South</v>
      </c>
      <c r="N756">
        <f>IFERROR(VLOOKUP(D756,Products!$A$2:$F$61,4,FALSE()),"")</f>
        <v>1182</v>
      </c>
      <c r="O756" t="str">
        <f>IFERROR(VLOOKUP(C756,Customers!$A$2:$F$301,5,FALSE()),"")</f>
        <v>Retail</v>
      </c>
      <c r="P756">
        <f>IFERROR(VLOOKUP(C756,Customers!$A$2:$F$301,3,FALSE()),"")</f>
        <v>29</v>
      </c>
      <c r="Q756">
        <f t="shared" si="33"/>
        <v>0.50336134453781511</v>
      </c>
      <c r="R756">
        <f>IF(AND(COUNTIF($A$2:$A$2047,A756)&gt;1,COUNTIF($A$2:A756,A756)=1),1,0)</f>
        <v>0</v>
      </c>
      <c r="S756" t="b">
        <f>IFERROR(VLOOKUP(D756,Products!$A$2:$F$61,6,FALSE()),"")</f>
        <v>1</v>
      </c>
      <c r="T756" t="str">
        <f>IF(COUNTIF(Customers!$A$2:$A$301,C756)=0,"Missing","OK")</f>
        <v>OK</v>
      </c>
      <c r="U756" t="str">
        <f t="shared" si="34"/>
        <v>Bengaluru</v>
      </c>
      <c r="V756">
        <f t="shared" si="35"/>
        <v>1913.52</v>
      </c>
    </row>
    <row r="757" spans="1:22" ht="15" customHeight="1" x14ac:dyDescent="0.35">
      <c r="A757" s="3" t="s">
        <v>1163</v>
      </c>
      <c r="B757" s="4">
        <v>45553</v>
      </c>
      <c r="C757" s="3" t="s">
        <v>887</v>
      </c>
      <c r="D757" s="3" t="s">
        <v>63</v>
      </c>
      <c r="E757" s="3" t="s">
        <v>109</v>
      </c>
      <c r="F757" s="5">
        <v>3</v>
      </c>
      <c r="G757" s="5">
        <v>5490</v>
      </c>
      <c r="H757" s="5">
        <v>2.5</v>
      </c>
      <c r="I757" s="5">
        <v>16058.25</v>
      </c>
      <c r="J757" s="3" t="s">
        <v>26</v>
      </c>
      <c r="K757" s="3" t="s">
        <v>27</v>
      </c>
      <c r="L757" t="str">
        <f>IFERROR(VLOOKUP(D757,Products!$A$2:$F$61,3,FALSE()),"")</f>
        <v>Home</v>
      </c>
      <c r="M757" t="str">
        <f>IFERROR(VLOOKUP(E757,Sales_Reps!$A$2:$C$31,3,FALSE()),"")</f>
        <v>West</v>
      </c>
      <c r="N757">
        <f>IFERROR(VLOOKUP(D757,Products!$A$2:$F$61,4,FALSE()),"")</f>
        <v>2549</v>
      </c>
      <c r="O757" t="str">
        <f>IFERROR(VLOOKUP(C757,Customers!$A$2:$F$301,5,FALSE()),"")</f>
        <v>Retail</v>
      </c>
      <c r="P757">
        <f>IFERROR(VLOOKUP(C757,Customers!$A$2:$F$301,3,FALSE()),"")</f>
        <v>65</v>
      </c>
      <c r="Q757">
        <f t="shared" si="33"/>
        <v>0.53570127504553733</v>
      </c>
      <c r="R757">
        <f>IF(AND(COUNTIF($A$2:$A$2047,A757)&gt;1,COUNTIF($A$2:A757,A757)=1),1,0)</f>
        <v>0</v>
      </c>
      <c r="S757" t="b">
        <f>IFERROR(VLOOKUP(D757,Products!$A$2:$F$61,6,FALSE()),"")</f>
        <v>1</v>
      </c>
      <c r="T757" t="str">
        <f>IF(COUNTIF(Customers!$A$2:$A$301,C757)=0,"Missing","OK")</f>
        <v>OK</v>
      </c>
      <c r="U757" t="str">
        <f t="shared" si="34"/>
        <v>Pune</v>
      </c>
      <c r="V757">
        <f t="shared" si="35"/>
        <v>0</v>
      </c>
    </row>
    <row r="758" spans="1:22" ht="15" customHeight="1" x14ac:dyDescent="0.35">
      <c r="A758" s="3" t="s">
        <v>1164</v>
      </c>
      <c r="B758" s="4">
        <v>45492</v>
      </c>
      <c r="C758" s="3" t="s">
        <v>275</v>
      </c>
      <c r="D758" s="3" t="s">
        <v>176</v>
      </c>
      <c r="E758" s="3" t="s">
        <v>282</v>
      </c>
      <c r="F758" s="5">
        <v>3</v>
      </c>
      <c r="G758" s="5">
        <v>3640</v>
      </c>
      <c r="H758" s="5">
        <v>23.3</v>
      </c>
      <c r="I758" s="5">
        <v>8375.64</v>
      </c>
      <c r="J758" s="3" t="s">
        <v>26</v>
      </c>
      <c r="K758" s="3" t="s">
        <v>51</v>
      </c>
      <c r="L758" t="str">
        <f>IFERROR(VLOOKUP(D758,Products!$A$2:$F$61,3,FALSE()),"")</f>
        <v>Apparel</v>
      </c>
      <c r="M758" t="str">
        <f>IFERROR(VLOOKUP(E758,Sales_Reps!$A$2:$C$31,3,FALSE()),"")</f>
        <v>West</v>
      </c>
      <c r="N758">
        <f>IFERROR(VLOOKUP(D758,Products!$A$2:$F$61,4,FALSE()),"")</f>
        <v>2611</v>
      </c>
      <c r="O758" t="str">
        <f>IFERROR(VLOOKUP(C758,Customers!$A$2:$F$301,5,FALSE()),"")</f>
        <v>Retail</v>
      </c>
      <c r="P758">
        <f>IFERROR(VLOOKUP(C758,Customers!$A$2:$F$301,3,FALSE()),"")</f>
        <v>49</v>
      </c>
      <c r="Q758">
        <f t="shared" si="33"/>
        <v>0.28269230769230769</v>
      </c>
      <c r="R758">
        <f>IF(AND(COUNTIF($A$2:$A$2047,A758)&gt;1,COUNTIF($A$2:A758,A758)=1),1,0)</f>
        <v>0</v>
      </c>
      <c r="S758" t="b">
        <f>IFERROR(VLOOKUP(D758,Products!$A$2:$F$61,6,FALSE()),"")</f>
        <v>1</v>
      </c>
      <c r="T758" t="str">
        <f>IF(COUNTIF(Customers!$A$2:$A$301,C758)=0,"Missing","OK")</f>
        <v>OK</v>
      </c>
      <c r="U758" t="str">
        <f t="shared" si="34"/>
        <v>Mumbai</v>
      </c>
      <c r="V758">
        <f t="shared" si="35"/>
        <v>0</v>
      </c>
    </row>
    <row r="759" spans="1:22" ht="15" customHeight="1" x14ac:dyDescent="0.35">
      <c r="A759" s="3" t="s">
        <v>1165</v>
      </c>
      <c r="B759" s="4">
        <v>45388</v>
      </c>
      <c r="C759" s="3" t="s">
        <v>344</v>
      </c>
      <c r="D759" s="3" t="s">
        <v>209</v>
      </c>
      <c r="E759" s="3" t="s">
        <v>242</v>
      </c>
      <c r="F759" s="5">
        <v>2</v>
      </c>
      <c r="G759" s="5">
        <v>4610</v>
      </c>
      <c r="H759" s="5">
        <v>5</v>
      </c>
      <c r="I759" s="5">
        <v>8759</v>
      </c>
      <c r="J759" s="3" t="s">
        <v>32</v>
      </c>
      <c r="K759" s="3" t="s">
        <v>33</v>
      </c>
      <c r="L759" t="str">
        <f>IFERROR(VLOOKUP(D759,Products!$A$2:$F$61,3,FALSE()),"")</f>
        <v>Home</v>
      </c>
      <c r="M759" t="str">
        <f>IFERROR(VLOOKUP(E759,Sales_Reps!$A$2:$C$31,3,FALSE()),"")</f>
        <v>East</v>
      </c>
      <c r="N759">
        <f>IFERROR(VLOOKUP(D759,Products!$A$2:$F$61,4,FALSE()),"")</f>
        <v>1850</v>
      </c>
      <c r="O759" t="str">
        <f>IFERROR(VLOOKUP(C759,Customers!$A$2:$F$301,5,FALSE()),"")</f>
        <v>Corporate</v>
      </c>
      <c r="P759">
        <f>IFERROR(VLOOKUP(C759,Customers!$A$2:$F$301,3,FALSE()),"")</f>
        <v>24</v>
      </c>
      <c r="Q759">
        <f t="shared" si="33"/>
        <v>0.59869848156182215</v>
      </c>
      <c r="R759">
        <f>IF(AND(COUNTIF($A$2:$A$2047,A759)&gt;1,COUNTIF($A$2:A759,A759)=1),1,0)</f>
        <v>0</v>
      </c>
      <c r="S759" t="b">
        <f>IFERROR(VLOOKUP(D759,Products!$A$2:$F$61,6,FALSE()),"")</f>
        <v>1</v>
      </c>
      <c r="T759" t="str">
        <f>IF(COUNTIF(Customers!$A$2:$A$301,C759)=0,"Missing","OK")</f>
        <v>OK</v>
      </c>
      <c r="U759" t="str">
        <f t="shared" si="34"/>
        <v>Chennai</v>
      </c>
      <c r="V759">
        <f t="shared" si="35"/>
        <v>0</v>
      </c>
    </row>
    <row r="760" spans="1:22" ht="15" customHeight="1" x14ac:dyDescent="0.35">
      <c r="A760" s="3" t="s">
        <v>1166</v>
      </c>
      <c r="B760" s="4">
        <v>45369</v>
      </c>
      <c r="C760" s="3" t="s">
        <v>446</v>
      </c>
      <c r="D760" s="3" t="s">
        <v>90</v>
      </c>
      <c r="E760" s="3" t="s">
        <v>154</v>
      </c>
      <c r="F760" s="5">
        <v>8</v>
      </c>
      <c r="G760" s="5">
        <v>2400</v>
      </c>
      <c r="H760" s="5">
        <v>10</v>
      </c>
      <c r="I760" s="5">
        <v>17280</v>
      </c>
      <c r="J760" s="3" t="s">
        <v>32</v>
      </c>
      <c r="K760" s="3" t="s">
        <v>27</v>
      </c>
      <c r="L760" t="str">
        <f>IFERROR(VLOOKUP(D760,Products!$A$2:$F$61,3,FALSE()),"")</f>
        <v>Sports</v>
      </c>
      <c r="M760" t="str">
        <f>IFERROR(VLOOKUP(E760,Sales_Reps!$A$2:$C$31,3,FALSE()),"")</f>
        <v>North</v>
      </c>
      <c r="N760">
        <f>IFERROR(VLOOKUP(D760,Products!$A$2:$F$61,4,FALSE()),"")</f>
        <v>974</v>
      </c>
      <c r="O760" t="str">
        <f>IFERROR(VLOOKUP(C760,Customers!$A$2:$F$301,5,FALSE()),"")</f>
        <v>Retail</v>
      </c>
      <c r="P760">
        <f>IFERROR(VLOOKUP(C760,Customers!$A$2:$F$301,3,FALSE()),"")</f>
        <v>59</v>
      </c>
      <c r="Q760">
        <f t="shared" si="33"/>
        <v>0.59416666666666662</v>
      </c>
      <c r="R760">
        <f>IF(AND(COUNTIF($A$2:$A$2047,A760)&gt;1,COUNTIF($A$2:A760,A760)=1),1,0)</f>
        <v>0</v>
      </c>
      <c r="S760" t="b">
        <f>IFERROR(VLOOKUP(D760,Products!$A$2:$F$61,6,FALSE()),"")</f>
        <v>1</v>
      </c>
      <c r="T760" t="str">
        <f>IF(COUNTIF(Customers!$A$2:$A$301,C760)=0,"Missing","OK")</f>
        <v>OK</v>
      </c>
      <c r="U760" t="str">
        <f t="shared" si="34"/>
        <v>Pune</v>
      </c>
      <c r="V760">
        <f t="shared" si="35"/>
        <v>0</v>
      </c>
    </row>
    <row r="761" spans="1:22" ht="15" customHeight="1" x14ac:dyDescent="0.35">
      <c r="A761" s="3" t="s">
        <v>1167</v>
      </c>
      <c r="B761" s="4">
        <v>45597</v>
      </c>
      <c r="C761" s="3" t="s">
        <v>336</v>
      </c>
      <c r="D761" s="3" t="s">
        <v>118</v>
      </c>
      <c r="E761" s="3" t="s">
        <v>236</v>
      </c>
      <c r="F761" s="5">
        <v>7</v>
      </c>
      <c r="G761" s="5">
        <v>3350</v>
      </c>
      <c r="H761" s="5">
        <v>23.7</v>
      </c>
      <c r="I761" s="5">
        <v>17892.349999999999</v>
      </c>
      <c r="J761" s="3" t="s">
        <v>26</v>
      </c>
      <c r="K761" s="3" t="s">
        <v>38</v>
      </c>
      <c r="L761" t="str">
        <f>IFERROR(VLOOKUP(D761,Products!$A$2:$F$61,3,FALSE()),"")</f>
        <v>Beauty</v>
      </c>
      <c r="M761" t="str">
        <f>IFERROR(VLOOKUP(E761,Sales_Reps!$A$2:$C$31,3,FALSE()),"")</f>
        <v>North</v>
      </c>
      <c r="N761">
        <f>IFERROR(VLOOKUP(D761,Products!$A$2:$F$61,4,FALSE()),"")</f>
        <v>1728</v>
      </c>
      <c r="O761" t="str">
        <f>IFERROR(VLOOKUP(C761,Customers!$A$2:$F$301,5,FALSE()),"")</f>
        <v>Retail</v>
      </c>
      <c r="P761">
        <f>IFERROR(VLOOKUP(C761,Customers!$A$2:$F$301,3,FALSE()),"")</f>
        <v>30</v>
      </c>
      <c r="Q761">
        <f t="shared" si="33"/>
        <v>0.48417910447761192</v>
      </c>
      <c r="R761">
        <f>IF(AND(COUNTIF($A$2:$A$2047,A761)&gt;1,COUNTIF($A$2:A761,A761)=1),1,0)</f>
        <v>0</v>
      </c>
      <c r="S761" t="b">
        <f>IFERROR(VLOOKUP(D761,Products!$A$2:$F$61,6,FALSE()),"")</f>
        <v>1</v>
      </c>
      <c r="T761" t="str">
        <f>IF(COUNTIF(Customers!$A$2:$A$301,C761)=0,"Missing","OK")</f>
        <v>OK</v>
      </c>
      <c r="U761" t="str">
        <f t="shared" si="34"/>
        <v>Delhi</v>
      </c>
      <c r="V761">
        <f t="shared" si="35"/>
        <v>0</v>
      </c>
    </row>
    <row r="762" spans="1:22" ht="15" customHeight="1" x14ac:dyDescent="0.35">
      <c r="A762" s="3" t="s">
        <v>1168</v>
      </c>
      <c r="B762" s="4">
        <v>45611</v>
      </c>
      <c r="C762" s="3" t="s">
        <v>594</v>
      </c>
      <c r="D762" s="3" t="s">
        <v>176</v>
      </c>
      <c r="E762" s="3" t="s">
        <v>264</v>
      </c>
      <c r="F762" s="5">
        <v>4</v>
      </c>
      <c r="G762" s="5">
        <v>3640</v>
      </c>
      <c r="H762" s="5">
        <v>9.3000000000000007</v>
      </c>
      <c r="I762" s="5">
        <v>13205.92</v>
      </c>
      <c r="J762" s="3" t="s">
        <v>79</v>
      </c>
      <c r="K762" s="3" t="s">
        <v>72</v>
      </c>
      <c r="L762" t="str">
        <f>IFERROR(VLOOKUP(D762,Products!$A$2:$F$61,3,FALSE()),"")</f>
        <v>Apparel</v>
      </c>
      <c r="M762" t="str">
        <f>IFERROR(VLOOKUP(E762,Sales_Reps!$A$2:$C$31,3,FALSE()),"")</f>
        <v>South</v>
      </c>
      <c r="N762">
        <f>IFERROR(VLOOKUP(D762,Products!$A$2:$F$61,4,FALSE()),"")</f>
        <v>2611</v>
      </c>
      <c r="O762" t="str">
        <f>IFERROR(VLOOKUP(C762,Customers!$A$2:$F$301,5,FALSE()),"")</f>
        <v>Retail</v>
      </c>
      <c r="P762">
        <f>IFERROR(VLOOKUP(C762,Customers!$A$2:$F$301,3,FALSE()),"")</f>
        <v>27</v>
      </c>
      <c r="Q762">
        <f t="shared" si="33"/>
        <v>0.28269230769230769</v>
      </c>
      <c r="R762">
        <f>IF(AND(COUNTIF($A$2:$A$2047,A762)&gt;1,COUNTIF($A$2:A762,A762)=1),1,0)</f>
        <v>0</v>
      </c>
      <c r="S762" t="b">
        <f>IFERROR(VLOOKUP(D762,Products!$A$2:$F$61,6,FALSE()),"")</f>
        <v>1</v>
      </c>
      <c r="T762" t="str">
        <f>IF(COUNTIF(Customers!$A$2:$A$301,C762)=0,"Missing","OK")</f>
        <v>OK</v>
      </c>
      <c r="U762" t="str">
        <f t="shared" si="34"/>
        <v>Hyderabad</v>
      </c>
      <c r="V762">
        <f t="shared" si="35"/>
        <v>0</v>
      </c>
    </row>
    <row r="763" spans="1:22" ht="15" customHeight="1" x14ac:dyDescent="0.35">
      <c r="A763" s="3" t="s">
        <v>1169</v>
      </c>
      <c r="B763" s="4">
        <v>45579</v>
      </c>
      <c r="C763" s="3" t="s">
        <v>1170</v>
      </c>
      <c r="D763" s="3" t="s">
        <v>176</v>
      </c>
      <c r="E763" s="3" t="s">
        <v>67</v>
      </c>
      <c r="F763" s="5">
        <v>9</v>
      </c>
      <c r="G763" s="5">
        <v>3640</v>
      </c>
      <c r="H763" s="5">
        <v>13.1</v>
      </c>
      <c r="I763" s="5">
        <v>28468.44</v>
      </c>
      <c r="J763" s="3" t="s">
        <v>32</v>
      </c>
      <c r="K763" s="3" t="s">
        <v>27</v>
      </c>
      <c r="L763" t="str">
        <f>IFERROR(VLOOKUP(D763,Products!$A$2:$F$61,3,FALSE()),"")</f>
        <v>Apparel</v>
      </c>
      <c r="M763" t="str">
        <f>IFERROR(VLOOKUP(E763,Sales_Reps!$A$2:$C$31,3,FALSE()),"")</f>
        <v>West</v>
      </c>
      <c r="N763">
        <f>IFERROR(VLOOKUP(D763,Products!$A$2:$F$61,4,FALSE()),"")</f>
        <v>2611</v>
      </c>
      <c r="O763" t="str">
        <f>IFERROR(VLOOKUP(C763,Customers!$A$2:$F$301,5,FALSE()),"")</f>
        <v>Retail</v>
      </c>
      <c r="P763">
        <f>IFERROR(VLOOKUP(C763,Customers!$A$2:$F$301,3,FALSE()),"")</f>
        <v>42</v>
      </c>
      <c r="Q763">
        <f t="shared" si="33"/>
        <v>0.28269230769230769</v>
      </c>
      <c r="R763">
        <f>IF(AND(COUNTIF($A$2:$A$2047,A763)&gt;1,COUNTIF($A$2:A763,A763)=1),1,0)</f>
        <v>0</v>
      </c>
      <c r="S763" t="b">
        <f>IFERROR(VLOOKUP(D763,Products!$A$2:$F$61,6,FALSE()),"")</f>
        <v>1</v>
      </c>
      <c r="T763" t="str">
        <f>IF(COUNTIF(Customers!$A$2:$A$301,C763)=0,"Missing","OK")</f>
        <v>OK</v>
      </c>
      <c r="U763" t="str">
        <f t="shared" si="34"/>
        <v>Pune</v>
      </c>
      <c r="V763">
        <f t="shared" si="35"/>
        <v>0</v>
      </c>
    </row>
    <row r="764" spans="1:22" ht="15" customHeight="1" x14ac:dyDescent="0.35">
      <c r="A764" s="3" t="s">
        <v>1171</v>
      </c>
      <c r="B764" s="4">
        <v>45634</v>
      </c>
      <c r="C764" s="3" t="s">
        <v>111</v>
      </c>
      <c r="D764" s="3" t="s">
        <v>234</v>
      </c>
      <c r="E764" s="3" t="s">
        <v>37</v>
      </c>
      <c r="F764" s="5">
        <v>2</v>
      </c>
      <c r="G764" s="5">
        <v>2030</v>
      </c>
      <c r="H764" s="5">
        <v>12.2</v>
      </c>
      <c r="I764" s="5">
        <v>3564.68</v>
      </c>
      <c r="J764" s="3" t="s">
        <v>26</v>
      </c>
      <c r="K764" s="3" t="s">
        <v>27</v>
      </c>
      <c r="L764" t="str">
        <f>IFERROR(VLOOKUP(D764,Products!$A$2:$F$61,3,FALSE()),"")</f>
        <v>Home</v>
      </c>
      <c r="M764" t="str">
        <f>IFERROR(VLOOKUP(E764,Sales_Reps!$A$2:$C$31,3,FALSE()),"")</f>
        <v>South</v>
      </c>
      <c r="N764">
        <f>IFERROR(VLOOKUP(D764,Products!$A$2:$F$61,4,FALSE()),"")</f>
        <v>1143</v>
      </c>
      <c r="O764" t="str">
        <f>IFERROR(VLOOKUP(C764,Customers!$A$2:$F$301,5,FALSE()),"")</f>
        <v>Retail</v>
      </c>
      <c r="P764">
        <f>IFERROR(VLOOKUP(C764,Customers!$A$2:$F$301,3,FALSE()),"")</f>
        <v>50</v>
      </c>
      <c r="Q764">
        <f t="shared" si="33"/>
        <v>0.43694581280788175</v>
      </c>
      <c r="R764">
        <f>IF(AND(COUNTIF($A$2:$A$2047,A764)&gt;1,COUNTIF($A$2:A764,A764)=1),1,0)</f>
        <v>0</v>
      </c>
      <c r="S764" t="b">
        <f>IFERROR(VLOOKUP(D764,Products!$A$2:$F$61,6,FALSE()),"")</f>
        <v>1</v>
      </c>
      <c r="T764" t="str">
        <f>IF(COUNTIF(Customers!$A$2:$A$301,C764)=0,"Missing","OK")</f>
        <v>OK</v>
      </c>
      <c r="U764" t="str">
        <f t="shared" si="34"/>
        <v>Pune</v>
      </c>
      <c r="V764">
        <f t="shared" si="35"/>
        <v>0</v>
      </c>
    </row>
    <row r="765" spans="1:22" ht="15" customHeight="1" x14ac:dyDescent="0.35">
      <c r="A765" s="3" t="s">
        <v>1172</v>
      </c>
      <c r="B765" s="4">
        <v>45471</v>
      </c>
      <c r="C765" s="3" t="s">
        <v>1173</v>
      </c>
      <c r="D765" s="3" t="s">
        <v>45</v>
      </c>
      <c r="E765" s="3" t="s">
        <v>236</v>
      </c>
      <c r="F765" s="5">
        <v>4</v>
      </c>
      <c r="G765" s="5">
        <v>3160</v>
      </c>
      <c r="H765" s="5">
        <v>7.5</v>
      </c>
      <c r="I765" s="5">
        <v>11692</v>
      </c>
      <c r="J765" s="3" t="s">
        <v>26</v>
      </c>
      <c r="K765" s="3" t="s">
        <v>51</v>
      </c>
      <c r="L765" t="str">
        <f>IFERROR(VLOOKUP(D765,Products!$A$2:$F$61,3,FALSE()),"")</f>
        <v>Apparel</v>
      </c>
      <c r="M765" t="str">
        <f>IFERROR(VLOOKUP(E765,Sales_Reps!$A$2:$C$31,3,FALSE()),"")</f>
        <v>North</v>
      </c>
      <c r="N765">
        <f>IFERROR(VLOOKUP(D765,Products!$A$2:$F$61,4,FALSE()),"")</f>
        <v>1886</v>
      </c>
      <c r="O765" t="str">
        <f>IFERROR(VLOOKUP(C765,Customers!$A$2:$F$301,5,FALSE()),"")</f>
        <v>Retail</v>
      </c>
      <c r="P765">
        <f>IFERROR(VLOOKUP(C765,Customers!$A$2:$F$301,3,FALSE()),"")</f>
        <v>29</v>
      </c>
      <c r="Q765">
        <f t="shared" si="33"/>
        <v>0.4031645569620253</v>
      </c>
      <c r="R765">
        <f>IF(AND(COUNTIF($A$2:$A$2047,A765)&gt;1,COUNTIF($A$2:A765,A765)=1),1,0)</f>
        <v>0</v>
      </c>
      <c r="S765" t="b">
        <f>IFERROR(VLOOKUP(D765,Products!$A$2:$F$61,6,FALSE()),"")</f>
        <v>1</v>
      </c>
      <c r="T765" t="str">
        <f>IF(COUNTIF(Customers!$A$2:$A$301,C765)=0,"Missing","OK")</f>
        <v>OK</v>
      </c>
      <c r="U765" t="str">
        <f t="shared" si="34"/>
        <v>Mumbai</v>
      </c>
      <c r="V765">
        <f t="shared" si="35"/>
        <v>0</v>
      </c>
    </row>
    <row r="766" spans="1:22" ht="15" customHeight="1" x14ac:dyDescent="0.35">
      <c r="A766" s="3" t="s">
        <v>1174</v>
      </c>
      <c r="B766" s="4">
        <v>45327</v>
      </c>
      <c r="C766" s="3" t="s">
        <v>703</v>
      </c>
      <c r="D766" s="3" t="s">
        <v>203</v>
      </c>
      <c r="E766" s="3" t="s">
        <v>168</v>
      </c>
      <c r="F766" s="5">
        <v>10</v>
      </c>
      <c r="G766" s="5">
        <v>4070</v>
      </c>
      <c r="H766" s="5">
        <v>8.3000000000000007</v>
      </c>
      <c r="I766" s="5">
        <v>37321.9</v>
      </c>
      <c r="J766" s="3" t="s">
        <v>26</v>
      </c>
      <c r="K766" s="3" t="s">
        <v>33</v>
      </c>
      <c r="L766" t="str">
        <f>IFERROR(VLOOKUP(D766,Products!$A$2:$F$61,3,FALSE()),"")</f>
        <v>Grocery</v>
      </c>
      <c r="M766" t="str">
        <f>IFERROR(VLOOKUP(E766,Sales_Reps!$A$2:$C$31,3,FALSE()),"")</f>
        <v>West</v>
      </c>
      <c r="N766">
        <f>IFERROR(VLOOKUP(D766,Products!$A$2:$F$61,4,FALSE()),"")</f>
        <v>2027</v>
      </c>
      <c r="O766" t="str">
        <f>IFERROR(VLOOKUP(C766,Customers!$A$2:$F$301,5,FALSE()),"")</f>
        <v>SMB</v>
      </c>
      <c r="P766">
        <f>IFERROR(VLOOKUP(C766,Customers!$A$2:$F$301,3,FALSE()),"")</f>
        <v>26</v>
      </c>
      <c r="Q766">
        <f t="shared" si="33"/>
        <v>0.50196560196560192</v>
      </c>
      <c r="R766">
        <f>IF(AND(COUNTIF($A$2:$A$2047,A766)&gt;1,COUNTIF($A$2:A766,A766)=1),1,0)</f>
        <v>0</v>
      </c>
      <c r="S766" t="b">
        <f>IFERROR(VLOOKUP(D766,Products!$A$2:$F$61,6,FALSE()),"")</f>
        <v>1</v>
      </c>
      <c r="T766" t="str">
        <f>IF(COUNTIF(Customers!$A$2:$A$301,C766)=0,"Missing","OK")</f>
        <v>OK</v>
      </c>
      <c r="U766" t="str">
        <f t="shared" si="34"/>
        <v>Chennai</v>
      </c>
      <c r="V766">
        <f t="shared" si="35"/>
        <v>0</v>
      </c>
    </row>
    <row r="767" spans="1:22" ht="15" customHeight="1" x14ac:dyDescent="0.35">
      <c r="A767" s="3" t="s">
        <v>1175</v>
      </c>
      <c r="B767" s="4">
        <v>45343</v>
      </c>
      <c r="C767" s="3" t="s">
        <v>565</v>
      </c>
      <c r="D767" s="3" t="s">
        <v>290</v>
      </c>
      <c r="E767" s="3" t="s">
        <v>55</v>
      </c>
      <c r="F767" s="5">
        <v>8</v>
      </c>
      <c r="G767" s="5">
        <v>4060</v>
      </c>
      <c r="H767" s="5">
        <v>8.5</v>
      </c>
      <c r="I767" s="5">
        <v>29719.200000000001</v>
      </c>
      <c r="J767" s="3" t="s">
        <v>26</v>
      </c>
      <c r="K767" s="3" t="s">
        <v>38</v>
      </c>
      <c r="L767" t="str">
        <f>IFERROR(VLOOKUP(D767,Products!$A$2:$F$61,3,FALSE()),"")</f>
        <v>Grocery</v>
      </c>
      <c r="M767" t="str">
        <f>IFERROR(VLOOKUP(E767,Sales_Reps!$A$2:$C$31,3,FALSE()),"")</f>
        <v>West</v>
      </c>
      <c r="N767">
        <f>IFERROR(VLOOKUP(D767,Products!$A$2:$F$61,4,FALSE()),"")</f>
        <v>2911</v>
      </c>
      <c r="O767" t="str">
        <f>IFERROR(VLOOKUP(C767,Customers!$A$2:$F$301,5,FALSE()),"")</f>
        <v>Retail</v>
      </c>
      <c r="P767">
        <f>IFERROR(VLOOKUP(C767,Customers!$A$2:$F$301,3,FALSE()),"")</f>
        <v>40</v>
      </c>
      <c r="Q767">
        <f t="shared" si="33"/>
        <v>0.28300492610837441</v>
      </c>
      <c r="R767">
        <f>IF(AND(COUNTIF($A$2:$A$2047,A767)&gt;1,COUNTIF($A$2:A767,A767)=1),1,0)</f>
        <v>0</v>
      </c>
      <c r="S767" t="b">
        <f>IFERROR(VLOOKUP(D767,Products!$A$2:$F$61,6,FALSE()),"")</f>
        <v>1</v>
      </c>
      <c r="T767" t="str">
        <f>IF(COUNTIF(Customers!$A$2:$A$301,C767)=0,"Missing","OK")</f>
        <v>OK</v>
      </c>
      <c r="U767" t="str">
        <f t="shared" si="34"/>
        <v>Delhi</v>
      </c>
      <c r="V767">
        <f t="shared" si="35"/>
        <v>0</v>
      </c>
    </row>
    <row r="768" spans="1:22" ht="15" customHeight="1" x14ac:dyDescent="0.35">
      <c r="A768" s="3" t="s">
        <v>1176</v>
      </c>
      <c r="B768" s="4">
        <v>45334</v>
      </c>
      <c r="C768" s="3" t="s">
        <v>668</v>
      </c>
      <c r="D768" s="3" t="s">
        <v>54</v>
      </c>
      <c r="E768" s="3" t="s">
        <v>242</v>
      </c>
      <c r="F768" s="5">
        <v>8</v>
      </c>
      <c r="G768" s="5">
        <v>960</v>
      </c>
      <c r="H768" s="5">
        <v>8.6999999999999993</v>
      </c>
      <c r="I768" s="5">
        <v>7011.84</v>
      </c>
      <c r="J768" s="3" t="s">
        <v>26</v>
      </c>
      <c r="K768" s="3" t="s">
        <v>51</v>
      </c>
      <c r="L768" t="str">
        <f>IFERROR(VLOOKUP(D768,Products!$A$2:$F$61,3,FALSE()),"")</f>
        <v>Sports</v>
      </c>
      <c r="M768" t="str">
        <f>IFERROR(VLOOKUP(E768,Sales_Reps!$A$2:$C$31,3,FALSE()),"")</f>
        <v>East</v>
      </c>
      <c r="N768">
        <f>IFERROR(VLOOKUP(D768,Products!$A$2:$F$61,4,FALSE()),"")</f>
        <v>705</v>
      </c>
      <c r="O768" t="str">
        <f>IFERROR(VLOOKUP(C768,Customers!$A$2:$F$301,5,FALSE()),"")</f>
        <v>Retail</v>
      </c>
      <c r="P768">
        <f>IFERROR(VLOOKUP(C768,Customers!$A$2:$F$301,3,FALSE()),"")</f>
        <v>56</v>
      </c>
      <c r="Q768">
        <f t="shared" si="33"/>
        <v>0.265625</v>
      </c>
      <c r="R768">
        <f>IF(AND(COUNTIF($A$2:$A$2047,A768)&gt;1,COUNTIF($A$2:A768,A768)=1),1,0)</f>
        <v>0</v>
      </c>
      <c r="S768" t="b">
        <f>IFERROR(VLOOKUP(D768,Products!$A$2:$F$61,6,FALSE()),"")</f>
        <v>1</v>
      </c>
      <c r="T768" t="str">
        <f>IF(COUNTIF(Customers!$A$2:$A$301,C768)=0,"Missing","OK")</f>
        <v>OK</v>
      </c>
      <c r="U768" t="str">
        <f t="shared" si="34"/>
        <v>Mumbai</v>
      </c>
      <c r="V768">
        <f t="shared" si="35"/>
        <v>0</v>
      </c>
    </row>
    <row r="769" spans="1:22" ht="15" customHeight="1" x14ac:dyDescent="0.35">
      <c r="A769" s="3" t="s">
        <v>1177</v>
      </c>
      <c r="B769" s="4">
        <v>45306</v>
      </c>
      <c r="C769" s="3" t="s">
        <v>615</v>
      </c>
      <c r="D769" s="3" t="s">
        <v>184</v>
      </c>
      <c r="E769" s="3" t="s">
        <v>282</v>
      </c>
      <c r="F769" s="5">
        <v>2</v>
      </c>
      <c r="G769" s="5">
        <v>2270</v>
      </c>
      <c r="H769" s="5">
        <v>10.199999999999999</v>
      </c>
      <c r="I769" s="5">
        <v>4076.92</v>
      </c>
      <c r="J769" s="3" t="s">
        <v>26</v>
      </c>
      <c r="K769" s="3" t="s">
        <v>27</v>
      </c>
      <c r="L769" t="str">
        <f>IFERROR(VLOOKUP(D769,Products!$A$2:$F$61,3,FALSE()),"")</f>
        <v>Grocery</v>
      </c>
      <c r="M769" t="str">
        <f>IFERROR(VLOOKUP(E769,Sales_Reps!$A$2:$C$31,3,FALSE()),"")</f>
        <v>West</v>
      </c>
      <c r="N769">
        <f>IFERROR(VLOOKUP(D769,Products!$A$2:$F$61,4,FALSE()),"")</f>
        <v>1412</v>
      </c>
      <c r="O769" t="str">
        <f>IFERROR(VLOOKUP(C769,Customers!$A$2:$F$301,5,FALSE()),"")</f>
        <v>SMB</v>
      </c>
      <c r="P769">
        <f>IFERROR(VLOOKUP(C769,Customers!$A$2:$F$301,3,FALSE()),"")</f>
        <v>35</v>
      </c>
      <c r="Q769">
        <f t="shared" si="33"/>
        <v>0.37797356828193834</v>
      </c>
      <c r="R769">
        <f>IF(AND(COUNTIF($A$2:$A$2047,A769)&gt;1,COUNTIF($A$2:A769,A769)=1),1,0)</f>
        <v>0</v>
      </c>
      <c r="S769" t="b">
        <f>IFERROR(VLOOKUP(D769,Products!$A$2:$F$61,6,FALSE()),"")</f>
        <v>1</v>
      </c>
      <c r="T769" t="str">
        <f>IF(COUNTIF(Customers!$A$2:$A$301,C769)=0,"Missing","OK")</f>
        <v>OK</v>
      </c>
      <c r="U769" t="str">
        <f t="shared" si="34"/>
        <v>Pune</v>
      </c>
      <c r="V769">
        <f t="shared" si="35"/>
        <v>0</v>
      </c>
    </row>
    <row r="770" spans="1:22" ht="15" customHeight="1" x14ac:dyDescent="0.35">
      <c r="A770" s="3" t="s">
        <v>1178</v>
      </c>
      <c r="B770" s="4">
        <v>45296</v>
      </c>
      <c r="C770" s="3" t="s">
        <v>238</v>
      </c>
      <c r="D770" s="3" t="s">
        <v>173</v>
      </c>
      <c r="E770" s="3" t="s">
        <v>25</v>
      </c>
      <c r="F770" s="5">
        <v>1</v>
      </c>
      <c r="G770" s="5">
        <v>3780</v>
      </c>
      <c r="H770" s="5">
        <v>15.3</v>
      </c>
      <c r="I770" s="5">
        <v>3201.66</v>
      </c>
      <c r="J770" s="3" t="s">
        <v>79</v>
      </c>
      <c r="K770" s="3" t="s">
        <v>72</v>
      </c>
      <c r="L770" t="str">
        <f>IFERROR(VLOOKUP(D770,Products!$A$2:$F$61,3,FALSE()),"")</f>
        <v>Grocery</v>
      </c>
      <c r="M770" t="str">
        <f>IFERROR(VLOOKUP(E770,Sales_Reps!$A$2:$C$31,3,FALSE()),"")</f>
        <v>North</v>
      </c>
      <c r="N770">
        <f>IFERROR(VLOOKUP(D770,Products!$A$2:$F$61,4,FALSE()),"")</f>
        <v>2436</v>
      </c>
      <c r="O770" t="str">
        <f>IFERROR(VLOOKUP(C770,Customers!$A$2:$F$301,5,FALSE()),"")</f>
        <v>Retail</v>
      </c>
      <c r="P770">
        <f>IFERROR(VLOOKUP(C770,Customers!$A$2:$F$301,3,FALSE()),"")</f>
        <v>29</v>
      </c>
      <c r="Q770">
        <f t="shared" ref="Q770:Q833" si="36">IFERROR((G770-N770)/G770,"")</f>
        <v>0.35555555555555557</v>
      </c>
      <c r="R770">
        <f>IF(AND(COUNTIF($A$2:$A$2047,A770)&gt;1,COUNTIF($A$2:A770,A770)=1),1,0)</f>
        <v>0</v>
      </c>
      <c r="S770" t="b">
        <f>IFERROR(VLOOKUP(D770,Products!$A$2:$F$61,6,FALSE()),"")</f>
        <v>1</v>
      </c>
      <c r="T770" t="str">
        <f>IF(COUNTIF(Customers!$A$2:$A$301,C770)=0,"Missing","OK")</f>
        <v>OK</v>
      </c>
      <c r="U770" t="str">
        <f t="shared" ref="U770:U833" si="37">IF(K770="","",PROPER(TRIM(K770)))</f>
        <v>Hyderabad</v>
      </c>
      <c r="V770">
        <f t="shared" ref="V770:V833" si="38">IF(AND(U770="Bengaluru",L770="Grocery"),I770,0)</f>
        <v>0</v>
      </c>
    </row>
    <row r="771" spans="1:22" ht="15" customHeight="1" x14ac:dyDescent="0.35">
      <c r="A771" s="3" t="s">
        <v>1179</v>
      </c>
      <c r="B771" s="4">
        <v>45489</v>
      </c>
      <c r="C771" s="3" t="s">
        <v>813</v>
      </c>
      <c r="D771" s="3" t="s">
        <v>325</v>
      </c>
      <c r="E771" s="3" t="s">
        <v>67</v>
      </c>
      <c r="F771" s="5">
        <v>10</v>
      </c>
      <c r="G771" s="5">
        <v>2290</v>
      </c>
      <c r="H771" s="5">
        <v>2.4</v>
      </c>
      <c r="I771" s="5">
        <v>22350.400000000001</v>
      </c>
      <c r="J771" s="3" t="s">
        <v>32</v>
      </c>
      <c r="K771" s="3" t="s">
        <v>51</v>
      </c>
      <c r="L771" t="str">
        <f>IFERROR(VLOOKUP(D771,Products!$A$2:$F$61,3,FALSE()),"")</f>
        <v>Beauty</v>
      </c>
      <c r="M771" t="str">
        <f>IFERROR(VLOOKUP(E771,Sales_Reps!$A$2:$C$31,3,FALSE()),"")</f>
        <v>West</v>
      </c>
      <c r="N771">
        <f>IFERROR(VLOOKUP(D771,Products!$A$2:$F$61,4,FALSE()),"")</f>
        <v>1219</v>
      </c>
      <c r="O771" t="str">
        <f>IFERROR(VLOOKUP(C771,Customers!$A$2:$F$301,5,FALSE()),"")</f>
        <v>Retail</v>
      </c>
      <c r="P771">
        <f>IFERROR(VLOOKUP(C771,Customers!$A$2:$F$301,3,FALSE()),"")</f>
        <v>57</v>
      </c>
      <c r="Q771">
        <f t="shared" si="36"/>
        <v>0.46768558951965067</v>
      </c>
      <c r="R771">
        <f>IF(AND(COUNTIF($A$2:$A$2047,A771)&gt;1,COUNTIF($A$2:A771,A771)=1),1,0)</f>
        <v>0</v>
      </c>
      <c r="S771" t="b">
        <f>IFERROR(VLOOKUP(D771,Products!$A$2:$F$61,6,FALSE()),"")</f>
        <v>1</v>
      </c>
      <c r="T771" t="str">
        <f>IF(COUNTIF(Customers!$A$2:$A$301,C771)=0,"Missing","OK")</f>
        <v>OK</v>
      </c>
      <c r="U771" t="str">
        <f t="shared" si="37"/>
        <v>Mumbai</v>
      </c>
      <c r="V771">
        <f t="shared" si="38"/>
        <v>0</v>
      </c>
    </row>
    <row r="772" spans="1:22" ht="15" customHeight="1" x14ac:dyDescent="0.35">
      <c r="A772" s="3" t="s">
        <v>1180</v>
      </c>
      <c r="B772" s="4">
        <v>45416</v>
      </c>
      <c r="C772" s="3" t="s">
        <v>1170</v>
      </c>
      <c r="D772" s="3" t="s">
        <v>118</v>
      </c>
      <c r="E772" s="3" t="s">
        <v>177</v>
      </c>
      <c r="F772" s="5">
        <v>5</v>
      </c>
      <c r="G772" s="5">
        <v>3350</v>
      </c>
      <c r="H772" s="5">
        <v>18.5</v>
      </c>
      <c r="I772" s="5">
        <v>13651.25</v>
      </c>
      <c r="J772" s="3" t="s">
        <v>79</v>
      </c>
      <c r="K772" s="3" t="s">
        <v>27</v>
      </c>
      <c r="L772" t="str">
        <f>IFERROR(VLOOKUP(D772,Products!$A$2:$F$61,3,FALSE()),"")</f>
        <v>Beauty</v>
      </c>
      <c r="M772" t="str">
        <f>IFERROR(VLOOKUP(E772,Sales_Reps!$A$2:$C$31,3,FALSE()),"")</f>
        <v>East</v>
      </c>
      <c r="N772">
        <f>IFERROR(VLOOKUP(D772,Products!$A$2:$F$61,4,FALSE()),"")</f>
        <v>1728</v>
      </c>
      <c r="O772" t="str">
        <f>IFERROR(VLOOKUP(C772,Customers!$A$2:$F$301,5,FALSE()),"")</f>
        <v>Retail</v>
      </c>
      <c r="P772">
        <f>IFERROR(VLOOKUP(C772,Customers!$A$2:$F$301,3,FALSE()),"")</f>
        <v>42</v>
      </c>
      <c r="Q772">
        <f t="shared" si="36"/>
        <v>0.48417910447761192</v>
      </c>
      <c r="R772">
        <f>IF(AND(COUNTIF($A$2:$A$2047,A772)&gt;1,COUNTIF($A$2:A772,A772)=1),1,0)</f>
        <v>0</v>
      </c>
      <c r="S772" t="b">
        <f>IFERROR(VLOOKUP(D772,Products!$A$2:$F$61,6,FALSE()),"")</f>
        <v>1</v>
      </c>
      <c r="T772" t="str">
        <f>IF(COUNTIF(Customers!$A$2:$A$301,C772)=0,"Missing","OK")</f>
        <v>OK</v>
      </c>
      <c r="U772" t="str">
        <f t="shared" si="37"/>
        <v>Pune</v>
      </c>
      <c r="V772">
        <f t="shared" si="38"/>
        <v>0</v>
      </c>
    </row>
    <row r="773" spans="1:22" ht="15" customHeight="1" x14ac:dyDescent="0.35">
      <c r="A773" s="3" t="s">
        <v>1181</v>
      </c>
      <c r="B773" s="4">
        <v>45347</v>
      </c>
      <c r="C773" s="3" t="s">
        <v>247</v>
      </c>
      <c r="D773" s="3" t="s">
        <v>294</v>
      </c>
      <c r="E773" s="3" t="s">
        <v>97</v>
      </c>
      <c r="F773" s="5">
        <v>7</v>
      </c>
      <c r="G773" s="5">
        <v>2510</v>
      </c>
      <c r="H773" s="5">
        <v>4.2</v>
      </c>
      <c r="I773" s="5">
        <v>16832.060000000001</v>
      </c>
      <c r="J773" s="3" t="s">
        <v>79</v>
      </c>
      <c r="K773" s="3" t="s">
        <v>27</v>
      </c>
      <c r="L773" t="str">
        <f>IFERROR(VLOOKUP(D773,Products!$A$2:$F$61,3,FALSE()),"")</f>
        <v>Apparel</v>
      </c>
      <c r="M773" t="str">
        <f>IFERROR(VLOOKUP(E773,Sales_Reps!$A$2:$C$31,3,FALSE()),"")</f>
        <v>East</v>
      </c>
      <c r="N773">
        <f>IFERROR(VLOOKUP(D773,Products!$A$2:$F$61,4,FALSE()),"")</f>
        <v>1075</v>
      </c>
      <c r="O773" t="str">
        <f>IFERROR(VLOOKUP(C773,Customers!$A$2:$F$301,5,FALSE()),"")</f>
        <v>SMB</v>
      </c>
      <c r="P773">
        <f>IFERROR(VLOOKUP(C773,Customers!$A$2:$F$301,3,FALSE()),"")</f>
        <v>54</v>
      </c>
      <c r="Q773">
        <f t="shared" si="36"/>
        <v>0.57171314741035861</v>
      </c>
      <c r="R773">
        <f>IF(AND(COUNTIF($A$2:$A$2047,A773)&gt;1,COUNTIF($A$2:A773,A773)=1),1,0)</f>
        <v>0</v>
      </c>
      <c r="S773" t="b">
        <f>IFERROR(VLOOKUP(D773,Products!$A$2:$F$61,6,FALSE()),"")</f>
        <v>0</v>
      </c>
      <c r="T773" t="str">
        <f>IF(COUNTIF(Customers!$A$2:$A$301,C773)=0,"Missing","OK")</f>
        <v>OK</v>
      </c>
      <c r="U773" t="str">
        <f t="shared" si="37"/>
        <v>Pune</v>
      </c>
      <c r="V773">
        <f t="shared" si="38"/>
        <v>0</v>
      </c>
    </row>
    <row r="774" spans="1:22" ht="15" customHeight="1" x14ac:dyDescent="0.35">
      <c r="A774" s="3" t="s">
        <v>1182</v>
      </c>
      <c r="B774" s="4">
        <v>45652</v>
      </c>
      <c r="C774" s="3" t="s">
        <v>102</v>
      </c>
      <c r="D774" s="3" t="s">
        <v>77</v>
      </c>
      <c r="E774" s="3" t="s">
        <v>242</v>
      </c>
      <c r="F774" s="5">
        <v>1</v>
      </c>
      <c r="G774" s="5">
        <v>2600</v>
      </c>
      <c r="H774" s="5">
        <v>2.2000000000000002</v>
      </c>
      <c r="I774" s="5">
        <v>2542.8000000000002</v>
      </c>
      <c r="J774" s="3" t="s">
        <v>26</v>
      </c>
      <c r="K774" s="3" t="s">
        <v>33</v>
      </c>
      <c r="L774" t="str">
        <f>IFERROR(VLOOKUP(D774,Products!$A$2:$F$61,3,FALSE()),"")</f>
        <v>Electronics</v>
      </c>
      <c r="M774" t="str">
        <f>IFERROR(VLOOKUP(E774,Sales_Reps!$A$2:$C$31,3,FALSE()),"")</f>
        <v>East</v>
      </c>
      <c r="N774">
        <f>IFERROR(VLOOKUP(D774,Products!$A$2:$F$61,4,FALSE()),"")</f>
        <v>1052</v>
      </c>
      <c r="O774" t="str">
        <f>IFERROR(VLOOKUP(C774,Customers!$A$2:$F$301,5,FALSE()),"")</f>
        <v>Retail</v>
      </c>
      <c r="P774">
        <f>IFERROR(VLOOKUP(C774,Customers!$A$2:$F$301,3,FALSE()),"")</f>
        <v>49</v>
      </c>
      <c r="Q774">
        <f t="shared" si="36"/>
        <v>0.5953846153846154</v>
      </c>
      <c r="R774">
        <f>IF(AND(COUNTIF($A$2:$A$2047,A774)&gt;1,COUNTIF($A$2:A774,A774)=1),1,0)</f>
        <v>0</v>
      </c>
      <c r="S774" t="b">
        <f>IFERROR(VLOOKUP(D774,Products!$A$2:$F$61,6,FALSE()),"")</f>
        <v>1</v>
      </c>
      <c r="T774" t="str">
        <f>IF(COUNTIF(Customers!$A$2:$A$301,C774)=0,"Missing","OK")</f>
        <v>OK</v>
      </c>
      <c r="U774" t="str">
        <f t="shared" si="37"/>
        <v>Chennai</v>
      </c>
      <c r="V774">
        <f t="shared" si="38"/>
        <v>0</v>
      </c>
    </row>
    <row r="775" spans="1:22" ht="15" customHeight="1" x14ac:dyDescent="0.35">
      <c r="A775" s="3" t="s">
        <v>1183</v>
      </c>
      <c r="B775" s="4">
        <v>45467</v>
      </c>
      <c r="C775" s="3" t="s">
        <v>368</v>
      </c>
      <c r="D775" s="3" t="s">
        <v>36</v>
      </c>
      <c r="E775" s="3" t="s">
        <v>87</v>
      </c>
      <c r="F775" s="5">
        <v>8</v>
      </c>
      <c r="G775" s="5">
        <v>470</v>
      </c>
      <c r="H775" s="5">
        <v>25.2</v>
      </c>
      <c r="I775" s="5">
        <v>2812.48</v>
      </c>
      <c r="J775" s="3" t="s">
        <v>26</v>
      </c>
      <c r="K775" s="3" t="s">
        <v>56</v>
      </c>
      <c r="L775" t="str">
        <f>IFERROR(VLOOKUP(D775,Products!$A$2:$F$61,3,FALSE()),"")</f>
        <v>Sports</v>
      </c>
      <c r="M775" t="str">
        <f>IFERROR(VLOOKUP(E775,Sales_Reps!$A$2:$C$31,3,FALSE()),"")</f>
        <v>North</v>
      </c>
      <c r="N775">
        <f>IFERROR(VLOOKUP(D775,Products!$A$2:$F$61,4,FALSE()),"")</f>
        <v>302</v>
      </c>
      <c r="O775" t="str">
        <f>IFERROR(VLOOKUP(C775,Customers!$A$2:$F$301,5,FALSE()),"")</f>
        <v>Retail</v>
      </c>
      <c r="P775">
        <f>IFERROR(VLOOKUP(C775,Customers!$A$2:$F$301,3,FALSE()),"")</f>
        <v>55</v>
      </c>
      <c r="Q775">
        <f t="shared" si="36"/>
        <v>0.35744680851063831</v>
      </c>
      <c r="R775">
        <f>IF(AND(COUNTIF($A$2:$A$2047,A775)&gt;1,COUNTIF($A$2:A775,A775)=1),1,0)</f>
        <v>0</v>
      </c>
      <c r="S775" t="b">
        <f>IFERROR(VLOOKUP(D775,Products!$A$2:$F$61,6,FALSE()),"")</f>
        <v>0</v>
      </c>
      <c r="T775" t="str">
        <f>IF(COUNTIF(Customers!$A$2:$A$301,C775)=0,"Missing","OK")</f>
        <v>OK</v>
      </c>
      <c r="U775" t="str">
        <f t="shared" si="37"/>
        <v>Bengaluru</v>
      </c>
      <c r="V775">
        <f t="shared" si="38"/>
        <v>0</v>
      </c>
    </row>
    <row r="776" spans="1:22" ht="15" customHeight="1" x14ac:dyDescent="0.35">
      <c r="A776" s="3" t="s">
        <v>1184</v>
      </c>
      <c r="B776" s="4">
        <v>45558</v>
      </c>
      <c r="C776" s="3" t="s">
        <v>136</v>
      </c>
      <c r="D776" s="3" t="s">
        <v>103</v>
      </c>
      <c r="E776" s="3" t="s">
        <v>264</v>
      </c>
      <c r="F776" s="5">
        <v>6</v>
      </c>
      <c r="G776" s="5">
        <v>1080</v>
      </c>
      <c r="H776" s="5">
        <v>25</v>
      </c>
      <c r="I776" s="5">
        <v>4860</v>
      </c>
      <c r="J776" s="3" t="s">
        <v>26</v>
      </c>
      <c r="K776" s="3" t="s">
        <v>27</v>
      </c>
      <c r="L776" t="str">
        <f>IFERROR(VLOOKUP(D776,Products!$A$2:$F$61,3,FALSE()),"")</f>
        <v>Home</v>
      </c>
      <c r="M776" t="str">
        <f>IFERROR(VLOOKUP(E776,Sales_Reps!$A$2:$C$31,3,FALSE()),"")</f>
        <v>South</v>
      </c>
      <c r="N776">
        <f>IFERROR(VLOOKUP(D776,Products!$A$2:$F$61,4,FALSE()),"")</f>
        <v>519</v>
      </c>
      <c r="O776" t="str">
        <f>IFERROR(VLOOKUP(C776,Customers!$A$2:$F$301,5,FALSE()),"")</f>
        <v>Corporate</v>
      </c>
      <c r="P776">
        <f>IFERROR(VLOOKUP(C776,Customers!$A$2:$F$301,3,FALSE()),"")</f>
        <v>47</v>
      </c>
      <c r="Q776">
        <f t="shared" si="36"/>
        <v>0.51944444444444449</v>
      </c>
      <c r="R776">
        <f>IF(AND(COUNTIF($A$2:$A$2047,A776)&gt;1,COUNTIF($A$2:A776,A776)=1),1,0)</f>
        <v>0</v>
      </c>
      <c r="S776" t="b">
        <f>IFERROR(VLOOKUP(D776,Products!$A$2:$F$61,6,FALSE()),"")</f>
        <v>1</v>
      </c>
      <c r="T776" t="str">
        <f>IF(COUNTIF(Customers!$A$2:$A$301,C776)=0,"Missing","OK")</f>
        <v>OK</v>
      </c>
      <c r="U776" t="str">
        <f t="shared" si="37"/>
        <v>Pune</v>
      </c>
      <c r="V776">
        <f t="shared" si="38"/>
        <v>0</v>
      </c>
    </row>
    <row r="777" spans="1:22" ht="15" customHeight="1" x14ac:dyDescent="0.35">
      <c r="A777" s="3" t="s">
        <v>1185</v>
      </c>
      <c r="B777" s="4">
        <v>45645</v>
      </c>
      <c r="C777" s="3" t="s">
        <v>23</v>
      </c>
      <c r="D777" s="3" t="s">
        <v>121</v>
      </c>
      <c r="E777" s="3" t="s">
        <v>60</v>
      </c>
      <c r="F777" s="5">
        <v>2</v>
      </c>
      <c r="G777" s="5">
        <v>1010</v>
      </c>
      <c r="H777" s="5">
        <v>16.100000000000001</v>
      </c>
      <c r="I777" s="5">
        <v>1694.78</v>
      </c>
      <c r="J777" s="3" t="s">
        <v>26</v>
      </c>
      <c r="K777" s="3" t="s">
        <v>27</v>
      </c>
      <c r="L777" t="str">
        <f>IFERROR(VLOOKUP(D777,Products!$A$2:$F$61,3,FALSE()),"")</f>
        <v>Sports</v>
      </c>
      <c r="M777" t="str">
        <f>IFERROR(VLOOKUP(E777,Sales_Reps!$A$2:$C$31,3,FALSE()),"")</f>
        <v>East</v>
      </c>
      <c r="N777">
        <f>IFERROR(VLOOKUP(D777,Products!$A$2:$F$61,4,FALSE()),"")</f>
        <v>516</v>
      </c>
      <c r="O777" t="str">
        <f>IFERROR(VLOOKUP(C777,Customers!$A$2:$F$301,5,FALSE()),"")</f>
        <v>SMB</v>
      </c>
      <c r="P777">
        <f>IFERROR(VLOOKUP(C777,Customers!$A$2:$F$301,3,FALSE()),"")</f>
        <v>44</v>
      </c>
      <c r="Q777">
        <f t="shared" si="36"/>
        <v>0.4891089108910891</v>
      </c>
      <c r="R777">
        <f>IF(AND(COUNTIF($A$2:$A$2047,A777)&gt;1,COUNTIF($A$2:A777,A777)=1),1,0)</f>
        <v>0</v>
      </c>
      <c r="S777" t="b">
        <f>IFERROR(VLOOKUP(D777,Products!$A$2:$F$61,6,FALSE()),"")</f>
        <v>1</v>
      </c>
      <c r="T777" t="str">
        <f>IF(COUNTIF(Customers!$A$2:$A$301,C777)=0,"Missing","OK")</f>
        <v>OK</v>
      </c>
      <c r="U777" t="str">
        <f t="shared" si="37"/>
        <v>Pune</v>
      </c>
      <c r="V777">
        <f t="shared" si="38"/>
        <v>0</v>
      </c>
    </row>
    <row r="778" spans="1:22" ht="15" customHeight="1" x14ac:dyDescent="0.35">
      <c r="A778" s="3" t="s">
        <v>1186</v>
      </c>
      <c r="B778" s="4">
        <v>45418</v>
      </c>
      <c r="C778" s="3" t="s">
        <v>664</v>
      </c>
      <c r="D778" s="3" t="s">
        <v>187</v>
      </c>
      <c r="E778" s="3" t="s">
        <v>236</v>
      </c>
      <c r="F778" s="5">
        <v>6</v>
      </c>
      <c r="G778" s="5">
        <v>3870</v>
      </c>
      <c r="H778" s="5">
        <v>22.4</v>
      </c>
      <c r="I778" s="5">
        <v>18018.72</v>
      </c>
      <c r="J778" s="3" t="s">
        <v>79</v>
      </c>
      <c r="K778" s="3" t="s">
        <v>38</v>
      </c>
      <c r="L778" t="str">
        <f>IFERROR(VLOOKUP(D778,Products!$A$2:$F$61,3,FALSE()),"")</f>
        <v>Electronics</v>
      </c>
      <c r="M778" t="str">
        <f>IFERROR(VLOOKUP(E778,Sales_Reps!$A$2:$C$31,3,FALSE()),"")</f>
        <v>North</v>
      </c>
      <c r="N778">
        <f>IFERROR(VLOOKUP(D778,Products!$A$2:$F$61,4,FALSE()),"")</f>
        <v>1559</v>
      </c>
      <c r="O778" t="str">
        <f>IFERROR(VLOOKUP(C778,Customers!$A$2:$F$301,5,FALSE()),"")</f>
        <v>SMB</v>
      </c>
      <c r="P778">
        <f>IFERROR(VLOOKUP(C778,Customers!$A$2:$F$301,3,FALSE()),"")</f>
        <v>26</v>
      </c>
      <c r="Q778">
        <f t="shared" si="36"/>
        <v>0.59715762273901807</v>
      </c>
      <c r="R778">
        <f>IF(AND(COUNTIF($A$2:$A$2047,A778)&gt;1,COUNTIF($A$2:A778,A778)=1),1,0)</f>
        <v>0</v>
      </c>
      <c r="S778" t="b">
        <f>IFERROR(VLOOKUP(D778,Products!$A$2:$F$61,6,FALSE()),"")</f>
        <v>1</v>
      </c>
      <c r="T778" t="str">
        <f>IF(COUNTIF(Customers!$A$2:$A$301,C778)=0,"Missing","OK")</f>
        <v>OK</v>
      </c>
      <c r="U778" t="str">
        <f t="shared" si="37"/>
        <v>Delhi</v>
      </c>
      <c r="V778">
        <f t="shared" si="38"/>
        <v>0</v>
      </c>
    </row>
    <row r="779" spans="1:22" ht="15" customHeight="1" x14ac:dyDescent="0.35">
      <c r="A779" s="3" t="s">
        <v>1187</v>
      </c>
      <c r="B779" s="4">
        <v>45655</v>
      </c>
      <c r="C779" s="3" t="s">
        <v>552</v>
      </c>
      <c r="D779" s="3" t="s">
        <v>234</v>
      </c>
      <c r="E779" s="3" t="s">
        <v>282</v>
      </c>
      <c r="F779" s="5">
        <v>3</v>
      </c>
      <c r="G779" s="5">
        <v>2030</v>
      </c>
      <c r="H779" s="5">
        <v>18.5</v>
      </c>
      <c r="I779" s="5">
        <v>4963.3500000000004</v>
      </c>
      <c r="J779" s="3" t="s">
        <v>26</v>
      </c>
      <c r="K779" s="3" t="s">
        <v>51</v>
      </c>
      <c r="L779" t="str">
        <f>IFERROR(VLOOKUP(D779,Products!$A$2:$F$61,3,FALSE()),"")</f>
        <v>Home</v>
      </c>
      <c r="M779" t="str">
        <f>IFERROR(VLOOKUP(E779,Sales_Reps!$A$2:$C$31,3,FALSE()),"")</f>
        <v>West</v>
      </c>
      <c r="N779">
        <f>IFERROR(VLOOKUP(D779,Products!$A$2:$F$61,4,FALSE()),"")</f>
        <v>1143</v>
      </c>
      <c r="O779" t="str">
        <f>IFERROR(VLOOKUP(C779,Customers!$A$2:$F$301,5,FALSE()),"")</f>
        <v>Retail</v>
      </c>
      <c r="P779">
        <f>IFERROR(VLOOKUP(C779,Customers!$A$2:$F$301,3,FALSE()),"")</f>
        <v>44</v>
      </c>
      <c r="Q779">
        <f t="shared" si="36"/>
        <v>0.43694581280788175</v>
      </c>
      <c r="R779">
        <f>IF(AND(COUNTIF($A$2:$A$2047,A779)&gt;1,COUNTIF($A$2:A779,A779)=1),1,0)</f>
        <v>0</v>
      </c>
      <c r="S779" t="b">
        <f>IFERROR(VLOOKUP(D779,Products!$A$2:$F$61,6,FALSE()),"")</f>
        <v>1</v>
      </c>
      <c r="T779" t="str">
        <f>IF(COUNTIF(Customers!$A$2:$A$301,C779)=0,"Missing","OK")</f>
        <v>OK</v>
      </c>
      <c r="U779" t="str">
        <f t="shared" si="37"/>
        <v>Mumbai</v>
      </c>
      <c r="V779">
        <f t="shared" si="38"/>
        <v>0</v>
      </c>
    </row>
    <row r="780" spans="1:22" ht="15" customHeight="1" x14ac:dyDescent="0.35">
      <c r="A780" s="3" t="s">
        <v>1188</v>
      </c>
      <c r="B780" s="4">
        <v>45540</v>
      </c>
      <c r="C780" s="3" t="s">
        <v>1189</v>
      </c>
      <c r="D780" s="3" t="s">
        <v>103</v>
      </c>
      <c r="E780" s="3" t="s">
        <v>282</v>
      </c>
      <c r="F780" s="5">
        <v>7</v>
      </c>
      <c r="G780" s="5">
        <v>1080</v>
      </c>
      <c r="H780" s="5">
        <v>6.8</v>
      </c>
      <c r="I780" s="5">
        <v>7045.92</v>
      </c>
      <c r="J780" s="3" t="s">
        <v>32</v>
      </c>
      <c r="K780" s="3" t="s">
        <v>27</v>
      </c>
      <c r="L780" t="str">
        <f>IFERROR(VLOOKUP(D780,Products!$A$2:$F$61,3,FALSE()),"")</f>
        <v>Home</v>
      </c>
      <c r="M780" t="str">
        <f>IFERROR(VLOOKUP(E780,Sales_Reps!$A$2:$C$31,3,FALSE()),"")</f>
        <v>West</v>
      </c>
      <c r="N780">
        <f>IFERROR(VLOOKUP(D780,Products!$A$2:$F$61,4,FALSE()),"")</f>
        <v>519</v>
      </c>
      <c r="O780" t="str">
        <f>IFERROR(VLOOKUP(C780,Customers!$A$2:$F$301,5,FALSE()),"")</f>
        <v>Retail</v>
      </c>
      <c r="P780">
        <f>IFERROR(VLOOKUP(C780,Customers!$A$2:$F$301,3,FALSE()),"")</f>
        <v>44</v>
      </c>
      <c r="Q780">
        <f t="shared" si="36"/>
        <v>0.51944444444444449</v>
      </c>
      <c r="R780">
        <f>IF(AND(COUNTIF($A$2:$A$2047,A780)&gt;1,COUNTIF($A$2:A780,A780)=1),1,0)</f>
        <v>0</v>
      </c>
      <c r="S780" t="b">
        <f>IFERROR(VLOOKUP(D780,Products!$A$2:$F$61,6,FALSE()),"")</f>
        <v>1</v>
      </c>
      <c r="T780" t="str">
        <f>IF(COUNTIF(Customers!$A$2:$A$301,C780)=0,"Missing","OK")</f>
        <v>OK</v>
      </c>
      <c r="U780" t="str">
        <f t="shared" si="37"/>
        <v>Pune</v>
      </c>
      <c r="V780">
        <f t="shared" si="38"/>
        <v>0</v>
      </c>
    </row>
    <row r="781" spans="1:22" ht="15" customHeight="1" x14ac:dyDescent="0.35">
      <c r="A781" s="3" t="s">
        <v>1190</v>
      </c>
      <c r="B781" s="4">
        <v>45609</v>
      </c>
      <c r="C781" s="3" t="s">
        <v>301</v>
      </c>
      <c r="D781" s="3" t="s">
        <v>441</v>
      </c>
      <c r="E781" s="3" t="s">
        <v>143</v>
      </c>
      <c r="F781" s="5">
        <v>1</v>
      </c>
      <c r="G781" s="5">
        <v>1090</v>
      </c>
      <c r="H781" s="5">
        <v>20.6</v>
      </c>
      <c r="I781" s="5">
        <v>865.46</v>
      </c>
      <c r="J781" s="3" t="s">
        <v>26</v>
      </c>
      <c r="K781" s="3" t="s">
        <v>33</v>
      </c>
      <c r="L781" t="str">
        <f>IFERROR(VLOOKUP(D781,Products!$A$2:$F$61,3,FALSE()),"")</f>
        <v>Home</v>
      </c>
      <c r="M781" t="str">
        <f>IFERROR(VLOOKUP(E781,Sales_Reps!$A$2:$C$31,3,FALSE()),"")</f>
        <v>South</v>
      </c>
      <c r="N781">
        <f>IFERROR(VLOOKUP(D781,Products!$A$2:$F$61,4,FALSE()),"")</f>
        <v>464</v>
      </c>
      <c r="O781" t="str">
        <f>IFERROR(VLOOKUP(C781,Customers!$A$2:$F$301,5,FALSE()),"")</f>
        <v>Corporate</v>
      </c>
      <c r="P781">
        <f>IFERROR(VLOOKUP(C781,Customers!$A$2:$F$301,3,FALSE()),"")</f>
        <v>51</v>
      </c>
      <c r="Q781">
        <f t="shared" si="36"/>
        <v>0.57431192660550456</v>
      </c>
      <c r="R781">
        <f>IF(AND(COUNTIF($A$2:$A$2047,A781)&gt;1,COUNTIF($A$2:A781,A781)=1),1,0)</f>
        <v>0</v>
      </c>
      <c r="S781" t="b">
        <f>IFERROR(VLOOKUP(D781,Products!$A$2:$F$61,6,FALSE()),"")</f>
        <v>1</v>
      </c>
      <c r="T781" t="str">
        <f>IF(COUNTIF(Customers!$A$2:$A$301,C781)=0,"Missing","OK")</f>
        <v>OK</v>
      </c>
      <c r="U781" t="str">
        <f t="shared" si="37"/>
        <v>Chennai</v>
      </c>
      <c r="V781">
        <f t="shared" si="38"/>
        <v>0</v>
      </c>
    </row>
    <row r="782" spans="1:22" ht="15" customHeight="1" x14ac:dyDescent="0.35">
      <c r="A782" s="3" t="s">
        <v>1191</v>
      </c>
      <c r="B782" s="4">
        <v>45528</v>
      </c>
      <c r="C782" s="3" t="s">
        <v>267</v>
      </c>
      <c r="D782" s="3" t="s">
        <v>49</v>
      </c>
      <c r="E782" s="3" t="s">
        <v>212</v>
      </c>
      <c r="F782" s="5">
        <v>8</v>
      </c>
      <c r="G782" s="5">
        <v>370</v>
      </c>
      <c r="H782" s="5">
        <v>1.7</v>
      </c>
      <c r="I782" s="5">
        <v>2909.68</v>
      </c>
      <c r="J782" s="3" t="s">
        <v>26</v>
      </c>
      <c r="K782" s="3" t="s">
        <v>33</v>
      </c>
      <c r="L782" t="str">
        <f>IFERROR(VLOOKUP(D782,Products!$A$2:$F$61,3,FALSE()),"")</f>
        <v>Home</v>
      </c>
      <c r="M782" t="str">
        <f>IFERROR(VLOOKUP(E782,Sales_Reps!$A$2:$C$31,3,FALSE()),"")</f>
        <v>South</v>
      </c>
      <c r="N782">
        <f>IFERROR(VLOOKUP(D782,Products!$A$2:$F$61,4,FALSE()),"")</f>
        <v>288</v>
      </c>
      <c r="O782" t="str">
        <f>IFERROR(VLOOKUP(C782,Customers!$A$2:$F$301,5,FALSE()),"")</f>
        <v>Retail</v>
      </c>
      <c r="P782">
        <f>IFERROR(VLOOKUP(C782,Customers!$A$2:$F$301,3,FALSE()),"")</f>
        <v>28</v>
      </c>
      <c r="Q782">
        <f t="shared" si="36"/>
        <v>0.22162162162162163</v>
      </c>
      <c r="R782">
        <f>IF(AND(COUNTIF($A$2:$A$2047,A782)&gt;1,COUNTIF($A$2:A782,A782)=1),1,0)</f>
        <v>0</v>
      </c>
      <c r="S782" t="b">
        <f>IFERROR(VLOOKUP(D782,Products!$A$2:$F$61,6,FALSE()),"")</f>
        <v>1</v>
      </c>
      <c r="T782" t="str">
        <f>IF(COUNTIF(Customers!$A$2:$A$301,C782)=0,"Missing","OK")</f>
        <v>OK</v>
      </c>
      <c r="U782" t="str">
        <f t="shared" si="37"/>
        <v>Chennai</v>
      </c>
      <c r="V782">
        <f t="shared" si="38"/>
        <v>0</v>
      </c>
    </row>
    <row r="783" spans="1:22" ht="15" customHeight="1" x14ac:dyDescent="0.35">
      <c r="A783" s="3" t="s">
        <v>1192</v>
      </c>
      <c r="B783" s="4">
        <v>45625</v>
      </c>
      <c r="C783" s="3" t="s">
        <v>990</v>
      </c>
      <c r="D783" s="3" t="s">
        <v>598</v>
      </c>
      <c r="E783" s="3" t="s">
        <v>242</v>
      </c>
      <c r="F783" s="5">
        <v>7</v>
      </c>
      <c r="G783" s="5">
        <v>3560</v>
      </c>
      <c r="H783" s="5">
        <v>28.7</v>
      </c>
      <c r="I783" s="5">
        <v>17767.96</v>
      </c>
      <c r="J783" s="3" t="s">
        <v>26</v>
      </c>
      <c r="K783" s="3" t="s">
        <v>51</v>
      </c>
      <c r="L783" t="str">
        <f>IFERROR(VLOOKUP(D783,Products!$A$2:$F$61,3,FALSE()),"")</f>
        <v>Apparel</v>
      </c>
      <c r="M783" t="str">
        <f>IFERROR(VLOOKUP(E783,Sales_Reps!$A$2:$C$31,3,FALSE()),"")</f>
        <v>East</v>
      </c>
      <c r="N783">
        <f>IFERROR(VLOOKUP(D783,Products!$A$2:$F$61,4,FALSE()),"")</f>
        <v>2629</v>
      </c>
      <c r="O783" t="str">
        <f>IFERROR(VLOOKUP(C783,Customers!$A$2:$F$301,5,FALSE()),"")</f>
        <v>Retail</v>
      </c>
      <c r="P783">
        <f>IFERROR(VLOOKUP(C783,Customers!$A$2:$F$301,3,FALSE()),"")</f>
        <v>54</v>
      </c>
      <c r="Q783">
        <f t="shared" si="36"/>
        <v>0.26151685393258428</v>
      </c>
      <c r="R783">
        <f>IF(AND(COUNTIF($A$2:$A$2047,A783)&gt;1,COUNTIF($A$2:A783,A783)=1),1,0)</f>
        <v>0</v>
      </c>
      <c r="S783" t="b">
        <f>IFERROR(VLOOKUP(D783,Products!$A$2:$F$61,6,FALSE()),"")</f>
        <v>1</v>
      </c>
      <c r="T783" t="str">
        <f>IF(COUNTIF(Customers!$A$2:$A$301,C783)=0,"Missing","OK")</f>
        <v>OK</v>
      </c>
      <c r="U783" t="str">
        <f t="shared" si="37"/>
        <v>Mumbai</v>
      </c>
      <c r="V783">
        <f t="shared" si="38"/>
        <v>0</v>
      </c>
    </row>
    <row r="784" spans="1:22" ht="15" customHeight="1" x14ac:dyDescent="0.35">
      <c r="A784" s="3" t="s">
        <v>1193</v>
      </c>
      <c r="B784" s="4">
        <v>45444</v>
      </c>
      <c r="C784" s="3" t="s">
        <v>498</v>
      </c>
      <c r="D784" s="3" t="s">
        <v>180</v>
      </c>
      <c r="E784" s="3" t="s">
        <v>285</v>
      </c>
      <c r="F784" s="5">
        <v>9</v>
      </c>
      <c r="G784" s="5">
        <v>6080</v>
      </c>
      <c r="H784" s="5">
        <v>16.3</v>
      </c>
      <c r="I784" s="5">
        <v>45800.639999999999</v>
      </c>
      <c r="J784" s="3" t="s">
        <v>79</v>
      </c>
      <c r="K784" s="3" t="s">
        <v>27</v>
      </c>
      <c r="L784" t="str">
        <f>IFERROR(VLOOKUP(D784,Products!$A$2:$F$61,3,FALSE()),"")</f>
        <v>Beauty</v>
      </c>
      <c r="M784" t="str">
        <f>IFERROR(VLOOKUP(E784,Sales_Reps!$A$2:$C$31,3,FALSE()),"")</f>
        <v>South</v>
      </c>
      <c r="N784">
        <f>IFERROR(VLOOKUP(D784,Products!$A$2:$F$61,4,FALSE()),"")</f>
        <v>2617</v>
      </c>
      <c r="O784" t="str">
        <f>IFERROR(VLOOKUP(C784,Customers!$A$2:$F$301,5,FALSE()),"")</f>
        <v>Retail</v>
      </c>
      <c r="P784">
        <f>IFERROR(VLOOKUP(C784,Customers!$A$2:$F$301,3,FALSE()),"")</f>
        <v>62</v>
      </c>
      <c r="Q784">
        <f t="shared" si="36"/>
        <v>0.56957236842105263</v>
      </c>
      <c r="R784">
        <f>IF(AND(COUNTIF($A$2:$A$2047,A784)&gt;1,COUNTIF($A$2:A784,A784)=1),1,0)</f>
        <v>0</v>
      </c>
      <c r="S784" t="b">
        <f>IFERROR(VLOOKUP(D784,Products!$A$2:$F$61,6,FALSE()),"")</f>
        <v>1</v>
      </c>
      <c r="T784" t="str">
        <f>IF(COUNTIF(Customers!$A$2:$A$301,C784)=0,"Missing","OK")</f>
        <v>OK</v>
      </c>
      <c r="U784" t="str">
        <f t="shared" si="37"/>
        <v>Pune</v>
      </c>
      <c r="V784">
        <f t="shared" si="38"/>
        <v>0</v>
      </c>
    </row>
    <row r="785" spans="1:22" ht="15" customHeight="1" x14ac:dyDescent="0.35">
      <c r="A785" s="3" t="s">
        <v>1194</v>
      </c>
      <c r="B785" s="4">
        <v>45505</v>
      </c>
      <c r="C785" s="3" t="s">
        <v>95</v>
      </c>
      <c r="D785" s="3" t="s">
        <v>100</v>
      </c>
      <c r="E785" s="3" t="s">
        <v>127</v>
      </c>
      <c r="F785" s="5">
        <v>2</v>
      </c>
      <c r="G785" s="5">
        <v>3450</v>
      </c>
      <c r="H785" s="5">
        <v>17.600000000000001</v>
      </c>
      <c r="I785" s="5">
        <v>5685.6</v>
      </c>
      <c r="J785" s="3" t="s">
        <v>32</v>
      </c>
      <c r="K785" s="3" t="s">
        <v>72</v>
      </c>
      <c r="L785" t="str">
        <f>IFERROR(VLOOKUP(D785,Products!$A$2:$F$61,3,FALSE()),"")</f>
        <v>Sports</v>
      </c>
      <c r="M785" t="str">
        <f>IFERROR(VLOOKUP(E785,Sales_Reps!$A$2:$C$31,3,FALSE()),"")</f>
        <v>South</v>
      </c>
      <c r="N785">
        <f>IFERROR(VLOOKUP(D785,Products!$A$2:$F$61,4,FALSE()),"")</f>
        <v>2467</v>
      </c>
      <c r="O785" t="str">
        <f>IFERROR(VLOOKUP(C785,Customers!$A$2:$F$301,5,FALSE()),"")</f>
        <v>Corporate</v>
      </c>
      <c r="P785">
        <f>IFERROR(VLOOKUP(C785,Customers!$A$2:$F$301,3,FALSE()),"")</f>
        <v>32</v>
      </c>
      <c r="Q785">
        <f t="shared" si="36"/>
        <v>0.28492753623188405</v>
      </c>
      <c r="R785">
        <f>IF(AND(COUNTIF($A$2:$A$2047,A785)&gt;1,COUNTIF($A$2:A785,A785)=1),1,0)</f>
        <v>0</v>
      </c>
      <c r="S785" t="b">
        <f>IFERROR(VLOOKUP(D785,Products!$A$2:$F$61,6,FALSE()),"")</f>
        <v>1</v>
      </c>
      <c r="T785" t="str">
        <f>IF(COUNTIF(Customers!$A$2:$A$301,C785)=0,"Missing","OK")</f>
        <v>OK</v>
      </c>
      <c r="U785" t="str">
        <f t="shared" si="37"/>
        <v>Hyderabad</v>
      </c>
      <c r="V785">
        <f t="shared" si="38"/>
        <v>0</v>
      </c>
    </row>
    <row r="786" spans="1:22" ht="15" customHeight="1" x14ac:dyDescent="0.35">
      <c r="A786" s="3" t="s">
        <v>1195</v>
      </c>
      <c r="B786" s="4">
        <v>45401</v>
      </c>
      <c r="C786" s="3" t="s">
        <v>156</v>
      </c>
      <c r="D786" s="3" t="s">
        <v>382</v>
      </c>
      <c r="E786" s="3" t="s">
        <v>143</v>
      </c>
      <c r="F786" s="5">
        <v>1</v>
      </c>
      <c r="G786" s="5">
        <v>5080</v>
      </c>
      <c r="H786" s="5">
        <v>5.9</v>
      </c>
      <c r="I786" s="5">
        <v>4780.28</v>
      </c>
      <c r="J786" s="3" t="s">
        <v>26</v>
      </c>
      <c r="K786" s="3" t="s">
        <v>33</v>
      </c>
      <c r="L786" t="str">
        <f>IFERROR(VLOOKUP(D786,Products!$A$2:$F$61,3,FALSE()),"")</f>
        <v>Home</v>
      </c>
      <c r="M786" t="str">
        <f>IFERROR(VLOOKUP(E786,Sales_Reps!$A$2:$C$31,3,FALSE()),"")</f>
        <v>South</v>
      </c>
      <c r="N786">
        <f>IFERROR(VLOOKUP(D786,Products!$A$2:$F$61,4,FALSE()),"")</f>
        <v>2459</v>
      </c>
      <c r="O786" t="str">
        <f>IFERROR(VLOOKUP(C786,Customers!$A$2:$F$301,5,FALSE()),"")</f>
        <v>Retail</v>
      </c>
      <c r="P786">
        <f>IFERROR(VLOOKUP(C786,Customers!$A$2:$F$301,3,FALSE()),"")</f>
        <v>51</v>
      </c>
      <c r="Q786">
        <f t="shared" si="36"/>
        <v>0.51594488188976373</v>
      </c>
      <c r="R786">
        <f>IF(AND(COUNTIF($A$2:$A$2047,A786)&gt;1,COUNTIF($A$2:A786,A786)=1),1,0)</f>
        <v>0</v>
      </c>
      <c r="S786" t="b">
        <f>IFERROR(VLOOKUP(D786,Products!$A$2:$F$61,6,FALSE()),"")</f>
        <v>1</v>
      </c>
      <c r="T786" t="str">
        <f>IF(COUNTIF(Customers!$A$2:$A$301,C786)=0,"Missing","OK")</f>
        <v>OK</v>
      </c>
      <c r="U786" t="str">
        <f t="shared" si="37"/>
        <v>Chennai</v>
      </c>
      <c r="V786">
        <f t="shared" si="38"/>
        <v>0</v>
      </c>
    </row>
    <row r="787" spans="1:22" ht="15" customHeight="1" x14ac:dyDescent="0.35">
      <c r="A787" s="3" t="s">
        <v>1196</v>
      </c>
      <c r="B787" s="4">
        <v>45364</v>
      </c>
      <c r="C787" s="3" t="s">
        <v>822</v>
      </c>
      <c r="D787" s="3" t="s">
        <v>391</v>
      </c>
      <c r="E787" s="3" t="s">
        <v>93</v>
      </c>
      <c r="F787" s="5">
        <v>7</v>
      </c>
      <c r="G787" s="5">
        <v>3450</v>
      </c>
      <c r="H787" s="5">
        <v>17.399999999999999</v>
      </c>
      <c r="I787" s="5">
        <v>19947.900000000001</v>
      </c>
      <c r="J787" s="3" t="s">
        <v>26</v>
      </c>
      <c r="K787" s="3" t="s">
        <v>72</v>
      </c>
      <c r="L787" t="str">
        <f>IFERROR(VLOOKUP(D787,Products!$A$2:$F$61,3,FALSE()),"")</f>
        <v>Apparel</v>
      </c>
      <c r="M787" t="str">
        <f>IFERROR(VLOOKUP(E787,Sales_Reps!$A$2:$C$31,3,FALSE()),"")</f>
        <v>East</v>
      </c>
      <c r="N787">
        <f>IFERROR(VLOOKUP(D787,Products!$A$2:$F$61,4,FALSE()),"")</f>
        <v>1748</v>
      </c>
      <c r="O787" t="str">
        <f>IFERROR(VLOOKUP(C787,Customers!$A$2:$F$301,5,FALSE()),"")</f>
        <v>SMB</v>
      </c>
      <c r="P787">
        <f>IFERROR(VLOOKUP(C787,Customers!$A$2:$F$301,3,FALSE()),"")</f>
        <v>28</v>
      </c>
      <c r="Q787">
        <f t="shared" si="36"/>
        <v>0.49333333333333335</v>
      </c>
      <c r="R787">
        <f>IF(AND(COUNTIF($A$2:$A$2047,A787)&gt;1,COUNTIF($A$2:A787,A787)=1),1,0)</f>
        <v>0</v>
      </c>
      <c r="S787" t="b">
        <f>IFERROR(VLOOKUP(D787,Products!$A$2:$F$61,6,FALSE()),"")</f>
        <v>1</v>
      </c>
      <c r="T787" t="str">
        <f>IF(COUNTIF(Customers!$A$2:$A$301,C787)=0,"Missing","OK")</f>
        <v>OK</v>
      </c>
      <c r="U787" t="str">
        <f t="shared" si="37"/>
        <v>Hyderabad</v>
      </c>
      <c r="V787">
        <f t="shared" si="38"/>
        <v>0</v>
      </c>
    </row>
    <row r="788" spans="1:22" ht="15" customHeight="1" x14ac:dyDescent="0.35">
      <c r="A788" s="3" t="s">
        <v>1197</v>
      </c>
      <c r="B788" s="4">
        <v>45403</v>
      </c>
      <c r="C788" s="3" t="s">
        <v>1111</v>
      </c>
      <c r="D788" s="3" t="s">
        <v>70</v>
      </c>
      <c r="E788" s="3" t="s">
        <v>143</v>
      </c>
      <c r="F788" s="5">
        <v>8</v>
      </c>
      <c r="G788" s="5">
        <v>2270</v>
      </c>
      <c r="H788" s="5">
        <v>24.7</v>
      </c>
      <c r="I788" s="5">
        <v>13674.48</v>
      </c>
      <c r="J788" s="3" t="s">
        <v>26</v>
      </c>
      <c r="K788" s="3" t="s">
        <v>27</v>
      </c>
      <c r="L788" t="str">
        <f>IFERROR(VLOOKUP(D788,Products!$A$2:$F$61,3,FALSE()),"")</f>
        <v>Grocery</v>
      </c>
      <c r="M788" t="str">
        <f>IFERROR(VLOOKUP(E788,Sales_Reps!$A$2:$C$31,3,FALSE()),"")</f>
        <v>South</v>
      </c>
      <c r="N788">
        <f>IFERROR(VLOOKUP(D788,Products!$A$2:$F$61,4,FALSE()),"")</f>
        <v>1203</v>
      </c>
      <c r="O788" t="str">
        <f>IFERROR(VLOOKUP(C788,Customers!$A$2:$F$301,5,FALSE()),"")</f>
        <v>Retail</v>
      </c>
      <c r="P788">
        <f>IFERROR(VLOOKUP(C788,Customers!$A$2:$F$301,3,FALSE()),"")</f>
        <v>39</v>
      </c>
      <c r="Q788">
        <f t="shared" si="36"/>
        <v>0.47004405286343615</v>
      </c>
      <c r="R788">
        <f>IF(AND(COUNTIF($A$2:$A$2047,A788)&gt;1,COUNTIF($A$2:A788,A788)=1),1,0)</f>
        <v>0</v>
      </c>
      <c r="S788" t="b">
        <f>IFERROR(VLOOKUP(D788,Products!$A$2:$F$61,6,FALSE()),"")</f>
        <v>1</v>
      </c>
      <c r="T788" t="str">
        <f>IF(COUNTIF(Customers!$A$2:$A$301,C788)=0,"Missing","OK")</f>
        <v>OK</v>
      </c>
      <c r="U788" t="str">
        <f t="shared" si="37"/>
        <v>Pune</v>
      </c>
      <c r="V788">
        <f t="shared" si="38"/>
        <v>0</v>
      </c>
    </row>
    <row r="789" spans="1:22" ht="15" customHeight="1" x14ac:dyDescent="0.35">
      <c r="A789" s="3" t="s">
        <v>1198</v>
      </c>
      <c r="B789" s="4">
        <v>45599</v>
      </c>
      <c r="C789" s="3" t="s">
        <v>23</v>
      </c>
      <c r="D789" s="3" t="s">
        <v>45</v>
      </c>
      <c r="E789" s="3" t="s">
        <v>93</v>
      </c>
      <c r="F789" s="5">
        <v>3</v>
      </c>
      <c r="G789" s="5">
        <v>3160</v>
      </c>
      <c r="H789" s="5">
        <v>1.5</v>
      </c>
      <c r="I789" s="5">
        <v>9337.7999999999993</v>
      </c>
      <c r="J789" s="3" t="s">
        <v>32</v>
      </c>
      <c r="K789" s="3" t="s">
        <v>27</v>
      </c>
      <c r="L789" t="str">
        <f>IFERROR(VLOOKUP(D789,Products!$A$2:$F$61,3,FALSE()),"")</f>
        <v>Apparel</v>
      </c>
      <c r="M789" t="str">
        <f>IFERROR(VLOOKUP(E789,Sales_Reps!$A$2:$C$31,3,FALSE()),"")</f>
        <v>East</v>
      </c>
      <c r="N789">
        <f>IFERROR(VLOOKUP(D789,Products!$A$2:$F$61,4,FALSE()),"")</f>
        <v>1886</v>
      </c>
      <c r="O789" t="str">
        <f>IFERROR(VLOOKUP(C789,Customers!$A$2:$F$301,5,FALSE()),"")</f>
        <v>SMB</v>
      </c>
      <c r="P789">
        <f>IFERROR(VLOOKUP(C789,Customers!$A$2:$F$301,3,FALSE()),"")</f>
        <v>44</v>
      </c>
      <c r="Q789">
        <f t="shared" si="36"/>
        <v>0.4031645569620253</v>
      </c>
      <c r="R789">
        <f>IF(AND(COUNTIF($A$2:$A$2047,A789)&gt;1,COUNTIF($A$2:A789,A789)=1),1,0)</f>
        <v>0</v>
      </c>
      <c r="S789" t="b">
        <f>IFERROR(VLOOKUP(D789,Products!$A$2:$F$61,6,FALSE()),"")</f>
        <v>1</v>
      </c>
      <c r="T789" t="str">
        <f>IF(COUNTIF(Customers!$A$2:$A$301,C789)=0,"Missing","OK")</f>
        <v>OK</v>
      </c>
      <c r="U789" t="str">
        <f t="shared" si="37"/>
        <v>Pune</v>
      </c>
      <c r="V789">
        <f t="shared" si="38"/>
        <v>0</v>
      </c>
    </row>
    <row r="790" spans="1:22" ht="15" customHeight="1" x14ac:dyDescent="0.35">
      <c r="A790" s="3" t="s">
        <v>1199</v>
      </c>
      <c r="B790" s="4">
        <v>45389</v>
      </c>
      <c r="C790" s="3" t="s">
        <v>1200</v>
      </c>
      <c r="D790" s="3" t="s">
        <v>118</v>
      </c>
      <c r="E790" s="3" t="s">
        <v>168</v>
      </c>
      <c r="F790" s="5">
        <v>6</v>
      </c>
      <c r="G790" s="5">
        <v>3350</v>
      </c>
      <c r="H790" s="5">
        <v>0.9</v>
      </c>
      <c r="I790" s="5">
        <v>19919.099999999999</v>
      </c>
      <c r="J790" s="3" t="s">
        <v>32</v>
      </c>
      <c r="K790" s="3" t="s">
        <v>56</v>
      </c>
      <c r="L790" t="str">
        <f>IFERROR(VLOOKUP(D790,Products!$A$2:$F$61,3,FALSE()),"")</f>
        <v>Beauty</v>
      </c>
      <c r="M790" t="str">
        <f>IFERROR(VLOOKUP(E790,Sales_Reps!$A$2:$C$31,3,FALSE()),"")</f>
        <v>West</v>
      </c>
      <c r="N790">
        <f>IFERROR(VLOOKUP(D790,Products!$A$2:$F$61,4,FALSE()),"")</f>
        <v>1728</v>
      </c>
      <c r="O790" t="str">
        <f>IFERROR(VLOOKUP(C790,Customers!$A$2:$F$301,5,FALSE()),"")</f>
        <v>Retail</v>
      </c>
      <c r="P790">
        <f>IFERROR(VLOOKUP(C790,Customers!$A$2:$F$301,3,FALSE()),"")</f>
        <v>54</v>
      </c>
      <c r="Q790">
        <f t="shared" si="36"/>
        <v>0.48417910447761192</v>
      </c>
      <c r="R790">
        <f>IF(AND(COUNTIF($A$2:$A$2047,A790)&gt;1,COUNTIF($A$2:A790,A790)=1),1,0)</f>
        <v>0</v>
      </c>
      <c r="S790" t="b">
        <f>IFERROR(VLOOKUP(D790,Products!$A$2:$F$61,6,FALSE()),"")</f>
        <v>1</v>
      </c>
      <c r="T790" t="str">
        <f>IF(COUNTIF(Customers!$A$2:$A$301,C790)=0,"Missing","OK")</f>
        <v>OK</v>
      </c>
      <c r="U790" t="str">
        <f t="shared" si="37"/>
        <v>Bengaluru</v>
      </c>
      <c r="V790">
        <f t="shared" si="38"/>
        <v>0</v>
      </c>
    </row>
    <row r="791" spans="1:22" ht="15" customHeight="1" x14ac:dyDescent="0.35">
      <c r="A791" s="3" t="s">
        <v>1201</v>
      </c>
      <c r="B791" s="4">
        <v>45506</v>
      </c>
      <c r="C791" s="3" t="s">
        <v>884</v>
      </c>
      <c r="D791" s="3" t="s">
        <v>115</v>
      </c>
      <c r="E791" s="3" t="s">
        <v>168</v>
      </c>
      <c r="F791" s="5">
        <v>7</v>
      </c>
      <c r="G791" s="5">
        <v>1650</v>
      </c>
      <c r="H791" s="5">
        <v>5.6</v>
      </c>
      <c r="I791" s="5">
        <v>10903.2</v>
      </c>
      <c r="J791" s="3" t="s">
        <v>83</v>
      </c>
      <c r="K791" s="3" t="s">
        <v>27</v>
      </c>
      <c r="L791" t="str">
        <f>IFERROR(VLOOKUP(D791,Products!$A$2:$F$61,3,FALSE()),"")</f>
        <v>Beauty</v>
      </c>
      <c r="M791" t="str">
        <f>IFERROR(VLOOKUP(E791,Sales_Reps!$A$2:$C$31,3,FALSE()),"")</f>
        <v>West</v>
      </c>
      <c r="N791">
        <f>IFERROR(VLOOKUP(D791,Products!$A$2:$F$61,4,FALSE()),"")</f>
        <v>1222</v>
      </c>
      <c r="O791" t="str">
        <f>IFERROR(VLOOKUP(C791,Customers!$A$2:$F$301,5,FALSE()),"")</f>
        <v>Retail</v>
      </c>
      <c r="P791">
        <f>IFERROR(VLOOKUP(C791,Customers!$A$2:$F$301,3,FALSE()),"")</f>
        <v>54</v>
      </c>
      <c r="Q791">
        <f t="shared" si="36"/>
        <v>0.2593939393939394</v>
      </c>
      <c r="R791">
        <f>IF(AND(COUNTIF($A$2:$A$2047,A791)&gt;1,COUNTIF($A$2:A791,A791)=1),1,0)</f>
        <v>0</v>
      </c>
      <c r="S791" t="b">
        <f>IFERROR(VLOOKUP(D791,Products!$A$2:$F$61,6,FALSE()),"")</f>
        <v>1</v>
      </c>
      <c r="T791" t="str">
        <f>IF(COUNTIF(Customers!$A$2:$A$301,C791)=0,"Missing","OK")</f>
        <v>OK</v>
      </c>
      <c r="U791" t="str">
        <f t="shared" si="37"/>
        <v>Pune</v>
      </c>
      <c r="V791">
        <f t="shared" si="38"/>
        <v>0</v>
      </c>
    </row>
    <row r="792" spans="1:22" ht="15" customHeight="1" x14ac:dyDescent="0.35">
      <c r="A792" s="3" t="s">
        <v>1202</v>
      </c>
      <c r="B792" s="4">
        <v>45402</v>
      </c>
      <c r="C792" s="3" t="s">
        <v>664</v>
      </c>
      <c r="D792" s="3" t="s">
        <v>63</v>
      </c>
      <c r="E792" s="3" t="s">
        <v>87</v>
      </c>
      <c r="F792" s="5">
        <v>1</v>
      </c>
      <c r="G792" s="5">
        <v>5490</v>
      </c>
      <c r="H792" s="5">
        <v>5.8</v>
      </c>
      <c r="I792" s="5">
        <v>5171.58</v>
      </c>
      <c r="J792" s="3" t="s">
        <v>26</v>
      </c>
      <c r="K792" s="3" t="s">
        <v>38</v>
      </c>
      <c r="L792" t="str">
        <f>IFERROR(VLOOKUP(D792,Products!$A$2:$F$61,3,FALSE()),"")</f>
        <v>Home</v>
      </c>
      <c r="M792" t="str">
        <f>IFERROR(VLOOKUP(E792,Sales_Reps!$A$2:$C$31,3,FALSE()),"")</f>
        <v>North</v>
      </c>
      <c r="N792">
        <f>IFERROR(VLOOKUP(D792,Products!$A$2:$F$61,4,FALSE()),"")</f>
        <v>2549</v>
      </c>
      <c r="O792" t="str">
        <f>IFERROR(VLOOKUP(C792,Customers!$A$2:$F$301,5,FALSE()),"")</f>
        <v>SMB</v>
      </c>
      <c r="P792">
        <f>IFERROR(VLOOKUP(C792,Customers!$A$2:$F$301,3,FALSE()),"")</f>
        <v>26</v>
      </c>
      <c r="Q792">
        <f t="shared" si="36"/>
        <v>0.53570127504553733</v>
      </c>
      <c r="R792">
        <f>IF(AND(COUNTIF($A$2:$A$2047,A792)&gt;1,COUNTIF($A$2:A792,A792)=1),1,0)</f>
        <v>0</v>
      </c>
      <c r="S792" t="b">
        <f>IFERROR(VLOOKUP(D792,Products!$A$2:$F$61,6,FALSE()),"")</f>
        <v>1</v>
      </c>
      <c r="T792" t="str">
        <f>IF(COUNTIF(Customers!$A$2:$A$301,C792)=0,"Missing","OK")</f>
        <v>OK</v>
      </c>
      <c r="U792" t="str">
        <f t="shared" si="37"/>
        <v>Delhi</v>
      </c>
      <c r="V792">
        <f t="shared" si="38"/>
        <v>0</v>
      </c>
    </row>
    <row r="793" spans="1:22" ht="15" customHeight="1" x14ac:dyDescent="0.35">
      <c r="A793" s="3" t="s">
        <v>1203</v>
      </c>
      <c r="B793" s="4">
        <v>45405</v>
      </c>
      <c r="C793" s="3" t="s">
        <v>89</v>
      </c>
      <c r="D793" s="3" t="s">
        <v>103</v>
      </c>
      <c r="E793" s="3" t="s">
        <v>55</v>
      </c>
      <c r="F793" s="5">
        <v>3</v>
      </c>
      <c r="G793" s="5">
        <v>1080</v>
      </c>
      <c r="H793" s="5">
        <v>20.9</v>
      </c>
      <c r="I793" s="5">
        <v>2562.84</v>
      </c>
      <c r="J793" s="3" t="s">
        <v>26</v>
      </c>
      <c r="K793" s="3" t="s">
        <v>27</v>
      </c>
      <c r="L793" t="str">
        <f>IFERROR(VLOOKUP(D793,Products!$A$2:$F$61,3,FALSE()),"")</f>
        <v>Home</v>
      </c>
      <c r="M793" t="str">
        <f>IFERROR(VLOOKUP(E793,Sales_Reps!$A$2:$C$31,3,FALSE()),"")</f>
        <v>West</v>
      </c>
      <c r="N793">
        <f>IFERROR(VLOOKUP(D793,Products!$A$2:$F$61,4,FALSE()),"")</f>
        <v>519</v>
      </c>
      <c r="O793" t="str">
        <f>IFERROR(VLOOKUP(C793,Customers!$A$2:$F$301,5,FALSE()),"")</f>
        <v>Retail</v>
      </c>
      <c r="P793">
        <f>IFERROR(VLOOKUP(C793,Customers!$A$2:$F$301,3,FALSE()),"")</f>
        <v>63</v>
      </c>
      <c r="Q793">
        <f t="shared" si="36"/>
        <v>0.51944444444444449</v>
      </c>
      <c r="R793">
        <f>IF(AND(COUNTIF($A$2:$A$2047,A793)&gt;1,COUNTIF($A$2:A793,A793)=1),1,0)</f>
        <v>0</v>
      </c>
      <c r="S793" t="b">
        <f>IFERROR(VLOOKUP(D793,Products!$A$2:$F$61,6,FALSE()),"")</f>
        <v>1</v>
      </c>
      <c r="T793" t="str">
        <f>IF(COUNTIF(Customers!$A$2:$A$301,C793)=0,"Missing","OK")</f>
        <v>OK</v>
      </c>
      <c r="U793" t="str">
        <f t="shared" si="37"/>
        <v>Pune</v>
      </c>
      <c r="V793">
        <f t="shared" si="38"/>
        <v>0</v>
      </c>
    </row>
    <row r="794" spans="1:22" ht="15" customHeight="1" x14ac:dyDescent="0.35">
      <c r="A794" s="3" t="s">
        <v>1204</v>
      </c>
      <c r="B794" s="4">
        <v>45434</v>
      </c>
      <c r="C794" s="3" t="s">
        <v>1205</v>
      </c>
      <c r="D794" s="3" t="s">
        <v>173</v>
      </c>
      <c r="E794" s="3" t="s">
        <v>242</v>
      </c>
      <c r="F794" s="5">
        <v>10</v>
      </c>
      <c r="G794" s="5">
        <v>3780</v>
      </c>
      <c r="H794" s="5">
        <v>5.5</v>
      </c>
      <c r="I794" s="5">
        <v>35721</v>
      </c>
      <c r="J794" s="3" t="s">
        <v>26</v>
      </c>
      <c r="K794" s="3" t="s">
        <v>72</v>
      </c>
      <c r="L794" t="str">
        <f>IFERROR(VLOOKUP(D794,Products!$A$2:$F$61,3,FALSE()),"")</f>
        <v>Grocery</v>
      </c>
      <c r="M794" t="str">
        <f>IFERROR(VLOOKUP(E794,Sales_Reps!$A$2:$C$31,3,FALSE()),"")</f>
        <v>East</v>
      </c>
      <c r="N794">
        <f>IFERROR(VLOOKUP(D794,Products!$A$2:$F$61,4,FALSE()),"")</f>
        <v>2436</v>
      </c>
      <c r="O794" t="str">
        <f>IFERROR(VLOOKUP(C794,Customers!$A$2:$F$301,5,FALSE()),"")</f>
        <v/>
      </c>
      <c r="P794" t="str">
        <f>IFERROR(VLOOKUP(C794,Customers!$A$2:$F$301,3,FALSE()),"")</f>
        <v/>
      </c>
      <c r="Q794">
        <f t="shared" si="36"/>
        <v>0.35555555555555557</v>
      </c>
      <c r="R794">
        <f>IF(AND(COUNTIF($A$2:$A$2047,A794)&gt;1,COUNTIF($A$2:A794,A794)=1),1,0)</f>
        <v>0</v>
      </c>
      <c r="S794" t="b">
        <f>IFERROR(VLOOKUP(D794,Products!$A$2:$F$61,6,FALSE()),"")</f>
        <v>1</v>
      </c>
      <c r="T794" t="str">
        <f>IF(COUNTIF(Customers!$A$2:$A$301,C794)=0,"Missing","OK")</f>
        <v>Missing</v>
      </c>
      <c r="U794" t="str">
        <f t="shared" si="37"/>
        <v>Hyderabad</v>
      </c>
      <c r="V794">
        <f t="shared" si="38"/>
        <v>0</v>
      </c>
    </row>
    <row r="795" spans="1:22" ht="15" customHeight="1" x14ac:dyDescent="0.35">
      <c r="A795" s="3" t="s">
        <v>1206</v>
      </c>
      <c r="B795" s="4">
        <v>45558</v>
      </c>
      <c r="C795" s="3" t="s">
        <v>147</v>
      </c>
      <c r="D795" s="3" t="s">
        <v>234</v>
      </c>
      <c r="E795" s="3" t="s">
        <v>109</v>
      </c>
      <c r="F795" s="5">
        <v>2</v>
      </c>
      <c r="G795" s="5">
        <v>2030</v>
      </c>
      <c r="H795" s="5">
        <v>2</v>
      </c>
      <c r="I795" s="5">
        <v>3978.8</v>
      </c>
      <c r="J795" s="3" t="s">
        <v>32</v>
      </c>
      <c r="K795" s="3" t="s">
        <v>72</v>
      </c>
      <c r="L795" t="str">
        <f>IFERROR(VLOOKUP(D795,Products!$A$2:$F$61,3,FALSE()),"")</f>
        <v>Home</v>
      </c>
      <c r="M795" t="str">
        <f>IFERROR(VLOOKUP(E795,Sales_Reps!$A$2:$C$31,3,FALSE()),"")</f>
        <v>West</v>
      </c>
      <c r="N795">
        <f>IFERROR(VLOOKUP(D795,Products!$A$2:$F$61,4,FALSE()),"")</f>
        <v>1143</v>
      </c>
      <c r="O795" t="str">
        <f>IFERROR(VLOOKUP(C795,Customers!$A$2:$F$301,5,FALSE()),"")</f>
        <v>Retail</v>
      </c>
      <c r="P795">
        <f>IFERROR(VLOOKUP(C795,Customers!$A$2:$F$301,3,FALSE()),"")</f>
        <v>26</v>
      </c>
      <c r="Q795">
        <f t="shared" si="36"/>
        <v>0.43694581280788175</v>
      </c>
      <c r="R795">
        <f>IF(AND(COUNTIF($A$2:$A$2047,A795)&gt;1,COUNTIF($A$2:A795,A795)=1),1,0)</f>
        <v>0</v>
      </c>
      <c r="S795" t="b">
        <f>IFERROR(VLOOKUP(D795,Products!$A$2:$F$61,6,FALSE()),"")</f>
        <v>1</v>
      </c>
      <c r="T795" t="str">
        <f>IF(COUNTIF(Customers!$A$2:$A$301,C795)=0,"Missing","OK")</f>
        <v>OK</v>
      </c>
      <c r="U795" t="str">
        <f t="shared" si="37"/>
        <v>Hyderabad</v>
      </c>
      <c r="V795">
        <f t="shared" si="38"/>
        <v>0</v>
      </c>
    </row>
    <row r="796" spans="1:22" ht="15" customHeight="1" x14ac:dyDescent="0.35">
      <c r="A796" s="3" t="s">
        <v>1207</v>
      </c>
      <c r="B796" s="4">
        <v>45582</v>
      </c>
      <c r="C796" s="3" t="s">
        <v>506</v>
      </c>
      <c r="D796" s="3" t="s">
        <v>198</v>
      </c>
      <c r="E796" s="3" t="s">
        <v>60</v>
      </c>
      <c r="F796" s="5">
        <v>8</v>
      </c>
      <c r="G796" s="5">
        <v>1540</v>
      </c>
      <c r="H796" s="5">
        <v>9</v>
      </c>
      <c r="I796" s="5">
        <v>11211.2</v>
      </c>
      <c r="J796" s="3" t="s">
        <v>79</v>
      </c>
      <c r="K796" s="3" t="s">
        <v>56</v>
      </c>
      <c r="L796" t="str">
        <f>IFERROR(VLOOKUP(D796,Products!$A$2:$F$61,3,FALSE()),"")</f>
        <v>Beauty</v>
      </c>
      <c r="M796" t="str">
        <f>IFERROR(VLOOKUP(E796,Sales_Reps!$A$2:$C$31,3,FALSE()),"")</f>
        <v>East</v>
      </c>
      <c r="N796">
        <f>IFERROR(VLOOKUP(D796,Products!$A$2:$F$61,4,FALSE()),"")</f>
        <v>647</v>
      </c>
      <c r="O796" t="str">
        <f>IFERROR(VLOOKUP(C796,Customers!$A$2:$F$301,5,FALSE()),"")</f>
        <v>Corporate</v>
      </c>
      <c r="P796">
        <f>IFERROR(VLOOKUP(C796,Customers!$A$2:$F$301,3,FALSE()),"")</f>
        <v>41</v>
      </c>
      <c r="Q796">
        <f t="shared" si="36"/>
        <v>0.57987012987012987</v>
      </c>
      <c r="R796">
        <f>IF(AND(COUNTIF($A$2:$A$2047,A796)&gt;1,COUNTIF($A$2:A796,A796)=1),1,0)</f>
        <v>0</v>
      </c>
      <c r="S796" t="b">
        <f>IFERROR(VLOOKUP(D796,Products!$A$2:$F$61,6,FALSE()),"")</f>
        <v>0</v>
      </c>
      <c r="T796" t="str">
        <f>IF(COUNTIF(Customers!$A$2:$A$301,C796)=0,"Missing","OK")</f>
        <v>OK</v>
      </c>
      <c r="U796" t="str">
        <f t="shared" si="37"/>
        <v>Bengaluru</v>
      </c>
      <c r="V796">
        <f t="shared" si="38"/>
        <v>0</v>
      </c>
    </row>
    <row r="797" spans="1:22" ht="15" customHeight="1" x14ac:dyDescent="0.35">
      <c r="A797" s="3" t="s">
        <v>1208</v>
      </c>
      <c r="B797" s="4">
        <v>45601</v>
      </c>
      <c r="C797" s="3" t="s">
        <v>65</v>
      </c>
      <c r="D797" s="3" t="s">
        <v>82</v>
      </c>
      <c r="E797" s="3" t="s">
        <v>127</v>
      </c>
      <c r="F797" s="5">
        <v>9</v>
      </c>
      <c r="G797" s="5">
        <v>3250</v>
      </c>
      <c r="H797" s="5">
        <v>20.5</v>
      </c>
      <c r="I797" s="5">
        <v>23253.75</v>
      </c>
      <c r="J797" s="3" t="s">
        <v>26</v>
      </c>
      <c r="K797" s="3" t="s">
        <v>27</v>
      </c>
      <c r="L797" t="str">
        <f>IFERROR(VLOOKUP(D797,Products!$A$2:$F$61,3,FALSE()),"")</f>
        <v>Home</v>
      </c>
      <c r="M797" t="str">
        <f>IFERROR(VLOOKUP(E797,Sales_Reps!$A$2:$C$31,3,FALSE()),"")</f>
        <v>South</v>
      </c>
      <c r="N797">
        <f>IFERROR(VLOOKUP(D797,Products!$A$2:$F$61,4,FALSE()),"")</f>
        <v>1556</v>
      </c>
      <c r="O797" t="str">
        <f>IFERROR(VLOOKUP(C797,Customers!$A$2:$F$301,5,FALSE()),"")</f>
        <v>Retail</v>
      </c>
      <c r="P797">
        <f>IFERROR(VLOOKUP(C797,Customers!$A$2:$F$301,3,FALSE()),"")</f>
        <v>56</v>
      </c>
      <c r="Q797">
        <f t="shared" si="36"/>
        <v>0.52123076923076928</v>
      </c>
      <c r="R797">
        <f>IF(AND(COUNTIF($A$2:$A$2047,A797)&gt;1,COUNTIF($A$2:A797,A797)=1),1,0)</f>
        <v>0</v>
      </c>
      <c r="S797" t="b">
        <f>IFERROR(VLOOKUP(D797,Products!$A$2:$F$61,6,FALSE()),"")</f>
        <v>1</v>
      </c>
      <c r="T797" t="str">
        <f>IF(COUNTIF(Customers!$A$2:$A$301,C797)=0,"Missing","OK")</f>
        <v>OK</v>
      </c>
      <c r="U797" t="str">
        <f t="shared" si="37"/>
        <v>Pune</v>
      </c>
      <c r="V797">
        <f t="shared" si="38"/>
        <v>0</v>
      </c>
    </row>
    <row r="798" spans="1:22" ht="15" customHeight="1" x14ac:dyDescent="0.35">
      <c r="A798" s="3" t="s">
        <v>1209</v>
      </c>
      <c r="B798" s="4">
        <v>45344</v>
      </c>
      <c r="C798" s="3" t="s">
        <v>338</v>
      </c>
      <c r="D798" s="3" t="s">
        <v>96</v>
      </c>
      <c r="E798" s="3" t="s">
        <v>31</v>
      </c>
      <c r="F798" s="5">
        <v>3</v>
      </c>
      <c r="G798" s="5">
        <v>3450</v>
      </c>
      <c r="H798" s="5">
        <v>17.899999999999999</v>
      </c>
      <c r="I798" s="5">
        <v>8497.35</v>
      </c>
      <c r="J798" s="3" t="s">
        <v>26</v>
      </c>
      <c r="K798" s="3" t="s">
        <v>38</v>
      </c>
      <c r="L798" t="str">
        <f>IFERROR(VLOOKUP(D798,Products!$A$2:$F$61,3,FALSE()),"")</f>
        <v>Beauty</v>
      </c>
      <c r="M798" t="str">
        <f>IFERROR(VLOOKUP(E798,Sales_Reps!$A$2:$C$31,3,FALSE()),"")</f>
        <v>North</v>
      </c>
      <c r="N798">
        <f>IFERROR(VLOOKUP(D798,Products!$A$2:$F$61,4,FALSE()),"")</f>
        <v>2420</v>
      </c>
      <c r="O798" t="str">
        <f>IFERROR(VLOOKUP(C798,Customers!$A$2:$F$301,5,FALSE()),"")</f>
        <v>SMB</v>
      </c>
      <c r="P798">
        <f>IFERROR(VLOOKUP(C798,Customers!$A$2:$F$301,3,FALSE()),"")</f>
        <v>53</v>
      </c>
      <c r="Q798">
        <f t="shared" si="36"/>
        <v>0.29855072463768118</v>
      </c>
      <c r="R798">
        <f>IF(AND(COUNTIF($A$2:$A$2047,A798)&gt;1,COUNTIF($A$2:A798,A798)=1),1,0)</f>
        <v>0</v>
      </c>
      <c r="S798" t="b">
        <f>IFERROR(VLOOKUP(D798,Products!$A$2:$F$61,6,FALSE()),"")</f>
        <v>1</v>
      </c>
      <c r="T798" t="str">
        <f>IF(COUNTIF(Customers!$A$2:$A$301,C798)=0,"Missing","OK")</f>
        <v>OK</v>
      </c>
      <c r="U798" t="str">
        <f t="shared" si="37"/>
        <v>Delhi</v>
      </c>
      <c r="V798">
        <f t="shared" si="38"/>
        <v>0</v>
      </c>
    </row>
    <row r="799" spans="1:22" ht="15" customHeight="1" x14ac:dyDescent="0.35">
      <c r="A799" s="3" t="s">
        <v>1210</v>
      </c>
      <c r="B799" s="4">
        <v>45504</v>
      </c>
      <c r="C799" s="3" t="s">
        <v>344</v>
      </c>
      <c r="D799" s="3" t="s">
        <v>63</v>
      </c>
      <c r="E799" s="3" t="s">
        <v>46</v>
      </c>
      <c r="F799" s="5">
        <v>5</v>
      </c>
      <c r="G799" s="5">
        <v>5490</v>
      </c>
      <c r="H799" s="5">
        <v>7.9</v>
      </c>
      <c r="I799" s="5">
        <v>25281.45</v>
      </c>
      <c r="J799" s="3" t="s">
        <v>26</v>
      </c>
      <c r="K799" s="3" t="s">
        <v>33</v>
      </c>
      <c r="L799" t="str">
        <f>IFERROR(VLOOKUP(D799,Products!$A$2:$F$61,3,FALSE()),"")</f>
        <v>Home</v>
      </c>
      <c r="M799" t="str">
        <f>IFERROR(VLOOKUP(E799,Sales_Reps!$A$2:$C$31,3,FALSE()),"")</f>
        <v>North</v>
      </c>
      <c r="N799">
        <f>IFERROR(VLOOKUP(D799,Products!$A$2:$F$61,4,FALSE()),"")</f>
        <v>2549</v>
      </c>
      <c r="O799" t="str">
        <f>IFERROR(VLOOKUP(C799,Customers!$A$2:$F$301,5,FALSE()),"")</f>
        <v>Corporate</v>
      </c>
      <c r="P799">
        <f>IFERROR(VLOOKUP(C799,Customers!$A$2:$F$301,3,FALSE()),"")</f>
        <v>24</v>
      </c>
      <c r="Q799">
        <f t="shared" si="36"/>
        <v>0.53570127504553733</v>
      </c>
      <c r="R799">
        <f>IF(AND(COUNTIF($A$2:$A$2047,A799)&gt;1,COUNTIF($A$2:A799,A799)=1),1,0)</f>
        <v>0</v>
      </c>
      <c r="S799" t="b">
        <f>IFERROR(VLOOKUP(D799,Products!$A$2:$F$61,6,FALSE()),"")</f>
        <v>1</v>
      </c>
      <c r="T799" t="str">
        <f>IF(COUNTIF(Customers!$A$2:$A$301,C799)=0,"Missing","OK")</f>
        <v>OK</v>
      </c>
      <c r="U799" t="str">
        <f t="shared" si="37"/>
        <v>Chennai</v>
      </c>
      <c r="V799">
        <f t="shared" si="38"/>
        <v>0</v>
      </c>
    </row>
    <row r="800" spans="1:22" ht="15" customHeight="1" x14ac:dyDescent="0.35">
      <c r="A800" s="3" t="s">
        <v>1211</v>
      </c>
      <c r="B800" s="4">
        <v>45306</v>
      </c>
      <c r="C800" s="3" t="s">
        <v>565</v>
      </c>
      <c r="D800" s="3" t="s">
        <v>49</v>
      </c>
      <c r="E800" s="3" t="s">
        <v>168</v>
      </c>
      <c r="F800" s="5">
        <v>3</v>
      </c>
      <c r="G800" s="5">
        <v>370</v>
      </c>
      <c r="H800" s="5">
        <v>13.4</v>
      </c>
      <c r="I800" s="5">
        <v>961.26</v>
      </c>
      <c r="J800" s="3" t="s">
        <v>26</v>
      </c>
      <c r="K800" s="3" t="s">
        <v>38</v>
      </c>
      <c r="L800" t="str">
        <f>IFERROR(VLOOKUP(D800,Products!$A$2:$F$61,3,FALSE()),"")</f>
        <v>Home</v>
      </c>
      <c r="M800" t="str">
        <f>IFERROR(VLOOKUP(E800,Sales_Reps!$A$2:$C$31,3,FALSE()),"")</f>
        <v>West</v>
      </c>
      <c r="N800">
        <f>IFERROR(VLOOKUP(D800,Products!$A$2:$F$61,4,FALSE()),"")</f>
        <v>288</v>
      </c>
      <c r="O800" t="str">
        <f>IFERROR(VLOOKUP(C800,Customers!$A$2:$F$301,5,FALSE()),"")</f>
        <v>Retail</v>
      </c>
      <c r="P800">
        <f>IFERROR(VLOOKUP(C800,Customers!$A$2:$F$301,3,FALSE()),"")</f>
        <v>40</v>
      </c>
      <c r="Q800">
        <f t="shared" si="36"/>
        <v>0.22162162162162163</v>
      </c>
      <c r="R800">
        <f>IF(AND(COUNTIF($A$2:$A$2047,A800)&gt;1,COUNTIF($A$2:A800,A800)=1),1,0)</f>
        <v>0</v>
      </c>
      <c r="S800" t="b">
        <f>IFERROR(VLOOKUP(D800,Products!$A$2:$F$61,6,FALSE()),"")</f>
        <v>1</v>
      </c>
      <c r="T800" t="str">
        <f>IF(COUNTIF(Customers!$A$2:$A$301,C800)=0,"Missing","OK")</f>
        <v>OK</v>
      </c>
      <c r="U800" t="str">
        <f t="shared" si="37"/>
        <v>Delhi</v>
      </c>
      <c r="V800">
        <f t="shared" si="38"/>
        <v>0</v>
      </c>
    </row>
    <row r="801" spans="1:22" ht="15" customHeight="1" x14ac:dyDescent="0.35">
      <c r="A801" s="3" t="s">
        <v>1212</v>
      </c>
      <c r="B801" s="4">
        <v>45413</v>
      </c>
      <c r="C801" s="3" t="s">
        <v>317</v>
      </c>
      <c r="D801" s="3" t="s">
        <v>303</v>
      </c>
      <c r="E801" s="3" t="s">
        <v>143</v>
      </c>
      <c r="F801" s="5">
        <v>7</v>
      </c>
      <c r="G801" s="5">
        <v>5330</v>
      </c>
      <c r="H801" s="5">
        <v>29.7</v>
      </c>
      <c r="I801" s="5">
        <v>26228.93</v>
      </c>
      <c r="J801" s="3" t="s">
        <v>32</v>
      </c>
      <c r="K801" s="3" t="s">
        <v>33</v>
      </c>
      <c r="L801" t="str">
        <f>IFERROR(VLOOKUP(D801,Products!$A$2:$F$61,3,FALSE()),"")</f>
        <v>Electronics</v>
      </c>
      <c r="M801" t="str">
        <f>IFERROR(VLOOKUP(E801,Sales_Reps!$A$2:$C$31,3,FALSE()),"")</f>
        <v>South</v>
      </c>
      <c r="N801">
        <f>IFERROR(VLOOKUP(D801,Products!$A$2:$F$61,4,FALSE()),"")</f>
        <v>2405</v>
      </c>
      <c r="O801" t="str">
        <f>IFERROR(VLOOKUP(C801,Customers!$A$2:$F$301,5,FALSE()),"")</f>
        <v>SMB</v>
      </c>
      <c r="P801">
        <f>IFERROR(VLOOKUP(C801,Customers!$A$2:$F$301,3,FALSE()),"")</f>
        <v>53</v>
      </c>
      <c r="Q801">
        <f t="shared" si="36"/>
        <v>0.54878048780487809</v>
      </c>
      <c r="R801">
        <f>IF(AND(COUNTIF($A$2:$A$2047,A801)&gt;1,COUNTIF($A$2:A801,A801)=1),1,0)</f>
        <v>0</v>
      </c>
      <c r="S801" t="b">
        <f>IFERROR(VLOOKUP(D801,Products!$A$2:$F$61,6,FALSE()),"")</f>
        <v>1</v>
      </c>
      <c r="T801" t="str">
        <f>IF(COUNTIF(Customers!$A$2:$A$301,C801)=0,"Missing","OK")</f>
        <v>OK</v>
      </c>
      <c r="U801" t="str">
        <f t="shared" si="37"/>
        <v>Chennai</v>
      </c>
      <c r="V801">
        <f t="shared" si="38"/>
        <v>0</v>
      </c>
    </row>
    <row r="802" spans="1:22" ht="15" customHeight="1" x14ac:dyDescent="0.35">
      <c r="A802" s="3" t="s">
        <v>1213</v>
      </c>
      <c r="B802" s="4">
        <v>45368</v>
      </c>
      <c r="C802" s="3" t="s">
        <v>1004</v>
      </c>
      <c r="D802" s="3" t="s">
        <v>100</v>
      </c>
      <c r="E802" s="3" t="s">
        <v>285</v>
      </c>
      <c r="F802" s="5">
        <v>8</v>
      </c>
      <c r="G802" s="5">
        <v>3450</v>
      </c>
      <c r="H802" s="5">
        <v>23.7</v>
      </c>
      <c r="I802" s="5">
        <v>21058.799999999999</v>
      </c>
      <c r="J802" s="3" t="s">
        <v>26</v>
      </c>
      <c r="K802" s="3" t="s">
        <v>33</v>
      </c>
      <c r="L802" t="str">
        <f>IFERROR(VLOOKUP(D802,Products!$A$2:$F$61,3,FALSE()),"")</f>
        <v>Sports</v>
      </c>
      <c r="M802" t="str">
        <f>IFERROR(VLOOKUP(E802,Sales_Reps!$A$2:$C$31,3,FALSE()),"")</f>
        <v>South</v>
      </c>
      <c r="N802">
        <f>IFERROR(VLOOKUP(D802,Products!$A$2:$F$61,4,FALSE()),"")</f>
        <v>2467</v>
      </c>
      <c r="O802" t="str">
        <f>IFERROR(VLOOKUP(C802,Customers!$A$2:$F$301,5,FALSE()),"")</f>
        <v>Retail</v>
      </c>
      <c r="P802">
        <f>IFERROR(VLOOKUP(C802,Customers!$A$2:$F$301,3,FALSE()),"")</f>
        <v>49</v>
      </c>
      <c r="Q802">
        <f t="shared" si="36"/>
        <v>0.28492753623188405</v>
      </c>
      <c r="R802">
        <f>IF(AND(COUNTIF($A$2:$A$2047,A802)&gt;1,COUNTIF($A$2:A802,A802)=1),1,0)</f>
        <v>0</v>
      </c>
      <c r="S802" t="b">
        <f>IFERROR(VLOOKUP(D802,Products!$A$2:$F$61,6,FALSE()),"")</f>
        <v>1</v>
      </c>
      <c r="T802" t="str">
        <f>IF(COUNTIF(Customers!$A$2:$A$301,C802)=0,"Missing","OK")</f>
        <v>OK</v>
      </c>
      <c r="U802" t="str">
        <f t="shared" si="37"/>
        <v>Chennai</v>
      </c>
      <c r="V802">
        <f t="shared" si="38"/>
        <v>0</v>
      </c>
    </row>
    <row r="803" spans="1:22" ht="15" customHeight="1" x14ac:dyDescent="0.35">
      <c r="A803" s="3" t="s">
        <v>1214</v>
      </c>
      <c r="B803" s="4">
        <v>45316</v>
      </c>
      <c r="C803" s="3" t="s">
        <v>301</v>
      </c>
      <c r="D803" s="3" t="s">
        <v>391</v>
      </c>
      <c r="E803" s="3" t="s">
        <v>282</v>
      </c>
      <c r="F803" s="5">
        <v>8</v>
      </c>
      <c r="G803" s="5">
        <v>3450</v>
      </c>
      <c r="H803" s="5">
        <v>5.4</v>
      </c>
      <c r="I803" s="5">
        <v>26109.599999999999</v>
      </c>
      <c r="J803" s="3" t="s">
        <v>26</v>
      </c>
      <c r="K803" s="3" t="s">
        <v>33</v>
      </c>
      <c r="L803" t="str">
        <f>IFERROR(VLOOKUP(D803,Products!$A$2:$F$61,3,FALSE()),"")</f>
        <v>Apparel</v>
      </c>
      <c r="M803" t="str">
        <f>IFERROR(VLOOKUP(E803,Sales_Reps!$A$2:$C$31,3,FALSE()),"")</f>
        <v>West</v>
      </c>
      <c r="N803">
        <f>IFERROR(VLOOKUP(D803,Products!$A$2:$F$61,4,FALSE()),"")</f>
        <v>1748</v>
      </c>
      <c r="O803" t="str">
        <f>IFERROR(VLOOKUP(C803,Customers!$A$2:$F$301,5,FALSE()),"")</f>
        <v>Corporate</v>
      </c>
      <c r="P803">
        <f>IFERROR(VLOOKUP(C803,Customers!$A$2:$F$301,3,FALSE()),"")</f>
        <v>51</v>
      </c>
      <c r="Q803">
        <f t="shared" si="36"/>
        <v>0.49333333333333335</v>
      </c>
      <c r="R803">
        <f>IF(AND(COUNTIF($A$2:$A$2047,A803)&gt;1,COUNTIF($A$2:A803,A803)=1),1,0)</f>
        <v>0</v>
      </c>
      <c r="S803" t="b">
        <f>IFERROR(VLOOKUP(D803,Products!$A$2:$F$61,6,FALSE()),"")</f>
        <v>1</v>
      </c>
      <c r="T803" t="str">
        <f>IF(COUNTIF(Customers!$A$2:$A$301,C803)=0,"Missing","OK")</f>
        <v>OK</v>
      </c>
      <c r="U803" t="str">
        <f t="shared" si="37"/>
        <v>Chennai</v>
      </c>
      <c r="V803">
        <f t="shared" si="38"/>
        <v>0</v>
      </c>
    </row>
    <row r="804" spans="1:22" ht="15" customHeight="1" x14ac:dyDescent="0.35">
      <c r="A804" s="3" t="s">
        <v>1215</v>
      </c>
      <c r="B804" s="4">
        <v>45652</v>
      </c>
      <c r="C804" s="3" t="s">
        <v>811</v>
      </c>
      <c r="D804" s="3" t="s">
        <v>180</v>
      </c>
      <c r="E804" s="3" t="s">
        <v>168</v>
      </c>
      <c r="F804" s="5">
        <v>1</v>
      </c>
      <c r="G804" s="5">
        <v>6080</v>
      </c>
      <c r="H804" s="5">
        <v>22.3</v>
      </c>
      <c r="I804" s="5">
        <v>4724.16</v>
      </c>
      <c r="J804" s="3" t="s">
        <v>26</v>
      </c>
      <c r="K804" s="3" t="s">
        <v>51</v>
      </c>
      <c r="L804" t="str">
        <f>IFERROR(VLOOKUP(D804,Products!$A$2:$F$61,3,FALSE()),"")</f>
        <v>Beauty</v>
      </c>
      <c r="M804" t="str">
        <f>IFERROR(VLOOKUP(E804,Sales_Reps!$A$2:$C$31,3,FALSE()),"")</f>
        <v>West</v>
      </c>
      <c r="N804">
        <f>IFERROR(VLOOKUP(D804,Products!$A$2:$F$61,4,FALSE()),"")</f>
        <v>2617</v>
      </c>
      <c r="O804" t="str">
        <f>IFERROR(VLOOKUP(C804,Customers!$A$2:$F$301,5,FALSE()),"")</f>
        <v>Corporate</v>
      </c>
      <c r="P804">
        <f>IFERROR(VLOOKUP(C804,Customers!$A$2:$F$301,3,FALSE()),"")</f>
        <v>62</v>
      </c>
      <c r="Q804">
        <f t="shared" si="36"/>
        <v>0.56957236842105263</v>
      </c>
      <c r="R804">
        <f>IF(AND(COUNTIF($A$2:$A$2047,A804)&gt;1,COUNTIF($A$2:A804,A804)=1),1,0)</f>
        <v>0</v>
      </c>
      <c r="S804" t="b">
        <f>IFERROR(VLOOKUP(D804,Products!$A$2:$F$61,6,FALSE()),"")</f>
        <v>1</v>
      </c>
      <c r="T804" t="str">
        <f>IF(COUNTIF(Customers!$A$2:$A$301,C804)=0,"Missing","OK")</f>
        <v>OK</v>
      </c>
      <c r="U804" t="str">
        <f t="shared" si="37"/>
        <v>Mumbai</v>
      </c>
      <c r="V804">
        <f t="shared" si="38"/>
        <v>0</v>
      </c>
    </row>
    <row r="805" spans="1:22" ht="15" customHeight="1" x14ac:dyDescent="0.35">
      <c r="A805" s="3" t="s">
        <v>1216</v>
      </c>
      <c r="B805" s="4">
        <v>45597</v>
      </c>
      <c r="C805" s="3" t="s">
        <v>158</v>
      </c>
      <c r="D805" s="3" t="s">
        <v>294</v>
      </c>
      <c r="E805" s="3" t="s">
        <v>212</v>
      </c>
      <c r="F805" s="5">
        <v>9</v>
      </c>
      <c r="G805" s="5">
        <v>2510</v>
      </c>
      <c r="H805" s="5">
        <v>27.4</v>
      </c>
      <c r="I805" s="5">
        <v>16400.34</v>
      </c>
      <c r="J805" s="3" t="s">
        <v>26</v>
      </c>
      <c r="K805" s="3" t="s">
        <v>38</v>
      </c>
      <c r="L805" t="str">
        <f>IFERROR(VLOOKUP(D805,Products!$A$2:$F$61,3,FALSE()),"")</f>
        <v>Apparel</v>
      </c>
      <c r="M805" t="str">
        <f>IFERROR(VLOOKUP(E805,Sales_Reps!$A$2:$C$31,3,FALSE()),"")</f>
        <v>South</v>
      </c>
      <c r="N805">
        <f>IFERROR(VLOOKUP(D805,Products!$A$2:$F$61,4,FALSE()),"")</f>
        <v>1075</v>
      </c>
      <c r="O805" t="str">
        <f>IFERROR(VLOOKUP(C805,Customers!$A$2:$F$301,5,FALSE()),"")</f>
        <v>SMB</v>
      </c>
      <c r="P805">
        <f>IFERROR(VLOOKUP(C805,Customers!$A$2:$F$301,3,FALSE()),"")</f>
        <v>50</v>
      </c>
      <c r="Q805">
        <f t="shared" si="36"/>
        <v>0.57171314741035861</v>
      </c>
      <c r="R805">
        <f>IF(AND(COUNTIF($A$2:$A$2047,A805)&gt;1,COUNTIF($A$2:A805,A805)=1),1,0)</f>
        <v>0</v>
      </c>
      <c r="S805" t="b">
        <f>IFERROR(VLOOKUP(D805,Products!$A$2:$F$61,6,FALSE()),"")</f>
        <v>0</v>
      </c>
      <c r="T805" t="str">
        <f>IF(COUNTIF(Customers!$A$2:$A$301,C805)=0,"Missing","OK")</f>
        <v>OK</v>
      </c>
      <c r="U805" t="str">
        <f t="shared" si="37"/>
        <v>Delhi</v>
      </c>
      <c r="V805">
        <f t="shared" si="38"/>
        <v>0</v>
      </c>
    </row>
    <row r="806" spans="1:22" ht="15" customHeight="1" x14ac:dyDescent="0.35">
      <c r="A806" s="3" t="s">
        <v>1217</v>
      </c>
      <c r="B806" s="4">
        <v>45392</v>
      </c>
      <c r="C806" s="3" t="s">
        <v>99</v>
      </c>
      <c r="D806" s="3" t="s">
        <v>121</v>
      </c>
      <c r="E806" s="3" t="s">
        <v>264</v>
      </c>
      <c r="F806" s="5">
        <v>10</v>
      </c>
      <c r="G806" s="5">
        <v>1010</v>
      </c>
      <c r="H806" s="5">
        <v>28.4</v>
      </c>
      <c r="I806" s="5">
        <v>7231.6</v>
      </c>
      <c r="J806" s="3" t="s">
        <v>26</v>
      </c>
      <c r="K806" s="3" t="s">
        <v>51</v>
      </c>
      <c r="L806" t="str">
        <f>IFERROR(VLOOKUP(D806,Products!$A$2:$F$61,3,FALSE()),"")</f>
        <v>Sports</v>
      </c>
      <c r="M806" t="str">
        <f>IFERROR(VLOOKUP(E806,Sales_Reps!$A$2:$C$31,3,FALSE()),"")</f>
        <v>South</v>
      </c>
      <c r="N806">
        <f>IFERROR(VLOOKUP(D806,Products!$A$2:$F$61,4,FALSE()),"")</f>
        <v>516</v>
      </c>
      <c r="O806" t="str">
        <f>IFERROR(VLOOKUP(C806,Customers!$A$2:$F$301,5,FALSE()),"")</f>
        <v>Retail</v>
      </c>
      <c r="P806">
        <f>IFERROR(VLOOKUP(C806,Customers!$A$2:$F$301,3,FALSE()),"")</f>
        <v>54</v>
      </c>
      <c r="Q806">
        <f t="shared" si="36"/>
        <v>0.4891089108910891</v>
      </c>
      <c r="R806">
        <f>IF(AND(COUNTIF($A$2:$A$2047,A806)&gt;1,COUNTIF($A$2:A806,A806)=1),1,0)</f>
        <v>0</v>
      </c>
      <c r="S806" t="b">
        <f>IFERROR(VLOOKUP(D806,Products!$A$2:$F$61,6,FALSE()),"")</f>
        <v>1</v>
      </c>
      <c r="T806" t="str">
        <f>IF(COUNTIF(Customers!$A$2:$A$301,C806)=0,"Missing","OK")</f>
        <v>OK</v>
      </c>
      <c r="U806" t="str">
        <f t="shared" si="37"/>
        <v>Mumbai</v>
      </c>
      <c r="V806">
        <f t="shared" si="38"/>
        <v>0</v>
      </c>
    </row>
    <row r="807" spans="1:22" ht="15" customHeight="1" x14ac:dyDescent="0.35">
      <c r="A807" s="3" t="s">
        <v>1218</v>
      </c>
      <c r="B807" s="4">
        <v>45401</v>
      </c>
      <c r="C807" s="3" t="s">
        <v>990</v>
      </c>
      <c r="D807" s="3" t="s">
        <v>598</v>
      </c>
      <c r="E807" s="3" t="s">
        <v>93</v>
      </c>
      <c r="F807" s="5">
        <v>1</v>
      </c>
      <c r="G807" s="5">
        <v>3560</v>
      </c>
      <c r="H807" s="5">
        <v>26</v>
      </c>
      <c r="I807" s="5">
        <v>2634.4</v>
      </c>
      <c r="J807" s="3" t="s">
        <v>26</v>
      </c>
      <c r="K807" s="3" t="s">
        <v>51</v>
      </c>
      <c r="L807" t="str">
        <f>IFERROR(VLOOKUP(D807,Products!$A$2:$F$61,3,FALSE()),"")</f>
        <v>Apparel</v>
      </c>
      <c r="M807" t="str">
        <f>IFERROR(VLOOKUP(E807,Sales_Reps!$A$2:$C$31,3,FALSE()),"")</f>
        <v>East</v>
      </c>
      <c r="N807">
        <f>IFERROR(VLOOKUP(D807,Products!$A$2:$F$61,4,FALSE()),"")</f>
        <v>2629</v>
      </c>
      <c r="O807" t="str">
        <f>IFERROR(VLOOKUP(C807,Customers!$A$2:$F$301,5,FALSE()),"")</f>
        <v>Retail</v>
      </c>
      <c r="P807">
        <f>IFERROR(VLOOKUP(C807,Customers!$A$2:$F$301,3,FALSE()),"")</f>
        <v>54</v>
      </c>
      <c r="Q807">
        <f t="shared" si="36"/>
        <v>0.26151685393258428</v>
      </c>
      <c r="R807">
        <f>IF(AND(COUNTIF($A$2:$A$2047,A807)&gt;1,COUNTIF($A$2:A807,A807)=1),1,0)</f>
        <v>0</v>
      </c>
      <c r="S807" t="b">
        <f>IFERROR(VLOOKUP(D807,Products!$A$2:$F$61,6,FALSE()),"")</f>
        <v>1</v>
      </c>
      <c r="T807" t="str">
        <f>IF(COUNTIF(Customers!$A$2:$A$301,C807)=0,"Missing","OK")</f>
        <v>OK</v>
      </c>
      <c r="U807" t="str">
        <f t="shared" si="37"/>
        <v>Mumbai</v>
      </c>
      <c r="V807">
        <f t="shared" si="38"/>
        <v>0</v>
      </c>
    </row>
    <row r="808" spans="1:22" ht="15" customHeight="1" x14ac:dyDescent="0.35">
      <c r="A808" s="3" t="s">
        <v>1219</v>
      </c>
      <c r="B808" s="4">
        <v>45397</v>
      </c>
      <c r="C808" s="3" t="s">
        <v>393</v>
      </c>
      <c r="D808" s="3" t="s">
        <v>215</v>
      </c>
      <c r="E808" s="3" t="s">
        <v>42</v>
      </c>
      <c r="F808" s="5">
        <v>8</v>
      </c>
      <c r="G808" s="5">
        <v>3020</v>
      </c>
      <c r="H808" s="5">
        <v>6.9</v>
      </c>
      <c r="I808" s="5">
        <v>22492.959999999999</v>
      </c>
      <c r="J808" s="3" t="s">
        <v>26</v>
      </c>
      <c r="K808" s="3" t="s">
        <v>72</v>
      </c>
      <c r="L808" t="str">
        <f>IFERROR(VLOOKUP(D808,Products!$A$2:$F$61,3,FALSE()),"")</f>
        <v>Beauty</v>
      </c>
      <c r="M808" t="str">
        <f>IFERROR(VLOOKUP(E808,Sales_Reps!$A$2:$C$31,3,FALSE()),"")</f>
        <v>North</v>
      </c>
      <c r="N808">
        <f>IFERROR(VLOOKUP(D808,Products!$A$2:$F$61,4,FALSE()),"")</f>
        <v>1626</v>
      </c>
      <c r="O808" t="str">
        <f>IFERROR(VLOOKUP(C808,Customers!$A$2:$F$301,5,FALSE()),"")</f>
        <v>Corporate</v>
      </c>
      <c r="P808">
        <f>IFERROR(VLOOKUP(C808,Customers!$A$2:$F$301,3,FALSE()),"")</f>
        <v>43</v>
      </c>
      <c r="Q808">
        <f t="shared" si="36"/>
        <v>0.46158940397350995</v>
      </c>
      <c r="R808">
        <f>IF(AND(COUNTIF($A$2:$A$2047,A808)&gt;1,COUNTIF($A$2:A808,A808)=1),1,0)</f>
        <v>0</v>
      </c>
      <c r="S808" t="b">
        <f>IFERROR(VLOOKUP(D808,Products!$A$2:$F$61,6,FALSE()),"")</f>
        <v>1</v>
      </c>
      <c r="T808" t="str">
        <f>IF(COUNTIF(Customers!$A$2:$A$301,C808)=0,"Missing","OK")</f>
        <v>OK</v>
      </c>
      <c r="U808" t="str">
        <f t="shared" si="37"/>
        <v>Hyderabad</v>
      </c>
      <c r="V808">
        <f t="shared" si="38"/>
        <v>0</v>
      </c>
    </row>
    <row r="809" spans="1:22" ht="15" customHeight="1" x14ac:dyDescent="0.35">
      <c r="A809" s="3" t="s">
        <v>1220</v>
      </c>
      <c r="B809" s="4">
        <v>45301</v>
      </c>
      <c r="C809" s="3" t="s">
        <v>524</v>
      </c>
      <c r="D809" s="3" t="s">
        <v>203</v>
      </c>
      <c r="E809" s="3" t="s">
        <v>177</v>
      </c>
      <c r="F809" s="5">
        <v>1</v>
      </c>
      <c r="G809" s="5">
        <v>4070</v>
      </c>
      <c r="H809" s="5">
        <v>8.1999999999999993</v>
      </c>
      <c r="I809" s="5">
        <v>3736.26</v>
      </c>
      <c r="J809" s="3" t="s">
        <v>26</v>
      </c>
      <c r="K809" s="3" t="s">
        <v>33</v>
      </c>
      <c r="L809" t="str">
        <f>IFERROR(VLOOKUP(D809,Products!$A$2:$F$61,3,FALSE()),"")</f>
        <v>Grocery</v>
      </c>
      <c r="M809" t="str">
        <f>IFERROR(VLOOKUP(E809,Sales_Reps!$A$2:$C$31,3,FALSE()),"")</f>
        <v>East</v>
      </c>
      <c r="N809">
        <f>IFERROR(VLOOKUP(D809,Products!$A$2:$F$61,4,FALSE()),"")</f>
        <v>2027</v>
      </c>
      <c r="O809" t="str">
        <f>IFERROR(VLOOKUP(C809,Customers!$A$2:$F$301,5,FALSE()),"")</f>
        <v>Retail</v>
      </c>
      <c r="P809">
        <f>IFERROR(VLOOKUP(C809,Customers!$A$2:$F$301,3,FALSE()),"")</f>
        <v>26</v>
      </c>
      <c r="Q809">
        <f t="shared" si="36"/>
        <v>0.50196560196560192</v>
      </c>
      <c r="R809">
        <f>IF(AND(COUNTIF($A$2:$A$2047,A809)&gt;1,COUNTIF($A$2:A809,A809)=1),1,0)</f>
        <v>0</v>
      </c>
      <c r="S809" t="b">
        <f>IFERROR(VLOOKUP(D809,Products!$A$2:$F$61,6,FALSE()),"")</f>
        <v>1</v>
      </c>
      <c r="T809" t="str">
        <f>IF(COUNTIF(Customers!$A$2:$A$301,C809)=0,"Missing","OK")</f>
        <v>OK</v>
      </c>
      <c r="U809" t="str">
        <f t="shared" si="37"/>
        <v>Chennai</v>
      </c>
      <c r="V809">
        <f t="shared" si="38"/>
        <v>0</v>
      </c>
    </row>
    <row r="810" spans="1:22" ht="15" customHeight="1" x14ac:dyDescent="0.35">
      <c r="A810" s="3" t="s">
        <v>1221</v>
      </c>
      <c r="B810" s="4">
        <v>45347</v>
      </c>
      <c r="C810" s="3" t="s">
        <v>1173</v>
      </c>
      <c r="D810" s="3" t="s">
        <v>49</v>
      </c>
      <c r="E810" s="3" t="s">
        <v>131</v>
      </c>
      <c r="F810" s="5">
        <v>9</v>
      </c>
      <c r="G810" s="5">
        <v>370</v>
      </c>
      <c r="H810" s="5">
        <v>19.8</v>
      </c>
      <c r="I810" s="5">
        <v>2670.66</v>
      </c>
      <c r="J810" s="3" t="s">
        <v>26</v>
      </c>
      <c r="K810" s="3" t="s">
        <v>51</v>
      </c>
      <c r="L810" t="str">
        <f>IFERROR(VLOOKUP(D810,Products!$A$2:$F$61,3,FALSE()),"")</f>
        <v>Home</v>
      </c>
      <c r="M810" t="str">
        <f>IFERROR(VLOOKUP(E810,Sales_Reps!$A$2:$C$31,3,FALSE()),"")</f>
        <v>East</v>
      </c>
      <c r="N810">
        <f>IFERROR(VLOOKUP(D810,Products!$A$2:$F$61,4,FALSE()),"")</f>
        <v>288</v>
      </c>
      <c r="O810" t="str">
        <f>IFERROR(VLOOKUP(C810,Customers!$A$2:$F$301,5,FALSE()),"")</f>
        <v>Retail</v>
      </c>
      <c r="P810">
        <f>IFERROR(VLOOKUP(C810,Customers!$A$2:$F$301,3,FALSE()),"")</f>
        <v>29</v>
      </c>
      <c r="Q810">
        <f t="shared" si="36"/>
        <v>0.22162162162162163</v>
      </c>
      <c r="R810">
        <f>IF(AND(COUNTIF($A$2:$A$2047,A810)&gt;1,COUNTIF($A$2:A810,A810)=1),1,0)</f>
        <v>0</v>
      </c>
      <c r="S810" t="b">
        <f>IFERROR(VLOOKUP(D810,Products!$A$2:$F$61,6,FALSE()),"")</f>
        <v>1</v>
      </c>
      <c r="T810" t="str">
        <f>IF(COUNTIF(Customers!$A$2:$A$301,C810)=0,"Missing","OK")</f>
        <v>OK</v>
      </c>
      <c r="U810" t="str">
        <f t="shared" si="37"/>
        <v>Mumbai</v>
      </c>
      <c r="V810">
        <f t="shared" si="38"/>
        <v>0</v>
      </c>
    </row>
    <row r="811" spans="1:22" ht="15" customHeight="1" x14ac:dyDescent="0.35">
      <c r="A811" s="3" t="s">
        <v>1222</v>
      </c>
      <c r="B811" s="4">
        <v>45544</v>
      </c>
      <c r="C811" s="3" t="s">
        <v>822</v>
      </c>
      <c r="D811" s="3" t="s">
        <v>66</v>
      </c>
      <c r="E811" s="3" t="s">
        <v>131</v>
      </c>
      <c r="F811" s="5">
        <v>6</v>
      </c>
      <c r="G811" s="5">
        <v>970</v>
      </c>
      <c r="H811" s="5">
        <v>16.2</v>
      </c>
      <c r="I811" s="5">
        <v>4877.16</v>
      </c>
      <c r="J811" s="3" t="s">
        <v>26</v>
      </c>
      <c r="K811" s="3" t="s">
        <v>72</v>
      </c>
      <c r="L811" t="str">
        <f>IFERROR(VLOOKUP(D811,Products!$A$2:$F$61,3,FALSE()),"")</f>
        <v>Grocery</v>
      </c>
      <c r="M811" t="str">
        <f>IFERROR(VLOOKUP(E811,Sales_Reps!$A$2:$C$31,3,FALSE()),"")</f>
        <v>East</v>
      </c>
      <c r="N811">
        <f>IFERROR(VLOOKUP(D811,Products!$A$2:$F$61,4,FALSE()),"")</f>
        <v>434</v>
      </c>
      <c r="O811" t="str">
        <f>IFERROR(VLOOKUP(C811,Customers!$A$2:$F$301,5,FALSE()),"")</f>
        <v>SMB</v>
      </c>
      <c r="P811">
        <f>IFERROR(VLOOKUP(C811,Customers!$A$2:$F$301,3,FALSE()),"")</f>
        <v>28</v>
      </c>
      <c r="Q811">
        <f t="shared" si="36"/>
        <v>0.5525773195876289</v>
      </c>
      <c r="R811">
        <f>IF(AND(COUNTIF($A$2:$A$2047,A811)&gt;1,COUNTIF($A$2:A811,A811)=1),1,0)</f>
        <v>0</v>
      </c>
      <c r="S811" t="b">
        <f>IFERROR(VLOOKUP(D811,Products!$A$2:$F$61,6,FALSE()),"")</f>
        <v>1</v>
      </c>
      <c r="T811" t="str">
        <f>IF(COUNTIF(Customers!$A$2:$A$301,C811)=0,"Missing","OK")</f>
        <v>OK</v>
      </c>
      <c r="U811" t="str">
        <f t="shared" si="37"/>
        <v>Hyderabad</v>
      </c>
      <c r="V811">
        <f t="shared" si="38"/>
        <v>0</v>
      </c>
    </row>
    <row r="812" spans="1:22" ht="15" customHeight="1" x14ac:dyDescent="0.35">
      <c r="A812" s="3" t="s">
        <v>1223</v>
      </c>
      <c r="B812" s="4">
        <v>45633</v>
      </c>
      <c r="C812" s="3" t="s">
        <v>255</v>
      </c>
      <c r="D812" s="3" t="s">
        <v>112</v>
      </c>
      <c r="E812" s="3" t="s">
        <v>60</v>
      </c>
      <c r="F812" s="5">
        <v>10</v>
      </c>
      <c r="G812" s="5">
        <v>2720</v>
      </c>
      <c r="H812" s="5">
        <v>3</v>
      </c>
      <c r="I812" s="5">
        <v>26384</v>
      </c>
      <c r="J812" s="3" t="s">
        <v>32</v>
      </c>
      <c r="K812" s="3" t="s">
        <v>27</v>
      </c>
      <c r="L812" t="str">
        <f>IFERROR(VLOOKUP(D812,Products!$A$2:$F$61,3,FALSE()),"")</f>
        <v>Apparel</v>
      </c>
      <c r="M812" t="str">
        <f>IFERROR(VLOOKUP(E812,Sales_Reps!$A$2:$C$31,3,FALSE()),"")</f>
        <v>East</v>
      </c>
      <c r="N812">
        <f>IFERROR(VLOOKUP(D812,Products!$A$2:$F$61,4,FALSE()),"")</f>
        <v>1962</v>
      </c>
      <c r="O812" t="str">
        <f>IFERROR(VLOOKUP(C812,Customers!$A$2:$F$301,5,FALSE()),"")</f>
        <v>SMB</v>
      </c>
      <c r="P812">
        <f>IFERROR(VLOOKUP(C812,Customers!$A$2:$F$301,3,FALSE()),"")</f>
        <v>60</v>
      </c>
      <c r="Q812">
        <f t="shared" si="36"/>
        <v>0.2786764705882353</v>
      </c>
      <c r="R812">
        <f>IF(AND(COUNTIF($A$2:$A$2047,A812)&gt;1,COUNTIF($A$2:A812,A812)=1),1,0)</f>
        <v>0</v>
      </c>
      <c r="S812" t="b">
        <f>IFERROR(VLOOKUP(D812,Products!$A$2:$F$61,6,FALSE()),"")</f>
        <v>1</v>
      </c>
      <c r="T812" t="str">
        <f>IF(COUNTIF(Customers!$A$2:$A$301,C812)=0,"Missing","OK")</f>
        <v>OK</v>
      </c>
      <c r="U812" t="str">
        <f t="shared" si="37"/>
        <v>Pune</v>
      </c>
      <c r="V812">
        <f t="shared" si="38"/>
        <v>0</v>
      </c>
    </row>
    <row r="813" spans="1:22" ht="15" customHeight="1" x14ac:dyDescent="0.35">
      <c r="A813" s="3" t="s">
        <v>1224</v>
      </c>
      <c r="B813" s="4">
        <v>45293</v>
      </c>
      <c r="C813" s="3" t="s">
        <v>696</v>
      </c>
      <c r="D813" s="3" t="s">
        <v>90</v>
      </c>
      <c r="E813" s="3" t="s">
        <v>37</v>
      </c>
      <c r="F813" s="5">
        <v>7</v>
      </c>
      <c r="G813" s="5">
        <v>2400</v>
      </c>
      <c r="H813" s="5">
        <v>29.4</v>
      </c>
      <c r="I813" s="5">
        <v>11860.8</v>
      </c>
      <c r="J813" s="3" t="s">
        <v>26</v>
      </c>
      <c r="K813" s="3" t="s">
        <v>56</v>
      </c>
      <c r="L813" t="str">
        <f>IFERROR(VLOOKUP(D813,Products!$A$2:$F$61,3,FALSE()),"")</f>
        <v>Sports</v>
      </c>
      <c r="M813" t="str">
        <f>IFERROR(VLOOKUP(E813,Sales_Reps!$A$2:$C$31,3,FALSE()),"")</f>
        <v>South</v>
      </c>
      <c r="N813">
        <f>IFERROR(VLOOKUP(D813,Products!$A$2:$F$61,4,FALSE()),"")</f>
        <v>974</v>
      </c>
      <c r="O813" t="str">
        <f>IFERROR(VLOOKUP(C813,Customers!$A$2:$F$301,5,FALSE()),"")</f>
        <v>Corporate</v>
      </c>
      <c r="P813">
        <f>IFERROR(VLOOKUP(C813,Customers!$A$2:$F$301,3,FALSE()),"")</f>
        <v>43</v>
      </c>
      <c r="Q813">
        <f t="shared" si="36"/>
        <v>0.59416666666666662</v>
      </c>
      <c r="R813">
        <f>IF(AND(COUNTIF($A$2:$A$2047,A813)&gt;1,COUNTIF($A$2:A813,A813)=1),1,0)</f>
        <v>0</v>
      </c>
      <c r="S813" t="b">
        <f>IFERROR(VLOOKUP(D813,Products!$A$2:$F$61,6,FALSE()),"")</f>
        <v>1</v>
      </c>
      <c r="T813" t="str">
        <f>IF(COUNTIF(Customers!$A$2:$A$301,C813)=0,"Missing","OK")</f>
        <v>OK</v>
      </c>
      <c r="U813" t="str">
        <f t="shared" si="37"/>
        <v>Bengaluru</v>
      </c>
      <c r="V813">
        <f t="shared" si="38"/>
        <v>0</v>
      </c>
    </row>
    <row r="814" spans="1:22" ht="15" customHeight="1" x14ac:dyDescent="0.35">
      <c r="A814" s="3" t="s">
        <v>1225</v>
      </c>
      <c r="B814" s="4">
        <v>45564</v>
      </c>
      <c r="C814" s="3" t="s">
        <v>381</v>
      </c>
      <c r="D814" s="3" t="s">
        <v>598</v>
      </c>
      <c r="E814" s="3" t="s">
        <v>264</v>
      </c>
      <c r="F814" s="5">
        <v>8</v>
      </c>
      <c r="G814" s="5">
        <v>3560</v>
      </c>
      <c r="H814" s="5">
        <v>21.7</v>
      </c>
      <c r="I814" s="5">
        <v>22299.84</v>
      </c>
      <c r="J814" s="3" t="s">
        <v>26</v>
      </c>
      <c r="K814" s="3" t="s">
        <v>27</v>
      </c>
      <c r="L814" t="str">
        <f>IFERROR(VLOOKUP(D814,Products!$A$2:$F$61,3,FALSE()),"")</f>
        <v>Apparel</v>
      </c>
      <c r="M814" t="str">
        <f>IFERROR(VLOOKUP(E814,Sales_Reps!$A$2:$C$31,3,FALSE()),"")</f>
        <v>South</v>
      </c>
      <c r="N814">
        <f>IFERROR(VLOOKUP(D814,Products!$A$2:$F$61,4,FALSE()),"")</f>
        <v>2629</v>
      </c>
      <c r="O814" t="str">
        <f>IFERROR(VLOOKUP(C814,Customers!$A$2:$F$301,5,FALSE()),"")</f>
        <v>Retail</v>
      </c>
      <c r="P814">
        <f>IFERROR(VLOOKUP(C814,Customers!$A$2:$F$301,3,FALSE()),"")</f>
        <v>65</v>
      </c>
      <c r="Q814">
        <f t="shared" si="36"/>
        <v>0.26151685393258428</v>
      </c>
      <c r="R814">
        <f>IF(AND(COUNTIF($A$2:$A$2047,A814)&gt;1,COUNTIF($A$2:A814,A814)=1),1,0)</f>
        <v>0</v>
      </c>
      <c r="S814" t="b">
        <f>IFERROR(VLOOKUP(D814,Products!$A$2:$F$61,6,FALSE()),"")</f>
        <v>1</v>
      </c>
      <c r="T814" t="str">
        <f>IF(COUNTIF(Customers!$A$2:$A$301,C814)=0,"Missing","OK")</f>
        <v>OK</v>
      </c>
      <c r="U814" t="str">
        <f t="shared" si="37"/>
        <v>Pune</v>
      </c>
      <c r="V814">
        <f t="shared" si="38"/>
        <v>0</v>
      </c>
    </row>
    <row r="815" spans="1:22" ht="15" customHeight="1" x14ac:dyDescent="0.35">
      <c r="A815" s="3" t="s">
        <v>1226</v>
      </c>
      <c r="B815" s="4">
        <v>45385</v>
      </c>
      <c r="C815" s="3" t="s">
        <v>720</v>
      </c>
      <c r="D815" s="3" t="s">
        <v>203</v>
      </c>
      <c r="E815" s="3" t="s">
        <v>127</v>
      </c>
      <c r="F815" s="5">
        <v>7</v>
      </c>
      <c r="G815" s="5">
        <v>4070</v>
      </c>
      <c r="H815" s="5">
        <v>10.5</v>
      </c>
      <c r="I815" s="5">
        <v>25498.55</v>
      </c>
      <c r="J815" s="3" t="s">
        <v>26</v>
      </c>
      <c r="K815" s="3" t="s">
        <v>38</v>
      </c>
      <c r="L815" t="str">
        <f>IFERROR(VLOOKUP(D815,Products!$A$2:$F$61,3,FALSE()),"")</f>
        <v>Grocery</v>
      </c>
      <c r="M815" t="str">
        <f>IFERROR(VLOOKUP(E815,Sales_Reps!$A$2:$C$31,3,FALSE()),"")</f>
        <v>South</v>
      </c>
      <c r="N815">
        <f>IFERROR(VLOOKUP(D815,Products!$A$2:$F$61,4,FALSE()),"")</f>
        <v>2027</v>
      </c>
      <c r="O815" t="str">
        <f>IFERROR(VLOOKUP(C815,Customers!$A$2:$F$301,5,FALSE()),"")</f>
        <v>SMB</v>
      </c>
      <c r="P815">
        <f>IFERROR(VLOOKUP(C815,Customers!$A$2:$F$301,3,FALSE()),"")</f>
        <v>29</v>
      </c>
      <c r="Q815">
        <f t="shared" si="36"/>
        <v>0.50196560196560192</v>
      </c>
      <c r="R815">
        <f>IF(AND(COUNTIF($A$2:$A$2047,A815)&gt;1,COUNTIF($A$2:A815,A815)=1),1,0)</f>
        <v>0</v>
      </c>
      <c r="S815" t="b">
        <f>IFERROR(VLOOKUP(D815,Products!$A$2:$F$61,6,FALSE()),"")</f>
        <v>1</v>
      </c>
      <c r="T815" t="str">
        <f>IF(COUNTIF(Customers!$A$2:$A$301,C815)=0,"Missing","OK")</f>
        <v>OK</v>
      </c>
      <c r="U815" t="str">
        <f t="shared" si="37"/>
        <v>Delhi</v>
      </c>
      <c r="V815">
        <f t="shared" si="38"/>
        <v>0</v>
      </c>
    </row>
    <row r="816" spans="1:22" ht="15" customHeight="1" x14ac:dyDescent="0.35">
      <c r="A816" s="3" t="s">
        <v>1227</v>
      </c>
      <c r="B816" s="4">
        <v>45299</v>
      </c>
      <c r="C816" s="3" t="s">
        <v>554</v>
      </c>
      <c r="D816" s="3" t="s">
        <v>299</v>
      </c>
      <c r="E816" s="3" t="s">
        <v>46</v>
      </c>
      <c r="F816" s="5">
        <v>3</v>
      </c>
      <c r="G816" s="5">
        <v>5410</v>
      </c>
      <c r="H816" s="5">
        <v>0.2</v>
      </c>
      <c r="I816" s="5">
        <v>16197.54</v>
      </c>
      <c r="J816" s="3" t="s">
        <v>26</v>
      </c>
      <c r="K816" s="3" t="s">
        <v>51</v>
      </c>
      <c r="L816" t="str">
        <f>IFERROR(VLOOKUP(D816,Products!$A$2:$F$61,3,FALSE()),"")</f>
        <v>Sports</v>
      </c>
      <c r="M816" t="str">
        <f>IFERROR(VLOOKUP(E816,Sales_Reps!$A$2:$C$31,3,FALSE()),"")</f>
        <v>North</v>
      </c>
      <c r="N816">
        <f>IFERROR(VLOOKUP(D816,Products!$A$2:$F$61,4,FALSE()),"")</f>
        <v>2265</v>
      </c>
      <c r="O816" t="str">
        <f>IFERROR(VLOOKUP(C816,Customers!$A$2:$F$301,5,FALSE()),"")</f>
        <v>Retail</v>
      </c>
      <c r="P816">
        <f>IFERROR(VLOOKUP(C816,Customers!$A$2:$F$301,3,FALSE()),"")</f>
        <v>53</v>
      </c>
      <c r="Q816">
        <f t="shared" si="36"/>
        <v>0.58133086876155271</v>
      </c>
      <c r="R816">
        <f>IF(AND(COUNTIF($A$2:$A$2047,A816)&gt;1,COUNTIF($A$2:A816,A816)=1),1,0)</f>
        <v>1</v>
      </c>
      <c r="S816" t="b">
        <f>IFERROR(VLOOKUP(D816,Products!$A$2:$F$61,6,FALSE()),"")</f>
        <v>1</v>
      </c>
      <c r="T816" t="str">
        <f>IF(COUNTIF(Customers!$A$2:$A$301,C816)=0,"Missing","OK")</f>
        <v>OK</v>
      </c>
      <c r="U816" t="str">
        <f t="shared" si="37"/>
        <v>Mumbai</v>
      </c>
      <c r="V816">
        <f t="shared" si="38"/>
        <v>0</v>
      </c>
    </row>
    <row r="817" spans="1:22" ht="15" customHeight="1" x14ac:dyDescent="0.35">
      <c r="A817" s="3" t="s">
        <v>1228</v>
      </c>
      <c r="B817" s="4">
        <v>45651</v>
      </c>
      <c r="C817" s="3" t="s">
        <v>472</v>
      </c>
      <c r="D817" s="3" t="s">
        <v>139</v>
      </c>
      <c r="E817" s="3" t="s">
        <v>67</v>
      </c>
      <c r="F817" s="5">
        <v>4</v>
      </c>
      <c r="G817" s="5">
        <v>2760</v>
      </c>
      <c r="H817" s="5">
        <v>27.5</v>
      </c>
      <c r="I817" s="5">
        <v>8004</v>
      </c>
      <c r="J817" s="3" t="s">
        <v>79</v>
      </c>
      <c r="K817" s="3" t="s">
        <v>38</v>
      </c>
      <c r="L817" t="str">
        <f>IFERROR(VLOOKUP(D817,Products!$A$2:$F$61,3,FALSE()),"")</f>
        <v>Grocery</v>
      </c>
      <c r="M817" t="str">
        <f>IFERROR(VLOOKUP(E817,Sales_Reps!$A$2:$C$31,3,FALSE()),"")</f>
        <v>West</v>
      </c>
      <c r="N817">
        <f>IFERROR(VLOOKUP(D817,Products!$A$2:$F$61,4,FALSE()),"")</f>
        <v>1435</v>
      </c>
      <c r="O817" t="str">
        <f>IFERROR(VLOOKUP(C817,Customers!$A$2:$F$301,5,FALSE()),"")</f>
        <v>SMB</v>
      </c>
      <c r="P817">
        <f>IFERROR(VLOOKUP(C817,Customers!$A$2:$F$301,3,FALSE()),"")</f>
        <v>48</v>
      </c>
      <c r="Q817">
        <f t="shared" si="36"/>
        <v>0.48007246376811596</v>
      </c>
      <c r="R817">
        <f>IF(AND(COUNTIF($A$2:$A$2047,A817)&gt;1,COUNTIF($A$2:A817,A817)=1),1,0)</f>
        <v>0</v>
      </c>
      <c r="S817" t="b">
        <f>IFERROR(VLOOKUP(D817,Products!$A$2:$F$61,6,FALSE()),"")</f>
        <v>1</v>
      </c>
      <c r="T817" t="str">
        <f>IF(COUNTIF(Customers!$A$2:$A$301,C817)=0,"Missing","OK")</f>
        <v>OK</v>
      </c>
      <c r="U817" t="str">
        <f t="shared" si="37"/>
        <v>Delhi</v>
      </c>
      <c r="V817">
        <f t="shared" si="38"/>
        <v>0</v>
      </c>
    </row>
    <row r="818" spans="1:22" ht="15" customHeight="1" x14ac:dyDescent="0.35">
      <c r="A818" s="3" t="s">
        <v>1229</v>
      </c>
      <c r="B818" s="4">
        <v>45474</v>
      </c>
      <c r="C818" s="3" t="s">
        <v>396</v>
      </c>
      <c r="D818" s="3" t="s">
        <v>382</v>
      </c>
      <c r="E818" s="3" t="s">
        <v>191</v>
      </c>
      <c r="F818" s="5">
        <v>3</v>
      </c>
      <c r="G818" s="5">
        <v>5080</v>
      </c>
      <c r="H818" s="5">
        <v>27.2</v>
      </c>
      <c r="I818" s="5">
        <v>11094.72</v>
      </c>
      <c r="J818" s="3" t="s">
        <v>26</v>
      </c>
      <c r="K818" s="3" t="s">
        <v>27</v>
      </c>
      <c r="L818" t="str">
        <f>IFERROR(VLOOKUP(D818,Products!$A$2:$F$61,3,FALSE()),"")</f>
        <v>Home</v>
      </c>
      <c r="M818" t="str">
        <f>IFERROR(VLOOKUP(E818,Sales_Reps!$A$2:$C$31,3,FALSE()),"")</f>
        <v>South</v>
      </c>
      <c r="N818">
        <f>IFERROR(VLOOKUP(D818,Products!$A$2:$F$61,4,FALSE()),"")</f>
        <v>2459</v>
      </c>
      <c r="O818" t="str">
        <f>IFERROR(VLOOKUP(C818,Customers!$A$2:$F$301,5,FALSE()),"")</f>
        <v>Retail</v>
      </c>
      <c r="P818">
        <f>IFERROR(VLOOKUP(C818,Customers!$A$2:$F$301,3,FALSE()),"")</f>
        <v>29</v>
      </c>
      <c r="Q818">
        <f t="shared" si="36"/>
        <v>0.51594488188976373</v>
      </c>
      <c r="R818">
        <f>IF(AND(COUNTIF($A$2:$A$2047,A818)&gt;1,COUNTIF($A$2:A818,A818)=1),1,0)</f>
        <v>1</v>
      </c>
      <c r="S818" t="b">
        <f>IFERROR(VLOOKUP(D818,Products!$A$2:$F$61,6,FALSE()),"")</f>
        <v>1</v>
      </c>
      <c r="T818" t="str">
        <f>IF(COUNTIF(Customers!$A$2:$A$301,C818)=0,"Missing","OK")</f>
        <v>OK</v>
      </c>
      <c r="U818" t="str">
        <f t="shared" si="37"/>
        <v>Pune</v>
      </c>
      <c r="V818">
        <f t="shared" si="38"/>
        <v>0</v>
      </c>
    </row>
    <row r="819" spans="1:22" ht="15" customHeight="1" x14ac:dyDescent="0.35">
      <c r="A819" s="3" t="s">
        <v>1230</v>
      </c>
      <c r="B819" s="4">
        <v>45391</v>
      </c>
      <c r="C819" s="3" t="s">
        <v>1111</v>
      </c>
      <c r="D819" s="3" t="s">
        <v>441</v>
      </c>
      <c r="E819" s="3" t="s">
        <v>177</v>
      </c>
      <c r="F819" s="5">
        <v>5</v>
      </c>
      <c r="G819" s="5">
        <v>1090</v>
      </c>
      <c r="H819" s="5">
        <v>3.3</v>
      </c>
      <c r="I819" s="5">
        <v>5270.15</v>
      </c>
      <c r="J819" s="3" t="s">
        <v>26</v>
      </c>
      <c r="K819" s="3" t="s">
        <v>27</v>
      </c>
      <c r="L819" t="str">
        <f>IFERROR(VLOOKUP(D819,Products!$A$2:$F$61,3,FALSE()),"")</f>
        <v>Home</v>
      </c>
      <c r="M819" t="str">
        <f>IFERROR(VLOOKUP(E819,Sales_Reps!$A$2:$C$31,3,FALSE()),"")</f>
        <v>East</v>
      </c>
      <c r="N819">
        <f>IFERROR(VLOOKUP(D819,Products!$A$2:$F$61,4,FALSE()),"")</f>
        <v>464</v>
      </c>
      <c r="O819" t="str">
        <f>IFERROR(VLOOKUP(C819,Customers!$A$2:$F$301,5,FALSE()),"")</f>
        <v>Retail</v>
      </c>
      <c r="P819">
        <f>IFERROR(VLOOKUP(C819,Customers!$A$2:$F$301,3,FALSE()),"")</f>
        <v>39</v>
      </c>
      <c r="Q819">
        <f t="shared" si="36"/>
        <v>0.57431192660550456</v>
      </c>
      <c r="R819">
        <f>IF(AND(COUNTIF($A$2:$A$2047,A819)&gt;1,COUNTIF($A$2:A819,A819)=1),1,0)</f>
        <v>0</v>
      </c>
      <c r="S819" t="b">
        <f>IFERROR(VLOOKUP(D819,Products!$A$2:$F$61,6,FALSE()),"")</f>
        <v>1</v>
      </c>
      <c r="T819" t="str">
        <f>IF(COUNTIF(Customers!$A$2:$A$301,C819)=0,"Missing","OK")</f>
        <v>OK</v>
      </c>
      <c r="U819" t="str">
        <f t="shared" si="37"/>
        <v>Pune</v>
      </c>
      <c r="V819">
        <f t="shared" si="38"/>
        <v>0</v>
      </c>
    </row>
    <row r="820" spans="1:22" ht="15" customHeight="1" x14ac:dyDescent="0.35">
      <c r="A820" s="3" t="s">
        <v>1231</v>
      </c>
      <c r="B820" s="4">
        <v>45328</v>
      </c>
      <c r="C820" s="3" t="s">
        <v>780</v>
      </c>
      <c r="D820" s="3" t="s">
        <v>306</v>
      </c>
      <c r="E820" s="3" t="s">
        <v>168</v>
      </c>
      <c r="F820" s="5">
        <v>10</v>
      </c>
      <c r="G820" s="5">
        <v>2380</v>
      </c>
      <c r="H820" s="5">
        <v>7</v>
      </c>
      <c r="I820" s="5">
        <v>22134</v>
      </c>
      <c r="J820" s="3" t="s">
        <v>26</v>
      </c>
      <c r="K820" s="3" t="s">
        <v>56</v>
      </c>
      <c r="L820" t="str">
        <f>IFERROR(VLOOKUP(D820,Products!$A$2:$F$61,3,FALSE()),"")</f>
        <v>Grocery</v>
      </c>
      <c r="M820" t="str">
        <f>IFERROR(VLOOKUP(E820,Sales_Reps!$A$2:$C$31,3,FALSE()),"")</f>
        <v>West</v>
      </c>
      <c r="N820">
        <f>IFERROR(VLOOKUP(D820,Products!$A$2:$F$61,4,FALSE()),"")</f>
        <v>1182</v>
      </c>
      <c r="O820" t="str">
        <f>IFERROR(VLOOKUP(C820,Customers!$A$2:$F$301,5,FALSE()),"")</f>
        <v>Corporate</v>
      </c>
      <c r="P820">
        <f>IFERROR(VLOOKUP(C820,Customers!$A$2:$F$301,3,FALSE()),"")</f>
        <v>41</v>
      </c>
      <c r="Q820">
        <f t="shared" si="36"/>
        <v>0.50336134453781511</v>
      </c>
      <c r="R820">
        <f>IF(AND(COUNTIF($A$2:$A$2047,A820)&gt;1,COUNTIF($A$2:A820,A820)=1),1,0)</f>
        <v>0</v>
      </c>
      <c r="S820" t="b">
        <f>IFERROR(VLOOKUP(D820,Products!$A$2:$F$61,6,FALSE()),"")</f>
        <v>1</v>
      </c>
      <c r="T820" t="str">
        <f>IF(COUNTIF(Customers!$A$2:$A$301,C820)=0,"Missing","OK")</f>
        <v>OK</v>
      </c>
      <c r="U820" t="str">
        <f t="shared" si="37"/>
        <v>Bengaluru</v>
      </c>
      <c r="V820">
        <f t="shared" si="38"/>
        <v>22134</v>
      </c>
    </row>
    <row r="821" spans="1:22" ht="15" customHeight="1" x14ac:dyDescent="0.35">
      <c r="A821" s="3" t="s">
        <v>1232</v>
      </c>
      <c r="B821" s="4">
        <v>45490</v>
      </c>
      <c r="C821" s="3" t="s">
        <v>1233</v>
      </c>
      <c r="D821" s="3" t="s">
        <v>45</v>
      </c>
      <c r="E821" s="3" t="s">
        <v>140</v>
      </c>
      <c r="F821" s="5">
        <v>5</v>
      </c>
      <c r="G821" s="5">
        <v>3160</v>
      </c>
      <c r="H821" s="5">
        <v>25.6</v>
      </c>
      <c r="I821" s="5">
        <v>11755.2</v>
      </c>
      <c r="J821" s="3" t="s">
        <v>26</v>
      </c>
      <c r="K821" s="3" t="s">
        <v>33</v>
      </c>
      <c r="L821" t="str">
        <f>IFERROR(VLOOKUP(D821,Products!$A$2:$F$61,3,FALSE()),"")</f>
        <v>Apparel</v>
      </c>
      <c r="M821" t="str">
        <f>IFERROR(VLOOKUP(E821,Sales_Reps!$A$2:$C$31,3,FALSE()),"")</f>
        <v>West</v>
      </c>
      <c r="N821">
        <f>IFERROR(VLOOKUP(D821,Products!$A$2:$F$61,4,FALSE()),"")</f>
        <v>1886</v>
      </c>
      <c r="O821" t="str">
        <f>IFERROR(VLOOKUP(C821,Customers!$A$2:$F$301,5,FALSE()),"")</f>
        <v>SMB</v>
      </c>
      <c r="P821">
        <f>IFERROR(VLOOKUP(C821,Customers!$A$2:$F$301,3,FALSE()),"")</f>
        <v>43</v>
      </c>
      <c r="Q821">
        <f t="shared" si="36"/>
        <v>0.4031645569620253</v>
      </c>
      <c r="R821">
        <f>IF(AND(COUNTIF($A$2:$A$2047,A821)&gt;1,COUNTIF($A$2:A821,A821)=1),1,0)</f>
        <v>0</v>
      </c>
      <c r="S821" t="b">
        <f>IFERROR(VLOOKUP(D821,Products!$A$2:$F$61,6,FALSE()),"")</f>
        <v>1</v>
      </c>
      <c r="T821" t="str">
        <f>IF(COUNTIF(Customers!$A$2:$A$301,C821)=0,"Missing","OK")</f>
        <v>OK</v>
      </c>
      <c r="U821" t="str">
        <f t="shared" si="37"/>
        <v>Chennai</v>
      </c>
      <c r="V821">
        <f t="shared" si="38"/>
        <v>0</v>
      </c>
    </row>
    <row r="822" spans="1:22" ht="15" customHeight="1" x14ac:dyDescent="0.35">
      <c r="A822" s="3" t="s">
        <v>1234</v>
      </c>
      <c r="B822" s="4">
        <v>45362</v>
      </c>
      <c r="C822" s="3" t="s">
        <v>844</v>
      </c>
      <c r="D822" s="3" t="s">
        <v>90</v>
      </c>
      <c r="E822" s="3" t="s">
        <v>168</v>
      </c>
      <c r="F822" s="5">
        <v>9</v>
      </c>
      <c r="G822" s="5">
        <v>2400</v>
      </c>
      <c r="H822" s="5">
        <v>8.4</v>
      </c>
      <c r="I822" s="5">
        <v>19785.599999999999</v>
      </c>
      <c r="J822" s="3" t="s">
        <v>26</v>
      </c>
      <c r="K822" s="3" t="s">
        <v>51</v>
      </c>
      <c r="L822" t="str">
        <f>IFERROR(VLOOKUP(D822,Products!$A$2:$F$61,3,FALSE()),"")</f>
        <v>Sports</v>
      </c>
      <c r="M822" t="str">
        <f>IFERROR(VLOOKUP(E822,Sales_Reps!$A$2:$C$31,3,FALSE()),"")</f>
        <v>West</v>
      </c>
      <c r="N822">
        <f>IFERROR(VLOOKUP(D822,Products!$A$2:$F$61,4,FALSE()),"")</f>
        <v>974</v>
      </c>
      <c r="O822" t="str">
        <f>IFERROR(VLOOKUP(C822,Customers!$A$2:$F$301,5,FALSE()),"")</f>
        <v>SMB</v>
      </c>
      <c r="P822">
        <f>IFERROR(VLOOKUP(C822,Customers!$A$2:$F$301,3,FALSE()),"")</f>
        <v>43</v>
      </c>
      <c r="Q822">
        <f t="shared" si="36"/>
        <v>0.59416666666666662</v>
      </c>
      <c r="R822">
        <f>IF(AND(COUNTIF($A$2:$A$2047,A822)&gt;1,COUNTIF($A$2:A822,A822)=1),1,0)</f>
        <v>0</v>
      </c>
      <c r="S822" t="b">
        <f>IFERROR(VLOOKUP(D822,Products!$A$2:$F$61,6,FALSE()),"")</f>
        <v>1</v>
      </c>
      <c r="T822" t="str">
        <f>IF(COUNTIF(Customers!$A$2:$A$301,C822)=0,"Missing","OK")</f>
        <v>OK</v>
      </c>
      <c r="U822" t="str">
        <f t="shared" si="37"/>
        <v>Mumbai</v>
      </c>
      <c r="V822">
        <f t="shared" si="38"/>
        <v>0</v>
      </c>
    </row>
    <row r="823" spans="1:22" ht="15" customHeight="1" x14ac:dyDescent="0.35">
      <c r="A823" s="3" t="s">
        <v>1235</v>
      </c>
      <c r="B823" s="4">
        <v>45449</v>
      </c>
      <c r="C823" s="3" t="s">
        <v>1236</v>
      </c>
      <c r="D823" s="3" t="s">
        <v>77</v>
      </c>
      <c r="E823" s="3" t="s">
        <v>131</v>
      </c>
      <c r="F823" s="5">
        <v>4</v>
      </c>
      <c r="G823" s="5">
        <v>2600</v>
      </c>
      <c r="H823" s="5">
        <v>4.2</v>
      </c>
      <c r="I823" s="5">
        <v>9963.2000000000007</v>
      </c>
      <c r="J823" s="3" t="s">
        <v>26</v>
      </c>
      <c r="K823" s="3" t="s">
        <v>51</v>
      </c>
      <c r="L823" t="str">
        <f>IFERROR(VLOOKUP(D823,Products!$A$2:$F$61,3,FALSE()),"")</f>
        <v>Electronics</v>
      </c>
      <c r="M823" t="str">
        <f>IFERROR(VLOOKUP(E823,Sales_Reps!$A$2:$C$31,3,FALSE()),"")</f>
        <v>East</v>
      </c>
      <c r="N823">
        <f>IFERROR(VLOOKUP(D823,Products!$A$2:$F$61,4,FALSE()),"")</f>
        <v>1052</v>
      </c>
      <c r="O823" t="str">
        <f>IFERROR(VLOOKUP(C823,Customers!$A$2:$F$301,5,FALSE()),"")</f>
        <v>Retail</v>
      </c>
      <c r="P823">
        <f>IFERROR(VLOOKUP(C823,Customers!$A$2:$F$301,3,FALSE()),"")</f>
        <v>38</v>
      </c>
      <c r="Q823">
        <f t="shared" si="36"/>
        <v>0.5953846153846154</v>
      </c>
      <c r="R823">
        <f>IF(AND(COUNTIF($A$2:$A$2047,A823)&gt;1,COUNTIF($A$2:A823,A823)=1),1,0)</f>
        <v>0</v>
      </c>
      <c r="S823" t="b">
        <f>IFERROR(VLOOKUP(D823,Products!$A$2:$F$61,6,FALSE()),"")</f>
        <v>1</v>
      </c>
      <c r="T823" t="str">
        <f>IF(COUNTIF(Customers!$A$2:$A$301,C823)=0,"Missing","OK")</f>
        <v>OK</v>
      </c>
      <c r="U823" t="str">
        <f t="shared" si="37"/>
        <v>Mumbai</v>
      </c>
      <c r="V823">
        <f t="shared" si="38"/>
        <v>0</v>
      </c>
    </row>
    <row r="824" spans="1:22" ht="15" customHeight="1" x14ac:dyDescent="0.35">
      <c r="A824" s="3" t="s">
        <v>1237</v>
      </c>
      <c r="B824" s="4">
        <v>45409</v>
      </c>
      <c r="C824" s="3" t="s">
        <v>1238</v>
      </c>
      <c r="D824" s="3" t="s">
        <v>70</v>
      </c>
      <c r="E824" s="3" t="s">
        <v>93</v>
      </c>
      <c r="F824" s="5">
        <v>5</v>
      </c>
      <c r="G824" s="5">
        <v>2270</v>
      </c>
      <c r="H824" s="5">
        <v>0.1</v>
      </c>
      <c r="I824" s="5">
        <v>11338.65</v>
      </c>
      <c r="J824" s="3" t="s">
        <v>26</v>
      </c>
      <c r="K824" s="3" t="s">
        <v>51</v>
      </c>
      <c r="L824" t="str">
        <f>IFERROR(VLOOKUP(D824,Products!$A$2:$F$61,3,FALSE()),"")</f>
        <v>Grocery</v>
      </c>
      <c r="M824" t="str">
        <f>IFERROR(VLOOKUP(E824,Sales_Reps!$A$2:$C$31,3,FALSE()),"")</f>
        <v>East</v>
      </c>
      <c r="N824">
        <f>IFERROR(VLOOKUP(D824,Products!$A$2:$F$61,4,FALSE()),"")</f>
        <v>1203</v>
      </c>
      <c r="O824" t="str">
        <f>IFERROR(VLOOKUP(C824,Customers!$A$2:$F$301,5,FALSE()),"")</f>
        <v/>
      </c>
      <c r="P824" t="str">
        <f>IFERROR(VLOOKUP(C824,Customers!$A$2:$F$301,3,FALSE()),"")</f>
        <v/>
      </c>
      <c r="Q824">
        <f t="shared" si="36"/>
        <v>0.47004405286343615</v>
      </c>
      <c r="R824">
        <f>IF(AND(COUNTIF($A$2:$A$2047,A824)&gt;1,COUNTIF($A$2:A824,A824)=1),1,0)</f>
        <v>0</v>
      </c>
      <c r="S824" t="b">
        <f>IFERROR(VLOOKUP(D824,Products!$A$2:$F$61,6,FALSE()),"")</f>
        <v>1</v>
      </c>
      <c r="T824" t="str">
        <f>IF(COUNTIF(Customers!$A$2:$A$301,C824)=0,"Missing","OK")</f>
        <v>Missing</v>
      </c>
      <c r="U824" t="str">
        <f t="shared" si="37"/>
        <v>Mumbai</v>
      </c>
      <c r="V824">
        <f t="shared" si="38"/>
        <v>0</v>
      </c>
    </row>
    <row r="825" spans="1:22" ht="15" customHeight="1" x14ac:dyDescent="0.35">
      <c r="A825" s="3" t="s">
        <v>1239</v>
      </c>
      <c r="B825" s="4">
        <v>45465</v>
      </c>
      <c r="C825" s="3" t="s">
        <v>780</v>
      </c>
      <c r="D825" s="3" t="s">
        <v>63</v>
      </c>
      <c r="E825" s="3" t="s">
        <v>131</v>
      </c>
      <c r="F825" s="5">
        <v>7</v>
      </c>
      <c r="G825" s="5">
        <v>5490</v>
      </c>
      <c r="H825" s="5">
        <v>14.9</v>
      </c>
      <c r="I825" s="5">
        <v>32703.93</v>
      </c>
      <c r="J825" s="3" t="s">
        <v>26</v>
      </c>
      <c r="K825" s="3" t="s">
        <v>56</v>
      </c>
      <c r="L825" t="str">
        <f>IFERROR(VLOOKUP(D825,Products!$A$2:$F$61,3,FALSE()),"")</f>
        <v>Home</v>
      </c>
      <c r="M825" t="str">
        <f>IFERROR(VLOOKUP(E825,Sales_Reps!$A$2:$C$31,3,FALSE()),"")</f>
        <v>East</v>
      </c>
      <c r="N825">
        <f>IFERROR(VLOOKUP(D825,Products!$A$2:$F$61,4,FALSE()),"")</f>
        <v>2549</v>
      </c>
      <c r="O825" t="str">
        <f>IFERROR(VLOOKUP(C825,Customers!$A$2:$F$301,5,FALSE()),"")</f>
        <v>Corporate</v>
      </c>
      <c r="P825">
        <f>IFERROR(VLOOKUP(C825,Customers!$A$2:$F$301,3,FALSE()),"")</f>
        <v>41</v>
      </c>
      <c r="Q825">
        <f t="shared" si="36"/>
        <v>0.53570127504553733</v>
      </c>
      <c r="R825">
        <f>IF(AND(COUNTIF($A$2:$A$2047,A825)&gt;1,COUNTIF($A$2:A825,A825)=1),1,0)</f>
        <v>0</v>
      </c>
      <c r="S825" t="b">
        <f>IFERROR(VLOOKUP(D825,Products!$A$2:$F$61,6,FALSE()),"")</f>
        <v>1</v>
      </c>
      <c r="T825" t="str">
        <f>IF(COUNTIF(Customers!$A$2:$A$301,C825)=0,"Missing","OK")</f>
        <v>OK</v>
      </c>
      <c r="U825" t="str">
        <f t="shared" si="37"/>
        <v>Bengaluru</v>
      </c>
      <c r="V825">
        <f t="shared" si="38"/>
        <v>0</v>
      </c>
    </row>
    <row r="826" spans="1:22" ht="15" customHeight="1" x14ac:dyDescent="0.35">
      <c r="A826" s="3" t="s">
        <v>1240</v>
      </c>
      <c r="B826" s="4">
        <v>45415</v>
      </c>
      <c r="C826" s="3" t="s">
        <v>615</v>
      </c>
      <c r="D826" s="3" t="s">
        <v>187</v>
      </c>
      <c r="E826" s="3" t="s">
        <v>143</v>
      </c>
      <c r="F826" s="5">
        <v>5</v>
      </c>
      <c r="G826" s="5">
        <v>3870</v>
      </c>
      <c r="H826" s="5">
        <v>13.3</v>
      </c>
      <c r="I826" s="5">
        <v>16776.45</v>
      </c>
      <c r="J826" s="3" t="s">
        <v>79</v>
      </c>
      <c r="K826" s="3" t="s">
        <v>27</v>
      </c>
      <c r="L826" t="str">
        <f>IFERROR(VLOOKUP(D826,Products!$A$2:$F$61,3,FALSE()),"")</f>
        <v>Electronics</v>
      </c>
      <c r="M826" t="str">
        <f>IFERROR(VLOOKUP(E826,Sales_Reps!$A$2:$C$31,3,FALSE()),"")</f>
        <v>South</v>
      </c>
      <c r="N826">
        <f>IFERROR(VLOOKUP(D826,Products!$A$2:$F$61,4,FALSE()),"")</f>
        <v>1559</v>
      </c>
      <c r="O826" t="str">
        <f>IFERROR(VLOOKUP(C826,Customers!$A$2:$F$301,5,FALSE()),"")</f>
        <v>SMB</v>
      </c>
      <c r="P826">
        <f>IFERROR(VLOOKUP(C826,Customers!$A$2:$F$301,3,FALSE()),"")</f>
        <v>35</v>
      </c>
      <c r="Q826">
        <f t="shared" si="36"/>
        <v>0.59715762273901807</v>
      </c>
      <c r="R826">
        <f>IF(AND(COUNTIF($A$2:$A$2047,A826)&gt;1,COUNTIF($A$2:A826,A826)=1),1,0)</f>
        <v>0</v>
      </c>
      <c r="S826" t="b">
        <f>IFERROR(VLOOKUP(D826,Products!$A$2:$F$61,6,FALSE()),"")</f>
        <v>1</v>
      </c>
      <c r="T826" t="str">
        <f>IF(COUNTIF(Customers!$A$2:$A$301,C826)=0,"Missing","OK")</f>
        <v>OK</v>
      </c>
      <c r="U826" t="str">
        <f t="shared" si="37"/>
        <v>Pune</v>
      </c>
      <c r="V826">
        <f t="shared" si="38"/>
        <v>0</v>
      </c>
    </row>
    <row r="827" spans="1:22" ht="15" customHeight="1" x14ac:dyDescent="0.35">
      <c r="A827" s="3" t="s">
        <v>1241</v>
      </c>
      <c r="B827" s="4">
        <v>45372</v>
      </c>
      <c r="C827" s="3" t="s">
        <v>628</v>
      </c>
      <c r="D827" s="3" t="s">
        <v>319</v>
      </c>
      <c r="E827" s="3" t="s">
        <v>55</v>
      </c>
      <c r="F827" s="5">
        <v>2</v>
      </c>
      <c r="G827" s="5">
        <v>960</v>
      </c>
      <c r="H827" s="5">
        <v>17.5</v>
      </c>
      <c r="I827" s="5">
        <v>1584</v>
      </c>
      <c r="J827" s="3" t="s">
        <v>26</v>
      </c>
      <c r="K827" s="3" t="s">
        <v>72</v>
      </c>
      <c r="L827" t="str">
        <f>IFERROR(VLOOKUP(D827,Products!$A$2:$F$61,3,FALSE()),"")</f>
        <v>Beauty</v>
      </c>
      <c r="M827" t="str">
        <f>IFERROR(VLOOKUP(E827,Sales_Reps!$A$2:$C$31,3,FALSE()),"")</f>
        <v>West</v>
      </c>
      <c r="N827">
        <f>IFERROR(VLOOKUP(D827,Products!$A$2:$F$61,4,FALSE()),"")</f>
        <v>675</v>
      </c>
      <c r="O827" t="str">
        <f>IFERROR(VLOOKUP(C827,Customers!$A$2:$F$301,5,FALSE()),"")</f>
        <v>Retail</v>
      </c>
      <c r="P827">
        <f>IFERROR(VLOOKUP(C827,Customers!$A$2:$F$301,3,FALSE()),"")</f>
        <v>28</v>
      </c>
      <c r="Q827">
        <f t="shared" si="36"/>
        <v>0.296875</v>
      </c>
      <c r="R827">
        <f>IF(AND(COUNTIF($A$2:$A$2047,A827)&gt;1,COUNTIF($A$2:A827,A827)=1),1,0)</f>
        <v>0</v>
      </c>
      <c r="S827" t="b">
        <f>IFERROR(VLOOKUP(D827,Products!$A$2:$F$61,6,FALSE()),"")</f>
        <v>1</v>
      </c>
      <c r="T827" t="str">
        <f>IF(COUNTIF(Customers!$A$2:$A$301,C827)=0,"Missing","OK")</f>
        <v>OK</v>
      </c>
      <c r="U827" t="str">
        <f t="shared" si="37"/>
        <v>Hyderabad</v>
      </c>
      <c r="V827">
        <f t="shared" si="38"/>
        <v>0</v>
      </c>
    </row>
    <row r="828" spans="1:22" ht="15" customHeight="1" x14ac:dyDescent="0.35">
      <c r="A828" s="3" t="s">
        <v>1242</v>
      </c>
      <c r="B828" s="4">
        <v>45405</v>
      </c>
      <c r="C828" s="3" t="s">
        <v>994</v>
      </c>
      <c r="D828" s="3" t="s">
        <v>123</v>
      </c>
      <c r="E828" s="3" t="s">
        <v>154</v>
      </c>
      <c r="F828" s="5">
        <v>4</v>
      </c>
      <c r="G828" s="5">
        <v>4880</v>
      </c>
      <c r="H828" s="5">
        <v>12.2</v>
      </c>
      <c r="I828" s="5">
        <v>17138.560000000001</v>
      </c>
      <c r="J828" s="3" t="s">
        <v>79</v>
      </c>
      <c r="K828" s="3" t="s">
        <v>51</v>
      </c>
      <c r="L828" t="str">
        <f>IFERROR(VLOOKUP(D828,Products!$A$2:$F$61,3,FALSE()),"")</f>
        <v>Beauty</v>
      </c>
      <c r="M828" t="str">
        <f>IFERROR(VLOOKUP(E828,Sales_Reps!$A$2:$C$31,3,FALSE()),"")</f>
        <v>North</v>
      </c>
      <c r="N828">
        <f>IFERROR(VLOOKUP(D828,Products!$A$2:$F$61,4,FALSE()),"")</f>
        <v>2768</v>
      </c>
      <c r="O828" t="str">
        <f>IFERROR(VLOOKUP(C828,Customers!$A$2:$F$301,5,FALSE()),"")</f>
        <v>Retail</v>
      </c>
      <c r="P828">
        <f>IFERROR(VLOOKUP(C828,Customers!$A$2:$F$301,3,FALSE()),"")</f>
        <v>37</v>
      </c>
      <c r="Q828">
        <f t="shared" si="36"/>
        <v>0.43278688524590164</v>
      </c>
      <c r="R828">
        <f>IF(AND(COUNTIF($A$2:$A$2047,A828)&gt;1,COUNTIF($A$2:A828,A828)=1),1,0)</f>
        <v>0</v>
      </c>
      <c r="S828" t="b">
        <f>IFERROR(VLOOKUP(D828,Products!$A$2:$F$61,6,FALSE()),"")</f>
        <v>1</v>
      </c>
      <c r="T828" t="str">
        <f>IF(COUNTIF(Customers!$A$2:$A$301,C828)=0,"Missing","OK")</f>
        <v>OK</v>
      </c>
      <c r="U828" t="str">
        <f t="shared" si="37"/>
        <v>Mumbai</v>
      </c>
      <c r="V828">
        <f t="shared" si="38"/>
        <v>0</v>
      </c>
    </row>
    <row r="829" spans="1:22" ht="15" customHeight="1" x14ac:dyDescent="0.35">
      <c r="A829" s="3" t="s">
        <v>1243</v>
      </c>
      <c r="B829" s="4">
        <v>45419</v>
      </c>
      <c r="C829" s="3" t="s">
        <v>582</v>
      </c>
      <c r="D829" s="3" t="s">
        <v>90</v>
      </c>
      <c r="E829" s="3" t="s">
        <v>46</v>
      </c>
      <c r="F829" s="5">
        <v>5</v>
      </c>
      <c r="G829" s="5">
        <v>2400</v>
      </c>
      <c r="H829" s="5">
        <v>15</v>
      </c>
      <c r="I829" s="5">
        <v>10200</v>
      </c>
      <c r="J829" s="3" t="s">
        <v>26</v>
      </c>
      <c r="K829" s="3" t="s">
        <v>51</v>
      </c>
      <c r="L829" t="str">
        <f>IFERROR(VLOOKUP(D829,Products!$A$2:$F$61,3,FALSE()),"")</f>
        <v>Sports</v>
      </c>
      <c r="M829" t="str">
        <f>IFERROR(VLOOKUP(E829,Sales_Reps!$A$2:$C$31,3,FALSE()),"")</f>
        <v>North</v>
      </c>
      <c r="N829">
        <f>IFERROR(VLOOKUP(D829,Products!$A$2:$F$61,4,FALSE()),"")</f>
        <v>974</v>
      </c>
      <c r="O829" t="str">
        <f>IFERROR(VLOOKUP(C829,Customers!$A$2:$F$301,5,FALSE()),"")</f>
        <v>SMB</v>
      </c>
      <c r="P829">
        <f>IFERROR(VLOOKUP(C829,Customers!$A$2:$F$301,3,FALSE()),"")</f>
        <v>27</v>
      </c>
      <c r="Q829">
        <f t="shared" si="36"/>
        <v>0.59416666666666662</v>
      </c>
      <c r="R829">
        <f>IF(AND(COUNTIF($A$2:$A$2047,A829)&gt;1,COUNTIF($A$2:A829,A829)=1),1,0)</f>
        <v>0</v>
      </c>
      <c r="S829" t="b">
        <f>IFERROR(VLOOKUP(D829,Products!$A$2:$F$61,6,FALSE()),"")</f>
        <v>1</v>
      </c>
      <c r="T829" t="str">
        <f>IF(COUNTIF(Customers!$A$2:$A$301,C829)=0,"Missing","OK")</f>
        <v>OK</v>
      </c>
      <c r="U829" t="str">
        <f t="shared" si="37"/>
        <v>Mumbai</v>
      </c>
      <c r="V829">
        <f t="shared" si="38"/>
        <v>0</v>
      </c>
    </row>
    <row r="830" spans="1:22" ht="15" customHeight="1" x14ac:dyDescent="0.35">
      <c r="A830" s="3" t="s">
        <v>1244</v>
      </c>
      <c r="B830" s="4">
        <v>45522</v>
      </c>
      <c r="C830" s="3" t="s">
        <v>247</v>
      </c>
      <c r="D830" s="3" t="s">
        <v>231</v>
      </c>
      <c r="E830" s="3" t="s">
        <v>127</v>
      </c>
      <c r="F830" s="5">
        <v>9</v>
      </c>
      <c r="G830" s="5">
        <v>620</v>
      </c>
      <c r="H830" s="5">
        <v>20.399999999999999</v>
      </c>
      <c r="I830" s="5">
        <v>4441.68</v>
      </c>
      <c r="J830" s="3" t="s">
        <v>32</v>
      </c>
      <c r="K830" s="3" t="s">
        <v>27</v>
      </c>
      <c r="L830" t="str">
        <f>IFERROR(VLOOKUP(D830,Products!$A$2:$F$61,3,FALSE()),"")</f>
        <v>Apparel</v>
      </c>
      <c r="M830" t="str">
        <f>IFERROR(VLOOKUP(E830,Sales_Reps!$A$2:$C$31,3,FALSE()),"")</f>
        <v>South</v>
      </c>
      <c r="N830">
        <f>IFERROR(VLOOKUP(D830,Products!$A$2:$F$61,4,FALSE()),"")</f>
        <v>396</v>
      </c>
      <c r="O830" t="str">
        <f>IFERROR(VLOOKUP(C830,Customers!$A$2:$F$301,5,FALSE()),"")</f>
        <v>SMB</v>
      </c>
      <c r="P830">
        <f>IFERROR(VLOOKUP(C830,Customers!$A$2:$F$301,3,FALSE()),"")</f>
        <v>54</v>
      </c>
      <c r="Q830">
        <f t="shared" si="36"/>
        <v>0.36129032258064514</v>
      </c>
      <c r="R830">
        <f>IF(AND(COUNTIF($A$2:$A$2047,A830)&gt;1,COUNTIF($A$2:A830,A830)=1),1,0)</f>
        <v>0</v>
      </c>
      <c r="S830" t="b">
        <f>IFERROR(VLOOKUP(D830,Products!$A$2:$F$61,6,FALSE()),"")</f>
        <v>1</v>
      </c>
      <c r="T830" t="str">
        <f>IF(COUNTIF(Customers!$A$2:$A$301,C830)=0,"Missing","OK")</f>
        <v>OK</v>
      </c>
      <c r="U830" t="str">
        <f t="shared" si="37"/>
        <v>Pune</v>
      </c>
      <c r="V830">
        <f t="shared" si="38"/>
        <v>0</v>
      </c>
    </row>
    <row r="831" spans="1:22" ht="15" customHeight="1" x14ac:dyDescent="0.35">
      <c r="A831" s="3" t="s">
        <v>1245</v>
      </c>
      <c r="B831" s="4">
        <v>45513</v>
      </c>
      <c r="C831" s="3" t="s">
        <v>677</v>
      </c>
      <c r="D831" s="3" t="s">
        <v>209</v>
      </c>
      <c r="E831" s="3" t="s">
        <v>191</v>
      </c>
      <c r="F831" s="5">
        <v>1</v>
      </c>
      <c r="G831" s="5">
        <v>4610</v>
      </c>
      <c r="H831" s="5">
        <v>1.8</v>
      </c>
      <c r="I831" s="5">
        <v>4527.0200000000004</v>
      </c>
      <c r="J831" s="3" t="s">
        <v>32</v>
      </c>
      <c r="K831" s="3" t="s">
        <v>27</v>
      </c>
      <c r="L831" t="str">
        <f>IFERROR(VLOOKUP(D831,Products!$A$2:$F$61,3,FALSE()),"")</f>
        <v>Home</v>
      </c>
      <c r="M831" t="str">
        <f>IFERROR(VLOOKUP(E831,Sales_Reps!$A$2:$C$31,3,FALSE()),"")</f>
        <v>South</v>
      </c>
      <c r="N831">
        <f>IFERROR(VLOOKUP(D831,Products!$A$2:$F$61,4,FALSE()),"")</f>
        <v>1850</v>
      </c>
      <c r="O831" t="str">
        <f>IFERROR(VLOOKUP(C831,Customers!$A$2:$F$301,5,FALSE()),"")</f>
        <v>Retail</v>
      </c>
      <c r="P831">
        <f>IFERROR(VLOOKUP(C831,Customers!$A$2:$F$301,3,FALSE()),"")</f>
        <v>36</v>
      </c>
      <c r="Q831">
        <f t="shared" si="36"/>
        <v>0.59869848156182215</v>
      </c>
      <c r="R831">
        <f>IF(AND(COUNTIF($A$2:$A$2047,A831)&gt;1,COUNTIF($A$2:A831,A831)=1),1,0)</f>
        <v>0</v>
      </c>
      <c r="S831" t="b">
        <f>IFERROR(VLOOKUP(D831,Products!$A$2:$F$61,6,FALSE()),"")</f>
        <v>1</v>
      </c>
      <c r="T831" t="str">
        <f>IF(COUNTIF(Customers!$A$2:$A$301,C831)=0,"Missing","OK")</f>
        <v>OK</v>
      </c>
      <c r="U831" t="str">
        <f t="shared" si="37"/>
        <v>Pune</v>
      </c>
      <c r="V831">
        <f t="shared" si="38"/>
        <v>0</v>
      </c>
    </row>
    <row r="832" spans="1:22" ht="15" customHeight="1" x14ac:dyDescent="0.35">
      <c r="A832" s="3" t="s">
        <v>1246</v>
      </c>
      <c r="B832" s="4">
        <v>45500</v>
      </c>
      <c r="C832" s="3" t="s">
        <v>1247</v>
      </c>
      <c r="D832" s="3" t="s">
        <v>209</v>
      </c>
      <c r="E832" s="3" t="s">
        <v>37</v>
      </c>
      <c r="F832" s="5">
        <v>7</v>
      </c>
      <c r="G832" s="5">
        <v>4610</v>
      </c>
      <c r="H832" s="5">
        <v>27</v>
      </c>
      <c r="I832" s="5">
        <v>23557.1</v>
      </c>
      <c r="J832" s="3" t="s">
        <v>26</v>
      </c>
      <c r="K832" s="3" t="s">
        <v>33</v>
      </c>
      <c r="L832" t="str">
        <f>IFERROR(VLOOKUP(D832,Products!$A$2:$F$61,3,FALSE()),"")</f>
        <v>Home</v>
      </c>
      <c r="M832" t="str">
        <f>IFERROR(VLOOKUP(E832,Sales_Reps!$A$2:$C$31,3,FALSE()),"")</f>
        <v>South</v>
      </c>
      <c r="N832">
        <f>IFERROR(VLOOKUP(D832,Products!$A$2:$F$61,4,FALSE()),"")</f>
        <v>1850</v>
      </c>
      <c r="O832" t="str">
        <f>IFERROR(VLOOKUP(C832,Customers!$A$2:$F$301,5,FALSE()),"")</f>
        <v>SMB</v>
      </c>
      <c r="P832">
        <f>IFERROR(VLOOKUP(C832,Customers!$A$2:$F$301,3,FALSE()),"")</f>
        <v>51</v>
      </c>
      <c r="Q832">
        <f t="shared" si="36"/>
        <v>0.59869848156182215</v>
      </c>
      <c r="R832">
        <f>IF(AND(COUNTIF($A$2:$A$2047,A832)&gt;1,COUNTIF($A$2:A832,A832)=1),1,0)</f>
        <v>0</v>
      </c>
      <c r="S832" t="b">
        <f>IFERROR(VLOOKUP(D832,Products!$A$2:$F$61,6,FALSE()),"")</f>
        <v>1</v>
      </c>
      <c r="T832" t="str">
        <f>IF(COUNTIF(Customers!$A$2:$A$301,C832)=0,"Missing","OK")</f>
        <v>OK</v>
      </c>
      <c r="U832" t="str">
        <f t="shared" si="37"/>
        <v>Chennai</v>
      </c>
      <c r="V832">
        <f t="shared" si="38"/>
        <v>0</v>
      </c>
    </row>
    <row r="833" spans="1:22" ht="15" customHeight="1" x14ac:dyDescent="0.35">
      <c r="A833" s="3" t="s">
        <v>1248</v>
      </c>
      <c r="B833" s="4">
        <v>45608</v>
      </c>
      <c r="C833" s="3" t="s">
        <v>905</v>
      </c>
      <c r="D833" s="3" t="s">
        <v>66</v>
      </c>
      <c r="E833" s="3" t="s">
        <v>168</v>
      </c>
      <c r="F833" s="5">
        <v>6</v>
      </c>
      <c r="G833" s="5">
        <v>970</v>
      </c>
      <c r="H833" s="5">
        <v>4.7</v>
      </c>
      <c r="I833" s="5">
        <v>5546.46</v>
      </c>
      <c r="J833" s="3" t="s">
        <v>79</v>
      </c>
      <c r="K833" s="3" t="s">
        <v>72</v>
      </c>
      <c r="L833" t="str">
        <f>IFERROR(VLOOKUP(D833,Products!$A$2:$F$61,3,FALSE()),"")</f>
        <v>Grocery</v>
      </c>
      <c r="M833" t="str">
        <f>IFERROR(VLOOKUP(E833,Sales_Reps!$A$2:$C$31,3,FALSE()),"")</f>
        <v>West</v>
      </c>
      <c r="N833">
        <f>IFERROR(VLOOKUP(D833,Products!$A$2:$F$61,4,FALSE()),"")</f>
        <v>434</v>
      </c>
      <c r="O833" t="str">
        <f>IFERROR(VLOOKUP(C833,Customers!$A$2:$F$301,5,FALSE()),"")</f>
        <v>SMB</v>
      </c>
      <c r="P833">
        <f>IFERROR(VLOOKUP(C833,Customers!$A$2:$F$301,3,FALSE()),"")</f>
        <v>31</v>
      </c>
      <c r="Q833">
        <f t="shared" si="36"/>
        <v>0.5525773195876289</v>
      </c>
      <c r="R833">
        <f>IF(AND(COUNTIF($A$2:$A$2047,A833)&gt;1,COUNTIF($A$2:A833,A833)=1),1,0)</f>
        <v>0</v>
      </c>
      <c r="S833" t="b">
        <f>IFERROR(VLOOKUP(D833,Products!$A$2:$F$61,6,FALSE()),"")</f>
        <v>1</v>
      </c>
      <c r="T833" t="str">
        <f>IF(COUNTIF(Customers!$A$2:$A$301,C833)=0,"Missing","OK")</f>
        <v>OK</v>
      </c>
      <c r="U833" t="str">
        <f t="shared" si="37"/>
        <v>Hyderabad</v>
      </c>
      <c r="V833">
        <f t="shared" si="38"/>
        <v>0</v>
      </c>
    </row>
    <row r="834" spans="1:22" ht="15" customHeight="1" x14ac:dyDescent="0.35">
      <c r="A834" s="3" t="s">
        <v>1249</v>
      </c>
      <c r="B834" s="4">
        <v>45362</v>
      </c>
      <c r="C834" s="3" t="s">
        <v>411</v>
      </c>
      <c r="D834" s="3" t="s">
        <v>59</v>
      </c>
      <c r="E834" s="3" t="s">
        <v>140</v>
      </c>
      <c r="F834" s="5">
        <v>8</v>
      </c>
      <c r="G834" s="5">
        <v>1430</v>
      </c>
      <c r="H834" s="5">
        <v>8.6999999999999993</v>
      </c>
      <c r="I834" s="5">
        <v>10444.719999999999</v>
      </c>
      <c r="J834" s="3" t="s">
        <v>26</v>
      </c>
      <c r="K834" s="3" t="s">
        <v>33</v>
      </c>
      <c r="L834" t="str">
        <f>IFERROR(VLOOKUP(D834,Products!$A$2:$F$61,3,FALSE()),"")</f>
        <v>Electronics</v>
      </c>
      <c r="M834" t="str">
        <f>IFERROR(VLOOKUP(E834,Sales_Reps!$A$2:$C$31,3,FALSE()),"")</f>
        <v>West</v>
      </c>
      <c r="N834">
        <f>IFERROR(VLOOKUP(D834,Products!$A$2:$F$61,4,FALSE()),"")</f>
        <v>861</v>
      </c>
      <c r="O834" t="str">
        <f>IFERROR(VLOOKUP(C834,Customers!$A$2:$F$301,5,FALSE()),"")</f>
        <v>Corporate</v>
      </c>
      <c r="P834">
        <f>IFERROR(VLOOKUP(C834,Customers!$A$2:$F$301,3,FALSE()),"")</f>
        <v>35</v>
      </c>
      <c r="Q834">
        <f t="shared" ref="Q834:Q897" si="39">IFERROR((G834-N834)/G834,"")</f>
        <v>0.39790209790209791</v>
      </c>
      <c r="R834">
        <f>IF(AND(COUNTIF($A$2:$A$2047,A834)&gt;1,COUNTIF($A$2:A834,A834)=1),1,0)</f>
        <v>0</v>
      </c>
      <c r="S834" t="b">
        <f>IFERROR(VLOOKUP(D834,Products!$A$2:$F$61,6,FALSE()),"")</f>
        <v>1</v>
      </c>
      <c r="T834" t="str">
        <f>IF(COUNTIF(Customers!$A$2:$A$301,C834)=0,"Missing","OK")</f>
        <v>OK</v>
      </c>
      <c r="U834" t="str">
        <f t="shared" ref="U834:U897" si="40">IF(K834="","",PROPER(TRIM(K834)))</f>
        <v>Chennai</v>
      </c>
      <c r="V834">
        <f t="shared" ref="V834:V897" si="41">IF(AND(U834="Bengaluru",L834="Grocery"),I834,0)</f>
        <v>0</v>
      </c>
    </row>
    <row r="835" spans="1:22" ht="15" customHeight="1" x14ac:dyDescent="0.35">
      <c r="A835" s="3" t="s">
        <v>1250</v>
      </c>
      <c r="B835" s="4">
        <v>45348</v>
      </c>
      <c r="C835" s="3" t="s">
        <v>158</v>
      </c>
      <c r="D835" s="3" t="s">
        <v>173</v>
      </c>
      <c r="E835" s="3" t="s">
        <v>212</v>
      </c>
      <c r="F835" s="5">
        <v>5</v>
      </c>
      <c r="G835" s="5">
        <v>3780</v>
      </c>
      <c r="H835" s="5">
        <v>2.9</v>
      </c>
      <c r="I835" s="5">
        <v>18351.900000000001</v>
      </c>
      <c r="J835" s="3" t="s">
        <v>26</v>
      </c>
      <c r="K835" s="3" t="s">
        <v>38</v>
      </c>
      <c r="L835" t="str">
        <f>IFERROR(VLOOKUP(D835,Products!$A$2:$F$61,3,FALSE()),"")</f>
        <v>Grocery</v>
      </c>
      <c r="M835" t="str">
        <f>IFERROR(VLOOKUP(E835,Sales_Reps!$A$2:$C$31,3,FALSE()),"")</f>
        <v>South</v>
      </c>
      <c r="N835">
        <f>IFERROR(VLOOKUP(D835,Products!$A$2:$F$61,4,FALSE()),"")</f>
        <v>2436</v>
      </c>
      <c r="O835" t="str">
        <f>IFERROR(VLOOKUP(C835,Customers!$A$2:$F$301,5,FALSE()),"")</f>
        <v>SMB</v>
      </c>
      <c r="P835">
        <f>IFERROR(VLOOKUP(C835,Customers!$A$2:$F$301,3,FALSE()),"")</f>
        <v>50</v>
      </c>
      <c r="Q835">
        <f t="shared" si="39"/>
        <v>0.35555555555555557</v>
      </c>
      <c r="R835">
        <f>IF(AND(COUNTIF($A$2:$A$2047,A835)&gt;1,COUNTIF($A$2:A835,A835)=1),1,0)</f>
        <v>0</v>
      </c>
      <c r="S835" t="b">
        <f>IFERROR(VLOOKUP(D835,Products!$A$2:$F$61,6,FALSE()),"")</f>
        <v>1</v>
      </c>
      <c r="T835" t="str">
        <f>IF(COUNTIF(Customers!$A$2:$A$301,C835)=0,"Missing","OK")</f>
        <v>OK</v>
      </c>
      <c r="U835" t="str">
        <f t="shared" si="40"/>
        <v>Delhi</v>
      </c>
      <c r="V835">
        <f t="shared" si="41"/>
        <v>0</v>
      </c>
    </row>
    <row r="836" spans="1:22" ht="15" customHeight="1" x14ac:dyDescent="0.35">
      <c r="A836" s="3" t="s">
        <v>1251</v>
      </c>
      <c r="B836" s="4">
        <v>45532</v>
      </c>
      <c r="C836" s="3" t="s">
        <v>440</v>
      </c>
      <c r="D836" s="3" t="s">
        <v>198</v>
      </c>
      <c r="E836" s="3" t="s">
        <v>93</v>
      </c>
      <c r="F836" s="5">
        <v>2</v>
      </c>
      <c r="G836" s="5">
        <v>1540</v>
      </c>
      <c r="H836" s="5">
        <v>12.7</v>
      </c>
      <c r="I836" s="5">
        <v>2688.84</v>
      </c>
      <c r="J836" s="3" t="s">
        <v>26</v>
      </c>
      <c r="K836" s="3" t="s">
        <v>72</v>
      </c>
      <c r="L836" t="str">
        <f>IFERROR(VLOOKUP(D836,Products!$A$2:$F$61,3,FALSE()),"")</f>
        <v>Beauty</v>
      </c>
      <c r="M836" t="str">
        <f>IFERROR(VLOOKUP(E836,Sales_Reps!$A$2:$C$31,3,FALSE()),"")</f>
        <v>East</v>
      </c>
      <c r="N836">
        <f>IFERROR(VLOOKUP(D836,Products!$A$2:$F$61,4,FALSE()),"")</f>
        <v>647</v>
      </c>
      <c r="O836" t="str">
        <f>IFERROR(VLOOKUP(C836,Customers!$A$2:$F$301,5,FALSE()),"")</f>
        <v>SMB</v>
      </c>
      <c r="P836">
        <f>IFERROR(VLOOKUP(C836,Customers!$A$2:$F$301,3,FALSE()),"")</f>
        <v>65</v>
      </c>
      <c r="Q836">
        <f t="shared" si="39"/>
        <v>0.57987012987012987</v>
      </c>
      <c r="R836">
        <f>IF(AND(COUNTIF($A$2:$A$2047,A836)&gt;1,COUNTIF($A$2:A836,A836)=1),1,0)</f>
        <v>0</v>
      </c>
      <c r="S836" t="b">
        <f>IFERROR(VLOOKUP(D836,Products!$A$2:$F$61,6,FALSE()),"")</f>
        <v>0</v>
      </c>
      <c r="T836" t="str">
        <f>IF(COUNTIF(Customers!$A$2:$A$301,C836)=0,"Missing","OK")</f>
        <v>OK</v>
      </c>
      <c r="U836" t="str">
        <f t="shared" si="40"/>
        <v>Hyderabad</v>
      </c>
      <c r="V836">
        <f t="shared" si="41"/>
        <v>0</v>
      </c>
    </row>
    <row r="837" spans="1:22" ht="15" customHeight="1" x14ac:dyDescent="0.35">
      <c r="A837" s="3" t="s">
        <v>1252</v>
      </c>
      <c r="B837" s="4">
        <v>45492</v>
      </c>
      <c r="C837" s="3" t="s">
        <v>1111</v>
      </c>
      <c r="D837" s="3" t="s">
        <v>103</v>
      </c>
      <c r="E837" s="3" t="s">
        <v>131</v>
      </c>
      <c r="F837" s="5">
        <v>9</v>
      </c>
      <c r="G837" s="5">
        <v>1080</v>
      </c>
      <c r="H837" s="5">
        <v>11.2</v>
      </c>
      <c r="I837" s="5">
        <v>8631.36</v>
      </c>
      <c r="J837" s="3" t="s">
        <v>79</v>
      </c>
      <c r="K837" s="3" t="s">
        <v>27</v>
      </c>
      <c r="L837" t="str">
        <f>IFERROR(VLOOKUP(D837,Products!$A$2:$F$61,3,FALSE()),"")</f>
        <v>Home</v>
      </c>
      <c r="M837" t="str">
        <f>IFERROR(VLOOKUP(E837,Sales_Reps!$A$2:$C$31,3,FALSE()),"")</f>
        <v>East</v>
      </c>
      <c r="N837">
        <f>IFERROR(VLOOKUP(D837,Products!$A$2:$F$61,4,FALSE()),"")</f>
        <v>519</v>
      </c>
      <c r="O837" t="str">
        <f>IFERROR(VLOOKUP(C837,Customers!$A$2:$F$301,5,FALSE()),"")</f>
        <v>Retail</v>
      </c>
      <c r="P837">
        <f>IFERROR(VLOOKUP(C837,Customers!$A$2:$F$301,3,FALSE()),"")</f>
        <v>39</v>
      </c>
      <c r="Q837">
        <f t="shared" si="39"/>
        <v>0.51944444444444449</v>
      </c>
      <c r="R837">
        <f>IF(AND(COUNTIF($A$2:$A$2047,A837)&gt;1,COUNTIF($A$2:A837,A837)=1),1,0)</f>
        <v>0</v>
      </c>
      <c r="S837" t="b">
        <f>IFERROR(VLOOKUP(D837,Products!$A$2:$F$61,6,FALSE()),"")</f>
        <v>1</v>
      </c>
      <c r="T837" t="str">
        <f>IF(COUNTIF(Customers!$A$2:$A$301,C837)=0,"Missing","OK")</f>
        <v>OK</v>
      </c>
      <c r="U837" t="str">
        <f t="shared" si="40"/>
        <v>Pune</v>
      </c>
      <c r="V837">
        <f t="shared" si="41"/>
        <v>0</v>
      </c>
    </row>
    <row r="838" spans="1:22" ht="15" customHeight="1" x14ac:dyDescent="0.35">
      <c r="A838" s="3" t="s">
        <v>1253</v>
      </c>
      <c r="B838" s="4">
        <v>45368</v>
      </c>
      <c r="C838" s="3" t="s">
        <v>887</v>
      </c>
      <c r="D838" s="3" t="s">
        <v>90</v>
      </c>
      <c r="E838" s="3" t="s">
        <v>25</v>
      </c>
      <c r="F838" s="5">
        <v>3</v>
      </c>
      <c r="G838" s="5">
        <v>2400</v>
      </c>
      <c r="H838" s="5">
        <v>28.6</v>
      </c>
      <c r="I838" s="5">
        <v>5140.8</v>
      </c>
      <c r="J838" s="3" t="s">
        <v>26</v>
      </c>
      <c r="K838" s="3" t="s">
        <v>27</v>
      </c>
      <c r="L838" t="str">
        <f>IFERROR(VLOOKUP(D838,Products!$A$2:$F$61,3,FALSE()),"")</f>
        <v>Sports</v>
      </c>
      <c r="M838" t="str">
        <f>IFERROR(VLOOKUP(E838,Sales_Reps!$A$2:$C$31,3,FALSE()),"")</f>
        <v>North</v>
      </c>
      <c r="N838">
        <f>IFERROR(VLOOKUP(D838,Products!$A$2:$F$61,4,FALSE()),"")</f>
        <v>974</v>
      </c>
      <c r="O838" t="str">
        <f>IFERROR(VLOOKUP(C838,Customers!$A$2:$F$301,5,FALSE()),"")</f>
        <v>Retail</v>
      </c>
      <c r="P838">
        <f>IFERROR(VLOOKUP(C838,Customers!$A$2:$F$301,3,FALSE()),"")</f>
        <v>65</v>
      </c>
      <c r="Q838">
        <f t="shared" si="39"/>
        <v>0.59416666666666662</v>
      </c>
      <c r="R838">
        <f>IF(AND(COUNTIF($A$2:$A$2047,A838)&gt;1,COUNTIF($A$2:A838,A838)=1),1,0)</f>
        <v>0</v>
      </c>
      <c r="S838" t="b">
        <f>IFERROR(VLOOKUP(D838,Products!$A$2:$F$61,6,FALSE()),"")</f>
        <v>1</v>
      </c>
      <c r="T838" t="str">
        <f>IF(COUNTIF(Customers!$A$2:$A$301,C838)=0,"Missing","OK")</f>
        <v>OK</v>
      </c>
      <c r="U838" t="str">
        <f t="shared" si="40"/>
        <v>Pune</v>
      </c>
      <c r="V838">
        <f t="shared" si="41"/>
        <v>0</v>
      </c>
    </row>
    <row r="839" spans="1:22" ht="15" customHeight="1" x14ac:dyDescent="0.35">
      <c r="A839" s="3" t="s">
        <v>1254</v>
      </c>
      <c r="B839" s="4">
        <v>45448</v>
      </c>
      <c r="C839" s="3" t="s">
        <v>92</v>
      </c>
      <c r="D839" s="3" t="s">
        <v>103</v>
      </c>
      <c r="E839" s="3" t="s">
        <v>242</v>
      </c>
      <c r="F839" s="5">
        <v>5</v>
      </c>
      <c r="G839" s="5">
        <v>1080</v>
      </c>
      <c r="H839" s="5">
        <v>18.3</v>
      </c>
      <c r="I839" s="5">
        <v>4411.8</v>
      </c>
      <c r="J839" s="3" t="s">
        <v>26</v>
      </c>
      <c r="K839" s="3" t="s">
        <v>56</v>
      </c>
      <c r="L839" t="str">
        <f>IFERROR(VLOOKUP(D839,Products!$A$2:$F$61,3,FALSE()),"")</f>
        <v>Home</v>
      </c>
      <c r="M839" t="str">
        <f>IFERROR(VLOOKUP(E839,Sales_Reps!$A$2:$C$31,3,FALSE()),"")</f>
        <v>East</v>
      </c>
      <c r="N839">
        <f>IFERROR(VLOOKUP(D839,Products!$A$2:$F$61,4,FALSE()),"")</f>
        <v>519</v>
      </c>
      <c r="O839" t="str">
        <f>IFERROR(VLOOKUP(C839,Customers!$A$2:$F$301,5,FALSE()),"")</f>
        <v>SMB</v>
      </c>
      <c r="P839">
        <f>IFERROR(VLOOKUP(C839,Customers!$A$2:$F$301,3,FALSE()),"")</f>
        <v>46</v>
      </c>
      <c r="Q839">
        <f t="shared" si="39"/>
        <v>0.51944444444444449</v>
      </c>
      <c r="R839">
        <f>IF(AND(COUNTIF($A$2:$A$2047,A839)&gt;1,COUNTIF($A$2:A839,A839)=1),1,0)</f>
        <v>0</v>
      </c>
      <c r="S839" t="b">
        <f>IFERROR(VLOOKUP(D839,Products!$A$2:$F$61,6,FALSE()),"")</f>
        <v>1</v>
      </c>
      <c r="T839" t="str">
        <f>IF(COUNTIF(Customers!$A$2:$A$301,C839)=0,"Missing","OK")</f>
        <v>OK</v>
      </c>
      <c r="U839" t="str">
        <f t="shared" si="40"/>
        <v>Bengaluru</v>
      </c>
      <c r="V839">
        <f t="shared" si="41"/>
        <v>0</v>
      </c>
    </row>
    <row r="840" spans="1:22" ht="15" customHeight="1" x14ac:dyDescent="0.35">
      <c r="A840" s="3" t="s">
        <v>1255</v>
      </c>
      <c r="B840" s="4">
        <v>45610</v>
      </c>
      <c r="C840" s="3" t="s">
        <v>340</v>
      </c>
      <c r="D840" s="3" t="s">
        <v>70</v>
      </c>
      <c r="E840" s="3" t="s">
        <v>282</v>
      </c>
      <c r="F840" s="5">
        <v>7</v>
      </c>
      <c r="G840" s="5">
        <v>2270</v>
      </c>
      <c r="H840" s="5">
        <v>1.7</v>
      </c>
      <c r="I840" s="5">
        <v>15619.87</v>
      </c>
      <c r="J840" s="3" t="s">
        <v>79</v>
      </c>
      <c r="K840" s="3" t="s">
        <v>33</v>
      </c>
      <c r="L840" t="str">
        <f>IFERROR(VLOOKUP(D840,Products!$A$2:$F$61,3,FALSE()),"")</f>
        <v>Grocery</v>
      </c>
      <c r="M840" t="str">
        <f>IFERROR(VLOOKUP(E840,Sales_Reps!$A$2:$C$31,3,FALSE()),"")</f>
        <v>West</v>
      </c>
      <c r="N840">
        <f>IFERROR(VLOOKUP(D840,Products!$A$2:$F$61,4,FALSE()),"")</f>
        <v>1203</v>
      </c>
      <c r="O840" t="str">
        <f>IFERROR(VLOOKUP(C840,Customers!$A$2:$F$301,5,FALSE()),"")</f>
        <v>SMB</v>
      </c>
      <c r="P840">
        <f>IFERROR(VLOOKUP(C840,Customers!$A$2:$F$301,3,FALSE()),"")</f>
        <v>51</v>
      </c>
      <c r="Q840">
        <f t="shared" si="39"/>
        <v>0.47004405286343615</v>
      </c>
      <c r="R840">
        <f>IF(AND(COUNTIF($A$2:$A$2047,A840)&gt;1,COUNTIF($A$2:A840,A840)=1),1,0)</f>
        <v>0</v>
      </c>
      <c r="S840" t="b">
        <f>IFERROR(VLOOKUP(D840,Products!$A$2:$F$61,6,FALSE()),"")</f>
        <v>1</v>
      </c>
      <c r="T840" t="str">
        <f>IF(COUNTIF(Customers!$A$2:$A$301,C840)=0,"Missing","OK")</f>
        <v>OK</v>
      </c>
      <c r="U840" t="str">
        <f t="shared" si="40"/>
        <v>Chennai</v>
      </c>
      <c r="V840">
        <f t="shared" si="41"/>
        <v>0</v>
      </c>
    </row>
    <row r="841" spans="1:22" ht="15" customHeight="1" x14ac:dyDescent="0.35">
      <c r="A841" s="3" t="s">
        <v>1256</v>
      </c>
      <c r="B841" s="4">
        <v>45438</v>
      </c>
      <c r="C841" s="3" t="s">
        <v>582</v>
      </c>
      <c r="D841" s="3" t="s">
        <v>41</v>
      </c>
      <c r="E841" s="3" t="s">
        <v>140</v>
      </c>
      <c r="F841" s="5">
        <v>8</v>
      </c>
      <c r="G841" s="5">
        <v>3660</v>
      </c>
      <c r="H841" s="5">
        <v>19.100000000000001</v>
      </c>
      <c r="I841" s="5">
        <v>23687.52</v>
      </c>
      <c r="J841" s="3" t="s">
        <v>79</v>
      </c>
      <c r="K841" s="3" t="s">
        <v>51</v>
      </c>
      <c r="L841" t="str">
        <f>IFERROR(VLOOKUP(D841,Products!$A$2:$F$61,3,FALSE()),"")</f>
        <v>Grocery</v>
      </c>
      <c r="M841" t="str">
        <f>IFERROR(VLOOKUP(E841,Sales_Reps!$A$2:$C$31,3,FALSE()),"")</f>
        <v>West</v>
      </c>
      <c r="N841">
        <f>IFERROR(VLOOKUP(D841,Products!$A$2:$F$61,4,FALSE()),"")</f>
        <v>2214</v>
      </c>
      <c r="O841" t="str">
        <f>IFERROR(VLOOKUP(C841,Customers!$A$2:$F$301,5,FALSE()),"")</f>
        <v>SMB</v>
      </c>
      <c r="P841">
        <f>IFERROR(VLOOKUP(C841,Customers!$A$2:$F$301,3,FALSE()),"")</f>
        <v>27</v>
      </c>
      <c r="Q841">
        <f t="shared" si="39"/>
        <v>0.39508196721311473</v>
      </c>
      <c r="R841">
        <f>IF(AND(COUNTIF($A$2:$A$2047,A841)&gt;1,COUNTIF($A$2:A841,A841)=1),1,0)</f>
        <v>0</v>
      </c>
      <c r="S841" t="b">
        <f>IFERROR(VLOOKUP(D841,Products!$A$2:$F$61,6,FALSE()),"")</f>
        <v>0</v>
      </c>
      <c r="T841" t="str">
        <f>IF(COUNTIF(Customers!$A$2:$A$301,C841)=0,"Missing","OK")</f>
        <v>OK</v>
      </c>
      <c r="U841" t="str">
        <f t="shared" si="40"/>
        <v>Mumbai</v>
      </c>
      <c r="V841">
        <f t="shared" si="41"/>
        <v>0</v>
      </c>
    </row>
    <row r="842" spans="1:22" ht="15" customHeight="1" x14ac:dyDescent="0.35">
      <c r="A842" s="3" t="s">
        <v>1257</v>
      </c>
      <c r="B842" s="4">
        <v>45477</v>
      </c>
      <c r="C842" s="3" t="s">
        <v>472</v>
      </c>
      <c r="D842" s="3" t="s">
        <v>82</v>
      </c>
      <c r="E842" s="3" t="s">
        <v>87</v>
      </c>
      <c r="F842" s="5">
        <v>5</v>
      </c>
      <c r="G842" s="5">
        <v>3250</v>
      </c>
      <c r="H842" s="5">
        <v>12.9</v>
      </c>
      <c r="I842" s="5">
        <v>14153.75</v>
      </c>
      <c r="J842" s="3" t="s">
        <v>26</v>
      </c>
      <c r="K842" s="3" t="s">
        <v>38</v>
      </c>
      <c r="L842" t="str">
        <f>IFERROR(VLOOKUP(D842,Products!$A$2:$F$61,3,FALSE()),"")</f>
        <v>Home</v>
      </c>
      <c r="M842" t="str">
        <f>IFERROR(VLOOKUP(E842,Sales_Reps!$A$2:$C$31,3,FALSE()),"")</f>
        <v>North</v>
      </c>
      <c r="N842">
        <f>IFERROR(VLOOKUP(D842,Products!$A$2:$F$61,4,FALSE()),"")</f>
        <v>1556</v>
      </c>
      <c r="O842" t="str">
        <f>IFERROR(VLOOKUP(C842,Customers!$A$2:$F$301,5,FALSE()),"")</f>
        <v>SMB</v>
      </c>
      <c r="P842">
        <f>IFERROR(VLOOKUP(C842,Customers!$A$2:$F$301,3,FALSE()),"")</f>
        <v>48</v>
      </c>
      <c r="Q842">
        <f t="shared" si="39"/>
        <v>0.52123076923076928</v>
      </c>
      <c r="R842">
        <f>IF(AND(COUNTIF($A$2:$A$2047,A842)&gt;1,COUNTIF($A$2:A842,A842)=1),1,0)</f>
        <v>0</v>
      </c>
      <c r="S842" t="b">
        <f>IFERROR(VLOOKUP(D842,Products!$A$2:$F$61,6,FALSE()),"")</f>
        <v>1</v>
      </c>
      <c r="T842" t="str">
        <f>IF(COUNTIF(Customers!$A$2:$A$301,C842)=0,"Missing","OK")</f>
        <v>OK</v>
      </c>
      <c r="U842" t="str">
        <f t="shared" si="40"/>
        <v>Delhi</v>
      </c>
      <c r="V842">
        <f t="shared" si="41"/>
        <v>0</v>
      </c>
    </row>
    <row r="843" spans="1:22" ht="15" customHeight="1" x14ac:dyDescent="0.35">
      <c r="A843" s="3" t="s">
        <v>1258</v>
      </c>
      <c r="B843" s="4">
        <v>45328</v>
      </c>
      <c r="C843" s="3" t="s">
        <v>502</v>
      </c>
      <c r="D843" s="3" t="s">
        <v>115</v>
      </c>
      <c r="E843" s="3" t="s">
        <v>264</v>
      </c>
      <c r="F843" s="5">
        <v>4</v>
      </c>
      <c r="G843" s="5">
        <v>1650</v>
      </c>
      <c r="H843" s="5">
        <v>4.0999999999999996</v>
      </c>
      <c r="I843" s="5">
        <v>6329.4</v>
      </c>
      <c r="J843" s="3" t="s">
        <v>26</v>
      </c>
      <c r="K843" s="3" t="s">
        <v>27</v>
      </c>
      <c r="L843" t="str">
        <f>IFERROR(VLOOKUP(D843,Products!$A$2:$F$61,3,FALSE()),"")</f>
        <v>Beauty</v>
      </c>
      <c r="M843" t="str">
        <f>IFERROR(VLOOKUP(E843,Sales_Reps!$A$2:$C$31,3,FALSE()),"")</f>
        <v>South</v>
      </c>
      <c r="N843">
        <f>IFERROR(VLOOKUP(D843,Products!$A$2:$F$61,4,FALSE()),"")</f>
        <v>1222</v>
      </c>
      <c r="O843" t="str">
        <f>IFERROR(VLOOKUP(C843,Customers!$A$2:$F$301,5,FALSE()),"")</f>
        <v>SMB</v>
      </c>
      <c r="P843">
        <f>IFERROR(VLOOKUP(C843,Customers!$A$2:$F$301,3,FALSE()),"")</f>
        <v>24</v>
      </c>
      <c r="Q843">
        <f t="shared" si="39"/>
        <v>0.2593939393939394</v>
      </c>
      <c r="R843">
        <f>IF(AND(COUNTIF($A$2:$A$2047,A843)&gt;1,COUNTIF($A$2:A843,A843)=1),1,0)</f>
        <v>0</v>
      </c>
      <c r="S843" t="b">
        <f>IFERROR(VLOOKUP(D843,Products!$A$2:$F$61,6,FALSE()),"")</f>
        <v>1</v>
      </c>
      <c r="T843" t="str">
        <f>IF(COUNTIF(Customers!$A$2:$A$301,C843)=0,"Missing","OK")</f>
        <v>OK</v>
      </c>
      <c r="U843" t="str">
        <f t="shared" si="40"/>
        <v>Pune</v>
      </c>
      <c r="V843">
        <f t="shared" si="41"/>
        <v>0</v>
      </c>
    </row>
    <row r="844" spans="1:22" ht="15" customHeight="1" x14ac:dyDescent="0.35">
      <c r="A844" s="3" t="s">
        <v>1259</v>
      </c>
      <c r="B844" s="4">
        <v>45624</v>
      </c>
      <c r="C844" s="3" t="s">
        <v>233</v>
      </c>
      <c r="D844" s="3" t="s">
        <v>382</v>
      </c>
      <c r="E844" s="3" t="s">
        <v>87</v>
      </c>
      <c r="F844" s="5">
        <v>6</v>
      </c>
      <c r="G844" s="5">
        <v>5080</v>
      </c>
      <c r="H844" s="5">
        <v>3</v>
      </c>
      <c r="I844" s="5">
        <v>29565.599999999999</v>
      </c>
      <c r="J844" s="3" t="s">
        <v>26</v>
      </c>
      <c r="K844" s="3" t="s">
        <v>72</v>
      </c>
      <c r="L844" t="str">
        <f>IFERROR(VLOOKUP(D844,Products!$A$2:$F$61,3,FALSE()),"")</f>
        <v>Home</v>
      </c>
      <c r="M844" t="str">
        <f>IFERROR(VLOOKUP(E844,Sales_Reps!$A$2:$C$31,3,FALSE()),"")</f>
        <v>North</v>
      </c>
      <c r="N844">
        <f>IFERROR(VLOOKUP(D844,Products!$A$2:$F$61,4,FALSE()),"")</f>
        <v>2459</v>
      </c>
      <c r="O844" t="str">
        <f>IFERROR(VLOOKUP(C844,Customers!$A$2:$F$301,5,FALSE()),"")</f>
        <v>SMB</v>
      </c>
      <c r="P844">
        <f>IFERROR(VLOOKUP(C844,Customers!$A$2:$F$301,3,FALSE()),"")</f>
        <v>43</v>
      </c>
      <c r="Q844">
        <f t="shared" si="39"/>
        <v>0.51594488188976373</v>
      </c>
      <c r="R844">
        <f>IF(AND(COUNTIF($A$2:$A$2047,A844)&gt;1,COUNTIF($A$2:A844,A844)=1),1,0)</f>
        <v>0</v>
      </c>
      <c r="S844" t="b">
        <f>IFERROR(VLOOKUP(D844,Products!$A$2:$F$61,6,FALSE()),"")</f>
        <v>1</v>
      </c>
      <c r="T844" t="str">
        <f>IF(COUNTIF(Customers!$A$2:$A$301,C844)=0,"Missing","OK")</f>
        <v>OK</v>
      </c>
      <c r="U844" t="str">
        <f t="shared" si="40"/>
        <v>Hyderabad</v>
      </c>
      <c r="V844">
        <f t="shared" si="41"/>
        <v>0</v>
      </c>
    </row>
    <row r="845" spans="1:22" ht="15" customHeight="1" x14ac:dyDescent="0.35">
      <c r="A845" s="3" t="s">
        <v>1260</v>
      </c>
      <c r="B845" s="4">
        <v>45614</v>
      </c>
      <c r="C845" s="3" t="s">
        <v>929</v>
      </c>
      <c r="D845" s="3" t="s">
        <v>100</v>
      </c>
      <c r="E845" s="3" t="s">
        <v>282</v>
      </c>
      <c r="F845" s="5">
        <v>8</v>
      </c>
      <c r="G845" s="5">
        <v>3450</v>
      </c>
      <c r="H845" s="5">
        <v>20.9</v>
      </c>
      <c r="I845" s="5">
        <v>21831.599999999999</v>
      </c>
      <c r="J845" s="3" t="s">
        <v>26</v>
      </c>
      <c r="K845" s="3" t="s">
        <v>56</v>
      </c>
      <c r="L845" t="str">
        <f>IFERROR(VLOOKUP(D845,Products!$A$2:$F$61,3,FALSE()),"")</f>
        <v>Sports</v>
      </c>
      <c r="M845" t="str">
        <f>IFERROR(VLOOKUP(E845,Sales_Reps!$A$2:$C$31,3,FALSE()),"")</f>
        <v>West</v>
      </c>
      <c r="N845">
        <f>IFERROR(VLOOKUP(D845,Products!$A$2:$F$61,4,FALSE()),"")</f>
        <v>2467</v>
      </c>
      <c r="O845" t="str">
        <f>IFERROR(VLOOKUP(C845,Customers!$A$2:$F$301,5,FALSE()),"")</f>
        <v>Retail</v>
      </c>
      <c r="P845">
        <f>IFERROR(VLOOKUP(C845,Customers!$A$2:$F$301,3,FALSE()),"")</f>
        <v>61</v>
      </c>
      <c r="Q845">
        <f t="shared" si="39"/>
        <v>0.28492753623188405</v>
      </c>
      <c r="R845">
        <f>IF(AND(COUNTIF($A$2:$A$2047,A845)&gt;1,COUNTIF($A$2:A845,A845)=1),1,0)</f>
        <v>0</v>
      </c>
      <c r="S845" t="b">
        <f>IFERROR(VLOOKUP(D845,Products!$A$2:$F$61,6,FALSE()),"")</f>
        <v>1</v>
      </c>
      <c r="T845" t="str">
        <f>IF(COUNTIF(Customers!$A$2:$A$301,C845)=0,"Missing","OK")</f>
        <v>OK</v>
      </c>
      <c r="U845" t="str">
        <f t="shared" si="40"/>
        <v>Bengaluru</v>
      </c>
      <c r="V845">
        <f t="shared" si="41"/>
        <v>0</v>
      </c>
    </row>
    <row r="846" spans="1:22" ht="15" customHeight="1" x14ac:dyDescent="0.35">
      <c r="A846" s="3" t="s">
        <v>1261</v>
      </c>
      <c r="B846" s="4">
        <v>45429</v>
      </c>
      <c r="C846" s="3" t="s">
        <v>240</v>
      </c>
      <c r="D846" s="3" t="s">
        <v>118</v>
      </c>
      <c r="E846" s="3" t="s">
        <v>242</v>
      </c>
      <c r="F846" s="5">
        <v>6</v>
      </c>
      <c r="G846" s="5">
        <v>3350</v>
      </c>
      <c r="H846" s="5">
        <v>24.8</v>
      </c>
      <c r="I846" s="5">
        <v>15115.2</v>
      </c>
      <c r="J846" s="3" t="s">
        <v>26</v>
      </c>
      <c r="K846" s="3" t="s">
        <v>33</v>
      </c>
      <c r="L846" t="str">
        <f>IFERROR(VLOOKUP(D846,Products!$A$2:$F$61,3,FALSE()),"")</f>
        <v>Beauty</v>
      </c>
      <c r="M846" t="str">
        <f>IFERROR(VLOOKUP(E846,Sales_Reps!$A$2:$C$31,3,FALSE()),"")</f>
        <v>East</v>
      </c>
      <c r="N846">
        <f>IFERROR(VLOOKUP(D846,Products!$A$2:$F$61,4,FALSE()),"")</f>
        <v>1728</v>
      </c>
      <c r="O846" t="str">
        <f>IFERROR(VLOOKUP(C846,Customers!$A$2:$F$301,5,FALSE()),"")</f>
        <v>Retail</v>
      </c>
      <c r="P846">
        <f>IFERROR(VLOOKUP(C846,Customers!$A$2:$F$301,3,FALSE()),"")</f>
        <v>41</v>
      </c>
      <c r="Q846">
        <f t="shared" si="39"/>
        <v>0.48417910447761192</v>
      </c>
      <c r="R846">
        <f>IF(AND(COUNTIF($A$2:$A$2047,A846)&gt;1,COUNTIF($A$2:A846,A846)=1),1,0)</f>
        <v>0</v>
      </c>
      <c r="S846" t="b">
        <f>IFERROR(VLOOKUP(D846,Products!$A$2:$F$61,6,FALSE()),"")</f>
        <v>1</v>
      </c>
      <c r="T846" t="str">
        <f>IF(COUNTIF(Customers!$A$2:$A$301,C846)=0,"Missing","OK")</f>
        <v>OK</v>
      </c>
      <c r="U846" t="str">
        <f t="shared" si="40"/>
        <v>Chennai</v>
      </c>
      <c r="V846">
        <f t="shared" si="41"/>
        <v>0</v>
      </c>
    </row>
    <row r="847" spans="1:22" ht="15" customHeight="1" x14ac:dyDescent="0.35">
      <c r="A847" s="3" t="s">
        <v>1262</v>
      </c>
      <c r="B847" s="4">
        <v>45451</v>
      </c>
      <c r="C847" s="3" t="s">
        <v>608</v>
      </c>
      <c r="D847" s="3" t="s">
        <v>277</v>
      </c>
      <c r="E847" s="3" t="s">
        <v>282</v>
      </c>
      <c r="F847" s="5">
        <v>10</v>
      </c>
      <c r="G847" s="5">
        <v>2210</v>
      </c>
      <c r="H847" s="5">
        <v>4.2</v>
      </c>
      <c r="I847" s="5">
        <v>21171.8</v>
      </c>
      <c r="J847" s="3" t="s">
        <v>26</v>
      </c>
      <c r="K847" s="3" t="s">
        <v>72</v>
      </c>
      <c r="L847" t="str">
        <f>IFERROR(VLOOKUP(D847,Products!$A$2:$F$61,3,FALSE()),"")</f>
        <v>Grocery</v>
      </c>
      <c r="M847" t="str">
        <f>IFERROR(VLOOKUP(E847,Sales_Reps!$A$2:$C$31,3,FALSE()),"")</f>
        <v>West</v>
      </c>
      <c r="N847">
        <f>IFERROR(VLOOKUP(D847,Products!$A$2:$F$61,4,FALSE()),"")</f>
        <v>1010</v>
      </c>
      <c r="O847" t="str">
        <f>IFERROR(VLOOKUP(C847,Customers!$A$2:$F$301,5,FALSE()),"")</f>
        <v>Retail</v>
      </c>
      <c r="P847">
        <f>IFERROR(VLOOKUP(C847,Customers!$A$2:$F$301,3,FALSE()),"")</f>
        <v>31</v>
      </c>
      <c r="Q847">
        <f t="shared" si="39"/>
        <v>0.54298642533936647</v>
      </c>
      <c r="R847">
        <f>IF(AND(COUNTIF($A$2:$A$2047,A847)&gt;1,COUNTIF($A$2:A847,A847)=1),1,0)</f>
        <v>0</v>
      </c>
      <c r="S847" t="b">
        <f>IFERROR(VLOOKUP(D847,Products!$A$2:$F$61,6,FALSE()),"")</f>
        <v>1</v>
      </c>
      <c r="T847" t="str">
        <f>IF(COUNTIF(Customers!$A$2:$A$301,C847)=0,"Missing","OK")</f>
        <v>OK</v>
      </c>
      <c r="U847" t="str">
        <f t="shared" si="40"/>
        <v>Hyderabad</v>
      </c>
      <c r="V847">
        <f t="shared" si="41"/>
        <v>0</v>
      </c>
    </row>
    <row r="848" spans="1:22" ht="15" customHeight="1" x14ac:dyDescent="0.35">
      <c r="A848" s="3" t="s">
        <v>1263</v>
      </c>
      <c r="B848" s="4">
        <v>45444</v>
      </c>
      <c r="C848" s="3" t="s">
        <v>577</v>
      </c>
      <c r="D848" s="3" t="s">
        <v>123</v>
      </c>
      <c r="E848" s="3" t="s">
        <v>42</v>
      </c>
      <c r="F848" s="5">
        <v>10</v>
      </c>
      <c r="G848" s="5">
        <v>4880</v>
      </c>
      <c r="H848" s="5">
        <v>0.7</v>
      </c>
      <c r="I848" s="5">
        <v>48458.400000000001</v>
      </c>
      <c r="J848" s="3" t="s">
        <v>26</v>
      </c>
      <c r="K848" s="3" t="s">
        <v>38</v>
      </c>
      <c r="L848" t="str">
        <f>IFERROR(VLOOKUP(D848,Products!$A$2:$F$61,3,FALSE()),"")</f>
        <v>Beauty</v>
      </c>
      <c r="M848" t="str">
        <f>IFERROR(VLOOKUP(E848,Sales_Reps!$A$2:$C$31,3,FALSE()),"")</f>
        <v>North</v>
      </c>
      <c r="N848">
        <f>IFERROR(VLOOKUP(D848,Products!$A$2:$F$61,4,FALSE()),"")</f>
        <v>2768</v>
      </c>
      <c r="O848" t="str">
        <f>IFERROR(VLOOKUP(C848,Customers!$A$2:$F$301,5,FALSE()),"")</f>
        <v>Retail</v>
      </c>
      <c r="P848">
        <f>IFERROR(VLOOKUP(C848,Customers!$A$2:$F$301,3,FALSE()),"")</f>
        <v>43</v>
      </c>
      <c r="Q848">
        <f t="shared" si="39"/>
        <v>0.43278688524590164</v>
      </c>
      <c r="R848">
        <f>IF(AND(COUNTIF($A$2:$A$2047,A848)&gt;1,COUNTIF($A$2:A848,A848)=1),1,0)</f>
        <v>0</v>
      </c>
      <c r="S848" t="b">
        <f>IFERROR(VLOOKUP(D848,Products!$A$2:$F$61,6,FALSE()),"")</f>
        <v>1</v>
      </c>
      <c r="T848" t="str">
        <f>IF(COUNTIF(Customers!$A$2:$A$301,C848)=0,"Missing","OK")</f>
        <v>OK</v>
      </c>
      <c r="U848" t="str">
        <f t="shared" si="40"/>
        <v>Delhi</v>
      </c>
      <c r="V848">
        <f t="shared" si="41"/>
        <v>0</v>
      </c>
    </row>
    <row r="849" spans="1:22" ht="15" customHeight="1" x14ac:dyDescent="0.35">
      <c r="A849" s="3" t="s">
        <v>1264</v>
      </c>
      <c r="B849" s="4">
        <v>45369</v>
      </c>
      <c r="C849" s="3" t="s">
        <v>102</v>
      </c>
      <c r="D849" s="3" t="s">
        <v>134</v>
      </c>
      <c r="E849" s="3" t="s">
        <v>78</v>
      </c>
      <c r="F849" s="5">
        <v>7</v>
      </c>
      <c r="G849" s="5">
        <v>2860</v>
      </c>
      <c r="H849" s="5">
        <v>28.1</v>
      </c>
      <c r="I849" s="5">
        <v>14394.38</v>
      </c>
      <c r="J849" s="3" t="s">
        <v>32</v>
      </c>
      <c r="K849" s="3" t="s">
        <v>33</v>
      </c>
      <c r="L849" t="str">
        <f>IFERROR(VLOOKUP(D849,Products!$A$2:$F$61,3,FALSE()),"")</f>
        <v>Sports</v>
      </c>
      <c r="M849" t="str">
        <f>IFERROR(VLOOKUP(E849,Sales_Reps!$A$2:$C$31,3,FALSE()),"")</f>
        <v>North</v>
      </c>
      <c r="N849">
        <f>IFERROR(VLOOKUP(D849,Products!$A$2:$F$61,4,FALSE()),"")</f>
        <v>2028</v>
      </c>
      <c r="O849" t="str">
        <f>IFERROR(VLOOKUP(C849,Customers!$A$2:$F$301,5,FALSE()),"")</f>
        <v>Retail</v>
      </c>
      <c r="P849">
        <f>IFERROR(VLOOKUP(C849,Customers!$A$2:$F$301,3,FALSE()),"")</f>
        <v>49</v>
      </c>
      <c r="Q849">
        <f t="shared" si="39"/>
        <v>0.29090909090909089</v>
      </c>
      <c r="R849">
        <f>IF(AND(COUNTIF($A$2:$A$2047,A849)&gt;1,COUNTIF($A$2:A849,A849)=1),1,0)</f>
        <v>0</v>
      </c>
      <c r="S849" t="b">
        <f>IFERROR(VLOOKUP(D849,Products!$A$2:$F$61,6,FALSE()),"")</f>
        <v>1</v>
      </c>
      <c r="T849" t="str">
        <f>IF(COUNTIF(Customers!$A$2:$A$301,C849)=0,"Missing","OK")</f>
        <v>OK</v>
      </c>
      <c r="U849" t="str">
        <f t="shared" si="40"/>
        <v>Chennai</v>
      </c>
      <c r="V849">
        <f t="shared" si="41"/>
        <v>0</v>
      </c>
    </row>
    <row r="850" spans="1:22" ht="15" customHeight="1" x14ac:dyDescent="0.35">
      <c r="A850" s="3" t="s">
        <v>1265</v>
      </c>
      <c r="B850" s="4">
        <v>45581</v>
      </c>
      <c r="C850" s="3" t="s">
        <v>381</v>
      </c>
      <c r="D850" s="3" t="s">
        <v>66</v>
      </c>
      <c r="E850" s="3" t="s">
        <v>31</v>
      </c>
      <c r="F850" s="5">
        <v>3</v>
      </c>
      <c r="G850" s="5">
        <v>970</v>
      </c>
      <c r="H850" s="5">
        <v>28.3</v>
      </c>
      <c r="I850" s="5">
        <v>2086.4699999999998</v>
      </c>
      <c r="J850" s="3" t="s">
        <v>26</v>
      </c>
      <c r="K850" s="3" t="s">
        <v>27</v>
      </c>
      <c r="L850" t="str">
        <f>IFERROR(VLOOKUP(D850,Products!$A$2:$F$61,3,FALSE()),"")</f>
        <v>Grocery</v>
      </c>
      <c r="M850" t="str">
        <f>IFERROR(VLOOKUP(E850,Sales_Reps!$A$2:$C$31,3,FALSE()),"")</f>
        <v>North</v>
      </c>
      <c r="N850">
        <f>IFERROR(VLOOKUP(D850,Products!$A$2:$F$61,4,FALSE()),"")</f>
        <v>434</v>
      </c>
      <c r="O850" t="str">
        <f>IFERROR(VLOOKUP(C850,Customers!$A$2:$F$301,5,FALSE()),"")</f>
        <v>Retail</v>
      </c>
      <c r="P850">
        <f>IFERROR(VLOOKUP(C850,Customers!$A$2:$F$301,3,FALSE()),"")</f>
        <v>65</v>
      </c>
      <c r="Q850">
        <f t="shared" si="39"/>
        <v>0.5525773195876289</v>
      </c>
      <c r="R850">
        <f>IF(AND(COUNTIF($A$2:$A$2047,A850)&gt;1,COUNTIF($A$2:A850,A850)=1),1,0)</f>
        <v>0</v>
      </c>
      <c r="S850" t="b">
        <f>IFERROR(VLOOKUP(D850,Products!$A$2:$F$61,6,FALSE()),"")</f>
        <v>1</v>
      </c>
      <c r="T850" t="str">
        <f>IF(COUNTIF(Customers!$A$2:$A$301,C850)=0,"Missing","OK")</f>
        <v>OK</v>
      </c>
      <c r="U850" t="str">
        <f t="shared" si="40"/>
        <v>Pune</v>
      </c>
      <c r="V850">
        <f t="shared" si="41"/>
        <v>0</v>
      </c>
    </row>
    <row r="851" spans="1:22" ht="15" customHeight="1" x14ac:dyDescent="0.35">
      <c r="A851" s="3" t="s">
        <v>1266</v>
      </c>
      <c r="B851" s="4">
        <v>45494</v>
      </c>
      <c r="C851" s="3" t="s">
        <v>916</v>
      </c>
      <c r="D851" s="3" t="s">
        <v>184</v>
      </c>
      <c r="E851" s="3" t="s">
        <v>46</v>
      </c>
      <c r="F851" s="5">
        <v>1</v>
      </c>
      <c r="G851" s="5">
        <v>2270</v>
      </c>
      <c r="H851" s="5">
        <v>15.1</v>
      </c>
      <c r="I851" s="5">
        <v>1927.23</v>
      </c>
      <c r="J851" s="3" t="s">
        <v>26</v>
      </c>
      <c r="K851" s="3" t="s">
        <v>27</v>
      </c>
      <c r="L851" t="str">
        <f>IFERROR(VLOOKUP(D851,Products!$A$2:$F$61,3,FALSE()),"")</f>
        <v>Grocery</v>
      </c>
      <c r="M851" t="str">
        <f>IFERROR(VLOOKUP(E851,Sales_Reps!$A$2:$C$31,3,FALSE()),"")</f>
        <v>North</v>
      </c>
      <c r="N851">
        <f>IFERROR(VLOOKUP(D851,Products!$A$2:$F$61,4,FALSE()),"")</f>
        <v>1412</v>
      </c>
      <c r="O851" t="str">
        <f>IFERROR(VLOOKUP(C851,Customers!$A$2:$F$301,5,FALSE()),"")</f>
        <v>Corporate</v>
      </c>
      <c r="P851">
        <f>IFERROR(VLOOKUP(C851,Customers!$A$2:$F$301,3,FALSE()),"")</f>
        <v>29</v>
      </c>
      <c r="Q851">
        <f t="shared" si="39"/>
        <v>0.37797356828193834</v>
      </c>
      <c r="R851">
        <f>IF(AND(COUNTIF($A$2:$A$2047,A851)&gt;1,COUNTIF($A$2:A851,A851)=1),1,0)</f>
        <v>0</v>
      </c>
      <c r="S851" t="b">
        <f>IFERROR(VLOOKUP(D851,Products!$A$2:$F$61,6,FALSE()),"")</f>
        <v>1</v>
      </c>
      <c r="T851" t="str">
        <f>IF(COUNTIF(Customers!$A$2:$A$301,C851)=0,"Missing","OK")</f>
        <v>OK</v>
      </c>
      <c r="U851" t="str">
        <f t="shared" si="40"/>
        <v>Pune</v>
      </c>
      <c r="V851">
        <f t="shared" si="41"/>
        <v>0</v>
      </c>
    </row>
    <row r="852" spans="1:22" ht="15" customHeight="1" x14ac:dyDescent="0.35">
      <c r="A852" s="3" t="s">
        <v>1267</v>
      </c>
      <c r="B852" s="4">
        <v>45324</v>
      </c>
      <c r="C852" s="3" t="s">
        <v>308</v>
      </c>
      <c r="D852" s="3" t="s">
        <v>598</v>
      </c>
      <c r="E852" s="3" t="s">
        <v>127</v>
      </c>
      <c r="F852" s="5">
        <v>5</v>
      </c>
      <c r="G852" s="5">
        <v>3560</v>
      </c>
      <c r="H852" s="5">
        <v>11.5</v>
      </c>
      <c r="I852" s="5">
        <v>15753</v>
      </c>
      <c r="J852" s="3" t="s">
        <v>26</v>
      </c>
      <c r="K852" s="3" t="s">
        <v>33</v>
      </c>
      <c r="L852" t="str">
        <f>IFERROR(VLOOKUP(D852,Products!$A$2:$F$61,3,FALSE()),"")</f>
        <v>Apparel</v>
      </c>
      <c r="M852" t="str">
        <f>IFERROR(VLOOKUP(E852,Sales_Reps!$A$2:$C$31,3,FALSE()),"")</f>
        <v>South</v>
      </c>
      <c r="N852">
        <f>IFERROR(VLOOKUP(D852,Products!$A$2:$F$61,4,FALSE()),"")</f>
        <v>2629</v>
      </c>
      <c r="O852" t="str">
        <f>IFERROR(VLOOKUP(C852,Customers!$A$2:$F$301,5,FALSE()),"")</f>
        <v>SMB</v>
      </c>
      <c r="P852">
        <f>IFERROR(VLOOKUP(C852,Customers!$A$2:$F$301,3,FALSE()),"")</f>
        <v>62</v>
      </c>
      <c r="Q852">
        <f t="shared" si="39"/>
        <v>0.26151685393258428</v>
      </c>
      <c r="R852">
        <f>IF(AND(COUNTIF($A$2:$A$2047,A852)&gt;1,COUNTIF($A$2:A852,A852)=1),1,0)</f>
        <v>0</v>
      </c>
      <c r="S852" t="b">
        <f>IFERROR(VLOOKUP(D852,Products!$A$2:$F$61,6,FALSE()),"")</f>
        <v>1</v>
      </c>
      <c r="T852" t="str">
        <f>IF(COUNTIF(Customers!$A$2:$A$301,C852)=0,"Missing","OK")</f>
        <v>OK</v>
      </c>
      <c r="U852" t="str">
        <f t="shared" si="40"/>
        <v>Chennai</v>
      </c>
      <c r="V852">
        <f t="shared" si="41"/>
        <v>0</v>
      </c>
    </row>
    <row r="853" spans="1:22" ht="15" customHeight="1" x14ac:dyDescent="0.35">
      <c r="A853" s="3" t="s">
        <v>1268</v>
      </c>
      <c r="B853" s="4">
        <v>45419</v>
      </c>
      <c r="C853" s="3" t="s">
        <v>117</v>
      </c>
      <c r="D853" s="3" t="s">
        <v>299</v>
      </c>
      <c r="E853" s="3" t="s">
        <v>71</v>
      </c>
      <c r="F853" s="5">
        <v>2</v>
      </c>
      <c r="G853" s="5">
        <v>5410</v>
      </c>
      <c r="H853" s="5">
        <v>14.8</v>
      </c>
      <c r="I853" s="5">
        <v>9218.64</v>
      </c>
      <c r="J853" s="3" t="s">
        <v>32</v>
      </c>
      <c r="K853" s="3" t="s">
        <v>33</v>
      </c>
      <c r="L853" t="str">
        <f>IFERROR(VLOOKUP(D853,Products!$A$2:$F$61,3,FALSE()),"")</f>
        <v>Sports</v>
      </c>
      <c r="M853" t="str">
        <f>IFERROR(VLOOKUP(E853,Sales_Reps!$A$2:$C$31,3,FALSE()),"")</f>
        <v>South</v>
      </c>
      <c r="N853">
        <f>IFERROR(VLOOKUP(D853,Products!$A$2:$F$61,4,FALSE()),"")</f>
        <v>2265</v>
      </c>
      <c r="O853" t="str">
        <f>IFERROR(VLOOKUP(C853,Customers!$A$2:$F$301,5,FALSE()),"")</f>
        <v>Corporate</v>
      </c>
      <c r="P853">
        <f>IFERROR(VLOOKUP(C853,Customers!$A$2:$F$301,3,FALSE()),"")</f>
        <v>55</v>
      </c>
      <c r="Q853">
        <f t="shared" si="39"/>
        <v>0.58133086876155271</v>
      </c>
      <c r="R853">
        <f>IF(AND(COUNTIF($A$2:$A$2047,A853)&gt;1,COUNTIF($A$2:A853,A853)=1),1,0)</f>
        <v>0</v>
      </c>
      <c r="S853" t="b">
        <f>IFERROR(VLOOKUP(D853,Products!$A$2:$F$61,6,FALSE()),"")</f>
        <v>1</v>
      </c>
      <c r="T853" t="str">
        <f>IF(COUNTIF(Customers!$A$2:$A$301,C853)=0,"Missing","OK")</f>
        <v>OK</v>
      </c>
      <c r="U853" t="str">
        <f t="shared" si="40"/>
        <v>Chennai</v>
      </c>
      <c r="V853">
        <f t="shared" si="41"/>
        <v>0</v>
      </c>
    </row>
    <row r="854" spans="1:22" ht="15" customHeight="1" x14ac:dyDescent="0.35">
      <c r="A854" s="3" t="s">
        <v>1269</v>
      </c>
      <c r="B854" s="4">
        <v>45656</v>
      </c>
      <c r="C854" s="3" t="s">
        <v>860</v>
      </c>
      <c r="D854" s="3" t="s">
        <v>106</v>
      </c>
      <c r="E854" s="3" t="s">
        <v>42</v>
      </c>
      <c r="F854" s="5">
        <v>2</v>
      </c>
      <c r="G854" s="5">
        <v>2480</v>
      </c>
      <c r="H854" s="5">
        <v>27.2</v>
      </c>
      <c r="I854" s="5">
        <v>3610.88</v>
      </c>
      <c r="J854" s="3" t="s">
        <v>26</v>
      </c>
      <c r="K854" s="3" t="s">
        <v>56</v>
      </c>
      <c r="L854" t="str">
        <f>IFERROR(VLOOKUP(D854,Products!$A$2:$F$61,3,FALSE()),"")</f>
        <v>Apparel</v>
      </c>
      <c r="M854" t="str">
        <f>IFERROR(VLOOKUP(E854,Sales_Reps!$A$2:$C$31,3,FALSE()),"")</f>
        <v>North</v>
      </c>
      <c r="N854">
        <f>IFERROR(VLOOKUP(D854,Products!$A$2:$F$61,4,FALSE()),"")</f>
        <v>1173</v>
      </c>
      <c r="O854" t="str">
        <f>IFERROR(VLOOKUP(C854,Customers!$A$2:$F$301,5,FALSE()),"")</f>
        <v>Retail</v>
      </c>
      <c r="P854">
        <f>IFERROR(VLOOKUP(C854,Customers!$A$2:$F$301,3,FALSE()),"")</f>
        <v>28</v>
      </c>
      <c r="Q854">
        <f t="shared" si="39"/>
        <v>0.52701612903225803</v>
      </c>
      <c r="R854">
        <f>IF(AND(COUNTIF($A$2:$A$2047,A854)&gt;1,COUNTIF($A$2:A854,A854)=1),1,0)</f>
        <v>0</v>
      </c>
      <c r="S854" t="b">
        <f>IFERROR(VLOOKUP(D854,Products!$A$2:$F$61,6,FALSE()),"")</f>
        <v>1</v>
      </c>
      <c r="T854" t="str">
        <f>IF(COUNTIF(Customers!$A$2:$A$301,C854)=0,"Missing","OK")</f>
        <v>OK</v>
      </c>
      <c r="U854" t="str">
        <f t="shared" si="40"/>
        <v>Bengaluru</v>
      </c>
      <c r="V854">
        <f t="shared" si="41"/>
        <v>0</v>
      </c>
    </row>
    <row r="855" spans="1:22" ht="15" customHeight="1" x14ac:dyDescent="0.35">
      <c r="A855" s="3" t="s">
        <v>1270</v>
      </c>
      <c r="B855" s="4">
        <v>45350</v>
      </c>
      <c r="C855" s="3" t="s">
        <v>469</v>
      </c>
      <c r="D855" s="3" t="s">
        <v>30</v>
      </c>
      <c r="E855" s="3" t="s">
        <v>37</v>
      </c>
      <c r="F855" s="5">
        <v>6</v>
      </c>
      <c r="G855" s="5">
        <v>820</v>
      </c>
      <c r="H855" s="5">
        <v>6.6</v>
      </c>
      <c r="I855" s="5">
        <v>4595.28</v>
      </c>
      <c r="J855" s="3" t="s">
        <v>26</v>
      </c>
      <c r="K855" s="3" t="s">
        <v>38</v>
      </c>
      <c r="L855" t="str">
        <f>IFERROR(VLOOKUP(D855,Products!$A$2:$F$61,3,FALSE()),"")</f>
        <v>Apparel</v>
      </c>
      <c r="M855" t="str">
        <f>IFERROR(VLOOKUP(E855,Sales_Reps!$A$2:$C$31,3,FALSE()),"")</f>
        <v>South</v>
      </c>
      <c r="N855">
        <f>IFERROR(VLOOKUP(D855,Products!$A$2:$F$61,4,FALSE()),"")</f>
        <v>391</v>
      </c>
      <c r="O855" t="str">
        <f>IFERROR(VLOOKUP(C855,Customers!$A$2:$F$301,5,FALSE()),"")</f>
        <v>Retail</v>
      </c>
      <c r="P855">
        <f>IFERROR(VLOOKUP(C855,Customers!$A$2:$F$301,3,FALSE()),"")</f>
        <v>45</v>
      </c>
      <c r="Q855">
        <f t="shared" si="39"/>
        <v>0.52317073170731709</v>
      </c>
      <c r="R855">
        <f>IF(AND(COUNTIF($A$2:$A$2047,A855)&gt;1,COUNTIF($A$2:A855,A855)=1),1,0)</f>
        <v>0</v>
      </c>
      <c r="S855" t="b">
        <f>IFERROR(VLOOKUP(D855,Products!$A$2:$F$61,6,FALSE()),"")</f>
        <v>1</v>
      </c>
      <c r="T855" t="str">
        <f>IF(COUNTIF(Customers!$A$2:$A$301,C855)=0,"Missing","OK")</f>
        <v>OK</v>
      </c>
      <c r="U855" t="str">
        <f t="shared" si="40"/>
        <v>Delhi</v>
      </c>
      <c r="V855">
        <f t="shared" si="41"/>
        <v>0</v>
      </c>
    </row>
    <row r="856" spans="1:22" ht="15" customHeight="1" x14ac:dyDescent="0.35">
      <c r="A856" s="3" t="s">
        <v>1271</v>
      </c>
      <c r="B856" s="4">
        <v>45434</v>
      </c>
      <c r="C856" s="3" t="s">
        <v>186</v>
      </c>
      <c r="D856" s="3" t="s">
        <v>303</v>
      </c>
      <c r="E856" s="3" t="s">
        <v>127</v>
      </c>
      <c r="F856" s="5">
        <v>10</v>
      </c>
      <c r="G856" s="5">
        <v>5330</v>
      </c>
      <c r="H856" s="5">
        <v>16.100000000000001</v>
      </c>
      <c r="I856" s="5">
        <v>44718.7</v>
      </c>
      <c r="J856" s="3" t="s">
        <v>26</v>
      </c>
      <c r="K856" s="3" t="s">
        <v>56</v>
      </c>
      <c r="L856" t="str">
        <f>IFERROR(VLOOKUP(D856,Products!$A$2:$F$61,3,FALSE()),"")</f>
        <v>Electronics</v>
      </c>
      <c r="M856" t="str">
        <f>IFERROR(VLOOKUP(E856,Sales_Reps!$A$2:$C$31,3,FALSE()),"")</f>
        <v>South</v>
      </c>
      <c r="N856">
        <f>IFERROR(VLOOKUP(D856,Products!$A$2:$F$61,4,FALSE()),"")</f>
        <v>2405</v>
      </c>
      <c r="O856" t="str">
        <f>IFERROR(VLOOKUP(C856,Customers!$A$2:$F$301,5,FALSE()),"")</f>
        <v>Retail</v>
      </c>
      <c r="P856">
        <f>IFERROR(VLOOKUP(C856,Customers!$A$2:$F$301,3,FALSE()),"")</f>
        <v>34</v>
      </c>
      <c r="Q856">
        <f t="shared" si="39"/>
        <v>0.54878048780487809</v>
      </c>
      <c r="R856">
        <f>IF(AND(COUNTIF($A$2:$A$2047,A856)&gt;1,COUNTIF($A$2:A856,A856)=1),1,0)</f>
        <v>0</v>
      </c>
      <c r="S856" t="b">
        <f>IFERROR(VLOOKUP(D856,Products!$A$2:$F$61,6,FALSE()),"")</f>
        <v>1</v>
      </c>
      <c r="T856" t="str">
        <f>IF(COUNTIF(Customers!$A$2:$A$301,C856)=0,"Missing","OK")</f>
        <v>OK</v>
      </c>
      <c r="U856" t="str">
        <f t="shared" si="40"/>
        <v>Bengaluru</v>
      </c>
      <c r="V856">
        <f t="shared" si="41"/>
        <v>0</v>
      </c>
    </row>
    <row r="857" spans="1:22" ht="15" customHeight="1" x14ac:dyDescent="0.35">
      <c r="A857" s="3" t="s">
        <v>1272</v>
      </c>
      <c r="B857" s="4">
        <v>45438</v>
      </c>
      <c r="C857" s="3" t="s">
        <v>683</v>
      </c>
      <c r="D857" s="3" t="s">
        <v>96</v>
      </c>
      <c r="E857" s="3" t="s">
        <v>78</v>
      </c>
      <c r="F857" s="5">
        <v>2</v>
      </c>
      <c r="G857" s="5">
        <v>3450</v>
      </c>
      <c r="H857" s="5">
        <v>11.3</v>
      </c>
      <c r="I857" s="5">
        <v>6120.3</v>
      </c>
      <c r="J857" s="3" t="s">
        <v>32</v>
      </c>
      <c r="K857" s="3" t="s">
        <v>72</v>
      </c>
      <c r="L857" t="str">
        <f>IFERROR(VLOOKUP(D857,Products!$A$2:$F$61,3,FALSE()),"")</f>
        <v>Beauty</v>
      </c>
      <c r="M857" t="str">
        <f>IFERROR(VLOOKUP(E857,Sales_Reps!$A$2:$C$31,3,FALSE()),"")</f>
        <v>North</v>
      </c>
      <c r="N857">
        <f>IFERROR(VLOOKUP(D857,Products!$A$2:$F$61,4,FALSE()),"")</f>
        <v>2420</v>
      </c>
      <c r="O857" t="str">
        <f>IFERROR(VLOOKUP(C857,Customers!$A$2:$F$301,5,FALSE()),"")</f>
        <v>Retail</v>
      </c>
      <c r="P857">
        <f>IFERROR(VLOOKUP(C857,Customers!$A$2:$F$301,3,FALSE()),"")</f>
        <v>64</v>
      </c>
      <c r="Q857">
        <f t="shared" si="39"/>
        <v>0.29855072463768118</v>
      </c>
      <c r="R857">
        <f>IF(AND(COUNTIF($A$2:$A$2047,A857)&gt;1,COUNTIF($A$2:A857,A857)=1),1,0)</f>
        <v>0</v>
      </c>
      <c r="S857" t="b">
        <f>IFERROR(VLOOKUP(D857,Products!$A$2:$F$61,6,FALSE()),"")</f>
        <v>1</v>
      </c>
      <c r="T857" t="str">
        <f>IF(COUNTIF(Customers!$A$2:$A$301,C857)=0,"Missing","OK")</f>
        <v>OK</v>
      </c>
      <c r="U857" t="str">
        <f t="shared" si="40"/>
        <v>Hyderabad</v>
      </c>
      <c r="V857">
        <f t="shared" si="41"/>
        <v>0</v>
      </c>
    </row>
    <row r="858" spans="1:22" ht="15" customHeight="1" x14ac:dyDescent="0.35">
      <c r="A858" s="3" t="s">
        <v>1273</v>
      </c>
      <c r="B858" s="4">
        <v>45486</v>
      </c>
      <c r="C858" s="3" t="s">
        <v>240</v>
      </c>
      <c r="D858" s="3" t="s">
        <v>319</v>
      </c>
      <c r="E858" s="3" t="s">
        <v>93</v>
      </c>
      <c r="F858" s="5">
        <v>7</v>
      </c>
      <c r="G858" s="5">
        <v>960</v>
      </c>
      <c r="H858" s="5">
        <v>17.100000000000001</v>
      </c>
      <c r="I858" s="5">
        <v>5570.88</v>
      </c>
      <c r="J858" s="3" t="s">
        <v>26</v>
      </c>
      <c r="K858" s="3" t="s">
        <v>33</v>
      </c>
      <c r="L858" t="str">
        <f>IFERROR(VLOOKUP(D858,Products!$A$2:$F$61,3,FALSE()),"")</f>
        <v>Beauty</v>
      </c>
      <c r="M858" t="str">
        <f>IFERROR(VLOOKUP(E858,Sales_Reps!$A$2:$C$31,3,FALSE()),"")</f>
        <v>East</v>
      </c>
      <c r="N858">
        <f>IFERROR(VLOOKUP(D858,Products!$A$2:$F$61,4,FALSE()),"")</f>
        <v>675</v>
      </c>
      <c r="O858" t="str">
        <f>IFERROR(VLOOKUP(C858,Customers!$A$2:$F$301,5,FALSE()),"")</f>
        <v>Retail</v>
      </c>
      <c r="P858">
        <f>IFERROR(VLOOKUP(C858,Customers!$A$2:$F$301,3,FALSE()),"")</f>
        <v>41</v>
      </c>
      <c r="Q858">
        <f t="shared" si="39"/>
        <v>0.296875</v>
      </c>
      <c r="R858">
        <f>IF(AND(COUNTIF($A$2:$A$2047,A858)&gt;1,COUNTIF($A$2:A858,A858)=1),1,0)</f>
        <v>0</v>
      </c>
      <c r="S858" t="b">
        <f>IFERROR(VLOOKUP(D858,Products!$A$2:$F$61,6,FALSE()),"")</f>
        <v>1</v>
      </c>
      <c r="T858" t="str">
        <f>IF(COUNTIF(Customers!$A$2:$A$301,C858)=0,"Missing","OK")</f>
        <v>OK</v>
      </c>
      <c r="U858" t="str">
        <f t="shared" si="40"/>
        <v>Chennai</v>
      </c>
      <c r="V858">
        <f t="shared" si="41"/>
        <v>0</v>
      </c>
    </row>
    <row r="859" spans="1:22" ht="15" customHeight="1" x14ac:dyDescent="0.35">
      <c r="A859" s="3" t="s">
        <v>1274</v>
      </c>
      <c r="B859" s="4">
        <v>45623</v>
      </c>
      <c r="C859" s="3" t="s">
        <v>233</v>
      </c>
      <c r="D859" s="3" t="s">
        <v>391</v>
      </c>
      <c r="E859" s="3" t="s">
        <v>87</v>
      </c>
      <c r="F859" s="5">
        <v>5</v>
      </c>
      <c r="G859" s="5">
        <v>3450</v>
      </c>
      <c r="H859" s="5">
        <v>22.9</v>
      </c>
      <c r="I859" s="5">
        <v>13299.75</v>
      </c>
      <c r="J859" s="3" t="s">
        <v>26</v>
      </c>
      <c r="K859" s="3" t="s">
        <v>72</v>
      </c>
      <c r="L859" t="str">
        <f>IFERROR(VLOOKUP(D859,Products!$A$2:$F$61,3,FALSE()),"")</f>
        <v>Apparel</v>
      </c>
      <c r="M859" t="str">
        <f>IFERROR(VLOOKUP(E859,Sales_Reps!$A$2:$C$31,3,FALSE()),"")</f>
        <v>North</v>
      </c>
      <c r="N859">
        <f>IFERROR(VLOOKUP(D859,Products!$A$2:$F$61,4,FALSE()),"")</f>
        <v>1748</v>
      </c>
      <c r="O859" t="str">
        <f>IFERROR(VLOOKUP(C859,Customers!$A$2:$F$301,5,FALSE()),"")</f>
        <v>SMB</v>
      </c>
      <c r="P859">
        <f>IFERROR(VLOOKUP(C859,Customers!$A$2:$F$301,3,FALSE()),"")</f>
        <v>43</v>
      </c>
      <c r="Q859">
        <f t="shared" si="39"/>
        <v>0.49333333333333335</v>
      </c>
      <c r="R859">
        <f>IF(AND(COUNTIF($A$2:$A$2047,A859)&gt;1,COUNTIF($A$2:A859,A859)=1),1,0)</f>
        <v>0</v>
      </c>
      <c r="S859" t="b">
        <f>IFERROR(VLOOKUP(D859,Products!$A$2:$F$61,6,FALSE()),"")</f>
        <v>1</v>
      </c>
      <c r="T859" t="str">
        <f>IF(COUNTIF(Customers!$A$2:$A$301,C859)=0,"Missing","OK")</f>
        <v>OK</v>
      </c>
      <c r="U859" t="str">
        <f t="shared" si="40"/>
        <v>Hyderabad</v>
      </c>
      <c r="V859">
        <f t="shared" si="41"/>
        <v>0</v>
      </c>
    </row>
    <row r="860" spans="1:22" ht="15" customHeight="1" x14ac:dyDescent="0.35">
      <c r="A860" s="3" t="s">
        <v>1275</v>
      </c>
      <c r="B860" s="4">
        <v>45634</v>
      </c>
      <c r="C860" s="3" t="s">
        <v>795</v>
      </c>
      <c r="D860" s="3" t="s">
        <v>206</v>
      </c>
      <c r="E860" s="3" t="s">
        <v>46</v>
      </c>
      <c r="F860" s="5">
        <v>5</v>
      </c>
      <c r="G860" s="5">
        <v>1220</v>
      </c>
      <c r="H860" s="5">
        <v>0.3</v>
      </c>
      <c r="I860" s="5">
        <v>6081.7</v>
      </c>
      <c r="J860" s="3" t="s">
        <v>26</v>
      </c>
      <c r="K860" s="3" t="s">
        <v>27</v>
      </c>
      <c r="L860" t="str">
        <f>IFERROR(VLOOKUP(D860,Products!$A$2:$F$61,3,FALSE()),"")</f>
        <v>Electronics</v>
      </c>
      <c r="M860" t="str">
        <f>IFERROR(VLOOKUP(E860,Sales_Reps!$A$2:$C$31,3,FALSE()),"")</f>
        <v>North</v>
      </c>
      <c r="N860">
        <f>IFERROR(VLOOKUP(D860,Products!$A$2:$F$61,4,FALSE()),"")</f>
        <v>517</v>
      </c>
      <c r="O860" t="str">
        <f>IFERROR(VLOOKUP(C860,Customers!$A$2:$F$301,5,FALSE()),"")</f>
        <v>SMB</v>
      </c>
      <c r="P860">
        <f>IFERROR(VLOOKUP(C860,Customers!$A$2:$F$301,3,FALSE()),"")</f>
        <v>59</v>
      </c>
      <c r="Q860">
        <f t="shared" si="39"/>
        <v>0.57622950819672136</v>
      </c>
      <c r="R860">
        <f>IF(AND(COUNTIF($A$2:$A$2047,A860)&gt;1,COUNTIF($A$2:A860,A860)=1),1,0)</f>
        <v>0</v>
      </c>
      <c r="S860" t="b">
        <f>IFERROR(VLOOKUP(D860,Products!$A$2:$F$61,6,FALSE()),"")</f>
        <v>1</v>
      </c>
      <c r="T860" t="str">
        <f>IF(COUNTIF(Customers!$A$2:$A$301,C860)=0,"Missing","OK")</f>
        <v>OK</v>
      </c>
      <c r="U860" t="str">
        <f t="shared" si="40"/>
        <v>Pune</v>
      </c>
      <c r="V860">
        <f t="shared" si="41"/>
        <v>0</v>
      </c>
    </row>
    <row r="861" spans="1:22" ht="15" customHeight="1" x14ac:dyDescent="0.35">
      <c r="A861" s="3" t="s">
        <v>1276</v>
      </c>
      <c r="B861" s="4">
        <v>45308</v>
      </c>
      <c r="C861" s="3" t="s">
        <v>1111</v>
      </c>
      <c r="D861" s="3" t="s">
        <v>303</v>
      </c>
      <c r="E861" s="3" t="s">
        <v>25</v>
      </c>
      <c r="F861" s="5">
        <v>5</v>
      </c>
      <c r="G861" s="5">
        <v>5330</v>
      </c>
      <c r="H861" s="5">
        <v>29</v>
      </c>
      <c r="I861" s="5">
        <v>18921.5</v>
      </c>
      <c r="J861" s="3" t="s">
        <v>26</v>
      </c>
      <c r="K861" s="3" t="s">
        <v>27</v>
      </c>
      <c r="L861" t="str">
        <f>IFERROR(VLOOKUP(D861,Products!$A$2:$F$61,3,FALSE()),"")</f>
        <v>Electronics</v>
      </c>
      <c r="M861" t="str">
        <f>IFERROR(VLOOKUP(E861,Sales_Reps!$A$2:$C$31,3,FALSE()),"")</f>
        <v>North</v>
      </c>
      <c r="N861">
        <f>IFERROR(VLOOKUP(D861,Products!$A$2:$F$61,4,FALSE()),"")</f>
        <v>2405</v>
      </c>
      <c r="O861" t="str">
        <f>IFERROR(VLOOKUP(C861,Customers!$A$2:$F$301,5,FALSE()),"")</f>
        <v>Retail</v>
      </c>
      <c r="P861">
        <f>IFERROR(VLOOKUP(C861,Customers!$A$2:$F$301,3,FALSE()),"")</f>
        <v>39</v>
      </c>
      <c r="Q861">
        <f t="shared" si="39"/>
        <v>0.54878048780487809</v>
      </c>
      <c r="R861">
        <f>IF(AND(COUNTIF($A$2:$A$2047,A861)&gt;1,COUNTIF($A$2:A861,A861)=1),1,0)</f>
        <v>0</v>
      </c>
      <c r="S861" t="b">
        <f>IFERROR(VLOOKUP(D861,Products!$A$2:$F$61,6,FALSE()),"")</f>
        <v>1</v>
      </c>
      <c r="T861" t="str">
        <f>IF(COUNTIF(Customers!$A$2:$A$301,C861)=0,"Missing","OK")</f>
        <v>OK</v>
      </c>
      <c r="U861" t="str">
        <f t="shared" si="40"/>
        <v>Pune</v>
      </c>
      <c r="V861">
        <f t="shared" si="41"/>
        <v>0</v>
      </c>
    </row>
    <row r="862" spans="1:22" ht="15" customHeight="1" x14ac:dyDescent="0.35">
      <c r="A862" s="3" t="s">
        <v>1277</v>
      </c>
      <c r="B862" s="4">
        <v>45641</v>
      </c>
      <c r="C862" s="3" t="s">
        <v>698</v>
      </c>
      <c r="D862" s="3" t="s">
        <v>126</v>
      </c>
      <c r="E862" s="3" t="s">
        <v>67</v>
      </c>
      <c r="F862" s="5">
        <v>3</v>
      </c>
      <c r="G862" s="5">
        <v>3570</v>
      </c>
      <c r="H862" s="5">
        <v>20</v>
      </c>
      <c r="I862" s="5">
        <v>8568</v>
      </c>
      <c r="J862" s="3" t="s">
        <v>79</v>
      </c>
      <c r="K862" s="3" t="s">
        <v>56</v>
      </c>
      <c r="L862" t="str">
        <f>IFERROR(VLOOKUP(D862,Products!$A$2:$F$61,3,FALSE()),"")</f>
        <v>Electronics</v>
      </c>
      <c r="M862" t="str">
        <f>IFERROR(VLOOKUP(E862,Sales_Reps!$A$2:$C$31,3,FALSE()),"")</f>
        <v>West</v>
      </c>
      <c r="N862">
        <f>IFERROR(VLOOKUP(D862,Products!$A$2:$F$61,4,FALSE()),"")</f>
        <v>1665</v>
      </c>
      <c r="O862" t="str">
        <f>IFERROR(VLOOKUP(C862,Customers!$A$2:$F$301,5,FALSE()),"")</f>
        <v>Retail</v>
      </c>
      <c r="P862">
        <f>IFERROR(VLOOKUP(C862,Customers!$A$2:$F$301,3,FALSE()),"")</f>
        <v>29</v>
      </c>
      <c r="Q862">
        <f t="shared" si="39"/>
        <v>0.53361344537815125</v>
      </c>
      <c r="R862">
        <f>IF(AND(COUNTIF($A$2:$A$2047,A862)&gt;1,COUNTIF($A$2:A862,A862)=1),1,0)</f>
        <v>0</v>
      </c>
      <c r="S862" t="b">
        <f>IFERROR(VLOOKUP(D862,Products!$A$2:$F$61,6,FALSE()),"")</f>
        <v>1</v>
      </c>
      <c r="T862" t="str">
        <f>IF(COUNTIF(Customers!$A$2:$A$301,C862)=0,"Missing","OK")</f>
        <v>OK</v>
      </c>
      <c r="U862" t="str">
        <f t="shared" si="40"/>
        <v>Bengaluru</v>
      </c>
      <c r="V862">
        <f t="shared" si="41"/>
        <v>0</v>
      </c>
    </row>
    <row r="863" spans="1:22" ht="15" customHeight="1" x14ac:dyDescent="0.35">
      <c r="A863" s="3" t="s">
        <v>1278</v>
      </c>
      <c r="B863" s="4">
        <v>45396</v>
      </c>
      <c r="C863" s="3" t="s">
        <v>668</v>
      </c>
      <c r="D863" s="3" t="s">
        <v>277</v>
      </c>
      <c r="E863" s="3" t="s">
        <v>140</v>
      </c>
      <c r="F863" s="5">
        <v>9</v>
      </c>
      <c r="G863" s="5">
        <v>2210</v>
      </c>
      <c r="H863" s="5">
        <v>12.4</v>
      </c>
      <c r="I863" s="5">
        <v>17423.64</v>
      </c>
      <c r="J863" s="3" t="s">
        <v>26</v>
      </c>
      <c r="K863" s="3" t="s">
        <v>51</v>
      </c>
      <c r="L863" t="str">
        <f>IFERROR(VLOOKUP(D863,Products!$A$2:$F$61,3,FALSE()),"")</f>
        <v>Grocery</v>
      </c>
      <c r="M863" t="str">
        <f>IFERROR(VLOOKUP(E863,Sales_Reps!$A$2:$C$31,3,FALSE()),"")</f>
        <v>West</v>
      </c>
      <c r="N863">
        <f>IFERROR(VLOOKUP(D863,Products!$A$2:$F$61,4,FALSE()),"")</f>
        <v>1010</v>
      </c>
      <c r="O863" t="str">
        <f>IFERROR(VLOOKUP(C863,Customers!$A$2:$F$301,5,FALSE()),"")</f>
        <v>Retail</v>
      </c>
      <c r="P863">
        <f>IFERROR(VLOOKUP(C863,Customers!$A$2:$F$301,3,FALSE()),"")</f>
        <v>56</v>
      </c>
      <c r="Q863">
        <f t="shared" si="39"/>
        <v>0.54298642533936647</v>
      </c>
      <c r="R863">
        <f>IF(AND(COUNTIF($A$2:$A$2047,A863)&gt;1,COUNTIF($A$2:A863,A863)=1),1,0)</f>
        <v>0</v>
      </c>
      <c r="S863" t="b">
        <f>IFERROR(VLOOKUP(D863,Products!$A$2:$F$61,6,FALSE()),"")</f>
        <v>1</v>
      </c>
      <c r="T863" t="str">
        <f>IF(COUNTIF(Customers!$A$2:$A$301,C863)=0,"Missing","OK")</f>
        <v>OK</v>
      </c>
      <c r="U863" t="str">
        <f t="shared" si="40"/>
        <v>Mumbai</v>
      </c>
      <c r="V863">
        <f t="shared" si="41"/>
        <v>0</v>
      </c>
    </row>
    <row r="864" spans="1:22" ht="15" customHeight="1" x14ac:dyDescent="0.35">
      <c r="A864" s="3" t="s">
        <v>1279</v>
      </c>
      <c r="B864" s="4">
        <v>45302</v>
      </c>
      <c r="C864" s="3" t="s">
        <v>81</v>
      </c>
      <c r="D864" s="3" t="s">
        <v>400</v>
      </c>
      <c r="E864" s="3" t="s">
        <v>168</v>
      </c>
      <c r="F864" s="5">
        <v>5</v>
      </c>
      <c r="G864" s="5">
        <v>3780</v>
      </c>
      <c r="H864" s="5">
        <v>3.9</v>
      </c>
      <c r="I864" s="5">
        <v>18162.900000000001</v>
      </c>
      <c r="J864" s="3" t="s">
        <v>26</v>
      </c>
      <c r="K864" s="3" t="s">
        <v>27</v>
      </c>
      <c r="L864" t="str">
        <f>IFERROR(VLOOKUP(D864,Products!$A$2:$F$61,3,FALSE()),"")</f>
        <v>Sports</v>
      </c>
      <c r="M864" t="str">
        <f>IFERROR(VLOOKUP(E864,Sales_Reps!$A$2:$C$31,3,FALSE()),"")</f>
        <v>West</v>
      </c>
      <c r="N864">
        <f>IFERROR(VLOOKUP(D864,Products!$A$2:$F$61,4,FALSE()),"")</f>
        <v>1860</v>
      </c>
      <c r="O864" t="str">
        <f>IFERROR(VLOOKUP(C864,Customers!$A$2:$F$301,5,FALSE()),"")</f>
        <v>SMB</v>
      </c>
      <c r="P864">
        <f>IFERROR(VLOOKUP(C864,Customers!$A$2:$F$301,3,FALSE()),"")</f>
        <v>39</v>
      </c>
      <c r="Q864">
        <f t="shared" si="39"/>
        <v>0.50793650793650791</v>
      </c>
      <c r="R864">
        <f>IF(AND(COUNTIF($A$2:$A$2047,A864)&gt;1,COUNTIF($A$2:A864,A864)=1),1,0)</f>
        <v>0</v>
      </c>
      <c r="S864" t="b">
        <f>IFERROR(VLOOKUP(D864,Products!$A$2:$F$61,6,FALSE()),"")</f>
        <v>1</v>
      </c>
      <c r="T864" t="str">
        <f>IF(COUNTIF(Customers!$A$2:$A$301,C864)=0,"Missing","OK")</f>
        <v>OK</v>
      </c>
      <c r="U864" t="str">
        <f t="shared" si="40"/>
        <v>Pune</v>
      </c>
      <c r="V864">
        <f t="shared" si="41"/>
        <v>0</v>
      </c>
    </row>
    <row r="865" spans="1:22" ht="15" customHeight="1" x14ac:dyDescent="0.35">
      <c r="A865" s="3" t="s">
        <v>1280</v>
      </c>
      <c r="B865" s="4">
        <v>45626</v>
      </c>
      <c r="C865" s="3" t="s">
        <v>108</v>
      </c>
      <c r="D865" s="3" t="s">
        <v>74</v>
      </c>
      <c r="E865" s="3" t="s">
        <v>46</v>
      </c>
      <c r="F865" s="5">
        <v>10</v>
      </c>
      <c r="G865" s="5">
        <v>2640</v>
      </c>
      <c r="H865" s="5">
        <v>17.8</v>
      </c>
      <c r="I865" s="5">
        <v>21700.799999999999</v>
      </c>
      <c r="J865" s="3" t="s">
        <v>83</v>
      </c>
      <c r="K865" s="3" t="s">
        <v>51</v>
      </c>
      <c r="L865" t="str">
        <f>IFERROR(VLOOKUP(D865,Products!$A$2:$F$61,3,FALSE()),"")</f>
        <v>Electronics</v>
      </c>
      <c r="M865" t="str">
        <f>IFERROR(VLOOKUP(E865,Sales_Reps!$A$2:$C$31,3,FALSE()),"")</f>
        <v>North</v>
      </c>
      <c r="N865">
        <f>IFERROR(VLOOKUP(D865,Products!$A$2:$F$61,4,FALSE()),"")</f>
        <v>1149</v>
      </c>
      <c r="O865" t="str">
        <f>IFERROR(VLOOKUP(C865,Customers!$A$2:$F$301,5,FALSE()),"")</f>
        <v>Retail</v>
      </c>
      <c r="P865">
        <f>IFERROR(VLOOKUP(C865,Customers!$A$2:$F$301,3,FALSE()),"")</f>
        <v>34</v>
      </c>
      <c r="Q865">
        <f t="shared" si="39"/>
        <v>0.56477272727272732</v>
      </c>
      <c r="R865">
        <f>IF(AND(COUNTIF($A$2:$A$2047,A865)&gt;1,COUNTIF($A$2:A865,A865)=1),1,0)</f>
        <v>0</v>
      </c>
      <c r="S865" t="b">
        <f>IFERROR(VLOOKUP(D865,Products!$A$2:$F$61,6,FALSE()),"")</f>
        <v>1</v>
      </c>
      <c r="T865" t="str">
        <f>IF(COUNTIF(Customers!$A$2:$A$301,C865)=0,"Missing","OK")</f>
        <v>OK</v>
      </c>
      <c r="U865" t="str">
        <f t="shared" si="40"/>
        <v>Mumbai</v>
      </c>
      <c r="V865">
        <f t="shared" si="41"/>
        <v>0</v>
      </c>
    </row>
    <row r="866" spans="1:22" ht="15" customHeight="1" x14ac:dyDescent="0.35">
      <c r="A866" s="3" t="s">
        <v>1281</v>
      </c>
      <c r="B866" s="4">
        <v>45352</v>
      </c>
      <c r="C866" s="3" t="s">
        <v>549</v>
      </c>
      <c r="D866" s="3" t="s">
        <v>221</v>
      </c>
      <c r="E866" s="3" t="s">
        <v>55</v>
      </c>
      <c r="F866" s="5">
        <v>5</v>
      </c>
      <c r="G866" s="5">
        <v>300</v>
      </c>
      <c r="H866" s="5">
        <v>12.9</v>
      </c>
      <c r="I866" s="5">
        <v>1306.5</v>
      </c>
      <c r="J866" s="3" t="s">
        <v>26</v>
      </c>
      <c r="K866" s="3" t="s">
        <v>56</v>
      </c>
      <c r="L866" t="str">
        <f>IFERROR(VLOOKUP(D866,Products!$A$2:$F$61,3,FALSE()),"")</f>
        <v>Electronics</v>
      </c>
      <c r="M866" t="str">
        <f>IFERROR(VLOOKUP(E866,Sales_Reps!$A$2:$C$31,3,FALSE()),"")</f>
        <v>West</v>
      </c>
      <c r="N866">
        <f>IFERROR(VLOOKUP(D866,Products!$A$2:$F$61,4,FALSE()),"")</f>
        <v>128</v>
      </c>
      <c r="O866" t="str">
        <f>IFERROR(VLOOKUP(C866,Customers!$A$2:$F$301,5,FALSE()),"")</f>
        <v>SMB</v>
      </c>
      <c r="P866">
        <f>IFERROR(VLOOKUP(C866,Customers!$A$2:$F$301,3,FALSE()),"")</f>
        <v>42</v>
      </c>
      <c r="Q866">
        <f t="shared" si="39"/>
        <v>0.57333333333333336</v>
      </c>
      <c r="R866">
        <f>IF(AND(COUNTIF($A$2:$A$2047,A866)&gt;1,COUNTIF($A$2:A866,A866)=1),1,0)</f>
        <v>0</v>
      </c>
      <c r="S866" t="b">
        <f>IFERROR(VLOOKUP(D866,Products!$A$2:$F$61,6,FALSE()),"")</f>
        <v>1</v>
      </c>
      <c r="T866" t="str">
        <f>IF(COUNTIF(Customers!$A$2:$A$301,C866)=0,"Missing","OK")</f>
        <v>OK</v>
      </c>
      <c r="U866" t="str">
        <f t="shared" si="40"/>
        <v>Bengaluru</v>
      </c>
      <c r="V866">
        <f t="shared" si="41"/>
        <v>0</v>
      </c>
    </row>
    <row r="867" spans="1:22" ht="15" customHeight="1" x14ac:dyDescent="0.35">
      <c r="A867" s="3" t="s">
        <v>1282</v>
      </c>
      <c r="B867" s="4">
        <v>45588</v>
      </c>
      <c r="C867" s="3" t="s">
        <v>233</v>
      </c>
      <c r="D867" s="3" t="s">
        <v>90</v>
      </c>
      <c r="E867" s="3" t="s">
        <v>191</v>
      </c>
      <c r="F867" s="5">
        <v>2</v>
      </c>
      <c r="G867" s="5">
        <v>2400</v>
      </c>
      <c r="H867" s="5">
        <v>17.100000000000001</v>
      </c>
      <c r="I867" s="5">
        <v>3979.2</v>
      </c>
      <c r="J867" s="3" t="s">
        <v>32</v>
      </c>
      <c r="K867" s="3" t="s">
        <v>72</v>
      </c>
      <c r="L867" t="str">
        <f>IFERROR(VLOOKUP(D867,Products!$A$2:$F$61,3,FALSE()),"")</f>
        <v>Sports</v>
      </c>
      <c r="M867" t="str">
        <f>IFERROR(VLOOKUP(E867,Sales_Reps!$A$2:$C$31,3,FALSE()),"")</f>
        <v>South</v>
      </c>
      <c r="N867">
        <f>IFERROR(VLOOKUP(D867,Products!$A$2:$F$61,4,FALSE()),"")</f>
        <v>974</v>
      </c>
      <c r="O867" t="str">
        <f>IFERROR(VLOOKUP(C867,Customers!$A$2:$F$301,5,FALSE()),"")</f>
        <v>SMB</v>
      </c>
      <c r="P867">
        <f>IFERROR(VLOOKUP(C867,Customers!$A$2:$F$301,3,FALSE()),"")</f>
        <v>43</v>
      </c>
      <c r="Q867">
        <f t="shared" si="39"/>
        <v>0.59416666666666662</v>
      </c>
      <c r="R867">
        <f>IF(AND(COUNTIF($A$2:$A$2047,A867)&gt;1,COUNTIF($A$2:A867,A867)=1),1,0)</f>
        <v>0</v>
      </c>
      <c r="S867" t="b">
        <f>IFERROR(VLOOKUP(D867,Products!$A$2:$F$61,6,FALSE()),"")</f>
        <v>1</v>
      </c>
      <c r="T867" t="str">
        <f>IF(COUNTIF(Customers!$A$2:$A$301,C867)=0,"Missing","OK")</f>
        <v>OK</v>
      </c>
      <c r="U867" t="str">
        <f t="shared" si="40"/>
        <v>Hyderabad</v>
      </c>
      <c r="V867">
        <f t="shared" si="41"/>
        <v>0</v>
      </c>
    </row>
    <row r="868" spans="1:22" ht="15" customHeight="1" x14ac:dyDescent="0.35">
      <c r="A868" s="3" t="s">
        <v>1283</v>
      </c>
      <c r="B868" s="4">
        <v>45583</v>
      </c>
      <c r="C868" s="3" t="s">
        <v>238</v>
      </c>
      <c r="D868" s="3" t="s">
        <v>103</v>
      </c>
      <c r="E868" s="3" t="s">
        <v>140</v>
      </c>
      <c r="F868" s="5">
        <v>5</v>
      </c>
      <c r="G868" s="5">
        <v>1080</v>
      </c>
      <c r="H868" s="5">
        <v>15.7</v>
      </c>
      <c r="I868" s="5">
        <v>4552.2</v>
      </c>
      <c r="J868" s="3" t="s">
        <v>32</v>
      </c>
      <c r="K868" s="3" t="s">
        <v>72</v>
      </c>
      <c r="L868" t="str">
        <f>IFERROR(VLOOKUP(D868,Products!$A$2:$F$61,3,FALSE()),"")</f>
        <v>Home</v>
      </c>
      <c r="M868" t="str">
        <f>IFERROR(VLOOKUP(E868,Sales_Reps!$A$2:$C$31,3,FALSE()),"")</f>
        <v>West</v>
      </c>
      <c r="N868">
        <f>IFERROR(VLOOKUP(D868,Products!$A$2:$F$61,4,FALSE()),"")</f>
        <v>519</v>
      </c>
      <c r="O868" t="str">
        <f>IFERROR(VLOOKUP(C868,Customers!$A$2:$F$301,5,FALSE()),"")</f>
        <v>Retail</v>
      </c>
      <c r="P868">
        <f>IFERROR(VLOOKUP(C868,Customers!$A$2:$F$301,3,FALSE()),"")</f>
        <v>29</v>
      </c>
      <c r="Q868">
        <f t="shared" si="39"/>
        <v>0.51944444444444449</v>
      </c>
      <c r="R868">
        <f>IF(AND(COUNTIF($A$2:$A$2047,A868)&gt;1,COUNTIF($A$2:A868,A868)=1),1,0)</f>
        <v>0</v>
      </c>
      <c r="S868" t="b">
        <f>IFERROR(VLOOKUP(D868,Products!$A$2:$F$61,6,FALSE()),"")</f>
        <v>1</v>
      </c>
      <c r="T868" t="str">
        <f>IF(COUNTIF(Customers!$A$2:$A$301,C868)=0,"Missing","OK")</f>
        <v>OK</v>
      </c>
      <c r="U868" t="str">
        <f t="shared" si="40"/>
        <v>Hyderabad</v>
      </c>
      <c r="V868">
        <f t="shared" si="41"/>
        <v>0</v>
      </c>
    </row>
    <row r="869" spans="1:22" ht="15" customHeight="1" x14ac:dyDescent="0.35">
      <c r="A869" s="3" t="s">
        <v>1284</v>
      </c>
      <c r="B869" s="4">
        <v>45528</v>
      </c>
      <c r="C869" s="3" t="s">
        <v>653</v>
      </c>
      <c r="D869" s="3" t="s">
        <v>82</v>
      </c>
      <c r="E869" s="3" t="s">
        <v>87</v>
      </c>
      <c r="F869" s="5">
        <v>1</v>
      </c>
      <c r="G869" s="5">
        <v>3250</v>
      </c>
      <c r="H869" s="5">
        <v>14.7</v>
      </c>
      <c r="I869" s="5">
        <v>2772.25</v>
      </c>
      <c r="J869" s="3" t="s">
        <v>26</v>
      </c>
      <c r="K869" s="3" t="s">
        <v>38</v>
      </c>
      <c r="L869" t="str">
        <f>IFERROR(VLOOKUP(D869,Products!$A$2:$F$61,3,FALSE()),"")</f>
        <v>Home</v>
      </c>
      <c r="M869" t="str">
        <f>IFERROR(VLOOKUP(E869,Sales_Reps!$A$2:$C$31,3,FALSE()),"")</f>
        <v>North</v>
      </c>
      <c r="N869">
        <f>IFERROR(VLOOKUP(D869,Products!$A$2:$F$61,4,FALSE()),"")</f>
        <v>1556</v>
      </c>
      <c r="O869" t="str">
        <f>IFERROR(VLOOKUP(C869,Customers!$A$2:$F$301,5,FALSE()),"")</f>
        <v>Retail</v>
      </c>
      <c r="P869">
        <f>IFERROR(VLOOKUP(C869,Customers!$A$2:$F$301,3,FALSE()),"")</f>
        <v>24</v>
      </c>
      <c r="Q869">
        <f t="shared" si="39"/>
        <v>0.52123076923076928</v>
      </c>
      <c r="R869">
        <f>IF(AND(COUNTIF($A$2:$A$2047,A869)&gt;1,COUNTIF($A$2:A869,A869)=1),1,0)</f>
        <v>0</v>
      </c>
      <c r="S869" t="b">
        <f>IFERROR(VLOOKUP(D869,Products!$A$2:$F$61,6,FALSE()),"")</f>
        <v>1</v>
      </c>
      <c r="T869" t="str">
        <f>IF(COUNTIF(Customers!$A$2:$A$301,C869)=0,"Missing","OK")</f>
        <v>OK</v>
      </c>
      <c r="U869" t="str">
        <f t="shared" si="40"/>
        <v>Delhi</v>
      </c>
      <c r="V869">
        <f t="shared" si="41"/>
        <v>0</v>
      </c>
    </row>
    <row r="870" spans="1:22" ht="15" customHeight="1" x14ac:dyDescent="0.35">
      <c r="A870" s="3" t="s">
        <v>1285</v>
      </c>
      <c r="B870" s="4">
        <v>45400</v>
      </c>
      <c r="C870" s="3" t="s">
        <v>355</v>
      </c>
      <c r="D870" s="3" t="s">
        <v>49</v>
      </c>
      <c r="E870" s="3" t="s">
        <v>97</v>
      </c>
      <c r="F870" s="5">
        <v>7</v>
      </c>
      <c r="G870" s="5">
        <v>370</v>
      </c>
      <c r="H870" s="5">
        <v>6</v>
      </c>
      <c r="I870" s="5">
        <v>2434.6</v>
      </c>
      <c r="J870" s="3" t="s">
        <v>79</v>
      </c>
      <c r="K870" s="3" t="s">
        <v>56</v>
      </c>
      <c r="L870" t="str">
        <f>IFERROR(VLOOKUP(D870,Products!$A$2:$F$61,3,FALSE()),"")</f>
        <v>Home</v>
      </c>
      <c r="M870" t="str">
        <f>IFERROR(VLOOKUP(E870,Sales_Reps!$A$2:$C$31,3,FALSE()),"")</f>
        <v>East</v>
      </c>
      <c r="N870">
        <f>IFERROR(VLOOKUP(D870,Products!$A$2:$F$61,4,FALSE()),"")</f>
        <v>288</v>
      </c>
      <c r="O870" t="str">
        <f>IFERROR(VLOOKUP(C870,Customers!$A$2:$F$301,5,FALSE()),"")</f>
        <v>Corporate</v>
      </c>
      <c r="P870">
        <f>IFERROR(VLOOKUP(C870,Customers!$A$2:$F$301,3,FALSE()),"")</f>
        <v>42</v>
      </c>
      <c r="Q870">
        <f t="shared" si="39"/>
        <v>0.22162162162162163</v>
      </c>
      <c r="R870">
        <f>IF(AND(COUNTIF($A$2:$A$2047,A870)&gt;1,COUNTIF($A$2:A870,A870)=1),1,0)</f>
        <v>0</v>
      </c>
      <c r="S870" t="b">
        <f>IFERROR(VLOOKUP(D870,Products!$A$2:$F$61,6,FALSE()),"")</f>
        <v>1</v>
      </c>
      <c r="T870" t="str">
        <f>IF(COUNTIF(Customers!$A$2:$A$301,C870)=0,"Missing","OK")</f>
        <v>OK</v>
      </c>
      <c r="U870" t="str">
        <f t="shared" si="40"/>
        <v>Bengaluru</v>
      </c>
      <c r="V870">
        <f t="shared" si="41"/>
        <v>0</v>
      </c>
    </row>
    <row r="871" spans="1:22" ht="15" customHeight="1" x14ac:dyDescent="0.35">
      <c r="A871" s="3" t="s">
        <v>1286</v>
      </c>
      <c r="B871" s="4">
        <v>45337</v>
      </c>
      <c r="C871" s="3" t="s">
        <v>1287</v>
      </c>
      <c r="D871" s="3" t="s">
        <v>63</v>
      </c>
      <c r="E871" s="3" t="s">
        <v>168</v>
      </c>
      <c r="F871" s="5">
        <v>7</v>
      </c>
      <c r="G871" s="5">
        <v>5490</v>
      </c>
      <c r="H871" s="5">
        <v>10.199999999999999</v>
      </c>
      <c r="I871" s="5">
        <v>34510.14</v>
      </c>
      <c r="J871" s="3" t="s">
        <v>26</v>
      </c>
      <c r="K871" s="3" t="s">
        <v>27</v>
      </c>
      <c r="L871" t="str">
        <f>IFERROR(VLOOKUP(D871,Products!$A$2:$F$61,3,FALSE()),"")</f>
        <v>Home</v>
      </c>
      <c r="M871" t="str">
        <f>IFERROR(VLOOKUP(E871,Sales_Reps!$A$2:$C$31,3,FALSE()),"")</f>
        <v>West</v>
      </c>
      <c r="N871">
        <f>IFERROR(VLOOKUP(D871,Products!$A$2:$F$61,4,FALSE()),"")</f>
        <v>2549</v>
      </c>
      <c r="O871" t="str">
        <f>IFERROR(VLOOKUP(C871,Customers!$A$2:$F$301,5,FALSE()),"")</f>
        <v/>
      </c>
      <c r="P871" t="str">
        <f>IFERROR(VLOOKUP(C871,Customers!$A$2:$F$301,3,FALSE()),"")</f>
        <v/>
      </c>
      <c r="Q871">
        <f t="shared" si="39"/>
        <v>0.53570127504553733</v>
      </c>
      <c r="R871">
        <f>IF(AND(COUNTIF($A$2:$A$2047,A871)&gt;1,COUNTIF($A$2:A871,A871)=1),1,0)</f>
        <v>0</v>
      </c>
      <c r="S871" t="b">
        <f>IFERROR(VLOOKUP(D871,Products!$A$2:$F$61,6,FALSE()),"")</f>
        <v>1</v>
      </c>
      <c r="T871" t="str">
        <f>IF(COUNTIF(Customers!$A$2:$A$301,C871)=0,"Missing","OK")</f>
        <v>Missing</v>
      </c>
      <c r="U871" t="str">
        <f t="shared" si="40"/>
        <v>Pune</v>
      </c>
      <c r="V871">
        <f t="shared" si="41"/>
        <v>0</v>
      </c>
    </row>
    <row r="872" spans="1:22" ht="15" customHeight="1" x14ac:dyDescent="0.35">
      <c r="A872" s="3" t="s">
        <v>1288</v>
      </c>
      <c r="B872" s="4">
        <v>45482</v>
      </c>
      <c r="C872" s="3" t="s">
        <v>1289</v>
      </c>
      <c r="D872" s="3" t="s">
        <v>347</v>
      </c>
      <c r="E872" s="3" t="s">
        <v>67</v>
      </c>
      <c r="F872" s="5">
        <v>3</v>
      </c>
      <c r="G872" s="5">
        <v>3970</v>
      </c>
      <c r="H872" s="5">
        <v>2.4</v>
      </c>
      <c r="I872" s="5">
        <v>11624.16</v>
      </c>
      <c r="J872" s="3" t="s">
        <v>26</v>
      </c>
      <c r="K872" s="3" t="s">
        <v>51</v>
      </c>
      <c r="L872" t="str">
        <f>IFERROR(VLOOKUP(D872,Products!$A$2:$F$61,3,FALSE()),"")</f>
        <v>Electronics</v>
      </c>
      <c r="M872" t="str">
        <f>IFERROR(VLOOKUP(E872,Sales_Reps!$A$2:$C$31,3,FALSE()),"")</f>
        <v>West</v>
      </c>
      <c r="N872">
        <f>IFERROR(VLOOKUP(D872,Products!$A$2:$F$61,4,FALSE()),"")</f>
        <v>2865</v>
      </c>
      <c r="O872" t="str">
        <f>IFERROR(VLOOKUP(C872,Customers!$A$2:$F$301,5,FALSE()),"")</f>
        <v>Retail</v>
      </c>
      <c r="P872">
        <f>IFERROR(VLOOKUP(C872,Customers!$A$2:$F$301,3,FALSE()),"")</f>
        <v>38</v>
      </c>
      <c r="Q872">
        <f t="shared" si="39"/>
        <v>0.27833753148614609</v>
      </c>
      <c r="R872">
        <f>IF(AND(COUNTIF($A$2:$A$2047,A872)&gt;1,COUNTIF($A$2:A872,A872)=1),1,0)</f>
        <v>0</v>
      </c>
      <c r="S872" t="b">
        <f>IFERROR(VLOOKUP(D872,Products!$A$2:$F$61,6,FALSE()),"")</f>
        <v>1</v>
      </c>
      <c r="T872" t="str">
        <f>IF(COUNTIF(Customers!$A$2:$A$301,C872)=0,"Missing","OK")</f>
        <v>OK</v>
      </c>
      <c r="U872" t="str">
        <f t="shared" si="40"/>
        <v>Mumbai</v>
      </c>
      <c r="V872">
        <f t="shared" si="41"/>
        <v>0</v>
      </c>
    </row>
    <row r="873" spans="1:22" ht="15" customHeight="1" x14ac:dyDescent="0.35">
      <c r="A873" s="3" t="s">
        <v>1290</v>
      </c>
      <c r="B873" s="4">
        <v>45583</v>
      </c>
      <c r="C873" s="3" t="s">
        <v>701</v>
      </c>
      <c r="D873" s="3" t="s">
        <v>206</v>
      </c>
      <c r="E873" s="3" t="s">
        <v>25</v>
      </c>
      <c r="F873" s="5">
        <v>4</v>
      </c>
      <c r="G873" s="5">
        <v>1220</v>
      </c>
      <c r="H873" s="5">
        <v>25.3</v>
      </c>
      <c r="I873" s="5">
        <v>3645.36</v>
      </c>
      <c r="J873" s="3" t="s">
        <v>26</v>
      </c>
      <c r="K873" s="3" t="s">
        <v>72</v>
      </c>
      <c r="L873" t="str">
        <f>IFERROR(VLOOKUP(D873,Products!$A$2:$F$61,3,FALSE()),"")</f>
        <v>Electronics</v>
      </c>
      <c r="M873" t="str">
        <f>IFERROR(VLOOKUP(E873,Sales_Reps!$A$2:$C$31,3,FALSE()),"")</f>
        <v>North</v>
      </c>
      <c r="N873">
        <f>IFERROR(VLOOKUP(D873,Products!$A$2:$F$61,4,FALSE()),"")</f>
        <v>517</v>
      </c>
      <c r="O873" t="str">
        <f>IFERROR(VLOOKUP(C873,Customers!$A$2:$F$301,5,FALSE()),"")</f>
        <v>Retail</v>
      </c>
      <c r="P873">
        <f>IFERROR(VLOOKUP(C873,Customers!$A$2:$F$301,3,FALSE()),"")</f>
        <v>52</v>
      </c>
      <c r="Q873">
        <f t="shared" si="39"/>
        <v>0.57622950819672136</v>
      </c>
      <c r="R873">
        <f>IF(AND(COUNTIF($A$2:$A$2047,A873)&gt;1,COUNTIF($A$2:A873,A873)=1),1,0)</f>
        <v>0</v>
      </c>
      <c r="S873" t="b">
        <f>IFERROR(VLOOKUP(D873,Products!$A$2:$F$61,6,FALSE()),"")</f>
        <v>1</v>
      </c>
      <c r="T873" t="str">
        <f>IF(COUNTIF(Customers!$A$2:$A$301,C873)=0,"Missing","OK")</f>
        <v>OK</v>
      </c>
      <c r="U873" t="str">
        <f t="shared" si="40"/>
        <v>Hyderabad</v>
      </c>
      <c r="V873">
        <f t="shared" si="41"/>
        <v>0</v>
      </c>
    </row>
    <row r="874" spans="1:22" ht="15" customHeight="1" x14ac:dyDescent="0.35">
      <c r="A874" s="3" t="s">
        <v>1291</v>
      </c>
      <c r="B874" s="4">
        <v>45409</v>
      </c>
      <c r="C874" s="3" t="s">
        <v>683</v>
      </c>
      <c r="D874" s="3" t="s">
        <v>45</v>
      </c>
      <c r="E874" s="3" t="s">
        <v>140</v>
      </c>
      <c r="F874" s="5">
        <v>3</v>
      </c>
      <c r="G874" s="5">
        <v>3160</v>
      </c>
      <c r="H874" s="5">
        <v>19.8</v>
      </c>
      <c r="I874" s="5">
        <v>7602.96</v>
      </c>
      <c r="J874" s="3" t="s">
        <v>26</v>
      </c>
      <c r="K874" s="3" t="s">
        <v>72</v>
      </c>
      <c r="L874" t="str">
        <f>IFERROR(VLOOKUP(D874,Products!$A$2:$F$61,3,FALSE()),"")</f>
        <v>Apparel</v>
      </c>
      <c r="M874" t="str">
        <f>IFERROR(VLOOKUP(E874,Sales_Reps!$A$2:$C$31,3,FALSE()),"")</f>
        <v>West</v>
      </c>
      <c r="N874">
        <f>IFERROR(VLOOKUP(D874,Products!$A$2:$F$61,4,FALSE()),"")</f>
        <v>1886</v>
      </c>
      <c r="O874" t="str">
        <f>IFERROR(VLOOKUP(C874,Customers!$A$2:$F$301,5,FALSE()),"")</f>
        <v>Retail</v>
      </c>
      <c r="P874">
        <f>IFERROR(VLOOKUP(C874,Customers!$A$2:$F$301,3,FALSE()),"")</f>
        <v>64</v>
      </c>
      <c r="Q874">
        <f t="shared" si="39"/>
        <v>0.4031645569620253</v>
      </c>
      <c r="R874">
        <f>IF(AND(COUNTIF($A$2:$A$2047,A874)&gt;1,COUNTIF($A$2:A874,A874)=1),1,0)</f>
        <v>0</v>
      </c>
      <c r="S874" t="b">
        <f>IFERROR(VLOOKUP(D874,Products!$A$2:$F$61,6,FALSE()),"")</f>
        <v>1</v>
      </c>
      <c r="T874" t="str">
        <f>IF(COUNTIF(Customers!$A$2:$A$301,C874)=0,"Missing","OK")</f>
        <v>OK</v>
      </c>
      <c r="U874" t="str">
        <f t="shared" si="40"/>
        <v>Hyderabad</v>
      </c>
      <c r="V874">
        <f t="shared" si="41"/>
        <v>0</v>
      </c>
    </row>
    <row r="875" spans="1:22" ht="15" customHeight="1" x14ac:dyDescent="0.35">
      <c r="A875" s="3" t="s">
        <v>1292</v>
      </c>
      <c r="B875" s="4">
        <v>45430</v>
      </c>
      <c r="C875" s="3" t="s">
        <v>552</v>
      </c>
      <c r="D875" s="3" t="s">
        <v>221</v>
      </c>
      <c r="E875" s="3" t="s">
        <v>46</v>
      </c>
      <c r="F875" s="5">
        <v>1</v>
      </c>
      <c r="G875" s="5">
        <v>300</v>
      </c>
      <c r="H875" s="5">
        <v>24.5</v>
      </c>
      <c r="I875" s="5">
        <v>226.5</v>
      </c>
      <c r="J875" s="3" t="s">
        <v>26</v>
      </c>
      <c r="K875" s="3" t="s">
        <v>51</v>
      </c>
      <c r="L875" t="str">
        <f>IFERROR(VLOOKUP(D875,Products!$A$2:$F$61,3,FALSE()),"")</f>
        <v>Electronics</v>
      </c>
      <c r="M875" t="str">
        <f>IFERROR(VLOOKUP(E875,Sales_Reps!$A$2:$C$31,3,FALSE()),"")</f>
        <v>North</v>
      </c>
      <c r="N875">
        <f>IFERROR(VLOOKUP(D875,Products!$A$2:$F$61,4,FALSE()),"")</f>
        <v>128</v>
      </c>
      <c r="O875" t="str">
        <f>IFERROR(VLOOKUP(C875,Customers!$A$2:$F$301,5,FALSE()),"")</f>
        <v>Retail</v>
      </c>
      <c r="P875">
        <f>IFERROR(VLOOKUP(C875,Customers!$A$2:$F$301,3,FALSE()),"")</f>
        <v>44</v>
      </c>
      <c r="Q875">
        <f t="shared" si="39"/>
        <v>0.57333333333333336</v>
      </c>
      <c r="R875">
        <f>IF(AND(COUNTIF($A$2:$A$2047,A875)&gt;1,COUNTIF($A$2:A875,A875)=1),1,0)</f>
        <v>0</v>
      </c>
      <c r="S875" t="b">
        <f>IFERROR(VLOOKUP(D875,Products!$A$2:$F$61,6,FALSE()),"")</f>
        <v>1</v>
      </c>
      <c r="T875" t="str">
        <f>IF(COUNTIF(Customers!$A$2:$A$301,C875)=0,"Missing","OK")</f>
        <v>OK</v>
      </c>
      <c r="U875" t="str">
        <f t="shared" si="40"/>
        <v>Mumbai</v>
      </c>
      <c r="V875">
        <f t="shared" si="41"/>
        <v>0</v>
      </c>
    </row>
    <row r="876" spans="1:22" ht="15" customHeight="1" x14ac:dyDescent="0.35">
      <c r="A876" s="3" t="s">
        <v>1293</v>
      </c>
      <c r="B876" s="4">
        <v>45654</v>
      </c>
      <c r="C876" s="3" t="s">
        <v>1247</v>
      </c>
      <c r="D876" s="3" t="s">
        <v>96</v>
      </c>
      <c r="E876" s="3" t="s">
        <v>168</v>
      </c>
      <c r="F876" s="5">
        <v>5</v>
      </c>
      <c r="G876" s="5">
        <v>3450</v>
      </c>
      <c r="H876" s="5">
        <v>13.4</v>
      </c>
      <c r="I876" s="5">
        <v>14938.5</v>
      </c>
      <c r="J876" s="3" t="s">
        <v>32</v>
      </c>
      <c r="K876" s="3" t="s">
        <v>33</v>
      </c>
      <c r="L876" t="str">
        <f>IFERROR(VLOOKUP(D876,Products!$A$2:$F$61,3,FALSE()),"")</f>
        <v>Beauty</v>
      </c>
      <c r="M876" t="str">
        <f>IFERROR(VLOOKUP(E876,Sales_Reps!$A$2:$C$31,3,FALSE()),"")</f>
        <v>West</v>
      </c>
      <c r="N876">
        <f>IFERROR(VLOOKUP(D876,Products!$A$2:$F$61,4,FALSE()),"")</f>
        <v>2420</v>
      </c>
      <c r="O876" t="str">
        <f>IFERROR(VLOOKUP(C876,Customers!$A$2:$F$301,5,FALSE()),"")</f>
        <v>SMB</v>
      </c>
      <c r="P876">
        <f>IFERROR(VLOOKUP(C876,Customers!$A$2:$F$301,3,FALSE()),"")</f>
        <v>51</v>
      </c>
      <c r="Q876">
        <f t="shared" si="39"/>
        <v>0.29855072463768118</v>
      </c>
      <c r="R876">
        <f>IF(AND(COUNTIF($A$2:$A$2047,A876)&gt;1,COUNTIF($A$2:A876,A876)=1),1,0)</f>
        <v>0</v>
      </c>
      <c r="S876" t="b">
        <f>IFERROR(VLOOKUP(D876,Products!$A$2:$F$61,6,FALSE()),"")</f>
        <v>1</v>
      </c>
      <c r="T876" t="str">
        <f>IF(COUNTIF(Customers!$A$2:$A$301,C876)=0,"Missing","OK")</f>
        <v>OK</v>
      </c>
      <c r="U876" t="str">
        <f t="shared" si="40"/>
        <v>Chennai</v>
      </c>
      <c r="V876">
        <f t="shared" si="41"/>
        <v>0</v>
      </c>
    </row>
    <row r="877" spans="1:22" ht="15" customHeight="1" x14ac:dyDescent="0.35">
      <c r="A877" s="3" t="s">
        <v>1294</v>
      </c>
      <c r="B877" s="4">
        <v>45397</v>
      </c>
      <c r="C877" s="3" t="s">
        <v>228</v>
      </c>
      <c r="D877" s="3" t="s">
        <v>24</v>
      </c>
      <c r="E877" s="3" t="s">
        <v>282</v>
      </c>
      <c r="F877" s="5">
        <v>7</v>
      </c>
      <c r="G877" s="5">
        <v>3620</v>
      </c>
      <c r="H877" s="5">
        <v>19.2</v>
      </c>
      <c r="I877" s="5">
        <v>20474.72</v>
      </c>
      <c r="J877" s="3" t="s">
        <v>26</v>
      </c>
      <c r="K877" s="3" t="s">
        <v>33</v>
      </c>
      <c r="L877" t="str">
        <f>IFERROR(VLOOKUP(D877,Products!$A$2:$F$61,3,FALSE()),"")</f>
        <v>Apparel</v>
      </c>
      <c r="M877" t="str">
        <f>IFERROR(VLOOKUP(E877,Sales_Reps!$A$2:$C$31,3,FALSE()),"")</f>
        <v>West</v>
      </c>
      <c r="N877">
        <f>IFERROR(VLOOKUP(D877,Products!$A$2:$F$61,4,FALSE()),"")</f>
        <v>2509</v>
      </c>
      <c r="O877" t="str">
        <f>IFERROR(VLOOKUP(C877,Customers!$A$2:$F$301,5,FALSE()),"")</f>
        <v>Retail</v>
      </c>
      <c r="P877">
        <f>IFERROR(VLOOKUP(C877,Customers!$A$2:$F$301,3,FALSE()),"")</f>
        <v>38</v>
      </c>
      <c r="Q877">
        <f t="shared" si="39"/>
        <v>0.3069060773480663</v>
      </c>
      <c r="R877">
        <f>IF(AND(COUNTIF($A$2:$A$2047,A877)&gt;1,COUNTIF($A$2:A877,A877)=1),1,0)</f>
        <v>0</v>
      </c>
      <c r="S877" t="b">
        <f>IFERROR(VLOOKUP(D877,Products!$A$2:$F$61,6,FALSE()),"")</f>
        <v>1</v>
      </c>
      <c r="T877" t="str">
        <f>IF(COUNTIF(Customers!$A$2:$A$301,C877)=0,"Missing","OK")</f>
        <v>OK</v>
      </c>
      <c r="U877" t="str">
        <f t="shared" si="40"/>
        <v>Chennai</v>
      </c>
      <c r="V877">
        <f t="shared" si="41"/>
        <v>0</v>
      </c>
    </row>
    <row r="878" spans="1:22" ht="15" customHeight="1" x14ac:dyDescent="0.35">
      <c r="A878" s="3" t="s">
        <v>1295</v>
      </c>
      <c r="B878" s="4">
        <v>45505</v>
      </c>
      <c r="C878" s="3" t="s">
        <v>48</v>
      </c>
      <c r="D878" s="3" t="s">
        <v>70</v>
      </c>
      <c r="E878" s="3" t="s">
        <v>71</v>
      </c>
      <c r="F878" s="5">
        <v>10</v>
      </c>
      <c r="G878" s="5">
        <v>2270</v>
      </c>
      <c r="H878" s="5">
        <v>20.5</v>
      </c>
      <c r="I878" s="5">
        <v>18046.5</v>
      </c>
      <c r="J878" s="3" t="s">
        <v>26</v>
      </c>
      <c r="K878" s="3" t="s">
        <v>51</v>
      </c>
      <c r="L878" t="str">
        <f>IFERROR(VLOOKUP(D878,Products!$A$2:$F$61,3,FALSE()),"")</f>
        <v>Grocery</v>
      </c>
      <c r="M878" t="str">
        <f>IFERROR(VLOOKUP(E878,Sales_Reps!$A$2:$C$31,3,FALSE()),"")</f>
        <v>South</v>
      </c>
      <c r="N878">
        <f>IFERROR(VLOOKUP(D878,Products!$A$2:$F$61,4,FALSE()),"")</f>
        <v>1203</v>
      </c>
      <c r="O878" t="str">
        <f>IFERROR(VLOOKUP(C878,Customers!$A$2:$F$301,5,FALSE()),"")</f>
        <v>Retail</v>
      </c>
      <c r="P878">
        <f>IFERROR(VLOOKUP(C878,Customers!$A$2:$F$301,3,FALSE()),"")</f>
        <v>36</v>
      </c>
      <c r="Q878">
        <f t="shared" si="39"/>
        <v>0.47004405286343615</v>
      </c>
      <c r="R878">
        <f>IF(AND(COUNTIF($A$2:$A$2047,A878)&gt;1,COUNTIF($A$2:A878,A878)=1),1,0)</f>
        <v>0</v>
      </c>
      <c r="S878" t="b">
        <f>IFERROR(VLOOKUP(D878,Products!$A$2:$F$61,6,FALSE()),"")</f>
        <v>1</v>
      </c>
      <c r="T878" t="str">
        <f>IF(COUNTIF(Customers!$A$2:$A$301,C878)=0,"Missing","OK")</f>
        <v>OK</v>
      </c>
      <c r="U878" t="str">
        <f t="shared" si="40"/>
        <v>Mumbai</v>
      </c>
      <c r="V878">
        <f t="shared" si="41"/>
        <v>0</v>
      </c>
    </row>
    <row r="879" spans="1:22" ht="15" customHeight="1" x14ac:dyDescent="0.35">
      <c r="A879" s="3" t="s">
        <v>1296</v>
      </c>
      <c r="B879" s="4">
        <v>45386</v>
      </c>
      <c r="C879" s="3" t="s">
        <v>1297</v>
      </c>
      <c r="D879" s="3" t="s">
        <v>112</v>
      </c>
      <c r="E879" s="3" t="s">
        <v>55</v>
      </c>
      <c r="F879" s="5">
        <v>5</v>
      </c>
      <c r="G879" s="5">
        <v>2720</v>
      </c>
      <c r="H879" s="5">
        <v>29.3</v>
      </c>
      <c r="I879" s="5">
        <v>9615.2000000000007</v>
      </c>
      <c r="J879" s="3" t="s">
        <v>26</v>
      </c>
      <c r="K879" s="3" t="s">
        <v>51</v>
      </c>
      <c r="L879" t="str">
        <f>IFERROR(VLOOKUP(D879,Products!$A$2:$F$61,3,FALSE()),"")</f>
        <v>Apparel</v>
      </c>
      <c r="M879" t="str">
        <f>IFERROR(VLOOKUP(E879,Sales_Reps!$A$2:$C$31,3,FALSE()),"")</f>
        <v>West</v>
      </c>
      <c r="N879">
        <f>IFERROR(VLOOKUP(D879,Products!$A$2:$F$61,4,FALSE()),"")</f>
        <v>1962</v>
      </c>
      <c r="O879" t="str">
        <f>IFERROR(VLOOKUP(C879,Customers!$A$2:$F$301,5,FALSE()),"")</f>
        <v>Corporate</v>
      </c>
      <c r="P879">
        <f>IFERROR(VLOOKUP(C879,Customers!$A$2:$F$301,3,FALSE()),"")</f>
        <v>42</v>
      </c>
      <c r="Q879">
        <f t="shared" si="39"/>
        <v>0.2786764705882353</v>
      </c>
      <c r="R879">
        <f>IF(AND(COUNTIF($A$2:$A$2047,A879)&gt;1,COUNTIF($A$2:A879,A879)=1),1,0)</f>
        <v>0</v>
      </c>
      <c r="S879" t="b">
        <f>IFERROR(VLOOKUP(D879,Products!$A$2:$F$61,6,FALSE()),"")</f>
        <v>1</v>
      </c>
      <c r="T879" t="str">
        <f>IF(COUNTIF(Customers!$A$2:$A$301,C879)=0,"Missing","OK")</f>
        <v>OK</v>
      </c>
      <c r="U879" t="str">
        <f t="shared" si="40"/>
        <v>Mumbai</v>
      </c>
      <c r="V879">
        <f t="shared" si="41"/>
        <v>0</v>
      </c>
    </row>
    <row r="880" spans="1:22" ht="15" customHeight="1" x14ac:dyDescent="0.35">
      <c r="A880" s="3" t="s">
        <v>1298</v>
      </c>
      <c r="B880" s="4">
        <v>45499</v>
      </c>
      <c r="C880" s="3" t="s">
        <v>902</v>
      </c>
      <c r="D880" s="3" t="s">
        <v>173</v>
      </c>
      <c r="E880" s="3" t="s">
        <v>224</v>
      </c>
      <c r="F880" s="5">
        <v>9</v>
      </c>
      <c r="G880" s="5">
        <v>3780</v>
      </c>
      <c r="H880" s="5">
        <v>2.2999999999999998</v>
      </c>
      <c r="I880" s="5">
        <v>33237.54</v>
      </c>
      <c r="J880" s="3" t="s">
        <v>26</v>
      </c>
      <c r="K880" s="3" t="s">
        <v>33</v>
      </c>
      <c r="L880" t="str">
        <f>IFERROR(VLOOKUP(D880,Products!$A$2:$F$61,3,FALSE()),"")</f>
        <v>Grocery</v>
      </c>
      <c r="M880" t="str">
        <f>IFERROR(VLOOKUP(E880,Sales_Reps!$A$2:$C$31,3,FALSE()),"")</f>
        <v>East</v>
      </c>
      <c r="N880">
        <f>IFERROR(VLOOKUP(D880,Products!$A$2:$F$61,4,FALSE()),"")</f>
        <v>2436</v>
      </c>
      <c r="O880" t="str">
        <f>IFERROR(VLOOKUP(C880,Customers!$A$2:$F$301,5,FALSE()),"")</f>
        <v>Retail</v>
      </c>
      <c r="P880">
        <f>IFERROR(VLOOKUP(C880,Customers!$A$2:$F$301,3,FALSE()),"")</f>
        <v>31</v>
      </c>
      <c r="Q880">
        <f t="shared" si="39"/>
        <v>0.35555555555555557</v>
      </c>
      <c r="R880">
        <f>IF(AND(COUNTIF($A$2:$A$2047,A880)&gt;1,COUNTIF($A$2:A880,A880)=1),1,0)</f>
        <v>0</v>
      </c>
      <c r="S880" t="b">
        <f>IFERROR(VLOOKUP(D880,Products!$A$2:$F$61,6,FALSE()),"")</f>
        <v>1</v>
      </c>
      <c r="T880" t="str">
        <f>IF(COUNTIF(Customers!$A$2:$A$301,C880)=0,"Missing","OK")</f>
        <v>OK</v>
      </c>
      <c r="U880" t="str">
        <f t="shared" si="40"/>
        <v>Chennai</v>
      </c>
      <c r="V880">
        <f t="shared" si="41"/>
        <v>0</v>
      </c>
    </row>
    <row r="881" spans="1:22" ht="15" customHeight="1" x14ac:dyDescent="0.35">
      <c r="A881" s="3" t="s">
        <v>1299</v>
      </c>
      <c r="B881" s="4">
        <v>45636</v>
      </c>
      <c r="C881" s="3" t="s">
        <v>1300</v>
      </c>
      <c r="D881" s="3" t="s">
        <v>290</v>
      </c>
      <c r="E881" s="3" t="s">
        <v>37</v>
      </c>
      <c r="F881" s="5">
        <v>9</v>
      </c>
      <c r="G881" s="5">
        <v>4060</v>
      </c>
      <c r="H881" s="5">
        <v>11.5</v>
      </c>
      <c r="I881" s="5">
        <v>32337.9</v>
      </c>
      <c r="J881" s="3" t="s">
        <v>26</v>
      </c>
      <c r="K881" s="3" t="s">
        <v>33</v>
      </c>
      <c r="L881" t="str">
        <f>IFERROR(VLOOKUP(D881,Products!$A$2:$F$61,3,FALSE()),"")</f>
        <v>Grocery</v>
      </c>
      <c r="M881" t="str">
        <f>IFERROR(VLOOKUP(E881,Sales_Reps!$A$2:$C$31,3,FALSE()),"")</f>
        <v>South</v>
      </c>
      <c r="N881">
        <f>IFERROR(VLOOKUP(D881,Products!$A$2:$F$61,4,FALSE()),"")</f>
        <v>2911</v>
      </c>
      <c r="O881" t="str">
        <f>IFERROR(VLOOKUP(C881,Customers!$A$2:$F$301,5,FALSE()),"")</f>
        <v>Retail</v>
      </c>
      <c r="P881">
        <f>IFERROR(VLOOKUP(C881,Customers!$A$2:$F$301,3,FALSE()),"")</f>
        <v>34</v>
      </c>
      <c r="Q881">
        <f t="shared" si="39"/>
        <v>0.28300492610837441</v>
      </c>
      <c r="R881">
        <f>IF(AND(COUNTIF($A$2:$A$2047,A881)&gt;1,COUNTIF($A$2:A881,A881)=1),1,0)</f>
        <v>0</v>
      </c>
      <c r="S881" t="b">
        <f>IFERROR(VLOOKUP(D881,Products!$A$2:$F$61,6,FALSE()),"")</f>
        <v>1</v>
      </c>
      <c r="T881" t="str">
        <f>IF(COUNTIF(Customers!$A$2:$A$301,C881)=0,"Missing","OK")</f>
        <v>OK</v>
      </c>
      <c r="U881" t="str">
        <f t="shared" si="40"/>
        <v>Chennai</v>
      </c>
      <c r="V881">
        <f t="shared" si="41"/>
        <v>0</v>
      </c>
    </row>
    <row r="882" spans="1:22" ht="15" customHeight="1" x14ac:dyDescent="0.35">
      <c r="A882" s="3" t="s">
        <v>616</v>
      </c>
      <c r="B882" s="4">
        <v>45517</v>
      </c>
      <c r="C882" s="3" t="s">
        <v>359</v>
      </c>
      <c r="D882" s="3" t="s">
        <v>139</v>
      </c>
      <c r="E882" s="3" t="s">
        <v>264</v>
      </c>
      <c r="F882" s="5">
        <v>10</v>
      </c>
      <c r="G882" s="5">
        <v>2760</v>
      </c>
      <c r="H882" s="5">
        <v>3.9</v>
      </c>
      <c r="I882" s="5">
        <v>26523.599999999999</v>
      </c>
      <c r="J882" s="3" t="s">
        <v>83</v>
      </c>
      <c r="K882" s="3" t="s">
        <v>38</v>
      </c>
      <c r="L882" t="str">
        <f>IFERROR(VLOOKUP(D882,Products!$A$2:$F$61,3,FALSE()),"")</f>
        <v>Grocery</v>
      </c>
      <c r="M882" t="str">
        <f>IFERROR(VLOOKUP(E882,Sales_Reps!$A$2:$C$31,3,FALSE()),"")</f>
        <v>South</v>
      </c>
      <c r="N882">
        <f>IFERROR(VLOOKUP(D882,Products!$A$2:$F$61,4,FALSE()),"")</f>
        <v>1435</v>
      </c>
      <c r="O882" t="str">
        <f>IFERROR(VLOOKUP(C882,Customers!$A$2:$F$301,5,FALSE()),"")</f>
        <v>Retail</v>
      </c>
      <c r="P882">
        <f>IFERROR(VLOOKUP(C882,Customers!$A$2:$F$301,3,FALSE()),"")</f>
        <v>44</v>
      </c>
      <c r="Q882">
        <f t="shared" si="39"/>
        <v>0.48007246376811596</v>
      </c>
      <c r="R882">
        <f>IF(AND(COUNTIF($A$2:$A$2047,A882)&gt;1,COUNTIF($A$2:A882,A882)=1),1,0)</f>
        <v>0</v>
      </c>
      <c r="S882" t="b">
        <f>IFERROR(VLOOKUP(D882,Products!$A$2:$F$61,6,FALSE()),"")</f>
        <v>1</v>
      </c>
      <c r="T882" t="str">
        <f>IF(COUNTIF(Customers!$A$2:$A$301,C882)=0,"Missing","OK")</f>
        <v>OK</v>
      </c>
      <c r="U882" t="str">
        <f t="shared" si="40"/>
        <v>Delhi</v>
      </c>
      <c r="V882">
        <f t="shared" si="41"/>
        <v>0</v>
      </c>
    </row>
    <row r="883" spans="1:22" ht="15" customHeight="1" x14ac:dyDescent="0.35">
      <c r="A883" s="3" t="s">
        <v>1301</v>
      </c>
      <c r="B883" s="4">
        <v>45593</v>
      </c>
      <c r="C883" s="3" t="s">
        <v>164</v>
      </c>
      <c r="D883" s="3" t="s">
        <v>103</v>
      </c>
      <c r="E883" s="3" t="s">
        <v>97</v>
      </c>
      <c r="F883" s="5">
        <v>10</v>
      </c>
      <c r="G883" s="5">
        <v>1080</v>
      </c>
      <c r="H883" s="5">
        <v>21.4</v>
      </c>
      <c r="I883" s="5">
        <v>8488.7999999999993</v>
      </c>
      <c r="J883" s="3" t="s">
        <v>26</v>
      </c>
      <c r="K883" s="3" t="s">
        <v>33</v>
      </c>
      <c r="L883" t="str">
        <f>IFERROR(VLOOKUP(D883,Products!$A$2:$F$61,3,FALSE()),"")</f>
        <v>Home</v>
      </c>
      <c r="M883" t="str">
        <f>IFERROR(VLOOKUP(E883,Sales_Reps!$A$2:$C$31,3,FALSE()),"")</f>
        <v>East</v>
      </c>
      <c r="N883">
        <f>IFERROR(VLOOKUP(D883,Products!$A$2:$F$61,4,FALSE()),"")</f>
        <v>519</v>
      </c>
      <c r="O883" t="str">
        <f>IFERROR(VLOOKUP(C883,Customers!$A$2:$F$301,5,FALSE()),"")</f>
        <v>Retail</v>
      </c>
      <c r="P883">
        <f>IFERROR(VLOOKUP(C883,Customers!$A$2:$F$301,3,FALSE()),"")</f>
        <v>37</v>
      </c>
      <c r="Q883">
        <f t="shared" si="39"/>
        <v>0.51944444444444449</v>
      </c>
      <c r="R883">
        <f>IF(AND(COUNTIF($A$2:$A$2047,A883)&gt;1,COUNTIF($A$2:A883,A883)=1),1,0)</f>
        <v>0</v>
      </c>
      <c r="S883" t="b">
        <f>IFERROR(VLOOKUP(D883,Products!$A$2:$F$61,6,FALSE()),"")</f>
        <v>1</v>
      </c>
      <c r="T883" t="str">
        <f>IF(COUNTIF(Customers!$A$2:$A$301,C883)=0,"Missing","OK")</f>
        <v>OK</v>
      </c>
      <c r="U883" t="str">
        <f t="shared" si="40"/>
        <v>Chennai</v>
      </c>
      <c r="V883">
        <f t="shared" si="41"/>
        <v>0</v>
      </c>
    </row>
    <row r="884" spans="1:22" ht="15" customHeight="1" x14ac:dyDescent="0.35">
      <c r="A884" s="3" t="s">
        <v>1302</v>
      </c>
      <c r="B884" s="4">
        <v>45497</v>
      </c>
      <c r="C884" s="3" t="s">
        <v>1297</v>
      </c>
      <c r="D884" s="3" t="s">
        <v>382</v>
      </c>
      <c r="E884" s="3" t="s">
        <v>93</v>
      </c>
      <c r="F884" s="5">
        <v>6</v>
      </c>
      <c r="G884" s="5">
        <v>5080</v>
      </c>
      <c r="H884" s="5">
        <v>29.8</v>
      </c>
      <c r="I884" s="5">
        <v>21396.959999999999</v>
      </c>
      <c r="J884" s="3" t="s">
        <v>32</v>
      </c>
      <c r="K884" s="3" t="s">
        <v>51</v>
      </c>
      <c r="L884" t="str">
        <f>IFERROR(VLOOKUP(D884,Products!$A$2:$F$61,3,FALSE()),"")</f>
        <v>Home</v>
      </c>
      <c r="M884" t="str">
        <f>IFERROR(VLOOKUP(E884,Sales_Reps!$A$2:$C$31,3,FALSE()),"")</f>
        <v>East</v>
      </c>
      <c r="N884">
        <f>IFERROR(VLOOKUP(D884,Products!$A$2:$F$61,4,FALSE()),"")</f>
        <v>2459</v>
      </c>
      <c r="O884" t="str">
        <f>IFERROR(VLOOKUP(C884,Customers!$A$2:$F$301,5,FALSE()),"")</f>
        <v>Corporate</v>
      </c>
      <c r="P884">
        <f>IFERROR(VLOOKUP(C884,Customers!$A$2:$F$301,3,FALSE()),"")</f>
        <v>42</v>
      </c>
      <c r="Q884">
        <f t="shared" si="39"/>
        <v>0.51594488188976373</v>
      </c>
      <c r="R884">
        <f>IF(AND(COUNTIF($A$2:$A$2047,A884)&gt;1,COUNTIF($A$2:A884,A884)=1),1,0)</f>
        <v>0</v>
      </c>
      <c r="S884" t="b">
        <f>IFERROR(VLOOKUP(D884,Products!$A$2:$F$61,6,FALSE()),"")</f>
        <v>1</v>
      </c>
      <c r="T884" t="str">
        <f>IF(COUNTIF(Customers!$A$2:$A$301,C884)=0,"Missing","OK")</f>
        <v>OK</v>
      </c>
      <c r="U884" t="str">
        <f t="shared" si="40"/>
        <v>Mumbai</v>
      </c>
      <c r="V884">
        <f t="shared" si="41"/>
        <v>0</v>
      </c>
    </row>
    <row r="885" spans="1:22" ht="15" customHeight="1" x14ac:dyDescent="0.35">
      <c r="A885" s="3" t="s">
        <v>1303</v>
      </c>
      <c r="B885" s="4">
        <v>45293</v>
      </c>
      <c r="C885" s="3" t="s">
        <v>65</v>
      </c>
      <c r="D885" s="3" t="s">
        <v>123</v>
      </c>
      <c r="E885" s="3" t="s">
        <v>109</v>
      </c>
      <c r="F885" s="5">
        <v>1</v>
      </c>
      <c r="G885" s="5">
        <v>4880</v>
      </c>
      <c r="H885" s="5">
        <v>28.2</v>
      </c>
      <c r="I885" s="5">
        <v>3503.84</v>
      </c>
      <c r="J885" s="3" t="s">
        <v>26</v>
      </c>
      <c r="K885" s="3" t="s">
        <v>27</v>
      </c>
      <c r="L885" t="str">
        <f>IFERROR(VLOOKUP(D885,Products!$A$2:$F$61,3,FALSE()),"")</f>
        <v>Beauty</v>
      </c>
      <c r="M885" t="str">
        <f>IFERROR(VLOOKUP(E885,Sales_Reps!$A$2:$C$31,3,FALSE()),"")</f>
        <v>West</v>
      </c>
      <c r="N885">
        <f>IFERROR(VLOOKUP(D885,Products!$A$2:$F$61,4,FALSE()),"")</f>
        <v>2768</v>
      </c>
      <c r="O885" t="str">
        <f>IFERROR(VLOOKUP(C885,Customers!$A$2:$F$301,5,FALSE()),"")</f>
        <v>Retail</v>
      </c>
      <c r="P885">
        <f>IFERROR(VLOOKUP(C885,Customers!$A$2:$F$301,3,FALSE()),"")</f>
        <v>56</v>
      </c>
      <c r="Q885">
        <f t="shared" si="39"/>
        <v>0.43278688524590164</v>
      </c>
      <c r="R885">
        <f>IF(AND(COUNTIF($A$2:$A$2047,A885)&gt;1,COUNTIF($A$2:A885,A885)=1),1,0)</f>
        <v>0</v>
      </c>
      <c r="S885" t="b">
        <f>IFERROR(VLOOKUP(D885,Products!$A$2:$F$61,6,FALSE()),"")</f>
        <v>1</v>
      </c>
      <c r="T885" t="str">
        <f>IF(COUNTIF(Customers!$A$2:$A$301,C885)=0,"Missing","OK")</f>
        <v>OK</v>
      </c>
      <c r="U885" t="str">
        <f t="shared" si="40"/>
        <v>Pune</v>
      </c>
      <c r="V885">
        <f t="shared" si="41"/>
        <v>0</v>
      </c>
    </row>
    <row r="886" spans="1:22" ht="15" customHeight="1" x14ac:dyDescent="0.35">
      <c r="A886" s="3" t="s">
        <v>1304</v>
      </c>
      <c r="B886" s="4">
        <v>45562</v>
      </c>
      <c r="C886" s="3" t="s">
        <v>151</v>
      </c>
      <c r="D886" s="3" t="s">
        <v>184</v>
      </c>
      <c r="E886" s="3" t="s">
        <v>282</v>
      </c>
      <c r="F886" s="5">
        <v>1</v>
      </c>
      <c r="G886" s="5">
        <v>2270</v>
      </c>
      <c r="H886" s="5">
        <v>27.8</v>
      </c>
      <c r="I886" s="5">
        <v>1638.94</v>
      </c>
      <c r="J886" s="3" t="s">
        <v>26</v>
      </c>
      <c r="K886" s="3" t="s">
        <v>51</v>
      </c>
      <c r="L886" t="str">
        <f>IFERROR(VLOOKUP(D886,Products!$A$2:$F$61,3,FALSE()),"")</f>
        <v>Grocery</v>
      </c>
      <c r="M886" t="str">
        <f>IFERROR(VLOOKUP(E886,Sales_Reps!$A$2:$C$31,3,FALSE()),"")</f>
        <v>West</v>
      </c>
      <c r="N886">
        <f>IFERROR(VLOOKUP(D886,Products!$A$2:$F$61,4,FALSE()),"")</f>
        <v>1412</v>
      </c>
      <c r="O886" t="str">
        <f>IFERROR(VLOOKUP(C886,Customers!$A$2:$F$301,5,FALSE()),"")</f>
        <v>SMB</v>
      </c>
      <c r="P886">
        <f>IFERROR(VLOOKUP(C886,Customers!$A$2:$F$301,3,FALSE()),"")</f>
        <v>36</v>
      </c>
      <c r="Q886">
        <f t="shared" si="39"/>
        <v>0.37797356828193834</v>
      </c>
      <c r="R886">
        <f>IF(AND(COUNTIF($A$2:$A$2047,A886)&gt;1,COUNTIF($A$2:A886,A886)=1),1,0)</f>
        <v>0</v>
      </c>
      <c r="S886" t="b">
        <f>IFERROR(VLOOKUP(D886,Products!$A$2:$F$61,6,FALSE()),"")</f>
        <v>1</v>
      </c>
      <c r="T886" t="str">
        <f>IF(COUNTIF(Customers!$A$2:$A$301,C886)=0,"Missing","OK")</f>
        <v>OK</v>
      </c>
      <c r="U886" t="str">
        <f t="shared" si="40"/>
        <v>Mumbai</v>
      </c>
      <c r="V886">
        <f t="shared" si="41"/>
        <v>0</v>
      </c>
    </row>
    <row r="887" spans="1:22" ht="15" customHeight="1" x14ac:dyDescent="0.35">
      <c r="A887" s="3" t="s">
        <v>1305</v>
      </c>
      <c r="B887" s="4">
        <v>45638</v>
      </c>
      <c r="C887" s="3" t="s">
        <v>461</v>
      </c>
      <c r="D887" s="3" t="s">
        <v>347</v>
      </c>
      <c r="E887" s="3" t="s">
        <v>60</v>
      </c>
      <c r="F887" s="5">
        <v>9</v>
      </c>
      <c r="G887" s="5">
        <v>3970</v>
      </c>
      <c r="H887" s="5">
        <v>7</v>
      </c>
      <c r="I887" s="5">
        <v>33228.9</v>
      </c>
      <c r="J887" s="3" t="s">
        <v>26</v>
      </c>
      <c r="K887" s="3" t="s">
        <v>38</v>
      </c>
      <c r="L887" t="str">
        <f>IFERROR(VLOOKUP(D887,Products!$A$2:$F$61,3,FALSE()),"")</f>
        <v>Electronics</v>
      </c>
      <c r="M887" t="str">
        <f>IFERROR(VLOOKUP(E887,Sales_Reps!$A$2:$C$31,3,FALSE()),"")</f>
        <v>East</v>
      </c>
      <c r="N887">
        <f>IFERROR(VLOOKUP(D887,Products!$A$2:$F$61,4,FALSE()),"")</f>
        <v>2865</v>
      </c>
      <c r="O887" t="str">
        <f>IFERROR(VLOOKUP(C887,Customers!$A$2:$F$301,5,FALSE()),"")</f>
        <v>SMB</v>
      </c>
      <c r="P887">
        <f>IFERROR(VLOOKUP(C887,Customers!$A$2:$F$301,3,FALSE()),"")</f>
        <v>55</v>
      </c>
      <c r="Q887">
        <f t="shared" si="39"/>
        <v>0.27833753148614609</v>
      </c>
      <c r="R887">
        <f>IF(AND(COUNTIF($A$2:$A$2047,A887)&gt;1,COUNTIF($A$2:A887,A887)=1),1,0)</f>
        <v>0</v>
      </c>
      <c r="S887" t="b">
        <f>IFERROR(VLOOKUP(D887,Products!$A$2:$F$61,6,FALSE()),"")</f>
        <v>1</v>
      </c>
      <c r="T887" t="str">
        <f>IF(COUNTIF(Customers!$A$2:$A$301,C887)=0,"Missing","OK")</f>
        <v>OK</v>
      </c>
      <c r="U887" t="str">
        <f t="shared" si="40"/>
        <v>Delhi</v>
      </c>
      <c r="V887">
        <f t="shared" si="41"/>
        <v>0</v>
      </c>
    </row>
    <row r="888" spans="1:22" ht="15" customHeight="1" x14ac:dyDescent="0.35">
      <c r="A888" s="3" t="s">
        <v>1306</v>
      </c>
      <c r="B888" s="4">
        <v>45408</v>
      </c>
      <c r="C888" s="3" t="s">
        <v>545</v>
      </c>
      <c r="D888" s="3" t="s">
        <v>130</v>
      </c>
      <c r="E888" s="3" t="s">
        <v>87</v>
      </c>
      <c r="F888" s="5">
        <v>9</v>
      </c>
      <c r="G888" s="5">
        <v>5100</v>
      </c>
      <c r="H888" s="5">
        <v>9.6999999999999993</v>
      </c>
      <c r="I888" s="5">
        <v>41447.699999999997</v>
      </c>
      <c r="J888" s="3" t="s">
        <v>26</v>
      </c>
      <c r="K888" s="3" t="s">
        <v>51</v>
      </c>
      <c r="L888" t="str">
        <f>IFERROR(VLOOKUP(D888,Products!$A$2:$F$61,3,FALSE()),"")</f>
        <v>Beauty</v>
      </c>
      <c r="M888" t="str">
        <f>IFERROR(VLOOKUP(E888,Sales_Reps!$A$2:$C$31,3,FALSE()),"")</f>
        <v>North</v>
      </c>
      <c r="N888">
        <f>IFERROR(VLOOKUP(D888,Products!$A$2:$F$61,4,FALSE()),"")</f>
        <v>2237</v>
      </c>
      <c r="O888" t="str">
        <f>IFERROR(VLOOKUP(C888,Customers!$A$2:$F$301,5,FALSE()),"")</f>
        <v>Retail</v>
      </c>
      <c r="P888">
        <f>IFERROR(VLOOKUP(C888,Customers!$A$2:$F$301,3,FALSE()),"")</f>
        <v>52</v>
      </c>
      <c r="Q888">
        <f t="shared" si="39"/>
        <v>0.56137254901960787</v>
      </c>
      <c r="R888">
        <f>IF(AND(COUNTIF($A$2:$A$2047,A888)&gt;1,COUNTIF($A$2:A888,A888)=1),1,0)</f>
        <v>0</v>
      </c>
      <c r="S888" t="b">
        <f>IFERROR(VLOOKUP(D888,Products!$A$2:$F$61,6,FALSE()),"")</f>
        <v>1</v>
      </c>
      <c r="T888" t="str">
        <f>IF(COUNTIF(Customers!$A$2:$A$301,C888)=0,"Missing","OK")</f>
        <v>OK</v>
      </c>
      <c r="U888" t="str">
        <f t="shared" si="40"/>
        <v>Mumbai</v>
      </c>
      <c r="V888">
        <f t="shared" si="41"/>
        <v>0</v>
      </c>
    </row>
    <row r="889" spans="1:22" ht="15" customHeight="1" x14ac:dyDescent="0.35">
      <c r="A889" s="3" t="s">
        <v>1307</v>
      </c>
      <c r="B889" s="4">
        <v>45498</v>
      </c>
      <c r="C889" s="3" t="s">
        <v>485</v>
      </c>
      <c r="D889" s="3" t="s">
        <v>86</v>
      </c>
      <c r="E889" s="3" t="s">
        <v>31</v>
      </c>
      <c r="F889" s="5">
        <v>8</v>
      </c>
      <c r="G889" s="5">
        <v>190</v>
      </c>
      <c r="H889" s="5">
        <v>10.199999999999999</v>
      </c>
      <c r="I889" s="5">
        <v>1364.96</v>
      </c>
      <c r="J889" s="3" t="s">
        <v>26</v>
      </c>
      <c r="K889" s="3" t="s">
        <v>38</v>
      </c>
      <c r="L889" t="str">
        <f>IFERROR(VLOOKUP(D889,Products!$A$2:$F$61,3,FALSE()),"")</f>
        <v>Sports</v>
      </c>
      <c r="M889" t="str">
        <f>IFERROR(VLOOKUP(E889,Sales_Reps!$A$2:$C$31,3,FALSE()),"")</f>
        <v>North</v>
      </c>
      <c r="N889">
        <f>IFERROR(VLOOKUP(D889,Products!$A$2:$F$61,4,FALSE()),"")</f>
        <v>147</v>
      </c>
      <c r="O889" t="str">
        <f>IFERROR(VLOOKUP(C889,Customers!$A$2:$F$301,5,FALSE()),"")</f>
        <v>SMB</v>
      </c>
      <c r="P889">
        <f>IFERROR(VLOOKUP(C889,Customers!$A$2:$F$301,3,FALSE()),"")</f>
        <v>29</v>
      </c>
      <c r="Q889">
        <f t="shared" si="39"/>
        <v>0.22631578947368422</v>
      </c>
      <c r="R889">
        <f>IF(AND(COUNTIF($A$2:$A$2047,A889)&gt;1,COUNTIF($A$2:A889,A889)=1),1,0)</f>
        <v>0</v>
      </c>
      <c r="S889" t="b">
        <f>IFERROR(VLOOKUP(D889,Products!$A$2:$F$61,6,FALSE()),"")</f>
        <v>1</v>
      </c>
      <c r="T889" t="str">
        <f>IF(COUNTIF(Customers!$A$2:$A$301,C889)=0,"Missing","OK")</f>
        <v>OK</v>
      </c>
      <c r="U889" t="str">
        <f t="shared" si="40"/>
        <v>Delhi</v>
      </c>
      <c r="V889">
        <f t="shared" si="41"/>
        <v>0</v>
      </c>
    </row>
    <row r="890" spans="1:22" ht="15" customHeight="1" x14ac:dyDescent="0.35">
      <c r="A890" s="3" t="s">
        <v>1308</v>
      </c>
      <c r="B890" s="4">
        <v>45649</v>
      </c>
      <c r="C890" s="3" t="s">
        <v>310</v>
      </c>
      <c r="D890" s="3" t="s">
        <v>180</v>
      </c>
      <c r="E890" s="3" t="s">
        <v>140</v>
      </c>
      <c r="F890" s="5">
        <v>1</v>
      </c>
      <c r="G890" s="5">
        <v>6080</v>
      </c>
      <c r="H890" s="5">
        <v>5.6</v>
      </c>
      <c r="I890" s="5">
        <v>5739.52</v>
      </c>
      <c r="J890" s="3" t="s">
        <v>26</v>
      </c>
      <c r="K890" s="3" t="s">
        <v>51</v>
      </c>
      <c r="L890" t="str">
        <f>IFERROR(VLOOKUP(D890,Products!$A$2:$F$61,3,FALSE()),"")</f>
        <v>Beauty</v>
      </c>
      <c r="M890" t="str">
        <f>IFERROR(VLOOKUP(E890,Sales_Reps!$A$2:$C$31,3,FALSE()),"")</f>
        <v>West</v>
      </c>
      <c r="N890">
        <f>IFERROR(VLOOKUP(D890,Products!$A$2:$F$61,4,FALSE()),"")</f>
        <v>2617</v>
      </c>
      <c r="O890" t="str">
        <f>IFERROR(VLOOKUP(C890,Customers!$A$2:$F$301,5,FALSE()),"")</f>
        <v>Retail</v>
      </c>
      <c r="P890">
        <f>IFERROR(VLOOKUP(C890,Customers!$A$2:$F$301,3,FALSE()),"")</f>
        <v>42</v>
      </c>
      <c r="Q890">
        <f t="shared" si="39"/>
        <v>0.56957236842105263</v>
      </c>
      <c r="R890">
        <f>IF(AND(COUNTIF($A$2:$A$2047,A890)&gt;1,COUNTIF($A$2:A890,A890)=1),1,0)</f>
        <v>0</v>
      </c>
      <c r="S890" t="b">
        <f>IFERROR(VLOOKUP(D890,Products!$A$2:$F$61,6,FALSE()),"")</f>
        <v>1</v>
      </c>
      <c r="T890" t="str">
        <f>IF(COUNTIF(Customers!$A$2:$A$301,C890)=0,"Missing","OK")</f>
        <v>OK</v>
      </c>
      <c r="U890" t="str">
        <f t="shared" si="40"/>
        <v>Mumbai</v>
      </c>
      <c r="V890">
        <f t="shared" si="41"/>
        <v>0</v>
      </c>
    </row>
    <row r="891" spans="1:22" ht="15" customHeight="1" x14ac:dyDescent="0.35">
      <c r="A891" s="3" t="s">
        <v>1309</v>
      </c>
      <c r="B891" s="4">
        <v>45484</v>
      </c>
      <c r="C891" s="3" t="s">
        <v>536</v>
      </c>
      <c r="D891" s="3" t="s">
        <v>54</v>
      </c>
      <c r="E891" s="3" t="s">
        <v>131</v>
      </c>
      <c r="F891" s="5">
        <v>6</v>
      </c>
      <c r="G891" s="5">
        <v>960</v>
      </c>
      <c r="H891" s="5">
        <v>1.9</v>
      </c>
      <c r="I891" s="5">
        <v>5650.56</v>
      </c>
      <c r="J891" s="3" t="s">
        <v>26</v>
      </c>
      <c r="K891" s="3" t="s">
        <v>51</v>
      </c>
      <c r="L891" t="str">
        <f>IFERROR(VLOOKUP(D891,Products!$A$2:$F$61,3,FALSE()),"")</f>
        <v>Sports</v>
      </c>
      <c r="M891" t="str">
        <f>IFERROR(VLOOKUP(E891,Sales_Reps!$A$2:$C$31,3,FALSE()),"")</f>
        <v>East</v>
      </c>
      <c r="N891">
        <f>IFERROR(VLOOKUP(D891,Products!$A$2:$F$61,4,FALSE()),"")</f>
        <v>705</v>
      </c>
      <c r="O891" t="str">
        <f>IFERROR(VLOOKUP(C891,Customers!$A$2:$F$301,5,FALSE()),"")</f>
        <v>Retail</v>
      </c>
      <c r="P891">
        <f>IFERROR(VLOOKUP(C891,Customers!$A$2:$F$301,3,FALSE()),"")</f>
        <v>39</v>
      </c>
      <c r="Q891">
        <f t="shared" si="39"/>
        <v>0.265625</v>
      </c>
      <c r="R891">
        <f>IF(AND(COUNTIF($A$2:$A$2047,A891)&gt;1,COUNTIF($A$2:A891,A891)=1),1,0)</f>
        <v>0</v>
      </c>
      <c r="S891" t="b">
        <f>IFERROR(VLOOKUP(D891,Products!$A$2:$F$61,6,FALSE()),"")</f>
        <v>1</v>
      </c>
      <c r="T891" t="str">
        <f>IF(COUNTIF(Customers!$A$2:$A$301,C891)=0,"Missing","OK")</f>
        <v>OK</v>
      </c>
      <c r="U891" t="str">
        <f t="shared" si="40"/>
        <v>Mumbai</v>
      </c>
      <c r="V891">
        <f t="shared" si="41"/>
        <v>0</v>
      </c>
    </row>
    <row r="892" spans="1:22" ht="15" customHeight="1" x14ac:dyDescent="0.35">
      <c r="A892" s="3" t="s">
        <v>1310</v>
      </c>
      <c r="B892" s="4">
        <v>45316</v>
      </c>
      <c r="C892" s="3" t="s">
        <v>472</v>
      </c>
      <c r="D892" s="3" t="s">
        <v>198</v>
      </c>
      <c r="E892" s="3" t="s">
        <v>78</v>
      </c>
      <c r="F892" s="5">
        <v>7</v>
      </c>
      <c r="G892" s="5">
        <v>1540</v>
      </c>
      <c r="H892" s="5">
        <v>7.1</v>
      </c>
      <c r="I892" s="5">
        <v>10014.620000000001</v>
      </c>
      <c r="J892" s="3" t="s">
        <v>26</v>
      </c>
      <c r="K892" s="3" t="s">
        <v>38</v>
      </c>
      <c r="L892" t="str">
        <f>IFERROR(VLOOKUP(D892,Products!$A$2:$F$61,3,FALSE()),"")</f>
        <v>Beauty</v>
      </c>
      <c r="M892" t="str">
        <f>IFERROR(VLOOKUP(E892,Sales_Reps!$A$2:$C$31,3,FALSE()),"")</f>
        <v>North</v>
      </c>
      <c r="N892">
        <f>IFERROR(VLOOKUP(D892,Products!$A$2:$F$61,4,FALSE()),"")</f>
        <v>647</v>
      </c>
      <c r="O892" t="str">
        <f>IFERROR(VLOOKUP(C892,Customers!$A$2:$F$301,5,FALSE()),"")</f>
        <v>SMB</v>
      </c>
      <c r="P892">
        <f>IFERROR(VLOOKUP(C892,Customers!$A$2:$F$301,3,FALSE()),"")</f>
        <v>48</v>
      </c>
      <c r="Q892">
        <f t="shared" si="39"/>
        <v>0.57987012987012987</v>
      </c>
      <c r="R892">
        <f>IF(AND(COUNTIF($A$2:$A$2047,A892)&gt;1,COUNTIF($A$2:A892,A892)=1),1,0)</f>
        <v>0</v>
      </c>
      <c r="S892" t="b">
        <f>IFERROR(VLOOKUP(D892,Products!$A$2:$F$61,6,FALSE()),"")</f>
        <v>0</v>
      </c>
      <c r="T892" t="str">
        <f>IF(COUNTIF(Customers!$A$2:$A$301,C892)=0,"Missing","OK")</f>
        <v>OK</v>
      </c>
      <c r="U892" t="str">
        <f t="shared" si="40"/>
        <v>Delhi</v>
      </c>
      <c r="V892">
        <f t="shared" si="41"/>
        <v>0</v>
      </c>
    </row>
    <row r="893" spans="1:22" ht="15" customHeight="1" x14ac:dyDescent="0.35">
      <c r="A893" s="3" t="s">
        <v>1311</v>
      </c>
      <c r="B893" s="4">
        <v>45328</v>
      </c>
      <c r="C893" s="3" t="s">
        <v>200</v>
      </c>
      <c r="D893" s="3" t="s">
        <v>221</v>
      </c>
      <c r="E893" s="3" t="s">
        <v>212</v>
      </c>
      <c r="F893" s="5">
        <v>10</v>
      </c>
      <c r="G893" s="5">
        <v>300</v>
      </c>
      <c r="H893" s="5">
        <v>12.8</v>
      </c>
      <c r="I893" s="5">
        <v>2616</v>
      </c>
      <c r="J893" s="3" t="s">
        <v>79</v>
      </c>
      <c r="K893" s="3" t="s">
        <v>38</v>
      </c>
      <c r="L893" t="str">
        <f>IFERROR(VLOOKUP(D893,Products!$A$2:$F$61,3,FALSE()),"")</f>
        <v>Electronics</v>
      </c>
      <c r="M893" t="str">
        <f>IFERROR(VLOOKUP(E893,Sales_Reps!$A$2:$C$31,3,FALSE()),"")</f>
        <v>South</v>
      </c>
      <c r="N893">
        <f>IFERROR(VLOOKUP(D893,Products!$A$2:$F$61,4,FALSE()),"")</f>
        <v>128</v>
      </c>
      <c r="O893" t="str">
        <f>IFERROR(VLOOKUP(C893,Customers!$A$2:$F$301,5,FALSE()),"")</f>
        <v>Retail</v>
      </c>
      <c r="P893">
        <f>IFERROR(VLOOKUP(C893,Customers!$A$2:$F$301,3,FALSE()),"")</f>
        <v>54</v>
      </c>
      <c r="Q893">
        <f t="shared" si="39"/>
        <v>0.57333333333333336</v>
      </c>
      <c r="R893">
        <f>IF(AND(COUNTIF($A$2:$A$2047,A893)&gt;1,COUNTIF($A$2:A893,A893)=1),1,0)</f>
        <v>0</v>
      </c>
      <c r="S893" t="b">
        <f>IFERROR(VLOOKUP(D893,Products!$A$2:$F$61,6,FALSE()),"")</f>
        <v>1</v>
      </c>
      <c r="T893" t="str">
        <f>IF(COUNTIF(Customers!$A$2:$A$301,C893)=0,"Missing","OK")</f>
        <v>OK</v>
      </c>
      <c r="U893" t="str">
        <f t="shared" si="40"/>
        <v>Delhi</v>
      </c>
      <c r="V893">
        <f t="shared" si="41"/>
        <v>0</v>
      </c>
    </row>
    <row r="894" spans="1:22" ht="15" customHeight="1" x14ac:dyDescent="0.35">
      <c r="A894" s="3" t="s">
        <v>1312</v>
      </c>
      <c r="B894" s="4">
        <v>45456</v>
      </c>
      <c r="C894" s="3" t="s">
        <v>476</v>
      </c>
      <c r="D894" s="3" t="s">
        <v>123</v>
      </c>
      <c r="E894" s="3" t="s">
        <v>212</v>
      </c>
      <c r="F894" s="5">
        <v>4</v>
      </c>
      <c r="G894" s="5">
        <v>4880</v>
      </c>
      <c r="H894" s="5">
        <v>26.5</v>
      </c>
      <c r="I894" s="5">
        <v>14347.2</v>
      </c>
      <c r="J894" s="3" t="s">
        <v>26</v>
      </c>
      <c r="K894" s="3" t="s">
        <v>72</v>
      </c>
      <c r="L894" t="str">
        <f>IFERROR(VLOOKUP(D894,Products!$A$2:$F$61,3,FALSE()),"")</f>
        <v>Beauty</v>
      </c>
      <c r="M894" t="str">
        <f>IFERROR(VLOOKUP(E894,Sales_Reps!$A$2:$C$31,3,FALSE()),"")</f>
        <v>South</v>
      </c>
      <c r="N894">
        <f>IFERROR(VLOOKUP(D894,Products!$A$2:$F$61,4,FALSE()),"")</f>
        <v>2768</v>
      </c>
      <c r="O894" t="str">
        <f>IFERROR(VLOOKUP(C894,Customers!$A$2:$F$301,5,FALSE()),"")</f>
        <v>SMB</v>
      </c>
      <c r="P894">
        <f>IFERROR(VLOOKUP(C894,Customers!$A$2:$F$301,3,FALSE()),"")</f>
        <v>48</v>
      </c>
      <c r="Q894">
        <f t="shared" si="39"/>
        <v>0.43278688524590164</v>
      </c>
      <c r="R894">
        <f>IF(AND(COUNTIF($A$2:$A$2047,A894)&gt;1,COUNTIF($A$2:A894,A894)=1),1,0)</f>
        <v>0</v>
      </c>
      <c r="S894" t="b">
        <f>IFERROR(VLOOKUP(D894,Products!$A$2:$F$61,6,FALSE()),"")</f>
        <v>1</v>
      </c>
      <c r="T894" t="str">
        <f>IF(COUNTIF(Customers!$A$2:$A$301,C894)=0,"Missing","OK")</f>
        <v>OK</v>
      </c>
      <c r="U894" t="str">
        <f t="shared" si="40"/>
        <v>Hyderabad</v>
      </c>
      <c r="V894">
        <f t="shared" si="41"/>
        <v>0</v>
      </c>
    </row>
    <row r="895" spans="1:22" ht="15" customHeight="1" x14ac:dyDescent="0.35">
      <c r="A895" s="3" t="s">
        <v>1313</v>
      </c>
      <c r="B895" s="4">
        <v>45589</v>
      </c>
      <c r="C895" s="3" t="s">
        <v>1200</v>
      </c>
      <c r="D895" s="3" t="s">
        <v>49</v>
      </c>
      <c r="E895" s="3" t="s">
        <v>87</v>
      </c>
      <c r="F895" s="5">
        <v>2</v>
      </c>
      <c r="G895" s="5">
        <v>370</v>
      </c>
      <c r="H895" s="5">
        <v>26.5</v>
      </c>
      <c r="I895" s="5">
        <v>543.9</v>
      </c>
      <c r="J895" s="3" t="s">
        <v>26</v>
      </c>
      <c r="K895" s="3" t="s">
        <v>56</v>
      </c>
      <c r="L895" t="str">
        <f>IFERROR(VLOOKUP(D895,Products!$A$2:$F$61,3,FALSE()),"")</f>
        <v>Home</v>
      </c>
      <c r="M895" t="str">
        <f>IFERROR(VLOOKUP(E895,Sales_Reps!$A$2:$C$31,3,FALSE()),"")</f>
        <v>North</v>
      </c>
      <c r="N895">
        <f>IFERROR(VLOOKUP(D895,Products!$A$2:$F$61,4,FALSE()),"")</f>
        <v>288</v>
      </c>
      <c r="O895" t="str">
        <f>IFERROR(VLOOKUP(C895,Customers!$A$2:$F$301,5,FALSE()),"")</f>
        <v>Retail</v>
      </c>
      <c r="P895">
        <f>IFERROR(VLOOKUP(C895,Customers!$A$2:$F$301,3,FALSE()),"")</f>
        <v>54</v>
      </c>
      <c r="Q895">
        <f t="shared" si="39"/>
        <v>0.22162162162162163</v>
      </c>
      <c r="R895">
        <f>IF(AND(COUNTIF($A$2:$A$2047,A895)&gt;1,COUNTIF($A$2:A895,A895)=1),1,0)</f>
        <v>0</v>
      </c>
      <c r="S895" t="b">
        <f>IFERROR(VLOOKUP(D895,Products!$A$2:$F$61,6,FALSE()),"")</f>
        <v>1</v>
      </c>
      <c r="T895" t="str">
        <f>IF(COUNTIF(Customers!$A$2:$A$301,C895)=0,"Missing","OK")</f>
        <v>OK</v>
      </c>
      <c r="U895" t="str">
        <f t="shared" si="40"/>
        <v>Bengaluru</v>
      </c>
      <c r="V895">
        <f t="shared" si="41"/>
        <v>0</v>
      </c>
    </row>
    <row r="896" spans="1:22" ht="15" customHeight="1" x14ac:dyDescent="0.35">
      <c r="A896" s="3" t="s">
        <v>1314</v>
      </c>
      <c r="B896" s="4">
        <v>45593</v>
      </c>
      <c r="C896" s="3" t="s">
        <v>315</v>
      </c>
      <c r="D896" s="3" t="s">
        <v>209</v>
      </c>
      <c r="E896" s="3" t="s">
        <v>236</v>
      </c>
      <c r="F896" s="5">
        <v>3</v>
      </c>
      <c r="G896" s="5">
        <v>4610</v>
      </c>
      <c r="H896" s="5">
        <v>29.7</v>
      </c>
      <c r="I896" s="5">
        <v>9722.49</v>
      </c>
      <c r="J896" s="3" t="s">
        <v>26</v>
      </c>
      <c r="K896" s="3" t="s">
        <v>56</v>
      </c>
      <c r="L896" t="str">
        <f>IFERROR(VLOOKUP(D896,Products!$A$2:$F$61,3,FALSE()),"")</f>
        <v>Home</v>
      </c>
      <c r="M896" t="str">
        <f>IFERROR(VLOOKUP(E896,Sales_Reps!$A$2:$C$31,3,FALSE()),"")</f>
        <v>North</v>
      </c>
      <c r="N896">
        <f>IFERROR(VLOOKUP(D896,Products!$A$2:$F$61,4,FALSE()),"")</f>
        <v>1850</v>
      </c>
      <c r="O896" t="str">
        <f>IFERROR(VLOOKUP(C896,Customers!$A$2:$F$301,5,FALSE()),"")</f>
        <v>SMB</v>
      </c>
      <c r="P896">
        <f>IFERROR(VLOOKUP(C896,Customers!$A$2:$F$301,3,FALSE()),"")</f>
        <v>44</v>
      </c>
      <c r="Q896">
        <f t="shared" si="39"/>
        <v>0.59869848156182215</v>
      </c>
      <c r="R896">
        <f>IF(AND(COUNTIF($A$2:$A$2047,A896)&gt;1,COUNTIF($A$2:A896,A896)=1),1,0)</f>
        <v>0</v>
      </c>
      <c r="S896" t="b">
        <f>IFERROR(VLOOKUP(D896,Products!$A$2:$F$61,6,FALSE()),"")</f>
        <v>1</v>
      </c>
      <c r="T896" t="str">
        <f>IF(COUNTIF(Customers!$A$2:$A$301,C896)=0,"Missing","OK")</f>
        <v>OK</v>
      </c>
      <c r="U896" t="str">
        <f t="shared" si="40"/>
        <v>Bengaluru</v>
      </c>
      <c r="V896">
        <f t="shared" si="41"/>
        <v>0</v>
      </c>
    </row>
    <row r="897" spans="1:22" ht="15" customHeight="1" x14ac:dyDescent="0.35">
      <c r="A897" s="3" t="s">
        <v>1315</v>
      </c>
      <c r="B897" s="4">
        <v>45539</v>
      </c>
      <c r="C897" s="3" t="s">
        <v>612</v>
      </c>
      <c r="D897" s="3" t="s">
        <v>77</v>
      </c>
      <c r="E897" s="3" t="s">
        <v>191</v>
      </c>
      <c r="F897" s="5">
        <v>5</v>
      </c>
      <c r="G897" s="5">
        <v>2600</v>
      </c>
      <c r="H897" s="5">
        <v>21.4</v>
      </c>
      <c r="I897" s="5">
        <v>10218</v>
      </c>
      <c r="J897" s="3" t="s">
        <v>26</v>
      </c>
      <c r="K897" s="3" t="s">
        <v>51</v>
      </c>
      <c r="L897" t="str">
        <f>IFERROR(VLOOKUP(D897,Products!$A$2:$F$61,3,FALSE()),"")</f>
        <v>Electronics</v>
      </c>
      <c r="M897" t="str">
        <f>IFERROR(VLOOKUP(E897,Sales_Reps!$A$2:$C$31,3,FALSE()),"")</f>
        <v>South</v>
      </c>
      <c r="N897">
        <f>IFERROR(VLOOKUP(D897,Products!$A$2:$F$61,4,FALSE()),"")</f>
        <v>1052</v>
      </c>
      <c r="O897" t="str">
        <f>IFERROR(VLOOKUP(C897,Customers!$A$2:$F$301,5,FALSE()),"")</f>
        <v>Retail</v>
      </c>
      <c r="P897">
        <f>IFERROR(VLOOKUP(C897,Customers!$A$2:$F$301,3,FALSE()),"")</f>
        <v>35</v>
      </c>
      <c r="Q897">
        <f t="shared" si="39"/>
        <v>0.5953846153846154</v>
      </c>
      <c r="R897">
        <f>IF(AND(COUNTIF($A$2:$A$2047,A897)&gt;1,COUNTIF($A$2:A897,A897)=1),1,0)</f>
        <v>0</v>
      </c>
      <c r="S897" t="b">
        <f>IFERROR(VLOOKUP(D897,Products!$A$2:$F$61,6,FALSE()),"")</f>
        <v>1</v>
      </c>
      <c r="T897" t="str">
        <f>IF(COUNTIF(Customers!$A$2:$A$301,C897)=0,"Missing","OK")</f>
        <v>OK</v>
      </c>
      <c r="U897" t="str">
        <f t="shared" si="40"/>
        <v>Mumbai</v>
      </c>
      <c r="V897">
        <f t="shared" si="41"/>
        <v>0</v>
      </c>
    </row>
    <row r="898" spans="1:22" ht="15" customHeight="1" x14ac:dyDescent="0.35">
      <c r="A898" s="3" t="s">
        <v>993</v>
      </c>
      <c r="B898" s="4">
        <v>45436</v>
      </c>
      <c r="C898" s="3" t="s">
        <v>659</v>
      </c>
      <c r="D898" s="3" t="s">
        <v>206</v>
      </c>
      <c r="E898" s="3" t="s">
        <v>50</v>
      </c>
      <c r="F898" s="5">
        <v>10</v>
      </c>
      <c r="G898" s="5">
        <v>1220</v>
      </c>
      <c r="H898" s="5">
        <v>24.3</v>
      </c>
      <c r="I898" s="5">
        <v>9235.4</v>
      </c>
      <c r="J898" s="3" t="s">
        <v>26</v>
      </c>
      <c r="K898" s="3" t="s">
        <v>27</v>
      </c>
      <c r="L898" t="str">
        <f>IFERROR(VLOOKUP(D898,Products!$A$2:$F$61,3,FALSE()),"")</f>
        <v>Electronics</v>
      </c>
      <c r="M898" t="str">
        <f>IFERROR(VLOOKUP(E898,Sales_Reps!$A$2:$C$31,3,FALSE()),"")</f>
        <v>West</v>
      </c>
      <c r="N898">
        <f>IFERROR(VLOOKUP(D898,Products!$A$2:$F$61,4,FALSE()),"")</f>
        <v>517</v>
      </c>
      <c r="O898" t="str">
        <f>IFERROR(VLOOKUP(C898,Customers!$A$2:$F$301,5,FALSE()),"")</f>
        <v>Retail</v>
      </c>
      <c r="P898">
        <f>IFERROR(VLOOKUP(C898,Customers!$A$2:$F$301,3,FALSE()),"")</f>
        <v>48</v>
      </c>
      <c r="Q898">
        <f t="shared" ref="Q898:Q961" si="42">IFERROR((G898-N898)/G898,"")</f>
        <v>0.57622950819672136</v>
      </c>
      <c r="R898">
        <f>IF(AND(COUNTIF($A$2:$A$2047,A898)&gt;1,COUNTIF($A$2:A898,A898)=1),1,0)</f>
        <v>0</v>
      </c>
      <c r="S898" t="b">
        <f>IFERROR(VLOOKUP(D898,Products!$A$2:$F$61,6,FALSE()),"")</f>
        <v>1</v>
      </c>
      <c r="T898" t="str">
        <f>IF(COUNTIF(Customers!$A$2:$A$301,C898)=0,"Missing","OK")</f>
        <v>OK</v>
      </c>
      <c r="U898" t="str">
        <f t="shared" ref="U898:U961" si="43">IF(K898="","",PROPER(TRIM(K898)))</f>
        <v>Pune</v>
      </c>
      <c r="V898">
        <f t="shared" ref="V898:V961" si="44">IF(AND(U898="Bengaluru",L898="Grocery"),I898,0)</f>
        <v>0</v>
      </c>
    </row>
    <row r="899" spans="1:22" ht="15" customHeight="1" x14ac:dyDescent="0.35">
      <c r="A899" s="3" t="s">
        <v>1316</v>
      </c>
      <c r="B899" s="4">
        <v>45646</v>
      </c>
      <c r="C899" s="3" t="s">
        <v>1317</v>
      </c>
      <c r="D899" s="3" t="s">
        <v>59</v>
      </c>
      <c r="E899" s="3" t="s">
        <v>127</v>
      </c>
      <c r="F899" s="5">
        <v>10</v>
      </c>
      <c r="G899" s="5">
        <v>1430</v>
      </c>
      <c r="H899" s="5">
        <v>5.0999999999999996</v>
      </c>
      <c r="I899" s="5">
        <v>13570.7</v>
      </c>
      <c r="J899" s="3" t="s">
        <v>79</v>
      </c>
      <c r="K899" s="3" t="s">
        <v>33</v>
      </c>
      <c r="L899" t="str">
        <f>IFERROR(VLOOKUP(D899,Products!$A$2:$F$61,3,FALSE()),"")</f>
        <v>Electronics</v>
      </c>
      <c r="M899" t="str">
        <f>IFERROR(VLOOKUP(E899,Sales_Reps!$A$2:$C$31,3,FALSE()),"")</f>
        <v>South</v>
      </c>
      <c r="N899">
        <f>IFERROR(VLOOKUP(D899,Products!$A$2:$F$61,4,FALSE()),"")</f>
        <v>861</v>
      </c>
      <c r="O899" t="str">
        <f>IFERROR(VLOOKUP(C899,Customers!$A$2:$F$301,5,FALSE()),"")</f>
        <v/>
      </c>
      <c r="P899" t="str">
        <f>IFERROR(VLOOKUP(C899,Customers!$A$2:$F$301,3,FALSE()),"")</f>
        <v/>
      </c>
      <c r="Q899">
        <f t="shared" si="42"/>
        <v>0.39790209790209791</v>
      </c>
      <c r="R899">
        <f>IF(AND(COUNTIF($A$2:$A$2047,A899)&gt;1,COUNTIF($A$2:A899,A899)=1),1,0)</f>
        <v>0</v>
      </c>
      <c r="S899" t="b">
        <f>IFERROR(VLOOKUP(D899,Products!$A$2:$F$61,6,FALSE()),"")</f>
        <v>1</v>
      </c>
      <c r="T899" t="str">
        <f>IF(COUNTIF(Customers!$A$2:$A$301,C899)=0,"Missing","OK")</f>
        <v>Missing</v>
      </c>
      <c r="U899" t="str">
        <f t="shared" si="43"/>
        <v>Chennai</v>
      </c>
      <c r="V899">
        <f t="shared" si="44"/>
        <v>0</v>
      </c>
    </row>
    <row r="900" spans="1:22" ht="15" customHeight="1" x14ac:dyDescent="0.35">
      <c r="A900" s="3" t="s">
        <v>1318</v>
      </c>
      <c r="B900" s="4">
        <v>45478</v>
      </c>
      <c r="C900" s="3" t="s">
        <v>240</v>
      </c>
      <c r="D900" s="3" t="s">
        <v>123</v>
      </c>
      <c r="E900" s="3" t="s">
        <v>109</v>
      </c>
      <c r="F900" s="5">
        <v>10</v>
      </c>
      <c r="G900" s="5">
        <v>4880</v>
      </c>
      <c r="H900" s="5">
        <v>25.5</v>
      </c>
      <c r="I900" s="5">
        <v>36356</v>
      </c>
      <c r="J900" s="3" t="s">
        <v>79</v>
      </c>
      <c r="K900" s="3" t="s">
        <v>33</v>
      </c>
      <c r="L900" t="str">
        <f>IFERROR(VLOOKUP(D900,Products!$A$2:$F$61,3,FALSE()),"")</f>
        <v>Beauty</v>
      </c>
      <c r="M900" t="str">
        <f>IFERROR(VLOOKUP(E900,Sales_Reps!$A$2:$C$31,3,FALSE()),"")</f>
        <v>West</v>
      </c>
      <c r="N900">
        <f>IFERROR(VLOOKUP(D900,Products!$A$2:$F$61,4,FALSE()),"")</f>
        <v>2768</v>
      </c>
      <c r="O900" t="str">
        <f>IFERROR(VLOOKUP(C900,Customers!$A$2:$F$301,5,FALSE()),"")</f>
        <v>Retail</v>
      </c>
      <c r="P900">
        <f>IFERROR(VLOOKUP(C900,Customers!$A$2:$F$301,3,FALSE()),"")</f>
        <v>41</v>
      </c>
      <c r="Q900">
        <f t="shared" si="42"/>
        <v>0.43278688524590164</v>
      </c>
      <c r="R900">
        <f>IF(AND(COUNTIF($A$2:$A$2047,A900)&gt;1,COUNTIF($A$2:A900,A900)=1),1,0)</f>
        <v>0</v>
      </c>
      <c r="S900" t="b">
        <f>IFERROR(VLOOKUP(D900,Products!$A$2:$F$61,6,FALSE()),"")</f>
        <v>1</v>
      </c>
      <c r="T900" t="str">
        <f>IF(COUNTIF(Customers!$A$2:$A$301,C900)=0,"Missing","OK")</f>
        <v>OK</v>
      </c>
      <c r="U900" t="str">
        <f t="shared" si="43"/>
        <v>Chennai</v>
      </c>
      <c r="V900">
        <f t="shared" si="44"/>
        <v>0</v>
      </c>
    </row>
    <row r="901" spans="1:22" ht="15" customHeight="1" x14ac:dyDescent="0.35">
      <c r="A901" s="3" t="s">
        <v>1319</v>
      </c>
      <c r="B901" s="4">
        <v>45518</v>
      </c>
      <c r="C901" s="3" t="s">
        <v>905</v>
      </c>
      <c r="D901" s="3" t="s">
        <v>180</v>
      </c>
      <c r="E901" s="3" t="s">
        <v>67</v>
      </c>
      <c r="F901" s="5">
        <v>6</v>
      </c>
      <c r="G901" s="5">
        <v>6080</v>
      </c>
      <c r="H901" s="5">
        <v>21.6</v>
      </c>
      <c r="I901" s="5">
        <v>28600.32</v>
      </c>
      <c r="J901" s="3" t="s">
        <v>26</v>
      </c>
      <c r="K901" s="3" t="s">
        <v>72</v>
      </c>
      <c r="L901" t="str">
        <f>IFERROR(VLOOKUP(D901,Products!$A$2:$F$61,3,FALSE()),"")</f>
        <v>Beauty</v>
      </c>
      <c r="M901" t="str">
        <f>IFERROR(VLOOKUP(E901,Sales_Reps!$A$2:$C$31,3,FALSE()),"")</f>
        <v>West</v>
      </c>
      <c r="N901">
        <f>IFERROR(VLOOKUP(D901,Products!$A$2:$F$61,4,FALSE()),"")</f>
        <v>2617</v>
      </c>
      <c r="O901" t="str">
        <f>IFERROR(VLOOKUP(C901,Customers!$A$2:$F$301,5,FALSE()),"")</f>
        <v>SMB</v>
      </c>
      <c r="P901">
        <f>IFERROR(VLOOKUP(C901,Customers!$A$2:$F$301,3,FALSE()),"")</f>
        <v>31</v>
      </c>
      <c r="Q901">
        <f t="shared" si="42"/>
        <v>0.56957236842105263</v>
      </c>
      <c r="R901">
        <f>IF(AND(COUNTIF($A$2:$A$2047,A901)&gt;1,COUNTIF($A$2:A901,A901)=1),1,0)</f>
        <v>0</v>
      </c>
      <c r="S901" t="b">
        <f>IFERROR(VLOOKUP(D901,Products!$A$2:$F$61,6,FALSE()),"")</f>
        <v>1</v>
      </c>
      <c r="T901" t="str">
        <f>IF(COUNTIF(Customers!$A$2:$A$301,C901)=0,"Missing","OK")</f>
        <v>OK</v>
      </c>
      <c r="U901" t="str">
        <f t="shared" si="43"/>
        <v>Hyderabad</v>
      </c>
      <c r="V901">
        <f t="shared" si="44"/>
        <v>0</v>
      </c>
    </row>
    <row r="902" spans="1:22" ht="15" customHeight="1" x14ac:dyDescent="0.35">
      <c r="A902" s="3" t="s">
        <v>1320</v>
      </c>
      <c r="B902" s="4">
        <v>45319</v>
      </c>
      <c r="C902" s="3" t="s">
        <v>480</v>
      </c>
      <c r="D902" s="3" t="s">
        <v>215</v>
      </c>
      <c r="E902" s="3" t="s">
        <v>191</v>
      </c>
      <c r="F902" s="5">
        <v>3</v>
      </c>
      <c r="G902" s="5">
        <v>3020</v>
      </c>
      <c r="H902" s="5">
        <v>20.7</v>
      </c>
      <c r="I902" s="5">
        <v>7184.58</v>
      </c>
      <c r="J902" s="3" t="s">
        <v>26</v>
      </c>
      <c r="K902" s="3" t="s">
        <v>33</v>
      </c>
      <c r="L902" t="str">
        <f>IFERROR(VLOOKUP(D902,Products!$A$2:$F$61,3,FALSE()),"")</f>
        <v>Beauty</v>
      </c>
      <c r="M902" t="str">
        <f>IFERROR(VLOOKUP(E902,Sales_Reps!$A$2:$C$31,3,FALSE()),"")</f>
        <v>South</v>
      </c>
      <c r="N902">
        <f>IFERROR(VLOOKUP(D902,Products!$A$2:$F$61,4,FALSE()),"")</f>
        <v>1626</v>
      </c>
      <c r="O902" t="str">
        <f>IFERROR(VLOOKUP(C902,Customers!$A$2:$F$301,5,FALSE()),"")</f>
        <v>Corporate</v>
      </c>
      <c r="P902">
        <f>IFERROR(VLOOKUP(C902,Customers!$A$2:$F$301,3,FALSE()),"")</f>
        <v>34</v>
      </c>
      <c r="Q902">
        <f t="shared" si="42"/>
        <v>0.46158940397350995</v>
      </c>
      <c r="R902">
        <f>IF(AND(COUNTIF($A$2:$A$2047,A902)&gt;1,COUNTIF($A$2:A902,A902)=1),1,0)</f>
        <v>0</v>
      </c>
      <c r="S902" t="b">
        <f>IFERROR(VLOOKUP(D902,Products!$A$2:$F$61,6,FALSE()),"")</f>
        <v>1</v>
      </c>
      <c r="T902" t="str">
        <f>IF(COUNTIF(Customers!$A$2:$A$301,C902)=0,"Missing","OK")</f>
        <v>OK</v>
      </c>
      <c r="U902" t="str">
        <f t="shared" si="43"/>
        <v>Chennai</v>
      </c>
      <c r="V902">
        <f t="shared" si="44"/>
        <v>0</v>
      </c>
    </row>
    <row r="903" spans="1:22" ht="15" customHeight="1" x14ac:dyDescent="0.35">
      <c r="A903" s="3" t="s">
        <v>1321</v>
      </c>
      <c r="B903" s="4">
        <v>45445</v>
      </c>
      <c r="C903" s="3" t="s">
        <v>270</v>
      </c>
      <c r="D903" s="3" t="s">
        <v>112</v>
      </c>
      <c r="E903" s="3" t="s">
        <v>191</v>
      </c>
      <c r="F903" s="5">
        <v>9</v>
      </c>
      <c r="G903" s="5">
        <v>2720</v>
      </c>
      <c r="H903" s="5">
        <v>21.4</v>
      </c>
      <c r="I903" s="5">
        <v>19241.28</v>
      </c>
      <c r="J903" s="3" t="s">
        <v>26</v>
      </c>
      <c r="K903" s="3" t="s">
        <v>56</v>
      </c>
      <c r="L903" t="str">
        <f>IFERROR(VLOOKUP(D903,Products!$A$2:$F$61,3,FALSE()),"")</f>
        <v>Apparel</v>
      </c>
      <c r="M903" t="str">
        <f>IFERROR(VLOOKUP(E903,Sales_Reps!$A$2:$C$31,3,FALSE()),"")</f>
        <v>South</v>
      </c>
      <c r="N903">
        <f>IFERROR(VLOOKUP(D903,Products!$A$2:$F$61,4,FALSE()),"")</f>
        <v>1962</v>
      </c>
      <c r="O903" t="str">
        <f>IFERROR(VLOOKUP(C903,Customers!$A$2:$F$301,5,FALSE()),"")</f>
        <v>Corporate</v>
      </c>
      <c r="P903">
        <f>IFERROR(VLOOKUP(C903,Customers!$A$2:$F$301,3,FALSE()),"")</f>
        <v>59</v>
      </c>
      <c r="Q903">
        <f t="shared" si="42"/>
        <v>0.2786764705882353</v>
      </c>
      <c r="R903">
        <f>IF(AND(COUNTIF($A$2:$A$2047,A903)&gt;1,COUNTIF($A$2:A903,A903)=1),1,0)</f>
        <v>0</v>
      </c>
      <c r="S903" t="b">
        <f>IFERROR(VLOOKUP(D903,Products!$A$2:$F$61,6,FALSE()),"")</f>
        <v>1</v>
      </c>
      <c r="T903" t="str">
        <f>IF(COUNTIF(Customers!$A$2:$A$301,C903)=0,"Missing","OK")</f>
        <v>OK</v>
      </c>
      <c r="U903" t="str">
        <f t="shared" si="43"/>
        <v>Bengaluru</v>
      </c>
      <c r="V903">
        <f t="shared" si="44"/>
        <v>0</v>
      </c>
    </row>
    <row r="904" spans="1:22" ht="15" customHeight="1" x14ac:dyDescent="0.35">
      <c r="A904" s="3" t="s">
        <v>1322</v>
      </c>
      <c r="B904" s="4">
        <v>45417</v>
      </c>
      <c r="C904" s="3" t="s">
        <v>211</v>
      </c>
      <c r="D904" s="3" t="s">
        <v>126</v>
      </c>
      <c r="E904" s="3" t="s">
        <v>50</v>
      </c>
      <c r="F904" s="5">
        <v>10</v>
      </c>
      <c r="G904" s="5">
        <v>3570</v>
      </c>
      <c r="H904" s="5">
        <v>4.4000000000000004</v>
      </c>
      <c r="I904" s="5">
        <v>34129.199999999997</v>
      </c>
      <c r="J904" s="3" t="s">
        <v>26</v>
      </c>
      <c r="K904" s="3" t="s">
        <v>33</v>
      </c>
      <c r="L904" t="str">
        <f>IFERROR(VLOOKUP(D904,Products!$A$2:$F$61,3,FALSE()),"")</f>
        <v>Electronics</v>
      </c>
      <c r="M904" t="str">
        <f>IFERROR(VLOOKUP(E904,Sales_Reps!$A$2:$C$31,3,FALSE()),"")</f>
        <v>West</v>
      </c>
      <c r="N904">
        <f>IFERROR(VLOOKUP(D904,Products!$A$2:$F$61,4,FALSE()),"")</f>
        <v>1665</v>
      </c>
      <c r="O904" t="str">
        <f>IFERROR(VLOOKUP(C904,Customers!$A$2:$F$301,5,FALSE()),"")</f>
        <v>SMB</v>
      </c>
      <c r="P904">
        <f>IFERROR(VLOOKUP(C904,Customers!$A$2:$F$301,3,FALSE()),"")</f>
        <v>55</v>
      </c>
      <c r="Q904">
        <f t="shared" si="42"/>
        <v>0.53361344537815125</v>
      </c>
      <c r="R904">
        <f>IF(AND(COUNTIF($A$2:$A$2047,A904)&gt;1,COUNTIF($A$2:A904,A904)=1),1,0)</f>
        <v>0</v>
      </c>
      <c r="S904" t="b">
        <f>IFERROR(VLOOKUP(D904,Products!$A$2:$F$61,6,FALSE()),"")</f>
        <v>1</v>
      </c>
      <c r="T904" t="str">
        <f>IF(COUNTIF(Customers!$A$2:$A$301,C904)=0,"Missing","OK")</f>
        <v>OK</v>
      </c>
      <c r="U904" t="str">
        <f t="shared" si="43"/>
        <v>Chennai</v>
      </c>
      <c r="V904">
        <f t="shared" si="44"/>
        <v>0</v>
      </c>
    </row>
    <row r="905" spans="1:22" ht="15" customHeight="1" x14ac:dyDescent="0.35">
      <c r="A905" s="3" t="s">
        <v>1323</v>
      </c>
      <c r="B905" s="4">
        <v>45309</v>
      </c>
      <c r="C905" s="3" t="s">
        <v>966</v>
      </c>
      <c r="D905" s="3" t="s">
        <v>103</v>
      </c>
      <c r="E905" s="3" t="s">
        <v>37</v>
      </c>
      <c r="F905" s="5">
        <v>8</v>
      </c>
      <c r="G905" s="5">
        <v>1080</v>
      </c>
      <c r="H905" s="5">
        <v>23.8</v>
      </c>
      <c r="I905" s="5">
        <v>6583.68</v>
      </c>
      <c r="J905" s="3" t="s">
        <v>26</v>
      </c>
      <c r="K905" s="3" t="s">
        <v>51</v>
      </c>
      <c r="L905" t="str">
        <f>IFERROR(VLOOKUP(D905,Products!$A$2:$F$61,3,FALSE()),"")</f>
        <v>Home</v>
      </c>
      <c r="M905" t="str">
        <f>IFERROR(VLOOKUP(E905,Sales_Reps!$A$2:$C$31,3,FALSE()),"")</f>
        <v>South</v>
      </c>
      <c r="N905">
        <f>IFERROR(VLOOKUP(D905,Products!$A$2:$F$61,4,FALSE()),"")</f>
        <v>519</v>
      </c>
      <c r="O905" t="str">
        <f>IFERROR(VLOOKUP(C905,Customers!$A$2:$F$301,5,FALSE()),"")</f>
        <v>SMB</v>
      </c>
      <c r="P905">
        <f>IFERROR(VLOOKUP(C905,Customers!$A$2:$F$301,3,FALSE()),"")</f>
        <v>47</v>
      </c>
      <c r="Q905">
        <f t="shared" si="42"/>
        <v>0.51944444444444449</v>
      </c>
      <c r="R905">
        <f>IF(AND(COUNTIF($A$2:$A$2047,A905)&gt;1,COUNTIF($A$2:A905,A905)=1),1,0)</f>
        <v>0</v>
      </c>
      <c r="S905" t="b">
        <f>IFERROR(VLOOKUP(D905,Products!$A$2:$F$61,6,FALSE()),"")</f>
        <v>1</v>
      </c>
      <c r="T905" t="str">
        <f>IF(COUNTIF(Customers!$A$2:$A$301,C905)=0,"Missing","OK")</f>
        <v>OK</v>
      </c>
      <c r="U905" t="str">
        <f t="shared" si="43"/>
        <v>Mumbai</v>
      </c>
      <c r="V905">
        <f t="shared" si="44"/>
        <v>0</v>
      </c>
    </row>
    <row r="906" spans="1:22" ht="15" customHeight="1" x14ac:dyDescent="0.35">
      <c r="A906" s="3" t="s">
        <v>1324</v>
      </c>
      <c r="B906" s="4">
        <v>45367</v>
      </c>
      <c r="C906" s="3" t="s">
        <v>776</v>
      </c>
      <c r="D906" s="3" t="s">
        <v>441</v>
      </c>
      <c r="E906" s="3" t="s">
        <v>212</v>
      </c>
      <c r="F906" s="5">
        <v>8</v>
      </c>
      <c r="G906" s="5">
        <v>1090</v>
      </c>
      <c r="H906" s="5">
        <v>17.5</v>
      </c>
      <c r="I906" s="5">
        <v>7194</v>
      </c>
      <c r="J906" s="3" t="s">
        <v>26</v>
      </c>
      <c r="K906" s="3" t="s">
        <v>56</v>
      </c>
      <c r="L906" t="str">
        <f>IFERROR(VLOOKUP(D906,Products!$A$2:$F$61,3,FALSE()),"")</f>
        <v>Home</v>
      </c>
      <c r="M906" t="str">
        <f>IFERROR(VLOOKUP(E906,Sales_Reps!$A$2:$C$31,3,FALSE()),"")</f>
        <v>South</v>
      </c>
      <c r="N906">
        <f>IFERROR(VLOOKUP(D906,Products!$A$2:$F$61,4,FALSE()),"")</f>
        <v>464</v>
      </c>
      <c r="O906" t="str">
        <f>IFERROR(VLOOKUP(C906,Customers!$A$2:$F$301,5,FALSE()),"")</f>
        <v>Retail</v>
      </c>
      <c r="P906">
        <f>IFERROR(VLOOKUP(C906,Customers!$A$2:$F$301,3,FALSE()),"")</f>
        <v>37</v>
      </c>
      <c r="Q906">
        <f t="shared" si="42"/>
        <v>0.57431192660550456</v>
      </c>
      <c r="R906">
        <f>IF(AND(COUNTIF($A$2:$A$2047,A906)&gt;1,COUNTIF($A$2:A906,A906)=1),1,0)</f>
        <v>0</v>
      </c>
      <c r="S906" t="b">
        <f>IFERROR(VLOOKUP(D906,Products!$A$2:$F$61,6,FALSE()),"")</f>
        <v>1</v>
      </c>
      <c r="T906" t="str">
        <f>IF(COUNTIF(Customers!$A$2:$A$301,C906)=0,"Missing","OK")</f>
        <v>OK</v>
      </c>
      <c r="U906" t="str">
        <f t="shared" si="43"/>
        <v>Bengaluru</v>
      </c>
      <c r="V906">
        <f t="shared" si="44"/>
        <v>0</v>
      </c>
    </row>
    <row r="907" spans="1:22" ht="15" customHeight="1" x14ac:dyDescent="0.35">
      <c r="A907" s="3" t="s">
        <v>1325</v>
      </c>
      <c r="B907" s="4">
        <v>45615</v>
      </c>
      <c r="C907" s="3" t="s">
        <v>1247</v>
      </c>
      <c r="D907" s="3" t="s">
        <v>598</v>
      </c>
      <c r="E907" s="3" t="s">
        <v>282</v>
      </c>
      <c r="F907" s="5">
        <v>7</v>
      </c>
      <c r="G907" s="5">
        <v>3560</v>
      </c>
      <c r="H907" s="5">
        <v>11.1</v>
      </c>
      <c r="I907" s="5">
        <v>22153.88</v>
      </c>
      <c r="J907" s="3" t="s">
        <v>26</v>
      </c>
      <c r="K907" s="3" t="s">
        <v>33</v>
      </c>
      <c r="L907" t="str">
        <f>IFERROR(VLOOKUP(D907,Products!$A$2:$F$61,3,FALSE()),"")</f>
        <v>Apparel</v>
      </c>
      <c r="M907" t="str">
        <f>IFERROR(VLOOKUP(E907,Sales_Reps!$A$2:$C$31,3,FALSE()),"")</f>
        <v>West</v>
      </c>
      <c r="N907">
        <f>IFERROR(VLOOKUP(D907,Products!$A$2:$F$61,4,FALSE()),"")</f>
        <v>2629</v>
      </c>
      <c r="O907" t="str">
        <f>IFERROR(VLOOKUP(C907,Customers!$A$2:$F$301,5,FALSE()),"")</f>
        <v>SMB</v>
      </c>
      <c r="P907">
        <f>IFERROR(VLOOKUP(C907,Customers!$A$2:$F$301,3,FALSE()),"")</f>
        <v>51</v>
      </c>
      <c r="Q907">
        <f t="shared" si="42"/>
        <v>0.26151685393258428</v>
      </c>
      <c r="R907">
        <f>IF(AND(COUNTIF($A$2:$A$2047,A907)&gt;1,COUNTIF($A$2:A907,A907)=1),1,0)</f>
        <v>0</v>
      </c>
      <c r="S907" t="b">
        <f>IFERROR(VLOOKUP(D907,Products!$A$2:$F$61,6,FALSE()),"")</f>
        <v>1</v>
      </c>
      <c r="T907" t="str">
        <f>IF(COUNTIF(Customers!$A$2:$A$301,C907)=0,"Missing","OK")</f>
        <v>OK</v>
      </c>
      <c r="U907" t="str">
        <f t="shared" si="43"/>
        <v>Chennai</v>
      </c>
      <c r="V907">
        <f t="shared" si="44"/>
        <v>0</v>
      </c>
    </row>
    <row r="908" spans="1:22" ht="15" customHeight="1" x14ac:dyDescent="0.35">
      <c r="A908" s="3" t="s">
        <v>1326</v>
      </c>
      <c r="B908" s="4">
        <v>45499</v>
      </c>
      <c r="C908" s="3" t="s">
        <v>167</v>
      </c>
      <c r="D908" s="3" t="s">
        <v>86</v>
      </c>
      <c r="E908" s="3" t="s">
        <v>224</v>
      </c>
      <c r="F908" s="5">
        <v>6</v>
      </c>
      <c r="G908" s="5">
        <v>190</v>
      </c>
      <c r="H908" s="5">
        <v>17.100000000000001</v>
      </c>
      <c r="I908" s="5">
        <v>945.06</v>
      </c>
      <c r="J908" s="3" t="s">
        <v>79</v>
      </c>
      <c r="K908" s="3" t="s">
        <v>51</v>
      </c>
      <c r="L908" t="str">
        <f>IFERROR(VLOOKUP(D908,Products!$A$2:$F$61,3,FALSE()),"")</f>
        <v>Sports</v>
      </c>
      <c r="M908" t="str">
        <f>IFERROR(VLOOKUP(E908,Sales_Reps!$A$2:$C$31,3,FALSE()),"")</f>
        <v>East</v>
      </c>
      <c r="N908">
        <f>IFERROR(VLOOKUP(D908,Products!$A$2:$F$61,4,FALSE()),"")</f>
        <v>147</v>
      </c>
      <c r="O908" t="str">
        <f>IFERROR(VLOOKUP(C908,Customers!$A$2:$F$301,5,FALSE()),"")</f>
        <v>SMB</v>
      </c>
      <c r="P908">
        <f>IFERROR(VLOOKUP(C908,Customers!$A$2:$F$301,3,FALSE()),"")</f>
        <v>54</v>
      </c>
      <c r="Q908">
        <f t="shared" si="42"/>
        <v>0.22631578947368422</v>
      </c>
      <c r="R908">
        <f>IF(AND(COUNTIF($A$2:$A$2047,A908)&gt;1,COUNTIF($A$2:A908,A908)=1),1,0)</f>
        <v>0</v>
      </c>
      <c r="S908" t="b">
        <f>IFERROR(VLOOKUP(D908,Products!$A$2:$F$61,6,FALSE()),"")</f>
        <v>1</v>
      </c>
      <c r="T908" t="str">
        <f>IF(COUNTIF(Customers!$A$2:$A$301,C908)=0,"Missing","OK")</f>
        <v>OK</v>
      </c>
      <c r="U908" t="str">
        <f t="shared" si="43"/>
        <v>Mumbai</v>
      </c>
      <c r="V908">
        <f t="shared" si="44"/>
        <v>0</v>
      </c>
    </row>
    <row r="909" spans="1:22" ht="15" customHeight="1" x14ac:dyDescent="0.35">
      <c r="A909" s="3" t="s">
        <v>1327</v>
      </c>
      <c r="B909" s="4">
        <v>45356</v>
      </c>
      <c r="C909" s="3" t="s">
        <v>656</v>
      </c>
      <c r="D909" s="3" t="s">
        <v>290</v>
      </c>
      <c r="E909" s="3" t="s">
        <v>50</v>
      </c>
      <c r="F909" s="5">
        <v>7</v>
      </c>
      <c r="G909" s="5">
        <v>4060</v>
      </c>
      <c r="H909" s="5">
        <v>0.6</v>
      </c>
      <c r="I909" s="5">
        <v>28249.48</v>
      </c>
      <c r="J909" s="3" t="s">
        <v>26</v>
      </c>
      <c r="K909" s="3" t="s">
        <v>33</v>
      </c>
      <c r="L909" t="str">
        <f>IFERROR(VLOOKUP(D909,Products!$A$2:$F$61,3,FALSE()),"")</f>
        <v>Grocery</v>
      </c>
      <c r="M909" t="str">
        <f>IFERROR(VLOOKUP(E909,Sales_Reps!$A$2:$C$31,3,FALSE()),"")</f>
        <v>West</v>
      </c>
      <c r="N909">
        <f>IFERROR(VLOOKUP(D909,Products!$A$2:$F$61,4,FALSE()),"")</f>
        <v>2911</v>
      </c>
      <c r="O909" t="str">
        <f>IFERROR(VLOOKUP(C909,Customers!$A$2:$F$301,5,FALSE()),"")</f>
        <v>Retail</v>
      </c>
      <c r="P909">
        <f>IFERROR(VLOOKUP(C909,Customers!$A$2:$F$301,3,FALSE()),"")</f>
        <v>24</v>
      </c>
      <c r="Q909">
        <f t="shared" si="42"/>
        <v>0.28300492610837441</v>
      </c>
      <c r="R909">
        <f>IF(AND(COUNTIF($A$2:$A$2047,A909)&gt;1,COUNTIF($A$2:A909,A909)=1),1,0)</f>
        <v>0</v>
      </c>
      <c r="S909" t="b">
        <f>IFERROR(VLOOKUP(D909,Products!$A$2:$F$61,6,FALSE()),"")</f>
        <v>1</v>
      </c>
      <c r="T909" t="str">
        <f>IF(COUNTIF(Customers!$A$2:$A$301,C909)=0,"Missing","OK")</f>
        <v>OK</v>
      </c>
      <c r="U909" t="str">
        <f t="shared" si="43"/>
        <v>Chennai</v>
      </c>
      <c r="V909">
        <f t="shared" si="44"/>
        <v>0</v>
      </c>
    </row>
    <row r="910" spans="1:22" ht="15" customHeight="1" x14ac:dyDescent="0.35">
      <c r="A910" s="3" t="s">
        <v>1328</v>
      </c>
      <c r="B910" s="4">
        <v>45346</v>
      </c>
      <c r="C910" s="3" t="s">
        <v>547</v>
      </c>
      <c r="D910" s="3" t="s">
        <v>209</v>
      </c>
      <c r="E910" s="3" t="s">
        <v>97</v>
      </c>
      <c r="F910" s="5">
        <v>4</v>
      </c>
      <c r="G910" s="5">
        <v>4610</v>
      </c>
      <c r="H910" s="5">
        <v>1.9</v>
      </c>
      <c r="I910" s="5">
        <v>18089.64</v>
      </c>
      <c r="J910" s="3" t="s">
        <v>32</v>
      </c>
      <c r="K910" s="3" t="s">
        <v>27</v>
      </c>
      <c r="L910" t="str">
        <f>IFERROR(VLOOKUP(D910,Products!$A$2:$F$61,3,FALSE()),"")</f>
        <v>Home</v>
      </c>
      <c r="M910" t="str">
        <f>IFERROR(VLOOKUP(E910,Sales_Reps!$A$2:$C$31,3,FALSE()),"")</f>
        <v>East</v>
      </c>
      <c r="N910">
        <f>IFERROR(VLOOKUP(D910,Products!$A$2:$F$61,4,FALSE()),"")</f>
        <v>1850</v>
      </c>
      <c r="O910" t="str">
        <f>IFERROR(VLOOKUP(C910,Customers!$A$2:$F$301,5,FALSE()),"")</f>
        <v>Corporate</v>
      </c>
      <c r="P910">
        <f>IFERROR(VLOOKUP(C910,Customers!$A$2:$F$301,3,FALSE()),"")</f>
        <v>40</v>
      </c>
      <c r="Q910">
        <f t="shared" si="42"/>
        <v>0.59869848156182215</v>
      </c>
      <c r="R910">
        <f>IF(AND(COUNTIF($A$2:$A$2047,A910)&gt;1,COUNTIF($A$2:A910,A910)=1),1,0)</f>
        <v>0</v>
      </c>
      <c r="S910" t="b">
        <f>IFERROR(VLOOKUP(D910,Products!$A$2:$F$61,6,FALSE()),"")</f>
        <v>1</v>
      </c>
      <c r="T910" t="str">
        <f>IF(COUNTIF(Customers!$A$2:$A$301,C910)=0,"Missing","OK")</f>
        <v>OK</v>
      </c>
      <c r="U910" t="str">
        <f t="shared" si="43"/>
        <v>Pune</v>
      </c>
      <c r="V910">
        <f t="shared" si="44"/>
        <v>0</v>
      </c>
    </row>
    <row r="911" spans="1:22" ht="15" customHeight="1" x14ac:dyDescent="0.35">
      <c r="A911" s="3" t="s">
        <v>1329</v>
      </c>
      <c r="B911" s="4">
        <v>45640</v>
      </c>
      <c r="C911" s="3" t="s">
        <v>560</v>
      </c>
      <c r="D911" s="3" t="s">
        <v>203</v>
      </c>
      <c r="E911" s="3" t="s">
        <v>131</v>
      </c>
      <c r="F911" s="5">
        <v>4</v>
      </c>
      <c r="G911" s="5">
        <v>4070</v>
      </c>
      <c r="H911" s="5">
        <v>26.8</v>
      </c>
      <c r="I911" s="5">
        <v>11916.96</v>
      </c>
      <c r="J911" s="3" t="s">
        <v>26</v>
      </c>
      <c r="K911" s="3" t="s">
        <v>33</v>
      </c>
      <c r="L911" t="str">
        <f>IFERROR(VLOOKUP(D911,Products!$A$2:$F$61,3,FALSE()),"")</f>
        <v>Grocery</v>
      </c>
      <c r="M911" t="str">
        <f>IFERROR(VLOOKUP(E911,Sales_Reps!$A$2:$C$31,3,FALSE()),"")</f>
        <v>East</v>
      </c>
      <c r="N911">
        <f>IFERROR(VLOOKUP(D911,Products!$A$2:$F$61,4,FALSE()),"")</f>
        <v>2027</v>
      </c>
      <c r="O911" t="str">
        <f>IFERROR(VLOOKUP(C911,Customers!$A$2:$F$301,5,FALSE()),"")</f>
        <v>Corporate</v>
      </c>
      <c r="P911">
        <f>IFERROR(VLOOKUP(C911,Customers!$A$2:$F$301,3,FALSE()),"")</f>
        <v>22</v>
      </c>
      <c r="Q911">
        <f t="shared" si="42"/>
        <v>0.50196560196560192</v>
      </c>
      <c r="R911">
        <f>IF(AND(COUNTIF($A$2:$A$2047,A911)&gt;1,COUNTIF($A$2:A911,A911)=1),1,0)</f>
        <v>0</v>
      </c>
      <c r="S911" t="b">
        <f>IFERROR(VLOOKUP(D911,Products!$A$2:$F$61,6,FALSE()),"")</f>
        <v>1</v>
      </c>
      <c r="T911" t="str">
        <f>IF(COUNTIF(Customers!$A$2:$A$301,C911)=0,"Missing","OK")</f>
        <v>OK</v>
      </c>
      <c r="U911" t="str">
        <f t="shared" si="43"/>
        <v>Chennai</v>
      </c>
      <c r="V911">
        <f t="shared" si="44"/>
        <v>0</v>
      </c>
    </row>
    <row r="912" spans="1:22" ht="15" customHeight="1" x14ac:dyDescent="0.35">
      <c r="A912" s="3" t="s">
        <v>1330</v>
      </c>
      <c r="B912" s="4">
        <v>45633</v>
      </c>
      <c r="C912" s="3" t="s">
        <v>195</v>
      </c>
      <c r="D912" s="3" t="s">
        <v>24</v>
      </c>
      <c r="E912" s="3" t="s">
        <v>78</v>
      </c>
      <c r="F912" s="5">
        <v>4</v>
      </c>
      <c r="G912" s="5">
        <v>3620</v>
      </c>
      <c r="H912" s="5">
        <v>11.7</v>
      </c>
      <c r="I912" s="5">
        <v>12785.84</v>
      </c>
      <c r="J912" s="3" t="s">
        <v>26</v>
      </c>
      <c r="K912" s="3" t="s">
        <v>72</v>
      </c>
      <c r="L912" t="str">
        <f>IFERROR(VLOOKUP(D912,Products!$A$2:$F$61,3,FALSE()),"")</f>
        <v>Apparel</v>
      </c>
      <c r="M912" t="str">
        <f>IFERROR(VLOOKUP(E912,Sales_Reps!$A$2:$C$31,3,FALSE()),"")</f>
        <v>North</v>
      </c>
      <c r="N912">
        <f>IFERROR(VLOOKUP(D912,Products!$A$2:$F$61,4,FALSE()),"")</f>
        <v>2509</v>
      </c>
      <c r="O912" t="str">
        <f>IFERROR(VLOOKUP(C912,Customers!$A$2:$F$301,5,FALSE()),"")</f>
        <v>Retail</v>
      </c>
      <c r="P912">
        <f>IFERROR(VLOOKUP(C912,Customers!$A$2:$F$301,3,FALSE()),"")</f>
        <v>27</v>
      </c>
      <c r="Q912">
        <f t="shared" si="42"/>
        <v>0.3069060773480663</v>
      </c>
      <c r="R912">
        <f>IF(AND(COUNTIF($A$2:$A$2047,A912)&gt;1,COUNTIF($A$2:A912,A912)=1),1,0)</f>
        <v>0</v>
      </c>
      <c r="S912" t="b">
        <f>IFERROR(VLOOKUP(D912,Products!$A$2:$F$61,6,FALSE()),"")</f>
        <v>1</v>
      </c>
      <c r="T912" t="str">
        <f>IF(COUNTIF(Customers!$A$2:$A$301,C912)=0,"Missing","OK")</f>
        <v>OK</v>
      </c>
      <c r="U912" t="str">
        <f t="shared" si="43"/>
        <v>Hyderabad</v>
      </c>
      <c r="V912">
        <f t="shared" si="44"/>
        <v>0</v>
      </c>
    </row>
    <row r="913" spans="1:22" ht="15" customHeight="1" x14ac:dyDescent="0.35">
      <c r="A913" s="3" t="s">
        <v>1331</v>
      </c>
      <c r="B913" s="4">
        <v>45430</v>
      </c>
      <c r="C913" s="3" t="s">
        <v>257</v>
      </c>
      <c r="D913" s="3" t="s">
        <v>347</v>
      </c>
      <c r="E913" s="3" t="s">
        <v>109</v>
      </c>
      <c r="F913" s="5">
        <v>3</v>
      </c>
      <c r="G913" s="5">
        <v>3970</v>
      </c>
      <c r="H913" s="5">
        <v>24.7</v>
      </c>
      <c r="I913" s="5">
        <v>8968.23</v>
      </c>
      <c r="J913" s="3" t="s">
        <v>26</v>
      </c>
      <c r="K913" s="3" t="s">
        <v>33</v>
      </c>
      <c r="L913" t="str">
        <f>IFERROR(VLOOKUP(D913,Products!$A$2:$F$61,3,FALSE()),"")</f>
        <v>Electronics</v>
      </c>
      <c r="M913" t="str">
        <f>IFERROR(VLOOKUP(E913,Sales_Reps!$A$2:$C$31,3,FALSE()),"")</f>
        <v>West</v>
      </c>
      <c r="N913">
        <f>IFERROR(VLOOKUP(D913,Products!$A$2:$F$61,4,FALSE()),"")</f>
        <v>2865</v>
      </c>
      <c r="O913" t="str">
        <f>IFERROR(VLOOKUP(C913,Customers!$A$2:$F$301,5,FALSE()),"")</f>
        <v>SMB</v>
      </c>
      <c r="P913">
        <f>IFERROR(VLOOKUP(C913,Customers!$A$2:$F$301,3,FALSE()),"")</f>
        <v>57</v>
      </c>
      <c r="Q913">
        <f t="shared" si="42"/>
        <v>0.27833753148614609</v>
      </c>
      <c r="R913">
        <f>IF(AND(COUNTIF($A$2:$A$2047,A913)&gt;1,COUNTIF($A$2:A913,A913)=1),1,0)</f>
        <v>0</v>
      </c>
      <c r="S913" t="b">
        <f>IFERROR(VLOOKUP(D913,Products!$A$2:$F$61,6,FALSE()),"")</f>
        <v>1</v>
      </c>
      <c r="T913" t="str">
        <f>IF(COUNTIF(Customers!$A$2:$A$301,C913)=0,"Missing","OK")</f>
        <v>OK</v>
      </c>
      <c r="U913" t="str">
        <f t="shared" si="43"/>
        <v>Chennai</v>
      </c>
      <c r="V913">
        <f t="shared" si="44"/>
        <v>0</v>
      </c>
    </row>
    <row r="914" spans="1:22" ht="15" customHeight="1" x14ac:dyDescent="0.35">
      <c r="A914" s="3" t="s">
        <v>1332</v>
      </c>
      <c r="B914" s="4">
        <v>45355</v>
      </c>
      <c r="C914" s="3" t="s">
        <v>355</v>
      </c>
      <c r="D914" s="3" t="s">
        <v>66</v>
      </c>
      <c r="E914" s="3" t="s">
        <v>67</v>
      </c>
      <c r="F914" s="5">
        <v>4</v>
      </c>
      <c r="G914" s="5">
        <v>970</v>
      </c>
      <c r="H914" s="5">
        <v>0.4</v>
      </c>
      <c r="I914" s="5">
        <v>3864.48</v>
      </c>
      <c r="J914" s="3" t="s">
        <v>26</v>
      </c>
      <c r="K914" s="3" t="s">
        <v>56</v>
      </c>
      <c r="L914" t="str">
        <f>IFERROR(VLOOKUP(D914,Products!$A$2:$F$61,3,FALSE()),"")</f>
        <v>Grocery</v>
      </c>
      <c r="M914" t="str">
        <f>IFERROR(VLOOKUP(E914,Sales_Reps!$A$2:$C$31,3,FALSE()),"")</f>
        <v>West</v>
      </c>
      <c r="N914">
        <f>IFERROR(VLOOKUP(D914,Products!$A$2:$F$61,4,FALSE()),"")</f>
        <v>434</v>
      </c>
      <c r="O914" t="str">
        <f>IFERROR(VLOOKUP(C914,Customers!$A$2:$F$301,5,FALSE()),"")</f>
        <v>Corporate</v>
      </c>
      <c r="P914">
        <f>IFERROR(VLOOKUP(C914,Customers!$A$2:$F$301,3,FALSE()),"")</f>
        <v>42</v>
      </c>
      <c r="Q914">
        <f t="shared" si="42"/>
        <v>0.5525773195876289</v>
      </c>
      <c r="R914">
        <f>IF(AND(COUNTIF($A$2:$A$2047,A914)&gt;1,COUNTIF($A$2:A914,A914)=1),1,0)</f>
        <v>0</v>
      </c>
      <c r="S914" t="b">
        <f>IFERROR(VLOOKUP(D914,Products!$A$2:$F$61,6,FALSE()),"")</f>
        <v>1</v>
      </c>
      <c r="T914" t="str">
        <f>IF(COUNTIF(Customers!$A$2:$A$301,C914)=0,"Missing","OK")</f>
        <v>OK</v>
      </c>
      <c r="U914" t="str">
        <f t="shared" si="43"/>
        <v>Bengaluru</v>
      </c>
      <c r="V914">
        <f t="shared" si="44"/>
        <v>3864.48</v>
      </c>
    </row>
    <row r="915" spans="1:22" ht="15" customHeight="1" x14ac:dyDescent="0.35">
      <c r="A915" s="3" t="s">
        <v>1333</v>
      </c>
      <c r="B915" s="4">
        <v>45379</v>
      </c>
      <c r="C915" s="3" t="s">
        <v>238</v>
      </c>
      <c r="D915" s="3" t="s">
        <v>54</v>
      </c>
      <c r="E915" s="3" t="s">
        <v>93</v>
      </c>
      <c r="F915" s="5">
        <v>2</v>
      </c>
      <c r="G915" s="5">
        <v>960</v>
      </c>
      <c r="H915" s="5">
        <v>1.4</v>
      </c>
      <c r="I915" s="5">
        <v>1893.12</v>
      </c>
      <c r="J915" s="3" t="s">
        <v>26</v>
      </c>
      <c r="K915" s="3" t="s">
        <v>72</v>
      </c>
      <c r="L915" t="str">
        <f>IFERROR(VLOOKUP(D915,Products!$A$2:$F$61,3,FALSE()),"")</f>
        <v>Sports</v>
      </c>
      <c r="M915" t="str">
        <f>IFERROR(VLOOKUP(E915,Sales_Reps!$A$2:$C$31,3,FALSE()),"")</f>
        <v>East</v>
      </c>
      <c r="N915">
        <f>IFERROR(VLOOKUP(D915,Products!$A$2:$F$61,4,FALSE()),"")</f>
        <v>705</v>
      </c>
      <c r="O915" t="str">
        <f>IFERROR(VLOOKUP(C915,Customers!$A$2:$F$301,5,FALSE()),"")</f>
        <v>Retail</v>
      </c>
      <c r="P915">
        <f>IFERROR(VLOOKUP(C915,Customers!$A$2:$F$301,3,FALSE()),"")</f>
        <v>29</v>
      </c>
      <c r="Q915">
        <f t="shared" si="42"/>
        <v>0.265625</v>
      </c>
      <c r="R915">
        <f>IF(AND(COUNTIF($A$2:$A$2047,A915)&gt;1,COUNTIF($A$2:A915,A915)=1),1,0)</f>
        <v>0</v>
      </c>
      <c r="S915" t="b">
        <f>IFERROR(VLOOKUP(D915,Products!$A$2:$F$61,6,FALSE()),"")</f>
        <v>1</v>
      </c>
      <c r="T915" t="str">
        <f>IF(COUNTIF(Customers!$A$2:$A$301,C915)=0,"Missing","OK")</f>
        <v>OK</v>
      </c>
      <c r="U915" t="str">
        <f t="shared" si="43"/>
        <v>Hyderabad</v>
      </c>
      <c r="V915">
        <f t="shared" si="44"/>
        <v>0</v>
      </c>
    </row>
    <row r="916" spans="1:22" ht="15" customHeight="1" x14ac:dyDescent="0.35">
      <c r="A916" s="3" t="s">
        <v>1334</v>
      </c>
      <c r="B916" s="4">
        <v>45375</v>
      </c>
      <c r="C916" s="3" t="s">
        <v>99</v>
      </c>
      <c r="D916" s="3" t="s">
        <v>221</v>
      </c>
      <c r="E916" s="3" t="s">
        <v>285</v>
      </c>
      <c r="F916" s="5">
        <v>7</v>
      </c>
      <c r="G916" s="5">
        <v>300</v>
      </c>
      <c r="H916" s="5">
        <v>20.399999999999999</v>
      </c>
      <c r="I916" s="5">
        <v>1671.6</v>
      </c>
      <c r="J916" s="3" t="s">
        <v>26</v>
      </c>
      <c r="K916" s="3" t="s">
        <v>51</v>
      </c>
      <c r="L916" t="str">
        <f>IFERROR(VLOOKUP(D916,Products!$A$2:$F$61,3,FALSE()),"")</f>
        <v>Electronics</v>
      </c>
      <c r="M916" t="str">
        <f>IFERROR(VLOOKUP(E916,Sales_Reps!$A$2:$C$31,3,FALSE()),"")</f>
        <v>South</v>
      </c>
      <c r="N916">
        <f>IFERROR(VLOOKUP(D916,Products!$A$2:$F$61,4,FALSE()),"")</f>
        <v>128</v>
      </c>
      <c r="O916" t="str">
        <f>IFERROR(VLOOKUP(C916,Customers!$A$2:$F$301,5,FALSE()),"")</f>
        <v>Retail</v>
      </c>
      <c r="P916">
        <f>IFERROR(VLOOKUP(C916,Customers!$A$2:$F$301,3,FALSE()),"")</f>
        <v>54</v>
      </c>
      <c r="Q916">
        <f t="shared" si="42"/>
        <v>0.57333333333333336</v>
      </c>
      <c r="R916">
        <f>IF(AND(COUNTIF($A$2:$A$2047,A916)&gt;1,COUNTIF($A$2:A916,A916)=1),1,0)</f>
        <v>0</v>
      </c>
      <c r="S916" t="b">
        <f>IFERROR(VLOOKUP(D916,Products!$A$2:$F$61,6,FALSE()),"")</f>
        <v>1</v>
      </c>
      <c r="T916" t="str">
        <f>IF(COUNTIF(Customers!$A$2:$A$301,C916)=0,"Missing","OK")</f>
        <v>OK</v>
      </c>
      <c r="U916" t="str">
        <f t="shared" si="43"/>
        <v>Mumbai</v>
      </c>
      <c r="V916">
        <f t="shared" si="44"/>
        <v>0</v>
      </c>
    </row>
    <row r="917" spans="1:22" ht="15" customHeight="1" x14ac:dyDescent="0.35">
      <c r="A917" s="3" t="s">
        <v>1335</v>
      </c>
      <c r="B917" s="4">
        <v>45397</v>
      </c>
      <c r="C917" s="3" t="s">
        <v>251</v>
      </c>
      <c r="D917" s="3" t="s">
        <v>77</v>
      </c>
      <c r="E917" s="3" t="s">
        <v>37</v>
      </c>
      <c r="F917" s="5">
        <v>8</v>
      </c>
      <c r="G917" s="5">
        <v>2600</v>
      </c>
      <c r="H917" s="5">
        <v>2.2000000000000002</v>
      </c>
      <c r="I917" s="5">
        <v>20342.400000000001</v>
      </c>
      <c r="J917" s="3" t="s">
        <v>79</v>
      </c>
      <c r="K917" s="3" t="s">
        <v>72</v>
      </c>
      <c r="L917" t="str">
        <f>IFERROR(VLOOKUP(D917,Products!$A$2:$F$61,3,FALSE()),"")</f>
        <v>Electronics</v>
      </c>
      <c r="M917" t="str">
        <f>IFERROR(VLOOKUP(E917,Sales_Reps!$A$2:$C$31,3,FALSE()),"")</f>
        <v>South</v>
      </c>
      <c r="N917">
        <f>IFERROR(VLOOKUP(D917,Products!$A$2:$F$61,4,FALSE()),"")</f>
        <v>1052</v>
      </c>
      <c r="O917" t="str">
        <f>IFERROR(VLOOKUP(C917,Customers!$A$2:$F$301,5,FALSE()),"")</f>
        <v>Retail</v>
      </c>
      <c r="P917">
        <f>IFERROR(VLOOKUP(C917,Customers!$A$2:$F$301,3,FALSE()),"")</f>
        <v>46</v>
      </c>
      <c r="Q917">
        <f t="shared" si="42"/>
        <v>0.5953846153846154</v>
      </c>
      <c r="R917">
        <f>IF(AND(COUNTIF($A$2:$A$2047,A917)&gt;1,COUNTIF($A$2:A917,A917)=1),1,0)</f>
        <v>0</v>
      </c>
      <c r="S917" t="b">
        <f>IFERROR(VLOOKUP(D917,Products!$A$2:$F$61,6,FALSE()),"")</f>
        <v>1</v>
      </c>
      <c r="T917" t="str">
        <f>IF(COUNTIF(Customers!$A$2:$A$301,C917)=0,"Missing","OK")</f>
        <v>OK</v>
      </c>
      <c r="U917" t="str">
        <f t="shared" si="43"/>
        <v>Hyderabad</v>
      </c>
      <c r="V917">
        <f t="shared" si="44"/>
        <v>0</v>
      </c>
    </row>
    <row r="918" spans="1:22" ht="15" customHeight="1" x14ac:dyDescent="0.35">
      <c r="A918" s="3" t="s">
        <v>1336</v>
      </c>
      <c r="B918" s="4">
        <v>45571</v>
      </c>
      <c r="C918" s="3" t="s">
        <v>424</v>
      </c>
      <c r="D918" s="3" t="s">
        <v>49</v>
      </c>
      <c r="E918" s="3" t="s">
        <v>46</v>
      </c>
      <c r="F918" s="5">
        <v>2</v>
      </c>
      <c r="G918" s="5">
        <v>370</v>
      </c>
      <c r="H918" s="5">
        <v>17.7</v>
      </c>
      <c r="I918" s="5">
        <v>609.02</v>
      </c>
      <c r="J918" s="3" t="s">
        <v>26</v>
      </c>
      <c r="K918" s="3" t="s">
        <v>27</v>
      </c>
      <c r="L918" t="str">
        <f>IFERROR(VLOOKUP(D918,Products!$A$2:$F$61,3,FALSE()),"")</f>
        <v>Home</v>
      </c>
      <c r="M918" t="str">
        <f>IFERROR(VLOOKUP(E918,Sales_Reps!$A$2:$C$31,3,FALSE()),"")</f>
        <v>North</v>
      </c>
      <c r="N918">
        <f>IFERROR(VLOOKUP(D918,Products!$A$2:$F$61,4,FALSE()),"")</f>
        <v>288</v>
      </c>
      <c r="O918" t="str">
        <f>IFERROR(VLOOKUP(C918,Customers!$A$2:$F$301,5,FALSE()),"")</f>
        <v>Retail</v>
      </c>
      <c r="P918">
        <f>IFERROR(VLOOKUP(C918,Customers!$A$2:$F$301,3,FALSE()),"")</f>
        <v>49</v>
      </c>
      <c r="Q918">
        <f t="shared" si="42"/>
        <v>0.22162162162162163</v>
      </c>
      <c r="R918">
        <f>IF(AND(COUNTIF($A$2:$A$2047,A918)&gt;1,COUNTIF($A$2:A918,A918)=1),1,0)</f>
        <v>0</v>
      </c>
      <c r="S918" t="b">
        <f>IFERROR(VLOOKUP(D918,Products!$A$2:$F$61,6,FALSE()),"")</f>
        <v>1</v>
      </c>
      <c r="T918" t="str">
        <f>IF(COUNTIF(Customers!$A$2:$A$301,C918)=0,"Missing","OK")</f>
        <v>OK</v>
      </c>
      <c r="U918" t="str">
        <f t="shared" si="43"/>
        <v>Pune</v>
      </c>
      <c r="V918">
        <f t="shared" si="44"/>
        <v>0</v>
      </c>
    </row>
    <row r="919" spans="1:22" ht="15" customHeight="1" x14ac:dyDescent="0.35">
      <c r="A919" s="3" t="s">
        <v>1337</v>
      </c>
      <c r="B919" s="4">
        <v>45455</v>
      </c>
      <c r="C919" s="3" t="s">
        <v>117</v>
      </c>
      <c r="D919" s="3" t="s">
        <v>96</v>
      </c>
      <c r="E919" s="3" t="s">
        <v>140</v>
      </c>
      <c r="F919" s="5">
        <v>4</v>
      </c>
      <c r="G919" s="5">
        <v>3450</v>
      </c>
      <c r="H919" s="5">
        <v>9.8000000000000007</v>
      </c>
      <c r="I919" s="5">
        <v>12447.6</v>
      </c>
      <c r="J919" s="3" t="s">
        <v>79</v>
      </c>
      <c r="K919" s="3" t="s">
        <v>33</v>
      </c>
      <c r="L919" t="str">
        <f>IFERROR(VLOOKUP(D919,Products!$A$2:$F$61,3,FALSE()),"")</f>
        <v>Beauty</v>
      </c>
      <c r="M919" t="str">
        <f>IFERROR(VLOOKUP(E919,Sales_Reps!$A$2:$C$31,3,FALSE()),"")</f>
        <v>West</v>
      </c>
      <c r="N919">
        <f>IFERROR(VLOOKUP(D919,Products!$A$2:$F$61,4,FALSE()),"")</f>
        <v>2420</v>
      </c>
      <c r="O919" t="str">
        <f>IFERROR(VLOOKUP(C919,Customers!$A$2:$F$301,5,FALSE()),"")</f>
        <v>Corporate</v>
      </c>
      <c r="P919">
        <f>IFERROR(VLOOKUP(C919,Customers!$A$2:$F$301,3,FALSE()),"")</f>
        <v>55</v>
      </c>
      <c r="Q919">
        <f t="shared" si="42"/>
        <v>0.29855072463768118</v>
      </c>
      <c r="R919">
        <f>IF(AND(COUNTIF($A$2:$A$2047,A919)&gt;1,COUNTIF($A$2:A919,A919)=1),1,0)</f>
        <v>0</v>
      </c>
      <c r="S919" t="b">
        <f>IFERROR(VLOOKUP(D919,Products!$A$2:$F$61,6,FALSE()),"")</f>
        <v>1</v>
      </c>
      <c r="T919" t="str">
        <f>IF(COUNTIF(Customers!$A$2:$A$301,C919)=0,"Missing","OK")</f>
        <v>OK</v>
      </c>
      <c r="U919" t="str">
        <f t="shared" si="43"/>
        <v>Chennai</v>
      </c>
      <c r="V919">
        <f t="shared" si="44"/>
        <v>0</v>
      </c>
    </row>
    <row r="920" spans="1:22" ht="15" customHeight="1" x14ac:dyDescent="0.35">
      <c r="A920" s="3" t="s">
        <v>1338</v>
      </c>
      <c r="B920" s="4">
        <v>45486</v>
      </c>
      <c r="C920" s="3" t="s">
        <v>720</v>
      </c>
      <c r="D920" s="3" t="s">
        <v>106</v>
      </c>
      <c r="E920" s="3" t="s">
        <v>131</v>
      </c>
      <c r="F920" s="5">
        <v>1</v>
      </c>
      <c r="G920" s="5">
        <v>2480</v>
      </c>
      <c r="H920" s="5">
        <v>5.8</v>
      </c>
      <c r="I920" s="5">
        <v>2336.16</v>
      </c>
      <c r="J920" s="3" t="s">
        <v>26</v>
      </c>
      <c r="K920" s="3" t="s">
        <v>38</v>
      </c>
      <c r="L920" t="str">
        <f>IFERROR(VLOOKUP(D920,Products!$A$2:$F$61,3,FALSE()),"")</f>
        <v>Apparel</v>
      </c>
      <c r="M920" t="str">
        <f>IFERROR(VLOOKUP(E920,Sales_Reps!$A$2:$C$31,3,FALSE()),"")</f>
        <v>East</v>
      </c>
      <c r="N920">
        <f>IFERROR(VLOOKUP(D920,Products!$A$2:$F$61,4,FALSE()),"")</f>
        <v>1173</v>
      </c>
      <c r="O920" t="str">
        <f>IFERROR(VLOOKUP(C920,Customers!$A$2:$F$301,5,FALSE()),"")</f>
        <v>SMB</v>
      </c>
      <c r="P920">
        <f>IFERROR(VLOOKUP(C920,Customers!$A$2:$F$301,3,FALSE()),"")</f>
        <v>29</v>
      </c>
      <c r="Q920">
        <f t="shared" si="42"/>
        <v>0.52701612903225803</v>
      </c>
      <c r="R920">
        <f>IF(AND(COUNTIF($A$2:$A$2047,A920)&gt;1,COUNTIF($A$2:A920,A920)=1),1,0)</f>
        <v>0</v>
      </c>
      <c r="S920" t="b">
        <f>IFERROR(VLOOKUP(D920,Products!$A$2:$F$61,6,FALSE()),"")</f>
        <v>1</v>
      </c>
      <c r="T920" t="str">
        <f>IF(COUNTIF(Customers!$A$2:$A$301,C920)=0,"Missing","OK")</f>
        <v>OK</v>
      </c>
      <c r="U920" t="str">
        <f t="shared" si="43"/>
        <v>Delhi</v>
      </c>
      <c r="V920">
        <f t="shared" si="44"/>
        <v>0</v>
      </c>
    </row>
    <row r="921" spans="1:22" ht="15" customHeight="1" x14ac:dyDescent="0.35">
      <c r="A921" s="3" t="s">
        <v>1339</v>
      </c>
      <c r="B921" s="4">
        <v>45329</v>
      </c>
      <c r="C921" s="3" t="s">
        <v>490</v>
      </c>
      <c r="D921" s="3" t="s">
        <v>41</v>
      </c>
      <c r="E921" s="3" t="s">
        <v>60</v>
      </c>
      <c r="F921" s="5">
        <v>5</v>
      </c>
      <c r="G921" s="5">
        <v>3660</v>
      </c>
      <c r="H921" s="5">
        <v>4.7</v>
      </c>
      <c r="I921" s="5">
        <v>17439.900000000001</v>
      </c>
      <c r="J921" s="3" t="s">
        <v>32</v>
      </c>
      <c r="K921" s="3" t="s">
        <v>51</v>
      </c>
      <c r="L921" t="str">
        <f>IFERROR(VLOOKUP(D921,Products!$A$2:$F$61,3,FALSE()),"")</f>
        <v>Grocery</v>
      </c>
      <c r="M921" t="str">
        <f>IFERROR(VLOOKUP(E921,Sales_Reps!$A$2:$C$31,3,FALSE()),"")</f>
        <v>East</v>
      </c>
      <c r="N921">
        <f>IFERROR(VLOOKUP(D921,Products!$A$2:$F$61,4,FALSE()),"")</f>
        <v>2214</v>
      </c>
      <c r="O921" t="str">
        <f>IFERROR(VLOOKUP(C921,Customers!$A$2:$F$301,5,FALSE()),"")</f>
        <v>Corporate</v>
      </c>
      <c r="P921">
        <f>IFERROR(VLOOKUP(C921,Customers!$A$2:$F$301,3,FALSE()),"")</f>
        <v>60</v>
      </c>
      <c r="Q921">
        <f t="shared" si="42"/>
        <v>0.39508196721311473</v>
      </c>
      <c r="R921">
        <f>IF(AND(COUNTIF($A$2:$A$2047,A921)&gt;1,COUNTIF($A$2:A921,A921)=1),1,0)</f>
        <v>0</v>
      </c>
      <c r="S921" t="b">
        <f>IFERROR(VLOOKUP(D921,Products!$A$2:$F$61,6,FALSE()),"")</f>
        <v>0</v>
      </c>
      <c r="T921" t="str">
        <f>IF(COUNTIF(Customers!$A$2:$A$301,C921)=0,"Missing","OK")</f>
        <v>OK</v>
      </c>
      <c r="U921" t="str">
        <f t="shared" si="43"/>
        <v>Mumbai</v>
      </c>
      <c r="V921">
        <f t="shared" si="44"/>
        <v>0</v>
      </c>
    </row>
    <row r="922" spans="1:22" ht="15" customHeight="1" x14ac:dyDescent="0.35">
      <c r="A922" s="3" t="s">
        <v>1340</v>
      </c>
      <c r="B922" s="4">
        <v>45315</v>
      </c>
      <c r="C922" s="3" t="s">
        <v>281</v>
      </c>
      <c r="D922" s="3" t="s">
        <v>115</v>
      </c>
      <c r="E922" s="3" t="s">
        <v>93</v>
      </c>
      <c r="F922" s="5">
        <v>7</v>
      </c>
      <c r="G922" s="5">
        <v>1650</v>
      </c>
      <c r="H922" s="5">
        <v>8.6</v>
      </c>
      <c r="I922" s="5">
        <v>10556.7</v>
      </c>
      <c r="J922" s="3" t="s">
        <v>26</v>
      </c>
      <c r="K922" s="3" t="s">
        <v>33</v>
      </c>
      <c r="L922" t="str">
        <f>IFERROR(VLOOKUP(D922,Products!$A$2:$F$61,3,FALSE()),"")</f>
        <v>Beauty</v>
      </c>
      <c r="M922" t="str">
        <f>IFERROR(VLOOKUP(E922,Sales_Reps!$A$2:$C$31,3,FALSE()),"")</f>
        <v>East</v>
      </c>
      <c r="N922">
        <f>IFERROR(VLOOKUP(D922,Products!$A$2:$F$61,4,FALSE()),"")</f>
        <v>1222</v>
      </c>
      <c r="O922" t="str">
        <f>IFERROR(VLOOKUP(C922,Customers!$A$2:$F$301,5,FALSE()),"")</f>
        <v>Retail</v>
      </c>
      <c r="P922">
        <f>IFERROR(VLOOKUP(C922,Customers!$A$2:$F$301,3,FALSE()),"")</f>
        <v>26</v>
      </c>
      <c r="Q922">
        <f t="shared" si="42"/>
        <v>0.2593939393939394</v>
      </c>
      <c r="R922">
        <f>IF(AND(COUNTIF($A$2:$A$2047,A922)&gt;1,COUNTIF($A$2:A922,A922)=1),1,0)</f>
        <v>0</v>
      </c>
      <c r="S922" t="b">
        <f>IFERROR(VLOOKUP(D922,Products!$A$2:$F$61,6,FALSE()),"")</f>
        <v>1</v>
      </c>
      <c r="T922" t="str">
        <f>IF(COUNTIF(Customers!$A$2:$A$301,C922)=0,"Missing","OK")</f>
        <v>OK</v>
      </c>
      <c r="U922" t="str">
        <f t="shared" si="43"/>
        <v>Chennai</v>
      </c>
      <c r="V922">
        <f t="shared" si="44"/>
        <v>0</v>
      </c>
    </row>
    <row r="923" spans="1:22" ht="15" customHeight="1" x14ac:dyDescent="0.35">
      <c r="A923" s="3" t="s">
        <v>1341</v>
      </c>
      <c r="B923" s="4">
        <v>45473</v>
      </c>
      <c r="C923" s="3" t="s">
        <v>129</v>
      </c>
      <c r="D923" s="3" t="s">
        <v>86</v>
      </c>
      <c r="E923" s="3" t="s">
        <v>50</v>
      </c>
      <c r="F923" s="5">
        <v>6</v>
      </c>
      <c r="G923" s="5">
        <v>190</v>
      </c>
      <c r="H923" s="5">
        <v>14.6</v>
      </c>
      <c r="I923" s="5">
        <v>973.56</v>
      </c>
      <c r="J923" s="3" t="s">
        <v>26</v>
      </c>
      <c r="K923" s="3" t="s">
        <v>72</v>
      </c>
      <c r="L923" t="str">
        <f>IFERROR(VLOOKUP(D923,Products!$A$2:$F$61,3,FALSE()),"")</f>
        <v>Sports</v>
      </c>
      <c r="M923" t="str">
        <f>IFERROR(VLOOKUP(E923,Sales_Reps!$A$2:$C$31,3,FALSE()),"")</f>
        <v>West</v>
      </c>
      <c r="N923">
        <f>IFERROR(VLOOKUP(D923,Products!$A$2:$F$61,4,FALSE()),"")</f>
        <v>147</v>
      </c>
      <c r="O923" t="str">
        <f>IFERROR(VLOOKUP(C923,Customers!$A$2:$F$301,5,FALSE()),"")</f>
        <v>Corporate</v>
      </c>
      <c r="P923">
        <f>IFERROR(VLOOKUP(C923,Customers!$A$2:$F$301,3,FALSE()),"")</f>
        <v>56</v>
      </c>
      <c r="Q923">
        <f t="shared" si="42"/>
        <v>0.22631578947368422</v>
      </c>
      <c r="R923">
        <f>IF(AND(COUNTIF($A$2:$A$2047,A923)&gt;1,COUNTIF($A$2:A923,A923)=1),1,0)</f>
        <v>0</v>
      </c>
      <c r="S923" t="b">
        <f>IFERROR(VLOOKUP(D923,Products!$A$2:$F$61,6,FALSE()),"")</f>
        <v>1</v>
      </c>
      <c r="T923" t="str">
        <f>IF(COUNTIF(Customers!$A$2:$A$301,C923)=0,"Missing","OK")</f>
        <v>OK</v>
      </c>
      <c r="U923" t="str">
        <f t="shared" si="43"/>
        <v>Hyderabad</v>
      </c>
      <c r="V923">
        <f t="shared" si="44"/>
        <v>0</v>
      </c>
    </row>
    <row r="924" spans="1:22" ht="15" customHeight="1" x14ac:dyDescent="0.35">
      <c r="A924" s="3" t="s">
        <v>1342</v>
      </c>
      <c r="B924" s="4">
        <v>45546</v>
      </c>
      <c r="C924" s="3" t="s">
        <v>547</v>
      </c>
      <c r="D924" s="3" t="s">
        <v>184</v>
      </c>
      <c r="E924" s="3" t="s">
        <v>154</v>
      </c>
      <c r="F924" s="5">
        <v>5</v>
      </c>
      <c r="G924" s="5">
        <v>2270</v>
      </c>
      <c r="H924" s="5">
        <v>5.9</v>
      </c>
      <c r="I924" s="5">
        <v>10680.35</v>
      </c>
      <c r="J924" s="3" t="s">
        <v>26</v>
      </c>
      <c r="K924" s="3" t="s">
        <v>27</v>
      </c>
      <c r="L924" t="str">
        <f>IFERROR(VLOOKUP(D924,Products!$A$2:$F$61,3,FALSE()),"")</f>
        <v>Grocery</v>
      </c>
      <c r="M924" t="str">
        <f>IFERROR(VLOOKUP(E924,Sales_Reps!$A$2:$C$31,3,FALSE()),"")</f>
        <v>North</v>
      </c>
      <c r="N924">
        <f>IFERROR(VLOOKUP(D924,Products!$A$2:$F$61,4,FALSE()),"")</f>
        <v>1412</v>
      </c>
      <c r="O924" t="str">
        <f>IFERROR(VLOOKUP(C924,Customers!$A$2:$F$301,5,FALSE()),"")</f>
        <v>Corporate</v>
      </c>
      <c r="P924">
        <f>IFERROR(VLOOKUP(C924,Customers!$A$2:$F$301,3,FALSE()),"")</f>
        <v>40</v>
      </c>
      <c r="Q924">
        <f t="shared" si="42"/>
        <v>0.37797356828193834</v>
      </c>
      <c r="R924">
        <f>IF(AND(COUNTIF($A$2:$A$2047,A924)&gt;1,COUNTIF($A$2:A924,A924)=1),1,0)</f>
        <v>0</v>
      </c>
      <c r="S924" t="b">
        <f>IFERROR(VLOOKUP(D924,Products!$A$2:$F$61,6,FALSE()),"")</f>
        <v>1</v>
      </c>
      <c r="T924" t="str">
        <f>IF(COUNTIF(Customers!$A$2:$A$301,C924)=0,"Missing","OK")</f>
        <v>OK</v>
      </c>
      <c r="U924" t="str">
        <f t="shared" si="43"/>
        <v>Pune</v>
      </c>
      <c r="V924">
        <f t="shared" si="44"/>
        <v>0</v>
      </c>
    </row>
    <row r="925" spans="1:22" ht="15" customHeight="1" x14ac:dyDescent="0.35">
      <c r="A925" s="3" t="s">
        <v>1343</v>
      </c>
      <c r="B925" s="4">
        <v>45625</v>
      </c>
      <c r="C925" s="3" t="s">
        <v>929</v>
      </c>
      <c r="D925" s="3" t="s">
        <v>70</v>
      </c>
      <c r="E925" s="3" t="s">
        <v>212</v>
      </c>
      <c r="F925" s="5">
        <v>1</v>
      </c>
      <c r="G925" s="5">
        <v>2270</v>
      </c>
      <c r="H925" s="5">
        <v>14.9</v>
      </c>
      <c r="I925" s="5">
        <v>1931.77</v>
      </c>
      <c r="J925" s="3" t="s">
        <v>26</v>
      </c>
      <c r="K925" s="3" t="s">
        <v>56</v>
      </c>
      <c r="L925" t="str">
        <f>IFERROR(VLOOKUP(D925,Products!$A$2:$F$61,3,FALSE()),"")</f>
        <v>Grocery</v>
      </c>
      <c r="M925" t="str">
        <f>IFERROR(VLOOKUP(E925,Sales_Reps!$A$2:$C$31,3,FALSE()),"")</f>
        <v>South</v>
      </c>
      <c r="N925">
        <f>IFERROR(VLOOKUP(D925,Products!$A$2:$F$61,4,FALSE()),"")</f>
        <v>1203</v>
      </c>
      <c r="O925" t="str">
        <f>IFERROR(VLOOKUP(C925,Customers!$A$2:$F$301,5,FALSE()),"")</f>
        <v>Retail</v>
      </c>
      <c r="P925">
        <f>IFERROR(VLOOKUP(C925,Customers!$A$2:$F$301,3,FALSE()),"")</f>
        <v>61</v>
      </c>
      <c r="Q925">
        <f t="shared" si="42"/>
        <v>0.47004405286343615</v>
      </c>
      <c r="R925">
        <f>IF(AND(COUNTIF($A$2:$A$2047,A925)&gt;1,COUNTIF($A$2:A925,A925)=1),1,0)</f>
        <v>0</v>
      </c>
      <c r="S925" t="b">
        <f>IFERROR(VLOOKUP(D925,Products!$A$2:$F$61,6,FALSE()),"")</f>
        <v>1</v>
      </c>
      <c r="T925" t="str">
        <f>IF(COUNTIF(Customers!$A$2:$A$301,C925)=0,"Missing","OK")</f>
        <v>OK</v>
      </c>
      <c r="U925" t="str">
        <f t="shared" si="43"/>
        <v>Bengaluru</v>
      </c>
      <c r="V925">
        <f t="shared" si="44"/>
        <v>1931.77</v>
      </c>
    </row>
    <row r="926" spans="1:22" ht="15" customHeight="1" x14ac:dyDescent="0.35">
      <c r="A926" s="3" t="s">
        <v>1344</v>
      </c>
      <c r="B926" s="4">
        <v>45579</v>
      </c>
      <c r="C926" s="3" t="s">
        <v>545</v>
      </c>
      <c r="D926" s="3" t="s">
        <v>391</v>
      </c>
      <c r="E926" s="3" t="s">
        <v>242</v>
      </c>
      <c r="F926" s="5">
        <v>4</v>
      </c>
      <c r="G926" s="5">
        <v>3450</v>
      </c>
      <c r="H926" s="5">
        <v>11.7</v>
      </c>
      <c r="I926" s="5">
        <v>12185.4</v>
      </c>
      <c r="J926" s="3" t="s">
        <v>79</v>
      </c>
      <c r="K926" s="3" t="s">
        <v>51</v>
      </c>
      <c r="L926" t="str">
        <f>IFERROR(VLOOKUP(D926,Products!$A$2:$F$61,3,FALSE()),"")</f>
        <v>Apparel</v>
      </c>
      <c r="M926" t="str">
        <f>IFERROR(VLOOKUP(E926,Sales_Reps!$A$2:$C$31,3,FALSE()),"")</f>
        <v>East</v>
      </c>
      <c r="N926">
        <f>IFERROR(VLOOKUP(D926,Products!$A$2:$F$61,4,FALSE()),"")</f>
        <v>1748</v>
      </c>
      <c r="O926" t="str">
        <f>IFERROR(VLOOKUP(C926,Customers!$A$2:$F$301,5,FALSE()),"")</f>
        <v>Retail</v>
      </c>
      <c r="P926">
        <f>IFERROR(VLOOKUP(C926,Customers!$A$2:$F$301,3,FALSE()),"")</f>
        <v>52</v>
      </c>
      <c r="Q926">
        <f t="shared" si="42"/>
        <v>0.49333333333333335</v>
      </c>
      <c r="R926">
        <f>IF(AND(COUNTIF($A$2:$A$2047,A926)&gt;1,COUNTIF($A$2:A926,A926)=1),1,0)</f>
        <v>0</v>
      </c>
      <c r="S926" t="b">
        <f>IFERROR(VLOOKUP(D926,Products!$A$2:$F$61,6,FALSE()),"")</f>
        <v>1</v>
      </c>
      <c r="T926" t="str">
        <f>IF(COUNTIF(Customers!$A$2:$A$301,C926)=0,"Missing","OK")</f>
        <v>OK</v>
      </c>
      <c r="U926" t="str">
        <f t="shared" si="43"/>
        <v>Mumbai</v>
      </c>
      <c r="V926">
        <f t="shared" si="44"/>
        <v>0</v>
      </c>
    </row>
    <row r="927" spans="1:22" ht="15" customHeight="1" x14ac:dyDescent="0.35">
      <c r="A927" s="3" t="s">
        <v>1345</v>
      </c>
      <c r="B927" s="4">
        <v>45323</v>
      </c>
      <c r="C927" s="3" t="s">
        <v>467</v>
      </c>
      <c r="D927" s="3" t="s">
        <v>215</v>
      </c>
      <c r="E927" s="3" t="s">
        <v>67</v>
      </c>
      <c r="F927" s="5">
        <v>7</v>
      </c>
      <c r="G927" s="5">
        <v>3020</v>
      </c>
      <c r="H927" s="5">
        <v>18.8</v>
      </c>
      <c r="I927" s="5">
        <v>17165.68</v>
      </c>
      <c r="J927" s="3" t="s">
        <v>26</v>
      </c>
      <c r="K927" s="3" t="s">
        <v>51</v>
      </c>
      <c r="L927" t="str">
        <f>IFERROR(VLOOKUP(D927,Products!$A$2:$F$61,3,FALSE()),"")</f>
        <v>Beauty</v>
      </c>
      <c r="M927" t="str">
        <f>IFERROR(VLOOKUP(E927,Sales_Reps!$A$2:$C$31,3,FALSE()),"")</f>
        <v>West</v>
      </c>
      <c r="N927">
        <f>IFERROR(VLOOKUP(D927,Products!$A$2:$F$61,4,FALSE()),"")</f>
        <v>1626</v>
      </c>
      <c r="O927" t="str">
        <f>IFERROR(VLOOKUP(C927,Customers!$A$2:$F$301,5,FALSE()),"")</f>
        <v>Retail</v>
      </c>
      <c r="P927">
        <f>IFERROR(VLOOKUP(C927,Customers!$A$2:$F$301,3,FALSE()),"")</f>
        <v>44</v>
      </c>
      <c r="Q927">
        <f t="shared" si="42"/>
        <v>0.46158940397350995</v>
      </c>
      <c r="R927">
        <f>IF(AND(COUNTIF($A$2:$A$2047,A927)&gt;1,COUNTIF($A$2:A927,A927)=1),1,0)</f>
        <v>0</v>
      </c>
      <c r="S927" t="b">
        <f>IFERROR(VLOOKUP(D927,Products!$A$2:$F$61,6,FALSE()),"")</f>
        <v>1</v>
      </c>
      <c r="T927" t="str">
        <f>IF(COUNTIF(Customers!$A$2:$A$301,C927)=0,"Missing","OK")</f>
        <v>OK</v>
      </c>
      <c r="U927" t="str">
        <f t="shared" si="43"/>
        <v>Mumbai</v>
      </c>
      <c r="V927">
        <f t="shared" si="44"/>
        <v>0</v>
      </c>
    </row>
    <row r="928" spans="1:22" ht="15" customHeight="1" x14ac:dyDescent="0.35">
      <c r="A928" s="3" t="s">
        <v>1346</v>
      </c>
      <c r="B928" s="4">
        <v>45613</v>
      </c>
      <c r="C928" s="3" t="s">
        <v>809</v>
      </c>
      <c r="D928" s="3" t="s">
        <v>234</v>
      </c>
      <c r="E928" s="3" t="s">
        <v>285</v>
      </c>
      <c r="F928" s="5">
        <v>4</v>
      </c>
      <c r="G928" s="5">
        <v>2030</v>
      </c>
      <c r="H928" s="5">
        <v>25.7</v>
      </c>
      <c r="I928" s="5">
        <v>6033.16</v>
      </c>
      <c r="J928" s="3" t="s">
        <v>26</v>
      </c>
      <c r="K928" s="3" t="s">
        <v>56</v>
      </c>
      <c r="L928" t="str">
        <f>IFERROR(VLOOKUP(D928,Products!$A$2:$F$61,3,FALSE()),"")</f>
        <v>Home</v>
      </c>
      <c r="M928" t="str">
        <f>IFERROR(VLOOKUP(E928,Sales_Reps!$A$2:$C$31,3,FALSE()),"")</f>
        <v>South</v>
      </c>
      <c r="N928">
        <f>IFERROR(VLOOKUP(D928,Products!$A$2:$F$61,4,FALSE()),"")</f>
        <v>1143</v>
      </c>
      <c r="O928" t="str">
        <f>IFERROR(VLOOKUP(C928,Customers!$A$2:$F$301,5,FALSE()),"")</f>
        <v>Retail</v>
      </c>
      <c r="P928">
        <f>IFERROR(VLOOKUP(C928,Customers!$A$2:$F$301,3,FALSE()),"")</f>
        <v>47</v>
      </c>
      <c r="Q928">
        <f t="shared" si="42"/>
        <v>0.43694581280788175</v>
      </c>
      <c r="R928">
        <f>IF(AND(COUNTIF($A$2:$A$2047,A928)&gt;1,COUNTIF($A$2:A928,A928)=1),1,0)</f>
        <v>0</v>
      </c>
      <c r="S928" t="b">
        <f>IFERROR(VLOOKUP(D928,Products!$A$2:$F$61,6,FALSE()),"")</f>
        <v>1</v>
      </c>
      <c r="T928" t="str">
        <f>IF(COUNTIF(Customers!$A$2:$A$301,C928)=0,"Missing","OK")</f>
        <v>OK</v>
      </c>
      <c r="U928" t="str">
        <f t="shared" si="43"/>
        <v>Bengaluru</v>
      </c>
      <c r="V928">
        <f t="shared" si="44"/>
        <v>0</v>
      </c>
    </row>
    <row r="929" spans="1:22" ht="15" customHeight="1" x14ac:dyDescent="0.35">
      <c r="A929" s="3" t="s">
        <v>1347</v>
      </c>
      <c r="B929" s="4">
        <v>45362</v>
      </c>
      <c r="C929" s="3" t="s">
        <v>228</v>
      </c>
      <c r="D929" s="3" t="s">
        <v>391</v>
      </c>
      <c r="E929" s="3" t="s">
        <v>37</v>
      </c>
      <c r="F929" s="5">
        <v>4</v>
      </c>
      <c r="G929" s="5">
        <v>3450</v>
      </c>
      <c r="H929" s="5">
        <v>3.9</v>
      </c>
      <c r="I929" s="5">
        <v>13261.8</v>
      </c>
      <c r="J929" s="3" t="s">
        <v>26</v>
      </c>
      <c r="K929" s="3" t="s">
        <v>33</v>
      </c>
      <c r="L929" t="str">
        <f>IFERROR(VLOOKUP(D929,Products!$A$2:$F$61,3,FALSE()),"")</f>
        <v>Apparel</v>
      </c>
      <c r="M929" t="str">
        <f>IFERROR(VLOOKUP(E929,Sales_Reps!$A$2:$C$31,3,FALSE()),"")</f>
        <v>South</v>
      </c>
      <c r="N929">
        <f>IFERROR(VLOOKUP(D929,Products!$A$2:$F$61,4,FALSE()),"")</f>
        <v>1748</v>
      </c>
      <c r="O929" t="str">
        <f>IFERROR(VLOOKUP(C929,Customers!$A$2:$F$301,5,FALSE()),"")</f>
        <v>Retail</v>
      </c>
      <c r="P929">
        <f>IFERROR(VLOOKUP(C929,Customers!$A$2:$F$301,3,FALSE()),"")</f>
        <v>38</v>
      </c>
      <c r="Q929">
        <f t="shared" si="42"/>
        <v>0.49333333333333335</v>
      </c>
      <c r="R929">
        <f>IF(AND(COUNTIF($A$2:$A$2047,A929)&gt;1,COUNTIF($A$2:A929,A929)=1),1,0)</f>
        <v>0</v>
      </c>
      <c r="S929" t="b">
        <f>IFERROR(VLOOKUP(D929,Products!$A$2:$F$61,6,FALSE()),"")</f>
        <v>1</v>
      </c>
      <c r="T929" t="str">
        <f>IF(COUNTIF(Customers!$A$2:$A$301,C929)=0,"Missing","OK")</f>
        <v>OK</v>
      </c>
      <c r="U929" t="str">
        <f t="shared" si="43"/>
        <v>Chennai</v>
      </c>
      <c r="V929">
        <f t="shared" si="44"/>
        <v>0</v>
      </c>
    </row>
    <row r="930" spans="1:22" ht="15" customHeight="1" x14ac:dyDescent="0.35">
      <c r="A930" s="3" t="s">
        <v>1348</v>
      </c>
      <c r="B930" s="4">
        <v>45347</v>
      </c>
      <c r="C930" s="3" t="s">
        <v>467</v>
      </c>
      <c r="D930" s="3" t="s">
        <v>319</v>
      </c>
      <c r="E930" s="3" t="s">
        <v>67</v>
      </c>
      <c r="F930" s="5">
        <v>5</v>
      </c>
      <c r="G930" s="5">
        <v>960</v>
      </c>
      <c r="H930" s="5">
        <v>8</v>
      </c>
      <c r="I930" s="5">
        <v>4416</v>
      </c>
      <c r="J930" s="3" t="s">
        <v>26</v>
      </c>
      <c r="K930" s="3" t="s">
        <v>51</v>
      </c>
      <c r="L930" t="str">
        <f>IFERROR(VLOOKUP(D930,Products!$A$2:$F$61,3,FALSE()),"")</f>
        <v>Beauty</v>
      </c>
      <c r="M930" t="str">
        <f>IFERROR(VLOOKUP(E930,Sales_Reps!$A$2:$C$31,3,FALSE()),"")</f>
        <v>West</v>
      </c>
      <c r="N930">
        <f>IFERROR(VLOOKUP(D930,Products!$A$2:$F$61,4,FALSE()),"")</f>
        <v>675</v>
      </c>
      <c r="O930" t="str">
        <f>IFERROR(VLOOKUP(C930,Customers!$A$2:$F$301,5,FALSE()),"")</f>
        <v>Retail</v>
      </c>
      <c r="P930">
        <f>IFERROR(VLOOKUP(C930,Customers!$A$2:$F$301,3,FALSE()),"")</f>
        <v>44</v>
      </c>
      <c r="Q930">
        <f t="shared" si="42"/>
        <v>0.296875</v>
      </c>
      <c r="R930">
        <f>IF(AND(COUNTIF($A$2:$A$2047,A930)&gt;1,COUNTIF($A$2:A930,A930)=1),1,0)</f>
        <v>0</v>
      </c>
      <c r="S930" t="b">
        <f>IFERROR(VLOOKUP(D930,Products!$A$2:$F$61,6,FALSE()),"")</f>
        <v>1</v>
      </c>
      <c r="T930" t="str">
        <f>IF(COUNTIF(Customers!$A$2:$A$301,C930)=0,"Missing","OK")</f>
        <v>OK</v>
      </c>
      <c r="U930" t="str">
        <f t="shared" si="43"/>
        <v>Mumbai</v>
      </c>
      <c r="V930">
        <f t="shared" si="44"/>
        <v>0</v>
      </c>
    </row>
    <row r="931" spans="1:22" ht="15" customHeight="1" x14ac:dyDescent="0.35">
      <c r="A931" s="3" t="s">
        <v>1349</v>
      </c>
      <c r="B931" s="4">
        <v>45550</v>
      </c>
      <c r="C931" s="3" t="s">
        <v>35</v>
      </c>
      <c r="D931" s="3" t="s">
        <v>347</v>
      </c>
      <c r="E931" s="3" t="s">
        <v>154</v>
      </c>
      <c r="F931" s="5">
        <v>7</v>
      </c>
      <c r="G931" s="5">
        <v>3970</v>
      </c>
      <c r="H931" s="5">
        <v>11.7</v>
      </c>
      <c r="I931" s="5">
        <v>24538.57</v>
      </c>
      <c r="J931" s="3" t="s">
        <v>26</v>
      </c>
      <c r="K931" s="3" t="s">
        <v>38</v>
      </c>
      <c r="L931" t="str">
        <f>IFERROR(VLOOKUP(D931,Products!$A$2:$F$61,3,FALSE()),"")</f>
        <v>Electronics</v>
      </c>
      <c r="M931" t="str">
        <f>IFERROR(VLOOKUP(E931,Sales_Reps!$A$2:$C$31,3,FALSE()),"")</f>
        <v>North</v>
      </c>
      <c r="N931">
        <f>IFERROR(VLOOKUP(D931,Products!$A$2:$F$61,4,FALSE()),"")</f>
        <v>2865</v>
      </c>
      <c r="O931" t="str">
        <f>IFERROR(VLOOKUP(C931,Customers!$A$2:$F$301,5,FALSE()),"")</f>
        <v>Retail</v>
      </c>
      <c r="P931">
        <f>IFERROR(VLOOKUP(C931,Customers!$A$2:$F$301,3,FALSE()),"")</f>
        <v>52</v>
      </c>
      <c r="Q931">
        <f t="shared" si="42"/>
        <v>0.27833753148614609</v>
      </c>
      <c r="R931">
        <f>IF(AND(COUNTIF($A$2:$A$2047,A931)&gt;1,COUNTIF($A$2:A931,A931)=1),1,0)</f>
        <v>0</v>
      </c>
      <c r="S931" t="b">
        <f>IFERROR(VLOOKUP(D931,Products!$A$2:$F$61,6,FALSE()),"")</f>
        <v>1</v>
      </c>
      <c r="T931" t="str">
        <f>IF(COUNTIF(Customers!$A$2:$A$301,C931)=0,"Missing","OK")</f>
        <v>OK</v>
      </c>
      <c r="U931" t="str">
        <f t="shared" si="43"/>
        <v>Delhi</v>
      </c>
      <c r="V931">
        <f t="shared" si="44"/>
        <v>0</v>
      </c>
    </row>
    <row r="932" spans="1:22" ht="15" customHeight="1" x14ac:dyDescent="0.35">
      <c r="A932" s="3" t="s">
        <v>1350</v>
      </c>
      <c r="B932" s="4">
        <v>45554</v>
      </c>
      <c r="C932" s="3" t="s">
        <v>244</v>
      </c>
      <c r="D932" s="3" t="s">
        <v>299</v>
      </c>
      <c r="E932" s="3" t="s">
        <v>140</v>
      </c>
      <c r="F932" s="5">
        <v>3</v>
      </c>
      <c r="G932" s="5">
        <v>5410</v>
      </c>
      <c r="H932" s="5">
        <v>10</v>
      </c>
      <c r="I932" s="5">
        <v>14607</v>
      </c>
      <c r="J932" s="3" t="s">
        <v>26</v>
      </c>
      <c r="K932" s="3" t="s">
        <v>72</v>
      </c>
      <c r="L932" t="str">
        <f>IFERROR(VLOOKUP(D932,Products!$A$2:$F$61,3,FALSE()),"")</f>
        <v>Sports</v>
      </c>
      <c r="M932" t="str">
        <f>IFERROR(VLOOKUP(E932,Sales_Reps!$A$2:$C$31,3,FALSE()),"")</f>
        <v>West</v>
      </c>
      <c r="N932">
        <f>IFERROR(VLOOKUP(D932,Products!$A$2:$F$61,4,FALSE()),"")</f>
        <v>2265</v>
      </c>
      <c r="O932" t="str">
        <f>IFERROR(VLOOKUP(C932,Customers!$A$2:$F$301,5,FALSE()),"")</f>
        <v>Corporate</v>
      </c>
      <c r="P932">
        <f>IFERROR(VLOOKUP(C932,Customers!$A$2:$F$301,3,FALSE()),"")</f>
        <v>46</v>
      </c>
      <c r="Q932">
        <f t="shared" si="42"/>
        <v>0.58133086876155271</v>
      </c>
      <c r="R932">
        <f>IF(AND(COUNTIF($A$2:$A$2047,A932)&gt;1,COUNTIF($A$2:A932,A932)=1),1,0)</f>
        <v>0</v>
      </c>
      <c r="S932" t="b">
        <f>IFERROR(VLOOKUP(D932,Products!$A$2:$F$61,6,FALSE()),"")</f>
        <v>1</v>
      </c>
      <c r="T932" t="str">
        <f>IF(COUNTIF(Customers!$A$2:$A$301,C932)=0,"Missing","OK")</f>
        <v>OK</v>
      </c>
      <c r="U932" t="str">
        <f t="shared" si="43"/>
        <v>Hyderabad</v>
      </c>
      <c r="V932">
        <f t="shared" si="44"/>
        <v>0</v>
      </c>
    </row>
    <row r="933" spans="1:22" ht="15" customHeight="1" x14ac:dyDescent="0.35">
      <c r="A933" s="3" t="s">
        <v>1351</v>
      </c>
      <c r="B933" s="4">
        <v>45428</v>
      </c>
      <c r="C933" s="3" t="s">
        <v>399</v>
      </c>
      <c r="D933" s="3" t="s">
        <v>126</v>
      </c>
      <c r="E933" s="3" t="s">
        <v>25</v>
      </c>
      <c r="F933" s="5">
        <v>8</v>
      </c>
      <c r="G933" s="5">
        <v>3570</v>
      </c>
      <c r="H933" s="5">
        <v>8.5</v>
      </c>
      <c r="I933" s="5">
        <v>26132.400000000001</v>
      </c>
      <c r="J933" s="3" t="s">
        <v>26</v>
      </c>
      <c r="K933" s="3" t="s">
        <v>27</v>
      </c>
      <c r="L933" t="str">
        <f>IFERROR(VLOOKUP(D933,Products!$A$2:$F$61,3,FALSE()),"")</f>
        <v>Electronics</v>
      </c>
      <c r="M933" t="str">
        <f>IFERROR(VLOOKUP(E933,Sales_Reps!$A$2:$C$31,3,FALSE()),"")</f>
        <v>North</v>
      </c>
      <c r="N933">
        <f>IFERROR(VLOOKUP(D933,Products!$A$2:$F$61,4,FALSE()),"")</f>
        <v>1665</v>
      </c>
      <c r="O933" t="str">
        <f>IFERROR(VLOOKUP(C933,Customers!$A$2:$F$301,5,FALSE()),"")</f>
        <v>Corporate</v>
      </c>
      <c r="P933">
        <f>IFERROR(VLOOKUP(C933,Customers!$A$2:$F$301,3,FALSE()),"")</f>
        <v>37</v>
      </c>
      <c r="Q933">
        <f t="shared" si="42"/>
        <v>0.53361344537815125</v>
      </c>
      <c r="R933">
        <f>IF(AND(COUNTIF($A$2:$A$2047,A933)&gt;1,COUNTIF($A$2:A933,A933)=1),1,0)</f>
        <v>0</v>
      </c>
      <c r="S933" t="b">
        <f>IFERROR(VLOOKUP(D933,Products!$A$2:$F$61,6,FALSE()),"")</f>
        <v>1</v>
      </c>
      <c r="T933" t="str">
        <f>IF(COUNTIF(Customers!$A$2:$A$301,C933)=0,"Missing","OK")</f>
        <v>OK</v>
      </c>
      <c r="U933" t="str">
        <f t="shared" si="43"/>
        <v>Pune</v>
      </c>
      <c r="V933">
        <f t="shared" si="44"/>
        <v>0</v>
      </c>
    </row>
    <row r="934" spans="1:22" ht="15" customHeight="1" x14ac:dyDescent="0.35">
      <c r="A934" s="3" t="s">
        <v>1352</v>
      </c>
      <c r="B934" s="4">
        <v>45517</v>
      </c>
      <c r="C934" s="3" t="s">
        <v>167</v>
      </c>
      <c r="D934" s="3" t="s">
        <v>77</v>
      </c>
      <c r="E934" s="3" t="s">
        <v>37</v>
      </c>
      <c r="F934" s="5">
        <v>7</v>
      </c>
      <c r="G934" s="5">
        <v>2600</v>
      </c>
      <c r="H934" s="5">
        <v>27.1</v>
      </c>
      <c r="I934" s="5">
        <v>13267.8</v>
      </c>
      <c r="J934" s="3" t="s">
        <v>26</v>
      </c>
      <c r="K934" s="3" t="s">
        <v>51</v>
      </c>
      <c r="L934" t="str">
        <f>IFERROR(VLOOKUP(D934,Products!$A$2:$F$61,3,FALSE()),"")</f>
        <v>Electronics</v>
      </c>
      <c r="M934" t="str">
        <f>IFERROR(VLOOKUP(E934,Sales_Reps!$A$2:$C$31,3,FALSE()),"")</f>
        <v>South</v>
      </c>
      <c r="N934">
        <f>IFERROR(VLOOKUP(D934,Products!$A$2:$F$61,4,FALSE()),"")</f>
        <v>1052</v>
      </c>
      <c r="O934" t="str">
        <f>IFERROR(VLOOKUP(C934,Customers!$A$2:$F$301,5,FALSE()),"")</f>
        <v>SMB</v>
      </c>
      <c r="P934">
        <f>IFERROR(VLOOKUP(C934,Customers!$A$2:$F$301,3,FALSE()),"")</f>
        <v>54</v>
      </c>
      <c r="Q934">
        <f t="shared" si="42"/>
        <v>0.5953846153846154</v>
      </c>
      <c r="R934">
        <f>IF(AND(COUNTIF($A$2:$A$2047,A934)&gt;1,COUNTIF($A$2:A934,A934)=1),1,0)</f>
        <v>0</v>
      </c>
      <c r="S934" t="b">
        <f>IFERROR(VLOOKUP(D934,Products!$A$2:$F$61,6,FALSE()),"")</f>
        <v>1</v>
      </c>
      <c r="T934" t="str">
        <f>IF(COUNTIF(Customers!$A$2:$A$301,C934)=0,"Missing","OK")</f>
        <v>OK</v>
      </c>
      <c r="U934" t="str">
        <f t="shared" si="43"/>
        <v>Mumbai</v>
      </c>
      <c r="V934">
        <f t="shared" si="44"/>
        <v>0</v>
      </c>
    </row>
    <row r="935" spans="1:22" ht="15" customHeight="1" x14ac:dyDescent="0.35">
      <c r="A935" s="3" t="s">
        <v>1353</v>
      </c>
      <c r="B935" s="4">
        <v>45442</v>
      </c>
      <c r="C935" s="3" t="s">
        <v>205</v>
      </c>
      <c r="D935" s="3" t="s">
        <v>36</v>
      </c>
      <c r="E935" s="3" t="s">
        <v>140</v>
      </c>
      <c r="F935" s="5">
        <v>6</v>
      </c>
      <c r="G935" s="5">
        <v>470</v>
      </c>
      <c r="H935" s="5">
        <v>2.4</v>
      </c>
      <c r="I935" s="5">
        <v>2752.32</v>
      </c>
      <c r="J935" s="3" t="s">
        <v>32</v>
      </c>
      <c r="K935" s="3" t="s">
        <v>38</v>
      </c>
      <c r="L935" t="str">
        <f>IFERROR(VLOOKUP(D935,Products!$A$2:$F$61,3,FALSE()),"")</f>
        <v>Sports</v>
      </c>
      <c r="M935" t="str">
        <f>IFERROR(VLOOKUP(E935,Sales_Reps!$A$2:$C$31,3,FALSE()),"")</f>
        <v>West</v>
      </c>
      <c r="N935">
        <f>IFERROR(VLOOKUP(D935,Products!$A$2:$F$61,4,FALSE()),"")</f>
        <v>302</v>
      </c>
      <c r="O935" t="str">
        <f>IFERROR(VLOOKUP(C935,Customers!$A$2:$F$301,5,FALSE()),"")</f>
        <v>Corporate</v>
      </c>
      <c r="P935">
        <f>IFERROR(VLOOKUP(C935,Customers!$A$2:$F$301,3,FALSE()),"")</f>
        <v>55</v>
      </c>
      <c r="Q935">
        <f t="shared" si="42"/>
        <v>0.35744680851063831</v>
      </c>
      <c r="R935">
        <f>IF(AND(COUNTIF($A$2:$A$2047,A935)&gt;1,COUNTIF($A$2:A935,A935)=1),1,0)</f>
        <v>0</v>
      </c>
      <c r="S935" t="b">
        <f>IFERROR(VLOOKUP(D935,Products!$A$2:$F$61,6,FALSE()),"")</f>
        <v>0</v>
      </c>
      <c r="T935" t="str">
        <f>IF(COUNTIF(Customers!$A$2:$A$301,C935)=0,"Missing","OK")</f>
        <v>OK</v>
      </c>
      <c r="U935" t="str">
        <f t="shared" si="43"/>
        <v>Delhi</v>
      </c>
      <c r="V935">
        <f t="shared" si="44"/>
        <v>0</v>
      </c>
    </row>
    <row r="936" spans="1:22" ht="15" customHeight="1" x14ac:dyDescent="0.35">
      <c r="A936" s="3" t="s">
        <v>1354</v>
      </c>
      <c r="B936" s="4">
        <v>45371</v>
      </c>
      <c r="C936" s="3" t="s">
        <v>698</v>
      </c>
      <c r="D936" s="3" t="s">
        <v>36</v>
      </c>
      <c r="E936" s="3" t="s">
        <v>50</v>
      </c>
      <c r="F936" s="5">
        <v>3</v>
      </c>
      <c r="G936" s="5">
        <v>470</v>
      </c>
      <c r="H936" s="5">
        <v>6.3</v>
      </c>
      <c r="I936" s="5">
        <v>1321.17</v>
      </c>
      <c r="J936" s="3" t="s">
        <v>26</v>
      </c>
      <c r="K936" s="3" t="s">
        <v>56</v>
      </c>
      <c r="L936" t="str">
        <f>IFERROR(VLOOKUP(D936,Products!$A$2:$F$61,3,FALSE()),"")</f>
        <v>Sports</v>
      </c>
      <c r="M936" t="str">
        <f>IFERROR(VLOOKUP(E936,Sales_Reps!$A$2:$C$31,3,FALSE()),"")</f>
        <v>West</v>
      </c>
      <c r="N936">
        <f>IFERROR(VLOOKUP(D936,Products!$A$2:$F$61,4,FALSE()),"")</f>
        <v>302</v>
      </c>
      <c r="O936" t="str">
        <f>IFERROR(VLOOKUP(C936,Customers!$A$2:$F$301,5,FALSE()),"")</f>
        <v>Retail</v>
      </c>
      <c r="P936">
        <f>IFERROR(VLOOKUP(C936,Customers!$A$2:$F$301,3,FALSE()),"")</f>
        <v>29</v>
      </c>
      <c r="Q936">
        <f t="shared" si="42"/>
        <v>0.35744680851063831</v>
      </c>
      <c r="R936">
        <f>IF(AND(COUNTIF($A$2:$A$2047,A936)&gt;1,COUNTIF($A$2:A936,A936)=1),1,0)</f>
        <v>0</v>
      </c>
      <c r="S936" t="b">
        <f>IFERROR(VLOOKUP(D936,Products!$A$2:$F$61,6,FALSE()),"")</f>
        <v>0</v>
      </c>
      <c r="T936" t="str">
        <f>IF(COUNTIF(Customers!$A$2:$A$301,C936)=0,"Missing","OK")</f>
        <v>OK</v>
      </c>
      <c r="U936" t="str">
        <f t="shared" si="43"/>
        <v>Bengaluru</v>
      </c>
      <c r="V936">
        <f t="shared" si="44"/>
        <v>0</v>
      </c>
    </row>
    <row r="937" spans="1:22" ht="15" customHeight="1" x14ac:dyDescent="0.35">
      <c r="A937" s="3" t="s">
        <v>1355</v>
      </c>
      <c r="B937" s="4">
        <v>45540</v>
      </c>
      <c r="C937" s="3" t="s">
        <v>1247</v>
      </c>
      <c r="D937" s="3" t="s">
        <v>400</v>
      </c>
      <c r="E937" s="3" t="s">
        <v>78</v>
      </c>
      <c r="F937" s="5">
        <v>3</v>
      </c>
      <c r="G937" s="5">
        <v>3780</v>
      </c>
      <c r="H937" s="5">
        <v>19.399999999999999</v>
      </c>
      <c r="I937" s="5">
        <v>9140.0400000000009</v>
      </c>
      <c r="J937" s="3" t="s">
        <v>32</v>
      </c>
      <c r="K937" s="3" t="s">
        <v>33</v>
      </c>
      <c r="L937" t="str">
        <f>IFERROR(VLOOKUP(D937,Products!$A$2:$F$61,3,FALSE()),"")</f>
        <v>Sports</v>
      </c>
      <c r="M937" t="str">
        <f>IFERROR(VLOOKUP(E937,Sales_Reps!$A$2:$C$31,3,FALSE()),"")</f>
        <v>North</v>
      </c>
      <c r="N937">
        <f>IFERROR(VLOOKUP(D937,Products!$A$2:$F$61,4,FALSE()),"")</f>
        <v>1860</v>
      </c>
      <c r="O937" t="str">
        <f>IFERROR(VLOOKUP(C937,Customers!$A$2:$F$301,5,FALSE()),"")</f>
        <v>SMB</v>
      </c>
      <c r="P937">
        <f>IFERROR(VLOOKUP(C937,Customers!$A$2:$F$301,3,FALSE()),"")</f>
        <v>51</v>
      </c>
      <c r="Q937">
        <f t="shared" si="42"/>
        <v>0.50793650793650791</v>
      </c>
      <c r="R937">
        <f>IF(AND(COUNTIF($A$2:$A$2047,A937)&gt;1,COUNTIF($A$2:A937,A937)=1),1,0)</f>
        <v>0</v>
      </c>
      <c r="S937" t="b">
        <f>IFERROR(VLOOKUP(D937,Products!$A$2:$F$61,6,FALSE()),"")</f>
        <v>1</v>
      </c>
      <c r="T937" t="str">
        <f>IF(COUNTIF(Customers!$A$2:$A$301,C937)=0,"Missing","OK")</f>
        <v>OK</v>
      </c>
      <c r="U937" t="str">
        <f t="shared" si="43"/>
        <v>Chennai</v>
      </c>
      <c r="V937">
        <f t="shared" si="44"/>
        <v>0</v>
      </c>
    </row>
    <row r="938" spans="1:22" ht="15" customHeight="1" x14ac:dyDescent="0.35">
      <c r="A938" s="3" t="s">
        <v>1356</v>
      </c>
      <c r="B938" s="4">
        <v>45392</v>
      </c>
      <c r="C938" s="3" t="s">
        <v>65</v>
      </c>
      <c r="D938" s="3" t="s">
        <v>454</v>
      </c>
      <c r="E938" s="3" t="s">
        <v>60</v>
      </c>
      <c r="F938" s="5">
        <v>5</v>
      </c>
      <c r="G938" s="5">
        <v>6940</v>
      </c>
      <c r="H938" s="5">
        <v>12.6</v>
      </c>
      <c r="I938" s="5">
        <v>30327.8</v>
      </c>
      <c r="J938" s="3" t="s">
        <v>26</v>
      </c>
      <c r="K938" s="3" t="s">
        <v>27</v>
      </c>
      <c r="L938" t="str">
        <f>IFERROR(VLOOKUP(D938,Products!$A$2:$F$61,3,FALSE()),"")</f>
        <v>Sports</v>
      </c>
      <c r="M938" t="str">
        <f>IFERROR(VLOOKUP(E938,Sales_Reps!$A$2:$C$31,3,FALSE()),"")</f>
        <v>East</v>
      </c>
      <c r="N938">
        <f>IFERROR(VLOOKUP(D938,Products!$A$2:$F$61,4,FALSE()),"")</f>
        <v>2827</v>
      </c>
      <c r="O938" t="str">
        <f>IFERROR(VLOOKUP(C938,Customers!$A$2:$F$301,5,FALSE()),"")</f>
        <v>Retail</v>
      </c>
      <c r="P938">
        <f>IFERROR(VLOOKUP(C938,Customers!$A$2:$F$301,3,FALSE()),"")</f>
        <v>56</v>
      </c>
      <c r="Q938">
        <f t="shared" si="42"/>
        <v>0.5926512968299712</v>
      </c>
      <c r="R938">
        <f>IF(AND(COUNTIF($A$2:$A$2047,A938)&gt;1,COUNTIF($A$2:A938,A938)=1),1,0)</f>
        <v>0</v>
      </c>
      <c r="S938" t="b">
        <f>IFERROR(VLOOKUP(D938,Products!$A$2:$F$61,6,FALSE()),"")</f>
        <v>1</v>
      </c>
      <c r="T938" t="str">
        <f>IF(COUNTIF(Customers!$A$2:$A$301,C938)=0,"Missing","OK")</f>
        <v>OK</v>
      </c>
      <c r="U938" t="str">
        <f t="shared" si="43"/>
        <v>Pune</v>
      </c>
      <c r="V938">
        <f t="shared" si="44"/>
        <v>0</v>
      </c>
    </row>
    <row r="939" spans="1:22" ht="15" customHeight="1" x14ac:dyDescent="0.35">
      <c r="A939" s="3" t="s">
        <v>1357</v>
      </c>
      <c r="B939" s="4">
        <v>45386</v>
      </c>
      <c r="C939" s="3" t="s">
        <v>352</v>
      </c>
      <c r="D939" s="3" t="s">
        <v>187</v>
      </c>
      <c r="E939" s="3" t="s">
        <v>109</v>
      </c>
      <c r="F939" s="5">
        <v>2</v>
      </c>
      <c r="G939" s="5">
        <v>3870</v>
      </c>
      <c r="H939" s="5">
        <v>10.5</v>
      </c>
      <c r="I939" s="5">
        <v>6927.3</v>
      </c>
      <c r="J939" s="3" t="s">
        <v>26</v>
      </c>
      <c r="K939" s="3" t="s">
        <v>27</v>
      </c>
      <c r="L939" t="str">
        <f>IFERROR(VLOOKUP(D939,Products!$A$2:$F$61,3,FALSE()),"")</f>
        <v>Electronics</v>
      </c>
      <c r="M939" t="str">
        <f>IFERROR(VLOOKUP(E939,Sales_Reps!$A$2:$C$31,3,FALSE()),"")</f>
        <v>West</v>
      </c>
      <c r="N939">
        <f>IFERROR(VLOOKUP(D939,Products!$A$2:$F$61,4,FALSE()),"")</f>
        <v>1559</v>
      </c>
      <c r="O939" t="str">
        <f>IFERROR(VLOOKUP(C939,Customers!$A$2:$F$301,5,FALSE()),"")</f>
        <v>Retail</v>
      </c>
      <c r="P939">
        <f>IFERROR(VLOOKUP(C939,Customers!$A$2:$F$301,3,FALSE()),"")</f>
        <v>22</v>
      </c>
      <c r="Q939">
        <f t="shared" si="42"/>
        <v>0.59715762273901807</v>
      </c>
      <c r="R939">
        <f>IF(AND(COUNTIF($A$2:$A$2047,A939)&gt;1,COUNTIF($A$2:A939,A939)=1),1,0)</f>
        <v>0</v>
      </c>
      <c r="S939" t="b">
        <f>IFERROR(VLOOKUP(D939,Products!$A$2:$F$61,6,FALSE()),"")</f>
        <v>1</v>
      </c>
      <c r="T939" t="str">
        <f>IF(COUNTIF(Customers!$A$2:$A$301,C939)=0,"Missing","OK")</f>
        <v>OK</v>
      </c>
      <c r="U939" t="str">
        <f t="shared" si="43"/>
        <v>Pune</v>
      </c>
      <c r="V939">
        <f t="shared" si="44"/>
        <v>0</v>
      </c>
    </row>
    <row r="940" spans="1:22" ht="15" customHeight="1" x14ac:dyDescent="0.35">
      <c r="A940" s="3" t="s">
        <v>1358</v>
      </c>
      <c r="B940" s="4">
        <v>45516</v>
      </c>
      <c r="C940" s="3" t="s">
        <v>780</v>
      </c>
      <c r="D940" s="3" t="s">
        <v>299</v>
      </c>
      <c r="E940" s="3" t="s">
        <v>37</v>
      </c>
      <c r="F940" s="5">
        <v>8</v>
      </c>
      <c r="G940" s="5">
        <v>5410</v>
      </c>
      <c r="H940" s="5">
        <v>28.4</v>
      </c>
      <c r="I940" s="5">
        <v>30988.48</v>
      </c>
      <c r="J940" s="3" t="s">
        <v>32</v>
      </c>
      <c r="K940" s="3" t="s">
        <v>56</v>
      </c>
      <c r="L940" t="str">
        <f>IFERROR(VLOOKUP(D940,Products!$A$2:$F$61,3,FALSE()),"")</f>
        <v>Sports</v>
      </c>
      <c r="M940" t="str">
        <f>IFERROR(VLOOKUP(E940,Sales_Reps!$A$2:$C$31,3,FALSE()),"")</f>
        <v>South</v>
      </c>
      <c r="N940">
        <f>IFERROR(VLOOKUP(D940,Products!$A$2:$F$61,4,FALSE()),"")</f>
        <v>2265</v>
      </c>
      <c r="O940" t="str">
        <f>IFERROR(VLOOKUP(C940,Customers!$A$2:$F$301,5,FALSE()),"")</f>
        <v>Corporate</v>
      </c>
      <c r="P940">
        <f>IFERROR(VLOOKUP(C940,Customers!$A$2:$F$301,3,FALSE()),"")</f>
        <v>41</v>
      </c>
      <c r="Q940">
        <f t="shared" si="42"/>
        <v>0.58133086876155271</v>
      </c>
      <c r="R940">
        <f>IF(AND(COUNTIF($A$2:$A$2047,A940)&gt;1,COUNTIF($A$2:A940,A940)=1),1,0)</f>
        <v>0</v>
      </c>
      <c r="S940" t="b">
        <f>IFERROR(VLOOKUP(D940,Products!$A$2:$F$61,6,FALSE()),"")</f>
        <v>1</v>
      </c>
      <c r="T940" t="str">
        <f>IF(COUNTIF(Customers!$A$2:$A$301,C940)=0,"Missing","OK")</f>
        <v>OK</v>
      </c>
      <c r="U940" t="str">
        <f t="shared" si="43"/>
        <v>Bengaluru</v>
      </c>
      <c r="V940">
        <f t="shared" si="44"/>
        <v>0</v>
      </c>
    </row>
    <row r="941" spans="1:22" ht="15" customHeight="1" x14ac:dyDescent="0.35">
      <c r="A941" s="3" t="s">
        <v>1359</v>
      </c>
      <c r="B941" s="4">
        <v>45618</v>
      </c>
      <c r="C941" s="3" t="s">
        <v>136</v>
      </c>
      <c r="D941" s="3" t="s">
        <v>347</v>
      </c>
      <c r="E941" s="3" t="s">
        <v>109</v>
      </c>
      <c r="F941" s="5">
        <v>7</v>
      </c>
      <c r="G941" s="5">
        <v>3970</v>
      </c>
      <c r="H941" s="5">
        <v>12.3</v>
      </c>
      <c r="I941" s="5">
        <v>24371.83</v>
      </c>
      <c r="J941" s="3" t="s">
        <v>26</v>
      </c>
      <c r="K941" s="3" t="s">
        <v>27</v>
      </c>
      <c r="L941" t="str">
        <f>IFERROR(VLOOKUP(D941,Products!$A$2:$F$61,3,FALSE()),"")</f>
        <v>Electronics</v>
      </c>
      <c r="M941" t="str">
        <f>IFERROR(VLOOKUP(E941,Sales_Reps!$A$2:$C$31,3,FALSE()),"")</f>
        <v>West</v>
      </c>
      <c r="N941">
        <f>IFERROR(VLOOKUP(D941,Products!$A$2:$F$61,4,FALSE()),"")</f>
        <v>2865</v>
      </c>
      <c r="O941" t="str">
        <f>IFERROR(VLOOKUP(C941,Customers!$A$2:$F$301,5,FALSE()),"")</f>
        <v>Corporate</v>
      </c>
      <c r="P941">
        <f>IFERROR(VLOOKUP(C941,Customers!$A$2:$F$301,3,FALSE()),"")</f>
        <v>47</v>
      </c>
      <c r="Q941">
        <f t="shared" si="42"/>
        <v>0.27833753148614609</v>
      </c>
      <c r="R941">
        <f>IF(AND(COUNTIF($A$2:$A$2047,A941)&gt;1,COUNTIF($A$2:A941,A941)=1),1,0)</f>
        <v>0</v>
      </c>
      <c r="S941" t="b">
        <f>IFERROR(VLOOKUP(D941,Products!$A$2:$F$61,6,FALSE()),"")</f>
        <v>1</v>
      </c>
      <c r="T941" t="str">
        <f>IF(COUNTIF(Customers!$A$2:$A$301,C941)=0,"Missing","OK")</f>
        <v>OK</v>
      </c>
      <c r="U941" t="str">
        <f t="shared" si="43"/>
        <v>Pune</v>
      </c>
      <c r="V941">
        <f t="shared" si="44"/>
        <v>0</v>
      </c>
    </row>
    <row r="942" spans="1:22" ht="15" customHeight="1" x14ac:dyDescent="0.35">
      <c r="A942" s="3" t="s">
        <v>1360</v>
      </c>
      <c r="B942" s="4">
        <v>45610</v>
      </c>
      <c r="C942" s="3" t="s">
        <v>554</v>
      </c>
      <c r="D942" s="3" t="s">
        <v>454</v>
      </c>
      <c r="E942" s="3" t="s">
        <v>154</v>
      </c>
      <c r="F942" s="5">
        <v>5</v>
      </c>
      <c r="G942" s="5">
        <v>6940</v>
      </c>
      <c r="H942" s="5">
        <v>1.5</v>
      </c>
      <c r="I942" s="5">
        <v>34179.5</v>
      </c>
      <c r="J942" s="3" t="s">
        <v>26</v>
      </c>
      <c r="K942" s="3" t="s">
        <v>51</v>
      </c>
      <c r="L942" t="str">
        <f>IFERROR(VLOOKUP(D942,Products!$A$2:$F$61,3,FALSE()),"")</f>
        <v>Sports</v>
      </c>
      <c r="M942" t="str">
        <f>IFERROR(VLOOKUP(E942,Sales_Reps!$A$2:$C$31,3,FALSE()),"")</f>
        <v>North</v>
      </c>
      <c r="N942">
        <f>IFERROR(VLOOKUP(D942,Products!$A$2:$F$61,4,FALSE()),"")</f>
        <v>2827</v>
      </c>
      <c r="O942" t="str">
        <f>IFERROR(VLOOKUP(C942,Customers!$A$2:$F$301,5,FALSE()),"")</f>
        <v>Retail</v>
      </c>
      <c r="P942">
        <f>IFERROR(VLOOKUP(C942,Customers!$A$2:$F$301,3,FALSE()),"")</f>
        <v>53</v>
      </c>
      <c r="Q942">
        <f t="shared" si="42"/>
        <v>0.5926512968299712</v>
      </c>
      <c r="R942">
        <f>IF(AND(COUNTIF($A$2:$A$2047,A942)&gt;1,COUNTIF($A$2:A942,A942)=1),1,0)</f>
        <v>0</v>
      </c>
      <c r="S942" t="b">
        <f>IFERROR(VLOOKUP(D942,Products!$A$2:$F$61,6,FALSE()),"")</f>
        <v>1</v>
      </c>
      <c r="T942" t="str">
        <f>IF(COUNTIF(Customers!$A$2:$A$301,C942)=0,"Missing","OK")</f>
        <v>OK</v>
      </c>
      <c r="U942" t="str">
        <f t="shared" si="43"/>
        <v>Mumbai</v>
      </c>
      <c r="V942">
        <f t="shared" si="44"/>
        <v>0</v>
      </c>
    </row>
    <row r="943" spans="1:22" ht="15" customHeight="1" x14ac:dyDescent="0.35">
      <c r="A943" s="3" t="s">
        <v>1361</v>
      </c>
      <c r="B943" s="4">
        <v>45541</v>
      </c>
      <c r="C943" s="3" t="s">
        <v>977</v>
      </c>
      <c r="D943" s="3" t="s">
        <v>45</v>
      </c>
      <c r="E943" s="3" t="s">
        <v>42</v>
      </c>
      <c r="F943" s="5">
        <v>7</v>
      </c>
      <c r="G943" s="5">
        <v>3160</v>
      </c>
      <c r="H943" s="5">
        <v>2.4</v>
      </c>
      <c r="I943" s="5">
        <v>21589.119999999999</v>
      </c>
      <c r="J943" s="3" t="s">
        <v>83</v>
      </c>
      <c r="K943" s="3" t="s">
        <v>56</v>
      </c>
      <c r="L943" t="str">
        <f>IFERROR(VLOOKUP(D943,Products!$A$2:$F$61,3,FALSE()),"")</f>
        <v>Apparel</v>
      </c>
      <c r="M943" t="str">
        <f>IFERROR(VLOOKUP(E943,Sales_Reps!$A$2:$C$31,3,FALSE()),"")</f>
        <v>North</v>
      </c>
      <c r="N943">
        <f>IFERROR(VLOOKUP(D943,Products!$A$2:$F$61,4,FALSE()),"")</f>
        <v>1886</v>
      </c>
      <c r="O943" t="str">
        <f>IFERROR(VLOOKUP(C943,Customers!$A$2:$F$301,5,FALSE()),"")</f>
        <v>Corporate</v>
      </c>
      <c r="P943">
        <f>IFERROR(VLOOKUP(C943,Customers!$A$2:$F$301,3,FALSE()),"")</f>
        <v>55</v>
      </c>
      <c r="Q943">
        <f t="shared" si="42"/>
        <v>0.4031645569620253</v>
      </c>
      <c r="R943">
        <f>IF(AND(COUNTIF($A$2:$A$2047,A943)&gt;1,COUNTIF($A$2:A943,A943)=1),1,0)</f>
        <v>0</v>
      </c>
      <c r="S943" t="b">
        <f>IFERROR(VLOOKUP(D943,Products!$A$2:$F$61,6,FALSE()),"")</f>
        <v>1</v>
      </c>
      <c r="T943" t="str">
        <f>IF(COUNTIF(Customers!$A$2:$A$301,C943)=0,"Missing","OK")</f>
        <v>OK</v>
      </c>
      <c r="U943" t="str">
        <f t="shared" si="43"/>
        <v>Bengaluru</v>
      </c>
      <c r="V943">
        <f t="shared" si="44"/>
        <v>0</v>
      </c>
    </row>
    <row r="944" spans="1:22" ht="15" customHeight="1" x14ac:dyDescent="0.35">
      <c r="A944" s="3" t="s">
        <v>1362</v>
      </c>
      <c r="B944" s="4">
        <v>45497</v>
      </c>
      <c r="C944" s="3" t="s">
        <v>696</v>
      </c>
      <c r="D944" s="3" t="s">
        <v>30</v>
      </c>
      <c r="E944" s="3" t="s">
        <v>55</v>
      </c>
      <c r="F944" s="5">
        <v>2</v>
      </c>
      <c r="G944" s="5">
        <v>820</v>
      </c>
      <c r="H944" s="5">
        <v>8.1</v>
      </c>
      <c r="I944" s="5">
        <v>1507.16</v>
      </c>
      <c r="J944" s="3" t="s">
        <v>26</v>
      </c>
      <c r="K944" s="3" t="s">
        <v>56</v>
      </c>
      <c r="L944" t="str">
        <f>IFERROR(VLOOKUP(D944,Products!$A$2:$F$61,3,FALSE()),"")</f>
        <v>Apparel</v>
      </c>
      <c r="M944" t="str">
        <f>IFERROR(VLOOKUP(E944,Sales_Reps!$A$2:$C$31,3,FALSE()),"")</f>
        <v>West</v>
      </c>
      <c r="N944">
        <f>IFERROR(VLOOKUP(D944,Products!$A$2:$F$61,4,FALSE()),"")</f>
        <v>391</v>
      </c>
      <c r="O944" t="str">
        <f>IFERROR(VLOOKUP(C944,Customers!$A$2:$F$301,5,FALSE()),"")</f>
        <v>Corporate</v>
      </c>
      <c r="P944">
        <f>IFERROR(VLOOKUP(C944,Customers!$A$2:$F$301,3,FALSE()),"")</f>
        <v>43</v>
      </c>
      <c r="Q944">
        <f t="shared" si="42"/>
        <v>0.52317073170731709</v>
      </c>
      <c r="R944">
        <f>IF(AND(COUNTIF($A$2:$A$2047,A944)&gt;1,COUNTIF($A$2:A944,A944)=1),1,0)</f>
        <v>0</v>
      </c>
      <c r="S944" t="b">
        <f>IFERROR(VLOOKUP(D944,Products!$A$2:$F$61,6,FALSE()),"")</f>
        <v>1</v>
      </c>
      <c r="T944" t="str">
        <f>IF(COUNTIF(Customers!$A$2:$A$301,C944)=0,"Missing","OK")</f>
        <v>OK</v>
      </c>
      <c r="U944" t="str">
        <f t="shared" si="43"/>
        <v>Bengaluru</v>
      </c>
      <c r="V944">
        <f t="shared" si="44"/>
        <v>0</v>
      </c>
    </row>
    <row r="945" spans="1:22" ht="15" customHeight="1" x14ac:dyDescent="0.35">
      <c r="A945" s="3" t="s">
        <v>1363</v>
      </c>
      <c r="B945" s="4">
        <v>45567</v>
      </c>
      <c r="C945" s="3" t="s">
        <v>189</v>
      </c>
      <c r="D945" s="3" t="s">
        <v>198</v>
      </c>
      <c r="E945" s="3" t="s">
        <v>109</v>
      </c>
      <c r="F945" s="5">
        <v>2</v>
      </c>
      <c r="G945" s="5">
        <v>1540</v>
      </c>
      <c r="H945" s="5">
        <v>17.7</v>
      </c>
      <c r="I945" s="5">
        <v>2534.84</v>
      </c>
      <c r="J945" s="3" t="s">
        <v>26</v>
      </c>
      <c r="K945" s="3" t="s">
        <v>56</v>
      </c>
      <c r="L945" t="str">
        <f>IFERROR(VLOOKUP(D945,Products!$A$2:$F$61,3,FALSE()),"")</f>
        <v>Beauty</v>
      </c>
      <c r="M945" t="str">
        <f>IFERROR(VLOOKUP(E945,Sales_Reps!$A$2:$C$31,3,FALSE()),"")</f>
        <v>West</v>
      </c>
      <c r="N945">
        <f>IFERROR(VLOOKUP(D945,Products!$A$2:$F$61,4,FALSE()),"")</f>
        <v>647</v>
      </c>
      <c r="O945" t="str">
        <f>IFERROR(VLOOKUP(C945,Customers!$A$2:$F$301,5,FALSE()),"")</f>
        <v>SMB</v>
      </c>
      <c r="P945">
        <f>IFERROR(VLOOKUP(C945,Customers!$A$2:$F$301,3,FALSE()),"")</f>
        <v>34</v>
      </c>
      <c r="Q945">
        <f t="shared" si="42"/>
        <v>0.57987012987012987</v>
      </c>
      <c r="R945">
        <f>IF(AND(COUNTIF($A$2:$A$2047,A945)&gt;1,COUNTIF($A$2:A945,A945)=1),1,0)</f>
        <v>0</v>
      </c>
      <c r="S945" t="b">
        <f>IFERROR(VLOOKUP(D945,Products!$A$2:$F$61,6,FALSE()),"")</f>
        <v>0</v>
      </c>
      <c r="T945" t="str">
        <f>IF(COUNTIF(Customers!$A$2:$A$301,C945)=0,"Missing","OK")</f>
        <v>OK</v>
      </c>
      <c r="U945" t="str">
        <f t="shared" si="43"/>
        <v>Bengaluru</v>
      </c>
      <c r="V945">
        <f t="shared" si="44"/>
        <v>0</v>
      </c>
    </row>
    <row r="946" spans="1:22" ht="15" customHeight="1" x14ac:dyDescent="0.35">
      <c r="A946" s="3" t="s">
        <v>1364</v>
      </c>
      <c r="B946" s="4">
        <v>45451</v>
      </c>
      <c r="C946" s="3" t="s">
        <v>698</v>
      </c>
      <c r="D946" s="3" t="s">
        <v>187</v>
      </c>
      <c r="E946" s="3" t="s">
        <v>154</v>
      </c>
      <c r="F946" s="5">
        <v>10</v>
      </c>
      <c r="G946" s="5">
        <v>3870</v>
      </c>
      <c r="H946" s="5">
        <v>12.2</v>
      </c>
      <c r="I946" s="5">
        <v>33978.6</v>
      </c>
      <c r="J946" s="3" t="s">
        <v>83</v>
      </c>
      <c r="K946" s="3" t="s">
        <v>56</v>
      </c>
      <c r="L946" t="str">
        <f>IFERROR(VLOOKUP(D946,Products!$A$2:$F$61,3,FALSE()),"")</f>
        <v>Electronics</v>
      </c>
      <c r="M946" t="str">
        <f>IFERROR(VLOOKUP(E946,Sales_Reps!$A$2:$C$31,3,FALSE()),"")</f>
        <v>North</v>
      </c>
      <c r="N946">
        <f>IFERROR(VLOOKUP(D946,Products!$A$2:$F$61,4,FALSE()),"")</f>
        <v>1559</v>
      </c>
      <c r="O946" t="str">
        <f>IFERROR(VLOOKUP(C946,Customers!$A$2:$F$301,5,FALSE()),"")</f>
        <v>Retail</v>
      </c>
      <c r="P946">
        <f>IFERROR(VLOOKUP(C946,Customers!$A$2:$F$301,3,FALSE()),"")</f>
        <v>29</v>
      </c>
      <c r="Q946">
        <f t="shared" si="42"/>
        <v>0.59715762273901807</v>
      </c>
      <c r="R946">
        <f>IF(AND(COUNTIF($A$2:$A$2047,A946)&gt;1,COUNTIF($A$2:A946,A946)=1),1,0)</f>
        <v>0</v>
      </c>
      <c r="S946" t="b">
        <f>IFERROR(VLOOKUP(D946,Products!$A$2:$F$61,6,FALSE()),"")</f>
        <v>1</v>
      </c>
      <c r="T946" t="str">
        <f>IF(COUNTIF(Customers!$A$2:$A$301,C946)=0,"Missing","OK")</f>
        <v>OK</v>
      </c>
      <c r="U946" t="str">
        <f t="shared" si="43"/>
        <v>Bengaluru</v>
      </c>
      <c r="V946">
        <f t="shared" si="44"/>
        <v>0</v>
      </c>
    </row>
    <row r="947" spans="1:22" ht="15" customHeight="1" x14ac:dyDescent="0.35">
      <c r="A947" s="3" t="s">
        <v>1365</v>
      </c>
      <c r="B947" s="4">
        <v>45488</v>
      </c>
      <c r="C947" s="3" t="s">
        <v>331</v>
      </c>
      <c r="D947" s="3" t="s">
        <v>218</v>
      </c>
      <c r="E947" s="3" t="s">
        <v>236</v>
      </c>
      <c r="F947" s="5">
        <v>7</v>
      </c>
      <c r="G947" s="5">
        <v>2660</v>
      </c>
      <c r="H947" s="5">
        <v>4.7</v>
      </c>
      <c r="I947" s="5">
        <v>17744.86</v>
      </c>
      <c r="J947" s="3" t="s">
        <v>26</v>
      </c>
      <c r="K947" s="3" t="s">
        <v>51</v>
      </c>
      <c r="L947" t="str">
        <f>IFERROR(VLOOKUP(D947,Products!$A$2:$F$61,3,FALSE()),"")</f>
        <v>Electronics</v>
      </c>
      <c r="M947" t="str">
        <f>IFERROR(VLOOKUP(E947,Sales_Reps!$A$2:$C$31,3,FALSE()),"")</f>
        <v>North</v>
      </c>
      <c r="N947">
        <f>IFERROR(VLOOKUP(D947,Products!$A$2:$F$61,4,FALSE()),"")</f>
        <v>1259</v>
      </c>
      <c r="O947" t="str">
        <f>IFERROR(VLOOKUP(C947,Customers!$A$2:$F$301,5,FALSE()),"")</f>
        <v>Retail</v>
      </c>
      <c r="P947">
        <f>IFERROR(VLOOKUP(C947,Customers!$A$2:$F$301,3,FALSE()),"")</f>
        <v>50</v>
      </c>
      <c r="Q947">
        <f t="shared" si="42"/>
        <v>0.52669172932330832</v>
      </c>
      <c r="R947">
        <f>IF(AND(COUNTIF($A$2:$A$2047,A947)&gt;1,COUNTIF($A$2:A947,A947)=1),1,0)</f>
        <v>0</v>
      </c>
      <c r="S947" t="b">
        <f>IFERROR(VLOOKUP(D947,Products!$A$2:$F$61,6,FALSE()),"")</f>
        <v>0</v>
      </c>
      <c r="T947" t="str">
        <f>IF(COUNTIF(Customers!$A$2:$A$301,C947)=0,"Missing","OK")</f>
        <v>OK</v>
      </c>
      <c r="U947" t="str">
        <f t="shared" si="43"/>
        <v>Mumbai</v>
      </c>
      <c r="V947">
        <f t="shared" si="44"/>
        <v>0</v>
      </c>
    </row>
    <row r="948" spans="1:22" ht="15" customHeight="1" x14ac:dyDescent="0.35">
      <c r="A948" s="3" t="s">
        <v>1366</v>
      </c>
      <c r="B948" s="4">
        <v>45431</v>
      </c>
      <c r="C948" s="3" t="s">
        <v>340</v>
      </c>
      <c r="D948" s="3" t="s">
        <v>126</v>
      </c>
      <c r="E948" s="3" t="s">
        <v>143</v>
      </c>
      <c r="F948" s="5">
        <v>4</v>
      </c>
      <c r="G948" s="5">
        <v>3570</v>
      </c>
      <c r="H948" s="5">
        <v>19.3</v>
      </c>
      <c r="I948" s="5">
        <v>11523.96</v>
      </c>
      <c r="J948" s="3" t="s">
        <v>26</v>
      </c>
      <c r="K948" s="3" t="s">
        <v>33</v>
      </c>
      <c r="L948" t="str">
        <f>IFERROR(VLOOKUP(D948,Products!$A$2:$F$61,3,FALSE()),"")</f>
        <v>Electronics</v>
      </c>
      <c r="M948" t="str">
        <f>IFERROR(VLOOKUP(E948,Sales_Reps!$A$2:$C$31,3,FALSE()),"")</f>
        <v>South</v>
      </c>
      <c r="N948">
        <f>IFERROR(VLOOKUP(D948,Products!$A$2:$F$61,4,FALSE()),"")</f>
        <v>1665</v>
      </c>
      <c r="O948" t="str">
        <f>IFERROR(VLOOKUP(C948,Customers!$A$2:$F$301,5,FALSE()),"")</f>
        <v>SMB</v>
      </c>
      <c r="P948">
        <f>IFERROR(VLOOKUP(C948,Customers!$A$2:$F$301,3,FALSE()),"")</f>
        <v>51</v>
      </c>
      <c r="Q948">
        <f t="shared" si="42"/>
        <v>0.53361344537815125</v>
      </c>
      <c r="R948">
        <f>IF(AND(COUNTIF($A$2:$A$2047,A948)&gt;1,COUNTIF($A$2:A948,A948)=1),1,0)</f>
        <v>1</v>
      </c>
      <c r="S948" t="b">
        <f>IFERROR(VLOOKUP(D948,Products!$A$2:$F$61,6,FALSE()),"")</f>
        <v>1</v>
      </c>
      <c r="T948" t="str">
        <f>IF(COUNTIF(Customers!$A$2:$A$301,C948)=0,"Missing","OK")</f>
        <v>OK</v>
      </c>
      <c r="U948" t="str">
        <f t="shared" si="43"/>
        <v>Chennai</v>
      </c>
      <c r="V948">
        <f t="shared" si="44"/>
        <v>0</v>
      </c>
    </row>
    <row r="949" spans="1:22" ht="15" customHeight="1" x14ac:dyDescent="0.35">
      <c r="A949" s="3" t="s">
        <v>1367</v>
      </c>
      <c r="B949" s="4">
        <v>45393</v>
      </c>
      <c r="C949" s="3" t="s">
        <v>125</v>
      </c>
      <c r="D949" s="3" t="s">
        <v>234</v>
      </c>
      <c r="E949" s="3" t="s">
        <v>236</v>
      </c>
      <c r="F949" s="5">
        <v>2</v>
      </c>
      <c r="G949" s="5">
        <v>2030</v>
      </c>
      <c r="H949" s="5">
        <v>2.6</v>
      </c>
      <c r="I949" s="5">
        <v>3954.44</v>
      </c>
      <c r="J949" s="3" t="s">
        <v>26</v>
      </c>
      <c r="K949" s="3" t="s">
        <v>33</v>
      </c>
      <c r="L949" t="str">
        <f>IFERROR(VLOOKUP(D949,Products!$A$2:$F$61,3,FALSE()),"")</f>
        <v>Home</v>
      </c>
      <c r="M949" t="str">
        <f>IFERROR(VLOOKUP(E949,Sales_Reps!$A$2:$C$31,3,FALSE()),"")</f>
        <v>North</v>
      </c>
      <c r="N949">
        <f>IFERROR(VLOOKUP(D949,Products!$A$2:$F$61,4,FALSE()),"")</f>
        <v>1143</v>
      </c>
      <c r="O949" t="str">
        <f>IFERROR(VLOOKUP(C949,Customers!$A$2:$F$301,5,FALSE()),"")</f>
        <v>SMB</v>
      </c>
      <c r="P949">
        <f>IFERROR(VLOOKUP(C949,Customers!$A$2:$F$301,3,FALSE()),"")</f>
        <v>52</v>
      </c>
      <c r="Q949">
        <f t="shared" si="42"/>
        <v>0.43694581280788175</v>
      </c>
      <c r="R949">
        <f>IF(AND(COUNTIF($A$2:$A$2047,A949)&gt;1,COUNTIF($A$2:A949,A949)=1),1,0)</f>
        <v>0</v>
      </c>
      <c r="S949" t="b">
        <f>IFERROR(VLOOKUP(D949,Products!$A$2:$F$61,6,FALSE()),"")</f>
        <v>1</v>
      </c>
      <c r="T949" t="str">
        <f>IF(COUNTIF(Customers!$A$2:$A$301,C949)=0,"Missing","OK")</f>
        <v>OK</v>
      </c>
      <c r="U949" t="str">
        <f t="shared" si="43"/>
        <v>Chennai</v>
      </c>
      <c r="V949">
        <f t="shared" si="44"/>
        <v>0</v>
      </c>
    </row>
    <row r="950" spans="1:22" ht="15" customHeight="1" x14ac:dyDescent="0.35">
      <c r="A950" s="3" t="s">
        <v>1368</v>
      </c>
      <c r="B950" s="4">
        <v>45427</v>
      </c>
      <c r="C950" s="3" t="s">
        <v>393</v>
      </c>
      <c r="D950" s="3" t="s">
        <v>45</v>
      </c>
      <c r="E950" s="3" t="s">
        <v>191</v>
      </c>
      <c r="F950" s="5">
        <v>6</v>
      </c>
      <c r="G950" s="5">
        <v>3160</v>
      </c>
      <c r="H950" s="5">
        <v>25.8</v>
      </c>
      <c r="I950" s="5">
        <v>14068.32</v>
      </c>
      <c r="J950" s="3" t="s">
        <v>26</v>
      </c>
      <c r="K950" s="3" t="s">
        <v>72</v>
      </c>
      <c r="L950" t="str">
        <f>IFERROR(VLOOKUP(D950,Products!$A$2:$F$61,3,FALSE()),"")</f>
        <v>Apparel</v>
      </c>
      <c r="M950" t="str">
        <f>IFERROR(VLOOKUP(E950,Sales_Reps!$A$2:$C$31,3,FALSE()),"")</f>
        <v>South</v>
      </c>
      <c r="N950">
        <f>IFERROR(VLOOKUP(D950,Products!$A$2:$F$61,4,FALSE()),"")</f>
        <v>1886</v>
      </c>
      <c r="O950" t="str">
        <f>IFERROR(VLOOKUP(C950,Customers!$A$2:$F$301,5,FALSE()),"")</f>
        <v>Corporate</v>
      </c>
      <c r="P950">
        <f>IFERROR(VLOOKUP(C950,Customers!$A$2:$F$301,3,FALSE()),"")</f>
        <v>43</v>
      </c>
      <c r="Q950">
        <f t="shared" si="42"/>
        <v>0.4031645569620253</v>
      </c>
      <c r="R950">
        <f>IF(AND(COUNTIF($A$2:$A$2047,A950)&gt;1,COUNTIF($A$2:A950,A950)=1),1,0)</f>
        <v>0</v>
      </c>
      <c r="S950" t="b">
        <f>IFERROR(VLOOKUP(D950,Products!$A$2:$F$61,6,FALSE()),"")</f>
        <v>1</v>
      </c>
      <c r="T950" t="str">
        <f>IF(COUNTIF(Customers!$A$2:$A$301,C950)=0,"Missing","OK")</f>
        <v>OK</v>
      </c>
      <c r="U950" t="str">
        <f t="shared" si="43"/>
        <v>Hyderabad</v>
      </c>
      <c r="V950">
        <f t="shared" si="44"/>
        <v>0</v>
      </c>
    </row>
    <row r="951" spans="1:22" ht="15" customHeight="1" x14ac:dyDescent="0.35">
      <c r="A951" s="3" t="s">
        <v>1369</v>
      </c>
      <c r="B951" s="4">
        <v>45591</v>
      </c>
      <c r="C951" s="3" t="s">
        <v>461</v>
      </c>
      <c r="D951" s="3" t="s">
        <v>382</v>
      </c>
      <c r="E951" s="3" t="s">
        <v>37</v>
      </c>
      <c r="F951" s="5">
        <v>4</v>
      </c>
      <c r="G951" s="5">
        <v>5080</v>
      </c>
      <c r="H951" s="5">
        <v>2</v>
      </c>
      <c r="I951" s="5">
        <v>19913.599999999999</v>
      </c>
      <c r="J951" s="3" t="s">
        <v>26</v>
      </c>
      <c r="K951" s="3" t="s">
        <v>1370</v>
      </c>
      <c r="L951" t="str">
        <f>IFERROR(VLOOKUP(D951,Products!$A$2:$F$61,3,FALSE()),"")</f>
        <v>Home</v>
      </c>
      <c r="M951" t="str">
        <f>IFERROR(VLOOKUP(E951,Sales_Reps!$A$2:$C$31,3,FALSE()),"")</f>
        <v>South</v>
      </c>
      <c r="N951">
        <f>IFERROR(VLOOKUP(D951,Products!$A$2:$F$61,4,FALSE()),"")</f>
        <v>2459</v>
      </c>
      <c r="O951" t="str">
        <f>IFERROR(VLOOKUP(C951,Customers!$A$2:$F$301,5,FALSE()),"")</f>
        <v>SMB</v>
      </c>
      <c r="P951">
        <f>IFERROR(VLOOKUP(C951,Customers!$A$2:$F$301,3,FALSE()),"")</f>
        <v>55</v>
      </c>
      <c r="Q951">
        <f t="shared" si="42"/>
        <v>0.51594488188976373</v>
      </c>
      <c r="R951">
        <f>IF(AND(COUNTIF($A$2:$A$2047,A951)&gt;1,COUNTIF($A$2:A951,A951)=1),1,0)</f>
        <v>0</v>
      </c>
      <c r="S951" t="b">
        <f>IFERROR(VLOOKUP(D951,Products!$A$2:$F$61,6,FALSE()),"")</f>
        <v>1</v>
      </c>
      <c r="T951" t="str">
        <f>IF(COUNTIF(Customers!$A$2:$A$301,C951)=0,"Missing","OK")</f>
        <v>OK</v>
      </c>
      <c r="U951" t="str">
        <f t="shared" si="43"/>
        <v>Delhi</v>
      </c>
      <c r="V951">
        <f t="shared" si="44"/>
        <v>0</v>
      </c>
    </row>
    <row r="952" spans="1:22" ht="15" customHeight="1" x14ac:dyDescent="0.35">
      <c r="A952" s="3" t="s">
        <v>1371</v>
      </c>
      <c r="B952" s="4">
        <v>45327</v>
      </c>
      <c r="C952" s="3" t="s">
        <v>399</v>
      </c>
      <c r="D952" s="3" t="s">
        <v>96</v>
      </c>
      <c r="E952" s="3" t="s">
        <v>71</v>
      </c>
      <c r="F952" s="5">
        <v>6</v>
      </c>
      <c r="G952" s="5">
        <v>3450</v>
      </c>
      <c r="H952" s="5">
        <v>1.8</v>
      </c>
      <c r="I952" s="5">
        <v>20327.400000000001</v>
      </c>
      <c r="J952" s="3" t="s">
        <v>79</v>
      </c>
      <c r="K952" s="3" t="s">
        <v>27</v>
      </c>
      <c r="L952" t="str">
        <f>IFERROR(VLOOKUP(D952,Products!$A$2:$F$61,3,FALSE()),"")</f>
        <v>Beauty</v>
      </c>
      <c r="M952" t="str">
        <f>IFERROR(VLOOKUP(E952,Sales_Reps!$A$2:$C$31,3,FALSE()),"")</f>
        <v>South</v>
      </c>
      <c r="N952">
        <f>IFERROR(VLOOKUP(D952,Products!$A$2:$F$61,4,FALSE()),"")</f>
        <v>2420</v>
      </c>
      <c r="O952" t="str">
        <f>IFERROR(VLOOKUP(C952,Customers!$A$2:$F$301,5,FALSE()),"")</f>
        <v>Corporate</v>
      </c>
      <c r="P952">
        <f>IFERROR(VLOOKUP(C952,Customers!$A$2:$F$301,3,FALSE()),"")</f>
        <v>37</v>
      </c>
      <c r="Q952">
        <f t="shared" si="42"/>
        <v>0.29855072463768118</v>
      </c>
      <c r="R952">
        <f>IF(AND(COUNTIF($A$2:$A$2047,A952)&gt;1,COUNTIF($A$2:A952,A952)=1),1,0)</f>
        <v>0</v>
      </c>
      <c r="S952" t="b">
        <f>IFERROR(VLOOKUP(D952,Products!$A$2:$F$61,6,FALSE()),"")</f>
        <v>1</v>
      </c>
      <c r="T952" t="str">
        <f>IF(COUNTIF(Customers!$A$2:$A$301,C952)=0,"Missing","OK")</f>
        <v>OK</v>
      </c>
      <c r="U952" t="str">
        <f t="shared" si="43"/>
        <v>Pune</v>
      </c>
      <c r="V952">
        <f t="shared" si="44"/>
        <v>0</v>
      </c>
    </row>
    <row r="953" spans="1:22" ht="15" customHeight="1" x14ac:dyDescent="0.35">
      <c r="A953" s="3" t="s">
        <v>1372</v>
      </c>
      <c r="B953" s="4">
        <v>45575</v>
      </c>
      <c r="C953" s="3" t="s">
        <v>536</v>
      </c>
      <c r="D953" s="3" t="s">
        <v>100</v>
      </c>
      <c r="E953" s="3" t="s">
        <v>285</v>
      </c>
      <c r="F953" s="5">
        <v>3</v>
      </c>
      <c r="G953" s="5">
        <v>3450</v>
      </c>
      <c r="H953" s="5">
        <v>4.7</v>
      </c>
      <c r="I953" s="5">
        <v>9863.5499999999993</v>
      </c>
      <c r="J953" s="3" t="s">
        <v>32</v>
      </c>
      <c r="K953" s="3" t="s">
        <v>51</v>
      </c>
      <c r="L953" t="str">
        <f>IFERROR(VLOOKUP(D953,Products!$A$2:$F$61,3,FALSE()),"")</f>
        <v>Sports</v>
      </c>
      <c r="M953" t="str">
        <f>IFERROR(VLOOKUP(E953,Sales_Reps!$A$2:$C$31,3,FALSE()),"")</f>
        <v>South</v>
      </c>
      <c r="N953">
        <f>IFERROR(VLOOKUP(D953,Products!$A$2:$F$61,4,FALSE()),"")</f>
        <v>2467</v>
      </c>
      <c r="O953" t="str">
        <f>IFERROR(VLOOKUP(C953,Customers!$A$2:$F$301,5,FALSE()),"")</f>
        <v>Retail</v>
      </c>
      <c r="P953">
        <f>IFERROR(VLOOKUP(C953,Customers!$A$2:$F$301,3,FALSE()),"")</f>
        <v>39</v>
      </c>
      <c r="Q953">
        <f t="shared" si="42"/>
        <v>0.28492753623188405</v>
      </c>
      <c r="R953">
        <f>IF(AND(COUNTIF($A$2:$A$2047,A953)&gt;1,COUNTIF($A$2:A953,A953)=1),1,0)</f>
        <v>0</v>
      </c>
      <c r="S953" t="b">
        <f>IFERROR(VLOOKUP(D953,Products!$A$2:$F$61,6,FALSE()),"")</f>
        <v>1</v>
      </c>
      <c r="T953" t="str">
        <f>IF(COUNTIF(Customers!$A$2:$A$301,C953)=0,"Missing","OK")</f>
        <v>OK</v>
      </c>
      <c r="U953" t="str">
        <f t="shared" si="43"/>
        <v>Mumbai</v>
      </c>
      <c r="V953">
        <f t="shared" si="44"/>
        <v>0</v>
      </c>
    </row>
    <row r="954" spans="1:22" ht="15" customHeight="1" x14ac:dyDescent="0.35">
      <c r="A954" s="3" t="s">
        <v>1373</v>
      </c>
      <c r="B954" s="4">
        <v>45367</v>
      </c>
      <c r="C954" s="3" t="s">
        <v>147</v>
      </c>
      <c r="D954" s="3" t="s">
        <v>303</v>
      </c>
      <c r="E954" s="3" t="s">
        <v>282</v>
      </c>
      <c r="F954" s="5">
        <v>7</v>
      </c>
      <c r="G954" s="5">
        <v>5330</v>
      </c>
      <c r="H954" s="5">
        <v>16.399999999999999</v>
      </c>
      <c r="I954" s="5">
        <v>31191.16</v>
      </c>
      <c r="J954" s="3" t="s">
        <v>26</v>
      </c>
      <c r="K954" s="3" t="s">
        <v>72</v>
      </c>
      <c r="L954" t="str">
        <f>IFERROR(VLOOKUP(D954,Products!$A$2:$F$61,3,FALSE()),"")</f>
        <v>Electronics</v>
      </c>
      <c r="M954" t="str">
        <f>IFERROR(VLOOKUP(E954,Sales_Reps!$A$2:$C$31,3,FALSE()),"")</f>
        <v>West</v>
      </c>
      <c r="N954">
        <f>IFERROR(VLOOKUP(D954,Products!$A$2:$F$61,4,FALSE()),"")</f>
        <v>2405</v>
      </c>
      <c r="O954" t="str">
        <f>IFERROR(VLOOKUP(C954,Customers!$A$2:$F$301,5,FALSE()),"")</f>
        <v>Retail</v>
      </c>
      <c r="P954">
        <f>IFERROR(VLOOKUP(C954,Customers!$A$2:$F$301,3,FALSE()),"")</f>
        <v>26</v>
      </c>
      <c r="Q954">
        <f t="shared" si="42"/>
        <v>0.54878048780487809</v>
      </c>
      <c r="R954">
        <f>IF(AND(COUNTIF($A$2:$A$2047,A954)&gt;1,COUNTIF($A$2:A954,A954)=1),1,0)</f>
        <v>0</v>
      </c>
      <c r="S954" t="b">
        <f>IFERROR(VLOOKUP(D954,Products!$A$2:$F$61,6,FALSE()),"")</f>
        <v>1</v>
      </c>
      <c r="T954" t="str">
        <f>IF(COUNTIF(Customers!$A$2:$A$301,C954)=0,"Missing","OK")</f>
        <v>OK</v>
      </c>
      <c r="U954" t="str">
        <f t="shared" si="43"/>
        <v>Hyderabad</v>
      </c>
      <c r="V954">
        <f t="shared" si="44"/>
        <v>0</v>
      </c>
    </row>
    <row r="955" spans="1:22" ht="15" customHeight="1" x14ac:dyDescent="0.35">
      <c r="A955" s="3" t="s">
        <v>1374</v>
      </c>
      <c r="B955" s="4">
        <v>45522</v>
      </c>
      <c r="C955" s="3" t="s">
        <v>545</v>
      </c>
      <c r="D955" s="3" t="s">
        <v>277</v>
      </c>
      <c r="E955" s="3" t="s">
        <v>87</v>
      </c>
      <c r="F955" s="5">
        <v>6</v>
      </c>
      <c r="G955" s="5">
        <v>2210</v>
      </c>
      <c r="H955" s="5">
        <v>13.1</v>
      </c>
      <c r="I955" s="5">
        <v>11522.94</v>
      </c>
      <c r="J955" s="3" t="s">
        <v>26</v>
      </c>
      <c r="K955" s="3" t="s">
        <v>51</v>
      </c>
      <c r="L955" t="str">
        <f>IFERROR(VLOOKUP(D955,Products!$A$2:$F$61,3,FALSE()),"")</f>
        <v>Grocery</v>
      </c>
      <c r="M955" t="str">
        <f>IFERROR(VLOOKUP(E955,Sales_Reps!$A$2:$C$31,3,FALSE()),"")</f>
        <v>North</v>
      </c>
      <c r="N955">
        <f>IFERROR(VLOOKUP(D955,Products!$A$2:$F$61,4,FALSE()),"")</f>
        <v>1010</v>
      </c>
      <c r="O955" t="str">
        <f>IFERROR(VLOOKUP(C955,Customers!$A$2:$F$301,5,FALSE()),"")</f>
        <v>Retail</v>
      </c>
      <c r="P955">
        <f>IFERROR(VLOOKUP(C955,Customers!$A$2:$F$301,3,FALSE()),"")</f>
        <v>52</v>
      </c>
      <c r="Q955">
        <f t="shared" si="42"/>
        <v>0.54298642533936647</v>
      </c>
      <c r="R955">
        <f>IF(AND(COUNTIF($A$2:$A$2047,A955)&gt;1,COUNTIF($A$2:A955,A955)=1),1,0)</f>
        <v>0</v>
      </c>
      <c r="S955" t="b">
        <f>IFERROR(VLOOKUP(D955,Products!$A$2:$F$61,6,FALSE()),"")</f>
        <v>1</v>
      </c>
      <c r="T955" t="str">
        <f>IF(COUNTIF(Customers!$A$2:$A$301,C955)=0,"Missing","OK")</f>
        <v>OK</v>
      </c>
      <c r="U955" t="str">
        <f t="shared" si="43"/>
        <v>Mumbai</v>
      </c>
      <c r="V955">
        <f t="shared" si="44"/>
        <v>0</v>
      </c>
    </row>
    <row r="956" spans="1:22" ht="15" customHeight="1" x14ac:dyDescent="0.35">
      <c r="A956" s="3" t="s">
        <v>1375</v>
      </c>
      <c r="B956" s="4">
        <v>45579</v>
      </c>
      <c r="C956" s="3" t="s">
        <v>386</v>
      </c>
      <c r="D956" s="3" t="s">
        <v>103</v>
      </c>
      <c r="E956" s="3" t="s">
        <v>140</v>
      </c>
      <c r="F956" s="5">
        <v>8</v>
      </c>
      <c r="G956" s="5">
        <v>1080</v>
      </c>
      <c r="H956" s="5">
        <v>8.6999999999999993</v>
      </c>
      <c r="I956" s="5">
        <v>7888.32</v>
      </c>
      <c r="J956" s="3" t="s">
        <v>26</v>
      </c>
      <c r="K956" s="3" t="s">
        <v>51</v>
      </c>
      <c r="L956" t="str">
        <f>IFERROR(VLOOKUP(D956,Products!$A$2:$F$61,3,FALSE()),"")</f>
        <v>Home</v>
      </c>
      <c r="M956" t="str">
        <f>IFERROR(VLOOKUP(E956,Sales_Reps!$A$2:$C$31,3,FALSE()),"")</f>
        <v>West</v>
      </c>
      <c r="N956">
        <f>IFERROR(VLOOKUP(D956,Products!$A$2:$F$61,4,FALSE()),"")</f>
        <v>519</v>
      </c>
      <c r="O956" t="str">
        <f>IFERROR(VLOOKUP(C956,Customers!$A$2:$F$301,5,FALSE()),"")</f>
        <v>Retail</v>
      </c>
      <c r="P956">
        <f>IFERROR(VLOOKUP(C956,Customers!$A$2:$F$301,3,FALSE()),"")</f>
        <v>41</v>
      </c>
      <c r="Q956">
        <f t="shared" si="42"/>
        <v>0.51944444444444449</v>
      </c>
      <c r="R956">
        <f>IF(AND(COUNTIF($A$2:$A$2047,A956)&gt;1,COUNTIF($A$2:A956,A956)=1),1,0)</f>
        <v>0</v>
      </c>
      <c r="S956" t="b">
        <f>IFERROR(VLOOKUP(D956,Products!$A$2:$F$61,6,FALSE()),"")</f>
        <v>1</v>
      </c>
      <c r="T956" t="str">
        <f>IF(COUNTIF(Customers!$A$2:$A$301,C956)=0,"Missing","OK")</f>
        <v>OK</v>
      </c>
      <c r="U956" t="str">
        <f t="shared" si="43"/>
        <v>Mumbai</v>
      </c>
      <c r="V956">
        <f t="shared" si="44"/>
        <v>0</v>
      </c>
    </row>
    <row r="957" spans="1:22" ht="15" customHeight="1" x14ac:dyDescent="0.35">
      <c r="A957" s="3" t="s">
        <v>1376</v>
      </c>
      <c r="B957" s="4">
        <v>45495</v>
      </c>
      <c r="C957" s="3" t="s">
        <v>315</v>
      </c>
      <c r="D957" s="3" t="s">
        <v>24</v>
      </c>
      <c r="E957" s="3" t="s">
        <v>127</v>
      </c>
      <c r="F957" s="5">
        <v>5</v>
      </c>
      <c r="G957" s="5">
        <v>3620</v>
      </c>
      <c r="H957" s="5">
        <v>16.100000000000001</v>
      </c>
      <c r="I957" s="5">
        <v>15185.9</v>
      </c>
      <c r="J957" s="3" t="s">
        <v>26</v>
      </c>
      <c r="K957" s="3" t="s">
        <v>56</v>
      </c>
      <c r="L957" t="str">
        <f>IFERROR(VLOOKUP(D957,Products!$A$2:$F$61,3,FALSE()),"")</f>
        <v>Apparel</v>
      </c>
      <c r="M957" t="str">
        <f>IFERROR(VLOOKUP(E957,Sales_Reps!$A$2:$C$31,3,FALSE()),"")</f>
        <v>South</v>
      </c>
      <c r="N957">
        <f>IFERROR(VLOOKUP(D957,Products!$A$2:$F$61,4,FALSE()),"")</f>
        <v>2509</v>
      </c>
      <c r="O957" t="str">
        <f>IFERROR(VLOOKUP(C957,Customers!$A$2:$F$301,5,FALSE()),"")</f>
        <v>SMB</v>
      </c>
      <c r="P957">
        <f>IFERROR(VLOOKUP(C957,Customers!$A$2:$F$301,3,FALSE()),"")</f>
        <v>44</v>
      </c>
      <c r="Q957">
        <f t="shared" si="42"/>
        <v>0.3069060773480663</v>
      </c>
      <c r="R957">
        <f>IF(AND(COUNTIF($A$2:$A$2047,A957)&gt;1,COUNTIF($A$2:A957,A957)=1),1,0)</f>
        <v>0</v>
      </c>
      <c r="S957" t="b">
        <f>IFERROR(VLOOKUP(D957,Products!$A$2:$F$61,6,FALSE()),"")</f>
        <v>1</v>
      </c>
      <c r="T957" t="str">
        <f>IF(COUNTIF(Customers!$A$2:$A$301,C957)=0,"Missing","OK")</f>
        <v>OK</v>
      </c>
      <c r="U957" t="str">
        <f t="shared" si="43"/>
        <v>Bengaluru</v>
      </c>
      <c r="V957">
        <f t="shared" si="44"/>
        <v>0</v>
      </c>
    </row>
    <row r="958" spans="1:22" ht="15" customHeight="1" x14ac:dyDescent="0.35">
      <c r="A958" s="3" t="s">
        <v>1377</v>
      </c>
      <c r="B958" s="4">
        <v>45483</v>
      </c>
      <c r="C958" s="3" t="s">
        <v>48</v>
      </c>
      <c r="D958" s="3" t="s">
        <v>598</v>
      </c>
      <c r="E958" s="3" t="s">
        <v>212</v>
      </c>
      <c r="F958" s="5">
        <v>7</v>
      </c>
      <c r="G958" s="5">
        <v>3560</v>
      </c>
      <c r="H958" s="5">
        <v>8.5</v>
      </c>
      <c r="I958" s="5">
        <v>22801.8</v>
      </c>
      <c r="J958" s="3" t="s">
        <v>26</v>
      </c>
      <c r="K958" s="3" t="s">
        <v>51</v>
      </c>
      <c r="L958" t="str">
        <f>IFERROR(VLOOKUP(D958,Products!$A$2:$F$61,3,FALSE()),"")</f>
        <v>Apparel</v>
      </c>
      <c r="M958" t="str">
        <f>IFERROR(VLOOKUP(E958,Sales_Reps!$A$2:$C$31,3,FALSE()),"")</f>
        <v>South</v>
      </c>
      <c r="N958">
        <f>IFERROR(VLOOKUP(D958,Products!$A$2:$F$61,4,FALSE()),"")</f>
        <v>2629</v>
      </c>
      <c r="O958" t="str">
        <f>IFERROR(VLOOKUP(C958,Customers!$A$2:$F$301,5,FALSE()),"")</f>
        <v>Retail</v>
      </c>
      <c r="P958">
        <f>IFERROR(VLOOKUP(C958,Customers!$A$2:$F$301,3,FALSE()),"")</f>
        <v>36</v>
      </c>
      <c r="Q958">
        <f t="shared" si="42"/>
        <v>0.26151685393258428</v>
      </c>
      <c r="R958">
        <f>IF(AND(COUNTIF($A$2:$A$2047,A958)&gt;1,COUNTIF($A$2:A958,A958)=1),1,0)</f>
        <v>0</v>
      </c>
      <c r="S958" t="b">
        <f>IFERROR(VLOOKUP(D958,Products!$A$2:$F$61,6,FALSE()),"")</f>
        <v>1</v>
      </c>
      <c r="T958" t="str">
        <f>IF(COUNTIF(Customers!$A$2:$A$301,C958)=0,"Missing","OK")</f>
        <v>OK</v>
      </c>
      <c r="U958" t="str">
        <f t="shared" si="43"/>
        <v>Mumbai</v>
      </c>
      <c r="V958">
        <f t="shared" si="44"/>
        <v>0</v>
      </c>
    </row>
    <row r="959" spans="1:22" ht="15" customHeight="1" x14ac:dyDescent="0.35">
      <c r="A959" s="3" t="s">
        <v>1378</v>
      </c>
      <c r="B959" s="4">
        <v>45496</v>
      </c>
      <c r="C959" s="3" t="s">
        <v>240</v>
      </c>
      <c r="D959" s="3" t="s">
        <v>234</v>
      </c>
      <c r="E959" s="3" t="s">
        <v>50</v>
      </c>
      <c r="F959" s="5">
        <v>8</v>
      </c>
      <c r="G959" s="5">
        <v>2030</v>
      </c>
      <c r="H959" s="5">
        <v>18.100000000000001</v>
      </c>
      <c r="I959" s="5">
        <v>13300.56</v>
      </c>
      <c r="J959" s="3" t="s">
        <v>26</v>
      </c>
      <c r="K959" s="3" t="s">
        <v>33</v>
      </c>
      <c r="L959" t="str">
        <f>IFERROR(VLOOKUP(D959,Products!$A$2:$F$61,3,FALSE()),"")</f>
        <v>Home</v>
      </c>
      <c r="M959" t="str">
        <f>IFERROR(VLOOKUP(E959,Sales_Reps!$A$2:$C$31,3,FALSE()),"")</f>
        <v>West</v>
      </c>
      <c r="N959">
        <f>IFERROR(VLOOKUP(D959,Products!$A$2:$F$61,4,FALSE()),"")</f>
        <v>1143</v>
      </c>
      <c r="O959" t="str">
        <f>IFERROR(VLOOKUP(C959,Customers!$A$2:$F$301,5,FALSE()),"")</f>
        <v>Retail</v>
      </c>
      <c r="P959">
        <f>IFERROR(VLOOKUP(C959,Customers!$A$2:$F$301,3,FALSE()),"")</f>
        <v>41</v>
      </c>
      <c r="Q959">
        <f t="shared" si="42"/>
        <v>0.43694581280788175</v>
      </c>
      <c r="R959">
        <f>IF(AND(COUNTIF($A$2:$A$2047,A959)&gt;1,COUNTIF($A$2:A959,A959)=1),1,0)</f>
        <v>0</v>
      </c>
      <c r="S959" t="b">
        <f>IFERROR(VLOOKUP(D959,Products!$A$2:$F$61,6,FALSE()),"")</f>
        <v>1</v>
      </c>
      <c r="T959" t="str">
        <f>IF(COUNTIF(Customers!$A$2:$A$301,C959)=0,"Missing","OK")</f>
        <v>OK</v>
      </c>
      <c r="U959" t="str">
        <f t="shared" si="43"/>
        <v>Chennai</v>
      </c>
      <c r="V959">
        <f t="shared" si="44"/>
        <v>0</v>
      </c>
    </row>
    <row r="960" spans="1:22" ht="15" customHeight="1" x14ac:dyDescent="0.35">
      <c r="A960" s="3" t="s">
        <v>1379</v>
      </c>
      <c r="B960" s="4">
        <v>45350</v>
      </c>
      <c r="C960" s="3" t="s">
        <v>1247</v>
      </c>
      <c r="D960" s="3" t="s">
        <v>115</v>
      </c>
      <c r="E960" s="3" t="s">
        <v>212</v>
      </c>
      <c r="F960" s="5">
        <v>10</v>
      </c>
      <c r="G960" s="5">
        <v>1650</v>
      </c>
      <c r="H960" s="5">
        <v>7.1</v>
      </c>
      <c r="I960" s="5">
        <v>15328.5</v>
      </c>
      <c r="J960" s="3" t="s">
        <v>26</v>
      </c>
      <c r="K960" s="3" t="s">
        <v>33</v>
      </c>
      <c r="L960" t="str">
        <f>IFERROR(VLOOKUP(D960,Products!$A$2:$F$61,3,FALSE()),"")</f>
        <v>Beauty</v>
      </c>
      <c r="M960" t="str">
        <f>IFERROR(VLOOKUP(E960,Sales_Reps!$A$2:$C$31,3,FALSE()),"")</f>
        <v>South</v>
      </c>
      <c r="N960">
        <f>IFERROR(VLOOKUP(D960,Products!$A$2:$F$61,4,FALSE()),"")</f>
        <v>1222</v>
      </c>
      <c r="O960" t="str">
        <f>IFERROR(VLOOKUP(C960,Customers!$A$2:$F$301,5,FALSE()),"")</f>
        <v>SMB</v>
      </c>
      <c r="P960">
        <f>IFERROR(VLOOKUP(C960,Customers!$A$2:$F$301,3,FALSE()),"")</f>
        <v>51</v>
      </c>
      <c r="Q960">
        <f t="shared" si="42"/>
        <v>0.2593939393939394</v>
      </c>
      <c r="R960">
        <f>IF(AND(COUNTIF($A$2:$A$2047,A960)&gt;1,COUNTIF($A$2:A960,A960)=1),1,0)</f>
        <v>0</v>
      </c>
      <c r="S960" t="b">
        <f>IFERROR(VLOOKUP(D960,Products!$A$2:$F$61,6,FALSE()),"")</f>
        <v>1</v>
      </c>
      <c r="T960" t="str">
        <f>IF(COUNTIF(Customers!$A$2:$A$301,C960)=0,"Missing","OK")</f>
        <v>OK</v>
      </c>
      <c r="U960" t="str">
        <f t="shared" si="43"/>
        <v>Chennai</v>
      </c>
      <c r="V960">
        <f t="shared" si="44"/>
        <v>0</v>
      </c>
    </row>
    <row r="961" spans="1:22" ht="15" customHeight="1" x14ac:dyDescent="0.35">
      <c r="A961" s="3" t="s">
        <v>1380</v>
      </c>
      <c r="B961" s="4">
        <v>45517</v>
      </c>
      <c r="C961" s="3" t="s">
        <v>440</v>
      </c>
      <c r="D961" s="3" t="s">
        <v>139</v>
      </c>
      <c r="E961" s="3" t="s">
        <v>177</v>
      </c>
      <c r="F961" s="5">
        <v>4</v>
      </c>
      <c r="G961" s="5">
        <v>2760</v>
      </c>
      <c r="H961" s="5">
        <v>17.600000000000001</v>
      </c>
      <c r="I961" s="5">
        <v>9096.9599999999991</v>
      </c>
      <c r="J961" s="3" t="s">
        <v>79</v>
      </c>
      <c r="K961" s="3" t="s">
        <v>72</v>
      </c>
      <c r="L961" t="str">
        <f>IFERROR(VLOOKUP(D961,Products!$A$2:$F$61,3,FALSE()),"")</f>
        <v>Grocery</v>
      </c>
      <c r="M961" t="str">
        <f>IFERROR(VLOOKUP(E961,Sales_Reps!$A$2:$C$31,3,FALSE()),"")</f>
        <v>East</v>
      </c>
      <c r="N961">
        <f>IFERROR(VLOOKUP(D961,Products!$A$2:$F$61,4,FALSE()),"")</f>
        <v>1435</v>
      </c>
      <c r="O961" t="str">
        <f>IFERROR(VLOOKUP(C961,Customers!$A$2:$F$301,5,FALSE()),"")</f>
        <v>SMB</v>
      </c>
      <c r="P961">
        <f>IFERROR(VLOOKUP(C961,Customers!$A$2:$F$301,3,FALSE()),"")</f>
        <v>65</v>
      </c>
      <c r="Q961">
        <f t="shared" si="42"/>
        <v>0.48007246376811596</v>
      </c>
      <c r="R961">
        <f>IF(AND(COUNTIF($A$2:$A$2047,A961)&gt;1,COUNTIF($A$2:A961,A961)=1),1,0)</f>
        <v>0</v>
      </c>
      <c r="S961" t="b">
        <f>IFERROR(VLOOKUP(D961,Products!$A$2:$F$61,6,FALSE()),"")</f>
        <v>1</v>
      </c>
      <c r="T961" t="str">
        <f>IF(COUNTIF(Customers!$A$2:$A$301,C961)=0,"Missing","OK")</f>
        <v>OK</v>
      </c>
      <c r="U961" t="str">
        <f t="shared" si="43"/>
        <v>Hyderabad</v>
      </c>
      <c r="V961">
        <f t="shared" si="44"/>
        <v>0</v>
      </c>
    </row>
    <row r="962" spans="1:22" ht="15" customHeight="1" x14ac:dyDescent="0.35">
      <c r="A962" s="3" t="s">
        <v>1381</v>
      </c>
      <c r="B962" s="4">
        <v>45460</v>
      </c>
      <c r="C962" s="3" t="s">
        <v>509</v>
      </c>
      <c r="D962" s="3" t="s">
        <v>347</v>
      </c>
      <c r="E962" s="3" t="s">
        <v>143</v>
      </c>
      <c r="F962" s="5">
        <v>4</v>
      </c>
      <c r="G962" s="5">
        <v>3970</v>
      </c>
      <c r="H962" s="5">
        <v>4.3</v>
      </c>
      <c r="I962" s="5">
        <v>15197.16</v>
      </c>
      <c r="J962" s="3" t="s">
        <v>26</v>
      </c>
      <c r="K962" s="3" t="s">
        <v>38</v>
      </c>
      <c r="L962" t="str">
        <f>IFERROR(VLOOKUP(D962,Products!$A$2:$F$61,3,FALSE()),"")</f>
        <v>Electronics</v>
      </c>
      <c r="M962" t="str">
        <f>IFERROR(VLOOKUP(E962,Sales_Reps!$A$2:$C$31,3,FALSE()),"")</f>
        <v>South</v>
      </c>
      <c r="N962">
        <f>IFERROR(VLOOKUP(D962,Products!$A$2:$F$61,4,FALSE()),"")</f>
        <v>2865</v>
      </c>
      <c r="O962" t="str">
        <f>IFERROR(VLOOKUP(C962,Customers!$A$2:$F$301,5,FALSE()),"")</f>
        <v>Corporate</v>
      </c>
      <c r="P962">
        <f>IFERROR(VLOOKUP(C962,Customers!$A$2:$F$301,3,FALSE()),"")</f>
        <v>47</v>
      </c>
      <c r="Q962">
        <f t="shared" ref="Q962:Q1025" si="45">IFERROR((G962-N962)/G962,"")</f>
        <v>0.27833753148614609</v>
      </c>
      <c r="R962">
        <f>IF(AND(COUNTIF($A$2:$A$2047,A962)&gt;1,COUNTIF($A$2:A962,A962)=1),1,0)</f>
        <v>0</v>
      </c>
      <c r="S962" t="b">
        <f>IFERROR(VLOOKUP(D962,Products!$A$2:$F$61,6,FALSE()),"")</f>
        <v>1</v>
      </c>
      <c r="T962" t="str">
        <f>IF(COUNTIF(Customers!$A$2:$A$301,C962)=0,"Missing","OK")</f>
        <v>OK</v>
      </c>
      <c r="U962" t="str">
        <f t="shared" ref="U962:U1025" si="46">IF(K962="","",PROPER(TRIM(K962)))</f>
        <v>Delhi</v>
      </c>
      <c r="V962">
        <f t="shared" ref="V962:V1025" si="47">IF(AND(U962="Bengaluru",L962="Grocery"),I962,0)</f>
        <v>0</v>
      </c>
    </row>
    <row r="963" spans="1:22" ht="15" customHeight="1" x14ac:dyDescent="0.35">
      <c r="A963" s="3" t="s">
        <v>1382</v>
      </c>
      <c r="B963" s="4">
        <v>45509</v>
      </c>
      <c r="C963" s="3" t="s">
        <v>418</v>
      </c>
      <c r="D963" s="3" t="s">
        <v>180</v>
      </c>
      <c r="E963" s="3" t="s">
        <v>71</v>
      </c>
      <c r="F963" s="5">
        <v>2</v>
      </c>
      <c r="G963" s="5">
        <v>6080</v>
      </c>
      <c r="H963" s="5">
        <v>23.8</v>
      </c>
      <c r="I963" s="5">
        <v>9265.92</v>
      </c>
      <c r="J963" s="3" t="s">
        <v>26</v>
      </c>
      <c r="K963" s="3" t="s">
        <v>27</v>
      </c>
      <c r="L963" t="str">
        <f>IFERROR(VLOOKUP(D963,Products!$A$2:$F$61,3,FALSE()),"")</f>
        <v>Beauty</v>
      </c>
      <c r="M963" t="str">
        <f>IFERROR(VLOOKUP(E963,Sales_Reps!$A$2:$C$31,3,FALSE()),"")</f>
        <v>South</v>
      </c>
      <c r="N963">
        <f>IFERROR(VLOOKUP(D963,Products!$A$2:$F$61,4,FALSE()),"")</f>
        <v>2617</v>
      </c>
      <c r="O963" t="str">
        <f>IFERROR(VLOOKUP(C963,Customers!$A$2:$F$301,5,FALSE()),"")</f>
        <v>SMB</v>
      </c>
      <c r="P963">
        <f>IFERROR(VLOOKUP(C963,Customers!$A$2:$F$301,3,FALSE()),"")</f>
        <v>49</v>
      </c>
      <c r="Q963">
        <f t="shared" si="45"/>
        <v>0.56957236842105263</v>
      </c>
      <c r="R963">
        <f>IF(AND(COUNTIF($A$2:$A$2047,A963)&gt;1,COUNTIF($A$2:A963,A963)=1),1,0)</f>
        <v>0</v>
      </c>
      <c r="S963" t="b">
        <f>IFERROR(VLOOKUP(D963,Products!$A$2:$F$61,6,FALSE()),"")</f>
        <v>1</v>
      </c>
      <c r="T963" t="str">
        <f>IF(COUNTIF(Customers!$A$2:$A$301,C963)=0,"Missing","OK")</f>
        <v>OK</v>
      </c>
      <c r="U963" t="str">
        <f t="shared" si="46"/>
        <v>Pune</v>
      </c>
      <c r="V963">
        <f t="shared" si="47"/>
        <v>0</v>
      </c>
    </row>
    <row r="964" spans="1:22" ht="15" customHeight="1" x14ac:dyDescent="0.35">
      <c r="A964" s="3" t="s">
        <v>1383</v>
      </c>
      <c r="B964" s="4">
        <v>45602</v>
      </c>
      <c r="C964" s="3" t="s">
        <v>312</v>
      </c>
      <c r="D964" s="3" t="s">
        <v>70</v>
      </c>
      <c r="E964" s="3" t="s">
        <v>78</v>
      </c>
      <c r="F964" s="5">
        <v>4</v>
      </c>
      <c r="G964" s="5">
        <v>2270</v>
      </c>
      <c r="H964" s="5">
        <v>28.9</v>
      </c>
      <c r="I964" s="5">
        <v>6455.88</v>
      </c>
      <c r="J964" s="3" t="s">
        <v>26</v>
      </c>
      <c r="K964" s="3" t="s">
        <v>27</v>
      </c>
      <c r="L964" t="str">
        <f>IFERROR(VLOOKUP(D964,Products!$A$2:$F$61,3,FALSE()),"")</f>
        <v>Grocery</v>
      </c>
      <c r="M964" t="str">
        <f>IFERROR(VLOOKUP(E964,Sales_Reps!$A$2:$C$31,3,FALSE()),"")</f>
        <v>North</v>
      </c>
      <c r="N964">
        <f>IFERROR(VLOOKUP(D964,Products!$A$2:$F$61,4,FALSE()),"")</f>
        <v>1203</v>
      </c>
      <c r="O964" t="str">
        <f>IFERROR(VLOOKUP(C964,Customers!$A$2:$F$301,5,FALSE()),"")</f>
        <v>Retail</v>
      </c>
      <c r="P964">
        <f>IFERROR(VLOOKUP(C964,Customers!$A$2:$F$301,3,FALSE()),"")</f>
        <v>43</v>
      </c>
      <c r="Q964">
        <f t="shared" si="45"/>
        <v>0.47004405286343615</v>
      </c>
      <c r="R964">
        <f>IF(AND(COUNTIF($A$2:$A$2047,A964)&gt;1,COUNTIF($A$2:A964,A964)=1),1,0)</f>
        <v>0</v>
      </c>
      <c r="S964" t="b">
        <f>IFERROR(VLOOKUP(D964,Products!$A$2:$F$61,6,FALSE()),"")</f>
        <v>1</v>
      </c>
      <c r="T964" t="str">
        <f>IF(COUNTIF(Customers!$A$2:$A$301,C964)=0,"Missing","OK")</f>
        <v>OK</v>
      </c>
      <c r="U964" t="str">
        <f t="shared" si="46"/>
        <v>Pune</v>
      </c>
      <c r="V964">
        <f t="shared" si="47"/>
        <v>0</v>
      </c>
    </row>
    <row r="965" spans="1:22" ht="15" customHeight="1" x14ac:dyDescent="0.35">
      <c r="A965" s="3" t="s">
        <v>1384</v>
      </c>
      <c r="B965" s="4">
        <v>45441</v>
      </c>
      <c r="C965" s="3" t="s">
        <v>136</v>
      </c>
      <c r="D965" s="3" t="s">
        <v>347</v>
      </c>
      <c r="E965" s="3" t="s">
        <v>78</v>
      </c>
      <c r="F965" s="5">
        <v>10</v>
      </c>
      <c r="G965" s="5">
        <v>3970</v>
      </c>
      <c r="H965" s="5">
        <v>26.2</v>
      </c>
      <c r="I965" s="5">
        <v>29298.6</v>
      </c>
      <c r="J965" s="3" t="s">
        <v>26</v>
      </c>
      <c r="K965" s="3" t="s">
        <v>27</v>
      </c>
      <c r="L965" t="str">
        <f>IFERROR(VLOOKUP(D965,Products!$A$2:$F$61,3,FALSE()),"")</f>
        <v>Electronics</v>
      </c>
      <c r="M965" t="str">
        <f>IFERROR(VLOOKUP(E965,Sales_Reps!$A$2:$C$31,3,FALSE()),"")</f>
        <v>North</v>
      </c>
      <c r="N965">
        <f>IFERROR(VLOOKUP(D965,Products!$A$2:$F$61,4,FALSE()),"")</f>
        <v>2865</v>
      </c>
      <c r="O965" t="str">
        <f>IFERROR(VLOOKUP(C965,Customers!$A$2:$F$301,5,FALSE()),"")</f>
        <v>Corporate</v>
      </c>
      <c r="P965">
        <f>IFERROR(VLOOKUP(C965,Customers!$A$2:$F$301,3,FALSE()),"")</f>
        <v>47</v>
      </c>
      <c r="Q965">
        <f t="shared" si="45"/>
        <v>0.27833753148614609</v>
      </c>
      <c r="R965">
        <f>IF(AND(COUNTIF($A$2:$A$2047,A965)&gt;1,COUNTIF($A$2:A965,A965)=1),1,0)</f>
        <v>0</v>
      </c>
      <c r="S965" t="b">
        <f>IFERROR(VLOOKUP(D965,Products!$A$2:$F$61,6,FALSE()),"")</f>
        <v>1</v>
      </c>
      <c r="T965" t="str">
        <f>IF(COUNTIF(Customers!$A$2:$A$301,C965)=0,"Missing","OK")</f>
        <v>OK</v>
      </c>
      <c r="U965" t="str">
        <f t="shared" si="46"/>
        <v>Pune</v>
      </c>
      <c r="V965">
        <f t="shared" si="47"/>
        <v>0</v>
      </c>
    </row>
    <row r="966" spans="1:22" ht="15" customHeight="1" x14ac:dyDescent="0.35">
      <c r="A966" s="3" t="s">
        <v>1385</v>
      </c>
      <c r="B966" s="4">
        <v>45378</v>
      </c>
      <c r="C966" s="3" t="s">
        <v>281</v>
      </c>
      <c r="D966" s="3" t="s">
        <v>130</v>
      </c>
      <c r="E966" s="3" t="s">
        <v>191</v>
      </c>
      <c r="F966" s="5">
        <v>4</v>
      </c>
      <c r="G966" s="5">
        <v>5100</v>
      </c>
      <c r="H966" s="5">
        <v>2.1</v>
      </c>
      <c r="I966" s="5">
        <v>19971.599999999999</v>
      </c>
      <c r="J966" s="3" t="s">
        <v>26</v>
      </c>
      <c r="K966" s="3" t="s">
        <v>33</v>
      </c>
      <c r="L966" t="str">
        <f>IFERROR(VLOOKUP(D966,Products!$A$2:$F$61,3,FALSE()),"")</f>
        <v>Beauty</v>
      </c>
      <c r="M966" t="str">
        <f>IFERROR(VLOOKUP(E966,Sales_Reps!$A$2:$C$31,3,FALSE()),"")</f>
        <v>South</v>
      </c>
      <c r="N966">
        <f>IFERROR(VLOOKUP(D966,Products!$A$2:$F$61,4,FALSE()),"")</f>
        <v>2237</v>
      </c>
      <c r="O966" t="str">
        <f>IFERROR(VLOOKUP(C966,Customers!$A$2:$F$301,5,FALSE()),"")</f>
        <v>Retail</v>
      </c>
      <c r="P966">
        <f>IFERROR(VLOOKUP(C966,Customers!$A$2:$F$301,3,FALSE()),"")</f>
        <v>26</v>
      </c>
      <c r="Q966">
        <f t="shared" si="45"/>
        <v>0.56137254901960787</v>
      </c>
      <c r="R966">
        <f>IF(AND(COUNTIF($A$2:$A$2047,A966)&gt;1,COUNTIF($A$2:A966,A966)=1),1,0)</f>
        <v>0</v>
      </c>
      <c r="S966" t="b">
        <f>IFERROR(VLOOKUP(D966,Products!$A$2:$F$61,6,FALSE()),"")</f>
        <v>1</v>
      </c>
      <c r="T966" t="str">
        <f>IF(COUNTIF(Customers!$A$2:$A$301,C966)=0,"Missing","OK")</f>
        <v>OK</v>
      </c>
      <c r="U966" t="str">
        <f t="shared" si="46"/>
        <v>Chennai</v>
      </c>
      <c r="V966">
        <f t="shared" si="47"/>
        <v>0</v>
      </c>
    </row>
    <row r="967" spans="1:22" ht="15" customHeight="1" x14ac:dyDescent="0.35">
      <c r="A967" s="3" t="s">
        <v>1386</v>
      </c>
      <c r="B967" s="4">
        <v>45428</v>
      </c>
      <c r="C967" s="3" t="s">
        <v>253</v>
      </c>
      <c r="D967" s="3" t="s">
        <v>215</v>
      </c>
      <c r="E967" s="3" t="s">
        <v>55</v>
      </c>
      <c r="F967" s="5">
        <v>5</v>
      </c>
      <c r="G967" s="5">
        <v>3020</v>
      </c>
      <c r="H967" s="5">
        <v>17.3</v>
      </c>
      <c r="I967" s="5">
        <v>12487.7</v>
      </c>
      <c r="J967" s="3" t="s">
        <v>26</v>
      </c>
      <c r="K967" s="3" t="s">
        <v>27</v>
      </c>
      <c r="L967" t="str">
        <f>IFERROR(VLOOKUP(D967,Products!$A$2:$F$61,3,FALSE()),"")</f>
        <v>Beauty</v>
      </c>
      <c r="M967" t="str">
        <f>IFERROR(VLOOKUP(E967,Sales_Reps!$A$2:$C$31,3,FALSE()),"")</f>
        <v>West</v>
      </c>
      <c r="N967">
        <f>IFERROR(VLOOKUP(D967,Products!$A$2:$F$61,4,FALSE()),"")</f>
        <v>1626</v>
      </c>
      <c r="O967" t="str">
        <f>IFERROR(VLOOKUP(C967,Customers!$A$2:$F$301,5,FALSE()),"")</f>
        <v>Corporate</v>
      </c>
      <c r="P967">
        <f>IFERROR(VLOOKUP(C967,Customers!$A$2:$F$301,3,FALSE()),"")</f>
        <v>33</v>
      </c>
      <c r="Q967">
        <f t="shared" si="45"/>
        <v>0.46158940397350995</v>
      </c>
      <c r="R967">
        <f>IF(AND(COUNTIF($A$2:$A$2047,A967)&gt;1,COUNTIF($A$2:A967,A967)=1),1,0)</f>
        <v>0</v>
      </c>
      <c r="S967" t="b">
        <f>IFERROR(VLOOKUP(D967,Products!$A$2:$F$61,6,FALSE()),"")</f>
        <v>1</v>
      </c>
      <c r="T967" t="str">
        <f>IF(COUNTIF(Customers!$A$2:$A$301,C967)=0,"Missing","OK")</f>
        <v>OK</v>
      </c>
      <c r="U967" t="str">
        <f t="shared" si="46"/>
        <v>Pune</v>
      </c>
      <c r="V967">
        <f t="shared" si="47"/>
        <v>0</v>
      </c>
    </row>
    <row r="968" spans="1:22" ht="15" customHeight="1" x14ac:dyDescent="0.35">
      <c r="A968" s="3" t="s">
        <v>1387</v>
      </c>
      <c r="B968" s="4">
        <v>45521</v>
      </c>
      <c r="C968" s="3" t="s">
        <v>841</v>
      </c>
      <c r="D968" s="3" t="s">
        <v>54</v>
      </c>
      <c r="E968" s="3" t="s">
        <v>285</v>
      </c>
      <c r="F968" s="5">
        <v>8</v>
      </c>
      <c r="G968" s="5">
        <v>960</v>
      </c>
      <c r="H968" s="5">
        <v>1.3</v>
      </c>
      <c r="I968" s="5">
        <v>7580.16</v>
      </c>
      <c r="J968" s="3" t="s">
        <v>79</v>
      </c>
      <c r="K968" s="3" t="s">
        <v>51</v>
      </c>
      <c r="L968" t="str">
        <f>IFERROR(VLOOKUP(D968,Products!$A$2:$F$61,3,FALSE()),"")</f>
        <v>Sports</v>
      </c>
      <c r="M968" t="str">
        <f>IFERROR(VLOOKUP(E968,Sales_Reps!$A$2:$C$31,3,FALSE()),"")</f>
        <v>South</v>
      </c>
      <c r="N968">
        <f>IFERROR(VLOOKUP(D968,Products!$A$2:$F$61,4,FALSE()),"")</f>
        <v>705</v>
      </c>
      <c r="O968" t="str">
        <f>IFERROR(VLOOKUP(C968,Customers!$A$2:$F$301,5,FALSE()),"")</f>
        <v>Retail</v>
      </c>
      <c r="P968">
        <f>IFERROR(VLOOKUP(C968,Customers!$A$2:$F$301,3,FALSE()),"")</f>
        <v>37</v>
      </c>
      <c r="Q968">
        <f t="shared" si="45"/>
        <v>0.265625</v>
      </c>
      <c r="R968">
        <f>IF(AND(COUNTIF($A$2:$A$2047,A968)&gt;1,COUNTIF($A$2:A968,A968)=1),1,0)</f>
        <v>0</v>
      </c>
      <c r="S968" t="b">
        <f>IFERROR(VLOOKUP(D968,Products!$A$2:$F$61,6,FALSE()),"")</f>
        <v>1</v>
      </c>
      <c r="T968" t="str">
        <f>IF(COUNTIF(Customers!$A$2:$A$301,C968)=0,"Missing","OK")</f>
        <v>OK</v>
      </c>
      <c r="U968" t="str">
        <f t="shared" si="46"/>
        <v>Mumbai</v>
      </c>
      <c r="V968">
        <f t="shared" si="47"/>
        <v>0</v>
      </c>
    </row>
    <row r="969" spans="1:22" ht="15" customHeight="1" x14ac:dyDescent="0.35">
      <c r="A969" s="3" t="s">
        <v>1388</v>
      </c>
      <c r="B969" s="4">
        <v>45612</v>
      </c>
      <c r="C969" s="3" t="s">
        <v>898</v>
      </c>
      <c r="D969" s="3" t="s">
        <v>106</v>
      </c>
      <c r="E969" s="3" t="s">
        <v>46</v>
      </c>
      <c r="F969" s="5">
        <v>9</v>
      </c>
      <c r="G969" s="5">
        <v>2480</v>
      </c>
      <c r="H969" s="5">
        <v>15.6</v>
      </c>
      <c r="I969" s="5">
        <v>18838.080000000002</v>
      </c>
      <c r="J969" s="3" t="s">
        <v>26</v>
      </c>
      <c r="K969" s="3" t="s">
        <v>51</v>
      </c>
      <c r="L969" t="str">
        <f>IFERROR(VLOOKUP(D969,Products!$A$2:$F$61,3,FALSE()),"")</f>
        <v>Apparel</v>
      </c>
      <c r="M969" t="str">
        <f>IFERROR(VLOOKUP(E969,Sales_Reps!$A$2:$C$31,3,FALSE()),"")</f>
        <v>North</v>
      </c>
      <c r="N969">
        <f>IFERROR(VLOOKUP(D969,Products!$A$2:$F$61,4,FALSE()),"")</f>
        <v>1173</v>
      </c>
      <c r="O969" t="str">
        <f>IFERROR(VLOOKUP(C969,Customers!$A$2:$F$301,5,FALSE()),"")</f>
        <v>SMB</v>
      </c>
      <c r="P969">
        <f>IFERROR(VLOOKUP(C969,Customers!$A$2:$F$301,3,FALSE()),"")</f>
        <v>65</v>
      </c>
      <c r="Q969">
        <f t="shared" si="45"/>
        <v>0.52701612903225803</v>
      </c>
      <c r="R969">
        <f>IF(AND(COUNTIF($A$2:$A$2047,A969)&gt;1,COUNTIF($A$2:A969,A969)=1),1,0)</f>
        <v>0</v>
      </c>
      <c r="S969" t="b">
        <f>IFERROR(VLOOKUP(D969,Products!$A$2:$F$61,6,FALSE()),"")</f>
        <v>1</v>
      </c>
      <c r="T969" t="str">
        <f>IF(COUNTIF(Customers!$A$2:$A$301,C969)=0,"Missing","OK")</f>
        <v>OK</v>
      </c>
      <c r="U969" t="str">
        <f t="shared" si="46"/>
        <v>Mumbai</v>
      </c>
      <c r="V969">
        <f t="shared" si="47"/>
        <v>0</v>
      </c>
    </row>
    <row r="970" spans="1:22" ht="15" customHeight="1" x14ac:dyDescent="0.35">
      <c r="A970" s="3" t="s">
        <v>1389</v>
      </c>
      <c r="B970" s="4">
        <v>45566</v>
      </c>
      <c r="C970" s="3" t="s">
        <v>1390</v>
      </c>
      <c r="D970" s="3" t="s">
        <v>66</v>
      </c>
      <c r="E970" s="3" t="s">
        <v>264</v>
      </c>
      <c r="F970" s="5">
        <v>1</v>
      </c>
      <c r="G970" s="5">
        <v>970</v>
      </c>
      <c r="H970" s="5">
        <v>24.9</v>
      </c>
      <c r="I970" s="5">
        <v>728.47</v>
      </c>
      <c r="J970" s="3" t="s">
        <v>26</v>
      </c>
      <c r="K970" s="3" t="s">
        <v>56</v>
      </c>
      <c r="L970" t="str">
        <f>IFERROR(VLOOKUP(D970,Products!$A$2:$F$61,3,FALSE()),"")</f>
        <v>Grocery</v>
      </c>
      <c r="M970" t="str">
        <f>IFERROR(VLOOKUP(E970,Sales_Reps!$A$2:$C$31,3,FALSE()),"")</f>
        <v>South</v>
      </c>
      <c r="N970">
        <f>IFERROR(VLOOKUP(D970,Products!$A$2:$F$61,4,FALSE()),"")</f>
        <v>434</v>
      </c>
      <c r="O970" t="str">
        <f>IFERROR(VLOOKUP(C970,Customers!$A$2:$F$301,5,FALSE()),"")</f>
        <v/>
      </c>
      <c r="P970" t="str">
        <f>IFERROR(VLOOKUP(C970,Customers!$A$2:$F$301,3,FALSE()),"")</f>
        <v/>
      </c>
      <c r="Q970">
        <f t="shared" si="45"/>
        <v>0.5525773195876289</v>
      </c>
      <c r="R970">
        <f>IF(AND(COUNTIF($A$2:$A$2047,A970)&gt;1,COUNTIF($A$2:A970,A970)=1),1,0)</f>
        <v>0</v>
      </c>
      <c r="S970" t="b">
        <f>IFERROR(VLOOKUP(D970,Products!$A$2:$F$61,6,FALSE()),"")</f>
        <v>1</v>
      </c>
      <c r="T970" t="str">
        <f>IF(COUNTIF(Customers!$A$2:$A$301,C970)=0,"Missing","OK")</f>
        <v>Missing</v>
      </c>
      <c r="U970" t="str">
        <f t="shared" si="46"/>
        <v>Bengaluru</v>
      </c>
      <c r="V970">
        <f t="shared" si="47"/>
        <v>728.47</v>
      </c>
    </row>
    <row r="971" spans="1:22" ht="15" customHeight="1" x14ac:dyDescent="0.35">
      <c r="A971" s="3" t="s">
        <v>1391</v>
      </c>
      <c r="B971" s="4">
        <v>45606</v>
      </c>
      <c r="C971" s="3" t="s">
        <v>346</v>
      </c>
      <c r="D971" s="3" t="s">
        <v>306</v>
      </c>
      <c r="E971" s="3" t="s">
        <v>224</v>
      </c>
      <c r="F971" s="5">
        <v>4</v>
      </c>
      <c r="G971" s="5">
        <v>2380</v>
      </c>
      <c r="H971" s="5">
        <v>9.5</v>
      </c>
      <c r="I971" s="5">
        <v>8615.6</v>
      </c>
      <c r="J971" s="3" t="s">
        <v>79</v>
      </c>
      <c r="K971" s="3" t="s">
        <v>27</v>
      </c>
      <c r="L971" t="str">
        <f>IFERROR(VLOOKUP(D971,Products!$A$2:$F$61,3,FALSE()),"")</f>
        <v>Grocery</v>
      </c>
      <c r="M971" t="str">
        <f>IFERROR(VLOOKUP(E971,Sales_Reps!$A$2:$C$31,3,FALSE()),"")</f>
        <v>East</v>
      </c>
      <c r="N971">
        <f>IFERROR(VLOOKUP(D971,Products!$A$2:$F$61,4,FALSE()),"")</f>
        <v>1182</v>
      </c>
      <c r="O971" t="str">
        <f>IFERROR(VLOOKUP(C971,Customers!$A$2:$F$301,5,FALSE()),"")</f>
        <v>SMB</v>
      </c>
      <c r="P971">
        <f>IFERROR(VLOOKUP(C971,Customers!$A$2:$F$301,3,FALSE()),"")</f>
        <v>53</v>
      </c>
      <c r="Q971">
        <f t="shared" si="45"/>
        <v>0.50336134453781511</v>
      </c>
      <c r="R971">
        <f>IF(AND(COUNTIF($A$2:$A$2047,A971)&gt;1,COUNTIF($A$2:A971,A971)=1),1,0)</f>
        <v>0</v>
      </c>
      <c r="S971" t="b">
        <f>IFERROR(VLOOKUP(D971,Products!$A$2:$F$61,6,FALSE()),"")</f>
        <v>1</v>
      </c>
      <c r="T971" t="str">
        <f>IF(COUNTIF(Customers!$A$2:$A$301,C971)=0,"Missing","OK")</f>
        <v>OK</v>
      </c>
      <c r="U971" t="str">
        <f t="shared" si="46"/>
        <v>Pune</v>
      </c>
      <c r="V971">
        <f t="shared" si="47"/>
        <v>0</v>
      </c>
    </row>
    <row r="972" spans="1:22" ht="15" customHeight="1" x14ac:dyDescent="0.35">
      <c r="A972" s="3" t="s">
        <v>1392</v>
      </c>
      <c r="B972" s="4">
        <v>45423</v>
      </c>
      <c r="C972" s="3" t="s">
        <v>69</v>
      </c>
      <c r="D972" s="3" t="s">
        <v>299</v>
      </c>
      <c r="E972" s="3" t="s">
        <v>31</v>
      </c>
      <c r="F972" s="5">
        <v>4</v>
      </c>
      <c r="G972" s="5">
        <v>5410</v>
      </c>
      <c r="H972" s="5">
        <v>18.7</v>
      </c>
      <c r="I972" s="5">
        <v>17593.32</v>
      </c>
      <c r="J972" s="3" t="s">
        <v>26</v>
      </c>
      <c r="K972" s="3" t="s">
        <v>72</v>
      </c>
      <c r="L972" t="str">
        <f>IFERROR(VLOOKUP(D972,Products!$A$2:$F$61,3,FALSE()),"")</f>
        <v>Sports</v>
      </c>
      <c r="M972" t="str">
        <f>IFERROR(VLOOKUP(E972,Sales_Reps!$A$2:$C$31,3,FALSE()),"")</f>
        <v>North</v>
      </c>
      <c r="N972">
        <f>IFERROR(VLOOKUP(D972,Products!$A$2:$F$61,4,FALSE()),"")</f>
        <v>2265</v>
      </c>
      <c r="O972" t="str">
        <f>IFERROR(VLOOKUP(C972,Customers!$A$2:$F$301,5,FALSE()),"")</f>
        <v>Retail</v>
      </c>
      <c r="P972">
        <f>IFERROR(VLOOKUP(C972,Customers!$A$2:$F$301,3,FALSE()),"")</f>
        <v>60</v>
      </c>
      <c r="Q972">
        <f t="shared" si="45"/>
        <v>0.58133086876155271</v>
      </c>
      <c r="R972">
        <f>IF(AND(COUNTIF($A$2:$A$2047,A972)&gt;1,COUNTIF($A$2:A972,A972)=1),1,0)</f>
        <v>0</v>
      </c>
      <c r="S972" t="b">
        <f>IFERROR(VLOOKUP(D972,Products!$A$2:$F$61,6,FALSE()),"")</f>
        <v>1</v>
      </c>
      <c r="T972" t="str">
        <f>IF(COUNTIF(Customers!$A$2:$A$301,C972)=0,"Missing","OK")</f>
        <v>OK</v>
      </c>
      <c r="U972" t="str">
        <f t="shared" si="46"/>
        <v>Hyderabad</v>
      </c>
      <c r="V972">
        <f t="shared" si="47"/>
        <v>0</v>
      </c>
    </row>
    <row r="973" spans="1:22" ht="15" customHeight="1" x14ac:dyDescent="0.35">
      <c r="A973" s="3" t="s">
        <v>1393</v>
      </c>
      <c r="B973" s="4">
        <v>45573</v>
      </c>
      <c r="C973" s="3" t="s">
        <v>223</v>
      </c>
      <c r="D973" s="3" t="s">
        <v>382</v>
      </c>
      <c r="E973" s="3" t="s">
        <v>224</v>
      </c>
      <c r="F973" s="5">
        <v>7</v>
      </c>
      <c r="G973" s="5">
        <v>5080</v>
      </c>
      <c r="H973" s="5">
        <v>6.5</v>
      </c>
      <c r="I973" s="5">
        <v>33248.6</v>
      </c>
      <c r="J973" s="3" t="s">
        <v>26</v>
      </c>
      <c r="K973" s="3" t="s">
        <v>33</v>
      </c>
      <c r="L973" t="str">
        <f>IFERROR(VLOOKUP(D973,Products!$A$2:$F$61,3,FALSE()),"")</f>
        <v>Home</v>
      </c>
      <c r="M973" t="str">
        <f>IFERROR(VLOOKUP(E973,Sales_Reps!$A$2:$C$31,3,FALSE()),"")</f>
        <v>East</v>
      </c>
      <c r="N973">
        <f>IFERROR(VLOOKUP(D973,Products!$A$2:$F$61,4,FALSE()),"")</f>
        <v>2459</v>
      </c>
      <c r="O973" t="str">
        <f>IFERROR(VLOOKUP(C973,Customers!$A$2:$F$301,5,FALSE()),"")</f>
        <v>Retail</v>
      </c>
      <c r="P973">
        <f>IFERROR(VLOOKUP(C973,Customers!$A$2:$F$301,3,FALSE()),"")</f>
        <v>28</v>
      </c>
      <c r="Q973">
        <f t="shared" si="45"/>
        <v>0.51594488188976373</v>
      </c>
      <c r="R973">
        <f>IF(AND(COUNTIF($A$2:$A$2047,A973)&gt;1,COUNTIF($A$2:A973,A973)=1),1,0)</f>
        <v>0</v>
      </c>
      <c r="S973" t="b">
        <f>IFERROR(VLOOKUP(D973,Products!$A$2:$F$61,6,FALSE()),"")</f>
        <v>1</v>
      </c>
      <c r="T973" t="str">
        <f>IF(COUNTIF(Customers!$A$2:$A$301,C973)=0,"Missing","OK")</f>
        <v>OK</v>
      </c>
      <c r="U973" t="str">
        <f t="shared" si="46"/>
        <v>Chennai</v>
      </c>
      <c r="V973">
        <f t="shared" si="47"/>
        <v>0</v>
      </c>
    </row>
    <row r="974" spans="1:22" ht="15" customHeight="1" x14ac:dyDescent="0.35">
      <c r="A974" s="3" t="s">
        <v>1394</v>
      </c>
      <c r="B974" s="4">
        <v>45339</v>
      </c>
      <c r="C974" s="3" t="s">
        <v>1111</v>
      </c>
      <c r="D974" s="3" t="s">
        <v>59</v>
      </c>
      <c r="E974" s="3" t="s">
        <v>50</v>
      </c>
      <c r="F974" s="5">
        <v>5</v>
      </c>
      <c r="G974" s="5">
        <v>1430</v>
      </c>
      <c r="H974" s="5">
        <v>19.8</v>
      </c>
      <c r="I974" s="5">
        <v>5734.3</v>
      </c>
      <c r="J974" s="3" t="s">
        <v>26</v>
      </c>
      <c r="K974" s="3" t="s">
        <v>27</v>
      </c>
      <c r="L974" t="str">
        <f>IFERROR(VLOOKUP(D974,Products!$A$2:$F$61,3,FALSE()),"")</f>
        <v>Electronics</v>
      </c>
      <c r="M974" t="str">
        <f>IFERROR(VLOOKUP(E974,Sales_Reps!$A$2:$C$31,3,FALSE()),"")</f>
        <v>West</v>
      </c>
      <c r="N974">
        <f>IFERROR(VLOOKUP(D974,Products!$A$2:$F$61,4,FALSE()),"")</f>
        <v>861</v>
      </c>
      <c r="O974" t="str">
        <f>IFERROR(VLOOKUP(C974,Customers!$A$2:$F$301,5,FALSE()),"")</f>
        <v>Retail</v>
      </c>
      <c r="P974">
        <f>IFERROR(VLOOKUP(C974,Customers!$A$2:$F$301,3,FALSE()),"")</f>
        <v>39</v>
      </c>
      <c r="Q974">
        <f t="shared" si="45"/>
        <v>0.39790209790209791</v>
      </c>
      <c r="R974">
        <f>IF(AND(COUNTIF($A$2:$A$2047,A974)&gt;1,COUNTIF($A$2:A974,A974)=1),1,0)</f>
        <v>0</v>
      </c>
      <c r="S974" t="b">
        <f>IFERROR(VLOOKUP(D974,Products!$A$2:$F$61,6,FALSE()),"")</f>
        <v>1</v>
      </c>
      <c r="T974" t="str">
        <f>IF(COUNTIF(Customers!$A$2:$A$301,C974)=0,"Missing","OK")</f>
        <v>OK</v>
      </c>
      <c r="U974" t="str">
        <f t="shared" si="46"/>
        <v>Pune</v>
      </c>
      <c r="V974">
        <f t="shared" si="47"/>
        <v>0</v>
      </c>
    </row>
    <row r="975" spans="1:22" ht="15" customHeight="1" x14ac:dyDescent="0.35">
      <c r="A975" s="3" t="s">
        <v>1395</v>
      </c>
      <c r="B975" s="4">
        <v>45611</v>
      </c>
      <c r="C975" s="3" t="s">
        <v>807</v>
      </c>
      <c r="D975" s="3" t="s">
        <v>142</v>
      </c>
      <c r="E975" s="3" t="s">
        <v>212</v>
      </c>
      <c r="F975" s="5">
        <v>7</v>
      </c>
      <c r="G975" s="5">
        <v>660</v>
      </c>
      <c r="H975" s="5">
        <v>17.3</v>
      </c>
      <c r="I975" s="5">
        <v>3820.74</v>
      </c>
      <c r="J975" s="3" t="s">
        <v>26</v>
      </c>
      <c r="K975" s="3" t="s">
        <v>38</v>
      </c>
      <c r="L975" t="str">
        <f>IFERROR(VLOOKUP(D975,Products!$A$2:$F$61,3,FALSE()),"")</f>
        <v>Home</v>
      </c>
      <c r="M975" t="str">
        <f>IFERROR(VLOOKUP(E975,Sales_Reps!$A$2:$C$31,3,FALSE()),"")</f>
        <v>South</v>
      </c>
      <c r="N975">
        <f>IFERROR(VLOOKUP(D975,Products!$A$2:$F$61,4,FALSE()),"")</f>
        <v>329</v>
      </c>
      <c r="O975" t="str">
        <f>IFERROR(VLOOKUP(C975,Customers!$A$2:$F$301,5,FALSE()),"")</f>
        <v>SMB</v>
      </c>
      <c r="P975">
        <f>IFERROR(VLOOKUP(C975,Customers!$A$2:$F$301,3,FALSE()),"")</f>
        <v>38</v>
      </c>
      <c r="Q975">
        <f t="shared" si="45"/>
        <v>0.50151515151515147</v>
      </c>
      <c r="R975">
        <f>IF(AND(COUNTIF($A$2:$A$2047,A975)&gt;1,COUNTIF($A$2:A975,A975)=1),1,0)</f>
        <v>0</v>
      </c>
      <c r="S975" t="b">
        <f>IFERROR(VLOOKUP(D975,Products!$A$2:$F$61,6,FALSE()),"")</f>
        <v>1</v>
      </c>
      <c r="T975" t="str">
        <f>IF(COUNTIF(Customers!$A$2:$A$301,C975)=0,"Missing","OK")</f>
        <v>OK</v>
      </c>
      <c r="U975" t="str">
        <f t="shared" si="46"/>
        <v>Delhi</v>
      </c>
      <c r="V975">
        <f t="shared" si="47"/>
        <v>0</v>
      </c>
    </row>
    <row r="976" spans="1:22" ht="15" customHeight="1" x14ac:dyDescent="0.35">
      <c r="A976" s="3" t="s">
        <v>1396</v>
      </c>
      <c r="B976" s="4">
        <v>45505</v>
      </c>
      <c r="C976" s="3" t="s">
        <v>755</v>
      </c>
      <c r="D976" s="3" t="s">
        <v>198</v>
      </c>
      <c r="E976" s="3" t="s">
        <v>78</v>
      </c>
      <c r="F976" s="5">
        <v>10</v>
      </c>
      <c r="G976" s="5">
        <v>1540</v>
      </c>
      <c r="H976" s="5">
        <v>17.5</v>
      </c>
      <c r="I976" s="5">
        <v>12705</v>
      </c>
      <c r="J976" s="3" t="s">
        <v>26</v>
      </c>
      <c r="K976" s="3" t="s">
        <v>27</v>
      </c>
      <c r="L976" t="str">
        <f>IFERROR(VLOOKUP(D976,Products!$A$2:$F$61,3,FALSE()),"")</f>
        <v>Beauty</v>
      </c>
      <c r="M976" t="str">
        <f>IFERROR(VLOOKUP(E976,Sales_Reps!$A$2:$C$31,3,FALSE()),"")</f>
        <v>North</v>
      </c>
      <c r="N976">
        <f>IFERROR(VLOOKUP(D976,Products!$A$2:$F$61,4,FALSE()),"")</f>
        <v>647</v>
      </c>
      <c r="O976" t="str">
        <f>IFERROR(VLOOKUP(C976,Customers!$A$2:$F$301,5,FALSE()),"")</f>
        <v>Retail</v>
      </c>
      <c r="P976">
        <f>IFERROR(VLOOKUP(C976,Customers!$A$2:$F$301,3,FALSE()),"")</f>
        <v>36</v>
      </c>
      <c r="Q976">
        <f t="shared" si="45"/>
        <v>0.57987012987012987</v>
      </c>
      <c r="R976">
        <f>IF(AND(COUNTIF($A$2:$A$2047,A976)&gt;1,COUNTIF($A$2:A976,A976)=1),1,0)</f>
        <v>0</v>
      </c>
      <c r="S976" t="b">
        <f>IFERROR(VLOOKUP(D976,Products!$A$2:$F$61,6,FALSE()),"")</f>
        <v>0</v>
      </c>
      <c r="T976" t="str">
        <f>IF(COUNTIF(Customers!$A$2:$A$301,C976)=0,"Missing","OK")</f>
        <v>OK</v>
      </c>
      <c r="U976" t="str">
        <f t="shared" si="46"/>
        <v>Pune</v>
      </c>
      <c r="V976">
        <f t="shared" si="47"/>
        <v>0</v>
      </c>
    </row>
    <row r="977" spans="1:22" ht="15" customHeight="1" x14ac:dyDescent="0.35">
      <c r="A977" s="3" t="s">
        <v>1397</v>
      </c>
      <c r="B977" s="4">
        <v>45358</v>
      </c>
      <c r="C977" s="3" t="s">
        <v>472</v>
      </c>
      <c r="D977" s="3" t="s">
        <v>277</v>
      </c>
      <c r="E977" s="3" t="s">
        <v>87</v>
      </c>
      <c r="F977" s="5">
        <v>10</v>
      </c>
      <c r="G977" s="5">
        <v>2210</v>
      </c>
      <c r="H977" s="5">
        <v>24.1</v>
      </c>
      <c r="I977" s="5">
        <v>16773.900000000001</v>
      </c>
      <c r="J977" s="3" t="s">
        <v>32</v>
      </c>
      <c r="K977" s="3" t="s">
        <v>38</v>
      </c>
      <c r="L977" t="str">
        <f>IFERROR(VLOOKUP(D977,Products!$A$2:$F$61,3,FALSE()),"")</f>
        <v>Grocery</v>
      </c>
      <c r="M977" t="str">
        <f>IFERROR(VLOOKUP(E977,Sales_Reps!$A$2:$C$31,3,FALSE()),"")</f>
        <v>North</v>
      </c>
      <c r="N977">
        <f>IFERROR(VLOOKUP(D977,Products!$A$2:$F$61,4,FALSE()),"")</f>
        <v>1010</v>
      </c>
      <c r="O977" t="str">
        <f>IFERROR(VLOOKUP(C977,Customers!$A$2:$F$301,5,FALSE()),"")</f>
        <v>SMB</v>
      </c>
      <c r="P977">
        <f>IFERROR(VLOOKUP(C977,Customers!$A$2:$F$301,3,FALSE()),"")</f>
        <v>48</v>
      </c>
      <c r="Q977">
        <f t="shared" si="45"/>
        <v>0.54298642533936647</v>
      </c>
      <c r="R977">
        <f>IF(AND(COUNTIF($A$2:$A$2047,A977)&gt;1,COUNTIF($A$2:A977,A977)=1),1,0)</f>
        <v>1</v>
      </c>
      <c r="S977" t="b">
        <f>IFERROR(VLOOKUP(D977,Products!$A$2:$F$61,6,FALSE()),"")</f>
        <v>1</v>
      </c>
      <c r="T977" t="str">
        <f>IF(COUNTIF(Customers!$A$2:$A$301,C977)=0,"Missing","OK")</f>
        <v>OK</v>
      </c>
      <c r="U977" t="str">
        <f t="shared" si="46"/>
        <v>Delhi</v>
      </c>
      <c r="V977">
        <f t="shared" si="47"/>
        <v>0</v>
      </c>
    </row>
    <row r="978" spans="1:22" ht="15" customHeight="1" x14ac:dyDescent="0.35">
      <c r="A978" s="3" t="s">
        <v>1398</v>
      </c>
      <c r="B978" s="4">
        <v>45519</v>
      </c>
      <c r="C978" s="3" t="s">
        <v>467</v>
      </c>
      <c r="D978" s="3" t="s">
        <v>54</v>
      </c>
      <c r="E978" s="3" t="s">
        <v>224</v>
      </c>
      <c r="F978" s="5">
        <v>4</v>
      </c>
      <c r="G978" s="5">
        <v>960</v>
      </c>
      <c r="H978" s="5">
        <v>13.4</v>
      </c>
      <c r="I978" s="5">
        <v>3325.44</v>
      </c>
      <c r="J978" s="3" t="s">
        <v>26</v>
      </c>
      <c r="K978" s="3" t="s">
        <v>51</v>
      </c>
      <c r="L978" t="str">
        <f>IFERROR(VLOOKUP(D978,Products!$A$2:$F$61,3,FALSE()),"")</f>
        <v>Sports</v>
      </c>
      <c r="M978" t="str">
        <f>IFERROR(VLOOKUP(E978,Sales_Reps!$A$2:$C$31,3,FALSE()),"")</f>
        <v>East</v>
      </c>
      <c r="N978">
        <f>IFERROR(VLOOKUP(D978,Products!$A$2:$F$61,4,FALSE()),"")</f>
        <v>705</v>
      </c>
      <c r="O978" t="str">
        <f>IFERROR(VLOOKUP(C978,Customers!$A$2:$F$301,5,FALSE()),"")</f>
        <v>Retail</v>
      </c>
      <c r="P978">
        <f>IFERROR(VLOOKUP(C978,Customers!$A$2:$F$301,3,FALSE()),"")</f>
        <v>44</v>
      </c>
      <c r="Q978">
        <f t="shared" si="45"/>
        <v>0.265625</v>
      </c>
      <c r="R978">
        <f>IF(AND(COUNTIF($A$2:$A$2047,A978)&gt;1,COUNTIF($A$2:A978,A978)=1),1,0)</f>
        <v>0</v>
      </c>
      <c r="S978" t="b">
        <f>IFERROR(VLOOKUP(D978,Products!$A$2:$F$61,6,FALSE()),"")</f>
        <v>1</v>
      </c>
      <c r="T978" t="str">
        <f>IF(COUNTIF(Customers!$A$2:$A$301,C978)=0,"Missing","OK")</f>
        <v>OK</v>
      </c>
      <c r="U978" t="str">
        <f t="shared" si="46"/>
        <v>Mumbai</v>
      </c>
      <c r="V978">
        <f t="shared" si="47"/>
        <v>0</v>
      </c>
    </row>
    <row r="979" spans="1:22" ht="15" customHeight="1" x14ac:dyDescent="0.35">
      <c r="A979" s="3" t="s">
        <v>1399</v>
      </c>
      <c r="B979" s="4">
        <v>45628</v>
      </c>
      <c r="C979" s="3" t="s">
        <v>1289</v>
      </c>
      <c r="D979" s="3" t="s">
        <v>96</v>
      </c>
      <c r="E979" s="3" t="s">
        <v>224</v>
      </c>
      <c r="F979" s="5">
        <v>8</v>
      </c>
      <c r="G979" s="5">
        <v>3450</v>
      </c>
      <c r="H979" s="5">
        <v>3.7</v>
      </c>
      <c r="I979" s="5">
        <v>26578.799999999999</v>
      </c>
      <c r="J979" s="3" t="s">
        <v>26</v>
      </c>
      <c r="K979" s="3" t="s">
        <v>51</v>
      </c>
      <c r="L979" t="str">
        <f>IFERROR(VLOOKUP(D979,Products!$A$2:$F$61,3,FALSE()),"")</f>
        <v>Beauty</v>
      </c>
      <c r="M979" t="str">
        <f>IFERROR(VLOOKUP(E979,Sales_Reps!$A$2:$C$31,3,FALSE()),"")</f>
        <v>East</v>
      </c>
      <c r="N979">
        <f>IFERROR(VLOOKUP(D979,Products!$A$2:$F$61,4,FALSE()),"")</f>
        <v>2420</v>
      </c>
      <c r="O979" t="str">
        <f>IFERROR(VLOOKUP(C979,Customers!$A$2:$F$301,5,FALSE()),"")</f>
        <v>Retail</v>
      </c>
      <c r="P979">
        <f>IFERROR(VLOOKUP(C979,Customers!$A$2:$F$301,3,FALSE()),"")</f>
        <v>38</v>
      </c>
      <c r="Q979">
        <f t="shared" si="45"/>
        <v>0.29855072463768118</v>
      </c>
      <c r="R979">
        <f>IF(AND(COUNTIF($A$2:$A$2047,A979)&gt;1,COUNTIF($A$2:A979,A979)=1),1,0)</f>
        <v>0</v>
      </c>
      <c r="S979" t="b">
        <f>IFERROR(VLOOKUP(D979,Products!$A$2:$F$61,6,FALSE()),"")</f>
        <v>1</v>
      </c>
      <c r="T979" t="str">
        <f>IF(COUNTIF(Customers!$A$2:$A$301,C979)=0,"Missing","OK")</f>
        <v>OK</v>
      </c>
      <c r="U979" t="str">
        <f t="shared" si="46"/>
        <v>Mumbai</v>
      </c>
      <c r="V979">
        <f t="shared" si="47"/>
        <v>0</v>
      </c>
    </row>
    <row r="980" spans="1:22" ht="15" customHeight="1" x14ac:dyDescent="0.35">
      <c r="A980" s="3" t="s">
        <v>1400</v>
      </c>
      <c r="B980" s="4">
        <v>45481</v>
      </c>
      <c r="C980" s="3" t="s">
        <v>1401</v>
      </c>
      <c r="D980" s="3" t="s">
        <v>234</v>
      </c>
      <c r="E980" s="3" t="s">
        <v>31</v>
      </c>
      <c r="F980" s="5">
        <v>6</v>
      </c>
      <c r="G980" s="5">
        <v>2030</v>
      </c>
      <c r="H980" s="5">
        <v>9.5</v>
      </c>
      <c r="I980" s="5">
        <v>11022.9</v>
      </c>
      <c r="J980" s="3" t="s">
        <v>26</v>
      </c>
      <c r="K980" s="3" t="s">
        <v>51</v>
      </c>
      <c r="L980" t="str">
        <f>IFERROR(VLOOKUP(D980,Products!$A$2:$F$61,3,FALSE()),"")</f>
        <v>Home</v>
      </c>
      <c r="M980" t="str">
        <f>IFERROR(VLOOKUP(E980,Sales_Reps!$A$2:$C$31,3,FALSE()),"")</f>
        <v>North</v>
      </c>
      <c r="N980">
        <f>IFERROR(VLOOKUP(D980,Products!$A$2:$F$61,4,FALSE()),"")</f>
        <v>1143</v>
      </c>
      <c r="O980" t="str">
        <f>IFERROR(VLOOKUP(C980,Customers!$A$2:$F$301,5,FALSE()),"")</f>
        <v/>
      </c>
      <c r="P980" t="str">
        <f>IFERROR(VLOOKUP(C980,Customers!$A$2:$F$301,3,FALSE()),"")</f>
        <v/>
      </c>
      <c r="Q980">
        <f t="shared" si="45"/>
        <v>0.43694581280788175</v>
      </c>
      <c r="R980">
        <f>IF(AND(COUNTIF($A$2:$A$2047,A980)&gt;1,COUNTIF($A$2:A980,A980)=1),1,0)</f>
        <v>0</v>
      </c>
      <c r="S980" t="b">
        <f>IFERROR(VLOOKUP(D980,Products!$A$2:$F$61,6,FALSE()),"")</f>
        <v>1</v>
      </c>
      <c r="T980" t="str">
        <f>IF(COUNTIF(Customers!$A$2:$A$301,C980)=0,"Missing","OK")</f>
        <v>Missing</v>
      </c>
      <c r="U980" t="str">
        <f t="shared" si="46"/>
        <v>Mumbai</v>
      </c>
      <c r="V980">
        <f t="shared" si="47"/>
        <v>0</v>
      </c>
    </row>
    <row r="981" spans="1:22" ht="15" customHeight="1" x14ac:dyDescent="0.35">
      <c r="A981" s="3" t="s">
        <v>1402</v>
      </c>
      <c r="B981" s="4">
        <v>45399</v>
      </c>
      <c r="C981" s="3" t="s">
        <v>502</v>
      </c>
      <c r="D981" s="3" t="s">
        <v>391</v>
      </c>
      <c r="E981" s="3" t="s">
        <v>143</v>
      </c>
      <c r="F981" s="5">
        <v>7</v>
      </c>
      <c r="G981" s="5">
        <v>3450</v>
      </c>
      <c r="H981" s="5">
        <v>28.2</v>
      </c>
      <c r="I981" s="5">
        <v>17339.7</v>
      </c>
      <c r="J981" s="3" t="s">
        <v>26</v>
      </c>
      <c r="K981" s="3" t="s">
        <v>27</v>
      </c>
      <c r="L981" t="str">
        <f>IFERROR(VLOOKUP(D981,Products!$A$2:$F$61,3,FALSE()),"")</f>
        <v>Apparel</v>
      </c>
      <c r="M981" t="str">
        <f>IFERROR(VLOOKUP(E981,Sales_Reps!$A$2:$C$31,3,FALSE()),"")</f>
        <v>South</v>
      </c>
      <c r="N981">
        <f>IFERROR(VLOOKUP(D981,Products!$A$2:$F$61,4,FALSE()),"")</f>
        <v>1748</v>
      </c>
      <c r="O981" t="str">
        <f>IFERROR(VLOOKUP(C981,Customers!$A$2:$F$301,5,FALSE()),"")</f>
        <v>SMB</v>
      </c>
      <c r="P981">
        <f>IFERROR(VLOOKUP(C981,Customers!$A$2:$F$301,3,FALSE()),"")</f>
        <v>24</v>
      </c>
      <c r="Q981">
        <f t="shared" si="45"/>
        <v>0.49333333333333335</v>
      </c>
      <c r="R981">
        <f>IF(AND(COUNTIF($A$2:$A$2047,A981)&gt;1,COUNTIF($A$2:A981,A981)=1),1,0)</f>
        <v>0</v>
      </c>
      <c r="S981" t="b">
        <f>IFERROR(VLOOKUP(D981,Products!$A$2:$F$61,6,FALSE()),"")</f>
        <v>1</v>
      </c>
      <c r="T981" t="str">
        <f>IF(COUNTIF(Customers!$A$2:$A$301,C981)=0,"Missing","OK")</f>
        <v>OK</v>
      </c>
      <c r="U981" t="str">
        <f t="shared" si="46"/>
        <v>Pune</v>
      </c>
      <c r="V981">
        <f t="shared" si="47"/>
        <v>0</v>
      </c>
    </row>
    <row r="982" spans="1:22" ht="15" customHeight="1" x14ac:dyDescent="0.35">
      <c r="A982" s="3" t="s">
        <v>1403</v>
      </c>
      <c r="B982" s="4">
        <v>45531</v>
      </c>
      <c r="C982" s="3" t="s">
        <v>424</v>
      </c>
      <c r="D982" s="3" t="s">
        <v>173</v>
      </c>
      <c r="E982" s="3" t="s">
        <v>212</v>
      </c>
      <c r="F982" s="5">
        <v>7</v>
      </c>
      <c r="G982" s="5">
        <v>3780</v>
      </c>
      <c r="H982" s="5">
        <v>15.1</v>
      </c>
      <c r="I982" s="5">
        <v>22464.54</v>
      </c>
      <c r="J982" s="3" t="s">
        <v>26</v>
      </c>
      <c r="K982" s="3" t="s">
        <v>27</v>
      </c>
      <c r="L982" t="str">
        <f>IFERROR(VLOOKUP(D982,Products!$A$2:$F$61,3,FALSE()),"")</f>
        <v>Grocery</v>
      </c>
      <c r="M982" t="str">
        <f>IFERROR(VLOOKUP(E982,Sales_Reps!$A$2:$C$31,3,FALSE()),"")</f>
        <v>South</v>
      </c>
      <c r="N982">
        <f>IFERROR(VLOOKUP(D982,Products!$A$2:$F$61,4,FALSE()),"")</f>
        <v>2436</v>
      </c>
      <c r="O982" t="str">
        <f>IFERROR(VLOOKUP(C982,Customers!$A$2:$F$301,5,FALSE()),"")</f>
        <v>Retail</v>
      </c>
      <c r="P982">
        <f>IFERROR(VLOOKUP(C982,Customers!$A$2:$F$301,3,FALSE()),"")</f>
        <v>49</v>
      </c>
      <c r="Q982">
        <f t="shared" si="45"/>
        <v>0.35555555555555557</v>
      </c>
      <c r="R982">
        <f>IF(AND(COUNTIF($A$2:$A$2047,A982)&gt;1,COUNTIF($A$2:A982,A982)=1),1,0)</f>
        <v>0</v>
      </c>
      <c r="S982" t="b">
        <f>IFERROR(VLOOKUP(D982,Products!$A$2:$F$61,6,FALSE()),"")</f>
        <v>1</v>
      </c>
      <c r="T982" t="str">
        <f>IF(COUNTIF(Customers!$A$2:$A$301,C982)=0,"Missing","OK")</f>
        <v>OK</v>
      </c>
      <c r="U982" t="str">
        <f t="shared" si="46"/>
        <v>Pune</v>
      </c>
      <c r="V982">
        <f t="shared" si="47"/>
        <v>0</v>
      </c>
    </row>
    <row r="983" spans="1:22" ht="15" customHeight="1" x14ac:dyDescent="0.35">
      <c r="A983" s="3" t="s">
        <v>1366</v>
      </c>
      <c r="B983" s="4">
        <v>45417</v>
      </c>
      <c r="C983" s="3" t="s">
        <v>111</v>
      </c>
      <c r="D983" s="3" t="s">
        <v>139</v>
      </c>
      <c r="E983" s="3" t="s">
        <v>236</v>
      </c>
      <c r="F983" s="5">
        <v>4</v>
      </c>
      <c r="G983" s="5">
        <v>2760</v>
      </c>
      <c r="H983" s="5">
        <v>14.8</v>
      </c>
      <c r="I983" s="5">
        <v>9406.08</v>
      </c>
      <c r="J983" s="3" t="s">
        <v>26</v>
      </c>
      <c r="K983" s="3" t="s">
        <v>27</v>
      </c>
      <c r="L983" t="str">
        <f>IFERROR(VLOOKUP(D983,Products!$A$2:$F$61,3,FALSE()),"")</f>
        <v>Grocery</v>
      </c>
      <c r="M983" t="str">
        <f>IFERROR(VLOOKUP(E983,Sales_Reps!$A$2:$C$31,3,FALSE()),"")</f>
        <v>North</v>
      </c>
      <c r="N983">
        <f>IFERROR(VLOOKUP(D983,Products!$A$2:$F$61,4,FALSE()),"")</f>
        <v>1435</v>
      </c>
      <c r="O983" t="str">
        <f>IFERROR(VLOOKUP(C983,Customers!$A$2:$F$301,5,FALSE()),"")</f>
        <v>Retail</v>
      </c>
      <c r="P983">
        <f>IFERROR(VLOOKUP(C983,Customers!$A$2:$F$301,3,FALSE()),"")</f>
        <v>50</v>
      </c>
      <c r="Q983">
        <f t="shared" si="45"/>
        <v>0.48007246376811596</v>
      </c>
      <c r="R983">
        <f>IF(AND(COUNTIF($A$2:$A$2047,A983)&gt;1,COUNTIF($A$2:A983,A983)=1),1,0)</f>
        <v>0</v>
      </c>
      <c r="S983" t="b">
        <f>IFERROR(VLOOKUP(D983,Products!$A$2:$F$61,6,FALSE()),"")</f>
        <v>1</v>
      </c>
      <c r="T983" t="str">
        <f>IF(COUNTIF(Customers!$A$2:$A$301,C983)=0,"Missing","OK")</f>
        <v>OK</v>
      </c>
      <c r="U983" t="str">
        <f t="shared" si="46"/>
        <v>Pune</v>
      </c>
      <c r="V983">
        <f t="shared" si="47"/>
        <v>0</v>
      </c>
    </row>
    <row r="984" spans="1:22" ht="15" customHeight="1" x14ac:dyDescent="0.35">
      <c r="A984" s="3" t="s">
        <v>1404</v>
      </c>
      <c r="B984" s="4">
        <v>45327</v>
      </c>
      <c r="C984" s="3" t="s">
        <v>724</v>
      </c>
      <c r="D984" s="3" t="s">
        <v>198</v>
      </c>
      <c r="E984" s="3" t="s">
        <v>168</v>
      </c>
      <c r="F984" s="5">
        <v>4</v>
      </c>
      <c r="G984" s="5">
        <v>1540</v>
      </c>
      <c r="H984" s="5">
        <v>13.9</v>
      </c>
      <c r="I984" s="5">
        <v>5303.76</v>
      </c>
      <c r="J984" s="3" t="s">
        <v>26</v>
      </c>
      <c r="K984" s="3" t="s">
        <v>27</v>
      </c>
      <c r="L984" t="str">
        <f>IFERROR(VLOOKUP(D984,Products!$A$2:$F$61,3,FALSE()),"")</f>
        <v>Beauty</v>
      </c>
      <c r="M984" t="str">
        <f>IFERROR(VLOOKUP(E984,Sales_Reps!$A$2:$C$31,3,FALSE()),"")</f>
        <v>West</v>
      </c>
      <c r="N984">
        <f>IFERROR(VLOOKUP(D984,Products!$A$2:$F$61,4,FALSE()),"")</f>
        <v>647</v>
      </c>
      <c r="O984" t="str">
        <f>IFERROR(VLOOKUP(C984,Customers!$A$2:$F$301,5,FALSE()),"")</f>
        <v>Retail</v>
      </c>
      <c r="P984">
        <f>IFERROR(VLOOKUP(C984,Customers!$A$2:$F$301,3,FALSE()),"")</f>
        <v>31</v>
      </c>
      <c r="Q984">
        <f t="shared" si="45"/>
        <v>0.57987012987012987</v>
      </c>
      <c r="R984">
        <f>IF(AND(COUNTIF($A$2:$A$2047,A984)&gt;1,COUNTIF($A$2:A984,A984)=1),1,0)</f>
        <v>0</v>
      </c>
      <c r="S984" t="b">
        <f>IFERROR(VLOOKUP(D984,Products!$A$2:$F$61,6,FALSE()),"")</f>
        <v>0</v>
      </c>
      <c r="T984" t="str">
        <f>IF(COUNTIF(Customers!$A$2:$A$301,C984)=0,"Missing","OK")</f>
        <v>OK</v>
      </c>
      <c r="U984" t="str">
        <f t="shared" si="46"/>
        <v>Pune</v>
      </c>
      <c r="V984">
        <f t="shared" si="47"/>
        <v>0</v>
      </c>
    </row>
    <row r="985" spans="1:22" ht="15" customHeight="1" x14ac:dyDescent="0.35">
      <c r="A985" s="3" t="s">
        <v>1405</v>
      </c>
      <c r="B985" s="4">
        <v>45438</v>
      </c>
      <c r="C985" s="3" t="s">
        <v>718</v>
      </c>
      <c r="D985" s="3" t="s">
        <v>165</v>
      </c>
      <c r="E985" s="3" t="s">
        <v>25</v>
      </c>
      <c r="F985" s="5">
        <v>2</v>
      </c>
      <c r="G985" s="5">
        <v>3730</v>
      </c>
      <c r="H985" s="5">
        <v>15.7</v>
      </c>
      <c r="I985" s="5">
        <v>6288.78</v>
      </c>
      <c r="J985" s="3" t="s">
        <v>79</v>
      </c>
      <c r="K985" s="3" t="s">
        <v>56</v>
      </c>
      <c r="L985" t="str">
        <f>IFERROR(VLOOKUP(D985,Products!$A$2:$F$61,3,FALSE()),"")</f>
        <v>Home</v>
      </c>
      <c r="M985" t="str">
        <f>IFERROR(VLOOKUP(E985,Sales_Reps!$A$2:$C$31,3,FALSE()),"")</f>
        <v>North</v>
      </c>
      <c r="N985">
        <f>IFERROR(VLOOKUP(D985,Products!$A$2:$F$61,4,FALSE()),"")</f>
        <v>2135</v>
      </c>
      <c r="O985" t="str">
        <f>IFERROR(VLOOKUP(C985,Customers!$A$2:$F$301,5,FALSE()),"")</f>
        <v>Retail</v>
      </c>
      <c r="P985">
        <f>IFERROR(VLOOKUP(C985,Customers!$A$2:$F$301,3,FALSE()),"")</f>
        <v>27</v>
      </c>
      <c r="Q985">
        <f t="shared" si="45"/>
        <v>0.42761394101876676</v>
      </c>
      <c r="R985">
        <f>IF(AND(COUNTIF($A$2:$A$2047,A985)&gt;1,COUNTIF($A$2:A985,A985)=1),1,0)</f>
        <v>0</v>
      </c>
      <c r="S985" t="b">
        <f>IFERROR(VLOOKUP(D985,Products!$A$2:$F$61,6,FALSE()),"")</f>
        <v>1</v>
      </c>
      <c r="T985" t="str">
        <f>IF(COUNTIF(Customers!$A$2:$A$301,C985)=0,"Missing","OK")</f>
        <v>OK</v>
      </c>
      <c r="U985" t="str">
        <f t="shared" si="46"/>
        <v>Bengaluru</v>
      </c>
      <c r="V985">
        <f t="shared" si="47"/>
        <v>0</v>
      </c>
    </row>
    <row r="986" spans="1:22" ht="15" customHeight="1" x14ac:dyDescent="0.35">
      <c r="A986" s="3" t="s">
        <v>1406</v>
      </c>
      <c r="B986" s="4">
        <v>45577</v>
      </c>
      <c r="C986" s="3" t="s">
        <v>774</v>
      </c>
      <c r="D986" s="3" t="s">
        <v>165</v>
      </c>
      <c r="E986" s="3" t="s">
        <v>282</v>
      </c>
      <c r="F986" s="5">
        <v>4</v>
      </c>
      <c r="G986" s="5">
        <v>3730</v>
      </c>
      <c r="H986" s="5">
        <v>2.1</v>
      </c>
      <c r="I986" s="5">
        <v>14606.68</v>
      </c>
      <c r="J986" s="3" t="s">
        <v>26</v>
      </c>
      <c r="K986" s="3" t="s">
        <v>56</v>
      </c>
      <c r="L986" t="str">
        <f>IFERROR(VLOOKUP(D986,Products!$A$2:$F$61,3,FALSE()),"")</f>
        <v>Home</v>
      </c>
      <c r="M986" t="str">
        <f>IFERROR(VLOOKUP(E986,Sales_Reps!$A$2:$C$31,3,FALSE()),"")</f>
        <v>West</v>
      </c>
      <c r="N986">
        <f>IFERROR(VLOOKUP(D986,Products!$A$2:$F$61,4,FALSE()),"")</f>
        <v>2135</v>
      </c>
      <c r="O986" t="str">
        <f>IFERROR(VLOOKUP(C986,Customers!$A$2:$F$301,5,FALSE()),"")</f>
        <v>Retail</v>
      </c>
      <c r="P986">
        <f>IFERROR(VLOOKUP(C986,Customers!$A$2:$F$301,3,FALSE()),"")</f>
        <v>52</v>
      </c>
      <c r="Q986">
        <f t="shared" si="45"/>
        <v>0.42761394101876676</v>
      </c>
      <c r="R986">
        <f>IF(AND(COUNTIF($A$2:$A$2047,A986)&gt;1,COUNTIF($A$2:A986,A986)=1),1,0)</f>
        <v>0</v>
      </c>
      <c r="S986" t="b">
        <f>IFERROR(VLOOKUP(D986,Products!$A$2:$F$61,6,FALSE()),"")</f>
        <v>1</v>
      </c>
      <c r="T986" t="str">
        <f>IF(COUNTIF(Customers!$A$2:$A$301,C986)=0,"Missing","OK")</f>
        <v>OK</v>
      </c>
      <c r="U986" t="str">
        <f t="shared" si="46"/>
        <v>Bengaluru</v>
      </c>
      <c r="V986">
        <f t="shared" si="47"/>
        <v>0</v>
      </c>
    </row>
    <row r="987" spans="1:22" ht="15" customHeight="1" x14ac:dyDescent="0.35">
      <c r="A987" s="3" t="s">
        <v>1407</v>
      </c>
      <c r="B987" s="4">
        <v>45457</v>
      </c>
      <c r="C987" s="3" t="s">
        <v>498</v>
      </c>
      <c r="D987" s="3" t="s">
        <v>45</v>
      </c>
      <c r="E987" s="3" t="s">
        <v>191</v>
      </c>
      <c r="F987" s="5">
        <v>1</v>
      </c>
      <c r="G987" s="5">
        <v>3160</v>
      </c>
      <c r="H987" s="5">
        <v>29.8</v>
      </c>
      <c r="I987" s="5">
        <v>2218.3200000000002</v>
      </c>
      <c r="J987" s="3" t="s">
        <v>26</v>
      </c>
      <c r="K987" s="3" t="s">
        <v>27</v>
      </c>
      <c r="L987" t="str">
        <f>IFERROR(VLOOKUP(D987,Products!$A$2:$F$61,3,FALSE()),"")</f>
        <v>Apparel</v>
      </c>
      <c r="M987" t="str">
        <f>IFERROR(VLOOKUP(E987,Sales_Reps!$A$2:$C$31,3,FALSE()),"")</f>
        <v>South</v>
      </c>
      <c r="N987">
        <f>IFERROR(VLOOKUP(D987,Products!$A$2:$F$61,4,FALSE()),"")</f>
        <v>1886</v>
      </c>
      <c r="O987" t="str">
        <f>IFERROR(VLOOKUP(C987,Customers!$A$2:$F$301,5,FALSE()),"")</f>
        <v>Retail</v>
      </c>
      <c r="P987">
        <f>IFERROR(VLOOKUP(C987,Customers!$A$2:$F$301,3,FALSE()),"")</f>
        <v>62</v>
      </c>
      <c r="Q987">
        <f t="shared" si="45"/>
        <v>0.4031645569620253</v>
      </c>
      <c r="R987">
        <f>IF(AND(COUNTIF($A$2:$A$2047,A987)&gt;1,COUNTIF($A$2:A987,A987)=1),1,0)</f>
        <v>0</v>
      </c>
      <c r="S987" t="b">
        <f>IFERROR(VLOOKUP(D987,Products!$A$2:$F$61,6,FALSE()),"")</f>
        <v>1</v>
      </c>
      <c r="T987" t="str">
        <f>IF(COUNTIF(Customers!$A$2:$A$301,C987)=0,"Missing","OK")</f>
        <v>OK</v>
      </c>
      <c r="U987" t="str">
        <f t="shared" si="46"/>
        <v>Pune</v>
      </c>
      <c r="V987">
        <f t="shared" si="47"/>
        <v>0</v>
      </c>
    </row>
    <row r="988" spans="1:22" ht="15" customHeight="1" x14ac:dyDescent="0.35">
      <c r="A988" s="3" t="s">
        <v>1408</v>
      </c>
      <c r="B988" s="4">
        <v>45544</v>
      </c>
      <c r="C988" s="3" t="s">
        <v>554</v>
      </c>
      <c r="D988" s="3" t="s">
        <v>325</v>
      </c>
      <c r="E988" s="3" t="s">
        <v>224</v>
      </c>
      <c r="F988" s="5">
        <v>9</v>
      </c>
      <c r="G988" s="5">
        <v>2290</v>
      </c>
      <c r="H988" s="5">
        <v>8.3000000000000007</v>
      </c>
      <c r="I988" s="5">
        <v>18899.37</v>
      </c>
      <c r="J988" s="3" t="s">
        <v>32</v>
      </c>
      <c r="K988" s="3" t="s">
        <v>51</v>
      </c>
      <c r="L988" t="str">
        <f>IFERROR(VLOOKUP(D988,Products!$A$2:$F$61,3,FALSE()),"")</f>
        <v>Beauty</v>
      </c>
      <c r="M988" t="str">
        <f>IFERROR(VLOOKUP(E988,Sales_Reps!$A$2:$C$31,3,FALSE()),"")</f>
        <v>East</v>
      </c>
      <c r="N988">
        <f>IFERROR(VLOOKUP(D988,Products!$A$2:$F$61,4,FALSE()),"")</f>
        <v>1219</v>
      </c>
      <c r="O988" t="str">
        <f>IFERROR(VLOOKUP(C988,Customers!$A$2:$F$301,5,FALSE()),"")</f>
        <v>Retail</v>
      </c>
      <c r="P988">
        <f>IFERROR(VLOOKUP(C988,Customers!$A$2:$F$301,3,FALSE()),"")</f>
        <v>53</v>
      </c>
      <c r="Q988">
        <f t="shared" si="45"/>
        <v>0.46768558951965067</v>
      </c>
      <c r="R988">
        <f>IF(AND(COUNTIF($A$2:$A$2047,A988)&gt;1,COUNTIF($A$2:A988,A988)=1),1,0)</f>
        <v>0</v>
      </c>
      <c r="S988" t="b">
        <f>IFERROR(VLOOKUP(D988,Products!$A$2:$F$61,6,FALSE()),"")</f>
        <v>1</v>
      </c>
      <c r="T988" t="str">
        <f>IF(COUNTIF(Customers!$A$2:$A$301,C988)=0,"Missing","OK")</f>
        <v>OK</v>
      </c>
      <c r="U988" t="str">
        <f t="shared" si="46"/>
        <v>Mumbai</v>
      </c>
      <c r="V988">
        <f t="shared" si="47"/>
        <v>0</v>
      </c>
    </row>
    <row r="989" spans="1:22" ht="15" customHeight="1" x14ac:dyDescent="0.35">
      <c r="A989" s="3" t="s">
        <v>1409</v>
      </c>
      <c r="B989" s="4">
        <v>45632</v>
      </c>
      <c r="C989" s="3" t="s">
        <v>366</v>
      </c>
      <c r="D989" s="3" t="s">
        <v>187</v>
      </c>
      <c r="E989" s="3" t="s">
        <v>191</v>
      </c>
      <c r="F989" s="5">
        <v>2</v>
      </c>
      <c r="G989" s="5">
        <v>3870</v>
      </c>
      <c r="H989" s="5">
        <v>5.2</v>
      </c>
      <c r="I989" s="5">
        <v>7337.52</v>
      </c>
      <c r="J989" s="3" t="s">
        <v>26</v>
      </c>
      <c r="K989" s="3" t="s">
        <v>27</v>
      </c>
      <c r="L989" t="str">
        <f>IFERROR(VLOOKUP(D989,Products!$A$2:$F$61,3,FALSE()),"")</f>
        <v>Electronics</v>
      </c>
      <c r="M989" t="str">
        <f>IFERROR(VLOOKUP(E989,Sales_Reps!$A$2:$C$31,3,FALSE()),"")</f>
        <v>South</v>
      </c>
      <c r="N989">
        <f>IFERROR(VLOOKUP(D989,Products!$A$2:$F$61,4,FALSE()),"")</f>
        <v>1559</v>
      </c>
      <c r="O989" t="str">
        <f>IFERROR(VLOOKUP(C989,Customers!$A$2:$F$301,5,FALSE()),"")</f>
        <v>Corporate</v>
      </c>
      <c r="P989">
        <f>IFERROR(VLOOKUP(C989,Customers!$A$2:$F$301,3,FALSE()),"")</f>
        <v>48</v>
      </c>
      <c r="Q989">
        <f t="shared" si="45"/>
        <v>0.59715762273901807</v>
      </c>
      <c r="R989">
        <f>IF(AND(COUNTIF($A$2:$A$2047,A989)&gt;1,COUNTIF($A$2:A989,A989)=1),1,0)</f>
        <v>0</v>
      </c>
      <c r="S989" t="b">
        <f>IFERROR(VLOOKUP(D989,Products!$A$2:$F$61,6,FALSE()),"")</f>
        <v>1</v>
      </c>
      <c r="T989" t="str">
        <f>IF(COUNTIF(Customers!$A$2:$A$301,C989)=0,"Missing","OK")</f>
        <v>OK</v>
      </c>
      <c r="U989" t="str">
        <f t="shared" si="46"/>
        <v>Pune</v>
      </c>
      <c r="V989">
        <f t="shared" si="47"/>
        <v>0</v>
      </c>
    </row>
    <row r="990" spans="1:22" ht="15" customHeight="1" x14ac:dyDescent="0.35">
      <c r="A990" s="3" t="s">
        <v>1410</v>
      </c>
      <c r="B990" s="4">
        <v>45465</v>
      </c>
      <c r="C990" s="3" t="s">
        <v>368</v>
      </c>
      <c r="D990" s="3" t="s">
        <v>126</v>
      </c>
      <c r="E990" s="3" t="s">
        <v>25</v>
      </c>
      <c r="F990" s="5">
        <v>5</v>
      </c>
      <c r="G990" s="5">
        <v>3570</v>
      </c>
      <c r="H990" s="5">
        <v>19.899999999999999</v>
      </c>
      <c r="I990" s="5">
        <v>14297.85</v>
      </c>
      <c r="J990" s="3" t="s">
        <v>26</v>
      </c>
      <c r="K990" s="3" t="s">
        <v>56</v>
      </c>
      <c r="L990" t="str">
        <f>IFERROR(VLOOKUP(D990,Products!$A$2:$F$61,3,FALSE()),"")</f>
        <v>Electronics</v>
      </c>
      <c r="M990" t="str">
        <f>IFERROR(VLOOKUP(E990,Sales_Reps!$A$2:$C$31,3,FALSE()),"")</f>
        <v>North</v>
      </c>
      <c r="N990">
        <f>IFERROR(VLOOKUP(D990,Products!$A$2:$F$61,4,FALSE()),"")</f>
        <v>1665</v>
      </c>
      <c r="O990" t="str">
        <f>IFERROR(VLOOKUP(C990,Customers!$A$2:$F$301,5,FALSE()),"")</f>
        <v>Retail</v>
      </c>
      <c r="P990">
        <f>IFERROR(VLOOKUP(C990,Customers!$A$2:$F$301,3,FALSE()),"")</f>
        <v>55</v>
      </c>
      <c r="Q990">
        <f t="shared" si="45"/>
        <v>0.53361344537815125</v>
      </c>
      <c r="R990">
        <f>IF(AND(COUNTIF($A$2:$A$2047,A990)&gt;1,COUNTIF($A$2:A990,A990)=1),1,0)</f>
        <v>0</v>
      </c>
      <c r="S990" t="b">
        <f>IFERROR(VLOOKUP(D990,Products!$A$2:$F$61,6,FALSE()),"")</f>
        <v>1</v>
      </c>
      <c r="T990" t="str">
        <f>IF(COUNTIF(Customers!$A$2:$A$301,C990)=0,"Missing","OK")</f>
        <v>OK</v>
      </c>
      <c r="U990" t="str">
        <f t="shared" si="46"/>
        <v>Bengaluru</v>
      </c>
      <c r="V990">
        <f t="shared" si="47"/>
        <v>0</v>
      </c>
    </row>
    <row r="991" spans="1:22" ht="15" customHeight="1" x14ac:dyDescent="0.35">
      <c r="A991" s="3" t="s">
        <v>1411</v>
      </c>
      <c r="B991" s="4">
        <v>45342</v>
      </c>
      <c r="C991" s="3" t="s">
        <v>228</v>
      </c>
      <c r="D991" s="3" t="s">
        <v>121</v>
      </c>
      <c r="E991" s="3" t="s">
        <v>154</v>
      </c>
      <c r="F991" s="5">
        <v>5</v>
      </c>
      <c r="G991" s="5">
        <v>1010</v>
      </c>
      <c r="H991" s="5">
        <v>2.2000000000000002</v>
      </c>
      <c r="I991" s="5">
        <v>4938.8999999999996</v>
      </c>
      <c r="J991" s="3" t="s">
        <v>26</v>
      </c>
      <c r="K991" s="3" t="s">
        <v>33</v>
      </c>
      <c r="L991" t="str">
        <f>IFERROR(VLOOKUP(D991,Products!$A$2:$F$61,3,FALSE()),"")</f>
        <v>Sports</v>
      </c>
      <c r="M991" t="str">
        <f>IFERROR(VLOOKUP(E991,Sales_Reps!$A$2:$C$31,3,FALSE()),"")</f>
        <v>North</v>
      </c>
      <c r="N991">
        <f>IFERROR(VLOOKUP(D991,Products!$A$2:$F$61,4,FALSE()),"")</f>
        <v>516</v>
      </c>
      <c r="O991" t="str">
        <f>IFERROR(VLOOKUP(C991,Customers!$A$2:$F$301,5,FALSE()),"")</f>
        <v>Retail</v>
      </c>
      <c r="P991">
        <f>IFERROR(VLOOKUP(C991,Customers!$A$2:$F$301,3,FALSE()),"")</f>
        <v>38</v>
      </c>
      <c r="Q991">
        <f t="shared" si="45"/>
        <v>0.4891089108910891</v>
      </c>
      <c r="R991">
        <f>IF(AND(COUNTIF($A$2:$A$2047,A991)&gt;1,COUNTIF($A$2:A991,A991)=1),1,0)</f>
        <v>0</v>
      </c>
      <c r="S991" t="b">
        <f>IFERROR(VLOOKUP(D991,Products!$A$2:$F$61,6,FALSE()),"")</f>
        <v>1</v>
      </c>
      <c r="T991" t="str">
        <f>IF(COUNTIF(Customers!$A$2:$A$301,C991)=0,"Missing","OK")</f>
        <v>OK</v>
      </c>
      <c r="U991" t="str">
        <f t="shared" si="46"/>
        <v>Chennai</v>
      </c>
      <c r="V991">
        <f t="shared" si="47"/>
        <v>0</v>
      </c>
    </row>
    <row r="992" spans="1:22" ht="15" customHeight="1" x14ac:dyDescent="0.35">
      <c r="A992" s="3" t="s">
        <v>1412</v>
      </c>
      <c r="B992" s="4">
        <v>45309</v>
      </c>
      <c r="C992" s="3" t="s">
        <v>301</v>
      </c>
      <c r="D992" s="3" t="s">
        <v>325</v>
      </c>
      <c r="E992" s="3" t="s">
        <v>78</v>
      </c>
      <c r="F992" s="5">
        <v>10</v>
      </c>
      <c r="G992" s="5">
        <v>2290</v>
      </c>
      <c r="H992" s="5">
        <v>16.8</v>
      </c>
      <c r="I992" s="5">
        <v>19052.8</v>
      </c>
      <c r="J992" s="3" t="s">
        <v>79</v>
      </c>
      <c r="K992" s="3" t="s">
        <v>33</v>
      </c>
      <c r="L992" t="str">
        <f>IFERROR(VLOOKUP(D992,Products!$A$2:$F$61,3,FALSE()),"")</f>
        <v>Beauty</v>
      </c>
      <c r="M992" t="str">
        <f>IFERROR(VLOOKUP(E992,Sales_Reps!$A$2:$C$31,3,FALSE()),"")</f>
        <v>North</v>
      </c>
      <c r="N992">
        <f>IFERROR(VLOOKUP(D992,Products!$A$2:$F$61,4,FALSE()),"")</f>
        <v>1219</v>
      </c>
      <c r="O992" t="str">
        <f>IFERROR(VLOOKUP(C992,Customers!$A$2:$F$301,5,FALSE()),"")</f>
        <v>Corporate</v>
      </c>
      <c r="P992">
        <f>IFERROR(VLOOKUP(C992,Customers!$A$2:$F$301,3,FALSE()),"")</f>
        <v>51</v>
      </c>
      <c r="Q992">
        <f t="shared" si="45"/>
        <v>0.46768558951965067</v>
      </c>
      <c r="R992">
        <f>IF(AND(COUNTIF($A$2:$A$2047,A992)&gt;1,COUNTIF($A$2:A992,A992)=1),1,0)</f>
        <v>0</v>
      </c>
      <c r="S992" t="b">
        <f>IFERROR(VLOOKUP(D992,Products!$A$2:$F$61,6,FALSE()),"")</f>
        <v>1</v>
      </c>
      <c r="T992" t="str">
        <f>IF(COUNTIF(Customers!$A$2:$A$301,C992)=0,"Missing","OK")</f>
        <v>OK</v>
      </c>
      <c r="U992" t="str">
        <f t="shared" si="46"/>
        <v>Chennai</v>
      </c>
      <c r="V992">
        <f t="shared" si="47"/>
        <v>0</v>
      </c>
    </row>
    <row r="993" spans="1:22" ht="15" customHeight="1" x14ac:dyDescent="0.35">
      <c r="A993" s="3" t="s">
        <v>1413</v>
      </c>
      <c r="B993" s="4">
        <v>45493</v>
      </c>
      <c r="C993" s="3" t="s">
        <v>421</v>
      </c>
      <c r="D993" s="3" t="s">
        <v>209</v>
      </c>
      <c r="E993" s="3" t="s">
        <v>60</v>
      </c>
      <c r="F993" s="5">
        <v>3</v>
      </c>
      <c r="G993" s="5">
        <v>4610</v>
      </c>
      <c r="H993" s="5">
        <v>13.2</v>
      </c>
      <c r="I993" s="5">
        <v>12004.44</v>
      </c>
      <c r="J993" s="3" t="s">
        <v>32</v>
      </c>
      <c r="K993" s="3" t="s">
        <v>72</v>
      </c>
      <c r="L993" t="str">
        <f>IFERROR(VLOOKUP(D993,Products!$A$2:$F$61,3,FALSE()),"")</f>
        <v>Home</v>
      </c>
      <c r="M993" t="str">
        <f>IFERROR(VLOOKUP(E993,Sales_Reps!$A$2:$C$31,3,FALSE()),"")</f>
        <v>East</v>
      </c>
      <c r="N993">
        <f>IFERROR(VLOOKUP(D993,Products!$A$2:$F$61,4,FALSE()),"")</f>
        <v>1850</v>
      </c>
      <c r="O993" t="str">
        <f>IFERROR(VLOOKUP(C993,Customers!$A$2:$F$301,5,FALSE()),"")</f>
        <v>Corporate</v>
      </c>
      <c r="P993">
        <f>IFERROR(VLOOKUP(C993,Customers!$A$2:$F$301,3,FALSE()),"")</f>
        <v>52</v>
      </c>
      <c r="Q993">
        <f t="shared" si="45"/>
        <v>0.59869848156182215</v>
      </c>
      <c r="R993">
        <f>IF(AND(COUNTIF($A$2:$A$2047,A993)&gt;1,COUNTIF($A$2:A993,A993)=1),1,0)</f>
        <v>0</v>
      </c>
      <c r="S993" t="b">
        <f>IFERROR(VLOOKUP(D993,Products!$A$2:$F$61,6,FALSE()),"")</f>
        <v>1</v>
      </c>
      <c r="T993" t="str">
        <f>IF(COUNTIF(Customers!$A$2:$A$301,C993)=0,"Missing","OK")</f>
        <v>OK</v>
      </c>
      <c r="U993" t="str">
        <f t="shared" si="46"/>
        <v>Hyderabad</v>
      </c>
      <c r="V993">
        <f t="shared" si="47"/>
        <v>0</v>
      </c>
    </row>
    <row r="994" spans="1:22" ht="15" customHeight="1" x14ac:dyDescent="0.35">
      <c r="A994" s="3" t="s">
        <v>1414</v>
      </c>
      <c r="B994" s="4">
        <v>45356</v>
      </c>
      <c r="C994" s="3" t="s">
        <v>399</v>
      </c>
      <c r="D994" s="3" t="s">
        <v>294</v>
      </c>
      <c r="E994" s="3" t="s">
        <v>87</v>
      </c>
      <c r="F994" s="5">
        <v>1</v>
      </c>
      <c r="G994" s="5">
        <v>2510</v>
      </c>
      <c r="H994" s="5">
        <v>16.899999999999999</v>
      </c>
      <c r="I994" s="5">
        <v>2085.81</v>
      </c>
      <c r="J994" s="3" t="s">
        <v>26</v>
      </c>
      <c r="K994" s="3" t="s">
        <v>27</v>
      </c>
      <c r="L994" t="str">
        <f>IFERROR(VLOOKUP(D994,Products!$A$2:$F$61,3,FALSE()),"")</f>
        <v>Apparel</v>
      </c>
      <c r="M994" t="str">
        <f>IFERROR(VLOOKUP(E994,Sales_Reps!$A$2:$C$31,3,FALSE()),"")</f>
        <v>North</v>
      </c>
      <c r="N994">
        <f>IFERROR(VLOOKUP(D994,Products!$A$2:$F$61,4,FALSE()),"")</f>
        <v>1075</v>
      </c>
      <c r="O994" t="str">
        <f>IFERROR(VLOOKUP(C994,Customers!$A$2:$F$301,5,FALSE()),"")</f>
        <v>Corporate</v>
      </c>
      <c r="P994">
        <f>IFERROR(VLOOKUP(C994,Customers!$A$2:$F$301,3,FALSE()),"")</f>
        <v>37</v>
      </c>
      <c r="Q994">
        <f t="shared" si="45"/>
        <v>0.57171314741035861</v>
      </c>
      <c r="R994">
        <f>IF(AND(COUNTIF($A$2:$A$2047,A994)&gt;1,COUNTIF($A$2:A994,A994)=1),1,0)</f>
        <v>0</v>
      </c>
      <c r="S994" t="b">
        <f>IFERROR(VLOOKUP(D994,Products!$A$2:$F$61,6,FALSE()),"")</f>
        <v>0</v>
      </c>
      <c r="T994" t="str">
        <f>IF(COUNTIF(Customers!$A$2:$A$301,C994)=0,"Missing","OK")</f>
        <v>OK</v>
      </c>
      <c r="U994" t="str">
        <f t="shared" si="46"/>
        <v>Pune</v>
      </c>
      <c r="V994">
        <f t="shared" si="47"/>
        <v>0</v>
      </c>
    </row>
    <row r="995" spans="1:22" ht="15" customHeight="1" x14ac:dyDescent="0.35">
      <c r="A995" s="3" t="s">
        <v>1415</v>
      </c>
      <c r="B995" s="4">
        <v>45367</v>
      </c>
      <c r="C995" s="3" t="s">
        <v>582</v>
      </c>
      <c r="D995" s="3" t="s">
        <v>215</v>
      </c>
      <c r="E995" s="3" t="s">
        <v>143</v>
      </c>
      <c r="F995" s="5">
        <v>1</v>
      </c>
      <c r="G995" s="5">
        <v>3020</v>
      </c>
      <c r="H995" s="5">
        <v>26.7</v>
      </c>
      <c r="I995" s="5">
        <v>2213.66</v>
      </c>
      <c r="J995" s="3" t="s">
        <v>26</v>
      </c>
      <c r="K995" s="3" t="s">
        <v>51</v>
      </c>
      <c r="L995" t="str">
        <f>IFERROR(VLOOKUP(D995,Products!$A$2:$F$61,3,FALSE()),"")</f>
        <v>Beauty</v>
      </c>
      <c r="M995" t="str">
        <f>IFERROR(VLOOKUP(E995,Sales_Reps!$A$2:$C$31,3,FALSE()),"")</f>
        <v>South</v>
      </c>
      <c r="N995">
        <f>IFERROR(VLOOKUP(D995,Products!$A$2:$F$61,4,FALSE()),"")</f>
        <v>1626</v>
      </c>
      <c r="O995" t="str">
        <f>IFERROR(VLOOKUP(C995,Customers!$A$2:$F$301,5,FALSE()),"")</f>
        <v>SMB</v>
      </c>
      <c r="P995">
        <f>IFERROR(VLOOKUP(C995,Customers!$A$2:$F$301,3,FALSE()),"")</f>
        <v>27</v>
      </c>
      <c r="Q995">
        <f t="shared" si="45"/>
        <v>0.46158940397350995</v>
      </c>
      <c r="R995">
        <f>IF(AND(COUNTIF($A$2:$A$2047,A995)&gt;1,COUNTIF($A$2:A995,A995)=1),1,0)</f>
        <v>0</v>
      </c>
      <c r="S995" t="b">
        <f>IFERROR(VLOOKUP(D995,Products!$A$2:$F$61,6,FALSE()),"")</f>
        <v>1</v>
      </c>
      <c r="T995" t="str">
        <f>IF(COUNTIF(Customers!$A$2:$A$301,C995)=0,"Missing","OK")</f>
        <v>OK</v>
      </c>
      <c r="U995" t="str">
        <f t="shared" si="46"/>
        <v>Mumbai</v>
      </c>
      <c r="V995">
        <f t="shared" si="47"/>
        <v>0</v>
      </c>
    </row>
    <row r="996" spans="1:22" ht="15" customHeight="1" x14ac:dyDescent="0.35">
      <c r="A996" s="3" t="s">
        <v>1416</v>
      </c>
      <c r="B996" s="4">
        <v>45313</v>
      </c>
      <c r="C996" s="3" t="s">
        <v>498</v>
      </c>
      <c r="D996" s="3" t="s">
        <v>86</v>
      </c>
      <c r="E996" s="3" t="s">
        <v>264</v>
      </c>
      <c r="F996" s="5">
        <v>6</v>
      </c>
      <c r="G996" s="5">
        <v>190</v>
      </c>
      <c r="H996" s="5">
        <v>7.1</v>
      </c>
      <c r="I996" s="5">
        <v>1059.06</v>
      </c>
      <c r="J996" s="3" t="s">
        <v>26</v>
      </c>
      <c r="K996" s="3" t="s">
        <v>27</v>
      </c>
      <c r="L996" t="str">
        <f>IFERROR(VLOOKUP(D996,Products!$A$2:$F$61,3,FALSE()),"")</f>
        <v>Sports</v>
      </c>
      <c r="M996" t="str">
        <f>IFERROR(VLOOKUP(E996,Sales_Reps!$A$2:$C$31,3,FALSE()),"")</f>
        <v>South</v>
      </c>
      <c r="N996">
        <f>IFERROR(VLOOKUP(D996,Products!$A$2:$F$61,4,FALSE()),"")</f>
        <v>147</v>
      </c>
      <c r="O996" t="str">
        <f>IFERROR(VLOOKUP(C996,Customers!$A$2:$F$301,5,FALSE()),"")</f>
        <v>Retail</v>
      </c>
      <c r="P996">
        <f>IFERROR(VLOOKUP(C996,Customers!$A$2:$F$301,3,FALSE()),"")</f>
        <v>62</v>
      </c>
      <c r="Q996">
        <f t="shared" si="45"/>
        <v>0.22631578947368422</v>
      </c>
      <c r="R996">
        <f>IF(AND(COUNTIF($A$2:$A$2047,A996)&gt;1,COUNTIF($A$2:A996,A996)=1),1,0)</f>
        <v>0</v>
      </c>
      <c r="S996" t="b">
        <f>IFERROR(VLOOKUP(D996,Products!$A$2:$F$61,6,FALSE()),"")</f>
        <v>1</v>
      </c>
      <c r="T996" t="str">
        <f>IF(COUNTIF(Customers!$A$2:$A$301,C996)=0,"Missing","OK")</f>
        <v>OK</v>
      </c>
      <c r="U996" t="str">
        <f t="shared" si="46"/>
        <v>Pune</v>
      </c>
      <c r="V996">
        <f t="shared" si="47"/>
        <v>0</v>
      </c>
    </row>
    <row r="997" spans="1:22" ht="15" customHeight="1" x14ac:dyDescent="0.35">
      <c r="A997" s="3" t="s">
        <v>1417</v>
      </c>
      <c r="B997" s="4">
        <v>45529</v>
      </c>
      <c r="C997" s="3" t="s">
        <v>1130</v>
      </c>
      <c r="D997" s="3" t="s">
        <v>234</v>
      </c>
      <c r="E997" s="3" t="s">
        <v>236</v>
      </c>
      <c r="F997" s="5">
        <v>6</v>
      </c>
      <c r="G997" s="5">
        <v>2030</v>
      </c>
      <c r="H997" s="5">
        <v>13.5</v>
      </c>
      <c r="I997" s="5">
        <v>10535.7</v>
      </c>
      <c r="J997" s="3" t="s">
        <v>79</v>
      </c>
      <c r="K997" s="3" t="s">
        <v>56</v>
      </c>
      <c r="L997" t="str">
        <f>IFERROR(VLOOKUP(D997,Products!$A$2:$F$61,3,FALSE()),"")</f>
        <v>Home</v>
      </c>
      <c r="M997" t="str">
        <f>IFERROR(VLOOKUP(E997,Sales_Reps!$A$2:$C$31,3,FALSE()),"")</f>
        <v>North</v>
      </c>
      <c r="N997">
        <f>IFERROR(VLOOKUP(D997,Products!$A$2:$F$61,4,FALSE()),"")</f>
        <v>1143</v>
      </c>
      <c r="O997" t="str">
        <f>IFERROR(VLOOKUP(C997,Customers!$A$2:$F$301,5,FALSE()),"")</f>
        <v>Retail</v>
      </c>
      <c r="P997">
        <f>IFERROR(VLOOKUP(C997,Customers!$A$2:$F$301,3,FALSE()),"")</f>
        <v>36</v>
      </c>
      <c r="Q997">
        <f t="shared" si="45"/>
        <v>0.43694581280788175</v>
      </c>
      <c r="R997">
        <f>IF(AND(COUNTIF($A$2:$A$2047,A997)&gt;1,COUNTIF($A$2:A997,A997)=1),1,0)</f>
        <v>0</v>
      </c>
      <c r="S997" t="b">
        <f>IFERROR(VLOOKUP(D997,Products!$A$2:$F$61,6,FALSE()),"")</f>
        <v>1</v>
      </c>
      <c r="T997" t="str">
        <f>IF(COUNTIF(Customers!$A$2:$A$301,C997)=0,"Missing","OK")</f>
        <v>OK</v>
      </c>
      <c r="U997" t="str">
        <f t="shared" si="46"/>
        <v>Bengaluru</v>
      </c>
      <c r="V997">
        <f t="shared" si="47"/>
        <v>0</v>
      </c>
    </row>
    <row r="998" spans="1:22" ht="15" customHeight="1" x14ac:dyDescent="0.35">
      <c r="A998" s="3" t="s">
        <v>1418</v>
      </c>
      <c r="B998" s="4">
        <v>45547</v>
      </c>
      <c r="C998" s="3" t="s">
        <v>767</v>
      </c>
      <c r="D998" s="3" t="s">
        <v>82</v>
      </c>
      <c r="E998" s="3" t="s">
        <v>264</v>
      </c>
      <c r="F998" s="5">
        <v>10</v>
      </c>
      <c r="G998" s="5">
        <v>3250</v>
      </c>
      <c r="H998" s="5">
        <v>8.6999999999999993</v>
      </c>
      <c r="I998" s="5">
        <v>29672.5</v>
      </c>
      <c r="J998" s="3" t="s">
        <v>26</v>
      </c>
      <c r="K998" s="3" t="s">
        <v>72</v>
      </c>
      <c r="L998" t="str">
        <f>IFERROR(VLOOKUP(D998,Products!$A$2:$F$61,3,FALSE()),"")</f>
        <v>Home</v>
      </c>
      <c r="M998" t="str">
        <f>IFERROR(VLOOKUP(E998,Sales_Reps!$A$2:$C$31,3,FALSE()),"")</f>
        <v>South</v>
      </c>
      <c r="N998">
        <f>IFERROR(VLOOKUP(D998,Products!$A$2:$F$61,4,FALSE()),"")</f>
        <v>1556</v>
      </c>
      <c r="O998" t="str">
        <f>IFERROR(VLOOKUP(C998,Customers!$A$2:$F$301,5,FALSE()),"")</f>
        <v>Retail</v>
      </c>
      <c r="P998">
        <f>IFERROR(VLOOKUP(C998,Customers!$A$2:$F$301,3,FALSE()),"")</f>
        <v>52</v>
      </c>
      <c r="Q998">
        <f t="shared" si="45"/>
        <v>0.52123076923076928</v>
      </c>
      <c r="R998">
        <f>IF(AND(COUNTIF($A$2:$A$2047,A998)&gt;1,COUNTIF($A$2:A998,A998)=1),1,0)</f>
        <v>0</v>
      </c>
      <c r="S998" t="b">
        <f>IFERROR(VLOOKUP(D998,Products!$A$2:$F$61,6,FALSE()),"")</f>
        <v>1</v>
      </c>
      <c r="T998" t="str">
        <f>IF(COUNTIF(Customers!$A$2:$A$301,C998)=0,"Missing","OK")</f>
        <v>OK</v>
      </c>
      <c r="U998" t="str">
        <f t="shared" si="46"/>
        <v>Hyderabad</v>
      </c>
      <c r="V998">
        <f t="shared" si="47"/>
        <v>0</v>
      </c>
    </row>
    <row r="999" spans="1:22" ht="15" customHeight="1" x14ac:dyDescent="0.35">
      <c r="A999" s="3" t="s">
        <v>1419</v>
      </c>
      <c r="B999" s="4">
        <v>45299</v>
      </c>
      <c r="C999" s="3" t="s">
        <v>381</v>
      </c>
      <c r="D999" s="3" t="s">
        <v>234</v>
      </c>
      <c r="E999" s="3" t="s">
        <v>168</v>
      </c>
      <c r="F999" s="5">
        <v>9</v>
      </c>
      <c r="G999" s="5">
        <v>2030</v>
      </c>
      <c r="H999" s="5">
        <v>29.3</v>
      </c>
      <c r="I999" s="5">
        <v>12916.89</v>
      </c>
      <c r="J999" s="3" t="s">
        <v>26</v>
      </c>
      <c r="K999" s="3" t="s">
        <v>27</v>
      </c>
      <c r="L999" t="str">
        <f>IFERROR(VLOOKUP(D999,Products!$A$2:$F$61,3,FALSE()),"")</f>
        <v>Home</v>
      </c>
      <c r="M999" t="str">
        <f>IFERROR(VLOOKUP(E999,Sales_Reps!$A$2:$C$31,3,FALSE()),"")</f>
        <v>West</v>
      </c>
      <c r="N999">
        <f>IFERROR(VLOOKUP(D999,Products!$A$2:$F$61,4,FALSE()),"")</f>
        <v>1143</v>
      </c>
      <c r="O999" t="str">
        <f>IFERROR(VLOOKUP(C999,Customers!$A$2:$F$301,5,FALSE()),"")</f>
        <v>Retail</v>
      </c>
      <c r="P999">
        <f>IFERROR(VLOOKUP(C999,Customers!$A$2:$F$301,3,FALSE()),"")</f>
        <v>65</v>
      </c>
      <c r="Q999">
        <f t="shared" si="45"/>
        <v>0.43694581280788175</v>
      </c>
      <c r="R999">
        <f>IF(AND(COUNTIF($A$2:$A$2047,A999)&gt;1,COUNTIF($A$2:A999,A999)=1),1,0)</f>
        <v>0</v>
      </c>
      <c r="S999" t="b">
        <f>IFERROR(VLOOKUP(D999,Products!$A$2:$F$61,6,FALSE()),"")</f>
        <v>1</v>
      </c>
      <c r="T999" t="str">
        <f>IF(COUNTIF(Customers!$A$2:$A$301,C999)=0,"Missing","OK")</f>
        <v>OK</v>
      </c>
      <c r="U999" t="str">
        <f t="shared" si="46"/>
        <v>Pune</v>
      </c>
      <c r="V999">
        <f t="shared" si="47"/>
        <v>0</v>
      </c>
    </row>
    <row r="1000" spans="1:22" ht="15" customHeight="1" x14ac:dyDescent="0.35">
      <c r="A1000" s="3" t="s">
        <v>1420</v>
      </c>
      <c r="B1000" s="4">
        <v>45380</v>
      </c>
      <c r="C1000" s="3" t="s">
        <v>966</v>
      </c>
      <c r="D1000" s="3" t="s">
        <v>306</v>
      </c>
      <c r="E1000" s="3" t="s">
        <v>50</v>
      </c>
      <c r="F1000" s="5">
        <v>1</v>
      </c>
      <c r="G1000" s="5">
        <v>2380</v>
      </c>
      <c r="H1000" s="5">
        <v>12.9</v>
      </c>
      <c r="I1000" s="5">
        <v>2072.98</v>
      </c>
      <c r="J1000" s="3" t="s">
        <v>26</v>
      </c>
      <c r="K1000" s="3" t="s">
        <v>51</v>
      </c>
      <c r="L1000" t="str">
        <f>IFERROR(VLOOKUP(D1000,Products!$A$2:$F$61,3,FALSE()),"")</f>
        <v>Grocery</v>
      </c>
      <c r="M1000" t="str">
        <f>IFERROR(VLOOKUP(E1000,Sales_Reps!$A$2:$C$31,3,FALSE()),"")</f>
        <v>West</v>
      </c>
      <c r="N1000">
        <f>IFERROR(VLOOKUP(D1000,Products!$A$2:$F$61,4,FALSE()),"")</f>
        <v>1182</v>
      </c>
      <c r="O1000" t="str">
        <f>IFERROR(VLOOKUP(C1000,Customers!$A$2:$F$301,5,FALSE()),"")</f>
        <v>SMB</v>
      </c>
      <c r="P1000">
        <f>IFERROR(VLOOKUP(C1000,Customers!$A$2:$F$301,3,FALSE()),"")</f>
        <v>47</v>
      </c>
      <c r="Q1000">
        <f t="shared" si="45"/>
        <v>0.50336134453781511</v>
      </c>
      <c r="R1000">
        <f>IF(AND(COUNTIF($A$2:$A$2047,A1000)&gt;1,COUNTIF($A$2:A1000,A1000)=1),1,0)</f>
        <v>0</v>
      </c>
      <c r="S1000" t="b">
        <f>IFERROR(VLOOKUP(D1000,Products!$A$2:$F$61,6,FALSE()),"")</f>
        <v>1</v>
      </c>
      <c r="T1000" t="str">
        <f>IF(COUNTIF(Customers!$A$2:$A$301,C1000)=0,"Missing","OK")</f>
        <v>OK</v>
      </c>
      <c r="U1000" t="str">
        <f t="shared" si="46"/>
        <v>Mumbai</v>
      </c>
      <c r="V1000">
        <f t="shared" si="47"/>
        <v>0</v>
      </c>
    </row>
    <row r="1001" spans="1:22" ht="15" customHeight="1" x14ac:dyDescent="0.35">
      <c r="A1001" s="3" t="s">
        <v>1421</v>
      </c>
      <c r="B1001" s="4">
        <v>45521</v>
      </c>
      <c r="C1001" s="3" t="s">
        <v>478</v>
      </c>
      <c r="D1001" s="3" t="s">
        <v>391</v>
      </c>
      <c r="E1001" s="3" t="s">
        <v>55</v>
      </c>
      <c r="F1001" s="5">
        <v>10</v>
      </c>
      <c r="G1001" s="5">
        <v>3450</v>
      </c>
      <c r="H1001" s="5">
        <v>18.5</v>
      </c>
      <c r="I1001" s="5">
        <v>28117.5</v>
      </c>
      <c r="J1001" s="3" t="s">
        <v>26</v>
      </c>
      <c r="K1001" s="3" t="s">
        <v>72</v>
      </c>
      <c r="L1001" t="str">
        <f>IFERROR(VLOOKUP(D1001,Products!$A$2:$F$61,3,FALSE()),"")</f>
        <v>Apparel</v>
      </c>
      <c r="M1001" t="str">
        <f>IFERROR(VLOOKUP(E1001,Sales_Reps!$A$2:$C$31,3,FALSE()),"")</f>
        <v>West</v>
      </c>
      <c r="N1001">
        <f>IFERROR(VLOOKUP(D1001,Products!$A$2:$F$61,4,FALSE()),"")</f>
        <v>1748</v>
      </c>
      <c r="O1001" t="str">
        <f>IFERROR(VLOOKUP(C1001,Customers!$A$2:$F$301,5,FALSE()),"")</f>
        <v>Retail</v>
      </c>
      <c r="P1001">
        <f>IFERROR(VLOOKUP(C1001,Customers!$A$2:$F$301,3,FALSE()),"")</f>
        <v>38</v>
      </c>
      <c r="Q1001">
        <f t="shared" si="45"/>
        <v>0.49333333333333335</v>
      </c>
      <c r="R1001">
        <f>IF(AND(COUNTIF($A$2:$A$2047,A1001)&gt;1,COUNTIF($A$2:A1001,A1001)=1),1,0)</f>
        <v>0</v>
      </c>
      <c r="S1001" t="b">
        <f>IFERROR(VLOOKUP(D1001,Products!$A$2:$F$61,6,FALSE()),"")</f>
        <v>1</v>
      </c>
      <c r="T1001" t="str">
        <f>IF(COUNTIF(Customers!$A$2:$A$301,C1001)=0,"Missing","OK")</f>
        <v>OK</v>
      </c>
      <c r="U1001" t="str">
        <f t="shared" si="46"/>
        <v>Hyderabad</v>
      </c>
      <c r="V1001">
        <f t="shared" si="47"/>
        <v>0</v>
      </c>
    </row>
    <row r="1002" spans="1:22" ht="15" customHeight="1" x14ac:dyDescent="0.35">
      <c r="A1002" s="3" t="s">
        <v>1422</v>
      </c>
      <c r="B1002" s="4">
        <v>45500</v>
      </c>
      <c r="C1002" s="3" t="s">
        <v>217</v>
      </c>
      <c r="D1002" s="3" t="s">
        <v>45</v>
      </c>
      <c r="E1002" s="3" t="s">
        <v>236</v>
      </c>
      <c r="F1002" s="5">
        <v>10</v>
      </c>
      <c r="G1002" s="5">
        <v>3160</v>
      </c>
      <c r="H1002" s="5">
        <v>26.3</v>
      </c>
      <c r="I1002" s="5">
        <v>23289.200000000001</v>
      </c>
      <c r="J1002" s="3" t="s">
        <v>26</v>
      </c>
      <c r="K1002" s="3" t="s">
        <v>72</v>
      </c>
      <c r="L1002" t="str">
        <f>IFERROR(VLOOKUP(D1002,Products!$A$2:$F$61,3,FALSE()),"")</f>
        <v>Apparel</v>
      </c>
      <c r="M1002" t="str">
        <f>IFERROR(VLOOKUP(E1002,Sales_Reps!$A$2:$C$31,3,FALSE()),"")</f>
        <v>North</v>
      </c>
      <c r="N1002">
        <f>IFERROR(VLOOKUP(D1002,Products!$A$2:$F$61,4,FALSE()),"")</f>
        <v>1886</v>
      </c>
      <c r="O1002" t="str">
        <f>IFERROR(VLOOKUP(C1002,Customers!$A$2:$F$301,5,FALSE()),"")</f>
        <v>Corporate</v>
      </c>
      <c r="P1002">
        <f>IFERROR(VLOOKUP(C1002,Customers!$A$2:$F$301,3,FALSE()),"")</f>
        <v>29</v>
      </c>
      <c r="Q1002">
        <f t="shared" si="45"/>
        <v>0.4031645569620253</v>
      </c>
      <c r="R1002">
        <f>IF(AND(COUNTIF($A$2:$A$2047,A1002)&gt;1,COUNTIF($A$2:A1002,A1002)=1),1,0)</f>
        <v>0</v>
      </c>
      <c r="S1002" t="b">
        <f>IFERROR(VLOOKUP(D1002,Products!$A$2:$F$61,6,FALSE()),"")</f>
        <v>1</v>
      </c>
      <c r="T1002" t="str">
        <f>IF(COUNTIF(Customers!$A$2:$A$301,C1002)=0,"Missing","OK")</f>
        <v>OK</v>
      </c>
      <c r="U1002" t="str">
        <f t="shared" si="46"/>
        <v>Hyderabad</v>
      </c>
      <c r="V1002">
        <f t="shared" si="47"/>
        <v>0</v>
      </c>
    </row>
    <row r="1003" spans="1:22" ht="15" customHeight="1" x14ac:dyDescent="0.35">
      <c r="A1003" s="3" t="s">
        <v>1423</v>
      </c>
      <c r="B1003" s="4">
        <v>45531</v>
      </c>
      <c r="C1003" s="3" t="s">
        <v>292</v>
      </c>
      <c r="D1003" s="3" t="s">
        <v>63</v>
      </c>
      <c r="E1003" s="3" t="s">
        <v>140</v>
      </c>
      <c r="F1003" s="5">
        <v>10</v>
      </c>
      <c r="G1003" s="5">
        <v>5490</v>
      </c>
      <c r="H1003" s="5">
        <v>22.7</v>
      </c>
      <c r="I1003" s="5">
        <v>42437.7</v>
      </c>
      <c r="J1003" s="3" t="s">
        <v>26</v>
      </c>
      <c r="K1003" s="3" t="s">
        <v>33</v>
      </c>
      <c r="L1003" t="str">
        <f>IFERROR(VLOOKUP(D1003,Products!$A$2:$F$61,3,FALSE()),"")</f>
        <v>Home</v>
      </c>
      <c r="M1003" t="str">
        <f>IFERROR(VLOOKUP(E1003,Sales_Reps!$A$2:$C$31,3,FALSE()),"")</f>
        <v>West</v>
      </c>
      <c r="N1003">
        <f>IFERROR(VLOOKUP(D1003,Products!$A$2:$F$61,4,FALSE()),"")</f>
        <v>2549</v>
      </c>
      <c r="O1003" t="str">
        <f>IFERROR(VLOOKUP(C1003,Customers!$A$2:$F$301,5,FALSE()),"")</f>
        <v>Retail</v>
      </c>
      <c r="P1003">
        <f>IFERROR(VLOOKUP(C1003,Customers!$A$2:$F$301,3,FALSE()),"")</f>
        <v>60</v>
      </c>
      <c r="Q1003">
        <f t="shared" si="45"/>
        <v>0.53570127504553733</v>
      </c>
      <c r="R1003">
        <f>IF(AND(COUNTIF($A$2:$A$2047,A1003)&gt;1,COUNTIF($A$2:A1003,A1003)=1),1,0)</f>
        <v>0</v>
      </c>
      <c r="S1003" t="b">
        <f>IFERROR(VLOOKUP(D1003,Products!$A$2:$F$61,6,FALSE()),"")</f>
        <v>1</v>
      </c>
      <c r="T1003" t="str">
        <f>IF(COUNTIF(Customers!$A$2:$A$301,C1003)=0,"Missing","OK")</f>
        <v>OK</v>
      </c>
      <c r="U1003" t="str">
        <f t="shared" si="46"/>
        <v>Chennai</v>
      </c>
      <c r="V1003">
        <f t="shared" si="47"/>
        <v>0</v>
      </c>
    </row>
    <row r="1004" spans="1:22" ht="15" customHeight="1" x14ac:dyDescent="0.35">
      <c r="A1004" s="3" t="s">
        <v>1424</v>
      </c>
      <c r="B1004" s="4">
        <v>45563</v>
      </c>
      <c r="C1004" s="3" t="s">
        <v>639</v>
      </c>
      <c r="D1004" s="3" t="s">
        <v>134</v>
      </c>
      <c r="E1004" s="3" t="s">
        <v>42</v>
      </c>
      <c r="F1004" s="5">
        <v>8</v>
      </c>
      <c r="G1004" s="5">
        <v>2860</v>
      </c>
      <c r="H1004" s="5">
        <v>14.3</v>
      </c>
      <c r="I1004" s="5">
        <v>19608.16</v>
      </c>
      <c r="J1004" s="3" t="s">
        <v>26</v>
      </c>
      <c r="K1004" s="3" t="s">
        <v>33</v>
      </c>
      <c r="L1004" t="str">
        <f>IFERROR(VLOOKUP(D1004,Products!$A$2:$F$61,3,FALSE()),"")</f>
        <v>Sports</v>
      </c>
      <c r="M1004" t="str">
        <f>IFERROR(VLOOKUP(E1004,Sales_Reps!$A$2:$C$31,3,FALSE()),"")</f>
        <v>North</v>
      </c>
      <c r="N1004">
        <f>IFERROR(VLOOKUP(D1004,Products!$A$2:$F$61,4,FALSE()),"")</f>
        <v>2028</v>
      </c>
      <c r="O1004" t="str">
        <f>IFERROR(VLOOKUP(C1004,Customers!$A$2:$F$301,5,FALSE()),"")</f>
        <v>SMB</v>
      </c>
      <c r="P1004">
        <f>IFERROR(VLOOKUP(C1004,Customers!$A$2:$F$301,3,FALSE()),"")</f>
        <v>46</v>
      </c>
      <c r="Q1004">
        <f t="shared" si="45"/>
        <v>0.29090909090909089</v>
      </c>
      <c r="R1004">
        <f>IF(AND(COUNTIF($A$2:$A$2047,A1004)&gt;1,COUNTIF($A$2:A1004,A1004)=1),1,0)</f>
        <v>0</v>
      </c>
      <c r="S1004" t="b">
        <f>IFERROR(VLOOKUP(D1004,Products!$A$2:$F$61,6,FALSE()),"")</f>
        <v>1</v>
      </c>
      <c r="T1004" t="str">
        <f>IF(COUNTIF(Customers!$A$2:$A$301,C1004)=0,"Missing","OK")</f>
        <v>OK</v>
      </c>
      <c r="U1004" t="str">
        <f t="shared" si="46"/>
        <v>Chennai</v>
      </c>
      <c r="V1004">
        <f t="shared" si="47"/>
        <v>0</v>
      </c>
    </row>
    <row r="1005" spans="1:22" ht="15" customHeight="1" x14ac:dyDescent="0.35">
      <c r="A1005" s="3" t="s">
        <v>1425</v>
      </c>
      <c r="B1005" s="4">
        <v>45416</v>
      </c>
      <c r="C1005" s="3" t="s">
        <v>186</v>
      </c>
      <c r="D1005" s="3" t="s">
        <v>319</v>
      </c>
      <c r="E1005" s="3" t="s">
        <v>212</v>
      </c>
      <c r="F1005" s="5">
        <v>1</v>
      </c>
      <c r="G1005" s="5">
        <v>960</v>
      </c>
      <c r="H1005" s="5">
        <v>11.9</v>
      </c>
      <c r="I1005" s="5">
        <v>845.76</v>
      </c>
      <c r="J1005" s="3" t="s">
        <v>26</v>
      </c>
      <c r="K1005" s="3" t="s">
        <v>56</v>
      </c>
      <c r="L1005" t="str">
        <f>IFERROR(VLOOKUP(D1005,Products!$A$2:$F$61,3,FALSE()),"")</f>
        <v>Beauty</v>
      </c>
      <c r="M1005" t="str">
        <f>IFERROR(VLOOKUP(E1005,Sales_Reps!$A$2:$C$31,3,FALSE()),"")</f>
        <v>South</v>
      </c>
      <c r="N1005">
        <f>IFERROR(VLOOKUP(D1005,Products!$A$2:$F$61,4,FALSE()),"")</f>
        <v>675</v>
      </c>
      <c r="O1005" t="str">
        <f>IFERROR(VLOOKUP(C1005,Customers!$A$2:$F$301,5,FALSE()),"")</f>
        <v>Retail</v>
      </c>
      <c r="P1005">
        <f>IFERROR(VLOOKUP(C1005,Customers!$A$2:$F$301,3,FALSE()),"")</f>
        <v>34</v>
      </c>
      <c r="Q1005">
        <f t="shared" si="45"/>
        <v>0.296875</v>
      </c>
      <c r="R1005">
        <f>IF(AND(COUNTIF($A$2:$A$2047,A1005)&gt;1,COUNTIF($A$2:A1005,A1005)=1),1,0)</f>
        <v>0</v>
      </c>
      <c r="S1005" t="b">
        <f>IFERROR(VLOOKUP(D1005,Products!$A$2:$F$61,6,FALSE()),"")</f>
        <v>1</v>
      </c>
      <c r="T1005" t="str">
        <f>IF(COUNTIF(Customers!$A$2:$A$301,C1005)=0,"Missing","OK")</f>
        <v>OK</v>
      </c>
      <c r="U1005" t="str">
        <f t="shared" si="46"/>
        <v>Bengaluru</v>
      </c>
      <c r="V1005">
        <f t="shared" si="47"/>
        <v>0</v>
      </c>
    </row>
    <row r="1006" spans="1:22" ht="15" customHeight="1" x14ac:dyDescent="0.35">
      <c r="A1006" s="3" t="s">
        <v>1426</v>
      </c>
      <c r="B1006" s="4">
        <v>45430</v>
      </c>
      <c r="C1006" s="3" t="s">
        <v>691</v>
      </c>
      <c r="D1006" s="3" t="s">
        <v>103</v>
      </c>
      <c r="E1006" s="3" t="s">
        <v>25</v>
      </c>
      <c r="F1006" s="5">
        <v>3</v>
      </c>
      <c r="G1006" s="5">
        <v>1080</v>
      </c>
      <c r="H1006" s="5">
        <v>26</v>
      </c>
      <c r="I1006" s="5">
        <v>2397.6</v>
      </c>
      <c r="J1006" s="3" t="s">
        <v>26</v>
      </c>
      <c r="K1006" s="3" t="s">
        <v>56</v>
      </c>
      <c r="L1006" t="str">
        <f>IFERROR(VLOOKUP(D1006,Products!$A$2:$F$61,3,FALSE()),"")</f>
        <v>Home</v>
      </c>
      <c r="M1006" t="str">
        <f>IFERROR(VLOOKUP(E1006,Sales_Reps!$A$2:$C$31,3,FALSE()),"")</f>
        <v>North</v>
      </c>
      <c r="N1006">
        <f>IFERROR(VLOOKUP(D1006,Products!$A$2:$F$61,4,FALSE()),"")</f>
        <v>519</v>
      </c>
      <c r="O1006" t="str">
        <f>IFERROR(VLOOKUP(C1006,Customers!$A$2:$F$301,5,FALSE()),"")</f>
        <v>Retail</v>
      </c>
      <c r="P1006">
        <f>IFERROR(VLOOKUP(C1006,Customers!$A$2:$F$301,3,FALSE()),"")</f>
        <v>32</v>
      </c>
      <c r="Q1006">
        <f t="shared" si="45"/>
        <v>0.51944444444444449</v>
      </c>
      <c r="R1006">
        <f>IF(AND(COUNTIF($A$2:$A$2047,A1006)&gt;1,COUNTIF($A$2:A1006,A1006)=1),1,0)</f>
        <v>0</v>
      </c>
      <c r="S1006" t="b">
        <f>IFERROR(VLOOKUP(D1006,Products!$A$2:$F$61,6,FALSE()),"")</f>
        <v>1</v>
      </c>
      <c r="T1006" t="str">
        <f>IF(COUNTIF(Customers!$A$2:$A$301,C1006)=0,"Missing","OK")</f>
        <v>OK</v>
      </c>
      <c r="U1006" t="str">
        <f t="shared" si="46"/>
        <v>Bengaluru</v>
      </c>
      <c r="V1006">
        <f t="shared" si="47"/>
        <v>0</v>
      </c>
    </row>
    <row r="1007" spans="1:22" ht="15" customHeight="1" x14ac:dyDescent="0.35">
      <c r="A1007" s="3" t="s">
        <v>1427</v>
      </c>
      <c r="B1007" s="4">
        <v>45585</v>
      </c>
      <c r="C1007" s="3" t="s">
        <v>329</v>
      </c>
      <c r="D1007" s="3" t="s">
        <v>134</v>
      </c>
      <c r="E1007" s="3" t="s">
        <v>154</v>
      </c>
      <c r="F1007" s="5">
        <v>10</v>
      </c>
      <c r="G1007" s="5">
        <v>2860</v>
      </c>
      <c r="H1007" s="5">
        <v>13.1</v>
      </c>
      <c r="I1007" s="5">
        <v>24853.4</v>
      </c>
      <c r="J1007" s="3" t="s">
        <v>83</v>
      </c>
      <c r="K1007" s="3" t="s">
        <v>27</v>
      </c>
      <c r="L1007" t="str">
        <f>IFERROR(VLOOKUP(D1007,Products!$A$2:$F$61,3,FALSE()),"")</f>
        <v>Sports</v>
      </c>
      <c r="M1007" t="str">
        <f>IFERROR(VLOOKUP(E1007,Sales_Reps!$A$2:$C$31,3,FALSE()),"")</f>
        <v>North</v>
      </c>
      <c r="N1007">
        <f>IFERROR(VLOOKUP(D1007,Products!$A$2:$F$61,4,FALSE()),"")</f>
        <v>2028</v>
      </c>
      <c r="O1007" t="str">
        <f>IFERROR(VLOOKUP(C1007,Customers!$A$2:$F$301,5,FALSE()),"")</f>
        <v>SMB</v>
      </c>
      <c r="P1007">
        <f>IFERROR(VLOOKUP(C1007,Customers!$A$2:$F$301,3,FALSE()),"")</f>
        <v>54</v>
      </c>
      <c r="Q1007">
        <f t="shared" si="45"/>
        <v>0.29090909090909089</v>
      </c>
      <c r="R1007">
        <f>IF(AND(COUNTIF($A$2:$A$2047,A1007)&gt;1,COUNTIF($A$2:A1007,A1007)=1),1,0)</f>
        <v>0</v>
      </c>
      <c r="S1007" t="b">
        <f>IFERROR(VLOOKUP(D1007,Products!$A$2:$F$61,6,FALSE()),"")</f>
        <v>1</v>
      </c>
      <c r="T1007" t="str">
        <f>IF(COUNTIF(Customers!$A$2:$A$301,C1007)=0,"Missing","OK")</f>
        <v>OK</v>
      </c>
      <c r="U1007" t="str">
        <f t="shared" si="46"/>
        <v>Pune</v>
      </c>
      <c r="V1007">
        <f t="shared" si="47"/>
        <v>0</v>
      </c>
    </row>
    <row r="1008" spans="1:22" ht="15" customHeight="1" x14ac:dyDescent="0.35">
      <c r="A1008" s="3" t="s">
        <v>1428</v>
      </c>
      <c r="B1008" s="4">
        <v>45630</v>
      </c>
      <c r="C1008" s="3" t="s">
        <v>1300</v>
      </c>
      <c r="D1008" s="3" t="s">
        <v>176</v>
      </c>
      <c r="E1008" s="3" t="s">
        <v>154</v>
      </c>
      <c r="F1008" s="5">
        <v>3</v>
      </c>
      <c r="G1008" s="5">
        <v>3640</v>
      </c>
      <c r="H1008" s="5">
        <v>18.2</v>
      </c>
      <c r="I1008" s="5">
        <v>8932.56</v>
      </c>
      <c r="J1008" s="3" t="s">
        <v>26</v>
      </c>
      <c r="K1008" s="3" t="s">
        <v>33</v>
      </c>
      <c r="L1008" t="str">
        <f>IFERROR(VLOOKUP(D1008,Products!$A$2:$F$61,3,FALSE()),"")</f>
        <v>Apparel</v>
      </c>
      <c r="M1008" t="str">
        <f>IFERROR(VLOOKUP(E1008,Sales_Reps!$A$2:$C$31,3,FALSE()),"")</f>
        <v>North</v>
      </c>
      <c r="N1008">
        <f>IFERROR(VLOOKUP(D1008,Products!$A$2:$F$61,4,FALSE()),"")</f>
        <v>2611</v>
      </c>
      <c r="O1008" t="str">
        <f>IFERROR(VLOOKUP(C1008,Customers!$A$2:$F$301,5,FALSE()),"")</f>
        <v>Retail</v>
      </c>
      <c r="P1008">
        <f>IFERROR(VLOOKUP(C1008,Customers!$A$2:$F$301,3,FALSE()),"")</f>
        <v>34</v>
      </c>
      <c r="Q1008">
        <f t="shared" si="45"/>
        <v>0.28269230769230769</v>
      </c>
      <c r="R1008">
        <f>IF(AND(COUNTIF($A$2:$A$2047,A1008)&gt;1,COUNTIF($A$2:A1008,A1008)=1),1,0)</f>
        <v>0</v>
      </c>
      <c r="S1008" t="b">
        <f>IFERROR(VLOOKUP(D1008,Products!$A$2:$F$61,6,FALSE()),"")</f>
        <v>1</v>
      </c>
      <c r="T1008" t="str">
        <f>IF(COUNTIF(Customers!$A$2:$A$301,C1008)=0,"Missing","OK")</f>
        <v>OK</v>
      </c>
      <c r="U1008" t="str">
        <f t="shared" si="46"/>
        <v>Chennai</v>
      </c>
      <c r="V1008">
        <f t="shared" si="47"/>
        <v>0</v>
      </c>
    </row>
    <row r="1009" spans="1:22" ht="15" customHeight="1" x14ac:dyDescent="0.35">
      <c r="A1009" s="3" t="s">
        <v>1429</v>
      </c>
      <c r="B1009" s="4">
        <v>45405</v>
      </c>
      <c r="C1009" s="3" t="s">
        <v>145</v>
      </c>
      <c r="D1009" s="3" t="s">
        <v>112</v>
      </c>
      <c r="E1009" s="3" t="s">
        <v>242</v>
      </c>
      <c r="F1009" s="5">
        <v>3</v>
      </c>
      <c r="G1009" s="5">
        <v>2720</v>
      </c>
      <c r="H1009" s="5">
        <v>3.6</v>
      </c>
      <c r="I1009" s="5">
        <v>7866.24</v>
      </c>
      <c r="J1009" s="3" t="s">
        <v>26</v>
      </c>
      <c r="K1009" s="3" t="s">
        <v>72</v>
      </c>
      <c r="L1009" t="str">
        <f>IFERROR(VLOOKUP(D1009,Products!$A$2:$F$61,3,FALSE()),"")</f>
        <v>Apparel</v>
      </c>
      <c r="M1009" t="str">
        <f>IFERROR(VLOOKUP(E1009,Sales_Reps!$A$2:$C$31,3,FALSE()),"")</f>
        <v>East</v>
      </c>
      <c r="N1009">
        <f>IFERROR(VLOOKUP(D1009,Products!$A$2:$F$61,4,FALSE()),"")</f>
        <v>1962</v>
      </c>
      <c r="O1009" t="str">
        <f>IFERROR(VLOOKUP(C1009,Customers!$A$2:$F$301,5,FALSE()),"")</f>
        <v>SMB</v>
      </c>
      <c r="P1009">
        <f>IFERROR(VLOOKUP(C1009,Customers!$A$2:$F$301,3,FALSE()),"")</f>
        <v>40</v>
      </c>
      <c r="Q1009">
        <f t="shared" si="45"/>
        <v>0.2786764705882353</v>
      </c>
      <c r="R1009">
        <f>IF(AND(COUNTIF($A$2:$A$2047,A1009)&gt;1,COUNTIF($A$2:A1009,A1009)=1),1,0)</f>
        <v>0</v>
      </c>
      <c r="S1009" t="b">
        <f>IFERROR(VLOOKUP(D1009,Products!$A$2:$F$61,6,FALSE()),"")</f>
        <v>1</v>
      </c>
      <c r="T1009" t="str">
        <f>IF(COUNTIF(Customers!$A$2:$A$301,C1009)=0,"Missing","OK")</f>
        <v>OK</v>
      </c>
      <c r="U1009" t="str">
        <f t="shared" si="46"/>
        <v>Hyderabad</v>
      </c>
      <c r="V1009">
        <f t="shared" si="47"/>
        <v>0</v>
      </c>
    </row>
    <row r="1010" spans="1:22" ht="15" customHeight="1" x14ac:dyDescent="0.35">
      <c r="A1010" s="3" t="s">
        <v>1430</v>
      </c>
      <c r="B1010" s="4">
        <v>45630</v>
      </c>
      <c r="C1010" s="3" t="s">
        <v>476</v>
      </c>
      <c r="D1010" s="3" t="s">
        <v>70</v>
      </c>
      <c r="E1010" s="3" t="s">
        <v>46</v>
      </c>
      <c r="F1010" s="5">
        <v>4</v>
      </c>
      <c r="G1010" s="5">
        <v>2270</v>
      </c>
      <c r="H1010" s="5">
        <v>18.399999999999999</v>
      </c>
      <c r="I1010" s="5">
        <v>7409.28</v>
      </c>
      <c r="J1010" s="3" t="s">
        <v>26</v>
      </c>
      <c r="K1010" s="3" t="s">
        <v>72</v>
      </c>
      <c r="L1010" t="str">
        <f>IFERROR(VLOOKUP(D1010,Products!$A$2:$F$61,3,FALSE()),"")</f>
        <v>Grocery</v>
      </c>
      <c r="M1010" t="str">
        <f>IFERROR(VLOOKUP(E1010,Sales_Reps!$A$2:$C$31,3,FALSE()),"")</f>
        <v>North</v>
      </c>
      <c r="N1010">
        <f>IFERROR(VLOOKUP(D1010,Products!$A$2:$F$61,4,FALSE()),"")</f>
        <v>1203</v>
      </c>
      <c r="O1010" t="str">
        <f>IFERROR(VLOOKUP(C1010,Customers!$A$2:$F$301,5,FALSE()),"")</f>
        <v>SMB</v>
      </c>
      <c r="P1010">
        <f>IFERROR(VLOOKUP(C1010,Customers!$A$2:$F$301,3,FALSE()),"")</f>
        <v>48</v>
      </c>
      <c r="Q1010">
        <f t="shared" si="45"/>
        <v>0.47004405286343615</v>
      </c>
      <c r="R1010">
        <f>IF(AND(COUNTIF($A$2:$A$2047,A1010)&gt;1,COUNTIF($A$2:A1010,A1010)=1),1,0)</f>
        <v>0</v>
      </c>
      <c r="S1010" t="b">
        <f>IFERROR(VLOOKUP(D1010,Products!$A$2:$F$61,6,FALSE()),"")</f>
        <v>1</v>
      </c>
      <c r="T1010" t="str">
        <f>IF(COUNTIF(Customers!$A$2:$A$301,C1010)=0,"Missing","OK")</f>
        <v>OK</v>
      </c>
      <c r="U1010" t="str">
        <f t="shared" si="46"/>
        <v>Hyderabad</v>
      </c>
      <c r="V1010">
        <f t="shared" si="47"/>
        <v>0</v>
      </c>
    </row>
    <row r="1011" spans="1:22" ht="15" customHeight="1" x14ac:dyDescent="0.35">
      <c r="A1011" s="3" t="s">
        <v>1431</v>
      </c>
      <c r="B1011" s="4">
        <v>45483</v>
      </c>
      <c r="C1011" s="3" t="s">
        <v>1132</v>
      </c>
      <c r="D1011" s="3" t="s">
        <v>206</v>
      </c>
      <c r="E1011" s="3" t="s">
        <v>168</v>
      </c>
      <c r="F1011" s="5">
        <v>5</v>
      </c>
      <c r="G1011" s="5">
        <v>1220</v>
      </c>
      <c r="H1011" s="5">
        <v>13.9</v>
      </c>
      <c r="I1011" s="5">
        <v>5252.1</v>
      </c>
      <c r="J1011" s="3" t="s">
        <v>26</v>
      </c>
      <c r="K1011" s="3" t="s">
        <v>72</v>
      </c>
      <c r="L1011" t="str">
        <f>IFERROR(VLOOKUP(D1011,Products!$A$2:$F$61,3,FALSE()),"")</f>
        <v>Electronics</v>
      </c>
      <c r="M1011" t="str">
        <f>IFERROR(VLOOKUP(E1011,Sales_Reps!$A$2:$C$31,3,FALSE()),"")</f>
        <v>West</v>
      </c>
      <c r="N1011">
        <f>IFERROR(VLOOKUP(D1011,Products!$A$2:$F$61,4,FALSE()),"")</f>
        <v>517</v>
      </c>
      <c r="O1011" t="str">
        <f>IFERROR(VLOOKUP(C1011,Customers!$A$2:$F$301,5,FALSE()),"")</f>
        <v>SMB</v>
      </c>
      <c r="P1011">
        <f>IFERROR(VLOOKUP(C1011,Customers!$A$2:$F$301,3,FALSE()),"")</f>
        <v>25</v>
      </c>
      <c r="Q1011">
        <f t="shared" si="45"/>
        <v>0.57622950819672136</v>
      </c>
      <c r="R1011">
        <f>IF(AND(COUNTIF($A$2:$A$2047,A1011)&gt;1,COUNTIF($A$2:A1011,A1011)=1),1,0)</f>
        <v>0</v>
      </c>
      <c r="S1011" t="b">
        <f>IFERROR(VLOOKUP(D1011,Products!$A$2:$F$61,6,FALSE()),"")</f>
        <v>1</v>
      </c>
      <c r="T1011" t="str">
        <f>IF(COUNTIF(Customers!$A$2:$A$301,C1011)=0,"Missing","OK")</f>
        <v>OK</v>
      </c>
      <c r="U1011" t="str">
        <f t="shared" si="46"/>
        <v>Hyderabad</v>
      </c>
      <c r="V1011">
        <f t="shared" si="47"/>
        <v>0</v>
      </c>
    </row>
    <row r="1012" spans="1:22" ht="15" customHeight="1" x14ac:dyDescent="0.35">
      <c r="A1012" s="3" t="s">
        <v>1432</v>
      </c>
      <c r="B1012" s="4">
        <v>45530</v>
      </c>
      <c r="C1012" s="3" t="s">
        <v>238</v>
      </c>
      <c r="D1012" s="3" t="s">
        <v>74</v>
      </c>
      <c r="E1012" s="3" t="s">
        <v>127</v>
      </c>
      <c r="F1012" s="5">
        <v>8</v>
      </c>
      <c r="G1012" s="5">
        <v>2640</v>
      </c>
      <c r="H1012" s="5">
        <v>17.3</v>
      </c>
      <c r="I1012" s="5">
        <v>17466.240000000002</v>
      </c>
      <c r="J1012" s="3" t="s">
        <v>26</v>
      </c>
      <c r="K1012" s="3" t="s">
        <v>72</v>
      </c>
      <c r="L1012" t="str">
        <f>IFERROR(VLOOKUP(D1012,Products!$A$2:$F$61,3,FALSE()),"")</f>
        <v>Electronics</v>
      </c>
      <c r="M1012" t="str">
        <f>IFERROR(VLOOKUP(E1012,Sales_Reps!$A$2:$C$31,3,FALSE()),"")</f>
        <v>South</v>
      </c>
      <c r="N1012">
        <f>IFERROR(VLOOKUP(D1012,Products!$A$2:$F$61,4,FALSE()),"")</f>
        <v>1149</v>
      </c>
      <c r="O1012" t="str">
        <f>IFERROR(VLOOKUP(C1012,Customers!$A$2:$F$301,5,FALSE()),"")</f>
        <v>Retail</v>
      </c>
      <c r="P1012">
        <f>IFERROR(VLOOKUP(C1012,Customers!$A$2:$F$301,3,FALSE()),"")</f>
        <v>29</v>
      </c>
      <c r="Q1012">
        <f t="shared" si="45"/>
        <v>0.56477272727272732</v>
      </c>
      <c r="R1012">
        <f>IF(AND(COUNTIF($A$2:$A$2047,A1012)&gt;1,COUNTIF($A$2:A1012,A1012)=1),1,0)</f>
        <v>0</v>
      </c>
      <c r="S1012" t="b">
        <f>IFERROR(VLOOKUP(D1012,Products!$A$2:$F$61,6,FALSE()),"")</f>
        <v>1</v>
      </c>
      <c r="T1012" t="str">
        <f>IF(COUNTIF(Customers!$A$2:$A$301,C1012)=0,"Missing","OK")</f>
        <v>OK</v>
      </c>
      <c r="U1012" t="str">
        <f t="shared" si="46"/>
        <v>Hyderabad</v>
      </c>
      <c r="V1012">
        <f t="shared" si="47"/>
        <v>0</v>
      </c>
    </row>
    <row r="1013" spans="1:22" ht="15" customHeight="1" x14ac:dyDescent="0.35">
      <c r="A1013" s="3" t="s">
        <v>1433</v>
      </c>
      <c r="B1013" s="4">
        <v>45500</v>
      </c>
      <c r="C1013" s="3" t="s">
        <v>315</v>
      </c>
      <c r="D1013" s="3" t="s">
        <v>66</v>
      </c>
      <c r="E1013" s="3" t="s">
        <v>127</v>
      </c>
      <c r="F1013" s="5">
        <v>1</v>
      </c>
      <c r="G1013" s="5">
        <v>970</v>
      </c>
      <c r="H1013" s="5">
        <v>28</v>
      </c>
      <c r="I1013" s="5">
        <v>698.4</v>
      </c>
      <c r="J1013" s="3" t="s">
        <v>79</v>
      </c>
      <c r="K1013" s="3" t="s">
        <v>56</v>
      </c>
      <c r="L1013" t="str">
        <f>IFERROR(VLOOKUP(D1013,Products!$A$2:$F$61,3,FALSE()),"")</f>
        <v>Grocery</v>
      </c>
      <c r="M1013" t="str">
        <f>IFERROR(VLOOKUP(E1013,Sales_Reps!$A$2:$C$31,3,FALSE()),"")</f>
        <v>South</v>
      </c>
      <c r="N1013">
        <f>IFERROR(VLOOKUP(D1013,Products!$A$2:$F$61,4,FALSE()),"")</f>
        <v>434</v>
      </c>
      <c r="O1013" t="str">
        <f>IFERROR(VLOOKUP(C1013,Customers!$A$2:$F$301,5,FALSE()),"")</f>
        <v>SMB</v>
      </c>
      <c r="P1013">
        <f>IFERROR(VLOOKUP(C1013,Customers!$A$2:$F$301,3,FALSE()),"")</f>
        <v>44</v>
      </c>
      <c r="Q1013">
        <f t="shared" si="45"/>
        <v>0.5525773195876289</v>
      </c>
      <c r="R1013">
        <f>IF(AND(COUNTIF($A$2:$A$2047,A1013)&gt;1,COUNTIF($A$2:A1013,A1013)=1),1,0)</f>
        <v>0</v>
      </c>
      <c r="S1013" t="b">
        <f>IFERROR(VLOOKUP(D1013,Products!$A$2:$F$61,6,FALSE()),"")</f>
        <v>1</v>
      </c>
      <c r="T1013" t="str">
        <f>IF(COUNTIF(Customers!$A$2:$A$301,C1013)=0,"Missing","OK")</f>
        <v>OK</v>
      </c>
      <c r="U1013" t="str">
        <f t="shared" si="46"/>
        <v>Bengaluru</v>
      </c>
      <c r="V1013">
        <f t="shared" si="47"/>
        <v>698.4</v>
      </c>
    </row>
    <row r="1014" spans="1:22" ht="15" customHeight="1" x14ac:dyDescent="0.35">
      <c r="A1014" s="3" t="s">
        <v>1434</v>
      </c>
      <c r="B1014" s="4">
        <v>45358</v>
      </c>
      <c r="C1014" s="3" t="s">
        <v>214</v>
      </c>
      <c r="D1014" s="3" t="s">
        <v>165</v>
      </c>
      <c r="E1014" s="3" t="s">
        <v>50</v>
      </c>
      <c r="F1014" s="5">
        <v>8</v>
      </c>
      <c r="G1014" s="5">
        <v>3730</v>
      </c>
      <c r="H1014" s="5">
        <v>2.1</v>
      </c>
      <c r="I1014" s="5">
        <v>29213.360000000001</v>
      </c>
      <c r="J1014" s="3" t="s">
        <v>83</v>
      </c>
      <c r="K1014" s="3" t="s">
        <v>27</v>
      </c>
      <c r="L1014" t="str">
        <f>IFERROR(VLOOKUP(D1014,Products!$A$2:$F$61,3,FALSE()),"")</f>
        <v>Home</v>
      </c>
      <c r="M1014" t="str">
        <f>IFERROR(VLOOKUP(E1014,Sales_Reps!$A$2:$C$31,3,FALSE()),"")</f>
        <v>West</v>
      </c>
      <c r="N1014">
        <f>IFERROR(VLOOKUP(D1014,Products!$A$2:$F$61,4,FALSE()),"")</f>
        <v>2135</v>
      </c>
      <c r="O1014" t="str">
        <f>IFERROR(VLOOKUP(C1014,Customers!$A$2:$F$301,5,FALSE()),"")</f>
        <v>Retail</v>
      </c>
      <c r="P1014">
        <f>IFERROR(VLOOKUP(C1014,Customers!$A$2:$F$301,3,FALSE()),"")</f>
        <v>44</v>
      </c>
      <c r="Q1014">
        <f t="shared" si="45"/>
        <v>0.42761394101876676</v>
      </c>
      <c r="R1014">
        <f>IF(AND(COUNTIF($A$2:$A$2047,A1014)&gt;1,COUNTIF($A$2:A1014,A1014)=1),1,0)</f>
        <v>0</v>
      </c>
      <c r="S1014" t="b">
        <f>IFERROR(VLOOKUP(D1014,Products!$A$2:$F$61,6,FALSE()),"")</f>
        <v>1</v>
      </c>
      <c r="T1014" t="str">
        <f>IF(COUNTIF(Customers!$A$2:$A$301,C1014)=0,"Missing","OK")</f>
        <v>OK</v>
      </c>
      <c r="U1014" t="str">
        <f t="shared" si="46"/>
        <v>Pune</v>
      </c>
      <c r="V1014">
        <f t="shared" si="47"/>
        <v>0</v>
      </c>
    </row>
    <row r="1015" spans="1:22" ht="15" customHeight="1" x14ac:dyDescent="0.35">
      <c r="A1015" s="3" t="s">
        <v>1435</v>
      </c>
      <c r="B1015" s="4">
        <v>45598</v>
      </c>
      <c r="C1015" s="3" t="s">
        <v>724</v>
      </c>
      <c r="D1015" s="3" t="s">
        <v>66</v>
      </c>
      <c r="E1015" s="3" t="s">
        <v>55</v>
      </c>
      <c r="F1015" s="5">
        <v>7</v>
      </c>
      <c r="G1015" s="5">
        <v>970</v>
      </c>
      <c r="H1015" s="5">
        <v>25.5</v>
      </c>
      <c r="I1015" s="5">
        <v>5058.55</v>
      </c>
      <c r="J1015" s="3" t="s">
        <v>26</v>
      </c>
      <c r="K1015" s="3" t="s">
        <v>27</v>
      </c>
      <c r="L1015" t="str">
        <f>IFERROR(VLOOKUP(D1015,Products!$A$2:$F$61,3,FALSE()),"")</f>
        <v>Grocery</v>
      </c>
      <c r="M1015" t="str">
        <f>IFERROR(VLOOKUP(E1015,Sales_Reps!$A$2:$C$31,3,FALSE()),"")</f>
        <v>West</v>
      </c>
      <c r="N1015">
        <f>IFERROR(VLOOKUP(D1015,Products!$A$2:$F$61,4,FALSE()),"")</f>
        <v>434</v>
      </c>
      <c r="O1015" t="str">
        <f>IFERROR(VLOOKUP(C1015,Customers!$A$2:$F$301,5,FALSE()),"")</f>
        <v>Retail</v>
      </c>
      <c r="P1015">
        <f>IFERROR(VLOOKUP(C1015,Customers!$A$2:$F$301,3,FALSE()),"")</f>
        <v>31</v>
      </c>
      <c r="Q1015">
        <f t="shared" si="45"/>
        <v>0.5525773195876289</v>
      </c>
      <c r="R1015">
        <f>IF(AND(COUNTIF($A$2:$A$2047,A1015)&gt;1,COUNTIF($A$2:A1015,A1015)=1),1,0)</f>
        <v>0</v>
      </c>
      <c r="S1015" t="b">
        <f>IFERROR(VLOOKUP(D1015,Products!$A$2:$F$61,6,FALSE()),"")</f>
        <v>1</v>
      </c>
      <c r="T1015" t="str">
        <f>IF(COUNTIF(Customers!$A$2:$A$301,C1015)=0,"Missing","OK")</f>
        <v>OK</v>
      </c>
      <c r="U1015" t="str">
        <f t="shared" si="46"/>
        <v>Pune</v>
      </c>
      <c r="V1015">
        <f t="shared" si="47"/>
        <v>0</v>
      </c>
    </row>
    <row r="1016" spans="1:22" ht="15" customHeight="1" x14ac:dyDescent="0.35">
      <c r="A1016" s="3" t="s">
        <v>1436</v>
      </c>
      <c r="B1016" s="4">
        <v>45318</v>
      </c>
      <c r="C1016" s="3" t="s">
        <v>298</v>
      </c>
      <c r="D1016" s="3" t="s">
        <v>126</v>
      </c>
      <c r="E1016" s="3" t="s">
        <v>224</v>
      </c>
      <c r="F1016" s="5">
        <v>6</v>
      </c>
      <c r="G1016" s="5">
        <v>3570</v>
      </c>
      <c r="H1016" s="5">
        <v>9.9</v>
      </c>
      <c r="I1016" s="5">
        <v>19299.419999999998</v>
      </c>
      <c r="J1016" s="3" t="s">
        <v>26</v>
      </c>
      <c r="K1016" s="3" t="s">
        <v>38</v>
      </c>
      <c r="L1016" t="str">
        <f>IFERROR(VLOOKUP(D1016,Products!$A$2:$F$61,3,FALSE()),"")</f>
        <v>Electronics</v>
      </c>
      <c r="M1016" t="str">
        <f>IFERROR(VLOOKUP(E1016,Sales_Reps!$A$2:$C$31,3,FALSE()),"")</f>
        <v>East</v>
      </c>
      <c r="N1016">
        <f>IFERROR(VLOOKUP(D1016,Products!$A$2:$F$61,4,FALSE()),"")</f>
        <v>1665</v>
      </c>
      <c r="O1016" t="str">
        <f>IFERROR(VLOOKUP(C1016,Customers!$A$2:$F$301,5,FALSE()),"")</f>
        <v>SMB</v>
      </c>
      <c r="P1016">
        <f>IFERROR(VLOOKUP(C1016,Customers!$A$2:$F$301,3,FALSE()),"")</f>
        <v>28</v>
      </c>
      <c r="Q1016">
        <f t="shared" si="45"/>
        <v>0.53361344537815125</v>
      </c>
      <c r="R1016">
        <f>IF(AND(COUNTIF($A$2:$A$2047,A1016)&gt;1,COUNTIF($A$2:A1016,A1016)=1),1,0)</f>
        <v>0</v>
      </c>
      <c r="S1016" t="b">
        <f>IFERROR(VLOOKUP(D1016,Products!$A$2:$F$61,6,FALSE()),"")</f>
        <v>1</v>
      </c>
      <c r="T1016" t="str">
        <f>IF(COUNTIF(Customers!$A$2:$A$301,C1016)=0,"Missing","OK")</f>
        <v>OK</v>
      </c>
      <c r="U1016" t="str">
        <f t="shared" si="46"/>
        <v>Delhi</v>
      </c>
      <c r="V1016">
        <f t="shared" si="47"/>
        <v>0</v>
      </c>
    </row>
    <row r="1017" spans="1:22" ht="15" customHeight="1" x14ac:dyDescent="0.35">
      <c r="A1017" s="3" t="s">
        <v>1437</v>
      </c>
      <c r="B1017" s="4">
        <v>45524</v>
      </c>
      <c r="C1017" s="3" t="s">
        <v>1438</v>
      </c>
      <c r="D1017" s="3" t="s">
        <v>66</v>
      </c>
      <c r="E1017" s="3" t="s">
        <v>285</v>
      </c>
      <c r="F1017" s="5">
        <v>6</v>
      </c>
      <c r="G1017" s="5">
        <v>970</v>
      </c>
      <c r="H1017" s="5">
        <v>19.600000000000001</v>
      </c>
      <c r="I1017" s="5">
        <v>4679.28</v>
      </c>
      <c r="J1017" s="3" t="s">
        <v>26</v>
      </c>
      <c r="K1017" s="3" t="s">
        <v>33</v>
      </c>
      <c r="L1017" t="str">
        <f>IFERROR(VLOOKUP(D1017,Products!$A$2:$F$61,3,FALSE()),"")</f>
        <v>Grocery</v>
      </c>
      <c r="M1017" t="str">
        <f>IFERROR(VLOOKUP(E1017,Sales_Reps!$A$2:$C$31,3,FALSE()),"")</f>
        <v>South</v>
      </c>
      <c r="N1017">
        <f>IFERROR(VLOOKUP(D1017,Products!$A$2:$F$61,4,FALSE()),"")</f>
        <v>434</v>
      </c>
      <c r="O1017" t="str">
        <f>IFERROR(VLOOKUP(C1017,Customers!$A$2:$F$301,5,FALSE()),"")</f>
        <v>Retail</v>
      </c>
      <c r="P1017">
        <f>IFERROR(VLOOKUP(C1017,Customers!$A$2:$F$301,3,FALSE()),"")</f>
        <v>26</v>
      </c>
      <c r="Q1017">
        <f t="shared" si="45"/>
        <v>0.5525773195876289</v>
      </c>
      <c r="R1017">
        <f>IF(AND(COUNTIF($A$2:$A$2047,A1017)&gt;1,COUNTIF($A$2:A1017,A1017)=1),1,0)</f>
        <v>0</v>
      </c>
      <c r="S1017" t="b">
        <f>IFERROR(VLOOKUP(D1017,Products!$A$2:$F$61,6,FALSE()),"")</f>
        <v>1</v>
      </c>
      <c r="T1017" t="str">
        <f>IF(COUNTIF(Customers!$A$2:$A$301,C1017)=0,"Missing","OK")</f>
        <v>OK</v>
      </c>
      <c r="U1017" t="str">
        <f t="shared" si="46"/>
        <v>Chennai</v>
      </c>
      <c r="V1017">
        <f t="shared" si="47"/>
        <v>0</v>
      </c>
    </row>
    <row r="1018" spans="1:22" ht="15" customHeight="1" x14ac:dyDescent="0.35">
      <c r="A1018" s="3" t="s">
        <v>1439</v>
      </c>
      <c r="B1018" s="4">
        <v>45554</v>
      </c>
      <c r="C1018" s="3" t="s">
        <v>158</v>
      </c>
      <c r="D1018" s="3" t="s">
        <v>400</v>
      </c>
      <c r="E1018" s="3" t="s">
        <v>212</v>
      </c>
      <c r="F1018" s="5">
        <v>8</v>
      </c>
      <c r="G1018" s="5">
        <v>3780</v>
      </c>
      <c r="H1018" s="5">
        <v>26.5</v>
      </c>
      <c r="I1018" s="5">
        <v>22226.400000000001</v>
      </c>
      <c r="J1018" s="3" t="s">
        <v>26</v>
      </c>
      <c r="K1018" s="3" t="s">
        <v>38</v>
      </c>
      <c r="L1018" t="str">
        <f>IFERROR(VLOOKUP(D1018,Products!$A$2:$F$61,3,FALSE()),"")</f>
        <v>Sports</v>
      </c>
      <c r="M1018" t="str">
        <f>IFERROR(VLOOKUP(E1018,Sales_Reps!$A$2:$C$31,3,FALSE()),"")</f>
        <v>South</v>
      </c>
      <c r="N1018">
        <f>IFERROR(VLOOKUP(D1018,Products!$A$2:$F$61,4,FALSE()),"")</f>
        <v>1860</v>
      </c>
      <c r="O1018" t="str">
        <f>IFERROR(VLOOKUP(C1018,Customers!$A$2:$F$301,5,FALSE()),"")</f>
        <v>SMB</v>
      </c>
      <c r="P1018">
        <f>IFERROR(VLOOKUP(C1018,Customers!$A$2:$F$301,3,FALSE()),"")</f>
        <v>50</v>
      </c>
      <c r="Q1018">
        <f t="shared" si="45"/>
        <v>0.50793650793650791</v>
      </c>
      <c r="R1018">
        <f>IF(AND(COUNTIF($A$2:$A$2047,A1018)&gt;1,COUNTIF($A$2:A1018,A1018)=1),1,0)</f>
        <v>0</v>
      </c>
      <c r="S1018" t="b">
        <f>IFERROR(VLOOKUP(D1018,Products!$A$2:$F$61,6,FALSE()),"")</f>
        <v>1</v>
      </c>
      <c r="T1018" t="str">
        <f>IF(COUNTIF(Customers!$A$2:$A$301,C1018)=0,"Missing","OK")</f>
        <v>OK</v>
      </c>
      <c r="U1018" t="str">
        <f t="shared" si="46"/>
        <v>Delhi</v>
      </c>
      <c r="V1018">
        <f t="shared" si="47"/>
        <v>0</v>
      </c>
    </row>
    <row r="1019" spans="1:22" ht="15" customHeight="1" x14ac:dyDescent="0.35">
      <c r="A1019" s="3" t="s">
        <v>1440</v>
      </c>
      <c r="B1019" s="4">
        <v>45528</v>
      </c>
      <c r="C1019" s="3" t="s">
        <v>860</v>
      </c>
      <c r="D1019" s="3" t="s">
        <v>90</v>
      </c>
      <c r="E1019" s="3" t="s">
        <v>212</v>
      </c>
      <c r="F1019" s="5">
        <v>6</v>
      </c>
      <c r="G1019" s="5">
        <v>2400</v>
      </c>
      <c r="H1019" s="5">
        <v>1.4</v>
      </c>
      <c r="I1019" s="5">
        <v>14198.4</v>
      </c>
      <c r="J1019" s="3" t="s">
        <v>26</v>
      </c>
      <c r="K1019" s="3" t="s">
        <v>56</v>
      </c>
      <c r="L1019" t="str">
        <f>IFERROR(VLOOKUP(D1019,Products!$A$2:$F$61,3,FALSE()),"")</f>
        <v>Sports</v>
      </c>
      <c r="M1019" t="str">
        <f>IFERROR(VLOOKUP(E1019,Sales_Reps!$A$2:$C$31,3,FALSE()),"")</f>
        <v>South</v>
      </c>
      <c r="N1019">
        <f>IFERROR(VLOOKUP(D1019,Products!$A$2:$F$61,4,FALSE()),"")</f>
        <v>974</v>
      </c>
      <c r="O1019" t="str">
        <f>IFERROR(VLOOKUP(C1019,Customers!$A$2:$F$301,5,FALSE()),"")</f>
        <v>Retail</v>
      </c>
      <c r="P1019">
        <f>IFERROR(VLOOKUP(C1019,Customers!$A$2:$F$301,3,FALSE()),"")</f>
        <v>28</v>
      </c>
      <c r="Q1019">
        <f t="shared" si="45"/>
        <v>0.59416666666666662</v>
      </c>
      <c r="R1019">
        <f>IF(AND(COUNTIF($A$2:$A$2047,A1019)&gt;1,COUNTIF($A$2:A1019,A1019)=1),1,0)</f>
        <v>0</v>
      </c>
      <c r="S1019" t="b">
        <f>IFERROR(VLOOKUP(D1019,Products!$A$2:$F$61,6,FALSE()),"")</f>
        <v>1</v>
      </c>
      <c r="T1019" t="str">
        <f>IF(COUNTIF(Customers!$A$2:$A$301,C1019)=0,"Missing","OK")</f>
        <v>OK</v>
      </c>
      <c r="U1019" t="str">
        <f t="shared" si="46"/>
        <v>Bengaluru</v>
      </c>
      <c r="V1019">
        <f t="shared" si="47"/>
        <v>0</v>
      </c>
    </row>
    <row r="1020" spans="1:22" ht="15" customHeight="1" x14ac:dyDescent="0.35">
      <c r="A1020" s="3" t="s">
        <v>1441</v>
      </c>
      <c r="B1020" s="4">
        <v>45486</v>
      </c>
      <c r="C1020" s="3" t="s">
        <v>296</v>
      </c>
      <c r="D1020" s="3" t="s">
        <v>82</v>
      </c>
      <c r="E1020" s="3" t="s">
        <v>97</v>
      </c>
      <c r="F1020" s="5">
        <v>10</v>
      </c>
      <c r="G1020" s="5">
        <v>3250</v>
      </c>
      <c r="H1020" s="5">
        <v>19.3</v>
      </c>
      <c r="I1020" s="5">
        <v>26227.5</v>
      </c>
      <c r="J1020" s="3" t="s">
        <v>26</v>
      </c>
      <c r="K1020" s="3" t="s">
        <v>38</v>
      </c>
      <c r="L1020" t="str">
        <f>IFERROR(VLOOKUP(D1020,Products!$A$2:$F$61,3,FALSE()),"")</f>
        <v>Home</v>
      </c>
      <c r="M1020" t="str">
        <f>IFERROR(VLOOKUP(E1020,Sales_Reps!$A$2:$C$31,3,FALSE()),"")</f>
        <v>East</v>
      </c>
      <c r="N1020">
        <f>IFERROR(VLOOKUP(D1020,Products!$A$2:$F$61,4,FALSE()),"")</f>
        <v>1556</v>
      </c>
      <c r="O1020" t="str">
        <f>IFERROR(VLOOKUP(C1020,Customers!$A$2:$F$301,5,FALSE()),"")</f>
        <v>SMB</v>
      </c>
      <c r="P1020">
        <f>IFERROR(VLOOKUP(C1020,Customers!$A$2:$F$301,3,FALSE()),"")</f>
        <v>38</v>
      </c>
      <c r="Q1020">
        <f t="shared" si="45"/>
        <v>0.52123076923076928</v>
      </c>
      <c r="R1020">
        <f>IF(AND(COUNTIF($A$2:$A$2047,A1020)&gt;1,COUNTIF($A$2:A1020,A1020)=1),1,0)</f>
        <v>0</v>
      </c>
      <c r="S1020" t="b">
        <f>IFERROR(VLOOKUP(D1020,Products!$A$2:$F$61,6,FALSE()),"")</f>
        <v>1</v>
      </c>
      <c r="T1020" t="str">
        <f>IF(COUNTIF(Customers!$A$2:$A$301,C1020)=0,"Missing","OK")</f>
        <v>OK</v>
      </c>
      <c r="U1020" t="str">
        <f t="shared" si="46"/>
        <v>Delhi</v>
      </c>
      <c r="V1020">
        <f t="shared" si="47"/>
        <v>0</v>
      </c>
    </row>
    <row r="1021" spans="1:22" ht="15" customHeight="1" x14ac:dyDescent="0.35">
      <c r="A1021" s="3" t="s">
        <v>1442</v>
      </c>
      <c r="B1021" s="4">
        <v>45336</v>
      </c>
      <c r="C1021" s="3" t="s">
        <v>327</v>
      </c>
      <c r="D1021" s="3" t="s">
        <v>139</v>
      </c>
      <c r="E1021" s="3" t="s">
        <v>37</v>
      </c>
      <c r="F1021" s="5">
        <v>7</v>
      </c>
      <c r="G1021" s="5">
        <v>2760</v>
      </c>
      <c r="H1021" s="5">
        <v>23.6</v>
      </c>
      <c r="I1021" s="5">
        <v>14760.48</v>
      </c>
      <c r="J1021" s="3" t="s">
        <v>32</v>
      </c>
      <c r="K1021" s="3" t="s">
        <v>72</v>
      </c>
      <c r="L1021" t="str">
        <f>IFERROR(VLOOKUP(D1021,Products!$A$2:$F$61,3,FALSE()),"")</f>
        <v>Grocery</v>
      </c>
      <c r="M1021" t="str">
        <f>IFERROR(VLOOKUP(E1021,Sales_Reps!$A$2:$C$31,3,FALSE()),"")</f>
        <v>South</v>
      </c>
      <c r="N1021">
        <f>IFERROR(VLOOKUP(D1021,Products!$A$2:$F$61,4,FALSE()),"")</f>
        <v>1435</v>
      </c>
      <c r="O1021" t="str">
        <f>IFERROR(VLOOKUP(C1021,Customers!$A$2:$F$301,5,FALSE()),"")</f>
        <v>Retail</v>
      </c>
      <c r="P1021">
        <f>IFERROR(VLOOKUP(C1021,Customers!$A$2:$F$301,3,FALSE()),"")</f>
        <v>44</v>
      </c>
      <c r="Q1021">
        <f t="shared" si="45"/>
        <v>0.48007246376811596</v>
      </c>
      <c r="R1021">
        <f>IF(AND(COUNTIF($A$2:$A$2047,A1021)&gt;1,COUNTIF($A$2:A1021,A1021)=1),1,0)</f>
        <v>0</v>
      </c>
      <c r="S1021" t="b">
        <f>IFERROR(VLOOKUP(D1021,Products!$A$2:$F$61,6,FALSE()),"")</f>
        <v>1</v>
      </c>
      <c r="T1021" t="str">
        <f>IF(COUNTIF(Customers!$A$2:$A$301,C1021)=0,"Missing","OK")</f>
        <v>OK</v>
      </c>
      <c r="U1021" t="str">
        <f t="shared" si="46"/>
        <v>Hyderabad</v>
      </c>
      <c r="V1021">
        <f t="shared" si="47"/>
        <v>0</v>
      </c>
    </row>
    <row r="1022" spans="1:22" ht="15" customHeight="1" x14ac:dyDescent="0.35">
      <c r="A1022" s="3" t="s">
        <v>1443</v>
      </c>
      <c r="B1022" s="4">
        <v>45463</v>
      </c>
      <c r="C1022" s="3" t="s">
        <v>170</v>
      </c>
      <c r="D1022" s="3" t="s">
        <v>126</v>
      </c>
      <c r="E1022" s="3" t="s">
        <v>154</v>
      </c>
      <c r="F1022" s="5">
        <v>3</v>
      </c>
      <c r="G1022" s="5">
        <v>3570</v>
      </c>
      <c r="H1022" s="5">
        <v>26.3</v>
      </c>
      <c r="I1022" s="5">
        <v>7893.27</v>
      </c>
      <c r="J1022" s="3" t="s">
        <v>26</v>
      </c>
      <c r="K1022" s="3" t="s">
        <v>56</v>
      </c>
      <c r="L1022" t="str">
        <f>IFERROR(VLOOKUP(D1022,Products!$A$2:$F$61,3,FALSE()),"")</f>
        <v>Electronics</v>
      </c>
      <c r="M1022" t="str">
        <f>IFERROR(VLOOKUP(E1022,Sales_Reps!$A$2:$C$31,3,FALSE()),"")</f>
        <v>North</v>
      </c>
      <c r="N1022">
        <f>IFERROR(VLOOKUP(D1022,Products!$A$2:$F$61,4,FALSE()),"")</f>
        <v>1665</v>
      </c>
      <c r="O1022" t="str">
        <f>IFERROR(VLOOKUP(C1022,Customers!$A$2:$F$301,5,FALSE()),"")</f>
        <v>SMB</v>
      </c>
      <c r="P1022">
        <f>IFERROR(VLOOKUP(C1022,Customers!$A$2:$F$301,3,FALSE()),"")</f>
        <v>64</v>
      </c>
      <c r="Q1022">
        <f t="shared" si="45"/>
        <v>0.53361344537815125</v>
      </c>
      <c r="R1022">
        <f>IF(AND(COUNTIF($A$2:$A$2047,A1022)&gt;1,COUNTIF($A$2:A1022,A1022)=1),1,0)</f>
        <v>0</v>
      </c>
      <c r="S1022" t="b">
        <f>IFERROR(VLOOKUP(D1022,Products!$A$2:$F$61,6,FALSE()),"")</f>
        <v>1</v>
      </c>
      <c r="T1022" t="str">
        <f>IF(COUNTIF(Customers!$A$2:$A$301,C1022)=0,"Missing","OK")</f>
        <v>OK</v>
      </c>
      <c r="U1022" t="str">
        <f t="shared" si="46"/>
        <v>Bengaluru</v>
      </c>
      <c r="V1022">
        <f t="shared" si="47"/>
        <v>0</v>
      </c>
    </row>
    <row r="1023" spans="1:22" ht="15" customHeight="1" x14ac:dyDescent="0.35">
      <c r="A1023" s="3" t="s">
        <v>1444</v>
      </c>
      <c r="B1023" s="4">
        <v>45392</v>
      </c>
      <c r="C1023" s="3" t="s">
        <v>524</v>
      </c>
      <c r="D1023" s="3" t="s">
        <v>173</v>
      </c>
      <c r="E1023" s="3" t="s">
        <v>127</v>
      </c>
      <c r="F1023" s="5">
        <v>4</v>
      </c>
      <c r="G1023" s="5">
        <v>3780</v>
      </c>
      <c r="H1023" s="5">
        <v>10.1</v>
      </c>
      <c r="I1023" s="5">
        <v>13592.88</v>
      </c>
      <c r="J1023" s="3" t="s">
        <v>26</v>
      </c>
      <c r="K1023" s="3" t="s">
        <v>33</v>
      </c>
      <c r="L1023" t="str">
        <f>IFERROR(VLOOKUP(D1023,Products!$A$2:$F$61,3,FALSE()),"")</f>
        <v>Grocery</v>
      </c>
      <c r="M1023" t="str">
        <f>IFERROR(VLOOKUP(E1023,Sales_Reps!$A$2:$C$31,3,FALSE()),"")</f>
        <v>South</v>
      </c>
      <c r="N1023">
        <f>IFERROR(VLOOKUP(D1023,Products!$A$2:$F$61,4,FALSE()),"")</f>
        <v>2436</v>
      </c>
      <c r="O1023" t="str">
        <f>IFERROR(VLOOKUP(C1023,Customers!$A$2:$F$301,5,FALSE()),"")</f>
        <v>Retail</v>
      </c>
      <c r="P1023">
        <f>IFERROR(VLOOKUP(C1023,Customers!$A$2:$F$301,3,FALSE()),"")</f>
        <v>26</v>
      </c>
      <c r="Q1023">
        <f t="shared" si="45"/>
        <v>0.35555555555555557</v>
      </c>
      <c r="R1023">
        <f>IF(AND(COUNTIF($A$2:$A$2047,A1023)&gt;1,COUNTIF($A$2:A1023,A1023)=1),1,0)</f>
        <v>0</v>
      </c>
      <c r="S1023" t="b">
        <f>IFERROR(VLOOKUP(D1023,Products!$A$2:$F$61,6,FALSE()),"")</f>
        <v>1</v>
      </c>
      <c r="T1023" t="str">
        <f>IF(COUNTIF(Customers!$A$2:$A$301,C1023)=0,"Missing","OK")</f>
        <v>OK</v>
      </c>
      <c r="U1023" t="str">
        <f t="shared" si="46"/>
        <v>Chennai</v>
      </c>
      <c r="V1023">
        <f t="shared" si="47"/>
        <v>0</v>
      </c>
    </row>
    <row r="1024" spans="1:22" ht="15" customHeight="1" x14ac:dyDescent="0.35">
      <c r="A1024" s="3" t="s">
        <v>1445</v>
      </c>
      <c r="B1024" s="4">
        <v>45600</v>
      </c>
      <c r="C1024" s="3" t="s">
        <v>541</v>
      </c>
      <c r="D1024" s="3" t="s">
        <v>59</v>
      </c>
      <c r="E1024" s="3" t="s">
        <v>60</v>
      </c>
      <c r="F1024" s="5">
        <v>10</v>
      </c>
      <c r="G1024" s="5">
        <v>1430</v>
      </c>
      <c r="H1024" s="5">
        <v>3.7</v>
      </c>
      <c r="I1024" s="5">
        <v>13770.9</v>
      </c>
      <c r="J1024" s="3" t="s">
        <v>26</v>
      </c>
      <c r="K1024" s="3" t="s">
        <v>33</v>
      </c>
      <c r="L1024" t="str">
        <f>IFERROR(VLOOKUP(D1024,Products!$A$2:$F$61,3,FALSE()),"")</f>
        <v>Electronics</v>
      </c>
      <c r="M1024" t="str">
        <f>IFERROR(VLOOKUP(E1024,Sales_Reps!$A$2:$C$31,3,FALSE()),"")</f>
        <v>East</v>
      </c>
      <c r="N1024">
        <f>IFERROR(VLOOKUP(D1024,Products!$A$2:$F$61,4,FALSE()),"")</f>
        <v>861</v>
      </c>
      <c r="O1024" t="str">
        <f>IFERROR(VLOOKUP(C1024,Customers!$A$2:$F$301,5,FALSE()),"")</f>
        <v>Retail</v>
      </c>
      <c r="P1024">
        <f>IFERROR(VLOOKUP(C1024,Customers!$A$2:$F$301,3,FALSE()),"")</f>
        <v>61</v>
      </c>
      <c r="Q1024">
        <f t="shared" si="45"/>
        <v>0.39790209790209791</v>
      </c>
      <c r="R1024">
        <f>IF(AND(COUNTIF($A$2:$A$2047,A1024)&gt;1,COUNTIF($A$2:A1024,A1024)=1),1,0)</f>
        <v>0</v>
      </c>
      <c r="S1024" t="b">
        <f>IFERROR(VLOOKUP(D1024,Products!$A$2:$F$61,6,FALSE()),"")</f>
        <v>1</v>
      </c>
      <c r="T1024" t="str">
        <f>IF(COUNTIF(Customers!$A$2:$A$301,C1024)=0,"Missing","OK")</f>
        <v>OK</v>
      </c>
      <c r="U1024" t="str">
        <f t="shared" si="46"/>
        <v>Chennai</v>
      </c>
      <c r="V1024">
        <f t="shared" si="47"/>
        <v>0</v>
      </c>
    </row>
    <row r="1025" spans="1:22" ht="15" customHeight="1" x14ac:dyDescent="0.35">
      <c r="A1025" s="3" t="s">
        <v>1446</v>
      </c>
      <c r="B1025" s="4">
        <v>45411</v>
      </c>
      <c r="C1025" s="3" t="s">
        <v>680</v>
      </c>
      <c r="D1025" s="3" t="s">
        <v>184</v>
      </c>
      <c r="E1025" s="3" t="s">
        <v>212</v>
      </c>
      <c r="F1025" s="5">
        <v>6</v>
      </c>
      <c r="G1025" s="5">
        <v>2270</v>
      </c>
      <c r="H1025" s="5">
        <v>7.9</v>
      </c>
      <c r="I1025" s="5">
        <v>12544.02</v>
      </c>
      <c r="J1025" s="3" t="s">
        <v>83</v>
      </c>
      <c r="K1025" s="3" t="s">
        <v>72</v>
      </c>
      <c r="L1025" t="str">
        <f>IFERROR(VLOOKUP(D1025,Products!$A$2:$F$61,3,FALSE()),"")</f>
        <v>Grocery</v>
      </c>
      <c r="M1025" t="str">
        <f>IFERROR(VLOOKUP(E1025,Sales_Reps!$A$2:$C$31,3,FALSE()),"")</f>
        <v>South</v>
      </c>
      <c r="N1025">
        <f>IFERROR(VLOOKUP(D1025,Products!$A$2:$F$61,4,FALSE()),"")</f>
        <v>1412</v>
      </c>
      <c r="O1025" t="str">
        <f>IFERROR(VLOOKUP(C1025,Customers!$A$2:$F$301,5,FALSE()),"")</f>
        <v>SMB</v>
      </c>
      <c r="P1025">
        <f>IFERROR(VLOOKUP(C1025,Customers!$A$2:$F$301,3,FALSE()),"")</f>
        <v>29</v>
      </c>
      <c r="Q1025">
        <f t="shared" si="45"/>
        <v>0.37797356828193834</v>
      </c>
      <c r="R1025">
        <f>IF(AND(COUNTIF($A$2:$A$2047,A1025)&gt;1,COUNTIF($A$2:A1025,A1025)=1),1,0)</f>
        <v>0</v>
      </c>
      <c r="S1025" t="b">
        <f>IFERROR(VLOOKUP(D1025,Products!$A$2:$F$61,6,FALSE()),"")</f>
        <v>1</v>
      </c>
      <c r="T1025" t="str">
        <f>IF(COUNTIF(Customers!$A$2:$A$301,C1025)=0,"Missing","OK")</f>
        <v>OK</v>
      </c>
      <c r="U1025" t="str">
        <f t="shared" si="46"/>
        <v>Hyderabad</v>
      </c>
      <c r="V1025">
        <f t="shared" si="47"/>
        <v>0</v>
      </c>
    </row>
    <row r="1026" spans="1:22" ht="15" customHeight="1" x14ac:dyDescent="0.35">
      <c r="A1026" s="3" t="s">
        <v>1447</v>
      </c>
      <c r="B1026" s="4">
        <v>45406</v>
      </c>
      <c r="C1026" s="3" t="s">
        <v>421</v>
      </c>
      <c r="D1026" s="3" t="s">
        <v>121</v>
      </c>
      <c r="E1026" s="3" t="s">
        <v>191</v>
      </c>
      <c r="F1026" s="5">
        <v>1</v>
      </c>
      <c r="G1026" s="5">
        <v>1010</v>
      </c>
      <c r="H1026" s="5">
        <v>6.9</v>
      </c>
      <c r="I1026" s="5">
        <v>940.31</v>
      </c>
      <c r="J1026" s="3" t="s">
        <v>32</v>
      </c>
      <c r="K1026" s="3" t="s">
        <v>72</v>
      </c>
      <c r="L1026" t="str">
        <f>IFERROR(VLOOKUP(D1026,Products!$A$2:$F$61,3,FALSE()),"")</f>
        <v>Sports</v>
      </c>
      <c r="M1026" t="str">
        <f>IFERROR(VLOOKUP(E1026,Sales_Reps!$A$2:$C$31,3,FALSE()),"")</f>
        <v>South</v>
      </c>
      <c r="N1026">
        <f>IFERROR(VLOOKUP(D1026,Products!$A$2:$F$61,4,FALSE()),"")</f>
        <v>516</v>
      </c>
      <c r="O1026" t="str">
        <f>IFERROR(VLOOKUP(C1026,Customers!$A$2:$F$301,5,FALSE()),"")</f>
        <v>Corporate</v>
      </c>
      <c r="P1026">
        <f>IFERROR(VLOOKUP(C1026,Customers!$A$2:$F$301,3,FALSE()),"")</f>
        <v>52</v>
      </c>
      <c r="Q1026">
        <f t="shared" ref="Q1026:Q1089" si="48">IFERROR((G1026-N1026)/G1026,"")</f>
        <v>0.4891089108910891</v>
      </c>
      <c r="R1026">
        <f>IF(AND(COUNTIF($A$2:$A$2047,A1026)&gt;1,COUNTIF($A$2:A1026,A1026)=1),1,0)</f>
        <v>0</v>
      </c>
      <c r="S1026" t="b">
        <f>IFERROR(VLOOKUP(D1026,Products!$A$2:$F$61,6,FALSE()),"")</f>
        <v>1</v>
      </c>
      <c r="T1026" t="str">
        <f>IF(COUNTIF(Customers!$A$2:$A$301,C1026)=0,"Missing","OK")</f>
        <v>OK</v>
      </c>
      <c r="U1026" t="str">
        <f t="shared" ref="U1026:U1089" si="49">IF(K1026="","",PROPER(TRIM(K1026)))</f>
        <v>Hyderabad</v>
      </c>
      <c r="V1026">
        <f t="shared" ref="V1026:V1089" si="50">IF(AND(U1026="Bengaluru",L1026="Grocery"),I1026,0)</f>
        <v>0</v>
      </c>
    </row>
    <row r="1027" spans="1:22" ht="15" customHeight="1" x14ac:dyDescent="0.35">
      <c r="A1027" s="3" t="s">
        <v>1448</v>
      </c>
      <c r="B1027" s="4">
        <v>45411</v>
      </c>
      <c r="C1027" s="3" t="s">
        <v>114</v>
      </c>
      <c r="D1027" s="3" t="s">
        <v>134</v>
      </c>
      <c r="E1027" s="3" t="s">
        <v>37</v>
      </c>
      <c r="F1027" s="5">
        <v>2</v>
      </c>
      <c r="G1027" s="5">
        <v>2860</v>
      </c>
      <c r="H1027" s="5">
        <v>20.100000000000001</v>
      </c>
      <c r="I1027" s="5">
        <v>4570.28</v>
      </c>
      <c r="J1027" s="3" t="s">
        <v>26</v>
      </c>
      <c r="K1027" s="3" t="s">
        <v>72</v>
      </c>
      <c r="L1027" t="str">
        <f>IFERROR(VLOOKUP(D1027,Products!$A$2:$F$61,3,FALSE()),"")</f>
        <v>Sports</v>
      </c>
      <c r="M1027" t="str">
        <f>IFERROR(VLOOKUP(E1027,Sales_Reps!$A$2:$C$31,3,FALSE()),"")</f>
        <v>South</v>
      </c>
      <c r="N1027">
        <f>IFERROR(VLOOKUP(D1027,Products!$A$2:$F$61,4,FALSE()),"")</f>
        <v>2028</v>
      </c>
      <c r="O1027" t="str">
        <f>IFERROR(VLOOKUP(C1027,Customers!$A$2:$F$301,5,FALSE()),"")</f>
        <v>SMB</v>
      </c>
      <c r="P1027">
        <f>IFERROR(VLOOKUP(C1027,Customers!$A$2:$F$301,3,FALSE()),"")</f>
        <v>40</v>
      </c>
      <c r="Q1027">
        <f t="shared" si="48"/>
        <v>0.29090909090909089</v>
      </c>
      <c r="R1027">
        <f>IF(AND(COUNTIF($A$2:$A$2047,A1027)&gt;1,COUNTIF($A$2:A1027,A1027)=1),1,0)</f>
        <v>0</v>
      </c>
      <c r="S1027" t="b">
        <f>IFERROR(VLOOKUP(D1027,Products!$A$2:$F$61,6,FALSE()),"")</f>
        <v>1</v>
      </c>
      <c r="T1027" t="str">
        <f>IF(COUNTIF(Customers!$A$2:$A$301,C1027)=0,"Missing","OK")</f>
        <v>OK</v>
      </c>
      <c r="U1027" t="str">
        <f t="shared" si="49"/>
        <v>Hyderabad</v>
      </c>
      <c r="V1027">
        <f t="shared" si="50"/>
        <v>0</v>
      </c>
    </row>
    <row r="1028" spans="1:22" ht="15" customHeight="1" x14ac:dyDescent="0.35">
      <c r="A1028" s="3" t="s">
        <v>1449</v>
      </c>
      <c r="B1028" s="4">
        <v>45461</v>
      </c>
      <c r="C1028" s="3" t="s">
        <v>825</v>
      </c>
      <c r="D1028" s="3" t="s">
        <v>77</v>
      </c>
      <c r="E1028" s="3" t="s">
        <v>60</v>
      </c>
      <c r="F1028" s="5">
        <v>9</v>
      </c>
      <c r="G1028" s="5">
        <v>2600</v>
      </c>
      <c r="H1028" s="5">
        <v>15.9</v>
      </c>
      <c r="I1028" s="5">
        <v>19679.400000000001</v>
      </c>
      <c r="J1028" s="3" t="s">
        <v>79</v>
      </c>
      <c r="K1028" s="3" t="s">
        <v>33</v>
      </c>
      <c r="L1028" t="str">
        <f>IFERROR(VLOOKUP(D1028,Products!$A$2:$F$61,3,FALSE()),"")</f>
        <v>Electronics</v>
      </c>
      <c r="M1028" t="str">
        <f>IFERROR(VLOOKUP(E1028,Sales_Reps!$A$2:$C$31,3,FALSE()),"")</f>
        <v>East</v>
      </c>
      <c r="N1028">
        <f>IFERROR(VLOOKUP(D1028,Products!$A$2:$F$61,4,FALSE()),"")</f>
        <v>1052</v>
      </c>
      <c r="O1028" t="str">
        <f>IFERROR(VLOOKUP(C1028,Customers!$A$2:$F$301,5,FALSE()),"")</f>
        <v>Corporate</v>
      </c>
      <c r="P1028">
        <f>IFERROR(VLOOKUP(C1028,Customers!$A$2:$F$301,3,FALSE()),"")</f>
        <v>44</v>
      </c>
      <c r="Q1028">
        <f t="shared" si="48"/>
        <v>0.5953846153846154</v>
      </c>
      <c r="R1028">
        <f>IF(AND(COUNTIF($A$2:$A$2047,A1028)&gt;1,COUNTIF($A$2:A1028,A1028)=1),1,0)</f>
        <v>0</v>
      </c>
      <c r="S1028" t="b">
        <f>IFERROR(VLOOKUP(D1028,Products!$A$2:$F$61,6,FALSE()),"")</f>
        <v>1</v>
      </c>
      <c r="T1028" t="str">
        <f>IF(COUNTIF(Customers!$A$2:$A$301,C1028)=0,"Missing","OK")</f>
        <v>OK</v>
      </c>
      <c r="U1028" t="str">
        <f t="shared" si="49"/>
        <v>Chennai</v>
      </c>
      <c r="V1028">
        <f t="shared" si="50"/>
        <v>0</v>
      </c>
    </row>
    <row r="1029" spans="1:22" ht="15" customHeight="1" x14ac:dyDescent="0.35">
      <c r="A1029" s="3" t="s">
        <v>1450</v>
      </c>
      <c r="B1029" s="4">
        <v>45409</v>
      </c>
      <c r="C1029" s="3" t="s">
        <v>432</v>
      </c>
      <c r="D1029" s="3" t="s">
        <v>36</v>
      </c>
      <c r="E1029" s="3" t="s">
        <v>55</v>
      </c>
      <c r="F1029" s="5">
        <v>10</v>
      </c>
      <c r="G1029" s="5">
        <v>470</v>
      </c>
      <c r="H1029" s="5">
        <v>23.1</v>
      </c>
      <c r="I1029" s="5">
        <v>3614.3</v>
      </c>
      <c r="J1029" s="3" t="s">
        <v>32</v>
      </c>
      <c r="K1029" s="3" t="s">
        <v>27</v>
      </c>
      <c r="L1029" t="str">
        <f>IFERROR(VLOOKUP(D1029,Products!$A$2:$F$61,3,FALSE()),"")</f>
        <v>Sports</v>
      </c>
      <c r="M1029" t="str">
        <f>IFERROR(VLOOKUP(E1029,Sales_Reps!$A$2:$C$31,3,FALSE()),"")</f>
        <v>West</v>
      </c>
      <c r="N1029">
        <f>IFERROR(VLOOKUP(D1029,Products!$A$2:$F$61,4,FALSE()),"")</f>
        <v>302</v>
      </c>
      <c r="O1029" t="str">
        <f>IFERROR(VLOOKUP(C1029,Customers!$A$2:$F$301,5,FALSE()),"")</f>
        <v>Retail</v>
      </c>
      <c r="P1029">
        <f>IFERROR(VLOOKUP(C1029,Customers!$A$2:$F$301,3,FALSE()),"")</f>
        <v>57</v>
      </c>
      <c r="Q1029">
        <f t="shared" si="48"/>
        <v>0.35744680851063831</v>
      </c>
      <c r="R1029">
        <f>IF(AND(COUNTIF($A$2:$A$2047,A1029)&gt;1,COUNTIF($A$2:A1029,A1029)=1),1,0)</f>
        <v>0</v>
      </c>
      <c r="S1029" t="b">
        <f>IFERROR(VLOOKUP(D1029,Products!$A$2:$F$61,6,FALSE()),"")</f>
        <v>0</v>
      </c>
      <c r="T1029" t="str">
        <f>IF(COUNTIF(Customers!$A$2:$A$301,C1029)=0,"Missing","OK")</f>
        <v>OK</v>
      </c>
      <c r="U1029" t="str">
        <f t="shared" si="49"/>
        <v>Pune</v>
      </c>
      <c r="V1029">
        <f t="shared" si="50"/>
        <v>0</v>
      </c>
    </row>
    <row r="1030" spans="1:22" ht="15" customHeight="1" x14ac:dyDescent="0.35">
      <c r="A1030" s="3" t="s">
        <v>1451</v>
      </c>
      <c r="B1030" s="4">
        <v>45495</v>
      </c>
      <c r="C1030" s="3" t="s">
        <v>105</v>
      </c>
      <c r="D1030" s="3" t="s">
        <v>142</v>
      </c>
      <c r="E1030" s="3" t="s">
        <v>191</v>
      </c>
      <c r="F1030" s="5">
        <v>10</v>
      </c>
      <c r="G1030" s="5">
        <v>660</v>
      </c>
      <c r="H1030" s="5">
        <v>9.4</v>
      </c>
      <c r="I1030" s="5">
        <v>5979.6</v>
      </c>
      <c r="J1030" s="3" t="s">
        <v>26</v>
      </c>
      <c r="K1030" s="3" t="s">
        <v>72</v>
      </c>
      <c r="L1030" t="str">
        <f>IFERROR(VLOOKUP(D1030,Products!$A$2:$F$61,3,FALSE()),"")</f>
        <v>Home</v>
      </c>
      <c r="M1030" t="str">
        <f>IFERROR(VLOOKUP(E1030,Sales_Reps!$A$2:$C$31,3,FALSE()),"")</f>
        <v>South</v>
      </c>
      <c r="N1030">
        <f>IFERROR(VLOOKUP(D1030,Products!$A$2:$F$61,4,FALSE()),"")</f>
        <v>329</v>
      </c>
      <c r="O1030" t="str">
        <f>IFERROR(VLOOKUP(C1030,Customers!$A$2:$F$301,5,FALSE()),"")</f>
        <v>Retail</v>
      </c>
      <c r="P1030">
        <f>IFERROR(VLOOKUP(C1030,Customers!$A$2:$F$301,3,FALSE()),"")</f>
        <v>32</v>
      </c>
      <c r="Q1030">
        <f t="shared" si="48"/>
        <v>0.50151515151515147</v>
      </c>
      <c r="R1030">
        <f>IF(AND(COUNTIF($A$2:$A$2047,A1030)&gt;1,COUNTIF($A$2:A1030,A1030)=1),1,0)</f>
        <v>0</v>
      </c>
      <c r="S1030" t="b">
        <f>IFERROR(VLOOKUP(D1030,Products!$A$2:$F$61,6,FALSE()),"")</f>
        <v>1</v>
      </c>
      <c r="T1030" t="str">
        <f>IF(COUNTIF(Customers!$A$2:$A$301,C1030)=0,"Missing","OK")</f>
        <v>OK</v>
      </c>
      <c r="U1030" t="str">
        <f t="shared" si="49"/>
        <v>Hyderabad</v>
      </c>
      <c r="V1030">
        <f t="shared" si="50"/>
        <v>0</v>
      </c>
    </row>
    <row r="1031" spans="1:22" ht="15" customHeight="1" x14ac:dyDescent="0.35">
      <c r="A1031" s="3" t="s">
        <v>1452</v>
      </c>
      <c r="B1031" s="4">
        <v>45307</v>
      </c>
      <c r="C1031" s="3" t="s">
        <v>418</v>
      </c>
      <c r="D1031" s="3" t="s">
        <v>206</v>
      </c>
      <c r="E1031" s="3" t="s">
        <v>93</v>
      </c>
      <c r="F1031" s="5">
        <v>5</v>
      </c>
      <c r="G1031" s="5">
        <v>1220</v>
      </c>
      <c r="H1031" s="5">
        <v>23.3</v>
      </c>
      <c r="I1031" s="5">
        <v>4678.7</v>
      </c>
      <c r="J1031" s="3" t="s">
        <v>26</v>
      </c>
      <c r="K1031" s="3" t="s">
        <v>27</v>
      </c>
      <c r="L1031" t="str">
        <f>IFERROR(VLOOKUP(D1031,Products!$A$2:$F$61,3,FALSE()),"")</f>
        <v>Electronics</v>
      </c>
      <c r="M1031" t="str">
        <f>IFERROR(VLOOKUP(E1031,Sales_Reps!$A$2:$C$31,3,FALSE()),"")</f>
        <v>East</v>
      </c>
      <c r="N1031">
        <f>IFERROR(VLOOKUP(D1031,Products!$A$2:$F$61,4,FALSE()),"")</f>
        <v>517</v>
      </c>
      <c r="O1031" t="str">
        <f>IFERROR(VLOOKUP(C1031,Customers!$A$2:$F$301,5,FALSE()),"")</f>
        <v>SMB</v>
      </c>
      <c r="P1031">
        <f>IFERROR(VLOOKUP(C1031,Customers!$A$2:$F$301,3,FALSE()),"")</f>
        <v>49</v>
      </c>
      <c r="Q1031">
        <f t="shared" si="48"/>
        <v>0.57622950819672136</v>
      </c>
      <c r="R1031">
        <f>IF(AND(COUNTIF($A$2:$A$2047,A1031)&gt;1,COUNTIF($A$2:A1031,A1031)=1),1,0)</f>
        <v>0</v>
      </c>
      <c r="S1031" t="b">
        <f>IFERROR(VLOOKUP(D1031,Products!$A$2:$F$61,6,FALSE()),"")</f>
        <v>1</v>
      </c>
      <c r="T1031" t="str">
        <f>IF(COUNTIF(Customers!$A$2:$A$301,C1031)=0,"Missing","OK")</f>
        <v>OK</v>
      </c>
      <c r="U1031" t="str">
        <f t="shared" si="49"/>
        <v>Pune</v>
      </c>
      <c r="V1031">
        <f t="shared" si="50"/>
        <v>0</v>
      </c>
    </row>
    <row r="1032" spans="1:22" ht="15" customHeight="1" x14ac:dyDescent="0.35">
      <c r="A1032" s="3" t="s">
        <v>1453</v>
      </c>
      <c r="B1032" s="4">
        <v>45294</v>
      </c>
      <c r="C1032" s="3" t="s">
        <v>534</v>
      </c>
      <c r="D1032" s="3" t="s">
        <v>82</v>
      </c>
      <c r="E1032" s="3" t="s">
        <v>212</v>
      </c>
      <c r="F1032" s="5">
        <v>9</v>
      </c>
      <c r="G1032" s="5">
        <v>3250</v>
      </c>
      <c r="H1032" s="5">
        <v>19.600000000000001</v>
      </c>
      <c r="I1032" s="5">
        <v>23517</v>
      </c>
      <c r="J1032" s="3" t="s">
        <v>32</v>
      </c>
      <c r="K1032" s="3" t="s">
        <v>38</v>
      </c>
      <c r="L1032" t="str">
        <f>IFERROR(VLOOKUP(D1032,Products!$A$2:$F$61,3,FALSE()),"")</f>
        <v>Home</v>
      </c>
      <c r="M1032" t="str">
        <f>IFERROR(VLOOKUP(E1032,Sales_Reps!$A$2:$C$31,3,FALSE()),"")</f>
        <v>South</v>
      </c>
      <c r="N1032">
        <f>IFERROR(VLOOKUP(D1032,Products!$A$2:$F$61,4,FALSE()),"")</f>
        <v>1556</v>
      </c>
      <c r="O1032" t="str">
        <f>IFERROR(VLOOKUP(C1032,Customers!$A$2:$F$301,5,FALSE()),"")</f>
        <v>SMB</v>
      </c>
      <c r="P1032">
        <f>IFERROR(VLOOKUP(C1032,Customers!$A$2:$F$301,3,FALSE()),"")</f>
        <v>48</v>
      </c>
      <c r="Q1032">
        <f t="shared" si="48"/>
        <v>0.52123076923076928</v>
      </c>
      <c r="R1032">
        <f>IF(AND(COUNTIF($A$2:$A$2047,A1032)&gt;1,COUNTIF($A$2:A1032,A1032)=1),1,0)</f>
        <v>0</v>
      </c>
      <c r="S1032" t="b">
        <f>IFERROR(VLOOKUP(D1032,Products!$A$2:$F$61,6,FALSE()),"")</f>
        <v>1</v>
      </c>
      <c r="T1032" t="str">
        <f>IF(COUNTIF(Customers!$A$2:$A$301,C1032)=0,"Missing","OK")</f>
        <v>OK</v>
      </c>
      <c r="U1032" t="str">
        <f t="shared" si="49"/>
        <v>Delhi</v>
      </c>
      <c r="V1032">
        <f t="shared" si="50"/>
        <v>0</v>
      </c>
    </row>
    <row r="1033" spans="1:22" ht="15" customHeight="1" x14ac:dyDescent="0.35">
      <c r="A1033" s="3" t="s">
        <v>1454</v>
      </c>
      <c r="B1033" s="4">
        <v>45542</v>
      </c>
      <c r="C1033" s="3" t="s">
        <v>1130</v>
      </c>
      <c r="D1033" s="3" t="s">
        <v>231</v>
      </c>
      <c r="E1033" s="3" t="s">
        <v>242</v>
      </c>
      <c r="F1033" s="5">
        <v>7</v>
      </c>
      <c r="G1033" s="5">
        <v>620</v>
      </c>
      <c r="H1033" s="5">
        <v>29</v>
      </c>
      <c r="I1033" s="5">
        <v>3081.4</v>
      </c>
      <c r="J1033" s="3" t="s">
        <v>26</v>
      </c>
      <c r="K1033" s="3" t="s">
        <v>56</v>
      </c>
      <c r="L1033" t="str">
        <f>IFERROR(VLOOKUP(D1033,Products!$A$2:$F$61,3,FALSE()),"")</f>
        <v>Apparel</v>
      </c>
      <c r="M1033" t="str">
        <f>IFERROR(VLOOKUP(E1033,Sales_Reps!$A$2:$C$31,3,FALSE()),"")</f>
        <v>East</v>
      </c>
      <c r="N1033">
        <f>IFERROR(VLOOKUP(D1033,Products!$A$2:$F$61,4,FALSE()),"")</f>
        <v>396</v>
      </c>
      <c r="O1033" t="str">
        <f>IFERROR(VLOOKUP(C1033,Customers!$A$2:$F$301,5,FALSE()),"")</f>
        <v>Retail</v>
      </c>
      <c r="P1033">
        <f>IFERROR(VLOOKUP(C1033,Customers!$A$2:$F$301,3,FALSE()),"")</f>
        <v>36</v>
      </c>
      <c r="Q1033">
        <f t="shared" si="48"/>
        <v>0.36129032258064514</v>
      </c>
      <c r="R1033">
        <f>IF(AND(COUNTIF($A$2:$A$2047,A1033)&gt;1,COUNTIF($A$2:A1033,A1033)=1),1,0)</f>
        <v>0</v>
      </c>
      <c r="S1033" t="b">
        <f>IFERROR(VLOOKUP(D1033,Products!$A$2:$F$61,6,FALSE()),"")</f>
        <v>1</v>
      </c>
      <c r="T1033" t="str">
        <f>IF(COUNTIF(Customers!$A$2:$A$301,C1033)=0,"Missing","OK")</f>
        <v>OK</v>
      </c>
      <c r="U1033" t="str">
        <f t="shared" si="49"/>
        <v>Bengaluru</v>
      </c>
      <c r="V1033">
        <f t="shared" si="50"/>
        <v>0</v>
      </c>
    </row>
    <row r="1034" spans="1:22" ht="15" customHeight="1" x14ac:dyDescent="0.35">
      <c r="A1034" s="3" t="s">
        <v>1455</v>
      </c>
      <c r="B1034" s="4">
        <v>45453</v>
      </c>
      <c r="C1034" s="3" t="s">
        <v>102</v>
      </c>
      <c r="D1034" s="3" t="s">
        <v>203</v>
      </c>
      <c r="E1034" s="3" t="s">
        <v>42</v>
      </c>
      <c r="F1034" s="5">
        <v>9</v>
      </c>
      <c r="G1034" s="5">
        <v>4070</v>
      </c>
      <c r="H1034" s="5">
        <v>16.2</v>
      </c>
      <c r="I1034" s="5">
        <v>30695.94</v>
      </c>
      <c r="J1034" s="3" t="s">
        <v>26</v>
      </c>
      <c r="K1034" s="3" t="s">
        <v>33</v>
      </c>
      <c r="L1034" t="str">
        <f>IFERROR(VLOOKUP(D1034,Products!$A$2:$F$61,3,FALSE()),"")</f>
        <v>Grocery</v>
      </c>
      <c r="M1034" t="str">
        <f>IFERROR(VLOOKUP(E1034,Sales_Reps!$A$2:$C$31,3,FALSE()),"")</f>
        <v>North</v>
      </c>
      <c r="N1034">
        <f>IFERROR(VLOOKUP(D1034,Products!$A$2:$F$61,4,FALSE()),"")</f>
        <v>2027</v>
      </c>
      <c r="O1034" t="str">
        <f>IFERROR(VLOOKUP(C1034,Customers!$A$2:$F$301,5,FALSE()),"")</f>
        <v>Retail</v>
      </c>
      <c r="P1034">
        <f>IFERROR(VLOOKUP(C1034,Customers!$A$2:$F$301,3,FALSE()),"")</f>
        <v>49</v>
      </c>
      <c r="Q1034">
        <f t="shared" si="48"/>
        <v>0.50196560196560192</v>
      </c>
      <c r="R1034">
        <f>IF(AND(COUNTIF($A$2:$A$2047,A1034)&gt;1,COUNTIF($A$2:A1034,A1034)=1),1,0)</f>
        <v>0</v>
      </c>
      <c r="S1034" t="b">
        <f>IFERROR(VLOOKUP(D1034,Products!$A$2:$F$61,6,FALSE()),"")</f>
        <v>1</v>
      </c>
      <c r="T1034" t="str">
        <f>IF(COUNTIF(Customers!$A$2:$A$301,C1034)=0,"Missing","OK")</f>
        <v>OK</v>
      </c>
      <c r="U1034" t="str">
        <f t="shared" si="49"/>
        <v>Chennai</v>
      </c>
      <c r="V1034">
        <f t="shared" si="50"/>
        <v>0</v>
      </c>
    </row>
    <row r="1035" spans="1:22" ht="15" customHeight="1" x14ac:dyDescent="0.35">
      <c r="A1035" s="3" t="s">
        <v>1456</v>
      </c>
      <c r="B1035" s="4">
        <v>45351</v>
      </c>
      <c r="C1035" s="3" t="s">
        <v>939</v>
      </c>
      <c r="D1035" s="3" t="s">
        <v>45</v>
      </c>
      <c r="E1035" s="3" t="s">
        <v>25</v>
      </c>
      <c r="F1035" s="5">
        <v>8</v>
      </c>
      <c r="G1035" s="5">
        <v>3160</v>
      </c>
      <c r="H1035" s="5">
        <v>23.8</v>
      </c>
      <c r="I1035" s="5">
        <v>19263.36</v>
      </c>
      <c r="J1035" s="3" t="s">
        <v>26</v>
      </c>
      <c r="K1035" s="3" t="s">
        <v>56</v>
      </c>
      <c r="L1035" t="str">
        <f>IFERROR(VLOOKUP(D1035,Products!$A$2:$F$61,3,FALSE()),"")</f>
        <v>Apparel</v>
      </c>
      <c r="M1035" t="str">
        <f>IFERROR(VLOOKUP(E1035,Sales_Reps!$A$2:$C$31,3,FALSE()),"")</f>
        <v>North</v>
      </c>
      <c r="N1035">
        <f>IFERROR(VLOOKUP(D1035,Products!$A$2:$F$61,4,FALSE()),"")</f>
        <v>1886</v>
      </c>
      <c r="O1035" t="str">
        <f>IFERROR(VLOOKUP(C1035,Customers!$A$2:$F$301,5,FALSE()),"")</f>
        <v>Retail</v>
      </c>
      <c r="P1035">
        <f>IFERROR(VLOOKUP(C1035,Customers!$A$2:$F$301,3,FALSE()),"")</f>
        <v>27</v>
      </c>
      <c r="Q1035">
        <f t="shared" si="48"/>
        <v>0.4031645569620253</v>
      </c>
      <c r="R1035">
        <f>IF(AND(COUNTIF($A$2:$A$2047,A1035)&gt;1,COUNTIF($A$2:A1035,A1035)=1),1,0)</f>
        <v>0</v>
      </c>
      <c r="S1035" t="b">
        <f>IFERROR(VLOOKUP(D1035,Products!$A$2:$F$61,6,FALSE()),"")</f>
        <v>1</v>
      </c>
      <c r="T1035" t="str">
        <f>IF(COUNTIF(Customers!$A$2:$A$301,C1035)=0,"Missing","OK")</f>
        <v>OK</v>
      </c>
      <c r="U1035" t="str">
        <f t="shared" si="49"/>
        <v>Bengaluru</v>
      </c>
      <c r="V1035">
        <f t="shared" si="50"/>
        <v>0</v>
      </c>
    </row>
    <row r="1036" spans="1:22" ht="15" customHeight="1" x14ac:dyDescent="0.35">
      <c r="A1036" s="3" t="s">
        <v>1457</v>
      </c>
      <c r="B1036" s="4">
        <v>45422</v>
      </c>
      <c r="C1036" s="3" t="s">
        <v>44</v>
      </c>
      <c r="D1036" s="3" t="s">
        <v>277</v>
      </c>
      <c r="E1036" s="3" t="s">
        <v>224</v>
      </c>
      <c r="F1036" s="5">
        <v>3</v>
      </c>
      <c r="G1036" s="5">
        <v>2210</v>
      </c>
      <c r="H1036" s="5">
        <v>29.7</v>
      </c>
      <c r="I1036" s="5">
        <v>4660.8900000000003</v>
      </c>
      <c r="J1036" s="3" t="s">
        <v>26</v>
      </c>
      <c r="K1036" s="3" t="s">
        <v>33</v>
      </c>
      <c r="L1036" t="str">
        <f>IFERROR(VLOOKUP(D1036,Products!$A$2:$F$61,3,FALSE()),"")</f>
        <v>Grocery</v>
      </c>
      <c r="M1036" t="str">
        <f>IFERROR(VLOOKUP(E1036,Sales_Reps!$A$2:$C$31,3,FALSE()),"")</f>
        <v>East</v>
      </c>
      <c r="N1036">
        <f>IFERROR(VLOOKUP(D1036,Products!$A$2:$F$61,4,FALSE()),"")</f>
        <v>1010</v>
      </c>
      <c r="O1036" t="str">
        <f>IFERROR(VLOOKUP(C1036,Customers!$A$2:$F$301,5,FALSE()),"")</f>
        <v>Retail</v>
      </c>
      <c r="P1036">
        <f>IFERROR(VLOOKUP(C1036,Customers!$A$2:$F$301,3,FALSE()),"")</f>
        <v>36</v>
      </c>
      <c r="Q1036">
        <f t="shared" si="48"/>
        <v>0.54298642533936647</v>
      </c>
      <c r="R1036">
        <f>IF(AND(COUNTIF($A$2:$A$2047,A1036)&gt;1,COUNTIF($A$2:A1036,A1036)=1),1,0)</f>
        <v>0</v>
      </c>
      <c r="S1036" t="b">
        <f>IFERROR(VLOOKUP(D1036,Products!$A$2:$F$61,6,FALSE()),"")</f>
        <v>1</v>
      </c>
      <c r="T1036" t="str">
        <f>IF(COUNTIF(Customers!$A$2:$A$301,C1036)=0,"Missing","OK")</f>
        <v>OK</v>
      </c>
      <c r="U1036" t="str">
        <f t="shared" si="49"/>
        <v>Chennai</v>
      </c>
      <c r="V1036">
        <f t="shared" si="50"/>
        <v>0</v>
      </c>
    </row>
    <row r="1037" spans="1:22" ht="15" customHeight="1" x14ac:dyDescent="0.35">
      <c r="A1037" s="3" t="s">
        <v>1458</v>
      </c>
      <c r="B1037" s="4">
        <v>45361</v>
      </c>
      <c r="C1037" s="3" t="s">
        <v>541</v>
      </c>
      <c r="D1037" s="3" t="s">
        <v>36</v>
      </c>
      <c r="E1037" s="3" t="s">
        <v>50</v>
      </c>
      <c r="F1037" s="5">
        <v>9</v>
      </c>
      <c r="G1037" s="5">
        <v>470</v>
      </c>
      <c r="H1037" s="5">
        <v>27.1</v>
      </c>
      <c r="I1037" s="5">
        <v>3083.67</v>
      </c>
      <c r="J1037" s="3" t="s">
        <v>26</v>
      </c>
      <c r="K1037" s="3" t="s">
        <v>33</v>
      </c>
      <c r="L1037" t="str">
        <f>IFERROR(VLOOKUP(D1037,Products!$A$2:$F$61,3,FALSE()),"")</f>
        <v>Sports</v>
      </c>
      <c r="M1037" t="str">
        <f>IFERROR(VLOOKUP(E1037,Sales_Reps!$A$2:$C$31,3,FALSE()),"")</f>
        <v>West</v>
      </c>
      <c r="N1037">
        <f>IFERROR(VLOOKUP(D1037,Products!$A$2:$F$61,4,FALSE()),"")</f>
        <v>302</v>
      </c>
      <c r="O1037" t="str">
        <f>IFERROR(VLOOKUP(C1037,Customers!$A$2:$F$301,5,FALSE()),"")</f>
        <v>Retail</v>
      </c>
      <c r="P1037">
        <f>IFERROR(VLOOKUP(C1037,Customers!$A$2:$F$301,3,FALSE()),"")</f>
        <v>61</v>
      </c>
      <c r="Q1037">
        <f t="shared" si="48"/>
        <v>0.35744680851063831</v>
      </c>
      <c r="R1037">
        <f>IF(AND(COUNTIF($A$2:$A$2047,A1037)&gt;1,COUNTIF($A$2:A1037,A1037)=1),1,0)</f>
        <v>0</v>
      </c>
      <c r="S1037" t="b">
        <f>IFERROR(VLOOKUP(D1037,Products!$A$2:$F$61,6,FALSE()),"")</f>
        <v>0</v>
      </c>
      <c r="T1037" t="str">
        <f>IF(COUNTIF(Customers!$A$2:$A$301,C1037)=0,"Missing","OK")</f>
        <v>OK</v>
      </c>
      <c r="U1037" t="str">
        <f t="shared" si="49"/>
        <v>Chennai</v>
      </c>
      <c r="V1037">
        <f t="shared" si="50"/>
        <v>0</v>
      </c>
    </row>
    <row r="1038" spans="1:22" ht="15" customHeight="1" x14ac:dyDescent="0.35">
      <c r="A1038" s="3" t="s">
        <v>1459</v>
      </c>
      <c r="B1038" s="4">
        <v>45622</v>
      </c>
      <c r="C1038" s="3" t="s">
        <v>228</v>
      </c>
      <c r="D1038" s="3" t="s">
        <v>49</v>
      </c>
      <c r="E1038" s="3" t="s">
        <v>131</v>
      </c>
      <c r="F1038" s="5">
        <v>6</v>
      </c>
      <c r="G1038" s="5">
        <v>370</v>
      </c>
      <c r="H1038" s="5">
        <v>5.4</v>
      </c>
      <c r="I1038" s="5">
        <v>2100.12</v>
      </c>
      <c r="J1038" s="3" t="s">
        <v>26</v>
      </c>
      <c r="K1038" s="3" t="s">
        <v>33</v>
      </c>
      <c r="L1038" t="str">
        <f>IFERROR(VLOOKUP(D1038,Products!$A$2:$F$61,3,FALSE()),"")</f>
        <v>Home</v>
      </c>
      <c r="M1038" t="str">
        <f>IFERROR(VLOOKUP(E1038,Sales_Reps!$A$2:$C$31,3,FALSE()),"")</f>
        <v>East</v>
      </c>
      <c r="N1038">
        <f>IFERROR(VLOOKUP(D1038,Products!$A$2:$F$61,4,FALSE()),"")</f>
        <v>288</v>
      </c>
      <c r="O1038" t="str">
        <f>IFERROR(VLOOKUP(C1038,Customers!$A$2:$F$301,5,FALSE()),"")</f>
        <v>Retail</v>
      </c>
      <c r="P1038">
        <f>IFERROR(VLOOKUP(C1038,Customers!$A$2:$F$301,3,FALSE()),"")</f>
        <v>38</v>
      </c>
      <c r="Q1038">
        <f t="shared" si="48"/>
        <v>0.22162162162162163</v>
      </c>
      <c r="R1038">
        <f>IF(AND(COUNTIF($A$2:$A$2047,A1038)&gt;1,COUNTIF($A$2:A1038,A1038)=1),1,0)</f>
        <v>0</v>
      </c>
      <c r="S1038" t="b">
        <f>IFERROR(VLOOKUP(D1038,Products!$A$2:$F$61,6,FALSE()),"")</f>
        <v>1</v>
      </c>
      <c r="T1038" t="str">
        <f>IF(COUNTIF(Customers!$A$2:$A$301,C1038)=0,"Missing","OK")</f>
        <v>OK</v>
      </c>
      <c r="U1038" t="str">
        <f t="shared" si="49"/>
        <v>Chennai</v>
      </c>
      <c r="V1038">
        <f t="shared" si="50"/>
        <v>0</v>
      </c>
    </row>
    <row r="1039" spans="1:22" ht="15" customHeight="1" x14ac:dyDescent="0.35">
      <c r="A1039" s="3" t="s">
        <v>1460</v>
      </c>
      <c r="B1039" s="4">
        <v>45496</v>
      </c>
      <c r="C1039" s="3" t="s">
        <v>552</v>
      </c>
      <c r="D1039" s="3" t="s">
        <v>400</v>
      </c>
      <c r="E1039" s="3" t="s">
        <v>242</v>
      </c>
      <c r="F1039" s="5">
        <v>10</v>
      </c>
      <c r="G1039" s="5">
        <v>3780</v>
      </c>
      <c r="H1039" s="5">
        <v>21.5</v>
      </c>
      <c r="I1039" s="5">
        <v>29673</v>
      </c>
      <c r="J1039" s="3" t="s">
        <v>32</v>
      </c>
      <c r="K1039" s="3" t="s">
        <v>51</v>
      </c>
      <c r="L1039" t="str">
        <f>IFERROR(VLOOKUP(D1039,Products!$A$2:$F$61,3,FALSE()),"")</f>
        <v>Sports</v>
      </c>
      <c r="M1039" t="str">
        <f>IFERROR(VLOOKUP(E1039,Sales_Reps!$A$2:$C$31,3,FALSE()),"")</f>
        <v>East</v>
      </c>
      <c r="N1039">
        <f>IFERROR(VLOOKUP(D1039,Products!$A$2:$F$61,4,FALSE()),"")</f>
        <v>1860</v>
      </c>
      <c r="O1039" t="str">
        <f>IFERROR(VLOOKUP(C1039,Customers!$A$2:$F$301,5,FALSE()),"")</f>
        <v>Retail</v>
      </c>
      <c r="P1039">
        <f>IFERROR(VLOOKUP(C1039,Customers!$A$2:$F$301,3,FALSE()),"")</f>
        <v>44</v>
      </c>
      <c r="Q1039">
        <f t="shared" si="48"/>
        <v>0.50793650793650791</v>
      </c>
      <c r="R1039">
        <f>IF(AND(COUNTIF($A$2:$A$2047,A1039)&gt;1,COUNTIF($A$2:A1039,A1039)=1),1,0)</f>
        <v>0</v>
      </c>
      <c r="S1039" t="b">
        <f>IFERROR(VLOOKUP(D1039,Products!$A$2:$F$61,6,FALSE()),"")</f>
        <v>1</v>
      </c>
      <c r="T1039" t="str">
        <f>IF(COUNTIF(Customers!$A$2:$A$301,C1039)=0,"Missing","OK")</f>
        <v>OK</v>
      </c>
      <c r="U1039" t="str">
        <f t="shared" si="49"/>
        <v>Mumbai</v>
      </c>
      <c r="V1039">
        <f t="shared" si="50"/>
        <v>0</v>
      </c>
    </row>
    <row r="1040" spans="1:22" ht="15" customHeight="1" x14ac:dyDescent="0.35">
      <c r="A1040" s="3" t="s">
        <v>1461</v>
      </c>
      <c r="B1040" s="4">
        <v>45578</v>
      </c>
      <c r="C1040" s="3" t="s">
        <v>429</v>
      </c>
      <c r="D1040" s="3" t="s">
        <v>454</v>
      </c>
      <c r="E1040" s="3" t="s">
        <v>143</v>
      </c>
      <c r="F1040" s="5">
        <v>4</v>
      </c>
      <c r="G1040" s="5">
        <v>6940</v>
      </c>
      <c r="H1040" s="5">
        <v>3.9</v>
      </c>
      <c r="I1040" s="5">
        <v>26677.360000000001</v>
      </c>
      <c r="J1040" s="3" t="s">
        <v>79</v>
      </c>
      <c r="K1040" s="3" t="s">
        <v>38</v>
      </c>
      <c r="L1040" t="str">
        <f>IFERROR(VLOOKUP(D1040,Products!$A$2:$F$61,3,FALSE()),"")</f>
        <v>Sports</v>
      </c>
      <c r="M1040" t="str">
        <f>IFERROR(VLOOKUP(E1040,Sales_Reps!$A$2:$C$31,3,FALSE()),"")</f>
        <v>South</v>
      </c>
      <c r="N1040">
        <f>IFERROR(VLOOKUP(D1040,Products!$A$2:$F$61,4,FALSE()),"")</f>
        <v>2827</v>
      </c>
      <c r="O1040" t="str">
        <f>IFERROR(VLOOKUP(C1040,Customers!$A$2:$F$301,5,FALSE()),"")</f>
        <v>Retail</v>
      </c>
      <c r="P1040">
        <f>IFERROR(VLOOKUP(C1040,Customers!$A$2:$F$301,3,FALSE()),"")</f>
        <v>59</v>
      </c>
      <c r="Q1040">
        <f t="shared" si="48"/>
        <v>0.5926512968299712</v>
      </c>
      <c r="R1040">
        <f>IF(AND(COUNTIF($A$2:$A$2047,A1040)&gt;1,COUNTIF($A$2:A1040,A1040)=1),1,0)</f>
        <v>0</v>
      </c>
      <c r="S1040" t="b">
        <f>IFERROR(VLOOKUP(D1040,Products!$A$2:$F$61,6,FALSE()),"")</f>
        <v>1</v>
      </c>
      <c r="T1040" t="str">
        <f>IF(COUNTIF(Customers!$A$2:$A$301,C1040)=0,"Missing","OK")</f>
        <v>OK</v>
      </c>
      <c r="U1040" t="str">
        <f t="shared" si="49"/>
        <v>Delhi</v>
      </c>
      <c r="V1040">
        <f t="shared" si="50"/>
        <v>0</v>
      </c>
    </row>
    <row r="1041" spans="1:22" ht="15" customHeight="1" x14ac:dyDescent="0.35">
      <c r="A1041" s="3" t="s">
        <v>1462</v>
      </c>
      <c r="B1041" s="4">
        <v>45476</v>
      </c>
      <c r="C1041" s="3" t="s">
        <v>472</v>
      </c>
      <c r="D1041" s="3" t="s">
        <v>165</v>
      </c>
      <c r="E1041" s="3" t="s">
        <v>224</v>
      </c>
      <c r="F1041" s="5">
        <v>3</v>
      </c>
      <c r="G1041" s="5">
        <v>3730</v>
      </c>
      <c r="H1041" s="5">
        <v>20.7</v>
      </c>
      <c r="I1041" s="5">
        <v>8873.67</v>
      </c>
      <c r="J1041" s="3" t="s">
        <v>26</v>
      </c>
      <c r="K1041" s="3" t="s">
        <v>38</v>
      </c>
      <c r="L1041" t="str">
        <f>IFERROR(VLOOKUP(D1041,Products!$A$2:$F$61,3,FALSE()),"")</f>
        <v>Home</v>
      </c>
      <c r="M1041" t="str">
        <f>IFERROR(VLOOKUP(E1041,Sales_Reps!$A$2:$C$31,3,FALSE()),"")</f>
        <v>East</v>
      </c>
      <c r="N1041">
        <f>IFERROR(VLOOKUP(D1041,Products!$A$2:$F$61,4,FALSE()),"")</f>
        <v>2135</v>
      </c>
      <c r="O1041" t="str">
        <f>IFERROR(VLOOKUP(C1041,Customers!$A$2:$F$301,5,FALSE()),"")</f>
        <v>SMB</v>
      </c>
      <c r="P1041">
        <f>IFERROR(VLOOKUP(C1041,Customers!$A$2:$F$301,3,FALSE()),"")</f>
        <v>48</v>
      </c>
      <c r="Q1041">
        <f t="shared" si="48"/>
        <v>0.42761394101876676</v>
      </c>
      <c r="R1041">
        <f>IF(AND(COUNTIF($A$2:$A$2047,A1041)&gt;1,COUNTIF($A$2:A1041,A1041)=1),1,0)</f>
        <v>0</v>
      </c>
      <c r="S1041" t="b">
        <f>IFERROR(VLOOKUP(D1041,Products!$A$2:$F$61,6,FALSE()),"")</f>
        <v>1</v>
      </c>
      <c r="T1041" t="str">
        <f>IF(COUNTIF(Customers!$A$2:$A$301,C1041)=0,"Missing","OK")</f>
        <v>OK</v>
      </c>
      <c r="U1041" t="str">
        <f t="shared" si="49"/>
        <v>Delhi</v>
      </c>
      <c r="V1041">
        <f t="shared" si="50"/>
        <v>0</v>
      </c>
    </row>
    <row r="1042" spans="1:22" ht="15" customHeight="1" x14ac:dyDescent="0.35">
      <c r="A1042" s="3" t="s">
        <v>1463</v>
      </c>
      <c r="B1042" s="4">
        <v>45300</v>
      </c>
      <c r="C1042" s="3" t="s">
        <v>994</v>
      </c>
      <c r="D1042" s="3" t="s">
        <v>382</v>
      </c>
      <c r="E1042" s="3" t="s">
        <v>50</v>
      </c>
      <c r="F1042" s="5">
        <v>8</v>
      </c>
      <c r="G1042" s="5">
        <v>5080</v>
      </c>
      <c r="H1042" s="5">
        <v>6.2</v>
      </c>
      <c r="I1042" s="5">
        <v>38120.32</v>
      </c>
      <c r="J1042" s="3" t="s">
        <v>26</v>
      </c>
      <c r="K1042" s="3" t="s">
        <v>51</v>
      </c>
      <c r="L1042" t="str">
        <f>IFERROR(VLOOKUP(D1042,Products!$A$2:$F$61,3,FALSE()),"")</f>
        <v>Home</v>
      </c>
      <c r="M1042" t="str">
        <f>IFERROR(VLOOKUP(E1042,Sales_Reps!$A$2:$C$31,3,FALSE()),"")</f>
        <v>West</v>
      </c>
      <c r="N1042">
        <f>IFERROR(VLOOKUP(D1042,Products!$A$2:$F$61,4,FALSE()),"")</f>
        <v>2459</v>
      </c>
      <c r="O1042" t="str">
        <f>IFERROR(VLOOKUP(C1042,Customers!$A$2:$F$301,5,FALSE()),"")</f>
        <v>Retail</v>
      </c>
      <c r="P1042">
        <f>IFERROR(VLOOKUP(C1042,Customers!$A$2:$F$301,3,FALSE()),"")</f>
        <v>37</v>
      </c>
      <c r="Q1042">
        <f t="shared" si="48"/>
        <v>0.51594488188976373</v>
      </c>
      <c r="R1042">
        <f>IF(AND(COUNTIF($A$2:$A$2047,A1042)&gt;1,COUNTIF($A$2:A1042,A1042)=1),1,0)</f>
        <v>0</v>
      </c>
      <c r="S1042" t="b">
        <f>IFERROR(VLOOKUP(D1042,Products!$A$2:$F$61,6,FALSE()),"")</f>
        <v>1</v>
      </c>
      <c r="T1042" t="str">
        <f>IF(COUNTIF(Customers!$A$2:$A$301,C1042)=0,"Missing","OK")</f>
        <v>OK</v>
      </c>
      <c r="U1042" t="str">
        <f t="shared" si="49"/>
        <v>Mumbai</v>
      </c>
      <c r="V1042">
        <f t="shared" si="50"/>
        <v>0</v>
      </c>
    </row>
    <row r="1043" spans="1:22" ht="15" customHeight="1" x14ac:dyDescent="0.35">
      <c r="A1043" s="3" t="s">
        <v>1464</v>
      </c>
      <c r="B1043" s="4">
        <v>45455</v>
      </c>
      <c r="C1043" s="3" t="s">
        <v>105</v>
      </c>
      <c r="D1043" s="3" t="s">
        <v>299</v>
      </c>
      <c r="E1043" s="3" t="s">
        <v>154</v>
      </c>
      <c r="F1043" s="5">
        <v>5</v>
      </c>
      <c r="G1043" s="5">
        <v>5410</v>
      </c>
      <c r="H1043" s="5">
        <v>5.2</v>
      </c>
      <c r="I1043" s="5">
        <v>25643.4</v>
      </c>
      <c r="J1043" s="3" t="s">
        <v>26</v>
      </c>
      <c r="K1043" s="3" t="s">
        <v>72</v>
      </c>
      <c r="L1043" t="str">
        <f>IFERROR(VLOOKUP(D1043,Products!$A$2:$F$61,3,FALSE()),"")</f>
        <v>Sports</v>
      </c>
      <c r="M1043" t="str">
        <f>IFERROR(VLOOKUP(E1043,Sales_Reps!$A$2:$C$31,3,FALSE()),"")</f>
        <v>North</v>
      </c>
      <c r="N1043">
        <f>IFERROR(VLOOKUP(D1043,Products!$A$2:$F$61,4,FALSE()),"")</f>
        <v>2265</v>
      </c>
      <c r="O1043" t="str">
        <f>IFERROR(VLOOKUP(C1043,Customers!$A$2:$F$301,5,FALSE()),"")</f>
        <v>Retail</v>
      </c>
      <c r="P1043">
        <f>IFERROR(VLOOKUP(C1043,Customers!$A$2:$F$301,3,FALSE()),"")</f>
        <v>32</v>
      </c>
      <c r="Q1043">
        <f t="shared" si="48"/>
        <v>0.58133086876155271</v>
      </c>
      <c r="R1043">
        <f>IF(AND(COUNTIF($A$2:$A$2047,A1043)&gt;1,COUNTIF($A$2:A1043,A1043)=1),1,0)</f>
        <v>0</v>
      </c>
      <c r="S1043" t="b">
        <f>IFERROR(VLOOKUP(D1043,Products!$A$2:$F$61,6,FALSE()),"")</f>
        <v>1</v>
      </c>
      <c r="T1043" t="str">
        <f>IF(COUNTIF(Customers!$A$2:$A$301,C1043)=0,"Missing","OK")</f>
        <v>OK</v>
      </c>
      <c r="U1043" t="str">
        <f t="shared" si="49"/>
        <v>Hyderabad</v>
      </c>
      <c r="V1043">
        <f t="shared" si="50"/>
        <v>0</v>
      </c>
    </row>
    <row r="1044" spans="1:22" ht="15" customHeight="1" x14ac:dyDescent="0.35">
      <c r="A1044" s="3" t="s">
        <v>1465</v>
      </c>
      <c r="B1044" s="4">
        <v>45404</v>
      </c>
      <c r="C1044" s="3" t="s">
        <v>359</v>
      </c>
      <c r="D1044" s="3" t="s">
        <v>112</v>
      </c>
      <c r="E1044" s="3" t="s">
        <v>140</v>
      </c>
      <c r="F1044" s="5">
        <v>6</v>
      </c>
      <c r="G1044" s="5">
        <v>2720</v>
      </c>
      <c r="H1044" s="5">
        <v>29.8</v>
      </c>
      <c r="I1044" s="5">
        <v>11456.64</v>
      </c>
      <c r="J1044" s="3" t="s">
        <v>32</v>
      </c>
      <c r="K1044" s="3" t="s">
        <v>38</v>
      </c>
      <c r="L1044" t="str">
        <f>IFERROR(VLOOKUP(D1044,Products!$A$2:$F$61,3,FALSE()),"")</f>
        <v>Apparel</v>
      </c>
      <c r="M1044" t="str">
        <f>IFERROR(VLOOKUP(E1044,Sales_Reps!$A$2:$C$31,3,FALSE()),"")</f>
        <v>West</v>
      </c>
      <c r="N1044">
        <f>IFERROR(VLOOKUP(D1044,Products!$A$2:$F$61,4,FALSE()),"")</f>
        <v>1962</v>
      </c>
      <c r="O1044" t="str">
        <f>IFERROR(VLOOKUP(C1044,Customers!$A$2:$F$301,5,FALSE()),"")</f>
        <v>Retail</v>
      </c>
      <c r="P1044">
        <f>IFERROR(VLOOKUP(C1044,Customers!$A$2:$F$301,3,FALSE()),"")</f>
        <v>44</v>
      </c>
      <c r="Q1044">
        <f t="shared" si="48"/>
        <v>0.2786764705882353</v>
      </c>
      <c r="R1044">
        <f>IF(AND(COUNTIF($A$2:$A$2047,A1044)&gt;1,COUNTIF($A$2:A1044,A1044)=1),1,0)</f>
        <v>0</v>
      </c>
      <c r="S1044" t="b">
        <f>IFERROR(VLOOKUP(D1044,Products!$A$2:$F$61,6,FALSE()),"")</f>
        <v>1</v>
      </c>
      <c r="T1044" t="str">
        <f>IF(COUNTIF(Customers!$A$2:$A$301,C1044)=0,"Missing","OK")</f>
        <v>OK</v>
      </c>
      <c r="U1044" t="str">
        <f t="shared" si="49"/>
        <v>Delhi</v>
      </c>
      <c r="V1044">
        <f t="shared" si="50"/>
        <v>0</v>
      </c>
    </row>
    <row r="1045" spans="1:22" ht="15" customHeight="1" x14ac:dyDescent="0.35">
      <c r="A1045" s="3" t="s">
        <v>1466</v>
      </c>
      <c r="B1045" s="4">
        <v>45468</v>
      </c>
      <c r="C1045" s="3" t="s">
        <v>315</v>
      </c>
      <c r="D1045" s="3" t="s">
        <v>206</v>
      </c>
      <c r="E1045" s="3" t="s">
        <v>71</v>
      </c>
      <c r="F1045" s="5">
        <v>1</v>
      </c>
      <c r="G1045" s="5">
        <v>1220</v>
      </c>
      <c r="H1045" s="5">
        <v>22.6</v>
      </c>
      <c r="I1045" s="5">
        <v>944.28</v>
      </c>
      <c r="J1045" s="3" t="s">
        <v>26</v>
      </c>
      <c r="K1045" s="3" t="s">
        <v>56</v>
      </c>
      <c r="L1045" t="str">
        <f>IFERROR(VLOOKUP(D1045,Products!$A$2:$F$61,3,FALSE()),"")</f>
        <v>Electronics</v>
      </c>
      <c r="M1045" t="str">
        <f>IFERROR(VLOOKUP(E1045,Sales_Reps!$A$2:$C$31,3,FALSE()),"")</f>
        <v>South</v>
      </c>
      <c r="N1045">
        <f>IFERROR(VLOOKUP(D1045,Products!$A$2:$F$61,4,FALSE()),"")</f>
        <v>517</v>
      </c>
      <c r="O1045" t="str">
        <f>IFERROR(VLOOKUP(C1045,Customers!$A$2:$F$301,5,FALSE()),"")</f>
        <v>SMB</v>
      </c>
      <c r="P1045">
        <f>IFERROR(VLOOKUP(C1045,Customers!$A$2:$F$301,3,FALSE()),"")</f>
        <v>44</v>
      </c>
      <c r="Q1045">
        <f t="shared" si="48"/>
        <v>0.57622950819672136</v>
      </c>
      <c r="R1045">
        <f>IF(AND(COUNTIF($A$2:$A$2047,A1045)&gt;1,COUNTIF($A$2:A1045,A1045)=1),1,0)</f>
        <v>0</v>
      </c>
      <c r="S1045" t="b">
        <f>IFERROR(VLOOKUP(D1045,Products!$A$2:$F$61,6,FALSE()),"")</f>
        <v>1</v>
      </c>
      <c r="T1045" t="str">
        <f>IF(COUNTIF(Customers!$A$2:$A$301,C1045)=0,"Missing","OK")</f>
        <v>OK</v>
      </c>
      <c r="U1045" t="str">
        <f t="shared" si="49"/>
        <v>Bengaluru</v>
      </c>
      <c r="V1045">
        <f t="shared" si="50"/>
        <v>0</v>
      </c>
    </row>
    <row r="1046" spans="1:22" ht="15" customHeight="1" x14ac:dyDescent="0.35">
      <c r="A1046" s="3" t="s">
        <v>1467</v>
      </c>
      <c r="B1046" s="4">
        <v>45640</v>
      </c>
      <c r="C1046" s="3" t="s">
        <v>1468</v>
      </c>
      <c r="D1046" s="3" t="s">
        <v>123</v>
      </c>
      <c r="E1046" s="3" t="s">
        <v>46</v>
      </c>
      <c r="F1046" s="5">
        <v>10</v>
      </c>
      <c r="G1046" s="5">
        <v>4880</v>
      </c>
      <c r="H1046" s="5">
        <v>7.3</v>
      </c>
      <c r="I1046" s="5">
        <v>45237.599999999999</v>
      </c>
      <c r="J1046" s="3" t="s">
        <v>26</v>
      </c>
      <c r="K1046" s="3" t="s">
        <v>33</v>
      </c>
      <c r="L1046" t="str">
        <f>IFERROR(VLOOKUP(D1046,Products!$A$2:$F$61,3,FALSE()),"")</f>
        <v>Beauty</v>
      </c>
      <c r="M1046" t="str">
        <f>IFERROR(VLOOKUP(E1046,Sales_Reps!$A$2:$C$31,3,FALSE()),"")</f>
        <v>North</v>
      </c>
      <c r="N1046">
        <f>IFERROR(VLOOKUP(D1046,Products!$A$2:$F$61,4,FALSE()),"")</f>
        <v>2768</v>
      </c>
      <c r="O1046" t="str">
        <f>IFERROR(VLOOKUP(C1046,Customers!$A$2:$F$301,5,FALSE()),"")</f>
        <v>Retail</v>
      </c>
      <c r="P1046">
        <f>IFERROR(VLOOKUP(C1046,Customers!$A$2:$F$301,3,FALSE()),"")</f>
        <v>31</v>
      </c>
      <c r="Q1046">
        <f t="shared" si="48"/>
        <v>0.43278688524590164</v>
      </c>
      <c r="R1046">
        <f>IF(AND(COUNTIF($A$2:$A$2047,A1046)&gt;1,COUNTIF($A$2:A1046,A1046)=1),1,0)</f>
        <v>0</v>
      </c>
      <c r="S1046" t="b">
        <f>IFERROR(VLOOKUP(D1046,Products!$A$2:$F$61,6,FALSE()),"")</f>
        <v>1</v>
      </c>
      <c r="T1046" t="str">
        <f>IF(COUNTIF(Customers!$A$2:$A$301,C1046)=0,"Missing","OK")</f>
        <v>OK</v>
      </c>
      <c r="U1046" t="str">
        <f t="shared" si="49"/>
        <v>Chennai</v>
      </c>
      <c r="V1046">
        <f t="shared" si="50"/>
        <v>0</v>
      </c>
    </row>
    <row r="1047" spans="1:22" ht="15" customHeight="1" x14ac:dyDescent="0.35">
      <c r="A1047" s="3" t="s">
        <v>1469</v>
      </c>
      <c r="B1047" s="4">
        <v>45450</v>
      </c>
      <c r="C1047" s="3" t="s">
        <v>811</v>
      </c>
      <c r="D1047" s="3" t="s">
        <v>184</v>
      </c>
      <c r="E1047" s="3" t="s">
        <v>97</v>
      </c>
      <c r="F1047" s="5">
        <v>10</v>
      </c>
      <c r="G1047" s="5">
        <v>2270</v>
      </c>
      <c r="H1047" s="5">
        <v>1.6</v>
      </c>
      <c r="I1047" s="5">
        <v>22336.799999999999</v>
      </c>
      <c r="J1047" s="3" t="s">
        <v>26</v>
      </c>
      <c r="K1047" s="3" t="s">
        <v>51</v>
      </c>
      <c r="L1047" t="str">
        <f>IFERROR(VLOOKUP(D1047,Products!$A$2:$F$61,3,FALSE()),"")</f>
        <v>Grocery</v>
      </c>
      <c r="M1047" t="str">
        <f>IFERROR(VLOOKUP(E1047,Sales_Reps!$A$2:$C$31,3,FALSE()),"")</f>
        <v>East</v>
      </c>
      <c r="N1047">
        <f>IFERROR(VLOOKUP(D1047,Products!$A$2:$F$61,4,FALSE()),"")</f>
        <v>1412</v>
      </c>
      <c r="O1047" t="str">
        <f>IFERROR(VLOOKUP(C1047,Customers!$A$2:$F$301,5,FALSE()),"")</f>
        <v>Corporate</v>
      </c>
      <c r="P1047">
        <f>IFERROR(VLOOKUP(C1047,Customers!$A$2:$F$301,3,FALSE()),"")</f>
        <v>62</v>
      </c>
      <c r="Q1047">
        <f t="shared" si="48"/>
        <v>0.37797356828193834</v>
      </c>
      <c r="R1047">
        <f>IF(AND(COUNTIF($A$2:$A$2047,A1047)&gt;1,COUNTIF($A$2:A1047,A1047)=1),1,0)</f>
        <v>0</v>
      </c>
      <c r="S1047" t="b">
        <f>IFERROR(VLOOKUP(D1047,Products!$A$2:$F$61,6,FALSE()),"")</f>
        <v>1</v>
      </c>
      <c r="T1047" t="str">
        <f>IF(COUNTIF(Customers!$A$2:$A$301,C1047)=0,"Missing","OK")</f>
        <v>OK</v>
      </c>
      <c r="U1047" t="str">
        <f t="shared" si="49"/>
        <v>Mumbai</v>
      </c>
      <c r="V1047">
        <f t="shared" si="50"/>
        <v>0</v>
      </c>
    </row>
    <row r="1048" spans="1:22" ht="15" customHeight="1" x14ac:dyDescent="0.35">
      <c r="A1048" s="3" t="s">
        <v>1470</v>
      </c>
      <c r="B1048" s="4">
        <v>45589</v>
      </c>
      <c r="C1048" s="3" t="s">
        <v>346</v>
      </c>
      <c r="D1048" s="3" t="s">
        <v>66</v>
      </c>
      <c r="E1048" s="3" t="s">
        <v>87</v>
      </c>
      <c r="F1048" s="5">
        <v>8</v>
      </c>
      <c r="G1048" s="5">
        <v>970</v>
      </c>
      <c r="H1048" s="5">
        <v>13.1</v>
      </c>
      <c r="I1048" s="5">
        <v>6743.44</v>
      </c>
      <c r="J1048" s="3" t="s">
        <v>26</v>
      </c>
      <c r="K1048" s="3" t="s">
        <v>27</v>
      </c>
      <c r="L1048" t="str">
        <f>IFERROR(VLOOKUP(D1048,Products!$A$2:$F$61,3,FALSE()),"")</f>
        <v>Grocery</v>
      </c>
      <c r="M1048" t="str">
        <f>IFERROR(VLOOKUP(E1048,Sales_Reps!$A$2:$C$31,3,FALSE()),"")</f>
        <v>North</v>
      </c>
      <c r="N1048">
        <f>IFERROR(VLOOKUP(D1048,Products!$A$2:$F$61,4,FALSE()),"")</f>
        <v>434</v>
      </c>
      <c r="O1048" t="str">
        <f>IFERROR(VLOOKUP(C1048,Customers!$A$2:$F$301,5,FALSE()),"")</f>
        <v>SMB</v>
      </c>
      <c r="P1048">
        <f>IFERROR(VLOOKUP(C1048,Customers!$A$2:$F$301,3,FALSE()),"")</f>
        <v>53</v>
      </c>
      <c r="Q1048">
        <f t="shared" si="48"/>
        <v>0.5525773195876289</v>
      </c>
      <c r="R1048">
        <f>IF(AND(COUNTIF($A$2:$A$2047,A1048)&gt;1,COUNTIF($A$2:A1048,A1048)=1),1,0)</f>
        <v>0</v>
      </c>
      <c r="S1048" t="b">
        <f>IFERROR(VLOOKUP(D1048,Products!$A$2:$F$61,6,FALSE()),"")</f>
        <v>1</v>
      </c>
      <c r="T1048" t="str">
        <f>IF(COUNTIF(Customers!$A$2:$A$301,C1048)=0,"Missing","OK")</f>
        <v>OK</v>
      </c>
      <c r="U1048" t="str">
        <f t="shared" si="49"/>
        <v>Pune</v>
      </c>
      <c r="V1048">
        <f t="shared" si="50"/>
        <v>0</v>
      </c>
    </row>
    <row r="1049" spans="1:22" ht="15" customHeight="1" x14ac:dyDescent="0.35">
      <c r="A1049" s="3" t="s">
        <v>1471</v>
      </c>
      <c r="B1049" s="4">
        <v>45646</v>
      </c>
      <c r="C1049" s="3" t="s">
        <v>321</v>
      </c>
      <c r="D1049" s="3" t="s">
        <v>306</v>
      </c>
      <c r="E1049" s="3" t="s">
        <v>264</v>
      </c>
      <c r="F1049" s="5">
        <v>7</v>
      </c>
      <c r="G1049" s="5">
        <v>2380</v>
      </c>
      <c r="H1049" s="5">
        <v>10.6</v>
      </c>
      <c r="I1049" s="5">
        <v>14894.04</v>
      </c>
      <c r="J1049" s="3" t="s">
        <v>79</v>
      </c>
      <c r="K1049" s="3" t="s">
        <v>38</v>
      </c>
      <c r="L1049" t="str">
        <f>IFERROR(VLOOKUP(D1049,Products!$A$2:$F$61,3,FALSE()),"")</f>
        <v>Grocery</v>
      </c>
      <c r="M1049" t="str">
        <f>IFERROR(VLOOKUP(E1049,Sales_Reps!$A$2:$C$31,3,FALSE()),"")</f>
        <v>South</v>
      </c>
      <c r="N1049">
        <f>IFERROR(VLOOKUP(D1049,Products!$A$2:$F$61,4,FALSE()),"")</f>
        <v>1182</v>
      </c>
      <c r="O1049" t="str">
        <f>IFERROR(VLOOKUP(C1049,Customers!$A$2:$F$301,5,FALSE()),"")</f>
        <v>Corporate</v>
      </c>
      <c r="P1049">
        <f>IFERROR(VLOOKUP(C1049,Customers!$A$2:$F$301,3,FALSE()),"")</f>
        <v>27</v>
      </c>
      <c r="Q1049">
        <f t="shared" si="48"/>
        <v>0.50336134453781511</v>
      </c>
      <c r="R1049">
        <f>IF(AND(COUNTIF($A$2:$A$2047,A1049)&gt;1,COUNTIF($A$2:A1049,A1049)=1),1,0)</f>
        <v>0</v>
      </c>
      <c r="S1049" t="b">
        <f>IFERROR(VLOOKUP(D1049,Products!$A$2:$F$61,6,FALSE()),"")</f>
        <v>1</v>
      </c>
      <c r="T1049" t="str">
        <f>IF(COUNTIF(Customers!$A$2:$A$301,C1049)=0,"Missing","OK")</f>
        <v>OK</v>
      </c>
      <c r="U1049" t="str">
        <f t="shared" si="49"/>
        <v>Delhi</v>
      </c>
      <c r="V1049">
        <f t="shared" si="50"/>
        <v>0</v>
      </c>
    </row>
    <row r="1050" spans="1:22" ht="15" customHeight="1" x14ac:dyDescent="0.35">
      <c r="A1050" s="3" t="s">
        <v>1472</v>
      </c>
      <c r="B1050" s="4">
        <v>45488</v>
      </c>
      <c r="C1050" s="3" t="s">
        <v>1473</v>
      </c>
      <c r="D1050" s="3" t="s">
        <v>24</v>
      </c>
      <c r="E1050" s="3" t="s">
        <v>285</v>
      </c>
      <c r="F1050" s="5">
        <v>6</v>
      </c>
      <c r="G1050" s="5">
        <v>3620</v>
      </c>
      <c r="H1050" s="5">
        <v>21.3</v>
      </c>
      <c r="I1050" s="5">
        <v>17093.64</v>
      </c>
      <c r="J1050" s="3" t="s">
        <v>79</v>
      </c>
      <c r="K1050" s="3" t="s">
        <v>72</v>
      </c>
      <c r="L1050" t="str">
        <f>IFERROR(VLOOKUP(D1050,Products!$A$2:$F$61,3,FALSE()),"")</f>
        <v>Apparel</v>
      </c>
      <c r="M1050" t="str">
        <f>IFERROR(VLOOKUP(E1050,Sales_Reps!$A$2:$C$31,3,FALSE()),"")</f>
        <v>South</v>
      </c>
      <c r="N1050">
        <f>IFERROR(VLOOKUP(D1050,Products!$A$2:$F$61,4,FALSE()),"")</f>
        <v>2509</v>
      </c>
      <c r="O1050" t="str">
        <f>IFERROR(VLOOKUP(C1050,Customers!$A$2:$F$301,5,FALSE()),"")</f>
        <v>Corporate</v>
      </c>
      <c r="P1050">
        <f>IFERROR(VLOOKUP(C1050,Customers!$A$2:$F$301,3,FALSE()),"")</f>
        <v>25</v>
      </c>
      <c r="Q1050">
        <f t="shared" si="48"/>
        <v>0.3069060773480663</v>
      </c>
      <c r="R1050">
        <f>IF(AND(COUNTIF($A$2:$A$2047,A1050)&gt;1,COUNTIF($A$2:A1050,A1050)=1),1,0)</f>
        <v>0</v>
      </c>
      <c r="S1050" t="b">
        <f>IFERROR(VLOOKUP(D1050,Products!$A$2:$F$61,6,FALSE()),"")</f>
        <v>1</v>
      </c>
      <c r="T1050" t="str">
        <f>IF(COUNTIF(Customers!$A$2:$A$301,C1050)=0,"Missing","OK")</f>
        <v>OK</v>
      </c>
      <c r="U1050" t="str">
        <f t="shared" si="49"/>
        <v>Hyderabad</v>
      </c>
      <c r="V1050">
        <f t="shared" si="50"/>
        <v>0</v>
      </c>
    </row>
    <row r="1051" spans="1:22" ht="15" customHeight="1" x14ac:dyDescent="0.35">
      <c r="A1051" s="3" t="s">
        <v>1474</v>
      </c>
      <c r="B1051" s="4">
        <v>45555</v>
      </c>
      <c r="C1051" s="3" t="s">
        <v>429</v>
      </c>
      <c r="D1051" s="3" t="s">
        <v>203</v>
      </c>
      <c r="E1051" s="3" t="s">
        <v>282</v>
      </c>
      <c r="F1051" s="5">
        <v>3</v>
      </c>
      <c r="G1051" s="5">
        <v>4070</v>
      </c>
      <c r="H1051" s="5">
        <v>8.1999999999999993</v>
      </c>
      <c r="I1051" s="5">
        <v>11208.78</v>
      </c>
      <c r="J1051" s="3" t="s">
        <v>79</v>
      </c>
      <c r="K1051" s="3" t="s">
        <v>38</v>
      </c>
      <c r="L1051" t="str">
        <f>IFERROR(VLOOKUP(D1051,Products!$A$2:$F$61,3,FALSE()),"")</f>
        <v>Grocery</v>
      </c>
      <c r="M1051" t="str">
        <f>IFERROR(VLOOKUP(E1051,Sales_Reps!$A$2:$C$31,3,FALSE()),"")</f>
        <v>West</v>
      </c>
      <c r="N1051">
        <f>IFERROR(VLOOKUP(D1051,Products!$A$2:$F$61,4,FALSE()),"")</f>
        <v>2027</v>
      </c>
      <c r="O1051" t="str">
        <f>IFERROR(VLOOKUP(C1051,Customers!$A$2:$F$301,5,FALSE()),"")</f>
        <v>Retail</v>
      </c>
      <c r="P1051">
        <f>IFERROR(VLOOKUP(C1051,Customers!$A$2:$F$301,3,FALSE()),"")</f>
        <v>59</v>
      </c>
      <c r="Q1051">
        <f t="shared" si="48"/>
        <v>0.50196560196560192</v>
      </c>
      <c r="R1051">
        <f>IF(AND(COUNTIF($A$2:$A$2047,A1051)&gt;1,COUNTIF($A$2:A1051,A1051)=1),1,0)</f>
        <v>0</v>
      </c>
      <c r="S1051" t="b">
        <f>IFERROR(VLOOKUP(D1051,Products!$A$2:$F$61,6,FALSE()),"")</f>
        <v>1</v>
      </c>
      <c r="T1051" t="str">
        <f>IF(COUNTIF(Customers!$A$2:$A$301,C1051)=0,"Missing","OK")</f>
        <v>OK</v>
      </c>
      <c r="U1051" t="str">
        <f t="shared" si="49"/>
        <v>Delhi</v>
      </c>
      <c r="V1051">
        <f t="shared" si="50"/>
        <v>0</v>
      </c>
    </row>
    <row r="1052" spans="1:22" ht="15" customHeight="1" x14ac:dyDescent="0.35">
      <c r="A1052" s="3" t="s">
        <v>1475</v>
      </c>
      <c r="B1052" s="4">
        <v>45578</v>
      </c>
      <c r="C1052" s="3" t="s">
        <v>393</v>
      </c>
      <c r="D1052" s="3" t="s">
        <v>130</v>
      </c>
      <c r="E1052" s="3" t="s">
        <v>140</v>
      </c>
      <c r="F1052" s="5">
        <v>8</v>
      </c>
      <c r="G1052" s="5">
        <v>5100</v>
      </c>
      <c r="H1052" s="5">
        <v>26.9</v>
      </c>
      <c r="I1052" s="5">
        <v>29824.799999999999</v>
      </c>
      <c r="J1052" s="3" t="s">
        <v>26</v>
      </c>
      <c r="K1052" s="3" t="s">
        <v>72</v>
      </c>
      <c r="L1052" t="str">
        <f>IFERROR(VLOOKUP(D1052,Products!$A$2:$F$61,3,FALSE()),"")</f>
        <v>Beauty</v>
      </c>
      <c r="M1052" t="str">
        <f>IFERROR(VLOOKUP(E1052,Sales_Reps!$A$2:$C$31,3,FALSE()),"")</f>
        <v>West</v>
      </c>
      <c r="N1052">
        <f>IFERROR(VLOOKUP(D1052,Products!$A$2:$F$61,4,FALSE()),"")</f>
        <v>2237</v>
      </c>
      <c r="O1052" t="str">
        <f>IFERROR(VLOOKUP(C1052,Customers!$A$2:$F$301,5,FALSE()),"")</f>
        <v>Corporate</v>
      </c>
      <c r="P1052">
        <f>IFERROR(VLOOKUP(C1052,Customers!$A$2:$F$301,3,FALSE()),"")</f>
        <v>43</v>
      </c>
      <c r="Q1052">
        <f t="shared" si="48"/>
        <v>0.56137254901960787</v>
      </c>
      <c r="R1052">
        <f>IF(AND(COUNTIF($A$2:$A$2047,A1052)&gt;1,COUNTIF($A$2:A1052,A1052)=1),1,0)</f>
        <v>0</v>
      </c>
      <c r="S1052" t="b">
        <f>IFERROR(VLOOKUP(D1052,Products!$A$2:$F$61,6,FALSE()),"")</f>
        <v>1</v>
      </c>
      <c r="T1052" t="str">
        <f>IF(COUNTIF(Customers!$A$2:$A$301,C1052)=0,"Missing","OK")</f>
        <v>OK</v>
      </c>
      <c r="U1052" t="str">
        <f t="shared" si="49"/>
        <v>Hyderabad</v>
      </c>
      <c r="V1052">
        <f t="shared" si="50"/>
        <v>0</v>
      </c>
    </row>
    <row r="1053" spans="1:22" ht="15" customHeight="1" x14ac:dyDescent="0.35">
      <c r="A1053" s="3" t="s">
        <v>1227</v>
      </c>
      <c r="B1053" s="4">
        <v>45296</v>
      </c>
      <c r="C1053" s="3" t="s">
        <v>811</v>
      </c>
      <c r="D1053" s="3" t="s">
        <v>215</v>
      </c>
      <c r="E1053" s="3" t="s">
        <v>177</v>
      </c>
      <c r="F1053" s="5">
        <v>3</v>
      </c>
      <c r="G1053" s="5">
        <v>3020</v>
      </c>
      <c r="H1053" s="5">
        <v>18.5</v>
      </c>
      <c r="I1053" s="5">
        <v>7383.9</v>
      </c>
      <c r="J1053" s="3" t="s">
        <v>79</v>
      </c>
      <c r="K1053" s="3" t="s">
        <v>51</v>
      </c>
      <c r="L1053" t="str">
        <f>IFERROR(VLOOKUP(D1053,Products!$A$2:$F$61,3,FALSE()),"")</f>
        <v>Beauty</v>
      </c>
      <c r="M1053" t="str">
        <f>IFERROR(VLOOKUP(E1053,Sales_Reps!$A$2:$C$31,3,FALSE()),"")</f>
        <v>East</v>
      </c>
      <c r="N1053">
        <f>IFERROR(VLOOKUP(D1053,Products!$A$2:$F$61,4,FALSE()),"")</f>
        <v>1626</v>
      </c>
      <c r="O1053" t="str">
        <f>IFERROR(VLOOKUP(C1053,Customers!$A$2:$F$301,5,FALSE()),"")</f>
        <v>Corporate</v>
      </c>
      <c r="P1053">
        <f>IFERROR(VLOOKUP(C1053,Customers!$A$2:$F$301,3,FALSE()),"")</f>
        <v>62</v>
      </c>
      <c r="Q1053">
        <f t="shared" si="48"/>
        <v>0.46158940397350995</v>
      </c>
      <c r="R1053">
        <f>IF(AND(COUNTIF($A$2:$A$2047,A1053)&gt;1,COUNTIF($A$2:A1053,A1053)=1),1,0)</f>
        <v>0</v>
      </c>
      <c r="S1053" t="b">
        <f>IFERROR(VLOOKUP(D1053,Products!$A$2:$F$61,6,FALSE()),"")</f>
        <v>1</v>
      </c>
      <c r="T1053" t="str">
        <f>IF(COUNTIF(Customers!$A$2:$A$301,C1053)=0,"Missing","OK")</f>
        <v>OK</v>
      </c>
      <c r="U1053" t="str">
        <f t="shared" si="49"/>
        <v>Mumbai</v>
      </c>
      <c r="V1053">
        <f t="shared" si="50"/>
        <v>0</v>
      </c>
    </row>
    <row r="1054" spans="1:22" ht="15" customHeight="1" x14ac:dyDescent="0.35">
      <c r="A1054" s="3" t="s">
        <v>1476</v>
      </c>
      <c r="B1054" s="4">
        <v>45564</v>
      </c>
      <c r="C1054" s="3" t="s">
        <v>1035</v>
      </c>
      <c r="D1054" s="3" t="s">
        <v>319</v>
      </c>
      <c r="E1054" s="3" t="s">
        <v>236</v>
      </c>
      <c r="F1054" s="5">
        <v>8</v>
      </c>
      <c r="G1054" s="5">
        <v>960</v>
      </c>
      <c r="H1054" s="5">
        <v>7.1</v>
      </c>
      <c r="I1054" s="5">
        <v>7134.72</v>
      </c>
      <c r="J1054" s="3" t="s">
        <v>26</v>
      </c>
      <c r="K1054" s="3" t="s">
        <v>27</v>
      </c>
      <c r="L1054" t="str">
        <f>IFERROR(VLOOKUP(D1054,Products!$A$2:$F$61,3,FALSE()),"")</f>
        <v>Beauty</v>
      </c>
      <c r="M1054" t="str">
        <f>IFERROR(VLOOKUP(E1054,Sales_Reps!$A$2:$C$31,3,FALSE()),"")</f>
        <v>North</v>
      </c>
      <c r="N1054">
        <f>IFERROR(VLOOKUP(D1054,Products!$A$2:$F$61,4,FALSE()),"")</f>
        <v>675</v>
      </c>
      <c r="O1054" t="str">
        <f>IFERROR(VLOOKUP(C1054,Customers!$A$2:$F$301,5,FALSE()),"")</f>
        <v>Corporate</v>
      </c>
      <c r="P1054">
        <f>IFERROR(VLOOKUP(C1054,Customers!$A$2:$F$301,3,FALSE()),"")</f>
        <v>42</v>
      </c>
      <c r="Q1054">
        <f t="shared" si="48"/>
        <v>0.296875</v>
      </c>
      <c r="R1054">
        <f>IF(AND(COUNTIF($A$2:$A$2047,A1054)&gt;1,COUNTIF($A$2:A1054,A1054)=1),1,0)</f>
        <v>0</v>
      </c>
      <c r="S1054" t="b">
        <f>IFERROR(VLOOKUP(D1054,Products!$A$2:$F$61,6,FALSE()),"")</f>
        <v>1</v>
      </c>
      <c r="T1054" t="str">
        <f>IF(COUNTIF(Customers!$A$2:$A$301,C1054)=0,"Missing","OK")</f>
        <v>OK</v>
      </c>
      <c r="U1054" t="str">
        <f t="shared" si="49"/>
        <v>Pune</v>
      </c>
      <c r="V1054">
        <f t="shared" si="50"/>
        <v>0</v>
      </c>
    </row>
    <row r="1055" spans="1:22" ht="15" customHeight="1" x14ac:dyDescent="0.35">
      <c r="A1055" s="3" t="s">
        <v>1477</v>
      </c>
      <c r="B1055" s="4">
        <v>45383</v>
      </c>
      <c r="C1055" s="3" t="s">
        <v>541</v>
      </c>
      <c r="D1055" s="3" t="s">
        <v>382</v>
      </c>
      <c r="E1055" s="3" t="s">
        <v>127</v>
      </c>
      <c r="F1055" s="5">
        <v>8</v>
      </c>
      <c r="G1055" s="5">
        <v>5080</v>
      </c>
      <c r="H1055" s="5">
        <v>6.2</v>
      </c>
      <c r="I1055" s="5">
        <v>38120.32</v>
      </c>
      <c r="J1055" s="3" t="s">
        <v>26</v>
      </c>
      <c r="K1055" s="3" t="s">
        <v>33</v>
      </c>
      <c r="L1055" t="str">
        <f>IFERROR(VLOOKUP(D1055,Products!$A$2:$F$61,3,FALSE()),"")</f>
        <v>Home</v>
      </c>
      <c r="M1055" t="str">
        <f>IFERROR(VLOOKUP(E1055,Sales_Reps!$A$2:$C$31,3,FALSE()),"")</f>
        <v>South</v>
      </c>
      <c r="N1055">
        <f>IFERROR(VLOOKUP(D1055,Products!$A$2:$F$61,4,FALSE()),"")</f>
        <v>2459</v>
      </c>
      <c r="O1055" t="str">
        <f>IFERROR(VLOOKUP(C1055,Customers!$A$2:$F$301,5,FALSE()),"")</f>
        <v>Retail</v>
      </c>
      <c r="P1055">
        <f>IFERROR(VLOOKUP(C1055,Customers!$A$2:$F$301,3,FALSE()),"")</f>
        <v>61</v>
      </c>
      <c r="Q1055">
        <f t="shared" si="48"/>
        <v>0.51594488188976373</v>
      </c>
      <c r="R1055">
        <f>IF(AND(COUNTIF($A$2:$A$2047,A1055)&gt;1,COUNTIF($A$2:A1055,A1055)=1),1,0)</f>
        <v>0</v>
      </c>
      <c r="S1055" t="b">
        <f>IFERROR(VLOOKUP(D1055,Products!$A$2:$F$61,6,FALSE()),"")</f>
        <v>1</v>
      </c>
      <c r="T1055" t="str">
        <f>IF(COUNTIF(Customers!$A$2:$A$301,C1055)=0,"Missing","OK")</f>
        <v>OK</v>
      </c>
      <c r="U1055" t="str">
        <f t="shared" si="49"/>
        <v>Chennai</v>
      </c>
      <c r="V1055">
        <f t="shared" si="50"/>
        <v>0</v>
      </c>
    </row>
    <row r="1056" spans="1:22" ht="15" customHeight="1" x14ac:dyDescent="0.35">
      <c r="A1056" s="3" t="s">
        <v>1478</v>
      </c>
      <c r="B1056" s="4">
        <v>45436</v>
      </c>
      <c r="C1056" s="3" t="s">
        <v>480</v>
      </c>
      <c r="D1056" s="3" t="s">
        <v>180</v>
      </c>
      <c r="E1056" s="3" t="s">
        <v>71</v>
      </c>
      <c r="F1056" s="5">
        <v>6</v>
      </c>
      <c r="G1056" s="5">
        <v>6080</v>
      </c>
      <c r="H1056" s="5">
        <v>25.8</v>
      </c>
      <c r="I1056" s="5">
        <v>27068.16</v>
      </c>
      <c r="J1056" s="3" t="s">
        <v>26</v>
      </c>
      <c r="K1056" s="3" t="s">
        <v>33</v>
      </c>
      <c r="L1056" t="str">
        <f>IFERROR(VLOOKUP(D1056,Products!$A$2:$F$61,3,FALSE()),"")</f>
        <v>Beauty</v>
      </c>
      <c r="M1056" t="str">
        <f>IFERROR(VLOOKUP(E1056,Sales_Reps!$A$2:$C$31,3,FALSE()),"")</f>
        <v>South</v>
      </c>
      <c r="N1056">
        <f>IFERROR(VLOOKUP(D1056,Products!$A$2:$F$61,4,FALSE()),"")</f>
        <v>2617</v>
      </c>
      <c r="O1056" t="str">
        <f>IFERROR(VLOOKUP(C1056,Customers!$A$2:$F$301,5,FALSE()),"")</f>
        <v>Corporate</v>
      </c>
      <c r="P1056">
        <f>IFERROR(VLOOKUP(C1056,Customers!$A$2:$F$301,3,FALSE()),"")</f>
        <v>34</v>
      </c>
      <c r="Q1056">
        <f t="shared" si="48"/>
        <v>0.56957236842105263</v>
      </c>
      <c r="R1056">
        <f>IF(AND(COUNTIF($A$2:$A$2047,A1056)&gt;1,COUNTIF($A$2:A1056,A1056)=1),1,0)</f>
        <v>0</v>
      </c>
      <c r="S1056" t="b">
        <f>IFERROR(VLOOKUP(D1056,Products!$A$2:$F$61,6,FALSE()),"")</f>
        <v>1</v>
      </c>
      <c r="T1056" t="str">
        <f>IF(COUNTIF(Customers!$A$2:$A$301,C1056)=0,"Missing","OK")</f>
        <v>OK</v>
      </c>
      <c r="U1056" t="str">
        <f t="shared" si="49"/>
        <v>Chennai</v>
      </c>
      <c r="V1056">
        <f t="shared" si="50"/>
        <v>0</v>
      </c>
    </row>
    <row r="1057" spans="1:22" ht="15" customHeight="1" x14ac:dyDescent="0.35">
      <c r="A1057" s="3" t="s">
        <v>1479</v>
      </c>
      <c r="B1057" s="4">
        <v>45544</v>
      </c>
      <c r="C1057" s="3" t="s">
        <v>478</v>
      </c>
      <c r="D1057" s="3" t="s">
        <v>198</v>
      </c>
      <c r="E1057" s="3" t="s">
        <v>71</v>
      </c>
      <c r="F1057" s="5">
        <v>5</v>
      </c>
      <c r="G1057" s="5">
        <v>1540</v>
      </c>
      <c r="H1057" s="5">
        <v>24.6</v>
      </c>
      <c r="I1057" s="5">
        <v>5805.8</v>
      </c>
      <c r="J1057" s="3" t="s">
        <v>26</v>
      </c>
      <c r="K1057" s="3" t="s">
        <v>72</v>
      </c>
      <c r="L1057" t="str">
        <f>IFERROR(VLOOKUP(D1057,Products!$A$2:$F$61,3,FALSE()),"")</f>
        <v>Beauty</v>
      </c>
      <c r="M1057" t="str">
        <f>IFERROR(VLOOKUP(E1057,Sales_Reps!$A$2:$C$31,3,FALSE()),"")</f>
        <v>South</v>
      </c>
      <c r="N1057">
        <f>IFERROR(VLOOKUP(D1057,Products!$A$2:$F$61,4,FALSE()),"")</f>
        <v>647</v>
      </c>
      <c r="O1057" t="str">
        <f>IFERROR(VLOOKUP(C1057,Customers!$A$2:$F$301,5,FALSE()),"")</f>
        <v>Retail</v>
      </c>
      <c r="P1057">
        <f>IFERROR(VLOOKUP(C1057,Customers!$A$2:$F$301,3,FALSE()),"")</f>
        <v>38</v>
      </c>
      <c r="Q1057">
        <f t="shared" si="48"/>
        <v>0.57987012987012987</v>
      </c>
      <c r="R1057">
        <f>IF(AND(COUNTIF($A$2:$A$2047,A1057)&gt;1,COUNTIF($A$2:A1057,A1057)=1),1,0)</f>
        <v>0</v>
      </c>
      <c r="S1057" t="b">
        <f>IFERROR(VLOOKUP(D1057,Products!$A$2:$F$61,6,FALSE()),"")</f>
        <v>0</v>
      </c>
      <c r="T1057" t="str">
        <f>IF(COUNTIF(Customers!$A$2:$A$301,C1057)=0,"Missing","OK")</f>
        <v>OK</v>
      </c>
      <c r="U1057" t="str">
        <f t="shared" si="49"/>
        <v>Hyderabad</v>
      </c>
      <c r="V1057">
        <f t="shared" si="50"/>
        <v>0</v>
      </c>
    </row>
    <row r="1058" spans="1:22" ht="15" customHeight="1" x14ac:dyDescent="0.35">
      <c r="A1058" s="3" t="s">
        <v>1480</v>
      </c>
      <c r="B1058" s="4">
        <v>45404</v>
      </c>
      <c r="C1058" s="3" t="s">
        <v>718</v>
      </c>
      <c r="D1058" s="3" t="s">
        <v>121</v>
      </c>
      <c r="E1058" s="3" t="s">
        <v>55</v>
      </c>
      <c r="F1058" s="5">
        <v>4</v>
      </c>
      <c r="G1058" s="5">
        <v>1010</v>
      </c>
      <c r="H1058" s="5">
        <v>2.9</v>
      </c>
      <c r="I1058" s="5">
        <v>3922.84</v>
      </c>
      <c r="J1058" s="3" t="s">
        <v>32</v>
      </c>
      <c r="K1058" s="3" t="s">
        <v>56</v>
      </c>
      <c r="L1058" t="str">
        <f>IFERROR(VLOOKUP(D1058,Products!$A$2:$F$61,3,FALSE()),"")</f>
        <v>Sports</v>
      </c>
      <c r="M1058" t="str">
        <f>IFERROR(VLOOKUP(E1058,Sales_Reps!$A$2:$C$31,3,FALSE()),"")</f>
        <v>West</v>
      </c>
      <c r="N1058">
        <f>IFERROR(VLOOKUP(D1058,Products!$A$2:$F$61,4,FALSE()),"")</f>
        <v>516</v>
      </c>
      <c r="O1058" t="str">
        <f>IFERROR(VLOOKUP(C1058,Customers!$A$2:$F$301,5,FALSE()),"")</f>
        <v>Retail</v>
      </c>
      <c r="P1058">
        <f>IFERROR(VLOOKUP(C1058,Customers!$A$2:$F$301,3,FALSE()),"")</f>
        <v>27</v>
      </c>
      <c r="Q1058">
        <f t="shared" si="48"/>
        <v>0.4891089108910891</v>
      </c>
      <c r="R1058">
        <f>IF(AND(COUNTIF($A$2:$A$2047,A1058)&gt;1,COUNTIF($A$2:A1058,A1058)=1),1,0)</f>
        <v>0</v>
      </c>
      <c r="S1058" t="b">
        <f>IFERROR(VLOOKUP(D1058,Products!$A$2:$F$61,6,FALSE()),"")</f>
        <v>1</v>
      </c>
      <c r="T1058" t="str">
        <f>IF(COUNTIF(Customers!$A$2:$A$301,C1058)=0,"Missing","OK")</f>
        <v>OK</v>
      </c>
      <c r="U1058" t="str">
        <f t="shared" si="49"/>
        <v>Bengaluru</v>
      </c>
      <c r="V1058">
        <f t="shared" si="50"/>
        <v>0</v>
      </c>
    </row>
    <row r="1059" spans="1:22" ht="15" customHeight="1" x14ac:dyDescent="0.35">
      <c r="A1059" s="3" t="s">
        <v>1481</v>
      </c>
      <c r="B1059" s="4">
        <v>45586</v>
      </c>
      <c r="C1059" s="3" t="s">
        <v>472</v>
      </c>
      <c r="D1059" s="3" t="s">
        <v>319</v>
      </c>
      <c r="E1059" s="3" t="s">
        <v>140</v>
      </c>
      <c r="F1059" s="5">
        <v>5</v>
      </c>
      <c r="G1059" s="5">
        <v>960</v>
      </c>
      <c r="H1059" s="5">
        <v>11.4</v>
      </c>
      <c r="I1059" s="5">
        <v>4252.8</v>
      </c>
      <c r="J1059" s="3" t="s">
        <v>26</v>
      </c>
      <c r="K1059" s="3" t="s">
        <v>38</v>
      </c>
      <c r="L1059" t="str">
        <f>IFERROR(VLOOKUP(D1059,Products!$A$2:$F$61,3,FALSE()),"")</f>
        <v>Beauty</v>
      </c>
      <c r="M1059" t="str">
        <f>IFERROR(VLOOKUP(E1059,Sales_Reps!$A$2:$C$31,3,FALSE()),"")</f>
        <v>West</v>
      </c>
      <c r="N1059">
        <f>IFERROR(VLOOKUP(D1059,Products!$A$2:$F$61,4,FALSE()),"")</f>
        <v>675</v>
      </c>
      <c r="O1059" t="str">
        <f>IFERROR(VLOOKUP(C1059,Customers!$A$2:$F$301,5,FALSE()),"")</f>
        <v>SMB</v>
      </c>
      <c r="P1059">
        <f>IFERROR(VLOOKUP(C1059,Customers!$A$2:$F$301,3,FALSE()),"")</f>
        <v>48</v>
      </c>
      <c r="Q1059">
        <f t="shared" si="48"/>
        <v>0.296875</v>
      </c>
      <c r="R1059">
        <f>IF(AND(COUNTIF($A$2:$A$2047,A1059)&gt;1,COUNTIF($A$2:A1059,A1059)=1),1,0)</f>
        <v>0</v>
      </c>
      <c r="S1059" t="b">
        <f>IFERROR(VLOOKUP(D1059,Products!$A$2:$F$61,6,FALSE()),"")</f>
        <v>1</v>
      </c>
      <c r="T1059" t="str">
        <f>IF(COUNTIF(Customers!$A$2:$A$301,C1059)=0,"Missing","OK")</f>
        <v>OK</v>
      </c>
      <c r="U1059" t="str">
        <f t="shared" si="49"/>
        <v>Delhi</v>
      </c>
      <c r="V1059">
        <f t="shared" si="50"/>
        <v>0</v>
      </c>
    </row>
    <row r="1060" spans="1:22" ht="15" customHeight="1" x14ac:dyDescent="0.35">
      <c r="A1060" s="3" t="s">
        <v>1482</v>
      </c>
      <c r="B1060" s="4">
        <v>45524</v>
      </c>
      <c r="C1060" s="3" t="s">
        <v>170</v>
      </c>
      <c r="D1060" s="3" t="s">
        <v>198</v>
      </c>
      <c r="E1060" s="3" t="s">
        <v>71</v>
      </c>
      <c r="F1060" s="5">
        <v>1</v>
      </c>
      <c r="G1060" s="5">
        <v>1540</v>
      </c>
      <c r="H1060" s="5">
        <v>5.6</v>
      </c>
      <c r="I1060" s="5">
        <v>1453.76</v>
      </c>
      <c r="J1060" s="3" t="s">
        <v>26</v>
      </c>
      <c r="K1060" s="3" t="s">
        <v>56</v>
      </c>
      <c r="L1060" t="str">
        <f>IFERROR(VLOOKUP(D1060,Products!$A$2:$F$61,3,FALSE()),"")</f>
        <v>Beauty</v>
      </c>
      <c r="M1060" t="str">
        <f>IFERROR(VLOOKUP(E1060,Sales_Reps!$A$2:$C$31,3,FALSE()),"")</f>
        <v>South</v>
      </c>
      <c r="N1060">
        <f>IFERROR(VLOOKUP(D1060,Products!$A$2:$F$61,4,FALSE()),"")</f>
        <v>647</v>
      </c>
      <c r="O1060" t="str">
        <f>IFERROR(VLOOKUP(C1060,Customers!$A$2:$F$301,5,FALSE()),"")</f>
        <v>SMB</v>
      </c>
      <c r="P1060">
        <f>IFERROR(VLOOKUP(C1060,Customers!$A$2:$F$301,3,FALSE()),"")</f>
        <v>64</v>
      </c>
      <c r="Q1060">
        <f t="shared" si="48"/>
        <v>0.57987012987012987</v>
      </c>
      <c r="R1060">
        <f>IF(AND(COUNTIF($A$2:$A$2047,A1060)&gt;1,COUNTIF($A$2:A1060,A1060)=1),1,0)</f>
        <v>0</v>
      </c>
      <c r="S1060" t="b">
        <f>IFERROR(VLOOKUP(D1060,Products!$A$2:$F$61,6,FALSE()),"")</f>
        <v>0</v>
      </c>
      <c r="T1060" t="str">
        <f>IF(COUNTIF(Customers!$A$2:$A$301,C1060)=0,"Missing","OK")</f>
        <v>OK</v>
      </c>
      <c r="U1060" t="str">
        <f t="shared" si="49"/>
        <v>Bengaluru</v>
      </c>
      <c r="V1060">
        <f t="shared" si="50"/>
        <v>0</v>
      </c>
    </row>
    <row r="1061" spans="1:22" ht="15" customHeight="1" x14ac:dyDescent="0.35">
      <c r="A1061" s="3" t="s">
        <v>1483</v>
      </c>
      <c r="B1061" s="4">
        <v>45397</v>
      </c>
      <c r="C1061" s="3" t="s">
        <v>942</v>
      </c>
      <c r="D1061" s="3" t="s">
        <v>118</v>
      </c>
      <c r="E1061" s="3" t="s">
        <v>60</v>
      </c>
      <c r="F1061" s="5">
        <v>9</v>
      </c>
      <c r="G1061" s="5">
        <v>3350</v>
      </c>
      <c r="H1061" s="5">
        <v>2.1</v>
      </c>
      <c r="I1061" s="5">
        <v>29516.85</v>
      </c>
      <c r="J1061" s="3" t="s">
        <v>26</v>
      </c>
      <c r="K1061" s="3" t="s">
        <v>38</v>
      </c>
      <c r="L1061" t="str">
        <f>IFERROR(VLOOKUP(D1061,Products!$A$2:$F$61,3,FALSE()),"")</f>
        <v>Beauty</v>
      </c>
      <c r="M1061" t="str">
        <f>IFERROR(VLOOKUP(E1061,Sales_Reps!$A$2:$C$31,3,FALSE()),"")</f>
        <v>East</v>
      </c>
      <c r="N1061">
        <f>IFERROR(VLOOKUP(D1061,Products!$A$2:$F$61,4,FALSE()),"")</f>
        <v>1728</v>
      </c>
      <c r="O1061" t="str">
        <f>IFERROR(VLOOKUP(C1061,Customers!$A$2:$F$301,5,FALSE()),"")</f>
        <v>SMB</v>
      </c>
      <c r="P1061">
        <f>IFERROR(VLOOKUP(C1061,Customers!$A$2:$F$301,3,FALSE()),"")</f>
        <v>45</v>
      </c>
      <c r="Q1061">
        <f t="shared" si="48"/>
        <v>0.48417910447761192</v>
      </c>
      <c r="R1061">
        <f>IF(AND(COUNTIF($A$2:$A$2047,A1061)&gt;1,COUNTIF($A$2:A1061,A1061)=1),1,0)</f>
        <v>0</v>
      </c>
      <c r="S1061" t="b">
        <f>IFERROR(VLOOKUP(D1061,Products!$A$2:$F$61,6,FALSE()),"")</f>
        <v>1</v>
      </c>
      <c r="T1061" t="str">
        <f>IF(COUNTIF(Customers!$A$2:$A$301,C1061)=0,"Missing","OK")</f>
        <v>OK</v>
      </c>
      <c r="U1061" t="str">
        <f t="shared" si="49"/>
        <v>Delhi</v>
      </c>
      <c r="V1061">
        <f t="shared" si="50"/>
        <v>0</v>
      </c>
    </row>
    <row r="1062" spans="1:22" ht="15" customHeight="1" x14ac:dyDescent="0.35">
      <c r="A1062" s="3" t="s">
        <v>1484</v>
      </c>
      <c r="B1062" s="4">
        <v>45336</v>
      </c>
      <c r="C1062" s="3" t="s">
        <v>847</v>
      </c>
      <c r="D1062" s="3" t="s">
        <v>100</v>
      </c>
      <c r="E1062" s="3" t="s">
        <v>97</v>
      </c>
      <c r="F1062" s="5">
        <v>7</v>
      </c>
      <c r="G1062" s="5">
        <v>3450</v>
      </c>
      <c r="H1062" s="5">
        <v>4.7</v>
      </c>
      <c r="I1062" s="5">
        <v>23014.95</v>
      </c>
      <c r="J1062" s="3" t="s">
        <v>26</v>
      </c>
      <c r="K1062" s="3" t="s">
        <v>72</v>
      </c>
      <c r="L1062" t="str">
        <f>IFERROR(VLOOKUP(D1062,Products!$A$2:$F$61,3,FALSE()),"")</f>
        <v>Sports</v>
      </c>
      <c r="M1062" t="str">
        <f>IFERROR(VLOOKUP(E1062,Sales_Reps!$A$2:$C$31,3,FALSE()),"")</f>
        <v>East</v>
      </c>
      <c r="N1062">
        <f>IFERROR(VLOOKUP(D1062,Products!$A$2:$F$61,4,FALSE()),"")</f>
        <v>2467</v>
      </c>
      <c r="O1062" t="str">
        <f>IFERROR(VLOOKUP(C1062,Customers!$A$2:$F$301,5,FALSE()),"")</f>
        <v>Retail</v>
      </c>
      <c r="P1062">
        <f>IFERROR(VLOOKUP(C1062,Customers!$A$2:$F$301,3,FALSE()),"")</f>
        <v>31</v>
      </c>
      <c r="Q1062">
        <f t="shared" si="48"/>
        <v>0.28492753623188405</v>
      </c>
      <c r="R1062">
        <f>IF(AND(COUNTIF($A$2:$A$2047,A1062)&gt;1,COUNTIF($A$2:A1062,A1062)=1),1,0)</f>
        <v>0</v>
      </c>
      <c r="S1062" t="b">
        <f>IFERROR(VLOOKUP(D1062,Products!$A$2:$F$61,6,FALSE()),"")</f>
        <v>1</v>
      </c>
      <c r="T1062" t="str">
        <f>IF(COUNTIF(Customers!$A$2:$A$301,C1062)=0,"Missing","OK")</f>
        <v>OK</v>
      </c>
      <c r="U1062" t="str">
        <f t="shared" si="49"/>
        <v>Hyderabad</v>
      </c>
      <c r="V1062">
        <f t="shared" si="50"/>
        <v>0</v>
      </c>
    </row>
    <row r="1063" spans="1:22" ht="15" customHeight="1" x14ac:dyDescent="0.35">
      <c r="A1063" s="3" t="s">
        <v>1485</v>
      </c>
      <c r="B1063" s="4">
        <v>45594</v>
      </c>
      <c r="C1063" s="3" t="s">
        <v>233</v>
      </c>
      <c r="D1063" s="3" t="s">
        <v>54</v>
      </c>
      <c r="E1063" s="3" t="s">
        <v>60</v>
      </c>
      <c r="F1063" s="5">
        <v>10</v>
      </c>
      <c r="G1063" s="5">
        <v>960</v>
      </c>
      <c r="H1063" s="5">
        <v>17.899999999999999</v>
      </c>
      <c r="I1063" s="5">
        <v>7881.6</v>
      </c>
      <c r="J1063" s="3" t="s">
        <v>26</v>
      </c>
      <c r="K1063" s="3" t="s">
        <v>72</v>
      </c>
      <c r="L1063" t="str">
        <f>IFERROR(VLOOKUP(D1063,Products!$A$2:$F$61,3,FALSE()),"")</f>
        <v>Sports</v>
      </c>
      <c r="M1063" t="str">
        <f>IFERROR(VLOOKUP(E1063,Sales_Reps!$A$2:$C$31,3,FALSE()),"")</f>
        <v>East</v>
      </c>
      <c r="N1063">
        <f>IFERROR(VLOOKUP(D1063,Products!$A$2:$F$61,4,FALSE()),"")</f>
        <v>705</v>
      </c>
      <c r="O1063" t="str">
        <f>IFERROR(VLOOKUP(C1063,Customers!$A$2:$F$301,5,FALSE()),"")</f>
        <v>SMB</v>
      </c>
      <c r="P1063">
        <f>IFERROR(VLOOKUP(C1063,Customers!$A$2:$F$301,3,FALSE()),"")</f>
        <v>43</v>
      </c>
      <c r="Q1063">
        <f t="shared" si="48"/>
        <v>0.265625</v>
      </c>
      <c r="R1063">
        <f>IF(AND(COUNTIF($A$2:$A$2047,A1063)&gt;1,COUNTIF($A$2:A1063,A1063)=1),1,0)</f>
        <v>0</v>
      </c>
      <c r="S1063" t="b">
        <f>IFERROR(VLOOKUP(D1063,Products!$A$2:$F$61,6,FALSE()),"")</f>
        <v>1</v>
      </c>
      <c r="T1063" t="str">
        <f>IF(COUNTIF(Customers!$A$2:$A$301,C1063)=0,"Missing","OK")</f>
        <v>OK</v>
      </c>
      <c r="U1063" t="str">
        <f t="shared" si="49"/>
        <v>Hyderabad</v>
      </c>
      <c r="V1063">
        <f t="shared" si="50"/>
        <v>0</v>
      </c>
    </row>
    <row r="1064" spans="1:22" ht="15" customHeight="1" x14ac:dyDescent="0.35">
      <c r="A1064" s="3" t="s">
        <v>1486</v>
      </c>
      <c r="B1064" s="4">
        <v>45617</v>
      </c>
      <c r="C1064" s="3" t="s">
        <v>368</v>
      </c>
      <c r="D1064" s="3" t="s">
        <v>176</v>
      </c>
      <c r="E1064" s="3" t="s">
        <v>37</v>
      </c>
      <c r="F1064" s="5">
        <v>1</v>
      </c>
      <c r="G1064" s="5">
        <v>3640</v>
      </c>
      <c r="H1064" s="5">
        <v>8.8000000000000007</v>
      </c>
      <c r="I1064" s="5">
        <v>3319.68</v>
      </c>
      <c r="J1064" s="3" t="s">
        <v>26</v>
      </c>
      <c r="K1064" s="3" t="s">
        <v>56</v>
      </c>
      <c r="L1064" t="str">
        <f>IFERROR(VLOOKUP(D1064,Products!$A$2:$F$61,3,FALSE()),"")</f>
        <v>Apparel</v>
      </c>
      <c r="M1064" t="str">
        <f>IFERROR(VLOOKUP(E1064,Sales_Reps!$A$2:$C$31,3,FALSE()),"")</f>
        <v>South</v>
      </c>
      <c r="N1064">
        <f>IFERROR(VLOOKUP(D1064,Products!$A$2:$F$61,4,FALSE()),"")</f>
        <v>2611</v>
      </c>
      <c r="O1064" t="str">
        <f>IFERROR(VLOOKUP(C1064,Customers!$A$2:$F$301,5,FALSE()),"")</f>
        <v>Retail</v>
      </c>
      <c r="P1064">
        <f>IFERROR(VLOOKUP(C1064,Customers!$A$2:$F$301,3,FALSE()),"")</f>
        <v>55</v>
      </c>
      <c r="Q1064">
        <f t="shared" si="48"/>
        <v>0.28269230769230769</v>
      </c>
      <c r="R1064">
        <f>IF(AND(COUNTIF($A$2:$A$2047,A1064)&gt;1,COUNTIF($A$2:A1064,A1064)=1),1,0)</f>
        <v>0</v>
      </c>
      <c r="S1064" t="b">
        <f>IFERROR(VLOOKUP(D1064,Products!$A$2:$F$61,6,FALSE()),"")</f>
        <v>1</v>
      </c>
      <c r="T1064" t="str">
        <f>IF(COUNTIF(Customers!$A$2:$A$301,C1064)=0,"Missing","OK")</f>
        <v>OK</v>
      </c>
      <c r="U1064" t="str">
        <f t="shared" si="49"/>
        <v>Bengaluru</v>
      </c>
      <c r="V1064">
        <f t="shared" si="50"/>
        <v>0</v>
      </c>
    </row>
    <row r="1065" spans="1:22" ht="15" customHeight="1" x14ac:dyDescent="0.35">
      <c r="A1065" s="3" t="s">
        <v>1487</v>
      </c>
      <c r="B1065" s="4">
        <v>45378</v>
      </c>
      <c r="C1065" s="3" t="s">
        <v>718</v>
      </c>
      <c r="D1065" s="3" t="s">
        <v>277</v>
      </c>
      <c r="E1065" s="3" t="s">
        <v>177</v>
      </c>
      <c r="F1065" s="5">
        <v>1</v>
      </c>
      <c r="G1065" s="5">
        <v>2210</v>
      </c>
      <c r="H1065" s="5">
        <v>10.7</v>
      </c>
      <c r="I1065" s="5">
        <v>1973.53</v>
      </c>
      <c r="J1065" s="3" t="s">
        <v>26</v>
      </c>
      <c r="K1065" s="3" t="s">
        <v>56</v>
      </c>
      <c r="L1065" t="str">
        <f>IFERROR(VLOOKUP(D1065,Products!$A$2:$F$61,3,FALSE()),"")</f>
        <v>Grocery</v>
      </c>
      <c r="M1065" t="str">
        <f>IFERROR(VLOOKUP(E1065,Sales_Reps!$A$2:$C$31,3,FALSE()),"")</f>
        <v>East</v>
      </c>
      <c r="N1065">
        <f>IFERROR(VLOOKUP(D1065,Products!$A$2:$F$61,4,FALSE()),"")</f>
        <v>1010</v>
      </c>
      <c r="O1065" t="str">
        <f>IFERROR(VLOOKUP(C1065,Customers!$A$2:$F$301,5,FALSE()),"")</f>
        <v>Retail</v>
      </c>
      <c r="P1065">
        <f>IFERROR(VLOOKUP(C1065,Customers!$A$2:$F$301,3,FALSE()),"")</f>
        <v>27</v>
      </c>
      <c r="Q1065">
        <f t="shared" si="48"/>
        <v>0.54298642533936647</v>
      </c>
      <c r="R1065">
        <f>IF(AND(COUNTIF($A$2:$A$2047,A1065)&gt;1,COUNTIF($A$2:A1065,A1065)=1),1,0)</f>
        <v>0</v>
      </c>
      <c r="S1065" t="b">
        <f>IFERROR(VLOOKUP(D1065,Products!$A$2:$F$61,6,FALSE()),"")</f>
        <v>1</v>
      </c>
      <c r="T1065" t="str">
        <f>IF(COUNTIF(Customers!$A$2:$A$301,C1065)=0,"Missing","OK")</f>
        <v>OK</v>
      </c>
      <c r="U1065" t="str">
        <f t="shared" si="49"/>
        <v>Bengaluru</v>
      </c>
      <c r="V1065">
        <f t="shared" si="50"/>
        <v>1973.53</v>
      </c>
    </row>
    <row r="1066" spans="1:22" ht="15" customHeight="1" x14ac:dyDescent="0.35">
      <c r="A1066" s="3" t="s">
        <v>1488</v>
      </c>
      <c r="B1066" s="4">
        <v>45318</v>
      </c>
      <c r="C1066" s="3" t="s">
        <v>40</v>
      </c>
      <c r="D1066" s="3" t="s">
        <v>165</v>
      </c>
      <c r="E1066" s="3" t="s">
        <v>31</v>
      </c>
      <c r="F1066" s="5">
        <v>2</v>
      </c>
      <c r="G1066" s="5">
        <v>3730</v>
      </c>
      <c r="H1066" s="5">
        <v>13.9</v>
      </c>
      <c r="I1066" s="5">
        <v>6423.06</v>
      </c>
      <c r="J1066" s="3" t="s">
        <v>26</v>
      </c>
      <c r="K1066" s="3" t="s">
        <v>38</v>
      </c>
      <c r="L1066" t="str">
        <f>IFERROR(VLOOKUP(D1066,Products!$A$2:$F$61,3,FALSE()),"")</f>
        <v>Home</v>
      </c>
      <c r="M1066" t="str">
        <f>IFERROR(VLOOKUP(E1066,Sales_Reps!$A$2:$C$31,3,FALSE()),"")</f>
        <v>North</v>
      </c>
      <c r="N1066">
        <f>IFERROR(VLOOKUP(D1066,Products!$A$2:$F$61,4,FALSE()),"")</f>
        <v>2135</v>
      </c>
      <c r="O1066" t="str">
        <f>IFERROR(VLOOKUP(C1066,Customers!$A$2:$F$301,5,FALSE()),"")</f>
        <v>Corporate</v>
      </c>
      <c r="P1066">
        <f>IFERROR(VLOOKUP(C1066,Customers!$A$2:$F$301,3,FALSE()),"")</f>
        <v>46</v>
      </c>
      <c r="Q1066">
        <f t="shared" si="48"/>
        <v>0.42761394101876676</v>
      </c>
      <c r="R1066">
        <f>IF(AND(COUNTIF($A$2:$A$2047,A1066)&gt;1,COUNTIF($A$2:A1066,A1066)=1),1,0)</f>
        <v>0</v>
      </c>
      <c r="S1066" t="b">
        <f>IFERROR(VLOOKUP(D1066,Products!$A$2:$F$61,6,FALSE()),"")</f>
        <v>1</v>
      </c>
      <c r="T1066" t="str">
        <f>IF(COUNTIF(Customers!$A$2:$A$301,C1066)=0,"Missing","OK")</f>
        <v>OK</v>
      </c>
      <c r="U1066" t="str">
        <f t="shared" si="49"/>
        <v>Delhi</v>
      </c>
      <c r="V1066">
        <f t="shared" si="50"/>
        <v>0</v>
      </c>
    </row>
    <row r="1067" spans="1:22" ht="15" customHeight="1" x14ac:dyDescent="0.35">
      <c r="A1067" s="3" t="s">
        <v>1489</v>
      </c>
      <c r="B1067" s="4">
        <v>45542</v>
      </c>
      <c r="C1067" s="3" t="s">
        <v>366</v>
      </c>
      <c r="D1067" s="3" t="s">
        <v>299</v>
      </c>
      <c r="E1067" s="3" t="s">
        <v>71</v>
      </c>
      <c r="F1067" s="5">
        <v>7</v>
      </c>
      <c r="G1067" s="5">
        <v>5410</v>
      </c>
      <c r="H1067" s="5">
        <v>23.6</v>
      </c>
      <c r="I1067" s="5">
        <v>28932.68</v>
      </c>
      <c r="J1067" s="3" t="s">
        <v>26</v>
      </c>
      <c r="K1067" s="3" t="s">
        <v>27</v>
      </c>
      <c r="L1067" t="str">
        <f>IFERROR(VLOOKUP(D1067,Products!$A$2:$F$61,3,FALSE()),"")</f>
        <v>Sports</v>
      </c>
      <c r="M1067" t="str">
        <f>IFERROR(VLOOKUP(E1067,Sales_Reps!$A$2:$C$31,3,FALSE()),"")</f>
        <v>South</v>
      </c>
      <c r="N1067">
        <f>IFERROR(VLOOKUP(D1067,Products!$A$2:$F$61,4,FALSE()),"")</f>
        <v>2265</v>
      </c>
      <c r="O1067" t="str">
        <f>IFERROR(VLOOKUP(C1067,Customers!$A$2:$F$301,5,FALSE()),"")</f>
        <v>Corporate</v>
      </c>
      <c r="P1067">
        <f>IFERROR(VLOOKUP(C1067,Customers!$A$2:$F$301,3,FALSE()),"")</f>
        <v>48</v>
      </c>
      <c r="Q1067">
        <f t="shared" si="48"/>
        <v>0.58133086876155271</v>
      </c>
      <c r="R1067">
        <f>IF(AND(COUNTIF($A$2:$A$2047,A1067)&gt;1,COUNTIF($A$2:A1067,A1067)=1),1,0)</f>
        <v>0</v>
      </c>
      <c r="S1067" t="b">
        <f>IFERROR(VLOOKUP(D1067,Products!$A$2:$F$61,6,FALSE()),"")</f>
        <v>1</v>
      </c>
      <c r="T1067" t="str">
        <f>IF(COUNTIF(Customers!$A$2:$A$301,C1067)=0,"Missing","OK")</f>
        <v>OK</v>
      </c>
      <c r="U1067" t="str">
        <f t="shared" si="49"/>
        <v>Pune</v>
      </c>
      <c r="V1067">
        <f t="shared" si="50"/>
        <v>0</v>
      </c>
    </row>
    <row r="1068" spans="1:22" ht="15" customHeight="1" x14ac:dyDescent="0.35">
      <c r="A1068" s="3" t="s">
        <v>1490</v>
      </c>
      <c r="B1068" s="4">
        <v>45618</v>
      </c>
      <c r="C1068" s="3" t="s">
        <v>811</v>
      </c>
      <c r="D1068" s="3" t="s">
        <v>173</v>
      </c>
      <c r="E1068" s="3" t="s">
        <v>242</v>
      </c>
      <c r="F1068" s="5">
        <v>7</v>
      </c>
      <c r="G1068" s="5">
        <v>3780</v>
      </c>
      <c r="H1068" s="5">
        <v>8.5</v>
      </c>
      <c r="I1068" s="5">
        <v>24210.9</v>
      </c>
      <c r="J1068" s="3" t="s">
        <v>79</v>
      </c>
      <c r="K1068" s="3" t="s">
        <v>51</v>
      </c>
      <c r="L1068" t="str">
        <f>IFERROR(VLOOKUP(D1068,Products!$A$2:$F$61,3,FALSE()),"")</f>
        <v>Grocery</v>
      </c>
      <c r="M1068" t="str">
        <f>IFERROR(VLOOKUP(E1068,Sales_Reps!$A$2:$C$31,3,FALSE()),"")</f>
        <v>East</v>
      </c>
      <c r="N1068">
        <f>IFERROR(VLOOKUP(D1068,Products!$A$2:$F$61,4,FALSE()),"")</f>
        <v>2436</v>
      </c>
      <c r="O1068" t="str">
        <f>IFERROR(VLOOKUP(C1068,Customers!$A$2:$F$301,5,FALSE()),"")</f>
        <v>Corporate</v>
      </c>
      <c r="P1068">
        <f>IFERROR(VLOOKUP(C1068,Customers!$A$2:$F$301,3,FALSE()),"")</f>
        <v>62</v>
      </c>
      <c r="Q1068">
        <f t="shared" si="48"/>
        <v>0.35555555555555557</v>
      </c>
      <c r="R1068">
        <f>IF(AND(COUNTIF($A$2:$A$2047,A1068)&gt;1,COUNTIF($A$2:A1068,A1068)=1),1,0)</f>
        <v>0</v>
      </c>
      <c r="S1068" t="b">
        <f>IFERROR(VLOOKUP(D1068,Products!$A$2:$F$61,6,FALSE()),"")</f>
        <v>1</v>
      </c>
      <c r="T1068" t="str">
        <f>IF(COUNTIF(Customers!$A$2:$A$301,C1068)=0,"Missing","OK")</f>
        <v>OK</v>
      </c>
      <c r="U1068" t="str">
        <f t="shared" si="49"/>
        <v>Mumbai</v>
      </c>
      <c r="V1068">
        <f t="shared" si="50"/>
        <v>0</v>
      </c>
    </row>
    <row r="1069" spans="1:22" ht="15" customHeight="1" x14ac:dyDescent="0.35">
      <c r="A1069" s="3" t="s">
        <v>1491</v>
      </c>
      <c r="B1069" s="4">
        <v>45555</v>
      </c>
      <c r="C1069" s="3" t="s">
        <v>197</v>
      </c>
      <c r="D1069" s="3" t="s">
        <v>209</v>
      </c>
      <c r="E1069" s="3" t="s">
        <v>285</v>
      </c>
      <c r="F1069" s="5">
        <v>9</v>
      </c>
      <c r="G1069" s="5">
        <v>4610</v>
      </c>
      <c r="H1069" s="5">
        <v>26.6</v>
      </c>
      <c r="I1069" s="5">
        <v>30453.66</v>
      </c>
      <c r="J1069" s="3" t="s">
        <v>26</v>
      </c>
      <c r="K1069" s="3" t="s">
        <v>38</v>
      </c>
      <c r="L1069" t="str">
        <f>IFERROR(VLOOKUP(D1069,Products!$A$2:$F$61,3,FALSE()),"")</f>
        <v>Home</v>
      </c>
      <c r="M1069" t="str">
        <f>IFERROR(VLOOKUP(E1069,Sales_Reps!$A$2:$C$31,3,FALSE()),"")</f>
        <v>South</v>
      </c>
      <c r="N1069">
        <f>IFERROR(VLOOKUP(D1069,Products!$A$2:$F$61,4,FALSE()),"")</f>
        <v>1850</v>
      </c>
      <c r="O1069" t="str">
        <f>IFERROR(VLOOKUP(C1069,Customers!$A$2:$F$301,5,FALSE()),"")</f>
        <v>SMB</v>
      </c>
      <c r="P1069">
        <f>IFERROR(VLOOKUP(C1069,Customers!$A$2:$F$301,3,FALSE()),"")</f>
        <v>55</v>
      </c>
      <c r="Q1069">
        <f t="shared" si="48"/>
        <v>0.59869848156182215</v>
      </c>
      <c r="R1069">
        <f>IF(AND(COUNTIF($A$2:$A$2047,A1069)&gt;1,COUNTIF($A$2:A1069,A1069)=1),1,0)</f>
        <v>0</v>
      </c>
      <c r="S1069" t="b">
        <f>IFERROR(VLOOKUP(D1069,Products!$A$2:$F$61,6,FALSE()),"")</f>
        <v>1</v>
      </c>
      <c r="T1069" t="str">
        <f>IF(COUNTIF(Customers!$A$2:$A$301,C1069)=0,"Missing","OK")</f>
        <v>OK</v>
      </c>
      <c r="U1069" t="str">
        <f t="shared" si="49"/>
        <v>Delhi</v>
      </c>
      <c r="V1069">
        <f t="shared" si="50"/>
        <v>0</v>
      </c>
    </row>
    <row r="1070" spans="1:22" ht="15" customHeight="1" x14ac:dyDescent="0.35">
      <c r="A1070" s="3" t="s">
        <v>1492</v>
      </c>
      <c r="B1070" s="4">
        <v>45373</v>
      </c>
      <c r="C1070" s="3" t="s">
        <v>541</v>
      </c>
      <c r="D1070" s="3" t="s">
        <v>74</v>
      </c>
      <c r="E1070" s="3" t="s">
        <v>50</v>
      </c>
      <c r="F1070" s="5">
        <v>5</v>
      </c>
      <c r="G1070" s="5">
        <v>2640</v>
      </c>
      <c r="H1070" s="5">
        <v>1.5</v>
      </c>
      <c r="I1070" s="5">
        <v>13002</v>
      </c>
      <c r="J1070" s="3" t="s">
        <v>26</v>
      </c>
      <c r="K1070" s="3" t="s">
        <v>33</v>
      </c>
      <c r="L1070" t="str">
        <f>IFERROR(VLOOKUP(D1070,Products!$A$2:$F$61,3,FALSE()),"")</f>
        <v>Electronics</v>
      </c>
      <c r="M1070" t="str">
        <f>IFERROR(VLOOKUP(E1070,Sales_Reps!$A$2:$C$31,3,FALSE()),"")</f>
        <v>West</v>
      </c>
      <c r="N1070">
        <f>IFERROR(VLOOKUP(D1070,Products!$A$2:$F$61,4,FALSE()),"")</f>
        <v>1149</v>
      </c>
      <c r="O1070" t="str">
        <f>IFERROR(VLOOKUP(C1070,Customers!$A$2:$F$301,5,FALSE()),"")</f>
        <v>Retail</v>
      </c>
      <c r="P1070">
        <f>IFERROR(VLOOKUP(C1070,Customers!$A$2:$F$301,3,FALSE()),"")</f>
        <v>61</v>
      </c>
      <c r="Q1070">
        <f t="shared" si="48"/>
        <v>0.56477272727272732</v>
      </c>
      <c r="R1070">
        <f>IF(AND(COUNTIF($A$2:$A$2047,A1070)&gt;1,COUNTIF($A$2:A1070,A1070)=1),1,0)</f>
        <v>0</v>
      </c>
      <c r="S1070" t="b">
        <f>IFERROR(VLOOKUP(D1070,Products!$A$2:$F$61,6,FALSE()),"")</f>
        <v>1</v>
      </c>
      <c r="T1070" t="str">
        <f>IF(COUNTIF(Customers!$A$2:$A$301,C1070)=0,"Missing","OK")</f>
        <v>OK</v>
      </c>
      <c r="U1070" t="str">
        <f t="shared" si="49"/>
        <v>Chennai</v>
      </c>
      <c r="V1070">
        <f t="shared" si="50"/>
        <v>0</v>
      </c>
    </row>
    <row r="1071" spans="1:22" ht="15" customHeight="1" x14ac:dyDescent="0.35">
      <c r="A1071" s="3" t="s">
        <v>1493</v>
      </c>
      <c r="B1071" s="4">
        <v>45515</v>
      </c>
      <c r="C1071" s="3" t="s">
        <v>162</v>
      </c>
      <c r="D1071" s="3" t="s">
        <v>24</v>
      </c>
      <c r="E1071" s="3" t="s">
        <v>71</v>
      </c>
      <c r="F1071" s="5">
        <v>3</v>
      </c>
      <c r="G1071" s="5">
        <v>3620</v>
      </c>
      <c r="H1071" s="5">
        <v>3.1</v>
      </c>
      <c r="I1071" s="5">
        <v>10523.34</v>
      </c>
      <c r="J1071" s="3" t="s">
        <v>26</v>
      </c>
      <c r="K1071" s="3" t="s">
        <v>38</v>
      </c>
      <c r="L1071" t="str">
        <f>IFERROR(VLOOKUP(D1071,Products!$A$2:$F$61,3,FALSE()),"")</f>
        <v>Apparel</v>
      </c>
      <c r="M1071" t="str">
        <f>IFERROR(VLOOKUP(E1071,Sales_Reps!$A$2:$C$31,3,FALSE()),"")</f>
        <v>South</v>
      </c>
      <c r="N1071">
        <f>IFERROR(VLOOKUP(D1071,Products!$A$2:$F$61,4,FALSE()),"")</f>
        <v>2509</v>
      </c>
      <c r="O1071" t="str">
        <f>IFERROR(VLOOKUP(C1071,Customers!$A$2:$F$301,5,FALSE()),"")</f>
        <v>Retail</v>
      </c>
      <c r="P1071">
        <f>IFERROR(VLOOKUP(C1071,Customers!$A$2:$F$301,3,FALSE()),"")</f>
        <v>53</v>
      </c>
      <c r="Q1071">
        <f t="shared" si="48"/>
        <v>0.3069060773480663</v>
      </c>
      <c r="R1071">
        <f>IF(AND(COUNTIF($A$2:$A$2047,A1071)&gt;1,COUNTIF($A$2:A1071,A1071)=1),1,0)</f>
        <v>0</v>
      </c>
      <c r="S1071" t="b">
        <f>IFERROR(VLOOKUP(D1071,Products!$A$2:$F$61,6,FALSE()),"")</f>
        <v>1</v>
      </c>
      <c r="T1071" t="str">
        <f>IF(COUNTIF(Customers!$A$2:$A$301,C1071)=0,"Missing","OK")</f>
        <v>OK</v>
      </c>
      <c r="U1071" t="str">
        <f t="shared" si="49"/>
        <v>Delhi</v>
      </c>
      <c r="V1071">
        <f t="shared" si="50"/>
        <v>0</v>
      </c>
    </row>
    <row r="1072" spans="1:22" ht="15" customHeight="1" x14ac:dyDescent="0.35">
      <c r="A1072" s="3" t="s">
        <v>1494</v>
      </c>
      <c r="B1072" s="4">
        <v>45530</v>
      </c>
      <c r="C1072" s="3" t="s">
        <v>736</v>
      </c>
      <c r="D1072" s="3" t="s">
        <v>36</v>
      </c>
      <c r="E1072" s="3" t="s">
        <v>242</v>
      </c>
      <c r="F1072" s="5">
        <v>5</v>
      </c>
      <c r="G1072" s="5">
        <v>470</v>
      </c>
      <c r="H1072" s="5">
        <v>10.6</v>
      </c>
      <c r="I1072" s="5">
        <v>2100.9</v>
      </c>
      <c r="J1072" s="3" t="s">
        <v>79</v>
      </c>
      <c r="K1072" s="3" t="s">
        <v>38</v>
      </c>
      <c r="L1072" t="str">
        <f>IFERROR(VLOOKUP(D1072,Products!$A$2:$F$61,3,FALSE()),"")</f>
        <v>Sports</v>
      </c>
      <c r="M1072" t="str">
        <f>IFERROR(VLOOKUP(E1072,Sales_Reps!$A$2:$C$31,3,FALSE()),"")</f>
        <v>East</v>
      </c>
      <c r="N1072">
        <f>IFERROR(VLOOKUP(D1072,Products!$A$2:$F$61,4,FALSE()),"")</f>
        <v>302</v>
      </c>
      <c r="O1072" t="str">
        <f>IFERROR(VLOOKUP(C1072,Customers!$A$2:$F$301,5,FALSE()),"")</f>
        <v>Retail</v>
      </c>
      <c r="P1072">
        <f>IFERROR(VLOOKUP(C1072,Customers!$A$2:$F$301,3,FALSE()),"")</f>
        <v>63</v>
      </c>
      <c r="Q1072">
        <f t="shared" si="48"/>
        <v>0.35744680851063831</v>
      </c>
      <c r="R1072">
        <f>IF(AND(COUNTIF($A$2:$A$2047,A1072)&gt;1,COUNTIF($A$2:A1072,A1072)=1),1,0)</f>
        <v>0</v>
      </c>
      <c r="S1072" t="b">
        <f>IFERROR(VLOOKUP(D1072,Products!$A$2:$F$61,6,FALSE()),"")</f>
        <v>0</v>
      </c>
      <c r="T1072" t="str">
        <f>IF(COUNTIF(Customers!$A$2:$A$301,C1072)=0,"Missing","OK")</f>
        <v>OK</v>
      </c>
      <c r="U1072" t="str">
        <f t="shared" si="49"/>
        <v>Delhi</v>
      </c>
      <c r="V1072">
        <f t="shared" si="50"/>
        <v>0</v>
      </c>
    </row>
    <row r="1073" spans="1:22" ht="15" customHeight="1" x14ac:dyDescent="0.35">
      <c r="A1073" s="3" t="s">
        <v>1495</v>
      </c>
      <c r="B1073" s="4">
        <v>45463</v>
      </c>
      <c r="C1073" s="3" t="s">
        <v>200</v>
      </c>
      <c r="D1073" s="3" t="s">
        <v>303</v>
      </c>
      <c r="E1073" s="3" t="s">
        <v>143</v>
      </c>
      <c r="F1073" s="5">
        <v>7</v>
      </c>
      <c r="G1073" s="5">
        <v>5330</v>
      </c>
      <c r="H1073" s="5">
        <v>25</v>
      </c>
      <c r="I1073" s="5">
        <v>27982.5</v>
      </c>
      <c r="J1073" s="3" t="s">
        <v>79</v>
      </c>
      <c r="K1073" s="3" t="s">
        <v>38</v>
      </c>
      <c r="L1073" t="str">
        <f>IFERROR(VLOOKUP(D1073,Products!$A$2:$F$61,3,FALSE()),"")</f>
        <v>Electronics</v>
      </c>
      <c r="M1073" t="str">
        <f>IFERROR(VLOOKUP(E1073,Sales_Reps!$A$2:$C$31,3,FALSE()),"")</f>
        <v>South</v>
      </c>
      <c r="N1073">
        <f>IFERROR(VLOOKUP(D1073,Products!$A$2:$F$61,4,FALSE()),"")</f>
        <v>2405</v>
      </c>
      <c r="O1073" t="str">
        <f>IFERROR(VLOOKUP(C1073,Customers!$A$2:$F$301,5,FALSE()),"")</f>
        <v>Retail</v>
      </c>
      <c r="P1073">
        <f>IFERROR(VLOOKUP(C1073,Customers!$A$2:$F$301,3,FALSE()),"")</f>
        <v>54</v>
      </c>
      <c r="Q1073">
        <f t="shared" si="48"/>
        <v>0.54878048780487809</v>
      </c>
      <c r="R1073">
        <f>IF(AND(COUNTIF($A$2:$A$2047,A1073)&gt;1,COUNTIF($A$2:A1073,A1073)=1),1,0)</f>
        <v>0</v>
      </c>
      <c r="S1073" t="b">
        <f>IFERROR(VLOOKUP(D1073,Products!$A$2:$F$61,6,FALSE()),"")</f>
        <v>1</v>
      </c>
      <c r="T1073" t="str">
        <f>IF(COUNTIF(Customers!$A$2:$A$301,C1073)=0,"Missing","OK")</f>
        <v>OK</v>
      </c>
      <c r="U1073" t="str">
        <f t="shared" si="49"/>
        <v>Delhi</v>
      </c>
      <c r="V1073">
        <f t="shared" si="50"/>
        <v>0</v>
      </c>
    </row>
    <row r="1074" spans="1:22" ht="15" customHeight="1" x14ac:dyDescent="0.35">
      <c r="A1074" s="3" t="s">
        <v>1496</v>
      </c>
      <c r="B1074" s="4">
        <v>45292</v>
      </c>
      <c r="C1074" s="3" t="s">
        <v>741</v>
      </c>
      <c r="D1074" s="3" t="s">
        <v>180</v>
      </c>
      <c r="E1074" s="3" t="s">
        <v>37</v>
      </c>
      <c r="F1074" s="5">
        <v>1</v>
      </c>
      <c r="G1074" s="5">
        <v>6080</v>
      </c>
      <c r="H1074" s="5">
        <v>27.8</v>
      </c>
      <c r="I1074" s="5">
        <v>4389.76</v>
      </c>
      <c r="J1074" s="3" t="s">
        <v>26</v>
      </c>
      <c r="K1074" s="3" t="s">
        <v>33</v>
      </c>
      <c r="L1074" t="str">
        <f>IFERROR(VLOOKUP(D1074,Products!$A$2:$F$61,3,FALSE()),"")</f>
        <v>Beauty</v>
      </c>
      <c r="M1074" t="str">
        <f>IFERROR(VLOOKUP(E1074,Sales_Reps!$A$2:$C$31,3,FALSE()),"")</f>
        <v>South</v>
      </c>
      <c r="N1074">
        <f>IFERROR(VLOOKUP(D1074,Products!$A$2:$F$61,4,FALSE()),"")</f>
        <v>2617</v>
      </c>
      <c r="O1074" t="str">
        <f>IFERROR(VLOOKUP(C1074,Customers!$A$2:$F$301,5,FALSE()),"")</f>
        <v>SMB</v>
      </c>
      <c r="P1074">
        <f>IFERROR(VLOOKUP(C1074,Customers!$A$2:$F$301,3,FALSE()),"")</f>
        <v>39</v>
      </c>
      <c r="Q1074">
        <f t="shared" si="48"/>
        <v>0.56957236842105263</v>
      </c>
      <c r="R1074">
        <f>IF(AND(COUNTIF($A$2:$A$2047,A1074)&gt;1,COUNTIF($A$2:A1074,A1074)=1),1,0)</f>
        <v>0</v>
      </c>
      <c r="S1074" t="b">
        <f>IFERROR(VLOOKUP(D1074,Products!$A$2:$F$61,6,FALSE()),"")</f>
        <v>1</v>
      </c>
      <c r="T1074" t="str">
        <f>IF(COUNTIF(Customers!$A$2:$A$301,C1074)=0,"Missing","OK")</f>
        <v>OK</v>
      </c>
      <c r="U1074" t="str">
        <f t="shared" si="49"/>
        <v>Chennai</v>
      </c>
      <c r="V1074">
        <f t="shared" si="50"/>
        <v>0</v>
      </c>
    </row>
    <row r="1075" spans="1:22" ht="15" customHeight="1" x14ac:dyDescent="0.35">
      <c r="A1075" s="3" t="s">
        <v>1497</v>
      </c>
      <c r="B1075" s="4">
        <v>45347</v>
      </c>
      <c r="C1075" s="3" t="s">
        <v>145</v>
      </c>
      <c r="D1075" s="3" t="s">
        <v>118</v>
      </c>
      <c r="E1075" s="3" t="s">
        <v>55</v>
      </c>
      <c r="F1075" s="5">
        <v>6</v>
      </c>
      <c r="G1075" s="5">
        <v>3350</v>
      </c>
      <c r="H1075" s="5">
        <v>12</v>
      </c>
      <c r="I1075" s="5">
        <v>17688</v>
      </c>
      <c r="J1075" s="3" t="s">
        <v>26</v>
      </c>
      <c r="K1075" s="3" t="s">
        <v>72</v>
      </c>
      <c r="L1075" t="str">
        <f>IFERROR(VLOOKUP(D1075,Products!$A$2:$F$61,3,FALSE()),"")</f>
        <v>Beauty</v>
      </c>
      <c r="M1075" t="str">
        <f>IFERROR(VLOOKUP(E1075,Sales_Reps!$A$2:$C$31,3,FALSE()),"")</f>
        <v>West</v>
      </c>
      <c r="N1075">
        <f>IFERROR(VLOOKUP(D1075,Products!$A$2:$F$61,4,FALSE()),"")</f>
        <v>1728</v>
      </c>
      <c r="O1075" t="str">
        <f>IFERROR(VLOOKUP(C1075,Customers!$A$2:$F$301,5,FALSE()),"")</f>
        <v>SMB</v>
      </c>
      <c r="P1075">
        <f>IFERROR(VLOOKUP(C1075,Customers!$A$2:$F$301,3,FALSE()),"")</f>
        <v>40</v>
      </c>
      <c r="Q1075">
        <f t="shared" si="48"/>
        <v>0.48417910447761192</v>
      </c>
      <c r="R1075">
        <f>IF(AND(COUNTIF($A$2:$A$2047,A1075)&gt;1,COUNTIF($A$2:A1075,A1075)=1),1,0)</f>
        <v>0</v>
      </c>
      <c r="S1075" t="b">
        <f>IFERROR(VLOOKUP(D1075,Products!$A$2:$F$61,6,FALSE()),"")</f>
        <v>1</v>
      </c>
      <c r="T1075" t="str">
        <f>IF(COUNTIF(Customers!$A$2:$A$301,C1075)=0,"Missing","OK")</f>
        <v>OK</v>
      </c>
      <c r="U1075" t="str">
        <f t="shared" si="49"/>
        <v>Hyderabad</v>
      </c>
      <c r="V1075">
        <f t="shared" si="50"/>
        <v>0</v>
      </c>
    </row>
    <row r="1076" spans="1:22" ht="15" customHeight="1" x14ac:dyDescent="0.35">
      <c r="A1076" s="3" t="s">
        <v>1498</v>
      </c>
      <c r="B1076" s="4">
        <v>45592</v>
      </c>
      <c r="C1076" s="3" t="s">
        <v>1499</v>
      </c>
      <c r="D1076" s="3" t="s">
        <v>454</v>
      </c>
      <c r="E1076" s="3" t="s">
        <v>282</v>
      </c>
      <c r="F1076" s="5">
        <v>6</v>
      </c>
      <c r="G1076" s="5">
        <v>6940</v>
      </c>
      <c r="H1076" s="5">
        <v>20</v>
      </c>
      <c r="I1076" s="5">
        <v>33312</v>
      </c>
      <c r="J1076" s="3" t="s">
        <v>26</v>
      </c>
      <c r="K1076" s="3" t="s">
        <v>33</v>
      </c>
      <c r="L1076" t="str">
        <f>IFERROR(VLOOKUP(D1076,Products!$A$2:$F$61,3,FALSE()),"")</f>
        <v>Sports</v>
      </c>
      <c r="M1076" t="str">
        <f>IFERROR(VLOOKUP(E1076,Sales_Reps!$A$2:$C$31,3,FALSE()),"")</f>
        <v>West</v>
      </c>
      <c r="N1076">
        <f>IFERROR(VLOOKUP(D1076,Products!$A$2:$F$61,4,FALSE()),"")</f>
        <v>2827</v>
      </c>
      <c r="O1076" t="str">
        <f>IFERROR(VLOOKUP(C1076,Customers!$A$2:$F$301,5,FALSE()),"")</f>
        <v/>
      </c>
      <c r="P1076" t="str">
        <f>IFERROR(VLOOKUP(C1076,Customers!$A$2:$F$301,3,FALSE()),"")</f>
        <v/>
      </c>
      <c r="Q1076">
        <f t="shared" si="48"/>
        <v>0.5926512968299712</v>
      </c>
      <c r="R1076">
        <f>IF(AND(COUNTIF($A$2:$A$2047,A1076)&gt;1,COUNTIF($A$2:A1076,A1076)=1),1,0)</f>
        <v>0</v>
      </c>
      <c r="S1076" t="b">
        <f>IFERROR(VLOOKUP(D1076,Products!$A$2:$F$61,6,FALSE()),"")</f>
        <v>1</v>
      </c>
      <c r="T1076" t="str">
        <f>IF(COUNTIF(Customers!$A$2:$A$301,C1076)=0,"Missing","OK")</f>
        <v>Missing</v>
      </c>
      <c r="U1076" t="str">
        <f t="shared" si="49"/>
        <v>Chennai</v>
      </c>
      <c r="V1076">
        <f t="shared" si="50"/>
        <v>0</v>
      </c>
    </row>
    <row r="1077" spans="1:22" ht="15" customHeight="1" x14ac:dyDescent="0.35">
      <c r="A1077" s="3" t="s">
        <v>1500</v>
      </c>
      <c r="B1077" s="4">
        <v>45636</v>
      </c>
      <c r="C1077" s="3" t="s">
        <v>244</v>
      </c>
      <c r="D1077" s="3" t="s">
        <v>49</v>
      </c>
      <c r="E1077" s="3" t="s">
        <v>25</v>
      </c>
      <c r="F1077" s="5">
        <v>1</v>
      </c>
      <c r="G1077" s="5">
        <v>370</v>
      </c>
      <c r="H1077" s="5">
        <v>10</v>
      </c>
      <c r="I1077" s="5">
        <v>333</v>
      </c>
      <c r="J1077" s="3" t="s">
        <v>26</v>
      </c>
      <c r="K1077" s="3" t="s">
        <v>72</v>
      </c>
      <c r="L1077" t="str">
        <f>IFERROR(VLOOKUP(D1077,Products!$A$2:$F$61,3,FALSE()),"")</f>
        <v>Home</v>
      </c>
      <c r="M1077" t="str">
        <f>IFERROR(VLOOKUP(E1077,Sales_Reps!$A$2:$C$31,3,FALSE()),"")</f>
        <v>North</v>
      </c>
      <c r="N1077">
        <f>IFERROR(VLOOKUP(D1077,Products!$A$2:$F$61,4,FALSE()),"")</f>
        <v>288</v>
      </c>
      <c r="O1077" t="str">
        <f>IFERROR(VLOOKUP(C1077,Customers!$A$2:$F$301,5,FALSE()),"")</f>
        <v>Corporate</v>
      </c>
      <c r="P1077">
        <f>IFERROR(VLOOKUP(C1077,Customers!$A$2:$F$301,3,FALSE()),"")</f>
        <v>46</v>
      </c>
      <c r="Q1077">
        <f t="shared" si="48"/>
        <v>0.22162162162162163</v>
      </c>
      <c r="R1077">
        <f>IF(AND(COUNTIF($A$2:$A$2047,A1077)&gt;1,COUNTIF($A$2:A1077,A1077)=1),1,0)</f>
        <v>0</v>
      </c>
      <c r="S1077" t="b">
        <f>IFERROR(VLOOKUP(D1077,Products!$A$2:$F$61,6,FALSE()),"")</f>
        <v>1</v>
      </c>
      <c r="T1077" t="str">
        <f>IF(COUNTIF(Customers!$A$2:$A$301,C1077)=0,"Missing","OK")</f>
        <v>OK</v>
      </c>
      <c r="U1077" t="str">
        <f t="shared" si="49"/>
        <v>Hyderabad</v>
      </c>
      <c r="V1077">
        <f t="shared" si="50"/>
        <v>0</v>
      </c>
    </row>
    <row r="1078" spans="1:22" ht="15" customHeight="1" x14ac:dyDescent="0.35">
      <c r="A1078" s="3" t="s">
        <v>1501</v>
      </c>
      <c r="B1078" s="4">
        <v>45432</v>
      </c>
      <c r="C1078" s="3" t="s">
        <v>955</v>
      </c>
      <c r="D1078" s="3" t="s">
        <v>63</v>
      </c>
      <c r="E1078" s="3" t="s">
        <v>131</v>
      </c>
      <c r="F1078" s="5">
        <v>2</v>
      </c>
      <c r="G1078" s="5">
        <v>5490</v>
      </c>
      <c r="H1078" s="5">
        <v>27.9</v>
      </c>
      <c r="I1078" s="5">
        <v>7916.58</v>
      </c>
      <c r="J1078" s="3" t="s">
        <v>26</v>
      </c>
      <c r="K1078" s="3" t="s">
        <v>56</v>
      </c>
      <c r="L1078" t="str">
        <f>IFERROR(VLOOKUP(D1078,Products!$A$2:$F$61,3,FALSE()),"")</f>
        <v>Home</v>
      </c>
      <c r="M1078" t="str">
        <f>IFERROR(VLOOKUP(E1078,Sales_Reps!$A$2:$C$31,3,FALSE()),"")</f>
        <v>East</v>
      </c>
      <c r="N1078">
        <f>IFERROR(VLOOKUP(D1078,Products!$A$2:$F$61,4,FALSE()),"")</f>
        <v>2549</v>
      </c>
      <c r="O1078" t="str">
        <f>IFERROR(VLOOKUP(C1078,Customers!$A$2:$F$301,5,FALSE()),"")</f>
        <v>SMB</v>
      </c>
      <c r="P1078">
        <f>IFERROR(VLOOKUP(C1078,Customers!$A$2:$F$301,3,FALSE()),"")</f>
        <v>49</v>
      </c>
      <c r="Q1078">
        <f t="shared" si="48"/>
        <v>0.53570127504553733</v>
      </c>
      <c r="R1078">
        <f>IF(AND(COUNTIF($A$2:$A$2047,A1078)&gt;1,COUNTIF($A$2:A1078,A1078)=1),1,0)</f>
        <v>0</v>
      </c>
      <c r="S1078" t="b">
        <f>IFERROR(VLOOKUP(D1078,Products!$A$2:$F$61,6,FALSE()),"")</f>
        <v>1</v>
      </c>
      <c r="T1078" t="str">
        <f>IF(COUNTIF(Customers!$A$2:$A$301,C1078)=0,"Missing","OK")</f>
        <v>OK</v>
      </c>
      <c r="U1078" t="str">
        <f t="shared" si="49"/>
        <v>Bengaluru</v>
      </c>
      <c r="V1078">
        <f t="shared" si="50"/>
        <v>0</v>
      </c>
    </row>
    <row r="1079" spans="1:22" ht="15" customHeight="1" x14ac:dyDescent="0.35">
      <c r="A1079" s="3" t="s">
        <v>1502</v>
      </c>
      <c r="B1079" s="4">
        <v>45479</v>
      </c>
      <c r="C1079" s="3" t="s">
        <v>975</v>
      </c>
      <c r="D1079" s="3" t="s">
        <v>41</v>
      </c>
      <c r="E1079" s="3" t="s">
        <v>143</v>
      </c>
      <c r="F1079" s="5">
        <v>5</v>
      </c>
      <c r="G1079" s="5">
        <v>3660</v>
      </c>
      <c r="H1079" s="5">
        <v>4.5999999999999996</v>
      </c>
      <c r="I1079" s="5">
        <v>17458.2</v>
      </c>
      <c r="J1079" s="3" t="s">
        <v>26</v>
      </c>
      <c r="K1079" s="3" t="s">
        <v>51</v>
      </c>
      <c r="L1079" t="str">
        <f>IFERROR(VLOOKUP(D1079,Products!$A$2:$F$61,3,FALSE()),"")</f>
        <v>Grocery</v>
      </c>
      <c r="M1079" t="str">
        <f>IFERROR(VLOOKUP(E1079,Sales_Reps!$A$2:$C$31,3,FALSE()),"")</f>
        <v>South</v>
      </c>
      <c r="N1079">
        <f>IFERROR(VLOOKUP(D1079,Products!$A$2:$F$61,4,FALSE()),"")</f>
        <v>2214</v>
      </c>
      <c r="O1079" t="str">
        <f>IFERROR(VLOOKUP(C1079,Customers!$A$2:$F$301,5,FALSE()),"")</f>
        <v>Retail</v>
      </c>
      <c r="P1079">
        <f>IFERROR(VLOOKUP(C1079,Customers!$A$2:$F$301,3,FALSE()),"")</f>
        <v>33</v>
      </c>
      <c r="Q1079">
        <f t="shared" si="48"/>
        <v>0.39508196721311473</v>
      </c>
      <c r="R1079">
        <f>IF(AND(COUNTIF($A$2:$A$2047,A1079)&gt;1,COUNTIF($A$2:A1079,A1079)=1),1,0)</f>
        <v>0</v>
      </c>
      <c r="S1079" t="b">
        <f>IFERROR(VLOOKUP(D1079,Products!$A$2:$F$61,6,FALSE()),"")</f>
        <v>0</v>
      </c>
      <c r="T1079" t="str">
        <f>IF(COUNTIF(Customers!$A$2:$A$301,C1079)=0,"Missing","OK")</f>
        <v>OK</v>
      </c>
      <c r="U1079" t="str">
        <f t="shared" si="49"/>
        <v>Mumbai</v>
      </c>
      <c r="V1079">
        <f t="shared" si="50"/>
        <v>0</v>
      </c>
    </row>
    <row r="1080" spans="1:22" ht="15" customHeight="1" x14ac:dyDescent="0.35">
      <c r="A1080" s="3" t="s">
        <v>1503</v>
      </c>
      <c r="B1080" s="4">
        <v>45563</v>
      </c>
      <c r="C1080" s="3" t="s">
        <v>111</v>
      </c>
      <c r="D1080" s="3" t="s">
        <v>221</v>
      </c>
      <c r="E1080" s="3" t="s">
        <v>168</v>
      </c>
      <c r="F1080" s="5">
        <v>6</v>
      </c>
      <c r="G1080" s="5">
        <v>300</v>
      </c>
      <c r="H1080" s="5">
        <v>9</v>
      </c>
      <c r="I1080" s="5">
        <v>1638</v>
      </c>
      <c r="J1080" s="3" t="s">
        <v>26</v>
      </c>
      <c r="K1080" s="3" t="s">
        <v>27</v>
      </c>
      <c r="L1080" t="str">
        <f>IFERROR(VLOOKUP(D1080,Products!$A$2:$F$61,3,FALSE()),"")</f>
        <v>Electronics</v>
      </c>
      <c r="M1080" t="str">
        <f>IFERROR(VLOOKUP(E1080,Sales_Reps!$A$2:$C$31,3,FALSE()),"")</f>
        <v>West</v>
      </c>
      <c r="N1080">
        <f>IFERROR(VLOOKUP(D1080,Products!$A$2:$F$61,4,FALSE()),"")</f>
        <v>128</v>
      </c>
      <c r="O1080" t="str">
        <f>IFERROR(VLOOKUP(C1080,Customers!$A$2:$F$301,5,FALSE()),"")</f>
        <v>Retail</v>
      </c>
      <c r="P1080">
        <f>IFERROR(VLOOKUP(C1080,Customers!$A$2:$F$301,3,FALSE()),"")</f>
        <v>50</v>
      </c>
      <c r="Q1080">
        <f t="shared" si="48"/>
        <v>0.57333333333333336</v>
      </c>
      <c r="R1080">
        <f>IF(AND(COUNTIF($A$2:$A$2047,A1080)&gt;1,COUNTIF($A$2:A1080,A1080)=1),1,0)</f>
        <v>0</v>
      </c>
      <c r="S1080" t="b">
        <f>IFERROR(VLOOKUP(D1080,Products!$A$2:$F$61,6,FALSE()),"")</f>
        <v>1</v>
      </c>
      <c r="T1080" t="str">
        <f>IF(COUNTIF(Customers!$A$2:$A$301,C1080)=0,"Missing","OK")</f>
        <v>OK</v>
      </c>
      <c r="U1080" t="str">
        <f t="shared" si="49"/>
        <v>Pune</v>
      </c>
      <c r="V1080">
        <f t="shared" si="50"/>
        <v>0</v>
      </c>
    </row>
    <row r="1081" spans="1:22" ht="15" customHeight="1" x14ac:dyDescent="0.35">
      <c r="A1081" s="3" t="s">
        <v>1504</v>
      </c>
      <c r="B1081" s="4">
        <v>45523</v>
      </c>
      <c r="C1081" s="3" t="s">
        <v>89</v>
      </c>
      <c r="D1081" s="3" t="s">
        <v>221</v>
      </c>
      <c r="E1081" s="3" t="s">
        <v>264</v>
      </c>
      <c r="F1081" s="5">
        <v>3</v>
      </c>
      <c r="G1081" s="5">
        <v>300</v>
      </c>
      <c r="H1081" s="5">
        <v>19.2</v>
      </c>
      <c r="I1081" s="5">
        <v>727.2</v>
      </c>
      <c r="J1081" s="3" t="s">
        <v>26</v>
      </c>
      <c r="K1081" s="3" t="s">
        <v>27</v>
      </c>
      <c r="L1081" t="str">
        <f>IFERROR(VLOOKUP(D1081,Products!$A$2:$F$61,3,FALSE()),"")</f>
        <v>Electronics</v>
      </c>
      <c r="M1081" t="str">
        <f>IFERROR(VLOOKUP(E1081,Sales_Reps!$A$2:$C$31,3,FALSE()),"")</f>
        <v>South</v>
      </c>
      <c r="N1081">
        <f>IFERROR(VLOOKUP(D1081,Products!$A$2:$F$61,4,FALSE()),"")</f>
        <v>128</v>
      </c>
      <c r="O1081" t="str">
        <f>IFERROR(VLOOKUP(C1081,Customers!$A$2:$F$301,5,FALSE()),"")</f>
        <v>Retail</v>
      </c>
      <c r="P1081">
        <f>IFERROR(VLOOKUP(C1081,Customers!$A$2:$F$301,3,FALSE()),"")</f>
        <v>63</v>
      </c>
      <c r="Q1081">
        <f t="shared" si="48"/>
        <v>0.57333333333333336</v>
      </c>
      <c r="R1081">
        <f>IF(AND(COUNTIF($A$2:$A$2047,A1081)&gt;1,COUNTIF($A$2:A1081,A1081)=1),1,0)</f>
        <v>0</v>
      </c>
      <c r="S1081" t="b">
        <f>IFERROR(VLOOKUP(D1081,Products!$A$2:$F$61,6,FALSE()),"")</f>
        <v>1</v>
      </c>
      <c r="T1081" t="str">
        <f>IF(COUNTIF(Customers!$A$2:$A$301,C1081)=0,"Missing","OK")</f>
        <v>OK</v>
      </c>
      <c r="U1081" t="str">
        <f t="shared" si="49"/>
        <v>Pune</v>
      </c>
      <c r="V1081">
        <f t="shared" si="50"/>
        <v>0</v>
      </c>
    </row>
    <row r="1082" spans="1:22" ht="15" customHeight="1" x14ac:dyDescent="0.35">
      <c r="A1082" s="3" t="s">
        <v>1505</v>
      </c>
      <c r="B1082" s="4">
        <v>45537</v>
      </c>
      <c r="C1082" s="3" t="s">
        <v>29</v>
      </c>
      <c r="D1082" s="3" t="s">
        <v>319</v>
      </c>
      <c r="E1082" s="3" t="s">
        <v>37</v>
      </c>
      <c r="F1082" s="5">
        <v>6</v>
      </c>
      <c r="G1082" s="5">
        <v>960</v>
      </c>
      <c r="H1082" s="5">
        <v>29.3</v>
      </c>
      <c r="I1082" s="5">
        <v>4072.32</v>
      </c>
      <c r="J1082" s="3" t="s">
        <v>79</v>
      </c>
      <c r="K1082" s="3" t="s">
        <v>33</v>
      </c>
      <c r="L1082" t="str">
        <f>IFERROR(VLOOKUP(D1082,Products!$A$2:$F$61,3,FALSE()),"")</f>
        <v>Beauty</v>
      </c>
      <c r="M1082" t="str">
        <f>IFERROR(VLOOKUP(E1082,Sales_Reps!$A$2:$C$31,3,FALSE()),"")</f>
        <v>South</v>
      </c>
      <c r="N1082">
        <f>IFERROR(VLOOKUP(D1082,Products!$A$2:$F$61,4,FALSE()),"")</f>
        <v>675</v>
      </c>
      <c r="O1082" t="str">
        <f>IFERROR(VLOOKUP(C1082,Customers!$A$2:$F$301,5,FALSE()),"")</f>
        <v>Retail</v>
      </c>
      <c r="P1082">
        <f>IFERROR(VLOOKUP(C1082,Customers!$A$2:$F$301,3,FALSE()),"")</f>
        <v>39</v>
      </c>
      <c r="Q1082">
        <f t="shared" si="48"/>
        <v>0.296875</v>
      </c>
      <c r="R1082">
        <f>IF(AND(COUNTIF($A$2:$A$2047,A1082)&gt;1,COUNTIF($A$2:A1082,A1082)=1),1,0)</f>
        <v>0</v>
      </c>
      <c r="S1082" t="b">
        <f>IFERROR(VLOOKUP(D1082,Products!$A$2:$F$61,6,FALSE()),"")</f>
        <v>1</v>
      </c>
      <c r="T1082" t="str">
        <f>IF(COUNTIF(Customers!$A$2:$A$301,C1082)=0,"Missing","OK")</f>
        <v>OK</v>
      </c>
      <c r="U1082" t="str">
        <f t="shared" si="49"/>
        <v>Chennai</v>
      </c>
      <c r="V1082">
        <f t="shared" si="50"/>
        <v>0</v>
      </c>
    </row>
    <row r="1083" spans="1:22" ht="15" customHeight="1" x14ac:dyDescent="0.35">
      <c r="A1083" s="3" t="s">
        <v>1506</v>
      </c>
      <c r="B1083" s="4">
        <v>45383</v>
      </c>
      <c r="C1083" s="3" t="s">
        <v>386</v>
      </c>
      <c r="D1083" s="3" t="s">
        <v>184</v>
      </c>
      <c r="E1083" s="3" t="s">
        <v>50</v>
      </c>
      <c r="F1083" s="5">
        <v>1</v>
      </c>
      <c r="G1083" s="5">
        <v>2270</v>
      </c>
      <c r="H1083" s="5">
        <v>12.4</v>
      </c>
      <c r="I1083" s="5">
        <v>1988.52</v>
      </c>
      <c r="J1083" s="3" t="s">
        <v>26</v>
      </c>
      <c r="K1083" s="3" t="s">
        <v>51</v>
      </c>
      <c r="L1083" t="str">
        <f>IFERROR(VLOOKUP(D1083,Products!$A$2:$F$61,3,FALSE()),"")</f>
        <v>Grocery</v>
      </c>
      <c r="M1083" t="str">
        <f>IFERROR(VLOOKUP(E1083,Sales_Reps!$A$2:$C$31,3,FALSE()),"")</f>
        <v>West</v>
      </c>
      <c r="N1083">
        <f>IFERROR(VLOOKUP(D1083,Products!$A$2:$F$61,4,FALSE()),"")</f>
        <v>1412</v>
      </c>
      <c r="O1083" t="str">
        <f>IFERROR(VLOOKUP(C1083,Customers!$A$2:$F$301,5,FALSE()),"")</f>
        <v>Retail</v>
      </c>
      <c r="P1083">
        <f>IFERROR(VLOOKUP(C1083,Customers!$A$2:$F$301,3,FALSE()),"")</f>
        <v>41</v>
      </c>
      <c r="Q1083">
        <f t="shared" si="48"/>
        <v>0.37797356828193834</v>
      </c>
      <c r="R1083">
        <f>IF(AND(COUNTIF($A$2:$A$2047,A1083)&gt;1,COUNTIF($A$2:A1083,A1083)=1),1,0)</f>
        <v>0</v>
      </c>
      <c r="S1083" t="b">
        <f>IFERROR(VLOOKUP(D1083,Products!$A$2:$F$61,6,FALSE()),"")</f>
        <v>1</v>
      </c>
      <c r="T1083" t="str">
        <f>IF(COUNTIF(Customers!$A$2:$A$301,C1083)=0,"Missing","OK")</f>
        <v>OK</v>
      </c>
      <c r="U1083" t="str">
        <f t="shared" si="49"/>
        <v>Mumbai</v>
      </c>
      <c r="V1083">
        <f t="shared" si="50"/>
        <v>0</v>
      </c>
    </row>
    <row r="1084" spans="1:22" ht="15" customHeight="1" x14ac:dyDescent="0.35">
      <c r="A1084" s="3" t="s">
        <v>1507</v>
      </c>
      <c r="B1084" s="4">
        <v>45541</v>
      </c>
      <c r="C1084" s="3" t="s">
        <v>270</v>
      </c>
      <c r="D1084" s="3" t="s">
        <v>234</v>
      </c>
      <c r="E1084" s="3" t="s">
        <v>282</v>
      </c>
      <c r="F1084" s="5">
        <v>10</v>
      </c>
      <c r="G1084" s="5">
        <v>2030</v>
      </c>
      <c r="H1084" s="5">
        <v>4</v>
      </c>
      <c r="I1084" s="5">
        <v>19488</v>
      </c>
      <c r="J1084" s="3" t="s">
        <v>26</v>
      </c>
      <c r="K1084" s="3" t="s">
        <v>56</v>
      </c>
      <c r="L1084" t="str">
        <f>IFERROR(VLOOKUP(D1084,Products!$A$2:$F$61,3,FALSE()),"")</f>
        <v>Home</v>
      </c>
      <c r="M1084" t="str">
        <f>IFERROR(VLOOKUP(E1084,Sales_Reps!$A$2:$C$31,3,FALSE()),"")</f>
        <v>West</v>
      </c>
      <c r="N1084">
        <f>IFERROR(VLOOKUP(D1084,Products!$A$2:$F$61,4,FALSE()),"")</f>
        <v>1143</v>
      </c>
      <c r="O1084" t="str">
        <f>IFERROR(VLOOKUP(C1084,Customers!$A$2:$F$301,5,FALSE()),"")</f>
        <v>Corporate</v>
      </c>
      <c r="P1084">
        <f>IFERROR(VLOOKUP(C1084,Customers!$A$2:$F$301,3,FALSE()),"")</f>
        <v>59</v>
      </c>
      <c r="Q1084">
        <f t="shared" si="48"/>
        <v>0.43694581280788175</v>
      </c>
      <c r="R1084">
        <f>IF(AND(COUNTIF($A$2:$A$2047,A1084)&gt;1,COUNTIF($A$2:A1084,A1084)=1),1,0)</f>
        <v>0</v>
      </c>
      <c r="S1084" t="b">
        <f>IFERROR(VLOOKUP(D1084,Products!$A$2:$F$61,6,FALSE()),"")</f>
        <v>1</v>
      </c>
      <c r="T1084" t="str">
        <f>IF(COUNTIF(Customers!$A$2:$A$301,C1084)=0,"Missing","OK")</f>
        <v>OK</v>
      </c>
      <c r="U1084" t="str">
        <f t="shared" si="49"/>
        <v>Bengaluru</v>
      </c>
      <c r="V1084">
        <f t="shared" si="50"/>
        <v>0</v>
      </c>
    </row>
    <row r="1085" spans="1:22" ht="15" customHeight="1" x14ac:dyDescent="0.35">
      <c r="A1085" s="3" t="s">
        <v>1508</v>
      </c>
      <c r="B1085" s="4">
        <v>45609</v>
      </c>
      <c r="C1085" s="3" t="s">
        <v>841</v>
      </c>
      <c r="D1085" s="3" t="s">
        <v>103</v>
      </c>
      <c r="E1085" s="3" t="s">
        <v>97</v>
      </c>
      <c r="F1085" s="5">
        <v>9</v>
      </c>
      <c r="G1085" s="5">
        <v>1080</v>
      </c>
      <c r="H1085" s="5">
        <v>19.2</v>
      </c>
      <c r="I1085" s="5">
        <v>7853.76</v>
      </c>
      <c r="J1085" s="3" t="s">
        <v>32</v>
      </c>
      <c r="K1085" s="3" t="s">
        <v>51</v>
      </c>
      <c r="L1085" t="str">
        <f>IFERROR(VLOOKUP(D1085,Products!$A$2:$F$61,3,FALSE()),"")</f>
        <v>Home</v>
      </c>
      <c r="M1085" t="str">
        <f>IFERROR(VLOOKUP(E1085,Sales_Reps!$A$2:$C$31,3,FALSE()),"")</f>
        <v>East</v>
      </c>
      <c r="N1085">
        <f>IFERROR(VLOOKUP(D1085,Products!$A$2:$F$61,4,FALSE()),"")</f>
        <v>519</v>
      </c>
      <c r="O1085" t="str">
        <f>IFERROR(VLOOKUP(C1085,Customers!$A$2:$F$301,5,FALSE()),"")</f>
        <v>Retail</v>
      </c>
      <c r="P1085">
        <f>IFERROR(VLOOKUP(C1085,Customers!$A$2:$F$301,3,FALSE()),"")</f>
        <v>37</v>
      </c>
      <c r="Q1085">
        <f t="shared" si="48"/>
        <v>0.51944444444444449</v>
      </c>
      <c r="R1085">
        <f>IF(AND(COUNTIF($A$2:$A$2047,A1085)&gt;1,COUNTIF($A$2:A1085,A1085)=1),1,0)</f>
        <v>0</v>
      </c>
      <c r="S1085" t="b">
        <f>IFERROR(VLOOKUP(D1085,Products!$A$2:$F$61,6,FALSE()),"")</f>
        <v>1</v>
      </c>
      <c r="T1085" t="str">
        <f>IF(COUNTIF(Customers!$A$2:$A$301,C1085)=0,"Missing","OK")</f>
        <v>OK</v>
      </c>
      <c r="U1085" t="str">
        <f t="shared" si="49"/>
        <v>Mumbai</v>
      </c>
      <c r="V1085">
        <f t="shared" si="50"/>
        <v>0</v>
      </c>
    </row>
    <row r="1086" spans="1:22" ht="15" customHeight="1" x14ac:dyDescent="0.35">
      <c r="A1086" s="3" t="s">
        <v>1509</v>
      </c>
      <c r="B1086" s="4">
        <v>45463</v>
      </c>
      <c r="C1086" s="3" t="s">
        <v>111</v>
      </c>
      <c r="D1086" s="3" t="s">
        <v>134</v>
      </c>
      <c r="E1086" s="3" t="s">
        <v>50</v>
      </c>
      <c r="F1086" s="5">
        <v>5</v>
      </c>
      <c r="G1086" s="5">
        <v>2860</v>
      </c>
      <c r="H1086" s="5">
        <v>25</v>
      </c>
      <c r="I1086" s="5">
        <v>10725</v>
      </c>
      <c r="J1086" s="3" t="s">
        <v>32</v>
      </c>
      <c r="K1086" s="3" t="s">
        <v>27</v>
      </c>
      <c r="L1086" t="str">
        <f>IFERROR(VLOOKUP(D1086,Products!$A$2:$F$61,3,FALSE()),"")</f>
        <v>Sports</v>
      </c>
      <c r="M1086" t="str">
        <f>IFERROR(VLOOKUP(E1086,Sales_Reps!$A$2:$C$31,3,FALSE()),"")</f>
        <v>West</v>
      </c>
      <c r="N1086">
        <f>IFERROR(VLOOKUP(D1086,Products!$A$2:$F$61,4,FALSE()),"")</f>
        <v>2028</v>
      </c>
      <c r="O1086" t="str">
        <f>IFERROR(VLOOKUP(C1086,Customers!$A$2:$F$301,5,FALSE()),"")</f>
        <v>Retail</v>
      </c>
      <c r="P1086">
        <f>IFERROR(VLOOKUP(C1086,Customers!$A$2:$F$301,3,FALSE()),"")</f>
        <v>50</v>
      </c>
      <c r="Q1086">
        <f t="shared" si="48"/>
        <v>0.29090909090909089</v>
      </c>
      <c r="R1086">
        <f>IF(AND(COUNTIF($A$2:$A$2047,A1086)&gt;1,COUNTIF($A$2:A1086,A1086)=1),1,0)</f>
        <v>0</v>
      </c>
      <c r="S1086" t="b">
        <f>IFERROR(VLOOKUP(D1086,Products!$A$2:$F$61,6,FALSE()),"")</f>
        <v>1</v>
      </c>
      <c r="T1086" t="str">
        <f>IF(COUNTIF(Customers!$A$2:$A$301,C1086)=0,"Missing","OK")</f>
        <v>OK</v>
      </c>
      <c r="U1086" t="str">
        <f t="shared" si="49"/>
        <v>Pune</v>
      </c>
      <c r="V1086">
        <f t="shared" si="50"/>
        <v>0</v>
      </c>
    </row>
    <row r="1087" spans="1:22" ht="15" customHeight="1" x14ac:dyDescent="0.35">
      <c r="A1087" s="3" t="s">
        <v>1510</v>
      </c>
      <c r="B1087" s="4">
        <v>45588</v>
      </c>
      <c r="C1087" s="3" t="s">
        <v>40</v>
      </c>
      <c r="D1087" s="3" t="s">
        <v>70</v>
      </c>
      <c r="E1087" s="3" t="s">
        <v>264</v>
      </c>
      <c r="F1087" s="5">
        <v>6</v>
      </c>
      <c r="G1087" s="5">
        <v>2270</v>
      </c>
      <c r="H1087" s="5">
        <v>9.3000000000000007</v>
      </c>
      <c r="I1087" s="5">
        <v>12353.34</v>
      </c>
      <c r="J1087" s="3" t="s">
        <v>26</v>
      </c>
      <c r="K1087" s="3" t="s">
        <v>38</v>
      </c>
      <c r="L1087" t="str">
        <f>IFERROR(VLOOKUP(D1087,Products!$A$2:$F$61,3,FALSE()),"")</f>
        <v>Grocery</v>
      </c>
      <c r="M1087" t="str">
        <f>IFERROR(VLOOKUP(E1087,Sales_Reps!$A$2:$C$31,3,FALSE()),"")</f>
        <v>South</v>
      </c>
      <c r="N1087">
        <f>IFERROR(VLOOKUP(D1087,Products!$A$2:$F$61,4,FALSE()),"")</f>
        <v>1203</v>
      </c>
      <c r="O1087" t="str">
        <f>IFERROR(VLOOKUP(C1087,Customers!$A$2:$F$301,5,FALSE()),"")</f>
        <v>Corporate</v>
      </c>
      <c r="P1087">
        <f>IFERROR(VLOOKUP(C1087,Customers!$A$2:$F$301,3,FALSE()),"")</f>
        <v>46</v>
      </c>
      <c r="Q1087">
        <f t="shared" si="48"/>
        <v>0.47004405286343615</v>
      </c>
      <c r="R1087">
        <f>IF(AND(COUNTIF($A$2:$A$2047,A1087)&gt;1,COUNTIF($A$2:A1087,A1087)=1),1,0)</f>
        <v>0</v>
      </c>
      <c r="S1087" t="b">
        <f>IFERROR(VLOOKUP(D1087,Products!$A$2:$F$61,6,FALSE()),"")</f>
        <v>1</v>
      </c>
      <c r="T1087" t="str">
        <f>IF(COUNTIF(Customers!$A$2:$A$301,C1087)=0,"Missing","OK")</f>
        <v>OK</v>
      </c>
      <c r="U1087" t="str">
        <f t="shared" si="49"/>
        <v>Delhi</v>
      </c>
      <c r="V1087">
        <f t="shared" si="50"/>
        <v>0</v>
      </c>
    </row>
    <row r="1088" spans="1:22" ht="15" customHeight="1" x14ac:dyDescent="0.35">
      <c r="A1088" s="3" t="s">
        <v>1511</v>
      </c>
      <c r="B1088" s="4">
        <v>45328</v>
      </c>
      <c r="C1088" s="3" t="s">
        <v>574</v>
      </c>
      <c r="D1088" s="3" t="s">
        <v>112</v>
      </c>
      <c r="E1088" s="3" t="s">
        <v>55</v>
      </c>
      <c r="F1088" s="5">
        <v>1</v>
      </c>
      <c r="G1088" s="5">
        <v>2720</v>
      </c>
      <c r="H1088" s="5">
        <v>15.2</v>
      </c>
      <c r="I1088" s="5">
        <v>2306.56</v>
      </c>
      <c r="J1088" s="3" t="s">
        <v>26</v>
      </c>
      <c r="K1088" s="3" t="s">
        <v>38</v>
      </c>
      <c r="L1088" t="str">
        <f>IFERROR(VLOOKUP(D1088,Products!$A$2:$F$61,3,FALSE()),"")</f>
        <v>Apparel</v>
      </c>
      <c r="M1088" t="str">
        <f>IFERROR(VLOOKUP(E1088,Sales_Reps!$A$2:$C$31,3,FALSE()),"")</f>
        <v>West</v>
      </c>
      <c r="N1088">
        <f>IFERROR(VLOOKUP(D1088,Products!$A$2:$F$61,4,FALSE()),"")</f>
        <v>1962</v>
      </c>
      <c r="O1088" t="str">
        <f>IFERROR(VLOOKUP(C1088,Customers!$A$2:$F$301,5,FALSE()),"")</f>
        <v>Retail</v>
      </c>
      <c r="P1088">
        <f>IFERROR(VLOOKUP(C1088,Customers!$A$2:$F$301,3,FALSE()),"")</f>
        <v>49</v>
      </c>
      <c r="Q1088">
        <f t="shared" si="48"/>
        <v>0.2786764705882353</v>
      </c>
      <c r="R1088">
        <f>IF(AND(COUNTIF($A$2:$A$2047,A1088)&gt;1,COUNTIF($A$2:A1088,A1088)=1),1,0)</f>
        <v>0</v>
      </c>
      <c r="S1088" t="b">
        <f>IFERROR(VLOOKUP(D1088,Products!$A$2:$F$61,6,FALSE()),"")</f>
        <v>1</v>
      </c>
      <c r="T1088" t="str">
        <f>IF(COUNTIF(Customers!$A$2:$A$301,C1088)=0,"Missing","OK")</f>
        <v>OK</v>
      </c>
      <c r="U1088" t="str">
        <f t="shared" si="49"/>
        <v>Delhi</v>
      </c>
      <c r="V1088">
        <f t="shared" si="50"/>
        <v>0</v>
      </c>
    </row>
    <row r="1089" spans="1:22" ht="15" customHeight="1" x14ac:dyDescent="0.35">
      <c r="A1089" s="3" t="s">
        <v>1512</v>
      </c>
      <c r="B1089" s="4">
        <v>45638</v>
      </c>
      <c r="C1089" s="3" t="s">
        <v>977</v>
      </c>
      <c r="D1089" s="3" t="s">
        <v>187</v>
      </c>
      <c r="E1089" s="3" t="s">
        <v>31</v>
      </c>
      <c r="F1089" s="5">
        <v>10</v>
      </c>
      <c r="G1089" s="5">
        <v>3870</v>
      </c>
      <c r="H1089" s="5">
        <v>4.9000000000000004</v>
      </c>
      <c r="I1089" s="5">
        <v>36803.699999999997</v>
      </c>
      <c r="J1089" s="3" t="s">
        <v>79</v>
      </c>
      <c r="K1089" s="3" t="s">
        <v>56</v>
      </c>
      <c r="L1089" t="str">
        <f>IFERROR(VLOOKUP(D1089,Products!$A$2:$F$61,3,FALSE()),"")</f>
        <v>Electronics</v>
      </c>
      <c r="M1089" t="str">
        <f>IFERROR(VLOOKUP(E1089,Sales_Reps!$A$2:$C$31,3,FALSE()),"")</f>
        <v>North</v>
      </c>
      <c r="N1089">
        <f>IFERROR(VLOOKUP(D1089,Products!$A$2:$F$61,4,FALSE()),"")</f>
        <v>1559</v>
      </c>
      <c r="O1089" t="str">
        <f>IFERROR(VLOOKUP(C1089,Customers!$A$2:$F$301,5,FALSE()),"")</f>
        <v>Corporate</v>
      </c>
      <c r="P1089">
        <f>IFERROR(VLOOKUP(C1089,Customers!$A$2:$F$301,3,FALSE()),"")</f>
        <v>55</v>
      </c>
      <c r="Q1089">
        <f t="shared" si="48"/>
        <v>0.59715762273901807</v>
      </c>
      <c r="R1089">
        <f>IF(AND(COUNTIF($A$2:$A$2047,A1089)&gt;1,COUNTIF($A$2:A1089,A1089)=1),1,0)</f>
        <v>0</v>
      </c>
      <c r="S1089" t="b">
        <f>IFERROR(VLOOKUP(D1089,Products!$A$2:$F$61,6,FALSE()),"")</f>
        <v>1</v>
      </c>
      <c r="T1089" t="str">
        <f>IF(COUNTIF(Customers!$A$2:$A$301,C1089)=0,"Missing","OK")</f>
        <v>OK</v>
      </c>
      <c r="U1089" t="str">
        <f t="shared" si="49"/>
        <v>Bengaluru</v>
      </c>
      <c r="V1089">
        <f t="shared" si="50"/>
        <v>0</v>
      </c>
    </row>
    <row r="1090" spans="1:22" ht="15" customHeight="1" x14ac:dyDescent="0.35">
      <c r="A1090" s="3" t="s">
        <v>1513</v>
      </c>
      <c r="B1090" s="4">
        <v>45332</v>
      </c>
      <c r="C1090" s="3" t="s">
        <v>1514</v>
      </c>
      <c r="D1090" s="3" t="s">
        <v>391</v>
      </c>
      <c r="E1090" s="3" t="s">
        <v>60</v>
      </c>
      <c r="F1090" s="5">
        <v>8</v>
      </c>
      <c r="G1090" s="5">
        <v>3450</v>
      </c>
      <c r="H1090" s="5">
        <v>20.6</v>
      </c>
      <c r="I1090" s="5">
        <v>21914.400000000001</v>
      </c>
      <c r="J1090" s="3" t="s">
        <v>26</v>
      </c>
      <c r="K1090" s="3" t="s">
        <v>72</v>
      </c>
      <c r="L1090" t="str">
        <f>IFERROR(VLOOKUP(D1090,Products!$A$2:$F$61,3,FALSE()),"")</f>
        <v>Apparel</v>
      </c>
      <c r="M1090" t="str">
        <f>IFERROR(VLOOKUP(E1090,Sales_Reps!$A$2:$C$31,3,FALSE()),"")</f>
        <v>East</v>
      </c>
      <c r="N1090">
        <f>IFERROR(VLOOKUP(D1090,Products!$A$2:$F$61,4,FALSE()),"")</f>
        <v>1748</v>
      </c>
      <c r="O1090" t="str">
        <f>IFERROR(VLOOKUP(C1090,Customers!$A$2:$F$301,5,FALSE()),"")</f>
        <v>Corporate</v>
      </c>
      <c r="P1090">
        <f>IFERROR(VLOOKUP(C1090,Customers!$A$2:$F$301,3,FALSE()),"")</f>
        <v>60</v>
      </c>
      <c r="Q1090">
        <f t="shared" ref="Q1090:Q1153" si="51">IFERROR((G1090-N1090)/G1090,"")</f>
        <v>0.49333333333333335</v>
      </c>
      <c r="R1090">
        <f>IF(AND(COUNTIF($A$2:$A$2047,A1090)&gt;1,COUNTIF($A$2:A1090,A1090)=1),1,0)</f>
        <v>0</v>
      </c>
      <c r="S1090" t="b">
        <f>IFERROR(VLOOKUP(D1090,Products!$A$2:$F$61,6,FALSE()),"")</f>
        <v>1</v>
      </c>
      <c r="T1090" t="str">
        <f>IF(COUNTIF(Customers!$A$2:$A$301,C1090)=0,"Missing","OK")</f>
        <v>OK</v>
      </c>
      <c r="U1090" t="str">
        <f t="shared" ref="U1090:U1153" si="52">IF(K1090="","",PROPER(TRIM(K1090)))</f>
        <v>Hyderabad</v>
      </c>
      <c r="V1090">
        <f t="shared" ref="V1090:V1153" si="53">IF(AND(U1090="Bengaluru",L1090="Grocery"),I1090,0)</f>
        <v>0</v>
      </c>
    </row>
    <row r="1091" spans="1:22" ht="15" customHeight="1" x14ac:dyDescent="0.35">
      <c r="A1091" s="3" t="s">
        <v>1515</v>
      </c>
      <c r="B1091" s="4">
        <v>45406</v>
      </c>
      <c r="C1091" s="3" t="s">
        <v>208</v>
      </c>
      <c r="D1091" s="3" t="s">
        <v>36</v>
      </c>
      <c r="E1091" s="3" t="s">
        <v>236</v>
      </c>
      <c r="F1091" s="5">
        <v>1</v>
      </c>
      <c r="G1091" s="5">
        <v>470</v>
      </c>
      <c r="H1091" s="5">
        <v>5.4</v>
      </c>
      <c r="I1091" s="5">
        <v>444.62</v>
      </c>
      <c r="J1091" s="3" t="s">
        <v>83</v>
      </c>
      <c r="K1091" s="3" t="s">
        <v>51</v>
      </c>
      <c r="L1091" t="str">
        <f>IFERROR(VLOOKUP(D1091,Products!$A$2:$F$61,3,FALSE()),"")</f>
        <v>Sports</v>
      </c>
      <c r="M1091" t="str">
        <f>IFERROR(VLOOKUP(E1091,Sales_Reps!$A$2:$C$31,3,FALSE()),"")</f>
        <v>North</v>
      </c>
      <c r="N1091">
        <f>IFERROR(VLOOKUP(D1091,Products!$A$2:$F$61,4,FALSE()),"")</f>
        <v>302</v>
      </c>
      <c r="O1091" t="str">
        <f>IFERROR(VLOOKUP(C1091,Customers!$A$2:$F$301,5,FALSE()),"")</f>
        <v>Retail</v>
      </c>
      <c r="P1091">
        <f>IFERROR(VLOOKUP(C1091,Customers!$A$2:$F$301,3,FALSE()),"")</f>
        <v>40</v>
      </c>
      <c r="Q1091">
        <f t="shared" si="51"/>
        <v>0.35744680851063831</v>
      </c>
      <c r="R1091">
        <f>IF(AND(COUNTIF($A$2:$A$2047,A1091)&gt;1,COUNTIF($A$2:A1091,A1091)=1),1,0)</f>
        <v>0</v>
      </c>
      <c r="S1091" t="b">
        <f>IFERROR(VLOOKUP(D1091,Products!$A$2:$F$61,6,FALSE()),"")</f>
        <v>0</v>
      </c>
      <c r="T1091" t="str">
        <f>IF(COUNTIF(Customers!$A$2:$A$301,C1091)=0,"Missing","OK")</f>
        <v>OK</v>
      </c>
      <c r="U1091" t="str">
        <f t="shared" si="52"/>
        <v>Mumbai</v>
      </c>
      <c r="V1091">
        <f t="shared" si="53"/>
        <v>0</v>
      </c>
    </row>
    <row r="1092" spans="1:22" ht="15" customHeight="1" x14ac:dyDescent="0.35">
      <c r="A1092" s="3" t="s">
        <v>1516</v>
      </c>
      <c r="B1092" s="4">
        <v>45405</v>
      </c>
      <c r="C1092" s="3" t="s">
        <v>263</v>
      </c>
      <c r="D1092" s="3" t="s">
        <v>347</v>
      </c>
      <c r="E1092" s="3" t="s">
        <v>143</v>
      </c>
      <c r="F1092" s="5">
        <v>5</v>
      </c>
      <c r="G1092" s="5">
        <v>3970</v>
      </c>
      <c r="H1092" s="5">
        <v>5.8</v>
      </c>
      <c r="I1092" s="5">
        <v>18698.7</v>
      </c>
      <c r="J1092" s="3" t="s">
        <v>26</v>
      </c>
      <c r="K1092" s="3" t="s">
        <v>72</v>
      </c>
      <c r="L1092" t="str">
        <f>IFERROR(VLOOKUP(D1092,Products!$A$2:$F$61,3,FALSE()),"")</f>
        <v>Electronics</v>
      </c>
      <c r="M1092" t="str">
        <f>IFERROR(VLOOKUP(E1092,Sales_Reps!$A$2:$C$31,3,FALSE()),"")</f>
        <v>South</v>
      </c>
      <c r="N1092">
        <f>IFERROR(VLOOKUP(D1092,Products!$A$2:$F$61,4,FALSE()),"")</f>
        <v>2865</v>
      </c>
      <c r="O1092" t="str">
        <f>IFERROR(VLOOKUP(C1092,Customers!$A$2:$F$301,5,FALSE()),"")</f>
        <v>Retail</v>
      </c>
      <c r="P1092">
        <f>IFERROR(VLOOKUP(C1092,Customers!$A$2:$F$301,3,FALSE()),"")</f>
        <v>28</v>
      </c>
      <c r="Q1092">
        <f t="shared" si="51"/>
        <v>0.27833753148614609</v>
      </c>
      <c r="R1092">
        <f>IF(AND(COUNTIF($A$2:$A$2047,A1092)&gt;1,COUNTIF($A$2:A1092,A1092)=1),1,0)</f>
        <v>0</v>
      </c>
      <c r="S1092" t="b">
        <f>IFERROR(VLOOKUP(D1092,Products!$A$2:$F$61,6,FALSE()),"")</f>
        <v>1</v>
      </c>
      <c r="T1092" t="str">
        <f>IF(COUNTIF(Customers!$A$2:$A$301,C1092)=0,"Missing","OK")</f>
        <v>OK</v>
      </c>
      <c r="U1092" t="str">
        <f t="shared" si="52"/>
        <v>Hyderabad</v>
      </c>
      <c r="V1092">
        <f t="shared" si="53"/>
        <v>0</v>
      </c>
    </row>
    <row r="1093" spans="1:22" ht="15" customHeight="1" x14ac:dyDescent="0.35">
      <c r="A1093" s="3" t="s">
        <v>1517</v>
      </c>
      <c r="B1093" s="4">
        <v>45469</v>
      </c>
      <c r="C1093" s="3" t="s">
        <v>945</v>
      </c>
      <c r="D1093" s="3" t="s">
        <v>130</v>
      </c>
      <c r="E1093" s="3" t="s">
        <v>264</v>
      </c>
      <c r="F1093" s="5">
        <v>2</v>
      </c>
      <c r="G1093" s="5">
        <v>5100</v>
      </c>
      <c r="H1093" s="5">
        <v>19.899999999999999</v>
      </c>
      <c r="I1093" s="5">
        <v>8170.2</v>
      </c>
      <c r="J1093" s="3" t="s">
        <v>26</v>
      </c>
      <c r="K1093" s="3" t="s">
        <v>56</v>
      </c>
      <c r="L1093" t="str">
        <f>IFERROR(VLOOKUP(D1093,Products!$A$2:$F$61,3,FALSE()),"")</f>
        <v>Beauty</v>
      </c>
      <c r="M1093" t="str">
        <f>IFERROR(VLOOKUP(E1093,Sales_Reps!$A$2:$C$31,3,FALSE()),"")</f>
        <v>South</v>
      </c>
      <c r="N1093">
        <f>IFERROR(VLOOKUP(D1093,Products!$A$2:$F$61,4,FALSE()),"")</f>
        <v>2237</v>
      </c>
      <c r="O1093" t="str">
        <f>IFERROR(VLOOKUP(C1093,Customers!$A$2:$F$301,5,FALSE()),"")</f>
        <v>SMB</v>
      </c>
      <c r="P1093">
        <f>IFERROR(VLOOKUP(C1093,Customers!$A$2:$F$301,3,FALSE()),"")</f>
        <v>44</v>
      </c>
      <c r="Q1093">
        <f t="shared" si="51"/>
        <v>0.56137254901960787</v>
      </c>
      <c r="R1093">
        <f>IF(AND(COUNTIF($A$2:$A$2047,A1093)&gt;1,COUNTIF($A$2:A1093,A1093)=1),1,0)</f>
        <v>0</v>
      </c>
      <c r="S1093" t="b">
        <f>IFERROR(VLOOKUP(D1093,Products!$A$2:$F$61,6,FALSE()),"")</f>
        <v>1</v>
      </c>
      <c r="T1093" t="str">
        <f>IF(COUNTIF(Customers!$A$2:$A$301,C1093)=0,"Missing","OK")</f>
        <v>OK</v>
      </c>
      <c r="U1093" t="str">
        <f t="shared" si="52"/>
        <v>Bengaluru</v>
      </c>
      <c r="V1093">
        <f t="shared" si="53"/>
        <v>0</v>
      </c>
    </row>
    <row r="1094" spans="1:22" ht="15" customHeight="1" x14ac:dyDescent="0.35">
      <c r="A1094" s="3" t="s">
        <v>1518</v>
      </c>
      <c r="B1094" s="4">
        <v>45656</v>
      </c>
      <c r="C1094" s="3" t="s">
        <v>432</v>
      </c>
      <c r="D1094" s="3" t="s">
        <v>96</v>
      </c>
      <c r="E1094" s="3" t="s">
        <v>154</v>
      </c>
      <c r="F1094" s="5">
        <v>6</v>
      </c>
      <c r="G1094" s="5">
        <v>3450</v>
      </c>
      <c r="H1094" s="5">
        <v>13</v>
      </c>
      <c r="I1094" s="5">
        <v>18009</v>
      </c>
      <c r="J1094" s="3" t="s">
        <v>26</v>
      </c>
      <c r="K1094" s="3" t="s">
        <v>27</v>
      </c>
      <c r="L1094" t="str">
        <f>IFERROR(VLOOKUP(D1094,Products!$A$2:$F$61,3,FALSE()),"")</f>
        <v>Beauty</v>
      </c>
      <c r="M1094" t="str">
        <f>IFERROR(VLOOKUP(E1094,Sales_Reps!$A$2:$C$31,3,FALSE()),"")</f>
        <v>North</v>
      </c>
      <c r="N1094">
        <f>IFERROR(VLOOKUP(D1094,Products!$A$2:$F$61,4,FALSE()),"")</f>
        <v>2420</v>
      </c>
      <c r="O1094" t="str">
        <f>IFERROR(VLOOKUP(C1094,Customers!$A$2:$F$301,5,FALSE()),"")</f>
        <v>Retail</v>
      </c>
      <c r="P1094">
        <f>IFERROR(VLOOKUP(C1094,Customers!$A$2:$F$301,3,FALSE()),"")</f>
        <v>57</v>
      </c>
      <c r="Q1094">
        <f t="shared" si="51"/>
        <v>0.29855072463768118</v>
      </c>
      <c r="R1094">
        <f>IF(AND(COUNTIF($A$2:$A$2047,A1094)&gt;1,COUNTIF($A$2:A1094,A1094)=1),1,0)</f>
        <v>0</v>
      </c>
      <c r="S1094" t="b">
        <f>IFERROR(VLOOKUP(D1094,Products!$A$2:$F$61,6,FALSE()),"")</f>
        <v>1</v>
      </c>
      <c r="T1094" t="str">
        <f>IF(COUNTIF(Customers!$A$2:$A$301,C1094)=0,"Missing","OK")</f>
        <v>OK</v>
      </c>
      <c r="U1094" t="str">
        <f t="shared" si="52"/>
        <v>Pune</v>
      </c>
      <c r="V1094">
        <f t="shared" si="53"/>
        <v>0</v>
      </c>
    </row>
    <row r="1095" spans="1:22" ht="15" customHeight="1" x14ac:dyDescent="0.35">
      <c r="A1095" s="3" t="s">
        <v>1519</v>
      </c>
      <c r="B1095" s="4">
        <v>45653</v>
      </c>
      <c r="C1095" s="3" t="s">
        <v>1438</v>
      </c>
      <c r="D1095" s="3" t="s">
        <v>165</v>
      </c>
      <c r="E1095" s="3" t="s">
        <v>264</v>
      </c>
      <c r="F1095" s="5">
        <v>9</v>
      </c>
      <c r="G1095" s="5">
        <v>3730</v>
      </c>
      <c r="H1095" s="5">
        <v>15.5</v>
      </c>
      <c r="I1095" s="5">
        <v>28366.65</v>
      </c>
      <c r="J1095" s="3" t="s">
        <v>26</v>
      </c>
      <c r="K1095" s="3" t="s">
        <v>33</v>
      </c>
      <c r="L1095" t="str">
        <f>IFERROR(VLOOKUP(D1095,Products!$A$2:$F$61,3,FALSE()),"")</f>
        <v>Home</v>
      </c>
      <c r="M1095" t="str">
        <f>IFERROR(VLOOKUP(E1095,Sales_Reps!$A$2:$C$31,3,FALSE()),"")</f>
        <v>South</v>
      </c>
      <c r="N1095">
        <f>IFERROR(VLOOKUP(D1095,Products!$A$2:$F$61,4,FALSE()),"")</f>
        <v>2135</v>
      </c>
      <c r="O1095" t="str">
        <f>IFERROR(VLOOKUP(C1095,Customers!$A$2:$F$301,5,FALSE()),"")</f>
        <v>Retail</v>
      </c>
      <c r="P1095">
        <f>IFERROR(VLOOKUP(C1095,Customers!$A$2:$F$301,3,FALSE()),"")</f>
        <v>26</v>
      </c>
      <c r="Q1095">
        <f t="shared" si="51"/>
        <v>0.42761394101876676</v>
      </c>
      <c r="R1095">
        <f>IF(AND(COUNTIF($A$2:$A$2047,A1095)&gt;1,COUNTIF($A$2:A1095,A1095)=1),1,0)</f>
        <v>0</v>
      </c>
      <c r="S1095" t="b">
        <f>IFERROR(VLOOKUP(D1095,Products!$A$2:$F$61,6,FALSE()),"")</f>
        <v>1</v>
      </c>
      <c r="T1095" t="str">
        <f>IF(COUNTIF(Customers!$A$2:$A$301,C1095)=0,"Missing","OK")</f>
        <v>OK</v>
      </c>
      <c r="U1095" t="str">
        <f t="shared" si="52"/>
        <v>Chennai</v>
      </c>
      <c r="V1095">
        <f t="shared" si="53"/>
        <v>0</v>
      </c>
    </row>
    <row r="1096" spans="1:22" ht="15" customHeight="1" x14ac:dyDescent="0.35">
      <c r="A1096" s="3" t="s">
        <v>1520</v>
      </c>
      <c r="B1096" s="4">
        <v>45440</v>
      </c>
      <c r="C1096" s="3" t="s">
        <v>1514</v>
      </c>
      <c r="D1096" s="3" t="s">
        <v>319</v>
      </c>
      <c r="E1096" s="3" t="s">
        <v>131</v>
      </c>
      <c r="F1096" s="5">
        <v>5</v>
      </c>
      <c r="G1096" s="5">
        <v>960</v>
      </c>
      <c r="H1096" s="5">
        <v>9.3000000000000007</v>
      </c>
      <c r="I1096" s="5">
        <v>4353.6000000000004</v>
      </c>
      <c r="J1096" s="3" t="s">
        <v>26</v>
      </c>
      <c r="K1096" s="3" t="s">
        <v>72</v>
      </c>
      <c r="L1096" t="str">
        <f>IFERROR(VLOOKUP(D1096,Products!$A$2:$F$61,3,FALSE()),"")</f>
        <v>Beauty</v>
      </c>
      <c r="M1096" t="str">
        <f>IFERROR(VLOOKUP(E1096,Sales_Reps!$A$2:$C$31,3,FALSE()),"")</f>
        <v>East</v>
      </c>
      <c r="N1096">
        <f>IFERROR(VLOOKUP(D1096,Products!$A$2:$F$61,4,FALSE()),"")</f>
        <v>675</v>
      </c>
      <c r="O1096" t="str">
        <f>IFERROR(VLOOKUP(C1096,Customers!$A$2:$F$301,5,FALSE()),"")</f>
        <v>Corporate</v>
      </c>
      <c r="P1096">
        <f>IFERROR(VLOOKUP(C1096,Customers!$A$2:$F$301,3,FALSE()),"")</f>
        <v>60</v>
      </c>
      <c r="Q1096">
        <f t="shared" si="51"/>
        <v>0.296875</v>
      </c>
      <c r="R1096">
        <f>IF(AND(COUNTIF($A$2:$A$2047,A1096)&gt;1,COUNTIF($A$2:A1096,A1096)=1),1,0)</f>
        <v>0</v>
      </c>
      <c r="S1096" t="b">
        <f>IFERROR(VLOOKUP(D1096,Products!$A$2:$F$61,6,FALSE()),"")</f>
        <v>1</v>
      </c>
      <c r="T1096" t="str">
        <f>IF(COUNTIF(Customers!$A$2:$A$301,C1096)=0,"Missing","OK")</f>
        <v>OK</v>
      </c>
      <c r="U1096" t="str">
        <f t="shared" si="52"/>
        <v>Hyderabad</v>
      </c>
      <c r="V1096">
        <f t="shared" si="53"/>
        <v>0</v>
      </c>
    </row>
    <row r="1097" spans="1:22" ht="15" customHeight="1" x14ac:dyDescent="0.35">
      <c r="A1097" s="3" t="s">
        <v>1521</v>
      </c>
      <c r="B1097" s="4">
        <v>45511</v>
      </c>
      <c r="C1097" s="3" t="s">
        <v>720</v>
      </c>
      <c r="D1097" s="3" t="s">
        <v>382</v>
      </c>
      <c r="E1097" s="3" t="s">
        <v>46</v>
      </c>
      <c r="F1097" s="5">
        <v>3</v>
      </c>
      <c r="G1097" s="5">
        <v>5080</v>
      </c>
      <c r="H1097" s="5">
        <v>17.399999999999999</v>
      </c>
      <c r="I1097" s="5">
        <v>12588.24</v>
      </c>
      <c r="J1097" s="3" t="s">
        <v>79</v>
      </c>
      <c r="K1097" s="3" t="s">
        <v>38</v>
      </c>
      <c r="L1097" t="str">
        <f>IFERROR(VLOOKUP(D1097,Products!$A$2:$F$61,3,FALSE()),"")</f>
        <v>Home</v>
      </c>
      <c r="M1097" t="str">
        <f>IFERROR(VLOOKUP(E1097,Sales_Reps!$A$2:$C$31,3,FALSE()),"")</f>
        <v>North</v>
      </c>
      <c r="N1097">
        <f>IFERROR(VLOOKUP(D1097,Products!$A$2:$F$61,4,FALSE()),"")</f>
        <v>2459</v>
      </c>
      <c r="O1097" t="str">
        <f>IFERROR(VLOOKUP(C1097,Customers!$A$2:$F$301,5,FALSE()),"")</f>
        <v>SMB</v>
      </c>
      <c r="P1097">
        <f>IFERROR(VLOOKUP(C1097,Customers!$A$2:$F$301,3,FALSE()),"")</f>
        <v>29</v>
      </c>
      <c r="Q1097">
        <f t="shared" si="51"/>
        <v>0.51594488188976373</v>
      </c>
      <c r="R1097">
        <f>IF(AND(COUNTIF($A$2:$A$2047,A1097)&gt;1,COUNTIF($A$2:A1097,A1097)=1),1,0)</f>
        <v>0</v>
      </c>
      <c r="S1097" t="b">
        <f>IFERROR(VLOOKUP(D1097,Products!$A$2:$F$61,6,FALSE()),"")</f>
        <v>1</v>
      </c>
      <c r="T1097" t="str">
        <f>IF(COUNTIF(Customers!$A$2:$A$301,C1097)=0,"Missing","OK")</f>
        <v>OK</v>
      </c>
      <c r="U1097" t="str">
        <f t="shared" si="52"/>
        <v>Delhi</v>
      </c>
      <c r="V1097">
        <f t="shared" si="53"/>
        <v>0</v>
      </c>
    </row>
    <row r="1098" spans="1:22" ht="15" customHeight="1" x14ac:dyDescent="0.35">
      <c r="A1098" s="3" t="s">
        <v>1522</v>
      </c>
      <c r="B1098" s="4">
        <v>45300</v>
      </c>
      <c r="C1098" s="3" t="s">
        <v>887</v>
      </c>
      <c r="D1098" s="3" t="s">
        <v>187</v>
      </c>
      <c r="E1098" s="3" t="s">
        <v>87</v>
      </c>
      <c r="F1098" s="5">
        <v>4</v>
      </c>
      <c r="G1098" s="5">
        <v>3870</v>
      </c>
      <c r="H1098" s="5">
        <v>20.5</v>
      </c>
      <c r="I1098" s="5">
        <v>12306.6</v>
      </c>
      <c r="J1098" s="3" t="s">
        <v>32</v>
      </c>
      <c r="K1098" s="3" t="s">
        <v>660</v>
      </c>
      <c r="L1098" t="str">
        <f>IFERROR(VLOOKUP(D1098,Products!$A$2:$F$61,3,FALSE()),"")</f>
        <v>Electronics</v>
      </c>
      <c r="M1098" t="str">
        <f>IFERROR(VLOOKUP(E1098,Sales_Reps!$A$2:$C$31,3,FALSE()),"")</f>
        <v>North</v>
      </c>
      <c r="N1098">
        <f>IFERROR(VLOOKUP(D1098,Products!$A$2:$F$61,4,FALSE()),"")</f>
        <v>1559</v>
      </c>
      <c r="O1098" t="str">
        <f>IFERROR(VLOOKUP(C1098,Customers!$A$2:$F$301,5,FALSE()),"")</f>
        <v>Retail</v>
      </c>
      <c r="P1098">
        <f>IFERROR(VLOOKUP(C1098,Customers!$A$2:$F$301,3,FALSE()),"")</f>
        <v>65</v>
      </c>
      <c r="Q1098">
        <f t="shared" si="51"/>
        <v>0.59715762273901807</v>
      </c>
      <c r="R1098">
        <f>IF(AND(COUNTIF($A$2:$A$2047,A1098)&gt;1,COUNTIF($A$2:A1098,A1098)=1),1,0)</f>
        <v>0</v>
      </c>
      <c r="S1098" t="b">
        <f>IFERROR(VLOOKUP(D1098,Products!$A$2:$F$61,6,FALSE()),"")</f>
        <v>1</v>
      </c>
      <c r="T1098" t="str">
        <f>IF(COUNTIF(Customers!$A$2:$A$301,C1098)=0,"Missing","OK")</f>
        <v>OK</v>
      </c>
      <c r="U1098" t="str">
        <f t="shared" si="52"/>
        <v>Pune</v>
      </c>
      <c r="V1098">
        <f t="shared" si="53"/>
        <v>0</v>
      </c>
    </row>
    <row r="1099" spans="1:22" ht="15" customHeight="1" x14ac:dyDescent="0.35">
      <c r="A1099" s="3" t="s">
        <v>1523</v>
      </c>
      <c r="B1099" s="4">
        <v>45528</v>
      </c>
      <c r="C1099" s="3" t="s">
        <v>366</v>
      </c>
      <c r="D1099" s="3" t="s">
        <v>400</v>
      </c>
      <c r="E1099" s="3" t="s">
        <v>55</v>
      </c>
      <c r="F1099" s="5">
        <v>1</v>
      </c>
      <c r="G1099" s="5">
        <v>3780</v>
      </c>
      <c r="H1099" s="5">
        <v>21.5</v>
      </c>
      <c r="I1099" s="5">
        <v>2967.3</v>
      </c>
      <c r="J1099" s="3" t="s">
        <v>26</v>
      </c>
      <c r="K1099" s="3" t="s">
        <v>27</v>
      </c>
      <c r="L1099" t="str">
        <f>IFERROR(VLOOKUP(D1099,Products!$A$2:$F$61,3,FALSE()),"")</f>
        <v>Sports</v>
      </c>
      <c r="M1099" t="str">
        <f>IFERROR(VLOOKUP(E1099,Sales_Reps!$A$2:$C$31,3,FALSE()),"")</f>
        <v>West</v>
      </c>
      <c r="N1099">
        <f>IFERROR(VLOOKUP(D1099,Products!$A$2:$F$61,4,FALSE()),"")</f>
        <v>1860</v>
      </c>
      <c r="O1099" t="str">
        <f>IFERROR(VLOOKUP(C1099,Customers!$A$2:$F$301,5,FALSE()),"")</f>
        <v>Corporate</v>
      </c>
      <c r="P1099">
        <f>IFERROR(VLOOKUP(C1099,Customers!$A$2:$F$301,3,FALSE()),"")</f>
        <v>48</v>
      </c>
      <c r="Q1099">
        <f t="shared" si="51"/>
        <v>0.50793650793650791</v>
      </c>
      <c r="R1099">
        <f>IF(AND(COUNTIF($A$2:$A$2047,A1099)&gt;1,COUNTIF($A$2:A1099,A1099)=1),1,0)</f>
        <v>0</v>
      </c>
      <c r="S1099" t="b">
        <f>IFERROR(VLOOKUP(D1099,Products!$A$2:$F$61,6,FALSE()),"")</f>
        <v>1</v>
      </c>
      <c r="T1099" t="str">
        <f>IF(COUNTIF(Customers!$A$2:$A$301,C1099)=0,"Missing","OK")</f>
        <v>OK</v>
      </c>
      <c r="U1099" t="str">
        <f t="shared" si="52"/>
        <v>Pune</v>
      </c>
      <c r="V1099">
        <f t="shared" si="53"/>
        <v>0</v>
      </c>
    </row>
    <row r="1100" spans="1:22" ht="15" customHeight="1" x14ac:dyDescent="0.35">
      <c r="A1100" s="3" t="s">
        <v>1524</v>
      </c>
      <c r="B1100" s="4">
        <v>45622</v>
      </c>
      <c r="C1100" s="3" t="s">
        <v>53</v>
      </c>
      <c r="D1100" s="3" t="s">
        <v>187</v>
      </c>
      <c r="E1100" s="3" t="s">
        <v>177</v>
      </c>
      <c r="F1100" s="5">
        <v>3</v>
      </c>
      <c r="G1100" s="5">
        <v>3870</v>
      </c>
      <c r="H1100" s="5">
        <v>21.9</v>
      </c>
      <c r="I1100" s="5">
        <v>9067.41</v>
      </c>
      <c r="J1100" s="3" t="s">
        <v>32</v>
      </c>
      <c r="K1100" s="3" t="s">
        <v>56</v>
      </c>
      <c r="L1100" t="str">
        <f>IFERROR(VLOOKUP(D1100,Products!$A$2:$F$61,3,FALSE()),"")</f>
        <v>Electronics</v>
      </c>
      <c r="M1100" t="str">
        <f>IFERROR(VLOOKUP(E1100,Sales_Reps!$A$2:$C$31,3,FALSE()),"")</f>
        <v>East</v>
      </c>
      <c r="N1100">
        <f>IFERROR(VLOOKUP(D1100,Products!$A$2:$F$61,4,FALSE()),"")</f>
        <v>1559</v>
      </c>
      <c r="O1100" t="str">
        <f>IFERROR(VLOOKUP(C1100,Customers!$A$2:$F$301,5,FALSE()),"")</f>
        <v>Retail</v>
      </c>
      <c r="P1100">
        <f>IFERROR(VLOOKUP(C1100,Customers!$A$2:$F$301,3,FALSE()),"")</f>
        <v>27</v>
      </c>
      <c r="Q1100">
        <f t="shared" si="51"/>
        <v>0.59715762273901807</v>
      </c>
      <c r="R1100">
        <f>IF(AND(COUNTIF($A$2:$A$2047,A1100)&gt;1,COUNTIF($A$2:A1100,A1100)=1),1,0)</f>
        <v>0</v>
      </c>
      <c r="S1100" t="b">
        <f>IFERROR(VLOOKUP(D1100,Products!$A$2:$F$61,6,FALSE()),"")</f>
        <v>1</v>
      </c>
      <c r="T1100" t="str">
        <f>IF(COUNTIF(Customers!$A$2:$A$301,C1100)=0,"Missing","OK")</f>
        <v>OK</v>
      </c>
      <c r="U1100" t="str">
        <f t="shared" si="52"/>
        <v>Bengaluru</v>
      </c>
      <c r="V1100">
        <f t="shared" si="53"/>
        <v>0</v>
      </c>
    </row>
    <row r="1101" spans="1:22" ht="15" customHeight="1" x14ac:dyDescent="0.35">
      <c r="A1101" s="3" t="s">
        <v>1525</v>
      </c>
      <c r="B1101" s="4">
        <v>45463</v>
      </c>
      <c r="C1101" s="3" t="s">
        <v>172</v>
      </c>
      <c r="D1101" s="3" t="s">
        <v>234</v>
      </c>
      <c r="E1101" s="3" t="s">
        <v>143</v>
      </c>
      <c r="F1101" s="5">
        <v>4</v>
      </c>
      <c r="G1101" s="5">
        <v>2030</v>
      </c>
      <c r="H1101" s="5">
        <v>23.4</v>
      </c>
      <c r="I1101" s="5">
        <v>6219.92</v>
      </c>
      <c r="J1101" s="3" t="s">
        <v>26</v>
      </c>
      <c r="K1101" s="3" t="s">
        <v>27</v>
      </c>
      <c r="L1101" t="str">
        <f>IFERROR(VLOOKUP(D1101,Products!$A$2:$F$61,3,FALSE()),"")</f>
        <v>Home</v>
      </c>
      <c r="M1101" t="str">
        <f>IFERROR(VLOOKUP(E1101,Sales_Reps!$A$2:$C$31,3,FALSE()),"")</f>
        <v>South</v>
      </c>
      <c r="N1101">
        <f>IFERROR(VLOOKUP(D1101,Products!$A$2:$F$61,4,FALSE()),"")</f>
        <v>1143</v>
      </c>
      <c r="O1101" t="str">
        <f>IFERROR(VLOOKUP(C1101,Customers!$A$2:$F$301,5,FALSE()),"")</f>
        <v>SMB</v>
      </c>
      <c r="P1101">
        <f>IFERROR(VLOOKUP(C1101,Customers!$A$2:$F$301,3,FALSE()),"")</f>
        <v>29</v>
      </c>
      <c r="Q1101">
        <f t="shared" si="51"/>
        <v>0.43694581280788175</v>
      </c>
      <c r="R1101">
        <f>IF(AND(COUNTIF($A$2:$A$2047,A1101)&gt;1,COUNTIF($A$2:A1101,A1101)=1),1,0)</f>
        <v>0</v>
      </c>
      <c r="S1101" t="b">
        <f>IFERROR(VLOOKUP(D1101,Products!$A$2:$F$61,6,FALSE()),"")</f>
        <v>1</v>
      </c>
      <c r="T1101" t="str">
        <f>IF(COUNTIF(Customers!$A$2:$A$301,C1101)=0,"Missing","OK")</f>
        <v>OK</v>
      </c>
      <c r="U1101" t="str">
        <f t="shared" si="52"/>
        <v>Pune</v>
      </c>
      <c r="V1101">
        <f t="shared" si="53"/>
        <v>0</v>
      </c>
    </row>
    <row r="1102" spans="1:22" ht="15" customHeight="1" x14ac:dyDescent="0.35">
      <c r="A1102" s="3" t="s">
        <v>1526</v>
      </c>
      <c r="B1102" s="4">
        <v>45407</v>
      </c>
      <c r="C1102" s="3" t="s">
        <v>534</v>
      </c>
      <c r="D1102" s="3" t="s">
        <v>277</v>
      </c>
      <c r="E1102" s="3" t="s">
        <v>87</v>
      </c>
      <c r="F1102" s="5">
        <v>6</v>
      </c>
      <c r="G1102" s="5">
        <v>2210</v>
      </c>
      <c r="H1102" s="5">
        <v>9.1</v>
      </c>
      <c r="I1102" s="5">
        <v>12053.34</v>
      </c>
      <c r="J1102" s="3" t="s">
        <v>26</v>
      </c>
      <c r="K1102" s="3" t="s">
        <v>38</v>
      </c>
      <c r="L1102" t="str">
        <f>IFERROR(VLOOKUP(D1102,Products!$A$2:$F$61,3,FALSE()),"")</f>
        <v>Grocery</v>
      </c>
      <c r="M1102" t="str">
        <f>IFERROR(VLOOKUP(E1102,Sales_Reps!$A$2:$C$31,3,FALSE()),"")</f>
        <v>North</v>
      </c>
      <c r="N1102">
        <f>IFERROR(VLOOKUP(D1102,Products!$A$2:$F$61,4,FALSE()),"")</f>
        <v>1010</v>
      </c>
      <c r="O1102" t="str">
        <f>IFERROR(VLOOKUP(C1102,Customers!$A$2:$F$301,5,FALSE()),"")</f>
        <v>SMB</v>
      </c>
      <c r="P1102">
        <f>IFERROR(VLOOKUP(C1102,Customers!$A$2:$F$301,3,FALSE()),"")</f>
        <v>48</v>
      </c>
      <c r="Q1102">
        <f t="shared" si="51"/>
        <v>0.54298642533936647</v>
      </c>
      <c r="R1102">
        <f>IF(AND(COUNTIF($A$2:$A$2047,A1102)&gt;1,COUNTIF($A$2:A1102,A1102)=1),1,0)</f>
        <v>0</v>
      </c>
      <c r="S1102" t="b">
        <f>IFERROR(VLOOKUP(D1102,Products!$A$2:$F$61,6,FALSE()),"")</f>
        <v>1</v>
      </c>
      <c r="T1102" t="str">
        <f>IF(COUNTIF(Customers!$A$2:$A$301,C1102)=0,"Missing","OK")</f>
        <v>OK</v>
      </c>
      <c r="U1102" t="str">
        <f t="shared" si="52"/>
        <v>Delhi</v>
      </c>
      <c r="V1102">
        <f t="shared" si="53"/>
        <v>0</v>
      </c>
    </row>
    <row r="1103" spans="1:22" ht="15" customHeight="1" x14ac:dyDescent="0.35">
      <c r="A1103" s="3" t="s">
        <v>1527</v>
      </c>
      <c r="B1103" s="4">
        <v>45627</v>
      </c>
      <c r="C1103" s="3" t="s">
        <v>825</v>
      </c>
      <c r="D1103" s="3" t="s">
        <v>198</v>
      </c>
      <c r="E1103" s="3" t="s">
        <v>177</v>
      </c>
      <c r="F1103" s="5">
        <v>5</v>
      </c>
      <c r="G1103" s="5">
        <v>1540</v>
      </c>
      <c r="H1103" s="5">
        <v>18.100000000000001</v>
      </c>
      <c r="I1103" s="5">
        <v>6306.3</v>
      </c>
      <c r="J1103" s="3" t="s">
        <v>26</v>
      </c>
      <c r="K1103" s="3" t="s">
        <v>33</v>
      </c>
      <c r="L1103" t="str">
        <f>IFERROR(VLOOKUP(D1103,Products!$A$2:$F$61,3,FALSE()),"")</f>
        <v>Beauty</v>
      </c>
      <c r="M1103" t="str">
        <f>IFERROR(VLOOKUP(E1103,Sales_Reps!$A$2:$C$31,3,FALSE()),"")</f>
        <v>East</v>
      </c>
      <c r="N1103">
        <f>IFERROR(VLOOKUP(D1103,Products!$A$2:$F$61,4,FALSE()),"")</f>
        <v>647</v>
      </c>
      <c r="O1103" t="str">
        <f>IFERROR(VLOOKUP(C1103,Customers!$A$2:$F$301,5,FALSE()),"")</f>
        <v>Corporate</v>
      </c>
      <c r="P1103">
        <f>IFERROR(VLOOKUP(C1103,Customers!$A$2:$F$301,3,FALSE()),"")</f>
        <v>44</v>
      </c>
      <c r="Q1103">
        <f t="shared" si="51"/>
        <v>0.57987012987012987</v>
      </c>
      <c r="R1103">
        <f>IF(AND(COUNTIF($A$2:$A$2047,A1103)&gt;1,COUNTIF($A$2:A1103,A1103)=1),1,0)</f>
        <v>0</v>
      </c>
      <c r="S1103" t="b">
        <f>IFERROR(VLOOKUP(D1103,Products!$A$2:$F$61,6,FALSE()),"")</f>
        <v>0</v>
      </c>
      <c r="T1103" t="str">
        <f>IF(COUNTIF(Customers!$A$2:$A$301,C1103)=0,"Missing","OK")</f>
        <v>OK</v>
      </c>
      <c r="U1103" t="str">
        <f t="shared" si="52"/>
        <v>Chennai</v>
      </c>
      <c r="V1103">
        <f t="shared" si="53"/>
        <v>0</v>
      </c>
    </row>
    <row r="1104" spans="1:22" ht="15" customHeight="1" x14ac:dyDescent="0.35">
      <c r="A1104" s="3" t="s">
        <v>1528</v>
      </c>
      <c r="B1104" s="4">
        <v>45393</v>
      </c>
      <c r="C1104" s="3" t="s">
        <v>577</v>
      </c>
      <c r="D1104" s="3" t="s">
        <v>121</v>
      </c>
      <c r="E1104" s="3" t="s">
        <v>212</v>
      </c>
      <c r="F1104" s="5">
        <v>1</v>
      </c>
      <c r="G1104" s="5">
        <v>1010</v>
      </c>
      <c r="H1104" s="5">
        <v>7.3</v>
      </c>
      <c r="I1104" s="5">
        <v>936.27</v>
      </c>
      <c r="J1104" s="3" t="s">
        <v>26</v>
      </c>
      <c r="K1104" s="3" t="s">
        <v>38</v>
      </c>
      <c r="L1104" t="str">
        <f>IFERROR(VLOOKUP(D1104,Products!$A$2:$F$61,3,FALSE()),"")</f>
        <v>Sports</v>
      </c>
      <c r="M1104" t="str">
        <f>IFERROR(VLOOKUP(E1104,Sales_Reps!$A$2:$C$31,3,FALSE()),"")</f>
        <v>South</v>
      </c>
      <c r="N1104">
        <f>IFERROR(VLOOKUP(D1104,Products!$A$2:$F$61,4,FALSE()),"")</f>
        <v>516</v>
      </c>
      <c r="O1104" t="str">
        <f>IFERROR(VLOOKUP(C1104,Customers!$A$2:$F$301,5,FALSE()),"")</f>
        <v>Retail</v>
      </c>
      <c r="P1104">
        <f>IFERROR(VLOOKUP(C1104,Customers!$A$2:$F$301,3,FALSE()),"")</f>
        <v>43</v>
      </c>
      <c r="Q1104">
        <f t="shared" si="51"/>
        <v>0.4891089108910891</v>
      </c>
      <c r="R1104">
        <f>IF(AND(COUNTIF($A$2:$A$2047,A1104)&gt;1,COUNTIF($A$2:A1104,A1104)=1),1,0)</f>
        <v>0</v>
      </c>
      <c r="S1104" t="b">
        <f>IFERROR(VLOOKUP(D1104,Products!$A$2:$F$61,6,FALSE()),"")</f>
        <v>1</v>
      </c>
      <c r="T1104" t="str">
        <f>IF(COUNTIF(Customers!$A$2:$A$301,C1104)=0,"Missing","OK")</f>
        <v>OK</v>
      </c>
      <c r="U1104" t="str">
        <f t="shared" si="52"/>
        <v>Delhi</v>
      </c>
      <c r="V1104">
        <f t="shared" si="53"/>
        <v>0</v>
      </c>
    </row>
    <row r="1105" spans="1:22" ht="15" customHeight="1" x14ac:dyDescent="0.35">
      <c r="A1105" s="3" t="s">
        <v>1529</v>
      </c>
      <c r="B1105" s="4">
        <v>45360</v>
      </c>
      <c r="C1105" s="3" t="s">
        <v>615</v>
      </c>
      <c r="D1105" s="3" t="s">
        <v>303</v>
      </c>
      <c r="E1105" s="3" t="s">
        <v>127</v>
      </c>
      <c r="F1105" s="5">
        <v>10</v>
      </c>
      <c r="G1105" s="5">
        <v>5330</v>
      </c>
      <c r="H1105" s="5">
        <v>27.3</v>
      </c>
      <c r="I1105" s="5">
        <v>38749.1</v>
      </c>
      <c r="J1105" s="3" t="s">
        <v>26</v>
      </c>
      <c r="K1105" s="3" t="s">
        <v>27</v>
      </c>
      <c r="L1105" t="str">
        <f>IFERROR(VLOOKUP(D1105,Products!$A$2:$F$61,3,FALSE()),"")</f>
        <v>Electronics</v>
      </c>
      <c r="M1105" t="str">
        <f>IFERROR(VLOOKUP(E1105,Sales_Reps!$A$2:$C$31,3,FALSE()),"")</f>
        <v>South</v>
      </c>
      <c r="N1105">
        <f>IFERROR(VLOOKUP(D1105,Products!$A$2:$F$61,4,FALSE()),"")</f>
        <v>2405</v>
      </c>
      <c r="O1105" t="str">
        <f>IFERROR(VLOOKUP(C1105,Customers!$A$2:$F$301,5,FALSE()),"")</f>
        <v>SMB</v>
      </c>
      <c r="P1105">
        <f>IFERROR(VLOOKUP(C1105,Customers!$A$2:$F$301,3,FALSE()),"")</f>
        <v>35</v>
      </c>
      <c r="Q1105">
        <f t="shared" si="51"/>
        <v>0.54878048780487809</v>
      </c>
      <c r="R1105">
        <f>IF(AND(COUNTIF($A$2:$A$2047,A1105)&gt;1,COUNTIF($A$2:A1105,A1105)=1),1,0)</f>
        <v>0</v>
      </c>
      <c r="S1105" t="b">
        <f>IFERROR(VLOOKUP(D1105,Products!$A$2:$F$61,6,FALSE()),"")</f>
        <v>1</v>
      </c>
      <c r="T1105" t="str">
        <f>IF(COUNTIF(Customers!$A$2:$A$301,C1105)=0,"Missing","OK")</f>
        <v>OK</v>
      </c>
      <c r="U1105" t="str">
        <f t="shared" si="52"/>
        <v>Pune</v>
      </c>
      <c r="V1105">
        <f t="shared" si="53"/>
        <v>0</v>
      </c>
    </row>
    <row r="1106" spans="1:22" ht="15" customHeight="1" x14ac:dyDescent="0.35">
      <c r="A1106" s="3" t="s">
        <v>1530</v>
      </c>
      <c r="B1106" s="4">
        <v>45548</v>
      </c>
      <c r="C1106" s="3" t="s">
        <v>344</v>
      </c>
      <c r="D1106" s="3" t="s">
        <v>126</v>
      </c>
      <c r="E1106" s="3" t="s">
        <v>224</v>
      </c>
      <c r="F1106" s="5">
        <v>7</v>
      </c>
      <c r="G1106" s="5">
        <v>3570</v>
      </c>
      <c r="H1106" s="5">
        <v>24.3</v>
      </c>
      <c r="I1106" s="5">
        <v>18917.43</v>
      </c>
      <c r="J1106" s="3" t="s">
        <v>26</v>
      </c>
      <c r="K1106" s="3" t="s">
        <v>33</v>
      </c>
      <c r="L1106" t="str">
        <f>IFERROR(VLOOKUP(D1106,Products!$A$2:$F$61,3,FALSE()),"")</f>
        <v>Electronics</v>
      </c>
      <c r="M1106" t="str">
        <f>IFERROR(VLOOKUP(E1106,Sales_Reps!$A$2:$C$31,3,FALSE()),"")</f>
        <v>East</v>
      </c>
      <c r="N1106">
        <f>IFERROR(VLOOKUP(D1106,Products!$A$2:$F$61,4,FALSE()),"")</f>
        <v>1665</v>
      </c>
      <c r="O1106" t="str">
        <f>IFERROR(VLOOKUP(C1106,Customers!$A$2:$F$301,5,FALSE()),"")</f>
        <v>Corporate</v>
      </c>
      <c r="P1106">
        <f>IFERROR(VLOOKUP(C1106,Customers!$A$2:$F$301,3,FALSE()),"")</f>
        <v>24</v>
      </c>
      <c r="Q1106">
        <f t="shared" si="51"/>
        <v>0.53361344537815125</v>
      </c>
      <c r="R1106">
        <f>IF(AND(COUNTIF($A$2:$A$2047,A1106)&gt;1,COUNTIF($A$2:A1106,A1106)=1),1,0)</f>
        <v>0</v>
      </c>
      <c r="S1106" t="b">
        <f>IFERROR(VLOOKUP(D1106,Products!$A$2:$F$61,6,FALSE()),"")</f>
        <v>1</v>
      </c>
      <c r="T1106" t="str">
        <f>IF(COUNTIF(Customers!$A$2:$A$301,C1106)=0,"Missing","OK")</f>
        <v>OK</v>
      </c>
      <c r="U1106" t="str">
        <f t="shared" si="52"/>
        <v>Chennai</v>
      </c>
      <c r="V1106">
        <f t="shared" si="53"/>
        <v>0</v>
      </c>
    </row>
    <row r="1107" spans="1:22" ht="15" customHeight="1" x14ac:dyDescent="0.35">
      <c r="A1107" s="3" t="s">
        <v>1531</v>
      </c>
      <c r="B1107" s="4">
        <v>45569</v>
      </c>
      <c r="C1107" s="3" t="s">
        <v>308</v>
      </c>
      <c r="D1107" s="3" t="s">
        <v>118</v>
      </c>
      <c r="E1107" s="3" t="s">
        <v>177</v>
      </c>
      <c r="F1107" s="5">
        <v>1</v>
      </c>
      <c r="G1107" s="5">
        <v>3350</v>
      </c>
      <c r="H1107" s="5">
        <v>14.9</v>
      </c>
      <c r="I1107" s="5">
        <v>2850.85</v>
      </c>
      <c r="J1107" s="3" t="s">
        <v>26</v>
      </c>
      <c r="K1107" s="3" t="s">
        <v>33</v>
      </c>
      <c r="L1107" t="str">
        <f>IFERROR(VLOOKUP(D1107,Products!$A$2:$F$61,3,FALSE()),"")</f>
        <v>Beauty</v>
      </c>
      <c r="M1107" t="str">
        <f>IFERROR(VLOOKUP(E1107,Sales_Reps!$A$2:$C$31,3,FALSE()),"")</f>
        <v>East</v>
      </c>
      <c r="N1107">
        <f>IFERROR(VLOOKUP(D1107,Products!$A$2:$F$61,4,FALSE()),"")</f>
        <v>1728</v>
      </c>
      <c r="O1107" t="str">
        <f>IFERROR(VLOOKUP(C1107,Customers!$A$2:$F$301,5,FALSE()),"")</f>
        <v>SMB</v>
      </c>
      <c r="P1107">
        <f>IFERROR(VLOOKUP(C1107,Customers!$A$2:$F$301,3,FALSE()),"")</f>
        <v>62</v>
      </c>
      <c r="Q1107">
        <f t="shared" si="51"/>
        <v>0.48417910447761192</v>
      </c>
      <c r="R1107">
        <f>IF(AND(COUNTIF($A$2:$A$2047,A1107)&gt;1,COUNTIF($A$2:A1107,A1107)=1),1,0)</f>
        <v>0</v>
      </c>
      <c r="S1107" t="b">
        <f>IFERROR(VLOOKUP(D1107,Products!$A$2:$F$61,6,FALSE()),"")</f>
        <v>1</v>
      </c>
      <c r="T1107" t="str">
        <f>IF(COUNTIF(Customers!$A$2:$A$301,C1107)=0,"Missing","OK")</f>
        <v>OK</v>
      </c>
      <c r="U1107" t="str">
        <f t="shared" si="52"/>
        <v>Chennai</v>
      </c>
      <c r="V1107">
        <f t="shared" si="53"/>
        <v>0</v>
      </c>
    </row>
    <row r="1108" spans="1:22" ht="15" customHeight="1" x14ac:dyDescent="0.35">
      <c r="A1108" s="3" t="s">
        <v>1532</v>
      </c>
      <c r="B1108" s="4">
        <v>45541</v>
      </c>
      <c r="C1108" s="3" t="s">
        <v>554</v>
      </c>
      <c r="D1108" s="3" t="s">
        <v>294</v>
      </c>
      <c r="E1108" s="3" t="s">
        <v>93</v>
      </c>
      <c r="F1108" s="5">
        <v>2</v>
      </c>
      <c r="G1108" s="5">
        <v>2510</v>
      </c>
      <c r="H1108" s="5">
        <v>10.6</v>
      </c>
      <c r="I1108" s="5">
        <v>4487.88</v>
      </c>
      <c r="J1108" s="3" t="s">
        <v>26</v>
      </c>
      <c r="K1108" s="3" t="s">
        <v>51</v>
      </c>
      <c r="L1108" t="str">
        <f>IFERROR(VLOOKUP(D1108,Products!$A$2:$F$61,3,FALSE()),"")</f>
        <v>Apparel</v>
      </c>
      <c r="M1108" t="str">
        <f>IFERROR(VLOOKUP(E1108,Sales_Reps!$A$2:$C$31,3,FALSE()),"")</f>
        <v>East</v>
      </c>
      <c r="N1108">
        <f>IFERROR(VLOOKUP(D1108,Products!$A$2:$F$61,4,FALSE()),"")</f>
        <v>1075</v>
      </c>
      <c r="O1108" t="str">
        <f>IFERROR(VLOOKUP(C1108,Customers!$A$2:$F$301,5,FALSE()),"")</f>
        <v>Retail</v>
      </c>
      <c r="P1108">
        <f>IFERROR(VLOOKUP(C1108,Customers!$A$2:$F$301,3,FALSE()),"")</f>
        <v>53</v>
      </c>
      <c r="Q1108">
        <f t="shared" si="51"/>
        <v>0.57171314741035861</v>
      </c>
      <c r="R1108">
        <f>IF(AND(COUNTIF($A$2:$A$2047,A1108)&gt;1,COUNTIF($A$2:A1108,A1108)=1),1,0)</f>
        <v>0</v>
      </c>
      <c r="S1108" t="b">
        <f>IFERROR(VLOOKUP(D1108,Products!$A$2:$F$61,6,FALSE()),"")</f>
        <v>0</v>
      </c>
      <c r="T1108" t="str">
        <f>IF(COUNTIF(Customers!$A$2:$A$301,C1108)=0,"Missing","OK")</f>
        <v>OK</v>
      </c>
      <c r="U1108" t="str">
        <f t="shared" si="52"/>
        <v>Mumbai</v>
      </c>
      <c r="V1108">
        <f t="shared" si="53"/>
        <v>0</v>
      </c>
    </row>
    <row r="1109" spans="1:22" ht="15" customHeight="1" x14ac:dyDescent="0.35">
      <c r="A1109" s="3" t="s">
        <v>1533</v>
      </c>
      <c r="B1109" s="4">
        <v>45369</v>
      </c>
      <c r="C1109" s="3" t="s">
        <v>99</v>
      </c>
      <c r="D1109" s="3" t="s">
        <v>66</v>
      </c>
      <c r="E1109" s="3" t="s">
        <v>50</v>
      </c>
      <c r="F1109" s="5">
        <v>5</v>
      </c>
      <c r="G1109" s="5">
        <v>970</v>
      </c>
      <c r="H1109" s="5">
        <v>6.8</v>
      </c>
      <c r="I1109" s="5">
        <v>4520.2</v>
      </c>
      <c r="J1109" s="3" t="s">
        <v>32</v>
      </c>
      <c r="K1109" s="3" t="s">
        <v>51</v>
      </c>
      <c r="L1109" t="str">
        <f>IFERROR(VLOOKUP(D1109,Products!$A$2:$F$61,3,FALSE()),"")</f>
        <v>Grocery</v>
      </c>
      <c r="M1109" t="str">
        <f>IFERROR(VLOOKUP(E1109,Sales_Reps!$A$2:$C$31,3,FALSE()),"")</f>
        <v>West</v>
      </c>
      <c r="N1109">
        <f>IFERROR(VLOOKUP(D1109,Products!$A$2:$F$61,4,FALSE()),"")</f>
        <v>434</v>
      </c>
      <c r="O1109" t="str">
        <f>IFERROR(VLOOKUP(C1109,Customers!$A$2:$F$301,5,FALSE()),"")</f>
        <v>Retail</v>
      </c>
      <c r="P1109">
        <f>IFERROR(VLOOKUP(C1109,Customers!$A$2:$F$301,3,FALSE()),"")</f>
        <v>54</v>
      </c>
      <c r="Q1109">
        <f t="shared" si="51"/>
        <v>0.5525773195876289</v>
      </c>
      <c r="R1109">
        <f>IF(AND(COUNTIF($A$2:$A$2047,A1109)&gt;1,COUNTIF($A$2:A1109,A1109)=1),1,0)</f>
        <v>0</v>
      </c>
      <c r="S1109" t="b">
        <f>IFERROR(VLOOKUP(D1109,Products!$A$2:$F$61,6,FALSE()),"")</f>
        <v>1</v>
      </c>
      <c r="T1109" t="str">
        <f>IF(COUNTIF(Customers!$A$2:$A$301,C1109)=0,"Missing","OK")</f>
        <v>OK</v>
      </c>
      <c r="U1109" t="str">
        <f t="shared" si="52"/>
        <v>Mumbai</v>
      </c>
      <c r="V1109">
        <f t="shared" si="53"/>
        <v>0</v>
      </c>
    </row>
    <row r="1110" spans="1:22" ht="15" customHeight="1" x14ac:dyDescent="0.35">
      <c r="A1110" s="3" t="s">
        <v>1534</v>
      </c>
      <c r="B1110" s="4">
        <v>45519</v>
      </c>
      <c r="C1110" s="3" t="s">
        <v>170</v>
      </c>
      <c r="D1110" s="3" t="s">
        <v>173</v>
      </c>
      <c r="E1110" s="3" t="s">
        <v>236</v>
      </c>
      <c r="F1110" s="5">
        <v>5</v>
      </c>
      <c r="G1110" s="5">
        <v>3780</v>
      </c>
      <c r="H1110" s="5">
        <v>16.600000000000001</v>
      </c>
      <c r="I1110" s="5">
        <v>15762.6</v>
      </c>
      <c r="J1110" s="3" t="s">
        <v>26</v>
      </c>
      <c r="K1110" s="3" t="s">
        <v>56</v>
      </c>
      <c r="L1110" t="str">
        <f>IFERROR(VLOOKUP(D1110,Products!$A$2:$F$61,3,FALSE()),"")</f>
        <v>Grocery</v>
      </c>
      <c r="M1110" t="str">
        <f>IFERROR(VLOOKUP(E1110,Sales_Reps!$A$2:$C$31,3,FALSE()),"")</f>
        <v>North</v>
      </c>
      <c r="N1110">
        <f>IFERROR(VLOOKUP(D1110,Products!$A$2:$F$61,4,FALSE()),"")</f>
        <v>2436</v>
      </c>
      <c r="O1110" t="str">
        <f>IFERROR(VLOOKUP(C1110,Customers!$A$2:$F$301,5,FALSE()),"")</f>
        <v>SMB</v>
      </c>
      <c r="P1110">
        <f>IFERROR(VLOOKUP(C1110,Customers!$A$2:$F$301,3,FALSE()),"")</f>
        <v>64</v>
      </c>
      <c r="Q1110">
        <f t="shared" si="51"/>
        <v>0.35555555555555557</v>
      </c>
      <c r="R1110">
        <f>IF(AND(COUNTIF($A$2:$A$2047,A1110)&gt;1,COUNTIF($A$2:A1110,A1110)=1),1,0)</f>
        <v>0</v>
      </c>
      <c r="S1110" t="b">
        <f>IFERROR(VLOOKUP(D1110,Products!$A$2:$F$61,6,FALSE()),"")</f>
        <v>1</v>
      </c>
      <c r="T1110" t="str">
        <f>IF(COUNTIF(Customers!$A$2:$A$301,C1110)=0,"Missing","OK")</f>
        <v>OK</v>
      </c>
      <c r="U1110" t="str">
        <f t="shared" si="52"/>
        <v>Bengaluru</v>
      </c>
      <c r="V1110">
        <f t="shared" si="53"/>
        <v>15762.6</v>
      </c>
    </row>
    <row r="1111" spans="1:22" ht="15" customHeight="1" x14ac:dyDescent="0.35">
      <c r="A1111" s="3" t="s">
        <v>1535</v>
      </c>
      <c r="B1111" s="4">
        <v>45379</v>
      </c>
      <c r="C1111" s="3" t="s">
        <v>615</v>
      </c>
      <c r="D1111" s="3" t="s">
        <v>294</v>
      </c>
      <c r="E1111" s="3" t="s">
        <v>25</v>
      </c>
      <c r="F1111" s="5">
        <v>3</v>
      </c>
      <c r="G1111" s="5">
        <v>2510</v>
      </c>
      <c r="H1111" s="5">
        <v>24.9</v>
      </c>
      <c r="I1111" s="5">
        <v>5655.03</v>
      </c>
      <c r="J1111" s="3" t="s">
        <v>79</v>
      </c>
      <c r="K1111" s="3" t="s">
        <v>27</v>
      </c>
      <c r="L1111" t="str">
        <f>IFERROR(VLOOKUP(D1111,Products!$A$2:$F$61,3,FALSE()),"")</f>
        <v>Apparel</v>
      </c>
      <c r="M1111" t="str">
        <f>IFERROR(VLOOKUP(E1111,Sales_Reps!$A$2:$C$31,3,FALSE()),"")</f>
        <v>North</v>
      </c>
      <c r="N1111">
        <f>IFERROR(VLOOKUP(D1111,Products!$A$2:$F$61,4,FALSE()),"")</f>
        <v>1075</v>
      </c>
      <c r="O1111" t="str">
        <f>IFERROR(VLOOKUP(C1111,Customers!$A$2:$F$301,5,FALSE()),"")</f>
        <v>SMB</v>
      </c>
      <c r="P1111">
        <f>IFERROR(VLOOKUP(C1111,Customers!$A$2:$F$301,3,FALSE()),"")</f>
        <v>35</v>
      </c>
      <c r="Q1111">
        <f t="shared" si="51"/>
        <v>0.57171314741035861</v>
      </c>
      <c r="R1111">
        <f>IF(AND(COUNTIF($A$2:$A$2047,A1111)&gt;1,COUNTIF($A$2:A1111,A1111)=1),1,0)</f>
        <v>0</v>
      </c>
      <c r="S1111" t="b">
        <f>IFERROR(VLOOKUP(D1111,Products!$A$2:$F$61,6,FALSE()),"")</f>
        <v>0</v>
      </c>
      <c r="T1111" t="str">
        <f>IF(COUNTIF(Customers!$A$2:$A$301,C1111)=0,"Missing","OK")</f>
        <v>OK</v>
      </c>
      <c r="U1111" t="str">
        <f t="shared" si="52"/>
        <v>Pune</v>
      </c>
      <c r="V1111">
        <f t="shared" si="53"/>
        <v>0</v>
      </c>
    </row>
    <row r="1112" spans="1:22" ht="15" customHeight="1" x14ac:dyDescent="0.35">
      <c r="A1112" s="3" t="s">
        <v>1536</v>
      </c>
      <c r="B1112" s="4">
        <v>45548</v>
      </c>
      <c r="C1112" s="3" t="s">
        <v>1300</v>
      </c>
      <c r="D1112" s="3" t="s">
        <v>234</v>
      </c>
      <c r="E1112" s="3" t="s">
        <v>46</v>
      </c>
      <c r="F1112" s="5">
        <v>3</v>
      </c>
      <c r="G1112" s="5">
        <v>2030</v>
      </c>
      <c r="H1112" s="5">
        <v>3.8</v>
      </c>
      <c r="I1112" s="5">
        <v>5858.58</v>
      </c>
      <c r="J1112" s="3" t="s">
        <v>26</v>
      </c>
      <c r="K1112" s="3" t="s">
        <v>33</v>
      </c>
      <c r="L1112" t="str">
        <f>IFERROR(VLOOKUP(D1112,Products!$A$2:$F$61,3,FALSE()),"")</f>
        <v>Home</v>
      </c>
      <c r="M1112" t="str">
        <f>IFERROR(VLOOKUP(E1112,Sales_Reps!$A$2:$C$31,3,FALSE()),"")</f>
        <v>North</v>
      </c>
      <c r="N1112">
        <f>IFERROR(VLOOKUP(D1112,Products!$A$2:$F$61,4,FALSE()),"")</f>
        <v>1143</v>
      </c>
      <c r="O1112" t="str">
        <f>IFERROR(VLOOKUP(C1112,Customers!$A$2:$F$301,5,FALSE()),"")</f>
        <v>Retail</v>
      </c>
      <c r="P1112">
        <f>IFERROR(VLOOKUP(C1112,Customers!$A$2:$F$301,3,FALSE()),"")</f>
        <v>34</v>
      </c>
      <c r="Q1112">
        <f t="shared" si="51"/>
        <v>0.43694581280788175</v>
      </c>
      <c r="R1112">
        <f>IF(AND(COUNTIF($A$2:$A$2047,A1112)&gt;1,COUNTIF($A$2:A1112,A1112)=1),1,0)</f>
        <v>0</v>
      </c>
      <c r="S1112" t="b">
        <f>IFERROR(VLOOKUP(D1112,Products!$A$2:$F$61,6,FALSE()),"")</f>
        <v>1</v>
      </c>
      <c r="T1112" t="str">
        <f>IF(COUNTIF(Customers!$A$2:$A$301,C1112)=0,"Missing","OK")</f>
        <v>OK</v>
      </c>
      <c r="U1112" t="str">
        <f t="shared" si="52"/>
        <v>Chennai</v>
      </c>
      <c r="V1112">
        <f t="shared" si="53"/>
        <v>0</v>
      </c>
    </row>
    <row r="1113" spans="1:22" ht="15" customHeight="1" x14ac:dyDescent="0.35">
      <c r="A1113" s="3" t="s">
        <v>1537</v>
      </c>
      <c r="B1113" s="4">
        <v>45478</v>
      </c>
      <c r="C1113" s="3" t="s">
        <v>909</v>
      </c>
      <c r="D1113" s="3" t="s">
        <v>86</v>
      </c>
      <c r="E1113" s="3" t="s">
        <v>37</v>
      </c>
      <c r="F1113" s="5">
        <v>9</v>
      </c>
      <c r="G1113" s="5">
        <v>190</v>
      </c>
      <c r="H1113" s="5">
        <v>5.4</v>
      </c>
      <c r="I1113" s="5">
        <v>1617.66</v>
      </c>
      <c r="J1113" s="3" t="s">
        <v>26</v>
      </c>
      <c r="K1113" s="3" t="s">
        <v>51</v>
      </c>
      <c r="L1113" t="str">
        <f>IFERROR(VLOOKUP(D1113,Products!$A$2:$F$61,3,FALSE()),"")</f>
        <v>Sports</v>
      </c>
      <c r="M1113" t="str">
        <f>IFERROR(VLOOKUP(E1113,Sales_Reps!$A$2:$C$31,3,FALSE()),"")</f>
        <v>South</v>
      </c>
      <c r="N1113">
        <f>IFERROR(VLOOKUP(D1113,Products!$A$2:$F$61,4,FALSE()),"")</f>
        <v>147</v>
      </c>
      <c r="O1113" t="str">
        <f>IFERROR(VLOOKUP(C1113,Customers!$A$2:$F$301,5,FALSE()),"")</f>
        <v>Retail</v>
      </c>
      <c r="P1113">
        <f>IFERROR(VLOOKUP(C1113,Customers!$A$2:$F$301,3,FALSE()),"")</f>
        <v>40</v>
      </c>
      <c r="Q1113">
        <f t="shared" si="51"/>
        <v>0.22631578947368422</v>
      </c>
      <c r="R1113">
        <f>IF(AND(COUNTIF($A$2:$A$2047,A1113)&gt;1,COUNTIF($A$2:A1113,A1113)=1),1,0)</f>
        <v>0</v>
      </c>
      <c r="S1113" t="b">
        <f>IFERROR(VLOOKUP(D1113,Products!$A$2:$F$61,6,FALSE()),"")</f>
        <v>1</v>
      </c>
      <c r="T1113" t="str">
        <f>IF(COUNTIF(Customers!$A$2:$A$301,C1113)=0,"Missing","OK")</f>
        <v>OK</v>
      </c>
      <c r="U1113" t="str">
        <f t="shared" si="52"/>
        <v>Mumbai</v>
      </c>
      <c r="V1113">
        <f t="shared" si="53"/>
        <v>0</v>
      </c>
    </row>
    <row r="1114" spans="1:22" ht="15" customHeight="1" x14ac:dyDescent="0.35">
      <c r="A1114" s="3" t="s">
        <v>1538</v>
      </c>
      <c r="B1114" s="4">
        <v>45338</v>
      </c>
      <c r="C1114" s="3" t="s">
        <v>284</v>
      </c>
      <c r="D1114" s="3" t="s">
        <v>277</v>
      </c>
      <c r="E1114" s="3" t="s">
        <v>131</v>
      </c>
      <c r="F1114" s="5">
        <v>6</v>
      </c>
      <c r="G1114" s="5">
        <v>2210</v>
      </c>
      <c r="H1114" s="5">
        <v>29.4</v>
      </c>
      <c r="I1114" s="5">
        <v>9361.56</v>
      </c>
      <c r="J1114" s="3" t="s">
        <v>26</v>
      </c>
      <c r="K1114" s="3" t="s">
        <v>33</v>
      </c>
      <c r="L1114" t="str">
        <f>IFERROR(VLOOKUP(D1114,Products!$A$2:$F$61,3,FALSE()),"")</f>
        <v>Grocery</v>
      </c>
      <c r="M1114" t="str">
        <f>IFERROR(VLOOKUP(E1114,Sales_Reps!$A$2:$C$31,3,FALSE()),"")</f>
        <v>East</v>
      </c>
      <c r="N1114">
        <f>IFERROR(VLOOKUP(D1114,Products!$A$2:$F$61,4,FALSE()),"")</f>
        <v>1010</v>
      </c>
      <c r="O1114" t="str">
        <f>IFERROR(VLOOKUP(C1114,Customers!$A$2:$F$301,5,FALSE()),"")</f>
        <v>Corporate</v>
      </c>
      <c r="P1114">
        <f>IFERROR(VLOOKUP(C1114,Customers!$A$2:$F$301,3,FALSE()),"")</f>
        <v>38</v>
      </c>
      <c r="Q1114">
        <f t="shared" si="51"/>
        <v>0.54298642533936647</v>
      </c>
      <c r="R1114">
        <f>IF(AND(COUNTIF($A$2:$A$2047,A1114)&gt;1,COUNTIF($A$2:A1114,A1114)=1),1,0)</f>
        <v>0</v>
      </c>
      <c r="S1114" t="b">
        <f>IFERROR(VLOOKUP(D1114,Products!$A$2:$F$61,6,FALSE()),"")</f>
        <v>1</v>
      </c>
      <c r="T1114" t="str">
        <f>IF(COUNTIF(Customers!$A$2:$A$301,C1114)=0,"Missing","OK")</f>
        <v>OK</v>
      </c>
      <c r="U1114" t="str">
        <f t="shared" si="52"/>
        <v>Chennai</v>
      </c>
      <c r="V1114">
        <f t="shared" si="53"/>
        <v>0</v>
      </c>
    </row>
    <row r="1115" spans="1:22" ht="15" customHeight="1" x14ac:dyDescent="0.35">
      <c r="A1115" s="3" t="s">
        <v>1539</v>
      </c>
      <c r="B1115" s="4">
        <v>45546</v>
      </c>
      <c r="C1115" s="3" t="s">
        <v>359</v>
      </c>
      <c r="D1115" s="3" t="s">
        <v>176</v>
      </c>
      <c r="E1115" s="3" t="s">
        <v>31</v>
      </c>
      <c r="F1115" s="5">
        <v>4</v>
      </c>
      <c r="G1115" s="5">
        <v>3640</v>
      </c>
      <c r="H1115" s="5">
        <v>0.6</v>
      </c>
      <c r="I1115" s="5">
        <v>14472.64</v>
      </c>
      <c r="J1115" s="3" t="s">
        <v>26</v>
      </c>
      <c r="K1115" s="3" t="s">
        <v>38</v>
      </c>
      <c r="L1115" t="str">
        <f>IFERROR(VLOOKUP(D1115,Products!$A$2:$F$61,3,FALSE()),"")</f>
        <v>Apparel</v>
      </c>
      <c r="M1115" t="str">
        <f>IFERROR(VLOOKUP(E1115,Sales_Reps!$A$2:$C$31,3,FALSE()),"")</f>
        <v>North</v>
      </c>
      <c r="N1115">
        <f>IFERROR(VLOOKUP(D1115,Products!$A$2:$F$61,4,FALSE()),"")</f>
        <v>2611</v>
      </c>
      <c r="O1115" t="str">
        <f>IFERROR(VLOOKUP(C1115,Customers!$A$2:$F$301,5,FALSE()),"")</f>
        <v>Retail</v>
      </c>
      <c r="P1115">
        <f>IFERROR(VLOOKUP(C1115,Customers!$A$2:$F$301,3,FALSE()),"")</f>
        <v>44</v>
      </c>
      <c r="Q1115">
        <f t="shared" si="51"/>
        <v>0.28269230769230769</v>
      </c>
      <c r="R1115">
        <f>IF(AND(COUNTIF($A$2:$A$2047,A1115)&gt;1,COUNTIF($A$2:A1115,A1115)=1),1,0)</f>
        <v>0</v>
      </c>
      <c r="S1115" t="b">
        <f>IFERROR(VLOOKUP(D1115,Products!$A$2:$F$61,6,FALSE()),"")</f>
        <v>1</v>
      </c>
      <c r="T1115" t="str">
        <f>IF(COUNTIF(Customers!$A$2:$A$301,C1115)=0,"Missing","OK")</f>
        <v>OK</v>
      </c>
      <c r="U1115" t="str">
        <f t="shared" si="52"/>
        <v>Delhi</v>
      </c>
      <c r="V1115">
        <f t="shared" si="53"/>
        <v>0</v>
      </c>
    </row>
    <row r="1116" spans="1:22" ht="15" customHeight="1" x14ac:dyDescent="0.35">
      <c r="A1116" s="3" t="s">
        <v>1540</v>
      </c>
      <c r="B1116" s="4">
        <v>45626</v>
      </c>
      <c r="C1116" s="3" t="s">
        <v>839</v>
      </c>
      <c r="D1116" s="3" t="s">
        <v>206</v>
      </c>
      <c r="E1116" s="3" t="s">
        <v>143</v>
      </c>
      <c r="F1116" s="5">
        <v>9</v>
      </c>
      <c r="G1116" s="5">
        <v>1220</v>
      </c>
      <c r="H1116" s="5">
        <v>24.1</v>
      </c>
      <c r="I1116" s="5">
        <v>8333.82</v>
      </c>
      <c r="J1116" s="3" t="s">
        <v>26</v>
      </c>
      <c r="K1116" s="3" t="s">
        <v>56</v>
      </c>
      <c r="L1116" t="str">
        <f>IFERROR(VLOOKUP(D1116,Products!$A$2:$F$61,3,FALSE()),"")</f>
        <v>Electronics</v>
      </c>
      <c r="M1116" t="str">
        <f>IFERROR(VLOOKUP(E1116,Sales_Reps!$A$2:$C$31,3,FALSE()),"")</f>
        <v>South</v>
      </c>
      <c r="N1116">
        <f>IFERROR(VLOOKUP(D1116,Products!$A$2:$F$61,4,FALSE()),"")</f>
        <v>517</v>
      </c>
      <c r="O1116" t="str">
        <f>IFERROR(VLOOKUP(C1116,Customers!$A$2:$F$301,5,FALSE()),"")</f>
        <v>Retail</v>
      </c>
      <c r="P1116">
        <f>IFERROR(VLOOKUP(C1116,Customers!$A$2:$F$301,3,FALSE()),"")</f>
        <v>35</v>
      </c>
      <c r="Q1116">
        <f t="shared" si="51"/>
        <v>0.57622950819672136</v>
      </c>
      <c r="R1116">
        <f>IF(AND(COUNTIF($A$2:$A$2047,A1116)&gt;1,COUNTIF($A$2:A1116,A1116)=1),1,0)</f>
        <v>0</v>
      </c>
      <c r="S1116" t="b">
        <f>IFERROR(VLOOKUP(D1116,Products!$A$2:$F$61,6,FALSE()),"")</f>
        <v>1</v>
      </c>
      <c r="T1116" t="str">
        <f>IF(COUNTIF(Customers!$A$2:$A$301,C1116)=0,"Missing","OK")</f>
        <v>OK</v>
      </c>
      <c r="U1116" t="str">
        <f t="shared" si="52"/>
        <v>Bengaluru</v>
      </c>
      <c r="V1116">
        <f t="shared" si="53"/>
        <v>0</v>
      </c>
    </row>
    <row r="1117" spans="1:22" ht="15" customHeight="1" x14ac:dyDescent="0.35">
      <c r="A1117" s="3" t="s">
        <v>1541</v>
      </c>
      <c r="B1117" s="4">
        <v>45402</v>
      </c>
      <c r="C1117" s="3" t="s">
        <v>524</v>
      </c>
      <c r="D1117" s="3" t="s">
        <v>454</v>
      </c>
      <c r="E1117" s="3" t="s">
        <v>143</v>
      </c>
      <c r="F1117" s="5">
        <v>2</v>
      </c>
      <c r="G1117" s="5">
        <v>6940</v>
      </c>
      <c r="H1117" s="5">
        <v>27</v>
      </c>
      <c r="I1117" s="5">
        <v>10132.4</v>
      </c>
      <c r="J1117" s="3" t="s">
        <v>26</v>
      </c>
      <c r="K1117" s="3" t="s">
        <v>33</v>
      </c>
      <c r="L1117" t="str">
        <f>IFERROR(VLOOKUP(D1117,Products!$A$2:$F$61,3,FALSE()),"")</f>
        <v>Sports</v>
      </c>
      <c r="M1117" t="str">
        <f>IFERROR(VLOOKUP(E1117,Sales_Reps!$A$2:$C$31,3,FALSE()),"")</f>
        <v>South</v>
      </c>
      <c r="N1117">
        <f>IFERROR(VLOOKUP(D1117,Products!$A$2:$F$61,4,FALSE()),"")</f>
        <v>2827</v>
      </c>
      <c r="O1117" t="str">
        <f>IFERROR(VLOOKUP(C1117,Customers!$A$2:$F$301,5,FALSE()),"")</f>
        <v>Retail</v>
      </c>
      <c r="P1117">
        <f>IFERROR(VLOOKUP(C1117,Customers!$A$2:$F$301,3,FALSE()),"")</f>
        <v>26</v>
      </c>
      <c r="Q1117">
        <f t="shared" si="51"/>
        <v>0.5926512968299712</v>
      </c>
      <c r="R1117">
        <f>IF(AND(COUNTIF($A$2:$A$2047,A1117)&gt;1,COUNTIF($A$2:A1117,A1117)=1),1,0)</f>
        <v>0</v>
      </c>
      <c r="S1117" t="b">
        <f>IFERROR(VLOOKUP(D1117,Products!$A$2:$F$61,6,FALSE()),"")</f>
        <v>1</v>
      </c>
      <c r="T1117" t="str">
        <f>IF(COUNTIF(Customers!$A$2:$A$301,C1117)=0,"Missing","OK")</f>
        <v>OK</v>
      </c>
      <c r="U1117" t="str">
        <f t="shared" si="52"/>
        <v>Chennai</v>
      </c>
      <c r="V1117">
        <f t="shared" si="53"/>
        <v>0</v>
      </c>
    </row>
    <row r="1118" spans="1:22" ht="15" customHeight="1" x14ac:dyDescent="0.35">
      <c r="A1118" s="3" t="s">
        <v>1542</v>
      </c>
      <c r="B1118" s="4">
        <v>45604</v>
      </c>
      <c r="C1118" s="3" t="s">
        <v>296</v>
      </c>
      <c r="D1118" s="3" t="s">
        <v>134</v>
      </c>
      <c r="E1118" s="3" t="s">
        <v>71</v>
      </c>
      <c r="F1118" s="5">
        <v>6</v>
      </c>
      <c r="G1118" s="5">
        <v>2860</v>
      </c>
      <c r="H1118" s="5">
        <v>6.6</v>
      </c>
      <c r="I1118" s="5">
        <v>16027.44</v>
      </c>
      <c r="J1118" s="3" t="s">
        <v>26</v>
      </c>
      <c r="K1118" s="3" t="s">
        <v>38</v>
      </c>
      <c r="L1118" t="str">
        <f>IFERROR(VLOOKUP(D1118,Products!$A$2:$F$61,3,FALSE()),"")</f>
        <v>Sports</v>
      </c>
      <c r="M1118" t="str">
        <f>IFERROR(VLOOKUP(E1118,Sales_Reps!$A$2:$C$31,3,FALSE()),"")</f>
        <v>South</v>
      </c>
      <c r="N1118">
        <f>IFERROR(VLOOKUP(D1118,Products!$A$2:$F$61,4,FALSE()),"")</f>
        <v>2028</v>
      </c>
      <c r="O1118" t="str">
        <f>IFERROR(VLOOKUP(C1118,Customers!$A$2:$F$301,5,FALSE()),"")</f>
        <v>SMB</v>
      </c>
      <c r="P1118">
        <f>IFERROR(VLOOKUP(C1118,Customers!$A$2:$F$301,3,FALSE()),"")</f>
        <v>38</v>
      </c>
      <c r="Q1118">
        <f t="shared" si="51"/>
        <v>0.29090909090909089</v>
      </c>
      <c r="R1118">
        <f>IF(AND(COUNTIF($A$2:$A$2047,A1118)&gt;1,COUNTIF($A$2:A1118,A1118)=1),1,0)</f>
        <v>0</v>
      </c>
      <c r="S1118" t="b">
        <f>IFERROR(VLOOKUP(D1118,Products!$A$2:$F$61,6,FALSE()),"")</f>
        <v>1</v>
      </c>
      <c r="T1118" t="str">
        <f>IF(COUNTIF(Customers!$A$2:$A$301,C1118)=0,"Missing","OK")</f>
        <v>OK</v>
      </c>
      <c r="U1118" t="str">
        <f t="shared" si="52"/>
        <v>Delhi</v>
      </c>
      <c r="V1118">
        <f t="shared" si="53"/>
        <v>0</v>
      </c>
    </row>
    <row r="1119" spans="1:22" ht="15" customHeight="1" x14ac:dyDescent="0.35">
      <c r="A1119" s="3" t="s">
        <v>1543</v>
      </c>
      <c r="B1119" s="4">
        <v>45545</v>
      </c>
      <c r="C1119" s="3" t="s">
        <v>125</v>
      </c>
      <c r="D1119" s="3" t="s">
        <v>112</v>
      </c>
      <c r="E1119" s="3" t="s">
        <v>242</v>
      </c>
      <c r="F1119" s="5">
        <v>5</v>
      </c>
      <c r="G1119" s="5">
        <v>2720</v>
      </c>
      <c r="H1119" s="5">
        <v>21.4</v>
      </c>
      <c r="I1119" s="5">
        <v>10689.6</v>
      </c>
      <c r="J1119" s="3" t="s">
        <v>26</v>
      </c>
      <c r="K1119" s="3" t="s">
        <v>33</v>
      </c>
      <c r="L1119" t="str">
        <f>IFERROR(VLOOKUP(D1119,Products!$A$2:$F$61,3,FALSE()),"")</f>
        <v>Apparel</v>
      </c>
      <c r="M1119" t="str">
        <f>IFERROR(VLOOKUP(E1119,Sales_Reps!$A$2:$C$31,3,FALSE()),"")</f>
        <v>East</v>
      </c>
      <c r="N1119">
        <f>IFERROR(VLOOKUP(D1119,Products!$A$2:$F$61,4,FALSE()),"")</f>
        <v>1962</v>
      </c>
      <c r="O1119" t="str">
        <f>IFERROR(VLOOKUP(C1119,Customers!$A$2:$F$301,5,FALSE()),"")</f>
        <v>SMB</v>
      </c>
      <c r="P1119">
        <f>IFERROR(VLOOKUP(C1119,Customers!$A$2:$F$301,3,FALSE()),"")</f>
        <v>52</v>
      </c>
      <c r="Q1119">
        <f t="shared" si="51"/>
        <v>0.2786764705882353</v>
      </c>
      <c r="R1119">
        <f>IF(AND(COUNTIF($A$2:$A$2047,A1119)&gt;1,COUNTIF($A$2:A1119,A1119)=1),1,0)</f>
        <v>0</v>
      </c>
      <c r="S1119" t="b">
        <f>IFERROR(VLOOKUP(D1119,Products!$A$2:$F$61,6,FALSE()),"")</f>
        <v>1</v>
      </c>
      <c r="T1119" t="str">
        <f>IF(COUNTIF(Customers!$A$2:$A$301,C1119)=0,"Missing","OK")</f>
        <v>OK</v>
      </c>
      <c r="U1119" t="str">
        <f t="shared" si="52"/>
        <v>Chennai</v>
      </c>
      <c r="V1119">
        <f t="shared" si="53"/>
        <v>0</v>
      </c>
    </row>
    <row r="1120" spans="1:22" ht="15" customHeight="1" x14ac:dyDescent="0.35">
      <c r="A1120" s="3" t="s">
        <v>1544</v>
      </c>
      <c r="B1120" s="4">
        <v>45445</v>
      </c>
      <c r="C1120" s="3" t="s">
        <v>208</v>
      </c>
      <c r="D1120" s="3" t="s">
        <v>30</v>
      </c>
      <c r="E1120" s="3" t="s">
        <v>42</v>
      </c>
      <c r="F1120" s="5">
        <v>5</v>
      </c>
      <c r="G1120" s="5">
        <v>820</v>
      </c>
      <c r="H1120" s="5">
        <v>28.6</v>
      </c>
      <c r="I1120" s="5">
        <v>2927.4</v>
      </c>
      <c r="J1120" s="3" t="s">
        <v>26</v>
      </c>
      <c r="K1120" s="3" t="s">
        <v>51</v>
      </c>
      <c r="L1120" t="str">
        <f>IFERROR(VLOOKUP(D1120,Products!$A$2:$F$61,3,FALSE()),"")</f>
        <v>Apparel</v>
      </c>
      <c r="M1120" t="str">
        <f>IFERROR(VLOOKUP(E1120,Sales_Reps!$A$2:$C$31,3,FALSE()),"")</f>
        <v>North</v>
      </c>
      <c r="N1120">
        <f>IFERROR(VLOOKUP(D1120,Products!$A$2:$F$61,4,FALSE()),"")</f>
        <v>391</v>
      </c>
      <c r="O1120" t="str">
        <f>IFERROR(VLOOKUP(C1120,Customers!$A$2:$F$301,5,FALSE()),"")</f>
        <v>Retail</v>
      </c>
      <c r="P1120">
        <f>IFERROR(VLOOKUP(C1120,Customers!$A$2:$F$301,3,FALSE()),"")</f>
        <v>40</v>
      </c>
      <c r="Q1120">
        <f t="shared" si="51"/>
        <v>0.52317073170731709</v>
      </c>
      <c r="R1120">
        <f>IF(AND(COUNTIF($A$2:$A$2047,A1120)&gt;1,COUNTIF($A$2:A1120,A1120)=1),1,0)</f>
        <v>0</v>
      </c>
      <c r="S1120" t="b">
        <f>IFERROR(VLOOKUP(D1120,Products!$A$2:$F$61,6,FALSE()),"")</f>
        <v>1</v>
      </c>
      <c r="T1120" t="str">
        <f>IF(COUNTIF(Customers!$A$2:$A$301,C1120)=0,"Missing","OK")</f>
        <v>OK</v>
      </c>
      <c r="U1120" t="str">
        <f t="shared" si="52"/>
        <v>Mumbai</v>
      </c>
      <c r="V1120">
        <f t="shared" si="53"/>
        <v>0</v>
      </c>
    </row>
    <row r="1121" spans="1:22" ht="15" customHeight="1" x14ac:dyDescent="0.35">
      <c r="A1121" s="3" t="s">
        <v>1545</v>
      </c>
      <c r="B1121" s="4">
        <v>45489</v>
      </c>
      <c r="C1121" s="3" t="s">
        <v>1247</v>
      </c>
      <c r="D1121" s="3" t="s">
        <v>325</v>
      </c>
      <c r="E1121" s="3" t="s">
        <v>224</v>
      </c>
      <c r="F1121" s="5">
        <v>6</v>
      </c>
      <c r="G1121" s="5">
        <v>2290</v>
      </c>
      <c r="H1121" s="5">
        <v>18.8</v>
      </c>
      <c r="I1121" s="5">
        <v>11156.88</v>
      </c>
      <c r="J1121" s="3" t="s">
        <v>26</v>
      </c>
      <c r="K1121" s="3" t="s">
        <v>33</v>
      </c>
      <c r="L1121" t="str">
        <f>IFERROR(VLOOKUP(D1121,Products!$A$2:$F$61,3,FALSE()),"")</f>
        <v>Beauty</v>
      </c>
      <c r="M1121" t="str">
        <f>IFERROR(VLOOKUP(E1121,Sales_Reps!$A$2:$C$31,3,FALSE()),"")</f>
        <v>East</v>
      </c>
      <c r="N1121">
        <f>IFERROR(VLOOKUP(D1121,Products!$A$2:$F$61,4,FALSE()),"")</f>
        <v>1219</v>
      </c>
      <c r="O1121" t="str">
        <f>IFERROR(VLOOKUP(C1121,Customers!$A$2:$F$301,5,FALSE()),"")</f>
        <v>SMB</v>
      </c>
      <c r="P1121">
        <f>IFERROR(VLOOKUP(C1121,Customers!$A$2:$F$301,3,FALSE()),"")</f>
        <v>51</v>
      </c>
      <c r="Q1121">
        <f t="shared" si="51"/>
        <v>0.46768558951965067</v>
      </c>
      <c r="R1121">
        <f>IF(AND(COUNTIF($A$2:$A$2047,A1121)&gt;1,COUNTIF($A$2:A1121,A1121)=1),1,0)</f>
        <v>0</v>
      </c>
      <c r="S1121" t="b">
        <f>IFERROR(VLOOKUP(D1121,Products!$A$2:$F$61,6,FALSE()),"")</f>
        <v>1</v>
      </c>
      <c r="T1121" t="str">
        <f>IF(COUNTIF(Customers!$A$2:$A$301,C1121)=0,"Missing","OK")</f>
        <v>OK</v>
      </c>
      <c r="U1121" t="str">
        <f t="shared" si="52"/>
        <v>Chennai</v>
      </c>
      <c r="V1121">
        <f t="shared" si="53"/>
        <v>0</v>
      </c>
    </row>
    <row r="1122" spans="1:22" ht="15" customHeight="1" x14ac:dyDescent="0.35">
      <c r="A1122" s="3" t="s">
        <v>1546</v>
      </c>
      <c r="B1122" s="4">
        <v>45394</v>
      </c>
      <c r="C1122" s="3" t="s">
        <v>628</v>
      </c>
      <c r="D1122" s="3" t="s">
        <v>96</v>
      </c>
      <c r="E1122" s="3" t="s">
        <v>97</v>
      </c>
      <c r="F1122" s="5">
        <v>6</v>
      </c>
      <c r="G1122" s="5">
        <v>3450</v>
      </c>
      <c r="H1122" s="5">
        <v>28.4</v>
      </c>
      <c r="I1122" s="5">
        <v>14821.2</v>
      </c>
      <c r="J1122" s="3" t="s">
        <v>26</v>
      </c>
      <c r="K1122" s="3" t="s">
        <v>72</v>
      </c>
      <c r="L1122" t="str">
        <f>IFERROR(VLOOKUP(D1122,Products!$A$2:$F$61,3,FALSE()),"")</f>
        <v>Beauty</v>
      </c>
      <c r="M1122" t="str">
        <f>IFERROR(VLOOKUP(E1122,Sales_Reps!$A$2:$C$31,3,FALSE()),"")</f>
        <v>East</v>
      </c>
      <c r="N1122">
        <f>IFERROR(VLOOKUP(D1122,Products!$A$2:$F$61,4,FALSE()),"")</f>
        <v>2420</v>
      </c>
      <c r="O1122" t="str">
        <f>IFERROR(VLOOKUP(C1122,Customers!$A$2:$F$301,5,FALSE()),"")</f>
        <v>Retail</v>
      </c>
      <c r="P1122">
        <f>IFERROR(VLOOKUP(C1122,Customers!$A$2:$F$301,3,FALSE()),"")</f>
        <v>28</v>
      </c>
      <c r="Q1122">
        <f t="shared" si="51"/>
        <v>0.29855072463768118</v>
      </c>
      <c r="R1122">
        <f>IF(AND(COUNTIF($A$2:$A$2047,A1122)&gt;1,COUNTIF($A$2:A1122,A1122)=1),1,0)</f>
        <v>0</v>
      </c>
      <c r="S1122" t="b">
        <f>IFERROR(VLOOKUP(D1122,Products!$A$2:$F$61,6,FALSE()),"")</f>
        <v>1</v>
      </c>
      <c r="T1122" t="str">
        <f>IF(COUNTIF(Customers!$A$2:$A$301,C1122)=0,"Missing","OK")</f>
        <v>OK</v>
      </c>
      <c r="U1122" t="str">
        <f t="shared" si="52"/>
        <v>Hyderabad</v>
      </c>
      <c r="V1122">
        <f t="shared" si="53"/>
        <v>0</v>
      </c>
    </row>
    <row r="1123" spans="1:22" ht="15" customHeight="1" x14ac:dyDescent="0.35">
      <c r="A1123" s="3" t="s">
        <v>1547</v>
      </c>
      <c r="B1123" s="4">
        <v>45340</v>
      </c>
      <c r="C1123" s="3" t="s">
        <v>62</v>
      </c>
      <c r="D1123" s="3" t="s">
        <v>234</v>
      </c>
      <c r="E1123" s="3" t="s">
        <v>236</v>
      </c>
      <c r="F1123" s="5">
        <v>10</v>
      </c>
      <c r="G1123" s="5">
        <v>2030</v>
      </c>
      <c r="H1123" s="5">
        <v>8</v>
      </c>
      <c r="I1123" s="5">
        <v>18676</v>
      </c>
      <c r="J1123" s="3" t="s">
        <v>26</v>
      </c>
      <c r="K1123" s="3" t="s">
        <v>56</v>
      </c>
      <c r="L1123" t="str">
        <f>IFERROR(VLOOKUP(D1123,Products!$A$2:$F$61,3,FALSE()),"")</f>
        <v>Home</v>
      </c>
      <c r="M1123" t="str">
        <f>IFERROR(VLOOKUP(E1123,Sales_Reps!$A$2:$C$31,3,FALSE()),"")</f>
        <v>North</v>
      </c>
      <c r="N1123">
        <f>IFERROR(VLOOKUP(D1123,Products!$A$2:$F$61,4,FALSE()),"")</f>
        <v>1143</v>
      </c>
      <c r="O1123" t="str">
        <f>IFERROR(VLOOKUP(C1123,Customers!$A$2:$F$301,5,FALSE()),"")</f>
        <v>Retail</v>
      </c>
      <c r="P1123">
        <f>IFERROR(VLOOKUP(C1123,Customers!$A$2:$F$301,3,FALSE()),"")</f>
        <v>42</v>
      </c>
      <c r="Q1123">
        <f t="shared" si="51"/>
        <v>0.43694581280788175</v>
      </c>
      <c r="R1123">
        <f>IF(AND(COUNTIF($A$2:$A$2047,A1123)&gt;1,COUNTIF($A$2:A1123,A1123)=1),1,0)</f>
        <v>0</v>
      </c>
      <c r="S1123" t="b">
        <f>IFERROR(VLOOKUP(D1123,Products!$A$2:$F$61,6,FALSE()),"")</f>
        <v>1</v>
      </c>
      <c r="T1123" t="str">
        <f>IF(COUNTIF(Customers!$A$2:$A$301,C1123)=0,"Missing","OK")</f>
        <v>OK</v>
      </c>
      <c r="U1123" t="str">
        <f t="shared" si="52"/>
        <v>Bengaluru</v>
      </c>
      <c r="V1123">
        <f t="shared" si="53"/>
        <v>0</v>
      </c>
    </row>
    <row r="1124" spans="1:22" ht="15" customHeight="1" x14ac:dyDescent="0.35">
      <c r="A1124" s="3" t="s">
        <v>1548</v>
      </c>
      <c r="B1124" s="4">
        <v>45378</v>
      </c>
      <c r="C1124" s="3" t="s">
        <v>898</v>
      </c>
      <c r="D1124" s="3" t="s">
        <v>90</v>
      </c>
      <c r="E1124" s="3" t="s">
        <v>224</v>
      </c>
      <c r="F1124" s="5">
        <v>1</v>
      </c>
      <c r="G1124" s="5">
        <v>2400</v>
      </c>
      <c r="H1124" s="5">
        <v>9.6999999999999993</v>
      </c>
      <c r="I1124" s="5">
        <v>2167.1999999999998</v>
      </c>
      <c r="J1124" s="3" t="s">
        <v>26</v>
      </c>
      <c r="K1124" s="3" t="s">
        <v>51</v>
      </c>
      <c r="L1124" t="str">
        <f>IFERROR(VLOOKUP(D1124,Products!$A$2:$F$61,3,FALSE()),"")</f>
        <v>Sports</v>
      </c>
      <c r="M1124" t="str">
        <f>IFERROR(VLOOKUP(E1124,Sales_Reps!$A$2:$C$31,3,FALSE()),"")</f>
        <v>East</v>
      </c>
      <c r="N1124">
        <f>IFERROR(VLOOKUP(D1124,Products!$A$2:$F$61,4,FALSE()),"")</f>
        <v>974</v>
      </c>
      <c r="O1124" t="str">
        <f>IFERROR(VLOOKUP(C1124,Customers!$A$2:$F$301,5,FALSE()),"")</f>
        <v>SMB</v>
      </c>
      <c r="P1124">
        <f>IFERROR(VLOOKUP(C1124,Customers!$A$2:$F$301,3,FALSE()),"")</f>
        <v>65</v>
      </c>
      <c r="Q1124">
        <f t="shared" si="51"/>
        <v>0.59416666666666662</v>
      </c>
      <c r="R1124">
        <f>IF(AND(COUNTIF($A$2:$A$2047,A1124)&gt;1,COUNTIF($A$2:A1124,A1124)=1),1,0)</f>
        <v>0</v>
      </c>
      <c r="S1124" t="b">
        <f>IFERROR(VLOOKUP(D1124,Products!$A$2:$F$61,6,FALSE()),"")</f>
        <v>1</v>
      </c>
      <c r="T1124" t="str">
        <f>IF(COUNTIF(Customers!$A$2:$A$301,C1124)=0,"Missing","OK")</f>
        <v>OK</v>
      </c>
      <c r="U1124" t="str">
        <f t="shared" si="52"/>
        <v>Mumbai</v>
      </c>
      <c r="V1124">
        <f t="shared" si="53"/>
        <v>0</v>
      </c>
    </row>
    <row r="1125" spans="1:22" ht="15" customHeight="1" x14ac:dyDescent="0.35">
      <c r="A1125" s="3" t="s">
        <v>1549</v>
      </c>
      <c r="B1125" s="4">
        <v>45369</v>
      </c>
      <c r="C1125" s="3" t="s">
        <v>582</v>
      </c>
      <c r="D1125" s="3" t="s">
        <v>234</v>
      </c>
      <c r="E1125" s="3" t="s">
        <v>37</v>
      </c>
      <c r="F1125" s="5">
        <v>4</v>
      </c>
      <c r="G1125" s="5">
        <v>2030</v>
      </c>
      <c r="H1125" s="5">
        <v>24.8</v>
      </c>
      <c r="I1125" s="5">
        <v>6106.24</v>
      </c>
      <c r="J1125" s="3" t="s">
        <v>32</v>
      </c>
      <c r="K1125" s="3" t="s">
        <v>51</v>
      </c>
      <c r="L1125" t="str">
        <f>IFERROR(VLOOKUP(D1125,Products!$A$2:$F$61,3,FALSE()),"")</f>
        <v>Home</v>
      </c>
      <c r="M1125" t="str">
        <f>IFERROR(VLOOKUP(E1125,Sales_Reps!$A$2:$C$31,3,FALSE()),"")</f>
        <v>South</v>
      </c>
      <c r="N1125">
        <f>IFERROR(VLOOKUP(D1125,Products!$A$2:$F$61,4,FALSE()),"")</f>
        <v>1143</v>
      </c>
      <c r="O1125" t="str">
        <f>IFERROR(VLOOKUP(C1125,Customers!$A$2:$F$301,5,FALSE()),"")</f>
        <v>SMB</v>
      </c>
      <c r="P1125">
        <f>IFERROR(VLOOKUP(C1125,Customers!$A$2:$F$301,3,FALSE()),"")</f>
        <v>27</v>
      </c>
      <c r="Q1125">
        <f t="shared" si="51"/>
        <v>0.43694581280788175</v>
      </c>
      <c r="R1125">
        <f>IF(AND(COUNTIF($A$2:$A$2047,A1125)&gt;1,COUNTIF($A$2:A1125,A1125)=1),1,0)</f>
        <v>0</v>
      </c>
      <c r="S1125" t="b">
        <f>IFERROR(VLOOKUP(D1125,Products!$A$2:$F$61,6,FALSE()),"")</f>
        <v>1</v>
      </c>
      <c r="T1125" t="str">
        <f>IF(COUNTIF(Customers!$A$2:$A$301,C1125)=0,"Missing","OK")</f>
        <v>OK</v>
      </c>
      <c r="U1125" t="str">
        <f t="shared" si="52"/>
        <v>Mumbai</v>
      </c>
      <c r="V1125">
        <f t="shared" si="53"/>
        <v>0</v>
      </c>
    </row>
    <row r="1126" spans="1:22" ht="15" customHeight="1" x14ac:dyDescent="0.35">
      <c r="A1126" s="3" t="s">
        <v>1550</v>
      </c>
      <c r="B1126" s="4">
        <v>45513</v>
      </c>
      <c r="C1126" s="3" t="s">
        <v>117</v>
      </c>
      <c r="D1126" s="3" t="s">
        <v>290</v>
      </c>
      <c r="E1126" s="3" t="s">
        <v>236</v>
      </c>
      <c r="F1126" s="5">
        <v>5</v>
      </c>
      <c r="G1126" s="5">
        <v>4060</v>
      </c>
      <c r="H1126" s="5">
        <v>9.1</v>
      </c>
      <c r="I1126" s="5">
        <v>18452.7</v>
      </c>
      <c r="J1126" s="3" t="s">
        <v>32</v>
      </c>
      <c r="K1126" s="3" t="s">
        <v>33</v>
      </c>
      <c r="L1126" t="str">
        <f>IFERROR(VLOOKUP(D1126,Products!$A$2:$F$61,3,FALSE()),"")</f>
        <v>Grocery</v>
      </c>
      <c r="M1126" t="str">
        <f>IFERROR(VLOOKUP(E1126,Sales_Reps!$A$2:$C$31,3,FALSE()),"")</f>
        <v>North</v>
      </c>
      <c r="N1126">
        <f>IFERROR(VLOOKUP(D1126,Products!$A$2:$F$61,4,FALSE()),"")</f>
        <v>2911</v>
      </c>
      <c r="O1126" t="str">
        <f>IFERROR(VLOOKUP(C1126,Customers!$A$2:$F$301,5,FALSE()),"")</f>
        <v>Corporate</v>
      </c>
      <c r="P1126">
        <f>IFERROR(VLOOKUP(C1126,Customers!$A$2:$F$301,3,FALSE()),"")</f>
        <v>55</v>
      </c>
      <c r="Q1126">
        <f t="shared" si="51"/>
        <v>0.28300492610837441</v>
      </c>
      <c r="R1126">
        <f>IF(AND(COUNTIF($A$2:$A$2047,A1126)&gt;1,COUNTIF($A$2:A1126,A1126)=1),1,0)</f>
        <v>0</v>
      </c>
      <c r="S1126" t="b">
        <f>IFERROR(VLOOKUP(D1126,Products!$A$2:$F$61,6,FALSE()),"")</f>
        <v>1</v>
      </c>
      <c r="T1126" t="str">
        <f>IF(COUNTIF(Customers!$A$2:$A$301,C1126)=0,"Missing","OK")</f>
        <v>OK</v>
      </c>
      <c r="U1126" t="str">
        <f t="shared" si="52"/>
        <v>Chennai</v>
      </c>
      <c r="V1126">
        <f t="shared" si="53"/>
        <v>0</v>
      </c>
    </row>
    <row r="1127" spans="1:22" ht="15" customHeight="1" x14ac:dyDescent="0.35">
      <c r="A1127" s="3" t="s">
        <v>1551</v>
      </c>
      <c r="B1127" s="4">
        <v>45438</v>
      </c>
      <c r="C1127" s="3" t="s">
        <v>346</v>
      </c>
      <c r="D1127" s="3" t="s">
        <v>234</v>
      </c>
      <c r="E1127" s="3" t="s">
        <v>191</v>
      </c>
      <c r="F1127" s="5">
        <v>9</v>
      </c>
      <c r="G1127" s="5">
        <v>2030</v>
      </c>
      <c r="H1127" s="5">
        <v>15.9</v>
      </c>
      <c r="I1127" s="5">
        <v>15365.07</v>
      </c>
      <c r="J1127" s="3" t="s">
        <v>32</v>
      </c>
      <c r="K1127" s="3" t="s">
        <v>27</v>
      </c>
      <c r="L1127" t="str">
        <f>IFERROR(VLOOKUP(D1127,Products!$A$2:$F$61,3,FALSE()),"")</f>
        <v>Home</v>
      </c>
      <c r="M1127" t="str">
        <f>IFERROR(VLOOKUP(E1127,Sales_Reps!$A$2:$C$31,3,FALSE()),"")</f>
        <v>South</v>
      </c>
      <c r="N1127">
        <f>IFERROR(VLOOKUP(D1127,Products!$A$2:$F$61,4,FALSE()),"")</f>
        <v>1143</v>
      </c>
      <c r="O1127" t="str">
        <f>IFERROR(VLOOKUP(C1127,Customers!$A$2:$F$301,5,FALSE()),"")</f>
        <v>SMB</v>
      </c>
      <c r="P1127">
        <f>IFERROR(VLOOKUP(C1127,Customers!$A$2:$F$301,3,FALSE()),"")</f>
        <v>53</v>
      </c>
      <c r="Q1127">
        <f t="shared" si="51"/>
        <v>0.43694581280788175</v>
      </c>
      <c r="R1127">
        <f>IF(AND(COUNTIF($A$2:$A$2047,A1127)&gt;1,COUNTIF($A$2:A1127,A1127)=1),1,0)</f>
        <v>0</v>
      </c>
      <c r="S1127" t="b">
        <f>IFERROR(VLOOKUP(D1127,Products!$A$2:$F$61,6,FALSE()),"")</f>
        <v>1</v>
      </c>
      <c r="T1127" t="str">
        <f>IF(COUNTIF(Customers!$A$2:$A$301,C1127)=0,"Missing","OK")</f>
        <v>OK</v>
      </c>
      <c r="U1127" t="str">
        <f t="shared" si="52"/>
        <v>Pune</v>
      </c>
      <c r="V1127">
        <f t="shared" si="53"/>
        <v>0</v>
      </c>
    </row>
    <row r="1128" spans="1:22" ht="15" customHeight="1" x14ac:dyDescent="0.35">
      <c r="A1128" s="3" t="s">
        <v>1552</v>
      </c>
      <c r="B1128" s="4">
        <v>45529</v>
      </c>
      <c r="C1128" s="3" t="s">
        <v>677</v>
      </c>
      <c r="D1128" s="3" t="s">
        <v>118</v>
      </c>
      <c r="E1128" s="3" t="s">
        <v>37</v>
      </c>
      <c r="F1128" s="5">
        <v>1</v>
      </c>
      <c r="G1128" s="5">
        <v>3350</v>
      </c>
      <c r="H1128" s="5">
        <v>23.2</v>
      </c>
      <c r="I1128" s="5">
        <v>2572.8000000000002</v>
      </c>
      <c r="J1128" s="3" t="s">
        <v>83</v>
      </c>
      <c r="K1128" s="3" t="s">
        <v>27</v>
      </c>
      <c r="L1128" t="str">
        <f>IFERROR(VLOOKUP(D1128,Products!$A$2:$F$61,3,FALSE()),"")</f>
        <v>Beauty</v>
      </c>
      <c r="M1128" t="str">
        <f>IFERROR(VLOOKUP(E1128,Sales_Reps!$A$2:$C$31,3,FALSE()),"")</f>
        <v>South</v>
      </c>
      <c r="N1128">
        <f>IFERROR(VLOOKUP(D1128,Products!$A$2:$F$61,4,FALSE()),"")</f>
        <v>1728</v>
      </c>
      <c r="O1128" t="str">
        <f>IFERROR(VLOOKUP(C1128,Customers!$A$2:$F$301,5,FALSE()),"")</f>
        <v>Retail</v>
      </c>
      <c r="P1128">
        <f>IFERROR(VLOOKUP(C1128,Customers!$A$2:$F$301,3,FALSE()),"")</f>
        <v>36</v>
      </c>
      <c r="Q1128">
        <f t="shared" si="51"/>
        <v>0.48417910447761192</v>
      </c>
      <c r="R1128">
        <f>IF(AND(COUNTIF($A$2:$A$2047,A1128)&gt;1,COUNTIF($A$2:A1128,A1128)=1),1,0)</f>
        <v>0</v>
      </c>
      <c r="S1128" t="b">
        <f>IFERROR(VLOOKUP(D1128,Products!$A$2:$F$61,6,FALSE()),"")</f>
        <v>1</v>
      </c>
      <c r="T1128" t="str">
        <f>IF(COUNTIF(Customers!$A$2:$A$301,C1128)=0,"Missing","OK")</f>
        <v>OK</v>
      </c>
      <c r="U1128" t="str">
        <f t="shared" si="52"/>
        <v>Pune</v>
      </c>
      <c r="V1128">
        <f t="shared" si="53"/>
        <v>0</v>
      </c>
    </row>
    <row r="1129" spans="1:22" ht="15" customHeight="1" x14ac:dyDescent="0.35">
      <c r="A1129" s="3" t="s">
        <v>1553</v>
      </c>
      <c r="B1129" s="4">
        <v>45634</v>
      </c>
      <c r="C1129" s="3" t="s">
        <v>393</v>
      </c>
      <c r="D1129" s="3" t="s">
        <v>142</v>
      </c>
      <c r="E1129" s="3" t="s">
        <v>42</v>
      </c>
      <c r="F1129" s="5">
        <v>4</v>
      </c>
      <c r="G1129" s="5">
        <v>660</v>
      </c>
      <c r="H1129" s="5">
        <v>27.1</v>
      </c>
      <c r="I1129" s="5">
        <v>1924.56</v>
      </c>
      <c r="J1129" s="3" t="s">
        <v>26</v>
      </c>
      <c r="K1129" s="3" t="s">
        <v>72</v>
      </c>
      <c r="L1129" t="str">
        <f>IFERROR(VLOOKUP(D1129,Products!$A$2:$F$61,3,FALSE()),"")</f>
        <v>Home</v>
      </c>
      <c r="M1129" t="str">
        <f>IFERROR(VLOOKUP(E1129,Sales_Reps!$A$2:$C$31,3,FALSE()),"")</f>
        <v>North</v>
      </c>
      <c r="N1129">
        <f>IFERROR(VLOOKUP(D1129,Products!$A$2:$F$61,4,FALSE()),"")</f>
        <v>329</v>
      </c>
      <c r="O1129" t="str">
        <f>IFERROR(VLOOKUP(C1129,Customers!$A$2:$F$301,5,FALSE()),"")</f>
        <v>Corporate</v>
      </c>
      <c r="P1129">
        <f>IFERROR(VLOOKUP(C1129,Customers!$A$2:$F$301,3,FALSE()),"")</f>
        <v>43</v>
      </c>
      <c r="Q1129">
        <f t="shared" si="51"/>
        <v>0.50151515151515147</v>
      </c>
      <c r="R1129">
        <f>IF(AND(COUNTIF($A$2:$A$2047,A1129)&gt;1,COUNTIF($A$2:A1129,A1129)=1),1,0)</f>
        <v>0</v>
      </c>
      <c r="S1129" t="b">
        <f>IFERROR(VLOOKUP(D1129,Products!$A$2:$F$61,6,FALSE()),"")</f>
        <v>1</v>
      </c>
      <c r="T1129" t="str">
        <f>IF(COUNTIF(Customers!$A$2:$A$301,C1129)=0,"Missing","OK")</f>
        <v>OK</v>
      </c>
      <c r="U1129" t="str">
        <f t="shared" si="52"/>
        <v>Hyderabad</v>
      </c>
      <c r="V1129">
        <f t="shared" si="53"/>
        <v>0</v>
      </c>
    </row>
    <row r="1130" spans="1:22" ht="15" customHeight="1" x14ac:dyDescent="0.35">
      <c r="A1130" s="3" t="s">
        <v>1554</v>
      </c>
      <c r="B1130" s="4">
        <v>45441</v>
      </c>
      <c r="C1130" s="3" t="s">
        <v>200</v>
      </c>
      <c r="D1130" s="3" t="s">
        <v>215</v>
      </c>
      <c r="E1130" s="3" t="s">
        <v>37</v>
      </c>
      <c r="F1130" s="5">
        <v>3</v>
      </c>
      <c r="G1130" s="5">
        <v>3020</v>
      </c>
      <c r="H1130" s="5">
        <v>7.2</v>
      </c>
      <c r="I1130" s="5">
        <v>8407.68</v>
      </c>
      <c r="J1130" s="3" t="s">
        <v>26</v>
      </c>
      <c r="K1130" s="3" t="s">
        <v>38</v>
      </c>
      <c r="L1130" t="str">
        <f>IFERROR(VLOOKUP(D1130,Products!$A$2:$F$61,3,FALSE()),"")</f>
        <v>Beauty</v>
      </c>
      <c r="M1130" t="str">
        <f>IFERROR(VLOOKUP(E1130,Sales_Reps!$A$2:$C$31,3,FALSE()),"")</f>
        <v>South</v>
      </c>
      <c r="N1130">
        <f>IFERROR(VLOOKUP(D1130,Products!$A$2:$F$61,4,FALSE()),"")</f>
        <v>1626</v>
      </c>
      <c r="O1130" t="str">
        <f>IFERROR(VLOOKUP(C1130,Customers!$A$2:$F$301,5,FALSE()),"")</f>
        <v>Retail</v>
      </c>
      <c r="P1130">
        <f>IFERROR(VLOOKUP(C1130,Customers!$A$2:$F$301,3,FALSE()),"")</f>
        <v>54</v>
      </c>
      <c r="Q1130">
        <f t="shared" si="51"/>
        <v>0.46158940397350995</v>
      </c>
      <c r="R1130">
        <f>IF(AND(COUNTIF($A$2:$A$2047,A1130)&gt;1,COUNTIF($A$2:A1130,A1130)=1),1,0)</f>
        <v>0</v>
      </c>
      <c r="S1130" t="b">
        <f>IFERROR(VLOOKUP(D1130,Products!$A$2:$F$61,6,FALSE()),"")</f>
        <v>1</v>
      </c>
      <c r="T1130" t="str">
        <f>IF(COUNTIF(Customers!$A$2:$A$301,C1130)=0,"Missing","OK")</f>
        <v>OK</v>
      </c>
      <c r="U1130" t="str">
        <f t="shared" si="52"/>
        <v>Delhi</v>
      </c>
      <c r="V1130">
        <f t="shared" si="53"/>
        <v>0</v>
      </c>
    </row>
    <row r="1131" spans="1:22" ht="15" customHeight="1" x14ac:dyDescent="0.35">
      <c r="A1131" s="3" t="s">
        <v>1555</v>
      </c>
      <c r="B1131" s="4">
        <v>45409</v>
      </c>
      <c r="C1131" s="3" t="s">
        <v>504</v>
      </c>
      <c r="D1131" s="3" t="s">
        <v>218</v>
      </c>
      <c r="E1131" s="3" t="s">
        <v>42</v>
      </c>
      <c r="F1131" s="5">
        <v>3</v>
      </c>
      <c r="G1131" s="5">
        <v>2660</v>
      </c>
      <c r="H1131" s="5">
        <v>0.2</v>
      </c>
      <c r="I1131" s="5">
        <v>7964.04</v>
      </c>
      <c r="J1131" s="3" t="s">
        <v>26</v>
      </c>
      <c r="K1131" s="3" t="s">
        <v>51</v>
      </c>
      <c r="L1131" t="str">
        <f>IFERROR(VLOOKUP(D1131,Products!$A$2:$F$61,3,FALSE()),"")</f>
        <v>Electronics</v>
      </c>
      <c r="M1131" t="str">
        <f>IFERROR(VLOOKUP(E1131,Sales_Reps!$A$2:$C$31,3,FALSE()),"")</f>
        <v>North</v>
      </c>
      <c r="N1131">
        <f>IFERROR(VLOOKUP(D1131,Products!$A$2:$F$61,4,FALSE()),"")</f>
        <v>1259</v>
      </c>
      <c r="O1131" t="str">
        <f>IFERROR(VLOOKUP(C1131,Customers!$A$2:$F$301,5,FALSE()),"")</f>
        <v>SMB</v>
      </c>
      <c r="P1131">
        <f>IFERROR(VLOOKUP(C1131,Customers!$A$2:$F$301,3,FALSE()),"")</f>
        <v>61</v>
      </c>
      <c r="Q1131">
        <f t="shared" si="51"/>
        <v>0.52669172932330832</v>
      </c>
      <c r="R1131">
        <f>IF(AND(COUNTIF($A$2:$A$2047,A1131)&gt;1,COUNTIF($A$2:A1131,A1131)=1),1,0)</f>
        <v>0</v>
      </c>
      <c r="S1131" t="b">
        <f>IFERROR(VLOOKUP(D1131,Products!$A$2:$F$61,6,FALSE()),"")</f>
        <v>0</v>
      </c>
      <c r="T1131" t="str">
        <f>IF(COUNTIF(Customers!$A$2:$A$301,C1131)=0,"Missing","OK")</f>
        <v>OK</v>
      </c>
      <c r="U1131" t="str">
        <f t="shared" si="52"/>
        <v>Mumbai</v>
      </c>
      <c r="V1131">
        <f t="shared" si="53"/>
        <v>0</v>
      </c>
    </row>
    <row r="1132" spans="1:22" ht="15" customHeight="1" x14ac:dyDescent="0.35">
      <c r="A1132" s="3" t="s">
        <v>1556</v>
      </c>
      <c r="B1132" s="4">
        <v>45650</v>
      </c>
      <c r="C1132" s="3" t="s">
        <v>895</v>
      </c>
      <c r="D1132" s="3" t="s">
        <v>121</v>
      </c>
      <c r="E1132" s="3" t="s">
        <v>42</v>
      </c>
      <c r="F1132" s="5">
        <v>4</v>
      </c>
      <c r="G1132" s="5">
        <v>1010</v>
      </c>
      <c r="H1132" s="5">
        <v>3.1</v>
      </c>
      <c r="I1132" s="5">
        <v>3914.76</v>
      </c>
      <c r="J1132" s="3" t="s">
        <v>26</v>
      </c>
      <c r="K1132" s="3" t="s">
        <v>51</v>
      </c>
      <c r="L1132" t="str">
        <f>IFERROR(VLOOKUP(D1132,Products!$A$2:$F$61,3,FALSE()),"")</f>
        <v>Sports</v>
      </c>
      <c r="M1132" t="str">
        <f>IFERROR(VLOOKUP(E1132,Sales_Reps!$A$2:$C$31,3,FALSE()),"")</f>
        <v>North</v>
      </c>
      <c r="N1132">
        <f>IFERROR(VLOOKUP(D1132,Products!$A$2:$F$61,4,FALSE()),"")</f>
        <v>516</v>
      </c>
      <c r="O1132" t="str">
        <f>IFERROR(VLOOKUP(C1132,Customers!$A$2:$F$301,5,FALSE()),"")</f>
        <v>Retail</v>
      </c>
      <c r="P1132">
        <f>IFERROR(VLOOKUP(C1132,Customers!$A$2:$F$301,3,FALSE()),"")</f>
        <v>49</v>
      </c>
      <c r="Q1132">
        <f t="shared" si="51"/>
        <v>0.4891089108910891</v>
      </c>
      <c r="R1132">
        <f>IF(AND(COUNTIF($A$2:$A$2047,A1132)&gt;1,COUNTIF($A$2:A1132,A1132)=1),1,0)</f>
        <v>0</v>
      </c>
      <c r="S1132" t="b">
        <f>IFERROR(VLOOKUP(D1132,Products!$A$2:$F$61,6,FALSE()),"")</f>
        <v>1</v>
      </c>
      <c r="T1132" t="str">
        <f>IF(COUNTIF(Customers!$A$2:$A$301,C1132)=0,"Missing","OK")</f>
        <v>OK</v>
      </c>
      <c r="U1132" t="str">
        <f t="shared" si="52"/>
        <v>Mumbai</v>
      </c>
      <c r="V1132">
        <f t="shared" si="53"/>
        <v>0</v>
      </c>
    </row>
    <row r="1133" spans="1:22" ht="15" customHeight="1" x14ac:dyDescent="0.35">
      <c r="A1133" s="3" t="s">
        <v>1557</v>
      </c>
      <c r="B1133" s="4">
        <v>45380</v>
      </c>
      <c r="C1133" s="3" t="s">
        <v>891</v>
      </c>
      <c r="D1133" s="3" t="s">
        <v>63</v>
      </c>
      <c r="E1133" s="3" t="s">
        <v>177</v>
      </c>
      <c r="F1133" s="5">
        <v>5</v>
      </c>
      <c r="G1133" s="5">
        <v>5490</v>
      </c>
      <c r="H1133" s="5">
        <v>3.6</v>
      </c>
      <c r="I1133" s="5">
        <v>26461.8</v>
      </c>
      <c r="J1133" s="3" t="s">
        <v>26</v>
      </c>
      <c r="K1133" s="3" t="s">
        <v>72</v>
      </c>
      <c r="L1133" t="str">
        <f>IFERROR(VLOOKUP(D1133,Products!$A$2:$F$61,3,FALSE()),"")</f>
        <v>Home</v>
      </c>
      <c r="M1133" t="str">
        <f>IFERROR(VLOOKUP(E1133,Sales_Reps!$A$2:$C$31,3,FALSE()),"")</f>
        <v>East</v>
      </c>
      <c r="N1133">
        <f>IFERROR(VLOOKUP(D1133,Products!$A$2:$F$61,4,FALSE()),"")</f>
        <v>2549</v>
      </c>
      <c r="O1133" t="str">
        <f>IFERROR(VLOOKUP(C1133,Customers!$A$2:$F$301,5,FALSE()),"")</f>
        <v>Retail</v>
      </c>
      <c r="P1133">
        <f>IFERROR(VLOOKUP(C1133,Customers!$A$2:$F$301,3,FALSE()),"")</f>
        <v>35</v>
      </c>
      <c r="Q1133">
        <f t="shared" si="51"/>
        <v>0.53570127504553733</v>
      </c>
      <c r="R1133">
        <f>IF(AND(COUNTIF($A$2:$A$2047,A1133)&gt;1,COUNTIF($A$2:A1133,A1133)=1),1,0)</f>
        <v>0</v>
      </c>
      <c r="S1133" t="b">
        <f>IFERROR(VLOOKUP(D1133,Products!$A$2:$F$61,6,FALSE()),"")</f>
        <v>1</v>
      </c>
      <c r="T1133" t="str">
        <f>IF(COUNTIF(Customers!$A$2:$A$301,C1133)=0,"Missing","OK")</f>
        <v>OK</v>
      </c>
      <c r="U1133" t="str">
        <f t="shared" si="52"/>
        <v>Hyderabad</v>
      </c>
      <c r="V1133">
        <f t="shared" si="53"/>
        <v>0</v>
      </c>
    </row>
    <row r="1134" spans="1:22" ht="15" customHeight="1" x14ac:dyDescent="0.35">
      <c r="A1134" s="3" t="s">
        <v>1558</v>
      </c>
      <c r="B1134" s="4">
        <v>45322</v>
      </c>
      <c r="C1134" s="3" t="s">
        <v>99</v>
      </c>
      <c r="D1134" s="3" t="s">
        <v>90</v>
      </c>
      <c r="E1134" s="3" t="s">
        <v>60</v>
      </c>
      <c r="F1134" s="5">
        <v>1</v>
      </c>
      <c r="G1134" s="5">
        <v>2400</v>
      </c>
      <c r="H1134" s="5">
        <v>24.3</v>
      </c>
      <c r="I1134" s="5">
        <v>1816.8</v>
      </c>
      <c r="J1134" s="3" t="s">
        <v>26</v>
      </c>
      <c r="K1134" s="3" t="s">
        <v>51</v>
      </c>
      <c r="L1134" t="str">
        <f>IFERROR(VLOOKUP(D1134,Products!$A$2:$F$61,3,FALSE()),"")</f>
        <v>Sports</v>
      </c>
      <c r="M1134" t="str">
        <f>IFERROR(VLOOKUP(E1134,Sales_Reps!$A$2:$C$31,3,FALSE()),"")</f>
        <v>East</v>
      </c>
      <c r="N1134">
        <f>IFERROR(VLOOKUP(D1134,Products!$A$2:$F$61,4,FALSE()),"")</f>
        <v>974</v>
      </c>
      <c r="O1134" t="str">
        <f>IFERROR(VLOOKUP(C1134,Customers!$A$2:$F$301,5,FALSE()),"")</f>
        <v>Retail</v>
      </c>
      <c r="P1134">
        <f>IFERROR(VLOOKUP(C1134,Customers!$A$2:$F$301,3,FALSE()),"")</f>
        <v>54</v>
      </c>
      <c r="Q1134">
        <f t="shared" si="51"/>
        <v>0.59416666666666662</v>
      </c>
      <c r="R1134">
        <f>IF(AND(COUNTIF($A$2:$A$2047,A1134)&gt;1,COUNTIF($A$2:A1134,A1134)=1),1,0)</f>
        <v>0</v>
      </c>
      <c r="S1134" t="b">
        <f>IFERROR(VLOOKUP(D1134,Products!$A$2:$F$61,6,FALSE()),"")</f>
        <v>1</v>
      </c>
      <c r="T1134" t="str">
        <f>IF(COUNTIF(Customers!$A$2:$A$301,C1134)=0,"Missing","OK")</f>
        <v>OK</v>
      </c>
      <c r="U1134" t="str">
        <f t="shared" si="52"/>
        <v>Mumbai</v>
      </c>
      <c r="V1134">
        <f t="shared" si="53"/>
        <v>0</v>
      </c>
    </row>
    <row r="1135" spans="1:22" ht="15" customHeight="1" x14ac:dyDescent="0.35">
      <c r="A1135" s="3" t="s">
        <v>1559</v>
      </c>
      <c r="B1135" s="4">
        <v>45532</v>
      </c>
      <c r="C1135" s="3" t="s">
        <v>298</v>
      </c>
      <c r="D1135" s="3" t="s">
        <v>142</v>
      </c>
      <c r="E1135" s="3" t="s">
        <v>143</v>
      </c>
      <c r="F1135" s="5">
        <v>8</v>
      </c>
      <c r="G1135" s="5">
        <v>660</v>
      </c>
      <c r="H1135" s="5">
        <v>19.8</v>
      </c>
      <c r="I1135" s="5">
        <v>4234.5600000000004</v>
      </c>
      <c r="J1135" s="3" t="s">
        <v>26</v>
      </c>
      <c r="K1135" s="3" t="s">
        <v>38</v>
      </c>
      <c r="L1135" t="str">
        <f>IFERROR(VLOOKUP(D1135,Products!$A$2:$F$61,3,FALSE()),"")</f>
        <v>Home</v>
      </c>
      <c r="M1135" t="str">
        <f>IFERROR(VLOOKUP(E1135,Sales_Reps!$A$2:$C$31,3,FALSE()),"")</f>
        <v>South</v>
      </c>
      <c r="N1135">
        <f>IFERROR(VLOOKUP(D1135,Products!$A$2:$F$61,4,FALSE()),"")</f>
        <v>329</v>
      </c>
      <c r="O1135" t="str">
        <f>IFERROR(VLOOKUP(C1135,Customers!$A$2:$F$301,5,FALSE()),"")</f>
        <v>SMB</v>
      </c>
      <c r="P1135">
        <f>IFERROR(VLOOKUP(C1135,Customers!$A$2:$F$301,3,FALSE()),"")</f>
        <v>28</v>
      </c>
      <c r="Q1135">
        <f t="shared" si="51"/>
        <v>0.50151515151515147</v>
      </c>
      <c r="R1135">
        <f>IF(AND(COUNTIF($A$2:$A$2047,A1135)&gt;1,COUNTIF($A$2:A1135,A1135)=1),1,0)</f>
        <v>0</v>
      </c>
      <c r="S1135" t="b">
        <f>IFERROR(VLOOKUP(D1135,Products!$A$2:$F$61,6,FALSE()),"")</f>
        <v>1</v>
      </c>
      <c r="T1135" t="str">
        <f>IF(COUNTIF(Customers!$A$2:$A$301,C1135)=0,"Missing","OK")</f>
        <v>OK</v>
      </c>
      <c r="U1135" t="str">
        <f t="shared" si="52"/>
        <v>Delhi</v>
      </c>
      <c r="V1135">
        <f t="shared" si="53"/>
        <v>0</v>
      </c>
    </row>
    <row r="1136" spans="1:22" ht="15" customHeight="1" x14ac:dyDescent="0.35">
      <c r="A1136" s="3" t="s">
        <v>1560</v>
      </c>
      <c r="B1136" s="4">
        <v>45504</v>
      </c>
      <c r="C1136" s="3" t="s">
        <v>1233</v>
      </c>
      <c r="D1136" s="3" t="s">
        <v>303</v>
      </c>
      <c r="E1136" s="3" t="s">
        <v>285</v>
      </c>
      <c r="F1136" s="5">
        <v>9</v>
      </c>
      <c r="G1136" s="5">
        <v>5330</v>
      </c>
      <c r="H1136" s="5">
        <v>16.5</v>
      </c>
      <c r="I1136" s="5">
        <v>40054.949999999997</v>
      </c>
      <c r="J1136" s="3" t="s">
        <v>26</v>
      </c>
      <c r="K1136" s="3" t="s">
        <v>33</v>
      </c>
      <c r="L1136" t="str">
        <f>IFERROR(VLOOKUP(D1136,Products!$A$2:$F$61,3,FALSE()),"")</f>
        <v>Electronics</v>
      </c>
      <c r="M1136" t="str">
        <f>IFERROR(VLOOKUP(E1136,Sales_Reps!$A$2:$C$31,3,FALSE()),"")</f>
        <v>South</v>
      </c>
      <c r="N1136">
        <f>IFERROR(VLOOKUP(D1136,Products!$A$2:$F$61,4,FALSE()),"")</f>
        <v>2405</v>
      </c>
      <c r="O1136" t="str">
        <f>IFERROR(VLOOKUP(C1136,Customers!$A$2:$F$301,5,FALSE()),"")</f>
        <v>SMB</v>
      </c>
      <c r="P1136">
        <f>IFERROR(VLOOKUP(C1136,Customers!$A$2:$F$301,3,FALSE()),"")</f>
        <v>43</v>
      </c>
      <c r="Q1136">
        <f t="shared" si="51"/>
        <v>0.54878048780487809</v>
      </c>
      <c r="R1136">
        <f>IF(AND(COUNTIF($A$2:$A$2047,A1136)&gt;1,COUNTIF($A$2:A1136,A1136)=1),1,0)</f>
        <v>0</v>
      </c>
      <c r="S1136" t="b">
        <f>IFERROR(VLOOKUP(D1136,Products!$A$2:$F$61,6,FALSE()),"")</f>
        <v>1</v>
      </c>
      <c r="T1136" t="str">
        <f>IF(COUNTIF(Customers!$A$2:$A$301,C1136)=0,"Missing","OK")</f>
        <v>OK</v>
      </c>
      <c r="U1136" t="str">
        <f t="shared" si="52"/>
        <v>Chennai</v>
      </c>
      <c r="V1136">
        <f t="shared" si="53"/>
        <v>0</v>
      </c>
    </row>
    <row r="1137" spans="1:22" ht="15" customHeight="1" x14ac:dyDescent="0.35">
      <c r="A1137" s="3" t="s">
        <v>1229</v>
      </c>
      <c r="B1137" s="4">
        <v>45516</v>
      </c>
      <c r="C1137" s="3" t="s">
        <v>528</v>
      </c>
      <c r="D1137" s="3" t="s">
        <v>77</v>
      </c>
      <c r="E1137" s="3" t="s">
        <v>25</v>
      </c>
      <c r="F1137" s="5">
        <v>5</v>
      </c>
      <c r="G1137" s="5">
        <v>2600</v>
      </c>
      <c r="H1137" s="5">
        <v>0.3</v>
      </c>
      <c r="I1137" s="5">
        <v>12961</v>
      </c>
      <c r="J1137" s="3" t="s">
        <v>26</v>
      </c>
      <c r="K1137" s="3" t="s">
        <v>33</v>
      </c>
      <c r="L1137" t="str">
        <f>IFERROR(VLOOKUP(D1137,Products!$A$2:$F$61,3,FALSE()),"")</f>
        <v>Electronics</v>
      </c>
      <c r="M1137" t="str">
        <f>IFERROR(VLOOKUP(E1137,Sales_Reps!$A$2:$C$31,3,FALSE()),"")</f>
        <v>North</v>
      </c>
      <c r="N1137">
        <f>IFERROR(VLOOKUP(D1137,Products!$A$2:$F$61,4,FALSE()),"")</f>
        <v>1052</v>
      </c>
      <c r="O1137" t="str">
        <f>IFERROR(VLOOKUP(C1137,Customers!$A$2:$F$301,5,FALSE()),"")</f>
        <v>Corporate</v>
      </c>
      <c r="P1137">
        <f>IFERROR(VLOOKUP(C1137,Customers!$A$2:$F$301,3,FALSE()),"")</f>
        <v>30</v>
      </c>
      <c r="Q1137">
        <f t="shared" si="51"/>
        <v>0.5953846153846154</v>
      </c>
      <c r="R1137">
        <f>IF(AND(COUNTIF($A$2:$A$2047,A1137)&gt;1,COUNTIF($A$2:A1137,A1137)=1),1,0)</f>
        <v>0</v>
      </c>
      <c r="S1137" t="b">
        <f>IFERROR(VLOOKUP(D1137,Products!$A$2:$F$61,6,FALSE()),"")</f>
        <v>1</v>
      </c>
      <c r="T1137" t="str">
        <f>IF(COUNTIF(Customers!$A$2:$A$301,C1137)=0,"Missing","OK")</f>
        <v>OK</v>
      </c>
      <c r="U1137" t="str">
        <f t="shared" si="52"/>
        <v>Chennai</v>
      </c>
      <c r="V1137">
        <f t="shared" si="53"/>
        <v>0</v>
      </c>
    </row>
    <row r="1138" spans="1:22" ht="15" customHeight="1" x14ac:dyDescent="0.35">
      <c r="A1138" s="3" t="s">
        <v>1561</v>
      </c>
      <c r="B1138" s="4">
        <v>45462</v>
      </c>
      <c r="C1138" s="3" t="s">
        <v>1562</v>
      </c>
      <c r="D1138" s="3" t="s">
        <v>382</v>
      </c>
      <c r="E1138" s="3" t="s">
        <v>242</v>
      </c>
      <c r="F1138" s="5">
        <v>4</v>
      </c>
      <c r="G1138" s="5">
        <v>5080</v>
      </c>
      <c r="H1138" s="5">
        <v>13.8</v>
      </c>
      <c r="I1138" s="5">
        <v>17515.84</v>
      </c>
      <c r="J1138" s="3" t="s">
        <v>32</v>
      </c>
      <c r="K1138" s="3" t="s">
        <v>56</v>
      </c>
      <c r="L1138" t="str">
        <f>IFERROR(VLOOKUP(D1138,Products!$A$2:$F$61,3,FALSE()),"")</f>
        <v>Home</v>
      </c>
      <c r="M1138" t="str">
        <f>IFERROR(VLOOKUP(E1138,Sales_Reps!$A$2:$C$31,3,FALSE()),"")</f>
        <v>East</v>
      </c>
      <c r="N1138">
        <f>IFERROR(VLOOKUP(D1138,Products!$A$2:$F$61,4,FALSE()),"")</f>
        <v>2459</v>
      </c>
      <c r="O1138" t="str">
        <f>IFERROR(VLOOKUP(C1138,Customers!$A$2:$F$301,5,FALSE()),"")</f>
        <v>Retail</v>
      </c>
      <c r="P1138">
        <f>IFERROR(VLOOKUP(C1138,Customers!$A$2:$F$301,3,FALSE()),"")</f>
        <v>53</v>
      </c>
      <c r="Q1138">
        <f t="shared" si="51"/>
        <v>0.51594488188976373</v>
      </c>
      <c r="R1138">
        <f>IF(AND(COUNTIF($A$2:$A$2047,A1138)&gt;1,COUNTIF($A$2:A1138,A1138)=1),1,0)</f>
        <v>0</v>
      </c>
      <c r="S1138" t="b">
        <f>IFERROR(VLOOKUP(D1138,Products!$A$2:$F$61,6,FALSE()),"")</f>
        <v>1</v>
      </c>
      <c r="T1138" t="str">
        <f>IF(COUNTIF(Customers!$A$2:$A$301,C1138)=0,"Missing","OK")</f>
        <v>OK</v>
      </c>
      <c r="U1138" t="str">
        <f t="shared" si="52"/>
        <v>Bengaluru</v>
      </c>
      <c r="V1138">
        <f t="shared" si="53"/>
        <v>0</v>
      </c>
    </row>
    <row r="1139" spans="1:22" ht="15" customHeight="1" x14ac:dyDescent="0.35">
      <c r="A1139" s="3" t="s">
        <v>1563</v>
      </c>
      <c r="B1139" s="4">
        <v>45597</v>
      </c>
      <c r="C1139" s="3" t="s">
        <v>1189</v>
      </c>
      <c r="D1139" s="3" t="s">
        <v>306</v>
      </c>
      <c r="E1139" s="3" t="s">
        <v>236</v>
      </c>
      <c r="F1139" s="5">
        <v>7</v>
      </c>
      <c r="G1139" s="5">
        <v>2380</v>
      </c>
      <c r="H1139" s="5">
        <v>15.5</v>
      </c>
      <c r="I1139" s="5">
        <v>14077.7</v>
      </c>
      <c r="J1139" s="3" t="s">
        <v>26</v>
      </c>
      <c r="K1139" s="3" t="s">
        <v>27</v>
      </c>
      <c r="L1139" t="str">
        <f>IFERROR(VLOOKUP(D1139,Products!$A$2:$F$61,3,FALSE()),"")</f>
        <v>Grocery</v>
      </c>
      <c r="M1139" t="str">
        <f>IFERROR(VLOOKUP(E1139,Sales_Reps!$A$2:$C$31,3,FALSE()),"")</f>
        <v>North</v>
      </c>
      <c r="N1139">
        <f>IFERROR(VLOOKUP(D1139,Products!$A$2:$F$61,4,FALSE()),"")</f>
        <v>1182</v>
      </c>
      <c r="O1139" t="str">
        <f>IFERROR(VLOOKUP(C1139,Customers!$A$2:$F$301,5,FALSE()),"")</f>
        <v>Retail</v>
      </c>
      <c r="P1139">
        <f>IFERROR(VLOOKUP(C1139,Customers!$A$2:$F$301,3,FALSE()),"")</f>
        <v>44</v>
      </c>
      <c r="Q1139">
        <f t="shared" si="51"/>
        <v>0.50336134453781511</v>
      </c>
      <c r="R1139">
        <f>IF(AND(COUNTIF($A$2:$A$2047,A1139)&gt;1,COUNTIF($A$2:A1139,A1139)=1),1,0)</f>
        <v>0</v>
      </c>
      <c r="S1139" t="b">
        <f>IFERROR(VLOOKUP(D1139,Products!$A$2:$F$61,6,FALSE()),"")</f>
        <v>1</v>
      </c>
      <c r="T1139" t="str">
        <f>IF(COUNTIF(Customers!$A$2:$A$301,C1139)=0,"Missing","OK")</f>
        <v>OK</v>
      </c>
      <c r="U1139" t="str">
        <f t="shared" si="52"/>
        <v>Pune</v>
      </c>
      <c r="V1139">
        <f t="shared" si="53"/>
        <v>0</v>
      </c>
    </row>
    <row r="1140" spans="1:22" ht="15" customHeight="1" x14ac:dyDescent="0.35">
      <c r="A1140" s="3" t="s">
        <v>1564</v>
      </c>
      <c r="B1140" s="4">
        <v>45648</v>
      </c>
      <c r="C1140" s="3" t="s">
        <v>186</v>
      </c>
      <c r="D1140" s="3" t="s">
        <v>123</v>
      </c>
      <c r="E1140" s="3" t="s">
        <v>42</v>
      </c>
      <c r="F1140" s="5">
        <v>3</v>
      </c>
      <c r="G1140" s="5">
        <v>4880</v>
      </c>
      <c r="H1140" s="5">
        <v>6.1</v>
      </c>
      <c r="I1140" s="5">
        <v>13746.96</v>
      </c>
      <c r="J1140" s="3" t="s">
        <v>26</v>
      </c>
      <c r="K1140" s="3" t="s">
        <v>56</v>
      </c>
      <c r="L1140" t="str">
        <f>IFERROR(VLOOKUP(D1140,Products!$A$2:$F$61,3,FALSE()),"")</f>
        <v>Beauty</v>
      </c>
      <c r="M1140" t="str">
        <f>IFERROR(VLOOKUP(E1140,Sales_Reps!$A$2:$C$31,3,FALSE()),"")</f>
        <v>North</v>
      </c>
      <c r="N1140">
        <f>IFERROR(VLOOKUP(D1140,Products!$A$2:$F$61,4,FALSE()),"")</f>
        <v>2768</v>
      </c>
      <c r="O1140" t="str">
        <f>IFERROR(VLOOKUP(C1140,Customers!$A$2:$F$301,5,FALSE()),"")</f>
        <v>Retail</v>
      </c>
      <c r="P1140">
        <f>IFERROR(VLOOKUP(C1140,Customers!$A$2:$F$301,3,FALSE()),"")</f>
        <v>34</v>
      </c>
      <c r="Q1140">
        <f t="shared" si="51"/>
        <v>0.43278688524590164</v>
      </c>
      <c r="R1140">
        <f>IF(AND(COUNTIF($A$2:$A$2047,A1140)&gt;1,COUNTIF($A$2:A1140,A1140)=1),1,0)</f>
        <v>0</v>
      </c>
      <c r="S1140" t="b">
        <f>IFERROR(VLOOKUP(D1140,Products!$A$2:$F$61,6,FALSE()),"")</f>
        <v>1</v>
      </c>
      <c r="T1140" t="str">
        <f>IF(COUNTIF(Customers!$A$2:$A$301,C1140)=0,"Missing","OK")</f>
        <v>OK</v>
      </c>
      <c r="U1140" t="str">
        <f t="shared" si="52"/>
        <v>Bengaluru</v>
      </c>
      <c r="V1140">
        <f t="shared" si="53"/>
        <v>0</v>
      </c>
    </row>
    <row r="1141" spans="1:22" ht="15" customHeight="1" x14ac:dyDescent="0.35">
      <c r="A1141" s="3" t="s">
        <v>1565</v>
      </c>
      <c r="B1141" s="4">
        <v>45355</v>
      </c>
      <c r="C1141" s="3" t="s">
        <v>703</v>
      </c>
      <c r="D1141" s="3" t="s">
        <v>118</v>
      </c>
      <c r="E1141" s="3" t="s">
        <v>143</v>
      </c>
      <c r="F1141" s="5">
        <v>2</v>
      </c>
      <c r="G1141" s="5">
        <v>3350</v>
      </c>
      <c r="H1141" s="5">
        <v>17.2</v>
      </c>
      <c r="I1141" s="5">
        <v>5547.6</v>
      </c>
      <c r="J1141" s="3" t="s">
        <v>26</v>
      </c>
      <c r="K1141" s="3" t="s">
        <v>33</v>
      </c>
      <c r="L1141" t="str">
        <f>IFERROR(VLOOKUP(D1141,Products!$A$2:$F$61,3,FALSE()),"")</f>
        <v>Beauty</v>
      </c>
      <c r="M1141" t="str">
        <f>IFERROR(VLOOKUP(E1141,Sales_Reps!$A$2:$C$31,3,FALSE()),"")</f>
        <v>South</v>
      </c>
      <c r="N1141">
        <f>IFERROR(VLOOKUP(D1141,Products!$A$2:$F$61,4,FALSE()),"")</f>
        <v>1728</v>
      </c>
      <c r="O1141" t="str">
        <f>IFERROR(VLOOKUP(C1141,Customers!$A$2:$F$301,5,FALSE()),"")</f>
        <v>SMB</v>
      </c>
      <c r="P1141">
        <f>IFERROR(VLOOKUP(C1141,Customers!$A$2:$F$301,3,FALSE()),"")</f>
        <v>26</v>
      </c>
      <c r="Q1141">
        <f t="shared" si="51"/>
        <v>0.48417910447761192</v>
      </c>
      <c r="R1141">
        <f>IF(AND(COUNTIF($A$2:$A$2047,A1141)&gt;1,COUNTIF($A$2:A1141,A1141)=1),1,0)</f>
        <v>0</v>
      </c>
      <c r="S1141" t="b">
        <f>IFERROR(VLOOKUP(D1141,Products!$A$2:$F$61,6,FALSE()),"")</f>
        <v>1</v>
      </c>
      <c r="T1141" t="str">
        <f>IF(COUNTIF(Customers!$A$2:$A$301,C1141)=0,"Missing","OK")</f>
        <v>OK</v>
      </c>
      <c r="U1141" t="str">
        <f t="shared" si="52"/>
        <v>Chennai</v>
      </c>
      <c r="V1141">
        <f t="shared" si="53"/>
        <v>0</v>
      </c>
    </row>
    <row r="1142" spans="1:22" ht="15" customHeight="1" x14ac:dyDescent="0.35">
      <c r="A1142" s="3" t="s">
        <v>1566</v>
      </c>
      <c r="B1142" s="4">
        <v>45331</v>
      </c>
      <c r="C1142" s="3" t="s">
        <v>1567</v>
      </c>
      <c r="D1142" s="3" t="s">
        <v>66</v>
      </c>
      <c r="E1142" s="3" t="s">
        <v>55</v>
      </c>
      <c r="F1142" s="5">
        <v>5</v>
      </c>
      <c r="G1142" s="5">
        <v>970</v>
      </c>
      <c r="H1142" s="5">
        <v>23.6</v>
      </c>
      <c r="I1142" s="5">
        <v>3705.4</v>
      </c>
      <c r="J1142" s="3" t="s">
        <v>26</v>
      </c>
      <c r="K1142" s="3" t="s">
        <v>33</v>
      </c>
      <c r="L1142" t="str">
        <f>IFERROR(VLOOKUP(D1142,Products!$A$2:$F$61,3,FALSE()),"")</f>
        <v>Grocery</v>
      </c>
      <c r="M1142" t="str">
        <f>IFERROR(VLOOKUP(E1142,Sales_Reps!$A$2:$C$31,3,FALSE()),"")</f>
        <v>West</v>
      </c>
      <c r="N1142">
        <f>IFERROR(VLOOKUP(D1142,Products!$A$2:$F$61,4,FALSE()),"")</f>
        <v>434</v>
      </c>
      <c r="O1142" t="str">
        <f>IFERROR(VLOOKUP(C1142,Customers!$A$2:$F$301,5,FALSE()),"")</f>
        <v>Retail</v>
      </c>
      <c r="P1142">
        <f>IFERROR(VLOOKUP(C1142,Customers!$A$2:$F$301,3,FALSE()),"")</f>
        <v>35</v>
      </c>
      <c r="Q1142">
        <f t="shared" si="51"/>
        <v>0.5525773195876289</v>
      </c>
      <c r="R1142">
        <f>IF(AND(COUNTIF($A$2:$A$2047,A1142)&gt;1,COUNTIF($A$2:A1142,A1142)=1),1,0)</f>
        <v>0</v>
      </c>
      <c r="S1142" t="b">
        <f>IFERROR(VLOOKUP(D1142,Products!$A$2:$F$61,6,FALSE()),"")</f>
        <v>1</v>
      </c>
      <c r="T1142" t="str">
        <f>IF(COUNTIF(Customers!$A$2:$A$301,C1142)=0,"Missing","OK")</f>
        <v>OK</v>
      </c>
      <c r="U1142" t="str">
        <f t="shared" si="52"/>
        <v>Chennai</v>
      </c>
      <c r="V1142">
        <f t="shared" si="53"/>
        <v>0</v>
      </c>
    </row>
    <row r="1143" spans="1:22" ht="15" customHeight="1" x14ac:dyDescent="0.35">
      <c r="A1143" s="3" t="s">
        <v>1568</v>
      </c>
      <c r="B1143" s="4">
        <v>45632</v>
      </c>
      <c r="C1143" s="3" t="s">
        <v>257</v>
      </c>
      <c r="D1143" s="3" t="s">
        <v>221</v>
      </c>
      <c r="E1143" s="3" t="s">
        <v>224</v>
      </c>
      <c r="F1143" s="5">
        <v>5</v>
      </c>
      <c r="G1143" s="5">
        <v>300</v>
      </c>
      <c r="H1143" s="5">
        <v>3.8</v>
      </c>
      <c r="I1143" s="5">
        <v>1443</v>
      </c>
      <c r="J1143" s="3" t="s">
        <v>26</v>
      </c>
      <c r="K1143" s="3" t="s">
        <v>33</v>
      </c>
      <c r="L1143" t="str">
        <f>IFERROR(VLOOKUP(D1143,Products!$A$2:$F$61,3,FALSE()),"")</f>
        <v>Electronics</v>
      </c>
      <c r="M1143" t="str">
        <f>IFERROR(VLOOKUP(E1143,Sales_Reps!$A$2:$C$31,3,FALSE()),"")</f>
        <v>East</v>
      </c>
      <c r="N1143">
        <f>IFERROR(VLOOKUP(D1143,Products!$A$2:$F$61,4,FALSE()),"")</f>
        <v>128</v>
      </c>
      <c r="O1143" t="str">
        <f>IFERROR(VLOOKUP(C1143,Customers!$A$2:$F$301,5,FALSE()),"")</f>
        <v>SMB</v>
      </c>
      <c r="P1143">
        <f>IFERROR(VLOOKUP(C1143,Customers!$A$2:$F$301,3,FALSE()),"")</f>
        <v>57</v>
      </c>
      <c r="Q1143">
        <f t="shared" si="51"/>
        <v>0.57333333333333336</v>
      </c>
      <c r="R1143">
        <f>IF(AND(COUNTIF($A$2:$A$2047,A1143)&gt;1,COUNTIF($A$2:A1143,A1143)=1),1,0)</f>
        <v>0</v>
      </c>
      <c r="S1143" t="b">
        <f>IFERROR(VLOOKUP(D1143,Products!$A$2:$F$61,6,FALSE()),"")</f>
        <v>1</v>
      </c>
      <c r="T1143" t="str">
        <f>IF(COUNTIF(Customers!$A$2:$A$301,C1143)=0,"Missing","OK")</f>
        <v>OK</v>
      </c>
      <c r="U1143" t="str">
        <f t="shared" si="52"/>
        <v>Chennai</v>
      </c>
      <c r="V1143">
        <f t="shared" si="53"/>
        <v>0</v>
      </c>
    </row>
    <row r="1144" spans="1:22" ht="15" customHeight="1" x14ac:dyDescent="0.35">
      <c r="A1144" s="3" t="s">
        <v>1569</v>
      </c>
      <c r="B1144" s="4">
        <v>45358</v>
      </c>
      <c r="C1144" s="3" t="s">
        <v>498</v>
      </c>
      <c r="D1144" s="3" t="s">
        <v>347</v>
      </c>
      <c r="E1144" s="3" t="s">
        <v>31</v>
      </c>
      <c r="F1144" s="5">
        <v>9</v>
      </c>
      <c r="G1144" s="5">
        <v>3970</v>
      </c>
      <c r="H1144" s="5">
        <v>0.8</v>
      </c>
      <c r="I1144" s="5">
        <v>35444.160000000003</v>
      </c>
      <c r="J1144" s="3" t="s">
        <v>26</v>
      </c>
      <c r="K1144" s="3" t="s">
        <v>27</v>
      </c>
      <c r="L1144" t="str">
        <f>IFERROR(VLOOKUP(D1144,Products!$A$2:$F$61,3,FALSE()),"")</f>
        <v>Electronics</v>
      </c>
      <c r="M1144" t="str">
        <f>IFERROR(VLOOKUP(E1144,Sales_Reps!$A$2:$C$31,3,FALSE()),"")</f>
        <v>North</v>
      </c>
      <c r="N1144">
        <f>IFERROR(VLOOKUP(D1144,Products!$A$2:$F$61,4,FALSE()),"")</f>
        <v>2865</v>
      </c>
      <c r="O1144" t="str">
        <f>IFERROR(VLOOKUP(C1144,Customers!$A$2:$F$301,5,FALSE()),"")</f>
        <v>Retail</v>
      </c>
      <c r="P1144">
        <f>IFERROR(VLOOKUP(C1144,Customers!$A$2:$F$301,3,FALSE()),"")</f>
        <v>62</v>
      </c>
      <c r="Q1144">
        <f t="shared" si="51"/>
        <v>0.27833753148614609</v>
      </c>
      <c r="R1144">
        <f>IF(AND(COUNTIF($A$2:$A$2047,A1144)&gt;1,COUNTIF($A$2:A1144,A1144)=1),1,0)</f>
        <v>0</v>
      </c>
      <c r="S1144" t="b">
        <f>IFERROR(VLOOKUP(D1144,Products!$A$2:$F$61,6,FALSE()),"")</f>
        <v>1</v>
      </c>
      <c r="T1144" t="str">
        <f>IF(COUNTIF(Customers!$A$2:$A$301,C1144)=0,"Missing","OK")</f>
        <v>OK</v>
      </c>
      <c r="U1144" t="str">
        <f t="shared" si="52"/>
        <v>Pune</v>
      </c>
      <c r="V1144">
        <f t="shared" si="53"/>
        <v>0</v>
      </c>
    </row>
    <row r="1145" spans="1:22" ht="15" customHeight="1" x14ac:dyDescent="0.35">
      <c r="A1145" s="3" t="s">
        <v>1570</v>
      </c>
      <c r="B1145" s="4">
        <v>45440</v>
      </c>
      <c r="C1145" s="3" t="s">
        <v>1060</v>
      </c>
      <c r="D1145" s="3" t="s">
        <v>112</v>
      </c>
      <c r="E1145" s="3" t="s">
        <v>191</v>
      </c>
      <c r="F1145" s="5">
        <v>4</v>
      </c>
      <c r="G1145" s="5">
        <v>2720</v>
      </c>
      <c r="H1145" s="5">
        <v>12.7</v>
      </c>
      <c r="I1145" s="5">
        <v>9498.24</v>
      </c>
      <c r="J1145" s="3" t="s">
        <v>26</v>
      </c>
      <c r="K1145" s="3" t="s">
        <v>51</v>
      </c>
      <c r="L1145" t="str">
        <f>IFERROR(VLOOKUP(D1145,Products!$A$2:$F$61,3,FALSE()),"")</f>
        <v>Apparel</v>
      </c>
      <c r="M1145" t="str">
        <f>IFERROR(VLOOKUP(E1145,Sales_Reps!$A$2:$C$31,3,FALSE()),"")</f>
        <v>South</v>
      </c>
      <c r="N1145">
        <f>IFERROR(VLOOKUP(D1145,Products!$A$2:$F$61,4,FALSE()),"")</f>
        <v>1962</v>
      </c>
      <c r="O1145" t="str">
        <f>IFERROR(VLOOKUP(C1145,Customers!$A$2:$F$301,5,FALSE()),"")</f>
        <v>Corporate</v>
      </c>
      <c r="P1145">
        <f>IFERROR(VLOOKUP(C1145,Customers!$A$2:$F$301,3,FALSE()),"")</f>
        <v>46</v>
      </c>
      <c r="Q1145">
        <f t="shared" si="51"/>
        <v>0.2786764705882353</v>
      </c>
      <c r="R1145">
        <f>IF(AND(COUNTIF($A$2:$A$2047,A1145)&gt;1,COUNTIF($A$2:A1145,A1145)=1),1,0)</f>
        <v>0</v>
      </c>
      <c r="S1145" t="b">
        <f>IFERROR(VLOOKUP(D1145,Products!$A$2:$F$61,6,FALSE()),"")</f>
        <v>1</v>
      </c>
      <c r="T1145" t="str">
        <f>IF(COUNTIF(Customers!$A$2:$A$301,C1145)=0,"Missing","OK")</f>
        <v>OK</v>
      </c>
      <c r="U1145" t="str">
        <f t="shared" si="52"/>
        <v>Mumbai</v>
      </c>
      <c r="V1145">
        <f t="shared" si="53"/>
        <v>0</v>
      </c>
    </row>
    <row r="1146" spans="1:22" ht="15" customHeight="1" x14ac:dyDescent="0.35">
      <c r="A1146" s="3" t="s">
        <v>1571</v>
      </c>
      <c r="B1146" s="4">
        <v>45412</v>
      </c>
      <c r="C1146" s="3" t="s">
        <v>214</v>
      </c>
      <c r="D1146" s="3" t="s">
        <v>231</v>
      </c>
      <c r="E1146" s="3" t="s">
        <v>97</v>
      </c>
      <c r="F1146" s="5">
        <v>3</v>
      </c>
      <c r="G1146" s="5">
        <v>620</v>
      </c>
      <c r="H1146" s="5">
        <v>5.5</v>
      </c>
      <c r="I1146" s="5">
        <v>1757.7</v>
      </c>
      <c r="J1146" s="3" t="s">
        <v>26</v>
      </c>
      <c r="K1146" s="3" t="s">
        <v>27</v>
      </c>
      <c r="L1146" t="str">
        <f>IFERROR(VLOOKUP(D1146,Products!$A$2:$F$61,3,FALSE()),"")</f>
        <v>Apparel</v>
      </c>
      <c r="M1146" t="str">
        <f>IFERROR(VLOOKUP(E1146,Sales_Reps!$A$2:$C$31,3,FALSE()),"")</f>
        <v>East</v>
      </c>
      <c r="N1146">
        <f>IFERROR(VLOOKUP(D1146,Products!$A$2:$F$61,4,FALSE()),"")</f>
        <v>396</v>
      </c>
      <c r="O1146" t="str">
        <f>IFERROR(VLOOKUP(C1146,Customers!$A$2:$F$301,5,FALSE()),"")</f>
        <v>Retail</v>
      </c>
      <c r="P1146">
        <f>IFERROR(VLOOKUP(C1146,Customers!$A$2:$F$301,3,FALSE()),"")</f>
        <v>44</v>
      </c>
      <c r="Q1146">
        <f t="shared" si="51"/>
        <v>0.36129032258064514</v>
      </c>
      <c r="R1146">
        <f>IF(AND(COUNTIF($A$2:$A$2047,A1146)&gt;1,COUNTIF($A$2:A1146,A1146)=1),1,0)</f>
        <v>0</v>
      </c>
      <c r="S1146" t="b">
        <f>IFERROR(VLOOKUP(D1146,Products!$A$2:$F$61,6,FALSE()),"")</f>
        <v>1</v>
      </c>
      <c r="T1146" t="str">
        <f>IF(COUNTIF(Customers!$A$2:$A$301,C1146)=0,"Missing","OK")</f>
        <v>OK</v>
      </c>
      <c r="U1146" t="str">
        <f t="shared" si="52"/>
        <v>Pune</v>
      </c>
      <c r="V1146">
        <f t="shared" si="53"/>
        <v>0</v>
      </c>
    </row>
    <row r="1147" spans="1:22" ht="15" customHeight="1" x14ac:dyDescent="0.35">
      <c r="A1147" s="3" t="s">
        <v>1572</v>
      </c>
      <c r="B1147" s="4">
        <v>45479</v>
      </c>
      <c r="C1147" s="3" t="s">
        <v>117</v>
      </c>
      <c r="D1147" s="3" t="s">
        <v>198</v>
      </c>
      <c r="E1147" s="3" t="s">
        <v>55</v>
      </c>
      <c r="F1147" s="5">
        <v>2</v>
      </c>
      <c r="G1147" s="5">
        <v>1540</v>
      </c>
      <c r="H1147" s="5">
        <v>2.2000000000000002</v>
      </c>
      <c r="I1147" s="5">
        <v>3012.24</v>
      </c>
      <c r="J1147" s="3" t="s">
        <v>32</v>
      </c>
      <c r="K1147" s="3" t="s">
        <v>33</v>
      </c>
      <c r="L1147" t="str">
        <f>IFERROR(VLOOKUP(D1147,Products!$A$2:$F$61,3,FALSE()),"")</f>
        <v>Beauty</v>
      </c>
      <c r="M1147" t="str">
        <f>IFERROR(VLOOKUP(E1147,Sales_Reps!$A$2:$C$31,3,FALSE()),"")</f>
        <v>West</v>
      </c>
      <c r="N1147">
        <f>IFERROR(VLOOKUP(D1147,Products!$A$2:$F$61,4,FALSE()),"")</f>
        <v>647</v>
      </c>
      <c r="O1147" t="str">
        <f>IFERROR(VLOOKUP(C1147,Customers!$A$2:$F$301,5,FALSE()),"")</f>
        <v>Corporate</v>
      </c>
      <c r="P1147">
        <f>IFERROR(VLOOKUP(C1147,Customers!$A$2:$F$301,3,FALSE()),"")</f>
        <v>55</v>
      </c>
      <c r="Q1147">
        <f t="shared" si="51"/>
        <v>0.57987012987012987</v>
      </c>
      <c r="R1147">
        <f>IF(AND(COUNTIF($A$2:$A$2047,A1147)&gt;1,COUNTIF($A$2:A1147,A1147)=1),1,0)</f>
        <v>0</v>
      </c>
      <c r="S1147" t="b">
        <f>IFERROR(VLOOKUP(D1147,Products!$A$2:$F$61,6,FALSE()),"")</f>
        <v>0</v>
      </c>
      <c r="T1147" t="str">
        <f>IF(COUNTIF(Customers!$A$2:$A$301,C1147)=0,"Missing","OK")</f>
        <v>OK</v>
      </c>
      <c r="U1147" t="str">
        <f t="shared" si="52"/>
        <v>Chennai</v>
      </c>
      <c r="V1147">
        <f t="shared" si="53"/>
        <v>0</v>
      </c>
    </row>
    <row r="1148" spans="1:22" ht="15" customHeight="1" x14ac:dyDescent="0.35">
      <c r="A1148" s="3" t="s">
        <v>1573</v>
      </c>
      <c r="B1148" s="4">
        <v>45534</v>
      </c>
      <c r="C1148" s="3" t="s">
        <v>251</v>
      </c>
      <c r="D1148" s="3" t="s">
        <v>325</v>
      </c>
      <c r="E1148" s="3" t="s">
        <v>140</v>
      </c>
      <c r="F1148" s="5">
        <v>1</v>
      </c>
      <c r="G1148" s="5">
        <v>2290</v>
      </c>
      <c r="H1148" s="5">
        <v>24.4</v>
      </c>
      <c r="I1148" s="5">
        <v>1731.24</v>
      </c>
      <c r="J1148" s="3" t="s">
        <v>79</v>
      </c>
      <c r="K1148" s="3" t="s">
        <v>72</v>
      </c>
      <c r="L1148" t="str">
        <f>IFERROR(VLOOKUP(D1148,Products!$A$2:$F$61,3,FALSE()),"")</f>
        <v>Beauty</v>
      </c>
      <c r="M1148" t="str">
        <f>IFERROR(VLOOKUP(E1148,Sales_Reps!$A$2:$C$31,3,FALSE()),"")</f>
        <v>West</v>
      </c>
      <c r="N1148">
        <f>IFERROR(VLOOKUP(D1148,Products!$A$2:$F$61,4,FALSE()),"")</f>
        <v>1219</v>
      </c>
      <c r="O1148" t="str">
        <f>IFERROR(VLOOKUP(C1148,Customers!$A$2:$F$301,5,FALSE()),"")</f>
        <v>Retail</v>
      </c>
      <c r="P1148">
        <f>IFERROR(VLOOKUP(C1148,Customers!$A$2:$F$301,3,FALSE()),"")</f>
        <v>46</v>
      </c>
      <c r="Q1148">
        <f t="shared" si="51"/>
        <v>0.46768558951965067</v>
      </c>
      <c r="R1148">
        <f>IF(AND(COUNTIF($A$2:$A$2047,A1148)&gt;1,COUNTIF($A$2:A1148,A1148)=1),1,0)</f>
        <v>0</v>
      </c>
      <c r="S1148" t="b">
        <f>IFERROR(VLOOKUP(D1148,Products!$A$2:$F$61,6,FALSE()),"")</f>
        <v>1</v>
      </c>
      <c r="T1148" t="str">
        <f>IF(COUNTIF(Customers!$A$2:$A$301,C1148)=0,"Missing","OK")</f>
        <v>OK</v>
      </c>
      <c r="U1148" t="str">
        <f t="shared" si="52"/>
        <v>Hyderabad</v>
      </c>
      <c r="V1148">
        <f t="shared" si="53"/>
        <v>0</v>
      </c>
    </row>
    <row r="1149" spans="1:22" ht="15" customHeight="1" x14ac:dyDescent="0.35">
      <c r="A1149" s="3" t="s">
        <v>1574</v>
      </c>
      <c r="B1149" s="4">
        <v>45313</v>
      </c>
      <c r="C1149" s="3" t="s">
        <v>664</v>
      </c>
      <c r="D1149" s="3" t="s">
        <v>112</v>
      </c>
      <c r="E1149" s="3" t="s">
        <v>242</v>
      </c>
      <c r="F1149" s="5">
        <v>8</v>
      </c>
      <c r="G1149" s="5">
        <v>2720</v>
      </c>
      <c r="H1149" s="5">
        <v>1.7</v>
      </c>
      <c r="I1149" s="5">
        <v>21390.080000000002</v>
      </c>
      <c r="J1149" s="3" t="s">
        <v>26</v>
      </c>
      <c r="K1149" s="3" t="s">
        <v>38</v>
      </c>
      <c r="L1149" t="str">
        <f>IFERROR(VLOOKUP(D1149,Products!$A$2:$F$61,3,FALSE()),"")</f>
        <v>Apparel</v>
      </c>
      <c r="M1149" t="str">
        <f>IFERROR(VLOOKUP(E1149,Sales_Reps!$A$2:$C$31,3,FALSE()),"")</f>
        <v>East</v>
      </c>
      <c r="N1149">
        <f>IFERROR(VLOOKUP(D1149,Products!$A$2:$F$61,4,FALSE()),"")</f>
        <v>1962</v>
      </c>
      <c r="O1149" t="str">
        <f>IFERROR(VLOOKUP(C1149,Customers!$A$2:$F$301,5,FALSE()),"")</f>
        <v>SMB</v>
      </c>
      <c r="P1149">
        <f>IFERROR(VLOOKUP(C1149,Customers!$A$2:$F$301,3,FALSE()),"")</f>
        <v>26</v>
      </c>
      <c r="Q1149">
        <f t="shared" si="51"/>
        <v>0.2786764705882353</v>
      </c>
      <c r="R1149">
        <f>IF(AND(COUNTIF($A$2:$A$2047,A1149)&gt;1,COUNTIF($A$2:A1149,A1149)=1),1,0)</f>
        <v>0</v>
      </c>
      <c r="S1149" t="b">
        <f>IFERROR(VLOOKUP(D1149,Products!$A$2:$F$61,6,FALSE()),"")</f>
        <v>1</v>
      </c>
      <c r="T1149" t="str">
        <f>IF(COUNTIF(Customers!$A$2:$A$301,C1149)=0,"Missing","OK")</f>
        <v>OK</v>
      </c>
      <c r="U1149" t="str">
        <f t="shared" si="52"/>
        <v>Delhi</v>
      </c>
      <c r="V1149">
        <f t="shared" si="53"/>
        <v>0</v>
      </c>
    </row>
    <row r="1150" spans="1:22" ht="15" customHeight="1" x14ac:dyDescent="0.35">
      <c r="A1150" s="3" t="s">
        <v>1575</v>
      </c>
      <c r="B1150" s="4">
        <v>45390</v>
      </c>
      <c r="C1150" s="3" t="s">
        <v>1473</v>
      </c>
      <c r="D1150" s="3" t="s">
        <v>290</v>
      </c>
      <c r="E1150" s="3" t="s">
        <v>93</v>
      </c>
      <c r="F1150" s="5">
        <v>4</v>
      </c>
      <c r="G1150" s="5">
        <v>4060</v>
      </c>
      <c r="H1150" s="5">
        <v>19.600000000000001</v>
      </c>
      <c r="I1150" s="5">
        <v>13056.96</v>
      </c>
      <c r="J1150" s="3" t="s">
        <v>79</v>
      </c>
      <c r="K1150" s="3" t="s">
        <v>72</v>
      </c>
      <c r="L1150" t="str">
        <f>IFERROR(VLOOKUP(D1150,Products!$A$2:$F$61,3,FALSE()),"")</f>
        <v>Grocery</v>
      </c>
      <c r="M1150" t="str">
        <f>IFERROR(VLOOKUP(E1150,Sales_Reps!$A$2:$C$31,3,FALSE()),"")</f>
        <v>East</v>
      </c>
      <c r="N1150">
        <f>IFERROR(VLOOKUP(D1150,Products!$A$2:$F$61,4,FALSE()),"")</f>
        <v>2911</v>
      </c>
      <c r="O1150" t="str">
        <f>IFERROR(VLOOKUP(C1150,Customers!$A$2:$F$301,5,FALSE()),"")</f>
        <v>Corporate</v>
      </c>
      <c r="P1150">
        <f>IFERROR(VLOOKUP(C1150,Customers!$A$2:$F$301,3,FALSE()),"")</f>
        <v>25</v>
      </c>
      <c r="Q1150">
        <f t="shared" si="51"/>
        <v>0.28300492610837441</v>
      </c>
      <c r="R1150">
        <f>IF(AND(COUNTIF($A$2:$A$2047,A1150)&gt;1,COUNTIF($A$2:A1150,A1150)=1),1,0)</f>
        <v>0</v>
      </c>
      <c r="S1150" t="b">
        <f>IFERROR(VLOOKUP(D1150,Products!$A$2:$F$61,6,FALSE()),"")</f>
        <v>1</v>
      </c>
      <c r="T1150" t="str">
        <f>IF(COUNTIF(Customers!$A$2:$A$301,C1150)=0,"Missing","OK")</f>
        <v>OK</v>
      </c>
      <c r="U1150" t="str">
        <f t="shared" si="52"/>
        <v>Hyderabad</v>
      </c>
      <c r="V1150">
        <f t="shared" si="53"/>
        <v>0</v>
      </c>
    </row>
    <row r="1151" spans="1:22" ht="15" customHeight="1" x14ac:dyDescent="0.35">
      <c r="A1151" s="3" t="s">
        <v>1576</v>
      </c>
      <c r="B1151" s="4">
        <v>45370</v>
      </c>
      <c r="C1151" s="3" t="s">
        <v>281</v>
      </c>
      <c r="D1151" s="3" t="s">
        <v>126</v>
      </c>
      <c r="E1151" s="3" t="s">
        <v>285</v>
      </c>
      <c r="F1151" s="5">
        <v>8</v>
      </c>
      <c r="G1151" s="5">
        <v>3570</v>
      </c>
      <c r="H1151" s="5">
        <v>10.8</v>
      </c>
      <c r="I1151" s="5">
        <v>25475.52</v>
      </c>
      <c r="J1151" s="3" t="s">
        <v>26</v>
      </c>
      <c r="K1151" s="3" t="s">
        <v>33</v>
      </c>
      <c r="L1151" t="str">
        <f>IFERROR(VLOOKUP(D1151,Products!$A$2:$F$61,3,FALSE()),"")</f>
        <v>Electronics</v>
      </c>
      <c r="M1151" t="str">
        <f>IFERROR(VLOOKUP(E1151,Sales_Reps!$A$2:$C$31,3,FALSE()),"")</f>
        <v>South</v>
      </c>
      <c r="N1151">
        <f>IFERROR(VLOOKUP(D1151,Products!$A$2:$F$61,4,FALSE()),"")</f>
        <v>1665</v>
      </c>
      <c r="O1151" t="str">
        <f>IFERROR(VLOOKUP(C1151,Customers!$A$2:$F$301,5,FALSE()),"")</f>
        <v>Retail</v>
      </c>
      <c r="P1151">
        <f>IFERROR(VLOOKUP(C1151,Customers!$A$2:$F$301,3,FALSE()),"")</f>
        <v>26</v>
      </c>
      <c r="Q1151">
        <f t="shared" si="51"/>
        <v>0.53361344537815125</v>
      </c>
      <c r="R1151">
        <f>IF(AND(COUNTIF($A$2:$A$2047,A1151)&gt;1,COUNTIF($A$2:A1151,A1151)=1),1,0)</f>
        <v>0</v>
      </c>
      <c r="S1151" t="b">
        <f>IFERROR(VLOOKUP(D1151,Products!$A$2:$F$61,6,FALSE()),"")</f>
        <v>1</v>
      </c>
      <c r="T1151" t="str">
        <f>IF(COUNTIF(Customers!$A$2:$A$301,C1151)=0,"Missing","OK")</f>
        <v>OK</v>
      </c>
      <c r="U1151" t="str">
        <f t="shared" si="52"/>
        <v>Chennai</v>
      </c>
      <c r="V1151">
        <f t="shared" si="53"/>
        <v>0</v>
      </c>
    </row>
    <row r="1152" spans="1:22" ht="15" customHeight="1" x14ac:dyDescent="0.35">
      <c r="A1152" s="3" t="s">
        <v>1577</v>
      </c>
      <c r="B1152" s="4">
        <v>45324</v>
      </c>
      <c r="C1152" s="3" t="s">
        <v>368</v>
      </c>
      <c r="D1152" s="3" t="s">
        <v>100</v>
      </c>
      <c r="E1152" s="3" t="s">
        <v>78</v>
      </c>
      <c r="F1152" s="5">
        <v>10</v>
      </c>
      <c r="G1152" s="5">
        <v>3450</v>
      </c>
      <c r="H1152" s="5">
        <v>13.5</v>
      </c>
      <c r="I1152" s="5">
        <v>29842.5</v>
      </c>
      <c r="J1152" s="3" t="s">
        <v>32</v>
      </c>
      <c r="K1152" s="3" t="s">
        <v>56</v>
      </c>
      <c r="L1152" t="str">
        <f>IFERROR(VLOOKUP(D1152,Products!$A$2:$F$61,3,FALSE()),"")</f>
        <v>Sports</v>
      </c>
      <c r="M1152" t="str">
        <f>IFERROR(VLOOKUP(E1152,Sales_Reps!$A$2:$C$31,3,FALSE()),"")</f>
        <v>North</v>
      </c>
      <c r="N1152">
        <f>IFERROR(VLOOKUP(D1152,Products!$A$2:$F$61,4,FALSE()),"")</f>
        <v>2467</v>
      </c>
      <c r="O1152" t="str">
        <f>IFERROR(VLOOKUP(C1152,Customers!$A$2:$F$301,5,FALSE()),"")</f>
        <v>Retail</v>
      </c>
      <c r="P1152">
        <f>IFERROR(VLOOKUP(C1152,Customers!$A$2:$F$301,3,FALSE()),"")</f>
        <v>55</v>
      </c>
      <c r="Q1152">
        <f t="shared" si="51"/>
        <v>0.28492753623188405</v>
      </c>
      <c r="R1152">
        <f>IF(AND(COUNTIF($A$2:$A$2047,A1152)&gt;1,COUNTIF($A$2:A1152,A1152)=1),1,0)</f>
        <v>0</v>
      </c>
      <c r="S1152" t="b">
        <f>IFERROR(VLOOKUP(D1152,Products!$A$2:$F$61,6,FALSE()),"")</f>
        <v>1</v>
      </c>
      <c r="T1152" t="str">
        <f>IF(COUNTIF(Customers!$A$2:$A$301,C1152)=0,"Missing","OK")</f>
        <v>OK</v>
      </c>
      <c r="U1152" t="str">
        <f t="shared" si="52"/>
        <v>Bengaluru</v>
      </c>
      <c r="V1152">
        <f t="shared" si="53"/>
        <v>0</v>
      </c>
    </row>
    <row r="1153" spans="1:22" ht="15" customHeight="1" x14ac:dyDescent="0.35">
      <c r="A1153" s="3" t="s">
        <v>1578</v>
      </c>
      <c r="B1153" s="4">
        <v>45469</v>
      </c>
      <c r="C1153" s="3" t="s">
        <v>359</v>
      </c>
      <c r="D1153" s="3" t="s">
        <v>74</v>
      </c>
      <c r="E1153" s="3" t="s">
        <v>25</v>
      </c>
      <c r="F1153" s="5">
        <v>10</v>
      </c>
      <c r="G1153" s="5">
        <v>2640</v>
      </c>
      <c r="H1153" s="5">
        <v>29.8</v>
      </c>
      <c r="I1153" s="5">
        <v>18532.8</v>
      </c>
      <c r="J1153" s="3" t="s">
        <v>26</v>
      </c>
      <c r="K1153" s="3" t="s">
        <v>38</v>
      </c>
      <c r="L1153" t="str">
        <f>IFERROR(VLOOKUP(D1153,Products!$A$2:$F$61,3,FALSE()),"")</f>
        <v>Electronics</v>
      </c>
      <c r="M1153" t="str">
        <f>IFERROR(VLOOKUP(E1153,Sales_Reps!$A$2:$C$31,3,FALSE()),"")</f>
        <v>North</v>
      </c>
      <c r="N1153">
        <f>IFERROR(VLOOKUP(D1153,Products!$A$2:$F$61,4,FALSE()),"")</f>
        <v>1149</v>
      </c>
      <c r="O1153" t="str">
        <f>IFERROR(VLOOKUP(C1153,Customers!$A$2:$F$301,5,FALSE()),"")</f>
        <v>Retail</v>
      </c>
      <c r="P1153">
        <f>IFERROR(VLOOKUP(C1153,Customers!$A$2:$F$301,3,FALSE()),"")</f>
        <v>44</v>
      </c>
      <c r="Q1153">
        <f t="shared" si="51"/>
        <v>0.56477272727272732</v>
      </c>
      <c r="R1153">
        <f>IF(AND(COUNTIF($A$2:$A$2047,A1153)&gt;1,COUNTIF($A$2:A1153,A1153)=1),1,0)</f>
        <v>0</v>
      </c>
      <c r="S1153" t="b">
        <f>IFERROR(VLOOKUP(D1153,Products!$A$2:$F$61,6,FALSE()),"")</f>
        <v>1</v>
      </c>
      <c r="T1153" t="str">
        <f>IF(COUNTIF(Customers!$A$2:$A$301,C1153)=0,"Missing","OK")</f>
        <v>OK</v>
      </c>
      <c r="U1153" t="str">
        <f t="shared" si="52"/>
        <v>Delhi</v>
      </c>
      <c r="V1153">
        <f t="shared" si="53"/>
        <v>0</v>
      </c>
    </row>
    <row r="1154" spans="1:22" ht="15" customHeight="1" x14ac:dyDescent="0.35">
      <c r="A1154" s="3" t="s">
        <v>1579</v>
      </c>
      <c r="B1154" s="4">
        <v>45619</v>
      </c>
      <c r="C1154" s="3" t="s">
        <v>193</v>
      </c>
      <c r="D1154" s="3" t="s">
        <v>49</v>
      </c>
      <c r="E1154" s="3" t="s">
        <v>143</v>
      </c>
      <c r="F1154" s="5">
        <v>3</v>
      </c>
      <c r="G1154" s="5">
        <v>370</v>
      </c>
      <c r="H1154" s="5">
        <v>25.5</v>
      </c>
      <c r="I1154" s="5">
        <v>826.95</v>
      </c>
      <c r="J1154" s="3" t="s">
        <v>26</v>
      </c>
      <c r="K1154" s="3" t="s">
        <v>33</v>
      </c>
      <c r="L1154" t="str">
        <f>IFERROR(VLOOKUP(D1154,Products!$A$2:$F$61,3,FALSE()),"")</f>
        <v>Home</v>
      </c>
      <c r="M1154" t="str">
        <f>IFERROR(VLOOKUP(E1154,Sales_Reps!$A$2:$C$31,3,FALSE()),"")</f>
        <v>South</v>
      </c>
      <c r="N1154">
        <f>IFERROR(VLOOKUP(D1154,Products!$A$2:$F$61,4,FALSE()),"")</f>
        <v>288</v>
      </c>
      <c r="O1154" t="str">
        <f>IFERROR(VLOOKUP(C1154,Customers!$A$2:$F$301,5,FALSE()),"")</f>
        <v>Retail</v>
      </c>
      <c r="P1154">
        <f>IFERROR(VLOOKUP(C1154,Customers!$A$2:$F$301,3,FALSE()),"")</f>
        <v>24</v>
      </c>
      <c r="Q1154">
        <f t="shared" ref="Q1154:Q1217" si="54">IFERROR((G1154-N1154)/G1154,"")</f>
        <v>0.22162162162162163</v>
      </c>
      <c r="R1154">
        <f>IF(AND(COUNTIF($A$2:$A$2047,A1154)&gt;1,COUNTIF($A$2:A1154,A1154)=1),1,0)</f>
        <v>0</v>
      </c>
      <c r="S1154" t="b">
        <f>IFERROR(VLOOKUP(D1154,Products!$A$2:$F$61,6,FALSE()),"")</f>
        <v>1</v>
      </c>
      <c r="T1154" t="str">
        <f>IF(COUNTIF(Customers!$A$2:$A$301,C1154)=0,"Missing","OK")</f>
        <v>OK</v>
      </c>
      <c r="U1154" t="str">
        <f t="shared" ref="U1154:U1217" si="55">IF(K1154="","",PROPER(TRIM(K1154)))</f>
        <v>Chennai</v>
      </c>
      <c r="V1154">
        <f t="shared" ref="V1154:V1217" si="56">IF(AND(U1154="Bengaluru",L1154="Grocery"),I1154,0)</f>
        <v>0</v>
      </c>
    </row>
    <row r="1155" spans="1:22" ht="15" customHeight="1" x14ac:dyDescent="0.35">
      <c r="A1155" s="3" t="s">
        <v>1580</v>
      </c>
      <c r="B1155" s="4">
        <v>45627</v>
      </c>
      <c r="C1155" s="3" t="s">
        <v>443</v>
      </c>
      <c r="D1155" s="3" t="s">
        <v>206</v>
      </c>
      <c r="E1155" s="3" t="s">
        <v>109</v>
      </c>
      <c r="F1155" s="5">
        <v>3</v>
      </c>
      <c r="G1155" s="5">
        <v>1220</v>
      </c>
      <c r="H1155" s="5">
        <v>7.7</v>
      </c>
      <c r="I1155" s="5">
        <v>3378.18</v>
      </c>
      <c r="J1155" s="3" t="s">
        <v>32</v>
      </c>
      <c r="K1155" s="3" t="s">
        <v>56</v>
      </c>
      <c r="L1155" t="str">
        <f>IFERROR(VLOOKUP(D1155,Products!$A$2:$F$61,3,FALSE()),"")</f>
        <v>Electronics</v>
      </c>
      <c r="M1155" t="str">
        <f>IFERROR(VLOOKUP(E1155,Sales_Reps!$A$2:$C$31,3,FALSE()),"")</f>
        <v>West</v>
      </c>
      <c r="N1155">
        <f>IFERROR(VLOOKUP(D1155,Products!$A$2:$F$61,4,FALSE()),"")</f>
        <v>517</v>
      </c>
      <c r="O1155" t="str">
        <f>IFERROR(VLOOKUP(C1155,Customers!$A$2:$F$301,5,FALSE()),"")</f>
        <v>Corporate</v>
      </c>
      <c r="P1155">
        <f>IFERROR(VLOOKUP(C1155,Customers!$A$2:$F$301,3,FALSE()),"")</f>
        <v>36</v>
      </c>
      <c r="Q1155">
        <f t="shared" si="54"/>
        <v>0.57622950819672136</v>
      </c>
      <c r="R1155">
        <f>IF(AND(COUNTIF($A$2:$A$2047,A1155)&gt;1,COUNTIF($A$2:A1155,A1155)=1),1,0)</f>
        <v>0</v>
      </c>
      <c r="S1155" t="b">
        <f>IFERROR(VLOOKUP(D1155,Products!$A$2:$F$61,6,FALSE()),"")</f>
        <v>1</v>
      </c>
      <c r="T1155" t="str">
        <f>IF(COUNTIF(Customers!$A$2:$A$301,C1155)=0,"Missing","OK")</f>
        <v>OK</v>
      </c>
      <c r="U1155" t="str">
        <f t="shared" si="55"/>
        <v>Bengaluru</v>
      </c>
      <c r="V1155">
        <f t="shared" si="56"/>
        <v>0</v>
      </c>
    </row>
    <row r="1156" spans="1:22" ht="15" customHeight="1" x14ac:dyDescent="0.35">
      <c r="A1156" s="3" t="s">
        <v>1581</v>
      </c>
      <c r="B1156" s="4">
        <v>45499</v>
      </c>
      <c r="C1156" s="3" t="s">
        <v>396</v>
      </c>
      <c r="D1156" s="3" t="s">
        <v>74</v>
      </c>
      <c r="E1156" s="3" t="s">
        <v>224</v>
      </c>
      <c r="F1156" s="5">
        <v>1</v>
      </c>
      <c r="G1156" s="5">
        <v>2640</v>
      </c>
      <c r="H1156" s="5">
        <v>23.6</v>
      </c>
      <c r="I1156" s="5">
        <v>2016.96</v>
      </c>
      <c r="J1156" s="3" t="s">
        <v>26</v>
      </c>
      <c r="K1156" s="3" t="s">
        <v>27</v>
      </c>
      <c r="L1156" t="str">
        <f>IFERROR(VLOOKUP(D1156,Products!$A$2:$F$61,3,FALSE()),"")</f>
        <v>Electronics</v>
      </c>
      <c r="M1156" t="str">
        <f>IFERROR(VLOOKUP(E1156,Sales_Reps!$A$2:$C$31,3,FALSE()),"")</f>
        <v>East</v>
      </c>
      <c r="N1156">
        <f>IFERROR(VLOOKUP(D1156,Products!$A$2:$F$61,4,FALSE()),"")</f>
        <v>1149</v>
      </c>
      <c r="O1156" t="str">
        <f>IFERROR(VLOOKUP(C1156,Customers!$A$2:$F$301,5,FALSE()),"")</f>
        <v>Retail</v>
      </c>
      <c r="P1156">
        <f>IFERROR(VLOOKUP(C1156,Customers!$A$2:$F$301,3,FALSE()),"")</f>
        <v>29</v>
      </c>
      <c r="Q1156">
        <f t="shared" si="54"/>
        <v>0.56477272727272732</v>
      </c>
      <c r="R1156">
        <f>IF(AND(COUNTIF($A$2:$A$2047,A1156)&gt;1,COUNTIF($A$2:A1156,A1156)=1),1,0)</f>
        <v>0</v>
      </c>
      <c r="S1156" t="b">
        <f>IFERROR(VLOOKUP(D1156,Products!$A$2:$F$61,6,FALSE()),"")</f>
        <v>1</v>
      </c>
      <c r="T1156" t="str">
        <f>IF(COUNTIF(Customers!$A$2:$A$301,C1156)=0,"Missing","OK")</f>
        <v>OK</v>
      </c>
      <c r="U1156" t="str">
        <f t="shared" si="55"/>
        <v>Pune</v>
      </c>
      <c r="V1156">
        <f t="shared" si="56"/>
        <v>0</v>
      </c>
    </row>
    <row r="1157" spans="1:22" ht="15" customHeight="1" x14ac:dyDescent="0.35">
      <c r="A1157" s="3" t="s">
        <v>1582</v>
      </c>
      <c r="B1157" s="4">
        <v>45563</v>
      </c>
      <c r="C1157" s="3" t="s">
        <v>48</v>
      </c>
      <c r="D1157" s="3" t="s">
        <v>130</v>
      </c>
      <c r="E1157" s="3" t="s">
        <v>212</v>
      </c>
      <c r="F1157" s="5">
        <v>9</v>
      </c>
      <c r="G1157" s="5">
        <v>5100</v>
      </c>
      <c r="H1157" s="5">
        <v>9.5</v>
      </c>
      <c r="I1157" s="5">
        <v>41539.5</v>
      </c>
      <c r="J1157" s="3" t="s">
        <v>26</v>
      </c>
      <c r="K1157" s="3" t="s">
        <v>51</v>
      </c>
      <c r="L1157" t="str">
        <f>IFERROR(VLOOKUP(D1157,Products!$A$2:$F$61,3,FALSE()),"")</f>
        <v>Beauty</v>
      </c>
      <c r="M1157" t="str">
        <f>IFERROR(VLOOKUP(E1157,Sales_Reps!$A$2:$C$31,3,FALSE()),"")</f>
        <v>South</v>
      </c>
      <c r="N1157">
        <f>IFERROR(VLOOKUP(D1157,Products!$A$2:$F$61,4,FALSE()),"")</f>
        <v>2237</v>
      </c>
      <c r="O1157" t="str">
        <f>IFERROR(VLOOKUP(C1157,Customers!$A$2:$F$301,5,FALSE()),"")</f>
        <v>Retail</v>
      </c>
      <c r="P1157">
        <f>IFERROR(VLOOKUP(C1157,Customers!$A$2:$F$301,3,FALSE()),"")</f>
        <v>36</v>
      </c>
      <c r="Q1157">
        <f t="shared" si="54"/>
        <v>0.56137254901960787</v>
      </c>
      <c r="R1157">
        <f>IF(AND(COUNTIF($A$2:$A$2047,A1157)&gt;1,COUNTIF($A$2:A1157,A1157)=1),1,0)</f>
        <v>0</v>
      </c>
      <c r="S1157" t="b">
        <f>IFERROR(VLOOKUP(D1157,Products!$A$2:$F$61,6,FALSE()),"")</f>
        <v>1</v>
      </c>
      <c r="T1157" t="str">
        <f>IF(COUNTIF(Customers!$A$2:$A$301,C1157)=0,"Missing","OK")</f>
        <v>OK</v>
      </c>
      <c r="U1157" t="str">
        <f t="shared" si="55"/>
        <v>Mumbai</v>
      </c>
      <c r="V1157">
        <f t="shared" si="56"/>
        <v>0</v>
      </c>
    </row>
    <row r="1158" spans="1:22" ht="15" customHeight="1" x14ac:dyDescent="0.35">
      <c r="A1158" s="3" t="s">
        <v>1583</v>
      </c>
      <c r="B1158" s="4">
        <v>45435</v>
      </c>
      <c r="C1158" s="3" t="s">
        <v>703</v>
      </c>
      <c r="D1158" s="3" t="s">
        <v>180</v>
      </c>
      <c r="E1158" s="3" t="s">
        <v>46</v>
      </c>
      <c r="F1158" s="5">
        <v>7</v>
      </c>
      <c r="G1158" s="5">
        <v>6080</v>
      </c>
      <c r="H1158" s="5">
        <v>17.5</v>
      </c>
      <c r="I1158" s="5">
        <v>35112</v>
      </c>
      <c r="J1158" s="3" t="s">
        <v>26</v>
      </c>
      <c r="K1158" s="3" t="s">
        <v>33</v>
      </c>
      <c r="L1158" t="str">
        <f>IFERROR(VLOOKUP(D1158,Products!$A$2:$F$61,3,FALSE()),"")</f>
        <v>Beauty</v>
      </c>
      <c r="M1158" t="str">
        <f>IFERROR(VLOOKUP(E1158,Sales_Reps!$A$2:$C$31,3,FALSE()),"")</f>
        <v>North</v>
      </c>
      <c r="N1158">
        <f>IFERROR(VLOOKUP(D1158,Products!$A$2:$F$61,4,FALSE()),"")</f>
        <v>2617</v>
      </c>
      <c r="O1158" t="str">
        <f>IFERROR(VLOOKUP(C1158,Customers!$A$2:$F$301,5,FALSE()),"")</f>
        <v>SMB</v>
      </c>
      <c r="P1158">
        <f>IFERROR(VLOOKUP(C1158,Customers!$A$2:$F$301,3,FALSE()),"")</f>
        <v>26</v>
      </c>
      <c r="Q1158">
        <f t="shared" si="54"/>
        <v>0.56957236842105263</v>
      </c>
      <c r="R1158">
        <f>IF(AND(COUNTIF($A$2:$A$2047,A1158)&gt;1,COUNTIF($A$2:A1158,A1158)=1),1,0)</f>
        <v>0</v>
      </c>
      <c r="S1158" t="b">
        <f>IFERROR(VLOOKUP(D1158,Products!$A$2:$F$61,6,FALSE()),"")</f>
        <v>1</v>
      </c>
      <c r="T1158" t="str">
        <f>IF(COUNTIF(Customers!$A$2:$A$301,C1158)=0,"Missing","OK")</f>
        <v>OK</v>
      </c>
      <c r="U1158" t="str">
        <f t="shared" si="55"/>
        <v>Chennai</v>
      </c>
      <c r="V1158">
        <f t="shared" si="56"/>
        <v>0</v>
      </c>
    </row>
    <row r="1159" spans="1:22" ht="15" customHeight="1" x14ac:dyDescent="0.35">
      <c r="A1159" s="3" t="s">
        <v>1584</v>
      </c>
      <c r="B1159" s="4">
        <v>45602</v>
      </c>
      <c r="C1159" s="3" t="s">
        <v>426</v>
      </c>
      <c r="D1159" s="3" t="s">
        <v>221</v>
      </c>
      <c r="E1159" s="3" t="s">
        <v>140</v>
      </c>
      <c r="F1159" s="5">
        <v>1</v>
      </c>
      <c r="G1159" s="5">
        <v>300</v>
      </c>
      <c r="H1159" s="5">
        <v>26.9</v>
      </c>
      <c r="I1159" s="5">
        <v>219.3</v>
      </c>
      <c r="J1159" s="3" t="s">
        <v>26</v>
      </c>
      <c r="K1159" s="3" t="s">
        <v>27</v>
      </c>
      <c r="L1159" t="str">
        <f>IFERROR(VLOOKUP(D1159,Products!$A$2:$F$61,3,FALSE()),"")</f>
        <v>Electronics</v>
      </c>
      <c r="M1159" t="str">
        <f>IFERROR(VLOOKUP(E1159,Sales_Reps!$A$2:$C$31,3,FALSE()),"")</f>
        <v>West</v>
      </c>
      <c r="N1159">
        <f>IFERROR(VLOOKUP(D1159,Products!$A$2:$F$61,4,FALSE()),"")</f>
        <v>128</v>
      </c>
      <c r="O1159" t="str">
        <f>IFERROR(VLOOKUP(C1159,Customers!$A$2:$F$301,5,FALSE()),"")</f>
        <v>Corporate</v>
      </c>
      <c r="P1159">
        <f>IFERROR(VLOOKUP(C1159,Customers!$A$2:$F$301,3,FALSE()),"")</f>
        <v>29</v>
      </c>
      <c r="Q1159">
        <f t="shared" si="54"/>
        <v>0.57333333333333336</v>
      </c>
      <c r="R1159">
        <f>IF(AND(COUNTIF($A$2:$A$2047,A1159)&gt;1,COUNTIF($A$2:A1159,A1159)=1),1,0)</f>
        <v>0</v>
      </c>
      <c r="S1159" t="b">
        <f>IFERROR(VLOOKUP(D1159,Products!$A$2:$F$61,6,FALSE()),"")</f>
        <v>1</v>
      </c>
      <c r="T1159" t="str">
        <f>IF(COUNTIF(Customers!$A$2:$A$301,C1159)=0,"Missing","OK")</f>
        <v>OK</v>
      </c>
      <c r="U1159" t="str">
        <f t="shared" si="55"/>
        <v>Pune</v>
      </c>
      <c r="V1159">
        <f t="shared" si="56"/>
        <v>0</v>
      </c>
    </row>
    <row r="1160" spans="1:22" ht="15" customHeight="1" x14ac:dyDescent="0.35">
      <c r="A1160" s="3" t="s">
        <v>1585</v>
      </c>
      <c r="B1160" s="4">
        <v>45650</v>
      </c>
      <c r="C1160" s="3" t="s">
        <v>327</v>
      </c>
      <c r="D1160" s="3" t="s">
        <v>215</v>
      </c>
      <c r="E1160" s="3" t="s">
        <v>131</v>
      </c>
      <c r="F1160" s="5">
        <v>6</v>
      </c>
      <c r="G1160" s="5">
        <v>3020</v>
      </c>
      <c r="H1160" s="5">
        <v>28.5</v>
      </c>
      <c r="I1160" s="5">
        <v>12955.8</v>
      </c>
      <c r="J1160" s="3" t="s">
        <v>26</v>
      </c>
      <c r="K1160" s="3" t="s">
        <v>72</v>
      </c>
      <c r="L1160" t="str">
        <f>IFERROR(VLOOKUP(D1160,Products!$A$2:$F$61,3,FALSE()),"")</f>
        <v>Beauty</v>
      </c>
      <c r="M1160" t="str">
        <f>IFERROR(VLOOKUP(E1160,Sales_Reps!$A$2:$C$31,3,FALSE()),"")</f>
        <v>East</v>
      </c>
      <c r="N1160">
        <f>IFERROR(VLOOKUP(D1160,Products!$A$2:$F$61,4,FALSE()),"")</f>
        <v>1626</v>
      </c>
      <c r="O1160" t="str">
        <f>IFERROR(VLOOKUP(C1160,Customers!$A$2:$F$301,5,FALSE()),"")</f>
        <v>Retail</v>
      </c>
      <c r="P1160">
        <f>IFERROR(VLOOKUP(C1160,Customers!$A$2:$F$301,3,FALSE()),"")</f>
        <v>44</v>
      </c>
      <c r="Q1160">
        <f t="shared" si="54"/>
        <v>0.46158940397350995</v>
      </c>
      <c r="R1160">
        <f>IF(AND(COUNTIF($A$2:$A$2047,A1160)&gt;1,COUNTIF($A$2:A1160,A1160)=1),1,0)</f>
        <v>0</v>
      </c>
      <c r="S1160" t="b">
        <f>IFERROR(VLOOKUP(D1160,Products!$A$2:$F$61,6,FALSE()),"")</f>
        <v>1</v>
      </c>
      <c r="T1160" t="str">
        <f>IF(COUNTIF(Customers!$A$2:$A$301,C1160)=0,"Missing","OK")</f>
        <v>OK</v>
      </c>
      <c r="U1160" t="str">
        <f t="shared" si="55"/>
        <v>Hyderabad</v>
      </c>
      <c r="V1160">
        <f t="shared" si="56"/>
        <v>0</v>
      </c>
    </row>
    <row r="1161" spans="1:22" ht="15" customHeight="1" x14ac:dyDescent="0.35">
      <c r="A1161" s="3" t="s">
        <v>1586</v>
      </c>
      <c r="B1161" s="4">
        <v>45294</v>
      </c>
      <c r="C1161" s="3" t="s">
        <v>158</v>
      </c>
      <c r="D1161" s="3" t="s">
        <v>221</v>
      </c>
      <c r="E1161" s="3" t="s">
        <v>242</v>
      </c>
      <c r="F1161" s="5">
        <v>8</v>
      </c>
      <c r="G1161" s="5">
        <v>300</v>
      </c>
      <c r="H1161" s="5">
        <v>1.2</v>
      </c>
      <c r="I1161" s="5">
        <v>2371.1999999999998</v>
      </c>
      <c r="J1161" s="3" t="s">
        <v>26</v>
      </c>
      <c r="K1161" s="3" t="s">
        <v>38</v>
      </c>
      <c r="L1161" t="str">
        <f>IFERROR(VLOOKUP(D1161,Products!$A$2:$F$61,3,FALSE()),"")</f>
        <v>Electronics</v>
      </c>
      <c r="M1161" t="str">
        <f>IFERROR(VLOOKUP(E1161,Sales_Reps!$A$2:$C$31,3,FALSE()),"")</f>
        <v>East</v>
      </c>
      <c r="N1161">
        <f>IFERROR(VLOOKUP(D1161,Products!$A$2:$F$61,4,FALSE()),"")</f>
        <v>128</v>
      </c>
      <c r="O1161" t="str">
        <f>IFERROR(VLOOKUP(C1161,Customers!$A$2:$F$301,5,FALSE()),"")</f>
        <v>SMB</v>
      </c>
      <c r="P1161">
        <f>IFERROR(VLOOKUP(C1161,Customers!$A$2:$F$301,3,FALSE()),"")</f>
        <v>50</v>
      </c>
      <c r="Q1161">
        <f t="shared" si="54"/>
        <v>0.57333333333333336</v>
      </c>
      <c r="R1161">
        <f>IF(AND(COUNTIF($A$2:$A$2047,A1161)&gt;1,COUNTIF($A$2:A1161,A1161)=1),1,0)</f>
        <v>0</v>
      </c>
      <c r="S1161" t="b">
        <f>IFERROR(VLOOKUP(D1161,Products!$A$2:$F$61,6,FALSE()),"")</f>
        <v>1</v>
      </c>
      <c r="T1161" t="str">
        <f>IF(COUNTIF(Customers!$A$2:$A$301,C1161)=0,"Missing","OK")</f>
        <v>OK</v>
      </c>
      <c r="U1161" t="str">
        <f t="shared" si="55"/>
        <v>Delhi</v>
      </c>
      <c r="V1161">
        <f t="shared" si="56"/>
        <v>0</v>
      </c>
    </row>
    <row r="1162" spans="1:22" ht="15" customHeight="1" x14ac:dyDescent="0.35">
      <c r="A1162" s="3" t="s">
        <v>1587</v>
      </c>
      <c r="B1162" s="4">
        <v>45523</v>
      </c>
      <c r="C1162" s="3" t="s">
        <v>776</v>
      </c>
      <c r="D1162" s="3" t="s">
        <v>118</v>
      </c>
      <c r="E1162" s="3" t="s">
        <v>212</v>
      </c>
      <c r="F1162" s="5">
        <v>9</v>
      </c>
      <c r="G1162" s="5">
        <v>3350</v>
      </c>
      <c r="H1162" s="5">
        <v>0.6</v>
      </c>
      <c r="I1162" s="5">
        <v>29969.1</v>
      </c>
      <c r="J1162" s="3" t="s">
        <v>83</v>
      </c>
      <c r="K1162" s="3" t="s">
        <v>56</v>
      </c>
      <c r="L1162" t="str">
        <f>IFERROR(VLOOKUP(D1162,Products!$A$2:$F$61,3,FALSE()),"")</f>
        <v>Beauty</v>
      </c>
      <c r="M1162" t="str">
        <f>IFERROR(VLOOKUP(E1162,Sales_Reps!$A$2:$C$31,3,FALSE()),"")</f>
        <v>South</v>
      </c>
      <c r="N1162">
        <f>IFERROR(VLOOKUP(D1162,Products!$A$2:$F$61,4,FALSE()),"")</f>
        <v>1728</v>
      </c>
      <c r="O1162" t="str">
        <f>IFERROR(VLOOKUP(C1162,Customers!$A$2:$F$301,5,FALSE()),"")</f>
        <v>Retail</v>
      </c>
      <c r="P1162">
        <f>IFERROR(VLOOKUP(C1162,Customers!$A$2:$F$301,3,FALSE()),"")</f>
        <v>37</v>
      </c>
      <c r="Q1162">
        <f t="shared" si="54"/>
        <v>0.48417910447761192</v>
      </c>
      <c r="R1162">
        <f>IF(AND(COUNTIF($A$2:$A$2047,A1162)&gt;1,COUNTIF($A$2:A1162,A1162)=1),1,0)</f>
        <v>0</v>
      </c>
      <c r="S1162" t="b">
        <f>IFERROR(VLOOKUP(D1162,Products!$A$2:$F$61,6,FALSE()),"")</f>
        <v>1</v>
      </c>
      <c r="T1162" t="str">
        <f>IF(COUNTIF(Customers!$A$2:$A$301,C1162)=0,"Missing","OK")</f>
        <v>OK</v>
      </c>
      <c r="U1162" t="str">
        <f t="shared" si="55"/>
        <v>Bengaluru</v>
      </c>
      <c r="V1162">
        <f t="shared" si="56"/>
        <v>0</v>
      </c>
    </row>
    <row r="1163" spans="1:22" ht="15" customHeight="1" x14ac:dyDescent="0.35">
      <c r="A1163" s="3" t="s">
        <v>1588</v>
      </c>
      <c r="B1163" s="4">
        <v>45479</v>
      </c>
      <c r="C1163" s="3" t="s">
        <v>942</v>
      </c>
      <c r="D1163" s="3" t="s">
        <v>203</v>
      </c>
      <c r="E1163" s="3" t="s">
        <v>55</v>
      </c>
      <c r="F1163" s="5">
        <v>4</v>
      </c>
      <c r="G1163" s="5">
        <v>4070</v>
      </c>
      <c r="H1163" s="5">
        <v>10.1</v>
      </c>
      <c r="I1163" s="5">
        <v>14635.72</v>
      </c>
      <c r="J1163" s="3" t="s">
        <v>26</v>
      </c>
      <c r="K1163" s="3" t="s">
        <v>38</v>
      </c>
      <c r="L1163" t="str">
        <f>IFERROR(VLOOKUP(D1163,Products!$A$2:$F$61,3,FALSE()),"")</f>
        <v>Grocery</v>
      </c>
      <c r="M1163" t="str">
        <f>IFERROR(VLOOKUP(E1163,Sales_Reps!$A$2:$C$31,3,FALSE()),"")</f>
        <v>West</v>
      </c>
      <c r="N1163">
        <f>IFERROR(VLOOKUP(D1163,Products!$A$2:$F$61,4,FALSE()),"")</f>
        <v>2027</v>
      </c>
      <c r="O1163" t="str">
        <f>IFERROR(VLOOKUP(C1163,Customers!$A$2:$F$301,5,FALSE()),"")</f>
        <v>SMB</v>
      </c>
      <c r="P1163">
        <f>IFERROR(VLOOKUP(C1163,Customers!$A$2:$F$301,3,FALSE()),"")</f>
        <v>45</v>
      </c>
      <c r="Q1163">
        <f t="shared" si="54"/>
        <v>0.50196560196560192</v>
      </c>
      <c r="R1163">
        <f>IF(AND(COUNTIF($A$2:$A$2047,A1163)&gt;1,COUNTIF($A$2:A1163,A1163)=1),1,0)</f>
        <v>0</v>
      </c>
      <c r="S1163" t="b">
        <f>IFERROR(VLOOKUP(D1163,Products!$A$2:$F$61,6,FALSE()),"")</f>
        <v>1</v>
      </c>
      <c r="T1163" t="str">
        <f>IF(COUNTIF(Customers!$A$2:$A$301,C1163)=0,"Missing","OK")</f>
        <v>OK</v>
      </c>
      <c r="U1163" t="str">
        <f t="shared" si="55"/>
        <v>Delhi</v>
      </c>
      <c r="V1163">
        <f t="shared" si="56"/>
        <v>0</v>
      </c>
    </row>
    <row r="1164" spans="1:22" ht="15" customHeight="1" x14ac:dyDescent="0.35">
      <c r="A1164" s="3" t="s">
        <v>1589</v>
      </c>
      <c r="B1164" s="4">
        <v>45614</v>
      </c>
      <c r="C1164" s="3" t="s">
        <v>1247</v>
      </c>
      <c r="D1164" s="3" t="s">
        <v>400</v>
      </c>
      <c r="E1164" s="3" t="s">
        <v>55</v>
      </c>
      <c r="F1164" s="5">
        <v>9</v>
      </c>
      <c r="G1164" s="5">
        <v>3780</v>
      </c>
      <c r="H1164" s="5">
        <v>27.8</v>
      </c>
      <c r="I1164" s="5">
        <v>24562.44</v>
      </c>
      <c r="J1164" s="3" t="s">
        <v>79</v>
      </c>
      <c r="K1164" s="3" t="s">
        <v>33</v>
      </c>
      <c r="L1164" t="str">
        <f>IFERROR(VLOOKUP(D1164,Products!$A$2:$F$61,3,FALSE()),"")</f>
        <v>Sports</v>
      </c>
      <c r="M1164" t="str">
        <f>IFERROR(VLOOKUP(E1164,Sales_Reps!$A$2:$C$31,3,FALSE()),"")</f>
        <v>West</v>
      </c>
      <c r="N1164">
        <f>IFERROR(VLOOKUP(D1164,Products!$A$2:$F$61,4,FALSE()),"")</f>
        <v>1860</v>
      </c>
      <c r="O1164" t="str">
        <f>IFERROR(VLOOKUP(C1164,Customers!$A$2:$F$301,5,FALSE()),"")</f>
        <v>SMB</v>
      </c>
      <c r="P1164">
        <f>IFERROR(VLOOKUP(C1164,Customers!$A$2:$F$301,3,FALSE()),"")</f>
        <v>51</v>
      </c>
      <c r="Q1164">
        <f t="shared" si="54"/>
        <v>0.50793650793650791</v>
      </c>
      <c r="R1164">
        <f>IF(AND(COUNTIF($A$2:$A$2047,A1164)&gt;1,COUNTIF($A$2:A1164,A1164)=1),1,0)</f>
        <v>0</v>
      </c>
      <c r="S1164" t="b">
        <f>IFERROR(VLOOKUP(D1164,Products!$A$2:$F$61,6,FALSE()),"")</f>
        <v>1</v>
      </c>
      <c r="T1164" t="str">
        <f>IF(COUNTIF(Customers!$A$2:$A$301,C1164)=0,"Missing","OK")</f>
        <v>OK</v>
      </c>
      <c r="U1164" t="str">
        <f t="shared" si="55"/>
        <v>Chennai</v>
      </c>
      <c r="V1164">
        <f t="shared" si="56"/>
        <v>0</v>
      </c>
    </row>
    <row r="1165" spans="1:22" ht="15" customHeight="1" x14ac:dyDescent="0.35">
      <c r="A1165" s="3" t="s">
        <v>1590</v>
      </c>
      <c r="B1165" s="4">
        <v>45407</v>
      </c>
      <c r="C1165" s="3" t="s">
        <v>133</v>
      </c>
      <c r="D1165" s="3" t="s">
        <v>103</v>
      </c>
      <c r="E1165" s="3" t="s">
        <v>109</v>
      </c>
      <c r="F1165" s="5">
        <v>6</v>
      </c>
      <c r="G1165" s="5">
        <v>1080</v>
      </c>
      <c r="H1165" s="5">
        <v>17.5</v>
      </c>
      <c r="I1165" s="5">
        <v>5346</v>
      </c>
      <c r="J1165" s="3" t="s">
        <v>26</v>
      </c>
      <c r="K1165" s="3" t="s">
        <v>27</v>
      </c>
      <c r="L1165" t="str">
        <f>IFERROR(VLOOKUP(D1165,Products!$A$2:$F$61,3,FALSE()),"")</f>
        <v>Home</v>
      </c>
      <c r="M1165" t="str">
        <f>IFERROR(VLOOKUP(E1165,Sales_Reps!$A$2:$C$31,3,FALSE()),"")</f>
        <v>West</v>
      </c>
      <c r="N1165">
        <f>IFERROR(VLOOKUP(D1165,Products!$A$2:$F$61,4,FALSE()),"")</f>
        <v>519</v>
      </c>
      <c r="O1165" t="str">
        <f>IFERROR(VLOOKUP(C1165,Customers!$A$2:$F$301,5,FALSE()),"")</f>
        <v>SMB</v>
      </c>
      <c r="P1165">
        <f>IFERROR(VLOOKUP(C1165,Customers!$A$2:$F$301,3,FALSE()),"")</f>
        <v>44</v>
      </c>
      <c r="Q1165">
        <f t="shared" si="54"/>
        <v>0.51944444444444449</v>
      </c>
      <c r="R1165">
        <f>IF(AND(COUNTIF($A$2:$A$2047,A1165)&gt;1,COUNTIF($A$2:A1165,A1165)=1),1,0)</f>
        <v>0</v>
      </c>
      <c r="S1165" t="b">
        <f>IFERROR(VLOOKUP(D1165,Products!$A$2:$F$61,6,FALSE()),"")</f>
        <v>1</v>
      </c>
      <c r="T1165" t="str">
        <f>IF(COUNTIF(Customers!$A$2:$A$301,C1165)=0,"Missing","OK")</f>
        <v>OK</v>
      </c>
      <c r="U1165" t="str">
        <f t="shared" si="55"/>
        <v>Pune</v>
      </c>
      <c r="V1165">
        <f t="shared" si="56"/>
        <v>0</v>
      </c>
    </row>
    <row r="1166" spans="1:22" ht="15" customHeight="1" x14ac:dyDescent="0.35">
      <c r="A1166" s="3" t="s">
        <v>1591</v>
      </c>
      <c r="B1166" s="4">
        <v>45603</v>
      </c>
      <c r="C1166" s="3" t="s">
        <v>368</v>
      </c>
      <c r="D1166" s="3" t="s">
        <v>77</v>
      </c>
      <c r="E1166" s="3" t="s">
        <v>93</v>
      </c>
      <c r="F1166" s="5">
        <v>3</v>
      </c>
      <c r="G1166" s="5">
        <v>2600</v>
      </c>
      <c r="H1166" s="5">
        <v>1.9</v>
      </c>
      <c r="I1166" s="5">
        <v>7651.8</v>
      </c>
      <c r="J1166" s="3" t="s">
        <v>26</v>
      </c>
      <c r="K1166" s="3" t="s">
        <v>56</v>
      </c>
      <c r="L1166" t="str">
        <f>IFERROR(VLOOKUP(D1166,Products!$A$2:$F$61,3,FALSE()),"")</f>
        <v>Electronics</v>
      </c>
      <c r="M1166" t="str">
        <f>IFERROR(VLOOKUP(E1166,Sales_Reps!$A$2:$C$31,3,FALSE()),"")</f>
        <v>East</v>
      </c>
      <c r="N1166">
        <f>IFERROR(VLOOKUP(D1166,Products!$A$2:$F$61,4,FALSE()),"")</f>
        <v>1052</v>
      </c>
      <c r="O1166" t="str">
        <f>IFERROR(VLOOKUP(C1166,Customers!$A$2:$F$301,5,FALSE()),"")</f>
        <v>Retail</v>
      </c>
      <c r="P1166">
        <f>IFERROR(VLOOKUP(C1166,Customers!$A$2:$F$301,3,FALSE()),"")</f>
        <v>55</v>
      </c>
      <c r="Q1166">
        <f t="shared" si="54"/>
        <v>0.5953846153846154</v>
      </c>
      <c r="R1166">
        <f>IF(AND(COUNTIF($A$2:$A$2047,A1166)&gt;1,COUNTIF($A$2:A1166,A1166)=1),1,0)</f>
        <v>0</v>
      </c>
      <c r="S1166" t="b">
        <f>IFERROR(VLOOKUP(D1166,Products!$A$2:$F$61,6,FALSE()),"")</f>
        <v>1</v>
      </c>
      <c r="T1166" t="str">
        <f>IF(COUNTIF(Customers!$A$2:$A$301,C1166)=0,"Missing","OK")</f>
        <v>OK</v>
      </c>
      <c r="U1166" t="str">
        <f t="shared" si="55"/>
        <v>Bengaluru</v>
      </c>
      <c r="V1166">
        <f t="shared" si="56"/>
        <v>0</v>
      </c>
    </row>
    <row r="1167" spans="1:22" ht="15" customHeight="1" x14ac:dyDescent="0.35">
      <c r="A1167" s="3" t="s">
        <v>1592</v>
      </c>
      <c r="B1167" s="4">
        <v>45375</v>
      </c>
      <c r="C1167" s="3" t="s">
        <v>736</v>
      </c>
      <c r="D1167" s="3" t="s">
        <v>112</v>
      </c>
      <c r="E1167" s="3" t="s">
        <v>46</v>
      </c>
      <c r="F1167" s="5">
        <v>5</v>
      </c>
      <c r="G1167" s="5">
        <v>2720</v>
      </c>
      <c r="H1167" s="5">
        <v>1.8</v>
      </c>
      <c r="I1167" s="5">
        <v>13355.2</v>
      </c>
      <c r="J1167" s="3" t="s">
        <v>79</v>
      </c>
      <c r="K1167" s="3" t="s">
        <v>38</v>
      </c>
      <c r="L1167" t="str">
        <f>IFERROR(VLOOKUP(D1167,Products!$A$2:$F$61,3,FALSE()),"")</f>
        <v>Apparel</v>
      </c>
      <c r="M1167" t="str">
        <f>IFERROR(VLOOKUP(E1167,Sales_Reps!$A$2:$C$31,3,FALSE()),"")</f>
        <v>North</v>
      </c>
      <c r="N1167">
        <f>IFERROR(VLOOKUP(D1167,Products!$A$2:$F$61,4,FALSE()),"")</f>
        <v>1962</v>
      </c>
      <c r="O1167" t="str">
        <f>IFERROR(VLOOKUP(C1167,Customers!$A$2:$F$301,5,FALSE()),"")</f>
        <v>Retail</v>
      </c>
      <c r="P1167">
        <f>IFERROR(VLOOKUP(C1167,Customers!$A$2:$F$301,3,FALSE()),"")</f>
        <v>63</v>
      </c>
      <c r="Q1167">
        <f t="shared" si="54"/>
        <v>0.2786764705882353</v>
      </c>
      <c r="R1167">
        <f>IF(AND(COUNTIF($A$2:$A$2047,A1167)&gt;1,COUNTIF($A$2:A1167,A1167)=1),1,0)</f>
        <v>0</v>
      </c>
      <c r="S1167" t="b">
        <f>IFERROR(VLOOKUP(D1167,Products!$A$2:$F$61,6,FALSE()),"")</f>
        <v>1</v>
      </c>
      <c r="T1167" t="str">
        <f>IF(COUNTIF(Customers!$A$2:$A$301,C1167)=0,"Missing","OK")</f>
        <v>OK</v>
      </c>
      <c r="U1167" t="str">
        <f t="shared" si="55"/>
        <v>Delhi</v>
      </c>
      <c r="V1167">
        <f t="shared" si="56"/>
        <v>0</v>
      </c>
    </row>
    <row r="1168" spans="1:22" ht="15" customHeight="1" x14ac:dyDescent="0.35">
      <c r="A1168" s="3" t="s">
        <v>1593</v>
      </c>
      <c r="B1168" s="4">
        <v>45485</v>
      </c>
      <c r="C1168" s="3" t="s">
        <v>317</v>
      </c>
      <c r="D1168" s="3" t="s">
        <v>41</v>
      </c>
      <c r="E1168" s="3" t="s">
        <v>264</v>
      </c>
      <c r="F1168" s="5">
        <v>8</v>
      </c>
      <c r="G1168" s="5">
        <v>3660</v>
      </c>
      <c r="H1168" s="5">
        <v>29.5</v>
      </c>
      <c r="I1168" s="5">
        <v>20642.400000000001</v>
      </c>
      <c r="J1168" s="3" t="s">
        <v>26</v>
      </c>
      <c r="K1168" s="3" t="s">
        <v>33</v>
      </c>
      <c r="L1168" t="str">
        <f>IFERROR(VLOOKUP(D1168,Products!$A$2:$F$61,3,FALSE()),"")</f>
        <v>Grocery</v>
      </c>
      <c r="M1168" t="str">
        <f>IFERROR(VLOOKUP(E1168,Sales_Reps!$A$2:$C$31,3,FALSE()),"")</f>
        <v>South</v>
      </c>
      <c r="N1168">
        <f>IFERROR(VLOOKUP(D1168,Products!$A$2:$F$61,4,FALSE()),"")</f>
        <v>2214</v>
      </c>
      <c r="O1168" t="str">
        <f>IFERROR(VLOOKUP(C1168,Customers!$A$2:$F$301,5,FALSE()),"")</f>
        <v>SMB</v>
      </c>
      <c r="P1168">
        <f>IFERROR(VLOOKUP(C1168,Customers!$A$2:$F$301,3,FALSE()),"")</f>
        <v>53</v>
      </c>
      <c r="Q1168">
        <f t="shared" si="54"/>
        <v>0.39508196721311473</v>
      </c>
      <c r="R1168">
        <f>IF(AND(COUNTIF($A$2:$A$2047,A1168)&gt;1,COUNTIF($A$2:A1168,A1168)=1),1,0)</f>
        <v>0</v>
      </c>
      <c r="S1168" t="b">
        <f>IFERROR(VLOOKUP(D1168,Products!$A$2:$F$61,6,FALSE()),"")</f>
        <v>0</v>
      </c>
      <c r="T1168" t="str">
        <f>IF(COUNTIF(Customers!$A$2:$A$301,C1168)=0,"Missing","OK")</f>
        <v>OK</v>
      </c>
      <c r="U1168" t="str">
        <f t="shared" si="55"/>
        <v>Chennai</v>
      </c>
      <c r="V1168">
        <f t="shared" si="56"/>
        <v>0</v>
      </c>
    </row>
    <row r="1169" spans="1:22" ht="15" customHeight="1" x14ac:dyDescent="0.35">
      <c r="A1169" s="3" t="s">
        <v>1594</v>
      </c>
      <c r="B1169" s="4">
        <v>45567</v>
      </c>
      <c r="C1169" s="3" t="s">
        <v>324</v>
      </c>
      <c r="D1169" s="3" t="s">
        <v>115</v>
      </c>
      <c r="E1169" s="3" t="s">
        <v>31</v>
      </c>
      <c r="F1169" s="5">
        <v>9</v>
      </c>
      <c r="G1169" s="5">
        <v>1650</v>
      </c>
      <c r="H1169" s="5">
        <v>19.8</v>
      </c>
      <c r="I1169" s="5">
        <v>11909.7</v>
      </c>
      <c r="J1169" s="3" t="s">
        <v>83</v>
      </c>
      <c r="K1169" s="3" t="s">
        <v>56</v>
      </c>
      <c r="L1169" t="str">
        <f>IFERROR(VLOOKUP(D1169,Products!$A$2:$F$61,3,FALSE()),"")</f>
        <v>Beauty</v>
      </c>
      <c r="M1169" t="str">
        <f>IFERROR(VLOOKUP(E1169,Sales_Reps!$A$2:$C$31,3,FALSE()),"")</f>
        <v>North</v>
      </c>
      <c r="N1169">
        <f>IFERROR(VLOOKUP(D1169,Products!$A$2:$F$61,4,FALSE()),"")</f>
        <v>1222</v>
      </c>
      <c r="O1169" t="str">
        <f>IFERROR(VLOOKUP(C1169,Customers!$A$2:$F$301,5,FALSE()),"")</f>
        <v>Retail</v>
      </c>
      <c r="P1169">
        <f>IFERROR(VLOOKUP(C1169,Customers!$A$2:$F$301,3,FALSE()),"")</f>
        <v>23</v>
      </c>
      <c r="Q1169">
        <f t="shared" si="54"/>
        <v>0.2593939393939394</v>
      </c>
      <c r="R1169">
        <f>IF(AND(COUNTIF($A$2:$A$2047,A1169)&gt;1,COUNTIF($A$2:A1169,A1169)=1),1,0)</f>
        <v>0</v>
      </c>
      <c r="S1169" t="b">
        <f>IFERROR(VLOOKUP(D1169,Products!$A$2:$F$61,6,FALSE()),"")</f>
        <v>1</v>
      </c>
      <c r="T1169" t="str">
        <f>IF(COUNTIF(Customers!$A$2:$A$301,C1169)=0,"Missing","OK")</f>
        <v>OK</v>
      </c>
      <c r="U1169" t="str">
        <f t="shared" si="55"/>
        <v>Bengaluru</v>
      </c>
      <c r="V1169">
        <f t="shared" si="56"/>
        <v>0</v>
      </c>
    </row>
    <row r="1170" spans="1:22" ht="15" customHeight="1" x14ac:dyDescent="0.35">
      <c r="A1170" s="3" t="s">
        <v>1595</v>
      </c>
      <c r="B1170" s="4">
        <v>45502</v>
      </c>
      <c r="C1170" s="3" t="s">
        <v>272</v>
      </c>
      <c r="D1170" s="3" t="s">
        <v>134</v>
      </c>
      <c r="E1170" s="3" t="s">
        <v>60</v>
      </c>
      <c r="F1170" s="5">
        <v>3</v>
      </c>
      <c r="G1170" s="5">
        <v>2860</v>
      </c>
      <c r="H1170" s="5">
        <v>22.7</v>
      </c>
      <c r="I1170" s="5">
        <v>6632.34</v>
      </c>
      <c r="J1170" s="3" t="s">
        <v>26</v>
      </c>
      <c r="K1170" s="3" t="s">
        <v>72</v>
      </c>
      <c r="L1170" t="str">
        <f>IFERROR(VLOOKUP(D1170,Products!$A$2:$F$61,3,FALSE()),"")</f>
        <v>Sports</v>
      </c>
      <c r="M1170" t="str">
        <f>IFERROR(VLOOKUP(E1170,Sales_Reps!$A$2:$C$31,3,FALSE()),"")</f>
        <v>East</v>
      </c>
      <c r="N1170">
        <f>IFERROR(VLOOKUP(D1170,Products!$A$2:$F$61,4,FALSE()),"")</f>
        <v>2028</v>
      </c>
      <c r="O1170" t="str">
        <f>IFERROR(VLOOKUP(C1170,Customers!$A$2:$F$301,5,FALSE()),"")</f>
        <v>SMB</v>
      </c>
      <c r="P1170">
        <f>IFERROR(VLOOKUP(C1170,Customers!$A$2:$F$301,3,FALSE()),"")</f>
        <v>65</v>
      </c>
      <c r="Q1170">
        <f t="shared" si="54"/>
        <v>0.29090909090909089</v>
      </c>
      <c r="R1170">
        <f>IF(AND(COUNTIF($A$2:$A$2047,A1170)&gt;1,COUNTIF($A$2:A1170,A1170)=1),1,0)</f>
        <v>0</v>
      </c>
      <c r="S1170" t="b">
        <f>IFERROR(VLOOKUP(D1170,Products!$A$2:$F$61,6,FALSE()),"")</f>
        <v>1</v>
      </c>
      <c r="T1170" t="str">
        <f>IF(COUNTIF(Customers!$A$2:$A$301,C1170)=0,"Missing","OK")</f>
        <v>OK</v>
      </c>
      <c r="U1170" t="str">
        <f t="shared" si="55"/>
        <v>Hyderabad</v>
      </c>
      <c r="V1170">
        <f t="shared" si="56"/>
        <v>0</v>
      </c>
    </row>
    <row r="1171" spans="1:22" ht="15" customHeight="1" x14ac:dyDescent="0.35">
      <c r="A1171" s="3" t="s">
        <v>1596</v>
      </c>
      <c r="B1171" s="4">
        <v>45429</v>
      </c>
      <c r="C1171" s="3" t="s">
        <v>986</v>
      </c>
      <c r="D1171" s="3" t="s">
        <v>100</v>
      </c>
      <c r="E1171" s="3" t="s">
        <v>50</v>
      </c>
      <c r="F1171" s="5">
        <v>4</v>
      </c>
      <c r="G1171" s="5">
        <v>3450</v>
      </c>
      <c r="H1171" s="5">
        <v>9.1999999999999993</v>
      </c>
      <c r="I1171" s="5">
        <v>12530.4</v>
      </c>
      <c r="J1171" s="3" t="s">
        <v>26</v>
      </c>
      <c r="K1171" s="3" t="s">
        <v>72</v>
      </c>
      <c r="L1171" t="str">
        <f>IFERROR(VLOOKUP(D1171,Products!$A$2:$F$61,3,FALSE()),"")</f>
        <v>Sports</v>
      </c>
      <c r="M1171" t="str">
        <f>IFERROR(VLOOKUP(E1171,Sales_Reps!$A$2:$C$31,3,FALSE()),"")</f>
        <v>West</v>
      </c>
      <c r="N1171">
        <f>IFERROR(VLOOKUP(D1171,Products!$A$2:$F$61,4,FALSE()),"")</f>
        <v>2467</v>
      </c>
      <c r="O1171" t="str">
        <f>IFERROR(VLOOKUP(C1171,Customers!$A$2:$F$301,5,FALSE()),"")</f>
        <v>Retail</v>
      </c>
      <c r="P1171">
        <f>IFERROR(VLOOKUP(C1171,Customers!$A$2:$F$301,3,FALSE()),"")</f>
        <v>41</v>
      </c>
      <c r="Q1171">
        <f t="shared" si="54"/>
        <v>0.28492753623188405</v>
      </c>
      <c r="R1171">
        <f>IF(AND(COUNTIF($A$2:$A$2047,A1171)&gt;1,COUNTIF($A$2:A1171,A1171)=1),1,0)</f>
        <v>0</v>
      </c>
      <c r="S1171" t="b">
        <f>IFERROR(VLOOKUP(D1171,Products!$A$2:$F$61,6,FALSE()),"")</f>
        <v>1</v>
      </c>
      <c r="T1171" t="str">
        <f>IF(COUNTIF(Customers!$A$2:$A$301,C1171)=0,"Missing","OK")</f>
        <v>OK</v>
      </c>
      <c r="U1171" t="str">
        <f t="shared" si="55"/>
        <v>Hyderabad</v>
      </c>
      <c r="V1171">
        <f t="shared" si="56"/>
        <v>0</v>
      </c>
    </row>
    <row r="1172" spans="1:22" ht="15" customHeight="1" x14ac:dyDescent="0.35">
      <c r="A1172" s="3" t="s">
        <v>1597</v>
      </c>
      <c r="B1172" s="4">
        <v>45405</v>
      </c>
      <c r="C1172" s="3" t="s">
        <v>214</v>
      </c>
      <c r="D1172" s="3" t="s">
        <v>234</v>
      </c>
      <c r="E1172" s="3" t="s">
        <v>87</v>
      </c>
      <c r="F1172" s="5">
        <v>4</v>
      </c>
      <c r="G1172" s="5">
        <v>2030</v>
      </c>
      <c r="H1172" s="5">
        <v>17.100000000000001</v>
      </c>
      <c r="I1172" s="5">
        <v>6731.48</v>
      </c>
      <c r="J1172" s="3" t="s">
        <v>26</v>
      </c>
      <c r="K1172" s="3" t="s">
        <v>27</v>
      </c>
      <c r="L1172" t="str">
        <f>IFERROR(VLOOKUP(D1172,Products!$A$2:$F$61,3,FALSE()),"")</f>
        <v>Home</v>
      </c>
      <c r="M1172" t="str">
        <f>IFERROR(VLOOKUP(E1172,Sales_Reps!$A$2:$C$31,3,FALSE()),"")</f>
        <v>North</v>
      </c>
      <c r="N1172">
        <f>IFERROR(VLOOKUP(D1172,Products!$A$2:$F$61,4,FALSE()),"")</f>
        <v>1143</v>
      </c>
      <c r="O1172" t="str">
        <f>IFERROR(VLOOKUP(C1172,Customers!$A$2:$F$301,5,FALSE()),"")</f>
        <v>Retail</v>
      </c>
      <c r="P1172">
        <f>IFERROR(VLOOKUP(C1172,Customers!$A$2:$F$301,3,FALSE()),"")</f>
        <v>44</v>
      </c>
      <c r="Q1172">
        <f t="shared" si="54"/>
        <v>0.43694581280788175</v>
      </c>
      <c r="R1172">
        <f>IF(AND(COUNTIF($A$2:$A$2047,A1172)&gt;1,COUNTIF($A$2:A1172,A1172)=1),1,0)</f>
        <v>0</v>
      </c>
      <c r="S1172" t="b">
        <f>IFERROR(VLOOKUP(D1172,Products!$A$2:$F$61,6,FALSE()),"")</f>
        <v>1</v>
      </c>
      <c r="T1172" t="str">
        <f>IF(COUNTIF(Customers!$A$2:$A$301,C1172)=0,"Missing","OK")</f>
        <v>OK</v>
      </c>
      <c r="U1172" t="str">
        <f t="shared" si="55"/>
        <v>Pune</v>
      </c>
      <c r="V1172">
        <f t="shared" si="56"/>
        <v>0</v>
      </c>
    </row>
    <row r="1173" spans="1:22" ht="15" customHeight="1" x14ac:dyDescent="0.35">
      <c r="A1173" s="3" t="s">
        <v>1598</v>
      </c>
      <c r="B1173" s="4">
        <v>45401</v>
      </c>
      <c r="C1173" s="3" t="s">
        <v>352</v>
      </c>
      <c r="D1173" s="3" t="s">
        <v>184</v>
      </c>
      <c r="E1173" s="3" t="s">
        <v>285</v>
      </c>
      <c r="F1173" s="5">
        <v>4</v>
      </c>
      <c r="G1173" s="5">
        <v>2270</v>
      </c>
      <c r="H1173" s="5">
        <v>27.3</v>
      </c>
      <c r="I1173" s="5">
        <v>6601.16</v>
      </c>
      <c r="J1173" s="3" t="s">
        <v>26</v>
      </c>
      <c r="K1173" s="3" t="s">
        <v>27</v>
      </c>
      <c r="L1173" t="str">
        <f>IFERROR(VLOOKUP(D1173,Products!$A$2:$F$61,3,FALSE()),"")</f>
        <v>Grocery</v>
      </c>
      <c r="M1173" t="str">
        <f>IFERROR(VLOOKUP(E1173,Sales_Reps!$A$2:$C$31,3,FALSE()),"")</f>
        <v>South</v>
      </c>
      <c r="N1173">
        <f>IFERROR(VLOOKUP(D1173,Products!$A$2:$F$61,4,FALSE()),"")</f>
        <v>1412</v>
      </c>
      <c r="O1173" t="str">
        <f>IFERROR(VLOOKUP(C1173,Customers!$A$2:$F$301,5,FALSE()),"")</f>
        <v>Retail</v>
      </c>
      <c r="P1173">
        <f>IFERROR(VLOOKUP(C1173,Customers!$A$2:$F$301,3,FALSE()),"")</f>
        <v>22</v>
      </c>
      <c r="Q1173">
        <f t="shared" si="54"/>
        <v>0.37797356828193834</v>
      </c>
      <c r="R1173">
        <f>IF(AND(COUNTIF($A$2:$A$2047,A1173)&gt;1,COUNTIF($A$2:A1173,A1173)=1),1,0)</f>
        <v>0</v>
      </c>
      <c r="S1173" t="b">
        <f>IFERROR(VLOOKUP(D1173,Products!$A$2:$F$61,6,FALSE()),"")</f>
        <v>1</v>
      </c>
      <c r="T1173" t="str">
        <f>IF(COUNTIF(Customers!$A$2:$A$301,C1173)=0,"Missing","OK")</f>
        <v>OK</v>
      </c>
      <c r="U1173" t="str">
        <f t="shared" si="55"/>
        <v>Pune</v>
      </c>
      <c r="V1173">
        <f t="shared" si="56"/>
        <v>0</v>
      </c>
    </row>
    <row r="1174" spans="1:22" ht="15" customHeight="1" x14ac:dyDescent="0.35">
      <c r="A1174" s="3" t="s">
        <v>1599</v>
      </c>
      <c r="B1174" s="4">
        <v>45373</v>
      </c>
      <c r="C1174" s="3" t="s">
        <v>404</v>
      </c>
      <c r="D1174" s="3" t="s">
        <v>382</v>
      </c>
      <c r="E1174" s="3" t="s">
        <v>191</v>
      </c>
      <c r="F1174" s="5">
        <v>9</v>
      </c>
      <c r="G1174" s="5">
        <v>5080</v>
      </c>
      <c r="H1174" s="5">
        <v>10.9</v>
      </c>
      <c r="I1174" s="5">
        <v>40736.519999999997</v>
      </c>
      <c r="J1174" s="3" t="s">
        <v>26</v>
      </c>
      <c r="K1174" s="3" t="s">
        <v>51</v>
      </c>
      <c r="L1174" t="str">
        <f>IFERROR(VLOOKUP(D1174,Products!$A$2:$F$61,3,FALSE()),"")</f>
        <v>Home</v>
      </c>
      <c r="M1174" t="str">
        <f>IFERROR(VLOOKUP(E1174,Sales_Reps!$A$2:$C$31,3,FALSE()),"")</f>
        <v>South</v>
      </c>
      <c r="N1174">
        <f>IFERROR(VLOOKUP(D1174,Products!$A$2:$F$61,4,FALSE()),"")</f>
        <v>2459</v>
      </c>
      <c r="O1174" t="str">
        <f>IFERROR(VLOOKUP(C1174,Customers!$A$2:$F$301,5,FALSE()),"")</f>
        <v>Retail</v>
      </c>
      <c r="P1174">
        <f>IFERROR(VLOOKUP(C1174,Customers!$A$2:$F$301,3,FALSE()),"")</f>
        <v>61</v>
      </c>
      <c r="Q1174">
        <f t="shared" si="54"/>
        <v>0.51594488188976373</v>
      </c>
      <c r="R1174">
        <f>IF(AND(COUNTIF($A$2:$A$2047,A1174)&gt;1,COUNTIF($A$2:A1174,A1174)=1),1,0)</f>
        <v>0</v>
      </c>
      <c r="S1174" t="b">
        <f>IFERROR(VLOOKUP(D1174,Products!$A$2:$F$61,6,FALSE()),"")</f>
        <v>1</v>
      </c>
      <c r="T1174" t="str">
        <f>IF(COUNTIF(Customers!$A$2:$A$301,C1174)=0,"Missing","OK")</f>
        <v>OK</v>
      </c>
      <c r="U1174" t="str">
        <f t="shared" si="55"/>
        <v>Mumbai</v>
      </c>
      <c r="V1174">
        <f t="shared" si="56"/>
        <v>0</v>
      </c>
    </row>
    <row r="1175" spans="1:22" ht="15" customHeight="1" x14ac:dyDescent="0.35">
      <c r="A1175" s="3" t="s">
        <v>1600</v>
      </c>
      <c r="B1175" s="4">
        <v>45602</v>
      </c>
      <c r="C1175" s="3" t="s">
        <v>724</v>
      </c>
      <c r="D1175" s="3" t="s">
        <v>203</v>
      </c>
      <c r="E1175" s="3" t="s">
        <v>168</v>
      </c>
      <c r="F1175" s="5">
        <v>8</v>
      </c>
      <c r="G1175" s="5">
        <v>4070</v>
      </c>
      <c r="H1175" s="5">
        <v>17.7</v>
      </c>
      <c r="I1175" s="5">
        <v>26796.880000000001</v>
      </c>
      <c r="J1175" s="3" t="s">
        <v>26</v>
      </c>
      <c r="K1175" s="3" t="s">
        <v>27</v>
      </c>
      <c r="L1175" t="str">
        <f>IFERROR(VLOOKUP(D1175,Products!$A$2:$F$61,3,FALSE()),"")</f>
        <v>Grocery</v>
      </c>
      <c r="M1175" t="str">
        <f>IFERROR(VLOOKUP(E1175,Sales_Reps!$A$2:$C$31,3,FALSE()),"")</f>
        <v>West</v>
      </c>
      <c r="N1175">
        <f>IFERROR(VLOOKUP(D1175,Products!$A$2:$F$61,4,FALSE()),"")</f>
        <v>2027</v>
      </c>
      <c r="O1175" t="str">
        <f>IFERROR(VLOOKUP(C1175,Customers!$A$2:$F$301,5,FALSE()),"")</f>
        <v>Retail</v>
      </c>
      <c r="P1175">
        <f>IFERROR(VLOOKUP(C1175,Customers!$A$2:$F$301,3,FALSE()),"")</f>
        <v>31</v>
      </c>
      <c r="Q1175">
        <f t="shared" si="54"/>
        <v>0.50196560196560192</v>
      </c>
      <c r="R1175">
        <f>IF(AND(COUNTIF($A$2:$A$2047,A1175)&gt;1,COUNTIF($A$2:A1175,A1175)=1),1,0)</f>
        <v>0</v>
      </c>
      <c r="S1175" t="b">
        <f>IFERROR(VLOOKUP(D1175,Products!$A$2:$F$61,6,FALSE()),"")</f>
        <v>1</v>
      </c>
      <c r="T1175" t="str">
        <f>IF(COUNTIF(Customers!$A$2:$A$301,C1175)=0,"Missing","OK")</f>
        <v>OK</v>
      </c>
      <c r="U1175" t="str">
        <f t="shared" si="55"/>
        <v>Pune</v>
      </c>
      <c r="V1175">
        <f t="shared" si="56"/>
        <v>0</v>
      </c>
    </row>
    <row r="1176" spans="1:22" ht="15" customHeight="1" x14ac:dyDescent="0.35">
      <c r="A1176" s="3" t="s">
        <v>1601</v>
      </c>
      <c r="B1176" s="4">
        <v>45372</v>
      </c>
      <c r="C1176" s="3" t="s">
        <v>361</v>
      </c>
      <c r="D1176" s="3" t="s">
        <v>198</v>
      </c>
      <c r="E1176" s="3" t="s">
        <v>31</v>
      </c>
      <c r="F1176" s="5">
        <v>1</v>
      </c>
      <c r="G1176" s="5">
        <v>1540</v>
      </c>
      <c r="H1176" s="5">
        <v>0.9</v>
      </c>
      <c r="I1176" s="5">
        <v>1526.14</v>
      </c>
      <c r="J1176" s="3" t="s">
        <v>26</v>
      </c>
      <c r="K1176" s="3" t="s">
        <v>33</v>
      </c>
      <c r="L1176" t="str">
        <f>IFERROR(VLOOKUP(D1176,Products!$A$2:$F$61,3,FALSE()),"")</f>
        <v>Beauty</v>
      </c>
      <c r="M1176" t="str">
        <f>IFERROR(VLOOKUP(E1176,Sales_Reps!$A$2:$C$31,3,FALSE()),"")</f>
        <v>North</v>
      </c>
      <c r="N1176">
        <f>IFERROR(VLOOKUP(D1176,Products!$A$2:$F$61,4,FALSE()),"")</f>
        <v>647</v>
      </c>
      <c r="O1176" t="str">
        <f>IFERROR(VLOOKUP(C1176,Customers!$A$2:$F$301,5,FALSE()),"")</f>
        <v>SMB</v>
      </c>
      <c r="P1176">
        <f>IFERROR(VLOOKUP(C1176,Customers!$A$2:$F$301,3,FALSE()),"")</f>
        <v>64</v>
      </c>
      <c r="Q1176">
        <f t="shared" si="54"/>
        <v>0.57987012987012987</v>
      </c>
      <c r="R1176">
        <f>IF(AND(COUNTIF($A$2:$A$2047,A1176)&gt;1,COUNTIF($A$2:A1176,A1176)=1),1,0)</f>
        <v>0</v>
      </c>
      <c r="S1176" t="b">
        <f>IFERROR(VLOOKUP(D1176,Products!$A$2:$F$61,6,FALSE()),"")</f>
        <v>0</v>
      </c>
      <c r="T1176" t="str">
        <f>IF(COUNTIF(Customers!$A$2:$A$301,C1176)=0,"Missing","OK")</f>
        <v>OK</v>
      </c>
      <c r="U1176" t="str">
        <f t="shared" si="55"/>
        <v>Chennai</v>
      </c>
      <c r="V1176">
        <f t="shared" si="56"/>
        <v>0</v>
      </c>
    </row>
    <row r="1177" spans="1:22" ht="15" customHeight="1" x14ac:dyDescent="0.35">
      <c r="A1177" s="3" t="s">
        <v>1602</v>
      </c>
      <c r="B1177" s="4">
        <v>45416</v>
      </c>
      <c r="C1177" s="3" t="s">
        <v>1603</v>
      </c>
      <c r="D1177" s="3" t="s">
        <v>130</v>
      </c>
      <c r="E1177" s="3" t="s">
        <v>55</v>
      </c>
      <c r="F1177" s="5">
        <v>10</v>
      </c>
      <c r="G1177" s="5">
        <v>5100</v>
      </c>
      <c r="H1177" s="5">
        <v>3</v>
      </c>
      <c r="I1177" s="5">
        <v>49470</v>
      </c>
      <c r="J1177" s="3" t="s">
        <v>26</v>
      </c>
      <c r="K1177" s="3" t="s">
        <v>56</v>
      </c>
      <c r="L1177" t="str">
        <f>IFERROR(VLOOKUP(D1177,Products!$A$2:$F$61,3,FALSE()),"")</f>
        <v>Beauty</v>
      </c>
      <c r="M1177" t="str">
        <f>IFERROR(VLOOKUP(E1177,Sales_Reps!$A$2:$C$31,3,FALSE()),"")</f>
        <v>West</v>
      </c>
      <c r="N1177">
        <f>IFERROR(VLOOKUP(D1177,Products!$A$2:$F$61,4,FALSE()),"")</f>
        <v>2237</v>
      </c>
      <c r="O1177" t="str">
        <f>IFERROR(VLOOKUP(C1177,Customers!$A$2:$F$301,5,FALSE()),"")</f>
        <v>Retail</v>
      </c>
      <c r="P1177">
        <f>IFERROR(VLOOKUP(C1177,Customers!$A$2:$F$301,3,FALSE()),"")</f>
        <v>48</v>
      </c>
      <c r="Q1177">
        <f t="shared" si="54"/>
        <v>0.56137254901960787</v>
      </c>
      <c r="R1177">
        <f>IF(AND(COUNTIF($A$2:$A$2047,A1177)&gt;1,COUNTIF($A$2:A1177,A1177)=1),1,0)</f>
        <v>0</v>
      </c>
      <c r="S1177" t="b">
        <f>IFERROR(VLOOKUP(D1177,Products!$A$2:$F$61,6,FALSE()),"")</f>
        <v>1</v>
      </c>
      <c r="T1177" t="str">
        <f>IF(COUNTIF(Customers!$A$2:$A$301,C1177)=0,"Missing","OK")</f>
        <v>OK</v>
      </c>
      <c r="U1177" t="str">
        <f t="shared" si="55"/>
        <v>Bengaluru</v>
      </c>
      <c r="V1177">
        <f t="shared" si="56"/>
        <v>0</v>
      </c>
    </row>
    <row r="1178" spans="1:22" ht="15" customHeight="1" x14ac:dyDescent="0.35">
      <c r="A1178" s="3" t="s">
        <v>1604</v>
      </c>
      <c r="B1178" s="4">
        <v>45656</v>
      </c>
      <c r="C1178" s="3" t="s">
        <v>519</v>
      </c>
      <c r="D1178" s="3" t="s">
        <v>24</v>
      </c>
      <c r="E1178" s="3" t="s">
        <v>42</v>
      </c>
      <c r="F1178" s="5">
        <v>6</v>
      </c>
      <c r="G1178" s="5">
        <v>3620</v>
      </c>
      <c r="H1178" s="5">
        <v>20.2</v>
      </c>
      <c r="I1178" s="5">
        <v>17332.560000000001</v>
      </c>
      <c r="J1178" s="3" t="s">
        <v>26</v>
      </c>
      <c r="K1178" s="3" t="s">
        <v>27</v>
      </c>
      <c r="L1178" t="str">
        <f>IFERROR(VLOOKUP(D1178,Products!$A$2:$F$61,3,FALSE()),"")</f>
        <v>Apparel</v>
      </c>
      <c r="M1178" t="str">
        <f>IFERROR(VLOOKUP(E1178,Sales_Reps!$A$2:$C$31,3,FALSE()),"")</f>
        <v>North</v>
      </c>
      <c r="N1178">
        <f>IFERROR(VLOOKUP(D1178,Products!$A$2:$F$61,4,FALSE()),"")</f>
        <v>2509</v>
      </c>
      <c r="O1178" t="str">
        <f>IFERROR(VLOOKUP(C1178,Customers!$A$2:$F$301,5,FALSE()),"")</f>
        <v>Corporate</v>
      </c>
      <c r="P1178">
        <f>IFERROR(VLOOKUP(C1178,Customers!$A$2:$F$301,3,FALSE()),"")</f>
        <v>40</v>
      </c>
      <c r="Q1178">
        <f t="shared" si="54"/>
        <v>0.3069060773480663</v>
      </c>
      <c r="R1178">
        <f>IF(AND(COUNTIF($A$2:$A$2047,A1178)&gt;1,COUNTIF($A$2:A1178,A1178)=1),1,0)</f>
        <v>0</v>
      </c>
      <c r="S1178" t="b">
        <f>IFERROR(VLOOKUP(D1178,Products!$A$2:$F$61,6,FALSE()),"")</f>
        <v>1</v>
      </c>
      <c r="T1178" t="str">
        <f>IF(COUNTIF(Customers!$A$2:$A$301,C1178)=0,"Missing","OK")</f>
        <v>OK</v>
      </c>
      <c r="U1178" t="str">
        <f t="shared" si="55"/>
        <v>Pune</v>
      </c>
      <c r="V1178">
        <f t="shared" si="56"/>
        <v>0</v>
      </c>
    </row>
    <row r="1179" spans="1:22" ht="15" customHeight="1" x14ac:dyDescent="0.35">
      <c r="A1179" s="3" t="s">
        <v>1605</v>
      </c>
      <c r="B1179" s="4">
        <v>45324</v>
      </c>
      <c r="C1179" s="3" t="s">
        <v>65</v>
      </c>
      <c r="D1179" s="3" t="s">
        <v>123</v>
      </c>
      <c r="E1179" s="3" t="s">
        <v>87</v>
      </c>
      <c r="F1179" s="5">
        <v>7</v>
      </c>
      <c r="G1179" s="5">
        <v>4880</v>
      </c>
      <c r="H1179" s="5">
        <v>5</v>
      </c>
      <c r="I1179" s="5">
        <v>32452</v>
      </c>
      <c r="J1179" s="3" t="s">
        <v>26</v>
      </c>
      <c r="K1179" s="3" t="s">
        <v>27</v>
      </c>
      <c r="L1179" t="str">
        <f>IFERROR(VLOOKUP(D1179,Products!$A$2:$F$61,3,FALSE()),"")</f>
        <v>Beauty</v>
      </c>
      <c r="M1179" t="str">
        <f>IFERROR(VLOOKUP(E1179,Sales_Reps!$A$2:$C$31,3,FALSE()),"")</f>
        <v>North</v>
      </c>
      <c r="N1179">
        <f>IFERROR(VLOOKUP(D1179,Products!$A$2:$F$61,4,FALSE()),"")</f>
        <v>2768</v>
      </c>
      <c r="O1179" t="str">
        <f>IFERROR(VLOOKUP(C1179,Customers!$A$2:$F$301,5,FALSE()),"")</f>
        <v>Retail</v>
      </c>
      <c r="P1179">
        <f>IFERROR(VLOOKUP(C1179,Customers!$A$2:$F$301,3,FALSE()),"")</f>
        <v>56</v>
      </c>
      <c r="Q1179">
        <f t="shared" si="54"/>
        <v>0.43278688524590164</v>
      </c>
      <c r="R1179">
        <f>IF(AND(COUNTIF($A$2:$A$2047,A1179)&gt;1,COUNTIF($A$2:A1179,A1179)=1),1,0)</f>
        <v>0</v>
      </c>
      <c r="S1179" t="b">
        <f>IFERROR(VLOOKUP(D1179,Products!$A$2:$F$61,6,FALSE()),"")</f>
        <v>1</v>
      </c>
      <c r="T1179" t="str">
        <f>IF(COUNTIF(Customers!$A$2:$A$301,C1179)=0,"Missing","OK")</f>
        <v>OK</v>
      </c>
      <c r="U1179" t="str">
        <f t="shared" si="55"/>
        <v>Pune</v>
      </c>
      <c r="V1179">
        <f t="shared" si="56"/>
        <v>0</v>
      </c>
    </row>
    <row r="1180" spans="1:22" ht="15" customHeight="1" x14ac:dyDescent="0.35">
      <c r="A1180" s="3" t="s">
        <v>1606</v>
      </c>
      <c r="B1180" s="4">
        <v>45472</v>
      </c>
      <c r="C1180" s="3" t="s">
        <v>133</v>
      </c>
      <c r="D1180" s="3" t="s">
        <v>74</v>
      </c>
      <c r="E1180" s="3" t="s">
        <v>55</v>
      </c>
      <c r="F1180" s="5">
        <v>1</v>
      </c>
      <c r="G1180" s="5">
        <v>2640</v>
      </c>
      <c r="H1180" s="5">
        <v>4.0999999999999996</v>
      </c>
      <c r="I1180" s="5">
        <v>2531.7600000000002</v>
      </c>
      <c r="J1180" s="3" t="s">
        <v>26</v>
      </c>
      <c r="K1180" s="3" t="s">
        <v>27</v>
      </c>
      <c r="L1180" t="str">
        <f>IFERROR(VLOOKUP(D1180,Products!$A$2:$F$61,3,FALSE()),"")</f>
        <v>Electronics</v>
      </c>
      <c r="M1180" t="str">
        <f>IFERROR(VLOOKUP(E1180,Sales_Reps!$A$2:$C$31,3,FALSE()),"")</f>
        <v>West</v>
      </c>
      <c r="N1180">
        <f>IFERROR(VLOOKUP(D1180,Products!$A$2:$F$61,4,FALSE()),"")</f>
        <v>1149</v>
      </c>
      <c r="O1180" t="str">
        <f>IFERROR(VLOOKUP(C1180,Customers!$A$2:$F$301,5,FALSE()),"")</f>
        <v>SMB</v>
      </c>
      <c r="P1180">
        <f>IFERROR(VLOOKUP(C1180,Customers!$A$2:$F$301,3,FALSE()),"")</f>
        <v>44</v>
      </c>
      <c r="Q1180">
        <f t="shared" si="54"/>
        <v>0.56477272727272732</v>
      </c>
      <c r="R1180">
        <f>IF(AND(COUNTIF($A$2:$A$2047,A1180)&gt;1,COUNTIF($A$2:A1180,A1180)=1),1,0)</f>
        <v>0</v>
      </c>
      <c r="S1180" t="b">
        <f>IFERROR(VLOOKUP(D1180,Products!$A$2:$F$61,6,FALSE()),"")</f>
        <v>1</v>
      </c>
      <c r="T1180" t="str">
        <f>IF(COUNTIF(Customers!$A$2:$A$301,C1180)=0,"Missing","OK")</f>
        <v>OK</v>
      </c>
      <c r="U1180" t="str">
        <f t="shared" si="55"/>
        <v>Pune</v>
      </c>
      <c r="V1180">
        <f t="shared" si="56"/>
        <v>0</v>
      </c>
    </row>
    <row r="1181" spans="1:22" ht="15" customHeight="1" x14ac:dyDescent="0.35">
      <c r="A1181" s="3" t="s">
        <v>1607</v>
      </c>
      <c r="B1181" s="4">
        <v>45508</v>
      </c>
      <c r="C1181" s="3" t="s">
        <v>202</v>
      </c>
      <c r="D1181" s="3" t="s">
        <v>203</v>
      </c>
      <c r="E1181" s="3" t="s">
        <v>131</v>
      </c>
      <c r="F1181" s="5">
        <v>9</v>
      </c>
      <c r="G1181" s="5">
        <v>4070</v>
      </c>
      <c r="H1181" s="5">
        <v>4.4000000000000004</v>
      </c>
      <c r="I1181" s="5">
        <v>35018.28</v>
      </c>
      <c r="J1181" s="3" t="s">
        <v>26</v>
      </c>
      <c r="K1181" s="3" t="s">
        <v>72</v>
      </c>
      <c r="L1181" t="str">
        <f>IFERROR(VLOOKUP(D1181,Products!$A$2:$F$61,3,FALSE()),"")</f>
        <v>Grocery</v>
      </c>
      <c r="M1181" t="str">
        <f>IFERROR(VLOOKUP(E1181,Sales_Reps!$A$2:$C$31,3,FALSE()),"")</f>
        <v>East</v>
      </c>
      <c r="N1181">
        <f>IFERROR(VLOOKUP(D1181,Products!$A$2:$F$61,4,FALSE()),"")</f>
        <v>2027</v>
      </c>
      <c r="O1181" t="str">
        <f>IFERROR(VLOOKUP(C1181,Customers!$A$2:$F$301,5,FALSE()),"")</f>
        <v>Retail</v>
      </c>
      <c r="P1181">
        <f>IFERROR(VLOOKUP(C1181,Customers!$A$2:$F$301,3,FALSE()),"")</f>
        <v>53</v>
      </c>
      <c r="Q1181">
        <f t="shared" si="54"/>
        <v>0.50196560196560192</v>
      </c>
      <c r="R1181">
        <f>IF(AND(COUNTIF($A$2:$A$2047,A1181)&gt;1,COUNTIF($A$2:A1181,A1181)=1),1,0)</f>
        <v>0</v>
      </c>
      <c r="S1181" t="b">
        <f>IFERROR(VLOOKUP(D1181,Products!$A$2:$F$61,6,FALSE()),"")</f>
        <v>1</v>
      </c>
      <c r="T1181" t="str">
        <f>IF(COUNTIF(Customers!$A$2:$A$301,C1181)=0,"Missing","OK")</f>
        <v>OK</v>
      </c>
      <c r="U1181" t="str">
        <f t="shared" si="55"/>
        <v>Hyderabad</v>
      </c>
      <c r="V1181">
        <f t="shared" si="56"/>
        <v>0</v>
      </c>
    </row>
    <row r="1182" spans="1:22" ht="15" customHeight="1" x14ac:dyDescent="0.35">
      <c r="A1182" s="3" t="s">
        <v>1608</v>
      </c>
      <c r="B1182" s="4">
        <v>45617</v>
      </c>
      <c r="C1182" s="3" t="s">
        <v>267</v>
      </c>
      <c r="D1182" s="3" t="s">
        <v>126</v>
      </c>
      <c r="E1182" s="3" t="s">
        <v>50</v>
      </c>
      <c r="F1182" s="5">
        <v>9</v>
      </c>
      <c r="G1182" s="5">
        <v>3570</v>
      </c>
      <c r="H1182" s="5">
        <v>24.8</v>
      </c>
      <c r="I1182" s="5">
        <v>24161.759999999998</v>
      </c>
      <c r="J1182" s="3" t="s">
        <v>26</v>
      </c>
      <c r="K1182" s="3" t="s">
        <v>33</v>
      </c>
      <c r="L1182" t="str">
        <f>IFERROR(VLOOKUP(D1182,Products!$A$2:$F$61,3,FALSE()),"")</f>
        <v>Electronics</v>
      </c>
      <c r="M1182" t="str">
        <f>IFERROR(VLOOKUP(E1182,Sales_Reps!$A$2:$C$31,3,FALSE()),"")</f>
        <v>West</v>
      </c>
      <c r="N1182">
        <f>IFERROR(VLOOKUP(D1182,Products!$A$2:$F$61,4,FALSE()),"")</f>
        <v>1665</v>
      </c>
      <c r="O1182" t="str">
        <f>IFERROR(VLOOKUP(C1182,Customers!$A$2:$F$301,5,FALSE()),"")</f>
        <v>Retail</v>
      </c>
      <c r="P1182">
        <f>IFERROR(VLOOKUP(C1182,Customers!$A$2:$F$301,3,FALSE()),"")</f>
        <v>28</v>
      </c>
      <c r="Q1182">
        <f t="shared" si="54"/>
        <v>0.53361344537815125</v>
      </c>
      <c r="R1182">
        <f>IF(AND(COUNTIF($A$2:$A$2047,A1182)&gt;1,COUNTIF($A$2:A1182,A1182)=1),1,0)</f>
        <v>0</v>
      </c>
      <c r="S1182" t="b">
        <f>IFERROR(VLOOKUP(D1182,Products!$A$2:$F$61,6,FALSE()),"")</f>
        <v>1</v>
      </c>
      <c r="T1182" t="str">
        <f>IF(COUNTIF(Customers!$A$2:$A$301,C1182)=0,"Missing","OK")</f>
        <v>OK</v>
      </c>
      <c r="U1182" t="str">
        <f t="shared" si="55"/>
        <v>Chennai</v>
      </c>
      <c r="V1182">
        <f t="shared" si="56"/>
        <v>0</v>
      </c>
    </row>
    <row r="1183" spans="1:22" ht="15" customHeight="1" x14ac:dyDescent="0.35">
      <c r="A1183" s="3" t="s">
        <v>1609</v>
      </c>
      <c r="B1183" s="4">
        <v>45470</v>
      </c>
      <c r="C1183" s="3" t="s">
        <v>211</v>
      </c>
      <c r="D1183" s="3" t="s">
        <v>118</v>
      </c>
      <c r="E1183" s="3" t="s">
        <v>31</v>
      </c>
      <c r="F1183" s="5">
        <v>10</v>
      </c>
      <c r="G1183" s="5">
        <v>3350</v>
      </c>
      <c r="H1183" s="5">
        <v>25.1</v>
      </c>
      <c r="I1183" s="5">
        <v>25091.5</v>
      </c>
      <c r="J1183" s="3" t="s">
        <v>79</v>
      </c>
      <c r="K1183" s="3" t="s">
        <v>33</v>
      </c>
      <c r="L1183" t="str">
        <f>IFERROR(VLOOKUP(D1183,Products!$A$2:$F$61,3,FALSE()),"")</f>
        <v>Beauty</v>
      </c>
      <c r="M1183" t="str">
        <f>IFERROR(VLOOKUP(E1183,Sales_Reps!$A$2:$C$31,3,FALSE()),"")</f>
        <v>North</v>
      </c>
      <c r="N1183">
        <f>IFERROR(VLOOKUP(D1183,Products!$A$2:$F$61,4,FALSE()),"")</f>
        <v>1728</v>
      </c>
      <c r="O1183" t="str">
        <f>IFERROR(VLOOKUP(C1183,Customers!$A$2:$F$301,5,FALSE()),"")</f>
        <v>SMB</v>
      </c>
      <c r="P1183">
        <f>IFERROR(VLOOKUP(C1183,Customers!$A$2:$F$301,3,FALSE()),"")</f>
        <v>55</v>
      </c>
      <c r="Q1183">
        <f t="shared" si="54"/>
        <v>0.48417910447761192</v>
      </c>
      <c r="R1183">
        <f>IF(AND(COUNTIF($A$2:$A$2047,A1183)&gt;1,COUNTIF($A$2:A1183,A1183)=1),1,0)</f>
        <v>0</v>
      </c>
      <c r="S1183" t="b">
        <f>IFERROR(VLOOKUP(D1183,Products!$A$2:$F$61,6,FALSE()),"")</f>
        <v>1</v>
      </c>
      <c r="T1183" t="str">
        <f>IF(COUNTIF(Customers!$A$2:$A$301,C1183)=0,"Missing","OK")</f>
        <v>OK</v>
      </c>
      <c r="U1183" t="str">
        <f t="shared" si="55"/>
        <v>Chennai</v>
      </c>
      <c r="V1183">
        <f t="shared" si="56"/>
        <v>0</v>
      </c>
    </row>
    <row r="1184" spans="1:22" ht="15" customHeight="1" x14ac:dyDescent="0.35">
      <c r="A1184" s="3" t="s">
        <v>1610</v>
      </c>
      <c r="B1184" s="4">
        <v>45307</v>
      </c>
      <c r="C1184" s="3" t="s">
        <v>656</v>
      </c>
      <c r="D1184" s="3" t="s">
        <v>400</v>
      </c>
      <c r="E1184" s="3" t="s">
        <v>50</v>
      </c>
      <c r="F1184" s="5">
        <v>3</v>
      </c>
      <c r="G1184" s="5">
        <v>3780</v>
      </c>
      <c r="H1184" s="5">
        <v>3.8</v>
      </c>
      <c r="I1184" s="5">
        <v>10909.08</v>
      </c>
      <c r="J1184" s="3" t="s">
        <v>26</v>
      </c>
      <c r="K1184" s="3" t="s">
        <v>33</v>
      </c>
      <c r="L1184" t="str">
        <f>IFERROR(VLOOKUP(D1184,Products!$A$2:$F$61,3,FALSE()),"")</f>
        <v>Sports</v>
      </c>
      <c r="M1184" t="str">
        <f>IFERROR(VLOOKUP(E1184,Sales_Reps!$A$2:$C$31,3,FALSE()),"")</f>
        <v>West</v>
      </c>
      <c r="N1184">
        <f>IFERROR(VLOOKUP(D1184,Products!$A$2:$F$61,4,FALSE()),"")</f>
        <v>1860</v>
      </c>
      <c r="O1184" t="str">
        <f>IFERROR(VLOOKUP(C1184,Customers!$A$2:$F$301,5,FALSE()),"")</f>
        <v>Retail</v>
      </c>
      <c r="P1184">
        <f>IFERROR(VLOOKUP(C1184,Customers!$A$2:$F$301,3,FALSE()),"")</f>
        <v>24</v>
      </c>
      <c r="Q1184">
        <f t="shared" si="54"/>
        <v>0.50793650793650791</v>
      </c>
      <c r="R1184">
        <f>IF(AND(COUNTIF($A$2:$A$2047,A1184)&gt;1,COUNTIF($A$2:A1184,A1184)=1),1,0)</f>
        <v>0</v>
      </c>
      <c r="S1184" t="b">
        <f>IFERROR(VLOOKUP(D1184,Products!$A$2:$F$61,6,FALSE()),"")</f>
        <v>1</v>
      </c>
      <c r="T1184" t="str">
        <f>IF(COUNTIF(Customers!$A$2:$A$301,C1184)=0,"Missing","OK")</f>
        <v>OK</v>
      </c>
      <c r="U1184" t="str">
        <f t="shared" si="55"/>
        <v>Chennai</v>
      </c>
      <c r="V1184">
        <f t="shared" si="56"/>
        <v>0</v>
      </c>
    </row>
    <row r="1185" spans="1:22" ht="15" customHeight="1" x14ac:dyDescent="0.35">
      <c r="A1185" s="3" t="s">
        <v>1611</v>
      </c>
      <c r="B1185" s="4">
        <v>45651</v>
      </c>
      <c r="C1185" s="3" t="s">
        <v>642</v>
      </c>
      <c r="D1185" s="3" t="s">
        <v>126</v>
      </c>
      <c r="E1185" s="3" t="s">
        <v>46</v>
      </c>
      <c r="F1185" s="5">
        <v>4</v>
      </c>
      <c r="G1185" s="5">
        <v>3570</v>
      </c>
      <c r="H1185" s="5">
        <v>0.9</v>
      </c>
      <c r="I1185" s="5">
        <v>14151.48</v>
      </c>
      <c r="J1185" s="3" t="s">
        <v>32</v>
      </c>
      <c r="K1185" s="3" t="s">
        <v>27</v>
      </c>
      <c r="L1185" t="str">
        <f>IFERROR(VLOOKUP(D1185,Products!$A$2:$F$61,3,FALSE()),"")</f>
        <v>Electronics</v>
      </c>
      <c r="M1185" t="str">
        <f>IFERROR(VLOOKUP(E1185,Sales_Reps!$A$2:$C$31,3,FALSE()),"")</f>
        <v>North</v>
      </c>
      <c r="N1185">
        <f>IFERROR(VLOOKUP(D1185,Products!$A$2:$F$61,4,FALSE()),"")</f>
        <v>1665</v>
      </c>
      <c r="O1185" t="str">
        <f>IFERROR(VLOOKUP(C1185,Customers!$A$2:$F$301,5,FALSE()),"")</f>
        <v>Corporate</v>
      </c>
      <c r="P1185">
        <f>IFERROR(VLOOKUP(C1185,Customers!$A$2:$F$301,3,FALSE()),"")</f>
        <v>52</v>
      </c>
      <c r="Q1185">
        <f t="shared" si="54"/>
        <v>0.53361344537815125</v>
      </c>
      <c r="R1185">
        <f>IF(AND(COUNTIF($A$2:$A$2047,A1185)&gt;1,COUNTIF($A$2:A1185,A1185)=1),1,0)</f>
        <v>0</v>
      </c>
      <c r="S1185" t="b">
        <f>IFERROR(VLOOKUP(D1185,Products!$A$2:$F$61,6,FALSE()),"")</f>
        <v>1</v>
      </c>
      <c r="T1185" t="str">
        <f>IF(COUNTIF(Customers!$A$2:$A$301,C1185)=0,"Missing","OK")</f>
        <v>OK</v>
      </c>
      <c r="U1185" t="str">
        <f t="shared" si="55"/>
        <v>Pune</v>
      </c>
      <c r="V1185">
        <f t="shared" si="56"/>
        <v>0</v>
      </c>
    </row>
    <row r="1186" spans="1:22" ht="15" customHeight="1" x14ac:dyDescent="0.35">
      <c r="A1186" s="3" t="s">
        <v>1102</v>
      </c>
      <c r="B1186" s="4">
        <v>45436</v>
      </c>
      <c r="C1186" s="3" t="s">
        <v>359</v>
      </c>
      <c r="D1186" s="3" t="s">
        <v>134</v>
      </c>
      <c r="E1186" s="3" t="s">
        <v>55</v>
      </c>
      <c r="F1186" s="5">
        <v>5</v>
      </c>
      <c r="G1186" s="5">
        <v>2860</v>
      </c>
      <c r="H1186" s="5">
        <v>20.100000000000001</v>
      </c>
      <c r="I1186" s="5">
        <v>11425.7</v>
      </c>
      <c r="J1186" s="3" t="s">
        <v>26</v>
      </c>
      <c r="K1186" s="3" t="s">
        <v>38</v>
      </c>
      <c r="L1186" t="str">
        <f>IFERROR(VLOOKUP(D1186,Products!$A$2:$F$61,3,FALSE()),"")</f>
        <v>Sports</v>
      </c>
      <c r="M1186" t="str">
        <f>IFERROR(VLOOKUP(E1186,Sales_Reps!$A$2:$C$31,3,FALSE()),"")</f>
        <v>West</v>
      </c>
      <c r="N1186">
        <f>IFERROR(VLOOKUP(D1186,Products!$A$2:$F$61,4,FALSE()),"")</f>
        <v>2028</v>
      </c>
      <c r="O1186" t="str">
        <f>IFERROR(VLOOKUP(C1186,Customers!$A$2:$F$301,5,FALSE()),"")</f>
        <v>Retail</v>
      </c>
      <c r="P1186">
        <f>IFERROR(VLOOKUP(C1186,Customers!$A$2:$F$301,3,FALSE()),"")</f>
        <v>44</v>
      </c>
      <c r="Q1186">
        <f t="shared" si="54"/>
        <v>0.29090909090909089</v>
      </c>
      <c r="R1186">
        <f>IF(AND(COUNTIF($A$2:$A$2047,A1186)&gt;1,COUNTIF($A$2:A1186,A1186)=1),1,0)</f>
        <v>0</v>
      </c>
      <c r="S1186" t="b">
        <f>IFERROR(VLOOKUP(D1186,Products!$A$2:$F$61,6,FALSE()),"")</f>
        <v>1</v>
      </c>
      <c r="T1186" t="str">
        <f>IF(COUNTIF(Customers!$A$2:$A$301,C1186)=0,"Missing","OK")</f>
        <v>OK</v>
      </c>
      <c r="U1186" t="str">
        <f t="shared" si="55"/>
        <v>Delhi</v>
      </c>
      <c r="V1186">
        <f t="shared" si="56"/>
        <v>0</v>
      </c>
    </row>
    <row r="1187" spans="1:22" ht="15" customHeight="1" x14ac:dyDescent="0.35">
      <c r="A1187" s="3" t="s">
        <v>1612</v>
      </c>
      <c r="B1187" s="4">
        <v>45518</v>
      </c>
      <c r="C1187" s="3" t="s">
        <v>623</v>
      </c>
      <c r="D1187" s="3" t="s">
        <v>231</v>
      </c>
      <c r="E1187" s="3" t="s">
        <v>87</v>
      </c>
      <c r="F1187" s="5">
        <v>1</v>
      </c>
      <c r="G1187" s="5">
        <v>620</v>
      </c>
      <c r="H1187" s="5">
        <v>1.1000000000000001</v>
      </c>
      <c r="I1187" s="5">
        <v>613.17999999999995</v>
      </c>
      <c r="J1187" s="3" t="s">
        <v>79</v>
      </c>
      <c r="K1187" s="3" t="s">
        <v>38</v>
      </c>
      <c r="L1187" t="str">
        <f>IFERROR(VLOOKUP(D1187,Products!$A$2:$F$61,3,FALSE()),"")</f>
        <v>Apparel</v>
      </c>
      <c r="M1187" t="str">
        <f>IFERROR(VLOOKUP(E1187,Sales_Reps!$A$2:$C$31,3,FALSE()),"")</f>
        <v>North</v>
      </c>
      <c r="N1187">
        <f>IFERROR(VLOOKUP(D1187,Products!$A$2:$F$61,4,FALSE()),"")</f>
        <v>396</v>
      </c>
      <c r="O1187" t="str">
        <f>IFERROR(VLOOKUP(C1187,Customers!$A$2:$F$301,5,FALSE()),"")</f>
        <v>Retail</v>
      </c>
      <c r="P1187">
        <f>IFERROR(VLOOKUP(C1187,Customers!$A$2:$F$301,3,FALSE()),"")</f>
        <v>41</v>
      </c>
      <c r="Q1187">
        <f t="shared" si="54"/>
        <v>0.36129032258064514</v>
      </c>
      <c r="R1187">
        <f>IF(AND(COUNTIF($A$2:$A$2047,A1187)&gt;1,COUNTIF($A$2:A1187,A1187)=1),1,0)</f>
        <v>0</v>
      </c>
      <c r="S1187" t="b">
        <f>IFERROR(VLOOKUP(D1187,Products!$A$2:$F$61,6,FALSE()),"")</f>
        <v>1</v>
      </c>
      <c r="T1187" t="str">
        <f>IF(COUNTIF(Customers!$A$2:$A$301,C1187)=0,"Missing","OK")</f>
        <v>OK</v>
      </c>
      <c r="U1187" t="str">
        <f t="shared" si="55"/>
        <v>Delhi</v>
      </c>
      <c r="V1187">
        <f t="shared" si="56"/>
        <v>0</v>
      </c>
    </row>
    <row r="1188" spans="1:22" ht="15" customHeight="1" x14ac:dyDescent="0.35">
      <c r="A1188" s="3" t="s">
        <v>1613</v>
      </c>
      <c r="B1188" s="4">
        <v>45432</v>
      </c>
      <c r="C1188" s="3" t="s">
        <v>133</v>
      </c>
      <c r="D1188" s="3" t="s">
        <v>126</v>
      </c>
      <c r="E1188" s="3" t="s">
        <v>264</v>
      </c>
      <c r="F1188" s="5">
        <v>1</v>
      </c>
      <c r="G1188" s="5">
        <v>3570</v>
      </c>
      <c r="H1188" s="5">
        <v>11.1</v>
      </c>
      <c r="I1188" s="5">
        <v>3173.73</v>
      </c>
      <c r="J1188" s="3" t="s">
        <v>79</v>
      </c>
      <c r="K1188" s="3" t="s">
        <v>27</v>
      </c>
      <c r="L1188" t="str">
        <f>IFERROR(VLOOKUP(D1188,Products!$A$2:$F$61,3,FALSE()),"")</f>
        <v>Electronics</v>
      </c>
      <c r="M1188" t="str">
        <f>IFERROR(VLOOKUP(E1188,Sales_Reps!$A$2:$C$31,3,FALSE()),"")</f>
        <v>South</v>
      </c>
      <c r="N1188">
        <f>IFERROR(VLOOKUP(D1188,Products!$A$2:$F$61,4,FALSE()),"")</f>
        <v>1665</v>
      </c>
      <c r="O1188" t="str">
        <f>IFERROR(VLOOKUP(C1188,Customers!$A$2:$F$301,5,FALSE()),"")</f>
        <v>SMB</v>
      </c>
      <c r="P1188">
        <f>IFERROR(VLOOKUP(C1188,Customers!$A$2:$F$301,3,FALSE()),"")</f>
        <v>44</v>
      </c>
      <c r="Q1188">
        <f t="shared" si="54"/>
        <v>0.53361344537815125</v>
      </c>
      <c r="R1188">
        <f>IF(AND(COUNTIF($A$2:$A$2047,A1188)&gt;1,COUNTIF($A$2:A1188,A1188)=1),1,0)</f>
        <v>0</v>
      </c>
      <c r="S1188" t="b">
        <f>IFERROR(VLOOKUP(D1188,Products!$A$2:$F$61,6,FALSE()),"")</f>
        <v>1</v>
      </c>
      <c r="T1188" t="str">
        <f>IF(COUNTIF(Customers!$A$2:$A$301,C1188)=0,"Missing","OK")</f>
        <v>OK</v>
      </c>
      <c r="U1188" t="str">
        <f t="shared" si="55"/>
        <v>Pune</v>
      </c>
      <c r="V1188">
        <f t="shared" si="56"/>
        <v>0</v>
      </c>
    </row>
    <row r="1189" spans="1:22" ht="15" customHeight="1" x14ac:dyDescent="0.35">
      <c r="A1189" s="3" t="s">
        <v>1614</v>
      </c>
      <c r="B1189" s="4">
        <v>45551</v>
      </c>
      <c r="C1189" s="3" t="s">
        <v>601</v>
      </c>
      <c r="D1189" s="3" t="s">
        <v>303</v>
      </c>
      <c r="E1189" s="3" t="s">
        <v>264</v>
      </c>
      <c r="F1189" s="5">
        <v>1</v>
      </c>
      <c r="G1189" s="5">
        <v>5330</v>
      </c>
      <c r="H1189" s="5">
        <v>3.5</v>
      </c>
      <c r="I1189" s="5">
        <v>5143.45</v>
      </c>
      <c r="J1189" s="3" t="s">
        <v>26</v>
      </c>
      <c r="K1189" s="3" t="s">
        <v>33</v>
      </c>
      <c r="L1189" t="str">
        <f>IFERROR(VLOOKUP(D1189,Products!$A$2:$F$61,3,FALSE()),"")</f>
        <v>Electronics</v>
      </c>
      <c r="M1189" t="str">
        <f>IFERROR(VLOOKUP(E1189,Sales_Reps!$A$2:$C$31,3,FALSE()),"")</f>
        <v>South</v>
      </c>
      <c r="N1189">
        <f>IFERROR(VLOOKUP(D1189,Products!$A$2:$F$61,4,FALSE()),"")</f>
        <v>2405</v>
      </c>
      <c r="O1189" t="str">
        <f>IFERROR(VLOOKUP(C1189,Customers!$A$2:$F$301,5,FALSE()),"")</f>
        <v>Corporate</v>
      </c>
      <c r="P1189">
        <f>IFERROR(VLOOKUP(C1189,Customers!$A$2:$F$301,3,FALSE()),"")</f>
        <v>41</v>
      </c>
      <c r="Q1189">
        <f t="shared" si="54"/>
        <v>0.54878048780487809</v>
      </c>
      <c r="R1189">
        <f>IF(AND(COUNTIF($A$2:$A$2047,A1189)&gt;1,COUNTIF($A$2:A1189,A1189)=1),1,0)</f>
        <v>0</v>
      </c>
      <c r="S1189" t="b">
        <f>IFERROR(VLOOKUP(D1189,Products!$A$2:$F$61,6,FALSE()),"")</f>
        <v>1</v>
      </c>
      <c r="T1189" t="str">
        <f>IF(COUNTIF(Customers!$A$2:$A$301,C1189)=0,"Missing","OK")</f>
        <v>OK</v>
      </c>
      <c r="U1189" t="str">
        <f t="shared" si="55"/>
        <v>Chennai</v>
      </c>
      <c r="V1189">
        <f t="shared" si="56"/>
        <v>0</v>
      </c>
    </row>
    <row r="1190" spans="1:22" ht="15" customHeight="1" x14ac:dyDescent="0.35">
      <c r="A1190" s="3" t="s">
        <v>1615</v>
      </c>
      <c r="B1190" s="4">
        <v>45348</v>
      </c>
      <c r="C1190" s="3" t="s">
        <v>289</v>
      </c>
      <c r="D1190" s="3" t="s">
        <v>299</v>
      </c>
      <c r="E1190" s="3" t="s">
        <v>242</v>
      </c>
      <c r="F1190" s="5">
        <v>7</v>
      </c>
      <c r="G1190" s="5">
        <v>5410</v>
      </c>
      <c r="H1190" s="5">
        <v>26.2</v>
      </c>
      <c r="I1190" s="5">
        <v>27948.06</v>
      </c>
      <c r="J1190" s="3" t="s">
        <v>26</v>
      </c>
      <c r="K1190" s="3" t="s">
        <v>51</v>
      </c>
      <c r="L1190" t="str">
        <f>IFERROR(VLOOKUP(D1190,Products!$A$2:$F$61,3,FALSE()),"")</f>
        <v>Sports</v>
      </c>
      <c r="M1190" t="str">
        <f>IFERROR(VLOOKUP(E1190,Sales_Reps!$A$2:$C$31,3,FALSE()),"")</f>
        <v>East</v>
      </c>
      <c r="N1190">
        <f>IFERROR(VLOOKUP(D1190,Products!$A$2:$F$61,4,FALSE()),"")</f>
        <v>2265</v>
      </c>
      <c r="O1190" t="str">
        <f>IFERROR(VLOOKUP(C1190,Customers!$A$2:$F$301,5,FALSE()),"")</f>
        <v>SMB</v>
      </c>
      <c r="P1190">
        <f>IFERROR(VLOOKUP(C1190,Customers!$A$2:$F$301,3,FALSE()),"")</f>
        <v>22</v>
      </c>
      <c r="Q1190">
        <f t="shared" si="54"/>
        <v>0.58133086876155271</v>
      </c>
      <c r="R1190">
        <f>IF(AND(COUNTIF($A$2:$A$2047,A1190)&gt;1,COUNTIF($A$2:A1190,A1190)=1),1,0)</f>
        <v>0</v>
      </c>
      <c r="S1190" t="b">
        <f>IFERROR(VLOOKUP(D1190,Products!$A$2:$F$61,6,FALSE()),"")</f>
        <v>1</v>
      </c>
      <c r="T1190" t="str">
        <f>IF(COUNTIF(Customers!$A$2:$A$301,C1190)=0,"Missing","OK")</f>
        <v>OK</v>
      </c>
      <c r="U1190" t="str">
        <f t="shared" si="55"/>
        <v>Mumbai</v>
      </c>
      <c r="V1190">
        <f t="shared" si="56"/>
        <v>0</v>
      </c>
    </row>
    <row r="1191" spans="1:22" ht="15" customHeight="1" x14ac:dyDescent="0.35">
      <c r="A1191" s="3" t="s">
        <v>1616</v>
      </c>
      <c r="B1191" s="4">
        <v>45374</v>
      </c>
      <c r="C1191" s="3" t="s">
        <v>1170</v>
      </c>
      <c r="D1191" s="3" t="s">
        <v>382</v>
      </c>
      <c r="E1191" s="3" t="s">
        <v>285</v>
      </c>
      <c r="F1191" s="5">
        <v>10</v>
      </c>
      <c r="G1191" s="5">
        <v>5080</v>
      </c>
      <c r="H1191" s="5">
        <v>3.7</v>
      </c>
      <c r="I1191" s="5">
        <v>48920.4</v>
      </c>
      <c r="J1191" s="3" t="s">
        <v>32</v>
      </c>
      <c r="K1191" s="3" t="s">
        <v>27</v>
      </c>
      <c r="L1191" t="str">
        <f>IFERROR(VLOOKUP(D1191,Products!$A$2:$F$61,3,FALSE()),"")</f>
        <v>Home</v>
      </c>
      <c r="M1191" t="str">
        <f>IFERROR(VLOOKUP(E1191,Sales_Reps!$A$2:$C$31,3,FALSE()),"")</f>
        <v>South</v>
      </c>
      <c r="N1191">
        <f>IFERROR(VLOOKUP(D1191,Products!$A$2:$F$61,4,FALSE()),"")</f>
        <v>2459</v>
      </c>
      <c r="O1191" t="str">
        <f>IFERROR(VLOOKUP(C1191,Customers!$A$2:$F$301,5,FALSE()),"")</f>
        <v>Retail</v>
      </c>
      <c r="P1191">
        <f>IFERROR(VLOOKUP(C1191,Customers!$A$2:$F$301,3,FALSE()),"")</f>
        <v>42</v>
      </c>
      <c r="Q1191">
        <f t="shared" si="54"/>
        <v>0.51594488188976373</v>
      </c>
      <c r="R1191">
        <f>IF(AND(COUNTIF($A$2:$A$2047,A1191)&gt;1,COUNTIF($A$2:A1191,A1191)=1),1,0)</f>
        <v>0</v>
      </c>
      <c r="S1191" t="b">
        <f>IFERROR(VLOOKUP(D1191,Products!$A$2:$F$61,6,FALSE()),"")</f>
        <v>1</v>
      </c>
      <c r="T1191" t="str">
        <f>IF(COUNTIF(Customers!$A$2:$A$301,C1191)=0,"Missing","OK")</f>
        <v>OK</v>
      </c>
      <c r="U1191" t="str">
        <f t="shared" si="55"/>
        <v>Pune</v>
      </c>
      <c r="V1191">
        <f t="shared" si="56"/>
        <v>0</v>
      </c>
    </row>
    <row r="1192" spans="1:22" ht="15" customHeight="1" x14ac:dyDescent="0.35">
      <c r="A1192" s="3" t="s">
        <v>1617</v>
      </c>
      <c r="B1192" s="4">
        <v>45370</v>
      </c>
      <c r="C1192" s="3" t="s">
        <v>653</v>
      </c>
      <c r="D1192" s="3" t="s">
        <v>126</v>
      </c>
      <c r="E1192" s="3" t="s">
        <v>31</v>
      </c>
      <c r="F1192" s="5">
        <v>9</v>
      </c>
      <c r="G1192" s="5">
        <v>3570</v>
      </c>
      <c r="H1192" s="5">
        <v>5.6</v>
      </c>
      <c r="I1192" s="5">
        <v>30330.720000000001</v>
      </c>
      <c r="J1192" s="3" t="s">
        <v>26</v>
      </c>
      <c r="K1192" s="3" t="s">
        <v>38</v>
      </c>
      <c r="L1192" t="str">
        <f>IFERROR(VLOOKUP(D1192,Products!$A$2:$F$61,3,FALSE()),"")</f>
        <v>Electronics</v>
      </c>
      <c r="M1192" t="str">
        <f>IFERROR(VLOOKUP(E1192,Sales_Reps!$A$2:$C$31,3,FALSE()),"")</f>
        <v>North</v>
      </c>
      <c r="N1192">
        <f>IFERROR(VLOOKUP(D1192,Products!$A$2:$F$61,4,FALSE()),"")</f>
        <v>1665</v>
      </c>
      <c r="O1192" t="str">
        <f>IFERROR(VLOOKUP(C1192,Customers!$A$2:$F$301,5,FALSE()),"")</f>
        <v>Retail</v>
      </c>
      <c r="P1192">
        <f>IFERROR(VLOOKUP(C1192,Customers!$A$2:$F$301,3,FALSE()),"")</f>
        <v>24</v>
      </c>
      <c r="Q1192">
        <f t="shared" si="54"/>
        <v>0.53361344537815125</v>
      </c>
      <c r="R1192">
        <f>IF(AND(COUNTIF($A$2:$A$2047,A1192)&gt;1,COUNTIF($A$2:A1192,A1192)=1),1,0)</f>
        <v>0</v>
      </c>
      <c r="S1192" t="b">
        <f>IFERROR(VLOOKUP(D1192,Products!$A$2:$F$61,6,FALSE()),"")</f>
        <v>1</v>
      </c>
      <c r="T1192" t="str">
        <f>IF(COUNTIF(Customers!$A$2:$A$301,C1192)=0,"Missing","OK")</f>
        <v>OK</v>
      </c>
      <c r="U1192" t="str">
        <f t="shared" si="55"/>
        <v>Delhi</v>
      </c>
      <c r="V1192">
        <f t="shared" si="56"/>
        <v>0</v>
      </c>
    </row>
    <row r="1193" spans="1:22" ht="15" customHeight="1" x14ac:dyDescent="0.35">
      <c r="A1193" s="3" t="s">
        <v>1618</v>
      </c>
      <c r="B1193" s="4">
        <v>45656</v>
      </c>
      <c r="C1193" s="3" t="s">
        <v>543</v>
      </c>
      <c r="D1193" s="3" t="s">
        <v>66</v>
      </c>
      <c r="E1193" s="3" t="s">
        <v>224</v>
      </c>
      <c r="F1193" s="5">
        <v>9</v>
      </c>
      <c r="G1193" s="5">
        <v>970</v>
      </c>
      <c r="H1193" s="5">
        <v>19.5</v>
      </c>
      <c r="I1193" s="5">
        <v>7027.65</v>
      </c>
      <c r="J1193" s="3" t="s">
        <v>26</v>
      </c>
      <c r="K1193" s="3" t="s">
        <v>56</v>
      </c>
      <c r="L1193" t="str">
        <f>IFERROR(VLOOKUP(D1193,Products!$A$2:$F$61,3,FALSE()),"")</f>
        <v>Grocery</v>
      </c>
      <c r="M1193" t="str">
        <f>IFERROR(VLOOKUP(E1193,Sales_Reps!$A$2:$C$31,3,FALSE()),"")</f>
        <v>East</v>
      </c>
      <c r="N1193">
        <f>IFERROR(VLOOKUP(D1193,Products!$A$2:$F$61,4,FALSE()),"")</f>
        <v>434</v>
      </c>
      <c r="O1193" t="str">
        <f>IFERROR(VLOOKUP(C1193,Customers!$A$2:$F$301,5,FALSE()),"")</f>
        <v>Retail</v>
      </c>
      <c r="P1193">
        <f>IFERROR(VLOOKUP(C1193,Customers!$A$2:$F$301,3,FALSE()),"")</f>
        <v>34</v>
      </c>
      <c r="Q1193">
        <f t="shared" si="54"/>
        <v>0.5525773195876289</v>
      </c>
      <c r="R1193">
        <f>IF(AND(COUNTIF($A$2:$A$2047,A1193)&gt;1,COUNTIF($A$2:A1193,A1193)=1),1,0)</f>
        <v>0</v>
      </c>
      <c r="S1193" t="b">
        <f>IFERROR(VLOOKUP(D1193,Products!$A$2:$F$61,6,FALSE()),"")</f>
        <v>1</v>
      </c>
      <c r="T1193" t="str">
        <f>IF(COUNTIF(Customers!$A$2:$A$301,C1193)=0,"Missing","OK")</f>
        <v>OK</v>
      </c>
      <c r="U1193" t="str">
        <f t="shared" si="55"/>
        <v>Bengaluru</v>
      </c>
      <c r="V1193">
        <f t="shared" si="56"/>
        <v>7027.65</v>
      </c>
    </row>
    <row r="1194" spans="1:22" ht="15" customHeight="1" x14ac:dyDescent="0.35">
      <c r="A1194" s="3" t="s">
        <v>1619</v>
      </c>
      <c r="B1194" s="4">
        <v>45357</v>
      </c>
      <c r="C1194" s="3" t="s">
        <v>359</v>
      </c>
      <c r="D1194" s="3" t="s">
        <v>221</v>
      </c>
      <c r="E1194" s="3" t="s">
        <v>143</v>
      </c>
      <c r="F1194" s="5">
        <v>10</v>
      </c>
      <c r="G1194" s="5">
        <v>300</v>
      </c>
      <c r="H1194" s="5">
        <v>23</v>
      </c>
      <c r="I1194" s="5">
        <v>2310</v>
      </c>
      <c r="J1194" s="3" t="s">
        <v>79</v>
      </c>
      <c r="K1194" s="3" t="s">
        <v>38</v>
      </c>
      <c r="L1194" t="str">
        <f>IFERROR(VLOOKUP(D1194,Products!$A$2:$F$61,3,FALSE()),"")</f>
        <v>Electronics</v>
      </c>
      <c r="M1194" t="str">
        <f>IFERROR(VLOOKUP(E1194,Sales_Reps!$A$2:$C$31,3,FALSE()),"")</f>
        <v>South</v>
      </c>
      <c r="N1194">
        <f>IFERROR(VLOOKUP(D1194,Products!$A$2:$F$61,4,FALSE()),"")</f>
        <v>128</v>
      </c>
      <c r="O1194" t="str">
        <f>IFERROR(VLOOKUP(C1194,Customers!$A$2:$F$301,5,FALSE()),"")</f>
        <v>Retail</v>
      </c>
      <c r="P1194">
        <f>IFERROR(VLOOKUP(C1194,Customers!$A$2:$F$301,3,FALSE()),"")</f>
        <v>44</v>
      </c>
      <c r="Q1194">
        <f t="shared" si="54"/>
        <v>0.57333333333333336</v>
      </c>
      <c r="R1194">
        <f>IF(AND(COUNTIF($A$2:$A$2047,A1194)&gt;1,COUNTIF($A$2:A1194,A1194)=1),1,0)</f>
        <v>0</v>
      </c>
      <c r="S1194" t="b">
        <f>IFERROR(VLOOKUP(D1194,Products!$A$2:$F$61,6,FALSE()),"")</f>
        <v>1</v>
      </c>
      <c r="T1194" t="str">
        <f>IF(COUNTIF(Customers!$A$2:$A$301,C1194)=0,"Missing","OK")</f>
        <v>OK</v>
      </c>
      <c r="U1194" t="str">
        <f t="shared" si="55"/>
        <v>Delhi</v>
      </c>
      <c r="V1194">
        <f t="shared" si="56"/>
        <v>0</v>
      </c>
    </row>
    <row r="1195" spans="1:22" ht="15" customHeight="1" x14ac:dyDescent="0.35">
      <c r="A1195" s="3" t="s">
        <v>1620</v>
      </c>
      <c r="B1195" s="4">
        <v>45479</v>
      </c>
      <c r="C1195" s="3" t="s">
        <v>364</v>
      </c>
      <c r="D1195" s="3" t="s">
        <v>180</v>
      </c>
      <c r="E1195" s="3" t="s">
        <v>87</v>
      </c>
      <c r="F1195" s="5">
        <v>10</v>
      </c>
      <c r="G1195" s="5">
        <v>6080</v>
      </c>
      <c r="H1195" s="5">
        <v>3.9</v>
      </c>
      <c r="I1195" s="5">
        <v>58428.800000000003</v>
      </c>
      <c r="J1195" s="3" t="s">
        <v>26</v>
      </c>
      <c r="K1195" s="3" t="s">
        <v>33</v>
      </c>
      <c r="L1195" t="str">
        <f>IFERROR(VLOOKUP(D1195,Products!$A$2:$F$61,3,FALSE()),"")</f>
        <v>Beauty</v>
      </c>
      <c r="M1195" t="str">
        <f>IFERROR(VLOOKUP(E1195,Sales_Reps!$A$2:$C$31,3,FALSE()),"")</f>
        <v>North</v>
      </c>
      <c r="N1195">
        <f>IFERROR(VLOOKUP(D1195,Products!$A$2:$F$61,4,FALSE()),"")</f>
        <v>2617</v>
      </c>
      <c r="O1195" t="str">
        <f>IFERROR(VLOOKUP(C1195,Customers!$A$2:$F$301,5,FALSE()),"")</f>
        <v>SMB</v>
      </c>
      <c r="P1195">
        <f>IFERROR(VLOOKUP(C1195,Customers!$A$2:$F$301,3,FALSE()),"")</f>
        <v>64</v>
      </c>
      <c r="Q1195">
        <f t="shared" si="54"/>
        <v>0.56957236842105263</v>
      </c>
      <c r="R1195">
        <f>IF(AND(COUNTIF($A$2:$A$2047,A1195)&gt;1,COUNTIF($A$2:A1195,A1195)=1),1,0)</f>
        <v>0</v>
      </c>
      <c r="S1195" t="b">
        <f>IFERROR(VLOOKUP(D1195,Products!$A$2:$F$61,6,FALSE()),"")</f>
        <v>1</v>
      </c>
      <c r="T1195" t="str">
        <f>IF(COUNTIF(Customers!$A$2:$A$301,C1195)=0,"Missing","OK")</f>
        <v>OK</v>
      </c>
      <c r="U1195" t="str">
        <f t="shared" si="55"/>
        <v>Chennai</v>
      </c>
      <c r="V1195">
        <f t="shared" si="56"/>
        <v>0</v>
      </c>
    </row>
    <row r="1196" spans="1:22" ht="15" customHeight="1" x14ac:dyDescent="0.35">
      <c r="A1196" s="3" t="s">
        <v>848</v>
      </c>
      <c r="B1196" s="4">
        <v>45539</v>
      </c>
      <c r="C1196" s="3" t="s">
        <v>81</v>
      </c>
      <c r="D1196" s="3" t="s">
        <v>130</v>
      </c>
      <c r="E1196" s="3" t="s">
        <v>212</v>
      </c>
      <c r="F1196" s="5">
        <v>2</v>
      </c>
      <c r="G1196" s="5">
        <v>5100</v>
      </c>
      <c r="H1196" s="5">
        <v>11</v>
      </c>
      <c r="I1196" s="5">
        <v>9078</v>
      </c>
      <c r="J1196" s="3" t="s">
        <v>26</v>
      </c>
      <c r="K1196" s="3" t="s">
        <v>27</v>
      </c>
      <c r="L1196" t="str">
        <f>IFERROR(VLOOKUP(D1196,Products!$A$2:$F$61,3,FALSE()),"")</f>
        <v>Beauty</v>
      </c>
      <c r="M1196" t="str">
        <f>IFERROR(VLOOKUP(E1196,Sales_Reps!$A$2:$C$31,3,FALSE()),"")</f>
        <v>South</v>
      </c>
      <c r="N1196">
        <f>IFERROR(VLOOKUP(D1196,Products!$A$2:$F$61,4,FALSE()),"")</f>
        <v>2237</v>
      </c>
      <c r="O1196" t="str">
        <f>IFERROR(VLOOKUP(C1196,Customers!$A$2:$F$301,5,FALSE()),"")</f>
        <v>SMB</v>
      </c>
      <c r="P1196">
        <f>IFERROR(VLOOKUP(C1196,Customers!$A$2:$F$301,3,FALSE()),"")</f>
        <v>39</v>
      </c>
      <c r="Q1196">
        <f t="shared" si="54"/>
        <v>0.56137254901960787</v>
      </c>
      <c r="R1196">
        <f>IF(AND(COUNTIF($A$2:$A$2047,A1196)&gt;1,COUNTIF($A$2:A1196,A1196)=1),1,0)</f>
        <v>0</v>
      </c>
      <c r="S1196" t="b">
        <f>IFERROR(VLOOKUP(D1196,Products!$A$2:$F$61,6,FALSE()),"")</f>
        <v>1</v>
      </c>
      <c r="T1196" t="str">
        <f>IF(COUNTIF(Customers!$A$2:$A$301,C1196)=0,"Missing","OK")</f>
        <v>OK</v>
      </c>
      <c r="U1196" t="str">
        <f t="shared" si="55"/>
        <v>Pune</v>
      </c>
      <c r="V1196">
        <f t="shared" si="56"/>
        <v>0</v>
      </c>
    </row>
    <row r="1197" spans="1:22" ht="15" customHeight="1" x14ac:dyDescent="0.35">
      <c r="A1197" s="3" t="s">
        <v>1621</v>
      </c>
      <c r="B1197" s="4">
        <v>45394</v>
      </c>
      <c r="C1197" s="3" t="s">
        <v>310</v>
      </c>
      <c r="D1197" s="3" t="s">
        <v>391</v>
      </c>
      <c r="E1197" s="3" t="s">
        <v>60</v>
      </c>
      <c r="F1197" s="5">
        <v>9</v>
      </c>
      <c r="G1197" s="5">
        <v>3450</v>
      </c>
      <c r="H1197" s="5">
        <v>23.7</v>
      </c>
      <c r="I1197" s="5">
        <v>23691.15</v>
      </c>
      <c r="J1197" s="3" t="s">
        <v>26</v>
      </c>
      <c r="K1197" s="3" t="s">
        <v>51</v>
      </c>
      <c r="L1197" t="str">
        <f>IFERROR(VLOOKUP(D1197,Products!$A$2:$F$61,3,FALSE()),"")</f>
        <v>Apparel</v>
      </c>
      <c r="M1197" t="str">
        <f>IFERROR(VLOOKUP(E1197,Sales_Reps!$A$2:$C$31,3,FALSE()),"")</f>
        <v>East</v>
      </c>
      <c r="N1197">
        <f>IFERROR(VLOOKUP(D1197,Products!$A$2:$F$61,4,FALSE()),"")</f>
        <v>1748</v>
      </c>
      <c r="O1197" t="str">
        <f>IFERROR(VLOOKUP(C1197,Customers!$A$2:$F$301,5,FALSE()),"")</f>
        <v>Retail</v>
      </c>
      <c r="P1197">
        <f>IFERROR(VLOOKUP(C1197,Customers!$A$2:$F$301,3,FALSE()),"")</f>
        <v>42</v>
      </c>
      <c r="Q1197">
        <f t="shared" si="54"/>
        <v>0.49333333333333335</v>
      </c>
      <c r="R1197">
        <f>IF(AND(COUNTIF($A$2:$A$2047,A1197)&gt;1,COUNTIF($A$2:A1197,A1197)=1),1,0)</f>
        <v>0</v>
      </c>
      <c r="S1197" t="b">
        <f>IFERROR(VLOOKUP(D1197,Products!$A$2:$F$61,6,FALSE()),"")</f>
        <v>1</v>
      </c>
      <c r="T1197" t="str">
        <f>IF(COUNTIF(Customers!$A$2:$A$301,C1197)=0,"Missing","OK")</f>
        <v>OK</v>
      </c>
      <c r="U1197" t="str">
        <f t="shared" si="55"/>
        <v>Mumbai</v>
      </c>
      <c r="V1197">
        <f t="shared" si="56"/>
        <v>0</v>
      </c>
    </row>
    <row r="1198" spans="1:22" ht="15" customHeight="1" x14ac:dyDescent="0.35">
      <c r="A1198" s="3" t="s">
        <v>1622</v>
      </c>
      <c r="B1198" s="4">
        <v>45335</v>
      </c>
      <c r="C1198" s="3" t="s">
        <v>698</v>
      </c>
      <c r="D1198" s="3" t="s">
        <v>106</v>
      </c>
      <c r="E1198" s="3" t="s">
        <v>212</v>
      </c>
      <c r="F1198" s="5">
        <v>5</v>
      </c>
      <c r="G1198" s="5">
        <v>2480</v>
      </c>
      <c r="H1198" s="5">
        <v>20.399999999999999</v>
      </c>
      <c r="I1198" s="5">
        <v>9870.4</v>
      </c>
      <c r="J1198" s="3" t="s">
        <v>26</v>
      </c>
      <c r="K1198" s="3" t="s">
        <v>56</v>
      </c>
      <c r="L1198" t="str">
        <f>IFERROR(VLOOKUP(D1198,Products!$A$2:$F$61,3,FALSE()),"")</f>
        <v>Apparel</v>
      </c>
      <c r="M1198" t="str">
        <f>IFERROR(VLOOKUP(E1198,Sales_Reps!$A$2:$C$31,3,FALSE()),"")</f>
        <v>South</v>
      </c>
      <c r="N1198">
        <f>IFERROR(VLOOKUP(D1198,Products!$A$2:$F$61,4,FALSE()),"")</f>
        <v>1173</v>
      </c>
      <c r="O1198" t="str">
        <f>IFERROR(VLOOKUP(C1198,Customers!$A$2:$F$301,5,FALSE()),"")</f>
        <v>Retail</v>
      </c>
      <c r="P1198">
        <f>IFERROR(VLOOKUP(C1198,Customers!$A$2:$F$301,3,FALSE()),"")</f>
        <v>29</v>
      </c>
      <c r="Q1198">
        <f t="shared" si="54"/>
        <v>0.52701612903225803</v>
      </c>
      <c r="R1198">
        <f>IF(AND(COUNTIF($A$2:$A$2047,A1198)&gt;1,COUNTIF($A$2:A1198,A1198)=1),1,0)</f>
        <v>0</v>
      </c>
      <c r="S1198" t="b">
        <f>IFERROR(VLOOKUP(D1198,Products!$A$2:$F$61,6,FALSE()),"")</f>
        <v>1</v>
      </c>
      <c r="T1198" t="str">
        <f>IF(COUNTIF(Customers!$A$2:$A$301,C1198)=0,"Missing","OK")</f>
        <v>OK</v>
      </c>
      <c r="U1198" t="str">
        <f t="shared" si="55"/>
        <v>Bengaluru</v>
      </c>
      <c r="V1198">
        <f t="shared" si="56"/>
        <v>0</v>
      </c>
    </row>
    <row r="1199" spans="1:22" ht="15" customHeight="1" x14ac:dyDescent="0.35">
      <c r="A1199" s="3" t="s">
        <v>1623</v>
      </c>
      <c r="B1199" s="4">
        <v>45334</v>
      </c>
      <c r="C1199" s="3" t="s">
        <v>205</v>
      </c>
      <c r="D1199" s="3" t="s">
        <v>86</v>
      </c>
      <c r="E1199" s="3" t="s">
        <v>71</v>
      </c>
      <c r="F1199" s="5">
        <v>4</v>
      </c>
      <c r="G1199" s="5">
        <v>190</v>
      </c>
      <c r="H1199" s="5">
        <v>2.6</v>
      </c>
      <c r="I1199" s="5">
        <v>740.24</v>
      </c>
      <c r="J1199" s="3" t="s">
        <v>26</v>
      </c>
      <c r="K1199" s="3" t="s">
        <v>38</v>
      </c>
      <c r="L1199" t="str">
        <f>IFERROR(VLOOKUP(D1199,Products!$A$2:$F$61,3,FALSE()),"")</f>
        <v>Sports</v>
      </c>
      <c r="M1199" t="str">
        <f>IFERROR(VLOOKUP(E1199,Sales_Reps!$A$2:$C$31,3,FALSE()),"")</f>
        <v>South</v>
      </c>
      <c r="N1199">
        <f>IFERROR(VLOOKUP(D1199,Products!$A$2:$F$61,4,FALSE()),"")</f>
        <v>147</v>
      </c>
      <c r="O1199" t="str">
        <f>IFERROR(VLOOKUP(C1199,Customers!$A$2:$F$301,5,FALSE()),"")</f>
        <v>Corporate</v>
      </c>
      <c r="P1199">
        <f>IFERROR(VLOOKUP(C1199,Customers!$A$2:$F$301,3,FALSE()),"")</f>
        <v>55</v>
      </c>
      <c r="Q1199">
        <f t="shared" si="54"/>
        <v>0.22631578947368422</v>
      </c>
      <c r="R1199">
        <f>IF(AND(COUNTIF($A$2:$A$2047,A1199)&gt;1,COUNTIF($A$2:A1199,A1199)=1),1,0)</f>
        <v>0</v>
      </c>
      <c r="S1199" t="b">
        <f>IFERROR(VLOOKUP(D1199,Products!$A$2:$F$61,6,FALSE()),"")</f>
        <v>1</v>
      </c>
      <c r="T1199" t="str">
        <f>IF(COUNTIF(Customers!$A$2:$A$301,C1199)=0,"Missing","OK")</f>
        <v>OK</v>
      </c>
      <c r="U1199" t="str">
        <f t="shared" si="55"/>
        <v>Delhi</v>
      </c>
      <c r="V1199">
        <f t="shared" si="56"/>
        <v>0</v>
      </c>
    </row>
    <row r="1200" spans="1:22" ht="15" customHeight="1" x14ac:dyDescent="0.35">
      <c r="A1200" s="3" t="s">
        <v>1624</v>
      </c>
      <c r="B1200" s="4">
        <v>45300</v>
      </c>
      <c r="C1200" s="3" t="s">
        <v>945</v>
      </c>
      <c r="D1200" s="3" t="s">
        <v>184</v>
      </c>
      <c r="E1200" s="3" t="s">
        <v>131</v>
      </c>
      <c r="F1200" s="5">
        <v>4</v>
      </c>
      <c r="G1200" s="5">
        <v>2270</v>
      </c>
      <c r="H1200" s="5">
        <v>8.1</v>
      </c>
      <c r="I1200" s="5">
        <v>8344.52</v>
      </c>
      <c r="J1200" s="3" t="s">
        <v>32</v>
      </c>
      <c r="K1200" s="3" t="s">
        <v>56</v>
      </c>
      <c r="L1200" t="str">
        <f>IFERROR(VLOOKUP(D1200,Products!$A$2:$F$61,3,FALSE()),"")</f>
        <v>Grocery</v>
      </c>
      <c r="M1200" t="str">
        <f>IFERROR(VLOOKUP(E1200,Sales_Reps!$A$2:$C$31,3,FALSE()),"")</f>
        <v>East</v>
      </c>
      <c r="N1200">
        <f>IFERROR(VLOOKUP(D1200,Products!$A$2:$F$61,4,FALSE()),"")</f>
        <v>1412</v>
      </c>
      <c r="O1200" t="str">
        <f>IFERROR(VLOOKUP(C1200,Customers!$A$2:$F$301,5,FALSE()),"")</f>
        <v>SMB</v>
      </c>
      <c r="P1200">
        <f>IFERROR(VLOOKUP(C1200,Customers!$A$2:$F$301,3,FALSE()),"")</f>
        <v>44</v>
      </c>
      <c r="Q1200">
        <f t="shared" si="54"/>
        <v>0.37797356828193834</v>
      </c>
      <c r="R1200">
        <f>IF(AND(COUNTIF($A$2:$A$2047,A1200)&gt;1,COUNTIF($A$2:A1200,A1200)=1),1,0)</f>
        <v>0</v>
      </c>
      <c r="S1200" t="b">
        <f>IFERROR(VLOOKUP(D1200,Products!$A$2:$F$61,6,FALSE()),"")</f>
        <v>1</v>
      </c>
      <c r="T1200" t="str">
        <f>IF(COUNTIF(Customers!$A$2:$A$301,C1200)=0,"Missing","OK")</f>
        <v>OK</v>
      </c>
      <c r="U1200" t="str">
        <f t="shared" si="55"/>
        <v>Bengaluru</v>
      </c>
      <c r="V1200">
        <f t="shared" si="56"/>
        <v>8344.52</v>
      </c>
    </row>
    <row r="1201" spans="1:22" ht="15" customHeight="1" x14ac:dyDescent="0.35">
      <c r="A1201" s="3" t="s">
        <v>1625</v>
      </c>
      <c r="B1201" s="4">
        <v>45400</v>
      </c>
      <c r="C1201" s="3" t="s">
        <v>449</v>
      </c>
      <c r="D1201" s="3" t="s">
        <v>294</v>
      </c>
      <c r="E1201" s="3" t="s">
        <v>67</v>
      </c>
      <c r="F1201" s="5">
        <v>7</v>
      </c>
      <c r="G1201" s="5">
        <v>2510</v>
      </c>
      <c r="H1201" s="5">
        <v>25.5</v>
      </c>
      <c r="I1201" s="5">
        <v>13089.65</v>
      </c>
      <c r="J1201" s="3" t="s">
        <v>26</v>
      </c>
      <c r="K1201" s="3" t="s">
        <v>56</v>
      </c>
      <c r="L1201" t="str">
        <f>IFERROR(VLOOKUP(D1201,Products!$A$2:$F$61,3,FALSE()),"")</f>
        <v>Apparel</v>
      </c>
      <c r="M1201" t="str">
        <f>IFERROR(VLOOKUP(E1201,Sales_Reps!$A$2:$C$31,3,FALSE()),"")</f>
        <v>West</v>
      </c>
      <c r="N1201">
        <f>IFERROR(VLOOKUP(D1201,Products!$A$2:$F$61,4,FALSE()),"")</f>
        <v>1075</v>
      </c>
      <c r="O1201" t="str">
        <f>IFERROR(VLOOKUP(C1201,Customers!$A$2:$F$301,5,FALSE()),"")</f>
        <v>SMB</v>
      </c>
      <c r="P1201">
        <f>IFERROR(VLOOKUP(C1201,Customers!$A$2:$F$301,3,FALSE()),"")</f>
        <v>26</v>
      </c>
      <c r="Q1201">
        <f t="shared" si="54"/>
        <v>0.57171314741035861</v>
      </c>
      <c r="R1201">
        <f>IF(AND(COUNTIF($A$2:$A$2047,A1201)&gt;1,COUNTIF($A$2:A1201,A1201)=1),1,0)</f>
        <v>0</v>
      </c>
      <c r="S1201" t="b">
        <f>IFERROR(VLOOKUP(D1201,Products!$A$2:$F$61,6,FALSE()),"")</f>
        <v>0</v>
      </c>
      <c r="T1201" t="str">
        <f>IF(COUNTIF(Customers!$A$2:$A$301,C1201)=0,"Missing","OK")</f>
        <v>OK</v>
      </c>
      <c r="U1201" t="str">
        <f t="shared" si="55"/>
        <v>Bengaluru</v>
      </c>
      <c r="V1201">
        <f t="shared" si="56"/>
        <v>0</v>
      </c>
    </row>
    <row r="1202" spans="1:22" ht="15" customHeight="1" x14ac:dyDescent="0.35">
      <c r="A1202" s="3" t="s">
        <v>1626</v>
      </c>
      <c r="B1202" s="4">
        <v>45423</v>
      </c>
      <c r="C1202" s="3" t="s">
        <v>65</v>
      </c>
      <c r="D1202" s="3" t="s">
        <v>400</v>
      </c>
      <c r="E1202" s="3" t="s">
        <v>78</v>
      </c>
      <c r="F1202" s="5">
        <v>3</v>
      </c>
      <c r="G1202" s="5">
        <v>3780</v>
      </c>
      <c r="H1202" s="5">
        <v>16.8</v>
      </c>
      <c r="I1202" s="5">
        <v>9434.8799999999992</v>
      </c>
      <c r="J1202" s="3" t="s">
        <v>26</v>
      </c>
      <c r="K1202" s="3" t="s">
        <v>27</v>
      </c>
      <c r="L1202" t="str">
        <f>IFERROR(VLOOKUP(D1202,Products!$A$2:$F$61,3,FALSE()),"")</f>
        <v>Sports</v>
      </c>
      <c r="M1202" t="str">
        <f>IFERROR(VLOOKUP(E1202,Sales_Reps!$A$2:$C$31,3,FALSE()),"")</f>
        <v>North</v>
      </c>
      <c r="N1202">
        <f>IFERROR(VLOOKUP(D1202,Products!$A$2:$F$61,4,FALSE()),"")</f>
        <v>1860</v>
      </c>
      <c r="O1202" t="str">
        <f>IFERROR(VLOOKUP(C1202,Customers!$A$2:$F$301,5,FALSE()),"")</f>
        <v>Retail</v>
      </c>
      <c r="P1202">
        <f>IFERROR(VLOOKUP(C1202,Customers!$A$2:$F$301,3,FALSE()),"")</f>
        <v>56</v>
      </c>
      <c r="Q1202">
        <f t="shared" si="54"/>
        <v>0.50793650793650791</v>
      </c>
      <c r="R1202">
        <f>IF(AND(COUNTIF($A$2:$A$2047,A1202)&gt;1,COUNTIF($A$2:A1202,A1202)=1),1,0)</f>
        <v>0</v>
      </c>
      <c r="S1202" t="b">
        <f>IFERROR(VLOOKUP(D1202,Products!$A$2:$F$61,6,FALSE()),"")</f>
        <v>1</v>
      </c>
      <c r="T1202" t="str">
        <f>IF(COUNTIF(Customers!$A$2:$A$301,C1202)=0,"Missing","OK")</f>
        <v>OK</v>
      </c>
      <c r="U1202" t="str">
        <f t="shared" si="55"/>
        <v>Pune</v>
      </c>
      <c r="V1202">
        <f t="shared" si="56"/>
        <v>0</v>
      </c>
    </row>
    <row r="1203" spans="1:22" ht="15" customHeight="1" x14ac:dyDescent="0.35">
      <c r="A1203" s="3" t="s">
        <v>1627</v>
      </c>
      <c r="B1203" s="4">
        <v>45518</v>
      </c>
      <c r="C1203" s="3" t="s">
        <v>500</v>
      </c>
      <c r="D1203" s="3" t="s">
        <v>126</v>
      </c>
      <c r="E1203" s="3" t="s">
        <v>71</v>
      </c>
      <c r="F1203" s="5">
        <v>7</v>
      </c>
      <c r="G1203" s="5">
        <v>3570</v>
      </c>
      <c r="H1203" s="5">
        <v>23.7</v>
      </c>
      <c r="I1203" s="5">
        <v>19067.37</v>
      </c>
      <c r="J1203" s="3" t="s">
        <v>26</v>
      </c>
      <c r="K1203" s="3" t="s">
        <v>72</v>
      </c>
      <c r="L1203" t="str">
        <f>IFERROR(VLOOKUP(D1203,Products!$A$2:$F$61,3,FALSE()),"")</f>
        <v>Electronics</v>
      </c>
      <c r="M1203" t="str">
        <f>IFERROR(VLOOKUP(E1203,Sales_Reps!$A$2:$C$31,3,FALSE()),"")</f>
        <v>South</v>
      </c>
      <c r="N1203">
        <f>IFERROR(VLOOKUP(D1203,Products!$A$2:$F$61,4,FALSE()),"")</f>
        <v>1665</v>
      </c>
      <c r="O1203" t="str">
        <f>IFERROR(VLOOKUP(C1203,Customers!$A$2:$F$301,5,FALSE()),"")</f>
        <v>SMB</v>
      </c>
      <c r="P1203">
        <f>IFERROR(VLOOKUP(C1203,Customers!$A$2:$F$301,3,FALSE()),"")</f>
        <v>43</v>
      </c>
      <c r="Q1203">
        <f t="shared" si="54"/>
        <v>0.53361344537815125</v>
      </c>
      <c r="R1203">
        <f>IF(AND(COUNTIF($A$2:$A$2047,A1203)&gt;1,COUNTIF($A$2:A1203,A1203)=1),1,0)</f>
        <v>0</v>
      </c>
      <c r="S1203" t="b">
        <f>IFERROR(VLOOKUP(D1203,Products!$A$2:$F$61,6,FALSE()),"")</f>
        <v>1</v>
      </c>
      <c r="T1203" t="str">
        <f>IF(COUNTIF(Customers!$A$2:$A$301,C1203)=0,"Missing","OK")</f>
        <v>OK</v>
      </c>
      <c r="U1203" t="str">
        <f t="shared" si="55"/>
        <v>Hyderabad</v>
      </c>
      <c r="V1203">
        <f t="shared" si="56"/>
        <v>0</v>
      </c>
    </row>
    <row r="1204" spans="1:22" ht="15" customHeight="1" x14ac:dyDescent="0.35">
      <c r="A1204" s="3" t="s">
        <v>1628</v>
      </c>
      <c r="B1204" s="4">
        <v>45559</v>
      </c>
      <c r="C1204" s="3" t="s">
        <v>366</v>
      </c>
      <c r="D1204" s="3" t="s">
        <v>142</v>
      </c>
      <c r="E1204" s="3" t="s">
        <v>212</v>
      </c>
      <c r="F1204" s="5">
        <v>4</v>
      </c>
      <c r="G1204" s="5">
        <v>660</v>
      </c>
      <c r="H1204" s="5">
        <v>3.6</v>
      </c>
      <c r="I1204" s="5">
        <v>2544.96</v>
      </c>
      <c r="J1204" s="3" t="s">
        <v>26</v>
      </c>
      <c r="K1204" s="3" t="s">
        <v>27</v>
      </c>
      <c r="L1204" t="str">
        <f>IFERROR(VLOOKUP(D1204,Products!$A$2:$F$61,3,FALSE()),"")</f>
        <v>Home</v>
      </c>
      <c r="M1204" t="str">
        <f>IFERROR(VLOOKUP(E1204,Sales_Reps!$A$2:$C$31,3,FALSE()),"")</f>
        <v>South</v>
      </c>
      <c r="N1204">
        <f>IFERROR(VLOOKUP(D1204,Products!$A$2:$F$61,4,FALSE()),"")</f>
        <v>329</v>
      </c>
      <c r="O1204" t="str">
        <f>IFERROR(VLOOKUP(C1204,Customers!$A$2:$F$301,5,FALSE()),"")</f>
        <v>Corporate</v>
      </c>
      <c r="P1204">
        <f>IFERROR(VLOOKUP(C1204,Customers!$A$2:$F$301,3,FALSE()),"")</f>
        <v>48</v>
      </c>
      <c r="Q1204">
        <f t="shared" si="54"/>
        <v>0.50151515151515147</v>
      </c>
      <c r="R1204">
        <f>IF(AND(COUNTIF($A$2:$A$2047,A1204)&gt;1,COUNTIF($A$2:A1204,A1204)=1),1,0)</f>
        <v>0</v>
      </c>
      <c r="S1204" t="b">
        <f>IFERROR(VLOOKUP(D1204,Products!$A$2:$F$61,6,FALSE()),"")</f>
        <v>1</v>
      </c>
      <c r="T1204" t="str">
        <f>IF(COUNTIF(Customers!$A$2:$A$301,C1204)=0,"Missing","OK")</f>
        <v>OK</v>
      </c>
      <c r="U1204" t="str">
        <f t="shared" si="55"/>
        <v>Pune</v>
      </c>
      <c r="V1204">
        <f t="shared" si="56"/>
        <v>0</v>
      </c>
    </row>
    <row r="1205" spans="1:22" ht="15" customHeight="1" x14ac:dyDescent="0.35">
      <c r="A1205" s="3" t="s">
        <v>1629</v>
      </c>
      <c r="B1205" s="4">
        <v>45501</v>
      </c>
      <c r="C1205" s="3" t="s">
        <v>990</v>
      </c>
      <c r="D1205" s="3" t="s">
        <v>66</v>
      </c>
      <c r="E1205" s="3" t="s">
        <v>71</v>
      </c>
      <c r="F1205" s="5">
        <v>7</v>
      </c>
      <c r="G1205" s="5">
        <v>970</v>
      </c>
      <c r="H1205" s="5">
        <v>23.7</v>
      </c>
      <c r="I1205" s="5">
        <v>5180.7700000000004</v>
      </c>
      <c r="J1205" s="3" t="s">
        <v>26</v>
      </c>
      <c r="K1205" s="3" t="s">
        <v>51</v>
      </c>
      <c r="L1205" t="str">
        <f>IFERROR(VLOOKUP(D1205,Products!$A$2:$F$61,3,FALSE()),"")</f>
        <v>Grocery</v>
      </c>
      <c r="M1205" t="str">
        <f>IFERROR(VLOOKUP(E1205,Sales_Reps!$A$2:$C$31,3,FALSE()),"")</f>
        <v>South</v>
      </c>
      <c r="N1205">
        <f>IFERROR(VLOOKUP(D1205,Products!$A$2:$F$61,4,FALSE()),"")</f>
        <v>434</v>
      </c>
      <c r="O1205" t="str">
        <f>IFERROR(VLOOKUP(C1205,Customers!$A$2:$F$301,5,FALSE()),"")</f>
        <v>Retail</v>
      </c>
      <c r="P1205">
        <f>IFERROR(VLOOKUP(C1205,Customers!$A$2:$F$301,3,FALSE()),"")</f>
        <v>54</v>
      </c>
      <c r="Q1205">
        <f t="shared" si="54"/>
        <v>0.5525773195876289</v>
      </c>
      <c r="R1205">
        <f>IF(AND(COUNTIF($A$2:$A$2047,A1205)&gt;1,COUNTIF($A$2:A1205,A1205)=1),1,0)</f>
        <v>0</v>
      </c>
      <c r="S1205" t="b">
        <f>IFERROR(VLOOKUP(D1205,Products!$A$2:$F$61,6,FALSE()),"")</f>
        <v>1</v>
      </c>
      <c r="T1205" t="str">
        <f>IF(COUNTIF(Customers!$A$2:$A$301,C1205)=0,"Missing","OK")</f>
        <v>OK</v>
      </c>
      <c r="U1205" t="str">
        <f t="shared" si="55"/>
        <v>Mumbai</v>
      </c>
      <c r="V1205">
        <f t="shared" si="56"/>
        <v>0</v>
      </c>
    </row>
    <row r="1206" spans="1:22" ht="15" customHeight="1" x14ac:dyDescent="0.35">
      <c r="A1206" s="3" t="s">
        <v>1630</v>
      </c>
      <c r="B1206" s="4">
        <v>45338</v>
      </c>
      <c r="C1206" s="3" t="s">
        <v>807</v>
      </c>
      <c r="D1206" s="3" t="s">
        <v>70</v>
      </c>
      <c r="E1206" s="3" t="s">
        <v>42</v>
      </c>
      <c r="F1206" s="5">
        <v>8</v>
      </c>
      <c r="G1206" s="5">
        <v>2270</v>
      </c>
      <c r="H1206" s="5">
        <v>6.8</v>
      </c>
      <c r="I1206" s="5">
        <v>16925.12</v>
      </c>
      <c r="J1206" s="3" t="s">
        <v>26</v>
      </c>
      <c r="K1206" s="3" t="s">
        <v>38</v>
      </c>
      <c r="L1206" t="str">
        <f>IFERROR(VLOOKUP(D1206,Products!$A$2:$F$61,3,FALSE()),"")</f>
        <v>Grocery</v>
      </c>
      <c r="M1206" t="str">
        <f>IFERROR(VLOOKUP(E1206,Sales_Reps!$A$2:$C$31,3,FALSE()),"")</f>
        <v>North</v>
      </c>
      <c r="N1206">
        <f>IFERROR(VLOOKUP(D1206,Products!$A$2:$F$61,4,FALSE()),"")</f>
        <v>1203</v>
      </c>
      <c r="O1206" t="str">
        <f>IFERROR(VLOOKUP(C1206,Customers!$A$2:$F$301,5,FALSE()),"")</f>
        <v>SMB</v>
      </c>
      <c r="P1206">
        <f>IFERROR(VLOOKUP(C1206,Customers!$A$2:$F$301,3,FALSE()),"")</f>
        <v>38</v>
      </c>
      <c r="Q1206">
        <f t="shared" si="54"/>
        <v>0.47004405286343615</v>
      </c>
      <c r="R1206">
        <f>IF(AND(COUNTIF($A$2:$A$2047,A1206)&gt;1,COUNTIF($A$2:A1206,A1206)=1),1,0)</f>
        <v>0</v>
      </c>
      <c r="S1206" t="b">
        <f>IFERROR(VLOOKUP(D1206,Products!$A$2:$F$61,6,FALSE()),"")</f>
        <v>1</v>
      </c>
      <c r="T1206" t="str">
        <f>IF(COUNTIF(Customers!$A$2:$A$301,C1206)=0,"Missing","OK")</f>
        <v>OK</v>
      </c>
      <c r="U1206" t="str">
        <f t="shared" si="55"/>
        <v>Delhi</v>
      </c>
      <c r="V1206">
        <f t="shared" si="56"/>
        <v>0</v>
      </c>
    </row>
    <row r="1207" spans="1:22" ht="15" customHeight="1" x14ac:dyDescent="0.35">
      <c r="A1207" s="3" t="s">
        <v>1631</v>
      </c>
      <c r="B1207" s="4">
        <v>45585</v>
      </c>
      <c r="C1207" s="3" t="s">
        <v>556</v>
      </c>
      <c r="D1207" s="3" t="s">
        <v>90</v>
      </c>
      <c r="E1207" s="3" t="s">
        <v>264</v>
      </c>
      <c r="F1207" s="5">
        <v>1</v>
      </c>
      <c r="G1207" s="5">
        <v>2400</v>
      </c>
      <c r="H1207" s="5">
        <v>26.5</v>
      </c>
      <c r="I1207" s="5">
        <v>1764</v>
      </c>
      <c r="J1207" s="3" t="s">
        <v>26</v>
      </c>
      <c r="K1207" s="3" t="s">
        <v>51</v>
      </c>
      <c r="L1207" t="str">
        <f>IFERROR(VLOOKUP(D1207,Products!$A$2:$F$61,3,FALSE()),"")</f>
        <v>Sports</v>
      </c>
      <c r="M1207" t="str">
        <f>IFERROR(VLOOKUP(E1207,Sales_Reps!$A$2:$C$31,3,FALSE()),"")</f>
        <v>South</v>
      </c>
      <c r="N1207">
        <f>IFERROR(VLOOKUP(D1207,Products!$A$2:$F$61,4,FALSE()),"")</f>
        <v>974</v>
      </c>
      <c r="O1207" t="str">
        <f>IFERROR(VLOOKUP(C1207,Customers!$A$2:$F$301,5,FALSE()),"")</f>
        <v>SMB</v>
      </c>
      <c r="P1207">
        <f>IFERROR(VLOOKUP(C1207,Customers!$A$2:$F$301,3,FALSE()),"")</f>
        <v>65</v>
      </c>
      <c r="Q1207">
        <f t="shared" si="54"/>
        <v>0.59416666666666662</v>
      </c>
      <c r="R1207">
        <f>IF(AND(COUNTIF($A$2:$A$2047,A1207)&gt;1,COUNTIF($A$2:A1207,A1207)=1),1,0)</f>
        <v>0</v>
      </c>
      <c r="S1207" t="b">
        <f>IFERROR(VLOOKUP(D1207,Products!$A$2:$F$61,6,FALSE()),"")</f>
        <v>1</v>
      </c>
      <c r="T1207" t="str">
        <f>IF(COUNTIF(Customers!$A$2:$A$301,C1207)=0,"Missing","OK")</f>
        <v>OK</v>
      </c>
      <c r="U1207" t="str">
        <f t="shared" si="55"/>
        <v>Mumbai</v>
      </c>
      <c r="V1207">
        <f t="shared" si="56"/>
        <v>0</v>
      </c>
    </row>
    <row r="1208" spans="1:22" ht="15" customHeight="1" x14ac:dyDescent="0.35">
      <c r="A1208" s="3" t="s">
        <v>1632</v>
      </c>
      <c r="B1208" s="4">
        <v>45525</v>
      </c>
      <c r="C1208" s="3" t="s">
        <v>582</v>
      </c>
      <c r="D1208" s="3" t="s">
        <v>382</v>
      </c>
      <c r="E1208" s="3" t="s">
        <v>71</v>
      </c>
      <c r="F1208" s="5">
        <v>5</v>
      </c>
      <c r="G1208" s="5">
        <v>5080</v>
      </c>
      <c r="H1208" s="5">
        <v>29.6</v>
      </c>
      <c r="I1208" s="5">
        <v>17881.599999999999</v>
      </c>
      <c r="J1208" s="3" t="s">
        <v>26</v>
      </c>
      <c r="K1208" s="3" t="s">
        <v>51</v>
      </c>
      <c r="L1208" t="str">
        <f>IFERROR(VLOOKUP(D1208,Products!$A$2:$F$61,3,FALSE()),"")</f>
        <v>Home</v>
      </c>
      <c r="M1208" t="str">
        <f>IFERROR(VLOOKUP(E1208,Sales_Reps!$A$2:$C$31,3,FALSE()),"")</f>
        <v>South</v>
      </c>
      <c r="N1208">
        <f>IFERROR(VLOOKUP(D1208,Products!$A$2:$F$61,4,FALSE()),"")</f>
        <v>2459</v>
      </c>
      <c r="O1208" t="str">
        <f>IFERROR(VLOOKUP(C1208,Customers!$A$2:$F$301,5,FALSE()),"")</f>
        <v>SMB</v>
      </c>
      <c r="P1208">
        <f>IFERROR(VLOOKUP(C1208,Customers!$A$2:$F$301,3,FALSE()),"")</f>
        <v>27</v>
      </c>
      <c r="Q1208">
        <f t="shared" si="54"/>
        <v>0.51594488188976373</v>
      </c>
      <c r="R1208">
        <f>IF(AND(COUNTIF($A$2:$A$2047,A1208)&gt;1,COUNTIF($A$2:A1208,A1208)=1),1,0)</f>
        <v>0</v>
      </c>
      <c r="S1208" t="b">
        <f>IFERROR(VLOOKUP(D1208,Products!$A$2:$F$61,6,FALSE()),"")</f>
        <v>1</v>
      </c>
      <c r="T1208" t="str">
        <f>IF(COUNTIF(Customers!$A$2:$A$301,C1208)=0,"Missing","OK")</f>
        <v>OK</v>
      </c>
      <c r="U1208" t="str">
        <f t="shared" si="55"/>
        <v>Mumbai</v>
      </c>
      <c r="V1208">
        <f t="shared" si="56"/>
        <v>0</v>
      </c>
    </row>
    <row r="1209" spans="1:22" ht="15" customHeight="1" x14ac:dyDescent="0.35">
      <c r="A1209" s="3" t="s">
        <v>1633</v>
      </c>
      <c r="B1209" s="4">
        <v>45351</v>
      </c>
      <c r="C1209" s="3" t="s">
        <v>249</v>
      </c>
      <c r="D1209" s="3" t="s">
        <v>118</v>
      </c>
      <c r="E1209" s="3" t="s">
        <v>37</v>
      </c>
      <c r="F1209" s="5">
        <v>9</v>
      </c>
      <c r="G1209" s="5">
        <v>3350</v>
      </c>
      <c r="H1209" s="5">
        <v>6.2</v>
      </c>
      <c r="I1209" s="5">
        <v>28280.7</v>
      </c>
      <c r="J1209" s="3" t="s">
        <v>26</v>
      </c>
      <c r="K1209" s="3" t="s">
        <v>56</v>
      </c>
      <c r="L1209" t="str">
        <f>IFERROR(VLOOKUP(D1209,Products!$A$2:$F$61,3,FALSE()),"")</f>
        <v>Beauty</v>
      </c>
      <c r="M1209" t="str">
        <f>IFERROR(VLOOKUP(E1209,Sales_Reps!$A$2:$C$31,3,FALSE()),"")</f>
        <v>South</v>
      </c>
      <c r="N1209">
        <f>IFERROR(VLOOKUP(D1209,Products!$A$2:$F$61,4,FALSE()),"")</f>
        <v>1728</v>
      </c>
      <c r="O1209" t="str">
        <f>IFERROR(VLOOKUP(C1209,Customers!$A$2:$F$301,5,FALSE()),"")</f>
        <v>Retail</v>
      </c>
      <c r="P1209">
        <f>IFERROR(VLOOKUP(C1209,Customers!$A$2:$F$301,3,FALSE()),"")</f>
        <v>42</v>
      </c>
      <c r="Q1209">
        <f t="shared" si="54"/>
        <v>0.48417910447761192</v>
      </c>
      <c r="R1209">
        <f>IF(AND(COUNTIF($A$2:$A$2047,A1209)&gt;1,COUNTIF($A$2:A1209,A1209)=1),1,0)</f>
        <v>0</v>
      </c>
      <c r="S1209" t="b">
        <f>IFERROR(VLOOKUP(D1209,Products!$A$2:$F$61,6,FALSE()),"")</f>
        <v>1</v>
      </c>
      <c r="T1209" t="str">
        <f>IF(COUNTIF(Customers!$A$2:$A$301,C1209)=0,"Missing","OK")</f>
        <v>OK</v>
      </c>
      <c r="U1209" t="str">
        <f t="shared" si="55"/>
        <v>Bengaluru</v>
      </c>
      <c r="V1209">
        <f t="shared" si="56"/>
        <v>0</v>
      </c>
    </row>
    <row r="1210" spans="1:22" ht="15" customHeight="1" x14ac:dyDescent="0.35">
      <c r="A1210" s="3" t="s">
        <v>1634</v>
      </c>
      <c r="B1210" s="4">
        <v>45560</v>
      </c>
      <c r="C1210" s="3" t="s">
        <v>734</v>
      </c>
      <c r="D1210" s="3" t="s">
        <v>198</v>
      </c>
      <c r="E1210" s="3" t="s">
        <v>154</v>
      </c>
      <c r="F1210" s="5">
        <v>4</v>
      </c>
      <c r="G1210" s="5">
        <v>1540</v>
      </c>
      <c r="H1210" s="5">
        <v>22.2</v>
      </c>
      <c r="I1210" s="5">
        <v>4792.4799999999996</v>
      </c>
      <c r="J1210" s="3" t="s">
        <v>26</v>
      </c>
      <c r="K1210" s="3" t="s">
        <v>33</v>
      </c>
      <c r="L1210" t="str">
        <f>IFERROR(VLOOKUP(D1210,Products!$A$2:$F$61,3,FALSE()),"")</f>
        <v>Beauty</v>
      </c>
      <c r="M1210" t="str">
        <f>IFERROR(VLOOKUP(E1210,Sales_Reps!$A$2:$C$31,3,FALSE()),"")</f>
        <v>North</v>
      </c>
      <c r="N1210">
        <f>IFERROR(VLOOKUP(D1210,Products!$A$2:$F$61,4,FALSE()),"")</f>
        <v>647</v>
      </c>
      <c r="O1210" t="str">
        <f>IFERROR(VLOOKUP(C1210,Customers!$A$2:$F$301,5,FALSE()),"")</f>
        <v>Retail</v>
      </c>
      <c r="P1210">
        <f>IFERROR(VLOOKUP(C1210,Customers!$A$2:$F$301,3,FALSE()),"")</f>
        <v>22</v>
      </c>
      <c r="Q1210">
        <f t="shared" si="54"/>
        <v>0.57987012987012987</v>
      </c>
      <c r="R1210">
        <f>IF(AND(COUNTIF($A$2:$A$2047,A1210)&gt;1,COUNTIF($A$2:A1210,A1210)=1),1,0)</f>
        <v>0</v>
      </c>
      <c r="S1210" t="b">
        <f>IFERROR(VLOOKUP(D1210,Products!$A$2:$F$61,6,FALSE()),"")</f>
        <v>0</v>
      </c>
      <c r="T1210" t="str">
        <f>IF(COUNTIF(Customers!$A$2:$A$301,C1210)=0,"Missing","OK")</f>
        <v>OK</v>
      </c>
      <c r="U1210" t="str">
        <f t="shared" si="55"/>
        <v>Chennai</v>
      </c>
      <c r="V1210">
        <f t="shared" si="56"/>
        <v>0</v>
      </c>
    </row>
    <row r="1211" spans="1:22" ht="15" customHeight="1" x14ac:dyDescent="0.35">
      <c r="A1211" s="3" t="s">
        <v>1635</v>
      </c>
      <c r="B1211" s="4">
        <v>45431</v>
      </c>
      <c r="C1211" s="3" t="s">
        <v>496</v>
      </c>
      <c r="D1211" s="3" t="s">
        <v>382</v>
      </c>
      <c r="E1211" s="3" t="s">
        <v>236</v>
      </c>
      <c r="F1211" s="5">
        <v>10</v>
      </c>
      <c r="G1211" s="5">
        <v>5080</v>
      </c>
      <c r="H1211" s="5">
        <v>11.8</v>
      </c>
      <c r="I1211" s="5">
        <v>44805.599999999999</v>
      </c>
      <c r="J1211" s="3" t="s">
        <v>26</v>
      </c>
      <c r="K1211" s="3" t="s">
        <v>51</v>
      </c>
      <c r="L1211" t="str">
        <f>IFERROR(VLOOKUP(D1211,Products!$A$2:$F$61,3,FALSE()),"")</f>
        <v>Home</v>
      </c>
      <c r="M1211" t="str">
        <f>IFERROR(VLOOKUP(E1211,Sales_Reps!$A$2:$C$31,3,FALSE()),"")</f>
        <v>North</v>
      </c>
      <c r="N1211">
        <f>IFERROR(VLOOKUP(D1211,Products!$A$2:$F$61,4,FALSE()),"")</f>
        <v>2459</v>
      </c>
      <c r="O1211" t="str">
        <f>IFERROR(VLOOKUP(C1211,Customers!$A$2:$F$301,5,FALSE()),"")</f>
        <v>Retail</v>
      </c>
      <c r="P1211">
        <f>IFERROR(VLOOKUP(C1211,Customers!$A$2:$F$301,3,FALSE()),"")</f>
        <v>65</v>
      </c>
      <c r="Q1211">
        <f t="shared" si="54"/>
        <v>0.51594488188976373</v>
      </c>
      <c r="R1211">
        <f>IF(AND(COUNTIF($A$2:$A$2047,A1211)&gt;1,COUNTIF($A$2:A1211,A1211)=1),1,0)</f>
        <v>0</v>
      </c>
      <c r="S1211" t="b">
        <f>IFERROR(VLOOKUP(D1211,Products!$A$2:$F$61,6,FALSE()),"")</f>
        <v>1</v>
      </c>
      <c r="T1211" t="str">
        <f>IF(COUNTIF(Customers!$A$2:$A$301,C1211)=0,"Missing","OK")</f>
        <v>OK</v>
      </c>
      <c r="U1211" t="str">
        <f t="shared" si="55"/>
        <v>Mumbai</v>
      </c>
      <c r="V1211">
        <f t="shared" si="56"/>
        <v>0</v>
      </c>
    </row>
    <row r="1212" spans="1:22" ht="15" customHeight="1" x14ac:dyDescent="0.35">
      <c r="A1212" s="3" t="s">
        <v>1636</v>
      </c>
      <c r="B1212" s="4">
        <v>45296</v>
      </c>
      <c r="C1212" s="3" t="s">
        <v>895</v>
      </c>
      <c r="D1212" s="3" t="s">
        <v>598</v>
      </c>
      <c r="E1212" s="3" t="s">
        <v>264</v>
      </c>
      <c r="F1212" s="5">
        <v>9</v>
      </c>
      <c r="G1212" s="5">
        <v>3560</v>
      </c>
      <c r="H1212" s="5">
        <v>15.9</v>
      </c>
      <c r="I1212" s="5">
        <v>26945.64</v>
      </c>
      <c r="J1212" s="3" t="s">
        <v>26</v>
      </c>
      <c r="K1212" s="3" t="s">
        <v>51</v>
      </c>
      <c r="L1212" t="str">
        <f>IFERROR(VLOOKUP(D1212,Products!$A$2:$F$61,3,FALSE()),"")</f>
        <v>Apparel</v>
      </c>
      <c r="M1212" t="str">
        <f>IFERROR(VLOOKUP(E1212,Sales_Reps!$A$2:$C$31,3,FALSE()),"")</f>
        <v>South</v>
      </c>
      <c r="N1212">
        <f>IFERROR(VLOOKUP(D1212,Products!$A$2:$F$61,4,FALSE()),"")</f>
        <v>2629</v>
      </c>
      <c r="O1212" t="str">
        <f>IFERROR(VLOOKUP(C1212,Customers!$A$2:$F$301,5,FALSE()),"")</f>
        <v>Retail</v>
      </c>
      <c r="P1212">
        <f>IFERROR(VLOOKUP(C1212,Customers!$A$2:$F$301,3,FALSE()),"")</f>
        <v>49</v>
      </c>
      <c r="Q1212">
        <f t="shared" si="54"/>
        <v>0.26151685393258428</v>
      </c>
      <c r="R1212">
        <f>IF(AND(COUNTIF($A$2:$A$2047,A1212)&gt;1,COUNTIF($A$2:A1212,A1212)=1),1,0)</f>
        <v>0</v>
      </c>
      <c r="S1212" t="b">
        <f>IFERROR(VLOOKUP(D1212,Products!$A$2:$F$61,6,FALSE()),"")</f>
        <v>1</v>
      </c>
      <c r="T1212" t="str">
        <f>IF(COUNTIF(Customers!$A$2:$A$301,C1212)=0,"Missing","OK")</f>
        <v>OK</v>
      </c>
      <c r="U1212" t="str">
        <f t="shared" si="55"/>
        <v>Mumbai</v>
      </c>
      <c r="V1212">
        <f t="shared" si="56"/>
        <v>0</v>
      </c>
    </row>
    <row r="1213" spans="1:22" ht="15" customHeight="1" x14ac:dyDescent="0.35">
      <c r="A1213" s="3" t="s">
        <v>1637</v>
      </c>
      <c r="B1213" s="4">
        <v>45629</v>
      </c>
      <c r="C1213" s="3" t="s">
        <v>939</v>
      </c>
      <c r="D1213" s="3" t="s">
        <v>103</v>
      </c>
      <c r="E1213" s="3" t="s">
        <v>143</v>
      </c>
      <c r="F1213" s="5">
        <v>2</v>
      </c>
      <c r="G1213" s="5">
        <v>1080</v>
      </c>
      <c r="H1213" s="5">
        <v>21.1</v>
      </c>
      <c r="I1213" s="5">
        <v>1704.24</v>
      </c>
      <c r="J1213" s="3" t="s">
        <v>26</v>
      </c>
      <c r="K1213" s="3" t="s">
        <v>56</v>
      </c>
      <c r="L1213" t="str">
        <f>IFERROR(VLOOKUP(D1213,Products!$A$2:$F$61,3,FALSE()),"")</f>
        <v>Home</v>
      </c>
      <c r="M1213" t="str">
        <f>IFERROR(VLOOKUP(E1213,Sales_Reps!$A$2:$C$31,3,FALSE()),"")</f>
        <v>South</v>
      </c>
      <c r="N1213">
        <f>IFERROR(VLOOKUP(D1213,Products!$A$2:$F$61,4,FALSE()),"")</f>
        <v>519</v>
      </c>
      <c r="O1213" t="str">
        <f>IFERROR(VLOOKUP(C1213,Customers!$A$2:$F$301,5,FALSE()),"")</f>
        <v>Retail</v>
      </c>
      <c r="P1213">
        <f>IFERROR(VLOOKUP(C1213,Customers!$A$2:$F$301,3,FALSE()),"")</f>
        <v>27</v>
      </c>
      <c r="Q1213">
        <f t="shared" si="54"/>
        <v>0.51944444444444449</v>
      </c>
      <c r="R1213">
        <f>IF(AND(COUNTIF($A$2:$A$2047,A1213)&gt;1,COUNTIF($A$2:A1213,A1213)=1),1,0)</f>
        <v>0</v>
      </c>
      <c r="S1213" t="b">
        <f>IFERROR(VLOOKUP(D1213,Products!$A$2:$F$61,6,FALSE()),"")</f>
        <v>1</v>
      </c>
      <c r="T1213" t="str">
        <f>IF(COUNTIF(Customers!$A$2:$A$301,C1213)=0,"Missing","OK")</f>
        <v>OK</v>
      </c>
      <c r="U1213" t="str">
        <f t="shared" si="55"/>
        <v>Bengaluru</v>
      </c>
      <c r="V1213">
        <f t="shared" si="56"/>
        <v>0</v>
      </c>
    </row>
    <row r="1214" spans="1:22" ht="15" customHeight="1" x14ac:dyDescent="0.35">
      <c r="A1214" s="3" t="s">
        <v>1638</v>
      </c>
      <c r="B1214" s="4">
        <v>45310</v>
      </c>
      <c r="C1214" s="3" t="s">
        <v>331</v>
      </c>
      <c r="D1214" s="3" t="s">
        <v>306</v>
      </c>
      <c r="E1214" s="3" t="s">
        <v>242</v>
      </c>
      <c r="F1214" s="5">
        <v>5</v>
      </c>
      <c r="G1214" s="5">
        <v>2380</v>
      </c>
      <c r="H1214" s="5">
        <v>20.5</v>
      </c>
      <c r="I1214" s="5">
        <v>9460.5</v>
      </c>
      <c r="J1214" s="3" t="s">
        <v>26</v>
      </c>
      <c r="K1214" s="3" t="s">
        <v>51</v>
      </c>
      <c r="L1214" t="str">
        <f>IFERROR(VLOOKUP(D1214,Products!$A$2:$F$61,3,FALSE()),"")</f>
        <v>Grocery</v>
      </c>
      <c r="M1214" t="str">
        <f>IFERROR(VLOOKUP(E1214,Sales_Reps!$A$2:$C$31,3,FALSE()),"")</f>
        <v>East</v>
      </c>
      <c r="N1214">
        <f>IFERROR(VLOOKUP(D1214,Products!$A$2:$F$61,4,FALSE()),"")</f>
        <v>1182</v>
      </c>
      <c r="O1214" t="str">
        <f>IFERROR(VLOOKUP(C1214,Customers!$A$2:$F$301,5,FALSE()),"")</f>
        <v>Retail</v>
      </c>
      <c r="P1214">
        <f>IFERROR(VLOOKUP(C1214,Customers!$A$2:$F$301,3,FALSE()),"")</f>
        <v>50</v>
      </c>
      <c r="Q1214">
        <f t="shared" si="54"/>
        <v>0.50336134453781511</v>
      </c>
      <c r="R1214">
        <f>IF(AND(COUNTIF($A$2:$A$2047,A1214)&gt;1,COUNTIF($A$2:A1214,A1214)=1),1,0)</f>
        <v>0</v>
      </c>
      <c r="S1214" t="b">
        <f>IFERROR(VLOOKUP(D1214,Products!$A$2:$F$61,6,FALSE()),"")</f>
        <v>1</v>
      </c>
      <c r="T1214" t="str">
        <f>IF(COUNTIF(Customers!$A$2:$A$301,C1214)=0,"Missing","OK")</f>
        <v>OK</v>
      </c>
      <c r="U1214" t="str">
        <f t="shared" si="55"/>
        <v>Mumbai</v>
      </c>
      <c r="V1214">
        <f t="shared" si="56"/>
        <v>0</v>
      </c>
    </row>
    <row r="1215" spans="1:22" ht="15" customHeight="1" x14ac:dyDescent="0.35">
      <c r="A1215" s="3" t="s">
        <v>1639</v>
      </c>
      <c r="B1215" s="4">
        <v>45498</v>
      </c>
      <c r="C1215" s="3" t="s">
        <v>257</v>
      </c>
      <c r="D1215" s="3" t="s">
        <v>106</v>
      </c>
      <c r="E1215" s="3" t="s">
        <v>50</v>
      </c>
      <c r="F1215" s="5">
        <v>9</v>
      </c>
      <c r="G1215" s="5">
        <v>2480</v>
      </c>
      <c r="H1215" s="5">
        <v>1.2</v>
      </c>
      <c r="I1215" s="5">
        <v>22052.16</v>
      </c>
      <c r="J1215" s="3" t="s">
        <v>26</v>
      </c>
      <c r="K1215" s="3" t="s">
        <v>33</v>
      </c>
      <c r="L1215" t="str">
        <f>IFERROR(VLOOKUP(D1215,Products!$A$2:$F$61,3,FALSE()),"")</f>
        <v>Apparel</v>
      </c>
      <c r="M1215" t="str">
        <f>IFERROR(VLOOKUP(E1215,Sales_Reps!$A$2:$C$31,3,FALSE()),"")</f>
        <v>West</v>
      </c>
      <c r="N1215">
        <f>IFERROR(VLOOKUP(D1215,Products!$A$2:$F$61,4,FALSE()),"")</f>
        <v>1173</v>
      </c>
      <c r="O1215" t="str">
        <f>IFERROR(VLOOKUP(C1215,Customers!$A$2:$F$301,5,FALSE()),"")</f>
        <v>SMB</v>
      </c>
      <c r="P1215">
        <f>IFERROR(VLOOKUP(C1215,Customers!$A$2:$F$301,3,FALSE()),"")</f>
        <v>57</v>
      </c>
      <c r="Q1215">
        <f t="shared" si="54"/>
        <v>0.52701612903225803</v>
      </c>
      <c r="R1215">
        <f>IF(AND(COUNTIF($A$2:$A$2047,A1215)&gt;1,COUNTIF($A$2:A1215,A1215)=1),1,0)</f>
        <v>0</v>
      </c>
      <c r="S1215" t="b">
        <f>IFERROR(VLOOKUP(D1215,Products!$A$2:$F$61,6,FALSE()),"")</f>
        <v>1</v>
      </c>
      <c r="T1215" t="str">
        <f>IF(COUNTIF(Customers!$A$2:$A$301,C1215)=0,"Missing","OK")</f>
        <v>OK</v>
      </c>
      <c r="U1215" t="str">
        <f t="shared" si="55"/>
        <v>Chennai</v>
      </c>
      <c r="V1215">
        <f t="shared" si="56"/>
        <v>0</v>
      </c>
    </row>
    <row r="1216" spans="1:22" ht="15" customHeight="1" x14ac:dyDescent="0.35">
      <c r="A1216" s="3" t="s">
        <v>1640</v>
      </c>
      <c r="B1216" s="4">
        <v>45348</v>
      </c>
      <c r="C1216" s="3" t="s">
        <v>680</v>
      </c>
      <c r="D1216" s="3" t="s">
        <v>325</v>
      </c>
      <c r="E1216" s="3" t="s">
        <v>264</v>
      </c>
      <c r="F1216" s="5">
        <v>9</v>
      </c>
      <c r="G1216" s="5">
        <v>2290</v>
      </c>
      <c r="H1216" s="5">
        <v>0.9</v>
      </c>
      <c r="I1216" s="5">
        <v>20424.509999999998</v>
      </c>
      <c r="J1216" s="3" t="s">
        <v>26</v>
      </c>
      <c r="K1216" s="3" t="s">
        <v>72</v>
      </c>
      <c r="L1216" t="str">
        <f>IFERROR(VLOOKUP(D1216,Products!$A$2:$F$61,3,FALSE()),"")</f>
        <v>Beauty</v>
      </c>
      <c r="M1216" t="str">
        <f>IFERROR(VLOOKUP(E1216,Sales_Reps!$A$2:$C$31,3,FALSE()),"")</f>
        <v>South</v>
      </c>
      <c r="N1216">
        <f>IFERROR(VLOOKUP(D1216,Products!$A$2:$F$61,4,FALSE()),"")</f>
        <v>1219</v>
      </c>
      <c r="O1216" t="str">
        <f>IFERROR(VLOOKUP(C1216,Customers!$A$2:$F$301,5,FALSE()),"")</f>
        <v>SMB</v>
      </c>
      <c r="P1216">
        <f>IFERROR(VLOOKUP(C1216,Customers!$A$2:$F$301,3,FALSE()),"")</f>
        <v>29</v>
      </c>
      <c r="Q1216">
        <f t="shared" si="54"/>
        <v>0.46768558951965067</v>
      </c>
      <c r="R1216">
        <f>IF(AND(COUNTIF($A$2:$A$2047,A1216)&gt;1,COUNTIF($A$2:A1216,A1216)=1),1,0)</f>
        <v>0</v>
      </c>
      <c r="S1216" t="b">
        <f>IFERROR(VLOOKUP(D1216,Products!$A$2:$F$61,6,FALSE()),"")</f>
        <v>1</v>
      </c>
      <c r="T1216" t="str">
        <f>IF(COUNTIF(Customers!$A$2:$A$301,C1216)=0,"Missing","OK")</f>
        <v>OK</v>
      </c>
      <c r="U1216" t="str">
        <f t="shared" si="55"/>
        <v>Hyderabad</v>
      </c>
      <c r="V1216">
        <f t="shared" si="56"/>
        <v>0</v>
      </c>
    </row>
    <row r="1217" spans="1:22" ht="15" customHeight="1" x14ac:dyDescent="0.35">
      <c r="A1217" s="3" t="s">
        <v>1641</v>
      </c>
      <c r="B1217" s="4">
        <v>45382</v>
      </c>
      <c r="C1217" s="3" t="s">
        <v>467</v>
      </c>
      <c r="D1217" s="3" t="s">
        <v>391</v>
      </c>
      <c r="E1217" s="3" t="s">
        <v>212</v>
      </c>
      <c r="F1217" s="5">
        <v>3</v>
      </c>
      <c r="G1217" s="5">
        <v>3450</v>
      </c>
      <c r="H1217" s="5">
        <v>29.5</v>
      </c>
      <c r="I1217" s="5">
        <v>7296.75</v>
      </c>
      <c r="J1217" s="3" t="s">
        <v>26</v>
      </c>
      <c r="K1217" s="3" t="s">
        <v>51</v>
      </c>
      <c r="L1217" t="str">
        <f>IFERROR(VLOOKUP(D1217,Products!$A$2:$F$61,3,FALSE()),"")</f>
        <v>Apparel</v>
      </c>
      <c r="M1217" t="str">
        <f>IFERROR(VLOOKUP(E1217,Sales_Reps!$A$2:$C$31,3,FALSE()),"")</f>
        <v>South</v>
      </c>
      <c r="N1217">
        <f>IFERROR(VLOOKUP(D1217,Products!$A$2:$F$61,4,FALSE()),"")</f>
        <v>1748</v>
      </c>
      <c r="O1217" t="str">
        <f>IFERROR(VLOOKUP(C1217,Customers!$A$2:$F$301,5,FALSE()),"")</f>
        <v>Retail</v>
      </c>
      <c r="P1217">
        <f>IFERROR(VLOOKUP(C1217,Customers!$A$2:$F$301,3,FALSE()),"")</f>
        <v>44</v>
      </c>
      <c r="Q1217">
        <f t="shared" si="54"/>
        <v>0.49333333333333335</v>
      </c>
      <c r="R1217">
        <f>IF(AND(COUNTIF($A$2:$A$2047,A1217)&gt;1,COUNTIF($A$2:A1217,A1217)=1),1,0)</f>
        <v>0</v>
      </c>
      <c r="S1217" t="b">
        <f>IFERROR(VLOOKUP(D1217,Products!$A$2:$F$61,6,FALSE()),"")</f>
        <v>1</v>
      </c>
      <c r="T1217" t="str">
        <f>IF(COUNTIF(Customers!$A$2:$A$301,C1217)=0,"Missing","OK")</f>
        <v>OK</v>
      </c>
      <c r="U1217" t="str">
        <f t="shared" si="55"/>
        <v>Mumbai</v>
      </c>
      <c r="V1217">
        <f t="shared" si="56"/>
        <v>0</v>
      </c>
    </row>
    <row r="1218" spans="1:22" ht="15" customHeight="1" x14ac:dyDescent="0.35">
      <c r="A1218" s="3" t="s">
        <v>1642</v>
      </c>
      <c r="B1218" s="4">
        <v>45569</v>
      </c>
      <c r="C1218" s="3" t="s">
        <v>76</v>
      </c>
      <c r="D1218" s="3" t="s">
        <v>96</v>
      </c>
      <c r="E1218" s="3" t="s">
        <v>55</v>
      </c>
      <c r="F1218" s="5">
        <v>9</v>
      </c>
      <c r="G1218" s="5">
        <v>3450</v>
      </c>
      <c r="H1218" s="5">
        <v>19.399999999999999</v>
      </c>
      <c r="I1218" s="5">
        <v>25026.3</v>
      </c>
      <c r="J1218" s="3" t="s">
        <v>26</v>
      </c>
      <c r="K1218" s="3" t="s">
        <v>38</v>
      </c>
      <c r="L1218" t="str">
        <f>IFERROR(VLOOKUP(D1218,Products!$A$2:$F$61,3,FALSE()),"")</f>
        <v>Beauty</v>
      </c>
      <c r="M1218" t="str">
        <f>IFERROR(VLOOKUP(E1218,Sales_Reps!$A$2:$C$31,3,FALSE()),"")</f>
        <v>West</v>
      </c>
      <c r="N1218">
        <f>IFERROR(VLOOKUP(D1218,Products!$A$2:$F$61,4,FALSE()),"")</f>
        <v>2420</v>
      </c>
      <c r="O1218" t="str">
        <f>IFERROR(VLOOKUP(C1218,Customers!$A$2:$F$301,5,FALSE()),"")</f>
        <v>SMB</v>
      </c>
      <c r="P1218">
        <f>IFERROR(VLOOKUP(C1218,Customers!$A$2:$F$301,3,FALSE()),"")</f>
        <v>27</v>
      </c>
      <c r="Q1218">
        <f t="shared" ref="Q1218:Q1281" si="57">IFERROR((G1218-N1218)/G1218,"")</f>
        <v>0.29855072463768118</v>
      </c>
      <c r="R1218">
        <f>IF(AND(COUNTIF($A$2:$A$2047,A1218)&gt;1,COUNTIF($A$2:A1218,A1218)=1),1,0)</f>
        <v>0</v>
      </c>
      <c r="S1218" t="b">
        <f>IFERROR(VLOOKUP(D1218,Products!$A$2:$F$61,6,FALSE()),"")</f>
        <v>1</v>
      </c>
      <c r="T1218" t="str">
        <f>IF(COUNTIF(Customers!$A$2:$A$301,C1218)=0,"Missing","OK")</f>
        <v>OK</v>
      </c>
      <c r="U1218" t="str">
        <f t="shared" ref="U1218:U1281" si="58">IF(K1218="","",PROPER(TRIM(K1218)))</f>
        <v>Delhi</v>
      </c>
      <c r="V1218">
        <f t="shared" ref="V1218:V1281" si="59">IF(AND(U1218="Bengaluru",L1218="Grocery"),I1218,0)</f>
        <v>0</v>
      </c>
    </row>
    <row r="1219" spans="1:22" ht="15" customHeight="1" x14ac:dyDescent="0.35">
      <c r="A1219" s="3" t="s">
        <v>1643</v>
      </c>
      <c r="B1219" s="4">
        <v>45516</v>
      </c>
      <c r="C1219" s="3" t="s">
        <v>270</v>
      </c>
      <c r="D1219" s="3" t="s">
        <v>77</v>
      </c>
      <c r="E1219" s="3" t="s">
        <v>109</v>
      </c>
      <c r="F1219" s="5">
        <v>2</v>
      </c>
      <c r="G1219" s="5">
        <v>2600</v>
      </c>
      <c r="H1219" s="5">
        <v>20.2</v>
      </c>
      <c r="I1219" s="5">
        <v>4149.6000000000004</v>
      </c>
      <c r="J1219" s="3" t="s">
        <v>79</v>
      </c>
      <c r="K1219" s="3" t="s">
        <v>56</v>
      </c>
      <c r="L1219" t="str">
        <f>IFERROR(VLOOKUP(D1219,Products!$A$2:$F$61,3,FALSE()),"")</f>
        <v>Electronics</v>
      </c>
      <c r="M1219" t="str">
        <f>IFERROR(VLOOKUP(E1219,Sales_Reps!$A$2:$C$31,3,FALSE()),"")</f>
        <v>West</v>
      </c>
      <c r="N1219">
        <f>IFERROR(VLOOKUP(D1219,Products!$A$2:$F$61,4,FALSE()),"")</f>
        <v>1052</v>
      </c>
      <c r="O1219" t="str">
        <f>IFERROR(VLOOKUP(C1219,Customers!$A$2:$F$301,5,FALSE()),"")</f>
        <v>Corporate</v>
      </c>
      <c r="P1219">
        <f>IFERROR(VLOOKUP(C1219,Customers!$A$2:$F$301,3,FALSE()),"")</f>
        <v>59</v>
      </c>
      <c r="Q1219">
        <f t="shared" si="57"/>
        <v>0.5953846153846154</v>
      </c>
      <c r="R1219">
        <f>IF(AND(COUNTIF($A$2:$A$2047,A1219)&gt;1,COUNTIF($A$2:A1219,A1219)=1),1,0)</f>
        <v>0</v>
      </c>
      <c r="S1219" t="b">
        <f>IFERROR(VLOOKUP(D1219,Products!$A$2:$F$61,6,FALSE()),"")</f>
        <v>1</v>
      </c>
      <c r="T1219" t="str">
        <f>IF(COUNTIF(Customers!$A$2:$A$301,C1219)=0,"Missing","OK")</f>
        <v>OK</v>
      </c>
      <c r="U1219" t="str">
        <f t="shared" si="58"/>
        <v>Bengaluru</v>
      </c>
      <c r="V1219">
        <f t="shared" si="59"/>
        <v>0</v>
      </c>
    </row>
    <row r="1220" spans="1:22" ht="15" customHeight="1" x14ac:dyDescent="0.35">
      <c r="A1220" s="3" t="s">
        <v>1644</v>
      </c>
      <c r="B1220" s="4">
        <v>45519</v>
      </c>
      <c r="C1220" s="3" t="s">
        <v>955</v>
      </c>
      <c r="D1220" s="3" t="s">
        <v>139</v>
      </c>
      <c r="E1220" s="3" t="s">
        <v>50</v>
      </c>
      <c r="F1220" s="5">
        <v>1</v>
      </c>
      <c r="G1220" s="5">
        <v>2760</v>
      </c>
      <c r="H1220" s="5">
        <v>9.5</v>
      </c>
      <c r="I1220" s="5">
        <v>2497.8000000000002</v>
      </c>
      <c r="J1220" s="3" t="s">
        <v>26</v>
      </c>
      <c r="K1220" s="3" t="s">
        <v>56</v>
      </c>
      <c r="L1220" t="str">
        <f>IFERROR(VLOOKUP(D1220,Products!$A$2:$F$61,3,FALSE()),"")</f>
        <v>Grocery</v>
      </c>
      <c r="M1220" t="str">
        <f>IFERROR(VLOOKUP(E1220,Sales_Reps!$A$2:$C$31,3,FALSE()),"")</f>
        <v>West</v>
      </c>
      <c r="N1220">
        <f>IFERROR(VLOOKUP(D1220,Products!$A$2:$F$61,4,FALSE()),"")</f>
        <v>1435</v>
      </c>
      <c r="O1220" t="str">
        <f>IFERROR(VLOOKUP(C1220,Customers!$A$2:$F$301,5,FALSE()),"")</f>
        <v>SMB</v>
      </c>
      <c r="P1220">
        <f>IFERROR(VLOOKUP(C1220,Customers!$A$2:$F$301,3,FALSE()),"")</f>
        <v>49</v>
      </c>
      <c r="Q1220">
        <f t="shared" si="57"/>
        <v>0.48007246376811596</v>
      </c>
      <c r="R1220">
        <f>IF(AND(COUNTIF($A$2:$A$2047,A1220)&gt;1,COUNTIF($A$2:A1220,A1220)=1),1,0)</f>
        <v>0</v>
      </c>
      <c r="S1220" t="b">
        <f>IFERROR(VLOOKUP(D1220,Products!$A$2:$F$61,6,FALSE()),"")</f>
        <v>1</v>
      </c>
      <c r="T1220" t="str">
        <f>IF(COUNTIF(Customers!$A$2:$A$301,C1220)=0,"Missing","OK")</f>
        <v>OK</v>
      </c>
      <c r="U1220" t="str">
        <f t="shared" si="58"/>
        <v>Bengaluru</v>
      </c>
      <c r="V1220">
        <f t="shared" si="59"/>
        <v>2497.8000000000002</v>
      </c>
    </row>
    <row r="1221" spans="1:22" ht="15" customHeight="1" x14ac:dyDescent="0.35">
      <c r="A1221" s="3" t="s">
        <v>1645</v>
      </c>
      <c r="B1221" s="4">
        <v>45593</v>
      </c>
      <c r="C1221" s="3" t="s">
        <v>538</v>
      </c>
      <c r="D1221" s="3" t="s">
        <v>209</v>
      </c>
      <c r="E1221" s="3" t="s">
        <v>87</v>
      </c>
      <c r="F1221" s="5">
        <v>4</v>
      </c>
      <c r="G1221" s="5">
        <v>4610</v>
      </c>
      <c r="H1221" s="5">
        <v>14.8</v>
      </c>
      <c r="I1221" s="5">
        <v>15710.88</v>
      </c>
      <c r="J1221" s="3" t="s">
        <v>26</v>
      </c>
      <c r="K1221" s="3" t="s">
        <v>56</v>
      </c>
      <c r="L1221" t="str">
        <f>IFERROR(VLOOKUP(D1221,Products!$A$2:$F$61,3,FALSE()),"")</f>
        <v>Home</v>
      </c>
      <c r="M1221" t="str">
        <f>IFERROR(VLOOKUP(E1221,Sales_Reps!$A$2:$C$31,3,FALSE()),"")</f>
        <v>North</v>
      </c>
      <c r="N1221">
        <f>IFERROR(VLOOKUP(D1221,Products!$A$2:$F$61,4,FALSE()),"")</f>
        <v>1850</v>
      </c>
      <c r="O1221" t="str">
        <f>IFERROR(VLOOKUP(C1221,Customers!$A$2:$F$301,5,FALSE()),"")</f>
        <v>Corporate</v>
      </c>
      <c r="P1221">
        <f>IFERROR(VLOOKUP(C1221,Customers!$A$2:$F$301,3,FALSE()),"")</f>
        <v>26</v>
      </c>
      <c r="Q1221">
        <f t="shared" si="57"/>
        <v>0.59869848156182215</v>
      </c>
      <c r="R1221">
        <f>IF(AND(COUNTIF($A$2:$A$2047,A1221)&gt;1,COUNTIF($A$2:A1221,A1221)=1),1,0)</f>
        <v>0</v>
      </c>
      <c r="S1221" t="b">
        <f>IFERROR(VLOOKUP(D1221,Products!$A$2:$F$61,6,FALSE()),"")</f>
        <v>1</v>
      </c>
      <c r="T1221" t="str">
        <f>IF(COUNTIF(Customers!$A$2:$A$301,C1221)=0,"Missing","OK")</f>
        <v>OK</v>
      </c>
      <c r="U1221" t="str">
        <f t="shared" si="58"/>
        <v>Bengaluru</v>
      </c>
      <c r="V1221">
        <f t="shared" si="59"/>
        <v>0</v>
      </c>
    </row>
    <row r="1222" spans="1:22" ht="15" customHeight="1" x14ac:dyDescent="0.35">
      <c r="A1222" s="3" t="s">
        <v>1646</v>
      </c>
      <c r="B1222" s="4">
        <v>45532</v>
      </c>
      <c r="C1222" s="3" t="s">
        <v>69</v>
      </c>
      <c r="D1222" s="3" t="s">
        <v>106</v>
      </c>
      <c r="E1222" s="3" t="s">
        <v>55</v>
      </c>
      <c r="F1222" s="5">
        <v>3</v>
      </c>
      <c r="G1222" s="5">
        <v>2480</v>
      </c>
      <c r="H1222" s="5">
        <v>3.7</v>
      </c>
      <c r="I1222" s="5">
        <v>7164.72</v>
      </c>
      <c r="J1222" s="3" t="s">
        <v>26</v>
      </c>
      <c r="K1222" s="3" t="s">
        <v>72</v>
      </c>
      <c r="L1222" t="str">
        <f>IFERROR(VLOOKUP(D1222,Products!$A$2:$F$61,3,FALSE()),"")</f>
        <v>Apparel</v>
      </c>
      <c r="M1222" t="str">
        <f>IFERROR(VLOOKUP(E1222,Sales_Reps!$A$2:$C$31,3,FALSE()),"")</f>
        <v>West</v>
      </c>
      <c r="N1222">
        <f>IFERROR(VLOOKUP(D1222,Products!$A$2:$F$61,4,FALSE()),"")</f>
        <v>1173</v>
      </c>
      <c r="O1222" t="str">
        <f>IFERROR(VLOOKUP(C1222,Customers!$A$2:$F$301,5,FALSE()),"")</f>
        <v>Retail</v>
      </c>
      <c r="P1222">
        <f>IFERROR(VLOOKUP(C1222,Customers!$A$2:$F$301,3,FALSE()),"")</f>
        <v>60</v>
      </c>
      <c r="Q1222">
        <f t="shared" si="57"/>
        <v>0.52701612903225803</v>
      </c>
      <c r="R1222">
        <f>IF(AND(COUNTIF($A$2:$A$2047,A1222)&gt;1,COUNTIF($A$2:A1222,A1222)=1),1,0)</f>
        <v>0</v>
      </c>
      <c r="S1222" t="b">
        <f>IFERROR(VLOOKUP(D1222,Products!$A$2:$F$61,6,FALSE()),"")</f>
        <v>1</v>
      </c>
      <c r="T1222" t="str">
        <f>IF(COUNTIF(Customers!$A$2:$A$301,C1222)=0,"Missing","OK")</f>
        <v>OK</v>
      </c>
      <c r="U1222" t="str">
        <f t="shared" si="58"/>
        <v>Hyderabad</v>
      </c>
      <c r="V1222">
        <f t="shared" si="59"/>
        <v>0</v>
      </c>
    </row>
    <row r="1223" spans="1:22" ht="15" customHeight="1" x14ac:dyDescent="0.35">
      <c r="A1223" s="3" t="s">
        <v>1647</v>
      </c>
      <c r="B1223" s="4">
        <v>45610</v>
      </c>
      <c r="C1223" s="3" t="s">
        <v>680</v>
      </c>
      <c r="D1223" s="3" t="s">
        <v>454</v>
      </c>
      <c r="E1223" s="3" t="s">
        <v>212</v>
      </c>
      <c r="F1223" s="5">
        <v>5</v>
      </c>
      <c r="G1223" s="5">
        <v>6940</v>
      </c>
      <c r="H1223" s="5">
        <v>0.3</v>
      </c>
      <c r="I1223" s="5">
        <v>34595.9</v>
      </c>
      <c r="J1223" s="3" t="s">
        <v>26</v>
      </c>
      <c r="K1223" s="3" t="s">
        <v>72</v>
      </c>
      <c r="L1223" t="str">
        <f>IFERROR(VLOOKUP(D1223,Products!$A$2:$F$61,3,FALSE()),"")</f>
        <v>Sports</v>
      </c>
      <c r="M1223" t="str">
        <f>IFERROR(VLOOKUP(E1223,Sales_Reps!$A$2:$C$31,3,FALSE()),"")</f>
        <v>South</v>
      </c>
      <c r="N1223">
        <f>IFERROR(VLOOKUP(D1223,Products!$A$2:$F$61,4,FALSE()),"")</f>
        <v>2827</v>
      </c>
      <c r="O1223" t="str">
        <f>IFERROR(VLOOKUP(C1223,Customers!$A$2:$F$301,5,FALSE()),"")</f>
        <v>SMB</v>
      </c>
      <c r="P1223">
        <f>IFERROR(VLOOKUP(C1223,Customers!$A$2:$F$301,3,FALSE()),"")</f>
        <v>29</v>
      </c>
      <c r="Q1223">
        <f t="shared" si="57"/>
        <v>0.5926512968299712</v>
      </c>
      <c r="R1223">
        <f>IF(AND(COUNTIF($A$2:$A$2047,A1223)&gt;1,COUNTIF($A$2:A1223,A1223)=1),1,0)</f>
        <v>0</v>
      </c>
      <c r="S1223" t="b">
        <f>IFERROR(VLOOKUP(D1223,Products!$A$2:$F$61,6,FALSE()),"")</f>
        <v>1</v>
      </c>
      <c r="T1223" t="str">
        <f>IF(COUNTIF(Customers!$A$2:$A$301,C1223)=0,"Missing","OK")</f>
        <v>OK</v>
      </c>
      <c r="U1223" t="str">
        <f t="shared" si="58"/>
        <v>Hyderabad</v>
      </c>
      <c r="V1223">
        <f t="shared" si="59"/>
        <v>0</v>
      </c>
    </row>
    <row r="1224" spans="1:22" ht="15" customHeight="1" x14ac:dyDescent="0.35">
      <c r="A1224" s="3" t="s">
        <v>1648</v>
      </c>
      <c r="B1224" s="4">
        <v>45560</v>
      </c>
      <c r="C1224" s="3" t="s">
        <v>472</v>
      </c>
      <c r="D1224" s="3" t="s">
        <v>184</v>
      </c>
      <c r="E1224" s="3" t="s">
        <v>93</v>
      </c>
      <c r="F1224" s="5">
        <v>8</v>
      </c>
      <c r="G1224" s="5">
        <v>2270</v>
      </c>
      <c r="H1224" s="5">
        <v>15.6</v>
      </c>
      <c r="I1224" s="5">
        <v>15327.04</v>
      </c>
      <c r="J1224" s="3" t="s">
        <v>32</v>
      </c>
      <c r="K1224" s="3" t="s">
        <v>38</v>
      </c>
      <c r="L1224" t="str">
        <f>IFERROR(VLOOKUP(D1224,Products!$A$2:$F$61,3,FALSE()),"")</f>
        <v>Grocery</v>
      </c>
      <c r="M1224" t="str">
        <f>IFERROR(VLOOKUP(E1224,Sales_Reps!$A$2:$C$31,3,FALSE()),"")</f>
        <v>East</v>
      </c>
      <c r="N1224">
        <f>IFERROR(VLOOKUP(D1224,Products!$A$2:$F$61,4,FALSE()),"")</f>
        <v>1412</v>
      </c>
      <c r="O1224" t="str">
        <f>IFERROR(VLOOKUP(C1224,Customers!$A$2:$F$301,5,FALSE()),"")</f>
        <v>SMB</v>
      </c>
      <c r="P1224">
        <f>IFERROR(VLOOKUP(C1224,Customers!$A$2:$F$301,3,FALSE()),"")</f>
        <v>48</v>
      </c>
      <c r="Q1224">
        <f t="shared" si="57"/>
        <v>0.37797356828193834</v>
      </c>
      <c r="R1224">
        <f>IF(AND(COUNTIF($A$2:$A$2047,A1224)&gt;1,COUNTIF($A$2:A1224,A1224)=1),1,0)</f>
        <v>0</v>
      </c>
      <c r="S1224" t="b">
        <f>IFERROR(VLOOKUP(D1224,Products!$A$2:$F$61,6,FALSE()),"")</f>
        <v>1</v>
      </c>
      <c r="T1224" t="str">
        <f>IF(COUNTIF(Customers!$A$2:$A$301,C1224)=0,"Missing","OK")</f>
        <v>OK</v>
      </c>
      <c r="U1224" t="str">
        <f t="shared" si="58"/>
        <v>Delhi</v>
      </c>
      <c r="V1224">
        <f t="shared" si="59"/>
        <v>0</v>
      </c>
    </row>
    <row r="1225" spans="1:22" ht="15" customHeight="1" x14ac:dyDescent="0.35">
      <c r="A1225" s="3" t="s">
        <v>1649</v>
      </c>
      <c r="B1225" s="4">
        <v>45431</v>
      </c>
      <c r="C1225" s="3" t="s">
        <v>922</v>
      </c>
      <c r="D1225" s="3" t="s">
        <v>130</v>
      </c>
      <c r="E1225" s="3" t="s">
        <v>109</v>
      </c>
      <c r="F1225" s="5">
        <v>5</v>
      </c>
      <c r="G1225" s="5">
        <v>5100</v>
      </c>
      <c r="H1225" s="5">
        <v>9.5</v>
      </c>
      <c r="I1225" s="5">
        <v>23077.5</v>
      </c>
      <c r="J1225" s="3" t="s">
        <v>26</v>
      </c>
      <c r="K1225" s="3" t="s">
        <v>56</v>
      </c>
      <c r="L1225" t="str">
        <f>IFERROR(VLOOKUP(D1225,Products!$A$2:$F$61,3,FALSE()),"")</f>
        <v>Beauty</v>
      </c>
      <c r="M1225" t="str">
        <f>IFERROR(VLOOKUP(E1225,Sales_Reps!$A$2:$C$31,3,FALSE()),"")</f>
        <v>West</v>
      </c>
      <c r="N1225">
        <f>IFERROR(VLOOKUP(D1225,Products!$A$2:$F$61,4,FALSE()),"")</f>
        <v>2237</v>
      </c>
      <c r="O1225" t="str">
        <f>IFERROR(VLOOKUP(C1225,Customers!$A$2:$F$301,5,FALSE()),"")</f>
        <v>SMB</v>
      </c>
      <c r="P1225">
        <f>IFERROR(VLOOKUP(C1225,Customers!$A$2:$F$301,3,FALSE()),"")</f>
        <v>36</v>
      </c>
      <c r="Q1225">
        <f t="shared" si="57"/>
        <v>0.56137254901960787</v>
      </c>
      <c r="R1225">
        <f>IF(AND(COUNTIF($A$2:$A$2047,A1225)&gt;1,COUNTIF($A$2:A1225,A1225)=1),1,0)</f>
        <v>0</v>
      </c>
      <c r="S1225" t="b">
        <f>IFERROR(VLOOKUP(D1225,Products!$A$2:$F$61,6,FALSE()),"")</f>
        <v>1</v>
      </c>
      <c r="T1225" t="str">
        <f>IF(COUNTIF(Customers!$A$2:$A$301,C1225)=0,"Missing","OK")</f>
        <v>OK</v>
      </c>
      <c r="U1225" t="str">
        <f t="shared" si="58"/>
        <v>Bengaluru</v>
      </c>
      <c r="V1225">
        <f t="shared" si="59"/>
        <v>0</v>
      </c>
    </row>
    <row r="1226" spans="1:22" ht="15" customHeight="1" x14ac:dyDescent="0.35">
      <c r="A1226" s="3" t="s">
        <v>1650</v>
      </c>
      <c r="B1226" s="4">
        <v>45594</v>
      </c>
      <c r="C1226" s="3" t="s">
        <v>233</v>
      </c>
      <c r="D1226" s="3" t="s">
        <v>82</v>
      </c>
      <c r="E1226" s="3" t="s">
        <v>212</v>
      </c>
      <c r="F1226" s="5">
        <v>5</v>
      </c>
      <c r="G1226" s="5">
        <v>3250</v>
      </c>
      <c r="H1226" s="5">
        <v>8.1</v>
      </c>
      <c r="I1226" s="5">
        <v>14933.75</v>
      </c>
      <c r="J1226" s="3" t="s">
        <v>26</v>
      </c>
      <c r="K1226" s="3" t="s">
        <v>72</v>
      </c>
      <c r="L1226" t="str">
        <f>IFERROR(VLOOKUP(D1226,Products!$A$2:$F$61,3,FALSE()),"")</f>
        <v>Home</v>
      </c>
      <c r="M1226" t="str">
        <f>IFERROR(VLOOKUP(E1226,Sales_Reps!$A$2:$C$31,3,FALSE()),"")</f>
        <v>South</v>
      </c>
      <c r="N1226">
        <f>IFERROR(VLOOKUP(D1226,Products!$A$2:$F$61,4,FALSE()),"")</f>
        <v>1556</v>
      </c>
      <c r="O1226" t="str">
        <f>IFERROR(VLOOKUP(C1226,Customers!$A$2:$F$301,5,FALSE()),"")</f>
        <v>SMB</v>
      </c>
      <c r="P1226">
        <f>IFERROR(VLOOKUP(C1226,Customers!$A$2:$F$301,3,FALSE()),"")</f>
        <v>43</v>
      </c>
      <c r="Q1226">
        <f t="shared" si="57"/>
        <v>0.52123076923076928</v>
      </c>
      <c r="R1226">
        <f>IF(AND(COUNTIF($A$2:$A$2047,A1226)&gt;1,COUNTIF($A$2:A1226,A1226)=1),1,0)</f>
        <v>0</v>
      </c>
      <c r="S1226" t="b">
        <f>IFERROR(VLOOKUP(D1226,Products!$A$2:$F$61,6,FALSE()),"")</f>
        <v>1</v>
      </c>
      <c r="T1226" t="str">
        <f>IF(COUNTIF(Customers!$A$2:$A$301,C1226)=0,"Missing","OK")</f>
        <v>OK</v>
      </c>
      <c r="U1226" t="str">
        <f t="shared" si="58"/>
        <v>Hyderabad</v>
      </c>
      <c r="V1226">
        <f t="shared" si="59"/>
        <v>0</v>
      </c>
    </row>
    <row r="1227" spans="1:22" ht="15" customHeight="1" x14ac:dyDescent="0.35">
      <c r="A1227" s="3" t="s">
        <v>1651</v>
      </c>
      <c r="B1227" s="4">
        <v>45609</v>
      </c>
      <c r="C1227" s="3" t="s">
        <v>342</v>
      </c>
      <c r="D1227" s="3" t="s">
        <v>347</v>
      </c>
      <c r="E1227" s="3" t="s">
        <v>87</v>
      </c>
      <c r="F1227" s="5">
        <v>6</v>
      </c>
      <c r="G1227" s="5">
        <v>3970</v>
      </c>
      <c r="H1227" s="5">
        <v>18.8</v>
      </c>
      <c r="I1227" s="5">
        <v>19341.84</v>
      </c>
      <c r="J1227" s="3" t="s">
        <v>32</v>
      </c>
      <c r="K1227" s="3" t="s">
        <v>56</v>
      </c>
      <c r="L1227" t="str">
        <f>IFERROR(VLOOKUP(D1227,Products!$A$2:$F$61,3,FALSE()),"")</f>
        <v>Electronics</v>
      </c>
      <c r="M1227" t="str">
        <f>IFERROR(VLOOKUP(E1227,Sales_Reps!$A$2:$C$31,3,FALSE()),"")</f>
        <v>North</v>
      </c>
      <c r="N1227">
        <f>IFERROR(VLOOKUP(D1227,Products!$A$2:$F$61,4,FALSE()),"")</f>
        <v>2865</v>
      </c>
      <c r="O1227" t="str">
        <f>IFERROR(VLOOKUP(C1227,Customers!$A$2:$F$301,5,FALSE()),"")</f>
        <v>Retail</v>
      </c>
      <c r="P1227">
        <f>IFERROR(VLOOKUP(C1227,Customers!$A$2:$F$301,3,FALSE()),"")</f>
        <v>59</v>
      </c>
      <c r="Q1227">
        <f t="shared" si="57"/>
        <v>0.27833753148614609</v>
      </c>
      <c r="R1227">
        <f>IF(AND(COUNTIF($A$2:$A$2047,A1227)&gt;1,COUNTIF($A$2:A1227,A1227)=1),1,0)</f>
        <v>0</v>
      </c>
      <c r="S1227" t="b">
        <f>IFERROR(VLOOKUP(D1227,Products!$A$2:$F$61,6,FALSE()),"")</f>
        <v>1</v>
      </c>
      <c r="T1227" t="str">
        <f>IF(COUNTIF(Customers!$A$2:$A$301,C1227)=0,"Missing","OK")</f>
        <v>OK</v>
      </c>
      <c r="U1227" t="str">
        <f t="shared" si="58"/>
        <v>Bengaluru</v>
      </c>
      <c r="V1227">
        <f t="shared" si="59"/>
        <v>0</v>
      </c>
    </row>
    <row r="1228" spans="1:22" ht="15" customHeight="1" x14ac:dyDescent="0.35">
      <c r="A1228" s="3" t="s">
        <v>1652</v>
      </c>
      <c r="B1228" s="4">
        <v>45546</v>
      </c>
      <c r="C1228" s="3" t="s">
        <v>421</v>
      </c>
      <c r="D1228" s="3" t="s">
        <v>303</v>
      </c>
      <c r="E1228" s="3" t="s">
        <v>50</v>
      </c>
      <c r="F1228" s="5">
        <v>4</v>
      </c>
      <c r="G1228" s="5">
        <v>5330</v>
      </c>
      <c r="H1228" s="5">
        <v>19.7</v>
      </c>
      <c r="I1228" s="5">
        <v>17119.96</v>
      </c>
      <c r="J1228" s="3" t="s">
        <v>26</v>
      </c>
      <c r="K1228" s="3" t="s">
        <v>72</v>
      </c>
      <c r="L1228" t="str">
        <f>IFERROR(VLOOKUP(D1228,Products!$A$2:$F$61,3,FALSE()),"")</f>
        <v>Electronics</v>
      </c>
      <c r="M1228" t="str">
        <f>IFERROR(VLOOKUP(E1228,Sales_Reps!$A$2:$C$31,3,FALSE()),"")</f>
        <v>West</v>
      </c>
      <c r="N1228">
        <f>IFERROR(VLOOKUP(D1228,Products!$A$2:$F$61,4,FALSE()),"")</f>
        <v>2405</v>
      </c>
      <c r="O1228" t="str">
        <f>IFERROR(VLOOKUP(C1228,Customers!$A$2:$F$301,5,FALSE()),"")</f>
        <v>Corporate</v>
      </c>
      <c r="P1228">
        <f>IFERROR(VLOOKUP(C1228,Customers!$A$2:$F$301,3,FALSE()),"")</f>
        <v>52</v>
      </c>
      <c r="Q1228">
        <f t="shared" si="57"/>
        <v>0.54878048780487809</v>
      </c>
      <c r="R1228">
        <f>IF(AND(COUNTIF($A$2:$A$2047,A1228)&gt;1,COUNTIF($A$2:A1228,A1228)=1),1,0)</f>
        <v>0</v>
      </c>
      <c r="S1228" t="b">
        <f>IFERROR(VLOOKUP(D1228,Products!$A$2:$F$61,6,FALSE()),"")</f>
        <v>1</v>
      </c>
      <c r="T1228" t="str">
        <f>IF(COUNTIF(Customers!$A$2:$A$301,C1228)=0,"Missing","OK")</f>
        <v>OK</v>
      </c>
      <c r="U1228" t="str">
        <f t="shared" si="58"/>
        <v>Hyderabad</v>
      </c>
      <c r="V1228">
        <f t="shared" si="59"/>
        <v>0</v>
      </c>
    </row>
    <row r="1229" spans="1:22" ht="15" customHeight="1" x14ac:dyDescent="0.35">
      <c r="A1229" s="3" t="s">
        <v>1653</v>
      </c>
      <c r="B1229" s="4">
        <v>45607</v>
      </c>
      <c r="C1229" s="3" t="s">
        <v>249</v>
      </c>
      <c r="D1229" s="3" t="s">
        <v>218</v>
      </c>
      <c r="E1229" s="3" t="s">
        <v>78</v>
      </c>
      <c r="F1229" s="5">
        <v>7</v>
      </c>
      <c r="G1229" s="5">
        <v>2660</v>
      </c>
      <c r="H1229" s="5">
        <v>8.5</v>
      </c>
      <c r="I1229" s="5">
        <v>17037.3</v>
      </c>
      <c r="J1229" s="3" t="s">
        <v>26</v>
      </c>
      <c r="K1229" s="3" t="s">
        <v>56</v>
      </c>
      <c r="L1229" t="str">
        <f>IFERROR(VLOOKUP(D1229,Products!$A$2:$F$61,3,FALSE()),"")</f>
        <v>Electronics</v>
      </c>
      <c r="M1229" t="str">
        <f>IFERROR(VLOOKUP(E1229,Sales_Reps!$A$2:$C$31,3,FALSE()),"")</f>
        <v>North</v>
      </c>
      <c r="N1229">
        <f>IFERROR(VLOOKUP(D1229,Products!$A$2:$F$61,4,FALSE()),"")</f>
        <v>1259</v>
      </c>
      <c r="O1229" t="str">
        <f>IFERROR(VLOOKUP(C1229,Customers!$A$2:$F$301,5,FALSE()),"")</f>
        <v>Retail</v>
      </c>
      <c r="P1229">
        <f>IFERROR(VLOOKUP(C1229,Customers!$A$2:$F$301,3,FALSE()),"")</f>
        <v>42</v>
      </c>
      <c r="Q1229">
        <f t="shared" si="57"/>
        <v>0.52669172932330832</v>
      </c>
      <c r="R1229">
        <f>IF(AND(COUNTIF($A$2:$A$2047,A1229)&gt;1,COUNTIF($A$2:A1229,A1229)=1),1,0)</f>
        <v>0</v>
      </c>
      <c r="S1229" t="b">
        <f>IFERROR(VLOOKUP(D1229,Products!$A$2:$F$61,6,FALSE()),"")</f>
        <v>0</v>
      </c>
      <c r="T1229" t="str">
        <f>IF(COUNTIF(Customers!$A$2:$A$301,C1229)=0,"Missing","OK")</f>
        <v>OK</v>
      </c>
      <c r="U1229" t="str">
        <f t="shared" si="58"/>
        <v>Bengaluru</v>
      </c>
      <c r="V1229">
        <f t="shared" si="59"/>
        <v>0</v>
      </c>
    </row>
    <row r="1230" spans="1:22" ht="15" customHeight="1" x14ac:dyDescent="0.35">
      <c r="A1230" s="3" t="s">
        <v>1654</v>
      </c>
      <c r="B1230" s="4">
        <v>45422</v>
      </c>
      <c r="C1230" s="3" t="s">
        <v>29</v>
      </c>
      <c r="D1230" s="3" t="s">
        <v>45</v>
      </c>
      <c r="E1230" s="3" t="s">
        <v>168</v>
      </c>
      <c r="F1230" s="5">
        <v>5</v>
      </c>
      <c r="G1230" s="5">
        <v>3160</v>
      </c>
      <c r="H1230" s="5">
        <v>13.4</v>
      </c>
      <c r="I1230" s="5">
        <v>13682.8</v>
      </c>
      <c r="J1230" s="3" t="s">
        <v>32</v>
      </c>
      <c r="K1230" s="3" t="s">
        <v>33</v>
      </c>
      <c r="L1230" t="str">
        <f>IFERROR(VLOOKUP(D1230,Products!$A$2:$F$61,3,FALSE()),"")</f>
        <v>Apparel</v>
      </c>
      <c r="M1230" t="str">
        <f>IFERROR(VLOOKUP(E1230,Sales_Reps!$A$2:$C$31,3,FALSE()),"")</f>
        <v>West</v>
      </c>
      <c r="N1230">
        <f>IFERROR(VLOOKUP(D1230,Products!$A$2:$F$61,4,FALSE()),"")</f>
        <v>1886</v>
      </c>
      <c r="O1230" t="str">
        <f>IFERROR(VLOOKUP(C1230,Customers!$A$2:$F$301,5,FALSE()),"")</f>
        <v>Retail</v>
      </c>
      <c r="P1230">
        <f>IFERROR(VLOOKUP(C1230,Customers!$A$2:$F$301,3,FALSE()),"")</f>
        <v>39</v>
      </c>
      <c r="Q1230">
        <f t="shared" si="57"/>
        <v>0.4031645569620253</v>
      </c>
      <c r="R1230">
        <f>IF(AND(COUNTIF($A$2:$A$2047,A1230)&gt;1,COUNTIF($A$2:A1230,A1230)=1),1,0)</f>
        <v>0</v>
      </c>
      <c r="S1230" t="b">
        <f>IFERROR(VLOOKUP(D1230,Products!$A$2:$F$61,6,FALSE()),"")</f>
        <v>1</v>
      </c>
      <c r="T1230" t="str">
        <f>IF(COUNTIF(Customers!$A$2:$A$301,C1230)=0,"Missing","OK")</f>
        <v>OK</v>
      </c>
      <c r="U1230" t="str">
        <f t="shared" si="58"/>
        <v>Chennai</v>
      </c>
      <c r="V1230">
        <f t="shared" si="59"/>
        <v>0</v>
      </c>
    </row>
    <row r="1231" spans="1:22" ht="15" customHeight="1" x14ac:dyDescent="0.35">
      <c r="A1231" s="3" t="s">
        <v>1655</v>
      </c>
      <c r="B1231" s="4">
        <v>45634</v>
      </c>
      <c r="C1231" s="3" t="s">
        <v>253</v>
      </c>
      <c r="D1231" s="3" t="s">
        <v>121</v>
      </c>
      <c r="E1231" s="3" t="s">
        <v>60</v>
      </c>
      <c r="F1231" s="5">
        <v>10</v>
      </c>
      <c r="G1231" s="5">
        <v>1010</v>
      </c>
      <c r="H1231" s="5">
        <v>14</v>
      </c>
      <c r="I1231" s="5">
        <v>8686</v>
      </c>
      <c r="J1231" s="3" t="s">
        <v>26</v>
      </c>
      <c r="K1231" s="3" t="s">
        <v>27</v>
      </c>
      <c r="L1231" t="str">
        <f>IFERROR(VLOOKUP(D1231,Products!$A$2:$F$61,3,FALSE()),"")</f>
        <v>Sports</v>
      </c>
      <c r="M1231" t="str">
        <f>IFERROR(VLOOKUP(E1231,Sales_Reps!$A$2:$C$31,3,FALSE()),"")</f>
        <v>East</v>
      </c>
      <c r="N1231">
        <f>IFERROR(VLOOKUP(D1231,Products!$A$2:$F$61,4,FALSE()),"")</f>
        <v>516</v>
      </c>
      <c r="O1231" t="str">
        <f>IFERROR(VLOOKUP(C1231,Customers!$A$2:$F$301,5,FALSE()),"")</f>
        <v>Corporate</v>
      </c>
      <c r="P1231">
        <f>IFERROR(VLOOKUP(C1231,Customers!$A$2:$F$301,3,FALSE()),"")</f>
        <v>33</v>
      </c>
      <c r="Q1231">
        <f t="shared" si="57"/>
        <v>0.4891089108910891</v>
      </c>
      <c r="R1231">
        <f>IF(AND(COUNTIF($A$2:$A$2047,A1231)&gt;1,COUNTIF($A$2:A1231,A1231)=1),1,0)</f>
        <v>0</v>
      </c>
      <c r="S1231" t="b">
        <f>IFERROR(VLOOKUP(D1231,Products!$A$2:$F$61,6,FALSE()),"")</f>
        <v>1</v>
      </c>
      <c r="T1231" t="str">
        <f>IF(COUNTIF(Customers!$A$2:$A$301,C1231)=0,"Missing","OK")</f>
        <v>OK</v>
      </c>
      <c r="U1231" t="str">
        <f t="shared" si="58"/>
        <v>Pune</v>
      </c>
      <c r="V1231">
        <f t="shared" si="59"/>
        <v>0</v>
      </c>
    </row>
    <row r="1232" spans="1:22" ht="15" customHeight="1" x14ac:dyDescent="0.35">
      <c r="A1232" s="3" t="s">
        <v>1656</v>
      </c>
      <c r="B1232" s="4">
        <v>45376</v>
      </c>
      <c r="C1232" s="3" t="s">
        <v>76</v>
      </c>
      <c r="D1232" s="3" t="s">
        <v>198</v>
      </c>
      <c r="E1232" s="3" t="s">
        <v>87</v>
      </c>
      <c r="F1232" s="5">
        <v>3</v>
      </c>
      <c r="G1232" s="5">
        <v>1540</v>
      </c>
      <c r="H1232" s="5">
        <v>13.7</v>
      </c>
      <c r="I1232" s="5">
        <v>3987.06</v>
      </c>
      <c r="J1232" s="3" t="s">
        <v>32</v>
      </c>
      <c r="K1232" s="3" t="s">
        <v>38</v>
      </c>
      <c r="L1232" t="str">
        <f>IFERROR(VLOOKUP(D1232,Products!$A$2:$F$61,3,FALSE()),"")</f>
        <v>Beauty</v>
      </c>
      <c r="M1232" t="str">
        <f>IFERROR(VLOOKUP(E1232,Sales_Reps!$A$2:$C$31,3,FALSE()),"")</f>
        <v>North</v>
      </c>
      <c r="N1232">
        <f>IFERROR(VLOOKUP(D1232,Products!$A$2:$F$61,4,FALSE()),"")</f>
        <v>647</v>
      </c>
      <c r="O1232" t="str">
        <f>IFERROR(VLOOKUP(C1232,Customers!$A$2:$F$301,5,FALSE()),"")</f>
        <v>SMB</v>
      </c>
      <c r="P1232">
        <f>IFERROR(VLOOKUP(C1232,Customers!$A$2:$F$301,3,FALSE()),"")</f>
        <v>27</v>
      </c>
      <c r="Q1232">
        <f t="shared" si="57"/>
        <v>0.57987012987012987</v>
      </c>
      <c r="R1232">
        <f>IF(AND(COUNTIF($A$2:$A$2047,A1232)&gt;1,COUNTIF($A$2:A1232,A1232)=1),1,0)</f>
        <v>0</v>
      </c>
      <c r="S1232" t="b">
        <f>IFERROR(VLOOKUP(D1232,Products!$A$2:$F$61,6,FALSE()),"")</f>
        <v>0</v>
      </c>
      <c r="T1232" t="str">
        <f>IF(COUNTIF(Customers!$A$2:$A$301,C1232)=0,"Missing","OK")</f>
        <v>OK</v>
      </c>
      <c r="U1232" t="str">
        <f t="shared" si="58"/>
        <v>Delhi</v>
      </c>
      <c r="V1232">
        <f t="shared" si="59"/>
        <v>0</v>
      </c>
    </row>
    <row r="1233" spans="1:22" ht="15" customHeight="1" x14ac:dyDescent="0.35">
      <c r="A1233" s="3" t="s">
        <v>1657</v>
      </c>
      <c r="B1233" s="4">
        <v>45313</v>
      </c>
      <c r="C1233" s="3" t="s">
        <v>619</v>
      </c>
      <c r="D1233" s="3" t="s">
        <v>130</v>
      </c>
      <c r="E1233" s="3" t="s">
        <v>143</v>
      </c>
      <c r="F1233" s="5">
        <v>10</v>
      </c>
      <c r="G1233" s="5">
        <v>5100</v>
      </c>
      <c r="H1233" s="5">
        <v>13.8</v>
      </c>
      <c r="I1233" s="5">
        <v>43962</v>
      </c>
      <c r="J1233" s="3" t="s">
        <v>26</v>
      </c>
      <c r="K1233" s="3" t="s">
        <v>33</v>
      </c>
      <c r="L1233" t="str">
        <f>IFERROR(VLOOKUP(D1233,Products!$A$2:$F$61,3,FALSE()),"")</f>
        <v>Beauty</v>
      </c>
      <c r="M1233" t="str">
        <f>IFERROR(VLOOKUP(E1233,Sales_Reps!$A$2:$C$31,3,FALSE()),"")</f>
        <v>South</v>
      </c>
      <c r="N1233">
        <f>IFERROR(VLOOKUP(D1233,Products!$A$2:$F$61,4,FALSE()),"")</f>
        <v>2237</v>
      </c>
      <c r="O1233" t="str">
        <f>IFERROR(VLOOKUP(C1233,Customers!$A$2:$F$301,5,FALSE()),"")</f>
        <v>Retail</v>
      </c>
      <c r="P1233">
        <f>IFERROR(VLOOKUP(C1233,Customers!$A$2:$F$301,3,FALSE()),"")</f>
        <v>26</v>
      </c>
      <c r="Q1233">
        <f t="shared" si="57"/>
        <v>0.56137254901960787</v>
      </c>
      <c r="R1233">
        <f>IF(AND(COUNTIF($A$2:$A$2047,A1233)&gt;1,COUNTIF($A$2:A1233,A1233)=1),1,0)</f>
        <v>0</v>
      </c>
      <c r="S1233" t="b">
        <f>IFERROR(VLOOKUP(D1233,Products!$A$2:$F$61,6,FALSE()),"")</f>
        <v>1</v>
      </c>
      <c r="T1233" t="str">
        <f>IF(COUNTIF(Customers!$A$2:$A$301,C1233)=0,"Missing","OK")</f>
        <v>OK</v>
      </c>
      <c r="U1233" t="str">
        <f t="shared" si="58"/>
        <v>Chennai</v>
      </c>
      <c r="V1233">
        <f t="shared" si="59"/>
        <v>0</v>
      </c>
    </row>
    <row r="1234" spans="1:22" ht="15" customHeight="1" x14ac:dyDescent="0.35">
      <c r="A1234" s="3" t="s">
        <v>1658</v>
      </c>
      <c r="B1234" s="4">
        <v>45457</v>
      </c>
      <c r="C1234" s="3" t="s">
        <v>734</v>
      </c>
      <c r="D1234" s="3" t="s">
        <v>59</v>
      </c>
      <c r="E1234" s="3" t="s">
        <v>109</v>
      </c>
      <c r="F1234" s="5">
        <v>3</v>
      </c>
      <c r="G1234" s="5">
        <v>1430</v>
      </c>
      <c r="H1234" s="5">
        <v>1.5</v>
      </c>
      <c r="I1234" s="5">
        <v>4225.6499999999996</v>
      </c>
      <c r="J1234" s="3" t="s">
        <v>26</v>
      </c>
      <c r="K1234" s="3" t="s">
        <v>33</v>
      </c>
      <c r="L1234" t="str">
        <f>IFERROR(VLOOKUP(D1234,Products!$A$2:$F$61,3,FALSE()),"")</f>
        <v>Electronics</v>
      </c>
      <c r="M1234" t="str">
        <f>IFERROR(VLOOKUP(E1234,Sales_Reps!$A$2:$C$31,3,FALSE()),"")</f>
        <v>West</v>
      </c>
      <c r="N1234">
        <f>IFERROR(VLOOKUP(D1234,Products!$A$2:$F$61,4,FALSE()),"")</f>
        <v>861</v>
      </c>
      <c r="O1234" t="str">
        <f>IFERROR(VLOOKUP(C1234,Customers!$A$2:$F$301,5,FALSE()),"")</f>
        <v>Retail</v>
      </c>
      <c r="P1234">
        <f>IFERROR(VLOOKUP(C1234,Customers!$A$2:$F$301,3,FALSE()),"")</f>
        <v>22</v>
      </c>
      <c r="Q1234">
        <f t="shared" si="57"/>
        <v>0.39790209790209791</v>
      </c>
      <c r="R1234">
        <f>IF(AND(COUNTIF($A$2:$A$2047,A1234)&gt;1,COUNTIF($A$2:A1234,A1234)=1),1,0)</f>
        <v>0</v>
      </c>
      <c r="S1234" t="b">
        <f>IFERROR(VLOOKUP(D1234,Products!$A$2:$F$61,6,FALSE()),"")</f>
        <v>1</v>
      </c>
      <c r="T1234" t="str">
        <f>IF(COUNTIF(Customers!$A$2:$A$301,C1234)=0,"Missing","OK")</f>
        <v>OK</v>
      </c>
      <c r="U1234" t="str">
        <f t="shared" si="58"/>
        <v>Chennai</v>
      </c>
      <c r="V1234">
        <f t="shared" si="59"/>
        <v>0</v>
      </c>
    </row>
    <row r="1235" spans="1:22" ht="15" customHeight="1" x14ac:dyDescent="0.35">
      <c r="A1235" s="3" t="s">
        <v>1659</v>
      </c>
      <c r="B1235" s="4">
        <v>45620</v>
      </c>
      <c r="C1235" s="3" t="s">
        <v>847</v>
      </c>
      <c r="D1235" s="3" t="s">
        <v>63</v>
      </c>
      <c r="E1235" s="3" t="s">
        <v>191</v>
      </c>
      <c r="F1235" s="5">
        <v>8</v>
      </c>
      <c r="G1235" s="5">
        <v>5490</v>
      </c>
      <c r="H1235" s="5">
        <v>23.2</v>
      </c>
      <c r="I1235" s="5">
        <v>33730.559999999998</v>
      </c>
      <c r="J1235" s="3" t="s">
        <v>26</v>
      </c>
      <c r="K1235" s="3" t="s">
        <v>72</v>
      </c>
      <c r="L1235" t="str">
        <f>IFERROR(VLOOKUP(D1235,Products!$A$2:$F$61,3,FALSE()),"")</f>
        <v>Home</v>
      </c>
      <c r="M1235" t="str">
        <f>IFERROR(VLOOKUP(E1235,Sales_Reps!$A$2:$C$31,3,FALSE()),"")</f>
        <v>South</v>
      </c>
      <c r="N1235">
        <f>IFERROR(VLOOKUP(D1235,Products!$A$2:$F$61,4,FALSE()),"")</f>
        <v>2549</v>
      </c>
      <c r="O1235" t="str">
        <f>IFERROR(VLOOKUP(C1235,Customers!$A$2:$F$301,5,FALSE()),"")</f>
        <v>Retail</v>
      </c>
      <c r="P1235">
        <f>IFERROR(VLOOKUP(C1235,Customers!$A$2:$F$301,3,FALSE()),"")</f>
        <v>31</v>
      </c>
      <c r="Q1235">
        <f t="shared" si="57"/>
        <v>0.53570127504553733</v>
      </c>
      <c r="R1235">
        <f>IF(AND(COUNTIF($A$2:$A$2047,A1235)&gt;1,COUNTIF($A$2:A1235,A1235)=1),1,0)</f>
        <v>0</v>
      </c>
      <c r="S1235" t="b">
        <f>IFERROR(VLOOKUP(D1235,Products!$A$2:$F$61,6,FALSE()),"")</f>
        <v>1</v>
      </c>
      <c r="T1235" t="str">
        <f>IF(COUNTIF(Customers!$A$2:$A$301,C1235)=0,"Missing","OK")</f>
        <v>OK</v>
      </c>
      <c r="U1235" t="str">
        <f t="shared" si="58"/>
        <v>Hyderabad</v>
      </c>
      <c r="V1235">
        <f t="shared" si="59"/>
        <v>0</v>
      </c>
    </row>
    <row r="1236" spans="1:22" ht="15" customHeight="1" x14ac:dyDescent="0.35">
      <c r="A1236" s="3" t="s">
        <v>1660</v>
      </c>
      <c r="B1236" s="4">
        <v>45495</v>
      </c>
      <c r="C1236" s="3" t="s">
        <v>357</v>
      </c>
      <c r="D1236" s="3" t="s">
        <v>115</v>
      </c>
      <c r="E1236" s="3" t="s">
        <v>46</v>
      </c>
      <c r="F1236" s="5">
        <v>6</v>
      </c>
      <c r="G1236" s="5">
        <v>1650</v>
      </c>
      <c r="H1236" s="5">
        <v>16.8</v>
      </c>
      <c r="I1236" s="5">
        <v>8236.7999999999993</v>
      </c>
      <c r="J1236" s="3" t="s">
        <v>26</v>
      </c>
      <c r="K1236" s="3" t="s">
        <v>72</v>
      </c>
      <c r="L1236" t="str">
        <f>IFERROR(VLOOKUP(D1236,Products!$A$2:$F$61,3,FALSE()),"")</f>
        <v>Beauty</v>
      </c>
      <c r="M1236" t="str">
        <f>IFERROR(VLOOKUP(E1236,Sales_Reps!$A$2:$C$31,3,FALSE()),"")</f>
        <v>North</v>
      </c>
      <c r="N1236">
        <f>IFERROR(VLOOKUP(D1236,Products!$A$2:$F$61,4,FALSE()),"")</f>
        <v>1222</v>
      </c>
      <c r="O1236" t="str">
        <f>IFERROR(VLOOKUP(C1236,Customers!$A$2:$F$301,5,FALSE()),"")</f>
        <v>Retail</v>
      </c>
      <c r="P1236">
        <f>IFERROR(VLOOKUP(C1236,Customers!$A$2:$F$301,3,FALSE()),"")</f>
        <v>22</v>
      </c>
      <c r="Q1236">
        <f t="shared" si="57"/>
        <v>0.2593939393939394</v>
      </c>
      <c r="R1236">
        <f>IF(AND(COUNTIF($A$2:$A$2047,A1236)&gt;1,COUNTIF($A$2:A1236,A1236)=1),1,0)</f>
        <v>0</v>
      </c>
      <c r="S1236" t="b">
        <f>IFERROR(VLOOKUP(D1236,Products!$A$2:$F$61,6,FALSE()),"")</f>
        <v>1</v>
      </c>
      <c r="T1236" t="str">
        <f>IF(COUNTIF(Customers!$A$2:$A$301,C1236)=0,"Missing","OK")</f>
        <v>OK</v>
      </c>
      <c r="U1236" t="str">
        <f t="shared" si="58"/>
        <v>Hyderabad</v>
      </c>
      <c r="V1236">
        <f t="shared" si="59"/>
        <v>0</v>
      </c>
    </row>
    <row r="1237" spans="1:22" ht="15" customHeight="1" x14ac:dyDescent="0.35">
      <c r="A1237" s="3" t="s">
        <v>1661</v>
      </c>
      <c r="B1237" s="4">
        <v>45460</v>
      </c>
      <c r="C1237" s="3" t="s">
        <v>905</v>
      </c>
      <c r="D1237" s="3" t="s">
        <v>215</v>
      </c>
      <c r="E1237" s="3" t="s">
        <v>242</v>
      </c>
      <c r="F1237" s="5">
        <v>3</v>
      </c>
      <c r="G1237" s="5">
        <v>3020</v>
      </c>
      <c r="H1237" s="5">
        <v>14.5</v>
      </c>
      <c r="I1237" s="5">
        <v>7746.3</v>
      </c>
      <c r="J1237" s="3" t="s">
        <v>26</v>
      </c>
      <c r="K1237" s="3" t="s">
        <v>72</v>
      </c>
      <c r="L1237" t="str">
        <f>IFERROR(VLOOKUP(D1237,Products!$A$2:$F$61,3,FALSE()),"")</f>
        <v>Beauty</v>
      </c>
      <c r="M1237" t="str">
        <f>IFERROR(VLOOKUP(E1237,Sales_Reps!$A$2:$C$31,3,FALSE()),"")</f>
        <v>East</v>
      </c>
      <c r="N1237">
        <f>IFERROR(VLOOKUP(D1237,Products!$A$2:$F$61,4,FALSE()),"")</f>
        <v>1626</v>
      </c>
      <c r="O1237" t="str">
        <f>IFERROR(VLOOKUP(C1237,Customers!$A$2:$F$301,5,FALSE()),"")</f>
        <v>SMB</v>
      </c>
      <c r="P1237">
        <f>IFERROR(VLOOKUP(C1237,Customers!$A$2:$F$301,3,FALSE()),"")</f>
        <v>31</v>
      </c>
      <c r="Q1237">
        <f t="shared" si="57"/>
        <v>0.46158940397350995</v>
      </c>
      <c r="R1237">
        <f>IF(AND(COUNTIF($A$2:$A$2047,A1237)&gt;1,COUNTIF($A$2:A1237,A1237)=1),1,0)</f>
        <v>0</v>
      </c>
      <c r="S1237" t="b">
        <f>IFERROR(VLOOKUP(D1237,Products!$A$2:$F$61,6,FALSE()),"")</f>
        <v>1</v>
      </c>
      <c r="T1237" t="str">
        <f>IF(COUNTIF(Customers!$A$2:$A$301,C1237)=0,"Missing","OK")</f>
        <v>OK</v>
      </c>
      <c r="U1237" t="str">
        <f t="shared" si="58"/>
        <v>Hyderabad</v>
      </c>
      <c r="V1237">
        <f t="shared" si="59"/>
        <v>0</v>
      </c>
    </row>
    <row r="1238" spans="1:22" ht="15" customHeight="1" x14ac:dyDescent="0.35">
      <c r="A1238" s="3" t="s">
        <v>1662</v>
      </c>
      <c r="B1238" s="4">
        <v>45438</v>
      </c>
      <c r="C1238" s="3" t="s">
        <v>1663</v>
      </c>
      <c r="D1238" s="3" t="s">
        <v>198</v>
      </c>
      <c r="E1238" s="3" t="s">
        <v>87</v>
      </c>
      <c r="F1238" s="5">
        <v>5</v>
      </c>
      <c r="G1238" s="5">
        <v>1540</v>
      </c>
      <c r="H1238" s="5">
        <v>27.2</v>
      </c>
      <c r="I1238" s="5">
        <v>5605.6</v>
      </c>
      <c r="J1238" s="3" t="s">
        <v>26</v>
      </c>
      <c r="K1238" s="3" t="s">
        <v>56</v>
      </c>
      <c r="L1238" t="str">
        <f>IFERROR(VLOOKUP(D1238,Products!$A$2:$F$61,3,FALSE()),"")</f>
        <v>Beauty</v>
      </c>
      <c r="M1238" t="str">
        <f>IFERROR(VLOOKUP(E1238,Sales_Reps!$A$2:$C$31,3,FALSE()),"")</f>
        <v>North</v>
      </c>
      <c r="N1238">
        <f>IFERROR(VLOOKUP(D1238,Products!$A$2:$F$61,4,FALSE()),"")</f>
        <v>647</v>
      </c>
      <c r="O1238" t="str">
        <f>IFERROR(VLOOKUP(C1238,Customers!$A$2:$F$301,5,FALSE()),"")</f>
        <v>SMB</v>
      </c>
      <c r="P1238">
        <f>IFERROR(VLOOKUP(C1238,Customers!$A$2:$F$301,3,FALSE()),"")</f>
        <v>54</v>
      </c>
      <c r="Q1238">
        <f t="shared" si="57"/>
        <v>0.57987012987012987</v>
      </c>
      <c r="R1238">
        <f>IF(AND(COUNTIF($A$2:$A$2047,A1238)&gt;1,COUNTIF($A$2:A1238,A1238)=1),1,0)</f>
        <v>0</v>
      </c>
      <c r="S1238" t="b">
        <f>IFERROR(VLOOKUP(D1238,Products!$A$2:$F$61,6,FALSE()),"")</f>
        <v>0</v>
      </c>
      <c r="T1238" t="str">
        <f>IF(COUNTIF(Customers!$A$2:$A$301,C1238)=0,"Missing","OK")</f>
        <v>OK</v>
      </c>
      <c r="U1238" t="str">
        <f t="shared" si="58"/>
        <v>Bengaluru</v>
      </c>
      <c r="V1238">
        <f t="shared" si="59"/>
        <v>0</v>
      </c>
    </row>
    <row r="1239" spans="1:22" ht="15" customHeight="1" x14ac:dyDescent="0.35">
      <c r="A1239" s="3" t="s">
        <v>710</v>
      </c>
      <c r="B1239" s="4">
        <v>45307</v>
      </c>
      <c r="C1239" s="3" t="s">
        <v>255</v>
      </c>
      <c r="D1239" s="3" t="s">
        <v>454</v>
      </c>
      <c r="E1239" s="3" t="s">
        <v>93</v>
      </c>
      <c r="F1239" s="5">
        <v>4</v>
      </c>
      <c r="G1239" s="5">
        <v>6940</v>
      </c>
      <c r="H1239" s="5">
        <v>3.2</v>
      </c>
      <c r="I1239" s="5">
        <v>26871.68</v>
      </c>
      <c r="J1239" s="3" t="s">
        <v>26</v>
      </c>
      <c r="K1239" s="3" t="s">
        <v>27</v>
      </c>
      <c r="L1239" t="str">
        <f>IFERROR(VLOOKUP(D1239,Products!$A$2:$F$61,3,FALSE()),"")</f>
        <v>Sports</v>
      </c>
      <c r="M1239" t="str">
        <f>IFERROR(VLOOKUP(E1239,Sales_Reps!$A$2:$C$31,3,FALSE()),"")</f>
        <v>East</v>
      </c>
      <c r="N1239">
        <f>IFERROR(VLOOKUP(D1239,Products!$A$2:$F$61,4,FALSE()),"")</f>
        <v>2827</v>
      </c>
      <c r="O1239" t="str">
        <f>IFERROR(VLOOKUP(C1239,Customers!$A$2:$F$301,5,FALSE()),"")</f>
        <v>SMB</v>
      </c>
      <c r="P1239">
        <f>IFERROR(VLOOKUP(C1239,Customers!$A$2:$F$301,3,FALSE()),"")</f>
        <v>60</v>
      </c>
      <c r="Q1239">
        <f t="shared" si="57"/>
        <v>0.5926512968299712</v>
      </c>
      <c r="R1239">
        <f>IF(AND(COUNTIF($A$2:$A$2047,A1239)&gt;1,COUNTIF($A$2:A1239,A1239)=1),1,0)</f>
        <v>0</v>
      </c>
      <c r="S1239" t="b">
        <f>IFERROR(VLOOKUP(D1239,Products!$A$2:$F$61,6,FALSE()),"")</f>
        <v>1</v>
      </c>
      <c r="T1239" t="str">
        <f>IF(COUNTIF(Customers!$A$2:$A$301,C1239)=0,"Missing","OK")</f>
        <v>OK</v>
      </c>
      <c r="U1239" t="str">
        <f t="shared" si="58"/>
        <v>Pune</v>
      </c>
      <c r="V1239">
        <f t="shared" si="59"/>
        <v>0</v>
      </c>
    </row>
    <row r="1240" spans="1:22" ht="15" customHeight="1" x14ac:dyDescent="0.35">
      <c r="A1240" s="3" t="s">
        <v>1664</v>
      </c>
      <c r="B1240" s="4">
        <v>45517</v>
      </c>
      <c r="C1240" s="3" t="s">
        <v>48</v>
      </c>
      <c r="D1240" s="3" t="s">
        <v>130</v>
      </c>
      <c r="E1240" s="3" t="s">
        <v>177</v>
      </c>
      <c r="F1240" s="5">
        <v>2</v>
      </c>
      <c r="G1240" s="5">
        <v>5100</v>
      </c>
      <c r="H1240" s="5">
        <v>18.100000000000001</v>
      </c>
      <c r="I1240" s="5">
        <v>8353.7999999999993</v>
      </c>
      <c r="J1240" s="3" t="s">
        <v>26</v>
      </c>
      <c r="K1240" s="3" t="s">
        <v>51</v>
      </c>
      <c r="L1240" t="str">
        <f>IFERROR(VLOOKUP(D1240,Products!$A$2:$F$61,3,FALSE()),"")</f>
        <v>Beauty</v>
      </c>
      <c r="M1240" t="str">
        <f>IFERROR(VLOOKUP(E1240,Sales_Reps!$A$2:$C$31,3,FALSE()),"")</f>
        <v>East</v>
      </c>
      <c r="N1240">
        <f>IFERROR(VLOOKUP(D1240,Products!$A$2:$F$61,4,FALSE()),"")</f>
        <v>2237</v>
      </c>
      <c r="O1240" t="str">
        <f>IFERROR(VLOOKUP(C1240,Customers!$A$2:$F$301,5,FALSE()),"")</f>
        <v>Retail</v>
      </c>
      <c r="P1240">
        <f>IFERROR(VLOOKUP(C1240,Customers!$A$2:$F$301,3,FALSE()),"")</f>
        <v>36</v>
      </c>
      <c r="Q1240">
        <f t="shared" si="57"/>
        <v>0.56137254901960787</v>
      </c>
      <c r="R1240">
        <f>IF(AND(COUNTIF($A$2:$A$2047,A1240)&gt;1,COUNTIF($A$2:A1240,A1240)=1),1,0)</f>
        <v>0</v>
      </c>
      <c r="S1240" t="b">
        <f>IFERROR(VLOOKUP(D1240,Products!$A$2:$F$61,6,FALSE()),"")</f>
        <v>1</v>
      </c>
      <c r="T1240" t="str">
        <f>IF(COUNTIF(Customers!$A$2:$A$301,C1240)=0,"Missing","OK")</f>
        <v>OK</v>
      </c>
      <c r="U1240" t="str">
        <f t="shared" si="58"/>
        <v>Mumbai</v>
      </c>
      <c r="V1240">
        <f t="shared" si="59"/>
        <v>0</v>
      </c>
    </row>
    <row r="1241" spans="1:22" ht="15" customHeight="1" x14ac:dyDescent="0.35">
      <c r="A1241" s="3" t="s">
        <v>1665</v>
      </c>
      <c r="B1241" s="4">
        <v>45575</v>
      </c>
      <c r="C1241" s="3" t="s">
        <v>253</v>
      </c>
      <c r="D1241" s="3" t="s">
        <v>303</v>
      </c>
      <c r="E1241" s="3" t="s">
        <v>285</v>
      </c>
      <c r="F1241" s="5">
        <v>6</v>
      </c>
      <c r="G1241" s="5">
        <v>5330</v>
      </c>
      <c r="H1241" s="5">
        <v>0.3</v>
      </c>
      <c r="I1241" s="5">
        <v>31884.06</v>
      </c>
      <c r="J1241" s="3" t="s">
        <v>32</v>
      </c>
      <c r="K1241" s="3" t="s">
        <v>27</v>
      </c>
      <c r="L1241" t="str">
        <f>IFERROR(VLOOKUP(D1241,Products!$A$2:$F$61,3,FALSE()),"")</f>
        <v>Electronics</v>
      </c>
      <c r="M1241" t="str">
        <f>IFERROR(VLOOKUP(E1241,Sales_Reps!$A$2:$C$31,3,FALSE()),"")</f>
        <v>South</v>
      </c>
      <c r="N1241">
        <f>IFERROR(VLOOKUP(D1241,Products!$A$2:$F$61,4,FALSE()),"")</f>
        <v>2405</v>
      </c>
      <c r="O1241" t="str">
        <f>IFERROR(VLOOKUP(C1241,Customers!$A$2:$F$301,5,FALSE()),"")</f>
        <v>Corporate</v>
      </c>
      <c r="P1241">
        <f>IFERROR(VLOOKUP(C1241,Customers!$A$2:$F$301,3,FALSE()),"")</f>
        <v>33</v>
      </c>
      <c r="Q1241">
        <f t="shared" si="57"/>
        <v>0.54878048780487809</v>
      </c>
      <c r="R1241">
        <f>IF(AND(COUNTIF($A$2:$A$2047,A1241)&gt;1,COUNTIF($A$2:A1241,A1241)=1),1,0)</f>
        <v>0</v>
      </c>
      <c r="S1241" t="b">
        <f>IFERROR(VLOOKUP(D1241,Products!$A$2:$F$61,6,FALSE()),"")</f>
        <v>1</v>
      </c>
      <c r="T1241" t="str">
        <f>IF(COUNTIF(Customers!$A$2:$A$301,C1241)=0,"Missing","OK")</f>
        <v>OK</v>
      </c>
      <c r="U1241" t="str">
        <f t="shared" si="58"/>
        <v>Pune</v>
      </c>
      <c r="V1241">
        <f t="shared" si="59"/>
        <v>0</v>
      </c>
    </row>
    <row r="1242" spans="1:22" ht="15" customHeight="1" x14ac:dyDescent="0.35">
      <c r="A1242" s="3" t="s">
        <v>1666</v>
      </c>
      <c r="B1242" s="4">
        <v>45449</v>
      </c>
      <c r="C1242" s="3" t="s">
        <v>945</v>
      </c>
      <c r="D1242" s="3" t="s">
        <v>54</v>
      </c>
      <c r="E1242" s="3" t="s">
        <v>168</v>
      </c>
      <c r="F1242" s="5">
        <v>5</v>
      </c>
      <c r="G1242" s="5">
        <v>960</v>
      </c>
      <c r="H1242" s="5">
        <v>16.600000000000001</v>
      </c>
      <c r="I1242" s="5">
        <v>4003.2</v>
      </c>
      <c r="J1242" s="3" t="s">
        <v>26</v>
      </c>
      <c r="K1242" s="3" t="s">
        <v>56</v>
      </c>
      <c r="L1242" t="str">
        <f>IFERROR(VLOOKUP(D1242,Products!$A$2:$F$61,3,FALSE()),"")</f>
        <v>Sports</v>
      </c>
      <c r="M1242" t="str">
        <f>IFERROR(VLOOKUP(E1242,Sales_Reps!$A$2:$C$31,3,FALSE()),"")</f>
        <v>West</v>
      </c>
      <c r="N1242">
        <f>IFERROR(VLOOKUP(D1242,Products!$A$2:$F$61,4,FALSE()),"")</f>
        <v>705</v>
      </c>
      <c r="O1242" t="str">
        <f>IFERROR(VLOOKUP(C1242,Customers!$A$2:$F$301,5,FALSE()),"")</f>
        <v>SMB</v>
      </c>
      <c r="P1242">
        <f>IFERROR(VLOOKUP(C1242,Customers!$A$2:$F$301,3,FALSE()),"")</f>
        <v>44</v>
      </c>
      <c r="Q1242">
        <f t="shared" si="57"/>
        <v>0.265625</v>
      </c>
      <c r="R1242">
        <f>IF(AND(COUNTIF($A$2:$A$2047,A1242)&gt;1,COUNTIF($A$2:A1242,A1242)=1),1,0)</f>
        <v>0</v>
      </c>
      <c r="S1242" t="b">
        <f>IFERROR(VLOOKUP(D1242,Products!$A$2:$F$61,6,FALSE()),"")</f>
        <v>1</v>
      </c>
      <c r="T1242" t="str">
        <f>IF(COUNTIF(Customers!$A$2:$A$301,C1242)=0,"Missing","OK")</f>
        <v>OK</v>
      </c>
      <c r="U1242" t="str">
        <f t="shared" si="58"/>
        <v>Bengaluru</v>
      </c>
      <c r="V1242">
        <f t="shared" si="59"/>
        <v>0</v>
      </c>
    </row>
    <row r="1243" spans="1:22" ht="15" customHeight="1" x14ac:dyDescent="0.35">
      <c r="A1243" s="3" t="s">
        <v>1667</v>
      </c>
      <c r="B1243" s="4">
        <v>45481</v>
      </c>
      <c r="C1243" s="3" t="s">
        <v>244</v>
      </c>
      <c r="D1243" s="3" t="s">
        <v>24</v>
      </c>
      <c r="E1243" s="3" t="s">
        <v>224</v>
      </c>
      <c r="F1243" s="5">
        <v>7</v>
      </c>
      <c r="G1243" s="5">
        <v>3620</v>
      </c>
      <c r="H1243" s="5">
        <v>5.4</v>
      </c>
      <c r="I1243" s="5">
        <v>23971.64</v>
      </c>
      <c r="J1243" s="3" t="s">
        <v>26</v>
      </c>
      <c r="K1243" s="3" t="s">
        <v>72</v>
      </c>
      <c r="L1243" t="str">
        <f>IFERROR(VLOOKUP(D1243,Products!$A$2:$F$61,3,FALSE()),"")</f>
        <v>Apparel</v>
      </c>
      <c r="M1243" t="str">
        <f>IFERROR(VLOOKUP(E1243,Sales_Reps!$A$2:$C$31,3,FALSE()),"")</f>
        <v>East</v>
      </c>
      <c r="N1243">
        <f>IFERROR(VLOOKUP(D1243,Products!$A$2:$F$61,4,FALSE()),"")</f>
        <v>2509</v>
      </c>
      <c r="O1243" t="str">
        <f>IFERROR(VLOOKUP(C1243,Customers!$A$2:$F$301,5,FALSE()),"")</f>
        <v>Corporate</v>
      </c>
      <c r="P1243">
        <f>IFERROR(VLOOKUP(C1243,Customers!$A$2:$F$301,3,FALSE()),"")</f>
        <v>46</v>
      </c>
      <c r="Q1243">
        <f t="shared" si="57"/>
        <v>0.3069060773480663</v>
      </c>
      <c r="R1243">
        <f>IF(AND(COUNTIF($A$2:$A$2047,A1243)&gt;1,COUNTIF($A$2:A1243,A1243)=1),1,0)</f>
        <v>1</v>
      </c>
      <c r="S1243" t="b">
        <f>IFERROR(VLOOKUP(D1243,Products!$A$2:$F$61,6,FALSE()),"")</f>
        <v>1</v>
      </c>
      <c r="T1243" t="str">
        <f>IF(COUNTIF(Customers!$A$2:$A$301,C1243)=0,"Missing","OK")</f>
        <v>OK</v>
      </c>
      <c r="U1243" t="str">
        <f t="shared" si="58"/>
        <v>Hyderabad</v>
      </c>
      <c r="V1243">
        <f t="shared" si="59"/>
        <v>0</v>
      </c>
    </row>
    <row r="1244" spans="1:22" ht="15" customHeight="1" x14ac:dyDescent="0.35">
      <c r="A1244" s="3" t="s">
        <v>1668</v>
      </c>
      <c r="B1244" s="4">
        <v>45368</v>
      </c>
      <c r="C1244" s="3" t="s">
        <v>1567</v>
      </c>
      <c r="D1244" s="3" t="s">
        <v>77</v>
      </c>
      <c r="E1244" s="3" t="s">
        <v>42</v>
      </c>
      <c r="F1244" s="5">
        <v>6</v>
      </c>
      <c r="G1244" s="5">
        <v>2600</v>
      </c>
      <c r="H1244" s="5">
        <v>25.9</v>
      </c>
      <c r="I1244" s="5">
        <v>11559.6</v>
      </c>
      <c r="J1244" s="3" t="s">
        <v>26</v>
      </c>
      <c r="K1244" s="3" t="s">
        <v>33</v>
      </c>
      <c r="L1244" t="str">
        <f>IFERROR(VLOOKUP(D1244,Products!$A$2:$F$61,3,FALSE()),"")</f>
        <v>Electronics</v>
      </c>
      <c r="M1244" t="str">
        <f>IFERROR(VLOOKUP(E1244,Sales_Reps!$A$2:$C$31,3,FALSE()),"")</f>
        <v>North</v>
      </c>
      <c r="N1244">
        <f>IFERROR(VLOOKUP(D1244,Products!$A$2:$F$61,4,FALSE()),"")</f>
        <v>1052</v>
      </c>
      <c r="O1244" t="str">
        <f>IFERROR(VLOOKUP(C1244,Customers!$A$2:$F$301,5,FALSE()),"")</f>
        <v>Retail</v>
      </c>
      <c r="P1244">
        <f>IFERROR(VLOOKUP(C1244,Customers!$A$2:$F$301,3,FALSE()),"")</f>
        <v>35</v>
      </c>
      <c r="Q1244">
        <f t="shared" si="57"/>
        <v>0.5953846153846154</v>
      </c>
      <c r="R1244">
        <f>IF(AND(COUNTIF($A$2:$A$2047,A1244)&gt;1,COUNTIF($A$2:A1244,A1244)=1),1,0)</f>
        <v>0</v>
      </c>
      <c r="S1244" t="b">
        <f>IFERROR(VLOOKUP(D1244,Products!$A$2:$F$61,6,FALSE()),"")</f>
        <v>1</v>
      </c>
      <c r="T1244" t="str">
        <f>IF(COUNTIF(Customers!$A$2:$A$301,C1244)=0,"Missing","OK")</f>
        <v>OK</v>
      </c>
      <c r="U1244" t="str">
        <f t="shared" si="58"/>
        <v>Chennai</v>
      </c>
      <c r="V1244">
        <f t="shared" si="59"/>
        <v>0</v>
      </c>
    </row>
    <row r="1245" spans="1:22" ht="15" customHeight="1" x14ac:dyDescent="0.35">
      <c r="A1245" s="3" t="s">
        <v>1669</v>
      </c>
      <c r="B1245" s="4">
        <v>45298</v>
      </c>
      <c r="C1245" s="3" t="s">
        <v>424</v>
      </c>
      <c r="D1245" s="3" t="s">
        <v>218</v>
      </c>
      <c r="E1245" s="3" t="s">
        <v>191</v>
      </c>
      <c r="F1245" s="5">
        <v>7</v>
      </c>
      <c r="G1245" s="5">
        <v>2660</v>
      </c>
      <c r="H1245" s="5">
        <v>20.2</v>
      </c>
      <c r="I1245" s="5">
        <v>14858.76</v>
      </c>
      <c r="J1245" s="3" t="s">
        <v>26</v>
      </c>
      <c r="K1245" s="3" t="s">
        <v>27</v>
      </c>
      <c r="L1245" t="str">
        <f>IFERROR(VLOOKUP(D1245,Products!$A$2:$F$61,3,FALSE()),"")</f>
        <v>Electronics</v>
      </c>
      <c r="M1245" t="str">
        <f>IFERROR(VLOOKUP(E1245,Sales_Reps!$A$2:$C$31,3,FALSE()),"")</f>
        <v>South</v>
      </c>
      <c r="N1245">
        <f>IFERROR(VLOOKUP(D1245,Products!$A$2:$F$61,4,FALSE()),"")</f>
        <v>1259</v>
      </c>
      <c r="O1245" t="str">
        <f>IFERROR(VLOOKUP(C1245,Customers!$A$2:$F$301,5,FALSE()),"")</f>
        <v>Retail</v>
      </c>
      <c r="P1245">
        <f>IFERROR(VLOOKUP(C1245,Customers!$A$2:$F$301,3,FALSE()),"")</f>
        <v>49</v>
      </c>
      <c r="Q1245">
        <f t="shared" si="57"/>
        <v>0.52669172932330832</v>
      </c>
      <c r="R1245">
        <f>IF(AND(COUNTIF($A$2:$A$2047,A1245)&gt;1,COUNTIF($A$2:A1245,A1245)=1),1,0)</f>
        <v>0</v>
      </c>
      <c r="S1245" t="b">
        <f>IFERROR(VLOOKUP(D1245,Products!$A$2:$F$61,6,FALSE()),"")</f>
        <v>0</v>
      </c>
      <c r="T1245" t="str">
        <f>IF(COUNTIF(Customers!$A$2:$A$301,C1245)=0,"Missing","OK")</f>
        <v>OK</v>
      </c>
      <c r="U1245" t="str">
        <f t="shared" si="58"/>
        <v>Pune</v>
      </c>
      <c r="V1245">
        <f t="shared" si="59"/>
        <v>0</v>
      </c>
    </row>
    <row r="1246" spans="1:22" ht="15" customHeight="1" x14ac:dyDescent="0.35">
      <c r="A1246" s="3" t="s">
        <v>1670</v>
      </c>
      <c r="B1246" s="4">
        <v>45472</v>
      </c>
      <c r="C1246" s="3" t="s">
        <v>898</v>
      </c>
      <c r="D1246" s="3" t="s">
        <v>106</v>
      </c>
      <c r="E1246" s="3" t="s">
        <v>224</v>
      </c>
      <c r="F1246" s="5">
        <v>9</v>
      </c>
      <c r="G1246" s="5">
        <v>2480</v>
      </c>
      <c r="H1246" s="5">
        <v>14.7</v>
      </c>
      <c r="I1246" s="5">
        <v>19038.96</v>
      </c>
      <c r="J1246" s="3" t="s">
        <v>26</v>
      </c>
      <c r="K1246" s="3" t="s">
        <v>51</v>
      </c>
      <c r="L1246" t="str">
        <f>IFERROR(VLOOKUP(D1246,Products!$A$2:$F$61,3,FALSE()),"")</f>
        <v>Apparel</v>
      </c>
      <c r="M1246" t="str">
        <f>IFERROR(VLOOKUP(E1246,Sales_Reps!$A$2:$C$31,3,FALSE()),"")</f>
        <v>East</v>
      </c>
      <c r="N1246">
        <f>IFERROR(VLOOKUP(D1246,Products!$A$2:$F$61,4,FALSE()),"")</f>
        <v>1173</v>
      </c>
      <c r="O1246" t="str">
        <f>IFERROR(VLOOKUP(C1246,Customers!$A$2:$F$301,5,FALSE()),"")</f>
        <v>SMB</v>
      </c>
      <c r="P1246">
        <f>IFERROR(VLOOKUP(C1246,Customers!$A$2:$F$301,3,FALSE()),"")</f>
        <v>65</v>
      </c>
      <c r="Q1246">
        <f t="shared" si="57"/>
        <v>0.52701612903225803</v>
      </c>
      <c r="R1246">
        <f>IF(AND(COUNTIF($A$2:$A$2047,A1246)&gt;1,COUNTIF($A$2:A1246,A1246)=1),1,0)</f>
        <v>0</v>
      </c>
      <c r="S1246" t="b">
        <f>IFERROR(VLOOKUP(D1246,Products!$A$2:$F$61,6,FALSE()),"")</f>
        <v>1</v>
      </c>
      <c r="T1246" t="str">
        <f>IF(COUNTIF(Customers!$A$2:$A$301,C1246)=0,"Missing","OK")</f>
        <v>OK</v>
      </c>
      <c r="U1246" t="str">
        <f t="shared" si="58"/>
        <v>Mumbai</v>
      </c>
      <c r="V1246">
        <f t="shared" si="59"/>
        <v>0</v>
      </c>
    </row>
    <row r="1247" spans="1:22" ht="15" customHeight="1" x14ac:dyDescent="0.35">
      <c r="A1247" s="3" t="s">
        <v>1671</v>
      </c>
      <c r="B1247" s="4">
        <v>45568</v>
      </c>
      <c r="C1247" s="3" t="s">
        <v>296</v>
      </c>
      <c r="D1247" s="3" t="s">
        <v>218</v>
      </c>
      <c r="E1247" s="3" t="s">
        <v>127</v>
      </c>
      <c r="F1247" s="5">
        <v>4</v>
      </c>
      <c r="G1247" s="5">
        <v>2660</v>
      </c>
      <c r="H1247" s="5">
        <v>8.9</v>
      </c>
      <c r="I1247" s="5">
        <v>9693.0400000000009</v>
      </c>
      <c r="J1247" s="3" t="s">
        <v>26</v>
      </c>
      <c r="K1247" s="3" t="s">
        <v>38</v>
      </c>
      <c r="L1247" t="str">
        <f>IFERROR(VLOOKUP(D1247,Products!$A$2:$F$61,3,FALSE()),"")</f>
        <v>Electronics</v>
      </c>
      <c r="M1247" t="str">
        <f>IFERROR(VLOOKUP(E1247,Sales_Reps!$A$2:$C$31,3,FALSE()),"")</f>
        <v>South</v>
      </c>
      <c r="N1247">
        <f>IFERROR(VLOOKUP(D1247,Products!$A$2:$F$61,4,FALSE()),"")</f>
        <v>1259</v>
      </c>
      <c r="O1247" t="str">
        <f>IFERROR(VLOOKUP(C1247,Customers!$A$2:$F$301,5,FALSE()),"")</f>
        <v>SMB</v>
      </c>
      <c r="P1247">
        <f>IFERROR(VLOOKUP(C1247,Customers!$A$2:$F$301,3,FALSE()),"")</f>
        <v>38</v>
      </c>
      <c r="Q1247">
        <f t="shared" si="57"/>
        <v>0.52669172932330832</v>
      </c>
      <c r="R1247">
        <f>IF(AND(COUNTIF($A$2:$A$2047,A1247)&gt;1,COUNTIF($A$2:A1247,A1247)=1),1,0)</f>
        <v>0</v>
      </c>
      <c r="S1247" t="b">
        <f>IFERROR(VLOOKUP(D1247,Products!$A$2:$F$61,6,FALSE()),"")</f>
        <v>0</v>
      </c>
      <c r="T1247" t="str">
        <f>IF(COUNTIF(Customers!$A$2:$A$301,C1247)=0,"Missing","OK")</f>
        <v>OK</v>
      </c>
      <c r="U1247" t="str">
        <f t="shared" si="58"/>
        <v>Delhi</v>
      </c>
      <c r="V1247">
        <f t="shared" si="59"/>
        <v>0</v>
      </c>
    </row>
    <row r="1248" spans="1:22" ht="15" customHeight="1" x14ac:dyDescent="0.35">
      <c r="A1248" s="3" t="s">
        <v>1672</v>
      </c>
      <c r="B1248" s="4">
        <v>45540</v>
      </c>
      <c r="C1248" s="3" t="s">
        <v>839</v>
      </c>
      <c r="D1248" s="3" t="s">
        <v>303</v>
      </c>
      <c r="E1248" s="3" t="s">
        <v>71</v>
      </c>
      <c r="F1248" s="5">
        <v>1</v>
      </c>
      <c r="G1248" s="5">
        <v>5330</v>
      </c>
      <c r="H1248" s="5">
        <v>26.8</v>
      </c>
      <c r="I1248" s="5">
        <v>3901.56</v>
      </c>
      <c r="J1248" s="3" t="s">
        <v>26</v>
      </c>
      <c r="K1248" s="3" t="s">
        <v>56</v>
      </c>
      <c r="L1248" t="str">
        <f>IFERROR(VLOOKUP(D1248,Products!$A$2:$F$61,3,FALSE()),"")</f>
        <v>Electronics</v>
      </c>
      <c r="M1248" t="str">
        <f>IFERROR(VLOOKUP(E1248,Sales_Reps!$A$2:$C$31,3,FALSE()),"")</f>
        <v>South</v>
      </c>
      <c r="N1248">
        <f>IFERROR(VLOOKUP(D1248,Products!$A$2:$F$61,4,FALSE()),"")</f>
        <v>2405</v>
      </c>
      <c r="O1248" t="str">
        <f>IFERROR(VLOOKUP(C1248,Customers!$A$2:$F$301,5,FALSE()),"")</f>
        <v>Retail</v>
      </c>
      <c r="P1248">
        <f>IFERROR(VLOOKUP(C1248,Customers!$A$2:$F$301,3,FALSE()),"")</f>
        <v>35</v>
      </c>
      <c r="Q1248">
        <f t="shared" si="57"/>
        <v>0.54878048780487809</v>
      </c>
      <c r="R1248">
        <f>IF(AND(COUNTIF($A$2:$A$2047,A1248)&gt;1,COUNTIF($A$2:A1248,A1248)=1),1,0)</f>
        <v>0</v>
      </c>
      <c r="S1248" t="b">
        <f>IFERROR(VLOOKUP(D1248,Products!$A$2:$F$61,6,FALSE()),"")</f>
        <v>1</v>
      </c>
      <c r="T1248" t="str">
        <f>IF(COUNTIF(Customers!$A$2:$A$301,C1248)=0,"Missing","OK")</f>
        <v>OK</v>
      </c>
      <c r="U1248" t="str">
        <f t="shared" si="58"/>
        <v>Bengaluru</v>
      </c>
      <c r="V1248">
        <f t="shared" si="59"/>
        <v>0</v>
      </c>
    </row>
    <row r="1249" spans="1:22" ht="15" customHeight="1" x14ac:dyDescent="0.35">
      <c r="A1249" s="3" t="s">
        <v>1673</v>
      </c>
      <c r="B1249" s="4">
        <v>45544</v>
      </c>
      <c r="C1249" s="3" t="s">
        <v>1562</v>
      </c>
      <c r="D1249" s="3" t="s">
        <v>100</v>
      </c>
      <c r="E1249" s="3" t="s">
        <v>282</v>
      </c>
      <c r="F1249" s="5">
        <v>6</v>
      </c>
      <c r="G1249" s="5">
        <v>3450</v>
      </c>
      <c r="H1249" s="5">
        <v>19.2</v>
      </c>
      <c r="I1249" s="5">
        <v>16725.599999999999</v>
      </c>
      <c r="J1249" s="3" t="s">
        <v>32</v>
      </c>
      <c r="K1249" s="3" t="s">
        <v>56</v>
      </c>
      <c r="L1249" t="str">
        <f>IFERROR(VLOOKUP(D1249,Products!$A$2:$F$61,3,FALSE()),"")</f>
        <v>Sports</v>
      </c>
      <c r="M1249" t="str">
        <f>IFERROR(VLOOKUP(E1249,Sales_Reps!$A$2:$C$31,3,FALSE()),"")</f>
        <v>West</v>
      </c>
      <c r="N1249">
        <f>IFERROR(VLOOKUP(D1249,Products!$A$2:$F$61,4,FALSE()),"")</f>
        <v>2467</v>
      </c>
      <c r="O1249" t="str">
        <f>IFERROR(VLOOKUP(C1249,Customers!$A$2:$F$301,5,FALSE()),"")</f>
        <v>Retail</v>
      </c>
      <c r="P1249">
        <f>IFERROR(VLOOKUP(C1249,Customers!$A$2:$F$301,3,FALSE()),"")</f>
        <v>53</v>
      </c>
      <c r="Q1249">
        <f t="shared" si="57"/>
        <v>0.28492753623188405</v>
      </c>
      <c r="R1249">
        <f>IF(AND(COUNTIF($A$2:$A$2047,A1249)&gt;1,COUNTIF($A$2:A1249,A1249)=1),1,0)</f>
        <v>0</v>
      </c>
      <c r="S1249" t="b">
        <f>IFERROR(VLOOKUP(D1249,Products!$A$2:$F$61,6,FALSE()),"")</f>
        <v>1</v>
      </c>
      <c r="T1249" t="str">
        <f>IF(COUNTIF(Customers!$A$2:$A$301,C1249)=0,"Missing","OK")</f>
        <v>OK</v>
      </c>
      <c r="U1249" t="str">
        <f t="shared" si="58"/>
        <v>Bengaluru</v>
      </c>
      <c r="V1249">
        <f t="shared" si="59"/>
        <v>0</v>
      </c>
    </row>
    <row r="1250" spans="1:22" ht="15" customHeight="1" x14ac:dyDescent="0.35">
      <c r="A1250" s="3" t="s">
        <v>1674</v>
      </c>
      <c r="B1250" s="4">
        <v>45334</v>
      </c>
      <c r="C1250" s="3" t="s">
        <v>108</v>
      </c>
      <c r="D1250" s="3" t="s">
        <v>86</v>
      </c>
      <c r="E1250" s="3" t="s">
        <v>50</v>
      </c>
      <c r="F1250" s="5">
        <v>10</v>
      </c>
      <c r="G1250" s="5">
        <v>190</v>
      </c>
      <c r="H1250" s="5">
        <v>18.100000000000001</v>
      </c>
      <c r="I1250" s="5">
        <v>1556.1</v>
      </c>
      <c r="J1250" s="3" t="s">
        <v>26</v>
      </c>
      <c r="K1250" s="3" t="s">
        <v>51</v>
      </c>
      <c r="L1250" t="str">
        <f>IFERROR(VLOOKUP(D1250,Products!$A$2:$F$61,3,FALSE()),"")</f>
        <v>Sports</v>
      </c>
      <c r="M1250" t="str">
        <f>IFERROR(VLOOKUP(E1250,Sales_Reps!$A$2:$C$31,3,FALSE()),"")</f>
        <v>West</v>
      </c>
      <c r="N1250">
        <f>IFERROR(VLOOKUP(D1250,Products!$A$2:$F$61,4,FALSE()),"")</f>
        <v>147</v>
      </c>
      <c r="O1250" t="str">
        <f>IFERROR(VLOOKUP(C1250,Customers!$A$2:$F$301,5,FALSE()),"")</f>
        <v>Retail</v>
      </c>
      <c r="P1250">
        <f>IFERROR(VLOOKUP(C1250,Customers!$A$2:$F$301,3,FALSE()),"")</f>
        <v>34</v>
      </c>
      <c r="Q1250">
        <f t="shared" si="57"/>
        <v>0.22631578947368422</v>
      </c>
      <c r="R1250">
        <f>IF(AND(COUNTIF($A$2:$A$2047,A1250)&gt;1,COUNTIF($A$2:A1250,A1250)=1),1,0)</f>
        <v>0</v>
      </c>
      <c r="S1250" t="b">
        <f>IFERROR(VLOOKUP(D1250,Products!$A$2:$F$61,6,FALSE()),"")</f>
        <v>1</v>
      </c>
      <c r="T1250" t="str">
        <f>IF(COUNTIF(Customers!$A$2:$A$301,C1250)=0,"Missing","OK")</f>
        <v>OK</v>
      </c>
      <c r="U1250" t="str">
        <f t="shared" si="58"/>
        <v>Mumbai</v>
      </c>
      <c r="V1250">
        <f t="shared" si="59"/>
        <v>0</v>
      </c>
    </row>
    <row r="1251" spans="1:22" ht="15" customHeight="1" x14ac:dyDescent="0.35">
      <c r="A1251" s="3" t="s">
        <v>1675</v>
      </c>
      <c r="B1251" s="4">
        <v>45584</v>
      </c>
      <c r="C1251" s="3" t="s">
        <v>560</v>
      </c>
      <c r="D1251" s="3" t="s">
        <v>347</v>
      </c>
      <c r="E1251" s="3" t="s">
        <v>143</v>
      </c>
      <c r="F1251" s="5">
        <v>9</v>
      </c>
      <c r="G1251" s="5">
        <v>3970</v>
      </c>
      <c r="H1251" s="5">
        <v>18.2</v>
      </c>
      <c r="I1251" s="5">
        <v>29227.14</v>
      </c>
      <c r="J1251" s="3" t="s">
        <v>32</v>
      </c>
      <c r="K1251" s="3" t="s">
        <v>33</v>
      </c>
      <c r="L1251" t="str">
        <f>IFERROR(VLOOKUP(D1251,Products!$A$2:$F$61,3,FALSE()),"")</f>
        <v>Electronics</v>
      </c>
      <c r="M1251" t="str">
        <f>IFERROR(VLOOKUP(E1251,Sales_Reps!$A$2:$C$31,3,FALSE()),"")</f>
        <v>South</v>
      </c>
      <c r="N1251">
        <f>IFERROR(VLOOKUP(D1251,Products!$A$2:$F$61,4,FALSE()),"")</f>
        <v>2865</v>
      </c>
      <c r="O1251" t="str">
        <f>IFERROR(VLOOKUP(C1251,Customers!$A$2:$F$301,5,FALSE()),"")</f>
        <v>Corporate</v>
      </c>
      <c r="P1251">
        <f>IFERROR(VLOOKUP(C1251,Customers!$A$2:$F$301,3,FALSE()),"")</f>
        <v>22</v>
      </c>
      <c r="Q1251">
        <f t="shared" si="57"/>
        <v>0.27833753148614609</v>
      </c>
      <c r="R1251">
        <f>IF(AND(COUNTIF($A$2:$A$2047,A1251)&gt;1,COUNTIF($A$2:A1251,A1251)=1),1,0)</f>
        <v>0</v>
      </c>
      <c r="S1251" t="b">
        <f>IFERROR(VLOOKUP(D1251,Products!$A$2:$F$61,6,FALSE()),"")</f>
        <v>1</v>
      </c>
      <c r="T1251" t="str">
        <f>IF(COUNTIF(Customers!$A$2:$A$301,C1251)=0,"Missing","OK")</f>
        <v>OK</v>
      </c>
      <c r="U1251" t="str">
        <f t="shared" si="58"/>
        <v>Chennai</v>
      </c>
      <c r="V1251">
        <f t="shared" si="59"/>
        <v>0</v>
      </c>
    </row>
    <row r="1252" spans="1:22" ht="15" customHeight="1" x14ac:dyDescent="0.35">
      <c r="A1252" s="3" t="s">
        <v>1676</v>
      </c>
      <c r="B1252" s="4">
        <v>45404</v>
      </c>
      <c r="C1252" s="3" t="s">
        <v>69</v>
      </c>
      <c r="D1252" s="3" t="s">
        <v>209</v>
      </c>
      <c r="E1252" s="3" t="s">
        <v>236</v>
      </c>
      <c r="F1252" s="5">
        <v>4</v>
      </c>
      <c r="G1252" s="5">
        <v>4610</v>
      </c>
      <c r="H1252" s="5">
        <v>15.1</v>
      </c>
      <c r="I1252" s="5">
        <v>15655.56</v>
      </c>
      <c r="J1252" s="3" t="s">
        <v>79</v>
      </c>
      <c r="K1252" s="3" t="s">
        <v>72</v>
      </c>
      <c r="L1252" t="str">
        <f>IFERROR(VLOOKUP(D1252,Products!$A$2:$F$61,3,FALSE()),"")</f>
        <v>Home</v>
      </c>
      <c r="M1252" t="str">
        <f>IFERROR(VLOOKUP(E1252,Sales_Reps!$A$2:$C$31,3,FALSE()),"")</f>
        <v>North</v>
      </c>
      <c r="N1252">
        <f>IFERROR(VLOOKUP(D1252,Products!$A$2:$F$61,4,FALSE()),"")</f>
        <v>1850</v>
      </c>
      <c r="O1252" t="str">
        <f>IFERROR(VLOOKUP(C1252,Customers!$A$2:$F$301,5,FALSE()),"")</f>
        <v>Retail</v>
      </c>
      <c r="P1252">
        <f>IFERROR(VLOOKUP(C1252,Customers!$A$2:$F$301,3,FALSE()),"")</f>
        <v>60</v>
      </c>
      <c r="Q1252">
        <f t="shared" si="57"/>
        <v>0.59869848156182215</v>
      </c>
      <c r="R1252">
        <f>IF(AND(COUNTIF($A$2:$A$2047,A1252)&gt;1,COUNTIF($A$2:A1252,A1252)=1),1,0)</f>
        <v>0</v>
      </c>
      <c r="S1252" t="b">
        <f>IFERROR(VLOOKUP(D1252,Products!$A$2:$F$61,6,FALSE()),"")</f>
        <v>1</v>
      </c>
      <c r="T1252" t="str">
        <f>IF(COUNTIF(Customers!$A$2:$A$301,C1252)=0,"Missing","OK")</f>
        <v>OK</v>
      </c>
      <c r="U1252" t="str">
        <f t="shared" si="58"/>
        <v>Hyderabad</v>
      </c>
      <c r="V1252">
        <f t="shared" si="59"/>
        <v>0</v>
      </c>
    </row>
    <row r="1253" spans="1:22" ht="15" customHeight="1" x14ac:dyDescent="0.35">
      <c r="A1253" s="3" t="s">
        <v>1677</v>
      </c>
      <c r="B1253" s="4">
        <v>45476</v>
      </c>
      <c r="C1253" s="3" t="s">
        <v>331</v>
      </c>
      <c r="D1253" s="3" t="s">
        <v>231</v>
      </c>
      <c r="E1253" s="3" t="s">
        <v>50</v>
      </c>
      <c r="F1253" s="5">
        <v>2</v>
      </c>
      <c r="G1253" s="5">
        <v>620</v>
      </c>
      <c r="H1253" s="5">
        <v>3.3</v>
      </c>
      <c r="I1253" s="5">
        <v>1199.08</v>
      </c>
      <c r="J1253" s="3" t="s">
        <v>26</v>
      </c>
      <c r="K1253" s="3" t="s">
        <v>51</v>
      </c>
      <c r="L1253" t="str">
        <f>IFERROR(VLOOKUP(D1253,Products!$A$2:$F$61,3,FALSE()),"")</f>
        <v>Apparel</v>
      </c>
      <c r="M1253" t="str">
        <f>IFERROR(VLOOKUP(E1253,Sales_Reps!$A$2:$C$31,3,FALSE()),"")</f>
        <v>West</v>
      </c>
      <c r="N1253">
        <f>IFERROR(VLOOKUP(D1253,Products!$A$2:$F$61,4,FALSE()),"")</f>
        <v>396</v>
      </c>
      <c r="O1253" t="str">
        <f>IFERROR(VLOOKUP(C1253,Customers!$A$2:$F$301,5,FALSE()),"")</f>
        <v>Retail</v>
      </c>
      <c r="P1253">
        <f>IFERROR(VLOOKUP(C1253,Customers!$A$2:$F$301,3,FALSE()),"")</f>
        <v>50</v>
      </c>
      <c r="Q1253">
        <f t="shared" si="57"/>
        <v>0.36129032258064514</v>
      </c>
      <c r="R1253">
        <f>IF(AND(COUNTIF($A$2:$A$2047,A1253)&gt;1,COUNTIF($A$2:A1253,A1253)=1),1,0)</f>
        <v>0</v>
      </c>
      <c r="S1253" t="b">
        <f>IFERROR(VLOOKUP(D1253,Products!$A$2:$F$61,6,FALSE()),"")</f>
        <v>1</v>
      </c>
      <c r="T1253" t="str">
        <f>IF(COUNTIF(Customers!$A$2:$A$301,C1253)=0,"Missing","OK")</f>
        <v>OK</v>
      </c>
      <c r="U1253" t="str">
        <f t="shared" si="58"/>
        <v>Mumbai</v>
      </c>
      <c r="V1253">
        <f t="shared" si="59"/>
        <v>0</v>
      </c>
    </row>
    <row r="1254" spans="1:22" ht="15" customHeight="1" x14ac:dyDescent="0.35">
      <c r="A1254" s="3" t="s">
        <v>1678</v>
      </c>
      <c r="B1254" s="4">
        <v>45481</v>
      </c>
      <c r="C1254" s="3" t="s">
        <v>696</v>
      </c>
      <c r="D1254" s="3" t="s">
        <v>198</v>
      </c>
      <c r="E1254" s="3" t="s">
        <v>50</v>
      </c>
      <c r="F1254" s="5">
        <v>7</v>
      </c>
      <c r="G1254" s="5">
        <v>1540</v>
      </c>
      <c r="H1254" s="5">
        <v>27.5</v>
      </c>
      <c r="I1254" s="5">
        <v>7815.5</v>
      </c>
      <c r="J1254" s="3" t="s">
        <v>26</v>
      </c>
      <c r="K1254" s="3" t="s">
        <v>56</v>
      </c>
      <c r="L1254" t="str">
        <f>IFERROR(VLOOKUP(D1254,Products!$A$2:$F$61,3,FALSE()),"")</f>
        <v>Beauty</v>
      </c>
      <c r="M1254" t="str">
        <f>IFERROR(VLOOKUP(E1254,Sales_Reps!$A$2:$C$31,3,FALSE()),"")</f>
        <v>West</v>
      </c>
      <c r="N1254">
        <f>IFERROR(VLOOKUP(D1254,Products!$A$2:$F$61,4,FALSE()),"")</f>
        <v>647</v>
      </c>
      <c r="O1254" t="str">
        <f>IFERROR(VLOOKUP(C1254,Customers!$A$2:$F$301,5,FALSE()),"")</f>
        <v>Corporate</v>
      </c>
      <c r="P1254">
        <f>IFERROR(VLOOKUP(C1254,Customers!$A$2:$F$301,3,FALSE()),"")</f>
        <v>43</v>
      </c>
      <c r="Q1254">
        <f t="shared" si="57"/>
        <v>0.57987012987012987</v>
      </c>
      <c r="R1254">
        <f>IF(AND(COUNTIF($A$2:$A$2047,A1254)&gt;1,COUNTIF($A$2:A1254,A1254)=1),1,0)</f>
        <v>0</v>
      </c>
      <c r="S1254" t="b">
        <f>IFERROR(VLOOKUP(D1254,Products!$A$2:$F$61,6,FALSE()),"")</f>
        <v>0</v>
      </c>
      <c r="T1254" t="str">
        <f>IF(COUNTIF(Customers!$A$2:$A$301,C1254)=0,"Missing","OK")</f>
        <v>OK</v>
      </c>
      <c r="U1254" t="str">
        <f t="shared" si="58"/>
        <v>Bengaluru</v>
      </c>
      <c r="V1254">
        <f t="shared" si="59"/>
        <v>0</v>
      </c>
    </row>
    <row r="1255" spans="1:22" ht="15" customHeight="1" x14ac:dyDescent="0.35">
      <c r="A1255" s="3" t="s">
        <v>1679</v>
      </c>
      <c r="B1255" s="4">
        <v>45480</v>
      </c>
      <c r="C1255" s="3" t="s">
        <v>734</v>
      </c>
      <c r="D1255" s="3" t="s">
        <v>36</v>
      </c>
      <c r="E1255" s="3" t="s">
        <v>177</v>
      </c>
      <c r="F1255" s="5">
        <v>10</v>
      </c>
      <c r="G1255" s="5">
        <v>470</v>
      </c>
      <c r="H1255" s="5">
        <v>3.9</v>
      </c>
      <c r="I1255" s="5">
        <v>4516.7</v>
      </c>
      <c r="J1255" s="3" t="s">
        <v>26</v>
      </c>
      <c r="K1255" s="3" t="s">
        <v>33</v>
      </c>
      <c r="L1255" t="str">
        <f>IFERROR(VLOOKUP(D1255,Products!$A$2:$F$61,3,FALSE()),"")</f>
        <v>Sports</v>
      </c>
      <c r="M1255" t="str">
        <f>IFERROR(VLOOKUP(E1255,Sales_Reps!$A$2:$C$31,3,FALSE()),"")</f>
        <v>East</v>
      </c>
      <c r="N1255">
        <f>IFERROR(VLOOKUP(D1255,Products!$A$2:$F$61,4,FALSE()),"")</f>
        <v>302</v>
      </c>
      <c r="O1255" t="str">
        <f>IFERROR(VLOOKUP(C1255,Customers!$A$2:$F$301,5,FALSE()),"")</f>
        <v>Retail</v>
      </c>
      <c r="P1255">
        <f>IFERROR(VLOOKUP(C1255,Customers!$A$2:$F$301,3,FALSE()),"")</f>
        <v>22</v>
      </c>
      <c r="Q1255">
        <f t="shared" si="57"/>
        <v>0.35744680851063831</v>
      </c>
      <c r="R1255">
        <f>IF(AND(COUNTIF($A$2:$A$2047,A1255)&gt;1,COUNTIF($A$2:A1255,A1255)=1),1,0)</f>
        <v>0</v>
      </c>
      <c r="S1255" t="b">
        <f>IFERROR(VLOOKUP(D1255,Products!$A$2:$F$61,6,FALSE()),"")</f>
        <v>0</v>
      </c>
      <c r="T1255" t="str">
        <f>IF(COUNTIF(Customers!$A$2:$A$301,C1255)=0,"Missing","OK")</f>
        <v>OK</v>
      </c>
      <c r="U1255" t="str">
        <f t="shared" si="58"/>
        <v>Chennai</v>
      </c>
      <c r="V1255">
        <f t="shared" si="59"/>
        <v>0</v>
      </c>
    </row>
    <row r="1256" spans="1:22" ht="15" customHeight="1" x14ac:dyDescent="0.35">
      <c r="A1256" s="3" t="s">
        <v>1680</v>
      </c>
      <c r="B1256" s="4">
        <v>45603</v>
      </c>
      <c r="C1256" s="3" t="s">
        <v>907</v>
      </c>
      <c r="D1256" s="3" t="s">
        <v>123</v>
      </c>
      <c r="E1256" s="3" t="s">
        <v>236</v>
      </c>
      <c r="F1256" s="5">
        <v>5</v>
      </c>
      <c r="G1256" s="5">
        <v>4880</v>
      </c>
      <c r="H1256" s="5">
        <v>27.4</v>
      </c>
      <c r="I1256" s="5">
        <v>17714.400000000001</v>
      </c>
      <c r="J1256" s="3" t="s">
        <v>26</v>
      </c>
      <c r="K1256" s="3" t="s">
        <v>38</v>
      </c>
      <c r="L1256" t="str">
        <f>IFERROR(VLOOKUP(D1256,Products!$A$2:$F$61,3,FALSE()),"")</f>
        <v>Beauty</v>
      </c>
      <c r="M1256" t="str">
        <f>IFERROR(VLOOKUP(E1256,Sales_Reps!$A$2:$C$31,3,FALSE()),"")</f>
        <v>North</v>
      </c>
      <c r="N1256">
        <f>IFERROR(VLOOKUP(D1256,Products!$A$2:$F$61,4,FALSE()),"")</f>
        <v>2768</v>
      </c>
      <c r="O1256" t="str">
        <f>IFERROR(VLOOKUP(C1256,Customers!$A$2:$F$301,5,FALSE()),"")</f>
        <v>Retail</v>
      </c>
      <c r="P1256">
        <f>IFERROR(VLOOKUP(C1256,Customers!$A$2:$F$301,3,FALSE()),"")</f>
        <v>47</v>
      </c>
      <c r="Q1256">
        <f t="shared" si="57"/>
        <v>0.43278688524590164</v>
      </c>
      <c r="R1256">
        <f>IF(AND(COUNTIF($A$2:$A$2047,A1256)&gt;1,COUNTIF($A$2:A1256,A1256)=1),1,0)</f>
        <v>0</v>
      </c>
      <c r="S1256" t="b">
        <f>IFERROR(VLOOKUP(D1256,Products!$A$2:$F$61,6,FALSE()),"")</f>
        <v>1</v>
      </c>
      <c r="T1256" t="str">
        <f>IF(COUNTIF(Customers!$A$2:$A$301,C1256)=0,"Missing","OK")</f>
        <v>OK</v>
      </c>
      <c r="U1256" t="str">
        <f t="shared" si="58"/>
        <v>Delhi</v>
      </c>
      <c r="V1256">
        <f t="shared" si="59"/>
        <v>0</v>
      </c>
    </row>
    <row r="1257" spans="1:22" ht="15" customHeight="1" x14ac:dyDescent="0.35">
      <c r="A1257" s="3" t="s">
        <v>1681</v>
      </c>
      <c r="B1257" s="4">
        <v>45548</v>
      </c>
      <c r="C1257" s="3" t="s">
        <v>1011</v>
      </c>
      <c r="D1257" s="3" t="s">
        <v>299</v>
      </c>
      <c r="E1257" s="3" t="s">
        <v>168</v>
      </c>
      <c r="F1257" s="5">
        <v>1</v>
      </c>
      <c r="G1257" s="5">
        <v>5410</v>
      </c>
      <c r="H1257" s="5">
        <v>8.3000000000000007</v>
      </c>
      <c r="I1257" s="5">
        <v>4960.97</v>
      </c>
      <c r="J1257" s="3" t="s">
        <v>26</v>
      </c>
      <c r="K1257" s="3" t="s">
        <v>51</v>
      </c>
      <c r="L1257" t="str">
        <f>IFERROR(VLOOKUP(D1257,Products!$A$2:$F$61,3,FALSE()),"")</f>
        <v>Sports</v>
      </c>
      <c r="M1257" t="str">
        <f>IFERROR(VLOOKUP(E1257,Sales_Reps!$A$2:$C$31,3,FALSE()),"")</f>
        <v>West</v>
      </c>
      <c r="N1257">
        <f>IFERROR(VLOOKUP(D1257,Products!$A$2:$F$61,4,FALSE()),"")</f>
        <v>2265</v>
      </c>
      <c r="O1257" t="str">
        <f>IFERROR(VLOOKUP(C1257,Customers!$A$2:$F$301,5,FALSE()),"")</f>
        <v>SMB</v>
      </c>
      <c r="P1257">
        <f>IFERROR(VLOOKUP(C1257,Customers!$A$2:$F$301,3,FALSE()),"")</f>
        <v>53</v>
      </c>
      <c r="Q1257">
        <f t="shared" si="57"/>
        <v>0.58133086876155271</v>
      </c>
      <c r="R1257">
        <f>IF(AND(COUNTIF($A$2:$A$2047,A1257)&gt;1,COUNTIF($A$2:A1257,A1257)=1),1,0)</f>
        <v>0</v>
      </c>
      <c r="S1257" t="b">
        <f>IFERROR(VLOOKUP(D1257,Products!$A$2:$F$61,6,FALSE()),"")</f>
        <v>1</v>
      </c>
      <c r="T1257" t="str">
        <f>IF(COUNTIF(Customers!$A$2:$A$301,C1257)=0,"Missing","OK")</f>
        <v>OK</v>
      </c>
      <c r="U1257" t="str">
        <f t="shared" si="58"/>
        <v>Mumbai</v>
      </c>
      <c r="V1257">
        <f t="shared" si="59"/>
        <v>0</v>
      </c>
    </row>
    <row r="1258" spans="1:22" ht="15" customHeight="1" x14ac:dyDescent="0.35">
      <c r="A1258" s="3" t="s">
        <v>1682</v>
      </c>
      <c r="B1258" s="4">
        <v>45482</v>
      </c>
      <c r="C1258" s="3" t="s">
        <v>211</v>
      </c>
      <c r="D1258" s="3" t="s">
        <v>187</v>
      </c>
      <c r="E1258" s="3" t="s">
        <v>224</v>
      </c>
      <c r="F1258" s="5">
        <v>8</v>
      </c>
      <c r="G1258" s="5">
        <v>3870</v>
      </c>
      <c r="H1258" s="5">
        <v>9.3000000000000007</v>
      </c>
      <c r="I1258" s="5">
        <v>28080.720000000001</v>
      </c>
      <c r="J1258" s="3" t="s">
        <v>32</v>
      </c>
      <c r="K1258" s="3" t="s">
        <v>33</v>
      </c>
      <c r="L1258" t="str">
        <f>IFERROR(VLOOKUP(D1258,Products!$A$2:$F$61,3,FALSE()),"")</f>
        <v>Electronics</v>
      </c>
      <c r="M1258" t="str">
        <f>IFERROR(VLOOKUP(E1258,Sales_Reps!$A$2:$C$31,3,FALSE()),"")</f>
        <v>East</v>
      </c>
      <c r="N1258">
        <f>IFERROR(VLOOKUP(D1258,Products!$A$2:$F$61,4,FALSE()),"")</f>
        <v>1559</v>
      </c>
      <c r="O1258" t="str">
        <f>IFERROR(VLOOKUP(C1258,Customers!$A$2:$F$301,5,FALSE()),"")</f>
        <v>SMB</v>
      </c>
      <c r="P1258">
        <f>IFERROR(VLOOKUP(C1258,Customers!$A$2:$F$301,3,FALSE()),"")</f>
        <v>55</v>
      </c>
      <c r="Q1258">
        <f t="shared" si="57"/>
        <v>0.59715762273901807</v>
      </c>
      <c r="R1258">
        <f>IF(AND(COUNTIF($A$2:$A$2047,A1258)&gt;1,COUNTIF($A$2:A1258,A1258)=1),1,0)</f>
        <v>0</v>
      </c>
      <c r="S1258" t="b">
        <f>IFERROR(VLOOKUP(D1258,Products!$A$2:$F$61,6,FALSE()),"")</f>
        <v>1</v>
      </c>
      <c r="T1258" t="str">
        <f>IF(COUNTIF(Customers!$A$2:$A$301,C1258)=0,"Missing","OK")</f>
        <v>OK</v>
      </c>
      <c r="U1258" t="str">
        <f t="shared" si="58"/>
        <v>Chennai</v>
      </c>
      <c r="V1258">
        <f t="shared" si="59"/>
        <v>0</v>
      </c>
    </row>
    <row r="1259" spans="1:22" ht="15" customHeight="1" x14ac:dyDescent="0.35">
      <c r="A1259" s="3" t="s">
        <v>1683</v>
      </c>
      <c r="B1259" s="4">
        <v>45457</v>
      </c>
      <c r="C1259" s="3" t="s">
        <v>664</v>
      </c>
      <c r="D1259" s="3" t="s">
        <v>74</v>
      </c>
      <c r="E1259" s="3" t="s">
        <v>177</v>
      </c>
      <c r="F1259" s="5">
        <v>10</v>
      </c>
      <c r="G1259" s="5">
        <v>2640</v>
      </c>
      <c r="H1259" s="5">
        <v>19.899999999999999</v>
      </c>
      <c r="I1259" s="5">
        <v>21146.400000000001</v>
      </c>
      <c r="J1259" s="3" t="s">
        <v>26</v>
      </c>
      <c r="K1259" s="3" t="s">
        <v>38</v>
      </c>
      <c r="L1259" t="str">
        <f>IFERROR(VLOOKUP(D1259,Products!$A$2:$F$61,3,FALSE()),"")</f>
        <v>Electronics</v>
      </c>
      <c r="M1259" t="str">
        <f>IFERROR(VLOOKUP(E1259,Sales_Reps!$A$2:$C$31,3,FALSE()),"")</f>
        <v>East</v>
      </c>
      <c r="N1259">
        <f>IFERROR(VLOOKUP(D1259,Products!$A$2:$F$61,4,FALSE()),"")</f>
        <v>1149</v>
      </c>
      <c r="O1259" t="str">
        <f>IFERROR(VLOOKUP(C1259,Customers!$A$2:$F$301,5,FALSE()),"")</f>
        <v>SMB</v>
      </c>
      <c r="P1259">
        <f>IFERROR(VLOOKUP(C1259,Customers!$A$2:$F$301,3,FALSE()),"")</f>
        <v>26</v>
      </c>
      <c r="Q1259">
        <f t="shared" si="57"/>
        <v>0.56477272727272732</v>
      </c>
      <c r="R1259">
        <f>IF(AND(COUNTIF($A$2:$A$2047,A1259)&gt;1,COUNTIF($A$2:A1259,A1259)=1),1,0)</f>
        <v>0</v>
      </c>
      <c r="S1259" t="b">
        <f>IFERROR(VLOOKUP(D1259,Products!$A$2:$F$61,6,FALSE()),"")</f>
        <v>1</v>
      </c>
      <c r="T1259" t="str">
        <f>IF(COUNTIF(Customers!$A$2:$A$301,C1259)=0,"Missing","OK")</f>
        <v>OK</v>
      </c>
      <c r="U1259" t="str">
        <f t="shared" si="58"/>
        <v>Delhi</v>
      </c>
      <c r="V1259">
        <f t="shared" si="59"/>
        <v>0</v>
      </c>
    </row>
    <row r="1260" spans="1:22" ht="15" customHeight="1" x14ac:dyDescent="0.35">
      <c r="A1260" s="3" t="s">
        <v>1684</v>
      </c>
      <c r="B1260" s="4">
        <v>45508</v>
      </c>
      <c r="C1260" s="3" t="s">
        <v>560</v>
      </c>
      <c r="D1260" s="3" t="s">
        <v>382</v>
      </c>
      <c r="E1260" s="3" t="s">
        <v>25</v>
      </c>
      <c r="F1260" s="5">
        <v>1</v>
      </c>
      <c r="G1260" s="5">
        <v>5080</v>
      </c>
      <c r="H1260" s="5">
        <v>8.6</v>
      </c>
      <c r="I1260" s="5">
        <v>4643.12</v>
      </c>
      <c r="J1260" s="3" t="s">
        <v>26</v>
      </c>
      <c r="K1260" s="3" t="s">
        <v>33</v>
      </c>
      <c r="L1260" t="str">
        <f>IFERROR(VLOOKUP(D1260,Products!$A$2:$F$61,3,FALSE()),"")</f>
        <v>Home</v>
      </c>
      <c r="M1260" t="str">
        <f>IFERROR(VLOOKUP(E1260,Sales_Reps!$A$2:$C$31,3,FALSE()),"")</f>
        <v>North</v>
      </c>
      <c r="N1260">
        <f>IFERROR(VLOOKUP(D1260,Products!$A$2:$F$61,4,FALSE()),"")</f>
        <v>2459</v>
      </c>
      <c r="O1260" t="str">
        <f>IFERROR(VLOOKUP(C1260,Customers!$A$2:$F$301,5,FALSE()),"")</f>
        <v>Corporate</v>
      </c>
      <c r="P1260">
        <f>IFERROR(VLOOKUP(C1260,Customers!$A$2:$F$301,3,FALSE()),"")</f>
        <v>22</v>
      </c>
      <c r="Q1260">
        <f t="shared" si="57"/>
        <v>0.51594488188976373</v>
      </c>
      <c r="R1260">
        <f>IF(AND(COUNTIF($A$2:$A$2047,A1260)&gt;1,COUNTIF($A$2:A1260,A1260)=1),1,0)</f>
        <v>0</v>
      </c>
      <c r="S1260" t="b">
        <f>IFERROR(VLOOKUP(D1260,Products!$A$2:$F$61,6,FALSE()),"")</f>
        <v>1</v>
      </c>
      <c r="T1260" t="str">
        <f>IF(COUNTIF(Customers!$A$2:$A$301,C1260)=0,"Missing","OK")</f>
        <v>OK</v>
      </c>
      <c r="U1260" t="str">
        <f t="shared" si="58"/>
        <v>Chennai</v>
      </c>
      <c r="V1260">
        <f t="shared" si="59"/>
        <v>0</v>
      </c>
    </row>
    <row r="1261" spans="1:22" ht="15" customHeight="1" x14ac:dyDescent="0.35">
      <c r="A1261" s="3" t="s">
        <v>1685</v>
      </c>
      <c r="B1261" s="4">
        <v>45399</v>
      </c>
      <c r="C1261" s="3" t="s">
        <v>639</v>
      </c>
      <c r="D1261" s="3" t="s">
        <v>82</v>
      </c>
      <c r="E1261" s="3" t="s">
        <v>242</v>
      </c>
      <c r="F1261" s="5">
        <v>9</v>
      </c>
      <c r="G1261" s="5">
        <v>3250</v>
      </c>
      <c r="H1261" s="5">
        <v>18.2</v>
      </c>
      <c r="I1261" s="5">
        <v>23926.5</v>
      </c>
      <c r="J1261" s="3" t="s">
        <v>32</v>
      </c>
      <c r="K1261" s="3" t="s">
        <v>33</v>
      </c>
      <c r="L1261" t="str">
        <f>IFERROR(VLOOKUP(D1261,Products!$A$2:$F$61,3,FALSE()),"")</f>
        <v>Home</v>
      </c>
      <c r="M1261" t="str">
        <f>IFERROR(VLOOKUP(E1261,Sales_Reps!$A$2:$C$31,3,FALSE()),"")</f>
        <v>East</v>
      </c>
      <c r="N1261">
        <f>IFERROR(VLOOKUP(D1261,Products!$A$2:$F$61,4,FALSE()),"")</f>
        <v>1556</v>
      </c>
      <c r="O1261" t="str">
        <f>IFERROR(VLOOKUP(C1261,Customers!$A$2:$F$301,5,FALSE()),"")</f>
        <v>SMB</v>
      </c>
      <c r="P1261">
        <f>IFERROR(VLOOKUP(C1261,Customers!$A$2:$F$301,3,FALSE()),"")</f>
        <v>46</v>
      </c>
      <c r="Q1261">
        <f t="shared" si="57"/>
        <v>0.52123076923076928</v>
      </c>
      <c r="R1261">
        <f>IF(AND(COUNTIF($A$2:$A$2047,A1261)&gt;1,COUNTIF($A$2:A1261,A1261)=1),1,0)</f>
        <v>0</v>
      </c>
      <c r="S1261" t="b">
        <f>IFERROR(VLOOKUP(D1261,Products!$A$2:$F$61,6,FALSE()),"")</f>
        <v>1</v>
      </c>
      <c r="T1261" t="str">
        <f>IF(COUNTIF(Customers!$A$2:$A$301,C1261)=0,"Missing","OK")</f>
        <v>OK</v>
      </c>
      <c r="U1261" t="str">
        <f t="shared" si="58"/>
        <v>Chennai</v>
      </c>
      <c r="V1261">
        <f t="shared" si="59"/>
        <v>0</v>
      </c>
    </row>
    <row r="1262" spans="1:22" ht="15" customHeight="1" x14ac:dyDescent="0.35">
      <c r="A1262" s="3" t="s">
        <v>1686</v>
      </c>
      <c r="B1262" s="4">
        <v>45607</v>
      </c>
      <c r="C1262" s="3" t="s">
        <v>102</v>
      </c>
      <c r="D1262" s="3" t="s">
        <v>347</v>
      </c>
      <c r="E1262" s="3" t="s">
        <v>236</v>
      </c>
      <c r="F1262" s="5">
        <v>8</v>
      </c>
      <c r="G1262" s="5">
        <v>3970</v>
      </c>
      <c r="H1262" s="5">
        <v>22.4</v>
      </c>
      <c r="I1262" s="5">
        <v>24645.759999999998</v>
      </c>
      <c r="J1262" s="3" t="s">
        <v>26</v>
      </c>
      <c r="K1262" s="3" t="s">
        <v>33</v>
      </c>
      <c r="L1262" t="str">
        <f>IFERROR(VLOOKUP(D1262,Products!$A$2:$F$61,3,FALSE()),"")</f>
        <v>Electronics</v>
      </c>
      <c r="M1262" t="str">
        <f>IFERROR(VLOOKUP(E1262,Sales_Reps!$A$2:$C$31,3,FALSE()),"")</f>
        <v>North</v>
      </c>
      <c r="N1262">
        <f>IFERROR(VLOOKUP(D1262,Products!$A$2:$F$61,4,FALSE()),"")</f>
        <v>2865</v>
      </c>
      <c r="O1262" t="str">
        <f>IFERROR(VLOOKUP(C1262,Customers!$A$2:$F$301,5,FALSE()),"")</f>
        <v>Retail</v>
      </c>
      <c r="P1262">
        <f>IFERROR(VLOOKUP(C1262,Customers!$A$2:$F$301,3,FALSE()),"")</f>
        <v>49</v>
      </c>
      <c r="Q1262">
        <f t="shared" si="57"/>
        <v>0.27833753148614609</v>
      </c>
      <c r="R1262">
        <f>IF(AND(COUNTIF($A$2:$A$2047,A1262)&gt;1,COUNTIF($A$2:A1262,A1262)=1),1,0)</f>
        <v>0</v>
      </c>
      <c r="S1262" t="b">
        <f>IFERROR(VLOOKUP(D1262,Products!$A$2:$F$61,6,FALSE()),"")</f>
        <v>1</v>
      </c>
      <c r="T1262" t="str">
        <f>IF(COUNTIF(Customers!$A$2:$A$301,C1262)=0,"Missing","OK")</f>
        <v>OK</v>
      </c>
      <c r="U1262" t="str">
        <f t="shared" si="58"/>
        <v>Chennai</v>
      </c>
      <c r="V1262">
        <f t="shared" si="59"/>
        <v>0</v>
      </c>
    </row>
    <row r="1263" spans="1:22" ht="15" customHeight="1" x14ac:dyDescent="0.35">
      <c r="A1263" s="3" t="s">
        <v>1687</v>
      </c>
      <c r="B1263" s="4">
        <v>45407</v>
      </c>
      <c r="C1263" s="3" t="s">
        <v>396</v>
      </c>
      <c r="D1263" s="3" t="s">
        <v>142</v>
      </c>
      <c r="E1263" s="3" t="s">
        <v>177</v>
      </c>
      <c r="F1263" s="5">
        <v>3</v>
      </c>
      <c r="G1263" s="5">
        <v>660</v>
      </c>
      <c r="H1263" s="5">
        <v>3.1</v>
      </c>
      <c r="I1263" s="5">
        <v>1918.62</v>
      </c>
      <c r="J1263" s="3" t="s">
        <v>26</v>
      </c>
      <c r="K1263" s="3" t="s">
        <v>27</v>
      </c>
      <c r="L1263" t="str">
        <f>IFERROR(VLOOKUP(D1263,Products!$A$2:$F$61,3,FALSE()),"")</f>
        <v>Home</v>
      </c>
      <c r="M1263" t="str">
        <f>IFERROR(VLOOKUP(E1263,Sales_Reps!$A$2:$C$31,3,FALSE()),"")</f>
        <v>East</v>
      </c>
      <c r="N1263">
        <f>IFERROR(VLOOKUP(D1263,Products!$A$2:$F$61,4,FALSE()),"")</f>
        <v>329</v>
      </c>
      <c r="O1263" t="str">
        <f>IFERROR(VLOOKUP(C1263,Customers!$A$2:$F$301,5,FALSE()),"")</f>
        <v>Retail</v>
      </c>
      <c r="P1263">
        <f>IFERROR(VLOOKUP(C1263,Customers!$A$2:$F$301,3,FALSE()),"")</f>
        <v>29</v>
      </c>
      <c r="Q1263">
        <f t="shared" si="57"/>
        <v>0.50151515151515147</v>
      </c>
      <c r="R1263">
        <f>IF(AND(COUNTIF($A$2:$A$2047,A1263)&gt;1,COUNTIF($A$2:A1263,A1263)=1),1,0)</f>
        <v>0</v>
      </c>
      <c r="S1263" t="b">
        <f>IFERROR(VLOOKUP(D1263,Products!$A$2:$F$61,6,FALSE()),"")</f>
        <v>1</v>
      </c>
      <c r="T1263" t="str">
        <f>IF(COUNTIF(Customers!$A$2:$A$301,C1263)=0,"Missing","OK")</f>
        <v>OK</v>
      </c>
      <c r="U1263" t="str">
        <f t="shared" si="58"/>
        <v>Pune</v>
      </c>
      <c r="V1263">
        <f t="shared" si="59"/>
        <v>0</v>
      </c>
    </row>
    <row r="1264" spans="1:22" ht="15" customHeight="1" x14ac:dyDescent="0.35">
      <c r="A1264" s="3" t="s">
        <v>1688</v>
      </c>
      <c r="B1264" s="4">
        <v>45357</v>
      </c>
      <c r="C1264" s="3" t="s">
        <v>1170</v>
      </c>
      <c r="D1264" s="3" t="s">
        <v>77</v>
      </c>
      <c r="E1264" s="3" t="s">
        <v>224</v>
      </c>
      <c r="F1264" s="5">
        <v>7</v>
      </c>
      <c r="G1264" s="5">
        <v>2600</v>
      </c>
      <c r="H1264" s="5">
        <v>15.4</v>
      </c>
      <c r="I1264" s="5">
        <v>15397.2</v>
      </c>
      <c r="J1264" s="3" t="s">
        <v>26</v>
      </c>
      <c r="K1264" s="3" t="s">
        <v>27</v>
      </c>
      <c r="L1264" t="str">
        <f>IFERROR(VLOOKUP(D1264,Products!$A$2:$F$61,3,FALSE()),"")</f>
        <v>Electronics</v>
      </c>
      <c r="M1264" t="str">
        <f>IFERROR(VLOOKUP(E1264,Sales_Reps!$A$2:$C$31,3,FALSE()),"")</f>
        <v>East</v>
      </c>
      <c r="N1264">
        <f>IFERROR(VLOOKUP(D1264,Products!$A$2:$F$61,4,FALSE()),"")</f>
        <v>1052</v>
      </c>
      <c r="O1264" t="str">
        <f>IFERROR(VLOOKUP(C1264,Customers!$A$2:$F$301,5,FALSE()),"")</f>
        <v>Retail</v>
      </c>
      <c r="P1264">
        <f>IFERROR(VLOOKUP(C1264,Customers!$A$2:$F$301,3,FALSE()),"")</f>
        <v>42</v>
      </c>
      <c r="Q1264">
        <f t="shared" si="57"/>
        <v>0.5953846153846154</v>
      </c>
      <c r="R1264">
        <f>IF(AND(COUNTIF($A$2:$A$2047,A1264)&gt;1,COUNTIF($A$2:A1264,A1264)=1),1,0)</f>
        <v>0</v>
      </c>
      <c r="S1264" t="b">
        <f>IFERROR(VLOOKUP(D1264,Products!$A$2:$F$61,6,FALSE()),"")</f>
        <v>1</v>
      </c>
      <c r="T1264" t="str">
        <f>IF(COUNTIF(Customers!$A$2:$A$301,C1264)=0,"Missing","OK")</f>
        <v>OK</v>
      </c>
      <c r="U1264" t="str">
        <f t="shared" si="58"/>
        <v>Pune</v>
      </c>
      <c r="V1264">
        <f t="shared" si="59"/>
        <v>0</v>
      </c>
    </row>
    <row r="1265" spans="1:22" ht="15" customHeight="1" x14ac:dyDescent="0.35">
      <c r="A1265" s="3" t="s">
        <v>1689</v>
      </c>
      <c r="B1265" s="4">
        <v>45565</v>
      </c>
      <c r="C1265" s="3" t="s">
        <v>547</v>
      </c>
      <c r="D1265" s="3" t="s">
        <v>142</v>
      </c>
      <c r="E1265" s="3" t="s">
        <v>127</v>
      </c>
      <c r="F1265" s="5">
        <v>9</v>
      </c>
      <c r="G1265" s="5">
        <v>660</v>
      </c>
      <c r="H1265" s="5">
        <v>23.7</v>
      </c>
      <c r="I1265" s="5">
        <v>4532.22</v>
      </c>
      <c r="J1265" s="3" t="s">
        <v>26</v>
      </c>
      <c r="K1265" s="3" t="s">
        <v>27</v>
      </c>
      <c r="L1265" t="str">
        <f>IFERROR(VLOOKUP(D1265,Products!$A$2:$F$61,3,FALSE()),"")</f>
        <v>Home</v>
      </c>
      <c r="M1265" t="str">
        <f>IFERROR(VLOOKUP(E1265,Sales_Reps!$A$2:$C$31,3,FALSE()),"")</f>
        <v>South</v>
      </c>
      <c r="N1265">
        <f>IFERROR(VLOOKUP(D1265,Products!$A$2:$F$61,4,FALSE()),"")</f>
        <v>329</v>
      </c>
      <c r="O1265" t="str">
        <f>IFERROR(VLOOKUP(C1265,Customers!$A$2:$F$301,5,FALSE()),"")</f>
        <v>Corporate</v>
      </c>
      <c r="P1265">
        <f>IFERROR(VLOOKUP(C1265,Customers!$A$2:$F$301,3,FALSE()),"")</f>
        <v>40</v>
      </c>
      <c r="Q1265">
        <f t="shared" si="57"/>
        <v>0.50151515151515147</v>
      </c>
      <c r="R1265">
        <f>IF(AND(COUNTIF($A$2:$A$2047,A1265)&gt;1,COUNTIF($A$2:A1265,A1265)=1),1,0)</f>
        <v>0</v>
      </c>
      <c r="S1265" t="b">
        <f>IFERROR(VLOOKUP(D1265,Products!$A$2:$F$61,6,FALSE()),"")</f>
        <v>1</v>
      </c>
      <c r="T1265" t="str">
        <f>IF(COUNTIF(Customers!$A$2:$A$301,C1265)=0,"Missing","OK")</f>
        <v>OK</v>
      </c>
      <c r="U1265" t="str">
        <f t="shared" si="58"/>
        <v>Pune</v>
      </c>
      <c r="V1265">
        <f t="shared" si="59"/>
        <v>0</v>
      </c>
    </row>
    <row r="1266" spans="1:22" ht="15" customHeight="1" x14ac:dyDescent="0.35">
      <c r="A1266" s="3" t="s">
        <v>1690</v>
      </c>
      <c r="B1266" s="4">
        <v>45395</v>
      </c>
      <c r="C1266" s="3" t="s">
        <v>197</v>
      </c>
      <c r="D1266" s="3" t="s">
        <v>306</v>
      </c>
      <c r="E1266" s="3" t="s">
        <v>97</v>
      </c>
      <c r="F1266" s="5">
        <v>3</v>
      </c>
      <c r="G1266" s="5">
        <v>2380</v>
      </c>
      <c r="H1266" s="5">
        <v>19.5</v>
      </c>
      <c r="I1266" s="5">
        <v>5747.7</v>
      </c>
      <c r="J1266" s="3" t="s">
        <v>79</v>
      </c>
      <c r="K1266" s="3" t="s">
        <v>38</v>
      </c>
      <c r="L1266" t="str">
        <f>IFERROR(VLOOKUP(D1266,Products!$A$2:$F$61,3,FALSE()),"")</f>
        <v>Grocery</v>
      </c>
      <c r="M1266" t="str">
        <f>IFERROR(VLOOKUP(E1266,Sales_Reps!$A$2:$C$31,3,FALSE()),"")</f>
        <v>East</v>
      </c>
      <c r="N1266">
        <f>IFERROR(VLOOKUP(D1266,Products!$A$2:$F$61,4,FALSE()),"")</f>
        <v>1182</v>
      </c>
      <c r="O1266" t="str">
        <f>IFERROR(VLOOKUP(C1266,Customers!$A$2:$F$301,5,FALSE()),"")</f>
        <v>SMB</v>
      </c>
      <c r="P1266">
        <f>IFERROR(VLOOKUP(C1266,Customers!$A$2:$F$301,3,FALSE()),"")</f>
        <v>55</v>
      </c>
      <c r="Q1266">
        <f t="shared" si="57"/>
        <v>0.50336134453781511</v>
      </c>
      <c r="R1266">
        <f>IF(AND(COUNTIF($A$2:$A$2047,A1266)&gt;1,COUNTIF($A$2:A1266,A1266)=1),1,0)</f>
        <v>0</v>
      </c>
      <c r="S1266" t="b">
        <f>IFERROR(VLOOKUP(D1266,Products!$A$2:$F$61,6,FALSE()),"")</f>
        <v>1</v>
      </c>
      <c r="T1266" t="str">
        <f>IF(COUNTIF(Customers!$A$2:$A$301,C1266)=0,"Missing","OK")</f>
        <v>OK</v>
      </c>
      <c r="U1266" t="str">
        <f t="shared" si="58"/>
        <v>Delhi</v>
      </c>
      <c r="V1266">
        <f t="shared" si="59"/>
        <v>0</v>
      </c>
    </row>
    <row r="1267" spans="1:22" ht="15" customHeight="1" x14ac:dyDescent="0.35">
      <c r="A1267" s="3" t="s">
        <v>1691</v>
      </c>
      <c r="B1267" s="4">
        <v>45624</v>
      </c>
      <c r="C1267" s="3" t="s">
        <v>267</v>
      </c>
      <c r="D1267" s="3" t="s">
        <v>115</v>
      </c>
      <c r="E1267" s="3" t="s">
        <v>71</v>
      </c>
      <c r="F1267" s="5">
        <v>9</v>
      </c>
      <c r="G1267" s="5">
        <v>1650</v>
      </c>
      <c r="H1267" s="5">
        <v>2.5</v>
      </c>
      <c r="I1267" s="5">
        <v>14478.75</v>
      </c>
      <c r="J1267" s="3" t="s">
        <v>26</v>
      </c>
      <c r="K1267" s="3" t="s">
        <v>33</v>
      </c>
      <c r="L1267" t="str">
        <f>IFERROR(VLOOKUP(D1267,Products!$A$2:$F$61,3,FALSE()),"")</f>
        <v>Beauty</v>
      </c>
      <c r="M1267" t="str">
        <f>IFERROR(VLOOKUP(E1267,Sales_Reps!$A$2:$C$31,3,FALSE()),"")</f>
        <v>South</v>
      </c>
      <c r="N1267">
        <f>IFERROR(VLOOKUP(D1267,Products!$A$2:$F$61,4,FALSE()),"")</f>
        <v>1222</v>
      </c>
      <c r="O1267" t="str">
        <f>IFERROR(VLOOKUP(C1267,Customers!$A$2:$F$301,5,FALSE()),"")</f>
        <v>Retail</v>
      </c>
      <c r="P1267">
        <f>IFERROR(VLOOKUP(C1267,Customers!$A$2:$F$301,3,FALSE()),"")</f>
        <v>28</v>
      </c>
      <c r="Q1267">
        <f t="shared" si="57"/>
        <v>0.2593939393939394</v>
      </c>
      <c r="R1267">
        <f>IF(AND(COUNTIF($A$2:$A$2047,A1267)&gt;1,COUNTIF($A$2:A1267,A1267)=1),1,0)</f>
        <v>0</v>
      </c>
      <c r="S1267" t="b">
        <f>IFERROR(VLOOKUP(D1267,Products!$A$2:$F$61,6,FALSE()),"")</f>
        <v>1</v>
      </c>
      <c r="T1267" t="str">
        <f>IF(COUNTIF(Customers!$A$2:$A$301,C1267)=0,"Missing","OK")</f>
        <v>OK</v>
      </c>
      <c r="U1267" t="str">
        <f t="shared" si="58"/>
        <v>Chennai</v>
      </c>
      <c r="V1267">
        <f t="shared" si="59"/>
        <v>0</v>
      </c>
    </row>
    <row r="1268" spans="1:22" ht="15" customHeight="1" x14ac:dyDescent="0.35">
      <c r="A1268" s="3" t="s">
        <v>1692</v>
      </c>
      <c r="B1268" s="4">
        <v>45650</v>
      </c>
      <c r="C1268" s="3" t="s">
        <v>1693</v>
      </c>
      <c r="D1268" s="3" t="s">
        <v>74</v>
      </c>
      <c r="E1268" s="3" t="s">
        <v>42</v>
      </c>
      <c r="F1268" s="5">
        <v>8</v>
      </c>
      <c r="G1268" s="5">
        <v>2640</v>
      </c>
      <c r="H1268" s="5">
        <v>24.4</v>
      </c>
      <c r="I1268" s="5">
        <v>15966.72</v>
      </c>
      <c r="J1268" s="3" t="s">
        <v>26</v>
      </c>
      <c r="K1268" s="3" t="s">
        <v>51</v>
      </c>
      <c r="L1268" t="str">
        <f>IFERROR(VLOOKUP(D1268,Products!$A$2:$F$61,3,FALSE()),"")</f>
        <v>Electronics</v>
      </c>
      <c r="M1268" t="str">
        <f>IFERROR(VLOOKUP(E1268,Sales_Reps!$A$2:$C$31,3,FALSE()),"")</f>
        <v>North</v>
      </c>
      <c r="N1268">
        <f>IFERROR(VLOOKUP(D1268,Products!$A$2:$F$61,4,FALSE()),"")</f>
        <v>1149</v>
      </c>
      <c r="O1268" t="str">
        <f>IFERROR(VLOOKUP(C1268,Customers!$A$2:$F$301,5,FALSE()),"")</f>
        <v/>
      </c>
      <c r="P1268" t="str">
        <f>IFERROR(VLOOKUP(C1268,Customers!$A$2:$F$301,3,FALSE()),"")</f>
        <v/>
      </c>
      <c r="Q1268">
        <f t="shared" si="57"/>
        <v>0.56477272727272732</v>
      </c>
      <c r="R1268">
        <f>IF(AND(COUNTIF($A$2:$A$2047,A1268)&gt;1,COUNTIF($A$2:A1268,A1268)=1),1,0)</f>
        <v>0</v>
      </c>
      <c r="S1268" t="b">
        <f>IFERROR(VLOOKUP(D1268,Products!$A$2:$F$61,6,FALSE()),"")</f>
        <v>1</v>
      </c>
      <c r="T1268" t="str">
        <f>IF(COUNTIF(Customers!$A$2:$A$301,C1268)=0,"Missing","OK")</f>
        <v>Missing</v>
      </c>
      <c r="U1268" t="str">
        <f t="shared" si="58"/>
        <v>Mumbai</v>
      </c>
      <c r="V1268">
        <f t="shared" si="59"/>
        <v>0</v>
      </c>
    </row>
    <row r="1269" spans="1:22" ht="15" customHeight="1" x14ac:dyDescent="0.35">
      <c r="A1269" s="3" t="s">
        <v>1694</v>
      </c>
      <c r="B1269" s="4">
        <v>45370</v>
      </c>
      <c r="C1269" s="3" t="s">
        <v>536</v>
      </c>
      <c r="D1269" s="3" t="s">
        <v>306</v>
      </c>
      <c r="E1269" s="3" t="s">
        <v>191</v>
      </c>
      <c r="F1269" s="5">
        <v>8</v>
      </c>
      <c r="G1269" s="5">
        <v>2380</v>
      </c>
      <c r="H1269" s="5">
        <v>24.2</v>
      </c>
      <c r="I1269" s="5">
        <v>14432.32</v>
      </c>
      <c r="J1269" s="3" t="s">
        <v>26</v>
      </c>
      <c r="K1269" s="3" t="s">
        <v>51</v>
      </c>
      <c r="L1269" t="str">
        <f>IFERROR(VLOOKUP(D1269,Products!$A$2:$F$61,3,FALSE()),"")</f>
        <v>Grocery</v>
      </c>
      <c r="M1269" t="str">
        <f>IFERROR(VLOOKUP(E1269,Sales_Reps!$A$2:$C$31,3,FALSE()),"")</f>
        <v>South</v>
      </c>
      <c r="N1269">
        <f>IFERROR(VLOOKUP(D1269,Products!$A$2:$F$61,4,FALSE()),"")</f>
        <v>1182</v>
      </c>
      <c r="O1269" t="str">
        <f>IFERROR(VLOOKUP(C1269,Customers!$A$2:$F$301,5,FALSE()),"")</f>
        <v>Retail</v>
      </c>
      <c r="P1269">
        <f>IFERROR(VLOOKUP(C1269,Customers!$A$2:$F$301,3,FALSE()),"")</f>
        <v>39</v>
      </c>
      <c r="Q1269">
        <f t="shared" si="57"/>
        <v>0.50336134453781511</v>
      </c>
      <c r="R1269">
        <f>IF(AND(COUNTIF($A$2:$A$2047,A1269)&gt;1,COUNTIF($A$2:A1269,A1269)=1),1,0)</f>
        <v>0</v>
      </c>
      <c r="S1269" t="b">
        <f>IFERROR(VLOOKUP(D1269,Products!$A$2:$F$61,6,FALSE()),"")</f>
        <v>1</v>
      </c>
      <c r="T1269" t="str">
        <f>IF(COUNTIF(Customers!$A$2:$A$301,C1269)=0,"Missing","OK")</f>
        <v>OK</v>
      </c>
      <c r="U1269" t="str">
        <f t="shared" si="58"/>
        <v>Mumbai</v>
      </c>
      <c r="V1269">
        <f t="shared" si="59"/>
        <v>0</v>
      </c>
    </row>
    <row r="1270" spans="1:22" ht="15" customHeight="1" x14ac:dyDescent="0.35">
      <c r="A1270" s="3" t="s">
        <v>1695</v>
      </c>
      <c r="B1270" s="4">
        <v>45373</v>
      </c>
      <c r="C1270" s="3" t="s">
        <v>197</v>
      </c>
      <c r="D1270" s="3" t="s">
        <v>277</v>
      </c>
      <c r="E1270" s="3" t="s">
        <v>25</v>
      </c>
      <c r="F1270" s="5">
        <v>10</v>
      </c>
      <c r="G1270" s="5">
        <v>2210</v>
      </c>
      <c r="H1270" s="5">
        <v>3.6</v>
      </c>
      <c r="I1270" s="5">
        <v>21304.400000000001</v>
      </c>
      <c r="J1270" s="3" t="s">
        <v>26</v>
      </c>
      <c r="K1270" s="3" t="s">
        <v>38</v>
      </c>
      <c r="L1270" t="str">
        <f>IFERROR(VLOOKUP(D1270,Products!$A$2:$F$61,3,FALSE()),"")</f>
        <v>Grocery</v>
      </c>
      <c r="M1270" t="str">
        <f>IFERROR(VLOOKUP(E1270,Sales_Reps!$A$2:$C$31,3,FALSE()),"")</f>
        <v>North</v>
      </c>
      <c r="N1270">
        <f>IFERROR(VLOOKUP(D1270,Products!$A$2:$F$61,4,FALSE()),"")</f>
        <v>1010</v>
      </c>
      <c r="O1270" t="str">
        <f>IFERROR(VLOOKUP(C1270,Customers!$A$2:$F$301,5,FALSE()),"")</f>
        <v>SMB</v>
      </c>
      <c r="P1270">
        <f>IFERROR(VLOOKUP(C1270,Customers!$A$2:$F$301,3,FALSE()),"")</f>
        <v>55</v>
      </c>
      <c r="Q1270">
        <f t="shared" si="57"/>
        <v>0.54298642533936647</v>
      </c>
      <c r="R1270">
        <f>IF(AND(COUNTIF($A$2:$A$2047,A1270)&gt;1,COUNTIF($A$2:A1270,A1270)=1),1,0)</f>
        <v>0</v>
      </c>
      <c r="S1270" t="b">
        <f>IFERROR(VLOOKUP(D1270,Products!$A$2:$F$61,6,FALSE()),"")</f>
        <v>1</v>
      </c>
      <c r="T1270" t="str">
        <f>IF(COUNTIF(Customers!$A$2:$A$301,C1270)=0,"Missing","OK")</f>
        <v>OK</v>
      </c>
      <c r="U1270" t="str">
        <f t="shared" si="58"/>
        <v>Delhi</v>
      </c>
      <c r="V1270">
        <f t="shared" si="59"/>
        <v>0</v>
      </c>
    </row>
    <row r="1271" spans="1:22" ht="15" customHeight="1" x14ac:dyDescent="0.35">
      <c r="A1271" s="3" t="s">
        <v>1696</v>
      </c>
      <c r="B1271" s="4">
        <v>45391</v>
      </c>
      <c r="C1271" s="3" t="s">
        <v>774</v>
      </c>
      <c r="D1271" s="3" t="s">
        <v>180</v>
      </c>
      <c r="E1271" s="3" t="s">
        <v>242</v>
      </c>
      <c r="F1271" s="5">
        <v>9</v>
      </c>
      <c r="G1271" s="5">
        <v>6080</v>
      </c>
      <c r="H1271" s="5">
        <v>17.2</v>
      </c>
      <c r="I1271" s="5">
        <v>45308.160000000003</v>
      </c>
      <c r="J1271" s="3" t="s">
        <v>32</v>
      </c>
      <c r="K1271" s="3" t="s">
        <v>56</v>
      </c>
      <c r="L1271" t="str">
        <f>IFERROR(VLOOKUP(D1271,Products!$A$2:$F$61,3,FALSE()),"")</f>
        <v>Beauty</v>
      </c>
      <c r="M1271" t="str">
        <f>IFERROR(VLOOKUP(E1271,Sales_Reps!$A$2:$C$31,3,FALSE()),"")</f>
        <v>East</v>
      </c>
      <c r="N1271">
        <f>IFERROR(VLOOKUP(D1271,Products!$A$2:$F$61,4,FALSE()),"")</f>
        <v>2617</v>
      </c>
      <c r="O1271" t="str">
        <f>IFERROR(VLOOKUP(C1271,Customers!$A$2:$F$301,5,FALSE()),"")</f>
        <v>Retail</v>
      </c>
      <c r="P1271">
        <f>IFERROR(VLOOKUP(C1271,Customers!$A$2:$F$301,3,FALSE()),"")</f>
        <v>52</v>
      </c>
      <c r="Q1271">
        <f t="shared" si="57"/>
        <v>0.56957236842105263</v>
      </c>
      <c r="R1271">
        <f>IF(AND(COUNTIF($A$2:$A$2047,A1271)&gt;1,COUNTIF($A$2:A1271,A1271)=1),1,0)</f>
        <v>0</v>
      </c>
      <c r="S1271" t="b">
        <f>IFERROR(VLOOKUP(D1271,Products!$A$2:$F$61,6,FALSE()),"")</f>
        <v>1</v>
      </c>
      <c r="T1271" t="str">
        <f>IF(COUNTIF(Customers!$A$2:$A$301,C1271)=0,"Missing","OK")</f>
        <v>OK</v>
      </c>
      <c r="U1271" t="str">
        <f t="shared" si="58"/>
        <v>Bengaluru</v>
      </c>
      <c r="V1271">
        <f t="shared" si="59"/>
        <v>0</v>
      </c>
    </row>
    <row r="1272" spans="1:22" ht="15" customHeight="1" x14ac:dyDescent="0.35">
      <c r="A1272" s="3" t="s">
        <v>1697</v>
      </c>
      <c r="B1272" s="4">
        <v>45332</v>
      </c>
      <c r="C1272" s="3" t="s">
        <v>636</v>
      </c>
      <c r="D1272" s="3" t="s">
        <v>121</v>
      </c>
      <c r="E1272" s="3" t="s">
        <v>224</v>
      </c>
      <c r="F1272" s="5">
        <v>8</v>
      </c>
      <c r="G1272" s="5">
        <v>1010</v>
      </c>
      <c r="H1272" s="5">
        <v>12.3</v>
      </c>
      <c r="I1272" s="5">
        <v>7086.16</v>
      </c>
      <c r="J1272" s="3" t="s">
        <v>26</v>
      </c>
      <c r="K1272" s="3" t="s">
        <v>72</v>
      </c>
      <c r="L1272" t="str">
        <f>IFERROR(VLOOKUP(D1272,Products!$A$2:$F$61,3,FALSE()),"")</f>
        <v>Sports</v>
      </c>
      <c r="M1272" t="str">
        <f>IFERROR(VLOOKUP(E1272,Sales_Reps!$A$2:$C$31,3,FALSE()),"")</f>
        <v>East</v>
      </c>
      <c r="N1272">
        <f>IFERROR(VLOOKUP(D1272,Products!$A$2:$F$61,4,FALSE()),"")</f>
        <v>516</v>
      </c>
      <c r="O1272" t="str">
        <f>IFERROR(VLOOKUP(C1272,Customers!$A$2:$F$301,5,FALSE()),"")</f>
        <v>Retail</v>
      </c>
      <c r="P1272">
        <f>IFERROR(VLOOKUP(C1272,Customers!$A$2:$F$301,3,FALSE()),"")</f>
        <v>65</v>
      </c>
      <c r="Q1272">
        <f t="shared" si="57"/>
        <v>0.4891089108910891</v>
      </c>
      <c r="R1272">
        <f>IF(AND(COUNTIF($A$2:$A$2047,A1272)&gt;1,COUNTIF($A$2:A1272,A1272)=1),1,0)</f>
        <v>0</v>
      </c>
      <c r="S1272" t="b">
        <f>IFERROR(VLOOKUP(D1272,Products!$A$2:$F$61,6,FALSE()),"")</f>
        <v>1</v>
      </c>
      <c r="T1272" t="str">
        <f>IF(COUNTIF(Customers!$A$2:$A$301,C1272)=0,"Missing","OK")</f>
        <v>OK</v>
      </c>
      <c r="U1272" t="str">
        <f t="shared" si="58"/>
        <v>Hyderabad</v>
      </c>
      <c r="V1272">
        <f t="shared" si="59"/>
        <v>0</v>
      </c>
    </row>
    <row r="1273" spans="1:22" ht="15" customHeight="1" x14ac:dyDescent="0.35">
      <c r="A1273" s="3" t="s">
        <v>1698</v>
      </c>
      <c r="B1273" s="4">
        <v>45582</v>
      </c>
      <c r="C1273" s="3" t="s">
        <v>887</v>
      </c>
      <c r="D1273" s="3" t="s">
        <v>41</v>
      </c>
      <c r="E1273" s="3" t="s">
        <v>212</v>
      </c>
      <c r="F1273" s="5">
        <v>8</v>
      </c>
      <c r="G1273" s="5">
        <v>3660</v>
      </c>
      <c r="H1273" s="5">
        <v>8.4</v>
      </c>
      <c r="I1273" s="5">
        <v>26820.48</v>
      </c>
      <c r="J1273" s="3" t="s">
        <v>26</v>
      </c>
      <c r="K1273" s="3" t="s">
        <v>27</v>
      </c>
      <c r="L1273" t="str">
        <f>IFERROR(VLOOKUP(D1273,Products!$A$2:$F$61,3,FALSE()),"")</f>
        <v>Grocery</v>
      </c>
      <c r="M1273" t="str">
        <f>IFERROR(VLOOKUP(E1273,Sales_Reps!$A$2:$C$31,3,FALSE()),"")</f>
        <v>South</v>
      </c>
      <c r="N1273">
        <f>IFERROR(VLOOKUP(D1273,Products!$A$2:$F$61,4,FALSE()),"")</f>
        <v>2214</v>
      </c>
      <c r="O1273" t="str">
        <f>IFERROR(VLOOKUP(C1273,Customers!$A$2:$F$301,5,FALSE()),"")</f>
        <v>Retail</v>
      </c>
      <c r="P1273">
        <f>IFERROR(VLOOKUP(C1273,Customers!$A$2:$F$301,3,FALSE()),"")</f>
        <v>65</v>
      </c>
      <c r="Q1273">
        <f t="shared" si="57"/>
        <v>0.39508196721311473</v>
      </c>
      <c r="R1273">
        <f>IF(AND(COUNTIF($A$2:$A$2047,A1273)&gt;1,COUNTIF($A$2:A1273,A1273)=1),1,0)</f>
        <v>0</v>
      </c>
      <c r="S1273" t="b">
        <f>IFERROR(VLOOKUP(D1273,Products!$A$2:$F$61,6,FALSE()),"")</f>
        <v>0</v>
      </c>
      <c r="T1273" t="str">
        <f>IF(COUNTIF(Customers!$A$2:$A$301,C1273)=0,"Missing","OK")</f>
        <v>OK</v>
      </c>
      <c r="U1273" t="str">
        <f t="shared" si="58"/>
        <v>Pune</v>
      </c>
      <c r="V1273">
        <f t="shared" si="59"/>
        <v>0</v>
      </c>
    </row>
    <row r="1274" spans="1:22" ht="15" customHeight="1" x14ac:dyDescent="0.35">
      <c r="A1274" s="3" t="s">
        <v>1699</v>
      </c>
      <c r="B1274" s="4">
        <v>45443</v>
      </c>
      <c r="C1274" s="3" t="s">
        <v>955</v>
      </c>
      <c r="D1274" s="3" t="s">
        <v>209</v>
      </c>
      <c r="E1274" s="3" t="s">
        <v>168</v>
      </c>
      <c r="F1274" s="5">
        <v>8</v>
      </c>
      <c r="G1274" s="5">
        <v>4610</v>
      </c>
      <c r="H1274" s="5">
        <v>15.4</v>
      </c>
      <c r="I1274" s="5">
        <v>31200.48</v>
      </c>
      <c r="J1274" s="3" t="s">
        <v>79</v>
      </c>
      <c r="K1274" s="3" t="s">
        <v>56</v>
      </c>
      <c r="L1274" t="str">
        <f>IFERROR(VLOOKUP(D1274,Products!$A$2:$F$61,3,FALSE()),"")</f>
        <v>Home</v>
      </c>
      <c r="M1274" t="str">
        <f>IFERROR(VLOOKUP(E1274,Sales_Reps!$A$2:$C$31,3,FALSE()),"")</f>
        <v>West</v>
      </c>
      <c r="N1274">
        <f>IFERROR(VLOOKUP(D1274,Products!$A$2:$F$61,4,FALSE()),"")</f>
        <v>1850</v>
      </c>
      <c r="O1274" t="str">
        <f>IFERROR(VLOOKUP(C1274,Customers!$A$2:$F$301,5,FALSE()),"")</f>
        <v>SMB</v>
      </c>
      <c r="P1274">
        <f>IFERROR(VLOOKUP(C1274,Customers!$A$2:$F$301,3,FALSE()),"")</f>
        <v>49</v>
      </c>
      <c r="Q1274">
        <f t="shared" si="57"/>
        <v>0.59869848156182215</v>
      </c>
      <c r="R1274">
        <f>IF(AND(COUNTIF($A$2:$A$2047,A1274)&gt;1,COUNTIF($A$2:A1274,A1274)=1),1,0)</f>
        <v>0</v>
      </c>
      <c r="S1274" t="b">
        <f>IFERROR(VLOOKUP(D1274,Products!$A$2:$F$61,6,FALSE()),"")</f>
        <v>1</v>
      </c>
      <c r="T1274" t="str">
        <f>IF(COUNTIF(Customers!$A$2:$A$301,C1274)=0,"Missing","OK")</f>
        <v>OK</v>
      </c>
      <c r="U1274" t="str">
        <f t="shared" si="58"/>
        <v>Bengaluru</v>
      </c>
      <c r="V1274">
        <f t="shared" si="59"/>
        <v>0</v>
      </c>
    </row>
    <row r="1275" spans="1:22" ht="15" customHeight="1" x14ac:dyDescent="0.35">
      <c r="A1275" s="3" t="s">
        <v>1700</v>
      </c>
      <c r="B1275" s="4">
        <v>45525</v>
      </c>
      <c r="C1275" s="3" t="s">
        <v>955</v>
      </c>
      <c r="D1275" s="3" t="s">
        <v>130</v>
      </c>
      <c r="E1275" s="3" t="s">
        <v>42</v>
      </c>
      <c r="F1275" s="5">
        <v>9</v>
      </c>
      <c r="G1275" s="5">
        <v>5100</v>
      </c>
      <c r="H1275" s="5">
        <v>25.2</v>
      </c>
      <c r="I1275" s="5">
        <v>34333.199999999997</v>
      </c>
      <c r="J1275" s="3" t="s">
        <v>79</v>
      </c>
      <c r="K1275" s="3" t="s">
        <v>56</v>
      </c>
      <c r="L1275" t="str">
        <f>IFERROR(VLOOKUP(D1275,Products!$A$2:$F$61,3,FALSE()),"")</f>
        <v>Beauty</v>
      </c>
      <c r="M1275" t="str">
        <f>IFERROR(VLOOKUP(E1275,Sales_Reps!$A$2:$C$31,3,FALSE()),"")</f>
        <v>North</v>
      </c>
      <c r="N1275">
        <f>IFERROR(VLOOKUP(D1275,Products!$A$2:$F$61,4,FALSE()),"")</f>
        <v>2237</v>
      </c>
      <c r="O1275" t="str">
        <f>IFERROR(VLOOKUP(C1275,Customers!$A$2:$F$301,5,FALSE()),"")</f>
        <v>SMB</v>
      </c>
      <c r="P1275">
        <f>IFERROR(VLOOKUP(C1275,Customers!$A$2:$F$301,3,FALSE()),"")</f>
        <v>49</v>
      </c>
      <c r="Q1275">
        <f t="shared" si="57"/>
        <v>0.56137254901960787</v>
      </c>
      <c r="R1275">
        <f>IF(AND(COUNTIF($A$2:$A$2047,A1275)&gt;1,COUNTIF($A$2:A1275,A1275)=1),1,0)</f>
        <v>0</v>
      </c>
      <c r="S1275" t="b">
        <f>IFERROR(VLOOKUP(D1275,Products!$A$2:$F$61,6,FALSE()),"")</f>
        <v>1</v>
      </c>
      <c r="T1275" t="str">
        <f>IF(COUNTIF(Customers!$A$2:$A$301,C1275)=0,"Missing","OK")</f>
        <v>OK</v>
      </c>
      <c r="U1275" t="str">
        <f t="shared" si="58"/>
        <v>Bengaluru</v>
      </c>
      <c r="V1275">
        <f t="shared" si="59"/>
        <v>0</v>
      </c>
    </row>
    <row r="1276" spans="1:22" ht="15" customHeight="1" x14ac:dyDescent="0.35">
      <c r="A1276" s="3" t="s">
        <v>1701</v>
      </c>
      <c r="B1276" s="4">
        <v>45377</v>
      </c>
      <c r="C1276" s="3" t="s">
        <v>342</v>
      </c>
      <c r="D1276" s="3" t="s">
        <v>215</v>
      </c>
      <c r="E1276" s="3" t="s">
        <v>60</v>
      </c>
      <c r="F1276" s="5">
        <v>5</v>
      </c>
      <c r="G1276" s="5">
        <v>3020</v>
      </c>
      <c r="H1276" s="5">
        <v>23</v>
      </c>
      <c r="I1276" s="5">
        <v>11627</v>
      </c>
      <c r="J1276" s="3" t="s">
        <v>26</v>
      </c>
      <c r="K1276" s="3" t="s">
        <v>56</v>
      </c>
      <c r="L1276" t="str">
        <f>IFERROR(VLOOKUP(D1276,Products!$A$2:$F$61,3,FALSE()),"")</f>
        <v>Beauty</v>
      </c>
      <c r="M1276" t="str">
        <f>IFERROR(VLOOKUP(E1276,Sales_Reps!$A$2:$C$31,3,FALSE()),"")</f>
        <v>East</v>
      </c>
      <c r="N1276">
        <f>IFERROR(VLOOKUP(D1276,Products!$A$2:$F$61,4,FALSE()),"")</f>
        <v>1626</v>
      </c>
      <c r="O1276" t="str">
        <f>IFERROR(VLOOKUP(C1276,Customers!$A$2:$F$301,5,FALSE()),"")</f>
        <v>Retail</v>
      </c>
      <c r="P1276">
        <f>IFERROR(VLOOKUP(C1276,Customers!$A$2:$F$301,3,FALSE()),"")</f>
        <v>59</v>
      </c>
      <c r="Q1276">
        <f t="shared" si="57"/>
        <v>0.46158940397350995</v>
      </c>
      <c r="R1276">
        <f>IF(AND(COUNTIF($A$2:$A$2047,A1276)&gt;1,COUNTIF($A$2:A1276,A1276)=1),1,0)</f>
        <v>0</v>
      </c>
      <c r="S1276" t="b">
        <f>IFERROR(VLOOKUP(D1276,Products!$A$2:$F$61,6,FALSE()),"")</f>
        <v>1</v>
      </c>
      <c r="T1276" t="str">
        <f>IF(COUNTIF(Customers!$A$2:$A$301,C1276)=0,"Missing","OK")</f>
        <v>OK</v>
      </c>
      <c r="U1276" t="str">
        <f t="shared" si="58"/>
        <v>Bengaluru</v>
      </c>
      <c r="V1276">
        <f t="shared" si="59"/>
        <v>0</v>
      </c>
    </row>
    <row r="1277" spans="1:22" ht="15" customHeight="1" x14ac:dyDescent="0.35">
      <c r="A1277" s="3" t="s">
        <v>1702</v>
      </c>
      <c r="B1277" s="4">
        <v>45413</v>
      </c>
      <c r="C1277" s="3" t="s">
        <v>545</v>
      </c>
      <c r="D1277" s="3" t="s">
        <v>400</v>
      </c>
      <c r="E1277" s="3" t="s">
        <v>127</v>
      </c>
      <c r="F1277" s="5">
        <v>8</v>
      </c>
      <c r="G1277" s="5">
        <v>3780</v>
      </c>
      <c r="H1277" s="5">
        <v>17.100000000000001</v>
      </c>
      <c r="I1277" s="5">
        <v>25068.959999999999</v>
      </c>
      <c r="J1277" s="3" t="s">
        <v>26</v>
      </c>
      <c r="K1277" s="3" t="s">
        <v>51</v>
      </c>
      <c r="L1277" t="str">
        <f>IFERROR(VLOOKUP(D1277,Products!$A$2:$F$61,3,FALSE()),"")</f>
        <v>Sports</v>
      </c>
      <c r="M1277" t="str">
        <f>IFERROR(VLOOKUP(E1277,Sales_Reps!$A$2:$C$31,3,FALSE()),"")</f>
        <v>South</v>
      </c>
      <c r="N1277">
        <f>IFERROR(VLOOKUP(D1277,Products!$A$2:$F$61,4,FALSE()),"")</f>
        <v>1860</v>
      </c>
      <c r="O1277" t="str">
        <f>IFERROR(VLOOKUP(C1277,Customers!$A$2:$F$301,5,FALSE()),"")</f>
        <v>Retail</v>
      </c>
      <c r="P1277">
        <f>IFERROR(VLOOKUP(C1277,Customers!$A$2:$F$301,3,FALSE()),"")</f>
        <v>52</v>
      </c>
      <c r="Q1277">
        <f t="shared" si="57"/>
        <v>0.50793650793650791</v>
      </c>
      <c r="R1277">
        <f>IF(AND(COUNTIF($A$2:$A$2047,A1277)&gt;1,COUNTIF($A$2:A1277,A1277)=1),1,0)</f>
        <v>0</v>
      </c>
      <c r="S1277" t="b">
        <f>IFERROR(VLOOKUP(D1277,Products!$A$2:$F$61,6,FALSE()),"")</f>
        <v>1</v>
      </c>
      <c r="T1277" t="str">
        <f>IF(COUNTIF(Customers!$A$2:$A$301,C1277)=0,"Missing","OK")</f>
        <v>OK</v>
      </c>
      <c r="U1277" t="str">
        <f t="shared" si="58"/>
        <v>Mumbai</v>
      </c>
      <c r="V1277">
        <f t="shared" si="59"/>
        <v>0</v>
      </c>
    </row>
    <row r="1278" spans="1:22" ht="15" customHeight="1" x14ac:dyDescent="0.35">
      <c r="A1278" s="3" t="s">
        <v>1703</v>
      </c>
      <c r="B1278" s="4">
        <v>45437</v>
      </c>
      <c r="C1278" s="3" t="s">
        <v>136</v>
      </c>
      <c r="D1278" s="3" t="s">
        <v>277</v>
      </c>
      <c r="E1278" s="3" t="s">
        <v>154</v>
      </c>
      <c r="F1278" s="5">
        <v>10</v>
      </c>
      <c r="G1278" s="5">
        <v>2210</v>
      </c>
      <c r="H1278" s="5">
        <v>8.5</v>
      </c>
      <c r="I1278" s="5">
        <v>20221.5</v>
      </c>
      <c r="J1278" s="3" t="s">
        <v>26</v>
      </c>
      <c r="K1278" s="3" t="s">
        <v>27</v>
      </c>
      <c r="L1278" t="str">
        <f>IFERROR(VLOOKUP(D1278,Products!$A$2:$F$61,3,FALSE()),"")</f>
        <v>Grocery</v>
      </c>
      <c r="M1278" t="str">
        <f>IFERROR(VLOOKUP(E1278,Sales_Reps!$A$2:$C$31,3,FALSE()),"")</f>
        <v>North</v>
      </c>
      <c r="N1278">
        <f>IFERROR(VLOOKUP(D1278,Products!$A$2:$F$61,4,FALSE()),"")</f>
        <v>1010</v>
      </c>
      <c r="O1278" t="str">
        <f>IFERROR(VLOOKUP(C1278,Customers!$A$2:$F$301,5,FALSE()),"")</f>
        <v>Corporate</v>
      </c>
      <c r="P1278">
        <f>IFERROR(VLOOKUP(C1278,Customers!$A$2:$F$301,3,FALSE()),"")</f>
        <v>47</v>
      </c>
      <c r="Q1278">
        <f t="shared" si="57"/>
        <v>0.54298642533936647</v>
      </c>
      <c r="R1278">
        <f>IF(AND(COUNTIF($A$2:$A$2047,A1278)&gt;1,COUNTIF($A$2:A1278,A1278)=1),1,0)</f>
        <v>0</v>
      </c>
      <c r="S1278" t="b">
        <f>IFERROR(VLOOKUP(D1278,Products!$A$2:$F$61,6,FALSE()),"")</f>
        <v>1</v>
      </c>
      <c r="T1278" t="str">
        <f>IF(COUNTIF(Customers!$A$2:$A$301,C1278)=0,"Missing","OK")</f>
        <v>OK</v>
      </c>
      <c r="U1278" t="str">
        <f t="shared" si="58"/>
        <v>Pune</v>
      </c>
      <c r="V1278">
        <f t="shared" si="59"/>
        <v>0</v>
      </c>
    </row>
    <row r="1279" spans="1:22" ht="15" customHeight="1" x14ac:dyDescent="0.35">
      <c r="A1279" s="3" t="s">
        <v>1704</v>
      </c>
      <c r="B1279" s="4">
        <v>45604</v>
      </c>
      <c r="C1279" s="3" t="s">
        <v>1170</v>
      </c>
      <c r="D1279" s="3" t="s">
        <v>277</v>
      </c>
      <c r="E1279" s="3" t="s">
        <v>127</v>
      </c>
      <c r="F1279" s="5">
        <v>4</v>
      </c>
      <c r="G1279" s="5">
        <v>2210</v>
      </c>
      <c r="H1279" s="5">
        <v>3.1</v>
      </c>
      <c r="I1279" s="5">
        <v>8565.9599999999991</v>
      </c>
      <c r="J1279" s="3" t="s">
        <v>26</v>
      </c>
      <c r="K1279" s="3" t="s">
        <v>27</v>
      </c>
      <c r="L1279" t="str">
        <f>IFERROR(VLOOKUP(D1279,Products!$A$2:$F$61,3,FALSE()),"")</f>
        <v>Grocery</v>
      </c>
      <c r="M1279" t="str">
        <f>IFERROR(VLOOKUP(E1279,Sales_Reps!$A$2:$C$31,3,FALSE()),"")</f>
        <v>South</v>
      </c>
      <c r="N1279">
        <f>IFERROR(VLOOKUP(D1279,Products!$A$2:$F$61,4,FALSE()),"")</f>
        <v>1010</v>
      </c>
      <c r="O1279" t="str">
        <f>IFERROR(VLOOKUP(C1279,Customers!$A$2:$F$301,5,FALSE()),"")</f>
        <v>Retail</v>
      </c>
      <c r="P1279">
        <f>IFERROR(VLOOKUP(C1279,Customers!$A$2:$F$301,3,FALSE()),"")</f>
        <v>42</v>
      </c>
      <c r="Q1279">
        <f t="shared" si="57"/>
        <v>0.54298642533936647</v>
      </c>
      <c r="R1279">
        <f>IF(AND(COUNTIF($A$2:$A$2047,A1279)&gt;1,COUNTIF($A$2:A1279,A1279)=1),1,0)</f>
        <v>0</v>
      </c>
      <c r="S1279" t="b">
        <f>IFERROR(VLOOKUP(D1279,Products!$A$2:$F$61,6,FALSE()),"")</f>
        <v>1</v>
      </c>
      <c r="T1279" t="str">
        <f>IF(COUNTIF(Customers!$A$2:$A$301,C1279)=0,"Missing","OK")</f>
        <v>OK</v>
      </c>
      <c r="U1279" t="str">
        <f t="shared" si="58"/>
        <v>Pune</v>
      </c>
      <c r="V1279">
        <f t="shared" si="59"/>
        <v>0</v>
      </c>
    </row>
    <row r="1280" spans="1:22" ht="15" customHeight="1" x14ac:dyDescent="0.35">
      <c r="A1280" s="3" t="s">
        <v>1705</v>
      </c>
      <c r="B1280" s="4">
        <v>45540</v>
      </c>
      <c r="C1280" s="3" t="s">
        <v>399</v>
      </c>
      <c r="D1280" s="3" t="s">
        <v>115</v>
      </c>
      <c r="E1280" s="3" t="s">
        <v>127</v>
      </c>
      <c r="F1280" s="5">
        <v>1</v>
      </c>
      <c r="G1280" s="5">
        <v>1650</v>
      </c>
      <c r="H1280" s="5">
        <v>10</v>
      </c>
      <c r="I1280" s="5">
        <v>1485</v>
      </c>
      <c r="J1280" s="3" t="s">
        <v>26</v>
      </c>
      <c r="K1280" s="3" t="s">
        <v>27</v>
      </c>
      <c r="L1280" t="str">
        <f>IFERROR(VLOOKUP(D1280,Products!$A$2:$F$61,3,FALSE()),"")</f>
        <v>Beauty</v>
      </c>
      <c r="M1280" t="str">
        <f>IFERROR(VLOOKUP(E1280,Sales_Reps!$A$2:$C$31,3,FALSE()),"")</f>
        <v>South</v>
      </c>
      <c r="N1280">
        <f>IFERROR(VLOOKUP(D1280,Products!$A$2:$F$61,4,FALSE()),"")</f>
        <v>1222</v>
      </c>
      <c r="O1280" t="str">
        <f>IFERROR(VLOOKUP(C1280,Customers!$A$2:$F$301,5,FALSE()),"")</f>
        <v>Corporate</v>
      </c>
      <c r="P1280">
        <f>IFERROR(VLOOKUP(C1280,Customers!$A$2:$F$301,3,FALSE()),"")</f>
        <v>37</v>
      </c>
      <c r="Q1280">
        <f t="shared" si="57"/>
        <v>0.2593939393939394</v>
      </c>
      <c r="R1280">
        <f>IF(AND(COUNTIF($A$2:$A$2047,A1280)&gt;1,COUNTIF($A$2:A1280,A1280)=1),1,0)</f>
        <v>0</v>
      </c>
      <c r="S1280" t="b">
        <f>IFERROR(VLOOKUP(D1280,Products!$A$2:$F$61,6,FALSE()),"")</f>
        <v>1</v>
      </c>
      <c r="T1280" t="str">
        <f>IF(COUNTIF(Customers!$A$2:$A$301,C1280)=0,"Missing","OK")</f>
        <v>OK</v>
      </c>
      <c r="U1280" t="str">
        <f t="shared" si="58"/>
        <v>Pune</v>
      </c>
      <c r="V1280">
        <f t="shared" si="59"/>
        <v>0</v>
      </c>
    </row>
    <row r="1281" spans="1:22" ht="15" customHeight="1" x14ac:dyDescent="0.35">
      <c r="A1281" s="3" t="s">
        <v>1706</v>
      </c>
      <c r="B1281" s="4">
        <v>45597</v>
      </c>
      <c r="C1281" s="3" t="s">
        <v>350</v>
      </c>
      <c r="D1281" s="3" t="s">
        <v>86</v>
      </c>
      <c r="E1281" s="3" t="s">
        <v>31</v>
      </c>
      <c r="F1281" s="5">
        <v>6</v>
      </c>
      <c r="G1281" s="5">
        <v>190</v>
      </c>
      <c r="H1281" s="5">
        <v>3.5</v>
      </c>
      <c r="I1281" s="5">
        <v>1100.0999999999999</v>
      </c>
      <c r="J1281" s="3" t="s">
        <v>79</v>
      </c>
      <c r="K1281" s="3" t="s">
        <v>51</v>
      </c>
      <c r="L1281" t="str">
        <f>IFERROR(VLOOKUP(D1281,Products!$A$2:$F$61,3,FALSE()),"")</f>
        <v>Sports</v>
      </c>
      <c r="M1281" t="str">
        <f>IFERROR(VLOOKUP(E1281,Sales_Reps!$A$2:$C$31,3,FALSE()),"")</f>
        <v>North</v>
      </c>
      <c r="N1281">
        <f>IFERROR(VLOOKUP(D1281,Products!$A$2:$F$61,4,FALSE()),"")</f>
        <v>147</v>
      </c>
      <c r="O1281" t="str">
        <f>IFERROR(VLOOKUP(C1281,Customers!$A$2:$F$301,5,FALSE()),"")</f>
        <v>Retail</v>
      </c>
      <c r="P1281">
        <f>IFERROR(VLOOKUP(C1281,Customers!$A$2:$F$301,3,FALSE()),"")</f>
        <v>61</v>
      </c>
      <c r="Q1281">
        <f t="shared" si="57"/>
        <v>0.22631578947368422</v>
      </c>
      <c r="R1281">
        <f>IF(AND(COUNTIF($A$2:$A$2047,A1281)&gt;1,COUNTIF($A$2:A1281,A1281)=1),1,0)</f>
        <v>0</v>
      </c>
      <c r="S1281" t="b">
        <f>IFERROR(VLOOKUP(D1281,Products!$A$2:$F$61,6,FALSE()),"")</f>
        <v>1</v>
      </c>
      <c r="T1281" t="str">
        <f>IF(COUNTIF(Customers!$A$2:$A$301,C1281)=0,"Missing","OK")</f>
        <v>OK</v>
      </c>
      <c r="U1281" t="str">
        <f t="shared" si="58"/>
        <v>Mumbai</v>
      </c>
      <c r="V1281">
        <f t="shared" si="59"/>
        <v>0</v>
      </c>
    </row>
    <row r="1282" spans="1:22" ht="15" customHeight="1" x14ac:dyDescent="0.35">
      <c r="A1282" s="3" t="s">
        <v>1707</v>
      </c>
      <c r="B1282" s="4">
        <v>45589</v>
      </c>
      <c r="C1282" s="3" t="s">
        <v>333</v>
      </c>
      <c r="D1282" s="3" t="s">
        <v>134</v>
      </c>
      <c r="E1282" s="3" t="s">
        <v>282</v>
      </c>
      <c r="F1282" s="5">
        <v>8</v>
      </c>
      <c r="G1282" s="5">
        <v>2860</v>
      </c>
      <c r="H1282" s="5">
        <v>14.7</v>
      </c>
      <c r="I1282" s="5">
        <v>19516.64</v>
      </c>
      <c r="J1282" s="3" t="s">
        <v>26</v>
      </c>
      <c r="K1282" s="3" t="s">
        <v>56</v>
      </c>
      <c r="L1282" t="str">
        <f>IFERROR(VLOOKUP(D1282,Products!$A$2:$F$61,3,FALSE()),"")</f>
        <v>Sports</v>
      </c>
      <c r="M1282" t="str">
        <f>IFERROR(VLOOKUP(E1282,Sales_Reps!$A$2:$C$31,3,FALSE()),"")</f>
        <v>West</v>
      </c>
      <c r="N1282">
        <f>IFERROR(VLOOKUP(D1282,Products!$A$2:$F$61,4,FALSE()),"")</f>
        <v>2028</v>
      </c>
      <c r="O1282" t="str">
        <f>IFERROR(VLOOKUP(C1282,Customers!$A$2:$F$301,5,FALSE()),"")</f>
        <v>SMB</v>
      </c>
      <c r="P1282">
        <f>IFERROR(VLOOKUP(C1282,Customers!$A$2:$F$301,3,FALSE()),"")</f>
        <v>28</v>
      </c>
      <c r="Q1282">
        <f t="shared" ref="Q1282:Q1345" si="60">IFERROR((G1282-N1282)/G1282,"")</f>
        <v>0.29090909090909089</v>
      </c>
      <c r="R1282">
        <f>IF(AND(COUNTIF($A$2:$A$2047,A1282)&gt;1,COUNTIF($A$2:A1282,A1282)=1),1,0)</f>
        <v>0</v>
      </c>
      <c r="S1282" t="b">
        <f>IFERROR(VLOOKUP(D1282,Products!$A$2:$F$61,6,FALSE()),"")</f>
        <v>1</v>
      </c>
      <c r="T1282" t="str">
        <f>IF(COUNTIF(Customers!$A$2:$A$301,C1282)=0,"Missing","OK")</f>
        <v>OK</v>
      </c>
      <c r="U1282" t="str">
        <f t="shared" ref="U1282:U1345" si="61">IF(K1282="","",PROPER(TRIM(K1282)))</f>
        <v>Bengaluru</v>
      </c>
      <c r="V1282">
        <f t="shared" ref="V1282:V1345" si="62">IF(AND(U1282="Bengaluru",L1282="Grocery"),I1282,0)</f>
        <v>0</v>
      </c>
    </row>
    <row r="1283" spans="1:22" ht="15" customHeight="1" x14ac:dyDescent="0.35">
      <c r="A1283" s="3" t="s">
        <v>1708</v>
      </c>
      <c r="B1283" s="4">
        <v>45448</v>
      </c>
      <c r="C1283" s="3" t="s">
        <v>158</v>
      </c>
      <c r="D1283" s="3" t="s">
        <v>221</v>
      </c>
      <c r="E1283" s="3" t="s">
        <v>109</v>
      </c>
      <c r="F1283" s="5">
        <v>9</v>
      </c>
      <c r="G1283" s="5">
        <v>300</v>
      </c>
      <c r="H1283" s="5">
        <v>19.5</v>
      </c>
      <c r="I1283" s="5">
        <v>2173.5</v>
      </c>
      <c r="J1283" s="3" t="s">
        <v>26</v>
      </c>
      <c r="K1283" s="3" t="s">
        <v>38</v>
      </c>
      <c r="L1283" t="str">
        <f>IFERROR(VLOOKUP(D1283,Products!$A$2:$F$61,3,FALSE()),"")</f>
        <v>Electronics</v>
      </c>
      <c r="M1283" t="str">
        <f>IFERROR(VLOOKUP(E1283,Sales_Reps!$A$2:$C$31,3,FALSE()),"")</f>
        <v>West</v>
      </c>
      <c r="N1283">
        <f>IFERROR(VLOOKUP(D1283,Products!$A$2:$F$61,4,FALSE()),"")</f>
        <v>128</v>
      </c>
      <c r="O1283" t="str">
        <f>IFERROR(VLOOKUP(C1283,Customers!$A$2:$F$301,5,FALSE()),"")</f>
        <v>SMB</v>
      </c>
      <c r="P1283">
        <f>IFERROR(VLOOKUP(C1283,Customers!$A$2:$F$301,3,FALSE()),"")</f>
        <v>50</v>
      </c>
      <c r="Q1283">
        <f t="shared" si="60"/>
        <v>0.57333333333333336</v>
      </c>
      <c r="R1283">
        <f>IF(AND(COUNTIF($A$2:$A$2047,A1283)&gt;1,COUNTIF($A$2:A1283,A1283)=1),1,0)</f>
        <v>0</v>
      </c>
      <c r="S1283" t="b">
        <f>IFERROR(VLOOKUP(D1283,Products!$A$2:$F$61,6,FALSE()),"")</f>
        <v>1</v>
      </c>
      <c r="T1283" t="str">
        <f>IF(COUNTIF(Customers!$A$2:$A$301,C1283)=0,"Missing","OK")</f>
        <v>OK</v>
      </c>
      <c r="U1283" t="str">
        <f t="shared" si="61"/>
        <v>Delhi</v>
      </c>
      <c r="V1283">
        <f t="shared" si="62"/>
        <v>0</v>
      </c>
    </row>
    <row r="1284" spans="1:22" ht="15" customHeight="1" x14ac:dyDescent="0.35">
      <c r="A1284" s="3" t="s">
        <v>1709</v>
      </c>
      <c r="B1284" s="4">
        <v>45608</v>
      </c>
      <c r="C1284" s="3" t="s">
        <v>909</v>
      </c>
      <c r="D1284" s="3" t="s">
        <v>319</v>
      </c>
      <c r="E1284" s="3" t="s">
        <v>25</v>
      </c>
      <c r="F1284" s="5">
        <v>10</v>
      </c>
      <c r="G1284" s="5">
        <v>960</v>
      </c>
      <c r="H1284" s="5">
        <v>9.6999999999999993</v>
      </c>
      <c r="I1284" s="5">
        <v>8668.7999999999993</v>
      </c>
      <c r="J1284" s="3" t="s">
        <v>26</v>
      </c>
      <c r="K1284" s="3" t="s">
        <v>51</v>
      </c>
      <c r="L1284" t="str">
        <f>IFERROR(VLOOKUP(D1284,Products!$A$2:$F$61,3,FALSE()),"")</f>
        <v>Beauty</v>
      </c>
      <c r="M1284" t="str">
        <f>IFERROR(VLOOKUP(E1284,Sales_Reps!$A$2:$C$31,3,FALSE()),"")</f>
        <v>North</v>
      </c>
      <c r="N1284">
        <f>IFERROR(VLOOKUP(D1284,Products!$A$2:$F$61,4,FALSE()),"")</f>
        <v>675</v>
      </c>
      <c r="O1284" t="str">
        <f>IFERROR(VLOOKUP(C1284,Customers!$A$2:$F$301,5,FALSE()),"")</f>
        <v>Retail</v>
      </c>
      <c r="P1284">
        <f>IFERROR(VLOOKUP(C1284,Customers!$A$2:$F$301,3,FALSE()),"")</f>
        <v>40</v>
      </c>
      <c r="Q1284">
        <f t="shared" si="60"/>
        <v>0.296875</v>
      </c>
      <c r="R1284">
        <f>IF(AND(COUNTIF($A$2:$A$2047,A1284)&gt;1,COUNTIF($A$2:A1284,A1284)=1),1,0)</f>
        <v>0</v>
      </c>
      <c r="S1284" t="b">
        <f>IFERROR(VLOOKUP(D1284,Products!$A$2:$F$61,6,FALSE()),"")</f>
        <v>1</v>
      </c>
      <c r="T1284" t="str">
        <f>IF(COUNTIF(Customers!$A$2:$A$301,C1284)=0,"Missing","OK")</f>
        <v>OK</v>
      </c>
      <c r="U1284" t="str">
        <f t="shared" si="61"/>
        <v>Mumbai</v>
      </c>
      <c r="V1284">
        <f t="shared" si="62"/>
        <v>0</v>
      </c>
    </row>
    <row r="1285" spans="1:22" ht="15" customHeight="1" x14ac:dyDescent="0.35">
      <c r="A1285" s="3" t="s">
        <v>1710</v>
      </c>
      <c r="B1285" s="4">
        <v>45421</v>
      </c>
      <c r="C1285" s="3" t="s">
        <v>884</v>
      </c>
      <c r="D1285" s="3" t="s">
        <v>30</v>
      </c>
      <c r="E1285" s="3" t="s">
        <v>191</v>
      </c>
      <c r="F1285" s="5">
        <v>5</v>
      </c>
      <c r="G1285" s="5">
        <v>820</v>
      </c>
      <c r="H1285" s="5">
        <v>0.5</v>
      </c>
      <c r="I1285" s="5">
        <v>4079.5</v>
      </c>
      <c r="J1285" s="3" t="s">
        <v>26</v>
      </c>
      <c r="K1285" s="3" t="s">
        <v>27</v>
      </c>
      <c r="L1285" t="str">
        <f>IFERROR(VLOOKUP(D1285,Products!$A$2:$F$61,3,FALSE()),"")</f>
        <v>Apparel</v>
      </c>
      <c r="M1285" t="str">
        <f>IFERROR(VLOOKUP(E1285,Sales_Reps!$A$2:$C$31,3,FALSE()),"")</f>
        <v>South</v>
      </c>
      <c r="N1285">
        <f>IFERROR(VLOOKUP(D1285,Products!$A$2:$F$61,4,FALSE()),"")</f>
        <v>391</v>
      </c>
      <c r="O1285" t="str">
        <f>IFERROR(VLOOKUP(C1285,Customers!$A$2:$F$301,5,FALSE()),"")</f>
        <v>Retail</v>
      </c>
      <c r="P1285">
        <f>IFERROR(VLOOKUP(C1285,Customers!$A$2:$F$301,3,FALSE()),"")</f>
        <v>54</v>
      </c>
      <c r="Q1285">
        <f t="shared" si="60"/>
        <v>0.52317073170731709</v>
      </c>
      <c r="R1285">
        <f>IF(AND(COUNTIF($A$2:$A$2047,A1285)&gt;1,COUNTIF($A$2:A1285,A1285)=1),1,0)</f>
        <v>0</v>
      </c>
      <c r="S1285" t="b">
        <f>IFERROR(VLOOKUP(D1285,Products!$A$2:$F$61,6,FALSE()),"")</f>
        <v>1</v>
      </c>
      <c r="T1285" t="str">
        <f>IF(COUNTIF(Customers!$A$2:$A$301,C1285)=0,"Missing","OK")</f>
        <v>OK</v>
      </c>
      <c r="U1285" t="str">
        <f t="shared" si="61"/>
        <v>Pune</v>
      </c>
      <c r="V1285">
        <f t="shared" si="62"/>
        <v>0</v>
      </c>
    </row>
    <row r="1286" spans="1:22" ht="15" customHeight="1" x14ac:dyDescent="0.35">
      <c r="A1286" s="3" t="s">
        <v>1711</v>
      </c>
      <c r="B1286" s="4">
        <v>45383</v>
      </c>
      <c r="C1286" s="3" t="s">
        <v>223</v>
      </c>
      <c r="D1286" s="3" t="s">
        <v>49</v>
      </c>
      <c r="E1286" s="3" t="s">
        <v>78</v>
      </c>
      <c r="F1286" s="5">
        <v>2</v>
      </c>
      <c r="G1286" s="5">
        <v>370</v>
      </c>
      <c r="H1286" s="5">
        <v>10.5</v>
      </c>
      <c r="I1286" s="5">
        <v>662.3</v>
      </c>
      <c r="J1286" s="3" t="s">
        <v>32</v>
      </c>
      <c r="K1286" s="3" t="s">
        <v>33</v>
      </c>
      <c r="L1286" t="str">
        <f>IFERROR(VLOOKUP(D1286,Products!$A$2:$F$61,3,FALSE()),"")</f>
        <v>Home</v>
      </c>
      <c r="M1286" t="str">
        <f>IFERROR(VLOOKUP(E1286,Sales_Reps!$A$2:$C$31,3,FALSE()),"")</f>
        <v>North</v>
      </c>
      <c r="N1286">
        <f>IFERROR(VLOOKUP(D1286,Products!$A$2:$F$61,4,FALSE()),"")</f>
        <v>288</v>
      </c>
      <c r="O1286" t="str">
        <f>IFERROR(VLOOKUP(C1286,Customers!$A$2:$F$301,5,FALSE()),"")</f>
        <v>Retail</v>
      </c>
      <c r="P1286">
        <f>IFERROR(VLOOKUP(C1286,Customers!$A$2:$F$301,3,FALSE()),"")</f>
        <v>28</v>
      </c>
      <c r="Q1286">
        <f t="shared" si="60"/>
        <v>0.22162162162162163</v>
      </c>
      <c r="R1286">
        <f>IF(AND(COUNTIF($A$2:$A$2047,A1286)&gt;1,COUNTIF($A$2:A1286,A1286)=1),1,0)</f>
        <v>0</v>
      </c>
      <c r="S1286" t="b">
        <f>IFERROR(VLOOKUP(D1286,Products!$A$2:$F$61,6,FALSE()),"")</f>
        <v>1</v>
      </c>
      <c r="T1286" t="str">
        <f>IF(COUNTIF(Customers!$A$2:$A$301,C1286)=0,"Missing","OK")</f>
        <v>OK</v>
      </c>
      <c r="U1286" t="str">
        <f t="shared" si="61"/>
        <v>Chennai</v>
      </c>
      <c r="V1286">
        <f t="shared" si="62"/>
        <v>0</v>
      </c>
    </row>
    <row r="1287" spans="1:22" ht="15" customHeight="1" x14ac:dyDescent="0.35">
      <c r="A1287" s="3" t="s">
        <v>1712</v>
      </c>
      <c r="B1287" s="4">
        <v>45453</v>
      </c>
      <c r="C1287" s="3" t="s">
        <v>625</v>
      </c>
      <c r="D1287" s="3" t="s">
        <v>63</v>
      </c>
      <c r="E1287" s="3" t="s">
        <v>93</v>
      </c>
      <c r="F1287" s="5">
        <v>9</v>
      </c>
      <c r="G1287" s="5">
        <v>5490</v>
      </c>
      <c r="H1287" s="5">
        <v>14.2</v>
      </c>
      <c r="I1287" s="5">
        <v>42393.78</v>
      </c>
      <c r="J1287" s="3" t="s">
        <v>79</v>
      </c>
      <c r="K1287" s="3" t="s">
        <v>51</v>
      </c>
      <c r="L1287" t="str">
        <f>IFERROR(VLOOKUP(D1287,Products!$A$2:$F$61,3,FALSE()),"")</f>
        <v>Home</v>
      </c>
      <c r="M1287" t="str">
        <f>IFERROR(VLOOKUP(E1287,Sales_Reps!$A$2:$C$31,3,FALSE()),"")</f>
        <v>East</v>
      </c>
      <c r="N1287">
        <f>IFERROR(VLOOKUP(D1287,Products!$A$2:$F$61,4,FALSE()),"")</f>
        <v>2549</v>
      </c>
      <c r="O1287" t="str">
        <f>IFERROR(VLOOKUP(C1287,Customers!$A$2:$F$301,5,FALSE()),"")</f>
        <v>Retail</v>
      </c>
      <c r="P1287">
        <f>IFERROR(VLOOKUP(C1287,Customers!$A$2:$F$301,3,FALSE()),"")</f>
        <v>35</v>
      </c>
      <c r="Q1287">
        <f t="shared" si="60"/>
        <v>0.53570127504553733</v>
      </c>
      <c r="R1287">
        <f>IF(AND(COUNTIF($A$2:$A$2047,A1287)&gt;1,COUNTIF($A$2:A1287,A1287)=1),1,0)</f>
        <v>0</v>
      </c>
      <c r="S1287" t="b">
        <f>IFERROR(VLOOKUP(D1287,Products!$A$2:$F$61,6,FALSE()),"")</f>
        <v>1</v>
      </c>
      <c r="T1287" t="str">
        <f>IF(COUNTIF(Customers!$A$2:$A$301,C1287)=0,"Missing","OK")</f>
        <v>OK</v>
      </c>
      <c r="U1287" t="str">
        <f t="shared" si="61"/>
        <v>Mumbai</v>
      </c>
      <c r="V1287">
        <f t="shared" si="62"/>
        <v>0</v>
      </c>
    </row>
    <row r="1288" spans="1:22" ht="15" customHeight="1" x14ac:dyDescent="0.35">
      <c r="A1288" s="3" t="s">
        <v>1713</v>
      </c>
      <c r="B1288" s="4">
        <v>45398</v>
      </c>
      <c r="C1288" s="3" t="s">
        <v>822</v>
      </c>
      <c r="D1288" s="3" t="s">
        <v>49</v>
      </c>
      <c r="E1288" s="3" t="s">
        <v>242</v>
      </c>
      <c r="F1288" s="5">
        <v>3</v>
      </c>
      <c r="G1288" s="5">
        <v>370</v>
      </c>
      <c r="H1288" s="5">
        <v>18.399999999999999</v>
      </c>
      <c r="I1288" s="5">
        <v>905.76</v>
      </c>
      <c r="J1288" s="3" t="s">
        <v>26</v>
      </c>
      <c r="K1288" s="3" t="s">
        <v>72</v>
      </c>
      <c r="L1288" t="str">
        <f>IFERROR(VLOOKUP(D1288,Products!$A$2:$F$61,3,FALSE()),"")</f>
        <v>Home</v>
      </c>
      <c r="M1288" t="str">
        <f>IFERROR(VLOOKUP(E1288,Sales_Reps!$A$2:$C$31,3,FALSE()),"")</f>
        <v>East</v>
      </c>
      <c r="N1288">
        <f>IFERROR(VLOOKUP(D1288,Products!$A$2:$F$61,4,FALSE()),"")</f>
        <v>288</v>
      </c>
      <c r="O1288" t="str">
        <f>IFERROR(VLOOKUP(C1288,Customers!$A$2:$F$301,5,FALSE()),"")</f>
        <v>SMB</v>
      </c>
      <c r="P1288">
        <f>IFERROR(VLOOKUP(C1288,Customers!$A$2:$F$301,3,FALSE()),"")</f>
        <v>28</v>
      </c>
      <c r="Q1288">
        <f t="shared" si="60"/>
        <v>0.22162162162162163</v>
      </c>
      <c r="R1288">
        <f>IF(AND(COUNTIF($A$2:$A$2047,A1288)&gt;1,COUNTIF($A$2:A1288,A1288)=1),1,0)</f>
        <v>0</v>
      </c>
      <c r="S1288" t="b">
        <f>IFERROR(VLOOKUP(D1288,Products!$A$2:$F$61,6,FALSE()),"")</f>
        <v>1</v>
      </c>
      <c r="T1288" t="str">
        <f>IF(COUNTIF(Customers!$A$2:$A$301,C1288)=0,"Missing","OK")</f>
        <v>OK</v>
      </c>
      <c r="U1288" t="str">
        <f t="shared" si="61"/>
        <v>Hyderabad</v>
      </c>
      <c r="V1288">
        <f t="shared" si="62"/>
        <v>0</v>
      </c>
    </row>
    <row r="1289" spans="1:22" ht="15" customHeight="1" x14ac:dyDescent="0.35">
      <c r="A1289" s="3" t="s">
        <v>1714</v>
      </c>
      <c r="B1289" s="4">
        <v>45584</v>
      </c>
      <c r="C1289" s="3" t="s">
        <v>534</v>
      </c>
      <c r="D1289" s="3" t="s">
        <v>86</v>
      </c>
      <c r="E1289" s="3" t="s">
        <v>242</v>
      </c>
      <c r="F1289" s="5">
        <v>6</v>
      </c>
      <c r="G1289" s="5">
        <v>190</v>
      </c>
      <c r="H1289" s="5">
        <v>12.9</v>
      </c>
      <c r="I1289" s="5">
        <v>992.94</v>
      </c>
      <c r="J1289" s="3" t="s">
        <v>26</v>
      </c>
      <c r="K1289" s="3" t="s">
        <v>38</v>
      </c>
      <c r="L1289" t="str">
        <f>IFERROR(VLOOKUP(D1289,Products!$A$2:$F$61,3,FALSE()),"")</f>
        <v>Sports</v>
      </c>
      <c r="M1289" t="str">
        <f>IFERROR(VLOOKUP(E1289,Sales_Reps!$A$2:$C$31,3,FALSE()),"")</f>
        <v>East</v>
      </c>
      <c r="N1289">
        <f>IFERROR(VLOOKUP(D1289,Products!$A$2:$F$61,4,FALSE()),"")</f>
        <v>147</v>
      </c>
      <c r="O1289" t="str">
        <f>IFERROR(VLOOKUP(C1289,Customers!$A$2:$F$301,5,FALSE()),"")</f>
        <v>SMB</v>
      </c>
      <c r="P1289">
        <f>IFERROR(VLOOKUP(C1289,Customers!$A$2:$F$301,3,FALSE()),"")</f>
        <v>48</v>
      </c>
      <c r="Q1289">
        <f t="shared" si="60"/>
        <v>0.22631578947368422</v>
      </c>
      <c r="R1289">
        <f>IF(AND(COUNTIF($A$2:$A$2047,A1289)&gt;1,COUNTIF($A$2:A1289,A1289)=1),1,0)</f>
        <v>0</v>
      </c>
      <c r="S1289" t="b">
        <f>IFERROR(VLOOKUP(D1289,Products!$A$2:$F$61,6,FALSE()),"")</f>
        <v>1</v>
      </c>
      <c r="T1289" t="str">
        <f>IF(COUNTIF(Customers!$A$2:$A$301,C1289)=0,"Missing","OK")</f>
        <v>OK</v>
      </c>
      <c r="U1289" t="str">
        <f t="shared" si="61"/>
        <v>Delhi</v>
      </c>
      <c r="V1289">
        <f t="shared" si="62"/>
        <v>0</v>
      </c>
    </row>
    <row r="1290" spans="1:22" ht="15" customHeight="1" x14ac:dyDescent="0.35">
      <c r="A1290" s="3" t="s">
        <v>1715</v>
      </c>
      <c r="B1290" s="4">
        <v>45397</v>
      </c>
      <c r="C1290" s="3" t="s">
        <v>315</v>
      </c>
      <c r="D1290" s="3" t="s">
        <v>277</v>
      </c>
      <c r="E1290" s="3" t="s">
        <v>93</v>
      </c>
      <c r="F1290" s="5">
        <v>8</v>
      </c>
      <c r="G1290" s="5">
        <v>2210</v>
      </c>
      <c r="H1290" s="5">
        <v>9.8000000000000007</v>
      </c>
      <c r="I1290" s="5">
        <v>15947.36</v>
      </c>
      <c r="J1290" s="3" t="s">
        <v>26</v>
      </c>
      <c r="K1290" s="3" t="s">
        <v>56</v>
      </c>
      <c r="L1290" t="str">
        <f>IFERROR(VLOOKUP(D1290,Products!$A$2:$F$61,3,FALSE()),"")</f>
        <v>Grocery</v>
      </c>
      <c r="M1290" t="str">
        <f>IFERROR(VLOOKUP(E1290,Sales_Reps!$A$2:$C$31,3,FALSE()),"")</f>
        <v>East</v>
      </c>
      <c r="N1290">
        <f>IFERROR(VLOOKUP(D1290,Products!$A$2:$F$61,4,FALSE()),"")</f>
        <v>1010</v>
      </c>
      <c r="O1290" t="str">
        <f>IFERROR(VLOOKUP(C1290,Customers!$A$2:$F$301,5,FALSE()),"")</f>
        <v>SMB</v>
      </c>
      <c r="P1290">
        <f>IFERROR(VLOOKUP(C1290,Customers!$A$2:$F$301,3,FALSE()),"")</f>
        <v>44</v>
      </c>
      <c r="Q1290">
        <f t="shared" si="60"/>
        <v>0.54298642533936647</v>
      </c>
      <c r="R1290">
        <f>IF(AND(COUNTIF($A$2:$A$2047,A1290)&gt;1,COUNTIF($A$2:A1290,A1290)=1),1,0)</f>
        <v>0</v>
      </c>
      <c r="S1290" t="b">
        <f>IFERROR(VLOOKUP(D1290,Products!$A$2:$F$61,6,FALSE()),"")</f>
        <v>1</v>
      </c>
      <c r="T1290" t="str">
        <f>IF(COUNTIF(Customers!$A$2:$A$301,C1290)=0,"Missing","OK")</f>
        <v>OK</v>
      </c>
      <c r="U1290" t="str">
        <f t="shared" si="61"/>
        <v>Bengaluru</v>
      </c>
      <c r="V1290">
        <f t="shared" si="62"/>
        <v>15947.36</v>
      </c>
    </row>
    <row r="1291" spans="1:22" ht="15" customHeight="1" x14ac:dyDescent="0.35">
      <c r="A1291" s="3" t="s">
        <v>1716</v>
      </c>
      <c r="B1291" s="4">
        <v>45453</v>
      </c>
      <c r="C1291" s="3" t="s">
        <v>368</v>
      </c>
      <c r="D1291" s="3" t="s">
        <v>115</v>
      </c>
      <c r="E1291" s="3" t="s">
        <v>143</v>
      </c>
      <c r="F1291" s="5">
        <v>7</v>
      </c>
      <c r="G1291" s="5">
        <v>1650</v>
      </c>
      <c r="H1291" s="5">
        <v>8.4</v>
      </c>
      <c r="I1291" s="5">
        <v>10579.8</v>
      </c>
      <c r="J1291" s="3" t="s">
        <v>26</v>
      </c>
      <c r="K1291" s="3" t="s">
        <v>56</v>
      </c>
      <c r="L1291" t="str">
        <f>IFERROR(VLOOKUP(D1291,Products!$A$2:$F$61,3,FALSE()),"")</f>
        <v>Beauty</v>
      </c>
      <c r="M1291" t="str">
        <f>IFERROR(VLOOKUP(E1291,Sales_Reps!$A$2:$C$31,3,FALSE()),"")</f>
        <v>South</v>
      </c>
      <c r="N1291">
        <f>IFERROR(VLOOKUP(D1291,Products!$A$2:$F$61,4,FALSE()),"")</f>
        <v>1222</v>
      </c>
      <c r="O1291" t="str">
        <f>IFERROR(VLOOKUP(C1291,Customers!$A$2:$F$301,5,FALSE()),"")</f>
        <v>Retail</v>
      </c>
      <c r="P1291">
        <f>IFERROR(VLOOKUP(C1291,Customers!$A$2:$F$301,3,FALSE()),"")</f>
        <v>55</v>
      </c>
      <c r="Q1291">
        <f t="shared" si="60"/>
        <v>0.2593939393939394</v>
      </c>
      <c r="R1291">
        <f>IF(AND(COUNTIF($A$2:$A$2047,A1291)&gt;1,COUNTIF($A$2:A1291,A1291)=1),1,0)</f>
        <v>0</v>
      </c>
      <c r="S1291" t="b">
        <f>IFERROR(VLOOKUP(D1291,Products!$A$2:$F$61,6,FALSE()),"")</f>
        <v>1</v>
      </c>
      <c r="T1291" t="str">
        <f>IF(COUNTIF(Customers!$A$2:$A$301,C1291)=0,"Missing","OK")</f>
        <v>OK</v>
      </c>
      <c r="U1291" t="str">
        <f t="shared" si="61"/>
        <v>Bengaluru</v>
      </c>
      <c r="V1291">
        <f t="shared" si="62"/>
        <v>0</v>
      </c>
    </row>
    <row r="1292" spans="1:22" ht="15" customHeight="1" x14ac:dyDescent="0.35">
      <c r="A1292" s="3" t="s">
        <v>1717</v>
      </c>
      <c r="B1292" s="4">
        <v>45359</v>
      </c>
      <c r="C1292" s="3" t="s">
        <v>762</v>
      </c>
      <c r="D1292" s="3" t="s">
        <v>142</v>
      </c>
      <c r="E1292" s="3" t="s">
        <v>191</v>
      </c>
      <c r="F1292" s="5">
        <v>8</v>
      </c>
      <c r="G1292" s="5">
        <v>660</v>
      </c>
      <c r="H1292" s="5">
        <v>7.5</v>
      </c>
      <c r="I1292" s="5">
        <v>4884</v>
      </c>
      <c r="J1292" s="3" t="s">
        <v>26</v>
      </c>
      <c r="K1292" s="3" t="s">
        <v>33</v>
      </c>
      <c r="L1292" t="str">
        <f>IFERROR(VLOOKUP(D1292,Products!$A$2:$F$61,3,FALSE()),"")</f>
        <v>Home</v>
      </c>
      <c r="M1292" t="str">
        <f>IFERROR(VLOOKUP(E1292,Sales_Reps!$A$2:$C$31,3,FALSE()),"")</f>
        <v>South</v>
      </c>
      <c r="N1292">
        <f>IFERROR(VLOOKUP(D1292,Products!$A$2:$F$61,4,FALSE()),"")</f>
        <v>329</v>
      </c>
      <c r="O1292" t="str">
        <f>IFERROR(VLOOKUP(C1292,Customers!$A$2:$F$301,5,FALSE()),"")</f>
        <v>Retail</v>
      </c>
      <c r="P1292">
        <f>IFERROR(VLOOKUP(C1292,Customers!$A$2:$F$301,3,FALSE()),"")</f>
        <v>32</v>
      </c>
      <c r="Q1292">
        <f t="shared" si="60"/>
        <v>0.50151515151515147</v>
      </c>
      <c r="R1292">
        <f>IF(AND(COUNTIF($A$2:$A$2047,A1292)&gt;1,COUNTIF($A$2:A1292,A1292)=1),1,0)</f>
        <v>0</v>
      </c>
      <c r="S1292" t="b">
        <f>IFERROR(VLOOKUP(D1292,Products!$A$2:$F$61,6,FALSE()),"")</f>
        <v>1</v>
      </c>
      <c r="T1292" t="str">
        <f>IF(COUNTIF(Customers!$A$2:$A$301,C1292)=0,"Missing","OK")</f>
        <v>OK</v>
      </c>
      <c r="U1292" t="str">
        <f t="shared" si="61"/>
        <v>Chennai</v>
      </c>
      <c r="V1292">
        <f t="shared" si="62"/>
        <v>0</v>
      </c>
    </row>
    <row r="1293" spans="1:22" ht="15" customHeight="1" x14ac:dyDescent="0.35">
      <c r="A1293" s="3" t="s">
        <v>1718</v>
      </c>
      <c r="B1293" s="4">
        <v>45644</v>
      </c>
      <c r="C1293" s="3" t="s">
        <v>945</v>
      </c>
      <c r="D1293" s="3" t="s">
        <v>209</v>
      </c>
      <c r="E1293" s="3" t="s">
        <v>78</v>
      </c>
      <c r="F1293" s="5">
        <v>3</v>
      </c>
      <c r="G1293" s="5">
        <v>4610</v>
      </c>
      <c r="H1293" s="5">
        <v>29.6</v>
      </c>
      <c r="I1293" s="5">
        <v>9736.32</v>
      </c>
      <c r="J1293" s="3" t="s">
        <v>26</v>
      </c>
      <c r="K1293" s="3" t="s">
        <v>56</v>
      </c>
      <c r="L1293" t="str">
        <f>IFERROR(VLOOKUP(D1293,Products!$A$2:$F$61,3,FALSE()),"")</f>
        <v>Home</v>
      </c>
      <c r="M1293" t="str">
        <f>IFERROR(VLOOKUP(E1293,Sales_Reps!$A$2:$C$31,3,FALSE()),"")</f>
        <v>North</v>
      </c>
      <c r="N1293">
        <f>IFERROR(VLOOKUP(D1293,Products!$A$2:$F$61,4,FALSE()),"")</f>
        <v>1850</v>
      </c>
      <c r="O1293" t="str">
        <f>IFERROR(VLOOKUP(C1293,Customers!$A$2:$F$301,5,FALSE()),"")</f>
        <v>SMB</v>
      </c>
      <c r="P1293">
        <f>IFERROR(VLOOKUP(C1293,Customers!$A$2:$F$301,3,FALSE()),"")</f>
        <v>44</v>
      </c>
      <c r="Q1293">
        <f t="shared" si="60"/>
        <v>0.59869848156182215</v>
      </c>
      <c r="R1293">
        <f>IF(AND(COUNTIF($A$2:$A$2047,A1293)&gt;1,COUNTIF($A$2:A1293,A1293)=1),1,0)</f>
        <v>0</v>
      </c>
      <c r="S1293" t="b">
        <f>IFERROR(VLOOKUP(D1293,Products!$A$2:$F$61,6,FALSE()),"")</f>
        <v>1</v>
      </c>
      <c r="T1293" t="str">
        <f>IF(COUNTIF(Customers!$A$2:$A$301,C1293)=0,"Missing","OK")</f>
        <v>OK</v>
      </c>
      <c r="U1293" t="str">
        <f t="shared" si="61"/>
        <v>Bengaluru</v>
      </c>
      <c r="V1293">
        <f t="shared" si="62"/>
        <v>0</v>
      </c>
    </row>
    <row r="1294" spans="1:22" ht="15" customHeight="1" x14ac:dyDescent="0.35">
      <c r="A1294" s="3" t="s">
        <v>1719</v>
      </c>
      <c r="B1294" s="4">
        <v>45325</v>
      </c>
      <c r="C1294" s="3" t="s">
        <v>289</v>
      </c>
      <c r="D1294" s="3" t="s">
        <v>277</v>
      </c>
      <c r="E1294" s="3" t="s">
        <v>50</v>
      </c>
      <c r="F1294" s="5">
        <v>6</v>
      </c>
      <c r="G1294" s="5">
        <v>2210</v>
      </c>
      <c r="H1294" s="5">
        <v>9.5</v>
      </c>
      <c r="I1294" s="5">
        <v>12000.3</v>
      </c>
      <c r="J1294" s="3" t="s">
        <v>26</v>
      </c>
      <c r="K1294" s="3" t="s">
        <v>51</v>
      </c>
      <c r="L1294" t="str">
        <f>IFERROR(VLOOKUP(D1294,Products!$A$2:$F$61,3,FALSE()),"")</f>
        <v>Grocery</v>
      </c>
      <c r="M1294" t="str">
        <f>IFERROR(VLOOKUP(E1294,Sales_Reps!$A$2:$C$31,3,FALSE()),"")</f>
        <v>West</v>
      </c>
      <c r="N1294">
        <f>IFERROR(VLOOKUP(D1294,Products!$A$2:$F$61,4,FALSE()),"")</f>
        <v>1010</v>
      </c>
      <c r="O1294" t="str">
        <f>IFERROR(VLOOKUP(C1294,Customers!$A$2:$F$301,5,FALSE()),"")</f>
        <v>SMB</v>
      </c>
      <c r="P1294">
        <f>IFERROR(VLOOKUP(C1294,Customers!$A$2:$F$301,3,FALSE()),"")</f>
        <v>22</v>
      </c>
      <c r="Q1294">
        <f t="shared" si="60"/>
        <v>0.54298642533936647</v>
      </c>
      <c r="R1294">
        <f>IF(AND(COUNTIF($A$2:$A$2047,A1294)&gt;1,COUNTIF($A$2:A1294,A1294)=1),1,0)</f>
        <v>0</v>
      </c>
      <c r="S1294" t="b">
        <f>IFERROR(VLOOKUP(D1294,Products!$A$2:$F$61,6,FALSE()),"")</f>
        <v>1</v>
      </c>
      <c r="T1294" t="str">
        <f>IF(COUNTIF(Customers!$A$2:$A$301,C1294)=0,"Missing","OK")</f>
        <v>OK</v>
      </c>
      <c r="U1294" t="str">
        <f t="shared" si="61"/>
        <v>Mumbai</v>
      </c>
      <c r="V1294">
        <f t="shared" si="62"/>
        <v>0</v>
      </c>
    </row>
    <row r="1295" spans="1:22" ht="15" customHeight="1" x14ac:dyDescent="0.35">
      <c r="A1295" s="3" t="s">
        <v>1720</v>
      </c>
      <c r="B1295" s="4">
        <v>45533</v>
      </c>
      <c r="C1295" s="3" t="s">
        <v>308</v>
      </c>
      <c r="D1295" s="3" t="s">
        <v>325</v>
      </c>
      <c r="E1295" s="3" t="s">
        <v>177</v>
      </c>
      <c r="F1295" s="5">
        <v>4</v>
      </c>
      <c r="G1295" s="5">
        <v>2290</v>
      </c>
      <c r="H1295" s="5">
        <v>3.3</v>
      </c>
      <c r="I1295" s="5">
        <v>8857.7199999999993</v>
      </c>
      <c r="J1295" s="3" t="s">
        <v>26</v>
      </c>
      <c r="K1295" s="3" t="s">
        <v>33</v>
      </c>
      <c r="L1295" t="str">
        <f>IFERROR(VLOOKUP(D1295,Products!$A$2:$F$61,3,FALSE()),"")</f>
        <v>Beauty</v>
      </c>
      <c r="M1295" t="str">
        <f>IFERROR(VLOOKUP(E1295,Sales_Reps!$A$2:$C$31,3,FALSE()),"")</f>
        <v>East</v>
      </c>
      <c r="N1295">
        <f>IFERROR(VLOOKUP(D1295,Products!$A$2:$F$61,4,FALSE()),"")</f>
        <v>1219</v>
      </c>
      <c r="O1295" t="str">
        <f>IFERROR(VLOOKUP(C1295,Customers!$A$2:$F$301,5,FALSE()),"")</f>
        <v>SMB</v>
      </c>
      <c r="P1295">
        <f>IFERROR(VLOOKUP(C1295,Customers!$A$2:$F$301,3,FALSE()),"")</f>
        <v>62</v>
      </c>
      <c r="Q1295">
        <f t="shared" si="60"/>
        <v>0.46768558951965067</v>
      </c>
      <c r="R1295">
        <f>IF(AND(COUNTIF($A$2:$A$2047,A1295)&gt;1,COUNTIF($A$2:A1295,A1295)=1),1,0)</f>
        <v>0</v>
      </c>
      <c r="S1295" t="b">
        <f>IFERROR(VLOOKUP(D1295,Products!$A$2:$F$61,6,FALSE()),"")</f>
        <v>1</v>
      </c>
      <c r="T1295" t="str">
        <f>IF(COUNTIF(Customers!$A$2:$A$301,C1295)=0,"Missing","OK")</f>
        <v>OK</v>
      </c>
      <c r="U1295" t="str">
        <f t="shared" si="61"/>
        <v>Chennai</v>
      </c>
      <c r="V1295">
        <f t="shared" si="62"/>
        <v>0</v>
      </c>
    </row>
    <row r="1296" spans="1:22" ht="15" customHeight="1" x14ac:dyDescent="0.35">
      <c r="A1296" s="3" t="s">
        <v>1721</v>
      </c>
      <c r="B1296" s="4">
        <v>45369</v>
      </c>
      <c r="C1296" s="3" t="s">
        <v>40</v>
      </c>
      <c r="D1296" s="3" t="s">
        <v>103</v>
      </c>
      <c r="E1296" s="3" t="s">
        <v>140</v>
      </c>
      <c r="F1296" s="5">
        <v>5</v>
      </c>
      <c r="G1296" s="5">
        <v>1080</v>
      </c>
      <c r="H1296" s="5">
        <v>26.1</v>
      </c>
      <c r="I1296" s="5">
        <v>3990.6</v>
      </c>
      <c r="J1296" s="3" t="s">
        <v>26</v>
      </c>
      <c r="K1296" s="3" t="s">
        <v>38</v>
      </c>
      <c r="L1296" t="str">
        <f>IFERROR(VLOOKUP(D1296,Products!$A$2:$F$61,3,FALSE()),"")</f>
        <v>Home</v>
      </c>
      <c r="M1296" t="str">
        <f>IFERROR(VLOOKUP(E1296,Sales_Reps!$A$2:$C$31,3,FALSE()),"")</f>
        <v>West</v>
      </c>
      <c r="N1296">
        <f>IFERROR(VLOOKUP(D1296,Products!$A$2:$F$61,4,FALSE()),"")</f>
        <v>519</v>
      </c>
      <c r="O1296" t="str">
        <f>IFERROR(VLOOKUP(C1296,Customers!$A$2:$F$301,5,FALSE()),"")</f>
        <v>Corporate</v>
      </c>
      <c r="P1296">
        <f>IFERROR(VLOOKUP(C1296,Customers!$A$2:$F$301,3,FALSE()),"")</f>
        <v>46</v>
      </c>
      <c r="Q1296">
        <f t="shared" si="60"/>
        <v>0.51944444444444449</v>
      </c>
      <c r="R1296">
        <f>IF(AND(COUNTIF($A$2:$A$2047,A1296)&gt;1,COUNTIF($A$2:A1296,A1296)=1),1,0)</f>
        <v>0</v>
      </c>
      <c r="S1296" t="b">
        <f>IFERROR(VLOOKUP(D1296,Products!$A$2:$F$61,6,FALSE()),"")</f>
        <v>1</v>
      </c>
      <c r="T1296" t="str">
        <f>IF(COUNTIF(Customers!$A$2:$A$301,C1296)=0,"Missing","OK")</f>
        <v>OK</v>
      </c>
      <c r="U1296" t="str">
        <f t="shared" si="61"/>
        <v>Delhi</v>
      </c>
      <c r="V1296">
        <f t="shared" si="62"/>
        <v>0</v>
      </c>
    </row>
    <row r="1297" spans="1:22" ht="15" customHeight="1" x14ac:dyDescent="0.35">
      <c r="A1297" s="3" t="s">
        <v>1722</v>
      </c>
      <c r="B1297" s="4">
        <v>45312</v>
      </c>
      <c r="C1297" s="3" t="s">
        <v>379</v>
      </c>
      <c r="D1297" s="3" t="s">
        <v>54</v>
      </c>
      <c r="E1297" s="3" t="s">
        <v>71</v>
      </c>
      <c r="F1297" s="5">
        <v>7</v>
      </c>
      <c r="G1297" s="5">
        <v>960</v>
      </c>
      <c r="H1297" s="5">
        <v>17.7</v>
      </c>
      <c r="I1297" s="5">
        <v>5530.56</v>
      </c>
      <c r="J1297" s="3" t="s">
        <v>26</v>
      </c>
      <c r="K1297" s="3" t="s">
        <v>27</v>
      </c>
      <c r="L1297" t="str">
        <f>IFERROR(VLOOKUP(D1297,Products!$A$2:$F$61,3,FALSE()),"")</f>
        <v>Sports</v>
      </c>
      <c r="M1297" t="str">
        <f>IFERROR(VLOOKUP(E1297,Sales_Reps!$A$2:$C$31,3,FALSE()),"")</f>
        <v>South</v>
      </c>
      <c r="N1297">
        <f>IFERROR(VLOOKUP(D1297,Products!$A$2:$F$61,4,FALSE()),"")</f>
        <v>705</v>
      </c>
      <c r="O1297" t="str">
        <f>IFERROR(VLOOKUP(C1297,Customers!$A$2:$F$301,5,FALSE()),"")</f>
        <v>SMB</v>
      </c>
      <c r="P1297">
        <f>IFERROR(VLOOKUP(C1297,Customers!$A$2:$F$301,3,FALSE()),"")</f>
        <v>30</v>
      </c>
      <c r="Q1297">
        <f t="shared" si="60"/>
        <v>0.265625</v>
      </c>
      <c r="R1297">
        <f>IF(AND(COUNTIF($A$2:$A$2047,A1297)&gt;1,COUNTIF($A$2:A1297,A1297)=1),1,0)</f>
        <v>0</v>
      </c>
      <c r="S1297" t="b">
        <f>IFERROR(VLOOKUP(D1297,Products!$A$2:$F$61,6,FALSE()),"")</f>
        <v>1</v>
      </c>
      <c r="T1297" t="str">
        <f>IF(COUNTIF(Customers!$A$2:$A$301,C1297)=0,"Missing","OK")</f>
        <v>OK</v>
      </c>
      <c r="U1297" t="str">
        <f t="shared" si="61"/>
        <v>Pune</v>
      </c>
      <c r="V1297">
        <f t="shared" si="62"/>
        <v>0</v>
      </c>
    </row>
    <row r="1298" spans="1:22" ht="15" customHeight="1" x14ac:dyDescent="0.35">
      <c r="A1298" s="3" t="s">
        <v>1723</v>
      </c>
      <c r="B1298" s="4">
        <v>45445</v>
      </c>
      <c r="C1298" s="3" t="s">
        <v>966</v>
      </c>
      <c r="D1298" s="3" t="s">
        <v>90</v>
      </c>
      <c r="E1298" s="3" t="s">
        <v>46</v>
      </c>
      <c r="F1298" s="5">
        <v>1</v>
      </c>
      <c r="G1298" s="5">
        <v>2400</v>
      </c>
      <c r="H1298" s="5">
        <v>29.9</v>
      </c>
      <c r="I1298" s="5">
        <v>1682.4</v>
      </c>
      <c r="J1298" s="3" t="s">
        <v>26</v>
      </c>
      <c r="K1298" s="3" t="s">
        <v>51</v>
      </c>
      <c r="L1298" t="str">
        <f>IFERROR(VLOOKUP(D1298,Products!$A$2:$F$61,3,FALSE()),"")</f>
        <v>Sports</v>
      </c>
      <c r="M1298" t="str">
        <f>IFERROR(VLOOKUP(E1298,Sales_Reps!$A$2:$C$31,3,FALSE()),"")</f>
        <v>North</v>
      </c>
      <c r="N1298">
        <f>IFERROR(VLOOKUP(D1298,Products!$A$2:$F$61,4,FALSE()),"")</f>
        <v>974</v>
      </c>
      <c r="O1298" t="str">
        <f>IFERROR(VLOOKUP(C1298,Customers!$A$2:$F$301,5,FALSE()),"")</f>
        <v>SMB</v>
      </c>
      <c r="P1298">
        <f>IFERROR(VLOOKUP(C1298,Customers!$A$2:$F$301,3,FALSE()),"")</f>
        <v>47</v>
      </c>
      <c r="Q1298">
        <f t="shared" si="60"/>
        <v>0.59416666666666662</v>
      </c>
      <c r="R1298">
        <f>IF(AND(COUNTIF($A$2:$A$2047,A1298)&gt;1,COUNTIF($A$2:A1298,A1298)=1),1,0)</f>
        <v>0</v>
      </c>
      <c r="S1298" t="b">
        <f>IFERROR(VLOOKUP(D1298,Products!$A$2:$F$61,6,FALSE()),"")</f>
        <v>1</v>
      </c>
      <c r="T1298" t="str">
        <f>IF(COUNTIF(Customers!$A$2:$A$301,C1298)=0,"Missing","OK")</f>
        <v>OK</v>
      </c>
      <c r="U1298" t="str">
        <f t="shared" si="61"/>
        <v>Mumbai</v>
      </c>
      <c r="V1298">
        <f t="shared" si="62"/>
        <v>0</v>
      </c>
    </row>
    <row r="1299" spans="1:22" ht="15" customHeight="1" x14ac:dyDescent="0.35">
      <c r="A1299" s="3" t="s">
        <v>1724</v>
      </c>
      <c r="B1299" s="4">
        <v>45636</v>
      </c>
      <c r="C1299" s="3" t="s">
        <v>1289</v>
      </c>
      <c r="D1299" s="3" t="s">
        <v>325</v>
      </c>
      <c r="E1299" s="3" t="s">
        <v>71</v>
      </c>
      <c r="F1299" s="5">
        <v>9</v>
      </c>
      <c r="G1299" s="5">
        <v>2290</v>
      </c>
      <c r="H1299" s="5">
        <v>28.8</v>
      </c>
      <c r="I1299" s="5">
        <v>14674.32</v>
      </c>
      <c r="J1299" s="3" t="s">
        <v>26</v>
      </c>
      <c r="K1299" s="3" t="s">
        <v>51</v>
      </c>
      <c r="L1299" t="str">
        <f>IFERROR(VLOOKUP(D1299,Products!$A$2:$F$61,3,FALSE()),"")</f>
        <v>Beauty</v>
      </c>
      <c r="M1299" t="str">
        <f>IFERROR(VLOOKUP(E1299,Sales_Reps!$A$2:$C$31,3,FALSE()),"")</f>
        <v>South</v>
      </c>
      <c r="N1299">
        <f>IFERROR(VLOOKUP(D1299,Products!$A$2:$F$61,4,FALSE()),"")</f>
        <v>1219</v>
      </c>
      <c r="O1299" t="str">
        <f>IFERROR(VLOOKUP(C1299,Customers!$A$2:$F$301,5,FALSE()),"")</f>
        <v>Retail</v>
      </c>
      <c r="P1299">
        <f>IFERROR(VLOOKUP(C1299,Customers!$A$2:$F$301,3,FALSE()),"")</f>
        <v>38</v>
      </c>
      <c r="Q1299">
        <f t="shared" si="60"/>
        <v>0.46768558951965067</v>
      </c>
      <c r="R1299">
        <f>IF(AND(COUNTIF($A$2:$A$2047,A1299)&gt;1,COUNTIF($A$2:A1299,A1299)=1),1,0)</f>
        <v>0</v>
      </c>
      <c r="S1299" t="b">
        <f>IFERROR(VLOOKUP(D1299,Products!$A$2:$F$61,6,FALSE()),"")</f>
        <v>1</v>
      </c>
      <c r="T1299" t="str">
        <f>IF(COUNTIF(Customers!$A$2:$A$301,C1299)=0,"Missing","OK")</f>
        <v>OK</v>
      </c>
      <c r="U1299" t="str">
        <f t="shared" si="61"/>
        <v>Mumbai</v>
      </c>
      <c r="V1299">
        <f t="shared" si="62"/>
        <v>0</v>
      </c>
    </row>
    <row r="1300" spans="1:22" ht="15" customHeight="1" x14ac:dyDescent="0.35">
      <c r="A1300" s="3" t="s">
        <v>1725</v>
      </c>
      <c r="B1300" s="4">
        <v>45294</v>
      </c>
      <c r="C1300" s="3" t="s">
        <v>164</v>
      </c>
      <c r="D1300" s="3" t="s">
        <v>103</v>
      </c>
      <c r="E1300" s="3" t="s">
        <v>242</v>
      </c>
      <c r="F1300" s="5">
        <v>9</v>
      </c>
      <c r="G1300" s="5">
        <v>1080</v>
      </c>
      <c r="H1300" s="5">
        <v>10.3</v>
      </c>
      <c r="I1300" s="5">
        <v>8718.84</v>
      </c>
      <c r="J1300" s="3" t="s">
        <v>26</v>
      </c>
      <c r="K1300" s="3" t="s">
        <v>33</v>
      </c>
      <c r="L1300" t="str">
        <f>IFERROR(VLOOKUP(D1300,Products!$A$2:$F$61,3,FALSE()),"")</f>
        <v>Home</v>
      </c>
      <c r="M1300" t="str">
        <f>IFERROR(VLOOKUP(E1300,Sales_Reps!$A$2:$C$31,3,FALSE()),"")</f>
        <v>East</v>
      </c>
      <c r="N1300">
        <f>IFERROR(VLOOKUP(D1300,Products!$A$2:$F$61,4,FALSE()),"")</f>
        <v>519</v>
      </c>
      <c r="O1300" t="str">
        <f>IFERROR(VLOOKUP(C1300,Customers!$A$2:$F$301,5,FALSE()),"")</f>
        <v>Retail</v>
      </c>
      <c r="P1300">
        <f>IFERROR(VLOOKUP(C1300,Customers!$A$2:$F$301,3,FALSE()),"")</f>
        <v>37</v>
      </c>
      <c r="Q1300">
        <f t="shared" si="60"/>
        <v>0.51944444444444449</v>
      </c>
      <c r="R1300">
        <f>IF(AND(COUNTIF($A$2:$A$2047,A1300)&gt;1,COUNTIF($A$2:A1300,A1300)=1),1,0)</f>
        <v>0</v>
      </c>
      <c r="S1300" t="b">
        <f>IFERROR(VLOOKUP(D1300,Products!$A$2:$F$61,6,FALSE()),"")</f>
        <v>1</v>
      </c>
      <c r="T1300" t="str">
        <f>IF(COUNTIF(Customers!$A$2:$A$301,C1300)=0,"Missing","OK")</f>
        <v>OK</v>
      </c>
      <c r="U1300" t="str">
        <f t="shared" si="61"/>
        <v>Chennai</v>
      </c>
      <c r="V1300">
        <f t="shared" si="62"/>
        <v>0</v>
      </c>
    </row>
    <row r="1301" spans="1:22" ht="15" customHeight="1" x14ac:dyDescent="0.35">
      <c r="A1301" s="3" t="s">
        <v>1726</v>
      </c>
      <c r="B1301" s="4">
        <v>45449</v>
      </c>
      <c r="C1301" s="3" t="s">
        <v>849</v>
      </c>
      <c r="D1301" s="3" t="s">
        <v>441</v>
      </c>
      <c r="E1301" s="3" t="s">
        <v>78</v>
      </c>
      <c r="F1301" s="5">
        <v>1</v>
      </c>
      <c r="G1301" s="5">
        <v>1090</v>
      </c>
      <c r="H1301" s="5">
        <v>5.8</v>
      </c>
      <c r="I1301" s="5">
        <v>1026.78</v>
      </c>
      <c r="J1301" s="3" t="s">
        <v>79</v>
      </c>
      <c r="K1301" s="3" t="s">
        <v>38</v>
      </c>
      <c r="L1301" t="str">
        <f>IFERROR(VLOOKUP(D1301,Products!$A$2:$F$61,3,FALSE()),"")</f>
        <v>Home</v>
      </c>
      <c r="M1301" t="str">
        <f>IFERROR(VLOOKUP(E1301,Sales_Reps!$A$2:$C$31,3,FALSE()),"")</f>
        <v>North</v>
      </c>
      <c r="N1301">
        <f>IFERROR(VLOOKUP(D1301,Products!$A$2:$F$61,4,FALSE()),"")</f>
        <v>464</v>
      </c>
      <c r="O1301" t="str">
        <f>IFERROR(VLOOKUP(C1301,Customers!$A$2:$F$301,5,FALSE()),"")</f>
        <v>Retail</v>
      </c>
      <c r="P1301">
        <f>IFERROR(VLOOKUP(C1301,Customers!$A$2:$F$301,3,FALSE()),"")</f>
        <v>55</v>
      </c>
      <c r="Q1301">
        <f t="shared" si="60"/>
        <v>0.57431192660550456</v>
      </c>
      <c r="R1301">
        <f>IF(AND(COUNTIF($A$2:$A$2047,A1301)&gt;1,COUNTIF($A$2:A1301,A1301)=1),1,0)</f>
        <v>0</v>
      </c>
      <c r="S1301" t="b">
        <f>IFERROR(VLOOKUP(D1301,Products!$A$2:$F$61,6,FALSE()),"")</f>
        <v>1</v>
      </c>
      <c r="T1301" t="str">
        <f>IF(COUNTIF(Customers!$A$2:$A$301,C1301)=0,"Missing","OK")</f>
        <v>OK</v>
      </c>
      <c r="U1301" t="str">
        <f t="shared" si="61"/>
        <v>Delhi</v>
      </c>
      <c r="V1301">
        <f t="shared" si="62"/>
        <v>0</v>
      </c>
    </row>
    <row r="1302" spans="1:22" ht="15" customHeight="1" x14ac:dyDescent="0.35">
      <c r="A1302" s="3" t="s">
        <v>1727</v>
      </c>
      <c r="B1302" s="4">
        <v>45560</v>
      </c>
      <c r="C1302" s="3" t="s">
        <v>841</v>
      </c>
      <c r="D1302" s="3" t="s">
        <v>277</v>
      </c>
      <c r="E1302" s="3" t="s">
        <v>242</v>
      </c>
      <c r="F1302" s="5">
        <v>3</v>
      </c>
      <c r="G1302" s="5">
        <v>2210</v>
      </c>
      <c r="H1302" s="5">
        <v>18.2</v>
      </c>
      <c r="I1302" s="5">
        <v>5423.34</v>
      </c>
      <c r="J1302" s="3" t="s">
        <v>32</v>
      </c>
      <c r="K1302" s="3" t="s">
        <v>51</v>
      </c>
      <c r="L1302" t="str">
        <f>IFERROR(VLOOKUP(D1302,Products!$A$2:$F$61,3,FALSE()),"")</f>
        <v>Grocery</v>
      </c>
      <c r="M1302" t="str">
        <f>IFERROR(VLOOKUP(E1302,Sales_Reps!$A$2:$C$31,3,FALSE()),"")</f>
        <v>East</v>
      </c>
      <c r="N1302">
        <f>IFERROR(VLOOKUP(D1302,Products!$A$2:$F$61,4,FALSE()),"")</f>
        <v>1010</v>
      </c>
      <c r="O1302" t="str">
        <f>IFERROR(VLOOKUP(C1302,Customers!$A$2:$F$301,5,FALSE()),"")</f>
        <v>Retail</v>
      </c>
      <c r="P1302">
        <f>IFERROR(VLOOKUP(C1302,Customers!$A$2:$F$301,3,FALSE()),"")</f>
        <v>37</v>
      </c>
      <c r="Q1302">
        <f t="shared" si="60"/>
        <v>0.54298642533936647</v>
      </c>
      <c r="R1302">
        <f>IF(AND(COUNTIF($A$2:$A$2047,A1302)&gt;1,COUNTIF($A$2:A1302,A1302)=1),1,0)</f>
        <v>0</v>
      </c>
      <c r="S1302" t="b">
        <f>IFERROR(VLOOKUP(D1302,Products!$A$2:$F$61,6,FALSE()),"")</f>
        <v>1</v>
      </c>
      <c r="T1302" t="str">
        <f>IF(COUNTIF(Customers!$A$2:$A$301,C1302)=0,"Missing","OK")</f>
        <v>OK</v>
      </c>
      <c r="U1302" t="str">
        <f t="shared" si="61"/>
        <v>Mumbai</v>
      </c>
      <c r="V1302">
        <f t="shared" si="62"/>
        <v>0</v>
      </c>
    </row>
    <row r="1303" spans="1:22" ht="15" customHeight="1" x14ac:dyDescent="0.35">
      <c r="A1303" s="3" t="s">
        <v>1728</v>
      </c>
      <c r="B1303" s="4">
        <v>45588</v>
      </c>
      <c r="C1303" s="3" t="s">
        <v>136</v>
      </c>
      <c r="D1303" s="3" t="s">
        <v>24</v>
      </c>
      <c r="E1303" s="3" t="s">
        <v>127</v>
      </c>
      <c r="F1303" s="5">
        <v>8</v>
      </c>
      <c r="G1303" s="5">
        <v>3620</v>
      </c>
      <c r="H1303" s="5">
        <v>1.4</v>
      </c>
      <c r="I1303" s="5">
        <v>28554.560000000001</v>
      </c>
      <c r="J1303" s="3" t="s">
        <v>26</v>
      </c>
      <c r="K1303" s="3" t="s">
        <v>27</v>
      </c>
      <c r="L1303" t="str">
        <f>IFERROR(VLOOKUP(D1303,Products!$A$2:$F$61,3,FALSE()),"")</f>
        <v>Apparel</v>
      </c>
      <c r="M1303" t="str">
        <f>IFERROR(VLOOKUP(E1303,Sales_Reps!$A$2:$C$31,3,FALSE()),"")</f>
        <v>South</v>
      </c>
      <c r="N1303">
        <f>IFERROR(VLOOKUP(D1303,Products!$A$2:$F$61,4,FALSE()),"")</f>
        <v>2509</v>
      </c>
      <c r="O1303" t="str">
        <f>IFERROR(VLOOKUP(C1303,Customers!$A$2:$F$301,5,FALSE()),"")</f>
        <v>Corporate</v>
      </c>
      <c r="P1303">
        <f>IFERROR(VLOOKUP(C1303,Customers!$A$2:$F$301,3,FALSE()),"")</f>
        <v>47</v>
      </c>
      <c r="Q1303">
        <f t="shared" si="60"/>
        <v>0.3069060773480663</v>
      </c>
      <c r="R1303">
        <f>IF(AND(COUNTIF($A$2:$A$2047,A1303)&gt;1,COUNTIF($A$2:A1303,A1303)=1),1,0)</f>
        <v>0</v>
      </c>
      <c r="S1303" t="b">
        <f>IFERROR(VLOOKUP(D1303,Products!$A$2:$F$61,6,FALSE()),"")</f>
        <v>1</v>
      </c>
      <c r="T1303" t="str">
        <f>IF(COUNTIF(Customers!$A$2:$A$301,C1303)=0,"Missing","OK")</f>
        <v>OK</v>
      </c>
      <c r="U1303" t="str">
        <f t="shared" si="61"/>
        <v>Pune</v>
      </c>
      <c r="V1303">
        <f t="shared" si="62"/>
        <v>0</v>
      </c>
    </row>
    <row r="1304" spans="1:22" ht="15" customHeight="1" x14ac:dyDescent="0.35">
      <c r="A1304" s="3" t="s">
        <v>1729</v>
      </c>
      <c r="B1304" s="4">
        <v>45360</v>
      </c>
      <c r="C1304" s="3" t="s">
        <v>147</v>
      </c>
      <c r="D1304" s="3" t="s">
        <v>234</v>
      </c>
      <c r="E1304" s="3" t="s">
        <v>212</v>
      </c>
      <c r="F1304" s="5">
        <v>7</v>
      </c>
      <c r="G1304" s="5">
        <v>2030</v>
      </c>
      <c r="H1304" s="5">
        <v>27.7</v>
      </c>
      <c r="I1304" s="5">
        <v>10273.83</v>
      </c>
      <c r="J1304" s="3" t="s">
        <v>26</v>
      </c>
      <c r="K1304" s="3" t="s">
        <v>72</v>
      </c>
      <c r="L1304" t="str">
        <f>IFERROR(VLOOKUP(D1304,Products!$A$2:$F$61,3,FALSE()),"")</f>
        <v>Home</v>
      </c>
      <c r="M1304" t="str">
        <f>IFERROR(VLOOKUP(E1304,Sales_Reps!$A$2:$C$31,3,FALSE()),"")</f>
        <v>South</v>
      </c>
      <c r="N1304">
        <f>IFERROR(VLOOKUP(D1304,Products!$A$2:$F$61,4,FALSE()),"")</f>
        <v>1143</v>
      </c>
      <c r="O1304" t="str">
        <f>IFERROR(VLOOKUP(C1304,Customers!$A$2:$F$301,5,FALSE()),"")</f>
        <v>Retail</v>
      </c>
      <c r="P1304">
        <f>IFERROR(VLOOKUP(C1304,Customers!$A$2:$F$301,3,FALSE()),"")</f>
        <v>26</v>
      </c>
      <c r="Q1304">
        <f t="shared" si="60"/>
        <v>0.43694581280788175</v>
      </c>
      <c r="R1304">
        <f>IF(AND(COUNTIF($A$2:$A$2047,A1304)&gt;1,COUNTIF($A$2:A1304,A1304)=1),1,0)</f>
        <v>0</v>
      </c>
      <c r="S1304" t="b">
        <f>IFERROR(VLOOKUP(D1304,Products!$A$2:$F$61,6,FALSE()),"")</f>
        <v>1</v>
      </c>
      <c r="T1304" t="str">
        <f>IF(COUNTIF(Customers!$A$2:$A$301,C1304)=0,"Missing","OK")</f>
        <v>OK</v>
      </c>
      <c r="U1304" t="str">
        <f t="shared" si="61"/>
        <v>Hyderabad</v>
      </c>
      <c r="V1304">
        <f t="shared" si="62"/>
        <v>0</v>
      </c>
    </row>
    <row r="1305" spans="1:22" ht="15" customHeight="1" x14ac:dyDescent="0.35">
      <c r="A1305" s="3" t="s">
        <v>1730</v>
      </c>
      <c r="B1305" s="4">
        <v>45316</v>
      </c>
      <c r="C1305" s="3" t="s">
        <v>538</v>
      </c>
      <c r="D1305" s="3" t="s">
        <v>187</v>
      </c>
      <c r="E1305" s="3" t="s">
        <v>93</v>
      </c>
      <c r="F1305" s="5">
        <v>1</v>
      </c>
      <c r="G1305" s="5">
        <v>3870</v>
      </c>
      <c r="H1305" s="5">
        <v>29.6</v>
      </c>
      <c r="I1305" s="5">
        <v>2724.48</v>
      </c>
      <c r="J1305" s="3" t="s">
        <v>26</v>
      </c>
      <c r="K1305" s="3" t="s">
        <v>56</v>
      </c>
      <c r="L1305" t="str">
        <f>IFERROR(VLOOKUP(D1305,Products!$A$2:$F$61,3,FALSE()),"")</f>
        <v>Electronics</v>
      </c>
      <c r="M1305" t="str">
        <f>IFERROR(VLOOKUP(E1305,Sales_Reps!$A$2:$C$31,3,FALSE()),"")</f>
        <v>East</v>
      </c>
      <c r="N1305">
        <f>IFERROR(VLOOKUP(D1305,Products!$A$2:$F$61,4,FALSE()),"")</f>
        <v>1559</v>
      </c>
      <c r="O1305" t="str">
        <f>IFERROR(VLOOKUP(C1305,Customers!$A$2:$F$301,5,FALSE()),"")</f>
        <v>Corporate</v>
      </c>
      <c r="P1305">
        <f>IFERROR(VLOOKUP(C1305,Customers!$A$2:$F$301,3,FALSE()),"")</f>
        <v>26</v>
      </c>
      <c r="Q1305">
        <f t="shared" si="60"/>
        <v>0.59715762273901807</v>
      </c>
      <c r="R1305">
        <f>IF(AND(COUNTIF($A$2:$A$2047,A1305)&gt;1,COUNTIF($A$2:A1305,A1305)=1),1,0)</f>
        <v>0</v>
      </c>
      <c r="S1305" t="b">
        <f>IFERROR(VLOOKUP(D1305,Products!$A$2:$F$61,6,FALSE()),"")</f>
        <v>1</v>
      </c>
      <c r="T1305" t="str">
        <f>IF(COUNTIF(Customers!$A$2:$A$301,C1305)=0,"Missing","OK")</f>
        <v>OK</v>
      </c>
      <c r="U1305" t="str">
        <f t="shared" si="61"/>
        <v>Bengaluru</v>
      </c>
      <c r="V1305">
        <f t="shared" si="62"/>
        <v>0</v>
      </c>
    </row>
    <row r="1306" spans="1:22" ht="15" customHeight="1" x14ac:dyDescent="0.35">
      <c r="A1306" s="3" t="s">
        <v>1731</v>
      </c>
      <c r="B1306" s="4">
        <v>45324</v>
      </c>
      <c r="C1306" s="3" t="s">
        <v>774</v>
      </c>
      <c r="D1306" s="3" t="s">
        <v>126</v>
      </c>
      <c r="E1306" s="3" t="s">
        <v>37</v>
      </c>
      <c r="F1306" s="5">
        <v>5</v>
      </c>
      <c r="G1306" s="5">
        <v>3570</v>
      </c>
      <c r="H1306" s="5">
        <v>11.8</v>
      </c>
      <c r="I1306" s="5">
        <v>15743.7</v>
      </c>
      <c r="J1306" s="3" t="s">
        <v>83</v>
      </c>
      <c r="K1306" s="3" t="s">
        <v>56</v>
      </c>
      <c r="L1306" t="str">
        <f>IFERROR(VLOOKUP(D1306,Products!$A$2:$F$61,3,FALSE()),"")</f>
        <v>Electronics</v>
      </c>
      <c r="M1306" t="str">
        <f>IFERROR(VLOOKUP(E1306,Sales_Reps!$A$2:$C$31,3,FALSE()),"")</f>
        <v>South</v>
      </c>
      <c r="N1306">
        <f>IFERROR(VLOOKUP(D1306,Products!$A$2:$F$61,4,FALSE()),"")</f>
        <v>1665</v>
      </c>
      <c r="O1306" t="str">
        <f>IFERROR(VLOOKUP(C1306,Customers!$A$2:$F$301,5,FALSE()),"")</f>
        <v>Retail</v>
      </c>
      <c r="P1306">
        <f>IFERROR(VLOOKUP(C1306,Customers!$A$2:$F$301,3,FALSE()),"")</f>
        <v>52</v>
      </c>
      <c r="Q1306">
        <f t="shared" si="60"/>
        <v>0.53361344537815125</v>
      </c>
      <c r="R1306">
        <f>IF(AND(COUNTIF($A$2:$A$2047,A1306)&gt;1,COUNTIF($A$2:A1306,A1306)=1),1,0)</f>
        <v>0</v>
      </c>
      <c r="S1306" t="b">
        <f>IFERROR(VLOOKUP(D1306,Products!$A$2:$F$61,6,FALSE()),"")</f>
        <v>1</v>
      </c>
      <c r="T1306" t="str">
        <f>IF(COUNTIF(Customers!$A$2:$A$301,C1306)=0,"Missing","OK")</f>
        <v>OK</v>
      </c>
      <c r="U1306" t="str">
        <f t="shared" si="61"/>
        <v>Bengaluru</v>
      </c>
      <c r="V1306">
        <f t="shared" si="62"/>
        <v>0</v>
      </c>
    </row>
    <row r="1307" spans="1:22" ht="15" customHeight="1" x14ac:dyDescent="0.35">
      <c r="A1307" s="3" t="s">
        <v>1732</v>
      </c>
      <c r="B1307" s="4">
        <v>45650</v>
      </c>
      <c r="C1307" s="3" t="s">
        <v>1043</v>
      </c>
      <c r="D1307" s="3" t="s">
        <v>303</v>
      </c>
      <c r="E1307" s="3" t="s">
        <v>60</v>
      </c>
      <c r="F1307" s="5">
        <v>7</v>
      </c>
      <c r="G1307" s="5">
        <v>5330</v>
      </c>
      <c r="H1307" s="5">
        <v>8.1999999999999993</v>
      </c>
      <c r="I1307" s="5">
        <v>34250.58</v>
      </c>
      <c r="J1307" s="3" t="s">
        <v>26</v>
      </c>
      <c r="K1307" s="3" t="s">
        <v>56</v>
      </c>
      <c r="L1307" t="str">
        <f>IFERROR(VLOOKUP(D1307,Products!$A$2:$F$61,3,FALSE()),"")</f>
        <v>Electronics</v>
      </c>
      <c r="M1307" t="str">
        <f>IFERROR(VLOOKUP(E1307,Sales_Reps!$A$2:$C$31,3,FALSE()),"")</f>
        <v>East</v>
      </c>
      <c r="N1307">
        <f>IFERROR(VLOOKUP(D1307,Products!$A$2:$F$61,4,FALSE()),"")</f>
        <v>2405</v>
      </c>
      <c r="O1307" t="str">
        <f>IFERROR(VLOOKUP(C1307,Customers!$A$2:$F$301,5,FALSE()),"")</f>
        <v>Corporate</v>
      </c>
      <c r="P1307">
        <f>IFERROR(VLOOKUP(C1307,Customers!$A$2:$F$301,3,FALSE()),"")</f>
        <v>31</v>
      </c>
      <c r="Q1307">
        <f t="shared" si="60"/>
        <v>0.54878048780487809</v>
      </c>
      <c r="R1307">
        <f>IF(AND(COUNTIF($A$2:$A$2047,A1307)&gt;1,COUNTIF($A$2:A1307,A1307)=1),1,0)</f>
        <v>0</v>
      </c>
      <c r="S1307" t="b">
        <f>IFERROR(VLOOKUP(D1307,Products!$A$2:$F$61,6,FALSE()),"")</f>
        <v>1</v>
      </c>
      <c r="T1307" t="str">
        <f>IF(COUNTIF(Customers!$A$2:$A$301,C1307)=0,"Missing","OK")</f>
        <v>OK</v>
      </c>
      <c r="U1307" t="str">
        <f t="shared" si="61"/>
        <v>Bengaluru</v>
      </c>
      <c r="V1307">
        <f t="shared" si="62"/>
        <v>0</v>
      </c>
    </row>
    <row r="1308" spans="1:22" ht="15" customHeight="1" x14ac:dyDescent="0.35">
      <c r="A1308" s="3" t="s">
        <v>1733</v>
      </c>
      <c r="B1308" s="4">
        <v>45564</v>
      </c>
      <c r="C1308" s="3" t="s">
        <v>746</v>
      </c>
      <c r="D1308" s="3" t="s">
        <v>206</v>
      </c>
      <c r="E1308" s="3" t="s">
        <v>143</v>
      </c>
      <c r="F1308" s="5">
        <v>5</v>
      </c>
      <c r="G1308" s="5">
        <v>1220</v>
      </c>
      <c r="H1308" s="5">
        <v>17.8</v>
      </c>
      <c r="I1308" s="5">
        <v>5014.2</v>
      </c>
      <c r="J1308" s="3" t="s">
        <v>83</v>
      </c>
      <c r="K1308" s="3" t="s">
        <v>27</v>
      </c>
      <c r="L1308" t="str">
        <f>IFERROR(VLOOKUP(D1308,Products!$A$2:$F$61,3,FALSE()),"")</f>
        <v>Electronics</v>
      </c>
      <c r="M1308" t="str">
        <f>IFERROR(VLOOKUP(E1308,Sales_Reps!$A$2:$C$31,3,FALSE()),"")</f>
        <v>South</v>
      </c>
      <c r="N1308">
        <f>IFERROR(VLOOKUP(D1308,Products!$A$2:$F$61,4,FALSE()),"")</f>
        <v>517</v>
      </c>
      <c r="O1308" t="str">
        <f>IFERROR(VLOOKUP(C1308,Customers!$A$2:$F$301,5,FALSE()),"")</f>
        <v>Retail</v>
      </c>
      <c r="P1308">
        <f>IFERROR(VLOOKUP(C1308,Customers!$A$2:$F$301,3,FALSE()),"")</f>
        <v>36</v>
      </c>
      <c r="Q1308">
        <f t="shared" si="60"/>
        <v>0.57622950819672136</v>
      </c>
      <c r="R1308">
        <f>IF(AND(COUNTIF($A$2:$A$2047,A1308)&gt;1,COUNTIF($A$2:A1308,A1308)=1),1,0)</f>
        <v>0</v>
      </c>
      <c r="S1308" t="b">
        <f>IFERROR(VLOOKUP(D1308,Products!$A$2:$F$61,6,FALSE()),"")</f>
        <v>1</v>
      </c>
      <c r="T1308" t="str">
        <f>IF(COUNTIF(Customers!$A$2:$A$301,C1308)=0,"Missing","OK")</f>
        <v>OK</v>
      </c>
      <c r="U1308" t="str">
        <f t="shared" si="61"/>
        <v>Pune</v>
      </c>
      <c r="V1308">
        <f t="shared" si="62"/>
        <v>0</v>
      </c>
    </row>
    <row r="1309" spans="1:22" ht="15" customHeight="1" x14ac:dyDescent="0.35">
      <c r="A1309" s="3" t="s">
        <v>1734</v>
      </c>
      <c r="B1309" s="4">
        <v>45587</v>
      </c>
      <c r="C1309" s="3" t="s">
        <v>102</v>
      </c>
      <c r="D1309" s="3" t="s">
        <v>391</v>
      </c>
      <c r="E1309" s="3" t="s">
        <v>60</v>
      </c>
      <c r="F1309" s="5">
        <v>7</v>
      </c>
      <c r="G1309" s="5">
        <v>3450</v>
      </c>
      <c r="H1309" s="5">
        <v>29.3</v>
      </c>
      <c r="I1309" s="5">
        <v>17074.05</v>
      </c>
      <c r="J1309" s="3" t="s">
        <v>26</v>
      </c>
      <c r="K1309" s="3" t="s">
        <v>33</v>
      </c>
      <c r="L1309" t="str">
        <f>IFERROR(VLOOKUP(D1309,Products!$A$2:$F$61,3,FALSE()),"")</f>
        <v>Apparel</v>
      </c>
      <c r="M1309" t="str">
        <f>IFERROR(VLOOKUP(E1309,Sales_Reps!$A$2:$C$31,3,FALSE()),"")</f>
        <v>East</v>
      </c>
      <c r="N1309">
        <f>IFERROR(VLOOKUP(D1309,Products!$A$2:$F$61,4,FALSE()),"")</f>
        <v>1748</v>
      </c>
      <c r="O1309" t="str">
        <f>IFERROR(VLOOKUP(C1309,Customers!$A$2:$F$301,5,FALSE()),"")</f>
        <v>Retail</v>
      </c>
      <c r="P1309">
        <f>IFERROR(VLOOKUP(C1309,Customers!$A$2:$F$301,3,FALSE()),"")</f>
        <v>49</v>
      </c>
      <c r="Q1309">
        <f t="shared" si="60"/>
        <v>0.49333333333333335</v>
      </c>
      <c r="R1309">
        <f>IF(AND(COUNTIF($A$2:$A$2047,A1309)&gt;1,COUNTIF($A$2:A1309,A1309)=1),1,0)</f>
        <v>0</v>
      </c>
      <c r="S1309" t="b">
        <f>IFERROR(VLOOKUP(D1309,Products!$A$2:$F$61,6,FALSE()),"")</f>
        <v>1</v>
      </c>
      <c r="T1309" t="str">
        <f>IF(COUNTIF(Customers!$A$2:$A$301,C1309)=0,"Missing","OK")</f>
        <v>OK</v>
      </c>
      <c r="U1309" t="str">
        <f t="shared" si="61"/>
        <v>Chennai</v>
      </c>
      <c r="V1309">
        <f t="shared" si="62"/>
        <v>0</v>
      </c>
    </row>
    <row r="1310" spans="1:22" ht="15" customHeight="1" x14ac:dyDescent="0.35">
      <c r="A1310" s="3" t="s">
        <v>1735</v>
      </c>
      <c r="B1310" s="4">
        <v>45538</v>
      </c>
      <c r="C1310" s="3" t="s">
        <v>556</v>
      </c>
      <c r="D1310" s="3" t="s">
        <v>598</v>
      </c>
      <c r="E1310" s="3" t="s">
        <v>191</v>
      </c>
      <c r="F1310" s="5">
        <v>6</v>
      </c>
      <c r="G1310" s="5">
        <v>3560</v>
      </c>
      <c r="H1310" s="5">
        <v>9.4</v>
      </c>
      <c r="I1310" s="5">
        <v>19352.16</v>
      </c>
      <c r="J1310" s="3" t="s">
        <v>32</v>
      </c>
      <c r="K1310" s="3" t="s">
        <v>51</v>
      </c>
      <c r="L1310" t="str">
        <f>IFERROR(VLOOKUP(D1310,Products!$A$2:$F$61,3,FALSE()),"")</f>
        <v>Apparel</v>
      </c>
      <c r="M1310" t="str">
        <f>IFERROR(VLOOKUP(E1310,Sales_Reps!$A$2:$C$31,3,FALSE()),"")</f>
        <v>South</v>
      </c>
      <c r="N1310">
        <f>IFERROR(VLOOKUP(D1310,Products!$A$2:$F$61,4,FALSE()),"")</f>
        <v>2629</v>
      </c>
      <c r="O1310" t="str">
        <f>IFERROR(VLOOKUP(C1310,Customers!$A$2:$F$301,5,FALSE()),"")</f>
        <v>SMB</v>
      </c>
      <c r="P1310">
        <f>IFERROR(VLOOKUP(C1310,Customers!$A$2:$F$301,3,FALSE()),"")</f>
        <v>65</v>
      </c>
      <c r="Q1310">
        <f t="shared" si="60"/>
        <v>0.26151685393258428</v>
      </c>
      <c r="R1310">
        <f>IF(AND(COUNTIF($A$2:$A$2047,A1310)&gt;1,COUNTIF($A$2:A1310,A1310)=1),1,0)</f>
        <v>0</v>
      </c>
      <c r="S1310" t="b">
        <f>IFERROR(VLOOKUP(D1310,Products!$A$2:$F$61,6,FALSE()),"")</f>
        <v>1</v>
      </c>
      <c r="T1310" t="str">
        <f>IF(COUNTIF(Customers!$A$2:$A$301,C1310)=0,"Missing","OK")</f>
        <v>OK</v>
      </c>
      <c r="U1310" t="str">
        <f t="shared" si="61"/>
        <v>Mumbai</v>
      </c>
      <c r="V1310">
        <f t="shared" si="62"/>
        <v>0</v>
      </c>
    </row>
    <row r="1311" spans="1:22" ht="15" customHeight="1" x14ac:dyDescent="0.35">
      <c r="A1311" s="3" t="s">
        <v>1736</v>
      </c>
      <c r="B1311" s="4">
        <v>45385</v>
      </c>
      <c r="C1311" s="3" t="s">
        <v>443</v>
      </c>
      <c r="D1311" s="3" t="s">
        <v>49</v>
      </c>
      <c r="E1311" s="3" t="s">
        <v>31</v>
      </c>
      <c r="F1311" s="5">
        <v>4</v>
      </c>
      <c r="G1311" s="5">
        <v>370</v>
      </c>
      <c r="H1311" s="5">
        <v>4.9000000000000004</v>
      </c>
      <c r="I1311" s="5">
        <v>1407.48</v>
      </c>
      <c r="J1311" s="3" t="s">
        <v>26</v>
      </c>
      <c r="K1311" s="3" t="s">
        <v>56</v>
      </c>
      <c r="L1311" t="str">
        <f>IFERROR(VLOOKUP(D1311,Products!$A$2:$F$61,3,FALSE()),"")</f>
        <v>Home</v>
      </c>
      <c r="M1311" t="str">
        <f>IFERROR(VLOOKUP(E1311,Sales_Reps!$A$2:$C$31,3,FALSE()),"")</f>
        <v>North</v>
      </c>
      <c r="N1311">
        <f>IFERROR(VLOOKUP(D1311,Products!$A$2:$F$61,4,FALSE()),"")</f>
        <v>288</v>
      </c>
      <c r="O1311" t="str">
        <f>IFERROR(VLOOKUP(C1311,Customers!$A$2:$F$301,5,FALSE()),"")</f>
        <v>Corporate</v>
      </c>
      <c r="P1311">
        <f>IFERROR(VLOOKUP(C1311,Customers!$A$2:$F$301,3,FALSE()),"")</f>
        <v>36</v>
      </c>
      <c r="Q1311">
        <f t="shared" si="60"/>
        <v>0.22162162162162163</v>
      </c>
      <c r="R1311">
        <f>IF(AND(COUNTIF($A$2:$A$2047,A1311)&gt;1,COUNTIF($A$2:A1311,A1311)=1),1,0)</f>
        <v>0</v>
      </c>
      <c r="S1311" t="b">
        <f>IFERROR(VLOOKUP(D1311,Products!$A$2:$F$61,6,FALSE()),"")</f>
        <v>1</v>
      </c>
      <c r="T1311" t="str">
        <f>IF(COUNTIF(Customers!$A$2:$A$301,C1311)=0,"Missing","OK")</f>
        <v>OK</v>
      </c>
      <c r="U1311" t="str">
        <f t="shared" si="61"/>
        <v>Bengaluru</v>
      </c>
      <c r="V1311">
        <f t="shared" si="62"/>
        <v>0</v>
      </c>
    </row>
    <row r="1312" spans="1:22" ht="15" customHeight="1" x14ac:dyDescent="0.35">
      <c r="A1312" s="3" t="s">
        <v>1737</v>
      </c>
      <c r="B1312" s="4">
        <v>45647</v>
      </c>
      <c r="C1312" s="3" t="s">
        <v>659</v>
      </c>
      <c r="D1312" s="3" t="s">
        <v>206</v>
      </c>
      <c r="E1312" s="3" t="s">
        <v>87</v>
      </c>
      <c r="F1312" s="5">
        <v>1</v>
      </c>
      <c r="G1312" s="5">
        <v>1220</v>
      </c>
      <c r="H1312" s="5">
        <v>15.2</v>
      </c>
      <c r="I1312" s="5">
        <v>1034.56</v>
      </c>
      <c r="J1312" s="3" t="s">
        <v>26</v>
      </c>
      <c r="K1312" s="3" t="s">
        <v>27</v>
      </c>
      <c r="L1312" t="str">
        <f>IFERROR(VLOOKUP(D1312,Products!$A$2:$F$61,3,FALSE()),"")</f>
        <v>Electronics</v>
      </c>
      <c r="M1312" t="str">
        <f>IFERROR(VLOOKUP(E1312,Sales_Reps!$A$2:$C$31,3,FALSE()),"")</f>
        <v>North</v>
      </c>
      <c r="N1312">
        <f>IFERROR(VLOOKUP(D1312,Products!$A$2:$F$61,4,FALSE()),"")</f>
        <v>517</v>
      </c>
      <c r="O1312" t="str">
        <f>IFERROR(VLOOKUP(C1312,Customers!$A$2:$F$301,5,FALSE()),"")</f>
        <v>Retail</v>
      </c>
      <c r="P1312">
        <f>IFERROR(VLOOKUP(C1312,Customers!$A$2:$F$301,3,FALSE()),"")</f>
        <v>48</v>
      </c>
      <c r="Q1312">
        <f t="shared" si="60"/>
        <v>0.57622950819672136</v>
      </c>
      <c r="R1312">
        <f>IF(AND(COUNTIF($A$2:$A$2047,A1312)&gt;1,COUNTIF($A$2:A1312,A1312)=1),1,0)</f>
        <v>0</v>
      </c>
      <c r="S1312" t="b">
        <f>IFERROR(VLOOKUP(D1312,Products!$A$2:$F$61,6,FALSE()),"")</f>
        <v>1</v>
      </c>
      <c r="T1312" t="str">
        <f>IF(COUNTIF(Customers!$A$2:$A$301,C1312)=0,"Missing","OK")</f>
        <v>OK</v>
      </c>
      <c r="U1312" t="str">
        <f t="shared" si="61"/>
        <v>Pune</v>
      </c>
      <c r="V1312">
        <f t="shared" si="62"/>
        <v>0</v>
      </c>
    </row>
    <row r="1313" spans="1:22" ht="15" customHeight="1" x14ac:dyDescent="0.35">
      <c r="A1313" s="3" t="s">
        <v>1738</v>
      </c>
      <c r="B1313" s="4">
        <v>45466</v>
      </c>
      <c r="C1313" s="3" t="s">
        <v>741</v>
      </c>
      <c r="D1313" s="3" t="s">
        <v>176</v>
      </c>
      <c r="E1313" s="3" t="s">
        <v>42</v>
      </c>
      <c r="F1313" s="5">
        <v>3</v>
      </c>
      <c r="G1313" s="5">
        <v>3640</v>
      </c>
      <c r="H1313" s="5">
        <v>12.3</v>
      </c>
      <c r="I1313" s="5">
        <v>9576.84</v>
      </c>
      <c r="J1313" s="3" t="s">
        <v>32</v>
      </c>
      <c r="K1313" s="3" t="s">
        <v>33</v>
      </c>
      <c r="L1313" t="str">
        <f>IFERROR(VLOOKUP(D1313,Products!$A$2:$F$61,3,FALSE()),"")</f>
        <v>Apparel</v>
      </c>
      <c r="M1313" t="str">
        <f>IFERROR(VLOOKUP(E1313,Sales_Reps!$A$2:$C$31,3,FALSE()),"")</f>
        <v>North</v>
      </c>
      <c r="N1313">
        <f>IFERROR(VLOOKUP(D1313,Products!$A$2:$F$61,4,FALSE()),"")</f>
        <v>2611</v>
      </c>
      <c r="O1313" t="str">
        <f>IFERROR(VLOOKUP(C1313,Customers!$A$2:$F$301,5,FALSE()),"")</f>
        <v>SMB</v>
      </c>
      <c r="P1313">
        <f>IFERROR(VLOOKUP(C1313,Customers!$A$2:$F$301,3,FALSE()),"")</f>
        <v>39</v>
      </c>
      <c r="Q1313">
        <f t="shared" si="60"/>
        <v>0.28269230769230769</v>
      </c>
      <c r="R1313">
        <f>IF(AND(COUNTIF($A$2:$A$2047,A1313)&gt;1,COUNTIF($A$2:A1313,A1313)=1),1,0)</f>
        <v>0</v>
      </c>
      <c r="S1313" t="b">
        <f>IFERROR(VLOOKUP(D1313,Products!$A$2:$F$61,6,FALSE()),"")</f>
        <v>1</v>
      </c>
      <c r="T1313" t="str">
        <f>IF(COUNTIF(Customers!$A$2:$A$301,C1313)=0,"Missing","OK")</f>
        <v>OK</v>
      </c>
      <c r="U1313" t="str">
        <f t="shared" si="61"/>
        <v>Chennai</v>
      </c>
      <c r="V1313">
        <f t="shared" si="62"/>
        <v>0</v>
      </c>
    </row>
    <row r="1314" spans="1:22" ht="15" customHeight="1" x14ac:dyDescent="0.35">
      <c r="A1314" s="3" t="s">
        <v>1739</v>
      </c>
      <c r="B1314" s="4">
        <v>45559</v>
      </c>
      <c r="C1314" s="3" t="s">
        <v>811</v>
      </c>
      <c r="D1314" s="3" t="s">
        <v>215</v>
      </c>
      <c r="E1314" s="3" t="s">
        <v>71</v>
      </c>
      <c r="F1314" s="5">
        <v>8</v>
      </c>
      <c r="G1314" s="5">
        <v>3020</v>
      </c>
      <c r="H1314" s="5">
        <v>28.2</v>
      </c>
      <c r="I1314" s="5">
        <v>17346.88</v>
      </c>
      <c r="J1314" s="3" t="s">
        <v>32</v>
      </c>
      <c r="K1314" s="3" t="s">
        <v>51</v>
      </c>
      <c r="L1314" t="str">
        <f>IFERROR(VLOOKUP(D1314,Products!$A$2:$F$61,3,FALSE()),"")</f>
        <v>Beauty</v>
      </c>
      <c r="M1314" t="str">
        <f>IFERROR(VLOOKUP(E1314,Sales_Reps!$A$2:$C$31,3,FALSE()),"")</f>
        <v>South</v>
      </c>
      <c r="N1314">
        <f>IFERROR(VLOOKUP(D1314,Products!$A$2:$F$61,4,FALSE()),"")</f>
        <v>1626</v>
      </c>
      <c r="O1314" t="str">
        <f>IFERROR(VLOOKUP(C1314,Customers!$A$2:$F$301,5,FALSE()),"")</f>
        <v>Corporate</v>
      </c>
      <c r="P1314">
        <f>IFERROR(VLOOKUP(C1314,Customers!$A$2:$F$301,3,FALSE()),"")</f>
        <v>62</v>
      </c>
      <c r="Q1314">
        <f t="shared" si="60"/>
        <v>0.46158940397350995</v>
      </c>
      <c r="R1314">
        <f>IF(AND(COUNTIF($A$2:$A$2047,A1314)&gt;1,COUNTIF($A$2:A1314,A1314)=1),1,0)</f>
        <v>0</v>
      </c>
      <c r="S1314" t="b">
        <f>IFERROR(VLOOKUP(D1314,Products!$A$2:$F$61,6,FALSE()),"")</f>
        <v>1</v>
      </c>
      <c r="T1314" t="str">
        <f>IF(COUNTIF(Customers!$A$2:$A$301,C1314)=0,"Missing","OK")</f>
        <v>OK</v>
      </c>
      <c r="U1314" t="str">
        <f t="shared" si="61"/>
        <v>Mumbai</v>
      </c>
      <c r="V1314">
        <f t="shared" si="62"/>
        <v>0</v>
      </c>
    </row>
    <row r="1315" spans="1:22" ht="15" customHeight="1" x14ac:dyDescent="0.35">
      <c r="A1315" s="3" t="s">
        <v>1740</v>
      </c>
      <c r="B1315" s="4">
        <v>45469</v>
      </c>
      <c r="C1315" s="3" t="s">
        <v>594</v>
      </c>
      <c r="D1315" s="3" t="s">
        <v>130</v>
      </c>
      <c r="E1315" s="3" t="s">
        <v>46</v>
      </c>
      <c r="F1315" s="5">
        <v>3</v>
      </c>
      <c r="G1315" s="5">
        <v>5100</v>
      </c>
      <c r="H1315" s="5">
        <v>7.8</v>
      </c>
      <c r="I1315" s="5">
        <v>14106.6</v>
      </c>
      <c r="J1315" s="3" t="s">
        <v>26</v>
      </c>
      <c r="K1315" s="3" t="s">
        <v>72</v>
      </c>
      <c r="L1315" t="str">
        <f>IFERROR(VLOOKUP(D1315,Products!$A$2:$F$61,3,FALSE()),"")</f>
        <v>Beauty</v>
      </c>
      <c r="M1315" t="str">
        <f>IFERROR(VLOOKUP(E1315,Sales_Reps!$A$2:$C$31,3,FALSE()),"")</f>
        <v>North</v>
      </c>
      <c r="N1315">
        <f>IFERROR(VLOOKUP(D1315,Products!$A$2:$F$61,4,FALSE()),"")</f>
        <v>2237</v>
      </c>
      <c r="O1315" t="str">
        <f>IFERROR(VLOOKUP(C1315,Customers!$A$2:$F$301,5,FALSE()),"")</f>
        <v>Retail</v>
      </c>
      <c r="P1315">
        <f>IFERROR(VLOOKUP(C1315,Customers!$A$2:$F$301,3,FALSE()),"")</f>
        <v>27</v>
      </c>
      <c r="Q1315">
        <f t="shared" si="60"/>
        <v>0.56137254901960787</v>
      </c>
      <c r="R1315">
        <f>IF(AND(COUNTIF($A$2:$A$2047,A1315)&gt;1,COUNTIF($A$2:A1315,A1315)=1),1,0)</f>
        <v>0</v>
      </c>
      <c r="S1315" t="b">
        <f>IFERROR(VLOOKUP(D1315,Products!$A$2:$F$61,6,FALSE()),"")</f>
        <v>1</v>
      </c>
      <c r="T1315" t="str">
        <f>IF(COUNTIF(Customers!$A$2:$A$301,C1315)=0,"Missing","OK")</f>
        <v>OK</v>
      </c>
      <c r="U1315" t="str">
        <f t="shared" si="61"/>
        <v>Hyderabad</v>
      </c>
      <c r="V1315">
        <f t="shared" si="62"/>
        <v>0</v>
      </c>
    </row>
    <row r="1316" spans="1:22" ht="15" customHeight="1" x14ac:dyDescent="0.35">
      <c r="A1316" s="3" t="s">
        <v>1741</v>
      </c>
      <c r="B1316" s="4">
        <v>45407</v>
      </c>
      <c r="C1316" s="3" t="s">
        <v>424</v>
      </c>
      <c r="D1316" s="3" t="s">
        <v>221</v>
      </c>
      <c r="E1316" s="3" t="s">
        <v>154</v>
      </c>
      <c r="F1316" s="5">
        <v>9</v>
      </c>
      <c r="G1316" s="5">
        <v>300</v>
      </c>
      <c r="H1316" s="5">
        <v>19</v>
      </c>
      <c r="I1316" s="5">
        <v>2187</v>
      </c>
      <c r="J1316" s="3" t="s">
        <v>26</v>
      </c>
      <c r="K1316" s="3" t="s">
        <v>27</v>
      </c>
      <c r="L1316" t="str">
        <f>IFERROR(VLOOKUP(D1316,Products!$A$2:$F$61,3,FALSE()),"")</f>
        <v>Electronics</v>
      </c>
      <c r="M1316" t="str">
        <f>IFERROR(VLOOKUP(E1316,Sales_Reps!$A$2:$C$31,3,FALSE()),"")</f>
        <v>North</v>
      </c>
      <c r="N1316">
        <f>IFERROR(VLOOKUP(D1316,Products!$A$2:$F$61,4,FALSE()),"")</f>
        <v>128</v>
      </c>
      <c r="O1316" t="str">
        <f>IFERROR(VLOOKUP(C1316,Customers!$A$2:$F$301,5,FALSE()),"")</f>
        <v>Retail</v>
      </c>
      <c r="P1316">
        <f>IFERROR(VLOOKUP(C1316,Customers!$A$2:$F$301,3,FALSE()),"")</f>
        <v>49</v>
      </c>
      <c r="Q1316">
        <f t="shared" si="60"/>
        <v>0.57333333333333336</v>
      </c>
      <c r="R1316">
        <f>IF(AND(COUNTIF($A$2:$A$2047,A1316)&gt;1,COUNTIF($A$2:A1316,A1316)=1),1,0)</f>
        <v>0</v>
      </c>
      <c r="S1316" t="b">
        <f>IFERROR(VLOOKUP(D1316,Products!$A$2:$F$61,6,FALSE()),"")</f>
        <v>1</v>
      </c>
      <c r="T1316" t="str">
        <f>IF(COUNTIF(Customers!$A$2:$A$301,C1316)=0,"Missing","OK")</f>
        <v>OK</v>
      </c>
      <c r="U1316" t="str">
        <f t="shared" si="61"/>
        <v>Pune</v>
      </c>
      <c r="V1316">
        <f t="shared" si="62"/>
        <v>0</v>
      </c>
    </row>
    <row r="1317" spans="1:22" ht="15" customHeight="1" x14ac:dyDescent="0.35">
      <c r="A1317" s="3" t="s">
        <v>1742</v>
      </c>
      <c r="B1317" s="4">
        <v>45634</v>
      </c>
      <c r="C1317" s="3" t="s">
        <v>133</v>
      </c>
      <c r="D1317" s="3" t="s">
        <v>325</v>
      </c>
      <c r="E1317" s="3" t="s">
        <v>25</v>
      </c>
      <c r="F1317" s="5">
        <v>10</v>
      </c>
      <c r="G1317" s="5">
        <v>2290</v>
      </c>
      <c r="H1317" s="5">
        <v>27.7</v>
      </c>
      <c r="I1317" s="5">
        <v>16556.7</v>
      </c>
      <c r="J1317" s="3" t="s">
        <v>26</v>
      </c>
      <c r="K1317" s="3" t="s">
        <v>27</v>
      </c>
      <c r="L1317" t="str">
        <f>IFERROR(VLOOKUP(D1317,Products!$A$2:$F$61,3,FALSE()),"")</f>
        <v>Beauty</v>
      </c>
      <c r="M1317" t="str">
        <f>IFERROR(VLOOKUP(E1317,Sales_Reps!$A$2:$C$31,3,FALSE()),"")</f>
        <v>North</v>
      </c>
      <c r="N1317">
        <f>IFERROR(VLOOKUP(D1317,Products!$A$2:$F$61,4,FALSE()),"")</f>
        <v>1219</v>
      </c>
      <c r="O1317" t="str">
        <f>IFERROR(VLOOKUP(C1317,Customers!$A$2:$F$301,5,FALSE()),"")</f>
        <v>SMB</v>
      </c>
      <c r="P1317">
        <f>IFERROR(VLOOKUP(C1317,Customers!$A$2:$F$301,3,FALSE()),"")</f>
        <v>44</v>
      </c>
      <c r="Q1317">
        <f t="shared" si="60"/>
        <v>0.46768558951965067</v>
      </c>
      <c r="R1317">
        <f>IF(AND(COUNTIF($A$2:$A$2047,A1317)&gt;1,COUNTIF($A$2:A1317,A1317)=1),1,0)</f>
        <v>0</v>
      </c>
      <c r="S1317" t="b">
        <f>IFERROR(VLOOKUP(D1317,Products!$A$2:$F$61,6,FALSE()),"")</f>
        <v>1</v>
      </c>
      <c r="T1317" t="str">
        <f>IF(COUNTIF(Customers!$A$2:$A$301,C1317)=0,"Missing","OK")</f>
        <v>OK</v>
      </c>
      <c r="U1317" t="str">
        <f t="shared" si="61"/>
        <v>Pune</v>
      </c>
      <c r="V1317">
        <f t="shared" si="62"/>
        <v>0</v>
      </c>
    </row>
    <row r="1318" spans="1:22" ht="15" customHeight="1" x14ac:dyDescent="0.35">
      <c r="A1318" s="3" t="s">
        <v>1743</v>
      </c>
      <c r="B1318" s="4">
        <v>45454</v>
      </c>
      <c r="C1318" s="3" t="s">
        <v>117</v>
      </c>
      <c r="D1318" s="3" t="s">
        <v>176</v>
      </c>
      <c r="E1318" s="3" t="s">
        <v>55</v>
      </c>
      <c r="F1318" s="5">
        <v>9</v>
      </c>
      <c r="G1318" s="5">
        <v>3640</v>
      </c>
      <c r="H1318" s="5">
        <v>20.100000000000001</v>
      </c>
      <c r="I1318" s="5">
        <v>26175.24</v>
      </c>
      <c r="J1318" s="3" t="s">
        <v>26</v>
      </c>
      <c r="K1318" s="3" t="s">
        <v>33</v>
      </c>
      <c r="L1318" t="str">
        <f>IFERROR(VLOOKUP(D1318,Products!$A$2:$F$61,3,FALSE()),"")</f>
        <v>Apparel</v>
      </c>
      <c r="M1318" t="str">
        <f>IFERROR(VLOOKUP(E1318,Sales_Reps!$A$2:$C$31,3,FALSE()),"")</f>
        <v>West</v>
      </c>
      <c r="N1318">
        <f>IFERROR(VLOOKUP(D1318,Products!$A$2:$F$61,4,FALSE()),"")</f>
        <v>2611</v>
      </c>
      <c r="O1318" t="str">
        <f>IFERROR(VLOOKUP(C1318,Customers!$A$2:$F$301,5,FALSE()),"")</f>
        <v>Corporate</v>
      </c>
      <c r="P1318">
        <f>IFERROR(VLOOKUP(C1318,Customers!$A$2:$F$301,3,FALSE()),"")</f>
        <v>55</v>
      </c>
      <c r="Q1318">
        <f t="shared" si="60"/>
        <v>0.28269230769230769</v>
      </c>
      <c r="R1318">
        <f>IF(AND(COUNTIF($A$2:$A$2047,A1318)&gt;1,COUNTIF($A$2:A1318,A1318)=1),1,0)</f>
        <v>0</v>
      </c>
      <c r="S1318" t="b">
        <f>IFERROR(VLOOKUP(D1318,Products!$A$2:$F$61,6,FALSE()),"")</f>
        <v>1</v>
      </c>
      <c r="T1318" t="str">
        <f>IF(COUNTIF(Customers!$A$2:$A$301,C1318)=0,"Missing","OK")</f>
        <v>OK</v>
      </c>
      <c r="U1318" t="str">
        <f t="shared" si="61"/>
        <v>Chennai</v>
      </c>
      <c r="V1318">
        <f t="shared" si="62"/>
        <v>0</v>
      </c>
    </row>
    <row r="1319" spans="1:22" ht="15" customHeight="1" x14ac:dyDescent="0.35">
      <c r="A1319" s="3" t="s">
        <v>1744</v>
      </c>
      <c r="B1319" s="4">
        <v>45565</v>
      </c>
      <c r="C1319" s="3" t="s">
        <v>545</v>
      </c>
      <c r="D1319" s="3" t="s">
        <v>30</v>
      </c>
      <c r="E1319" s="3" t="s">
        <v>224</v>
      </c>
      <c r="F1319" s="5">
        <v>4</v>
      </c>
      <c r="G1319" s="5">
        <v>820</v>
      </c>
      <c r="H1319" s="5">
        <v>7.6</v>
      </c>
      <c r="I1319" s="5">
        <v>3030.72</v>
      </c>
      <c r="J1319" s="3" t="s">
        <v>26</v>
      </c>
      <c r="K1319" s="3" t="s">
        <v>51</v>
      </c>
      <c r="L1319" t="str">
        <f>IFERROR(VLOOKUP(D1319,Products!$A$2:$F$61,3,FALSE()),"")</f>
        <v>Apparel</v>
      </c>
      <c r="M1319" t="str">
        <f>IFERROR(VLOOKUP(E1319,Sales_Reps!$A$2:$C$31,3,FALSE()),"")</f>
        <v>East</v>
      </c>
      <c r="N1319">
        <f>IFERROR(VLOOKUP(D1319,Products!$A$2:$F$61,4,FALSE()),"")</f>
        <v>391</v>
      </c>
      <c r="O1319" t="str">
        <f>IFERROR(VLOOKUP(C1319,Customers!$A$2:$F$301,5,FALSE()),"")</f>
        <v>Retail</v>
      </c>
      <c r="P1319">
        <f>IFERROR(VLOOKUP(C1319,Customers!$A$2:$F$301,3,FALSE()),"")</f>
        <v>52</v>
      </c>
      <c r="Q1319">
        <f t="shared" si="60"/>
        <v>0.52317073170731709</v>
      </c>
      <c r="R1319">
        <f>IF(AND(COUNTIF($A$2:$A$2047,A1319)&gt;1,COUNTIF($A$2:A1319,A1319)=1),1,0)</f>
        <v>0</v>
      </c>
      <c r="S1319" t="b">
        <f>IFERROR(VLOOKUP(D1319,Products!$A$2:$F$61,6,FALSE()),"")</f>
        <v>1</v>
      </c>
      <c r="T1319" t="str">
        <f>IF(COUNTIF(Customers!$A$2:$A$301,C1319)=0,"Missing","OK")</f>
        <v>OK</v>
      </c>
      <c r="U1319" t="str">
        <f t="shared" si="61"/>
        <v>Mumbai</v>
      </c>
      <c r="V1319">
        <f t="shared" si="62"/>
        <v>0</v>
      </c>
    </row>
    <row r="1320" spans="1:22" ht="15" customHeight="1" x14ac:dyDescent="0.35">
      <c r="A1320" s="3" t="s">
        <v>1745</v>
      </c>
      <c r="B1320" s="4">
        <v>45443</v>
      </c>
      <c r="C1320" s="3" t="s">
        <v>1297</v>
      </c>
      <c r="D1320" s="3" t="s">
        <v>66</v>
      </c>
      <c r="E1320" s="3" t="s">
        <v>37</v>
      </c>
      <c r="F1320" s="5">
        <v>1</v>
      </c>
      <c r="G1320" s="5">
        <v>970</v>
      </c>
      <c r="H1320" s="5">
        <v>1.7</v>
      </c>
      <c r="I1320" s="5">
        <v>953.51</v>
      </c>
      <c r="J1320" s="3" t="s">
        <v>26</v>
      </c>
      <c r="K1320" s="3" t="s">
        <v>51</v>
      </c>
      <c r="L1320" t="str">
        <f>IFERROR(VLOOKUP(D1320,Products!$A$2:$F$61,3,FALSE()),"")</f>
        <v>Grocery</v>
      </c>
      <c r="M1320" t="str">
        <f>IFERROR(VLOOKUP(E1320,Sales_Reps!$A$2:$C$31,3,FALSE()),"")</f>
        <v>South</v>
      </c>
      <c r="N1320">
        <f>IFERROR(VLOOKUP(D1320,Products!$A$2:$F$61,4,FALSE()),"")</f>
        <v>434</v>
      </c>
      <c r="O1320" t="str">
        <f>IFERROR(VLOOKUP(C1320,Customers!$A$2:$F$301,5,FALSE()),"")</f>
        <v>Corporate</v>
      </c>
      <c r="P1320">
        <f>IFERROR(VLOOKUP(C1320,Customers!$A$2:$F$301,3,FALSE()),"")</f>
        <v>42</v>
      </c>
      <c r="Q1320">
        <f t="shared" si="60"/>
        <v>0.5525773195876289</v>
      </c>
      <c r="R1320">
        <f>IF(AND(COUNTIF($A$2:$A$2047,A1320)&gt;1,COUNTIF($A$2:A1320,A1320)=1),1,0)</f>
        <v>0</v>
      </c>
      <c r="S1320" t="b">
        <f>IFERROR(VLOOKUP(D1320,Products!$A$2:$F$61,6,FALSE()),"")</f>
        <v>1</v>
      </c>
      <c r="T1320" t="str">
        <f>IF(COUNTIF(Customers!$A$2:$A$301,C1320)=0,"Missing","OK")</f>
        <v>OK</v>
      </c>
      <c r="U1320" t="str">
        <f t="shared" si="61"/>
        <v>Mumbai</v>
      </c>
      <c r="V1320">
        <f t="shared" si="62"/>
        <v>0</v>
      </c>
    </row>
    <row r="1321" spans="1:22" ht="15" customHeight="1" x14ac:dyDescent="0.35">
      <c r="A1321" s="3" t="s">
        <v>1746</v>
      </c>
      <c r="B1321" s="4">
        <v>45318</v>
      </c>
      <c r="C1321" s="3" t="s">
        <v>69</v>
      </c>
      <c r="D1321" s="3" t="s">
        <v>598</v>
      </c>
      <c r="E1321" s="3" t="s">
        <v>60</v>
      </c>
      <c r="F1321" s="5">
        <v>5</v>
      </c>
      <c r="G1321" s="5">
        <v>3560</v>
      </c>
      <c r="H1321" s="5">
        <v>10.5</v>
      </c>
      <c r="I1321" s="5">
        <v>15931</v>
      </c>
      <c r="J1321" s="3" t="s">
        <v>26</v>
      </c>
      <c r="K1321" s="3" t="s">
        <v>72</v>
      </c>
      <c r="L1321" t="str">
        <f>IFERROR(VLOOKUP(D1321,Products!$A$2:$F$61,3,FALSE()),"")</f>
        <v>Apparel</v>
      </c>
      <c r="M1321" t="str">
        <f>IFERROR(VLOOKUP(E1321,Sales_Reps!$A$2:$C$31,3,FALSE()),"")</f>
        <v>East</v>
      </c>
      <c r="N1321">
        <f>IFERROR(VLOOKUP(D1321,Products!$A$2:$F$61,4,FALSE()),"")</f>
        <v>2629</v>
      </c>
      <c r="O1321" t="str">
        <f>IFERROR(VLOOKUP(C1321,Customers!$A$2:$F$301,5,FALSE()),"")</f>
        <v>Retail</v>
      </c>
      <c r="P1321">
        <f>IFERROR(VLOOKUP(C1321,Customers!$A$2:$F$301,3,FALSE()),"")</f>
        <v>60</v>
      </c>
      <c r="Q1321">
        <f t="shared" si="60"/>
        <v>0.26151685393258428</v>
      </c>
      <c r="R1321">
        <f>IF(AND(COUNTIF($A$2:$A$2047,A1321)&gt;1,COUNTIF($A$2:A1321,A1321)=1),1,0)</f>
        <v>0</v>
      </c>
      <c r="S1321" t="b">
        <f>IFERROR(VLOOKUP(D1321,Products!$A$2:$F$61,6,FALSE()),"")</f>
        <v>1</v>
      </c>
      <c r="T1321" t="str">
        <f>IF(COUNTIF(Customers!$A$2:$A$301,C1321)=0,"Missing","OK")</f>
        <v>OK</v>
      </c>
      <c r="U1321" t="str">
        <f t="shared" si="61"/>
        <v>Hyderabad</v>
      </c>
      <c r="V1321">
        <f t="shared" si="62"/>
        <v>0</v>
      </c>
    </row>
    <row r="1322" spans="1:22" ht="15" customHeight="1" x14ac:dyDescent="0.35">
      <c r="A1322" s="3" t="s">
        <v>1747</v>
      </c>
      <c r="B1322" s="4">
        <v>45308</v>
      </c>
      <c r="C1322" s="3" t="s">
        <v>292</v>
      </c>
      <c r="D1322" s="3" t="s">
        <v>441</v>
      </c>
      <c r="E1322" s="3" t="s">
        <v>143</v>
      </c>
      <c r="F1322" s="5">
        <v>6</v>
      </c>
      <c r="G1322" s="5">
        <v>1090</v>
      </c>
      <c r="H1322" s="5">
        <v>2.4</v>
      </c>
      <c r="I1322" s="5">
        <v>6383.04</v>
      </c>
      <c r="J1322" s="3" t="s">
        <v>32</v>
      </c>
      <c r="K1322" s="3" t="s">
        <v>33</v>
      </c>
      <c r="L1322" t="str">
        <f>IFERROR(VLOOKUP(D1322,Products!$A$2:$F$61,3,FALSE()),"")</f>
        <v>Home</v>
      </c>
      <c r="M1322" t="str">
        <f>IFERROR(VLOOKUP(E1322,Sales_Reps!$A$2:$C$31,3,FALSE()),"")</f>
        <v>South</v>
      </c>
      <c r="N1322">
        <f>IFERROR(VLOOKUP(D1322,Products!$A$2:$F$61,4,FALSE()),"")</f>
        <v>464</v>
      </c>
      <c r="O1322" t="str">
        <f>IFERROR(VLOOKUP(C1322,Customers!$A$2:$F$301,5,FALSE()),"")</f>
        <v>Retail</v>
      </c>
      <c r="P1322">
        <f>IFERROR(VLOOKUP(C1322,Customers!$A$2:$F$301,3,FALSE()),"")</f>
        <v>60</v>
      </c>
      <c r="Q1322">
        <f t="shared" si="60"/>
        <v>0.57431192660550456</v>
      </c>
      <c r="R1322">
        <f>IF(AND(COUNTIF($A$2:$A$2047,A1322)&gt;1,COUNTIF($A$2:A1322,A1322)=1),1,0)</f>
        <v>0</v>
      </c>
      <c r="S1322" t="b">
        <f>IFERROR(VLOOKUP(D1322,Products!$A$2:$F$61,6,FALSE()),"")</f>
        <v>1</v>
      </c>
      <c r="T1322" t="str">
        <f>IF(COUNTIF(Customers!$A$2:$A$301,C1322)=0,"Missing","OK")</f>
        <v>OK</v>
      </c>
      <c r="U1322" t="str">
        <f t="shared" si="61"/>
        <v>Chennai</v>
      </c>
      <c r="V1322">
        <f t="shared" si="62"/>
        <v>0</v>
      </c>
    </row>
    <row r="1323" spans="1:22" ht="15" customHeight="1" x14ac:dyDescent="0.35">
      <c r="A1323" s="3" t="s">
        <v>1748</v>
      </c>
      <c r="B1323" s="4">
        <v>45306</v>
      </c>
      <c r="C1323" s="3" t="s">
        <v>646</v>
      </c>
      <c r="D1323" s="3" t="s">
        <v>218</v>
      </c>
      <c r="E1323" s="3" t="s">
        <v>177</v>
      </c>
      <c r="F1323" s="5">
        <v>6</v>
      </c>
      <c r="G1323" s="5">
        <v>2660</v>
      </c>
      <c r="H1323" s="5">
        <v>6.4</v>
      </c>
      <c r="I1323" s="5">
        <v>14938.56</v>
      </c>
      <c r="J1323" s="3" t="s">
        <v>26</v>
      </c>
      <c r="K1323" s="3" t="s">
        <v>51</v>
      </c>
      <c r="L1323" t="str">
        <f>IFERROR(VLOOKUP(D1323,Products!$A$2:$F$61,3,FALSE()),"")</f>
        <v>Electronics</v>
      </c>
      <c r="M1323" t="str">
        <f>IFERROR(VLOOKUP(E1323,Sales_Reps!$A$2:$C$31,3,FALSE()),"")</f>
        <v>East</v>
      </c>
      <c r="N1323">
        <f>IFERROR(VLOOKUP(D1323,Products!$A$2:$F$61,4,FALSE()),"")</f>
        <v>1259</v>
      </c>
      <c r="O1323" t="str">
        <f>IFERROR(VLOOKUP(C1323,Customers!$A$2:$F$301,5,FALSE()),"")</f>
        <v>Retail</v>
      </c>
      <c r="P1323">
        <f>IFERROR(VLOOKUP(C1323,Customers!$A$2:$F$301,3,FALSE()),"")</f>
        <v>33</v>
      </c>
      <c r="Q1323">
        <f t="shared" si="60"/>
        <v>0.52669172932330832</v>
      </c>
      <c r="R1323">
        <f>IF(AND(COUNTIF($A$2:$A$2047,A1323)&gt;1,COUNTIF($A$2:A1323,A1323)=1),1,0)</f>
        <v>0</v>
      </c>
      <c r="S1323" t="b">
        <f>IFERROR(VLOOKUP(D1323,Products!$A$2:$F$61,6,FALSE()),"")</f>
        <v>0</v>
      </c>
      <c r="T1323" t="str">
        <f>IF(COUNTIF(Customers!$A$2:$A$301,C1323)=0,"Missing","OK")</f>
        <v>OK</v>
      </c>
      <c r="U1323" t="str">
        <f t="shared" si="61"/>
        <v>Mumbai</v>
      </c>
      <c r="V1323">
        <f t="shared" si="62"/>
        <v>0</v>
      </c>
    </row>
    <row r="1324" spans="1:22" ht="15" customHeight="1" x14ac:dyDescent="0.35">
      <c r="A1324" s="3" t="s">
        <v>1749</v>
      </c>
      <c r="B1324" s="4">
        <v>45432</v>
      </c>
      <c r="C1324" s="3" t="s">
        <v>263</v>
      </c>
      <c r="D1324" s="3" t="s">
        <v>347</v>
      </c>
      <c r="E1324" s="3" t="s">
        <v>154</v>
      </c>
      <c r="F1324" s="5">
        <v>5</v>
      </c>
      <c r="G1324" s="5">
        <v>3970</v>
      </c>
      <c r="H1324" s="5">
        <v>18.8</v>
      </c>
      <c r="I1324" s="5">
        <v>16118.2</v>
      </c>
      <c r="J1324" s="3" t="s">
        <v>32</v>
      </c>
      <c r="K1324" s="3" t="s">
        <v>72</v>
      </c>
      <c r="L1324" t="str">
        <f>IFERROR(VLOOKUP(D1324,Products!$A$2:$F$61,3,FALSE()),"")</f>
        <v>Electronics</v>
      </c>
      <c r="M1324" t="str">
        <f>IFERROR(VLOOKUP(E1324,Sales_Reps!$A$2:$C$31,3,FALSE()),"")</f>
        <v>North</v>
      </c>
      <c r="N1324">
        <f>IFERROR(VLOOKUP(D1324,Products!$A$2:$F$61,4,FALSE()),"")</f>
        <v>2865</v>
      </c>
      <c r="O1324" t="str">
        <f>IFERROR(VLOOKUP(C1324,Customers!$A$2:$F$301,5,FALSE()),"")</f>
        <v>Retail</v>
      </c>
      <c r="P1324">
        <f>IFERROR(VLOOKUP(C1324,Customers!$A$2:$F$301,3,FALSE()),"")</f>
        <v>28</v>
      </c>
      <c r="Q1324">
        <f t="shared" si="60"/>
        <v>0.27833753148614609</v>
      </c>
      <c r="R1324">
        <f>IF(AND(COUNTIF($A$2:$A$2047,A1324)&gt;1,COUNTIF($A$2:A1324,A1324)=1),1,0)</f>
        <v>0</v>
      </c>
      <c r="S1324" t="b">
        <f>IFERROR(VLOOKUP(D1324,Products!$A$2:$F$61,6,FALSE()),"")</f>
        <v>1</v>
      </c>
      <c r="T1324" t="str">
        <f>IF(COUNTIF(Customers!$A$2:$A$301,C1324)=0,"Missing","OK")</f>
        <v>OK</v>
      </c>
      <c r="U1324" t="str">
        <f t="shared" si="61"/>
        <v>Hyderabad</v>
      </c>
      <c r="V1324">
        <f t="shared" si="62"/>
        <v>0</v>
      </c>
    </row>
    <row r="1325" spans="1:22" ht="15" customHeight="1" x14ac:dyDescent="0.35">
      <c r="A1325" s="3" t="s">
        <v>1750</v>
      </c>
      <c r="B1325" s="4">
        <v>45369</v>
      </c>
      <c r="C1325" s="3" t="s">
        <v>275</v>
      </c>
      <c r="D1325" s="3" t="s">
        <v>454</v>
      </c>
      <c r="E1325" s="3" t="s">
        <v>97</v>
      </c>
      <c r="F1325" s="5">
        <v>7</v>
      </c>
      <c r="G1325" s="5">
        <v>6940</v>
      </c>
      <c r="H1325" s="5">
        <v>23.8</v>
      </c>
      <c r="I1325" s="5">
        <v>37017.96</v>
      </c>
      <c r="J1325" s="3" t="s">
        <v>83</v>
      </c>
      <c r="K1325" s="3" t="s">
        <v>51</v>
      </c>
      <c r="L1325" t="str">
        <f>IFERROR(VLOOKUP(D1325,Products!$A$2:$F$61,3,FALSE()),"")</f>
        <v>Sports</v>
      </c>
      <c r="M1325" t="str">
        <f>IFERROR(VLOOKUP(E1325,Sales_Reps!$A$2:$C$31,3,FALSE()),"")</f>
        <v>East</v>
      </c>
      <c r="N1325">
        <f>IFERROR(VLOOKUP(D1325,Products!$A$2:$F$61,4,FALSE()),"")</f>
        <v>2827</v>
      </c>
      <c r="O1325" t="str">
        <f>IFERROR(VLOOKUP(C1325,Customers!$A$2:$F$301,5,FALSE()),"")</f>
        <v>Retail</v>
      </c>
      <c r="P1325">
        <f>IFERROR(VLOOKUP(C1325,Customers!$A$2:$F$301,3,FALSE()),"")</f>
        <v>49</v>
      </c>
      <c r="Q1325">
        <f t="shared" si="60"/>
        <v>0.5926512968299712</v>
      </c>
      <c r="R1325">
        <f>IF(AND(COUNTIF($A$2:$A$2047,A1325)&gt;1,COUNTIF($A$2:A1325,A1325)=1),1,0)</f>
        <v>0</v>
      </c>
      <c r="S1325" t="b">
        <f>IFERROR(VLOOKUP(D1325,Products!$A$2:$F$61,6,FALSE()),"")</f>
        <v>1</v>
      </c>
      <c r="T1325" t="str">
        <f>IF(COUNTIF(Customers!$A$2:$A$301,C1325)=0,"Missing","OK")</f>
        <v>OK</v>
      </c>
      <c r="U1325" t="str">
        <f t="shared" si="61"/>
        <v>Mumbai</v>
      </c>
      <c r="V1325">
        <f t="shared" si="62"/>
        <v>0</v>
      </c>
    </row>
    <row r="1326" spans="1:22" ht="15" customHeight="1" x14ac:dyDescent="0.35">
      <c r="A1326" s="3" t="s">
        <v>1751</v>
      </c>
      <c r="B1326" s="4">
        <v>45544</v>
      </c>
      <c r="C1326" s="3" t="s">
        <v>582</v>
      </c>
      <c r="D1326" s="3" t="s">
        <v>90</v>
      </c>
      <c r="E1326" s="3" t="s">
        <v>78</v>
      </c>
      <c r="F1326" s="5">
        <v>3</v>
      </c>
      <c r="G1326" s="5">
        <v>2400</v>
      </c>
      <c r="H1326" s="5">
        <v>9.8000000000000007</v>
      </c>
      <c r="I1326" s="5">
        <v>6494.4</v>
      </c>
      <c r="J1326" s="3" t="s">
        <v>26</v>
      </c>
      <c r="K1326" s="3" t="s">
        <v>51</v>
      </c>
      <c r="L1326" t="str">
        <f>IFERROR(VLOOKUP(D1326,Products!$A$2:$F$61,3,FALSE()),"")</f>
        <v>Sports</v>
      </c>
      <c r="M1326" t="str">
        <f>IFERROR(VLOOKUP(E1326,Sales_Reps!$A$2:$C$31,3,FALSE()),"")</f>
        <v>North</v>
      </c>
      <c r="N1326">
        <f>IFERROR(VLOOKUP(D1326,Products!$A$2:$F$61,4,FALSE()),"")</f>
        <v>974</v>
      </c>
      <c r="O1326" t="str">
        <f>IFERROR(VLOOKUP(C1326,Customers!$A$2:$F$301,5,FALSE()),"")</f>
        <v>SMB</v>
      </c>
      <c r="P1326">
        <f>IFERROR(VLOOKUP(C1326,Customers!$A$2:$F$301,3,FALSE()),"")</f>
        <v>27</v>
      </c>
      <c r="Q1326">
        <f t="shared" si="60"/>
        <v>0.59416666666666662</v>
      </c>
      <c r="R1326">
        <f>IF(AND(COUNTIF($A$2:$A$2047,A1326)&gt;1,COUNTIF($A$2:A1326,A1326)=1),1,0)</f>
        <v>0</v>
      </c>
      <c r="S1326" t="b">
        <f>IFERROR(VLOOKUP(D1326,Products!$A$2:$F$61,6,FALSE()),"")</f>
        <v>1</v>
      </c>
      <c r="T1326" t="str">
        <f>IF(COUNTIF(Customers!$A$2:$A$301,C1326)=0,"Missing","OK")</f>
        <v>OK</v>
      </c>
      <c r="U1326" t="str">
        <f t="shared" si="61"/>
        <v>Mumbai</v>
      </c>
      <c r="V1326">
        <f t="shared" si="62"/>
        <v>0</v>
      </c>
    </row>
    <row r="1327" spans="1:22" ht="15" customHeight="1" x14ac:dyDescent="0.35">
      <c r="A1327" s="3" t="s">
        <v>1752</v>
      </c>
      <c r="B1327" s="4">
        <v>45395</v>
      </c>
      <c r="C1327" s="3" t="s">
        <v>1189</v>
      </c>
      <c r="D1327" s="3" t="s">
        <v>100</v>
      </c>
      <c r="E1327" s="3" t="s">
        <v>93</v>
      </c>
      <c r="F1327" s="5">
        <v>8</v>
      </c>
      <c r="G1327" s="5">
        <v>3450</v>
      </c>
      <c r="H1327" s="5">
        <v>26.6</v>
      </c>
      <c r="I1327" s="5">
        <v>20258.400000000001</v>
      </c>
      <c r="J1327" s="3" t="s">
        <v>79</v>
      </c>
      <c r="K1327" s="3" t="s">
        <v>27</v>
      </c>
      <c r="L1327" t="str">
        <f>IFERROR(VLOOKUP(D1327,Products!$A$2:$F$61,3,FALSE()),"")</f>
        <v>Sports</v>
      </c>
      <c r="M1327" t="str">
        <f>IFERROR(VLOOKUP(E1327,Sales_Reps!$A$2:$C$31,3,FALSE()),"")</f>
        <v>East</v>
      </c>
      <c r="N1327">
        <f>IFERROR(VLOOKUP(D1327,Products!$A$2:$F$61,4,FALSE()),"")</f>
        <v>2467</v>
      </c>
      <c r="O1327" t="str">
        <f>IFERROR(VLOOKUP(C1327,Customers!$A$2:$F$301,5,FALSE()),"")</f>
        <v>Retail</v>
      </c>
      <c r="P1327">
        <f>IFERROR(VLOOKUP(C1327,Customers!$A$2:$F$301,3,FALSE()),"")</f>
        <v>44</v>
      </c>
      <c r="Q1327">
        <f t="shared" si="60"/>
        <v>0.28492753623188405</v>
      </c>
      <c r="R1327">
        <f>IF(AND(COUNTIF($A$2:$A$2047,A1327)&gt;1,COUNTIF($A$2:A1327,A1327)=1),1,0)</f>
        <v>0</v>
      </c>
      <c r="S1327" t="b">
        <f>IFERROR(VLOOKUP(D1327,Products!$A$2:$F$61,6,FALSE()),"")</f>
        <v>1</v>
      </c>
      <c r="T1327" t="str">
        <f>IF(COUNTIF(Customers!$A$2:$A$301,C1327)=0,"Missing","OK")</f>
        <v>OK</v>
      </c>
      <c r="U1327" t="str">
        <f t="shared" si="61"/>
        <v>Pune</v>
      </c>
      <c r="V1327">
        <f t="shared" si="62"/>
        <v>0</v>
      </c>
    </row>
    <row r="1328" spans="1:22" ht="15" customHeight="1" x14ac:dyDescent="0.35">
      <c r="A1328" s="3" t="s">
        <v>1753</v>
      </c>
      <c r="B1328" s="4">
        <v>45389</v>
      </c>
      <c r="C1328" s="3" t="s">
        <v>379</v>
      </c>
      <c r="D1328" s="3" t="s">
        <v>206</v>
      </c>
      <c r="E1328" s="3" t="s">
        <v>78</v>
      </c>
      <c r="F1328" s="5">
        <v>4</v>
      </c>
      <c r="G1328" s="5">
        <v>1220</v>
      </c>
      <c r="H1328" s="5">
        <v>5.5</v>
      </c>
      <c r="I1328" s="5">
        <v>4611.6000000000004</v>
      </c>
      <c r="J1328" s="3" t="s">
        <v>26</v>
      </c>
      <c r="K1328" s="3" t="s">
        <v>27</v>
      </c>
      <c r="L1328" t="str">
        <f>IFERROR(VLOOKUP(D1328,Products!$A$2:$F$61,3,FALSE()),"")</f>
        <v>Electronics</v>
      </c>
      <c r="M1328" t="str">
        <f>IFERROR(VLOOKUP(E1328,Sales_Reps!$A$2:$C$31,3,FALSE()),"")</f>
        <v>North</v>
      </c>
      <c r="N1328">
        <f>IFERROR(VLOOKUP(D1328,Products!$A$2:$F$61,4,FALSE()),"")</f>
        <v>517</v>
      </c>
      <c r="O1328" t="str">
        <f>IFERROR(VLOOKUP(C1328,Customers!$A$2:$F$301,5,FALSE()),"")</f>
        <v>SMB</v>
      </c>
      <c r="P1328">
        <f>IFERROR(VLOOKUP(C1328,Customers!$A$2:$F$301,3,FALSE()),"")</f>
        <v>30</v>
      </c>
      <c r="Q1328">
        <f t="shared" si="60"/>
        <v>0.57622950819672136</v>
      </c>
      <c r="R1328">
        <f>IF(AND(COUNTIF($A$2:$A$2047,A1328)&gt;1,COUNTIF($A$2:A1328,A1328)=1),1,0)</f>
        <v>0</v>
      </c>
      <c r="S1328" t="b">
        <f>IFERROR(VLOOKUP(D1328,Products!$A$2:$F$61,6,FALSE()),"")</f>
        <v>1</v>
      </c>
      <c r="T1328" t="str">
        <f>IF(COUNTIF(Customers!$A$2:$A$301,C1328)=0,"Missing","OK")</f>
        <v>OK</v>
      </c>
      <c r="U1328" t="str">
        <f t="shared" si="61"/>
        <v>Pune</v>
      </c>
      <c r="V1328">
        <f t="shared" si="62"/>
        <v>0</v>
      </c>
    </row>
    <row r="1329" spans="1:22" ht="15" customHeight="1" x14ac:dyDescent="0.35">
      <c r="A1329" s="3" t="s">
        <v>1754</v>
      </c>
      <c r="B1329" s="4">
        <v>45536</v>
      </c>
      <c r="C1329" s="3" t="s">
        <v>1755</v>
      </c>
      <c r="D1329" s="3" t="s">
        <v>231</v>
      </c>
      <c r="E1329" s="3" t="s">
        <v>25</v>
      </c>
      <c r="F1329" s="5">
        <v>1</v>
      </c>
      <c r="G1329" s="5">
        <v>620</v>
      </c>
      <c r="H1329" s="5">
        <v>22.3</v>
      </c>
      <c r="I1329" s="5">
        <v>481.74</v>
      </c>
      <c r="J1329" s="3" t="s">
        <v>32</v>
      </c>
      <c r="K1329" s="3" t="s">
        <v>38</v>
      </c>
      <c r="L1329" t="str">
        <f>IFERROR(VLOOKUP(D1329,Products!$A$2:$F$61,3,FALSE()),"")</f>
        <v>Apparel</v>
      </c>
      <c r="M1329" t="str">
        <f>IFERROR(VLOOKUP(E1329,Sales_Reps!$A$2:$C$31,3,FALSE()),"")</f>
        <v>North</v>
      </c>
      <c r="N1329">
        <f>IFERROR(VLOOKUP(D1329,Products!$A$2:$F$61,4,FALSE()),"")</f>
        <v>396</v>
      </c>
      <c r="O1329" t="str">
        <f>IFERROR(VLOOKUP(C1329,Customers!$A$2:$F$301,5,FALSE()),"")</f>
        <v>Retail</v>
      </c>
      <c r="P1329">
        <f>IFERROR(VLOOKUP(C1329,Customers!$A$2:$F$301,3,FALSE()),"")</f>
        <v>62</v>
      </c>
      <c r="Q1329">
        <f t="shared" si="60"/>
        <v>0.36129032258064514</v>
      </c>
      <c r="R1329">
        <f>IF(AND(COUNTIF($A$2:$A$2047,A1329)&gt;1,COUNTIF($A$2:A1329,A1329)=1),1,0)</f>
        <v>0</v>
      </c>
      <c r="S1329" t="b">
        <f>IFERROR(VLOOKUP(D1329,Products!$A$2:$F$61,6,FALSE()),"")</f>
        <v>1</v>
      </c>
      <c r="T1329" t="str">
        <f>IF(COUNTIF(Customers!$A$2:$A$301,C1329)=0,"Missing","OK")</f>
        <v>OK</v>
      </c>
      <c r="U1329" t="str">
        <f t="shared" si="61"/>
        <v>Delhi</v>
      </c>
      <c r="V1329">
        <f t="shared" si="62"/>
        <v>0</v>
      </c>
    </row>
    <row r="1330" spans="1:22" ht="15" customHeight="1" x14ac:dyDescent="0.35">
      <c r="A1330" s="3" t="s">
        <v>1756</v>
      </c>
      <c r="B1330" s="4">
        <v>45348</v>
      </c>
      <c r="C1330" s="3" t="s">
        <v>170</v>
      </c>
      <c r="D1330" s="3" t="s">
        <v>221</v>
      </c>
      <c r="E1330" s="3" t="s">
        <v>93</v>
      </c>
      <c r="F1330" s="5">
        <v>1</v>
      </c>
      <c r="G1330" s="5">
        <v>300</v>
      </c>
      <c r="H1330" s="5">
        <v>12.5</v>
      </c>
      <c r="I1330" s="5">
        <v>262.5</v>
      </c>
      <c r="J1330" s="3" t="s">
        <v>26</v>
      </c>
      <c r="K1330" s="3" t="s">
        <v>56</v>
      </c>
      <c r="L1330" t="str">
        <f>IFERROR(VLOOKUP(D1330,Products!$A$2:$F$61,3,FALSE()),"")</f>
        <v>Electronics</v>
      </c>
      <c r="M1330" t="str">
        <f>IFERROR(VLOOKUP(E1330,Sales_Reps!$A$2:$C$31,3,FALSE()),"")</f>
        <v>East</v>
      </c>
      <c r="N1330">
        <f>IFERROR(VLOOKUP(D1330,Products!$A$2:$F$61,4,FALSE()),"")</f>
        <v>128</v>
      </c>
      <c r="O1330" t="str">
        <f>IFERROR(VLOOKUP(C1330,Customers!$A$2:$F$301,5,FALSE()),"")</f>
        <v>SMB</v>
      </c>
      <c r="P1330">
        <f>IFERROR(VLOOKUP(C1330,Customers!$A$2:$F$301,3,FALSE()),"")</f>
        <v>64</v>
      </c>
      <c r="Q1330">
        <f t="shared" si="60"/>
        <v>0.57333333333333336</v>
      </c>
      <c r="R1330">
        <f>IF(AND(COUNTIF($A$2:$A$2047,A1330)&gt;1,COUNTIF($A$2:A1330,A1330)=1),1,0)</f>
        <v>0</v>
      </c>
      <c r="S1330" t="b">
        <f>IFERROR(VLOOKUP(D1330,Products!$A$2:$F$61,6,FALSE()),"")</f>
        <v>1</v>
      </c>
      <c r="T1330" t="str">
        <f>IF(COUNTIF(Customers!$A$2:$A$301,C1330)=0,"Missing","OK")</f>
        <v>OK</v>
      </c>
      <c r="U1330" t="str">
        <f t="shared" si="61"/>
        <v>Bengaluru</v>
      </c>
      <c r="V1330">
        <f t="shared" si="62"/>
        <v>0</v>
      </c>
    </row>
    <row r="1331" spans="1:22" ht="15" customHeight="1" x14ac:dyDescent="0.35">
      <c r="A1331" s="3" t="s">
        <v>1757</v>
      </c>
      <c r="B1331" s="4">
        <v>45502</v>
      </c>
      <c r="C1331" s="3" t="s">
        <v>839</v>
      </c>
      <c r="D1331" s="3" t="s">
        <v>121</v>
      </c>
      <c r="E1331" s="3" t="s">
        <v>131</v>
      </c>
      <c r="F1331" s="5">
        <v>3</v>
      </c>
      <c r="G1331" s="5">
        <v>1010</v>
      </c>
      <c r="H1331" s="5">
        <v>14.1</v>
      </c>
      <c r="I1331" s="5">
        <v>2602.77</v>
      </c>
      <c r="J1331" s="3" t="s">
        <v>26</v>
      </c>
      <c r="K1331" s="3" t="s">
        <v>56</v>
      </c>
      <c r="L1331" t="str">
        <f>IFERROR(VLOOKUP(D1331,Products!$A$2:$F$61,3,FALSE()),"")</f>
        <v>Sports</v>
      </c>
      <c r="M1331" t="str">
        <f>IFERROR(VLOOKUP(E1331,Sales_Reps!$A$2:$C$31,3,FALSE()),"")</f>
        <v>East</v>
      </c>
      <c r="N1331">
        <f>IFERROR(VLOOKUP(D1331,Products!$A$2:$F$61,4,FALSE()),"")</f>
        <v>516</v>
      </c>
      <c r="O1331" t="str">
        <f>IFERROR(VLOOKUP(C1331,Customers!$A$2:$F$301,5,FALSE()),"")</f>
        <v>Retail</v>
      </c>
      <c r="P1331">
        <f>IFERROR(VLOOKUP(C1331,Customers!$A$2:$F$301,3,FALSE()),"")</f>
        <v>35</v>
      </c>
      <c r="Q1331">
        <f t="shared" si="60"/>
        <v>0.4891089108910891</v>
      </c>
      <c r="R1331">
        <f>IF(AND(COUNTIF($A$2:$A$2047,A1331)&gt;1,COUNTIF($A$2:A1331,A1331)=1),1,0)</f>
        <v>0</v>
      </c>
      <c r="S1331" t="b">
        <f>IFERROR(VLOOKUP(D1331,Products!$A$2:$F$61,6,FALSE()),"")</f>
        <v>1</v>
      </c>
      <c r="T1331" t="str">
        <f>IF(COUNTIF(Customers!$A$2:$A$301,C1331)=0,"Missing","OK")</f>
        <v>OK</v>
      </c>
      <c r="U1331" t="str">
        <f t="shared" si="61"/>
        <v>Bengaluru</v>
      </c>
      <c r="V1331">
        <f t="shared" si="62"/>
        <v>0</v>
      </c>
    </row>
    <row r="1332" spans="1:22" ht="15" customHeight="1" x14ac:dyDescent="0.35">
      <c r="A1332" s="3" t="s">
        <v>1758</v>
      </c>
      <c r="B1332" s="4">
        <v>45600</v>
      </c>
      <c r="C1332" s="3" t="s">
        <v>736</v>
      </c>
      <c r="D1332" s="3" t="s">
        <v>382</v>
      </c>
      <c r="E1332" s="3" t="s">
        <v>282</v>
      </c>
      <c r="F1332" s="5">
        <v>2</v>
      </c>
      <c r="G1332" s="5">
        <v>5080</v>
      </c>
      <c r="H1332" s="5">
        <v>16.8</v>
      </c>
      <c r="I1332" s="5">
        <v>8453.1200000000008</v>
      </c>
      <c r="J1332" s="3" t="s">
        <v>26</v>
      </c>
      <c r="K1332" s="3" t="s">
        <v>38</v>
      </c>
      <c r="L1332" t="str">
        <f>IFERROR(VLOOKUP(D1332,Products!$A$2:$F$61,3,FALSE()),"")</f>
        <v>Home</v>
      </c>
      <c r="M1332" t="str">
        <f>IFERROR(VLOOKUP(E1332,Sales_Reps!$A$2:$C$31,3,FALSE()),"")</f>
        <v>West</v>
      </c>
      <c r="N1332">
        <f>IFERROR(VLOOKUP(D1332,Products!$A$2:$F$61,4,FALSE()),"")</f>
        <v>2459</v>
      </c>
      <c r="O1332" t="str">
        <f>IFERROR(VLOOKUP(C1332,Customers!$A$2:$F$301,5,FALSE()),"")</f>
        <v>Retail</v>
      </c>
      <c r="P1332">
        <f>IFERROR(VLOOKUP(C1332,Customers!$A$2:$F$301,3,FALSE()),"")</f>
        <v>63</v>
      </c>
      <c r="Q1332">
        <f t="shared" si="60"/>
        <v>0.51594488188976373</v>
      </c>
      <c r="R1332">
        <f>IF(AND(COUNTIF($A$2:$A$2047,A1332)&gt;1,COUNTIF($A$2:A1332,A1332)=1),1,0)</f>
        <v>0</v>
      </c>
      <c r="S1332" t="b">
        <f>IFERROR(VLOOKUP(D1332,Products!$A$2:$F$61,6,FALSE()),"")</f>
        <v>1</v>
      </c>
      <c r="T1332" t="str">
        <f>IF(COUNTIF(Customers!$A$2:$A$301,C1332)=0,"Missing","OK")</f>
        <v>OK</v>
      </c>
      <c r="U1332" t="str">
        <f t="shared" si="61"/>
        <v>Delhi</v>
      </c>
      <c r="V1332">
        <f t="shared" si="62"/>
        <v>0</v>
      </c>
    </row>
    <row r="1333" spans="1:22" ht="15" customHeight="1" x14ac:dyDescent="0.35">
      <c r="A1333" s="3" t="s">
        <v>1759</v>
      </c>
      <c r="B1333" s="4">
        <v>45416</v>
      </c>
      <c r="C1333" s="3" t="s">
        <v>114</v>
      </c>
      <c r="D1333" s="3" t="s">
        <v>45</v>
      </c>
      <c r="E1333" s="3" t="s">
        <v>282</v>
      </c>
      <c r="F1333" s="5">
        <v>2</v>
      </c>
      <c r="G1333" s="5">
        <v>3160</v>
      </c>
      <c r="H1333" s="5">
        <v>21.4</v>
      </c>
      <c r="I1333" s="5">
        <v>4967.5200000000004</v>
      </c>
      <c r="J1333" s="3" t="s">
        <v>26</v>
      </c>
      <c r="K1333" s="3" t="s">
        <v>1760</v>
      </c>
      <c r="L1333" t="str">
        <f>IFERROR(VLOOKUP(D1333,Products!$A$2:$F$61,3,FALSE()),"")</f>
        <v>Apparel</v>
      </c>
      <c r="M1333" t="str">
        <f>IFERROR(VLOOKUP(E1333,Sales_Reps!$A$2:$C$31,3,FALSE()),"")</f>
        <v>West</v>
      </c>
      <c r="N1333">
        <f>IFERROR(VLOOKUP(D1333,Products!$A$2:$F$61,4,FALSE()),"")</f>
        <v>1886</v>
      </c>
      <c r="O1333" t="str">
        <f>IFERROR(VLOOKUP(C1333,Customers!$A$2:$F$301,5,FALSE()),"")</f>
        <v>SMB</v>
      </c>
      <c r="P1333">
        <f>IFERROR(VLOOKUP(C1333,Customers!$A$2:$F$301,3,FALSE()),"")</f>
        <v>40</v>
      </c>
      <c r="Q1333">
        <f t="shared" si="60"/>
        <v>0.4031645569620253</v>
      </c>
      <c r="R1333">
        <f>IF(AND(COUNTIF($A$2:$A$2047,A1333)&gt;1,COUNTIF($A$2:A1333,A1333)=1),1,0)</f>
        <v>0</v>
      </c>
      <c r="S1333" t="b">
        <f>IFERROR(VLOOKUP(D1333,Products!$A$2:$F$61,6,FALSE()),"")</f>
        <v>1</v>
      </c>
      <c r="T1333" t="str">
        <f>IF(COUNTIF(Customers!$A$2:$A$301,C1333)=0,"Missing","OK")</f>
        <v>OK</v>
      </c>
      <c r="U1333" t="str">
        <f t="shared" si="61"/>
        <v>Hyderabad</v>
      </c>
      <c r="V1333">
        <f t="shared" si="62"/>
        <v>0</v>
      </c>
    </row>
    <row r="1334" spans="1:22" ht="15" customHeight="1" x14ac:dyDescent="0.35">
      <c r="A1334" s="3" t="s">
        <v>1761</v>
      </c>
      <c r="B1334" s="4">
        <v>45535</v>
      </c>
      <c r="C1334" s="3" t="s">
        <v>955</v>
      </c>
      <c r="D1334" s="3" t="s">
        <v>96</v>
      </c>
      <c r="E1334" s="3" t="s">
        <v>285</v>
      </c>
      <c r="F1334" s="5">
        <v>7</v>
      </c>
      <c r="G1334" s="5">
        <v>3450</v>
      </c>
      <c r="H1334" s="5">
        <v>21.3</v>
      </c>
      <c r="I1334" s="5">
        <v>19006.05</v>
      </c>
      <c r="J1334" s="3" t="s">
        <v>26</v>
      </c>
      <c r="K1334" s="3" t="s">
        <v>56</v>
      </c>
      <c r="L1334" t="str">
        <f>IFERROR(VLOOKUP(D1334,Products!$A$2:$F$61,3,FALSE()),"")</f>
        <v>Beauty</v>
      </c>
      <c r="M1334" t="str">
        <f>IFERROR(VLOOKUP(E1334,Sales_Reps!$A$2:$C$31,3,FALSE()),"")</f>
        <v>South</v>
      </c>
      <c r="N1334">
        <f>IFERROR(VLOOKUP(D1334,Products!$A$2:$F$61,4,FALSE()),"")</f>
        <v>2420</v>
      </c>
      <c r="O1334" t="str">
        <f>IFERROR(VLOOKUP(C1334,Customers!$A$2:$F$301,5,FALSE()),"")</f>
        <v>SMB</v>
      </c>
      <c r="P1334">
        <f>IFERROR(VLOOKUP(C1334,Customers!$A$2:$F$301,3,FALSE()),"")</f>
        <v>49</v>
      </c>
      <c r="Q1334">
        <f t="shared" si="60"/>
        <v>0.29855072463768118</v>
      </c>
      <c r="R1334">
        <f>IF(AND(COUNTIF($A$2:$A$2047,A1334)&gt;1,COUNTIF($A$2:A1334,A1334)=1),1,0)</f>
        <v>0</v>
      </c>
      <c r="S1334" t="b">
        <f>IFERROR(VLOOKUP(D1334,Products!$A$2:$F$61,6,FALSE()),"")</f>
        <v>1</v>
      </c>
      <c r="T1334" t="str">
        <f>IF(COUNTIF(Customers!$A$2:$A$301,C1334)=0,"Missing","OK")</f>
        <v>OK</v>
      </c>
      <c r="U1334" t="str">
        <f t="shared" si="61"/>
        <v>Bengaluru</v>
      </c>
      <c r="V1334">
        <f t="shared" si="62"/>
        <v>0</v>
      </c>
    </row>
    <row r="1335" spans="1:22" ht="15" customHeight="1" x14ac:dyDescent="0.35">
      <c r="A1335" s="3" t="s">
        <v>1762</v>
      </c>
      <c r="B1335" s="4">
        <v>45322</v>
      </c>
      <c r="C1335" s="3" t="s">
        <v>509</v>
      </c>
      <c r="D1335" s="3" t="s">
        <v>303</v>
      </c>
      <c r="E1335" s="3" t="s">
        <v>42</v>
      </c>
      <c r="F1335" s="5">
        <v>2</v>
      </c>
      <c r="G1335" s="5">
        <v>5330</v>
      </c>
      <c r="H1335" s="5">
        <v>4.3</v>
      </c>
      <c r="I1335" s="5">
        <v>10201.620000000001</v>
      </c>
      <c r="J1335" s="3" t="s">
        <v>26</v>
      </c>
      <c r="K1335" s="3" t="s">
        <v>38</v>
      </c>
      <c r="L1335" t="str">
        <f>IFERROR(VLOOKUP(D1335,Products!$A$2:$F$61,3,FALSE()),"")</f>
        <v>Electronics</v>
      </c>
      <c r="M1335" t="str">
        <f>IFERROR(VLOOKUP(E1335,Sales_Reps!$A$2:$C$31,3,FALSE()),"")</f>
        <v>North</v>
      </c>
      <c r="N1335">
        <f>IFERROR(VLOOKUP(D1335,Products!$A$2:$F$61,4,FALSE()),"")</f>
        <v>2405</v>
      </c>
      <c r="O1335" t="str">
        <f>IFERROR(VLOOKUP(C1335,Customers!$A$2:$F$301,5,FALSE()),"")</f>
        <v>Corporate</v>
      </c>
      <c r="P1335">
        <f>IFERROR(VLOOKUP(C1335,Customers!$A$2:$F$301,3,FALSE()),"")</f>
        <v>47</v>
      </c>
      <c r="Q1335">
        <f t="shared" si="60"/>
        <v>0.54878048780487809</v>
      </c>
      <c r="R1335">
        <f>IF(AND(COUNTIF($A$2:$A$2047,A1335)&gt;1,COUNTIF($A$2:A1335,A1335)=1),1,0)</f>
        <v>0</v>
      </c>
      <c r="S1335" t="b">
        <f>IFERROR(VLOOKUP(D1335,Products!$A$2:$F$61,6,FALSE()),"")</f>
        <v>1</v>
      </c>
      <c r="T1335" t="str">
        <f>IF(COUNTIF(Customers!$A$2:$A$301,C1335)=0,"Missing","OK")</f>
        <v>OK</v>
      </c>
      <c r="U1335" t="str">
        <f t="shared" si="61"/>
        <v>Delhi</v>
      </c>
      <c r="V1335">
        <f t="shared" si="62"/>
        <v>0</v>
      </c>
    </row>
    <row r="1336" spans="1:22" ht="15" customHeight="1" x14ac:dyDescent="0.35">
      <c r="A1336" s="3" t="s">
        <v>1763</v>
      </c>
      <c r="B1336" s="4">
        <v>45626</v>
      </c>
      <c r="C1336" s="3" t="s">
        <v>552</v>
      </c>
      <c r="D1336" s="3" t="s">
        <v>454</v>
      </c>
      <c r="E1336" s="3" t="s">
        <v>37</v>
      </c>
      <c r="F1336" s="5">
        <v>5</v>
      </c>
      <c r="G1336" s="5">
        <v>6940</v>
      </c>
      <c r="H1336" s="5">
        <v>2.9</v>
      </c>
      <c r="I1336" s="5">
        <v>33693.699999999997</v>
      </c>
      <c r="J1336" s="3" t="s">
        <v>26</v>
      </c>
      <c r="K1336" s="3" t="s">
        <v>51</v>
      </c>
      <c r="L1336" t="str">
        <f>IFERROR(VLOOKUP(D1336,Products!$A$2:$F$61,3,FALSE()),"")</f>
        <v>Sports</v>
      </c>
      <c r="M1336" t="str">
        <f>IFERROR(VLOOKUP(E1336,Sales_Reps!$A$2:$C$31,3,FALSE()),"")</f>
        <v>South</v>
      </c>
      <c r="N1336">
        <f>IFERROR(VLOOKUP(D1336,Products!$A$2:$F$61,4,FALSE()),"")</f>
        <v>2827</v>
      </c>
      <c r="O1336" t="str">
        <f>IFERROR(VLOOKUP(C1336,Customers!$A$2:$F$301,5,FALSE()),"")</f>
        <v>Retail</v>
      </c>
      <c r="P1336">
        <f>IFERROR(VLOOKUP(C1336,Customers!$A$2:$F$301,3,FALSE()),"")</f>
        <v>44</v>
      </c>
      <c r="Q1336">
        <f t="shared" si="60"/>
        <v>0.5926512968299712</v>
      </c>
      <c r="R1336">
        <f>IF(AND(COUNTIF($A$2:$A$2047,A1336)&gt;1,COUNTIF($A$2:A1336,A1336)=1),1,0)</f>
        <v>0</v>
      </c>
      <c r="S1336" t="b">
        <f>IFERROR(VLOOKUP(D1336,Products!$A$2:$F$61,6,FALSE()),"")</f>
        <v>1</v>
      </c>
      <c r="T1336" t="str">
        <f>IF(COUNTIF(Customers!$A$2:$A$301,C1336)=0,"Missing","OK")</f>
        <v>OK</v>
      </c>
      <c r="U1336" t="str">
        <f t="shared" si="61"/>
        <v>Mumbai</v>
      </c>
      <c r="V1336">
        <f t="shared" si="62"/>
        <v>0</v>
      </c>
    </row>
    <row r="1337" spans="1:22" ht="15" customHeight="1" x14ac:dyDescent="0.35">
      <c r="A1337" s="3" t="s">
        <v>1764</v>
      </c>
      <c r="B1337" s="4">
        <v>45534</v>
      </c>
      <c r="C1337" s="3" t="s">
        <v>543</v>
      </c>
      <c r="D1337" s="3" t="s">
        <v>142</v>
      </c>
      <c r="E1337" s="3" t="s">
        <v>67</v>
      </c>
      <c r="F1337" s="5">
        <v>5</v>
      </c>
      <c r="G1337" s="5">
        <v>660</v>
      </c>
      <c r="H1337" s="5">
        <v>15.8</v>
      </c>
      <c r="I1337" s="5">
        <v>2778.6</v>
      </c>
      <c r="J1337" s="3" t="s">
        <v>26</v>
      </c>
      <c r="K1337" s="3" t="s">
        <v>56</v>
      </c>
      <c r="L1337" t="str">
        <f>IFERROR(VLOOKUP(D1337,Products!$A$2:$F$61,3,FALSE()),"")</f>
        <v>Home</v>
      </c>
      <c r="M1337" t="str">
        <f>IFERROR(VLOOKUP(E1337,Sales_Reps!$A$2:$C$31,3,FALSE()),"")</f>
        <v>West</v>
      </c>
      <c r="N1337">
        <f>IFERROR(VLOOKUP(D1337,Products!$A$2:$F$61,4,FALSE()),"")</f>
        <v>329</v>
      </c>
      <c r="O1337" t="str">
        <f>IFERROR(VLOOKUP(C1337,Customers!$A$2:$F$301,5,FALSE()),"")</f>
        <v>Retail</v>
      </c>
      <c r="P1337">
        <f>IFERROR(VLOOKUP(C1337,Customers!$A$2:$F$301,3,FALSE()),"")</f>
        <v>34</v>
      </c>
      <c r="Q1337">
        <f t="shared" si="60"/>
        <v>0.50151515151515147</v>
      </c>
      <c r="R1337">
        <f>IF(AND(COUNTIF($A$2:$A$2047,A1337)&gt;1,COUNTIF($A$2:A1337,A1337)=1),1,0)</f>
        <v>0</v>
      </c>
      <c r="S1337" t="b">
        <f>IFERROR(VLOOKUP(D1337,Products!$A$2:$F$61,6,FALSE()),"")</f>
        <v>1</v>
      </c>
      <c r="T1337" t="str">
        <f>IF(COUNTIF(Customers!$A$2:$A$301,C1337)=0,"Missing","OK")</f>
        <v>OK</v>
      </c>
      <c r="U1337" t="str">
        <f t="shared" si="61"/>
        <v>Bengaluru</v>
      </c>
      <c r="V1337">
        <f t="shared" si="62"/>
        <v>0</v>
      </c>
    </row>
    <row r="1338" spans="1:22" ht="15" customHeight="1" x14ac:dyDescent="0.35">
      <c r="A1338" s="3" t="s">
        <v>1765</v>
      </c>
      <c r="B1338" s="4">
        <v>45519</v>
      </c>
      <c r="C1338" s="3" t="s">
        <v>925</v>
      </c>
      <c r="D1338" s="3" t="s">
        <v>130</v>
      </c>
      <c r="E1338" s="3" t="s">
        <v>191</v>
      </c>
      <c r="F1338" s="5">
        <v>9</v>
      </c>
      <c r="G1338" s="5">
        <v>5100</v>
      </c>
      <c r="H1338" s="5">
        <v>0.4</v>
      </c>
      <c r="I1338" s="5">
        <v>45716.4</v>
      </c>
      <c r="J1338" s="3" t="s">
        <v>26</v>
      </c>
      <c r="K1338" s="3" t="s">
        <v>33</v>
      </c>
      <c r="L1338" t="str">
        <f>IFERROR(VLOOKUP(D1338,Products!$A$2:$F$61,3,FALSE()),"")</f>
        <v>Beauty</v>
      </c>
      <c r="M1338" t="str">
        <f>IFERROR(VLOOKUP(E1338,Sales_Reps!$A$2:$C$31,3,FALSE()),"")</f>
        <v>South</v>
      </c>
      <c r="N1338">
        <f>IFERROR(VLOOKUP(D1338,Products!$A$2:$F$61,4,FALSE()),"")</f>
        <v>2237</v>
      </c>
      <c r="O1338" t="str">
        <f>IFERROR(VLOOKUP(C1338,Customers!$A$2:$F$301,5,FALSE()),"")</f>
        <v>Corporate</v>
      </c>
      <c r="P1338">
        <f>IFERROR(VLOOKUP(C1338,Customers!$A$2:$F$301,3,FALSE()),"")</f>
        <v>52</v>
      </c>
      <c r="Q1338">
        <f t="shared" si="60"/>
        <v>0.56137254901960787</v>
      </c>
      <c r="R1338">
        <f>IF(AND(COUNTIF($A$2:$A$2047,A1338)&gt;1,COUNTIF($A$2:A1338,A1338)=1),1,0)</f>
        <v>0</v>
      </c>
      <c r="S1338" t="b">
        <f>IFERROR(VLOOKUP(D1338,Products!$A$2:$F$61,6,FALSE()),"")</f>
        <v>1</v>
      </c>
      <c r="T1338" t="str">
        <f>IF(COUNTIF(Customers!$A$2:$A$301,C1338)=0,"Missing","OK")</f>
        <v>OK</v>
      </c>
      <c r="U1338" t="str">
        <f t="shared" si="61"/>
        <v>Chennai</v>
      </c>
      <c r="V1338">
        <f t="shared" si="62"/>
        <v>0</v>
      </c>
    </row>
    <row r="1339" spans="1:22" ht="15" customHeight="1" x14ac:dyDescent="0.35">
      <c r="A1339" s="3" t="s">
        <v>1766</v>
      </c>
      <c r="B1339" s="4">
        <v>45315</v>
      </c>
      <c r="C1339" s="3" t="s">
        <v>1767</v>
      </c>
      <c r="D1339" s="3" t="s">
        <v>115</v>
      </c>
      <c r="E1339" s="3" t="s">
        <v>37</v>
      </c>
      <c r="F1339" s="5">
        <v>5</v>
      </c>
      <c r="G1339" s="5">
        <v>1650</v>
      </c>
      <c r="H1339" s="5">
        <v>0.8</v>
      </c>
      <c r="I1339" s="5">
        <v>8184</v>
      </c>
      <c r="J1339" s="3" t="s">
        <v>32</v>
      </c>
      <c r="K1339" s="3" t="s">
        <v>33</v>
      </c>
      <c r="L1339" t="str">
        <f>IFERROR(VLOOKUP(D1339,Products!$A$2:$F$61,3,FALSE()),"")</f>
        <v>Beauty</v>
      </c>
      <c r="M1339" t="str">
        <f>IFERROR(VLOOKUP(E1339,Sales_Reps!$A$2:$C$31,3,FALSE()),"")</f>
        <v>South</v>
      </c>
      <c r="N1339">
        <f>IFERROR(VLOOKUP(D1339,Products!$A$2:$F$61,4,FALSE()),"")</f>
        <v>1222</v>
      </c>
      <c r="O1339" t="str">
        <f>IFERROR(VLOOKUP(C1339,Customers!$A$2:$F$301,5,FALSE()),"")</f>
        <v/>
      </c>
      <c r="P1339" t="str">
        <f>IFERROR(VLOOKUP(C1339,Customers!$A$2:$F$301,3,FALSE()),"")</f>
        <v/>
      </c>
      <c r="Q1339">
        <f t="shared" si="60"/>
        <v>0.2593939393939394</v>
      </c>
      <c r="R1339">
        <f>IF(AND(COUNTIF($A$2:$A$2047,A1339)&gt;1,COUNTIF($A$2:A1339,A1339)=1),1,0)</f>
        <v>0</v>
      </c>
      <c r="S1339" t="b">
        <f>IFERROR(VLOOKUP(D1339,Products!$A$2:$F$61,6,FALSE()),"")</f>
        <v>1</v>
      </c>
      <c r="T1339" t="str">
        <f>IF(COUNTIF(Customers!$A$2:$A$301,C1339)=0,"Missing","OK")</f>
        <v>Missing</v>
      </c>
      <c r="U1339" t="str">
        <f t="shared" si="61"/>
        <v>Chennai</v>
      </c>
      <c r="V1339">
        <f t="shared" si="62"/>
        <v>0</v>
      </c>
    </row>
    <row r="1340" spans="1:22" ht="15" customHeight="1" x14ac:dyDescent="0.35">
      <c r="A1340" s="3" t="s">
        <v>1768</v>
      </c>
      <c r="B1340" s="4">
        <v>45566</v>
      </c>
      <c r="C1340" s="3" t="s">
        <v>656</v>
      </c>
      <c r="D1340" s="3" t="s">
        <v>176</v>
      </c>
      <c r="E1340" s="3" t="s">
        <v>242</v>
      </c>
      <c r="F1340" s="5">
        <v>7</v>
      </c>
      <c r="G1340" s="5">
        <v>3640</v>
      </c>
      <c r="H1340" s="5">
        <v>25.5</v>
      </c>
      <c r="I1340" s="5">
        <v>18982.599999999999</v>
      </c>
      <c r="J1340" s="3" t="s">
        <v>26</v>
      </c>
      <c r="K1340" s="3" t="s">
        <v>33</v>
      </c>
      <c r="L1340" t="str">
        <f>IFERROR(VLOOKUP(D1340,Products!$A$2:$F$61,3,FALSE()),"")</f>
        <v>Apparel</v>
      </c>
      <c r="M1340" t="str">
        <f>IFERROR(VLOOKUP(E1340,Sales_Reps!$A$2:$C$31,3,FALSE()),"")</f>
        <v>East</v>
      </c>
      <c r="N1340">
        <f>IFERROR(VLOOKUP(D1340,Products!$A$2:$F$61,4,FALSE()),"")</f>
        <v>2611</v>
      </c>
      <c r="O1340" t="str">
        <f>IFERROR(VLOOKUP(C1340,Customers!$A$2:$F$301,5,FALSE()),"")</f>
        <v>Retail</v>
      </c>
      <c r="P1340">
        <f>IFERROR(VLOOKUP(C1340,Customers!$A$2:$F$301,3,FALSE()),"")</f>
        <v>24</v>
      </c>
      <c r="Q1340">
        <f t="shared" si="60"/>
        <v>0.28269230769230769</v>
      </c>
      <c r="R1340">
        <f>IF(AND(COUNTIF($A$2:$A$2047,A1340)&gt;1,COUNTIF($A$2:A1340,A1340)=1),1,0)</f>
        <v>0</v>
      </c>
      <c r="S1340" t="b">
        <f>IFERROR(VLOOKUP(D1340,Products!$A$2:$F$61,6,FALSE()),"")</f>
        <v>1</v>
      </c>
      <c r="T1340" t="str">
        <f>IF(COUNTIF(Customers!$A$2:$A$301,C1340)=0,"Missing","OK")</f>
        <v>OK</v>
      </c>
      <c r="U1340" t="str">
        <f t="shared" si="61"/>
        <v>Chennai</v>
      </c>
      <c r="V1340">
        <f t="shared" si="62"/>
        <v>0</v>
      </c>
    </row>
    <row r="1341" spans="1:22" ht="15" customHeight="1" x14ac:dyDescent="0.35">
      <c r="A1341" s="3" t="s">
        <v>1769</v>
      </c>
      <c r="B1341" s="4">
        <v>45643</v>
      </c>
      <c r="C1341" s="3" t="s">
        <v>175</v>
      </c>
      <c r="D1341" s="3" t="s">
        <v>123</v>
      </c>
      <c r="E1341" s="3" t="s">
        <v>168</v>
      </c>
      <c r="F1341" s="5">
        <v>6</v>
      </c>
      <c r="G1341" s="5">
        <v>4880</v>
      </c>
      <c r="H1341" s="5">
        <v>12.6</v>
      </c>
      <c r="I1341" s="5">
        <v>25590.720000000001</v>
      </c>
      <c r="J1341" s="3" t="s">
        <v>79</v>
      </c>
      <c r="K1341" s="3" t="s">
        <v>72</v>
      </c>
      <c r="L1341" t="str">
        <f>IFERROR(VLOOKUP(D1341,Products!$A$2:$F$61,3,FALSE()),"")</f>
        <v>Beauty</v>
      </c>
      <c r="M1341" t="str">
        <f>IFERROR(VLOOKUP(E1341,Sales_Reps!$A$2:$C$31,3,FALSE()),"")</f>
        <v>West</v>
      </c>
      <c r="N1341">
        <f>IFERROR(VLOOKUP(D1341,Products!$A$2:$F$61,4,FALSE()),"")</f>
        <v>2768</v>
      </c>
      <c r="O1341" t="str">
        <f>IFERROR(VLOOKUP(C1341,Customers!$A$2:$F$301,5,FALSE()),"")</f>
        <v>Retail</v>
      </c>
      <c r="P1341">
        <f>IFERROR(VLOOKUP(C1341,Customers!$A$2:$F$301,3,FALSE()),"")</f>
        <v>64</v>
      </c>
      <c r="Q1341">
        <f t="shared" si="60"/>
        <v>0.43278688524590164</v>
      </c>
      <c r="R1341">
        <f>IF(AND(COUNTIF($A$2:$A$2047,A1341)&gt;1,COUNTIF($A$2:A1341,A1341)=1),1,0)</f>
        <v>0</v>
      </c>
      <c r="S1341" t="b">
        <f>IFERROR(VLOOKUP(D1341,Products!$A$2:$F$61,6,FALSE()),"")</f>
        <v>1</v>
      </c>
      <c r="T1341" t="str">
        <f>IF(COUNTIF(Customers!$A$2:$A$301,C1341)=0,"Missing","OK")</f>
        <v>OK</v>
      </c>
      <c r="U1341" t="str">
        <f t="shared" si="61"/>
        <v>Hyderabad</v>
      </c>
      <c r="V1341">
        <f t="shared" si="62"/>
        <v>0</v>
      </c>
    </row>
    <row r="1342" spans="1:22" ht="15" customHeight="1" x14ac:dyDescent="0.35">
      <c r="A1342" s="3" t="s">
        <v>1770</v>
      </c>
      <c r="B1342" s="4">
        <v>45422</v>
      </c>
      <c r="C1342" s="3" t="s">
        <v>839</v>
      </c>
      <c r="D1342" s="3" t="s">
        <v>303</v>
      </c>
      <c r="E1342" s="3" t="s">
        <v>67</v>
      </c>
      <c r="F1342" s="5">
        <v>4</v>
      </c>
      <c r="G1342" s="5">
        <v>5330</v>
      </c>
      <c r="H1342" s="5">
        <v>16.2</v>
      </c>
      <c r="I1342" s="5">
        <v>17866.16</v>
      </c>
      <c r="J1342" s="3" t="s">
        <v>26</v>
      </c>
      <c r="K1342" s="3" t="s">
        <v>56</v>
      </c>
      <c r="L1342" t="str">
        <f>IFERROR(VLOOKUP(D1342,Products!$A$2:$F$61,3,FALSE()),"")</f>
        <v>Electronics</v>
      </c>
      <c r="M1342" t="str">
        <f>IFERROR(VLOOKUP(E1342,Sales_Reps!$A$2:$C$31,3,FALSE()),"")</f>
        <v>West</v>
      </c>
      <c r="N1342">
        <f>IFERROR(VLOOKUP(D1342,Products!$A$2:$F$61,4,FALSE()),"")</f>
        <v>2405</v>
      </c>
      <c r="O1342" t="str">
        <f>IFERROR(VLOOKUP(C1342,Customers!$A$2:$F$301,5,FALSE()),"")</f>
        <v>Retail</v>
      </c>
      <c r="P1342">
        <f>IFERROR(VLOOKUP(C1342,Customers!$A$2:$F$301,3,FALSE()),"")</f>
        <v>35</v>
      </c>
      <c r="Q1342">
        <f t="shared" si="60"/>
        <v>0.54878048780487809</v>
      </c>
      <c r="R1342">
        <f>IF(AND(COUNTIF($A$2:$A$2047,A1342)&gt;1,COUNTIF($A$2:A1342,A1342)=1),1,0)</f>
        <v>0</v>
      </c>
      <c r="S1342" t="b">
        <f>IFERROR(VLOOKUP(D1342,Products!$A$2:$F$61,6,FALSE()),"")</f>
        <v>1</v>
      </c>
      <c r="T1342" t="str">
        <f>IF(COUNTIF(Customers!$A$2:$A$301,C1342)=0,"Missing","OK")</f>
        <v>OK</v>
      </c>
      <c r="U1342" t="str">
        <f t="shared" si="61"/>
        <v>Bengaluru</v>
      </c>
      <c r="V1342">
        <f t="shared" si="62"/>
        <v>0</v>
      </c>
    </row>
    <row r="1343" spans="1:22" ht="15" customHeight="1" x14ac:dyDescent="0.35">
      <c r="A1343" s="3" t="s">
        <v>1771</v>
      </c>
      <c r="B1343" s="4">
        <v>45400</v>
      </c>
      <c r="C1343" s="3" t="s">
        <v>418</v>
      </c>
      <c r="D1343" s="3" t="s">
        <v>63</v>
      </c>
      <c r="E1343" s="3" t="s">
        <v>93</v>
      </c>
      <c r="F1343" s="5">
        <v>3</v>
      </c>
      <c r="G1343" s="5">
        <v>5490</v>
      </c>
      <c r="H1343" s="5">
        <v>26.7</v>
      </c>
      <c r="I1343" s="5">
        <v>12072.51</v>
      </c>
      <c r="J1343" s="3" t="s">
        <v>26</v>
      </c>
      <c r="K1343" s="3" t="s">
        <v>27</v>
      </c>
      <c r="L1343" t="str">
        <f>IFERROR(VLOOKUP(D1343,Products!$A$2:$F$61,3,FALSE()),"")</f>
        <v>Home</v>
      </c>
      <c r="M1343" t="str">
        <f>IFERROR(VLOOKUP(E1343,Sales_Reps!$A$2:$C$31,3,FALSE()),"")</f>
        <v>East</v>
      </c>
      <c r="N1343">
        <f>IFERROR(VLOOKUP(D1343,Products!$A$2:$F$61,4,FALSE()),"")</f>
        <v>2549</v>
      </c>
      <c r="O1343" t="str">
        <f>IFERROR(VLOOKUP(C1343,Customers!$A$2:$F$301,5,FALSE()),"")</f>
        <v>SMB</v>
      </c>
      <c r="P1343">
        <f>IFERROR(VLOOKUP(C1343,Customers!$A$2:$F$301,3,FALSE()),"")</f>
        <v>49</v>
      </c>
      <c r="Q1343">
        <f t="shared" si="60"/>
        <v>0.53570127504553733</v>
      </c>
      <c r="R1343">
        <f>IF(AND(COUNTIF($A$2:$A$2047,A1343)&gt;1,COUNTIF($A$2:A1343,A1343)=1),1,0)</f>
        <v>0</v>
      </c>
      <c r="S1343" t="b">
        <f>IFERROR(VLOOKUP(D1343,Products!$A$2:$F$61,6,FALSE()),"")</f>
        <v>1</v>
      </c>
      <c r="T1343" t="str">
        <f>IF(COUNTIF(Customers!$A$2:$A$301,C1343)=0,"Missing","OK")</f>
        <v>OK</v>
      </c>
      <c r="U1343" t="str">
        <f t="shared" si="61"/>
        <v>Pune</v>
      </c>
      <c r="V1343">
        <f t="shared" si="62"/>
        <v>0</v>
      </c>
    </row>
    <row r="1344" spans="1:22" ht="15" customHeight="1" x14ac:dyDescent="0.35">
      <c r="A1344" s="3" t="s">
        <v>1772</v>
      </c>
      <c r="B1344" s="4">
        <v>45564</v>
      </c>
      <c r="C1344" s="3" t="s">
        <v>117</v>
      </c>
      <c r="D1344" s="3" t="s">
        <v>86</v>
      </c>
      <c r="E1344" s="3" t="s">
        <v>236</v>
      </c>
      <c r="F1344" s="5">
        <v>7</v>
      </c>
      <c r="G1344" s="5">
        <v>190</v>
      </c>
      <c r="H1344" s="5">
        <v>11.6</v>
      </c>
      <c r="I1344" s="5">
        <v>1175.72</v>
      </c>
      <c r="J1344" s="3" t="s">
        <v>26</v>
      </c>
      <c r="K1344" s="3" t="s">
        <v>33</v>
      </c>
      <c r="L1344" t="str">
        <f>IFERROR(VLOOKUP(D1344,Products!$A$2:$F$61,3,FALSE()),"")</f>
        <v>Sports</v>
      </c>
      <c r="M1344" t="str">
        <f>IFERROR(VLOOKUP(E1344,Sales_Reps!$A$2:$C$31,3,FALSE()),"")</f>
        <v>North</v>
      </c>
      <c r="N1344">
        <f>IFERROR(VLOOKUP(D1344,Products!$A$2:$F$61,4,FALSE()),"")</f>
        <v>147</v>
      </c>
      <c r="O1344" t="str">
        <f>IFERROR(VLOOKUP(C1344,Customers!$A$2:$F$301,5,FALSE()),"")</f>
        <v>Corporate</v>
      </c>
      <c r="P1344">
        <f>IFERROR(VLOOKUP(C1344,Customers!$A$2:$F$301,3,FALSE()),"")</f>
        <v>55</v>
      </c>
      <c r="Q1344">
        <f t="shared" si="60"/>
        <v>0.22631578947368422</v>
      </c>
      <c r="R1344">
        <f>IF(AND(COUNTIF($A$2:$A$2047,A1344)&gt;1,COUNTIF($A$2:A1344,A1344)=1),1,0)</f>
        <v>0</v>
      </c>
      <c r="S1344" t="b">
        <f>IFERROR(VLOOKUP(D1344,Products!$A$2:$F$61,6,FALSE()),"")</f>
        <v>1</v>
      </c>
      <c r="T1344" t="str">
        <f>IF(COUNTIF(Customers!$A$2:$A$301,C1344)=0,"Missing","OK")</f>
        <v>OK</v>
      </c>
      <c r="U1344" t="str">
        <f t="shared" si="61"/>
        <v>Chennai</v>
      </c>
      <c r="V1344">
        <f t="shared" si="62"/>
        <v>0</v>
      </c>
    </row>
    <row r="1345" spans="1:22" ht="15" customHeight="1" x14ac:dyDescent="0.35">
      <c r="A1345" s="3" t="s">
        <v>1773</v>
      </c>
      <c r="B1345" s="4">
        <v>45437</v>
      </c>
      <c r="C1345" s="3" t="s">
        <v>53</v>
      </c>
      <c r="D1345" s="3" t="s">
        <v>45</v>
      </c>
      <c r="E1345" s="3" t="s">
        <v>285</v>
      </c>
      <c r="F1345" s="5">
        <v>5</v>
      </c>
      <c r="G1345" s="5">
        <v>3160</v>
      </c>
      <c r="H1345" s="5">
        <v>24.1</v>
      </c>
      <c r="I1345" s="5">
        <v>11992.2</v>
      </c>
      <c r="J1345" s="3" t="s">
        <v>26</v>
      </c>
      <c r="K1345" s="3" t="s">
        <v>56</v>
      </c>
      <c r="L1345" t="str">
        <f>IFERROR(VLOOKUP(D1345,Products!$A$2:$F$61,3,FALSE()),"")</f>
        <v>Apparel</v>
      </c>
      <c r="M1345" t="str">
        <f>IFERROR(VLOOKUP(E1345,Sales_Reps!$A$2:$C$31,3,FALSE()),"")</f>
        <v>South</v>
      </c>
      <c r="N1345">
        <f>IFERROR(VLOOKUP(D1345,Products!$A$2:$F$61,4,FALSE()),"")</f>
        <v>1886</v>
      </c>
      <c r="O1345" t="str">
        <f>IFERROR(VLOOKUP(C1345,Customers!$A$2:$F$301,5,FALSE()),"")</f>
        <v>Retail</v>
      </c>
      <c r="P1345">
        <f>IFERROR(VLOOKUP(C1345,Customers!$A$2:$F$301,3,FALSE()),"")</f>
        <v>27</v>
      </c>
      <c r="Q1345">
        <f t="shared" si="60"/>
        <v>0.4031645569620253</v>
      </c>
      <c r="R1345">
        <f>IF(AND(COUNTIF($A$2:$A$2047,A1345)&gt;1,COUNTIF($A$2:A1345,A1345)=1),1,0)</f>
        <v>0</v>
      </c>
      <c r="S1345" t="b">
        <f>IFERROR(VLOOKUP(D1345,Products!$A$2:$F$61,6,FALSE()),"")</f>
        <v>1</v>
      </c>
      <c r="T1345" t="str">
        <f>IF(COUNTIF(Customers!$A$2:$A$301,C1345)=0,"Missing","OK")</f>
        <v>OK</v>
      </c>
      <c r="U1345" t="str">
        <f t="shared" si="61"/>
        <v>Bengaluru</v>
      </c>
      <c r="V1345">
        <f t="shared" si="62"/>
        <v>0</v>
      </c>
    </row>
    <row r="1346" spans="1:22" ht="15" customHeight="1" x14ac:dyDescent="0.35">
      <c r="A1346" s="3" t="s">
        <v>1774</v>
      </c>
      <c r="B1346" s="4">
        <v>45395</v>
      </c>
      <c r="C1346" s="3" t="s">
        <v>324</v>
      </c>
      <c r="D1346" s="3" t="s">
        <v>441</v>
      </c>
      <c r="E1346" s="3" t="s">
        <v>93</v>
      </c>
      <c r="F1346" s="5">
        <v>1</v>
      </c>
      <c r="G1346" s="5">
        <v>1090</v>
      </c>
      <c r="H1346" s="5">
        <v>9.6</v>
      </c>
      <c r="I1346" s="5">
        <v>985.36</v>
      </c>
      <c r="J1346" s="3" t="s">
        <v>83</v>
      </c>
      <c r="K1346" s="3" t="s">
        <v>56</v>
      </c>
      <c r="L1346" t="str">
        <f>IFERROR(VLOOKUP(D1346,Products!$A$2:$F$61,3,FALSE()),"")</f>
        <v>Home</v>
      </c>
      <c r="M1346" t="str">
        <f>IFERROR(VLOOKUP(E1346,Sales_Reps!$A$2:$C$31,3,FALSE()),"")</f>
        <v>East</v>
      </c>
      <c r="N1346">
        <f>IFERROR(VLOOKUP(D1346,Products!$A$2:$F$61,4,FALSE()),"")</f>
        <v>464</v>
      </c>
      <c r="O1346" t="str">
        <f>IFERROR(VLOOKUP(C1346,Customers!$A$2:$F$301,5,FALSE()),"")</f>
        <v>Retail</v>
      </c>
      <c r="P1346">
        <f>IFERROR(VLOOKUP(C1346,Customers!$A$2:$F$301,3,FALSE()),"")</f>
        <v>23</v>
      </c>
      <c r="Q1346">
        <f t="shared" ref="Q1346:Q1409" si="63">IFERROR((G1346-N1346)/G1346,"")</f>
        <v>0.57431192660550456</v>
      </c>
      <c r="R1346">
        <f>IF(AND(COUNTIF($A$2:$A$2047,A1346)&gt;1,COUNTIF($A$2:A1346,A1346)=1),1,0)</f>
        <v>0</v>
      </c>
      <c r="S1346" t="b">
        <f>IFERROR(VLOOKUP(D1346,Products!$A$2:$F$61,6,FALSE()),"")</f>
        <v>1</v>
      </c>
      <c r="T1346" t="str">
        <f>IF(COUNTIF(Customers!$A$2:$A$301,C1346)=0,"Missing","OK")</f>
        <v>OK</v>
      </c>
      <c r="U1346" t="str">
        <f t="shared" ref="U1346:U1409" si="64">IF(K1346="","",PROPER(TRIM(K1346)))</f>
        <v>Bengaluru</v>
      </c>
      <c r="V1346">
        <f t="shared" ref="V1346:V1409" si="65">IF(AND(U1346="Bengaluru",L1346="Grocery"),I1346,0)</f>
        <v>0</v>
      </c>
    </row>
    <row r="1347" spans="1:22" ht="15" customHeight="1" x14ac:dyDescent="0.35">
      <c r="A1347" s="3" t="s">
        <v>1775</v>
      </c>
      <c r="B1347" s="4">
        <v>45447</v>
      </c>
      <c r="C1347" s="3" t="s">
        <v>321</v>
      </c>
      <c r="D1347" s="3" t="s">
        <v>49</v>
      </c>
      <c r="E1347" s="3" t="s">
        <v>78</v>
      </c>
      <c r="F1347" s="5">
        <v>9</v>
      </c>
      <c r="G1347" s="5">
        <v>370</v>
      </c>
      <c r="H1347" s="5">
        <v>4</v>
      </c>
      <c r="I1347" s="5">
        <v>3196.8</v>
      </c>
      <c r="J1347" s="3" t="s">
        <v>26</v>
      </c>
      <c r="K1347" s="3" t="s">
        <v>38</v>
      </c>
      <c r="L1347" t="str">
        <f>IFERROR(VLOOKUP(D1347,Products!$A$2:$F$61,3,FALSE()),"")</f>
        <v>Home</v>
      </c>
      <c r="M1347" t="str">
        <f>IFERROR(VLOOKUP(E1347,Sales_Reps!$A$2:$C$31,3,FALSE()),"")</f>
        <v>North</v>
      </c>
      <c r="N1347">
        <f>IFERROR(VLOOKUP(D1347,Products!$A$2:$F$61,4,FALSE()),"")</f>
        <v>288</v>
      </c>
      <c r="O1347" t="str">
        <f>IFERROR(VLOOKUP(C1347,Customers!$A$2:$F$301,5,FALSE()),"")</f>
        <v>Corporate</v>
      </c>
      <c r="P1347">
        <f>IFERROR(VLOOKUP(C1347,Customers!$A$2:$F$301,3,FALSE()),"")</f>
        <v>27</v>
      </c>
      <c r="Q1347">
        <f t="shared" si="63"/>
        <v>0.22162162162162163</v>
      </c>
      <c r="R1347">
        <f>IF(AND(COUNTIF($A$2:$A$2047,A1347)&gt;1,COUNTIF($A$2:A1347,A1347)=1),1,0)</f>
        <v>0</v>
      </c>
      <c r="S1347" t="b">
        <f>IFERROR(VLOOKUP(D1347,Products!$A$2:$F$61,6,FALSE()),"")</f>
        <v>1</v>
      </c>
      <c r="T1347" t="str">
        <f>IF(COUNTIF(Customers!$A$2:$A$301,C1347)=0,"Missing","OK")</f>
        <v>OK</v>
      </c>
      <c r="U1347" t="str">
        <f t="shared" si="64"/>
        <v>Delhi</v>
      </c>
      <c r="V1347">
        <f t="shared" si="65"/>
        <v>0</v>
      </c>
    </row>
    <row r="1348" spans="1:22" ht="15" customHeight="1" x14ac:dyDescent="0.35">
      <c r="A1348" s="3" t="s">
        <v>1776</v>
      </c>
      <c r="B1348" s="4">
        <v>45300</v>
      </c>
      <c r="C1348" s="3" t="s">
        <v>156</v>
      </c>
      <c r="D1348" s="3" t="s">
        <v>218</v>
      </c>
      <c r="E1348" s="3" t="s">
        <v>236</v>
      </c>
      <c r="F1348" s="5">
        <v>5</v>
      </c>
      <c r="G1348" s="5">
        <v>2660</v>
      </c>
      <c r="H1348" s="5">
        <v>24.6</v>
      </c>
      <c r="I1348" s="5">
        <v>10028.200000000001</v>
      </c>
      <c r="J1348" s="3" t="s">
        <v>79</v>
      </c>
      <c r="K1348" s="3" t="s">
        <v>33</v>
      </c>
      <c r="L1348" t="str">
        <f>IFERROR(VLOOKUP(D1348,Products!$A$2:$F$61,3,FALSE()),"")</f>
        <v>Electronics</v>
      </c>
      <c r="M1348" t="str">
        <f>IFERROR(VLOOKUP(E1348,Sales_Reps!$A$2:$C$31,3,FALSE()),"")</f>
        <v>North</v>
      </c>
      <c r="N1348">
        <f>IFERROR(VLOOKUP(D1348,Products!$A$2:$F$61,4,FALSE()),"")</f>
        <v>1259</v>
      </c>
      <c r="O1348" t="str">
        <f>IFERROR(VLOOKUP(C1348,Customers!$A$2:$F$301,5,FALSE()),"")</f>
        <v>Retail</v>
      </c>
      <c r="P1348">
        <f>IFERROR(VLOOKUP(C1348,Customers!$A$2:$F$301,3,FALSE()),"")</f>
        <v>51</v>
      </c>
      <c r="Q1348">
        <f t="shared" si="63"/>
        <v>0.52669172932330832</v>
      </c>
      <c r="R1348">
        <f>IF(AND(COUNTIF($A$2:$A$2047,A1348)&gt;1,COUNTIF($A$2:A1348,A1348)=1),1,0)</f>
        <v>0</v>
      </c>
      <c r="S1348" t="b">
        <f>IFERROR(VLOOKUP(D1348,Products!$A$2:$F$61,6,FALSE()),"")</f>
        <v>0</v>
      </c>
      <c r="T1348" t="str">
        <f>IF(COUNTIF(Customers!$A$2:$A$301,C1348)=0,"Missing","OK")</f>
        <v>OK</v>
      </c>
      <c r="U1348" t="str">
        <f t="shared" si="64"/>
        <v>Chennai</v>
      </c>
      <c r="V1348">
        <f t="shared" si="65"/>
        <v>0</v>
      </c>
    </row>
    <row r="1349" spans="1:22" ht="15" customHeight="1" x14ac:dyDescent="0.35">
      <c r="A1349" s="3" t="s">
        <v>1777</v>
      </c>
      <c r="B1349" s="4">
        <v>45327</v>
      </c>
      <c r="C1349" s="3" t="s">
        <v>1300</v>
      </c>
      <c r="D1349" s="3" t="s">
        <v>598</v>
      </c>
      <c r="E1349" s="3" t="s">
        <v>242</v>
      </c>
      <c r="F1349" s="5">
        <v>4</v>
      </c>
      <c r="G1349" s="5">
        <v>3560</v>
      </c>
      <c r="H1349" s="5">
        <v>25.7</v>
      </c>
      <c r="I1349" s="5">
        <v>10580.32</v>
      </c>
      <c r="J1349" s="3" t="s">
        <v>26</v>
      </c>
      <c r="K1349" s="3" t="s">
        <v>33</v>
      </c>
      <c r="L1349" t="str">
        <f>IFERROR(VLOOKUP(D1349,Products!$A$2:$F$61,3,FALSE()),"")</f>
        <v>Apparel</v>
      </c>
      <c r="M1349" t="str">
        <f>IFERROR(VLOOKUP(E1349,Sales_Reps!$A$2:$C$31,3,FALSE()),"")</f>
        <v>East</v>
      </c>
      <c r="N1349">
        <f>IFERROR(VLOOKUP(D1349,Products!$A$2:$F$61,4,FALSE()),"")</f>
        <v>2629</v>
      </c>
      <c r="O1349" t="str">
        <f>IFERROR(VLOOKUP(C1349,Customers!$A$2:$F$301,5,FALSE()),"")</f>
        <v>Retail</v>
      </c>
      <c r="P1349">
        <f>IFERROR(VLOOKUP(C1349,Customers!$A$2:$F$301,3,FALSE()),"")</f>
        <v>34</v>
      </c>
      <c r="Q1349">
        <f t="shared" si="63"/>
        <v>0.26151685393258428</v>
      </c>
      <c r="R1349">
        <f>IF(AND(COUNTIF($A$2:$A$2047,A1349)&gt;1,COUNTIF($A$2:A1349,A1349)=1),1,0)</f>
        <v>0</v>
      </c>
      <c r="S1349" t="b">
        <f>IFERROR(VLOOKUP(D1349,Products!$A$2:$F$61,6,FALSE()),"")</f>
        <v>1</v>
      </c>
      <c r="T1349" t="str">
        <f>IF(COUNTIF(Customers!$A$2:$A$301,C1349)=0,"Missing","OK")</f>
        <v>OK</v>
      </c>
      <c r="U1349" t="str">
        <f t="shared" si="64"/>
        <v>Chennai</v>
      </c>
      <c r="V1349">
        <f t="shared" si="65"/>
        <v>0</v>
      </c>
    </row>
    <row r="1350" spans="1:22" ht="15" customHeight="1" x14ac:dyDescent="0.35">
      <c r="A1350" s="3" t="s">
        <v>1778</v>
      </c>
      <c r="B1350" s="4">
        <v>45410</v>
      </c>
      <c r="C1350" s="3" t="s">
        <v>925</v>
      </c>
      <c r="D1350" s="3" t="s">
        <v>319</v>
      </c>
      <c r="E1350" s="3" t="s">
        <v>31</v>
      </c>
      <c r="F1350" s="5">
        <v>8</v>
      </c>
      <c r="G1350" s="5">
        <v>960</v>
      </c>
      <c r="H1350" s="5">
        <v>0.1</v>
      </c>
      <c r="I1350" s="5">
        <v>7672.32</v>
      </c>
      <c r="J1350" s="3" t="s">
        <v>26</v>
      </c>
      <c r="K1350" s="3" t="s">
        <v>33</v>
      </c>
      <c r="L1350" t="str">
        <f>IFERROR(VLOOKUP(D1350,Products!$A$2:$F$61,3,FALSE()),"")</f>
        <v>Beauty</v>
      </c>
      <c r="M1350" t="str">
        <f>IFERROR(VLOOKUP(E1350,Sales_Reps!$A$2:$C$31,3,FALSE()),"")</f>
        <v>North</v>
      </c>
      <c r="N1350">
        <f>IFERROR(VLOOKUP(D1350,Products!$A$2:$F$61,4,FALSE()),"")</f>
        <v>675</v>
      </c>
      <c r="O1350" t="str">
        <f>IFERROR(VLOOKUP(C1350,Customers!$A$2:$F$301,5,FALSE()),"")</f>
        <v>Corporate</v>
      </c>
      <c r="P1350">
        <f>IFERROR(VLOOKUP(C1350,Customers!$A$2:$F$301,3,FALSE()),"")</f>
        <v>52</v>
      </c>
      <c r="Q1350">
        <f t="shared" si="63"/>
        <v>0.296875</v>
      </c>
      <c r="R1350">
        <f>IF(AND(COUNTIF($A$2:$A$2047,A1350)&gt;1,COUNTIF($A$2:A1350,A1350)=1),1,0)</f>
        <v>0</v>
      </c>
      <c r="S1350" t="b">
        <f>IFERROR(VLOOKUP(D1350,Products!$A$2:$F$61,6,FALSE()),"")</f>
        <v>1</v>
      </c>
      <c r="T1350" t="str">
        <f>IF(COUNTIF(Customers!$A$2:$A$301,C1350)=0,"Missing","OK")</f>
        <v>OK</v>
      </c>
      <c r="U1350" t="str">
        <f t="shared" si="64"/>
        <v>Chennai</v>
      </c>
      <c r="V1350">
        <f t="shared" si="65"/>
        <v>0</v>
      </c>
    </row>
    <row r="1351" spans="1:22" ht="15" customHeight="1" x14ac:dyDescent="0.35">
      <c r="A1351" s="3" t="s">
        <v>1779</v>
      </c>
      <c r="B1351" s="4">
        <v>45644</v>
      </c>
      <c r="C1351" s="3" t="s">
        <v>164</v>
      </c>
      <c r="D1351" s="3" t="s">
        <v>49</v>
      </c>
      <c r="E1351" s="3" t="s">
        <v>55</v>
      </c>
      <c r="F1351" s="5">
        <v>10</v>
      </c>
      <c r="G1351" s="5">
        <v>370</v>
      </c>
      <c r="H1351" s="5">
        <v>16.399999999999999</v>
      </c>
      <c r="I1351" s="5">
        <v>3093.2</v>
      </c>
      <c r="J1351" s="3" t="s">
        <v>79</v>
      </c>
      <c r="K1351" s="3" t="s">
        <v>33</v>
      </c>
      <c r="L1351" t="str">
        <f>IFERROR(VLOOKUP(D1351,Products!$A$2:$F$61,3,FALSE()),"")</f>
        <v>Home</v>
      </c>
      <c r="M1351" t="str">
        <f>IFERROR(VLOOKUP(E1351,Sales_Reps!$A$2:$C$31,3,FALSE()),"")</f>
        <v>West</v>
      </c>
      <c r="N1351">
        <f>IFERROR(VLOOKUP(D1351,Products!$A$2:$F$61,4,FALSE()),"")</f>
        <v>288</v>
      </c>
      <c r="O1351" t="str">
        <f>IFERROR(VLOOKUP(C1351,Customers!$A$2:$F$301,5,FALSE()),"")</f>
        <v>Retail</v>
      </c>
      <c r="P1351">
        <f>IFERROR(VLOOKUP(C1351,Customers!$A$2:$F$301,3,FALSE()),"")</f>
        <v>37</v>
      </c>
      <c r="Q1351">
        <f t="shared" si="63"/>
        <v>0.22162162162162163</v>
      </c>
      <c r="R1351">
        <f>IF(AND(COUNTIF($A$2:$A$2047,A1351)&gt;1,COUNTIF($A$2:A1351,A1351)=1),1,0)</f>
        <v>0</v>
      </c>
      <c r="S1351" t="b">
        <f>IFERROR(VLOOKUP(D1351,Products!$A$2:$F$61,6,FALSE()),"")</f>
        <v>1</v>
      </c>
      <c r="T1351" t="str">
        <f>IF(COUNTIF(Customers!$A$2:$A$301,C1351)=0,"Missing","OK")</f>
        <v>OK</v>
      </c>
      <c r="U1351" t="str">
        <f t="shared" si="64"/>
        <v>Chennai</v>
      </c>
      <c r="V1351">
        <f t="shared" si="65"/>
        <v>0</v>
      </c>
    </row>
    <row r="1352" spans="1:22" ht="15" customHeight="1" x14ac:dyDescent="0.35">
      <c r="A1352" s="3" t="s">
        <v>1780</v>
      </c>
      <c r="B1352" s="4">
        <v>45399</v>
      </c>
      <c r="C1352" s="3" t="s">
        <v>776</v>
      </c>
      <c r="D1352" s="3" t="s">
        <v>112</v>
      </c>
      <c r="E1352" s="3" t="s">
        <v>168</v>
      </c>
      <c r="F1352" s="5">
        <v>4</v>
      </c>
      <c r="G1352" s="5">
        <v>2720</v>
      </c>
      <c r="H1352" s="5">
        <v>3.1</v>
      </c>
      <c r="I1352" s="5">
        <v>10542.72</v>
      </c>
      <c r="J1352" s="3" t="s">
        <v>26</v>
      </c>
      <c r="K1352" s="3" t="s">
        <v>56</v>
      </c>
      <c r="L1352" t="str">
        <f>IFERROR(VLOOKUP(D1352,Products!$A$2:$F$61,3,FALSE()),"")</f>
        <v>Apparel</v>
      </c>
      <c r="M1352" t="str">
        <f>IFERROR(VLOOKUP(E1352,Sales_Reps!$A$2:$C$31,3,FALSE()),"")</f>
        <v>West</v>
      </c>
      <c r="N1352">
        <f>IFERROR(VLOOKUP(D1352,Products!$A$2:$F$61,4,FALSE()),"")</f>
        <v>1962</v>
      </c>
      <c r="O1352" t="str">
        <f>IFERROR(VLOOKUP(C1352,Customers!$A$2:$F$301,5,FALSE()),"")</f>
        <v>Retail</v>
      </c>
      <c r="P1352">
        <f>IFERROR(VLOOKUP(C1352,Customers!$A$2:$F$301,3,FALSE()),"")</f>
        <v>37</v>
      </c>
      <c r="Q1352">
        <f t="shared" si="63"/>
        <v>0.2786764705882353</v>
      </c>
      <c r="R1352">
        <f>IF(AND(COUNTIF($A$2:$A$2047,A1352)&gt;1,COUNTIF($A$2:A1352,A1352)=1),1,0)</f>
        <v>0</v>
      </c>
      <c r="S1352" t="b">
        <f>IFERROR(VLOOKUP(D1352,Products!$A$2:$F$61,6,FALSE()),"")</f>
        <v>1</v>
      </c>
      <c r="T1352" t="str">
        <f>IF(COUNTIF(Customers!$A$2:$A$301,C1352)=0,"Missing","OK")</f>
        <v>OK</v>
      </c>
      <c r="U1352" t="str">
        <f t="shared" si="64"/>
        <v>Bengaluru</v>
      </c>
      <c r="V1352">
        <f t="shared" si="65"/>
        <v>0</v>
      </c>
    </row>
    <row r="1353" spans="1:22" ht="15" customHeight="1" x14ac:dyDescent="0.35">
      <c r="A1353" s="3" t="s">
        <v>1781</v>
      </c>
      <c r="B1353" s="4">
        <v>45441</v>
      </c>
      <c r="C1353" s="3" t="s">
        <v>344</v>
      </c>
      <c r="D1353" s="3" t="s">
        <v>382</v>
      </c>
      <c r="E1353" s="3" t="s">
        <v>31</v>
      </c>
      <c r="F1353" s="5">
        <v>10</v>
      </c>
      <c r="G1353" s="5">
        <v>5080</v>
      </c>
      <c r="H1353" s="5">
        <v>6.8</v>
      </c>
      <c r="I1353" s="5">
        <v>47345.599999999999</v>
      </c>
      <c r="J1353" s="3" t="s">
        <v>26</v>
      </c>
      <c r="K1353" s="3" t="s">
        <v>33</v>
      </c>
      <c r="L1353" t="str">
        <f>IFERROR(VLOOKUP(D1353,Products!$A$2:$F$61,3,FALSE()),"")</f>
        <v>Home</v>
      </c>
      <c r="M1353" t="str">
        <f>IFERROR(VLOOKUP(E1353,Sales_Reps!$A$2:$C$31,3,FALSE()),"")</f>
        <v>North</v>
      </c>
      <c r="N1353">
        <f>IFERROR(VLOOKUP(D1353,Products!$A$2:$F$61,4,FALSE()),"")</f>
        <v>2459</v>
      </c>
      <c r="O1353" t="str">
        <f>IFERROR(VLOOKUP(C1353,Customers!$A$2:$F$301,5,FALSE()),"")</f>
        <v>Corporate</v>
      </c>
      <c r="P1353">
        <f>IFERROR(VLOOKUP(C1353,Customers!$A$2:$F$301,3,FALSE()),"")</f>
        <v>24</v>
      </c>
      <c r="Q1353">
        <f t="shared" si="63"/>
        <v>0.51594488188976373</v>
      </c>
      <c r="R1353">
        <f>IF(AND(COUNTIF($A$2:$A$2047,A1353)&gt;1,COUNTIF($A$2:A1353,A1353)=1),1,0)</f>
        <v>0</v>
      </c>
      <c r="S1353" t="b">
        <f>IFERROR(VLOOKUP(D1353,Products!$A$2:$F$61,6,FALSE()),"")</f>
        <v>1</v>
      </c>
      <c r="T1353" t="str">
        <f>IF(COUNTIF(Customers!$A$2:$A$301,C1353)=0,"Missing","OK")</f>
        <v>OK</v>
      </c>
      <c r="U1353" t="str">
        <f t="shared" si="64"/>
        <v>Chennai</v>
      </c>
      <c r="V1353">
        <f t="shared" si="65"/>
        <v>0</v>
      </c>
    </row>
    <row r="1354" spans="1:22" ht="15" customHeight="1" x14ac:dyDescent="0.35">
      <c r="A1354" s="3" t="s">
        <v>1782</v>
      </c>
      <c r="B1354" s="4">
        <v>45379</v>
      </c>
      <c r="C1354" s="3" t="s">
        <v>1473</v>
      </c>
      <c r="D1354" s="3" t="s">
        <v>325</v>
      </c>
      <c r="E1354" s="3" t="s">
        <v>46</v>
      </c>
      <c r="F1354" s="5">
        <v>6</v>
      </c>
      <c r="G1354" s="5">
        <v>2290</v>
      </c>
      <c r="H1354" s="5">
        <v>22.6</v>
      </c>
      <c r="I1354" s="5">
        <v>10634.76</v>
      </c>
      <c r="J1354" s="3" t="s">
        <v>26</v>
      </c>
      <c r="K1354" s="3" t="s">
        <v>72</v>
      </c>
      <c r="L1354" t="str">
        <f>IFERROR(VLOOKUP(D1354,Products!$A$2:$F$61,3,FALSE()),"")</f>
        <v>Beauty</v>
      </c>
      <c r="M1354" t="str">
        <f>IFERROR(VLOOKUP(E1354,Sales_Reps!$A$2:$C$31,3,FALSE()),"")</f>
        <v>North</v>
      </c>
      <c r="N1354">
        <f>IFERROR(VLOOKUP(D1354,Products!$A$2:$F$61,4,FALSE()),"")</f>
        <v>1219</v>
      </c>
      <c r="O1354" t="str">
        <f>IFERROR(VLOOKUP(C1354,Customers!$A$2:$F$301,5,FALSE()),"")</f>
        <v>Corporate</v>
      </c>
      <c r="P1354">
        <f>IFERROR(VLOOKUP(C1354,Customers!$A$2:$F$301,3,FALSE()),"")</f>
        <v>25</v>
      </c>
      <c r="Q1354">
        <f t="shared" si="63"/>
        <v>0.46768558951965067</v>
      </c>
      <c r="R1354">
        <f>IF(AND(COUNTIF($A$2:$A$2047,A1354)&gt;1,COUNTIF($A$2:A1354,A1354)=1),1,0)</f>
        <v>0</v>
      </c>
      <c r="S1354" t="b">
        <f>IFERROR(VLOOKUP(D1354,Products!$A$2:$F$61,6,FALSE()),"")</f>
        <v>1</v>
      </c>
      <c r="T1354" t="str">
        <f>IF(COUNTIF(Customers!$A$2:$A$301,C1354)=0,"Missing","OK")</f>
        <v>OK</v>
      </c>
      <c r="U1354" t="str">
        <f t="shared" si="64"/>
        <v>Hyderabad</v>
      </c>
      <c r="V1354">
        <f t="shared" si="65"/>
        <v>0</v>
      </c>
    </row>
    <row r="1355" spans="1:22" ht="15" customHeight="1" x14ac:dyDescent="0.35">
      <c r="A1355" s="3" t="s">
        <v>1783</v>
      </c>
      <c r="B1355" s="4">
        <v>45502</v>
      </c>
      <c r="C1355" s="3" t="s">
        <v>707</v>
      </c>
      <c r="D1355" s="3" t="s">
        <v>139</v>
      </c>
      <c r="E1355" s="3" t="s">
        <v>42</v>
      </c>
      <c r="F1355" s="5">
        <v>4</v>
      </c>
      <c r="G1355" s="5">
        <v>2760</v>
      </c>
      <c r="H1355" s="5">
        <v>27.2</v>
      </c>
      <c r="I1355" s="5">
        <v>8037.12</v>
      </c>
      <c r="J1355" s="3" t="s">
        <v>83</v>
      </c>
      <c r="K1355" s="3" t="s">
        <v>27</v>
      </c>
      <c r="L1355" t="str">
        <f>IFERROR(VLOOKUP(D1355,Products!$A$2:$F$61,3,FALSE()),"")</f>
        <v>Grocery</v>
      </c>
      <c r="M1355" t="str">
        <f>IFERROR(VLOOKUP(E1355,Sales_Reps!$A$2:$C$31,3,FALSE()),"")</f>
        <v>North</v>
      </c>
      <c r="N1355">
        <f>IFERROR(VLOOKUP(D1355,Products!$A$2:$F$61,4,FALSE()),"")</f>
        <v>1435</v>
      </c>
      <c r="O1355" t="str">
        <f>IFERROR(VLOOKUP(C1355,Customers!$A$2:$F$301,5,FALSE()),"")</f>
        <v>Corporate</v>
      </c>
      <c r="P1355">
        <f>IFERROR(VLOOKUP(C1355,Customers!$A$2:$F$301,3,FALSE()),"")</f>
        <v>42</v>
      </c>
      <c r="Q1355">
        <f t="shared" si="63"/>
        <v>0.48007246376811596</v>
      </c>
      <c r="R1355">
        <f>IF(AND(COUNTIF($A$2:$A$2047,A1355)&gt;1,COUNTIF($A$2:A1355,A1355)=1),1,0)</f>
        <v>0</v>
      </c>
      <c r="S1355" t="b">
        <f>IFERROR(VLOOKUP(D1355,Products!$A$2:$F$61,6,FALSE()),"")</f>
        <v>1</v>
      </c>
      <c r="T1355" t="str">
        <f>IF(COUNTIF(Customers!$A$2:$A$301,C1355)=0,"Missing","OK")</f>
        <v>OK</v>
      </c>
      <c r="U1355" t="str">
        <f t="shared" si="64"/>
        <v>Pune</v>
      </c>
      <c r="V1355">
        <f t="shared" si="65"/>
        <v>0</v>
      </c>
    </row>
    <row r="1356" spans="1:22" ht="15" customHeight="1" x14ac:dyDescent="0.35">
      <c r="A1356" s="3" t="s">
        <v>1784</v>
      </c>
      <c r="B1356" s="4">
        <v>45466</v>
      </c>
      <c r="C1356" s="3" t="s">
        <v>381</v>
      </c>
      <c r="D1356" s="3" t="s">
        <v>70</v>
      </c>
      <c r="E1356" s="3" t="s">
        <v>282</v>
      </c>
      <c r="F1356" s="5">
        <v>9</v>
      </c>
      <c r="G1356" s="5">
        <v>2270</v>
      </c>
      <c r="H1356" s="5">
        <v>5.2</v>
      </c>
      <c r="I1356" s="5">
        <v>19367.64</v>
      </c>
      <c r="J1356" s="3" t="s">
        <v>26</v>
      </c>
      <c r="K1356" s="3" t="s">
        <v>27</v>
      </c>
      <c r="L1356" t="str">
        <f>IFERROR(VLOOKUP(D1356,Products!$A$2:$F$61,3,FALSE()),"")</f>
        <v>Grocery</v>
      </c>
      <c r="M1356" t="str">
        <f>IFERROR(VLOOKUP(E1356,Sales_Reps!$A$2:$C$31,3,FALSE()),"")</f>
        <v>West</v>
      </c>
      <c r="N1356">
        <f>IFERROR(VLOOKUP(D1356,Products!$A$2:$F$61,4,FALSE()),"")</f>
        <v>1203</v>
      </c>
      <c r="O1356" t="str">
        <f>IFERROR(VLOOKUP(C1356,Customers!$A$2:$F$301,5,FALSE()),"")</f>
        <v>Retail</v>
      </c>
      <c r="P1356">
        <f>IFERROR(VLOOKUP(C1356,Customers!$A$2:$F$301,3,FALSE()),"")</f>
        <v>65</v>
      </c>
      <c r="Q1356">
        <f t="shared" si="63"/>
        <v>0.47004405286343615</v>
      </c>
      <c r="R1356">
        <f>IF(AND(COUNTIF($A$2:$A$2047,A1356)&gt;1,COUNTIF($A$2:A1356,A1356)=1),1,0)</f>
        <v>0</v>
      </c>
      <c r="S1356" t="b">
        <f>IFERROR(VLOOKUP(D1356,Products!$A$2:$F$61,6,FALSE()),"")</f>
        <v>1</v>
      </c>
      <c r="T1356" t="str">
        <f>IF(COUNTIF(Customers!$A$2:$A$301,C1356)=0,"Missing","OK")</f>
        <v>OK</v>
      </c>
      <c r="U1356" t="str">
        <f t="shared" si="64"/>
        <v>Pune</v>
      </c>
      <c r="V1356">
        <f t="shared" si="65"/>
        <v>0</v>
      </c>
    </row>
    <row r="1357" spans="1:22" ht="15" customHeight="1" x14ac:dyDescent="0.35">
      <c r="A1357" s="3" t="s">
        <v>1785</v>
      </c>
      <c r="B1357" s="4">
        <v>45500</v>
      </c>
      <c r="C1357" s="3" t="s">
        <v>317</v>
      </c>
      <c r="D1357" s="3" t="s">
        <v>294</v>
      </c>
      <c r="E1357" s="3" t="s">
        <v>46</v>
      </c>
      <c r="F1357" s="5">
        <v>3</v>
      </c>
      <c r="G1357" s="5">
        <v>2510</v>
      </c>
      <c r="H1357" s="5">
        <v>16.399999999999999</v>
      </c>
      <c r="I1357" s="5">
        <v>6295.08</v>
      </c>
      <c r="J1357" s="3" t="s">
        <v>26</v>
      </c>
      <c r="K1357" s="3" t="s">
        <v>33</v>
      </c>
      <c r="L1357" t="str">
        <f>IFERROR(VLOOKUP(D1357,Products!$A$2:$F$61,3,FALSE()),"")</f>
        <v>Apparel</v>
      </c>
      <c r="M1357" t="str">
        <f>IFERROR(VLOOKUP(E1357,Sales_Reps!$A$2:$C$31,3,FALSE()),"")</f>
        <v>North</v>
      </c>
      <c r="N1357">
        <f>IFERROR(VLOOKUP(D1357,Products!$A$2:$F$61,4,FALSE()),"")</f>
        <v>1075</v>
      </c>
      <c r="O1357" t="str">
        <f>IFERROR(VLOOKUP(C1357,Customers!$A$2:$F$301,5,FALSE()),"")</f>
        <v>SMB</v>
      </c>
      <c r="P1357">
        <f>IFERROR(VLOOKUP(C1357,Customers!$A$2:$F$301,3,FALSE()),"")</f>
        <v>53</v>
      </c>
      <c r="Q1357">
        <f t="shared" si="63"/>
        <v>0.57171314741035861</v>
      </c>
      <c r="R1357">
        <f>IF(AND(COUNTIF($A$2:$A$2047,A1357)&gt;1,COUNTIF($A$2:A1357,A1357)=1),1,0)</f>
        <v>0</v>
      </c>
      <c r="S1357" t="b">
        <f>IFERROR(VLOOKUP(D1357,Products!$A$2:$F$61,6,FALSE()),"")</f>
        <v>0</v>
      </c>
      <c r="T1357" t="str">
        <f>IF(COUNTIF(Customers!$A$2:$A$301,C1357)=0,"Missing","OK")</f>
        <v>OK</v>
      </c>
      <c r="U1357" t="str">
        <f t="shared" si="64"/>
        <v>Chennai</v>
      </c>
      <c r="V1357">
        <f t="shared" si="65"/>
        <v>0</v>
      </c>
    </row>
    <row r="1358" spans="1:22" ht="15" customHeight="1" x14ac:dyDescent="0.35">
      <c r="A1358" s="3" t="s">
        <v>1786</v>
      </c>
      <c r="B1358" s="4">
        <v>45337</v>
      </c>
      <c r="C1358" s="3" t="s">
        <v>251</v>
      </c>
      <c r="D1358" s="3" t="s">
        <v>306</v>
      </c>
      <c r="E1358" s="3" t="s">
        <v>264</v>
      </c>
      <c r="F1358" s="5">
        <v>1</v>
      </c>
      <c r="G1358" s="5">
        <v>2380</v>
      </c>
      <c r="H1358" s="5">
        <v>23.5</v>
      </c>
      <c r="I1358" s="5">
        <v>1820.7</v>
      </c>
      <c r="J1358" s="3" t="s">
        <v>26</v>
      </c>
      <c r="K1358" s="3" t="s">
        <v>72</v>
      </c>
      <c r="L1358" t="str">
        <f>IFERROR(VLOOKUP(D1358,Products!$A$2:$F$61,3,FALSE()),"")</f>
        <v>Grocery</v>
      </c>
      <c r="M1358" t="str">
        <f>IFERROR(VLOOKUP(E1358,Sales_Reps!$A$2:$C$31,3,FALSE()),"")</f>
        <v>South</v>
      </c>
      <c r="N1358">
        <f>IFERROR(VLOOKUP(D1358,Products!$A$2:$F$61,4,FALSE()),"")</f>
        <v>1182</v>
      </c>
      <c r="O1358" t="str">
        <f>IFERROR(VLOOKUP(C1358,Customers!$A$2:$F$301,5,FALSE()),"")</f>
        <v>Retail</v>
      </c>
      <c r="P1358">
        <f>IFERROR(VLOOKUP(C1358,Customers!$A$2:$F$301,3,FALSE()),"")</f>
        <v>46</v>
      </c>
      <c r="Q1358">
        <f t="shared" si="63"/>
        <v>0.50336134453781511</v>
      </c>
      <c r="R1358">
        <f>IF(AND(COUNTIF($A$2:$A$2047,A1358)&gt;1,COUNTIF($A$2:A1358,A1358)=1),1,0)</f>
        <v>0</v>
      </c>
      <c r="S1358" t="b">
        <f>IFERROR(VLOOKUP(D1358,Products!$A$2:$F$61,6,FALSE()),"")</f>
        <v>1</v>
      </c>
      <c r="T1358" t="str">
        <f>IF(COUNTIF(Customers!$A$2:$A$301,C1358)=0,"Missing","OK")</f>
        <v>OK</v>
      </c>
      <c r="U1358" t="str">
        <f t="shared" si="64"/>
        <v>Hyderabad</v>
      </c>
      <c r="V1358">
        <f t="shared" si="65"/>
        <v>0</v>
      </c>
    </row>
    <row r="1359" spans="1:22" ht="15" customHeight="1" x14ac:dyDescent="0.35">
      <c r="A1359" s="3" t="s">
        <v>1787</v>
      </c>
      <c r="B1359" s="4">
        <v>45447</v>
      </c>
      <c r="C1359" s="3" t="s">
        <v>776</v>
      </c>
      <c r="D1359" s="3" t="s">
        <v>400</v>
      </c>
      <c r="E1359" s="3" t="s">
        <v>60</v>
      </c>
      <c r="F1359" s="5">
        <v>2</v>
      </c>
      <c r="G1359" s="5">
        <v>3780</v>
      </c>
      <c r="H1359" s="5">
        <v>29.1</v>
      </c>
      <c r="I1359" s="5">
        <v>5360.04</v>
      </c>
      <c r="J1359" s="3" t="s">
        <v>26</v>
      </c>
      <c r="K1359" s="3" t="s">
        <v>56</v>
      </c>
      <c r="L1359" t="str">
        <f>IFERROR(VLOOKUP(D1359,Products!$A$2:$F$61,3,FALSE()),"")</f>
        <v>Sports</v>
      </c>
      <c r="M1359" t="str">
        <f>IFERROR(VLOOKUP(E1359,Sales_Reps!$A$2:$C$31,3,FALSE()),"")</f>
        <v>East</v>
      </c>
      <c r="N1359">
        <f>IFERROR(VLOOKUP(D1359,Products!$A$2:$F$61,4,FALSE()),"")</f>
        <v>1860</v>
      </c>
      <c r="O1359" t="str">
        <f>IFERROR(VLOOKUP(C1359,Customers!$A$2:$F$301,5,FALSE()),"")</f>
        <v>Retail</v>
      </c>
      <c r="P1359">
        <f>IFERROR(VLOOKUP(C1359,Customers!$A$2:$F$301,3,FALSE()),"")</f>
        <v>37</v>
      </c>
      <c r="Q1359">
        <f t="shared" si="63"/>
        <v>0.50793650793650791</v>
      </c>
      <c r="R1359">
        <f>IF(AND(COUNTIF($A$2:$A$2047,A1359)&gt;1,COUNTIF($A$2:A1359,A1359)=1),1,0)</f>
        <v>0</v>
      </c>
      <c r="S1359" t="b">
        <f>IFERROR(VLOOKUP(D1359,Products!$A$2:$F$61,6,FALSE()),"")</f>
        <v>1</v>
      </c>
      <c r="T1359" t="str">
        <f>IF(COUNTIF(Customers!$A$2:$A$301,C1359)=0,"Missing","OK")</f>
        <v>OK</v>
      </c>
      <c r="U1359" t="str">
        <f t="shared" si="64"/>
        <v>Bengaluru</v>
      </c>
      <c r="V1359">
        <f t="shared" si="65"/>
        <v>0</v>
      </c>
    </row>
    <row r="1360" spans="1:22" ht="15" customHeight="1" x14ac:dyDescent="0.35">
      <c r="A1360" s="3" t="s">
        <v>1788</v>
      </c>
      <c r="B1360" s="4">
        <v>45546</v>
      </c>
      <c r="C1360" s="3" t="s">
        <v>891</v>
      </c>
      <c r="D1360" s="3" t="s">
        <v>391</v>
      </c>
      <c r="E1360" s="3" t="s">
        <v>140</v>
      </c>
      <c r="F1360" s="5">
        <v>1</v>
      </c>
      <c r="G1360" s="5">
        <v>3450</v>
      </c>
      <c r="H1360" s="5">
        <v>17.8</v>
      </c>
      <c r="I1360" s="5">
        <v>2835.9</v>
      </c>
      <c r="J1360" s="3" t="s">
        <v>26</v>
      </c>
      <c r="K1360" s="3" t="s">
        <v>72</v>
      </c>
      <c r="L1360" t="str">
        <f>IFERROR(VLOOKUP(D1360,Products!$A$2:$F$61,3,FALSE()),"")</f>
        <v>Apparel</v>
      </c>
      <c r="M1360" t="str">
        <f>IFERROR(VLOOKUP(E1360,Sales_Reps!$A$2:$C$31,3,FALSE()),"")</f>
        <v>West</v>
      </c>
      <c r="N1360">
        <f>IFERROR(VLOOKUP(D1360,Products!$A$2:$F$61,4,FALSE()),"")</f>
        <v>1748</v>
      </c>
      <c r="O1360" t="str">
        <f>IFERROR(VLOOKUP(C1360,Customers!$A$2:$F$301,5,FALSE()),"")</f>
        <v>Retail</v>
      </c>
      <c r="P1360">
        <f>IFERROR(VLOOKUP(C1360,Customers!$A$2:$F$301,3,FALSE()),"")</f>
        <v>35</v>
      </c>
      <c r="Q1360">
        <f t="shared" si="63"/>
        <v>0.49333333333333335</v>
      </c>
      <c r="R1360">
        <f>IF(AND(COUNTIF($A$2:$A$2047,A1360)&gt;1,COUNTIF($A$2:A1360,A1360)=1),1,0)</f>
        <v>0</v>
      </c>
      <c r="S1360" t="b">
        <f>IFERROR(VLOOKUP(D1360,Products!$A$2:$F$61,6,FALSE()),"")</f>
        <v>1</v>
      </c>
      <c r="T1360" t="str">
        <f>IF(COUNTIF(Customers!$A$2:$A$301,C1360)=0,"Missing","OK")</f>
        <v>OK</v>
      </c>
      <c r="U1360" t="str">
        <f t="shared" si="64"/>
        <v>Hyderabad</v>
      </c>
      <c r="V1360">
        <f t="shared" si="65"/>
        <v>0</v>
      </c>
    </row>
    <row r="1361" spans="1:22" ht="15" customHeight="1" x14ac:dyDescent="0.35">
      <c r="A1361" s="3" t="s">
        <v>1789</v>
      </c>
      <c r="B1361" s="4">
        <v>45451</v>
      </c>
      <c r="C1361" s="3" t="s">
        <v>327</v>
      </c>
      <c r="D1361" s="3" t="s">
        <v>123</v>
      </c>
      <c r="E1361" s="3" t="s">
        <v>42</v>
      </c>
      <c r="F1361" s="5">
        <v>6</v>
      </c>
      <c r="G1361" s="5">
        <v>4880</v>
      </c>
      <c r="H1361" s="5">
        <v>15.6</v>
      </c>
      <c r="I1361" s="5">
        <v>24712.32</v>
      </c>
      <c r="J1361" s="3" t="s">
        <v>32</v>
      </c>
      <c r="K1361" s="3" t="s">
        <v>72</v>
      </c>
      <c r="L1361" t="str">
        <f>IFERROR(VLOOKUP(D1361,Products!$A$2:$F$61,3,FALSE()),"")</f>
        <v>Beauty</v>
      </c>
      <c r="M1361" t="str">
        <f>IFERROR(VLOOKUP(E1361,Sales_Reps!$A$2:$C$31,3,FALSE()),"")</f>
        <v>North</v>
      </c>
      <c r="N1361">
        <f>IFERROR(VLOOKUP(D1361,Products!$A$2:$F$61,4,FALSE()),"")</f>
        <v>2768</v>
      </c>
      <c r="O1361" t="str">
        <f>IFERROR(VLOOKUP(C1361,Customers!$A$2:$F$301,5,FALSE()),"")</f>
        <v>Retail</v>
      </c>
      <c r="P1361">
        <f>IFERROR(VLOOKUP(C1361,Customers!$A$2:$F$301,3,FALSE()),"")</f>
        <v>44</v>
      </c>
      <c r="Q1361">
        <f t="shared" si="63"/>
        <v>0.43278688524590164</v>
      </c>
      <c r="R1361">
        <f>IF(AND(COUNTIF($A$2:$A$2047,A1361)&gt;1,COUNTIF($A$2:A1361,A1361)=1),1,0)</f>
        <v>0</v>
      </c>
      <c r="S1361" t="b">
        <f>IFERROR(VLOOKUP(D1361,Products!$A$2:$F$61,6,FALSE()),"")</f>
        <v>1</v>
      </c>
      <c r="T1361" t="str">
        <f>IF(COUNTIF(Customers!$A$2:$A$301,C1361)=0,"Missing","OK")</f>
        <v>OK</v>
      </c>
      <c r="U1361" t="str">
        <f t="shared" si="64"/>
        <v>Hyderabad</v>
      </c>
      <c r="V1361">
        <f t="shared" si="65"/>
        <v>0</v>
      </c>
    </row>
    <row r="1362" spans="1:22" ht="15" customHeight="1" x14ac:dyDescent="0.35">
      <c r="A1362" s="3" t="s">
        <v>1790</v>
      </c>
      <c r="B1362" s="4">
        <v>45427</v>
      </c>
      <c r="C1362" s="3" t="s">
        <v>114</v>
      </c>
      <c r="D1362" s="3" t="s">
        <v>319</v>
      </c>
      <c r="E1362" s="3" t="s">
        <v>285</v>
      </c>
      <c r="F1362" s="5">
        <v>6</v>
      </c>
      <c r="G1362" s="5">
        <v>960</v>
      </c>
      <c r="H1362" s="5">
        <v>7.5</v>
      </c>
      <c r="I1362" s="5">
        <v>5328</v>
      </c>
      <c r="J1362" s="3" t="s">
        <v>32</v>
      </c>
      <c r="K1362" s="3" t="s">
        <v>72</v>
      </c>
      <c r="L1362" t="str">
        <f>IFERROR(VLOOKUP(D1362,Products!$A$2:$F$61,3,FALSE()),"")</f>
        <v>Beauty</v>
      </c>
      <c r="M1362" t="str">
        <f>IFERROR(VLOOKUP(E1362,Sales_Reps!$A$2:$C$31,3,FALSE()),"")</f>
        <v>South</v>
      </c>
      <c r="N1362">
        <f>IFERROR(VLOOKUP(D1362,Products!$A$2:$F$61,4,FALSE()),"")</f>
        <v>675</v>
      </c>
      <c r="O1362" t="str">
        <f>IFERROR(VLOOKUP(C1362,Customers!$A$2:$F$301,5,FALSE()),"")</f>
        <v>SMB</v>
      </c>
      <c r="P1362">
        <f>IFERROR(VLOOKUP(C1362,Customers!$A$2:$F$301,3,FALSE()),"")</f>
        <v>40</v>
      </c>
      <c r="Q1362">
        <f t="shared" si="63"/>
        <v>0.296875</v>
      </c>
      <c r="R1362">
        <f>IF(AND(COUNTIF($A$2:$A$2047,A1362)&gt;1,COUNTIF($A$2:A1362,A1362)=1),1,0)</f>
        <v>0</v>
      </c>
      <c r="S1362" t="b">
        <f>IFERROR(VLOOKUP(D1362,Products!$A$2:$F$61,6,FALSE()),"")</f>
        <v>1</v>
      </c>
      <c r="T1362" t="str">
        <f>IF(COUNTIF(Customers!$A$2:$A$301,C1362)=0,"Missing","OK")</f>
        <v>OK</v>
      </c>
      <c r="U1362" t="str">
        <f t="shared" si="64"/>
        <v>Hyderabad</v>
      </c>
      <c r="V1362">
        <f t="shared" si="65"/>
        <v>0</v>
      </c>
    </row>
    <row r="1363" spans="1:22" ht="15" customHeight="1" x14ac:dyDescent="0.35">
      <c r="A1363" s="3" t="s">
        <v>1791</v>
      </c>
      <c r="B1363" s="4">
        <v>45532</v>
      </c>
      <c r="C1363" s="3" t="s">
        <v>352</v>
      </c>
      <c r="D1363" s="3" t="s">
        <v>598</v>
      </c>
      <c r="E1363" s="3" t="s">
        <v>93</v>
      </c>
      <c r="F1363" s="5">
        <v>1</v>
      </c>
      <c r="G1363" s="5">
        <v>3560</v>
      </c>
      <c r="H1363" s="5">
        <v>12.9</v>
      </c>
      <c r="I1363" s="5">
        <v>3100.76</v>
      </c>
      <c r="J1363" s="3" t="s">
        <v>26</v>
      </c>
      <c r="K1363" s="3" t="s">
        <v>27</v>
      </c>
      <c r="L1363" t="str">
        <f>IFERROR(VLOOKUP(D1363,Products!$A$2:$F$61,3,FALSE()),"")</f>
        <v>Apparel</v>
      </c>
      <c r="M1363" t="str">
        <f>IFERROR(VLOOKUP(E1363,Sales_Reps!$A$2:$C$31,3,FALSE()),"")</f>
        <v>East</v>
      </c>
      <c r="N1363">
        <f>IFERROR(VLOOKUP(D1363,Products!$A$2:$F$61,4,FALSE()),"")</f>
        <v>2629</v>
      </c>
      <c r="O1363" t="str">
        <f>IFERROR(VLOOKUP(C1363,Customers!$A$2:$F$301,5,FALSE()),"")</f>
        <v>Retail</v>
      </c>
      <c r="P1363">
        <f>IFERROR(VLOOKUP(C1363,Customers!$A$2:$F$301,3,FALSE()),"")</f>
        <v>22</v>
      </c>
      <c r="Q1363">
        <f t="shared" si="63"/>
        <v>0.26151685393258428</v>
      </c>
      <c r="R1363">
        <f>IF(AND(COUNTIF($A$2:$A$2047,A1363)&gt;1,COUNTIF($A$2:A1363,A1363)=1),1,0)</f>
        <v>0</v>
      </c>
      <c r="S1363" t="b">
        <f>IFERROR(VLOOKUP(D1363,Products!$A$2:$F$61,6,FALSE()),"")</f>
        <v>1</v>
      </c>
      <c r="T1363" t="str">
        <f>IF(COUNTIF(Customers!$A$2:$A$301,C1363)=0,"Missing","OK")</f>
        <v>OK</v>
      </c>
      <c r="U1363" t="str">
        <f t="shared" si="64"/>
        <v>Pune</v>
      </c>
      <c r="V1363">
        <f t="shared" si="65"/>
        <v>0</v>
      </c>
    </row>
    <row r="1364" spans="1:22" ht="15" customHeight="1" x14ac:dyDescent="0.35">
      <c r="A1364" s="3" t="s">
        <v>1792</v>
      </c>
      <c r="B1364" s="4">
        <v>45466</v>
      </c>
      <c r="C1364" s="3" t="s">
        <v>524</v>
      </c>
      <c r="D1364" s="3" t="s">
        <v>290</v>
      </c>
      <c r="E1364" s="3" t="s">
        <v>31</v>
      </c>
      <c r="F1364" s="5">
        <v>5</v>
      </c>
      <c r="G1364" s="5">
        <v>4060</v>
      </c>
      <c r="H1364" s="5">
        <v>18.100000000000001</v>
      </c>
      <c r="I1364" s="5">
        <v>16625.7</v>
      </c>
      <c r="J1364" s="3" t="s">
        <v>32</v>
      </c>
      <c r="K1364" s="3" t="s">
        <v>33</v>
      </c>
      <c r="L1364" t="str">
        <f>IFERROR(VLOOKUP(D1364,Products!$A$2:$F$61,3,FALSE()),"")</f>
        <v>Grocery</v>
      </c>
      <c r="M1364" t="str">
        <f>IFERROR(VLOOKUP(E1364,Sales_Reps!$A$2:$C$31,3,FALSE()),"")</f>
        <v>North</v>
      </c>
      <c r="N1364">
        <f>IFERROR(VLOOKUP(D1364,Products!$A$2:$F$61,4,FALSE()),"")</f>
        <v>2911</v>
      </c>
      <c r="O1364" t="str">
        <f>IFERROR(VLOOKUP(C1364,Customers!$A$2:$F$301,5,FALSE()),"")</f>
        <v>Retail</v>
      </c>
      <c r="P1364">
        <f>IFERROR(VLOOKUP(C1364,Customers!$A$2:$F$301,3,FALSE()),"")</f>
        <v>26</v>
      </c>
      <c r="Q1364">
        <f t="shared" si="63"/>
        <v>0.28300492610837441</v>
      </c>
      <c r="R1364">
        <f>IF(AND(COUNTIF($A$2:$A$2047,A1364)&gt;1,COUNTIF($A$2:A1364,A1364)=1),1,0)</f>
        <v>0</v>
      </c>
      <c r="S1364" t="b">
        <f>IFERROR(VLOOKUP(D1364,Products!$A$2:$F$61,6,FALSE()),"")</f>
        <v>1</v>
      </c>
      <c r="T1364" t="str">
        <f>IF(COUNTIF(Customers!$A$2:$A$301,C1364)=0,"Missing","OK")</f>
        <v>OK</v>
      </c>
      <c r="U1364" t="str">
        <f t="shared" si="64"/>
        <v>Chennai</v>
      </c>
      <c r="V1364">
        <f t="shared" si="65"/>
        <v>0</v>
      </c>
    </row>
    <row r="1365" spans="1:22" ht="15" customHeight="1" x14ac:dyDescent="0.35">
      <c r="A1365" s="3" t="s">
        <v>1793</v>
      </c>
      <c r="B1365" s="4">
        <v>45545</v>
      </c>
      <c r="C1365" s="3" t="s">
        <v>40</v>
      </c>
      <c r="D1365" s="3" t="s">
        <v>112</v>
      </c>
      <c r="E1365" s="3" t="s">
        <v>131</v>
      </c>
      <c r="F1365" s="5">
        <v>10</v>
      </c>
      <c r="G1365" s="5">
        <v>2720</v>
      </c>
      <c r="H1365" s="5">
        <v>23.2</v>
      </c>
      <c r="I1365" s="5">
        <v>20889.599999999999</v>
      </c>
      <c r="J1365" s="3" t="s">
        <v>26</v>
      </c>
      <c r="K1365" s="3" t="s">
        <v>38</v>
      </c>
      <c r="L1365" t="str">
        <f>IFERROR(VLOOKUP(D1365,Products!$A$2:$F$61,3,FALSE()),"")</f>
        <v>Apparel</v>
      </c>
      <c r="M1365" t="str">
        <f>IFERROR(VLOOKUP(E1365,Sales_Reps!$A$2:$C$31,3,FALSE()),"")</f>
        <v>East</v>
      </c>
      <c r="N1365">
        <f>IFERROR(VLOOKUP(D1365,Products!$A$2:$F$61,4,FALSE()),"")</f>
        <v>1962</v>
      </c>
      <c r="O1365" t="str">
        <f>IFERROR(VLOOKUP(C1365,Customers!$A$2:$F$301,5,FALSE()),"")</f>
        <v>Corporate</v>
      </c>
      <c r="P1365">
        <f>IFERROR(VLOOKUP(C1365,Customers!$A$2:$F$301,3,FALSE()),"")</f>
        <v>46</v>
      </c>
      <c r="Q1365">
        <f t="shared" si="63"/>
        <v>0.2786764705882353</v>
      </c>
      <c r="R1365">
        <f>IF(AND(COUNTIF($A$2:$A$2047,A1365)&gt;1,COUNTIF($A$2:A1365,A1365)=1),1,0)</f>
        <v>0</v>
      </c>
      <c r="S1365" t="b">
        <f>IFERROR(VLOOKUP(D1365,Products!$A$2:$F$61,6,FALSE()),"")</f>
        <v>1</v>
      </c>
      <c r="T1365" t="str">
        <f>IF(COUNTIF(Customers!$A$2:$A$301,C1365)=0,"Missing","OK")</f>
        <v>OK</v>
      </c>
      <c r="U1365" t="str">
        <f t="shared" si="64"/>
        <v>Delhi</v>
      </c>
      <c r="V1365">
        <f t="shared" si="65"/>
        <v>0</v>
      </c>
    </row>
    <row r="1366" spans="1:22" ht="15" customHeight="1" x14ac:dyDescent="0.35">
      <c r="A1366" s="3" t="s">
        <v>1667</v>
      </c>
      <c r="B1366" s="4">
        <v>45547</v>
      </c>
      <c r="C1366" s="3" t="s">
        <v>500</v>
      </c>
      <c r="D1366" s="3" t="s">
        <v>277</v>
      </c>
      <c r="E1366" s="3" t="s">
        <v>224</v>
      </c>
      <c r="F1366" s="5">
        <v>1</v>
      </c>
      <c r="G1366" s="5">
        <v>2210</v>
      </c>
      <c r="H1366" s="5">
        <v>5.8</v>
      </c>
      <c r="I1366" s="5">
        <v>2081.8200000000002</v>
      </c>
      <c r="J1366" s="3" t="s">
        <v>32</v>
      </c>
      <c r="K1366" s="3" t="s">
        <v>72</v>
      </c>
      <c r="L1366" t="str">
        <f>IFERROR(VLOOKUP(D1366,Products!$A$2:$F$61,3,FALSE()),"")</f>
        <v>Grocery</v>
      </c>
      <c r="M1366" t="str">
        <f>IFERROR(VLOOKUP(E1366,Sales_Reps!$A$2:$C$31,3,FALSE()),"")</f>
        <v>East</v>
      </c>
      <c r="N1366">
        <f>IFERROR(VLOOKUP(D1366,Products!$A$2:$F$61,4,FALSE()),"")</f>
        <v>1010</v>
      </c>
      <c r="O1366" t="str">
        <f>IFERROR(VLOOKUP(C1366,Customers!$A$2:$F$301,5,FALSE()),"")</f>
        <v>SMB</v>
      </c>
      <c r="P1366">
        <f>IFERROR(VLOOKUP(C1366,Customers!$A$2:$F$301,3,FALSE()),"")</f>
        <v>43</v>
      </c>
      <c r="Q1366">
        <f t="shared" si="63"/>
        <v>0.54298642533936647</v>
      </c>
      <c r="R1366">
        <f>IF(AND(COUNTIF($A$2:$A$2047,A1366)&gt;1,COUNTIF($A$2:A1366,A1366)=1),1,0)</f>
        <v>0</v>
      </c>
      <c r="S1366" t="b">
        <f>IFERROR(VLOOKUP(D1366,Products!$A$2:$F$61,6,FALSE()),"")</f>
        <v>1</v>
      </c>
      <c r="T1366" t="str">
        <f>IF(COUNTIF(Customers!$A$2:$A$301,C1366)=0,"Missing","OK")</f>
        <v>OK</v>
      </c>
      <c r="U1366" t="str">
        <f t="shared" si="64"/>
        <v>Hyderabad</v>
      </c>
      <c r="V1366">
        <f t="shared" si="65"/>
        <v>0</v>
      </c>
    </row>
    <row r="1367" spans="1:22" ht="15" customHeight="1" x14ac:dyDescent="0.35">
      <c r="A1367" s="3" t="s">
        <v>1794</v>
      </c>
      <c r="B1367" s="4">
        <v>45547</v>
      </c>
      <c r="C1367" s="3" t="s">
        <v>99</v>
      </c>
      <c r="D1367" s="3" t="s">
        <v>96</v>
      </c>
      <c r="E1367" s="3" t="s">
        <v>191</v>
      </c>
      <c r="F1367" s="5">
        <v>5</v>
      </c>
      <c r="G1367" s="5">
        <v>3450</v>
      </c>
      <c r="H1367" s="5">
        <v>27.9</v>
      </c>
      <c r="I1367" s="5">
        <v>12437.25</v>
      </c>
      <c r="J1367" s="3" t="s">
        <v>32</v>
      </c>
      <c r="K1367" s="3" t="s">
        <v>51</v>
      </c>
      <c r="L1367" t="str">
        <f>IFERROR(VLOOKUP(D1367,Products!$A$2:$F$61,3,FALSE()),"")</f>
        <v>Beauty</v>
      </c>
      <c r="M1367" t="str">
        <f>IFERROR(VLOOKUP(E1367,Sales_Reps!$A$2:$C$31,3,FALSE()),"")</f>
        <v>South</v>
      </c>
      <c r="N1367">
        <f>IFERROR(VLOOKUP(D1367,Products!$A$2:$F$61,4,FALSE()),"")</f>
        <v>2420</v>
      </c>
      <c r="O1367" t="str">
        <f>IFERROR(VLOOKUP(C1367,Customers!$A$2:$F$301,5,FALSE()),"")</f>
        <v>Retail</v>
      </c>
      <c r="P1367">
        <f>IFERROR(VLOOKUP(C1367,Customers!$A$2:$F$301,3,FALSE()),"")</f>
        <v>54</v>
      </c>
      <c r="Q1367">
        <f t="shared" si="63"/>
        <v>0.29855072463768118</v>
      </c>
      <c r="R1367">
        <f>IF(AND(COUNTIF($A$2:$A$2047,A1367)&gt;1,COUNTIF($A$2:A1367,A1367)=1),1,0)</f>
        <v>0</v>
      </c>
      <c r="S1367" t="b">
        <f>IFERROR(VLOOKUP(D1367,Products!$A$2:$F$61,6,FALSE()),"")</f>
        <v>1</v>
      </c>
      <c r="T1367" t="str">
        <f>IF(COUNTIF(Customers!$A$2:$A$301,C1367)=0,"Missing","OK")</f>
        <v>OK</v>
      </c>
      <c r="U1367" t="str">
        <f t="shared" si="64"/>
        <v>Mumbai</v>
      </c>
      <c r="V1367">
        <f t="shared" si="65"/>
        <v>0</v>
      </c>
    </row>
    <row r="1368" spans="1:22" ht="15" customHeight="1" x14ac:dyDescent="0.35">
      <c r="A1368" s="3" t="s">
        <v>1795</v>
      </c>
      <c r="B1368" s="4">
        <v>45550</v>
      </c>
      <c r="C1368" s="3" t="s">
        <v>151</v>
      </c>
      <c r="D1368" s="3" t="s">
        <v>306</v>
      </c>
      <c r="E1368" s="3" t="s">
        <v>93</v>
      </c>
      <c r="F1368" s="5">
        <v>9</v>
      </c>
      <c r="G1368" s="5">
        <v>2380</v>
      </c>
      <c r="H1368" s="5">
        <v>15.2</v>
      </c>
      <c r="I1368" s="5">
        <v>18164.16</v>
      </c>
      <c r="J1368" s="3" t="s">
        <v>83</v>
      </c>
      <c r="K1368" s="3" t="s">
        <v>51</v>
      </c>
      <c r="L1368" t="str">
        <f>IFERROR(VLOOKUP(D1368,Products!$A$2:$F$61,3,FALSE()),"")</f>
        <v>Grocery</v>
      </c>
      <c r="M1368" t="str">
        <f>IFERROR(VLOOKUP(E1368,Sales_Reps!$A$2:$C$31,3,FALSE()),"")</f>
        <v>East</v>
      </c>
      <c r="N1368">
        <f>IFERROR(VLOOKUP(D1368,Products!$A$2:$F$61,4,FALSE()),"")</f>
        <v>1182</v>
      </c>
      <c r="O1368" t="str">
        <f>IFERROR(VLOOKUP(C1368,Customers!$A$2:$F$301,5,FALSE()),"")</f>
        <v>SMB</v>
      </c>
      <c r="P1368">
        <f>IFERROR(VLOOKUP(C1368,Customers!$A$2:$F$301,3,FALSE()),"")</f>
        <v>36</v>
      </c>
      <c r="Q1368">
        <f t="shared" si="63"/>
        <v>0.50336134453781511</v>
      </c>
      <c r="R1368">
        <f>IF(AND(COUNTIF($A$2:$A$2047,A1368)&gt;1,COUNTIF($A$2:A1368,A1368)=1),1,0)</f>
        <v>0</v>
      </c>
      <c r="S1368" t="b">
        <f>IFERROR(VLOOKUP(D1368,Products!$A$2:$F$61,6,FALSE()),"")</f>
        <v>1</v>
      </c>
      <c r="T1368" t="str">
        <f>IF(COUNTIF(Customers!$A$2:$A$301,C1368)=0,"Missing","OK")</f>
        <v>OK</v>
      </c>
      <c r="U1368" t="str">
        <f t="shared" si="64"/>
        <v>Mumbai</v>
      </c>
      <c r="V1368">
        <f t="shared" si="65"/>
        <v>0</v>
      </c>
    </row>
    <row r="1369" spans="1:22" ht="15" customHeight="1" x14ac:dyDescent="0.35">
      <c r="A1369" s="3" t="s">
        <v>1796</v>
      </c>
      <c r="B1369" s="4">
        <v>45551</v>
      </c>
      <c r="C1369" s="3" t="s">
        <v>338</v>
      </c>
      <c r="D1369" s="3" t="s">
        <v>306</v>
      </c>
      <c r="E1369" s="3" t="s">
        <v>236</v>
      </c>
      <c r="F1369" s="5">
        <v>2</v>
      </c>
      <c r="G1369" s="5">
        <v>2380</v>
      </c>
      <c r="H1369" s="5">
        <v>24.3</v>
      </c>
      <c r="I1369" s="5">
        <v>3603.32</v>
      </c>
      <c r="J1369" s="3" t="s">
        <v>26</v>
      </c>
      <c r="K1369" s="3" t="s">
        <v>38</v>
      </c>
      <c r="L1369" t="str">
        <f>IFERROR(VLOOKUP(D1369,Products!$A$2:$F$61,3,FALSE()),"")</f>
        <v>Grocery</v>
      </c>
      <c r="M1369" t="str">
        <f>IFERROR(VLOOKUP(E1369,Sales_Reps!$A$2:$C$31,3,FALSE()),"")</f>
        <v>North</v>
      </c>
      <c r="N1369">
        <f>IFERROR(VLOOKUP(D1369,Products!$A$2:$F$61,4,FALSE()),"")</f>
        <v>1182</v>
      </c>
      <c r="O1369" t="str">
        <f>IFERROR(VLOOKUP(C1369,Customers!$A$2:$F$301,5,FALSE()),"")</f>
        <v>SMB</v>
      </c>
      <c r="P1369">
        <f>IFERROR(VLOOKUP(C1369,Customers!$A$2:$F$301,3,FALSE()),"")</f>
        <v>53</v>
      </c>
      <c r="Q1369">
        <f t="shared" si="63"/>
        <v>0.50336134453781511</v>
      </c>
      <c r="R1369">
        <f>IF(AND(COUNTIF($A$2:$A$2047,A1369)&gt;1,COUNTIF($A$2:A1369,A1369)=1),1,0)</f>
        <v>0</v>
      </c>
      <c r="S1369" t="b">
        <f>IFERROR(VLOOKUP(D1369,Products!$A$2:$F$61,6,FALSE()),"")</f>
        <v>1</v>
      </c>
      <c r="T1369" t="str">
        <f>IF(COUNTIF(Customers!$A$2:$A$301,C1369)=0,"Missing","OK")</f>
        <v>OK</v>
      </c>
      <c r="U1369" t="str">
        <f t="shared" si="64"/>
        <v>Delhi</v>
      </c>
      <c r="V1369">
        <f t="shared" si="65"/>
        <v>0</v>
      </c>
    </row>
    <row r="1370" spans="1:22" ht="15" customHeight="1" x14ac:dyDescent="0.35">
      <c r="A1370" s="3" t="s">
        <v>1797</v>
      </c>
      <c r="B1370" s="4">
        <v>45560</v>
      </c>
      <c r="C1370" s="3" t="s">
        <v>40</v>
      </c>
      <c r="D1370" s="3" t="s">
        <v>598</v>
      </c>
      <c r="E1370" s="3" t="s">
        <v>264</v>
      </c>
      <c r="F1370" s="5">
        <v>9</v>
      </c>
      <c r="G1370" s="5">
        <v>3560</v>
      </c>
      <c r="H1370" s="5">
        <v>6.6</v>
      </c>
      <c r="I1370" s="5">
        <v>29925.360000000001</v>
      </c>
      <c r="J1370" s="3" t="s">
        <v>83</v>
      </c>
      <c r="K1370" s="3" t="s">
        <v>38</v>
      </c>
      <c r="L1370" t="str">
        <f>IFERROR(VLOOKUP(D1370,Products!$A$2:$F$61,3,FALSE()),"")</f>
        <v>Apparel</v>
      </c>
      <c r="M1370" t="str">
        <f>IFERROR(VLOOKUP(E1370,Sales_Reps!$A$2:$C$31,3,FALSE()),"")</f>
        <v>South</v>
      </c>
      <c r="N1370">
        <f>IFERROR(VLOOKUP(D1370,Products!$A$2:$F$61,4,FALSE()),"")</f>
        <v>2629</v>
      </c>
      <c r="O1370" t="str">
        <f>IFERROR(VLOOKUP(C1370,Customers!$A$2:$F$301,5,FALSE()),"")</f>
        <v>Corporate</v>
      </c>
      <c r="P1370">
        <f>IFERROR(VLOOKUP(C1370,Customers!$A$2:$F$301,3,FALSE()),"")</f>
        <v>46</v>
      </c>
      <c r="Q1370">
        <f t="shared" si="63"/>
        <v>0.26151685393258428</v>
      </c>
      <c r="R1370">
        <f>IF(AND(COUNTIF($A$2:$A$2047,A1370)&gt;1,COUNTIF($A$2:A1370,A1370)=1),1,0)</f>
        <v>0</v>
      </c>
      <c r="S1370" t="b">
        <f>IFERROR(VLOOKUP(D1370,Products!$A$2:$F$61,6,FALSE()),"")</f>
        <v>1</v>
      </c>
      <c r="T1370" t="str">
        <f>IF(COUNTIF(Customers!$A$2:$A$301,C1370)=0,"Missing","OK")</f>
        <v>OK</v>
      </c>
      <c r="U1370" t="str">
        <f t="shared" si="64"/>
        <v>Delhi</v>
      </c>
      <c r="V1370">
        <f t="shared" si="65"/>
        <v>0</v>
      </c>
    </row>
    <row r="1371" spans="1:22" ht="15" customHeight="1" x14ac:dyDescent="0.35">
      <c r="A1371" s="3" t="s">
        <v>1798</v>
      </c>
      <c r="B1371" s="4">
        <v>45330</v>
      </c>
      <c r="C1371" s="3" t="s">
        <v>411</v>
      </c>
      <c r="D1371" s="3" t="s">
        <v>206</v>
      </c>
      <c r="E1371" s="3" t="s">
        <v>242</v>
      </c>
      <c r="F1371" s="5">
        <v>7</v>
      </c>
      <c r="G1371" s="5">
        <v>1220</v>
      </c>
      <c r="H1371" s="5">
        <v>29.4</v>
      </c>
      <c r="I1371" s="5">
        <v>6029.24</v>
      </c>
      <c r="J1371" s="3" t="s">
        <v>26</v>
      </c>
      <c r="K1371" s="3" t="s">
        <v>33</v>
      </c>
      <c r="L1371" t="str">
        <f>IFERROR(VLOOKUP(D1371,Products!$A$2:$F$61,3,FALSE()),"")</f>
        <v>Electronics</v>
      </c>
      <c r="M1371" t="str">
        <f>IFERROR(VLOOKUP(E1371,Sales_Reps!$A$2:$C$31,3,FALSE()),"")</f>
        <v>East</v>
      </c>
      <c r="N1371">
        <f>IFERROR(VLOOKUP(D1371,Products!$A$2:$F$61,4,FALSE()),"")</f>
        <v>517</v>
      </c>
      <c r="O1371" t="str">
        <f>IFERROR(VLOOKUP(C1371,Customers!$A$2:$F$301,5,FALSE()),"")</f>
        <v>Corporate</v>
      </c>
      <c r="P1371">
        <f>IFERROR(VLOOKUP(C1371,Customers!$A$2:$F$301,3,FALSE()),"")</f>
        <v>35</v>
      </c>
      <c r="Q1371">
        <f t="shared" si="63"/>
        <v>0.57622950819672136</v>
      </c>
      <c r="R1371">
        <f>IF(AND(COUNTIF($A$2:$A$2047,A1371)&gt;1,COUNTIF($A$2:A1371,A1371)=1),1,0)</f>
        <v>0</v>
      </c>
      <c r="S1371" t="b">
        <f>IFERROR(VLOOKUP(D1371,Products!$A$2:$F$61,6,FALSE()),"")</f>
        <v>1</v>
      </c>
      <c r="T1371" t="str">
        <f>IF(COUNTIF(Customers!$A$2:$A$301,C1371)=0,"Missing","OK")</f>
        <v>OK</v>
      </c>
      <c r="U1371" t="str">
        <f t="shared" si="64"/>
        <v>Chennai</v>
      </c>
      <c r="V1371">
        <f t="shared" si="65"/>
        <v>0</v>
      </c>
    </row>
    <row r="1372" spans="1:22" ht="15" customHeight="1" x14ac:dyDescent="0.35">
      <c r="A1372" s="3" t="s">
        <v>1799</v>
      </c>
      <c r="B1372" s="4">
        <v>45560</v>
      </c>
      <c r="C1372" s="3" t="s">
        <v>494</v>
      </c>
      <c r="D1372" s="3" t="s">
        <v>454</v>
      </c>
      <c r="E1372" s="3" t="s">
        <v>177</v>
      </c>
      <c r="F1372" s="5">
        <v>7</v>
      </c>
      <c r="G1372" s="5">
        <v>6940</v>
      </c>
      <c r="H1372" s="5">
        <v>9.6</v>
      </c>
      <c r="I1372" s="5">
        <v>43916.32</v>
      </c>
      <c r="J1372" s="3" t="s">
        <v>26</v>
      </c>
      <c r="K1372" s="3" t="s">
        <v>51</v>
      </c>
      <c r="L1372" t="str">
        <f>IFERROR(VLOOKUP(D1372,Products!$A$2:$F$61,3,FALSE()),"")</f>
        <v>Sports</v>
      </c>
      <c r="M1372" t="str">
        <f>IFERROR(VLOOKUP(E1372,Sales_Reps!$A$2:$C$31,3,FALSE()),"")</f>
        <v>East</v>
      </c>
      <c r="N1372">
        <f>IFERROR(VLOOKUP(D1372,Products!$A$2:$F$61,4,FALSE()),"")</f>
        <v>2827</v>
      </c>
      <c r="O1372" t="str">
        <f>IFERROR(VLOOKUP(C1372,Customers!$A$2:$F$301,5,FALSE()),"")</f>
        <v>Retail</v>
      </c>
      <c r="P1372">
        <f>IFERROR(VLOOKUP(C1372,Customers!$A$2:$F$301,3,FALSE()),"")</f>
        <v>37</v>
      </c>
      <c r="Q1372">
        <f t="shared" si="63"/>
        <v>0.5926512968299712</v>
      </c>
      <c r="R1372">
        <f>IF(AND(COUNTIF($A$2:$A$2047,A1372)&gt;1,COUNTIF($A$2:A1372,A1372)=1),1,0)</f>
        <v>0</v>
      </c>
      <c r="S1372" t="b">
        <f>IFERROR(VLOOKUP(D1372,Products!$A$2:$F$61,6,FALSE()),"")</f>
        <v>1</v>
      </c>
      <c r="T1372" t="str">
        <f>IF(COUNTIF(Customers!$A$2:$A$301,C1372)=0,"Missing","OK")</f>
        <v>OK</v>
      </c>
      <c r="U1372" t="str">
        <f t="shared" si="64"/>
        <v>Mumbai</v>
      </c>
      <c r="V1372">
        <f t="shared" si="65"/>
        <v>0</v>
      </c>
    </row>
    <row r="1373" spans="1:22" ht="15" customHeight="1" x14ac:dyDescent="0.35">
      <c r="A1373" s="3" t="s">
        <v>1800</v>
      </c>
      <c r="B1373" s="4">
        <v>45395</v>
      </c>
      <c r="C1373" s="3" t="s">
        <v>844</v>
      </c>
      <c r="D1373" s="3" t="s">
        <v>441</v>
      </c>
      <c r="E1373" s="3" t="s">
        <v>224</v>
      </c>
      <c r="F1373" s="5">
        <v>2</v>
      </c>
      <c r="G1373" s="5">
        <v>1090</v>
      </c>
      <c r="H1373" s="5">
        <v>17</v>
      </c>
      <c r="I1373" s="5">
        <v>1809.4</v>
      </c>
      <c r="J1373" s="3" t="s">
        <v>26</v>
      </c>
      <c r="K1373" s="3" t="s">
        <v>51</v>
      </c>
      <c r="L1373" t="str">
        <f>IFERROR(VLOOKUP(D1373,Products!$A$2:$F$61,3,FALSE()),"")</f>
        <v>Home</v>
      </c>
      <c r="M1373" t="str">
        <f>IFERROR(VLOOKUP(E1373,Sales_Reps!$A$2:$C$31,3,FALSE()),"")</f>
        <v>East</v>
      </c>
      <c r="N1373">
        <f>IFERROR(VLOOKUP(D1373,Products!$A$2:$F$61,4,FALSE()),"")</f>
        <v>464</v>
      </c>
      <c r="O1373" t="str">
        <f>IFERROR(VLOOKUP(C1373,Customers!$A$2:$F$301,5,FALSE()),"")</f>
        <v>SMB</v>
      </c>
      <c r="P1373">
        <f>IFERROR(VLOOKUP(C1373,Customers!$A$2:$F$301,3,FALSE()),"")</f>
        <v>43</v>
      </c>
      <c r="Q1373">
        <f t="shared" si="63"/>
        <v>0.57431192660550456</v>
      </c>
      <c r="R1373">
        <f>IF(AND(COUNTIF($A$2:$A$2047,A1373)&gt;1,COUNTIF($A$2:A1373,A1373)=1),1,0)</f>
        <v>0</v>
      </c>
      <c r="S1373" t="b">
        <f>IFERROR(VLOOKUP(D1373,Products!$A$2:$F$61,6,FALSE()),"")</f>
        <v>1</v>
      </c>
      <c r="T1373" t="str">
        <f>IF(COUNTIF(Customers!$A$2:$A$301,C1373)=0,"Missing","OK")</f>
        <v>OK</v>
      </c>
      <c r="U1373" t="str">
        <f t="shared" si="64"/>
        <v>Mumbai</v>
      </c>
      <c r="V1373">
        <f t="shared" si="65"/>
        <v>0</v>
      </c>
    </row>
    <row r="1374" spans="1:22" ht="15" customHeight="1" x14ac:dyDescent="0.35">
      <c r="A1374" s="3" t="s">
        <v>1801</v>
      </c>
      <c r="B1374" s="4">
        <v>45486</v>
      </c>
      <c r="C1374" s="3" t="s">
        <v>724</v>
      </c>
      <c r="D1374" s="3" t="s">
        <v>306</v>
      </c>
      <c r="E1374" s="3" t="s">
        <v>67</v>
      </c>
      <c r="F1374" s="5">
        <v>4</v>
      </c>
      <c r="G1374" s="5">
        <v>2380</v>
      </c>
      <c r="H1374" s="5">
        <v>18.899999999999999</v>
      </c>
      <c r="I1374" s="5">
        <v>7720.72</v>
      </c>
      <c r="J1374" s="3" t="s">
        <v>32</v>
      </c>
      <c r="K1374" s="3" t="s">
        <v>27</v>
      </c>
      <c r="L1374" t="str">
        <f>IFERROR(VLOOKUP(D1374,Products!$A$2:$F$61,3,FALSE()),"")</f>
        <v>Grocery</v>
      </c>
      <c r="M1374" t="str">
        <f>IFERROR(VLOOKUP(E1374,Sales_Reps!$A$2:$C$31,3,FALSE()),"")</f>
        <v>West</v>
      </c>
      <c r="N1374">
        <f>IFERROR(VLOOKUP(D1374,Products!$A$2:$F$61,4,FALSE()),"")</f>
        <v>1182</v>
      </c>
      <c r="O1374" t="str">
        <f>IFERROR(VLOOKUP(C1374,Customers!$A$2:$F$301,5,FALSE()),"")</f>
        <v>Retail</v>
      </c>
      <c r="P1374">
        <f>IFERROR(VLOOKUP(C1374,Customers!$A$2:$F$301,3,FALSE()),"")</f>
        <v>31</v>
      </c>
      <c r="Q1374">
        <f t="shared" si="63"/>
        <v>0.50336134453781511</v>
      </c>
      <c r="R1374">
        <f>IF(AND(COUNTIF($A$2:$A$2047,A1374)&gt;1,COUNTIF($A$2:A1374,A1374)=1),1,0)</f>
        <v>0</v>
      </c>
      <c r="S1374" t="b">
        <f>IFERROR(VLOOKUP(D1374,Products!$A$2:$F$61,6,FALSE()),"")</f>
        <v>1</v>
      </c>
      <c r="T1374" t="str">
        <f>IF(COUNTIF(Customers!$A$2:$A$301,C1374)=0,"Missing","OK")</f>
        <v>OK</v>
      </c>
      <c r="U1374" t="str">
        <f t="shared" si="64"/>
        <v>Pune</v>
      </c>
      <c r="V1374">
        <f t="shared" si="65"/>
        <v>0</v>
      </c>
    </row>
    <row r="1375" spans="1:22" ht="15" customHeight="1" x14ac:dyDescent="0.35">
      <c r="A1375" s="3" t="s">
        <v>1802</v>
      </c>
      <c r="B1375" s="4">
        <v>45578</v>
      </c>
      <c r="C1375" s="3" t="s">
        <v>844</v>
      </c>
      <c r="D1375" s="3" t="s">
        <v>70</v>
      </c>
      <c r="E1375" s="3" t="s">
        <v>78</v>
      </c>
      <c r="F1375" s="5">
        <v>6</v>
      </c>
      <c r="G1375" s="5">
        <v>2270</v>
      </c>
      <c r="H1375" s="5">
        <v>20.9</v>
      </c>
      <c r="I1375" s="5">
        <v>10773.42</v>
      </c>
      <c r="J1375" s="3" t="s">
        <v>32</v>
      </c>
      <c r="K1375" s="3" t="s">
        <v>51</v>
      </c>
      <c r="L1375" t="str">
        <f>IFERROR(VLOOKUP(D1375,Products!$A$2:$F$61,3,FALSE()),"")</f>
        <v>Grocery</v>
      </c>
      <c r="M1375" t="str">
        <f>IFERROR(VLOOKUP(E1375,Sales_Reps!$A$2:$C$31,3,FALSE()),"")</f>
        <v>North</v>
      </c>
      <c r="N1375">
        <f>IFERROR(VLOOKUP(D1375,Products!$A$2:$F$61,4,FALSE()),"")</f>
        <v>1203</v>
      </c>
      <c r="O1375" t="str">
        <f>IFERROR(VLOOKUP(C1375,Customers!$A$2:$F$301,5,FALSE()),"")</f>
        <v>SMB</v>
      </c>
      <c r="P1375">
        <f>IFERROR(VLOOKUP(C1375,Customers!$A$2:$F$301,3,FALSE()),"")</f>
        <v>43</v>
      </c>
      <c r="Q1375">
        <f t="shared" si="63"/>
        <v>0.47004405286343615</v>
      </c>
      <c r="R1375">
        <f>IF(AND(COUNTIF($A$2:$A$2047,A1375)&gt;1,COUNTIF($A$2:A1375,A1375)=1),1,0)</f>
        <v>0</v>
      </c>
      <c r="S1375" t="b">
        <f>IFERROR(VLOOKUP(D1375,Products!$A$2:$F$61,6,FALSE()),"")</f>
        <v>1</v>
      </c>
      <c r="T1375" t="str">
        <f>IF(COUNTIF(Customers!$A$2:$A$301,C1375)=0,"Missing","OK")</f>
        <v>OK</v>
      </c>
      <c r="U1375" t="str">
        <f t="shared" si="64"/>
        <v>Mumbai</v>
      </c>
      <c r="V1375">
        <f t="shared" si="65"/>
        <v>0</v>
      </c>
    </row>
    <row r="1376" spans="1:22" ht="15" customHeight="1" x14ac:dyDescent="0.35">
      <c r="A1376" s="3" t="s">
        <v>1803</v>
      </c>
      <c r="B1376" s="4">
        <v>45581</v>
      </c>
      <c r="C1376" s="3" t="s">
        <v>755</v>
      </c>
      <c r="D1376" s="3" t="s">
        <v>234</v>
      </c>
      <c r="E1376" s="3" t="s">
        <v>60</v>
      </c>
      <c r="F1376" s="5">
        <v>10</v>
      </c>
      <c r="G1376" s="5">
        <v>2030</v>
      </c>
      <c r="H1376" s="5">
        <v>25</v>
      </c>
      <c r="I1376" s="5">
        <v>15225</v>
      </c>
      <c r="J1376" s="3" t="s">
        <v>26</v>
      </c>
      <c r="K1376" s="3" t="s">
        <v>27</v>
      </c>
      <c r="L1376" t="str">
        <f>IFERROR(VLOOKUP(D1376,Products!$A$2:$F$61,3,FALSE()),"")</f>
        <v>Home</v>
      </c>
      <c r="M1376" t="str">
        <f>IFERROR(VLOOKUP(E1376,Sales_Reps!$A$2:$C$31,3,FALSE()),"")</f>
        <v>East</v>
      </c>
      <c r="N1376">
        <f>IFERROR(VLOOKUP(D1376,Products!$A$2:$F$61,4,FALSE()),"")</f>
        <v>1143</v>
      </c>
      <c r="O1376" t="str">
        <f>IFERROR(VLOOKUP(C1376,Customers!$A$2:$F$301,5,FALSE()),"")</f>
        <v>Retail</v>
      </c>
      <c r="P1376">
        <f>IFERROR(VLOOKUP(C1376,Customers!$A$2:$F$301,3,FALSE()),"")</f>
        <v>36</v>
      </c>
      <c r="Q1376">
        <f t="shared" si="63"/>
        <v>0.43694581280788175</v>
      </c>
      <c r="R1376">
        <f>IF(AND(COUNTIF($A$2:$A$2047,A1376)&gt;1,COUNTIF($A$2:A1376,A1376)=1),1,0)</f>
        <v>0</v>
      </c>
      <c r="S1376" t="b">
        <f>IFERROR(VLOOKUP(D1376,Products!$A$2:$F$61,6,FALSE()),"")</f>
        <v>1</v>
      </c>
      <c r="T1376" t="str">
        <f>IF(COUNTIF(Customers!$A$2:$A$301,C1376)=0,"Missing","OK")</f>
        <v>OK</v>
      </c>
      <c r="U1376" t="str">
        <f t="shared" si="64"/>
        <v>Pune</v>
      </c>
      <c r="V1376">
        <f t="shared" si="65"/>
        <v>0</v>
      </c>
    </row>
    <row r="1377" spans="1:22" ht="15" customHeight="1" x14ac:dyDescent="0.35">
      <c r="A1377" s="3" t="s">
        <v>1804</v>
      </c>
      <c r="B1377" s="4">
        <v>45508</v>
      </c>
      <c r="C1377" s="3" t="s">
        <v>329</v>
      </c>
      <c r="D1377" s="3" t="s">
        <v>441</v>
      </c>
      <c r="E1377" s="3" t="s">
        <v>282</v>
      </c>
      <c r="F1377" s="5">
        <v>3</v>
      </c>
      <c r="G1377" s="5">
        <v>1090</v>
      </c>
      <c r="H1377" s="5">
        <v>12.1</v>
      </c>
      <c r="I1377" s="5">
        <v>2874.33</v>
      </c>
      <c r="J1377" s="3" t="s">
        <v>26</v>
      </c>
      <c r="K1377" s="3" t="s">
        <v>27</v>
      </c>
      <c r="L1377" t="str">
        <f>IFERROR(VLOOKUP(D1377,Products!$A$2:$F$61,3,FALSE()),"")</f>
        <v>Home</v>
      </c>
      <c r="M1377" t="str">
        <f>IFERROR(VLOOKUP(E1377,Sales_Reps!$A$2:$C$31,3,FALSE()),"")</f>
        <v>West</v>
      </c>
      <c r="N1377">
        <f>IFERROR(VLOOKUP(D1377,Products!$A$2:$F$61,4,FALSE()),"")</f>
        <v>464</v>
      </c>
      <c r="O1377" t="str">
        <f>IFERROR(VLOOKUP(C1377,Customers!$A$2:$F$301,5,FALSE()),"")</f>
        <v>SMB</v>
      </c>
      <c r="P1377">
        <f>IFERROR(VLOOKUP(C1377,Customers!$A$2:$F$301,3,FALSE()),"")</f>
        <v>54</v>
      </c>
      <c r="Q1377">
        <f t="shared" si="63"/>
        <v>0.57431192660550456</v>
      </c>
      <c r="R1377">
        <f>IF(AND(COUNTIF($A$2:$A$2047,A1377)&gt;1,COUNTIF($A$2:A1377,A1377)=1),1,0)</f>
        <v>0</v>
      </c>
      <c r="S1377" t="b">
        <f>IFERROR(VLOOKUP(D1377,Products!$A$2:$F$61,6,FALSE()),"")</f>
        <v>1</v>
      </c>
      <c r="T1377" t="str">
        <f>IF(COUNTIF(Customers!$A$2:$A$301,C1377)=0,"Missing","OK")</f>
        <v>OK</v>
      </c>
      <c r="U1377" t="str">
        <f t="shared" si="64"/>
        <v>Pune</v>
      </c>
      <c r="V1377">
        <f t="shared" si="65"/>
        <v>0</v>
      </c>
    </row>
    <row r="1378" spans="1:22" ht="15" customHeight="1" x14ac:dyDescent="0.35">
      <c r="A1378" s="3" t="s">
        <v>1805</v>
      </c>
      <c r="B1378" s="4">
        <v>45303</v>
      </c>
      <c r="C1378" s="3" t="s">
        <v>844</v>
      </c>
      <c r="D1378" s="3" t="s">
        <v>294</v>
      </c>
      <c r="E1378" s="3" t="s">
        <v>177</v>
      </c>
      <c r="F1378" s="5">
        <v>3</v>
      </c>
      <c r="G1378" s="5">
        <v>2510</v>
      </c>
      <c r="H1378" s="5">
        <v>28.7</v>
      </c>
      <c r="I1378" s="5">
        <v>5368.89</v>
      </c>
      <c r="J1378" s="3" t="s">
        <v>26</v>
      </c>
      <c r="K1378" s="3" t="s">
        <v>51</v>
      </c>
      <c r="L1378" t="str">
        <f>IFERROR(VLOOKUP(D1378,Products!$A$2:$F$61,3,FALSE()),"")</f>
        <v>Apparel</v>
      </c>
      <c r="M1378" t="str">
        <f>IFERROR(VLOOKUP(E1378,Sales_Reps!$A$2:$C$31,3,FALSE()),"")</f>
        <v>East</v>
      </c>
      <c r="N1378">
        <f>IFERROR(VLOOKUP(D1378,Products!$A$2:$F$61,4,FALSE()),"")</f>
        <v>1075</v>
      </c>
      <c r="O1378" t="str">
        <f>IFERROR(VLOOKUP(C1378,Customers!$A$2:$F$301,5,FALSE()),"")</f>
        <v>SMB</v>
      </c>
      <c r="P1378">
        <f>IFERROR(VLOOKUP(C1378,Customers!$A$2:$F$301,3,FALSE()),"")</f>
        <v>43</v>
      </c>
      <c r="Q1378">
        <f t="shared" si="63"/>
        <v>0.57171314741035861</v>
      </c>
      <c r="R1378">
        <f>IF(AND(COUNTIF($A$2:$A$2047,A1378)&gt;1,COUNTIF($A$2:A1378,A1378)=1),1,0)</f>
        <v>0</v>
      </c>
      <c r="S1378" t="b">
        <f>IFERROR(VLOOKUP(D1378,Products!$A$2:$F$61,6,FALSE()),"")</f>
        <v>0</v>
      </c>
      <c r="T1378" t="str">
        <f>IF(COUNTIF(Customers!$A$2:$A$301,C1378)=0,"Missing","OK")</f>
        <v>OK</v>
      </c>
      <c r="U1378" t="str">
        <f t="shared" si="64"/>
        <v>Mumbai</v>
      </c>
      <c r="V1378">
        <f t="shared" si="65"/>
        <v>0</v>
      </c>
    </row>
    <row r="1379" spans="1:22" ht="15" customHeight="1" x14ac:dyDescent="0.35">
      <c r="A1379" s="3" t="s">
        <v>1806</v>
      </c>
      <c r="B1379" s="4">
        <v>45412</v>
      </c>
      <c r="C1379" s="3" t="s">
        <v>1562</v>
      </c>
      <c r="D1379" s="3" t="s">
        <v>70</v>
      </c>
      <c r="E1379" s="3" t="s">
        <v>140</v>
      </c>
      <c r="F1379" s="5">
        <v>9</v>
      </c>
      <c r="G1379" s="5">
        <v>2270</v>
      </c>
      <c r="H1379" s="5">
        <v>25.4</v>
      </c>
      <c r="I1379" s="5">
        <v>15240.78</v>
      </c>
      <c r="J1379" s="3" t="s">
        <v>32</v>
      </c>
      <c r="K1379" s="3" t="s">
        <v>56</v>
      </c>
      <c r="L1379" t="str">
        <f>IFERROR(VLOOKUP(D1379,Products!$A$2:$F$61,3,FALSE()),"")</f>
        <v>Grocery</v>
      </c>
      <c r="M1379" t="str">
        <f>IFERROR(VLOOKUP(E1379,Sales_Reps!$A$2:$C$31,3,FALSE()),"")</f>
        <v>West</v>
      </c>
      <c r="N1379">
        <f>IFERROR(VLOOKUP(D1379,Products!$A$2:$F$61,4,FALSE()),"")</f>
        <v>1203</v>
      </c>
      <c r="O1379" t="str">
        <f>IFERROR(VLOOKUP(C1379,Customers!$A$2:$F$301,5,FALSE()),"")</f>
        <v>Retail</v>
      </c>
      <c r="P1379">
        <f>IFERROR(VLOOKUP(C1379,Customers!$A$2:$F$301,3,FALSE()),"")</f>
        <v>53</v>
      </c>
      <c r="Q1379">
        <f t="shared" si="63"/>
        <v>0.47004405286343615</v>
      </c>
      <c r="R1379">
        <f>IF(AND(COUNTIF($A$2:$A$2047,A1379)&gt;1,COUNTIF($A$2:A1379,A1379)=1),1,0)</f>
        <v>0</v>
      </c>
      <c r="S1379" t="b">
        <f>IFERROR(VLOOKUP(D1379,Products!$A$2:$F$61,6,FALSE()),"")</f>
        <v>1</v>
      </c>
      <c r="T1379" t="str">
        <f>IF(COUNTIF(Customers!$A$2:$A$301,C1379)=0,"Missing","OK")</f>
        <v>OK</v>
      </c>
      <c r="U1379" t="str">
        <f t="shared" si="64"/>
        <v>Bengaluru</v>
      </c>
      <c r="V1379">
        <f t="shared" si="65"/>
        <v>15240.78</v>
      </c>
    </row>
    <row r="1380" spans="1:22" ht="15" customHeight="1" x14ac:dyDescent="0.35">
      <c r="A1380" s="3" t="s">
        <v>1807</v>
      </c>
      <c r="B1380" s="4">
        <v>45400</v>
      </c>
      <c r="C1380" s="3" t="s">
        <v>40</v>
      </c>
      <c r="D1380" s="3" t="s">
        <v>347</v>
      </c>
      <c r="E1380" s="3" t="s">
        <v>168</v>
      </c>
      <c r="F1380" s="5">
        <v>9</v>
      </c>
      <c r="G1380" s="5">
        <v>3970</v>
      </c>
      <c r="H1380" s="5">
        <v>10.1</v>
      </c>
      <c r="I1380" s="5">
        <v>32121.27</v>
      </c>
      <c r="J1380" s="3" t="s">
        <v>79</v>
      </c>
      <c r="K1380" s="3" t="s">
        <v>38</v>
      </c>
      <c r="L1380" t="str">
        <f>IFERROR(VLOOKUP(D1380,Products!$A$2:$F$61,3,FALSE()),"")</f>
        <v>Electronics</v>
      </c>
      <c r="M1380" t="str">
        <f>IFERROR(VLOOKUP(E1380,Sales_Reps!$A$2:$C$31,3,FALSE()),"")</f>
        <v>West</v>
      </c>
      <c r="N1380">
        <f>IFERROR(VLOOKUP(D1380,Products!$A$2:$F$61,4,FALSE()),"")</f>
        <v>2865</v>
      </c>
      <c r="O1380" t="str">
        <f>IFERROR(VLOOKUP(C1380,Customers!$A$2:$F$301,5,FALSE()),"")</f>
        <v>Corporate</v>
      </c>
      <c r="P1380">
        <f>IFERROR(VLOOKUP(C1380,Customers!$A$2:$F$301,3,FALSE()),"")</f>
        <v>46</v>
      </c>
      <c r="Q1380">
        <f t="shared" si="63"/>
        <v>0.27833753148614609</v>
      </c>
      <c r="R1380">
        <f>IF(AND(COUNTIF($A$2:$A$2047,A1380)&gt;1,COUNTIF($A$2:A1380,A1380)=1),1,0)</f>
        <v>0</v>
      </c>
      <c r="S1380" t="b">
        <f>IFERROR(VLOOKUP(D1380,Products!$A$2:$F$61,6,FALSE()),"")</f>
        <v>1</v>
      </c>
      <c r="T1380" t="str">
        <f>IF(COUNTIF(Customers!$A$2:$A$301,C1380)=0,"Missing","OK")</f>
        <v>OK</v>
      </c>
      <c r="U1380" t="str">
        <f t="shared" si="64"/>
        <v>Delhi</v>
      </c>
      <c r="V1380">
        <f t="shared" si="65"/>
        <v>0</v>
      </c>
    </row>
    <row r="1381" spans="1:22" ht="15" customHeight="1" x14ac:dyDescent="0.35">
      <c r="A1381" s="3" t="s">
        <v>1808</v>
      </c>
      <c r="B1381" s="4">
        <v>45570</v>
      </c>
      <c r="C1381" s="3" t="s">
        <v>556</v>
      </c>
      <c r="D1381" s="3" t="s">
        <v>277</v>
      </c>
      <c r="E1381" s="3" t="s">
        <v>37</v>
      </c>
      <c r="F1381" s="5">
        <v>6</v>
      </c>
      <c r="G1381" s="5">
        <v>2210</v>
      </c>
      <c r="H1381" s="5">
        <v>7.4</v>
      </c>
      <c r="I1381" s="5">
        <v>12278.76</v>
      </c>
      <c r="J1381" s="3" t="s">
        <v>26</v>
      </c>
      <c r="K1381" s="3" t="s">
        <v>51</v>
      </c>
      <c r="L1381" t="str">
        <f>IFERROR(VLOOKUP(D1381,Products!$A$2:$F$61,3,FALSE()),"")</f>
        <v>Grocery</v>
      </c>
      <c r="M1381" t="str">
        <f>IFERROR(VLOOKUP(E1381,Sales_Reps!$A$2:$C$31,3,FALSE()),"")</f>
        <v>South</v>
      </c>
      <c r="N1381">
        <f>IFERROR(VLOOKUP(D1381,Products!$A$2:$F$61,4,FALSE()),"")</f>
        <v>1010</v>
      </c>
      <c r="O1381" t="str">
        <f>IFERROR(VLOOKUP(C1381,Customers!$A$2:$F$301,5,FALSE()),"")</f>
        <v>SMB</v>
      </c>
      <c r="P1381">
        <f>IFERROR(VLOOKUP(C1381,Customers!$A$2:$F$301,3,FALSE()),"")</f>
        <v>65</v>
      </c>
      <c r="Q1381">
        <f t="shared" si="63"/>
        <v>0.54298642533936647</v>
      </c>
      <c r="R1381">
        <f>IF(AND(COUNTIF($A$2:$A$2047,A1381)&gt;1,COUNTIF($A$2:A1381,A1381)=1),1,0)</f>
        <v>0</v>
      </c>
      <c r="S1381" t="b">
        <f>IFERROR(VLOOKUP(D1381,Products!$A$2:$F$61,6,FALSE()),"")</f>
        <v>1</v>
      </c>
      <c r="T1381" t="str">
        <f>IF(COUNTIF(Customers!$A$2:$A$301,C1381)=0,"Missing","OK")</f>
        <v>OK</v>
      </c>
      <c r="U1381" t="str">
        <f t="shared" si="64"/>
        <v>Mumbai</v>
      </c>
      <c r="V1381">
        <f t="shared" si="65"/>
        <v>0</v>
      </c>
    </row>
    <row r="1382" spans="1:22" ht="15" customHeight="1" x14ac:dyDescent="0.35">
      <c r="A1382" s="3" t="s">
        <v>1809</v>
      </c>
      <c r="B1382" s="4">
        <v>45360</v>
      </c>
      <c r="C1382" s="3" t="s">
        <v>214</v>
      </c>
      <c r="D1382" s="3" t="s">
        <v>198</v>
      </c>
      <c r="E1382" s="3" t="s">
        <v>177</v>
      </c>
      <c r="F1382" s="5">
        <v>7</v>
      </c>
      <c r="G1382" s="5">
        <v>1540</v>
      </c>
      <c r="H1382" s="5">
        <v>20.6</v>
      </c>
      <c r="I1382" s="5">
        <v>8559.32</v>
      </c>
      <c r="J1382" s="3" t="s">
        <v>26</v>
      </c>
      <c r="K1382" s="3" t="s">
        <v>27</v>
      </c>
      <c r="L1382" t="str">
        <f>IFERROR(VLOOKUP(D1382,Products!$A$2:$F$61,3,FALSE()),"")</f>
        <v>Beauty</v>
      </c>
      <c r="M1382" t="str">
        <f>IFERROR(VLOOKUP(E1382,Sales_Reps!$A$2:$C$31,3,FALSE()),"")</f>
        <v>East</v>
      </c>
      <c r="N1382">
        <f>IFERROR(VLOOKUP(D1382,Products!$A$2:$F$61,4,FALSE()),"")</f>
        <v>647</v>
      </c>
      <c r="O1382" t="str">
        <f>IFERROR(VLOOKUP(C1382,Customers!$A$2:$F$301,5,FALSE()),"")</f>
        <v>Retail</v>
      </c>
      <c r="P1382">
        <f>IFERROR(VLOOKUP(C1382,Customers!$A$2:$F$301,3,FALSE()),"")</f>
        <v>44</v>
      </c>
      <c r="Q1382">
        <f t="shared" si="63"/>
        <v>0.57987012987012987</v>
      </c>
      <c r="R1382">
        <f>IF(AND(COUNTIF($A$2:$A$2047,A1382)&gt;1,COUNTIF($A$2:A1382,A1382)=1),1,0)</f>
        <v>0</v>
      </c>
      <c r="S1382" t="b">
        <f>IFERROR(VLOOKUP(D1382,Products!$A$2:$F$61,6,FALSE()),"")</f>
        <v>0</v>
      </c>
      <c r="T1382" t="str">
        <f>IF(COUNTIF(Customers!$A$2:$A$301,C1382)=0,"Missing","OK")</f>
        <v>OK</v>
      </c>
      <c r="U1382" t="str">
        <f t="shared" si="64"/>
        <v>Pune</v>
      </c>
      <c r="V1382">
        <f t="shared" si="65"/>
        <v>0</v>
      </c>
    </row>
    <row r="1383" spans="1:22" ht="15" customHeight="1" x14ac:dyDescent="0.35">
      <c r="A1383" s="3" t="s">
        <v>1810</v>
      </c>
      <c r="B1383" s="4">
        <v>45334</v>
      </c>
      <c r="C1383" s="3" t="s">
        <v>736</v>
      </c>
      <c r="D1383" s="3" t="s">
        <v>209</v>
      </c>
      <c r="E1383" s="3" t="s">
        <v>282</v>
      </c>
      <c r="F1383" s="5">
        <v>9</v>
      </c>
      <c r="G1383" s="5">
        <v>4610</v>
      </c>
      <c r="H1383" s="5">
        <v>2.1</v>
      </c>
      <c r="I1383" s="5">
        <v>40618.71</v>
      </c>
      <c r="J1383" s="3" t="s">
        <v>26</v>
      </c>
      <c r="K1383" s="3" t="s">
        <v>38</v>
      </c>
      <c r="L1383" t="str">
        <f>IFERROR(VLOOKUP(D1383,Products!$A$2:$F$61,3,FALSE()),"")</f>
        <v>Home</v>
      </c>
      <c r="M1383" t="str">
        <f>IFERROR(VLOOKUP(E1383,Sales_Reps!$A$2:$C$31,3,FALSE()),"")</f>
        <v>West</v>
      </c>
      <c r="N1383">
        <f>IFERROR(VLOOKUP(D1383,Products!$A$2:$F$61,4,FALSE()),"")</f>
        <v>1850</v>
      </c>
      <c r="O1383" t="str">
        <f>IFERROR(VLOOKUP(C1383,Customers!$A$2:$F$301,5,FALSE()),"")</f>
        <v>Retail</v>
      </c>
      <c r="P1383">
        <f>IFERROR(VLOOKUP(C1383,Customers!$A$2:$F$301,3,FALSE()),"")</f>
        <v>63</v>
      </c>
      <c r="Q1383">
        <f t="shared" si="63"/>
        <v>0.59869848156182215</v>
      </c>
      <c r="R1383">
        <f>IF(AND(COUNTIF($A$2:$A$2047,A1383)&gt;1,COUNTIF($A$2:A1383,A1383)=1),1,0)</f>
        <v>0</v>
      </c>
      <c r="S1383" t="b">
        <f>IFERROR(VLOOKUP(D1383,Products!$A$2:$F$61,6,FALSE()),"")</f>
        <v>1</v>
      </c>
      <c r="T1383" t="str">
        <f>IF(COUNTIF(Customers!$A$2:$A$301,C1383)=0,"Missing","OK")</f>
        <v>OK</v>
      </c>
      <c r="U1383" t="str">
        <f t="shared" si="64"/>
        <v>Delhi</v>
      </c>
      <c r="V1383">
        <f t="shared" si="65"/>
        <v>0</v>
      </c>
    </row>
    <row r="1384" spans="1:22" ht="15" customHeight="1" x14ac:dyDescent="0.35">
      <c r="A1384" s="3" t="s">
        <v>1811</v>
      </c>
      <c r="B1384" s="4">
        <v>45527</v>
      </c>
      <c r="C1384" s="3" t="s">
        <v>668</v>
      </c>
      <c r="D1384" s="3" t="s">
        <v>347</v>
      </c>
      <c r="E1384" s="3" t="s">
        <v>236</v>
      </c>
      <c r="F1384" s="5">
        <v>10</v>
      </c>
      <c r="G1384" s="5">
        <v>3970</v>
      </c>
      <c r="H1384" s="5">
        <v>13.3</v>
      </c>
      <c r="I1384" s="5">
        <v>34419.9</v>
      </c>
      <c r="J1384" s="3" t="s">
        <v>32</v>
      </c>
      <c r="K1384" s="3" t="s">
        <v>51</v>
      </c>
      <c r="L1384" t="str">
        <f>IFERROR(VLOOKUP(D1384,Products!$A$2:$F$61,3,FALSE()),"")</f>
        <v>Electronics</v>
      </c>
      <c r="M1384" t="str">
        <f>IFERROR(VLOOKUP(E1384,Sales_Reps!$A$2:$C$31,3,FALSE()),"")</f>
        <v>North</v>
      </c>
      <c r="N1384">
        <f>IFERROR(VLOOKUP(D1384,Products!$A$2:$F$61,4,FALSE()),"")</f>
        <v>2865</v>
      </c>
      <c r="O1384" t="str">
        <f>IFERROR(VLOOKUP(C1384,Customers!$A$2:$F$301,5,FALSE()),"")</f>
        <v>Retail</v>
      </c>
      <c r="P1384">
        <f>IFERROR(VLOOKUP(C1384,Customers!$A$2:$F$301,3,FALSE()),"")</f>
        <v>56</v>
      </c>
      <c r="Q1384">
        <f t="shared" si="63"/>
        <v>0.27833753148614609</v>
      </c>
      <c r="R1384">
        <f>IF(AND(COUNTIF($A$2:$A$2047,A1384)&gt;1,COUNTIF($A$2:A1384,A1384)=1),1,0)</f>
        <v>0</v>
      </c>
      <c r="S1384" t="b">
        <f>IFERROR(VLOOKUP(D1384,Products!$A$2:$F$61,6,FALSE()),"")</f>
        <v>1</v>
      </c>
      <c r="T1384" t="str">
        <f>IF(COUNTIF(Customers!$A$2:$A$301,C1384)=0,"Missing","OK")</f>
        <v>OK</v>
      </c>
      <c r="U1384" t="str">
        <f t="shared" si="64"/>
        <v>Mumbai</v>
      </c>
      <c r="V1384">
        <f t="shared" si="65"/>
        <v>0</v>
      </c>
    </row>
    <row r="1385" spans="1:22" ht="15" customHeight="1" x14ac:dyDescent="0.35">
      <c r="A1385" s="3" t="s">
        <v>1812</v>
      </c>
      <c r="B1385" s="4">
        <v>45534</v>
      </c>
      <c r="C1385" s="3" t="s">
        <v>623</v>
      </c>
      <c r="D1385" s="3" t="s">
        <v>218</v>
      </c>
      <c r="E1385" s="3" t="s">
        <v>46</v>
      </c>
      <c r="F1385" s="5">
        <v>8</v>
      </c>
      <c r="G1385" s="5">
        <v>2660</v>
      </c>
      <c r="H1385" s="5">
        <v>16.8</v>
      </c>
      <c r="I1385" s="5">
        <v>17704.96</v>
      </c>
      <c r="J1385" s="3" t="s">
        <v>26</v>
      </c>
      <c r="K1385" s="3" t="s">
        <v>38</v>
      </c>
      <c r="L1385" t="str">
        <f>IFERROR(VLOOKUP(D1385,Products!$A$2:$F$61,3,FALSE()),"")</f>
        <v>Electronics</v>
      </c>
      <c r="M1385" t="str">
        <f>IFERROR(VLOOKUP(E1385,Sales_Reps!$A$2:$C$31,3,FALSE()),"")</f>
        <v>North</v>
      </c>
      <c r="N1385">
        <f>IFERROR(VLOOKUP(D1385,Products!$A$2:$F$61,4,FALSE()),"")</f>
        <v>1259</v>
      </c>
      <c r="O1385" t="str">
        <f>IFERROR(VLOOKUP(C1385,Customers!$A$2:$F$301,5,FALSE()),"")</f>
        <v>Retail</v>
      </c>
      <c r="P1385">
        <f>IFERROR(VLOOKUP(C1385,Customers!$A$2:$F$301,3,FALSE()),"")</f>
        <v>41</v>
      </c>
      <c r="Q1385">
        <f t="shared" si="63"/>
        <v>0.52669172932330832</v>
      </c>
      <c r="R1385">
        <f>IF(AND(COUNTIF($A$2:$A$2047,A1385)&gt;1,COUNTIF($A$2:A1385,A1385)=1),1,0)</f>
        <v>0</v>
      </c>
      <c r="S1385" t="b">
        <f>IFERROR(VLOOKUP(D1385,Products!$A$2:$F$61,6,FALSE()),"")</f>
        <v>0</v>
      </c>
      <c r="T1385" t="str">
        <f>IF(COUNTIF(Customers!$A$2:$A$301,C1385)=0,"Missing","OK")</f>
        <v>OK</v>
      </c>
      <c r="U1385" t="str">
        <f t="shared" si="64"/>
        <v>Delhi</v>
      </c>
      <c r="V1385">
        <f t="shared" si="65"/>
        <v>0</v>
      </c>
    </row>
    <row r="1386" spans="1:22" ht="15" customHeight="1" x14ac:dyDescent="0.35">
      <c r="A1386" s="3" t="s">
        <v>1813</v>
      </c>
      <c r="B1386" s="4">
        <v>45329</v>
      </c>
      <c r="C1386" s="3" t="s">
        <v>1814</v>
      </c>
      <c r="D1386" s="3" t="s">
        <v>96</v>
      </c>
      <c r="E1386" s="3" t="s">
        <v>97</v>
      </c>
      <c r="F1386" s="5">
        <v>6</v>
      </c>
      <c r="G1386" s="5">
        <v>3450</v>
      </c>
      <c r="H1386" s="5">
        <v>23.4</v>
      </c>
      <c r="I1386" s="5">
        <v>15856.2</v>
      </c>
      <c r="J1386" s="3" t="s">
        <v>26</v>
      </c>
      <c r="K1386" s="3" t="s">
        <v>33</v>
      </c>
      <c r="L1386" t="str">
        <f>IFERROR(VLOOKUP(D1386,Products!$A$2:$F$61,3,FALSE()),"")</f>
        <v>Beauty</v>
      </c>
      <c r="M1386" t="str">
        <f>IFERROR(VLOOKUP(E1386,Sales_Reps!$A$2:$C$31,3,FALSE()),"")</f>
        <v>East</v>
      </c>
      <c r="N1386">
        <f>IFERROR(VLOOKUP(D1386,Products!$A$2:$F$61,4,FALSE()),"")</f>
        <v>2420</v>
      </c>
      <c r="O1386" t="str">
        <f>IFERROR(VLOOKUP(C1386,Customers!$A$2:$F$301,5,FALSE()),"")</f>
        <v>Corporate</v>
      </c>
      <c r="P1386">
        <f>IFERROR(VLOOKUP(C1386,Customers!$A$2:$F$301,3,FALSE()),"")</f>
        <v>54</v>
      </c>
      <c r="Q1386">
        <f t="shared" si="63"/>
        <v>0.29855072463768118</v>
      </c>
      <c r="R1386">
        <f>IF(AND(COUNTIF($A$2:$A$2047,A1386)&gt;1,COUNTIF($A$2:A1386,A1386)=1),1,0)</f>
        <v>0</v>
      </c>
      <c r="S1386" t="b">
        <f>IFERROR(VLOOKUP(D1386,Products!$A$2:$F$61,6,FALSE()),"")</f>
        <v>1</v>
      </c>
      <c r="T1386" t="str">
        <f>IF(COUNTIF(Customers!$A$2:$A$301,C1386)=0,"Missing","OK")</f>
        <v>OK</v>
      </c>
      <c r="U1386" t="str">
        <f t="shared" si="64"/>
        <v>Chennai</v>
      </c>
      <c r="V1386">
        <f t="shared" si="65"/>
        <v>0</v>
      </c>
    </row>
    <row r="1387" spans="1:22" ht="15" customHeight="1" x14ac:dyDescent="0.35">
      <c r="A1387" s="3" t="s">
        <v>1815</v>
      </c>
      <c r="B1387" s="4">
        <v>45621</v>
      </c>
      <c r="C1387" s="3" t="s">
        <v>534</v>
      </c>
      <c r="D1387" s="3" t="s">
        <v>36</v>
      </c>
      <c r="E1387" s="3" t="s">
        <v>25</v>
      </c>
      <c r="F1387" s="5">
        <v>10</v>
      </c>
      <c r="G1387" s="5">
        <v>470</v>
      </c>
      <c r="H1387" s="5">
        <v>21.2</v>
      </c>
      <c r="I1387" s="5">
        <v>3703.6</v>
      </c>
      <c r="J1387" s="3" t="s">
        <v>26</v>
      </c>
      <c r="K1387" s="3" t="s">
        <v>38</v>
      </c>
      <c r="L1387" t="str">
        <f>IFERROR(VLOOKUP(D1387,Products!$A$2:$F$61,3,FALSE()),"")</f>
        <v>Sports</v>
      </c>
      <c r="M1387" t="str">
        <f>IFERROR(VLOOKUP(E1387,Sales_Reps!$A$2:$C$31,3,FALSE()),"")</f>
        <v>North</v>
      </c>
      <c r="N1387">
        <f>IFERROR(VLOOKUP(D1387,Products!$A$2:$F$61,4,FALSE()),"")</f>
        <v>302</v>
      </c>
      <c r="O1387" t="str">
        <f>IFERROR(VLOOKUP(C1387,Customers!$A$2:$F$301,5,FALSE()),"")</f>
        <v>SMB</v>
      </c>
      <c r="P1387">
        <f>IFERROR(VLOOKUP(C1387,Customers!$A$2:$F$301,3,FALSE()),"")</f>
        <v>48</v>
      </c>
      <c r="Q1387">
        <f t="shared" si="63"/>
        <v>0.35744680851063831</v>
      </c>
      <c r="R1387">
        <f>IF(AND(COUNTIF($A$2:$A$2047,A1387)&gt;1,COUNTIF($A$2:A1387,A1387)=1),1,0)</f>
        <v>0</v>
      </c>
      <c r="S1387" t="b">
        <f>IFERROR(VLOOKUP(D1387,Products!$A$2:$F$61,6,FALSE()),"")</f>
        <v>0</v>
      </c>
      <c r="T1387" t="str">
        <f>IF(COUNTIF(Customers!$A$2:$A$301,C1387)=0,"Missing","OK")</f>
        <v>OK</v>
      </c>
      <c r="U1387" t="str">
        <f t="shared" si="64"/>
        <v>Delhi</v>
      </c>
      <c r="V1387">
        <f t="shared" si="65"/>
        <v>0</v>
      </c>
    </row>
    <row r="1388" spans="1:22" ht="15" customHeight="1" x14ac:dyDescent="0.35">
      <c r="A1388" s="3" t="s">
        <v>415</v>
      </c>
      <c r="B1388" s="4">
        <v>45334</v>
      </c>
      <c r="C1388" s="3" t="s">
        <v>352</v>
      </c>
      <c r="D1388" s="3" t="s">
        <v>400</v>
      </c>
      <c r="E1388" s="3" t="s">
        <v>224</v>
      </c>
      <c r="F1388" s="5">
        <v>7</v>
      </c>
      <c r="G1388" s="5">
        <v>3780</v>
      </c>
      <c r="H1388" s="5">
        <v>10.1</v>
      </c>
      <c r="I1388" s="5">
        <v>23787.54</v>
      </c>
      <c r="J1388" s="3" t="s">
        <v>26</v>
      </c>
      <c r="K1388" s="3" t="s">
        <v>27</v>
      </c>
      <c r="L1388" t="str">
        <f>IFERROR(VLOOKUP(D1388,Products!$A$2:$F$61,3,FALSE()),"")</f>
        <v>Sports</v>
      </c>
      <c r="M1388" t="str">
        <f>IFERROR(VLOOKUP(E1388,Sales_Reps!$A$2:$C$31,3,FALSE()),"")</f>
        <v>East</v>
      </c>
      <c r="N1388">
        <f>IFERROR(VLOOKUP(D1388,Products!$A$2:$F$61,4,FALSE()),"")</f>
        <v>1860</v>
      </c>
      <c r="O1388" t="str">
        <f>IFERROR(VLOOKUP(C1388,Customers!$A$2:$F$301,5,FALSE()),"")</f>
        <v>Retail</v>
      </c>
      <c r="P1388">
        <f>IFERROR(VLOOKUP(C1388,Customers!$A$2:$F$301,3,FALSE()),"")</f>
        <v>22</v>
      </c>
      <c r="Q1388">
        <f t="shared" si="63"/>
        <v>0.50793650793650791</v>
      </c>
      <c r="R1388">
        <f>IF(AND(COUNTIF($A$2:$A$2047,A1388)&gt;1,COUNTIF($A$2:A1388,A1388)=1),1,0)</f>
        <v>0</v>
      </c>
      <c r="S1388" t="b">
        <f>IFERROR(VLOOKUP(D1388,Products!$A$2:$F$61,6,FALSE()),"")</f>
        <v>1</v>
      </c>
      <c r="T1388" t="str">
        <f>IF(COUNTIF(Customers!$A$2:$A$301,C1388)=0,"Missing","OK")</f>
        <v>OK</v>
      </c>
      <c r="U1388" t="str">
        <f t="shared" si="64"/>
        <v>Pune</v>
      </c>
      <c r="V1388">
        <f t="shared" si="65"/>
        <v>0</v>
      </c>
    </row>
    <row r="1389" spans="1:22" ht="15" customHeight="1" x14ac:dyDescent="0.35">
      <c r="A1389" s="3" t="s">
        <v>1816</v>
      </c>
      <c r="B1389" s="4">
        <v>45324</v>
      </c>
      <c r="C1389" s="3" t="s">
        <v>922</v>
      </c>
      <c r="D1389" s="3" t="s">
        <v>24</v>
      </c>
      <c r="E1389" s="3" t="s">
        <v>282</v>
      </c>
      <c r="F1389" s="5">
        <v>3</v>
      </c>
      <c r="G1389" s="5">
        <v>3620</v>
      </c>
      <c r="H1389" s="5">
        <v>4.2</v>
      </c>
      <c r="I1389" s="5">
        <v>10403.879999999999</v>
      </c>
      <c r="J1389" s="3" t="s">
        <v>26</v>
      </c>
      <c r="K1389" s="3" t="s">
        <v>56</v>
      </c>
      <c r="L1389" t="str">
        <f>IFERROR(VLOOKUP(D1389,Products!$A$2:$F$61,3,FALSE()),"")</f>
        <v>Apparel</v>
      </c>
      <c r="M1389" t="str">
        <f>IFERROR(VLOOKUP(E1389,Sales_Reps!$A$2:$C$31,3,FALSE()),"")</f>
        <v>West</v>
      </c>
      <c r="N1389">
        <f>IFERROR(VLOOKUP(D1389,Products!$A$2:$F$61,4,FALSE()),"")</f>
        <v>2509</v>
      </c>
      <c r="O1389" t="str">
        <f>IFERROR(VLOOKUP(C1389,Customers!$A$2:$F$301,5,FALSE()),"")</f>
        <v>SMB</v>
      </c>
      <c r="P1389">
        <f>IFERROR(VLOOKUP(C1389,Customers!$A$2:$F$301,3,FALSE()),"")</f>
        <v>36</v>
      </c>
      <c r="Q1389">
        <f t="shared" si="63"/>
        <v>0.3069060773480663</v>
      </c>
      <c r="R1389">
        <f>IF(AND(COUNTIF($A$2:$A$2047,A1389)&gt;1,COUNTIF($A$2:A1389,A1389)=1),1,0)</f>
        <v>0</v>
      </c>
      <c r="S1389" t="b">
        <f>IFERROR(VLOOKUP(D1389,Products!$A$2:$F$61,6,FALSE()),"")</f>
        <v>1</v>
      </c>
      <c r="T1389" t="str">
        <f>IF(COUNTIF(Customers!$A$2:$A$301,C1389)=0,"Missing","OK")</f>
        <v>OK</v>
      </c>
      <c r="U1389" t="str">
        <f t="shared" si="64"/>
        <v>Bengaluru</v>
      </c>
      <c r="V1389">
        <f t="shared" si="65"/>
        <v>0</v>
      </c>
    </row>
    <row r="1390" spans="1:22" ht="15" customHeight="1" x14ac:dyDescent="0.35">
      <c r="A1390" s="3" t="s">
        <v>1817</v>
      </c>
      <c r="B1390" s="4">
        <v>45541</v>
      </c>
      <c r="C1390" s="3" t="s">
        <v>202</v>
      </c>
      <c r="D1390" s="3" t="s">
        <v>319</v>
      </c>
      <c r="E1390" s="3" t="s">
        <v>67</v>
      </c>
      <c r="F1390" s="5">
        <v>7</v>
      </c>
      <c r="G1390" s="5">
        <v>960</v>
      </c>
      <c r="H1390" s="5">
        <v>9</v>
      </c>
      <c r="I1390" s="5">
        <v>6115.2</v>
      </c>
      <c r="J1390" s="3" t="s">
        <v>26</v>
      </c>
      <c r="K1390" s="3" t="s">
        <v>72</v>
      </c>
      <c r="L1390" t="str">
        <f>IFERROR(VLOOKUP(D1390,Products!$A$2:$F$61,3,FALSE()),"")</f>
        <v>Beauty</v>
      </c>
      <c r="M1390" t="str">
        <f>IFERROR(VLOOKUP(E1390,Sales_Reps!$A$2:$C$31,3,FALSE()),"")</f>
        <v>West</v>
      </c>
      <c r="N1390">
        <f>IFERROR(VLOOKUP(D1390,Products!$A$2:$F$61,4,FALSE()),"")</f>
        <v>675</v>
      </c>
      <c r="O1390" t="str">
        <f>IFERROR(VLOOKUP(C1390,Customers!$A$2:$F$301,5,FALSE()),"")</f>
        <v>Retail</v>
      </c>
      <c r="P1390">
        <f>IFERROR(VLOOKUP(C1390,Customers!$A$2:$F$301,3,FALSE()),"")</f>
        <v>53</v>
      </c>
      <c r="Q1390">
        <f t="shared" si="63"/>
        <v>0.296875</v>
      </c>
      <c r="R1390">
        <f>IF(AND(COUNTIF($A$2:$A$2047,A1390)&gt;1,COUNTIF($A$2:A1390,A1390)=1),1,0)</f>
        <v>0</v>
      </c>
      <c r="S1390" t="b">
        <f>IFERROR(VLOOKUP(D1390,Products!$A$2:$F$61,6,FALSE()),"")</f>
        <v>1</v>
      </c>
      <c r="T1390" t="str">
        <f>IF(COUNTIF(Customers!$A$2:$A$301,C1390)=0,"Missing","OK")</f>
        <v>OK</v>
      </c>
      <c r="U1390" t="str">
        <f t="shared" si="64"/>
        <v>Hyderabad</v>
      </c>
      <c r="V1390">
        <f t="shared" si="65"/>
        <v>0</v>
      </c>
    </row>
    <row r="1391" spans="1:22" ht="15" customHeight="1" x14ac:dyDescent="0.35">
      <c r="A1391" s="3" t="s">
        <v>1818</v>
      </c>
      <c r="B1391" s="4">
        <v>45344</v>
      </c>
      <c r="C1391" s="3" t="s">
        <v>628</v>
      </c>
      <c r="D1391" s="3" t="s">
        <v>118</v>
      </c>
      <c r="E1391" s="3" t="s">
        <v>25</v>
      </c>
      <c r="F1391" s="5">
        <v>10</v>
      </c>
      <c r="G1391" s="5">
        <v>3350</v>
      </c>
      <c r="H1391" s="5">
        <v>1.2</v>
      </c>
      <c r="I1391" s="5">
        <v>33098</v>
      </c>
      <c r="J1391" s="3" t="s">
        <v>79</v>
      </c>
      <c r="K1391" s="3" t="s">
        <v>72</v>
      </c>
      <c r="L1391" t="str">
        <f>IFERROR(VLOOKUP(D1391,Products!$A$2:$F$61,3,FALSE()),"")</f>
        <v>Beauty</v>
      </c>
      <c r="M1391" t="str">
        <f>IFERROR(VLOOKUP(E1391,Sales_Reps!$A$2:$C$31,3,FALSE()),"")</f>
        <v>North</v>
      </c>
      <c r="N1391">
        <f>IFERROR(VLOOKUP(D1391,Products!$A$2:$F$61,4,FALSE()),"")</f>
        <v>1728</v>
      </c>
      <c r="O1391" t="str">
        <f>IFERROR(VLOOKUP(C1391,Customers!$A$2:$F$301,5,FALSE()),"")</f>
        <v>Retail</v>
      </c>
      <c r="P1391">
        <f>IFERROR(VLOOKUP(C1391,Customers!$A$2:$F$301,3,FALSE()),"")</f>
        <v>28</v>
      </c>
      <c r="Q1391">
        <f t="shared" si="63"/>
        <v>0.48417910447761192</v>
      </c>
      <c r="R1391">
        <f>IF(AND(COUNTIF($A$2:$A$2047,A1391)&gt;1,COUNTIF($A$2:A1391,A1391)=1),1,0)</f>
        <v>0</v>
      </c>
      <c r="S1391" t="b">
        <f>IFERROR(VLOOKUP(D1391,Products!$A$2:$F$61,6,FALSE()),"")</f>
        <v>1</v>
      </c>
      <c r="T1391" t="str">
        <f>IF(COUNTIF(Customers!$A$2:$A$301,C1391)=0,"Missing","OK")</f>
        <v>OK</v>
      </c>
      <c r="U1391" t="str">
        <f t="shared" si="64"/>
        <v>Hyderabad</v>
      </c>
      <c r="V1391">
        <f t="shared" si="65"/>
        <v>0</v>
      </c>
    </row>
    <row r="1392" spans="1:22" ht="15" customHeight="1" x14ac:dyDescent="0.35">
      <c r="A1392" s="3" t="s">
        <v>1819</v>
      </c>
      <c r="B1392" s="4">
        <v>45388</v>
      </c>
      <c r="C1392" s="3" t="s">
        <v>298</v>
      </c>
      <c r="D1392" s="3" t="s">
        <v>90</v>
      </c>
      <c r="E1392" s="3" t="s">
        <v>109</v>
      </c>
      <c r="F1392" s="5">
        <v>3</v>
      </c>
      <c r="G1392" s="5">
        <v>2400</v>
      </c>
      <c r="H1392" s="5">
        <v>15.4</v>
      </c>
      <c r="I1392" s="5">
        <v>6091.2</v>
      </c>
      <c r="J1392" s="3" t="s">
        <v>26</v>
      </c>
      <c r="K1392" s="3" t="s">
        <v>38</v>
      </c>
      <c r="L1392" t="str">
        <f>IFERROR(VLOOKUP(D1392,Products!$A$2:$F$61,3,FALSE()),"")</f>
        <v>Sports</v>
      </c>
      <c r="M1392" t="str">
        <f>IFERROR(VLOOKUP(E1392,Sales_Reps!$A$2:$C$31,3,FALSE()),"")</f>
        <v>West</v>
      </c>
      <c r="N1392">
        <f>IFERROR(VLOOKUP(D1392,Products!$A$2:$F$61,4,FALSE()),"")</f>
        <v>974</v>
      </c>
      <c r="O1392" t="str">
        <f>IFERROR(VLOOKUP(C1392,Customers!$A$2:$F$301,5,FALSE()),"")</f>
        <v>SMB</v>
      </c>
      <c r="P1392">
        <f>IFERROR(VLOOKUP(C1392,Customers!$A$2:$F$301,3,FALSE()),"")</f>
        <v>28</v>
      </c>
      <c r="Q1392">
        <f t="shared" si="63"/>
        <v>0.59416666666666662</v>
      </c>
      <c r="R1392">
        <f>IF(AND(COUNTIF($A$2:$A$2047,A1392)&gt;1,COUNTIF($A$2:A1392,A1392)=1),1,0)</f>
        <v>0</v>
      </c>
      <c r="S1392" t="b">
        <f>IFERROR(VLOOKUP(D1392,Products!$A$2:$F$61,6,FALSE()),"")</f>
        <v>1</v>
      </c>
      <c r="T1392" t="str">
        <f>IF(COUNTIF(Customers!$A$2:$A$301,C1392)=0,"Missing","OK")</f>
        <v>OK</v>
      </c>
      <c r="U1392" t="str">
        <f t="shared" si="64"/>
        <v>Delhi</v>
      </c>
      <c r="V1392">
        <f t="shared" si="65"/>
        <v>0</v>
      </c>
    </row>
    <row r="1393" spans="1:22" ht="15" customHeight="1" x14ac:dyDescent="0.35">
      <c r="A1393" s="3" t="s">
        <v>1820</v>
      </c>
      <c r="B1393" s="4">
        <v>45407</v>
      </c>
      <c r="C1393" s="3" t="s">
        <v>698</v>
      </c>
      <c r="D1393" s="3" t="s">
        <v>134</v>
      </c>
      <c r="E1393" s="3" t="s">
        <v>236</v>
      </c>
      <c r="F1393" s="5">
        <v>2</v>
      </c>
      <c r="G1393" s="5">
        <v>2860</v>
      </c>
      <c r="H1393" s="5">
        <v>10.5</v>
      </c>
      <c r="I1393" s="5">
        <v>5119.3999999999996</v>
      </c>
      <c r="J1393" s="3" t="s">
        <v>26</v>
      </c>
      <c r="K1393" s="3" t="s">
        <v>56</v>
      </c>
      <c r="L1393" t="str">
        <f>IFERROR(VLOOKUP(D1393,Products!$A$2:$F$61,3,FALSE()),"")</f>
        <v>Sports</v>
      </c>
      <c r="M1393" t="str">
        <f>IFERROR(VLOOKUP(E1393,Sales_Reps!$A$2:$C$31,3,FALSE()),"")</f>
        <v>North</v>
      </c>
      <c r="N1393">
        <f>IFERROR(VLOOKUP(D1393,Products!$A$2:$F$61,4,FALSE()),"")</f>
        <v>2028</v>
      </c>
      <c r="O1393" t="str">
        <f>IFERROR(VLOOKUP(C1393,Customers!$A$2:$F$301,5,FALSE()),"")</f>
        <v>Retail</v>
      </c>
      <c r="P1393">
        <f>IFERROR(VLOOKUP(C1393,Customers!$A$2:$F$301,3,FALSE()),"")</f>
        <v>29</v>
      </c>
      <c r="Q1393">
        <f t="shared" si="63"/>
        <v>0.29090909090909089</v>
      </c>
      <c r="R1393">
        <f>IF(AND(COUNTIF($A$2:$A$2047,A1393)&gt;1,COUNTIF($A$2:A1393,A1393)=1),1,0)</f>
        <v>0</v>
      </c>
      <c r="S1393" t="b">
        <f>IFERROR(VLOOKUP(D1393,Products!$A$2:$F$61,6,FALSE()),"")</f>
        <v>1</v>
      </c>
      <c r="T1393" t="str">
        <f>IF(COUNTIF(Customers!$A$2:$A$301,C1393)=0,"Missing","OK")</f>
        <v>OK</v>
      </c>
      <c r="U1393" t="str">
        <f t="shared" si="64"/>
        <v>Bengaluru</v>
      </c>
      <c r="V1393">
        <f t="shared" si="65"/>
        <v>0</v>
      </c>
    </row>
    <row r="1394" spans="1:22" ht="15" customHeight="1" x14ac:dyDescent="0.35">
      <c r="A1394" s="3" t="s">
        <v>1821</v>
      </c>
      <c r="B1394" s="4">
        <v>45620</v>
      </c>
      <c r="C1394" s="3" t="s">
        <v>639</v>
      </c>
      <c r="D1394" s="3" t="s">
        <v>325</v>
      </c>
      <c r="E1394" s="3" t="s">
        <v>46</v>
      </c>
      <c r="F1394" s="5">
        <v>4</v>
      </c>
      <c r="G1394" s="5">
        <v>2290</v>
      </c>
      <c r="H1394" s="5">
        <v>5.9</v>
      </c>
      <c r="I1394" s="5">
        <v>8619.56</v>
      </c>
      <c r="J1394" s="3" t="s">
        <v>26</v>
      </c>
      <c r="K1394" s="3" t="s">
        <v>33</v>
      </c>
      <c r="L1394" t="str">
        <f>IFERROR(VLOOKUP(D1394,Products!$A$2:$F$61,3,FALSE()),"")</f>
        <v>Beauty</v>
      </c>
      <c r="M1394" t="str">
        <f>IFERROR(VLOOKUP(E1394,Sales_Reps!$A$2:$C$31,3,FALSE()),"")</f>
        <v>North</v>
      </c>
      <c r="N1394">
        <f>IFERROR(VLOOKUP(D1394,Products!$A$2:$F$61,4,FALSE()),"")</f>
        <v>1219</v>
      </c>
      <c r="O1394" t="str">
        <f>IFERROR(VLOOKUP(C1394,Customers!$A$2:$F$301,5,FALSE()),"")</f>
        <v>SMB</v>
      </c>
      <c r="P1394">
        <f>IFERROR(VLOOKUP(C1394,Customers!$A$2:$F$301,3,FALSE()),"")</f>
        <v>46</v>
      </c>
      <c r="Q1394">
        <f t="shared" si="63"/>
        <v>0.46768558951965067</v>
      </c>
      <c r="R1394">
        <f>IF(AND(COUNTIF($A$2:$A$2047,A1394)&gt;1,COUNTIF($A$2:A1394,A1394)=1),1,0)</f>
        <v>0</v>
      </c>
      <c r="S1394" t="b">
        <f>IFERROR(VLOOKUP(D1394,Products!$A$2:$F$61,6,FALSE()),"")</f>
        <v>1</v>
      </c>
      <c r="T1394" t="str">
        <f>IF(COUNTIF(Customers!$A$2:$A$301,C1394)=0,"Missing","OK")</f>
        <v>OK</v>
      </c>
      <c r="U1394" t="str">
        <f t="shared" si="64"/>
        <v>Chennai</v>
      </c>
      <c r="V1394">
        <f t="shared" si="65"/>
        <v>0</v>
      </c>
    </row>
    <row r="1395" spans="1:22" ht="15" customHeight="1" x14ac:dyDescent="0.35">
      <c r="A1395" s="3" t="s">
        <v>1822</v>
      </c>
      <c r="B1395" s="4">
        <v>45499</v>
      </c>
      <c r="C1395" s="3" t="s">
        <v>331</v>
      </c>
      <c r="D1395" s="3" t="s">
        <v>303</v>
      </c>
      <c r="E1395" s="3" t="s">
        <v>93</v>
      </c>
      <c r="F1395" s="5">
        <v>7</v>
      </c>
      <c r="G1395" s="5">
        <v>5330</v>
      </c>
      <c r="H1395" s="5">
        <v>3.5</v>
      </c>
      <c r="I1395" s="5">
        <v>36004.15</v>
      </c>
      <c r="J1395" s="3" t="s">
        <v>79</v>
      </c>
      <c r="K1395" s="3" t="s">
        <v>51</v>
      </c>
      <c r="L1395" t="str">
        <f>IFERROR(VLOOKUP(D1395,Products!$A$2:$F$61,3,FALSE()),"")</f>
        <v>Electronics</v>
      </c>
      <c r="M1395" t="str">
        <f>IFERROR(VLOOKUP(E1395,Sales_Reps!$A$2:$C$31,3,FALSE()),"")</f>
        <v>East</v>
      </c>
      <c r="N1395">
        <f>IFERROR(VLOOKUP(D1395,Products!$A$2:$F$61,4,FALSE()),"")</f>
        <v>2405</v>
      </c>
      <c r="O1395" t="str">
        <f>IFERROR(VLOOKUP(C1395,Customers!$A$2:$F$301,5,FALSE()),"")</f>
        <v>Retail</v>
      </c>
      <c r="P1395">
        <f>IFERROR(VLOOKUP(C1395,Customers!$A$2:$F$301,3,FALSE()),"")</f>
        <v>50</v>
      </c>
      <c r="Q1395">
        <f t="shared" si="63"/>
        <v>0.54878048780487809</v>
      </c>
      <c r="R1395">
        <f>IF(AND(COUNTIF($A$2:$A$2047,A1395)&gt;1,COUNTIF($A$2:A1395,A1395)=1),1,0)</f>
        <v>0</v>
      </c>
      <c r="S1395" t="b">
        <f>IFERROR(VLOOKUP(D1395,Products!$A$2:$F$61,6,FALSE()),"")</f>
        <v>1</v>
      </c>
      <c r="T1395" t="str">
        <f>IF(COUNTIF(Customers!$A$2:$A$301,C1395)=0,"Missing","OK")</f>
        <v>OK</v>
      </c>
      <c r="U1395" t="str">
        <f t="shared" si="64"/>
        <v>Mumbai</v>
      </c>
      <c r="V1395">
        <f t="shared" si="65"/>
        <v>0</v>
      </c>
    </row>
    <row r="1396" spans="1:22" ht="15" customHeight="1" x14ac:dyDescent="0.35">
      <c r="A1396" s="3" t="s">
        <v>1823</v>
      </c>
      <c r="B1396" s="4">
        <v>45585</v>
      </c>
      <c r="C1396" s="3" t="s">
        <v>240</v>
      </c>
      <c r="D1396" s="3" t="s">
        <v>176</v>
      </c>
      <c r="E1396" s="3" t="s">
        <v>242</v>
      </c>
      <c r="F1396" s="5">
        <v>10</v>
      </c>
      <c r="G1396" s="5">
        <v>3640</v>
      </c>
      <c r="H1396" s="5">
        <v>20.100000000000001</v>
      </c>
      <c r="I1396" s="5">
        <v>29083.599999999999</v>
      </c>
      <c r="J1396" s="3" t="s">
        <v>26</v>
      </c>
      <c r="K1396" s="3" t="s">
        <v>33</v>
      </c>
      <c r="L1396" t="str">
        <f>IFERROR(VLOOKUP(D1396,Products!$A$2:$F$61,3,FALSE()),"")</f>
        <v>Apparel</v>
      </c>
      <c r="M1396" t="str">
        <f>IFERROR(VLOOKUP(E1396,Sales_Reps!$A$2:$C$31,3,FALSE()),"")</f>
        <v>East</v>
      </c>
      <c r="N1396">
        <f>IFERROR(VLOOKUP(D1396,Products!$A$2:$F$61,4,FALSE()),"")</f>
        <v>2611</v>
      </c>
      <c r="O1396" t="str">
        <f>IFERROR(VLOOKUP(C1396,Customers!$A$2:$F$301,5,FALSE()),"")</f>
        <v>Retail</v>
      </c>
      <c r="P1396">
        <f>IFERROR(VLOOKUP(C1396,Customers!$A$2:$F$301,3,FALSE()),"")</f>
        <v>41</v>
      </c>
      <c r="Q1396">
        <f t="shared" si="63"/>
        <v>0.28269230769230769</v>
      </c>
      <c r="R1396">
        <f>IF(AND(COUNTIF($A$2:$A$2047,A1396)&gt;1,COUNTIF($A$2:A1396,A1396)=1),1,0)</f>
        <v>0</v>
      </c>
      <c r="S1396" t="b">
        <f>IFERROR(VLOOKUP(D1396,Products!$A$2:$F$61,6,FALSE()),"")</f>
        <v>1</v>
      </c>
      <c r="T1396" t="str">
        <f>IF(COUNTIF(Customers!$A$2:$A$301,C1396)=0,"Missing","OK")</f>
        <v>OK</v>
      </c>
      <c r="U1396" t="str">
        <f t="shared" si="64"/>
        <v>Chennai</v>
      </c>
      <c r="V1396">
        <f t="shared" si="65"/>
        <v>0</v>
      </c>
    </row>
    <row r="1397" spans="1:22" ht="15" customHeight="1" x14ac:dyDescent="0.35">
      <c r="A1397" s="3" t="s">
        <v>1824</v>
      </c>
      <c r="B1397" s="4">
        <v>45633</v>
      </c>
      <c r="C1397" s="3" t="s">
        <v>145</v>
      </c>
      <c r="D1397" s="3" t="s">
        <v>382</v>
      </c>
      <c r="E1397" s="3" t="s">
        <v>55</v>
      </c>
      <c r="F1397" s="5">
        <v>10</v>
      </c>
      <c r="G1397" s="5">
        <v>5080</v>
      </c>
      <c r="H1397" s="5">
        <v>2.1</v>
      </c>
      <c r="I1397" s="5">
        <v>49733.2</v>
      </c>
      <c r="J1397" s="3" t="s">
        <v>26</v>
      </c>
      <c r="K1397" s="3" t="s">
        <v>72</v>
      </c>
      <c r="L1397" t="str">
        <f>IFERROR(VLOOKUP(D1397,Products!$A$2:$F$61,3,FALSE()),"")</f>
        <v>Home</v>
      </c>
      <c r="M1397" t="str">
        <f>IFERROR(VLOOKUP(E1397,Sales_Reps!$A$2:$C$31,3,FALSE()),"")</f>
        <v>West</v>
      </c>
      <c r="N1397">
        <f>IFERROR(VLOOKUP(D1397,Products!$A$2:$F$61,4,FALSE()),"")</f>
        <v>2459</v>
      </c>
      <c r="O1397" t="str">
        <f>IFERROR(VLOOKUP(C1397,Customers!$A$2:$F$301,5,FALSE()),"")</f>
        <v>SMB</v>
      </c>
      <c r="P1397">
        <f>IFERROR(VLOOKUP(C1397,Customers!$A$2:$F$301,3,FALSE()),"")</f>
        <v>40</v>
      </c>
      <c r="Q1397">
        <f t="shared" si="63"/>
        <v>0.51594488188976373</v>
      </c>
      <c r="R1397">
        <f>IF(AND(COUNTIF($A$2:$A$2047,A1397)&gt;1,COUNTIF($A$2:A1397,A1397)=1),1,0)</f>
        <v>0</v>
      </c>
      <c r="S1397" t="b">
        <f>IFERROR(VLOOKUP(D1397,Products!$A$2:$F$61,6,FALSE()),"")</f>
        <v>1</v>
      </c>
      <c r="T1397" t="str">
        <f>IF(COUNTIF(Customers!$A$2:$A$301,C1397)=0,"Missing","OK")</f>
        <v>OK</v>
      </c>
      <c r="U1397" t="str">
        <f t="shared" si="64"/>
        <v>Hyderabad</v>
      </c>
      <c r="V1397">
        <f t="shared" si="65"/>
        <v>0</v>
      </c>
    </row>
    <row r="1398" spans="1:22" ht="15" customHeight="1" x14ac:dyDescent="0.35">
      <c r="A1398" s="3" t="s">
        <v>1825</v>
      </c>
      <c r="B1398" s="4">
        <v>45517</v>
      </c>
      <c r="C1398" s="3" t="s">
        <v>664</v>
      </c>
      <c r="D1398" s="3" t="s">
        <v>441</v>
      </c>
      <c r="E1398" s="3" t="s">
        <v>242</v>
      </c>
      <c r="F1398" s="5">
        <v>4</v>
      </c>
      <c r="G1398" s="5">
        <v>1090</v>
      </c>
      <c r="H1398" s="5">
        <v>18.5</v>
      </c>
      <c r="I1398" s="5">
        <v>3553.4</v>
      </c>
      <c r="J1398" s="3" t="s">
        <v>83</v>
      </c>
      <c r="K1398" s="3" t="s">
        <v>38</v>
      </c>
      <c r="L1398" t="str">
        <f>IFERROR(VLOOKUP(D1398,Products!$A$2:$F$61,3,FALSE()),"")</f>
        <v>Home</v>
      </c>
      <c r="M1398" t="str">
        <f>IFERROR(VLOOKUP(E1398,Sales_Reps!$A$2:$C$31,3,FALSE()),"")</f>
        <v>East</v>
      </c>
      <c r="N1398">
        <f>IFERROR(VLOOKUP(D1398,Products!$A$2:$F$61,4,FALSE()),"")</f>
        <v>464</v>
      </c>
      <c r="O1398" t="str">
        <f>IFERROR(VLOOKUP(C1398,Customers!$A$2:$F$301,5,FALSE()),"")</f>
        <v>SMB</v>
      </c>
      <c r="P1398">
        <f>IFERROR(VLOOKUP(C1398,Customers!$A$2:$F$301,3,FALSE()),"")</f>
        <v>26</v>
      </c>
      <c r="Q1398">
        <f t="shared" si="63"/>
        <v>0.57431192660550456</v>
      </c>
      <c r="R1398">
        <f>IF(AND(COUNTIF($A$2:$A$2047,A1398)&gt;1,COUNTIF($A$2:A1398,A1398)=1),1,0)</f>
        <v>0</v>
      </c>
      <c r="S1398" t="b">
        <f>IFERROR(VLOOKUP(D1398,Products!$A$2:$F$61,6,FALSE()),"")</f>
        <v>1</v>
      </c>
      <c r="T1398" t="str">
        <f>IF(COUNTIF(Customers!$A$2:$A$301,C1398)=0,"Missing","OK")</f>
        <v>OK</v>
      </c>
      <c r="U1398" t="str">
        <f t="shared" si="64"/>
        <v>Delhi</v>
      </c>
      <c r="V1398">
        <f t="shared" si="65"/>
        <v>0</v>
      </c>
    </row>
    <row r="1399" spans="1:22" ht="15" customHeight="1" x14ac:dyDescent="0.35">
      <c r="A1399" s="3" t="s">
        <v>1826</v>
      </c>
      <c r="B1399" s="4">
        <v>45645</v>
      </c>
      <c r="C1399" s="3" t="s">
        <v>509</v>
      </c>
      <c r="D1399" s="3" t="s">
        <v>96</v>
      </c>
      <c r="E1399" s="3" t="s">
        <v>109</v>
      </c>
      <c r="F1399" s="5">
        <v>10</v>
      </c>
      <c r="G1399" s="5">
        <v>3450</v>
      </c>
      <c r="H1399" s="5">
        <v>26.5</v>
      </c>
      <c r="I1399" s="5">
        <v>25357.5</v>
      </c>
      <c r="J1399" s="3" t="s">
        <v>83</v>
      </c>
      <c r="K1399" s="3" t="s">
        <v>38</v>
      </c>
      <c r="L1399" t="str">
        <f>IFERROR(VLOOKUP(D1399,Products!$A$2:$F$61,3,FALSE()),"")</f>
        <v>Beauty</v>
      </c>
      <c r="M1399" t="str">
        <f>IFERROR(VLOOKUP(E1399,Sales_Reps!$A$2:$C$31,3,FALSE()),"")</f>
        <v>West</v>
      </c>
      <c r="N1399">
        <f>IFERROR(VLOOKUP(D1399,Products!$A$2:$F$61,4,FALSE()),"")</f>
        <v>2420</v>
      </c>
      <c r="O1399" t="str">
        <f>IFERROR(VLOOKUP(C1399,Customers!$A$2:$F$301,5,FALSE()),"")</f>
        <v>Corporate</v>
      </c>
      <c r="P1399">
        <f>IFERROR(VLOOKUP(C1399,Customers!$A$2:$F$301,3,FALSE()),"")</f>
        <v>47</v>
      </c>
      <c r="Q1399">
        <f t="shared" si="63"/>
        <v>0.29855072463768118</v>
      </c>
      <c r="R1399">
        <f>IF(AND(COUNTIF($A$2:$A$2047,A1399)&gt;1,COUNTIF($A$2:A1399,A1399)=1),1,0)</f>
        <v>0</v>
      </c>
      <c r="S1399" t="b">
        <f>IFERROR(VLOOKUP(D1399,Products!$A$2:$F$61,6,FALSE()),"")</f>
        <v>1</v>
      </c>
      <c r="T1399" t="str">
        <f>IF(COUNTIF(Customers!$A$2:$A$301,C1399)=0,"Missing","OK")</f>
        <v>OK</v>
      </c>
      <c r="U1399" t="str">
        <f t="shared" si="64"/>
        <v>Delhi</v>
      </c>
      <c r="V1399">
        <f t="shared" si="65"/>
        <v>0</v>
      </c>
    </row>
    <row r="1400" spans="1:22" ht="15" customHeight="1" x14ac:dyDescent="0.35">
      <c r="A1400" s="3" t="s">
        <v>1827</v>
      </c>
      <c r="B1400" s="4">
        <v>45483</v>
      </c>
      <c r="C1400" s="3" t="s">
        <v>202</v>
      </c>
      <c r="D1400" s="3" t="s">
        <v>299</v>
      </c>
      <c r="E1400" s="3" t="s">
        <v>143</v>
      </c>
      <c r="F1400" s="5">
        <v>9</v>
      </c>
      <c r="G1400" s="5">
        <v>5410</v>
      </c>
      <c r="H1400" s="5">
        <v>11.5</v>
      </c>
      <c r="I1400" s="5">
        <v>43090.65</v>
      </c>
      <c r="J1400" s="3" t="s">
        <v>26</v>
      </c>
      <c r="K1400" s="3" t="s">
        <v>72</v>
      </c>
      <c r="L1400" t="str">
        <f>IFERROR(VLOOKUP(D1400,Products!$A$2:$F$61,3,FALSE()),"")</f>
        <v>Sports</v>
      </c>
      <c r="M1400" t="str">
        <f>IFERROR(VLOOKUP(E1400,Sales_Reps!$A$2:$C$31,3,FALSE()),"")</f>
        <v>South</v>
      </c>
      <c r="N1400">
        <f>IFERROR(VLOOKUP(D1400,Products!$A$2:$F$61,4,FALSE()),"")</f>
        <v>2265</v>
      </c>
      <c r="O1400" t="str">
        <f>IFERROR(VLOOKUP(C1400,Customers!$A$2:$F$301,5,FALSE()),"")</f>
        <v>Retail</v>
      </c>
      <c r="P1400">
        <f>IFERROR(VLOOKUP(C1400,Customers!$A$2:$F$301,3,FALSE()),"")</f>
        <v>53</v>
      </c>
      <c r="Q1400">
        <f t="shared" si="63"/>
        <v>0.58133086876155271</v>
      </c>
      <c r="R1400">
        <f>IF(AND(COUNTIF($A$2:$A$2047,A1400)&gt;1,COUNTIF($A$2:A1400,A1400)=1),1,0)</f>
        <v>0</v>
      </c>
      <c r="S1400" t="b">
        <f>IFERROR(VLOOKUP(D1400,Products!$A$2:$F$61,6,FALSE()),"")</f>
        <v>1</v>
      </c>
      <c r="T1400" t="str">
        <f>IF(COUNTIF(Customers!$A$2:$A$301,C1400)=0,"Missing","OK")</f>
        <v>OK</v>
      </c>
      <c r="U1400" t="str">
        <f t="shared" si="64"/>
        <v>Hyderabad</v>
      </c>
      <c r="V1400">
        <f t="shared" si="65"/>
        <v>0</v>
      </c>
    </row>
    <row r="1401" spans="1:22" ht="15" customHeight="1" x14ac:dyDescent="0.35">
      <c r="A1401" s="3" t="s">
        <v>1828</v>
      </c>
      <c r="B1401" s="4">
        <v>45445</v>
      </c>
      <c r="C1401" s="3" t="s">
        <v>1829</v>
      </c>
      <c r="D1401" s="3" t="s">
        <v>391</v>
      </c>
      <c r="E1401" s="3" t="s">
        <v>109</v>
      </c>
      <c r="F1401" s="5">
        <v>9</v>
      </c>
      <c r="G1401" s="5">
        <v>3450</v>
      </c>
      <c r="H1401" s="5">
        <v>0.3</v>
      </c>
      <c r="I1401" s="5">
        <v>30956.85</v>
      </c>
      <c r="J1401" s="3" t="s">
        <v>83</v>
      </c>
      <c r="K1401" s="3" t="s">
        <v>72</v>
      </c>
      <c r="L1401" t="str">
        <f>IFERROR(VLOOKUP(D1401,Products!$A$2:$F$61,3,FALSE()),"")</f>
        <v>Apparel</v>
      </c>
      <c r="M1401" t="str">
        <f>IFERROR(VLOOKUP(E1401,Sales_Reps!$A$2:$C$31,3,FALSE()),"")</f>
        <v>West</v>
      </c>
      <c r="N1401">
        <f>IFERROR(VLOOKUP(D1401,Products!$A$2:$F$61,4,FALSE()),"")</f>
        <v>1748</v>
      </c>
      <c r="O1401" t="str">
        <f>IFERROR(VLOOKUP(C1401,Customers!$A$2:$F$301,5,FALSE()),"")</f>
        <v>SMB</v>
      </c>
      <c r="P1401">
        <f>IFERROR(VLOOKUP(C1401,Customers!$A$2:$F$301,3,FALSE()),"")</f>
        <v>34</v>
      </c>
      <c r="Q1401">
        <f t="shared" si="63"/>
        <v>0.49333333333333335</v>
      </c>
      <c r="R1401">
        <f>IF(AND(COUNTIF($A$2:$A$2047,A1401)&gt;1,COUNTIF($A$2:A1401,A1401)=1),1,0)</f>
        <v>0</v>
      </c>
      <c r="S1401" t="b">
        <f>IFERROR(VLOOKUP(D1401,Products!$A$2:$F$61,6,FALSE()),"")</f>
        <v>1</v>
      </c>
      <c r="T1401" t="str">
        <f>IF(COUNTIF(Customers!$A$2:$A$301,C1401)=0,"Missing","OK")</f>
        <v>OK</v>
      </c>
      <c r="U1401" t="str">
        <f t="shared" si="64"/>
        <v>Hyderabad</v>
      </c>
      <c r="V1401">
        <f t="shared" si="65"/>
        <v>0</v>
      </c>
    </row>
    <row r="1402" spans="1:22" ht="15" customHeight="1" x14ac:dyDescent="0.35">
      <c r="A1402" s="3" t="s">
        <v>1830</v>
      </c>
      <c r="B1402" s="4">
        <v>45614</v>
      </c>
      <c r="C1402" s="3" t="s">
        <v>396</v>
      </c>
      <c r="D1402" s="3" t="s">
        <v>45</v>
      </c>
      <c r="E1402" s="3" t="s">
        <v>50</v>
      </c>
      <c r="F1402" s="5">
        <v>10</v>
      </c>
      <c r="G1402" s="5">
        <v>3160</v>
      </c>
      <c r="H1402" s="5">
        <v>13.6</v>
      </c>
      <c r="I1402" s="5">
        <v>27302.400000000001</v>
      </c>
      <c r="J1402" s="3" t="s">
        <v>26</v>
      </c>
      <c r="K1402" s="3" t="s">
        <v>27</v>
      </c>
      <c r="L1402" t="str">
        <f>IFERROR(VLOOKUP(D1402,Products!$A$2:$F$61,3,FALSE()),"")</f>
        <v>Apparel</v>
      </c>
      <c r="M1402" t="str">
        <f>IFERROR(VLOOKUP(E1402,Sales_Reps!$A$2:$C$31,3,FALSE()),"")</f>
        <v>West</v>
      </c>
      <c r="N1402">
        <f>IFERROR(VLOOKUP(D1402,Products!$A$2:$F$61,4,FALSE()),"")</f>
        <v>1886</v>
      </c>
      <c r="O1402" t="str">
        <f>IFERROR(VLOOKUP(C1402,Customers!$A$2:$F$301,5,FALSE()),"")</f>
        <v>Retail</v>
      </c>
      <c r="P1402">
        <f>IFERROR(VLOOKUP(C1402,Customers!$A$2:$F$301,3,FALSE()),"")</f>
        <v>29</v>
      </c>
      <c r="Q1402">
        <f t="shared" si="63"/>
        <v>0.4031645569620253</v>
      </c>
      <c r="R1402">
        <f>IF(AND(COUNTIF($A$2:$A$2047,A1402)&gt;1,COUNTIF($A$2:A1402,A1402)=1),1,0)</f>
        <v>0</v>
      </c>
      <c r="S1402" t="b">
        <f>IFERROR(VLOOKUP(D1402,Products!$A$2:$F$61,6,FALSE()),"")</f>
        <v>1</v>
      </c>
      <c r="T1402" t="str">
        <f>IF(COUNTIF(Customers!$A$2:$A$301,C1402)=0,"Missing","OK")</f>
        <v>OK</v>
      </c>
      <c r="U1402" t="str">
        <f t="shared" si="64"/>
        <v>Pune</v>
      </c>
      <c r="V1402">
        <f t="shared" si="65"/>
        <v>0</v>
      </c>
    </row>
    <row r="1403" spans="1:22" ht="15" customHeight="1" x14ac:dyDescent="0.35">
      <c r="A1403" s="3" t="s">
        <v>1831</v>
      </c>
      <c r="B1403" s="4">
        <v>45433</v>
      </c>
      <c r="C1403" s="3" t="s">
        <v>58</v>
      </c>
      <c r="D1403" s="3" t="s">
        <v>198</v>
      </c>
      <c r="E1403" s="3" t="s">
        <v>140</v>
      </c>
      <c r="F1403" s="5">
        <v>3</v>
      </c>
      <c r="G1403" s="5">
        <v>1540</v>
      </c>
      <c r="H1403" s="5">
        <v>21.2</v>
      </c>
      <c r="I1403" s="5">
        <v>3640.56</v>
      </c>
      <c r="J1403" s="3" t="s">
        <v>26</v>
      </c>
      <c r="K1403" s="3" t="s">
        <v>56</v>
      </c>
      <c r="L1403" t="str">
        <f>IFERROR(VLOOKUP(D1403,Products!$A$2:$F$61,3,FALSE()),"")</f>
        <v>Beauty</v>
      </c>
      <c r="M1403" t="str">
        <f>IFERROR(VLOOKUP(E1403,Sales_Reps!$A$2:$C$31,3,FALSE()),"")</f>
        <v>West</v>
      </c>
      <c r="N1403">
        <f>IFERROR(VLOOKUP(D1403,Products!$A$2:$F$61,4,FALSE()),"")</f>
        <v>647</v>
      </c>
      <c r="O1403" t="str">
        <f>IFERROR(VLOOKUP(C1403,Customers!$A$2:$F$301,5,FALSE()),"")</f>
        <v>Corporate</v>
      </c>
      <c r="P1403">
        <f>IFERROR(VLOOKUP(C1403,Customers!$A$2:$F$301,3,FALSE()),"")</f>
        <v>57</v>
      </c>
      <c r="Q1403">
        <f t="shared" si="63"/>
        <v>0.57987012987012987</v>
      </c>
      <c r="R1403">
        <f>IF(AND(COUNTIF($A$2:$A$2047,A1403)&gt;1,COUNTIF($A$2:A1403,A1403)=1),1,0)</f>
        <v>0</v>
      </c>
      <c r="S1403" t="b">
        <f>IFERROR(VLOOKUP(D1403,Products!$A$2:$F$61,6,FALSE()),"")</f>
        <v>0</v>
      </c>
      <c r="T1403" t="str">
        <f>IF(COUNTIF(Customers!$A$2:$A$301,C1403)=0,"Missing","OK")</f>
        <v>OK</v>
      </c>
      <c r="U1403" t="str">
        <f t="shared" si="64"/>
        <v>Bengaluru</v>
      </c>
      <c r="V1403">
        <f t="shared" si="65"/>
        <v>0</v>
      </c>
    </row>
    <row r="1404" spans="1:22" ht="15" customHeight="1" x14ac:dyDescent="0.35">
      <c r="A1404" s="3" t="s">
        <v>1832</v>
      </c>
      <c r="B1404" s="4">
        <v>45402</v>
      </c>
      <c r="C1404" s="3" t="s">
        <v>329</v>
      </c>
      <c r="D1404" s="3" t="s">
        <v>176</v>
      </c>
      <c r="E1404" s="3" t="s">
        <v>224</v>
      </c>
      <c r="F1404" s="5">
        <v>5</v>
      </c>
      <c r="G1404" s="5">
        <v>3640</v>
      </c>
      <c r="H1404" s="5">
        <v>17.5</v>
      </c>
      <c r="I1404" s="5">
        <v>15015</v>
      </c>
      <c r="J1404" s="3" t="s">
        <v>26</v>
      </c>
      <c r="K1404" s="3" t="s">
        <v>27</v>
      </c>
      <c r="L1404" t="str">
        <f>IFERROR(VLOOKUP(D1404,Products!$A$2:$F$61,3,FALSE()),"")</f>
        <v>Apparel</v>
      </c>
      <c r="M1404" t="str">
        <f>IFERROR(VLOOKUP(E1404,Sales_Reps!$A$2:$C$31,3,FALSE()),"")</f>
        <v>East</v>
      </c>
      <c r="N1404">
        <f>IFERROR(VLOOKUP(D1404,Products!$A$2:$F$61,4,FALSE()),"")</f>
        <v>2611</v>
      </c>
      <c r="O1404" t="str">
        <f>IFERROR(VLOOKUP(C1404,Customers!$A$2:$F$301,5,FALSE()),"")</f>
        <v>SMB</v>
      </c>
      <c r="P1404">
        <f>IFERROR(VLOOKUP(C1404,Customers!$A$2:$F$301,3,FALSE()),"")</f>
        <v>54</v>
      </c>
      <c r="Q1404">
        <f t="shared" si="63"/>
        <v>0.28269230769230769</v>
      </c>
      <c r="R1404">
        <f>IF(AND(COUNTIF($A$2:$A$2047,A1404)&gt;1,COUNTIF($A$2:A1404,A1404)=1),1,0)</f>
        <v>0</v>
      </c>
      <c r="S1404" t="b">
        <f>IFERROR(VLOOKUP(D1404,Products!$A$2:$F$61,6,FALSE()),"")</f>
        <v>1</v>
      </c>
      <c r="T1404" t="str">
        <f>IF(COUNTIF(Customers!$A$2:$A$301,C1404)=0,"Missing","OK")</f>
        <v>OK</v>
      </c>
      <c r="U1404" t="str">
        <f t="shared" si="64"/>
        <v>Pune</v>
      </c>
      <c r="V1404">
        <f t="shared" si="65"/>
        <v>0</v>
      </c>
    </row>
    <row r="1405" spans="1:22" ht="15" customHeight="1" x14ac:dyDescent="0.35">
      <c r="A1405" s="3" t="s">
        <v>1833</v>
      </c>
      <c r="B1405" s="4">
        <v>45302</v>
      </c>
      <c r="C1405" s="3" t="s">
        <v>69</v>
      </c>
      <c r="D1405" s="3" t="s">
        <v>400</v>
      </c>
      <c r="E1405" s="3" t="s">
        <v>236</v>
      </c>
      <c r="F1405" s="5">
        <v>4</v>
      </c>
      <c r="G1405" s="5">
        <v>3780</v>
      </c>
      <c r="H1405" s="5">
        <v>9</v>
      </c>
      <c r="I1405" s="5">
        <v>13759.2</v>
      </c>
      <c r="J1405" s="3" t="s">
        <v>32</v>
      </c>
      <c r="K1405" s="3" t="s">
        <v>72</v>
      </c>
      <c r="L1405" t="str">
        <f>IFERROR(VLOOKUP(D1405,Products!$A$2:$F$61,3,FALSE()),"")</f>
        <v>Sports</v>
      </c>
      <c r="M1405" t="str">
        <f>IFERROR(VLOOKUP(E1405,Sales_Reps!$A$2:$C$31,3,FALSE()),"")</f>
        <v>North</v>
      </c>
      <c r="N1405">
        <f>IFERROR(VLOOKUP(D1405,Products!$A$2:$F$61,4,FALSE()),"")</f>
        <v>1860</v>
      </c>
      <c r="O1405" t="str">
        <f>IFERROR(VLOOKUP(C1405,Customers!$A$2:$F$301,5,FALSE()),"")</f>
        <v>Retail</v>
      </c>
      <c r="P1405">
        <f>IFERROR(VLOOKUP(C1405,Customers!$A$2:$F$301,3,FALSE()),"")</f>
        <v>60</v>
      </c>
      <c r="Q1405">
        <f t="shared" si="63"/>
        <v>0.50793650793650791</v>
      </c>
      <c r="R1405">
        <f>IF(AND(COUNTIF($A$2:$A$2047,A1405)&gt;1,COUNTIF($A$2:A1405,A1405)=1),1,0)</f>
        <v>0</v>
      </c>
      <c r="S1405" t="b">
        <f>IFERROR(VLOOKUP(D1405,Products!$A$2:$F$61,6,FALSE()),"")</f>
        <v>1</v>
      </c>
      <c r="T1405" t="str">
        <f>IF(COUNTIF(Customers!$A$2:$A$301,C1405)=0,"Missing","OK")</f>
        <v>OK</v>
      </c>
      <c r="U1405" t="str">
        <f t="shared" si="64"/>
        <v>Hyderabad</v>
      </c>
      <c r="V1405">
        <f t="shared" si="65"/>
        <v>0</v>
      </c>
    </row>
    <row r="1406" spans="1:22" ht="15" customHeight="1" x14ac:dyDescent="0.35">
      <c r="A1406" s="3" t="s">
        <v>1834</v>
      </c>
      <c r="B1406" s="4">
        <v>45526</v>
      </c>
      <c r="C1406" s="3" t="s">
        <v>342</v>
      </c>
      <c r="D1406" s="3" t="s">
        <v>112</v>
      </c>
      <c r="E1406" s="3" t="s">
        <v>50</v>
      </c>
      <c r="F1406" s="5">
        <v>9</v>
      </c>
      <c r="G1406" s="5">
        <v>2720</v>
      </c>
      <c r="H1406" s="5">
        <v>8.9</v>
      </c>
      <c r="I1406" s="5">
        <v>22301.279999999999</v>
      </c>
      <c r="J1406" s="3" t="s">
        <v>26</v>
      </c>
      <c r="K1406" s="3" t="s">
        <v>56</v>
      </c>
      <c r="L1406" t="str">
        <f>IFERROR(VLOOKUP(D1406,Products!$A$2:$F$61,3,FALSE()),"")</f>
        <v>Apparel</v>
      </c>
      <c r="M1406" t="str">
        <f>IFERROR(VLOOKUP(E1406,Sales_Reps!$A$2:$C$31,3,FALSE()),"")</f>
        <v>West</v>
      </c>
      <c r="N1406">
        <f>IFERROR(VLOOKUP(D1406,Products!$A$2:$F$61,4,FALSE()),"")</f>
        <v>1962</v>
      </c>
      <c r="O1406" t="str">
        <f>IFERROR(VLOOKUP(C1406,Customers!$A$2:$F$301,5,FALSE()),"")</f>
        <v>Retail</v>
      </c>
      <c r="P1406">
        <f>IFERROR(VLOOKUP(C1406,Customers!$A$2:$F$301,3,FALSE()),"")</f>
        <v>59</v>
      </c>
      <c r="Q1406">
        <f t="shared" si="63"/>
        <v>0.2786764705882353</v>
      </c>
      <c r="R1406">
        <f>IF(AND(COUNTIF($A$2:$A$2047,A1406)&gt;1,COUNTIF($A$2:A1406,A1406)=1),1,0)</f>
        <v>0</v>
      </c>
      <c r="S1406" t="b">
        <f>IFERROR(VLOOKUP(D1406,Products!$A$2:$F$61,6,FALSE()),"")</f>
        <v>1</v>
      </c>
      <c r="T1406" t="str">
        <f>IF(COUNTIF(Customers!$A$2:$A$301,C1406)=0,"Missing","OK")</f>
        <v>OK</v>
      </c>
      <c r="U1406" t="str">
        <f t="shared" si="64"/>
        <v>Bengaluru</v>
      </c>
      <c r="V1406">
        <f t="shared" si="65"/>
        <v>0</v>
      </c>
    </row>
    <row r="1407" spans="1:22" ht="15" customHeight="1" x14ac:dyDescent="0.35">
      <c r="A1407" s="3" t="s">
        <v>1835</v>
      </c>
      <c r="B1407" s="4">
        <v>45648</v>
      </c>
      <c r="C1407" s="3" t="s">
        <v>1004</v>
      </c>
      <c r="D1407" s="3" t="s">
        <v>24</v>
      </c>
      <c r="E1407" s="3" t="s">
        <v>78</v>
      </c>
      <c r="F1407" s="5">
        <v>4</v>
      </c>
      <c r="G1407" s="5">
        <v>3620</v>
      </c>
      <c r="H1407" s="5">
        <v>8</v>
      </c>
      <c r="I1407" s="5">
        <v>13321.6</v>
      </c>
      <c r="J1407" s="3" t="s">
        <v>32</v>
      </c>
      <c r="K1407" s="3" t="s">
        <v>33</v>
      </c>
      <c r="L1407" t="str">
        <f>IFERROR(VLOOKUP(D1407,Products!$A$2:$F$61,3,FALSE()),"")</f>
        <v>Apparel</v>
      </c>
      <c r="M1407" t="str">
        <f>IFERROR(VLOOKUP(E1407,Sales_Reps!$A$2:$C$31,3,FALSE()),"")</f>
        <v>North</v>
      </c>
      <c r="N1407">
        <f>IFERROR(VLOOKUP(D1407,Products!$A$2:$F$61,4,FALSE()),"")</f>
        <v>2509</v>
      </c>
      <c r="O1407" t="str">
        <f>IFERROR(VLOOKUP(C1407,Customers!$A$2:$F$301,5,FALSE()),"")</f>
        <v>Retail</v>
      </c>
      <c r="P1407">
        <f>IFERROR(VLOOKUP(C1407,Customers!$A$2:$F$301,3,FALSE()),"")</f>
        <v>49</v>
      </c>
      <c r="Q1407">
        <f t="shared" si="63"/>
        <v>0.3069060773480663</v>
      </c>
      <c r="R1407">
        <f>IF(AND(COUNTIF($A$2:$A$2047,A1407)&gt;1,COUNTIF($A$2:A1407,A1407)=1),1,0)</f>
        <v>0</v>
      </c>
      <c r="S1407" t="b">
        <f>IFERROR(VLOOKUP(D1407,Products!$A$2:$F$61,6,FALSE()),"")</f>
        <v>1</v>
      </c>
      <c r="T1407" t="str">
        <f>IF(COUNTIF(Customers!$A$2:$A$301,C1407)=0,"Missing","OK")</f>
        <v>OK</v>
      </c>
      <c r="U1407" t="str">
        <f t="shared" si="64"/>
        <v>Chennai</v>
      </c>
      <c r="V1407">
        <f t="shared" si="65"/>
        <v>0</v>
      </c>
    </row>
    <row r="1408" spans="1:22" ht="15" customHeight="1" x14ac:dyDescent="0.35">
      <c r="A1408" s="3" t="s">
        <v>1836</v>
      </c>
      <c r="B1408" s="4">
        <v>45325</v>
      </c>
      <c r="C1408" s="3" t="s">
        <v>451</v>
      </c>
      <c r="D1408" s="3" t="s">
        <v>391</v>
      </c>
      <c r="E1408" s="3" t="s">
        <v>78</v>
      </c>
      <c r="F1408" s="5">
        <v>1</v>
      </c>
      <c r="G1408" s="5">
        <v>3450</v>
      </c>
      <c r="H1408" s="5">
        <v>0.2</v>
      </c>
      <c r="I1408" s="5">
        <v>3443.1</v>
      </c>
      <c r="J1408" s="3" t="s">
        <v>26</v>
      </c>
      <c r="K1408" s="3" t="s">
        <v>72</v>
      </c>
      <c r="L1408" t="str">
        <f>IFERROR(VLOOKUP(D1408,Products!$A$2:$F$61,3,FALSE()),"")</f>
        <v>Apparel</v>
      </c>
      <c r="M1408" t="str">
        <f>IFERROR(VLOOKUP(E1408,Sales_Reps!$A$2:$C$31,3,FALSE()),"")</f>
        <v>North</v>
      </c>
      <c r="N1408">
        <f>IFERROR(VLOOKUP(D1408,Products!$A$2:$F$61,4,FALSE()),"")</f>
        <v>1748</v>
      </c>
      <c r="O1408" t="str">
        <f>IFERROR(VLOOKUP(C1408,Customers!$A$2:$F$301,5,FALSE()),"")</f>
        <v>Retail</v>
      </c>
      <c r="P1408">
        <f>IFERROR(VLOOKUP(C1408,Customers!$A$2:$F$301,3,FALSE()),"")</f>
        <v>61</v>
      </c>
      <c r="Q1408">
        <f t="shared" si="63"/>
        <v>0.49333333333333335</v>
      </c>
      <c r="R1408">
        <f>IF(AND(COUNTIF($A$2:$A$2047,A1408)&gt;1,COUNTIF($A$2:A1408,A1408)=1),1,0)</f>
        <v>0</v>
      </c>
      <c r="S1408" t="b">
        <f>IFERROR(VLOOKUP(D1408,Products!$A$2:$F$61,6,FALSE()),"")</f>
        <v>1</v>
      </c>
      <c r="T1408" t="str">
        <f>IF(COUNTIF(Customers!$A$2:$A$301,C1408)=0,"Missing","OK")</f>
        <v>OK</v>
      </c>
      <c r="U1408" t="str">
        <f t="shared" si="64"/>
        <v>Hyderabad</v>
      </c>
      <c r="V1408">
        <f t="shared" si="65"/>
        <v>0</v>
      </c>
    </row>
    <row r="1409" spans="1:22" ht="15" customHeight="1" x14ac:dyDescent="0.35">
      <c r="A1409" s="3" t="s">
        <v>1837</v>
      </c>
      <c r="B1409" s="4">
        <v>45640</v>
      </c>
      <c r="C1409" s="3" t="s">
        <v>485</v>
      </c>
      <c r="D1409" s="3" t="s">
        <v>176</v>
      </c>
      <c r="E1409" s="3" t="s">
        <v>37</v>
      </c>
      <c r="F1409" s="5">
        <v>7</v>
      </c>
      <c r="G1409" s="5">
        <v>3640</v>
      </c>
      <c r="H1409" s="5">
        <v>4.5999999999999996</v>
      </c>
      <c r="I1409" s="5">
        <v>24307.919999999998</v>
      </c>
      <c r="J1409" s="3" t="s">
        <v>26</v>
      </c>
      <c r="K1409" s="3" t="s">
        <v>38</v>
      </c>
      <c r="L1409" t="str">
        <f>IFERROR(VLOOKUP(D1409,Products!$A$2:$F$61,3,FALSE()),"")</f>
        <v>Apparel</v>
      </c>
      <c r="M1409" t="str">
        <f>IFERROR(VLOOKUP(E1409,Sales_Reps!$A$2:$C$31,3,FALSE()),"")</f>
        <v>South</v>
      </c>
      <c r="N1409">
        <f>IFERROR(VLOOKUP(D1409,Products!$A$2:$F$61,4,FALSE()),"")</f>
        <v>2611</v>
      </c>
      <c r="O1409" t="str">
        <f>IFERROR(VLOOKUP(C1409,Customers!$A$2:$F$301,5,FALSE()),"")</f>
        <v>SMB</v>
      </c>
      <c r="P1409">
        <f>IFERROR(VLOOKUP(C1409,Customers!$A$2:$F$301,3,FALSE()),"")</f>
        <v>29</v>
      </c>
      <c r="Q1409">
        <f t="shared" si="63"/>
        <v>0.28269230769230769</v>
      </c>
      <c r="R1409">
        <f>IF(AND(COUNTIF($A$2:$A$2047,A1409)&gt;1,COUNTIF($A$2:A1409,A1409)=1),1,0)</f>
        <v>0</v>
      </c>
      <c r="S1409" t="b">
        <f>IFERROR(VLOOKUP(D1409,Products!$A$2:$F$61,6,FALSE()),"")</f>
        <v>1</v>
      </c>
      <c r="T1409" t="str">
        <f>IF(COUNTIF(Customers!$A$2:$A$301,C1409)=0,"Missing","OK")</f>
        <v>OK</v>
      </c>
      <c r="U1409" t="str">
        <f t="shared" si="64"/>
        <v>Delhi</v>
      </c>
      <c r="V1409">
        <f t="shared" si="65"/>
        <v>0</v>
      </c>
    </row>
    <row r="1410" spans="1:22" ht="15" customHeight="1" x14ac:dyDescent="0.35">
      <c r="A1410" s="3" t="s">
        <v>1838</v>
      </c>
      <c r="B1410" s="4">
        <v>45423</v>
      </c>
      <c r="C1410" s="3" t="s">
        <v>975</v>
      </c>
      <c r="D1410" s="3" t="s">
        <v>231</v>
      </c>
      <c r="E1410" s="3" t="s">
        <v>93</v>
      </c>
      <c r="F1410" s="5">
        <v>9</v>
      </c>
      <c r="G1410" s="5">
        <v>620</v>
      </c>
      <c r="H1410" s="5">
        <v>8.5</v>
      </c>
      <c r="I1410" s="5">
        <v>5105.7</v>
      </c>
      <c r="J1410" s="3" t="s">
        <v>26</v>
      </c>
      <c r="K1410" s="3" t="s">
        <v>51</v>
      </c>
      <c r="L1410" t="str">
        <f>IFERROR(VLOOKUP(D1410,Products!$A$2:$F$61,3,FALSE()),"")</f>
        <v>Apparel</v>
      </c>
      <c r="M1410" t="str">
        <f>IFERROR(VLOOKUP(E1410,Sales_Reps!$A$2:$C$31,3,FALSE()),"")</f>
        <v>East</v>
      </c>
      <c r="N1410">
        <f>IFERROR(VLOOKUP(D1410,Products!$A$2:$F$61,4,FALSE()),"")</f>
        <v>396</v>
      </c>
      <c r="O1410" t="str">
        <f>IFERROR(VLOOKUP(C1410,Customers!$A$2:$F$301,5,FALSE()),"")</f>
        <v>Retail</v>
      </c>
      <c r="P1410">
        <f>IFERROR(VLOOKUP(C1410,Customers!$A$2:$F$301,3,FALSE()),"")</f>
        <v>33</v>
      </c>
      <c r="Q1410">
        <f t="shared" ref="Q1410:Q1473" si="66">IFERROR((G1410-N1410)/G1410,"")</f>
        <v>0.36129032258064514</v>
      </c>
      <c r="R1410">
        <f>IF(AND(COUNTIF($A$2:$A$2047,A1410)&gt;1,COUNTIF($A$2:A1410,A1410)=1),1,0)</f>
        <v>0</v>
      </c>
      <c r="S1410" t="b">
        <f>IFERROR(VLOOKUP(D1410,Products!$A$2:$F$61,6,FALSE()),"")</f>
        <v>1</v>
      </c>
      <c r="T1410" t="str">
        <f>IF(COUNTIF(Customers!$A$2:$A$301,C1410)=0,"Missing","OK")</f>
        <v>OK</v>
      </c>
      <c r="U1410" t="str">
        <f t="shared" ref="U1410:U1473" si="67">IF(K1410="","",PROPER(TRIM(K1410)))</f>
        <v>Mumbai</v>
      </c>
      <c r="V1410">
        <f t="shared" ref="V1410:V1473" si="68">IF(AND(U1410="Bengaluru",L1410="Grocery"),I1410,0)</f>
        <v>0</v>
      </c>
    </row>
    <row r="1411" spans="1:22" ht="15" customHeight="1" x14ac:dyDescent="0.35">
      <c r="A1411" s="3" t="s">
        <v>1839</v>
      </c>
      <c r="B1411" s="4">
        <v>45423</v>
      </c>
      <c r="C1411" s="3" t="s">
        <v>653</v>
      </c>
      <c r="D1411" s="3" t="s">
        <v>400</v>
      </c>
      <c r="E1411" s="3" t="s">
        <v>285</v>
      </c>
      <c r="F1411" s="5">
        <v>10</v>
      </c>
      <c r="G1411" s="5">
        <v>3780</v>
      </c>
      <c r="H1411" s="5">
        <v>5.8</v>
      </c>
      <c r="I1411" s="5">
        <v>35607.599999999999</v>
      </c>
      <c r="J1411" s="3" t="s">
        <v>26</v>
      </c>
      <c r="K1411" s="3" t="s">
        <v>38</v>
      </c>
      <c r="L1411" t="str">
        <f>IFERROR(VLOOKUP(D1411,Products!$A$2:$F$61,3,FALSE()),"")</f>
        <v>Sports</v>
      </c>
      <c r="M1411" t="str">
        <f>IFERROR(VLOOKUP(E1411,Sales_Reps!$A$2:$C$31,3,FALSE()),"")</f>
        <v>South</v>
      </c>
      <c r="N1411">
        <f>IFERROR(VLOOKUP(D1411,Products!$A$2:$F$61,4,FALSE()),"")</f>
        <v>1860</v>
      </c>
      <c r="O1411" t="str">
        <f>IFERROR(VLOOKUP(C1411,Customers!$A$2:$F$301,5,FALSE()),"")</f>
        <v>Retail</v>
      </c>
      <c r="P1411">
        <f>IFERROR(VLOOKUP(C1411,Customers!$A$2:$F$301,3,FALSE()),"")</f>
        <v>24</v>
      </c>
      <c r="Q1411">
        <f t="shared" si="66"/>
        <v>0.50793650793650791</v>
      </c>
      <c r="R1411">
        <f>IF(AND(COUNTIF($A$2:$A$2047,A1411)&gt;1,COUNTIF($A$2:A1411,A1411)=1),1,0)</f>
        <v>0</v>
      </c>
      <c r="S1411" t="b">
        <f>IFERROR(VLOOKUP(D1411,Products!$A$2:$F$61,6,FALSE()),"")</f>
        <v>1</v>
      </c>
      <c r="T1411" t="str">
        <f>IF(COUNTIF(Customers!$A$2:$A$301,C1411)=0,"Missing","OK")</f>
        <v>OK</v>
      </c>
      <c r="U1411" t="str">
        <f t="shared" si="67"/>
        <v>Delhi</v>
      </c>
      <c r="V1411">
        <f t="shared" si="68"/>
        <v>0</v>
      </c>
    </row>
    <row r="1412" spans="1:22" ht="15" customHeight="1" x14ac:dyDescent="0.35">
      <c r="A1412" s="3" t="s">
        <v>1840</v>
      </c>
      <c r="B1412" s="4">
        <v>45518</v>
      </c>
      <c r="C1412" s="3" t="s">
        <v>461</v>
      </c>
      <c r="D1412" s="3" t="s">
        <v>126</v>
      </c>
      <c r="E1412" s="3" t="s">
        <v>143</v>
      </c>
      <c r="F1412" s="5">
        <v>7</v>
      </c>
      <c r="G1412" s="5">
        <v>3570</v>
      </c>
      <c r="H1412" s="5">
        <v>26.1</v>
      </c>
      <c r="I1412" s="5">
        <v>18467.61</v>
      </c>
      <c r="J1412" s="3" t="s">
        <v>26</v>
      </c>
      <c r="K1412" s="3" t="s">
        <v>38</v>
      </c>
      <c r="L1412" t="str">
        <f>IFERROR(VLOOKUP(D1412,Products!$A$2:$F$61,3,FALSE()),"")</f>
        <v>Electronics</v>
      </c>
      <c r="M1412" t="str">
        <f>IFERROR(VLOOKUP(E1412,Sales_Reps!$A$2:$C$31,3,FALSE()),"")</f>
        <v>South</v>
      </c>
      <c r="N1412">
        <f>IFERROR(VLOOKUP(D1412,Products!$A$2:$F$61,4,FALSE()),"")</f>
        <v>1665</v>
      </c>
      <c r="O1412" t="str">
        <f>IFERROR(VLOOKUP(C1412,Customers!$A$2:$F$301,5,FALSE()),"")</f>
        <v>SMB</v>
      </c>
      <c r="P1412">
        <f>IFERROR(VLOOKUP(C1412,Customers!$A$2:$F$301,3,FALSE()),"")</f>
        <v>55</v>
      </c>
      <c r="Q1412">
        <f t="shared" si="66"/>
        <v>0.53361344537815125</v>
      </c>
      <c r="R1412">
        <f>IF(AND(COUNTIF($A$2:$A$2047,A1412)&gt;1,COUNTIF($A$2:A1412,A1412)=1),1,0)</f>
        <v>0</v>
      </c>
      <c r="S1412" t="b">
        <f>IFERROR(VLOOKUP(D1412,Products!$A$2:$F$61,6,FALSE()),"")</f>
        <v>1</v>
      </c>
      <c r="T1412" t="str">
        <f>IF(COUNTIF(Customers!$A$2:$A$301,C1412)=0,"Missing","OK")</f>
        <v>OK</v>
      </c>
      <c r="U1412" t="str">
        <f t="shared" si="67"/>
        <v>Delhi</v>
      </c>
      <c r="V1412">
        <f t="shared" si="68"/>
        <v>0</v>
      </c>
    </row>
    <row r="1413" spans="1:22" ht="15" customHeight="1" x14ac:dyDescent="0.35">
      <c r="A1413" s="3" t="s">
        <v>1841</v>
      </c>
      <c r="B1413" s="4">
        <v>45306</v>
      </c>
      <c r="C1413" s="3" t="s">
        <v>653</v>
      </c>
      <c r="D1413" s="3" t="s">
        <v>115</v>
      </c>
      <c r="E1413" s="3" t="s">
        <v>236</v>
      </c>
      <c r="F1413" s="5">
        <v>2</v>
      </c>
      <c r="G1413" s="5">
        <v>1650</v>
      </c>
      <c r="H1413" s="5">
        <v>3.8</v>
      </c>
      <c r="I1413" s="5">
        <v>3174.6</v>
      </c>
      <c r="J1413" s="3" t="s">
        <v>26</v>
      </c>
      <c r="K1413" s="3" t="s">
        <v>38</v>
      </c>
      <c r="L1413" t="str">
        <f>IFERROR(VLOOKUP(D1413,Products!$A$2:$F$61,3,FALSE()),"")</f>
        <v>Beauty</v>
      </c>
      <c r="M1413" t="str">
        <f>IFERROR(VLOOKUP(E1413,Sales_Reps!$A$2:$C$31,3,FALSE()),"")</f>
        <v>North</v>
      </c>
      <c r="N1413">
        <f>IFERROR(VLOOKUP(D1413,Products!$A$2:$F$61,4,FALSE()),"")</f>
        <v>1222</v>
      </c>
      <c r="O1413" t="str">
        <f>IFERROR(VLOOKUP(C1413,Customers!$A$2:$F$301,5,FALSE()),"")</f>
        <v>Retail</v>
      </c>
      <c r="P1413">
        <f>IFERROR(VLOOKUP(C1413,Customers!$A$2:$F$301,3,FALSE()),"")</f>
        <v>24</v>
      </c>
      <c r="Q1413">
        <f t="shared" si="66"/>
        <v>0.2593939393939394</v>
      </c>
      <c r="R1413">
        <f>IF(AND(COUNTIF($A$2:$A$2047,A1413)&gt;1,COUNTIF($A$2:A1413,A1413)=1),1,0)</f>
        <v>0</v>
      </c>
      <c r="S1413" t="b">
        <f>IFERROR(VLOOKUP(D1413,Products!$A$2:$F$61,6,FALSE()),"")</f>
        <v>1</v>
      </c>
      <c r="T1413" t="str">
        <f>IF(COUNTIF(Customers!$A$2:$A$301,C1413)=0,"Missing","OK")</f>
        <v>OK</v>
      </c>
      <c r="U1413" t="str">
        <f t="shared" si="67"/>
        <v>Delhi</v>
      </c>
      <c r="V1413">
        <f t="shared" si="68"/>
        <v>0</v>
      </c>
    </row>
    <row r="1414" spans="1:22" ht="15" customHeight="1" x14ac:dyDescent="0.35">
      <c r="A1414" s="3" t="s">
        <v>1842</v>
      </c>
      <c r="B1414" s="4">
        <v>45346</v>
      </c>
      <c r="C1414" s="3" t="s">
        <v>1663</v>
      </c>
      <c r="D1414" s="3" t="s">
        <v>319</v>
      </c>
      <c r="E1414" s="3" t="s">
        <v>264</v>
      </c>
      <c r="F1414" s="5">
        <v>2</v>
      </c>
      <c r="G1414" s="5">
        <v>960</v>
      </c>
      <c r="H1414" s="5">
        <v>6.8</v>
      </c>
      <c r="I1414" s="5">
        <v>1789.44</v>
      </c>
      <c r="J1414" s="3" t="s">
        <v>26</v>
      </c>
      <c r="K1414" s="3" t="s">
        <v>56</v>
      </c>
      <c r="L1414" t="str">
        <f>IFERROR(VLOOKUP(D1414,Products!$A$2:$F$61,3,FALSE()),"")</f>
        <v>Beauty</v>
      </c>
      <c r="M1414" t="str">
        <f>IFERROR(VLOOKUP(E1414,Sales_Reps!$A$2:$C$31,3,FALSE()),"")</f>
        <v>South</v>
      </c>
      <c r="N1414">
        <f>IFERROR(VLOOKUP(D1414,Products!$A$2:$F$61,4,FALSE()),"")</f>
        <v>675</v>
      </c>
      <c r="O1414" t="str">
        <f>IFERROR(VLOOKUP(C1414,Customers!$A$2:$F$301,5,FALSE()),"")</f>
        <v>SMB</v>
      </c>
      <c r="P1414">
        <f>IFERROR(VLOOKUP(C1414,Customers!$A$2:$F$301,3,FALSE()),"")</f>
        <v>54</v>
      </c>
      <c r="Q1414">
        <f t="shared" si="66"/>
        <v>0.296875</v>
      </c>
      <c r="R1414">
        <f>IF(AND(COUNTIF($A$2:$A$2047,A1414)&gt;1,COUNTIF($A$2:A1414,A1414)=1),1,0)</f>
        <v>0</v>
      </c>
      <c r="S1414" t="b">
        <f>IFERROR(VLOOKUP(D1414,Products!$A$2:$F$61,6,FALSE()),"")</f>
        <v>1</v>
      </c>
      <c r="T1414" t="str">
        <f>IF(COUNTIF(Customers!$A$2:$A$301,C1414)=0,"Missing","OK")</f>
        <v>OK</v>
      </c>
      <c r="U1414" t="str">
        <f t="shared" si="67"/>
        <v>Bengaluru</v>
      </c>
      <c r="V1414">
        <f t="shared" si="68"/>
        <v>0</v>
      </c>
    </row>
    <row r="1415" spans="1:22" ht="15" customHeight="1" x14ac:dyDescent="0.35">
      <c r="A1415" s="3" t="s">
        <v>1843</v>
      </c>
      <c r="B1415" s="4">
        <v>45376</v>
      </c>
      <c r="C1415" s="3" t="s">
        <v>811</v>
      </c>
      <c r="D1415" s="3" t="s">
        <v>221</v>
      </c>
      <c r="E1415" s="3" t="s">
        <v>42</v>
      </c>
      <c r="F1415" s="5">
        <v>2</v>
      </c>
      <c r="G1415" s="5">
        <v>300</v>
      </c>
      <c r="H1415" s="5">
        <v>2.8</v>
      </c>
      <c r="I1415" s="5">
        <v>583.20000000000005</v>
      </c>
      <c r="J1415" s="3" t="s">
        <v>26</v>
      </c>
      <c r="K1415" s="3" t="s">
        <v>51</v>
      </c>
      <c r="L1415" t="str">
        <f>IFERROR(VLOOKUP(D1415,Products!$A$2:$F$61,3,FALSE()),"")</f>
        <v>Electronics</v>
      </c>
      <c r="M1415" t="str">
        <f>IFERROR(VLOOKUP(E1415,Sales_Reps!$A$2:$C$31,3,FALSE()),"")</f>
        <v>North</v>
      </c>
      <c r="N1415">
        <f>IFERROR(VLOOKUP(D1415,Products!$A$2:$F$61,4,FALSE()),"")</f>
        <v>128</v>
      </c>
      <c r="O1415" t="str">
        <f>IFERROR(VLOOKUP(C1415,Customers!$A$2:$F$301,5,FALSE()),"")</f>
        <v>Corporate</v>
      </c>
      <c r="P1415">
        <f>IFERROR(VLOOKUP(C1415,Customers!$A$2:$F$301,3,FALSE()),"")</f>
        <v>62</v>
      </c>
      <c r="Q1415">
        <f t="shared" si="66"/>
        <v>0.57333333333333336</v>
      </c>
      <c r="R1415">
        <f>IF(AND(COUNTIF($A$2:$A$2047,A1415)&gt;1,COUNTIF($A$2:A1415,A1415)=1),1,0)</f>
        <v>0</v>
      </c>
      <c r="S1415" t="b">
        <f>IFERROR(VLOOKUP(D1415,Products!$A$2:$F$61,6,FALSE()),"")</f>
        <v>1</v>
      </c>
      <c r="T1415" t="str">
        <f>IF(COUNTIF(Customers!$A$2:$A$301,C1415)=0,"Missing","OK")</f>
        <v>OK</v>
      </c>
      <c r="U1415" t="str">
        <f t="shared" si="67"/>
        <v>Mumbai</v>
      </c>
      <c r="V1415">
        <f t="shared" si="68"/>
        <v>0</v>
      </c>
    </row>
    <row r="1416" spans="1:22" ht="15" customHeight="1" x14ac:dyDescent="0.35">
      <c r="A1416" s="3" t="s">
        <v>1844</v>
      </c>
      <c r="B1416" s="4">
        <v>45561</v>
      </c>
      <c r="C1416" s="3" t="s">
        <v>432</v>
      </c>
      <c r="D1416" s="3" t="s">
        <v>290</v>
      </c>
      <c r="E1416" s="3" t="s">
        <v>282</v>
      </c>
      <c r="F1416" s="5">
        <v>10</v>
      </c>
      <c r="G1416" s="5">
        <v>4060</v>
      </c>
      <c r="H1416" s="5">
        <v>15.1</v>
      </c>
      <c r="I1416" s="5">
        <v>34469.4</v>
      </c>
      <c r="J1416" s="3" t="s">
        <v>26</v>
      </c>
      <c r="K1416" s="3" t="s">
        <v>27</v>
      </c>
      <c r="L1416" t="str">
        <f>IFERROR(VLOOKUP(D1416,Products!$A$2:$F$61,3,FALSE()),"")</f>
        <v>Grocery</v>
      </c>
      <c r="M1416" t="str">
        <f>IFERROR(VLOOKUP(E1416,Sales_Reps!$A$2:$C$31,3,FALSE()),"")</f>
        <v>West</v>
      </c>
      <c r="N1416">
        <f>IFERROR(VLOOKUP(D1416,Products!$A$2:$F$61,4,FALSE()),"")</f>
        <v>2911</v>
      </c>
      <c r="O1416" t="str">
        <f>IFERROR(VLOOKUP(C1416,Customers!$A$2:$F$301,5,FALSE()),"")</f>
        <v>Retail</v>
      </c>
      <c r="P1416">
        <f>IFERROR(VLOOKUP(C1416,Customers!$A$2:$F$301,3,FALSE()),"")</f>
        <v>57</v>
      </c>
      <c r="Q1416">
        <f t="shared" si="66"/>
        <v>0.28300492610837441</v>
      </c>
      <c r="R1416">
        <f>IF(AND(COUNTIF($A$2:$A$2047,A1416)&gt;1,COUNTIF($A$2:A1416,A1416)=1),1,0)</f>
        <v>0</v>
      </c>
      <c r="S1416" t="b">
        <f>IFERROR(VLOOKUP(D1416,Products!$A$2:$F$61,6,FALSE()),"")</f>
        <v>1</v>
      </c>
      <c r="T1416" t="str">
        <f>IF(COUNTIF(Customers!$A$2:$A$301,C1416)=0,"Missing","OK")</f>
        <v>OK</v>
      </c>
      <c r="U1416" t="str">
        <f t="shared" si="67"/>
        <v>Pune</v>
      </c>
      <c r="V1416">
        <f t="shared" si="68"/>
        <v>0</v>
      </c>
    </row>
    <row r="1417" spans="1:22" ht="15" customHeight="1" x14ac:dyDescent="0.35">
      <c r="A1417" s="3" t="s">
        <v>1845</v>
      </c>
      <c r="B1417" s="4">
        <v>45320</v>
      </c>
      <c r="C1417" s="3" t="s">
        <v>1130</v>
      </c>
      <c r="D1417" s="3" t="s">
        <v>303</v>
      </c>
      <c r="E1417" s="3" t="s">
        <v>224</v>
      </c>
      <c r="F1417" s="5">
        <v>6</v>
      </c>
      <c r="G1417" s="5">
        <v>5330</v>
      </c>
      <c r="H1417" s="5">
        <v>2</v>
      </c>
      <c r="I1417" s="5">
        <v>31340.400000000001</v>
      </c>
      <c r="J1417" s="3" t="s">
        <v>26</v>
      </c>
      <c r="K1417" s="3" t="s">
        <v>56</v>
      </c>
      <c r="L1417" t="str">
        <f>IFERROR(VLOOKUP(D1417,Products!$A$2:$F$61,3,FALSE()),"")</f>
        <v>Electronics</v>
      </c>
      <c r="M1417" t="str">
        <f>IFERROR(VLOOKUP(E1417,Sales_Reps!$A$2:$C$31,3,FALSE()),"")</f>
        <v>East</v>
      </c>
      <c r="N1417">
        <f>IFERROR(VLOOKUP(D1417,Products!$A$2:$F$61,4,FALSE()),"")</f>
        <v>2405</v>
      </c>
      <c r="O1417" t="str">
        <f>IFERROR(VLOOKUP(C1417,Customers!$A$2:$F$301,5,FALSE()),"")</f>
        <v>Retail</v>
      </c>
      <c r="P1417">
        <f>IFERROR(VLOOKUP(C1417,Customers!$A$2:$F$301,3,FALSE()),"")</f>
        <v>36</v>
      </c>
      <c r="Q1417">
        <f t="shared" si="66"/>
        <v>0.54878048780487809</v>
      </c>
      <c r="R1417">
        <f>IF(AND(COUNTIF($A$2:$A$2047,A1417)&gt;1,COUNTIF($A$2:A1417,A1417)=1),1,0)</f>
        <v>0</v>
      </c>
      <c r="S1417" t="b">
        <f>IFERROR(VLOOKUP(D1417,Products!$A$2:$F$61,6,FALSE()),"")</f>
        <v>1</v>
      </c>
      <c r="T1417" t="str">
        <f>IF(COUNTIF(Customers!$A$2:$A$301,C1417)=0,"Missing","OK")</f>
        <v>OK</v>
      </c>
      <c r="U1417" t="str">
        <f t="shared" si="67"/>
        <v>Bengaluru</v>
      </c>
      <c r="V1417">
        <f t="shared" si="68"/>
        <v>0</v>
      </c>
    </row>
    <row r="1418" spans="1:22" ht="15" customHeight="1" x14ac:dyDescent="0.35">
      <c r="A1418" s="3" t="s">
        <v>1846</v>
      </c>
      <c r="B1418" s="4">
        <v>45572</v>
      </c>
      <c r="C1418" s="3" t="s">
        <v>359</v>
      </c>
      <c r="D1418" s="3" t="s">
        <v>165</v>
      </c>
      <c r="E1418" s="3" t="s">
        <v>97</v>
      </c>
      <c r="F1418" s="5">
        <v>9</v>
      </c>
      <c r="G1418" s="5">
        <v>3730</v>
      </c>
      <c r="H1418" s="5">
        <v>24.5</v>
      </c>
      <c r="I1418" s="5">
        <v>25345.35</v>
      </c>
      <c r="J1418" s="3" t="s">
        <v>83</v>
      </c>
      <c r="K1418" s="3" t="s">
        <v>38</v>
      </c>
      <c r="L1418" t="str">
        <f>IFERROR(VLOOKUP(D1418,Products!$A$2:$F$61,3,FALSE()),"")</f>
        <v>Home</v>
      </c>
      <c r="M1418" t="str">
        <f>IFERROR(VLOOKUP(E1418,Sales_Reps!$A$2:$C$31,3,FALSE()),"")</f>
        <v>East</v>
      </c>
      <c r="N1418">
        <f>IFERROR(VLOOKUP(D1418,Products!$A$2:$F$61,4,FALSE()),"")</f>
        <v>2135</v>
      </c>
      <c r="O1418" t="str">
        <f>IFERROR(VLOOKUP(C1418,Customers!$A$2:$F$301,5,FALSE()),"")</f>
        <v>Retail</v>
      </c>
      <c r="P1418">
        <f>IFERROR(VLOOKUP(C1418,Customers!$A$2:$F$301,3,FALSE()),"")</f>
        <v>44</v>
      </c>
      <c r="Q1418">
        <f t="shared" si="66"/>
        <v>0.42761394101876676</v>
      </c>
      <c r="R1418">
        <f>IF(AND(COUNTIF($A$2:$A$2047,A1418)&gt;1,COUNTIF($A$2:A1418,A1418)=1),1,0)</f>
        <v>0</v>
      </c>
      <c r="S1418" t="b">
        <f>IFERROR(VLOOKUP(D1418,Products!$A$2:$F$61,6,FALSE()),"")</f>
        <v>1</v>
      </c>
      <c r="T1418" t="str">
        <f>IF(COUNTIF(Customers!$A$2:$A$301,C1418)=0,"Missing","OK")</f>
        <v>OK</v>
      </c>
      <c r="U1418" t="str">
        <f t="shared" si="67"/>
        <v>Delhi</v>
      </c>
      <c r="V1418">
        <f t="shared" si="68"/>
        <v>0</v>
      </c>
    </row>
    <row r="1419" spans="1:22" ht="15" customHeight="1" x14ac:dyDescent="0.35">
      <c r="A1419" s="3" t="s">
        <v>1847</v>
      </c>
      <c r="B1419" s="4">
        <v>45611</v>
      </c>
      <c r="C1419" s="3" t="s">
        <v>292</v>
      </c>
      <c r="D1419" s="3" t="s">
        <v>180</v>
      </c>
      <c r="E1419" s="3" t="s">
        <v>109</v>
      </c>
      <c r="F1419" s="5">
        <v>1</v>
      </c>
      <c r="G1419" s="5">
        <v>6080</v>
      </c>
      <c r="H1419" s="5">
        <v>4.4000000000000004</v>
      </c>
      <c r="I1419" s="5">
        <v>5812.48</v>
      </c>
      <c r="J1419" s="3" t="s">
        <v>79</v>
      </c>
      <c r="K1419" s="3" t="s">
        <v>33</v>
      </c>
      <c r="L1419" t="str">
        <f>IFERROR(VLOOKUP(D1419,Products!$A$2:$F$61,3,FALSE()),"")</f>
        <v>Beauty</v>
      </c>
      <c r="M1419" t="str">
        <f>IFERROR(VLOOKUP(E1419,Sales_Reps!$A$2:$C$31,3,FALSE()),"")</f>
        <v>West</v>
      </c>
      <c r="N1419">
        <f>IFERROR(VLOOKUP(D1419,Products!$A$2:$F$61,4,FALSE()),"")</f>
        <v>2617</v>
      </c>
      <c r="O1419" t="str">
        <f>IFERROR(VLOOKUP(C1419,Customers!$A$2:$F$301,5,FALSE()),"")</f>
        <v>Retail</v>
      </c>
      <c r="P1419">
        <f>IFERROR(VLOOKUP(C1419,Customers!$A$2:$F$301,3,FALSE()),"")</f>
        <v>60</v>
      </c>
      <c r="Q1419">
        <f t="shared" si="66"/>
        <v>0.56957236842105263</v>
      </c>
      <c r="R1419">
        <f>IF(AND(COUNTIF($A$2:$A$2047,A1419)&gt;1,COUNTIF($A$2:A1419,A1419)=1),1,0)</f>
        <v>0</v>
      </c>
      <c r="S1419" t="b">
        <f>IFERROR(VLOOKUP(D1419,Products!$A$2:$F$61,6,FALSE()),"")</f>
        <v>1</v>
      </c>
      <c r="T1419" t="str">
        <f>IF(COUNTIF(Customers!$A$2:$A$301,C1419)=0,"Missing","OK")</f>
        <v>OK</v>
      </c>
      <c r="U1419" t="str">
        <f t="shared" si="67"/>
        <v>Chennai</v>
      </c>
      <c r="V1419">
        <f t="shared" si="68"/>
        <v>0</v>
      </c>
    </row>
    <row r="1420" spans="1:22" ht="15" customHeight="1" x14ac:dyDescent="0.35">
      <c r="A1420" s="3" t="s">
        <v>1848</v>
      </c>
      <c r="B1420" s="4">
        <v>45524</v>
      </c>
      <c r="C1420" s="3" t="s">
        <v>646</v>
      </c>
      <c r="D1420" s="3" t="s">
        <v>112</v>
      </c>
      <c r="E1420" s="3" t="s">
        <v>50</v>
      </c>
      <c r="F1420" s="5">
        <v>5</v>
      </c>
      <c r="G1420" s="5">
        <v>2720</v>
      </c>
      <c r="H1420" s="5">
        <v>9.1999999999999993</v>
      </c>
      <c r="I1420" s="5">
        <v>12348.8</v>
      </c>
      <c r="J1420" s="3" t="s">
        <v>26</v>
      </c>
      <c r="K1420" s="3" t="s">
        <v>51</v>
      </c>
      <c r="L1420" t="str">
        <f>IFERROR(VLOOKUP(D1420,Products!$A$2:$F$61,3,FALSE()),"")</f>
        <v>Apparel</v>
      </c>
      <c r="M1420" t="str">
        <f>IFERROR(VLOOKUP(E1420,Sales_Reps!$A$2:$C$31,3,FALSE()),"")</f>
        <v>West</v>
      </c>
      <c r="N1420">
        <f>IFERROR(VLOOKUP(D1420,Products!$A$2:$F$61,4,FALSE()),"")</f>
        <v>1962</v>
      </c>
      <c r="O1420" t="str">
        <f>IFERROR(VLOOKUP(C1420,Customers!$A$2:$F$301,5,FALSE()),"")</f>
        <v>Retail</v>
      </c>
      <c r="P1420">
        <f>IFERROR(VLOOKUP(C1420,Customers!$A$2:$F$301,3,FALSE()),"")</f>
        <v>33</v>
      </c>
      <c r="Q1420">
        <f t="shared" si="66"/>
        <v>0.2786764705882353</v>
      </c>
      <c r="R1420">
        <f>IF(AND(COUNTIF($A$2:$A$2047,A1420)&gt;1,COUNTIF($A$2:A1420,A1420)=1),1,0)</f>
        <v>0</v>
      </c>
      <c r="S1420" t="b">
        <f>IFERROR(VLOOKUP(D1420,Products!$A$2:$F$61,6,FALSE()),"")</f>
        <v>1</v>
      </c>
      <c r="T1420" t="str">
        <f>IF(COUNTIF(Customers!$A$2:$A$301,C1420)=0,"Missing","OK")</f>
        <v>OK</v>
      </c>
      <c r="U1420" t="str">
        <f t="shared" si="67"/>
        <v>Mumbai</v>
      </c>
      <c r="V1420">
        <f t="shared" si="68"/>
        <v>0</v>
      </c>
    </row>
    <row r="1421" spans="1:22" ht="15" customHeight="1" x14ac:dyDescent="0.35">
      <c r="A1421" s="3" t="s">
        <v>1849</v>
      </c>
      <c r="B1421" s="4">
        <v>45438</v>
      </c>
      <c r="C1421" s="3" t="s">
        <v>350</v>
      </c>
      <c r="D1421" s="3" t="s">
        <v>391</v>
      </c>
      <c r="E1421" s="3" t="s">
        <v>93</v>
      </c>
      <c r="F1421" s="5">
        <v>1</v>
      </c>
      <c r="G1421" s="5">
        <v>3450</v>
      </c>
      <c r="H1421" s="5">
        <v>15.6</v>
      </c>
      <c r="I1421" s="5">
        <v>2911.8</v>
      </c>
      <c r="J1421" s="3" t="s">
        <v>26</v>
      </c>
      <c r="K1421" s="3" t="s">
        <v>51</v>
      </c>
      <c r="L1421" t="str">
        <f>IFERROR(VLOOKUP(D1421,Products!$A$2:$F$61,3,FALSE()),"")</f>
        <v>Apparel</v>
      </c>
      <c r="M1421" t="str">
        <f>IFERROR(VLOOKUP(E1421,Sales_Reps!$A$2:$C$31,3,FALSE()),"")</f>
        <v>East</v>
      </c>
      <c r="N1421">
        <f>IFERROR(VLOOKUP(D1421,Products!$A$2:$F$61,4,FALSE()),"")</f>
        <v>1748</v>
      </c>
      <c r="O1421" t="str">
        <f>IFERROR(VLOOKUP(C1421,Customers!$A$2:$F$301,5,FALSE()),"")</f>
        <v>Retail</v>
      </c>
      <c r="P1421">
        <f>IFERROR(VLOOKUP(C1421,Customers!$A$2:$F$301,3,FALSE()),"")</f>
        <v>61</v>
      </c>
      <c r="Q1421">
        <f t="shared" si="66"/>
        <v>0.49333333333333335</v>
      </c>
      <c r="R1421">
        <f>IF(AND(COUNTIF($A$2:$A$2047,A1421)&gt;1,COUNTIF($A$2:A1421,A1421)=1),1,0)</f>
        <v>0</v>
      </c>
      <c r="S1421" t="b">
        <f>IFERROR(VLOOKUP(D1421,Products!$A$2:$F$61,6,FALSE()),"")</f>
        <v>1</v>
      </c>
      <c r="T1421" t="str">
        <f>IF(COUNTIF(Customers!$A$2:$A$301,C1421)=0,"Missing","OK")</f>
        <v>OK</v>
      </c>
      <c r="U1421" t="str">
        <f t="shared" si="67"/>
        <v>Mumbai</v>
      </c>
      <c r="V1421">
        <f t="shared" si="68"/>
        <v>0</v>
      </c>
    </row>
    <row r="1422" spans="1:22" ht="15" customHeight="1" x14ac:dyDescent="0.35">
      <c r="A1422" s="3" t="s">
        <v>1850</v>
      </c>
      <c r="B1422" s="4">
        <v>45484</v>
      </c>
      <c r="C1422" s="3" t="s">
        <v>1562</v>
      </c>
      <c r="D1422" s="3" t="s">
        <v>441</v>
      </c>
      <c r="E1422" s="3" t="s">
        <v>224</v>
      </c>
      <c r="F1422" s="5">
        <v>2</v>
      </c>
      <c r="G1422" s="5">
        <v>1090</v>
      </c>
      <c r="H1422" s="5">
        <v>0.4</v>
      </c>
      <c r="I1422" s="5">
        <v>2171.2800000000002</v>
      </c>
      <c r="J1422" s="3" t="s">
        <v>83</v>
      </c>
      <c r="K1422" s="3" t="s">
        <v>56</v>
      </c>
      <c r="L1422" t="str">
        <f>IFERROR(VLOOKUP(D1422,Products!$A$2:$F$61,3,FALSE()),"")</f>
        <v>Home</v>
      </c>
      <c r="M1422" t="str">
        <f>IFERROR(VLOOKUP(E1422,Sales_Reps!$A$2:$C$31,3,FALSE()),"")</f>
        <v>East</v>
      </c>
      <c r="N1422">
        <f>IFERROR(VLOOKUP(D1422,Products!$A$2:$F$61,4,FALSE()),"")</f>
        <v>464</v>
      </c>
      <c r="O1422" t="str">
        <f>IFERROR(VLOOKUP(C1422,Customers!$A$2:$F$301,5,FALSE()),"")</f>
        <v>Retail</v>
      </c>
      <c r="P1422">
        <f>IFERROR(VLOOKUP(C1422,Customers!$A$2:$F$301,3,FALSE()),"")</f>
        <v>53</v>
      </c>
      <c r="Q1422">
        <f t="shared" si="66"/>
        <v>0.57431192660550456</v>
      </c>
      <c r="R1422">
        <f>IF(AND(COUNTIF($A$2:$A$2047,A1422)&gt;1,COUNTIF($A$2:A1422,A1422)=1),1,0)</f>
        <v>0</v>
      </c>
      <c r="S1422" t="b">
        <f>IFERROR(VLOOKUP(D1422,Products!$A$2:$F$61,6,FALSE()),"")</f>
        <v>1</v>
      </c>
      <c r="T1422" t="str">
        <f>IF(COUNTIF(Customers!$A$2:$A$301,C1422)=0,"Missing","OK")</f>
        <v>OK</v>
      </c>
      <c r="U1422" t="str">
        <f t="shared" si="67"/>
        <v>Bengaluru</v>
      </c>
      <c r="V1422">
        <f t="shared" si="68"/>
        <v>0</v>
      </c>
    </row>
    <row r="1423" spans="1:22" ht="15" customHeight="1" x14ac:dyDescent="0.35">
      <c r="A1423" s="3" t="s">
        <v>1851</v>
      </c>
      <c r="B1423" s="4">
        <v>45643</v>
      </c>
      <c r="C1423" s="3" t="s">
        <v>478</v>
      </c>
      <c r="D1423" s="3" t="s">
        <v>126</v>
      </c>
      <c r="E1423" s="3" t="s">
        <v>177</v>
      </c>
      <c r="F1423" s="5">
        <v>2</v>
      </c>
      <c r="G1423" s="5">
        <v>3570</v>
      </c>
      <c r="H1423" s="5">
        <v>9</v>
      </c>
      <c r="I1423" s="5">
        <v>6497.4</v>
      </c>
      <c r="J1423" s="3" t="s">
        <v>26</v>
      </c>
      <c r="K1423" s="3" t="s">
        <v>72</v>
      </c>
      <c r="L1423" t="str">
        <f>IFERROR(VLOOKUP(D1423,Products!$A$2:$F$61,3,FALSE()),"")</f>
        <v>Electronics</v>
      </c>
      <c r="M1423" t="str">
        <f>IFERROR(VLOOKUP(E1423,Sales_Reps!$A$2:$C$31,3,FALSE()),"")</f>
        <v>East</v>
      </c>
      <c r="N1423">
        <f>IFERROR(VLOOKUP(D1423,Products!$A$2:$F$61,4,FALSE()),"")</f>
        <v>1665</v>
      </c>
      <c r="O1423" t="str">
        <f>IFERROR(VLOOKUP(C1423,Customers!$A$2:$F$301,5,FALSE()),"")</f>
        <v>Retail</v>
      </c>
      <c r="P1423">
        <f>IFERROR(VLOOKUP(C1423,Customers!$A$2:$F$301,3,FALSE()),"")</f>
        <v>38</v>
      </c>
      <c r="Q1423">
        <f t="shared" si="66"/>
        <v>0.53361344537815125</v>
      </c>
      <c r="R1423">
        <f>IF(AND(COUNTIF($A$2:$A$2047,A1423)&gt;1,COUNTIF($A$2:A1423,A1423)=1),1,0)</f>
        <v>0</v>
      </c>
      <c r="S1423" t="b">
        <f>IFERROR(VLOOKUP(D1423,Products!$A$2:$F$61,6,FALSE()),"")</f>
        <v>1</v>
      </c>
      <c r="T1423" t="str">
        <f>IF(COUNTIF(Customers!$A$2:$A$301,C1423)=0,"Missing","OK")</f>
        <v>OK</v>
      </c>
      <c r="U1423" t="str">
        <f t="shared" si="67"/>
        <v>Hyderabad</v>
      </c>
      <c r="V1423">
        <f t="shared" si="68"/>
        <v>0</v>
      </c>
    </row>
    <row r="1424" spans="1:22" ht="15" customHeight="1" x14ac:dyDescent="0.35">
      <c r="A1424" s="3" t="s">
        <v>1852</v>
      </c>
      <c r="B1424" s="4">
        <v>45437</v>
      </c>
      <c r="C1424" s="3" t="s">
        <v>461</v>
      </c>
      <c r="D1424" s="3" t="s">
        <v>106</v>
      </c>
      <c r="E1424" s="3" t="s">
        <v>37</v>
      </c>
      <c r="F1424" s="5">
        <v>9</v>
      </c>
      <c r="G1424" s="5">
        <v>2480</v>
      </c>
      <c r="H1424" s="5">
        <v>3.6</v>
      </c>
      <c r="I1424" s="5">
        <v>21516.48</v>
      </c>
      <c r="J1424" s="3" t="s">
        <v>32</v>
      </c>
      <c r="K1424" s="3" t="s">
        <v>38</v>
      </c>
      <c r="L1424" t="str">
        <f>IFERROR(VLOOKUP(D1424,Products!$A$2:$F$61,3,FALSE()),"")</f>
        <v>Apparel</v>
      </c>
      <c r="M1424" t="str">
        <f>IFERROR(VLOOKUP(E1424,Sales_Reps!$A$2:$C$31,3,FALSE()),"")</f>
        <v>South</v>
      </c>
      <c r="N1424">
        <f>IFERROR(VLOOKUP(D1424,Products!$A$2:$F$61,4,FALSE()),"")</f>
        <v>1173</v>
      </c>
      <c r="O1424" t="str">
        <f>IFERROR(VLOOKUP(C1424,Customers!$A$2:$F$301,5,FALSE()),"")</f>
        <v>SMB</v>
      </c>
      <c r="P1424">
        <f>IFERROR(VLOOKUP(C1424,Customers!$A$2:$F$301,3,FALSE()),"")</f>
        <v>55</v>
      </c>
      <c r="Q1424">
        <f t="shared" si="66"/>
        <v>0.52701612903225803</v>
      </c>
      <c r="R1424">
        <f>IF(AND(COUNTIF($A$2:$A$2047,A1424)&gt;1,COUNTIF($A$2:A1424,A1424)=1),1,0)</f>
        <v>0</v>
      </c>
      <c r="S1424" t="b">
        <f>IFERROR(VLOOKUP(D1424,Products!$A$2:$F$61,6,FALSE()),"")</f>
        <v>1</v>
      </c>
      <c r="T1424" t="str">
        <f>IF(COUNTIF(Customers!$A$2:$A$301,C1424)=0,"Missing","OK")</f>
        <v>OK</v>
      </c>
      <c r="U1424" t="str">
        <f t="shared" si="67"/>
        <v>Delhi</v>
      </c>
      <c r="V1424">
        <f t="shared" si="68"/>
        <v>0</v>
      </c>
    </row>
    <row r="1425" spans="1:22" ht="15" customHeight="1" x14ac:dyDescent="0.35">
      <c r="A1425" s="3" t="s">
        <v>1853</v>
      </c>
      <c r="B1425" s="4">
        <v>45303</v>
      </c>
      <c r="C1425" s="3" t="s">
        <v>483</v>
      </c>
      <c r="D1425" s="3" t="s">
        <v>173</v>
      </c>
      <c r="E1425" s="3" t="s">
        <v>224</v>
      </c>
      <c r="F1425" s="5">
        <v>9</v>
      </c>
      <c r="G1425" s="5">
        <v>3780</v>
      </c>
      <c r="H1425" s="5">
        <v>4.5</v>
      </c>
      <c r="I1425" s="5">
        <v>32489.1</v>
      </c>
      <c r="J1425" s="3" t="s">
        <v>26</v>
      </c>
      <c r="K1425" s="3" t="s">
        <v>72</v>
      </c>
      <c r="L1425" t="str">
        <f>IFERROR(VLOOKUP(D1425,Products!$A$2:$F$61,3,FALSE()),"")</f>
        <v>Grocery</v>
      </c>
      <c r="M1425" t="str">
        <f>IFERROR(VLOOKUP(E1425,Sales_Reps!$A$2:$C$31,3,FALSE()),"")</f>
        <v>East</v>
      </c>
      <c r="N1425">
        <f>IFERROR(VLOOKUP(D1425,Products!$A$2:$F$61,4,FALSE()),"")</f>
        <v>2436</v>
      </c>
      <c r="O1425" t="str">
        <f>IFERROR(VLOOKUP(C1425,Customers!$A$2:$F$301,5,FALSE()),"")</f>
        <v>Retail</v>
      </c>
      <c r="P1425">
        <f>IFERROR(VLOOKUP(C1425,Customers!$A$2:$F$301,3,FALSE()),"")</f>
        <v>25</v>
      </c>
      <c r="Q1425">
        <f t="shared" si="66"/>
        <v>0.35555555555555557</v>
      </c>
      <c r="R1425">
        <f>IF(AND(COUNTIF($A$2:$A$2047,A1425)&gt;1,COUNTIF($A$2:A1425,A1425)=1),1,0)</f>
        <v>0</v>
      </c>
      <c r="S1425" t="b">
        <f>IFERROR(VLOOKUP(D1425,Products!$A$2:$F$61,6,FALSE()),"")</f>
        <v>1</v>
      </c>
      <c r="T1425" t="str">
        <f>IF(COUNTIF(Customers!$A$2:$A$301,C1425)=0,"Missing","OK")</f>
        <v>OK</v>
      </c>
      <c r="U1425" t="str">
        <f t="shared" si="67"/>
        <v>Hyderabad</v>
      </c>
      <c r="V1425">
        <f t="shared" si="68"/>
        <v>0</v>
      </c>
    </row>
    <row r="1426" spans="1:22" ht="15" customHeight="1" x14ac:dyDescent="0.35">
      <c r="A1426" s="3" t="s">
        <v>1854</v>
      </c>
      <c r="B1426" s="4">
        <v>45631</v>
      </c>
      <c r="C1426" s="3" t="s">
        <v>298</v>
      </c>
      <c r="D1426" s="3" t="s">
        <v>290</v>
      </c>
      <c r="E1426" s="3" t="s">
        <v>71</v>
      </c>
      <c r="F1426" s="5">
        <v>5</v>
      </c>
      <c r="G1426" s="5">
        <v>4060</v>
      </c>
      <c r="H1426" s="5">
        <v>2.7</v>
      </c>
      <c r="I1426" s="5">
        <v>19751.900000000001</v>
      </c>
      <c r="J1426" s="3" t="s">
        <v>26</v>
      </c>
      <c r="K1426" s="3" t="s">
        <v>38</v>
      </c>
      <c r="L1426" t="str">
        <f>IFERROR(VLOOKUP(D1426,Products!$A$2:$F$61,3,FALSE()),"")</f>
        <v>Grocery</v>
      </c>
      <c r="M1426" t="str">
        <f>IFERROR(VLOOKUP(E1426,Sales_Reps!$A$2:$C$31,3,FALSE()),"")</f>
        <v>South</v>
      </c>
      <c r="N1426">
        <f>IFERROR(VLOOKUP(D1426,Products!$A$2:$F$61,4,FALSE()),"")</f>
        <v>2911</v>
      </c>
      <c r="O1426" t="str">
        <f>IFERROR(VLOOKUP(C1426,Customers!$A$2:$F$301,5,FALSE()),"")</f>
        <v>SMB</v>
      </c>
      <c r="P1426">
        <f>IFERROR(VLOOKUP(C1426,Customers!$A$2:$F$301,3,FALSE()),"")</f>
        <v>28</v>
      </c>
      <c r="Q1426">
        <f t="shared" si="66"/>
        <v>0.28300492610837441</v>
      </c>
      <c r="R1426">
        <f>IF(AND(COUNTIF($A$2:$A$2047,A1426)&gt;1,COUNTIF($A$2:A1426,A1426)=1),1,0)</f>
        <v>0</v>
      </c>
      <c r="S1426" t="b">
        <f>IFERROR(VLOOKUP(D1426,Products!$A$2:$F$61,6,FALSE()),"")</f>
        <v>1</v>
      </c>
      <c r="T1426" t="str">
        <f>IF(COUNTIF(Customers!$A$2:$A$301,C1426)=0,"Missing","OK")</f>
        <v>OK</v>
      </c>
      <c r="U1426" t="str">
        <f t="shared" si="67"/>
        <v>Delhi</v>
      </c>
      <c r="V1426">
        <f t="shared" si="68"/>
        <v>0</v>
      </c>
    </row>
    <row r="1427" spans="1:22" ht="15" customHeight="1" x14ac:dyDescent="0.35">
      <c r="A1427" s="3" t="s">
        <v>1855</v>
      </c>
      <c r="B1427" s="4">
        <v>45564</v>
      </c>
      <c r="C1427" s="3" t="s">
        <v>547</v>
      </c>
      <c r="D1427" s="3" t="s">
        <v>221</v>
      </c>
      <c r="E1427" s="3" t="s">
        <v>236</v>
      </c>
      <c r="F1427" s="5">
        <v>8</v>
      </c>
      <c r="G1427" s="5">
        <v>300</v>
      </c>
      <c r="H1427" s="5">
        <v>19.8</v>
      </c>
      <c r="I1427" s="5">
        <v>1924.8</v>
      </c>
      <c r="J1427" s="3" t="s">
        <v>79</v>
      </c>
      <c r="K1427" s="3" t="s">
        <v>27</v>
      </c>
      <c r="L1427" t="str">
        <f>IFERROR(VLOOKUP(D1427,Products!$A$2:$F$61,3,FALSE()),"")</f>
        <v>Electronics</v>
      </c>
      <c r="M1427" t="str">
        <f>IFERROR(VLOOKUP(E1427,Sales_Reps!$A$2:$C$31,3,FALSE()),"")</f>
        <v>North</v>
      </c>
      <c r="N1427">
        <f>IFERROR(VLOOKUP(D1427,Products!$A$2:$F$61,4,FALSE()),"")</f>
        <v>128</v>
      </c>
      <c r="O1427" t="str">
        <f>IFERROR(VLOOKUP(C1427,Customers!$A$2:$F$301,5,FALSE()),"")</f>
        <v>Corporate</v>
      </c>
      <c r="P1427">
        <f>IFERROR(VLOOKUP(C1427,Customers!$A$2:$F$301,3,FALSE()),"")</f>
        <v>40</v>
      </c>
      <c r="Q1427">
        <f t="shared" si="66"/>
        <v>0.57333333333333336</v>
      </c>
      <c r="R1427">
        <f>IF(AND(COUNTIF($A$2:$A$2047,A1427)&gt;1,COUNTIF($A$2:A1427,A1427)=1),1,0)</f>
        <v>0</v>
      </c>
      <c r="S1427" t="b">
        <f>IFERROR(VLOOKUP(D1427,Products!$A$2:$F$61,6,FALSE()),"")</f>
        <v>1</v>
      </c>
      <c r="T1427" t="str">
        <f>IF(COUNTIF(Customers!$A$2:$A$301,C1427)=0,"Missing","OK")</f>
        <v>OK</v>
      </c>
      <c r="U1427" t="str">
        <f t="shared" si="67"/>
        <v>Pune</v>
      </c>
      <c r="V1427">
        <f t="shared" si="68"/>
        <v>0</v>
      </c>
    </row>
    <row r="1428" spans="1:22" ht="15" customHeight="1" x14ac:dyDescent="0.35">
      <c r="A1428" s="3" t="s">
        <v>1856</v>
      </c>
      <c r="B1428" s="4">
        <v>45454</v>
      </c>
      <c r="C1428" s="3" t="s">
        <v>289</v>
      </c>
      <c r="D1428" s="3" t="s">
        <v>82</v>
      </c>
      <c r="E1428" s="3" t="s">
        <v>236</v>
      </c>
      <c r="F1428" s="5">
        <v>10</v>
      </c>
      <c r="G1428" s="5">
        <v>3250</v>
      </c>
      <c r="H1428" s="5">
        <v>21.3</v>
      </c>
      <c r="I1428" s="5">
        <v>25577.5</v>
      </c>
      <c r="J1428" s="3" t="s">
        <v>79</v>
      </c>
      <c r="K1428" s="3" t="s">
        <v>51</v>
      </c>
      <c r="L1428" t="str">
        <f>IFERROR(VLOOKUP(D1428,Products!$A$2:$F$61,3,FALSE()),"")</f>
        <v>Home</v>
      </c>
      <c r="M1428" t="str">
        <f>IFERROR(VLOOKUP(E1428,Sales_Reps!$A$2:$C$31,3,FALSE()),"")</f>
        <v>North</v>
      </c>
      <c r="N1428">
        <f>IFERROR(VLOOKUP(D1428,Products!$A$2:$F$61,4,FALSE()),"")</f>
        <v>1556</v>
      </c>
      <c r="O1428" t="str">
        <f>IFERROR(VLOOKUP(C1428,Customers!$A$2:$F$301,5,FALSE()),"")</f>
        <v>SMB</v>
      </c>
      <c r="P1428">
        <f>IFERROR(VLOOKUP(C1428,Customers!$A$2:$F$301,3,FALSE()),"")</f>
        <v>22</v>
      </c>
      <c r="Q1428">
        <f t="shared" si="66"/>
        <v>0.52123076923076928</v>
      </c>
      <c r="R1428">
        <f>IF(AND(COUNTIF($A$2:$A$2047,A1428)&gt;1,COUNTIF($A$2:A1428,A1428)=1),1,0)</f>
        <v>0</v>
      </c>
      <c r="S1428" t="b">
        <f>IFERROR(VLOOKUP(D1428,Products!$A$2:$F$61,6,FALSE()),"")</f>
        <v>1</v>
      </c>
      <c r="T1428" t="str">
        <f>IF(COUNTIF(Customers!$A$2:$A$301,C1428)=0,"Missing","OK")</f>
        <v>OK</v>
      </c>
      <c r="U1428" t="str">
        <f t="shared" si="67"/>
        <v>Mumbai</v>
      </c>
      <c r="V1428">
        <f t="shared" si="68"/>
        <v>0</v>
      </c>
    </row>
    <row r="1429" spans="1:22" ht="15" customHeight="1" x14ac:dyDescent="0.35">
      <c r="A1429" s="3" t="s">
        <v>1857</v>
      </c>
      <c r="B1429" s="4">
        <v>45616</v>
      </c>
      <c r="C1429" s="3" t="s">
        <v>44</v>
      </c>
      <c r="D1429" s="3" t="s">
        <v>134</v>
      </c>
      <c r="E1429" s="3" t="s">
        <v>143</v>
      </c>
      <c r="F1429" s="5">
        <v>2</v>
      </c>
      <c r="G1429" s="5">
        <v>2860</v>
      </c>
      <c r="H1429" s="5">
        <v>13.7</v>
      </c>
      <c r="I1429" s="5">
        <v>4936.3599999999997</v>
      </c>
      <c r="J1429" s="3" t="s">
        <v>26</v>
      </c>
      <c r="K1429" s="3" t="s">
        <v>33</v>
      </c>
      <c r="L1429" t="str">
        <f>IFERROR(VLOOKUP(D1429,Products!$A$2:$F$61,3,FALSE()),"")</f>
        <v>Sports</v>
      </c>
      <c r="M1429" t="str">
        <f>IFERROR(VLOOKUP(E1429,Sales_Reps!$A$2:$C$31,3,FALSE()),"")</f>
        <v>South</v>
      </c>
      <c r="N1429">
        <f>IFERROR(VLOOKUP(D1429,Products!$A$2:$F$61,4,FALSE()),"")</f>
        <v>2028</v>
      </c>
      <c r="O1429" t="str">
        <f>IFERROR(VLOOKUP(C1429,Customers!$A$2:$F$301,5,FALSE()),"")</f>
        <v>Retail</v>
      </c>
      <c r="P1429">
        <f>IFERROR(VLOOKUP(C1429,Customers!$A$2:$F$301,3,FALSE()),"")</f>
        <v>36</v>
      </c>
      <c r="Q1429">
        <f t="shared" si="66"/>
        <v>0.29090909090909089</v>
      </c>
      <c r="R1429">
        <f>IF(AND(COUNTIF($A$2:$A$2047,A1429)&gt;1,COUNTIF($A$2:A1429,A1429)=1),1,0)</f>
        <v>0</v>
      </c>
      <c r="S1429" t="b">
        <f>IFERROR(VLOOKUP(D1429,Products!$A$2:$F$61,6,FALSE()),"")</f>
        <v>1</v>
      </c>
      <c r="T1429" t="str">
        <f>IF(COUNTIF(Customers!$A$2:$A$301,C1429)=0,"Missing","OK")</f>
        <v>OK</v>
      </c>
      <c r="U1429" t="str">
        <f t="shared" si="67"/>
        <v>Chennai</v>
      </c>
      <c r="V1429">
        <f t="shared" si="68"/>
        <v>0</v>
      </c>
    </row>
    <row r="1430" spans="1:22" ht="15" customHeight="1" x14ac:dyDescent="0.35">
      <c r="A1430" s="3" t="s">
        <v>1858</v>
      </c>
      <c r="B1430" s="4">
        <v>45523</v>
      </c>
      <c r="C1430" s="3" t="s">
        <v>653</v>
      </c>
      <c r="D1430" s="3" t="s">
        <v>206</v>
      </c>
      <c r="E1430" s="3" t="s">
        <v>177</v>
      </c>
      <c r="F1430" s="5">
        <v>10</v>
      </c>
      <c r="G1430" s="5">
        <v>1220</v>
      </c>
      <c r="H1430" s="5">
        <v>15.4</v>
      </c>
      <c r="I1430" s="5">
        <v>10321.200000000001</v>
      </c>
      <c r="J1430" s="3" t="s">
        <v>26</v>
      </c>
      <c r="K1430" s="3" t="s">
        <v>38</v>
      </c>
      <c r="L1430" t="str">
        <f>IFERROR(VLOOKUP(D1430,Products!$A$2:$F$61,3,FALSE()),"")</f>
        <v>Electronics</v>
      </c>
      <c r="M1430" t="str">
        <f>IFERROR(VLOOKUP(E1430,Sales_Reps!$A$2:$C$31,3,FALSE()),"")</f>
        <v>East</v>
      </c>
      <c r="N1430">
        <f>IFERROR(VLOOKUP(D1430,Products!$A$2:$F$61,4,FALSE()),"")</f>
        <v>517</v>
      </c>
      <c r="O1430" t="str">
        <f>IFERROR(VLOOKUP(C1430,Customers!$A$2:$F$301,5,FALSE()),"")</f>
        <v>Retail</v>
      </c>
      <c r="P1430">
        <f>IFERROR(VLOOKUP(C1430,Customers!$A$2:$F$301,3,FALSE()),"")</f>
        <v>24</v>
      </c>
      <c r="Q1430">
        <f t="shared" si="66"/>
        <v>0.57622950819672136</v>
      </c>
      <c r="R1430">
        <f>IF(AND(COUNTIF($A$2:$A$2047,A1430)&gt;1,COUNTIF($A$2:A1430,A1430)=1),1,0)</f>
        <v>0</v>
      </c>
      <c r="S1430" t="b">
        <f>IFERROR(VLOOKUP(D1430,Products!$A$2:$F$61,6,FALSE()),"")</f>
        <v>1</v>
      </c>
      <c r="T1430" t="str">
        <f>IF(COUNTIF(Customers!$A$2:$A$301,C1430)=0,"Missing","OK")</f>
        <v>OK</v>
      </c>
      <c r="U1430" t="str">
        <f t="shared" si="67"/>
        <v>Delhi</v>
      </c>
      <c r="V1430">
        <f t="shared" si="68"/>
        <v>0</v>
      </c>
    </row>
    <row r="1431" spans="1:22" ht="15" customHeight="1" x14ac:dyDescent="0.35">
      <c r="A1431" s="3" t="s">
        <v>1859</v>
      </c>
      <c r="B1431" s="4">
        <v>45439</v>
      </c>
      <c r="C1431" s="3" t="s">
        <v>195</v>
      </c>
      <c r="D1431" s="3" t="s">
        <v>173</v>
      </c>
      <c r="E1431" s="3" t="s">
        <v>71</v>
      </c>
      <c r="F1431" s="5">
        <v>3</v>
      </c>
      <c r="G1431" s="5">
        <v>3780</v>
      </c>
      <c r="H1431" s="5">
        <v>1.9</v>
      </c>
      <c r="I1431" s="5">
        <v>11124.54</v>
      </c>
      <c r="J1431" s="3" t="s">
        <v>26</v>
      </c>
      <c r="K1431" s="3" t="s">
        <v>72</v>
      </c>
      <c r="L1431" t="str">
        <f>IFERROR(VLOOKUP(D1431,Products!$A$2:$F$61,3,FALSE()),"")</f>
        <v>Grocery</v>
      </c>
      <c r="M1431" t="str">
        <f>IFERROR(VLOOKUP(E1431,Sales_Reps!$A$2:$C$31,3,FALSE()),"")</f>
        <v>South</v>
      </c>
      <c r="N1431">
        <f>IFERROR(VLOOKUP(D1431,Products!$A$2:$F$61,4,FALSE()),"")</f>
        <v>2436</v>
      </c>
      <c r="O1431" t="str">
        <f>IFERROR(VLOOKUP(C1431,Customers!$A$2:$F$301,5,FALSE()),"")</f>
        <v>Retail</v>
      </c>
      <c r="P1431">
        <f>IFERROR(VLOOKUP(C1431,Customers!$A$2:$F$301,3,FALSE()),"")</f>
        <v>27</v>
      </c>
      <c r="Q1431">
        <f t="shared" si="66"/>
        <v>0.35555555555555557</v>
      </c>
      <c r="R1431">
        <f>IF(AND(COUNTIF($A$2:$A$2047,A1431)&gt;1,COUNTIF($A$2:A1431,A1431)=1),1,0)</f>
        <v>0</v>
      </c>
      <c r="S1431" t="b">
        <f>IFERROR(VLOOKUP(D1431,Products!$A$2:$F$61,6,FALSE()),"")</f>
        <v>1</v>
      </c>
      <c r="T1431" t="str">
        <f>IF(COUNTIF(Customers!$A$2:$A$301,C1431)=0,"Missing","OK")</f>
        <v>OK</v>
      </c>
      <c r="U1431" t="str">
        <f t="shared" si="67"/>
        <v>Hyderabad</v>
      </c>
      <c r="V1431">
        <f t="shared" si="68"/>
        <v>0</v>
      </c>
    </row>
    <row r="1432" spans="1:22" ht="15" customHeight="1" x14ac:dyDescent="0.35">
      <c r="A1432" s="3" t="s">
        <v>1860</v>
      </c>
      <c r="B1432" s="4">
        <v>45579</v>
      </c>
      <c r="C1432" s="3" t="s">
        <v>907</v>
      </c>
      <c r="D1432" s="3" t="s">
        <v>63</v>
      </c>
      <c r="E1432" s="3" t="s">
        <v>242</v>
      </c>
      <c r="F1432" s="5">
        <v>6</v>
      </c>
      <c r="G1432" s="5">
        <v>5490</v>
      </c>
      <c r="H1432" s="5">
        <v>0.5</v>
      </c>
      <c r="I1432" s="5">
        <v>32775.300000000003</v>
      </c>
      <c r="J1432" s="3" t="s">
        <v>32</v>
      </c>
      <c r="K1432" s="3" t="s">
        <v>38</v>
      </c>
      <c r="L1432" t="str">
        <f>IFERROR(VLOOKUP(D1432,Products!$A$2:$F$61,3,FALSE()),"")</f>
        <v>Home</v>
      </c>
      <c r="M1432" t="str">
        <f>IFERROR(VLOOKUP(E1432,Sales_Reps!$A$2:$C$31,3,FALSE()),"")</f>
        <v>East</v>
      </c>
      <c r="N1432">
        <f>IFERROR(VLOOKUP(D1432,Products!$A$2:$F$61,4,FALSE()),"")</f>
        <v>2549</v>
      </c>
      <c r="O1432" t="str">
        <f>IFERROR(VLOOKUP(C1432,Customers!$A$2:$F$301,5,FALSE()),"")</f>
        <v>Retail</v>
      </c>
      <c r="P1432">
        <f>IFERROR(VLOOKUP(C1432,Customers!$A$2:$F$301,3,FALSE()),"")</f>
        <v>47</v>
      </c>
      <c r="Q1432">
        <f t="shared" si="66"/>
        <v>0.53570127504553733</v>
      </c>
      <c r="R1432">
        <f>IF(AND(COUNTIF($A$2:$A$2047,A1432)&gt;1,COUNTIF($A$2:A1432,A1432)=1),1,0)</f>
        <v>0</v>
      </c>
      <c r="S1432" t="b">
        <f>IFERROR(VLOOKUP(D1432,Products!$A$2:$F$61,6,FALSE()),"")</f>
        <v>1</v>
      </c>
      <c r="T1432" t="str">
        <f>IF(COUNTIF(Customers!$A$2:$A$301,C1432)=0,"Missing","OK")</f>
        <v>OK</v>
      </c>
      <c r="U1432" t="str">
        <f t="shared" si="67"/>
        <v>Delhi</v>
      </c>
      <c r="V1432">
        <f t="shared" si="68"/>
        <v>0</v>
      </c>
    </row>
    <row r="1433" spans="1:22" ht="15" customHeight="1" x14ac:dyDescent="0.35">
      <c r="A1433" s="3" t="s">
        <v>1861</v>
      </c>
      <c r="B1433" s="4">
        <v>45495</v>
      </c>
      <c r="C1433" s="3" t="s">
        <v>1814</v>
      </c>
      <c r="D1433" s="3" t="s">
        <v>184</v>
      </c>
      <c r="E1433" s="3" t="s">
        <v>168</v>
      </c>
      <c r="F1433" s="5">
        <v>6</v>
      </c>
      <c r="G1433" s="5">
        <v>2270</v>
      </c>
      <c r="H1433" s="5">
        <v>21.5</v>
      </c>
      <c r="I1433" s="5">
        <v>10691.7</v>
      </c>
      <c r="J1433" s="3" t="s">
        <v>26</v>
      </c>
      <c r="K1433" s="3" t="s">
        <v>33</v>
      </c>
      <c r="L1433" t="str">
        <f>IFERROR(VLOOKUP(D1433,Products!$A$2:$F$61,3,FALSE()),"")</f>
        <v>Grocery</v>
      </c>
      <c r="M1433" t="str">
        <f>IFERROR(VLOOKUP(E1433,Sales_Reps!$A$2:$C$31,3,FALSE()),"")</f>
        <v>West</v>
      </c>
      <c r="N1433">
        <f>IFERROR(VLOOKUP(D1433,Products!$A$2:$F$61,4,FALSE()),"")</f>
        <v>1412</v>
      </c>
      <c r="O1433" t="str">
        <f>IFERROR(VLOOKUP(C1433,Customers!$A$2:$F$301,5,FALSE()),"")</f>
        <v>Corporate</v>
      </c>
      <c r="P1433">
        <f>IFERROR(VLOOKUP(C1433,Customers!$A$2:$F$301,3,FALSE()),"")</f>
        <v>54</v>
      </c>
      <c r="Q1433">
        <f t="shared" si="66"/>
        <v>0.37797356828193834</v>
      </c>
      <c r="R1433">
        <f>IF(AND(COUNTIF($A$2:$A$2047,A1433)&gt;1,COUNTIF($A$2:A1433,A1433)=1),1,0)</f>
        <v>0</v>
      </c>
      <c r="S1433" t="b">
        <f>IFERROR(VLOOKUP(D1433,Products!$A$2:$F$61,6,FALSE()),"")</f>
        <v>1</v>
      </c>
      <c r="T1433" t="str">
        <f>IF(COUNTIF(Customers!$A$2:$A$301,C1433)=0,"Missing","OK")</f>
        <v>OK</v>
      </c>
      <c r="U1433" t="str">
        <f t="shared" si="67"/>
        <v>Chennai</v>
      </c>
      <c r="V1433">
        <f t="shared" si="68"/>
        <v>0</v>
      </c>
    </row>
    <row r="1434" spans="1:22" ht="15" customHeight="1" x14ac:dyDescent="0.35">
      <c r="A1434" s="3" t="s">
        <v>1862</v>
      </c>
      <c r="B1434" s="4">
        <v>45600</v>
      </c>
      <c r="C1434" s="3" t="s">
        <v>344</v>
      </c>
      <c r="D1434" s="3" t="s">
        <v>277</v>
      </c>
      <c r="E1434" s="3" t="s">
        <v>93</v>
      </c>
      <c r="F1434" s="5">
        <v>7</v>
      </c>
      <c r="G1434" s="5">
        <v>2210</v>
      </c>
      <c r="H1434" s="5">
        <v>10.3</v>
      </c>
      <c r="I1434" s="5">
        <v>13876.59</v>
      </c>
      <c r="J1434" s="3" t="s">
        <v>26</v>
      </c>
      <c r="K1434" s="3" t="s">
        <v>33</v>
      </c>
      <c r="L1434" t="str">
        <f>IFERROR(VLOOKUP(D1434,Products!$A$2:$F$61,3,FALSE()),"")</f>
        <v>Grocery</v>
      </c>
      <c r="M1434" t="str">
        <f>IFERROR(VLOOKUP(E1434,Sales_Reps!$A$2:$C$31,3,FALSE()),"")</f>
        <v>East</v>
      </c>
      <c r="N1434">
        <f>IFERROR(VLOOKUP(D1434,Products!$A$2:$F$61,4,FALSE()),"")</f>
        <v>1010</v>
      </c>
      <c r="O1434" t="str">
        <f>IFERROR(VLOOKUP(C1434,Customers!$A$2:$F$301,5,FALSE()),"")</f>
        <v>Corporate</v>
      </c>
      <c r="P1434">
        <f>IFERROR(VLOOKUP(C1434,Customers!$A$2:$F$301,3,FALSE()),"")</f>
        <v>24</v>
      </c>
      <c r="Q1434">
        <f t="shared" si="66"/>
        <v>0.54298642533936647</v>
      </c>
      <c r="R1434">
        <f>IF(AND(COUNTIF($A$2:$A$2047,A1434)&gt;1,COUNTIF($A$2:A1434,A1434)=1),1,0)</f>
        <v>0</v>
      </c>
      <c r="S1434" t="b">
        <f>IFERROR(VLOOKUP(D1434,Products!$A$2:$F$61,6,FALSE()),"")</f>
        <v>1</v>
      </c>
      <c r="T1434" t="str">
        <f>IF(COUNTIF(Customers!$A$2:$A$301,C1434)=0,"Missing","OK")</f>
        <v>OK</v>
      </c>
      <c r="U1434" t="str">
        <f t="shared" si="67"/>
        <v>Chennai</v>
      </c>
      <c r="V1434">
        <f t="shared" si="68"/>
        <v>0</v>
      </c>
    </row>
    <row r="1435" spans="1:22" ht="15" customHeight="1" x14ac:dyDescent="0.35">
      <c r="A1435" s="3" t="s">
        <v>1863</v>
      </c>
      <c r="B1435" s="4">
        <v>45605</v>
      </c>
      <c r="C1435" s="3" t="s">
        <v>1864</v>
      </c>
      <c r="D1435" s="3" t="s">
        <v>441</v>
      </c>
      <c r="E1435" s="3" t="s">
        <v>143</v>
      </c>
      <c r="F1435" s="5">
        <v>8</v>
      </c>
      <c r="G1435" s="5">
        <v>1090</v>
      </c>
      <c r="H1435" s="5">
        <v>21.7</v>
      </c>
      <c r="I1435" s="5">
        <v>6827.76</v>
      </c>
      <c r="J1435" s="3" t="s">
        <v>26</v>
      </c>
      <c r="K1435" s="3" t="s">
        <v>27</v>
      </c>
      <c r="L1435" t="str">
        <f>IFERROR(VLOOKUP(D1435,Products!$A$2:$F$61,3,FALSE()),"")</f>
        <v>Home</v>
      </c>
      <c r="M1435" t="str">
        <f>IFERROR(VLOOKUP(E1435,Sales_Reps!$A$2:$C$31,3,FALSE()),"")</f>
        <v>South</v>
      </c>
      <c r="N1435">
        <f>IFERROR(VLOOKUP(D1435,Products!$A$2:$F$61,4,FALSE()),"")</f>
        <v>464</v>
      </c>
      <c r="O1435" t="str">
        <f>IFERROR(VLOOKUP(C1435,Customers!$A$2:$F$301,5,FALSE()),"")</f>
        <v/>
      </c>
      <c r="P1435" t="str">
        <f>IFERROR(VLOOKUP(C1435,Customers!$A$2:$F$301,3,FALSE()),"")</f>
        <v/>
      </c>
      <c r="Q1435">
        <f t="shared" si="66"/>
        <v>0.57431192660550456</v>
      </c>
      <c r="R1435">
        <f>IF(AND(COUNTIF($A$2:$A$2047,A1435)&gt;1,COUNTIF($A$2:A1435,A1435)=1),1,0)</f>
        <v>0</v>
      </c>
      <c r="S1435" t="b">
        <f>IFERROR(VLOOKUP(D1435,Products!$A$2:$F$61,6,FALSE()),"")</f>
        <v>1</v>
      </c>
      <c r="T1435" t="str">
        <f>IF(COUNTIF(Customers!$A$2:$A$301,C1435)=0,"Missing","OK")</f>
        <v>Missing</v>
      </c>
      <c r="U1435" t="str">
        <f t="shared" si="67"/>
        <v>Pune</v>
      </c>
      <c r="V1435">
        <f t="shared" si="68"/>
        <v>0</v>
      </c>
    </row>
    <row r="1436" spans="1:22" ht="15" customHeight="1" x14ac:dyDescent="0.35">
      <c r="A1436" s="3" t="s">
        <v>1865</v>
      </c>
      <c r="B1436" s="4">
        <v>45598</v>
      </c>
      <c r="C1436" s="3" t="s">
        <v>780</v>
      </c>
      <c r="D1436" s="3" t="s">
        <v>598</v>
      </c>
      <c r="E1436" s="3" t="s">
        <v>236</v>
      </c>
      <c r="F1436" s="5">
        <v>5</v>
      </c>
      <c r="G1436" s="5">
        <v>3560</v>
      </c>
      <c r="H1436" s="5">
        <v>19.399999999999999</v>
      </c>
      <c r="I1436" s="5">
        <v>14346.8</v>
      </c>
      <c r="J1436" s="3" t="s">
        <v>32</v>
      </c>
      <c r="K1436" s="3" t="s">
        <v>56</v>
      </c>
      <c r="L1436" t="str">
        <f>IFERROR(VLOOKUP(D1436,Products!$A$2:$F$61,3,FALSE()),"")</f>
        <v>Apparel</v>
      </c>
      <c r="M1436" t="str">
        <f>IFERROR(VLOOKUP(E1436,Sales_Reps!$A$2:$C$31,3,FALSE()),"")</f>
        <v>North</v>
      </c>
      <c r="N1436">
        <f>IFERROR(VLOOKUP(D1436,Products!$A$2:$F$61,4,FALSE()),"")</f>
        <v>2629</v>
      </c>
      <c r="O1436" t="str">
        <f>IFERROR(VLOOKUP(C1436,Customers!$A$2:$F$301,5,FALSE()),"")</f>
        <v>Corporate</v>
      </c>
      <c r="P1436">
        <f>IFERROR(VLOOKUP(C1436,Customers!$A$2:$F$301,3,FALSE()),"")</f>
        <v>41</v>
      </c>
      <c r="Q1436">
        <f t="shared" si="66"/>
        <v>0.26151685393258428</v>
      </c>
      <c r="R1436">
        <f>IF(AND(COUNTIF($A$2:$A$2047,A1436)&gt;1,COUNTIF($A$2:A1436,A1436)=1),1,0)</f>
        <v>0</v>
      </c>
      <c r="S1436" t="b">
        <f>IFERROR(VLOOKUP(D1436,Products!$A$2:$F$61,6,FALSE()),"")</f>
        <v>1</v>
      </c>
      <c r="T1436" t="str">
        <f>IF(COUNTIF(Customers!$A$2:$A$301,C1436)=0,"Missing","OK")</f>
        <v>OK</v>
      </c>
      <c r="U1436" t="str">
        <f t="shared" si="67"/>
        <v>Bengaluru</v>
      </c>
      <c r="V1436">
        <f t="shared" si="68"/>
        <v>0</v>
      </c>
    </row>
    <row r="1437" spans="1:22" ht="15" customHeight="1" x14ac:dyDescent="0.35">
      <c r="A1437" s="3" t="s">
        <v>1866</v>
      </c>
      <c r="B1437" s="4">
        <v>45452</v>
      </c>
      <c r="C1437" s="3" t="s">
        <v>1111</v>
      </c>
      <c r="D1437" s="3" t="s">
        <v>121</v>
      </c>
      <c r="E1437" s="3" t="s">
        <v>67</v>
      </c>
      <c r="F1437" s="5">
        <v>7</v>
      </c>
      <c r="G1437" s="5">
        <v>1010</v>
      </c>
      <c r="H1437" s="5">
        <v>28.2</v>
      </c>
      <c r="I1437" s="5">
        <v>5076.26</v>
      </c>
      <c r="J1437" s="3" t="s">
        <v>26</v>
      </c>
      <c r="K1437" s="3" t="s">
        <v>27</v>
      </c>
      <c r="L1437" t="str">
        <f>IFERROR(VLOOKUP(D1437,Products!$A$2:$F$61,3,FALSE()),"")</f>
        <v>Sports</v>
      </c>
      <c r="M1437" t="str">
        <f>IFERROR(VLOOKUP(E1437,Sales_Reps!$A$2:$C$31,3,FALSE()),"")</f>
        <v>West</v>
      </c>
      <c r="N1437">
        <f>IFERROR(VLOOKUP(D1437,Products!$A$2:$F$61,4,FALSE()),"")</f>
        <v>516</v>
      </c>
      <c r="O1437" t="str">
        <f>IFERROR(VLOOKUP(C1437,Customers!$A$2:$F$301,5,FALSE()),"")</f>
        <v>Retail</v>
      </c>
      <c r="P1437">
        <f>IFERROR(VLOOKUP(C1437,Customers!$A$2:$F$301,3,FALSE()),"")</f>
        <v>39</v>
      </c>
      <c r="Q1437">
        <f t="shared" si="66"/>
        <v>0.4891089108910891</v>
      </c>
      <c r="R1437">
        <f>IF(AND(COUNTIF($A$2:$A$2047,A1437)&gt;1,COUNTIF($A$2:A1437,A1437)=1),1,0)</f>
        <v>0</v>
      </c>
      <c r="S1437" t="b">
        <f>IFERROR(VLOOKUP(D1437,Products!$A$2:$F$61,6,FALSE()),"")</f>
        <v>1</v>
      </c>
      <c r="T1437" t="str">
        <f>IF(COUNTIF(Customers!$A$2:$A$301,C1437)=0,"Missing","OK")</f>
        <v>OK</v>
      </c>
      <c r="U1437" t="str">
        <f t="shared" si="67"/>
        <v>Pune</v>
      </c>
      <c r="V1437">
        <f t="shared" si="68"/>
        <v>0</v>
      </c>
    </row>
    <row r="1438" spans="1:22" ht="15" customHeight="1" x14ac:dyDescent="0.35">
      <c r="A1438" s="3" t="s">
        <v>1867</v>
      </c>
      <c r="B1438" s="4">
        <v>45470</v>
      </c>
      <c r="C1438" s="3" t="s">
        <v>651</v>
      </c>
      <c r="D1438" s="3" t="s">
        <v>234</v>
      </c>
      <c r="E1438" s="3" t="s">
        <v>127</v>
      </c>
      <c r="F1438" s="5">
        <v>2</v>
      </c>
      <c r="G1438" s="5">
        <v>2030</v>
      </c>
      <c r="H1438" s="5">
        <v>27.3</v>
      </c>
      <c r="I1438" s="5">
        <v>2951.62</v>
      </c>
      <c r="J1438" s="3" t="s">
        <v>83</v>
      </c>
      <c r="K1438" s="3" t="s">
        <v>51</v>
      </c>
      <c r="L1438" t="str">
        <f>IFERROR(VLOOKUP(D1438,Products!$A$2:$F$61,3,FALSE()),"")</f>
        <v>Home</v>
      </c>
      <c r="M1438" t="str">
        <f>IFERROR(VLOOKUP(E1438,Sales_Reps!$A$2:$C$31,3,FALSE()),"")</f>
        <v>South</v>
      </c>
      <c r="N1438">
        <f>IFERROR(VLOOKUP(D1438,Products!$A$2:$F$61,4,FALSE()),"")</f>
        <v>1143</v>
      </c>
      <c r="O1438" t="str">
        <f>IFERROR(VLOOKUP(C1438,Customers!$A$2:$F$301,5,FALSE()),"")</f>
        <v>Corporate</v>
      </c>
      <c r="P1438">
        <f>IFERROR(VLOOKUP(C1438,Customers!$A$2:$F$301,3,FALSE()),"")</f>
        <v>51</v>
      </c>
      <c r="Q1438">
        <f t="shared" si="66"/>
        <v>0.43694581280788175</v>
      </c>
      <c r="R1438">
        <f>IF(AND(COUNTIF($A$2:$A$2047,A1438)&gt;1,COUNTIF($A$2:A1438,A1438)=1),1,0)</f>
        <v>0</v>
      </c>
      <c r="S1438" t="b">
        <f>IFERROR(VLOOKUP(D1438,Products!$A$2:$F$61,6,FALSE()),"")</f>
        <v>1</v>
      </c>
      <c r="T1438" t="str">
        <f>IF(COUNTIF(Customers!$A$2:$A$301,C1438)=0,"Missing","OK")</f>
        <v>OK</v>
      </c>
      <c r="U1438" t="str">
        <f t="shared" si="67"/>
        <v>Mumbai</v>
      </c>
      <c r="V1438">
        <f t="shared" si="68"/>
        <v>0</v>
      </c>
    </row>
    <row r="1439" spans="1:22" ht="15" customHeight="1" x14ac:dyDescent="0.35">
      <c r="A1439" s="3" t="s">
        <v>1868</v>
      </c>
      <c r="B1439" s="4">
        <v>45350</v>
      </c>
      <c r="C1439" s="3" t="s">
        <v>149</v>
      </c>
      <c r="D1439" s="3" t="s">
        <v>303</v>
      </c>
      <c r="E1439" s="3" t="s">
        <v>264</v>
      </c>
      <c r="F1439" s="5">
        <v>6</v>
      </c>
      <c r="G1439" s="5">
        <v>5330</v>
      </c>
      <c r="H1439" s="5">
        <v>0.6</v>
      </c>
      <c r="I1439" s="5">
        <v>31788.12</v>
      </c>
      <c r="J1439" s="3" t="s">
        <v>26</v>
      </c>
      <c r="K1439" s="3" t="s">
        <v>38</v>
      </c>
      <c r="L1439" t="str">
        <f>IFERROR(VLOOKUP(D1439,Products!$A$2:$F$61,3,FALSE()),"")</f>
        <v>Electronics</v>
      </c>
      <c r="M1439" t="str">
        <f>IFERROR(VLOOKUP(E1439,Sales_Reps!$A$2:$C$31,3,FALSE()),"")</f>
        <v>South</v>
      </c>
      <c r="N1439">
        <f>IFERROR(VLOOKUP(D1439,Products!$A$2:$F$61,4,FALSE()),"")</f>
        <v>2405</v>
      </c>
      <c r="O1439" t="str">
        <f>IFERROR(VLOOKUP(C1439,Customers!$A$2:$F$301,5,FALSE()),"")</f>
        <v>Retail</v>
      </c>
      <c r="P1439">
        <f>IFERROR(VLOOKUP(C1439,Customers!$A$2:$F$301,3,FALSE()),"")</f>
        <v>41</v>
      </c>
      <c r="Q1439">
        <f t="shared" si="66"/>
        <v>0.54878048780487809</v>
      </c>
      <c r="R1439">
        <f>IF(AND(COUNTIF($A$2:$A$2047,A1439)&gt;1,COUNTIF($A$2:A1439,A1439)=1),1,0)</f>
        <v>0</v>
      </c>
      <c r="S1439" t="b">
        <f>IFERROR(VLOOKUP(D1439,Products!$A$2:$F$61,6,FALSE()),"")</f>
        <v>1</v>
      </c>
      <c r="T1439" t="str">
        <f>IF(COUNTIF(Customers!$A$2:$A$301,C1439)=0,"Missing","OK")</f>
        <v>OK</v>
      </c>
      <c r="U1439" t="str">
        <f t="shared" si="67"/>
        <v>Delhi</v>
      </c>
      <c r="V1439">
        <f t="shared" si="68"/>
        <v>0</v>
      </c>
    </row>
    <row r="1440" spans="1:22" ht="15" customHeight="1" x14ac:dyDescent="0.35">
      <c r="A1440" s="3" t="s">
        <v>1869</v>
      </c>
      <c r="B1440" s="4">
        <v>45514</v>
      </c>
      <c r="C1440" s="3" t="s">
        <v>249</v>
      </c>
      <c r="D1440" s="3" t="s">
        <v>74</v>
      </c>
      <c r="E1440" s="3" t="s">
        <v>25</v>
      </c>
      <c r="F1440" s="5">
        <v>2</v>
      </c>
      <c r="G1440" s="5">
        <v>2640</v>
      </c>
      <c r="H1440" s="5">
        <v>26</v>
      </c>
      <c r="I1440" s="5">
        <v>3907.2</v>
      </c>
      <c r="J1440" s="3" t="s">
        <v>32</v>
      </c>
      <c r="K1440" s="3" t="s">
        <v>56</v>
      </c>
      <c r="L1440" t="str">
        <f>IFERROR(VLOOKUP(D1440,Products!$A$2:$F$61,3,FALSE()),"")</f>
        <v>Electronics</v>
      </c>
      <c r="M1440" t="str">
        <f>IFERROR(VLOOKUP(E1440,Sales_Reps!$A$2:$C$31,3,FALSE()),"")</f>
        <v>North</v>
      </c>
      <c r="N1440">
        <f>IFERROR(VLOOKUP(D1440,Products!$A$2:$F$61,4,FALSE()),"")</f>
        <v>1149</v>
      </c>
      <c r="O1440" t="str">
        <f>IFERROR(VLOOKUP(C1440,Customers!$A$2:$F$301,5,FALSE()),"")</f>
        <v>Retail</v>
      </c>
      <c r="P1440">
        <f>IFERROR(VLOOKUP(C1440,Customers!$A$2:$F$301,3,FALSE()),"")</f>
        <v>42</v>
      </c>
      <c r="Q1440">
        <f t="shared" si="66"/>
        <v>0.56477272727272732</v>
      </c>
      <c r="R1440">
        <f>IF(AND(COUNTIF($A$2:$A$2047,A1440)&gt;1,COUNTIF($A$2:A1440,A1440)=1),1,0)</f>
        <v>0</v>
      </c>
      <c r="S1440" t="b">
        <f>IFERROR(VLOOKUP(D1440,Products!$A$2:$F$61,6,FALSE()),"")</f>
        <v>1</v>
      </c>
      <c r="T1440" t="str">
        <f>IF(COUNTIF(Customers!$A$2:$A$301,C1440)=0,"Missing","OK")</f>
        <v>OK</v>
      </c>
      <c r="U1440" t="str">
        <f t="shared" si="67"/>
        <v>Bengaluru</v>
      </c>
      <c r="V1440">
        <f t="shared" si="68"/>
        <v>0</v>
      </c>
    </row>
    <row r="1441" spans="1:22" ht="15" customHeight="1" x14ac:dyDescent="0.35">
      <c r="A1441" s="3" t="s">
        <v>1870</v>
      </c>
      <c r="B1441" s="4">
        <v>45447</v>
      </c>
      <c r="C1441" s="3" t="s">
        <v>289</v>
      </c>
      <c r="D1441" s="3" t="s">
        <v>218</v>
      </c>
      <c r="E1441" s="3" t="s">
        <v>264</v>
      </c>
      <c r="F1441" s="5">
        <v>8</v>
      </c>
      <c r="G1441" s="5">
        <v>2660</v>
      </c>
      <c r="H1441" s="5">
        <v>2.9</v>
      </c>
      <c r="I1441" s="5">
        <v>20662.88</v>
      </c>
      <c r="J1441" s="3" t="s">
        <v>26</v>
      </c>
      <c r="K1441" s="3" t="s">
        <v>51</v>
      </c>
      <c r="L1441" t="str">
        <f>IFERROR(VLOOKUP(D1441,Products!$A$2:$F$61,3,FALSE()),"")</f>
        <v>Electronics</v>
      </c>
      <c r="M1441" t="str">
        <f>IFERROR(VLOOKUP(E1441,Sales_Reps!$A$2:$C$31,3,FALSE()),"")</f>
        <v>South</v>
      </c>
      <c r="N1441">
        <f>IFERROR(VLOOKUP(D1441,Products!$A$2:$F$61,4,FALSE()),"")</f>
        <v>1259</v>
      </c>
      <c r="O1441" t="str">
        <f>IFERROR(VLOOKUP(C1441,Customers!$A$2:$F$301,5,FALSE()),"")</f>
        <v>SMB</v>
      </c>
      <c r="P1441">
        <f>IFERROR(VLOOKUP(C1441,Customers!$A$2:$F$301,3,FALSE()),"")</f>
        <v>22</v>
      </c>
      <c r="Q1441">
        <f t="shared" si="66"/>
        <v>0.52669172932330832</v>
      </c>
      <c r="R1441">
        <f>IF(AND(COUNTIF($A$2:$A$2047,A1441)&gt;1,COUNTIF($A$2:A1441,A1441)=1),1,0)</f>
        <v>0</v>
      </c>
      <c r="S1441" t="b">
        <f>IFERROR(VLOOKUP(D1441,Products!$A$2:$F$61,6,FALSE()),"")</f>
        <v>0</v>
      </c>
      <c r="T1441" t="str">
        <f>IF(COUNTIF(Customers!$A$2:$A$301,C1441)=0,"Missing","OK")</f>
        <v>OK</v>
      </c>
      <c r="U1441" t="str">
        <f t="shared" si="67"/>
        <v>Mumbai</v>
      </c>
      <c r="V1441">
        <f t="shared" si="68"/>
        <v>0</v>
      </c>
    </row>
    <row r="1442" spans="1:22" ht="15" customHeight="1" x14ac:dyDescent="0.35">
      <c r="A1442" s="3" t="s">
        <v>1871</v>
      </c>
      <c r="B1442" s="4">
        <v>45390</v>
      </c>
      <c r="C1442" s="3" t="s">
        <v>1011</v>
      </c>
      <c r="D1442" s="3" t="s">
        <v>82</v>
      </c>
      <c r="E1442" s="3" t="s">
        <v>93</v>
      </c>
      <c r="F1442" s="5">
        <v>6</v>
      </c>
      <c r="G1442" s="5">
        <v>3250</v>
      </c>
      <c r="H1442" s="5">
        <v>11.1</v>
      </c>
      <c r="I1442" s="5">
        <v>17335.5</v>
      </c>
      <c r="J1442" s="3" t="s">
        <v>26</v>
      </c>
      <c r="K1442" s="3" t="s">
        <v>51</v>
      </c>
      <c r="L1442" t="str">
        <f>IFERROR(VLOOKUP(D1442,Products!$A$2:$F$61,3,FALSE()),"")</f>
        <v>Home</v>
      </c>
      <c r="M1442" t="str">
        <f>IFERROR(VLOOKUP(E1442,Sales_Reps!$A$2:$C$31,3,FALSE()),"")</f>
        <v>East</v>
      </c>
      <c r="N1442">
        <f>IFERROR(VLOOKUP(D1442,Products!$A$2:$F$61,4,FALSE()),"")</f>
        <v>1556</v>
      </c>
      <c r="O1442" t="str">
        <f>IFERROR(VLOOKUP(C1442,Customers!$A$2:$F$301,5,FALSE()),"")</f>
        <v>SMB</v>
      </c>
      <c r="P1442">
        <f>IFERROR(VLOOKUP(C1442,Customers!$A$2:$F$301,3,FALSE()),"")</f>
        <v>53</v>
      </c>
      <c r="Q1442">
        <f t="shared" si="66"/>
        <v>0.52123076923076928</v>
      </c>
      <c r="R1442">
        <f>IF(AND(COUNTIF($A$2:$A$2047,A1442)&gt;1,COUNTIF($A$2:A1442,A1442)=1),1,0)</f>
        <v>0</v>
      </c>
      <c r="S1442" t="b">
        <f>IFERROR(VLOOKUP(D1442,Products!$A$2:$F$61,6,FALSE()),"")</f>
        <v>1</v>
      </c>
      <c r="T1442" t="str">
        <f>IF(COUNTIF(Customers!$A$2:$A$301,C1442)=0,"Missing","OK")</f>
        <v>OK</v>
      </c>
      <c r="U1442" t="str">
        <f t="shared" si="67"/>
        <v>Mumbai</v>
      </c>
      <c r="V1442">
        <f t="shared" si="68"/>
        <v>0</v>
      </c>
    </row>
    <row r="1443" spans="1:22" ht="15" customHeight="1" x14ac:dyDescent="0.35">
      <c r="A1443" s="3" t="s">
        <v>1872</v>
      </c>
      <c r="B1443" s="4">
        <v>45307</v>
      </c>
      <c r="C1443" s="3" t="s">
        <v>220</v>
      </c>
      <c r="D1443" s="3" t="s">
        <v>277</v>
      </c>
      <c r="E1443" s="3" t="s">
        <v>78</v>
      </c>
      <c r="F1443" s="5">
        <v>1</v>
      </c>
      <c r="G1443" s="5">
        <v>2210</v>
      </c>
      <c r="H1443" s="5">
        <v>3.5</v>
      </c>
      <c r="I1443" s="5">
        <v>2132.65</v>
      </c>
      <c r="J1443" s="3" t="s">
        <v>26</v>
      </c>
      <c r="K1443" s="3" t="s">
        <v>27</v>
      </c>
      <c r="L1443" t="str">
        <f>IFERROR(VLOOKUP(D1443,Products!$A$2:$F$61,3,FALSE()),"")</f>
        <v>Grocery</v>
      </c>
      <c r="M1443" t="str">
        <f>IFERROR(VLOOKUP(E1443,Sales_Reps!$A$2:$C$31,3,FALSE()),"")</f>
        <v>North</v>
      </c>
      <c r="N1443">
        <f>IFERROR(VLOOKUP(D1443,Products!$A$2:$F$61,4,FALSE()),"")</f>
        <v>1010</v>
      </c>
      <c r="O1443" t="str">
        <f>IFERROR(VLOOKUP(C1443,Customers!$A$2:$F$301,5,FALSE()),"")</f>
        <v>Retail</v>
      </c>
      <c r="P1443">
        <f>IFERROR(VLOOKUP(C1443,Customers!$A$2:$F$301,3,FALSE()),"")</f>
        <v>25</v>
      </c>
      <c r="Q1443">
        <f t="shared" si="66"/>
        <v>0.54298642533936647</v>
      </c>
      <c r="R1443">
        <f>IF(AND(COUNTIF($A$2:$A$2047,A1443)&gt;1,COUNTIF($A$2:A1443,A1443)=1),1,0)</f>
        <v>0</v>
      </c>
      <c r="S1443" t="b">
        <f>IFERROR(VLOOKUP(D1443,Products!$A$2:$F$61,6,FALSE()),"")</f>
        <v>1</v>
      </c>
      <c r="T1443" t="str">
        <f>IF(COUNTIF(Customers!$A$2:$A$301,C1443)=0,"Missing","OK")</f>
        <v>OK</v>
      </c>
      <c r="U1443" t="str">
        <f t="shared" si="67"/>
        <v>Pune</v>
      </c>
      <c r="V1443">
        <f t="shared" si="68"/>
        <v>0</v>
      </c>
    </row>
    <row r="1444" spans="1:22" ht="15" customHeight="1" x14ac:dyDescent="0.35">
      <c r="A1444" s="3" t="s">
        <v>1873</v>
      </c>
      <c r="B1444" s="4">
        <v>45432</v>
      </c>
      <c r="C1444" s="3" t="s">
        <v>432</v>
      </c>
      <c r="D1444" s="3" t="s">
        <v>49</v>
      </c>
      <c r="E1444" s="3" t="s">
        <v>60</v>
      </c>
      <c r="F1444" s="5">
        <v>9</v>
      </c>
      <c r="G1444" s="5">
        <v>370</v>
      </c>
      <c r="H1444" s="5">
        <v>12.4</v>
      </c>
      <c r="I1444" s="5">
        <v>2917.08</v>
      </c>
      <c r="J1444" s="3" t="s">
        <v>26</v>
      </c>
      <c r="K1444" s="3" t="s">
        <v>27</v>
      </c>
      <c r="L1444" t="str">
        <f>IFERROR(VLOOKUP(D1444,Products!$A$2:$F$61,3,FALSE()),"")</f>
        <v>Home</v>
      </c>
      <c r="M1444" t="str">
        <f>IFERROR(VLOOKUP(E1444,Sales_Reps!$A$2:$C$31,3,FALSE()),"")</f>
        <v>East</v>
      </c>
      <c r="N1444">
        <f>IFERROR(VLOOKUP(D1444,Products!$A$2:$F$61,4,FALSE()),"")</f>
        <v>288</v>
      </c>
      <c r="O1444" t="str">
        <f>IFERROR(VLOOKUP(C1444,Customers!$A$2:$F$301,5,FALSE()),"")</f>
        <v>Retail</v>
      </c>
      <c r="P1444">
        <f>IFERROR(VLOOKUP(C1444,Customers!$A$2:$F$301,3,FALSE()),"")</f>
        <v>57</v>
      </c>
      <c r="Q1444">
        <f t="shared" si="66"/>
        <v>0.22162162162162163</v>
      </c>
      <c r="R1444">
        <f>IF(AND(COUNTIF($A$2:$A$2047,A1444)&gt;1,COUNTIF($A$2:A1444,A1444)=1),1,0)</f>
        <v>0</v>
      </c>
      <c r="S1444" t="b">
        <f>IFERROR(VLOOKUP(D1444,Products!$A$2:$F$61,6,FALSE()),"")</f>
        <v>1</v>
      </c>
      <c r="T1444" t="str">
        <f>IF(COUNTIF(Customers!$A$2:$A$301,C1444)=0,"Missing","OK")</f>
        <v>OK</v>
      </c>
      <c r="U1444" t="str">
        <f t="shared" si="67"/>
        <v>Pune</v>
      </c>
      <c r="V1444">
        <f t="shared" si="68"/>
        <v>0</v>
      </c>
    </row>
    <row r="1445" spans="1:22" ht="15" customHeight="1" x14ac:dyDescent="0.35">
      <c r="A1445" s="3" t="s">
        <v>1874</v>
      </c>
      <c r="B1445" s="4">
        <v>45453</v>
      </c>
      <c r="C1445" s="3" t="s">
        <v>656</v>
      </c>
      <c r="D1445" s="3" t="s">
        <v>400</v>
      </c>
      <c r="E1445" s="3" t="s">
        <v>224</v>
      </c>
      <c r="F1445" s="5">
        <v>3</v>
      </c>
      <c r="G1445" s="5">
        <v>3780</v>
      </c>
      <c r="H1445" s="5">
        <v>8.5</v>
      </c>
      <c r="I1445" s="5">
        <v>10376.1</v>
      </c>
      <c r="J1445" s="3" t="s">
        <v>32</v>
      </c>
      <c r="K1445" s="3" t="s">
        <v>33</v>
      </c>
      <c r="L1445" t="str">
        <f>IFERROR(VLOOKUP(D1445,Products!$A$2:$F$61,3,FALSE()),"")</f>
        <v>Sports</v>
      </c>
      <c r="M1445" t="str">
        <f>IFERROR(VLOOKUP(E1445,Sales_Reps!$A$2:$C$31,3,FALSE()),"")</f>
        <v>East</v>
      </c>
      <c r="N1445">
        <f>IFERROR(VLOOKUP(D1445,Products!$A$2:$F$61,4,FALSE()),"")</f>
        <v>1860</v>
      </c>
      <c r="O1445" t="str">
        <f>IFERROR(VLOOKUP(C1445,Customers!$A$2:$F$301,5,FALSE()),"")</f>
        <v>Retail</v>
      </c>
      <c r="P1445">
        <f>IFERROR(VLOOKUP(C1445,Customers!$A$2:$F$301,3,FALSE()),"")</f>
        <v>24</v>
      </c>
      <c r="Q1445">
        <f t="shared" si="66"/>
        <v>0.50793650793650791</v>
      </c>
      <c r="R1445">
        <f>IF(AND(COUNTIF($A$2:$A$2047,A1445)&gt;1,COUNTIF($A$2:A1445,A1445)=1),1,0)</f>
        <v>0</v>
      </c>
      <c r="S1445" t="b">
        <f>IFERROR(VLOOKUP(D1445,Products!$A$2:$F$61,6,FALSE()),"")</f>
        <v>1</v>
      </c>
      <c r="T1445" t="str">
        <f>IF(COUNTIF(Customers!$A$2:$A$301,C1445)=0,"Missing","OK")</f>
        <v>OK</v>
      </c>
      <c r="U1445" t="str">
        <f t="shared" si="67"/>
        <v>Chennai</v>
      </c>
      <c r="V1445">
        <f t="shared" si="68"/>
        <v>0</v>
      </c>
    </row>
    <row r="1446" spans="1:22" ht="15" customHeight="1" x14ac:dyDescent="0.35">
      <c r="A1446" s="3" t="s">
        <v>362</v>
      </c>
      <c r="B1446" s="4">
        <v>45397</v>
      </c>
      <c r="C1446" s="3" t="s">
        <v>357</v>
      </c>
      <c r="D1446" s="3" t="s">
        <v>121</v>
      </c>
      <c r="E1446" s="3" t="s">
        <v>236</v>
      </c>
      <c r="F1446" s="5">
        <v>2</v>
      </c>
      <c r="G1446" s="5">
        <v>1010</v>
      </c>
      <c r="H1446" s="5">
        <v>2.7</v>
      </c>
      <c r="I1446" s="5">
        <v>1965.46</v>
      </c>
      <c r="J1446" s="3" t="s">
        <v>26</v>
      </c>
      <c r="K1446" s="3" t="s">
        <v>72</v>
      </c>
      <c r="L1446" t="str">
        <f>IFERROR(VLOOKUP(D1446,Products!$A$2:$F$61,3,FALSE()),"")</f>
        <v>Sports</v>
      </c>
      <c r="M1446" t="str">
        <f>IFERROR(VLOOKUP(E1446,Sales_Reps!$A$2:$C$31,3,FALSE()),"")</f>
        <v>North</v>
      </c>
      <c r="N1446">
        <f>IFERROR(VLOOKUP(D1446,Products!$A$2:$F$61,4,FALSE()),"")</f>
        <v>516</v>
      </c>
      <c r="O1446" t="str">
        <f>IFERROR(VLOOKUP(C1446,Customers!$A$2:$F$301,5,FALSE()),"")</f>
        <v>Retail</v>
      </c>
      <c r="P1446">
        <f>IFERROR(VLOOKUP(C1446,Customers!$A$2:$F$301,3,FALSE()),"")</f>
        <v>22</v>
      </c>
      <c r="Q1446">
        <f t="shared" si="66"/>
        <v>0.4891089108910891</v>
      </c>
      <c r="R1446">
        <f>IF(AND(COUNTIF($A$2:$A$2047,A1446)&gt;1,COUNTIF($A$2:A1446,A1446)=1),1,0)</f>
        <v>0</v>
      </c>
      <c r="S1446" t="b">
        <f>IFERROR(VLOOKUP(D1446,Products!$A$2:$F$61,6,FALSE()),"")</f>
        <v>1</v>
      </c>
      <c r="T1446" t="str">
        <f>IF(COUNTIF(Customers!$A$2:$A$301,C1446)=0,"Missing","OK")</f>
        <v>OK</v>
      </c>
      <c r="U1446" t="str">
        <f t="shared" si="67"/>
        <v>Hyderabad</v>
      </c>
      <c r="V1446">
        <f t="shared" si="68"/>
        <v>0</v>
      </c>
    </row>
    <row r="1447" spans="1:22" ht="15" customHeight="1" x14ac:dyDescent="0.35">
      <c r="A1447" s="3" t="s">
        <v>1875</v>
      </c>
      <c r="B1447" s="4">
        <v>45639</v>
      </c>
      <c r="C1447" s="3" t="s">
        <v>929</v>
      </c>
      <c r="D1447" s="3" t="s">
        <v>30</v>
      </c>
      <c r="E1447" s="3" t="s">
        <v>264</v>
      </c>
      <c r="F1447" s="5">
        <v>2</v>
      </c>
      <c r="G1447" s="5">
        <v>820</v>
      </c>
      <c r="H1447" s="5">
        <v>13.2</v>
      </c>
      <c r="I1447" s="5">
        <v>1423.52</v>
      </c>
      <c r="J1447" s="3" t="s">
        <v>32</v>
      </c>
      <c r="K1447" s="3" t="s">
        <v>56</v>
      </c>
      <c r="L1447" t="str">
        <f>IFERROR(VLOOKUP(D1447,Products!$A$2:$F$61,3,FALSE()),"")</f>
        <v>Apparel</v>
      </c>
      <c r="M1447" t="str">
        <f>IFERROR(VLOOKUP(E1447,Sales_Reps!$A$2:$C$31,3,FALSE()),"")</f>
        <v>South</v>
      </c>
      <c r="N1447">
        <f>IFERROR(VLOOKUP(D1447,Products!$A$2:$F$61,4,FALSE()),"")</f>
        <v>391</v>
      </c>
      <c r="O1447" t="str">
        <f>IFERROR(VLOOKUP(C1447,Customers!$A$2:$F$301,5,FALSE()),"")</f>
        <v>Retail</v>
      </c>
      <c r="P1447">
        <f>IFERROR(VLOOKUP(C1447,Customers!$A$2:$F$301,3,FALSE()),"")</f>
        <v>61</v>
      </c>
      <c r="Q1447">
        <f t="shared" si="66"/>
        <v>0.52317073170731709</v>
      </c>
      <c r="R1447">
        <f>IF(AND(COUNTIF($A$2:$A$2047,A1447)&gt;1,COUNTIF($A$2:A1447,A1447)=1),1,0)</f>
        <v>0</v>
      </c>
      <c r="S1447" t="b">
        <f>IFERROR(VLOOKUP(D1447,Products!$A$2:$F$61,6,FALSE()),"")</f>
        <v>1</v>
      </c>
      <c r="T1447" t="str">
        <f>IF(COUNTIF(Customers!$A$2:$A$301,C1447)=0,"Missing","OK")</f>
        <v>OK</v>
      </c>
      <c r="U1447" t="str">
        <f t="shared" si="67"/>
        <v>Bengaluru</v>
      </c>
      <c r="V1447">
        <f t="shared" si="68"/>
        <v>0</v>
      </c>
    </row>
    <row r="1448" spans="1:22" ht="15" customHeight="1" x14ac:dyDescent="0.35">
      <c r="A1448" s="3" t="s">
        <v>1876</v>
      </c>
      <c r="B1448" s="4">
        <v>45482</v>
      </c>
      <c r="C1448" s="3" t="s">
        <v>172</v>
      </c>
      <c r="D1448" s="3" t="s">
        <v>41</v>
      </c>
      <c r="E1448" s="3" t="s">
        <v>264</v>
      </c>
      <c r="F1448" s="5">
        <v>1</v>
      </c>
      <c r="G1448" s="5">
        <v>3660</v>
      </c>
      <c r="H1448" s="5">
        <v>14</v>
      </c>
      <c r="I1448" s="5">
        <v>3147.6</v>
      </c>
      <c r="J1448" s="3" t="s">
        <v>83</v>
      </c>
      <c r="K1448" s="3" t="s">
        <v>27</v>
      </c>
      <c r="L1448" t="str">
        <f>IFERROR(VLOOKUP(D1448,Products!$A$2:$F$61,3,FALSE()),"")</f>
        <v>Grocery</v>
      </c>
      <c r="M1448" t="str">
        <f>IFERROR(VLOOKUP(E1448,Sales_Reps!$A$2:$C$31,3,FALSE()),"")</f>
        <v>South</v>
      </c>
      <c r="N1448">
        <f>IFERROR(VLOOKUP(D1448,Products!$A$2:$F$61,4,FALSE()),"")</f>
        <v>2214</v>
      </c>
      <c r="O1448" t="str">
        <f>IFERROR(VLOOKUP(C1448,Customers!$A$2:$F$301,5,FALSE()),"")</f>
        <v>SMB</v>
      </c>
      <c r="P1448">
        <f>IFERROR(VLOOKUP(C1448,Customers!$A$2:$F$301,3,FALSE()),"")</f>
        <v>29</v>
      </c>
      <c r="Q1448">
        <f t="shared" si="66"/>
        <v>0.39508196721311473</v>
      </c>
      <c r="R1448">
        <f>IF(AND(COUNTIF($A$2:$A$2047,A1448)&gt;1,COUNTIF($A$2:A1448,A1448)=1),1,0)</f>
        <v>0</v>
      </c>
      <c r="S1448" t="b">
        <f>IFERROR(VLOOKUP(D1448,Products!$A$2:$F$61,6,FALSE()),"")</f>
        <v>0</v>
      </c>
      <c r="T1448" t="str">
        <f>IF(COUNTIF(Customers!$A$2:$A$301,C1448)=0,"Missing","OK")</f>
        <v>OK</v>
      </c>
      <c r="U1448" t="str">
        <f t="shared" si="67"/>
        <v>Pune</v>
      </c>
      <c r="V1448">
        <f t="shared" si="68"/>
        <v>0</v>
      </c>
    </row>
    <row r="1449" spans="1:22" ht="15" customHeight="1" x14ac:dyDescent="0.35">
      <c r="A1449" s="3" t="s">
        <v>1877</v>
      </c>
      <c r="B1449" s="4">
        <v>45447</v>
      </c>
      <c r="C1449" s="3" t="s">
        <v>164</v>
      </c>
      <c r="D1449" s="3" t="s">
        <v>184</v>
      </c>
      <c r="E1449" s="3" t="s">
        <v>177</v>
      </c>
      <c r="F1449" s="5">
        <v>6</v>
      </c>
      <c r="G1449" s="5">
        <v>2270</v>
      </c>
      <c r="H1449" s="5">
        <v>16</v>
      </c>
      <c r="I1449" s="5">
        <v>11440.8</v>
      </c>
      <c r="J1449" s="3" t="s">
        <v>26</v>
      </c>
      <c r="K1449" s="3" t="s">
        <v>33</v>
      </c>
      <c r="L1449" t="str">
        <f>IFERROR(VLOOKUP(D1449,Products!$A$2:$F$61,3,FALSE()),"")</f>
        <v>Grocery</v>
      </c>
      <c r="M1449" t="str">
        <f>IFERROR(VLOOKUP(E1449,Sales_Reps!$A$2:$C$31,3,FALSE()),"")</f>
        <v>East</v>
      </c>
      <c r="N1449">
        <f>IFERROR(VLOOKUP(D1449,Products!$A$2:$F$61,4,FALSE()),"")</f>
        <v>1412</v>
      </c>
      <c r="O1449" t="str">
        <f>IFERROR(VLOOKUP(C1449,Customers!$A$2:$F$301,5,FALSE()),"")</f>
        <v>Retail</v>
      </c>
      <c r="P1449">
        <f>IFERROR(VLOOKUP(C1449,Customers!$A$2:$F$301,3,FALSE()),"")</f>
        <v>37</v>
      </c>
      <c r="Q1449">
        <f t="shared" si="66"/>
        <v>0.37797356828193834</v>
      </c>
      <c r="R1449">
        <f>IF(AND(COUNTIF($A$2:$A$2047,A1449)&gt;1,COUNTIF($A$2:A1449,A1449)=1),1,0)</f>
        <v>0</v>
      </c>
      <c r="S1449" t="b">
        <f>IFERROR(VLOOKUP(D1449,Products!$A$2:$F$61,6,FALSE()),"")</f>
        <v>1</v>
      </c>
      <c r="T1449" t="str">
        <f>IF(COUNTIF(Customers!$A$2:$A$301,C1449)=0,"Missing","OK")</f>
        <v>OK</v>
      </c>
      <c r="U1449" t="str">
        <f t="shared" si="67"/>
        <v>Chennai</v>
      </c>
      <c r="V1449">
        <f t="shared" si="68"/>
        <v>0</v>
      </c>
    </row>
    <row r="1450" spans="1:22" ht="15" customHeight="1" x14ac:dyDescent="0.35">
      <c r="A1450" s="3" t="s">
        <v>1878</v>
      </c>
      <c r="B1450" s="4">
        <v>45598</v>
      </c>
      <c r="C1450" s="3" t="s">
        <v>386</v>
      </c>
      <c r="D1450" s="3" t="s">
        <v>319</v>
      </c>
      <c r="E1450" s="3" t="s">
        <v>60</v>
      </c>
      <c r="F1450" s="5">
        <v>7</v>
      </c>
      <c r="G1450" s="5">
        <v>960</v>
      </c>
      <c r="H1450" s="5">
        <v>28.8</v>
      </c>
      <c r="I1450" s="5">
        <v>4784.6400000000003</v>
      </c>
      <c r="J1450" s="3" t="s">
        <v>83</v>
      </c>
      <c r="K1450" s="3" t="s">
        <v>51</v>
      </c>
      <c r="L1450" t="str">
        <f>IFERROR(VLOOKUP(D1450,Products!$A$2:$F$61,3,FALSE()),"")</f>
        <v>Beauty</v>
      </c>
      <c r="M1450" t="str">
        <f>IFERROR(VLOOKUP(E1450,Sales_Reps!$A$2:$C$31,3,FALSE()),"")</f>
        <v>East</v>
      </c>
      <c r="N1450">
        <f>IFERROR(VLOOKUP(D1450,Products!$A$2:$F$61,4,FALSE()),"")</f>
        <v>675</v>
      </c>
      <c r="O1450" t="str">
        <f>IFERROR(VLOOKUP(C1450,Customers!$A$2:$F$301,5,FALSE()),"")</f>
        <v>Retail</v>
      </c>
      <c r="P1450">
        <f>IFERROR(VLOOKUP(C1450,Customers!$A$2:$F$301,3,FALSE()),"")</f>
        <v>41</v>
      </c>
      <c r="Q1450">
        <f t="shared" si="66"/>
        <v>0.296875</v>
      </c>
      <c r="R1450">
        <f>IF(AND(COUNTIF($A$2:$A$2047,A1450)&gt;1,COUNTIF($A$2:A1450,A1450)=1),1,0)</f>
        <v>0</v>
      </c>
      <c r="S1450" t="b">
        <f>IFERROR(VLOOKUP(D1450,Products!$A$2:$F$61,6,FALSE()),"")</f>
        <v>1</v>
      </c>
      <c r="T1450" t="str">
        <f>IF(COUNTIF(Customers!$A$2:$A$301,C1450)=0,"Missing","OK")</f>
        <v>OK</v>
      </c>
      <c r="U1450" t="str">
        <f t="shared" si="67"/>
        <v>Mumbai</v>
      </c>
      <c r="V1450">
        <f t="shared" si="68"/>
        <v>0</v>
      </c>
    </row>
    <row r="1451" spans="1:22" ht="15" customHeight="1" x14ac:dyDescent="0.35">
      <c r="A1451" s="3" t="s">
        <v>1879</v>
      </c>
      <c r="B1451" s="4">
        <v>45645</v>
      </c>
      <c r="C1451" s="3" t="s">
        <v>346</v>
      </c>
      <c r="D1451" s="3" t="s">
        <v>234</v>
      </c>
      <c r="E1451" s="3" t="s">
        <v>50</v>
      </c>
      <c r="F1451" s="5">
        <v>9</v>
      </c>
      <c r="G1451" s="5">
        <v>2030</v>
      </c>
      <c r="H1451" s="5">
        <v>3.4</v>
      </c>
      <c r="I1451" s="5">
        <v>17648.82</v>
      </c>
      <c r="J1451" s="3" t="s">
        <v>26</v>
      </c>
      <c r="K1451" s="3" t="s">
        <v>27</v>
      </c>
      <c r="L1451" t="str">
        <f>IFERROR(VLOOKUP(D1451,Products!$A$2:$F$61,3,FALSE()),"")</f>
        <v>Home</v>
      </c>
      <c r="M1451" t="str">
        <f>IFERROR(VLOOKUP(E1451,Sales_Reps!$A$2:$C$31,3,FALSE()),"")</f>
        <v>West</v>
      </c>
      <c r="N1451">
        <f>IFERROR(VLOOKUP(D1451,Products!$A$2:$F$61,4,FALSE()),"")</f>
        <v>1143</v>
      </c>
      <c r="O1451" t="str">
        <f>IFERROR(VLOOKUP(C1451,Customers!$A$2:$F$301,5,FALSE()),"")</f>
        <v>SMB</v>
      </c>
      <c r="P1451">
        <f>IFERROR(VLOOKUP(C1451,Customers!$A$2:$F$301,3,FALSE()),"")</f>
        <v>53</v>
      </c>
      <c r="Q1451">
        <f t="shared" si="66"/>
        <v>0.43694581280788175</v>
      </c>
      <c r="R1451">
        <f>IF(AND(COUNTIF($A$2:$A$2047,A1451)&gt;1,COUNTIF($A$2:A1451,A1451)=1),1,0)</f>
        <v>0</v>
      </c>
      <c r="S1451" t="b">
        <f>IFERROR(VLOOKUP(D1451,Products!$A$2:$F$61,6,FALSE()),"")</f>
        <v>1</v>
      </c>
      <c r="T1451" t="str">
        <f>IF(COUNTIF(Customers!$A$2:$A$301,C1451)=0,"Missing","OK")</f>
        <v>OK</v>
      </c>
      <c r="U1451" t="str">
        <f t="shared" si="67"/>
        <v>Pune</v>
      </c>
      <c r="V1451">
        <f t="shared" si="68"/>
        <v>0</v>
      </c>
    </row>
    <row r="1452" spans="1:22" ht="15" customHeight="1" x14ac:dyDescent="0.35">
      <c r="A1452" s="3" t="s">
        <v>1880</v>
      </c>
      <c r="B1452" s="4">
        <v>45299</v>
      </c>
      <c r="C1452" s="3" t="s">
        <v>955</v>
      </c>
      <c r="D1452" s="3" t="s">
        <v>306</v>
      </c>
      <c r="E1452" s="3" t="s">
        <v>31</v>
      </c>
      <c r="F1452" s="5">
        <v>6</v>
      </c>
      <c r="G1452" s="5">
        <v>2380</v>
      </c>
      <c r="H1452" s="5">
        <v>13.2</v>
      </c>
      <c r="I1452" s="5">
        <v>12395.04</v>
      </c>
      <c r="J1452" s="3" t="s">
        <v>26</v>
      </c>
      <c r="K1452" s="3" t="s">
        <v>56</v>
      </c>
      <c r="L1452" t="str">
        <f>IFERROR(VLOOKUP(D1452,Products!$A$2:$F$61,3,FALSE()),"")</f>
        <v>Grocery</v>
      </c>
      <c r="M1452" t="str">
        <f>IFERROR(VLOOKUP(E1452,Sales_Reps!$A$2:$C$31,3,FALSE()),"")</f>
        <v>North</v>
      </c>
      <c r="N1452">
        <f>IFERROR(VLOOKUP(D1452,Products!$A$2:$F$61,4,FALSE()),"")</f>
        <v>1182</v>
      </c>
      <c r="O1452" t="str">
        <f>IFERROR(VLOOKUP(C1452,Customers!$A$2:$F$301,5,FALSE()),"")</f>
        <v>SMB</v>
      </c>
      <c r="P1452">
        <f>IFERROR(VLOOKUP(C1452,Customers!$A$2:$F$301,3,FALSE()),"")</f>
        <v>49</v>
      </c>
      <c r="Q1452">
        <f t="shared" si="66"/>
        <v>0.50336134453781511</v>
      </c>
      <c r="R1452">
        <f>IF(AND(COUNTIF($A$2:$A$2047,A1452)&gt;1,COUNTIF($A$2:A1452,A1452)=1),1,0)</f>
        <v>0</v>
      </c>
      <c r="S1452" t="b">
        <f>IFERROR(VLOOKUP(D1452,Products!$A$2:$F$61,6,FALSE()),"")</f>
        <v>1</v>
      </c>
      <c r="T1452" t="str">
        <f>IF(COUNTIF(Customers!$A$2:$A$301,C1452)=0,"Missing","OK")</f>
        <v>OK</v>
      </c>
      <c r="U1452" t="str">
        <f t="shared" si="67"/>
        <v>Bengaluru</v>
      </c>
      <c r="V1452">
        <f t="shared" si="68"/>
        <v>12395.04</v>
      </c>
    </row>
    <row r="1453" spans="1:22" ht="15" customHeight="1" x14ac:dyDescent="0.35">
      <c r="A1453" s="3" t="s">
        <v>1881</v>
      </c>
      <c r="B1453" s="4">
        <v>45308</v>
      </c>
      <c r="C1453" s="3" t="s">
        <v>340</v>
      </c>
      <c r="D1453" s="3" t="s">
        <v>96</v>
      </c>
      <c r="E1453" s="3" t="s">
        <v>143</v>
      </c>
      <c r="F1453" s="5">
        <v>10</v>
      </c>
      <c r="G1453" s="5">
        <v>3450</v>
      </c>
      <c r="H1453" s="5">
        <v>8.6999999999999993</v>
      </c>
      <c r="I1453" s="5">
        <v>31498.5</v>
      </c>
      <c r="J1453" s="3" t="s">
        <v>26</v>
      </c>
      <c r="K1453" s="3" t="s">
        <v>33</v>
      </c>
      <c r="L1453" t="str">
        <f>IFERROR(VLOOKUP(D1453,Products!$A$2:$F$61,3,FALSE()),"")</f>
        <v>Beauty</v>
      </c>
      <c r="M1453" t="str">
        <f>IFERROR(VLOOKUP(E1453,Sales_Reps!$A$2:$C$31,3,FALSE()),"")</f>
        <v>South</v>
      </c>
      <c r="N1453">
        <f>IFERROR(VLOOKUP(D1453,Products!$A$2:$F$61,4,FALSE()),"")</f>
        <v>2420</v>
      </c>
      <c r="O1453" t="str">
        <f>IFERROR(VLOOKUP(C1453,Customers!$A$2:$F$301,5,FALSE()),"")</f>
        <v>SMB</v>
      </c>
      <c r="P1453">
        <f>IFERROR(VLOOKUP(C1453,Customers!$A$2:$F$301,3,FALSE()),"")</f>
        <v>51</v>
      </c>
      <c r="Q1453">
        <f t="shared" si="66"/>
        <v>0.29855072463768118</v>
      </c>
      <c r="R1453">
        <f>IF(AND(COUNTIF($A$2:$A$2047,A1453)&gt;1,COUNTIF($A$2:A1453,A1453)=1),1,0)</f>
        <v>0</v>
      </c>
      <c r="S1453" t="b">
        <f>IFERROR(VLOOKUP(D1453,Products!$A$2:$F$61,6,FALSE()),"")</f>
        <v>1</v>
      </c>
      <c r="T1453" t="str">
        <f>IF(COUNTIF(Customers!$A$2:$A$301,C1453)=0,"Missing","OK")</f>
        <v>OK</v>
      </c>
      <c r="U1453" t="str">
        <f t="shared" si="67"/>
        <v>Chennai</v>
      </c>
      <c r="V1453">
        <f t="shared" si="68"/>
        <v>0</v>
      </c>
    </row>
    <row r="1454" spans="1:22" ht="15" customHeight="1" x14ac:dyDescent="0.35">
      <c r="A1454" s="3" t="s">
        <v>1882</v>
      </c>
      <c r="B1454" s="4">
        <v>45487</v>
      </c>
      <c r="C1454" s="3" t="s">
        <v>1562</v>
      </c>
      <c r="D1454" s="3" t="s">
        <v>319</v>
      </c>
      <c r="E1454" s="3" t="s">
        <v>97</v>
      </c>
      <c r="F1454" s="5">
        <v>6</v>
      </c>
      <c r="G1454" s="5">
        <v>960</v>
      </c>
      <c r="H1454" s="5">
        <v>20.6</v>
      </c>
      <c r="I1454" s="5">
        <v>4573.4399999999996</v>
      </c>
      <c r="J1454" s="3" t="s">
        <v>32</v>
      </c>
      <c r="K1454" s="3" t="s">
        <v>56</v>
      </c>
      <c r="L1454" t="str">
        <f>IFERROR(VLOOKUP(D1454,Products!$A$2:$F$61,3,FALSE()),"")</f>
        <v>Beauty</v>
      </c>
      <c r="M1454" t="str">
        <f>IFERROR(VLOOKUP(E1454,Sales_Reps!$A$2:$C$31,3,FALSE()),"")</f>
        <v>East</v>
      </c>
      <c r="N1454">
        <f>IFERROR(VLOOKUP(D1454,Products!$A$2:$F$61,4,FALSE()),"")</f>
        <v>675</v>
      </c>
      <c r="O1454" t="str">
        <f>IFERROR(VLOOKUP(C1454,Customers!$A$2:$F$301,5,FALSE()),"")</f>
        <v>Retail</v>
      </c>
      <c r="P1454">
        <f>IFERROR(VLOOKUP(C1454,Customers!$A$2:$F$301,3,FALSE()),"")</f>
        <v>53</v>
      </c>
      <c r="Q1454">
        <f t="shared" si="66"/>
        <v>0.296875</v>
      </c>
      <c r="R1454">
        <f>IF(AND(COUNTIF($A$2:$A$2047,A1454)&gt;1,COUNTIF($A$2:A1454,A1454)=1),1,0)</f>
        <v>0</v>
      </c>
      <c r="S1454" t="b">
        <f>IFERROR(VLOOKUP(D1454,Products!$A$2:$F$61,6,FALSE()),"")</f>
        <v>1</v>
      </c>
      <c r="T1454" t="str">
        <f>IF(COUNTIF(Customers!$A$2:$A$301,C1454)=0,"Missing","OK")</f>
        <v>OK</v>
      </c>
      <c r="U1454" t="str">
        <f t="shared" si="67"/>
        <v>Bengaluru</v>
      </c>
      <c r="V1454">
        <f t="shared" si="68"/>
        <v>0</v>
      </c>
    </row>
    <row r="1455" spans="1:22" ht="15" customHeight="1" x14ac:dyDescent="0.35">
      <c r="A1455" s="3" t="s">
        <v>1883</v>
      </c>
      <c r="B1455" s="4">
        <v>45341</v>
      </c>
      <c r="C1455" s="3" t="s">
        <v>736</v>
      </c>
      <c r="D1455" s="3" t="s">
        <v>598</v>
      </c>
      <c r="E1455" s="3" t="s">
        <v>191</v>
      </c>
      <c r="F1455" s="5">
        <v>10</v>
      </c>
      <c r="G1455" s="5">
        <v>3560</v>
      </c>
      <c r="H1455" s="5">
        <v>1.4</v>
      </c>
      <c r="I1455" s="5">
        <v>35101.599999999999</v>
      </c>
      <c r="J1455" s="3" t="s">
        <v>32</v>
      </c>
      <c r="K1455" s="3" t="s">
        <v>38</v>
      </c>
      <c r="L1455" t="str">
        <f>IFERROR(VLOOKUP(D1455,Products!$A$2:$F$61,3,FALSE()),"")</f>
        <v>Apparel</v>
      </c>
      <c r="M1455" t="str">
        <f>IFERROR(VLOOKUP(E1455,Sales_Reps!$A$2:$C$31,3,FALSE()),"")</f>
        <v>South</v>
      </c>
      <c r="N1455">
        <f>IFERROR(VLOOKUP(D1455,Products!$A$2:$F$61,4,FALSE()),"")</f>
        <v>2629</v>
      </c>
      <c r="O1455" t="str">
        <f>IFERROR(VLOOKUP(C1455,Customers!$A$2:$F$301,5,FALSE()),"")</f>
        <v>Retail</v>
      </c>
      <c r="P1455">
        <f>IFERROR(VLOOKUP(C1455,Customers!$A$2:$F$301,3,FALSE()),"")</f>
        <v>63</v>
      </c>
      <c r="Q1455">
        <f t="shared" si="66"/>
        <v>0.26151685393258428</v>
      </c>
      <c r="R1455">
        <f>IF(AND(COUNTIF($A$2:$A$2047,A1455)&gt;1,COUNTIF($A$2:A1455,A1455)=1),1,0)</f>
        <v>0</v>
      </c>
      <c r="S1455" t="b">
        <f>IFERROR(VLOOKUP(D1455,Products!$A$2:$F$61,6,FALSE()),"")</f>
        <v>1</v>
      </c>
      <c r="T1455" t="str">
        <f>IF(COUNTIF(Customers!$A$2:$A$301,C1455)=0,"Missing","OK")</f>
        <v>OK</v>
      </c>
      <c r="U1455" t="str">
        <f t="shared" si="67"/>
        <v>Delhi</v>
      </c>
      <c r="V1455">
        <f t="shared" si="68"/>
        <v>0</v>
      </c>
    </row>
    <row r="1456" spans="1:22" ht="15" customHeight="1" x14ac:dyDescent="0.35">
      <c r="A1456" s="3" t="s">
        <v>1884</v>
      </c>
      <c r="B1456" s="4">
        <v>45354</v>
      </c>
      <c r="C1456" s="3" t="s">
        <v>162</v>
      </c>
      <c r="D1456" s="3" t="s">
        <v>112</v>
      </c>
      <c r="E1456" s="3" t="s">
        <v>37</v>
      </c>
      <c r="F1456" s="5">
        <v>4</v>
      </c>
      <c r="G1456" s="5">
        <v>2720</v>
      </c>
      <c r="H1456" s="5">
        <v>19.399999999999999</v>
      </c>
      <c r="I1456" s="5">
        <v>8769.2800000000007</v>
      </c>
      <c r="J1456" s="3" t="s">
        <v>83</v>
      </c>
      <c r="K1456" s="3" t="s">
        <v>38</v>
      </c>
      <c r="L1456" t="str">
        <f>IFERROR(VLOOKUP(D1456,Products!$A$2:$F$61,3,FALSE()),"")</f>
        <v>Apparel</v>
      </c>
      <c r="M1456" t="str">
        <f>IFERROR(VLOOKUP(E1456,Sales_Reps!$A$2:$C$31,3,FALSE()),"")</f>
        <v>South</v>
      </c>
      <c r="N1456">
        <f>IFERROR(VLOOKUP(D1456,Products!$A$2:$F$61,4,FALSE()),"")</f>
        <v>1962</v>
      </c>
      <c r="O1456" t="str">
        <f>IFERROR(VLOOKUP(C1456,Customers!$A$2:$F$301,5,FALSE()),"")</f>
        <v>Retail</v>
      </c>
      <c r="P1456">
        <f>IFERROR(VLOOKUP(C1456,Customers!$A$2:$F$301,3,FALSE()),"")</f>
        <v>53</v>
      </c>
      <c r="Q1456">
        <f t="shared" si="66"/>
        <v>0.2786764705882353</v>
      </c>
      <c r="R1456">
        <f>IF(AND(COUNTIF($A$2:$A$2047,A1456)&gt;1,COUNTIF($A$2:A1456,A1456)=1),1,0)</f>
        <v>0</v>
      </c>
      <c r="S1456" t="b">
        <f>IFERROR(VLOOKUP(D1456,Products!$A$2:$F$61,6,FALSE()),"")</f>
        <v>1</v>
      </c>
      <c r="T1456" t="str">
        <f>IF(COUNTIF(Customers!$A$2:$A$301,C1456)=0,"Missing","OK")</f>
        <v>OK</v>
      </c>
      <c r="U1456" t="str">
        <f t="shared" si="67"/>
        <v>Delhi</v>
      </c>
      <c r="V1456">
        <f t="shared" si="68"/>
        <v>0</v>
      </c>
    </row>
    <row r="1457" spans="1:22" ht="15" customHeight="1" x14ac:dyDescent="0.35">
      <c r="A1457" s="3" t="s">
        <v>1885</v>
      </c>
      <c r="B1457" s="4">
        <v>45458</v>
      </c>
      <c r="C1457" s="3" t="s">
        <v>680</v>
      </c>
      <c r="D1457" s="3" t="s">
        <v>206</v>
      </c>
      <c r="E1457" s="3" t="s">
        <v>168</v>
      </c>
      <c r="F1457" s="5">
        <v>5</v>
      </c>
      <c r="G1457" s="5">
        <v>1220</v>
      </c>
      <c r="H1457" s="5">
        <v>15.6</v>
      </c>
      <c r="I1457" s="5">
        <v>5148.3999999999996</v>
      </c>
      <c r="J1457" s="3" t="s">
        <v>26</v>
      </c>
      <c r="K1457" s="3" t="s">
        <v>72</v>
      </c>
      <c r="L1457" t="str">
        <f>IFERROR(VLOOKUP(D1457,Products!$A$2:$F$61,3,FALSE()),"")</f>
        <v>Electronics</v>
      </c>
      <c r="M1457" t="str">
        <f>IFERROR(VLOOKUP(E1457,Sales_Reps!$A$2:$C$31,3,FALSE()),"")</f>
        <v>West</v>
      </c>
      <c r="N1457">
        <f>IFERROR(VLOOKUP(D1457,Products!$A$2:$F$61,4,FALSE()),"")</f>
        <v>517</v>
      </c>
      <c r="O1457" t="str">
        <f>IFERROR(VLOOKUP(C1457,Customers!$A$2:$F$301,5,FALSE()),"")</f>
        <v>SMB</v>
      </c>
      <c r="P1457">
        <f>IFERROR(VLOOKUP(C1457,Customers!$A$2:$F$301,3,FALSE()),"")</f>
        <v>29</v>
      </c>
      <c r="Q1457">
        <f t="shared" si="66"/>
        <v>0.57622950819672136</v>
      </c>
      <c r="R1457">
        <f>IF(AND(COUNTIF($A$2:$A$2047,A1457)&gt;1,COUNTIF($A$2:A1457,A1457)=1),1,0)</f>
        <v>0</v>
      </c>
      <c r="S1457" t="b">
        <f>IFERROR(VLOOKUP(D1457,Products!$A$2:$F$61,6,FALSE()),"")</f>
        <v>1</v>
      </c>
      <c r="T1457" t="str">
        <f>IF(COUNTIF(Customers!$A$2:$A$301,C1457)=0,"Missing","OK")</f>
        <v>OK</v>
      </c>
      <c r="U1457" t="str">
        <f t="shared" si="67"/>
        <v>Hyderabad</v>
      </c>
      <c r="V1457">
        <f t="shared" si="68"/>
        <v>0</v>
      </c>
    </row>
    <row r="1458" spans="1:22" ht="15" customHeight="1" x14ac:dyDescent="0.35">
      <c r="A1458" s="3" t="s">
        <v>1886</v>
      </c>
      <c r="B1458" s="4">
        <v>45364</v>
      </c>
      <c r="C1458" s="3" t="s">
        <v>195</v>
      </c>
      <c r="D1458" s="3" t="s">
        <v>441</v>
      </c>
      <c r="E1458" s="3" t="s">
        <v>140</v>
      </c>
      <c r="F1458" s="5">
        <v>5</v>
      </c>
      <c r="G1458" s="5">
        <v>1090</v>
      </c>
      <c r="H1458" s="5">
        <v>15</v>
      </c>
      <c r="I1458" s="5">
        <v>4632.5</v>
      </c>
      <c r="J1458" s="3" t="s">
        <v>26</v>
      </c>
      <c r="K1458" s="3" t="s">
        <v>72</v>
      </c>
      <c r="L1458" t="str">
        <f>IFERROR(VLOOKUP(D1458,Products!$A$2:$F$61,3,FALSE()),"")</f>
        <v>Home</v>
      </c>
      <c r="M1458" t="str">
        <f>IFERROR(VLOOKUP(E1458,Sales_Reps!$A$2:$C$31,3,FALSE()),"")</f>
        <v>West</v>
      </c>
      <c r="N1458">
        <f>IFERROR(VLOOKUP(D1458,Products!$A$2:$F$61,4,FALSE()),"")</f>
        <v>464</v>
      </c>
      <c r="O1458" t="str">
        <f>IFERROR(VLOOKUP(C1458,Customers!$A$2:$F$301,5,FALSE()),"")</f>
        <v>Retail</v>
      </c>
      <c r="P1458">
        <f>IFERROR(VLOOKUP(C1458,Customers!$A$2:$F$301,3,FALSE()),"")</f>
        <v>27</v>
      </c>
      <c r="Q1458">
        <f t="shared" si="66"/>
        <v>0.57431192660550456</v>
      </c>
      <c r="R1458">
        <f>IF(AND(COUNTIF($A$2:$A$2047,A1458)&gt;1,COUNTIF($A$2:A1458,A1458)=1),1,0)</f>
        <v>0</v>
      </c>
      <c r="S1458" t="b">
        <f>IFERROR(VLOOKUP(D1458,Products!$A$2:$F$61,6,FALSE()),"")</f>
        <v>1</v>
      </c>
      <c r="T1458" t="str">
        <f>IF(COUNTIF(Customers!$A$2:$A$301,C1458)=0,"Missing","OK")</f>
        <v>OK</v>
      </c>
      <c r="U1458" t="str">
        <f t="shared" si="67"/>
        <v>Hyderabad</v>
      </c>
      <c r="V1458">
        <f t="shared" si="68"/>
        <v>0</v>
      </c>
    </row>
    <row r="1459" spans="1:22" ht="15" customHeight="1" x14ac:dyDescent="0.35">
      <c r="A1459" s="3" t="s">
        <v>1887</v>
      </c>
      <c r="B1459" s="4">
        <v>45618</v>
      </c>
      <c r="C1459" s="3" t="s">
        <v>1001</v>
      </c>
      <c r="D1459" s="3" t="s">
        <v>49</v>
      </c>
      <c r="E1459" s="3" t="s">
        <v>168</v>
      </c>
      <c r="F1459" s="5">
        <v>9</v>
      </c>
      <c r="G1459" s="5">
        <v>370</v>
      </c>
      <c r="H1459" s="5">
        <v>25.4</v>
      </c>
      <c r="I1459" s="5">
        <v>2484.1799999999998</v>
      </c>
      <c r="J1459" s="3" t="s">
        <v>26</v>
      </c>
      <c r="K1459" s="3" t="s">
        <v>51</v>
      </c>
      <c r="L1459" t="str">
        <f>IFERROR(VLOOKUP(D1459,Products!$A$2:$F$61,3,FALSE()),"")</f>
        <v>Home</v>
      </c>
      <c r="M1459" t="str">
        <f>IFERROR(VLOOKUP(E1459,Sales_Reps!$A$2:$C$31,3,FALSE()),"")</f>
        <v>West</v>
      </c>
      <c r="N1459">
        <f>IFERROR(VLOOKUP(D1459,Products!$A$2:$F$61,4,FALSE()),"")</f>
        <v>288</v>
      </c>
      <c r="O1459" t="str">
        <f>IFERROR(VLOOKUP(C1459,Customers!$A$2:$F$301,5,FALSE()),"")</f>
        <v>SMB</v>
      </c>
      <c r="P1459">
        <f>IFERROR(VLOOKUP(C1459,Customers!$A$2:$F$301,3,FALSE()),"")</f>
        <v>54</v>
      </c>
      <c r="Q1459">
        <f t="shared" si="66"/>
        <v>0.22162162162162163</v>
      </c>
      <c r="R1459">
        <f>IF(AND(COUNTIF($A$2:$A$2047,A1459)&gt;1,COUNTIF($A$2:A1459,A1459)=1),1,0)</f>
        <v>0</v>
      </c>
      <c r="S1459" t="b">
        <f>IFERROR(VLOOKUP(D1459,Products!$A$2:$F$61,6,FALSE()),"")</f>
        <v>1</v>
      </c>
      <c r="T1459" t="str">
        <f>IF(COUNTIF(Customers!$A$2:$A$301,C1459)=0,"Missing","OK")</f>
        <v>OK</v>
      </c>
      <c r="U1459" t="str">
        <f t="shared" si="67"/>
        <v>Mumbai</v>
      </c>
      <c r="V1459">
        <f t="shared" si="68"/>
        <v>0</v>
      </c>
    </row>
    <row r="1460" spans="1:22" ht="15" customHeight="1" x14ac:dyDescent="0.35">
      <c r="A1460" s="3" t="s">
        <v>1888</v>
      </c>
      <c r="B1460" s="4">
        <v>45456</v>
      </c>
      <c r="C1460" s="3" t="s">
        <v>844</v>
      </c>
      <c r="D1460" s="3" t="s">
        <v>134</v>
      </c>
      <c r="E1460" s="3" t="s">
        <v>25</v>
      </c>
      <c r="F1460" s="5">
        <v>7</v>
      </c>
      <c r="G1460" s="5">
        <v>2860</v>
      </c>
      <c r="H1460" s="5">
        <v>14</v>
      </c>
      <c r="I1460" s="5">
        <v>17217.2</v>
      </c>
      <c r="J1460" s="3" t="s">
        <v>26</v>
      </c>
      <c r="K1460" s="3" t="s">
        <v>51</v>
      </c>
      <c r="L1460" t="str">
        <f>IFERROR(VLOOKUP(D1460,Products!$A$2:$F$61,3,FALSE()),"")</f>
        <v>Sports</v>
      </c>
      <c r="M1460" t="str">
        <f>IFERROR(VLOOKUP(E1460,Sales_Reps!$A$2:$C$31,3,FALSE()),"")</f>
        <v>North</v>
      </c>
      <c r="N1460">
        <f>IFERROR(VLOOKUP(D1460,Products!$A$2:$F$61,4,FALSE()),"")</f>
        <v>2028</v>
      </c>
      <c r="O1460" t="str">
        <f>IFERROR(VLOOKUP(C1460,Customers!$A$2:$F$301,5,FALSE()),"")</f>
        <v>SMB</v>
      </c>
      <c r="P1460">
        <f>IFERROR(VLOOKUP(C1460,Customers!$A$2:$F$301,3,FALSE()),"")</f>
        <v>43</v>
      </c>
      <c r="Q1460">
        <f t="shared" si="66"/>
        <v>0.29090909090909089</v>
      </c>
      <c r="R1460">
        <f>IF(AND(COUNTIF($A$2:$A$2047,A1460)&gt;1,COUNTIF($A$2:A1460,A1460)=1),1,0)</f>
        <v>0</v>
      </c>
      <c r="S1460" t="b">
        <f>IFERROR(VLOOKUP(D1460,Products!$A$2:$F$61,6,FALSE()),"")</f>
        <v>1</v>
      </c>
      <c r="T1460" t="str">
        <f>IF(COUNTIF(Customers!$A$2:$A$301,C1460)=0,"Missing","OK")</f>
        <v>OK</v>
      </c>
      <c r="U1460" t="str">
        <f t="shared" si="67"/>
        <v>Mumbai</v>
      </c>
      <c r="V1460">
        <f t="shared" si="68"/>
        <v>0</v>
      </c>
    </row>
    <row r="1461" spans="1:22" ht="15" customHeight="1" x14ac:dyDescent="0.35">
      <c r="A1461" s="3" t="s">
        <v>1889</v>
      </c>
      <c r="B1461" s="4">
        <v>45490</v>
      </c>
      <c r="C1461" s="3" t="s">
        <v>538</v>
      </c>
      <c r="D1461" s="3" t="s">
        <v>277</v>
      </c>
      <c r="E1461" s="3" t="s">
        <v>140</v>
      </c>
      <c r="F1461" s="5">
        <v>1</v>
      </c>
      <c r="G1461" s="5">
        <v>2210</v>
      </c>
      <c r="H1461" s="5">
        <v>1.7</v>
      </c>
      <c r="I1461" s="5">
        <v>2172.4299999999998</v>
      </c>
      <c r="J1461" s="3" t="s">
        <v>26</v>
      </c>
      <c r="K1461" s="3" t="s">
        <v>56</v>
      </c>
      <c r="L1461" t="str">
        <f>IFERROR(VLOOKUP(D1461,Products!$A$2:$F$61,3,FALSE()),"")</f>
        <v>Grocery</v>
      </c>
      <c r="M1461" t="str">
        <f>IFERROR(VLOOKUP(E1461,Sales_Reps!$A$2:$C$31,3,FALSE()),"")</f>
        <v>West</v>
      </c>
      <c r="N1461">
        <f>IFERROR(VLOOKUP(D1461,Products!$A$2:$F$61,4,FALSE()),"")</f>
        <v>1010</v>
      </c>
      <c r="O1461" t="str">
        <f>IFERROR(VLOOKUP(C1461,Customers!$A$2:$F$301,5,FALSE()),"")</f>
        <v>Corporate</v>
      </c>
      <c r="P1461">
        <f>IFERROR(VLOOKUP(C1461,Customers!$A$2:$F$301,3,FALSE()),"")</f>
        <v>26</v>
      </c>
      <c r="Q1461">
        <f t="shared" si="66"/>
        <v>0.54298642533936647</v>
      </c>
      <c r="R1461">
        <f>IF(AND(COUNTIF($A$2:$A$2047,A1461)&gt;1,COUNTIF($A$2:A1461,A1461)=1),1,0)</f>
        <v>0</v>
      </c>
      <c r="S1461" t="b">
        <f>IFERROR(VLOOKUP(D1461,Products!$A$2:$F$61,6,FALSE()),"")</f>
        <v>1</v>
      </c>
      <c r="T1461" t="str">
        <f>IF(COUNTIF(Customers!$A$2:$A$301,C1461)=0,"Missing","OK")</f>
        <v>OK</v>
      </c>
      <c r="U1461" t="str">
        <f t="shared" si="67"/>
        <v>Bengaluru</v>
      </c>
      <c r="V1461">
        <f t="shared" si="68"/>
        <v>2172.4299999999998</v>
      </c>
    </row>
    <row r="1462" spans="1:22" ht="15" customHeight="1" x14ac:dyDescent="0.35">
      <c r="A1462" s="3" t="s">
        <v>1890</v>
      </c>
      <c r="B1462" s="4">
        <v>45584</v>
      </c>
      <c r="C1462" s="3" t="s">
        <v>502</v>
      </c>
      <c r="D1462" s="3" t="s">
        <v>66</v>
      </c>
      <c r="E1462" s="3" t="s">
        <v>50</v>
      </c>
      <c r="F1462" s="5">
        <v>3</v>
      </c>
      <c r="G1462" s="5">
        <v>970</v>
      </c>
      <c r="H1462" s="5">
        <v>20.3</v>
      </c>
      <c r="I1462" s="5">
        <v>2319.27</v>
      </c>
      <c r="J1462" s="3" t="s">
        <v>32</v>
      </c>
      <c r="K1462" s="3" t="s">
        <v>27</v>
      </c>
      <c r="L1462" t="str">
        <f>IFERROR(VLOOKUP(D1462,Products!$A$2:$F$61,3,FALSE()),"")</f>
        <v>Grocery</v>
      </c>
      <c r="M1462" t="str">
        <f>IFERROR(VLOOKUP(E1462,Sales_Reps!$A$2:$C$31,3,FALSE()),"")</f>
        <v>West</v>
      </c>
      <c r="N1462">
        <f>IFERROR(VLOOKUP(D1462,Products!$A$2:$F$61,4,FALSE()),"")</f>
        <v>434</v>
      </c>
      <c r="O1462" t="str">
        <f>IFERROR(VLOOKUP(C1462,Customers!$A$2:$F$301,5,FALSE()),"")</f>
        <v>SMB</v>
      </c>
      <c r="P1462">
        <f>IFERROR(VLOOKUP(C1462,Customers!$A$2:$F$301,3,FALSE()),"")</f>
        <v>24</v>
      </c>
      <c r="Q1462">
        <f t="shared" si="66"/>
        <v>0.5525773195876289</v>
      </c>
      <c r="R1462">
        <f>IF(AND(COUNTIF($A$2:$A$2047,A1462)&gt;1,COUNTIF($A$2:A1462,A1462)=1),1,0)</f>
        <v>0</v>
      </c>
      <c r="S1462" t="b">
        <f>IFERROR(VLOOKUP(D1462,Products!$A$2:$F$61,6,FALSE()),"")</f>
        <v>1</v>
      </c>
      <c r="T1462" t="str">
        <f>IF(COUNTIF(Customers!$A$2:$A$301,C1462)=0,"Missing","OK")</f>
        <v>OK</v>
      </c>
      <c r="U1462" t="str">
        <f t="shared" si="67"/>
        <v>Pune</v>
      </c>
      <c r="V1462">
        <f t="shared" si="68"/>
        <v>0</v>
      </c>
    </row>
    <row r="1463" spans="1:22" ht="15" customHeight="1" x14ac:dyDescent="0.35">
      <c r="A1463" s="3" t="s">
        <v>1891</v>
      </c>
      <c r="B1463" s="4">
        <v>45476</v>
      </c>
      <c r="C1463" s="3" t="s">
        <v>939</v>
      </c>
      <c r="D1463" s="3" t="s">
        <v>598</v>
      </c>
      <c r="E1463" s="3" t="s">
        <v>97</v>
      </c>
      <c r="F1463" s="5">
        <v>5</v>
      </c>
      <c r="G1463" s="5">
        <v>3560</v>
      </c>
      <c r="H1463" s="5">
        <v>17.100000000000001</v>
      </c>
      <c r="I1463" s="5">
        <v>14756.2</v>
      </c>
      <c r="J1463" s="3" t="s">
        <v>26</v>
      </c>
      <c r="K1463" s="3" t="s">
        <v>56</v>
      </c>
      <c r="L1463" t="str">
        <f>IFERROR(VLOOKUP(D1463,Products!$A$2:$F$61,3,FALSE()),"")</f>
        <v>Apparel</v>
      </c>
      <c r="M1463" t="str">
        <f>IFERROR(VLOOKUP(E1463,Sales_Reps!$A$2:$C$31,3,FALSE()),"")</f>
        <v>East</v>
      </c>
      <c r="N1463">
        <f>IFERROR(VLOOKUP(D1463,Products!$A$2:$F$61,4,FALSE()),"")</f>
        <v>2629</v>
      </c>
      <c r="O1463" t="str">
        <f>IFERROR(VLOOKUP(C1463,Customers!$A$2:$F$301,5,FALSE()),"")</f>
        <v>Retail</v>
      </c>
      <c r="P1463">
        <f>IFERROR(VLOOKUP(C1463,Customers!$A$2:$F$301,3,FALSE()),"")</f>
        <v>27</v>
      </c>
      <c r="Q1463">
        <f t="shared" si="66"/>
        <v>0.26151685393258428</v>
      </c>
      <c r="R1463">
        <f>IF(AND(COUNTIF($A$2:$A$2047,A1463)&gt;1,COUNTIF($A$2:A1463,A1463)=1),1,0)</f>
        <v>0</v>
      </c>
      <c r="S1463" t="b">
        <f>IFERROR(VLOOKUP(D1463,Products!$A$2:$F$61,6,FALSE()),"")</f>
        <v>1</v>
      </c>
      <c r="T1463" t="str">
        <f>IF(COUNTIF(Customers!$A$2:$A$301,C1463)=0,"Missing","OK")</f>
        <v>OK</v>
      </c>
      <c r="U1463" t="str">
        <f t="shared" si="67"/>
        <v>Bengaluru</v>
      </c>
      <c r="V1463">
        <f t="shared" si="68"/>
        <v>0</v>
      </c>
    </row>
    <row r="1464" spans="1:22" ht="15" customHeight="1" x14ac:dyDescent="0.35">
      <c r="A1464" s="3" t="s">
        <v>1892</v>
      </c>
      <c r="B1464" s="4">
        <v>45387</v>
      </c>
      <c r="C1464" s="3" t="s">
        <v>129</v>
      </c>
      <c r="D1464" s="3" t="s">
        <v>103</v>
      </c>
      <c r="E1464" s="3" t="s">
        <v>93</v>
      </c>
      <c r="F1464" s="5">
        <v>10</v>
      </c>
      <c r="G1464" s="5">
        <v>1080</v>
      </c>
      <c r="H1464" s="5">
        <v>12.8</v>
      </c>
      <c r="I1464" s="5">
        <v>9417.6</v>
      </c>
      <c r="J1464" s="3" t="s">
        <v>26</v>
      </c>
      <c r="K1464" s="3" t="s">
        <v>72</v>
      </c>
      <c r="L1464" t="str">
        <f>IFERROR(VLOOKUP(D1464,Products!$A$2:$F$61,3,FALSE()),"")</f>
        <v>Home</v>
      </c>
      <c r="M1464" t="str">
        <f>IFERROR(VLOOKUP(E1464,Sales_Reps!$A$2:$C$31,3,FALSE()),"")</f>
        <v>East</v>
      </c>
      <c r="N1464">
        <f>IFERROR(VLOOKUP(D1464,Products!$A$2:$F$61,4,FALSE()),"")</f>
        <v>519</v>
      </c>
      <c r="O1464" t="str">
        <f>IFERROR(VLOOKUP(C1464,Customers!$A$2:$F$301,5,FALSE()),"")</f>
        <v>Corporate</v>
      </c>
      <c r="P1464">
        <f>IFERROR(VLOOKUP(C1464,Customers!$A$2:$F$301,3,FALSE()),"")</f>
        <v>56</v>
      </c>
      <c r="Q1464">
        <f t="shared" si="66"/>
        <v>0.51944444444444449</v>
      </c>
      <c r="R1464">
        <f>IF(AND(COUNTIF($A$2:$A$2047,A1464)&gt;1,COUNTIF($A$2:A1464,A1464)=1),1,0)</f>
        <v>0</v>
      </c>
      <c r="S1464" t="b">
        <f>IFERROR(VLOOKUP(D1464,Products!$A$2:$F$61,6,FALSE()),"")</f>
        <v>1</v>
      </c>
      <c r="T1464" t="str">
        <f>IF(COUNTIF(Customers!$A$2:$A$301,C1464)=0,"Missing","OK")</f>
        <v>OK</v>
      </c>
      <c r="U1464" t="str">
        <f t="shared" si="67"/>
        <v>Hyderabad</v>
      </c>
      <c r="V1464">
        <f t="shared" si="68"/>
        <v>0</v>
      </c>
    </row>
    <row r="1465" spans="1:22" ht="15" customHeight="1" x14ac:dyDescent="0.35">
      <c r="A1465" s="3" t="s">
        <v>1893</v>
      </c>
      <c r="B1465" s="4">
        <v>45324</v>
      </c>
      <c r="C1465" s="3" t="s">
        <v>446</v>
      </c>
      <c r="D1465" s="3" t="s">
        <v>206</v>
      </c>
      <c r="E1465" s="3" t="s">
        <v>212</v>
      </c>
      <c r="F1465" s="5">
        <v>3</v>
      </c>
      <c r="G1465" s="5">
        <v>1220</v>
      </c>
      <c r="H1465" s="5">
        <v>1.9</v>
      </c>
      <c r="I1465" s="5">
        <v>3590.46</v>
      </c>
      <c r="J1465" s="3" t="s">
        <v>26</v>
      </c>
      <c r="K1465" s="3" t="s">
        <v>27</v>
      </c>
      <c r="L1465" t="str">
        <f>IFERROR(VLOOKUP(D1465,Products!$A$2:$F$61,3,FALSE()),"")</f>
        <v>Electronics</v>
      </c>
      <c r="M1465" t="str">
        <f>IFERROR(VLOOKUP(E1465,Sales_Reps!$A$2:$C$31,3,FALSE()),"")</f>
        <v>South</v>
      </c>
      <c r="N1465">
        <f>IFERROR(VLOOKUP(D1465,Products!$A$2:$F$61,4,FALSE()),"")</f>
        <v>517</v>
      </c>
      <c r="O1465" t="str">
        <f>IFERROR(VLOOKUP(C1465,Customers!$A$2:$F$301,5,FALSE()),"")</f>
        <v>Retail</v>
      </c>
      <c r="P1465">
        <f>IFERROR(VLOOKUP(C1465,Customers!$A$2:$F$301,3,FALSE()),"")</f>
        <v>59</v>
      </c>
      <c r="Q1465">
        <f t="shared" si="66"/>
        <v>0.57622950819672136</v>
      </c>
      <c r="R1465">
        <f>IF(AND(COUNTIF($A$2:$A$2047,A1465)&gt;1,COUNTIF($A$2:A1465,A1465)=1),1,0)</f>
        <v>0</v>
      </c>
      <c r="S1465" t="b">
        <f>IFERROR(VLOOKUP(D1465,Products!$A$2:$F$61,6,FALSE()),"")</f>
        <v>1</v>
      </c>
      <c r="T1465" t="str">
        <f>IF(COUNTIF(Customers!$A$2:$A$301,C1465)=0,"Missing","OK")</f>
        <v>OK</v>
      </c>
      <c r="U1465" t="str">
        <f t="shared" si="67"/>
        <v>Pune</v>
      </c>
      <c r="V1465">
        <f t="shared" si="68"/>
        <v>0</v>
      </c>
    </row>
    <row r="1466" spans="1:22" ht="15" customHeight="1" x14ac:dyDescent="0.35">
      <c r="A1466" s="3" t="s">
        <v>1894</v>
      </c>
      <c r="B1466" s="4">
        <v>45479</v>
      </c>
      <c r="C1466" s="3" t="s">
        <v>1895</v>
      </c>
      <c r="D1466" s="3" t="s">
        <v>165</v>
      </c>
      <c r="E1466" s="3" t="s">
        <v>143</v>
      </c>
      <c r="F1466" s="5">
        <v>1</v>
      </c>
      <c r="G1466" s="5">
        <v>3730</v>
      </c>
      <c r="H1466" s="5">
        <v>14.7</v>
      </c>
      <c r="I1466" s="5">
        <v>3181.69</v>
      </c>
      <c r="J1466" s="3" t="s">
        <v>32</v>
      </c>
      <c r="K1466" s="3" t="s">
        <v>27</v>
      </c>
      <c r="L1466" t="str">
        <f>IFERROR(VLOOKUP(D1466,Products!$A$2:$F$61,3,FALSE()),"")</f>
        <v>Home</v>
      </c>
      <c r="M1466" t="str">
        <f>IFERROR(VLOOKUP(E1466,Sales_Reps!$A$2:$C$31,3,FALSE()),"")</f>
        <v>South</v>
      </c>
      <c r="N1466">
        <f>IFERROR(VLOOKUP(D1466,Products!$A$2:$F$61,4,FALSE()),"")</f>
        <v>2135</v>
      </c>
      <c r="O1466" t="str">
        <f>IFERROR(VLOOKUP(C1466,Customers!$A$2:$F$301,5,FALSE()),"")</f>
        <v/>
      </c>
      <c r="P1466" t="str">
        <f>IFERROR(VLOOKUP(C1466,Customers!$A$2:$F$301,3,FALSE()),"")</f>
        <v/>
      </c>
      <c r="Q1466">
        <f t="shared" si="66"/>
        <v>0.42761394101876676</v>
      </c>
      <c r="R1466">
        <f>IF(AND(COUNTIF($A$2:$A$2047,A1466)&gt;1,COUNTIF($A$2:A1466,A1466)=1),1,0)</f>
        <v>0</v>
      </c>
      <c r="S1466" t="b">
        <f>IFERROR(VLOOKUP(D1466,Products!$A$2:$F$61,6,FALSE()),"")</f>
        <v>1</v>
      </c>
      <c r="T1466" t="str">
        <f>IF(COUNTIF(Customers!$A$2:$A$301,C1466)=0,"Missing","OK")</f>
        <v>Missing</v>
      </c>
      <c r="U1466" t="str">
        <f t="shared" si="67"/>
        <v>Pune</v>
      </c>
      <c r="V1466">
        <f t="shared" si="68"/>
        <v>0</v>
      </c>
    </row>
    <row r="1467" spans="1:22" ht="15" customHeight="1" x14ac:dyDescent="0.35">
      <c r="A1467" s="3" t="s">
        <v>1896</v>
      </c>
      <c r="B1467" s="4">
        <v>45628</v>
      </c>
      <c r="C1467" s="3" t="s">
        <v>125</v>
      </c>
      <c r="D1467" s="3" t="s">
        <v>59</v>
      </c>
      <c r="E1467" s="3" t="s">
        <v>154</v>
      </c>
      <c r="F1467" s="5">
        <v>3</v>
      </c>
      <c r="G1467" s="5">
        <v>1430</v>
      </c>
      <c r="H1467" s="5">
        <v>13.2</v>
      </c>
      <c r="I1467" s="5">
        <v>3723.72</v>
      </c>
      <c r="J1467" s="3" t="s">
        <v>26</v>
      </c>
      <c r="K1467" s="3" t="s">
        <v>33</v>
      </c>
      <c r="L1467" t="str">
        <f>IFERROR(VLOOKUP(D1467,Products!$A$2:$F$61,3,FALSE()),"")</f>
        <v>Electronics</v>
      </c>
      <c r="M1467" t="str">
        <f>IFERROR(VLOOKUP(E1467,Sales_Reps!$A$2:$C$31,3,FALSE()),"")</f>
        <v>North</v>
      </c>
      <c r="N1467">
        <f>IFERROR(VLOOKUP(D1467,Products!$A$2:$F$61,4,FALSE()),"")</f>
        <v>861</v>
      </c>
      <c r="O1467" t="str">
        <f>IFERROR(VLOOKUP(C1467,Customers!$A$2:$F$301,5,FALSE()),"")</f>
        <v>SMB</v>
      </c>
      <c r="P1467">
        <f>IFERROR(VLOOKUP(C1467,Customers!$A$2:$F$301,3,FALSE()),"")</f>
        <v>52</v>
      </c>
      <c r="Q1467">
        <f t="shared" si="66"/>
        <v>0.39790209790209791</v>
      </c>
      <c r="R1467">
        <f>IF(AND(COUNTIF($A$2:$A$2047,A1467)&gt;1,COUNTIF($A$2:A1467,A1467)=1),1,0)</f>
        <v>0</v>
      </c>
      <c r="S1467" t="b">
        <f>IFERROR(VLOOKUP(D1467,Products!$A$2:$F$61,6,FALSE()),"")</f>
        <v>1</v>
      </c>
      <c r="T1467" t="str">
        <f>IF(COUNTIF(Customers!$A$2:$A$301,C1467)=0,"Missing","OK")</f>
        <v>OK</v>
      </c>
      <c r="U1467" t="str">
        <f t="shared" si="67"/>
        <v>Chennai</v>
      </c>
      <c r="V1467">
        <f t="shared" si="68"/>
        <v>0</v>
      </c>
    </row>
    <row r="1468" spans="1:22" ht="15" customHeight="1" x14ac:dyDescent="0.35">
      <c r="A1468" s="3" t="s">
        <v>1897</v>
      </c>
      <c r="B1468" s="4">
        <v>45413</v>
      </c>
      <c r="C1468" s="3" t="s">
        <v>129</v>
      </c>
      <c r="D1468" s="3" t="s">
        <v>180</v>
      </c>
      <c r="E1468" s="3" t="s">
        <v>242</v>
      </c>
      <c r="F1468" s="5">
        <v>2</v>
      </c>
      <c r="G1468" s="5">
        <v>6080</v>
      </c>
      <c r="H1468" s="5">
        <v>21.8</v>
      </c>
      <c r="I1468" s="5">
        <v>9509.1200000000008</v>
      </c>
      <c r="J1468" s="3" t="s">
        <v>79</v>
      </c>
      <c r="K1468" s="3" t="s">
        <v>72</v>
      </c>
      <c r="L1468" t="str">
        <f>IFERROR(VLOOKUP(D1468,Products!$A$2:$F$61,3,FALSE()),"")</f>
        <v>Beauty</v>
      </c>
      <c r="M1468" t="str">
        <f>IFERROR(VLOOKUP(E1468,Sales_Reps!$A$2:$C$31,3,FALSE()),"")</f>
        <v>East</v>
      </c>
      <c r="N1468">
        <f>IFERROR(VLOOKUP(D1468,Products!$A$2:$F$61,4,FALSE()),"")</f>
        <v>2617</v>
      </c>
      <c r="O1468" t="str">
        <f>IFERROR(VLOOKUP(C1468,Customers!$A$2:$F$301,5,FALSE()),"")</f>
        <v>Corporate</v>
      </c>
      <c r="P1468">
        <f>IFERROR(VLOOKUP(C1468,Customers!$A$2:$F$301,3,FALSE()),"")</f>
        <v>56</v>
      </c>
      <c r="Q1468">
        <f t="shared" si="66"/>
        <v>0.56957236842105263</v>
      </c>
      <c r="R1468">
        <f>IF(AND(COUNTIF($A$2:$A$2047,A1468)&gt;1,COUNTIF($A$2:A1468,A1468)=1),1,0)</f>
        <v>0</v>
      </c>
      <c r="S1468" t="b">
        <f>IFERROR(VLOOKUP(D1468,Products!$A$2:$F$61,6,FALSE()),"")</f>
        <v>1</v>
      </c>
      <c r="T1468" t="str">
        <f>IF(COUNTIF(Customers!$A$2:$A$301,C1468)=0,"Missing","OK")</f>
        <v>OK</v>
      </c>
      <c r="U1468" t="str">
        <f t="shared" si="67"/>
        <v>Hyderabad</v>
      </c>
      <c r="V1468">
        <f t="shared" si="68"/>
        <v>0</v>
      </c>
    </row>
    <row r="1469" spans="1:22" ht="15" customHeight="1" x14ac:dyDescent="0.35">
      <c r="A1469" s="3" t="s">
        <v>1898</v>
      </c>
      <c r="B1469" s="4">
        <v>45343</v>
      </c>
      <c r="C1469" s="3" t="s">
        <v>619</v>
      </c>
      <c r="D1469" s="3" t="s">
        <v>130</v>
      </c>
      <c r="E1469" s="3" t="s">
        <v>127</v>
      </c>
      <c r="F1469" s="5">
        <v>9</v>
      </c>
      <c r="G1469" s="5">
        <v>5100</v>
      </c>
      <c r="H1469" s="5">
        <v>29.3</v>
      </c>
      <c r="I1469" s="5">
        <v>32451.3</v>
      </c>
      <c r="J1469" s="3" t="s">
        <v>26</v>
      </c>
      <c r="K1469" s="3" t="s">
        <v>33</v>
      </c>
      <c r="L1469" t="str">
        <f>IFERROR(VLOOKUP(D1469,Products!$A$2:$F$61,3,FALSE()),"")</f>
        <v>Beauty</v>
      </c>
      <c r="M1469" t="str">
        <f>IFERROR(VLOOKUP(E1469,Sales_Reps!$A$2:$C$31,3,FALSE()),"")</f>
        <v>South</v>
      </c>
      <c r="N1469">
        <f>IFERROR(VLOOKUP(D1469,Products!$A$2:$F$61,4,FALSE()),"")</f>
        <v>2237</v>
      </c>
      <c r="O1469" t="str">
        <f>IFERROR(VLOOKUP(C1469,Customers!$A$2:$F$301,5,FALSE()),"")</f>
        <v>Retail</v>
      </c>
      <c r="P1469">
        <f>IFERROR(VLOOKUP(C1469,Customers!$A$2:$F$301,3,FALSE()),"")</f>
        <v>26</v>
      </c>
      <c r="Q1469">
        <f t="shared" si="66"/>
        <v>0.56137254901960787</v>
      </c>
      <c r="R1469">
        <f>IF(AND(COUNTIF($A$2:$A$2047,A1469)&gt;1,COUNTIF($A$2:A1469,A1469)=1),1,0)</f>
        <v>0</v>
      </c>
      <c r="S1469" t="b">
        <f>IFERROR(VLOOKUP(D1469,Products!$A$2:$F$61,6,FALSE()),"")</f>
        <v>1</v>
      </c>
      <c r="T1469" t="str">
        <f>IF(COUNTIF(Customers!$A$2:$A$301,C1469)=0,"Missing","OK")</f>
        <v>OK</v>
      </c>
      <c r="U1469" t="str">
        <f t="shared" si="67"/>
        <v>Chennai</v>
      </c>
      <c r="V1469">
        <f t="shared" si="68"/>
        <v>0</v>
      </c>
    </row>
    <row r="1470" spans="1:22" ht="15" customHeight="1" x14ac:dyDescent="0.35">
      <c r="A1470" s="3" t="s">
        <v>1899</v>
      </c>
      <c r="B1470" s="4">
        <v>45424</v>
      </c>
      <c r="C1470" s="3" t="s">
        <v>844</v>
      </c>
      <c r="D1470" s="3" t="s">
        <v>391</v>
      </c>
      <c r="E1470" s="3" t="s">
        <v>37</v>
      </c>
      <c r="F1470" s="5">
        <v>5</v>
      </c>
      <c r="G1470" s="5">
        <v>3450</v>
      </c>
      <c r="H1470" s="5">
        <v>5.3</v>
      </c>
      <c r="I1470" s="5">
        <v>16335.75</v>
      </c>
      <c r="J1470" s="3" t="s">
        <v>26</v>
      </c>
      <c r="K1470" s="3" t="s">
        <v>51</v>
      </c>
      <c r="L1470" t="str">
        <f>IFERROR(VLOOKUP(D1470,Products!$A$2:$F$61,3,FALSE()),"")</f>
        <v>Apparel</v>
      </c>
      <c r="M1470" t="str">
        <f>IFERROR(VLOOKUP(E1470,Sales_Reps!$A$2:$C$31,3,FALSE()),"")</f>
        <v>South</v>
      </c>
      <c r="N1470">
        <f>IFERROR(VLOOKUP(D1470,Products!$A$2:$F$61,4,FALSE()),"")</f>
        <v>1748</v>
      </c>
      <c r="O1470" t="str">
        <f>IFERROR(VLOOKUP(C1470,Customers!$A$2:$F$301,5,FALSE()),"")</f>
        <v>SMB</v>
      </c>
      <c r="P1470">
        <f>IFERROR(VLOOKUP(C1470,Customers!$A$2:$F$301,3,FALSE()),"")</f>
        <v>43</v>
      </c>
      <c r="Q1470">
        <f t="shared" si="66"/>
        <v>0.49333333333333335</v>
      </c>
      <c r="R1470">
        <f>IF(AND(COUNTIF($A$2:$A$2047,A1470)&gt;1,COUNTIF($A$2:A1470,A1470)=1),1,0)</f>
        <v>0</v>
      </c>
      <c r="S1470" t="b">
        <f>IFERROR(VLOOKUP(D1470,Products!$A$2:$F$61,6,FALSE()),"")</f>
        <v>1</v>
      </c>
      <c r="T1470" t="str">
        <f>IF(COUNTIF(Customers!$A$2:$A$301,C1470)=0,"Missing","OK")</f>
        <v>OK</v>
      </c>
      <c r="U1470" t="str">
        <f t="shared" si="67"/>
        <v>Mumbai</v>
      </c>
      <c r="V1470">
        <f t="shared" si="68"/>
        <v>0</v>
      </c>
    </row>
    <row r="1471" spans="1:22" ht="15" customHeight="1" x14ac:dyDescent="0.35">
      <c r="A1471" s="3" t="s">
        <v>1900</v>
      </c>
      <c r="B1471" s="4">
        <v>45632</v>
      </c>
      <c r="C1471" s="3" t="s">
        <v>327</v>
      </c>
      <c r="D1471" s="3" t="s">
        <v>126</v>
      </c>
      <c r="E1471" s="3" t="s">
        <v>236</v>
      </c>
      <c r="F1471" s="5">
        <v>6</v>
      </c>
      <c r="G1471" s="5">
        <v>3570</v>
      </c>
      <c r="H1471" s="5">
        <v>17.3</v>
      </c>
      <c r="I1471" s="5">
        <v>17714.34</v>
      </c>
      <c r="J1471" s="3" t="s">
        <v>26</v>
      </c>
      <c r="K1471" s="3" t="s">
        <v>72</v>
      </c>
      <c r="L1471" t="str">
        <f>IFERROR(VLOOKUP(D1471,Products!$A$2:$F$61,3,FALSE()),"")</f>
        <v>Electronics</v>
      </c>
      <c r="M1471" t="str">
        <f>IFERROR(VLOOKUP(E1471,Sales_Reps!$A$2:$C$31,3,FALSE()),"")</f>
        <v>North</v>
      </c>
      <c r="N1471">
        <f>IFERROR(VLOOKUP(D1471,Products!$A$2:$F$61,4,FALSE()),"")</f>
        <v>1665</v>
      </c>
      <c r="O1471" t="str">
        <f>IFERROR(VLOOKUP(C1471,Customers!$A$2:$F$301,5,FALSE()),"")</f>
        <v>Retail</v>
      </c>
      <c r="P1471">
        <f>IFERROR(VLOOKUP(C1471,Customers!$A$2:$F$301,3,FALSE()),"")</f>
        <v>44</v>
      </c>
      <c r="Q1471">
        <f t="shared" si="66"/>
        <v>0.53361344537815125</v>
      </c>
      <c r="R1471">
        <f>IF(AND(COUNTIF($A$2:$A$2047,A1471)&gt;1,COUNTIF($A$2:A1471,A1471)=1),1,0)</f>
        <v>0</v>
      </c>
      <c r="S1471" t="b">
        <f>IFERROR(VLOOKUP(D1471,Products!$A$2:$F$61,6,FALSE()),"")</f>
        <v>1</v>
      </c>
      <c r="T1471" t="str">
        <f>IF(COUNTIF(Customers!$A$2:$A$301,C1471)=0,"Missing","OK")</f>
        <v>OK</v>
      </c>
      <c r="U1471" t="str">
        <f t="shared" si="67"/>
        <v>Hyderabad</v>
      </c>
      <c r="V1471">
        <f t="shared" si="68"/>
        <v>0</v>
      </c>
    </row>
    <row r="1472" spans="1:22" ht="15" customHeight="1" x14ac:dyDescent="0.35">
      <c r="A1472" s="3" t="s">
        <v>1901</v>
      </c>
      <c r="B1472" s="4">
        <v>45444</v>
      </c>
      <c r="C1472" s="3" t="s">
        <v>228</v>
      </c>
      <c r="D1472" s="3" t="s">
        <v>165</v>
      </c>
      <c r="E1472" s="3" t="s">
        <v>242</v>
      </c>
      <c r="F1472" s="5">
        <v>6</v>
      </c>
      <c r="G1472" s="5">
        <v>3730</v>
      </c>
      <c r="H1472" s="5">
        <v>1</v>
      </c>
      <c r="I1472" s="5">
        <v>22156.2</v>
      </c>
      <c r="J1472" s="3" t="s">
        <v>26</v>
      </c>
      <c r="K1472" s="3" t="s">
        <v>33</v>
      </c>
      <c r="L1472" t="str">
        <f>IFERROR(VLOOKUP(D1472,Products!$A$2:$F$61,3,FALSE()),"")</f>
        <v>Home</v>
      </c>
      <c r="M1472" t="str">
        <f>IFERROR(VLOOKUP(E1472,Sales_Reps!$A$2:$C$31,3,FALSE()),"")</f>
        <v>East</v>
      </c>
      <c r="N1472">
        <f>IFERROR(VLOOKUP(D1472,Products!$A$2:$F$61,4,FALSE()),"")</f>
        <v>2135</v>
      </c>
      <c r="O1472" t="str">
        <f>IFERROR(VLOOKUP(C1472,Customers!$A$2:$F$301,5,FALSE()),"")</f>
        <v>Retail</v>
      </c>
      <c r="P1472">
        <f>IFERROR(VLOOKUP(C1472,Customers!$A$2:$F$301,3,FALSE()),"")</f>
        <v>38</v>
      </c>
      <c r="Q1472">
        <f t="shared" si="66"/>
        <v>0.42761394101876676</v>
      </c>
      <c r="R1472">
        <f>IF(AND(COUNTIF($A$2:$A$2047,A1472)&gt;1,COUNTIF($A$2:A1472,A1472)=1),1,0)</f>
        <v>0</v>
      </c>
      <c r="S1472" t="b">
        <f>IFERROR(VLOOKUP(D1472,Products!$A$2:$F$61,6,FALSE()),"")</f>
        <v>1</v>
      </c>
      <c r="T1472" t="str">
        <f>IF(COUNTIF(Customers!$A$2:$A$301,C1472)=0,"Missing","OK")</f>
        <v>OK</v>
      </c>
      <c r="U1472" t="str">
        <f t="shared" si="67"/>
        <v>Chennai</v>
      </c>
      <c r="V1472">
        <f t="shared" si="68"/>
        <v>0</v>
      </c>
    </row>
    <row r="1473" spans="1:22" ht="15" customHeight="1" x14ac:dyDescent="0.35">
      <c r="A1473" s="3" t="s">
        <v>1902</v>
      </c>
      <c r="B1473" s="4">
        <v>45545</v>
      </c>
      <c r="C1473" s="3" t="s">
        <v>977</v>
      </c>
      <c r="D1473" s="3" t="s">
        <v>400</v>
      </c>
      <c r="E1473" s="3" t="s">
        <v>60</v>
      </c>
      <c r="F1473" s="5">
        <v>4</v>
      </c>
      <c r="G1473" s="5">
        <v>3780</v>
      </c>
      <c r="H1473" s="5">
        <v>13.1</v>
      </c>
      <c r="I1473" s="5">
        <v>13139.28</v>
      </c>
      <c r="J1473" s="3" t="s">
        <v>26</v>
      </c>
      <c r="K1473" s="3" t="s">
        <v>56</v>
      </c>
      <c r="L1473" t="str">
        <f>IFERROR(VLOOKUP(D1473,Products!$A$2:$F$61,3,FALSE()),"")</f>
        <v>Sports</v>
      </c>
      <c r="M1473" t="str">
        <f>IFERROR(VLOOKUP(E1473,Sales_Reps!$A$2:$C$31,3,FALSE()),"")</f>
        <v>East</v>
      </c>
      <c r="N1473">
        <f>IFERROR(VLOOKUP(D1473,Products!$A$2:$F$61,4,FALSE()),"")</f>
        <v>1860</v>
      </c>
      <c r="O1473" t="str">
        <f>IFERROR(VLOOKUP(C1473,Customers!$A$2:$F$301,5,FALSE()),"")</f>
        <v>Corporate</v>
      </c>
      <c r="P1473">
        <f>IFERROR(VLOOKUP(C1473,Customers!$A$2:$F$301,3,FALSE()),"")</f>
        <v>55</v>
      </c>
      <c r="Q1473">
        <f t="shared" si="66"/>
        <v>0.50793650793650791</v>
      </c>
      <c r="R1473">
        <f>IF(AND(COUNTIF($A$2:$A$2047,A1473)&gt;1,COUNTIF($A$2:A1473,A1473)=1),1,0)</f>
        <v>0</v>
      </c>
      <c r="S1473" t="b">
        <f>IFERROR(VLOOKUP(D1473,Products!$A$2:$F$61,6,FALSE()),"")</f>
        <v>1</v>
      </c>
      <c r="T1473" t="str">
        <f>IF(COUNTIF(Customers!$A$2:$A$301,C1473)=0,"Missing","OK")</f>
        <v>OK</v>
      </c>
      <c r="U1473" t="str">
        <f t="shared" si="67"/>
        <v>Bengaluru</v>
      </c>
      <c r="V1473">
        <f t="shared" si="68"/>
        <v>0</v>
      </c>
    </row>
    <row r="1474" spans="1:22" ht="15" customHeight="1" x14ac:dyDescent="0.35">
      <c r="A1474" s="3" t="s">
        <v>1903</v>
      </c>
      <c r="B1474" s="4">
        <v>45511</v>
      </c>
      <c r="C1474" s="3" t="s">
        <v>549</v>
      </c>
      <c r="D1474" s="3" t="s">
        <v>294</v>
      </c>
      <c r="E1474" s="3" t="s">
        <v>212</v>
      </c>
      <c r="F1474" s="5">
        <v>1</v>
      </c>
      <c r="G1474" s="5">
        <v>2510</v>
      </c>
      <c r="H1474" s="5">
        <v>27.8</v>
      </c>
      <c r="I1474" s="5">
        <v>1812.22</v>
      </c>
      <c r="J1474" s="3" t="s">
        <v>79</v>
      </c>
      <c r="K1474" s="3" t="s">
        <v>56</v>
      </c>
      <c r="L1474" t="str">
        <f>IFERROR(VLOOKUP(D1474,Products!$A$2:$F$61,3,FALSE()),"")</f>
        <v>Apparel</v>
      </c>
      <c r="M1474" t="str">
        <f>IFERROR(VLOOKUP(E1474,Sales_Reps!$A$2:$C$31,3,FALSE()),"")</f>
        <v>South</v>
      </c>
      <c r="N1474">
        <f>IFERROR(VLOOKUP(D1474,Products!$A$2:$F$61,4,FALSE()),"")</f>
        <v>1075</v>
      </c>
      <c r="O1474" t="str">
        <f>IFERROR(VLOOKUP(C1474,Customers!$A$2:$F$301,5,FALSE()),"")</f>
        <v>SMB</v>
      </c>
      <c r="P1474">
        <f>IFERROR(VLOOKUP(C1474,Customers!$A$2:$F$301,3,FALSE()),"")</f>
        <v>42</v>
      </c>
      <c r="Q1474">
        <f t="shared" ref="Q1474:Q1537" si="69">IFERROR((G1474-N1474)/G1474,"")</f>
        <v>0.57171314741035861</v>
      </c>
      <c r="R1474">
        <f>IF(AND(COUNTIF($A$2:$A$2047,A1474)&gt;1,COUNTIF($A$2:A1474,A1474)=1),1,0)</f>
        <v>0</v>
      </c>
      <c r="S1474" t="b">
        <f>IFERROR(VLOOKUP(D1474,Products!$A$2:$F$61,6,FALSE()),"")</f>
        <v>0</v>
      </c>
      <c r="T1474" t="str">
        <f>IF(COUNTIF(Customers!$A$2:$A$301,C1474)=0,"Missing","OK")</f>
        <v>OK</v>
      </c>
      <c r="U1474" t="str">
        <f t="shared" ref="U1474:U1537" si="70">IF(K1474="","",PROPER(TRIM(K1474)))</f>
        <v>Bengaluru</v>
      </c>
      <c r="V1474">
        <f t="shared" ref="V1474:V1537" si="71">IF(AND(U1474="Bengaluru",L1474="Grocery"),I1474,0)</f>
        <v>0</v>
      </c>
    </row>
    <row r="1475" spans="1:22" ht="15" customHeight="1" x14ac:dyDescent="0.35">
      <c r="A1475" s="3" t="s">
        <v>1904</v>
      </c>
      <c r="B1475" s="4">
        <v>45577</v>
      </c>
      <c r="C1475" s="3" t="s">
        <v>736</v>
      </c>
      <c r="D1475" s="3" t="s">
        <v>142</v>
      </c>
      <c r="E1475" s="3" t="s">
        <v>25</v>
      </c>
      <c r="F1475" s="5">
        <v>9</v>
      </c>
      <c r="G1475" s="5">
        <v>660</v>
      </c>
      <c r="H1475" s="5">
        <v>29.3</v>
      </c>
      <c r="I1475" s="5">
        <v>4199.58</v>
      </c>
      <c r="J1475" s="3" t="s">
        <v>26</v>
      </c>
      <c r="K1475" s="3" t="s">
        <v>38</v>
      </c>
      <c r="L1475" t="str">
        <f>IFERROR(VLOOKUP(D1475,Products!$A$2:$F$61,3,FALSE()),"")</f>
        <v>Home</v>
      </c>
      <c r="M1475" t="str">
        <f>IFERROR(VLOOKUP(E1475,Sales_Reps!$A$2:$C$31,3,FALSE()),"")</f>
        <v>North</v>
      </c>
      <c r="N1475">
        <f>IFERROR(VLOOKUP(D1475,Products!$A$2:$F$61,4,FALSE()),"")</f>
        <v>329</v>
      </c>
      <c r="O1475" t="str">
        <f>IFERROR(VLOOKUP(C1475,Customers!$A$2:$F$301,5,FALSE()),"")</f>
        <v>Retail</v>
      </c>
      <c r="P1475">
        <f>IFERROR(VLOOKUP(C1475,Customers!$A$2:$F$301,3,FALSE()),"")</f>
        <v>63</v>
      </c>
      <c r="Q1475">
        <f t="shared" si="69"/>
        <v>0.50151515151515147</v>
      </c>
      <c r="R1475">
        <f>IF(AND(COUNTIF($A$2:$A$2047,A1475)&gt;1,COUNTIF($A$2:A1475,A1475)=1),1,0)</f>
        <v>0</v>
      </c>
      <c r="S1475" t="b">
        <f>IFERROR(VLOOKUP(D1475,Products!$A$2:$F$61,6,FALSE()),"")</f>
        <v>1</v>
      </c>
      <c r="T1475" t="str">
        <f>IF(COUNTIF(Customers!$A$2:$A$301,C1475)=0,"Missing","OK")</f>
        <v>OK</v>
      </c>
      <c r="U1475" t="str">
        <f t="shared" si="70"/>
        <v>Delhi</v>
      </c>
      <c r="V1475">
        <f t="shared" si="71"/>
        <v>0</v>
      </c>
    </row>
    <row r="1476" spans="1:22" ht="15" customHeight="1" x14ac:dyDescent="0.35">
      <c r="A1476" s="3" t="s">
        <v>1905</v>
      </c>
      <c r="B1476" s="4">
        <v>45507</v>
      </c>
      <c r="C1476" s="3" t="s">
        <v>975</v>
      </c>
      <c r="D1476" s="3" t="s">
        <v>176</v>
      </c>
      <c r="E1476" s="3" t="s">
        <v>109</v>
      </c>
      <c r="F1476" s="5">
        <v>7</v>
      </c>
      <c r="G1476" s="5">
        <v>3640</v>
      </c>
      <c r="H1476" s="5">
        <v>11.6</v>
      </c>
      <c r="I1476" s="5">
        <v>22524.32</v>
      </c>
      <c r="J1476" s="3" t="s">
        <v>26</v>
      </c>
      <c r="K1476" s="3" t="s">
        <v>51</v>
      </c>
      <c r="L1476" t="str">
        <f>IFERROR(VLOOKUP(D1476,Products!$A$2:$F$61,3,FALSE()),"")</f>
        <v>Apparel</v>
      </c>
      <c r="M1476" t="str">
        <f>IFERROR(VLOOKUP(E1476,Sales_Reps!$A$2:$C$31,3,FALSE()),"")</f>
        <v>West</v>
      </c>
      <c r="N1476">
        <f>IFERROR(VLOOKUP(D1476,Products!$A$2:$F$61,4,FALSE()),"")</f>
        <v>2611</v>
      </c>
      <c r="O1476" t="str">
        <f>IFERROR(VLOOKUP(C1476,Customers!$A$2:$F$301,5,FALSE()),"")</f>
        <v>Retail</v>
      </c>
      <c r="P1476">
        <f>IFERROR(VLOOKUP(C1476,Customers!$A$2:$F$301,3,FALSE()),"")</f>
        <v>33</v>
      </c>
      <c r="Q1476">
        <f t="shared" si="69"/>
        <v>0.28269230769230769</v>
      </c>
      <c r="R1476">
        <f>IF(AND(COUNTIF($A$2:$A$2047,A1476)&gt;1,COUNTIF($A$2:A1476,A1476)=1),1,0)</f>
        <v>0</v>
      </c>
      <c r="S1476" t="b">
        <f>IFERROR(VLOOKUP(D1476,Products!$A$2:$F$61,6,FALSE()),"")</f>
        <v>1</v>
      </c>
      <c r="T1476" t="str">
        <f>IF(COUNTIF(Customers!$A$2:$A$301,C1476)=0,"Missing","OK")</f>
        <v>OK</v>
      </c>
      <c r="U1476" t="str">
        <f t="shared" si="70"/>
        <v>Mumbai</v>
      </c>
      <c r="V1476">
        <f t="shared" si="71"/>
        <v>0</v>
      </c>
    </row>
    <row r="1477" spans="1:22" ht="15" customHeight="1" x14ac:dyDescent="0.35">
      <c r="A1477" s="3" t="s">
        <v>1906</v>
      </c>
      <c r="B1477" s="4">
        <v>45415</v>
      </c>
      <c r="C1477" s="3" t="s">
        <v>925</v>
      </c>
      <c r="D1477" s="3" t="s">
        <v>299</v>
      </c>
      <c r="E1477" s="3" t="s">
        <v>60</v>
      </c>
      <c r="F1477" s="5">
        <v>8</v>
      </c>
      <c r="G1477" s="5">
        <v>5410</v>
      </c>
      <c r="H1477" s="5">
        <v>25.6</v>
      </c>
      <c r="I1477" s="5">
        <v>32200.32</v>
      </c>
      <c r="J1477" s="3" t="s">
        <v>26</v>
      </c>
      <c r="K1477" s="3" t="s">
        <v>33</v>
      </c>
      <c r="L1477" t="str">
        <f>IFERROR(VLOOKUP(D1477,Products!$A$2:$F$61,3,FALSE()),"")</f>
        <v>Sports</v>
      </c>
      <c r="M1477" t="str">
        <f>IFERROR(VLOOKUP(E1477,Sales_Reps!$A$2:$C$31,3,FALSE()),"")</f>
        <v>East</v>
      </c>
      <c r="N1477">
        <f>IFERROR(VLOOKUP(D1477,Products!$A$2:$F$61,4,FALSE()),"")</f>
        <v>2265</v>
      </c>
      <c r="O1477" t="str">
        <f>IFERROR(VLOOKUP(C1477,Customers!$A$2:$F$301,5,FALSE()),"")</f>
        <v>Corporate</v>
      </c>
      <c r="P1477">
        <f>IFERROR(VLOOKUP(C1477,Customers!$A$2:$F$301,3,FALSE()),"")</f>
        <v>52</v>
      </c>
      <c r="Q1477">
        <f t="shared" si="69"/>
        <v>0.58133086876155271</v>
      </c>
      <c r="R1477">
        <f>IF(AND(COUNTIF($A$2:$A$2047,A1477)&gt;1,COUNTIF($A$2:A1477,A1477)=1),1,0)</f>
        <v>0</v>
      </c>
      <c r="S1477" t="b">
        <f>IFERROR(VLOOKUP(D1477,Products!$A$2:$F$61,6,FALSE()),"")</f>
        <v>1</v>
      </c>
      <c r="T1477" t="str">
        <f>IF(COUNTIF(Customers!$A$2:$A$301,C1477)=0,"Missing","OK")</f>
        <v>OK</v>
      </c>
      <c r="U1477" t="str">
        <f t="shared" si="70"/>
        <v>Chennai</v>
      </c>
      <c r="V1477">
        <f t="shared" si="71"/>
        <v>0</v>
      </c>
    </row>
    <row r="1478" spans="1:22" ht="15" customHeight="1" x14ac:dyDescent="0.35">
      <c r="A1478" s="3" t="s">
        <v>1907</v>
      </c>
      <c r="B1478" s="4">
        <v>45342</v>
      </c>
      <c r="C1478" s="3" t="s">
        <v>909</v>
      </c>
      <c r="D1478" s="3" t="s">
        <v>90</v>
      </c>
      <c r="E1478" s="3" t="s">
        <v>46</v>
      </c>
      <c r="F1478" s="5">
        <v>4</v>
      </c>
      <c r="G1478" s="5">
        <v>2400</v>
      </c>
      <c r="H1478" s="5">
        <v>10.4</v>
      </c>
      <c r="I1478" s="5">
        <v>8601.6</v>
      </c>
      <c r="J1478" s="3" t="s">
        <v>26</v>
      </c>
      <c r="K1478" s="3" t="s">
        <v>51</v>
      </c>
      <c r="L1478" t="str">
        <f>IFERROR(VLOOKUP(D1478,Products!$A$2:$F$61,3,FALSE()),"")</f>
        <v>Sports</v>
      </c>
      <c r="M1478" t="str">
        <f>IFERROR(VLOOKUP(E1478,Sales_Reps!$A$2:$C$31,3,FALSE()),"")</f>
        <v>North</v>
      </c>
      <c r="N1478">
        <f>IFERROR(VLOOKUP(D1478,Products!$A$2:$F$61,4,FALSE()),"")</f>
        <v>974</v>
      </c>
      <c r="O1478" t="str">
        <f>IFERROR(VLOOKUP(C1478,Customers!$A$2:$F$301,5,FALSE()),"")</f>
        <v>Retail</v>
      </c>
      <c r="P1478">
        <f>IFERROR(VLOOKUP(C1478,Customers!$A$2:$F$301,3,FALSE()),"")</f>
        <v>40</v>
      </c>
      <c r="Q1478">
        <f t="shared" si="69"/>
        <v>0.59416666666666662</v>
      </c>
      <c r="R1478">
        <f>IF(AND(COUNTIF($A$2:$A$2047,A1478)&gt;1,COUNTIF($A$2:A1478,A1478)=1),1,0)</f>
        <v>0</v>
      </c>
      <c r="S1478" t="b">
        <f>IFERROR(VLOOKUP(D1478,Products!$A$2:$F$61,6,FALSE()),"")</f>
        <v>1</v>
      </c>
      <c r="T1478" t="str">
        <f>IF(COUNTIF(Customers!$A$2:$A$301,C1478)=0,"Missing","OK")</f>
        <v>OK</v>
      </c>
      <c r="U1478" t="str">
        <f t="shared" si="70"/>
        <v>Mumbai</v>
      </c>
      <c r="V1478">
        <f t="shared" si="71"/>
        <v>0</v>
      </c>
    </row>
    <row r="1479" spans="1:22" ht="15" customHeight="1" x14ac:dyDescent="0.35">
      <c r="A1479" s="3" t="s">
        <v>1908</v>
      </c>
      <c r="B1479" s="4">
        <v>45333</v>
      </c>
      <c r="C1479" s="3" t="s">
        <v>411</v>
      </c>
      <c r="D1479" s="3" t="s">
        <v>63</v>
      </c>
      <c r="E1479" s="3" t="s">
        <v>67</v>
      </c>
      <c r="F1479" s="5">
        <v>2</v>
      </c>
      <c r="G1479" s="5">
        <v>5490</v>
      </c>
      <c r="H1479" s="5">
        <v>5.4</v>
      </c>
      <c r="I1479" s="5">
        <v>10387.08</v>
      </c>
      <c r="J1479" s="3" t="s">
        <v>26</v>
      </c>
      <c r="K1479" s="3" t="s">
        <v>33</v>
      </c>
      <c r="L1479" t="str">
        <f>IFERROR(VLOOKUP(D1479,Products!$A$2:$F$61,3,FALSE()),"")</f>
        <v>Home</v>
      </c>
      <c r="M1479" t="str">
        <f>IFERROR(VLOOKUP(E1479,Sales_Reps!$A$2:$C$31,3,FALSE()),"")</f>
        <v>West</v>
      </c>
      <c r="N1479">
        <f>IFERROR(VLOOKUP(D1479,Products!$A$2:$F$61,4,FALSE()),"")</f>
        <v>2549</v>
      </c>
      <c r="O1479" t="str">
        <f>IFERROR(VLOOKUP(C1479,Customers!$A$2:$F$301,5,FALSE()),"")</f>
        <v>Corporate</v>
      </c>
      <c r="P1479">
        <f>IFERROR(VLOOKUP(C1479,Customers!$A$2:$F$301,3,FALSE()),"")</f>
        <v>35</v>
      </c>
      <c r="Q1479">
        <f t="shared" si="69"/>
        <v>0.53570127504553733</v>
      </c>
      <c r="R1479">
        <f>IF(AND(COUNTIF($A$2:$A$2047,A1479)&gt;1,COUNTIF($A$2:A1479,A1479)=1),1,0)</f>
        <v>0</v>
      </c>
      <c r="S1479" t="b">
        <f>IFERROR(VLOOKUP(D1479,Products!$A$2:$F$61,6,FALSE()),"")</f>
        <v>1</v>
      </c>
      <c r="T1479" t="str">
        <f>IF(COUNTIF(Customers!$A$2:$A$301,C1479)=0,"Missing","OK")</f>
        <v>OK</v>
      </c>
      <c r="U1479" t="str">
        <f t="shared" si="70"/>
        <v>Chennai</v>
      </c>
      <c r="V1479">
        <f t="shared" si="71"/>
        <v>0</v>
      </c>
    </row>
    <row r="1480" spans="1:22" ht="15" customHeight="1" x14ac:dyDescent="0.35">
      <c r="A1480" s="3" t="s">
        <v>1909</v>
      </c>
      <c r="B1480" s="4">
        <v>45516</v>
      </c>
      <c r="C1480" s="3" t="s">
        <v>1170</v>
      </c>
      <c r="D1480" s="3" t="s">
        <v>198</v>
      </c>
      <c r="E1480" s="3" t="s">
        <v>285</v>
      </c>
      <c r="F1480" s="5">
        <v>6</v>
      </c>
      <c r="G1480" s="5">
        <v>1540</v>
      </c>
      <c r="H1480" s="5">
        <v>0.6</v>
      </c>
      <c r="I1480" s="5">
        <v>9184.56</v>
      </c>
      <c r="J1480" s="3" t="s">
        <v>26</v>
      </c>
      <c r="K1480" s="3" t="s">
        <v>27</v>
      </c>
      <c r="L1480" t="str">
        <f>IFERROR(VLOOKUP(D1480,Products!$A$2:$F$61,3,FALSE()),"")</f>
        <v>Beauty</v>
      </c>
      <c r="M1480" t="str">
        <f>IFERROR(VLOOKUP(E1480,Sales_Reps!$A$2:$C$31,3,FALSE()),"")</f>
        <v>South</v>
      </c>
      <c r="N1480">
        <f>IFERROR(VLOOKUP(D1480,Products!$A$2:$F$61,4,FALSE()),"")</f>
        <v>647</v>
      </c>
      <c r="O1480" t="str">
        <f>IFERROR(VLOOKUP(C1480,Customers!$A$2:$F$301,5,FALSE()),"")</f>
        <v>Retail</v>
      </c>
      <c r="P1480">
        <f>IFERROR(VLOOKUP(C1480,Customers!$A$2:$F$301,3,FALSE()),"")</f>
        <v>42</v>
      </c>
      <c r="Q1480">
        <f t="shared" si="69"/>
        <v>0.57987012987012987</v>
      </c>
      <c r="R1480">
        <f>IF(AND(COUNTIF($A$2:$A$2047,A1480)&gt;1,COUNTIF($A$2:A1480,A1480)=1),1,0)</f>
        <v>0</v>
      </c>
      <c r="S1480" t="b">
        <f>IFERROR(VLOOKUP(D1480,Products!$A$2:$F$61,6,FALSE()),"")</f>
        <v>0</v>
      </c>
      <c r="T1480" t="str">
        <f>IF(COUNTIF(Customers!$A$2:$A$301,C1480)=0,"Missing","OK")</f>
        <v>OK</v>
      </c>
      <c r="U1480" t="str">
        <f t="shared" si="70"/>
        <v>Pune</v>
      </c>
      <c r="V1480">
        <f t="shared" si="71"/>
        <v>0</v>
      </c>
    </row>
    <row r="1481" spans="1:22" ht="15" customHeight="1" x14ac:dyDescent="0.35">
      <c r="A1481" s="3" t="s">
        <v>1910</v>
      </c>
      <c r="B1481" s="4">
        <v>45343</v>
      </c>
      <c r="C1481" s="3" t="s">
        <v>847</v>
      </c>
      <c r="D1481" s="3" t="s">
        <v>303</v>
      </c>
      <c r="E1481" s="3" t="s">
        <v>154</v>
      </c>
      <c r="F1481" s="5">
        <v>3</v>
      </c>
      <c r="G1481" s="5">
        <v>5330</v>
      </c>
      <c r="H1481" s="5">
        <v>1</v>
      </c>
      <c r="I1481" s="5">
        <v>15830.1</v>
      </c>
      <c r="J1481" s="3" t="s">
        <v>32</v>
      </c>
      <c r="K1481" s="3" t="s">
        <v>72</v>
      </c>
      <c r="L1481" t="str">
        <f>IFERROR(VLOOKUP(D1481,Products!$A$2:$F$61,3,FALSE()),"")</f>
        <v>Electronics</v>
      </c>
      <c r="M1481" t="str">
        <f>IFERROR(VLOOKUP(E1481,Sales_Reps!$A$2:$C$31,3,FALSE()),"")</f>
        <v>North</v>
      </c>
      <c r="N1481">
        <f>IFERROR(VLOOKUP(D1481,Products!$A$2:$F$61,4,FALSE()),"")</f>
        <v>2405</v>
      </c>
      <c r="O1481" t="str">
        <f>IFERROR(VLOOKUP(C1481,Customers!$A$2:$F$301,5,FALSE()),"")</f>
        <v>Retail</v>
      </c>
      <c r="P1481">
        <f>IFERROR(VLOOKUP(C1481,Customers!$A$2:$F$301,3,FALSE()),"")</f>
        <v>31</v>
      </c>
      <c r="Q1481">
        <f t="shared" si="69"/>
        <v>0.54878048780487809</v>
      </c>
      <c r="R1481">
        <f>IF(AND(COUNTIF($A$2:$A$2047,A1481)&gt;1,COUNTIF($A$2:A1481,A1481)=1),1,0)</f>
        <v>0</v>
      </c>
      <c r="S1481" t="b">
        <f>IFERROR(VLOOKUP(D1481,Products!$A$2:$F$61,6,FALSE()),"")</f>
        <v>1</v>
      </c>
      <c r="T1481" t="str">
        <f>IF(COUNTIF(Customers!$A$2:$A$301,C1481)=0,"Missing","OK")</f>
        <v>OK</v>
      </c>
      <c r="U1481" t="str">
        <f t="shared" si="70"/>
        <v>Hyderabad</v>
      </c>
      <c r="V1481">
        <f t="shared" si="71"/>
        <v>0</v>
      </c>
    </row>
    <row r="1482" spans="1:22" ht="15" customHeight="1" x14ac:dyDescent="0.35">
      <c r="A1482" s="3" t="s">
        <v>1911</v>
      </c>
      <c r="B1482" s="4">
        <v>45522</v>
      </c>
      <c r="C1482" s="3" t="s">
        <v>1514</v>
      </c>
      <c r="D1482" s="3" t="s">
        <v>134</v>
      </c>
      <c r="E1482" s="3" t="s">
        <v>264</v>
      </c>
      <c r="F1482" s="5">
        <v>6</v>
      </c>
      <c r="G1482" s="5">
        <v>2860</v>
      </c>
      <c r="H1482" s="5">
        <v>13.3</v>
      </c>
      <c r="I1482" s="5">
        <v>14877.72</v>
      </c>
      <c r="J1482" s="3" t="s">
        <v>26</v>
      </c>
      <c r="K1482" s="3" t="s">
        <v>72</v>
      </c>
      <c r="L1482" t="str">
        <f>IFERROR(VLOOKUP(D1482,Products!$A$2:$F$61,3,FALSE()),"")</f>
        <v>Sports</v>
      </c>
      <c r="M1482" t="str">
        <f>IFERROR(VLOOKUP(E1482,Sales_Reps!$A$2:$C$31,3,FALSE()),"")</f>
        <v>South</v>
      </c>
      <c r="N1482">
        <f>IFERROR(VLOOKUP(D1482,Products!$A$2:$F$61,4,FALSE()),"")</f>
        <v>2028</v>
      </c>
      <c r="O1482" t="str">
        <f>IFERROR(VLOOKUP(C1482,Customers!$A$2:$F$301,5,FALSE()),"")</f>
        <v>Corporate</v>
      </c>
      <c r="P1482">
        <f>IFERROR(VLOOKUP(C1482,Customers!$A$2:$F$301,3,FALSE()),"")</f>
        <v>60</v>
      </c>
      <c r="Q1482">
        <f t="shared" si="69"/>
        <v>0.29090909090909089</v>
      </c>
      <c r="R1482">
        <f>IF(AND(COUNTIF($A$2:$A$2047,A1482)&gt;1,COUNTIF($A$2:A1482,A1482)=1),1,0)</f>
        <v>0</v>
      </c>
      <c r="S1482" t="b">
        <f>IFERROR(VLOOKUP(D1482,Products!$A$2:$F$61,6,FALSE()),"")</f>
        <v>1</v>
      </c>
      <c r="T1482" t="str">
        <f>IF(COUNTIF(Customers!$A$2:$A$301,C1482)=0,"Missing","OK")</f>
        <v>OK</v>
      </c>
      <c r="U1482" t="str">
        <f t="shared" si="70"/>
        <v>Hyderabad</v>
      </c>
      <c r="V1482">
        <f t="shared" si="71"/>
        <v>0</v>
      </c>
    </row>
    <row r="1483" spans="1:22" ht="15" customHeight="1" x14ac:dyDescent="0.35">
      <c r="A1483" s="3" t="s">
        <v>1912</v>
      </c>
      <c r="B1483" s="4">
        <v>45305</v>
      </c>
      <c r="C1483" s="3" t="s">
        <v>545</v>
      </c>
      <c r="D1483" s="3" t="s">
        <v>123</v>
      </c>
      <c r="E1483" s="3" t="s">
        <v>42</v>
      </c>
      <c r="F1483" s="5">
        <v>3</v>
      </c>
      <c r="G1483" s="5">
        <v>4880</v>
      </c>
      <c r="H1483" s="5">
        <v>12.1</v>
      </c>
      <c r="I1483" s="5">
        <v>12868.56</v>
      </c>
      <c r="J1483" s="3" t="s">
        <v>26</v>
      </c>
      <c r="K1483" s="3" t="s">
        <v>51</v>
      </c>
      <c r="L1483" t="str">
        <f>IFERROR(VLOOKUP(D1483,Products!$A$2:$F$61,3,FALSE()),"")</f>
        <v>Beauty</v>
      </c>
      <c r="M1483" t="str">
        <f>IFERROR(VLOOKUP(E1483,Sales_Reps!$A$2:$C$31,3,FALSE()),"")</f>
        <v>North</v>
      </c>
      <c r="N1483">
        <f>IFERROR(VLOOKUP(D1483,Products!$A$2:$F$61,4,FALSE()),"")</f>
        <v>2768</v>
      </c>
      <c r="O1483" t="str">
        <f>IFERROR(VLOOKUP(C1483,Customers!$A$2:$F$301,5,FALSE()),"")</f>
        <v>Retail</v>
      </c>
      <c r="P1483">
        <f>IFERROR(VLOOKUP(C1483,Customers!$A$2:$F$301,3,FALSE()),"")</f>
        <v>52</v>
      </c>
      <c r="Q1483">
        <f t="shared" si="69"/>
        <v>0.43278688524590164</v>
      </c>
      <c r="R1483">
        <f>IF(AND(COUNTIF($A$2:$A$2047,A1483)&gt;1,COUNTIF($A$2:A1483,A1483)=1),1,0)</f>
        <v>0</v>
      </c>
      <c r="S1483" t="b">
        <f>IFERROR(VLOOKUP(D1483,Products!$A$2:$F$61,6,FALSE()),"")</f>
        <v>1</v>
      </c>
      <c r="T1483" t="str">
        <f>IF(COUNTIF(Customers!$A$2:$A$301,C1483)=0,"Missing","OK")</f>
        <v>OK</v>
      </c>
      <c r="U1483" t="str">
        <f t="shared" si="70"/>
        <v>Mumbai</v>
      </c>
      <c r="V1483">
        <f t="shared" si="71"/>
        <v>0</v>
      </c>
    </row>
    <row r="1484" spans="1:22" ht="15" customHeight="1" x14ac:dyDescent="0.35">
      <c r="A1484" s="3" t="s">
        <v>1913</v>
      </c>
      <c r="B1484" s="4">
        <v>45353</v>
      </c>
      <c r="C1484" s="3" t="s">
        <v>413</v>
      </c>
      <c r="D1484" s="3" t="s">
        <v>294</v>
      </c>
      <c r="E1484" s="3" t="s">
        <v>31</v>
      </c>
      <c r="F1484" s="5">
        <v>5</v>
      </c>
      <c r="G1484" s="5">
        <v>2510</v>
      </c>
      <c r="H1484" s="5">
        <v>2.9</v>
      </c>
      <c r="I1484" s="5">
        <v>12186.05</v>
      </c>
      <c r="J1484" s="3" t="s">
        <v>32</v>
      </c>
      <c r="K1484" s="3" t="s">
        <v>38</v>
      </c>
      <c r="L1484" t="str">
        <f>IFERROR(VLOOKUP(D1484,Products!$A$2:$F$61,3,FALSE()),"")</f>
        <v>Apparel</v>
      </c>
      <c r="M1484" t="str">
        <f>IFERROR(VLOOKUP(E1484,Sales_Reps!$A$2:$C$31,3,FALSE()),"")</f>
        <v>North</v>
      </c>
      <c r="N1484">
        <f>IFERROR(VLOOKUP(D1484,Products!$A$2:$F$61,4,FALSE()),"")</f>
        <v>1075</v>
      </c>
      <c r="O1484" t="str">
        <f>IFERROR(VLOOKUP(C1484,Customers!$A$2:$F$301,5,FALSE()),"")</f>
        <v>SMB</v>
      </c>
      <c r="P1484">
        <f>IFERROR(VLOOKUP(C1484,Customers!$A$2:$F$301,3,FALSE()),"")</f>
        <v>59</v>
      </c>
      <c r="Q1484">
        <f t="shared" si="69"/>
        <v>0.57171314741035861</v>
      </c>
      <c r="R1484">
        <f>IF(AND(COUNTIF($A$2:$A$2047,A1484)&gt;1,COUNTIF($A$2:A1484,A1484)=1),1,0)</f>
        <v>0</v>
      </c>
      <c r="S1484" t="b">
        <f>IFERROR(VLOOKUP(D1484,Products!$A$2:$F$61,6,FALSE()),"")</f>
        <v>0</v>
      </c>
      <c r="T1484" t="str">
        <f>IF(COUNTIF(Customers!$A$2:$A$301,C1484)=0,"Missing","OK")</f>
        <v>OK</v>
      </c>
      <c r="U1484" t="str">
        <f t="shared" si="70"/>
        <v>Delhi</v>
      </c>
      <c r="V1484">
        <f t="shared" si="71"/>
        <v>0</v>
      </c>
    </row>
    <row r="1485" spans="1:22" ht="15" customHeight="1" x14ac:dyDescent="0.35">
      <c r="A1485" s="3" t="s">
        <v>1914</v>
      </c>
      <c r="B1485" s="4">
        <v>45525</v>
      </c>
      <c r="C1485" s="3" t="s">
        <v>1915</v>
      </c>
      <c r="D1485" s="3" t="s">
        <v>347</v>
      </c>
      <c r="E1485" s="3" t="s">
        <v>131</v>
      </c>
      <c r="F1485" s="5">
        <v>9</v>
      </c>
      <c r="G1485" s="5">
        <v>3970</v>
      </c>
      <c r="H1485" s="5">
        <v>28</v>
      </c>
      <c r="I1485" s="5">
        <v>25725.599999999999</v>
      </c>
      <c r="J1485" s="3" t="s">
        <v>26</v>
      </c>
      <c r="K1485" s="3" t="s">
        <v>27</v>
      </c>
      <c r="L1485" t="str">
        <f>IFERROR(VLOOKUP(D1485,Products!$A$2:$F$61,3,FALSE()),"")</f>
        <v>Electronics</v>
      </c>
      <c r="M1485" t="str">
        <f>IFERROR(VLOOKUP(E1485,Sales_Reps!$A$2:$C$31,3,FALSE()),"")</f>
        <v>East</v>
      </c>
      <c r="N1485">
        <f>IFERROR(VLOOKUP(D1485,Products!$A$2:$F$61,4,FALSE()),"")</f>
        <v>2865</v>
      </c>
      <c r="O1485" t="str">
        <f>IFERROR(VLOOKUP(C1485,Customers!$A$2:$F$301,5,FALSE()),"")</f>
        <v/>
      </c>
      <c r="P1485" t="str">
        <f>IFERROR(VLOOKUP(C1485,Customers!$A$2:$F$301,3,FALSE()),"")</f>
        <v/>
      </c>
      <c r="Q1485">
        <f t="shared" si="69"/>
        <v>0.27833753148614609</v>
      </c>
      <c r="R1485">
        <f>IF(AND(COUNTIF($A$2:$A$2047,A1485)&gt;1,COUNTIF($A$2:A1485,A1485)=1),1,0)</f>
        <v>0</v>
      </c>
      <c r="S1485" t="b">
        <f>IFERROR(VLOOKUP(D1485,Products!$A$2:$F$61,6,FALSE()),"")</f>
        <v>1</v>
      </c>
      <c r="T1485" t="str">
        <f>IF(COUNTIF(Customers!$A$2:$A$301,C1485)=0,"Missing","OK")</f>
        <v>Missing</v>
      </c>
      <c r="U1485" t="str">
        <f t="shared" si="70"/>
        <v>Pune</v>
      </c>
      <c r="V1485">
        <f t="shared" si="71"/>
        <v>0</v>
      </c>
    </row>
    <row r="1486" spans="1:22" ht="15" customHeight="1" x14ac:dyDescent="0.35">
      <c r="A1486" s="3" t="s">
        <v>1916</v>
      </c>
      <c r="B1486" s="4">
        <v>45593</v>
      </c>
      <c r="C1486" s="3" t="s">
        <v>1156</v>
      </c>
      <c r="D1486" s="3" t="s">
        <v>36</v>
      </c>
      <c r="E1486" s="3" t="s">
        <v>282</v>
      </c>
      <c r="F1486" s="5">
        <v>4</v>
      </c>
      <c r="G1486" s="5">
        <v>470</v>
      </c>
      <c r="H1486" s="5">
        <v>19.100000000000001</v>
      </c>
      <c r="I1486" s="5">
        <v>1520.92</v>
      </c>
      <c r="J1486" s="3" t="s">
        <v>32</v>
      </c>
      <c r="K1486" s="3" t="s">
        <v>51</v>
      </c>
      <c r="L1486" t="str">
        <f>IFERROR(VLOOKUP(D1486,Products!$A$2:$F$61,3,FALSE()),"")</f>
        <v>Sports</v>
      </c>
      <c r="M1486" t="str">
        <f>IFERROR(VLOOKUP(E1486,Sales_Reps!$A$2:$C$31,3,FALSE()),"")</f>
        <v>West</v>
      </c>
      <c r="N1486">
        <f>IFERROR(VLOOKUP(D1486,Products!$A$2:$F$61,4,FALSE()),"")</f>
        <v>302</v>
      </c>
      <c r="O1486" t="str">
        <f>IFERROR(VLOOKUP(C1486,Customers!$A$2:$F$301,5,FALSE()),"")</f>
        <v>Retail</v>
      </c>
      <c r="P1486">
        <f>IFERROR(VLOOKUP(C1486,Customers!$A$2:$F$301,3,FALSE()),"")</f>
        <v>44</v>
      </c>
      <c r="Q1486">
        <f t="shared" si="69"/>
        <v>0.35744680851063831</v>
      </c>
      <c r="R1486">
        <f>IF(AND(COUNTIF($A$2:$A$2047,A1486)&gt;1,COUNTIF($A$2:A1486,A1486)=1),1,0)</f>
        <v>0</v>
      </c>
      <c r="S1486" t="b">
        <f>IFERROR(VLOOKUP(D1486,Products!$A$2:$F$61,6,FALSE()),"")</f>
        <v>0</v>
      </c>
      <c r="T1486" t="str">
        <f>IF(COUNTIF(Customers!$A$2:$A$301,C1486)=0,"Missing","OK")</f>
        <v>OK</v>
      </c>
      <c r="U1486" t="str">
        <f t="shared" si="70"/>
        <v>Mumbai</v>
      </c>
      <c r="V1486">
        <f t="shared" si="71"/>
        <v>0</v>
      </c>
    </row>
    <row r="1487" spans="1:22" ht="15" customHeight="1" x14ac:dyDescent="0.35">
      <c r="A1487" s="3" t="s">
        <v>1917</v>
      </c>
      <c r="B1487" s="4">
        <v>45550</v>
      </c>
      <c r="C1487" s="3" t="s">
        <v>238</v>
      </c>
      <c r="D1487" s="3" t="s">
        <v>303</v>
      </c>
      <c r="E1487" s="3" t="s">
        <v>50</v>
      </c>
      <c r="F1487" s="5">
        <v>7</v>
      </c>
      <c r="G1487" s="5">
        <v>5330</v>
      </c>
      <c r="H1487" s="5">
        <v>17.2</v>
      </c>
      <c r="I1487" s="5">
        <v>30892.68</v>
      </c>
      <c r="J1487" s="3" t="s">
        <v>79</v>
      </c>
      <c r="K1487" s="3" t="s">
        <v>72</v>
      </c>
      <c r="L1487" t="str">
        <f>IFERROR(VLOOKUP(D1487,Products!$A$2:$F$61,3,FALSE()),"")</f>
        <v>Electronics</v>
      </c>
      <c r="M1487" t="str">
        <f>IFERROR(VLOOKUP(E1487,Sales_Reps!$A$2:$C$31,3,FALSE()),"")</f>
        <v>West</v>
      </c>
      <c r="N1487">
        <f>IFERROR(VLOOKUP(D1487,Products!$A$2:$F$61,4,FALSE()),"")</f>
        <v>2405</v>
      </c>
      <c r="O1487" t="str">
        <f>IFERROR(VLOOKUP(C1487,Customers!$A$2:$F$301,5,FALSE()),"")</f>
        <v>Retail</v>
      </c>
      <c r="P1487">
        <f>IFERROR(VLOOKUP(C1487,Customers!$A$2:$F$301,3,FALSE()),"")</f>
        <v>29</v>
      </c>
      <c r="Q1487">
        <f t="shared" si="69"/>
        <v>0.54878048780487809</v>
      </c>
      <c r="R1487">
        <f>IF(AND(COUNTIF($A$2:$A$2047,A1487)&gt;1,COUNTIF($A$2:A1487,A1487)=1),1,0)</f>
        <v>0</v>
      </c>
      <c r="S1487" t="b">
        <f>IFERROR(VLOOKUP(D1487,Products!$A$2:$F$61,6,FALSE()),"")</f>
        <v>1</v>
      </c>
      <c r="T1487" t="str">
        <f>IF(COUNTIF(Customers!$A$2:$A$301,C1487)=0,"Missing","OK")</f>
        <v>OK</v>
      </c>
      <c r="U1487" t="str">
        <f t="shared" si="70"/>
        <v>Hyderabad</v>
      </c>
      <c r="V1487">
        <f t="shared" si="71"/>
        <v>0</v>
      </c>
    </row>
    <row r="1488" spans="1:22" ht="15" customHeight="1" x14ac:dyDescent="0.35">
      <c r="A1488" s="3" t="s">
        <v>1918</v>
      </c>
      <c r="B1488" s="4">
        <v>45511</v>
      </c>
      <c r="C1488" s="3" t="s">
        <v>92</v>
      </c>
      <c r="D1488" s="3" t="s">
        <v>441</v>
      </c>
      <c r="E1488" s="3" t="s">
        <v>264</v>
      </c>
      <c r="F1488" s="5">
        <v>4</v>
      </c>
      <c r="G1488" s="5">
        <v>1090</v>
      </c>
      <c r="H1488" s="5">
        <v>4.9000000000000004</v>
      </c>
      <c r="I1488" s="5">
        <v>4146.3599999999997</v>
      </c>
      <c r="J1488" s="3" t="s">
        <v>79</v>
      </c>
      <c r="K1488" s="3" t="s">
        <v>56</v>
      </c>
      <c r="L1488" t="str">
        <f>IFERROR(VLOOKUP(D1488,Products!$A$2:$F$61,3,FALSE()),"")</f>
        <v>Home</v>
      </c>
      <c r="M1488" t="str">
        <f>IFERROR(VLOOKUP(E1488,Sales_Reps!$A$2:$C$31,3,FALSE()),"")</f>
        <v>South</v>
      </c>
      <c r="N1488">
        <f>IFERROR(VLOOKUP(D1488,Products!$A$2:$F$61,4,FALSE()),"")</f>
        <v>464</v>
      </c>
      <c r="O1488" t="str">
        <f>IFERROR(VLOOKUP(C1488,Customers!$A$2:$F$301,5,FALSE()),"")</f>
        <v>SMB</v>
      </c>
      <c r="P1488">
        <f>IFERROR(VLOOKUP(C1488,Customers!$A$2:$F$301,3,FALSE()),"")</f>
        <v>46</v>
      </c>
      <c r="Q1488">
        <f t="shared" si="69"/>
        <v>0.57431192660550456</v>
      </c>
      <c r="R1488">
        <f>IF(AND(COUNTIF($A$2:$A$2047,A1488)&gt;1,COUNTIF($A$2:A1488,A1488)=1),1,0)</f>
        <v>0</v>
      </c>
      <c r="S1488" t="b">
        <f>IFERROR(VLOOKUP(D1488,Products!$A$2:$F$61,6,FALSE()),"")</f>
        <v>1</v>
      </c>
      <c r="T1488" t="str">
        <f>IF(COUNTIF(Customers!$A$2:$A$301,C1488)=0,"Missing","OK")</f>
        <v>OK</v>
      </c>
      <c r="U1488" t="str">
        <f t="shared" si="70"/>
        <v>Bengaluru</v>
      </c>
      <c r="V1488">
        <f t="shared" si="71"/>
        <v>0</v>
      </c>
    </row>
    <row r="1489" spans="1:22" ht="15" customHeight="1" x14ac:dyDescent="0.35">
      <c r="A1489" s="3" t="s">
        <v>1919</v>
      </c>
      <c r="B1489" s="4">
        <v>45456</v>
      </c>
      <c r="C1489" s="3" t="s">
        <v>379</v>
      </c>
      <c r="D1489" s="3" t="s">
        <v>121</v>
      </c>
      <c r="E1489" s="3" t="s">
        <v>143</v>
      </c>
      <c r="F1489" s="5">
        <v>2</v>
      </c>
      <c r="G1489" s="5">
        <v>1010</v>
      </c>
      <c r="H1489" s="5">
        <v>14</v>
      </c>
      <c r="I1489" s="5">
        <v>1737.2</v>
      </c>
      <c r="J1489" s="3" t="s">
        <v>26</v>
      </c>
      <c r="K1489" s="3" t="s">
        <v>27</v>
      </c>
      <c r="L1489" t="str">
        <f>IFERROR(VLOOKUP(D1489,Products!$A$2:$F$61,3,FALSE()),"")</f>
        <v>Sports</v>
      </c>
      <c r="M1489" t="str">
        <f>IFERROR(VLOOKUP(E1489,Sales_Reps!$A$2:$C$31,3,FALSE()),"")</f>
        <v>South</v>
      </c>
      <c r="N1489">
        <f>IFERROR(VLOOKUP(D1489,Products!$A$2:$F$61,4,FALSE()),"")</f>
        <v>516</v>
      </c>
      <c r="O1489" t="str">
        <f>IFERROR(VLOOKUP(C1489,Customers!$A$2:$F$301,5,FALSE()),"")</f>
        <v>SMB</v>
      </c>
      <c r="P1489">
        <f>IFERROR(VLOOKUP(C1489,Customers!$A$2:$F$301,3,FALSE()),"")</f>
        <v>30</v>
      </c>
      <c r="Q1489">
        <f t="shared" si="69"/>
        <v>0.4891089108910891</v>
      </c>
      <c r="R1489">
        <f>IF(AND(COUNTIF($A$2:$A$2047,A1489)&gt;1,COUNTIF($A$2:A1489,A1489)=1),1,0)</f>
        <v>0</v>
      </c>
      <c r="S1489" t="b">
        <f>IFERROR(VLOOKUP(D1489,Products!$A$2:$F$61,6,FALSE()),"")</f>
        <v>1</v>
      </c>
      <c r="T1489" t="str">
        <f>IF(COUNTIF(Customers!$A$2:$A$301,C1489)=0,"Missing","OK")</f>
        <v>OK</v>
      </c>
      <c r="U1489" t="str">
        <f t="shared" si="70"/>
        <v>Pune</v>
      </c>
      <c r="V1489">
        <f t="shared" si="71"/>
        <v>0</v>
      </c>
    </row>
    <row r="1490" spans="1:22" ht="15" customHeight="1" x14ac:dyDescent="0.35">
      <c r="A1490" s="3" t="s">
        <v>1920</v>
      </c>
      <c r="B1490" s="4">
        <v>45343</v>
      </c>
      <c r="C1490" s="3" t="s">
        <v>547</v>
      </c>
      <c r="D1490" s="3" t="s">
        <v>187</v>
      </c>
      <c r="E1490" s="3" t="s">
        <v>285</v>
      </c>
      <c r="F1490" s="5">
        <v>9</v>
      </c>
      <c r="G1490" s="5">
        <v>3870</v>
      </c>
      <c r="H1490" s="5">
        <v>8.1999999999999993</v>
      </c>
      <c r="I1490" s="5">
        <v>31973.94</v>
      </c>
      <c r="J1490" s="3" t="s">
        <v>26</v>
      </c>
      <c r="K1490" s="3" t="s">
        <v>725</v>
      </c>
      <c r="L1490" t="str">
        <f>IFERROR(VLOOKUP(D1490,Products!$A$2:$F$61,3,FALSE()),"")</f>
        <v>Electronics</v>
      </c>
      <c r="M1490" t="str">
        <f>IFERROR(VLOOKUP(E1490,Sales_Reps!$A$2:$C$31,3,FALSE()),"")</f>
        <v>South</v>
      </c>
      <c r="N1490">
        <f>IFERROR(VLOOKUP(D1490,Products!$A$2:$F$61,4,FALSE()),"")</f>
        <v>1559</v>
      </c>
      <c r="O1490" t="str">
        <f>IFERROR(VLOOKUP(C1490,Customers!$A$2:$F$301,5,FALSE()),"")</f>
        <v>Corporate</v>
      </c>
      <c r="P1490">
        <f>IFERROR(VLOOKUP(C1490,Customers!$A$2:$F$301,3,FALSE()),"")</f>
        <v>40</v>
      </c>
      <c r="Q1490">
        <f t="shared" si="69"/>
        <v>0.59715762273901807</v>
      </c>
      <c r="R1490">
        <f>IF(AND(COUNTIF($A$2:$A$2047,A1490)&gt;1,COUNTIF($A$2:A1490,A1490)=1),1,0)</f>
        <v>0</v>
      </c>
      <c r="S1490" t="b">
        <f>IFERROR(VLOOKUP(D1490,Products!$A$2:$F$61,6,FALSE()),"")</f>
        <v>1</v>
      </c>
      <c r="T1490" t="str">
        <f>IF(COUNTIF(Customers!$A$2:$A$301,C1490)=0,"Missing","OK")</f>
        <v>OK</v>
      </c>
      <c r="U1490" t="str">
        <f t="shared" si="70"/>
        <v>Pune</v>
      </c>
      <c r="V1490">
        <f t="shared" si="71"/>
        <v>0</v>
      </c>
    </row>
    <row r="1491" spans="1:22" ht="15" customHeight="1" x14ac:dyDescent="0.35">
      <c r="A1491" s="3" t="s">
        <v>1921</v>
      </c>
      <c r="B1491" s="4">
        <v>45491</v>
      </c>
      <c r="C1491" s="3" t="s">
        <v>986</v>
      </c>
      <c r="D1491" s="3" t="s">
        <v>218</v>
      </c>
      <c r="E1491" s="3" t="s">
        <v>191</v>
      </c>
      <c r="F1491" s="5">
        <v>7</v>
      </c>
      <c r="G1491" s="5">
        <v>2660</v>
      </c>
      <c r="H1491" s="5">
        <v>15.9</v>
      </c>
      <c r="I1491" s="5">
        <v>15659.42</v>
      </c>
      <c r="J1491" s="3" t="s">
        <v>26</v>
      </c>
      <c r="K1491" s="3" t="s">
        <v>72</v>
      </c>
      <c r="L1491" t="str">
        <f>IFERROR(VLOOKUP(D1491,Products!$A$2:$F$61,3,FALSE()),"")</f>
        <v>Electronics</v>
      </c>
      <c r="M1491" t="str">
        <f>IFERROR(VLOOKUP(E1491,Sales_Reps!$A$2:$C$31,3,FALSE()),"")</f>
        <v>South</v>
      </c>
      <c r="N1491">
        <f>IFERROR(VLOOKUP(D1491,Products!$A$2:$F$61,4,FALSE()),"")</f>
        <v>1259</v>
      </c>
      <c r="O1491" t="str">
        <f>IFERROR(VLOOKUP(C1491,Customers!$A$2:$F$301,5,FALSE()),"")</f>
        <v>Retail</v>
      </c>
      <c r="P1491">
        <f>IFERROR(VLOOKUP(C1491,Customers!$A$2:$F$301,3,FALSE()),"")</f>
        <v>41</v>
      </c>
      <c r="Q1491">
        <f t="shared" si="69"/>
        <v>0.52669172932330832</v>
      </c>
      <c r="R1491">
        <f>IF(AND(COUNTIF($A$2:$A$2047,A1491)&gt;1,COUNTIF($A$2:A1491,A1491)=1),1,0)</f>
        <v>0</v>
      </c>
      <c r="S1491" t="b">
        <f>IFERROR(VLOOKUP(D1491,Products!$A$2:$F$61,6,FALSE()),"")</f>
        <v>0</v>
      </c>
      <c r="T1491" t="str">
        <f>IF(COUNTIF(Customers!$A$2:$A$301,C1491)=0,"Missing","OK")</f>
        <v>OK</v>
      </c>
      <c r="U1491" t="str">
        <f t="shared" si="70"/>
        <v>Hyderabad</v>
      </c>
      <c r="V1491">
        <f t="shared" si="71"/>
        <v>0</v>
      </c>
    </row>
    <row r="1492" spans="1:22" ht="15" customHeight="1" x14ac:dyDescent="0.35">
      <c r="A1492" s="3" t="s">
        <v>1922</v>
      </c>
      <c r="B1492" s="4">
        <v>45619</v>
      </c>
      <c r="C1492" s="3" t="s">
        <v>463</v>
      </c>
      <c r="D1492" s="3" t="s">
        <v>59</v>
      </c>
      <c r="E1492" s="3" t="s">
        <v>60</v>
      </c>
      <c r="F1492" s="5">
        <v>4</v>
      </c>
      <c r="G1492" s="5">
        <v>1430</v>
      </c>
      <c r="H1492" s="5">
        <v>25.6</v>
      </c>
      <c r="I1492" s="5">
        <v>4255.68</v>
      </c>
      <c r="J1492" s="3" t="s">
        <v>26</v>
      </c>
      <c r="K1492" s="3" t="s">
        <v>51</v>
      </c>
      <c r="L1492" t="str">
        <f>IFERROR(VLOOKUP(D1492,Products!$A$2:$F$61,3,FALSE()),"")</f>
        <v>Electronics</v>
      </c>
      <c r="M1492" t="str">
        <f>IFERROR(VLOOKUP(E1492,Sales_Reps!$A$2:$C$31,3,FALSE()),"")</f>
        <v>East</v>
      </c>
      <c r="N1492">
        <f>IFERROR(VLOOKUP(D1492,Products!$A$2:$F$61,4,FALSE()),"")</f>
        <v>861</v>
      </c>
      <c r="O1492" t="str">
        <f>IFERROR(VLOOKUP(C1492,Customers!$A$2:$F$301,5,FALSE()),"")</f>
        <v>Corporate</v>
      </c>
      <c r="P1492">
        <f>IFERROR(VLOOKUP(C1492,Customers!$A$2:$F$301,3,FALSE()),"")</f>
        <v>55</v>
      </c>
      <c r="Q1492">
        <f t="shared" si="69"/>
        <v>0.39790209790209791</v>
      </c>
      <c r="R1492">
        <f>IF(AND(COUNTIF($A$2:$A$2047,A1492)&gt;1,COUNTIF($A$2:A1492,A1492)=1),1,0)</f>
        <v>0</v>
      </c>
      <c r="S1492" t="b">
        <f>IFERROR(VLOOKUP(D1492,Products!$A$2:$F$61,6,FALSE()),"")</f>
        <v>1</v>
      </c>
      <c r="T1492" t="str">
        <f>IF(COUNTIF(Customers!$A$2:$A$301,C1492)=0,"Missing","OK")</f>
        <v>OK</v>
      </c>
      <c r="U1492" t="str">
        <f t="shared" si="70"/>
        <v>Mumbai</v>
      </c>
      <c r="V1492">
        <f t="shared" si="71"/>
        <v>0</v>
      </c>
    </row>
    <row r="1493" spans="1:22" ht="15" customHeight="1" x14ac:dyDescent="0.35">
      <c r="A1493" s="3" t="s">
        <v>1923</v>
      </c>
      <c r="B1493" s="4">
        <v>45374</v>
      </c>
      <c r="C1493" s="3" t="s">
        <v>443</v>
      </c>
      <c r="D1493" s="3" t="s">
        <v>123</v>
      </c>
      <c r="E1493" s="3" t="s">
        <v>93</v>
      </c>
      <c r="F1493" s="5">
        <v>4</v>
      </c>
      <c r="G1493" s="5">
        <v>4880</v>
      </c>
      <c r="H1493" s="5">
        <v>19.399999999999999</v>
      </c>
      <c r="I1493" s="5">
        <v>15733.12</v>
      </c>
      <c r="J1493" s="3" t="s">
        <v>79</v>
      </c>
      <c r="K1493" s="3" t="s">
        <v>56</v>
      </c>
      <c r="L1493" t="str">
        <f>IFERROR(VLOOKUP(D1493,Products!$A$2:$F$61,3,FALSE()),"")</f>
        <v>Beauty</v>
      </c>
      <c r="M1493" t="str">
        <f>IFERROR(VLOOKUP(E1493,Sales_Reps!$A$2:$C$31,3,FALSE()),"")</f>
        <v>East</v>
      </c>
      <c r="N1493">
        <f>IFERROR(VLOOKUP(D1493,Products!$A$2:$F$61,4,FALSE()),"")</f>
        <v>2768</v>
      </c>
      <c r="O1493" t="str">
        <f>IFERROR(VLOOKUP(C1493,Customers!$A$2:$F$301,5,FALSE()),"")</f>
        <v>Corporate</v>
      </c>
      <c r="P1493">
        <f>IFERROR(VLOOKUP(C1493,Customers!$A$2:$F$301,3,FALSE()),"")</f>
        <v>36</v>
      </c>
      <c r="Q1493">
        <f t="shared" si="69"/>
        <v>0.43278688524590164</v>
      </c>
      <c r="R1493">
        <f>IF(AND(COUNTIF($A$2:$A$2047,A1493)&gt;1,COUNTIF($A$2:A1493,A1493)=1),1,0)</f>
        <v>0</v>
      </c>
      <c r="S1493" t="b">
        <f>IFERROR(VLOOKUP(D1493,Products!$A$2:$F$61,6,FALSE()),"")</f>
        <v>1</v>
      </c>
      <c r="T1493" t="str">
        <f>IF(COUNTIF(Customers!$A$2:$A$301,C1493)=0,"Missing","OK")</f>
        <v>OK</v>
      </c>
      <c r="U1493" t="str">
        <f t="shared" si="70"/>
        <v>Bengaluru</v>
      </c>
      <c r="V1493">
        <f t="shared" si="71"/>
        <v>0</v>
      </c>
    </row>
    <row r="1494" spans="1:22" ht="15" customHeight="1" x14ac:dyDescent="0.35">
      <c r="A1494" s="3" t="s">
        <v>1924</v>
      </c>
      <c r="B1494" s="4">
        <v>45566</v>
      </c>
      <c r="C1494" s="3" t="s">
        <v>402</v>
      </c>
      <c r="D1494" s="3" t="s">
        <v>86</v>
      </c>
      <c r="E1494" s="3" t="s">
        <v>154</v>
      </c>
      <c r="F1494" s="5">
        <v>2</v>
      </c>
      <c r="G1494" s="5">
        <v>190</v>
      </c>
      <c r="H1494" s="5">
        <v>9</v>
      </c>
      <c r="I1494" s="5">
        <v>345.8</v>
      </c>
      <c r="J1494" s="3" t="s">
        <v>26</v>
      </c>
      <c r="K1494" s="3" t="s">
        <v>56</v>
      </c>
      <c r="L1494" t="str">
        <f>IFERROR(VLOOKUP(D1494,Products!$A$2:$F$61,3,FALSE()),"")</f>
        <v>Sports</v>
      </c>
      <c r="M1494" t="str">
        <f>IFERROR(VLOOKUP(E1494,Sales_Reps!$A$2:$C$31,3,FALSE()),"")</f>
        <v>North</v>
      </c>
      <c r="N1494">
        <f>IFERROR(VLOOKUP(D1494,Products!$A$2:$F$61,4,FALSE()),"")</f>
        <v>147</v>
      </c>
      <c r="O1494" t="str">
        <f>IFERROR(VLOOKUP(C1494,Customers!$A$2:$F$301,5,FALSE()),"")</f>
        <v>Retail</v>
      </c>
      <c r="P1494">
        <f>IFERROR(VLOOKUP(C1494,Customers!$A$2:$F$301,3,FALSE()),"")</f>
        <v>55</v>
      </c>
      <c r="Q1494">
        <f t="shared" si="69"/>
        <v>0.22631578947368422</v>
      </c>
      <c r="R1494">
        <f>IF(AND(COUNTIF($A$2:$A$2047,A1494)&gt;1,COUNTIF($A$2:A1494,A1494)=1),1,0)</f>
        <v>0</v>
      </c>
      <c r="S1494" t="b">
        <f>IFERROR(VLOOKUP(D1494,Products!$A$2:$F$61,6,FALSE()),"")</f>
        <v>1</v>
      </c>
      <c r="T1494" t="str">
        <f>IF(COUNTIF(Customers!$A$2:$A$301,C1494)=0,"Missing","OK")</f>
        <v>OK</v>
      </c>
      <c r="U1494" t="str">
        <f t="shared" si="70"/>
        <v>Bengaluru</v>
      </c>
      <c r="V1494">
        <f t="shared" si="71"/>
        <v>0</v>
      </c>
    </row>
    <row r="1495" spans="1:22" ht="15" customHeight="1" x14ac:dyDescent="0.35">
      <c r="A1495" s="3" t="s">
        <v>1925</v>
      </c>
      <c r="B1495" s="4">
        <v>45415</v>
      </c>
      <c r="C1495" s="3" t="s">
        <v>373</v>
      </c>
      <c r="D1495" s="3" t="s">
        <v>215</v>
      </c>
      <c r="E1495" s="3" t="s">
        <v>60</v>
      </c>
      <c r="F1495" s="5">
        <v>1</v>
      </c>
      <c r="G1495" s="5">
        <v>3020</v>
      </c>
      <c r="H1495" s="5">
        <v>3.6</v>
      </c>
      <c r="I1495" s="5">
        <v>2911.28</v>
      </c>
      <c r="J1495" s="3" t="s">
        <v>83</v>
      </c>
      <c r="K1495" s="3" t="s">
        <v>38</v>
      </c>
      <c r="L1495" t="str">
        <f>IFERROR(VLOOKUP(D1495,Products!$A$2:$F$61,3,FALSE()),"")</f>
        <v>Beauty</v>
      </c>
      <c r="M1495" t="str">
        <f>IFERROR(VLOOKUP(E1495,Sales_Reps!$A$2:$C$31,3,FALSE()),"")</f>
        <v>East</v>
      </c>
      <c r="N1495">
        <f>IFERROR(VLOOKUP(D1495,Products!$A$2:$F$61,4,FALSE()),"")</f>
        <v>1626</v>
      </c>
      <c r="O1495" t="str">
        <f>IFERROR(VLOOKUP(C1495,Customers!$A$2:$F$301,5,FALSE()),"")</f>
        <v>Corporate</v>
      </c>
      <c r="P1495">
        <f>IFERROR(VLOOKUP(C1495,Customers!$A$2:$F$301,3,FALSE()),"")</f>
        <v>31</v>
      </c>
      <c r="Q1495">
        <f t="shared" si="69"/>
        <v>0.46158940397350995</v>
      </c>
      <c r="R1495">
        <f>IF(AND(COUNTIF($A$2:$A$2047,A1495)&gt;1,COUNTIF($A$2:A1495,A1495)=1),1,0)</f>
        <v>0</v>
      </c>
      <c r="S1495" t="b">
        <f>IFERROR(VLOOKUP(D1495,Products!$A$2:$F$61,6,FALSE()),"")</f>
        <v>1</v>
      </c>
      <c r="T1495" t="str">
        <f>IF(COUNTIF(Customers!$A$2:$A$301,C1495)=0,"Missing","OK")</f>
        <v>OK</v>
      </c>
      <c r="U1495" t="str">
        <f t="shared" si="70"/>
        <v>Delhi</v>
      </c>
      <c r="V1495">
        <f t="shared" si="71"/>
        <v>0</v>
      </c>
    </row>
    <row r="1496" spans="1:22" ht="15" customHeight="1" x14ac:dyDescent="0.35">
      <c r="A1496" s="3" t="s">
        <v>1926</v>
      </c>
      <c r="B1496" s="4">
        <v>45601</v>
      </c>
      <c r="C1496" s="3" t="s">
        <v>58</v>
      </c>
      <c r="D1496" s="3" t="s">
        <v>123</v>
      </c>
      <c r="E1496" s="3" t="s">
        <v>60</v>
      </c>
      <c r="F1496" s="5">
        <v>2</v>
      </c>
      <c r="G1496" s="5">
        <v>4880</v>
      </c>
      <c r="H1496" s="5">
        <v>2</v>
      </c>
      <c r="I1496" s="5">
        <v>9564.7999999999993</v>
      </c>
      <c r="J1496" s="3" t="s">
        <v>79</v>
      </c>
      <c r="K1496" s="3" t="s">
        <v>56</v>
      </c>
      <c r="L1496" t="str">
        <f>IFERROR(VLOOKUP(D1496,Products!$A$2:$F$61,3,FALSE()),"")</f>
        <v>Beauty</v>
      </c>
      <c r="M1496" t="str">
        <f>IFERROR(VLOOKUP(E1496,Sales_Reps!$A$2:$C$31,3,FALSE()),"")</f>
        <v>East</v>
      </c>
      <c r="N1496">
        <f>IFERROR(VLOOKUP(D1496,Products!$A$2:$F$61,4,FALSE()),"")</f>
        <v>2768</v>
      </c>
      <c r="O1496" t="str">
        <f>IFERROR(VLOOKUP(C1496,Customers!$A$2:$F$301,5,FALSE()),"")</f>
        <v>Corporate</v>
      </c>
      <c r="P1496">
        <f>IFERROR(VLOOKUP(C1496,Customers!$A$2:$F$301,3,FALSE()),"")</f>
        <v>57</v>
      </c>
      <c r="Q1496">
        <f t="shared" si="69"/>
        <v>0.43278688524590164</v>
      </c>
      <c r="R1496">
        <f>IF(AND(COUNTIF($A$2:$A$2047,A1496)&gt;1,COUNTIF($A$2:A1496,A1496)=1),1,0)</f>
        <v>0</v>
      </c>
      <c r="S1496" t="b">
        <f>IFERROR(VLOOKUP(D1496,Products!$A$2:$F$61,6,FALSE()),"")</f>
        <v>1</v>
      </c>
      <c r="T1496" t="str">
        <f>IF(COUNTIF(Customers!$A$2:$A$301,C1496)=0,"Missing","OK")</f>
        <v>OK</v>
      </c>
      <c r="U1496" t="str">
        <f t="shared" si="70"/>
        <v>Bengaluru</v>
      </c>
      <c r="V1496">
        <f t="shared" si="71"/>
        <v>0</v>
      </c>
    </row>
    <row r="1497" spans="1:22" ht="15" customHeight="1" x14ac:dyDescent="0.35">
      <c r="A1497" s="3" t="s">
        <v>1927</v>
      </c>
      <c r="B1497" s="4">
        <v>45319</v>
      </c>
      <c r="C1497" s="3" t="s">
        <v>780</v>
      </c>
      <c r="D1497" s="3" t="s">
        <v>90</v>
      </c>
      <c r="E1497" s="3" t="s">
        <v>282</v>
      </c>
      <c r="F1497" s="5">
        <v>4</v>
      </c>
      <c r="G1497" s="5">
        <v>2400</v>
      </c>
      <c r="H1497" s="5">
        <v>11.5</v>
      </c>
      <c r="I1497" s="5">
        <v>8496</v>
      </c>
      <c r="J1497" s="3" t="s">
        <v>26</v>
      </c>
      <c r="K1497" s="3" t="s">
        <v>56</v>
      </c>
      <c r="L1497" t="str">
        <f>IFERROR(VLOOKUP(D1497,Products!$A$2:$F$61,3,FALSE()),"")</f>
        <v>Sports</v>
      </c>
      <c r="M1497" t="str">
        <f>IFERROR(VLOOKUP(E1497,Sales_Reps!$A$2:$C$31,3,FALSE()),"")</f>
        <v>West</v>
      </c>
      <c r="N1497">
        <f>IFERROR(VLOOKUP(D1497,Products!$A$2:$F$61,4,FALSE()),"")</f>
        <v>974</v>
      </c>
      <c r="O1497" t="str">
        <f>IFERROR(VLOOKUP(C1497,Customers!$A$2:$F$301,5,FALSE()),"")</f>
        <v>Corporate</v>
      </c>
      <c r="P1497">
        <f>IFERROR(VLOOKUP(C1497,Customers!$A$2:$F$301,3,FALSE()),"")</f>
        <v>41</v>
      </c>
      <c r="Q1497">
        <f t="shared" si="69"/>
        <v>0.59416666666666662</v>
      </c>
      <c r="R1497">
        <f>IF(AND(COUNTIF($A$2:$A$2047,A1497)&gt;1,COUNTIF($A$2:A1497,A1497)=1),1,0)</f>
        <v>0</v>
      </c>
      <c r="S1497" t="b">
        <f>IFERROR(VLOOKUP(D1497,Products!$A$2:$F$61,6,FALSE()),"")</f>
        <v>1</v>
      </c>
      <c r="T1497" t="str">
        <f>IF(COUNTIF(Customers!$A$2:$A$301,C1497)=0,"Missing","OK")</f>
        <v>OK</v>
      </c>
      <c r="U1497" t="str">
        <f t="shared" si="70"/>
        <v>Bengaluru</v>
      </c>
      <c r="V1497">
        <f t="shared" si="71"/>
        <v>0</v>
      </c>
    </row>
    <row r="1498" spans="1:22" ht="15" customHeight="1" x14ac:dyDescent="0.35">
      <c r="A1498" s="3" t="s">
        <v>1928</v>
      </c>
      <c r="B1498" s="4">
        <v>45357</v>
      </c>
      <c r="C1498" s="3" t="s">
        <v>496</v>
      </c>
      <c r="D1498" s="3" t="s">
        <v>180</v>
      </c>
      <c r="E1498" s="3" t="s">
        <v>236</v>
      </c>
      <c r="F1498" s="5">
        <v>2</v>
      </c>
      <c r="G1498" s="5">
        <v>6080</v>
      </c>
      <c r="H1498" s="5">
        <v>0.5</v>
      </c>
      <c r="I1498" s="5">
        <v>12099.2</v>
      </c>
      <c r="J1498" s="3" t="s">
        <v>79</v>
      </c>
      <c r="K1498" s="3" t="s">
        <v>51</v>
      </c>
      <c r="L1498" t="str">
        <f>IFERROR(VLOOKUP(D1498,Products!$A$2:$F$61,3,FALSE()),"")</f>
        <v>Beauty</v>
      </c>
      <c r="M1498" t="str">
        <f>IFERROR(VLOOKUP(E1498,Sales_Reps!$A$2:$C$31,3,FALSE()),"")</f>
        <v>North</v>
      </c>
      <c r="N1498">
        <f>IFERROR(VLOOKUP(D1498,Products!$A$2:$F$61,4,FALSE()),"")</f>
        <v>2617</v>
      </c>
      <c r="O1498" t="str">
        <f>IFERROR(VLOOKUP(C1498,Customers!$A$2:$F$301,5,FALSE()),"")</f>
        <v>Retail</v>
      </c>
      <c r="P1498">
        <f>IFERROR(VLOOKUP(C1498,Customers!$A$2:$F$301,3,FALSE()),"")</f>
        <v>65</v>
      </c>
      <c r="Q1498">
        <f t="shared" si="69"/>
        <v>0.56957236842105263</v>
      </c>
      <c r="R1498">
        <f>IF(AND(COUNTIF($A$2:$A$2047,A1498)&gt;1,COUNTIF($A$2:A1498,A1498)=1),1,0)</f>
        <v>0</v>
      </c>
      <c r="S1498" t="b">
        <f>IFERROR(VLOOKUP(D1498,Products!$A$2:$F$61,6,FALSE()),"")</f>
        <v>1</v>
      </c>
      <c r="T1498" t="str">
        <f>IF(COUNTIF(Customers!$A$2:$A$301,C1498)=0,"Missing","OK")</f>
        <v>OK</v>
      </c>
      <c r="U1498" t="str">
        <f t="shared" si="70"/>
        <v>Mumbai</v>
      </c>
      <c r="V1498">
        <f t="shared" si="71"/>
        <v>0</v>
      </c>
    </row>
    <row r="1499" spans="1:22" ht="15" customHeight="1" x14ac:dyDescent="0.35">
      <c r="A1499" s="3" t="s">
        <v>1929</v>
      </c>
      <c r="B1499" s="4">
        <v>45384</v>
      </c>
      <c r="C1499" s="3" t="s">
        <v>762</v>
      </c>
      <c r="D1499" s="3" t="s">
        <v>306</v>
      </c>
      <c r="E1499" s="3" t="s">
        <v>93</v>
      </c>
      <c r="F1499" s="5">
        <v>7</v>
      </c>
      <c r="G1499" s="5">
        <v>2380</v>
      </c>
      <c r="H1499" s="5">
        <v>12.3</v>
      </c>
      <c r="I1499" s="5">
        <v>14610.82</v>
      </c>
      <c r="J1499" s="3" t="s">
        <v>26</v>
      </c>
      <c r="K1499" s="3" t="s">
        <v>33</v>
      </c>
      <c r="L1499" t="str">
        <f>IFERROR(VLOOKUP(D1499,Products!$A$2:$F$61,3,FALSE()),"")</f>
        <v>Grocery</v>
      </c>
      <c r="M1499" t="str">
        <f>IFERROR(VLOOKUP(E1499,Sales_Reps!$A$2:$C$31,3,FALSE()),"")</f>
        <v>East</v>
      </c>
      <c r="N1499">
        <f>IFERROR(VLOOKUP(D1499,Products!$A$2:$F$61,4,FALSE()),"")</f>
        <v>1182</v>
      </c>
      <c r="O1499" t="str">
        <f>IFERROR(VLOOKUP(C1499,Customers!$A$2:$F$301,5,FALSE()),"")</f>
        <v>Retail</v>
      </c>
      <c r="P1499">
        <f>IFERROR(VLOOKUP(C1499,Customers!$A$2:$F$301,3,FALSE()),"")</f>
        <v>32</v>
      </c>
      <c r="Q1499">
        <f t="shared" si="69"/>
        <v>0.50336134453781511</v>
      </c>
      <c r="R1499">
        <f>IF(AND(COUNTIF($A$2:$A$2047,A1499)&gt;1,COUNTIF($A$2:A1499,A1499)=1),1,0)</f>
        <v>0</v>
      </c>
      <c r="S1499" t="b">
        <f>IFERROR(VLOOKUP(D1499,Products!$A$2:$F$61,6,FALSE()),"")</f>
        <v>1</v>
      </c>
      <c r="T1499" t="str">
        <f>IF(COUNTIF(Customers!$A$2:$A$301,C1499)=0,"Missing","OK")</f>
        <v>OK</v>
      </c>
      <c r="U1499" t="str">
        <f t="shared" si="70"/>
        <v>Chennai</v>
      </c>
      <c r="V1499">
        <f t="shared" si="71"/>
        <v>0</v>
      </c>
    </row>
    <row r="1500" spans="1:22" ht="15" customHeight="1" x14ac:dyDescent="0.35">
      <c r="A1500" s="3" t="s">
        <v>1930</v>
      </c>
      <c r="B1500" s="4">
        <v>45509</v>
      </c>
      <c r="C1500" s="3" t="s">
        <v>308</v>
      </c>
      <c r="D1500" s="3" t="s">
        <v>198</v>
      </c>
      <c r="E1500" s="3" t="s">
        <v>154</v>
      </c>
      <c r="F1500" s="5">
        <v>10</v>
      </c>
      <c r="G1500" s="5">
        <v>1540</v>
      </c>
      <c r="H1500" s="5">
        <v>20.6</v>
      </c>
      <c r="I1500" s="5">
        <v>12227.6</v>
      </c>
      <c r="J1500" s="3" t="s">
        <v>26</v>
      </c>
      <c r="K1500" s="3" t="s">
        <v>33</v>
      </c>
      <c r="L1500" t="str">
        <f>IFERROR(VLOOKUP(D1500,Products!$A$2:$F$61,3,FALSE()),"")</f>
        <v>Beauty</v>
      </c>
      <c r="M1500" t="str">
        <f>IFERROR(VLOOKUP(E1500,Sales_Reps!$A$2:$C$31,3,FALSE()),"")</f>
        <v>North</v>
      </c>
      <c r="N1500">
        <f>IFERROR(VLOOKUP(D1500,Products!$A$2:$F$61,4,FALSE()),"")</f>
        <v>647</v>
      </c>
      <c r="O1500" t="str">
        <f>IFERROR(VLOOKUP(C1500,Customers!$A$2:$F$301,5,FALSE()),"")</f>
        <v>SMB</v>
      </c>
      <c r="P1500">
        <f>IFERROR(VLOOKUP(C1500,Customers!$A$2:$F$301,3,FALSE()),"")</f>
        <v>62</v>
      </c>
      <c r="Q1500">
        <f t="shared" si="69"/>
        <v>0.57987012987012987</v>
      </c>
      <c r="R1500">
        <f>IF(AND(COUNTIF($A$2:$A$2047,A1500)&gt;1,COUNTIF($A$2:A1500,A1500)=1),1,0)</f>
        <v>0</v>
      </c>
      <c r="S1500" t="b">
        <f>IFERROR(VLOOKUP(D1500,Products!$A$2:$F$61,6,FALSE()),"")</f>
        <v>0</v>
      </c>
      <c r="T1500" t="str">
        <f>IF(COUNTIF(Customers!$A$2:$A$301,C1500)=0,"Missing","OK")</f>
        <v>OK</v>
      </c>
      <c r="U1500" t="str">
        <f t="shared" si="70"/>
        <v>Chennai</v>
      </c>
      <c r="V1500">
        <f t="shared" si="71"/>
        <v>0</v>
      </c>
    </row>
    <row r="1501" spans="1:22" ht="15" customHeight="1" x14ac:dyDescent="0.35">
      <c r="A1501" s="3" t="s">
        <v>1931</v>
      </c>
      <c r="B1501" s="4">
        <v>45520</v>
      </c>
      <c r="C1501" s="3" t="s">
        <v>102</v>
      </c>
      <c r="D1501" s="3" t="s">
        <v>187</v>
      </c>
      <c r="E1501" s="3" t="s">
        <v>67</v>
      </c>
      <c r="F1501" s="5">
        <v>7</v>
      </c>
      <c r="G1501" s="5">
        <v>3870</v>
      </c>
      <c r="H1501" s="5">
        <v>6.1</v>
      </c>
      <c r="I1501" s="5">
        <v>25437.51</v>
      </c>
      <c r="J1501" s="3" t="s">
        <v>26</v>
      </c>
      <c r="K1501" s="3" t="s">
        <v>33</v>
      </c>
      <c r="L1501" t="str">
        <f>IFERROR(VLOOKUP(D1501,Products!$A$2:$F$61,3,FALSE()),"")</f>
        <v>Electronics</v>
      </c>
      <c r="M1501" t="str">
        <f>IFERROR(VLOOKUP(E1501,Sales_Reps!$A$2:$C$31,3,FALSE()),"")</f>
        <v>West</v>
      </c>
      <c r="N1501">
        <f>IFERROR(VLOOKUP(D1501,Products!$A$2:$F$61,4,FALSE()),"")</f>
        <v>1559</v>
      </c>
      <c r="O1501" t="str">
        <f>IFERROR(VLOOKUP(C1501,Customers!$A$2:$F$301,5,FALSE()),"")</f>
        <v>Retail</v>
      </c>
      <c r="P1501">
        <f>IFERROR(VLOOKUP(C1501,Customers!$A$2:$F$301,3,FALSE()),"")</f>
        <v>49</v>
      </c>
      <c r="Q1501">
        <f t="shared" si="69"/>
        <v>0.59715762273901807</v>
      </c>
      <c r="R1501">
        <f>IF(AND(COUNTIF($A$2:$A$2047,A1501)&gt;1,COUNTIF($A$2:A1501,A1501)=1),1,0)</f>
        <v>0</v>
      </c>
      <c r="S1501" t="b">
        <f>IFERROR(VLOOKUP(D1501,Products!$A$2:$F$61,6,FALSE()),"")</f>
        <v>1</v>
      </c>
      <c r="T1501" t="str">
        <f>IF(COUNTIF(Customers!$A$2:$A$301,C1501)=0,"Missing","OK")</f>
        <v>OK</v>
      </c>
      <c r="U1501" t="str">
        <f t="shared" si="70"/>
        <v>Chennai</v>
      </c>
      <c r="V1501">
        <f t="shared" si="71"/>
        <v>0</v>
      </c>
    </row>
    <row r="1502" spans="1:22" ht="15" customHeight="1" x14ac:dyDescent="0.35">
      <c r="A1502" s="3" t="s">
        <v>1932</v>
      </c>
      <c r="B1502" s="4">
        <v>45383</v>
      </c>
      <c r="C1502" s="3" t="s">
        <v>519</v>
      </c>
      <c r="D1502" s="3" t="s">
        <v>49</v>
      </c>
      <c r="E1502" s="3" t="s">
        <v>97</v>
      </c>
      <c r="F1502" s="5">
        <v>3</v>
      </c>
      <c r="G1502" s="5">
        <v>370</v>
      </c>
      <c r="H1502" s="5">
        <v>13.7</v>
      </c>
      <c r="I1502" s="5">
        <v>957.93</v>
      </c>
      <c r="J1502" s="3" t="s">
        <v>26</v>
      </c>
      <c r="K1502" s="3" t="s">
        <v>27</v>
      </c>
      <c r="L1502" t="str">
        <f>IFERROR(VLOOKUP(D1502,Products!$A$2:$F$61,3,FALSE()),"")</f>
        <v>Home</v>
      </c>
      <c r="M1502" t="str">
        <f>IFERROR(VLOOKUP(E1502,Sales_Reps!$A$2:$C$31,3,FALSE()),"")</f>
        <v>East</v>
      </c>
      <c r="N1502">
        <f>IFERROR(VLOOKUP(D1502,Products!$A$2:$F$61,4,FALSE()),"")</f>
        <v>288</v>
      </c>
      <c r="O1502" t="str">
        <f>IFERROR(VLOOKUP(C1502,Customers!$A$2:$F$301,5,FALSE()),"")</f>
        <v>Corporate</v>
      </c>
      <c r="P1502">
        <f>IFERROR(VLOOKUP(C1502,Customers!$A$2:$F$301,3,FALSE()),"")</f>
        <v>40</v>
      </c>
      <c r="Q1502">
        <f t="shared" si="69"/>
        <v>0.22162162162162163</v>
      </c>
      <c r="R1502">
        <f>IF(AND(COUNTIF($A$2:$A$2047,A1502)&gt;1,COUNTIF($A$2:A1502,A1502)=1),1,0)</f>
        <v>0</v>
      </c>
      <c r="S1502" t="b">
        <f>IFERROR(VLOOKUP(D1502,Products!$A$2:$F$61,6,FALSE()),"")</f>
        <v>1</v>
      </c>
      <c r="T1502" t="str">
        <f>IF(COUNTIF(Customers!$A$2:$A$301,C1502)=0,"Missing","OK")</f>
        <v>OK</v>
      </c>
      <c r="U1502" t="str">
        <f t="shared" si="70"/>
        <v>Pune</v>
      </c>
      <c r="V1502">
        <f t="shared" si="71"/>
        <v>0</v>
      </c>
    </row>
    <row r="1503" spans="1:22" ht="15" customHeight="1" x14ac:dyDescent="0.35">
      <c r="A1503" s="3" t="s">
        <v>1933</v>
      </c>
      <c r="B1503" s="4">
        <v>45328</v>
      </c>
      <c r="C1503" s="3" t="s">
        <v>310</v>
      </c>
      <c r="D1503" s="3" t="s">
        <v>86</v>
      </c>
      <c r="E1503" s="3" t="s">
        <v>282</v>
      </c>
      <c r="F1503" s="5">
        <v>8</v>
      </c>
      <c r="G1503" s="5">
        <v>190</v>
      </c>
      <c r="H1503" s="5">
        <v>0.2</v>
      </c>
      <c r="I1503" s="5">
        <v>1516.96</v>
      </c>
      <c r="J1503" s="3" t="s">
        <v>26</v>
      </c>
      <c r="K1503" s="3" t="s">
        <v>51</v>
      </c>
      <c r="L1503" t="str">
        <f>IFERROR(VLOOKUP(D1503,Products!$A$2:$F$61,3,FALSE()),"")</f>
        <v>Sports</v>
      </c>
      <c r="M1503" t="str">
        <f>IFERROR(VLOOKUP(E1503,Sales_Reps!$A$2:$C$31,3,FALSE()),"")</f>
        <v>West</v>
      </c>
      <c r="N1503">
        <f>IFERROR(VLOOKUP(D1503,Products!$A$2:$F$61,4,FALSE()),"")</f>
        <v>147</v>
      </c>
      <c r="O1503" t="str">
        <f>IFERROR(VLOOKUP(C1503,Customers!$A$2:$F$301,5,FALSE()),"")</f>
        <v>Retail</v>
      </c>
      <c r="P1503">
        <f>IFERROR(VLOOKUP(C1503,Customers!$A$2:$F$301,3,FALSE()),"")</f>
        <v>42</v>
      </c>
      <c r="Q1503">
        <f t="shared" si="69"/>
        <v>0.22631578947368422</v>
      </c>
      <c r="R1503">
        <f>IF(AND(COUNTIF($A$2:$A$2047,A1503)&gt;1,COUNTIF($A$2:A1503,A1503)=1),1,0)</f>
        <v>0</v>
      </c>
      <c r="S1503" t="b">
        <f>IFERROR(VLOOKUP(D1503,Products!$A$2:$F$61,6,FALSE()),"")</f>
        <v>1</v>
      </c>
      <c r="T1503" t="str">
        <f>IF(COUNTIF(Customers!$A$2:$A$301,C1503)=0,"Missing","OK")</f>
        <v>OK</v>
      </c>
      <c r="U1503" t="str">
        <f t="shared" si="70"/>
        <v>Mumbai</v>
      </c>
      <c r="V1503">
        <f t="shared" si="71"/>
        <v>0</v>
      </c>
    </row>
    <row r="1504" spans="1:22" ht="15" customHeight="1" x14ac:dyDescent="0.35">
      <c r="A1504" s="3" t="s">
        <v>1934</v>
      </c>
      <c r="B1504" s="4">
        <v>45501</v>
      </c>
      <c r="C1504" s="3" t="s">
        <v>29</v>
      </c>
      <c r="D1504" s="3" t="s">
        <v>59</v>
      </c>
      <c r="E1504" s="3" t="s">
        <v>212</v>
      </c>
      <c r="F1504" s="5">
        <v>6</v>
      </c>
      <c r="G1504" s="5">
        <v>1430</v>
      </c>
      <c r="H1504" s="5">
        <v>0.1</v>
      </c>
      <c r="I1504" s="5">
        <v>8571.42</v>
      </c>
      <c r="J1504" s="3" t="s">
        <v>26</v>
      </c>
      <c r="K1504" s="3" t="s">
        <v>33</v>
      </c>
      <c r="L1504" t="str">
        <f>IFERROR(VLOOKUP(D1504,Products!$A$2:$F$61,3,FALSE()),"")</f>
        <v>Electronics</v>
      </c>
      <c r="M1504" t="str">
        <f>IFERROR(VLOOKUP(E1504,Sales_Reps!$A$2:$C$31,3,FALSE()),"")</f>
        <v>South</v>
      </c>
      <c r="N1504">
        <f>IFERROR(VLOOKUP(D1504,Products!$A$2:$F$61,4,FALSE()),"")</f>
        <v>861</v>
      </c>
      <c r="O1504" t="str">
        <f>IFERROR(VLOOKUP(C1504,Customers!$A$2:$F$301,5,FALSE()),"")</f>
        <v>Retail</v>
      </c>
      <c r="P1504">
        <f>IFERROR(VLOOKUP(C1504,Customers!$A$2:$F$301,3,FALSE()),"")</f>
        <v>39</v>
      </c>
      <c r="Q1504">
        <f t="shared" si="69"/>
        <v>0.39790209790209791</v>
      </c>
      <c r="R1504">
        <f>IF(AND(COUNTIF($A$2:$A$2047,A1504)&gt;1,COUNTIF($A$2:A1504,A1504)=1),1,0)</f>
        <v>0</v>
      </c>
      <c r="S1504" t="b">
        <f>IFERROR(VLOOKUP(D1504,Products!$A$2:$F$61,6,FALSE()),"")</f>
        <v>1</v>
      </c>
      <c r="T1504" t="str">
        <f>IF(COUNTIF(Customers!$A$2:$A$301,C1504)=0,"Missing","OK")</f>
        <v>OK</v>
      </c>
      <c r="U1504" t="str">
        <f t="shared" si="70"/>
        <v>Chennai</v>
      </c>
      <c r="V1504">
        <f t="shared" si="71"/>
        <v>0</v>
      </c>
    </row>
    <row r="1505" spans="1:22" ht="15" customHeight="1" x14ac:dyDescent="0.35">
      <c r="A1505" s="3" t="s">
        <v>1935</v>
      </c>
      <c r="B1505" s="4">
        <v>45346</v>
      </c>
      <c r="C1505" s="3" t="s">
        <v>411</v>
      </c>
      <c r="D1505" s="3" t="s">
        <v>36</v>
      </c>
      <c r="E1505" s="3" t="s">
        <v>131</v>
      </c>
      <c r="F1505" s="5">
        <v>4</v>
      </c>
      <c r="G1505" s="5">
        <v>470</v>
      </c>
      <c r="H1505" s="5">
        <v>3</v>
      </c>
      <c r="I1505" s="5">
        <v>1823.6</v>
      </c>
      <c r="J1505" s="3" t="s">
        <v>26</v>
      </c>
      <c r="K1505" s="3" t="s">
        <v>33</v>
      </c>
      <c r="L1505" t="str">
        <f>IFERROR(VLOOKUP(D1505,Products!$A$2:$F$61,3,FALSE()),"")</f>
        <v>Sports</v>
      </c>
      <c r="M1505" t="str">
        <f>IFERROR(VLOOKUP(E1505,Sales_Reps!$A$2:$C$31,3,FALSE()),"")</f>
        <v>East</v>
      </c>
      <c r="N1505">
        <f>IFERROR(VLOOKUP(D1505,Products!$A$2:$F$61,4,FALSE()),"")</f>
        <v>302</v>
      </c>
      <c r="O1505" t="str">
        <f>IFERROR(VLOOKUP(C1505,Customers!$A$2:$F$301,5,FALSE()),"")</f>
        <v>Corporate</v>
      </c>
      <c r="P1505">
        <f>IFERROR(VLOOKUP(C1505,Customers!$A$2:$F$301,3,FALSE()),"")</f>
        <v>35</v>
      </c>
      <c r="Q1505">
        <f t="shared" si="69"/>
        <v>0.35744680851063831</v>
      </c>
      <c r="R1505">
        <f>IF(AND(COUNTIF($A$2:$A$2047,A1505)&gt;1,COUNTIF($A$2:A1505,A1505)=1),1,0)</f>
        <v>0</v>
      </c>
      <c r="S1505" t="b">
        <f>IFERROR(VLOOKUP(D1505,Products!$A$2:$F$61,6,FALSE()),"")</f>
        <v>0</v>
      </c>
      <c r="T1505" t="str">
        <f>IF(COUNTIF(Customers!$A$2:$A$301,C1505)=0,"Missing","OK")</f>
        <v>OK</v>
      </c>
      <c r="U1505" t="str">
        <f t="shared" si="70"/>
        <v>Chennai</v>
      </c>
      <c r="V1505">
        <f t="shared" si="71"/>
        <v>0</v>
      </c>
    </row>
    <row r="1506" spans="1:22" ht="15" customHeight="1" x14ac:dyDescent="0.35">
      <c r="A1506" s="3" t="s">
        <v>1936</v>
      </c>
      <c r="B1506" s="4">
        <v>45446</v>
      </c>
      <c r="C1506" s="3" t="s">
        <v>424</v>
      </c>
      <c r="D1506" s="3" t="s">
        <v>598</v>
      </c>
      <c r="E1506" s="3" t="s">
        <v>78</v>
      </c>
      <c r="F1506" s="5">
        <v>4</v>
      </c>
      <c r="G1506" s="5">
        <v>3560</v>
      </c>
      <c r="H1506" s="5">
        <v>1.1000000000000001</v>
      </c>
      <c r="I1506" s="5">
        <v>14083.36</v>
      </c>
      <c r="J1506" s="3" t="s">
        <v>26</v>
      </c>
      <c r="K1506" s="3" t="s">
        <v>27</v>
      </c>
      <c r="L1506" t="str">
        <f>IFERROR(VLOOKUP(D1506,Products!$A$2:$F$61,3,FALSE()),"")</f>
        <v>Apparel</v>
      </c>
      <c r="M1506" t="str">
        <f>IFERROR(VLOOKUP(E1506,Sales_Reps!$A$2:$C$31,3,FALSE()),"")</f>
        <v>North</v>
      </c>
      <c r="N1506">
        <f>IFERROR(VLOOKUP(D1506,Products!$A$2:$F$61,4,FALSE()),"")</f>
        <v>2629</v>
      </c>
      <c r="O1506" t="str">
        <f>IFERROR(VLOOKUP(C1506,Customers!$A$2:$F$301,5,FALSE()),"")</f>
        <v>Retail</v>
      </c>
      <c r="P1506">
        <f>IFERROR(VLOOKUP(C1506,Customers!$A$2:$F$301,3,FALSE()),"")</f>
        <v>49</v>
      </c>
      <c r="Q1506">
        <f t="shared" si="69"/>
        <v>0.26151685393258428</v>
      </c>
      <c r="R1506">
        <f>IF(AND(COUNTIF($A$2:$A$2047,A1506)&gt;1,COUNTIF($A$2:A1506,A1506)=1),1,0)</f>
        <v>0</v>
      </c>
      <c r="S1506" t="b">
        <f>IFERROR(VLOOKUP(D1506,Products!$A$2:$F$61,6,FALSE()),"")</f>
        <v>1</v>
      </c>
      <c r="T1506" t="str">
        <f>IF(COUNTIF(Customers!$A$2:$A$301,C1506)=0,"Missing","OK")</f>
        <v>OK</v>
      </c>
      <c r="U1506" t="str">
        <f t="shared" si="70"/>
        <v>Pune</v>
      </c>
      <c r="V1506">
        <f t="shared" si="71"/>
        <v>0</v>
      </c>
    </row>
    <row r="1507" spans="1:22" ht="15" customHeight="1" x14ac:dyDescent="0.35">
      <c r="A1507" s="3" t="s">
        <v>1937</v>
      </c>
      <c r="B1507" s="4">
        <v>45521</v>
      </c>
      <c r="C1507" s="3" t="s">
        <v>574</v>
      </c>
      <c r="D1507" s="3" t="s">
        <v>123</v>
      </c>
      <c r="E1507" s="3" t="s">
        <v>264</v>
      </c>
      <c r="F1507" s="5">
        <v>5</v>
      </c>
      <c r="G1507" s="5">
        <v>4880</v>
      </c>
      <c r="H1507" s="5">
        <v>17</v>
      </c>
      <c r="I1507" s="5">
        <v>20252</v>
      </c>
      <c r="J1507" s="3" t="s">
        <v>26</v>
      </c>
      <c r="K1507" s="3" t="s">
        <v>38</v>
      </c>
      <c r="L1507" t="str">
        <f>IFERROR(VLOOKUP(D1507,Products!$A$2:$F$61,3,FALSE()),"")</f>
        <v>Beauty</v>
      </c>
      <c r="M1507" t="str">
        <f>IFERROR(VLOOKUP(E1507,Sales_Reps!$A$2:$C$31,3,FALSE()),"")</f>
        <v>South</v>
      </c>
      <c r="N1507">
        <f>IFERROR(VLOOKUP(D1507,Products!$A$2:$F$61,4,FALSE()),"")</f>
        <v>2768</v>
      </c>
      <c r="O1507" t="str">
        <f>IFERROR(VLOOKUP(C1507,Customers!$A$2:$F$301,5,FALSE()),"")</f>
        <v>Retail</v>
      </c>
      <c r="P1507">
        <f>IFERROR(VLOOKUP(C1507,Customers!$A$2:$F$301,3,FALSE()),"")</f>
        <v>49</v>
      </c>
      <c r="Q1507">
        <f t="shared" si="69"/>
        <v>0.43278688524590164</v>
      </c>
      <c r="R1507">
        <f>IF(AND(COUNTIF($A$2:$A$2047,A1507)&gt;1,COUNTIF($A$2:A1507,A1507)=1),1,0)</f>
        <v>0</v>
      </c>
      <c r="S1507" t="b">
        <f>IFERROR(VLOOKUP(D1507,Products!$A$2:$F$61,6,FALSE()),"")</f>
        <v>1</v>
      </c>
      <c r="T1507" t="str">
        <f>IF(COUNTIF(Customers!$A$2:$A$301,C1507)=0,"Missing","OK")</f>
        <v>OK</v>
      </c>
      <c r="U1507" t="str">
        <f t="shared" si="70"/>
        <v>Delhi</v>
      </c>
      <c r="V1507">
        <f t="shared" si="71"/>
        <v>0</v>
      </c>
    </row>
    <row r="1508" spans="1:22" ht="15" customHeight="1" x14ac:dyDescent="0.35">
      <c r="A1508" s="3" t="s">
        <v>1938</v>
      </c>
      <c r="B1508" s="4">
        <v>45483</v>
      </c>
      <c r="C1508" s="3" t="s">
        <v>619</v>
      </c>
      <c r="D1508" s="3" t="s">
        <v>126</v>
      </c>
      <c r="E1508" s="3" t="s">
        <v>143</v>
      </c>
      <c r="F1508" s="5">
        <v>9</v>
      </c>
      <c r="G1508" s="5">
        <v>3570</v>
      </c>
      <c r="H1508" s="5">
        <v>12</v>
      </c>
      <c r="I1508" s="5">
        <v>28274.400000000001</v>
      </c>
      <c r="J1508" s="3" t="s">
        <v>26</v>
      </c>
      <c r="K1508" s="3" t="s">
        <v>33</v>
      </c>
      <c r="L1508" t="str">
        <f>IFERROR(VLOOKUP(D1508,Products!$A$2:$F$61,3,FALSE()),"")</f>
        <v>Electronics</v>
      </c>
      <c r="M1508" t="str">
        <f>IFERROR(VLOOKUP(E1508,Sales_Reps!$A$2:$C$31,3,FALSE()),"")</f>
        <v>South</v>
      </c>
      <c r="N1508">
        <f>IFERROR(VLOOKUP(D1508,Products!$A$2:$F$61,4,FALSE()),"")</f>
        <v>1665</v>
      </c>
      <c r="O1508" t="str">
        <f>IFERROR(VLOOKUP(C1508,Customers!$A$2:$F$301,5,FALSE()),"")</f>
        <v>Retail</v>
      </c>
      <c r="P1508">
        <f>IFERROR(VLOOKUP(C1508,Customers!$A$2:$F$301,3,FALSE()),"")</f>
        <v>26</v>
      </c>
      <c r="Q1508">
        <f t="shared" si="69"/>
        <v>0.53361344537815125</v>
      </c>
      <c r="R1508">
        <f>IF(AND(COUNTIF($A$2:$A$2047,A1508)&gt;1,COUNTIF($A$2:A1508,A1508)=1),1,0)</f>
        <v>0</v>
      </c>
      <c r="S1508" t="b">
        <f>IFERROR(VLOOKUP(D1508,Products!$A$2:$F$61,6,FALSE()),"")</f>
        <v>1</v>
      </c>
      <c r="T1508" t="str">
        <f>IF(COUNTIF(Customers!$A$2:$A$301,C1508)=0,"Missing","OK")</f>
        <v>OK</v>
      </c>
      <c r="U1508" t="str">
        <f t="shared" si="70"/>
        <v>Chennai</v>
      </c>
      <c r="V1508">
        <f t="shared" si="71"/>
        <v>0</v>
      </c>
    </row>
    <row r="1509" spans="1:22" ht="15" customHeight="1" x14ac:dyDescent="0.35">
      <c r="A1509" s="3" t="s">
        <v>1939</v>
      </c>
      <c r="B1509" s="4">
        <v>45370</v>
      </c>
      <c r="C1509" s="3" t="s">
        <v>1300</v>
      </c>
      <c r="D1509" s="3" t="s">
        <v>100</v>
      </c>
      <c r="E1509" s="3" t="s">
        <v>50</v>
      </c>
      <c r="F1509" s="5">
        <v>6</v>
      </c>
      <c r="G1509" s="5">
        <v>3450</v>
      </c>
      <c r="H1509" s="5">
        <v>22.7</v>
      </c>
      <c r="I1509" s="5">
        <v>16001.1</v>
      </c>
      <c r="J1509" s="3" t="s">
        <v>79</v>
      </c>
      <c r="K1509" s="3" t="s">
        <v>33</v>
      </c>
      <c r="L1509" t="str">
        <f>IFERROR(VLOOKUP(D1509,Products!$A$2:$F$61,3,FALSE()),"")</f>
        <v>Sports</v>
      </c>
      <c r="M1509" t="str">
        <f>IFERROR(VLOOKUP(E1509,Sales_Reps!$A$2:$C$31,3,FALSE()),"")</f>
        <v>West</v>
      </c>
      <c r="N1509">
        <f>IFERROR(VLOOKUP(D1509,Products!$A$2:$F$61,4,FALSE()),"")</f>
        <v>2467</v>
      </c>
      <c r="O1509" t="str">
        <f>IFERROR(VLOOKUP(C1509,Customers!$A$2:$F$301,5,FALSE()),"")</f>
        <v>Retail</v>
      </c>
      <c r="P1509">
        <f>IFERROR(VLOOKUP(C1509,Customers!$A$2:$F$301,3,FALSE()),"")</f>
        <v>34</v>
      </c>
      <c r="Q1509">
        <f t="shared" si="69"/>
        <v>0.28492753623188405</v>
      </c>
      <c r="R1509">
        <f>IF(AND(COUNTIF($A$2:$A$2047,A1509)&gt;1,COUNTIF($A$2:A1509,A1509)=1),1,0)</f>
        <v>0</v>
      </c>
      <c r="S1509" t="b">
        <f>IFERROR(VLOOKUP(D1509,Products!$A$2:$F$61,6,FALSE()),"")</f>
        <v>1</v>
      </c>
      <c r="T1509" t="str">
        <f>IF(COUNTIF(Customers!$A$2:$A$301,C1509)=0,"Missing","OK")</f>
        <v>OK</v>
      </c>
      <c r="U1509" t="str">
        <f t="shared" si="70"/>
        <v>Chennai</v>
      </c>
      <c r="V1509">
        <f t="shared" si="71"/>
        <v>0</v>
      </c>
    </row>
    <row r="1510" spans="1:22" ht="15" customHeight="1" x14ac:dyDescent="0.35">
      <c r="A1510" s="3" t="s">
        <v>1940</v>
      </c>
      <c r="B1510" s="4">
        <v>45456</v>
      </c>
      <c r="C1510" s="3" t="s">
        <v>117</v>
      </c>
      <c r="D1510" s="3" t="s">
        <v>103</v>
      </c>
      <c r="E1510" s="3" t="s">
        <v>236</v>
      </c>
      <c r="F1510" s="5">
        <v>10</v>
      </c>
      <c r="G1510" s="5">
        <v>1080</v>
      </c>
      <c r="H1510" s="5">
        <v>27.4</v>
      </c>
      <c r="I1510" s="5">
        <v>7840.8</v>
      </c>
      <c r="J1510" s="3" t="s">
        <v>26</v>
      </c>
      <c r="K1510" s="3" t="s">
        <v>33</v>
      </c>
      <c r="L1510" t="str">
        <f>IFERROR(VLOOKUP(D1510,Products!$A$2:$F$61,3,FALSE()),"")</f>
        <v>Home</v>
      </c>
      <c r="M1510" t="str">
        <f>IFERROR(VLOOKUP(E1510,Sales_Reps!$A$2:$C$31,3,FALSE()),"")</f>
        <v>North</v>
      </c>
      <c r="N1510">
        <f>IFERROR(VLOOKUP(D1510,Products!$A$2:$F$61,4,FALSE()),"")</f>
        <v>519</v>
      </c>
      <c r="O1510" t="str">
        <f>IFERROR(VLOOKUP(C1510,Customers!$A$2:$F$301,5,FALSE()),"")</f>
        <v>Corporate</v>
      </c>
      <c r="P1510">
        <f>IFERROR(VLOOKUP(C1510,Customers!$A$2:$F$301,3,FALSE()),"")</f>
        <v>55</v>
      </c>
      <c r="Q1510">
        <f t="shared" si="69"/>
        <v>0.51944444444444449</v>
      </c>
      <c r="R1510">
        <f>IF(AND(COUNTIF($A$2:$A$2047,A1510)&gt;1,COUNTIF($A$2:A1510,A1510)=1),1,0)</f>
        <v>0</v>
      </c>
      <c r="S1510" t="b">
        <f>IFERROR(VLOOKUP(D1510,Products!$A$2:$F$61,6,FALSE()),"")</f>
        <v>1</v>
      </c>
      <c r="T1510" t="str">
        <f>IF(COUNTIF(Customers!$A$2:$A$301,C1510)=0,"Missing","OK")</f>
        <v>OK</v>
      </c>
      <c r="U1510" t="str">
        <f t="shared" si="70"/>
        <v>Chennai</v>
      </c>
      <c r="V1510">
        <f t="shared" si="71"/>
        <v>0</v>
      </c>
    </row>
    <row r="1511" spans="1:22" ht="15" customHeight="1" x14ac:dyDescent="0.35">
      <c r="A1511" s="3" t="s">
        <v>1941</v>
      </c>
      <c r="B1511" s="4">
        <v>45605</v>
      </c>
      <c r="C1511" s="3" t="s">
        <v>795</v>
      </c>
      <c r="D1511" s="3" t="s">
        <v>198</v>
      </c>
      <c r="E1511" s="3" t="s">
        <v>50</v>
      </c>
      <c r="F1511" s="5">
        <v>6</v>
      </c>
      <c r="G1511" s="5">
        <v>1540</v>
      </c>
      <c r="H1511" s="5">
        <v>17.100000000000001</v>
      </c>
      <c r="I1511" s="5">
        <v>7659.96</v>
      </c>
      <c r="J1511" s="3" t="s">
        <v>26</v>
      </c>
      <c r="K1511" s="3" t="s">
        <v>27</v>
      </c>
      <c r="L1511" t="str">
        <f>IFERROR(VLOOKUP(D1511,Products!$A$2:$F$61,3,FALSE()),"")</f>
        <v>Beauty</v>
      </c>
      <c r="M1511" t="str">
        <f>IFERROR(VLOOKUP(E1511,Sales_Reps!$A$2:$C$31,3,FALSE()),"")</f>
        <v>West</v>
      </c>
      <c r="N1511">
        <f>IFERROR(VLOOKUP(D1511,Products!$A$2:$F$61,4,FALSE()),"")</f>
        <v>647</v>
      </c>
      <c r="O1511" t="str">
        <f>IFERROR(VLOOKUP(C1511,Customers!$A$2:$F$301,5,FALSE()),"")</f>
        <v>SMB</v>
      </c>
      <c r="P1511">
        <f>IFERROR(VLOOKUP(C1511,Customers!$A$2:$F$301,3,FALSE()),"")</f>
        <v>59</v>
      </c>
      <c r="Q1511">
        <f t="shared" si="69"/>
        <v>0.57987012987012987</v>
      </c>
      <c r="R1511">
        <f>IF(AND(COUNTIF($A$2:$A$2047,A1511)&gt;1,COUNTIF($A$2:A1511,A1511)=1),1,0)</f>
        <v>0</v>
      </c>
      <c r="S1511" t="b">
        <f>IFERROR(VLOOKUP(D1511,Products!$A$2:$F$61,6,FALSE()),"")</f>
        <v>0</v>
      </c>
      <c r="T1511" t="str">
        <f>IF(COUNTIF(Customers!$A$2:$A$301,C1511)=0,"Missing","OK")</f>
        <v>OK</v>
      </c>
      <c r="U1511" t="str">
        <f t="shared" si="70"/>
        <v>Pune</v>
      </c>
      <c r="V1511">
        <f t="shared" si="71"/>
        <v>0</v>
      </c>
    </row>
    <row r="1512" spans="1:22" ht="15" customHeight="1" x14ac:dyDescent="0.35">
      <c r="A1512" s="3" t="s">
        <v>1942</v>
      </c>
      <c r="B1512" s="4">
        <v>45556</v>
      </c>
      <c r="C1512" s="3" t="s">
        <v>1943</v>
      </c>
      <c r="D1512" s="3" t="s">
        <v>112</v>
      </c>
      <c r="E1512" s="3" t="s">
        <v>191</v>
      </c>
      <c r="F1512" s="5">
        <v>6</v>
      </c>
      <c r="G1512" s="5">
        <v>2720</v>
      </c>
      <c r="H1512" s="5">
        <v>28.1</v>
      </c>
      <c r="I1512" s="5">
        <v>11734.08</v>
      </c>
      <c r="J1512" s="3" t="s">
        <v>26</v>
      </c>
      <c r="K1512" s="3" t="s">
        <v>51</v>
      </c>
      <c r="L1512" t="str">
        <f>IFERROR(VLOOKUP(D1512,Products!$A$2:$F$61,3,FALSE()),"")</f>
        <v>Apparel</v>
      </c>
      <c r="M1512" t="str">
        <f>IFERROR(VLOOKUP(E1512,Sales_Reps!$A$2:$C$31,3,FALSE()),"")</f>
        <v>South</v>
      </c>
      <c r="N1512">
        <f>IFERROR(VLOOKUP(D1512,Products!$A$2:$F$61,4,FALSE()),"")</f>
        <v>1962</v>
      </c>
      <c r="O1512" t="str">
        <f>IFERROR(VLOOKUP(C1512,Customers!$A$2:$F$301,5,FALSE()),"")</f>
        <v/>
      </c>
      <c r="P1512" t="str">
        <f>IFERROR(VLOOKUP(C1512,Customers!$A$2:$F$301,3,FALSE()),"")</f>
        <v/>
      </c>
      <c r="Q1512">
        <f t="shared" si="69"/>
        <v>0.2786764705882353</v>
      </c>
      <c r="R1512">
        <f>IF(AND(COUNTIF($A$2:$A$2047,A1512)&gt;1,COUNTIF($A$2:A1512,A1512)=1),1,0)</f>
        <v>0</v>
      </c>
      <c r="S1512" t="b">
        <f>IFERROR(VLOOKUP(D1512,Products!$A$2:$F$61,6,FALSE()),"")</f>
        <v>1</v>
      </c>
      <c r="T1512" t="str">
        <f>IF(COUNTIF(Customers!$A$2:$A$301,C1512)=0,"Missing","OK")</f>
        <v>Missing</v>
      </c>
      <c r="U1512" t="str">
        <f t="shared" si="70"/>
        <v>Mumbai</v>
      </c>
      <c r="V1512">
        <f t="shared" si="71"/>
        <v>0</v>
      </c>
    </row>
    <row r="1513" spans="1:22" ht="15" customHeight="1" x14ac:dyDescent="0.35">
      <c r="A1513" s="3" t="s">
        <v>1944</v>
      </c>
      <c r="B1513" s="4">
        <v>45569</v>
      </c>
      <c r="C1513" s="3" t="s">
        <v>195</v>
      </c>
      <c r="D1513" s="3" t="s">
        <v>382</v>
      </c>
      <c r="E1513" s="3" t="s">
        <v>31</v>
      </c>
      <c r="F1513" s="5">
        <v>2</v>
      </c>
      <c r="G1513" s="5">
        <v>5080</v>
      </c>
      <c r="H1513" s="5">
        <v>11.1</v>
      </c>
      <c r="I1513" s="5">
        <v>9032.24</v>
      </c>
      <c r="J1513" s="3" t="s">
        <v>26</v>
      </c>
      <c r="K1513" s="3" t="s">
        <v>72</v>
      </c>
      <c r="L1513" t="str">
        <f>IFERROR(VLOOKUP(D1513,Products!$A$2:$F$61,3,FALSE()),"")</f>
        <v>Home</v>
      </c>
      <c r="M1513" t="str">
        <f>IFERROR(VLOOKUP(E1513,Sales_Reps!$A$2:$C$31,3,FALSE()),"")</f>
        <v>North</v>
      </c>
      <c r="N1513">
        <f>IFERROR(VLOOKUP(D1513,Products!$A$2:$F$61,4,FALSE()),"")</f>
        <v>2459</v>
      </c>
      <c r="O1513" t="str">
        <f>IFERROR(VLOOKUP(C1513,Customers!$A$2:$F$301,5,FALSE()),"")</f>
        <v>Retail</v>
      </c>
      <c r="P1513">
        <f>IFERROR(VLOOKUP(C1513,Customers!$A$2:$F$301,3,FALSE()),"")</f>
        <v>27</v>
      </c>
      <c r="Q1513">
        <f t="shared" si="69"/>
        <v>0.51594488188976373</v>
      </c>
      <c r="R1513">
        <f>IF(AND(COUNTIF($A$2:$A$2047,A1513)&gt;1,COUNTIF($A$2:A1513,A1513)=1),1,0)</f>
        <v>0</v>
      </c>
      <c r="S1513" t="b">
        <f>IFERROR(VLOOKUP(D1513,Products!$A$2:$F$61,6,FALSE()),"")</f>
        <v>1</v>
      </c>
      <c r="T1513" t="str">
        <f>IF(COUNTIF(Customers!$A$2:$A$301,C1513)=0,"Missing","OK")</f>
        <v>OK</v>
      </c>
      <c r="U1513" t="str">
        <f t="shared" si="70"/>
        <v>Hyderabad</v>
      </c>
      <c r="V1513">
        <f t="shared" si="71"/>
        <v>0</v>
      </c>
    </row>
    <row r="1514" spans="1:22" ht="15" customHeight="1" x14ac:dyDescent="0.35">
      <c r="A1514" s="3" t="s">
        <v>1945</v>
      </c>
      <c r="B1514" s="4">
        <v>45329</v>
      </c>
      <c r="C1514" s="3" t="s">
        <v>1946</v>
      </c>
      <c r="D1514" s="3" t="s">
        <v>231</v>
      </c>
      <c r="E1514" s="3" t="s">
        <v>46</v>
      </c>
      <c r="F1514" s="5">
        <v>5</v>
      </c>
      <c r="G1514" s="5">
        <v>620</v>
      </c>
      <c r="H1514" s="5">
        <v>10.9</v>
      </c>
      <c r="I1514" s="5">
        <v>2762.1</v>
      </c>
      <c r="J1514" s="3" t="s">
        <v>32</v>
      </c>
      <c r="K1514" s="3" t="s">
        <v>33</v>
      </c>
      <c r="L1514" t="str">
        <f>IFERROR(VLOOKUP(D1514,Products!$A$2:$F$61,3,FALSE()),"")</f>
        <v>Apparel</v>
      </c>
      <c r="M1514" t="str">
        <f>IFERROR(VLOOKUP(E1514,Sales_Reps!$A$2:$C$31,3,FALSE()),"")</f>
        <v>North</v>
      </c>
      <c r="N1514">
        <f>IFERROR(VLOOKUP(D1514,Products!$A$2:$F$61,4,FALSE()),"")</f>
        <v>396</v>
      </c>
      <c r="O1514" t="str">
        <f>IFERROR(VLOOKUP(C1514,Customers!$A$2:$F$301,5,FALSE()),"")</f>
        <v/>
      </c>
      <c r="P1514" t="str">
        <f>IFERROR(VLOOKUP(C1514,Customers!$A$2:$F$301,3,FALSE()),"")</f>
        <v/>
      </c>
      <c r="Q1514">
        <f t="shared" si="69"/>
        <v>0.36129032258064514</v>
      </c>
      <c r="R1514">
        <f>IF(AND(COUNTIF($A$2:$A$2047,A1514)&gt;1,COUNTIF($A$2:A1514,A1514)=1),1,0)</f>
        <v>0</v>
      </c>
      <c r="S1514" t="b">
        <f>IFERROR(VLOOKUP(D1514,Products!$A$2:$F$61,6,FALSE()),"")</f>
        <v>1</v>
      </c>
      <c r="T1514" t="str">
        <f>IF(COUNTIF(Customers!$A$2:$A$301,C1514)=0,"Missing","OK")</f>
        <v>Missing</v>
      </c>
      <c r="U1514" t="str">
        <f t="shared" si="70"/>
        <v>Chennai</v>
      </c>
      <c r="V1514">
        <f t="shared" si="71"/>
        <v>0</v>
      </c>
    </row>
    <row r="1515" spans="1:22" ht="15" customHeight="1" x14ac:dyDescent="0.35">
      <c r="A1515" s="3" t="s">
        <v>1947</v>
      </c>
      <c r="B1515" s="4">
        <v>45377</v>
      </c>
      <c r="C1515" s="3" t="s">
        <v>247</v>
      </c>
      <c r="D1515" s="3" t="s">
        <v>106</v>
      </c>
      <c r="E1515" s="3" t="s">
        <v>87</v>
      </c>
      <c r="F1515" s="5">
        <v>3</v>
      </c>
      <c r="G1515" s="5">
        <v>2480</v>
      </c>
      <c r="H1515" s="5">
        <v>5</v>
      </c>
      <c r="I1515" s="5">
        <v>7068</v>
      </c>
      <c r="J1515" s="3" t="s">
        <v>26</v>
      </c>
      <c r="K1515" s="3" t="s">
        <v>27</v>
      </c>
      <c r="L1515" t="str">
        <f>IFERROR(VLOOKUP(D1515,Products!$A$2:$F$61,3,FALSE()),"")</f>
        <v>Apparel</v>
      </c>
      <c r="M1515" t="str">
        <f>IFERROR(VLOOKUP(E1515,Sales_Reps!$A$2:$C$31,3,FALSE()),"")</f>
        <v>North</v>
      </c>
      <c r="N1515">
        <f>IFERROR(VLOOKUP(D1515,Products!$A$2:$F$61,4,FALSE()),"")</f>
        <v>1173</v>
      </c>
      <c r="O1515" t="str">
        <f>IFERROR(VLOOKUP(C1515,Customers!$A$2:$F$301,5,FALSE()),"")</f>
        <v>SMB</v>
      </c>
      <c r="P1515">
        <f>IFERROR(VLOOKUP(C1515,Customers!$A$2:$F$301,3,FALSE()),"")</f>
        <v>54</v>
      </c>
      <c r="Q1515">
        <f t="shared" si="69"/>
        <v>0.52701612903225803</v>
      </c>
      <c r="R1515">
        <f>IF(AND(COUNTIF($A$2:$A$2047,A1515)&gt;1,COUNTIF($A$2:A1515,A1515)=1),1,0)</f>
        <v>0</v>
      </c>
      <c r="S1515" t="b">
        <f>IFERROR(VLOOKUP(D1515,Products!$A$2:$F$61,6,FALSE()),"")</f>
        <v>1</v>
      </c>
      <c r="T1515" t="str">
        <f>IF(COUNTIF(Customers!$A$2:$A$301,C1515)=0,"Missing","OK")</f>
        <v>OK</v>
      </c>
      <c r="U1515" t="str">
        <f t="shared" si="70"/>
        <v>Pune</v>
      </c>
      <c r="V1515">
        <f t="shared" si="71"/>
        <v>0</v>
      </c>
    </row>
    <row r="1516" spans="1:22" ht="15" customHeight="1" x14ac:dyDescent="0.35">
      <c r="A1516" s="3" t="s">
        <v>1948</v>
      </c>
      <c r="B1516" s="4">
        <v>45537</v>
      </c>
      <c r="C1516" s="3" t="s">
        <v>463</v>
      </c>
      <c r="D1516" s="3" t="s">
        <v>121</v>
      </c>
      <c r="E1516" s="3" t="s">
        <v>31</v>
      </c>
      <c r="F1516" s="5">
        <v>9</v>
      </c>
      <c r="G1516" s="5">
        <v>1010</v>
      </c>
      <c r="H1516" s="5">
        <v>21.9</v>
      </c>
      <c r="I1516" s="5">
        <v>7099.29</v>
      </c>
      <c r="J1516" s="3" t="s">
        <v>26</v>
      </c>
      <c r="K1516" s="3" t="s">
        <v>51</v>
      </c>
      <c r="L1516" t="str">
        <f>IFERROR(VLOOKUP(D1516,Products!$A$2:$F$61,3,FALSE()),"")</f>
        <v>Sports</v>
      </c>
      <c r="M1516" t="str">
        <f>IFERROR(VLOOKUP(E1516,Sales_Reps!$A$2:$C$31,3,FALSE()),"")</f>
        <v>North</v>
      </c>
      <c r="N1516">
        <f>IFERROR(VLOOKUP(D1516,Products!$A$2:$F$61,4,FALSE()),"")</f>
        <v>516</v>
      </c>
      <c r="O1516" t="str">
        <f>IFERROR(VLOOKUP(C1516,Customers!$A$2:$F$301,5,FALSE()),"")</f>
        <v>Corporate</v>
      </c>
      <c r="P1516">
        <f>IFERROR(VLOOKUP(C1516,Customers!$A$2:$F$301,3,FALSE()),"")</f>
        <v>55</v>
      </c>
      <c r="Q1516">
        <f t="shared" si="69"/>
        <v>0.4891089108910891</v>
      </c>
      <c r="R1516">
        <f>IF(AND(COUNTIF($A$2:$A$2047,A1516)&gt;1,COUNTIF($A$2:A1516,A1516)=1),1,0)</f>
        <v>0</v>
      </c>
      <c r="S1516" t="b">
        <f>IFERROR(VLOOKUP(D1516,Products!$A$2:$F$61,6,FALSE()),"")</f>
        <v>1</v>
      </c>
      <c r="T1516" t="str">
        <f>IF(COUNTIF(Customers!$A$2:$A$301,C1516)=0,"Missing","OK")</f>
        <v>OK</v>
      </c>
      <c r="U1516" t="str">
        <f t="shared" si="70"/>
        <v>Mumbai</v>
      </c>
      <c r="V1516">
        <f t="shared" si="71"/>
        <v>0</v>
      </c>
    </row>
    <row r="1517" spans="1:22" ht="15" customHeight="1" x14ac:dyDescent="0.35">
      <c r="A1517" s="3" t="s">
        <v>1949</v>
      </c>
      <c r="B1517" s="4">
        <v>45550</v>
      </c>
      <c r="C1517" s="3" t="s">
        <v>352</v>
      </c>
      <c r="D1517" s="3" t="s">
        <v>103</v>
      </c>
      <c r="E1517" s="3" t="s">
        <v>78</v>
      </c>
      <c r="F1517" s="5">
        <v>2</v>
      </c>
      <c r="G1517" s="5">
        <v>1080</v>
      </c>
      <c r="H1517" s="5">
        <v>8.5</v>
      </c>
      <c r="I1517" s="5">
        <v>1976.4</v>
      </c>
      <c r="J1517" s="3" t="s">
        <v>26</v>
      </c>
      <c r="K1517" s="3" t="s">
        <v>27</v>
      </c>
      <c r="L1517" t="str">
        <f>IFERROR(VLOOKUP(D1517,Products!$A$2:$F$61,3,FALSE()),"")</f>
        <v>Home</v>
      </c>
      <c r="M1517" t="str">
        <f>IFERROR(VLOOKUP(E1517,Sales_Reps!$A$2:$C$31,3,FALSE()),"")</f>
        <v>North</v>
      </c>
      <c r="N1517">
        <f>IFERROR(VLOOKUP(D1517,Products!$A$2:$F$61,4,FALSE()),"")</f>
        <v>519</v>
      </c>
      <c r="O1517" t="str">
        <f>IFERROR(VLOOKUP(C1517,Customers!$A$2:$F$301,5,FALSE()),"")</f>
        <v>Retail</v>
      </c>
      <c r="P1517">
        <f>IFERROR(VLOOKUP(C1517,Customers!$A$2:$F$301,3,FALSE()),"")</f>
        <v>22</v>
      </c>
      <c r="Q1517">
        <f t="shared" si="69"/>
        <v>0.51944444444444449</v>
      </c>
      <c r="R1517">
        <f>IF(AND(COUNTIF($A$2:$A$2047,A1517)&gt;1,COUNTIF($A$2:A1517,A1517)=1),1,0)</f>
        <v>0</v>
      </c>
      <c r="S1517" t="b">
        <f>IFERROR(VLOOKUP(D1517,Products!$A$2:$F$61,6,FALSE()),"")</f>
        <v>1</v>
      </c>
      <c r="T1517" t="str">
        <f>IF(COUNTIF(Customers!$A$2:$A$301,C1517)=0,"Missing","OK")</f>
        <v>OK</v>
      </c>
      <c r="U1517" t="str">
        <f t="shared" si="70"/>
        <v>Pune</v>
      </c>
      <c r="V1517">
        <f t="shared" si="71"/>
        <v>0</v>
      </c>
    </row>
    <row r="1518" spans="1:22" ht="15" customHeight="1" x14ac:dyDescent="0.35">
      <c r="A1518" s="3" t="s">
        <v>1950</v>
      </c>
      <c r="B1518" s="4">
        <v>45325</v>
      </c>
      <c r="C1518" s="3" t="s">
        <v>162</v>
      </c>
      <c r="D1518" s="3" t="s">
        <v>36</v>
      </c>
      <c r="E1518" s="3" t="s">
        <v>50</v>
      </c>
      <c r="F1518" s="5">
        <v>5</v>
      </c>
      <c r="G1518" s="5">
        <v>470</v>
      </c>
      <c r="H1518" s="5">
        <v>8</v>
      </c>
      <c r="I1518" s="5">
        <v>2162</v>
      </c>
      <c r="J1518" s="3" t="s">
        <v>26</v>
      </c>
      <c r="K1518" s="3" t="s">
        <v>38</v>
      </c>
      <c r="L1518" t="str">
        <f>IFERROR(VLOOKUP(D1518,Products!$A$2:$F$61,3,FALSE()),"")</f>
        <v>Sports</v>
      </c>
      <c r="M1518" t="str">
        <f>IFERROR(VLOOKUP(E1518,Sales_Reps!$A$2:$C$31,3,FALSE()),"")</f>
        <v>West</v>
      </c>
      <c r="N1518">
        <f>IFERROR(VLOOKUP(D1518,Products!$A$2:$F$61,4,FALSE()),"")</f>
        <v>302</v>
      </c>
      <c r="O1518" t="str">
        <f>IFERROR(VLOOKUP(C1518,Customers!$A$2:$F$301,5,FALSE()),"")</f>
        <v>Retail</v>
      </c>
      <c r="P1518">
        <f>IFERROR(VLOOKUP(C1518,Customers!$A$2:$F$301,3,FALSE()),"")</f>
        <v>53</v>
      </c>
      <c r="Q1518">
        <f t="shared" si="69"/>
        <v>0.35744680851063831</v>
      </c>
      <c r="R1518">
        <f>IF(AND(COUNTIF($A$2:$A$2047,A1518)&gt;1,COUNTIF($A$2:A1518,A1518)=1),1,0)</f>
        <v>0</v>
      </c>
      <c r="S1518" t="b">
        <f>IFERROR(VLOOKUP(D1518,Products!$A$2:$F$61,6,FALSE()),"")</f>
        <v>0</v>
      </c>
      <c r="T1518" t="str">
        <f>IF(COUNTIF(Customers!$A$2:$A$301,C1518)=0,"Missing","OK")</f>
        <v>OK</v>
      </c>
      <c r="U1518" t="str">
        <f t="shared" si="70"/>
        <v>Delhi</v>
      </c>
      <c r="V1518">
        <f t="shared" si="71"/>
        <v>0</v>
      </c>
    </row>
    <row r="1519" spans="1:22" ht="15" customHeight="1" x14ac:dyDescent="0.35">
      <c r="A1519" s="3" t="s">
        <v>1951</v>
      </c>
      <c r="B1519" s="4">
        <v>45375</v>
      </c>
      <c r="C1519" s="3" t="s">
        <v>279</v>
      </c>
      <c r="D1519" s="3" t="s">
        <v>347</v>
      </c>
      <c r="E1519" s="3" t="s">
        <v>131</v>
      </c>
      <c r="F1519" s="5">
        <v>9</v>
      </c>
      <c r="G1519" s="5">
        <v>3970</v>
      </c>
      <c r="H1519" s="5">
        <v>18.5</v>
      </c>
      <c r="I1519" s="5">
        <v>29119.95</v>
      </c>
      <c r="J1519" s="3" t="s">
        <v>26</v>
      </c>
      <c r="K1519" s="3" t="s">
        <v>27</v>
      </c>
      <c r="L1519" t="str">
        <f>IFERROR(VLOOKUP(D1519,Products!$A$2:$F$61,3,FALSE()),"")</f>
        <v>Electronics</v>
      </c>
      <c r="M1519" t="str">
        <f>IFERROR(VLOOKUP(E1519,Sales_Reps!$A$2:$C$31,3,FALSE()),"")</f>
        <v>East</v>
      </c>
      <c r="N1519">
        <f>IFERROR(VLOOKUP(D1519,Products!$A$2:$F$61,4,FALSE()),"")</f>
        <v>2865</v>
      </c>
      <c r="O1519" t="str">
        <f>IFERROR(VLOOKUP(C1519,Customers!$A$2:$F$301,5,FALSE()),"")</f>
        <v>Retail</v>
      </c>
      <c r="P1519">
        <f>IFERROR(VLOOKUP(C1519,Customers!$A$2:$F$301,3,FALSE()),"")</f>
        <v>25</v>
      </c>
      <c r="Q1519">
        <f t="shared" si="69"/>
        <v>0.27833753148614609</v>
      </c>
      <c r="R1519">
        <f>IF(AND(COUNTIF($A$2:$A$2047,A1519)&gt;1,COUNTIF($A$2:A1519,A1519)=1),1,0)</f>
        <v>0</v>
      </c>
      <c r="S1519" t="b">
        <f>IFERROR(VLOOKUP(D1519,Products!$A$2:$F$61,6,FALSE()),"")</f>
        <v>1</v>
      </c>
      <c r="T1519" t="str">
        <f>IF(COUNTIF(Customers!$A$2:$A$301,C1519)=0,"Missing","OK")</f>
        <v>OK</v>
      </c>
      <c r="U1519" t="str">
        <f t="shared" si="70"/>
        <v>Pune</v>
      </c>
      <c r="V1519">
        <f t="shared" si="71"/>
        <v>0</v>
      </c>
    </row>
    <row r="1520" spans="1:22" ht="15" customHeight="1" x14ac:dyDescent="0.35">
      <c r="A1520" s="3" t="s">
        <v>1952</v>
      </c>
      <c r="B1520" s="4">
        <v>45614</v>
      </c>
      <c r="C1520" s="3" t="s">
        <v>1173</v>
      </c>
      <c r="D1520" s="3" t="s">
        <v>115</v>
      </c>
      <c r="E1520" s="3" t="s">
        <v>71</v>
      </c>
      <c r="F1520" s="5">
        <v>9</v>
      </c>
      <c r="G1520" s="5">
        <v>1650</v>
      </c>
      <c r="H1520" s="5">
        <v>19.5</v>
      </c>
      <c r="I1520" s="5">
        <v>11954.25</v>
      </c>
      <c r="J1520" s="3" t="s">
        <v>26</v>
      </c>
      <c r="K1520" s="3" t="s">
        <v>51</v>
      </c>
      <c r="L1520" t="str">
        <f>IFERROR(VLOOKUP(D1520,Products!$A$2:$F$61,3,FALSE()),"")</f>
        <v>Beauty</v>
      </c>
      <c r="M1520" t="str">
        <f>IFERROR(VLOOKUP(E1520,Sales_Reps!$A$2:$C$31,3,FALSE()),"")</f>
        <v>South</v>
      </c>
      <c r="N1520">
        <f>IFERROR(VLOOKUP(D1520,Products!$A$2:$F$61,4,FALSE()),"")</f>
        <v>1222</v>
      </c>
      <c r="O1520" t="str">
        <f>IFERROR(VLOOKUP(C1520,Customers!$A$2:$F$301,5,FALSE()),"")</f>
        <v>Retail</v>
      </c>
      <c r="P1520">
        <f>IFERROR(VLOOKUP(C1520,Customers!$A$2:$F$301,3,FALSE()),"")</f>
        <v>29</v>
      </c>
      <c r="Q1520">
        <f t="shared" si="69"/>
        <v>0.2593939393939394</v>
      </c>
      <c r="R1520">
        <f>IF(AND(COUNTIF($A$2:$A$2047,A1520)&gt;1,COUNTIF($A$2:A1520,A1520)=1),1,0)</f>
        <v>0</v>
      </c>
      <c r="S1520" t="b">
        <f>IFERROR(VLOOKUP(D1520,Products!$A$2:$F$61,6,FALSE()),"")</f>
        <v>1</v>
      </c>
      <c r="T1520" t="str">
        <f>IF(COUNTIF(Customers!$A$2:$A$301,C1520)=0,"Missing","OK")</f>
        <v>OK</v>
      </c>
      <c r="U1520" t="str">
        <f t="shared" si="70"/>
        <v>Mumbai</v>
      </c>
      <c r="V1520">
        <f t="shared" si="71"/>
        <v>0</v>
      </c>
    </row>
    <row r="1521" spans="1:22" ht="15" customHeight="1" x14ac:dyDescent="0.35">
      <c r="A1521" s="3" t="s">
        <v>1953</v>
      </c>
      <c r="B1521" s="4">
        <v>45364</v>
      </c>
      <c r="C1521" s="3" t="s">
        <v>608</v>
      </c>
      <c r="D1521" s="3" t="s">
        <v>118</v>
      </c>
      <c r="E1521" s="3" t="s">
        <v>42</v>
      </c>
      <c r="F1521" s="5">
        <v>9</v>
      </c>
      <c r="G1521" s="5">
        <v>3350</v>
      </c>
      <c r="H1521" s="5">
        <v>4.0999999999999996</v>
      </c>
      <c r="I1521" s="5">
        <v>28913.85</v>
      </c>
      <c r="J1521" s="3" t="s">
        <v>26</v>
      </c>
      <c r="K1521" s="3" t="s">
        <v>72</v>
      </c>
      <c r="L1521" t="str">
        <f>IFERROR(VLOOKUP(D1521,Products!$A$2:$F$61,3,FALSE()),"")</f>
        <v>Beauty</v>
      </c>
      <c r="M1521" t="str">
        <f>IFERROR(VLOOKUP(E1521,Sales_Reps!$A$2:$C$31,3,FALSE()),"")</f>
        <v>North</v>
      </c>
      <c r="N1521">
        <f>IFERROR(VLOOKUP(D1521,Products!$A$2:$F$61,4,FALSE()),"")</f>
        <v>1728</v>
      </c>
      <c r="O1521" t="str">
        <f>IFERROR(VLOOKUP(C1521,Customers!$A$2:$F$301,5,FALSE()),"")</f>
        <v>Retail</v>
      </c>
      <c r="P1521">
        <f>IFERROR(VLOOKUP(C1521,Customers!$A$2:$F$301,3,FALSE()),"")</f>
        <v>31</v>
      </c>
      <c r="Q1521">
        <f t="shared" si="69"/>
        <v>0.48417910447761192</v>
      </c>
      <c r="R1521">
        <f>IF(AND(COUNTIF($A$2:$A$2047,A1521)&gt;1,COUNTIF($A$2:A1521,A1521)=1),1,0)</f>
        <v>0</v>
      </c>
      <c r="S1521" t="b">
        <f>IFERROR(VLOOKUP(D1521,Products!$A$2:$F$61,6,FALSE()),"")</f>
        <v>1</v>
      </c>
      <c r="T1521" t="str">
        <f>IF(COUNTIF(Customers!$A$2:$A$301,C1521)=0,"Missing","OK")</f>
        <v>OK</v>
      </c>
      <c r="U1521" t="str">
        <f t="shared" si="70"/>
        <v>Hyderabad</v>
      </c>
      <c r="V1521">
        <f t="shared" si="71"/>
        <v>0</v>
      </c>
    </row>
    <row r="1522" spans="1:22" ht="15" customHeight="1" x14ac:dyDescent="0.35">
      <c r="A1522" s="3" t="s">
        <v>1954</v>
      </c>
      <c r="B1522" s="4">
        <v>45342</v>
      </c>
      <c r="C1522" s="3" t="s">
        <v>205</v>
      </c>
      <c r="D1522" s="3" t="s">
        <v>347</v>
      </c>
      <c r="E1522" s="3" t="s">
        <v>93</v>
      </c>
      <c r="F1522" s="5">
        <v>7</v>
      </c>
      <c r="G1522" s="5">
        <v>3970</v>
      </c>
      <c r="H1522" s="5">
        <v>15.6</v>
      </c>
      <c r="I1522" s="5">
        <v>23454.76</v>
      </c>
      <c r="J1522" s="3" t="s">
        <v>26</v>
      </c>
      <c r="K1522" s="3" t="s">
        <v>38</v>
      </c>
      <c r="L1522" t="str">
        <f>IFERROR(VLOOKUP(D1522,Products!$A$2:$F$61,3,FALSE()),"")</f>
        <v>Electronics</v>
      </c>
      <c r="M1522" t="str">
        <f>IFERROR(VLOOKUP(E1522,Sales_Reps!$A$2:$C$31,3,FALSE()),"")</f>
        <v>East</v>
      </c>
      <c r="N1522">
        <f>IFERROR(VLOOKUP(D1522,Products!$A$2:$F$61,4,FALSE()),"")</f>
        <v>2865</v>
      </c>
      <c r="O1522" t="str">
        <f>IFERROR(VLOOKUP(C1522,Customers!$A$2:$F$301,5,FALSE()),"")</f>
        <v>Corporate</v>
      </c>
      <c r="P1522">
        <f>IFERROR(VLOOKUP(C1522,Customers!$A$2:$F$301,3,FALSE()),"")</f>
        <v>55</v>
      </c>
      <c r="Q1522">
        <f t="shared" si="69"/>
        <v>0.27833753148614609</v>
      </c>
      <c r="R1522">
        <f>IF(AND(COUNTIF($A$2:$A$2047,A1522)&gt;1,COUNTIF($A$2:A1522,A1522)=1),1,0)</f>
        <v>0</v>
      </c>
      <c r="S1522" t="b">
        <f>IFERROR(VLOOKUP(D1522,Products!$A$2:$F$61,6,FALSE()),"")</f>
        <v>1</v>
      </c>
      <c r="T1522" t="str">
        <f>IF(COUNTIF(Customers!$A$2:$A$301,C1522)=0,"Missing","OK")</f>
        <v>OK</v>
      </c>
      <c r="U1522" t="str">
        <f t="shared" si="70"/>
        <v>Delhi</v>
      </c>
      <c r="V1522">
        <f t="shared" si="71"/>
        <v>0</v>
      </c>
    </row>
    <row r="1523" spans="1:22" ht="15" customHeight="1" x14ac:dyDescent="0.35">
      <c r="A1523" s="3" t="s">
        <v>1955</v>
      </c>
      <c r="B1523" s="4">
        <v>45454</v>
      </c>
      <c r="C1523" s="3" t="s">
        <v>677</v>
      </c>
      <c r="D1523" s="3" t="s">
        <v>173</v>
      </c>
      <c r="E1523" s="3" t="s">
        <v>242</v>
      </c>
      <c r="F1523" s="5">
        <v>7</v>
      </c>
      <c r="G1523" s="5">
        <v>3780</v>
      </c>
      <c r="H1523" s="5">
        <v>18.7</v>
      </c>
      <c r="I1523" s="5">
        <v>21511.98</v>
      </c>
      <c r="J1523" s="3" t="s">
        <v>26</v>
      </c>
      <c r="K1523" s="3" t="s">
        <v>27</v>
      </c>
      <c r="L1523" t="str">
        <f>IFERROR(VLOOKUP(D1523,Products!$A$2:$F$61,3,FALSE()),"")</f>
        <v>Grocery</v>
      </c>
      <c r="M1523" t="str">
        <f>IFERROR(VLOOKUP(E1523,Sales_Reps!$A$2:$C$31,3,FALSE()),"")</f>
        <v>East</v>
      </c>
      <c r="N1523">
        <f>IFERROR(VLOOKUP(D1523,Products!$A$2:$F$61,4,FALSE()),"")</f>
        <v>2436</v>
      </c>
      <c r="O1523" t="str">
        <f>IFERROR(VLOOKUP(C1523,Customers!$A$2:$F$301,5,FALSE()),"")</f>
        <v>Retail</v>
      </c>
      <c r="P1523">
        <f>IFERROR(VLOOKUP(C1523,Customers!$A$2:$F$301,3,FALSE()),"")</f>
        <v>36</v>
      </c>
      <c r="Q1523">
        <f t="shared" si="69"/>
        <v>0.35555555555555557</v>
      </c>
      <c r="R1523">
        <f>IF(AND(COUNTIF($A$2:$A$2047,A1523)&gt;1,COUNTIF($A$2:A1523,A1523)=1),1,0)</f>
        <v>0</v>
      </c>
      <c r="S1523" t="b">
        <f>IFERROR(VLOOKUP(D1523,Products!$A$2:$F$61,6,FALSE()),"")</f>
        <v>1</v>
      </c>
      <c r="T1523" t="str">
        <f>IF(COUNTIF(Customers!$A$2:$A$301,C1523)=0,"Missing","OK")</f>
        <v>OK</v>
      </c>
      <c r="U1523" t="str">
        <f t="shared" si="70"/>
        <v>Pune</v>
      </c>
      <c r="V1523">
        <f t="shared" si="71"/>
        <v>0</v>
      </c>
    </row>
    <row r="1524" spans="1:22" ht="15" customHeight="1" x14ac:dyDescent="0.35">
      <c r="A1524" s="3" t="s">
        <v>1956</v>
      </c>
      <c r="B1524" s="4">
        <v>45625</v>
      </c>
      <c r="C1524" s="3" t="s">
        <v>574</v>
      </c>
      <c r="D1524" s="3" t="s">
        <v>30</v>
      </c>
      <c r="E1524" s="3" t="s">
        <v>191</v>
      </c>
      <c r="F1524" s="5">
        <v>4</v>
      </c>
      <c r="G1524" s="5">
        <v>820</v>
      </c>
      <c r="H1524" s="5">
        <v>18.8</v>
      </c>
      <c r="I1524" s="5">
        <v>2663.36</v>
      </c>
      <c r="J1524" s="3" t="s">
        <v>79</v>
      </c>
      <c r="K1524" s="3" t="s">
        <v>38</v>
      </c>
      <c r="L1524" t="str">
        <f>IFERROR(VLOOKUP(D1524,Products!$A$2:$F$61,3,FALSE()),"")</f>
        <v>Apparel</v>
      </c>
      <c r="M1524" t="str">
        <f>IFERROR(VLOOKUP(E1524,Sales_Reps!$A$2:$C$31,3,FALSE()),"")</f>
        <v>South</v>
      </c>
      <c r="N1524">
        <f>IFERROR(VLOOKUP(D1524,Products!$A$2:$F$61,4,FALSE()),"")</f>
        <v>391</v>
      </c>
      <c r="O1524" t="str">
        <f>IFERROR(VLOOKUP(C1524,Customers!$A$2:$F$301,5,FALSE()),"")</f>
        <v>Retail</v>
      </c>
      <c r="P1524">
        <f>IFERROR(VLOOKUP(C1524,Customers!$A$2:$F$301,3,FALSE()),"")</f>
        <v>49</v>
      </c>
      <c r="Q1524">
        <f t="shared" si="69"/>
        <v>0.52317073170731709</v>
      </c>
      <c r="R1524">
        <f>IF(AND(COUNTIF($A$2:$A$2047,A1524)&gt;1,COUNTIF($A$2:A1524,A1524)=1),1,0)</f>
        <v>0</v>
      </c>
      <c r="S1524" t="b">
        <f>IFERROR(VLOOKUP(D1524,Products!$A$2:$F$61,6,FALSE()),"")</f>
        <v>1</v>
      </c>
      <c r="T1524" t="str">
        <f>IF(COUNTIF(Customers!$A$2:$A$301,C1524)=0,"Missing","OK")</f>
        <v>OK</v>
      </c>
      <c r="U1524" t="str">
        <f t="shared" si="70"/>
        <v>Delhi</v>
      </c>
      <c r="V1524">
        <f t="shared" si="71"/>
        <v>0</v>
      </c>
    </row>
    <row r="1525" spans="1:22" ht="15" customHeight="1" x14ac:dyDescent="0.35">
      <c r="A1525" s="3" t="s">
        <v>1957</v>
      </c>
      <c r="B1525" s="4">
        <v>45600</v>
      </c>
      <c r="C1525" s="3" t="s">
        <v>668</v>
      </c>
      <c r="D1525" s="3" t="s">
        <v>115</v>
      </c>
      <c r="E1525" s="3" t="s">
        <v>224</v>
      </c>
      <c r="F1525" s="5">
        <v>1</v>
      </c>
      <c r="G1525" s="5">
        <v>1650</v>
      </c>
      <c r="H1525" s="5">
        <v>18.8</v>
      </c>
      <c r="I1525" s="5">
        <v>1339.8</v>
      </c>
      <c r="J1525" s="3" t="s">
        <v>79</v>
      </c>
      <c r="K1525" s="3" t="s">
        <v>51</v>
      </c>
      <c r="L1525" t="str">
        <f>IFERROR(VLOOKUP(D1525,Products!$A$2:$F$61,3,FALSE()),"")</f>
        <v>Beauty</v>
      </c>
      <c r="M1525" t="str">
        <f>IFERROR(VLOOKUP(E1525,Sales_Reps!$A$2:$C$31,3,FALSE()),"")</f>
        <v>East</v>
      </c>
      <c r="N1525">
        <f>IFERROR(VLOOKUP(D1525,Products!$A$2:$F$61,4,FALSE()),"")</f>
        <v>1222</v>
      </c>
      <c r="O1525" t="str">
        <f>IFERROR(VLOOKUP(C1525,Customers!$A$2:$F$301,5,FALSE()),"")</f>
        <v>Retail</v>
      </c>
      <c r="P1525">
        <f>IFERROR(VLOOKUP(C1525,Customers!$A$2:$F$301,3,FALSE()),"")</f>
        <v>56</v>
      </c>
      <c r="Q1525">
        <f t="shared" si="69"/>
        <v>0.2593939393939394</v>
      </c>
      <c r="R1525">
        <f>IF(AND(COUNTIF($A$2:$A$2047,A1525)&gt;1,COUNTIF($A$2:A1525,A1525)=1),1,0)</f>
        <v>0</v>
      </c>
      <c r="S1525" t="b">
        <f>IFERROR(VLOOKUP(D1525,Products!$A$2:$F$61,6,FALSE()),"")</f>
        <v>1</v>
      </c>
      <c r="T1525" t="str">
        <f>IF(COUNTIF(Customers!$A$2:$A$301,C1525)=0,"Missing","OK")</f>
        <v>OK</v>
      </c>
      <c r="U1525" t="str">
        <f t="shared" si="70"/>
        <v>Mumbai</v>
      </c>
      <c r="V1525">
        <f t="shared" si="71"/>
        <v>0</v>
      </c>
    </row>
    <row r="1526" spans="1:22" ht="15" customHeight="1" x14ac:dyDescent="0.35">
      <c r="A1526" s="3" t="s">
        <v>1958</v>
      </c>
      <c r="B1526" s="4">
        <v>45397</v>
      </c>
      <c r="C1526" s="3" t="s">
        <v>279</v>
      </c>
      <c r="D1526" s="3" t="s">
        <v>173</v>
      </c>
      <c r="E1526" s="3" t="s">
        <v>97</v>
      </c>
      <c r="F1526" s="5">
        <v>2</v>
      </c>
      <c r="G1526" s="5">
        <v>3780</v>
      </c>
      <c r="H1526" s="5">
        <v>1</v>
      </c>
      <c r="I1526" s="5">
        <v>7484.4</v>
      </c>
      <c r="J1526" s="3" t="s">
        <v>83</v>
      </c>
      <c r="K1526" s="3" t="s">
        <v>27</v>
      </c>
      <c r="L1526" t="str">
        <f>IFERROR(VLOOKUP(D1526,Products!$A$2:$F$61,3,FALSE()),"")</f>
        <v>Grocery</v>
      </c>
      <c r="M1526" t="str">
        <f>IFERROR(VLOOKUP(E1526,Sales_Reps!$A$2:$C$31,3,FALSE()),"")</f>
        <v>East</v>
      </c>
      <c r="N1526">
        <f>IFERROR(VLOOKUP(D1526,Products!$A$2:$F$61,4,FALSE()),"")</f>
        <v>2436</v>
      </c>
      <c r="O1526" t="str">
        <f>IFERROR(VLOOKUP(C1526,Customers!$A$2:$F$301,5,FALSE()),"")</f>
        <v>Retail</v>
      </c>
      <c r="P1526">
        <f>IFERROR(VLOOKUP(C1526,Customers!$A$2:$F$301,3,FALSE()),"")</f>
        <v>25</v>
      </c>
      <c r="Q1526">
        <f t="shared" si="69"/>
        <v>0.35555555555555557</v>
      </c>
      <c r="R1526">
        <f>IF(AND(COUNTIF($A$2:$A$2047,A1526)&gt;1,COUNTIF($A$2:A1526,A1526)=1),1,0)</f>
        <v>0</v>
      </c>
      <c r="S1526" t="b">
        <f>IFERROR(VLOOKUP(D1526,Products!$A$2:$F$61,6,FALSE()),"")</f>
        <v>1</v>
      </c>
      <c r="T1526" t="str">
        <f>IF(COUNTIF(Customers!$A$2:$A$301,C1526)=0,"Missing","OK")</f>
        <v>OK</v>
      </c>
      <c r="U1526" t="str">
        <f t="shared" si="70"/>
        <v>Pune</v>
      </c>
      <c r="V1526">
        <f t="shared" si="71"/>
        <v>0</v>
      </c>
    </row>
    <row r="1527" spans="1:22" ht="15" customHeight="1" x14ac:dyDescent="0.35">
      <c r="A1527" s="3" t="s">
        <v>1959</v>
      </c>
      <c r="B1527" s="4">
        <v>45417</v>
      </c>
      <c r="C1527" s="3" t="s">
        <v>386</v>
      </c>
      <c r="D1527" s="3" t="s">
        <v>277</v>
      </c>
      <c r="E1527" s="3" t="s">
        <v>282</v>
      </c>
      <c r="F1527" s="5">
        <v>5</v>
      </c>
      <c r="G1527" s="5">
        <v>2210</v>
      </c>
      <c r="H1527" s="5">
        <v>16.600000000000001</v>
      </c>
      <c r="I1527" s="5">
        <v>9215.7000000000007</v>
      </c>
      <c r="J1527" s="3" t="s">
        <v>26</v>
      </c>
      <c r="K1527" s="3" t="s">
        <v>51</v>
      </c>
      <c r="L1527" t="str">
        <f>IFERROR(VLOOKUP(D1527,Products!$A$2:$F$61,3,FALSE()),"")</f>
        <v>Grocery</v>
      </c>
      <c r="M1527" t="str">
        <f>IFERROR(VLOOKUP(E1527,Sales_Reps!$A$2:$C$31,3,FALSE()),"")</f>
        <v>West</v>
      </c>
      <c r="N1527">
        <f>IFERROR(VLOOKUP(D1527,Products!$A$2:$F$61,4,FALSE()),"")</f>
        <v>1010</v>
      </c>
      <c r="O1527" t="str">
        <f>IFERROR(VLOOKUP(C1527,Customers!$A$2:$F$301,5,FALSE()),"")</f>
        <v>Retail</v>
      </c>
      <c r="P1527">
        <f>IFERROR(VLOOKUP(C1527,Customers!$A$2:$F$301,3,FALSE()),"")</f>
        <v>41</v>
      </c>
      <c r="Q1527">
        <f t="shared" si="69"/>
        <v>0.54298642533936647</v>
      </c>
      <c r="R1527">
        <f>IF(AND(COUNTIF($A$2:$A$2047,A1527)&gt;1,COUNTIF($A$2:A1527,A1527)=1),1,0)</f>
        <v>0</v>
      </c>
      <c r="S1527" t="b">
        <f>IFERROR(VLOOKUP(D1527,Products!$A$2:$F$61,6,FALSE()),"")</f>
        <v>1</v>
      </c>
      <c r="T1527" t="str">
        <f>IF(COUNTIF(Customers!$A$2:$A$301,C1527)=0,"Missing","OK")</f>
        <v>OK</v>
      </c>
      <c r="U1527" t="str">
        <f t="shared" si="70"/>
        <v>Mumbai</v>
      </c>
      <c r="V1527">
        <f t="shared" si="71"/>
        <v>0</v>
      </c>
    </row>
    <row r="1528" spans="1:22" ht="15" customHeight="1" x14ac:dyDescent="0.35">
      <c r="A1528" s="3" t="s">
        <v>1960</v>
      </c>
      <c r="B1528" s="4">
        <v>45487</v>
      </c>
      <c r="C1528" s="3" t="s">
        <v>594</v>
      </c>
      <c r="D1528" s="3" t="s">
        <v>454</v>
      </c>
      <c r="E1528" s="3" t="s">
        <v>71</v>
      </c>
      <c r="F1528" s="5">
        <v>10</v>
      </c>
      <c r="G1528" s="5">
        <v>6940</v>
      </c>
      <c r="H1528" s="5">
        <v>10.6</v>
      </c>
      <c r="I1528" s="5">
        <v>62043.6</v>
      </c>
      <c r="J1528" s="3" t="s">
        <v>26</v>
      </c>
      <c r="K1528" s="3" t="s">
        <v>72</v>
      </c>
      <c r="L1528" t="str">
        <f>IFERROR(VLOOKUP(D1528,Products!$A$2:$F$61,3,FALSE()),"")</f>
        <v>Sports</v>
      </c>
      <c r="M1528" t="str">
        <f>IFERROR(VLOOKUP(E1528,Sales_Reps!$A$2:$C$31,3,FALSE()),"")</f>
        <v>South</v>
      </c>
      <c r="N1528">
        <f>IFERROR(VLOOKUP(D1528,Products!$A$2:$F$61,4,FALSE()),"")</f>
        <v>2827</v>
      </c>
      <c r="O1528" t="str">
        <f>IFERROR(VLOOKUP(C1528,Customers!$A$2:$F$301,5,FALSE()),"")</f>
        <v>Retail</v>
      </c>
      <c r="P1528">
        <f>IFERROR(VLOOKUP(C1528,Customers!$A$2:$F$301,3,FALSE()),"")</f>
        <v>27</v>
      </c>
      <c r="Q1528">
        <f t="shared" si="69"/>
        <v>0.5926512968299712</v>
      </c>
      <c r="R1528">
        <f>IF(AND(COUNTIF($A$2:$A$2047,A1528)&gt;1,COUNTIF($A$2:A1528,A1528)=1),1,0)</f>
        <v>0</v>
      </c>
      <c r="S1528" t="b">
        <f>IFERROR(VLOOKUP(D1528,Products!$A$2:$F$61,6,FALSE()),"")</f>
        <v>1</v>
      </c>
      <c r="T1528" t="str">
        <f>IF(COUNTIF(Customers!$A$2:$A$301,C1528)=0,"Missing","OK")</f>
        <v>OK</v>
      </c>
      <c r="U1528" t="str">
        <f t="shared" si="70"/>
        <v>Hyderabad</v>
      </c>
      <c r="V1528">
        <f t="shared" si="71"/>
        <v>0</v>
      </c>
    </row>
    <row r="1529" spans="1:22" ht="15" customHeight="1" x14ac:dyDescent="0.35">
      <c r="A1529" s="3" t="s">
        <v>1961</v>
      </c>
      <c r="B1529" s="4">
        <v>45454</v>
      </c>
      <c r="C1529" s="3" t="s">
        <v>308</v>
      </c>
      <c r="D1529" s="3" t="s">
        <v>325</v>
      </c>
      <c r="E1529" s="3" t="s">
        <v>31</v>
      </c>
      <c r="F1529" s="5">
        <v>8</v>
      </c>
      <c r="G1529" s="5">
        <v>2290</v>
      </c>
      <c r="H1529" s="5">
        <v>12.2</v>
      </c>
      <c r="I1529" s="5">
        <v>16084.96</v>
      </c>
      <c r="J1529" s="3" t="s">
        <v>26</v>
      </c>
      <c r="K1529" s="3" t="s">
        <v>33</v>
      </c>
      <c r="L1529" t="str">
        <f>IFERROR(VLOOKUP(D1529,Products!$A$2:$F$61,3,FALSE()),"")</f>
        <v>Beauty</v>
      </c>
      <c r="M1529" t="str">
        <f>IFERROR(VLOOKUP(E1529,Sales_Reps!$A$2:$C$31,3,FALSE()),"")</f>
        <v>North</v>
      </c>
      <c r="N1529">
        <f>IFERROR(VLOOKUP(D1529,Products!$A$2:$F$61,4,FALSE()),"")</f>
        <v>1219</v>
      </c>
      <c r="O1529" t="str">
        <f>IFERROR(VLOOKUP(C1529,Customers!$A$2:$F$301,5,FALSE()),"")</f>
        <v>SMB</v>
      </c>
      <c r="P1529">
        <f>IFERROR(VLOOKUP(C1529,Customers!$A$2:$F$301,3,FALSE()),"")</f>
        <v>62</v>
      </c>
      <c r="Q1529">
        <f t="shared" si="69"/>
        <v>0.46768558951965067</v>
      </c>
      <c r="R1529">
        <f>IF(AND(COUNTIF($A$2:$A$2047,A1529)&gt;1,COUNTIF($A$2:A1529,A1529)=1),1,0)</f>
        <v>0</v>
      </c>
      <c r="S1529" t="b">
        <f>IFERROR(VLOOKUP(D1529,Products!$A$2:$F$61,6,FALSE()),"")</f>
        <v>1</v>
      </c>
      <c r="T1529" t="str">
        <f>IF(COUNTIF(Customers!$A$2:$A$301,C1529)=0,"Missing","OK")</f>
        <v>OK</v>
      </c>
      <c r="U1529" t="str">
        <f t="shared" si="70"/>
        <v>Chennai</v>
      </c>
      <c r="V1529">
        <f t="shared" si="71"/>
        <v>0</v>
      </c>
    </row>
    <row r="1530" spans="1:22" ht="15" customHeight="1" x14ac:dyDescent="0.35">
      <c r="A1530" s="3" t="s">
        <v>1962</v>
      </c>
      <c r="B1530" s="4">
        <v>45529</v>
      </c>
      <c r="C1530" s="3" t="s">
        <v>281</v>
      </c>
      <c r="D1530" s="3" t="s">
        <v>234</v>
      </c>
      <c r="E1530" s="3" t="s">
        <v>50</v>
      </c>
      <c r="F1530" s="5">
        <v>5</v>
      </c>
      <c r="G1530" s="5">
        <v>2030</v>
      </c>
      <c r="H1530" s="5">
        <v>23.8</v>
      </c>
      <c r="I1530" s="5">
        <v>7734.3</v>
      </c>
      <c r="J1530" s="3" t="s">
        <v>79</v>
      </c>
      <c r="K1530" s="3" t="s">
        <v>33</v>
      </c>
      <c r="L1530" t="str">
        <f>IFERROR(VLOOKUP(D1530,Products!$A$2:$F$61,3,FALSE()),"")</f>
        <v>Home</v>
      </c>
      <c r="M1530" t="str">
        <f>IFERROR(VLOOKUP(E1530,Sales_Reps!$A$2:$C$31,3,FALSE()),"")</f>
        <v>West</v>
      </c>
      <c r="N1530">
        <f>IFERROR(VLOOKUP(D1530,Products!$A$2:$F$61,4,FALSE()),"")</f>
        <v>1143</v>
      </c>
      <c r="O1530" t="str">
        <f>IFERROR(VLOOKUP(C1530,Customers!$A$2:$F$301,5,FALSE()),"")</f>
        <v>Retail</v>
      </c>
      <c r="P1530">
        <f>IFERROR(VLOOKUP(C1530,Customers!$A$2:$F$301,3,FALSE()),"")</f>
        <v>26</v>
      </c>
      <c r="Q1530">
        <f t="shared" si="69"/>
        <v>0.43694581280788175</v>
      </c>
      <c r="R1530">
        <f>IF(AND(COUNTIF($A$2:$A$2047,A1530)&gt;1,COUNTIF($A$2:A1530,A1530)=1),1,0)</f>
        <v>0</v>
      </c>
      <c r="S1530" t="b">
        <f>IFERROR(VLOOKUP(D1530,Products!$A$2:$F$61,6,FALSE()),"")</f>
        <v>1</v>
      </c>
      <c r="T1530" t="str">
        <f>IF(COUNTIF(Customers!$A$2:$A$301,C1530)=0,"Missing","OK")</f>
        <v>OK</v>
      </c>
      <c r="U1530" t="str">
        <f t="shared" si="70"/>
        <v>Chennai</v>
      </c>
      <c r="V1530">
        <f t="shared" si="71"/>
        <v>0</v>
      </c>
    </row>
    <row r="1531" spans="1:22" ht="15" customHeight="1" x14ac:dyDescent="0.35">
      <c r="A1531" s="3" t="s">
        <v>1963</v>
      </c>
      <c r="B1531" s="4">
        <v>45546</v>
      </c>
      <c r="C1531" s="3" t="s">
        <v>379</v>
      </c>
      <c r="D1531" s="3" t="s">
        <v>347</v>
      </c>
      <c r="E1531" s="3" t="s">
        <v>168</v>
      </c>
      <c r="F1531" s="5">
        <v>3</v>
      </c>
      <c r="G1531" s="5">
        <v>3970</v>
      </c>
      <c r="H1531" s="5">
        <v>7.7</v>
      </c>
      <c r="I1531" s="5">
        <v>10992.93</v>
      </c>
      <c r="J1531" s="3" t="s">
        <v>26</v>
      </c>
      <c r="K1531" s="3" t="s">
        <v>27</v>
      </c>
      <c r="L1531" t="str">
        <f>IFERROR(VLOOKUP(D1531,Products!$A$2:$F$61,3,FALSE()),"")</f>
        <v>Electronics</v>
      </c>
      <c r="M1531" t="str">
        <f>IFERROR(VLOOKUP(E1531,Sales_Reps!$A$2:$C$31,3,FALSE()),"")</f>
        <v>West</v>
      </c>
      <c r="N1531">
        <f>IFERROR(VLOOKUP(D1531,Products!$A$2:$F$61,4,FALSE()),"")</f>
        <v>2865</v>
      </c>
      <c r="O1531" t="str">
        <f>IFERROR(VLOOKUP(C1531,Customers!$A$2:$F$301,5,FALSE()),"")</f>
        <v>SMB</v>
      </c>
      <c r="P1531">
        <f>IFERROR(VLOOKUP(C1531,Customers!$A$2:$F$301,3,FALSE()),"")</f>
        <v>30</v>
      </c>
      <c r="Q1531">
        <f t="shared" si="69"/>
        <v>0.27833753148614609</v>
      </c>
      <c r="R1531">
        <f>IF(AND(COUNTIF($A$2:$A$2047,A1531)&gt;1,COUNTIF($A$2:A1531,A1531)=1),1,0)</f>
        <v>0</v>
      </c>
      <c r="S1531" t="b">
        <f>IFERROR(VLOOKUP(D1531,Products!$A$2:$F$61,6,FALSE()),"")</f>
        <v>1</v>
      </c>
      <c r="T1531" t="str">
        <f>IF(COUNTIF(Customers!$A$2:$A$301,C1531)=0,"Missing","OK")</f>
        <v>OK</v>
      </c>
      <c r="U1531" t="str">
        <f t="shared" si="70"/>
        <v>Pune</v>
      </c>
      <c r="V1531">
        <f t="shared" si="71"/>
        <v>0</v>
      </c>
    </row>
    <row r="1532" spans="1:22" ht="15" customHeight="1" x14ac:dyDescent="0.35">
      <c r="A1532" s="3" t="s">
        <v>1964</v>
      </c>
      <c r="B1532" s="4">
        <v>45481</v>
      </c>
      <c r="C1532" s="3" t="s">
        <v>651</v>
      </c>
      <c r="D1532" s="3" t="s">
        <v>30</v>
      </c>
      <c r="E1532" s="3" t="s">
        <v>285</v>
      </c>
      <c r="F1532" s="5">
        <v>1</v>
      </c>
      <c r="G1532" s="5">
        <v>820</v>
      </c>
      <c r="H1532" s="5">
        <v>5.4</v>
      </c>
      <c r="I1532" s="5">
        <v>775.72</v>
      </c>
      <c r="J1532" s="3" t="s">
        <v>26</v>
      </c>
      <c r="K1532" s="3" t="s">
        <v>51</v>
      </c>
      <c r="L1532" t="str">
        <f>IFERROR(VLOOKUP(D1532,Products!$A$2:$F$61,3,FALSE()),"")</f>
        <v>Apparel</v>
      </c>
      <c r="M1532" t="str">
        <f>IFERROR(VLOOKUP(E1532,Sales_Reps!$A$2:$C$31,3,FALSE()),"")</f>
        <v>South</v>
      </c>
      <c r="N1532">
        <f>IFERROR(VLOOKUP(D1532,Products!$A$2:$F$61,4,FALSE()),"")</f>
        <v>391</v>
      </c>
      <c r="O1532" t="str">
        <f>IFERROR(VLOOKUP(C1532,Customers!$A$2:$F$301,5,FALSE()),"")</f>
        <v>Corporate</v>
      </c>
      <c r="P1532">
        <f>IFERROR(VLOOKUP(C1532,Customers!$A$2:$F$301,3,FALSE()),"")</f>
        <v>51</v>
      </c>
      <c r="Q1532">
        <f t="shared" si="69"/>
        <v>0.52317073170731709</v>
      </c>
      <c r="R1532">
        <f>IF(AND(COUNTIF($A$2:$A$2047,A1532)&gt;1,COUNTIF($A$2:A1532,A1532)=1),1,0)</f>
        <v>1</v>
      </c>
      <c r="S1532" t="b">
        <f>IFERROR(VLOOKUP(D1532,Products!$A$2:$F$61,6,FALSE()),"")</f>
        <v>1</v>
      </c>
      <c r="T1532" t="str">
        <f>IF(COUNTIF(Customers!$A$2:$A$301,C1532)=0,"Missing","OK")</f>
        <v>OK</v>
      </c>
      <c r="U1532" t="str">
        <f t="shared" si="70"/>
        <v>Mumbai</v>
      </c>
      <c r="V1532">
        <f t="shared" si="71"/>
        <v>0</v>
      </c>
    </row>
    <row r="1533" spans="1:22" ht="15" customHeight="1" x14ac:dyDescent="0.35">
      <c r="A1533" s="3" t="s">
        <v>1965</v>
      </c>
      <c r="B1533" s="4">
        <v>45472</v>
      </c>
      <c r="C1533" s="3" t="s">
        <v>261</v>
      </c>
      <c r="D1533" s="3" t="s">
        <v>187</v>
      </c>
      <c r="E1533" s="3" t="s">
        <v>50</v>
      </c>
      <c r="F1533" s="5">
        <v>3</v>
      </c>
      <c r="G1533" s="5">
        <v>3870</v>
      </c>
      <c r="H1533" s="5">
        <v>1.9</v>
      </c>
      <c r="I1533" s="5">
        <v>11389.41</v>
      </c>
      <c r="J1533" s="3" t="s">
        <v>26</v>
      </c>
      <c r="K1533" s="3" t="s">
        <v>38</v>
      </c>
      <c r="L1533" t="str">
        <f>IFERROR(VLOOKUP(D1533,Products!$A$2:$F$61,3,FALSE()),"")</f>
        <v>Electronics</v>
      </c>
      <c r="M1533" t="str">
        <f>IFERROR(VLOOKUP(E1533,Sales_Reps!$A$2:$C$31,3,FALSE()),"")</f>
        <v>West</v>
      </c>
      <c r="N1533">
        <f>IFERROR(VLOOKUP(D1533,Products!$A$2:$F$61,4,FALSE()),"")</f>
        <v>1559</v>
      </c>
      <c r="O1533" t="str">
        <f>IFERROR(VLOOKUP(C1533,Customers!$A$2:$F$301,5,FALSE()),"")</f>
        <v>Retail</v>
      </c>
      <c r="P1533">
        <f>IFERROR(VLOOKUP(C1533,Customers!$A$2:$F$301,3,FALSE()),"")</f>
        <v>31</v>
      </c>
      <c r="Q1533">
        <f t="shared" si="69"/>
        <v>0.59715762273901807</v>
      </c>
      <c r="R1533">
        <f>IF(AND(COUNTIF($A$2:$A$2047,A1533)&gt;1,COUNTIF($A$2:A1533,A1533)=1),1,0)</f>
        <v>0</v>
      </c>
      <c r="S1533" t="b">
        <f>IFERROR(VLOOKUP(D1533,Products!$A$2:$F$61,6,FALSE()),"")</f>
        <v>1</v>
      </c>
      <c r="T1533" t="str">
        <f>IF(COUNTIF(Customers!$A$2:$A$301,C1533)=0,"Missing","OK")</f>
        <v>OK</v>
      </c>
      <c r="U1533" t="str">
        <f t="shared" si="70"/>
        <v>Delhi</v>
      </c>
      <c r="V1533">
        <f t="shared" si="71"/>
        <v>0</v>
      </c>
    </row>
    <row r="1534" spans="1:22" ht="15" customHeight="1" x14ac:dyDescent="0.35">
      <c r="A1534" s="3" t="s">
        <v>1966</v>
      </c>
      <c r="B1534" s="4">
        <v>45296</v>
      </c>
      <c r="C1534" s="3" t="s">
        <v>467</v>
      </c>
      <c r="D1534" s="3" t="s">
        <v>66</v>
      </c>
      <c r="E1534" s="3" t="s">
        <v>224</v>
      </c>
      <c r="F1534" s="5">
        <v>6</v>
      </c>
      <c r="G1534" s="5">
        <v>970</v>
      </c>
      <c r="H1534" s="5">
        <v>27.1</v>
      </c>
      <c r="I1534" s="5">
        <v>4242.78</v>
      </c>
      <c r="J1534" s="3" t="s">
        <v>26</v>
      </c>
      <c r="K1534" s="3" t="s">
        <v>51</v>
      </c>
      <c r="L1534" t="str">
        <f>IFERROR(VLOOKUP(D1534,Products!$A$2:$F$61,3,FALSE()),"")</f>
        <v>Grocery</v>
      </c>
      <c r="M1534" t="str">
        <f>IFERROR(VLOOKUP(E1534,Sales_Reps!$A$2:$C$31,3,FALSE()),"")</f>
        <v>East</v>
      </c>
      <c r="N1534">
        <f>IFERROR(VLOOKUP(D1534,Products!$A$2:$F$61,4,FALSE()),"")</f>
        <v>434</v>
      </c>
      <c r="O1534" t="str">
        <f>IFERROR(VLOOKUP(C1534,Customers!$A$2:$F$301,5,FALSE()),"")</f>
        <v>Retail</v>
      </c>
      <c r="P1534">
        <f>IFERROR(VLOOKUP(C1534,Customers!$A$2:$F$301,3,FALSE()),"")</f>
        <v>44</v>
      </c>
      <c r="Q1534">
        <f t="shared" si="69"/>
        <v>0.5525773195876289</v>
      </c>
      <c r="R1534">
        <f>IF(AND(COUNTIF($A$2:$A$2047,A1534)&gt;1,COUNTIF($A$2:A1534,A1534)=1),1,0)</f>
        <v>0</v>
      </c>
      <c r="S1534" t="b">
        <f>IFERROR(VLOOKUP(D1534,Products!$A$2:$F$61,6,FALSE()),"")</f>
        <v>1</v>
      </c>
      <c r="T1534" t="str">
        <f>IF(COUNTIF(Customers!$A$2:$A$301,C1534)=0,"Missing","OK")</f>
        <v>OK</v>
      </c>
      <c r="U1534" t="str">
        <f t="shared" si="70"/>
        <v>Mumbai</v>
      </c>
      <c r="V1534">
        <f t="shared" si="71"/>
        <v>0</v>
      </c>
    </row>
    <row r="1535" spans="1:22" ht="15" customHeight="1" x14ac:dyDescent="0.35">
      <c r="A1535" s="3" t="s">
        <v>1967</v>
      </c>
      <c r="B1535" s="4">
        <v>45567</v>
      </c>
      <c r="C1535" s="3" t="s">
        <v>233</v>
      </c>
      <c r="D1535" s="3" t="s">
        <v>123</v>
      </c>
      <c r="E1535" s="3" t="s">
        <v>50</v>
      </c>
      <c r="F1535" s="5">
        <v>1</v>
      </c>
      <c r="G1535" s="5">
        <v>4880</v>
      </c>
      <c r="H1535" s="5">
        <v>26.8</v>
      </c>
      <c r="I1535" s="5">
        <v>3572.16</v>
      </c>
      <c r="J1535" s="3" t="s">
        <v>26</v>
      </c>
      <c r="K1535" s="3" t="s">
        <v>72</v>
      </c>
      <c r="L1535" t="str">
        <f>IFERROR(VLOOKUP(D1535,Products!$A$2:$F$61,3,FALSE()),"")</f>
        <v>Beauty</v>
      </c>
      <c r="M1535" t="str">
        <f>IFERROR(VLOOKUP(E1535,Sales_Reps!$A$2:$C$31,3,FALSE()),"")</f>
        <v>West</v>
      </c>
      <c r="N1535">
        <f>IFERROR(VLOOKUP(D1535,Products!$A$2:$F$61,4,FALSE()),"")</f>
        <v>2768</v>
      </c>
      <c r="O1535" t="str">
        <f>IFERROR(VLOOKUP(C1535,Customers!$A$2:$F$301,5,FALSE()),"")</f>
        <v>SMB</v>
      </c>
      <c r="P1535">
        <f>IFERROR(VLOOKUP(C1535,Customers!$A$2:$F$301,3,FALSE()),"")</f>
        <v>43</v>
      </c>
      <c r="Q1535">
        <f t="shared" si="69"/>
        <v>0.43278688524590164</v>
      </c>
      <c r="R1535">
        <f>IF(AND(COUNTIF($A$2:$A$2047,A1535)&gt;1,COUNTIF($A$2:A1535,A1535)=1),1,0)</f>
        <v>0</v>
      </c>
      <c r="S1535" t="b">
        <f>IFERROR(VLOOKUP(D1535,Products!$A$2:$F$61,6,FALSE()),"")</f>
        <v>1</v>
      </c>
      <c r="T1535" t="str">
        <f>IF(COUNTIF(Customers!$A$2:$A$301,C1535)=0,"Missing","OK")</f>
        <v>OK</v>
      </c>
      <c r="U1535" t="str">
        <f t="shared" si="70"/>
        <v>Hyderabad</v>
      </c>
      <c r="V1535">
        <f t="shared" si="71"/>
        <v>0</v>
      </c>
    </row>
    <row r="1536" spans="1:22" ht="15" customHeight="1" x14ac:dyDescent="0.35">
      <c r="A1536" s="3" t="s">
        <v>1968</v>
      </c>
      <c r="B1536" s="4">
        <v>45337</v>
      </c>
      <c r="C1536" s="3" t="s">
        <v>780</v>
      </c>
      <c r="D1536" s="3" t="s">
        <v>184</v>
      </c>
      <c r="E1536" s="3" t="s">
        <v>93</v>
      </c>
      <c r="F1536" s="5">
        <v>1</v>
      </c>
      <c r="G1536" s="5">
        <v>2270</v>
      </c>
      <c r="H1536" s="5">
        <v>22.2</v>
      </c>
      <c r="I1536" s="5">
        <v>1766.06</v>
      </c>
      <c r="J1536" s="3" t="s">
        <v>26</v>
      </c>
      <c r="K1536" s="3" t="s">
        <v>56</v>
      </c>
      <c r="L1536" t="str">
        <f>IFERROR(VLOOKUP(D1536,Products!$A$2:$F$61,3,FALSE()),"")</f>
        <v>Grocery</v>
      </c>
      <c r="M1536" t="str">
        <f>IFERROR(VLOOKUP(E1536,Sales_Reps!$A$2:$C$31,3,FALSE()),"")</f>
        <v>East</v>
      </c>
      <c r="N1536">
        <f>IFERROR(VLOOKUP(D1536,Products!$A$2:$F$61,4,FALSE()),"")</f>
        <v>1412</v>
      </c>
      <c r="O1536" t="str">
        <f>IFERROR(VLOOKUP(C1536,Customers!$A$2:$F$301,5,FALSE()),"")</f>
        <v>Corporate</v>
      </c>
      <c r="P1536">
        <f>IFERROR(VLOOKUP(C1536,Customers!$A$2:$F$301,3,FALSE()),"")</f>
        <v>41</v>
      </c>
      <c r="Q1536">
        <f t="shared" si="69"/>
        <v>0.37797356828193834</v>
      </c>
      <c r="R1536">
        <f>IF(AND(COUNTIF($A$2:$A$2047,A1536)&gt;1,COUNTIF($A$2:A1536,A1536)=1),1,0)</f>
        <v>0</v>
      </c>
      <c r="S1536" t="b">
        <f>IFERROR(VLOOKUP(D1536,Products!$A$2:$F$61,6,FALSE()),"")</f>
        <v>1</v>
      </c>
      <c r="T1536" t="str">
        <f>IF(COUNTIF(Customers!$A$2:$A$301,C1536)=0,"Missing","OK")</f>
        <v>OK</v>
      </c>
      <c r="U1536" t="str">
        <f t="shared" si="70"/>
        <v>Bengaluru</v>
      </c>
      <c r="V1536">
        <f t="shared" si="71"/>
        <v>1766.06</v>
      </c>
    </row>
    <row r="1537" spans="1:22" ht="15" customHeight="1" x14ac:dyDescent="0.35">
      <c r="A1537" s="3" t="s">
        <v>1969</v>
      </c>
      <c r="B1537" s="4">
        <v>45376</v>
      </c>
      <c r="C1537" s="3" t="s">
        <v>92</v>
      </c>
      <c r="D1537" s="3" t="s">
        <v>96</v>
      </c>
      <c r="E1537" s="3" t="s">
        <v>140</v>
      </c>
      <c r="F1537" s="5">
        <v>10</v>
      </c>
      <c r="G1537" s="5">
        <v>3450</v>
      </c>
      <c r="H1537" s="5">
        <v>21.9</v>
      </c>
      <c r="I1537" s="5">
        <v>26944.5</v>
      </c>
      <c r="J1537" s="3" t="s">
        <v>26</v>
      </c>
      <c r="K1537" s="3" t="s">
        <v>56</v>
      </c>
      <c r="L1537" t="str">
        <f>IFERROR(VLOOKUP(D1537,Products!$A$2:$F$61,3,FALSE()),"")</f>
        <v>Beauty</v>
      </c>
      <c r="M1537" t="str">
        <f>IFERROR(VLOOKUP(E1537,Sales_Reps!$A$2:$C$31,3,FALSE()),"")</f>
        <v>West</v>
      </c>
      <c r="N1537">
        <f>IFERROR(VLOOKUP(D1537,Products!$A$2:$F$61,4,FALSE()),"")</f>
        <v>2420</v>
      </c>
      <c r="O1537" t="str">
        <f>IFERROR(VLOOKUP(C1537,Customers!$A$2:$F$301,5,FALSE()),"")</f>
        <v>SMB</v>
      </c>
      <c r="P1537">
        <f>IFERROR(VLOOKUP(C1537,Customers!$A$2:$F$301,3,FALSE()),"")</f>
        <v>46</v>
      </c>
      <c r="Q1537">
        <f t="shared" si="69"/>
        <v>0.29855072463768118</v>
      </c>
      <c r="R1537">
        <f>IF(AND(COUNTIF($A$2:$A$2047,A1537)&gt;1,COUNTIF($A$2:A1537,A1537)=1),1,0)</f>
        <v>0</v>
      </c>
      <c r="S1537" t="b">
        <f>IFERROR(VLOOKUP(D1537,Products!$A$2:$F$61,6,FALSE()),"")</f>
        <v>1</v>
      </c>
      <c r="T1537" t="str">
        <f>IF(COUNTIF(Customers!$A$2:$A$301,C1537)=0,"Missing","OK")</f>
        <v>OK</v>
      </c>
      <c r="U1537" t="str">
        <f t="shared" si="70"/>
        <v>Bengaluru</v>
      </c>
      <c r="V1537">
        <f t="shared" si="71"/>
        <v>0</v>
      </c>
    </row>
    <row r="1538" spans="1:22" ht="15" customHeight="1" x14ac:dyDescent="0.35">
      <c r="A1538" s="3" t="s">
        <v>1970</v>
      </c>
      <c r="B1538" s="4">
        <v>45616</v>
      </c>
      <c r="C1538" s="3" t="s">
        <v>500</v>
      </c>
      <c r="D1538" s="3" t="s">
        <v>184</v>
      </c>
      <c r="E1538" s="3" t="s">
        <v>212</v>
      </c>
      <c r="F1538" s="5">
        <v>3</v>
      </c>
      <c r="G1538" s="5">
        <v>2270</v>
      </c>
      <c r="H1538" s="5">
        <v>19.100000000000001</v>
      </c>
      <c r="I1538" s="5">
        <v>5509.29</v>
      </c>
      <c r="J1538" s="3" t="s">
        <v>79</v>
      </c>
      <c r="K1538" s="3" t="s">
        <v>72</v>
      </c>
      <c r="L1538" t="str">
        <f>IFERROR(VLOOKUP(D1538,Products!$A$2:$F$61,3,FALSE()),"")</f>
        <v>Grocery</v>
      </c>
      <c r="M1538" t="str">
        <f>IFERROR(VLOOKUP(E1538,Sales_Reps!$A$2:$C$31,3,FALSE()),"")</f>
        <v>South</v>
      </c>
      <c r="N1538">
        <f>IFERROR(VLOOKUP(D1538,Products!$A$2:$F$61,4,FALSE()),"")</f>
        <v>1412</v>
      </c>
      <c r="O1538" t="str">
        <f>IFERROR(VLOOKUP(C1538,Customers!$A$2:$F$301,5,FALSE()),"")</f>
        <v>SMB</v>
      </c>
      <c r="P1538">
        <f>IFERROR(VLOOKUP(C1538,Customers!$A$2:$F$301,3,FALSE()),"")</f>
        <v>43</v>
      </c>
      <c r="Q1538">
        <f t="shared" ref="Q1538:Q1601" si="72">IFERROR((G1538-N1538)/G1538,"")</f>
        <v>0.37797356828193834</v>
      </c>
      <c r="R1538">
        <f>IF(AND(COUNTIF($A$2:$A$2047,A1538)&gt;1,COUNTIF($A$2:A1538,A1538)=1),1,0)</f>
        <v>0</v>
      </c>
      <c r="S1538" t="b">
        <f>IFERROR(VLOOKUP(D1538,Products!$A$2:$F$61,6,FALSE()),"")</f>
        <v>1</v>
      </c>
      <c r="T1538" t="str">
        <f>IF(COUNTIF(Customers!$A$2:$A$301,C1538)=0,"Missing","OK")</f>
        <v>OK</v>
      </c>
      <c r="U1538" t="str">
        <f t="shared" ref="U1538:U1601" si="73">IF(K1538="","",PROPER(TRIM(K1538)))</f>
        <v>Hyderabad</v>
      </c>
      <c r="V1538">
        <f t="shared" ref="V1538:V1601" si="74">IF(AND(U1538="Bengaluru",L1538="Grocery"),I1538,0)</f>
        <v>0</v>
      </c>
    </row>
    <row r="1539" spans="1:22" ht="15" customHeight="1" x14ac:dyDescent="0.35">
      <c r="A1539" s="3" t="s">
        <v>1971</v>
      </c>
      <c r="B1539" s="4">
        <v>45360</v>
      </c>
      <c r="C1539" s="3" t="s">
        <v>860</v>
      </c>
      <c r="D1539" s="3" t="s">
        <v>277</v>
      </c>
      <c r="E1539" s="3" t="s">
        <v>109</v>
      </c>
      <c r="F1539" s="5">
        <v>10</v>
      </c>
      <c r="G1539" s="5">
        <v>2210</v>
      </c>
      <c r="H1539" s="5">
        <v>22.3</v>
      </c>
      <c r="I1539" s="5">
        <v>17171.7</v>
      </c>
      <c r="J1539" s="3" t="s">
        <v>26</v>
      </c>
      <c r="K1539" s="3" t="s">
        <v>56</v>
      </c>
      <c r="L1539" t="str">
        <f>IFERROR(VLOOKUP(D1539,Products!$A$2:$F$61,3,FALSE()),"")</f>
        <v>Grocery</v>
      </c>
      <c r="M1539" t="str">
        <f>IFERROR(VLOOKUP(E1539,Sales_Reps!$A$2:$C$31,3,FALSE()),"")</f>
        <v>West</v>
      </c>
      <c r="N1539">
        <f>IFERROR(VLOOKUP(D1539,Products!$A$2:$F$61,4,FALSE()),"")</f>
        <v>1010</v>
      </c>
      <c r="O1539" t="str">
        <f>IFERROR(VLOOKUP(C1539,Customers!$A$2:$F$301,5,FALSE()),"")</f>
        <v>Retail</v>
      </c>
      <c r="P1539">
        <f>IFERROR(VLOOKUP(C1539,Customers!$A$2:$F$301,3,FALSE()),"")</f>
        <v>28</v>
      </c>
      <c r="Q1539">
        <f t="shared" si="72"/>
        <v>0.54298642533936647</v>
      </c>
      <c r="R1539">
        <f>IF(AND(COUNTIF($A$2:$A$2047,A1539)&gt;1,COUNTIF($A$2:A1539,A1539)=1),1,0)</f>
        <v>0</v>
      </c>
      <c r="S1539" t="b">
        <f>IFERROR(VLOOKUP(D1539,Products!$A$2:$F$61,6,FALSE()),"")</f>
        <v>1</v>
      </c>
      <c r="T1539" t="str">
        <f>IF(COUNTIF(Customers!$A$2:$A$301,C1539)=0,"Missing","OK")</f>
        <v>OK</v>
      </c>
      <c r="U1539" t="str">
        <f t="shared" si="73"/>
        <v>Bengaluru</v>
      </c>
      <c r="V1539">
        <f t="shared" si="74"/>
        <v>17171.7</v>
      </c>
    </row>
    <row r="1540" spans="1:22" ht="15" customHeight="1" x14ac:dyDescent="0.35">
      <c r="A1540" s="3" t="s">
        <v>1972</v>
      </c>
      <c r="B1540" s="4">
        <v>45465</v>
      </c>
      <c r="C1540" s="3" t="s">
        <v>413</v>
      </c>
      <c r="D1540" s="3" t="s">
        <v>234</v>
      </c>
      <c r="E1540" s="3" t="s">
        <v>212</v>
      </c>
      <c r="F1540" s="5">
        <v>9</v>
      </c>
      <c r="G1540" s="5">
        <v>2030</v>
      </c>
      <c r="H1540" s="5">
        <v>24.8</v>
      </c>
      <c r="I1540" s="5">
        <v>13739.04</v>
      </c>
      <c r="J1540" s="3" t="s">
        <v>26</v>
      </c>
      <c r="K1540" s="3" t="s">
        <v>38</v>
      </c>
      <c r="L1540" t="str">
        <f>IFERROR(VLOOKUP(D1540,Products!$A$2:$F$61,3,FALSE()),"")</f>
        <v>Home</v>
      </c>
      <c r="M1540" t="str">
        <f>IFERROR(VLOOKUP(E1540,Sales_Reps!$A$2:$C$31,3,FALSE()),"")</f>
        <v>South</v>
      </c>
      <c r="N1540">
        <f>IFERROR(VLOOKUP(D1540,Products!$A$2:$F$61,4,FALSE()),"")</f>
        <v>1143</v>
      </c>
      <c r="O1540" t="str">
        <f>IFERROR(VLOOKUP(C1540,Customers!$A$2:$F$301,5,FALSE()),"")</f>
        <v>SMB</v>
      </c>
      <c r="P1540">
        <f>IFERROR(VLOOKUP(C1540,Customers!$A$2:$F$301,3,FALSE()),"")</f>
        <v>59</v>
      </c>
      <c r="Q1540">
        <f t="shared" si="72"/>
        <v>0.43694581280788175</v>
      </c>
      <c r="R1540">
        <f>IF(AND(COUNTIF($A$2:$A$2047,A1540)&gt;1,COUNTIF($A$2:A1540,A1540)=1),1,0)</f>
        <v>0</v>
      </c>
      <c r="S1540" t="b">
        <f>IFERROR(VLOOKUP(D1540,Products!$A$2:$F$61,6,FALSE()),"")</f>
        <v>1</v>
      </c>
      <c r="T1540" t="str">
        <f>IF(COUNTIF(Customers!$A$2:$A$301,C1540)=0,"Missing","OK")</f>
        <v>OK</v>
      </c>
      <c r="U1540" t="str">
        <f t="shared" si="73"/>
        <v>Delhi</v>
      </c>
      <c r="V1540">
        <f t="shared" si="74"/>
        <v>0</v>
      </c>
    </row>
    <row r="1541" spans="1:22" ht="15" customHeight="1" x14ac:dyDescent="0.35">
      <c r="A1541" s="3" t="s">
        <v>1973</v>
      </c>
      <c r="B1541" s="4">
        <v>45380</v>
      </c>
      <c r="C1541" s="3" t="s">
        <v>327</v>
      </c>
      <c r="D1541" s="3" t="s">
        <v>118</v>
      </c>
      <c r="E1541" s="3" t="s">
        <v>93</v>
      </c>
      <c r="F1541" s="5">
        <v>5</v>
      </c>
      <c r="G1541" s="5">
        <v>3350</v>
      </c>
      <c r="H1541" s="5">
        <v>18.2</v>
      </c>
      <c r="I1541" s="5">
        <v>13701.5</v>
      </c>
      <c r="J1541" s="3" t="s">
        <v>26</v>
      </c>
      <c r="K1541" s="3" t="s">
        <v>72</v>
      </c>
      <c r="L1541" t="str">
        <f>IFERROR(VLOOKUP(D1541,Products!$A$2:$F$61,3,FALSE()),"")</f>
        <v>Beauty</v>
      </c>
      <c r="M1541" t="str">
        <f>IFERROR(VLOOKUP(E1541,Sales_Reps!$A$2:$C$31,3,FALSE()),"")</f>
        <v>East</v>
      </c>
      <c r="N1541">
        <f>IFERROR(VLOOKUP(D1541,Products!$A$2:$F$61,4,FALSE()),"")</f>
        <v>1728</v>
      </c>
      <c r="O1541" t="str">
        <f>IFERROR(VLOOKUP(C1541,Customers!$A$2:$F$301,5,FALSE()),"")</f>
        <v>Retail</v>
      </c>
      <c r="P1541">
        <f>IFERROR(VLOOKUP(C1541,Customers!$A$2:$F$301,3,FALSE()),"")</f>
        <v>44</v>
      </c>
      <c r="Q1541">
        <f t="shared" si="72"/>
        <v>0.48417910447761192</v>
      </c>
      <c r="R1541">
        <f>IF(AND(COUNTIF($A$2:$A$2047,A1541)&gt;1,COUNTIF($A$2:A1541,A1541)=1),1,0)</f>
        <v>0</v>
      </c>
      <c r="S1541" t="b">
        <f>IFERROR(VLOOKUP(D1541,Products!$A$2:$F$61,6,FALSE()),"")</f>
        <v>1</v>
      </c>
      <c r="T1541" t="str">
        <f>IF(COUNTIF(Customers!$A$2:$A$301,C1541)=0,"Missing","OK")</f>
        <v>OK</v>
      </c>
      <c r="U1541" t="str">
        <f t="shared" si="73"/>
        <v>Hyderabad</v>
      </c>
      <c r="V1541">
        <f t="shared" si="74"/>
        <v>0</v>
      </c>
    </row>
    <row r="1542" spans="1:22" ht="15" customHeight="1" x14ac:dyDescent="0.35">
      <c r="A1542" s="3" t="s">
        <v>1974</v>
      </c>
      <c r="B1542" s="4">
        <v>45358</v>
      </c>
      <c r="C1542" s="3" t="s">
        <v>1567</v>
      </c>
      <c r="D1542" s="3" t="s">
        <v>176</v>
      </c>
      <c r="E1542" s="3" t="s">
        <v>46</v>
      </c>
      <c r="F1542" s="5">
        <v>7</v>
      </c>
      <c r="G1542" s="5">
        <v>3640</v>
      </c>
      <c r="H1542" s="5">
        <v>14.4</v>
      </c>
      <c r="I1542" s="5">
        <v>21810.880000000001</v>
      </c>
      <c r="J1542" s="3" t="s">
        <v>26</v>
      </c>
      <c r="K1542" s="3" t="s">
        <v>33</v>
      </c>
      <c r="L1542" t="str">
        <f>IFERROR(VLOOKUP(D1542,Products!$A$2:$F$61,3,FALSE()),"")</f>
        <v>Apparel</v>
      </c>
      <c r="M1542" t="str">
        <f>IFERROR(VLOOKUP(E1542,Sales_Reps!$A$2:$C$31,3,FALSE()),"")</f>
        <v>North</v>
      </c>
      <c r="N1542">
        <f>IFERROR(VLOOKUP(D1542,Products!$A$2:$F$61,4,FALSE()),"")</f>
        <v>2611</v>
      </c>
      <c r="O1542" t="str">
        <f>IFERROR(VLOOKUP(C1542,Customers!$A$2:$F$301,5,FALSE()),"")</f>
        <v>Retail</v>
      </c>
      <c r="P1542">
        <f>IFERROR(VLOOKUP(C1542,Customers!$A$2:$F$301,3,FALSE()),"")</f>
        <v>35</v>
      </c>
      <c r="Q1542">
        <f t="shared" si="72"/>
        <v>0.28269230769230769</v>
      </c>
      <c r="R1542">
        <f>IF(AND(COUNTIF($A$2:$A$2047,A1542)&gt;1,COUNTIF($A$2:A1542,A1542)=1),1,0)</f>
        <v>0</v>
      </c>
      <c r="S1542" t="b">
        <f>IFERROR(VLOOKUP(D1542,Products!$A$2:$F$61,6,FALSE()),"")</f>
        <v>1</v>
      </c>
      <c r="T1542" t="str">
        <f>IF(COUNTIF(Customers!$A$2:$A$301,C1542)=0,"Missing","OK")</f>
        <v>OK</v>
      </c>
      <c r="U1542" t="str">
        <f t="shared" si="73"/>
        <v>Chennai</v>
      </c>
      <c r="V1542">
        <f t="shared" si="74"/>
        <v>0</v>
      </c>
    </row>
    <row r="1543" spans="1:22" ht="15" customHeight="1" x14ac:dyDescent="0.35">
      <c r="A1543" s="3" t="s">
        <v>1975</v>
      </c>
      <c r="B1543" s="4">
        <v>45385</v>
      </c>
      <c r="C1543" s="3" t="s">
        <v>841</v>
      </c>
      <c r="D1543" s="3" t="s">
        <v>100</v>
      </c>
      <c r="E1543" s="3" t="s">
        <v>242</v>
      </c>
      <c r="F1543" s="5">
        <v>9</v>
      </c>
      <c r="G1543" s="5">
        <v>3450</v>
      </c>
      <c r="H1543" s="5">
        <v>20.100000000000001</v>
      </c>
      <c r="I1543" s="5">
        <v>24808.95</v>
      </c>
      <c r="J1543" s="3" t="s">
        <v>26</v>
      </c>
      <c r="K1543" s="3" t="s">
        <v>51</v>
      </c>
      <c r="L1543" t="str">
        <f>IFERROR(VLOOKUP(D1543,Products!$A$2:$F$61,3,FALSE()),"")</f>
        <v>Sports</v>
      </c>
      <c r="M1543" t="str">
        <f>IFERROR(VLOOKUP(E1543,Sales_Reps!$A$2:$C$31,3,FALSE()),"")</f>
        <v>East</v>
      </c>
      <c r="N1543">
        <f>IFERROR(VLOOKUP(D1543,Products!$A$2:$F$61,4,FALSE()),"")</f>
        <v>2467</v>
      </c>
      <c r="O1543" t="str">
        <f>IFERROR(VLOOKUP(C1543,Customers!$A$2:$F$301,5,FALSE()),"")</f>
        <v>Retail</v>
      </c>
      <c r="P1543">
        <f>IFERROR(VLOOKUP(C1543,Customers!$A$2:$F$301,3,FALSE()),"")</f>
        <v>37</v>
      </c>
      <c r="Q1543">
        <f t="shared" si="72"/>
        <v>0.28492753623188405</v>
      </c>
      <c r="R1543">
        <f>IF(AND(COUNTIF($A$2:$A$2047,A1543)&gt;1,COUNTIF($A$2:A1543,A1543)=1),1,0)</f>
        <v>0</v>
      </c>
      <c r="S1543" t="b">
        <f>IFERROR(VLOOKUP(D1543,Products!$A$2:$F$61,6,FALSE()),"")</f>
        <v>1</v>
      </c>
      <c r="T1543" t="str">
        <f>IF(COUNTIF(Customers!$A$2:$A$301,C1543)=0,"Missing","OK")</f>
        <v>OK</v>
      </c>
      <c r="U1543" t="str">
        <f t="shared" si="73"/>
        <v>Mumbai</v>
      </c>
      <c r="V1543">
        <f t="shared" si="74"/>
        <v>0</v>
      </c>
    </row>
    <row r="1544" spans="1:22" ht="15" customHeight="1" x14ac:dyDescent="0.35">
      <c r="A1544" s="3" t="s">
        <v>1976</v>
      </c>
      <c r="B1544" s="4">
        <v>45443</v>
      </c>
      <c r="C1544" s="3" t="s">
        <v>807</v>
      </c>
      <c r="D1544" s="3" t="s">
        <v>96</v>
      </c>
      <c r="E1544" s="3" t="s">
        <v>87</v>
      </c>
      <c r="F1544" s="5">
        <v>6</v>
      </c>
      <c r="G1544" s="5">
        <v>3450</v>
      </c>
      <c r="H1544" s="5">
        <v>19.899999999999999</v>
      </c>
      <c r="I1544" s="5">
        <v>16580.7</v>
      </c>
      <c r="J1544" s="3" t="s">
        <v>32</v>
      </c>
      <c r="K1544" s="3" t="s">
        <v>38</v>
      </c>
      <c r="L1544" t="str">
        <f>IFERROR(VLOOKUP(D1544,Products!$A$2:$F$61,3,FALSE()),"")</f>
        <v>Beauty</v>
      </c>
      <c r="M1544" t="str">
        <f>IFERROR(VLOOKUP(E1544,Sales_Reps!$A$2:$C$31,3,FALSE()),"")</f>
        <v>North</v>
      </c>
      <c r="N1544">
        <f>IFERROR(VLOOKUP(D1544,Products!$A$2:$F$61,4,FALSE()),"")</f>
        <v>2420</v>
      </c>
      <c r="O1544" t="str">
        <f>IFERROR(VLOOKUP(C1544,Customers!$A$2:$F$301,5,FALSE()),"")</f>
        <v>SMB</v>
      </c>
      <c r="P1544">
        <f>IFERROR(VLOOKUP(C1544,Customers!$A$2:$F$301,3,FALSE()),"")</f>
        <v>38</v>
      </c>
      <c r="Q1544">
        <f t="shared" si="72"/>
        <v>0.29855072463768118</v>
      </c>
      <c r="R1544">
        <f>IF(AND(COUNTIF($A$2:$A$2047,A1544)&gt;1,COUNTIF($A$2:A1544,A1544)=1),1,0)</f>
        <v>0</v>
      </c>
      <c r="S1544" t="b">
        <f>IFERROR(VLOOKUP(D1544,Products!$A$2:$F$61,6,FALSE()),"")</f>
        <v>1</v>
      </c>
      <c r="T1544" t="str">
        <f>IF(COUNTIF(Customers!$A$2:$A$301,C1544)=0,"Missing","OK")</f>
        <v>OK</v>
      </c>
      <c r="U1544" t="str">
        <f t="shared" si="73"/>
        <v>Delhi</v>
      </c>
      <c r="V1544">
        <f t="shared" si="74"/>
        <v>0</v>
      </c>
    </row>
    <row r="1545" spans="1:22" ht="15" customHeight="1" x14ac:dyDescent="0.35">
      <c r="A1545" s="3" t="s">
        <v>1977</v>
      </c>
      <c r="B1545" s="4">
        <v>45599</v>
      </c>
      <c r="C1545" s="3" t="s">
        <v>120</v>
      </c>
      <c r="D1545" s="3" t="s">
        <v>325</v>
      </c>
      <c r="E1545" s="3" t="s">
        <v>224</v>
      </c>
      <c r="F1545" s="5">
        <v>4</v>
      </c>
      <c r="G1545" s="5">
        <v>2290</v>
      </c>
      <c r="H1545" s="5">
        <v>4.8</v>
      </c>
      <c r="I1545" s="5">
        <v>8720.32</v>
      </c>
      <c r="J1545" s="3" t="s">
        <v>32</v>
      </c>
      <c r="K1545" s="3" t="s">
        <v>38</v>
      </c>
      <c r="L1545" t="str">
        <f>IFERROR(VLOOKUP(D1545,Products!$A$2:$F$61,3,FALSE()),"")</f>
        <v>Beauty</v>
      </c>
      <c r="M1545" t="str">
        <f>IFERROR(VLOOKUP(E1545,Sales_Reps!$A$2:$C$31,3,FALSE()),"")</f>
        <v>East</v>
      </c>
      <c r="N1545">
        <f>IFERROR(VLOOKUP(D1545,Products!$A$2:$F$61,4,FALSE()),"")</f>
        <v>1219</v>
      </c>
      <c r="O1545" t="str">
        <f>IFERROR(VLOOKUP(C1545,Customers!$A$2:$F$301,5,FALSE()),"")</f>
        <v>Retail</v>
      </c>
      <c r="P1545">
        <f>IFERROR(VLOOKUP(C1545,Customers!$A$2:$F$301,3,FALSE()),"")</f>
        <v>31</v>
      </c>
      <c r="Q1545">
        <f t="shared" si="72"/>
        <v>0.46768558951965067</v>
      </c>
      <c r="R1545">
        <f>IF(AND(COUNTIF($A$2:$A$2047,A1545)&gt;1,COUNTIF($A$2:A1545,A1545)=1),1,0)</f>
        <v>0</v>
      </c>
      <c r="S1545" t="b">
        <f>IFERROR(VLOOKUP(D1545,Products!$A$2:$F$61,6,FALSE()),"")</f>
        <v>1</v>
      </c>
      <c r="T1545" t="str">
        <f>IF(COUNTIF(Customers!$A$2:$A$301,C1545)=0,"Missing","OK")</f>
        <v>OK</v>
      </c>
      <c r="U1545" t="str">
        <f t="shared" si="73"/>
        <v>Delhi</v>
      </c>
      <c r="V1545">
        <f t="shared" si="74"/>
        <v>0</v>
      </c>
    </row>
    <row r="1546" spans="1:22" ht="15" customHeight="1" x14ac:dyDescent="0.35">
      <c r="A1546" s="3" t="s">
        <v>1978</v>
      </c>
      <c r="B1546" s="4">
        <v>45479</v>
      </c>
      <c r="C1546" s="3" t="s">
        <v>636</v>
      </c>
      <c r="D1546" s="3" t="s">
        <v>54</v>
      </c>
      <c r="E1546" s="3" t="s">
        <v>71</v>
      </c>
      <c r="F1546" s="5">
        <v>9</v>
      </c>
      <c r="G1546" s="5">
        <v>960</v>
      </c>
      <c r="H1546" s="5">
        <v>2.4</v>
      </c>
      <c r="I1546" s="5">
        <v>8432.64</v>
      </c>
      <c r="J1546" s="3" t="s">
        <v>26</v>
      </c>
      <c r="K1546" s="3" t="s">
        <v>72</v>
      </c>
      <c r="L1546" t="str">
        <f>IFERROR(VLOOKUP(D1546,Products!$A$2:$F$61,3,FALSE()),"")</f>
        <v>Sports</v>
      </c>
      <c r="M1546" t="str">
        <f>IFERROR(VLOOKUP(E1546,Sales_Reps!$A$2:$C$31,3,FALSE()),"")</f>
        <v>South</v>
      </c>
      <c r="N1546">
        <f>IFERROR(VLOOKUP(D1546,Products!$A$2:$F$61,4,FALSE()),"")</f>
        <v>705</v>
      </c>
      <c r="O1546" t="str">
        <f>IFERROR(VLOOKUP(C1546,Customers!$A$2:$F$301,5,FALSE()),"")</f>
        <v>Retail</v>
      </c>
      <c r="P1546">
        <f>IFERROR(VLOOKUP(C1546,Customers!$A$2:$F$301,3,FALSE()),"")</f>
        <v>65</v>
      </c>
      <c r="Q1546">
        <f t="shared" si="72"/>
        <v>0.265625</v>
      </c>
      <c r="R1546">
        <f>IF(AND(COUNTIF($A$2:$A$2047,A1546)&gt;1,COUNTIF($A$2:A1546,A1546)=1),1,0)</f>
        <v>0</v>
      </c>
      <c r="S1546" t="b">
        <f>IFERROR(VLOOKUP(D1546,Products!$A$2:$F$61,6,FALSE()),"")</f>
        <v>1</v>
      </c>
      <c r="T1546" t="str">
        <f>IF(COUNTIF(Customers!$A$2:$A$301,C1546)=0,"Missing","OK")</f>
        <v>OK</v>
      </c>
      <c r="U1546" t="str">
        <f t="shared" si="73"/>
        <v>Hyderabad</v>
      </c>
      <c r="V1546">
        <f t="shared" si="74"/>
        <v>0</v>
      </c>
    </row>
    <row r="1547" spans="1:22" ht="15" customHeight="1" x14ac:dyDescent="0.35">
      <c r="A1547" s="3" t="s">
        <v>1979</v>
      </c>
      <c r="B1547" s="4">
        <v>45489</v>
      </c>
      <c r="C1547" s="3" t="s">
        <v>664</v>
      </c>
      <c r="D1547" s="3" t="s">
        <v>209</v>
      </c>
      <c r="E1547" s="3" t="s">
        <v>50</v>
      </c>
      <c r="F1547" s="5">
        <v>9</v>
      </c>
      <c r="G1547" s="5">
        <v>4610</v>
      </c>
      <c r="H1547" s="5">
        <v>21.3</v>
      </c>
      <c r="I1547" s="5">
        <v>32652.63</v>
      </c>
      <c r="J1547" s="3" t="s">
        <v>26</v>
      </c>
      <c r="K1547" s="3" t="s">
        <v>38</v>
      </c>
      <c r="L1547" t="str">
        <f>IFERROR(VLOOKUP(D1547,Products!$A$2:$F$61,3,FALSE()),"")</f>
        <v>Home</v>
      </c>
      <c r="M1547" t="str">
        <f>IFERROR(VLOOKUP(E1547,Sales_Reps!$A$2:$C$31,3,FALSE()),"")</f>
        <v>West</v>
      </c>
      <c r="N1547">
        <f>IFERROR(VLOOKUP(D1547,Products!$A$2:$F$61,4,FALSE()),"")</f>
        <v>1850</v>
      </c>
      <c r="O1547" t="str">
        <f>IFERROR(VLOOKUP(C1547,Customers!$A$2:$F$301,5,FALSE()),"")</f>
        <v>SMB</v>
      </c>
      <c r="P1547">
        <f>IFERROR(VLOOKUP(C1547,Customers!$A$2:$F$301,3,FALSE()),"")</f>
        <v>26</v>
      </c>
      <c r="Q1547">
        <f t="shared" si="72"/>
        <v>0.59869848156182215</v>
      </c>
      <c r="R1547">
        <f>IF(AND(COUNTIF($A$2:$A$2047,A1547)&gt;1,COUNTIF($A$2:A1547,A1547)=1),1,0)</f>
        <v>0</v>
      </c>
      <c r="S1547" t="b">
        <f>IFERROR(VLOOKUP(D1547,Products!$A$2:$F$61,6,FALSE()),"")</f>
        <v>1</v>
      </c>
      <c r="T1547" t="str">
        <f>IF(COUNTIF(Customers!$A$2:$A$301,C1547)=0,"Missing","OK")</f>
        <v>OK</v>
      </c>
      <c r="U1547" t="str">
        <f t="shared" si="73"/>
        <v>Delhi</v>
      </c>
      <c r="V1547">
        <f t="shared" si="74"/>
        <v>0</v>
      </c>
    </row>
    <row r="1548" spans="1:22" ht="15" customHeight="1" x14ac:dyDescent="0.35">
      <c r="A1548" s="3" t="s">
        <v>1980</v>
      </c>
      <c r="B1548" s="4">
        <v>45514</v>
      </c>
      <c r="C1548" s="3" t="s">
        <v>1011</v>
      </c>
      <c r="D1548" s="3" t="s">
        <v>41</v>
      </c>
      <c r="E1548" s="3" t="s">
        <v>87</v>
      </c>
      <c r="F1548" s="5">
        <v>1</v>
      </c>
      <c r="G1548" s="5">
        <v>3660</v>
      </c>
      <c r="H1548" s="5">
        <v>15.6</v>
      </c>
      <c r="I1548" s="5">
        <v>3089.04</v>
      </c>
      <c r="J1548" s="3" t="s">
        <v>26</v>
      </c>
      <c r="K1548" s="3" t="s">
        <v>51</v>
      </c>
      <c r="L1548" t="str">
        <f>IFERROR(VLOOKUP(D1548,Products!$A$2:$F$61,3,FALSE()),"")</f>
        <v>Grocery</v>
      </c>
      <c r="M1548" t="str">
        <f>IFERROR(VLOOKUP(E1548,Sales_Reps!$A$2:$C$31,3,FALSE()),"")</f>
        <v>North</v>
      </c>
      <c r="N1548">
        <f>IFERROR(VLOOKUP(D1548,Products!$A$2:$F$61,4,FALSE()),"")</f>
        <v>2214</v>
      </c>
      <c r="O1548" t="str">
        <f>IFERROR(VLOOKUP(C1548,Customers!$A$2:$F$301,5,FALSE()),"")</f>
        <v>SMB</v>
      </c>
      <c r="P1548">
        <f>IFERROR(VLOOKUP(C1548,Customers!$A$2:$F$301,3,FALSE()),"")</f>
        <v>53</v>
      </c>
      <c r="Q1548">
        <f t="shared" si="72"/>
        <v>0.39508196721311473</v>
      </c>
      <c r="R1548">
        <f>IF(AND(COUNTIF($A$2:$A$2047,A1548)&gt;1,COUNTIF($A$2:A1548,A1548)=1),1,0)</f>
        <v>0</v>
      </c>
      <c r="S1548" t="b">
        <f>IFERROR(VLOOKUP(D1548,Products!$A$2:$F$61,6,FALSE()),"")</f>
        <v>0</v>
      </c>
      <c r="T1548" t="str">
        <f>IF(COUNTIF(Customers!$A$2:$A$301,C1548)=0,"Missing","OK")</f>
        <v>OK</v>
      </c>
      <c r="U1548" t="str">
        <f t="shared" si="73"/>
        <v>Mumbai</v>
      </c>
      <c r="V1548">
        <f t="shared" si="74"/>
        <v>0</v>
      </c>
    </row>
    <row r="1549" spans="1:22" ht="15" customHeight="1" x14ac:dyDescent="0.35">
      <c r="A1549" s="3" t="s">
        <v>1981</v>
      </c>
      <c r="B1549" s="4">
        <v>45653</v>
      </c>
      <c r="C1549" s="3" t="s">
        <v>244</v>
      </c>
      <c r="D1549" s="3" t="s">
        <v>218</v>
      </c>
      <c r="E1549" s="3" t="s">
        <v>264</v>
      </c>
      <c r="F1549" s="5">
        <v>5</v>
      </c>
      <c r="G1549" s="5">
        <v>2660</v>
      </c>
      <c r="H1549" s="5">
        <v>20.399999999999999</v>
      </c>
      <c r="I1549" s="5">
        <v>10586.8</v>
      </c>
      <c r="J1549" s="3" t="s">
        <v>26</v>
      </c>
      <c r="K1549" s="3" t="s">
        <v>72</v>
      </c>
      <c r="L1549" t="str">
        <f>IFERROR(VLOOKUP(D1549,Products!$A$2:$F$61,3,FALSE()),"")</f>
        <v>Electronics</v>
      </c>
      <c r="M1549" t="str">
        <f>IFERROR(VLOOKUP(E1549,Sales_Reps!$A$2:$C$31,3,FALSE()),"")</f>
        <v>South</v>
      </c>
      <c r="N1549">
        <f>IFERROR(VLOOKUP(D1549,Products!$A$2:$F$61,4,FALSE()),"")</f>
        <v>1259</v>
      </c>
      <c r="O1549" t="str">
        <f>IFERROR(VLOOKUP(C1549,Customers!$A$2:$F$301,5,FALSE()),"")</f>
        <v>Corporate</v>
      </c>
      <c r="P1549">
        <f>IFERROR(VLOOKUP(C1549,Customers!$A$2:$F$301,3,FALSE()),"")</f>
        <v>46</v>
      </c>
      <c r="Q1549">
        <f t="shared" si="72"/>
        <v>0.52669172932330832</v>
      </c>
      <c r="R1549">
        <f>IF(AND(COUNTIF($A$2:$A$2047,A1549)&gt;1,COUNTIF($A$2:A1549,A1549)=1),1,0)</f>
        <v>0</v>
      </c>
      <c r="S1549" t="b">
        <f>IFERROR(VLOOKUP(D1549,Products!$A$2:$F$61,6,FALSE()),"")</f>
        <v>0</v>
      </c>
      <c r="T1549" t="str">
        <f>IF(COUNTIF(Customers!$A$2:$A$301,C1549)=0,"Missing","OK")</f>
        <v>OK</v>
      </c>
      <c r="U1549" t="str">
        <f t="shared" si="73"/>
        <v>Hyderabad</v>
      </c>
      <c r="V1549">
        <f t="shared" si="74"/>
        <v>0</v>
      </c>
    </row>
    <row r="1550" spans="1:22" ht="15" customHeight="1" x14ac:dyDescent="0.35">
      <c r="A1550" s="3" t="s">
        <v>1982</v>
      </c>
      <c r="B1550" s="4">
        <v>45401</v>
      </c>
      <c r="C1550" s="3" t="s">
        <v>807</v>
      </c>
      <c r="D1550" s="3" t="s">
        <v>198</v>
      </c>
      <c r="E1550" s="3" t="s">
        <v>140</v>
      </c>
      <c r="F1550" s="5">
        <v>8</v>
      </c>
      <c r="G1550" s="5">
        <v>1540</v>
      </c>
      <c r="H1550" s="5">
        <v>0.5</v>
      </c>
      <c r="I1550" s="5">
        <v>12258.4</v>
      </c>
      <c r="J1550" s="3" t="s">
        <v>26</v>
      </c>
      <c r="K1550" s="3" t="s">
        <v>38</v>
      </c>
      <c r="L1550" t="str">
        <f>IFERROR(VLOOKUP(D1550,Products!$A$2:$F$61,3,FALSE()),"")</f>
        <v>Beauty</v>
      </c>
      <c r="M1550" t="str">
        <f>IFERROR(VLOOKUP(E1550,Sales_Reps!$A$2:$C$31,3,FALSE()),"")</f>
        <v>West</v>
      </c>
      <c r="N1550">
        <f>IFERROR(VLOOKUP(D1550,Products!$A$2:$F$61,4,FALSE()),"")</f>
        <v>647</v>
      </c>
      <c r="O1550" t="str">
        <f>IFERROR(VLOOKUP(C1550,Customers!$A$2:$F$301,5,FALSE()),"")</f>
        <v>SMB</v>
      </c>
      <c r="P1550">
        <f>IFERROR(VLOOKUP(C1550,Customers!$A$2:$F$301,3,FALSE()),"")</f>
        <v>38</v>
      </c>
      <c r="Q1550">
        <f t="shared" si="72"/>
        <v>0.57987012987012987</v>
      </c>
      <c r="R1550">
        <f>IF(AND(COUNTIF($A$2:$A$2047,A1550)&gt;1,COUNTIF($A$2:A1550,A1550)=1),1,0)</f>
        <v>0</v>
      </c>
      <c r="S1550" t="b">
        <f>IFERROR(VLOOKUP(D1550,Products!$A$2:$F$61,6,FALSE()),"")</f>
        <v>0</v>
      </c>
      <c r="T1550" t="str">
        <f>IF(COUNTIF(Customers!$A$2:$A$301,C1550)=0,"Missing","OK")</f>
        <v>OK</v>
      </c>
      <c r="U1550" t="str">
        <f t="shared" si="73"/>
        <v>Delhi</v>
      </c>
      <c r="V1550">
        <f t="shared" si="74"/>
        <v>0</v>
      </c>
    </row>
    <row r="1551" spans="1:22" ht="15" customHeight="1" x14ac:dyDescent="0.35">
      <c r="A1551" s="3" t="s">
        <v>1983</v>
      </c>
      <c r="B1551" s="4">
        <v>45621</v>
      </c>
      <c r="C1551" s="3" t="s">
        <v>446</v>
      </c>
      <c r="D1551" s="3" t="s">
        <v>347</v>
      </c>
      <c r="E1551" s="3" t="s">
        <v>78</v>
      </c>
      <c r="F1551" s="5">
        <v>4</v>
      </c>
      <c r="G1551" s="5">
        <v>3970</v>
      </c>
      <c r="H1551" s="5">
        <v>22.5</v>
      </c>
      <c r="I1551" s="5">
        <v>12307</v>
      </c>
      <c r="J1551" s="3" t="s">
        <v>26</v>
      </c>
      <c r="K1551" s="3" t="s">
        <v>27</v>
      </c>
      <c r="L1551" t="str">
        <f>IFERROR(VLOOKUP(D1551,Products!$A$2:$F$61,3,FALSE()),"")</f>
        <v>Electronics</v>
      </c>
      <c r="M1551" t="str">
        <f>IFERROR(VLOOKUP(E1551,Sales_Reps!$A$2:$C$31,3,FALSE()),"")</f>
        <v>North</v>
      </c>
      <c r="N1551">
        <f>IFERROR(VLOOKUP(D1551,Products!$A$2:$F$61,4,FALSE()),"")</f>
        <v>2865</v>
      </c>
      <c r="O1551" t="str">
        <f>IFERROR(VLOOKUP(C1551,Customers!$A$2:$F$301,5,FALSE()),"")</f>
        <v>Retail</v>
      </c>
      <c r="P1551">
        <f>IFERROR(VLOOKUP(C1551,Customers!$A$2:$F$301,3,FALSE()),"")</f>
        <v>59</v>
      </c>
      <c r="Q1551">
        <f t="shared" si="72"/>
        <v>0.27833753148614609</v>
      </c>
      <c r="R1551">
        <f>IF(AND(COUNTIF($A$2:$A$2047,A1551)&gt;1,COUNTIF($A$2:A1551,A1551)=1),1,0)</f>
        <v>0</v>
      </c>
      <c r="S1551" t="b">
        <f>IFERROR(VLOOKUP(D1551,Products!$A$2:$F$61,6,FALSE()),"")</f>
        <v>1</v>
      </c>
      <c r="T1551" t="str">
        <f>IF(COUNTIF(Customers!$A$2:$A$301,C1551)=0,"Missing","OK")</f>
        <v>OK</v>
      </c>
      <c r="U1551" t="str">
        <f t="shared" si="73"/>
        <v>Pune</v>
      </c>
      <c r="V1551">
        <f t="shared" si="74"/>
        <v>0</v>
      </c>
    </row>
    <row r="1552" spans="1:22" ht="15" customHeight="1" x14ac:dyDescent="0.35">
      <c r="A1552" s="3" t="s">
        <v>1984</v>
      </c>
      <c r="B1552" s="4">
        <v>45368</v>
      </c>
      <c r="C1552" s="3" t="s">
        <v>308</v>
      </c>
      <c r="D1552" s="3" t="s">
        <v>400</v>
      </c>
      <c r="E1552" s="3" t="s">
        <v>25</v>
      </c>
      <c r="F1552" s="5">
        <v>8</v>
      </c>
      <c r="G1552" s="5">
        <v>3780</v>
      </c>
      <c r="H1552" s="5">
        <v>3.8</v>
      </c>
      <c r="I1552" s="5">
        <v>29090.880000000001</v>
      </c>
      <c r="J1552" s="3" t="s">
        <v>26</v>
      </c>
      <c r="K1552" s="3" t="s">
        <v>33</v>
      </c>
      <c r="L1552" t="str">
        <f>IFERROR(VLOOKUP(D1552,Products!$A$2:$F$61,3,FALSE()),"")</f>
        <v>Sports</v>
      </c>
      <c r="M1552" t="str">
        <f>IFERROR(VLOOKUP(E1552,Sales_Reps!$A$2:$C$31,3,FALSE()),"")</f>
        <v>North</v>
      </c>
      <c r="N1552">
        <f>IFERROR(VLOOKUP(D1552,Products!$A$2:$F$61,4,FALSE()),"")</f>
        <v>1860</v>
      </c>
      <c r="O1552" t="str">
        <f>IFERROR(VLOOKUP(C1552,Customers!$A$2:$F$301,5,FALSE()),"")</f>
        <v>SMB</v>
      </c>
      <c r="P1552">
        <f>IFERROR(VLOOKUP(C1552,Customers!$A$2:$F$301,3,FALSE()),"")</f>
        <v>62</v>
      </c>
      <c r="Q1552">
        <f t="shared" si="72"/>
        <v>0.50793650793650791</v>
      </c>
      <c r="R1552">
        <f>IF(AND(COUNTIF($A$2:$A$2047,A1552)&gt;1,COUNTIF($A$2:A1552,A1552)=1),1,0)</f>
        <v>0</v>
      </c>
      <c r="S1552" t="b">
        <f>IFERROR(VLOOKUP(D1552,Products!$A$2:$F$61,6,FALSE()),"")</f>
        <v>1</v>
      </c>
      <c r="T1552" t="str">
        <f>IF(COUNTIF(Customers!$A$2:$A$301,C1552)=0,"Missing","OK")</f>
        <v>OK</v>
      </c>
      <c r="U1552" t="str">
        <f t="shared" si="73"/>
        <v>Chennai</v>
      </c>
      <c r="V1552">
        <f t="shared" si="74"/>
        <v>0</v>
      </c>
    </row>
    <row r="1553" spans="1:22" ht="15" customHeight="1" x14ac:dyDescent="0.35">
      <c r="A1553" s="3" t="s">
        <v>1985</v>
      </c>
      <c r="B1553" s="4">
        <v>45550</v>
      </c>
      <c r="C1553" s="3" t="s">
        <v>333</v>
      </c>
      <c r="D1553" s="3" t="s">
        <v>184</v>
      </c>
      <c r="E1553" s="3" t="s">
        <v>78</v>
      </c>
      <c r="F1553" s="5">
        <v>4</v>
      </c>
      <c r="G1553" s="5">
        <v>2270</v>
      </c>
      <c r="H1553" s="5">
        <v>3.8</v>
      </c>
      <c r="I1553" s="5">
        <v>8734.9599999999991</v>
      </c>
      <c r="J1553" s="3" t="s">
        <v>79</v>
      </c>
      <c r="K1553" s="3" t="s">
        <v>56</v>
      </c>
      <c r="L1553" t="str">
        <f>IFERROR(VLOOKUP(D1553,Products!$A$2:$F$61,3,FALSE()),"")</f>
        <v>Grocery</v>
      </c>
      <c r="M1553" t="str">
        <f>IFERROR(VLOOKUP(E1553,Sales_Reps!$A$2:$C$31,3,FALSE()),"")</f>
        <v>North</v>
      </c>
      <c r="N1553">
        <f>IFERROR(VLOOKUP(D1553,Products!$A$2:$F$61,4,FALSE()),"")</f>
        <v>1412</v>
      </c>
      <c r="O1553" t="str">
        <f>IFERROR(VLOOKUP(C1553,Customers!$A$2:$F$301,5,FALSE()),"")</f>
        <v>SMB</v>
      </c>
      <c r="P1553">
        <f>IFERROR(VLOOKUP(C1553,Customers!$A$2:$F$301,3,FALSE()),"")</f>
        <v>28</v>
      </c>
      <c r="Q1553">
        <f t="shared" si="72"/>
        <v>0.37797356828193834</v>
      </c>
      <c r="R1553">
        <f>IF(AND(COUNTIF($A$2:$A$2047,A1553)&gt;1,COUNTIF($A$2:A1553,A1553)=1),1,0)</f>
        <v>0</v>
      </c>
      <c r="S1553" t="b">
        <f>IFERROR(VLOOKUP(D1553,Products!$A$2:$F$61,6,FALSE()),"")</f>
        <v>1</v>
      </c>
      <c r="T1553" t="str">
        <f>IF(COUNTIF(Customers!$A$2:$A$301,C1553)=0,"Missing","OK")</f>
        <v>OK</v>
      </c>
      <c r="U1553" t="str">
        <f t="shared" si="73"/>
        <v>Bengaluru</v>
      </c>
      <c r="V1553">
        <f t="shared" si="74"/>
        <v>8734.9599999999991</v>
      </c>
    </row>
    <row r="1554" spans="1:22" ht="15" customHeight="1" x14ac:dyDescent="0.35">
      <c r="A1554" s="3" t="s">
        <v>1986</v>
      </c>
      <c r="B1554" s="4">
        <v>45304</v>
      </c>
      <c r="C1554" s="3" t="s">
        <v>272</v>
      </c>
      <c r="D1554" s="3" t="s">
        <v>206</v>
      </c>
      <c r="E1554" s="3" t="s">
        <v>143</v>
      </c>
      <c r="F1554" s="5">
        <v>10</v>
      </c>
      <c r="G1554" s="5">
        <v>1220</v>
      </c>
      <c r="H1554" s="5">
        <v>19.5</v>
      </c>
      <c r="I1554" s="5">
        <v>9821</v>
      </c>
      <c r="J1554" s="3" t="s">
        <v>26</v>
      </c>
      <c r="K1554" s="3" t="s">
        <v>72</v>
      </c>
      <c r="L1554" t="str">
        <f>IFERROR(VLOOKUP(D1554,Products!$A$2:$F$61,3,FALSE()),"")</f>
        <v>Electronics</v>
      </c>
      <c r="M1554" t="str">
        <f>IFERROR(VLOOKUP(E1554,Sales_Reps!$A$2:$C$31,3,FALSE()),"")</f>
        <v>South</v>
      </c>
      <c r="N1554">
        <f>IFERROR(VLOOKUP(D1554,Products!$A$2:$F$61,4,FALSE()),"")</f>
        <v>517</v>
      </c>
      <c r="O1554" t="str">
        <f>IFERROR(VLOOKUP(C1554,Customers!$A$2:$F$301,5,FALSE()),"")</f>
        <v>SMB</v>
      </c>
      <c r="P1554">
        <f>IFERROR(VLOOKUP(C1554,Customers!$A$2:$F$301,3,FALSE()),"")</f>
        <v>65</v>
      </c>
      <c r="Q1554">
        <f t="shared" si="72"/>
        <v>0.57622950819672136</v>
      </c>
      <c r="R1554">
        <f>IF(AND(COUNTIF($A$2:$A$2047,A1554)&gt;1,COUNTIF($A$2:A1554,A1554)=1),1,0)</f>
        <v>0</v>
      </c>
      <c r="S1554" t="b">
        <f>IFERROR(VLOOKUP(D1554,Products!$A$2:$F$61,6,FALSE()),"")</f>
        <v>1</v>
      </c>
      <c r="T1554" t="str">
        <f>IF(COUNTIF(Customers!$A$2:$A$301,C1554)=0,"Missing","OK")</f>
        <v>OK</v>
      </c>
      <c r="U1554" t="str">
        <f t="shared" si="73"/>
        <v>Hyderabad</v>
      </c>
      <c r="V1554">
        <f t="shared" si="74"/>
        <v>0</v>
      </c>
    </row>
    <row r="1555" spans="1:22" ht="15" customHeight="1" x14ac:dyDescent="0.35">
      <c r="A1555" s="3" t="s">
        <v>1987</v>
      </c>
      <c r="B1555" s="4">
        <v>45321</v>
      </c>
      <c r="C1555" s="3" t="s">
        <v>238</v>
      </c>
      <c r="D1555" s="3" t="s">
        <v>118</v>
      </c>
      <c r="E1555" s="3" t="s">
        <v>127</v>
      </c>
      <c r="F1555" s="5">
        <v>10</v>
      </c>
      <c r="G1555" s="5">
        <v>3350</v>
      </c>
      <c r="H1555" s="5">
        <v>7.8</v>
      </c>
      <c r="I1555" s="5">
        <v>30887</v>
      </c>
      <c r="J1555" s="3" t="s">
        <v>26</v>
      </c>
      <c r="K1555" s="3" t="s">
        <v>72</v>
      </c>
      <c r="L1555" t="str">
        <f>IFERROR(VLOOKUP(D1555,Products!$A$2:$F$61,3,FALSE()),"")</f>
        <v>Beauty</v>
      </c>
      <c r="M1555" t="str">
        <f>IFERROR(VLOOKUP(E1555,Sales_Reps!$A$2:$C$31,3,FALSE()),"")</f>
        <v>South</v>
      </c>
      <c r="N1555">
        <f>IFERROR(VLOOKUP(D1555,Products!$A$2:$F$61,4,FALSE()),"")</f>
        <v>1728</v>
      </c>
      <c r="O1555" t="str">
        <f>IFERROR(VLOOKUP(C1555,Customers!$A$2:$F$301,5,FALSE()),"")</f>
        <v>Retail</v>
      </c>
      <c r="P1555">
        <f>IFERROR(VLOOKUP(C1555,Customers!$A$2:$F$301,3,FALSE()),"")</f>
        <v>29</v>
      </c>
      <c r="Q1555">
        <f t="shared" si="72"/>
        <v>0.48417910447761192</v>
      </c>
      <c r="R1555">
        <f>IF(AND(COUNTIF($A$2:$A$2047,A1555)&gt;1,COUNTIF($A$2:A1555,A1555)=1),1,0)</f>
        <v>0</v>
      </c>
      <c r="S1555" t="b">
        <f>IFERROR(VLOOKUP(D1555,Products!$A$2:$F$61,6,FALSE()),"")</f>
        <v>1</v>
      </c>
      <c r="T1555" t="str">
        <f>IF(COUNTIF(Customers!$A$2:$A$301,C1555)=0,"Missing","OK")</f>
        <v>OK</v>
      </c>
      <c r="U1555" t="str">
        <f t="shared" si="73"/>
        <v>Hyderabad</v>
      </c>
      <c r="V1555">
        <f t="shared" si="74"/>
        <v>0</v>
      </c>
    </row>
    <row r="1556" spans="1:22" ht="15" customHeight="1" x14ac:dyDescent="0.35">
      <c r="A1556" s="3" t="s">
        <v>1988</v>
      </c>
      <c r="B1556" s="4">
        <v>45358</v>
      </c>
      <c r="C1556" s="3" t="s">
        <v>1989</v>
      </c>
      <c r="D1556" s="3" t="s">
        <v>118</v>
      </c>
      <c r="E1556" s="3" t="s">
        <v>109</v>
      </c>
      <c r="F1556" s="5">
        <v>7</v>
      </c>
      <c r="G1556" s="5">
        <v>3350</v>
      </c>
      <c r="H1556" s="5">
        <v>14.5</v>
      </c>
      <c r="I1556" s="5">
        <v>20049.75</v>
      </c>
      <c r="J1556" s="3" t="s">
        <v>26</v>
      </c>
      <c r="K1556" s="3" t="s">
        <v>56</v>
      </c>
      <c r="L1556" t="str">
        <f>IFERROR(VLOOKUP(D1556,Products!$A$2:$F$61,3,FALSE()),"")</f>
        <v>Beauty</v>
      </c>
      <c r="M1556" t="str">
        <f>IFERROR(VLOOKUP(E1556,Sales_Reps!$A$2:$C$31,3,FALSE()),"")</f>
        <v>West</v>
      </c>
      <c r="N1556">
        <f>IFERROR(VLOOKUP(D1556,Products!$A$2:$F$61,4,FALSE()),"")</f>
        <v>1728</v>
      </c>
      <c r="O1556" t="str">
        <f>IFERROR(VLOOKUP(C1556,Customers!$A$2:$F$301,5,FALSE()),"")</f>
        <v/>
      </c>
      <c r="P1556" t="str">
        <f>IFERROR(VLOOKUP(C1556,Customers!$A$2:$F$301,3,FALSE()),"")</f>
        <v/>
      </c>
      <c r="Q1556">
        <f t="shared" si="72"/>
        <v>0.48417910447761192</v>
      </c>
      <c r="R1556">
        <f>IF(AND(COUNTIF($A$2:$A$2047,A1556)&gt;1,COUNTIF($A$2:A1556,A1556)=1),1,0)</f>
        <v>0</v>
      </c>
      <c r="S1556" t="b">
        <f>IFERROR(VLOOKUP(D1556,Products!$A$2:$F$61,6,FALSE()),"")</f>
        <v>1</v>
      </c>
      <c r="T1556" t="str">
        <f>IF(COUNTIF(Customers!$A$2:$A$301,C1556)=0,"Missing","OK")</f>
        <v>Missing</v>
      </c>
      <c r="U1556" t="str">
        <f t="shared" si="73"/>
        <v>Bengaluru</v>
      </c>
      <c r="V1556">
        <f t="shared" si="74"/>
        <v>0</v>
      </c>
    </row>
    <row r="1557" spans="1:22" ht="15" customHeight="1" x14ac:dyDescent="0.35">
      <c r="A1557" s="3" t="s">
        <v>1990</v>
      </c>
      <c r="B1557" s="4">
        <v>45440</v>
      </c>
      <c r="C1557" s="3" t="s">
        <v>156</v>
      </c>
      <c r="D1557" s="3" t="s">
        <v>63</v>
      </c>
      <c r="E1557" s="3" t="s">
        <v>37</v>
      </c>
      <c r="F1557" s="5">
        <v>6</v>
      </c>
      <c r="G1557" s="5">
        <v>5490</v>
      </c>
      <c r="H1557" s="5">
        <v>8</v>
      </c>
      <c r="I1557" s="5">
        <v>30304.799999999999</v>
      </c>
      <c r="J1557" s="3" t="s">
        <v>26</v>
      </c>
      <c r="K1557" s="3" t="s">
        <v>33</v>
      </c>
      <c r="L1557" t="str">
        <f>IFERROR(VLOOKUP(D1557,Products!$A$2:$F$61,3,FALSE()),"")</f>
        <v>Home</v>
      </c>
      <c r="M1557" t="str">
        <f>IFERROR(VLOOKUP(E1557,Sales_Reps!$A$2:$C$31,3,FALSE()),"")</f>
        <v>South</v>
      </c>
      <c r="N1557">
        <f>IFERROR(VLOOKUP(D1557,Products!$A$2:$F$61,4,FALSE()),"")</f>
        <v>2549</v>
      </c>
      <c r="O1557" t="str">
        <f>IFERROR(VLOOKUP(C1557,Customers!$A$2:$F$301,5,FALSE()),"")</f>
        <v>Retail</v>
      </c>
      <c r="P1557">
        <f>IFERROR(VLOOKUP(C1557,Customers!$A$2:$F$301,3,FALSE()),"")</f>
        <v>51</v>
      </c>
      <c r="Q1557">
        <f t="shared" si="72"/>
        <v>0.53570127504553733</v>
      </c>
      <c r="R1557">
        <f>IF(AND(COUNTIF($A$2:$A$2047,A1557)&gt;1,COUNTIF($A$2:A1557,A1557)=1),1,0)</f>
        <v>0</v>
      </c>
      <c r="S1557" t="b">
        <f>IFERROR(VLOOKUP(D1557,Products!$A$2:$F$61,6,FALSE()),"")</f>
        <v>1</v>
      </c>
      <c r="T1557" t="str">
        <f>IF(COUNTIF(Customers!$A$2:$A$301,C1557)=0,"Missing","OK")</f>
        <v>OK</v>
      </c>
      <c r="U1557" t="str">
        <f t="shared" si="73"/>
        <v>Chennai</v>
      </c>
      <c r="V1557">
        <f t="shared" si="74"/>
        <v>0</v>
      </c>
    </row>
    <row r="1558" spans="1:22" ht="15" customHeight="1" x14ac:dyDescent="0.35">
      <c r="A1558" s="3" t="s">
        <v>1991</v>
      </c>
      <c r="B1558" s="4">
        <v>45618</v>
      </c>
      <c r="C1558" s="3" t="s">
        <v>1992</v>
      </c>
      <c r="D1558" s="3" t="s">
        <v>134</v>
      </c>
      <c r="E1558" s="3" t="s">
        <v>242</v>
      </c>
      <c r="F1558" s="5">
        <v>3</v>
      </c>
      <c r="G1558" s="5">
        <v>2860</v>
      </c>
      <c r="H1558" s="5">
        <v>19.899999999999999</v>
      </c>
      <c r="I1558" s="5">
        <v>6872.58</v>
      </c>
      <c r="J1558" s="3" t="s">
        <v>26</v>
      </c>
      <c r="K1558" s="3" t="s">
        <v>72</v>
      </c>
      <c r="L1558" t="str">
        <f>IFERROR(VLOOKUP(D1558,Products!$A$2:$F$61,3,FALSE()),"")</f>
        <v>Sports</v>
      </c>
      <c r="M1558" t="str">
        <f>IFERROR(VLOOKUP(E1558,Sales_Reps!$A$2:$C$31,3,FALSE()),"")</f>
        <v>East</v>
      </c>
      <c r="N1558">
        <f>IFERROR(VLOOKUP(D1558,Products!$A$2:$F$61,4,FALSE()),"")</f>
        <v>2028</v>
      </c>
      <c r="O1558" t="str">
        <f>IFERROR(VLOOKUP(C1558,Customers!$A$2:$F$301,5,FALSE()),"")</f>
        <v>SMB</v>
      </c>
      <c r="P1558">
        <f>IFERROR(VLOOKUP(C1558,Customers!$A$2:$F$301,3,FALSE()),"")</f>
        <v>39</v>
      </c>
      <c r="Q1558">
        <f t="shared" si="72"/>
        <v>0.29090909090909089</v>
      </c>
      <c r="R1558">
        <f>IF(AND(COUNTIF($A$2:$A$2047,A1558)&gt;1,COUNTIF($A$2:A1558,A1558)=1),1,0)</f>
        <v>0</v>
      </c>
      <c r="S1558" t="b">
        <f>IFERROR(VLOOKUP(D1558,Products!$A$2:$F$61,6,FALSE()),"")</f>
        <v>1</v>
      </c>
      <c r="T1558" t="str">
        <f>IF(COUNTIF(Customers!$A$2:$A$301,C1558)=0,"Missing","OK")</f>
        <v>OK</v>
      </c>
      <c r="U1558" t="str">
        <f t="shared" si="73"/>
        <v>Hyderabad</v>
      </c>
      <c r="V1558">
        <f t="shared" si="74"/>
        <v>0</v>
      </c>
    </row>
    <row r="1559" spans="1:22" ht="15" customHeight="1" x14ac:dyDescent="0.35">
      <c r="A1559" s="3" t="s">
        <v>1993</v>
      </c>
      <c r="B1559" s="4">
        <v>45295</v>
      </c>
      <c r="C1559" s="3" t="s">
        <v>656</v>
      </c>
      <c r="D1559" s="3" t="s">
        <v>74</v>
      </c>
      <c r="E1559" s="3" t="s">
        <v>55</v>
      </c>
      <c r="F1559" s="5">
        <v>3</v>
      </c>
      <c r="G1559" s="5">
        <v>2640</v>
      </c>
      <c r="H1559" s="5">
        <v>29.3</v>
      </c>
      <c r="I1559" s="5">
        <v>5599.44</v>
      </c>
      <c r="J1559" s="3" t="s">
        <v>26</v>
      </c>
      <c r="K1559" s="3" t="s">
        <v>33</v>
      </c>
      <c r="L1559" t="str">
        <f>IFERROR(VLOOKUP(D1559,Products!$A$2:$F$61,3,FALSE()),"")</f>
        <v>Electronics</v>
      </c>
      <c r="M1559" t="str">
        <f>IFERROR(VLOOKUP(E1559,Sales_Reps!$A$2:$C$31,3,FALSE()),"")</f>
        <v>West</v>
      </c>
      <c r="N1559">
        <f>IFERROR(VLOOKUP(D1559,Products!$A$2:$F$61,4,FALSE()),"")</f>
        <v>1149</v>
      </c>
      <c r="O1559" t="str">
        <f>IFERROR(VLOOKUP(C1559,Customers!$A$2:$F$301,5,FALSE()),"")</f>
        <v>Retail</v>
      </c>
      <c r="P1559">
        <f>IFERROR(VLOOKUP(C1559,Customers!$A$2:$F$301,3,FALSE()),"")</f>
        <v>24</v>
      </c>
      <c r="Q1559">
        <f t="shared" si="72"/>
        <v>0.56477272727272732</v>
      </c>
      <c r="R1559">
        <f>IF(AND(COUNTIF($A$2:$A$2047,A1559)&gt;1,COUNTIF($A$2:A1559,A1559)=1),1,0)</f>
        <v>0</v>
      </c>
      <c r="S1559" t="b">
        <f>IFERROR(VLOOKUP(D1559,Products!$A$2:$F$61,6,FALSE()),"")</f>
        <v>1</v>
      </c>
      <c r="T1559" t="str">
        <f>IF(COUNTIF(Customers!$A$2:$A$301,C1559)=0,"Missing","OK")</f>
        <v>OK</v>
      </c>
      <c r="U1559" t="str">
        <f t="shared" si="73"/>
        <v>Chennai</v>
      </c>
      <c r="V1559">
        <f t="shared" si="74"/>
        <v>0</v>
      </c>
    </row>
    <row r="1560" spans="1:22" ht="15" customHeight="1" x14ac:dyDescent="0.35">
      <c r="A1560" s="3" t="s">
        <v>1994</v>
      </c>
      <c r="B1560" s="4">
        <v>45384</v>
      </c>
      <c r="C1560" s="3" t="s">
        <v>480</v>
      </c>
      <c r="D1560" s="3" t="s">
        <v>391</v>
      </c>
      <c r="E1560" s="3" t="s">
        <v>168</v>
      </c>
      <c r="F1560" s="5">
        <v>8</v>
      </c>
      <c r="G1560" s="5">
        <v>3450</v>
      </c>
      <c r="H1560" s="5">
        <v>15.2</v>
      </c>
      <c r="I1560" s="5">
        <v>23404.799999999999</v>
      </c>
      <c r="J1560" s="3" t="s">
        <v>79</v>
      </c>
      <c r="K1560" s="3" t="s">
        <v>33</v>
      </c>
      <c r="L1560" t="str">
        <f>IFERROR(VLOOKUP(D1560,Products!$A$2:$F$61,3,FALSE()),"")</f>
        <v>Apparel</v>
      </c>
      <c r="M1560" t="str">
        <f>IFERROR(VLOOKUP(E1560,Sales_Reps!$A$2:$C$31,3,FALSE()),"")</f>
        <v>West</v>
      </c>
      <c r="N1560">
        <f>IFERROR(VLOOKUP(D1560,Products!$A$2:$F$61,4,FALSE()),"")</f>
        <v>1748</v>
      </c>
      <c r="O1560" t="str">
        <f>IFERROR(VLOOKUP(C1560,Customers!$A$2:$F$301,5,FALSE()),"")</f>
        <v>Corporate</v>
      </c>
      <c r="P1560">
        <f>IFERROR(VLOOKUP(C1560,Customers!$A$2:$F$301,3,FALSE()),"")</f>
        <v>34</v>
      </c>
      <c r="Q1560">
        <f t="shared" si="72"/>
        <v>0.49333333333333335</v>
      </c>
      <c r="R1560">
        <f>IF(AND(COUNTIF($A$2:$A$2047,A1560)&gt;1,COUNTIF($A$2:A1560,A1560)=1),1,0)</f>
        <v>0</v>
      </c>
      <c r="S1560" t="b">
        <f>IFERROR(VLOOKUP(D1560,Products!$A$2:$F$61,6,FALSE()),"")</f>
        <v>1</v>
      </c>
      <c r="T1560" t="str">
        <f>IF(COUNTIF(Customers!$A$2:$A$301,C1560)=0,"Missing","OK")</f>
        <v>OK</v>
      </c>
      <c r="U1560" t="str">
        <f t="shared" si="73"/>
        <v>Chennai</v>
      </c>
      <c r="V1560">
        <f t="shared" si="74"/>
        <v>0</v>
      </c>
    </row>
    <row r="1561" spans="1:22" ht="15" customHeight="1" x14ac:dyDescent="0.35">
      <c r="A1561" s="3" t="s">
        <v>1995</v>
      </c>
      <c r="B1561" s="4">
        <v>45349</v>
      </c>
      <c r="C1561" s="3" t="s">
        <v>807</v>
      </c>
      <c r="D1561" s="3" t="s">
        <v>49</v>
      </c>
      <c r="E1561" s="3" t="s">
        <v>50</v>
      </c>
      <c r="F1561" s="5">
        <v>6</v>
      </c>
      <c r="G1561" s="5">
        <v>370</v>
      </c>
      <c r="H1561" s="5">
        <v>7</v>
      </c>
      <c r="I1561" s="5">
        <v>2064.6</v>
      </c>
      <c r="J1561" s="3" t="s">
        <v>26</v>
      </c>
      <c r="K1561" s="3" t="s">
        <v>38</v>
      </c>
      <c r="L1561" t="str">
        <f>IFERROR(VLOOKUP(D1561,Products!$A$2:$F$61,3,FALSE()),"")</f>
        <v>Home</v>
      </c>
      <c r="M1561" t="str">
        <f>IFERROR(VLOOKUP(E1561,Sales_Reps!$A$2:$C$31,3,FALSE()),"")</f>
        <v>West</v>
      </c>
      <c r="N1561">
        <f>IFERROR(VLOOKUP(D1561,Products!$A$2:$F$61,4,FALSE()),"")</f>
        <v>288</v>
      </c>
      <c r="O1561" t="str">
        <f>IFERROR(VLOOKUP(C1561,Customers!$A$2:$F$301,5,FALSE()),"")</f>
        <v>SMB</v>
      </c>
      <c r="P1561">
        <f>IFERROR(VLOOKUP(C1561,Customers!$A$2:$F$301,3,FALSE()),"")</f>
        <v>38</v>
      </c>
      <c r="Q1561">
        <f t="shared" si="72"/>
        <v>0.22162162162162163</v>
      </c>
      <c r="R1561">
        <f>IF(AND(COUNTIF($A$2:$A$2047,A1561)&gt;1,COUNTIF($A$2:A1561,A1561)=1),1,0)</f>
        <v>0</v>
      </c>
      <c r="S1561" t="b">
        <f>IFERROR(VLOOKUP(D1561,Products!$A$2:$F$61,6,FALSE()),"")</f>
        <v>1</v>
      </c>
      <c r="T1561" t="str">
        <f>IF(COUNTIF(Customers!$A$2:$A$301,C1561)=0,"Missing","OK")</f>
        <v>OK</v>
      </c>
      <c r="U1561" t="str">
        <f t="shared" si="73"/>
        <v>Delhi</v>
      </c>
      <c r="V1561">
        <f t="shared" si="74"/>
        <v>0</v>
      </c>
    </row>
    <row r="1562" spans="1:22" ht="15" customHeight="1" x14ac:dyDescent="0.35">
      <c r="A1562" s="3" t="s">
        <v>1996</v>
      </c>
      <c r="B1562" s="4">
        <v>45439</v>
      </c>
      <c r="C1562" s="3" t="s">
        <v>289</v>
      </c>
      <c r="D1562" s="3" t="s">
        <v>290</v>
      </c>
      <c r="E1562" s="3" t="s">
        <v>168</v>
      </c>
      <c r="F1562" s="5">
        <v>10</v>
      </c>
      <c r="G1562" s="5">
        <v>4060</v>
      </c>
      <c r="H1562" s="5">
        <v>4.7</v>
      </c>
      <c r="I1562" s="5">
        <v>38691.800000000003</v>
      </c>
      <c r="J1562" s="3" t="s">
        <v>79</v>
      </c>
      <c r="K1562" s="3" t="s">
        <v>51</v>
      </c>
      <c r="L1562" t="str">
        <f>IFERROR(VLOOKUP(D1562,Products!$A$2:$F$61,3,FALSE()),"")</f>
        <v>Grocery</v>
      </c>
      <c r="M1562" t="str">
        <f>IFERROR(VLOOKUP(E1562,Sales_Reps!$A$2:$C$31,3,FALSE()),"")</f>
        <v>West</v>
      </c>
      <c r="N1562">
        <f>IFERROR(VLOOKUP(D1562,Products!$A$2:$F$61,4,FALSE()),"")</f>
        <v>2911</v>
      </c>
      <c r="O1562" t="str">
        <f>IFERROR(VLOOKUP(C1562,Customers!$A$2:$F$301,5,FALSE()),"")</f>
        <v>SMB</v>
      </c>
      <c r="P1562">
        <f>IFERROR(VLOOKUP(C1562,Customers!$A$2:$F$301,3,FALSE()),"")</f>
        <v>22</v>
      </c>
      <c r="Q1562">
        <f t="shared" si="72"/>
        <v>0.28300492610837441</v>
      </c>
      <c r="R1562">
        <f>IF(AND(COUNTIF($A$2:$A$2047,A1562)&gt;1,COUNTIF($A$2:A1562,A1562)=1),1,0)</f>
        <v>0</v>
      </c>
      <c r="S1562" t="b">
        <f>IFERROR(VLOOKUP(D1562,Products!$A$2:$F$61,6,FALSE()),"")</f>
        <v>1</v>
      </c>
      <c r="T1562" t="str">
        <f>IF(COUNTIF(Customers!$A$2:$A$301,C1562)=0,"Missing","OK")</f>
        <v>OK</v>
      </c>
      <c r="U1562" t="str">
        <f t="shared" si="73"/>
        <v>Mumbai</v>
      </c>
      <c r="V1562">
        <f t="shared" si="74"/>
        <v>0</v>
      </c>
    </row>
    <row r="1563" spans="1:22" ht="15" customHeight="1" x14ac:dyDescent="0.35">
      <c r="A1563" s="3" t="s">
        <v>1997</v>
      </c>
      <c r="B1563" s="4">
        <v>45426</v>
      </c>
      <c r="C1563" s="3" t="s">
        <v>977</v>
      </c>
      <c r="D1563" s="3" t="s">
        <v>187</v>
      </c>
      <c r="E1563" s="3" t="s">
        <v>55</v>
      </c>
      <c r="F1563" s="5">
        <v>1</v>
      </c>
      <c r="G1563" s="5">
        <v>3870</v>
      </c>
      <c r="H1563" s="5">
        <v>18.2</v>
      </c>
      <c r="I1563" s="5">
        <v>3165.66</v>
      </c>
      <c r="J1563" s="3" t="s">
        <v>32</v>
      </c>
      <c r="K1563" s="3" t="s">
        <v>56</v>
      </c>
      <c r="L1563" t="str">
        <f>IFERROR(VLOOKUP(D1563,Products!$A$2:$F$61,3,FALSE()),"")</f>
        <v>Electronics</v>
      </c>
      <c r="M1563" t="str">
        <f>IFERROR(VLOOKUP(E1563,Sales_Reps!$A$2:$C$31,3,FALSE()),"")</f>
        <v>West</v>
      </c>
      <c r="N1563">
        <f>IFERROR(VLOOKUP(D1563,Products!$A$2:$F$61,4,FALSE()),"")</f>
        <v>1559</v>
      </c>
      <c r="O1563" t="str">
        <f>IFERROR(VLOOKUP(C1563,Customers!$A$2:$F$301,5,FALSE()),"")</f>
        <v>Corporate</v>
      </c>
      <c r="P1563">
        <f>IFERROR(VLOOKUP(C1563,Customers!$A$2:$F$301,3,FALSE()),"")</f>
        <v>55</v>
      </c>
      <c r="Q1563">
        <f t="shared" si="72"/>
        <v>0.59715762273901807</v>
      </c>
      <c r="R1563">
        <f>IF(AND(COUNTIF($A$2:$A$2047,A1563)&gt;1,COUNTIF($A$2:A1563,A1563)=1),1,0)</f>
        <v>0</v>
      </c>
      <c r="S1563" t="b">
        <f>IFERROR(VLOOKUP(D1563,Products!$A$2:$F$61,6,FALSE()),"")</f>
        <v>1</v>
      </c>
      <c r="T1563" t="str">
        <f>IF(COUNTIF(Customers!$A$2:$A$301,C1563)=0,"Missing","OK")</f>
        <v>OK</v>
      </c>
      <c r="U1563" t="str">
        <f t="shared" si="73"/>
        <v>Bengaluru</v>
      </c>
      <c r="V1563">
        <f t="shared" si="74"/>
        <v>0</v>
      </c>
    </row>
    <row r="1564" spans="1:22" ht="15" customHeight="1" x14ac:dyDescent="0.35">
      <c r="A1564" s="3" t="s">
        <v>1998</v>
      </c>
      <c r="B1564" s="4">
        <v>45385</v>
      </c>
      <c r="C1564" s="3" t="s">
        <v>1035</v>
      </c>
      <c r="D1564" s="3" t="s">
        <v>303</v>
      </c>
      <c r="E1564" s="3" t="s">
        <v>42</v>
      </c>
      <c r="F1564" s="5">
        <v>1</v>
      </c>
      <c r="G1564" s="5">
        <v>5330</v>
      </c>
      <c r="H1564" s="5">
        <v>3.9</v>
      </c>
      <c r="I1564" s="5">
        <v>5122.13</v>
      </c>
      <c r="J1564" s="3" t="s">
        <v>83</v>
      </c>
      <c r="K1564" s="3" t="s">
        <v>27</v>
      </c>
      <c r="L1564" t="str">
        <f>IFERROR(VLOOKUP(D1564,Products!$A$2:$F$61,3,FALSE()),"")</f>
        <v>Electronics</v>
      </c>
      <c r="M1564" t="str">
        <f>IFERROR(VLOOKUP(E1564,Sales_Reps!$A$2:$C$31,3,FALSE()),"")</f>
        <v>North</v>
      </c>
      <c r="N1564">
        <f>IFERROR(VLOOKUP(D1564,Products!$A$2:$F$61,4,FALSE()),"")</f>
        <v>2405</v>
      </c>
      <c r="O1564" t="str">
        <f>IFERROR(VLOOKUP(C1564,Customers!$A$2:$F$301,5,FALSE()),"")</f>
        <v>Corporate</v>
      </c>
      <c r="P1564">
        <f>IFERROR(VLOOKUP(C1564,Customers!$A$2:$F$301,3,FALSE()),"")</f>
        <v>42</v>
      </c>
      <c r="Q1564">
        <f t="shared" si="72"/>
        <v>0.54878048780487809</v>
      </c>
      <c r="R1564">
        <f>IF(AND(COUNTIF($A$2:$A$2047,A1564)&gt;1,COUNTIF($A$2:A1564,A1564)=1),1,0)</f>
        <v>0</v>
      </c>
      <c r="S1564" t="b">
        <f>IFERROR(VLOOKUP(D1564,Products!$A$2:$F$61,6,FALSE()),"")</f>
        <v>1</v>
      </c>
      <c r="T1564" t="str">
        <f>IF(COUNTIF(Customers!$A$2:$A$301,C1564)=0,"Missing","OK")</f>
        <v>OK</v>
      </c>
      <c r="U1564" t="str">
        <f t="shared" si="73"/>
        <v>Pune</v>
      </c>
      <c r="V1564">
        <f t="shared" si="74"/>
        <v>0</v>
      </c>
    </row>
    <row r="1565" spans="1:22" ht="15" customHeight="1" x14ac:dyDescent="0.35">
      <c r="A1565" s="3" t="s">
        <v>1999</v>
      </c>
      <c r="B1565" s="4">
        <v>45312</v>
      </c>
      <c r="C1565" s="3" t="s">
        <v>594</v>
      </c>
      <c r="D1565" s="3" t="s">
        <v>49</v>
      </c>
      <c r="E1565" s="3" t="s">
        <v>131</v>
      </c>
      <c r="F1565" s="5">
        <v>8</v>
      </c>
      <c r="G1565" s="5">
        <v>370</v>
      </c>
      <c r="H1565" s="5">
        <v>1.3</v>
      </c>
      <c r="I1565" s="5">
        <v>2921.52</v>
      </c>
      <c r="J1565" s="3" t="s">
        <v>26</v>
      </c>
      <c r="K1565" s="3" t="s">
        <v>72</v>
      </c>
      <c r="L1565" t="str">
        <f>IFERROR(VLOOKUP(D1565,Products!$A$2:$F$61,3,FALSE()),"")</f>
        <v>Home</v>
      </c>
      <c r="M1565" t="str">
        <f>IFERROR(VLOOKUP(E1565,Sales_Reps!$A$2:$C$31,3,FALSE()),"")</f>
        <v>East</v>
      </c>
      <c r="N1565">
        <f>IFERROR(VLOOKUP(D1565,Products!$A$2:$F$61,4,FALSE()),"")</f>
        <v>288</v>
      </c>
      <c r="O1565" t="str">
        <f>IFERROR(VLOOKUP(C1565,Customers!$A$2:$F$301,5,FALSE()),"")</f>
        <v>Retail</v>
      </c>
      <c r="P1565">
        <f>IFERROR(VLOOKUP(C1565,Customers!$A$2:$F$301,3,FALSE()),"")</f>
        <v>27</v>
      </c>
      <c r="Q1565">
        <f t="shared" si="72"/>
        <v>0.22162162162162163</v>
      </c>
      <c r="R1565">
        <f>IF(AND(COUNTIF($A$2:$A$2047,A1565)&gt;1,COUNTIF($A$2:A1565,A1565)=1),1,0)</f>
        <v>0</v>
      </c>
      <c r="S1565" t="b">
        <f>IFERROR(VLOOKUP(D1565,Products!$A$2:$F$61,6,FALSE()),"")</f>
        <v>1</v>
      </c>
      <c r="T1565" t="str">
        <f>IF(COUNTIF(Customers!$A$2:$A$301,C1565)=0,"Missing","OK")</f>
        <v>OK</v>
      </c>
      <c r="U1565" t="str">
        <f t="shared" si="73"/>
        <v>Hyderabad</v>
      </c>
      <c r="V1565">
        <f t="shared" si="74"/>
        <v>0</v>
      </c>
    </row>
    <row r="1566" spans="1:22" ht="15" customHeight="1" x14ac:dyDescent="0.35">
      <c r="A1566" s="3" t="s">
        <v>2000</v>
      </c>
      <c r="B1566" s="4">
        <v>45622</v>
      </c>
      <c r="C1566" s="3" t="s">
        <v>404</v>
      </c>
      <c r="D1566" s="3" t="s">
        <v>221</v>
      </c>
      <c r="E1566" s="3" t="s">
        <v>131</v>
      </c>
      <c r="F1566" s="5">
        <v>7</v>
      </c>
      <c r="G1566" s="5">
        <v>300</v>
      </c>
      <c r="H1566" s="5">
        <v>7.1</v>
      </c>
      <c r="I1566" s="5">
        <v>1950.9</v>
      </c>
      <c r="J1566" s="3" t="s">
        <v>26</v>
      </c>
      <c r="K1566" s="3" t="s">
        <v>51</v>
      </c>
      <c r="L1566" t="str">
        <f>IFERROR(VLOOKUP(D1566,Products!$A$2:$F$61,3,FALSE()),"")</f>
        <v>Electronics</v>
      </c>
      <c r="M1566" t="str">
        <f>IFERROR(VLOOKUP(E1566,Sales_Reps!$A$2:$C$31,3,FALSE()),"")</f>
        <v>East</v>
      </c>
      <c r="N1566">
        <f>IFERROR(VLOOKUP(D1566,Products!$A$2:$F$61,4,FALSE()),"")</f>
        <v>128</v>
      </c>
      <c r="O1566" t="str">
        <f>IFERROR(VLOOKUP(C1566,Customers!$A$2:$F$301,5,FALSE()),"")</f>
        <v>Retail</v>
      </c>
      <c r="P1566">
        <f>IFERROR(VLOOKUP(C1566,Customers!$A$2:$F$301,3,FALSE()),"")</f>
        <v>61</v>
      </c>
      <c r="Q1566">
        <f t="shared" si="72"/>
        <v>0.57333333333333336</v>
      </c>
      <c r="R1566">
        <f>IF(AND(COUNTIF($A$2:$A$2047,A1566)&gt;1,COUNTIF($A$2:A1566,A1566)=1),1,0)</f>
        <v>0</v>
      </c>
      <c r="S1566" t="b">
        <f>IFERROR(VLOOKUP(D1566,Products!$A$2:$F$61,6,FALSE()),"")</f>
        <v>1</v>
      </c>
      <c r="T1566" t="str">
        <f>IF(COUNTIF(Customers!$A$2:$A$301,C1566)=0,"Missing","OK")</f>
        <v>OK</v>
      </c>
      <c r="U1566" t="str">
        <f t="shared" si="73"/>
        <v>Mumbai</v>
      </c>
      <c r="V1566">
        <f t="shared" si="74"/>
        <v>0</v>
      </c>
    </row>
    <row r="1567" spans="1:22" ht="15" customHeight="1" x14ac:dyDescent="0.35">
      <c r="A1567" s="3" t="s">
        <v>2001</v>
      </c>
      <c r="B1567" s="4">
        <v>45508</v>
      </c>
      <c r="C1567" s="3" t="s">
        <v>554</v>
      </c>
      <c r="D1567" s="3" t="s">
        <v>118</v>
      </c>
      <c r="E1567" s="3" t="s">
        <v>264</v>
      </c>
      <c r="F1567" s="5">
        <v>8</v>
      </c>
      <c r="G1567" s="5">
        <v>3350</v>
      </c>
      <c r="H1567" s="5">
        <v>11.2</v>
      </c>
      <c r="I1567" s="5">
        <v>23798.400000000001</v>
      </c>
      <c r="J1567" s="3" t="s">
        <v>26</v>
      </c>
      <c r="K1567" s="3" t="s">
        <v>51</v>
      </c>
      <c r="L1567" t="str">
        <f>IFERROR(VLOOKUP(D1567,Products!$A$2:$F$61,3,FALSE()),"")</f>
        <v>Beauty</v>
      </c>
      <c r="M1567" t="str">
        <f>IFERROR(VLOOKUP(E1567,Sales_Reps!$A$2:$C$31,3,FALSE()),"")</f>
        <v>South</v>
      </c>
      <c r="N1567">
        <f>IFERROR(VLOOKUP(D1567,Products!$A$2:$F$61,4,FALSE()),"")</f>
        <v>1728</v>
      </c>
      <c r="O1567" t="str">
        <f>IFERROR(VLOOKUP(C1567,Customers!$A$2:$F$301,5,FALSE()),"")</f>
        <v>Retail</v>
      </c>
      <c r="P1567">
        <f>IFERROR(VLOOKUP(C1567,Customers!$A$2:$F$301,3,FALSE()),"")</f>
        <v>53</v>
      </c>
      <c r="Q1567">
        <f t="shared" si="72"/>
        <v>0.48417910447761192</v>
      </c>
      <c r="R1567">
        <f>IF(AND(COUNTIF($A$2:$A$2047,A1567)&gt;1,COUNTIF($A$2:A1567,A1567)=1),1,0)</f>
        <v>0</v>
      </c>
      <c r="S1567" t="b">
        <f>IFERROR(VLOOKUP(D1567,Products!$A$2:$F$61,6,FALSE()),"")</f>
        <v>1</v>
      </c>
      <c r="T1567" t="str">
        <f>IF(COUNTIF(Customers!$A$2:$A$301,C1567)=0,"Missing","OK")</f>
        <v>OK</v>
      </c>
      <c r="U1567" t="str">
        <f t="shared" si="73"/>
        <v>Mumbai</v>
      </c>
      <c r="V1567">
        <f t="shared" si="74"/>
        <v>0</v>
      </c>
    </row>
    <row r="1568" spans="1:22" ht="15" customHeight="1" x14ac:dyDescent="0.35">
      <c r="A1568" s="3" t="s">
        <v>2002</v>
      </c>
      <c r="B1568" s="4">
        <v>45528</v>
      </c>
      <c r="C1568" s="3" t="s">
        <v>1247</v>
      </c>
      <c r="D1568" s="3" t="s">
        <v>454</v>
      </c>
      <c r="E1568" s="3" t="s">
        <v>143</v>
      </c>
      <c r="F1568" s="5">
        <v>6</v>
      </c>
      <c r="G1568" s="5">
        <v>6940</v>
      </c>
      <c r="H1568" s="5">
        <v>0.3</v>
      </c>
      <c r="I1568" s="5">
        <v>41515.08</v>
      </c>
      <c r="J1568" s="3" t="s">
        <v>26</v>
      </c>
      <c r="K1568" s="3" t="s">
        <v>33</v>
      </c>
      <c r="L1568" t="str">
        <f>IFERROR(VLOOKUP(D1568,Products!$A$2:$F$61,3,FALSE()),"")</f>
        <v>Sports</v>
      </c>
      <c r="M1568" t="str">
        <f>IFERROR(VLOOKUP(E1568,Sales_Reps!$A$2:$C$31,3,FALSE()),"")</f>
        <v>South</v>
      </c>
      <c r="N1568">
        <f>IFERROR(VLOOKUP(D1568,Products!$A$2:$F$61,4,FALSE()),"")</f>
        <v>2827</v>
      </c>
      <c r="O1568" t="str">
        <f>IFERROR(VLOOKUP(C1568,Customers!$A$2:$F$301,5,FALSE()),"")</f>
        <v>SMB</v>
      </c>
      <c r="P1568">
        <f>IFERROR(VLOOKUP(C1568,Customers!$A$2:$F$301,3,FALSE()),"")</f>
        <v>51</v>
      </c>
      <c r="Q1568">
        <f t="shared" si="72"/>
        <v>0.5926512968299712</v>
      </c>
      <c r="R1568">
        <f>IF(AND(COUNTIF($A$2:$A$2047,A1568)&gt;1,COUNTIF($A$2:A1568,A1568)=1),1,0)</f>
        <v>0</v>
      </c>
      <c r="S1568" t="b">
        <f>IFERROR(VLOOKUP(D1568,Products!$A$2:$F$61,6,FALSE()),"")</f>
        <v>1</v>
      </c>
      <c r="T1568" t="str">
        <f>IF(COUNTIF(Customers!$A$2:$A$301,C1568)=0,"Missing","OK")</f>
        <v>OK</v>
      </c>
      <c r="U1568" t="str">
        <f t="shared" si="73"/>
        <v>Chennai</v>
      </c>
      <c r="V1568">
        <f t="shared" si="74"/>
        <v>0</v>
      </c>
    </row>
    <row r="1569" spans="1:22" ht="15" customHeight="1" x14ac:dyDescent="0.35">
      <c r="A1569" s="3" t="s">
        <v>2003</v>
      </c>
      <c r="B1569" s="4">
        <v>45483</v>
      </c>
      <c r="C1569" s="3" t="s">
        <v>691</v>
      </c>
      <c r="D1569" s="3" t="s">
        <v>319</v>
      </c>
      <c r="E1569" s="3" t="s">
        <v>46</v>
      </c>
      <c r="F1569" s="5">
        <v>10</v>
      </c>
      <c r="G1569" s="5">
        <v>960</v>
      </c>
      <c r="H1569" s="5">
        <v>9.3000000000000007</v>
      </c>
      <c r="I1569" s="5">
        <v>8707.2000000000007</v>
      </c>
      <c r="J1569" s="3" t="s">
        <v>79</v>
      </c>
      <c r="K1569" s="3" t="s">
        <v>56</v>
      </c>
      <c r="L1569" t="str">
        <f>IFERROR(VLOOKUP(D1569,Products!$A$2:$F$61,3,FALSE()),"")</f>
        <v>Beauty</v>
      </c>
      <c r="M1569" t="str">
        <f>IFERROR(VLOOKUP(E1569,Sales_Reps!$A$2:$C$31,3,FALSE()),"")</f>
        <v>North</v>
      </c>
      <c r="N1569">
        <f>IFERROR(VLOOKUP(D1569,Products!$A$2:$F$61,4,FALSE()),"")</f>
        <v>675</v>
      </c>
      <c r="O1569" t="str">
        <f>IFERROR(VLOOKUP(C1569,Customers!$A$2:$F$301,5,FALSE()),"")</f>
        <v>Retail</v>
      </c>
      <c r="P1569">
        <f>IFERROR(VLOOKUP(C1569,Customers!$A$2:$F$301,3,FALSE()),"")</f>
        <v>32</v>
      </c>
      <c r="Q1569">
        <f t="shared" si="72"/>
        <v>0.296875</v>
      </c>
      <c r="R1569">
        <f>IF(AND(COUNTIF($A$2:$A$2047,A1569)&gt;1,COUNTIF($A$2:A1569,A1569)=1),1,0)</f>
        <v>0</v>
      </c>
      <c r="S1569" t="b">
        <f>IFERROR(VLOOKUP(D1569,Products!$A$2:$F$61,6,FALSE()),"")</f>
        <v>1</v>
      </c>
      <c r="T1569" t="str">
        <f>IF(COUNTIF(Customers!$A$2:$A$301,C1569)=0,"Missing","OK")</f>
        <v>OK</v>
      </c>
      <c r="U1569" t="str">
        <f t="shared" si="73"/>
        <v>Bengaluru</v>
      </c>
      <c r="V1569">
        <f t="shared" si="74"/>
        <v>0</v>
      </c>
    </row>
    <row r="1570" spans="1:22" ht="15" customHeight="1" x14ac:dyDescent="0.35">
      <c r="A1570" s="3" t="s">
        <v>2004</v>
      </c>
      <c r="B1570" s="4">
        <v>45625</v>
      </c>
      <c r="C1570" s="3" t="s">
        <v>1289</v>
      </c>
      <c r="D1570" s="3" t="s">
        <v>139</v>
      </c>
      <c r="E1570" s="3" t="s">
        <v>97</v>
      </c>
      <c r="F1570" s="5">
        <v>10</v>
      </c>
      <c r="G1570" s="5">
        <v>2760</v>
      </c>
      <c r="H1570" s="5">
        <v>17.2</v>
      </c>
      <c r="I1570" s="5">
        <v>22852.799999999999</v>
      </c>
      <c r="J1570" s="3" t="s">
        <v>26</v>
      </c>
      <c r="K1570" s="3" t="s">
        <v>51</v>
      </c>
      <c r="L1570" t="str">
        <f>IFERROR(VLOOKUP(D1570,Products!$A$2:$F$61,3,FALSE()),"")</f>
        <v>Grocery</v>
      </c>
      <c r="M1570" t="str">
        <f>IFERROR(VLOOKUP(E1570,Sales_Reps!$A$2:$C$31,3,FALSE()),"")</f>
        <v>East</v>
      </c>
      <c r="N1570">
        <f>IFERROR(VLOOKUP(D1570,Products!$A$2:$F$61,4,FALSE()),"")</f>
        <v>1435</v>
      </c>
      <c r="O1570" t="str">
        <f>IFERROR(VLOOKUP(C1570,Customers!$A$2:$F$301,5,FALSE()),"")</f>
        <v>Retail</v>
      </c>
      <c r="P1570">
        <f>IFERROR(VLOOKUP(C1570,Customers!$A$2:$F$301,3,FALSE()),"")</f>
        <v>38</v>
      </c>
      <c r="Q1570">
        <f t="shared" si="72"/>
        <v>0.48007246376811596</v>
      </c>
      <c r="R1570">
        <f>IF(AND(COUNTIF($A$2:$A$2047,A1570)&gt;1,COUNTIF($A$2:A1570,A1570)=1),1,0)</f>
        <v>0</v>
      </c>
      <c r="S1570" t="b">
        <f>IFERROR(VLOOKUP(D1570,Products!$A$2:$F$61,6,FALSE()),"")</f>
        <v>1</v>
      </c>
      <c r="T1570" t="str">
        <f>IF(COUNTIF(Customers!$A$2:$A$301,C1570)=0,"Missing","OK")</f>
        <v>OK</v>
      </c>
      <c r="U1570" t="str">
        <f t="shared" si="73"/>
        <v>Mumbai</v>
      </c>
      <c r="V1570">
        <f t="shared" si="74"/>
        <v>0</v>
      </c>
    </row>
    <row r="1571" spans="1:22" ht="15" customHeight="1" x14ac:dyDescent="0.35">
      <c r="A1571" s="3" t="s">
        <v>2005</v>
      </c>
      <c r="B1571" s="4">
        <v>45358</v>
      </c>
      <c r="C1571" s="3" t="s">
        <v>170</v>
      </c>
      <c r="D1571" s="3" t="s">
        <v>70</v>
      </c>
      <c r="E1571" s="3" t="s">
        <v>140</v>
      </c>
      <c r="F1571" s="5">
        <v>4</v>
      </c>
      <c r="G1571" s="5">
        <v>2270</v>
      </c>
      <c r="H1571" s="5">
        <v>26.8</v>
      </c>
      <c r="I1571" s="5">
        <v>6646.56</v>
      </c>
      <c r="J1571" s="3" t="s">
        <v>26</v>
      </c>
      <c r="K1571" s="3" t="s">
        <v>56</v>
      </c>
      <c r="L1571" t="str">
        <f>IFERROR(VLOOKUP(D1571,Products!$A$2:$F$61,3,FALSE()),"")</f>
        <v>Grocery</v>
      </c>
      <c r="M1571" t="str">
        <f>IFERROR(VLOOKUP(E1571,Sales_Reps!$A$2:$C$31,3,FALSE()),"")</f>
        <v>West</v>
      </c>
      <c r="N1571">
        <f>IFERROR(VLOOKUP(D1571,Products!$A$2:$F$61,4,FALSE()),"")</f>
        <v>1203</v>
      </c>
      <c r="O1571" t="str">
        <f>IFERROR(VLOOKUP(C1571,Customers!$A$2:$F$301,5,FALSE()),"")</f>
        <v>SMB</v>
      </c>
      <c r="P1571">
        <f>IFERROR(VLOOKUP(C1571,Customers!$A$2:$F$301,3,FALSE()),"")</f>
        <v>64</v>
      </c>
      <c r="Q1571">
        <f t="shared" si="72"/>
        <v>0.47004405286343615</v>
      </c>
      <c r="R1571">
        <f>IF(AND(COUNTIF($A$2:$A$2047,A1571)&gt;1,COUNTIF($A$2:A1571,A1571)=1),1,0)</f>
        <v>0</v>
      </c>
      <c r="S1571" t="b">
        <f>IFERROR(VLOOKUP(D1571,Products!$A$2:$F$61,6,FALSE()),"")</f>
        <v>1</v>
      </c>
      <c r="T1571" t="str">
        <f>IF(COUNTIF(Customers!$A$2:$A$301,C1571)=0,"Missing","OK")</f>
        <v>OK</v>
      </c>
      <c r="U1571" t="str">
        <f t="shared" si="73"/>
        <v>Bengaluru</v>
      </c>
      <c r="V1571">
        <f t="shared" si="74"/>
        <v>6646.56</v>
      </c>
    </row>
    <row r="1572" spans="1:22" ht="15" customHeight="1" x14ac:dyDescent="0.35">
      <c r="A1572" s="3" t="s">
        <v>2006</v>
      </c>
      <c r="B1572" s="4">
        <v>45342</v>
      </c>
      <c r="C1572" s="3" t="s">
        <v>357</v>
      </c>
      <c r="D1572" s="3" t="s">
        <v>77</v>
      </c>
      <c r="E1572" s="3" t="s">
        <v>97</v>
      </c>
      <c r="F1572" s="5">
        <v>2</v>
      </c>
      <c r="G1572" s="5">
        <v>2600</v>
      </c>
      <c r="H1572" s="5">
        <v>27</v>
      </c>
      <c r="I1572" s="5">
        <v>3796</v>
      </c>
      <c r="J1572" s="3" t="s">
        <v>26</v>
      </c>
      <c r="K1572" s="3" t="s">
        <v>72</v>
      </c>
      <c r="L1572" t="str">
        <f>IFERROR(VLOOKUP(D1572,Products!$A$2:$F$61,3,FALSE()),"")</f>
        <v>Electronics</v>
      </c>
      <c r="M1572" t="str">
        <f>IFERROR(VLOOKUP(E1572,Sales_Reps!$A$2:$C$31,3,FALSE()),"")</f>
        <v>East</v>
      </c>
      <c r="N1572">
        <f>IFERROR(VLOOKUP(D1572,Products!$A$2:$F$61,4,FALSE()),"")</f>
        <v>1052</v>
      </c>
      <c r="O1572" t="str">
        <f>IFERROR(VLOOKUP(C1572,Customers!$A$2:$F$301,5,FALSE()),"")</f>
        <v>Retail</v>
      </c>
      <c r="P1572">
        <f>IFERROR(VLOOKUP(C1572,Customers!$A$2:$F$301,3,FALSE()),"")</f>
        <v>22</v>
      </c>
      <c r="Q1572">
        <f t="shared" si="72"/>
        <v>0.5953846153846154</v>
      </c>
      <c r="R1572">
        <f>IF(AND(COUNTIF($A$2:$A$2047,A1572)&gt;1,COUNTIF($A$2:A1572,A1572)=1),1,0)</f>
        <v>0</v>
      </c>
      <c r="S1572" t="b">
        <f>IFERROR(VLOOKUP(D1572,Products!$A$2:$F$61,6,FALSE()),"")</f>
        <v>1</v>
      </c>
      <c r="T1572" t="str">
        <f>IF(COUNTIF(Customers!$A$2:$A$301,C1572)=0,"Missing","OK")</f>
        <v>OK</v>
      </c>
      <c r="U1572" t="str">
        <f t="shared" si="73"/>
        <v>Hyderabad</v>
      </c>
      <c r="V1572">
        <f t="shared" si="74"/>
        <v>0</v>
      </c>
    </row>
    <row r="1573" spans="1:22" ht="15" customHeight="1" x14ac:dyDescent="0.35">
      <c r="A1573" s="3" t="s">
        <v>2007</v>
      </c>
      <c r="B1573" s="4">
        <v>45304</v>
      </c>
      <c r="C1573" s="3" t="s">
        <v>922</v>
      </c>
      <c r="D1573" s="3" t="s">
        <v>126</v>
      </c>
      <c r="E1573" s="3" t="s">
        <v>55</v>
      </c>
      <c r="F1573" s="5">
        <v>4</v>
      </c>
      <c r="G1573" s="5">
        <v>3570</v>
      </c>
      <c r="H1573" s="5">
        <v>12.3</v>
      </c>
      <c r="I1573" s="5">
        <v>12523.56</v>
      </c>
      <c r="J1573" s="3" t="s">
        <v>26</v>
      </c>
      <c r="K1573" s="3" t="s">
        <v>56</v>
      </c>
      <c r="L1573" t="str">
        <f>IFERROR(VLOOKUP(D1573,Products!$A$2:$F$61,3,FALSE()),"")</f>
        <v>Electronics</v>
      </c>
      <c r="M1573" t="str">
        <f>IFERROR(VLOOKUP(E1573,Sales_Reps!$A$2:$C$31,3,FALSE()),"")</f>
        <v>West</v>
      </c>
      <c r="N1573">
        <f>IFERROR(VLOOKUP(D1573,Products!$A$2:$F$61,4,FALSE()),"")</f>
        <v>1665</v>
      </c>
      <c r="O1573" t="str">
        <f>IFERROR(VLOOKUP(C1573,Customers!$A$2:$F$301,5,FALSE()),"")</f>
        <v>SMB</v>
      </c>
      <c r="P1573">
        <f>IFERROR(VLOOKUP(C1573,Customers!$A$2:$F$301,3,FALSE()),"")</f>
        <v>36</v>
      </c>
      <c r="Q1573">
        <f t="shared" si="72"/>
        <v>0.53361344537815125</v>
      </c>
      <c r="R1573">
        <f>IF(AND(COUNTIF($A$2:$A$2047,A1573)&gt;1,COUNTIF($A$2:A1573,A1573)=1),1,0)</f>
        <v>0</v>
      </c>
      <c r="S1573" t="b">
        <f>IFERROR(VLOOKUP(D1573,Products!$A$2:$F$61,6,FALSE()),"")</f>
        <v>1</v>
      </c>
      <c r="T1573" t="str">
        <f>IF(COUNTIF(Customers!$A$2:$A$301,C1573)=0,"Missing","OK")</f>
        <v>OK</v>
      </c>
      <c r="U1573" t="str">
        <f t="shared" si="73"/>
        <v>Bengaluru</v>
      </c>
      <c r="V1573">
        <f t="shared" si="74"/>
        <v>0</v>
      </c>
    </row>
    <row r="1574" spans="1:22" ht="15" customHeight="1" x14ac:dyDescent="0.35">
      <c r="A1574" s="3" t="s">
        <v>2008</v>
      </c>
      <c r="B1574" s="4">
        <v>45316</v>
      </c>
      <c r="C1574" s="3" t="s">
        <v>492</v>
      </c>
      <c r="D1574" s="3" t="s">
        <v>382</v>
      </c>
      <c r="E1574" s="3" t="s">
        <v>285</v>
      </c>
      <c r="F1574" s="5">
        <v>5</v>
      </c>
      <c r="G1574" s="5">
        <v>5080</v>
      </c>
      <c r="H1574" s="5">
        <v>1.3</v>
      </c>
      <c r="I1574" s="5">
        <v>25069.8</v>
      </c>
      <c r="J1574" s="3" t="s">
        <v>26</v>
      </c>
      <c r="K1574" s="3" t="s">
        <v>51</v>
      </c>
      <c r="L1574" t="str">
        <f>IFERROR(VLOOKUP(D1574,Products!$A$2:$F$61,3,FALSE()),"")</f>
        <v>Home</v>
      </c>
      <c r="M1574" t="str">
        <f>IFERROR(VLOOKUP(E1574,Sales_Reps!$A$2:$C$31,3,FALSE()),"")</f>
        <v>South</v>
      </c>
      <c r="N1574">
        <f>IFERROR(VLOOKUP(D1574,Products!$A$2:$F$61,4,FALSE()),"")</f>
        <v>2459</v>
      </c>
      <c r="O1574" t="str">
        <f>IFERROR(VLOOKUP(C1574,Customers!$A$2:$F$301,5,FALSE()),"")</f>
        <v>Retail</v>
      </c>
      <c r="P1574">
        <f>IFERROR(VLOOKUP(C1574,Customers!$A$2:$F$301,3,FALSE()),"")</f>
        <v>65</v>
      </c>
      <c r="Q1574">
        <f t="shared" si="72"/>
        <v>0.51594488188976373</v>
      </c>
      <c r="R1574">
        <f>IF(AND(COUNTIF($A$2:$A$2047,A1574)&gt;1,COUNTIF($A$2:A1574,A1574)=1),1,0)</f>
        <v>0</v>
      </c>
      <c r="S1574" t="b">
        <f>IFERROR(VLOOKUP(D1574,Products!$A$2:$F$61,6,FALSE()),"")</f>
        <v>1</v>
      </c>
      <c r="T1574" t="str">
        <f>IF(COUNTIF(Customers!$A$2:$A$301,C1574)=0,"Missing","OK")</f>
        <v>OK</v>
      </c>
      <c r="U1574" t="str">
        <f t="shared" si="73"/>
        <v>Mumbai</v>
      </c>
      <c r="V1574">
        <f t="shared" si="74"/>
        <v>0</v>
      </c>
    </row>
    <row r="1575" spans="1:22" ht="15" customHeight="1" x14ac:dyDescent="0.35">
      <c r="A1575" s="3" t="s">
        <v>2009</v>
      </c>
      <c r="B1575" s="4">
        <v>45340</v>
      </c>
      <c r="C1575" s="3" t="s">
        <v>909</v>
      </c>
      <c r="D1575" s="3" t="s">
        <v>319</v>
      </c>
      <c r="E1575" s="3" t="s">
        <v>285</v>
      </c>
      <c r="F1575" s="5">
        <v>5</v>
      </c>
      <c r="G1575" s="5">
        <v>960</v>
      </c>
      <c r="H1575" s="5">
        <v>25.2</v>
      </c>
      <c r="I1575" s="5">
        <v>3590.4</v>
      </c>
      <c r="J1575" s="3" t="s">
        <v>26</v>
      </c>
      <c r="K1575" s="3" t="s">
        <v>51</v>
      </c>
      <c r="L1575" t="str">
        <f>IFERROR(VLOOKUP(D1575,Products!$A$2:$F$61,3,FALSE()),"")</f>
        <v>Beauty</v>
      </c>
      <c r="M1575" t="str">
        <f>IFERROR(VLOOKUP(E1575,Sales_Reps!$A$2:$C$31,3,FALSE()),"")</f>
        <v>South</v>
      </c>
      <c r="N1575">
        <f>IFERROR(VLOOKUP(D1575,Products!$A$2:$F$61,4,FALSE()),"")</f>
        <v>675</v>
      </c>
      <c r="O1575" t="str">
        <f>IFERROR(VLOOKUP(C1575,Customers!$A$2:$F$301,5,FALSE()),"")</f>
        <v>Retail</v>
      </c>
      <c r="P1575">
        <f>IFERROR(VLOOKUP(C1575,Customers!$A$2:$F$301,3,FALSE()),"")</f>
        <v>40</v>
      </c>
      <c r="Q1575">
        <f t="shared" si="72"/>
        <v>0.296875</v>
      </c>
      <c r="R1575">
        <f>IF(AND(COUNTIF($A$2:$A$2047,A1575)&gt;1,COUNTIF($A$2:A1575,A1575)=1),1,0)</f>
        <v>0</v>
      </c>
      <c r="S1575" t="b">
        <f>IFERROR(VLOOKUP(D1575,Products!$A$2:$F$61,6,FALSE()),"")</f>
        <v>1</v>
      </c>
      <c r="T1575" t="str">
        <f>IF(COUNTIF(Customers!$A$2:$A$301,C1575)=0,"Missing","OK")</f>
        <v>OK</v>
      </c>
      <c r="U1575" t="str">
        <f t="shared" si="73"/>
        <v>Mumbai</v>
      </c>
      <c r="V1575">
        <f t="shared" si="74"/>
        <v>0</v>
      </c>
    </row>
    <row r="1576" spans="1:22" ht="15" customHeight="1" x14ac:dyDescent="0.35">
      <c r="A1576" s="3" t="s">
        <v>2010</v>
      </c>
      <c r="B1576" s="4">
        <v>45604</v>
      </c>
      <c r="C1576" s="3" t="s">
        <v>817</v>
      </c>
      <c r="D1576" s="3" t="s">
        <v>36</v>
      </c>
      <c r="E1576" s="3" t="s">
        <v>71</v>
      </c>
      <c r="F1576" s="5">
        <v>7</v>
      </c>
      <c r="G1576" s="5">
        <v>470</v>
      </c>
      <c r="H1576" s="5">
        <v>21.6</v>
      </c>
      <c r="I1576" s="5">
        <v>2579.36</v>
      </c>
      <c r="J1576" s="3" t="s">
        <v>26</v>
      </c>
      <c r="K1576" s="3" t="s">
        <v>51</v>
      </c>
      <c r="L1576" t="str">
        <f>IFERROR(VLOOKUP(D1576,Products!$A$2:$F$61,3,FALSE()),"")</f>
        <v>Sports</v>
      </c>
      <c r="M1576" t="str">
        <f>IFERROR(VLOOKUP(E1576,Sales_Reps!$A$2:$C$31,3,FALSE()),"")</f>
        <v>South</v>
      </c>
      <c r="N1576">
        <f>IFERROR(VLOOKUP(D1576,Products!$A$2:$F$61,4,FALSE()),"")</f>
        <v>302</v>
      </c>
      <c r="O1576" t="str">
        <f>IFERROR(VLOOKUP(C1576,Customers!$A$2:$F$301,5,FALSE()),"")</f>
        <v>Corporate</v>
      </c>
      <c r="P1576">
        <f>IFERROR(VLOOKUP(C1576,Customers!$A$2:$F$301,3,FALSE()),"")</f>
        <v>62</v>
      </c>
      <c r="Q1576">
        <f t="shared" si="72"/>
        <v>0.35744680851063831</v>
      </c>
      <c r="R1576">
        <f>IF(AND(COUNTIF($A$2:$A$2047,A1576)&gt;1,COUNTIF($A$2:A1576,A1576)=1),1,0)</f>
        <v>0</v>
      </c>
      <c r="S1576" t="b">
        <f>IFERROR(VLOOKUP(D1576,Products!$A$2:$F$61,6,FALSE()),"")</f>
        <v>0</v>
      </c>
      <c r="T1576" t="str">
        <f>IF(COUNTIF(Customers!$A$2:$A$301,C1576)=0,"Missing","OK")</f>
        <v>OK</v>
      </c>
      <c r="U1576" t="str">
        <f t="shared" si="73"/>
        <v>Mumbai</v>
      </c>
      <c r="V1576">
        <f t="shared" si="74"/>
        <v>0</v>
      </c>
    </row>
    <row r="1577" spans="1:22" ht="15" customHeight="1" x14ac:dyDescent="0.35">
      <c r="A1577" s="3" t="s">
        <v>2011</v>
      </c>
      <c r="B1577" s="4">
        <v>45625</v>
      </c>
      <c r="C1577" s="3" t="s">
        <v>644</v>
      </c>
      <c r="D1577" s="3" t="s">
        <v>206</v>
      </c>
      <c r="E1577" s="3" t="s">
        <v>282</v>
      </c>
      <c r="F1577" s="5">
        <v>4</v>
      </c>
      <c r="G1577" s="5">
        <v>1220</v>
      </c>
      <c r="H1577" s="5">
        <v>12.6</v>
      </c>
      <c r="I1577" s="5">
        <v>4265.12</v>
      </c>
      <c r="J1577" s="3" t="s">
        <v>26</v>
      </c>
      <c r="K1577" s="3" t="s">
        <v>38</v>
      </c>
      <c r="L1577" t="str">
        <f>IFERROR(VLOOKUP(D1577,Products!$A$2:$F$61,3,FALSE()),"")</f>
        <v>Electronics</v>
      </c>
      <c r="M1577" t="str">
        <f>IFERROR(VLOOKUP(E1577,Sales_Reps!$A$2:$C$31,3,FALSE()),"")</f>
        <v>West</v>
      </c>
      <c r="N1577">
        <f>IFERROR(VLOOKUP(D1577,Products!$A$2:$F$61,4,FALSE()),"")</f>
        <v>517</v>
      </c>
      <c r="O1577" t="str">
        <f>IFERROR(VLOOKUP(C1577,Customers!$A$2:$F$301,5,FALSE()),"")</f>
        <v>Retail</v>
      </c>
      <c r="P1577">
        <f>IFERROR(VLOOKUP(C1577,Customers!$A$2:$F$301,3,FALSE()),"")</f>
        <v>53</v>
      </c>
      <c r="Q1577">
        <f t="shared" si="72"/>
        <v>0.57622950819672136</v>
      </c>
      <c r="R1577">
        <f>IF(AND(COUNTIF($A$2:$A$2047,A1577)&gt;1,COUNTIF($A$2:A1577,A1577)=1),1,0)</f>
        <v>0</v>
      </c>
      <c r="S1577" t="b">
        <f>IFERROR(VLOOKUP(D1577,Products!$A$2:$F$61,6,FALSE()),"")</f>
        <v>1</v>
      </c>
      <c r="T1577" t="str">
        <f>IF(COUNTIF(Customers!$A$2:$A$301,C1577)=0,"Missing","OK")</f>
        <v>OK</v>
      </c>
      <c r="U1577" t="str">
        <f t="shared" si="73"/>
        <v>Delhi</v>
      </c>
      <c r="V1577">
        <f t="shared" si="74"/>
        <v>0</v>
      </c>
    </row>
    <row r="1578" spans="1:22" ht="15" customHeight="1" x14ac:dyDescent="0.35">
      <c r="A1578" s="3" t="s">
        <v>2012</v>
      </c>
      <c r="B1578" s="4">
        <v>45293</v>
      </c>
      <c r="C1578" s="3" t="s">
        <v>552</v>
      </c>
      <c r="D1578" s="3" t="s">
        <v>121</v>
      </c>
      <c r="E1578" s="3" t="s">
        <v>46</v>
      </c>
      <c r="F1578" s="5">
        <v>4</v>
      </c>
      <c r="G1578" s="5">
        <v>1010</v>
      </c>
      <c r="H1578" s="5">
        <v>11.3</v>
      </c>
      <c r="I1578" s="5">
        <v>3583.48</v>
      </c>
      <c r="J1578" s="3" t="s">
        <v>26</v>
      </c>
      <c r="K1578" s="3" t="s">
        <v>51</v>
      </c>
      <c r="L1578" t="str">
        <f>IFERROR(VLOOKUP(D1578,Products!$A$2:$F$61,3,FALSE()),"")</f>
        <v>Sports</v>
      </c>
      <c r="M1578" t="str">
        <f>IFERROR(VLOOKUP(E1578,Sales_Reps!$A$2:$C$31,3,FALSE()),"")</f>
        <v>North</v>
      </c>
      <c r="N1578">
        <f>IFERROR(VLOOKUP(D1578,Products!$A$2:$F$61,4,FALSE()),"")</f>
        <v>516</v>
      </c>
      <c r="O1578" t="str">
        <f>IFERROR(VLOOKUP(C1578,Customers!$A$2:$F$301,5,FALSE()),"")</f>
        <v>Retail</v>
      </c>
      <c r="P1578">
        <f>IFERROR(VLOOKUP(C1578,Customers!$A$2:$F$301,3,FALSE()),"")</f>
        <v>44</v>
      </c>
      <c r="Q1578">
        <f t="shared" si="72"/>
        <v>0.4891089108910891</v>
      </c>
      <c r="R1578">
        <f>IF(AND(COUNTIF($A$2:$A$2047,A1578)&gt;1,COUNTIF($A$2:A1578,A1578)=1),1,0)</f>
        <v>0</v>
      </c>
      <c r="S1578" t="b">
        <f>IFERROR(VLOOKUP(D1578,Products!$A$2:$F$61,6,FALSE()),"")</f>
        <v>1</v>
      </c>
      <c r="T1578" t="str">
        <f>IF(COUNTIF(Customers!$A$2:$A$301,C1578)=0,"Missing","OK")</f>
        <v>OK</v>
      </c>
      <c r="U1578" t="str">
        <f t="shared" si="73"/>
        <v>Mumbai</v>
      </c>
      <c r="V1578">
        <f t="shared" si="74"/>
        <v>0</v>
      </c>
    </row>
    <row r="1579" spans="1:22" ht="15" customHeight="1" x14ac:dyDescent="0.35">
      <c r="A1579" s="3" t="s">
        <v>2013</v>
      </c>
      <c r="B1579" s="4">
        <v>45454</v>
      </c>
      <c r="C1579" s="3" t="s">
        <v>272</v>
      </c>
      <c r="D1579" s="3" t="s">
        <v>41</v>
      </c>
      <c r="E1579" s="3" t="s">
        <v>31</v>
      </c>
      <c r="F1579" s="5">
        <v>4</v>
      </c>
      <c r="G1579" s="5">
        <v>3660</v>
      </c>
      <c r="H1579" s="5">
        <v>7.2</v>
      </c>
      <c r="I1579" s="5">
        <v>13585.92</v>
      </c>
      <c r="J1579" s="3" t="s">
        <v>26</v>
      </c>
      <c r="K1579" s="3" t="s">
        <v>72</v>
      </c>
      <c r="L1579" t="str">
        <f>IFERROR(VLOOKUP(D1579,Products!$A$2:$F$61,3,FALSE()),"")</f>
        <v>Grocery</v>
      </c>
      <c r="M1579" t="str">
        <f>IFERROR(VLOOKUP(E1579,Sales_Reps!$A$2:$C$31,3,FALSE()),"")</f>
        <v>North</v>
      </c>
      <c r="N1579">
        <f>IFERROR(VLOOKUP(D1579,Products!$A$2:$F$61,4,FALSE()),"")</f>
        <v>2214</v>
      </c>
      <c r="O1579" t="str">
        <f>IFERROR(VLOOKUP(C1579,Customers!$A$2:$F$301,5,FALSE()),"")</f>
        <v>SMB</v>
      </c>
      <c r="P1579">
        <f>IFERROR(VLOOKUP(C1579,Customers!$A$2:$F$301,3,FALSE()),"")</f>
        <v>65</v>
      </c>
      <c r="Q1579">
        <f t="shared" si="72"/>
        <v>0.39508196721311473</v>
      </c>
      <c r="R1579">
        <f>IF(AND(COUNTIF($A$2:$A$2047,A1579)&gt;1,COUNTIF($A$2:A1579,A1579)=1),1,0)</f>
        <v>0</v>
      </c>
      <c r="S1579" t="b">
        <f>IFERROR(VLOOKUP(D1579,Products!$A$2:$F$61,6,FALSE()),"")</f>
        <v>0</v>
      </c>
      <c r="T1579" t="str">
        <f>IF(COUNTIF(Customers!$A$2:$A$301,C1579)=0,"Missing","OK")</f>
        <v>OK</v>
      </c>
      <c r="U1579" t="str">
        <f t="shared" si="73"/>
        <v>Hyderabad</v>
      </c>
      <c r="V1579">
        <f t="shared" si="74"/>
        <v>0</v>
      </c>
    </row>
    <row r="1580" spans="1:22" ht="15" customHeight="1" x14ac:dyDescent="0.35">
      <c r="A1580" s="3" t="s">
        <v>2014</v>
      </c>
      <c r="B1580" s="4">
        <v>45345</v>
      </c>
      <c r="C1580" s="3" t="s">
        <v>734</v>
      </c>
      <c r="D1580" s="3" t="s">
        <v>63</v>
      </c>
      <c r="E1580" s="3" t="s">
        <v>71</v>
      </c>
      <c r="F1580" s="5">
        <v>4</v>
      </c>
      <c r="G1580" s="5">
        <v>5490</v>
      </c>
      <c r="H1580" s="5">
        <v>8</v>
      </c>
      <c r="I1580" s="5">
        <v>20203.2</v>
      </c>
      <c r="J1580" s="3" t="s">
        <v>26</v>
      </c>
      <c r="K1580" s="3" t="s">
        <v>33</v>
      </c>
      <c r="L1580" t="str">
        <f>IFERROR(VLOOKUP(D1580,Products!$A$2:$F$61,3,FALSE()),"")</f>
        <v>Home</v>
      </c>
      <c r="M1580" t="str">
        <f>IFERROR(VLOOKUP(E1580,Sales_Reps!$A$2:$C$31,3,FALSE()),"")</f>
        <v>South</v>
      </c>
      <c r="N1580">
        <f>IFERROR(VLOOKUP(D1580,Products!$A$2:$F$61,4,FALSE()),"")</f>
        <v>2549</v>
      </c>
      <c r="O1580" t="str">
        <f>IFERROR(VLOOKUP(C1580,Customers!$A$2:$F$301,5,FALSE()),"")</f>
        <v>Retail</v>
      </c>
      <c r="P1580">
        <f>IFERROR(VLOOKUP(C1580,Customers!$A$2:$F$301,3,FALSE()),"")</f>
        <v>22</v>
      </c>
      <c r="Q1580">
        <f t="shared" si="72"/>
        <v>0.53570127504553733</v>
      </c>
      <c r="R1580">
        <f>IF(AND(COUNTIF($A$2:$A$2047,A1580)&gt;1,COUNTIF($A$2:A1580,A1580)=1),1,0)</f>
        <v>0</v>
      </c>
      <c r="S1580" t="b">
        <f>IFERROR(VLOOKUP(D1580,Products!$A$2:$F$61,6,FALSE()),"")</f>
        <v>1</v>
      </c>
      <c r="T1580" t="str">
        <f>IF(COUNTIF(Customers!$A$2:$A$301,C1580)=0,"Missing","OK")</f>
        <v>OK</v>
      </c>
      <c r="U1580" t="str">
        <f t="shared" si="73"/>
        <v>Chennai</v>
      </c>
      <c r="V1580">
        <f t="shared" si="74"/>
        <v>0</v>
      </c>
    </row>
    <row r="1581" spans="1:22" ht="15" customHeight="1" x14ac:dyDescent="0.35">
      <c r="A1581" s="3" t="s">
        <v>2015</v>
      </c>
      <c r="B1581" s="4">
        <v>45645</v>
      </c>
      <c r="C1581" s="3" t="s">
        <v>366</v>
      </c>
      <c r="D1581" s="3" t="s">
        <v>184</v>
      </c>
      <c r="E1581" s="3" t="s">
        <v>87</v>
      </c>
      <c r="F1581" s="5">
        <v>6</v>
      </c>
      <c r="G1581" s="5">
        <v>2270</v>
      </c>
      <c r="H1581" s="5">
        <v>17.100000000000001</v>
      </c>
      <c r="I1581" s="5">
        <v>11290.98</v>
      </c>
      <c r="J1581" s="3" t="s">
        <v>26</v>
      </c>
      <c r="K1581" s="3" t="s">
        <v>27</v>
      </c>
      <c r="L1581" t="str">
        <f>IFERROR(VLOOKUP(D1581,Products!$A$2:$F$61,3,FALSE()),"")</f>
        <v>Grocery</v>
      </c>
      <c r="M1581" t="str">
        <f>IFERROR(VLOOKUP(E1581,Sales_Reps!$A$2:$C$31,3,FALSE()),"")</f>
        <v>North</v>
      </c>
      <c r="N1581">
        <f>IFERROR(VLOOKUP(D1581,Products!$A$2:$F$61,4,FALSE()),"")</f>
        <v>1412</v>
      </c>
      <c r="O1581" t="str">
        <f>IFERROR(VLOOKUP(C1581,Customers!$A$2:$F$301,5,FALSE()),"")</f>
        <v>Corporate</v>
      </c>
      <c r="P1581">
        <f>IFERROR(VLOOKUP(C1581,Customers!$A$2:$F$301,3,FALSE()),"")</f>
        <v>48</v>
      </c>
      <c r="Q1581">
        <f t="shared" si="72"/>
        <v>0.37797356828193834</v>
      </c>
      <c r="R1581">
        <f>IF(AND(COUNTIF($A$2:$A$2047,A1581)&gt;1,COUNTIF($A$2:A1581,A1581)=1),1,0)</f>
        <v>0</v>
      </c>
      <c r="S1581" t="b">
        <f>IFERROR(VLOOKUP(D1581,Products!$A$2:$F$61,6,FALSE()),"")</f>
        <v>1</v>
      </c>
      <c r="T1581" t="str">
        <f>IF(COUNTIF(Customers!$A$2:$A$301,C1581)=0,"Missing","OK")</f>
        <v>OK</v>
      </c>
      <c r="U1581" t="str">
        <f t="shared" si="73"/>
        <v>Pune</v>
      </c>
      <c r="V1581">
        <f t="shared" si="74"/>
        <v>0</v>
      </c>
    </row>
    <row r="1582" spans="1:22" ht="15" customHeight="1" x14ac:dyDescent="0.35">
      <c r="A1582" s="3" t="s">
        <v>2016</v>
      </c>
      <c r="B1582" s="4">
        <v>45588</v>
      </c>
      <c r="C1582" s="3" t="s">
        <v>220</v>
      </c>
      <c r="D1582" s="3" t="s">
        <v>184</v>
      </c>
      <c r="E1582" s="3" t="s">
        <v>127</v>
      </c>
      <c r="F1582" s="5">
        <v>8</v>
      </c>
      <c r="G1582" s="5">
        <v>2270</v>
      </c>
      <c r="H1582" s="5">
        <v>11.9</v>
      </c>
      <c r="I1582" s="5">
        <v>15998.96</v>
      </c>
      <c r="J1582" s="3" t="s">
        <v>32</v>
      </c>
      <c r="K1582" s="3" t="s">
        <v>27</v>
      </c>
      <c r="L1582" t="str">
        <f>IFERROR(VLOOKUP(D1582,Products!$A$2:$F$61,3,FALSE()),"")</f>
        <v>Grocery</v>
      </c>
      <c r="M1582" t="str">
        <f>IFERROR(VLOOKUP(E1582,Sales_Reps!$A$2:$C$31,3,FALSE()),"")</f>
        <v>South</v>
      </c>
      <c r="N1582">
        <f>IFERROR(VLOOKUP(D1582,Products!$A$2:$F$61,4,FALSE()),"")</f>
        <v>1412</v>
      </c>
      <c r="O1582" t="str">
        <f>IFERROR(VLOOKUP(C1582,Customers!$A$2:$F$301,5,FALSE()),"")</f>
        <v>Retail</v>
      </c>
      <c r="P1582">
        <f>IFERROR(VLOOKUP(C1582,Customers!$A$2:$F$301,3,FALSE()),"")</f>
        <v>25</v>
      </c>
      <c r="Q1582">
        <f t="shared" si="72"/>
        <v>0.37797356828193834</v>
      </c>
      <c r="R1582">
        <f>IF(AND(COUNTIF($A$2:$A$2047,A1582)&gt;1,COUNTIF($A$2:A1582,A1582)=1),1,0)</f>
        <v>0</v>
      </c>
      <c r="S1582" t="b">
        <f>IFERROR(VLOOKUP(D1582,Products!$A$2:$F$61,6,FALSE()),"")</f>
        <v>1</v>
      </c>
      <c r="T1582" t="str">
        <f>IF(COUNTIF(Customers!$A$2:$A$301,C1582)=0,"Missing","OK")</f>
        <v>OK</v>
      </c>
      <c r="U1582" t="str">
        <f t="shared" si="73"/>
        <v>Pune</v>
      </c>
      <c r="V1582">
        <f t="shared" si="74"/>
        <v>0</v>
      </c>
    </row>
    <row r="1583" spans="1:22" ht="15" customHeight="1" x14ac:dyDescent="0.35">
      <c r="A1583" s="3" t="s">
        <v>2017</v>
      </c>
      <c r="B1583" s="4">
        <v>45592</v>
      </c>
      <c r="C1583" s="3" t="s">
        <v>255</v>
      </c>
      <c r="D1583" s="3" t="s">
        <v>77</v>
      </c>
      <c r="E1583" s="3" t="s">
        <v>242</v>
      </c>
      <c r="F1583" s="5">
        <v>6</v>
      </c>
      <c r="G1583" s="5">
        <v>2600</v>
      </c>
      <c r="H1583" s="5">
        <v>5.0999999999999996</v>
      </c>
      <c r="I1583" s="5">
        <v>14804.4</v>
      </c>
      <c r="J1583" s="3" t="s">
        <v>26</v>
      </c>
      <c r="K1583" s="3" t="s">
        <v>27</v>
      </c>
      <c r="L1583" t="str">
        <f>IFERROR(VLOOKUP(D1583,Products!$A$2:$F$61,3,FALSE()),"")</f>
        <v>Electronics</v>
      </c>
      <c r="M1583" t="str">
        <f>IFERROR(VLOOKUP(E1583,Sales_Reps!$A$2:$C$31,3,FALSE()),"")</f>
        <v>East</v>
      </c>
      <c r="N1583">
        <f>IFERROR(VLOOKUP(D1583,Products!$A$2:$F$61,4,FALSE()),"")</f>
        <v>1052</v>
      </c>
      <c r="O1583" t="str">
        <f>IFERROR(VLOOKUP(C1583,Customers!$A$2:$F$301,5,FALSE()),"")</f>
        <v>SMB</v>
      </c>
      <c r="P1583">
        <f>IFERROR(VLOOKUP(C1583,Customers!$A$2:$F$301,3,FALSE()),"")</f>
        <v>60</v>
      </c>
      <c r="Q1583">
        <f t="shared" si="72"/>
        <v>0.5953846153846154</v>
      </c>
      <c r="R1583">
        <f>IF(AND(COUNTIF($A$2:$A$2047,A1583)&gt;1,COUNTIF($A$2:A1583,A1583)=1),1,0)</f>
        <v>0</v>
      </c>
      <c r="S1583" t="b">
        <f>IFERROR(VLOOKUP(D1583,Products!$A$2:$F$61,6,FALSE()),"")</f>
        <v>1</v>
      </c>
      <c r="T1583" t="str">
        <f>IF(COUNTIF(Customers!$A$2:$A$301,C1583)=0,"Missing","OK")</f>
        <v>OK</v>
      </c>
      <c r="U1583" t="str">
        <f t="shared" si="73"/>
        <v>Pune</v>
      </c>
      <c r="V1583">
        <f t="shared" si="74"/>
        <v>0</v>
      </c>
    </row>
    <row r="1584" spans="1:22" ht="15" customHeight="1" x14ac:dyDescent="0.35">
      <c r="A1584" s="3" t="s">
        <v>2018</v>
      </c>
      <c r="B1584" s="4">
        <v>45403</v>
      </c>
      <c r="C1584" s="3" t="s">
        <v>108</v>
      </c>
      <c r="D1584" s="3" t="s">
        <v>187</v>
      </c>
      <c r="E1584" s="3" t="s">
        <v>282</v>
      </c>
      <c r="F1584" s="5">
        <v>9</v>
      </c>
      <c r="G1584" s="5">
        <v>3870</v>
      </c>
      <c r="H1584" s="5">
        <v>1.8</v>
      </c>
      <c r="I1584" s="5">
        <v>34203.06</v>
      </c>
      <c r="J1584" s="3" t="s">
        <v>79</v>
      </c>
      <c r="K1584" s="3" t="s">
        <v>51</v>
      </c>
      <c r="L1584" t="str">
        <f>IFERROR(VLOOKUP(D1584,Products!$A$2:$F$61,3,FALSE()),"")</f>
        <v>Electronics</v>
      </c>
      <c r="M1584" t="str">
        <f>IFERROR(VLOOKUP(E1584,Sales_Reps!$A$2:$C$31,3,FALSE()),"")</f>
        <v>West</v>
      </c>
      <c r="N1584">
        <f>IFERROR(VLOOKUP(D1584,Products!$A$2:$F$61,4,FALSE()),"")</f>
        <v>1559</v>
      </c>
      <c r="O1584" t="str">
        <f>IFERROR(VLOOKUP(C1584,Customers!$A$2:$F$301,5,FALSE()),"")</f>
        <v>Retail</v>
      </c>
      <c r="P1584">
        <f>IFERROR(VLOOKUP(C1584,Customers!$A$2:$F$301,3,FALSE()),"")</f>
        <v>34</v>
      </c>
      <c r="Q1584">
        <f t="shared" si="72"/>
        <v>0.59715762273901807</v>
      </c>
      <c r="R1584">
        <f>IF(AND(COUNTIF($A$2:$A$2047,A1584)&gt;1,COUNTIF($A$2:A1584,A1584)=1),1,0)</f>
        <v>0</v>
      </c>
      <c r="S1584" t="b">
        <f>IFERROR(VLOOKUP(D1584,Products!$A$2:$F$61,6,FALSE()),"")</f>
        <v>1</v>
      </c>
      <c r="T1584" t="str">
        <f>IF(COUNTIF(Customers!$A$2:$A$301,C1584)=0,"Missing","OK")</f>
        <v>OK</v>
      </c>
      <c r="U1584" t="str">
        <f t="shared" si="73"/>
        <v>Mumbai</v>
      </c>
      <c r="V1584">
        <f t="shared" si="74"/>
        <v>0</v>
      </c>
    </row>
    <row r="1585" spans="1:22" ht="15" customHeight="1" x14ac:dyDescent="0.35">
      <c r="A1585" s="3" t="s">
        <v>2019</v>
      </c>
      <c r="B1585" s="4">
        <v>45459</v>
      </c>
      <c r="C1585" s="3" t="s">
        <v>346</v>
      </c>
      <c r="D1585" s="3" t="s">
        <v>347</v>
      </c>
      <c r="E1585" s="3" t="s">
        <v>42</v>
      </c>
      <c r="F1585" s="5">
        <v>3</v>
      </c>
      <c r="G1585" s="5">
        <v>3970</v>
      </c>
      <c r="H1585" s="5">
        <v>8.1999999999999993</v>
      </c>
      <c r="I1585" s="5">
        <v>10933.38</v>
      </c>
      <c r="J1585" s="3" t="s">
        <v>26</v>
      </c>
      <c r="K1585" s="3" t="s">
        <v>27</v>
      </c>
      <c r="L1585" t="str">
        <f>IFERROR(VLOOKUP(D1585,Products!$A$2:$F$61,3,FALSE()),"")</f>
        <v>Electronics</v>
      </c>
      <c r="M1585" t="str">
        <f>IFERROR(VLOOKUP(E1585,Sales_Reps!$A$2:$C$31,3,FALSE()),"")</f>
        <v>North</v>
      </c>
      <c r="N1585">
        <f>IFERROR(VLOOKUP(D1585,Products!$A$2:$F$61,4,FALSE()),"")</f>
        <v>2865</v>
      </c>
      <c r="O1585" t="str">
        <f>IFERROR(VLOOKUP(C1585,Customers!$A$2:$F$301,5,FALSE()),"")</f>
        <v>SMB</v>
      </c>
      <c r="P1585">
        <f>IFERROR(VLOOKUP(C1585,Customers!$A$2:$F$301,3,FALSE()),"")</f>
        <v>53</v>
      </c>
      <c r="Q1585">
        <f t="shared" si="72"/>
        <v>0.27833753148614609</v>
      </c>
      <c r="R1585">
        <f>IF(AND(COUNTIF($A$2:$A$2047,A1585)&gt;1,COUNTIF($A$2:A1585,A1585)=1),1,0)</f>
        <v>0</v>
      </c>
      <c r="S1585" t="b">
        <f>IFERROR(VLOOKUP(D1585,Products!$A$2:$F$61,6,FALSE()),"")</f>
        <v>1</v>
      </c>
      <c r="T1585" t="str">
        <f>IF(COUNTIF(Customers!$A$2:$A$301,C1585)=0,"Missing","OK")</f>
        <v>OK</v>
      </c>
      <c r="U1585" t="str">
        <f t="shared" si="73"/>
        <v>Pune</v>
      </c>
      <c r="V1585">
        <f t="shared" si="74"/>
        <v>0</v>
      </c>
    </row>
    <row r="1586" spans="1:22" ht="15" customHeight="1" x14ac:dyDescent="0.35">
      <c r="A1586" s="3" t="s">
        <v>2020</v>
      </c>
      <c r="B1586" s="4">
        <v>45438</v>
      </c>
      <c r="C1586" s="3" t="s">
        <v>223</v>
      </c>
      <c r="D1586" s="3" t="s">
        <v>319</v>
      </c>
      <c r="E1586" s="3" t="s">
        <v>67</v>
      </c>
      <c r="F1586" s="5">
        <v>9</v>
      </c>
      <c r="G1586" s="5">
        <v>960</v>
      </c>
      <c r="H1586" s="5">
        <v>21.7</v>
      </c>
      <c r="I1586" s="5">
        <v>6765.12</v>
      </c>
      <c r="J1586" s="3" t="s">
        <v>79</v>
      </c>
      <c r="K1586" s="3" t="s">
        <v>33</v>
      </c>
      <c r="L1586" t="str">
        <f>IFERROR(VLOOKUP(D1586,Products!$A$2:$F$61,3,FALSE()),"")</f>
        <v>Beauty</v>
      </c>
      <c r="M1586" t="str">
        <f>IFERROR(VLOOKUP(E1586,Sales_Reps!$A$2:$C$31,3,FALSE()),"")</f>
        <v>West</v>
      </c>
      <c r="N1586">
        <f>IFERROR(VLOOKUP(D1586,Products!$A$2:$F$61,4,FALSE()),"")</f>
        <v>675</v>
      </c>
      <c r="O1586" t="str">
        <f>IFERROR(VLOOKUP(C1586,Customers!$A$2:$F$301,5,FALSE()),"")</f>
        <v>Retail</v>
      </c>
      <c r="P1586">
        <f>IFERROR(VLOOKUP(C1586,Customers!$A$2:$F$301,3,FALSE()),"")</f>
        <v>28</v>
      </c>
      <c r="Q1586">
        <f t="shared" si="72"/>
        <v>0.296875</v>
      </c>
      <c r="R1586">
        <f>IF(AND(COUNTIF($A$2:$A$2047,A1586)&gt;1,COUNTIF($A$2:A1586,A1586)=1),1,0)</f>
        <v>0</v>
      </c>
      <c r="S1586" t="b">
        <f>IFERROR(VLOOKUP(D1586,Products!$A$2:$F$61,6,FALSE()),"")</f>
        <v>1</v>
      </c>
      <c r="T1586" t="str">
        <f>IF(COUNTIF(Customers!$A$2:$A$301,C1586)=0,"Missing","OK")</f>
        <v>OK</v>
      </c>
      <c r="U1586" t="str">
        <f t="shared" si="73"/>
        <v>Chennai</v>
      </c>
      <c r="V1586">
        <f t="shared" si="74"/>
        <v>0</v>
      </c>
    </row>
    <row r="1587" spans="1:22" ht="15" customHeight="1" x14ac:dyDescent="0.35">
      <c r="A1587" s="3" t="s">
        <v>2021</v>
      </c>
      <c r="B1587" s="4">
        <v>45632</v>
      </c>
      <c r="C1587" s="3" t="s">
        <v>736</v>
      </c>
      <c r="D1587" s="3" t="s">
        <v>299</v>
      </c>
      <c r="E1587" s="3" t="s">
        <v>50</v>
      </c>
      <c r="F1587" s="5">
        <v>3</v>
      </c>
      <c r="G1587" s="5">
        <v>5410</v>
      </c>
      <c r="H1587" s="5">
        <v>20.3</v>
      </c>
      <c r="I1587" s="5">
        <v>12935.31</v>
      </c>
      <c r="J1587" s="3" t="s">
        <v>26</v>
      </c>
      <c r="K1587" s="3" t="s">
        <v>38</v>
      </c>
      <c r="L1587" t="str">
        <f>IFERROR(VLOOKUP(D1587,Products!$A$2:$F$61,3,FALSE()),"")</f>
        <v>Sports</v>
      </c>
      <c r="M1587" t="str">
        <f>IFERROR(VLOOKUP(E1587,Sales_Reps!$A$2:$C$31,3,FALSE()),"")</f>
        <v>West</v>
      </c>
      <c r="N1587">
        <f>IFERROR(VLOOKUP(D1587,Products!$A$2:$F$61,4,FALSE()),"")</f>
        <v>2265</v>
      </c>
      <c r="O1587" t="str">
        <f>IFERROR(VLOOKUP(C1587,Customers!$A$2:$F$301,5,FALSE()),"")</f>
        <v>Retail</v>
      </c>
      <c r="P1587">
        <f>IFERROR(VLOOKUP(C1587,Customers!$A$2:$F$301,3,FALSE()),"")</f>
        <v>63</v>
      </c>
      <c r="Q1587">
        <f t="shared" si="72"/>
        <v>0.58133086876155271</v>
      </c>
      <c r="R1587">
        <f>IF(AND(COUNTIF($A$2:$A$2047,A1587)&gt;1,COUNTIF($A$2:A1587,A1587)=1),1,0)</f>
        <v>0</v>
      </c>
      <c r="S1587" t="b">
        <f>IFERROR(VLOOKUP(D1587,Products!$A$2:$F$61,6,FALSE()),"")</f>
        <v>1</v>
      </c>
      <c r="T1587" t="str">
        <f>IF(COUNTIF(Customers!$A$2:$A$301,C1587)=0,"Missing","OK")</f>
        <v>OK</v>
      </c>
      <c r="U1587" t="str">
        <f t="shared" si="73"/>
        <v>Delhi</v>
      </c>
      <c r="V1587">
        <f t="shared" si="74"/>
        <v>0</v>
      </c>
    </row>
    <row r="1588" spans="1:22" ht="15" customHeight="1" x14ac:dyDescent="0.35">
      <c r="A1588" s="3" t="s">
        <v>2022</v>
      </c>
      <c r="B1588" s="4">
        <v>45579</v>
      </c>
      <c r="C1588" s="3" t="s">
        <v>825</v>
      </c>
      <c r="D1588" s="3" t="s">
        <v>391</v>
      </c>
      <c r="E1588" s="3" t="s">
        <v>31</v>
      </c>
      <c r="F1588" s="5">
        <v>3</v>
      </c>
      <c r="G1588" s="5">
        <v>3450</v>
      </c>
      <c r="H1588" s="5">
        <v>11.6</v>
      </c>
      <c r="I1588" s="5">
        <v>9149.4</v>
      </c>
      <c r="J1588" s="3" t="s">
        <v>26</v>
      </c>
      <c r="K1588" s="3" t="s">
        <v>33</v>
      </c>
      <c r="L1588" t="str">
        <f>IFERROR(VLOOKUP(D1588,Products!$A$2:$F$61,3,FALSE()),"")</f>
        <v>Apparel</v>
      </c>
      <c r="M1588" t="str">
        <f>IFERROR(VLOOKUP(E1588,Sales_Reps!$A$2:$C$31,3,FALSE()),"")</f>
        <v>North</v>
      </c>
      <c r="N1588">
        <f>IFERROR(VLOOKUP(D1588,Products!$A$2:$F$61,4,FALSE()),"")</f>
        <v>1748</v>
      </c>
      <c r="O1588" t="str">
        <f>IFERROR(VLOOKUP(C1588,Customers!$A$2:$F$301,5,FALSE()),"")</f>
        <v>Corporate</v>
      </c>
      <c r="P1588">
        <f>IFERROR(VLOOKUP(C1588,Customers!$A$2:$F$301,3,FALSE()),"")</f>
        <v>44</v>
      </c>
      <c r="Q1588">
        <f t="shared" si="72"/>
        <v>0.49333333333333335</v>
      </c>
      <c r="R1588">
        <f>IF(AND(COUNTIF($A$2:$A$2047,A1588)&gt;1,COUNTIF($A$2:A1588,A1588)=1),1,0)</f>
        <v>0</v>
      </c>
      <c r="S1588" t="b">
        <f>IFERROR(VLOOKUP(D1588,Products!$A$2:$F$61,6,FALSE()),"")</f>
        <v>1</v>
      </c>
      <c r="T1588" t="str">
        <f>IF(COUNTIF(Customers!$A$2:$A$301,C1588)=0,"Missing","OK")</f>
        <v>OK</v>
      </c>
      <c r="U1588" t="str">
        <f t="shared" si="73"/>
        <v>Chennai</v>
      </c>
      <c r="V1588">
        <f t="shared" si="74"/>
        <v>0</v>
      </c>
    </row>
    <row r="1589" spans="1:22" ht="15" customHeight="1" x14ac:dyDescent="0.35">
      <c r="A1589" s="3" t="s">
        <v>2023</v>
      </c>
      <c r="B1589" s="4">
        <v>45392</v>
      </c>
      <c r="C1589" s="3" t="s">
        <v>162</v>
      </c>
      <c r="D1589" s="3" t="s">
        <v>215</v>
      </c>
      <c r="E1589" s="3" t="s">
        <v>46</v>
      </c>
      <c r="F1589" s="5">
        <v>2</v>
      </c>
      <c r="G1589" s="5">
        <v>3020</v>
      </c>
      <c r="H1589" s="5">
        <v>20.8</v>
      </c>
      <c r="I1589" s="5">
        <v>4783.68</v>
      </c>
      <c r="J1589" s="3" t="s">
        <v>32</v>
      </c>
      <c r="K1589" s="3" t="s">
        <v>38</v>
      </c>
      <c r="L1589" t="str">
        <f>IFERROR(VLOOKUP(D1589,Products!$A$2:$F$61,3,FALSE()),"")</f>
        <v>Beauty</v>
      </c>
      <c r="M1589" t="str">
        <f>IFERROR(VLOOKUP(E1589,Sales_Reps!$A$2:$C$31,3,FALSE()),"")</f>
        <v>North</v>
      </c>
      <c r="N1589">
        <f>IFERROR(VLOOKUP(D1589,Products!$A$2:$F$61,4,FALSE()),"")</f>
        <v>1626</v>
      </c>
      <c r="O1589" t="str">
        <f>IFERROR(VLOOKUP(C1589,Customers!$A$2:$F$301,5,FALSE()),"")</f>
        <v>Retail</v>
      </c>
      <c r="P1589">
        <f>IFERROR(VLOOKUP(C1589,Customers!$A$2:$F$301,3,FALSE()),"")</f>
        <v>53</v>
      </c>
      <c r="Q1589">
        <f t="shared" si="72"/>
        <v>0.46158940397350995</v>
      </c>
      <c r="R1589">
        <f>IF(AND(COUNTIF($A$2:$A$2047,A1589)&gt;1,COUNTIF($A$2:A1589,A1589)=1),1,0)</f>
        <v>0</v>
      </c>
      <c r="S1589" t="b">
        <f>IFERROR(VLOOKUP(D1589,Products!$A$2:$F$61,6,FALSE()),"")</f>
        <v>1</v>
      </c>
      <c r="T1589" t="str">
        <f>IF(COUNTIF(Customers!$A$2:$A$301,C1589)=0,"Missing","OK")</f>
        <v>OK</v>
      </c>
      <c r="U1589" t="str">
        <f t="shared" si="73"/>
        <v>Delhi</v>
      </c>
      <c r="V1589">
        <f t="shared" si="74"/>
        <v>0</v>
      </c>
    </row>
    <row r="1590" spans="1:22" ht="15" customHeight="1" x14ac:dyDescent="0.35">
      <c r="A1590" s="3" t="s">
        <v>2024</v>
      </c>
      <c r="B1590" s="4">
        <v>45563</v>
      </c>
      <c r="C1590" s="3" t="s">
        <v>1001</v>
      </c>
      <c r="D1590" s="3" t="s">
        <v>86</v>
      </c>
      <c r="E1590" s="3" t="s">
        <v>236</v>
      </c>
      <c r="F1590" s="5">
        <v>3</v>
      </c>
      <c r="G1590" s="5">
        <v>190</v>
      </c>
      <c r="H1590" s="5">
        <v>10.7</v>
      </c>
      <c r="I1590" s="5">
        <v>509.01</v>
      </c>
      <c r="J1590" s="3" t="s">
        <v>26</v>
      </c>
      <c r="K1590" s="3" t="s">
        <v>51</v>
      </c>
      <c r="L1590" t="str">
        <f>IFERROR(VLOOKUP(D1590,Products!$A$2:$F$61,3,FALSE()),"")</f>
        <v>Sports</v>
      </c>
      <c r="M1590" t="str">
        <f>IFERROR(VLOOKUP(E1590,Sales_Reps!$A$2:$C$31,3,FALSE()),"")</f>
        <v>North</v>
      </c>
      <c r="N1590">
        <f>IFERROR(VLOOKUP(D1590,Products!$A$2:$F$61,4,FALSE()),"")</f>
        <v>147</v>
      </c>
      <c r="O1590" t="str">
        <f>IFERROR(VLOOKUP(C1590,Customers!$A$2:$F$301,5,FALSE()),"")</f>
        <v>SMB</v>
      </c>
      <c r="P1590">
        <f>IFERROR(VLOOKUP(C1590,Customers!$A$2:$F$301,3,FALSE()),"")</f>
        <v>54</v>
      </c>
      <c r="Q1590">
        <f t="shared" si="72"/>
        <v>0.22631578947368422</v>
      </c>
      <c r="R1590">
        <f>IF(AND(COUNTIF($A$2:$A$2047,A1590)&gt;1,COUNTIF($A$2:A1590,A1590)=1),1,0)</f>
        <v>0</v>
      </c>
      <c r="S1590" t="b">
        <f>IFERROR(VLOOKUP(D1590,Products!$A$2:$F$61,6,FALSE()),"")</f>
        <v>1</v>
      </c>
      <c r="T1590" t="str">
        <f>IF(COUNTIF(Customers!$A$2:$A$301,C1590)=0,"Missing","OK")</f>
        <v>OK</v>
      </c>
      <c r="U1590" t="str">
        <f t="shared" si="73"/>
        <v>Mumbai</v>
      </c>
      <c r="V1590">
        <f t="shared" si="74"/>
        <v>0</v>
      </c>
    </row>
    <row r="1591" spans="1:22" ht="15" customHeight="1" x14ac:dyDescent="0.35">
      <c r="A1591" s="3" t="s">
        <v>2025</v>
      </c>
      <c r="B1591" s="4">
        <v>45294</v>
      </c>
      <c r="C1591" s="3" t="s">
        <v>133</v>
      </c>
      <c r="D1591" s="3" t="s">
        <v>165</v>
      </c>
      <c r="E1591" s="3" t="s">
        <v>264</v>
      </c>
      <c r="F1591" s="5">
        <v>4</v>
      </c>
      <c r="G1591" s="5">
        <v>3730</v>
      </c>
      <c r="H1591" s="5">
        <v>6.9</v>
      </c>
      <c r="I1591" s="5">
        <v>13890.52</v>
      </c>
      <c r="J1591" s="3" t="s">
        <v>26</v>
      </c>
      <c r="K1591" s="3" t="s">
        <v>27</v>
      </c>
      <c r="L1591" t="str">
        <f>IFERROR(VLOOKUP(D1591,Products!$A$2:$F$61,3,FALSE()),"")</f>
        <v>Home</v>
      </c>
      <c r="M1591" t="str">
        <f>IFERROR(VLOOKUP(E1591,Sales_Reps!$A$2:$C$31,3,FALSE()),"")</f>
        <v>South</v>
      </c>
      <c r="N1591">
        <f>IFERROR(VLOOKUP(D1591,Products!$A$2:$F$61,4,FALSE()),"")</f>
        <v>2135</v>
      </c>
      <c r="O1591" t="str">
        <f>IFERROR(VLOOKUP(C1591,Customers!$A$2:$F$301,5,FALSE()),"")</f>
        <v>SMB</v>
      </c>
      <c r="P1591">
        <f>IFERROR(VLOOKUP(C1591,Customers!$A$2:$F$301,3,FALSE()),"")</f>
        <v>44</v>
      </c>
      <c r="Q1591">
        <f t="shared" si="72"/>
        <v>0.42761394101876676</v>
      </c>
      <c r="R1591">
        <f>IF(AND(COUNTIF($A$2:$A$2047,A1591)&gt;1,COUNTIF($A$2:A1591,A1591)=1),1,0)</f>
        <v>0</v>
      </c>
      <c r="S1591" t="b">
        <f>IFERROR(VLOOKUP(D1591,Products!$A$2:$F$61,6,FALSE()),"")</f>
        <v>1</v>
      </c>
      <c r="T1591" t="str">
        <f>IF(COUNTIF(Customers!$A$2:$A$301,C1591)=0,"Missing","OK")</f>
        <v>OK</v>
      </c>
      <c r="U1591" t="str">
        <f t="shared" si="73"/>
        <v>Pune</v>
      </c>
      <c r="V1591">
        <f t="shared" si="74"/>
        <v>0</v>
      </c>
    </row>
    <row r="1592" spans="1:22" ht="15" customHeight="1" x14ac:dyDescent="0.35">
      <c r="A1592" s="3" t="s">
        <v>2026</v>
      </c>
      <c r="B1592" s="4">
        <v>45503</v>
      </c>
      <c r="C1592" s="3" t="s">
        <v>966</v>
      </c>
      <c r="D1592" s="3" t="s">
        <v>100</v>
      </c>
      <c r="E1592" s="3" t="s">
        <v>50</v>
      </c>
      <c r="F1592" s="5">
        <v>9</v>
      </c>
      <c r="G1592" s="5">
        <v>3450</v>
      </c>
      <c r="H1592" s="5">
        <v>22.2</v>
      </c>
      <c r="I1592" s="5">
        <v>24156.9</v>
      </c>
      <c r="J1592" s="3" t="s">
        <v>79</v>
      </c>
      <c r="K1592" s="3" t="s">
        <v>51</v>
      </c>
      <c r="L1592" t="str">
        <f>IFERROR(VLOOKUP(D1592,Products!$A$2:$F$61,3,FALSE()),"")</f>
        <v>Sports</v>
      </c>
      <c r="M1592" t="str">
        <f>IFERROR(VLOOKUP(E1592,Sales_Reps!$A$2:$C$31,3,FALSE()),"")</f>
        <v>West</v>
      </c>
      <c r="N1592">
        <f>IFERROR(VLOOKUP(D1592,Products!$A$2:$F$61,4,FALSE()),"")</f>
        <v>2467</v>
      </c>
      <c r="O1592" t="str">
        <f>IFERROR(VLOOKUP(C1592,Customers!$A$2:$F$301,5,FALSE()),"")</f>
        <v>SMB</v>
      </c>
      <c r="P1592">
        <f>IFERROR(VLOOKUP(C1592,Customers!$A$2:$F$301,3,FALSE()),"")</f>
        <v>47</v>
      </c>
      <c r="Q1592">
        <f t="shared" si="72"/>
        <v>0.28492753623188405</v>
      </c>
      <c r="R1592">
        <f>IF(AND(COUNTIF($A$2:$A$2047,A1592)&gt;1,COUNTIF($A$2:A1592,A1592)=1),1,0)</f>
        <v>0</v>
      </c>
      <c r="S1592" t="b">
        <f>IFERROR(VLOOKUP(D1592,Products!$A$2:$F$61,6,FALSE()),"")</f>
        <v>1</v>
      </c>
      <c r="T1592" t="str">
        <f>IF(COUNTIF(Customers!$A$2:$A$301,C1592)=0,"Missing","OK")</f>
        <v>OK</v>
      </c>
      <c r="U1592" t="str">
        <f t="shared" si="73"/>
        <v>Mumbai</v>
      </c>
      <c r="V1592">
        <f t="shared" si="74"/>
        <v>0</v>
      </c>
    </row>
    <row r="1593" spans="1:22" ht="15" customHeight="1" x14ac:dyDescent="0.35">
      <c r="A1593" s="3" t="s">
        <v>2027</v>
      </c>
      <c r="B1593" s="4">
        <v>45336</v>
      </c>
      <c r="C1593" s="3" t="s">
        <v>443</v>
      </c>
      <c r="D1593" s="3" t="s">
        <v>347</v>
      </c>
      <c r="E1593" s="3" t="s">
        <v>236</v>
      </c>
      <c r="F1593" s="5">
        <v>3</v>
      </c>
      <c r="G1593" s="5">
        <v>3970</v>
      </c>
      <c r="H1593" s="5">
        <v>6.8</v>
      </c>
      <c r="I1593" s="5">
        <v>11100.12</v>
      </c>
      <c r="J1593" s="3" t="s">
        <v>26</v>
      </c>
      <c r="K1593" s="3" t="s">
        <v>56</v>
      </c>
      <c r="L1593" t="str">
        <f>IFERROR(VLOOKUP(D1593,Products!$A$2:$F$61,3,FALSE()),"")</f>
        <v>Electronics</v>
      </c>
      <c r="M1593" t="str">
        <f>IFERROR(VLOOKUP(E1593,Sales_Reps!$A$2:$C$31,3,FALSE()),"")</f>
        <v>North</v>
      </c>
      <c r="N1593">
        <f>IFERROR(VLOOKUP(D1593,Products!$A$2:$F$61,4,FALSE()),"")</f>
        <v>2865</v>
      </c>
      <c r="O1593" t="str">
        <f>IFERROR(VLOOKUP(C1593,Customers!$A$2:$F$301,5,FALSE()),"")</f>
        <v>Corporate</v>
      </c>
      <c r="P1593">
        <f>IFERROR(VLOOKUP(C1593,Customers!$A$2:$F$301,3,FALSE()),"")</f>
        <v>36</v>
      </c>
      <c r="Q1593">
        <f t="shared" si="72"/>
        <v>0.27833753148614609</v>
      </c>
      <c r="R1593">
        <f>IF(AND(COUNTIF($A$2:$A$2047,A1593)&gt;1,COUNTIF($A$2:A1593,A1593)=1),1,0)</f>
        <v>0</v>
      </c>
      <c r="S1593" t="b">
        <f>IFERROR(VLOOKUP(D1593,Products!$A$2:$F$61,6,FALSE()),"")</f>
        <v>1</v>
      </c>
      <c r="T1593" t="str">
        <f>IF(COUNTIF(Customers!$A$2:$A$301,C1593)=0,"Missing","OK")</f>
        <v>OK</v>
      </c>
      <c r="U1593" t="str">
        <f t="shared" si="73"/>
        <v>Bengaluru</v>
      </c>
      <c r="V1593">
        <f t="shared" si="74"/>
        <v>0</v>
      </c>
    </row>
    <row r="1594" spans="1:22" ht="15" customHeight="1" x14ac:dyDescent="0.35">
      <c r="A1594" s="3" t="s">
        <v>2028</v>
      </c>
      <c r="B1594" s="4">
        <v>45462</v>
      </c>
      <c r="C1594" s="3" t="s">
        <v>545</v>
      </c>
      <c r="D1594" s="3" t="s">
        <v>441</v>
      </c>
      <c r="E1594" s="3" t="s">
        <v>224</v>
      </c>
      <c r="F1594" s="5">
        <v>3</v>
      </c>
      <c r="G1594" s="5">
        <v>1090</v>
      </c>
      <c r="H1594" s="5">
        <v>23.7</v>
      </c>
      <c r="I1594" s="5">
        <v>2495.0100000000002</v>
      </c>
      <c r="J1594" s="3" t="s">
        <v>26</v>
      </c>
      <c r="K1594" s="3" t="s">
        <v>51</v>
      </c>
      <c r="L1594" t="str">
        <f>IFERROR(VLOOKUP(D1594,Products!$A$2:$F$61,3,FALSE()),"")</f>
        <v>Home</v>
      </c>
      <c r="M1594" t="str">
        <f>IFERROR(VLOOKUP(E1594,Sales_Reps!$A$2:$C$31,3,FALSE()),"")</f>
        <v>East</v>
      </c>
      <c r="N1594">
        <f>IFERROR(VLOOKUP(D1594,Products!$A$2:$F$61,4,FALSE()),"")</f>
        <v>464</v>
      </c>
      <c r="O1594" t="str">
        <f>IFERROR(VLOOKUP(C1594,Customers!$A$2:$F$301,5,FALSE()),"")</f>
        <v>Retail</v>
      </c>
      <c r="P1594">
        <f>IFERROR(VLOOKUP(C1594,Customers!$A$2:$F$301,3,FALSE()),"")</f>
        <v>52</v>
      </c>
      <c r="Q1594">
        <f t="shared" si="72"/>
        <v>0.57431192660550456</v>
      </c>
      <c r="R1594">
        <f>IF(AND(COUNTIF($A$2:$A$2047,A1594)&gt;1,COUNTIF($A$2:A1594,A1594)=1),1,0)</f>
        <v>0</v>
      </c>
      <c r="S1594" t="b">
        <f>IFERROR(VLOOKUP(D1594,Products!$A$2:$F$61,6,FALSE()),"")</f>
        <v>1</v>
      </c>
      <c r="T1594" t="str">
        <f>IF(COUNTIF(Customers!$A$2:$A$301,C1594)=0,"Missing","OK")</f>
        <v>OK</v>
      </c>
      <c r="U1594" t="str">
        <f t="shared" si="73"/>
        <v>Mumbai</v>
      </c>
      <c r="V1594">
        <f t="shared" si="74"/>
        <v>0</v>
      </c>
    </row>
    <row r="1595" spans="1:22" ht="15" customHeight="1" x14ac:dyDescent="0.35">
      <c r="A1595" s="3" t="s">
        <v>2029</v>
      </c>
      <c r="B1595" s="4">
        <v>45300</v>
      </c>
      <c r="C1595" s="3" t="s">
        <v>418</v>
      </c>
      <c r="D1595" s="3" t="s">
        <v>234</v>
      </c>
      <c r="E1595" s="3" t="s">
        <v>93</v>
      </c>
      <c r="F1595" s="5">
        <v>3</v>
      </c>
      <c r="G1595" s="5">
        <v>2030</v>
      </c>
      <c r="H1595" s="5">
        <v>18.8</v>
      </c>
      <c r="I1595" s="5">
        <v>4945.08</v>
      </c>
      <c r="J1595" s="3" t="s">
        <v>26</v>
      </c>
      <c r="K1595" s="3" t="s">
        <v>27</v>
      </c>
      <c r="L1595" t="str">
        <f>IFERROR(VLOOKUP(D1595,Products!$A$2:$F$61,3,FALSE()),"")</f>
        <v>Home</v>
      </c>
      <c r="M1595" t="str">
        <f>IFERROR(VLOOKUP(E1595,Sales_Reps!$A$2:$C$31,3,FALSE()),"")</f>
        <v>East</v>
      </c>
      <c r="N1595">
        <f>IFERROR(VLOOKUP(D1595,Products!$A$2:$F$61,4,FALSE()),"")</f>
        <v>1143</v>
      </c>
      <c r="O1595" t="str">
        <f>IFERROR(VLOOKUP(C1595,Customers!$A$2:$F$301,5,FALSE()),"")</f>
        <v>SMB</v>
      </c>
      <c r="P1595">
        <f>IFERROR(VLOOKUP(C1595,Customers!$A$2:$F$301,3,FALSE()),"")</f>
        <v>49</v>
      </c>
      <c r="Q1595">
        <f t="shared" si="72"/>
        <v>0.43694581280788175</v>
      </c>
      <c r="R1595">
        <f>IF(AND(COUNTIF($A$2:$A$2047,A1595)&gt;1,COUNTIF($A$2:A1595,A1595)=1),1,0)</f>
        <v>0</v>
      </c>
      <c r="S1595" t="b">
        <f>IFERROR(VLOOKUP(D1595,Products!$A$2:$F$61,6,FALSE()),"")</f>
        <v>1</v>
      </c>
      <c r="T1595" t="str">
        <f>IF(COUNTIF(Customers!$A$2:$A$301,C1595)=0,"Missing","OK")</f>
        <v>OK</v>
      </c>
      <c r="U1595" t="str">
        <f t="shared" si="73"/>
        <v>Pune</v>
      </c>
      <c r="V1595">
        <f t="shared" si="74"/>
        <v>0</v>
      </c>
    </row>
    <row r="1596" spans="1:22" ht="15" customHeight="1" x14ac:dyDescent="0.35">
      <c r="A1596" s="3" t="s">
        <v>2030</v>
      </c>
      <c r="B1596" s="4">
        <v>45367</v>
      </c>
      <c r="C1596" s="3" t="s">
        <v>560</v>
      </c>
      <c r="D1596" s="3" t="s">
        <v>203</v>
      </c>
      <c r="E1596" s="3" t="s">
        <v>46</v>
      </c>
      <c r="F1596" s="5">
        <v>2</v>
      </c>
      <c r="G1596" s="5">
        <v>4070</v>
      </c>
      <c r="H1596" s="5">
        <v>14.3</v>
      </c>
      <c r="I1596" s="5">
        <v>6975.98</v>
      </c>
      <c r="J1596" s="3" t="s">
        <v>26</v>
      </c>
      <c r="K1596" s="3" t="s">
        <v>2031</v>
      </c>
      <c r="L1596" t="str">
        <f>IFERROR(VLOOKUP(D1596,Products!$A$2:$F$61,3,FALSE()),"")</f>
        <v>Grocery</v>
      </c>
      <c r="M1596" t="str">
        <f>IFERROR(VLOOKUP(E1596,Sales_Reps!$A$2:$C$31,3,FALSE()),"")</f>
        <v>North</v>
      </c>
      <c r="N1596">
        <f>IFERROR(VLOOKUP(D1596,Products!$A$2:$F$61,4,FALSE()),"")</f>
        <v>2027</v>
      </c>
      <c r="O1596" t="str">
        <f>IFERROR(VLOOKUP(C1596,Customers!$A$2:$F$301,5,FALSE()),"")</f>
        <v>Corporate</v>
      </c>
      <c r="P1596">
        <f>IFERROR(VLOOKUP(C1596,Customers!$A$2:$F$301,3,FALSE()),"")</f>
        <v>22</v>
      </c>
      <c r="Q1596">
        <f t="shared" si="72"/>
        <v>0.50196560196560192</v>
      </c>
      <c r="R1596">
        <f>IF(AND(COUNTIF($A$2:$A$2047,A1596)&gt;1,COUNTIF($A$2:A1596,A1596)=1),1,0)</f>
        <v>0</v>
      </c>
      <c r="S1596" t="b">
        <f>IFERROR(VLOOKUP(D1596,Products!$A$2:$F$61,6,FALSE()),"")</f>
        <v>1</v>
      </c>
      <c r="T1596" t="str">
        <f>IF(COUNTIF(Customers!$A$2:$A$301,C1596)=0,"Missing","OK")</f>
        <v>OK</v>
      </c>
      <c r="U1596" t="str">
        <f t="shared" si="73"/>
        <v>Chennai</v>
      </c>
      <c r="V1596">
        <f t="shared" si="74"/>
        <v>0</v>
      </c>
    </row>
    <row r="1597" spans="1:22" ht="15" customHeight="1" x14ac:dyDescent="0.35">
      <c r="A1597" s="3" t="s">
        <v>2032</v>
      </c>
      <c r="B1597" s="4">
        <v>45410</v>
      </c>
      <c r="C1597" s="3" t="s">
        <v>1119</v>
      </c>
      <c r="D1597" s="3" t="s">
        <v>24</v>
      </c>
      <c r="E1597" s="3" t="s">
        <v>67</v>
      </c>
      <c r="F1597" s="5">
        <v>3</v>
      </c>
      <c r="G1597" s="5">
        <v>3620</v>
      </c>
      <c r="H1597" s="5">
        <v>13.5</v>
      </c>
      <c r="I1597" s="5">
        <v>9393.9</v>
      </c>
      <c r="J1597" s="3" t="s">
        <v>26</v>
      </c>
      <c r="K1597" s="3" t="s">
        <v>33</v>
      </c>
      <c r="L1597" t="str">
        <f>IFERROR(VLOOKUP(D1597,Products!$A$2:$F$61,3,FALSE()),"")</f>
        <v>Apparel</v>
      </c>
      <c r="M1597" t="str">
        <f>IFERROR(VLOOKUP(E1597,Sales_Reps!$A$2:$C$31,3,FALSE()),"")</f>
        <v>West</v>
      </c>
      <c r="N1597">
        <f>IFERROR(VLOOKUP(D1597,Products!$A$2:$F$61,4,FALSE()),"")</f>
        <v>2509</v>
      </c>
      <c r="O1597" t="str">
        <f>IFERROR(VLOOKUP(C1597,Customers!$A$2:$F$301,5,FALSE()),"")</f>
        <v>Corporate</v>
      </c>
      <c r="P1597">
        <f>IFERROR(VLOOKUP(C1597,Customers!$A$2:$F$301,3,FALSE()),"")</f>
        <v>49</v>
      </c>
      <c r="Q1597">
        <f t="shared" si="72"/>
        <v>0.3069060773480663</v>
      </c>
      <c r="R1597">
        <f>IF(AND(COUNTIF($A$2:$A$2047,A1597)&gt;1,COUNTIF($A$2:A1597,A1597)=1),1,0)</f>
        <v>0</v>
      </c>
      <c r="S1597" t="b">
        <f>IFERROR(VLOOKUP(D1597,Products!$A$2:$F$61,6,FALSE()),"")</f>
        <v>1</v>
      </c>
      <c r="T1597" t="str">
        <f>IF(COUNTIF(Customers!$A$2:$A$301,C1597)=0,"Missing","OK")</f>
        <v>OK</v>
      </c>
      <c r="U1597" t="str">
        <f t="shared" si="73"/>
        <v>Chennai</v>
      </c>
      <c r="V1597">
        <f t="shared" si="74"/>
        <v>0</v>
      </c>
    </row>
    <row r="1598" spans="1:22" ht="15" customHeight="1" x14ac:dyDescent="0.35">
      <c r="A1598" s="3" t="s">
        <v>2033</v>
      </c>
      <c r="B1598" s="4">
        <v>45623</v>
      </c>
      <c r="C1598" s="3" t="s">
        <v>724</v>
      </c>
      <c r="D1598" s="3" t="s">
        <v>121</v>
      </c>
      <c r="E1598" s="3" t="s">
        <v>154</v>
      </c>
      <c r="F1598" s="5">
        <v>4</v>
      </c>
      <c r="G1598" s="5">
        <v>1010</v>
      </c>
      <c r="H1598" s="5">
        <v>3.3</v>
      </c>
      <c r="I1598" s="5">
        <v>3906.68</v>
      </c>
      <c r="J1598" s="3" t="s">
        <v>26</v>
      </c>
      <c r="K1598" s="3" t="s">
        <v>27</v>
      </c>
      <c r="L1598" t="str">
        <f>IFERROR(VLOOKUP(D1598,Products!$A$2:$F$61,3,FALSE()),"")</f>
        <v>Sports</v>
      </c>
      <c r="M1598" t="str">
        <f>IFERROR(VLOOKUP(E1598,Sales_Reps!$A$2:$C$31,3,FALSE()),"")</f>
        <v>North</v>
      </c>
      <c r="N1598">
        <f>IFERROR(VLOOKUP(D1598,Products!$A$2:$F$61,4,FALSE()),"")</f>
        <v>516</v>
      </c>
      <c r="O1598" t="str">
        <f>IFERROR(VLOOKUP(C1598,Customers!$A$2:$F$301,5,FALSE()),"")</f>
        <v>Retail</v>
      </c>
      <c r="P1598">
        <f>IFERROR(VLOOKUP(C1598,Customers!$A$2:$F$301,3,FALSE()),"")</f>
        <v>31</v>
      </c>
      <c r="Q1598">
        <f t="shared" si="72"/>
        <v>0.4891089108910891</v>
      </c>
      <c r="R1598">
        <f>IF(AND(COUNTIF($A$2:$A$2047,A1598)&gt;1,COUNTIF($A$2:A1598,A1598)=1),1,0)</f>
        <v>0</v>
      </c>
      <c r="S1598" t="b">
        <f>IFERROR(VLOOKUP(D1598,Products!$A$2:$F$61,6,FALSE()),"")</f>
        <v>1</v>
      </c>
      <c r="T1598" t="str">
        <f>IF(COUNTIF(Customers!$A$2:$A$301,C1598)=0,"Missing","OK")</f>
        <v>OK</v>
      </c>
      <c r="U1598" t="str">
        <f t="shared" si="73"/>
        <v>Pune</v>
      </c>
      <c r="V1598">
        <f t="shared" si="74"/>
        <v>0</v>
      </c>
    </row>
    <row r="1599" spans="1:22" ht="15" customHeight="1" x14ac:dyDescent="0.35">
      <c r="A1599" s="3" t="s">
        <v>2034</v>
      </c>
      <c r="B1599" s="4">
        <v>45491</v>
      </c>
      <c r="C1599" s="3" t="s">
        <v>296</v>
      </c>
      <c r="D1599" s="3" t="s">
        <v>66</v>
      </c>
      <c r="E1599" s="3" t="s">
        <v>31</v>
      </c>
      <c r="F1599" s="5">
        <v>7</v>
      </c>
      <c r="G1599" s="5">
        <v>970</v>
      </c>
      <c r="H1599" s="5">
        <v>0.1</v>
      </c>
      <c r="I1599" s="5">
        <v>6783.21</v>
      </c>
      <c r="J1599" s="3" t="s">
        <v>26</v>
      </c>
      <c r="K1599" s="3" t="s">
        <v>38</v>
      </c>
      <c r="L1599" t="str">
        <f>IFERROR(VLOOKUP(D1599,Products!$A$2:$F$61,3,FALSE()),"")</f>
        <v>Grocery</v>
      </c>
      <c r="M1599" t="str">
        <f>IFERROR(VLOOKUP(E1599,Sales_Reps!$A$2:$C$31,3,FALSE()),"")</f>
        <v>North</v>
      </c>
      <c r="N1599">
        <f>IFERROR(VLOOKUP(D1599,Products!$A$2:$F$61,4,FALSE()),"")</f>
        <v>434</v>
      </c>
      <c r="O1599" t="str">
        <f>IFERROR(VLOOKUP(C1599,Customers!$A$2:$F$301,5,FALSE()),"")</f>
        <v>SMB</v>
      </c>
      <c r="P1599">
        <f>IFERROR(VLOOKUP(C1599,Customers!$A$2:$F$301,3,FALSE()),"")</f>
        <v>38</v>
      </c>
      <c r="Q1599">
        <f t="shared" si="72"/>
        <v>0.5525773195876289</v>
      </c>
      <c r="R1599">
        <f>IF(AND(COUNTIF($A$2:$A$2047,A1599)&gt;1,COUNTIF($A$2:A1599,A1599)=1),1,0)</f>
        <v>0</v>
      </c>
      <c r="S1599" t="b">
        <f>IFERROR(VLOOKUP(D1599,Products!$A$2:$F$61,6,FALSE()),"")</f>
        <v>1</v>
      </c>
      <c r="T1599" t="str">
        <f>IF(COUNTIF(Customers!$A$2:$A$301,C1599)=0,"Missing","OK")</f>
        <v>OK</v>
      </c>
      <c r="U1599" t="str">
        <f t="shared" si="73"/>
        <v>Delhi</v>
      </c>
      <c r="V1599">
        <f t="shared" si="74"/>
        <v>0</v>
      </c>
    </row>
    <row r="1600" spans="1:22" ht="15" customHeight="1" x14ac:dyDescent="0.35">
      <c r="A1600" s="3" t="s">
        <v>2035</v>
      </c>
      <c r="B1600" s="4">
        <v>45571</v>
      </c>
      <c r="C1600" s="3" t="s">
        <v>809</v>
      </c>
      <c r="D1600" s="3" t="s">
        <v>36</v>
      </c>
      <c r="E1600" s="3" t="s">
        <v>282</v>
      </c>
      <c r="F1600" s="5">
        <v>5</v>
      </c>
      <c r="G1600" s="5">
        <v>470</v>
      </c>
      <c r="H1600" s="5">
        <v>18.3</v>
      </c>
      <c r="I1600" s="5">
        <v>1919.95</v>
      </c>
      <c r="J1600" s="3" t="s">
        <v>83</v>
      </c>
      <c r="K1600" s="3" t="s">
        <v>56</v>
      </c>
      <c r="L1600" t="str">
        <f>IFERROR(VLOOKUP(D1600,Products!$A$2:$F$61,3,FALSE()),"")</f>
        <v>Sports</v>
      </c>
      <c r="M1600" t="str">
        <f>IFERROR(VLOOKUP(E1600,Sales_Reps!$A$2:$C$31,3,FALSE()),"")</f>
        <v>West</v>
      </c>
      <c r="N1600">
        <f>IFERROR(VLOOKUP(D1600,Products!$A$2:$F$61,4,FALSE()),"")</f>
        <v>302</v>
      </c>
      <c r="O1600" t="str">
        <f>IFERROR(VLOOKUP(C1600,Customers!$A$2:$F$301,5,FALSE()),"")</f>
        <v>Retail</v>
      </c>
      <c r="P1600">
        <f>IFERROR(VLOOKUP(C1600,Customers!$A$2:$F$301,3,FALSE()),"")</f>
        <v>47</v>
      </c>
      <c r="Q1600">
        <f t="shared" si="72"/>
        <v>0.35744680851063831</v>
      </c>
      <c r="R1600">
        <f>IF(AND(COUNTIF($A$2:$A$2047,A1600)&gt;1,COUNTIF($A$2:A1600,A1600)=1),1,0)</f>
        <v>0</v>
      </c>
      <c r="S1600" t="b">
        <f>IFERROR(VLOOKUP(D1600,Products!$A$2:$F$61,6,FALSE()),"")</f>
        <v>0</v>
      </c>
      <c r="T1600" t="str">
        <f>IF(COUNTIF(Customers!$A$2:$A$301,C1600)=0,"Missing","OK")</f>
        <v>OK</v>
      </c>
      <c r="U1600" t="str">
        <f t="shared" si="73"/>
        <v>Bengaluru</v>
      </c>
      <c r="V1600">
        <f t="shared" si="74"/>
        <v>0</v>
      </c>
    </row>
    <row r="1601" spans="1:22" ht="15" customHeight="1" x14ac:dyDescent="0.35">
      <c r="A1601" s="3" t="s">
        <v>2036</v>
      </c>
      <c r="B1601" s="4">
        <v>45393</v>
      </c>
      <c r="C1601" s="3" t="s">
        <v>494</v>
      </c>
      <c r="D1601" s="3" t="s">
        <v>391</v>
      </c>
      <c r="E1601" s="3" t="s">
        <v>71</v>
      </c>
      <c r="F1601" s="5">
        <v>8</v>
      </c>
      <c r="G1601" s="5">
        <v>3450</v>
      </c>
      <c r="H1601" s="5">
        <v>5.0999999999999996</v>
      </c>
      <c r="I1601" s="5">
        <v>26192.400000000001</v>
      </c>
      <c r="J1601" s="3" t="s">
        <v>83</v>
      </c>
      <c r="K1601" s="3" t="s">
        <v>51</v>
      </c>
      <c r="L1601" t="str">
        <f>IFERROR(VLOOKUP(D1601,Products!$A$2:$F$61,3,FALSE()),"")</f>
        <v>Apparel</v>
      </c>
      <c r="M1601" t="str">
        <f>IFERROR(VLOOKUP(E1601,Sales_Reps!$A$2:$C$31,3,FALSE()),"")</f>
        <v>South</v>
      </c>
      <c r="N1601">
        <f>IFERROR(VLOOKUP(D1601,Products!$A$2:$F$61,4,FALSE()),"")</f>
        <v>1748</v>
      </c>
      <c r="O1601" t="str">
        <f>IFERROR(VLOOKUP(C1601,Customers!$A$2:$F$301,5,FALSE()),"")</f>
        <v>Retail</v>
      </c>
      <c r="P1601">
        <f>IFERROR(VLOOKUP(C1601,Customers!$A$2:$F$301,3,FALSE()),"")</f>
        <v>37</v>
      </c>
      <c r="Q1601">
        <f t="shared" si="72"/>
        <v>0.49333333333333335</v>
      </c>
      <c r="R1601">
        <f>IF(AND(COUNTIF($A$2:$A$2047,A1601)&gt;1,COUNTIF($A$2:A1601,A1601)=1),1,0)</f>
        <v>0</v>
      </c>
      <c r="S1601" t="b">
        <f>IFERROR(VLOOKUP(D1601,Products!$A$2:$F$61,6,FALSE()),"")</f>
        <v>1</v>
      </c>
      <c r="T1601" t="str">
        <f>IF(COUNTIF(Customers!$A$2:$A$301,C1601)=0,"Missing","OK")</f>
        <v>OK</v>
      </c>
      <c r="U1601" t="str">
        <f t="shared" si="73"/>
        <v>Mumbai</v>
      </c>
      <c r="V1601">
        <f t="shared" si="74"/>
        <v>0</v>
      </c>
    </row>
    <row r="1602" spans="1:22" ht="15" customHeight="1" x14ac:dyDescent="0.35">
      <c r="A1602" s="3" t="s">
        <v>2037</v>
      </c>
      <c r="B1602" s="4">
        <v>45465</v>
      </c>
      <c r="C1602" s="3" t="s">
        <v>547</v>
      </c>
      <c r="D1602" s="3" t="s">
        <v>74</v>
      </c>
      <c r="E1602" s="3" t="s">
        <v>224</v>
      </c>
      <c r="F1602" s="5">
        <v>1</v>
      </c>
      <c r="G1602" s="5">
        <v>2640</v>
      </c>
      <c r="H1602" s="5">
        <v>5.9</v>
      </c>
      <c r="I1602" s="5">
        <v>2484.2399999999998</v>
      </c>
      <c r="J1602" s="3" t="s">
        <v>26</v>
      </c>
      <c r="K1602" s="3" t="s">
        <v>27</v>
      </c>
      <c r="L1602" t="str">
        <f>IFERROR(VLOOKUP(D1602,Products!$A$2:$F$61,3,FALSE()),"")</f>
        <v>Electronics</v>
      </c>
      <c r="M1602" t="str">
        <f>IFERROR(VLOOKUP(E1602,Sales_Reps!$A$2:$C$31,3,FALSE()),"")</f>
        <v>East</v>
      </c>
      <c r="N1602">
        <f>IFERROR(VLOOKUP(D1602,Products!$A$2:$F$61,4,FALSE()),"")</f>
        <v>1149</v>
      </c>
      <c r="O1602" t="str">
        <f>IFERROR(VLOOKUP(C1602,Customers!$A$2:$F$301,5,FALSE()),"")</f>
        <v>Corporate</v>
      </c>
      <c r="P1602">
        <f>IFERROR(VLOOKUP(C1602,Customers!$A$2:$F$301,3,FALSE()),"")</f>
        <v>40</v>
      </c>
      <c r="Q1602">
        <f t="shared" ref="Q1602:Q1665" si="75">IFERROR((G1602-N1602)/G1602,"")</f>
        <v>0.56477272727272732</v>
      </c>
      <c r="R1602">
        <f>IF(AND(COUNTIF($A$2:$A$2047,A1602)&gt;1,COUNTIF($A$2:A1602,A1602)=1),1,0)</f>
        <v>0</v>
      </c>
      <c r="S1602" t="b">
        <f>IFERROR(VLOOKUP(D1602,Products!$A$2:$F$61,6,FALSE()),"")</f>
        <v>1</v>
      </c>
      <c r="T1602" t="str">
        <f>IF(COUNTIF(Customers!$A$2:$A$301,C1602)=0,"Missing","OK")</f>
        <v>OK</v>
      </c>
      <c r="U1602" t="str">
        <f t="shared" ref="U1602:U1665" si="76">IF(K1602="","",PROPER(TRIM(K1602)))</f>
        <v>Pune</v>
      </c>
      <c r="V1602">
        <f t="shared" ref="V1602:V1665" si="77">IF(AND(U1602="Bengaluru",L1602="Grocery"),I1602,0)</f>
        <v>0</v>
      </c>
    </row>
    <row r="1603" spans="1:22" ht="15" customHeight="1" x14ac:dyDescent="0.35">
      <c r="A1603" s="3" t="s">
        <v>2038</v>
      </c>
      <c r="B1603" s="4">
        <v>45354</v>
      </c>
      <c r="C1603" s="3" t="s">
        <v>524</v>
      </c>
      <c r="D1603" s="3" t="s">
        <v>126</v>
      </c>
      <c r="E1603" s="3" t="s">
        <v>131</v>
      </c>
      <c r="F1603" s="5">
        <v>10</v>
      </c>
      <c r="G1603" s="5">
        <v>3570</v>
      </c>
      <c r="H1603" s="5">
        <v>21.5</v>
      </c>
      <c r="I1603" s="5">
        <v>28024.5</v>
      </c>
      <c r="J1603" s="3" t="s">
        <v>26</v>
      </c>
      <c r="K1603" s="3" t="s">
        <v>33</v>
      </c>
      <c r="L1603" t="str">
        <f>IFERROR(VLOOKUP(D1603,Products!$A$2:$F$61,3,FALSE()),"")</f>
        <v>Electronics</v>
      </c>
      <c r="M1603" t="str">
        <f>IFERROR(VLOOKUP(E1603,Sales_Reps!$A$2:$C$31,3,FALSE()),"")</f>
        <v>East</v>
      </c>
      <c r="N1603">
        <f>IFERROR(VLOOKUP(D1603,Products!$A$2:$F$61,4,FALSE()),"")</f>
        <v>1665</v>
      </c>
      <c r="O1603" t="str">
        <f>IFERROR(VLOOKUP(C1603,Customers!$A$2:$F$301,5,FALSE()),"")</f>
        <v>Retail</v>
      </c>
      <c r="P1603">
        <f>IFERROR(VLOOKUP(C1603,Customers!$A$2:$F$301,3,FALSE()),"")</f>
        <v>26</v>
      </c>
      <c r="Q1603">
        <f t="shared" si="75"/>
        <v>0.53361344537815125</v>
      </c>
      <c r="R1603">
        <f>IF(AND(COUNTIF($A$2:$A$2047,A1603)&gt;1,COUNTIF($A$2:A1603,A1603)=1),1,0)</f>
        <v>0</v>
      </c>
      <c r="S1603" t="b">
        <f>IFERROR(VLOOKUP(D1603,Products!$A$2:$F$61,6,FALSE()),"")</f>
        <v>1</v>
      </c>
      <c r="T1603" t="str">
        <f>IF(COUNTIF(Customers!$A$2:$A$301,C1603)=0,"Missing","OK")</f>
        <v>OK</v>
      </c>
      <c r="U1603" t="str">
        <f t="shared" si="76"/>
        <v>Chennai</v>
      </c>
      <c r="V1603">
        <f t="shared" si="77"/>
        <v>0</v>
      </c>
    </row>
    <row r="1604" spans="1:22" ht="15" customHeight="1" x14ac:dyDescent="0.35">
      <c r="A1604" s="3" t="s">
        <v>2039</v>
      </c>
      <c r="B1604" s="4">
        <v>45581</v>
      </c>
      <c r="C1604" s="3" t="s">
        <v>531</v>
      </c>
      <c r="D1604" s="3" t="s">
        <v>59</v>
      </c>
      <c r="E1604" s="3" t="s">
        <v>285</v>
      </c>
      <c r="F1604" s="5">
        <v>10</v>
      </c>
      <c r="G1604" s="5">
        <v>1430</v>
      </c>
      <c r="H1604" s="5">
        <v>11.4</v>
      </c>
      <c r="I1604" s="5">
        <v>12669.8</v>
      </c>
      <c r="J1604" s="3" t="s">
        <v>79</v>
      </c>
      <c r="K1604" s="3" t="s">
        <v>72</v>
      </c>
      <c r="L1604" t="str">
        <f>IFERROR(VLOOKUP(D1604,Products!$A$2:$F$61,3,FALSE()),"")</f>
        <v>Electronics</v>
      </c>
      <c r="M1604" t="str">
        <f>IFERROR(VLOOKUP(E1604,Sales_Reps!$A$2:$C$31,3,FALSE()),"")</f>
        <v>South</v>
      </c>
      <c r="N1604">
        <f>IFERROR(VLOOKUP(D1604,Products!$A$2:$F$61,4,FALSE()),"")</f>
        <v>861</v>
      </c>
      <c r="O1604" t="str">
        <f>IFERROR(VLOOKUP(C1604,Customers!$A$2:$F$301,5,FALSE()),"")</f>
        <v>Retail</v>
      </c>
      <c r="P1604">
        <f>IFERROR(VLOOKUP(C1604,Customers!$A$2:$F$301,3,FALSE()),"")</f>
        <v>22</v>
      </c>
      <c r="Q1604">
        <f t="shared" si="75"/>
        <v>0.39790209790209791</v>
      </c>
      <c r="R1604">
        <f>IF(AND(COUNTIF($A$2:$A$2047,A1604)&gt;1,COUNTIF($A$2:A1604,A1604)=1),1,0)</f>
        <v>0</v>
      </c>
      <c r="S1604" t="b">
        <f>IFERROR(VLOOKUP(D1604,Products!$A$2:$F$61,6,FALSE()),"")</f>
        <v>1</v>
      </c>
      <c r="T1604" t="str">
        <f>IF(COUNTIF(Customers!$A$2:$A$301,C1604)=0,"Missing","OK")</f>
        <v>OK</v>
      </c>
      <c r="U1604" t="str">
        <f t="shared" si="76"/>
        <v>Hyderabad</v>
      </c>
      <c r="V1604">
        <f t="shared" si="77"/>
        <v>0</v>
      </c>
    </row>
    <row r="1605" spans="1:22" ht="15" customHeight="1" x14ac:dyDescent="0.35">
      <c r="A1605" s="3" t="s">
        <v>2040</v>
      </c>
      <c r="B1605" s="4">
        <v>45643</v>
      </c>
      <c r="C1605" s="3" t="s">
        <v>762</v>
      </c>
      <c r="D1605" s="3" t="s">
        <v>54</v>
      </c>
      <c r="E1605" s="3" t="s">
        <v>191</v>
      </c>
      <c r="F1605" s="5">
        <v>7</v>
      </c>
      <c r="G1605" s="5">
        <v>960</v>
      </c>
      <c r="H1605" s="5">
        <v>22.9</v>
      </c>
      <c r="I1605" s="5">
        <v>5181.12</v>
      </c>
      <c r="J1605" s="3" t="s">
        <v>26</v>
      </c>
      <c r="K1605" s="3" t="s">
        <v>33</v>
      </c>
      <c r="L1605" t="str">
        <f>IFERROR(VLOOKUP(D1605,Products!$A$2:$F$61,3,FALSE()),"")</f>
        <v>Sports</v>
      </c>
      <c r="M1605" t="str">
        <f>IFERROR(VLOOKUP(E1605,Sales_Reps!$A$2:$C$31,3,FALSE()),"")</f>
        <v>South</v>
      </c>
      <c r="N1605">
        <f>IFERROR(VLOOKUP(D1605,Products!$A$2:$F$61,4,FALSE()),"")</f>
        <v>705</v>
      </c>
      <c r="O1605" t="str">
        <f>IFERROR(VLOOKUP(C1605,Customers!$A$2:$F$301,5,FALSE()),"")</f>
        <v>Retail</v>
      </c>
      <c r="P1605">
        <f>IFERROR(VLOOKUP(C1605,Customers!$A$2:$F$301,3,FALSE()),"")</f>
        <v>32</v>
      </c>
      <c r="Q1605">
        <f t="shared" si="75"/>
        <v>0.265625</v>
      </c>
      <c r="R1605">
        <f>IF(AND(COUNTIF($A$2:$A$2047,A1605)&gt;1,COUNTIF($A$2:A1605,A1605)=1),1,0)</f>
        <v>0</v>
      </c>
      <c r="S1605" t="b">
        <f>IFERROR(VLOOKUP(D1605,Products!$A$2:$F$61,6,FALSE()),"")</f>
        <v>1</v>
      </c>
      <c r="T1605" t="str">
        <f>IF(COUNTIF(Customers!$A$2:$A$301,C1605)=0,"Missing","OK")</f>
        <v>OK</v>
      </c>
      <c r="U1605" t="str">
        <f t="shared" si="76"/>
        <v>Chennai</v>
      </c>
      <c r="V1605">
        <f t="shared" si="77"/>
        <v>0</v>
      </c>
    </row>
    <row r="1606" spans="1:22" ht="15" customHeight="1" x14ac:dyDescent="0.35">
      <c r="A1606" s="3" t="s">
        <v>2041</v>
      </c>
      <c r="B1606" s="4">
        <v>45606</v>
      </c>
      <c r="C1606" s="3" t="s">
        <v>939</v>
      </c>
      <c r="D1606" s="3" t="s">
        <v>82</v>
      </c>
      <c r="E1606" s="3" t="s">
        <v>71</v>
      </c>
      <c r="F1606" s="5">
        <v>8</v>
      </c>
      <c r="G1606" s="5">
        <v>3250</v>
      </c>
      <c r="H1606" s="5">
        <v>1.9</v>
      </c>
      <c r="I1606" s="5">
        <v>25506</v>
      </c>
      <c r="J1606" s="3" t="s">
        <v>26</v>
      </c>
      <c r="K1606" s="3" t="s">
        <v>56</v>
      </c>
      <c r="L1606" t="str">
        <f>IFERROR(VLOOKUP(D1606,Products!$A$2:$F$61,3,FALSE()),"")</f>
        <v>Home</v>
      </c>
      <c r="M1606" t="str">
        <f>IFERROR(VLOOKUP(E1606,Sales_Reps!$A$2:$C$31,3,FALSE()),"")</f>
        <v>South</v>
      </c>
      <c r="N1606">
        <f>IFERROR(VLOOKUP(D1606,Products!$A$2:$F$61,4,FALSE()),"")</f>
        <v>1556</v>
      </c>
      <c r="O1606" t="str">
        <f>IFERROR(VLOOKUP(C1606,Customers!$A$2:$F$301,5,FALSE()),"")</f>
        <v>Retail</v>
      </c>
      <c r="P1606">
        <f>IFERROR(VLOOKUP(C1606,Customers!$A$2:$F$301,3,FALSE()),"")</f>
        <v>27</v>
      </c>
      <c r="Q1606">
        <f t="shared" si="75"/>
        <v>0.52123076923076928</v>
      </c>
      <c r="R1606">
        <f>IF(AND(COUNTIF($A$2:$A$2047,A1606)&gt;1,COUNTIF($A$2:A1606,A1606)=1),1,0)</f>
        <v>0</v>
      </c>
      <c r="S1606" t="b">
        <f>IFERROR(VLOOKUP(D1606,Products!$A$2:$F$61,6,FALSE()),"")</f>
        <v>1</v>
      </c>
      <c r="T1606" t="str">
        <f>IF(COUNTIF(Customers!$A$2:$A$301,C1606)=0,"Missing","OK")</f>
        <v>OK</v>
      </c>
      <c r="U1606" t="str">
        <f t="shared" si="76"/>
        <v>Bengaluru</v>
      </c>
      <c r="V1606">
        <f t="shared" si="77"/>
        <v>0</v>
      </c>
    </row>
    <row r="1607" spans="1:22" ht="15" customHeight="1" x14ac:dyDescent="0.35">
      <c r="A1607" s="3" t="s">
        <v>2042</v>
      </c>
      <c r="B1607" s="4">
        <v>45356</v>
      </c>
      <c r="C1607" s="3" t="s">
        <v>567</v>
      </c>
      <c r="D1607" s="3" t="s">
        <v>100</v>
      </c>
      <c r="E1607" s="3" t="s">
        <v>242</v>
      </c>
      <c r="F1607" s="5">
        <v>9</v>
      </c>
      <c r="G1607" s="5">
        <v>3450</v>
      </c>
      <c r="H1607" s="5">
        <v>18</v>
      </c>
      <c r="I1607" s="5">
        <v>25461</v>
      </c>
      <c r="J1607" s="3" t="s">
        <v>26</v>
      </c>
      <c r="K1607" s="3" t="s">
        <v>72</v>
      </c>
      <c r="L1607" t="str">
        <f>IFERROR(VLOOKUP(D1607,Products!$A$2:$F$61,3,FALSE()),"")</f>
        <v>Sports</v>
      </c>
      <c r="M1607" t="str">
        <f>IFERROR(VLOOKUP(E1607,Sales_Reps!$A$2:$C$31,3,FALSE()),"")</f>
        <v>East</v>
      </c>
      <c r="N1607">
        <f>IFERROR(VLOOKUP(D1607,Products!$A$2:$F$61,4,FALSE()),"")</f>
        <v>2467</v>
      </c>
      <c r="O1607" t="str">
        <f>IFERROR(VLOOKUP(C1607,Customers!$A$2:$F$301,5,FALSE()),"")</f>
        <v>Corporate</v>
      </c>
      <c r="P1607">
        <f>IFERROR(VLOOKUP(C1607,Customers!$A$2:$F$301,3,FALSE()),"")</f>
        <v>22</v>
      </c>
      <c r="Q1607">
        <f t="shared" si="75"/>
        <v>0.28492753623188405</v>
      </c>
      <c r="R1607">
        <f>IF(AND(COUNTIF($A$2:$A$2047,A1607)&gt;1,COUNTIF($A$2:A1607,A1607)=1),1,0)</f>
        <v>0</v>
      </c>
      <c r="S1607" t="b">
        <f>IFERROR(VLOOKUP(D1607,Products!$A$2:$F$61,6,FALSE()),"")</f>
        <v>1</v>
      </c>
      <c r="T1607" t="str">
        <f>IF(COUNTIF(Customers!$A$2:$A$301,C1607)=0,"Missing","OK")</f>
        <v>OK</v>
      </c>
      <c r="U1607" t="str">
        <f t="shared" si="76"/>
        <v>Hyderabad</v>
      </c>
      <c r="V1607">
        <f t="shared" si="77"/>
        <v>0</v>
      </c>
    </row>
    <row r="1608" spans="1:22" ht="15" customHeight="1" x14ac:dyDescent="0.35">
      <c r="A1608" s="3" t="s">
        <v>2043</v>
      </c>
      <c r="B1608" s="4">
        <v>45343</v>
      </c>
      <c r="C1608" s="3" t="s">
        <v>114</v>
      </c>
      <c r="D1608" s="3" t="s">
        <v>70</v>
      </c>
      <c r="E1608" s="3" t="s">
        <v>285</v>
      </c>
      <c r="F1608" s="5">
        <v>5</v>
      </c>
      <c r="G1608" s="5">
        <v>2270</v>
      </c>
      <c r="H1608" s="5">
        <v>11.5</v>
      </c>
      <c r="I1608" s="5">
        <v>10044.75</v>
      </c>
      <c r="J1608" s="3" t="s">
        <v>26</v>
      </c>
      <c r="K1608" s="3" t="s">
        <v>72</v>
      </c>
      <c r="L1608" t="str">
        <f>IFERROR(VLOOKUP(D1608,Products!$A$2:$F$61,3,FALSE()),"")</f>
        <v>Grocery</v>
      </c>
      <c r="M1608" t="str">
        <f>IFERROR(VLOOKUP(E1608,Sales_Reps!$A$2:$C$31,3,FALSE()),"")</f>
        <v>South</v>
      </c>
      <c r="N1608">
        <f>IFERROR(VLOOKUP(D1608,Products!$A$2:$F$61,4,FALSE()),"")</f>
        <v>1203</v>
      </c>
      <c r="O1608" t="str">
        <f>IFERROR(VLOOKUP(C1608,Customers!$A$2:$F$301,5,FALSE()),"")</f>
        <v>SMB</v>
      </c>
      <c r="P1608">
        <f>IFERROR(VLOOKUP(C1608,Customers!$A$2:$F$301,3,FALSE()),"")</f>
        <v>40</v>
      </c>
      <c r="Q1608">
        <f t="shared" si="75"/>
        <v>0.47004405286343615</v>
      </c>
      <c r="R1608">
        <f>IF(AND(COUNTIF($A$2:$A$2047,A1608)&gt;1,COUNTIF($A$2:A1608,A1608)=1),1,0)</f>
        <v>0</v>
      </c>
      <c r="S1608" t="b">
        <f>IFERROR(VLOOKUP(D1608,Products!$A$2:$F$61,6,FALSE()),"")</f>
        <v>1</v>
      </c>
      <c r="T1608" t="str">
        <f>IF(COUNTIF(Customers!$A$2:$A$301,C1608)=0,"Missing","OK")</f>
        <v>OK</v>
      </c>
      <c r="U1608" t="str">
        <f t="shared" si="76"/>
        <v>Hyderabad</v>
      </c>
      <c r="V1608">
        <f t="shared" si="77"/>
        <v>0</v>
      </c>
    </row>
    <row r="1609" spans="1:22" ht="15" customHeight="1" x14ac:dyDescent="0.35">
      <c r="A1609" s="3" t="s">
        <v>2044</v>
      </c>
      <c r="B1609" s="4">
        <v>45449</v>
      </c>
      <c r="C1609" s="3" t="s">
        <v>834</v>
      </c>
      <c r="D1609" s="3" t="s">
        <v>215</v>
      </c>
      <c r="E1609" s="3" t="s">
        <v>60</v>
      </c>
      <c r="F1609" s="5">
        <v>6</v>
      </c>
      <c r="G1609" s="5">
        <v>3020</v>
      </c>
      <c r="H1609" s="5">
        <v>12.6</v>
      </c>
      <c r="I1609" s="5">
        <v>15836.88</v>
      </c>
      <c r="J1609" s="3" t="s">
        <v>26</v>
      </c>
      <c r="K1609" s="3" t="s">
        <v>56</v>
      </c>
      <c r="L1609" t="str">
        <f>IFERROR(VLOOKUP(D1609,Products!$A$2:$F$61,3,FALSE()),"")</f>
        <v>Beauty</v>
      </c>
      <c r="M1609" t="str">
        <f>IFERROR(VLOOKUP(E1609,Sales_Reps!$A$2:$C$31,3,FALSE()),"")</f>
        <v>East</v>
      </c>
      <c r="N1609">
        <f>IFERROR(VLOOKUP(D1609,Products!$A$2:$F$61,4,FALSE()),"")</f>
        <v>1626</v>
      </c>
      <c r="O1609" t="str">
        <f>IFERROR(VLOOKUP(C1609,Customers!$A$2:$F$301,5,FALSE()),"")</f>
        <v>Retail</v>
      </c>
      <c r="P1609">
        <f>IFERROR(VLOOKUP(C1609,Customers!$A$2:$F$301,3,FALSE()),"")</f>
        <v>46</v>
      </c>
      <c r="Q1609">
        <f t="shared" si="75"/>
        <v>0.46158940397350995</v>
      </c>
      <c r="R1609">
        <f>IF(AND(COUNTIF($A$2:$A$2047,A1609)&gt;1,COUNTIF($A$2:A1609,A1609)=1),1,0)</f>
        <v>0</v>
      </c>
      <c r="S1609" t="b">
        <f>IFERROR(VLOOKUP(D1609,Products!$A$2:$F$61,6,FALSE()),"")</f>
        <v>1</v>
      </c>
      <c r="T1609" t="str">
        <f>IF(COUNTIF(Customers!$A$2:$A$301,C1609)=0,"Missing","OK")</f>
        <v>OK</v>
      </c>
      <c r="U1609" t="str">
        <f t="shared" si="76"/>
        <v>Bengaluru</v>
      </c>
      <c r="V1609">
        <f t="shared" si="77"/>
        <v>0</v>
      </c>
    </row>
    <row r="1610" spans="1:22" ht="15" customHeight="1" x14ac:dyDescent="0.35">
      <c r="A1610" s="3" t="s">
        <v>2045</v>
      </c>
      <c r="B1610" s="4">
        <v>45317</v>
      </c>
      <c r="C1610" s="3" t="s">
        <v>402</v>
      </c>
      <c r="D1610" s="3" t="s">
        <v>74</v>
      </c>
      <c r="E1610" s="3" t="s">
        <v>46</v>
      </c>
      <c r="F1610" s="5">
        <v>8</v>
      </c>
      <c r="G1610" s="5">
        <v>2640</v>
      </c>
      <c r="H1610" s="5">
        <v>14.5</v>
      </c>
      <c r="I1610" s="5">
        <v>18057.599999999999</v>
      </c>
      <c r="J1610" s="3" t="s">
        <v>83</v>
      </c>
      <c r="K1610" s="3" t="s">
        <v>56</v>
      </c>
      <c r="L1610" t="str">
        <f>IFERROR(VLOOKUP(D1610,Products!$A$2:$F$61,3,FALSE()),"")</f>
        <v>Electronics</v>
      </c>
      <c r="M1610" t="str">
        <f>IFERROR(VLOOKUP(E1610,Sales_Reps!$A$2:$C$31,3,FALSE()),"")</f>
        <v>North</v>
      </c>
      <c r="N1610">
        <f>IFERROR(VLOOKUP(D1610,Products!$A$2:$F$61,4,FALSE()),"")</f>
        <v>1149</v>
      </c>
      <c r="O1610" t="str">
        <f>IFERROR(VLOOKUP(C1610,Customers!$A$2:$F$301,5,FALSE()),"")</f>
        <v>Retail</v>
      </c>
      <c r="P1610">
        <f>IFERROR(VLOOKUP(C1610,Customers!$A$2:$F$301,3,FALSE()),"")</f>
        <v>55</v>
      </c>
      <c r="Q1610">
        <f t="shared" si="75"/>
        <v>0.56477272727272732</v>
      </c>
      <c r="R1610">
        <f>IF(AND(COUNTIF($A$2:$A$2047,A1610)&gt;1,COUNTIF($A$2:A1610,A1610)=1),1,0)</f>
        <v>0</v>
      </c>
      <c r="S1610" t="b">
        <f>IFERROR(VLOOKUP(D1610,Products!$A$2:$F$61,6,FALSE()),"")</f>
        <v>1</v>
      </c>
      <c r="T1610" t="str">
        <f>IF(COUNTIF(Customers!$A$2:$A$301,C1610)=0,"Missing","OK")</f>
        <v>OK</v>
      </c>
      <c r="U1610" t="str">
        <f t="shared" si="76"/>
        <v>Bengaluru</v>
      </c>
      <c r="V1610">
        <f t="shared" si="77"/>
        <v>0</v>
      </c>
    </row>
    <row r="1611" spans="1:22" ht="15" customHeight="1" x14ac:dyDescent="0.35">
      <c r="A1611" s="3" t="s">
        <v>2046</v>
      </c>
      <c r="B1611" s="4">
        <v>45561</v>
      </c>
      <c r="C1611" s="3" t="s">
        <v>62</v>
      </c>
      <c r="D1611" s="3" t="s">
        <v>70</v>
      </c>
      <c r="E1611" s="3" t="s">
        <v>282</v>
      </c>
      <c r="F1611" s="5">
        <v>2</v>
      </c>
      <c r="G1611" s="5">
        <v>2270</v>
      </c>
      <c r="H1611" s="5">
        <v>27</v>
      </c>
      <c r="I1611" s="5">
        <v>3314.2</v>
      </c>
      <c r="J1611" s="3" t="s">
        <v>26</v>
      </c>
      <c r="K1611" s="3" t="s">
        <v>56</v>
      </c>
      <c r="L1611" t="str">
        <f>IFERROR(VLOOKUP(D1611,Products!$A$2:$F$61,3,FALSE()),"")</f>
        <v>Grocery</v>
      </c>
      <c r="M1611" t="str">
        <f>IFERROR(VLOOKUP(E1611,Sales_Reps!$A$2:$C$31,3,FALSE()),"")</f>
        <v>West</v>
      </c>
      <c r="N1611">
        <f>IFERROR(VLOOKUP(D1611,Products!$A$2:$F$61,4,FALSE()),"")</f>
        <v>1203</v>
      </c>
      <c r="O1611" t="str">
        <f>IFERROR(VLOOKUP(C1611,Customers!$A$2:$F$301,5,FALSE()),"")</f>
        <v>Retail</v>
      </c>
      <c r="P1611">
        <f>IFERROR(VLOOKUP(C1611,Customers!$A$2:$F$301,3,FALSE()),"")</f>
        <v>42</v>
      </c>
      <c r="Q1611">
        <f t="shared" si="75"/>
        <v>0.47004405286343615</v>
      </c>
      <c r="R1611">
        <f>IF(AND(COUNTIF($A$2:$A$2047,A1611)&gt;1,COUNTIF($A$2:A1611,A1611)=1),1,0)</f>
        <v>0</v>
      </c>
      <c r="S1611" t="b">
        <f>IFERROR(VLOOKUP(D1611,Products!$A$2:$F$61,6,FALSE()),"")</f>
        <v>1</v>
      </c>
      <c r="T1611" t="str">
        <f>IF(COUNTIF(Customers!$A$2:$A$301,C1611)=0,"Missing","OK")</f>
        <v>OK</v>
      </c>
      <c r="U1611" t="str">
        <f t="shared" si="76"/>
        <v>Bengaluru</v>
      </c>
      <c r="V1611">
        <f t="shared" si="77"/>
        <v>3314.2</v>
      </c>
    </row>
    <row r="1612" spans="1:22" ht="15" customHeight="1" x14ac:dyDescent="0.35">
      <c r="A1612" s="3" t="s">
        <v>2047</v>
      </c>
      <c r="B1612" s="4">
        <v>45636</v>
      </c>
      <c r="C1612" s="3" t="s">
        <v>44</v>
      </c>
      <c r="D1612" s="3" t="s">
        <v>139</v>
      </c>
      <c r="E1612" s="3" t="s">
        <v>282</v>
      </c>
      <c r="F1612" s="5">
        <v>8</v>
      </c>
      <c r="G1612" s="5">
        <v>2760</v>
      </c>
      <c r="H1612" s="5">
        <v>18</v>
      </c>
      <c r="I1612" s="5">
        <v>18105.599999999999</v>
      </c>
      <c r="J1612" s="3" t="s">
        <v>79</v>
      </c>
      <c r="K1612" s="3" t="s">
        <v>33</v>
      </c>
      <c r="L1612" t="str">
        <f>IFERROR(VLOOKUP(D1612,Products!$A$2:$F$61,3,FALSE()),"")</f>
        <v>Grocery</v>
      </c>
      <c r="M1612" t="str">
        <f>IFERROR(VLOOKUP(E1612,Sales_Reps!$A$2:$C$31,3,FALSE()),"")</f>
        <v>West</v>
      </c>
      <c r="N1612">
        <f>IFERROR(VLOOKUP(D1612,Products!$A$2:$F$61,4,FALSE()),"")</f>
        <v>1435</v>
      </c>
      <c r="O1612" t="str">
        <f>IFERROR(VLOOKUP(C1612,Customers!$A$2:$F$301,5,FALSE()),"")</f>
        <v>Retail</v>
      </c>
      <c r="P1612">
        <f>IFERROR(VLOOKUP(C1612,Customers!$A$2:$F$301,3,FALSE()),"")</f>
        <v>36</v>
      </c>
      <c r="Q1612">
        <f t="shared" si="75"/>
        <v>0.48007246376811596</v>
      </c>
      <c r="R1612">
        <f>IF(AND(COUNTIF($A$2:$A$2047,A1612)&gt;1,COUNTIF($A$2:A1612,A1612)=1),1,0)</f>
        <v>0</v>
      </c>
      <c r="S1612" t="b">
        <f>IFERROR(VLOOKUP(D1612,Products!$A$2:$F$61,6,FALSE()),"")</f>
        <v>1</v>
      </c>
      <c r="T1612" t="str">
        <f>IF(COUNTIF(Customers!$A$2:$A$301,C1612)=0,"Missing","OK")</f>
        <v>OK</v>
      </c>
      <c r="U1612" t="str">
        <f t="shared" si="76"/>
        <v>Chennai</v>
      </c>
      <c r="V1612">
        <f t="shared" si="77"/>
        <v>0</v>
      </c>
    </row>
    <row r="1613" spans="1:22" ht="15" customHeight="1" x14ac:dyDescent="0.35">
      <c r="A1613" s="3" t="s">
        <v>2048</v>
      </c>
      <c r="B1613" s="4">
        <v>45398</v>
      </c>
      <c r="C1613" s="3" t="s">
        <v>608</v>
      </c>
      <c r="D1613" s="3" t="s">
        <v>24</v>
      </c>
      <c r="E1613" s="3" t="s">
        <v>93</v>
      </c>
      <c r="F1613" s="5">
        <v>8</v>
      </c>
      <c r="G1613" s="5">
        <v>3620</v>
      </c>
      <c r="H1613" s="5">
        <v>7.1</v>
      </c>
      <c r="I1613" s="5">
        <v>26903.84</v>
      </c>
      <c r="J1613" s="3" t="s">
        <v>26</v>
      </c>
      <c r="K1613" s="3" t="s">
        <v>72</v>
      </c>
      <c r="L1613" t="str">
        <f>IFERROR(VLOOKUP(D1613,Products!$A$2:$F$61,3,FALSE()),"")</f>
        <v>Apparel</v>
      </c>
      <c r="M1613" t="str">
        <f>IFERROR(VLOOKUP(E1613,Sales_Reps!$A$2:$C$31,3,FALSE()),"")</f>
        <v>East</v>
      </c>
      <c r="N1613">
        <f>IFERROR(VLOOKUP(D1613,Products!$A$2:$F$61,4,FALSE()),"")</f>
        <v>2509</v>
      </c>
      <c r="O1613" t="str">
        <f>IFERROR(VLOOKUP(C1613,Customers!$A$2:$F$301,5,FALSE()),"")</f>
        <v>Retail</v>
      </c>
      <c r="P1613">
        <f>IFERROR(VLOOKUP(C1613,Customers!$A$2:$F$301,3,FALSE()),"")</f>
        <v>31</v>
      </c>
      <c r="Q1613">
        <f t="shared" si="75"/>
        <v>0.3069060773480663</v>
      </c>
      <c r="R1613">
        <f>IF(AND(COUNTIF($A$2:$A$2047,A1613)&gt;1,COUNTIF($A$2:A1613,A1613)=1),1,0)</f>
        <v>0</v>
      </c>
      <c r="S1613" t="b">
        <f>IFERROR(VLOOKUP(D1613,Products!$A$2:$F$61,6,FALSE()),"")</f>
        <v>1</v>
      </c>
      <c r="T1613" t="str">
        <f>IF(COUNTIF(Customers!$A$2:$A$301,C1613)=0,"Missing","OK")</f>
        <v>OK</v>
      </c>
      <c r="U1613" t="str">
        <f t="shared" si="76"/>
        <v>Hyderabad</v>
      </c>
      <c r="V1613">
        <f t="shared" si="77"/>
        <v>0</v>
      </c>
    </row>
    <row r="1614" spans="1:22" ht="15" customHeight="1" x14ac:dyDescent="0.35">
      <c r="A1614" s="3" t="s">
        <v>2049</v>
      </c>
      <c r="B1614" s="4">
        <v>45477</v>
      </c>
      <c r="C1614" s="3" t="s">
        <v>674</v>
      </c>
      <c r="D1614" s="3" t="s">
        <v>325</v>
      </c>
      <c r="E1614" s="3" t="s">
        <v>97</v>
      </c>
      <c r="F1614" s="5">
        <v>8</v>
      </c>
      <c r="G1614" s="5">
        <v>2290</v>
      </c>
      <c r="H1614" s="5">
        <v>16.399999999999999</v>
      </c>
      <c r="I1614" s="5">
        <v>15315.52</v>
      </c>
      <c r="J1614" s="3" t="s">
        <v>26</v>
      </c>
      <c r="K1614" s="3" t="s">
        <v>27</v>
      </c>
      <c r="L1614" t="str">
        <f>IFERROR(VLOOKUP(D1614,Products!$A$2:$F$61,3,FALSE()),"")</f>
        <v>Beauty</v>
      </c>
      <c r="M1614" t="str">
        <f>IFERROR(VLOOKUP(E1614,Sales_Reps!$A$2:$C$31,3,FALSE()),"")</f>
        <v>East</v>
      </c>
      <c r="N1614">
        <f>IFERROR(VLOOKUP(D1614,Products!$A$2:$F$61,4,FALSE()),"")</f>
        <v>1219</v>
      </c>
      <c r="O1614" t="str">
        <f>IFERROR(VLOOKUP(C1614,Customers!$A$2:$F$301,5,FALSE()),"")</f>
        <v>Retail</v>
      </c>
      <c r="P1614">
        <f>IFERROR(VLOOKUP(C1614,Customers!$A$2:$F$301,3,FALSE()),"")</f>
        <v>54</v>
      </c>
      <c r="Q1614">
        <f t="shared" si="75"/>
        <v>0.46768558951965067</v>
      </c>
      <c r="R1614">
        <f>IF(AND(COUNTIF($A$2:$A$2047,A1614)&gt;1,COUNTIF($A$2:A1614,A1614)=1),1,0)</f>
        <v>0</v>
      </c>
      <c r="S1614" t="b">
        <f>IFERROR(VLOOKUP(D1614,Products!$A$2:$F$61,6,FALSE()),"")</f>
        <v>1</v>
      </c>
      <c r="T1614" t="str">
        <f>IF(COUNTIF(Customers!$A$2:$A$301,C1614)=0,"Missing","OK")</f>
        <v>OK</v>
      </c>
      <c r="U1614" t="str">
        <f t="shared" si="76"/>
        <v>Pune</v>
      </c>
      <c r="V1614">
        <f t="shared" si="77"/>
        <v>0</v>
      </c>
    </row>
    <row r="1615" spans="1:22" ht="15" customHeight="1" x14ac:dyDescent="0.35">
      <c r="A1615" s="3" t="s">
        <v>2050</v>
      </c>
      <c r="B1615" s="4">
        <v>45462</v>
      </c>
      <c r="C1615" s="3" t="s">
        <v>780</v>
      </c>
      <c r="D1615" s="3" t="s">
        <v>115</v>
      </c>
      <c r="E1615" s="3" t="s">
        <v>60</v>
      </c>
      <c r="F1615" s="5">
        <v>3</v>
      </c>
      <c r="G1615" s="5">
        <v>1650</v>
      </c>
      <c r="H1615" s="5">
        <v>1.8</v>
      </c>
      <c r="I1615" s="5">
        <v>4860.8999999999996</v>
      </c>
      <c r="J1615" s="3" t="s">
        <v>79</v>
      </c>
      <c r="K1615" s="3" t="s">
        <v>56</v>
      </c>
      <c r="L1615" t="str">
        <f>IFERROR(VLOOKUP(D1615,Products!$A$2:$F$61,3,FALSE()),"")</f>
        <v>Beauty</v>
      </c>
      <c r="M1615" t="str">
        <f>IFERROR(VLOOKUP(E1615,Sales_Reps!$A$2:$C$31,3,FALSE()),"")</f>
        <v>East</v>
      </c>
      <c r="N1615">
        <f>IFERROR(VLOOKUP(D1615,Products!$A$2:$F$61,4,FALSE()),"")</f>
        <v>1222</v>
      </c>
      <c r="O1615" t="str">
        <f>IFERROR(VLOOKUP(C1615,Customers!$A$2:$F$301,5,FALSE()),"")</f>
        <v>Corporate</v>
      </c>
      <c r="P1615">
        <f>IFERROR(VLOOKUP(C1615,Customers!$A$2:$F$301,3,FALSE()),"")</f>
        <v>41</v>
      </c>
      <c r="Q1615">
        <f t="shared" si="75"/>
        <v>0.2593939393939394</v>
      </c>
      <c r="R1615">
        <f>IF(AND(COUNTIF($A$2:$A$2047,A1615)&gt;1,COUNTIF($A$2:A1615,A1615)=1),1,0)</f>
        <v>0</v>
      </c>
      <c r="S1615" t="b">
        <f>IFERROR(VLOOKUP(D1615,Products!$A$2:$F$61,6,FALSE()),"")</f>
        <v>1</v>
      </c>
      <c r="T1615" t="str">
        <f>IF(COUNTIF(Customers!$A$2:$A$301,C1615)=0,"Missing","OK")</f>
        <v>OK</v>
      </c>
      <c r="U1615" t="str">
        <f t="shared" si="76"/>
        <v>Bengaluru</v>
      </c>
      <c r="V1615">
        <f t="shared" si="77"/>
        <v>0</v>
      </c>
    </row>
    <row r="1616" spans="1:22" ht="15" customHeight="1" x14ac:dyDescent="0.35">
      <c r="A1616" s="3" t="s">
        <v>2051</v>
      </c>
      <c r="B1616" s="4">
        <v>45642</v>
      </c>
      <c r="C1616" s="3" t="s">
        <v>459</v>
      </c>
      <c r="D1616" s="3" t="s">
        <v>303</v>
      </c>
      <c r="E1616" s="3" t="s">
        <v>242</v>
      </c>
      <c r="F1616" s="5">
        <v>3</v>
      </c>
      <c r="G1616" s="5">
        <v>5330</v>
      </c>
      <c r="H1616" s="5">
        <v>22.2</v>
      </c>
      <c r="I1616" s="5">
        <v>12440.22</v>
      </c>
      <c r="J1616" s="3" t="s">
        <v>26</v>
      </c>
      <c r="K1616" s="3" t="s">
        <v>51</v>
      </c>
      <c r="L1616" t="str">
        <f>IFERROR(VLOOKUP(D1616,Products!$A$2:$F$61,3,FALSE()),"")</f>
        <v>Electronics</v>
      </c>
      <c r="M1616" t="str">
        <f>IFERROR(VLOOKUP(E1616,Sales_Reps!$A$2:$C$31,3,FALSE()),"")</f>
        <v>East</v>
      </c>
      <c r="N1616">
        <f>IFERROR(VLOOKUP(D1616,Products!$A$2:$F$61,4,FALSE()),"")</f>
        <v>2405</v>
      </c>
      <c r="O1616" t="str">
        <f>IFERROR(VLOOKUP(C1616,Customers!$A$2:$F$301,5,FALSE()),"")</f>
        <v>Corporate</v>
      </c>
      <c r="P1616">
        <f>IFERROR(VLOOKUP(C1616,Customers!$A$2:$F$301,3,FALSE()),"")</f>
        <v>35</v>
      </c>
      <c r="Q1616">
        <f t="shared" si="75"/>
        <v>0.54878048780487809</v>
      </c>
      <c r="R1616">
        <f>IF(AND(COUNTIF($A$2:$A$2047,A1616)&gt;1,COUNTIF($A$2:A1616,A1616)=1),1,0)</f>
        <v>0</v>
      </c>
      <c r="S1616" t="b">
        <f>IFERROR(VLOOKUP(D1616,Products!$A$2:$F$61,6,FALSE()),"")</f>
        <v>1</v>
      </c>
      <c r="T1616" t="str">
        <f>IF(COUNTIF(Customers!$A$2:$A$301,C1616)=0,"Missing","OK")</f>
        <v>OK</v>
      </c>
      <c r="U1616" t="str">
        <f t="shared" si="76"/>
        <v>Mumbai</v>
      </c>
      <c r="V1616">
        <f t="shared" si="77"/>
        <v>0</v>
      </c>
    </row>
    <row r="1617" spans="1:22" ht="15" customHeight="1" x14ac:dyDescent="0.35">
      <c r="A1617" s="3" t="s">
        <v>2052</v>
      </c>
      <c r="B1617" s="4">
        <v>45534</v>
      </c>
      <c r="C1617" s="3" t="s">
        <v>625</v>
      </c>
      <c r="D1617" s="3" t="s">
        <v>103</v>
      </c>
      <c r="E1617" s="3" t="s">
        <v>224</v>
      </c>
      <c r="F1617" s="5">
        <v>7</v>
      </c>
      <c r="G1617" s="5">
        <v>1080</v>
      </c>
      <c r="H1617" s="5">
        <v>17.899999999999999</v>
      </c>
      <c r="I1617" s="5">
        <v>6206.76</v>
      </c>
      <c r="J1617" s="3" t="s">
        <v>26</v>
      </c>
      <c r="K1617" s="3" t="s">
        <v>51</v>
      </c>
      <c r="L1617" t="str">
        <f>IFERROR(VLOOKUP(D1617,Products!$A$2:$F$61,3,FALSE()),"")</f>
        <v>Home</v>
      </c>
      <c r="M1617" t="str">
        <f>IFERROR(VLOOKUP(E1617,Sales_Reps!$A$2:$C$31,3,FALSE()),"")</f>
        <v>East</v>
      </c>
      <c r="N1617">
        <f>IFERROR(VLOOKUP(D1617,Products!$A$2:$F$61,4,FALSE()),"")</f>
        <v>519</v>
      </c>
      <c r="O1617" t="str">
        <f>IFERROR(VLOOKUP(C1617,Customers!$A$2:$F$301,5,FALSE()),"")</f>
        <v>Retail</v>
      </c>
      <c r="P1617">
        <f>IFERROR(VLOOKUP(C1617,Customers!$A$2:$F$301,3,FALSE()),"")</f>
        <v>35</v>
      </c>
      <c r="Q1617">
        <f t="shared" si="75"/>
        <v>0.51944444444444449</v>
      </c>
      <c r="R1617">
        <f>IF(AND(COUNTIF($A$2:$A$2047,A1617)&gt;1,COUNTIF($A$2:A1617,A1617)=1),1,0)</f>
        <v>0</v>
      </c>
      <c r="S1617" t="b">
        <f>IFERROR(VLOOKUP(D1617,Products!$A$2:$F$61,6,FALSE()),"")</f>
        <v>1</v>
      </c>
      <c r="T1617" t="str">
        <f>IF(COUNTIF(Customers!$A$2:$A$301,C1617)=0,"Missing","OK")</f>
        <v>OK</v>
      </c>
      <c r="U1617" t="str">
        <f t="shared" si="76"/>
        <v>Mumbai</v>
      </c>
      <c r="V1617">
        <f t="shared" si="77"/>
        <v>0</v>
      </c>
    </row>
    <row r="1618" spans="1:22" ht="15" customHeight="1" x14ac:dyDescent="0.35">
      <c r="A1618" s="3" t="s">
        <v>2053</v>
      </c>
      <c r="B1618" s="4">
        <v>45460</v>
      </c>
      <c r="C1618" s="3" t="s">
        <v>40</v>
      </c>
      <c r="D1618" s="3" t="s">
        <v>206</v>
      </c>
      <c r="E1618" s="3" t="s">
        <v>224</v>
      </c>
      <c r="F1618" s="5">
        <v>10</v>
      </c>
      <c r="G1618" s="5">
        <v>1220</v>
      </c>
      <c r="H1618" s="5">
        <v>5.7</v>
      </c>
      <c r="I1618" s="5">
        <v>11504.6</v>
      </c>
      <c r="J1618" s="3" t="s">
        <v>26</v>
      </c>
      <c r="K1618" s="3" t="s">
        <v>38</v>
      </c>
      <c r="L1618" t="str">
        <f>IFERROR(VLOOKUP(D1618,Products!$A$2:$F$61,3,FALSE()),"")</f>
        <v>Electronics</v>
      </c>
      <c r="M1618" t="str">
        <f>IFERROR(VLOOKUP(E1618,Sales_Reps!$A$2:$C$31,3,FALSE()),"")</f>
        <v>East</v>
      </c>
      <c r="N1618">
        <f>IFERROR(VLOOKUP(D1618,Products!$A$2:$F$61,4,FALSE()),"")</f>
        <v>517</v>
      </c>
      <c r="O1618" t="str">
        <f>IFERROR(VLOOKUP(C1618,Customers!$A$2:$F$301,5,FALSE()),"")</f>
        <v>Corporate</v>
      </c>
      <c r="P1618">
        <f>IFERROR(VLOOKUP(C1618,Customers!$A$2:$F$301,3,FALSE()),"")</f>
        <v>46</v>
      </c>
      <c r="Q1618">
        <f t="shared" si="75"/>
        <v>0.57622950819672136</v>
      </c>
      <c r="R1618">
        <f>IF(AND(COUNTIF($A$2:$A$2047,A1618)&gt;1,COUNTIF($A$2:A1618,A1618)=1),1,0)</f>
        <v>0</v>
      </c>
      <c r="S1618" t="b">
        <f>IFERROR(VLOOKUP(D1618,Products!$A$2:$F$61,6,FALSE()),"")</f>
        <v>1</v>
      </c>
      <c r="T1618" t="str">
        <f>IF(COUNTIF(Customers!$A$2:$A$301,C1618)=0,"Missing","OK")</f>
        <v>OK</v>
      </c>
      <c r="U1618" t="str">
        <f t="shared" si="76"/>
        <v>Delhi</v>
      </c>
      <c r="V1618">
        <f t="shared" si="77"/>
        <v>0</v>
      </c>
    </row>
    <row r="1619" spans="1:22" ht="15" customHeight="1" x14ac:dyDescent="0.35">
      <c r="A1619" s="3" t="s">
        <v>2054</v>
      </c>
      <c r="B1619" s="4">
        <v>45648</v>
      </c>
      <c r="C1619" s="3" t="s">
        <v>244</v>
      </c>
      <c r="D1619" s="3" t="s">
        <v>142</v>
      </c>
      <c r="E1619" s="3" t="s">
        <v>109</v>
      </c>
      <c r="F1619" s="5">
        <v>10</v>
      </c>
      <c r="G1619" s="5">
        <v>660</v>
      </c>
      <c r="H1619" s="5">
        <v>7.5</v>
      </c>
      <c r="I1619" s="5">
        <v>6105</v>
      </c>
      <c r="J1619" s="3" t="s">
        <v>26</v>
      </c>
      <c r="K1619" s="3" t="s">
        <v>72</v>
      </c>
      <c r="L1619" t="str">
        <f>IFERROR(VLOOKUP(D1619,Products!$A$2:$F$61,3,FALSE()),"")</f>
        <v>Home</v>
      </c>
      <c r="M1619" t="str">
        <f>IFERROR(VLOOKUP(E1619,Sales_Reps!$A$2:$C$31,3,FALSE()),"")</f>
        <v>West</v>
      </c>
      <c r="N1619">
        <f>IFERROR(VLOOKUP(D1619,Products!$A$2:$F$61,4,FALSE()),"")</f>
        <v>329</v>
      </c>
      <c r="O1619" t="str">
        <f>IFERROR(VLOOKUP(C1619,Customers!$A$2:$F$301,5,FALSE()),"")</f>
        <v>Corporate</v>
      </c>
      <c r="P1619">
        <f>IFERROR(VLOOKUP(C1619,Customers!$A$2:$F$301,3,FALSE()),"")</f>
        <v>46</v>
      </c>
      <c r="Q1619">
        <f t="shared" si="75"/>
        <v>0.50151515151515147</v>
      </c>
      <c r="R1619">
        <f>IF(AND(COUNTIF($A$2:$A$2047,A1619)&gt;1,COUNTIF($A$2:A1619,A1619)=1),1,0)</f>
        <v>0</v>
      </c>
      <c r="S1619" t="b">
        <f>IFERROR(VLOOKUP(D1619,Products!$A$2:$F$61,6,FALSE()),"")</f>
        <v>1</v>
      </c>
      <c r="T1619" t="str">
        <f>IF(COUNTIF(Customers!$A$2:$A$301,C1619)=0,"Missing","OK")</f>
        <v>OK</v>
      </c>
      <c r="U1619" t="str">
        <f t="shared" si="76"/>
        <v>Hyderabad</v>
      </c>
      <c r="V1619">
        <f t="shared" si="77"/>
        <v>0</v>
      </c>
    </row>
    <row r="1620" spans="1:22" ht="15" customHeight="1" x14ac:dyDescent="0.35">
      <c r="A1620" s="3" t="s">
        <v>2055</v>
      </c>
      <c r="B1620" s="4">
        <v>45557</v>
      </c>
      <c r="C1620" s="3" t="s">
        <v>887</v>
      </c>
      <c r="D1620" s="3" t="s">
        <v>103</v>
      </c>
      <c r="E1620" s="3" t="s">
        <v>131</v>
      </c>
      <c r="F1620" s="5">
        <v>6</v>
      </c>
      <c r="G1620" s="5">
        <v>1080</v>
      </c>
      <c r="H1620" s="5">
        <v>28.9</v>
      </c>
      <c r="I1620" s="5">
        <v>4607.28</v>
      </c>
      <c r="J1620" s="3" t="s">
        <v>26</v>
      </c>
      <c r="K1620" s="3" t="s">
        <v>27</v>
      </c>
      <c r="L1620" t="str">
        <f>IFERROR(VLOOKUP(D1620,Products!$A$2:$F$61,3,FALSE()),"")</f>
        <v>Home</v>
      </c>
      <c r="M1620" t="str">
        <f>IFERROR(VLOOKUP(E1620,Sales_Reps!$A$2:$C$31,3,FALSE()),"")</f>
        <v>East</v>
      </c>
      <c r="N1620">
        <f>IFERROR(VLOOKUP(D1620,Products!$A$2:$F$61,4,FALSE()),"")</f>
        <v>519</v>
      </c>
      <c r="O1620" t="str">
        <f>IFERROR(VLOOKUP(C1620,Customers!$A$2:$F$301,5,FALSE()),"")</f>
        <v>Retail</v>
      </c>
      <c r="P1620">
        <f>IFERROR(VLOOKUP(C1620,Customers!$A$2:$F$301,3,FALSE()),"")</f>
        <v>65</v>
      </c>
      <c r="Q1620">
        <f t="shared" si="75"/>
        <v>0.51944444444444449</v>
      </c>
      <c r="R1620">
        <f>IF(AND(COUNTIF($A$2:$A$2047,A1620)&gt;1,COUNTIF($A$2:A1620,A1620)=1),1,0)</f>
        <v>0</v>
      </c>
      <c r="S1620" t="b">
        <f>IFERROR(VLOOKUP(D1620,Products!$A$2:$F$61,6,FALSE()),"")</f>
        <v>1</v>
      </c>
      <c r="T1620" t="str">
        <f>IF(COUNTIF(Customers!$A$2:$A$301,C1620)=0,"Missing","OK")</f>
        <v>OK</v>
      </c>
      <c r="U1620" t="str">
        <f t="shared" si="76"/>
        <v>Pune</v>
      </c>
      <c r="V1620">
        <f t="shared" si="77"/>
        <v>0</v>
      </c>
    </row>
    <row r="1621" spans="1:22" ht="15" customHeight="1" x14ac:dyDescent="0.35">
      <c r="A1621" s="3" t="s">
        <v>2056</v>
      </c>
      <c r="B1621" s="4">
        <v>45584</v>
      </c>
      <c r="C1621" s="3" t="s">
        <v>528</v>
      </c>
      <c r="D1621" s="3" t="s">
        <v>184</v>
      </c>
      <c r="E1621" s="3" t="s">
        <v>131</v>
      </c>
      <c r="F1621" s="5">
        <v>7</v>
      </c>
      <c r="G1621" s="5">
        <v>2270</v>
      </c>
      <c r="H1621" s="5">
        <v>1.4</v>
      </c>
      <c r="I1621" s="5">
        <v>15667.54</v>
      </c>
      <c r="J1621" s="3" t="s">
        <v>26</v>
      </c>
      <c r="K1621" s="3" t="s">
        <v>33</v>
      </c>
      <c r="L1621" t="str">
        <f>IFERROR(VLOOKUP(D1621,Products!$A$2:$F$61,3,FALSE()),"")</f>
        <v>Grocery</v>
      </c>
      <c r="M1621" t="str">
        <f>IFERROR(VLOOKUP(E1621,Sales_Reps!$A$2:$C$31,3,FALSE()),"")</f>
        <v>East</v>
      </c>
      <c r="N1621">
        <f>IFERROR(VLOOKUP(D1621,Products!$A$2:$F$61,4,FALSE()),"")</f>
        <v>1412</v>
      </c>
      <c r="O1621" t="str">
        <f>IFERROR(VLOOKUP(C1621,Customers!$A$2:$F$301,5,FALSE()),"")</f>
        <v>Corporate</v>
      </c>
      <c r="P1621">
        <f>IFERROR(VLOOKUP(C1621,Customers!$A$2:$F$301,3,FALSE()),"")</f>
        <v>30</v>
      </c>
      <c r="Q1621">
        <f t="shared" si="75"/>
        <v>0.37797356828193834</v>
      </c>
      <c r="R1621">
        <f>IF(AND(COUNTIF($A$2:$A$2047,A1621)&gt;1,COUNTIF($A$2:A1621,A1621)=1),1,0)</f>
        <v>0</v>
      </c>
      <c r="S1621" t="b">
        <f>IFERROR(VLOOKUP(D1621,Products!$A$2:$F$61,6,FALSE()),"")</f>
        <v>1</v>
      </c>
      <c r="T1621" t="str">
        <f>IF(COUNTIF(Customers!$A$2:$A$301,C1621)=0,"Missing","OK")</f>
        <v>OK</v>
      </c>
      <c r="U1621" t="str">
        <f t="shared" si="76"/>
        <v>Chennai</v>
      </c>
      <c r="V1621">
        <f t="shared" si="77"/>
        <v>0</v>
      </c>
    </row>
    <row r="1622" spans="1:22" ht="15" customHeight="1" x14ac:dyDescent="0.35">
      <c r="A1622" s="3" t="s">
        <v>2057</v>
      </c>
      <c r="B1622" s="4">
        <v>45475</v>
      </c>
      <c r="C1622" s="3" t="s">
        <v>720</v>
      </c>
      <c r="D1622" s="3" t="s">
        <v>49</v>
      </c>
      <c r="E1622" s="3" t="s">
        <v>67</v>
      </c>
      <c r="F1622" s="5">
        <v>3</v>
      </c>
      <c r="G1622" s="5">
        <v>370</v>
      </c>
      <c r="H1622" s="5">
        <v>9.6</v>
      </c>
      <c r="I1622" s="5">
        <v>1003.44</v>
      </c>
      <c r="J1622" s="3" t="s">
        <v>83</v>
      </c>
      <c r="K1622" s="3" t="s">
        <v>38</v>
      </c>
      <c r="L1622" t="str">
        <f>IFERROR(VLOOKUP(D1622,Products!$A$2:$F$61,3,FALSE()),"")</f>
        <v>Home</v>
      </c>
      <c r="M1622" t="str">
        <f>IFERROR(VLOOKUP(E1622,Sales_Reps!$A$2:$C$31,3,FALSE()),"")</f>
        <v>West</v>
      </c>
      <c r="N1622">
        <f>IFERROR(VLOOKUP(D1622,Products!$A$2:$F$61,4,FALSE()),"")</f>
        <v>288</v>
      </c>
      <c r="O1622" t="str">
        <f>IFERROR(VLOOKUP(C1622,Customers!$A$2:$F$301,5,FALSE()),"")</f>
        <v>SMB</v>
      </c>
      <c r="P1622">
        <f>IFERROR(VLOOKUP(C1622,Customers!$A$2:$F$301,3,FALSE()),"")</f>
        <v>29</v>
      </c>
      <c r="Q1622">
        <f t="shared" si="75"/>
        <v>0.22162162162162163</v>
      </c>
      <c r="R1622">
        <f>IF(AND(COUNTIF($A$2:$A$2047,A1622)&gt;1,COUNTIF($A$2:A1622,A1622)=1),1,0)</f>
        <v>0</v>
      </c>
      <c r="S1622" t="b">
        <f>IFERROR(VLOOKUP(D1622,Products!$A$2:$F$61,6,FALSE()),"")</f>
        <v>1</v>
      </c>
      <c r="T1622" t="str">
        <f>IF(COUNTIF(Customers!$A$2:$A$301,C1622)=0,"Missing","OK")</f>
        <v>OK</v>
      </c>
      <c r="U1622" t="str">
        <f t="shared" si="76"/>
        <v>Delhi</v>
      </c>
      <c r="V1622">
        <f t="shared" si="77"/>
        <v>0</v>
      </c>
    </row>
    <row r="1623" spans="1:22" ht="15" customHeight="1" x14ac:dyDescent="0.35">
      <c r="A1623" s="3" t="s">
        <v>2058</v>
      </c>
      <c r="B1623" s="4">
        <v>45365</v>
      </c>
      <c r="C1623" s="3" t="s">
        <v>813</v>
      </c>
      <c r="D1623" s="3" t="s">
        <v>66</v>
      </c>
      <c r="E1623" s="3" t="s">
        <v>143</v>
      </c>
      <c r="F1623" s="5">
        <v>9</v>
      </c>
      <c r="G1623" s="5">
        <v>970</v>
      </c>
      <c r="H1623" s="5">
        <v>29.7</v>
      </c>
      <c r="I1623" s="5">
        <v>6137.19</v>
      </c>
      <c r="J1623" s="3" t="s">
        <v>26</v>
      </c>
      <c r="K1623" s="3" t="s">
        <v>51</v>
      </c>
      <c r="L1623" t="str">
        <f>IFERROR(VLOOKUP(D1623,Products!$A$2:$F$61,3,FALSE()),"")</f>
        <v>Grocery</v>
      </c>
      <c r="M1623" t="str">
        <f>IFERROR(VLOOKUP(E1623,Sales_Reps!$A$2:$C$31,3,FALSE()),"")</f>
        <v>South</v>
      </c>
      <c r="N1623">
        <f>IFERROR(VLOOKUP(D1623,Products!$A$2:$F$61,4,FALSE()),"")</f>
        <v>434</v>
      </c>
      <c r="O1623" t="str">
        <f>IFERROR(VLOOKUP(C1623,Customers!$A$2:$F$301,5,FALSE()),"")</f>
        <v>Retail</v>
      </c>
      <c r="P1623">
        <f>IFERROR(VLOOKUP(C1623,Customers!$A$2:$F$301,3,FALSE()),"")</f>
        <v>57</v>
      </c>
      <c r="Q1623">
        <f t="shared" si="75"/>
        <v>0.5525773195876289</v>
      </c>
      <c r="R1623">
        <f>IF(AND(COUNTIF($A$2:$A$2047,A1623)&gt;1,COUNTIF($A$2:A1623,A1623)=1),1,0)</f>
        <v>0</v>
      </c>
      <c r="S1623" t="b">
        <f>IFERROR(VLOOKUP(D1623,Products!$A$2:$F$61,6,FALSE()),"")</f>
        <v>1</v>
      </c>
      <c r="T1623" t="str">
        <f>IF(COUNTIF(Customers!$A$2:$A$301,C1623)=0,"Missing","OK")</f>
        <v>OK</v>
      </c>
      <c r="U1623" t="str">
        <f t="shared" si="76"/>
        <v>Mumbai</v>
      </c>
      <c r="V1623">
        <f t="shared" si="77"/>
        <v>0</v>
      </c>
    </row>
    <row r="1624" spans="1:22" ht="15" customHeight="1" x14ac:dyDescent="0.35">
      <c r="A1624" s="3" t="s">
        <v>1009</v>
      </c>
      <c r="B1624" s="4">
        <v>45405</v>
      </c>
      <c r="C1624" s="3" t="s">
        <v>884</v>
      </c>
      <c r="D1624" s="3" t="s">
        <v>231</v>
      </c>
      <c r="E1624" s="3" t="s">
        <v>87</v>
      </c>
      <c r="F1624" s="5">
        <v>1</v>
      </c>
      <c r="G1624" s="5">
        <v>620</v>
      </c>
      <c r="H1624" s="5">
        <v>10.4</v>
      </c>
      <c r="I1624" s="5">
        <v>555.52</v>
      </c>
      <c r="J1624" s="3" t="s">
        <v>79</v>
      </c>
      <c r="K1624" s="3" t="s">
        <v>27</v>
      </c>
      <c r="L1624" t="str">
        <f>IFERROR(VLOOKUP(D1624,Products!$A$2:$F$61,3,FALSE()),"")</f>
        <v>Apparel</v>
      </c>
      <c r="M1624" t="str">
        <f>IFERROR(VLOOKUP(E1624,Sales_Reps!$A$2:$C$31,3,FALSE()),"")</f>
        <v>North</v>
      </c>
      <c r="N1624">
        <f>IFERROR(VLOOKUP(D1624,Products!$A$2:$F$61,4,FALSE()),"")</f>
        <v>396</v>
      </c>
      <c r="O1624" t="str">
        <f>IFERROR(VLOOKUP(C1624,Customers!$A$2:$F$301,5,FALSE()),"")</f>
        <v>Retail</v>
      </c>
      <c r="P1624">
        <f>IFERROR(VLOOKUP(C1624,Customers!$A$2:$F$301,3,FALSE()),"")</f>
        <v>54</v>
      </c>
      <c r="Q1624">
        <f t="shared" si="75"/>
        <v>0.36129032258064514</v>
      </c>
      <c r="R1624">
        <f>IF(AND(COUNTIF($A$2:$A$2047,A1624)&gt;1,COUNTIF($A$2:A1624,A1624)=1),1,0)</f>
        <v>0</v>
      </c>
      <c r="S1624" t="b">
        <f>IFERROR(VLOOKUP(D1624,Products!$A$2:$F$61,6,FALSE()),"")</f>
        <v>1</v>
      </c>
      <c r="T1624" t="str">
        <f>IF(COUNTIF(Customers!$A$2:$A$301,C1624)=0,"Missing","OK")</f>
        <v>OK</v>
      </c>
      <c r="U1624" t="str">
        <f t="shared" si="76"/>
        <v>Pune</v>
      </c>
      <c r="V1624">
        <f t="shared" si="77"/>
        <v>0</v>
      </c>
    </row>
    <row r="1625" spans="1:22" ht="15" customHeight="1" x14ac:dyDescent="0.35">
      <c r="A1625" s="3" t="s">
        <v>2059</v>
      </c>
      <c r="B1625" s="4">
        <v>45533</v>
      </c>
      <c r="C1625" s="3" t="s">
        <v>811</v>
      </c>
      <c r="D1625" s="3" t="s">
        <v>41</v>
      </c>
      <c r="E1625" s="3" t="s">
        <v>168</v>
      </c>
      <c r="F1625" s="5">
        <v>5</v>
      </c>
      <c r="G1625" s="5">
        <v>3660</v>
      </c>
      <c r="H1625" s="5">
        <v>8</v>
      </c>
      <c r="I1625" s="5">
        <v>16836</v>
      </c>
      <c r="J1625" s="3" t="s">
        <v>26</v>
      </c>
      <c r="K1625" s="3" t="s">
        <v>51</v>
      </c>
      <c r="L1625" t="str">
        <f>IFERROR(VLOOKUP(D1625,Products!$A$2:$F$61,3,FALSE()),"")</f>
        <v>Grocery</v>
      </c>
      <c r="M1625" t="str">
        <f>IFERROR(VLOOKUP(E1625,Sales_Reps!$A$2:$C$31,3,FALSE()),"")</f>
        <v>West</v>
      </c>
      <c r="N1625">
        <f>IFERROR(VLOOKUP(D1625,Products!$A$2:$F$61,4,FALSE()),"")</f>
        <v>2214</v>
      </c>
      <c r="O1625" t="str">
        <f>IFERROR(VLOOKUP(C1625,Customers!$A$2:$F$301,5,FALSE()),"")</f>
        <v>Corporate</v>
      </c>
      <c r="P1625">
        <f>IFERROR(VLOOKUP(C1625,Customers!$A$2:$F$301,3,FALSE()),"")</f>
        <v>62</v>
      </c>
      <c r="Q1625">
        <f t="shared" si="75"/>
        <v>0.39508196721311473</v>
      </c>
      <c r="R1625">
        <f>IF(AND(COUNTIF($A$2:$A$2047,A1625)&gt;1,COUNTIF($A$2:A1625,A1625)=1),1,0)</f>
        <v>0</v>
      </c>
      <c r="S1625" t="b">
        <f>IFERROR(VLOOKUP(D1625,Products!$A$2:$F$61,6,FALSE()),"")</f>
        <v>0</v>
      </c>
      <c r="T1625" t="str">
        <f>IF(COUNTIF(Customers!$A$2:$A$301,C1625)=0,"Missing","OK")</f>
        <v>OK</v>
      </c>
      <c r="U1625" t="str">
        <f t="shared" si="76"/>
        <v>Mumbai</v>
      </c>
      <c r="V1625">
        <f t="shared" si="77"/>
        <v>0</v>
      </c>
    </row>
    <row r="1626" spans="1:22" ht="15" customHeight="1" x14ac:dyDescent="0.35">
      <c r="A1626" s="3" t="s">
        <v>2060</v>
      </c>
      <c r="B1626" s="4">
        <v>45628</v>
      </c>
      <c r="C1626" s="3" t="s">
        <v>40</v>
      </c>
      <c r="D1626" s="3" t="s">
        <v>277</v>
      </c>
      <c r="E1626" s="3" t="s">
        <v>55</v>
      </c>
      <c r="F1626" s="5">
        <v>7</v>
      </c>
      <c r="G1626" s="5">
        <v>2210</v>
      </c>
      <c r="H1626" s="5">
        <v>13.7</v>
      </c>
      <c r="I1626" s="5">
        <v>13350.61</v>
      </c>
      <c r="J1626" s="3" t="s">
        <v>83</v>
      </c>
      <c r="K1626" s="3" t="s">
        <v>38</v>
      </c>
      <c r="L1626" t="str">
        <f>IFERROR(VLOOKUP(D1626,Products!$A$2:$F$61,3,FALSE()),"")</f>
        <v>Grocery</v>
      </c>
      <c r="M1626" t="str">
        <f>IFERROR(VLOOKUP(E1626,Sales_Reps!$A$2:$C$31,3,FALSE()),"")</f>
        <v>West</v>
      </c>
      <c r="N1626">
        <f>IFERROR(VLOOKUP(D1626,Products!$A$2:$F$61,4,FALSE()),"")</f>
        <v>1010</v>
      </c>
      <c r="O1626" t="str">
        <f>IFERROR(VLOOKUP(C1626,Customers!$A$2:$F$301,5,FALSE()),"")</f>
        <v>Corporate</v>
      </c>
      <c r="P1626">
        <f>IFERROR(VLOOKUP(C1626,Customers!$A$2:$F$301,3,FALSE()),"")</f>
        <v>46</v>
      </c>
      <c r="Q1626">
        <f t="shared" si="75"/>
        <v>0.54298642533936647</v>
      </c>
      <c r="R1626">
        <f>IF(AND(COUNTIF($A$2:$A$2047,A1626)&gt;1,COUNTIF($A$2:A1626,A1626)=1),1,0)</f>
        <v>0</v>
      </c>
      <c r="S1626" t="b">
        <f>IFERROR(VLOOKUP(D1626,Products!$A$2:$F$61,6,FALSE()),"")</f>
        <v>1</v>
      </c>
      <c r="T1626" t="str">
        <f>IF(COUNTIF(Customers!$A$2:$A$301,C1626)=0,"Missing","OK")</f>
        <v>OK</v>
      </c>
      <c r="U1626" t="str">
        <f t="shared" si="76"/>
        <v>Delhi</v>
      </c>
      <c r="V1626">
        <f t="shared" si="77"/>
        <v>0</v>
      </c>
    </row>
    <row r="1627" spans="1:22" ht="15" customHeight="1" x14ac:dyDescent="0.35">
      <c r="A1627" s="3" t="s">
        <v>2061</v>
      </c>
      <c r="B1627" s="4">
        <v>45631</v>
      </c>
      <c r="C1627" s="3" t="s">
        <v>644</v>
      </c>
      <c r="D1627" s="3" t="s">
        <v>400</v>
      </c>
      <c r="E1627" s="3" t="s">
        <v>67</v>
      </c>
      <c r="F1627" s="5">
        <v>1</v>
      </c>
      <c r="G1627" s="5">
        <v>3780</v>
      </c>
      <c r="H1627" s="5">
        <v>11.5</v>
      </c>
      <c r="I1627" s="5">
        <v>3345.3</v>
      </c>
      <c r="J1627" s="3" t="s">
        <v>26</v>
      </c>
      <c r="K1627" s="3" t="s">
        <v>38</v>
      </c>
      <c r="L1627" t="str">
        <f>IFERROR(VLOOKUP(D1627,Products!$A$2:$F$61,3,FALSE()),"")</f>
        <v>Sports</v>
      </c>
      <c r="M1627" t="str">
        <f>IFERROR(VLOOKUP(E1627,Sales_Reps!$A$2:$C$31,3,FALSE()),"")</f>
        <v>West</v>
      </c>
      <c r="N1627">
        <f>IFERROR(VLOOKUP(D1627,Products!$A$2:$F$61,4,FALSE()),"")</f>
        <v>1860</v>
      </c>
      <c r="O1627" t="str">
        <f>IFERROR(VLOOKUP(C1627,Customers!$A$2:$F$301,5,FALSE()),"")</f>
        <v>Retail</v>
      </c>
      <c r="P1627">
        <f>IFERROR(VLOOKUP(C1627,Customers!$A$2:$F$301,3,FALSE()),"")</f>
        <v>53</v>
      </c>
      <c r="Q1627">
        <f t="shared" si="75"/>
        <v>0.50793650793650791</v>
      </c>
      <c r="R1627">
        <f>IF(AND(COUNTIF($A$2:$A$2047,A1627)&gt;1,COUNTIF($A$2:A1627,A1627)=1),1,0)</f>
        <v>0</v>
      </c>
      <c r="S1627" t="b">
        <f>IFERROR(VLOOKUP(D1627,Products!$A$2:$F$61,6,FALSE()),"")</f>
        <v>1</v>
      </c>
      <c r="T1627" t="str">
        <f>IF(COUNTIF(Customers!$A$2:$A$301,C1627)=0,"Missing","OK")</f>
        <v>OK</v>
      </c>
      <c r="U1627" t="str">
        <f t="shared" si="76"/>
        <v>Delhi</v>
      </c>
      <c r="V1627">
        <f t="shared" si="77"/>
        <v>0</v>
      </c>
    </row>
    <row r="1628" spans="1:22" ht="15" customHeight="1" x14ac:dyDescent="0.35">
      <c r="A1628" s="3" t="s">
        <v>2062</v>
      </c>
      <c r="B1628" s="4">
        <v>45601</v>
      </c>
      <c r="C1628" s="3" t="s">
        <v>230</v>
      </c>
      <c r="D1628" s="3" t="s">
        <v>77</v>
      </c>
      <c r="E1628" s="3" t="s">
        <v>31</v>
      </c>
      <c r="F1628" s="5">
        <v>10</v>
      </c>
      <c r="G1628" s="5">
        <v>2600</v>
      </c>
      <c r="H1628" s="5">
        <v>29.4</v>
      </c>
      <c r="I1628" s="5">
        <v>18356</v>
      </c>
      <c r="J1628" s="3" t="s">
        <v>26</v>
      </c>
      <c r="K1628" s="3" t="s">
        <v>38</v>
      </c>
      <c r="L1628" t="str">
        <f>IFERROR(VLOOKUP(D1628,Products!$A$2:$F$61,3,FALSE()),"")</f>
        <v>Electronics</v>
      </c>
      <c r="M1628" t="str">
        <f>IFERROR(VLOOKUP(E1628,Sales_Reps!$A$2:$C$31,3,FALSE()),"")</f>
        <v>North</v>
      </c>
      <c r="N1628">
        <f>IFERROR(VLOOKUP(D1628,Products!$A$2:$F$61,4,FALSE()),"")</f>
        <v>1052</v>
      </c>
      <c r="O1628" t="str">
        <f>IFERROR(VLOOKUP(C1628,Customers!$A$2:$F$301,5,FALSE()),"")</f>
        <v>Retail</v>
      </c>
      <c r="P1628">
        <f>IFERROR(VLOOKUP(C1628,Customers!$A$2:$F$301,3,FALSE()),"")</f>
        <v>35</v>
      </c>
      <c r="Q1628">
        <f t="shared" si="75"/>
        <v>0.5953846153846154</v>
      </c>
      <c r="R1628">
        <f>IF(AND(COUNTIF($A$2:$A$2047,A1628)&gt;1,COUNTIF($A$2:A1628,A1628)=1),1,0)</f>
        <v>0</v>
      </c>
      <c r="S1628" t="b">
        <f>IFERROR(VLOOKUP(D1628,Products!$A$2:$F$61,6,FALSE()),"")</f>
        <v>1</v>
      </c>
      <c r="T1628" t="str">
        <f>IF(COUNTIF(Customers!$A$2:$A$301,C1628)=0,"Missing","OK")</f>
        <v>OK</v>
      </c>
      <c r="U1628" t="str">
        <f t="shared" si="76"/>
        <v>Delhi</v>
      </c>
      <c r="V1628">
        <f t="shared" si="77"/>
        <v>0</v>
      </c>
    </row>
    <row r="1629" spans="1:22" ht="15" customHeight="1" x14ac:dyDescent="0.35">
      <c r="A1629" s="3" t="s">
        <v>2063</v>
      </c>
      <c r="B1629" s="4">
        <v>45365</v>
      </c>
      <c r="C1629" s="3" t="s">
        <v>490</v>
      </c>
      <c r="D1629" s="3" t="s">
        <v>173</v>
      </c>
      <c r="E1629" s="3" t="s">
        <v>177</v>
      </c>
      <c r="F1629" s="5">
        <v>3</v>
      </c>
      <c r="G1629" s="5">
        <v>3780</v>
      </c>
      <c r="H1629" s="5">
        <v>14.4</v>
      </c>
      <c r="I1629" s="5">
        <v>9707.0400000000009</v>
      </c>
      <c r="J1629" s="3" t="s">
        <v>26</v>
      </c>
      <c r="K1629" s="3" t="s">
        <v>51</v>
      </c>
      <c r="L1629" t="str">
        <f>IFERROR(VLOOKUP(D1629,Products!$A$2:$F$61,3,FALSE()),"")</f>
        <v>Grocery</v>
      </c>
      <c r="M1629" t="str">
        <f>IFERROR(VLOOKUP(E1629,Sales_Reps!$A$2:$C$31,3,FALSE()),"")</f>
        <v>East</v>
      </c>
      <c r="N1629">
        <f>IFERROR(VLOOKUP(D1629,Products!$A$2:$F$61,4,FALSE()),"")</f>
        <v>2436</v>
      </c>
      <c r="O1629" t="str">
        <f>IFERROR(VLOOKUP(C1629,Customers!$A$2:$F$301,5,FALSE()),"")</f>
        <v>Corporate</v>
      </c>
      <c r="P1629">
        <f>IFERROR(VLOOKUP(C1629,Customers!$A$2:$F$301,3,FALSE()),"")</f>
        <v>60</v>
      </c>
      <c r="Q1629">
        <f t="shared" si="75"/>
        <v>0.35555555555555557</v>
      </c>
      <c r="R1629">
        <f>IF(AND(COUNTIF($A$2:$A$2047,A1629)&gt;1,COUNTIF($A$2:A1629,A1629)=1),1,0)</f>
        <v>0</v>
      </c>
      <c r="S1629" t="b">
        <f>IFERROR(VLOOKUP(D1629,Products!$A$2:$F$61,6,FALSE()),"")</f>
        <v>1</v>
      </c>
      <c r="T1629" t="str">
        <f>IF(COUNTIF(Customers!$A$2:$A$301,C1629)=0,"Missing","OK")</f>
        <v>OK</v>
      </c>
      <c r="U1629" t="str">
        <f t="shared" si="76"/>
        <v>Mumbai</v>
      </c>
      <c r="V1629">
        <f t="shared" si="77"/>
        <v>0</v>
      </c>
    </row>
    <row r="1630" spans="1:22" ht="15" customHeight="1" x14ac:dyDescent="0.35">
      <c r="A1630" s="3" t="s">
        <v>2064</v>
      </c>
      <c r="B1630" s="4">
        <v>45421</v>
      </c>
      <c r="C1630" s="3" t="s">
        <v>189</v>
      </c>
      <c r="D1630" s="3" t="s">
        <v>74</v>
      </c>
      <c r="E1630" s="3" t="s">
        <v>87</v>
      </c>
      <c r="F1630" s="5">
        <v>10</v>
      </c>
      <c r="G1630" s="5">
        <v>2640</v>
      </c>
      <c r="H1630" s="5">
        <v>26.8</v>
      </c>
      <c r="I1630" s="5">
        <v>19324.8</v>
      </c>
      <c r="J1630" s="3" t="s">
        <v>32</v>
      </c>
      <c r="K1630" s="3" t="s">
        <v>56</v>
      </c>
      <c r="L1630" t="str">
        <f>IFERROR(VLOOKUP(D1630,Products!$A$2:$F$61,3,FALSE()),"")</f>
        <v>Electronics</v>
      </c>
      <c r="M1630" t="str">
        <f>IFERROR(VLOOKUP(E1630,Sales_Reps!$A$2:$C$31,3,FALSE()),"")</f>
        <v>North</v>
      </c>
      <c r="N1630">
        <f>IFERROR(VLOOKUP(D1630,Products!$A$2:$F$61,4,FALSE()),"")</f>
        <v>1149</v>
      </c>
      <c r="O1630" t="str">
        <f>IFERROR(VLOOKUP(C1630,Customers!$A$2:$F$301,5,FALSE()),"")</f>
        <v>SMB</v>
      </c>
      <c r="P1630">
        <f>IFERROR(VLOOKUP(C1630,Customers!$A$2:$F$301,3,FALSE()),"")</f>
        <v>34</v>
      </c>
      <c r="Q1630">
        <f t="shared" si="75"/>
        <v>0.56477272727272732</v>
      </c>
      <c r="R1630">
        <f>IF(AND(COUNTIF($A$2:$A$2047,A1630)&gt;1,COUNTIF($A$2:A1630,A1630)=1),1,0)</f>
        <v>0</v>
      </c>
      <c r="S1630" t="b">
        <f>IFERROR(VLOOKUP(D1630,Products!$A$2:$F$61,6,FALSE()),"")</f>
        <v>1</v>
      </c>
      <c r="T1630" t="str">
        <f>IF(COUNTIF(Customers!$A$2:$A$301,C1630)=0,"Missing","OK")</f>
        <v>OK</v>
      </c>
      <c r="U1630" t="str">
        <f t="shared" si="76"/>
        <v>Bengaluru</v>
      </c>
      <c r="V1630">
        <f t="shared" si="77"/>
        <v>0</v>
      </c>
    </row>
    <row r="1631" spans="1:22" ht="15" customHeight="1" x14ac:dyDescent="0.35">
      <c r="A1631" s="3" t="s">
        <v>2065</v>
      </c>
      <c r="B1631" s="4">
        <v>45347</v>
      </c>
      <c r="C1631" s="3" t="s">
        <v>839</v>
      </c>
      <c r="D1631" s="3" t="s">
        <v>441</v>
      </c>
      <c r="E1631" s="3" t="s">
        <v>191</v>
      </c>
      <c r="F1631" s="5">
        <v>3</v>
      </c>
      <c r="G1631" s="5">
        <v>1090</v>
      </c>
      <c r="H1631" s="5">
        <v>9.1</v>
      </c>
      <c r="I1631" s="5">
        <v>2972.43</v>
      </c>
      <c r="J1631" s="3" t="s">
        <v>26</v>
      </c>
      <c r="K1631" s="3" t="s">
        <v>56</v>
      </c>
      <c r="L1631" t="str">
        <f>IFERROR(VLOOKUP(D1631,Products!$A$2:$F$61,3,FALSE()),"")</f>
        <v>Home</v>
      </c>
      <c r="M1631" t="str">
        <f>IFERROR(VLOOKUP(E1631,Sales_Reps!$A$2:$C$31,3,FALSE()),"")</f>
        <v>South</v>
      </c>
      <c r="N1631">
        <f>IFERROR(VLOOKUP(D1631,Products!$A$2:$F$61,4,FALSE()),"")</f>
        <v>464</v>
      </c>
      <c r="O1631" t="str">
        <f>IFERROR(VLOOKUP(C1631,Customers!$A$2:$F$301,5,FALSE()),"")</f>
        <v>Retail</v>
      </c>
      <c r="P1631">
        <f>IFERROR(VLOOKUP(C1631,Customers!$A$2:$F$301,3,FALSE()),"")</f>
        <v>35</v>
      </c>
      <c r="Q1631">
        <f t="shared" si="75"/>
        <v>0.57431192660550456</v>
      </c>
      <c r="R1631">
        <f>IF(AND(COUNTIF($A$2:$A$2047,A1631)&gt;1,COUNTIF($A$2:A1631,A1631)=1),1,0)</f>
        <v>0</v>
      </c>
      <c r="S1631" t="b">
        <f>IFERROR(VLOOKUP(D1631,Products!$A$2:$F$61,6,FALSE()),"")</f>
        <v>1</v>
      </c>
      <c r="T1631" t="str">
        <f>IF(COUNTIF(Customers!$A$2:$A$301,C1631)=0,"Missing","OK")</f>
        <v>OK</v>
      </c>
      <c r="U1631" t="str">
        <f t="shared" si="76"/>
        <v>Bengaluru</v>
      </c>
      <c r="V1631">
        <f t="shared" si="77"/>
        <v>0</v>
      </c>
    </row>
    <row r="1632" spans="1:22" ht="15" customHeight="1" x14ac:dyDescent="0.35">
      <c r="A1632" s="3" t="s">
        <v>2066</v>
      </c>
      <c r="B1632" s="4">
        <v>45574</v>
      </c>
      <c r="C1632" s="3" t="s">
        <v>639</v>
      </c>
      <c r="D1632" s="3" t="s">
        <v>391</v>
      </c>
      <c r="E1632" s="3" t="s">
        <v>55</v>
      </c>
      <c r="F1632" s="5">
        <v>3</v>
      </c>
      <c r="G1632" s="5">
        <v>3450</v>
      </c>
      <c r="H1632" s="5">
        <v>23</v>
      </c>
      <c r="I1632" s="5">
        <v>7969.5</v>
      </c>
      <c r="J1632" s="3" t="s">
        <v>32</v>
      </c>
      <c r="K1632" s="3" t="s">
        <v>33</v>
      </c>
      <c r="L1632" t="str">
        <f>IFERROR(VLOOKUP(D1632,Products!$A$2:$F$61,3,FALSE()),"")</f>
        <v>Apparel</v>
      </c>
      <c r="M1632" t="str">
        <f>IFERROR(VLOOKUP(E1632,Sales_Reps!$A$2:$C$31,3,FALSE()),"")</f>
        <v>West</v>
      </c>
      <c r="N1632">
        <f>IFERROR(VLOOKUP(D1632,Products!$A$2:$F$61,4,FALSE()),"")</f>
        <v>1748</v>
      </c>
      <c r="O1632" t="str">
        <f>IFERROR(VLOOKUP(C1632,Customers!$A$2:$F$301,5,FALSE()),"")</f>
        <v>SMB</v>
      </c>
      <c r="P1632">
        <f>IFERROR(VLOOKUP(C1632,Customers!$A$2:$F$301,3,FALSE()),"")</f>
        <v>46</v>
      </c>
      <c r="Q1632">
        <f t="shared" si="75"/>
        <v>0.49333333333333335</v>
      </c>
      <c r="R1632">
        <f>IF(AND(COUNTIF($A$2:$A$2047,A1632)&gt;1,COUNTIF($A$2:A1632,A1632)=1),1,0)</f>
        <v>0</v>
      </c>
      <c r="S1632" t="b">
        <f>IFERROR(VLOOKUP(D1632,Products!$A$2:$F$61,6,FALSE()),"")</f>
        <v>1</v>
      </c>
      <c r="T1632" t="str">
        <f>IF(COUNTIF(Customers!$A$2:$A$301,C1632)=0,"Missing","OK")</f>
        <v>OK</v>
      </c>
      <c r="U1632" t="str">
        <f t="shared" si="76"/>
        <v>Chennai</v>
      </c>
      <c r="V1632">
        <f t="shared" si="77"/>
        <v>0</v>
      </c>
    </row>
    <row r="1633" spans="1:22" ht="15" customHeight="1" x14ac:dyDescent="0.35">
      <c r="A1633" s="3" t="s">
        <v>2067</v>
      </c>
      <c r="B1633" s="4">
        <v>45365</v>
      </c>
      <c r="C1633" s="3" t="s">
        <v>1170</v>
      </c>
      <c r="D1633" s="3" t="s">
        <v>319</v>
      </c>
      <c r="E1633" s="3" t="s">
        <v>127</v>
      </c>
      <c r="F1633" s="5">
        <v>1</v>
      </c>
      <c r="G1633" s="5">
        <v>960</v>
      </c>
      <c r="H1633" s="5">
        <v>1.1000000000000001</v>
      </c>
      <c r="I1633" s="5">
        <v>949.44</v>
      </c>
      <c r="J1633" s="3" t="s">
        <v>26</v>
      </c>
      <c r="K1633" s="3" t="s">
        <v>27</v>
      </c>
      <c r="L1633" t="str">
        <f>IFERROR(VLOOKUP(D1633,Products!$A$2:$F$61,3,FALSE()),"")</f>
        <v>Beauty</v>
      </c>
      <c r="M1633" t="str">
        <f>IFERROR(VLOOKUP(E1633,Sales_Reps!$A$2:$C$31,3,FALSE()),"")</f>
        <v>South</v>
      </c>
      <c r="N1633">
        <f>IFERROR(VLOOKUP(D1633,Products!$A$2:$F$61,4,FALSE()),"")</f>
        <v>675</v>
      </c>
      <c r="O1633" t="str">
        <f>IFERROR(VLOOKUP(C1633,Customers!$A$2:$F$301,5,FALSE()),"")</f>
        <v>Retail</v>
      </c>
      <c r="P1633">
        <f>IFERROR(VLOOKUP(C1633,Customers!$A$2:$F$301,3,FALSE()),"")</f>
        <v>42</v>
      </c>
      <c r="Q1633">
        <f t="shared" si="75"/>
        <v>0.296875</v>
      </c>
      <c r="R1633">
        <f>IF(AND(COUNTIF($A$2:$A$2047,A1633)&gt;1,COUNTIF($A$2:A1633,A1633)=1),1,0)</f>
        <v>0</v>
      </c>
      <c r="S1633" t="b">
        <f>IFERROR(VLOOKUP(D1633,Products!$A$2:$F$61,6,FALSE()),"")</f>
        <v>1</v>
      </c>
      <c r="T1633" t="str">
        <f>IF(COUNTIF(Customers!$A$2:$A$301,C1633)=0,"Missing","OK")</f>
        <v>OK</v>
      </c>
      <c r="U1633" t="str">
        <f t="shared" si="76"/>
        <v>Pune</v>
      </c>
      <c r="V1633">
        <f t="shared" si="77"/>
        <v>0</v>
      </c>
    </row>
    <row r="1634" spans="1:22" ht="15" customHeight="1" x14ac:dyDescent="0.35">
      <c r="A1634" s="3" t="s">
        <v>2068</v>
      </c>
      <c r="B1634" s="4">
        <v>45577</v>
      </c>
      <c r="C1634" s="3" t="s">
        <v>418</v>
      </c>
      <c r="D1634" s="3" t="s">
        <v>41</v>
      </c>
      <c r="E1634" s="3" t="s">
        <v>109</v>
      </c>
      <c r="F1634" s="5">
        <v>9</v>
      </c>
      <c r="G1634" s="5">
        <v>3660</v>
      </c>
      <c r="H1634" s="5">
        <v>9</v>
      </c>
      <c r="I1634" s="5">
        <v>29975.4</v>
      </c>
      <c r="J1634" s="3" t="s">
        <v>26</v>
      </c>
      <c r="K1634" s="3" t="s">
        <v>27</v>
      </c>
      <c r="L1634" t="str">
        <f>IFERROR(VLOOKUP(D1634,Products!$A$2:$F$61,3,FALSE()),"")</f>
        <v>Grocery</v>
      </c>
      <c r="M1634" t="str">
        <f>IFERROR(VLOOKUP(E1634,Sales_Reps!$A$2:$C$31,3,FALSE()),"")</f>
        <v>West</v>
      </c>
      <c r="N1634">
        <f>IFERROR(VLOOKUP(D1634,Products!$A$2:$F$61,4,FALSE()),"")</f>
        <v>2214</v>
      </c>
      <c r="O1634" t="str">
        <f>IFERROR(VLOOKUP(C1634,Customers!$A$2:$F$301,5,FALSE()),"")</f>
        <v>SMB</v>
      </c>
      <c r="P1634">
        <f>IFERROR(VLOOKUP(C1634,Customers!$A$2:$F$301,3,FALSE()),"")</f>
        <v>49</v>
      </c>
      <c r="Q1634">
        <f t="shared" si="75"/>
        <v>0.39508196721311473</v>
      </c>
      <c r="R1634">
        <f>IF(AND(COUNTIF($A$2:$A$2047,A1634)&gt;1,COUNTIF($A$2:A1634,A1634)=1),1,0)</f>
        <v>0</v>
      </c>
      <c r="S1634" t="b">
        <f>IFERROR(VLOOKUP(D1634,Products!$A$2:$F$61,6,FALSE()),"")</f>
        <v>0</v>
      </c>
      <c r="T1634" t="str">
        <f>IF(COUNTIF(Customers!$A$2:$A$301,C1634)=0,"Missing","OK")</f>
        <v>OK</v>
      </c>
      <c r="U1634" t="str">
        <f t="shared" si="76"/>
        <v>Pune</v>
      </c>
      <c r="V1634">
        <f t="shared" si="77"/>
        <v>0</v>
      </c>
    </row>
    <row r="1635" spans="1:22" ht="15" customHeight="1" x14ac:dyDescent="0.35">
      <c r="A1635" s="3" t="s">
        <v>2069</v>
      </c>
      <c r="B1635" s="4">
        <v>45420</v>
      </c>
      <c r="C1635" s="3" t="s">
        <v>577</v>
      </c>
      <c r="D1635" s="3" t="s">
        <v>165</v>
      </c>
      <c r="E1635" s="3" t="s">
        <v>46</v>
      </c>
      <c r="F1635" s="5">
        <v>3</v>
      </c>
      <c r="G1635" s="5">
        <v>3730</v>
      </c>
      <c r="H1635" s="5">
        <v>15.8</v>
      </c>
      <c r="I1635" s="5">
        <v>9421.98</v>
      </c>
      <c r="J1635" s="3" t="s">
        <v>26</v>
      </c>
      <c r="K1635" s="3" t="s">
        <v>38</v>
      </c>
      <c r="L1635" t="str">
        <f>IFERROR(VLOOKUP(D1635,Products!$A$2:$F$61,3,FALSE()),"")</f>
        <v>Home</v>
      </c>
      <c r="M1635" t="str">
        <f>IFERROR(VLOOKUP(E1635,Sales_Reps!$A$2:$C$31,3,FALSE()),"")</f>
        <v>North</v>
      </c>
      <c r="N1635">
        <f>IFERROR(VLOOKUP(D1635,Products!$A$2:$F$61,4,FALSE()),"")</f>
        <v>2135</v>
      </c>
      <c r="O1635" t="str">
        <f>IFERROR(VLOOKUP(C1635,Customers!$A$2:$F$301,5,FALSE()),"")</f>
        <v>Retail</v>
      </c>
      <c r="P1635">
        <f>IFERROR(VLOOKUP(C1635,Customers!$A$2:$F$301,3,FALSE()),"")</f>
        <v>43</v>
      </c>
      <c r="Q1635">
        <f t="shared" si="75"/>
        <v>0.42761394101876676</v>
      </c>
      <c r="R1635">
        <f>IF(AND(COUNTIF($A$2:$A$2047,A1635)&gt;1,COUNTIF($A$2:A1635,A1635)=1),1,0)</f>
        <v>0</v>
      </c>
      <c r="S1635" t="b">
        <f>IFERROR(VLOOKUP(D1635,Products!$A$2:$F$61,6,FALSE()),"")</f>
        <v>1</v>
      </c>
      <c r="T1635" t="str">
        <f>IF(COUNTIF(Customers!$A$2:$A$301,C1635)=0,"Missing","OK")</f>
        <v>OK</v>
      </c>
      <c r="U1635" t="str">
        <f t="shared" si="76"/>
        <v>Delhi</v>
      </c>
      <c r="V1635">
        <f t="shared" si="77"/>
        <v>0</v>
      </c>
    </row>
    <row r="1636" spans="1:22" ht="15" customHeight="1" x14ac:dyDescent="0.35">
      <c r="A1636" s="3" t="s">
        <v>2070</v>
      </c>
      <c r="B1636" s="4">
        <v>45347</v>
      </c>
      <c r="C1636" s="3" t="s">
        <v>490</v>
      </c>
      <c r="D1636" s="3" t="s">
        <v>203</v>
      </c>
      <c r="E1636" s="3" t="s">
        <v>78</v>
      </c>
      <c r="F1636" s="5">
        <v>6</v>
      </c>
      <c r="G1636" s="5">
        <v>4070</v>
      </c>
      <c r="H1636" s="5">
        <v>6.2</v>
      </c>
      <c r="I1636" s="5">
        <v>22905.96</v>
      </c>
      <c r="J1636" s="3" t="s">
        <v>26</v>
      </c>
      <c r="K1636" s="3" t="s">
        <v>51</v>
      </c>
      <c r="L1636" t="str">
        <f>IFERROR(VLOOKUP(D1636,Products!$A$2:$F$61,3,FALSE()),"")</f>
        <v>Grocery</v>
      </c>
      <c r="M1636" t="str">
        <f>IFERROR(VLOOKUP(E1636,Sales_Reps!$A$2:$C$31,3,FALSE()),"")</f>
        <v>North</v>
      </c>
      <c r="N1636">
        <f>IFERROR(VLOOKUP(D1636,Products!$A$2:$F$61,4,FALSE()),"")</f>
        <v>2027</v>
      </c>
      <c r="O1636" t="str">
        <f>IFERROR(VLOOKUP(C1636,Customers!$A$2:$F$301,5,FALSE()),"")</f>
        <v>Corporate</v>
      </c>
      <c r="P1636">
        <f>IFERROR(VLOOKUP(C1636,Customers!$A$2:$F$301,3,FALSE()),"")</f>
        <v>60</v>
      </c>
      <c r="Q1636">
        <f t="shared" si="75"/>
        <v>0.50196560196560192</v>
      </c>
      <c r="R1636">
        <f>IF(AND(COUNTIF($A$2:$A$2047,A1636)&gt;1,COUNTIF($A$2:A1636,A1636)=1),1,0)</f>
        <v>0</v>
      </c>
      <c r="S1636" t="b">
        <f>IFERROR(VLOOKUP(D1636,Products!$A$2:$F$61,6,FALSE()),"")</f>
        <v>1</v>
      </c>
      <c r="T1636" t="str">
        <f>IF(COUNTIF(Customers!$A$2:$A$301,C1636)=0,"Missing","OK")</f>
        <v>OK</v>
      </c>
      <c r="U1636" t="str">
        <f t="shared" si="76"/>
        <v>Mumbai</v>
      </c>
      <c r="V1636">
        <f t="shared" si="77"/>
        <v>0</v>
      </c>
    </row>
    <row r="1637" spans="1:22" ht="15" customHeight="1" x14ac:dyDescent="0.35">
      <c r="A1637" s="3" t="s">
        <v>2071</v>
      </c>
      <c r="B1637" s="4">
        <v>45329</v>
      </c>
      <c r="C1637" s="3" t="s">
        <v>556</v>
      </c>
      <c r="D1637" s="3" t="s">
        <v>218</v>
      </c>
      <c r="E1637" s="3" t="s">
        <v>224</v>
      </c>
      <c r="F1637" s="5">
        <v>1</v>
      </c>
      <c r="G1637" s="5">
        <v>2660</v>
      </c>
      <c r="H1637" s="5">
        <v>14.6</v>
      </c>
      <c r="I1637" s="5">
        <v>2271.64</v>
      </c>
      <c r="J1637" s="3" t="s">
        <v>26</v>
      </c>
      <c r="K1637" s="3" t="s">
        <v>51</v>
      </c>
      <c r="L1637" t="str">
        <f>IFERROR(VLOOKUP(D1637,Products!$A$2:$F$61,3,FALSE()),"")</f>
        <v>Electronics</v>
      </c>
      <c r="M1637" t="str">
        <f>IFERROR(VLOOKUP(E1637,Sales_Reps!$A$2:$C$31,3,FALSE()),"")</f>
        <v>East</v>
      </c>
      <c r="N1637">
        <f>IFERROR(VLOOKUP(D1637,Products!$A$2:$F$61,4,FALSE()),"")</f>
        <v>1259</v>
      </c>
      <c r="O1637" t="str">
        <f>IFERROR(VLOOKUP(C1637,Customers!$A$2:$F$301,5,FALSE()),"")</f>
        <v>SMB</v>
      </c>
      <c r="P1637">
        <f>IFERROR(VLOOKUP(C1637,Customers!$A$2:$F$301,3,FALSE()),"")</f>
        <v>65</v>
      </c>
      <c r="Q1637">
        <f t="shared" si="75"/>
        <v>0.52669172932330832</v>
      </c>
      <c r="R1637">
        <f>IF(AND(COUNTIF($A$2:$A$2047,A1637)&gt;1,COUNTIF($A$2:A1637,A1637)=1),1,0)</f>
        <v>0</v>
      </c>
      <c r="S1637" t="b">
        <f>IFERROR(VLOOKUP(D1637,Products!$A$2:$F$61,6,FALSE()),"")</f>
        <v>0</v>
      </c>
      <c r="T1637" t="str">
        <f>IF(COUNTIF(Customers!$A$2:$A$301,C1637)=0,"Missing","OK")</f>
        <v>OK</v>
      </c>
      <c r="U1637" t="str">
        <f t="shared" si="76"/>
        <v>Mumbai</v>
      </c>
      <c r="V1637">
        <f t="shared" si="77"/>
        <v>0</v>
      </c>
    </row>
    <row r="1638" spans="1:22" ht="15" customHeight="1" x14ac:dyDescent="0.35">
      <c r="A1638" s="3" t="s">
        <v>2072</v>
      </c>
      <c r="B1638" s="4">
        <v>45378</v>
      </c>
      <c r="C1638" s="3" t="s">
        <v>89</v>
      </c>
      <c r="D1638" s="3" t="s">
        <v>234</v>
      </c>
      <c r="E1638" s="3" t="s">
        <v>87</v>
      </c>
      <c r="F1638" s="5">
        <v>3</v>
      </c>
      <c r="G1638" s="5">
        <v>2030</v>
      </c>
      <c r="H1638" s="5">
        <v>13.3</v>
      </c>
      <c r="I1638" s="5">
        <v>5280.03</v>
      </c>
      <c r="J1638" s="3" t="s">
        <v>79</v>
      </c>
      <c r="K1638" s="3" t="s">
        <v>27</v>
      </c>
      <c r="L1638" t="str">
        <f>IFERROR(VLOOKUP(D1638,Products!$A$2:$F$61,3,FALSE()),"")</f>
        <v>Home</v>
      </c>
      <c r="M1638" t="str">
        <f>IFERROR(VLOOKUP(E1638,Sales_Reps!$A$2:$C$31,3,FALSE()),"")</f>
        <v>North</v>
      </c>
      <c r="N1638">
        <f>IFERROR(VLOOKUP(D1638,Products!$A$2:$F$61,4,FALSE()),"")</f>
        <v>1143</v>
      </c>
      <c r="O1638" t="str">
        <f>IFERROR(VLOOKUP(C1638,Customers!$A$2:$F$301,5,FALSE()),"")</f>
        <v>Retail</v>
      </c>
      <c r="P1638">
        <f>IFERROR(VLOOKUP(C1638,Customers!$A$2:$F$301,3,FALSE()),"")</f>
        <v>63</v>
      </c>
      <c r="Q1638">
        <f t="shared" si="75"/>
        <v>0.43694581280788175</v>
      </c>
      <c r="R1638">
        <f>IF(AND(COUNTIF($A$2:$A$2047,A1638)&gt;1,COUNTIF($A$2:A1638,A1638)=1),1,0)</f>
        <v>0</v>
      </c>
      <c r="S1638" t="b">
        <f>IFERROR(VLOOKUP(D1638,Products!$A$2:$F$61,6,FALSE()),"")</f>
        <v>1</v>
      </c>
      <c r="T1638" t="str">
        <f>IF(COUNTIF(Customers!$A$2:$A$301,C1638)=0,"Missing","OK")</f>
        <v>OK</v>
      </c>
      <c r="U1638" t="str">
        <f t="shared" si="76"/>
        <v>Pune</v>
      </c>
      <c r="V1638">
        <f t="shared" si="77"/>
        <v>0</v>
      </c>
    </row>
    <row r="1639" spans="1:22" ht="15" customHeight="1" x14ac:dyDescent="0.35">
      <c r="A1639" s="3" t="s">
        <v>2073</v>
      </c>
      <c r="B1639" s="4">
        <v>45393</v>
      </c>
      <c r="C1639" s="3" t="s">
        <v>267</v>
      </c>
      <c r="D1639" s="3" t="s">
        <v>41</v>
      </c>
      <c r="E1639" s="3" t="s">
        <v>154</v>
      </c>
      <c r="F1639" s="5">
        <v>4</v>
      </c>
      <c r="G1639" s="5">
        <v>3660</v>
      </c>
      <c r="H1639" s="5">
        <v>2.2000000000000002</v>
      </c>
      <c r="I1639" s="5">
        <v>14317.92</v>
      </c>
      <c r="J1639" s="3" t="s">
        <v>26</v>
      </c>
      <c r="K1639" s="3" t="s">
        <v>33</v>
      </c>
      <c r="L1639" t="str">
        <f>IFERROR(VLOOKUP(D1639,Products!$A$2:$F$61,3,FALSE()),"")</f>
        <v>Grocery</v>
      </c>
      <c r="M1639" t="str">
        <f>IFERROR(VLOOKUP(E1639,Sales_Reps!$A$2:$C$31,3,FALSE()),"")</f>
        <v>North</v>
      </c>
      <c r="N1639">
        <f>IFERROR(VLOOKUP(D1639,Products!$A$2:$F$61,4,FALSE()),"")</f>
        <v>2214</v>
      </c>
      <c r="O1639" t="str">
        <f>IFERROR(VLOOKUP(C1639,Customers!$A$2:$F$301,5,FALSE()),"")</f>
        <v>Retail</v>
      </c>
      <c r="P1639">
        <f>IFERROR(VLOOKUP(C1639,Customers!$A$2:$F$301,3,FALSE()),"")</f>
        <v>28</v>
      </c>
      <c r="Q1639">
        <f t="shared" si="75"/>
        <v>0.39508196721311473</v>
      </c>
      <c r="R1639">
        <f>IF(AND(COUNTIF($A$2:$A$2047,A1639)&gt;1,COUNTIF($A$2:A1639,A1639)=1),1,0)</f>
        <v>0</v>
      </c>
      <c r="S1639" t="b">
        <f>IFERROR(VLOOKUP(D1639,Products!$A$2:$F$61,6,FALSE()),"")</f>
        <v>0</v>
      </c>
      <c r="T1639" t="str">
        <f>IF(COUNTIF(Customers!$A$2:$A$301,C1639)=0,"Missing","OK")</f>
        <v>OK</v>
      </c>
      <c r="U1639" t="str">
        <f t="shared" si="76"/>
        <v>Chennai</v>
      </c>
      <c r="V1639">
        <f t="shared" si="77"/>
        <v>0</v>
      </c>
    </row>
    <row r="1640" spans="1:22" ht="15" customHeight="1" x14ac:dyDescent="0.35">
      <c r="A1640" s="3" t="s">
        <v>2074</v>
      </c>
      <c r="B1640" s="4">
        <v>45364</v>
      </c>
      <c r="C1640" s="3" t="s">
        <v>153</v>
      </c>
      <c r="D1640" s="3" t="s">
        <v>218</v>
      </c>
      <c r="E1640" s="3" t="s">
        <v>42</v>
      </c>
      <c r="F1640" s="5">
        <v>2</v>
      </c>
      <c r="G1640" s="5">
        <v>2660</v>
      </c>
      <c r="H1640" s="5">
        <v>7.2</v>
      </c>
      <c r="I1640" s="5">
        <v>4936.96</v>
      </c>
      <c r="J1640" s="3" t="s">
        <v>79</v>
      </c>
      <c r="K1640" s="3" t="s">
        <v>56</v>
      </c>
      <c r="L1640" t="str">
        <f>IFERROR(VLOOKUP(D1640,Products!$A$2:$F$61,3,FALSE()),"")</f>
        <v>Electronics</v>
      </c>
      <c r="M1640" t="str">
        <f>IFERROR(VLOOKUP(E1640,Sales_Reps!$A$2:$C$31,3,FALSE()),"")</f>
        <v>North</v>
      </c>
      <c r="N1640">
        <f>IFERROR(VLOOKUP(D1640,Products!$A$2:$F$61,4,FALSE()),"")</f>
        <v>1259</v>
      </c>
      <c r="O1640" t="str">
        <f>IFERROR(VLOOKUP(C1640,Customers!$A$2:$F$301,5,FALSE()),"")</f>
        <v>Retail</v>
      </c>
      <c r="P1640">
        <f>IFERROR(VLOOKUP(C1640,Customers!$A$2:$F$301,3,FALSE()),"")</f>
        <v>42</v>
      </c>
      <c r="Q1640">
        <f t="shared" si="75"/>
        <v>0.52669172932330832</v>
      </c>
      <c r="R1640">
        <f>IF(AND(COUNTIF($A$2:$A$2047,A1640)&gt;1,COUNTIF($A$2:A1640,A1640)=1),1,0)</f>
        <v>0</v>
      </c>
      <c r="S1640" t="b">
        <f>IFERROR(VLOOKUP(D1640,Products!$A$2:$F$61,6,FALSE()),"")</f>
        <v>0</v>
      </c>
      <c r="T1640" t="str">
        <f>IF(COUNTIF(Customers!$A$2:$A$301,C1640)=0,"Missing","OK")</f>
        <v>OK</v>
      </c>
      <c r="U1640" t="str">
        <f t="shared" si="76"/>
        <v>Bengaluru</v>
      </c>
      <c r="V1640">
        <f t="shared" si="77"/>
        <v>0</v>
      </c>
    </row>
    <row r="1641" spans="1:22" ht="15" customHeight="1" x14ac:dyDescent="0.35">
      <c r="A1641" s="3" t="s">
        <v>2075</v>
      </c>
      <c r="B1641" s="4">
        <v>45624</v>
      </c>
      <c r="C1641" s="3" t="s">
        <v>476</v>
      </c>
      <c r="D1641" s="3" t="s">
        <v>123</v>
      </c>
      <c r="E1641" s="3" t="s">
        <v>191</v>
      </c>
      <c r="F1641" s="5">
        <v>2</v>
      </c>
      <c r="G1641" s="5">
        <v>4880</v>
      </c>
      <c r="H1641" s="5">
        <v>23.8</v>
      </c>
      <c r="I1641" s="5">
        <v>7437.12</v>
      </c>
      <c r="J1641" s="3" t="s">
        <v>26</v>
      </c>
      <c r="K1641" s="3" t="s">
        <v>72</v>
      </c>
      <c r="L1641" t="str">
        <f>IFERROR(VLOOKUP(D1641,Products!$A$2:$F$61,3,FALSE()),"")</f>
        <v>Beauty</v>
      </c>
      <c r="M1641" t="str">
        <f>IFERROR(VLOOKUP(E1641,Sales_Reps!$A$2:$C$31,3,FALSE()),"")</f>
        <v>South</v>
      </c>
      <c r="N1641">
        <f>IFERROR(VLOOKUP(D1641,Products!$A$2:$F$61,4,FALSE()),"")</f>
        <v>2768</v>
      </c>
      <c r="O1641" t="str">
        <f>IFERROR(VLOOKUP(C1641,Customers!$A$2:$F$301,5,FALSE()),"")</f>
        <v>SMB</v>
      </c>
      <c r="P1641">
        <f>IFERROR(VLOOKUP(C1641,Customers!$A$2:$F$301,3,FALSE()),"")</f>
        <v>48</v>
      </c>
      <c r="Q1641">
        <f t="shared" si="75"/>
        <v>0.43278688524590164</v>
      </c>
      <c r="R1641">
        <f>IF(AND(COUNTIF($A$2:$A$2047,A1641)&gt;1,COUNTIF($A$2:A1641,A1641)=1),1,0)</f>
        <v>0</v>
      </c>
      <c r="S1641" t="b">
        <f>IFERROR(VLOOKUP(D1641,Products!$A$2:$F$61,6,FALSE()),"")</f>
        <v>1</v>
      </c>
      <c r="T1641" t="str">
        <f>IF(COUNTIF(Customers!$A$2:$A$301,C1641)=0,"Missing","OK")</f>
        <v>OK</v>
      </c>
      <c r="U1641" t="str">
        <f t="shared" si="76"/>
        <v>Hyderabad</v>
      </c>
      <c r="V1641">
        <f t="shared" si="77"/>
        <v>0</v>
      </c>
    </row>
    <row r="1642" spans="1:22" ht="15" customHeight="1" x14ac:dyDescent="0.35">
      <c r="A1642" s="3" t="s">
        <v>2076</v>
      </c>
      <c r="B1642" s="4">
        <v>45411</v>
      </c>
      <c r="C1642" s="3" t="s">
        <v>755</v>
      </c>
      <c r="D1642" s="3" t="s">
        <v>391</v>
      </c>
      <c r="E1642" s="3" t="s">
        <v>212</v>
      </c>
      <c r="F1642" s="5">
        <v>1</v>
      </c>
      <c r="G1642" s="5">
        <v>3450</v>
      </c>
      <c r="H1642" s="5">
        <v>1.7</v>
      </c>
      <c r="I1642" s="5">
        <v>3391.35</v>
      </c>
      <c r="J1642" s="3" t="s">
        <v>26</v>
      </c>
      <c r="K1642" s="3" t="s">
        <v>27</v>
      </c>
      <c r="L1642" t="str">
        <f>IFERROR(VLOOKUP(D1642,Products!$A$2:$F$61,3,FALSE()),"")</f>
        <v>Apparel</v>
      </c>
      <c r="M1642" t="str">
        <f>IFERROR(VLOOKUP(E1642,Sales_Reps!$A$2:$C$31,3,FALSE()),"")</f>
        <v>South</v>
      </c>
      <c r="N1642">
        <f>IFERROR(VLOOKUP(D1642,Products!$A$2:$F$61,4,FALSE()),"")</f>
        <v>1748</v>
      </c>
      <c r="O1642" t="str">
        <f>IFERROR(VLOOKUP(C1642,Customers!$A$2:$F$301,5,FALSE()),"")</f>
        <v>Retail</v>
      </c>
      <c r="P1642">
        <f>IFERROR(VLOOKUP(C1642,Customers!$A$2:$F$301,3,FALSE()),"")</f>
        <v>36</v>
      </c>
      <c r="Q1642">
        <f t="shared" si="75"/>
        <v>0.49333333333333335</v>
      </c>
      <c r="R1642">
        <f>IF(AND(COUNTIF($A$2:$A$2047,A1642)&gt;1,COUNTIF($A$2:A1642,A1642)=1),1,0)</f>
        <v>0</v>
      </c>
      <c r="S1642" t="b">
        <f>IFERROR(VLOOKUP(D1642,Products!$A$2:$F$61,6,FALSE()),"")</f>
        <v>1</v>
      </c>
      <c r="T1642" t="str">
        <f>IF(COUNTIF(Customers!$A$2:$A$301,C1642)=0,"Missing","OK")</f>
        <v>OK</v>
      </c>
      <c r="U1642" t="str">
        <f t="shared" si="76"/>
        <v>Pune</v>
      </c>
      <c r="V1642">
        <f t="shared" si="77"/>
        <v>0</v>
      </c>
    </row>
    <row r="1643" spans="1:22" ht="15" customHeight="1" x14ac:dyDescent="0.35">
      <c r="A1643" s="3" t="s">
        <v>2077</v>
      </c>
      <c r="B1643" s="4">
        <v>45550</v>
      </c>
      <c r="C1643" s="3" t="s">
        <v>329</v>
      </c>
      <c r="D1643" s="3" t="s">
        <v>215</v>
      </c>
      <c r="E1643" s="3" t="s">
        <v>93</v>
      </c>
      <c r="F1643" s="5">
        <v>4</v>
      </c>
      <c r="G1643" s="5">
        <v>3020</v>
      </c>
      <c r="H1643" s="5">
        <v>17.8</v>
      </c>
      <c r="I1643" s="5">
        <v>9929.76</v>
      </c>
      <c r="J1643" s="3" t="s">
        <v>26</v>
      </c>
      <c r="K1643" s="3" t="s">
        <v>27</v>
      </c>
      <c r="L1643" t="str">
        <f>IFERROR(VLOOKUP(D1643,Products!$A$2:$F$61,3,FALSE()),"")</f>
        <v>Beauty</v>
      </c>
      <c r="M1643" t="str">
        <f>IFERROR(VLOOKUP(E1643,Sales_Reps!$A$2:$C$31,3,FALSE()),"")</f>
        <v>East</v>
      </c>
      <c r="N1643">
        <f>IFERROR(VLOOKUP(D1643,Products!$A$2:$F$61,4,FALSE()),"")</f>
        <v>1626</v>
      </c>
      <c r="O1643" t="str">
        <f>IFERROR(VLOOKUP(C1643,Customers!$A$2:$F$301,5,FALSE()),"")</f>
        <v>SMB</v>
      </c>
      <c r="P1643">
        <f>IFERROR(VLOOKUP(C1643,Customers!$A$2:$F$301,3,FALSE()),"")</f>
        <v>54</v>
      </c>
      <c r="Q1643">
        <f t="shared" si="75"/>
        <v>0.46158940397350995</v>
      </c>
      <c r="R1643">
        <f>IF(AND(COUNTIF($A$2:$A$2047,A1643)&gt;1,COUNTIF($A$2:A1643,A1643)=1),1,0)</f>
        <v>0</v>
      </c>
      <c r="S1643" t="b">
        <f>IFERROR(VLOOKUP(D1643,Products!$A$2:$F$61,6,FALSE()),"")</f>
        <v>1</v>
      </c>
      <c r="T1643" t="str">
        <f>IF(COUNTIF(Customers!$A$2:$A$301,C1643)=0,"Missing","OK")</f>
        <v>OK</v>
      </c>
      <c r="U1643" t="str">
        <f t="shared" si="76"/>
        <v>Pune</v>
      </c>
      <c r="V1643">
        <f t="shared" si="77"/>
        <v>0</v>
      </c>
    </row>
    <row r="1644" spans="1:22" ht="15" customHeight="1" x14ac:dyDescent="0.35">
      <c r="A1644" s="3" t="s">
        <v>2078</v>
      </c>
      <c r="B1644" s="4">
        <v>45512</v>
      </c>
      <c r="C1644" s="3" t="s">
        <v>907</v>
      </c>
      <c r="D1644" s="3" t="s">
        <v>454</v>
      </c>
      <c r="E1644" s="3" t="s">
        <v>97</v>
      </c>
      <c r="F1644" s="5">
        <v>6</v>
      </c>
      <c r="G1644" s="5">
        <v>6940</v>
      </c>
      <c r="H1644" s="5">
        <v>8.9</v>
      </c>
      <c r="I1644" s="5">
        <v>37934.04</v>
      </c>
      <c r="J1644" s="3" t="s">
        <v>26</v>
      </c>
      <c r="K1644" s="3" t="s">
        <v>38</v>
      </c>
      <c r="L1644" t="str">
        <f>IFERROR(VLOOKUP(D1644,Products!$A$2:$F$61,3,FALSE()),"")</f>
        <v>Sports</v>
      </c>
      <c r="M1644" t="str">
        <f>IFERROR(VLOOKUP(E1644,Sales_Reps!$A$2:$C$31,3,FALSE()),"")</f>
        <v>East</v>
      </c>
      <c r="N1644">
        <f>IFERROR(VLOOKUP(D1644,Products!$A$2:$F$61,4,FALSE()),"")</f>
        <v>2827</v>
      </c>
      <c r="O1644" t="str">
        <f>IFERROR(VLOOKUP(C1644,Customers!$A$2:$F$301,5,FALSE()),"")</f>
        <v>Retail</v>
      </c>
      <c r="P1644">
        <f>IFERROR(VLOOKUP(C1644,Customers!$A$2:$F$301,3,FALSE()),"")</f>
        <v>47</v>
      </c>
      <c r="Q1644">
        <f t="shared" si="75"/>
        <v>0.5926512968299712</v>
      </c>
      <c r="R1644">
        <f>IF(AND(COUNTIF($A$2:$A$2047,A1644)&gt;1,COUNTIF($A$2:A1644,A1644)=1),1,0)</f>
        <v>0</v>
      </c>
      <c r="S1644" t="b">
        <f>IFERROR(VLOOKUP(D1644,Products!$A$2:$F$61,6,FALSE()),"")</f>
        <v>1</v>
      </c>
      <c r="T1644" t="str">
        <f>IF(COUNTIF(Customers!$A$2:$A$301,C1644)=0,"Missing","OK")</f>
        <v>OK</v>
      </c>
      <c r="U1644" t="str">
        <f t="shared" si="76"/>
        <v>Delhi</v>
      </c>
      <c r="V1644">
        <f t="shared" si="77"/>
        <v>0</v>
      </c>
    </row>
    <row r="1645" spans="1:22" ht="15" customHeight="1" x14ac:dyDescent="0.35">
      <c r="A1645" s="3" t="s">
        <v>2079</v>
      </c>
      <c r="B1645" s="4">
        <v>45523</v>
      </c>
      <c r="C1645" s="3" t="s">
        <v>361</v>
      </c>
      <c r="D1645" s="3" t="s">
        <v>139</v>
      </c>
      <c r="E1645" s="3" t="s">
        <v>93</v>
      </c>
      <c r="F1645" s="5">
        <v>10</v>
      </c>
      <c r="G1645" s="5">
        <v>2760</v>
      </c>
      <c r="H1645" s="5">
        <v>8.9</v>
      </c>
      <c r="I1645" s="5">
        <v>25143.599999999999</v>
      </c>
      <c r="J1645" s="3" t="s">
        <v>26</v>
      </c>
      <c r="K1645" s="3" t="s">
        <v>33</v>
      </c>
      <c r="L1645" t="str">
        <f>IFERROR(VLOOKUP(D1645,Products!$A$2:$F$61,3,FALSE()),"")</f>
        <v>Grocery</v>
      </c>
      <c r="M1645" t="str">
        <f>IFERROR(VLOOKUP(E1645,Sales_Reps!$A$2:$C$31,3,FALSE()),"")</f>
        <v>East</v>
      </c>
      <c r="N1645">
        <f>IFERROR(VLOOKUP(D1645,Products!$A$2:$F$61,4,FALSE()),"")</f>
        <v>1435</v>
      </c>
      <c r="O1645" t="str">
        <f>IFERROR(VLOOKUP(C1645,Customers!$A$2:$F$301,5,FALSE()),"")</f>
        <v>SMB</v>
      </c>
      <c r="P1645">
        <f>IFERROR(VLOOKUP(C1645,Customers!$A$2:$F$301,3,FALSE()),"")</f>
        <v>64</v>
      </c>
      <c r="Q1645">
        <f t="shared" si="75"/>
        <v>0.48007246376811596</v>
      </c>
      <c r="R1645">
        <f>IF(AND(COUNTIF($A$2:$A$2047,A1645)&gt;1,COUNTIF($A$2:A1645,A1645)=1),1,0)</f>
        <v>0</v>
      </c>
      <c r="S1645" t="b">
        <f>IFERROR(VLOOKUP(D1645,Products!$A$2:$F$61,6,FALSE()),"")</f>
        <v>1</v>
      </c>
      <c r="T1645" t="str">
        <f>IF(COUNTIF(Customers!$A$2:$A$301,C1645)=0,"Missing","OK")</f>
        <v>OK</v>
      </c>
      <c r="U1645" t="str">
        <f t="shared" si="76"/>
        <v>Chennai</v>
      </c>
      <c r="V1645">
        <f t="shared" si="77"/>
        <v>0</v>
      </c>
    </row>
    <row r="1646" spans="1:22" ht="15" customHeight="1" x14ac:dyDescent="0.35">
      <c r="A1646" s="3" t="s">
        <v>2080</v>
      </c>
      <c r="B1646" s="4">
        <v>45310</v>
      </c>
      <c r="C1646" s="3" t="s">
        <v>366</v>
      </c>
      <c r="D1646" s="3" t="s">
        <v>319</v>
      </c>
      <c r="E1646" s="3" t="s">
        <v>131</v>
      </c>
      <c r="F1646" s="5">
        <v>8</v>
      </c>
      <c r="G1646" s="5">
        <v>960</v>
      </c>
      <c r="H1646" s="5">
        <v>20.9</v>
      </c>
      <c r="I1646" s="5">
        <v>6074.88</v>
      </c>
      <c r="J1646" s="3" t="s">
        <v>26</v>
      </c>
      <c r="K1646" s="3" t="s">
        <v>27</v>
      </c>
      <c r="L1646" t="str">
        <f>IFERROR(VLOOKUP(D1646,Products!$A$2:$F$61,3,FALSE()),"")</f>
        <v>Beauty</v>
      </c>
      <c r="M1646" t="str">
        <f>IFERROR(VLOOKUP(E1646,Sales_Reps!$A$2:$C$31,3,FALSE()),"")</f>
        <v>East</v>
      </c>
      <c r="N1646">
        <f>IFERROR(VLOOKUP(D1646,Products!$A$2:$F$61,4,FALSE()),"")</f>
        <v>675</v>
      </c>
      <c r="O1646" t="str">
        <f>IFERROR(VLOOKUP(C1646,Customers!$A$2:$F$301,5,FALSE()),"")</f>
        <v>Corporate</v>
      </c>
      <c r="P1646">
        <f>IFERROR(VLOOKUP(C1646,Customers!$A$2:$F$301,3,FALSE()),"")</f>
        <v>48</v>
      </c>
      <c r="Q1646">
        <f t="shared" si="75"/>
        <v>0.296875</v>
      </c>
      <c r="R1646">
        <f>IF(AND(COUNTIF($A$2:$A$2047,A1646)&gt;1,COUNTIF($A$2:A1646,A1646)=1),1,0)</f>
        <v>0</v>
      </c>
      <c r="S1646" t="b">
        <f>IFERROR(VLOOKUP(D1646,Products!$A$2:$F$61,6,FALSE()),"")</f>
        <v>1</v>
      </c>
      <c r="T1646" t="str">
        <f>IF(COUNTIF(Customers!$A$2:$A$301,C1646)=0,"Missing","OK")</f>
        <v>OK</v>
      </c>
      <c r="U1646" t="str">
        <f t="shared" si="76"/>
        <v>Pune</v>
      </c>
      <c r="V1646">
        <f t="shared" si="77"/>
        <v>0</v>
      </c>
    </row>
    <row r="1647" spans="1:22" ht="15" customHeight="1" x14ac:dyDescent="0.35">
      <c r="A1647" s="3" t="s">
        <v>2081</v>
      </c>
      <c r="B1647" s="4">
        <v>45498</v>
      </c>
      <c r="C1647" s="3" t="s">
        <v>774</v>
      </c>
      <c r="D1647" s="3" t="s">
        <v>319</v>
      </c>
      <c r="E1647" s="3" t="s">
        <v>264</v>
      </c>
      <c r="F1647" s="5">
        <v>4</v>
      </c>
      <c r="G1647" s="5">
        <v>960</v>
      </c>
      <c r="H1647" s="5">
        <v>29.1</v>
      </c>
      <c r="I1647" s="5">
        <v>2722.56</v>
      </c>
      <c r="J1647" s="3" t="s">
        <v>26</v>
      </c>
      <c r="K1647" s="3" t="s">
        <v>56</v>
      </c>
      <c r="L1647" t="str">
        <f>IFERROR(VLOOKUP(D1647,Products!$A$2:$F$61,3,FALSE()),"")</f>
        <v>Beauty</v>
      </c>
      <c r="M1647" t="str">
        <f>IFERROR(VLOOKUP(E1647,Sales_Reps!$A$2:$C$31,3,FALSE()),"")</f>
        <v>South</v>
      </c>
      <c r="N1647">
        <f>IFERROR(VLOOKUP(D1647,Products!$A$2:$F$61,4,FALSE()),"")</f>
        <v>675</v>
      </c>
      <c r="O1647" t="str">
        <f>IFERROR(VLOOKUP(C1647,Customers!$A$2:$F$301,5,FALSE()),"")</f>
        <v>Retail</v>
      </c>
      <c r="P1647">
        <f>IFERROR(VLOOKUP(C1647,Customers!$A$2:$F$301,3,FALSE()),"")</f>
        <v>52</v>
      </c>
      <c r="Q1647">
        <f t="shared" si="75"/>
        <v>0.296875</v>
      </c>
      <c r="R1647">
        <f>IF(AND(COUNTIF($A$2:$A$2047,A1647)&gt;1,COUNTIF($A$2:A1647,A1647)=1),1,0)</f>
        <v>0</v>
      </c>
      <c r="S1647" t="b">
        <f>IFERROR(VLOOKUP(D1647,Products!$A$2:$F$61,6,FALSE()),"")</f>
        <v>1</v>
      </c>
      <c r="T1647" t="str">
        <f>IF(COUNTIF(Customers!$A$2:$A$301,C1647)=0,"Missing","OK")</f>
        <v>OK</v>
      </c>
      <c r="U1647" t="str">
        <f t="shared" si="76"/>
        <v>Bengaluru</v>
      </c>
      <c r="V1647">
        <f t="shared" si="77"/>
        <v>0</v>
      </c>
    </row>
    <row r="1648" spans="1:22" ht="15" customHeight="1" x14ac:dyDescent="0.35">
      <c r="A1648" s="3" t="s">
        <v>2082</v>
      </c>
      <c r="B1648" s="4">
        <v>45410</v>
      </c>
      <c r="C1648" s="3" t="s">
        <v>368</v>
      </c>
      <c r="D1648" s="3" t="s">
        <v>66</v>
      </c>
      <c r="E1648" s="3" t="s">
        <v>97</v>
      </c>
      <c r="F1648" s="5">
        <v>1</v>
      </c>
      <c r="G1648" s="5">
        <v>970</v>
      </c>
      <c r="H1648" s="5">
        <v>8.4</v>
      </c>
      <c r="I1648" s="5">
        <v>888.52</v>
      </c>
      <c r="J1648" s="3" t="s">
        <v>79</v>
      </c>
      <c r="K1648" s="3" t="s">
        <v>56</v>
      </c>
      <c r="L1648" t="str">
        <f>IFERROR(VLOOKUP(D1648,Products!$A$2:$F$61,3,FALSE()),"")</f>
        <v>Grocery</v>
      </c>
      <c r="M1648" t="str">
        <f>IFERROR(VLOOKUP(E1648,Sales_Reps!$A$2:$C$31,3,FALSE()),"")</f>
        <v>East</v>
      </c>
      <c r="N1648">
        <f>IFERROR(VLOOKUP(D1648,Products!$A$2:$F$61,4,FALSE()),"")</f>
        <v>434</v>
      </c>
      <c r="O1648" t="str">
        <f>IFERROR(VLOOKUP(C1648,Customers!$A$2:$F$301,5,FALSE()),"")</f>
        <v>Retail</v>
      </c>
      <c r="P1648">
        <f>IFERROR(VLOOKUP(C1648,Customers!$A$2:$F$301,3,FALSE()),"")</f>
        <v>55</v>
      </c>
      <c r="Q1648">
        <f t="shared" si="75"/>
        <v>0.5525773195876289</v>
      </c>
      <c r="R1648">
        <f>IF(AND(COUNTIF($A$2:$A$2047,A1648)&gt;1,COUNTIF($A$2:A1648,A1648)=1),1,0)</f>
        <v>0</v>
      </c>
      <c r="S1648" t="b">
        <f>IFERROR(VLOOKUP(D1648,Products!$A$2:$F$61,6,FALSE()),"")</f>
        <v>1</v>
      </c>
      <c r="T1648" t="str">
        <f>IF(COUNTIF(Customers!$A$2:$A$301,C1648)=0,"Missing","OK")</f>
        <v>OK</v>
      </c>
      <c r="U1648" t="str">
        <f t="shared" si="76"/>
        <v>Bengaluru</v>
      </c>
      <c r="V1648">
        <f t="shared" si="77"/>
        <v>888.52</v>
      </c>
    </row>
    <row r="1649" spans="1:22" ht="15" customHeight="1" x14ac:dyDescent="0.35">
      <c r="A1649" s="3" t="s">
        <v>2083</v>
      </c>
      <c r="B1649" s="4">
        <v>45400</v>
      </c>
      <c r="C1649" s="3" t="s">
        <v>813</v>
      </c>
      <c r="D1649" s="3" t="s">
        <v>180</v>
      </c>
      <c r="E1649" s="3" t="s">
        <v>93</v>
      </c>
      <c r="F1649" s="5">
        <v>5</v>
      </c>
      <c r="G1649" s="5">
        <v>6080</v>
      </c>
      <c r="H1649" s="5">
        <v>17.600000000000001</v>
      </c>
      <c r="I1649" s="5">
        <v>25049.599999999999</v>
      </c>
      <c r="J1649" s="3" t="s">
        <v>26</v>
      </c>
      <c r="K1649" s="3" t="s">
        <v>51</v>
      </c>
      <c r="L1649" t="str">
        <f>IFERROR(VLOOKUP(D1649,Products!$A$2:$F$61,3,FALSE()),"")</f>
        <v>Beauty</v>
      </c>
      <c r="M1649" t="str">
        <f>IFERROR(VLOOKUP(E1649,Sales_Reps!$A$2:$C$31,3,FALSE()),"")</f>
        <v>East</v>
      </c>
      <c r="N1649">
        <f>IFERROR(VLOOKUP(D1649,Products!$A$2:$F$61,4,FALSE()),"")</f>
        <v>2617</v>
      </c>
      <c r="O1649" t="str">
        <f>IFERROR(VLOOKUP(C1649,Customers!$A$2:$F$301,5,FALSE()),"")</f>
        <v>Retail</v>
      </c>
      <c r="P1649">
        <f>IFERROR(VLOOKUP(C1649,Customers!$A$2:$F$301,3,FALSE()),"")</f>
        <v>57</v>
      </c>
      <c r="Q1649">
        <f t="shared" si="75"/>
        <v>0.56957236842105263</v>
      </c>
      <c r="R1649">
        <f>IF(AND(COUNTIF($A$2:$A$2047,A1649)&gt;1,COUNTIF($A$2:A1649,A1649)=1),1,0)</f>
        <v>0</v>
      </c>
      <c r="S1649" t="b">
        <f>IFERROR(VLOOKUP(D1649,Products!$A$2:$F$61,6,FALSE()),"")</f>
        <v>1</v>
      </c>
      <c r="T1649" t="str">
        <f>IF(COUNTIF(Customers!$A$2:$A$301,C1649)=0,"Missing","OK")</f>
        <v>OK</v>
      </c>
      <c r="U1649" t="str">
        <f t="shared" si="76"/>
        <v>Mumbai</v>
      </c>
      <c r="V1649">
        <f t="shared" si="77"/>
        <v>0</v>
      </c>
    </row>
    <row r="1650" spans="1:22" ht="15" customHeight="1" x14ac:dyDescent="0.35">
      <c r="A1650" s="3" t="s">
        <v>2084</v>
      </c>
      <c r="B1650" s="4">
        <v>45525</v>
      </c>
      <c r="C1650" s="3" t="s">
        <v>907</v>
      </c>
      <c r="D1650" s="3" t="s">
        <v>41</v>
      </c>
      <c r="E1650" s="3" t="s">
        <v>191</v>
      </c>
      <c r="F1650" s="5">
        <v>4</v>
      </c>
      <c r="G1650" s="5">
        <v>3660</v>
      </c>
      <c r="H1650" s="5">
        <v>21.8</v>
      </c>
      <c r="I1650" s="5">
        <v>11448.48</v>
      </c>
      <c r="J1650" s="3" t="s">
        <v>32</v>
      </c>
      <c r="K1650" s="3" t="s">
        <v>38</v>
      </c>
      <c r="L1650" t="str">
        <f>IFERROR(VLOOKUP(D1650,Products!$A$2:$F$61,3,FALSE()),"")</f>
        <v>Grocery</v>
      </c>
      <c r="M1650" t="str">
        <f>IFERROR(VLOOKUP(E1650,Sales_Reps!$A$2:$C$31,3,FALSE()),"")</f>
        <v>South</v>
      </c>
      <c r="N1650">
        <f>IFERROR(VLOOKUP(D1650,Products!$A$2:$F$61,4,FALSE()),"")</f>
        <v>2214</v>
      </c>
      <c r="O1650" t="str">
        <f>IFERROR(VLOOKUP(C1650,Customers!$A$2:$F$301,5,FALSE()),"")</f>
        <v>Retail</v>
      </c>
      <c r="P1650">
        <f>IFERROR(VLOOKUP(C1650,Customers!$A$2:$F$301,3,FALSE()),"")</f>
        <v>47</v>
      </c>
      <c r="Q1650">
        <f t="shared" si="75"/>
        <v>0.39508196721311473</v>
      </c>
      <c r="R1650">
        <f>IF(AND(COUNTIF($A$2:$A$2047,A1650)&gt;1,COUNTIF($A$2:A1650,A1650)=1),1,0)</f>
        <v>0</v>
      </c>
      <c r="S1650" t="b">
        <f>IFERROR(VLOOKUP(D1650,Products!$A$2:$F$61,6,FALSE()),"")</f>
        <v>0</v>
      </c>
      <c r="T1650" t="str">
        <f>IF(COUNTIF(Customers!$A$2:$A$301,C1650)=0,"Missing","OK")</f>
        <v>OK</v>
      </c>
      <c r="U1650" t="str">
        <f t="shared" si="76"/>
        <v>Delhi</v>
      </c>
      <c r="V1650">
        <f t="shared" si="77"/>
        <v>0</v>
      </c>
    </row>
    <row r="1651" spans="1:22" ht="15" customHeight="1" x14ac:dyDescent="0.35">
      <c r="A1651" s="3" t="s">
        <v>2085</v>
      </c>
      <c r="B1651" s="4">
        <v>45462</v>
      </c>
      <c r="C1651" s="3" t="s">
        <v>257</v>
      </c>
      <c r="D1651" s="3" t="s">
        <v>165</v>
      </c>
      <c r="E1651" s="3" t="s">
        <v>46</v>
      </c>
      <c r="F1651" s="5">
        <v>6</v>
      </c>
      <c r="G1651" s="5">
        <v>3730</v>
      </c>
      <c r="H1651" s="5">
        <v>13.3</v>
      </c>
      <c r="I1651" s="5">
        <v>19403.46</v>
      </c>
      <c r="J1651" s="3" t="s">
        <v>79</v>
      </c>
      <c r="K1651" s="3" t="s">
        <v>33</v>
      </c>
      <c r="L1651" t="str">
        <f>IFERROR(VLOOKUP(D1651,Products!$A$2:$F$61,3,FALSE()),"")</f>
        <v>Home</v>
      </c>
      <c r="M1651" t="str">
        <f>IFERROR(VLOOKUP(E1651,Sales_Reps!$A$2:$C$31,3,FALSE()),"")</f>
        <v>North</v>
      </c>
      <c r="N1651">
        <f>IFERROR(VLOOKUP(D1651,Products!$A$2:$F$61,4,FALSE()),"")</f>
        <v>2135</v>
      </c>
      <c r="O1651" t="str">
        <f>IFERROR(VLOOKUP(C1651,Customers!$A$2:$F$301,5,FALSE()),"")</f>
        <v>SMB</v>
      </c>
      <c r="P1651">
        <f>IFERROR(VLOOKUP(C1651,Customers!$A$2:$F$301,3,FALSE()),"")</f>
        <v>57</v>
      </c>
      <c r="Q1651">
        <f t="shared" si="75"/>
        <v>0.42761394101876676</v>
      </c>
      <c r="R1651">
        <f>IF(AND(COUNTIF($A$2:$A$2047,A1651)&gt;1,COUNTIF($A$2:A1651,A1651)=1),1,0)</f>
        <v>0</v>
      </c>
      <c r="S1651" t="b">
        <f>IFERROR(VLOOKUP(D1651,Products!$A$2:$F$61,6,FALSE()),"")</f>
        <v>1</v>
      </c>
      <c r="T1651" t="str">
        <f>IF(COUNTIF(Customers!$A$2:$A$301,C1651)=0,"Missing","OK")</f>
        <v>OK</v>
      </c>
      <c r="U1651" t="str">
        <f t="shared" si="76"/>
        <v>Chennai</v>
      </c>
      <c r="V1651">
        <f t="shared" si="77"/>
        <v>0</v>
      </c>
    </row>
    <row r="1652" spans="1:22" ht="15" customHeight="1" x14ac:dyDescent="0.35">
      <c r="A1652" s="3" t="s">
        <v>2086</v>
      </c>
      <c r="B1652" s="4">
        <v>45625</v>
      </c>
      <c r="C1652" s="3" t="s">
        <v>197</v>
      </c>
      <c r="D1652" s="3" t="s">
        <v>187</v>
      </c>
      <c r="E1652" s="3" t="s">
        <v>168</v>
      </c>
      <c r="F1652" s="5">
        <v>8</v>
      </c>
      <c r="G1652" s="5">
        <v>3870</v>
      </c>
      <c r="H1652" s="5">
        <v>21.2</v>
      </c>
      <c r="I1652" s="5">
        <v>24396.48</v>
      </c>
      <c r="J1652" s="3" t="s">
        <v>32</v>
      </c>
      <c r="K1652" s="3" t="s">
        <v>38</v>
      </c>
      <c r="L1652" t="str">
        <f>IFERROR(VLOOKUP(D1652,Products!$A$2:$F$61,3,FALSE()),"")</f>
        <v>Electronics</v>
      </c>
      <c r="M1652" t="str">
        <f>IFERROR(VLOOKUP(E1652,Sales_Reps!$A$2:$C$31,3,FALSE()),"")</f>
        <v>West</v>
      </c>
      <c r="N1652">
        <f>IFERROR(VLOOKUP(D1652,Products!$A$2:$F$61,4,FALSE()),"")</f>
        <v>1559</v>
      </c>
      <c r="O1652" t="str">
        <f>IFERROR(VLOOKUP(C1652,Customers!$A$2:$F$301,5,FALSE()),"")</f>
        <v>SMB</v>
      </c>
      <c r="P1652">
        <f>IFERROR(VLOOKUP(C1652,Customers!$A$2:$F$301,3,FALSE()),"")</f>
        <v>55</v>
      </c>
      <c r="Q1652">
        <f t="shared" si="75"/>
        <v>0.59715762273901807</v>
      </c>
      <c r="R1652">
        <f>IF(AND(COUNTIF($A$2:$A$2047,A1652)&gt;1,COUNTIF($A$2:A1652,A1652)=1),1,0)</f>
        <v>0</v>
      </c>
      <c r="S1652" t="b">
        <f>IFERROR(VLOOKUP(D1652,Products!$A$2:$F$61,6,FALSE()),"")</f>
        <v>1</v>
      </c>
      <c r="T1652" t="str">
        <f>IF(COUNTIF(Customers!$A$2:$A$301,C1652)=0,"Missing","OK")</f>
        <v>OK</v>
      </c>
      <c r="U1652" t="str">
        <f t="shared" si="76"/>
        <v>Delhi</v>
      </c>
      <c r="V1652">
        <f t="shared" si="77"/>
        <v>0</v>
      </c>
    </row>
    <row r="1653" spans="1:22" ht="15" customHeight="1" x14ac:dyDescent="0.35">
      <c r="A1653" s="3" t="s">
        <v>2087</v>
      </c>
      <c r="B1653" s="4">
        <v>45390</v>
      </c>
      <c r="C1653" s="3" t="s">
        <v>355</v>
      </c>
      <c r="D1653" s="3" t="s">
        <v>139</v>
      </c>
      <c r="E1653" s="3" t="s">
        <v>285</v>
      </c>
      <c r="F1653" s="5">
        <v>4</v>
      </c>
      <c r="G1653" s="5">
        <v>2760</v>
      </c>
      <c r="H1653" s="5">
        <v>14</v>
      </c>
      <c r="I1653" s="5">
        <v>9494.4</v>
      </c>
      <c r="J1653" s="3" t="s">
        <v>26</v>
      </c>
      <c r="K1653" s="3" t="s">
        <v>56</v>
      </c>
      <c r="L1653" t="str">
        <f>IFERROR(VLOOKUP(D1653,Products!$A$2:$F$61,3,FALSE()),"")</f>
        <v>Grocery</v>
      </c>
      <c r="M1653" t="str">
        <f>IFERROR(VLOOKUP(E1653,Sales_Reps!$A$2:$C$31,3,FALSE()),"")</f>
        <v>South</v>
      </c>
      <c r="N1653">
        <f>IFERROR(VLOOKUP(D1653,Products!$A$2:$F$61,4,FALSE()),"")</f>
        <v>1435</v>
      </c>
      <c r="O1653" t="str">
        <f>IFERROR(VLOOKUP(C1653,Customers!$A$2:$F$301,5,FALSE()),"")</f>
        <v>Corporate</v>
      </c>
      <c r="P1653">
        <f>IFERROR(VLOOKUP(C1653,Customers!$A$2:$F$301,3,FALSE()),"")</f>
        <v>42</v>
      </c>
      <c r="Q1653">
        <f t="shared" si="75"/>
        <v>0.48007246376811596</v>
      </c>
      <c r="R1653">
        <f>IF(AND(COUNTIF($A$2:$A$2047,A1653)&gt;1,COUNTIF($A$2:A1653,A1653)=1),1,0)</f>
        <v>0</v>
      </c>
      <c r="S1653" t="b">
        <f>IFERROR(VLOOKUP(D1653,Products!$A$2:$F$61,6,FALSE()),"")</f>
        <v>1</v>
      </c>
      <c r="T1653" t="str">
        <f>IF(COUNTIF(Customers!$A$2:$A$301,C1653)=0,"Missing","OK")</f>
        <v>OK</v>
      </c>
      <c r="U1653" t="str">
        <f t="shared" si="76"/>
        <v>Bengaluru</v>
      </c>
      <c r="V1653">
        <f t="shared" si="77"/>
        <v>9494.4</v>
      </c>
    </row>
    <row r="1654" spans="1:22" ht="15" customHeight="1" x14ac:dyDescent="0.35">
      <c r="A1654" s="3" t="s">
        <v>2088</v>
      </c>
      <c r="B1654" s="4">
        <v>45597</v>
      </c>
      <c r="C1654" s="3" t="s">
        <v>147</v>
      </c>
      <c r="D1654" s="3" t="s">
        <v>306</v>
      </c>
      <c r="E1654" s="3" t="s">
        <v>131</v>
      </c>
      <c r="F1654" s="5">
        <v>5</v>
      </c>
      <c r="G1654" s="5">
        <v>2380</v>
      </c>
      <c r="H1654" s="5">
        <v>16.399999999999999</v>
      </c>
      <c r="I1654" s="5">
        <v>9948.4</v>
      </c>
      <c r="J1654" s="3" t="s">
        <v>26</v>
      </c>
      <c r="K1654" s="3" t="s">
        <v>72</v>
      </c>
      <c r="L1654" t="str">
        <f>IFERROR(VLOOKUP(D1654,Products!$A$2:$F$61,3,FALSE()),"")</f>
        <v>Grocery</v>
      </c>
      <c r="M1654" t="str">
        <f>IFERROR(VLOOKUP(E1654,Sales_Reps!$A$2:$C$31,3,FALSE()),"")</f>
        <v>East</v>
      </c>
      <c r="N1654">
        <f>IFERROR(VLOOKUP(D1654,Products!$A$2:$F$61,4,FALSE()),"")</f>
        <v>1182</v>
      </c>
      <c r="O1654" t="str">
        <f>IFERROR(VLOOKUP(C1654,Customers!$A$2:$F$301,5,FALSE()),"")</f>
        <v>Retail</v>
      </c>
      <c r="P1654">
        <f>IFERROR(VLOOKUP(C1654,Customers!$A$2:$F$301,3,FALSE()),"")</f>
        <v>26</v>
      </c>
      <c r="Q1654">
        <f t="shared" si="75"/>
        <v>0.50336134453781511</v>
      </c>
      <c r="R1654">
        <f>IF(AND(COUNTIF($A$2:$A$2047,A1654)&gt;1,COUNTIF($A$2:A1654,A1654)=1),1,0)</f>
        <v>0</v>
      </c>
      <c r="S1654" t="b">
        <f>IFERROR(VLOOKUP(D1654,Products!$A$2:$F$61,6,FALSE()),"")</f>
        <v>1</v>
      </c>
      <c r="T1654" t="str">
        <f>IF(COUNTIF(Customers!$A$2:$A$301,C1654)=0,"Missing","OK")</f>
        <v>OK</v>
      </c>
      <c r="U1654" t="str">
        <f t="shared" si="76"/>
        <v>Hyderabad</v>
      </c>
      <c r="V1654">
        <f t="shared" si="77"/>
        <v>0</v>
      </c>
    </row>
    <row r="1655" spans="1:22" ht="15" customHeight="1" x14ac:dyDescent="0.35">
      <c r="A1655" s="3" t="s">
        <v>2089</v>
      </c>
      <c r="B1655" s="4">
        <v>45307</v>
      </c>
      <c r="C1655" s="3" t="s">
        <v>2090</v>
      </c>
      <c r="D1655" s="3" t="s">
        <v>180</v>
      </c>
      <c r="E1655" s="3" t="s">
        <v>127</v>
      </c>
      <c r="F1655" s="5">
        <v>2</v>
      </c>
      <c r="G1655" s="5">
        <v>6080</v>
      </c>
      <c r="H1655" s="5">
        <v>20.100000000000001</v>
      </c>
      <c r="I1655" s="5">
        <v>9715.84</v>
      </c>
      <c r="J1655" s="3" t="s">
        <v>79</v>
      </c>
      <c r="K1655" s="3" t="s">
        <v>51</v>
      </c>
      <c r="L1655" t="str">
        <f>IFERROR(VLOOKUP(D1655,Products!$A$2:$F$61,3,FALSE()),"")</f>
        <v>Beauty</v>
      </c>
      <c r="M1655" t="str">
        <f>IFERROR(VLOOKUP(E1655,Sales_Reps!$A$2:$C$31,3,FALSE()),"")</f>
        <v>South</v>
      </c>
      <c r="N1655">
        <f>IFERROR(VLOOKUP(D1655,Products!$A$2:$F$61,4,FALSE()),"")</f>
        <v>2617</v>
      </c>
      <c r="O1655" t="str">
        <f>IFERROR(VLOOKUP(C1655,Customers!$A$2:$F$301,5,FALSE()),"")</f>
        <v/>
      </c>
      <c r="P1655" t="str">
        <f>IFERROR(VLOOKUP(C1655,Customers!$A$2:$F$301,3,FALSE()),"")</f>
        <v/>
      </c>
      <c r="Q1655">
        <f t="shared" si="75"/>
        <v>0.56957236842105263</v>
      </c>
      <c r="R1655">
        <f>IF(AND(COUNTIF($A$2:$A$2047,A1655)&gt;1,COUNTIF($A$2:A1655,A1655)=1),1,0)</f>
        <v>0</v>
      </c>
      <c r="S1655" t="b">
        <f>IFERROR(VLOOKUP(D1655,Products!$A$2:$F$61,6,FALSE()),"")</f>
        <v>1</v>
      </c>
      <c r="T1655" t="str">
        <f>IF(COUNTIF(Customers!$A$2:$A$301,C1655)=0,"Missing","OK")</f>
        <v>Missing</v>
      </c>
      <c r="U1655" t="str">
        <f t="shared" si="76"/>
        <v>Mumbai</v>
      </c>
      <c r="V1655">
        <f t="shared" si="77"/>
        <v>0</v>
      </c>
    </row>
    <row r="1656" spans="1:22" ht="15" customHeight="1" x14ac:dyDescent="0.35">
      <c r="A1656" s="3" t="s">
        <v>2091</v>
      </c>
      <c r="B1656" s="4">
        <v>45568</v>
      </c>
      <c r="C1656" s="3" t="s">
        <v>478</v>
      </c>
      <c r="D1656" s="3" t="s">
        <v>231</v>
      </c>
      <c r="E1656" s="3" t="s">
        <v>285</v>
      </c>
      <c r="F1656" s="5">
        <v>2</v>
      </c>
      <c r="G1656" s="5">
        <v>620</v>
      </c>
      <c r="H1656" s="5">
        <v>4.3</v>
      </c>
      <c r="I1656" s="5">
        <v>1186.68</v>
      </c>
      <c r="J1656" s="3" t="s">
        <v>26</v>
      </c>
      <c r="K1656" s="3" t="s">
        <v>72</v>
      </c>
      <c r="L1656" t="str">
        <f>IFERROR(VLOOKUP(D1656,Products!$A$2:$F$61,3,FALSE()),"")</f>
        <v>Apparel</v>
      </c>
      <c r="M1656" t="str">
        <f>IFERROR(VLOOKUP(E1656,Sales_Reps!$A$2:$C$31,3,FALSE()),"")</f>
        <v>South</v>
      </c>
      <c r="N1656">
        <f>IFERROR(VLOOKUP(D1656,Products!$A$2:$F$61,4,FALSE()),"")</f>
        <v>396</v>
      </c>
      <c r="O1656" t="str">
        <f>IFERROR(VLOOKUP(C1656,Customers!$A$2:$F$301,5,FALSE()),"")</f>
        <v>Retail</v>
      </c>
      <c r="P1656">
        <f>IFERROR(VLOOKUP(C1656,Customers!$A$2:$F$301,3,FALSE()),"")</f>
        <v>38</v>
      </c>
      <c r="Q1656">
        <f t="shared" si="75"/>
        <v>0.36129032258064514</v>
      </c>
      <c r="R1656">
        <f>IF(AND(COUNTIF($A$2:$A$2047,A1656)&gt;1,COUNTIF($A$2:A1656,A1656)=1),1,0)</f>
        <v>0</v>
      </c>
      <c r="S1656" t="b">
        <f>IFERROR(VLOOKUP(D1656,Products!$A$2:$F$61,6,FALSE()),"")</f>
        <v>1</v>
      </c>
      <c r="T1656" t="str">
        <f>IF(COUNTIF(Customers!$A$2:$A$301,C1656)=0,"Missing","OK")</f>
        <v>OK</v>
      </c>
      <c r="U1656" t="str">
        <f t="shared" si="76"/>
        <v>Hyderabad</v>
      </c>
      <c r="V1656">
        <f t="shared" si="77"/>
        <v>0</v>
      </c>
    </row>
    <row r="1657" spans="1:22" ht="15" customHeight="1" x14ac:dyDescent="0.35">
      <c r="A1657" s="3" t="s">
        <v>2092</v>
      </c>
      <c r="B1657" s="4">
        <v>45654</v>
      </c>
      <c r="C1657" s="3" t="s">
        <v>411</v>
      </c>
      <c r="D1657" s="3" t="s">
        <v>187</v>
      </c>
      <c r="E1657" s="3" t="s">
        <v>264</v>
      </c>
      <c r="F1657" s="5">
        <v>7</v>
      </c>
      <c r="G1657" s="5">
        <v>3870</v>
      </c>
      <c r="H1657" s="5">
        <v>5.9</v>
      </c>
      <c r="I1657" s="5">
        <v>25491.69</v>
      </c>
      <c r="J1657" s="3" t="s">
        <v>26</v>
      </c>
      <c r="K1657" s="3" t="s">
        <v>33</v>
      </c>
      <c r="L1657" t="str">
        <f>IFERROR(VLOOKUP(D1657,Products!$A$2:$F$61,3,FALSE()),"")</f>
        <v>Electronics</v>
      </c>
      <c r="M1657" t="str">
        <f>IFERROR(VLOOKUP(E1657,Sales_Reps!$A$2:$C$31,3,FALSE()),"")</f>
        <v>South</v>
      </c>
      <c r="N1657">
        <f>IFERROR(VLOOKUP(D1657,Products!$A$2:$F$61,4,FALSE()),"")</f>
        <v>1559</v>
      </c>
      <c r="O1657" t="str">
        <f>IFERROR(VLOOKUP(C1657,Customers!$A$2:$F$301,5,FALSE()),"")</f>
        <v>Corporate</v>
      </c>
      <c r="P1657">
        <f>IFERROR(VLOOKUP(C1657,Customers!$A$2:$F$301,3,FALSE()),"")</f>
        <v>35</v>
      </c>
      <c r="Q1657">
        <f t="shared" si="75"/>
        <v>0.59715762273901807</v>
      </c>
      <c r="R1657">
        <f>IF(AND(COUNTIF($A$2:$A$2047,A1657)&gt;1,COUNTIF($A$2:A1657,A1657)=1),1,0)</f>
        <v>0</v>
      </c>
      <c r="S1657" t="b">
        <f>IFERROR(VLOOKUP(D1657,Products!$A$2:$F$61,6,FALSE()),"")</f>
        <v>1</v>
      </c>
      <c r="T1657" t="str">
        <f>IF(COUNTIF(Customers!$A$2:$A$301,C1657)=0,"Missing","OK")</f>
        <v>OK</v>
      </c>
      <c r="U1657" t="str">
        <f t="shared" si="76"/>
        <v>Chennai</v>
      </c>
      <c r="V1657">
        <f t="shared" si="77"/>
        <v>0</v>
      </c>
    </row>
    <row r="1658" spans="1:22" ht="15" customHeight="1" x14ac:dyDescent="0.35">
      <c r="A1658" s="3" t="s">
        <v>2093</v>
      </c>
      <c r="B1658" s="4">
        <v>45412</v>
      </c>
      <c r="C1658" s="3" t="s">
        <v>945</v>
      </c>
      <c r="D1658" s="3" t="s">
        <v>126</v>
      </c>
      <c r="E1658" s="3" t="s">
        <v>131</v>
      </c>
      <c r="F1658" s="5">
        <v>8</v>
      </c>
      <c r="G1658" s="5">
        <v>3570</v>
      </c>
      <c r="H1658" s="5">
        <v>24.6</v>
      </c>
      <c r="I1658" s="5">
        <v>21534.240000000002</v>
      </c>
      <c r="J1658" s="3" t="s">
        <v>26</v>
      </c>
      <c r="K1658" s="3" t="s">
        <v>56</v>
      </c>
      <c r="L1658" t="str">
        <f>IFERROR(VLOOKUP(D1658,Products!$A$2:$F$61,3,FALSE()),"")</f>
        <v>Electronics</v>
      </c>
      <c r="M1658" t="str">
        <f>IFERROR(VLOOKUP(E1658,Sales_Reps!$A$2:$C$31,3,FALSE()),"")</f>
        <v>East</v>
      </c>
      <c r="N1658">
        <f>IFERROR(VLOOKUP(D1658,Products!$A$2:$F$61,4,FALSE()),"")</f>
        <v>1665</v>
      </c>
      <c r="O1658" t="str">
        <f>IFERROR(VLOOKUP(C1658,Customers!$A$2:$F$301,5,FALSE()),"")</f>
        <v>SMB</v>
      </c>
      <c r="P1658">
        <f>IFERROR(VLOOKUP(C1658,Customers!$A$2:$F$301,3,FALSE()),"")</f>
        <v>44</v>
      </c>
      <c r="Q1658">
        <f t="shared" si="75"/>
        <v>0.53361344537815125</v>
      </c>
      <c r="R1658">
        <f>IF(AND(COUNTIF($A$2:$A$2047,A1658)&gt;1,COUNTIF($A$2:A1658,A1658)=1),1,0)</f>
        <v>0</v>
      </c>
      <c r="S1658" t="b">
        <f>IFERROR(VLOOKUP(D1658,Products!$A$2:$F$61,6,FALSE()),"")</f>
        <v>1</v>
      </c>
      <c r="T1658" t="str">
        <f>IF(COUNTIF(Customers!$A$2:$A$301,C1658)=0,"Missing","OK")</f>
        <v>OK</v>
      </c>
      <c r="U1658" t="str">
        <f t="shared" si="76"/>
        <v>Bengaluru</v>
      </c>
      <c r="V1658">
        <f t="shared" si="77"/>
        <v>0</v>
      </c>
    </row>
    <row r="1659" spans="1:22" ht="15" customHeight="1" x14ac:dyDescent="0.35">
      <c r="A1659" s="3" t="s">
        <v>2094</v>
      </c>
      <c r="B1659" s="4">
        <v>45653</v>
      </c>
      <c r="C1659" s="3" t="s">
        <v>186</v>
      </c>
      <c r="D1659" s="3" t="s">
        <v>203</v>
      </c>
      <c r="E1659" s="3" t="s">
        <v>71</v>
      </c>
      <c r="F1659" s="5">
        <v>1</v>
      </c>
      <c r="G1659" s="5">
        <v>4070</v>
      </c>
      <c r="H1659" s="5">
        <v>29.1</v>
      </c>
      <c r="I1659" s="5">
        <v>2885.63</v>
      </c>
      <c r="J1659" s="3" t="s">
        <v>32</v>
      </c>
      <c r="K1659" s="3" t="s">
        <v>56</v>
      </c>
      <c r="L1659" t="str">
        <f>IFERROR(VLOOKUP(D1659,Products!$A$2:$F$61,3,FALSE()),"")</f>
        <v>Grocery</v>
      </c>
      <c r="M1659" t="str">
        <f>IFERROR(VLOOKUP(E1659,Sales_Reps!$A$2:$C$31,3,FALSE()),"")</f>
        <v>South</v>
      </c>
      <c r="N1659">
        <f>IFERROR(VLOOKUP(D1659,Products!$A$2:$F$61,4,FALSE()),"")</f>
        <v>2027</v>
      </c>
      <c r="O1659" t="str">
        <f>IFERROR(VLOOKUP(C1659,Customers!$A$2:$F$301,5,FALSE()),"")</f>
        <v>Retail</v>
      </c>
      <c r="P1659">
        <f>IFERROR(VLOOKUP(C1659,Customers!$A$2:$F$301,3,FALSE()),"")</f>
        <v>34</v>
      </c>
      <c r="Q1659">
        <f t="shared" si="75"/>
        <v>0.50196560196560192</v>
      </c>
      <c r="R1659">
        <f>IF(AND(COUNTIF($A$2:$A$2047,A1659)&gt;1,COUNTIF($A$2:A1659,A1659)=1),1,0)</f>
        <v>0</v>
      </c>
      <c r="S1659" t="b">
        <f>IFERROR(VLOOKUP(D1659,Products!$A$2:$F$61,6,FALSE()),"")</f>
        <v>1</v>
      </c>
      <c r="T1659" t="str">
        <f>IF(COUNTIF(Customers!$A$2:$A$301,C1659)=0,"Missing","OK")</f>
        <v>OK</v>
      </c>
      <c r="U1659" t="str">
        <f t="shared" si="76"/>
        <v>Bengaluru</v>
      </c>
      <c r="V1659">
        <f t="shared" si="77"/>
        <v>2885.63</v>
      </c>
    </row>
    <row r="1660" spans="1:22" ht="15" customHeight="1" x14ac:dyDescent="0.35">
      <c r="A1660" s="3" t="s">
        <v>2095</v>
      </c>
      <c r="B1660" s="4">
        <v>45568</v>
      </c>
      <c r="C1660" s="3" t="s">
        <v>449</v>
      </c>
      <c r="D1660" s="3" t="s">
        <v>30</v>
      </c>
      <c r="E1660" s="3" t="s">
        <v>177</v>
      </c>
      <c r="F1660" s="5">
        <v>1</v>
      </c>
      <c r="G1660" s="5">
        <v>820</v>
      </c>
      <c r="H1660" s="5">
        <v>17.899999999999999</v>
      </c>
      <c r="I1660" s="5">
        <v>673.22</v>
      </c>
      <c r="J1660" s="3" t="s">
        <v>26</v>
      </c>
      <c r="K1660" s="3" t="s">
        <v>56</v>
      </c>
      <c r="L1660" t="str">
        <f>IFERROR(VLOOKUP(D1660,Products!$A$2:$F$61,3,FALSE()),"")</f>
        <v>Apparel</v>
      </c>
      <c r="M1660" t="str">
        <f>IFERROR(VLOOKUP(E1660,Sales_Reps!$A$2:$C$31,3,FALSE()),"")</f>
        <v>East</v>
      </c>
      <c r="N1660">
        <f>IFERROR(VLOOKUP(D1660,Products!$A$2:$F$61,4,FALSE()),"")</f>
        <v>391</v>
      </c>
      <c r="O1660" t="str">
        <f>IFERROR(VLOOKUP(C1660,Customers!$A$2:$F$301,5,FALSE()),"")</f>
        <v>SMB</v>
      </c>
      <c r="P1660">
        <f>IFERROR(VLOOKUP(C1660,Customers!$A$2:$F$301,3,FALSE()),"")</f>
        <v>26</v>
      </c>
      <c r="Q1660">
        <f t="shared" si="75"/>
        <v>0.52317073170731709</v>
      </c>
      <c r="R1660">
        <f>IF(AND(COUNTIF($A$2:$A$2047,A1660)&gt;1,COUNTIF($A$2:A1660,A1660)=1),1,0)</f>
        <v>0</v>
      </c>
      <c r="S1660" t="b">
        <f>IFERROR(VLOOKUP(D1660,Products!$A$2:$F$61,6,FALSE()),"")</f>
        <v>1</v>
      </c>
      <c r="T1660" t="str">
        <f>IF(COUNTIF(Customers!$A$2:$A$301,C1660)=0,"Missing","OK")</f>
        <v>OK</v>
      </c>
      <c r="U1660" t="str">
        <f t="shared" si="76"/>
        <v>Bengaluru</v>
      </c>
      <c r="V1660">
        <f t="shared" si="77"/>
        <v>0</v>
      </c>
    </row>
    <row r="1661" spans="1:22" ht="15" customHeight="1" x14ac:dyDescent="0.35">
      <c r="A1661" s="3" t="s">
        <v>2096</v>
      </c>
      <c r="B1661" s="4">
        <v>45643</v>
      </c>
      <c r="C1661" s="3" t="s">
        <v>238</v>
      </c>
      <c r="D1661" s="3" t="s">
        <v>215</v>
      </c>
      <c r="E1661" s="3" t="s">
        <v>168</v>
      </c>
      <c r="F1661" s="5">
        <v>5</v>
      </c>
      <c r="G1661" s="5">
        <v>3020</v>
      </c>
      <c r="H1661" s="5">
        <v>26.2</v>
      </c>
      <c r="I1661" s="5">
        <v>11143.8</v>
      </c>
      <c r="J1661" s="3" t="s">
        <v>26</v>
      </c>
      <c r="K1661" s="3" t="s">
        <v>72</v>
      </c>
      <c r="L1661" t="str">
        <f>IFERROR(VLOOKUP(D1661,Products!$A$2:$F$61,3,FALSE()),"")</f>
        <v>Beauty</v>
      </c>
      <c r="M1661" t="str">
        <f>IFERROR(VLOOKUP(E1661,Sales_Reps!$A$2:$C$31,3,FALSE()),"")</f>
        <v>West</v>
      </c>
      <c r="N1661">
        <f>IFERROR(VLOOKUP(D1661,Products!$A$2:$F$61,4,FALSE()),"")</f>
        <v>1626</v>
      </c>
      <c r="O1661" t="str">
        <f>IFERROR(VLOOKUP(C1661,Customers!$A$2:$F$301,5,FALSE()),"")</f>
        <v>Retail</v>
      </c>
      <c r="P1661">
        <f>IFERROR(VLOOKUP(C1661,Customers!$A$2:$F$301,3,FALSE()),"")</f>
        <v>29</v>
      </c>
      <c r="Q1661">
        <f t="shared" si="75"/>
        <v>0.46158940397350995</v>
      </c>
      <c r="R1661">
        <f>IF(AND(COUNTIF($A$2:$A$2047,A1661)&gt;1,COUNTIF($A$2:A1661,A1661)=1),1,0)</f>
        <v>0</v>
      </c>
      <c r="S1661" t="b">
        <f>IFERROR(VLOOKUP(D1661,Products!$A$2:$F$61,6,FALSE()),"")</f>
        <v>1</v>
      </c>
      <c r="T1661" t="str">
        <f>IF(COUNTIF(Customers!$A$2:$A$301,C1661)=0,"Missing","OK")</f>
        <v>OK</v>
      </c>
      <c r="U1661" t="str">
        <f t="shared" si="76"/>
        <v>Hyderabad</v>
      </c>
      <c r="V1661">
        <f t="shared" si="77"/>
        <v>0</v>
      </c>
    </row>
    <row r="1662" spans="1:22" ht="15" customHeight="1" x14ac:dyDescent="0.35">
      <c r="A1662" s="3" t="s">
        <v>2097</v>
      </c>
      <c r="B1662" s="4">
        <v>45411</v>
      </c>
      <c r="C1662" s="3" t="s">
        <v>567</v>
      </c>
      <c r="D1662" s="3" t="s">
        <v>598</v>
      </c>
      <c r="E1662" s="3" t="s">
        <v>224</v>
      </c>
      <c r="F1662" s="5">
        <v>10</v>
      </c>
      <c r="G1662" s="5">
        <v>3560</v>
      </c>
      <c r="H1662" s="5">
        <v>15.4</v>
      </c>
      <c r="I1662" s="5">
        <v>30117.599999999999</v>
      </c>
      <c r="J1662" s="3" t="s">
        <v>83</v>
      </c>
      <c r="K1662" s="3" t="s">
        <v>72</v>
      </c>
      <c r="L1662" t="str">
        <f>IFERROR(VLOOKUP(D1662,Products!$A$2:$F$61,3,FALSE()),"")</f>
        <v>Apparel</v>
      </c>
      <c r="M1662" t="str">
        <f>IFERROR(VLOOKUP(E1662,Sales_Reps!$A$2:$C$31,3,FALSE()),"")</f>
        <v>East</v>
      </c>
      <c r="N1662">
        <f>IFERROR(VLOOKUP(D1662,Products!$A$2:$F$61,4,FALSE()),"")</f>
        <v>2629</v>
      </c>
      <c r="O1662" t="str">
        <f>IFERROR(VLOOKUP(C1662,Customers!$A$2:$F$301,5,FALSE()),"")</f>
        <v>Corporate</v>
      </c>
      <c r="P1662">
        <f>IFERROR(VLOOKUP(C1662,Customers!$A$2:$F$301,3,FALSE()),"")</f>
        <v>22</v>
      </c>
      <c r="Q1662">
        <f t="shared" si="75"/>
        <v>0.26151685393258428</v>
      </c>
      <c r="R1662">
        <f>IF(AND(COUNTIF($A$2:$A$2047,A1662)&gt;1,COUNTIF($A$2:A1662,A1662)=1),1,0)</f>
        <v>0</v>
      </c>
      <c r="S1662" t="b">
        <f>IFERROR(VLOOKUP(D1662,Products!$A$2:$F$61,6,FALSE()),"")</f>
        <v>1</v>
      </c>
      <c r="T1662" t="str">
        <f>IF(COUNTIF(Customers!$A$2:$A$301,C1662)=0,"Missing","OK")</f>
        <v>OK</v>
      </c>
      <c r="U1662" t="str">
        <f t="shared" si="76"/>
        <v>Hyderabad</v>
      </c>
      <c r="V1662">
        <f t="shared" si="77"/>
        <v>0</v>
      </c>
    </row>
    <row r="1663" spans="1:22" ht="15" customHeight="1" x14ac:dyDescent="0.35">
      <c r="A1663" s="3" t="s">
        <v>1397</v>
      </c>
      <c r="B1663" s="4">
        <v>45467</v>
      </c>
      <c r="C1663" s="3" t="s">
        <v>217</v>
      </c>
      <c r="D1663" s="3" t="s">
        <v>118</v>
      </c>
      <c r="E1663" s="3" t="s">
        <v>154</v>
      </c>
      <c r="F1663" s="5">
        <v>3</v>
      </c>
      <c r="G1663" s="5">
        <v>3350</v>
      </c>
      <c r="H1663" s="5">
        <v>8.1</v>
      </c>
      <c r="I1663" s="5">
        <v>9235.9500000000007</v>
      </c>
      <c r="J1663" s="3" t="s">
        <v>26</v>
      </c>
      <c r="K1663" s="3" t="s">
        <v>72</v>
      </c>
      <c r="L1663" t="str">
        <f>IFERROR(VLOOKUP(D1663,Products!$A$2:$F$61,3,FALSE()),"")</f>
        <v>Beauty</v>
      </c>
      <c r="M1663" t="str">
        <f>IFERROR(VLOOKUP(E1663,Sales_Reps!$A$2:$C$31,3,FALSE()),"")</f>
        <v>North</v>
      </c>
      <c r="N1663">
        <f>IFERROR(VLOOKUP(D1663,Products!$A$2:$F$61,4,FALSE()),"")</f>
        <v>1728</v>
      </c>
      <c r="O1663" t="str">
        <f>IFERROR(VLOOKUP(C1663,Customers!$A$2:$F$301,5,FALSE()),"")</f>
        <v>Corporate</v>
      </c>
      <c r="P1663">
        <f>IFERROR(VLOOKUP(C1663,Customers!$A$2:$F$301,3,FALSE()),"")</f>
        <v>29</v>
      </c>
      <c r="Q1663">
        <f t="shared" si="75"/>
        <v>0.48417910447761192</v>
      </c>
      <c r="R1663">
        <f>IF(AND(COUNTIF($A$2:$A$2047,A1663)&gt;1,COUNTIF($A$2:A1663,A1663)=1),1,0)</f>
        <v>0</v>
      </c>
      <c r="S1663" t="b">
        <f>IFERROR(VLOOKUP(D1663,Products!$A$2:$F$61,6,FALSE()),"")</f>
        <v>1</v>
      </c>
      <c r="T1663" t="str">
        <f>IF(COUNTIF(Customers!$A$2:$A$301,C1663)=0,"Missing","OK")</f>
        <v>OK</v>
      </c>
      <c r="U1663" t="str">
        <f t="shared" si="76"/>
        <v>Hyderabad</v>
      </c>
      <c r="V1663">
        <f t="shared" si="77"/>
        <v>0</v>
      </c>
    </row>
    <row r="1664" spans="1:22" ht="15" customHeight="1" x14ac:dyDescent="0.35">
      <c r="A1664" s="3" t="s">
        <v>2098</v>
      </c>
      <c r="B1664" s="4">
        <v>45542</v>
      </c>
      <c r="C1664" s="3" t="s">
        <v>659</v>
      </c>
      <c r="D1664" s="3" t="s">
        <v>325</v>
      </c>
      <c r="E1664" s="3" t="s">
        <v>50</v>
      </c>
      <c r="F1664" s="5">
        <v>10</v>
      </c>
      <c r="G1664" s="5">
        <v>2290</v>
      </c>
      <c r="H1664" s="5">
        <v>7</v>
      </c>
      <c r="I1664" s="5">
        <v>21297</v>
      </c>
      <c r="J1664" s="3" t="s">
        <v>26</v>
      </c>
      <c r="K1664" s="3" t="s">
        <v>27</v>
      </c>
      <c r="L1664" t="str">
        <f>IFERROR(VLOOKUP(D1664,Products!$A$2:$F$61,3,FALSE()),"")</f>
        <v>Beauty</v>
      </c>
      <c r="M1664" t="str">
        <f>IFERROR(VLOOKUP(E1664,Sales_Reps!$A$2:$C$31,3,FALSE()),"")</f>
        <v>West</v>
      </c>
      <c r="N1664">
        <f>IFERROR(VLOOKUP(D1664,Products!$A$2:$F$61,4,FALSE()),"")</f>
        <v>1219</v>
      </c>
      <c r="O1664" t="str">
        <f>IFERROR(VLOOKUP(C1664,Customers!$A$2:$F$301,5,FALSE()),"")</f>
        <v>Retail</v>
      </c>
      <c r="P1664">
        <f>IFERROR(VLOOKUP(C1664,Customers!$A$2:$F$301,3,FALSE()),"")</f>
        <v>48</v>
      </c>
      <c r="Q1664">
        <f t="shared" si="75"/>
        <v>0.46768558951965067</v>
      </c>
      <c r="R1664">
        <f>IF(AND(COUNTIF($A$2:$A$2047,A1664)&gt;1,COUNTIF($A$2:A1664,A1664)=1),1,0)</f>
        <v>0</v>
      </c>
      <c r="S1664" t="b">
        <f>IFERROR(VLOOKUP(D1664,Products!$A$2:$F$61,6,FALSE()),"")</f>
        <v>1</v>
      </c>
      <c r="T1664" t="str">
        <f>IF(COUNTIF(Customers!$A$2:$A$301,C1664)=0,"Missing","OK")</f>
        <v>OK</v>
      </c>
      <c r="U1664" t="str">
        <f t="shared" si="76"/>
        <v>Pune</v>
      </c>
      <c r="V1664">
        <f t="shared" si="77"/>
        <v>0</v>
      </c>
    </row>
    <row r="1665" spans="1:22" ht="15" customHeight="1" x14ac:dyDescent="0.35">
      <c r="A1665" s="3" t="s">
        <v>2099</v>
      </c>
      <c r="B1665" s="4">
        <v>45483</v>
      </c>
      <c r="C1665" s="3" t="s">
        <v>350</v>
      </c>
      <c r="D1665" s="3" t="s">
        <v>41</v>
      </c>
      <c r="E1665" s="3" t="s">
        <v>87</v>
      </c>
      <c r="F1665" s="5">
        <v>6</v>
      </c>
      <c r="G1665" s="5">
        <v>3660</v>
      </c>
      <c r="H1665" s="5">
        <v>29.9</v>
      </c>
      <c r="I1665" s="5">
        <v>15393.96</v>
      </c>
      <c r="J1665" s="3" t="s">
        <v>26</v>
      </c>
      <c r="K1665" s="3" t="s">
        <v>51</v>
      </c>
      <c r="L1665" t="str">
        <f>IFERROR(VLOOKUP(D1665,Products!$A$2:$F$61,3,FALSE()),"")</f>
        <v>Grocery</v>
      </c>
      <c r="M1665" t="str">
        <f>IFERROR(VLOOKUP(E1665,Sales_Reps!$A$2:$C$31,3,FALSE()),"")</f>
        <v>North</v>
      </c>
      <c r="N1665">
        <f>IFERROR(VLOOKUP(D1665,Products!$A$2:$F$61,4,FALSE()),"")</f>
        <v>2214</v>
      </c>
      <c r="O1665" t="str">
        <f>IFERROR(VLOOKUP(C1665,Customers!$A$2:$F$301,5,FALSE()),"")</f>
        <v>Retail</v>
      </c>
      <c r="P1665">
        <f>IFERROR(VLOOKUP(C1665,Customers!$A$2:$F$301,3,FALSE()),"")</f>
        <v>61</v>
      </c>
      <c r="Q1665">
        <f t="shared" si="75"/>
        <v>0.39508196721311473</v>
      </c>
      <c r="R1665">
        <f>IF(AND(COUNTIF($A$2:$A$2047,A1665)&gt;1,COUNTIF($A$2:A1665,A1665)=1),1,0)</f>
        <v>0</v>
      </c>
      <c r="S1665" t="b">
        <f>IFERROR(VLOOKUP(D1665,Products!$A$2:$F$61,6,FALSE()),"")</f>
        <v>0</v>
      </c>
      <c r="T1665" t="str">
        <f>IF(COUNTIF(Customers!$A$2:$A$301,C1665)=0,"Missing","OK")</f>
        <v>OK</v>
      </c>
      <c r="U1665" t="str">
        <f t="shared" si="76"/>
        <v>Mumbai</v>
      </c>
      <c r="V1665">
        <f t="shared" si="77"/>
        <v>0</v>
      </c>
    </row>
    <row r="1666" spans="1:22" ht="15" customHeight="1" x14ac:dyDescent="0.35">
      <c r="A1666" s="3" t="s">
        <v>2100</v>
      </c>
      <c r="B1666" s="4">
        <v>45426</v>
      </c>
      <c r="C1666" s="3" t="s">
        <v>463</v>
      </c>
      <c r="D1666" s="3" t="s">
        <v>74</v>
      </c>
      <c r="E1666" s="3" t="s">
        <v>191</v>
      </c>
      <c r="F1666" s="5">
        <v>8</v>
      </c>
      <c r="G1666" s="5">
        <v>2640</v>
      </c>
      <c r="H1666" s="5">
        <v>4.2</v>
      </c>
      <c r="I1666" s="5">
        <v>20232.96</v>
      </c>
      <c r="J1666" s="3" t="s">
        <v>83</v>
      </c>
      <c r="K1666" s="3" t="s">
        <v>51</v>
      </c>
      <c r="L1666" t="str">
        <f>IFERROR(VLOOKUP(D1666,Products!$A$2:$F$61,3,FALSE()),"")</f>
        <v>Electronics</v>
      </c>
      <c r="M1666" t="str">
        <f>IFERROR(VLOOKUP(E1666,Sales_Reps!$A$2:$C$31,3,FALSE()),"")</f>
        <v>South</v>
      </c>
      <c r="N1666">
        <f>IFERROR(VLOOKUP(D1666,Products!$A$2:$F$61,4,FALSE()),"")</f>
        <v>1149</v>
      </c>
      <c r="O1666" t="str">
        <f>IFERROR(VLOOKUP(C1666,Customers!$A$2:$F$301,5,FALSE()),"")</f>
        <v>Corporate</v>
      </c>
      <c r="P1666">
        <f>IFERROR(VLOOKUP(C1666,Customers!$A$2:$F$301,3,FALSE()),"")</f>
        <v>55</v>
      </c>
      <c r="Q1666">
        <f t="shared" ref="Q1666:Q1729" si="78">IFERROR((G1666-N1666)/G1666,"")</f>
        <v>0.56477272727272732</v>
      </c>
      <c r="R1666">
        <f>IF(AND(COUNTIF($A$2:$A$2047,A1666)&gt;1,COUNTIF($A$2:A1666,A1666)=1),1,0)</f>
        <v>0</v>
      </c>
      <c r="S1666" t="b">
        <f>IFERROR(VLOOKUP(D1666,Products!$A$2:$F$61,6,FALSE()),"")</f>
        <v>1</v>
      </c>
      <c r="T1666" t="str">
        <f>IF(COUNTIF(Customers!$A$2:$A$301,C1666)=0,"Missing","OK")</f>
        <v>OK</v>
      </c>
      <c r="U1666" t="str">
        <f t="shared" ref="U1666:U1729" si="79">IF(K1666="","",PROPER(TRIM(K1666)))</f>
        <v>Mumbai</v>
      </c>
      <c r="V1666">
        <f t="shared" ref="V1666:V1729" si="80">IF(AND(U1666="Bengaluru",L1666="Grocery"),I1666,0)</f>
        <v>0</v>
      </c>
    </row>
    <row r="1667" spans="1:22" ht="15" customHeight="1" x14ac:dyDescent="0.35">
      <c r="A1667" s="3" t="s">
        <v>2101</v>
      </c>
      <c r="B1667" s="4">
        <v>45386</v>
      </c>
      <c r="C1667" s="3" t="s">
        <v>89</v>
      </c>
      <c r="D1667" s="3" t="s">
        <v>49</v>
      </c>
      <c r="E1667" s="3" t="s">
        <v>42</v>
      </c>
      <c r="F1667" s="5">
        <v>5</v>
      </c>
      <c r="G1667" s="5">
        <v>370</v>
      </c>
      <c r="H1667" s="5">
        <v>6</v>
      </c>
      <c r="I1667" s="5">
        <v>1739</v>
      </c>
      <c r="J1667" s="3" t="s">
        <v>26</v>
      </c>
      <c r="K1667" s="3" t="s">
        <v>27</v>
      </c>
      <c r="L1667" t="str">
        <f>IFERROR(VLOOKUP(D1667,Products!$A$2:$F$61,3,FALSE()),"")</f>
        <v>Home</v>
      </c>
      <c r="M1667" t="str">
        <f>IFERROR(VLOOKUP(E1667,Sales_Reps!$A$2:$C$31,3,FALSE()),"")</f>
        <v>North</v>
      </c>
      <c r="N1667">
        <f>IFERROR(VLOOKUP(D1667,Products!$A$2:$F$61,4,FALSE()),"")</f>
        <v>288</v>
      </c>
      <c r="O1667" t="str">
        <f>IFERROR(VLOOKUP(C1667,Customers!$A$2:$F$301,5,FALSE()),"")</f>
        <v>Retail</v>
      </c>
      <c r="P1667">
        <f>IFERROR(VLOOKUP(C1667,Customers!$A$2:$F$301,3,FALSE()),"")</f>
        <v>63</v>
      </c>
      <c r="Q1667">
        <f t="shared" si="78"/>
        <v>0.22162162162162163</v>
      </c>
      <c r="R1667">
        <f>IF(AND(COUNTIF($A$2:$A$2047,A1667)&gt;1,COUNTIF($A$2:A1667,A1667)=1),1,0)</f>
        <v>0</v>
      </c>
      <c r="S1667" t="b">
        <f>IFERROR(VLOOKUP(D1667,Products!$A$2:$F$61,6,FALSE()),"")</f>
        <v>1</v>
      </c>
      <c r="T1667" t="str">
        <f>IF(COUNTIF(Customers!$A$2:$A$301,C1667)=0,"Missing","OK")</f>
        <v>OK</v>
      </c>
      <c r="U1667" t="str">
        <f t="shared" si="79"/>
        <v>Pune</v>
      </c>
      <c r="V1667">
        <f t="shared" si="80"/>
        <v>0</v>
      </c>
    </row>
    <row r="1668" spans="1:22" ht="15" customHeight="1" x14ac:dyDescent="0.35">
      <c r="A1668" s="3" t="s">
        <v>2102</v>
      </c>
      <c r="B1668" s="4">
        <v>45377</v>
      </c>
      <c r="C1668" s="3" t="s">
        <v>1004</v>
      </c>
      <c r="D1668" s="3" t="s">
        <v>70</v>
      </c>
      <c r="E1668" s="3" t="s">
        <v>25</v>
      </c>
      <c r="F1668" s="5">
        <v>9</v>
      </c>
      <c r="G1668" s="5">
        <v>2270</v>
      </c>
      <c r="H1668" s="5">
        <v>4.7</v>
      </c>
      <c r="I1668" s="5">
        <v>19469.79</v>
      </c>
      <c r="J1668" s="3" t="s">
        <v>26</v>
      </c>
      <c r="K1668" s="3" t="s">
        <v>33</v>
      </c>
      <c r="L1668" t="str">
        <f>IFERROR(VLOOKUP(D1668,Products!$A$2:$F$61,3,FALSE()),"")</f>
        <v>Grocery</v>
      </c>
      <c r="M1668" t="str">
        <f>IFERROR(VLOOKUP(E1668,Sales_Reps!$A$2:$C$31,3,FALSE()),"")</f>
        <v>North</v>
      </c>
      <c r="N1668">
        <f>IFERROR(VLOOKUP(D1668,Products!$A$2:$F$61,4,FALSE()),"")</f>
        <v>1203</v>
      </c>
      <c r="O1668" t="str">
        <f>IFERROR(VLOOKUP(C1668,Customers!$A$2:$F$301,5,FALSE()),"")</f>
        <v>Retail</v>
      </c>
      <c r="P1668">
        <f>IFERROR(VLOOKUP(C1668,Customers!$A$2:$F$301,3,FALSE()),"")</f>
        <v>49</v>
      </c>
      <c r="Q1668">
        <f t="shared" si="78"/>
        <v>0.47004405286343615</v>
      </c>
      <c r="R1668">
        <f>IF(AND(COUNTIF($A$2:$A$2047,A1668)&gt;1,COUNTIF($A$2:A1668,A1668)=1),1,0)</f>
        <v>0</v>
      </c>
      <c r="S1668" t="b">
        <f>IFERROR(VLOOKUP(D1668,Products!$A$2:$F$61,6,FALSE()),"")</f>
        <v>1</v>
      </c>
      <c r="T1668" t="str">
        <f>IF(COUNTIF(Customers!$A$2:$A$301,C1668)=0,"Missing","OK")</f>
        <v>OK</v>
      </c>
      <c r="U1668" t="str">
        <f t="shared" si="79"/>
        <v>Chennai</v>
      </c>
      <c r="V1668">
        <f t="shared" si="80"/>
        <v>0</v>
      </c>
    </row>
    <row r="1669" spans="1:22" ht="15" customHeight="1" x14ac:dyDescent="0.35">
      <c r="A1669" s="3" t="s">
        <v>2103</v>
      </c>
      <c r="B1669" s="4">
        <v>45414</v>
      </c>
      <c r="C1669" s="3" t="s">
        <v>776</v>
      </c>
      <c r="D1669" s="3" t="s">
        <v>142</v>
      </c>
      <c r="E1669" s="3" t="s">
        <v>212</v>
      </c>
      <c r="F1669" s="5">
        <v>5</v>
      </c>
      <c r="G1669" s="5">
        <v>660</v>
      </c>
      <c r="H1669" s="5">
        <v>21</v>
      </c>
      <c r="I1669" s="5">
        <v>2607</v>
      </c>
      <c r="J1669" s="3" t="s">
        <v>26</v>
      </c>
      <c r="K1669" s="3" t="s">
        <v>56</v>
      </c>
      <c r="L1669" t="str">
        <f>IFERROR(VLOOKUP(D1669,Products!$A$2:$F$61,3,FALSE()),"")</f>
        <v>Home</v>
      </c>
      <c r="M1669" t="str">
        <f>IFERROR(VLOOKUP(E1669,Sales_Reps!$A$2:$C$31,3,FALSE()),"")</f>
        <v>South</v>
      </c>
      <c r="N1669">
        <f>IFERROR(VLOOKUP(D1669,Products!$A$2:$F$61,4,FALSE()),"")</f>
        <v>329</v>
      </c>
      <c r="O1669" t="str">
        <f>IFERROR(VLOOKUP(C1669,Customers!$A$2:$F$301,5,FALSE()),"")</f>
        <v>Retail</v>
      </c>
      <c r="P1669">
        <f>IFERROR(VLOOKUP(C1669,Customers!$A$2:$F$301,3,FALSE()),"")</f>
        <v>37</v>
      </c>
      <c r="Q1669">
        <f t="shared" si="78"/>
        <v>0.50151515151515147</v>
      </c>
      <c r="R1669">
        <f>IF(AND(COUNTIF($A$2:$A$2047,A1669)&gt;1,COUNTIF($A$2:A1669,A1669)=1),1,0)</f>
        <v>0</v>
      </c>
      <c r="S1669" t="b">
        <f>IFERROR(VLOOKUP(D1669,Products!$A$2:$F$61,6,FALSE()),"")</f>
        <v>1</v>
      </c>
      <c r="T1669" t="str">
        <f>IF(COUNTIF(Customers!$A$2:$A$301,C1669)=0,"Missing","OK")</f>
        <v>OK</v>
      </c>
      <c r="U1669" t="str">
        <f t="shared" si="79"/>
        <v>Bengaluru</v>
      </c>
      <c r="V1669">
        <f t="shared" si="80"/>
        <v>0</v>
      </c>
    </row>
    <row r="1670" spans="1:22" ht="15" customHeight="1" x14ac:dyDescent="0.35">
      <c r="A1670" s="3" t="s">
        <v>2104</v>
      </c>
      <c r="B1670" s="4">
        <v>45407</v>
      </c>
      <c r="C1670" s="3" t="s">
        <v>2105</v>
      </c>
      <c r="D1670" s="3" t="s">
        <v>54</v>
      </c>
      <c r="E1670" s="3" t="s">
        <v>87</v>
      </c>
      <c r="F1670" s="5">
        <v>2</v>
      </c>
      <c r="G1670" s="5">
        <v>960</v>
      </c>
      <c r="H1670" s="5">
        <v>7.3</v>
      </c>
      <c r="I1670" s="5">
        <v>1779.84</v>
      </c>
      <c r="J1670" s="3" t="s">
        <v>26</v>
      </c>
      <c r="K1670" s="3" t="s">
        <v>56</v>
      </c>
      <c r="L1670" t="str">
        <f>IFERROR(VLOOKUP(D1670,Products!$A$2:$F$61,3,FALSE()),"")</f>
        <v>Sports</v>
      </c>
      <c r="M1670" t="str">
        <f>IFERROR(VLOOKUP(E1670,Sales_Reps!$A$2:$C$31,3,FALSE()),"")</f>
        <v>North</v>
      </c>
      <c r="N1670">
        <f>IFERROR(VLOOKUP(D1670,Products!$A$2:$F$61,4,FALSE()),"")</f>
        <v>705</v>
      </c>
      <c r="O1670" t="str">
        <f>IFERROR(VLOOKUP(C1670,Customers!$A$2:$F$301,5,FALSE()),"")</f>
        <v/>
      </c>
      <c r="P1670" t="str">
        <f>IFERROR(VLOOKUP(C1670,Customers!$A$2:$F$301,3,FALSE()),"")</f>
        <v/>
      </c>
      <c r="Q1670">
        <f t="shared" si="78"/>
        <v>0.265625</v>
      </c>
      <c r="R1670">
        <f>IF(AND(COUNTIF($A$2:$A$2047,A1670)&gt;1,COUNTIF($A$2:A1670,A1670)=1),1,0)</f>
        <v>0</v>
      </c>
      <c r="S1670" t="b">
        <f>IFERROR(VLOOKUP(D1670,Products!$A$2:$F$61,6,FALSE()),"")</f>
        <v>1</v>
      </c>
      <c r="T1670" t="str">
        <f>IF(COUNTIF(Customers!$A$2:$A$301,C1670)=0,"Missing","OK")</f>
        <v>Missing</v>
      </c>
      <c r="U1670" t="str">
        <f t="shared" si="79"/>
        <v>Bengaluru</v>
      </c>
      <c r="V1670">
        <f t="shared" si="80"/>
        <v>0</v>
      </c>
    </row>
    <row r="1671" spans="1:22" ht="15" customHeight="1" x14ac:dyDescent="0.35">
      <c r="A1671" s="3" t="s">
        <v>2106</v>
      </c>
      <c r="B1671" s="4">
        <v>45509</v>
      </c>
      <c r="C1671" s="3" t="s">
        <v>105</v>
      </c>
      <c r="D1671" s="3" t="s">
        <v>130</v>
      </c>
      <c r="E1671" s="3" t="s">
        <v>143</v>
      </c>
      <c r="F1671" s="5">
        <v>3</v>
      </c>
      <c r="G1671" s="5">
        <v>5100</v>
      </c>
      <c r="H1671" s="5">
        <v>21</v>
      </c>
      <c r="I1671" s="5">
        <v>12087</v>
      </c>
      <c r="J1671" s="3" t="s">
        <v>26</v>
      </c>
      <c r="K1671" s="3" t="s">
        <v>72</v>
      </c>
      <c r="L1671" t="str">
        <f>IFERROR(VLOOKUP(D1671,Products!$A$2:$F$61,3,FALSE()),"")</f>
        <v>Beauty</v>
      </c>
      <c r="M1671" t="str">
        <f>IFERROR(VLOOKUP(E1671,Sales_Reps!$A$2:$C$31,3,FALSE()),"")</f>
        <v>South</v>
      </c>
      <c r="N1671">
        <f>IFERROR(VLOOKUP(D1671,Products!$A$2:$F$61,4,FALSE()),"")</f>
        <v>2237</v>
      </c>
      <c r="O1671" t="str">
        <f>IFERROR(VLOOKUP(C1671,Customers!$A$2:$F$301,5,FALSE()),"")</f>
        <v>Retail</v>
      </c>
      <c r="P1671">
        <f>IFERROR(VLOOKUP(C1671,Customers!$A$2:$F$301,3,FALSE()),"")</f>
        <v>32</v>
      </c>
      <c r="Q1671">
        <f t="shared" si="78"/>
        <v>0.56137254901960787</v>
      </c>
      <c r="R1671">
        <f>IF(AND(COUNTIF($A$2:$A$2047,A1671)&gt;1,COUNTIF($A$2:A1671,A1671)=1),1,0)</f>
        <v>0</v>
      </c>
      <c r="S1671" t="b">
        <f>IFERROR(VLOOKUP(D1671,Products!$A$2:$F$61,6,FALSE()),"")</f>
        <v>1</v>
      </c>
      <c r="T1671" t="str">
        <f>IF(COUNTIF(Customers!$A$2:$A$301,C1671)=0,"Missing","OK")</f>
        <v>OK</v>
      </c>
      <c r="U1671" t="str">
        <f t="shared" si="79"/>
        <v>Hyderabad</v>
      </c>
      <c r="V1671">
        <f t="shared" si="80"/>
        <v>0</v>
      </c>
    </row>
    <row r="1672" spans="1:22" ht="15" customHeight="1" x14ac:dyDescent="0.35">
      <c r="A1672" s="3" t="s">
        <v>2107</v>
      </c>
      <c r="B1672" s="4">
        <v>45566</v>
      </c>
      <c r="C1672" s="3" t="s">
        <v>220</v>
      </c>
      <c r="D1672" s="3" t="s">
        <v>45</v>
      </c>
      <c r="E1672" s="3" t="s">
        <v>78</v>
      </c>
      <c r="F1672" s="5">
        <v>3</v>
      </c>
      <c r="G1672" s="5">
        <v>3160</v>
      </c>
      <c r="H1672" s="5">
        <v>13.5</v>
      </c>
      <c r="I1672" s="5">
        <v>8200.2000000000007</v>
      </c>
      <c r="J1672" s="3" t="s">
        <v>26</v>
      </c>
      <c r="K1672" s="3" t="s">
        <v>27</v>
      </c>
      <c r="L1672" t="str">
        <f>IFERROR(VLOOKUP(D1672,Products!$A$2:$F$61,3,FALSE()),"")</f>
        <v>Apparel</v>
      </c>
      <c r="M1672" t="str">
        <f>IFERROR(VLOOKUP(E1672,Sales_Reps!$A$2:$C$31,3,FALSE()),"")</f>
        <v>North</v>
      </c>
      <c r="N1672">
        <f>IFERROR(VLOOKUP(D1672,Products!$A$2:$F$61,4,FALSE()),"")</f>
        <v>1886</v>
      </c>
      <c r="O1672" t="str">
        <f>IFERROR(VLOOKUP(C1672,Customers!$A$2:$F$301,5,FALSE()),"")</f>
        <v>Retail</v>
      </c>
      <c r="P1672">
        <f>IFERROR(VLOOKUP(C1672,Customers!$A$2:$F$301,3,FALSE()),"")</f>
        <v>25</v>
      </c>
      <c r="Q1672">
        <f t="shared" si="78"/>
        <v>0.4031645569620253</v>
      </c>
      <c r="R1672">
        <f>IF(AND(COUNTIF($A$2:$A$2047,A1672)&gt;1,COUNTIF($A$2:A1672,A1672)=1),1,0)</f>
        <v>0</v>
      </c>
      <c r="S1672" t="b">
        <f>IFERROR(VLOOKUP(D1672,Products!$A$2:$F$61,6,FALSE()),"")</f>
        <v>1</v>
      </c>
      <c r="T1672" t="str">
        <f>IF(COUNTIF(Customers!$A$2:$A$301,C1672)=0,"Missing","OK")</f>
        <v>OK</v>
      </c>
      <c r="U1672" t="str">
        <f t="shared" si="79"/>
        <v>Pune</v>
      </c>
      <c r="V1672">
        <f t="shared" si="80"/>
        <v>0</v>
      </c>
    </row>
    <row r="1673" spans="1:22" ht="15" customHeight="1" x14ac:dyDescent="0.35">
      <c r="A1673" s="3" t="s">
        <v>2108</v>
      </c>
      <c r="B1673" s="4">
        <v>45524</v>
      </c>
      <c r="C1673" s="3" t="s">
        <v>2109</v>
      </c>
      <c r="D1673" s="3" t="s">
        <v>198</v>
      </c>
      <c r="E1673" s="3" t="s">
        <v>31</v>
      </c>
      <c r="F1673" s="5">
        <v>9</v>
      </c>
      <c r="G1673" s="5">
        <v>1540</v>
      </c>
      <c r="H1673" s="5">
        <v>18.2</v>
      </c>
      <c r="I1673" s="5">
        <v>11337.48</v>
      </c>
      <c r="J1673" s="3" t="s">
        <v>79</v>
      </c>
      <c r="K1673" s="3" t="s">
        <v>56</v>
      </c>
      <c r="L1673" t="str">
        <f>IFERROR(VLOOKUP(D1673,Products!$A$2:$F$61,3,FALSE()),"")</f>
        <v>Beauty</v>
      </c>
      <c r="M1673" t="str">
        <f>IFERROR(VLOOKUP(E1673,Sales_Reps!$A$2:$C$31,3,FALSE()),"")</f>
        <v>North</v>
      </c>
      <c r="N1673">
        <f>IFERROR(VLOOKUP(D1673,Products!$A$2:$F$61,4,FALSE()),"")</f>
        <v>647</v>
      </c>
      <c r="O1673" t="str">
        <f>IFERROR(VLOOKUP(C1673,Customers!$A$2:$F$301,5,FALSE()),"")</f>
        <v/>
      </c>
      <c r="P1673" t="str">
        <f>IFERROR(VLOOKUP(C1673,Customers!$A$2:$F$301,3,FALSE()),"")</f>
        <v/>
      </c>
      <c r="Q1673">
        <f t="shared" si="78"/>
        <v>0.57987012987012987</v>
      </c>
      <c r="R1673">
        <f>IF(AND(COUNTIF($A$2:$A$2047,A1673)&gt;1,COUNTIF($A$2:A1673,A1673)=1),1,0)</f>
        <v>0</v>
      </c>
      <c r="S1673" t="b">
        <f>IFERROR(VLOOKUP(D1673,Products!$A$2:$F$61,6,FALSE()),"")</f>
        <v>0</v>
      </c>
      <c r="T1673" t="str">
        <f>IF(COUNTIF(Customers!$A$2:$A$301,C1673)=0,"Missing","OK")</f>
        <v>Missing</v>
      </c>
      <c r="U1673" t="str">
        <f t="shared" si="79"/>
        <v>Bengaluru</v>
      </c>
      <c r="V1673">
        <f t="shared" si="80"/>
        <v>0</v>
      </c>
    </row>
    <row r="1674" spans="1:22" ht="15" customHeight="1" x14ac:dyDescent="0.35">
      <c r="A1674" s="3" t="s">
        <v>2110</v>
      </c>
      <c r="B1674" s="4">
        <v>45431</v>
      </c>
      <c r="C1674" s="3" t="s">
        <v>92</v>
      </c>
      <c r="D1674" s="3" t="s">
        <v>96</v>
      </c>
      <c r="E1674" s="3" t="s">
        <v>55</v>
      </c>
      <c r="F1674" s="5">
        <v>4</v>
      </c>
      <c r="G1674" s="5">
        <v>3450</v>
      </c>
      <c r="H1674" s="5">
        <v>26.4</v>
      </c>
      <c r="I1674" s="5">
        <v>10156.799999999999</v>
      </c>
      <c r="J1674" s="3" t="s">
        <v>32</v>
      </c>
      <c r="K1674" s="3" t="s">
        <v>56</v>
      </c>
      <c r="L1674" t="str">
        <f>IFERROR(VLOOKUP(D1674,Products!$A$2:$F$61,3,FALSE()),"")</f>
        <v>Beauty</v>
      </c>
      <c r="M1674" t="str">
        <f>IFERROR(VLOOKUP(E1674,Sales_Reps!$A$2:$C$31,3,FALSE()),"")</f>
        <v>West</v>
      </c>
      <c r="N1674">
        <f>IFERROR(VLOOKUP(D1674,Products!$A$2:$F$61,4,FALSE()),"")</f>
        <v>2420</v>
      </c>
      <c r="O1674" t="str">
        <f>IFERROR(VLOOKUP(C1674,Customers!$A$2:$F$301,5,FALSE()),"")</f>
        <v>SMB</v>
      </c>
      <c r="P1674">
        <f>IFERROR(VLOOKUP(C1674,Customers!$A$2:$F$301,3,FALSE()),"")</f>
        <v>46</v>
      </c>
      <c r="Q1674">
        <f t="shared" si="78"/>
        <v>0.29855072463768118</v>
      </c>
      <c r="R1674">
        <f>IF(AND(COUNTIF($A$2:$A$2047,A1674)&gt;1,COUNTIF($A$2:A1674,A1674)=1),1,0)</f>
        <v>0</v>
      </c>
      <c r="S1674" t="b">
        <f>IFERROR(VLOOKUP(D1674,Products!$A$2:$F$61,6,FALSE()),"")</f>
        <v>1</v>
      </c>
      <c r="T1674" t="str">
        <f>IF(COUNTIF(Customers!$A$2:$A$301,C1674)=0,"Missing","OK")</f>
        <v>OK</v>
      </c>
      <c r="U1674" t="str">
        <f t="shared" si="79"/>
        <v>Bengaluru</v>
      </c>
      <c r="V1674">
        <f t="shared" si="80"/>
        <v>0</v>
      </c>
    </row>
    <row r="1675" spans="1:22" ht="15" customHeight="1" x14ac:dyDescent="0.35">
      <c r="A1675" s="3" t="s">
        <v>2111</v>
      </c>
      <c r="B1675" s="4">
        <v>45598</v>
      </c>
      <c r="C1675" s="3" t="s">
        <v>350</v>
      </c>
      <c r="D1675" s="3" t="s">
        <v>306</v>
      </c>
      <c r="E1675" s="3" t="s">
        <v>140</v>
      </c>
      <c r="F1675" s="5">
        <v>4</v>
      </c>
      <c r="G1675" s="5">
        <v>2380</v>
      </c>
      <c r="H1675" s="5">
        <v>6.9</v>
      </c>
      <c r="I1675" s="5">
        <v>8863.1200000000008</v>
      </c>
      <c r="J1675" s="3" t="s">
        <v>26</v>
      </c>
      <c r="K1675" s="3" t="s">
        <v>51</v>
      </c>
      <c r="L1675" t="str">
        <f>IFERROR(VLOOKUP(D1675,Products!$A$2:$F$61,3,FALSE()),"")</f>
        <v>Grocery</v>
      </c>
      <c r="M1675" t="str">
        <f>IFERROR(VLOOKUP(E1675,Sales_Reps!$A$2:$C$31,3,FALSE()),"")</f>
        <v>West</v>
      </c>
      <c r="N1675">
        <f>IFERROR(VLOOKUP(D1675,Products!$A$2:$F$61,4,FALSE()),"")</f>
        <v>1182</v>
      </c>
      <c r="O1675" t="str">
        <f>IFERROR(VLOOKUP(C1675,Customers!$A$2:$F$301,5,FALSE()),"")</f>
        <v>Retail</v>
      </c>
      <c r="P1675">
        <f>IFERROR(VLOOKUP(C1675,Customers!$A$2:$F$301,3,FALSE()),"")</f>
        <v>61</v>
      </c>
      <c r="Q1675">
        <f t="shared" si="78"/>
        <v>0.50336134453781511</v>
      </c>
      <c r="R1675">
        <f>IF(AND(COUNTIF($A$2:$A$2047,A1675)&gt;1,COUNTIF($A$2:A1675,A1675)=1),1,0)</f>
        <v>0</v>
      </c>
      <c r="S1675" t="b">
        <f>IFERROR(VLOOKUP(D1675,Products!$A$2:$F$61,6,FALSE()),"")</f>
        <v>1</v>
      </c>
      <c r="T1675" t="str">
        <f>IF(COUNTIF(Customers!$A$2:$A$301,C1675)=0,"Missing","OK")</f>
        <v>OK</v>
      </c>
      <c r="U1675" t="str">
        <f t="shared" si="79"/>
        <v>Mumbai</v>
      </c>
      <c r="V1675">
        <f t="shared" si="80"/>
        <v>0</v>
      </c>
    </row>
    <row r="1676" spans="1:22" ht="15" customHeight="1" x14ac:dyDescent="0.35">
      <c r="A1676" s="3" t="s">
        <v>2112</v>
      </c>
      <c r="B1676" s="4">
        <v>45419</v>
      </c>
      <c r="C1676" s="3" t="s">
        <v>220</v>
      </c>
      <c r="D1676" s="3" t="s">
        <v>165</v>
      </c>
      <c r="E1676" s="3" t="s">
        <v>87</v>
      </c>
      <c r="F1676" s="5">
        <v>2</v>
      </c>
      <c r="G1676" s="5">
        <v>3730</v>
      </c>
      <c r="H1676" s="5">
        <v>22.9</v>
      </c>
      <c r="I1676" s="5">
        <v>5751.66</v>
      </c>
      <c r="J1676" s="3" t="s">
        <v>26</v>
      </c>
      <c r="K1676" s="3" t="s">
        <v>27</v>
      </c>
      <c r="L1676" t="str">
        <f>IFERROR(VLOOKUP(D1676,Products!$A$2:$F$61,3,FALSE()),"")</f>
        <v>Home</v>
      </c>
      <c r="M1676" t="str">
        <f>IFERROR(VLOOKUP(E1676,Sales_Reps!$A$2:$C$31,3,FALSE()),"")</f>
        <v>North</v>
      </c>
      <c r="N1676">
        <f>IFERROR(VLOOKUP(D1676,Products!$A$2:$F$61,4,FALSE()),"")</f>
        <v>2135</v>
      </c>
      <c r="O1676" t="str">
        <f>IFERROR(VLOOKUP(C1676,Customers!$A$2:$F$301,5,FALSE()),"")</f>
        <v>Retail</v>
      </c>
      <c r="P1676">
        <f>IFERROR(VLOOKUP(C1676,Customers!$A$2:$F$301,3,FALSE()),"")</f>
        <v>25</v>
      </c>
      <c r="Q1676">
        <f t="shared" si="78"/>
        <v>0.42761394101876676</v>
      </c>
      <c r="R1676">
        <f>IF(AND(COUNTIF($A$2:$A$2047,A1676)&gt;1,COUNTIF($A$2:A1676,A1676)=1),1,0)</f>
        <v>0</v>
      </c>
      <c r="S1676" t="b">
        <f>IFERROR(VLOOKUP(D1676,Products!$A$2:$F$61,6,FALSE()),"")</f>
        <v>1</v>
      </c>
      <c r="T1676" t="str">
        <f>IF(COUNTIF(Customers!$A$2:$A$301,C1676)=0,"Missing","OK")</f>
        <v>OK</v>
      </c>
      <c r="U1676" t="str">
        <f t="shared" si="79"/>
        <v>Pune</v>
      </c>
      <c r="V1676">
        <f t="shared" si="80"/>
        <v>0</v>
      </c>
    </row>
    <row r="1677" spans="1:22" ht="15" customHeight="1" x14ac:dyDescent="0.35">
      <c r="A1677" s="3" t="s">
        <v>2113</v>
      </c>
      <c r="B1677" s="4">
        <v>45549</v>
      </c>
      <c r="C1677" s="3" t="s">
        <v>312</v>
      </c>
      <c r="D1677" s="3" t="s">
        <v>82</v>
      </c>
      <c r="E1677" s="3" t="s">
        <v>236</v>
      </c>
      <c r="F1677" s="5">
        <v>7</v>
      </c>
      <c r="G1677" s="5">
        <v>3250</v>
      </c>
      <c r="H1677" s="5">
        <v>6</v>
      </c>
      <c r="I1677" s="5">
        <v>21385</v>
      </c>
      <c r="J1677" s="3" t="s">
        <v>26</v>
      </c>
      <c r="K1677" s="3" t="s">
        <v>27</v>
      </c>
      <c r="L1677" t="str">
        <f>IFERROR(VLOOKUP(D1677,Products!$A$2:$F$61,3,FALSE()),"")</f>
        <v>Home</v>
      </c>
      <c r="M1677" t="str">
        <f>IFERROR(VLOOKUP(E1677,Sales_Reps!$A$2:$C$31,3,FALSE()),"")</f>
        <v>North</v>
      </c>
      <c r="N1677">
        <f>IFERROR(VLOOKUP(D1677,Products!$A$2:$F$61,4,FALSE()),"")</f>
        <v>1556</v>
      </c>
      <c r="O1677" t="str">
        <f>IFERROR(VLOOKUP(C1677,Customers!$A$2:$F$301,5,FALSE()),"")</f>
        <v>Retail</v>
      </c>
      <c r="P1677">
        <f>IFERROR(VLOOKUP(C1677,Customers!$A$2:$F$301,3,FALSE()),"")</f>
        <v>43</v>
      </c>
      <c r="Q1677">
        <f t="shared" si="78"/>
        <v>0.52123076923076928</v>
      </c>
      <c r="R1677">
        <f>IF(AND(COUNTIF($A$2:$A$2047,A1677)&gt;1,COUNTIF($A$2:A1677,A1677)=1),1,0)</f>
        <v>0</v>
      </c>
      <c r="S1677" t="b">
        <f>IFERROR(VLOOKUP(D1677,Products!$A$2:$F$61,6,FALSE()),"")</f>
        <v>1</v>
      </c>
      <c r="T1677" t="str">
        <f>IF(COUNTIF(Customers!$A$2:$A$301,C1677)=0,"Missing","OK")</f>
        <v>OK</v>
      </c>
      <c r="U1677" t="str">
        <f t="shared" si="79"/>
        <v>Pune</v>
      </c>
      <c r="V1677">
        <f t="shared" si="80"/>
        <v>0</v>
      </c>
    </row>
    <row r="1678" spans="1:22" ht="15" customHeight="1" x14ac:dyDescent="0.35">
      <c r="A1678" s="3" t="s">
        <v>2114</v>
      </c>
      <c r="B1678" s="4">
        <v>45519</v>
      </c>
      <c r="C1678" s="3" t="s">
        <v>709</v>
      </c>
      <c r="D1678" s="3" t="s">
        <v>36</v>
      </c>
      <c r="E1678" s="3" t="s">
        <v>131</v>
      </c>
      <c r="F1678" s="5">
        <v>9</v>
      </c>
      <c r="G1678" s="5">
        <v>470</v>
      </c>
      <c r="H1678" s="5">
        <v>11.6</v>
      </c>
      <c r="I1678" s="5">
        <v>3739.32</v>
      </c>
      <c r="J1678" s="3" t="s">
        <v>26</v>
      </c>
      <c r="K1678" s="3" t="s">
        <v>27</v>
      </c>
      <c r="L1678" t="str">
        <f>IFERROR(VLOOKUP(D1678,Products!$A$2:$F$61,3,FALSE()),"")</f>
        <v>Sports</v>
      </c>
      <c r="M1678" t="str">
        <f>IFERROR(VLOOKUP(E1678,Sales_Reps!$A$2:$C$31,3,FALSE()),"")</f>
        <v>East</v>
      </c>
      <c r="N1678">
        <f>IFERROR(VLOOKUP(D1678,Products!$A$2:$F$61,4,FALSE()),"")</f>
        <v>302</v>
      </c>
      <c r="O1678" t="str">
        <f>IFERROR(VLOOKUP(C1678,Customers!$A$2:$F$301,5,FALSE()),"")</f>
        <v>Retail</v>
      </c>
      <c r="P1678">
        <f>IFERROR(VLOOKUP(C1678,Customers!$A$2:$F$301,3,FALSE()),"")</f>
        <v>35</v>
      </c>
      <c r="Q1678">
        <f t="shared" si="78"/>
        <v>0.35744680851063831</v>
      </c>
      <c r="R1678">
        <f>IF(AND(COUNTIF($A$2:$A$2047,A1678)&gt;1,COUNTIF($A$2:A1678,A1678)=1),1,0)</f>
        <v>0</v>
      </c>
      <c r="S1678" t="b">
        <f>IFERROR(VLOOKUP(D1678,Products!$A$2:$F$61,6,FALSE()),"")</f>
        <v>0</v>
      </c>
      <c r="T1678" t="str">
        <f>IF(COUNTIF(Customers!$A$2:$A$301,C1678)=0,"Missing","OK")</f>
        <v>OK</v>
      </c>
      <c r="U1678" t="str">
        <f t="shared" si="79"/>
        <v>Pune</v>
      </c>
      <c r="V1678">
        <f t="shared" si="80"/>
        <v>0</v>
      </c>
    </row>
    <row r="1679" spans="1:22" ht="15" customHeight="1" x14ac:dyDescent="0.35">
      <c r="A1679" s="3" t="s">
        <v>2115</v>
      </c>
      <c r="B1679" s="4">
        <v>45574</v>
      </c>
      <c r="C1679" s="3" t="s">
        <v>696</v>
      </c>
      <c r="D1679" s="3" t="s">
        <v>325</v>
      </c>
      <c r="E1679" s="3" t="s">
        <v>140</v>
      </c>
      <c r="F1679" s="5">
        <v>5</v>
      </c>
      <c r="G1679" s="5">
        <v>2290</v>
      </c>
      <c r="H1679" s="5">
        <v>27.6</v>
      </c>
      <c r="I1679" s="5">
        <v>8289.7999999999993</v>
      </c>
      <c r="J1679" s="3" t="s">
        <v>26</v>
      </c>
      <c r="K1679" s="3" t="s">
        <v>56</v>
      </c>
      <c r="L1679" t="str">
        <f>IFERROR(VLOOKUP(D1679,Products!$A$2:$F$61,3,FALSE()),"")</f>
        <v>Beauty</v>
      </c>
      <c r="M1679" t="str">
        <f>IFERROR(VLOOKUP(E1679,Sales_Reps!$A$2:$C$31,3,FALSE()),"")</f>
        <v>West</v>
      </c>
      <c r="N1679">
        <f>IFERROR(VLOOKUP(D1679,Products!$A$2:$F$61,4,FALSE()),"")</f>
        <v>1219</v>
      </c>
      <c r="O1679" t="str">
        <f>IFERROR(VLOOKUP(C1679,Customers!$A$2:$F$301,5,FALSE()),"")</f>
        <v>Corporate</v>
      </c>
      <c r="P1679">
        <f>IFERROR(VLOOKUP(C1679,Customers!$A$2:$F$301,3,FALSE()),"")</f>
        <v>43</v>
      </c>
      <c r="Q1679">
        <f t="shared" si="78"/>
        <v>0.46768558951965067</v>
      </c>
      <c r="R1679">
        <f>IF(AND(COUNTIF($A$2:$A$2047,A1679)&gt;1,COUNTIF($A$2:A1679,A1679)=1),1,0)</f>
        <v>0</v>
      </c>
      <c r="S1679" t="b">
        <f>IFERROR(VLOOKUP(D1679,Products!$A$2:$F$61,6,FALSE()),"")</f>
        <v>1</v>
      </c>
      <c r="T1679" t="str">
        <f>IF(COUNTIF(Customers!$A$2:$A$301,C1679)=0,"Missing","OK")</f>
        <v>OK</v>
      </c>
      <c r="U1679" t="str">
        <f t="shared" si="79"/>
        <v>Bengaluru</v>
      </c>
      <c r="V1679">
        <f t="shared" si="80"/>
        <v>0</v>
      </c>
    </row>
    <row r="1680" spans="1:22" ht="15" customHeight="1" x14ac:dyDescent="0.35">
      <c r="A1680" s="3" t="s">
        <v>2116</v>
      </c>
      <c r="B1680" s="4">
        <v>45462</v>
      </c>
      <c r="C1680" s="3" t="s">
        <v>608</v>
      </c>
      <c r="D1680" s="3" t="s">
        <v>59</v>
      </c>
      <c r="E1680" s="3" t="s">
        <v>168</v>
      </c>
      <c r="F1680" s="5">
        <v>6</v>
      </c>
      <c r="G1680" s="5">
        <v>1430</v>
      </c>
      <c r="H1680" s="5">
        <v>18.399999999999999</v>
      </c>
      <c r="I1680" s="5">
        <v>7001.28</v>
      </c>
      <c r="J1680" s="3" t="s">
        <v>32</v>
      </c>
      <c r="K1680" s="3" t="s">
        <v>72</v>
      </c>
      <c r="L1680" t="str">
        <f>IFERROR(VLOOKUP(D1680,Products!$A$2:$F$61,3,FALSE()),"")</f>
        <v>Electronics</v>
      </c>
      <c r="M1680" t="str">
        <f>IFERROR(VLOOKUP(E1680,Sales_Reps!$A$2:$C$31,3,FALSE()),"")</f>
        <v>West</v>
      </c>
      <c r="N1680">
        <f>IFERROR(VLOOKUP(D1680,Products!$A$2:$F$61,4,FALSE()),"")</f>
        <v>861</v>
      </c>
      <c r="O1680" t="str">
        <f>IFERROR(VLOOKUP(C1680,Customers!$A$2:$F$301,5,FALSE()),"")</f>
        <v>Retail</v>
      </c>
      <c r="P1680">
        <f>IFERROR(VLOOKUP(C1680,Customers!$A$2:$F$301,3,FALSE()),"")</f>
        <v>31</v>
      </c>
      <c r="Q1680">
        <f t="shared" si="78"/>
        <v>0.39790209790209791</v>
      </c>
      <c r="R1680">
        <f>IF(AND(COUNTIF($A$2:$A$2047,A1680)&gt;1,COUNTIF($A$2:A1680,A1680)=1),1,0)</f>
        <v>0</v>
      </c>
      <c r="S1680" t="b">
        <f>IFERROR(VLOOKUP(D1680,Products!$A$2:$F$61,6,FALSE()),"")</f>
        <v>1</v>
      </c>
      <c r="T1680" t="str">
        <f>IF(COUNTIF(Customers!$A$2:$A$301,C1680)=0,"Missing","OK")</f>
        <v>OK</v>
      </c>
      <c r="U1680" t="str">
        <f t="shared" si="79"/>
        <v>Hyderabad</v>
      </c>
      <c r="V1680">
        <f t="shared" si="80"/>
        <v>0</v>
      </c>
    </row>
    <row r="1681" spans="1:22" ht="15" customHeight="1" x14ac:dyDescent="0.35">
      <c r="A1681" s="3" t="s">
        <v>2117</v>
      </c>
      <c r="B1681" s="4">
        <v>45336</v>
      </c>
      <c r="C1681" s="3" t="s">
        <v>1200</v>
      </c>
      <c r="D1681" s="3" t="s">
        <v>134</v>
      </c>
      <c r="E1681" s="3" t="s">
        <v>236</v>
      </c>
      <c r="F1681" s="5">
        <v>7</v>
      </c>
      <c r="G1681" s="5">
        <v>2860</v>
      </c>
      <c r="H1681" s="5">
        <v>19.5</v>
      </c>
      <c r="I1681" s="5">
        <v>16116.1</v>
      </c>
      <c r="J1681" s="3" t="s">
        <v>26</v>
      </c>
      <c r="K1681" s="3" t="s">
        <v>56</v>
      </c>
      <c r="L1681" t="str">
        <f>IFERROR(VLOOKUP(D1681,Products!$A$2:$F$61,3,FALSE()),"")</f>
        <v>Sports</v>
      </c>
      <c r="M1681" t="str">
        <f>IFERROR(VLOOKUP(E1681,Sales_Reps!$A$2:$C$31,3,FALSE()),"")</f>
        <v>North</v>
      </c>
      <c r="N1681">
        <f>IFERROR(VLOOKUP(D1681,Products!$A$2:$F$61,4,FALSE()),"")</f>
        <v>2028</v>
      </c>
      <c r="O1681" t="str">
        <f>IFERROR(VLOOKUP(C1681,Customers!$A$2:$F$301,5,FALSE()),"")</f>
        <v>Retail</v>
      </c>
      <c r="P1681">
        <f>IFERROR(VLOOKUP(C1681,Customers!$A$2:$F$301,3,FALSE()),"")</f>
        <v>54</v>
      </c>
      <c r="Q1681">
        <f t="shared" si="78"/>
        <v>0.29090909090909089</v>
      </c>
      <c r="R1681">
        <f>IF(AND(COUNTIF($A$2:$A$2047,A1681)&gt;1,COUNTIF($A$2:A1681,A1681)=1),1,0)</f>
        <v>0</v>
      </c>
      <c r="S1681" t="b">
        <f>IFERROR(VLOOKUP(D1681,Products!$A$2:$F$61,6,FALSE()),"")</f>
        <v>1</v>
      </c>
      <c r="T1681" t="str">
        <f>IF(COUNTIF(Customers!$A$2:$A$301,C1681)=0,"Missing","OK")</f>
        <v>OK</v>
      </c>
      <c r="U1681" t="str">
        <f t="shared" si="79"/>
        <v>Bengaluru</v>
      </c>
      <c r="V1681">
        <f t="shared" si="80"/>
        <v>0</v>
      </c>
    </row>
    <row r="1682" spans="1:22" ht="15" customHeight="1" x14ac:dyDescent="0.35">
      <c r="A1682" s="3" t="s">
        <v>2118</v>
      </c>
      <c r="B1682" s="4">
        <v>45439</v>
      </c>
      <c r="C1682" s="3" t="s">
        <v>496</v>
      </c>
      <c r="D1682" s="3" t="s">
        <v>96</v>
      </c>
      <c r="E1682" s="3" t="s">
        <v>131</v>
      </c>
      <c r="F1682" s="5">
        <v>8</v>
      </c>
      <c r="G1682" s="5">
        <v>3450</v>
      </c>
      <c r="H1682" s="5">
        <v>25.5</v>
      </c>
      <c r="I1682" s="5">
        <v>20562</v>
      </c>
      <c r="J1682" s="3" t="s">
        <v>32</v>
      </c>
      <c r="K1682" s="3" t="s">
        <v>51</v>
      </c>
      <c r="L1682" t="str">
        <f>IFERROR(VLOOKUP(D1682,Products!$A$2:$F$61,3,FALSE()),"")</f>
        <v>Beauty</v>
      </c>
      <c r="M1682" t="str">
        <f>IFERROR(VLOOKUP(E1682,Sales_Reps!$A$2:$C$31,3,FALSE()),"")</f>
        <v>East</v>
      </c>
      <c r="N1682">
        <f>IFERROR(VLOOKUP(D1682,Products!$A$2:$F$61,4,FALSE()),"")</f>
        <v>2420</v>
      </c>
      <c r="O1682" t="str">
        <f>IFERROR(VLOOKUP(C1682,Customers!$A$2:$F$301,5,FALSE()),"")</f>
        <v>Retail</v>
      </c>
      <c r="P1682">
        <f>IFERROR(VLOOKUP(C1682,Customers!$A$2:$F$301,3,FALSE()),"")</f>
        <v>65</v>
      </c>
      <c r="Q1682">
        <f t="shared" si="78"/>
        <v>0.29855072463768118</v>
      </c>
      <c r="R1682">
        <f>IF(AND(COUNTIF($A$2:$A$2047,A1682)&gt;1,COUNTIF($A$2:A1682,A1682)=1),1,0)</f>
        <v>0</v>
      </c>
      <c r="S1682" t="b">
        <f>IFERROR(VLOOKUP(D1682,Products!$A$2:$F$61,6,FALSE()),"")</f>
        <v>1</v>
      </c>
      <c r="T1682" t="str">
        <f>IF(COUNTIF(Customers!$A$2:$A$301,C1682)=0,"Missing","OK")</f>
        <v>OK</v>
      </c>
      <c r="U1682" t="str">
        <f t="shared" si="79"/>
        <v>Mumbai</v>
      </c>
      <c r="V1682">
        <f t="shared" si="80"/>
        <v>0</v>
      </c>
    </row>
    <row r="1683" spans="1:22" ht="15" customHeight="1" x14ac:dyDescent="0.35">
      <c r="A1683" s="3" t="s">
        <v>2119</v>
      </c>
      <c r="B1683" s="4">
        <v>45578</v>
      </c>
      <c r="C1683" s="3" t="s">
        <v>498</v>
      </c>
      <c r="D1683" s="3" t="s">
        <v>299</v>
      </c>
      <c r="E1683" s="3" t="s">
        <v>60</v>
      </c>
      <c r="F1683" s="5">
        <v>7</v>
      </c>
      <c r="G1683" s="5">
        <v>5410</v>
      </c>
      <c r="H1683" s="5">
        <v>15.2</v>
      </c>
      <c r="I1683" s="5">
        <v>32113.759999999998</v>
      </c>
      <c r="J1683" s="3" t="s">
        <v>79</v>
      </c>
      <c r="K1683" s="3" t="s">
        <v>27</v>
      </c>
      <c r="L1683" t="str">
        <f>IFERROR(VLOOKUP(D1683,Products!$A$2:$F$61,3,FALSE()),"")</f>
        <v>Sports</v>
      </c>
      <c r="M1683" t="str">
        <f>IFERROR(VLOOKUP(E1683,Sales_Reps!$A$2:$C$31,3,FALSE()),"")</f>
        <v>East</v>
      </c>
      <c r="N1683">
        <f>IFERROR(VLOOKUP(D1683,Products!$A$2:$F$61,4,FALSE()),"")</f>
        <v>2265</v>
      </c>
      <c r="O1683" t="str">
        <f>IFERROR(VLOOKUP(C1683,Customers!$A$2:$F$301,5,FALSE()),"")</f>
        <v>Retail</v>
      </c>
      <c r="P1683">
        <f>IFERROR(VLOOKUP(C1683,Customers!$A$2:$F$301,3,FALSE()),"")</f>
        <v>62</v>
      </c>
      <c r="Q1683">
        <f t="shared" si="78"/>
        <v>0.58133086876155271</v>
      </c>
      <c r="R1683">
        <f>IF(AND(COUNTIF($A$2:$A$2047,A1683)&gt;1,COUNTIF($A$2:A1683,A1683)=1),1,0)</f>
        <v>0</v>
      </c>
      <c r="S1683" t="b">
        <f>IFERROR(VLOOKUP(D1683,Products!$A$2:$F$61,6,FALSE()),"")</f>
        <v>1</v>
      </c>
      <c r="T1683" t="str">
        <f>IF(COUNTIF(Customers!$A$2:$A$301,C1683)=0,"Missing","OK")</f>
        <v>OK</v>
      </c>
      <c r="U1683" t="str">
        <f t="shared" si="79"/>
        <v>Pune</v>
      </c>
      <c r="V1683">
        <f t="shared" si="80"/>
        <v>0</v>
      </c>
    </row>
    <row r="1684" spans="1:22" ht="15" customHeight="1" x14ac:dyDescent="0.35">
      <c r="A1684" s="3" t="s">
        <v>2120</v>
      </c>
      <c r="B1684" s="4">
        <v>45588</v>
      </c>
      <c r="C1684" s="3" t="s">
        <v>498</v>
      </c>
      <c r="D1684" s="3" t="s">
        <v>103</v>
      </c>
      <c r="E1684" s="3" t="s">
        <v>50</v>
      </c>
      <c r="F1684" s="5">
        <v>3</v>
      </c>
      <c r="G1684" s="5">
        <v>1080</v>
      </c>
      <c r="H1684" s="5">
        <v>26</v>
      </c>
      <c r="I1684" s="5">
        <v>2397.6</v>
      </c>
      <c r="J1684" s="3" t="s">
        <v>26</v>
      </c>
      <c r="K1684" s="3" t="s">
        <v>27</v>
      </c>
      <c r="L1684" t="str">
        <f>IFERROR(VLOOKUP(D1684,Products!$A$2:$F$61,3,FALSE()),"")</f>
        <v>Home</v>
      </c>
      <c r="M1684" t="str">
        <f>IFERROR(VLOOKUP(E1684,Sales_Reps!$A$2:$C$31,3,FALSE()),"")</f>
        <v>West</v>
      </c>
      <c r="N1684">
        <f>IFERROR(VLOOKUP(D1684,Products!$A$2:$F$61,4,FALSE()),"")</f>
        <v>519</v>
      </c>
      <c r="O1684" t="str">
        <f>IFERROR(VLOOKUP(C1684,Customers!$A$2:$F$301,5,FALSE()),"")</f>
        <v>Retail</v>
      </c>
      <c r="P1684">
        <f>IFERROR(VLOOKUP(C1684,Customers!$A$2:$F$301,3,FALSE()),"")</f>
        <v>62</v>
      </c>
      <c r="Q1684">
        <f t="shared" si="78"/>
        <v>0.51944444444444449</v>
      </c>
      <c r="R1684">
        <f>IF(AND(COUNTIF($A$2:$A$2047,A1684)&gt;1,COUNTIF($A$2:A1684,A1684)=1),1,0)</f>
        <v>0</v>
      </c>
      <c r="S1684" t="b">
        <f>IFERROR(VLOOKUP(D1684,Products!$A$2:$F$61,6,FALSE()),"")</f>
        <v>1</v>
      </c>
      <c r="T1684" t="str">
        <f>IF(COUNTIF(Customers!$A$2:$A$301,C1684)=0,"Missing","OK")</f>
        <v>OK</v>
      </c>
      <c r="U1684" t="str">
        <f t="shared" si="79"/>
        <v>Pune</v>
      </c>
      <c r="V1684">
        <f t="shared" si="80"/>
        <v>0</v>
      </c>
    </row>
    <row r="1685" spans="1:22" ht="15" customHeight="1" x14ac:dyDescent="0.35">
      <c r="A1685" s="3" t="s">
        <v>2121</v>
      </c>
      <c r="B1685" s="4">
        <v>45354</v>
      </c>
      <c r="C1685" s="3" t="s">
        <v>251</v>
      </c>
      <c r="D1685" s="3" t="s">
        <v>134</v>
      </c>
      <c r="E1685" s="3" t="s">
        <v>60</v>
      </c>
      <c r="F1685" s="5">
        <v>8</v>
      </c>
      <c r="G1685" s="5">
        <v>2860</v>
      </c>
      <c r="H1685" s="5">
        <v>14.8</v>
      </c>
      <c r="I1685" s="5">
        <v>19493.759999999998</v>
      </c>
      <c r="J1685" s="3" t="s">
        <v>26</v>
      </c>
      <c r="K1685" s="3" t="s">
        <v>72</v>
      </c>
      <c r="L1685" t="str">
        <f>IFERROR(VLOOKUP(D1685,Products!$A$2:$F$61,3,FALSE()),"")</f>
        <v>Sports</v>
      </c>
      <c r="M1685" t="str">
        <f>IFERROR(VLOOKUP(E1685,Sales_Reps!$A$2:$C$31,3,FALSE()),"")</f>
        <v>East</v>
      </c>
      <c r="N1685">
        <f>IFERROR(VLOOKUP(D1685,Products!$A$2:$F$61,4,FALSE()),"")</f>
        <v>2028</v>
      </c>
      <c r="O1685" t="str">
        <f>IFERROR(VLOOKUP(C1685,Customers!$A$2:$F$301,5,FALSE()),"")</f>
        <v>Retail</v>
      </c>
      <c r="P1685">
        <f>IFERROR(VLOOKUP(C1685,Customers!$A$2:$F$301,3,FALSE()),"")</f>
        <v>46</v>
      </c>
      <c r="Q1685">
        <f t="shared" si="78"/>
        <v>0.29090909090909089</v>
      </c>
      <c r="R1685">
        <f>IF(AND(COUNTIF($A$2:$A$2047,A1685)&gt;1,COUNTIF($A$2:A1685,A1685)=1),1,0)</f>
        <v>0</v>
      </c>
      <c r="S1685" t="b">
        <f>IFERROR(VLOOKUP(D1685,Products!$A$2:$F$61,6,FALSE()),"")</f>
        <v>1</v>
      </c>
      <c r="T1685" t="str">
        <f>IF(COUNTIF(Customers!$A$2:$A$301,C1685)=0,"Missing","OK")</f>
        <v>OK</v>
      </c>
      <c r="U1685" t="str">
        <f t="shared" si="79"/>
        <v>Hyderabad</v>
      </c>
      <c r="V1685">
        <f t="shared" si="80"/>
        <v>0</v>
      </c>
    </row>
    <row r="1686" spans="1:22" ht="15" customHeight="1" x14ac:dyDescent="0.35">
      <c r="A1686" s="3" t="s">
        <v>2122</v>
      </c>
      <c r="B1686" s="4">
        <v>45332</v>
      </c>
      <c r="C1686" s="3" t="s">
        <v>2123</v>
      </c>
      <c r="D1686" s="3" t="s">
        <v>215</v>
      </c>
      <c r="E1686" s="3" t="s">
        <v>191</v>
      </c>
      <c r="F1686" s="5">
        <v>4</v>
      </c>
      <c r="G1686" s="5">
        <v>3020</v>
      </c>
      <c r="H1686" s="5">
        <v>8.1</v>
      </c>
      <c r="I1686" s="5">
        <v>11101.52</v>
      </c>
      <c r="J1686" s="3" t="s">
        <v>26</v>
      </c>
      <c r="K1686" s="3" t="s">
        <v>72</v>
      </c>
      <c r="L1686" t="str">
        <f>IFERROR(VLOOKUP(D1686,Products!$A$2:$F$61,3,FALSE()),"")</f>
        <v>Beauty</v>
      </c>
      <c r="M1686" t="str">
        <f>IFERROR(VLOOKUP(E1686,Sales_Reps!$A$2:$C$31,3,FALSE()),"")</f>
        <v>South</v>
      </c>
      <c r="N1686">
        <f>IFERROR(VLOOKUP(D1686,Products!$A$2:$F$61,4,FALSE()),"")</f>
        <v>1626</v>
      </c>
      <c r="O1686" t="str">
        <f>IFERROR(VLOOKUP(C1686,Customers!$A$2:$F$301,5,FALSE()),"")</f>
        <v/>
      </c>
      <c r="P1686" t="str">
        <f>IFERROR(VLOOKUP(C1686,Customers!$A$2:$F$301,3,FALSE()),"")</f>
        <v/>
      </c>
      <c r="Q1686">
        <f t="shared" si="78"/>
        <v>0.46158940397350995</v>
      </c>
      <c r="R1686">
        <f>IF(AND(COUNTIF($A$2:$A$2047,A1686)&gt;1,COUNTIF($A$2:A1686,A1686)=1),1,0)</f>
        <v>0</v>
      </c>
      <c r="S1686" t="b">
        <f>IFERROR(VLOOKUP(D1686,Products!$A$2:$F$61,6,FALSE()),"")</f>
        <v>1</v>
      </c>
      <c r="T1686" t="str">
        <f>IF(COUNTIF(Customers!$A$2:$A$301,C1686)=0,"Missing","OK")</f>
        <v>Missing</v>
      </c>
      <c r="U1686" t="str">
        <f t="shared" si="79"/>
        <v>Hyderabad</v>
      </c>
      <c r="V1686">
        <f t="shared" si="80"/>
        <v>0</v>
      </c>
    </row>
    <row r="1687" spans="1:22" ht="15" customHeight="1" x14ac:dyDescent="0.35">
      <c r="A1687" s="3" t="s">
        <v>2124</v>
      </c>
      <c r="B1687" s="4">
        <v>45649</v>
      </c>
      <c r="C1687" s="3" t="s">
        <v>167</v>
      </c>
      <c r="D1687" s="3" t="s">
        <v>54</v>
      </c>
      <c r="E1687" s="3" t="s">
        <v>50</v>
      </c>
      <c r="F1687" s="5">
        <v>4</v>
      </c>
      <c r="G1687" s="5">
        <v>960</v>
      </c>
      <c r="H1687" s="5">
        <v>6.4</v>
      </c>
      <c r="I1687" s="5">
        <v>3594.24</v>
      </c>
      <c r="J1687" s="3" t="s">
        <v>79</v>
      </c>
      <c r="K1687" s="3" t="s">
        <v>51</v>
      </c>
      <c r="L1687" t="str">
        <f>IFERROR(VLOOKUP(D1687,Products!$A$2:$F$61,3,FALSE()),"")</f>
        <v>Sports</v>
      </c>
      <c r="M1687" t="str">
        <f>IFERROR(VLOOKUP(E1687,Sales_Reps!$A$2:$C$31,3,FALSE()),"")</f>
        <v>West</v>
      </c>
      <c r="N1687">
        <f>IFERROR(VLOOKUP(D1687,Products!$A$2:$F$61,4,FALSE()),"")</f>
        <v>705</v>
      </c>
      <c r="O1687" t="str">
        <f>IFERROR(VLOOKUP(C1687,Customers!$A$2:$F$301,5,FALSE()),"")</f>
        <v>SMB</v>
      </c>
      <c r="P1687">
        <f>IFERROR(VLOOKUP(C1687,Customers!$A$2:$F$301,3,FALSE()),"")</f>
        <v>54</v>
      </c>
      <c r="Q1687">
        <f t="shared" si="78"/>
        <v>0.265625</v>
      </c>
      <c r="R1687">
        <f>IF(AND(COUNTIF($A$2:$A$2047,A1687)&gt;1,COUNTIF($A$2:A1687,A1687)=1),1,0)</f>
        <v>0</v>
      </c>
      <c r="S1687" t="b">
        <f>IFERROR(VLOOKUP(D1687,Products!$A$2:$F$61,6,FALSE()),"")</f>
        <v>1</v>
      </c>
      <c r="T1687" t="str">
        <f>IF(COUNTIF(Customers!$A$2:$A$301,C1687)=0,"Missing","OK")</f>
        <v>OK</v>
      </c>
      <c r="U1687" t="str">
        <f t="shared" si="79"/>
        <v>Mumbai</v>
      </c>
      <c r="V1687">
        <f t="shared" si="80"/>
        <v>0</v>
      </c>
    </row>
    <row r="1688" spans="1:22" ht="15" customHeight="1" x14ac:dyDescent="0.35">
      <c r="A1688" s="3" t="s">
        <v>2125</v>
      </c>
      <c r="B1688" s="4">
        <v>45596</v>
      </c>
      <c r="C1688" s="3" t="s">
        <v>490</v>
      </c>
      <c r="D1688" s="3" t="s">
        <v>187</v>
      </c>
      <c r="E1688" s="3" t="s">
        <v>168</v>
      </c>
      <c r="F1688" s="5">
        <v>4</v>
      </c>
      <c r="G1688" s="5">
        <v>3870</v>
      </c>
      <c r="H1688" s="5">
        <v>15.9</v>
      </c>
      <c r="I1688" s="5">
        <v>13018.68</v>
      </c>
      <c r="J1688" s="3" t="s">
        <v>26</v>
      </c>
      <c r="K1688" s="3" t="s">
        <v>51</v>
      </c>
      <c r="L1688" t="str">
        <f>IFERROR(VLOOKUP(D1688,Products!$A$2:$F$61,3,FALSE()),"")</f>
        <v>Electronics</v>
      </c>
      <c r="M1688" t="str">
        <f>IFERROR(VLOOKUP(E1688,Sales_Reps!$A$2:$C$31,3,FALSE()),"")</f>
        <v>West</v>
      </c>
      <c r="N1688">
        <f>IFERROR(VLOOKUP(D1688,Products!$A$2:$F$61,4,FALSE()),"")</f>
        <v>1559</v>
      </c>
      <c r="O1688" t="str">
        <f>IFERROR(VLOOKUP(C1688,Customers!$A$2:$F$301,5,FALSE()),"")</f>
        <v>Corporate</v>
      </c>
      <c r="P1688">
        <f>IFERROR(VLOOKUP(C1688,Customers!$A$2:$F$301,3,FALSE()),"")</f>
        <v>60</v>
      </c>
      <c r="Q1688">
        <f t="shared" si="78"/>
        <v>0.59715762273901807</v>
      </c>
      <c r="R1688">
        <f>IF(AND(COUNTIF($A$2:$A$2047,A1688)&gt;1,COUNTIF($A$2:A1688,A1688)=1),1,0)</f>
        <v>0</v>
      </c>
      <c r="S1688" t="b">
        <f>IFERROR(VLOOKUP(D1688,Products!$A$2:$F$61,6,FALSE()),"")</f>
        <v>1</v>
      </c>
      <c r="T1688" t="str">
        <f>IF(COUNTIF(Customers!$A$2:$A$301,C1688)=0,"Missing","OK")</f>
        <v>OK</v>
      </c>
      <c r="U1688" t="str">
        <f t="shared" si="79"/>
        <v>Mumbai</v>
      </c>
      <c r="V1688">
        <f t="shared" si="80"/>
        <v>0</v>
      </c>
    </row>
    <row r="1689" spans="1:22" ht="15" customHeight="1" x14ac:dyDescent="0.35">
      <c r="A1689" s="3" t="s">
        <v>2126</v>
      </c>
      <c r="B1689" s="4">
        <v>45378</v>
      </c>
      <c r="C1689" s="3" t="s">
        <v>1111</v>
      </c>
      <c r="D1689" s="3" t="s">
        <v>45</v>
      </c>
      <c r="E1689" s="3" t="s">
        <v>131</v>
      </c>
      <c r="F1689" s="5">
        <v>5</v>
      </c>
      <c r="G1689" s="5">
        <v>3160</v>
      </c>
      <c r="H1689" s="5">
        <v>29.8</v>
      </c>
      <c r="I1689" s="5">
        <v>11091.6</v>
      </c>
      <c r="J1689" s="3" t="s">
        <v>26</v>
      </c>
      <c r="K1689" s="3" t="s">
        <v>27</v>
      </c>
      <c r="L1689" t="str">
        <f>IFERROR(VLOOKUP(D1689,Products!$A$2:$F$61,3,FALSE()),"")</f>
        <v>Apparel</v>
      </c>
      <c r="M1689" t="str">
        <f>IFERROR(VLOOKUP(E1689,Sales_Reps!$A$2:$C$31,3,FALSE()),"")</f>
        <v>East</v>
      </c>
      <c r="N1689">
        <f>IFERROR(VLOOKUP(D1689,Products!$A$2:$F$61,4,FALSE()),"")</f>
        <v>1886</v>
      </c>
      <c r="O1689" t="str">
        <f>IFERROR(VLOOKUP(C1689,Customers!$A$2:$F$301,5,FALSE()),"")</f>
        <v>Retail</v>
      </c>
      <c r="P1689">
        <f>IFERROR(VLOOKUP(C1689,Customers!$A$2:$F$301,3,FALSE()),"")</f>
        <v>39</v>
      </c>
      <c r="Q1689">
        <f t="shared" si="78"/>
        <v>0.4031645569620253</v>
      </c>
      <c r="R1689">
        <f>IF(AND(COUNTIF($A$2:$A$2047,A1689)&gt;1,COUNTIF($A$2:A1689,A1689)=1),1,0)</f>
        <v>0</v>
      </c>
      <c r="S1689" t="b">
        <f>IFERROR(VLOOKUP(D1689,Products!$A$2:$F$61,6,FALSE()),"")</f>
        <v>1</v>
      </c>
      <c r="T1689" t="str">
        <f>IF(COUNTIF(Customers!$A$2:$A$301,C1689)=0,"Missing","OK")</f>
        <v>OK</v>
      </c>
      <c r="U1689" t="str">
        <f t="shared" si="79"/>
        <v>Pune</v>
      </c>
      <c r="V1689">
        <f t="shared" si="80"/>
        <v>0</v>
      </c>
    </row>
    <row r="1690" spans="1:22" ht="15" customHeight="1" x14ac:dyDescent="0.35">
      <c r="A1690" s="3" t="s">
        <v>2127</v>
      </c>
      <c r="B1690" s="4">
        <v>45403</v>
      </c>
      <c r="C1690" s="3" t="s">
        <v>379</v>
      </c>
      <c r="D1690" s="3" t="s">
        <v>96</v>
      </c>
      <c r="E1690" s="3" t="s">
        <v>282</v>
      </c>
      <c r="F1690" s="5">
        <v>5</v>
      </c>
      <c r="G1690" s="5">
        <v>3450</v>
      </c>
      <c r="H1690" s="5">
        <v>29.4</v>
      </c>
      <c r="I1690" s="5">
        <v>12178.5</v>
      </c>
      <c r="J1690" s="3" t="s">
        <v>26</v>
      </c>
      <c r="K1690" s="3" t="s">
        <v>27</v>
      </c>
      <c r="L1690" t="str">
        <f>IFERROR(VLOOKUP(D1690,Products!$A$2:$F$61,3,FALSE()),"")</f>
        <v>Beauty</v>
      </c>
      <c r="M1690" t="str">
        <f>IFERROR(VLOOKUP(E1690,Sales_Reps!$A$2:$C$31,3,FALSE()),"")</f>
        <v>West</v>
      </c>
      <c r="N1690">
        <f>IFERROR(VLOOKUP(D1690,Products!$A$2:$F$61,4,FALSE()),"")</f>
        <v>2420</v>
      </c>
      <c r="O1690" t="str">
        <f>IFERROR(VLOOKUP(C1690,Customers!$A$2:$F$301,5,FALSE()),"")</f>
        <v>SMB</v>
      </c>
      <c r="P1690">
        <f>IFERROR(VLOOKUP(C1690,Customers!$A$2:$F$301,3,FALSE()),"")</f>
        <v>30</v>
      </c>
      <c r="Q1690">
        <f t="shared" si="78"/>
        <v>0.29855072463768118</v>
      </c>
      <c r="R1690">
        <f>IF(AND(COUNTIF($A$2:$A$2047,A1690)&gt;1,COUNTIF($A$2:A1690,A1690)=1),1,0)</f>
        <v>0</v>
      </c>
      <c r="S1690" t="b">
        <f>IFERROR(VLOOKUP(D1690,Products!$A$2:$F$61,6,FALSE()),"")</f>
        <v>1</v>
      </c>
      <c r="T1690" t="str">
        <f>IF(COUNTIF(Customers!$A$2:$A$301,C1690)=0,"Missing","OK")</f>
        <v>OK</v>
      </c>
      <c r="U1690" t="str">
        <f t="shared" si="79"/>
        <v>Pune</v>
      </c>
      <c r="V1690">
        <f t="shared" si="80"/>
        <v>0</v>
      </c>
    </row>
    <row r="1691" spans="1:22" ht="15" customHeight="1" x14ac:dyDescent="0.35">
      <c r="A1691" s="3" t="s">
        <v>2128</v>
      </c>
      <c r="B1691" s="4">
        <v>45535</v>
      </c>
      <c r="C1691" s="3" t="s">
        <v>789</v>
      </c>
      <c r="D1691" s="3" t="s">
        <v>319</v>
      </c>
      <c r="E1691" s="3" t="s">
        <v>242</v>
      </c>
      <c r="F1691" s="5">
        <v>10</v>
      </c>
      <c r="G1691" s="5">
        <v>960</v>
      </c>
      <c r="H1691" s="5">
        <v>27</v>
      </c>
      <c r="I1691" s="5">
        <v>7008</v>
      </c>
      <c r="J1691" s="3" t="s">
        <v>79</v>
      </c>
      <c r="K1691" s="3" t="s">
        <v>33</v>
      </c>
      <c r="L1691" t="str">
        <f>IFERROR(VLOOKUP(D1691,Products!$A$2:$F$61,3,FALSE()),"")</f>
        <v>Beauty</v>
      </c>
      <c r="M1691" t="str">
        <f>IFERROR(VLOOKUP(E1691,Sales_Reps!$A$2:$C$31,3,FALSE()),"")</f>
        <v>East</v>
      </c>
      <c r="N1691">
        <f>IFERROR(VLOOKUP(D1691,Products!$A$2:$F$61,4,FALSE()),"")</f>
        <v>675</v>
      </c>
      <c r="O1691" t="str">
        <f>IFERROR(VLOOKUP(C1691,Customers!$A$2:$F$301,5,FALSE()),"")</f>
        <v>SMB</v>
      </c>
      <c r="P1691">
        <f>IFERROR(VLOOKUP(C1691,Customers!$A$2:$F$301,3,FALSE()),"")</f>
        <v>26</v>
      </c>
      <c r="Q1691">
        <f t="shared" si="78"/>
        <v>0.296875</v>
      </c>
      <c r="R1691">
        <f>IF(AND(COUNTIF($A$2:$A$2047,A1691)&gt;1,COUNTIF($A$2:A1691,A1691)=1),1,0)</f>
        <v>0</v>
      </c>
      <c r="S1691" t="b">
        <f>IFERROR(VLOOKUP(D1691,Products!$A$2:$F$61,6,FALSE()),"")</f>
        <v>1</v>
      </c>
      <c r="T1691" t="str">
        <f>IF(COUNTIF(Customers!$A$2:$A$301,C1691)=0,"Missing","OK")</f>
        <v>OK</v>
      </c>
      <c r="U1691" t="str">
        <f t="shared" si="79"/>
        <v>Chennai</v>
      </c>
      <c r="V1691">
        <f t="shared" si="80"/>
        <v>0</v>
      </c>
    </row>
    <row r="1692" spans="1:22" ht="15" customHeight="1" x14ac:dyDescent="0.35">
      <c r="A1692" s="3" t="s">
        <v>2129</v>
      </c>
      <c r="B1692" s="4">
        <v>45429</v>
      </c>
      <c r="C1692" s="3" t="s">
        <v>718</v>
      </c>
      <c r="D1692" s="3" t="s">
        <v>454</v>
      </c>
      <c r="E1692" s="3" t="s">
        <v>242</v>
      </c>
      <c r="F1692" s="5">
        <v>10</v>
      </c>
      <c r="G1692" s="5">
        <v>6940</v>
      </c>
      <c r="H1692" s="5">
        <v>20.100000000000001</v>
      </c>
      <c r="I1692" s="5">
        <v>55450.6</v>
      </c>
      <c r="J1692" s="3" t="s">
        <v>26</v>
      </c>
      <c r="K1692" s="3" t="s">
        <v>56</v>
      </c>
      <c r="L1692" t="str">
        <f>IFERROR(VLOOKUP(D1692,Products!$A$2:$F$61,3,FALSE()),"")</f>
        <v>Sports</v>
      </c>
      <c r="M1692" t="str">
        <f>IFERROR(VLOOKUP(E1692,Sales_Reps!$A$2:$C$31,3,FALSE()),"")</f>
        <v>East</v>
      </c>
      <c r="N1692">
        <f>IFERROR(VLOOKUP(D1692,Products!$A$2:$F$61,4,FALSE()),"")</f>
        <v>2827</v>
      </c>
      <c r="O1692" t="str">
        <f>IFERROR(VLOOKUP(C1692,Customers!$A$2:$F$301,5,FALSE()),"")</f>
        <v>Retail</v>
      </c>
      <c r="P1692">
        <f>IFERROR(VLOOKUP(C1692,Customers!$A$2:$F$301,3,FALSE()),"")</f>
        <v>27</v>
      </c>
      <c r="Q1692">
        <f t="shared" si="78"/>
        <v>0.5926512968299712</v>
      </c>
      <c r="R1692">
        <f>IF(AND(COUNTIF($A$2:$A$2047,A1692)&gt;1,COUNTIF($A$2:A1692,A1692)=1),1,0)</f>
        <v>0</v>
      </c>
      <c r="S1692" t="b">
        <f>IFERROR(VLOOKUP(D1692,Products!$A$2:$F$61,6,FALSE()),"")</f>
        <v>1</v>
      </c>
      <c r="T1692" t="str">
        <f>IF(COUNTIF(Customers!$A$2:$A$301,C1692)=0,"Missing","OK")</f>
        <v>OK</v>
      </c>
      <c r="U1692" t="str">
        <f t="shared" si="79"/>
        <v>Bengaluru</v>
      </c>
      <c r="V1692">
        <f t="shared" si="80"/>
        <v>0</v>
      </c>
    </row>
    <row r="1693" spans="1:22" ht="15" customHeight="1" x14ac:dyDescent="0.35">
      <c r="A1693" s="3" t="s">
        <v>2130</v>
      </c>
      <c r="B1693" s="4">
        <v>45436</v>
      </c>
      <c r="C1693" s="3" t="s">
        <v>538</v>
      </c>
      <c r="D1693" s="3" t="s">
        <v>90</v>
      </c>
      <c r="E1693" s="3" t="s">
        <v>143</v>
      </c>
      <c r="F1693" s="5">
        <v>9</v>
      </c>
      <c r="G1693" s="5">
        <v>2400</v>
      </c>
      <c r="H1693" s="5">
        <v>7.8</v>
      </c>
      <c r="I1693" s="5">
        <v>19915.2</v>
      </c>
      <c r="J1693" s="3" t="s">
        <v>26</v>
      </c>
      <c r="K1693" s="3" t="s">
        <v>56</v>
      </c>
      <c r="L1693" t="str">
        <f>IFERROR(VLOOKUP(D1693,Products!$A$2:$F$61,3,FALSE()),"")</f>
        <v>Sports</v>
      </c>
      <c r="M1693" t="str">
        <f>IFERROR(VLOOKUP(E1693,Sales_Reps!$A$2:$C$31,3,FALSE()),"")</f>
        <v>South</v>
      </c>
      <c r="N1693">
        <f>IFERROR(VLOOKUP(D1693,Products!$A$2:$F$61,4,FALSE()),"")</f>
        <v>974</v>
      </c>
      <c r="O1693" t="str">
        <f>IFERROR(VLOOKUP(C1693,Customers!$A$2:$F$301,5,FALSE()),"")</f>
        <v>Corporate</v>
      </c>
      <c r="P1693">
        <f>IFERROR(VLOOKUP(C1693,Customers!$A$2:$F$301,3,FALSE()),"")</f>
        <v>26</v>
      </c>
      <c r="Q1693">
        <f t="shared" si="78"/>
        <v>0.59416666666666662</v>
      </c>
      <c r="R1693">
        <f>IF(AND(COUNTIF($A$2:$A$2047,A1693)&gt;1,COUNTIF($A$2:A1693,A1693)=1),1,0)</f>
        <v>0</v>
      </c>
      <c r="S1693" t="b">
        <f>IFERROR(VLOOKUP(D1693,Products!$A$2:$F$61,6,FALSE()),"")</f>
        <v>1</v>
      </c>
      <c r="T1693" t="str">
        <f>IF(COUNTIF(Customers!$A$2:$A$301,C1693)=0,"Missing","OK")</f>
        <v>OK</v>
      </c>
      <c r="U1693" t="str">
        <f t="shared" si="79"/>
        <v>Bengaluru</v>
      </c>
      <c r="V1693">
        <f t="shared" si="80"/>
        <v>0</v>
      </c>
    </row>
    <row r="1694" spans="1:22" ht="15" customHeight="1" x14ac:dyDescent="0.35">
      <c r="A1694" s="3" t="s">
        <v>2131</v>
      </c>
      <c r="B1694" s="4">
        <v>45397</v>
      </c>
      <c r="C1694" s="3" t="s">
        <v>1236</v>
      </c>
      <c r="D1694" s="3" t="s">
        <v>299</v>
      </c>
      <c r="E1694" s="3" t="s">
        <v>177</v>
      </c>
      <c r="F1694" s="5">
        <v>1</v>
      </c>
      <c r="G1694" s="5">
        <v>5410</v>
      </c>
      <c r="H1694" s="5">
        <v>22.8</v>
      </c>
      <c r="I1694" s="5">
        <v>4176.5200000000004</v>
      </c>
      <c r="J1694" s="3" t="s">
        <v>26</v>
      </c>
      <c r="K1694" s="3" t="s">
        <v>51</v>
      </c>
      <c r="L1694" t="str">
        <f>IFERROR(VLOOKUP(D1694,Products!$A$2:$F$61,3,FALSE()),"")</f>
        <v>Sports</v>
      </c>
      <c r="M1694" t="str">
        <f>IFERROR(VLOOKUP(E1694,Sales_Reps!$A$2:$C$31,3,FALSE()),"")</f>
        <v>East</v>
      </c>
      <c r="N1694">
        <f>IFERROR(VLOOKUP(D1694,Products!$A$2:$F$61,4,FALSE()),"")</f>
        <v>2265</v>
      </c>
      <c r="O1694" t="str">
        <f>IFERROR(VLOOKUP(C1694,Customers!$A$2:$F$301,5,FALSE()),"")</f>
        <v>Retail</v>
      </c>
      <c r="P1694">
        <f>IFERROR(VLOOKUP(C1694,Customers!$A$2:$F$301,3,FALSE()),"")</f>
        <v>38</v>
      </c>
      <c r="Q1694">
        <f t="shared" si="78"/>
        <v>0.58133086876155271</v>
      </c>
      <c r="R1694">
        <f>IF(AND(COUNTIF($A$2:$A$2047,A1694)&gt;1,COUNTIF($A$2:A1694,A1694)=1),1,0)</f>
        <v>0</v>
      </c>
      <c r="S1694" t="b">
        <f>IFERROR(VLOOKUP(D1694,Products!$A$2:$F$61,6,FALSE()),"")</f>
        <v>1</v>
      </c>
      <c r="T1694" t="str">
        <f>IF(COUNTIF(Customers!$A$2:$A$301,C1694)=0,"Missing","OK")</f>
        <v>OK</v>
      </c>
      <c r="U1694" t="str">
        <f t="shared" si="79"/>
        <v>Mumbai</v>
      </c>
      <c r="V1694">
        <f t="shared" si="80"/>
        <v>0</v>
      </c>
    </row>
    <row r="1695" spans="1:22" ht="15" customHeight="1" x14ac:dyDescent="0.35">
      <c r="A1695" s="3" t="s">
        <v>2132</v>
      </c>
      <c r="B1695" s="4">
        <v>45629</v>
      </c>
      <c r="C1695" s="3" t="s">
        <v>1200</v>
      </c>
      <c r="D1695" s="3" t="s">
        <v>206</v>
      </c>
      <c r="E1695" s="3" t="s">
        <v>78</v>
      </c>
      <c r="F1695" s="5">
        <v>7</v>
      </c>
      <c r="G1695" s="5">
        <v>1220</v>
      </c>
      <c r="H1695" s="5">
        <v>18.8</v>
      </c>
      <c r="I1695" s="5">
        <v>6934.48</v>
      </c>
      <c r="J1695" s="3" t="s">
        <v>32</v>
      </c>
      <c r="K1695" s="3" t="s">
        <v>56</v>
      </c>
      <c r="L1695" t="str">
        <f>IFERROR(VLOOKUP(D1695,Products!$A$2:$F$61,3,FALSE()),"")</f>
        <v>Electronics</v>
      </c>
      <c r="M1695" t="str">
        <f>IFERROR(VLOOKUP(E1695,Sales_Reps!$A$2:$C$31,3,FALSE()),"")</f>
        <v>North</v>
      </c>
      <c r="N1695">
        <f>IFERROR(VLOOKUP(D1695,Products!$A$2:$F$61,4,FALSE()),"")</f>
        <v>517</v>
      </c>
      <c r="O1695" t="str">
        <f>IFERROR(VLOOKUP(C1695,Customers!$A$2:$F$301,5,FALSE()),"")</f>
        <v>Retail</v>
      </c>
      <c r="P1695">
        <f>IFERROR(VLOOKUP(C1695,Customers!$A$2:$F$301,3,FALSE()),"")</f>
        <v>54</v>
      </c>
      <c r="Q1695">
        <f t="shared" si="78"/>
        <v>0.57622950819672136</v>
      </c>
      <c r="R1695">
        <f>IF(AND(COUNTIF($A$2:$A$2047,A1695)&gt;1,COUNTIF($A$2:A1695,A1695)=1),1,0)</f>
        <v>0</v>
      </c>
      <c r="S1695" t="b">
        <f>IFERROR(VLOOKUP(D1695,Products!$A$2:$F$61,6,FALSE()),"")</f>
        <v>1</v>
      </c>
      <c r="T1695" t="str">
        <f>IF(COUNTIF(Customers!$A$2:$A$301,C1695)=0,"Missing","OK")</f>
        <v>OK</v>
      </c>
      <c r="U1695" t="str">
        <f t="shared" si="79"/>
        <v>Bengaluru</v>
      </c>
      <c r="V1695">
        <f t="shared" si="80"/>
        <v>0</v>
      </c>
    </row>
    <row r="1696" spans="1:22" ht="15" customHeight="1" x14ac:dyDescent="0.35">
      <c r="A1696" s="3" t="s">
        <v>2133</v>
      </c>
      <c r="B1696" s="4">
        <v>45595</v>
      </c>
      <c r="C1696" s="3" t="s">
        <v>120</v>
      </c>
      <c r="D1696" s="3" t="s">
        <v>441</v>
      </c>
      <c r="E1696" s="3" t="s">
        <v>60</v>
      </c>
      <c r="F1696" s="5">
        <v>1</v>
      </c>
      <c r="G1696" s="5">
        <v>1090</v>
      </c>
      <c r="H1696" s="5">
        <v>23.5</v>
      </c>
      <c r="I1696" s="5">
        <v>833.85</v>
      </c>
      <c r="J1696" s="3" t="s">
        <v>26</v>
      </c>
      <c r="K1696" s="3" t="s">
        <v>38</v>
      </c>
      <c r="L1696" t="str">
        <f>IFERROR(VLOOKUP(D1696,Products!$A$2:$F$61,3,FALSE()),"")</f>
        <v>Home</v>
      </c>
      <c r="M1696" t="str">
        <f>IFERROR(VLOOKUP(E1696,Sales_Reps!$A$2:$C$31,3,FALSE()),"")</f>
        <v>East</v>
      </c>
      <c r="N1696">
        <f>IFERROR(VLOOKUP(D1696,Products!$A$2:$F$61,4,FALSE()),"")</f>
        <v>464</v>
      </c>
      <c r="O1696" t="str">
        <f>IFERROR(VLOOKUP(C1696,Customers!$A$2:$F$301,5,FALSE()),"")</f>
        <v>Retail</v>
      </c>
      <c r="P1696">
        <f>IFERROR(VLOOKUP(C1696,Customers!$A$2:$F$301,3,FALSE()),"")</f>
        <v>31</v>
      </c>
      <c r="Q1696">
        <f t="shared" si="78"/>
        <v>0.57431192660550456</v>
      </c>
      <c r="R1696">
        <f>IF(AND(COUNTIF($A$2:$A$2047,A1696)&gt;1,COUNTIF($A$2:A1696,A1696)=1),1,0)</f>
        <v>0</v>
      </c>
      <c r="S1696" t="b">
        <f>IFERROR(VLOOKUP(D1696,Products!$A$2:$F$61,6,FALSE()),"")</f>
        <v>1</v>
      </c>
      <c r="T1696" t="str">
        <f>IF(COUNTIF(Customers!$A$2:$A$301,C1696)=0,"Missing","OK")</f>
        <v>OK</v>
      </c>
      <c r="U1696" t="str">
        <f t="shared" si="79"/>
        <v>Delhi</v>
      </c>
      <c r="V1696">
        <f t="shared" si="80"/>
        <v>0</v>
      </c>
    </row>
    <row r="1697" spans="1:22" ht="15" customHeight="1" x14ac:dyDescent="0.35">
      <c r="A1697" s="3" t="s">
        <v>2134</v>
      </c>
      <c r="B1697" s="4">
        <v>45531</v>
      </c>
      <c r="C1697" s="3" t="s">
        <v>860</v>
      </c>
      <c r="D1697" s="3" t="s">
        <v>139</v>
      </c>
      <c r="E1697" s="3" t="s">
        <v>93</v>
      </c>
      <c r="F1697" s="5">
        <v>2</v>
      </c>
      <c r="G1697" s="5">
        <v>2760</v>
      </c>
      <c r="H1697" s="5">
        <v>2.2999999999999998</v>
      </c>
      <c r="I1697" s="5">
        <v>5393.04</v>
      </c>
      <c r="J1697" s="3" t="s">
        <v>26</v>
      </c>
      <c r="K1697" s="3" t="s">
        <v>56</v>
      </c>
      <c r="L1697" t="str">
        <f>IFERROR(VLOOKUP(D1697,Products!$A$2:$F$61,3,FALSE()),"")</f>
        <v>Grocery</v>
      </c>
      <c r="M1697" t="str">
        <f>IFERROR(VLOOKUP(E1697,Sales_Reps!$A$2:$C$31,3,FALSE()),"")</f>
        <v>East</v>
      </c>
      <c r="N1697">
        <f>IFERROR(VLOOKUP(D1697,Products!$A$2:$F$61,4,FALSE()),"")</f>
        <v>1435</v>
      </c>
      <c r="O1697" t="str">
        <f>IFERROR(VLOOKUP(C1697,Customers!$A$2:$F$301,5,FALSE()),"")</f>
        <v>Retail</v>
      </c>
      <c r="P1697">
        <f>IFERROR(VLOOKUP(C1697,Customers!$A$2:$F$301,3,FALSE()),"")</f>
        <v>28</v>
      </c>
      <c r="Q1697">
        <f t="shared" si="78"/>
        <v>0.48007246376811596</v>
      </c>
      <c r="R1697">
        <f>IF(AND(COUNTIF($A$2:$A$2047,A1697)&gt;1,COUNTIF($A$2:A1697,A1697)=1),1,0)</f>
        <v>0</v>
      </c>
      <c r="S1697" t="b">
        <f>IFERROR(VLOOKUP(D1697,Products!$A$2:$F$61,6,FALSE()),"")</f>
        <v>1</v>
      </c>
      <c r="T1697" t="str">
        <f>IF(COUNTIF(Customers!$A$2:$A$301,C1697)=0,"Missing","OK")</f>
        <v>OK</v>
      </c>
      <c r="U1697" t="str">
        <f t="shared" si="79"/>
        <v>Bengaluru</v>
      </c>
      <c r="V1697">
        <f t="shared" si="80"/>
        <v>5393.04</v>
      </c>
    </row>
    <row r="1698" spans="1:22" ht="15" customHeight="1" x14ac:dyDescent="0.35">
      <c r="A1698" s="3" t="s">
        <v>2135</v>
      </c>
      <c r="B1698" s="4">
        <v>45626</v>
      </c>
      <c r="C1698" s="3" t="s">
        <v>500</v>
      </c>
      <c r="D1698" s="3" t="s">
        <v>126</v>
      </c>
      <c r="E1698" s="3" t="s">
        <v>140</v>
      </c>
      <c r="F1698" s="5">
        <v>3</v>
      </c>
      <c r="G1698" s="5">
        <v>3570</v>
      </c>
      <c r="H1698" s="5">
        <v>18.399999999999999</v>
      </c>
      <c r="I1698" s="5">
        <v>8739.36</v>
      </c>
      <c r="J1698" s="3" t="s">
        <v>83</v>
      </c>
      <c r="K1698" s="3" t="s">
        <v>72</v>
      </c>
      <c r="L1698" t="str">
        <f>IFERROR(VLOOKUP(D1698,Products!$A$2:$F$61,3,FALSE()),"")</f>
        <v>Electronics</v>
      </c>
      <c r="M1698" t="str">
        <f>IFERROR(VLOOKUP(E1698,Sales_Reps!$A$2:$C$31,3,FALSE()),"")</f>
        <v>West</v>
      </c>
      <c r="N1698">
        <f>IFERROR(VLOOKUP(D1698,Products!$A$2:$F$61,4,FALSE()),"")</f>
        <v>1665</v>
      </c>
      <c r="O1698" t="str">
        <f>IFERROR(VLOOKUP(C1698,Customers!$A$2:$F$301,5,FALSE()),"")</f>
        <v>SMB</v>
      </c>
      <c r="P1698">
        <f>IFERROR(VLOOKUP(C1698,Customers!$A$2:$F$301,3,FALSE()),"")</f>
        <v>43</v>
      </c>
      <c r="Q1698">
        <f t="shared" si="78"/>
        <v>0.53361344537815125</v>
      </c>
      <c r="R1698">
        <f>IF(AND(COUNTIF($A$2:$A$2047,A1698)&gt;1,COUNTIF($A$2:A1698,A1698)=1),1,0)</f>
        <v>0</v>
      </c>
      <c r="S1698" t="b">
        <f>IFERROR(VLOOKUP(D1698,Products!$A$2:$F$61,6,FALSE()),"")</f>
        <v>1</v>
      </c>
      <c r="T1698" t="str">
        <f>IF(COUNTIF(Customers!$A$2:$A$301,C1698)=0,"Missing","OK")</f>
        <v>OK</v>
      </c>
      <c r="U1698" t="str">
        <f t="shared" si="79"/>
        <v>Hyderabad</v>
      </c>
      <c r="V1698">
        <f t="shared" si="80"/>
        <v>0</v>
      </c>
    </row>
    <row r="1699" spans="1:22" ht="15" customHeight="1" x14ac:dyDescent="0.35">
      <c r="A1699" s="3" t="s">
        <v>2136</v>
      </c>
      <c r="B1699" s="4">
        <v>45502</v>
      </c>
      <c r="C1699" s="3" t="s">
        <v>628</v>
      </c>
      <c r="D1699" s="3" t="s">
        <v>206</v>
      </c>
      <c r="E1699" s="3" t="s">
        <v>78</v>
      </c>
      <c r="F1699" s="5">
        <v>7</v>
      </c>
      <c r="G1699" s="5">
        <v>1220</v>
      </c>
      <c r="H1699" s="5">
        <v>25.8</v>
      </c>
      <c r="I1699" s="5">
        <v>6336.68</v>
      </c>
      <c r="J1699" s="3" t="s">
        <v>83</v>
      </c>
      <c r="K1699" s="3" t="s">
        <v>72</v>
      </c>
      <c r="L1699" t="str">
        <f>IFERROR(VLOOKUP(D1699,Products!$A$2:$F$61,3,FALSE()),"")</f>
        <v>Electronics</v>
      </c>
      <c r="M1699" t="str">
        <f>IFERROR(VLOOKUP(E1699,Sales_Reps!$A$2:$C$31,3,FALSE()),"")</f>
        <v>North</v>
      </c>
      <c r="N1699">
        <f>IFERROR(VLOOKUP(D1699,Products!$A$2:$F$61,4,FALSE()),"")</f>
        <v>517</v>
      </c>
      <c r="O1699" t="str">
        <f>IFERROR(VLOOKUP(C1699,Customers!$A$2:$F$301,5,FALSE()),"")</f>
        <v>Retail</v>
      </c>
      <c r="P1699">
        <f>IFERROR(VLOOKUP(C1699,Customers!$A$2:$F$301,3,FALSE()),"")</f>
        <v>28</v>
      </c>
      <c r="Q1699">
        <f t="shared" si="78"/>
        <v>0.57622950819672136</v>
      </c>
      <c r="R1699">
        <f>IF(AND(COUNTIF($A$2:$A$2047,A1699)&gt;1,COUNTIF($A$2:A1699,A1699)=1),1,0)</f>
        <v>0</v>
      </c>
      <c r="S1699" t="b">
        <f>IFERROR(VLOOKUP(D1699,Products!$A$2:$F$61,6,FALSE()),"")</f>
        <v>1</v>
      </c>
      <c r="T1699" t="str">
        <f>IF(COUNTIF(Customers!$A$2:$A$301,C1699)=0,"Missing","OK")</f>
        <v>OK</v>
      </c>
      <c r="U1699" t="str">
        <f t="shared" si="79"/>
        <v>Hyderabad</v>
      </c>
      <c r="V1699">
        <f t="shared" si="80"/>
        <v>0</v>
      </c>
    </row>
    <row r="1700" spans="1:22" ht="15" customHeight="1" x14ac:dyDescent="0.35">
      <c r="A1700" s="3" t="s">
        <v>2137</v>
      </c>
      <c r="B1700" s="4">
        <v>45501</v>
      </c>
      <c r="C1700" s="3" t="s">
        <v>1111</v>
      </c>
      <c r="D1700" s="3" t="s">
        <v>100</v>
      </c>
      <c r="E1700" s="3" t="s">
        <v>168</v>
      </c>
      <c r="F1700" s="5">
        <v>6</v>
      </c>
      <c r="G1700" s="5">
        <v>3450</v>
      </c>
      <c r="H1700" s="5">
        <v>13.1</v>
      </c>
      <c r="I1700" s="5">
        <v>17988.3</v>
      </c>
      <c r="J1700" s="3" t="s">
        <v>26</v>
      </c>
      <c r="K1700" s="3" t="s">
        <v>27</v>
      </c>
      <c r="L1700" t="str">
        <f>IFERROR(VLOOKUP(D1700,Products!$A$2:$F$61,3,FALSE()),"")</f>
        <v>Sports</v>
      </c>
      <c r="M1700" t="str">
        <f>IFERROR(VLOOKUP(E1700,Sales_Reps!$A$2:$C$31,3,FALSE()),"")</f>
        <v>West</v>
      </c>
      <c r="N1700">
        <f>IFERROR(VLOOKUP(D1700,Products!$A$2:$F$61,4,FALSE()),"")</f>
        <v>2467</v>
      </c>
      <c r="O1700" t="str">
        <f>IFERROR(VLOOKUP(C1700,Customers!$A$2:$F$301,5,FALSE()),"")</f>
        <v>Retail</v>
      </c>
      <c r="P1700">
        <f>IFERROR(VLOOKUP(C1700,Customers!$A$2:$F$301,3,FALSE()),"")</f>
        <v>39</v>
      </c>
      <c r="Q1700">
        <f t="shared" si="78"/>
        <v>0.28492753623188405</v>
      </c>
      <c r="R1700">
        <f>IF(AND(COUNTIF($A$2:$A$2047,A1700)&gt;1,COUNTIF($A$2:A1700,A1700)=1),1,0)</f>
        <v>0</v>
      </c>
      <c r="S1700" t="b">
        <f>IFERROR(VLOOKUP(D1700,Products!$A$2:$F$61,6,FALSE()),"")</f>
        <v>1</v>
      </c>
      <c r="T1700" t="str">
        <f>IF(COUNTIF(Customers!$A$2:$A$301,C1700)=0,"Missing","OK")</f>
        <v>OK</v>
      </c>
      <c r="U1700" t="str">
        <f t="shared" si="79"/>
        <v>Pune</v>
      </c>
      <c r="V1700">
        <f t="shared" si="80"/>
        <v>0</v>
      </c>
    </row>
    <row r="1701" spans="1:22" ht="15" customHeight="1" x14ac:dyDescent="0.35">
      <c r="A1701" s="3" t="s">
        <v>2138</v>
      </c>
      <c r="B1701" s="4">
        <v>45435</v>
      </c>
      <c r="C1701" s="3" t="s">
        <v>48</v>
      </c>
      <c r="D1701" s="3" t="s">
        <v>277</v>
      </c>
      <c r="E1701" s="3" t="s">
        <v>78</v>
      </c>
      <c r="F1701" s="5">
        <v>10</v>
      </c>
      <c r="G1701" s="5">
        <v>2210</v>
      </c>
      <c r="H1701" s="5">
        <v>16.600000000000001</v>
      </c>
      <c r="I1701" s="5">
        <v>18431.400000000001</v>
      </c>
      <c r="J1701" s="3" t="s">
        <v>26</v>
      </c>
      <c r="K1701" s="3" t="s">
        <v>51</v>
      </c>
      <c r="L1701" t="str">
        <f>IFERROR(VLOOKUP(D1701,Products!$A$2:$F$61,3,FALSE()),"")</f>
        <v>Grocery</v>
      </c>
      <c r="M1701" t="str">
        <f>IFERROR(VLOOKUP(E1701,Sales_Reps!$A$2:$C$31,3,FALSE()),"")</f>
        <v>North</v>
      </c>
      <c r="N1701">
        <f>IFERROR(VLOOKUP(D1701,Products!$A$2:$F$61,4,FALSE()),"")</f>
        <v>1010</v>
      </c>
      <c r="O1701" t="str">
        <f>IFERROR(VLOOKUP(C1701,Customers!$A$2:$F$301,5,FALSE()),"")</f>
        <v>Retail</v>
      </c>
      <c r="P1701">
        <f>IFERROR(VLOOKUP(C1701,Customers!$A$2:$F$301,3,FALSE()),"")</f>
        <v>36</v>
      </c>
      <c r="Q1701">
        <f t="shared" si="78"/>
        <v>0.54298642533936647</v>
      </c>
      <c r="R1701">
        <f>IF(AND(COUNTIF($A$2:$A$2047,A1701)&gt;1,COUNTIF($A$2:A1701,A1701)=1),1,0)</f>
        <v>0</v>
      </c>
      <c r="S1701" t="b">
        <f>IFERROR(VLOOKUP(D1701,Products!$A$2:$F$61,6,FALSE()),"")</f>
        <v>1</v>
      </c>
      <c r="T1701" t="str">
        <f>IF(COUNTIF(Customers!$A$2:$A$301,C1701)=0,"Missing","OK")</f>
        <v>OK</v>
      </c>
      <c r="U1701" t="str">
        <f t="shared" si="79"/>
        <v>Mumbai</v>
      </c>
      <c r="V1701">
        <f t="shared" si="80"/>
        <v>0</v>
      </c>
    </row>
    <row r="1702" spans="1:22" ht="15" customHeight="1" x14ac:dyDescent="0.35">
      <c r="A1702" s="3" t="s">
        <v>2139</v>
      </c>
      <c r="B1702" s="4">
        <v>45295</v>
      </c>
      <c r="C1702" s="3" t="s">
        <v>355</v>
      </c>
      <c r="D1702" s="3" t="s">
        <v>106</v>
      </c>
      <c r="E1702" s="3" t="s">
        <v>282</v>
      </c>
      <c r="F1702" s="5">
        <v>10</v>
      </c>
      <c r="G1702" s="5">
        <v>2480</v>
      </c>
      <c r="H1702" s="5">
        <v>17.5</v>
      </c>
      <c r="I1702" s="5">
        <v>20460</v>
      </c>
      <c r="J1702" s="3" t="s">
        <v>26</v>
      </c>
      <c r="K1702" s="3" t="s">
        <v>56</v>
      </c>
      <c r="L1702" t="str">
        <f>IFERROR(VLOOKUP(D1702,Products!$A$2:$F$61,3,FALSE()),"")</f>
        <v>Apparel</v>
      </c>
      <c r="M1702" t="str">
        <f>IFERROR(VLOOKUP(E1702,Sales_Reps!$A$2:$C$31,3,FALSE()),"")</f>
        <v>West</v>
      </c>
      <c r="N1702">
        <f>IFERROR(VLOOKUP(D1702,Products!$A$2:$F$61,4,FALSE()),"")</f>
        <v>1173</v>
      </c>
      <c r="O1702" t="str">
        <f>IFERROR(VLOOKUP(C1702,Customers!$A$2:$F$301,5,FALSE()),"")</f>
        <v>Corporate</v>
      </c>
      <c r="P1702">
        <f>IFERROR(VLOOKUP(C1702,Customers!$A$2:$F$301,3,FALSE()),"")</f>
        <v>42</v>
      </c>
      <c r="Q1702">
        <f t="shared" si="78"/>
        <v>0.52701612903225803</v>
      </c>
      <c r="R1702">
        <f>IF(AND(COUNTIF($A$2:$A$2047,A1702)&gt;1,COUNTIF($A$2:A1702,A1702)=1),1,0)</f>
        <v>0</v>
      </c>
      <c r="S1702" t="b">
        <f>IFERROR(VLOOKUP(D1702,Products!$A$2:$F$61,6,FALSE()),"")</f>
        <v>1</v>
      </c>
      <c r="T1702" t="str">
        <f>IF(COUNTIF(Customers!$A$2:$A$301,C1702)=0,"Missing","OK")</f>
        <v>OK</v>
      </c>
      <c r="U1702" t="str">
        <f t="shared" si="79"/>
        <v>Bengaluru</v>
      </c>
      <c r="V1702">
        <f t="shared" si="80"/>
        <v>0</v>
      </c>
    </row>
    <row r="1703" spans="1:22" ht="15" customHeight="1" x14ac:dyDescent="0.35">
      <c r="A1703" s="3" t="s">
        <v>2140</v>
      </c>
      <c r="B1703" s="4">
        <v>45566</v>
      </c>
      <c r="C1703" s="3" t="s">
        <v>1111</v>
      </c>
      <c r="D1703" s="3" t="s">
        <v>82</v>
      </c>
      <c r="E1703" s="3" t="s">
        <v>60</v>
      </c>
      <c r="F1703" s="5">
        <v>9</v>
      </c>
      <c r="G1703" s="5">
        <v>3250</v>
      </c>
      <c r="H1703" s="5">
        <v>25.9</v>
      </c>
      <c r="I1703" s="5">
        <v>21674.25</v>
      </c>
      <c r="J1703" s="3" t="s">
        <v>26</v>
      </c>
      <c r="K1703" s="3" t="s">
        <v>27</v>
      </c>
      <c r="L1703" t="str">
        <f>IFERROR(VLOOKUP(D1703,Products!$A$2:$F$61,3,FALSE()),"")</f>
        <v>Home</v>
      </c>
      <c r="M1703" t="str">
        <f>IFERROR(VLOOKUP(E1703,Sales_Reps!$A$2:$C$31,3,FALSE()),"")</f>
        <v>East</v>
      </c>
      <c r="N1703">
        <f>IFERROR(VLOOKUP(D1703,Products!$A$2:$F$61,4,FALSE()),"")</f>
        <v>1556</v>
      </c>
      <c r="O1703" t="str">
        <f>IFERROR(VLOOKUP(C1703,Customers!$A$2:$F$301,5,FALSE()),"")</f>
        <v>Retail</v>
      </c>
      <c r="P1703">
        <f>IFERROR(VLOOKUP(C1703,Customers!$A$2:$F$301,3,FALSE()),"")</f>
        <v>39</v>
      </c>
      <c r="Q1703">
        <f t="shared" si="78"/>
        <v>0.52123076923076928</v>
      </c>
      <c r="R1703">
        <f>IF(AND(COUNTIF($A$2:$A$2047,A1703)&gt;1,COUNTIF($A$2:A1703,A1703)=1),1,0)</f>
        <v>0</v>
      </c>
      <c r="S1703" t="b">
        <f>IFERROR(VLOOKUP(D1703,Products!$A$2:$F$61,6,FALSE()),"")</f>
        <v>1</v>
      </c>
      <c r="T1703" t="str">
        <f>IF(COUNTIF(Customers!$A$2:$A$301,C1703)=0,"Missing","OK")</f>
        <v>OK</v>
      </c>
      <c r="U1703" t="str">
        <f t="shared" si="79"/>
        <v>Pune</v>
      </c>
      <c r="V1703">
        <f t="shared" si="80"/>
        <v>0</v>
      </c>
    </row>
    <row r="1704" spans="1:22" ht="15" customHeight="1" x14ac:dyDescent="0.35">
      <c r="A1704" s="3" t="s">
        <v>2141</v>
      </c>
      <c r="B1704" s="4">
        <v>45474</v>
      </c>
      <c r="C1704" s="3" t="s">
        <v>776</v>
      </c>
      <c r="D1704" s="3" t="s">
        <v>90</v>
      </c>
      <c r="E1704" s="3" t="s">
        <v>46</v>
      </c>
      <c r="F1704" s="5">
        <v>3</v>
      </c>
      <c r="G1704" s="5">
        <v>2400</v>
      </c>
      <c r="H1704" s="5">
        <v>17.5</v>
      </c>
      <c r="I1704" s="5">
        <v>5940</v>
      </c>
      <c r="J1704" s="3" t="s">
        <v>26</v>
      </c>
      <c r="K1704" s="3" t="s">
        <v>56</v>
      </c>
      <c r="L1704" t="str">
        <f>IFERROR(VLOOKUP(D1704,Products!$A$2:$F$61,3,FALSE()),"")</f>
        <v>Sports</v>
      </c>
      <c r="M1704" t="str">
        <f>IFERROR(VLOOKUP(E1704,Sales_Reps!$A$2:$C$31,3,FALSE()),"")</f>
        <v>North</v>
      </c>
      <c r="N1704">
        <f>IFERROR(VLOOKUP(D1704,Products!$A$2:$F$61,4,FALSE()),"")</f>
        <v>974</v>
      </c>
      <c r="O1704" t="str">
        <f>IFERROR(VLOOKUP(C1704,Customers!$A$2:$F$301,5,FALSE()),"")</f>
        <v>Retail</v>
      </c>
      <c r="P1704">
        <f>IFERROR(VLOOKUP(C1704,Customers!$A$2:$F$301,3,FALSE()),"")</f>
        <v>37</v>
      </c>
      <c r="Q1704">
        <f t="shared" si="78"/>
        <v>0.59416666666666662</v>
      </c>
      <c r="R1704">
        <f>IF(AND(COUNTIF($A$2:$A$2047,A1704)&gt;1,COUNTIF($A$2:A1704,A1704)=1),1,0)</f>
        <v>0</v>
      </c>
      <c r="S1704" t="b">
        <f>IFERROR(VLOOKUP(D1704,Products!$A$2:$F$61,6,FALSE()),"")</f>
        <v>1</v>
      </c>
      <c r="T1704" t="str">
        <f>IF(COUNTIF(Customers!$A$2:$A$301,C1704)=0,"Missing","OK")</f>
        <v>OK</v>
      </c>
      <c r="U1704" t="str">
        <f t="shared" si="79"/>
        <v>Bengaluru</v>
      </c>
      <c r="V1704">
        <f t="shared" si="80"/>
        <v>0</v>
      </c>
    </row>
    <row r="1705" spans="1:22" ht="15" customHeight="1" x14ac:dyDescent="0.35">
      <c r="A1705" s="3" t="s">
        <v>2142</v>
      </c>
      <c r="B1705" s="4">
        <v>45372</v>
      </c>
      <c r="C1705" s="3" t="s">
        <v>230</v>
      </c>
      <c r="D1705" s="3" t="s">
        <v>299</v>
      </c>
      <c r="E1705" s="3" t="s">
        <v>42</v>
      </c>
      <c r="F1705" s="5">
        <v>8</v>
      </c>
      <c r="G1705" s="5">
        <v>5410</v>
      </c>
      <c r="H1705" s="5">
        <v>8.3000000000000007</v>
      </c>
      <c r="I1705" s="5">
        <v>39687.760000000002</v>
      </c>
      <c r="J1705" s="3" t="s">
        <v>26</v>
      </c>
      <c r="K1705" s="3" t="s">
        <v>38</v>
      </c>
      <c r="L1705" t="str">
        <f>IFERROR(VLOOKUP(D1705,Products!$A$2:$F$61,3,FALSE()),"")</f>
        <v>Sports</v>
      </c>
      <c r="M1705" t="str">
        <f>IFERROR(VLOOKUP(E1705,Sales_Reps!$A$2:$C$31,3,FALSE()),"")</f>
        <v>North</v>
      </c>
      <c r="N1705">
        <f>IFERROR(VLOOKUP(D1705,Products!$A$2:$F$61,4,FALSE()),"")</f>
        <v>2265</v>
      </c>
      <c r="O1705" t="str">
        <f>IFERROR(VLOOKUP(C1705,Customers!$A$2:$F$301,5,FALSE()),"")</f>
        <v>Retail</v>
      </c>
      <c r="P1705">
        <f>IFERROR(VLOOKUP(C1705,Customers!$A$2:$F$301,3,FALSE()),"")</f>
        <v>35</v>
      </c>
      <c r="Q1705">
        <f t="shared" si="78"/>
        <v>0.58133086876155271</v>
      </c>
      <c r="R1705">
        <f>IF(AND(COUNTIF($A$2:$A$2047,A1705)&gt;1,COUNTIF($A$2:A1705,A1705)=1),1,0)</f>
        <v>0</v>
      </c>
      <c r="S1705" t="b">
        <f>IFERROR(VLOOKUP(D1705,Products!$A$2:$F$61,6,FALSE()),"")</f>
        <v>1</v>
      </c>
      <c r="T1705" t="str">
        <f>IF(COUNTIF(Customers!$A$2:$A$301,C1705)=0,"Missing","OK")</f>
        <v>OK</v>
      </c>
      <c r="U1705" t="str">
        <f t="shared" si="79"/>
        <v>Delhi</v>
      </c>
      <c r="V1705">
        <f t="shared" si="80"/>
        <v>0</v>
      </c>
    </row>
    <row r="1706" spans="1:22" ht="15" customHeight="1" x14ac:dyDescent="0.35">
      <c r="A1706" s="3" t="s">
        <v>2143</v>
      </c>
      <c r="B1706" s="4">
        <v>45622</v>
      </c>
      <c r="C1706" s="3" t="s">
        <v>774</v>
      </c>
      <c r="D1706" s="3" t="s">
        <v>77</v>
      </c>
      <c r="E1706" s="3" t="s">
        <v>242</v>
      </c>
      <c r="F1706" s="5">
        <v>1</v>
      </c>
      <c r="G1706" s="5">
        <v>2600</v>
      </c>
      <c r="H1706" s="5">
        <v>5.9</v>
      </c>
      <c r="I1706" s="5">
        <v>2446.6</v>
      </c>
      <c r="J1706" s="3" t="s">
        <v>26</v>
      </c>
      <c r="K1706" s="3" t="s">
        <v>56</v>
      </c>
      <c r="L1706" t="str">
        <f>IFERROR(VLOOKUP(D1706,Products!$A$2:$F$61,3,FALSE()),"")</f>
        <v>Electronics</v>
      </c>
      <c r="M1706" t="str">
        <f>IFERROR(VLOOKUP(E1706,Sales_Reps!$A$2:$C$31,3,FALSE()),"")</f>
        <v>East</v>
      </c>
      <c r="N1706">
        <f>IFERROR(VLOOKUP(D1706,Products!$A$2:$F$61,4,FALSE()),"")</f>
        <v>1052</v>
      </c>
      <c r="O1706" t="str">
        <f>IFERROR(VLOOKUP(C1706,Customers!$A$2:$F$301,5,FALSE()),"")</f>
        <v>Retail</v>
      </c>
      <c r="P1706">
        <f>IFERROR(VLOOKUP(C1706,Customers!$A$2:$F$301,3,FALSE()),"")</f>
        <v>52</v>
      </c>
      <c r="Q1706">
        <f t="shared" si="78"/>
        <v>0.5953846153846154</v>
      </c>
      <c r="R1706">
        <f>IF(AND(COUNTIF($A$2:$A$2047,A1706)&gt;1,COUNTIF($A$2:A1706,A1706)=1),1,0)</f>
        <v>0</v>
      </c>
      <c r="S1706" t="b">
        <f>IFERROR(VLOOKUP(D1706,Products!$A$2:$F$61,6,FALSE()),"")</f>
        <v>1</v>
      </c>
      <c r="T1706" t="str">
        <f>IF(COUNTIF(Customers!$A$2:$A$301,C1706)=0,"Missing","OK")</f>
        <v>OK</v>
      </c>
      <c r="U1706" t="str">
        <f t="shared" si="79"/>
        <v>Bengaluru</v>
      </c>
      <c r="V1706">
        <f t="shared" si="80"/>
        <v>0</v>
      </c>
    </row>
    <row r="1707" spans="1:22" ht="15" customHeight="1" x14ac:dyDescent="0.35">
      <c r="A1707" s="3" t="s">
        <v>2144</v>
      </c>
      <c r="B1707" s="4">
        <v>45603</v>
      </c>
      <c r="C1707" s="3" t="s">
        <v>305</v>
      </c>
      <c r="D1707" s="3" t="s">
        <v>290</v>
      </c>
      <c r="E1707" s="3" t="s">
        <v>87</v>
      </c>
      <c r="F1707" s="5">
        <v>10</v>
      </c>
      <c r="G1707" s="5">
        <v>4060</v>
      </c>
      <c r="H1707" s="5">
        <v>2.2999999999999998</v>
      </c>
      <c r="I1707" s="5">
        <v>39666.199999999997</v>
      </c>
      <c r="J1707" s="3" t="s">
        <v>26</v>
      </c>
      <c r="K1707" s="3" t="s">
        <v>51</v>
      </c>
      <c r="L1707" t="str">
        <f>IFERROR(VLOOKUP(D1707,Products!$A$2:$F$61,3,FALSE()),"")</f>
        <v>Grocery</v>
      </c>
      <c r="M1707" t="str">
        <f>IFERROR(VLOOKUP(E1707,Sales_Reps!$A$2:$C$31,3,FALSE()),"")</f>
        <v>North</v>
      </c>
      <c r="N1707">
        <f>IFERROR(VLOOKUP(D1707,Products!$A$2:$F$61,4,FALSE()),"")</f>
        <v>2911</v>
      </c>
      <c r="O1707" t="str">
        <f>IFERROR(VLOOKUP(C1707,Customers!$A$2:$F$301,5,FALSE()),"")</f>
        <v>Retail</v>
      </c>
      <c r="P1707">
        <f>IFERROR(VLOOKUP(C1707,Customers!$A$2:$F$301,3,FALSE()),"")</f>
        <v>25</v>
      </c>
      <c r="Q1707">
        <f t="shared" si="78"/>
        <v>0.28300492610837441</v>
      </c>
      <c r="R1707">
        <f>IF(AND(COUNTIF($A$2:$A$2047,A1707)&gt;1,COUNTIF($A$2:A1707,A1707)=1),1,0)</f>
        <v>0</v>
      </c>
      <c r="S1707" t="b">
        <f>IFERROR(VLOOKUP(D1707,Products!$A$2:$F$61,6,FALSE()),"")</f>
        <v>1</v>
      </c>
      <c r="T1707" t="str">
        <f>IF(COUNTIF(Customers!$A$2:$A$301,C1707)=0,"Missing","OK")</f>
        <v>OK</v>
      </c>
      <c r="U1707" t="str">
        <f t="shared" si="79"/>
        <v>Mumbai</v>
      </c>
      <c r="V1707">
        <f t="shared" si="80"/>
        <v>0</v>
      </c>
    </row>
    <row r="1708" spans="1:22" ht="15" customHeight="1" x14ac:dyDescent="0.35">
      <c r="A1708" s="3" t="s">
        <v>2145</v>
      </c>
      <c r="B1708" s="4">
        <v>45352</v>
      </c>
      <c r="C1708" s="3" t="s">
        <v>668</v>
      </c>
      <c r="D1708" s="3" t="s">
        <v>303</v>
      </c>
      <c r="E1708" s="3" t="s">
        <v>131</v>
      </c>
      <c r="F1708" s="5">
        <v>9</v>
      </c>
      <c r="G1708" s="5">
        <v>5330</v>
      </c>
      <c r="H1708" s="5">
        <v>23.5</v>
      </c>
      <c r="I1708" s="5">
        <v>36697.050000000003</v>
      </c>
      <c r="J1708" s="3" t="s">
        <v>26</v>
      </c>
      <c r="K1708" s="3" t="s">
        <v>51</v>
      </c>
      <c r="L1708" t="str">
        <f>IFERROR(VLOOKUP(D1708,Products!$A$2:$F$61,3,FALSE()),"")</f>
        <v>Electronics</v>
      </c>
      <c r="M1708" t="str">
        <f>IFERROR(VLOOKUP(E1708,Sales_Reps!$A$2:$C$31,3,FALSE()),"")</f>
        <v>East</v>
      </c>
      <c r="N1708">
        <f>IFERROR(VLOOKUP(D1708,Products!$A$2:$F$61,4,FALSE()),"")</f>
        <v>2405</v>
      </c>
      <c r="O1708" t="str">
        <f>IFERROR(VLOOKUP(C1708,Customers!$A$2:$F$301,5,FALSE()),"")</f>
        <v>Retail</v>
      </c>
      <c r="P1708">
        <f>IFERROR(VLOOKUP(C1708,Customers!$A$2:$F$301,3,FALSE()),"")</f>
        <v>56</v>
      </c>
      <c r="Q1708">
        <f t="shared" si="78"/>
        <v>0.54878048780487809</v>
      </c>
      <c r="R1708">
        <f>IF(AND(COUNTIF($A$2:$A$2047,A1708)&gt;1,COUNTIF($A$2:A1708,A1708)=1),1,0)</f>
        <v>0</v>
      </c>
      <c r="S1708" t="b">
        <f>IFERROR(VLOOKUP(D1708,Products!$A$2:$F$61,6,FALSE()),"")</f>
        <v>1</v>
      </c>
      <c r="T1708" t="str">
        <f>IF(COUNTIF(Customers!$A$2:$A$301,C1708)=0,"Missing","OK")</f>
        <v>OK</v>
      </c>
      <c r="U1708" t="str">
        <f t="shared" si="79"/>
        <v>Mumbai</v>
      </c>
      <c r="V1708">
        <f t="shared" si="80"/>
        <v>0</v>
      </c>
    </row>
    <row r="1709" spans="1:22" ht="15" customHeight="1" x14ac:dyDescent="0.35">
      <c r="A1709" s="3" t="s">
        <v>2146</v>
      </c>
      <c r="B1709" s="4">
        <v>45600</v>
      </c>
      <c r="C1709" s="3" t="s">
        <v>238</v>
      </c>
      <c r="D1709" s="3" t="s">
        <v>118</v>
      </c>
      <c r="E1709" s="3" t="s">
        <v>50</v>
      </c>
      <c r="F1709" s="5">
        <v>7</v>
      </c>
      <c r="G1709" s="5">
        <v>3350</v>
      </c>
      <c r="H1709" s="5">
        <v>13.4</v>
      </c>
      <c r="I1709" s="5">
        <v>20307.7</v>
      </c>
      <c r="J1709" s="3" t="s">
        <v>32</v>
      </c>
      <c r="K1709" s="3" t="s">
        <v>72</v>
      </c>
      <c r="L1709" t="str">
        <f>IFERROR(VLOOKUP(D1709,Products!$A$2:$F$61,3,FALSE()),"")</f>
        <v>Beauty</v>
      </c>
      <c r="M1709" t="str">
        <f>IFERROR(VLOOKUP(E1709,Sales_Reps!$A$2:$C$31,3,FALSE()),"")</f>
        <v>West</v>
      </c>
      <c r="N1709">
        <f>IFERROR(VLOOKUP(D1709,Products!$A$2:$F$61,4,FALSE()),"")</f>
        <v>1728</v>
      </c>
      <c r="O1709" t="str">
        <f>IFERROR(VLOOKUP(C1709,Customers!$A$2:$F$301,5,FALSE()),"")</f>
        <v>Retail</v>
      </c>
      <c r="P1709">
        <f>IFERROR(VLOOKUP(C1709,Customers!$A$2:$F$301,3,FALSE()),"")</f>
        <v>29</v>
      </c>
      <c r="Q1709">
        <f t="shared" si="78"/>
        <v>0.48417910447761192</v>
      </c>
      <c r="R1709">
        <f>IF(AND(COUNTIF($A$2:$A$2047,A1709)&gt;1,COUNTIF($A$2:A1709,A1709)=1),1,0)</f>
        <v>0</v>
      </c>
      <c r="S1709" t="b">
        <f>IFERROR(VLOOKUP(D1709,Products!$A$2:$F$61,6,FALSE()),"")</f>
        <v>1</v>
      </c>
      <c r="T1709" t="str">
        <f>IF(COUNTIF(Customers!$A$2:$A$301,C1709)=0,"Missing","OK")</f>
        <v>OK</v>
      </c>
      <c r="U1709" t="str">
        <f t="shared" si="79"/>
        <v>Hyderabad</v>
      </c>
      <c r="V1709">
        <f t="shared" si="80"/>
        <v>0</v>
      </c>
    </row>
    <row r="1710" spans="1:22" ht="15" customHeight="1" x14ac:dyDescent="0.35">
      <c r="A1710" s="3" t="s">
        <v>2147</v>
      </c>
      <c r="B1710" s="4">
        <v>45631</v>
      </c>
      <c r="C1710" s="3" t="s">
        <v>504</v>
      </c>
      <c r="D1710" s="3" t="s">
        <v>294</v>
      </c>
      <c r="E1710" s="3" t="s">
        <v>37</v>
      </c>
      <c r="F1710" s="5">
        <v>4</v>
      </c>
      <c r="G1710" s="5">
        <v>2510</v>
      </c>
      <c r="H1710" s="5">
        <v>26.6</v>
      </c>
      <c r="I1710" s="5">
        <v>7369.36</v>
      </c>
      <c r="J1710" s="3" t="s">
        <v>26</v>
      </c>
      <c r="K1710" s="3" t="s">
        <v>51</v>
      </c>
      <c r="L1710" t="str">
        <f>IFERROR(VLOOKUP(D1710,Products!$A$2:$F$61,3,FALSE()),"")</f>
        <v>Apparel</v>
      </c>
      <c r="M1710" t="str">
        <f>IFERROR(VLOOKUP(E1710,Sales_Reps!$A$2:$C$31,3,FALSE()),"")</f>
        <v>South</v>
      </c>
      <c r="N1710">
        <f>IFERROR(VLOOKUP(D1710,Products!$A$2:$F$61,4,FALSE()),"")</f>
        <v>1075</v>
      </c>
      <c r="O1710" t="str">
        <f>IFERROR(VLOOKUP(C1710,Customers!$A$2:$F$301,5,FALSE()),"")</f>
        <v>SMB</v>
      </c>
      <c r="P1710">
        <f>IFERROR(VLOOKUP(C1710,Customers!$A$2:$F$301,3,FALSE()),"")</f>
        <v>61</v>
      </c>
      <c r="Q1710">
        <f t="shared" si="78"/>
        <v>0.57171314741035861</v>
      </c>
      <c r="R1710">
        <f>IF(AND(COUNTIF($A$2:$A$2047,A1710)&gt;1,COUNTIF($A$2:A1710,A1710)=1),1,0)</f>
        <v>0</v>
      </c>
      <c r="S1710" t="b">
        <f>IFERROR(VLOOKUP(D1710,Products!$A$2:$F$61,6,FALSE()),"")</f>
        <v>0</v>
      </c>
      <c r="T1710" t="str">
        <f>IF(COUNTIF(Customers!$A$2:$A$301,C1710)=0,"Missing","OK")</f>
        <v>OK</v>
      </c>
      <c r="U1710" t="str">
        <f t="shared" si="79"/>
        <v>Mumbai</v>
      </c>
      <c r="V1710">
        <f t="shared" si="80"/>
        <v>0</v>
      </c>
    </row>
    <row r="1711" spans="1:22" ht="15" customHeight="1" x14ac:dyDescent="0.35">
      <c r="A1711" s="3" t="s">
        <v>2148</v>
      </c>
      <c r="B1711" s="4">
        <v>45456</v>
      </c>
      <c r="C1711" s="3" t="s">
        <v>133</v>
      </c>
      <c r="D1711" s="3" t="s">
        <v>215</v>
      </c>
      <c r="E1711" s="3" t="s">
        <v>97</v>
      </c>
      <c r="F1711" s="5">
        <v>1</v>
      </c>
      <c r="G1711" s="5">
        <v>3020</v>
      </c>
      <c r="H1711" s="5">
        <v>15.2</v>
      </c>
      <c r="I1711" s="5">
        <v>2560.96</v>
      </c>
      <c r="J1711" s="3" t="s">
        <v>79</v>
      </c>
      <c r="K1711" s="3" t="s">
        <v>27</v>
      </c>
      <c r="L1711" t="str">
        <f>IFERROR(VLOOKUP(D1711,Products!$A$2:$F$61,3,FALSE()),"")</f>
        <v>Beauty</v>
      </c>
      <c r="M1711" t="str">
        <f>IFERROR(VLOOKUP(E1711,Sales_Reps!$A$2:$C$31,3,FALSE()),"")</f>
        <v>East</v>
      </c>
      <c r="N1711">
        <f>IFERROR(VLOOKUP(D1711,Products!$A$2:$F$61,4,FALSE()),"")</f>
        <v>1626</v>
      </c>
      <c r="O1711" t="str">
        <f>IFERROR(VLOOKUP(C1711,Customers!$A$2:$F$301,5,FALSE()),"")</f>
        <v>SMB</v>
      </c>
      <c r="P1711">
        <f>IFERROR(VLOOKUP(C1711,Customers!$A$2:$F$301,3,FALSE()),"")</f>
        <v>44</v>
      </c>
      <c r="Q1711">
        <f t="shared" si="78"/>
        <v>0.46158940397350995</v>
      </c>
      <c r="R1711">
        <f>IF(AND(COUNTIF($A$2:$A$2047,A1711)&gt;1,COUNTIF($A$2:A1711,A1711)=1),1,0)</f>
        <v>0</v>
      </c>
      <c r="S1711" t="b">
        <f>IFERROR(VLOOKUP(D1711,Products!$A$2:$F$61,6,FALSE()),"")</f>
        <v>1</v>
      </c>
      <c r="T1711" t="str">
        <f>IF(COUNTIF(Customers!$A$2:$A$301,C1711)=0,"Missing","OK")</f>
        <v>OK</v>
      </c>
      <c r="U1711" t="str">
        <f t="shared" si="79"/>
        <v>Pune</v>
      </c>
      <c r="V1711">
        <f t="shared" si="80"/>
        <v>0</v>
      </c>
    </row>
    <row r="1712" spans="1:22" ht="15" customHeight="1" x14ac:dyDescent="0.35">
      <c r="A1712" s="3" t="s">
        <v>2149</v>
      </c>
      <c r="B1712" s="4">
        <v>45539</v>
      </c>
      <c r="C1712" s="3" t="s">
        <v>909</v>
      </c>
      <c r="D1712" s="3" t="s">
        <v>30</v>
      </c>
      <c r="E1712" s="3" t="s">
        <v>168</v>
      </c>
      <c r="F1712" s="5">
        <v>1</v>
      </c>
      <c r="G1712" s="5">
        <v>820</v>
      </c>
      <c r="H1712" s="5">
        <v>6.3</v>
      </c>
      <c r="I1712" s="5">
        <v>768.34</v>
      </c>
      <c r="J1712" s="3" t="s">
        <v>26</v>
      </c>
      <c r="K1712" s="3" t="s">
        <v>51</v>
      </c>
      <c r="L1712" t="str">
        <f>IFERROR(VLOOKUP(D1712,Products!$A$2:$F$61,3,FALSE()),"")</f>
        <v>Apparel</v>
      </c>
      <c r="M1712" t="str">
        <f>IFERROR(VLOOKUP(E1712,Sales_Reps!$A$2:$C$31,3,FALSE()),"")</f>
        <v>West</v>
      </c>
      <c r="N1712">
        <f>IFERROR(VLOOKUP(D1712,Products!$A$2:$F$61,4,FALSE()),"")</f>
        <v>391</v>
      </c>
      <c r="O1712" t="str">
        <f>IFERROR(VLOOKUP(C1712,Customers!$A$2:$F$301,5,FALSE()),"")</f>
        <v>Retail</v>
      </c>
      <c r="P1712">
        <f>IFERROR(VLOOKUP(C1712,Customers!$A$2:$F$301,3,FALSE()),"")</f>
        <v>40</v>
      </c>
      <c r="Q1712">
        <f t="shared" si="78"/>
        <v>0.52317073170731709</v>
      </c>
      <c r="R1712">
        <f>IF(AND(COUNTIF($A$2:$A$2047,A1712)&gt;1,COUNTIF($A$2:A1712,A1712)=1),1,0)</f>
        <v>0</v>
      </c>
      <c r="S1712" t="b">
        <f>IFERROR(VLOOKUP(D1712,Products!$A$2:$F$61,6,FALSE()),"")</f>
        <v>1</v>
      </c>
      <c r="T1712" t="str">
        <f>IF(COUNTIF(Customers!$A$2:$A$301,C1712)=0,"Missing","OK")</f>
        <v>OK</v>
      </c>
      <c r="U1712" t="str">
        <f t="shared" si="79"/>
        <v>Mumbai</v>
      </c>
      <c r="V1712">
        <f t="shared" si="80"/>
        <v>0</v>
      </c>
    </row>
    <row r="1713" spans="1:22" ht="15" customHeight="1" x14ac:dyDescent="0.35">
      <c r="A1713" s="3" t="s">
        <v>2150</v>
      </c>
      <c r="B1713" s="4">
        <v>45488</v>
      </c>
      <c r="C1713" s="3" t="s">
        <v>907</v>
      </c>
      <c r="D1713" s="3" t="s">
        <v>45</v>
      </c>
      <c r="E1713" s="3" t="s">
        <v>282</v>
      </c>
      <c r="F1713" s="5">
        <v>4</v>
      </c>
      <c r="G1713" s="5">
        <v>3160</v>
      </c>
      <c r="H1713" s="5">
        <v>3.6</v>
      </c>
      <c r="I1713" s="5">
        <v>12184.96</v>
      </c>
      <c r="J1713" s="3" t="s">
        <v>32</v>
      </c>
      <c r="K1713" s="3" t="s">
        <v>38</v>
      </c>
      <c r="L1713" t="str">
        <f>IFERROR(VLOOKUP(D1713,Products!$A$2:$F$61,3,FALSE()),"")</f>
        <v>Apparel</v>
      </c>
      <c r="M1713" t="str">
        <f>IFERROR(VLOOKUP(E1713,Sales_Reps!$A$2:$C$31,3,FALSE()),"")</f>
        <v>West</v>
      </c>
      <c r="N1713">
        <f>IFERROR(VLOOKUP(D1713,Products!$A$2:$F$61,4,FALSE()),"")</f>
        <v>1886</v>
      </c>
      <c r="O1713" t="str">
        <f>IFERROR(VLOOKUP(C1713,Customers!$A$2:$F$301,5,FALSE()),"")</f>
        <v>Retail</v>
      </c>
      <c r="P1713">
        <f>IFERROR(VLOOKUP(C1713,Customers!$A$2:$F$301,3,FALSE()),"")</f>
        <v>47</v>
      </c>
      <c r="Q1713">
        <f t="shared" si="78"/>
        <v>0.4031645569620253</v>
      </c>
      <c r="R1713">
        <f>IF(AND(COUNTIF($A$2:$A$2047,A1713)&gt;1,COUNTIF($A$2:A1713,A1713)=1),1,0)</f>
        <v>1</v>
      </c>
      <c r="S1713" t="b">
        <f>IFERROR(VLOOKUP(D1713,Products!$A$2:$F$61,6,FALSE()),"")</f>
        <v>1</v>
      </c>
      <c r="T1713" t="str">
        <f>IF(COUNTIF(Customers!$A$2:$A$301,C1713)=0,"Missing","OK")</f>
        <v>OK</v>
      </c>
      <c r="U1713" t="str">
        <f t="shared" si="79"/>
        <v>Delhi</v>
      </c>
      <c r="V1713">
        <f t="shared" si="80"/>
        <v>0</v>
      </c>
    </row>
    <row r="1714" spans="1:22" ht="15" customHeight="1" x14ac:dyDescent="0.35">
      <c r="A1714" s="3" t="s">
        <v>2151</v>
      </c>
      <c r="B1714" s="4">
        <v>45370</v>
      </c>
      <c r="C1714" s="3" t="s">
        <v>461</v>
      </c>
      <c r="D1714" s="3" t="s">
        <v>41</v>
      </c>
      <c r="E1714" s="3" t="s">
        <v>264</v>
      </c>
      <c r="F1714" s="5">
        <v>1</v>
      </c>
      <c r="G1714" s="5">
        <v>3660</v>
      </c>
      <c r="H1714" s="5">
        <v>28.2</v>
      </c>
      <c r="I1714" s="5">
        <v>2627.88</v>
      </c>
      <c r="J1714" s="3" t="s">
        <v>32</v>
      </c>
      <c r="K1714" s="3" t="s">
        <v>38</v>
      </c>
      <c r="L1714" t="str">
        <f>IFERROR(VLOOKUP(D1714,Products!$A$2:$F$61,3,FALSE()),"")</f>
        <v>Grocery</v>
      </c>
      <c r="M1714" t="str">
        <f>IFERROR(VLOOKUP(E1714,Sales_Reps!$A$2:$C$31,3,FALSE()),"")</f>
        <v>South</v>
      </c>
      <c r="N1714">
        <f>IFERROR(VLOOKUP(D1714,Products!$A$2:$F$61,4,FALSE()),"")</f>
        <v>2214</v>
      </c>
      <c r="O1714" t="str">
        <f>IFERROR(VLOOKUP(C1714,Customers!$A$2:$F$301,5,FALSE()),"")</f>
        <v>SMB</v>
      </c>
      <c r="P1714">
        <f>IFERROR(VLOOKUP(C1714,Customers!$A$2:$F$301,3,FALSE()),"")</f>
        <v>55</v>
      </c>
      <c r="Q1714">
        <f t="shared" si="78"/>
        <v>0.39508196721311473</v>
      </c>
      <c r="R1714">
        <f>IF(AND(COUNTIF($A$2:$A$2047,A1714)&gt;1,COUNTIF($A$2:A1714,A1714)=1),1,0)</f>
        <v>0</v>
      </c>
      <c r="S1714" t="b">
        <f>IFERROR(VLOOKUP(D1714,Products!$A$2:$F$61,6,FALSE()),"")</f>
        <v>0</v>
      </c>
      <c r="T1714" t="str">
        <f>IF(COUNTIF(Customers!$A$2:$A$301,C1714)=0,"Missing","OK")</f>
        <v>OK</v>
      </c>
      <c r="U1714" t="str">
        <f t="shared" si="79"/>
        <v>Delhi</v>
      </c>
      <c r="V1714">
        <f t="shared" si="80"/>
        <v>0</v>
      </c>
    </row>
    <row r="1715" spans="1:22" ht="15" customHeight="1" x14ac:dyDescent="0.35">
      <c r="A1715" s="3" t="s">
        <v>2152</v>
      </c>
      <c r="B1715" s="4">
        <v>45394</v>
      </c>
      <c r="C1715" s="3" t="s">
        <v>35</v>
      </c>
      <c r="D1715" s="3" t="s">
        <v>30</v>
      </c>
      <c r="E1715" s="3" t="s">
        <v>140</v>
      </c>
      <c r="F1715" s="5">
        <v>2</v>
      </c>
      <c r="G1715" s="5">
        <v>820</v>
      </c>
      <c r="H1715" s="5">
        <v>7</v>
      </c>
      <c r="I1715" s="5">
        <v>1525.2</v>
      </c>
      <c r="J1715" s="3" t="s">
        <v>26</v>
      </c>
      <c r="K1715" s="3" t="s">
        <v>38</v>
      </c>
      <c r="L1715" t="str">
        <f>IFERROR(VLOOKUP(D1715,Products!$A$2:$F$61,3,FALSE()),"")</f>
        <v>Apparel</v>
      </c>
      <c r="M1715" t="str">
        <f>IFERROR(VLOOKUP(E1715,Sales_Reps!$A$2:$C$31,3,FALSE()),"")</f>
        <v>West</v>
      </c>
      <c r="N1715">
        <f>IFERROR(VLOOKUP(D1715,Products!$A$2:$F$61,4,FALSE()),"")</f>
        <v>391</v>
      </c>
      <c r="O1715" t="str">
        <f>IFERROR(VLOOKUP(C1715,Customers!$A$2:$F$301,5,FALSE()),"")</f>
        <v>Retail</v>
      </c>
      <c r="P1715">
        <f>IFERROR(VLOOKUP(C1715,Customers!$A$2:$F$301,3,FALSE()),"")</f>
        <v>52</v>
      </c>
      <c r="Q1715">
        <f t="shared" si="78"/>
        <v>0.52317073170731709</v>
      </c>
      <c r="R1715">
        <f>IF(AND(COUNTIF($A$2:$A$2047,A1715)&gt;1,COUNTIF($A$2:A1715,A1715)=1),1,0)</f>
        <v>0</v>
      </c>
      <c r="S1715" t="b">
        <f>IFERROR(VLOOKUP(D1715,Products!$A$2:$F$61,6,FALSE()),"")</f>
        <v>1</v>
      </c>
      <c r="T1715" t="str">
        <f>IF(COUNTIF(Customers!$A$2:$A$301,C1715)=0,"Missing","OK")</f>
        <v>OK</v>
      </c>
      <c r="U1715" t="str">
        <f t="shared" si="79"/>
        <v>Delhi</v>
      </c>
      <c r="V1715">
        <f t="shared" si="80"/>
        <v>0</v>
      </c>
    </row>
    <row r="1716" spans="1:22" ht="15" customHeight="1" x14ac:dyDescent="0.35">
      <c r="A1716" s="3" t="s">
        <v>2153</v>
      </c>
      <c r="B1716" s="4">
        <v>45446</v>
      </c>
      <c r="C1716" s="3" t="s">
        <v>202</v>
      </c>
      <c r="D1716" s="3" t="s">
        <v>306</v>
      </c>
      <c r="E1716" s="3" t="s">
        <v>224</v>
      </c>
      <c r="F1716" s="5">
        <v>5</v>
      </c>
      <c r="G1716" s="5">
        <v>2380</v>
      </c>
      <c r="H1716" s="5">
        <v>23</v>
      </c>
      <c r="I1716" s="5">
        <v>9163</v>
      </c>
      <c r="J1716" s="3" t="s">
        <v>26</v>
      </c>
      <c r="K1716" s="3" t="s">
        <v>72</v>
      </c>
      <c r="L1716" t="str">
        <f>IFERROR(VLOOKUP(D1716,Products!$A$2:$F$61,3,FALSE()),"")</f>
        <v>Grocery</v>
      </c>
      <c r="M1716" t="str">
        <f>IFERROR(VLOOKUP(E1716,Sales_Reps!$A$2:$C$31,3,FALSE()),"")</f>
        <v>East</v>
      </c>
      <c r="N1716">
        <f>IFERROR(VLOOKUP(D1716,Products!$A$2:$F$61,4,FALSE()),"")</f>
        <v>1182</v>
      </c>
      <c r="O1716" t="str">
        <f>IFERROR(VLOOKUP(C1716,Customers!$A$2:$F$301,5,FALSE()),"")</f>
        <v>Retail</v>
      </c>
      <c r="P1716">
        <f>IFERROR(VLOOKUP(C1716,Customers!$A$2:$F$301,3,FALSE()),"")</f>
        <v>53</v>
      </c>
      <c r="Q1716">
        <f t="shared" si="78"/>
        <v>0.50336134453781511</v>
      </c>
      <c r="R1716">
        <f>IF(AND(COUNTIF($A$2:$A$2047,A1716)&gt;1,COUNTIF($A$2:A1716,A1716)=1),1,0)</f>
        <v>0</v>
      </c>
      <c r="S1716" t="b">
        <f>IFERROR(VLOOKUP(D1716,Products!$A$2:$F$61,6,FALSE()),"")</f>
        <v>1</v>
      </c>
      <c r="T1716" t="str">
        <f>IF(COUNTIF(Customers!$A$2:$A$301,C1716)=0,"Missing","OK")</f>
        <v>OK</v>
      </c>
      <c r="U1716" t="str">
        <f t="shared" si="79"/>
        <v>Hyderabad</v>
      </c>
      <c r="V1716">
        <f t="shared" si="80"/>
        <v>0</v>
      </c>
    </row>
    <row r="1717" spans="1:22" ht="15" customHeight="1" x14ac:dyDescent="0.35">
      <c r="A1717" s="3" t="s">
        <v>2154</v>
      </c>
      <c r="B1717" s="4">
        <v>45612</v>
      </c>
      <c r="C1717" s="3" t="s">
        <v>500</v>
      </c>
      <c r="D1717" s="3" t="s">
        <v>187</v>
      </c>
      <c r="E1717" s="3" t="s">
        <v>191</v>
      </c>
      <c r="F1717" s="5">
        <v>1</v>
      </c>
      <c r="G1717" s="5">
        <v>3870</v>
      </c>
      <c r="H1717" s="5">
        <v>27.3</v>
      </c>
      <c r="I1717" s="5">
        <v>2813.49</v>
      </c>
      <c r="J1717" s="3" t="s">
        <v>26</v>
      </c>
      <c r="K1717" s="3" t="s">
        <v>72</v>
      </c>
      <c r="L1717" t="str">
        <f>IFERROR(VLOOKUP(D1717,Products!$A$2:$F$61,3,FALSE()),"")</f>
        <v>Electronics</v>
      </c>
      <c r="M1717" t="str">
        <f>IFERROR(VLOOKUP(E1717,Sales_Reps!$A$2:$C$31,3,FALSE()),"")</f>
        <v>South</v>
      </c>
      <c r="N1717">
        <f>IFERROR(VLOOKUP(D1717,Products!$A$2:$F$61,4,FALSE()),"")</f>
        <v>1559</v>
      </c>
      <c r="O1717" t="str">
        <f>IFERROR(VLOOKUP(C1717,Customers!$A$2:$F$301,5,FALSE()),"")</f>
        <v>SMB</v>
      </c>
      <c r="P1717">
        <f>IFERROR(VLOOKUP(C1717,Customers!$A$2:$F$301,3,FALSE()),"")</f>
        <v>43</v>
      </c>
      <c r="Q1717">
        <f t="shared" si="78"/>
        <v>0.59715762273901807</v>
      </c>
      <c r="R1717">
        <f>IF(AND(COUNTIF($A$2:$A$2047,A1717)&gt;1,COUNTIF($A$2:A1717,A1717)=1),1,0)</f>
        <v>0</v>
      </c>
      <c r="S1717" t="b">
        <f>IFERROR(VLOOKUP(D1717,Products!$A$2:$F$61,6,FALSE()),"")</f>
        <v>1</v>
      </c>
      <c r="T1717" t="str">
        <f>IF(COUNTIF(Customers!$A$2:$A$301,C1717)=0,"Missing","OK")</f>
        <v>OK</v>
      </c>
      <c r="U1717" t="str">
        <f t="shared" si="79"/>
        <v>Hyderabad</v>
      </c>
      <c r="V1717">
        <f t="shared" si="80"/>
        <v>0</v>
      </c>
    </row>
    <row r="1718" spans="1:22" ht="15" customHeight="1" x14ac:dyDescent="0.35">
      <c r="A1718" s="3" t="s">
        <v>2155</v>
      </c>
      <c r="B1718" s="4">
        <v>45301</v>
      </c>
      <c r="C1718" s="3" t="s">
        <v>601</v>
      </c>
      <c r="D1718" s="3" t="s">
        <v>221</v>
      </c>
      <c r="E1718" s="3" t="s">
        <v>25</v>
      </c>
      <c r="F1718" s="5">
        <v>10</v>
      </c>
      <c r="G1718" s="5">
        <v>300</v>
      </c>
      <c r="H1718" s="5">
        <v>14.1</v>
      </c>
      <c r="I1718" s="5">
        <v>2577</v>
      </c>
      <c r="J1718" s="3" t="s">
        <v>79</v>
      </c>
      <c r="K1718" s="3" t="s">
        <v>33</v>
      </c>
      <c r="L1718" t="str">
        <f>IFERROR(VLOOKUP(D1718,Products!$A$2:$F$61,3,FALSE()),"")</f>
        <v>Electronics</v>
      </c>
      <c r="M1718" t="str">
        <f>IFERROR(VLOOKUP(E1718,Sales_Reps!$A$2:$C$31,3,FALSE()),"")</f>
        <v>North</v>
      </c>
      <c r="N1718">
        <f>IFERROR(VLOOKUP(D1718,Products!$A$2:$F$61,4,FALSE()),"")</f>
        <v>128</v>
      </c>
      <c r="O1718" t="str">
        <f>IFERROR(VLOOKUP(C1718,Customers!$A$2:$F$301,5,FALSE()),"")</f>
        <v>Corporate</v>
      </c>
      <c r="P1718">
        <f>IFERROR(VLOOKUP(C1718,Customers!$A$2:$F$301,3,FALSE()),"")</f>
        <v>41</v>
      </c>
      <c r="Q1718">
        <f t="shared" si="78"/>
        <v>0.57333333333333336</v>
      </c>
      <c r="R1718">
        <f>IF(AND(COUNTIF($A$2:$A$2047,A1718)&gt;1,COUNTIF($A$2:A1718,A1718)=1),1,0)</f>
        <v>0</v>
      </c>
      <c r="S1718" t="b">
        <f>IFERROR(VLOOKUP(D1718,Products!$A$2:$F$61,6,FALSE()),"")</f>
        <v>1</v>
      </c>
      <c r="T1718" t="str">
        <f>IF(COUNTIF(Customers!$A$2:$A$301,C1718)=0,"Missing","OK")</f>
        <v>OK</v>
      </c>
      <c r="U1718" t="str">
        <f t="shared" si="79"/>
        <v>Chennai</v>
      </c>
      <c r="V1718">
        <f t="shared" si="80"/>
        <v>0</v>
      </c>
    </row>
    <row r="1719" spans="1:22" ht="15" customHeight="1" x14ac:dyDescent="0.35">
      <c r="A1719" s="3" t="s">
        <v>2156</v>
      </c>
      <c r="B1719" s="4">
        <v>45647</v>
      </c>
      <c r="C1719" s="3" t="s">
        <v>834</v>
      </c>
      <c r="D1719" s="3" t="s">
        <v>130</v>
      </c>
      <c r="E1719" s="3" t="s">
        <v>282</v>
      </c>
      <c r="F1719" s="5">
        <v>10</v>
      </c>
      <c r="G1719" s="5">
        <v>5100</v>
      </c>
      <c r="H1719" s="5">
        <v>12.7</v>
      </c>
      <c r="I1719" s="5">
        <v>44523</v>
      </c>
      <c r="J1719" s="3" t="s">
        <v>26</v>
      </c>
      <c r="K1719" s="3" t="s">
        <v>56</v>
      </c>
      <c r="L1719" t="str">
        <f>IFERROR(VLOOKUP(D1719,Products!$A$2:$F$61,3,FALSE()),"")</f>
        <v>Beauty</v>
      </c>
      <c r="M1719" t="str">
        <f>IFERROR(VLOOKUP(E1719,Sales_Reps!$A$2:$C$31,3,FALSE()),"")</f>
        <v>West</v>
      </c>
      <c r="N1719">
        <f>IFERROR(VLOOKUP(D1719,Products!$A$2:$F$61,4,FALSE()),"")</f>
        <v>2237</v>
      </c>
      <c r="O1719" t="str">
        <f>IFERROR(VLOOKUP(C1719,Customers!$A$2:$F$301,5,FALSE()),"")</f>
        <v>Retail</v>
      </c>
      <c r="P1719">
        <f>IFERROR(VLOOKUP(C1719,Customers!$A$2:$F$301,3,FALSE()),"")</f>
        <v>46</v>
      </c>
      <c r="Q1719">
        <f t="shared" si="78"/>
        <v>0.56137254901960787</v>
      </c>
      <c r="R1719">
        <f>IF(AND(COUNTIF($A$2:$A$2047,A1719)&gt;1,COUNTIF($A$2:A1719,A1719)=1),1,0)</f>
        <v>0</v>
      </c>
      <c r="S1719" t="b">
        <f>IFERROR(VLOOKUP(D1719,Products!$A$2:$F$61,6,FALSE()),"")</f>
        <v>1</v>
      </c>
      <c r="T1719" t="str">
        <f>IF(COUNTIF(Customers!$A$2:$A$301,C1719)=0,"Missing","OK")</f>
        <v>OK</v>
      </c>
      <c r="U1719" t="str">
        <f t="shared" si="79"/>
        <v>Bengaluru</v>
      </c>
      <c r="V1719">
        <f t="shared" si="80"/>
        <v>0</v>
      </c>
    </row>
    <row r="1720" spans="1:22" ht="15" customHeight="1" x14ac:dyDescent="0.35">
      <c r="A1720" s="3" t="s">
        <v>2157</v>
      </c>
      <c r="B1720" s="4">
        <v>45589</v>
      </c>
      <c r="C1720" s="3" t="s">
        <v>841</v>
      </c>
      <c r="D1720" s="3" t="s">
        <v>139</v>
      </c>
      <c r="E1720" s="3" t="s">
        <v>191</v>
      </c>
      <c r="F1720" s="5">
        <v>1</v>
      </c>
      <c r="G1720" s="5">
        <v>2760</v>
      </c>
      <c r="H1720" s="5">
        <v>17.8</v>
      </c>
      <c r="I1720" s="5">
        <v>2268.7199999999998</v>
      </c>
      <c r="J1720" s="3" t="s">
        <v>83</v>
      </c>
      <c r="K1720" s="3" t="s">
        <v>51</v>
      </c>
      <c r="L1720" t="str">
        <f>IFERROR(VLOOKUP(D1720,Products!$A$2:$F$61,3,FALSE()),"")</f>
        <v>Grocery</v>
      </c>
      <c r="M1720" t="str">
        <f>IFERROR(VLOOKUP(E1720,Sales_Reps!$A$2:$C$31,3,FALSE()),"")</f>
        <v>South</v>
      </c>
      <c r="N1720">
        <f>IFERROR(VLOOKUP(D1720,Products!$A$2:$F$61,4,FALSE()),"")</f>
        <v>1435</v>
      </c>
      <c r="O1720" t="str">
        <f>IFERROR(VLOOKUP(C1720,Customers!$A$2:$F$301,5,FALSE()),"")</f>
        <v>Retail</v>
      </c>
      <c r="P1720">
        <f>IFERROR(VLOOKUP(C1720,Customers!$A$2:$F$301,3,FALSE()),"")</f>
        <v>37</v>
      </c>
      <c r="Q1720">
        <f t="shared" si="78"/>
        <v>0.48007246376811596</v>
      </c>
      <c r="R1720">
        <f>IF(AND(COUNTIF($A$2:$A$2047,A1720)&gt;1,COUNTIF($A$2:A1720,A1720)=1),1,0)</f>
        <v>0</v>
      </c>
      <c r="S1720" t="b">
        <f>IFERROR(VLOOKUP(D1720,Products!$A$2:$F$61,6,FALSE()),"")</f>
        <v>1</v>
      </c>
      <c r="T1720" t="str">
        <f>IF(COUNTIF(Customers!$A$2:$A$301,C1720)=0,"Missing","OK")</f>
        <v>OK</v>
      </c>
      <c r="U1720" t="str">
        <f t="shared" si="79"/>
        <v>Mumbai</v>
      </c>
      <c r="V1720">
        <f t="shared" si="80"/>
        <v>0</v>
      </c>
    </row>
    <row r="1721" spans="1:22" ht="15" customHeight="1" x14ac:dyDescent="0.35">
      <c r="A1721" s="3" t="s">
        <v>2158</v>
      </c>
      <c r="B1721" s="4">
        <v>45382</v>
      </c>
      <c r="C1721" s="3" t="s">
        <v>440</v>
      </c>
      <c r="D1721" s="3" t="s">
        <v>303</v>
      </c>
      <c r="E1721" s="3" t="s">
        <v>236</v>
      </c>
      <c r="F1721" s="5">
        <v>8</v>
      </c>
      <c r="G1721" s="5">
        <v>5330</v>
      </c>
      <c r="H1721" s="5">
        <v>16.399999999999999</v>
      </c>
      <c r="I1721" s="5">
        <v>35647.040000000001</v>
      </c>
      <c r="J1721" s="3" t="s">
        <v>26</v>
      </c>
      <c r="K1721" s="3" t="s">
        <v>72</v>
      </c>
      <c r="L1721" t="str">
        <f>IFERROR(VLOOKUP(D1721,Products!$A$2:$F$61,3,FALSE()),"")</f>
        <v>Electronics</v>
      </c>
      <c r="M1721" t="str">
        <f>IFERROR(VLOOKUP(E1721,Sales_Reps!$A$2:$C$31,3,FALSE()),"")</f>
        <v>North</v>
      </c>
      <c r="N1721">
        <f>IFERROR(VLOOKUP(D1721,Products!$A$2:$F$61,4,FALSE()),"")</f>
        <v>2405</v>
      </c>
      <c r="O1721" t="str">
        <f>IFERROR(VLOOKUP(C1721,Customers!$A$2:$F$301,5,FALSE()),"")</f>
        <v>SMB</v>
      </c>
      <c r="P1721">
        <f>IFERROR(VLOOKUP(C1721,Customers!$A$2:$F$301,3,FALSE()),"")</f>
        <v>65</v>
      </c>
      <c r="Q1721">
        <f t="shared" si="78"/>
        <v>0.54878048780487809</v>
      </c>
      <c r="R1721">
        <f>IF(AND(COUNTIF($A$2:$A$2047,A1721)&gt;1,COUNTIF($A$2:A1721,A1721)=1),1,0)</f>
        <v>0</v>
      </c>
      <c r="S1721" t="b">
        <f>IFERROR(VLOOKUP(D1721,Products!$A$2:$F$61,6,FALSE()),"")</f>
        <v>1</v>
      </c>
      <c r="T1721" t="str">
        <f>IF(COUNTIF(Customers!$A$2:$A$301,C1721)=0,"Missing","OK")</f>
        <v>OK</v>
      </c>
      <c r="U1721" t="str">
        <f t="shared" si="79"/>
        <v>Hyderabad</v>
      </c>
      <c r="V1721">
        <f t="shared" si="80"/>
        <v>0</v>
      </c>
    </row>
    <row r="1722" spans="1:22" ht="15" customHeight="1" x14ac:dyDescent="0.35">
      <c r="A1722" s="3" t="s">
        <v>2159</v>
      </c>
      <c r="B1722" s="4">
        <v>45457</v>
      </c>
      <c r="C1722" s="3" t="s">
        <v>601</v>
      </c>
      <c r="D1722" s="3" t="s">
        <v>121</v>
      </c>
      <c r="E1722" s="3" t="s">
        <v>285</v>
      </c>
      <c r="F1722" s="5">
        <v>1</v>
      </c>
      <c r="G1722" s="5">
        <v>1010</v>
      </c>
      <c r="H1722" s="5">
        <v>20.399999999999999</v>
      </c>
      <c r="I1722" s="5">
        <v>803.96</v>
      </c>
      <c r="J1722" s="3" t="s">
        <v>79</v>
      </c>
      <c r="K1722" s="3" t="s">
        <v>33</v>
      </c>
      <c r="L1722" t="str">
        <f>IFERROR(VLOOKUP(D1722,Products!$A$2:$F$61,3,FALSE()),"")</f>
        <v>Sports</v>
      </c>
      <c r="M1722" t="str">
        <f>IFERROR(VLOOKUP(E1722,Sales_Reps!$A$2:$C$31,3,FALSE()),"")</f>
        <v>South</v>
      </c>
      <c r="N1722">
        <f>IFERROR(VLOOKUP(D1722,Products!$A$2:$F$61,4,FALSE()),"")</f>
        <v>516</v>
      </c>
      <c r="O1722" t="str">
        <f>IFERROR(VLOOKUP(C1722,Customers!$A$2:$F$301,5,FALSE()),"")</f>
        <v>Corporate</v>
      </c>
      <c r="P1722">
        <f>IFERROR(VLOOKUP(C1722,Customers!$A$2:$F$301,3,FALSE()),"")</f>
        <v>41</v>
      </c>
      <c r="Q1722">
        <f t="shared" si="78"/>
        <v>0.4891089108910891</v>
      </c>
      <c r="R1722">
        <f>IF(AND(COUNTIF($A$2:$A$2047,A1722)&gt;1,COUNTIF($A$2:A1722,A1722)=1),1,0)</f>
        <v>0</v>
      </c>
      <c r="S1722" t="b">
        <f>IFERROR(VLOOKUP(D1722,Products!$A$2:$F$61,6,FALSE()),"")</f>
        <v>1</v>
      </c>
      <c r="T1722" t="str">
        <f>IF(COUNTIF(Customers!$A$2:$A$301,C1722)=0,"Missing","OK")</f>
        <v>OK</v>
      </c>
      <c r="U1722" t="str">
        <f t="shared" si="79"/>
        <v>Chennai</v>
      </c>
      <c r="V1722">
        <f t="shared" si="80"/>
        <v>0</v>
      </c>
    </row>
    <row r="1723" spans="1:22" ht="15" customHeight="1" x14ac:dyDescent="0.35">
      <c r="A1723" s="3" t="s">
        <v>2160</v>
      </c>
      <c r="B1723" s="4">
        <v>45376</v>
      </c>
      <c r="C1723" s="3" t="s">
        <v>48</v>
      </c>
      <c r="D1723" s="3" t="s">
        <v>218</v>
      </c>
      <c r="E1723" s="3" t="s">
        <v>60</v>
      </c>
      <c r="F1723" s="5">
        <v>10</v>
      </c>
      <c r="G1723" s="5">
        <v>2660</v>
      </c>
      <c r="H1723" s="5">
        <v>29.3</v>
      </c>
      <c r="I1723" s="5">
        <v>18806.2</v>
      </c>
      <c r="J1723" s="3" t="s">
        <v>26</v>
      </c>
      <c r="K1723" s="3" t="s">
        <v>51</v>
      </c>
      <c r="L1723" t="str">
        <f>IFERROR(VLOOKUP(D1723,Products!$A$2:$F$61,3,FALSE()),"")</f>
        <v>Electronics</v>
      </c>
      <c r="M1723" t="str">
        <f>IFERROR(VLOOKUP(E1723,Sales_Reps!$A$2:$C$31,3,FALSE()),"")</f>
        <v>East</v>
      </c>
      <c r="N1723">
        <f>IFERROR(VLOOKUP(D1723,Products!$A$2:$F$61,4,FALSE()),"")</f>
        <v>1259</v>
      </c>
      <c r="O1723" t="str">
        <f>IFERROR(VLOOKUP(C1723,Customers!$A$2:$F$301,5,FALSE()),"")</f>
        <v>Retail</v>
      </c>
      <c r="P1723">
        <f>IFERROR(VLOOKUP(C1723,Customers!$A$2:$F$301,3,FALSE()),"")</f>
        <v>36</v>
      </c>
      <c r="Q1723">
        <f t="shared" si="78"/>
        <v>0.52669172932330832</v>
      </c>
      <c r="R1723">
        <f>IF(AND(COUNTIF($A$2:$A$2047,A1723)&gt;1,COUNTIF($A$2:A1723,A1723)=1),1,0)</f>
        <v>0</v>
      </c>
      <c r="S1723" t="b">
        <f>IFERROR(VLOOKUP(D1723,Products!$A$2:$F$61,6,FALSE()),"")</f>
        <v>0</v>
      </c>
      <c r="T1723" t="str">
        <f>IF(COUNTIF(Customers!$A$2:$A$301,C1723)=0,"Missing","OK")</f>
        <v>OK</v>
      </c>
      <c r="U1723" t="str">
        <f t="shared" si="79"/>
        <v>Mumbai</v>
      </c>
      <c r="V1723">
        <f t="shared" si="80"/>
        <v>0</v>
      </c>
    </row>
    <row r="1724" spans="1:22" ht="15" customHeight="1" x14ac:dyDescent="0.35">
      <c r="A1724" s="3" t="s">
        <v>2161</v>
      </c>
      <c r="B1724" s="4">
        <v>45506</v>
      </c>
      <c r="C1724" s="3" t="s">
        <v>108</v>
      </c>
      <c r="D1724" s="3" t="s">
        <v>347</v>
      </c>
      <c r="E1724" s="3" t="s">
        <v>212</v>
      </c>
      <c r="F1724" s="5">
        <v>9</v>
      </c>
      <c r="G1724" s="5">
        <v>3970</v>
      </c>
      <c r="H1724" s="5">
        <v>10.4</v>
      </c>
      <c r="I1724" s="5">
        <v>32014.080000000002</v>
      </c>
      <c r="J1724" s="3" t="s">
        <v>32</v>
      </c>
      <c r="K1724" s="3" t="s">
        <v>51</v>
      </c>
      <c r="L1724" t="str">
        <f>IFERROR(VLOOKUP(D1724,Products!$A$2:$F$61,3,FALSE()),"")</f>
        <v>Electronics</v>
      </c>
      <c r="M1724" t="str">
        <f>IFERROR(VLOOKUP(E1724,Sales_Reps!$A$2:$C$31,3,FALSE()),"")</f>
        <v>South</v>
      </c>
      <c r="N1724">
        <f>IFERROR(VLOOKUP(D1724,Products!$A$2:$F$61,4,FALSE()),"")</f>
        <v>2865</v>
      </c>
      <c r="O1724" t="str">
        <f>IFERROR(VLOOKUP(C1724,Customers!$A$2:$F$301,5,FALSE()),"")</f>
        <v>Retail</v>
      </c>
      <c r="P1724">
        <f>IFERROR(VLOOKUP(C1724,Customers!$A$2:$F$301,3,FALSE()),"")</f>
        <v>34</v>
      </c>
      <c r="Q1724">
        <f t="shared" si="78"/>
        <v>0.27833753148614609</v>
      </c>
      <c r="R1724">
        <f>IF(AND(COUNTIF($A$2:$A$2047,A1724)&gt;1,COUNTIF($A$2:A1724,A1724)=1),1,0)</f>
        <v>0</v>
      </c>
      <c r="S1724" t="b">
        <f>IFERROR(VLOOKUP(D1724,Products!$A$2:$F$61,6,FALSE()),"")</f>
        <v>1</v>
      </c>
      <c r="T1724" t="str">
        <f>IF(COUNTIF(Customers!$A$2:$A$301,C1724)=0,"Missing","OK")</f>
        <v>OK</v>
      </c>
      <c r="U1724" t="str">
        <f t="shared" si="79"/>
        <v>Mumbai</v>
      </c>
      <c r="V1724">
        <f t="shared" si="80"/>
        <v>0</v>
      </c>
    </row>
    <row r="1725" spans="1:22" ht="15" customHeight="1" x14ac:dyDescent="0.35">
      <c r="A1725" s="3" t="s">
        <v>2162</v>
      </c>
      <c r="B1725" s="4">
        <v>45472</v>
      </c>
      <c r="C1725" s="3" t="s">
        <v>844</v>
      </c>
      <c r="D1725" s="3" t="s">
        <v>24</v>
      </c>
      <c r="E1725" s="3" t="s">
        <v>46</v>
      </c>
      <c r="F1725" s="5">
        <v>3</v>
      </c>
      <c r="G1725" s="5">
        <v>3620</v>
      </c>
      <c r="H1725" s="5">
        <v>22</v>
      </c>
      <c r="I1725" s="5">
        <v>8470.7999999999993</v>
      </c>
      <c r="J1725" s="3" t="s">
        <v>26</v>
      </c>
      <c r="K1725" s="3" t="s">
        <v>51</v>
      </c>
      <c r="L1725" t="str">
        <f>IFERROR(VLOOKUP(D1725,Products!$A$2:$F$61,3,FALSE()),"")</f>
        <v>Apparel</v>
      </c>
      <c r="M1725" t="str">
        <f>IFERROR(VLOOKUP(E1725,Sales_Reps!$A$2:$C$31,3,FALSE()),"")</f>
        <v>North</v>
      </c>
      <c r="N1725">
        <f>IFERROR(VLOOKUP(D1725,Products!$A$2:$F$61,4,FALSE()),"")</f>
        <v>2509</v>
      </c>
      <c r="O1725" t="str">
        <f>IFERROR(VLOOKUP(C1725,Customers!$A$2:$F$301,5,FALSE()),"")</f>
        <v>SMB</v>
      </c>
      <c r="P1725">
        <f>IFERROR(VLOOKUP(C1725,Customers!$A$2:$F$301,3,FALSE()),"")</f>
        <v>43</v>
      </c>
      <c r="Q1725">
        <f t="shared" si="78"/>
        <v>0.3069060773480663</v>
      </c>
      <c r="R1725">
        <f>IF(AND(COUNTIF($A$2:$A$2047,A1725)&gt;1,COUNTIF($A$2:A1725,A1725)=1),1,0)</f>
        <v>0</v>
      </c>
      <c r="S1725" t="b">
        <f>IFERROR(VLOOKUP(D1725,Products!$A$2:$F$61,6,FALSE()),"")</f>
        <v>1</v>
      </c>
      <c r="T1725" t="str">
        <f>IF(COUNTIF(Customers!$A$2:$A$301,C1725)=0,"Missing","OK")</f>
        <v>OK</v>
      </c>
      <c r="U1725" t="str">
        <f t="shared" si="79"/>
        <v>Mumbai</v>
      </c>
      <c r="V1725">
        <f t="shared" si="80"/>
        <v>0</v>
      </c>
    </row>
    <row r="1726" spans="1:22" ht="15" customHeight="1" x14ac:dyDescent="0.35">
      <c r="A1726" s="3" t="s">
        <v>2163</v>
      </c>
      <c r="B1726" s="4">
        <v>45383</v>
      </c>
      <c r="C1726" s="3" t="s">
        <v>478</v>
      </c>
      <c r="D1726" s="3" t="s">
        <v>184</v>
      </c>
      <c r="E1726" s="3" t="s">
        <v>242</v>
      </c>
      <c r="F1726" s="5">
        <v>6</v>
      </c>
      <c r="G1726" s="5">
        <v>2270</v>
      </c>
      <c r="H1726" s="5">
        <v>11.1</v>
      </c>
      <c r="I1726" s="5">
        <v>12108.18</v>
      </c>
      <c r="J1726" s="3" t="s">
        <v>79</v>
      </c>
      <c r="K1726" s="3" t="s">
        <v>72</v>
      </c>
      <c r="L1726" t="str">
        <f>IFERROR(VLOOKUP(D1726,Products!$A$2:$F$61,3,FALSE()),"")</f>
        <v>Grocery</v>
      </c>
      <c r="M1726" t="str">
        <f>IFERROR(VLOOKUP(E1726,Sales_Reps!$A$2:$C$31,3,FALSE()),"")</f>
        <v>East</v>
      </c>
      <c r="N1726">
        <f>IFERROR(VLOOKUP(D1726,Products!$A$2:$F$61,4,FALSE()),"")</f>
        <v>1412</v>
      </c>
      <c r="O1726" t="str">
        <f>IFERROR(VLOOKUP(C1726,Customers!$A$2:$F$301,5,FALSE()),"")</f>
        <v>Retail</v>
      </c>
      <c r="P1726">
        <f>IFERROR(VLOOKUP(C1726,Customers!$A$2:$F$301,3,FALSE()),"")</f>
        <v>38</v>
      </c>
      <c r="Q1726">
        <f t="shared" si="78"/>
        <v>0.37797356828193834</v>
      </c>
      <c r="R1726">
        <f>IF(AND(COUNTIF($A$2:$A$2047,A1726)&gt;1,COUNTIF($A$2:A1726,A1726)=1),1,0)</f>
        <v>0</v>
      </c>
      <c r="S1726" t="b">
        <f>IFERROR(VLOOKUP(D1726,Products!$A$2:$F$61,6,FALSE()),"")</f>
        <v>1</v>
      </c>
      <c r="T1726" t="str">
        <f>IF(COUNTIF(Customers!$A$2:$A$301,C1726)=0,"Missing","OK")</f>
        <v>OK</v>
      </c>
      <c r="U1726" t="str">
        <f t="shared" si="79"/>
        <v>Hyderabad</v>
      </c>
      <c r="V1726">
        <f t="shared" si="80"/>
        <v>0</v>
      </c>
    </row>
    <row r="1727" spans="1:22" ht="15" customHeight="1" x14ac:dyDescent="0.35">
      <c r="A1727" s="3" t="s">
        <v>2164</v>
      </c>
      <c r="B1727" s="4">
        <v>45543</v>
      </c>
      <c r="C1727" s="3" t="s">
        <v>1300</v>
      </c>
      <c r="D1727" s="3" t="s">
        <v>184</v>
      </c>
      <c r="E1727" s="3" t="s">
        <v>37</v>
      </c>
      <c r="F1727" s="5">
        <v>4</v>
      </c>
      <c r="G1727" s="5">
        <v>2270</v>
      </c>
      <c r="H1727" s="5">
        <v>27.2</v>
      </c>
      <c r="I1727" s="5">
        <v>6610.24</v>
      </c>
      <c r="J1727" s="3" t="s">
        <v>32</v>
      </c>
      <c r="K1727" s="3" t="s">
        <v>33</v>
      </c>
      <c r="L1727" t="str">
        <f>IFERROR(VLOOKUP(D1727,Products!$A$2:$F$61,3,FALSE()),"")</f>
        <v>Grocery</v>
      </c>
      <c r="M1727" t="str">
        <f>IFERROR(VLOOKUP(E1727,Sales_Reps!$A$2:$C$31,3,FALSE()),"")</f>
        <v>South</v>
      </c>
      <c r="N1727">
        <f>IFERROR(VLOOKUP(D1727,Products!$A$2:$F$61,4,FALSE()),"")</f>
        <v>1412</v>
      </c>
      <c r="O1727" t="str">
        <f>IFERROR(VLOOKUP(C1727,Customers!$A$2:$F$301,5,FALSE()),"")</f>
        <v>Retail</v>
      </c>
      <c r="P1727">
        <f>IFERROR(VLOOKUP(C1727,Customers!$A$2:$F$301,3,FALSE()),"")</f>
        <v>34</v>
      </c>
      <c r="Q1727">
        <f t="shared" si="78"/>
        <v>0.37797356828193834</v>
      </c>
      <c r="R1727">
        <f>IF(AND(COUNTIF($A$2:$A$2047,A1727)&gt;1,COUNTIF($A$2:A1727,A1727)=1),1,0)</f>
        <v>0</v>
      </c>
      <c r="S1727" t="b">
        <f>IFERROR(VLOOKUP(D1727,Products!$A$2:$F$61,6,FALSE()),"")</f>
        <v>1</v>
      </c>
      <c r="T1727" t="str">
        <f>IF(COUNTIF(Customers!$A$2:$A$301,C1727)=0,"Missing","OK")</f>
        <v>OK</v>
      </c>
      <c r="U1727" t="str">
        <f t="shared" si="79"/>
        <v>Chennai</v>
      </c>
      <c r="V1727">
        <f t="shared" si="80"/>
        <v>0</v>
      </c>
    </row>
    <row r="1728" spans="1:22" ht="15" customHeight="1" x14ac:dyDescent="0.35">
      <c r="A1728" s="3" t="s">
        <v>2165</v>
      </c>
      <c r="B1728" s="4">
        <v>45576</v>
      </c>
      <c r="C1728" s="3" t="s">
        <v>386</v>
      </c>
      <c r="D1728" s="3" t="s">
        <v>209</v>
      </c>
      <c r="E1728" s="3" t="s">
        <v>264</v>
      </c>
      <c r="F1728" s="5">
        <v>8</v>
      </c>
      <c r="G1728" s="5">
        <v>4610</v>
      </c>
      <c r="H1728" s="5">
        <v>24.5</v>
      </c>
      <c r="I1728" s="5">
        <v>27844.400000000001</v>
      </c>
      <c r="J1728" s="3" t="s">
        <v>26</v>
      </c>
      <c r="K1728" s="3" t="s">
        <v>51</v>
      </c>
      <c r="L1728" t="str">
        <f>IFERROR(VLOOKUP(D1728,Products!$A$2:$F$61,3,FALSE()),"")</f>
        <v>Home</v>
      </c>
      <c r="M1728" t="str">
        <f>IFERROR(VLOOKUP(E1728,Sales_Reps!$A$2:$C$31,3,FALSE()),"")</f>
        <v>South</v>
      </c>
      <c r="N1728">
        <f>IFERROR(VLOOKUP(D1728,Products!$A$2:$F$61,4,FALSE()),"")</f>
        <v>1850</v>
      </c>
      <c r="O1728" t="str">
        <f>IFERROR(VLOOKUP(C1728,Customers!$A$2:$F$301,5,FALSE()),"")</f>
        <v>Retail</v>
      </c>
      <c r="P1728">
        <f>IFERROR(VLOOKUP(C1728,Customers!$A$2:$F$301,3,FALSE()),"")</f>
        <v>41</v>
      </c>
      <c r="Q1728">
        <f t="shared" si="78"/>
        <v>0.59869848156182215</v>
      </c>
      <c r="R1728">
        <f>IF(AND(COUNTIF($A$2:$A$2047,A1728)&gt;1,COUNTIF($A$2:A1728,A1728)=1),1,0)</f>
        <v>0</v>
      </c>
      <c r="S1728" t="b">
        <f>IFERROR(VLOOKUP(D1728,Products!$A$2:$F$61,6,FALSE()),"")</f>
        <v>1</v>
      </c>
      <c r="T1728" t="str">
        <f>IF(COUNTIF(Customers!$A$2:$A$301,C1728)=0,"Missing","OK")</f>
        <v>OK</v>
      </c>
      <c r="U1728" t="str">
        <f t="shared" si="79"/>
        <v>Mumbai</v>
      </c>
      <c r="V1728">
        <f t="shared" si="80"/>
        <v>0</v>
      </c>
    </row>
    <row r="1729" spans="1:22" ht="15" customHeight="1" x14ac:dyDescent="0.35">
      <c r="A1729" s="3" t="s">
        <v>2166</v>
      </c>
      <c r="B1729" s="4">
        <v>45366</v>
      </c>
      <c r="C1729" s="3" t="s">
        <v>623</v>
      </c>
      <c r="D1729" s="3" t="s">
        <v>86</v>
      </c>
      <c r="E1729" s="3" t="s">
        <v>131</v>
      </c>
      <c r="F1729" s="5">
        <v>6</v>
      </c>
      <c r="G1729" s="5">
        <v>190</v>
      </c>
      <c r="H1729" s="5">
        <v>8.6999999999999993</v>
      </c>
      <c r="I1729" s="5">
        <v>1040.82</v>
      </c>
      <c r="J1729" s="3" t="s">
        <v>79</v>
      </c>
      <c r="K1729" s="3" t="s">
        <v>38</v>
      </c>
      <c r="L1729" t="str">
        <f>IFERROR(VLOOKUP(D1729,Products!$A$2:$F$61,3,FALSE()),"")</f>
        <v>Sports</v>
      </c>
      <c r="M1729" t="str">
        <f>IFERROR(VLOOKUP(E1729,Sales_Reps!$A$2:$C$31,3,FALSE()),"")</f>
        <v>East</v>
      </c>
      <c r="N1729">
        <f>IFERROR(VLOOKUP(D1729,Products!$A$2:$F$61,4,FALSE()),"")</f>
        <v>147</v>
      </c>
      <c r="O1729" t="str">
        <f>IFERROR(VLOOKUP(C1729,Customers!$A$2:$F$301,5,FALSE()),"")</f>
        <v>Retail</v>
      </c>
      <c r="P1729">
        <f>IFERROR(VLOOKUP(C1729,Customers!$A$2:$F$301,3,FALSE()),"")</f>
        <v>41</v>
      </c>
      <c r="Q1729">
        <f t="shared" si="78"/>
        <v>0.22631578947368422</v>
      </c>
      <c r="R1729">
        <f>IF(AND(COUNTIF($A$2:$A$2047,A1729)&gt;1,COUNTIF($A$2:A1729,A1729)=1),1,0)</f>
        <v>0</v>
      </c>
      <c r="S1729" t="b">
        <f>IFERROR(VLOOKUP(D1729,Products!$A$2:$F$61,6,FALSE()),"")</f>
        <v>1</v>
      </c>
      <c r="T1729" t="str">
        <f>IF(COUNTIF(Customers!$A$2:$A$301,C1729)=0,"Missing","OK")</f>
        <v>OK</v>
      </c>
      <c r="U1729" t="str">
        <f t="shared" si="79"/>
        <v>Delhi</v>
      </c>
      <c r="V1729">
        <f t="shared" si="80"/>
        <v>0</v>
      </c>
    </row>
    <row r="1730" spans="1:22" ht="15" customHeight="1" x14ac:dyDescent="0.35">
      <c r="A1730" s="3" t="s">
        <v>2167</v>
      </c>
      <c r="B1730" s="4">
        <v>45617</v>
      </c>
      <c r="C1730" s="3" t="s">
        <v>183</v>
      </c>
      <c r="D1730" s="3" t="s">
        <v>234</v>
      </c>
      <c r="E1730" s="3" t="s">
        <v>140</v>
      </c>
      <c r="F1730" s="5">
        <v>5</v>
      </c>
      <c r="G1730" s="5">
        <v>2030</v>
      </c>
      <c r="H1730" s="5">
        <v>0.9</v>
      </c>
      <c r="I1730" s="5">
        <v>10058.65</v>
      </c>
      <c r="J1730" s="3" t="s">
        <v>79</v>
      </c>
      <c r="K1730" s="3" t="s">
        <v>33</v>
      </c>
      <c r="L1730" t="str">
        <f>IFERROR(VLOOKUP(D1730,Products!$A$2:$F$61,3,FALSE()),"")</f>
        <v>Home</v>
      </c>
      <c r="M1730" t="str">
        <f>IFERROR(VLOOKUP(E1730,Sales_Reps!$A$2:$C$31,3,FALSE()),"")</f>
        <v>West</v>
      </c>
      <c r="N1730">
        <f>IFERROR(VLOOKUP(D1730,Products!$A$2:$F$61,4,FALSE()),"")</f>
        <v>1143</v>
      </c>
      <c r="O1730" t="str">
        <f>IFERROR(VLOOKUP(C1730,Customers!$A$2:$F$301,5,FALSE()),"")</f>
        <v>Corporate</v>
      </c>
      <c r="P1730">
        <f>IFERROR(VLOOKUP(C1730,Customers!$A$2:$F$301,3,FALSE()),"")</f>
        <v>52</v>
      </c>
      <c r="Q1730">
        <f t="shared" ref="Q1730:Q1793" si="81">IFERROR((G1730-N1730)/G1730,"")</f>
        <v>0.43694581280788175</v>
      </c>
      <c r="R1730">
        <f>IF(AND(COUNTIF($A$2:$A$2047,A1730)&gt;1,COUNTIF($A$2:A1730,A1730)=1),1,0)</f>
        <v>0</v>
      </c>
      <c r="S1730" t="b">
        <f>IFERROR(VLOOKUP(D1730,Products!$A$2:$F$61,6,FALSE()),"")</f>
        <v>1</v>
      </c>
      <c r="T1730" t="str">
        <f>IF(COUNTIF(Customers!$A$2:$A$301,C1730)=0,"Missing","OK")</f>
        <v>OK</v>
      </c>
      <c r="U1730" t="str">
        <f t="shared" ref="U1730:U1793" si="82">IF(K1730="","",PROPER(TRIM(K1730)))</f>
        <v>Chennai</v>
      </c>
      <c r="V1730">
        <f t="shared" ref="V1730:V1793" si="83">IF(AND(U1730="Bengaluru",L1730="Grocery"),I1730,0)</f>
        <v>0</v>
      </c>
    </row>
    <row r="1731" spans="1:22" ht="15" customHeight="1" x14ac:dyDescent="0.35">
      <c r="A1731" s="3" t="s">
        <v>2168</v>
      </c>
      <c r="B1731" s="4">
        <v>45614</v>
      </c>
      <c r="C1731" s="3" t="s">
        <v>379</v>
      </c>
      <c r="D1731" s="3" t="s">
        <v>203</v>
      </c>
      <c r="E1731" s="3" t="s">
        <v>131</v>
      </c>
      <c r="F1731" s="5">
        <v>1</v>
      </c>
      <c r="G1731" s="5">
        <v>4070</v>
      </c>
      <c r="H1731" s="5">
        <v>9.3000000000000007</v>
      </c>
      <c r="I1731" s="5">
        <v>3691.49</v>
      </c>
      <c r="J1731" s="3" t="s">
        <v>83</v>
      </c>
      <c r="K1731" s="3" t="s">
        <v>27</v>
      </c>
      <c r="L1731" t="str">
        <f>IFERROR(VLOOKUP(D1731,Products!$A$2:$F$61,3,FALSE()),"")</f>
        <v>Grocery</v>
      </c>
      <c r="M1731" t="str">
        <f>IFERROR(VLOOKUP(E1731,Sales_Reps!$A$2:$C$31,3,FALSE()),"")</f>
        <v>East</v>
      </c>
      <c r="N1731">
        <f>IFERROR(VLOOKUP(D1731,Products!$A$2:$F$61,4,FALSE()),"")</f>
        <v>2027</v>
      </c>
      <c r="O1731" t="str">
        <f>IFERROR(VLOOKUP(C1731,Customers!$A$2:$F$301,5,FALSE()),"")</f>
        <v>SMB</v>
      </c>
      <c r="P1731">
        <f>IFERROR(VLOOKUP(C1731,Customers!$A$2:$F$301,3,FALSE()),"")</f>
        <v>30</v>
      </c>
      <c r="Q1731">
        <f t="shared" si="81"/>
        <v>0.50196560196560192</v>
      </c>
      <c r="R1731">
        <f>IF(AND(COUNTIF($A$2:$A$2047,A1731)&gt;1,COUNTIF($A$2:A1731,A1731)=1),1,0)</f>
        <v>0</v>
      </c>
      <c r="S1731" t="b">
        <f>IFERROR(VLOOKUP(D1731,Products!$A$2:$F$61,6,FALSE()),"")</f>
        <v>1</v>
      </c>
      <c r="T1731" t="str">
        <f>IF(COUNTIF(Customers!$A$2:$A$301,C1731)=0,"Missing","OK")</f>
        <v>OK</v>
      </c>
      <c r="U1731" t="str">
        <f t="shared" si="82"/>
        <v>Pune</v>
      </c>
      <c r="V1731">
        <f t="shared" si="83"/>
        <v>0</v>
      </c>
    </row>
    <row r="1732" spans="1:22" ht="15" customHeight="1" x14ac:dyDescent="0.35">
      <c r="A1732" s="3" t="s">
        <v>2169</v>
      </c>
      <c r="B1732" s="4">
        <v>45460</v>
      </c>
      <c r="C1732" s="3" t="s">
        <v>472</v>
      </c>
      <c r="D1732" s="3" t="s">
        <v>325</v>
      </c>
      <c r="E1732" s="3" t="s">
        <v>154</v>
      </c>
      <c r="F1732" s="5">
        <v>3</v>
      </c>
      <c r="G1732" s="5">
        <v>2290</v>
      </c>
      <c r="H1732" s="5">
        <v>12.1</v>
      </c>
      <c r="I1732" s="5">
        <v>6038.73</v>
      </c>
      <c r="J1732" s="3" t="s">
        <v>26</v>
      </c>
      <c r="K1732" s="3" t="s">
        <v>38</v>
      </c>
      <c r="L1732" t="str">
        <f>IFERROR(VLOOKUP(D1732,Products!$A$2:$F$61,3,FALSE()),"")</f>
        <v>Beauty</v>
      </c>
      <c r="M1732" t="str">
        <f>IFERROR(VLOOKUP(E1732,Sales_Reps!$A$2:$C$31,3,FALSE()),"")</f>
        <v>North</v>
      </c>
      <c r="N1732">
        <f>IFERROR(VLOOKUP(D1732,Products!$A$2:$F$61,4,FALSE()),"")</f>
        <v>1219</v>
      </c>
      <c r="O1732" t="str">
        <f>IFERROR(VLOOKUP(C1732,Customers!$A$2:$F$301,5,FALSE()),"")</f>
        <v>SMB</v>
      </c>
      <c r="P1732">
        <f>IFERROR(VLOOKUP(C1732,Customers!$A$2:$F$301,3,FALSE()),"")</f>
        <v>48</v>
      </c>
      <c r="Q1732">
        <f t="shared" si="81"/>
        <v>0.46768558951965067</v>
      </c>
      <c r="R1732">
        <f>IF(AND(COUNTIF($A$2:$A$2047,A1732)&gt;1,COUNTIF($A$2:A1732,A1732)=1),1,0)</f>
        <v>0</v>
      </c>
      <c r="S1732" t="b">
        <f>IFERROR(VLOOKUP(D1732,Products!$A$2:$F$61,6,FALSE()),"")</f>
        <v>1</v>
      </c>
      <c r="T1732" t="str">
        <f>IF(COUNTIF(Customers!$A$2:$A$301,C1732)=0,"Missing","OK")</f>
        <v>OK</v>
      </c>
      <c r="U1732" t="str">
        <f t="shared" si="82"/>
        <v>Delhi</v>
      </c>
      <c r="V1732">
        <f t="shared" si="83"/>
        <v>0</v>
      </c>
    </row>
    <row r="1733" spans="1:22" ht="15" customHeight="1" x14ac:dyDescent="0.35">
      <c r="A1733" s="3" t="s">
        <v>2170</v>
      </c>
      <c r="B1733" s="4">
        <v>45514</v>
      </c>
      <c r="C1733" s="3" t="s">
        <v>357</v>
      </c>
      <c r="D1733" s="3" t="s">
        <v>165</v>
      </c>
      <c r="E1733" s="3" t="s">
        <v>131</v>
      </c>
      <c r="F1733" s="5">
        <v>7</v>
      </c>
      <c r="G1733" s="5">
        <v>3730</v>
      </c>
      <c r="H1733" s="5">
        <v>4.5</v>
      </c>
      <c r="I1733" s="5">
        <v>24935.05</v>
      </c>
      <c r="J1733" s="3" t="s">
        <v>26</v>
      </c>
      <c r="K1733" s="3" t="s">
        <v>72</v>
      </c>
      <c r="L1733" t="str">
        <f>IFERROR(VLOOKUP(D1733,Products!$A$2:$F$61,3,FALSE()),"")</f>
        <v>Home</v>
      </c>
      <c r="M1733" t="str">
        <f>IFERROR(VLOOKUP(E1733,Sales_Reps!$A$2:$C$31,3,FALSE()),"")</f>
        <v>East</v>
      </c>
      <c r="N1733">
        <f>IFERROR(VLOOKUP(D1733,Products!$A$2:$F$61,4,FALSE()),"")</f>
        <v>2135</v>
      </c>
      <c r="O1733" t="str">
        <f>IFERROR(VLOOKUP(C1733,Customers!$A$2:$F$301,5,FALSE()),"")</f>
        <v>Retail</v>
      </c>
      <c r="P1733">
        <f>IFERROR(VLOOKUP(C1733,Customers!$A$2:$F$301,3,FALSE()),"")</f>
        <v>22</v>
      </c>
      <c r="Q1733">
        <f t="shared" si="81"/>
        <v>0.42761394101876676</v>
      </c>
      <c r="R1733">
        <f>IF(AND(COUNTIF($A$2:$A$2047,A1733)&gt;1,COUNTIF($A$2:A1733,A1733)=1),1,0)</f>
        <v>0</v>
      </c>
      <c r="S1733" t="b">
        <f>IFERROR(VLOOKUP(D1733,Products!$A$2:$F$61,6,FALSE()),"")</f>
        <v>1</v>
      </c>
      <c r="T1733" t="str">
        <f>IF(COUNTIF(Customers!$A$2:$A$301,C1733)=0,"Missing","OK")</f>
        <v>OK</v>
      </c>
      <c r="U1733" t="str">
        <f t="shared" si="82"/>
        <v>Hyderabad</v>
      </c>
      <c r="V1733">
        <f t="shared" si="83"/>
        <v>0</v>
      </c>
    </row>
    <row r="1734" spans="1:22" ht="15" customHeight="1" x14ac:dyDescent="0.35">
      <c r="A1734" s="3" t="s">
        <v>2171</v>
      </c>
      <c r="B1734" s="4">
        <v>45306</v>
      </c>
      <c r="C1734" s="3" t="s">
        <v>352</v>
      </c>
      <c r="D1734" s="3" t="s">
        <v>231</v>
      </c>
      <c r="E1734" s="3" t="s">
        <v>31</v>
      </c>
      <c r="F1734" s="5">
        <v>5</v>
      </c>
      <c r="G1734" s="5">
        <v>620</v>
      </c>
      <c r="H1734" s="5">
        <v>7.5</v>
      </c>
      <c r="I1734" s="5">
        <v>2867.5</v>
      </c>
      <c r="J1734" s="3" t="s">
        <v>26</v>
      </c>
      <c r="K1734" s="3" t="s">
        <v>27</v>
      </c>
      <c r="L1734" t="str">
        <f>IFERROR(VLOOKUP(D1734,Products!$A$2:$F$61,3,FALSE()),"")</f>
        <v>Apparel</v>
      </c>
      <c r="M1734" t="str">
        <f>IFERROR(VLOOKUP(E1734,Sales_Reps!$A$2:$C$31,3,FALSE()),"")</f>
        <v>North</v>
      </c>
      <c r="N1734">
        <f>IFERROR(VLOOKUP(D1734,Products!$A$2:$F$61,4,FALSE()),"")</f>
        <v>396</v>
      </c>
      <c r="O1734" t="str">
        <f>IFERROR(VLOOKUP(C1734,Customers!$A$2:$F$301,5,FALSE()),"")</f>
        <v>Retail</v>
      </c>
      <c r="P1734">
        <f>IFERROR(VLOOKUP(C1734,Customers!$A$2:$F$301,3,FALSE()),"")</f>
        <v>22</v>
      </c>
      <c r="Q1734">
        <f t="shared" si="81"/>
        <v>0.36129032258064514</v>
      </c>
      <c r="R1734">
        <f>IF(AND(COUNTIF($A$2:$A$2047,A1734)&gt;1,COUNTIF($A$2:A1734,A1734)=1),1,0)</f>
        <v>0</v>
      </c>
      <c r="S1734" t="b">
        <f>IFERROR(VLOOKUP(D1734,Products!$A$2:$F$61,6,FALSE()),"")</f>
        <v>1</v>
      </c>
      <c r="T1734" t="str">
        <f>IF(COUNTIF(Customers!$A$2:$A$301,C1734)=0,"Missing","OK")</f>
        <v>OK</v>
      </c>
      <c r="U1734" t="str">
        <f t="shared" si="82"/>
        <v>Pune</v>
      </c>
      <c r="V1734">
        <f t="shared" si="83"/>
        <v>0</v>
      </c>
    </row>
    <row r="1735" spans="1:22" ht="15" customHeight="1" x14ac:dyDescent="0.35">
      <c r="A1735" s="3" t="s">
        <v>2172</v>
      </c>
      <c r="B1735" s="4">
        <v>45455</v>
      </c>
      <c r="C1735" s="3" t="s">
        <v>321</v>
      </c>
      <c r="D1735" s="3" t="s">
        <v>74</v>
      </c>
      <c r="E1735" s="3" t="s">
        <v>71</v>
      </c>
      <c r="F1735" s="5">
        <v>8</v>
      </c>
      <c r="G1735" s="5">
        <v>2640</v>
      </c>
      <c r="H1735" s="5">
        <v>16.399999999999999</v>
      </c>
      <c r="I1735" s="5">
        <v>17656.32</v>
      </c>
      <c r="J1735" s="3" t="s">
        <v>26</v>
      </c>
      <c r="K1735" s="3" t="s">
        <v>38</v>
      </c>
      <c r="L1735" t="str">
        <f>IFERROR(VLOOKUP(D1735,Products!$A$2:$F$61,3,FALSE()),"")</f>
        <v>Electronics</v>
      </c>
      <c r="M1735" t="str">
        <f>IFERROR(VLOOKUP(E1735,Sales_Reps!$A$2:$C$31,3,FALSE()),"")</f>
        <v>South</v>
      </c>
      <c r="N1735">
        <f>IFERROR(VLOOKUP(D1735,Products!$A$2:$F$61,4,FALSE()),"")</f>
        <v>1149</v>
      </c>
      <c r="O1735" t="str">
        <f>IFERROR(VLOOKUP(C1735,Customers!$A$2:$F$301,5,FALSE()),"")</f>
        <v>Corporate</v>
      </c>
      <c r="P1735">
        <f>IFERROR(VLOOKUP(C1735,Customers!$A$2:$F$301,3,FALSE()),"")</f>
        <v>27</v>
      </c>
      <c r="Q1735">
        <f t="shared" si="81"/>
        <v>0.56477272727272732</v>
      </c>
      <c r="R1735">
        <f>IF(AND(COUNTIF($A$2:$A$2047,A1735)&gt;1,COUNTIF($A$2:A1735,A1735)=1),1,0)</f>
        <v>0</v>
      </c>
      <c r="S1735" t="b">
        <f>IFERROR(VLOOKUP(D1735,Products!$A$2:$F$61,6,FALSE()),"")</f>
        <v>1</v>
      </c>
      <c r="T1735" t="str">
        <f>IF(COUNTIF(Customers!$A$2:$A$301,C1735)=0,"Missing","OK")</f>
        <v>OK</v>
      </c>
      <c r="U1735" t="str">
        <f t="shared" si="82"/>
        <v>Delhi</v>
      </c>
      <c r="V1735">
        <f t="shared" si="83"/>
        <v>0</v>
      </c>
    </row>
    <row r="1736" spans="1:22" ht="15" customHeight="1" x14ac:dyDescent="0.35">
      <c r="A1736" s="3" t="s">
        <v>2173</v>
      </c>
      <c r="B1736" s="4">
        <v>45564</v>
      </c>
      <c r="C1736" s="3" t="s">
        <v>257</v>
      </c>
      <c r="D1736" s="3" t="s">
        <v>41</v>
      </c>
      <c r="E1736" s="3" t="s">
        <v>78</v>
      </c>
      <c r="F1736" s="5">
        <v>6</v>
      </c>
      <c r="G1736" s="5">
        <v>3660</v>
      </c>
      <c r="H1736" s="5">
        <v>6.2</v>
      </c>
      <c r="I1736" s="5">
        <v>20598.48</v>
      </c>
      <c r="J1736" s="3" t="s">
        <v>26</v>
      </c>
      <c r="K1736" s="3" t="s">
        <v>33</v>
      </c>
      <c r="L1736" t="str">
        <f>IFERROR(VLOOKUP(D1736,Products!$A$2:$F$61,3,FALSE()),"")</f>
        <v>Grocery</v>
      </c>
      <c r="M1736" t="str">
        <f>IFERROR(VLOOKUP(E1736,Sales_Reps!$A$2:$C$31,3,FALSE()),"")</f>
        <v>North</v>
      </c>
      <c r="N1736">
        <f>IFERROR(VLOOKUP(D1736,Products!$A$2:$F$61,4,FALSE()),"")</f>
        <v>2214</v>
      </c>
      <c r="O1736" t="str">
        <f>IFERROR(VLOOKUP(C1736,Customers!$A$2:$F$301,5,FALSE()),"")</f>
        <v>SMB</v>
      </c>
      <c r="P1736">
        <f>IFERROR(VLOOKUP(C1736,Customers!$A$2:$F$301,3,FALSE()),"")</f>
        <v>57</v>
      </c>
      <c r="Q1736">
        <f t="shared" si="81"/>
        <v>0.39508196721311473</v>
      </c>
      <c r="R1736">
        <f>IF(AND(COUNTIF($A$2:$A$2047,A1736)&gt;1,COUNTIF($A$2:A1736,A1736)=1),1,0)</f>
        <v>0</v>
      </c>
      <c r="S1736" t="b">
        <f>IFERROR(VLOOKUP(D1736,Products!$A$2:$F$61,6,FALSE()),"")</f>
        <v>0</v>
      </c>
      <c r="T1736" t="str">
        <f>IF(COUNTIF(Customers!$A$2:$A$301,C1736)=0,"Missing","OK")</f>
        <v>OK</v>
      </c>
      <c r="U1736" t="str">
        <f t="shared" si="82"/>
        <v>Chennai</v>
      </c>
      <c r="V1736">
        <f t="shared" si="83"/>
        <v>0</v>
      </c>
    </row>
    <row r="1737" spans="1:22" ht="15" customHeight="1" x14ac:dyDescent="0.35">
      <c r="A1737" s="3" t="s">
        <v>2174</v>
      </c>
      <c r="B1737" s="4">
        <v>45507</v>
      </c>
      <c r="C1737" s="3" t="s">
        <v>590</v>
      </c>
      <c r="D1737" s="3" t="s">
        <v>30</v>
      </c>
      <c r="E1737" s="3" t="s">
        <v>131</v>
      </c>
      <c r="F1737" s="5">
        <v>2</v>
      </c>
      <c r="G1737" s="5">
        <v>820</v>
      </c>
      <c r="H1737" s="5">
        <v>25.4</v>
      </c>
      <c r="I1737" s="5">
        <v>1223.44</v>
      </c>
      <c r="J1737" s="3" t="s">
        <v>26</v>
      </c>
      <c r="K1737" s="3" t="s">
        <v>72</v>
      </c>
      <c r="L1737" t="str">
        <f>IFERROR(VLOOKUP(D1737,Products!$A$2:$F$61,3,FALSE()),"")</f>
        <v>Apparel</v>
      </c>
      <c r="M1737" t="str">
        <f>IFERROR(VLOOKUP(E1737,Sales_Reps!$A$2:$C$31,3,FALSE()),"")</f>
        <v>East</v>
      </c>
      <c r="N1737">
        <f>IFERROR(VLOOKUP(D1737,Products!$A$2:$F$61,4,FALSE()),"")</f>
        <v>391</v>
      </c>
      <c r="O1737" t="str">
        <f>IFERROR(VLOOKUP(C1737,Customers!$A$2:$F$301,5,FALSE()),"")</f>
        <v>Retail</v>
      </c>
      <c r="P1737">
        <f>IFERROR(VLOOKUP(C1737,Customers!$A$2:$F$301,3,FALSE()),"")</f>
        <v>50</v>
      </c>
      <c r="Q1737">
        <f t="shared" si="81"/>
        <v>0.52317073170731709</v>
      </c>
      <c r="R1737">
        <f>IF(AND(COUNTIF($A$2:$A$2047,A1737)&gt;1,COUNTIF($A$2:A1737,A1737)=1),1,0)</f>
        <v>0</v>
      </c>
      <c r="S1737" t="b">
        <f>IFERROR(VLOOKUP(D1737,Products!$A$2:$F$61,6,FALSE()),"")</f>
        <v>1</v>
      </c>
      <c r="T1737" t="str">
        <f>IF(COUNTIF(Customers!$A$2:$A$301,C1737)=0,"Missing","OK")</f>
        <v>OK</v>
      </c>
      <c r="U1737" t="str">
        <f t="shared" si="82"/>
        <v>Hyderabad</v>
      </c>
      <c r="V1737">
        <f t="shared" si="83"/>
        <v>0</v>
      </c>
    </row>
    <row r="1738" spans="1:22" ht="15" customHeight="1" x14ac:dyDescent="0.35">
      <c r="A1738" s="3" t="s">
        <v>2175</v>
      </c>
      <c r="B1738" s="4">
        <v>45596</v>
      </c>
      <c r="C1738" s="3" t="s">
        <v>1173</v>
      </c>
      <c r="D1738" s="3" t="s">
        <v>106</v>
      </c>
      <c r="E1738" s="3" t="s">
        <v>97</v>
      </c>
      <c r="F1738" s="5">
        <v>3</v>
      </c>
      <c r="G1738" s="5">
        <v>2480</v>
      </c>
      <c r="H1738" s="5">
        <v>28.7</v>
      </c>
      <c r="I1738" s="5">
        <v>5304.72</v>
      </c>
      <c r="J1738" s="3" t="s">
        <v>32</v>
      </c>
      <c r="K1738" s="3" t="s">
        <v>51</v>
      </c>
      <c r="L1738" t="str">
        <f>IFERROR(VLOOKUP(D1738,Products!$A$2:$F$61,3,FALSE()),"")</f>
        <v>Apparel</v>
      </c>
      <c r="M1738" t="str">
        <f>IFERROR(VLOOKUP(E1738,Sales_Reps!$A$2:$C$31,3,FALSE()),"")</f>
        <v>East</v>
      </c>
      <c r="N1738">
        <f>IFERROR(VLOOKUP(D1738,Products!$A$2:$F$61,4,FALSE()),"")</f>
        <v>1173</v>
      </c>
      <c r="O1738" t="str">
        <f>IFERROR(VLOOKUP(C1738,Customers!$A$2:$F$301,5,FALSE()),"")</f>
        <v>Retail</v>
      </c>
      <c r="P1738">
        <f>IFERROR(VLOOKUP(C1738,Customers!$A$2:$F$301,3,FALSE()),"")</f>
        <v>29</v>
      </c>
      <c r="Q1738">
        <f t="shared" si="81"/>
        <v>0.52701612903225803</v>
      </c>
      <c r="R1738">
        <f>IF(AND(COUNTIF($A$2:$A$2047,A1738)&gt;1,COUNTIF($A$2:A1738,A1738)=1),1,0)</f>
        <v>0</v>
      </c>
      <c r="S1738" t="b">
        <f>IFERROR(VLOOKUP(D1738,Products!$A$2:$F$61,6,FALSE()),"")</f>
        <v>1</v>
      </c>
      <c r="T1738" t="str">
        <f>IF(COUNTIF(Customers!$A$2:$A$301,C1738)=0,"Missing","OK")</f>
        <v>OK</v>
      </c>
      <c r="U1738" t="str">
        <f t="shared" si="82"/>
        <v>Mumbai</v>
      </c>
      <c r="V1738">
        <f t="shared" si="83"/>
        <v>0</v>
      </c>
    </row>
    <row r="1739" spans="1:22" ht="15" customHeight="1" x14ac:dyDescent="0.35">
      <c r="A1739" s="3" t="s">
        <v>2176</v>
      </c>
      <c r="B1739" s="4">
        <v>45534</v>
      </c>
      <c r="C1739" s="3" t="s">
        <v>762</v>
      </c>
      <c r="D1739" s="3" t="s">
        <v>180</v>
      </c>
      <c r="E1739" s="3" t="s">
        <v>67</v>
      </c>
      <c r="F1739" s="5">
        <v>10</v>
      </c>
      <c r="G1739" s="5">
        <v>6080</v>
      </c>
      <c r="H1739" s="5">
        <v>18.899999999999999</v>
      </c>
      <c r="I1739" s="5">
        <v>49308.800000000003</v>
      </c>
      <c r="J1739" s="3" t="s">
        <v>26</v>
      </c>
      <c r="K1739" s="3" t="s">
        <v>33</v>
      </c>
      <c r="L1739" t="str">
        <f>IFERROR(VLOOKUP(D1739,Products!$A$2:$F$61,3,FALSE()),"")</f>
        <v>Beauty</v>
      </c>
      <c r="M1739" t="str">
        <f>IFERROR(VLOOKUP(E1739,Sales_Reps!$A$2:$C$31,3,FALSE()),"")</f>
        <v>West</v>
      </c>
      <c r="N1739">
        <f>IFERROR(VLOOKUP(D1739,Products!$A$2:$F$61,4,FALSE()),"")</f>
        <v>2617</v>
      </c>
      <c r="O1739" t="str">
        <f>IFERROR(VLOOKUP(C1739,Customers!$A$2:$F$301,5,FALSE()),"")</f>
        <v>Retail</v>
      </c>
      <c r="P1739">
        <f>IFERROR(VLOOKUP(C1739,Customers!$A$2:$F$301,3,FALSE()),"")</f>
        <v>32</v>
      </c>
      <c r="Q1739">
        <f t="shared" si="81"/>
        <v>0.56957236842105263</v>
      </c>
      <c r="R1739">
        <f>IF(AND(COUNTIF($A$2:$A$2047,A1739)&gt;1,COUNTIF($A$2:A1739,A1739)=1),1,0)</f>
        <v>0</v>
      </c>
      <c r="S1739" t="b">
        <f>IFERROR(VLOOKUP(D1739,Products!$A$2:$F$61,6,FALSE()),"")</f>
        <v>1</v>
      </c>
      <c r="T1739" t="str">
        <f>IF(COUNTIF(Customers!$A$2:$A$301,C1739)=0,"Missing","OK")</f>
        <v>OK</v>
      </c>
      <c r="U1739" t="str">
        <f t="shared" si="82"/>
        <v>Chennai</v>
      </c>
      <c r="V1739">
        <f t="shared" si="83"/>
        <v>0</v>
      </c>
    </row>
    <row r="1740" spans="1:22" ht="15" customHeight="1" x14ac:dyDescent="0.35">
      <c r="A1740" s="3" t="s">
        <v>2177</v>
      </c>
      <c r="B1740" s="4">
        <v>45336</v>
      </c>
      <c r="C1740" s="3" t="s">
        <v>81</v>
      </c>
      <c r="D1740" s="3" t="s">
        <v>86</v>
      </c>
      <c r="E1740" s="3" t="s">
        <v>224</v>
      </c>
      <c r="F1740" s="5">
        <v>1</v>
      </c>
      <c r="G1740" s="5">
        <v>190</v>
      </c>
      <c r="H1740" s="5">
        <v>5.7</v>
      </c>
      <c r="I1740" s="5">
        <v>179.17</v>
      </c>
      <c r="J1740" s="3" t="s">
        <v>26</v>
      </c>
      <c r="K1740" s="3" t="s">
        <v>27</v>
      </c>
      <c r="L1740" t="str">
        <f>IFERROR(VLOOKUP(D1740,Products!$A$2:$F$61,3,FALSE()),"")</f>
        <v>Sports</v>
      </c>
      <c r="M1740" t="str">
        <f>IFERROR(VLOOKUP(E1740,Sales_Reps!$A$2:$C$31,3,FALSE()),"")</f>
        <v>East</v>
      </c>
      <c r="N1740">
        <f>IFERROR(VLOOKUP(D1740,Products!$A$2:$F$61,4,FALSE()),"")</f>
        <v>147</v>
      </c>
      <c r="O1740" t="str">
        <f>IFERROR(VLOOKUP(C1740,Customers!$A$2:$F$301,5,FALSE()),"")</f>
        <v>SMB</v>
      </c>
      <c r="P1740">
        <f>IFERROR(VLOOKUP(C1740,Customers!$A$2:$F$301,3,FALSE()),"")</f>
        <v>39</v>
      </c>
      <c r="Q1740">
        <f t="shared" si="81"/>
        <v>0.22631578947368422</v>
      </c>
      <c r="R1740">
        <f>IF(AND(COUNTIF($A$2:$A$2047,A1740)&gt;1,COUNTIF($A$2:A1740,A1740)=1),1,0)</f>
        <v>0</v>
      </c>
      <c r="S1740" t="b">
        <f>IFERROR(VLOOKUP(D1740,Products!$A$2:$F$61,6,FALSE()),"")</f>
        <v>1</v>
      </c>
      <c r="T1740" t="str">
        <f>IF(COUNTIF(Customers!$A$2:$A$301,C1740)=0,"Missing","OK")</f>
        <v>OK</v>
      </c>
      <c r="U1740" t="str">
        <f t="shared" si="82"/>
        <v>Pune</v>
      </c>
      <c r="V1740">
        <f t="shared" si="83"/>
        <v>0</v>
      </c>
    </row>
    <row r="1741" spans="1:22" ht="15" customHeight="1" x14ac:dyDescent="0.35">
      <c r="A1741" s="3" t="s">
        <v>2178</v>
      </c>
      <c r="B1741" s="4">
        <v>45463</v>
      </c>
      <c r="C1741" s="3" t="s">
        <v>149</v>
      </c>
      <c r="D1741" s="3" t="s">
        <v>400</v>
      </c>
      <c r="E1741" s="3" t="s">
        <v>140</v>
      </c>
      <c r="F1741" s="5">
        <v>2</v>
      </c>
      <c r="G1741" s="5">
        <v>3780</v>
      </c>
      <c r="H1741" s="5">
        <v>11.8</v>
      </c>
      <c r="I1741" s="5">
        <v>6667.92</v>
      </c>
      <c r="J1741" s="3" t="s">
        <v>26</v>
      </c>
      <c r="K1741" s="3" t="s">
        <v>38</v>
      </c>
      <c r="L1741" t="str">
        <f>IFERROR(VLOOKUP(D1741,Products!$A$2:$F$61,3,FALSE()),"")</f>
        <v>Sports</v>
      </c>
      <c r="M1741" t="str">
        <f>IFERROR(VLOOKUP(E1741,Sales_Reps!$A$2:$C$31,3,FALSE()),"")</f>
        <v>West</v>
      </c>
      <c r="N1741">
        <f>IFERROR(VLOOKUP(D1741,Products!$A$2:$F$61,4,FALSE()),"")</f>
        <v>1860</v>
      </c>
      <c r="O1741" t="str">
        <f>IFERROR(VLOOKUP(C1741,Customers!$A$2:$F$301,5,FALSE()),"")</f>
        <v>Retail</v>
      </c>
      <c r="P1741">
        <f>IFERROR(VLOOKUP(C1741,Customers!$A$2:$F$301,3,FALSE()),"")</f>
        <v>41</v>
      </c>
      <c r="Q1741">
        <f t="shared" si="81"/>
        <v>0.50793650793650791</v>
      </c>
      <c r="R1741">
        <f>IF(AND(COUNTIF($A$2:$A$2047,A1741)&gt;1,COUNTIF($A$2:A1741,A1741)=1),1,0)</f>
        <v>0</v>
      </c>
      <c r="S1741" t="b">
        <f>IFERROR(VLOOKUP(D1741,Products!$A$2:$F$61,6,FALSE()),"")</f>
        <v>1</v>
      </c>
      <c r="T1741" t="str">
        <f>IF(COUNTIF(Customers!$A$2:$A$301,C1741)=0,"Missing","OK")</f>
        <v>OK</v>
      </c>
      <c r="U1741" t="str">
        <f t="shared" si="82"/>
        <v>Delhi</v>
      </c>
      <c r="V1741">
        <f t="shared" si="83"/>
        <v>0</v>
      </c>
    </row>
    <row r="1742" spans="1:22" ht="15" customHeight="1" x14ac:dyDescent="0.35">
      <c r="A1742" s="3" t="s">
        <v>2179</v>
      </c>
      <c r="B1742" s="4">
        <v>45602</v>
      </c>
      <c r="C1742" s="3" t="s">
        <v>186</v>
      </c>
      <c r="D1742" s="3" t="s">
        <v>82</v>
      </c>
      <c r="E1742" s="3" t="s">
        <v>154</v>
      </c>
      <c r="F1742" s="5">
        <v>5</v>
      </c>
      <c r="G1742" s="5">
        <v>3250</v>
      </c>
      <c r="H1742" s="5">
        <v>19.899999999999999</v>
      </c>
      <c r="I1742" s="5">
        <v>13016.25</v>
      </c>
      <c r="J1742" s="3" t="s">
        <v>26</v>
      </c>
      <c r="K1742" s="3" t="s">
        <v>56</v>
      </c>
      <c r="L1742" t="str">
        <f>IFERROR(VLOOKUP(D1742,Products!$A$2:$F$61,3,FALSE()),"")</f>
        <v>Home</v>
      </c>
      <c r="M1742" t="str">
        <f>IFERROR(VLOOKUP(E1742,Sales_Reps!$A$2:$C$31,3,FALSE()),"")</f>
        <v>North</v>
      </c>
      <c r="N1742">
        <f>IFERROR(VLOOKUP(D1742,Products!$A$2:$F$61,4,FALSE()),"")</f>
        <v>1556</v>
      </c>
      <c r="O1742" t="str">
        <f>IFERROR(VLOOKUP(C1742,Customers!$A$2:$F$301,5,FALSE()),"")</f>
        <v>Retail</v>
      </c>
      <c r="P1742">
        <f>IFERROR(VLOOKUP(C1742,Customers!$A$2:$F$301,3,FALSE()),"")</f>
        <v>34</v>
      </c>
      <c r="Q1742">
        <f t="shared" si="81"/>
        <v>0.52123076923076928</v>
      </c>
      <c r="R1742">
        <f>IF(AND(COUNTIF($A$2:$A$2047,A1742)&gt;1,COUNTIF($A$2:A1742,A1742)=1),1,0)</f>
        <v>0</v>
      </c>
      <c r="S1742" t="b">
        <f>IFERROR(VLOOKUP(D1742,Products!$A$2:$F$61,6,FALSE()),"")</f>
        <v>1</v>
      </c>
      <c r="T1742" t="str">
        <f>IF(COUNTIF(Customers!$A$2:$A$301,C1742)=0,"Missing","OK")</f>
        <v>OK</v>
      </c>
      <c r="U1742" t="str">
        <f t="shared" si="82"/>
        <v>Bengaluru</v>
      </c>
      <c r="V1742">
        <f t="shared" si="83"/>
        <v>0</v>
      </c>
    </row>
    <row r="1743" spans="1:22" ht="15" customHeight="1" x14ac:dyDescent="0.35">
      <c r="A1743" s="3" t="s">
        <v>2180</v>
      </c>
      <c r="B1743" s="4">
        <v>45365</v>
      </c>
      <c r="C1743" s="3" t="s">
        <v>1829</v>
      </c>
      <c r="D1743" s="3" t="s">
        <v>234</v>
      </c>
      <c r="E1743" s="3" t="s">
        <v>46</v>
      </c>
      <c r="F1743" s="5">
        <v>7</v>
      </c>
      <c r="G1743" s="5">
        <v>2030</v>
      </c>
      <c r="H1743" s="5">
        <v>4.0999999999999996</v>
      </c>
      <c r="I1743" s="5">
        <v>13627.39</v>
      </c>
      <c r="J1743" s="3" t="s">
        <v>26</v>
      </c>
      <c r="K1743" s="3" t="s">
        <v>72</v>
      </c>
      <c r="L1743" t="str">
        <f>IFERROR(VLOOKUP(D1743,Products!$A$2:$F$61,3,FALSE()),"")</f>
        <v>Home</v>
      </c>
      <c r="M1743" t="str">
        <f>IFERROR(VLOOKUP(E1743,Sales_Reps!$A$2:$C$31,3,FALSE()),"")</f>
        <v>North</v>
      </c>
      <c r="N1743">
        <f>IFERROR(VLOOKUP(D1743,Products!$A$2:$F$61,4,FALSE()),"")</f>
        <v>1143</v>
      </c>
      <c r="O1743" t="str">
        <f>IFERROR(VLOOKUP(C1743,Customers!$A$2:$F$301,5,FALSE()),"")</f>
        <v>SMB</v>
      </c>
      <c r="P1743">
        <f>IFERROR(VLOOKUP(C1743,Customers!$A$2:$F$301,3,FALSE()),"")</f>
        <v>34</v>
      </c>
      <c r="Q1743">
        <f t="shared" si="81"/>
        <v>0.43694581280788175</v>
      </c>
      <c r="R1743">
        <f>IF(AND(COUNTIF($A$2:$A$2047,A1743)&gt;1,COUNTIF($A$2:A1743,A1743)=1),1,0)</f>
        <v>0</v>
      </c>
      <c r="S1743" t="b">
        <f>IFERROR(VLOOKUP(D1743,Products!$A$2:$F$61,6,FALSE()),"")</f>
        <v>1</v>
      </c>
      <c r="T1743" t="str">
        <f>IF(COUNTIF(Customers!$A$2:$A$301,C1743)=0,"Missing","OK")</f>
        <v>OK</v>
      </c>
      <c r="U1743" t="str">
        <f t="shared" si="82"/>
        <v>Hyderabad</v>
      </c>
      <c r="V1743">
        <f t="shared" si="83"/>
        <v>0</v>
      </c>
    </row>
    <row r="1744" spans="1:22" ht="15" customHeight="1" x14ac:dyDescent="0.35">
      <c r="A1744" s="3" t="s">
        <v>2181</v>
      </c>
      <c r="B1744" s="4">
        <v>45651</v>
      </c>
      <c r="C1744" s="3" t="s">
        <v>636</v>
      </c>
      <c r="D1744" s="3" t="s">
        <v>123</v>
      </c>
      <c r="E1744" s="3" t="s">
        <v>264</v>
      </c>
      <c r="F1744" s="5">
        <v>5</v>
      </c>
      <c r="G1744" s="5">
        <v>4880</v>
      </c>
      <c r="H1744" s="5">
        <v>22.9</v>
      </c>
      <c r="I1744" s="5">
        <v>18812.400000000001</v>
      </c>
      <c r="J1744" s="3" t="s">
        <v>26</v>
      </c>
      <c r="K1744" s="3" t="s">
        <v>72</v>
      </c>
      <c r="L1744" t="str">
        <f>IFERROR(VLOOKUP(D1744,Products!$A$2:$F$61,3,FALSE()),"")</f>
        <v>Beauty</v>
      </c>
      <c r="M1744" t="str">
        <f>IFERROR(VLOOKUP(E1744,Sales_Reps!$A$2:$C$31,3,FALSE()),"")</f>
        <v>South</v>
      </c>
      <c r="N1744">
        <f>IFERROR(VLOOKUP(D1744,Products!$A$2:$F$61,4,FALSE()),"")</f>
        <v>2768</v>
      </c>
      <c r="O1744" t="str">
        <f>IFERROR(VLOOKUP(C1744,Customers!$A$2:$F$301,5,FALSE()),"")</f>
        <v>Retail</v>
      </c>
      <c r="P1744">
        <f>IFERROR(VLOOKUP(C1744,Customers!$A$2:$F$301,3,FALSE()),"")</f>
        <v>65</v>
      </c>
      <c r="Q1744">
        <f t="shared" si="81"/>
        <v>0.43278688524590164</v>
      </c>
      <c r="R1744">
        <f>IF(AND(COUNTIF($A$2:$A$2047,A1744)&gt;1,COUNTIF($A$2:A1744,A1744)=1),1,0)</f>
        <v>0</v>
      </c>
      <c r="S1744" t="b">
        <f>IFERROR(VLOOKUP(D1744,Products!$A$2:$F$61,6,FALSE()),"")</f>
        <v>1</v>
      </c>
      <c r="T1744" t="str">
        <f>IF(COUNTIF(Customers!$A$2:$A$301,C1744)=0,"Missing","OK")</f>
        <v>OK</v>
      </c>
      <c r="U1744" t="str">
        <f t="shared" si="82"/>
        <v>Hyderabad</v>
      </c>
      <c r="V1744">
        <f t="shared" si="83"/>
        <v>0</v>
      </c>
    </row>
    <row r="1745" spans="1:22" ht="15" customHeight="1" x14ac:dyDescent="0.35">
      <c r="A1745" s="3" t="s">
        <v>2182</v>
      </c>
      <c r="B1745" s="4">
        <v>45297</v>
      </c>
      <c r="C1745" s="3" t="s">
        <v>680</v>
      </c>
      <c r="D1745" s="3" t="s">
        <v>118</v>
      </c>
      <c r="E1745" s="3" t="s">
        <v>131</v>
      </c>
      <c r="F1745" s="5">
        <v>3</v>
      </c>
      <c r="G1745" s="5">
        <v>3350</v>
      </c>
      <c r="H1745" s="5">
        <v>15.2</v>
      </c>
      <c r="I1745" s="5">
        <v>8522.4</v>
      </c>
      <c r="J1745" s="3" t="s">
        <v>32</v>
      </c>
      <c r="K1745" s="3" t="s">
        <v>72</v>
      </c>
      <c r="L1745" t="str">
        <f>IFERROR(VLOOKUP(D1745,Products!$A$2:$F$61,3,FALSE()),"")</f>
        <v>Beauty</v>
      </c>
      <c r="M1745" t="str">
        <f>IFERROR(VLOOKUP(E1745,Sales_Reps!$A$2:$C$31,3,FALSE()),"")</f>
        <v>East</v>
      </c>
      <c r="N1745">
        <f>IFERROR(VLOOKUP(D1745,Products!$A$2:$F$61,4,FALSE()),"")</f>
        <v>1728</v>
      </c>
      <c r="O1745" t="str">
        <f>IFERROR(VLOOKUP(C1745,Customers!$A$2:$F$301,5,FALSE()),"")</f>
        <v>SMB</v>
      </c>
      <c r="P1745">
        <f>IFERROR(VLOOKUP(C1745,Customers!$A$2:$F$301,3,FALSE()),"")</f>
        <v>29</v>
      </c>
      <c r="Q1745">
        <f t="shared" si="81"/>
        <v>0.48417910447761192</v>
      </c>
      <c r="R1745">
        <f>IF(AND(COUNTIF($A$2:$A$2047,A1745)&gt;1,COUNTIF($A$2:A1745,A1745)=1),1,0)</f>
        <v>0</v>
      </c>
      <c r="S1745" t="b">
        <f>IFERROR(VLOOKUP(D1745,Products!$A$2:$F$61,6,FALSE()),"")</f>
        <v>1</v>
      </c>
      <c r="T1745" t="str">
        <f>IF(COUNTIF(Customers!$A$2:$A$301,C1745)=0,"Missing","OK")</f>
        <v>OK</v>
      </c>
      <c r="U1745" t="str">
        <f t="shared" si="82"/>
        <v>Hyderabad</v>
      </c>
      <c r="V1745">
        <f t="shared" si="83"/>
        <v>0</v>
      </c>
    </row>
    <row r="1746" spans="1:22" ht="15" customHeight="1" x14ac:dyDescent="0.35">
      <c r="A1746" s="3" t="s">
        <v>2183</v>
      </c>
      <c r="B1746" s="4">
        <v>45425</v>
      </c>
      <c r="C1746" s="3" t="s">
        <v>446</v>
      </c>
      <c r="D1746" s="3" t="s">
        <v>134</v>
      </c>
      <c r="E1746" s="3" t="s">
        <v>168</v>
      </c>
      <c r="F1746" s="5">
        <v>10</v>
      </c>
      <c r="G1746" s="5">
        <v>2860</v>
      </c>
      <c r="H1746" s="5">
        <v>15</v>
      </c>
      <c r="I1746" s="5">
        <v>24310</v>
      </c>
      <c r="J1746" s="3" t="s">
        <v>26</v>
      </c>
      <c r="K1746" s="3" t="s">
        <v>27</v>
      </c>
      <c r="L1746" t="str">
        <f>IFERROR(VLOOKUP(D1746,Products!$A$2:$F$61,3,FALSE()),"")</f>
        <v>Sports</v>
      </c>
      <c r="M1746" t="str">
        <f>IFERROR(VLOOKUP(E1746,Sales_Reps!$A$2:$C$31,3,FALSE()),"")</f>
        <v>West</v>
      </c>
      <c r="N1746">
        <f>IFERROR(VLOOKUP(D1746,Products!$A$2:$F$61,4,FALSE()),"")</f>
        <v>2028</v>
      </c>
      <c r="O1746" t="str">
        <f>IFERROR(VLOOKUP(C1746,Customers!$A$2:$F$301,5,FALSE()),"")</f>
        <v>Retail</v>
      </c>
      <c r="P1746">
        <f>IFERROR(VLOOKUP(C1746,Customers!$A$2:$F$301,3,FALSE()),"")</f>
        <v>59</v>
      </c>
      <c r="Q1746">
        <f t="shared" si="81"/>
        <v>0.29090909090909089</v>
      </c>
      <c r="R1746">
        <f>IF(AND(COUNTIF($A$2:$A$2047,A1746)&gt;1,COUNTIF($A$2:A1746,A1746)=1),1,0)</f>
        <v>0</v>
      </c>
      <c r="S1746" t="b">
        <f>IFERROR(VLOOKUP(D1746,Products!$A$2:$F$61,6,FALSE()),"")</f>
        <v>1</v>
      </c>
      <c r="T1746" t="str">
        <f>IF(COUNTIF(Customers!$A$2:$A$301,C1746)=0,"Missing","OK")</f>
        <v>OK</v>
      </c>
      <c r="U1746" t="str">
        <f t="shared" si="82"/>
        <v>Pune</v>
      </c>
      <c r="V1746">
        <f t="shared" si="83"/>
        <v>0</v>
      </c>
    </row>
    <row r="1747" spans="1:22" ht="15" customHeight="1" x14ac:dyDescent="0.35">
      <c r="A1747" s="3" t="s">
        <v>2184</v>
      </c>
      <c r="B1747" s="4">
        <v>45444</v>
      </c>
      <c r="C1747" s="3" t="s">
        <v>249</v>
      </c>
      <c r="D1747" s="3" t="s">
        <v>96</v>
      </c>
      <c r="E1747" s="3" t="s">
        <v>242</v>
      </c>
      <c r="F1747" s="5">
        <v>5</v>
      </c>
      <c r="G1747" s="5">
        <v>3450</v>
      </c>
      <c r="H1747" s="5">
        <v>2.2999999999999998</v>
      </c>
      <c r="I1747" s="5">
        <v>16853.25</v>
      </c>
      <c r="J1747" s="3" t="s">
        <v>26</v>
      </c>
      <c r="K1747" s="3" t="s">
        <v>56</v>
      </c>
      <c r="L1747" t="str">
        <f>IFERROR(VLOOKUP(D1747,Products!$A$2:$F$61,3,FALSE()),"")</f>
        <v>Beauty</v>
      </c>
      <c r="M1747" t="str">
        <f>IFERROR(VLOOKUP(E1747,Sales_Reps!$A$2:$C$31,3,FALSE()),"")</f>
        <v>East</v>
      </c>
      <c r="N1747">
        <f>IFERROR(VLOOKUP(D1747,Products!$A$2:$F$61,4,FALSE()),"")</f>
        <v>2420</v>
      </c>
      <c r="O1747" t="str">
        <f>IFERROR(VLOOKUP(C1747,Customers!$A$2:$F$301,5,FALSE()),"")</f>
        <v>Retail</v>
      </c>
      <c r="P1747">
        <f>IFERROR(VLOOKUP(C1747,Customers!$A$2:$F$301,3,FALSE()),"")</f>
        <v>42</v>
      </c>
      <c r="Q1747">
        <f t="shared" si="81"/>
        <v>0.29855072463768118</v>
      </c>
      <c r="R1747">
        <f>IF(AND(COUNTIF($A$2:$A$2047,A1747)&gt;1,COUNTIF($A$2:A1747,A1747)=1),1,0)</f>
        <v>0</v>
      </c>
      <c r="S1747" t="b">
        <f>IFERROR(VLOOKUP(D1747,Products!$A$2:$F$61,6,FALSE()),"")</f>
        <v>1</v>
      </c>
      <c r="T1747" t="str">
        <f>IF(COUNTIF(Customers!$A$2:$A$301,C1747)=0,"Missing","OK")</f>
        <v>OK</v>
      </c>
      <c r="U1747" t="str">
        <f t="shared" si="82"/>
        <v>Bengaluru</v>
      </c>
      <c r="V1747">
        <f t="shared" si="83"/>
        <v>0</v>
      </c>
    </row>
    <row r="1748" spans="1:22" ht="15" customHeight="1" x14ac:dyDescent="0.35">
      <c r="A1748" s="3" t="s">
        <v>2185</v>
      </c>
      <c r="B1748" s="4">
        <v>45397</v>
      </c>
      <c r="C1748" s="3" t="s">
        <v>133</v>
      </c>
      <c r="D1748" s="3" t="s">
        <v>70</v>
      </c>
      <c r="E1748" s="3" t="s">
        <v>127</v>
      </c>
      <c r="F1748" s="5">
        <v>3</v>
      </c>
      <c r="G1748" s="5">
        <v>2270</v>
      </c>
      <c r="H1748" s="5">
        <v>2.8</v>
      </c>
      <c r="I1748" s="5">
        <v>6619.32</v>
      </c>
      <c r="J1748" s="3" t="s">
        <v>32</v>
      </c>
      <c r="K1748" s="3" t="s">
        <v>27</v>
      </c>
      <c r="L1748" t="str">
        <f>IFERROR(VLOOKUP(D1748,Products!$A$2:$F$61,3,FALSE()),"")</f>
        <v>Grocery</v>
      </c>
      <c r="M1748" t="str">
        <f>IFERROR(VLOOKUP(E1748,Sales_Reps!$A$2:$C$31,3,FALSE()),"")</f>
        <v>South</v>
      </c>
      <c r="N1748">
        <f>IFERROR(VLOOKUP(D1748,Products!$A$2:$F$61,4,FALSE()),"")</f>
        <v>1203</v>
      </c>
      <c r="O1748" t="str">
        <f>IFERROR(VLOOKUP(C1748,Customers!$A$2:$F$301,5,FALSE()),"")</f>
        <v>SMB</v>
      </c>
      <c r="P1748">
        <f>IFERROR(VLOOKUP(C1748,Customers!$A$2:$F$301,3,FALSE()),"")</f>
        <v>44</v>
      </c>
      <c r="Q1748">
        <f t="shared" si="81"/>
        <v>0.47004405286343615</v>
      </c>
      <c r="R1748">
        <f>IF(AND(COUNTIF($A$2:$A$2047,A1748)&gt;1,COUNTIF($A$2:A1748,A1748)=1),1,0)</f>
        <v>0</v>
      </c>
      <c r="S1748" t="b">
        <f>IFERROR(VLOOKUP(D1748,Products!$A$2:$F$61,6,FALSE()),"")</f>
        <v>1</v>
      </c>
      <c r="T1748" t="str">
        <f>IF(COUNTIF(Customers!$A$2:$A$301,C1748)=0,"Missing","OK")</f>
        <v>OK</v>
      </c>
      <c r="U1748" t="str">
        <f t="shared" si="82"/>
        <v>Pune</v>
      </c>
      <c r="V1748">
        <f t="shared" si="83"/>
        <v>0</v>
      </c>
    </row>
    <row r="1749" spans="1:22" ht="15" customHeight="1" x14ac:dyDescent="0.35">
      <c r="A1749" s="3" t="s">
        <v>2186</v>
      </c>
      <c r="B1749" s="4">
        <v>45354</v>
      </c>
      <c r="C1749" s="3" t="s">
        <v>720</v>
      </c>
      <c r="D1749" s="3" t="s">
        <v>41</v>
      </c>
      <c r="E1749" s="3" t="s">
        <v>25</v>
      </c>
      <c r="F1749" s="5">
        <v>8</v>
      </c>
      <c r="G1749" s="5">
        <v>3660</v>
      </c>
      <c r="H1749" s="5">
        <v>16.8</v>
      </c>
      <c r="I1749" s="5">
        <v>24360.959999999999</v>
      </c>
      <c r="J1749" s="3" t="s">
        <v>26</v>
      </c>
      <c r="K1749" s="3" t="s">
        <v>38</v>
      </c>
      <c r="L1749" t="str">
        <f>IFERROR(VLOOKUP(D1749,Products!$A$2:$F$61,3,FALSE()),"")</f>
        <v>Grocery</v>
      </c>
      <c r="M1749" t="str">
        <f>IFERROR(VLOOKUP(E1749,Sales_Reps!$A$2:$C$31,3,FALSE()),"")</f>
        <v>North</v>
      </c>
      <c r="N1749">
        <f>IFERROR(VLOOKUP(D1749,Products!$A$2:$F$61,4,FALSE()),"")</f>
        <v>2214</v>
      </c>
      <c r="O1749" t="str">
        <f>IFERROR(VLOOKUP(C1749,Customers!$A$2:$F$301,5,FALSE()),"")</f>
        <v>SMB</v>
      </c>
      <c r="P1749">
        <f>IFERROR(VLOOKUP(C1749,Customers!$A$2:$F$301,3,FALSE()),"")</f>
        <v>29</v>
      </c>
      <c r="Q1749">
        <f t="shared" si="81"/>
        <v>0.39508196721311473</v>
      </c>
      <c r="R1749">
        <f>IF(AND(COUNTIF($A$2:$A$2047,A1749)&gt;1,COUNTIF($A$2:A1749,A1749)=1),1,0)</f>
        <v>0</v>
      </c>
      <c r="S1749" t="b">
        <f>IFERROR(VLOOKUP(D1749,Products!$A$2:$F$61,6,FALSE()),"")</f>
        <v>0</v>
      </c>
      <c r="T1749" t="str">
        <f>IF(COUNTIF(Customers!$A$2:$A$301,C1749)=0,"Missing","OK")</f>
        <v>OK</v>
      </c>
      <c r="U1749" t="str">
        <f t="shared" si="82"/>
        <v>Delhi</v>
      </c>
      <c r="V1749">
        <f t="shared" si="83"/>
        <v>0</v>
      </c>
    </row>
    <row r="1750" spans="1:22" ht="15" customHeight="1" x14ac:dyDescent="0.35">
      <c r="A1750" s="3" t="s">
        <v>2187</v>
      </c>
      <c r="B1750" s="4">
        <v>45469</v>
      </c>
      <c r="C1750" s="3" t="s">
        <v>554</v>
      </c>
      <c r="D1750" s="3" t="s">
        <v>215</v>
      </c>
      <c r="E1750" s="3" t="s">
        <v>46</v>
      </c>
      <c r="F1750" s="5">
        <v>7</v>
      </c>
      <c r="G1750" s="5">
        <v>3020</v>
      </c>
      <c r="H1750" s="5">
        <v>17.8</v>
      </c>
      <c r="I1750" s="5">
        <v>17377.080000000002</v>
      </c>
      <c r="J1750" s="3" t="s">
        <v>26</v>
      </c>
      <c r="K1750" s="3" t="s">
        <v>51</v>
      </c>
      <c r="L1750" t="str">
        <f>IFERROR(VLOOKUP(D1750,Products!$A$2:$F$61,3,FALSE()),"")</f>
        <v>Beauty</v>
      </c>
      <c r="M1750" t="str">
        <f>IFERROR(VLOOKUP(E1750,Sales_Reps!$A$2:$C$31,3,FALSE()),"")</f>
        <v>North</v>
      </c>
      <c r="N1750">
        <f>IFERROR(VLOOKUP(D1750,Products!$A$2:$F$61,4,FALSE()),"")</f>
        <v>1626</v>
      </c>
      <c r="O1750" t="str">
        <f>IFERROR(VLOOKUP(C1750,Customers!$A$2:$F$301,5,FALSE()),"")</f>
        <v>Retail</v>
      </c>
      <c r="P1750">
        <f>IFERROR(VLOOKUP(C1750,Customers!$A$2:$F$301,3,FALSE()),"")</f>
        <v>53</v>
      </c>
      <c r="Q1750">
        <f t="shared" si="81"/>
        <v>0.46158940397350995</v>
      </c>
      <c r="R1750">
        <f>IF(AND(COUNTIF($A$2:$A$2047,A1750)&gt;1,COUNTIF($A$2:A1750,A1750)=1),1,0)</f>
        <v>0</v>
      </c>
      <c r="S1750" t="b">
        <f>IFERROR(VLOOKUP(D1750,Products!$A$2:$F$61,6,FALSE()),"")</f>
        <v>1</v>
      </c>
      <c r="T1750" t="str">
        <f>IF(COUNTIF(Customers!$A$2:$A$301,C1750)=0,"Missing","OK")</f>
        <v>OK</v>
      </c>
      <c r="U1750" t="str">
        <f t="shared" si="82"/>
        <v>Mumbai</v>
      </c>
      <c r="V1750">
        <f t="shared" si="83"/>
        <v>0</v>
      </c>
    </row>
    <row r="1751" spans="1:22" ht="15" customHeight="1" x14ac:dyDescent="0.35">
      <c r="A1751" s="3" t="s">
        <v>2188</v>
      </c>
      <c r="B1751" s="4">
        <v>45587</v>
      </c>
      <c r="C1751" s="3" t="s">
        <v>1200</v>
      </c>
      <c r="D1751" s="3" t="s">
        <v>103</v>
      </c>
      <c r="E1751" s="3" t="s">
        <v>37</v>
      </c>
      <c r="F1751" s="5">
        <v>7</v>
      </c>
      <c r="G1751" s="5">
        <v>1080</v>
      </c>
      <c r="H1751" s="5">
        <v>12.9</v>
      </c>
      <c r="I1751" s="5">
        <v>6584.76</v>
      </c>
      <c r="J1751" s="3" t="s">
        <v>26</v>
      </c>
      <c r="K1751" s="3" t="s">
        <v>56</v>
      </c>
      <c r="L1751" t="str">
        <f>IFERROR(VLOOKUP(D1751,Products!$A$2:$F$61,3,FALSE()),"")</f>
        <v>Home</v>
      </c>
      <c r="M1751" t="str">
        <f>IFERROR(VLOOKUP(E1751,Sales_Reps!$A$2:$C$31,3,FALSE()),"")</f>
        <v>South</v>
      </c>
      <c r="N1751">
        <f>IFERROR(VLOOKUP(D1751,Products!$A$2:$F$61,4,FALSE()),"")</f>
        <v>519</v>
      </c>
      <c r="O1751" t="str">
        <f>IFERROR(VLOOKUP(C1751,Customers!$A$2:$F$301,5,FALSE()),"")</f>
        <v>Retail</v>
      </c>
      <c r="P1751">
        <f>IFERROR(VLOOKUP(C1751,Customers!$A$2:$F$301,3,FALSE()),"")</f>
        <v>54</v>
      </c>
      <c r="Q1751">
        <f t="shared" si="81"/>
        <v>0.51944444444444449</v>
      </c>
      <c r="R1751">
        <f>IF(AND(COUNTIF($A$2:$A$2047,A1751)&gt;1,COUNTIF($A$2:A1751,A1751)=1),1,0)</f>
        <v>0</v>
      </c>
      <c r="S1751" t="b">
        <f>IFERROR(VLOOKUP(D1751,Products!$A$2:$F$61,6,FALSE()),"")</f>
        <v>1</v>
      </c>
      <c r="T1751" t="str">
        <f>IF(COUNTIF(Customers!$A$2:$A$301,C1751)=0,"Missing","OK")</f>
        <v>OK</v>
      </c>
      <c r="U1751" t="str">
        <f t="shared" si="82"/>
        <v>Bengaluru</v>
      </c>
      <c r="V1751">
        <f t="shared" si="83"/>
        <v>0</v>
      </c>
    </row>
    <row r="1752" spans="1:22" ht="15" customHeight="1" x14ac:dyDescent="0.35">
      <c r="A1752" s="3" t="s">
        <v>2189</v>
      </c>
      <c r="B1752" s="4">
        <v>45494</v>
      </c>
      <c r="C1752" s="3" t="s">
        <v>504</v>
      </c>
      <c r="D1752" s="3" t="s">
        <v>184</v>
      </c>
      <c r="E1752" s="3" t="s">
        <v>264</v>
      </c>
      <c r="F1752" s="5">
        <v>2</v>
      </c>
      <c r="G1752" s="5">
        <v>2270</v>
      </c>
      <c r="H1752" s="5">
        <v>8.6</v>
      </c>
      <c r="I1752" s="5">
        <v>4149.5600000000004</v>
      </c>
      <c r="J1752" s="3" t="s">
        <v>79</v>
      </c>
      <c r="K1752" s="3" t="s">
        <v>51</v>
      </c>
      <c r="L1752" t="str">
        <f>IFERROR(VLOOKUP(D1752,Products!$A$2:$F$61,3,FALSE()),"")</f>
        <v>Grocery</v>
      </c>
      <c r="M1752" t="str">
        <f>IFERROR(VLOOKUP(E1752,Sales_Reps!$A$2:$C$31,3,FALSE()),"")</f>
        <v>South</v>
      </c>
      <c r="N1752">
        <f>IFERROR(VLOOKUP(D1752,Products!$A$2:$F$61,4,FALSE()),"")</f>
        <v>1412</v>
      </c>
      <c r="O1752" t="str">
        <f>IFERROR(VLOOKUP(C1752,Customers!$A$2:$F$301,5,FALSE()),"")</f>
        <v>SMB</v>
      </c>
      <c r="P1752">
        <f>IFERROR(VLOOKUP(C1752,Customers!$A$2:$F$301,3,FALSE()),"")</f>
        <v>61</v>
      </c>
      <c r="Q1752">
        <f t="shared" si="81"/>
        <v>0.37797356828193834</v>
      </c>
      <c r="R1752">
        <f>IF(AND(COUNTIF($A$2:$A$2047,A1752)&gt;1,COUNTIF($A$2:A1752,A1752)=1),1,0)</f>
        <v>0</v>
      </c>
      <c r="S1752" t="b">
        <f>IFERROR(VLOOKUP(D1752,Products!$A$2:$F$61,6,FALSE()),"")</f>
        <v>1</v>
      </c>
      <c r="T1752" t="str">
        <f>IF(COUNTIF(Customers!$A$2:$A$301,C1752)=0,"Missing","OK")</f>
        <v>OK</v>
      </c>
      <c r="U1752" t="str">
        <f t="shared" si="82"/>
        <v>Mumbai</v>
      </c>
      <c r="V1752">
        <f t="shared" si="83"/>
        <v>0</v>
      </c>
    </row>
    <row r="1753" spans="1:22" ht="15" customHeight="1" x14ac:dyDescent="0.35">
      <c r="A1753" s="3" t="s">
        <v>2190</v>
      </c>
      <c r="B1753" s="4">
        <v>45445</v>
      </c>
      <c r="C1753" s="3" t="s">
        <v>329</v>
      </c>
      <c r="D1753" s="3" t="s">
        <v>231</v>
      </c>
      <c r="E1753" s="3" t="s">
        <v>264</v>
      </c>
      <c r="F1753" s="5">
        <v>10</v>
      </c>
      <c r="G1753" s="5">
        <v>620</v>
      </c>
      <c r="H1753" s="5">
        <v>26.1</v>
      </c>
      <c r="I1753" s="5">
        <v>4581.8</v>
      </c>
      <c r="J1753" s="3" t="s">
        <v>26</v>
      </c>
      <c r="K1753" s="3" t="s">
        <v>27</v>
      </c>
      <c r="L1753" t="str">
        <f>IFERROR(VLOOKUP(D1753,Products!$A$2:$F$61,3,FALSE()),"")</f>
        <v>Apparel</v>
      </c>
      <c r="M1753" t="str">
        <f>IFERROR(VLOOKUP(E1753,Sales_Reps!$A$2:$C$31,3,FALSE()),"")</f>
        <v>South</v>
      </c>
      <c r="N1753">
        <f>IFERROR(VLOOKUP(D1753,Products!$A$2:$F$61,4,FALSE()),"")</f>
        <v>396</v>
      </c>
      <c r="O1753" t="str">
        <f>IFERROR(VLOOKUP(C1753,Customers!$A$2:$F$301,5,FALSE()),"")</f>
        <v>SMB</v>
      </c>
      <c r="P1753">
        <f>IFERROR(VLOOKUP(C1753,Customers!$A$2:$F$301,3,FALSE()),"")</f>
        <v>54</v>
      </c>
      <c r="Q1753">
        <f t="shared" si="81"/>
        <v>0.36129032258064514</v>
      </c>
      <c r="R1753">
        <f>IF(AND(COUNTIF($A$2:$A$2047,A1753)&gt;1,COUNTIF($A$2:A1753,A1753)=1),1,0)</f>
        <v>0</v>
      </c>
      <c r="S1753" t="b">
        <f>IFERROR(VLOOKUP(D1753,Products!$A$2:$F$61,6,FALSE()),"")</f>
        <v>1</v>
      </c>
      <c r="T1753" t="str">
        <f>IF(COUNTIF(Customers!$A$2:$A$301,C1753)=0,"Missing","OK")</f>
        <v>OK</v>
      </c>
      <c r="U1753" t="str">
        <f t="shared" si="82"/>
        <v>Pune</v>
      </c>
      <c r="V1753">
        <f t="shared" si="83"/>
        <v>0</v>
      </c>
    </row>
    <row r="1754" spans="1:22" ht="15" customHeight="1" x14ac:dyDescent="0.35">
      <c r="A1754" s="3" t="s">
        <v>2191</v>
      </c>
      <c r="B1754" s="4">
        <v>45561</v>
      </c>
      <c r="C1754" s="3" t="s">
        <v>545</v>
      </c>
      <c r="D1754" s="3" t="s">
        <v>290</v>
      </c>
      <c r="E1754" s="3" t="s">
        <v>127</v>
      </c>
      <c r="F1754" s="5">
        <v>2</v>
      </c>
      <c r="G1754" s="5">
        <v>4060</v>
      </c>
      <c r="H1754" s="5">
        <v>3.8</v>
      </c>
      <c r="I1754" s="5">
        <v>7811.44</v>
      </c>
      <c r="J1754" s="3" t="s">
        <v>26</v>
      </c>
      <c r="K1754" s="3" t="s">
        <v>51</v>
      </c>
      <c r="L1754" t="str">
        <f>IFERROR(VLOOKUP(D1754,Products!$A$2:$F$61,3,FALSE()),"")</f>
        <v>Grocery</v>
      </c>
      <c r="M1754" t="str">
        <f>IFERROR(VLOOKUP(E1754,Sales_Reps!$A$2:$C$31,3,FALSE()),"")</f>
        <v>South</v>
      </c>
      <c r="N1754">
        <f>IFERROR(VLOOKUP(D1754,Products!$A$2:$F$61,4,FALSE()),"")</f>
        <v>2911</v>
      </c>
      <c r="O1754" t="str">
        <f>IFERROR(VLOOKUP(C1754,Customers!$A$2:$F$301,5,FALSE()),"")</f>
        <v>Retail</v>
      </c>
      <c r="P1754">
        <f>IFERROR(VLOOKUP(C1754,Customers!$A$2:$F$301,3,FALSE()),"")</f>
        <v>52</v>
      </c>
      <c r="Q1754">
        <f t="shared" si="81"/>
        <v>0.28300492610837441</v>
      </c>
      <c r="R1754">
        <f>IF(AND(COUNTIF($A$2:$A$2047,A1754)&gt;1,COUNTIF($A$2:A1754,A1754)=1),1,0)</f>
        <v>0</v>
      </c>
      <c r="S1754" t="b">
        <f>IFERROR(VLOOKUP(D1754,Products!$A$2:$F$61,6,FALSE()),"")</f>
        <v>1</v>
      </c>
      <c r="T1754" t="str">
        <f>IF(COUNTIF(Customers!$A$2:$A$301,C1754)=0,"Missing","OK")</f>
        <v>OK</v>
      </c>
      <c r="U1754" t="str">
        <f t="shared" si="82"/>
        <v>Mumbai</v>
      </c>
      <c r="V1754">
        <f t="shared" si="83"/>
        <v>0</v>
      </c>
    </row>
    <row r="1755" spans="1:22" ht="15" customHeight="1" x14ac:dyDescent="0.35">
      <c r="A1755" s="3" t="s">
        <v>2192</v>
      </c>
      <c r="B1755" s="4">
        <v>45488</v>
      </c>
      <c r="C1755" s="3" t="s">
        <v>217</v>
      </c>
      <c r="D1755" s="3" t="s">
        <v>173</v>
      </c>
      <c r="E1755" s="3" t="s">
        <v>264</v>
      </c>
      <c r="F1755" s="5">
        <v>1</v>
      </c>
      <c r="G1755" s="5">
        <v>3780</v>
      </c>
      <c r="H1755" s="5">
        <v>27.9</v>
      </c>
      <c r="I1755" s="5">
        <v>2725.38</v>
      </c>
      <c r="J1755" s="3" t="s">
        <v>26</v>
      </c>
      <c r="K1755" s="3" t="s">
        <v>72</v>
      </c>
      <c r="L1755" t="str">
        <f>IFERROR(VLOOKUP(D1755,Products!$A$2:$F$61,3,FALSE()),"")</f>
        <v>Grocery</v>
      </c>
      <c r="M1755" t="str">
        <f>IFERROR(VLOOKUP(E1755,Sales_Reps!$A$2:$C$31,3,FALSE()),"")</f>
        <v>South</v>
      </c>
      <c r="N1755">
        <f>IFERROR(VLOOKUP(D1755,Products!$A$2:$F$61,4,FALSE()),"")</f>
        <v>2436</v>
      </c>
      <c r="O1755" t="str">
        <f>IFERROR(VLOOKUP(C1755,Customers!$A$2:$F$301,5,FALSE()),"")</f>
        <v>Corporate</v>
      </c>
      <c r="P1755">
        <f>IFERROR(VLOOKUP(C1755,Customers!$A$2:$F$301,3,FALSE()),"")</f>
        <v>29</v>
      </c>
      <c r="Q1755">
        <f t="shared" si="81"/>
        <v>0.35555555555555557</v>
      </c>
      <c r="R1755">
        <f>IF(AND(COUNTIF($A$2:$A$2047,A1755)&gt;1,COUNTIF($A$2:A1755,A1755)=1),1,0)</f>
        <v>0</v>
      </c>
      <c r="S1755" t="b">
        <f>IFERROR(VLOOKUP(D1755,Products!$A$2:$F$61,6,FALSE()),"")</f>
        <v>1</v>
      </c>
      <c r="T1755" t="str">
        <f>IF(COUNTIF(Customers!$A$2:$A$301,C1755)=0,"Missing","OK")</f>
        <v>OK</v>
      </c>
      <c r="U1755" t="str">
        <f t="shared" si="82"/>
        <v>Hyderabad</v>
      </c>
      <c r="V1755">
        <f t="shared" si="83"/>
        <v>0</v>
      </c>
    </row>
    <row r="1756" spans="1:22" ht="15" customHeight="1" x14ac:dyDescent="0.35">
      <c r="A1756" s="3" t="s">
        <v>2193</v>
      </c>
      <c r="B1756" s="4">
        <v>45617</v>
      </c>
      <c r="C1756" s="3" t="s">
        <v>197</v>
      </c>
      <c r="D1756" s="3" t="s">
        <v>306</v>
      </c>
      <c r="E1756" s="3" t="s">
        <v>224</v>
      </c>
      <c r="F1756" s="5">
        <v>8</v>
      </c>
      <c r="G1756" s="5">
        <v>2380</v>
      </c>
      <c r="H1756" s="5">
        <v>3.8</v>
      </c>
      <c r="I1756" s="5">
        <v>18316.48</v>
      </c>
      <c r="J1756" s="3" t="s">
        <v>26</v>
      </c>
      <c r="K1756" s="3" t="s">
        <v>38</v>
      </c>
      <c r="L1756" t="str">
        <f>IFERROR(VLOOKUP(D1756,Products!$A$2:$F$61,3,FALSE()),"")</f>
        <v>Grocery</v>
      </c>
      <c r="M1756" t="str">
        <f>IFERROR(VLOOKUP(E1756,Sales_Reps!$A$2:$C$31,3,FALSE()),"")</f>
        <v>East</v>
      </c>
      <c r="N1756">
        <f>IFERROR(VLOOKUP(D1756,Products!$A$2:$F$61,4,FALSE()),"")</f>
        <v>1182</v>
      </c>
      <c r="O1756" t="str">
        <f>IFERROR(VLOOKUP(C1756,Customers!$A$2:$F$301,5,FALSE()),"")</f>
        <v>SMB</v>
      </c>
      <c r="P1756">
        <f>IFERROR(VLOOKUP(C1756,Customers!$A$2:$F$301,3,FALSE()),"")</f>
        <v>55</v>
      </c>
      <c r="Q1756">
        <f t="shared" si="81"/>
        <v>0.50336134453781511</v>
      </c>
      <c r="R1756">
        <f>IF(AND(COUNTIF($A$2:$A$2047,A1756)&gt;1,COUNTIF($A$2:A1756,A1756)=1),1,0)</f>
        <v>0</v>
      </c>
      <c r="S1756" t="b">
        <f>IFERROR(VLOOKUP(D1756,Products!$A$2:$F$61,6,FALSE()),"")</f>
        <v>1</v>
      </c>
      <c r="T1756" t="str">
        <f>IF(COUNTIF(Customers!$A$2:$A$301,C1756)=0,"Missing","OK")</f>
        <v>OK</v>
      </c>
      <c r="U1756" t="str">
        <f t="shared" si="82"/>
        <v>Delhi</v>
      </c>
      <c r="V1756">
        <f t="shared" si="83"/>
        <v>0</v>
      </c>
    </row>
    <row r="1757" spans="1:22" ht="15" customHeight="1" x14ac:dyDescent="0.35">
      <c r="A1757" s="3" t="s">
        <v>2194</v>
      </c>
      <c r="B1757" s="4">
        <v>45378</v>
      </c>
      <c r="C1757" s="3" t="s">
        <v>228</v>
      </c>
      <c r="D1757" s="3" t="s">
        <v>203</v>
      </c>
      <c r="E1757" s="3" t="s">
        <v>55</v>
      </c>
      <c r="F1757" s="5">
        <v>7</v>
      </c>
      <c r="G1757" s="5">
        <v>4070</v>
      </c>
      <c r="H1757" s="5">
        <v>0.3</v>
      </c>
      <c r="I1757" s="5">
        <v>28404.53</v>
      </c>
      <c r="J1757" s="3" t="s">
        <v>26</v>
      </c>
      <c r="K1757" s="3" t="s">
        <v>33</v>
      </c>
      <c r="L1757" t="str">
        <f>IFERROR(VLOOKUP(D1757,Products!$A$2:$F$61,3,FALSE()),"")</f>
        <v>Grocery</v>
      </c>
      <c r="M1757" t="str">
        <f>IFERROR(VLOOKUP(E1757,Sales_Reps!$A$2:$C$31,3,FALSE()),"")</f>
        <v>West</v>
      </c>
      <c r="N1757">
        <f>IFERROR(VLOOKUP(D1757,Products!$A$2:$F$61,4,FALSE()),"")</f>
        <v>2027</v>
      </c>
      <c r="O1757" t="str">
        <f>IFERROR(VLOOKUP(C1757,Customers!$A$2:$F$301,5,FALSE()),"")</f>
        <v>Retail</v>
      </c>
      <c r="P1757">
        <f>IFERROR(VLOOKUP(C1757,Customers!$A$2:$F$301,3,FALSE()),"")</f>
        <v>38</v>
      </c>
      <c r="Q1757">
        <f t="shared" si="81"/>
        <v>0.50196560196560192</v>
      </c>
      <c r="R1757">
        <f>IF(AND(COUNTIF($A$2:$A$2047,A1757)&gt;1,COUNTIF($A$2:A1757,A1757)=1),1,0)</f>
        <v>0</v>
      </c>
      <c r="S1757" t="b">
        <f>IFERROR(VLOOKUP(D1757,Products!$A$2:$F$61,6,FALSE()),"")</f>
        <v>1</v>
      </c>
      <c r="T1757" t="str">
        <f>IF(COUNTIF(Customers!$A$2:$A$301,C1757)=0,"Missing","OK")</f>
        <v>OK</v>
      </c>
      <c r="U1757" t="str">
        <f t="shared" si="82"/>
        <v>Chennai</v>
      </c>
      <c r="V1757">
        <f t="shared" si="83"/>
        <v>0</v>
      </c>
    </row>
    <row r="1758" spans="1:22" ht="15" customHeight="1" x14ac:dyDescent="0.35">
      <c r="A1758" s="3" t="s">
        <v>2195</v>
      </c>
      <c r="B1758" s="4">
        <v>45459</v>
      </c>
      <c r="C1758" s="3" t="s">
        <v>1173</v>
      </c>
      <c r="D1758" s="3" t="s">
        <v>74</v>
      </c>
      <c r="E1758" s="3" t="s">
        <v>131</v>
      </c>
      <c r="F1758" s="5">
        <v>6</v>
      </c>
      <c r="G1758" s="5">
        <v>2640</v>
      </c>
      <c r="H1758" s="5">
        <v>3.4</v>
      </c>
      <c r="I1758" s="5">
        <v>15301.44</v>
      </c>
      <c r="J1758" s="3" t="s">
        <v>26</v>
      </c>
      <c r="K1758" s="3" t="s">
        <v>51</v>
      </c>
      <c r="L1758" t="str">
        <f>IFERROR(VLOOKUP(D1758,Products!$A$2:$F$61,3,FALSE()),"")</f>
        <v>Electronics</v>
      </c>
      <c r="M1758" t="str">
        <f>IFERROR(VLOOKUP(E1758,Sales_Reps!$A$2:$C$31,3,FALSE()),"")</f>
        <v>East</v>
      </c>
      <c r="N1758">
        <f>IFERROR(VLOOKUP(D1758,Products!$A$2:$F$61,4,FALSE()),"")</f>
        <v>1149</v>
      </c>
      <c r="O1758" t="str">
        <f>IFERROR(VLOOKUP(C1758,Customers!$A$2:$F$301,5,FALSE()),"")</f>
        <v>Retail</v>
      </c>
      <c r="P1758">
        <f>IFERROR(VLOOKUP(C1758,Customers!$A$2:$F$301,3,FALSE()),"")</f>
        <v>29</v>
      </c>
      <c r="Q1758">
        <f t="shared" si="81"/>
        <v>0.56477272727272732</v>
      </c>
      <c r="R1758">
        <f>IF(AND(COUNTIF($A$2:$A$2047,A1758)&gt;1,COUNTIF($A$2:A1758,A1758)=1),1,0)</f>
        <v>0</v>
      </c>
      <c r="S1758" t="b">
        <f>IFERROR(VLOOKUP(D1758,Products!$A$2:$F$61,6,FALSE()),"")</f>
        <v>1</v>
      </c>
      <c r="T1758" t="str">
        <f>IF(COUNTIF(Customers!$A$2:$A$301,C1758)=0,"Missing","OK")</f>
        <v>OK</v>
      </c>
      <c r="U1758" t="str">
        <f t="shared" si="82"/>
        <v>Mumbai</v>
      </c>
      <c r="V1758">
        <f t="shared" si="83"/>
        <v>0</v>
      </c>
    </row>
    <row r="1759" spans="1:22" ht="15" customHeight="1" x14ac:dyDescent="0.35">
      <c r="A1759" s="3" t="s">
        <v>2196</v>
      </c>
      <c r="B1759" s="4">
        <v>45377</v>
      </c>
      <c r="C1759" s="3" t="s">
        <v>120</v>
      </c>
      <c r="D1759" s="3" t="s">
        <v>400</v>
      </c>
      <c r="E1759" s="3" t="s">
        <v>109</v>
      </c>
      <c r="F1759" s="5">
        <v>10</v>
      </c>
      <c r="G1759" s="5">
        <v>3780</v>
      </c>
      <c r="H1759" s="5">
        <v>13.3</v>
      </c>
      <c r="I1759" s="5">
        <v>32772.6</v>
      </c>
      <c r="J1759" s="3" t="s">
        <v>26</v>
      </c>
      <c r="K1759" s="3" t="s">
        <v>38</v>
      </c>
      <c r="L1759" t="str">
        <f>IFERROR(VLOOKUP(D1759,Products!$A$2:$F$61,3,FALSE()),"")</f>
        <v>Sports</v>
      </c>
      <c r="M1759" t="str">
        <f>IFERROR(VLOOKUP(E1759,Sales_Reps!$A$2:$C$31,3,FALSE()),"")</f>
        <v>West</v>
      </c>
      <c r="N1759">
        <f>IFERROR(VLOOKUP(D1759,Products!$A$2:$F$61,4,FALSE()),"")</f>
        <v>1860</v>
      </c>
      <c r="O1759" t="str">
        <f>IFERROR(VLOOKUP(C1759,Customers!$A$2:$F$301,5,FALSE()),"")</f>
        <v>Retail</v>
      </c>
      <c r="P1759">
        <f>IFERROR(VLOOKUP(C1759,Customers!$A$2:$F$301,3,FALSE()),"")</f>
        <v>31</v>
      </c>
      <c r="Q1759">
        <f t="shared" si="81"/>
        <v>0.50793650793650791</v>
      </c>
      <c r="R1759">
        <f>IF(AND(COUNTIF($A$2:$A$2047,A1759)&gt;1,COUNTIF($A$2:A1759,A1759)=1),1,0)</f>
        <v>0</v>
      </c>
      <c r="S1759" t="b">
        <f>IFERROR(VLOOKUP(D1759,Products!$A$2:$F$61,6,FALSE()),"")</f>
        <v>1</v>
      </c>
      <c r="T1759" t="str">
        <f>IF(COUNTIF(Customers!$A$2:$A$301,C1759)=0,"Missing","OK")</f>
        <v>OK</v>
      </c>
      <c r="U1759" t="str">
        <f t="shared" si="82"/>
        <v>Delhi</v>
      </c>
      <c r="V1759">
        <f t="shared" si="83"/>
        <v>0</v>
      </c>
    </row>
    <row r="1760" spans="1:22" ht="15" customHeight="1" x14ac:dyDescent="0.35">
      <c r="A1760" s="3" t="s">
        <v>2197</v>
      </c>
      <c r="B1760" s="4">
        <v>45302</v>
      </c>
      <c r="C1760" s="3" t="s">
        <v>811</v>
      </c>
      <c r="D1760" s="3" t="s">
        <v>118</v>
      </c>
      <c r="E1760" s="3" t="s">
        <v>143</v>
      </c>
      <c r="F1760" s="5">
        <v>9</v>
      </c>
      <c r="G1760" s="5">
        <v>3350</v>
      </c>
      <c r="H1760" s="5">
        <v>12.8</v>
      </c>
      <c r="I1760" s="5">
        <v>26290.799999999999</v>
      </c>
      <c r="J1760" s="3" t="s">
        <v>26</v>
      </c>
      <c r="K1760" s="3" t="s">
        <v>51</v>
      </c>
      <c r="L1760" t="str">
        <f>IFERROR(VLOOKUP(D1760,Products!$A$2:$F$61,3,FALSE()),"")</f>
        <v>Beauty</v>
      </c>
      <c r="M1760" t="str">
        <f>IFERROR(VLOOKUP(E1760,Sales_Reps!$A$2:$C$31,3,FALSE()),"")</f>
        <v>South</v>
      </c>
      <c r="N1760">
        <f>IFERROR(VLOOKUP(D1760,Products!$A$2:$F$61,4,FALSE()),"")</f>
        <v>1728</v>
      </c>
      <c r="O1760" t="str">
        <f>IFERROR(VLOOKUP(C1760,Customers!$A$2:$F$301,5,FALSE()),"")</f>
        <v>Corporate</v>
      </c>
      <c r="P1760">
        <f>IFERROR(VLOOKUP(C1760,Customers!$A$2:$F$301,3,FALSE()),"")</f>
        <v>62</v>
      </c>
      <c r="Q1760">
        <f t="shared" si="81"/>
        <v>0.48417910447761192</v>
      </c>
      <c r="R1760">
        <f>IF(AND(COUNTIF($A$2:$A$2047,A1760)&gt;1,COUNTIF($A$2:A1760,A1760)=1),1,0)</f>
        <v>0</v>
      </c>
      <c r="S1760" t="b">
        <f>IFERROR(VLOOKUP(D1760,Products!$A$2:$F$61,6,FALSE()),"")</f>
        <v>1</v>
      </c>
      <c r="T1760" t="str">
        <f>IF(COUNTIF(Customers!$A$2:$A$301,C1760)=0,"Missing","OK")</f>
        <v>OK</v>
      </c>
      <c r="U1760" t="str">
        <f t="shared" si="82"/>
        <v>Mumbai</v>
      </c>
      <c r="V1760">
        <f t="shared" si="83"/>
        <v>0</v>
      </c>
    </row>
    <row r="1761" spans="1:22" ht="15" customHeight="1" x14ac:dyDescent="0.35">
      <c r="A1761" s="3" t="s">
        <v>2198</v>
      </c>
      <c r="B1761" s="4">
        <v>45459</v>
      </c>
      <c r="C1761" s="3" t="s">
        <v>615</v>
      </c>
      <c r="D1761" s="3" t="s">
        <v>45</v>
      </c>
      <c r="E1761" s="3" t="s">
        <v>55</v>
      </c>
      <c r="F1761" s="5">
        <v>7</v>
      </c>
      <c r="G1761" s="5">
        <v>3160</v>
      </c>
      <c r="H1761" s="5">
        <v>15.3</v>
      </c>
      <c r="I1761" s="5">
        <v>18735.64</v>
      </c>
      <c r="J1761" s="3" t="s">
        <v>26</v>
      </c>
      <c r="K1761" s="3" t="s">
        <v>27</v>
      </c>
      <c r="L1761" t="str">
        <f>IFERROR(VLOOKUP(D1761,Products!$A$2:$F$61,3,FALSE()),"")</f>
        <v>Apparel</v>
      </c>
      <c r="M1761" t="str">
        <f>IFERROR(VLOOKUP(E1761,Sales_Reps!$A$2:$C$31,3,FALSE()),"")</f>
        <v>West</v>
      </c>
      <c r="N1761">
        <f>IFERROR(VLOOKUP(D1761,Products!$A$2:$F$61,4,FALSE()),"")</f>
        <v>1886</v>
      </c>
      <c r="O1761" t="str">
        <f>IFERROR(VLOOKUP(C1761,Customers!$A$2:$F$301,5,FALSE()),"")</f>
        <v>SMB</v>
      </c>
      <c r="P1761">
        <f>IFERROR(VLOOKUP(C1761,Customers!$A$2:$F$301,3,FALSE()),"")</f>
        <v>35</v>
      </c>
      <c r="Q1761">
        <f t="shared" si="81"/>
        <v>0.4031645569620253</v>
      </c>
      <c r="R1761">
        <f>IF(AND(COUNTIF($A$2:$A$2047,A1761)&gt;1,COUNTIF($A$2:A1761,A1761)=1),1,0)</f>
        <v>0</v>
      </c>
      <c r="S1761" t="b">
        <f>IFERROR(VLOOKUP(D1761,Products!$A$2:$F$61,6,FALSE()),"")</f>
        <v>1</v>
      </c>
      <c r="T1761" t="str">
        <f>IF(COUNTIF(Customers!$A$2:$A$301,C1761)=0,"Missing","OK")</f>
        <v>OK</v>
      </c>
      <c r="U1761" t="str">
        <f t="shared" si="82"/>
        <v>Pune</v>
      </c>
      <c r="V1761">
        <f t="shared" si="83"/>
        <v>0</v>
      </c>
    </row>
    <row r="1762" spans="1:22" ht="15" customHeight="1" x14ac:dyDescent="0.35">
      <c r="A1762" s="3" t="s">
        <v>2199</v>
      </c>
      <c r="B1762" s="4">
        <v>45428</v>
      </c>
      <c r="C1762" s="3" t="s">
        <v>922</v>
      </c>
      <c r="D1762" s="3" t="s">
        <v>134</v>
      </c>
      <c r="E1762" s="3" t="s">
        <v>78</v>
      </c>
      <c r="F1762" s="5">
        <v>6</v>
      </c>
      <c r="G1762" s="5">
        <v>2860</v>
      </c>
      <c r="H1762" s="5">
        <v>17.5</v>
      </c>
      <c r="I1762" s="5">
        <v>14157</v>
      </c>
      <c r="J1762" s="3" t="s">
        <v>26</v>
      </c>
      <c r="K1762" s="3" t="s">
        <v>56</v>
      </c>
      <c r="L1762" t="str">
        <f>IFERROR(VLOOKUP(D1762,Products!$A$2:$F$61,3,FALSE()),"")</f>
        <v>Sports</v>
      </c>
      <c r="M1762" t="str">
        <f>IFERROR(VLOOKUP(E1762,Sales_Reps!$A$2:$C$31,3,FALSE()),"")</f>
        <v>North</v>
      </c>
      <c r="N1762">
        <f>IFERROR(VLOOKUP(D1762,Products!$A$2:$F$61,4,FALSE()),"")</f>
        <v>2028</v>
      </c>
      <c r="O1762" t="str">
        <f>IFERROR(VLOOKUP(C1762,Customers!$A$2:$F$301,5,FALSE()),"")</f>
        <v>SMB</v>
      </c>
      <c r="P1762">
        <f>IFERROR(VLOOKUP(C1762,Customers!$A$2:$F$301,3,FALSE()),"")</f>
        <v>36</v>
      </c>
      <c r="Q1762">
        <f t="shared" si="81"/>
        <v>0.29090909090909089</v>
      </c>
      <c r="R1762">
        <f>IF(AND(COUNTIF($A$2:$A$2047,A1762)&gt;1,COUNTIF($A$2:A1762,A1762)=1),1,0)</f>
        <v>0</v>
      </c>
      <c r="S1762" t="b">
        <f>IFERROR(VLOOKUP(D1762,Products!$A$2:$F$61,6,FALSE()),"")</f>
        <v>1</v>
      </c>
      <c r="T1762" t="str">
        <f>IF(COUNTIF(Customers!$A$2:$A$301,C1762)=0,"Missing","OK")</f>
        <v>OK</v>
      </c>
      <c r="U1762" t="str">
        <f t="shared" si="82"/>
        <v>Bengaluru</v>
      </c>
      <c r="V1762">
        <f t="shared" si="83"/>
        <v>0</v>
      </c>
    </row>
    <row r="1763" spans="1:22" ht="15" customHeight="1" x14ac:dyDescent="0.35">
      <c r="A1763" s="3" t="s">
        <v>2200</v>
      </c>
      <c r="B1763" s="4">
        <v>45341</v>
      </c>
      <c r="C1763" s="3" t="s">
        <v>696</v>
      </c>
      <c r="D1763" s="3" t="s">
        <v>221</v>
      </c>
      <c r="E1763" s="3" t="s">
        <v>71</v>
      </c>
      <c r="F1763" s="5">
        <v>9</v>
      </c>
      <c r="G1763" s="5">
        <v>300</v>
      </c>
      <c r="H1763" s="5">
        <v>25.2</v>
      </c>
      <c r="I1763" s="5">
        <v>2019.6</v>
      </c>
      <c r="J1763" s="3" t="s">
        <v>26</v>
      </c>
      <c r="K1763" s="3" t="s">
        <v>56</v>
      </c>
      <c r="L1763" t="str">
        <f>IFERROR(VLOOKUP(D1763,Products!$A$2:$F$61,3,FALSE()),"")</f>
        <v>Electronics</v>
      </c>
      <c r="M1763" t="str">
        <f>IFERROR(VLOOKUP(E1763,Sales_Reps!$A$2:$C$31,3,FALSE()),"")</f>
        <v>South</v>
      </c>
      <c r="N1763">
        <f>IFERROR(VLOOKUP(D1763,Products!$A$2:$F$61,4,FALSE()),"")</f>
        <v>128</v>
      </c>
      <c r="O1763" t="str">
        <f>IFERROR(VLOOKUP(C1763,Customers!$A$2:$F$301,5,FALSE()),"")</f>
        <v>Corporate</v>
      </c>
      <c r="P1763">
        <f>IFERROR(VLOOKUP(C1763,Customers!$A$2:$F$301,3,FALSE()),"")</f>
        <v>43</v>
      </c>
      <c r="Q1763">
        <f t="shared" si="81"/>
        <v>0.57333333333333336</v>
      </c>
      <c r="R1763">
        <f>IF(AND(COUNTIF($A$2:$A$2047,A1763)&gt;1,COUNTIF($A$2:A1763,A1763)=1),1,0)</f>
        <v>0</v>
      </c>
      <c r="S1763" t="b">
        <f>IFERROR(VLOOKUP(D1763,Products!$A$2:$F$61,6,FALSE()),"")</f>
        <v>1</v>
      </c>
      <c r="T1763" t="str">
        <f>IF(COUNTIF(Customers!$A$2:$A$301,C1763)=0,"Missing","OK")</f>
        <v>OK</v>
      </c>
      <c r="U1763" t="str">
        <f t="shared" si="82"/>
        <v>Bengaluru</v>
      </c>
      <c r="V1763">
        <f t="shared" si="83"/>
        <v>0</v>
      </c>
    </row>
    <row r="1764" spans="1:22" ht="15" customHeight="1" x14ac:dyDescent="0.35">
      <c r="A1764" s="3" t="s">
        <v>2201</v>
      </c>
      <c r="B1764" s="4">
        <v>45296</v>
      </c>
      <c r="C1764" s="3" t="s">
        <v>916</v>
      </c>
      <c r="D1764" s="3" t="s">
        <v>86</v>
      </c>
      <c r="E1764" s="3" t="s">
        <v>131</v>
      </c>
      <c r="F1764" s="5">
        <v>5</v>
      </c>
      <c r="G1764" s="5">
        <v>190</v>
      </c>
      <c r="H1764" s="5">
        <v>1.8</v>
      </c>
      <c r="I1764" s="5">
        <v>932.9</v>
      </c>
      <c r="J1764" s="3" t="s">
        <v>26</v>
      </c>
      <c r="K1764" s="3" t="s">
        <v>27</v>
      </c>
      <c r="L1764" t="str">
        <f>IFERROR(VLOOKUP(D1764,Products!$A$2:$F$61,3,FALSE()),"")</f>
        <v>Sports</v>
      </c>
      <c r="M1764" t="str">
        <f>IFERROR(VLOOKUP(E1764,Sales_Reps!$A$2:$C$31,3,FALSE()),"")</f>
        <v>East</v>
      </c>
      <c r="N1764">
        <f>IFERROR(VLOOKUP(D1764,Products!$A$2:$F$61,4,FALSE()),"")</f>
        <v>147</v>
      </c>
      <c r="O1764" t="str">
        <f>IFERROR(VLOOKUP(C1764,Customers!$A$2:$F$301,5,FALSE()),"")</f>
        <v>Corporate</v>
      </c>
      <c r="P1764">
        <f>IFERROR(VLOOKUP(C1764,Customers!$A$2:$F$301,3,FALSE()),"")</f>
        <v>29</v>
      </c>
      <c r="Q1764">
        <f t="shared" si="81"/>
        <v>0.22631578947368422</v>
      </c>
      <c r="R1764">
        <f>IF(AND(COUNTIF($A$2:$A$2047,A1764)&gt;1,COUNTIF($A$2:A1764,A1764)=1),1,0)</f>
        <v>0</v>
      </c>
      <c r="S1764" t="b">
        <f>IFERROR(VLOOKUP(D1764,Products!$A$2:$F$61,6,FALSE()),"")</f>
        <v>1</v>
      </c>
      <c r="T1764" t="str">
        <f>IF(COUNTIF(Customers!$A$2:$A$301,C1764)=0,"Missing","OK")</f>
        <v>OK</v>
      </c>
      <c r="U1764" t="str">
        <f t="shared" si="82"/>
        <v>Pune</v>
      </c>
      <c r="V1764">
        <f t="shared" si="83"/>
        <v>0</v>
      </c>
    </row>
    <row r="1765" spans="1:22" ht="15" customHeight="1" x14ac:dyDescent="0.35">
      <c r="A1765" s="3" t="s">
        <v>2202</v>
      </c>
      <c r="B1765" s="4">
        <v>45533</v>
      </c>
      <c r="C1765" s="3" t="s">
        <v>381</v>
      </c>
      <c r="D1765" s="3" t="s">
        <v>121</v>
      </c>
      <c r="E1765" s="3" t="s">
        <v>97</v>
      </c>
      <c r="F1765" s="5">
        <v>7</v>
      </c>
      <c r="G1765" s="5">
        <v>1010</v>
      </c>
      <c r="H1765" s="5">
        <v>11.2</v>
      </c>
      <c r="I1765" s="5">
        <v>6278.16</v>
      </c>
      <c r="J1765" s="3" t="s">
        <v>26</v>
      </c>
      <c r="K1765" s="3" t="s">
        <v>27</v>
      </c>
      <c r="L1765" t="str">
        <f>IFERROR(VLOOKUP(D1765,Products!$A$2:$F$61,3,FALSE()),"")</f>
        <v>Sports</v>
      </c>
      <c r="M1765" t="str">
        <f>IFERROR(VLOOKUP(E1765,Sales_Reps!$A$2:$C$31,3,FALSE()),"")</f>
        <v>East</v>
      </c>
      <c r="N1765">
        <f>IFERROR(VLOOKUP(D1765,Products!$A$2:$F$61,4,FALSE()),"")</f>
        <v>516</v>
      </c>
      <c r="O1765" t="str">
        <f>IFERROR(VLOOKUP(C1765,Customers!$A$2:$F$301,5,FALSE()),"")</f>
        <v>Retail</v>
      </c>
      <c r="P1765">
        <f>IFERROR(VLOOKUP(C1765,Customers!$A$2:$F$301,3,FALSE()),"")</f>
        <v>65</v>
      </c>
      <c r="Q1765">
        <f t="shared" si="81"/>
        <v>0.4891089108910891</v>
      </c>
      <c r="R1765">
        <f>IF(AND(COUNTIF($A$2:$A$2047,A1765)&gt;1,COUNTIF($A$2:A1765,A1765)=1),1,0)</f>
        <v>0</v>
      </c>
      <c r="S1765" t="b">
        <f>IFERROR(VLOOKUP(D1765,Products!$A$2:$F$61,6,FALSE()),"")</f>
        <v>1</v>
      </c>
      <c r="T1765" t="str">
        <f>IF(COUNTIF(Customers!$A$2:$A$301,C1765)=0,"Missing","OK")</f>
        <v>OK</v>
      </c>
      <c r="U1765" t="str">
        <f t="shared" si="82"/>
        <v>Pune</v>
      </c>
      <c r="V1765">
        <f t="shared" si="83"/>
        <v>0</v>
      </c>
    </row>
    <row r="1766" spans="1:22" ht="15" customHeight="1" x14ac:dyDescent="0.35">
      <c r="A1766" s="3" t="s">
        <v>2203</v>
      </c>
      <c r="B1766" s="4">
        <v>45515</v>
      </c>
      <c r="C1766" s="3" t="s">
        <v>158</v>
      </c>
      <c r="D1766" s="3" t="s">
        <v>100</v>
      </c>
      <c r="E1766" s="3" t="s">
        <v>154</v>
      </c>
      <c r="F1766" s="5">
        <v>8</v>
      </c>
      <c r="G1766" s="5">
        <v>3450</v>
      </c>
      <c r="H1766" s="5">
        <v>8.4</v>
      </c>
      <c r="I1766" s="5">
        <v>25281.599999999999</v>
      </c>
      <c r="J1766" s="3" t="s">
        <v>26</v>
      </c>
      <c r="K1766" s="3" t="s">
        <v>38</v>
      </c>
      <c r="L1766" t="str">
        <f>IFERROR(VLOOKUP(D1766,Products!$A$2:$F$61,3,FALSE()),"")</f>
        <v>Sports</v>
      </c>
      <c r="M1766" t="str">
        <f>IFERROR(VLOOKUP(E1766,Sales_Reps!$A$2:$C$31,3,FALSE()),"")</f>
        <v>North</v>
      </c>
      <c r="N1766">
        <f>IFERROR(VLOOKUP(D1766,Products!$A$2:$F$61,4,FALSE()),"")</f>
        <v>2467</v>
      </c>
      <c r="O1766" t="str">
        <f>IFERROR(VLOOKUP(C1766,Customers!$A$2:$F$301,5,FALSE()),"")</f>
        <v>SMB</v>
      </c>
      <c r="P1766">
        <f>IFERROR(VLOOKUP(C1766,Customers!$A$2:$F$301,3,FALSE()),"")</f>
        <v>50</v>
      </c>
      <c r="Q1766">
        <f t="shared" si="81"/>
        <v>0.28492753623188405</v>
      </c>
      <c r="R1766">
        <f>IF(AND(COUNTIF($A$2:$A$2047,A1766)&gt;1,COUNTIF($A$2:A1766,A1766)=1),1,0)</f>
        <v>0</v>
      </c>
      <c r="S1766" t="b">
        <f>IFERROR(VLOOKUP(D1766,Products!$A$2:$F$61,6,FALSE()),"")</f>
        <v>1</v>
      </c>
      <c r="T1766" t="str">
        <f>IF(COUNTIF(Customers!$A$2:$A$301,C1766)=0,"Missing","OK")</f>
        <v>OK</v>
      </c>
      <c r="U1766" t="str">
        <f t="shared" si="82"/>
        <v>Delhi</v>
      </c>
      <c r="V1766">
        <f t="shared" si="83"/>
        <v>0</v>
      </c>
    </row>
    <row r="1767" spans="1:22" ht="15" customHeight="1" x14ac:dyDescent="0.35">
      <c r="A1767" s="3" t="s">
        <v>2204</v>
      </c>
      <c r="B1767" s="4">
        <v>45597</v>
      </c>
      <c r="C1767" s="3" t="s">
        <v>925</v>
      </c>
      <c r="D1767" s="3" t="s">
        <v>221</v>
      </c>
      <c r="E1767" s="3" t="s">
        <v>154</v>
      </c>
      <c r="F1767" s="5">
        <v>3</v>
      </c>
      <c r="G1767" s="5">
        <v>300</v>
      </c>
      <c r="H1767" s="5">
        <v>7.5</v>
      </c>
      <c r="I1767" s="5">
        <v>832.5</v>
      </c>
      <c r="J1767" s="3" t="s">
        <v>83</v>
      </c>
      <c r="K1767" s="3" t="s">
        <v>33</v>
      </c>
      <c r="L1767" t="str">
        <f>IFERROR(VLOOKUP(D1767,Products!$A$2:$F$61,3,FALSE()),"")</f>
        <v>Electronics</v>
      </c>
      <c r="M1767" t="str">
        <f>IFERROR(VLOOKUP(E1767,Sales_Reps!$A$2:$C$31,3,FALSE()),"")</f>
        <v>North</v>
      </c>
      <c r="N1767">
        <f>IFERROR(VLOOKUP(D1767,Products!$A$2:$F$61,4,FALSE()),"")</f>
        <v>128</v>
      </c>
      <c r="O1767" t="str">
        <f>IFERROR(VLOOKUP(C1767,Customers!$A$2:$F$301,5,FALSE()),"")</f>
        <v>Corporate</v>
      </c>
      <c r="P1767">
        <f>IFERROR(VLOOKUP(C1767,Customers!$A$2:$F$301,3,FALSE()),"")</f>
        <v>52</v>
      </c>
      <c r="Q1767">
        <f t="shared" si="81"/>
        <v>0.57333333333333336</v>
      </c>
      <c r="R1767">
        <f>IF(AND(COUNTIF($A$2:$A$2047,A1767)&gt;1,COUNTIF($A$2:A1767,A1767)=1),1,0)</f>
        <v>0</v>
      </c>
      <c r="S1767" t="b">
        <f>IFERROR(VLOOKUP(D1767,Products!$A$2:$F$61,6,FALSE()),"")</f>
        <v>1</v>
      </c>
      <c r="T1767" t="str">
        <f>IF(COUNTIF(Customers!$A$2:$A$301,C1767)=0,"Missing","OK")</f>
        <v>OK</v>
      </c>
      <c r="U1767" t="str">
        <f t="shared" si="82"/>
        <v>Chennai</v>
      </c>
      <c r="V1767">
        <f t="shared" si="83"/>
        <v>0</v>
      </c>
    </row>
    <row r="1768" spans="1:22" ht="15" customHeight="1" x14ac:dyDescent="0.35">
      <c r="A1768" s="3" t="s">
        <v>2205</v>
      </c>
      <c r="B1768" s="4">
        <v>45370</v>
      </c>
      <c r="C1768" s="3" t="s">
        <v>167</v>
      </c>
      <c r="D1768" s="3" t="s">
        <v>165</v>
      </c>
      <c r="E1768" s="3" t="s">
        <v>242</v>
      </c>
      <c r="F1768" s="5">
        <v>4</v>
      </c>
      <c r="G1768" s="5">
        <v>3730</v>
      </c>
      <c r="H1768" s="5">
        <v>24.8</v>
      </c>
      <c r="I1768" s="5">
        <v>11219.84</v>
      </c>
      <c r="J1768" s="3" t="s">
        <v>26</v>
      </c>
      <c r="K1768" s="3" t="s">
        <v>51</v>
      </c>
      <c r="L1768" t="str">
        <f>IFERROR(VLOOKUP(D1768,Products!$A$2:$F$61,3,FALSE()),"")</f>
        <v>Home</v>
      </c>
      <c r="M1768" t="str">
        <f>IFERROR(VLOOKUP(E1768,Sales_Reps!$A$2:$C$31,3,FALSE()),"")</f>
        <v>East</v>
      </c>
      <c r="N1768">
        <f>IFERROR(VLOOKUP(D1768,Products!$A$2:$F$61,4,FALSE()),"")</f>
        <v>2135</v>
      </c>
      <c r="O1768" t="str">
        <f>IFERROR(VLOOKUP(C1768,Customers!$A$2:$F$301,5,FALSE()),"")</f>
        <v>SMB</v>
      </c>
      <c r="P1768">
        <f>IFERROR(VLOOKUP(C1768,Customers!$A$2:$F$301,3,FALSE()),"")</f>
        <v>54</v>
      </c>
      <c r="Q1768">
        <f t="shared" si="81"/>
        <v>0.42761394101876676</v>
      </c>
      <c r="R1768">
        <f>IF(AND(COUNTIF($A$2:$A$2047,A1768)&gt;1,COUNTIF($A$2:A1768,A1768)=1),1,0)</f>
        <v>0</v>
      </c>
      <c r="S1768" t="b">
        <f>IFERROR(VLOOKUP(D1768,Products!$A$2:$F$61,6,FALSE()),"")</f>
        <v>1</v>
      </c>
      <c r="T1768" t="str">
        <f>IF(COUNTIF(Customers!$A$2:$A$301,C1768)=0,"Missing","OK")</f>
        <v>OK</v>
      </c>
      <c r="U1768" t="str">
        <f t="shared" si="82"/>
        <v>Mumbai</v>
      </c>
      <c r="V1768">
        <f t="shared" si="83"/>
        <v>0</v>
      </c>
    </row>
    <row r="1769" spans="1:22" ht="15" customHeight="1" x14ac:dyDescent="0.35">
      <c r="A1769" s="3" t="s">
        <v>2206</v>
      </c>
      <c r="B1769" s="4">
        <v>45462</v>
      </c>
      <c r="C1769" s="3" t="s">
        <v>117</v>
      </c>
      <c r="D1769" s="3" t="s">
        <v>90</v>
      </c>
      <c r="E1769" s="3" t="s">
        <v>131</v>
      </c>
      <c r="F1769" s="5">
        <v>5</v>
      </c>
      <c r="G1769" s="5">
        <v>2400</v>
      </c>
      <c r="H1769" s="5">
        <v>9.1999999999999993</v>
      </c>
      <c r="I1769" s="5">
        <v>10896</v>
      </c>
      <c r="J1769" s="3" t="s">
        <v>26</v>
      </c>
      <c r="K1769" s="3" t="s">
        <v>33</v>
      </c>
      <c r="L1769" t="str">
        <f>IFERROR(VLOOKUP(D1769,Products!$A$2:$F$61,3,FALSE()),"")</f>
        <v>Sports</v>
      </c>
      <c r="M1769" t="str">
        <f>IFERROR(VLOOKUP(E1769,Sales_Reps!$A$2:$C$31,3,FALSE()),"")</f>
        <v>East</v>
      </c>
      <c r="N1769">
        <f>IFERROR(VLOOKUP(D1769,Products!$A$2:$F$61,4,FALSE()),"")</f>
        <v>974</v>
      </c>
      <c r="O1769" t="str">
        <f>IFERROR(VLOOKUP(C1769,Customers!$A$2:$F$301,5,FALSE()),"")</f>
        <v>Corporate</v>
      </c>
      <c r="P1769">
        <f>IFERROR(VLOOKUP(C1769,Customers!$A$2:$F$301,3,FALSE()),"")</f>
        <v>55</v>
      </c>
      <c r="Q1769">
        <f t="shared" si="81"/>
        <v>0.59416666666666662</v>
      </c>
      <c r="R1769">
        <f>IF(AND(COUNTIF($A$2:$A$2047,A1769)&gt;1,COUNTIF($A$2:A1769,A1769)=1),1,0)</f>
        <v>0</v>
      </c>
      <c r="S1769" t="b">
        <f>IFERROR(VLOOKUP(D1769,Products!$A$2:$F$61,6,FALSE()),"")</f>
        <v>1</v>
      </c>
      <c r="T1769" t="str">
        <f>IF(COUNTIF(Customers!$A$2:$A$301,C1769)=0,"Missing","OK")</f>
        <v>OK</v>
      </c>
      <c r="U1769" t="str">
        <f t="shared" si="82"/>
        <v>Chennai</v>
      </c>
      <c r="V1769">
        <f t="shared" si="83"/>
        <v>0</v>
      </c>
    </row>
    <row r="1770" spans="1:22" ht="15" customHeight="1" x14ac:dyDescent="0.35">
      <c r="A1770" s="3" t="s">
        <v>2207</v>
      </c>
      <c r="B1770" s="4">
        <v>45609</v>
      </c>
      <c r="C1770" s="3" t="s">
        <v>342</v>
      </c>
      <c r="D1770" s="3" t="s">
        <v>139</v>
      </c>
      <c r="E1770" s="3" t="s">
        <v>154</v>
      </c>
      <c r="F1770" s="5">
        <v>3</v>
      </c>
      <c r="G1770" s="5">
        <v>2760</v>
      </c>
      <c r="H1770" s="5">
        <v>2.4</v>
      </c>
      <c r="I1770" s="5">
        <v>8081.28</v>
      </c>
      <c r="J1770" s="3" t="s">
        <v>26</v>
      </c>
      <c r="K1770" s="3" t="s">
        <v>56</v>
      </c>
      <c r="L1770" t="str">
        <f>IFERROR(VLOOKUP(D1770,Products!$A$2:$F$61,3,FALSE()),"")</f>
        <v>Grocery</v>
      </c>
      <c r="M1770" t="str">
        <f>IFERROR(VLOOKUP(E1770,Sales_Reps!$A$2:$C$31,3,FALSE()),"")</f>
        <v>North</v>
      </c>
      <c r="N1770">
        <f>IFERROR(VLOOKUP(D1770,Products!$A$2:$F$61,4,FALSE()),"")</f>
        <v>1435</v>
      </c>
      <c r="O1770" t="str">
        <f>IFERROR(VLOOKUP(C1770,Customers!$A$2:$F$301,5,FALSE()),"")</f>
        <v>Retail</v>
      </c>
      <c r="P1770">
        <f>IFERROR(VLOOKUP(C1770,Customers!$A$2:$F$301,3,FALSE()),"")</f>
        <v>59</v>
      </c>
      <c r="Q1770">
        <f t="shared" si="81"/>
        <v>0.48007246376811596</v>
      </c>
      <c r="R1770">
        <f>IF(AND(COUNTIF($A$2:$A$2047,A1770)&gt;1,COUNTIF($A$2:A1770,A1770)=1),1,0)</f>
        <v>0</v>
      </c>
      <c r="S1770" t="b">
        <f>IFERROR(VLOOKUP(D1770,Products!$A$2:$F$61,6,FALSE()),"")</f>
        <v>1</v>
      </c>
      <c r="T1770" t="str">
        <f>IF(COUNTIF(Customers!$A$2:$A$301,C1770)=0,"Missing","OK")</f>
        <v>OK</v>
      </c>
      <c r="U1770" t="str">
        <f t="shared" si="82"/>
        <v>Bengaluru</v>
      </c>
      <c r="V1770">
        <f t="shared" si="83"/>
        <v>8081.28</v>
      </c>
    </row>
    <row r="1771" spans="1:22" ht="15" customHeight="1" x14ac:dyDescent="0.35">
      <c r="A1771" s="3" t="s">
        <v>606</v>
      </c>
      <c r="B1771" s="4">
        <v>45548</v>
      </c>
      <c r="C1771" s="3" t="s">
        <v>147</v>
      </c>
      <c r="D1771" s="3" t="s">
        <v>36</v>
      </c>
      <c r="E1771" s="3" t="s">
        <v>143</v>
      </c>
      <c r="F1771" s="5">
        <v>8</v>
      </c>
      <c r="G1771" s="5">
        <v>470</v>
      </c>
      <c r="H1771" s="5">
        <v>24.8</v>
      </c>
      <c r="I1771" s="5">
        <v>2827.52</v>
      </c>
      <c r="J1771" s="3" t="s">
        <v>32</v>
      </c>
      <c r="K1771" s="3" t="s">
        <v>72</v>
      </c>
      <c r="L1771" t="str">
        <f>IFERROR(VLOOKUP(D1771,Products!$A$2:$F$61,3,FALSE()),"")</f>
        <v>Sports</v>
      </c>
      <c r="M1771" t="str">
        <f>IFERROR(VLOOKUP(E1771,Sales_Reps!$A$2:$C$31,3,FALSE()),"")</f>
        <v>South</v>
      </c>
      <c r="N1771">
        <f>IFERROR(VLOOKUP(D1771,Products!$A$2:$F$61,4,FALSE()),"")</f>
        <v>302</v>
      </c>
      <c r="O1771" t="str">
        <f>IFERROR(VLOOKUP(C1771,Customers!$A$2:$F$301,5,FALSE()),"")</f>
        <v>Retail</v>
      </c>
      <c r="P1771">
        <f>IFERROR(VLOOKUP(C1771,Customers!$A$2:$F$301,3,FALSE()),"")</f>
        <v>26</v>
      </c>
      <c r="Q1771">
        <f t="shared" si="81"/>
        <v>0.35744680851063831</v>
      </c>
      <c r="R1771">
        <f>IF(AND(COUNTIF($A$2:$A$2047,A1771)&gt;1,COUNTIF($A$2:A1771,A1771)=1),1,0)</f>
        <v>0</v>
      </c>
      <c r="S1771" t="b">
        <f>IFERROR(VLOOKUP(D1771,Products!$A$2:$F$61,6,FALSE()),"")</f>
        <v>0</v>
      </c>
      <c r="T1771" t="str">
        <f>IF(COUNTIF(Customers!$A$2:$A$301,C1771)=0,"Missing","OK")</f>
        <v>OK</v>
      </c>
      <c r="U1771" t="str">
        <f t="shared" si="82"/>
        <v>Hyderabad</v>
      </c>
      <c r="V1771">
        <f t="shared" si="83"/>
        <v>0</v>
      </c>
    </row>
    <row r="1772" spans="1:22" ht="15" customHeight="1" x14ac:dyDescent="0.35">
      <c r="A1772" s="3" t="s">
        <v>2208</v>
      </c>
      <c r="B1772" s="4">
        <v>45633</v>
      </c>
      <c r="C1772" s="3" t="s">
        <v>541</v>
      </c>
      <c r="D1772" s="3" t="s">
        <v>36</v>
      </c>
      <c r="E1772" s="3" t="s">
        <v>282</v>
      </c>
      <c r="F1772" s="5">
        <v>3</v>
      </c>
      <c r="G1772" s="5">
        <v>470</v>
      </c>
      <c r="H1772" s="5">
        <v>18.600000000000001</v>
      </c>
      <c r="I1772" s="5">
        <v>1147.74</v>
      </c>
      <c r="J1772" s="3" t="s">
        <v>26</v>
      </c>
      <c r="K1772" s="3" t="s">
        <v>33</v>
      </c>
      <c r="L1772" t="str">
        <f>IFERROR(VLOOKUP(D1772,Products!$A$2:$F$61,3,FALSE()),"")</f>
        <v>Sports</v>
      </c>
      <c r="M1772" t="str">
        <f>IFERROR(VLOOKUP(E1772,Sales_Reps!$A$2:$C$31,3,FALSE()),"")</f>
        <v>West</v>
      </c>
      <c r="N1772">
        <f>IFERROR(VLOOKUP(D1772,Products!$A$2:$F$61,4,FALSE()),"")</f>
        <v>302</v>
      </c>
      <c r="O1772" t="str">
        <f>IFERROR(VLOOKUP(C1772,Customers!$A$2:$F$301,5,FALSE()),"")</f>
        <v>Retail</v>
      </c>
      <c r="P1772">
        <f>IFERROR(VLOOKUP(C1772,Customers!$A$2:$F$301,3,FALSE()),"")</f>
        <v>61</v>
      </c>
      <c r="Q1772">
        <f t="shared" si="81"/>
        <v>0.35744680851063831</v>
      </c>
      <c r="R1772">
        <f>IF(AND(COUNTIF($A$2:$A$2047,A1772)&gt;1,COUNTIF($A$2:A1772,A1772)=1),1,0)</f>
        <v>0</v>
      </c>
      <c r="S1772" t="b">
        <f>IFERROR(VLOOKUP(D1772,Products!$A$2:$F$61,6,FALSE()),"")</f>
        <v>0</v>
      </c>
      <c r="T1772" t="str">
        <f>IF(COUNTIF(Customers!$A$2:$A$301,C1772)=0,"Missing","OK")</f>
        <v>OK</v>
      </c>
      <c r="U1772" t="str">
        <f t="shared" si="82"/>
        <v>Chennai</v>
      </c>
      <c r="V1772">
        <f t="shared" si="83"/>
        <v>0</v>
      </c>
    </row>
    <row r="1773" spans="1:22" ht="15" customHeight="1" x14ac:dyDescent="0.35">
      <c r="A1773" s="3" t="s">
        <v>2209</v>
      </c>
      <c r="B1773" s="4">
        <v>45580</v>
      </c>
      <c r="C1773" s="3" t="s">
        <v>446</v>
      </c>
      <c r="D1773" s="3" t="s">
        <v>49</v>
      </c>
      <c r="E1773" s="3" t="s">
        <v>67</v>
      </c>
      <c r="F1773" s="5">
        <v>2</v>
      </c>
      <c r="G1773" s="5">
        <v>370</v>
      </c>
      <c r="H1773" s="5">
        <v>24</v>
      </c>
      <c r="I1773" s="5">
        <v>562.4</v>
      </c>
      <c r="J1773" s="3" t="s">
        <v>26</v>
      </c>
      <c r="K1773" s="3" t="s">
        <v>27</v>
      </c>
      <c r="L1773" t="str">
        <f>IFERROR(VLOOKUP(D1773,Products!$A$2:$F$61,3,FALSE()),"")</f>
        <v>Home</v>
      </c>
      <c r="M1773" t="str">
        <f>IFERROR(VLOOKUP(E1773,Sales_Reps!$A$2:$C$31,3,FALSE()),"")</f>
        <v>West</v>
      </c>
      <c r="N1773">
        <f>IFERROR(VLOOKUP(D1773,Products!$A$2:$F$61,4,FALSE()),"")</f>
        <v>288</v>
      </c>
      <c r="O1773" t="str">
        <f>IFERROR(VLOOKUP(C1773,Customers!$A$2:$F$301,5,FALSE()),"")</f>
        <v>Retail</v>
      </c>
      <c r="P1773">
        <f>IFERROR(VLOOKUP(C1773,Customers!$A$2:$F$301,3,FALSE()),"")</f>
        <v>59</v>
      </c>
      <c r="Q1773">
        <f t="shared" si="81"/>
        <v>0.22162162162162163</v>
      </c>
      <c r="R1773">
        <f>IF(AND(COUNTIF($A$2:$A$2047,A1773)&gt;1,COUNTIF($A$2:A1773,A1773)=1),1,0)</f>
        <v>0</v>
      </c>
      <c r="S1773" t="b">
        <f>IFERROR(VLOOKUP(D1773,Products!$A$2:$F$61,6,FALSE()),"")</f>
        <v>1</v>
      </c>
      <c r="T1773" t="str">
        <f>IF(COUNTIF(Customers!$A$2:$A$301,C1773)=0,"Missing","OK")</f>
        <v>OK</v>
      </c>
      <c r="U1773" t="str">
        <f t="shared" si="82"/>
        <v>Pune</v>
      </c>
      <c r="V1773">
        <f t="shared" si="83"/>
        <v>0</v>
      </c>
    </row>
    <row r="1774" spans="1:22" ht="15" customHeight="1" x14ac:dyDescent="0.35">
      <c r="A1774" s="3" t="s">
        <v>2210</v>
      </c>
      <c r="B1774" s="4">
        <v>45329</v>
      </c>
      <c r="C1774" s="3" t="s">
        <v>1173</v>
      </c>
      <c r="D1774" s="3" t="s">
        <v>277</v>
      </c>
      <c r="E1774" s="3" t="s">
        <v>154</v>
      </c>
      <c r="F1774" s="5">
        <v>6</v>
      </c>
      <c r="G1774" s="5">
        <v>2210</v>
      </c>
      <c r="H1774" s="5">
        <v>28.3</v>
      </c>
      <c r="I1774" s="5">
        <v>9507.42</v>
      </c>
      <c r="J1774" s="3" t="s">
        <v>79</v>
      </c>
      <c r="K1774" s="3" t="s">
        <v>51</v>
      </c>
      <c r="L1774" t="str">
        <f>IFERROR(VLOOKUP(D1774,Products!$A$2:$F$61,3,FALSE()),"")</f>
        <v>Grocery</v>
      </c>
      <c r="M1774" t="str">
        <f>IFERROR(VLOOKUP(E1774,Sales_Reps!$A$2:$C$31,3,FALSE()),"")</f>
        <v>North</v>
      </c>
      <c r="N1774">
        <f>IFERROR(VLOOKUP(D1774,Products!$A$2:$F$61,4,FALSE()),"")</f>
        <v>1010</v>
      </c>
      <c r="O1774" t="str">
        <f>IFERROR(VLOOKUP(C1774,Customers!$A$2:$F$301,5,FALSE()),"")</f>
        <v>Retail</v>
      </c>
      <c r="P1774">
        <f>IFERROR(VLOOKUP(C1774,Customers!$A$2:$F$301,3,FALSE()),"")</f>
        <v>29</v>
      </c>
      <c r="Q1774">
        <f t="shared" si="81"/>
        <v>0.54298642533936647</v>
      </c>
      <c r="R1774">
        <f>IF(AND(COUNTIF($A$2:$A$2047,A1774)&gt;1,COUNTIF($A$2:A1774,A1774)=1),1,0)</f>
        <v>0</v>
      </c>
      <c r="S1774" t="b">
        <f>IFERROR(VLOOKUP(D1774,Products!$A$2:$F$61,6,FALSE()),"")</f>
        <v>1</v>
      </c>
      <c r="T1774" t="str">
        <f>IF(COUNTIF(Customers!$A$2:$A$301,C1774)=0,"Missing","OK")</f>
        <v>OK</v>
      </c>
      <c r="U1774" t="str">
        <f t="shared" si="82"/>
        <v>Mumbai</v>
      </c>
      <c r="V1774">
        <f t="shared" si="83"/>
        <v>0</v>
      </c>
    </row>
    <row r="1775" spans="1:22" ht="15" customHeight="1" x14ac:dyDescent="0.35">
      <c r="A1775" s="3" t="s">
        <v>2211</v>
      </c>
      <c r="B1775" s="4">
        <v>45549</v>
      </c>
      <c r="C1775" s="3" t="s">
        <v>500</v>
      </c>
      <c r="D1775" s="3" t="s">
        <v>454</v>
      </c>
      <c r="E1775" s="3" t="s">
        <v>236</v>
      </c>
      <c r="F1775" s="5">
        <v>3</v>
      </c>
      <c r="G1775" s="5">
        <v>6940</v>
      </c>
      <c r="H1775" s="5">
        <v>27.2</v>
      </c>
      <c r="I1775" s="5">
        <v>15156.96</v>
      </c>
      <c r="J1775" s="3" t="s">
        <v>83</v>
      </c>
      <c r="K1775" s="3" t="s">
        <v>72</v>
      </c>
      <c r="L1775" t="str">
        <f>IFERROR(VLOOKUP(D1775,Products!$A$2:$F$61,3,FALSE()),"")</f>
        <v>Sports</v>
      </c>
      <c r="M1775" t="str">
        <f>IFERROR(VLOOKUP(E1775,Sales_Reps!$A$2:$C$31,3,FALSE()),"")</f>
        <v>North</v>
      </c>
      <c r="N1775">
        <f>IFERROR(VLOOKUP(D1775,Products!$A$2:$F$61,4,FALSE()),"")</f>
        <v>2827</v>
      </c>
      <c r="O1775" t="str">
        <f>IFERROR(VLOOKUP(C1775,Customers!$A$2:$F$301,5,FALSE()),"")</f>
        <v>SMB</v>
      </c>
      <c r="P1775">
        <f>IFERROR(VLOOKUP(C1775,Customers!$A$2:$F$301,3,FALSE()),"")</f>
        <v>43</v>
      </c>
      <c r="Q1775">
        <f t="shared" si="81"/>
        <v>0.5926512968299712</v>
      </c>
      <c r="R1775">
        <f>IF(AND(COUNTIF($A$2:$A$2047,A1775)&gt;1,COUNTIF($A$2:A1775,A1775)=1),1,0)</f>
        <v>0</v>
      </c>
      <c r="S1775" t="b">
        <f>IFERROR(VLOOKUP(D1775,Products!$A$2:$F$61,6,FALSE()),"")</f>
        <v>1</v>
      </c>
      <c r="T1775" t="str">
        <f>IF(COUNTIF(Customers!$A$2:$A$301,C1775)=0,"Missing","OK")</f>
        <v>OK</v>
      </c>
      <c r="U1775" t="str">
        <f t="shared" si="82"/>
        <v>Hyderabad</v>
      </c>
      <c r="V1775">
        <f t="shared" si="83"/>
        <v>0</v>
      </c>
    </row>
    <row r="1776" spans="1:22" ht="15" customHeight="1" x14ac:dyDescent="0.35">
      <c r="A1776" s="3" t="s">
        <v>2212</v>
      </c>
      <c r="B1776" s="4">
        <v>45423</v>
      </c>
      <c r="C1776" s="3" t="s">
        <v>884</v>
      </c>
      <c r="D1776" s="3" t="s">
        <v>234</v>
      </c>
      <c r="E1776" s="3" t="s">
        <v>242</v>
      </c>
      <c r="F1776" s="5">
        <v>10</v>
      </c>
      <c r="G1776" s="5">
        <v>2030</v>
      </c>
      <c r="H1776" s="5">
        <v>25.6</v>
      </c>
      <c r="I1776" s="5">
        <v>15103.2</v>
      </c>
      <c r="J1776" s="3" t="s">
        <v>26</v>
      </c>
      <c r="K1776" s="3" t="s">
        <v>27</v>
      </c>
      <c r="L1776" t="str">
        <f>IFERROR(VLOOKUP(D1776,Products!$A$2:$F$61,3,FALSE()),"")</f>
        <v>Home</v>
      </c>
      <c r="M1776" t="str">
        <f>IFERROR(VLOOKUP(E1776,Sales_Reps!$A$2:$C$31,3,FALSE()),"")</f>
        <v>East</v>
      </c>
      <c r="N1776">
        <f>IFERROR(VLOOKUP(D1776,Products!$A$2:$F$61,4,FALSE()),"")</f>
        <v>1143</v>
      </c>
      <c r="O1776" t="str">
        <f>IFERROR(VLOOKUP(C1776,Customers!$A$2:$F$301,5,FALSE()),"")</f>
        <v>Retail</v>
      </c>
      <c r="P1776">
        <f>IFERROR(VLOOKUP(C1776,Customers!$A$2:$F$301,3,FALSE()),"")</f>
        <v>54</v>
      </c>
      <c r="Q1776">
        <f t="shared" si="81"/>
        <v>0.43694581280788175</v>
      </c>
      <c r="R1776">
        <f>IF(AND(COUNTIF($A$2:$A$2047,A1776)&gt;1,COUNTIF($A$2:A1776,A1776)=1),1,0)</f>
        <v>0</v>
      </c>
      <c r="S1776" t="b">
        <f>IFERROR(VLOOKUP(D1776,Products!$A$2:$F$61,6,FALSE()),"")</f>
        <v>1</v>
      </c>
      <c r="T1776" t="str">
        <f>IF(COUNTIF(Customers!$A$2:$A$301,C1776)=0,"Missing","OK")</f>
        <v>OK</v>
      </c>
      <c r="U1776" t="str">
        <f t="shared" si="82"/>
        <v>Pune</v>
      </c>
      <c r="V1776">
        <f t="shared" si="83"/>
        <v>0</v>
      </c>
    </row>
    <row r="1777" spans="1:22" ht="15" customHeight="1" x14ac:dyDescent="0.35">
      <c r="A1777" s="3" t="s">
        <v>2213</v>
      </c>
      <c r="B1777" s="4">
        <v>45533</v>
      </c>
      <c r="C1777" s="3" t="s">
        <v>884</v>
      </c>
      <c r="D1777" s="3" t="s">
        <v>121</v>
      </c>
      <c r="E1777" s="3" t="s">
        <v>177</v>
      </c>
      <c r="F1777" s="5">
        <v>9</v>
      </c>
      <c r="G1777" s="5">
        <v>1010</v>
      </c>
      <c r="H1777" s="5">
        <v>9.3000000000000007</v>
      </c>
      <c r="I1777" s="5">
        <v>8244.6299999999992</v>
      </c>
      <c r="J1777" s="3" t="s">
        <v>26</v>
      </c>
      <c r="K1777" s="3" t="s">
        <v>27</v>
      </c>
      <c r="L1777" t="str">
        <f>IFERROR(VLOOKUP(D1777,Products!$A$2:$F$61,3,FALSE()),"")</f>
        <v>Sports</v>
      </c>
      <c r="M1777" t="str">
        <f>IFERROR(VLOOKUP(E1777,Sales_Reps!$A$2:$C$31,3,FALSE()),"")</f>
        <v>East</v>
      </c>
      <c r="N1777">
        <f>IFERROR(VLOOKUP(D1777,Products!$A$2:$F$61,4,FALSE()),"")</f>
        <v>516</v>
      </c>
      <c r="O1777" t="str">
        <f>IFERROR(VLOOKUP(C1777,Customers!$A$2:$F$301,5,FALSE()),"")</f>
        <v>Retail</v>
      </c>
      <c r="P1777">
        <f>IFERROR(VLOOKUP(C1777,Customers!$A$2:$F$301,3,FALSE()),"")</f>
        <v>54</v>
      </c>
      <c r="Q1777">
        <f t="shared" si="81"/>
        <v>0.4891089108910891</v>
      </c>
      <c r="R1777">
        <f>IF(AND(COUNTIF($A$2:$A$2047,A1777)&gt;1,COUNTIF($A$2:A1777,A1777)=1),1,0)</f>
        <v>0</v>
      </c>
      <c r="S1777" t="b">
        <f>IFERROR(VLOOKUP(D1777,Products!$A$2:$F$61,6,FALSE()),"")</f>
        <v>1</v>
      </c>
      <c r="T1777" t="str">
        <f>IF(COUNTIF(Customers!$A$2:$A$301,C1777)=0,"Missing","OK")</f>
        <v>OK</v>
      </c>
      <c r="U1777" t="str">
        <f t="shared" si="82"/>
        <v>Pune</v>
      </c>
      <c r="V1777">
        <f t="shared" si="83"/>
        <v>0</v>
      </c>
    </row>
    <row r="1778" spans="1:22" ht="15" customHeight="1" x14ac:dyDescent="0.35">
      <c r="A1778" s="3" t="s">
        <v>2214</v>
      </c>
      <c r="B1778" s="4">
        <v>45571</v>
      </c>
      <c r="C1778" s="3" t="s">
        <v>267</v>
      </c>
      <c r="D1778" s="3" t="s">
        <v>294</v>
      </c>
      <c r="E1778" s="3" t="s">
        <v>236</v>
      </c>
      <c r="F1778" s="5">
        <v>5</v>
      </c>
      <c r="G1778" s="5">
        <v>2510</v>
      </c>
      <c r="H1778" s="5">
        <v>22.2</v>
      </c>
      <c r="I1778" s="5">
        <v>9763.9</v>
      </c>
      <c r="J1778" s="3" t="s">
        <v>26</v>
      </c>
      <c r="K1778" s="3" t="s">
        <v>33</v>
      </c>
      <c r="L1778" t="str">
        <f>IFERROR(VLOOKUP(D1778,Products!$A$2:$F$61,3,FALSE()),"")</f>
        <v>Apparel</v>
      </c>
      <c r="M1778" t="str">
        <f>IFERROR(VLOOKUP(E1778,Sales_Reps!$A$2:$C$31,3,FALSE()),"")</f>
        <v>North</v>
      </c>
      <c r="N1778">
        <f>IFERROR(VLOOKUP(D1778,Products!$A$2:$F$61,4,FALSE()),"")</f>
        <v>1075</v>
      </c>
      <c r="O1778" t="str">
        <f>IFERROR(VLOOKUP(C1778,Customers!$A$2:$F$301,5,FALSE()),"")</f>
        <v>Retail</v>
      </c>
      <c r="P1778">
        <f>IFERROR(VLOOKUP(C1778,Customers!$A$2:$F$301,3,FALSE()),"")</f>
        <v>28</v>
      </c>
      <c r="Q1778">
        <f t="shared" si="81"/>
        <v>0.57171314741035861</v>
      </c>
      <c r="R1778">
        <f>IF(AND(COUNTIF($A$2:$A$2047,A1778)&gt;1,COUNTIF($A$2:A1778,A1778)=1),1,0)</f>
        <v>0</v>
      </c>
      <c r="S1778" t="b">
        <f>IFERROR(VLOOKUP(D1778,Products!$A$2:$F$61,6,FALSE()),"")</f>
        <v>0</v>
      </c>
      <c r="T1778" t="str">
        <f>IF(COUNTIF(Customers!$A$2:$A$301,C1778)=0,"Missing","OK")</f>
        <v>OK</v>
      </c>
      <c r="U1778" t="str">
        <f t="shared" si="82"/>
        <v>Chennai</v>
      </c>
      <c r="V1778">
        <f t="shared" si="83"/>
        <v>0</v>
      </c>
    </row>
    <row r="1779" spans="1:22" ht="15" customHeight="1" x14ac:dyDescent="0.35">
      <c r="A1779" s="3" t="s">
        <v>2215</v>
      </c>
      <c r="B1779" s="4">
        <v>45441</v>
      </c>
      <c r="C1779" s="3" t="s">
        <v>698</v>
      </c>
      <c r="D1779" s="3" t="s">
        <v>49</v>
      </c>
      <c r="E1779" s="3" t="s">
        <v>236</v>
      </c>
      <c r="F1779" s="5">
        <v>10</v>
      </c>
      <c r="G1779" s="5">
        <v>370</v>
      </c>
      <c r="H1779" s="5">
        <v>29</v>
      </c>
      <c r="I1779" s="5">
        <v>2627</v>
      </c>
      <c r="J1779" s="3" t="s">
        <v>26</v>
      </c>
      <c r="K1779" s="3" t="s">
        <v>56</v>
      </c>
      <c r="L1779" t="str">
        <f>IFERROR(VLOOKUP(D1779,Products!$A$2:$F$61,3,FALSE()),"")</f>
        <v>Home</v>
      </c>
      <c r="M1779" t="str">
        <f>IFERROR(VLOOKUP(E1779,Sales_Reps!$A$2:$C$31,3,FALSE()),"")</f>
        <v>North</v>
      </c>
      <c r="N1779">
        <f>IFERROR(VLOOKUP(D1779,Products!$A$2:$F$61,4,FALSE()),"")</f>
        <v>288</v>
      </c>
      <c r="O1779" t="str">
        <f>IFERROR(VLOOKUP(C1779,Customers!$A$2:$F$301,5,FALSE()),"")</f>
        <v>Retail</v>
      </c>
      <c r="P1779">
        <f>IFERROR(VLOOKUP(C1779,Customers!$A$2:$F$301,3,FALSE()),"")</f>
        <v>29</v>
      </c>
      <c r="Q1779">
        <f t="shared" si="81"/>
        <v>0.22162162162162163</v>
      </c>
      <c r="R1779">
        <f>IF(AND(COUNTIF($A$2:$A$2047,A1779)&gt;1,COUNTIF($A$2:A1779,A1779)=1),1,0)</f>
        <v>0</v>
      </c>
      <c r="S1779" t="b">
        <f>IFERROR(VLOOKUP(D1779,Products!$A$2:$F$61,6,FALSE()),"")</f>
        <v>1</v>
      </c>
      <c r="T1779" t="str">
        <f>IF(COUNTIF(Customers!$A$2:$A$301,C1779)=0,"Missing","OK")</f>
        <v>OK</v>
      </c>
      <c r="U1779" t="str">
        <f t="shared" si="82"/>
        <v>Bengaluru</v>
      </c>
      <c r="V1779">
        <f t="shared" si="83"/>
        <v>0</v>
      </c>
    </row>
    <row r="1780" spans="1:22" ht="15" customHeight="1" x14ac:dyDescent="0.35">
      <c r="A1780" s="3" t="s">
        <v>2216</v>
      </c>
      <c r="B1780" s="4">
        <v>45403</v>
      </c>
      <c r="C1780" s="3" t="s">
        <v>483</v>
      </c>
      <c r="D1780" s="3" t="s">
        <v>106</v>
      </c>
      <c r="E1780" s="3" t="s">
        <v>97</v>
      </c>
      <c r="F1780" s="5">
        <v>3</v>
      </c>
      <c r="G1780" s="5">
        <v>2480</v>
      </c>
      <c r="H1780" s="5">
        <v>9.6</v>
      </c>
      <c r="I1780" s="5">
        <v>6725.76</v>
      </c>
      <c r="J1780" s="3" t="s">
        <v>26</v>
      </c>
      <c r="K1780" s="3" t="s">
        <v>72</v>
      </c>
      <c r="L1780" t="str">
        <f>IFERROR(VLOOKUP(D1780,Products!$A$2:$F$61,3,FALSE()),"")</f>
        <v>Apparel</v>
      </c>
      <c r="M1780" t="str">
        <f>IFERROR(VLOOKUP(E1780,Sales_Reps!$A$2:$C$31,3,FALSE()),"")</f>
        <v>East</v>
      </c>
      <c r="N1780">
        <f>IFERROR(VLOOKUP(D1780,Products!$A$2:$F$61,4,FALSE()),"")</f>
        <v>1173</v>
      </c>
      <c r="O1780" t="str">
        <f>IFERROR(VLOOKUP(C1780,Customers!$A$2:$F$301,5,FALSE()),"")</f>
        <v>Retail</v>
      </c>
      <c r="P1780">
        <f>IFERROR(VLOOKUP(C1780,Customers!$A$2:$F$301,3,FALSE()),"")</f>
        <v>25</v>
      </c>
      <c r="Q1780">
        <f t="shared" si="81"/>
        <v>0.52701612903225803</v>
      </c>
      <c r="R1780">
        <f>IF(AND(COUNTIF($A$2:$A$2047,A1780)&gt;1,COUNTIF($A$2:A1780,A1780)=1),1,0)</f>
        <v>0</v>
      </c>
      <c r="S1780" t="b">
        <f>IFERROR(VLOOKUP(D1780,Products!$A$2:$F$61,6,FALSE()),"")</f>
        <v>1</v>
      </c>
      <c r="T1780" t="str">
        <f>IF(COUNTIF(Customers!$A$2:$A$301,C1780)=0,"Missing","OK")</f>
        <v>OK</v>
      </c>
      <c r="U1780" t="str">
        <f t="shared" si="82"/>
        <v>Hyderabad</v>
      </c>
      <c r="V1780">
        <f t="shared" si="83"/>
        <v>0</v>
      </c>
    </row>
    <row r="1781" spans="1:22" ht="15" customHeight="1" x14ac:dyDescent="0.35">
      <c r="A1781" s="3" t="s">
        <v>2217</v>
      </c>
      <c r="B1781" s="4">
        <v>45644</v>
      </c>
      <c r="C1781" s="3" t="s">
        <v>734</v>
      </c>
      <c r="D1781" s="3" t="s">
        <v>74</v>
      </c>
      <c r="E1781" s="3" t="s">
        <v>177</v>
      </c>
      <c r="F1781" s="5">
        <v>3</v>
      </c>
      <c r="G1781" s="5">
        <v>2640</v>
      </c>
      <c r="H1781" s="5">
        <v>10.199999999999999</v>
      </c>
      <c r="I1781" s="5">
        <v>7112.16</v>
      </c>
      <c r="J1781" s="3" t="s">
        <v>79</v>
      </c>
      <c r="K1781" s="3" t="s">
        <v>33</v>
      </c>
      <c r="L1781" t="str">
        <f>IFERROR(VLOOKUP(D1781,Products!$A$2:$F$61,3,FALSE()),"")</f>
        <v>Electronics</v>
      </c>
      <c r="M1781" t="str">
        <f>IFERROR(VLOOKUP(E1781,Sales_Reps!$A$2:$C$31,3,FALSE()),"")</f>
        <v>East</v>
      </c>
      <c r="N1781">
        <f>IFERROR(VLOOKUP(D1781,Products!$A$2:$F$61,4,FALSE()),"")</f>
        <v>1149</v>
      </c>
      <c r="O1781" t="str">
        <f>IFERROR(VLOOKUP(C1781,Customers!$A$2:$F$301,5,FALSE()),"")</f>
        <v>Retail</v>
      </c>
      <c r="P1781">
        <f>IFERROR(VLOOKUP(C1781,Customers!$A$2:$F$301,3,FALSE()),"")</f>
        <v>22</v>
      </c>
      <c r="Q1781">
        <f t="shared" si="81"/>
        <v>0.56477272727272732</v>
      </c>
      <c r="R1781">
        <f>IF(AND(COUNTIF($A$2:$A$2047,A1781)&gt;1,COUNTIF($A$2:A1781,A1781)=1),1,0)</f>
        <v>0</v>
      </c>
      <c r="S1781" t="b">
        <f>IFERROR(VLOOKUP(D1781,Products!$A$2:$F$61,6,FALSE()),"")</f>
        <v>1</v>
      </c>
      <c r="T1781" t="str">
        <f>IF(COUNTIF(Customers!$A$2:$A$301,C1781)=0,"Missing","OK")</f>
        <v>OK</v>
      </c>
      <c r="U1781" t="str">
        <f t="shared" si="82"/>
        <v>Chennai</v>
      </c>
      <c r="V1781">
        <f t="shared" si="83"/>
        <v>0</v>
      </c>
    </row>
    <row r="1782" spans="1:22" ht="15" customHeight="1" x14ac:dyDescent="0.35">
      <c r="A1782" s="3" t="s">
        <v>2218</v>
      </c>
      <c r="B1782" s="4">
        <v>45504</v>
      </c>
      <c r="C1782" s="3" t="s">
        <v>1438</v>
      </c>
      <c r="D1782" s="3" t="s">
        <v>441</v>
      </c>
      <c r="E1782" s="3" t="s">
        <v>131</v>
      </c>
      <c r="F1782" s="5">
        <v>1</v>
      </c>
      <c r="G1782" s="5">
        <v>1090</v>
      </c>
      <c r="H1782" s="5">
        <v>21.6</v>
      </c>
      <c r="I1782" s="5">
        <v>854.56</v>
      </c>
      <c r="J1782" s="3" t="s">
        <v>79</v>
      </c>
      <c r="K1782" s="3" t="s">
        <v>33</v>
      </c>
      <c r="L1782" t="str">
        <f>IFERROR(VLOOKUP(D1782,Products!$A$2:$F$61,3,FALSE()),"")</f>
        <v>Home</v>
      </c>
      <c r="M1782" t="str">
        <f>IFERROR(VLOOKUP(E1782,Sales_Reps!$A$2:$C$31,3,FALSE()),"")</f>
        <v>East</v>
      </c>
      <c r="N1782">
        <f>IFERROR(VLOOKUP(D1782,Products!$A$2:$F$61,4,FALSE()),"")</f>
        <v>464</v>
      </c>
      <c r="O1782" t="str">
        <f>IFERROR(VLOOKUP(C1782,Customers!$A$2:$F$301,5,FALSE()),"")</f>
        <v>Retail</v>
      </c>
      <c r="P1782">
        <f>IFERROR(VLOOKUP(C1782,Customers!$A$2:$F$301,3,FALSE()),"")</f>
        <v>26</v>
      </c>
      <c r="Q1782">
        <f t="shared" si="81"/>
        <v>0.57431192660550456</v>
      </c>
      <c r="R1782">
        <f>IF(AND(COUNTIF($A$2:$A$2047,A1782)&gt;1,COUNTIF($A$2:A1782,A1782)=1),1,0)</f>
        <v>0</v>
      </c>
      <c r="S1782" t="b">
        <f>IFERROR(VLOOKUP(D1782,Products!$A$2:$F$61,6,FALSE()),"")</f>
        <v>1</v>
      </c>
      <c r="T1782" t="str">
        <f>IF(COUNTIF(Customers!$A$2:$A$301,C1782)=0,"Missing","OK")</f>
        <v>OK</v>
      </c>
      <c r="U1782" t="str">
        <f t="shared" si="82"/>
        <v>Chennai</v>
      </c>
      <c r="V1782">
        <f t="shared" si="83"/>
        <v>0</v>
      </c>
    </row>
    <row r="1783" spans="1:22" ht="15" customHeight="1" x14ac:dyDescent="0.35">
      <c r="A1783" s="3" t="s">
        <v>2219</v>
      </c>
      <c r="B1783" s="4">
        <v>45606</v>
      </c>
      <c r="C1783" s="3" t="s">
        <v>1289</v>
      </c>
      <c r="D1783" s="3" t="s">
        <v>118</v>
      </c>
      <c r="E1783" s="3" t="s">
        <v>236</v>
      </c>
      <c r="F1783" s="5">
        <v>10</v>
      </c>
      <c r="G1783" s="5">
        <v>3350</v>
      </c>
      <c r="H1783" s="5">
        <v>12.1</v>
      </c>
      <c r="I1783" s="5">
        <v>29446.5</v>
      </c>
      <c r="J1783" s="3" t="s">
        <v>26</v>
      </c>
      <c r="K1783" s="3" t="s">
        <v>51</v>
      </c>
      <c r="L1783" t="str">
        <f>IFERROR(VLOOKUP(D1783,Products!$A$2:$F$61,3,FALSE()),"")</f>
        <v>Beauty</v>
      </c>
      <c r="M1783" t="str">
        <f>IFERROR(VLOOKUP(E1783,Sales_Reps!$A$2:$C$31,3,FALSE()),"")</f>
        <v>North</v>
      </c>
      <c r="N1783">
        <f>IFERROR(VLOOKUP(D1783,Products!$A$2:$F$61,4,FALSE()),"")</f>
        <v>1728</v>
      </c>
      <c r="O1783" t="str">
        <f>IFERROR(VLOOKUP(C1783,Customers!$A$2:$F$301,5,FALSE()),"")</f>
        <v>Retail</v>
      </c>
      <c r="P1783">
        <f>IFERROR(VLOOKUP(C1783,Customers!$A$2:$F$301,3,FALSE()),"")</f>
        <v>38</v>
      </c>
      <c r="Q1783">
        <f t="shared" si="81"/>
        <v>0.48417910447761192</v>
      </c>
      <c r="R1783">
        <f>IF(AND(COUNTIF($A$2:$A$2047,A1783)&gt;1,COUNTIF($A$2:A1783,A1783)=1),1,0)</f>
        <v>0</v>
      </c>
      <c r="S1783" t="b">
        <f>IFERROR(VLOOKUP(D1783,Products!$A$2:$F$61,6,FALSE()),"")</f>
        <v>1</v>
      </c>
      <c r="T1783" t="str">
        <f>IF(COUNTIF(Customers!$A$2:$A$301,C1783)=0,"Missing","OK")</f>
        <v>OK</v>
      </c>
      <c r="U1783" t="str">
        <f t="shared" si="82"/>
        <v>Mumbai</v>
      </c>
      <c r="V1783">
        <f t="shared" si="83"/>
        <v>0</v>
      </c>
    </row>
    <row r="1784" spans="1:22" ht="15" customHeight="1" x14ac:dyDescent="0.35">
      <c r="A1784" s="3" t="s">
        <v>2220</v>
      </c>
      <c r="B1784" s="4">
        <v>45562</v>
      </c>
      <c r="C1784" s="3" t="s">
        <v>524</v>
      </c>
      <c r="D1784" s="3" t="s">
        <v>180</v>
      </c>
      <c r="E1784" s="3" t="s">
        <v>127</v>
      </c>
      <c r="F1784" s="5">
        <v>4</v>
      </c>
      <c r="G1784" s="5">
        <v>6080</v>
      </c>
      <c r="H1784" s="5">
        <v>26.7</v>
      </c>
      <c r="I1784" s="5">
        <v>17826.560000000001</v>
      </c>
      <c r="J1784" s="3" t="s">
        <v>79</v>
      </c>
      <c r="K1784" s="3" t="s">
        <v>33</v>
      </c>
      <c r="L1784" t="str">
        <f>IFERROR(VLOOKUP(D1784,Products!$A$2:$F$61,3,FALSE()),"")</f>
        <v>Beauty</v>
      </c>
      <c r="M1784" t="str">
        <f>IFERROR(VLOOKUP(E1784,Sales_Reps!$A$2:$C$31,3,FALSE()),"")</f>
        <v>South</v>
      </c>
      <c r="N1784">
        <f>IFERROR(VLOOKUP(D1784,Products!$A$2:$F$61,4,FALSE()),"")</f>
        <v>2617</v>
      </c>
      <c r="O1784" t="str">
        <f>IFERROR(VLOOKUP(C1784,Customers!$A$2:$F$301,5,FALSE()),"")</f>
        <v>Retail</v>
      </c>
      <c r="P1784">
        <f>IFERROR(VLOOKUP(C1784,Customers!$A$2:$F$301,3,FALSE()),"")</f>
        <v>26</v>
      </c>
      <c r="Q1784">
        <f t="shared" si="81"/>
        <v>0.56957236842105263</v>
      </c>
      <c r="R1784">
        <f>IF(AND(COUNTIF($A$2:$A$2047,A1784)&gt;1,COUNTIF($A$2:A1784,A1784)=1),1,0)</f>
        <v>0</v>
      </c>
      <c r="S1784" t="b">
        <f>IFERROR(VLOOKUP(D1784,Products!$A$2:$F$61,6,FALSE()),"")</f>
        <v>1</v>
      </c>
      <c r="T1784" t="str">
        <f>IF(COUNTIF(Customers!$A$2:$A$301,C1784)=0,"Missing","OK")</f>
        <v>OK</v>
      </c>
      <c r="U1784" t="str">
        <f t="shared" si="82"/>
        <v>Chennai</v>
      </c>
      <c r="V1784">
        <f t="shared" si="83"/>
        <v>0</v>
      </c>
    </row>
    <row r="1785" spans="1:22" ht="15" customHeight="1" x14ac:dyDescent="0.35">
      <c r="A1785" s="3" t="s">
        <v>2221</v>
      </c>
      <c r="B1785" s="4">
        <v>45372</v>
      </c>
      <c r="C1785" s="3" t="s">
        <v>636</v>
      </c>
      <c r="D1785" s="3" t="s">
        <v>319</v>
      </c>
      <c r="E1785" s="3" t="s">
        <v>236</v>
      </c>
      <c r="F1785" s="5">
        <v>3</v>
      </c>
      <c r="G1785" s="5">
        <v>960</v>
      </c>
      <c r="H1785" s="5">
        <v>13.2</v>
      </c>
      <c r="I1785" s="5">
        <v>2499.84</v>
      </c>
      <c r="J1785" s="3" t="s">
        <v>26</v>
      </c>
      <c r="K1785" s="3" t="s">
        <v>72</v>
      </c>
      <c r="L1785" t="str">
        <f>IFERROR(VLOOKUP(D1785,Products!$A$2:$F$61,3,FALSE()),"")</f>
        <v>Beauty</v>
      </c>
      <c r="M1785" t="str">
        <f>IFERROR(VLOOKUP(E1785,Sales_Reps!$A$2:$C$31,3,FALSE()),"")</f>
        <v>North</v>
      </c>
      <c r="N1785">
        <f>IFERROR(VLOOKUP(D1785,Products!$A$2:$F$61,4,FALSE()),"")</f>
        <v>675</v>
      </c>
      <c r="O1785" t="str">
        <f>IFERROR(VLOOKUP(C1785,Customers!$A$2:$F$301,5,FALSE()),"")</f>
        <v>Retail</v>
      </c>
      <c r="P1785">
        <f>IFERROR(VLOOKUP(C1785,Customers!$A$2:$F$301,3,FALSE()),"")</f>
        <v>65</v>
      </c>
      <c r="Q1785">
        <f t="shared" si="81"/>
        <v>0.296875</v>
      </c>
      <c r="R1785">
        <f>IF(AND(COUNTIF($A$2:$A$2047,A1785)&gt;1,COUNTIF($A$2:A1785,A1785)=1),1,0)</f>
        <v>0</v>
      </c>
      <c r="S1785" t="b">
        <f>IFERROR(VLOOKUP(D1785,Products!$A$2:$F$61,6,FALSE()),"")</f>
        <v>1</v>
      </c>
      <c r="T1785" t="str">
        <f>IF(COUNTIF(Customers!$A$2:$A$301,C1785)=0,"Missing","OK")</f>
        <v>OK</v>
      </c>
      <c r="U1785" t="str">
        <f t="shared" si="82"/>
        <v>Hyderabad</v>
      </c>
      <c r="V1785">
        <f t="shared" si="83"/>
        <v>0</v>
      </c>
    </row>
    <row r="1786" spans="1:22" ht="15" customHeight="1" x14ac:dyDescent="0.35">
      <c r="A1786" s="3" t="s">
        <v>2222</v>
      </c>
      <c r="B1786" s="4">
        <v>45610</v>
      </c>
      <c r="C1786" s="3" t="s">
        <v>502</v>
      </c>
      <c r="D1786" s="3" t="s">
        <v>41</v>
      </c>
      <c r="E1786" s="3" t="s">
        <v>25</v>
      </c>
      <c r="F1786" s="5">
        <v>9</v>
      </c>
      <c r="G1786" s="5">
        <v>3660</v>
      </c>
      <c r="H1786" s="5">
        <v>9.3000000000000007</v>
      </c>
      <c r="I1786" s="5">
        <v>29876.58</v>
      </c>
      <c r="J1786" s="3" t="s">
        <v>79</v>
      </c>
      <c r="K1786" s="3" t="s">
        <v>27</v>
      </c>
      <c r="L1786" t="str">
        <f>IFERROR(VLOOKUP(D1786,Products!$A$2:$F$61,3,FALSE()),"")</f>
        <v>Grocery</v>
      </c>
      <c r="M1786" t="str">
        <f>IFERROR(VLOOKUP(E1786,Sales_Reps!$A$2:$C$31,3,FALSE()),"")</f>
        <v>North</v>
      </c>
      <c r="N1786">
        <f>IFERROR(VLOOKUP(D1786,Products!$A$2:$F$61,4,FALSE()),"")</f>
        <v>2214</v>
      </c>
      <c r="O1786" t="str">
        <f>IFERROR(VLOOKUP(C1786,Customers!$A$2:$F$301,5,FALSE()),"")</f>
        <v>SMB</v>
      </c>
      <c r="P1786">
        <f>IFERROR(VLOOKUP(C1786,Customers!$A$2:$F$301,3,FALSE()),"")</f>
        <v>24</v>
      </c>
      <c r="Q1786">
        <f t="shared" si="81"/>
        <v>0.39508196721311473</v>
      </c>
      <c r="R1786">
        <f>IF(AND(COUNTIF($A$2:$A$2047,A1786)&gt;1,COUNTIF($A$2:A1786,A1786)=1),1,0)</f>
        <v>0</v>
      </c>
      <c r="S1786" t="b">
        <f>IFERROR(VLOOKUP(D1786,Products!$A$2:$F$61,6,FALSE()),"")</f>
        <v>0</v>
      </c>
      <c r="T1786" t="str">
        <f>IF(COUNTIF(Customers!$A$2:$A$301,C1786)=0,"Missing","OK")</f>
        <v>OK</v>
      </c>
      <c r="U1786" t="str">
        <f t="shared" si="82"/>
        <v>Pune</v>
      </c>
      <c r="V1786">
        <f t="shared" si="83"/>
        <v>0</v>
      </c>
    </row>
    <row r="1787" spans="1:22" ht="15" customHeight="1" x14ac:dyDescent="0.35">
      <c r="A1787" s="3" t="s">
        <v>2223</v>
      </c>
      <c r="B1787" s="4">
        <v>45388</v>
      </c>
      <c r="C1787" s="3" t="s">
        <v>344</v>
      </c>
      <c r="D1787" s="3" t="s">
        <v>96</v>
      </c>
      <c r="E1787" s="3" t="s">
        <v>60</v>
      </c>
      <c r="F1787" s="5">
        <v>6</v>
      </c>
      <c r="G1787" s="5">
        <v>3450</v>
      </c>
      <c r="H1787" s="5">
        <v>8.1999999999999993</v>
      </c>
      <c r="I1787" s="5">
        <v>19002.599999999999</v>
      </c>
      <c r="J1787" s="3" t="s">
        <v>26</v>
      </c>
      <c r="K1787" s="3" t="s">
        <v>33</v>
      </c>
      <c r="L1787" t="str">
        <f>IFERROR(VLOOKUP(D1787,Products!$A$2:$F$61,3,FALSE()),"")</f>
        <v>Beauty</v>
      </c>
      <c r="M1787" t="str">
        <f>IFERROR(VLOOKUP(E1787,Sales_Reps!$A$2:$C$31,3,FALSE()),"")</f>
        <v>East</v>
      </c>
      <c r="N1787">
        <f>IFERROR(VLOOKUP(D1787,Products!$A$2:$F$61,4,FALSE()),"")</f>
        <v>2420</v>
      </c>
      <c r="O1787" t="str">
        <f>IFERROR(VLOOKUP(C1787,Customers!$A$2:$F$301,5,FALSE()),"")</f>
        <v>Corporate</v>
      </c>
      <c r="P1787">
        <f>IFERROR(VLOOKUP(C1787,Customers!$A$2:$F$301,3,FALSE()),"")</f>
        <v>24</v>
      </c>
      <c r="Q1787">
        <f t="shared" si="81"/>
        <v>0.29855072463768118</v>
      </c>
      <c r="R1787">
        <f>IF(AND(COUNTIF($A$2:$A$2047,A1787)&gt;1,COUNTIF($A$2:A1787,A1787)=1),1,0)</f>
        <v>0</v>
      </c>
      <c r="S1787" t="b">
        <f>IFERROR(VLOOKUP(D1787,Products!$A$2:$F$61,6,FALSE()),"")</f>
        <v>1</v>
      </c>
      <c r="T1787" t="str">
        <f>IF(COUNTIF(Customers!$A$2:$A$301,C1787)=0,"Missing","OK")</f>
        <v>OK</v>
      </c>
      <c r="U1787" t="str">
        <f t="shared" si="82"/>
        <v>Chennai</v>
      </c>
      <c r="V1787">
        <f t="shared" si="83"/>
        <v>0</v>
      </c>
    </row>
    <row r="1788" spans="1:22" ht="15" customHeight="1" x14ac:dyDescent="0.35">
      <c r="A1788" s="3" t="s">
        <v>2224</v>
      </c>
      <c r="B1788" s="4">
        <v>45421</v>
      </c>
      <c r="C1788" s="3" t="s">
        <v>612</v>
      </c>
      <c r="D1788" s="3" t="s">
        <v>209</v>
      </c>
      <c r="E1788" s="3" t="s">
        <v>131</v>
      </c>
      <c r="F1788" s="5">
        <v>7</v>
      </c>
      <c r="G1788" s="5">
        <v>4610</v>
      </c>
      <c r="H1788" s="5">
        <v>10.4</v>
      </c>
      <c r="I1788" s="5">
        <v>28913.919999999998</v>
      </c>
      <c r="J1788" s="3" t="s">
        <v>26</v>
      </c>
      <c r="K1788" s="3" t="s">
        <v>51</v>
      </c>
      <c r="L1788" t="str">
        <f>IFERROR(VLOOKUP(D1788,Products!$A$2:$F$61,3,FALSE()),"")</f>
        <v>Home</v>
      </c>
      <c r="M1788" t="str">
        <f>IFERROR(VLOOKUP(E1788,Sales_Reps!$A$2:$C$31,3,FALSE()),"")</f>
        <v>East</v>
      </c>
      <c r="N1788">
        <f>IFERROR(VLOOKUP(D1788,Products!$A$2:$F$61,4,FALSE()),"")</f>
        <v>1850</v>
      </c>
      <c r="O1788" t="str">
        <f>IFERROR(VLOOKUP(C1788,Customers!$A$2:$F$301,5,FALSE()),"")</f>
        <v>Retail</v>
      </c>
      <c r="P1788">
        <f>IFERROR(VLOOKUP(C1788,Customers!$A$2:$F$301,3,FALSE()),"")</f>
        <v>35</v>
      </c>
      <c r="Q1788">
        <f t="shared" si="81"/>
        <v>0.59869848156182215</v>
      </c>
      <c r="R1788">
        <f>IF(AND(COUNTIF($A$2:$A$2047,A1788)&gt;1,COUNTIF($A$2:A1788,A1788)=1),1,0)</f>
        <v>0</v>
      </c>
      <c r="S1788" t="b">
        <f>IFERROR(VLOOKUP(D1788,Products!$A$2:$F$61,6,FALSE()),"")</f>
        <v>1</v>
      </c>
      <c r="T1788" t="str">
        <f>IF(COUNTIF(Customers!$A$2:$A$301,C1788)=0,"Missing","OK")</f>
        <v>OK</v>
      </c>
      <c r="U1788" t="str">
        <f t="shared" si="82"/>
        <v>Mumbai</v>
      </c>
      <c r="V1788">
        <f t="shared" si="83"/>
        <v>0</v>
      </c>
    </row>
    <row r="1789" spans="1:22" ht="15" customHeight="1" x14ac:dyDescent="0.35">
      <c r="A1789" s="3" t="s">
        <v>2225</v>
      </c>
      <c r="B1789" s="4">
        <v>45529</v>
      </c>
      <c r="C1789" s="3" t="s">
        <v>402</v>
      </c>
      <c r="D1789" s="3" t="s">
        <v>54</v>
      </c>
      <c r="E1789" s="3" t="s">
        <v>143</v>
      </c>
      <c r="F1789" s="5">
        <v>2</v>
      </c>
      <c r="G1789" s="5">
        <v>960</v>
      </c>
      <c r="H1789" s="5">
        <v>16.5</v>
      </c>
      <c r="I1789" s="5">
        <v>1603.2</v>
      </c>
      <c r="J1789" s="3" t="s">
        <v>26</v>
      </c>
      <c r="K1789" s="3" t="s">
        <v>56</v>
      </c>
      <c r="L1789" t="str">
        <f>IFERROR(VLOOKUP(D1789,Products!$A$2:$F$61,3,FALSE()),"")</f>
        <v>Sports</v>
      </c>
      <c r="M1789" t="str">
        <f>IFERROR(VLOOKUP(E1789,Sales_Reps!$A$2:$C$31,3,FALSE()),"")</f>
        <v>South</v>
      </c>
      <c r="N1789">
        <f>IFERROR(VLOOKUP(D1789,Products!$A$2:$F$61,4,FALSE()),"")</f>
        <v>705</v>
      </c>
      <c r="O1789" t="str">
        <f>IFERROR(VLOOKUP(C1789,Customers!$A$2:$F$301,5,FALSE()),"")</f>
        <v>Retail</v>
      </c>
      <c r="P1789">
        <f>IFERROR(VLOOKUP(C1789,Customers!$A$2:$F$301,3,FALSE()),"")</f>
        <v>55</v>
      </c>
      <c r="Q1789">
        <f t="shared" si="81"/>
        <v>0.265625</v>
      </c>
      <c r="R1789">
        <f>IF(AND(COUNTIF($A$2:$A$2047,A1789)&gt;1,COUNTIF($A$2:A1789,A1789)=1),1,0)</f>
        <v>0</v>
      </c>
      <c r="S1789" t="b">
        <f>IFERROR(VLOOKUP(D1789,Products!$A$2:$F$61,6,FALSE()),"")</f>
        <v>1</v>
      </c>
      <c r="T1789" t="str">
        <f>IF(COUNTIF(Customers!$A$2:$A$301,C1789)=0,"Missing","OK")</f>
        <v>OK</v>
      </c>
      <c r="U1789" t="str">
        <f t="shared" si="82"/>
        <v>Bengaluru</v>
      </c>
      <c r="V1789">
        <f t="shared" si="83"/>
        <v>0</v>
      </c>
    </row>
    <row r="1790" spans="1:22" ht="15" customHeight="1" x14ac:dyDescent="0.35">
      <c r="A1790" s="3" t="s">
        <v>2226</v>
      </c>
      <c r="B1790" s="4">
        <v>45553</v>
      </c>
      <c r="C1790" s="3" t="s">
        <v>361</v>
      </c>
      <c r="D1790" s="3" t="s">
        <v>49</v>
      </c>
      <c r="E1790" s="3" t="s">
        <v>93</v>
      </c>
      <c r="F1790" s="5">
        <v>7</v>
      </c>
      <c r="G1790" s="5">
        <v>370</v>
      </c>
      <c r="H1790" s="5">
        <v>1.4</v>
      </c>
      <c r="I1790" s="5">
        <v>2553.7399999999998</v>
      </c>
      <c r="J1790" s="3" t="s">
        <v>83</v>
      </c>
      <c r="K1790" s="3" t="s">
        <v>33</v>
      </c>
      <c r="L1790" t="str">
        <f>IFERROR(VLOOKUP(D1790,Products!$A$2:$F$61,3,FALSE()),"")</f>
        <v>Home</v>
      </c>
      <c r="M1790" t="str">
        <f>IFERROR(VLOOKUP(E1790,Sales_Reps!$A$2:$C$31,3,FALSE()),"")</f>
        <v>East</v>
      </c>
      <c r="N1790">
        <f>IFERROR(VLOOKUP(D1790,Products!$A$2:$F$61,4,FALSE()),"")</f>
        <v>288</v>
      </c>
      <c r="O1790" t="str">
        <f>IFERROR(VLOOKUP(C1790,Customers!$A$2:$F$301,5,FALSE()),"")</f>
        <v>SMB</v>
      </c>
      <c r="P1790">
        <f>IFERROR(VLOOKUP(C1790,Customers!$A$2:$F$301,3,FALSE()),"")</f>
        <v>64</v>
      </c>
      <c r="Q1790">
        <f t="shared" si="81"/>
        <v>0.22162162162162163</v>
      </c>
      <c r="R1790">
        <f>IF(AND(COUNTIF($A$2:$A$2047,A1790)&gt;1,COUNTIF($A$2:A1790,A1790)=1),1,0)</f>
        <v>0</v>
      </c>
      <c r="S1790" t="b">
        <f>IFERROR(VLOOKUP(D1790,Products!$A$2:$F$61,6,FALSE()),"")</f>
        <v>1</v>
      </c>
      <c r="T1790" t="str">
        <f>IF(COUNTIF(Customers!$A$2:$A$301,C1790)=0,"Missing","OK")</f>
        <v>OK</v>
      </c>
      <c r="U1790" t="str">
        <f t="shared" si="82"/>
        <v>Chennai</v>
      </c>
      <c r="V1790">
        <f t="shared" si="83"/>
        <v>0</v>
      </c>
    </row>
    <row r="1791" spans="1:22" ht="15" customHeight="1" x14ac:dyDescent="0.35">
      <c r="A1791" s="3" t="s">
        <v>2227</v>
      </c>
      <c r="B1791" s="4">
        <v>45535</v>
      </c>
      <c r="C1791" s="3" t="s">
        <v>560</v>
      </c>
      <c r="D1791" s="3" t="s">
        <v>70</v>
      </c>
      <c r="E1791" s="3" t="s">
        <v>78</v>
      </c>
      <c r="F1791" s="5">
        <v>3</v>
      </c>
      <c r="G1791" s="5">
        <v>2270</v>
      </c>
      <c r="H1791" s="5">
        <v>12.6</v>
      </c>
      <c r="I1791" s="5">
        <v>5951.94</v>
      </c>
      <c r="J1791" s="3" t="s">
        <v>26</v>
      </c>
      <c r="K1791" s="3" t="s">
        <v>33</v>
      </c>
      <c r="L1791" t="str">
        <f>IFERROR(VLOOKUP(D1791,Products!$A$2:$F$61,3,FALSE()),"")</f>
        <v>Grocery</v>
      </c>
      <c r="M1791" t="str">
        <f>IFERROR(VLOOKUP(E1791,Sales_Reps!$A$2:$C$31,3,FALSE()),"")</f>
        <v>North</v>
      </c>
      <c r="N1791">
        <f>IFERROR(VLOOKUP(D1791,Products!$A$2:$F$61,4,FALSE()),"")</f>
        <v>1203</v>
      </c>
      <c r="O1791" t="str">
        <f>IFERROR(VLOOKUP(C1791,Customers!$A$2:$F$301,5,FALSE()),"")</f>
        <v>Corporate</v>
      </c>
      <c r="P1791">
        <f>IFERROR(VLOOKUP(C1791,Customers!$A$2:$F$301,3,FALSE()),"")</f>
        <v>22</v>
      </c>
      <c r="Q1791">
        <f t="shared" si="81"/>
        <v>0.47004405286343615</v>
      </c>
      <c r="R1791">
        <f>IF(AND(COUNTIF($A$2:$A$2047,A1791)&gt;1,COUNTIF($A$2:A1791,A1791)=1),1,0)</f>
        <v>0</v>
      </c>
      <c r="S1791" t="b">
        <f>IFERROR(VLOOKUP(D1791,Products!$A$2:$F$61,6,FALSE()),"")</f>
        <v>1</v>
      </c>
      <c r="T1791" t="str">
        <f>IF(COUNTIF(Customers!$A$2:$A$301,C1791)=0,"Missing","OK")</f>
        <v>OK</v>
      </c>
      <c r="U1791" t="str">
        <f t="shared" si="82"/>
        <v>Chennai</v>
      </c>
      <c r="V1791">
        <f t="shared" si="83"/>
        <v>0</v>
      </c>
    </row>
    <row r="1792" spans="1:22" ht="15" customHeight="1" x14ac:dyDescent="0.35">
      <c r="A1792" s="3" t="s">
        <v>570</v>
      </c>
      <c r="B1792" s="4">
        <v>45301</v>
      </c>
      <c r="C1792" s="3" t="s">
        <v>1297</v>
      </c>
      <c r="D1792" s="3" t="s">
        <v>82</v>
      </c>
      <c r="E1792" s="3" t="s">
        <v>37</v>
      </c>
      <c r="F1792" s="5">
        <v>1</v>
      </c>
      <c r="G1792" s="5">
        <v>3250</v>
      </c>
      <c r="H1792" s="5">
        <v>17.8</v>
      </c>
      <c r="I1792" s="5">
        <v>2671.5</v>
      </c>
      <c r="J1792" s="3" t="s">
        <v>26</v>
      </c>
      <c r="K1792" s="3" t="s">
        <v>51</v>
      </c>
      <c r="L1792" t="str">
        <f>IFERROR(VLOOKUP(D1792,Products!$A$2:$F$61,3,FALSE()),"")</f>
        <v>Home</v>
      </c>
      <c r="M1792" t="str">
        <f>IFERROR(VLOOKUP(E1792,Sales_Reps!$A$2:$C$31,3,FALSE()),"")</f>
        <v>South</v>
      </c>
      <c r="N1792">
        <f>IFERROR(VLOOKUP(D1792,Products!$A$2:$F$61,4,FALSE()),"")</f>
        <v>1556</v>
      </c>
      <c r="O1792" t="str">
        <f>IFERROR(VLOOKUP(C1792,Customers!$A$2:$F$301,5,FALSE()),"")</f>
        <v>Corporate</v>
      </c>
      <c r="P1792">
        <f>IFERROR(VLOOKUP(C1792,Customers!$A$2:$F$301,3,FALSE()),"")</f>
        <v>42</v>
      </c>
      <c r="Q1792">
        <f t="shared" si="81"/>
        <v>0.52123076923076928</v>
      </c>
      <c r="R1792">
        <f>IF(AND(COUNTIF($A$2:$A$2047,A1792)&gt;1,COUNTIF($A$2:A1792,A1792)=1),1,0)</f>
        <v>0</v>
      </c>
      <c r="S1792" t="b">
        <f>IFERROR(VLOOKUP(D1792,Products!$A$2:$F$61,6,FALSE()),"")</f>
        <v>1</v>
      </c>
      <c r="T1792" t="str">
        <f>IF(COUNTIF(Customers!$A$2:$A$301,C1792)=0,"Missing","OK")</f>
        <v>OK</v>
      </c>
      <c r="U1792" t="str">
        <f t="shared" si="82"/>
        <v>Mumbai</v>
      </c>
      <c r="V1792">
        <f t="shared" si="83"/>
        <v>0</v>
      </c>
    </row>
    <row r="1793" spans="1:22" ht="15" customHeight="1" x14ac:dyDescent="0.35">
      <c r="A1793" s="3" t="s">
        <v>2228</v>
      </c>
      <c r="B1793" s="4">
        <v>45404</v>
      </c>
      <c r="C1793" s="3" t="s">
        <v>1814</v>
      </c>
      <c r="D1793" s="3" t="s">
        <v>231</v>
      </c>
      <c r="E1793" s="3" t="s">
        <v>242</v>
      </c>
      <c r="F1793" s="5">
        <v>5</v>
      </c>
      <c r="G1793" s="5">
        <v>620</v>
      </c>
      <c r="H1793" s="5">
        <v>19.399999999999999</v>
      </c>
      <c r="I1793" s="5">
        <v>2498.6</v>
      </c>
      <c r="J1793" s="3" t="s">
        <v>32</v>
      </c>
      <c r="K1793" s="3" t="s">
        <v>33</v>
      </c>
      <c r="L1793" t="str">
        <f>IFERROR(VLOOKUP(D1793,Products!$A$2:$F$61,3,FALSE()),"")</f>
        <v>Apparel</v>
      </c>
      <c r="M1793" t="str">
        <f>IFERROR(VLOOKUP(E1793,Sales_Reps!$A$2:$C$31,3,FALSE()),"")</f>
        <v>East</v>
      </c>
      <c r="N1793">
        <f>IFERROR(VLOOKUP(D1793,Products!$A$2:$F$61,4,FALSE()),"")</f>
        <v>396</v>
      </c>
      <c r="O1793" t="str">
        <f>IFERROR(VLOOKUP(C1793,Customers!$A$2:$F$301,5,FALSE()),"")</f>
        <v>Corporate</v>
      </c>
      <c r="P1793">
        <f>IFERROR(VLOOKUP(C1793,Customers!$A$2:$F$301,3,FALSE()),"")</f>
        <v>54</v>
      </c>
      <c r="Q1793">
        <f t="shared" si="81"/>
        <v>0.36129032258064514</v>
      </c>
      <c r="R1793">
        <f>IF(AND(COUNTIF($A$2:$A$2047,A1793)&gt;1,COUNTIF($A$2:A1793,A1793)=1),1,0)</f>
        <v>0</v>
      </c>
      <c r="S1793" t="b">
        <f>IFERROR(VLOOKUP(D1793,Products!$A$2:$F$61,6,FALSE()),"")</f>
        <v>1</v>
      </c>
      <c r="T1793" t="str">
        <f>IF(COUNTIF(Customers!$A$2:$A$301,C1793)=0,"Missing","OK")</f>
        <v>OK</v>
      </c>
      <c r="U1793" t="str">
        <f t="shared" si="82"/>
        <v>Chennai</v>
      </c>
      <c r="V1793">
        <f t="shared" si="83"/>
        <v>0</v>
      </c>
    </row>
    <row r="1794" spans="1:22" ht="15" customHeight="1" x14ac:dyDescent="0.35">
      <c r="A1794" s="3" t="s">
        <v>2229</v>
      </c>
      <c r="B1794" s="4">
        <v>45600</v>
      </c>
      <c r="C1794" s="3" t="s">
        <v>329</v>
      </c>
      <c r="D1794" s="3" t="s">
        <v>218</v>
      </c>
      <c r="E1794" s="3" t="s">
        <v>31</v>
      </c>
      <c r="F1794" s="5">
        <v>6</v>
      </c>
      <c r="G1794" s="5">
        <v>2660</v>
      </c>
      <c r="H1794" s="5">
        <v>14.9</v>
      </c>
      <c r="I1794" s="5">
        <v>13581.96</v>
      </c>
      <c r="J1794" s="3" t="s">
        <v>26</v>
      </c>
      <c r="K1794" s="3" t="s">
        <v>27</v>
      </c>
      <c r="L1794" t="str">
        <f>IFERROR(VLOOKUP(D1794,Products!$A$2:$F$61,3,FALSE()),"")</f>
        <v>Electronics</v>
      </c>
      <c r="M1794" t="str">
        <f>IFERROR(VLOOKUP(E1794,Sales_Reps!$A$2:$C$31,3,FALSE()),"")</f>
        <v>North</v>
      </c>
      <c r="N1794">
        <f>IFERROR(VLOOKUP(D1794,Products!$A$2:$F$61,4,FALSE()),"")</f>
        <v>1259</v>
      </c>
      <c r="O1794" t="str">
        <f>IFERROR(VLOOKUP(C1794,Customers!$A$2:$F$301,5,FALSE()),"")</f>
        <v>SMB</v>
      </c>
      <c r="P1794">
        <f>IFERROR(VLOOKUP(C1794,Customers!$A$2:$F$301,3,FALSE()),"")</f>
        <v>54</v>
      </c>
      <c r="Q1794">
        <f t="shared" ref="Q1794:Q1857" si="84">IFERROR((G1794-N1794)/G1794,"")</f>
        <v>0.52669172932330832</v>
      </c>
      <c r="R1794">
        <f>IF(AND(COUNTIF($A$2:$A$2047,A1794)&gt;1,COUNTIF($A$2:A1794,A1794)=1),1,0)</f>
        <v>0</v>
      </c>
      <c r="S1794" t="b">
        <f>IFERROR(VLOOKUP(D1794,Products!$A$2:$F$61,6,FALSE()),"")</f>
        <v>0</v>
      </c>
      <c r="T1794" t="str">
        <f>IF(COUNTIF(Customers!$A$2:$A$301,C1794)=0,"Missing","OK")</f>
        <v>OK</v>
      </c>
      <c r="U1794" t="str">
        <f t="shared" ref="U1794:U1857" si="85">IF(K1794="","",PROPER(TRIM(K1794)))</f>
        <v>Pune</v>
      </c>
      <c r="V1794">
        <f t="shared" ref="V1794:V1857" si="86">IF(AND(U1794="Bengaluru",L1794="Grocery"),I1794,0)</f>
        <v>0</v>
      </c>
    </row>
    <row r="1795" spans="1:22" ht="15" customHeight="1" x14ac:dyDescent="0.35">
      <c r="A1795" s="3" t="s">
        <v>2230</v>
      </c>
      <c r="B1795" s="4">
        <v>45526</v>
      </c>
      <c r="C1795" s="3" t="s">
        <v>809</v>
      </c>
      <c r="D1795" s="3" t="s">
        <v>24</v>
      </c>
      <c r="E1795" s="3" t="s">
        <v>154</v>
      </c>
      <c r="F1795" s="5">
        <v>5</v>
      </c>
      <c r="G1795" s="5">
        <v>3620</v>
      </c>
      <c r="H1795" s="5">
        <v>21</v>
      </c>
      <c r="I1795" s="5">
        <v>14299</v>
      </c>
      <c r="J1795" s="3" t="s">
        <v>79</v>
      </c>
      <c r="K1795" s="3" t="s">
        <v>56</v>
      </c>
      <c r="L1795" t="str">
        <f>IFERROR(VLOOKUP(D1795,Products!$A$2:$F$61,3,FALSE()),"")</f>
        <v>Apparel</v>
      </c>
      <c r="M1795" t="str">
        <f>IFERROR(VLOOKUP(E1795,Sales_Reps!$A$2:$C$31,3,FALSE()),"")</f>
        <v>North</v>
      </c>
      <c r="N1795">
        <f>IFERROR(VLOOKUP(D1795,Products!$A$2:$F$61,4,FALSE()),"")</f>
        <v>2509</v>
      </c>
      <c r="O1795" t="str">
        <f>IFERROR(VLOOKUP(C1795,Customers!$A$2:$F$301,5,FALSE()),"")</f>
        <v>Retail</v>
      </c>
      <c r="P1795">
        <f>IFERROR(VLOOKUP(C1795,Customers!$A$2:$F$301,3,FALSE()),"")</f>
        <v>47</v>
      </c>
      <c r="Q1795">
        <f t="shared" si="84"/>
        <v>0.3069060773480663</v>
      </c>
      <c r="R1795">
        <f>IF(AND(COUNTIF($A$2:$A$2047,A1795)&gt;1,COUNTIF($A$2:A1795,A1795)=1),1,0)</f>
        <v>0</v>
      </c>
      <c r="S1795" t="b">
        <f>IFERROR(VLOOKUP(D1795,Products!$A$2:$F$61,6,FALSE()),"")</f>
        <v>1</v>
      </c>
      <c r="T1795" t="str">
        <f>IF(COUNTIF(Customers!$A$2:$A$301,C1795)=0,"Missing","OK")</f>
        <v>OK</v>
      </c>
      <c r="U1795" t="str">
        <f t="shared" si="85"/>
        <v>Bengaluru</v>
      </c>
      <c r="V1795">
        <f t="shared" si="86"/>
        <v>0</v>
      </c>
    </row>
    <row r="1796" spans="1:22" ht="15" customHeight="1" x14ac:dyDescent="0.35">
      <c r="A1796" s="3" t="s">
        <v>2231</v>
      </c>
      <c r="B1796" s="4">
        <v>45580</v>
      </c>
      <c r="C1796" s="3" t="s">
        <v>1603</v>
      </c>
      <c r="D1796" s="3" t="s">
        <v>176</v>
      </c>
      <c r="E1796" s="3" t="s">
        <v>97</v>
      </c>
      <c r="F1796" s="5">
        <v>1</v>
      </c>
      <c r="G1796" s="5">
        <v>3640</v>
      </c>
      <c r="H1796" s="5">
        <v>15.8</v>
      </c>
      <c r="I1796" s="5">
        <v>3064.88</v>
      </c>
      <c r="J1796" s="3" t="s">
        <v>26</v>
      </c>
      <c r="K1796" s="3" t="s">
        <v>56</v>
      </c>
      <c r="L1796" t="str">
        <f>IFERROR(VLOOKUP(D1796,Products!$A$2:$F$61,3,FALSE()),"")</f>
        <v>Apparel</v>
      </c>
      <c r="M1796" t="str">
        <f>IFERROR(VLOOKUP(E1796,Sales_Reps!$A$2:$C$31,3,FALSE()),"")</f>
        <v>East</v>
      </c>
      <c r="N1796">
        <f>IFERROR(VLOOKUP(D1796,Products!$A$2:$F$61,4,FALSE()),"")</f>
        <v>2611</v>
      </c>
      <c r="O1796" t="str">
        <f>IFERROR(VLOOKUP(C1796,Customers!$A$2:$F$301,5,FALSE()),"")</f>
        <v>Retail</v>
      </c>
      <c r="P1796">
        <f>IFERROR(VLOOKUP(C1796,Customers!$A$2:$F$301,3,FALSE()),"")</f>
        <v>48</v>
      </c>
      <c r="Q1796">
        <f t="shared" si="84"/>
        <v>0.28269230769230769</v>
      </c>
      <c r="R1796">
        <f>IF(AND(COUNTIF($A$2:$A$2047,A1796)&gt;1,COUNTIF($A$2:A1796,A1796)=1),1,0)</f>
        <v>0</v>
      </c>
      <c r="S1796" t="b">
        <f>IFERROR(VLOOKUP(D1796,Products!$A$2:$F$61,6,FALSE()),"")</f>
        <v>1</v>
      </c>
      <c r="T1796" t="str">
        <f>IF(COUNTIF(Customers!$A$2:$A$301,C1796)=0,"Missing","OK")</f>
        <v>OK</v>
      </c>
      <c r="U1796" t="str">
        <f t="shared" si="85"/>
        <v>Bengaluru</v>
      </c>
      <c r="V1796">
        <f t="shared" si="86"/>
        <v>0</v>
      </c>
    </row>
    <row r="1797" spans="1:22" ht="15" customHeight="1" x14ac:dyDescent="0.35">
      <c r="A1797" s="3" t="s">
        <v>2232</v>
      </c>
      <c r="B1797" s="4">
        <v>45444</v>
      </c>
      <c r="C1797" s="3" t="s">
        <v>701</v>
      </c>
      <c r="D1797" s="3" t="s">
        <v>206</v>
      </c>
      <c r="E1797" s="3" t="s">
        <v>25</v>
      </c>
      <c r="F1797" s="5">
        <v>1</v>
      </c>
      <c r="G1797" s="5">
        <v>1220</v>
      </c>
      <c r="H1797" s="5">
        <v>0.6</v>
      </c>
      <c r="I1797" s="5">
        <v>1212.68</v>
      </c>
      <c r="J1797" s="3" t="s">
        <v>83</v>
      </c>
      <c r="K1797" s="3" t="s">
        <v>72</v>
      </c>
      <c r="L1797" t="str">
        <f>IFERROR(VLOOKUP(D1797,Products!$A$2:$F$61,3,FALSE()),"")</f>
        <v>Electronics</v>
      </c>
      <c r="M1797" t="str">
        <f>IFERROR(VLOOKUP(E1797,Sales_Reps!$A$2:$C$31,3,FALSE()),"")</f>
        <v>North</v>
      </c>
      <c r="N1797">
        <f>IFERROR(VLOOKUP(D1797,Products!$A$2:$F$61,4,FALSE()),"")</f>
        <v>517</v>
      </c>
      <c r="O1797" t="str">
        <f>IFERROR(VLOOKUP(C1797,Customers!$A$2:$F$301,5,FALSE()),"")</f>
        <v>Retail</v>
      </c>
      <c r="P1797">
        <f>IFERROR(VLOOKUP(C1797,Customers!$A$2:$F$301,3,FALSE()),"")</f>
        <v>52</v>
      </c>
      <c r="Q1797">
        <f t="shared" si="84"/>
        <v>0.57622950819672136</v>
      </c>
      <c r="R1797">
        <f>IF(AND(COUNTIF($A$2:$A$2047,A1797)&gt;1,COUNTIF($A$2:A1797,A1797)=1),1,0)</f>
        <v>0</v>
      </c>
      <c r="S1797" t="b">
        <f>IFERROR(VLOOKUP(D1797,Products!$A$2:$F$61,6,FALSE()),"")</f>
        <v>1</v>
      </c>
      <c r="T1797" t="str">
        <f>IF(COUNTIF(Customers!$A$2:$A$301,C1797)=0,"Missing","OK")</f>
        <v>OK</v>
      </c>
      <c r="U1797" t="str">
        <f t="shared" si="85"/>
        <v>Hyderabad</v>
      </c>
      <c r="V1797">
        <f t="shared" si="86"/>
        <v>0</v>
      </c>
    </row>
    <row r="1798" spans="1:22" ht="15" customHeight="1" x14ac:dyDescent="0.35">
      <c r="A1798" s="3" t="s">
        <v>2233</v>
      </c>
      <c r="B1798" s="4">
        <v>45350</v>
      </c>
      <c r="C1798" s="3" t="s">
        <v>92</v>
      </c>
      <c r="D1798" s="3" t="s">
        <v>106</v>
      </c>
      <c r="E1798" s="3" t="s">
        <v>236</v>
      </c>
      <c r="F1798" s="5">
        <v>10</v>
      </c>
      <c r="G1798" s="5">
        <v>2480</v>
      </c>
      <c r="H1798" s="5">
        <v>0.6</v>
      </c>
      <c r="I1798" s="5">
        <v>24651.200000000001</v>
      </c>
      <c r="J1798" s="3" t="s">
        <v>26</v>
      </c>
      <c r="K1798" s="3" t="s">
        <v>56</v>
      </c>
      <c r="L1798" t="str">
        <f>IFERROR(VLOOKUP(D1798,Products!$A$2:$F$61,3,FALSE()),"")</f>
        <v>Apparel</v>
      </c>
      <c r="M1798" t="str">
        <f>IFERROR(VLOOKUP(E1798,Sales_Reps!$A$2:$C$31,3,FALSE()),"")</f>
        <v>North</v>
      </c>
      <c r="N1798">
        <f>IFERROR(VLOOKUP(D1798,Products!$A$2:$F$61,4,FALSE()),"")</f>
        <v>1173</v>
      </c>
      <c r="O1798" t="str">
        <f>IFERROR(VLOOKUP(C1798,Customers!$A$2:$F$301,5,FALSE()),"")</f>
        <v>SMB</v>
      </c>
      <c r="P1798">
        <f>IFERROR(VLOOKUP(C1798,Customers!$A$2:$F$301,3,FALSE()),"")</f>
        <v>46</v>
      </c>
      <c r="Q1798">
        <f t="shared" si="84"/>
        <v>0.52701612903225803</v>
      </c>
      <c r="R1798">
        <f>IF(AND(COUNTIF($A$2:$A$2047,A1798)&gt;1,COUNTIF($A$2:A1798,A1798)=1),1,0)</f>
        <v>0</v>
      </c>
      <c r="S1798" t="b">
        <f>IFERROR(VLOOKUP(D1798,Products!$A$2:$F$61,6,FALSE()),"")</f>
        <v>1</v>
      </c>
      <c r="T1798" t="str">
        <f>IF(COUNTIF(Customers!$A$2:$A$301,C1798)=0,"Missing","OK")</f>
        <v>OK</v>
      </c>
      <c r="U1798" t="str">
        <f t="shared" si="85"/>
        <v>Bengaluru</v>
      </c>
      <c r="V1798">
        <f t="shared" si="86"/>
        <v>0</v>
      </c>
    </row>
    <row r="1799" spans="1:22" ht="15" customHeight="1" x14ac:dyDescent="0.35">
      <c r="A1799" s="3" t="s">
        <v>2234</v>
      </c>
      <c r="B1799" s="4">
        <v>45634</v>
      </c>
      <c r="C1799" s="3" t="s">
        <v>541</v>
      </c>
      <c r="D1799" s="3" t="s">
        <v>115</v>
      </c>
      <c r="E1799" s="3" t="s">
        <v>282</v>
      </c>
      <c r="F1799" s="5">
        <v>9</v>
      </c>
      <c r="G1799" s="5">
        <v>1650</v>
      </c>
      <c r="H1799" s="5">
        <v>26.8</v>
      </c>
      <c r="I1799" s="5">
        <v>10870.2</v>
      </c>
      <c r="J1799" s="3" t="s">
        <v>26</v>
      </c>
      <c r="K1799" s="3" t="s">
        <v>33</v>
      </c>
      <c r="L1799" t="str">
        <f>IFERROR(VLOOKUP(D1799,Products!$A$2:$F$61,3,FALSE()),"")</f>
        <v>Beauty</v>
      </c>
      <c r="M1799" t="str">
        <f>IFERROR(VLOOKUP(E1799,Sales_Reps!$A$2:$C$31,3,FALSE()),"")</f>
        <v>West</v>
      </c>
      <c r="N1799">
        <f>IFERROR(VLOOKUP(D1799,Products!$A$2:$F$61,4,FALSE()),"")</f>
        <v>1222</v>
      </c>
      <c r="O1799" t="str">
        <f>IFERROR(VLOOKUP(C1799,Customers!$A$2:$F$301,5,FALSE()),"")</f>
        <v>Retail</v>
      </c>
      <c r="P1799">
        <f>IFERROR(VLOOKUP(C1799,Customers!$A$2:$F$301,3,FALSE()),"")</f>
        <v>61</v>
      </c>
      <c r="Q1799">
        <f t="shared" si="84"/>
        <v>0.2593939393939394</v>
      </c>
      <c r="R1799">
        <f>IF(AND(COUNTIF($A$2:$A$2047,A1799)&gt;1,COUNTIF($A$2:A1799,A1799)=1),1,0)</f>
        <v>0</v>
      </c>
      <c r="S1799" t="b">
        <f>IFERROR(VLOOKUP(D1799,Products!$A$2:$F$61,6,FALSE()),"")</f>
        <v>1</v>
      </c>
      <c r="T1799" t="str">
        <f>IF(COUNTIF(Customers!$A$2:$A$301,C1799)=0,"Missing","OK")</f>
        <v>OK</v>
      </c>
      <c r="U1799" t="str">
        <f t="shared" si="85"/>
        <v>Chennai</v>
      </c>
      <c r="V1799">
        <f t="shared" si="86"/>
        <v>0</v>
      </c>
    </row>
    <row r="1800" spans="1:22" ht="15" customHeight="1" x14ac:dyDescent="0.35">
      <c r="A1800" s="3" t="s">
        <v>2235</v>
      </c>
      <c r="B1800" s="4">
        <v>45560</v>
      </c>
      <c r="C1800" s="3" t="s">
        <v>656</v>
      </c>
      <c r="D1800" s="3" t="s">
        <v>215</v>
      </c>
      <c r="E1800" s="3" t="s">
        <v>46</v>
      </c>
      <c r="F1800" s="5">
        <v>10</v>
      </c>
      <c r="G1800" s="5">
        <v>3020</v>
      </c>
      <c r="H1800" s="5">
        <v>2.6</v>
      </c>
      <c r="I1800" s="5">
        <v>29414.799999999999</v>
      </c>
      <c r="J1800" s="3" t="s">
        <v>26</v>
      </c>
      <c r="K1800" s="3" t="s">
        <v>33</v>
      </c>
      <c r="L1800" t="str">
        <f>IFERROR(VLOOKUP(D1800,Products!$A$2:$F$61,3,FALSE()),"")</f>
        <v>Beauty</v>
      </c>
      <c r="M1800" t="str">
        <f>IFERROR(VLOOKUP(E1800,Sales_Reps!$A$2:$C$31,3,FALSE()),"")</f>
        <v>North</v>
      </c>
      <c r="N1800">
        <f>IFERROR(VLOOKUP(D1800,Products!$A$2:$F$61,4,FALSE()),"")</f>
        <v>1626</v>
      </c>
      <c r="O1800" t="str">
        <f>IFERROR(VLOOKUP(C1800,Customers!$A$2:$F$301,5,FALSE()),"")</f>
        <v>Retail</v>
      </c>
      <c r="P1800">
        <f>IFERROR(VLOOKUP(C1800,Customers!$A$2:$F$301,3,FALSE()),"")</f>
        <v>24</v>
      </c>
      <c r="Q1800">
        <f t="shared" si="84"/>
        <v>0.46158940397350995</v>
      </c>
      <c r="R1800">
        <f>IF(AND(COUNTIF($A$2:$A$2047,A1800)&gt;1,COUNTIF($A$2:A1800,A1800)=1),1,0)</f>
        <v>0</v>
      </c>
      <c r="S1800" t="b">
        <f>IFERROR(VLOOKUP(D1800,Products!$A$2:$F$61,6,FALSE()),"")</f>
        <v>1</v>
      </c>
      <c r="T1800" t="str">
        <f>IF(COUNTIF(Customers!$A$2:$A$301,C1800)=0,"Missing","OK")</f>
        <v>OK</v>
      </c>
      <c r="U1800" t="str">
        <f t="shared" si="85"/>
        <v>Chennai</v>
      </c>
      <c r="V1800">
        <f t="shared" si="86"/>
        <v>0</v>
      </c>
    </row>
    <row r="1801" spans="1:22" ht="15" customHeight="1" x14ac:dyDescent="0.35">
      <c r="A1801" s="3" t="s">
        <v>2236</v>
      </c>
      <c r="B1801" s="4">
        <v>45544</v>
      </c>
      <c r="C1801" s="3" t="s">
        <v>809</v>
      </c>
      <c r="D1801" s="3" t="s">
        <v>391</v>
      </c>
      <c r="E1801" s="3" t="s">
        <v>37</v>
      </c>
      <c r="F1801" s="5">
        <v>5</v>
      </c>
      <c r="G1801" s="5">
        <v>3450</v>
      </c>
      <c r="H1801" s="5">
        <v>25.3</v>
      </c>
      <c r="I1801" s="5">
        <v>12885.75</v>
      </c>
      <c r="J1801" s="3" t="s">
        <v>26</v>
      </c>
      <c r="K1801" s="3" t="s">
        <v>56</v>
      </c>
      <c r="L1801" t="str">
        <f>IFERROR(VLOOKUP(D1801,Products!$A$2:$F$61,3,FALSE()),"")</f>
        <v>Apparel</v>
      </c>
      <c r="M1801" t="str">
        <f>IFERROR(VLOOKUP(E1801,Sales_Reps!$A$2:$C$31,3,FALSE()),"")</f>
        <v>South</v>
      </c>
      <c r="N1801">
        <f>IFERROR(VLOOKUP(D1801,Products!$A$2:$F$61,4,FALSE()),"")</f>
        <v>1748</v>
      </c>
      <c r="O1801" t="str">
        <f>IFERROR(VLOOKUP(C1801,Customers!$A$2:$F$301,5,FALSE()),"")</f>
        <v>Retail</v>
      </c>
      <c r="P1801">
        <f>IFERROR(VLOOKUP(C1801,Customers!$A$2:$F$301,3,FALSE()),"")</f>
        <v>47</v>
      </c>
      <c r="Q1801">
        <f t="shared" si="84"/>
        <v>0.49333333333333335</v>
      </c>
      <c r="R1801">
        <f>IF(AND(COUNTIF($A$2:$A$2047,A1801)&gt;1,COUNTIF($A$2:A1801,A1801)=1),1,0)</f>
        <v>0</v>
      </c>
      <c r="S1801" t="b">
        <f>IFERROR(VLOOKUP(D1801,Products!$A$2:$F$61,6,FALSE()),"")</f>
        <v>1</v>
      </c>
      <c r="T1801" t="str">
        <f>IF(COUNTIF(Customers!$A$2:$A$301,C1801)=0,"Missing","OK")</f>
        <v>OK</v>
      </c>
      <c r="U1801" t="str">
        <f t="shared" si="85"/>
        <v>Bengaluru</v>
      </c>
      <c r="V1801">
        <f t="shared" si="86"/>
        <v>0</v>
      </c>
    </row>
    <row r="1802" spans="1:22" ht="15" customHeight="1" x14ac:dyDescent="0.35">
      <c r="A1802" s="3" t="s">
        <v>2237</v>
      </c>
      <c r="B1802" s="4">
        <v>45457</v>
      </c>
      <c r="C1802" s="3" t="s">
        <v>147</v>
      </c>
      <c r="D1802" s="3" t="s">
        <v>206</v>
      </c>
      <c r="E1802" s="3" t="s">
        <v>60</v>
      </c>
      <c r="F1802" s="5">
        <v>7</v>
      </c>
      <c r="G1802" s="5">
        <v>1220</v>
      </c>
      <c r="H1802" s="5">
        <v>13.1</v>
      </c>
      <c r="I1802" s="5">
        <v>7421.26</v>
      </c>
      <c r="J1802" s="3" t="s">
        <v>26</v>
      </c>
      <c r="K1802" s="3" t="s">
        <v>72</v>
      </c>
      <c r="L1802" t="str">
        <f>IFERROR(VLOOKUP(D1802,Products!$A$2:$F$61,3,FALSE()),"")</f>
        <v>Electronics</v>
      </c>
      <c r="M1802" t="str">
        <f>IFERROR(VLOOKUP(E1802,Sales_Reps!$A$2:$C$31,3,FALSE()),"")</f>
        <v>East</v>
      </c>
      <c r="N1802">
        <f>IFERROR(VLOOKUP(D1802,Products!$A$2:$F$61,4,FALSE()),"")</f>
        <v>517</v>
      </c>
      <c r="O1802" t="str">
        <f>IFERROR(VLOOKUP(C1802,Customers!$A$2:$F$301,5,FALSE()),"")</f>
        <v>Retail</v>
      </c>
      <c r="P1802">
        <f>IFERROR(VLOOKUP(C1802,Customers!$A$2:$F$301,3,FALSE()),"")</f>
        <v>26</v>
      </c>
      <c r="Q1802">
        <f t="shared" si="84"/>
        <v>0.57622950819672136</v>
      </c>
      <c r="R1802">
        <f>IF(AND(COUNTIF($A$2:$A$2047,A1802)&gt;1,COUNTIF($A$2:A1802,A1802)=1),1,0)</f>
        <v>0</v>
      </c>
      <c r="S1802" t="b">
        <f>IFERROR(VLOOKUP(D1802,Products!$A$2:$F$61,6,FALSE()),"")</f>
        <v>1</v>
      </c>
      <c r="T1802" t="str">
        <f>IF(COUNTIF(Customers!$A$2:$A$301,C1802)=0,"Missing","OK")</f>
        <v>OK</v>
      </c>
      <c r="U1802" t="str">
        <f t="shared" si="85"/>
        <v>Hyderabad</v>
      </c>
      <c r="V1802">
        <f t="shared" si="86"/>
        <v>0</v>
      </c>
    </row>
    <row r="1803" spans="1:22" ht="15" customHeight="1" x14ac:dyDescent="0.35">
      <c r="A1803" s="3" t="s">
        <v>2238</v>
      </c>
      <c r="B1803" s="4">
        <v>45578</v>
      </c>
      <c r="C1803" s="3" t="s">
        <v>145</v>
      </c>
      <c r="D1803" s="3" t="s">
        <v>173</v>
      </c>
      <c r="E1803" s="3" t="s">
        <v>31</v>
      </c>
      <c r="F1803" s="5">
        <v>10</v>
      </c>
      <c r="G1803" s="5">
        <v>3780</v>
      </c>
      <c r="H1803" s="5">
        <v>23.7</v>
      </c>
      <c r="I1803" s="5">
        <v>28841.4</v>
      </c>
      <c r="J1803" s="3" t="s">
        <v>26</v>
      </c>
      <c r="K1803" s="3" t="s">
        <v>72</v>
      </c>
      <c r="L1803" t="str">
        <f>IFERROR(VLOOKUP(D1803,Products!$A$2:$F$61,3,FALSE()),"")</f>
        <v>Grocery</v>
      </c>
      <c r="M1803" t="str">
        <f>IFERROR(VLOOKUP(E1803,Sales_Reps!$A$2:$C$31,3,FALSE()),"")</f>
        <v>North</v>
      </c>
      <c r="N1803">
        <f>IFERROR(VLOOKUP(D1803,Products!$A$2:$F$61,4,FALSE()),"")</f>
        <v>2436</v>
      </c>
      <c r="O1803" t="str">
        <f>IFERROR(VLOOKUP(C1803,Customers!$A$2:$F$301,5,FALSE()),"")</f>
        <v>SMB</v>
      </c>
      <c r="P1803">
        <f>IFERROR(VLOOKUP(C1803,Customers!$A$2:$F$301,3,FALSE()),"")</f>
        <v>40</v>
      </c>
      <c r="Q1803">
        <f t="shared" si="84"/>
        <v>0.35555555555555557</v>
      </c>
      <c r="R1803">
        <f>IF(AND(COUNTIF($A$2:$A$2047,A1803)&gt;1,COUNTIF($A$2:A1803,A1803)=1),1,0)</f>
        <v>0</v>
      </c>
      <c r="S1803" t="b">
        <f>IFERROR(VLOOKUP(D1803,Products!$A$2:$F$61,6,FALSE()),"")</f>
        <v>1</v>
      </c>
      <c r="T1803" t="str">
        <f>IF(COUNTIF(Customers!$A$2:$A$301,C1803)=0,"Missing","OK")</f>
        <v>OK</v>
      </c>
      <c r="U1803" t="str">
        <f t="shared" si="85"/>
        <v>Hyderabad</v>
      </c>
      <c r="V1803">
        <f t="shared" si="86"/>
        <v>0</v>
      </c>
    </row>
    <row r="1804" spans="1:22" ht="15" customHeight="1" x14ac:dyDescent="0.35">
      <c r="A1804" s="3" t="s">
        <v>2239</v>
      </c>
      <c r="B1804" s="4">
        <v>45405</v>
      </c>
      <c r="C1804" s="3" t="s">
        <v>359</v>
      </c>
      <c r="D1804" s="3" t="s">
        <v>218</v>
      </c>
      <c r="E1804" s="3" t="s">
        <v>236</v>
      </c>
      <c r="F1804" s="5">
        <v>8</v>
      </c>
      <c r="G1804" s="5">
        <v>2660</v>
      </c>
      <c r="H1804" s="5">
        <v>16.100000000000001</v>
      </c>
      <c r="I1804" s="5">
        <v>17853.919999999998</v>
      </c>
      <c r="J1804" s="3" t="s">
        <v>26</v>
      </c>
      <c r="K1804" s="3" t="s">
        <v>38</v>
      </c>
      <c r="L1804" t="str">
        <f>IFERROR(VLOOKUP(D1804,Products!$A$2:$F$61,3,FALSE()),"")</f>
        <v>Electronics</v>
      </c>
      <c r="M1804" t="str">
        <f>IFERROR(VLOOKUP(E1804,Sales_Reps!$A$2:$C$31,3,FALSE()),"")</f>
        <v>North</v>
      </c>
      <c r="N1804">
        <f>IFERROR(VLOOKUP(D1804,Products!$A$2:$F$61,4,FALSE()),"")</f>
        <v>1259</v>
      </c>
      <c r="O1804" t="str">
        <f>IFERROR(VLOOKUP(C1804,Customers!$A$2:$F$301,5,FALSE()),"")</f>
        <v>Retail</v>
      </c>
      <c r="P1804">
        <f>IFERROR(VLOOKUP(C1804,Customers!$A$2:$F$301,3,FALSE()),"")</f>
        <v>44</v>
      </c>
      <c r="Q1804">
        <f t="shared" si="84"/>
        <v>0.52669172932330832</v>
      </c>
      <c r="R1804">
        <f>IF(AND(COUNTIF($A$2:$A$2047,A1804)&gt;1,COUNTIF($A$2:A1804,A1804)=1),1,0)</f>
        <v>0</v>
      </c>
      <c r="S1804" t="b">
        <f>IFERROR(VLOOKUP(D1804,Products!$A$2:$F$61,6,FALSE()),"")</f>
        <v>0</v>
      </c>
      <c r="T1804" t="str">
        <f>IF(COUNTIF(Customers!$A$2:$A$301,C1804)=0,"Missing","OK")</f>
        <v>OK</v>
      </c>
      <c r="U1804" t="str">
        <f t="shared" si="85"/>
        <v>Delhi</v>
      </c>
      <c r="V1804">
        <f t="shared" si="86"/>
        <v>0</v>
      </c>
    </row>
    <row r="1805" spans="1:22" ht="15" customHeight="1" x14ac:dyDescent="0.35">
      <c r="A1805" s="3" t="s">
        <v>2240</v>
      </c>
      <c r="B1805" s="4">
        <v>45338</v>
      </c>
      <c r="C1805" s="3" t="s">
        <v>251</v>
      </c>
      <c r="D1805" s="3" t="s">
        <v>441</v>
      </c>
      <c r="E1805" s="3" t="s">
        <v>46</v>
      </c>
      <c r="F1805" s="5">
        <v>6</v>
      </c>
      <c r="G1805" s="5">
        <v>1090</v>
      </c>
      <c r="H1805" s="5">
        <v>20</v>
      </c>
      <c r="I1805" s="5">
        <v>5232</v>
      </c>
      <c r="J1805" s="3" t="s">
        <v>32</v>
      </c>
      <c r="K1805" s="3" t="s">
        <v>72</v>
      </c>
      <c r="L1805" t="str">
        <f>IFERROR(VLOOKUP(D1805,Products!$A$2:$F$61,3,FALSE()),"")</f>
        <v>Home</v>
      </c>
      <c r="M1805" t="str">
        <f>IFERROR(VLOOKUP(E1805,Sales_Reps!$A$2:$C$31,3,FALSE()),"")</f>
        <v>North</v>
      </c>
      <c r="N1805">
        <f>IFERROR(VLOOKUP(D1805,Products!$A$2:$F$61,4,FALSE()),"")</f>
        <v>464</v>
      </c>
      <c r="O1805" t="str">
        <f>IFERROR(VLOOKUP(C1805,Customers!$A$2:$F$301,5,FALSE()),"")</f>
        <v>Retail</v>
      </c>
      <c r="P1805">
        <f>IFERROR(VLOOKUP(C1805,Customers!$A$2:$F$301,3,FALSE()),"")</f>
        <v>46</v>
      </c>
      <c r="Q1805">
        <f t="shared" si="84"/>
        <v>0.57431192660550456</v>
      </c>
      <c r="R1805">
        <f>IF(AND(COUNTIF($A$2:$A$2047,A1805)&gt;1,COUNTIF($A$2:A1805,A1805)=1),1,0)</f>
        <v>0</v>
      </c>
      <c r="S1805" t="b">
        <f>IFERROR(VLOOKUP(D1805,Products!$A$2:$F$61,6,FALSE()),"")</f>
        <v>1</v>
      </c>
      <c r="T1805" t="str">
        <f>IF(COUNTIF(Customers!$A$2:$A$301,C1805)=0,"Missing","OK")</f>
        <v>OK</v>
      </c>
      <c r="U1805" t="str">
        <f t="shared" si="85"/>
        <v>Hyderabad</v>
      </c>
      <c r="V1805">
        <f t="shared" si="86"/>
        <v>0</v>
      </c>
    </row>
    <row r="1806" spans="1:22" ht="15" customHeight="1" x14ac:dyDescent="0.35">
      <c r="A1806" s="3" t="s">
        <v>2241</v>
      </c>
      <c r="B1806" s="4">
        <v>45324</v>
      </c>
      <c r="C1806" s="3" t="s">
        <v>2242</v>
      </c>
      <c r="D1806" s="3" t="s">
        <v>142</v>
      </c>
      <c r="E1806" s="3" t="s">
        <v>285</v>
      </c>
      <c r="F1806" s="5">
        <v>2</v>
      </c>
      <c r="G1806" s="5">
        <v>660</v>
      </c>
      <c r="H1806" s="5">
        <v>18.7</v>
      </c>
      <c r="I1806" s="5">
        <v>1073.1600000000001</v>
      </c>
      <c r="J1806" s="3" t="s">
        <v>26</v>
      </c>
      <c r="K1806" s="3" t="s">
        <v>51</v>
      </c>
      <c r="L1806" t="str">
        <f>IFERROR(VLOOKUP(D1806,Products!$A$2:$F$61,3,FALSE()),"")</f>
        <v>Home</v>
      </c>
      <c r="M1806" t="str">
        <f>IFERROR(VLOOKUP(E1806,Sales_Reps!$A$2:$C$31,3,FALSE()),"")</f>
        <v>South</v>
      </c>
      <c r="N1806">
        <f>IFERROR(VLOOKUP(D1806,Products!$A$2:$F$61,4,FALSE()),"")</f>
        <v>329</v>
      </c>
      <c r="O1806" t="str">
        <f>IFERROR(VLOOKUP(C1806,Customers!$A$2:$F$301,5,FALSE()),"")</f>
        <v/>
      </c>
      <c r="P1806" t="str">
        <f>IFERROR(VLOOKUP(C1806,Customers!$A$2:$F$301,3,FALSE()),"")</f>
        <v/>
      </c>
      <c r="Q1806">
        <f t="shared" si="84"/>
        <v>0.50151515151515147</v>
      </c>
      <c r="R1806">
        <f>IF(AND(COUNTIF($A$2:$A$2047,A1806)&gt;1,COUNTIF($A$2:A1806,A1806)=1),1,0)</f>
        <v>0</v>
      </c>
      <c r="S1806" t="b">
        <f>IFERROR(VLOOKUP(D1806,Products!$A$2:$F$61,6,FALSE()),"")</f>
        <v>1</v>
      </c>
      <c r="T1806" t="str">
        <f>IF(COUNTIF(Customers!$A$2:$A$301,C1806)=0,"Missing","OK")</f>
        <v>Missing</v>
      </c>
      <c r="U1806" t="str">
        <f t="shared" si="85"/>
        <v>Mumbai</v>
      </c>
      <c r="V1806">
        <f t="shared" si="86"/>
        <v>0</v>
      </c>
    </row>
    <row r="1807" spans="1:22" ht="15" customHeight="1" x14ac:dyDescent="0.35">
      <c r="A1807" s="3" t="s">
        <v>2243</v>
      </c>
      <c r="B1807" s="4">
        <v>45332</v>
      </c>
      <c r="C1807" s="3" t="s">
        <v>1011</v>
      </c>
      <c r="D1807" s="3" t="s">
        <v>441</v>
      </c>
      <c r="E1807" s="3" t="s">
        <v>127</v>
      </c>
      <c r="F1807" s="5">
        <v>7</v>
      </c>
      <c r="G1807" s="5">
        <v>1090</v>
      </c>
      <c r="H1807" s="5">
        <v>19.399999999999999</v>
      </c>
      <c r="I1807" s="5">
        <v>6149.78</v>
      </c>
      <c r="J1807" s="3" t="s">
        <v>32</v>
      </c>
      <c r="K1807" s="3" t="s">
        <v>51</v>
      </c>
      <c r="L1807" t="str">
        <f>IFERROR(VLOOKUP(D1807,Products!$A$2:$F$61,3,FALSE()),"")</f>
        <v>Home</v>
      </c>
      <c r="M1807" t="str">
        <f>IFERROR(VLOOKUP(E1807,Sales_Reps!$A$2:$C$31,3,FALSE()),"")</f>
        <v>South</v>
      </c>
      <c r="N1807">
        <f>IFERROR(VLOOKUP(D1807,Products!$A$2:$F$61,4,FALSE()),"")</f>
        <v>464</v>
      </c>
      <c r="O1807" t="str">
        <f>IFERROR(VLOOKUP(C1807,Customers!$A$2:$F$301,5,FALSE()),"")</f>
        <v>SMB</v>
      </c>
      <c r="P1807">
        <f>IFERROR(VLOOKUP(C1807,Customers!$A$2:$F$301,3,FALSE()),"")</f>
        <v>53</v>
      </c>
      <c r="Q1807">
        <f t="shared" si="84"/>
        <v>0.57431192660550456</v>
      </c>
      <c r="R1807">
        <f>IF(AND(COUNTIF($A$2:$A$2047,A1807)&gt;1,COUNTIF($A$2:A1807,A1807)=1),1,0)</f>
        <v>0</v>
      </c>
      <c r="S1807" t="b">
        <f>IFERROR(VLOOKUP(D1807,Products!$A$2:$F$61,6,FALSE()),"")</f>
        <v>1</v>
      </c>
      <c r="T1807" t="str">
        <f>IF(COUNTIF(Customers!$A$2:$A$301,C1807)=0,"Missing","OK")</f>
        <v>OK</v>
      </c>
      <c r="U1807" t="str">
        <f t="shared" si="85"/>
        <v>Mumbai</v>
      </c>
      <c r="V1807">
        <f t="shared" si="86"/>
        <v>0</v>
      </c>
    </row>
    <row r="1808" spans="1:22" ht="15" customHeight="1" x14ac:dyDescent="0.35">
      <c r="A1808" s="3" t="s">
        <v>2244</v>
      </c>
      <c r="B1808" s="4">
        <v>45429</v>
      </c>
      <c r="C1808" s="3" t="s">
        <v>249</v>
      </c>
      <c r="D1808" s="3" t="s">
        <v>277</v>
      </c>
      <c r="E1808" s="3" t="s">
        <v>127</v>
      </c>
      <c r="F1808" s="5">
        <v>3</v>
      </c>
      <c r="G1808" s="5">
        <v>2210</v>
      </c>
      <c r="H1808" s="5">
        <v>11</v>
      </c>
      <c r="I1808" s="5">
        <v>5900.7</v>
      </c>
      <c r="J1808" s="3" t="s">
        <v>26</v>
      </c>
      <c r="K1808" s="3" t="s">
        <v>56</v>
      </c>
      <c r="L1808" t="str">
        <f>IFERROR(VLOOKUP(D1808,Products!$A$2:$F$61,3,FALSE()),"")</f>
        <v>Grocery</v>
      </c>
      <c r="M1808" t="str">
        <f>IFERROR(VLOOKUP(E1808,Sales_Reps!$A$2:$C$31,3,FALSE()),"")</f>
        <v>South</v>
      </c>
      <c r="N1808">
        <f>IFERROR(VLOOKUP(D1808,Products!$A$2:$F$61,4,FALSE()),"")</f>
        <v>1010</v>
      </c>
      <c r="O1808" t="str">
        <f>IFERROR(VLOOKUP(C1808,Customers!$A$2:$F$301,5,FALSE()),"")</f>
        <v>Retail</v>
      </c>
      <c r="P1808">
        <f>IFERROR(VLOOKUP(C1808,Customers!$A$2:$F$301,3,FALSE()),"")</f>
        <v>42</v>
      </c>
      <c r="Q1808">
        <f t="shared" si="84"/>
        <v>0.54298642533936647</v>
      </c>
      <c r="R1808">
        <f>IF(AND(COUNTIF($A$2:$A$2047,A1808)&gt;1,COUNTIF($A$2:A1808,A1808)=1),1,0)</f>
        <v>0</v>
      </c>
      <c r="S1808" t="b">
        <f>IFERROR(VLOOKUP(D1808,Products!$A$2:$F$61,6,FALSE()),"")</f>
        <v>1</v>
      </c>
      <c r="T1808" t="str">
        <f>IF(COUNTIF(Customers!$A$2:$A$301,C1808)=0,"Missing","OK")</f>
        <v>OK</v>
      </c>
      <c r="U1808" t="str">
        <f t="shared" si="85"/>
        <v>Bengaluru</v>
      </c>
      <c r="V1808">
        <f t="shared" si="86"/>
        <v>5900.7</v>
      </c>
    </row>
    <row r="1809" spans="1:22" ht="15" customHeight="1" x14ac:dyDescent="0.35">
      <c r="A1809" s="3" t="s">
        <v>2245</v>
      </c>
      <c r="B1809" s="4">
        <v>45420</v>
      </c>
      <c r="C1809" s="3" t="s">
        <v>117</v>
      </c>
      <c r="D1809" s="3" t="s">
        <v>347</v>
      </c>
      <c r="E1809" s="3" t="s">
        <v>168</v>
      </c>
      <c r="F1809" s="5">
        <v>2</v>
      </c>
      <c r="G1809" s="5">
        <v>3970</v>
      </c>
      <c r="H1809" s="5">
        <v>24.9</v>
      </c>
      <c r="I1809" s="5">
        <v>5962.94</v>
      </c>
      <c r="J1809" s="3" t="s">
        <v>26</v>
      </c>
      <c r="K1809" s="3" t="s">
        <v>33</v>
      </c>
      <c r="L1809" t="str">
        <f>IFERROR(VLOOKUP(D1809,Products!$A$2:$F$61,3,FALSE()),"")</f>
        <v>Electronics</v>
      </c>
      <c r="M1809" t="str">
        <f>IFERROR(VLOOKUP(E1809,Sales_Reps!$A$2:$C$31,3,FALSE()),"")</f>
        <v>West</v>
      </c>
      <c r="N1809">
        <f>IFERROR(VLOOKUP(D1809,Products!$A$2:$F$61,4,FALSE()),"")</f>
        <v>2865</v>
      </c>
      <c r="O1809" t="str">
        <f>IFERROR(VLOOKUP(C1809,Customers!$A$2:$F$301,5,FALSE()),"")</f>
        <v>Corporate</v>
      </c>
      <c r="P1809">
        <f>IFERROR(VLOOKUP(C1809,Customers!$A$2:$F$301,3,FALSE()),"")</f>
        <v>55</v>
      </c>
      <c r="Q1809">
        <f t="shared" si="84"/>
        <v>0.27833753148614609</v>
      </c>
      <c r="R1809">
        <f>IF(AND(COUNTIF($A$2:$A$2047,A1809)&gt;1,COUNTIF($A$2:A1809,A1809)=1),1,0)</f>
        <v>0</v>
      </c>
      <c r="S1809" t="b">
        <f>IFERROR(VLOOKUP(D1809,Products!$A$2:$F$61,6,FALSE()),"")</f>
        <v>1</v>
      </c>
      <c r="T1809" t="str">
        <f>IF(COUNTIF(Customers!$A$2:$A$301,C1809)=0,"Missing","OK")</f>
        <v>OK</v>
      </c>
      <c r="U1809" t="str">
        <f t="shared" si="85"/>
        <v>Chennai</v>
      </c>
      <c r="V1809">
        <f t="shared" si="86"/>
        <v>0</v>
      </c>
    </row>
    <row r="1810" spans="1:22" ht="15" customHeight="1" x14ac:dyDescent="0.35">
      <c r="A1810" s="3" t="s">
        <v>2246</v>
      </c>
      <c r="B1810" s="4">
        <v>45403</v>
      </c>
      <c r="C1810" s="3" t="s">
        <v>446</v>
      </c>
      <c r="D1810" s="3" t="s">
        <v>209</v>
      </c>
      <c r="E1810" s="3" t="s">
        <v>97</v>
      </c>
      <c r="F1810" s="5">
        <v>7</v>
      </c>
      <c r="G1810" s="5">
        <v>4610</v>
      </c>
      <c r="H1810" s="5">
        <v>6.3</v>
      </c>
      <c r="I1810" s="5">
        <v>30236.99</v>
      </c>
      <c r="J1810" s="3" t="s">
        <v>26</v>
      </c>
      <c r="K1810" s="3" t="s">
        <v>27</v>
      </c>
      <c r="L1810" t="str">
        <f>IFERROR(VLOOKUP(D1810,Products!$A$2:$F$61,3,FALSE()),"")</f>
        <v>Home</v>
      </c>
      <c r="M1810" t="str">
        <f>IFERROR(VLOOKUP(E1810,Sales_Reps!$A$2:$C$31,3,FALSE()),"")</f>
        <v>East</v>
      </c>
      <c r="N1810">
        <f>IFERROR(VLOOKUP(D1810,Products!$A$2:$F$61,4,FALSE()),"")</f>
        <v>1850</v>
      </c>
      <c r="O1810" t="str">
        <f>IFERROR(VLOOKUP(C1810,Customers!$A$2:$F$301,5,FALSE()),"")</f>
        <v>Retail</v>
      </c>
      <c r="P1810">
        <f>IFERROR(VLOOKUP(C1810,Customers!$A$2:$F$301,3,FALSE()),"")</f>
        <v>59</v>
      </c>
      <c r="Q1810">
        <f t="shared" si="84"/>
        <v>0.59869848156182215</v>
      </c>
      <c r="R1810">
        <f>IF(AND(COUNTIF($A$2:$A$2047,A1810)&gt;1,COUNTIF($A$2:A1810,A1810)=1),1,0)</f>
        <v>0</v>
      </c>
      <c r="S1810" t="b">
        <f>IFERROR(VLOOKUP(D1810,Products!$A$2:$F$61,6,FALSE()),"")</f>
        <v>1</v>
      </c>
      <c r="T1810" t="str">
        <f>IF(COUNTIF(Customers!$A$2:$A$301,C1810)=0,"Missing","OK")</f>
        <v>OK</v>
      </c>
      <c r="U1810" t="str">
        <f t="shared" si="85"/>
        <v>Pune</v>
      </c>
      <c r="V1810">
        <f t="shared" si="86"/>
        <v>0</v>
      </c>
    </row>
    <row r="1811" spans="1:22" ht="15" customHeight="1" x14ac:dyDescent="0.35">
      <c r="A1811" s="3" t="s">
        <v>2247</v>
      </c>
      <c r="B1811" s="4">
        <v>45403</v>
      </c>
      <c r="C1811" s="3" t="s">
        <v>461</v>
      </c>
      <c r="D1811" s="3" t="s">
        <v>319</v>
      </c>
      <c r="E1811" s="3" t="s">
        <v>140</v>
      </c>
      <c r="F1811" s="5">
        <v>10</v>
      </c>
      <c r="G1811" s="5">
        <v>960</v>
      </c>
      <c r="H1811" s="5">
        <v>14.6</v>
      </c>
      <c r="I1811" s="5">
        <v>8198.4</v>
      </c>
      <c r="J1811" s="3" t="s">
        <v>26</v>
      </c>
      <c r="K1811" s="3" t="s">
        <v>38</v>
      </c>
      <c r="L1811" t="str">
        <f>IFERROR(VLOOKUP(D1811,Products!$A$2:$F$61,3,FALSE()),"")</f>
        <v>Beauty</v>
      </c>
      <c r="M1811" t="str">
        <f>IFERROR(VLOOKUP(E1811,Sales_Reps!$A$2:$C$31,3,FALSE()),"")</f>
        <v>West</v>
      </c>
      <c r="N1811">
        <f>IFERROR(VLOOKUP(D1811,Products!$A$2:$F$61,4,FALSE()),"")</f>
        <v>675</v>
      </c>
      <c r="O1811" t="str">
        <f>IFERROR(VLOOKUP(C1811,Customers!$A$2:$F$301,5,FALSE()),"")</f>
        <v>SMB</v>
      </c>
      <c r="P1811">
        <f>IFERROR(VLOOKUP(C1811,Customers!$A$2:$F$301,3,FALSE()),"")</f>
        <v>55</v>
      </c>
      <c r="Q1811">
        <f t="shared" si="84"/>
        <v>0.296875</v>
      </c>
      <c r="R1811">
        <f>IF(AND(COUNTIF($A$2:$A$2047,A1811)&gt;1,COUNTIF($A$2:A1811,A1811)=1),1,0)</f>
        <v>0</v>
      </c>
      <c r="S1811" t="b">
        <f>IFERROR(VLOOKUP(D1811,Products!$A$2:$F$61,6,FALSE()),"")</f>
        <v>1</v>
      </c>
      <c r="T1811" t="str">
        <f>IF(COUNTIF(Customers!$A$2:$A$301,C1811)=0,"Missing","OK")</f>
        <v>OK</v>
      </c>
      <c r="U1811" t="str">
        <f t="shared" si="85"/>
        <v>Delhi</v>
      </c>
      <c r="V1811">
        <f t="shared" si="86"/>
        <v>0</v>
      </c>
    </row>
    <row r="1812" spans="1:22" ht="15" customHeight="1" x14ac:dyDescent="0.35">
      <c r="A1812" s="3" t="s">
        <v>2248</v>
      </c>
      <c r="B1812" s="4">
        <v>45600</v>
      </c>
      <c r="C1812" s="3" t="s">
        <v>170</v>
      </c>
      <c r="D1812" s="3" t="s">
        <v>215</v>
      </c>
      <c r="E1812" s="3" t="s">
        <v>285</v>
      </c>
      <c r="F1812" s="5">
        <v>8</v>
      </c>
      <c r="G1812" s="5">
        <v>3020</v>
      </c>
      <c r="H1812" s="5">
        <v>14.5</v>
      </c>
      <c r="I1812" s="5">
        <v>20656.8</v>
      </c>
      <c r="J1812" s="3" t="s">
        <v>26</v>
      </c>
      <c r="K1812" s="3" t="s">
        <v>56</v>
      </c>
      <c r="L1812" t="str">
        <f>IFERROR(VLOOKUP(D1812,Products!$A$2:$F$61,3,FALSE()),"")</f>
        <v>Beauty</v>
      </c>
      <c r="M1812" t="str">
        <f>IFERROR(VLOOKUP(E1812,Sales_Reps!$A$2:$C$31,3,FALSE()),"")</f>
        <v>South</v>
      </c>
      <c r="N1812">
        <f>IFERROR(VLOOKUP(D1812,Products!$A$2:$F$61,4,FALSE()),"")</f>
        <v>1626</v>
      </c>
      <c r="O1812" t="str">
        <f>IFERROR(VLOOKUP(C1812,Customers!$A$2:$F$301,5,FALSE()),"")</f>
        <v>SMB</v>
      </c>
      <c r="P1812">
        <f>IFERROR(VLOOKUP(C1812,Customers!$A$2:$F$301,3,FALSE()),"")</f>
        <v>64</v>
      </c>
      <c r="Q1812">
        <f t="shared" si="84"/>
        <v>0.46158940397350995</v>
      </c>
      <c r="R1812">
        <f>IF(AND(COUNTIF($A$2:$A$2047,A1812)&gt;1,COUNTIF($A$2:A1812,A1812)=1),1,0)</f>
        <v>0</v>
      </c>
      <c r="S1812" t="b">
        <f>IFERROR(VLOOKUP(D1812,Products!$A$2:$F$61,6,FALSE()),"")</f>
        <v>1</v>
      </c>
      <c r="T1812" t="str">
        <f>IF(COUNTIF(Customers!$A$2:$A$301,C1812)=0,"Missing","OK")</f>
        <v>OK</v>
      </c>
      <c r="U1812" t="str">
        <f t="shared" si="85"/>
        <v>Bengaluru</v>
      </c>
      <c r="V1812">
        <f t="shared" si="86"/>
        <v>0</v>
      </c>
    </row>
    <row r="1813" spans="1:22" ht="15" customHeight="1" x14ac:dyDescent="0.35">
      <c r="A1813" s="3" t="s">
        <v>2249</v>
      </c>
      <c r="B1813" s="4">
        <v>45629</v>
      </c>
      <c r="C1813" s="3" t="s">
        <v>81</v>
      </c>
      <c r="D1813" s="3" t="s">
        <v>106</v>
      </c>
      <c r="E1813" s="3" t="s">
        <v>140</v>
      </c>
      <c r="F1813" s="5">
        <v>7</v>
      </c>
      <c r="G1813" s="5">
        <v>2480</v>
      </c>
      <c r="H1813" s="5">
        <v>17.3</v>
      </c>
      <c r="I1813" s="5">
        <v>14356.72</v>
      </c>
      <c r="J1813" s="3" t="s">
        <v>26</v>
      </c>
      <c r="K1813" s="3" t="s">
        <v>27</v>
      </c>
      <c r="L1813" t="str">
        <f>IFERROR(VLOOKUP(D1813,Products!$A$2:$F$61,3,FALSE()),"")</f>
        <v>Apparel</v>
      </c>
      <c r="M1813" t="str">
        <f>IFERROR(VLOOKUP(E1813,Sales_Reps!$A$2:$C$31,3,FALSE()),"")</f>
        <v>West</v>
      </c>
      <c r="N1813">
        <f>IFERROR(VLOOKUP(D1813,Products!$A$2:$F$61,4,FALSE()),"")</f>
        <v>1173</v>
      </c>
      <c r="O1813" t="str">
        <f>IFERROR(VLOOKUP(C1813,Customers!$A$2:$F$301,5,FALSE()),"")</f>
        <v>SMB</v>
      </c>
      <c r="P1813">
        <f>IFERROR(VLOOKUP(C1813,Customers!$A$2:$F$301,3,FALSE()),"")</f>
        <v>39</v>
      </c>
      <c r="Q1813">
        <f t="shared" si="84"/>
        <v>0.52701612903225803</v>
      </c>
      <c r="R1813">
        <f>IF(AND(COUNTIF($A$2:$A$2047,A1813)&gt;1,COUNTIF($A$2:A1813,A1813)=1),1,0)</f>
        <v>0</v>
      </c>
      <c r="S1813" t="b">
        <f>IFERROR(VLOOKUP(D1813,Products!$A$2:$F$61,6,FALSE()),"")</f>
        <v>1</v>
      </c>
      <c r="T1813" t="str">
        <f>IF(COUNTIF(Customers!$A$2:$A$301,C1813)=0,"Missing","OK")</f>
        <v>OK</v>
      </c>
      <c r="U1813" t="str">
        <f t="shared" si="85"/>
        <v>Pune</v>
      </c>
      <c r="V1813">
        <f t="shared" si="86"/>
        <v>0</v>
      </c>
    </row>
    <row r="1814" spans="1:22" ht="15" customHeight="1" x14ac:dyDescent="0.35">
      <c r="A1814" s="3" t="s">
        <v>2250</v>
      </c>
      <c r="B1814" s="4">
        <v>45330</v>
      </c>
      <c r="C1814" s="3" t="s">
        <v>531</v>
      </c>
      <c r="D1814" s="3" t="s">
        <v>187</v>
      </c>
      <c r="E1814" s="3" t="s">
        <v>191</v>
      </c>
      <c r="F1814" s="5">
        <v>10</v>
      </c>
      <c r="G1814" s="5">
        <v>3870</v>
      </c>
      <c r="H1814" s="5">
        <v>22.4</v>
      </c>
      <c r="I1814" s="5">
        <v>30031.200000000001</v>
      </c>
      <c r="J1814" s="3" t="s">
        <v>32</v>
      </c>
      <c r="K1814" s="3" t="s">
        <v>72</v>
      </c>
      <c r="L1814" t="str">
        <f>IFERROR(VLOOKUP(D1814,Products!$A$2:$F$61,3,FALSE()),"")</f>
        <v>Electronics</v>
      </c>
      <c r="M1814" t="str">
        <f>IFERROR(VLOOKUP(E1814,Sales_Reps!$A$2:$C$31,3,FALSE()),"")</f>
        <v>South</v>
      </c>
      <c r="N1814">
        <f>IFERROR(VLOOKUP(D1814,Products!$A$2:$F$61,4,FALSE()),"")</f>
        <v>1559</v>
      </c>
      <c r="O1814" t="str">
        <f>IFERROR(VLOOKUP(C1814,Customers!$A$2:$F$301,5,FALSE()),"")</f>
        <v>Retail</v>
      </c>
      <c r="P1814">
        <f>IFERROR(VLOOKUP(C1814,Customers!$A$2:$F$301,3,FALSE()),"")</f>
        <v>22</v>
      </c>
      <c r="Q1814">
        <f t="shared" si="84"/>
        <v>0.59715762273901807</v>
      </c>
      <c r="R1814">
        <f>IF(AND(COUNTIF($A$2:$A$2047,A1814)&gt;1,COUNTIF($A$2:A1814,A1814)=1),1,0)</f>
        <v>0</v>
      </c>
      <c r="S1814" t="b">
        <f>IFERROR(VLOOKUP(D1814,Products!$A$2:$F$61,6,FALSE()),"")</f>
        <v>1</v>
      </c>
      <c r="T1814" t="str">
        <f>IF(COUNTIF(Customers!$A$2:$A$301,C1814)=0,"Missing","OK")</f>
        <v>OK</v>
      </c>
      <c r="U1814" t="str">
        <f t="shared" si="85"/>
        <v>Hyderabad</v>
      </c>
      <c r="V1814">
        <f t="shared" si="86"/>
        <v>0</v>
      </c>
    </row>
    <row r="1815" spans="1:22" ht="15" customHeight="1" x14ac:dyDescent="0.35">
      <c r="A1815" s="3" t="s">
        <v>2251</v>
      </c>
      <c r="B1815" s="4">
        <v>45551</v>
      </c>
      <c r="C1815" s="3" t="s">
        <v>817</v>
      </c>
      <c r="D1815" s="3" t="s">
        <v>142</v>
      </c>
      <c r="E1815" s="3" t="s">
        <v>224</v>
      </c>
      <c r="F1815" s="5">
        <v>6</v>
      </c>
      <c r="G1815" s="5">
        <v>660</v>
      </c>
      <c r="H1815" s="5">
        <v>27.3</v>
      </c>
      <c r="I1815" s="5">
        <v>2878.92</v>
      </c>
      <c r="J1815" s="3" t="s">
        <v>26</v>
      </c>
      <c r="K1815" s="3" t="s">
        <v>51</v>
      </c>
      <c r="L1815" t="str">
        <f>IFERROR(VLOOKUP(D1815,Products!$A$2:$F$61,3,FALSE()),"")</f>
        <v>Home</v>
      </c>
      <c r="M1815" t="str">
        <f>IFERROR(VLOOKUP(E1815,Sales_Reps!$A$2:$C$31,3,FALSE()),"")</f>
        <v>East</v>
      </c>
      <c r="N1815">
        <f>IFERROR(VLOOKUP(D1815,Products!$A$2:$F$61,4,FALSE()),"")</f>
        <v>329</v>
      </c>
      <c r="O1815" t="str">
        <f>IFERROR(VLOOKUP(C1815,Customers!$A$2:$F$301,5,FALSE()),"")</f>
        <v>Corporate</v>
      </c>
      <c r="P1815">
        <f>IFERROR(VLOOKUP(C1815,Customers!$A$2:$F$301,3,FALSE()),"")</f>
        <v>62</v>
      </c>
      <c r="Q1815">
        <f t="shared" si="84"/>
        <v>0.50151515151515147</v>
      </c>
      <c r="R1815">
        <f>IF(AND(COUNTIF($A$2:$A$2047,A1815)&gt;1,COUNTIF($A$2:A1815,A1815)=1),1,0)</f>
        <v>0</v>
      </c>
      <c r="S1815" t="b">
        <f>IFERROR(VLOOKUP(D1815,Products!$A$2:$F$61,6,FALSE()),"")</f>
        <v>1</v>
      </c>
      <c r="T1815" t="str">
        <f>IF(COUNTIF(Customers!$A$2:$A$301,C1815)=0,"Missing","OK")</f>
        <v>OK</v>
      </c>
      <c r="U1815" t="str">
        <f t="shared" si="85"/>
        <v>Mumbai</v>
      </c>
      <c r="V1815">
        <f t="shared" si="86"/>
        <v>0</v>
      </c>
    </row>
    <row r="1816" spans="1:22" ht="15" customHeight="1" x14ac:dyDescent="0.35">
      <c r="A1816" s="3" t="s">
        <v>2252</v>
      </c>
      <c r="B1816" s="4">
        <v>45321</v>
      </c>
      <c r="C1816" s="3" t="s">
        <v>2253</v>
      </c>
      <c r="D1816" s="3" t="s">
        <v>187</v>
      </c>
      <c r="E1816" s="3" t="s">
        <v>140</v>
      </c>
      <c r="F1816" s="5">
        <v>3</v>
      </c>
      <c r="G1816" s="5">
        <v>3870</v>
      </c>
      <c r="H1816" s="5">
        <v>7.6</v>
      </c>
      <c r="I1816" s="5">
        <v>10727.64</v>
      </c>
      <c r="J1816" s="3" t="s">
        <v>79</v>
      </c>
      <c r="K1816" s="3" t="s">
        <v>33</v>
      </c>
      <c r="L1816" t="str">
        <f>IFERROR(VLOOKUP(D1816,Products!$A$2:$F$61,3,FALSE()),"")</f>
        <v>Electronics</v>
      </c>
      <c r="M1816" t="str">
        <f>IFERROR(VLOOKUP(E1816,Sales_Reps!$A$2:$C$31,3,FALSE()),"")</f>
        <v>West</v>
      </c>
      <c r="N1816">
        <f>IFERROR(VLOOKUP(D1816,Products!$A$2:$F$61,4,FALSE()),"")</f>
        <v>1559</v>
      </c>
      <c r="O1816" t="str">
        <f>IFERROR(VLOOKUP(C1816,Customers!$A$2:$F$301,5,FALSE()),"")</f>
        <v/>
      </c>
      <c r="P1816" t="str">
        <f>IFERROR(VLOOKUP(C1816,Customers!$A$2:$F$301,3,FALSE()),"")</f>
        <v/>
      </c>
      <c r="Q1816">
        <f t="shared" si="84"/>
        <v>0.59715762273901807</v>
      </c>
      <c r="R1816">
        <f>IF(AND(COUNTIF($A$2:$A$2047,A1816)&gt;1,COUNTIF($A$2:A1816,A1816)=1),1,0)</f>
        <v>0</v>
      </c>
      <c r="S1816" t="b">
        <f>IFERROR(VLOOKUP(D1816,Products!$A$2:$F$61,6,FALSE()),"")</f>
        <v>1</v>
      </c>
      <c r="T1816" t="str">
        <f>IF(COUNTIF(Customers!$A$2:$A$301,C1816)=0,"Missing","OK")</f>
        <v>Missing</v>
      </c>
      <c r="U1816" t="str">
        <f t="shared" si="85"/>
        <v>Chennai</v>
      </c>
      <c r="V1816">
        <f t="shared" si="86"/>
        <v>0</v>
      </c>
    </row>
    <row r="1817" spans="1:22" ht="15" customHeight="1" x14ac:dyDescent="0.35">
      <c r="A1817" s="3" t="s">
        <v>2254</v>
      </c>
      <c r="B1817" s="4">
        <v>45542</v>
      </c>
      <c r="C1817" s="3" t="s">
        <v>23</v>
      </c>
      <c r="D1817" s="3" t="s">
        <v>106</v>
      </c>
      <c r="E1817" s="3" t="s">
        <v>42</v>
      </c>
      <c r="F1817" s="5">
        <v>10</v>
      </c>
      <c r="G1817" s="5">
        <v>2480</v>
      </c>
      <c r="H1817" s="5">
        <v>21.5</v>
      </c>
      <c r="I1817" s="5">
        <v>19468</v>
      </c>
      <c r="J1817" s="3" t="s">
        <v>32</v>
      </c>
      <c r="K1817" s="3" t="s">
        <v>27</v>
      </c>
      <c r="L1817" t="str">
        <f>IFERROR(VLOOKUP(D1817,Products!$A$2:$F$61,3,FALSE()),"")</f>
        <v>Apparel</v>
      </c>
      <c r="M1817" t="str">
        <f>IFERROR(VLOOKUP(E1817,Sales_Reps!$A$2:$C$31,3,FALSE()),"")</f>
        <v>North</v>
      </c>
      <c r="N1817">
        <f>IFERROR(VLOOKUP(D1817,Products!$A$2:$F$61,4,FALSE()),"")</f>
        <v>1173</v>
      </c>
      <c r="O1817" t="str">
        <f>IFERROR(VLOOKUP(C1817,Customers!$A$2:$F$301,5,FALSE()),"")</f>
        <v>SMB</v>
      </c>
      <c r="P1817">
        <f>IFERROR(VLOOKUP(C1817,Customers!$A$2:$F$301,3,FALSE()),"")</f>
        <v>44</v>
      </c>
      <c r="Q1817">
        <f t="shared" si="84"/>
        <v>0.52701612903225803</v>
      </c>
      <c r="R1817">
        <f>IF(AND(COUNTIF($A$2:$A$2047,A1817)&gt;1,COUNTIF($A$2:A1817,A1817)=1),1,0)</f>
        <v>0</v>
      </c>
      <c r="S1817" t="b">
        <f>IFERROR(VLOOKUP(D1817,Products!$A$2:$F$61,6,FALSE()),"")</f>
        <v>1</v>
      </c>
      <c r="T1817" t="str">
        <f>IF(COUNTIF(Customers!$A$2:$A$301,C1817)=0,"Missing","OK")</f>
        <v>OK</v>
      </c>
      <c r="U1817" t="str">
        <f t="shared" si="85"/>
        <v>Pune</v>
      </c>
      <c r="V1817">
        <f t="shared" si="86"/>
        <v>0</v>
      </c>
    </row>
    <row r="1818" spans="1:22" ht="15" customHeight="1" x14ac:dyDescent="0.35">
      <c r="A1818" s="3" t="s">
        <v>2255</v>
      </c>
      <c r="B1818" s="4">
        <v>45643</v>
      </c>
      <c r="C1818" s="3" t="s">
        <v>541</v>
      </c>
      <c r="D1818" s="3" t="s">
        <v>74</v>
      </c>
      <c r="E1818" s="3" t="s">
        <v>154</v>
      </c>
      <c r="F1818" s="5">
        <v>8</v>
      </c>
      <c r="G1818" s="5">
        <v>2640</v>
      </c>
      <c r="H1818" s="5">
        <v>22.3</v>
      </c>
      <c r="I1818" s="5">
        <v>16410.240000000002</v>
      </c>
      <c r="J1818" s="3" t="s">
        <v>26</v>
      </c>
      <c r="K1818" s="3" t="s">
        <v>33</v>
      </c>
      <c r="L1818" t="str">
        <f>IFERROR(VLOOKUP(D1818,Products!$A$2:$F$61,3,FALSE()),"")</f>
        <v>Electronics</v>
      </c>
      <c r="M1818" t="str">
        <f>IFERROR(VLOOKUP(E1818,Sales_Reps!$A$2:$C$31,3,FALSE()),"")</f>
        <v>North</v>
      </c>
      <c r="N1818">
        <f>IFERROR(VLOOKUP(D1818,Products!$A$2:$F$61,4,FALSE()),"")</f>
        <v>1149</v>
      </c>
      <c r="O1818" t="str">
        <f>IFERROR(VLOOKUP(C1818,Customers!$A$2:$F$301,5,FALSE()),"")</f>
        <v>Retail</v>
      </c>
      <c r="P1818">
        <f>IFERROR(VLOOKUP(C1818,Customers!$A$2:$F$301,3,FALSE()),"")</f>
        <v>61</v>
      </c>
      <c r="Q1818">
        <f t="shared" si="84"/>
        <v>0.56477272727272732</v>
      </c>
      <c r="R1818">
        <f>IF(AND(COUNTIF($A$2:$A$2047,A1818)&gt;1,COUNTIF($A$2:A1818,A1818)=1),1,0)</f>
        <v>0</v>
      </c>
      <c r="S1818" t="b">
        <f>IFERROR(VLOOKUP(D1818,Products!$A$2:$F$61,6,FALSE()),"")</f>
        <v>1</v>
      </c>
      <c r="T1818" t="str">
        <f>IF(COUNTIF(Customers!$A$2:$A$301,C1818)=0,"Missing","OK")</f>
        <v>OK</v>
      </c>
      <c r="U1818" t="str">
        <f t="shared" si="85"/>
        <v>Chennai</v>
      </c>
      <c r="V1818">
        <f t="shared" si="86"/>
        <v>0</v>
      </c>
    </row>
    <row r="1819" spans="1:22" ht="15" customHeight="1" x14ac:dyDescent="0.35">
      <c r="A1819" s="3" t="s">
        <v>2256</v>
      </c>
      <c r="B1819" s="4">
        <v>45559</v>
      </c>
      <c r="C1819" s="3" t="s">
        <v>1132</v>
      </c>
      <c r="D1819" s="3" t="s">
        <v>66</v>
      </c>
      <c r="E1819" s="3" t="s">
        <v>154</v>
      </c>
      <c r="F1819" s="5">
        <v>8</v>
      </c>
      <c r="G1819" s="5">
        <v>970</v>
      </c>
      <c r="H1819" s="5">
        <v>13.1</v>
      </c>
      <c r="I1819" s="5">
        <v>6743.44</v>
      </c>
      <c r="J1819" s="3" t="s">
        <v>26</v>
      </c>
      <c r="K1819" s="3" t="s">
        <v>72</v>
      </c>
      <c r="L1819" t="str">
        <f>IFERROR(VLOOKUP(D1819,Products!$A$2:$F$61,3,FALSE()),"")</f>
        <v>Grocery</v>
      </c>
      <c r="M1819" t="str">
        <f>IFERROR(VLOOKUP(E1819,Sales_Reps!$A$2:$C$31,3,FALSE()),"")</f>
        <v>North</v>
      </c>
      <c r="N1819">
        <f>IFERROR(VLOOKUP(D1819,Products!$A$2:$F$61,4,FALSE()),"")</f>
        <v>434</v>
      </c>
      <c r="O1819" t="str">
        <f>IFERROR(VLOOKUP(C1819,Customers!$A$2:$F$301,5,FALSE()),"")</f>
        <v>SMB</v>
      </c>
      <c r="P1819">
        <f>IFERROR(VLOOKUP(C1819,Customers!$A$2:$F$301,3,FALSE()),"")</f>
        <v>25</v>
      </c>
      <c r="Q1819">
        <f t="shared" si="84"/>
        <v>0.5525773195876289</v>
      </c>
      <c r="R1819">
        <f>IF(AND(COUNTIF($A$2:$A$2047,A1819)&gt;1,COUNTIF($A$2:A1819,A1819)=1),1,0)</f>
        <v>0</v>
      </c>
      <c r="S1819" t="b">
        <f>IFERROR(VLOOKUP(D1819,Products!$A$2:$F$61,6,FALSE()),"")</f>
        <v>1</v>
      </c>
      <c r="T1819" t="str">
        <f>IF(COUNTIF(Customers!$A$2:$A$301,C1819)=0,"Missing","OK")</f>
        <v>OK</v>
      </c>
      <c r="U1819" t="str">
        <f t="shared" si="85"/>
        <v>Hyderabad</v>
      </c>
      <c r="V1819">
        <f t="shared" si="86"/>
        <v>0</v>
      </c>
    </row>
    <row r="1820" spans="1:22" ht="15" customHeight="1" x14ac:dyDescent="0.35">
      <c r="A1820" s="3" t="s">
        <v>2257</v>
      </c>
      <c r="B1820" s="4">
        <v>45416</v>
      </c>
      <c r="C1820" s="3" t="s">
        <v>536</v>
      </c>
      <c r="D1820" s="3" t="s">
        <v>54</v>
      </c>
      <c r="E1820" s="3" t="s">
        <v>154</v>
      </c>
      <c r="F1820" s="5">
        <v>6</v>
      </c>
      <c r="G1820" s="5">
        <v>960</v>
      </c>
      <c r="H1820" s="5">
        <v>3.2</v>
      </c>
      <c r="I1820" s="5">
        <v>5575.68</v>
      </c>
      <c r="J1820" s="3" t="s">
        <v>26</v>
      </c>
      <c r="K1820" s="3" t="s">
        <v>51</v>
      </c>
      <c r="L1820" t="str">
        <f>IFERROR(VLOOKUP(D1820,Products!$A$2:$F$61,3,FALSE()),"")</f>
        <v>Sports</v>
      </c>
      <c r="M1820" t="str">
        <f>IFERROR(VLOOKUP(E1820,Sales_Reps!$A$2:$C$31,3,FALSE()),"")</f>
        <v>North</v>
      </c>
      <c r="N1820">
        <f>IFERROR(VLOOKUP(D1820,Products!$A$2:$F$61,4,FALSE()),"")</f>
        <v>705</v>
      </c>
      <c r="O1820" t="str">
        <f>IFERROR(VLOOKUP(C1820,Customers!$A$2:$F$301,5,FALSE()),"")</f>
        <v>Retail</v>
      </c>
      <c r="P1820">
        <f>IFERROR(VLOOKUP(C1820,Customers!$A$2:$F$301,3,FALSE()),"")</f>
        <v>39</v>
      </c>
      <c r="Q1820">
        <f t="shared" si="84"/>
        <v>0.265625</v>
      </c>
      <c r="R1820">
        <f>IF(AND(COUNTIF($A$2:$A$2047,A1820)&gt;1,COUNTIF($A$2:A1820,A1820)=1),1,0)</f>
        <v>0</v>
      </c>
      <c r="S1820" t="b">
        <f>IFERROR(VLOOKUP(D1820,Products!$A$2:$F$61,6,FALSE()),"")</f>
        <v>1</v>
      </c>
      <c r="T1820" t="str">
        <f>IF(COUNTIF(Customers!$A$2:$A$301,C1820)=0,"Missing","OK")</f>
        <v>OK</v>
      </c>
      <c r="U1820" t="str">
        <f t="shared" si="85"/>
        <v>Mumbai</v>
      </c>
      <c r="V1820">
        <f t="shared" si="86"/>
        <v>0</v>
      </c>
    </row>
    <row r="1821" spans="1:22" ht="15" customHeight="1" x14ac:dyDescent="0.35">
      <c r="A1821" s="3" t="s">
        <v>2258</v>
      </c>
      <c r="B1821" s="4">
        <v>45469</v>
      </c>
      <c r="C1821" s="3" t="s">
        <v>1468</v>
      </c>
      <c r="D1821" s="3" t="s">
        <v>234</v>
      </c>
      <c r="E1821" s="3" t="s">
        <v>46</v>
      </c>
      <c r="F1821" s="5">
        <v>9</v>
      </c>
      <c r="G1821" s="5">
        <v>2030</v>
      </c>
      <c r="H1821" s="5">
        <v>12.6</v>
      </c>
      <c r="I1821" s="5">
        <v>15967.98</v>
      </c>
      <c r="J1821" s="3" t="s">
        <v>79</v>
      </c>
      <c r="K1821" s="3" t="s">
        <v>33</v>
      </c>
      <c r="L1821" t="str">
        <f>IFERROR(VLOOKUP(D1821,Products!$A$2:$F$61,3,FALSE()),"")</f>
        <v>Home</v>
      </c>
      <c r="M1821" t="str">
        <f>IFERROR(VLOOKUP(E1821,Sales_Reps!$A$2:$C$31,3,FALSE()),"")</f>
        <v>North</v>
      </c>
      <c r="N1821">
        <f>IFERROR(VLOOKUP(D1821,Products!$A$2:$F$61,4,FALSE()),"")</f>
        <v>1143</v>
      </c>
      <c r="O1821" t="str">
        <f>IFERROR(VLOOKUP(C1821,Customers!$A$2:$F$301,5,FALSE()),"")</f>
        <v>Retail</v>
      </c>
      <c r="P1821">
        <f>IFERROR(VLOOKUP(C1821,Customers!$A$2:$F$301,3,FALSE()),"")</f>
        <v>31</v>
      </c>
      <c r="Q1821">
        <f t="shared" si="84"/>
        <v>0.43694581280788175</v>
      </c>
      <c r="R1821">
        <f>IF(AND(COUNTIF($A$2:$A$2047,A1821)&gt;1,COUNTIF($A$2:A1821,A1821)=1),1,0)</f>
        <v>0</v>
      </c>
      <c r="S1821" t="b">
        <f>IFERROR(VLOOKUP(D1821,Products!$A$2:$F$61,6,FALSE()),"")</f>
        <v>1</v>
      </c>
      <c r="T1821" t="str">
        <f>IF(COUNTIF(Customers!$A$2:$A$301,C1821)=0,"Missing","OK")</f>
        <v>OK</v>
      </c>
      <c r="U1821" t="str">
        <f t="shared" si="85"/>
        <v>Chennai</v>
      </c>
      <c r="V1821">
        <f t="shared" si="86"/>
        <v>0</v>
      </c>
    </row>
    <row r="1822" spans="1:22" ht="15" customHeight="1" x14ac:dyDescent="0.35">
      <c r="A1822" s="3" t="s">
        <v>1964</v>
      </c>
      <c r="B1822" s="4">
        <v>45387</v>
      </c>
      <c r="C1822" s="3" t="s">
        <v>172</v>
      </c>
      <c r="D1822" s="3" t="s">
        <v>325</v>
      </c>
      <c r="E1822" s="3" t="s">
        <v>55</v>
      </c>
      <c r="F1822" s="5">
        <v>10</v>
      </c>
      <c r="G1822" s="5">
        <v>2290</v>
      </c>
      <c r="H1822" s="5">
        <v>22.2</v>
      </c>
      <c r="I1822" s="5">
        <v>17816.2</v>
      </c>
      <c r="J1822" s="3" t="s">
        <v>26</v>
      </c>
      <c r="K1822" s="3" t="s">
        <v>27</v>
      </c>
      <c r="L1822" t="str">
        <f>IFERROR(VLOOKUP(D1822,Products!$A$2:$F$61,3,FALSE()),"")</f>
        <v>Beauty</v>
      </c>
      <c r="M1822" t="str">
        <f>IFERROR(VLOOKUP(E1822,Sales_Reps!$A$2:$C$31,3,FALSE()),"")</f>
        <v>West</v>
      </c>
      <c r="N1822">
        <f>IFERROR(VLOOKUP(D1822,Products!$A$2:$F$61,4,FALSE()),"")</f>
        <v>1219</v>
      </c>
      <c r="O1822" t="str">
        <f>IFERROR(VLOOKUP(C1822,Customers!$A$2:$F$301,5,FALSE()),"")</f>
        <v>SMB</v>
      </c>
      <c r="P1822">
        <f>IFERROR(VLOOKUP(C1822,Customers!$A$2:$F$301,3,FALSE()),"")</f>
        <v>29</v>
      </c>
      <c r="Q1822">
        <f t="shared" si="84"/>
        <v>0.46768558951965067</v>
      </c>
      <c r="R1822">
        <f>IF(AND(COUNTIF($A$2:$A$2047,A1822)&gt;1,COUNTIF($A$2:A1822,A1822)=1),1,0)</f>
        <v>0</v>
      </c>
      <c r="S1822" t="b">
        <f>IFERROR(VLOOKUP(D1822,Products!$A$2:$F$61,6,FALSE()),"")</f>
        <v>1</v>
      </c>
      <c r="T1822" t="str">
        <f>IF(COUNTIF(Customers!$A$2:$A$301,C1822)=0,"Missing","OK")</f>
        <v>OK</v>
      </c>
      <c r="U1822" t="str">
        <f t="shared" si="85"/>
        <v>Pune</v>
      </c>
      <c r="V1822">
        <f t="shared" si="86"/>
        <v>0</v>
      </c>
    </row>
    <row r="1823" spans="1:22" ht="15" customHeight="1" x14ac:dyDescent="0.35">
      <c r="A1823" s="3" t="s">
        <v>2259</v>
      </c>
      <c r="B1823" s="4">
        <v>45373</v>
      </c>
      <c r="C1823" s="3" t="s">
        <v>1438</v>
      </c>
      <c r="D1823" s="3" t="s">
        <v>30</v>
      </c>
      <c r="E1823" s="3" t="s">
        <v>282</v>
      </c>
      <c r="F1823" s="5">
        <v>7</v>
      </c>
      <c r="G1823" s="5">
        <v>820</v>
      </c>
      <c r="H1823" s="5">
        <v>6.4</v>
      </c>
      <c r="I1823" s="5">
        <v>5372.64</v>
      </c>
      <c r="J1823" s="3" t="s">
        <v>83</v>
      </c>
      <c r="K1823" s="3" t="s">
        <v>33</v>
      </c>
      <c r="L1823" t="str">
        <f>IFERROR(VLOOKUP(D1823,Products!$A$2:$F$61,3,FALSE()),"")</f>
        <v>Apparel</v>
      </c>
      <c r="M1823" t="str">
        <f>IFERROR(VLOOKUP(E1823,Sales_Reps!$A$2:$C$31,3,FALSE()),"")</f>
        <v>West</v>
      </c>
      <c r="N1823">
        <f>IFERROR(VLOOKUP(D1823,Products!$A$2:$F$61,4,FALSE()),"")</f>
        <v>391</v>
      </c>
      <c r="O1823" t="str">
        <f>IFERROR(VLOOKUP(C1823,Customers!$A$2:$F$301,5,FALSE()),"")</f>
        <v>Retail</v>
      </c>
      <c r="P1823">
        <f>IFERROR(VLOOKUP(C1823,Customers!$A$2:$F$301,3,FALSE()),"")</f>
        <v>26</v>
      </c>
      <c r="Q1823">
        <f t="shared" si="84"/>
        <v>0.52317073170731709</v>
      </c>
      <c r="R1823">
        <f>IF(AND(COUNTIF($A$2:$A$2047,A1823)&gt;1,COUNTIF($A$2:A1823,A1823)=1),1,0)</f>
        <v>0</v>
      </c>
      <c r="S1823" t="b">
        <f>IFERROR(VLOOKUP(D1823,Products!$A$2:$F$61,6,FALSE()),"")</f>
        <v>1</v>
      </c>
      <c r="T1823" t="str">
        <f>IF(COUNTIF(Customers!$A$2:$A$301,C1823)=0,"Missing","OK")</f>
        <v>OK</v>
      </c>
      <c r="U1823" t="str">
        <f t="shared" si="85"/>
        <v>Chennai</v>
      </c>
      <c r="V1823">
        <f t="shared" si="86"/>
        <v>0</v>
      </c>
    </row>
    <row r="1824" spans="1:22" ht="15" customHeight="1" x14ac:dyDescent="0.35">
      <c r="A1824" s="3" t="s">
        <v>2260</v>
      </c>
      <c r="B1824" s="4">
        <v>45614</v>
      </c>
      <c r="C1824" s="3" t="s">
        <v>272</v>
      </c>
      <c r="D1824" s="3" t="s">
        <v>103</v>
      </c>
      <c r="E1824" s="3" t="s">
        <v>109</v>
      </c>
      <c r="F1824" s="5">
        <v>5</v>
      </c>
      <c r="G1824" s="5">
        <v>1080</v>
      </c>
      <c r="H1824" s="5">
        <v>6</v>
      </c>
      <c r="I1824" s="5">
        <v>5076</v>
      </c>
      <c r="J1824" s="3" t="s">
        <v>26</v>
      </c>
      <c r="K1824" s="3" t="s">
        <v>72</v>
      </c>
      <c r="L1824" t="str">
        <f>IFERROR(VLOOKUP(D1824,Products!$A$2:$F$61,3,FALSE()),"")</f>
        <v>Home</v>
      </c>
      <c r="M1824" t="str">
        <f>IFERROR(VLOOKUP(E1824,Sales_Reps!$A$2:$C$31,3,FALSE()),"")</f>
        <v>West</v>
      </c>
      <c r="N1824">
        <f>IFERROR(VLOOKUP(D1824,Products!$A$2:$F$61,4,FALSE()),"")</f>
        <v>519</v>
      </c>
      <c r="O1824" t="str">
        <f>IFERROR(VLOOKUP(C1824,Customers!$A$2:$F$301,5,FALSE()),"")</f>
        <v>SMB</v>
      </c>
      <c r="P1824">
        <f>IFERROR(VLOOKUP(C1824,Customers!$A$2:$F$301,3,FALSE()),"")</f>
        <v>65</v>
      </c>
      <c r="Q1824">
        <f t="shared" si="84"/>
        <v>0.51944444444444449</v>
      </c>
      <c r="R1824">
        <f>IF(AND(COUNTIF($A$2:$A$2047,A1824)&gt;1,COUNTIF($A$2:A1824,A1824)=1),1,0)</f>
        <v>0</v>
      </c>
      <c r="S1824" t="b">
        <f>IFERROR(VLOOKUP(D1824,Products!$A$2:$F$61,6,FALSE()),"")</f>
        <v>1</v>
      </c>
      <c r="T1824" t="str">
        <f>IF(COUNTIF(Customers!$A$2:$A$301,C1824)=0,"Missing","OK")</f>
        <v>OK</v>
      </c>
      <c r="U1824" t="str">
        <f t="shared" si="85"/>
        <v>Hyderabad</v>
      </c>
      <c r="V1824">
        <f t="shared" si="86"/>
        <v>0</v>
      </c>
    </row>
    <row r="1825" spans="1:22" ht="15" customHeight="1" x14ac:dyDescent="0.35">
      <c r="A1825" s="3" t="s">
        <v>2261</v>
      </c>
      <c r="B1825" s="4">
        <v>45310</v>
      </c>
      <c r="C1825" s="3" t="s">
        <v>418</v>
      </c>
      <c r="D1825" s="3" t="s">
        <v>86</v>
      </c>
      <c r="E1825" s="3" t="s">
        <v>67</v>
      </c>
      <c r="F1825" s="5">
        <v>4</v>
      </c>
      <c r="G1825" s="5">
        <v>190</v>
      </c>
      <c r="H1825" s="5">
        <v>6.3</v>
      </c>
      <c r="I1825" s="5">
        <v>712.12</v>
      </c>
      <c r="J1825" s="3" t="s">
        <v>83</v>
      </c>
      <c r="K1825" s="3" t="s">
        <v>27</v>
      </c>
      <c r="L1825" t="str">
        <f>IFERROR(VLOOKUP(D1825,Products!$A$2:$F$61,3,FALSE()),"")</f>
        <v>Sports</v>
      </c>
      <c r="M1825" t="str">
        <f>IFERROR(VLOOKUP(E1825,Sales_Reps!$A$2:$C$31,3,FALSE()),"")</f>
        <v>West</v>
      </c>
      <c r="N1825">
        <f>IFERROR(VLOOKUP(D1825,Products!$A$2:$F$61,4,FALSE()),"")</f>
        <v>147</v>
      </c>
      <c r="O1825" t="str">
        <f>IFERROR(VLOOKUP(C1825,Customers!$A$2:$F$301,5,FALSE()),"")</f>
        <v>SMB</v>
      </c>
      <c r="P1825">
        <f>IFERROR(VLOOKUP(C1825,Customers!$A$2:$F$301,3,FALSE()),"")</f>
        <v>49</v>
      </c>
      <c r="Q1825">
        <f t="shared" si="84"/>
        <v>0.22631578947368422</v>
      </c>
      <c r="R1825">
        <f>IF(AND(COUNTIF($A$2:$A$2047,A1825)&gt;1,COUNTIF($A$2:A1825,A1825)=1),1,0)</f>
        <v>0</v>
      </c>
      <c r="S1825" t="b">
        <f>IFERROR(VLOOKUP(D1825,Products!$A$2:$F$61,6,FALSE()),"")</f>
        <v>1</v>
      </c>
      <c r="T1825" t="str">
        <f>IF(COUNTIF(Customers!$A$2:$A$301,C1825)=0,"Missing","OK")</f>
        <v>OK</v>
      </c>
      <c r="U1825" t="str">
        <f t="shared" si="85"/>
        <v>Pune</v>
      </c>
      <c r="V1825">
        <f t="shared" si="86"/>
        <v>0</v>
      </c>
    </row>
    <row r="1826" spans="1:22" ht="15" customHeight="1" x14ac:dyDescent="0.35">
      <c r="A1826" s="3" t="s">
        <v>2262</v>
      </c>
      <c r="B1826" s="4">
        <v>45319</v>
      </c>
      <c r="C1826" s="3" t="s">
        <v>211</v>
      </c>
      <c r="D1826" s="3" t="s">
        <v>294</v>
      </c>
      <c r="E1826" s="3" t="s">
        <v>168</v>
      </c>
      <c r="F1826" s="5">
        <v>6</v>
      </c>
      <c r="G1826" s="5">
        <v>2510</v>
      </c>
      <c r="H1826" s="5">
        <v>11.5</v>
      </c>
      <c r="I1826" s="5">
        <v>13328.1</v>
      </c>
      <c r="J1826" s="3" t="s">
        <v>26</v>
      </c>
      <c r="K1826" s="3" t="s">
        <v>33</v>
      </c>
      <c r="L1826" t="str">
        <f>IFERROR(VLOOKUP(D1826,Products!$A$2:$F$61,3,FALSE()),"")</f>
        <v>Apparel</v>
      </c>
      <c r="M1826" t="str">
        <f>IFERROR(VLOOKUP(E1826,Sales_Reps!$A$2:$C$31,3,FALSE()),"")</f>
        <v>West</v>
      </c>
      <c r="N1826">
        <f>IFERROR(VLOOKUP(D1826,Products!$A$2:$F$61,4,FALSE()),"")</f>
        <v>1075</v>
      </c>
      <c r="O1826" t="str">
        <f>IFERROR(VLOOKUP(C1826,Customers!$A$2:$F$301,5,FALSE()),"")</f>
        <v>SMB</v>
      </c>
      <c r="P1826">
        <f>IFERROR(VLOOKUP(C1826,Customers!$A$2:$F$301,3,FALSE()),"")</f>
        <v>55</v>
      </c>
      <c r="Q1826">
        <f t="shared" si="84"/>
        <v>0.57171314741035861</v>
      </c>
      <c r="R1826">
        <f>IF(AND(COUNTIF($A$2:$A$2047,A1826)&gt;1,COUNTIF($A$2:A1826,A1826)=1),1,0)</f>
        <v>0</v>
      </c>
      <c r="S1826" t="b">
        <f>IFERROR(VLOOKUP(D1826,Products!$A$2:$F$61,6,FALSE()),"")</f>
        <v>0</v>
      </c>
      <c r="T1826" t="str">
        <f>IF(COUNTIF(Customers!$A$2:$A$301,C1826)=0,"Missing","OK")</f>
        <v>OK</v>
      </c>
      <c r="U1826" t="str">
        <f t="shared" si="85"/>
        <v>Chennai</v>
      </c>
      <c r="V1826">
        <f t="shared" si="86"/>
        <v>0</v>
      </c>
    </row>
    <row r="1827" spans="1:22" ht="15" customHeight="1" x14ac:dyDescent="0.35">
      <c r="A1827" s="3" t="s">
        <v>2263</v>
      </c>
      <c r="B1827" s="4">
        <v>45299</v>
      </c>
      <c r="C1827" s="3" t="s">
        <v>44</v>
      </c>
      <c r="D1827" s="3" t="s">
        <v>598</v>
      </c>
      <c r="E1827" s="3" t="s">
        <v>127</v>
      </c>
      <c r="F1827" s="5">
        <v>2</v>
      </c>
      <c r="G1827" s="5">
        <v>3560</v>
      </c>
      <c r="H1827" s="5">
        <v>10.5</v>
      </c>
      <c r="I1827" s="5">
        <v>6372.4</v>
      </c>
      <c r="J1827" s="3" t="s">
        <v>26</v>
      </c>
      <c r="K1827" s="3" t="s">
        <v>33</v>
      </c>
      <c r="L1827" t="str">
        <f>IFERROR(VLOOKUP(D1827,Products!$A$2:$F$61,3,FALSE()),"")</f>
        <v>Apparel</v>
      </c>
      <c r="M1827" t="str">
        <f>IFERROR(VLOOKUP(E1827,Sales_Reps!$A$2:$C$31,3,FALSE()),"")</f>
        <v>South</v>
      </c>
      <c r="N1827">
        <f>IFERROR(VLOOKUP(D1827,Products!$A$2:$F$61,4,FALSE()),"")</f>
        <v>2629</v>
      </c>
      <c r="O1827" t="str">
        <f>IFERROR(VLOOKUP(C1827,Customers!$A$2:$F$301,5,FALSE()),"")</f>
        <v>Retail</v>
      </c>
      <c r="P1827">
        <f>IFERROR(VLOOKUP(C1827,Customers!$A$2:$F$301,3,FALSE()),"")</f>
        <v>36</v>
      </c>
      <c r="Q1827">
        <f t="shared" si="84"/>
        <v>0.26151685393258428</v>
      </c>
      <c r="R1827">
        <f>IF(AND(COUNTIF($A$2:$A$2047,A1827)&gt;1,COUNTIF($A$2:A1827,A1827)=1),1,0)</f>
        <v>0</v>
      </c>
      <c r="S1827" t="b">
        <f>IFERROR(VLOOKUP(D1827,Products!$A$2:$F$61,6,FALSE()),"")</f>
        <v>1</v>
      </c>
      <c r="T1827" t="str">
        <f>IF(COUNTIF(Customers!$A$2:$A$301,C1827)=0,"Missing","OK")</f>
        <v>OK</v>
      </c>
      <c r="U1827" t="str">
        <f t="shared" si="85"/>
        <v>Chennai</v>
      </c>
      <c r="V1827">
        <f t="shared" si="86"/>
        <v>0</v>
      </c>
    </row>
    <row r="1828" spans="1:22" ht="15" customHeight="1" x14ac:dyDescent="0.35">
      <c r="A1828" s="3" t="s">
        <v>2264</v>
      </c>
      <c r="B1828" s="4">
        <v>45556</v>
      </c>
      <c r="C1828" s="3" t="s">
        <v>780</v>
      </c>
      <c r="D1828" s="3" t="s">
        <v>30</v>
      </c>
      <c r="E1828" s="3" t="s">
        <v>191</v>
      </c>
      <c r="F1828" s="5">
        <v>3</v>
      </c>
      <c r="G1828" s="5">
        <v>820</v>
      </c>
      <c r="H1828" s="5">
        <v>13</v>
      </c>
      <c r="I1828" s="5">
        <v>2140.1999999999998</v>
      </c>
      <c r="J1828" s="3" t="s">
        <v>79</v>
      </c>
      <c r="K1828" s="3" t="s">
        <v>56</v>
      </c>
      <c r="L1828" t="str">
        <f>IFERROR(VLOOKUP(D1828,Products!$A$2:$F$61,3,FALSE()),"")</f>
        <v>Apparel</v>
      </c>
      <c r="M1828" t="str">
        <f>IFERROR(VLOOKUP(E1828,Sales_Reps!$A$2:$C$31,3,FALSE()),"")</f>
        <v>South</v>
      </c>
      <c r="N1828">
        <f>IFERROR(VLOOKUP(D1828,Products!$A$2:$F$61,4,FALSE()),"")</f>
        <v>391</v>
      </c>
      <c r="O1828" t="str">
        <f>IFERROR(VLOOKUP(C1828,Customers!$A$2:$F$301,5,FALSE()),"")</f>
        <v>Corporate</v>
      </c>
      <c r="P1828">
        <f>IFERROR(VLOOKUP(C1828,Customers!$A$2:$F$301,3,FALSE()),"")</f>
        <v>41</v>
      </c>
      <c r="Q1828">
        <f t="shared" si="84"/>
        <v>0.52317073170731709</v>
      </c>
      <c r="R1828">
        <f>IF(AND(COUNTIF($A$2:$A$2047,A1828)&gt;1,COUNTIF($A$2:A1828,A1828)=1),1,0)</f>
        <v>0</v>
      </c>
      <c r="S1828" t="b">
        <f>IFERROR(VLOOKUP(D1828,Products!$A$2:$F$61,6,FALSE()),"")</f>
        <v>1</v>
      </c>
      <c r="T1828" t="str">
        <f>IF(COUNTIF(Customers!$A$2:$A$301,C1828)=0,"Missing","OK")</f>
        <v>OK</v>
      </c>
      <c r="U1828" t="str">
        <f t="shared" si="85"/>
        <v>Bengaluru</v>
      </c>
      <c r="V1828">
        <f t="shared" si="86"/>
        <v>0</v>
      </c>
    </row>
    <row r="1829" spans="1:22" ht="15" customHeight="1" x14ac:dyDescent="0.35">
      <c r="A1829" s="3" t="s">
        <v>2265</v>
      </c>
      <c r="B1829" s="4">
        <v>45500</v>
      </c>
      <c r="C1829" s="3" t="s">
        <v>1297</v>
      </c>
      <c r="D1829" s="3" t="s">
        <v>176</v>
      </c>
      <c r="E1829" s="3" t="s">
        <v>87</v>
      </c>
      <c r="F1829" s="5">
        <v>6</v>
      </c>
      <c r="G1829" s="5">
        <v>3640</v>
      </c>
      <c r="H1829" s="5">
        <v>14</v>
      </c>
      <c r="I1829" s="5">
        <v>18782.400000000001</v>
      </c>
      <c r="J1829" s="3" t="s">
        <v>26</v>
      </c>
      <c r="K1829" s="3" t="s">
        <v>51</v>
      </c>
      <c r="L1829" t="str">
        <f>IFERROR(VLOOKUP(D1829,Products!$A$2:$F$61,3,FALSE()),"")</f>
        <v>Apparel</v>
      </c>
      <c r="M1829" t="str">
        <f>IFERROR(VLOOKUP(E1829,Sales_Reps!$A$2:$C$31,3,FALSE()),"")</f>
        <v>North</v>
      </c>
      <c r="N1829">
        <f>IFERROR(VLOOKUP(D1829,Products!$A$2:$F$61,4,FALSE()),"")</f>
        <v>2611</v>
      </c>
      <c r="O1829" t="str">
        <f>IFERROR(VLOOKUP(C1829,Customers!$A$2:$F$301,5,FALSE()),"")</f>
        <v>Corporate</v>
      </c>
      <c r="P1829">
        <f>IFERROR(VLOOKUP(C1829,Customers!$A$2:$F$301,3,FALSE()),"")</f>
        <v>42</v>
      </c>
      <c r="Q1829">
        <f t="shared" si="84"/>
        <v>0.28269230769230769</v>
      </c>
      <c r="R1829">
        <f>IF(AND(COUNTIF($A$2:$A$2047,A1829)&gt;1,COUNTIF($A$2:A1829,A1829)=1),1,0)</f>
        <v>0</v>
      </c>
      <c r="S1829" t="b">
        <f>IFERROR(VLOOKUP(D1829,Products!$A$2:$F$61,6,FALSE()),"")</f>
        <v>1</v>
      </c>
      <c r="T1829" t="str">
        <f>IF(COUNTIF(Customers!$A$2:$A$301,C1829)=0,"Missing","OK")</f>
        <v>OK</v>
      </c>
      <c r="U1829" t="str">
        <f t="shared" si="85"/>
        <v>Mumbai</v>
      </c>
      <c r="V1829">
        <f t="shared" si="86"/>
        <v>0</v>
      </c>
    </row>
    <row r="1830" spans="1:22" ht="15" customHeight="1" x14ac:dyDescent="0.35">
      <c r="A1830" s="3" t="s">
        <v>2266</v>
      </c>
      <c r="B1830" s="4">
        <v>45370</v>
      </c>
      <c r="C1830" s="3" t="s">
        <v>99</v>
      </c>
      <c r="D1830" s="3" t="s">
        <v>41</v>
      </c>
      <c r="E1830" s="3" t="s">
        <v>60</v>
      </c>
      <c r="F1830" s="5">
        <v>5</v>
      </c>
      <c r="G1830" s="5">
        <v>3660</v>
      </c>
      <c r="H1830" s="5">
        <v>28.7</v>
      </c>
      <c r="I1830" s="5">
        <v>13047.9</v>
      </c>
      <c r="J1830" s="3" t="s">
        <v>26</v>
      </c>
      <c r="K1830" s="3" t="s">
        <v>51</v>
      </c>
      <c r="L1830" t="str">
        <f>IFERROR(VLOOKUP(D1830,Products!$A$2:$F$61,3,FALSE()),"")</f>
        <v>Grocery</v>
      </c>
      <c r="M1830" t="str">
        <f>IFERROR(VLOOKUP(E1830,Sales_Reps!$A$2:$C$31,3,FALSE()),"")</f>
        <v>East</v>
      </c>
      <c r="N1830">
        <f>IFERROR(VLOOKUP(D1830,Products!$A$2:$F$61,4,FALSE()),"")</f>
        <v>2214</v>
      </c>
      <c r="O1830" t="str">
        <f>IFERROR(VLOOKUP(C1830,Customers!$A$2:$F$301,5,FALSE()),"")</f>
        <v>Retail</v>
      </c>
      <c r="P1830">
        <f>IFERROR(VLOOKUP(C1830,Customers!$A$2:$F$301,3,FALSE()),"")</f>
        <v>54</v>
      </c>
      <c r="Q1830">
        <f t="shared" si="84"/>
        <v>0.39508196721311473</v>
      </c>
      <c r="R1830">
        <f>IF(AND(COUNTIF($A$2:$A$2047,A1830)&gt;1,COUNTIF($A$2:A1830,A1830)=1),1,0)</f>
        <v>0</v>
      </c>
      <c r="S1830" t="b">
        <f>IFERROR(VLOOKUP(D1830,Products!$A$2:$F$61,6,FALSE()),"")</f>
        <v>0</v>
      </c>
      <c r="T1830" t="str">
        <f>IF(COUNTIF(Customers!$A$2:$A$301,C1830)=0,"Missing","OK")</f>
        <v>OK</v>
      </c>
      <c r="U1830" t="str">
        <f t="shared" si="85"/>
        <v>Mumbai</v>
      </c>
      <c r="V1830">
        <f t="shared" si="86"/>
        <v>0</v>
      </c>
    </row>
    <row r="1831" spans="1:22" ht="15" customHeight="1" x14ac:dyDescent="0.35">
      <c r="A1831" s="3" t="s">
        <v>2267</v>
      </c>
      <c r="B1831" s="4">
        <v>45521</v>
      </c>
      <c r="C1831" s="3" t="s">
        <v>172</v>
      </c>
      <c r="D1831" s="3" t="s">
        <v>134</v>
      </c>
      <c r="E1831" s="3" t="s">
        <v>109</v>
      </c>
      <c r="F1831" s="5">
        <v>2</v>
      </c>
      <c r="G1831" s="5">
        <v>2860</v>
      </c>
      <c r="H1831" s="5">
        <v>21.1</v>
      </c>
      <c r="I1831" s="5">
        <v>4513.08</v>
      </c>
      <c r="J1831" s="3" t="s">
        <v>26</v>
      </c>
      <c r="K1831" s="3" t="s">
        <v>27</v>
      </c>
      <c r="L1831" t="str">
        <f>IFERROR(VLOOKUP(D1831,Products!$A$2:$F$61,3,FALSE()),"")</f>
        <v>Sports</v>
      </c>
      <c r="M1831" t="str">
        <f>IFERROR(VLOOKUP(E1831,Sales_Reps!$A$2:$C$31,3,FALSE()),"")</f>
        <v>West</v>
      </c>
      <c r="N1831">
        <f>IFERROR(VLOOKUP(D1831,Products!$A$2:$F$61,4,FALSE()),"")</f>
        <v>2028</v>
      </c>
      <c r="O1831" t="str">
        <f>IFERROR(VLOOKUP(C1831,Customers!$A$2:$F$301,5,FALSE()),"")</f>
        <v>SMB</v>
      </c>
      <c r="P1831">
        <f>IFERROR(VLOOKUP(C1831,Customers!$A$2:$F$301,3,FALSE()),"")</f>
        <v>29</v>
      </c>
      <c r="Q1831">
        <f t="shared" si="84"/>
        <v>0.29090909090909089</v>
      </c>
      <c r="R1831">
        <f>IF(AND(COUNTIF($A$2:$A$2047,A1831)&gt;1,COUNTIF($A$2:A1831,A1831)=1),1,0)</f>
        <v>0</v>
      </c>
      <c r="S1831" t="b">
        <f>IFERROR(VLOOKUP(D1831,Products!$A$2:$F$61,6,FALSE()),"")</f>
        <v>1</v>
      </c>
      <c r="T1831" t="str">
        <f>IF(COUNTIF(Customers!$A$2:$A$301,C1831)=0,"Missing","OK")</f>
        <v>OK</v>
      </c>
      <c r="U1831" t="str">
        <f t="shared" si="85"/>
        <v>Pune</v>
      </c>
      <c r="V1831">
        <f t="shared" si="86"/>
        <v>0</v>
      </c>
    </row>
    <row r="1832" spans="1:22" ht="15" customHeight="1" x14ac:dyDescent="0.35">
      <c r="A1832" s="3" t="s">
        <v>2268</v>
      </c>
      <c r="B1832" s="4">
        <v>45481</v>
      </c>
      <c r="C1832" s="3" t="s">
        <v>577</v>
      </c>
      <c r="D1832" s="3" t="s">
        <v>112</v>
      </c>
      <c r="E1832" s="3" t="s">
        <v>60</v>
      </c>
      <c r="F1832" s="5">
        <v>1</v>
      </c>
      <c r="G1832" s="5">
        <v>2720</v>
      </c>
      <c r="H1832" s="5">
        <v>22.1</v>
      </c>
      <c r="I1832" s="5">
        <v>2118.88</v>
      </c>
      <c r="J1832" s="3" t="s">
        <v>26</v>
      </c>
      <c r="K1832" s="3" t="s">
        <v>38</v>
      </c>
      <c r="L1832" t="str">
        <f>IFERROR(VLOOKUP(D1832,Products!$A$2:$F$61,3,FALSE()),"")</f>
        <v>Apparel</v>
      </c>
      <c r="M1832" t="str">
        <f>IFERROR(VLOOKUP(E1832,Sales_Reps!$A$2:$C$31,3,FALSE()),"")</f>
        <v>East</v>
      </c>
      <c r="N1832">
        <f>IFERROR(VLOOKUP(D1832,Products!$A$2:$F$61,4,FALSE()),"")</f>
        <v>1962</v>
      </c>
      <c r="O1832" t="str">
        <f>IFERROR(VLOOKUP(C1832,Customers!$A$2:$F$301,5,FALSE()),"")</f>
        <v>Retail</v>
      </c>
      <c r="P1832">
        <f>IFERROR(VLOOKUP(C1832,Customers!$A$2:$F$301,3,FALSE()),"")</f>
        <v>43</v>
      </c>
      <c r="Q1832">
        <f t="shared" si="84"/>
        <v>0.2786764705882353</v>
      </c>
      <c r="R1832">
        <f>IF(AND(COUNTIF($A$2:$A$2047,A1832)&gt;1,COUNTIF($A$2:A1832,A1832)=1),1,0)</f>
        <v>0</v>
      </c>
      <c r="S1832" t="b">
        <f>IFERROR(VLOOKUP(D1832,Products!$A$2:$F$61,6,FALSE()),"")</f>
        <v>1</v>
      </c>
      <c r="T1832" t="str">
        <f>IF(COUNTIF(Customers!$A$2:$A$301,C1832)=0,"Missing","OK")</f>
        <v>OK</v>
      </c>
      <c r="U1832" t="str">
        <f t="shared" si="85"/>
        <v>Delhi</v>
      </c>
      <c r="V1832">
        <f t="shared" si="86"/>
        <v>0</v>
      </c>
    </row>
    <row r="1833" spans="1:22" ht="15" customHeight="1" x14ac:dyDescent="0.35">
      <c r="A1833" s="3" t="s">
        <v>2269</v>
      </c>
      <c r="B1833" s="4">
        <v>45633</v>
      </c>
      <c r="C1833" s="3" t="s">
        <v>834</v>
      </c>
      <c r="D1833" s="3" t="s">
        <v>134</v>
      </c>
      <c r="E1833" s="3" t="s">
        <v>78</v>
      </c>
      <c r="F1833" s="5">
        <v>6</v>
      </c>
      <c r="G1833" s="5">
        <v>2860</v>
      </c>
      <c r="H1833" s="5">
        <v>10.5</v>
      </c>
      <c r="I1833" s="5">
        <v>15358.2</v>
      </c>
      <c r="J1833" s="3" t="s">
        <v>79</v>
      </c>
      <c r="K1833" s="3" t="s">
        <v>56</v>
      </c>
      <c r="L1833" t="str">
        <f>IFERROR(VLOOKUP(D1833,Products!$A$2:$F$61,3,FALSE()),"")</f>
        <v>Sports</v>
      </c>
      <c r="M1833" t="str">
        <f>IFERROR(VLOOKUP(E1833,Sales_Reps!$A$2:$C$31,3,FALSE()),"")</f>
        <v>North</v>
      </c>
      <c r="N1833">
        <f>IFERROR(VLOOKUP(D1833,Products!$A$2:$F$61,4,FALSE()),"")</f>
        <v>2028</v>
      </c>
      <c r="O1833" t="str">
        <f>IFERROR(VLOOKUP(C1833,Customers!$A$2:$F$301,5,FALSE()),"")</f>
        <v>Retail</v>
      </c>
      <c r="P1833">
        <f>IFERROR(VLOOKUP(C1833,Customers!$A$2:$F$301,3,FALSE()),"")</f>
        <v>46</v>
      </c>
      <c r="Q1833">
        <f t="shared" si="84"/>
        <v>0.29090909090909089</v>
      </c>
      <c r="R1833">
        <f>IF(AND(COUNTIF($A$2:$A$2047,A1833)&gt;1,COUNTIF($A$2:A1833,A1833)=1),1,0)</f>
        <v>0</v>
      </c>
      <c r="S1833" t="b">
        <f>IFERROR(VLOOKUP(D1833,Products!$A$2:$F$61,6,FALSE()),"")</f>
        <v>1</v>
      </c>
      <c r="T1833" t="str">
        <f>IF(COUNTIF(Customers!$A$2:$A$301,C1833)=0,"Missing","OK")</f>
        <v>OK</v>
      </c>
      <c r="U1833" t="str">
        <f t="shared" si="85"/>
        <v>Bengaluru</v>
      </c>
      <c r="V1833">
        <f t="shared" si="86"/>
        <v>0</v>
      </c>
    </row>
    <row r="1834" spans="1:22" ht="15" customHeight="1" x14ac:dyDescent="0.35">
      <c r="A1834" s="3" t="s">
        <v>2270</v>
      </c>
      <c r="B1834" s="4">
        <v>45305</v>
      </c>
      <c r="C1834" s="3" t="s">
        <v>494</v>
      </c>
      <c r="D1834" s="3" t="s">
        <v>294</v>
      </c>
      <c r="E1834" s="3" t="s">
        <v>131</v>
      </c>
      <c r="F1834" s="5">
        <v>1</v>
      </c>
      <c r="G1834" s="5">
        <v>2510</v>
      </c>
      <c r="H1834" s="5">
        <v>12</v>
      </c>
      <c r="I1834" s="5">
        <v>2208.8000000000002</v>
      </c>
      <c r="J1834" s="3" t="s">
        <v>26</v>
      </c>
      <c r="K1834" s="3" t="s">
        <v>51</v>
      </c>
      <c r="L1834" t="str">
        <f>IFERROR(VLOOKUP(D1834,Products!$A$2:$F$61,3,FALSE()),"")</f>
        <v>Apparel</v>
      </c>
      <c r="M1834" t="str">
        <f>IFERROR(VLOOKUP(E1834,Sales_Reps!$A$2:$C$31,3,FALSE()),"")</f>
        <v>East</v>
      </c>
      <c r="N1834">
        <f>IFERROR(VLOOKUP(D1834,Products!$A$2:$F$61,4,FALSE()),"")</f>
        <v>1075</v>
      </c>
      <c r="O1834" t="str">
        <f>IFERROR(VLOOKUP(C1834,Customers!$A$2:$F$301,5,FALSE()),"")</f>
        <v>Retail</v>
      </c>
      <c r="P1834">
        <f>IFERROR(VLOOKUP(C1834,Customers!$A$2:$F$301,3,FALSE()),"")</f>
        <v>37</v>
      </c>
      <c r="Q1834">
        <f t="shared" si="84"/>
        <v>0.57171314741035861</v>
      </c>
      <c r="R1834">
        <f>IF(AND(COUNTIF($A$2:$A$2047,A1834)&gt;1,COUNTIF($A$2:A1834,A1834)=1),1,0)</f>
        <v>0</v>
      </c>
      <c r="S1834" t="b">
        <f>IFERROR(VLOOKUP(D1834,Products!$A$2:$F$61,6,FALSE()),"")</f>
        <v>0</v>
      </c>
      <c r="T1834" t="str">
        <f>IF(COUNTIF(Customers!$A$2:$A$301,C1834)=0,"Missing","OK")</f>
        <v>OK</v>
      </c>
      <c r="U1834" t="str">
        <f t="shared" si="85"/>
        <v>Mumbai</v>
      </c>
      <c r="V1834">
        <f t="shared" si="86"/>
        <v>0</v>
      </c>
    </row>
    <row r="1835" spans="1:22" ht="15" customHeight="1" x14ac:dyDescent="0.35">
      <c r="A1835" s="3" t="s">
        <v>2271</v>
      </c>
      <c r="B1835" s="4">
        <v>45593</v>
      </c>
      <c r="C1835" s="3" t="s">
        <v>521</v>
      </c>
      <c r="D1835" s="3" t="s">
        <v>294</v>
      </c>
      <c r="E1835" s="3" t="s">
        <v>131</v>
      </c>
      <c r="F1835" s="5">
        <v>4</v>
      </c>
      <c r="G1835" s="5">
        <v>2510</v>
      </c>
      <c r="H1835" s="5">
        <v>23.2</v>
      </c>
      <c r="I1835" s="5">
        <v>7710.72</v>
      </c>
      <c r="J1835" s="3" t="s">
        <v>26</v>
      </c>
      <c r="K1835" s="3" t="s">
        <v>33</v>
      </c>
      <c r="L1835" t="str">
        <f>IFERROR(VLOOKUP(D1835,Products!$A$2:$F$61,3,FALSE()),"")</f>
        <v>Apparel</v>
      </c>
      <c r="M1835" t="str">
        <f>IFERROR(VLOOKUP(E1835,Sales_Reps!$A$2:$C$31,3,FALSE()),"")</f>
        <v>East</v>
      </c>
      <c r="N1835">
        <f>IFERROR(VLOOKUP(D1835,Products!$A$2:$F$61,4,FALSE()),"")</f>
        <v>1075</v>
      </c>
      <c r="O1835" t="str">
        <f>IFERROR(VLOOKUP(C1835,Customers!$A$2:$F$301,5,FALSE()),"")</f>
        <v>SMB</v>
      </c>
      <c r="P1835">
        <f>IFERROR(VLOOKUP(C1835,Customers!$A$2:$F$301,3,FALSE()),"")</f>
        <v>59</v>
      </c>
      <c r="Q1835">
        <f t="shared" si="84"/>
        <v>0.57171314741035861</v>
      </c>
      <c r="R1835">
        <f>IF(AND(COUNTIF($A$2:$A$2047,A1835)&gt;1,COUNTIF($A$2:A1835,A1835)=1),1,0)</f>
        <v>0</v>
      </c>
      <c r="S1835" t="b">
        <f>IFERROR(VLOOKUP(D1835,Products!$A$2:$F$61,6,FALSE()),"")</f>
        <v>0</v>
      </c>
      <c r="T1835" t="str">
        <f>IF(COUNTIF(Customers!$A$2:$A$301,C1835)=0,"Missing","OK")</f>
        <v>OK</v>
      </c>
      <c r="U1835" t="str">
        <f t="shared" si="85"/>
        <v>Chennai</v>
      </c>
      <c r="V1835">
        <f t="shared" si="86"/>
        <v>0</v>
      </c>
    </row>
    <row r="1836" spans="1:22" ht="15" customHeight="1" x14ac:dyDescent="0.35">
      <c r="A1836" s="3" t="s">
        <v>2272</v>
      </c>
      <c r="B1836" s="4">
        <v>45555</v>
      </c>
      <c r="C1836" s="3" t="s">
        <v>1004</v>
      </c>
      <c r="D1836" s="3" t="s">
        <v>319</v>
      </c>
      <c r="E1836" s="3" t="s">
        <v>31</v>
      </c>
      <c r="F1836" s="5">
        <v>8</v>
      </c>
      <c r="G1836" s="5">
        <v>960</v>
      </c>
      <c r="H1836" s="5">
        <v>20.3</v>
      </c>
      <c r="I1836" s="5">
        <v>6120.96</v>
      </c>
      <c r="J1836" s="3" t="s">
        <v>32</v>
      </c>
      <c r="K1836" s="3" t="s">
        <v>33</v>
      </c>
      <c r="L1836" t="str">
        <f>IFERROR(VLOOKUP(D1836,Products!$A$2:$F$61,3,FALSE()),"")</f>
        <v>Beauty</v>
      </c>
      <c r="M1836" t="str">
        <f>IFERROR(VLOOKUP(E1836,Sales_Reps!$A$2:$C$31,3,FALSE()),"")</f>
        <v>North</v>
      </c>
      <c r="N1836">
        <f>IFERROR(VLOOKUP(D1836,Products!$A$2:$F$61,4,FALSE()),"")</f>
        <v>675</v>
      </c>
      <c r="O1836" t="str">
        <f>IFERROR(VLOOKUP(C1836,Customers!$A$2:$F$301,5,FALSE()),"")</f>
        <v>Retail</v>
      </c>
      <c r="P1836">
        <f>IFERROR(VLOOKUP(C1836,Customers!$A$2:$F$301,3,FALSE()),"")</f>
        <v>49</v>
      </c>
      <c r="Q1836">
        <f t="shared" si="84"/>
        <v>0.296875</v>
      </c>
      <c r="R1836">
        <f>IF(AND(COUNTIF($A$2:$A$2047,A1836)&gt;1,COUNTIF($A$2:A1836,A1836)=1),1,0)</f>
        <v>0</v>
      </c>
      <c r="S1836" t="b">
        <f>IFERROR(VLOOKUP(D1836,Products!$A$2:$F$61,6,FALSE()),"")</f>
        <v>1</v>
      </c>
      <c r="T1836" t="str">
        <f>IF(COUNTIF(Customers!$A$2:$A$301,C1836)=0,"Missing","OK")</f>
        <v>OK</v>
      </c>
      <c r="U1836" t="str">
        <f t="shared" si="85"/>
        <v>Chennai</v>
      </c>
      <c r="V1836">
        <f t="shared" si="86"/>
        <v>0</v>
      </c>
    </row>
    <row r="1837" spans="1:22" ht="15" customHeight="1" x14ac:dyDescent="0.35">
      <c r="A1837" s="3" t="s">
        <v>2273</v>
      </c>
      <c r="B1837" s="4">
        <v>45406</v>
      </c>
      <c r="C1837" s="3" t="s">
        <v>1992</v>
      </c>
      <c r="D1837" s="3" t="s">
        <v>63</v>
      </c>
      <c r="E1837" s="3" t="s">
        <v>71</v>
      </c>
      <c r="F1837" s="5">
        <v>3</v>
      </c>
      <c r="G1837" s="5">
        <v>5490</v>
      </c>
      <c r="H1837" s="5">
        <v>25.2</v>
      </c>
      <c r="I1837" s="5">
        <v>12319.56</v>
      </c>
      <c r="J1837" s="3" t="s">
        <v>26</v>
      </c>
      <c r="K1837" s="3" t="s">
        <v>72</v>
      </c>
      <c r="L1837" t="str">
        <f>IFERROR(VLOOKUP(D1837,Products!$A$2:$F$61,3,FALSE()),"")</f>
        <v>Home</v>
      </c>
      <c r="M1837" t="str">
        <f>IFERROR(VLOOKUP(E1837,Sales_Reps!$A$2:$C$31,3,FALSE()),"")</f>
        <v>South</v>
      </c>
      <c r="N1837">
        <f>IFERROR(VLOOKUP(D1837,Products!$A$2:$F$61,4,FALSE()),"")</f>
        <v>2549</v>
      </c>
      <c r="O1837" t="str">
        <f>IFERROR(VLOOKUP(C1837,Customers!$A$2:$F$301,5,FALSE()),"")</f>
        <v>SMB</v>
      </c>
      <c r="P1837">
        <f>IFERROR(VLOOKUP(C1837,Customers!$A$2:$F$301,3,FALSE()),"")</f>
        <v>39</v>
      </c>
      <c r="Q1837">
        <f t="shared" si="84"/>
        <v>0.53570127504553733</v>
      </c>
      <c r="R1837">
        <f>IF(AND(COUNTIF($A$2:$A$2047,A1837)&gt;1,COUNTIF($A$2:A1837,A1837)=1),1,0)</f>
        <v>0</v>
      </c>
      <c r="S1837" t="b">
        <f>IFERROR(VLOOKUP(D1837,Products!$A$2:$F$61,6,FALSE()),"")</f>
        <v>1</v>
      </c>
      <c r="T1837" t="str">
        <f>IF(COUNTIF(Customers!$A$2:$A$301,C1837)=0,"Missing","OK")</f>
        <v>OK</v>
      </c>
      <c r="U1837" t="str">
        <f t="shared" si="85"/>
        <v>Hyderabad</v>
      </c>
      <c r="V1837">
        <f t="shared" si="86"/>
        <v>0</v>
      </c>
    </row>
    <row r="1838" spans="1:22" ht="15" customHeight="1" x14ac:dyDescent="0.35">
      <c r="A1838" s="3" t="s">
        <v>2274</v>
      </c>
      <c r="B1838" s="4">
        <v>45647</v>
      </c>
      <c r="C1838" s="3" t="s">
        <v>884</v>
      </c>
      <c r="D1838" s="3" t="s">
        <v>294</v>
      </c>
      <c r="E1838" s="3" t="s">
        <v>42</v>
      </c>
      <c r="F1838" s="5">
        <v>2</v>
      </c>
      <c r="G1838" s="5">
        <v>2510</v>
      </c>
      <c r="H1838" s="5">
        <v>28.2</v>
      </c>
      <c r="I1838" s="5">
        <v>3604.36</v>
      </c>
      <c r="J1838" s="3" t="s">
        <v>26</v>
      </c>
      <c r="K1838" s="3" t="s">
        <v>27</v>
      </c>
      <c r="L1838" t="str">
        <f>IFERROR(VLOOKUP(D1838,Products!$A$2:$F$61,3,FALSE()),"")</f>
        <v>Apparel</v>
      </c>
      <c r="M1838" t="str">
        <f>IFERROR(VLOOKUP(E1838,Sales_Reps!$A$2:$C$31,3,FALSE()),"")</f>
        <v>North</v>
      </c>
      <c r="N1838">
        <f>IFERROR(VLOOKUP(D1838,Products!$A$2:$F$61,4,FALSE()),"")</f>
        <v>1075</v>
      </c>
      <c r="O1838" t="str">
        <f>IFERROR(VLOOKUP(C1838,Customers!$A$2:$F$301,5,FALSE()),"")</f>
        <v>Retail</v>
      </c>
      <c r="P1838">
        <f>IFERROR(VLOOKUP(C1838,Customers!$A$2:$F$301,3,FALSE()),"")</f>
        <v>54</v>
      </c>
      <c r="Q1838">
        <f t="shared" si="84"/>
        <v>0.57171314741035861</v>
      </c>
      <c r="R1838">
        <f>IF(AND(COUNTIF($A$2:$A$2047,A1838)&gt;1,COUNTIF($A$2:A1838,A1838)=1),1,0)</f>
        <v>0</v>
      </c>
      <c r="S1838" t="b">
        <f>IFERROR(VLOOKUP(D1838,Products!$A$2:$F$61,6,FALSE()),"")</f>
        <v>0</v>
      </c>
      <c r="T1838" t="str">
        <f>IF(COUNTIF(Customers!$A$2:$A$301,C1838)=0,"Missing","OK")</f>
        <v>OK</v>
      </c>
      <c r="U1838" t="str">
        <f t="shared" si="85"/>
        <v>Pune</v>
      </c>
      <c r="V1838">
        <f t="shared" si="86"/>
        <v>0</v>
      </c>
    </row>
    <row r="1839" spans="1:22" ht="15" customHeight="1" x14ac:dyDescent="0.35">
      <c r="A1839" s="3" t="s">
        <v>2275</v>
      </c>
      <c r="B1839" s="4">
        <v>45386</v>
      </c>
      <c r="C1839" s="3" t="s">
        <v>736</v>
      </c>
      <c r="D1839" s="3" t="s">
        <v>30</v>
      </c>
      <c r="E1839" s="3" t="s">
        <v>212</v>
      </c>
      <c r="F1839" s="5">
        <v>1</v>
      </c>
      <c r="G1839" s="5">
        <v>820</v>
      </c>
      <c r="H1839" s="5">
        <v>4.7</v>
      </c>
      <c r="I1839" s="5">
        <v>781.46</v>
      </c>
      <c r="J1839" s="3" t="s">
        <v>26</v>
      </c>
      <c r="K1839" s="3" t="s">
        <v>38</v>
      </c>
      <c r="L1839" t="str">
        <f>IFERROR(VLOOKUP(D1839,Products!$A$2:$F$61,3,FALSE()),"")</f>
        <v>Apparel</v>
      </c>
      <c r="M1839" t="str">
        <f>IFERROR(VLOOKUP(E1839,Sales_Reps!$A$2:$C$31,3,FALSE()),"")</f>
        <v>South</v>
      </c>
      <c r="N1839">
        <f>IFERROR(VLOOKUP(D1839,Products!$A$2:$F$61,4,FALSE()),"")</f>
        <v>391</v>
      </c>
      <c r="O1839" t="str">
        <f>IFERROR(VLOOKUP(C1839,Customers!$A$2:$F$301,5,FALSE()),"")</f>
        <v>Retail</v>
      </c>
      <c r="P1839">
        <f>IFERROR(VLOOKUP(C1839,Customers!$A$2:$F$301,3,FALSE()),"")</f>
        <v>63</v>
      </c>
      <c r="Q1839">
        <f t="shared" si="84"/>
        <v>0.52317073170731709</v>
      </c>
      <c r="R1839">
        <f>IF(AND(COUNTIF($A$2:$A$2047,A1839)&gt;1,COUNTIF($A$2:A1839,A1839)=1),1,0)</f>
        <v>0</v>
      </c>
      <c r="S1839" t="b">
        <f>IFERROR(VLOOKUP(D1839,Products!$A$2:$F$61,6,FALSE()),"")</f>
        <v>1</v>
      </c>
      <c r="T1839" t="str">
        <f>IF(COUNTIF(Customers!$A$2:$A$301,C1839)=0,"Missing","OK")</f>
        <v>OK</v>
      </c>
      <c r="U1839" t="str">
        <f t="shared" si="85"/>
        <v>Delhi</v>
      </c>
      <c r="V1839">
        <f t="shared" si="86"/>
        <v>0</v>
      </c>
    </row>
    <row r="1840" spans="1:22" ht="15" customHeight="1" x14ac:dyDescent="0.35">
      <c r="A1840" s="3" t="s">
        <v>2276</v>
      </c>
      <c r="B1840" s="4">
        <v>45453</v>
      </c>
      <c r="C1840" s="3" t="s">
        <v>289</v>
      </c>
      <c r="D1840" s="3" t="s">
        <v>221</v>
      </c>
      <c r="E1840" s="3" t="s">
        <v>242</v>
      </c>
      <c r="F1840" s="5">
        <v>6</v>
      </c>
      <c r="G1840" s="5">
        <v>300</v>
      </c>
      <c r="H1840" s="5">
        <v>13.3</v>
      </c>
      <c r="I1840" s="5">
        <v>1560.6</v>
      </c>
      <c r="J1840" s="3" t="s">
        <v>26</v>
      </c>
      <c r="K1840" s="3" t="s">
        <v>51</v>
      </c>
      <c r="L1840" t="str">
        <f>IFERROR(VLOOKUP(D1840,Products!$A$2:$F$61,3,FALSE()),"")</f>
        <v>Electronics</v>
      </c>
      <c r="M1840" t="str">
        <f>IFERROR(VLOOKUP(E1840,Sales_Reps!$A$2:$C$31,3,FALSE()),"")</f>
        <v>East</v>
      </c>
      <c r="N1840">
        <f>IFERROR(VLOOKUP(D1840,Products!$A$2:$F$61,4,FALSE()),"")</f>
        <v>128</v>
      </c>
      <c r="O1840" t="str">
        <f>IFERROR(VLOOKUP(C1840,Customers!$A$2:$F$301,5,FALSE()),"")</f>
        <v>SMB</v>
      </c>
      <c r="P1840">
        <f>IFERROR(VLOOKUP(C1840,Customers!$A$2:$F$301,3,FALSE()),"")</f>
        <v>22</v>
      </c>
      <c r="Q1840">
        <f t="shared" si="84"/>
        <v>0.57333333333333336</v>
      </c>
      <c r="R1840">
        <f>IF(AND(COUNTIF($A$2:$A$2047,A1840)&gt;1,COUNTIF($A$2:A1840,A1840)=1),1,0)</f>
        <v>0</v>
      </c>
      <c r="S1840" t="b">
        <f>IFERROR(VLOOKUP(D1840,Products!$A$2:$F$61,6,FALSE()),"")</f>
        <v>1</v>
      </c>
      <c r="T1840" t="str">
        <f>IF(COUNTIF(Customers!$A$2:$A$301,C1840)=0,"Missing","OK")</f>
        <v>OK</v>
      </c>
      <c r="U1840" t="str">
        <f t="shared" si="85"/>
        <v>Mumbai</v>
      </c>
      <c r="V1840">
        <f t="shared" si="86"/>
        <v>0</v>
      </c>
    </row>
    <row r="1841" spans="1:22" ht="15" customHeight="1" x14ac:dyDescent="0.35">
      <c r="A1841" s="3" t="s">
        <v>2277</v>
      </c>
      <c r="B1841" s="4">
        <v>45492</v>
      </c>
      <c r="C1841" s="3" t="s">
        <v>44</v>
      </c>
      <c r="D1841" s="3" t="s">
        <v>118</v>
      </c>
      <c r="E1841" s="3" t="s">
        <v>285</v>
      </c>
      <c r="F1841" s="5">
        <v>4</v>
      </c>
      <c r="G1841" s="5">
        <v>3350</v>
      </c>
      <c r="H1841" s="5">
        <v>5.8</v>
      </c>
      <c r="I1841" s="5">
        <v>12622.8</v>
      </c>
      <c r="J1841" s="3" t="s">
        <v>32</v>
      </c>
      <c r="K1841" s="3" t="s">
        <v>33</v>
      </c>
      <c r="L1841" t="str">
        <f>IFERROR(VLOOKUP(D1841,Products!$A$2:$F$61,3,FALSE()),"")</f>
        <v>Beauty</v>
      </c>
      <c r="M1841" t="str">
        <f>IFERROR(VLOOKUP(E1841,Sales_Reps!$A$2:$C$31,3,FALSE()),"")</f>
        <v>South</v>
      </c>
      <c r="N1841">
        <f>IFERROR(VLOOKUP(D1841,Products!$A$2:$F$61,4,FALSE()),"")</f>
        <v>1728</v>
      </c>
      <c r="O1841" t="str">
        <f>IFERROR(VLOOKUP(C1841,Customers!$A$2:$F$301,5,FALSE()),"")</f>
        <v>Retail</v>
      </c>
      <c r="P1841">
        <f>IFERROR(VLOOKUP(C1841,Customers!$A$2:$F$301,3,FALSE()),"")</f>
        <v>36</v>
      </c>
      <c r="Q1841">
        <f t="shared" si="84"/>
        <v>0.48417910447761192</v>
      </c>
      <c r="R1841">
        <f>IF(AND(COUNTIF($A$2:$A$2047,A1841)&gt;1,COUNTIF($A$2:A1841,A1841)=1),1,0)</f>
        <v>0</v>
      </c>
      <c r="S1841" t="b">
        <f>IFERROR(VLOOKUP(D1841,Products!$A$2:$F$61,6,FALSE()),"")</f>
        <v>1</v>
      </c>
      <c r="T1841" t="str">
        <f>IF(COUNTIF(Customers!$A$2:$A$301,C1841)=0,"Missing","OK")</f>
        <v>OK</v>
      </c>
      <c r="U1841" t="str">
        <f t="shared" si="85"/>
        <v>Chennai</v>
      </c>
      <c r="V1841">
        <f t="shared" si="86"/>
        <v>0</v>
      </c>
    </row>
    <row r="1842" spans="1:22" ht="15" customHeight="1" x14ac:dyDescent="0.35">
      <c r="A1842" s="3" t="s">
        <v>2278</v>
      </c>
      <c r="B1842" s="4">
        <v>45605</v>
      </c>
      <c r="C1842" s="3" t="s">
        <v>1755</v>
      </c>
      <c r="D1842" s="3" t="s">
        <v>82</v>
      </c>
      <c r="E1842" s="3" t="s">
        <v>50</v>
      </c>
      <c r="F1842" s="5">
        <v>3</v>
      </c>
      <c r="G1842" s="5">
        <v>3250</v>
      </c>
      <c r="H1842" s="5">
        <v>19.600000000000001</v>
      </c>
      <c r="I1842" s="5">
        <v>7839</v>
      </c>
      <c r="J1842" s="3" t="s">
        <v>32</v>
      </c>
      <c r="K1842" s="3" t="s">
        <v>38</v>
      </c>
      <c r="L1842" t="str">
        <f>IFERROR(VLOOKUP(D1842,Products!$A$2:$F$61,3,FALSE()),"")</f>
        <v>Home</v>
      </c>
      <c r="M1842" t="str">
        <f>IFERROR(VLOOKUP(E1842,Sales_Reps!$A$2:$C$31,3,FALSE()),"")</f>
        <v>West</v>
      </c>
      <c r="N1842">
        <f>IFERROR(VLOOKUP(D1842,Products!$A$2:$F$61,4,FALSE()),"")</f>
        <v>1556</v>
      </c>
      <c r="O1842" t="str">
        <f>IFERROR(VLOOKUP(C1842,Customers!$A$2:$F$301,5,FALSE()),"")</f>
        <v>Retail</v>
      </c>
      <c r="P1842">
        <f>IFERROR(VLOOKUP(C1842,Customers!$A$2:$F$301,3,FALSE()),"")</f>
        <v>62</v>
      </c>
      <c r="Q1842">
        <f t="shared" si="84"/>
        <v>0.52123076923076928</v>
      </c>
      <c r="R1842">
        <f>IF(AND(COUNTIF($A$2:$A$2047,A1842)&gt;1,COUNTIF($A$2:A1842,A1842)=1),1,0)</f>
        <v>0</v>
      </c>
      <c r="S1842" t="b">
        <f>IFERROR(VLOOKUP(D1842,Products!$A$2:$F$61,6,FALSE()),"")</f>
        <v>1</v>
      </c>
      <c r="T1842" t="str">
        <f>IF(COUNTIF(Customers!$A$2:$A$301,C1842)=0,"Missing","OK")</f>
        <v>OK</v>
      </c>
      <c r="U1842" t="str">
        <f t="shared" si="85"/>
        <v>Delhi</v>
      </c>
      <c r="V1842">
        <f t="shared" si="86"/>
        <v>0</v>
      </c>
    </row>
    <row r="1843" spans="1:22" ht="15" customHeight="1" x14ac:dyDescent="0.35">
      <c r="A1843" s="3" t="s">
        <v>2279</v>
      </c>
      <c r="B1843" s="4">
        <v>45344</v>
      </c>
      <c r="C1843" s="3" t="s">
        <v>92</v>
      </c>
      <c r="D1843" s="3" t="s">
        <v>115</v>
      </c>
      <c r="E1843" s="3" t="s">
        <v>282</v>
      </c>
      <c r="F1843" s="5">
        <v>10</v>
      </c>
      <c r="G1843" s="5">
        <v>1650</v>
      </c>
      <c r="H1843" s="5">
        <v>22.5</v>
      </c>
      <c r="I1843" s="5">
        <v>12787.5</v>
      </c>
      <c r="J1843" s="3" t="s">
        <v>79</v>
      </c>
      <c r="K1843" s="3" t="s">
        <v>56</v>
      </c>
      <c r="L1843" t="str">
        <f>IFERROR(VLOOKUP(D1843,Products!$A$2:$F$61,3,FALSE()),"")</f>
        <v>Beauty</v>
      </c>
      <c r="M1843" t="str">
        <f>IFERROR(VLOOKUP(E1843,Sales_Reps!$A$2:$C$31,3,FALSE()),"")</f>
        <v>West</v>
      </c>
      <c r="N1843">
        <f>IFERROR(VLOOKUP(D1843,Products!$A$2:$F$61,4,FALSE()),"")</f>
        <v>1222</v>
      </c>
      <c r="O1843" t="str">
        <f>IFERROR(VLOOKUP(C1843,Customers!$A$2:$F$301,5,FALSE()),"")</f>
        <v>SMB</v>
      </c>
      <c r="P1843">
        <f>IFERROR(VLOOKUP(C1843,Customers!$A$2:$F$301,3,FALSE()),"")</f>
        <v>46</v>
      </c>
      <c r="Q1843">
        <f t="shared" si="84"/>
        <v>0.2593939393939394</v>
      </c>
      <c r="R1843">
        <f>IF(AND(COUNTIF($A$2:$A$2047,A1843)&gt;1,COUNTIF($A$2:A1843,A1843)=1),1,0)</f>
        <v>0</v>
      </c>
      <c r="S1843" t="b">
        <f>IFERROR(VLOOKUP(D1843,Products!$A$2:$F$61,6,FALSE()),"")</f>
        <v>1</v>
      </c>
      <c r="T1843" t="str">
        <f>IF(COUNTIF(Customers!$A$2:$A$301,C1843)=0,"Missing","OK")</f>
        <v>OK</v>
      </c>
      <c r="U1843" t="str">
        <f t="shared" si="85"/>
        <v>Bengaluru</v>
      </c>
      <c r="V1843">
        <f t="shared" si="86"/>
        <v>0</v>
      </c>
    </row>
    <row r="1844" spans="1:22" ht="15" customHeight="1" x14ac:dyDescent="0.35">
      <c r="A1844" s="3" t="s">
        <v>2280</v>
      </c>
      <c r="B1844" s="4">
        <v>45506</v>
      </c>
      <c r="C1844" s="3" t="s">
        <v>691</v>
      </c>
      <c r="D1844" s="3" t="s">
        <v>206</v>
      </c>
      <c r="E1844" s="3" t="s">
        <v>140</v>
      </c>
      <c r="F1844" s="5">
        <v>2</v>
      </c>
      <c r="G1844" s="5">
        <v>1220</v>
      </c>
      <c r="H1844" s="5">
        <v>10.5</v>
      </c>
      <c r="I1844" s="5">
        <v>2183.8000000000002</v>
      </c>
      <c r="J1844" s="3" t="s">
        <v>26</v>
      </c>
      <c r="K1844" s="3" t="s">
        <v>56</v>
      </c>
      <c r="L1844" t="str">
        <f>IFERROR(VLOOKUP(D1844,Products!$A$2:$F$61,3,FALSE()),"")</f>
        <v>Electronics</v>
      </c>
      <c r="M1844" t="str">
        <f>IFERROR(VLOOKUP(E1844,Sales_Reps!$A$2:$C$31,3,FALSE()),"")</f>
        <v>West</v>
      </c>
      <c r="N1844">
        <f>IFERROR(VLOOKUP(D1844,Products!$A$2:$F$61,4,FALSE()),"")</f>
        <v>517</v>
      </c>
      <c r="O1844" t="str">
        <f>IFERROR(VLOOKUP(C1844,Customers!$A$2:$F$301,5,FALSE()),"")</f>
        <v>Retail</v>
      </c>
      <c r="P1844">
        <f>IFERROR(VLOOKUP(C1844,Customers!$A$2:$F$301,3,FALSE()),"")</f>
        <v>32</v>
      </c>
      <c r="Q1844">
        <f t="shared" si="84"/>
        <v>0.57622950819672136</v>
      </c>
      <c r="R1844">
        <f>IF(AND(COUNTIF($A$2:$A$2047,A1844)&gt;1,COUNTIF($A$2:A1844,A1844)=1),1,0)</f>
        <v>0</v>
      </c>
      <c r="S1844" t="b">
        <f>IFERROR(VLOOKUP(D1844,Products!$A$2:$F$61,6,FALSE()),"")</f>
        <v>1</v>
      </c>
      <c r="T1844" t="str">
        <f>IF(COUNTIF(Customers!$A$2:$A$301,C1844)=0,"Missing","OK")</f>
        <v>OK</v>
      </c>
      <c r="U1844" t="str">
        <f t="shared" si="85"/>
        <v>Bengaluru</v>
      </c>
      <c r="V1844">
        <f t="shared" si="86"/>
        <v>0</v>
      </c>
    </row>
    <row r="1845" spans="1:22" ht="15" customHeight="1" x14ac:dyDescent="0.35">
      <c r="A1845" s="3" t="s">
        <v>2281</v>
      </c>
      <c r="B1845" s="4">
        <v>45521</v>
      </c>
      <c r="C1845" s="3" t="s">
        <v>251</v>
      </c>
      <c r="D1845" s="3" t="s">
        <v>319</v>
      </c>
      <c r="E1845" s="3" t="s">
        <v>140</v>
      </c>
      <c r="F1845" s="5">
        <v>7</v>
      </c>
      <c r="G1845" s="5">
        <v>960</v>
      </c>
      <c r="H1845" s="5">
        <v>5.4</v>
      </c>
      <c r="I1845" s="5">
        <v>6357.12</v>
      </c>
      <c r="J1845" s="3" t="s">
        <v>83</v>
      </c>
      <c r="K1845" s="3" t="s">
        <v>72</v>
      </c>
      <c r="L1845" t="str">
        <f>IFERROR(VLOOKUP(D1845,Products!$A$2:$F$61,3,FALSE()),"")</f>
        <v>Beauty</v>
      </c>
      <c r="M1845" t="str">
        <f>IFERROR(VLOOKUP(E1845,Sales_Reps!$A$2:$C$31,3,FALSE()),"")</f>
        <v>West</v>
      </c>
      <c r="N1845">
        <f>IFERROR(VLOOKUP(D1845,Products!$A$2:$F$61,4,FALSE()),"")</f>
        <v>675</v>
      </c>
      <c r="O1845" t="str">
        <f>IFERROR(VLOOKUP(C1845,Customers!$A$2:$F$301,5,FALSE()),"")</f>
        <v>Retail</v>
      </c>
      <c r="P1845">
        <f>IFERROR(VLOOKUP(C1845,Customers!$A$2:$F$301,3,FALSE()),"")</f>
        <v>46</v>
      </c>
      <c r="Q1845">
        <f t="shared" si="84"/>
        <v>0.296875</v>
      </c>
      <c r="R1845">
        <f>IF(AND(COUNTIF($A$2:$A$2047,A1845)&gt;1,COUNTIF($A$2:A1845,A1845)=1),1,0)</f>
        <v>0</v>
      </c>
      <c r="S1845" t="b">
        <f>IFERROR(VLOOKUP(D1845,Products!$A$2:$F$61,6,FALSE()),"")</f>
        <v>1</v>
      </c>
      <c r="T1845" t="str">
        <f>IF(COUNTIF(Customers!$A$2:$A$301,C1845)=0,"Missing","OK")</f>
        <v>OK</v>
      </c>
      <c r="U1845" t="str">
        <f t="shared" si="85"/>
        <v>Hyderabad</v>
      </c>
      <c r="V1845">
        <f t="shared" si="86"/>
        <v>0</v>
      </c>
    </row>
    <row r="1846" spans="1:22" ht="15" customHeight="1" x14ac:dyDescent="0.35">
      <c r="A1846" s="3" t="s">
        <v>2282</v>
      </c>
      <c r="B1846" s="4">
        <v>45389</v>
      </c>
      <c r="C1846" s="3" t="s">
        <v>844</v>
      </c>
      <c r="D1846" s="3" t="s">
        <v>123</v>
      </c>
      <c r="E1846" s="3" t="s">
        <v>37</v>
      </c>
      <c r="F1846" s="5">
        <v>3</v>
      </c>
      <c r="G1846" s="5">
        <v>4880</v>
      </c>
      <c r="H1846" s="5">
        <v>17.100000000000001</v>
      </c>
      <c r="I1846" s="5">
        <v>12136.56</v>
      </c>
      <c r="J1846" s="3" t="s">
        <v>26</v>
      </c>
      <c r="K1846" s="3" t="s">
        <v>51</v>
      </c>
      <c r="L1846" t="str">
        <f>IFERROR(VLOOKUP(D1846,Products!$A$2:$F$61,3,FALSE()),"")</f>
        <v>Beauty</v>
      </c>
      <c r="M1846" t="str">
        <f>IFERROR(VLOOKUP(E1846,Sales_Reps!$A$2:$C$31,3,FALSE()),"")</f>
        <v>South</v>
      </c>
      <c r="N1846">
        <f>IFERROR(VLOOKUP(D1846,Products!$A$2:$F$61,4,FALSE()),"")</f>
        <v>2768</v>
      </c>
      <c r="O1846" t="str">
        <f>IFERROR(VLOOKUP(C1846,Customers!$A$2:$F$301,5,FALSE()),"")</f>
        <v>SMB</v>
      </c>
      <c r="P1846">
        <f>IFERROR(VLOOKUP(C1846,Customers!$A$2:$F$301,3,FALSE()),"")</f>
        <v>43</v>
      </c>
      <c r="Q1846">
        <f t="shared" si="84"/>
        <v>0.43278688524590164</v>
      </c>
      <c r="R1846">
        <f>IF(AND(COUNTIF($A$2:$A$2047,A1846)&gt;1,COUNTIF($A$2:A1846,A1846)=1),1,0)</f>
        <v>0</v>
      </c>
      <c r="S1846" t="b">
        <f>IFERROR(VLOOKUP(D1846,Products!$A$2:$F$61,6,FALSE()),"")</f>
        <v>1</v>
      </c>
      <c r="T1846" t="str">
        <f>IF(COUNTIF(Customers!$A$2:$A$301,C1846)=0,"Missing","OK")</f>
        <v>OK</v>
      </c>
      <c r="U1846" t="str">
        <f t="shared" si="85"/>
        <v>Mumbai</v>
      </c>
      <c r="V1846">
        <f t="shared" si="86"/>
        <v>0</v>
      </c>
    </row>
    <row r="1847" spans="1:22" ht="15" customHeight="1" x14ac:dyDescent="0.35">
      <c r="A1847" s="3" t="s">
        <v>2283</v>
      </c>
      <c r="B1847" s="4">
        <v>45390</v>
      </c>
      <c r="C1847" s="3" t="s">
        <v>521</v>
      </c>
      <c r="D1847" s="3" t="s">
        <v>70</v>
      </c>
      <c r="E1847" s="3" t="s">
        <v>67</v>
      </c>
      <c r="F1847" s="5">
        <v>5</v>
      </c>
      <c r="G1847" s="5">
        <v>2270</v>
      </c>
      <c r="H1847" s="5">
        <v>12.4</v>
      </c>
      <c r="I1847" s="5">
        <v>9942.6</v>
      </c>
      <c r="J1847" s="3" t="s">
        <v>26</v>
      </c>
      <c r="K1847" s="3" t="s">
        <v>33</v>
      </c>
      <c r="L1847" t="str">
        <f>IFERROR(VLOOKUP(D1847,Products!$A$2:$F$61,3,FALSE()),"")</f>
        <v>Grocery</v>
      </c>
      <c r="M1847" t="str">
        <f>IFERROR(VLOOKUP(E1847,Sales_Reps!$A$2:$C$31,3,FALSE()),"")</f>
        <v>West</v>
      </c>
      <c r="N1847">
        <f>IFERROR(VLOOKUP(D1847,Products!$A$2:$F$61,4,FALSE()),"")</f>
        <v>1203</v>
      </c>
      <c r="O1847" t="str">
        <f>IFERROR(VLOOKUP(C1847,Customers!$A$2:$F$301,5,FALSE()),"")</f>
        <v>SMB</v>
      </c>
      <c r="P1847">
        <f>IFERROR(VLOOKUP(C1847,Customers!$A$2:$F$301,3,FALSE()),"")</f>
        <v>59</v>
      </c>
      <c r="Q1847">
        <f t="shared" si="84"/>
        <v>0.47004405286343615</v>
      </c>
      <c r="R1847">
        <f>IF(AND(COUNTIF($A$2:$A$2047,A1847)&gt;1,COUNTIF($A$2:A1847,A1847)=1),1,0)</f>
        <v>0</v>
      </c>
      <c r="S1847" t="b">
        <f>IFERROR(VLOOKUP(D1847,Products!$A$2:$F$61,6,FALSE()),"")</f>
        <v>1</v>
      </c>
      <c r="T1847" t="str">
        <f>IF(COUNTIF(Customers!$A$2:$A$301,C1847)=0,"Missing","OK")</f>
        <v>OK</v>
      </c>
      <c r="U1847" t="str">
        <f t="shared" si="85"/>
        <v>Chennai</v>
      </c>
      <c r="V1847">
        <f t="shared" si="86"/>
        <v>0</v>
      </c>
    </row>
    <row r="1848" spans="1:22" ht="15" customHeight="1" x14ac:dyDescent="0.35">
      <c r="A1848" s="3" t="s">
        <v>2284</v>
      </c>
      <c r="B1848" s="4">
        <v>45413</v>
      </c>
      <c r="C1848" s="3" t="s">
        <v>552</v>
      </c>
      <c r="D1848" s="3" t="s">
        <v>441</v>
      </c>
      <c r="E1848" s="3" t="s">
        <v>67</v>
      </c>
      <c r="F1848" s="5">
        <v>1</v>
      </c>
      <c r="G1848" s="5">
        <v>1090</v>
      </c>
      <c r="H1848" s="5">
        <v>17.3</v>
      </c>
      <c r="I1848" s="5">
        <v>901.43</v>
      </c>
      <c r="J1848" s="3" t="s">
        <v>26</v>
      </c>
      <c r="K1848" s="3" t="s">
        <v>51</v>
      </c>
      <c r="L1848" t="str">
        <f>IFERROR(VLOOKUP(D1848,Products!$A$2:$F$61,3,FALSE()),"")</f>
        <v>Home</v>
      </c>
      <c r="M1848" t="str">
        <f>IFERROR(VLOOKUP(E1848,Sales_Reps!$A$2:$C$31,3,FALSE()),"")</f>
        <v>West</v>
      </c>
      <c r="N1848">
        <f>IFERROR(VLOOKUP(D1848,Products!$A$2:$F$61,4,FALSE()),"")</f>
        <v>464</v>
      </c>
      <c r="O1848" t="str">
        <f>IFERROR(VLOOKUP(C1848,Customers!$A$2:$F$301,5,FALSE()),"")</f>
        <v>Retail</v>
      </c>
      <c r="P1848">
        <f>IFERROR(VLOOKUP(C1848,Customers!$A$2:$F$301,3,FALSE()),"")</f>
        <v>44</v>
      </c>
      <c r="Q1848">
        <f t="shared" si="84"/>
        <v>0.57431192660550456</v>
      </c>
      <c r="R1848">
        <f>IF(AND(COUNTIF($A$2:$A$2047,A1848)&gt;1,COUNTIF($A$2:A1848,A1848)=1),1,0)</f>
        <v>0</v>
      </c>
      <c r="S1848" t="b">
        <f>IFERROR(VLOOKUP(D1848,Products!$A$2:$F$61,6,FALSE()),"")</f>
        <v>1</v>
      </c>
      <c r="T1848" t="str">
        <f>IF(COUNTIF(Customers!$A$2:$A$301,C1848)=0,"Missing","OK")</f>
        <v>OK</v>
      </c>
      <c r="U1848" t="str">
        <f t="shared" si="85"/>
        <v>Mumbai</v>
      </c>
      <c r="V1848">
        <f t="shared" si="86"/>
        <v>0</v>
      </c>
    </row>
    <row r="1849" spans="1:22" ht="15" customHeight="1" x14ac:dyDescent="0.35">
      <c r="A1849" s="3" t="s">
        <v>2285</v>
      </c>
      <c r="B1849" s="4">
        <v>45535</v>
      </c>
      <c r="C1849" s="3" t="s">
        <v>263</v>
      </c>
      <c r="D1849" s="3" t="s">
        <v>382</v>
      </c>
      <c r="E1849" s="3" t="s">
        <v>168</v>
      </c>
      <c r="F1849" s="5">
        <v>8</v>
      </c>
      <c r="G1849" s="5">
        <v>5080</v>
      </c>
      <c r="H1849" s="5">
        <v>0.9</v>
      </c>
      <c r="I1849" s="5">
        <v>40274.239999999998</v>
      </c>
      <c r="J1849" s="3" t="s">
        <v>26</v>
      </c>
      <c r="K1849" s="3" t="s">
        <v>72</v>
      </c>
      <c r="L1849" t="str">
        <f>IFERROR(VLOOKUP(D1849,Products!$A$2:$F$61,3,FALSE()),"")</f>
        <v>Home</v>
      </c>
      <c r="M1849" t="str">
        <f>IFERROR(VLOOKUP(E1849,Sales_Reps!$A$2:$C$31,3,FALSE()),"")</f>
        <v>West</v>
      </c>
      <c r="N1849">
        <f>IFERROR(VLOOKUP(D1849,Products!$A$2:$F$61,4,FALSE()),"")</f>
        <v>2459</v>
      </c>
      <c r="O1849" t="str">
        <f>IFERROR(VLOOKUP(C1849,Customers!$A$2:$F$301,5,FALSE()),"")</f>
        <v>Retail</v>
      </c>
      <c r="P1849">
        <f>IFERROR(VLOOKUP(C1849,Customers!$A$2:$F$301,3,FALSE()),"")</f>
        <v>28</v>
      </c>
      <c r="Q1849">
        <f t="shared" si="84"/>
        <v>0.51594488188976373</v>
      </c>
      <c r="R1849">
        <f>IF(AND(COUNTIF($A$2:$A$2047,A1849)&gt;1,COUNTIF($A$2:A1849,A1849)=1),1,0)</f>
        <v>0</v>
      </c>
      <c r="S1849" t="b">
        <f>IFERROR(VLOOKUP(D1849,Products!$A$2:$F$61,6,FALSE()),"")</f>
        <v>1</v>
      </c>
      <c r="T1849" t="str">
        <f>IF(COUNTIF(Customers!$A$2:$A$301,C1849)=0,"Missing","OK")</f>
        <v>OK</v>
      </c>
      <c r="U1849" t="str">
        <f t="shared" si="85"/>
        <v>Hyderabad</v>
      </c>
      <c r="V1849">
        <f t="shared" si="86"/>
        <v>0</v>
      </c>
    </row>
    <row r="1850" spans="1:22" ht="15" customHeight="1" x14ac:dyDescent="0.35">
      <c r="A1850" s="3" t="s">
        <v>2286</v>
      </c>
      <c r="B1850" s="4">
        <v>45569</v>
      </c>
      <c r="C1850" s="3" t="s">
        <v>795</v>
      </c>
      <c r="D1850" s="3" t="s">
        <v>209</v>
      </c>
      <c r="E1850" s="3" t="s">
        <v>177</v>
      </c>
      <c r="F1850" s="5">
        <v>7</v>
      </c>
      <c r="G1850" s="5">
        <v>4610</v>
      </c>
      <c r="H1850" s="5">
        <v>0.9</v>
      </c>
      <c r="I1850" s="5">
        <v>31979.57</v>
      </c>
      <c r="J1850" s="3" t="s">
        <v>26</v>
      </c>
      <c r="K1850" s="3" t="s">
        <v>27</v>
      </c>
      <c r="L1850" t="str">
        <f>IFERROR(VLOOKUP(D1850,Products!$A$2:$F$61,3,FALSE()),"")</f>
        <v>Home</v>
      </c>
      <c r="M1850" t="str">
        <f>IFERROR(VLOOKUP(E1850,Sales_Reps!$A$2:$C$31,3,FALSE()),"")</f>
        <v>East</v>
      </c>
      <c r="N1850">
        <f>IFERROR(VLOOKUP(D1850,Products!$A$2:$F$61,4,FALSE()),"")</f>
        <v>1850</v>
      </c>
      <c r="O1850" t="str">
        <f>IFERROR(VLOOKUP(C1850,Customers!$A$2:$F$301,5,FALSE()),"")</f>
        <v>SMB</v>
      </c>
      <c r="P1850">
        <f>IFERROR(VLOOKUP(C1850,Customers!$A$2:$F$301,3,FALSE()),"")</f>
        <v>59</v>
      </c>
      <c r="Q1850">
        <f t="shared" si="84"/>
        <v>0.59869848156182215</v>
      </c>
      <c r="R1850">
        <f>IF(AND(COUNTIF($A$2:$A$2047,A1850)&gt;1,COUNTIF($A$2:A1850,A1850)=1),1,0)</f>
        <v>0</v>
      </c>
      <c r="S1850" t="b">
        <f>IFERROR(VLOOKUP(D1850,Products!$A$2:$F$61,6,FALSE()),"")</f>
        <v>1</v>
      </c>
      <c r="T1850" t="str">
        <f>IF(COUNTIF(Customers!$A$2:$A$301,C1850)=0,"Missing","OK")</f>
        <v>OK</v>
      </c>
      <c r="U1850" t="str">
        <f t="shared" si="85"/>
        <v>Pune</v>
      </c>
      <c r="V1850">
        <f t="shared" si="86"/>
        <v>0</v>
      </c>
    </row>
    <row r="1851" spans="1:22" ht="15" customHeight="1" x14ac:dyDescent="0.35">
      <c r="A1851" s="3" t="s">
        <v>2287</v>
      </c>
      <c r="B1851" s="4">
        <v>45527</v>
      </c>
      <c r="C1851" s="3" t="s">
        <v>440</v>
      </c>
      <c r="D1851" s="3" t="s">
        <v>215</v>
      </c>
      <c r="E1851" s="3" t="s">
        <v>67</v>
      </c>
      <c r="F1851" s="5">
        <v>1</v>
      </c>
      <c r="G1851" s="5">
        <v>3020</v>
      </c>
      <c r="H1851" s="5">
        <v>10.3</v>
      </c>
      <c r="I1851" s="5">
        <v>2708.94</v>
      </c>
      <c r="J1851" s="3" t="s">
        <v>26</v>
      </c>
      <c r="K1851" s="3" t="s">
        <v>72</v>
      </c>
      <c r="L1851" t="str">
        <f>IFERROR(VLOOKUP(D1851,Products!$A$2:$F$61,3,FALSE()),"")</f>
        <v>Beauty</v>
      </c>
      <c r="M1851" t="str">
        <f>IFERROR(VLOOKUP(E1851,Sales_Reps!$A$2:$C$31,3,FALSE()),"")</f>
        <v>West</v>
      </c>
      <c r="N1851">
        <f>IFERROR(VLOOKUP(D1851,Products!$A$2:$F$61,4,FALSE()),"")</f>
        <v>1626</v>
      </c>
      <c r="O1851" t="str">
        <f>IFERROR(VLOOKUP(C1851,Customers!$A$2:$F$301,5,FALSE()),"")</f>
        <v>SMB</v>
      </c>
      <c r="P1851">
        <f>IFERROR(VLOOKUP(C1851,Customers!$A$2:$F$301,3,FALSE()),"")</f>
        <v>65</v>
      </c>
      <c r="Q1851">
        <f t="shared" si="84"/>
        <v>0.46158940397350995</v>
      </c>
      <c r="R1851">
        <f>IF(AND(COUNTIF($A$2:$A$2047,A1851)&gt;1,COUNTIF($A$2:A1851,A1851)=1),1,0)</f>
        <v>0</v>
      </c>
      <c r="S1851" t="b">
        <f>IFERROR(VLOOKUP(D1851,Products!$A$2:$F$61,6,FALSE()),"")</f>
        <v>1</v>
      </c>
      <c r="T1851" t="str">
        <f>IF(COUNTIF(Customers!$A$2:$A$301,C1851)=0,"Missing","OK")</f>
        <v>OK</v>
      </c>
      <c r="U1851" t="str">
        <f t="shared" si="85"/>
        <v>Hyderabad</v>
      </c>
      <c r="V1851">
        <f t="shared" si="86"/>
        <v>0</v>
      </c>
    </row>
    <row r="1852" spans="1:22" ht="15" customHeight="1" x14ac:dyDescent="0.35">
      <c r="A1852" s="3" t="s">
        <v>2288</v>
      </c>
      <c r="B1852" s="4">
        <v>45453</v>
      </c>
      <c r="C1852" s="3" t="s">
        <v>577</v>
      </c>
      <c r="D1852" s="3" t="s">
        <v>184</v>
      </c>
      <c r="E1852" s="3" t="s">
        <v>67</v>
      </c>
      <c r="F1852" s="5">
        <v>6</v>
      </c>
      <c r="G1852" s="5">
        <v>2270</v>
      </c>
      <c r="H1852" s="5">
        <v>23.1</v>
      </c>
      <c r="I1852" s="5">
        <v>10473.780000000001</v>
      </c>
      <c r="J1852" s="3" t="s">
        <v>26</v>
      </c>
      <c r="K1852" s="3" t="s">
        <v>38</v>
      </c>
      <c r="L1852" t="str">
        <f>IFERROR(VLOOKUP(D1852,Products!$A$2:$F$61,3,FALSE()),"")</f>
        <v>Grocery</v>
      </c>
      <c r="M1852" t="str">
        <f>IFERROR(VLOOKUP(E1852,Sales_Reps!$A$2:$C$31,3,FALSE()),"")</f>
        <v>West</v>
      </c>
      <c r="N1852">
        <f>IFERROR(VLOOKUP(D1852,Products!$A$2:$F$61,4,FALSE()),"")</f>
        <v>1412</v>
      </c>
      <c r="O1852" t="str">
        <f>IFERROR(VLOOKUP(C1852,Customers!$A$2:$F$301,5,FALSE()),"")</f>
        <v>Retail</v>
      </c>
      <c r="P1852">
        <f>IFERROR(VLOOKUP(C1852,Customers!$A$2:$F$301,3,FALSE()),"")</f>
        <v>43</v>
      </c>
      <c r="Q1852">
        <f t="shared" si="84"/>
        <v>0.37797356828193834</v>
      </c>
      <c r="R1852">
        <f>IF(AND(COUNTIF($A$2:$A$2047,A1852)&gt;1,COUNTIF($A$2:A1852,A1852)=1),1,0)</f>
        <v>0</v>
      </c>
      <c r="S1852" t="b">
        <f>IFERROR(VLOOKUP(D1852,Products!$A$2:$F$61,6,FALSE()),"")</f>
        <v>1</v>
      </c>
      <c r="T1852" t="str">
        <f>IF(COUNTIF(Customers!$A$2:$A$301,C1852)=0,"Missing","OK")</f>
        <v>OK</v>
      </c>
      <c r="U1852" t="str">
        <f t="shared" si="85"/>
        <v>Delhi</v>
      </c>
      <c r="V1852">
        <f t="shared" si="86"/>
        <v>0</v>
      </c>
    </row>
    <row r="1853" spans="1:22" ht="15" customHeight="1" x14ac:dyDescent="0.35">
      <c r="A1853" s="3" t="s">
        <v>2289</v>
      </c>
      <c r="B1853" s="4">
        <v>45605</v>
      </c>
      <c r="C1853" s="3" t="s">
        <v>81</v>
      </c>
      <c r="D1853" s="3" t="s">
        <v>203</v>
      </c>
      <c r="E1853" s="3" t="s">
        <v>71</v>
      </c>
      <c r="F1853" s="5">
        <v>6</v>
      </c>
      <c r="G1853" s="5">
        <v>4070</v>
      </c>
      <c r="H1853" s="5">
        <v>28.9</v>
      </c>
      <c r="I1853" s="5">
        <v>17362.62</v>
      </c>
      <c r="J1853" s="3" t="s">
        <v>26</v>
      </c>
      <c r="K1853" s="3" t="s">
        <v>27</v>
      </c>
      <c r="L1853" t="str">
        <f>IFERROR(VLOOKUP(D1853,Products!$A$2:$F$61,3,FALSE()),"")</f>
        <v>Grocery</v>
      </c>
      <c r="M1853" t="str">
        <f>IFERROR(VLOOKUP(E1853,Sales_Reps!$A$2:$C$31,3,FALSE()),"")</f>
        <v>South</v>
      </c>
      <c r="N1853">
        <f>IFERROR(VLOOKUP(D1853,Products!$A$2:$F$61,4,FALSE()),"")</f>
        <v>2027</v>
      </c>
      <c r="O1853" t="str">
        <f>IFERROR(VLOOKUP(C1853,Customers!$A$2:$F$301,5,FALSE()),"")</f>
        <v>SMB</v>
      </c>
      <c r="P1853">
        <f>IFERROR(VLOOKUP(C1853,Customers!$A$2:$F$301,3,FALSE()),"")</f>
        <v>39</v>
      </c>
      <c r="Q1853">
        <f t="shared" si="84"/>
        <v>0.50196560196560192</v>
      </c>
      <c r="R1853">
        <f>IF(AND(COUNTIF($A$2:$A$2047,A1853)&gt;1,COUNTIF($A$2:A1853,A1853)=1),1,0)</f>
        <v>0</v>
      </c>
      <c r="S1853" t="b">
        <f>IFERROR(VLOOKUP(D1853,Products!$A$2:$F$61,6,FALSE()),"")</f>
        <v>1</v>
      </c>
      <c r="T1853" t="str">
        <f>IF(COUNTIF(Customers!$A$2:$A$301,C1853)=0,"Missing","OK")</f>
        <v>OK</v>
      </c>
      <c r="U1853" t="str">
        <f t="shared" si="85"/>
        <v>Pune</v>
      </c>
      <c r="V1853">
        <f t="shared" si="86"/>
        <v>0</v>
      </c>
    </row>
    <row r="1854" spans="1:22" ht="15" customHeight="1" x14ac:dyDescent="0.35">
      <c r="A1854" s="3" t="s">
        <v>2290</v>
      </c>
      <c r="B1854" s="4">
        <v>45650</v>
      </c>
      <c r="C1854" s="3" t="s">
        <v>480</v>
      </c>
      <c r="D1854" s="3" t="s">
        <v>206</v>
      </c>
      <c r="E1854" s="3" t="s">
        <v>177</v>
      </c>
      <c r="F1854" s="5">
        <v>5</v>
      </c>
      <c r="G1854" s="5">
        <v>1220</v>
      </c>
      <c r="H1854" s="5">
        <v>18.7</v>
      </c>
      <c r="I1854" s="5">
        <v>4959.3</v>
      </c>
      <c r="J1854" s="3" t="s">
        <v>26</v>
      </c>
      <c r="K1854" s="3" t="s">
        <v>33</v>
      </c>
      <c r="L1854" t="str">
        <f>IFERROR(VLOOKUP(D1854,Products!$A$2:$F$61,3,FALSE()),"")</f>
        <v>Electronics</v>
      </c>
      <c r="M1854" t="str">
        <f>IFERROR(VLOOKUP(E1854,Sales_Reps!$A$2:$C$31,3,FALSE()),"")</f>
        <v>East</v>
      </c>
      <c r="N1854">
        <f>IFERROR(VLOOKUP(D1854,Products!$A$2:$F$61,4,FALSE()),"")</f>
        <v>517</v>
      </c>
      <c r="O1854" t="str">
        <f>IFERROR(VLOOKUP(C1854,Customers!$A$2:$F$301,5,FALSE()),"")</f>
        <v>Corporate</v>
      </c>
      <c r="P1854">
        <f>IFERROR(VLOOKUP(C1854,Customers!$A$2:$F$301,3,FALSE()),"")</f>
        <v>34</v>
      </c>
      <c r="Q1854">
        <f t="shared" si="84"/>
        <v>0.57622950819672136</v>
      </c>
      <c r="R1854">
        <f>IF(AND(COUNTIF($A$2:$A$2047,A1854)&gt;1,COUNTIF($A$2:A1854,A1854)=1),1,0)</f>
        <v>0</v>
      </c>
      <c r="S1854" t="b">
        <f>IFERROR(VLOOKUP(D1854,Products!$A$2:$F$61,6,FALSE()),"")</f>
        <v>1</v>
      </c>
      <c r="T1854" t="str">
        <f>IF(COUNTIF(Customers!$A$2:$A$301,C1854)=0,"Missing","OK")</f>
        <v>OK</v>
      </c>
      <c r="U1854" t="str">
        <f t="shared" si="85"/>
        <v>Chennai</v>
      </c>
      <c r="V1854">
        <f t="shared" si="86"/>
        <v>0</v>
      </c>
    </row>
    <row r="1855" spans="1:22" ht="15" customHeight="1" x14ac:dyDescent="0.35">
      <c r="A1855" s="3" t="s">
        <v>2291</v>
      </c>
      <c r="B1855" s="4">
        <v>45412</v>
      </c>
      <c r="C1855" s="3" t="s">
        <v>324</v>
      </c>
      <c r="D1855" s="3" t="s">
        <v>106</v>
      </c>
      <c r="E1855" s="3" t="s">
        <v>55</v>
      </c>
      <c r="F1855" s="5">
        <v>8</v>
      </c>
      <c r="G1855" s="5">
        <v>2480</v>
      </c>
      <c r="H1855" s="5">
        <v>3.2</v>
      </c>
      <c r="I1855" s="5">
        <v>19205.12</v>
      </c>
      <c r="J1855" s="3" t="s">
        <v>79</v>
      </c>
      <c r="K1855" s="3" t="s">
        <v>56</v>
      </c>
      <c r="L1855" t="str">
        <f>IFERROR(VLOOKUP(D1855,Products!$A$2:$F$61,3,FALSE()),"")</f>
        <v>Apparel</v>
      </c>
      <c r="M1855" t="str">
        <f>IFERROR(VLOOKUP(E1855,Sales_Reps!$A$2:$C$31,3,FALSE()),"")</f>
        <v>West</v>
      </c>
      <c r="N1855">
        <f>IFERROR(VLOOKUP(D1855,Products!$A$2:$F$61,4,FALSE()),"")</f>
        <v>1173</v>
      </c>
      <c r="O1855" t="str">
        <f>IFERROR(VLOOKUP(C1855,Customers!$A$2:$F$301,5,FALSE()),"")</f>
        <v>Retail</v>
      </c>
      <c r="P1855">
        <f>IFERROR(VLOOKUP(C1855,Customers!$A$2:$F$301,3,FALSE()),"")</f>
        <v>23</v>
      </c>
      <c r="Q1855">
        <f t="shared" si="84"/>
        <v>0.52701612903225803</v>
      </c>
      <c r="R1855">
        <f>IF(AND(COUNTIF($A$2:$A$2047,A1855)&gt;1,COUNTIF($A$2:A1855,A1855)=1),1,0)</f>
        <v>0</v>
      </c>
      <c r="S1855" t="b">
        <f>IFERROR(VLOOKUP(D1855,Products!$A$2:$F$61,6,FALSE()),"")</f>
        <v>1</v>
      </c>
      <c r="T1855" t="str">
        <f>IF(COUNTIF(Customers!$A$2:$A$301,C1855)=0,"Missing","OK")</f>
        <v>OK</v>
      </c>
      <c r="U1855" t="str">
        <f t="shared" si="85"/>
        <v>Bengaluru</v>
      </c>
      <c r="V1855">
        <f t="shared" si="86"/>
        <v>0</v>
      </c>
    </row>
    <row r="1856" spans="1:22" ht="15" customHeight="1" x14ac:dyDescent="0.35">
      <c r="A1856" s="3" t="s">
        <v>2292</v>
      </c>
      <c r="B1856" s="4">
        <v>45554</v>
      </c>
      <c r="C1856" s="3" t="s">
        <v>399</v>
      </c>
      <c r="D1856" s="3" t="s">
        <v>134</v>
      </c>
      <c r="E1856" s="3" t="s">
        <v>25</v>
      </c>
      <c r="F1856" s="5">
        <v>7</v>
      </c>
      <c r="G1856" s="5">
        <v>2860</v>
      </c>
      <c r="H1856" s="5">
        <v>8.4</v>
      </c>
      <c r="I1856" s="5">
        <v>18338.32</v>
      </c>
      <c r="J1856" s="3" t="s">
        <v>26</v>
      </c>
      <c r="K1856" s="3" t="s">
        <v>27</v>
      </c>
      <c r="L1856" t="str">
        <f>IFERROR(VLOOKUP(D1856,Products!$A$2:$F$61,3,FALSE()),"")</f>
        <v>Sports</v>
      </c>
      <c r="M1856" t="str">
        <f>IFERROR(VLOOKUP(E1856,Sales_Reps!$A$2:$C$31,3,FALSE()),"")</f>
        <v>North</v>
      </c>
      <c r="N1856">
        <f>IFERROR(VLOOKUP(D1856,Products!$A$2:$F$61,4,FALSE()),"")</f>
        <v>2028</v>
      </c>
      <c r="O1856" t="str">
        <f>IFERROR(VLOOKUP(C1856,Customers!$A$2:$F$301,5,FALSE()),"")</f>
        <v>Corporate</v>
      </c>
      <c r="P1856">
        <f>IFERROR(VLOOKUP(C1856,Customers!$A$2:$F$301,3,FALSE()),"")</f>
        <v>37</v>
      </c>
      <c r="Q1856">
        <f t="shared" si="84"/>
        <v>0.29090909090909089</v>
      </c>
      <c r="R1856">
        <f>IF(AND(COUNTIF($A$2:$A$2047,A1856)&gt;1,COUNTIF($A$2:A1856,A1856)=1),1,0)</f>
        <v>0</v>
      </c>
      <c r="S1856" t="b">
        <f>IFERROR(VLOOKUP(D1856,Products!$A$2:$F$61,6,FALSE()),"")</f>
        <v>1</v>
      </c>
      <c r="T1856" t="str">
        <f>IF(COUNTIF(Customers!$A$2:$A$301,C1856)=0,"Missing","OK")</f>
        <v>OK</v>
      </c>
      <c r="U1856" t="str">
        <f t="shared" si="85"/>
        <v>Pune</v>
      </c>
      <c r="V1856">
        <f t="shared" si="86"/>
        <v>0</v>
      </c>
    </row>
    <row r="1857" spans="1:22" ht="15" customHeight="1" x14ac:dyDescent="0.35">
      <c r="A1857" s="3" t="s">
        <v>2293</v>
      </c>
      <c r="B1857" s="4">
        <v>45365</v>
      </c>
      <c r="C1857" s="3" t="s">
        <v>261</v>
      </c>
      <c r="D1857" s="3" t="s">
        <v>173</v>
      </c>
      <c r="E1857" s="3" t="s">
        <v>55</v>
      </c>
      <c r="F1857" s="5">
        <v>1</v>
      </c>
      <c r="G1857" s="5">
        <v>3780</v>
      </c>
      <c r="H1857" s="5">
        <v>16.3</v>
      </c>
      <c r="I1857" s="5">
        <v>3163.86</v>
      </c>
      <c r="J1857" s="3" t="s">
        <v>79</v>
      </c>
      <c r="K1857" s="3" t="s">
        <v>38</v>
      </c>
      <c r="L1857" t="str">
        <f>IFERROR(VLOOKUP(D1857,Products!$A$2:$F$61,3,FALSE()),"")</f>
        <v>Grocery</v>
      </c>
      <c r="M1857" t="str">
        <f>IFERROR(VLOOKUP(E1857,Sales_Reps!$A$2:$C$31,3,FALSE()),"")</f>
        <v>West</v>
      </c>
      <c r="N1857">
        <f>IFERROR(VLOOKUP(D1857,Products!$A$2:$F$61,4,FALSE()),"")</f>
        <v>2436</v>
      </c>
      <c r="O1857" t="str">
        <f>IFERROR(VLOOKUP(C1857,Customers!$A$2:$F$301,5,FALSE()),"")</f>
        <v>Retail</v>
      </c>
      <c r="P1857">
        <f>IFERROR(VLOOKUP(C1857,Customers!$A$2:$F$301,3,FALSE()),"")</f>
        <v>31</v>
      </c>
      <c r="Q1857">
        <f t="shared" si="84"/>
        <v>0.35555555555555557</v>
      </c>
      <c r="R1857">
        <f>IF(AND(COUNTIF($A$2:$A$2047,A1857)&gt;1,COUNTIF($A$2:A1857,A1857)=1),1,0)</f>
        <v>0</v>
      </c>
      <c r="S1857" t="b">
        <f>IFERROR(VLOOKUP(D1857,Products!$A$2:$F$61,6,FALSE()),"")</f>
        <v>1</v>
      </c>
      <c r="T1857" t="str">
        <f>IF(COUNTIF(Customers!$A$2:$A$301,C1857)=0,"Missing","OK")</f>
        <v>OK</v>
      </c>
      <c r="U1857" t="str">
        <f t="shared" si="85"/>
        <v>Delhi</v>
      </c>
      <c r="V1857">
        <f t="shared" si="86"/>
        <v>0</v>
      </c>
    </row>
    <row r="1858" spans="1:22" ht="15" customHeight="1" x14ac:dyDescent="0.35">
      <c r="A1858" s="3" t="s">
        <v>2294</v>
      </c>
      <c r="B1858" s="4">
        <v>45504</v>
      </c>
      <c r="C1858" s="3" t="s">
        <v>916</v>
      </c>
      <c r="D1858" s="3" t="s">
        <v>134</v>
      </c>
      <c r="E1858" s="3" t="s">
        <v>50</v>
      </c>
      <c r="F1858" s="5">
        <v>6</v>
      </c>
      <c r="G1858" s="5">
        <v>2860</v>
      </c>
      <c r="H1858" s="5">
        <v>10.7</v>
      </c>
      <c r="I1858" s="5">
        <v>15323.88</v>
      </c>
      <c r="J1858" s="3" t="s">
        <v>26</v>
      </c>
      <c r="K1858" s="3" t="s">
        <v>27</v>
      </c>
      <c r="L1858" t="str">
        <f>IFERROR(VLOOKUP(D1858,Products!$A$2:$F$61,3,FALSE()),"")</f>
        <v>Sports</v>
      </c>
      <c r="M1858" t="str">
        <f>IFERROR(VLOOKUP(E1858,Sales_Reps!$A$2:$C$31,3,FALSE()),"")</f>
        <v>West</v>
      </c>
      <c r="N1858">
        <f>IFERROR(VLOOKUP(D1858,Products!$A$2:$F$61,4,FALSE()),"")</f>
        <v>2028</v>
      </c>
      <c r="O1858" t="str">
        <f>IFERROR(VLOOKUP(C1858,Customers!$A$2:$F$301,5,FALSE()),"")</f>
        <v>Corporate</v>
      </c>
      <c r="P1858">
        <f>IFERROR(VLOOKUP(C1858,Customers!$A$2:$F$301,3,FALSE()),"")</f>
        <v>29</v>
      </c>
      <c r="Q1858">
        <f t="shared" ref="Q1858:Q1921" si="87">IFERROR((G1858-N1858)/G1858,"")</f>
        <v>0.29090909090909089</v>
      </c>
      <c r="R1858">
        <f>IF(AND(COUNTIF($A$2:$A$2047,A1858)&gt;1,COUNTIF($A$2:A1858,A1858)=1),1,0)</f>
        <v>0</v>
      </c>
      <c r="S1858" t="b">
        <f>IFERROR(VLOOKUP(D1858,Products!$A$2:$F$61,6,FALSE()),"")</f>
        <v>1</v>
      </c>
      <c r="T1858" t="str">
        <f>IF(COUNTIF(Customers!$A$2:$A$301,C1858)=0,"Missing","OK")</f>
        <v>OK</v>
      </c>
      <c r="U1858" t="str">
        <f t="shared" ref="U1858:U1921" si="88">IF(K1858="","",PROPER(TRIM(K1858)))</f>
        <v>Pune</v>
      </c>
      <c r="V1858">
        <f t="shared" ref="V1858:V1921" si="89">IF(AND(U1858="Bengaluru",L1858="Grocery"),I1858,0)</f>
        <v>0</v>
      </c>
    </row>
    <row r="1859" spans="1:22" ht="15" customHeight="1" x14ac:dyDescent="0.35">
      <c r="A1859" s="3" t="s">
        <v>2295</v>
      </c>
      <c r="B1859" s="4">
        <v>45652</v>
      </c>
      <c r="C1859" s="3" t="s">
        <v>680</v>
      </c>
      <c r="D1859" s="3" t="s">
        <v>90</v>
      </c>
      <c r="E1859" s="3" t="s">
        <v>282</v>
      </c>
      <c r="F1859" s="5">
        <v>3</v>
      </c>
      <c r="G1859" s="5">
        <v>2400</v>
      </c>
      <c r="H1859" s="5">
        <v>20.7</v>
      </c>
      <c r="I1859" s="5">
        <v>5709.6</v>
      </c>
      <c r="J1859" s="3" t="s">
        <v>26</v>
      </c>
      <c r="K1859" s="3" t="s">
        <v>72</v>
      </c>
      <c r="L1859" t="str">
        <f>IFERROR(VLOOKUP(D1859,Products!$A$2:$F$61,3,FALSE()),"")</f>
        <v>Sports</v>
      </c>
      <c r="M1859" t="str">
        <f>IFERROR(VLOOKUP(E1859,Sales_Reps!$A$2:$C$31,3,FALSE()),"")</f>
        <v>West</v>
      </c>
      <c r="N1859">
        <f>IFERROR(VLOOKUP(D1859,Products!$A$2:$F$61,4,FALSE()),"")</f>
        <v>974</v>
      </c>
      <c r="O1859" t="str">
        <f>IFERROR(VLOOKUP(C1859,Customers!$A$2:$F$301,5,FALSE()),"")</f>
        <v>SMB</v>
      </c>
      <c r="P1859">
        <f>IFERROR(VLOOKUP(C1859,Customers!$A$2:$F$301,3,FALSE()),"")</f>
        <v>29</v>
      </c>
      <c r="Q1859">
        <f t="shared" si="87"/>
        <v>0.59416666666666662</v>
      </c>
      <c r="R1859">
        <f>IF(AND(COUNTIF($A$2:$A$2047,A1859)&gt;1,COUNTIF($A$2:A1859,A1859)=1),1,0)</f>
        <v>0</v>
      </c>
      <c r="S1859" t="b">
        <f>IFERROR(VLOOKUP(D1859,Products!$A$2:$F$61,6,FALSE()),"")</f>
        <v>1</v>
      </c>
      <c r="T1859" t="str">
        <f>IF(COUNTIF(Customers!$A$2:$A$301,C1859)=0,"Missing","OK")</f>
        <v>OK</v>
      </c>
      <c r="U1859" t="str">
        <f t="shared" si="88"/>
        <v>Hyderabad</v>
      </c>
      <c r="V1859">
        <f t="shared" si="89"/>
        <v>0</v>
      </c>
    </row>
    <row r="1860" spans="1:22" ht="15" customHeight="1" x14ac:dyDescent="0.35">
      <c r="A1860" s="3" t="s">
        <v>2296</v>
      </c>
      <c r="B1860" s="4">
        <v>45330</v>
      </c>
      <c r="C1860" s="3" t="s">
        <v>1200</v>
      </c>
      <c r="D1860" s="3" t="s">
        <v>306</v>
      </c>
      <c r="E1860" s="3" t="s">
        <v>50</v>
      </c>
      <c r="F1860" s="5">
        <v>8</v>
      </c>
      <c r="G1860" s="5">
        <v>2380</v>
      </c>
      <c r="H1860" s="5">
        <v>22.3</v>
      </c>
      <c r="I1860" s="5">
        <v>14794.08</v>
      </c>
      <c r="J1860" s="3" t="s">
        <v>83</v>
      </c>
      <c r="K1860" s="3" t="s">
        <v>56</v>
      </c>
      <c r="L1860" t="str">
        <f>IFERROR(VLOOKUP(D1860,Products!$A$2:$F$61,3,FALSE()),"")</f>
        <v>Grocery</v>
      </c>
      <c r="M1860" t="str">
        <f>IFERROR(VLOOKUP(E1860,Sales_Reps!$A$2:$C$31,3,FALSE()),"")</f>
        <v>West</v>
      </c>
      <c r="N1860">
        <f>IFERROR(VLOOKUP(D1860,Products!$A$2:$F$61,4,FALSE()),"")</f>
        <v>1182</v>
      </c>
      <c r="O1860" t="str">
        <f>IFERROR(VLOOKUP(C1860,Customers!$A$2:$F$301,5,FALSE()),"")</f>
        <v>Retail</v>
      </c>
      <c r="P1860">
        <f>IFERROR(VLOOKUP(C1860,Customers!$A$2:$F$301,3,FALSE()),"")</f>
        <v>54</v>
      </c>
      <c r="Q1860">
        <f t="shared" si="87"/>
        <v>0.50336134453781511</v>
      </c>
      <c r="R1860">
        <f>IF(AND(COUNTIF($A$2:$A$2047,A1860)&gt;1,COUNTIF($A$2:A1860,A1860)=1),1,0)</f>
        <v>0</v>
      </c>
      <c r="S1860" t="b">
        <f>IFERROR(VLOOKUP(D1860,Products!$A$2:$F$61,6,FALSE()),"")</f>
        <v>1</v>
      </c>
      <c r="T1860" t="str">
        <f>IF(COUNTIF(Customers!$A$2:$A$301,C1860)=0,"Missing","OK")</f>
        <v>OK</v>
      </c>
      <c r="U1860" t="str">
        <f t="shared" si="88"/>
        <v>Bengaluru</v>
      </c>
      <c r="V1860">
        <f t="shared" si="89"/>
        <v>14794.08</v>
      </c>
    </row>
    <row r="1861" spans="1:22" ht="15" customHeight="1" x14ac:dyDescent="0.35">
      <c r="A1861" s="3" t="s">
        <v>2297</v>
      </c>
      <c r="B1861" s="4">
        <v>45533</v>
      </c>
      <c r="C1861" s="3" t="s">
        <v>396</v>
      </c>
      <c r="D1861" s="3" t="s">
        <v>130</v>
      </c>
      <c r="E1861" s="3" t="s">
        <v>42</v>
      </c>
      <c r="F1861" s="5">
        <v>7</v>
      </c>
      <c r="G1861" s="5">
        <v>5100</v>
      </c>
      <c r="H1861" s="5">
        <v>22.9</v>
      </c>
      <c r="I1861" s="5">
        <v>27524.7</v>
      </c>
      <c r="J1861" s="3" t="s">
        <v>79</v>
      </c>
      <c r="K1861" s="3" t="s">
        <v>27</v>
      </c>
      <c r="L1861" t="str">
        <f>IFERROR(VLOOKUP(D1861,Products!$A$2:$F$61,3,FALSE()),"")</f>
        <v>Beauty</v>
      </c>
      <c r="M1861" t="str">
        <f>IFERROR(VLOOKUP(E1861,Sales_Reps!$A$2:$C$31,3,FALSE()),"")</f>
        <v>North</v>
      </c>
      <c r="N1861">
        <f>IFERROR(VLOOKUP(D1861,Products!$A$2:$F$61,4,FALSE()),"")</f>
        <v>2237</v>
      </c>
      <c r="O1861" t="str">
        <f>IFERROR(VLOOKUP(C1861,Customers!$A$2:$F$301,5,FALSE()),"")</f>
        <v>Retail</v>
      </c>
      <c r="P1861">
        <f>IFERROR(VLOOKUP(C1861,Customers!$A$2:$F$301,3,FALSE()),"")</f>
        <v>29</v>
      </c>
      <c r="Q1861">
        <f t="shared" si="87"/>
        <v>0.56137254901960787</v>
      </c>
      <c r="R1861">
        <f>IF(AND(COUNTIF($A$2:$A$2047,A1861)&gt;1,COUNTIF($A$2:A1861,A1861)=1),1,0)</f>
        <v>0</v>
      </c>
      <c r="S1861" t="b">
        <f>IFERROR(VLOOKUP(D1861,Products!$A$2:$F$61,6,FALSE()),"")</f>
        <v>1</v>
      </c>
      <c r="T1861" t="str">
        <f>IF(COUNTIF(Customers!$A$2:$A$301,C1861)=0,"Missing","OK")</f>
        <v>OK</v>
      </c>
      <c r="U1861" t="str">
        <f t="shared" si="88"/>
        <v>Pune</v>
      </c>
      <c r="V1861">
        <f t="shared" si="89"/>
        <v>0</v>
      </c>
    </row>
    <row r="1862" spans="1:22" ht="15" customHeight="1" x14ac:dyDescent="0.35">
      <c r="A1862" s="3" t="s">
        <v>2298</v>
      </c>
      <c r="B1862" s="4">
        <v>45463</v>
      </c>
      <c r="C1862" s="3" t="s">
        <v>426</v>
      </c>
      <c r="D1862" s="3" t="s">
        <v>221</v>
      </c>
      <c r="E1862" s="3" t="s">
        <v>127</v>
      </c>
      <c r="F1862" s="5">
        <v>7</v>
      </c>
      <c r="G1862" s="5">
        <v>300</v>
      </c>
      <c r="H1862" s="5">
        <v>15.3</v>
      </c>
      <c r="I1862" s="5">
        <v>1778.7</v>
      </c>
      <c r="J1862" s="3" t="s">
        <v>26</v>
      </c>
      <c r="K1862" s="3" t="s">
        <v>27</v>
      </c>
      <c r="L1862" t="str">
        <f>IFERROR(VLOOKUP(D1862,Products!$A$2:$F$61,3,FALSE()),"")</f>
        <v>Electronics</v>
      </c>
      <c r="M1862" t="str">
        <f>IFERROR(VLOOKUP(E1862,Sales_Reps!$A$2:$C$31,3,FALSE()),"")</f>
        <v>South</v>
      </c>
      <c r="N1862">
        <f>IFERROR(VLOOKUP(D1862,Products!$A$2:$F$61,4,FALSE()),"")</f>
        <v>128</v>
      </c>
      <c r="O1862" t="str">
        <f>IFERROR(VLOOKUP(C1862,Customers!$A$2:$F$301,5,FALSE()),"")</f>
        <v>Corporate</v>
      </c>
      <c r="P1862">
        <f>IFERROR(VLOOKUP(C1862,Customers!$A$2:$F$301,3,FALSE()),"")</f>
        <v>29</v>
      </c>
      <c r="Q1862">
        <f t="shared" si="87"/>
        <v>0.57333333333333336</v>
      </c>
      <c r="R1862">
        <f>IF(AND(COUNTIF($A$2:$A$2047,A1862)&gt;1,COUNTIF($A$2:A1862,A1862)=1),1,0)</f>
        <v>0</v>
      </c>
      <c r="S1862" t="b">
        <f>IFERROR(VLOOKUP(D1862,Products!$A$2:$F$61,6,FALSE()),"")</f>
        <v>1</v>
      </c>
      <c r="T1862" t="str">
        <f>IF(COUNTIF(Customers!$A$2:$A$301,C1862)=0,"Missing","OK")</f>
        <v>OK</v>
      </c>
      <c r="U1862" t="str">
        <f t="shared" si="88"/>
        <v>Pune</v>
      </c>
      <c r="V1862">
        <f t="shared" si="89"/>
        <v>0</v>
      </c>
    </row>
    <row r="1863" spans="1:22" ht="15" customHeight="1" x14ac:dyDescent="0.35">
      <c r="A1863" s="3" t="s">
        <v>2299</v>
      </c>
      <c r="B1863" s="4">
        <v>45428</v>
      </c>
      <c r="C1863" s="3" t="s">
        <v>76</v>
      </c>
      <c r="D1863" s="3" t="s">
        <v>100</v>
      </c>
      <c r="E1863" s="3" t="s">
        <v>71</v>
      </c>
      <c r="F1863" s="5">
        <v>5</v>
      </c>
      <c r="G1863" s="5">
        <v>3450</v>
      </c>
      <c r="H1863" s="5">
        <v>16.8</v>
      </c>
      <c r="I1863" s="5">
        <v>14352</v>
      </c>
      <c r="J1863" s="3" t="s">
        <v>26</v>
      </c>
      <c r="K1863" s="3" t="s">
        <v>38</v>
      </c>
      <c r="L1863" t="str">
        <f>IFERROR(VLOOKUP(D1863,Products!$A$2:$F$61,3,FALSE()),"")</f>
        <v>Sports</v>
      </c>
      <c r="M1863" t="str">
        <f>IFERROR(VLOOKUP(E1863,Sales_Reps!$A$2:$C$31,3,FALSE()),"")</f>
        <v>South</v>
      </c>
      <c r="N1863">
        <f>IFERROR(VLOOKUP(D1863,Products!$A$2:$F$61,4,FALSE()),"")</f>
        <v>2467</v>
      </c>
      <c r="O1863" t="str">
        <f>IFERROR(VLOOKUP(C1863,Customers!$A$2:$F$301,5,FALSE()),"")</f>
        <v>SMB</v>
      </c>
      <c r="P1863">
        <f>IFERROR(VLOOKUP(C1863,Customers!$A$2:$F$301,3,FALSE()),"")</f>
        <v>27</v>
      </c>
      <c r="Q1863">
        <f t="shared" si="87"/>
        <v>0.28492753623188405</v>
      </c>
      <c r="R1863">
        <f>IF(AND(COUNTIF($A$2:$A$2047,A1863)&gt;1,COUNTIF($A$2:A1863,A1863)=1),1,0)</f>
        <v>0</v>
      </c>
      <c r="S1863" t="b">
        <f>IFERROR(VLOOKUP(D1863,Products!$A$2:$F$61,6,FALSE()),"")</f>
        <v>1</v>
      </c>
      <c r="T1863" t="str">
        <f>IF(COUNTIF(Customers!$A$2:$A$301,C1863)=0,"Missing","OK")</f>
        <v>OK</v>
      </c>
      <c r="U1863" t="str">
        <f t="shared" si="88"/>
        <v>Delhi</v>
      </c>
      <c r="V1863">
        <f t="shared" si="89"/>
        <v>0</v>
      </c>
    </row>
    <row r="1864" spans="1:22" ht="15" customHeight="1" x14ac:dyDescent="0.35">
      <c r="A1864" s="3" t="s">
        <v>2300</v>
      </c>
      <c r="B1864" s="4">
        <v>45634</v>
      </c>
      <c r="C1864" s="3" t="s">
        <v>625</v>
      </c>
      <c r="D1864" s="3" t="s">
        <v>134</v>
      </c>
      <c r="E1864" s="3" t="s">
        <v>37</v>
      </c>
      <c r="F1864" s="5">
        <v>4</v>
      </c>
      <c r="G1864" s="5">
        <v>2860</v>
      </c>
      <c r="H1864" s="5">
        <v>14.3</v>
      </c>
      <c r="I1864" s="5">
        <v>9804.08</v>
      </c>
      <c r="J1864" s="3" t="s">
        <v>26</v>
      </c>
      <c r="K1864" s="3" t="s">
        <v>51</v>
      </c>
      <c r="L1864" t="str">
        <f>IFERROR(VLOOKUP(D1864,Products!$A$2:$F$61,3,FALSE()),"")</f>
        <v>Sports</v>
      </c>
      <c r="M1864" t="str">
        <f>IFERROR(VLOOKUP(E1864,Sales_Reps!$A$2:$C$31,3,FALSE()),"")</f>
        <v>South</v>
      </c>
      <c r="N1864">
        <f>IFERROR(VLOOKUP(D1864,Products!$A$2:$F$61,4,FALSE()),"")</f>
        <v>2028</v>
      </c>
      <c r="O1864" t="str">
        <f>IFERROR(VLOOKUP(C1864,Customers!$A$2:$F$301,5,FALSE()),"")</f>
        <v>Retail</v>
      </c>
      <c r="P1864">
        <f>IFERROR(VLOOKUP(C1864,Customers!$A$2:$F$301,3,FALSE()),"")</f>
        <v>35</v>
      </c>
      <c r="Q1864">
        <f t="shared" si="87"/>
        <v>0.29090909090909089</v>
      </c>
      <c r="R1864">
        <f>IF(AND(COUNTIF($A$2:$A$2047,A1864)&gt;1,COUNTIF($A$2:A1864,A1864)=1),1,0)</f>
        <v>0</v>
      </c>
      <c r="S1864" t="b">
        <f>IFERROR(VLOOKUP(D1864,Products!$A$2:$F$61,6,FALSE()),"")</f>
        <v>1</v>
      </c>
      <c r="T1864" t="str">
        <f>IF(COUNTIF(Customers!$A$2:$A$301,C1864)=0,"Missing","OK")</f>
        <v>OK</v>
      </c>
      <c r="U1864" t="str">
        <f t="shared" si="88"/>
        <v>Mumbai</v>
      </c>
      <c r="V1864">
        <f t="shared" si="89"/>
        <v>0</v>
      </c>
    </row>
    <row r="1865" spans="1:22" ht="15" customHeight="1" x14ac:dyDescent="0.35">
      <c r="A1865" s="3" t="s">
        <v>2301</v>
      </c>
      <c r="B1865" s="4">
        <v>45627</v>
      </c>
      <c r="C1865" s="3" t="s">
        <v>467</v>
      </c>
      <c r="D1865" s="3" t="s">
        <v>112</v>
      </c>
      <c r="E1865" s="3" t="s">
        <v>154</v>
      </c>
      <c r="F1865" s="5">
        <v>6</v>
      </c>
      <c r="G1865" s="5">
        <v>2720</v>
      </c>
      <c r="H1865" s="5">
        <v>25.1</v>
      </c>
      <c r="I1865" s="5">
        <v>12223.68</v>
      </c>
      <c r="J1865" s="3" t="s">
        <v>79</v>
      </c>
      <c r="K1865" s="3" t="s">
        <v>51</v>
      </c>
      <c r="L1865" t="str">
        <f>IFERROR(VLOOKUP(D1865,Products!$A$2:$F$61,3,FALSE()),"")</f>
        <v>Apparel</v>
      </c>
      <c r="M1865" t="str">
        <f>IFERROR(VLOOKUP(E1865,Sales_Reps!$A$2:$C$31,3,FALSE()),"")</f>
        <v>North</v>
      </c>
      <c r="N1865">
        <f>IFERROR(VLOOKUP(D1865,Products!$A$2:$F$61,4,FALSE()),"")</f>
        <v>1962</v>
      </c>
      <c r="O1865" t="str">
        <f>IFERROR(VLOOKUP(C1865,Customers!$A$2:$F$301,5,FALSE()),"")</f>
        <v>Retail</v>
      </c>
      <c r="P1865">
        <f>IFERROR(VLOOKUP(C1865,Customers!$A$2:$F$301,3,FALSE()),"")</f>
        <v>44</v>
      </c>
      <c r="Q1865">
        <f t="shared" si="87"/>
        <v>0.2786764705882353</v>
      </c>
      <c r="R1865">
        <f>IF(AND(COUNTIF($A$2:$A$2047,A1865)&gt;1,COUNTIF($A$2:A1865,A1865)=1),1,0)</f>
        <v>0</v>
      </c>
      <c r="S1865" t="b">
        <f>IFERROR(VLOOKUP(D1865,Products!$A$2:$F$61,6,FALSE()),"")</f>
        <v>1</v>
      </c>
      <c r="T1865" t="str">
        <f>IF(COUNTIF(Customers!$A$2:$A$301,C1865)=0,"Missing","OK")</f>
        <v>OK</v>
      </c>
      <c r="U1865" t="str">
        <f t="shared" si="88"/>
        <v>Mumbai</v>
      </c>
      <c r="V1865">
        <f t="shared" si="89"/>
        <v>0</v>
      </c>
    </row>
    <row r="1866" spans="1:22" ht="15" customHeight="1" x14ac:dyDescent="0.35">
      <c r="A1866" s="3" t="s">
        <v>2302</v>
      </c>
      <c r="B1866" s="4">
        <v>45429</v>
      </c>
      <c r="C1866" s="3" t="s">
        <v>301</v>
      </c>
      <c r="D1866" s="3" t="s">
        <v>165</v>
      </c>
      <c r="E1866" s="3" t="s">
        <v>67</v>
      </c>
      <c r="F1866" s="5">
        <v>3</v>
      </c>
      <c r="G1866" s="5">
        <v>3730</v>
      </c>
      <c r="H1866" s="5">
        <v>24.8</v>
      </c>
      <c r="I1866" s="5">
        <v>8414.8799999999992</v>
      </c>
      <c r="J1866" s="3" t="s">
        <v>26</v>
      </c>
      <c r="K1866" s="3" t="s">
        <v>33</v>
      </c>
      <c r="L1866" t="str">
        <f>IFERROR(VLOOKUP(D1866,Products!$A$2:$F$61,3,FALSE()),"")</f>
        <v>Home</v>
      </c>
      <c r="M1866" t="str">
        <f>IFERROR(VLOOKUP(E1866,Sales_Reps!$A$2:$C$31,3,FALSE()),"")</f>
        <v>West</v>
      </c>
      <c r="N1866">
        <f>IFERROR(VLOOKUP(D1866,Products!$A$2:$F$61,4,FALSE()),"")</f>
        <v>2135</v>
      </c>
      <c r="O1866" t="str">
        <f>IFERROR(VLOOKUP(C1866,Customers!$A$2:$F$301,5,FALSE()),"")</f>
        <v>Corporate</v>
      </c>
      <c r="P1866">
        <f>IFERROR(VLOOKUP(C1866,Customers!$A$2:$F$301,3,FALSE()),"")</f>
        <v>51</v>
      </c>
      <c r="Q1866">
        <f t="shared" si="87"/>
        <v>0.42761394101876676</v>
      </c>
      <c r="R1866">
        <f>IF(AND(COUNTIF($A$2:$A$2047,A1866)&gt;1,COUNTIF($A$2:A1866,A1866)=1),1,0)</f>
        <v>0</v>
      </c>
      <c r="S1866" t="b">
        <f>IFERROR(VLOOKUP(D1866,Products!$A$2:$F$61,6,FALSE()),"")</f>
        <v>1</v>
      </c>
      <c r="T1866" t="str">
        <f>IF(COUNTIF(Customers!$A$2:$A$301,C1866)=0,"Missing","OK")</f>
        <v>OK</v>
      </c>
      <c r="U1866" t="str">
        <f t="shared" si="88"/>
        <v>Chennai</v>
      </c>
      <c r="V1866">
        <f t="shared" si="89"/>
        <v>0</v>
      </c>
    </row>
    <row r="1867" spans="1:22" ht="15" customHeight="1" x14ac:dyDescent="0.35">
      <c r="A1867" s="3" t="s">
        <v>2303</v>
      </c>
      <c r="B1867" s="4">
        <v>45648</v>
      </c>
      <c r="C1867" s="3" t="s">
        <v>1289</v>
      </c>
      <c r="D1867" s="3" t="s">
        <v>290</v>
      </c>
      <c r="E1867" s="3" t="s">
        <v>236</v>
      </c>
      <c r="F1867" s="5">
        <v>2</v>
      </c>
      <c r="G1867" s="5">
        <v>4060</v>
      </c>
      <c r="H1867" s="5">
        <v>11.3</v>
      </c>
      <c r="I1867" s="5">
        <v>7202.44</v>
      </c>
      <c r="J1867" s="3" t="s">
        <v>26</v>
      </c>
      <c r="K1867" s="3" t="s">
        <v>51</v>
      </c>
      <c r="L1867" t="str">
        <f>IFERROR(VLOOKUP(D1867,Products!$A$2:$F$61,3,FALSE()),"")</f>
        <v>Grocery</v>
      </c>
      <c r="M1867" t="str">
        <f>IFERROR(VLOOKUP(E1867,Sales_Reps!$A$2:$C$31,3,FALSE()),"")</f>
        <v>North</v>
      </c>
      <c r="N1867">
        <f>IFERROR(VLOOKUP(D1867,Products!$A$2:$F$61,4,FALSE()),"")</f>
        <v>2911</v>
      </c>
      <c r="O1867" t="str">
        <f>IFERROR(VLOOKUP(C1867,Customers!$A$2:$F$301,5,FALSE()),"")</f>
        <v>Retail</v>
      </c>
      <c r="P1867">
        <f>IFERROR(VLOOKUP(C1867,Customers!$A$2:$F$301,3,FALSE()),"")</f>
        <v>38</v>
      </c>
      <c r="Q1867">
        <f t="shared" si="87"/>
        <v>0.28300492610837441</v>
      </c>
      <c r="R1867">
        <f>IF(AND(COUNTIF($A$2:$A$2047,A1867)&gt;1,COUNTIF($A$2:A1867,A1867)=1),1,0)</f>
        <v>0</v>
      </c>
      <c r="S1867" t="b">
        <f>IFERROR(VLOOKUP(D1867,Products!$A$2:$F$61,6,FALSE()),"")</f>
        <v>1</v>
      </c>
      <c r="T1867" t="str">
        <f>IF(COUNTIF(Customers!$A$2:$A$301,C1867)=0,"Missing","OK")</f>
        <v>OK</v>
      </c>
      <c r="U1867" t="str">
        <f t="shared" si="88"/>
        <v>Mumbai</v>
      </c>
      <c r="V1867">
        <f t="shared" si="89"/>
        <v>0</v>
      </c>
    </row>
    <row r="1868" spans="1:22" ht="15" customHeight="1" x14ac:dyDescent="0.35">
      <c r="A1868" s="3" t="s">
        <v>2304</v>
      </c>
      <c r="B1868" s="4">
        <v>45295</v>
      </c>
      <c r="C1868" s="3" t="s">
        <v>860</v>
      </c>
      <c r="D1868" s="3" t="s">
        <v>325</v>
      </c>
      <c r="E1868" s="3" t="s">
        <v>242</v>
      </c>
      <c r="F1868" s="5">
        <v>6</v>
      </c>
      <c r="G1868" s="5">
        <v>2290</v>
      </c>
      <c r="H1868" s="5">
        <v>26.8</v>
      </c>
      <c r="I1868" s="5">
        <v>10057.68</v>
      </c>
      <c r="J1868" s="3" t="s">
        <v>83</v>
      </c>
      <c r="K1868" s="3" t="s">
        <v>56</v>
      </c>
      <c r="L1868" t="str">
        <f>IFERROR(VLOOKUP(D1868,Products!$A$2:$F$61,3,FALSE()),"")</f>
        <v>Beauty</v>
      </c>
      <c r="M1868" t="str">
        <f>IFERROR(VLOOKUP(E1868,Sales_Reps!$A$2:$C$31,3,FALSE()),"")</f>
        <v>East</v>
      </c>
      <c r="N1868">
        <f>IFERROR(VLOOKUP(D1868,Products!$A$2:$F$61,4,FALSE()),"")</f>
        <v>1219</v>
      </c>
      <c r="O1868" t="str">
        <f>IFERROR(VLOOKUP(C1868,Customers!$A$2:$F$301,5,FALSE()),"")</f>
        <v>Retail</v>
      </c>
      <c r="P1868">
        <f>IFERROR(VLOOKUP(C1868,Customers!$A$2:$F$301,3,FALSE()),"")</f>
        <v>28</v>
      </c>
      <c r="Q1868">
        <f t="shared" si="87"/>
        <v>0.46768558951965067</v>
      </c>
      <c r="R1868">
        <f>IF(AND(COUNTIF($A$2:$A$2047,A1868)&gt;1,COUNTIF($A$2:A1868,A1868)=1),1,0)</f>
        <v>0</v>
      </c>
      <c r="S1868" t="b">
        <f>IFERROR(VLOOKUP(D1868,Products!$A$2:$F$61,6,FALSE()),"")</f>
        <v>1</v>
      </c>
      <c r="T1868" t="str">
        <f>IF(COUNTIF(Customers!$A$2:$A$301,C1868)=0,"Missing","OK")</f>
        <v>OK</v>
      </c>
      <c r="U1868" t="str">
        <f t="shared" si="88"/>
        <v>Bengaluru</v>
      </c>
      <c r="V1868">
        <f t="shared" si="89"/>
        <v>0</v>
      </c>
    </row>
    <row r="1869" spans="1:22" ht="15" customHeight="1" x14ac:dyDescent="0.35">
      <c r="A1869" s="3" t="s">
        <v>2305</v>
      </c>
      <c r="B1869" s="4">
        <v>45418</v>
      </c>
      <c r="C1869" s="3" t="s">
        <v>292</v>
      </c>
      <c r="D1869" s="3" t="s">
        <v>454</v>
      </c>
      <c r="E1869" s="3" t="s">
        <v>191</v>
      </c>
      <c r="F1869" s="5">
        <v>1</v>
      </c>
      <c r="G1869" s="5">
        <v>6940</v>
      </c>
      <c r="H1869" s="5">
        <v>15.7</v>
      </c>
      <c r="I1869" s="5">
        <v>5850.42</v>
      </c>
      <c r="J1869" s="3" t="s">
        <v>26</v>
      </c>
      <c r="K1869" s="3" t="s">
        <v>33</v>
      </c>
      <c r="L1869" t="str">
        <f>IFERROR(VLOOKUP(D1869,Products!$A$2:$F$61,3,FALSE()),"")</f>
        <v>Sports</v>
      </c>
      <c r="M1869" t="str">
        <f>IFERROR(VLOOKUP(E1869,Sales_Reps!$A$2:$C$31,3,FALSE()),"")</f>
        <v>South</v>
      </c>
      <c r="N1869">
        <f>IFERROR(VLOOKUP(D1869,Products!$A$2:$F$61,4,FALSE()),"")</f>
        <v>2827</v>
      </c>
      <c r="O1869" t="str">
        <f>IFERROR(VLOOKUP(C1869,Customers!$A$2:$F$301,5,FALSE()),"")</f>
        <v>Retail</v>
      </c>
      <c r="P1869">
        <f>IFERROR(VLOOKUP(C1869,Customers!$A$2:$F$301,3,FALSE()),"")</f>
        <v>60</v>
      </c>
      <c r="Q1869">
        <f t="shared" si="87"/>
        <v>0.5926512968299712</v>
      </c>
      <c r="R1869">
        <f>IF(AND(COUNTIF($A$2:$A$2047,A1869)&gt;1,COUNTIF($A$2:A1869,A1869)=1),1,0)</f>
        <v>0</v>
      </c>
      <c r="S1869" t="b">
        <f>IFERROR(VLOOKUP(D1869,Products!$A$2:$F$61,6,FALSE()),"")</f>
        <v>1</v>
      </c>
      <c r="T1869" t="str">
        <f>IF(COUNTIF(Customers!$A$2:$A$301,C1869)=0,"Missing","OK")</f>
        <v>OK</v>
      </c>
      <c r="U1869" t="str">
        <f t="shared" si="88"/>
        <v>Chennai</v>
      </c>
      <c r="V1869">
        <f t="shared" si="89"/>
        <v>0</v>
      </c>
    </row>
    <row r="1870" spans="1:22" ht="15" customHeight="1" x14ac:dyDescent="0.35">
      <c r="A1870" s="3" t="s">
        <v>2306</v>
      </c>
      <c r="B1870" s="4">
        <v>45623</v>
      </c>
      <c r="C1870" s="3" t="s">
        <v>350</v>
      </c>
      <c r="D1870" s="3" t="s">
        <v>165</v>
      </c>
      <c r="E1870" s="3" t="s">
        <v>143</v>
      </c>
      <c r="F1870" s="5">
        <v>3</v>
      </c>
      <c r="G1870" s="5">
        <v>3730</v>
      </c>
      <c r="H1870" s="5">
        <v>18.100000000000001</v>
      </c>
      <c r="I1870" s="5">
        <v>9164.61</v>
      </c>
      <c r="J1870" s="3" t="s">
        <v>26</v>
      </c>
      <c r="K1870" s="3" t="s">
        <v>51</v>
      </c>
      <c r="L1870" t="str">
        <f>IFERROR(VLOOKUP(D1870,Products!$A$2:$F$61,3,FALSE()),"")</f>
        <v>Home</v>
      </c>
      <c r="M1870" t="str">
        <f>IFERROR(VLOOKUP(E1870,Sales_Reps!$A$2:$C$31,3,FALSE()),"")</f>
        <v>South</v>
      </c>
      <c r="N1870">
        <f>IFERROR(VLOOKUP(D1870,Products!$A$2:$F$61,4,FALSE()),"")</f>
        <v>2135</v>
      </c>
      <c r="O1870" t="str">
        <f>IFERROR(VLOOKUP(C1870,Customers!$A$2:$F$301,5,FALSE()),"")</f>
        <v>Retail</v>
      </c>
      <c r="P1870">
        <f>IFERROR(VLOOKUP(C1870,Customers!$A$2:$F$301,3,FALSE()),"")</f>
        <v>61</v>
      </c>
      <c r="Q1870">
        <f t="shared" si="87"/>
        <v>0.42761394101876676</v>
      </c>
      <c r="R1870">
        <f>IF(AND(COUNTIF($A$2:$A$2047,A1870)&gt;1,COUNTIF($A$2:A1870,A1870)=1),1,0)</f>
        <v>0</v>
      </c>
      <c r="S1870" t="b">
        <f>IFERROR(VLOOKUP(D1870,Products!$A$2:$F$61,6,FALSE()),"")</f>
        <v>1</v>
      </c>
      <c r="T1870" t="str">
        <f>IF(COUNTIF(Customers!$A$2:$A$301,C1870)=0,"Missing","OK")</f>
        <v>OK</v>
      </c>
      <c r="U1870" t="str">
        <f t="shared" si="88"/>
        <v>Mumbai</v>
      </c>
      <c r="V1870">
        <f t="shared" si="89"/>
        <v>0</v>
      </c>
    </row>
    <row r="1871" spans="1:22" ht="15" customHeight="1" x14ac:dyDescent="0.35">
      <c r="A1871" s="3" t="s">
        <v>2307</v>
      </c>
      <c r="B1871" s="4">
        <v>45528</v>
      </c>
      <c r="C1871" s="3" t="s">
        <v>281</v>
      </c>
      <c r="D1871" s="3" t="s">
        <v>165</v>
      </c>
      <c r="E1871" s="3" t="s">
        <v>236</v>
      </c>
      <c r="F1871" s="5">
        <v>8</v>
      </c>
      <c r="G1871" s="5">
        <v>3730</v>
      </c>
      <c r="H1871" s="5">
        <v>12.5</v>
      </c>
      <c r="I1871" s="5">
        <v>26110</v>
      </c>
      <c r="J1871" s="3" t="s">
        <v>26</v>
      </c>
      <c r="K1871" s="3" t="s">
        <v>33</v>
      </c>
      <c r="L1871" t="str">
        <f>IFERROR(VLOOKUP(D1871,Products!$A$2:$F$61,3,FALSE()),"")</f>
        <v>Home</v>
      </c>
      <c r="M1871" t="str">
        <f>IFERROR(VLOOKUP(E1871,Sales_Reps!$A$2:$C$31,3,FALSE()),"")</f>
        <v>North</v>
      </c>
      <c r="N1871">
        <f>IFERROR(VLOOKUP(D1871,Products!$A$2:$F$61,4,FALSE()),"")</f>
        <v>2135</v>
      </c>
      <c r="O1871" t="str">
        <f>IFERROR(VLOOKUP(C1871,Customers!$A$2:$F$301,5,FALSE()),"")</f>
        <v>Retail</v>
      </c>
      <c r="P1871">
        <f>IFERROR(VLOOKUP(C1871,Customers!$A$2:$F$301,3,FALSE()),"")</f>
        <v>26</v>
      </c>
      <c r="Q1871">
        <f t="shared" si="87"/>
        <v>0.42761394101876676</v>
      </c>
      <c r="R1871">
        <f>IF(AND(COUNTIF($A$2:$A$2047,A1871)&gt;1,COUNTIF($A$2:A1871,A1871)=1),1,0)</f>
        <v>0</v>
      </c>
      <c r="S1871" t="b">
        <f>IFERROR(VLOOKUP(D1871,Products!$A$2:$F$61,6,FALSE()),"")</f>
        <v>1</v>
      </c>
      <c r="T1871" t="str">
        <f>IF(COUNTIF(Customers!$A$2:$A$301,C1871)=0,"Missing","OK")</f>
        <v>OK</v>
      </c>
      <c r="U1871" t="str">
        <f t="shared" si="88"/>
        <v>Chennai</v>
      </c>
      <c r="V1871">
        <f t="shared" si="89"/>
        <v>0</v>
      </c>
    </row>
    <row r="1872" spans="1:22" ht="15" customHeight="1" x14ac:dyDescent="0.35">
      <c r="A1872" s="3" t="s">
        <v>2308</v>
      </c>
      <c r="B1872" s="4">
        <v>45644</v>
      </c>
      <c r="C1872" s="3" t="s">
        <v>1755</v>
      </c>
      <c r="D1872" s="3" t="s">
        <v>306</v>
      </c>
      <c r="E1872" s="3" t="s">
        <v>127</v>
      </c>
      <c r="F1872" s="5">
        <v>9</v>
      </c>
      <c r="G1872" s="5">
        <v>2380</v>
      </c>
      <c r="H1872" s="5">
        <v>8.1</v>
      </c>
      <c r="I1872" s="5">
        <v>19684.98</v>
      </c>
      <c r="J1872" s="3" t="s">
        <v>79</v>
      </c>
      <c r="K1872" s="3" t="s">
        <v>38</v>
      </c>
      <c r="L1872" t="str">
        <f>IFERROR(VLOOKUP(D1872,Products!$A$2:$F$61,3,FALSE()),"")</f>
        <v>Grocery</v>
      </c>
      <c r="M1872" t="str">
        <f>IFERROR(VLOOKUP(E1872,Sales_Reps!$A$2:$C$31,3,FALSE()),"")</f>
        <v>South</v>
      </c>
      <c r="N1872">
        <f>IFERROR(VLOOKUP(D1872,Products!$A$2:$F$61,4,FALSE()),"")</f>
        <v>1182</v>
      </c>
      <c r="O1872" t="str">
        <f>IFERROR(VLOOKUP(C1872,Customers!$A$2:$F$301,5,FALSE()),"")</f>
        <v>Retail</v>
      </c>
      <c r="P1872">
        <f>IFERROR(VLOOKUP(C1872,Customers!$A$2:$F$301,3,FALSE()),"")</f>
        <v>62</v>
      </c>
      <c r="Q1872">
        <f t="shared" si="87"/>
        <v>0.50336134453781511</v>
      </c>
      <c r="R1872">
        <f>IF(AND(COUNTIF($A$2:$A$2047,A1872)&gt;1,COUNTIF($A$2:A1872,A1872)=1),1,0)</f>
        <v>0</v>
      </c>
      <c r="S1872" t="b">
        <f>IFERROR(VLOOKUP(D1872,Products!$A$2:$F$61,6,FALSE()),"")</f>
        <v>1</v>
      </c>
      <c r="T1872" t="str">
        <f>IF(COUNTIF(Customers!$A$2:$A$301,C1872)=0,"Missing","OK")</f>
        <v>OK</v>
      </c>
      <c r="U1872" t="str">
        <f t="shared" si="88"/>
        <v>Delhi</v>
      </c>
      <c r="V1872">
        <f t="shared" si="89"/>
        <v>0</v>
      </c>
    </row>
    <row r="1873" spans="1:22" ht="15" customHeight="1" x14ac:dyDescent="0.35">
      <c r="A1873" s="3" t="s">
        <v>2309</v>
      </c>
      <c r="B1873" s="4">
        <v>45475</v>
      </c>
      <c r="C1873" s="3" t="s">
        <v>1156</v>
      </c>
      <c r="D1873" s="3" t="s">
        <v>103</v>
      </c>
      <c r="E1873" s="3" t="s">
        <v>236</v>
      </c>
      <c r="F1873" s="5">
        <v>6</v>
      </c>
      <c r="G1873" s="5">
        <v>1080</v>
      </c>
      <c r="H1873" s="5">
        <v>8.8000000000000007</v>
      </c>
      <c r="I1873" s="5">
        <v>5909.76</v>
      </c>
      <c r="J1873" s="3" t="s">
        <v>26</v>
      </c>
      <c r="K1873" s="3" t="s">
        <v>51</v>
      </c>
      <c r="L1873" t="str">
        <f>IFERROR(VLOOKUP(D1873,Products!$A$2:$F$61,3,FALSE()),"")</f>
        <v>Home</v>
      </c>
      <c r="M1873" t="str">
        <f>IFERROR(VLOOKUP(E1873,Sales_Reps!$A$2:$C$31,3,FALSE()),"")</f>
        <v>North</v>
      </c>
      <c r="N1873">
        <f>IFERROR(VLOOKUP(D1873,Products!$A$2:$F$61,4,FALSE()),"")</f>
        <v>519</v>
      </c>
      <c r="O1873" t="str">
        <f>IFERROR(VLOOKUP(C1873,Customers!$A$2:$F$301,5,FALSE()),"")</f>
        <v>Retail</v>
      </c>
      <c r="P1873">
        <f>IFERROR(VLOOKUP(C1873,Customers!$A$2:$F$301,3,FALSE()),"")</f>
        <v>44</v>
      </c>
      <c r="Q1873">
        <f t="shared" si="87"/>
        <v>0.51944444444444449</v>
      </c>
      <c r="R1873">
        <f>IF(AND(COUNTIF($A$2:$A$2047,A1873)&gt;1,COUNTIF($A$2:A1873,A1873)=1),1,0)</f>
        <v>0</v>
      </c>
      <c r="S1873" t="b">
        <f>IFERROR(VLOOKUP(D1873,Products!$A$2:$F$61,6,FALSE()),"")</f>
        <v>1</v>
      </c>
      <c r="T1873" t="str">
        <f>IF(COUNTIF(Customers!$A$2:$A$301,C1873)=0,"Missing","OK")</f>
        <v>OK</v>
      </c>
      <c r="U1873" t="str">
        <f t="shared" si="88"/>
        <v>Mumbai</v>
      </c>
      <c r="V1873">
        <f t="shared" si="89"/>
        <v>0</v>
      </c>
    </row>
    <row r="1874" spans="1:22" ht="15" customHeight="1" x14ac:dyDescent="0.35">
      <c r="A1874" s="3" t="s">
        <v>2150</v>
      </c>
      <c r="B1874" s="4">
        <v>45401</v>
      </c>
      <c r="C1874" s="3" t="s">
        <v>531</v>
      </c>
      <c r="D1874" s="3" t="s">
        <v>36</v>
      </c>
      <c r="E1874" s="3" t="s">
        <v>191</v>
      </c>
      <c r="F1874" s="5">
        <v>5</v>
      </c>
      <c r="G1874" s="5">
        <v>470</v>
      </c>
      <c r="H1874" s="5">
        <v>1.3</v>
      </c>
      <c r="I1874" s="5">
        <v>2319.4499999999998</v>
      </c>
      <c r="J1874" s="3" t="s">
        <v>26</v>
      </c>
      <c r="K1874" s="3" t="s">
        <v>72</v>
      </c>
      <c r="L1874" t="str">
        <f>IFERROR(VLOOKUP(D1874,Products!$A$2:$F$61,3,FALSE()),"")</f>
        <v>Sports</v>
      </c>
      <c r="M1874" t="str">
        <f>IFERROR(VLOOKUP(E1874,Sales_Reps!$A$2:$C$31,3,FALSE()),"")</f>
        <v>South</v>
      </c>
      <c r="N1874">
        <f>IFERROR(VLOOKUP(D1874,Products!$A$2:$F$61,4,FALSE()),"")</f>
        <v>302</v>
      </c>
      <c r="O1874" t="str">
        <f>IFERROR(VLOOKUP(C1874,Customers!$A$2:$F$301,5,FALSE()),"")</f>
        <v>Retail</v>
      </c>
      <c r="P1874">
        <f>IFERROR(VLOOKUP(C1874,Customers!$A$2:$F$301,3,FALSE()),"")</f>
        <v>22</v>
      </c>
      <c r="Q1874">
        <f t="shared" si="87"/>
        <v>0.35744680851063831</v>
      </c>
      <c r="R1874">
        <f>IF(AND(COUNTIF($A$2:$A$2047,A1874)&gt;1,COUNTIF($A$2:A1874,A1874)=1),1,0)</f>
        <v>0</v>
      </c>
      <c r="S1874" t="b">
        <f>IFERROR(VLOOKUP(D1874,Products!$A$2:$F$61,6,FALSE()),"")</f>
        <v>0</v>
      </c>
      <c r="T1874" t="str">
        <f>IF(COUNTIF(Customers!$A$2:$A$301,C1874)=0,"Missing","OK")</f>
        <v>OK</v>
      </c>
      <c r="U1874" t="str">
        <f t="shared" si="88"/>
        <v>Hyderabad</v>
      </c>
      <c r="V1874">
        <f t="shared" si="89"/>
        <v>0</v>
      </c>
    </row>
    <row r="1875" spans="1:22" ht="15" customHeight="1" x14ac:dyDescent="0.35">
      <c r="A1875" s="3" t="s">
        <v>2310</v>
      </c>
      <c r="B1875" s="4">
        <v>45516</v>
      </c>
      <c r="C1875" s="3" t="s">
        <v>884</v>
      </c>
      <c r="D1875" s="3" t="s">
        <v>49</v>
      </c>
      <c r="E1875" s="3" t="s">
        <v>140</v>
      </c>
      <c r="F1875" s="5">
        <v>4</v>
      </c>
      <c r="G1875" s="5">
        <v>370</v>
      </c>
      <c r="H1875" s="5">
        <v>13.1</v>
      </c>
      <c r="I1875" s="5">
        <v>1286.1199999999999</v>
      </c>
      <c r="J1875" s="3" t="s">
        <v>26</v>
      </c>
      <c r="K1875" s="3" t="s">
        <v>27</v>
      </c>
      <c r="L1875" t="str">
        <f>IFERROR(VLOOKUP(D1875,Products!$A$2:$F$61,3,FALSE()),"")</f>
        <v>Home</v>
      </c>
      <c r="M1875" t="str">
        <f>IFERROR(VLOOKUP(E1875,Sales_Reps!$A$2:$C$31,3,FALSE()),"")</f>
        <v>West</v>
      </c>
      <c r="N1875">
        <f>IFERROR(VLOOKUP(D1875,Products!$A$2:$F$61,4,FALSE()),"")</f>
        <v>288</v>
      </c>
      <c r="O1875" t="str">
        <f>IFERROR(VLOOKUP(C1875,Customers!$A$2:$F$301,5,FALSE()),"")</f>
        <v>Retail</v>
      </c>
      <c r="P1875">
        <f>IFERROR(VLOOKUP(C1875,Customers!$A$2:$F$301,3,FALSE()),"")</f>
        <v>54</v>
      </c>
      <c r="Q1875">
        <f t="shared" si="87"/>
        <v>0.22162162162162163</v>
      </c>
      <c r="R1875">
        <f>IF(AND(COUNTIF($A$2:$A$2047,A1875)&gt;1,COUNTIF($A$2:A1875,A1875)=1),1,0)</f>
        <v>0</v>
      </c>
      <c r="S1875" t="b">
        <f>IFERROR(VLOOKUP(D1875,Products!$A$2:$F$61,6,FALSE()),"")</f>
        <v>1</v>
      </c>
      <c r="T1875" t="str">
        <f>IF(COUNTIF(Customers!$A$2:$A$301,C1875)=0,"Missing","OK")</f>
        <v>OK</v>
      </c>
      <c r="U1875" t="str">
        <f t="shared" si="88"/>
        <v>Pune</v>
      </c>
      <c r="V1875">
        <f t="shared" si="89"/>
        <v>0</v>
      </c>
    </row>
    <row r="1876" spans="1:22" ht="15" customHeight="1" x14ac:dyDescent="0.35">
      <c r="A1876" s="3" t="s">
        <v>2311</v>
      </c>
      <c r="B1876" s="4">
        <v>45517</v>
      </c>
      <c r="C1876" s="3" t="s">
        <v>556</v>
      </c>
      <c r="D1876" s="3" t="s">
        <v>45</v>
      </c>
      <c r="E1876" s="3" t="s">
        <v>25</v>
      </c>
      <c r="F1876" s="5">
        <v>7</v>
      </c>
      <c r="G1876" s="5">
        <v>3160</v>
      </c>
      <c r="H1876" s="5">
        <v>12.3</v>
      </c>
      <c r="I1876" s="5">
        <v>19399.240000000002</v>
      </c>
      <c r="J1876" s="3" t="s">
        <v>26</v>
      </c>
      <c r="K1876" s="3" t="s">
        <v>51</v>
      </c>
      <c r="L1876" t="str">
        <f>IFERROR(VLOOKUP(D1876,Products!$A$2:$F$61,3,FALSE()),"")</f>
        <v>Apparel</v>
      </c>
      <c r="M1876" t="str">
        <f>IFERROR(VLOOKUP(E1876,Sales_Reps!$A$2:$C$31,3,FALSE()),"")</f>
        <v>North</v>
      </c>
      <c r="N1876">
        <f>IFERROR(VLOOKUP(D1876,Products!$A$2:$F$61,4,FALSE()),"")</f>
        <v>1886</v>
      </c>
      <c r="O1876" t="str">
        <f>IFERROR(VLOOKUP(C1876,Customers!$A$2:$F$301,5,FALSE()),"")</f>
        <v>SMB</v>
      </c>
      <c r="P1876">
        <f>IFERROR(VLOOKUP(C1876,Customers!$A$2:$F$301,3,FALSE()),"")</f>
        <v>65</v>
      </c>
      <c r="Q1876">
        <f t="shared" si="87"/>
        <v>0.4031645569620253</v>
      </c>
      <c r="R1876">
        <f>IF(AND(COUNTIF($A$2:$A$2047,A1876)&gt;1,COUNTIF($A$2:A1876,A1876)=1),1,0)</f>
        <v>0</v>
      </c>
      <c r="S1876" t="b">
        <f>IFERROR(VLOOKUP(D1876,Products!$A$2:$F$61,6,FALSE()),"")</f>
        <v>1</v>
      </c>
      <c r="T1876" t="str">
        <f>IF(COUNTIF(Customers!$A$2:$A$301,C1876)=0,"Missing","OK")</f>
        <v>OK</v>
      </c>
      <c r="U1876" t="str">
        <f t="shared" si="88"/>
        <v>Mumbai</v>
      </c>
      <c r="V1876">
        <f t="shared" si="89"/>
        <v>0</v>
      </c>
    </row>
    <row r="1877" spans="1:22" ht="15" customHeight="1" x14ac:dyDescent="0.35">
      <c r="A1877" s="3" t="s">
        <v>2312</v>
      </c>
      <c r="B1877" s="4">
        <v>45645</v>
      </c>
      <c r="C1877" s="3" t="s">
        <v>342</v>
      </c>
      <c r="D1877" s="3" t="s">
        <v>598</v>
      </c>
      <c r="E1877" s="3" t="s">
        <v>55</v>
      </c>
      <c r="F1877" s="5">
        <v>5</v>
      </c>
      <c r="G1877" s="5">
        <v>3560</v>
      </c>
      <c r="H1877" s="5">
        <v>24</v>
      </c>
      <c r="I1877" s="5">
        <v>13528</v>
      </c>
      <c r="J1877" s="3" t="s">
        <v>26</v>
      </c>
      <c r="K1877" s="3" t="s">
        <v>56</v>
      </c>
      <c r="L1877" t="str">
        <f>IFERROR(VLOOKUP(D1877,Products!$A$2:$F$61,3,FALSE()),"")</f>
        <v>Apparel</v>
      </c>
      <c r="M1877" t="str">
        <f>IFERROR(VLOOKUP(E1877,Sales_Reps!$A$2:$C$31,3,FALSE()),"")</f>
        <v>West</v>
      </c>
      <c r="N1877">
        <f>IFERROR(VLOOKUP(D1877,Products!$A$2:$F$61,4,FALSE()),"")</f>
        <v>2629</v>
      </c>
      <c r="O1877" t="str">
        <f>IFERROR(VLOOKUP(C1877,Customers!$A$2:$F$301,5,FALSE()),"")</f>
        <v>Retail</v>
      </c>
      <c r="P1877">
        <f>IFERROR(VLOOKUP(C1877,Customers!$A$2:$F$301,3,FALSE()),"")</f>
        <v>59</v>
      </c>
      <c r="Q1877">
        <f t="shared" si="87"/>
        <v>0.26151685393258428</v>
      </c>
      <c r="R1877">
        <f>IF(AND(COUNTIF($A$2:$A$2047,A1877)&gt;1,COUNTIF($A$2:A1877,A1877)=1),1,0)</f>
        <v>0</v>
      </c>
      <c r="S1877" t="b">
        <f>IFERROR(VLOOKUP(D1877,Products!$A$2:$F$61,6,FALSE()),"")</f>
        <v>1</v>
      </c>
      <c r="T1877" t="str">
        <f>IF(COUNTIF(Customers!$A$2:$A$301,C1877)=0,"Missing","OK")</f>
        <v>OK</v>
      </c>
      <c r="U1877" t="str">
        <f t="shared" si="88"/>
        <v>Bengaluru</v>
      </c>
      <c r="V1877">
        <f t="shared" si="89"/>
        <v>0</v>
      </c>
    </row>
    <row r="1878" spans="1:22" ht="15" customHeight="1" x14ac:dyDescent="0.35">
      <c r="A1878" s="3" t="s">
        <v>2313</v>
      </c>
      <c r="B1878" s="4">
        <v>45417</v>
      </c>
      <c r="C1878" s="3" t="s">
        <v>361</v>
      </c>
      <c r="D1878" s="3" t="s">
        <v>234</v>
      </c>
      <c r="E1878" s="3" t="s">
        <v>97</v>
      </c>
      <c r="F1878" s="5">
        <v>6</v>
      </c>
      <c r="G1878" s="5">
        <v>2030</v>
      </c>
      <c r="H1878" s="5">
        <v>20.5</v>
      </c>
      <c r="I1878" s="5">
        <v>9683.1</v>
      </c>
      <c r="J1878" s="3" t="s">
        <v>26</v>
      </c>
      <c r="K1878" s="3" t="s">
        <v>33</v>
      </c>
      <c r="L1878" t="str">
        <f>IFERROR(VLOOKUP(D1878,Products!$A$2:$F$61,3,FALSE()),"")</f>
        <v>Home</v>
      </c>
      <c r="M1878" t="str">
        <f>IFERROR(VLOOKUP(E1878,Sales_Reps!$A$2:$C$31,3,FALSE()),"")</f>
        <v>East</v>
      </c>
      <c r="N1878">
        <f>IFERROR(VLOOKUP(D1878,Products!$A$2:$F$61,4,FALSE()),"")</f>
        <v>1143</v>
      </c>
      <c r="O1878" t="str">
        <f>IFERROR(VLOOKUP(C1878,Customers!$A$2:$F$301,5,FALSE()),"")</f>
        <v>SMB</v>
      </c>
      <c r="P1878">
        <f>IFERROR(VLOOKUP(C1878,Customers!$A$2:$F$301,3,FALSE()),"")</f>
        <v>64</v>
      </c>
      <c r="Q1878">
        <f t="shared" si="87"/>
        <v>0.43694581280788175</v>
      </c>
      <c r="R1878">
        <f>IF(AND(COUNTIF($A$2:$A$2047,A1878)&gt;1,COUNTIF($A$2:A1878,A1878)=1),1,0)</f>
        <v>0</v>
      </c>
      <c r="S1878" t="b">
        <f>IFERROR(VLOOKUP(D1878,Products!$A$2:$F$61,6,FALSE()),"")</f>
        <v>1</v>
      </c>
      <c r="T1878" t="str">
        <f>IF(COUNTIF(Customers!$A$2:$A$301,C1878)=0,"Missing","OK")</f>
        <v>OK</v>
      </c>
      <c r="U1878" t="str">
        <f t="shared" si="88"/>
        <v>Chennai</v>
      </c>
      <c r="V1878">
        <f t="shared" si="89"/>
        <v>0</v>
      </c>
    </row>
    <row r="1879" spans="1:22" ht="15" customHeight="1" x14ac:dyDescent="0.35">
      <c r="A1879" s="3" t="s">
        <v>2314</v>
      </c>
      <c r="B1879" s="4">
        <v>45351</v>
      </c>
      <c r="C1879" s="3" t="s">
        <v>411</v>
      </c>
      <c r="D1879" s="3" t="s">
        <v>74</v>
      </c>
      <c r="E1879" s="3" t="s">
        <v>242</v>
      </c>
      <c r="F1879" s="5">
        <v>5</v>
      </c>
      <c r="G1879" s="5">
        <v>2640</v>
      </c>
      <c r="H1879" s="5">
        <v>21.3</v>
      </c>
      <c r="I1879" s="5">
        <v>10388.4</v>
      </c>
      <c r="J1879" s="3" t="s">
        <v>32</v>
      </c>
      <c r="K1879" s="3" t="s">
        <v>33</v>
      </c>
      <c r="L1879" t="str">
        <f>IFERROR(VLOOKUP(D1879,Products!$A$2:$F$61,3,FALSE()),"")</f>
        <v>Electronics</v>
      </c>
      <c r="M1879" t="str">
        <f>IFERROR(VLOOKUP(E1879,Sales_Reps!$A$2:$C$31,3,FALSE()),"")</f>
        <v>East</v>
      </c>
      <c r="N1879">
        <f>IFERROR(VLOOKUP(D1879,Products!$A$2:$F$61,4,FALSE()),"")</f>
        <v>1149</v>
      </c>
      <c r="O1879" t="str">
        <f>IFERROR(VLOOKUP(C1879,Customers!$A$2:$F$301,5,FALSE()),"")</f>
        <v>Corporate</v>
      </c>
      <c r="P1879">
        <f>IFERROR(VLOOKUP(C1879,Customers!$A$2:$F$301,3,FALSE()),"")</f>
        <v>35</v>
      </c>
      <c r="Q1879">
        <f t="shared" si="87"/>
        <v>0.56477272727272732</v>
      </c>
      <c r="R1879">
        <f>IF(AND(COUNTIF($A$2:$A$2047,A1879)&gt;1,COUNTIF($A$2:A1879,A1879)=1),1,0)</f>
        <v>0</v>
      </c>
      <c r="S1879" t="b">
        <f>IFERROR(VLOOKUP(D1879,Products!$A$2:$F$61,6,FALSE()),"")</f>
        <v>1</v>
      </c>
      <c r="T1879" t="str">
        <f>IF(COUNTIF(Customers!$A$2:$A$301,C1879)=0,"Missing","OK")</f>
        <v>OK</v>
      </c>
      <c r="U1879" t="str">
        <f t="shared" si="88"/>
        <v>Chennai</v>
      </c>
      <c r="V1879">
        <f t="shared" si="89"/>
        <v>0</v>
      </c>
    </row>
    <row r="1880" spans="1:22" ht="15" customHeight="1" x14ac:dyDescent="0.35">
      <c r="A1880" s="3" t="s">
        <v>2315</v>
      </c>
      <c r="B1880" s="4">
        <v>45629</v>
      </c>
      <c r="C1880" s="3" t="s">
        <v>164</v>
      </c>
      <c r="D1880" s="3" t="s">
        <v>184</v>
      </c>
      <c r="E1880" s="3" t="s">
        <v>236</v>
      </c>
      <c r="F1880" s="5">
        <v>4</v>
      </c>
      <c r="G1880" s="5">
        <v>2270</v>
      </c>
      <c r="H1880" s="5">
        <v>15.8</v>
      </c>
      <c r="I1880" s="5">
        <v>7645.36</v>
      </c>
      <c r="J1880" s="3" t="s">
        <v>26</v>
      </c>
      <c r="K1880" s="3" t="s">
        <v>33</v>
      </c>
      <c r="L1880" t="str">
        <f>IFERROR(VLOOKUP(D1880,Products!$A$2:$F$61,3,FALSE()),"")</f>
        <v>Grocery</v>
      </c>
      <c r="M1880" t="str">
        <f>IFERROR(VLOOKUP(E1880,Sales_Reps!$A$2:$C$31,3,FALSE()),"")</f>
        <v>North</v>
      </c>
      <c r="N1880">
        <f>IFERROR(VLOOKUP(D1880,Products!$A$2:$F$61,4,FALSE()),"")</f>
        <v>1412</v>
      </c>
      <c r="O1880" t="str">
        <f>IFERROR(VLOOKUP(C1880,Customers!$A$2:$F$301,5,FALSE()),"")</f>
        <v>Retail</v>
      </c>
      <c r="P1880">
        <f>IFERROR(VLOOKUP(C1880,Customers!$A$2:$F$301,3,FALSE()),"")</f>
        <v>37</v>
      </c>
      <c r="Q1880">
        <f t="shared" si="87"/>
        <v>0.37797356828193834</v>
      </c>
      <c r="R1880">
        <f>IF(AND(COUNTIF($A$2:$A$2047,A1880)&gt;1,COUNTIF($A$2:A1880,A1880)=1),1,0)</f>
        <v>0</v>
      </c>
      <c r="S1880" t="b">
        <f>IFERROR(VLOOKUP(D1880,Products!$A$2:$F$61,6,FALSE()),"")</f>
        <v>1</v>
      </c>
      <c r="T1880" t="str">
        <f>IF(COUNTIF(Customers!$A$2:$A$301,C1880)=0,"Missing","OK")</f>
        <v>OK</v>
      </c>
      <c r="U1880" t="str">
        <f t="shared" si="88"/>
        <v>Chennai</v>
      </c>
      <c r="V1880">
        <f t="shared" si="89"/>
        <v>0</v>
      </c>
    </row>
    <row r="1881" spans="1:22" ht="15" customHeight="1" x14ac:dyDescent="0.35">
      <c r="A1881" s="3" t="s">
        <v>2316</v>
      </c>
      <c r="B1881" s="4">
        <v>45588</v>
      </c>
      <c r="C1881" s="3" t="s">
        <v>467</v>
      </c>
      <c r="D1881" s="3" t="s">
        <v>49</v>
      </c>
      <c r="E1881" s="3" t="s">
        <v>236</v>
      </c>
      <c r="F1881" s="5">
        <v>1</v>
      </c>
      <c r="G1881" s="5">
        <v>370</v>
      </c>
      <c r="H1881" s="5">
        <v>27</v>
      </c>
      <c r="I1881" s="5">
        <v>270.10000000000002</v>
      </c>
      <c r="J1881" s="3" t="s">
        <v>32</v>
      </c>
      <c r="K1881" s="3" t="s">
        <v>51</v>
      </c>
      <c r="L1881" t="str">
        <f>IFERROR(VLOOKUP(D1881,Products!$A$2:$F$61,3,FALSE()),"")</f>
        <v>Home</v>
      </c>
      <c r="M1881" t="str">
        <f>IFERROR(VLOOKUP(E1881,Sales_Reps!$A$2:$C$31,3,FALSE()),"")</f>
        <v>North</v>
      </c>
      <c r="N1881">
        <f>IFERROR(VLOOKUP(D1881,Products!$A$2:$F$61,4,FALSE()),"")</f>
        <v>288</v>
      </c>
      <c r="O1881" t="str">
        <f>IFERROR(VLOOKUP(C1881,Customers!$A$2:$F$301,5,FALSE()),"")</f>
        <v>Retail</v>
      </c>
      <c r="P1881">
        <f>IFERROR(VLOOKUP(C1881,Customers!$A$2:$F$301,3,FALSE()),"")</f>
        <v>44</v>
      </c>
      <c r="Q1881">
        <f t="shared" si="87"/>
        <v>0.22162162162162163</v>
      </c>
      <c r="R1881">
        <f>IF(AND(COUNTIF($A$2:$A$2047,A1881)&gt;1,COUNTIF($A$2:A1881,A1881)=1),1,0)</f>
        <v>0</v>
      </c>
      <c r="S1881" t="b">
        <f>IFERROR(VLOOKUP(D1881,Products!$A$2:$F$61,6,FALSE()),"")</f>
        <v>1</v>
      </c>
      <c r="T1881" t="str">
        <f>IF(COUNTIF(Customers!$A$2:$A$301,C1881)=0,"Missing","OK")</f>
        <v>OK</v>
      </c>
      <c r="U1881" t="str">
        <f t="shared" si="88"/>
        <v>Mumbai</v>
      </c>
      <c r="V1881">
        <f t="shared" si="89"/>
        <v>0</v>
      </c>
    </row>
    <row r="1882" spans="1:22" ht="15" customHeight="1" x14ac:dyDescent="0.35">
      <c r="A1882" s="3" t="s">
        <v>2317</v>
      </c>
      <c r="B1882" s="4">
        <v>45366</v>
      </c>
      <c r="C1882" s="3" t="s">
        <v>211</v>
      </c>
      <c r="D1882" s="3" t="s">
        <v>130</v>
      </c>
      <c r="E1882" s="3" t="s">
        <v>177</v>
      </c>
      <c r="F1882" s="5">
        <v>9</v>
      </c>
      <c r="G1882" s="5">
        <v>5100</v>
      </c>
      <c r="H1882" s="5">
        <v>2.4</v>
      </c>
      <c r="I1882" s="5">
        <v>44798.400000000001</v>
      </c>
      <c r="J1882" s="3" t="s">
        <v>26</v>
      </c>
      <c r="K1882" s="3" t="s">
        <v>33</v>
      </c>
      <c r="L1882" t="str">
        <f>IFERROR(VLOOKUP(D1882,Products!$A$2:$F$61,3,FALSE()),"")</f>
        <v>Beauty</v>
      </c>
      <c r="M1882" t="str">
        <f>IFERROR(VLOOKUP(E1882,Sales_Reps!$A$2:$C$31,3,FALSE()),"")</f>
        <v>East</v>
      </c>
      <c r="N1882">
        <f>IFERROR(VLOOKUP(D1882,Products!$A$2:$F$61,4,FALSE()),"")</f>
        <v>2237</v>
      </c>
      <c r="O1882" t="str">
        <f>IFERROR(VLOOKUP(C1882,Customers!$A$2:$F$301,5,FALSE()),"")</f>
        <v>SMB</v>
      </c>
      <c r="P1882">
        <f>IFERROR(VLOOKUP(C1882,Customers!$A$2:$F$301,3,FALSE()),"")</f>
        <v>55</v>
      </c>
      <c r="Q1882">
        <f t="shared" si="87"/>
        <v>0.56137254901960787</v>
      </c>
      <c r="R1882">
        <f>IF(AND(COUNTIF($A$2:$A$2047,A1882)&gt;1,COUNTIF($A$2:A1882,A1882)=1),1,0)</f>
        <v>0</v>
      </c>
      <c r="S1882" t="b">
        <f>IFERROR(VLOOKUP(D1882,Products!$A$2:$F$61,6,FALSE()),"")</f>
        <v>1</v>
      </c>
      <c r="T1882" t="str">
        <f>IF(COUNTIF(Customers!$A$2:$A$301,C1882)=0,"Missing","OK")</f>
        <v>OK</v>
      </c>
      <c r="U1882" t="str">
        <f t="shared" si="88"/>
        <v>Chennai</v>
      </c>
      <c r="V1882">
        <f t="shared" si="89"/>
        <v>0</v>
      </c>
    </row>
    <row r="1883" spans="1:22" ht="15" customHeight="1" x14ac:dyDescent="0.35">
      <c r="A1883" s="3" t="s">
        <v>2318</v>
      </c>
      <c r="B1883" s="4">
        <v>45322</v>
      </c>
      <c r="C1883" s="3" t="s">
        <v>531</v>
      </c>
      <c r="D1883" s="3" t="s">
        <v>49</v>
      </c>
      <c r="E1883" s="3" t="s">
        <v>93</v>
      </c>
      <c r="F1883" s="5">
        <v>6</v>
      </c>
      <c r="G1883" s="5">
        <v>370</v>
      </c>
      <c r="H1883" s="5">
        <v>18.7</v>
      </c>
      <c r="I1883" s="5">
        <v>1804.86</v>
      </c>
      <c r="J1883" s="3" t="s">
        <v>79</v>
      </c>
      <c r="K1883" s="3" t="s">
        <v>72</v>
      </c>
      <c r="L1883" t="str">
        <f>IFERROR(VLOOKUP(D1883,Products!$A$2:$F$61,3,FALSE()),"")</f>
        <v>Home</v>
      </c>
      <c r="M1883" t="str">
        <f>IFERROR(VLOOKUP(E1883,Sales_Reps!$A$2:$C$31,3,FALSE()),"")</f>
        <v>East</v>
      </c>
      <c r="N1883">
        <f>IFERROR(VLOOKUP(D1883,Products!$A$2:$F$61,4,FALSE()),"")</f>
        <v>288</v>
      </c>
      <c r="O1883" t="str">
        <f>IFERROR(VLOOKUP(C1883,Customers!$A$2:$F$301,5,FALSE()),"")</f>
        <v>Retail</v>
      </c>
      <c r="P1883">
        <f>IFERROR(VLOOKUP(C1883,Customers!$A$2:$F$301,3,FALSE()),"")</f>
        <v>22</v>
      </c>
      <c r="Q1883">
        <f t="shared" si="87"/>
        <v>0.22162162162162163</v>
      </c>
      <c r="R1883">
        <f>IF(AND(COUNTIF($A$2:$A$2047,A1883)&gt;1,COUNTIF($A$2:A1883,A1883)=1),1,0)</f>
        <v>0</v>
      </c>
      <c r="S1883" t="b">
        <f>IFERROR(VLOOKUP(D1883,Products!$A$2:$F$61,6,FALSE()),"")</f>
        <v>1</v>
      </c>
      <c r="T1883" t="str">
        <f>IF(COUNTIF(Customers!$A$2:$A$301,C1883)=0,"Missing","OK")</f>
        <v>OK</v>
      </c>
      <c r="U1883" t="str">
        <f t="shared" si="88"/>
        <v>Hyderabad</v>
      </c>
      <c r="V1883">
        <f t="shared" si="89"/>
        <v>0</v>
      </c>
    </row>
    <row r="1884" spans="1:22" ht="15" customHeight="1" x14ac:dyDescent="0.35">
      <c r="A1884" s="3" t="s">
        <v>2319</v>
      </c>
      <c r="B1884" s="4">
        <v>45465</v>
      </c>
      <c r="C1884" s="3" t="s">
        <v>502</v>
      </c>
      <c r="D1884" s="3" t="s">
        <v>66</v>
      </c>
      <c r="E1884" s="3" t="s">
        <v>78</v>
      </c>
      <c r="F1884" s="5">
        <v>6</v>
      </c>
      <c r="G1884" s="5">
        <v>970</v>
      </c>
      <c r="H1884" s="5">
        <v>21.6</v>
      </c>
      <c r="I1884" s="5">
        <v>4562.88</v>
      </c>
      <c r="J1884" s="3" t="s">
        <v>26</v>
      </c>
      <c r="K1884" s="3" t="s">
        <v>27</v>
      </c>
      <c r="L1884" t="str">
        <f>IFERROR(VLOOKUP(D1884,Products!$A$2:$F$61,3,FALSE()),"")</f>
        <v>Grocery</v>
      </c>
      <c r="M1884" t="str">
        <f>IFERROR(VLOOKUP(E1884,Sales_Reps!$A$2:$C$31,3,FALSE()),"")</f>
        <v>North</v>
      </c>
      <c r="N1884">
        <f>IFERROR(VLOOKUP(D1884,Products!$A$2:$F$61,4,FALSE()),"")</f>
        <v>434</v>
      </c>
      <c r="O1884" t="str">
        <f>IFERROR(VLOOKUP(C1884,Customers!$A$2:$F$301,5,FALSE()),"")</f>
        <v>SMB</v>
      </c>
      <c r="P1884">
        <f>IFERROR(VLOOKUP(C1884,Customers!$A$2:$F$301,3,FALSE()),"")</f>
        <v>24</v>
      </c>
      <c r="Q1884">
        <f t="shared" si="87"/>
        <v>0.5525773195876289</v>
      </c>
      <c r="R1884">
        <f>IF(AND(COUNTIF($A$2:$A$2047,A1884)&gt;1,COUNTIF($A$2:A1884,A1884)=1),1,0)</f>
        <v>0</v>
      </c>
      <c r="S1884" t="b">
        <f>IFERROR(VLOOKUP(D1884,Products!$A$2:$F$61,6,FALSE()),"")</f>
        <v>1</v>
      </c>
      <c r="T1884" t="str">
        <f>IF(COUNTIF(Customers!$A$2:$A$301,C1884)=0,"Missing","OK")</f>
        <v>OK</v>
      </c>
      <c r="U1884" t="str">
        <f t="shared" si="88"/>
        <v>Pune</v>
      </c>
      <c r="V1884">
        <f t="shared" si="89"/>
        <v>0</v>
      </c>
    </row>
    <row r="1885" spans="1:22" ht="15" customHeight="1" x14ac:dyDescent="0.35">
      <c r="A1885" s="3" t="s">
        <v>2320</v>
      </c>
      <c r="B1885" s="4">
        <v>45622</v>
      </c>
      <c r="C1885" s="3" t="s">
        <v>2321</v>
      </c>
      <c r="D1885" s="3" t="s">
        <v>277</v>
      </c>
      <c r="E1885" s="3" t="s">
        <v>168</v>
      </c>
      <c r="F1885" s="5">
        <v>3</v>
      </c>
      <c r="G1885" s="5">
        <v>2210</v>
      </c>
      <c r="H1885" s="5">
        <v>8.5</v>
      </c>
      <c r="I1885" s="5">
        <v>6066.45</v>
      </c>
      <c r="J1885" s="3" t="s">
        <v>26</v>
      </c>
      <c r="K1885" s="3" t="s">
        <v>38</v>
      </c>
      <c r="L1885" t="str">
        <f>IFERROR(VLOOKUP(D1885,Products!$A$2:$F$61,3,FALSE()),"")</f>
        <v>Grocery</v>
      </c>
      <c r="M1885" t="str">
        <f>IFERROR(VLOOKUP(E1885,Sales_Reps!$A$2:$C$31,3,FALSE()),"")</f>
        <v>West</v>
      </c>
      <c r="N1885">
        <f>IFERROR(VLOOKUP(D1885,Products!$A$2:$F$61,4,FALSE()),"")</f>
        <v>1010</v>
      </c>
      <c r="O1885" t="str">
        <f>IFERROR(VLOOKUP(C1885,Customers!$A$2:$F$301,5,FALSE()),"")</f>
        <v/>
      </c>
      <c r="P1885" t="str">
        <f>IFERROR(VLOOKUP(C1885,Customers!$A$2:$F$301,3,FALSE()),"")</f>
        <v/>
      </c>
      <c r="Q1885">
        <f t="shared" si="87"/>
        <v>0.54298642533936647</v>
      </c>
      <c r="R1885">
        <f>IF(AND(COUNTIF($A$2:$A$2047,A1885)&gt;1,COUNTIF($A$2:A1885,A1885)=1),1,0)</f>
        <v>0</v>
      </c>
      <c r="S1885" t="b">
        <f>IFERROR(VLOOKUP(D1885,Products!$A$2:$F$61,6,FALSE()),"")</f>
        <v>1</v>
      </c>
      <c r="T1885" t="str">
        <f>IF(COUNTIF(Customers!$A$2:$A$301,C1885)=0,"Missing","OK")</f>
        <v>Missing</v>
      </c>
      <c r="U1885" t="str">
        <f t="shared" si="88"/>
        <v>Delhi</v>
      </c>
      <c r="V1885">
        <f t="shared" si="89"/>
        <v>0</v>
      </c>
    </row>
    <row r="1886" spans="1:22" ht="15" customHeight="1" x14ac:dyDescent="0.35">
      <c r="A1886" s="3" t="s">
        <v>2322</v>
      </c>
      <c r="B1886" s="4">
        <v>45457</v>
      </c>
      <c r="C1886" s="3" t="s">
        <v>321</v>
      </c>
      <c r="D1886" s="3" t="s">
        <v>115</v>
      </c>
      <c r="E1886" s="3" t="s">
        <v>236</v>
      </c>
      <c r="F1886" s="5">
        <v>1</v>
      </c>
      <c r="G1886" s="5">
        <v>1650</v>
      </c>
      <c r="H1886" s="5">
        <v>19.7</v>
      </c>
      <c r="I1886" s="5">
        <v>1324.95</v>
      </c>
      <c r="J1886" s="3" t="s">
        <v>26</v>
      </c>
      <c r="K1886" s="3" t="s">
        <v>38</v>
      </c>
      <c r="L1886" t="str">
        <f>IFERROR(VLOOKUP(D1886,Products!$A$2:$F$61,3,FALSE()),"")</f>
        <v>Beauty</v>
      </c>
      <c r="M1886" t="str">
        <f>IFERROR(VLOOKUP(E1886,Sales_Reps!$A$2:$C$31,3,FALSE()),"")</f>
        <v>North</v>
      </c>
      <c r="N1886">
        <f>IFERROR(VLOOKUP(D1886,Products!$A$2:$F$61,4,FALSE()),"")</f>
        <v>1222</v>
      </c>
      <c r="O1886" t="str">
        <f>IFERROR(VLOOKUP(C1886,Customers!$A$2:$F$301,5,FALSE()),"")</f>
        <v>Corporate</v>
      </c>
      <c r="P1886">
        <f>IFERROR(VLOOKUP(C1886,Customers!$A$2:$F$301,3,FALSE()),"")</f>
        <v>27</v>
      </c>
      <c r="Q1886">
        <f t="shared" si="87"/>
        <v>0.2593939393939394</v>
      </c>
      <c r="R1886">
        <f>IF(AND(COUNTIF($A$2:$A$2047,A1886)&gt;1,COUNTIF($A$2:A1886,A1886)=1),1,0)</f>
        <v>0</v>
      </c>
      <c r="S1886" t="b">
        <f>IFERROR(VLOOKUP(D1886,Products!$A$2:$F$61,6,FALSE()),"")</f>
        <v>1</v>
      </c>
      <c r="T1886" t="str">
        <f>IF(COUNTIF(Customers!$A$2:$A$301,C1886)=0,"Missing","OK")</f>
        <v>OK</v>
      </c>
      <c r="U1886" t="str">
        <f t="shared" si="88"/>
        <v>Delhi</v>
      </c>
      <c r="V1886">
        <f t="shared" si="89"/>
        <v>0</v>
      </c>
    </row>
    <row r="1887" spans="1:22" ht="15" customHeight="1" x14ac:dyDescent="0.35">
      <c r="A1887" s="3" t="s">
        <v>2323</v>
      </c>
      <c r="B1887" s="4">
        <v>45480</v>
      </c>
      <c r="C1887" s="3" t="s">
        <v>887</v>
      </c>
      <c r="D1887" s="3" t="s">
        <v>454</v>
      </c>
      <c r="E1887" s="3" t="s">
        <v>87</v>
      </c>
      <c r="F1887" s="5">
        <v>5</v>
      </c>
      <c r="G1887" s="5">
        <v>6940</v>
      </c>
      <c r="H1887" s="5">
        <v>7.7</v>
      </c>
      <c r="I1887" s="5">
        <v>32028.1</v>
      </c>
      <c r="J1887" s="3" t="s">
        <v>26</v>
      </c>
      <c r="K1887" s="3" t="s">
        <v>27</v>
      </c>
      <c r="L1887" t="str">
        <f>IFERROR(VLOOKUP(D1887,Products!$A$2:$F$61,3,FALSE()),"")</f>
        <v>Sports</v>
      </c>
      <c r="M1887" t="str">
        <f>IFERROR(VLOOKUP(E1887,Sales_Reps!$A$2:$C$31,3,FALSE()),"")</f>
        <v>North</v>
      </c>
      <c r="N1887">
        <f>IFERROR(VLOOKUP(D1887,Products!$A$2:$F$61,4,FALSE()),"")</f>
        <v>2827</v>
      </c>
      <c r="O1887" t="str">
        <f>IFERROR(VLOOKUP(C1887,Customers!$A$2:$F$301,5,FALSE()),"")</f>
        <v>Retail</v>
      </c>
      <c r="P1887">
        <f>IFERROR(VLOOKUP(C1887,Customers!$A$2:$F$301,3,FALSE()),"")</f>
        <v>65</v>
      </c>
      <c r="Q1887">
        <f t="shared" si="87"/>
        <v>0.5926512968299712</v>
      </c>
      <c r="R1887">
        <f>IF(AND(COUNTIF($A$2:$A$2047,A1887)&gt;1,COUNTIF($A$2:A1887,A1887)=1),1,0)</f>
        <v>0</v>
      </c>
      <c r="S1887" t="b">
        <f>IFERROR(VLOOKUP(D1887,Products!$A$2:$F$61,6,FALSE()),"")</f>
        <v>1</v>
      </c>
      <c r="T1887" t="str">
        <f>IF(COUNTIF(Customers!$A$2:$A$301,C1887)=0,"Missing","OK")</f>
        <v>OK</v>
      </c>
      <c r="U1887" t="str">
        <f t="shared" si="88"/>
        <v>Pune</v>
      </c>
      <c r="V1887">
        <f t="shared" si="89"/>
        <v>0</v>
      </c>
    </row>
    <row r="1888" spans="1:22" ht="15" customHeight="1" x14ac:dyDescent="0.35">
      <c r="A1888" s="3" t="s">
        <v>2324</v>
      </c>
      <c r="B1888" s="4">
        <v>45392</v>
      </c>
      <c r="C1888" s="3" t="s">
        <v>426</v>
      </c>
      <c r="D1888" s="3" t="s">
        <v>277</v>
      </c>
      <c r="E1888" s="3" t="s">
        <v>224</v>
      </c>
      <c r="F1888" s="5">
        <v>2</v>
      </c>
      <c r="G1888" s="5">
        <v>2210</v>
      </c>
      <c r="H1888" s="5">
        <v>5.6</v>
      </c>
      <c r="I1888" s="5">
        <v>4172.4799999999996</v>
      </c>
      <c r="J1888" s="3" t="s">
        <v>79</v>
      </c>
      <c r="K1888" s="3" t="s">
        <v>27</v>
      </c>
      <c r="L1888" t="str">
        <f>IFERROR(VLOOKUP(D1888,Products!$A$2:$F$61,3,FALSE()),"")</f>
        <v>Grocery</v>
      </c>
      <c r="M1888" t="str">
        <f>IFERROR(VLOOKUP(E1888,Sales_Reps!$A$2:$C$31,3,FALSE()),"")</f>
        <v>East</v>
      </c>
      <c r="N1888">
        <f>IFERROR(VLOOKUP(D1888,Products!$A$2:$F$61,4,FALSE()),"")</f>
        <v>1010</v>
      </c>
      <c r="O1888" t="str">
        <f>IFERROR(VLOOKUP(C1888,Customers!$A$2:$F$301,5,FALSE()),"")</f>
        <v>Corporate</v>
      </c>
      <c r="P1888">
        <f>IFERROR(VLOOKUP(C1888,Customers!$A$2:$F$301,3,FALSE()),"")</f>
        <v>29</v>
      </c>
      <c r="Q1888">
        <f t="shared" si="87"/>
        <v>0.54298642533936647</v>
      </c>
      <c r="R1888">
        <f>IF(AND(COUNTIF($A$2:$A$2047,A1888)&gt;1,COUNTIF($A$2:A1888,A1888)=1),1,0)</f>
        <v>0</v>
      </c>
      <c r="S1888" t="b">
        <f>IFERROR(VLOOKUP(D1888,Products!$A$2:$F$61,6,FALSE()),"")</f>
        <v>1</v>
      </c>
      <c r="T1888" t="str">
        <f>IF(COUNTIF(Customers!$A$2:$A$301,C1888)=0,"Missing","OK")</f>
        <v>OK</v>
      </c>
      <c r="U1888" t="str">
        <f t="shared" si="88"/>
        <v>Pune</v>
      </c>
      <c r="V1888">
        <f t="shared" si="89"/>
        <v>0</v>
      </c>
    </row>
    <row r="1889" spans="1:22" ht="15" customHeight="1" x14ac:dyDescent="0.35">
      <c r="A1889" s="3" t="s">
        <v>2325</v>
      </c>
      <c r="B1889" s="4">
        <v>45380</v>
      </c>
      <c r="C1889" s="3" t="s">
        <v>255</v>
      </c>
      <c r="D1889" s="3" t="s">
        <v>77</v>
      </c>
      <c r="E1889" s="3" t="s">
        <v>37</v>
      </c>
      <c r="F1889" s="5">
        <v>9</v>
      </c>
      <c r="G1889" s="5">
        <v>2600</v>
      </c>
      <c r="H1889" s="5">
        <v>3.1</v>
      </c>
      <c r="I1889" s="5">
        <v>22674.6</v>
      </c>
      <c r="J1889" s="3" t="s">
        <v>26</v>
      </c>
      <c r="K1889" s="3" t="s">
        <v>27</v>
      </c>
      <c r="L1889" t="str">
        <f>IFERROR(VLOOKUP(D1889,Products!$A$2:$F$61,3,FALSE()),"")</f>
        <v>Electronics</v>
      </c>
      <c r="M1889" t="str">
        <f>IFERROR(VLOOKUP(E1889,Sales_Reps!$A$2:$C$31,3,FALSE()),"")</f>
        <v>South</v>
      </c>
      <c r="N1889">
        <f>IFERROR(VLOOKUP(D1889,Products!$A$2:$F$61,4,FALSE()),"")</f>
        <v>1052</v>
      </c>
      <c r="O1889" t="str">
        <f>IFERROR(VLOOKUP(C1889,Customers!$A$2:$F$301,5,FALSE()),"")</f>
        <v>SMB</v>
      </c>
      <c r="P1889">
        <f>IFERROR(VLOOKUP(C1889,Customers!$A$2:$F$301,3,FALSE()),"")</f>
        <v>60</v>
      </c>
      <c r="Q1889">
        <f t="shared" si="87"/>
        <v>0.5953846153846154</v>
      </c>
      <c r="R1889">
        <f>IF(AND(COUNTIF($A$2:$A$2047,A1889)&gt;1,COUNTIF($A$2:A1889,A1889)=1),1,0)</f>
        <v>0</v>
      </c>
      <c r="S1889" t="b">
        <f>IFERROR(VLOOKUP(D1889,Products!$A$2:$F$61,6,FALSE()),"")</f>
        <v>1</v>
      </c>
      <c r="T1889" t="str">
        <f>IF(COUNTIF(Customers!$A$2:$A$301,C1889)=0,"Missing","OK")</f>
        <v>OK</v>
      </c>
      <c r="U1889" t="str">
        <f t="shared" si="88"/>
        <v>Pune</v>
      </c>
      <c r="V1889">
        <f t="shared" si="89"/>
        <v>0</v>
      </c>
    </row>
    <row r="1890" spans="1:22" ht="15" customHeight="1" x14ac:dyDescent="0.35">
      <c r="A1890" s="3" t="s">
        <v>2326</v>
      </c>
      <c r="B1890" s="4">
        <v>45494</v>
      </c>
      <c r="C1890" s="3" t="s">
        <v>839</v>
      </c>
      <c r="D1890" s="3" t="s">
        <v>400</v>
      </c>
      <c r="E1890" s="3" t="s">
        <v>87</v>
      </c>
      <c r="F1890" s="5">
        <v>7</v>
      </c>
      <c r="G1890" s="5">
        <v>3780</v>
      </c>
      <c r="H1890" s="5">
        <v>13.3</v>
      </c>
      <c r="I1890" s="5">
        <v>22940.82</v>
      </c>
      <c r="J1890" s="3" t="s">
        <v>26</v>
      </c>
      <c r="K1890" s="3" t="s">
        <v>56</v>
      </c>
      <c r="L1890" t="str">
        <f>IFERROR(VLOOKUP(D1890,Products!$A$2:$F$61,3,FALSE()),"")</f>
        <v>Sports</v>
      </c>
      <c r="M1890" t="str">
        <f>IFERROR(VLOOKUP(E1890,Sales_Reps!$A$2:$C$31,3,FALSE()),"")</f>
        <v>North</v>
      </c>
      <c r="N1890">
        <f>IFERROR(VLOOKUP(D1890,Products!$A$2:$F$61,4,FALSE()),"")</f>
        <v>1860</v>
      </c>
      <c r="O1890" t="str">
        <f>IFERROR(VLOOKUP(C1890,Customers!$A$2:$F$301,5,FALSE()),"")</f>
        <v>Retail</v>
      </c>
      <c r="P1890">
        <f>IFERROR(VLOOKUP(C1890,Customers!$A$2:$F$301,3,FALSE()),"")</f>
        <v>35</v>
      </c>
      <c r="Q1890">
        <f t="shared" si="87"/>
        <v>0.50793650793650791</v>
      </c>
      <c r="R1890">
        <f>IF(AND(COUNTIF($A$2:$A$2047,A1890)&gt;1,COUNTIF($A$2:A1890,A1890)=1),1,0)</f>
        <v>0</v>
      </c>
      <c r="S1890" t="b">
        <f>IFERROR(VLOOKUP(D1890,Products!$A$2:$F$61,6,FALSE()),"")</f>
        <v>1</v>
      </c>
      <c r="T1890" t="str">
        <f>IF(COUNTIF(Customers!$A$2:$A$301,C1890)=0,"Missing","OK")</f>
        <v>OK</v>
      </c>
      <c r="U1890" t="str">
        <f t="shared" si="88"/>
        <v>Bengaluru</v>
      </c>
      <c r="V1890">
        <f t="shared" si="89"/>
        <v>0</v>
      </c>
    </row>
    <row r="1891" spans="1:22" ht="15" customHeight="1" x14ac:dyDescent="0.35">
      <c r="A1891" s="3" t="s">
        <v>2327</v>
      </c>
      <c r="B1891" s="4">
        <v>45621</v>
      </c>
      <c r="C1891" s="3" t="s">
        <v>977</v>
      </c>
      <c r="D1891" s="3" t="s">
        <v>90</v>
      </c>
      <c r="E1891" s="3" t="s">
        <v>191</v>
      </c>
      <c r="F1891" s="5">
        <v>4</v>
      </c>
      <c r="G1891" s="5">
        <v>2400</v>
      </c>
      <c r="H1891" s="5">
        <v>16.600000000000001</v>
      </c>
      <c r="I1891" s="5">
        <v>8006.4</v>
      </c>
      <c r="J1891" s="3" t="s">
        <v>32</v>
      </c>
      <c r="K1891" s="3" t="s">
        <v>56</v>
      </c>
      <c r="L1891" t="str">
        <f>IFERROR(VLOOKUP(D1891,Products!$A$2:$F$61,3,FALSE()),"")</f>
        <v>Sports</v>
      </c>
      <c r="M1891" t="str">
        <f>IFERROR(VLOOKUP(E1891,Sales_Reps!$A$2:$C$31,3,FALSE()),"")</f>
        <v>South</v>
      </c>
      <c r="N1891">
        <f>IFERROR(VLOOKUP(D1891,Products!$A$2:$F$61,4,FALSE()),"")</f>
        <v>974</v>
      </c>
      <c r="O1891" t="str">
        <f>IFERROR(VLOOKUP(C1891,Customers!$A$2:$F$301,5,FALSE()),"")</f>
        <v>Corporate</v>
      </c>
      <c r="P1891">
        <f>IFERROR(VLOOKUP(C1891,Customers!$A$2:$F$301,3,FALSE()),"")</f>
        <v>55</v>
      </c>
      <c r="Q1891">
        <f t="shared" si="87"/>
        <v>0.59416666666666662</v>
      </c>
      <c r="R1891">
        <f>IF(AND(COUNTIF($A$2:$A$2047,A1891)&gt;1,COUNTIF($A$2:A1891,A1891)=1),1,0)</f>
        <v>0</v>
      </c>
      <c r="S1891" t="b">
        <f>IFERROR(VLOOKUP(D1891,Products!$A$2:$F$61,6,FALSE()),"")</f>
        <v>1</v>
      </c>
      <c r="T1891" t="str">
        <f>IF(COUNTIF(Customers!$A$2:$A$301,C1891)=0,"Missing","OK")</f>
        <v>OK</v>
      </c>
      <c r="U1891" t="str">
        <f t="shared" si="88"/>
        <v>Bengaluru</v>
      </c>
      <c r="V1891">
        <f t="shared" si="89"/>
        <v>0</v>
      </c>
    </row>
    <row r="1892" spans="1:22" ht="15" customHeight="1" x14ac:dyDescent="0.35">
      <c r="A1892" s="3" t="s">
        <v>2328</v>
      </c>
      <c r="B1892" s="4">
        <v>45603</v>
      </c>
      <c r="C1892" s="3" t="s">
        <v>220</v>
      </c>
      <c r="D1892" s="3" t="s">
        <v>221</v>
      </c>
      <c r="E1892" s="3" t="s">
        <v>31</v>
      </c>
      <c r="F1892" s="5">
        <v>10</v>
      </c>
      <c r="G1892" s="5">
        <v>300</v>
      </c>
      <c r="H1892" s="5">
        <v>23.9</v>
      </c>
      <c r="I1892" s="5">
        <v>2283</v>
      </c>
      <c r="J1892" s="3" t="s">
        <v>26</v>
      </c>
      <c r="K1892" s="3" t="s">
        <v>27</v>
      </c>
      <c r="L1892" t="str">
        <f>IFERROR(VLOOKUP(D1892,Products!$A$2:$F$61,3,FALSE()),"")</f>
        <v>Electronics</v>
      </c>
      <c r="M1892" t="str">
        <f>IFERROR(VLOOKUP(E1892,Sales_Reps!$A$2:$C$31,3,FALSE()),"")</f>
        <v>North</v>
      </c>
      <c r="N1892">
        <f>IFERROR(VLOOKUP(D1892,Products!$A$2:$F$61,4,FALSE()),"")</f>
        <v>128</v>
      </c>
      <c r="O1892" t="str">
        <f>IFERROR(VLOOKUP(C1892,Customers!$A$2:$F$301,5,FALSE()),"")</f>
        <v>Retail</v>
      </c>
      <c r="P1892">
        <f>IFERROR(VLOOKUP(C1892,Customers!$A$2:$F$301,3,FALSE()),"")</f>
        <v>25</v>
      </c>
      <c r="Q1892">
        <f t="shared" si="87"/>
        <v>0.57333333333333336</v>
      </c>
      <c r="R1892">
        <f>IF(AND(COUNTIF($A$2:$A$2047,A1892)&gt;1,COUNTIF($A$2:A1892,A1892)=1),1,0)</f>
        <v>0</v>
      </c>
      <c r="S1892" t="b">
        <f>IFERROR(VLOOKUP(D1892,Products!$A$2:$F$61,6,FALSE()),"")</f>
        <v>1</v>
      </c>
      <c r="T1892" t="str">
        <f>IF(COUNTIF(Customers!$A$2:$A$301,C1892)=0,"Missing","OK")</f>
        <v>OK</v>
      </c>
      <c r="U1892" t="str">
        <f t="shared" si="88"/>
        <v>Pune</v>
      </c>
      <c r="V1892">
        <f t="shared" si="89"/>
        <v>0</v>
      </c>
    </row>
    <row r="1893" spans="1:22" ht="15" customHeight="1" x14ac:dyDescent="0.35">
      <c r="A1893" s="3" t="s">
        <v>2329</v>
      </c>
      <c r="B1893" s="4">
        <v>45640</v>
      </c>
      <c r="C1893" s="3" t="s">
        <v>205</v>
      </c>
      <c r="D1893" s="3" t="s">
        <v>41</v>
      </c>
      <c r="E1893" s="3" t="s">
        <v>71</v>
      </c>
      <c r="F1893" s="5">
        <v>1</v>
      </c>
      <c r="G1893" s="5">
        <v>3660</v>
      </c>
      <c r="H1893" s="5">
        <v>1.5</v>
      </c>
      <c r="I1893" s="5">
        <v>3605.1</v>
      </c>
      <c r="J1893" s="3" t="s">
        <v>32</v>
      </c>
      <c r="K1893" s="3" t="s">
        <v>38</v>
      </c>
      <c r="L1893" t="str">
        <f>IFERROR(VLOOKUP(D1893,Products!$A$2:$F$61,3,FALSE()),"")</f>
        <v>Grocery</v>
      </c>
      <c r="M1893" t="str">
        <f>IFERROR(VLOOKUP(E1893,Sales_Reps!$A$2:$C$31,3,FALSE()),"")</f>
        <v>South</v>
      </c>
      <c r="N1893">
        <f>IFERROR(VLOOKUP(D1893,Products!$A$2:$F$61,4,FALSE()),"")</f>
        <v>2214</v>
      </c>
      <c r="O1893" t="str">
        <f>IFERROR(VLOOKUP(C1893,Customers!$A$2:$F$301,5,FALSE()),"")</f>
        <v>Corporate</v>
      </c>
      <c r="P1893">
        <f>IFERROR(VLOOKUP(C1893,Customers!$A$2:$F$301,3,FALSE()),"")</f>
        <v>55</v>
      </c>
      <c r="Q1893">
        <f t="shared" si="87"/>
        <v>0.39508196721311473</v>
      </c>
      <c r="R1893">
        <f>IF(AND(COUNTIF($A$2:$A$2047,A1893)&gt;1,COUNTIF($A$2:A1893,A1893)=1),1,0)</f>
        <v>0</v>
      </c>
      <c r="S1893" t="b">
        <f>IFERROR(VLOOKUP(D1893,Products!$A$2:$F$61,6,FALSE()),"")</f>
        <v>0</v>
      </c>
      <c r="T1893" t="str">
        <f>IF(COUNTIF(Customers!$A$2:$A$301,C1893)=0,"Missing","OK")</f>
        <v>OK</v>
      </c>
      <c r="U1893" t="str">
        <f t="shared" si="88"/>
        <v>Delhi</v>
      </c>
      <c r="V1893">
        <f t="shared" si="89"/>
        <v>0</v>
      </c>
    </row>
    <row r="1894" spans="1:22" ht="15" customHeight="1" x14ac:dyDescent="0.35">
      <c r="A1894" s="3" t="s">
        <v>2330</v>
      </c>
      <c r="B1894" s="4">
        <v>45534</v>
      </c>
      <c r="C1894" s="3" t="s">
        <v>249</v>
      </c>
      <c r="D1894" s="3" t="s">
        <v>100</v>
      </c>
      <c r="E1894" s="3" t="s">
        <v>212</v>
      </c>
      <c r="F1894" s="5">
        <v>9</v>
      </c>
      <c r="G1894" s="5">
        <v>3450</v>
      </c>
      <c r="H1894" s="5">
        <v>21.8</v>
      </c>
      <c r="I1894" s="5">
        <v>24281.1</v>
      </c>
      <c r="J1894" s="3" t="s">
        <v>26</v>
      </c>
      <c r="K1894" s="3" t="s">
        <v>56</v>
      </c>
      <c r="L1894" t="str">
        <f>IFERROR(VLOOKUP(D1894,Products!$A$2:$F$61,3,FALSE()),"")</f>
        <v>Sports</v>
      </c>
      <c r="M1894" t="str">
        <f>IFERROR(VLOOKUP(E1894,Sales_Reps!$A$2:$C$31,3,FALSE()),"")</f>
        <v>South</v>
      </c>
      <c r="N1894">
        <f>IFERROR(VLOOKUP(D1894,Products!$A$2:$F$61,4,FALSE()),"")</f>
        <v>2467</v>
      </c>
      <c r="O1894" t="str">
        <f>IFERROR(VLOOKUP(C1894,Customers!$A$2:$F$301,5,FALSE()),"")</f>
        <v>Retail</v>
      </c>
      <c r="P1894">
        <f>IFERROR(VLOOKUP(C1894,Customers!$A$2:$F$301,3,FALSE()),"")</f>
        <v>42</v>
      </c>
      <c r="Q1894">
        <f t="shared" si="87"/>
        <v>0.28492753623188405</v>
      </c>
      <c r="R1894">
        <f>IF(AND(COUNTIF($A$2:$A$2047,A1894)&gt;1,COUNTIF($A$2:A1894,A1894)=1),1,0)</f>
        <v>0</v>
      </c>
      <c r="S1894" t="b">
        <f>IFERROR(VLOOKUP(D1894,Products!$A$2:$F$61,6,FALSE()),"")</f>
        <v>1</v>
      </c>
      <c r="T1894" t="str">
        <f>IF(COUNTIF(Customers!$A$2:$A$301,C1894)=0,"Missing","OK")</f>
        <v>OK</v>
      </c>
      <c r="U1894" t="str">
        <f t="shared" si="88"/>
        <v>Bengaluru</v>
      </c>
      <c r="V1894">
        <f t="shared" si="89"/>
        <v>0</v>
      </c>
    </row>
    <row r="1895" spans="1:22" ht="15" customHeight="1" x14ac:dyDescent="0.35">
      <c r="A1895" s="3" t="s">
        <v>2331</v>
      </c>
      <c r="B1895" s="4">
        <v>45410</v>
      </c>
      <c r="C1895" s="3" t="s">
        <v>440</v>
      </c>
      <c r="D1895" s="3" t="s">
        <v>391</v>
      </c>
      <c r="E1895" s="3" t="s">
        <v>25</v>
      </c>
      <c r="F1895" s="5">
        <v>10</v>
      </c>
      <c r="G1895" s="5">
        <v>3450</v>
      </c>
      <c r="H1895" s="5">
        <v>15.7</v>
      </c>
      <c r="I1895" s="5">
        <v>29083.5</v>
      </c>
      <c r="J1895" s="3" t="s">
        <v>79</v>
      </c>
      <c r="K1895" s="3" t="s">
        <v>72</v>
      </c>
      <c r="L1895" t="str">
        <f>IFERROR(VLOOKUP(D1895,Products!$A$2:$F$61,3,FALSE()),"")</f>
        <v>Apparel</v>
      </c>
      <c r="M1895" t="str">
        <f>IFERROR(VLOOKUP(E1895,Sales_Reps!$A$2:$C$31,3,FALSE()),"")</f>
        <v>North</v>
      </c>
      <c r="N1895">
        <f>IFERROR(VLOOKUP(D1895,Products!$A$2:$F$61,4,FALSE()),"")</f>
        <v>1748</v>
      </c>
      <c r="O1895" t="str">
        <f>IFERROR(VLOOKUP(C1895,Customers!$A$2:$F$301,5,FALSE()),"")</f>
        <v>SMB</v>
      </c>
      <c r="P1895">
        <f>IFERROR(VLOOKUP(C1895,Customers!$A$2:$F$301,3,FALSE()),"")</f>
        <v>65</v>
      </c>
      <c r="Q1895">
        <f t="shared" si="87"/>
        <v>0.49333333333333335</v>
      </c>
      <c r="R1895">
        <f>IF(AND(COUNTIF($A$2:$A$2047,A1895)&gt;1,COUNTIF($A$2:A1895,A1895)=1),1,0)</f>
        <v>0</v>
      </c>
      <c r="S1895" t="b">
        <f>IFERROR(VLOOKUP(D1895,Products!$A$2:$F$61,6,FALSE()),"")</f>
        <v>1</v>
      </c>
      <c r="T1895" t="str">
        <f>IF(COUNTIF(Customers!$A$2:$A$301,C1895)=0,"Missing","OK")</f>
        <v>OK</v>
      </c>
      <c r="U1895" t="str">
        <f t="shared" si="88"/>
        <v>Hyderabad</v>
      </c>
      <c r="V1895">
        <f t="shared" si="89"/>
        <v>0</v>
      </c>
    </row>
    <row r="1896" spans="1:22" ht="15" customHeight="1" x14ac:dyDescent="0.35">
      <c r="A1896" s="3" t="s">
        <v>2332</v>
      </c>
      <c r="B1896" s="4">
        <v>45412</v>
      </c>
      <c r="C1896" s="3" t="s">
        <v>40</v>
      </c>
      <c r="D1896" s="3" t="s">
        <v>203</v>
      </c>
      <c r="E1896" s="3" t="s">
        <v>46</v>
      </c>
      <c r="F1896" s="5">
        <v>2</v>
      </c>
      <c r="G1896" s="5">
        <v>4070</v>
      </c>
      <c r="H1896" s="5">
        <v>10.8</v>
      </c>
      <c r="I1896" s="5">
        <v>7260.88</v>
      </c>
      <c r="J1896" s="3" t="s">
        <v>26</v>
      </c>
      <c r="K1896" s="3" t="s">
        <v>38</v>
      </c>
      <c r="L1896" t="str">
        <f>IFERROR(VLOOKUP(D1896,Products!$A$2:$F$61,3,FALSE()),"")</f>
        <v>Grocery</v>
      </c>
      <c r="M1896" t="str">
        <f>IFERROR(VLOOKUP(E1896,Sales_Reps!$A$2:$C$31,3,FALSE()),"")</f>
        <v>North</v>
      </c>
      <c r="N1896">
        <f>IFERROR(VLOOKUP(D1896,Products!$A$2:$F$61,4,FALSE()),"")</f>
        <v>2027</v>
      </c>
      <c r="O1896" t="str">
        <f>IFERROR(VLOOKUP(C1896,Customers!$A$2:$F$301,5,FALSE()),"")</f>
        <v>Corporate</v>
      </c>
      <c r="P1896">
        <f>IFERROR(VLOOKUP(C1896,Customers!$A$2:$F$301,3,FALSE()),"")</f>
        <v>46</v>
      </c>
      <c r="Q1896">
        <f t="shared" si="87"/>
        <v>0.50196560196560192</v>
      </c>
      <c r="R1896">
        <f>IF(AND(COUNTIF($A$2:$A$2047,A1896)&gt;1,COUNTIF($A$2:A1896,A1896)=1),1,0)</f>
        <v>0</v>
      </c>
      <c r="S1896" t="b">
        <f>IFERROR(VLOOKUP(D1896,Products!$A$2:$F$61,6,FALSE()),"")</f>
        <v>1</v>
      </c>
      <c r="T1896" t="str">
        <f>IF(COUNTIF(Customers!$A$2:$A$301,C1896)=0,"Missing","OK")</f>
        <v>OK</v>
      </c>
      <c r="U1896" t="str">
        <f t="shared" si="88"/>
        <v>Delhi</v>
      </c>
      <c r="V1896">
        <f t="shared" si="89"/>
        <v>0</v>
      </c>
    </row>
    <row r="1897" spans="1:22" ht="15" customHeight="1" x14ac:dyDescent="0.35">
      <c r="A1897" s="3" t="s">
        <v>2333</v>
      </c>
      <c r="B1897" s="4">
        <v>45372</v>
      </c>
      <c r="C1897" s="3" t="s">
        <v>308</v>
      </c>
      <c r="D1897" s="3" t="s">
        <v>400</v>
      </c>
      <c r="E1897" s="3" t="s">
        <v>93</v>
      </c>
      <c r="F1897" s="5">
        <v>4</v>
      </c>
      <c r="G1897" s="5">
        <v>3780</v>
      </c>
      <c r="H1897" s="5">
        <v>17.100000000000001</v>
      </c>
      <c r="I1897" s="5">
        <v>12534.48</v>
      </c>
      <c r="J1897" s="3" t="s">
        <v>26</v>
      </c>
      <c r="K1897" s="3" t="s">
        <v>33</v>
      </c>
      <c r="L1897" t="str">
        <f>IFERROR(VLOOKUP(D1897,Products!$A$2:$F$61,3,FALSE()),"")</f>
        <v>Sports</v>
      </c>
      <c r="M1897" t="str">
        <f>IFERROR(VLOOKUP(E1897,Sales_Reps!$A$2:$C$31,3,FALSE()),"")</f>
        <v>East</v>
      </c>
      <c r="N1897">
        <f>IFERROR(VLOOKUP(D1897,Products!$A$2:$F$61,4,FALSE()),"")</f>
        <v>1860</v>
      </c>
      <c r="O1897" t="str">
        <f>IFERROR(VLOOKUP(C1897,Customers!$A$2:$F$301,5,FALSE()),"")</f>
        <v>SMB</v>
      </c>
      <c r="P1897">
        <f>IFERROR(VLOOKUP(C1897,Customers!$A$2:$F$301,3,FALSE()),"")</f>
        <v>62</v>
      </c>
      <c r="Q1897">
        <f t="shared" si="87"/>
        <v>0.50793650793650791</v>
      </c>
      <c r="R1897">
        <f>IF(AND(COUNTIF($A$2:$A$2047,A1897)&gt;1,COUNTIF($A$2:A1897,A1897)=1),1,0)</f>
        <v>0</v>
      </c>
      <c r="S1897" t="b">
        <f>IFERROR(VLOOKUP(D1897,Products!$A$2:$F$61,6,FALSE()),"")</f>
        <v>1</v>
      </c>
      <c r="T1897" t="str">
        <f>IF(COUNTIF(Customers!$A$2:$A$301,C1897)=0,"Missing","OK")</f>
        <v>OK</v>
      </c>
      <c r="U1897" t="str">
        <f t="shared" si="88"/>
        <v>Chennai</v>
      </c>
      <c r="V1897">
        <f t="shared" si="89"/>
        <v>0</v>
      </c>
    </row>
    <row r="1898" spans="1:22" ht="15" customHeight="1" x14ac:dyDescent="0.35">
      <c r="A1898" s="3" t="s">
        <v>2334</v>
      </c>
      <c r="B1898" s="4">
        <v>45622</v>
      </c>
      <c r="C1898" s="3" t="s">
        <v>612</v>
      </c>
      <c r="D1898" s="3" t="s">
        <v>139</v>
      </c>
      <c r="E1898" s="3" t="s">
        <v>78</v>
      </c>
      <c r="F1898" s="5">
        <v>1</v>
      </c>
      <c r="G1898" s="5">
        <v>2760</v>
      </c>
      <c r="H1898" s="5">
        <v>2.5</v>
      </c>
      <c r="I1898" s="5">
        <v>2691</v>
      </c>
      <c r="J1898" s="3" t="s">
        <v>79</v>
      </c>
      <c r="K1898" s="3" t="s">
        <v>51</v>
      </c>
      <c r="L1898" t="str">
        <f>IFERROR(VLOOKUP(D1898,Products!$A$2:$F$61,3,FALSE()),"")</f>
        <v>Grocery</v>
      </c>
      <c r="M1898" t="str">
        <f>IFERROR(VLOOKUP(E1898,Sales_Reps!$A$2:$C$31,3,FALSE()),"")</f>
        <v>North</v>
      </c>
      <c r="N1898">
        <f>IFERROR(VLOOKUP(D1898,Products!$A$2:$F$61,4,FALSE()),"")</f>
        <v>1435</v>
      </c>
      <c r="O1898" t="str">
        <f>IFERROR(VLOOKUP(C1898,Customers!$A$2:$F$301,5,FALSE()),"")</f>
        <v>Retail</v>
      </c>
      <c r="P1898">
        <f>IFERROR(VLOOKUP(C1898,Customers!$A$2:$F$301,3,FALSE()),"")</f>
        <v>35</v>
      </c>
      <c r="Q1898">
        <f t="shared" si="87"/>
        <v>0.48007246376811596</v>
      </c>
      <c r="R1898">
        <f>IF(AND(COUNTIF($A$2:$A$2047,A1898)&gt;1,COUNTIF($A$2:A1898,A1898)=1),1,0)</f>
        <v>0</v>
      </c>
      <c r="S1898" t="b">
        <f>IFERROR(VLOOKUP(D1898,Products!$A$2:$F$61,6,FALSE()),"")</f>
        <v>1</v>
      </c>
      <c r="T1898" t="str">
        <f>IF(COUNTIF(Customers!$A$2:$A$301,C1898)=0,"Missing","OK")</f>
        <v>OK</v>
      </c>
      <c r="U1898" t="str">
        <f t="shared" si="88"/>
        <v>Mumbai</v>
      </c>
      <c r="V1898">
        <f t="shared" si="89"/>
        <v>0</v>
      </c>
    </row>
    <row r="1899" spans="1:22" ht="15" customHeight="1" x14ac:dyDescent="0.35">
      <c r="A1899" s="3" t="s">
        <v>2335</v>
      </c>
      <c r="B1899" s="4">
        <v>45493</v>
      </c>
      <c r="C1899" s="3" t="s">
        <v>95</v>
      </c>
      <c r="D1899" s="3" t="s">
        <v>123</v>
      </c>
      <c r="E1899" s="3" t="s">
        <v>109</v>
      </c>
      <c r="F1899" s="5">
        <v>2</v>
      </c>
      <c r="G1899" s="5">
        <v>4880</v>
      </c>
      <c r="H1899" s="5">
        <v>11</v>
      </c>
      <c r="I1899" s="5">
        <v>8686.4</v>
      </c>
      <c r="J1899" s="3" t="s">
        <v>26</v>
      </c>
      <c r="K1899" s="3" t="s">
        <v>72</v>
      </c>
      <c r="L1899" t="str">
        <f>IFERROR(VLOOKUP(D1899,Products!$A$2:$F$61,3,FALSE()),"")</f>
        <v>Beauty</v>
      </c>
      <c r="M1899" t="str">
        <f>IFERROR(VLOOKUP(E1899,Sales_Reps!$A$2:$C$31,3,FALSE()),"")</f>
        <v>West</v>
      </c>
      <c r="N1899">
        <f>IFERROR(VLOOKUP(D1899,Products!$A$2:$F$61,4,FALSE()),"")</f>
        <v>2768</v>
      </c>
      <c r="O1899" t="str">
        <f>IFERROR(VLOOKUP(C1899,Customers!$A$2:$F$301,5,FALSE()),"")</f>
        <v>Corporate</v>
      </c>
      <c r="P1899">
        <f>IFERROR(VLOOKUP(C1899,Customers!$A$2:$F$301,3,FALSE()),"")</f>
        <v>32</v>
      </c>
      <c r="Q1899">
        <f t="shared" si="87"/>
        <v>0.43278688524590164</v>
      </c>
      <c r="R1899">
        <f>IF(AND(COUNTIF($A$2:$A$2047,A1899)&gt;1,COUNTIF($A$2:A1899,A1899)=1),1,0)</f>
        <v>0</v>
      </c>
      <c r="S1899" t="b">
        <f>IFERROR(VLOOKUP(D1899,Products!$A$2:$F$61,6,FALSE()),"")</f>
        <v>1</v>
      </c>
      <c r="T1899" t="str">
        <f>IF(COUNTIF(Customers!$A$2:$A$301,C1899)=0,"Missing","OK")</f>
        <v>OK</v>
      </c>
      <c r="U1899" t="str">
        <f t="shared" si="88"/>
        <v>Hyderabad</v>
      </c>
      <c r="V1899">
        <f t="shared" si="89"/>
        <v>0</v>
      </c>
    </row>
    <row r="1900" spans="1:22" ht="15" customHeight="1" x14ac:dyDescent="0.35">
      <c r="A1900" s="3" t="s">
        <v>2336</v>
      </c>
      <c r="B1900" s="4">
        <v>45580</v>
      </c>
      <c r="C1900" s="3" t="s">
        <v>545</v>
      </c>
      <c r="D1900" s="3" t="s">
        <v>306</v>
      </c>
      <c r="E1900" s="3" t="s">
        <v>224</v>
      </c>
      <c r="F1900" s="5">
        <v>10</v>
      </c>
      <c r="G1900" s="5">
        <v>2380</v>
      </c>
      <c r="H1900" s="5">
        <v>28.3</v>
      </c>
      <c r="I1900" s="5">
        <v>17064.599999999999</v>
      </c>
      <c r="J1900" s="3" t="s">
        <v>26</v>
      </c>
      <c r="K1900" s="3" t="s">
        <v>51</v>
      </c>
      <c r="L1900" t="str">
        <f>IFERROR(VLOOKUP(D1900,Products!$A$2:$F$61,3,FALSE()),"")</f>
        <v>Grocery</v>
      </c>
      <c r="M1900" t="str">
        <f>IFERROR(VLOOKUP(E1900,Sales_Reps!$A$2:$C$31,3,FALSE()),"")</f>
        <v>East</v>
      </c>
      <c r="N1900">
        <f>IFERROR(VLOOKUP(D1900,Products!$A$2:$F$61,4,FALSE()),"")</f>
        <v>1182</v>
      </c>
      <c r="O1900" t="str">
        <f>IFERROR(VLOOKUP(C1900,Customers!$A$2:$F$301,5,FALSE()),"")</f>
        <v>Retail</v>
      </c>
      <c r="P1900">
        <f>IFERROR(VLOOKUP(C1900,Customers!$A$2:$F$301,3,FALSE()),"")</f>
        <v>52</v>
      </c>
      <c r="Q1900">
        <f t="shared" si="87"/>
        <v>0.50336134453781511</v>
      </c>
      <c r="R1900">
        <f>IF(AND(COUNTIF($A$2:$A$2047,A1900)&gt;1,COUNTIF($A$2:A1900,A1900)=1),1,0)</f>
        <v>0</v>
      </c>
      <c r="S1900" t="b">
        <f>IFERROR(VLOOKUP(D1900,Products!$A$2:$F$61,6,FALSE()),"")</f>
        <v>1</v>
      </c>
      <c r="T1900" t="str">
        <f>IF(COUNTIF(Customers!$A$2:$A$301,C1900)=0,"Missing","OK")</f>
        <v>OK</v>
      </c>
      <c r="U1900" t="str">
        <f t="shared" si="88"/>
        <v>Mumbai</v>
      </c>
      <c r="V1900">
        <f t="shared" si="89"/>
        <v>0</v>
      </c>
    </row>
    <row r="1901" spans="1:22" ht="15" customHeight="1" x14ac:dyDescent="0.35">
      <c r="A1901" s="3" t="s">
        <v>2337</v>
      </c>
      <c r="B1901" s="4">
        <v>45449</v>
      </c>
      <c r="C1901" s="3" t="s">
        <v>1043</v>
      </c>
      <c r="D1901" s="3" t="s">
        <v>325</v>
      </c>
      <c r="E1901" s="3" t="s">
        <v>87</v>
      </c>
      <c r="F1901" s="5">
        <v>3</v>
      </c>
      <c r="G1901" s="5">
        <v>2290</v>
      </c>
      <c r="H1901" s="5">
        <v>11.1</v>
      </c>
      <c r="I1901" s="5">
        <v>6107.43</v>
      </c>
      <c r="J1901" s="3" t="s">
        <v>79</v>
      </c>
      <c r="K1901" s="3" t="s">
        <v>56</v>
      </c>
      <c r="L1901" t="str">
        <f>IFERROR(VLOOKUP(D1901,Products!$A$2:$F$61,3,FALSE()),"")</f>
        <v>Beauty</v>
      </c>
      <c r="M1901" t="str">
        <f>IFERROR(VLOOKUP(E1901,Sales_Reps!$A$2:$C$31,3,FALSE()),"")</f>
        <v>North</v>
      </c>
      <c r="N1901">
        <f>IFERROR(VLOOKUP(D1901,Products!$A$2:$F$61,4,FALSE()),"")</f>
        <v>1219</v>
      </c>
      <c r="O1901" t="str">
        <f>IFERROR(VLOOKUP(C1901,Customers!$A$2:$F$301,5,FALSE()),"")</f>
        <v>Corporate</v>
      </c>
      <c r="P1901">
        <f>IFERROR(VLOOKUP(C1901,Customers!$A$2:$F$301,3,FALSE()),"")</f>
        <v>31</v>
      </c>
      <c r="Q1901">
        <f t="shared" si="87"/>
        <v>0.46768558951965067</v>
      </c>
      <c r="R1901">
        <f>IF(AND(COUNTIF($A$2:$A$2047,A1901)&gt;1,COUNTIF($A$2:A1901,A1901)=1),1,0)</f>
        <v>0</v>
      </c>
      <c r="S1901" t="b">
        <f>IFERROR(VLOOKUP(D1901,Products!$A$2:$F$61,6,FALSE()),"")</f>
        <v>1</v>
      </c>
      <c r="T1901" t="str">
        <f>IF(COUNTIF(Customers!$A$2:$A$301,C1901)=0,"Missing","OK")</f>
        <v>OK</v>
      </c>
      <c r="U1901" t="str">
        <f t="shared" si="88"/>
        <v>Bengaluru</v>
      </c>
      <c r="V1901">
        <f t="shared" si="89"/>
        <v>0</v>
      </c>
    </row>
    <row r="1902" spans="1:22" ht="15" customHeight="1" x14ac:dyDescent="0.35">
      <c r="A1902" s="3" t="s">
        <v>2338</v>
      </c>
      <c r="B1902" s="4">
        <v>45417</v>
      </c>
      <c r="C1902" s="3" t="s">
        <v>95</v>
      </c>
      <c r="D1902" s="3" t="s">
        <v>139</v>
      </c>
      <c r="E1902" s="3" t="s">
        <v>78</v>
      </c>
      <c r="F1902" s="5">
        <v>6</v>
      </c>
      <c r="G1902" s="5">
        <v>2760</v>
      </c>
      <c r="H1902" s="5">
        <v>16.5</v>
      </c>
      <c r="I1902" s="5">
        <v>13827.6</v>
      </c>
      <c r="J1902" s="3" t="s">
        <v>26</v>
      </c>
      <c r="K1902" s="3" t="s">
        <v>72</v>
      </c>
      <c r="L1902" t="str">
        <f>IFERROR(VLOOKUP(D1902,Products!$A$2:$F$61,3,FALSE()),"")</f>
        <v>Grocery</v>
      </c>
      <c r="M1902" t="str">
        <f>IFERROR(VLOOKUP(E1902,Sales_Reps!$A$2:$C$31,3,FALSE()),"")</f>
        <v>North</v>
      </c>
      <c r="N1902">
        <f>IFERROR(VLOOKUP(D1902,Products!$A$2:$F$61,4,FALSE()),"")</f>
        <v>1435</v>
      </c>
      <c r="O1902" t="str">
        <f>IFERROR(VLOOKUP(C1902,Customers!$A$2:$F$301,5,FALSE()),"")</f>
        <v>Corporate</v>
      </c>
      <c r="P1902">
        <f>IFERROR(VLOOKUP(C1902,Customers!$A$2:$F$301,3,FALSE()),"")</f>
        <v>32</v>
      </c>
      <c r="Q1902">
        <f t="shared" si="87"/>
        <v>0.48007246376811596</v>
      </c>
      <c r="R1902">
        <f>IF(AND(COUNTIF($A$2:$A$2047,A1902)&gt;1,COUNTIF($A$2:A1902,A1902)=1),1,0)</f>
        <v>0</v>
      </c>
      <c r="S1902" t="b">
        <f>IFERROR(VLOOKUP(D1902,Products!$A$2:$F$61,6,FALSE()),"")</f>
        <v>1</v>
      </c>
      <c r="T1902" t="str">
        <f>IF(COUNTIF(Customers!$A$2:$A$301,C1902)=0,"Missing","OK")</f>
        <v>OK</v>
      </c>
      <c r="U1902" t="str">
        <f t="shared" si="88"/>
        <v>Hyderabad</v>
      </c>
      <c r="V1902">
        <f t="shared" si="89"/>
        <v>0</v>
      </c>
    </row>
    <row r="1903" spans="1:22" ht="15" customHeight="1" x14ac:dyDescent="0.35">
      <c r="A1903" s="3" t="s">
        <v>2339</v>
      </c>
      <c r="B1903" s="4">
        <v>45523</v>
      </c>
      <c r="C1903" s="3" t="s">
        <v>457</v>
      </c>
      <c r="D1903" s="3" t="s">
        <v>290</v>
      </c>
      <c r="E1903" s="3" t="s">
        <v>282</v>
      </c>
      <c r="F1903" s="5">
        <v>5</v>
      </c>
      <c r="G1903" s="5">
        <v>4060</v>
      </c>
      <c r="H1903" s="5">
        <v>22.5</v>
      </c>
      <c r="I1903" s="5">
        <v>15732.5</v>
      </c>
      <c r="J1903" s="3" t="s">
        <v>26</v>
      </c>
      <c r="K1903" s="3" t="s">
        <v>27</v>
      </c>
      <c r="L1903" t="str">
        <f>IFERROR(VLOOKUP(D1903,Products!$A$2:$F$61,3,FALSE()),"")</f>
        <v>Grocery</v>
      </c>
      <c r="M1903" t="str">
        <f>IFERROR(VLOOKUP(E1903,Sales_Reps!$A$2:$C$31,3,FALSE()),"")</f>
        <v>West</v>
      </c>
      <c r="N1903">
        <f>IFERROR(VLOOKUP(D1903,Products!$A$2:$F$61,4,FALSE()),"")</f>
        <v>2911</v>
      </c>
      <c r="O1903" t="str">
        <f>IFERROR(VLOOKUP(C1903,Customers!$A$2:$F$301,5,FALSE()),"")</f>
        <v>Retail</v>
      </c>
      <c r="P1903">
        <f>IFERROR(VLOOKUP(C1903,Customers!$A$2:$F$301,3,FALSE()),"")</f>
        <v>49</v>
      </c>
      <c r="Q1903">
        <f t="shared" si="87"/>
        <v>0.28300492610837441</v>
      </c>
      <c r="R1903">
        <f>IF(AND(COUNTIF($A$2:$A$2047,A1903)&gt;1,COUNTIF($A$2:A1903,A1903)=1),1,0)</f>
        <v>0</v>
      </c>
      <c r="S1903" t="b">
        <f>IFERROR(VLOOKUP(D1903,Products!$A$2:$F$61,6,FALSE()),"")</f>
        <v>1</v>
      </c>
      <c r="T1903" t="str">
        <f>IF(COUNTIF(Customers!$A$2:$A$301,C1903)=0,"Missing","OK")</f>
        <v>OK</v>
      </c>
      <c r="U1903" t="str">
        <f t="shared" si="88"/>
        <v>Pune</v>
      </c>
      <c r="V1903">
        <f t="shared" si="89"/>
        <v>0</v>
      </c>
    </row>
    <row r="1904" spans="1:22" ht="15" customHeight="1" x14ac:dyDescent="0.35">
      <c r="A1904" s="3" t="s">
        <v>2340</v>
      </c>
      <c r="B1904" s="4">
        <v>45367</v>
      </c>
      <c r="C1904" s="3" t="s">
        <v>267</v>
      </c>
      <c r="D1904" s="3" t="s">
        <v>74</v>
      </c>
      <c r="E1904" s="3" t="s">
        <v>42</v>
      </c>
      <c r="F1904" s="5">
        <v>8</v>
      </c>
      <c r="G1904" s="5">
        <v>2640</v>
      </c>
      <c r="H1904" s="5">
        <v>11.8</v>
      </c>
      <c r="I1904" s="5">
        <v>18627.84</v>
      </c>
      <c r="J1904" s="3" t="s">
        <v>26</v>
      </c>
      <c r="K1904" s="3" t="s">
        <v>33</v>
      </c>
      <c r="L1904" t="str">
        <f>IFERROR(VLOOKUP(D1904,Products!$A$2:$F$61,3,FALSE()),"")</f>
        <v>Electronics</v>
      </c>
      <c r="M1904" t="str">
        <f>IFERROR(VLOOKUP(E1904,Sales_Reps!$A$2:$C$31,3,FALSE()),"")</f>
        <v>North</v>
      </c>
      <c r="N1904">
        <f>IFERROR(VLOOKUP(D1904,Products!$A$2:$F$61,4,FALSE()),"")</f>
        <v>1149</v>
      </c>
      <c r="O1904" t="str">
        <f>IFERROR(VLOOKUP(C1904,Customers!$A$2:$F$301,5,FALSE()),"")</f>
        <v>Retail</v>
      </c>
      <c r="P1904">
        <f>IFERROR(VLOOKUP(C1904,Customers!$A$2:$F$301,3,FALSE()),"")</f>
        <v>28</v>
      </c>
      <c r="Q1904">
        <f t="shared" si="87"/>
        <v>0.56477272727272732</v>
      </c>
      <c r="R1904">
        <f>IF(AND(COUNTIF($A$2:$A$2047,A1904)&gt;1,COUNTIF($A$2:A1904,A1904)=1),1,0)</f>
        <v>0</v>
      </c>
      <c r="S1904" t="b">
        <f>IFERROR(VLOOKUP(D1904,Products!$A$2:$F$61,6,FALSE()),"")</f>
        <v>1</v>
      </c>
      <c r="T1904" t="str">
        <f>IF(COUNTIF(Customers!$A$2:$A$301,C1904)=0,"Missing","OK")</f>
        <v>OK</v>
      </c>
      <c r="U1904" t="str">
        <f t="shared" si="88"/>
        <v>Chennai</v>
      </c>
      <c r="V1904">
        <f t="shared" si="89"/>
        <v>0</v>
      </c>
    </row>
    <row r="1905" spans="1:22" ht="15" customHeight="1" x14ac:dyDescent="0.35">
      <c r="A1905" s="3" t="s">
        <v>2341</v>
      </c>
      <c r="B1905" s="4">
        <v>45309</v>
      </c>
      <c r="C1905" s="3" t="s">
        <v>755</v>
      </c>
      <c r="D1905" s="3" t="s">
        <v>209</v>
      </c>
      <c r="E1905" s="3" t="s">
        <v>31</v>
      </c>
      <c r="F1905" s="5">
        <v>2</v>
      </c>
      <c r="G1905" s="5">
        <v>4610</v>
      </c>
      <c r="H1905" s="5">
        <v>10.4</v>
      </c>
      <c r="I1905" s="5">
        <v>8261.1200000000008</v>
      </c>
      <c r="J1905" s="3" t="s">
        <v>32</v>
      </c>
      <c r="K1905" s="3" t="s">
        <v>27</v>
      </c>
      <c r="L1905" t="str">
        <f>IFERROR(VLOOKUP(D1905,Products!$A$2:$F$61,3,FALSE()),"")</f>
        <v>Home</v>
      </c>
      <c r="M1905" t="str">
        <f>IFERROR(VLOOKUP(E1905,Sales_Reps!$A$2:$C$31,3,FALSE()),"")</f>
        <v>North</v>
      </c>
      <c r="N1905">
        <f>IFERROR(VLOOKUP(D1905,Products!$A$2:$F$61,4,FALSE()),"")</f>
        <v>1850</v>
      </c>
      <c r="O1905" t="str">
        <f>IFERROR(VLOOKUP(C1905,Customers!$A$2:$F$301,5,FALSE()),"")</f>
        <v>Retail</v>
      </c>
      <c r="P1905">
        <f>IFERROR(VLOOKUP(C1905,Customers!$A$2:$F$301,3,FALSE()),"")</f>
        <v>36</v>
      </c>
      <c r="Q1905">
        <f t="shared" si="87"/>
        <v>0.59869848156182215</v>
      </c>
      <c r="R1905">
        <f>IF(AND(COUNTIF($A$2:$A$2047,A1905)&gt;1,COUNTIF($A$2:A1905,A1905)=1),1,0)</f>
        <v>0</v>
      </c>
      <c r="S1905" t="b">
        <f>IFERROR(VLOOKUP(D1905,Products!$A$2:$F$61,6,FALSE()),"")</f>
        <v>1</v>
      </c>
      <c r="T1905" t="str">
        <f>IF(COUNTIF(Customers!$A$2:$A$301,C1905)=0,"Missing","OK")</f>
        <v>OK</v>
      </c>
      <c r="U1905" t="str">
        <f t="shared" si="88"/>
        <v>Pune</v>
      </c>
      <c r="V1905">
        <f t="shared" si="89"/>
        <v>0</v>
      </c>
    </row>
    <row r="1906" spans="1:22" ht="15" customHeight="1" x14ac:dyDescent="0.35">
      <c r="A1906" s="3" t="s">
        <v>2342</v>
      </c>
      <c r="B1906" s="4">
        <v>45383</v>
      </c>
      <c r="C1906" s="3" t="s">
        <v>217</v>
      </c>
      <c r="D1906" s="3" t="s">
        <v>277</v>
      </c>
      <c r="E1906" s="3" t="s">
        <v>67</v>
      </c>
      <c r="F1906" s="5">
        <v>6</v>
      </c>
      <c r="G1906" s="5">
        <v>2210</v>
      </c>
      <c r="H1906" s="5">
        <v>22.5</v>
      </c>
      <c r="I1906" s="5">
        <v>10276.5</v>
      </c>
      <c r="J1906" s="3" t="s">
        <v>79</v>
      </c>
      <c r="K1906" s="3" t="s">
        <v>72</v>
      </c>
      <c r="L1906" t="str">
        <f>IFERROR(VLOOKUP(D1906,Products!$A$2:$F$61,3,FALSE()),"")</f>
        <v>Grocery</v>
      </c>
      <c r="M1906" t="str">
        <f>IFERROR(VLOOKUP(E1906,Sales_Reps!$A$2:$C$31,3,FALSE()),"")</f>
        <v>West</v>
      </c>
      <c r="N1906">
        <f>IFERROR(VLOOKUP(D1906,Products!$A$2:$F$61,4,FALSE()),"")</f>
        <v>1010</v>
      </c>
      <c r="O1906" t="str">
        <f>IFERROR(VLOOKUP(C1906,Customers!$A$2:$F$301,5,FALSE()),"")</f>
        <v>Corporate</v>
      </c>
      <c r="P1906">
        <f>IFERROR(VLOOKUP(C1906,Customers!$A$2:$F$301,3,FALSE()),"")</f>
        <v>29</v>
      </c>
      <c r="Q1906">
        <f t="shared" si="87"/>
        <v>0.54298642533936647</v>
      </c>
      <c r="R1906">
        <f>IF(AND(COUNTIF($A$2:$A$2047,A1906)&gt;1,COUNTIF($A$2:A1906,A1906)=1),1,0)</f>
        <v>0</v>
      </c>
      <c r="S1906" t="b">
        <f>IFERROR(VLOOKUP(D1906,Products!$A$2:$F$61,6,FALSE()),"")</f>
        <v>1</v>
      </c>
      <c r="T1906" t="str">
        <f>IF(COUNTIF(Customers!$A$2:$A$301,C1906)=0,"Missing","OK")</f>
        <v>OK</v>
      </c>
      <c r="U1906" t="str">
        <f t="shared" si="88"/>
        <v>Hyderabad</v>
      </c>
      <c r="V1906">
        <f t="shared" si="89"/>
        <v>0</v>
      </c>
    </row>
    <row r="1907" spans="1:22" ht="15" customHeight="1" x14ac:dyDescent="0.35">
      <c r="A1907" s="3" t="s">
        <v>2343</v>
      </c>
      <c r="B1907" s="4">
        <v>45420</v>
      </c>
      <c r="C1907" s="3" t="s">
        <v>485</v>
      </c>
      <c r="D1907" s="3" t="s">
        <v>277</v>
      </c>
      <c r="E1907" s="3" t="s">
        <v>212</v>
      </c>
      <c r="F1907" s="5">
        <v>4</v>
      </c>
      <c r="G1907" s="5">
        <v>2210</v>
      </c>
      <c r="H1907" s="5">
        <v>21.5</v>
      </c>
      <c r="I1907" s="5">
        <v>6939.4</v>
      </c>
      <c r="J1907" s="3" t="s">
        <v>32</v>
      </c>
      <c r="K1907" s="3" t="s">
        <v>38</v>
      </c>
      <c r="L1907" t="str">
        <f>IFERROR(VLOOKUP(D1907,Products!$A$2:$F$61,3,FALSE()),"")</f>
        <v>Grocery</v>
      </c>
      <c r="M1907" t="str">
        <f>IFERROR(VLOOKUP(E1907,Sales_Reps!$A$2:$C$31,3,FALSE()),"")</f>
        <v>South</v>
      </c>
      <c r="N1907">
        <f>IFERROR(VLOOKUP(D1907,Products!$A$2:$F$61,4,FALSE()),"")</f>
        <v>1010</v>
      </c>
      <c r="O1907" t="str">
        <f>IFERROR(VLOOKUP(C1907,Customers!$A$2:$F$301,5,FALSE()),"")</f>
        <v>SMB</v>
      </c>
      <c r="P1907">
        <f>IFERROR(VLOOKUP(C1907,Customers!$A$2:$F$301,3,FALSE()),"")</f>
        <v>29</v>
      </c>
      <c r="Q1907">
        <f t="shared" si="87"/>
        <v>0.54298642533936647</v>
      </c>
      <c r="R1907">
        <f>IF(AND(COUNTIF($A$2:$A$2047,A1907)&gt;1,COUNTIF($A$2:A1907,A1907)=1),1,0)</f>
        <v>0</v>
      </c>
      <c r="S1907" t="b">
        <f>IFERROR(VLOOKUP(D1907,Products!$A$2:$F$61,6,FALSE()),"")</f>
        <v>1</v>
      </c>
      <c r="T1907" t="str">
        <f>IF(COUNTIF(Customers!$A$2:$A$301,C1907)=0,"Missing","OK")</f>
        <v>OK</v>
      </c>
      <c r="U1907" t="str">
        <f t="shared" si="88"/>
        <v>Delhi</v>
      </c>
      <c r="V1907">
        <f t="shared" si="89"/>
        <v>0</v>
      </c>
    </row>
    <row r="1908" spans="1:22" ht="15" customHeight="1" x14ac:dyDescent="0.35">
      <c r="A1908" s="3" t="s">
        <v>2344</v>
      </c>
      <c r="B1908" s="4">
        <v>45400</v>
      </c>
      <c r="C1908" s="3" t="s">
        <v>23</v>
      </c>
      <c r="D1908" s="3" t="s">
        <v>441</v>
      </c>
      <c r="E1908" s="3" t="s">
        <v>191</v>
      </c>
      <c r="F1908" s="5">
        <v>6</v>
      </c>
      <c r="G1908" s="5">
        <v>1090</v>
      </c>
      <c r="H1908" s="5">
        <v>28.3</v>
      </c>
      <c r="I1908" s="5">
        <v>4689.18</v>
      </c>
      <c r="J1908" s="3" t="s">
        <v>26</v>
      </c>
      <c r="K1908" s="3" t="s">
        <v>27</v>
      </c>
      <c r="L1908" t="str">
        <f>IFERROR(VLOOKUP(D1908,Products!$A$2:$F$61,3,FALSE()),"")</f>
        <v>Home</v>
      </c>
      <c r="M1908" t="str">
        <f>IFERROR(VLOOKUP(E1908,Sales_Reps!$A$2:$C$31,3,FALSE()),"")</f>
        <v>South</v>
      </c>
      <c r="N1908">
        <f>IFERROR(VLOOKUP(D1908,Products!$A$2:$F$61,4,FALSE()),"")</f>
        <v>464</v>
      </c>
      <c r="O1908" t="str">
        <f>IFERROR(VLOOKUP(C1908,Customers!$A$2:$F$301,5,FALSE()),"")</f>
        <v>SMB</v>
      </c>
      <c r="P1908">
        <f>IFERROR(VLOOKUP(C1908,Customers!$A$2:$F$301,3,FALSE()),"")</f>
        <v>44</v>
      </c>
      <c r="Q1908">
        <f t="shared" si="87"/>
        <v>0.57431192660550456</v>
      </c>
      <c r="R1908">
        <f>IF(AND(COUNTIF($A$2:$A$2047,A1908)&gt;1,COUNTIF($A$2:A1908,A1908)=1),1,0)</f>
        <v>0</v>
      </c>
      <c r="S1908" t="b">
        <f>IFERROR(VLOOKUP(D1908,Products!$A$2:$F$61,6,FALSE()),"")</f>
        <v>1</v>
      </c>
      <c r="T1908" t="str">
        <f>IF(COUNTIF(Customers!$A$2:$A$301,C1908)=0,"Missing","OK")</f>
        <v>OK</v>
      </c>
      <c r="U1908" t="str">
        <f t="shared" si="88"/>
        <v>Pune</v>
      </c>
      <c r="V1908">
        <f t="shared" si="89"/>
        <v>0</v>
      </c>
    </row>
    <row r="1909" spans="1:22" ht="15" customHeight="1" x14ac:dyDescent="0.35">
      <c r="A1909" s="3" t="s">
        <v>2345</v>
      </c>
      <c r="B1909" s="4">
        <v>45625</v>
      </c>
      <c r="C1909" s="3" t="s">
        <v>359</v>
      </c>
      <c r="D1909" s="3" t="s">
        <v>49</v>
      </c>
      <c r="E1909" s="3" t="s">
        <v>87</v>
      </c>
      <c r="F1909" s="5">
        <v>9</v>
      </c>
      <c r="G1909" s="5">
        <v>370</v>
      </c>
      <c r="H1909" s="5">
        <v>13.8</v>
      </c>
      <c r="I1909" s="5">
        <v>2870.46</v>
      </c>
      <c r="J1909" s="3" t="s">
        <v>26</v>
      </c>
      <c r="K1909" s="3" t="s">
        <v>38</v>
      </c>
      <c r="L1909" t="str">
        <f>IFERROR(VLOOKUP(D1909,Products!$A$2:$F$61,3,FALSE()),"")</f>
        <v>Home</v>
      </c>
      <c r="M1909" t="str">
        <f>IFERROR(VLOOKUP(E1909,Sales_Reps!$A$2:$C$31,3,FALSE()),"")</f>
        <v>North</v>
      </c>
      <c r="N1909">
        <f>IFERROR(VLOOKUP(D1909,Products!$A$2:$F$61,4,FALSE()),"")</f>
        <v>288</v>
      </c>
      <c r="O1909" t="str">
        <f>IFERROR(VLOOKUP(C1909,Customers!$A$2:$F$301,5,FALSE()),"")</f>
        <v>Retail</v>
      </c>
      <c r="P1909">
        <f>IFERROR(VLOOKUP(C1909,Customers!$A$2:$F$301,3,FALSE()),"")</f>
        <v>44</v>
      </c>
      <c r="Q1909">
        <f t="shared" si="87"/>
        <v>0.22162162162162163</v>
      </c>
      <c r="R1909">
        <f>IF(AND(COUNTIF($A$2:$A$2047,A1909)&gt;1,COUNTIF($A$2:A1909,A1909)=1),1,0)</f>
        <v>0</v>
      </c>
      <c r="S1909" t="b">
        <f>IFERROR(VLOOKUP(D1909,Products!$A$2:$F$61,6,FALSE()),"")</f>
        <v>1</v>
      </c>
      <c r="T1909" t="str">
        <f>IF(COUNTIF(Customers!$A$2:$A$301,C1909)=0,"Missing","OK")</f>
        <v>OK</v>
      </c>
      <c r="U1909" t="str">
        <f t="shared" si="88"/>
        <v>Delhi</v>
      </c>
      <c r="V1909">
        <f t="shared" si="89"/>
        <v>0</v>
      </c>
    </row>
    <row r="1910" spans="1:22" ht="15" customHeight="1" x14ac:dyDescent="0.35">
      <c r="A1910" s="3" t="s">
        <v>2346</v>
      </c>
      <c r="B1910" s="4">
        <v>45555</v>
      </c>
      <c r="C1910" s="3" t="s">
        <v>432</v>
      </c>
      <c r="D1910" s="3" t="s">
        <v>126</v>
      </c>
      <c r="E1910" s="3" t="s">
        <v>50</v>
      </c>
      <c r="F1910" s="5">
        <v>10</v>
      </c>
      <c r="G1910" s="5">
        <v>3570</v>
      </c>
      <c r="H1910" s="5">
        <v>3</v>
      </c>
      <c r="I1910" s="5">
        <v>34629</v>
      </c>
      <c r="J1910" s="3" t="s">
        <v>79</v>
      </c>
      <c r="K1910" s="3" t="s">
        <v>27</v>
      </c>
      <c r="L1910" t="str">
        <f>IFERROR(VLOOKUP(D1910,Products!$A$2:$F$61,3,FALSE()),"")</f>
        <v>Electronics</v>
      </c>
      <c r="M1910" t="str">
        <f>IFERROR(VLOOKUP(E1910,Sales_Reps!$A$2:$C$31,3,FALSE()),"")</f>
        <v>West</v>
      </c>
      <c r="N1910">
        <f>IFERROR(VLOOKUP(D1910,Products!$A$2:$F$61,4,FALSE()),"")</f>
        <v>1665</v>
      </c>
      <c r="O1910" t="str">
        <f>IFERROR(VLOOKUP(C1910,Customers!$A$2:$F$301,5,FALSE()),"")</f>
        <v>Retail</v>
      </c>
      <c r="P1910">
        <f>IFERROR(VLOOKUP(C1910,Customers!$A$2:$F$301,3,FALSE()),"")</f>
        <v>57</v>
      </c>
      <c r="Q1910">
        <f t="shared" si="87"/>
        <v>0.53361344537815125</v>
      </c>
      <c r="R1910">
        <f>IF(AND(COUNTIF($A$2:$A$2047,A1910)&gt;1,COUNTIF($A$2:A1910,A1910)=1),1,0)</f>
        <v>0</v>
      </c>
      <c r="S1910" t="b">
        <f>IFERROR(VLOOKUP(D1910,Products!$A$2:$F$61,6,FALSE()),"")</f>
        <v>1</v>
      </c>
      <c r="T1910" t="str">
        <f>IF(COUNTIF(Customers!$A$2:$A$301,C1910)=0,"Missing","OK")</f>
        <v>OK</v>
      </c>
      <c r="U1910" t="str">
        <f t="shared" si="88"/>
        <v>Pune</v>
      </c>
      <c r="V1910">
        <f t="shared" si="89"/>
        <v>0</v>
      </c>
    </row>
    <row r="1911" spans="1:22" ht="15" customHeight="1" x14ac:dyDescent="0.35">
      <c r="A1911" s="3" t="s">
        <v>2347</v>
      </c>
      <c r="B1911" s="4">
        <v>45509</v>
      </c>
      <c r="C1911" s="3" t="s">
        <v>310</v>
      </c>
      <c r="D1911" s="3" t="s">
        <v>82</v>
      </c>
      <c r="E1911" s="3" t="s">
        <v>285</v>
      </c>
      <c r="F1911" s="5">
        <v>10</v>
      </c>
      <c r="G1911" s="5">
        <v>3250</v>
      </c>
      <c r="H1911" s="5">
        <v>20.3</v>
      </c>
      <c r="I1911" s="5">
        <v>25902.5</v>
      </c>
      <c r="J1911" s="3" t="s">
        <v>26</v>
      </c>
      <c r="K1911" s="3" t="s">
        <v>51</v>
      </c>
      <c r="L1911" t="str">
        <f>IFERROR(VLOOKUP(D1911,Products!$A$2:$F$61,3,FALSE()),"")</f>
        <v>Home</v>
      </c>
      <c r="M1911" t="str">
        <f>IFERROR(VLOOKUP(E1911,Sales_Reps!$A$2:$C$31,3,FALSE()),"")</f>
        <v>South</v>
      </c>
      <c r="N1911">
        <f>IFERROR(VLOOKUP(D1911,Products!$A$2:$F$61,4,FALSE()),"")</f>
        <v>1556</v>
      </c>
      <c r="O1911" t="str">
        <f>IFERROR(VLOOKUP(C1911,Customers!$A$2:$F$301,5,FALSE()),"")</f>
        <v>Retail</v>
      </c>
      <c r="P1911">
        <f>IFERROR(VLOOKUP(C1911,Customers!$A$2:$F$301,3,FALSE()),"")</f>
        <v>42</v>
      </c>
      <c r="Q1911">
        <f t="shared" si="87"/>
        <v>0.52123076923076928</v>
      </c>
      <c r="R1911">
        <f>IF(AND(COUNTIF($A$2:$A$2047,A1911)&gt;1,COUNTIF($A$2:A1911,A1911)=1),1,0)</f>
        <v>0</v>
      </c>
      <c r="S1911" t="b">
        <f>IFERROR(VLOOKUP(D1911,Products!$A$2:$F$61,6,FALSE()),"")</f>
        <v>1</v>
      </c>
      <c r="T1911" t="str">
        <f>IF(COUNTIF(Customers!$A$2:$A$301,C1911)=0,"Missing","OK")</f>
        <v>OK</v>
      </c>
      <c r="U1911" t="str">
        <f t="shared" si="88"/>
        <v>Mumbai</v>
      </c>
      <c r="V1911">
        <f t="shared" si="89"/>
        <v>0</v>
      </c>
    </row>
    <row r="1912" spans="1:22" ht="15" customHeight="1" x14ac:dyDescent="0.35">
      <c r="A1912" s="3" t="s">
        <v>2348</v>
      </c>
      <c r="B1912" s="4">
        <v>45436</v>
      </c>
      <c r="C1912" s="3" t="s">
        <v>811</v>
      </c>
      <c r="D1912" s="3" t="s">
        <v>82</v>
      </c>
      <c r="E1912" s="3" t="s">
        <v>67</v>
      </c>
      <c r="F1912" s="5">
        <v>6</v>
      </c>
      <c r="G1912" s="5">
        <v>3250</v>
      </c>
      <c r="H1912" s="5">
        <v>25.8</v>
      </c>
      <c r="I1912" s="5">
        <v>14469</v>
      </c>
      <c r="J1912" s="3" t="s">
        <v>32</v>
      </c>
      <c r="K1912" s="3" t="s">
        <v>51</v>
      </c>
      <c r="L1912" t="str">
        <f>IFERROR(VLOOKUP(D1912,Products!$A$2:$F$61,3,FALSE()),"")</f>
        <v>Home</v>
      </c>
      <c r="M1912" t="str">
        <f>IFERROR(VLOOKUP(E1912,Sales_Reps!$A$2:$C$31,3,FALSE()),"")</f>
        <v>West</v>
      </c>
      <c r="N1912">
        <f>IFERROR(VLOOKUP(D1912,Products!$A$2:$F$61,4,FALSE()),"")</f>
        <v>1556</v>
      </c>
      <c r="O1912" t="str">
        <f>IFERROR(VLOOKUP(C1912,Customers!$A$2:$F$301,5,FALSE()),"")</f>
        <v>Corporate</v>
      </c>
      <c r="P1912">
        <f>IFERROR(VLOOKUP(C1912,Customers!$A$2:$F$301,3,FALSE()),"")</f>
        <v>62</v>
      </c>
      <c r="Q1912">
        <f t="shared" si="87"/>
        <v>0.52123076923076928</v>
      </c>
      <c r="R1912">
        <f>IF(AND(COUNTIF($A$2:$A$2047,A1912)&gt;1,COUNTIF($A$2:A1912,A1912)=1),1,0)</f>
        <v>0</v>
      </c>
      <c r="S1912" t="b">
        <f>IFERROR(VLOOKUP(D1912,Products!$A$2:$F$61,6,FALSE()),"")</f>
        <v>1</v>
      </c>
      <c r="T1912" t="str">
        <f>IF(COUNTIF(Customers!$A$2:$A$301,C1912)=0,"Missing","OK")</f>
        <v>OK</v>
      </c>
      <c r="U1912" t="str">
        <f t="shared" si="88"/>
        <v>Mumbai</v>
      </c>
      <c r="V1912">
        <f t="shared" si="89"/>
        <v>0</v>
      </c>
    </row>
    <row r="1913" spans="1:22" ht="15" customHeight="1" x14ac:dyDescent="0.35">
      <c r="A1913" s="3" t="s">
        <v>2349</v>
      </c>
      <c r="B1913" s="4">
        <v>45610</v>
      </c>
      <c r="C1913" s="3" t="s">
        <v>275</v>
      </c>
      <c r="D1913" s="3" t="s">
        <v>54</v>
      </c>
      <c r="E1913" s="3" t="s">
        <v>55</v>
      </c>
      <c r="F1913" s="5">
        <v>9</v>
      </c>
      <c r="G1913" s="5">
        <v>960</v>
      </c>
      <c r="H1913" s="5">
        <v>29</v>
      </c>
      <c r="I1913" s="5">
        <v>6134.4</v>
      </c>
      <c r="J1913" s="3" t="s">
        <v>26</v>
      </c>
      <c r="K1913" s="3" t="s">
        <v>51</v>
      </c>
      <c r="L1913" t="str">
        <f>IFERROR(VLOOKUP(D1913,Products!$A$2:$F$61,3,FALSE()),"")</f>
        <v>Sports</v>
      </c>
      <c r="M1913" t="str">
        <f>IFERROR(VLOOKUP(E1913,Sales_Reps!$A$2:$C$31,3,FALSE()),"")</f>
        <v>West</v>
      </c>
      <c r="N1913">
        <f>IFERROR(VLOOKUP(D1913,Products!$A$2:$F$61,4,FALSE()),"")</f>
        <v>705</v>
      </c>
      <c r="O1913" t="str">
        <f>IFERROR(VLOOKUP(C1913,Customers!$A$2:$F$301,5,FALSE()),"")</f>
        <v>Retail</v>
      </c>
      <c r="P1913">
        <f>IFERROR(VLOOKUP(C1913,Customers!$A$2:$F$301,3,FALSE()),"")</f>
        <v>49</v>
      </c>
      <c r="Q1913">
        <f t="shared" si="87"/>
        <v>0.265625</v>
      </c>
      <c r="R1913">
        <f>IF(AND(COUNTIF($A$2:$A$2047,A1913)&gt;1,COUNTIF($A$2:A1913,A1913)=1),1,0)</f>
        <v>0</v>
      </c>
      <c r="S1913" t="b">
        <f>IFERROR(VLOOKUP(D1913,Products!$A$2:$F$61,6,FALSE()),"")</f>
        <v>1</v>
      </c>
      <c r="T1913" t="str">
        <f>IF(COUNTIF(Customers!$A$2:$A$301,C1913)=0,"Missing","OK")</f>
        <v>OK</v>
      </c>
      <c r="U1913" t="str">
        <f t="shared" si="88"/>
        <v>Mumbai</v>
      </c>
      <c r="V1913">
        <f t="shared" si="89"/>
        <v>0</v>
      </c>
    </row>
    <row r="1914" spans="1:22" ht="15" customHeight="1" x14ac:dyDescent="0.35">
      <c r="A1914" s="3" t="s">
        <v>2350</v>
      </c>
      <c r="B1914" s="4">
        <v>45535</v>
      </c>
      <c r="C1914" s="3" t="s">
        <v>296</v>
      </c>
      <c r="D1914" s="3" t="s">
        <v>180</v>
      </c>
      <c r="E1914" s="3" t="s">
        <v>127</v>
      </c>
      <c r="F1914" s="5">
        <v>9</v>
      </c>
      <c r="G1914" s="5">
        <v>6080</v>
      </c>
      <c r="H1914" s="5">
        <v>21</v>
      </c>
      <c r="I1914" s="5">
        <v>43228.800000000003</v>
      </c>
      <c r="J1914" s="3" t="s">
        <v>26</v>
      </c>
      <c r="K1914" s="3" t="s">
        <v>38</v>
      </c>
      <c r="L1914" t="str">
        <f>IFERROR(VLOOKUP(D1914,Products!$A$2:$F$61,3,FALSE()),"")</f>
        <v>Beauty</v>
      </c>
      <c r="M1914" t="str">
        <f>IFERROR(VLOOKUP(E1914,Sales_Reps!$A$2:$C$31,3,FALSE()),"")</f>
        <v>South</v>
      </c>
      <c r="N1914">
        <f>IFERROR(VLOOKUP(D1914,Products!$A$2:$F$61,4,FALSE()),"")</f>
        <v>2617</v>
      </c>
      <c r="O1914" t="str">
        <f>IFERROR(VLOOKUP(C1914,Customers!$A$2:$F$301,5,FALSE()),"")</f>
        <v>SMB</v>
      </c>
      <c r="P1914">
        <f>IFERROR(VLOOKUP(C1914,Customers!$A$2:$F$301,3,FALSE()),"")</f>
        <v>38</v>
      </c>
      <c r="Q1914">
        <f t="shared" si="87"/>
        <v>0.56957236842105263</v>
      </c>
      <c r="R1914">
        <f>IF(AND(COUNTIF($A$2:$A$2047,A1914)&gt;1,COUNTIF($A$2:A1914,A1914)=1),1,0)</f>
        <v>0</v>
      </c>
      <c r="S1914" t="b">
        <f>IFERROR(VLOOKUP(D1914,Products!$A$2:$F$61,6,FALSE()),"")</f>
        <v>1</v>
      </c>
      <c r="T1914" t="str">
        <f>IF(COUNTIF(Customers!$A$2:$A$301,C1914)=0,"Missing","OK")</f>
        <v>OK</v>
      </c>
      <c r="U1914" t="str">
        <f t="shared" si="88"/>
        <v>Delhi</v>
      </c>
      <c r="V1914">
        <f t="shared" si="89"/>
        <v>0</v>
      </c>
    </row>
    <row r="1915" spans="1:22" ht="15" customHeight="1" x14ac:dyDescent="0.35">
      <c r="A1915" s="3" t="s">
        <v>2351</v>
      </c>
      <c r="B1915" s="4">
        <v>45366</v>
      </c>
      <c r="C1915" s="3" t="s">
        <v>108</v>
      </c>
      <c r="D1915" s="3" t="s">
        <v>209</v>
      </c>
      <c r="E1915" s="3" t="s">
        <v>131</v>
      </c>
      <c r="F1915" s="5">
        <v>6</v>
      </c>
      <c r="G1915" s="5">
        <v>4610</v>
      </c>
      <c r="H1915" s="5">
        <v>13.5</v>
      </c>
      <c r="I1915" s="5">
        <v>23925.9</v>
      </c>
      <c r="J1915" s="3" t="s">
        <v>26</v>
      </c>
      <c r="K1915" s="3" t="s">
        <v>51</v>
      </c>
      <c r="L1915" t="str">
        <f>IFERROR(VLOOKUP(D1915,Products!$A$2:$F$61,3,FALSE()),"")</f>
        <v>Home</v>
      </c>
      <c r="M1915" t="str">
        <f>IFERROR(VLOOKUP(E1915,Sales_Reps!$A$2:$C$31,3,FALSE()),"")</f>
        <v>East</v>
      </c>
      <c r="N1915">
        <f>IFERROR(VLOOKUP(D1915,Products!$A$2:$F$61,4,FALSE()),"")</f>
        <v>1850</v>
      </c>
      <c r="O1915" t="str">
        <f>IFERROR(VLOOKUP(C1915,Customers!$A$2:$F$301,5,FALSE()),"")</f>
        <v>Retail</v>
      </c>
      <c r="P1915">
        <f>IFERROR(VLOOKUP(C1915,Customers!$A$2:$F$301,3,FALSE()),"")</f>
        <v>34</v>
      </c>
      <c r="Q1915">
        <f t="shared" si="87"/>
        <v>0.59869848156182215</v>
      </c>
      <c r="R1915">
        <f>IF(AND(COUNTIF($A$2:$A$2047,A1915)&gt;1,COUNTIF($A$2:A1915,A1915)=1),1,0)</f>
        <v>0</v>
      </c>
      <c r="S1915" t="b">
        <f>IFERROR(VLOOKUP(D1915,Products!$A$2:$F$61,6,FALSE()),"")</f>
        <v>1</v>
      </c>
      <c r="T1915" t="str">
        <f>IF(COUNTIF(Customers!$A$2:$A$301,C1915)=0,"Missing","OK")</f>
        <v>OK</v>
      </c>
      <c r="U1915" t="str">
        <f t="shared" si="88"/>
        <v>Mumbai</v>
      </c>
      <c r="V1915">
        <f t="shared" si="89"/>
        <v>0</v>
      </c>
    </row>
    <row r="1916" spans="1:22" ht="15" customHeight="1" x14ac:dyDescent="0.35">
      <c r="A1916" s="3" t="s">
        <v>2352</v>
      </c>
      <c r="B1916" s="4">
        <v>45446</v>
      </c>
      <c r="C1916" s="3" t="s">
        <v>480</v>
      </c>
      <c r="D1916" s="3" t="s">
        <v>382</v>
      </c>
      <c r="E1916" s="3" t="s">
        <v>97</v>
      </c>
      <c r="F1916" s="5">
        <v>7</v>
      </c>
      <c r="G1916" s="5">
        <v>5080</v>
      </c>
      <c r="H1916" s="5">
        <v>25.4</v>
      </c>
      <c r="I1916" s="5">
        <v>26527.759999999998</v>
      </c>
      <c r="J1916" s="3" t="s">
        <v>26</v>
      </c>
      <c r="K1916" s="3" t="s">
        <v>33</v>
      </c>
      <c r="L1916" t="str">
        <f>IFERROR(VLOOKUP(D1916,Products!$A$2:$F$61,3,FALSE()),"")</f>
        <v>Home</v>
      </c>
      <c r="M1916" t="str">
        <f>IFERROR(VLOOKUP(E1916,Sales_Reps!$A$2:$C$31,3,FALSE()),"")</f>
        <v>East</v>
      </c>
      <c r="N1916">
        <f>IFERROR(VLOOKUP(D1916,Products!$A$2:$F$61,4,FALSE()),"")</f>
        <v>2459</v>
      </c>
      <c r="O1916" t="str">
        <f>IFERROR(VLOOKUP(C1916,Customers!$A$2:$F$301,5,FALSE()),"")</f>
        <v>Corporate</v>
      </c>
      <c r="P1916">
        <f>IFERROR(VLOOKUP(C1916,Customers!$A$2:$F$301,3,FALSE()),"")</f>
        <v>34</v>
      </c>
      <c r="Q1916">
        <f t="shared" si="87"/>
        <v>0.51594488188976373</v>
      </c>
      <c r="R1916">
        <f>IF(AND(COUNTIF($A$2:$A$2047,A1916)&gt;1,COUNTIF($A$2:A1916,A1916)=1),1,0)</f>
        <v>0</v>
      </c>
      <c r="S1916" t="b">
        <f>IFERROR(VLOOKUP(D1916,Products!$A$2:$F$61,6,FALSE()),"")</f>
        <v>1</v>
      </c>
      <c r="T1916" t="str">
        <f>IF(COUNTIF(Customers!$A$2:$A$301,C1916)=0,"Missing","OK")</f>
        <v>OK</v>
      </c>
      <c r="U1916" t="str">
        <f t="shared" si="88"/>
        <v>Chennai</v>
      </c>
      <c r="V1916">
        <f t="shared" si="89"/>
        <v>0</v>
      </c>
    </row>
    <row r="1917" spans="1:22" ht="15" customHeight="1" x14ac:dyDescent="0.35">
      <c r="A1917" s="3" t="s">
        <v>2353</v>
      </c>
      <c r="B1917" s="4">
        <v>45550</v>
      </c>
      <c r="C1917" s="3" t="s">
        <v>492</v>
      </c>
      <c r="D1917" s="3" t="s">
        <v>118</v>
      </c>
      <c r="E1917" s="3" t="s">
        <v>177</v>
      </c>
      <c r="F1917" s="5">
        <v>5</v>
      </c>
      <c r="G1917" s="5">
        <v>3350</v>
      </c>
      <c r="H1917" s="5">
        <v>2.2000000000000002</v>
      </c>
      <c r="I1917" s="5">
        <v>16381.5</v>
      </c>
      <c r="J1917" s="3" t="s">
        <v>26</v>
      </c>
      <c r="K1917" s="3" t="s">
        <v>51</v>
      </c>
      <c r="L1917" t="str">
        <f>IFERROR(VLOOKUP(D1917,Products!$A$2:$F$61,3,FALSE()),"")</f>
        <v>Beauty</v>
      </c>
      <c r="M1917" t="str">
        <f>IFERROR(VLOOKUP(E1917,Sales_Reps!$A$2:$C$31,3,FALSE()),"")</f>
        <v>East</v>
      </c>
      <c r="N1917">
        <f>IFERROR(VLOOKUP(D1917,Products!$A$2:$F$61,4,FALSE()),"")</f>
        <v>1728</v>
      </c>
      <c r="O1917" t="str">
        <f>IFERROR(VLOOKUP(C1917,Customers!$A$2:$F$301,5,FALSE()),"")</f>
        <v>Retail</v>
      </c>
      <c r="P1917">
        <f>IFERROR(VLOOKUP(C1917,Customers!$A$2:$F$301,3,FALSE()),"")</f>
        <v>65</v>
      </c>
      <c r="Q1917">
        <f t="shared" si="87"/>
        <v>0.48417910447761192</v>
      </c>
      <c r="R1917">
        <f>IF(AND(COUNTIF($A$2:$A$2047,A1917)&gt;1,COUNTIF($A$2:A1917,A1917)=1),1,0)</f>
        <v>0</v>
      </c>
      <c r="S1917" t="b">
        <f>IFERROR(VLOOKUP(D1917,Products!$A$2:$F$61,6,FALSE()),"")</f>
        <v>1</v>
      </c>
      <c r="T1917" t="str">
        <f>IF(COUNTIF(Customers!$A$2:$A$301,C1917)=0,"Missing","OK")</f>
        <v>OK</v>
      </c>
      <c r="U1917" t="str">
        <f t="shared" si="88"/>
        <v>Mumbai</v>
      </c>
      <c r="V1917">
        <f t="shared" si="89"/>
        <v>0</v>
      </c>
    </row>
    <row r="1918" spans="1:22" ht="15" customHeight="1" x14ac:dyDescent="0.35">
      <c r="A1918" s="3" t="s">
        <v>2354</v>
      </c>
      <c r="B1918" s="4">
        <v>45600</v>
      </c>
      <c r="C1918" s="3" t="s">
        <v>849</v>
      </c>
      <c r="D1918" s="3" t="s">
        <v>173</v>
      </c>
      <c r="E1918" s="3" t="s">
        <v>37</v>
      </c>
      <c r="F1918" s="5">
        <v>1</v>
      </c>
      <c r="G1918" s="5">
        <v>3780</v>
      </c>
      <c r="H1918" s="5">
        <v>13.7</v>
      </c>
      <c r="I1918" s="5">
        <v>3262.14</v>
      </c>
      <c r="J1918" s="3" t="s">
        <v>26</v>
      </c>
      <c r="K1918" s="3" t="s">
        <v>38</v>
      </c>
      <c r="L1918" t="str">
        <f>IFERROR(VLOOKUP(D1918,Products!$A$2:$F$61,3,FALSE()),"")</f>
        <v>Grocery</v>
      </c>
      <c r="M1918" t="str">
        <f>IFERROR(VLOOKUP(E1918,Sales_Reps!$A$2:$C$31,3,FALSE()),"")</f>
        <v>South</v>
      </c>
      <c r="N1918">
        <f>IFERROR(VLOOKUP(D1918,Products!$A$2:$F$61,4,FALSE()),"")</f>
        <v>2436</v>
      </c>
      <c r="O1918" t="str">
        <f>IFERROR(VLOOKUP(C1918,Customers!$A$2:$F$301,5,FALSE()),"")</f>
        <v>Retail</v>
      </c>
      <c r="P1918">
        <f>IFERROR(VLOOKUP(C1918,Customers!$A$2:$F$301,3,FALSE()),"")</f>
        <v>55</v>
      </c>
      <c r="Q1918">
        <f t="shared" si="87"/>
        <v>0.35555555555555557</v>
      </c>
      <c r="R1918">
        <f>IF(AND(COUNTIF($A$2:$A$2047,A1918)&gt;1,COUNTIF($A$2:A1918,A1918)=1),1,0)</f>
        <v>0</v>
      </c>
      <c r="S1918" t="b">
        <f>IFERROR(VLOOKUP(D1918,Products!$A$2:$F$61,6,FALSE()),"")</f>
        <v>1</v>
      </c>
      <c r="T1918" t="str">
        <f>IF(COUNTIF(Customers!$A$2:$A$301,C1918)=0,"Missing","OK")</f>
        <v>OK</v>
      </c>
      <c r="U1918" t="str">
        <f t="shared" si="88"/>
        <v>Delhi</v>
      </c>
      <c r="V1918">
        <f t="shared" si="89"/>
        <v>0</v>
      </c>
    </row>
    <row r="1919" spans="1:22" ht="15" customHeight="1" x14ac:dyDescent="0.35">
      <c r="A1919" s="3" t="s">
        <v>2355</v>
      </c>
      <c r="B1919" s="4">
        <v>45352</v>
      </c>
      <c r="C1919" s="3" t="s">
        <v>117</v>
      </c>
      <c r="D1919" s="3" t="s">
        <v>123</v>
      </c>
      <c r="E1919" s="3" t="s">
        <v>131</v>
      </c>
      <c r="F1919" s="5">
        <v>4</v>
      </c>
      <c r="G1919" s="5">
        <v>4880</v>
      </c>
      <c r="H1919" s="5">
        <v>11.6</v>
      </c>
      <c r="I1919" s="5">
        <v>17255.68</v>
      </c>
      <c r="J1919" s="3" t="s">
        <v>26</v>
      </c>
      <c r="K1919" s="3" t="s">
        <v>33</v>
      </c>
      <c r="L1919" t="str">
        <f>IFERROR(VLOOKUP(D1919,Products!$A$2:$F$61,3,FALSE()),"")</f>
        <v>Beauty</v>
      </c>
      <c r="M1919" t="str">
        <f>IFERROR(VLOOKUP(E1919,Sales_Reps!$A$2:$C$31,3,FALSE()),"")</f>
        <v>East</v>
      </c>
      <c r="N1919">
        <f>IFERROR(VLOOKUP(D1919,Products!$A$2:$F$61,4,FALSE()),"")</f>
        <v>2768</v>
      </c>
      <c r="O1919" t="str">
        <f>IFERROR(VLOOKUP(C1919,Customers!$A$2:$F$301,5,FALSE()),"")</f>
        <v>Corporate</v>
      </c>
      <c r="P1919">
        <f>IFERROR(VLOOKUP(C1919,Customers!$A$2:$F$301,3,FALSE()),"")</f>
        <v>55</v>
      </c>
      <c r="Q1919">
        <f t="shared" si="87"/>
        <v>0.43278688524590164</v>
      </c>
      <c r="R1919">
        <f>IF(AND(COUNTIF($A$2:$A$2047,A1919)&gt;1,COUNTIF($A$2:A1919,A1919)=1),1,0)</f>
        <v>0</v>
      </c>
      <c r="S1919" t="b">
        <f>IFERROR(VLOOKUP(D1919,Products!$A$2:$F$61,6,FALSE()),"")</f>
        <v>1</v>
      </c>
      <c r="T1919" t="str">
        <f>IF(COUNTIF(Customers!$A$2:$A$301,C1919)=0,"Missing","OK")</f>
        <v>OK</v>
      </c>
      <c r="U1919" t="str">
        <f t="shared" si="88"/>
        <v>Chennai</v>
      </c>
      <c r="V1919">
        <f t="shared" si="89"/>
        <v>0</v>
      </c>
    </row>
    <row r="1920" spans="1:22" ht="15" customHeight="1" x14ac:dyDescent="0.35">
      <c r="A1920" s="3" t="s">
        <v>2356</v>
      </c>
      <c r="B1920" s="4">
        <v>45385</v>
      </c>
      <c r="C1920" s="3" t="s">
        <v>601</v>
      </c>
      <c r="D1920" s="3" t="s">
        <v>130</v>
      </c>
      <c r="E1920" s="3" t="s">
        <v>168</v>
      </c>
      <c r="F1920" s="5">
        <v>3</v>
      </c>
      <c r="G1920" s="5">
        <v>5100</v>
      </c>
      <c r="H1920" s="5">
        <v>24.2</v>
      </c>
      <c r="I1920" s="5">
        <v>11597.4</v>
      </c>
      <c r="J1920" s="3" t="s">
        <v>26</v>
      </c>
      <c r="K1920" s="3" t="s">
        <v>2357</v>
      </c>
      <c r="L1920" t="str">
        <f>IFERROR(VLOOKUP(D1920,Products!$A$2:$F$61,3,FALSE()),"")</f>
        <v>Beauty</v>
      </c>
      <c r="M1920" t="str">
        <f>IFERROR(VLOOKUP(E1920,Sales_Reps!$A$2:$C$31,3,FALSE()),"")</f>
        <v>West</v>
      </c>
      <c r="N1920">
        <f>IFERROR(VLOOKUP(D1920,Products!$A$2:$F$61,4,FALSE()),"")</f>
        <v>2237</v>
      </c>
      <c r="O1920" t="str">
        <f>IFERROR(VLOOKUP(C1920,Customers!$A$2:$F$301,5,FALSE()),"")</f>
        <v>Corporate</v>
      </c>
      <c r="P1920">
        <f>IFERROR(VLOOKUP(C1920,Customers!$A$2:$F$301,3,FALSE()),"")</f>
        <v>41</v>
      </c>
      <c r="Q1920">
        <f t="shared" si="87"/>
        <v>0.56137254901960787</v>
      </c>
      <c r="R1920">
        <f>IF(AND(COUNTIF($A$2:$A$2047,A1920)&gt;1,COUNTIF($A$2:A1920,A1920)=1),1,0)</f>
        <v>0</v>
      </c>
      <c r="S1920" t="b">
        <f>IFERROR(VLOOKUP(D1920,Products!$A$2:$F$61,6,FALSE()),"")</f>
        <v>1</v>
      </c>
      <c r="T1920" t="str">
        <f>IF(COUNTIF(Customers!$A$2:$A$301,C1920)=0,"Missing","OK")</f>
        <v>OK</v>
      </c>
      <c r="U1920" t="str">
        <f t="shared" si="88"/>
        <v>Chennai</v>
      </c>
      <c r="V1920">
        <f t="shared" si="89"/>
        <v>0</v>
      </c>
    </row>
    <row r="1921" spans="1:22" ht="15" customHeight="1" x14ac:dyDescent="0.35">
      <c r="A1921" s="3" t="s">
        <v>2358</v>
      </c>
      <c r="B1921" s="4">
        <v>45634</v>
      </c>
      <c r="C1921" s="3" t="s">
        <v>718</v>
      </c>
      <c r="D1921" s="3" t="s">
        <v>218</v>
      </c>
      <c r="E1921" s="3" t="s">
        <v>93</v>
      </c>
      <c r="F1921" s="5">
        <v>5</v>
      </c>
      <c r="G1921" s="5">
        <v>2660</v>
      </c>
      <c r="H1921" s="5">
        <v>4.7</v>
      </c>
      <c r="I1921" s="5">
        <v>12674.9</v>
      </c>
      <c r="J1921" s="3" t="s">
        <v>26</v>
      </c>
      <c r="K1921" s="3" t="s">
        <v>56</v>
      </c>
      <c r="L1921" t="str">
        <f>IFERROR(VLOOKUP(D1921,Products!$A$2:$F$61,3,FALSE()),"")</f>
        <v>Electronics</v>
      </c>
      <c r="M1921" t="str">
        <f>IFERROR(VLOOKUP(E1921,Sales_Reps!$A$2:$C$31,3,FALSE()),"")</f>
        <v>East</v>
      </c>
      <c r="N1921">
        <f>IFERROR(VLOOKUP(D1921,Products!$A$2:$F$61,4,FALSE()),"")</f>
        <v>1259</v>
      </c>
      <c r="O1921" t="str">
        <f>IFERROR(VLOOKUP(C1921,Customers!$A$2:$F$301,5,FALSE()),"")</f>
        <v>Retail</v>
      </c>
      <c r="P1921">
        <f>IFERROR(VLOOKUP(C1921,Customers!$A$2:$F$301,3,FALSE()),"")</f>
        <v>27</v>
      </c>
      <c r="Q1921">
        <f t="shared" si="87"/>
        <v>0.52669172932330832</v>
      </c>
      <c r="R1921">
        <f>IF(AND(COUNTIF($A$2:$A$2047,A1921)&gt;1,COUNTIF($A$2:A1921,A1921)=1),1,0)</f>
        <v>0</v>
      </c>
      <c r="S1921" t="b">
        <f>IFERROR(VLOOKUP(D1921,Products!$A$2:$F$61,6,FALSE()),"")</f>
        <v>0</v>
      </c>
      <c r="T1921" t="str">
        <f>IF(COUNTIF(Customers!$A$2:$A$301,C1921)=0,"Missing","OK")</f>
        <v>OK</v>
      </c>
      <c r="U1921" t="str">
        <f t="shared" si="88"/>
        <v>Bengaluru</v>
      </c>
      <c r="V1921">
        <f t="shared" si="89"/>
        <v>0</v>
      </c>
    </row>
    <row r="1922" spans="1:22" ht="15" customHeight="1" x14ac:dyDescent="0.35">
      <c r="A1922" s="3" t="s">
        <v>2359</v>
      </c>
      <c r="B1922" s="4">
        <v>45444</v>
      </c>
      <c r="C1922" s="3" t="s">
        <v>298</v>
      </c>
      <c r="D1922" s="3" t="s">
        <v>306</v>
      </c>
      <c r="E1922" s="3" t="s">
        <v>177</v>
      </c>
      <c r="F1922" s="5">
        <v>10</v>
      </c>
      <c r="G1922" s="5">
        <v>2380</v>
      </c>
      <c r="H1922" s="5">
        <v>1</v>
      </c>
      <c r="I1922" s="5">
        <v>23562</v>
      </c>
      <c r="J1922" s="3" t="s">
        <v>26</v>
      </c>
      <c r="K1922" s="3" t="s">
        <v>38</v>
      </c>
      <c r="L1922" t="str">
        <f>IFERROR(VLOOKUP(D1922,Products!$A$2:$F$61,3,FALSE()),"")</f>
        <v>Grocery</v>
      </c>
      <c r="M1922" t="str">
        <f>IFERROR(VLOOKUP(E1922,Sales_Reps!$A$2:$C$31,3,FALSE()),"")</f>
        <v>East</v>
      </c>
      <c r="N1922">
        <f>IFERROR(VLOOKUP(D1922,Products!$A$2:$F$61,4,FALSE()),"")</f>
        <v>1182</v>
      </c>
      <c r="O1922" t="str">
        <f>IFERROR(VLOOKUP(C1922,Customers!$A$2:$F$301,5,FALSE()),"")</f>
        <v>SMB</v>
      </c>
      <c r="P1922">
        <f>IFERROR(VLOOKUP(C1922,Customers!$A$2:$F$301,3,FALSE()),"")</f>
        <v>28</v>
      </c>
      <c r="Q1922">
        <f t="shared" ref="Q1922:Q1985" si="90">IFERROR((G1922-N1922)/G1922,"")</f>
        <v>0.50336134453781511</v>
      </c>
      <c r="R1922">
        <f>IF(AND(COUNTIF($A$2:$A$2047,A1922)&gt;1,COUNTIF($A$2:A1922,A1922)=1),1,0)</f>
        <v>0</v>
      </c>
      <c r="S1922" t="b">
        <f>IFERROR(VLOOKUP(D1922,Products!$A$2:$F$61,6,FALSE()),"")</f>
        <v>1</v>
      </c>
      <c r="T1922" t="str">
        <f>IF(COUNTIF(Customers!$A$2:$A$301,C1922)=0,"Missing","OK")</f>
        <v>OK</v>
      </c>
      <c r="U1922" t="str">
        <f t="shared" ref="U1922:U1985" si="91">IF(K1922="","",PROPER(TRIM(K1922)))</f>
        <v>Delhi</v>
      </c>
      <c r="V1922">
        <f t="shared" ref="V1922:V1985" si="92">IF(AND(U1922="Bengaluru",L1922="Grocery"),I1922,0)</f>
        <v>0</v>
      </c>
    </row>
    <row r="1923" spans="1:22" ht="15" customHeight="1" x14ac:dyDescent="0.35">
      <c r="A1923" s="3" t="s">
        <v>2360</v>
      </c>
      <c r="B1923" s="4">
        <v>45553</v>
      </c>
      <c r="C1923" s="3" t="s">
        <v>755</v>
      </c>
      <c r="D1923" s="3" t="s">
        <v>123</v>
      </c>
      <c r="E1923" s="3" t="s">
        <v>236</v>
      </c>
      <c r="F1923" s="5">
        <v>9</v>
      </c>
      <c r="G1923" s="5">
        <v>4880</v>
      </c>
      <c r="H1923" s="5">
        <v>7.2</v>
      </c>
      <c r="I1923" s="5">
        <v>40757.760000000002</v>
      </c>
      <c r="J1923" s="3" t="s">
        <v>26</v>
      </c>
      <c r="K1923" s="3" t="s">
        <v>27</v>
      </c>
      <c r="L1923" t="str">
        <f>IFERROR(VLOOKUP(D1923,Products!$A$2:$F$61,3,FALSE()),"")</f>
        <v>Beauty</v>
      </c>
      <c r="M1923" t="str">
        <f>IFERROR(VLOOKUP(E1923,Sales_Reps!$A$2:$C$31,3,FALSE()),"")</f>
        <v>North</v>
      </c>
      <c r="N1923">
        <f>IFERROR(VLOOKUP(D1923,Products!$A$2:$F$61,4,FALSE()),"")</f>
        <v>2768</v>
      </c>
      <c r="O1923" t="str">
        <f>IFERROR(VLOOKUP(C1923,Customers!$A$2:$F$301,5,FALSE()),"")</f>
        <v>Retail</v>
      </c>
      <c r="P1923">
        <f>IFERROR(VLOOKUP(C1923,Customers!$A$2:$F$301,3,FALSE()),"")</f>
        <v>36</v>
      </c>
      <c r="Q1923">
        <f t="shared" si="90"/>
        <v>0.43278688524590164</v>
      </c>
      <c r="R1923">
        <f>IF(AND(COUNTIF($A$2:$A$2047,A1923)&gt;1,COUNTIF($A$2:A1923,A1923)=1),1,0)</f>
        <v>0</v>
      </c>
      <c r="S1923" t="b">
        <f>IFERROR(VLOOKUP(D1923,Products!$A$2:$F$61,6,FALSE()),"")</f>
        <v>1</v>
      </c>
      <c r="T1923" t="str">
        <f>IF(COUNTIF(Customers!$A$2:$A$301,C1923)=0,"Missing","OK")</f>
        <v>OK</v>
      </c>
      <c r="U1923" t="str">
        <f t="shared" si="91"/>
        <v>Pune</v>
      </c>
      <c r="V1923">
        <f t="shared" si="92"/>
        <v>0</v>
      </c>
    </row>
    <row r="1924" spans="1:22" ht="15" customHeight="1" x14ac:dyDescent="0.35">
      <c r="A1924" s="3" t="s">
        <v>2361</v>
      </c>
      <c r="B1924" s="4">
        <v>45411</v>
      </c>
      <c r="C1924" s="3" t="s">
        <v>1132</v>
      </c>
      <c r="D1924" s="3" t="s">
        <v>165</v>
      </c>
      <c r="E1924" s="3" t="s">
        <v>37</v>
      </c>
      <c r="F1924" s="5">
        <v>1</v>
      </c>
      <c r="G1924" s="5">
        <v>3730</v>
      </c>
      <c r="H1924" s="5">
        <v>15.3</v>
      </c>
      <c r="I1924" s="5">
        <v>3159.31</v>
      </c>
      <c r="J1924" s="3" t="s">
        <v>26</v>
      </c>
      <c r="K1924" s="3" t="s">
        <v>72</v>
      </c>
      <c r="L1924" t="str">
        <f>IFERROR(VLOOKUP(D1924,Products!$A$2:$F$61,3,FALSE()),"")</f>
        <v>Home</v>
      </c>
      <c r="M1924" t="str">
        <f>IFERROR(VLOOKUP(E1924,Sales_Reps!$A$2:$C$31,3,FALSE()),"")</f>
        <v>South</v>
      </c>
      <c r="N1924">
        <f>IFERROR(VLOOKUP(D1924,Products!$A$2:$F$61,4,FALSE()),"")</f>
        <v>2135</v>
      </c>
      <c r="O1924" t="str">
        <f>IFERROR(VLOOKUP(C1924,Customers!$A$2:$F$301,5,FALSE()),"")</f>
        <v>SMB</v>
      </c>
      <c r="P1924">
        <f>IFERROR(VLOOKUP(C1924,Customers!$A$2:$F$301,3,FALSE()),"")</f>
        <v>25</v>
      </c>
      <c r="Q1924">
        <f t="shared" si="90"/>
        <v>0.42761394101876676</v>
      </c>
      <c r="R1924">
        <f>IF(AND(COUNTIF($A$2:$A$2047,A1924)&gt;1,COUNTIF($A$2:A1924,A1924)=1),1,0)</f>
        <v>0</v>
      </c>
      <c r="S1924" t="b">
        <f>IFERROR(VLOOKUP(D1924,Products!$A$2:$F$61,6,FALSE()),"")</f>
        <v>1</v>
      </c>
      <c r="T1924" t="str">
        <f>IF(COUNTIF(Customers!$A$2:$A$301,C1924)=0,"Missing","OK")</f>
        <v>OK</v>
      </c>
      <c r="U1924" t="str">
        <f t="shared" si="91"/>
        <v>Hyderabad</v>
      </c>
      <c r="V1924">
        <f t="shared" si="92"/>
        <v>0</v>
      </c>
    </row>
    <row r="1925" spans="1:22" ht="15" customHeight="1" x14ac:dyDescent="0.35">
      <c r="A1925" s="3" t="s">
        <v>2362</v>
      </c>
      <c r="B1925" s="4">
        <v>45442</v>
      </c>
      <c r="C1925" s="3" t="s">
        <v>53</v>
      </c>
      <c r="D1925" s="3" t="s">
        <v>400</v>
      </c>
      <c r="E1925" s="3" t="s">
        <v>87</v>
      </c>
      <c r="F1925" s="5">
        <v>10</v>
      </c>
      <c r="G1925" s="5">
        <v>3780</v>
      </c>
      <c r="H1925" s="5">
        <v>2.7</v>
      </c>
      <c r="I1925" s="5">
        <v>36779.4</v>
      </c>
      <c r="J1925" s="3" t="s">
        <v>26</v>
      </c>
      <c r="K1925" s="3" t="s">
        <v>56</v>
      </c>
      <c r="L1925" t="str">
        <f>IFERROR(VLOOKUP(D1925,Products!$A$2:$F$61,3,FALSE()),"")</f>
        <v>Sports</v>
      </c>
      <c r="M1925" t="str">
        <f>IFERROR(VLOOKUP(E1925,Sales_Reps!$A$2:$C$31,3,FALSE()),"")</f>
        <v>North</v>
      </c>
      <c r="N1925">
        <f>IFERROR(VLOOKUP(D1925,Products!$A$2:$F$61,4,FALSE()),"")</f>
        <v>1860</v>
      </c>
      <c r="O1925" t="str">
        <f>IFERROR(VLOOKUP(C1925,Customers!$A$2:$F$301,5,FALSE()),"")</f>
        <v>Retail</v>
      </c>
      <c r="P1925">
        <f>IFERROR(VLOOKUP(C1925,Customers!$A$2:$F$301,3,FALSE()),"")</f>
        <v>27</v>
      </c>
      <c r="Q1925">
        <f t="shared" si="90"/>
        <v>0.50793650793650791</v>
      </c>
      <c r="R1925">
        <f>IF(AND(COUNTIF($A$2:$A$2047,A1925)&gt;1,COUNTIF($A$2:A1925,A1925)=1),1,0)</f>
        <v>0</v>
      </c>
      <c r="S1925" t="b">
        <f>IFERROR(VLOOKUP(D1925,Products!$A$2:$F$61,6,FALSE()),"")</f>
        <v>1</v>
      </c>
      <c r="T1925" t="str">
        <f>IF(COUNTIF(Customers!$A$2:$A$301,C1925)=0,"Missing","OK")</f>
        <v>OK</v>
      </c>
      <c r="U1925" t="str">
        <f t="shared" si="91"/>
        <v>Bengaluru</v>
      </c>
      <c r="V1925">
        <f t="shared" si="92"/>
        <v>0</v>
      </c>
    </row>
    <row r="1926" spans="1:22" ht="15" customHeight="1" x14ac:dyDescent="0.35">
      <c r="A1926" s="3" t="s">
        <v>2363</v>
      </c>
      <c r="B1926" s="4">
        <v>45381</v>
      </c>
      <c r="C1926" s="3" t="s">
        <v>1247</v>
      </c>
      <c r="D1926" s="3" t="s">
        <v>24</v>
      </c>
      <c r="E1926" s="3" t="s">
        <v>93</v>
      </c>
      <c r="F1926" s="5">
        <v>2</v>
      </c>
      <c r="G1926" s="5">
        <v>3620</v>
      </c>
      <c r="H1926" s="5">
        <v>23</v>
      </c>
      <c r="I1926" s="5">
        <v>5574.8</v>
      </c>
      <c r="J1926" s="3" t="s">
        <v>26</v>
      </c>
      <c r="K1926" s="3" t="s">
        <v>33</v>
      </c>
      <c r="L1926" t="str">
        <f>IFERROR(VLOOKUP(D1926,Products!$A$2:$F$61,3,FALSE()),"")</f>
        <v>Apparel</v>
      </c>
      <c r="M1926" t="str">
        <f>IFERROR(VLOOKUP(E1926,Sales_Reps!$A$2:$C$31,3,FALSE()),"")</f>
        <v>East</v>
      </c>
      <c r="N1926">
        <f>IFERROR(VLOOKUP(D1926,Products!$A$2:$F$61,4,FALSE()),"")</f>
        <v>2509</v>
      </c>
      <c r="O1926" t="str">
        <f>IFERROR(VLOOKUP(C1926,Customers!$A$2:$F$301,5,FALSE()),"")</f>
        <v>SMB</v>
      </c>
      <c r="P1926">
        <f>IFERROR(VLOOKUP(C1926,Customers!$A$2:$F$301,3,FALSE()),"")</f>
        <v>51</v>
      </c>
      <c r="Q1926">
        <f t="shared" si="90"/>
        <v>0.3069060773480663</v>
      </c>
      <c r="R1926">
        <f>IF(AND(COUNTIF($A$2:$A$2047,A1926)&gt;1,COUNTIF($A$2:A1926,A1926)=1),1,0)</f>
        <v>0</v>
      </c>
      <c r="S1926" t="b">
        <f>IFERROR(VLOOKUP(D1926,Products!$A$2:$F$61,6,FALSE()),"")</f>
        <v>1</v>
      </c>
      <c r="T1926" t="str">
        <f>IF(COUNTIF(Customers!$A$2:$A$301,C1926)=0,"Missing","OK")</f>
        <v>OK</v>
      </c>
      <c r="U1926" t="str">
        <f t="shared" si="91"/>
        <v>Chennai</v>
      </c>
      <c r="V1926">
        <f t="shared" si="92"/>
        <v>0</v>
      </c>
    </row>
    <row r="1927" spans="1:22" ht="15" customHeight="1" x14ac:dyDescent="0.35">
      <c r="A1927" s="3" t="s">
        <v>2364</v>
      </c>
      <c r="B1927" s="4">
        <v>45536</v>
      </c>
      <c r="C1927" s="3" t="s">
        <v>646</v>
      </c>
      <c r="D1927" s="3" t="s">
        <v>382</v>
      </c>
      <c r="E1927" s="3" t="s">
        <v>97</v>
      </c>
      <c r="F1927" s="5">
        <v>9</v>
      </c>
      <c r="G1927" s="5">
        <v>5080</v>
      </c>
      <c r="H1927" s="5">
        <v>19.899999999999999</v>
      </c>
      <c r="I1927" s="5">
        <v>36621.72</v>
      </c>
      <c r="J1927" s="3" t="s">
        <v>26</v>
      </c>
      <c r="K1927" s="3" t="s">
        <v>51</v>
      </c>
      <c r="L1927" t="str">
        <f>IFERROR(VLOOKUP(D1927,Products!$A$2:$F$61,3,FALSE()),"")</f>
        <v>Home</v>
      </c>
      <c r="M1927" t="str">
        <f>IFERROR(VLOOKUP(E1927,Sales_Reps!$A$2:$C$31,3,FALSE()),"")</f>
        <v>East</v>
      </c>
      <c r="N1927">
        <f>IFERROR(VLOOKUP(D1927,Products!$A$2:$F$61,4,FALSE()),"")</f>
        <v>2459</v>
      </c>
      <c r="O1927" t="str">
        <f>IFERROR(VLOOKUP(C1927,Customers!$A$2:$F$301,5,FALSE()),"")</f>
        <v>Retail</v>
      </c>
      <c r="P1927">
        <f>IFERROR(VLOOKUP(C1927,Customers!$A$2:$F$301,3,FALSE()),"")</f>
        <v>33</v>
      </c>
      <c r="Q1927">
        <f t="shared" si="90"/>
        <v>0.51594488188976373</v>
      </c>
      <c r="R1927">
        <f>IF(AND(COUNTIF($A$2:$A$2047,A1927)&gt;1,COUNTIF($A$2:A1927,A1927)=1),1,0)</f>
        <v>0</v>
      </c>
      <c r="S1927" t="b">
        <f>IFERROR(VLOOKUP(D1927,Products!$A$2:$F$61,6,FALSE()),"")</f>
        <v>1</v>
      </c>
      <c r="T1927" t="str">
        <f>IF(COUNTIF(Customers!$A$2:$A$301,C1927)=0,"Missing","OK")</f>
        <v>OK</v>
      </c>
      <c r="U1927" t="str">
        <f t="shared" si="91"/>
        <v>Mumbai</v>
      </c>
      <c r="V1927">
        <f t="shared" si="92"/>
        <v>0</v>
      </c>
    </row>
    <row r="1928" spans="1:22" ht="15" customHeight="1" x14ac:dyDescent="0.35">
      <c r="A1928" s="3" t="s">
        <v>2365</v>
      </c>
      <c r="B1928" s="4">
        <v>45561</v>
      </c>
      <c r="C1928" s="3" t="s">
        <v>333</v>
      </c>
      <c r="D1928" s="3" t="s">
        <v>598</v>
      </c>
      <c r="E1928" s="3" t="s">
        <v>55</v>
      </c>
      <c r="F1928" s="5">
        <v>2</v>
      </c>
      <c r="G1928" s="5">
        <v>3560</v>
      </c>
      <c r="H1928" s="5">
        <v>5.5</v>
      </c>
      <c r="I1928" s="5">
        <v>6728.4</v>
      </c>
      <c r="J1928" s="3" t="s">
        <v>26</v>
      </c>
      <c r="K1928" s="3" t="s">
        <v>56</v>
      </c>
      <c r="L1928" t="str">
        <f>IFERROR(VLOOKUP(D1928,Products!$A$2:$F$61,3,FALSE()),"")</f>
        <v>Apparel</v>
      </c>
      <c r="M1928" t="str">
        <f>IFERROR(VLOOKUP(E1928,Sales_Reps!$A$2:$C$31,3,FALSE()),"")</f>
        <v>West</v>
      </c>
      <c r="N1928">
        <f>IFERROR(VLOOKUP(D1928,Products!$A$2:$F$61,4,FALSE()),"")</f>
        <v>2629</v>
      </c>
      <c r="O1928" t="str">
        <f>IFERROR(VLOOKUP(C1928,Customers!$A$2:$F$301,5,FALSE()),"")</f>
        <v>SMB</v>
      </c>
      <c r="P1928">
        <f>IFERROR(VLOOKUP(C1928,Customers!$A$2:$F$301,3,FALSE()),"")</f>
        <v>28</v>
      </c>
      <c r="Q1928">
        <f t="shared" si="90"/>
        <v>0.26151685393258428</v>
      </c>
      <c r="R1928">
        <f>IF(AND(COUNTIF($A$2:$A$2047,A1928)&gt;1,COUNTIF($A$2:A1928,A1928)=1),1,0)</f>
        <v>0</v>
      </c>
      <c r="S1928" t="b">
        <f>IFERROR(VLOOKUP(D1928,Products!$A$2:$F$61,6,FALSE()),"")</f>
        <v>1</v>
      </c>
      <c r="T1928" t="str">
        <f>IF(COUNTIF(Customers!$A$2:$A$301,C1928)=0,"Missing","OK")</f>
        <v>OK</v>
      </c>
      <c r="U1928" t="str">
        <f t="shared" si="91"/>
        <v>Bengaluru</v>
      </c>
      <c r="V1928">
        <f t="shared" si="92"/>
        <v>0</v>
      </c>
    </row>
    <row r="1929" spans="1:22" ht="15" customHeight="1" x14ac:dyDescent="0.35">
      <c r="A1929" s="3" t="s">
        <v>2366</v>
      </c>
      <c r="B1929" s="4">
        <v>45349</v>
      </c>
      <c r="C1929" s="3" t="s">
        <v>494</v>
      </c>
      <c r="D1929" s="3" t="s">
        <v>66</v>
      </c>
      <c r="E1929" s="3" t="s">
        <v>154</v>
      </c>
      <c r="F1929" s="5">
        <v>6</v>
      </c>
      <c r="G1929" s="5">
        <v>970</v>
      </c>
      <c r="H1929" s="5">
        <v>22.5</v>
      </c>
      <c r="I1929" s="5">
        <v>4510.5</v>
      </c>
      <c r="J1929" s="3" t="s">
        <v>83</v>
      </c>
      <c r="K1929" s="3" t="s">
        <v>51</v>
      </c>
      <c r="L1929" t="str">
        <f>IFERROR(VLOOKUP(D1929,Products!$A$2:$F$61,3,FALSE()),"")</f>
        <v>Grocery</v>
      </c>
      <c r="M1929" t="str">
        <f>IFERROR(VLOOKUP(E1929,Sales_Reps!$A$2:$C$31,3,FALSE()),"")</f>
        <v>North</v>
      </c>
      <c r="N1929">
        <f>IFERROR(VLOOKUP(D1929,Products!$A$2:$F$61,4,FALSE()),"")</f>
        <v>434</v>
      </c>
      <c r="O1929" t="str">
        <f>IFERROR(VLOOKUP(C1929,Customers!$A$2:$F$301,5,FALSE()),"")</f>
        <v>Retail</v>
      </c>
      <c r="P1929">
        <f>IFERROR(VLOOKUP(C1929,Customers!$A$2:$F$301,3,FALSE()),"")</f>
        <v>37</v>
      </c>
      <c r="Q1929">
        <f t="shared" si="90"/>
        <v>0.5525773195876289</v>
      </c>
      <c r="R1929">
        <f>IF(AND(COUNTIF($A$2:$A$2047,A1929)&gt;1,COUNTIF($A$2:A1929,A1929)=1),1,0)</f>
        <v>0</v>
      </c>
      <c r="S1929" t="b">
        <f>IFERROR(VLOOKUP(D1929,Products!$A$2:$F$61,6,FALSE()),"")</f>
        <v>1</v>
      </c>
      <c r="T1929" t="str">
        <f>IF(COUNTIF(Customers!$A$2:$A$301,C1929)=0,"Missing","OK")</f>
        <v>OK</v>
      </c>
      <c r="U1929" t="str">
        <f t="shared" si="91"/>
        <v>Mumbai</v>
      </c>
      <c r="V1929">
        <f t="shared" si="92"/>
        <v>0</v>
      </c>
    </row>
    <row r="1930" spans="1:22" ht="15" customHeight="1" x14ac:dyDescent="0.35">
      <c r="A1930" s="3" t="s">
        <v>2367</v>
      </c>
      <c r="B1930" s="4">
        <v>45650</v>
      </c>
      <c r="C1930" s="3" t="s">
        <v>895</v>
      </c>
      <c r="D1930" s="3" t="s">
        <v>118</v>
      </c>
      <c r="E1930" s="3" t="s">
        <v>37</v>
      </c>
      <c r="F1930" s="5">
        <v>9</v>
      </c>
      <c r="G1930" s="5">
        <v>3350</v>
      </c>
      <c r="H1930" s="5">
        <v>5.0999999999999996</v>
      </c>
      <c r="I1930" s="5">
        <v>28612.35</v>
      </c>
      <c r="J1930" s="3" t="s">
        <v>26</v>
      </c>
      <c r="K1930" s="3" t="s">
        <v>51</v>
      </c>
      <c r="L1930" t="str">
        <f>IFERROR(VLOOKUP(D1930,Products!$A$2:$F$61,3,FALSE()),"")</f>
        <v>Beauty</v>
      </c>
      <c r="M1930" t="str">
        <f>IFERROR(VLOOKUP(E1930,Sales_Reps!$A$2:$C$31,3,FALSE()),"")</f>
        <v>South</v>
      </c>
      <c r="N1930">
        <f>IFERROR(VLOOKUP(D1930,Products!$A$2:$F$61,4,FALSE()),"")</f>
        <v>1728</v>
      </c>
      <c r="O1930" t="str">
        <f>IFERROR(VLOOKUP(C1930,Customers!$A$2:$F$301,5,FALSE()),"")</f>
        <v>Retail</v>
      </c>
      <c r="P1930">
        <f>IFERROR(VLOOKUP(C1930,Customers!$A$2:$F$301,3,FALSE()),"")</f>
        <v>49</v>
      </c>
      <c r="Q1930">
        <f t="shared" si="90"/>
        <v>0.48417910447761192</v>
      </c>
      <c r="R1930">
        <f>IF(AND(COUNTIF($A$2:$A$2047,A1930)&gt;1,COUNTIF($A$2:A1930,A1930)=1),1,0)</f>
        <v>0</v>
      </c>
      <c r="S1930" t="b">
        <f>IFERROR(VLOOKUP(D1930,Products!$A$2:$F$61,6,FALSE()),"")</f>
        <v>1</v>
      </c>
      <c r="T1930" t="str">
        <f>IF(COUNTIF(Customers!$A$2:$A$301,C1930)=0,"Missing","OK")</f>
        <v>OK</v>
      </c>
      <c r="U1930" t="str">
        <f t="shared" si="91"/>
        <v>Mumbai</v>
      </c>
      <c r="V1930">
        <f t="shared" si="92"/>
        <v>0</v>
      </c>
    </row>
    <row r="1931" spans="1:22" ht="15" customHeight="1" x14ac:dyDescent="0.35">
      <c r="A1931" s="3" t="s">
        <v>2368</v>
      </c>
      <c r="B1931" s="4">
        <v>45525</v>
      </c>
      <c r="C1931" s="3" t="s">
        <v>2369</v>
      </c>
      <c r="D1931" s="3" t="s">
        <v>49</v>
      </c>
      <c r="E1931" s="3" t="s">
        <v>212</v>
      </c>
      <c r="F1931" s="5">
        <v>6</v>
      </c>
      <c r="G1931" s="5">
        <v>370</v>
      </c>
      <c r="H1931" s="5">
        <v>17.8</v>
      </c>
      <c r="I1931" s="5">
        <v>1824.84</v>
      </c>
      <c r="J1931" s="3" t="s">
        <v>26</v>
      </c>
      <c r="K1931" s="3" t="s">
        <v>51</v>
      </c>
      <c r="L1931" t="str">
        <f>IFERROR(VLOOKUP(D1931,Products!$A$2:$F$61,3,FALSE()),"")</f>
        <v>Home</v>
      </c>
      <c r="M1931" t="str">
        <f>IFERROR(VLOOKUP(E1931,Sales_Reps!$A$2:$C$31,3,FALSE()),"")</f>
        <v>South</v>
      </c>
      <c r="N1931">
        <f>IFERROR(VLOOKUP(D1931,Products!$A$2:$F$61,4,FALSE()),"")</f>
        <v>288</v>
      </c>
      <c r="O1931" t="str">
        <f>IFERROR(VLOOKUP(C1931,Customers!$A$2:$F$301,5,FALSE()),"")</f>
        <v/>
      </c>
      <c r="P1931" t="str">
        <f>IFERROR(VLOOKUP(C1931,Customers!$A$2:$F$301,3,FALSE()),"")</f>
        <v/>
      </c>
      <c r="Q1931">
        <f t="shared" si="90"/>
        <v>0.22162162162162163</v>
      </c>
      <c r="R1931">
        <f>IF(AND(COUNTIF($A$2:$A$2047,A1931)&gt;1,COUNTIF($A$2:A1931,A1931)=1),1,0)</f>
        <v>0</v>
      </c>
      <c r="S1931" t="b">
        <f>IFERROR(VLOOKUP(D1931,Products!$A$2:$F$61,6,FALSE()),"")</f>
        <v>1</v>
      </c>
      <c r="T1931" t="str">
        <f>IF(COUNTIF(Customers!$A$2:$A$301,C1931)=0,"Missing","OK")</f>
        <v>Missing</v>
      </c>
      <c r="U1931" t="str">
        <f t="shared" si="91"/>
        <v>Mumbai</v>
      </c>
      <c r="V1931">
        <f t="shared" si="92"/>
        <v>0</v>
      </c>
    </row>
    <row r="1932" spans="1:22" ht="15" customHeight="1" x14ac:dyDescent="0.35">
      <c r="A1932" s="3" t="s">
        <v>2370</v>
      </c>
      <c r="B1932" s="4">
        <v>45365</v>
      </c>
      <c r="C1932" s="3" t="s">
        <v>205</v>
      </c>
      <c r="D1932" s="3" t="s">
        <v>70</v>
      </c>
      <c r="E1932" s="3" t="s">
        <v>212</v>
      </c>
      <c r="F1932" s="5">
        <v>3</v>
      </c>
      <c r="G1932" s="5">
        <v>2270</v>
      </c>
      <c r="H1932" s="5">
        <v>8.4</v>
      </c>
      <c r="I1932" s="5">
        <v>6237.96</v>
      </c>
      <c r="J1932" s="3" t="s">
        <v>32</v>
      </c>
      <c r="K1932" s="3" t="s">
        <v>38</v>
      </c>
      <c r="L1932" t="str">
        <f>IFERROR(VLOOKUP(D1932,Products!$A$2:$F$61,3,FALSE()),"")</f>
        <v>Grocery</v>
      </c>
      <c r="M1932" t="str">
        <f>IFERROR(VLOOKUP(E1932,Sales_Reps!$A$2:$C$31,3,FALSE()),"")</f>
        <v>South</v>
      </c>
      <c r="N1932">
        <f>IFERROR(VLOOKUP(D1932,Products!$A$2:$F$61,4,FALSE()),"")</f>
        <v>1203</v>
      </c>
      <c r="O1932" t="str">
        <f>IFERROR(VLOOKUP(C1932,Customers!$A$2:$F$301,5,FALSE()),"")</f>
        <v>Corporate</v>
      </c>
      <c r="P1932">
        <f>IFERROR(VLOOKUP(C1932,Customers!$A$2:$F$301,3,FALSE()),"")</f>
        <v>55</v>
      </c>
      <c r="Q1932">
        <f t="shared" si="90"/>
        <v>0.47004405286343615</v>
      </c>
      <c r="R1932">
        <f>IF(AND(COUNTIF($A$2:$A$2047,A1932)&gt;1,COUNTIF($A$2:A1932,A1932)=1),1,0)</f>
        <v>0</v>
      </c>
      <c r="S1932" t="b">
        <f>IFERROR(VLOOKUP(D1932,Products!$A$2:$F$61,6,FALSE()),"")</f>
        <v>1</v>
      </c>
      <c r="T1932" t="str">
        <f>IF(COUNTIF(Customers!$A$2:$A$301,C1932)=0,"Missing","OK")</f>
        <v>OK</v>
      </c>
      <c r="U1932" t="str">
        <f t="shared" si="91"/>
        <v>Delhi</v>
      </c>
      <c r="V1932">
        <f t="shared" si="92"/>
        <v>0</v>
      </c>
    </row>
    <row r="1933" spans="1:22" ht="15" customHeight="1" x14ac:dyDescent="0.35">
      <c r="A1933" s="3" t="s">
        <v>2371</v>
      </c>
      <c r="B1933" s="4">
        <v>45464</v>
      </c>
      <c r="C1933" s="3" t="s">
        <v>506</v>
      </c>
      <c r="D1933" s="3" t="s">
        <v>100</v>
      </c>
      <c r="E1933" s="3" t="s">
        <v>97</v>
      </c>
      <c r="F1933" s="5">
        <v>3</v>
      </c>
      <c r="G1933" s="5">
        <v>3450</v>
      </c>
      <c r="H1933" s="5">
        <v>7.2</v>
      </c>
      <c r="I1933" s="5">
        <v>9604.7999999999993</v>
      </c>
      <c r="J1933" s="3" t="s">
        <v>26</v>
      </c>
      <c r="K1933" s="3" t="s">
        <v>56</v>
      </c>
      <c r="L1933" t="str">
        <f>IFERROR(VLOOKUP(D1933,Products!$A$2:$F$61,3,FALSE()),"")</f>
        <v>Sports</v>
      </c>
      <c r="M1933" t="str">
        <f>IFERROR(VLOOKUP(E1933,Sales_Reps!$A$2:$C$31,3,FALSE()),"")</f>
        <v>East</v>
      </c>
      <c r="N1933">
        <f>IFERROR(VLOOKUP(D1933,Products!$A$2:$F$61,4,FALSE()),"")</f>
        <v>2467</v>
      </c>
      <c r="O1933" t="str">
        <f>IFERROR(VLOOKUP(C1933,Customers!$A$2:$F$301,5,FALSE()),"")</f>
        <v>Corporate</v>
      </c>
      <c r="P1933">
        <f>IFERROR(VLOOKUP(C1933,Customers!$A$2:$F$301,3,FALSE()),"")</f>
        <v>41</v>
      </c>
      <c r="Q1933">
        <f t="shared" si="90"/>
        <v>0.28492753623188405</v>
      </c>
      <c r="R1933">
        <f>IF(AND(COUNTIF($A$2:$A$2047,A1933)&gt;1,COUNTIF($A$2:A1933,A1933)=1),1,0)</f>
        <v>0</v>
      </c>
      <c r="S1933" t="b">
        <f>IFERROR(VLOOKUP(D1933,Products!$A$2:$F$61,6,FALSE()),"")</f>
        <v>1</v>
      </c>
      <c r="T1933" t="str">
        <f>IF(COUNTIF(Customers!$A$2:$A$301,C1933)=0,"Missing","OK")</f>
        <v>OK</v>
      </c>
      <c r="U1933" t="str">
        <f t="shared" si="91"/>
        <v>Bengaluru</v>
      </c>
      <c r="V1933">
        <f t="shared" si="92"/>
        <v>0</v>
      </c>
    </row>
    <row r="1934" spans="1:22" ht="15" customHeight="1" x14ac:dyDescent="0.35">
      <c r="A1934" s="3" t="s">
        <v>2372</v>
      </c>
      <c r="B1934" s="4">
        <v>45633</v>
      </c>
      <c r="C1934" s="3" t="s">
        <v>238</v>
      </c>
      <c r="D1934" s="3" t="s">
        <v>121</v>
      </c>
      <c r="E1934" s="3" t="s">
        <v>46</v>
      </c>
      <c r="F1934" s="5">
        <v>9</v>
      </c>
      <c r="G1934" s="5">
        <v>1010</v>
      </c>
      <c r="H1934" s="5">
        <v>17.8</v>
      </c>
      <c r="I1934" s="5">
        <v>7471.98</v>
      </c>
      <c r="J1934" s="3" t="s">
        <v>26</v>
      </c>
      <c r="K1934" s="3" t="s">
        <v>72</v>
      </c>
      <c r="L1934" t="str">
        <f>IFERROR(VLOOKUP(D1934,Products!$A$2:$F$61,3,FALSE()),"")</f>
        <v>Sports</v>
      </c>
      <c r="M1934" t="str">
        <f>IFERROR(VLOOKUP(E1934,Sales_Reps!$A$2:$C$31,3,FALSE()),"")</f>
        <v>North</v>
      </c>
      <c r="N1934">
        <f>IFERROR(VLOOKUP(D1934,Products!$A$2:$F$61,4,FALSE()),"")</f>
        <v>516</v>
      </c>
      <c r="O1934" t="str">
        <f>IFERROR(VLOOKUP(C1934,Customers!$A$2:$F$301,5,FALSE()),"")</f>
        <v>Retail</v>
      </c>
      <c r="P1934">
        <f>IFERROR(VLOOKUP(C1934,Customers!$A$2:$F$301,3,FALSE()),"")</f>
        <v>29</v>
      </c>
      <c r="Q1934">
        <f t="shared" si="90"/>
        <v>0.4891089108910891</v>
      </c>
      <c r="R1934">
        <f>IF(AND(COUNTIF($A$2:$A$2047,A1934)&gt;1,COUNTIF($A$2:A1934,A1934)=1),1,0)</f>
        <v>0</v>
      </c>
      <c r="S1934" t="b">
        <f>IFERROR(VLOOKUP(D1934,Products!$A$2:$F$61,6,FALSE()),"")</f>
        <v>1</v>
      </c>
      <c r="T1934" t="str">
        <f>IF(COUNTIF(Customers!$A$2:$A$301,C1934)=0,"Missing","OK")</f>
        <v>OK</v>
      </c>
      <c r="U1934" t="str">
        <f t="shared" si="91"/>
        <v>Hyderabad</v>
      </c>
      <c r="V1934">
        <f t="shared" si="92"/>
        <v>0</v>
      </c>
    </row>
    <row r="1935" spans="1:22" ht="15" customHeight="1" x14ac:dyDescent="0.35">
      <c r="A1935" s="3" t="s">
        <v>2373</v>
      </c>
      <c r="B1935" s="4">
        <v>45373</v>
      </c>
      <c r="C1935" s="3" t="s">
        <v>975</v>
      </c>
      <c r="D1935" s="3" t="s">
        <v>209</v>
      </c>
      <c r="E1935" s="3" t="s">
        <v>87</v>
      </c>
      <c r="F1935" s="5">
        <v>5</v>
      </c>
      <c r="G1935" s="5">
        <v>4610</v>
      </c>
      <c r="H1935" s="5">
        <v>29.8</v>
      </c>
      <c r="I1935" s="5">
        <v>16181.1</v>
      </c>
      <c r="J1935" s="3" t="s">
        <v>79</v>
      </c>
      <c r="K1935" s="3" t="s">
        <v>51</v>
      </c>
      <c r="L1935" t="str">
        <f>IFERROR(VLOOKUP(D1935,Products!$A$2:$F$61,3,FALSE()),"")</f>
        <v>Home</v>
      </c>
      <c r="M1935" t="str">
        <f>IFERROR(VLOOKUP(E1935,Sales_Reps!$A$2:$C$31,3,FALSE()),"")</f>
        <v>North</v>
      </c>
      <c r="N1935">
        <f>IFERROR(VLOOKUP(D1935,Products!$A$2:$F$61,4,FALSE()),"")</f>
        <v>1850</v>
      </c>
      <c r="O1935" t="str">
        <f>IFERROR(VLOOKUP(C1935,Customers!$A$2:$F$301,5,FALSE()),"")</f>
        <v>Retail</v>
      </c>
      <c r="P1935">
        <f>IFERROR(VLOOKUP(C1935,Customers!$A$2:$F$301,3,FALSE()),"")</f>
        <v>33</v>
      </c>
      <c r="Q1935">
        <f t="shared" si="90"/>
        <v>0.59869848156182215</v>
      </c>
      <c r="R1935">
        <f>IF(AND(COUNTIF($A$2:$A$2047,A1935)&gt;1,COUNTIF($A$2:A1935,A1935)=1),1,0)</f>
        <v>0</v>
      </c>
      <c r="S1935" t="b">
        <f>IFERROR(VLOOKUP(D1935,Products!$A$2:$F$61,6,FALSE()),"")</f>
        <v>1</v>
      </c>
      <c r="T1935" t="str">
        <f>IF(COUNTIF(Customers!$A$2:$A$301,C1935)=0,"Missing","OK")</f>
        <v>OK</v>
      </c>
      <c r="U1935" t="str">
        <f t="shared" si="91"/>
        <v>Mumbai</v>
      </c>
      <c r="V1935">
        <f t="shared" si="92"/>
        <v>0</v>
      </c>
    </row>
    <row r="1936" spans="1:22" ht="15" customHeight="1" x14ac:dyDescent="0.35">
      <c r="A1936" s="3" t="s">
        <v>2374</v>
      </c>
      <c r="B1936" s="4">
        <v>45497</v>
      </c>
      <c r="C1936" s="3" t="s">
        <v>429</v>
      </c>
      <c r="D1936" s="3" t="s">
        <v>49</v>
      </c>
      <c r="E1936" s="3" t="s">
        <v>87</v>
      </c>
      <c r="F1936" s="5">
        <v>6</v>
      </c>
      <c r="G1936" s="5">
        <v>370</v>
      </c>
      <c r="H1936" s="5">
        <v>17.899999999999999</v>
      </c>
      <c r="I1936" s="5">
        <v>1822.62</v>
      </c>
      <c r="J1936" s="3" t="s">
        <v>26</v>
      </c>
      <c r="K1936" s="3" t="s">
        <v>38</v>
      </c>
      <c r="L1936" t="str">
        <f>IFERROR(VLOOKUP(D1936,Products!$A$2:$F$61,3,FALSE()),"")</f>
        <v>Home</v>
      </c>
      <c r="M1936" t="str">
        <f>IFERROR(VLOOKUP(E1936,Sales_Reps!$A$2:$C$31,3,FALSE()),"")</f>
        <v>North</v>
      </c>
      <c r="N1936">
        <f>IFERROR(VLOOKUP(D1936,Products!$A$2:$F$61,4,FALSE()),"")</f>
        <v>288</v>
      </c>
      <c r="O1936" t="str">
        <f>IFERROR(VLOOKUP(C1936,Customers!$A$2:$F$301,5,FALSE()),"")</f>
        <v>Retail</v>
      </c>
      <c r="P1936">
        <f>IFERROR(VLOOKUP(C1936,Customers!$A$2:$F$301,3,FALSE()),"")</f>
        <v>59</v>
      </c>
      <c r="Q1936">
        <f t="shared" si="90"/>
        <v>0.22162162162162163</v>
      </c>
      <c r="R1936">
        <f>IF(AND(COUNTIF($A$2:$A$2047,A1936)&gt;1,COUNTIF($A$2:A1936,A1936)=1),1,0)</f>
        <v>0</v>
      </c>
      <c r="S1936" t="b">
        <f>IFERROR(VLOOKUP(D1936,Products!$A$2:$F$61,6,FALSE()),"")</f>
        <v>1</v>
      </c>
      <c r="T1936" t="str">
        <f>IF(COUNTIF(Customers!$A$2:$A$301,C1936)=0,"Missing","OK")</f>
        <v>OK</v>
      </c>
      <c r="U1936" t="str">
        <f t="shared" si="91"/>
        <v>Delhi</v>
      </c>
      <c r="V1936">
        <f t="shared" si="92"/>
        <v>0</v>
      </c>
    </row>
    <row r="1937" spans="1:22" ht="15" customHeight="1" x14ac:dyDescent="0.35">
      <c r="A1937" s="3" t="s">
        <v>2375</v>
      </c>
      <c r="B1937" s="4">
        <v>45352</v>
      </c>
      <c r="C1937" s="3" t="s">
        <v>344</v>
      </c>
      <c r="D1937" s="3" t="s">
        <v>306</v>
      </c>
      <c r="E1937" s="3" t="s">
        <v>140</v>
      </c>
      <c r="F1937" s="5">
        <v>6</v>
      </c>
      <c r="G1937" s="5">
        <v>2380</v>
      </c>
      <c r="H1937" s="5">
        <v>13.6</v>
      </c>
      <c r="I1937" s="5">
        <v>12337.92</v>
      </c>
      <c r="J1937" s="3" t="s">
        <v>79</v>
      </c>
      <c r="K1937" s="3" t="s">
        <v>33</v>
      </c>
      <c r="L1937" t="str">
        <f>IFERROR(VLOOKUP(D1937,Products!$A$2:$F$61,3,FALSE()),"")</f>
        <v>Grocery</v>
      </c>
      <c r="M1937" t="str">
        <f>IFERROR(VLOOKUP(E1937,Sales_Reps!$A$2:$C$31,3,FALSE()),"")</f>
        <v>West</v>
      </c>
      <c r="N1937">
        <f>IFERROR(VLOOKUP(D1937,Products!$A$2:$F$61,4,FALSE()),"")</f>
        <v>1182</v>
      </c>
      <c r="O1937" t="str">
        <f>IFERROR(VLOOKUP(C1937,Customers!$A$2:$F$301,5,FALSE()),"")</f>
        <v>Corporate</v>
      </c>
      <c r="P1937">
        <f>IFERROR(VLOOKUP(C1937,Customers!$A$2:$F$301,3,FALSE()),"")</f>
        <v>24</v>
      </c>
      <c r="Q1937">
        <f t="shared" si="90"/>
        <v>0.50336134453781511</v>
      </c>
      <c r="R1937">
        <f>IF(AND(COUNTIF($A$2:$A$2047,A1937)&gt;1,COUNTIF($A$2:A1937,A1937)=1),1,0)</f>
        <v>0</v>
      </c>
      <c r="S1937" t="b">
        <f>IFERROR(VLOOKUP(D1937,Products!$A$2:$F$61,6,FALSE()),"")</f>
        <v>1</v>
      </c>
      <c r="T1937" t="str">
        <f>IF(COUNTIF(Customers!$A$2:$A$301,C1937)=0,"Missing","OK")</f>
        <v>OK</v>
      </c>
      <c r="U1937" t="str">
        <f t="shared" si="91"/>
        <v>Chennai</v>
      </c>
      <c r="V1937">
        <f t="shared" si="92"/>
        <v>0</v>
      </c>
    </row>
    <row r="1938" spans="1:22" ht="15" customHeight="1" x14ac:dyDescent="0.35">
      <c r="A1938" s="3" t="s">
        <v>2376</v>
      </c>
      <c r="B1938" s="4">
        <v>45379</v>
      </c>
      <c r="C1938" s="3" t="s">
        <v>114</v>
      </c>
      <c r="D1938" s="3" t="s">
        <v>319</v>
      </c>
      <c r="E1938" s="3" t="s">
        <v>93</v>
      </c>
      <c r="F1938" s="5">
        <v>6</v>
      </c>
      <c r="G1938" s="5">
        <v>960</v>
      </c>
      <c r="H1938" s="5">
        <v>15</v>
      </c>
      <c r="I1938" s="5">
        <v>4896</v>
      </c>
      <c r="J1938" s="3" t="s">
        <v>32</v>
      </c>
      <c r="K1938" s="3" t="s">
        <v>72</v>
      </c>
      <c r="L1938" t="str">
        <f>IFERROR(VLOOKUP(D1938,Products!$A$2:$F$61,3,FALSE()),"")</f>
        <v>Beauty</v>
      </c>
      <c r="M1938" t="str">
        <f>IFERROR(VLOOKUP(E1938,Sales_Reps!$A$2:$C$31,3,FALSE()),"")</f>
        <v>East</v>
      </c>
      <c r="N1938">
        <f>IFERROR(VLOOKUP(D1938,Products!$A$2:$F$61,4,FALSE()),"")</f>
        <v>675</v>
      </c>
      <c r="O1938" t="str">
        <f>IFERROR(VLOOKUP(C1938,Customers!$A$2:$F$301,5,FALSE()),"")</f>
        <v>SMB</v>
      </c>
      <c r="P1938">
        <f>IFERROR(VLOOKUP(C1938,Customers!$A$2:$F$301,3,FALSE()),"")</f>
        <v>40</v>
      </c>
      <c r="Q1938">
        <f t="shared" si="90"/>
        <v>0.296875</v>
      </c>
      <c r="R1938">
        <f>IF(AND(COUNTIF($A$2:$A$2047,A1938)&gt;1,COUNTIF($A$2:A1938,A1938)=1),1,0)</f>
        <v>0</v>
      </c>
      <c r="S1938" t="b">
        <f>IFERROR(VLOOKUP(D1938,Products!$A$2:$F$61,6,FALSE()),"")</f>
        <v>1</v>
      </c>
      <c r="T1938" t="str">
        <f>IF(COUNTIF(Customers!$A$2:$A$301,C1938)=0,"Missing","OK")</f>
        <v>OK</v>
      </c>
      <c r="U1938" t="str">
        <f t="shared" si="91"/>
        <v>Hyderabad</v>
      </c>
      <c r="V1938">
        <f t="shared" si="92"/>
        <v>0</v>
      </c>
    </row>
    <row r="1939" spans="1:22" ht="15" customHeight="1" x14ac:dyDescent="0.35">
      <c r="A1939" s="3" t="s">
        <v>2377</v>
      </c>
      <c r="B1939" s="4">
        <v>45422</v>
      </c>
      <c r="C1939" s="3" t="s">
        <v>659</v>
      </c>
      <c r="D1939" s="3" t="s">
        <v>54</v>
      </c>
      <c r="E1939" s="3" t="s">
        <v>236</v>
      </c>
      <c r="F1939" s="5">
        <v>3</v>
      </c>
      <c r="G1939" s="5">
        <v>960</v>
      </c>
      <c r="H1939" s="5">
        <v>12.3</v>
      </c>
      <c r="I1939" s="5">
        <v>2525.7600000000002</v>
      </c>
      <c r="J1939" s="3" t="s">
        <v>26</v>
      </c>
      <c r="K1939" s="3" t="s">
        <v>27</v>
      </c>
      <c r="L1939" t="str">
        <f>IFERROR(VLOOKUP(D1939,Products!$A$2:$F$61,3,FALSE()),"")</f>
        <v>Sports</v>
      </c>
      <c r="M1939" t="str">
        <f>IFERROR(VLOOKUP(E1939,Sales_Reps!$A$2:$C$31,3,FALSE()),"")</f>
        <v>North</v>
      </c>
      <c r="N1939">
        <f>IFERROR(VLOOKUP(D1939,Products!$A$2:$F$61,4,FALSE()),"")</f>
        <v>705</v>
      </c>
      <c r="O1939" t="str">
        <f>IFERROR(VLOOKUP(C1939,Customers!$A$2:$F$301,5,FALSE()),"")</f>
        <v>Retail</v>
      </c>
      <c r="P1939">
        <f>IFERROR(VLOOKUP(C1939,Customers!$A$2:$F$301,3,FALSE()),"")</f>
        <v>48</v>
      </c>
      <c r="Q1939">
        <f t="shared" si="90"/>
        <v>0.265625</v>
      </c>
      <c r="R1939">
        <f>IF(AND(COUNTIF($A$2:$A$2047,A1939)&gt;1,COUNTIF($A$2:A1939,A1939)=1),1,0)</f>
        <v>0</v>
      </c>
      <c r="S1939" t="b">
        <f>IFERROR(VLOOKUP(D1939,Products!$A$2:$F$61,6,FALSE()),"")</f>
        <v>1</v>
      </c>
      <c r="T1939" t="str">
        <f>IF(COUNTIF(Customers!$A$2:$A$301,C1939)=0,"Missing","OK")</f>
        <v>OK</v>
      </c>
      <c r="U1939" t="str">
        <f t="shared" si="91"/>
        <v>Pune</v>
      </c>
      <c r="V1939">
        <f t="shared" si="92"/>
        <v>0</v>
      </c>
    </row>
    <row r="1940" spans="1:22" ht="15" customHeight="1" x14ac:dyDescent="0.35">
      <c r="A1940" s="3" t="s">
        <v>2378</v>
      </c>
      <c r="B1940" s="4">
        <v>45413</v>
      </c>
      <c r="C1940" s="3" t="s">
        <v>496</v>
      </c>
      <c r="D1940" s="3" t="s">
        <v>231</v>
      </c>
      <c r="E1940" s="3" t="s">
        <v>168</v>
      </c>
      <c r="F1940" s="5">
        <v>7</v>
      </c>
      <c r="G1940" s="5">
        <v>620</v>
      </c>
      <c r="H1940" s="5">
        <v>5.8</v>
      </c>
      <c r="I1940" s="5">
        <v>4088.28</v>
      </c>
      <c r="J1940" s="3" t="s">
        <v>26</v>
      </c>
      <c r="K1940" s="3" t="s">
        <v>51</v>
      </c>
      <c r="L1940" t="str">
        <f>IFERROR(VLOOKUP(D1940,Products!$A$2:$F$61,3,FALSE()),"")</f>
        <v>Apparel</v>
      </c>
      <c r="M1940" t="str">
        <f>IFERROR(VLOOKUP(E1940,Sales_Reps!$A$2:$C$31,3,FALSE()),"")</f>
        <v>West</v>
      </c>
      <c r="N1940">
        <f>IFERROR(VLOOKUP(D1940,Products!$A$2:$F$61,4,FALSE()),"")</f>
        <v>396</v>
      </c>
      <c r="O1940" t="str">
        <f>IFERROR(VLOOKUP(C1940,Customers!$A$2:$F$301,5,FALSE()),"")</f>
        <v>Retail</v>
      </c>
      <c r="P1940">
        <f>IFERROR(VLOOKUP(C1940,Customers!$A$2:$F$301,3,FALSE()),"")</f>
        <v>65</v>
      </c>
      <c r="Q1940">
        <f t="shared" si="90"/>
        <v>0.36129032258064514</v>
      </c>
      <c r="R1940">
        <f>IF(AND(COUNTIF($A$2:$A$2047,A1940)&gt;1,COUNTIF($A$2:A1940,A1940)=1),1,0)</f>
        <v>0</v>
      </c>
      <c r="S1940" t="b">
        <f>IFERROR(VLOOKUP(D1940,Products!$A$2:$F$61,6,FALSE()),"")</f>
        <v>1</v>
      </c>
      <c r="T1940" t="str">
        <f>IF(COUNTIF(Customers!$A$2:$A$301,C1940)=0,"Missing","OK")</f>
        <v>OK</v>
      </c>
      <c r="U1940" t="str">
        <f t="shared" si="91"/>
        <v>Mumbai</v>
      </c>
      <c r="V1940">
        <f t="shared" si="92"/>
        <v>0</v>
      </c>
    </row>
    <row r="1941" spans="1:22" ht="15" customHeight="1" x14ac:dyDescent="0.35">
      <c r="A1941" s="3" t="s">
        <v>2379</v>
      </c>
      <c r="B1941" s="4">
        <v>45467</v>
      </c>
      <c r="C1941" s="3" t="s">
        <v>674</v>
      </c>
      <c r="D1941" s="3" t="s">
        <v>54</v>
      </c>
      <c r="E1941" s="3" t="s">
        <v>131</v>
      </c>
      <c r="F1941" s="5">
        <v>1</v>
      </c>
      <c r="G1941" s="5">
        <v>960</v>
      </c>
      <c r="H1941" s="5">
        <v>4.5999999999999996</v>
      </c>
      <c r="I1941" s="5">
        <v>915.84</v>
      </c>
      <c r="J1941" s="3" t="s">
        <v>26</v>
      </c>
      <c r="K1941" s="3" t="s">
        <v>27</v>
      </c>
      <c r="L1941" t="str">
        <f>IFERROR(VLOOKUP(D1941,Products!$A$2:$F$61,3,FALSE()),"")</f>
        <v>Sports</v>
      </c>
      <c r="M1941" t="str">
        <f>IFERROR(VLOOKUP(E1941,Sales_Reps!$A$2:$C$31,3,FALSE()),"")</f>
        <v>East</v>
      </c>
      <c r="N1941">
        <f>IFERROR(VLOOKUP(D1941,Products!$A$2:$F$61,4,FALSE()),"")</f>
        <v>705</v>
      </c>
      <c r="O1941" t="str">
        <f>IFERROR(VLOOKUP(C1941,Customers!$A$2:$F$301,5,FALSE()),"")</f>
        <v>Retail</v>
      </c>
      <c r="P1941">
        <f>IFERROR(VLOOKUP(C1941,Customers!$A$2:$F$301,3,FALSE()),"")</f>
        <v>54</v>
      </c>
      <c r="Q1941">
        <f t="shared" si="90"/>
        <v>0.265625</v>
      </c>
      <c r="R1941">
        <f>IF(AND(COUNTIF($A$2:$A$2047,A1941)&gt;1,COUNTIF($A$2:A1941,A1941)=1),1,0)</f>
        <v>0</v>
      </c>
      <c r="S1941" t="b">
        <f>IFERROR(VLOOKUP(D1941,Products!$A$2:$F$61,6,FALSE()),"")</f>
        <v>1</v>
      </c>
      <c r="T1941" t="str">
        <f>IF(COUNTIF(Customers!$A$2:$A$301,C1941)=0,"Missing","OK")</f>
        <v>OK</v>
      </c>
      <c r="U1941" t="str">
        <f t="shared" si="91"/>
        <v>Pune</v>
      </c>
      <c r="V1941">
        <f t="shared" si="92"/>
        <v>0</v>
      </c>
    </row>
    <row r="1942" spans="1:22" ht="15" customHeight="1" x14ac:dyDescent="0.35">
      <c r="A1942" s="3" t="s">
        <v>2380</v>
      </c>
      <c r="B1942" s="4">
        <v>45520</v>
      </c>
      <c r="C1942" s="3" t="s">
        <v>432</v>
      </c>
      <c r="D1942" s="3" t="s">
        <v>96</v>
      </c>
      <c r="E1942" s="3" t="s">
        <v>67</v>
      </c>
      <c r="F1942" s="5">
        <v>4</v>
      </c>
      <c r="G1942" s="5">
        <v>3450</v>
      </c>
      <c r="H1942" s="5">
        <v>13.3</v>
      </c>
      <c r="I1942" s="5">
        <v>11964.6</v>
      </c>
      <c r="J1942" s="3" t="s">
        <v>26</v>
      </c>
      <c r="K1942" s="3" t="s">
        <v>27</v>
      </c>
      <c r="L1942" t="str">
        <f>IFERROR(VLOOKUP(D1942,Products!$A$2:$F$61,3,FALSE()),"")</f>
        <v>Beauty</v>
      </c>
      <c r="M1942" t="str">
        <f>IFERROR(VLOOKUP(E1942,Sales_Reps!$A$2:$C$31,3,FALSE()),"")</f>
        <v>West</v>
      </c>
      <c r="N1942">
        <f>IFERROR(VLOOKUP(D1942,Products!$A$2:$F$61,4,FALSE()),"")</f>
        <v>2420</v>
      </c>
      <c r="O1942" t="str">
        <f>IFERROR(VLOOKUP(C1942,Customers!$A$2:$F$301,5,FALSE()),"")</f>
        <v>Retail</v>
      </c>
      <c r="P1942">
        <f>IFERROR(VLOOKUP(C1942,Customers!$A$2:$F$301,3,FALSE()),"")</f>
        <v>57</v>
      </c>
      <c r="Q1942">
        <f t="shared" si="90"/>
        <v>0.29855072463768118</v>
      </c>
      <c r="R1942">
        <f>IF(AND(COUNTIF($A$2:$A$2047,A1942)&gt;1,COUNTIF($A$2:A1942,A1942)=1),1,0)</f>
        <v>0</v>
      </c>
      <c r="S1942" t="b">
        <f>IFERROR(VLOOKUP(D1942,Products!$A$2:$F$61,6,FALSE()),"")</f>
        <v>1</v>
      </c>
      <c r="T1942" t="str">
        <f>IF(COUNTIF(Customers!$A$2:$A$301,C1942)=0,"Missing","OK")</f>
        <v>OK</v>
      </c>
      <c r="U1942" t="str">
        <f t="shared" si="91"/>
        <v>Pune</v>
      </c>
      <c r="V1942">
        <f t="shared" si="92"/>
        <v>0</v>
      </c>
    </row>
    <row r="1943" spans="1:22" ht="15" customHeight="1" x14ac:dyDescent="0.35">
      <c r="A1943" s="3" t="s">
        <v>2381</v>
      </c>
      <c r="B1943" s="4">
        <v>45626</v>
      </c>
      <c r="C1943" s="3" t="s">
        <v>500</v>
      </c>
      <c r="D1943" s="3" t="s">
        <v>112</v>
      </c>
      <c r="E1943" s="3" t="s">
        <v>60</v>
      </c>
      <c r="F1943" s="5">
        <v>10</v>
      </c>
      <c r="G1943" s="5">
        <v>2720</v>
      </c>
      <c r="H1943" s="5">
        <v>3.4</v>
      </c>
      <c r="I1943" s="5">
        <v>26275.200000000001</v>
      </c>
      <c r="J1943" s="3" t="s">
        <v>26</v>
      </c>
      <c r="K1943" s="3" t="s">
        <v>72</v>
      </c>
      <c r="L1943" t="str">
        <f>IFERROR(VLOOKUP(D1943,Products!$A$2:$F$61,3,FALSE()),"")</f>
        <v>Apparel</v>
      </c>
      <c r="M1943" t="str">
        <f>IFERROR(VLOOKUP(E1943,Sales_Reps!$A$2:$C$31,3,FALSE()),"")</f>
        <v>East</v>
      </c>
      <c r="N1943">
        <f>IFERROR(VLOOKUP(D1943,Products!$A$2:$F$61,4,FALSE()),"")</f>
        <v>1962</v>
      </c>
      <c r="O1943" t="str">
        <f>IFERROR(VLOOKUP(C1943,Customers!$A$2:$F$301,5,FALSE()),"")</f>
        <v>SMB</v>
      </c>
      <c r="P1943">
        <f>IFERROR(VLOOKUP(C1943,Customers!$A$2:$F$301,3,FALSE()),"")</f>
        <v>43</v>
      </c>
      <c r="Q1943">
        <f t="shared" si="90"/>
        <v>0.2786764705882353</v>
      </c>
      <c r="R1943">
        <f>IF(AND(COUNTIF($A$2:$A$2047,A1943)&gt;1,COUNTIF($A$2:A1943,A1943)=1),1,0)</f>
        <v>0</v>
      </c>
      <c r="S1943" t="b">
        <f>IFERROR(VLOOKUP(D1943,Products!$A$2:$F$61,6,FALSE()),"")</f>
        <v>1</v>
      </c>
      <c r="T1943" t="str">
        <f>IF(COUNTIF(Customers!$A$2:$A$301,C1943)=0,"Missing","OK")</f>
        <v>OK</v>
      </c>
      <c r="U1943" t="str">
        <f t="shared" si="91"/>
        <v>Hyderabad</v>
      </c>
      <c r="V1943">
        <f t="shared" si="92"/>
        <v>0</v>
      </c>
    </row>
    <row r="1944" spans="1:22" ht="15" customHeight="1" x14ac:dyDescent="0.35">
      <c r="A1944" s="3" t="s">
        <v>2382</v>
      </c>
      <c r="B1944" s="4">
        <v>45452</v>
      </c>
      <c r="C1944" s="3" t="s">
        <v>556</v>
      </c>
      <c r="D1944" s="3" t="s">
        <v>96</v>
      </c>
      <c r="E1944" s="3" t="s">
        <v>60</v>
      </c>
      <c r="F1944" s="5">
        <v>1</v>
      </c>
      <c r="G1944" s="5">
        <v>3450</v>
      </c>
      <c r="H1944" s="5">
        <v>29.4</v>
      </c>
      <c r="I1944" s="5">
        <v>2435.6999999999998</v>
      </c>
      <c r="J1944" s="3" t="s">
        <v>26</v>
      </c>
      <c r="K1944" s="3" t="s">
        <v>51</v>
      </c>
      <c r="L1944" t="str">
        <f>IFERROR(VLOOKUP(D1944,Products!$A$2:$F$61,3,FALSE()),"")</f>
        <v>Beauty</v>
      </c>
      <c r="M1944" t="str">
        <f>IFERROR(VLOOKUP(E1944,Sales_Reps!$A$2:$C$31,3,FALSE()),"")</f>
        <v>East</v>
      </c>
      <c r="N1944">
        <f>IFERROR(VLOOKUP(D1944,Products!$A$2:$F$61,4,FALSE()),"")</f>
        <v>2420</v>
      </c>
      <c r="O1944" t="str">
        <f>IFERROR(VLOOKUP(C1944,Customers!$A$2:$F$301,5,FALSE()),"")</f>
        <v>SMB</v>
      </c>
      <c r="P1944">
        <f>IFERROR(VLOOKUP(C1944,Customers!$A$2:$F$301,3,FALSE()),"")</f>
        <v>65</v>
      </c>
      <c r="Q1944">
        <f t="shared" si="90"/>
        <v>0.29855072463768118</v>
      </c>
      <c r="R1944">
        <f>IF(AND(COUNTIF($A$2:$A$2047,A1944)&gt;1,COUNTIF($A$2:A1944,A1944)=1),1,0)</f>
        <v>0</v>
      </c>
      <c r="S1944" t="b">
        <f>IFERROR(VLOOKUP(D1944,Products!$A$2:$F$61,6,FALSE()),"")</f>
        <v>1</v>
      </c>
      <c r="T1944" t="str">
        <f>IF(COUNTIF(Customers!$A$2:$A$301,C1944)=0,"Missing","OK")</f>
        <v>OK</v>
      </c>
      <c r="U1944" t="str">
        <f t="shared" si="91"/>
        <v>Mumbai</v>
      </c>
      <c r="V1944">
        <f t="shared" si="92"/>
        <v>0</v>
      </c>
    </row>
    <row r="1945" spans="1:22" ht="15" customHeight="1" x14ac:dyDescent="0.35">
      <c r="A1945" s="3" t="s">
        <v>2383</v>
      </c>
      <c r="B1945" s="4">
        <v>45529</v>
      </c>
      <c r="C1945" s="3" t="s">
        <v>496</v>
      </c>
      <c r="D1945" s="3" t="s">
        <v>115</v>
      </c>
      <c r="E1945" s="3" t="s">
        <v>55</v>
      </c>
      <c r="F1945" s="5">
        <v>5</v>
      </c>
      <c r="G1945" s="5">
        <v>1650</v>
      </c>
      <c r="H1945" s="5">
        <v>29.4</v>
      </c>
      <c r="I1945" s="5">
        <v>5824.5</v>
      </c>
      <c r="J1945" s="3" t="s">
        <v>26</v>
      </c>
      <c r="K1945" s="3" t="s">
        <v>51</v>
      </c>
      <c r="L1945" t="str">
        <f>IFERROR(VLOOKUP(D1945,Products!$A$2:$F$61,3,FALSE()),"")</f>
        <v>Beauty</v>
      </c>
      <c r="M1945" t="str">
        <f>IFERROR(VLOOKUP(E1945,Sales_Reps!$A$2:$C$31,3,FALSE()),"")</f>
        <v>West</v>
      </c>
      <c r="N1945">
        <f>IFERROR(VLOOKUP(D1945,Products!$A$2:$F$61,4,FALSE()),"")</f>
        <v>1222</v>
      </c>
      <c r="O1945" t="str">
        <f>IFERROR(VLOOKUP(C1945,Customers!$A$2:$F$301,5,FALSE()),"")</f>
        <v>Retail</v>
      </c>
      <c r="P1945">
        <f>IFERROR(VLOOKUP(C1945,Customers!$A$2:$F$301,3,FALSE()),"")</f>
        <v>65</v>
      </c>
      <c r="Q1945">
        <f t="shared" si="90"/>
        <v>0.2593939393939394</v>
      </c>
      <c r="R1945">
        <f>IF(AND(COUNTIF($A$2:$A$2047,A1945)&gt;1,COUNTIF($A$2:A1945,A1945)=1),1,0)</f>
        <v>0</v>
      </c>
      <c r="S1945" t="b">
        <f>IFERROR(VLOOKUP(D1945,Products!$A$2:$F$61,6,FALSE()),"")</f>
        <v>1</v>
      </c>
      <c r="T1945" t="str">
        <f>IF(COUNTIF(Customers!$A$2:$A$301,C1945)=0,"Missing","OK")</f>
        <v>OK</v>
      </c>
      <c r="U1945" t="str">
        <f t="shared" si="91"/>
        <v>Mumbai</v>
      </c>
      <c r="V1945">
        <f t="shared" si="92"/>
        <v>0</v>
      </c>
    </row>
    <row r="1946" spans="1:22" ht="15" customHeight="1" x14ac:dyDescent="0.35">
      <c r="A1946" s="3" t="s">
        <v>2384</v>
      </c>
      <c r="B1946" s="4">
        <v>45639</v>
      </c>
      <c r="C1946" s="3" t="s">
        <v>720</v>
      </c>
      <c r="D1946" s="3" t="s">
        <v>24</v>
      </c>
      <c r="E1946" s="3" t="s">
        <v>143</v>
      </c>
      <c r="F1946" s="5">
        <v>2</v>
      </c>
      <c r="G1946" s="5">
        <v>3620</v>
      </c>
      <c r="H1946" s="5">
        <v>15.6</v>
      </c>
      <c r="I1946" s="5">
        <v>6110.56</v>
      </c>
      <c r="J1946" s="3" t="s">
        <v>26</v>
      </c>
      <c r="K1946" s="3" t="s">
        <v>38</v>
      </c>
      <c r="L1946" t="str">
        <f>IFERROR(VLOOKUP(D1946,Products!$A$2:$F$61,3,FALSE()),"")</f>
        <v>Apparel</v>
      </c>
      <c r="M1946" t="str">
        <f>IFERROR(VLOOKUP(E1946,Sales_Reps!$A$2:$C$31,3,FALSE()),"")</f>
        <v>South</v>
      </c>
      <c r="N1946">
        <f>IFERROR(VLOOKUP(D1946,Products!$A$2:$F$61,4,FALSE()),"")</f>
        <v>2509</v>
      </c>
      <c r="O1946" t="str">
        <f>IFERROR(VLOOKUP(C1946,Customers!$A$2:$F$301,5,FALSE()),"")</f>
        <v>SMB</v>
      </c>
      <c r="P1946">
        <f>IFERROR(VLOOKUP(C1946,Customers!$A$2:$F$301,3,FALSE()),"")</f>
        <v>29</v>
      </c>
      <c r="Q1946">
        <f t="shared" si="90"/>
        <v>0.3069060773480663</v>
      </c>
      <c r="R1946">
        <f>IF(AND(COUNTIF($A$2:$A$2047,A1946)&gt;1,COUNTIF($A$2:A1946,A1946)=1),1,0)</f>
        <v>0</v>
      </c>
      <c r="S1946" t="b">
        <f>IFERROR(VLOOKUP(D1946,Products!$A$2:$F$61,6,FALSE()),"")</f>
        <v>1</v>
      </c>
      <c r="T1946" t="str">
        <f>IF(COUNTIF(Customers!$A$2:$A$301,C1946)=0,"Missing","OK")</f>
        <v>OK</v>
      </c>
      <c r="U1946" t="str">
        <f t="shared" si="91"/>
        <v>Delhi</v>
      </c>
      <c r="V1946">
        <f t="shared" si="92"/>
        <v>0</v>
      </c>
    </row>
    <row r="1947" spans="1:22" ht="15" customHeight="1" x14ac:dyDescent="0.35">
      <c r="A1947" s="3" t="s">
        <v>2385</v>
      </c>
      <c r="B1947" s="4">
        <v>45592</v>
      </c>
      <c r="C1947" s="3" t="s">
        <v>35</v>
      </c>
      <c r="D1947" s="3" t="s">
        <v>221</v>
      </c>
      <c r="E1947" s="3" t="s">
        <v>264</v>
      </c>
      <c r="F1947" s="5">
        <v>3</v>
      </c>
      <c r="G1947" s="5">
        <v>300</v>
      </c>
      <c r="H1947" s="5">
        <v>24.8</v>
      </c>
      <c r="I1947" s="5">
        <v>676.8</v>
      </c>
      <c r="J1947" s="3" t="s">
        <v>26</v>
      </c>
      <c r="K1947" s="3" t="s">
        <v>38</v>
      </c>
      <c r="L1947" t="str">
        <f>IFERROR(VLOOKUP(D1947,Products!$A$2:$F$61,3,FALSE()),"")</f>
        <v>Electronics</v>
      </c>
      <c r="M1947" t="str">
        <f>IFERROR(VLOOKUP(E1947,Sales_Reps!$A$2:$C$31,3,FALSE()),"")</f>
        <v>South</v>
      </c>
      <c r="N1947">
        <f>IFERROR(VLOOKUP(D1947,Products!$A$2:$F$61,4,FALSE()),"")</f>
        <v>128</v>
      </c>
      <c r="O1947" t="str">
        <f>IFERROR(VLOOKUP(C1947,Customers!$A$2:$F$301,5,FALSE()),"")</f>
        <v>Retail</v>
      </c>
      <c r="P1947">
        <f>IFERROR(VLOOKUP(C1947,Customers!$A$2:$F$301,3,FALSE()),"")</f>
        <v>52</v>
      </c>
      <c r="Q1947">
        <f t="shared" si="90"/>
        <v>0.57333333333333336</v>
      </c>
      <c r="R1947">
        <f>IF(AND(COUNTIF($A$2:$A$2047,A1947)&gt;1,COUNTIF($A$2:A1947,A1947)=1),1,0)</f>
        <v>0</v>
      </c>
      <c r="S1947" t="b">
        <f>IFERROR(VLOOKUP(D1947,Products!$A$2:$F$61,6,FALSE()),"")</f>
        <v>1</v>
      </c>
      <c r="T1947" t="str">
        <f>IF(COUNTIF(Customers!$A$2:$A$301,C1947)=0,"Missing","OK")</f>
        <v>OK</v>
      </c>
      <c r="U1947" t="str">
        <f t="shared" si="91"/>
        <v>Delhi</v>
      </c>
      <c r="V1947">
        <f t="shared" si="92"/>
        <v>0</v>
      </c>
    </row>
    <row r="1948" spans="1:22" ht="15" customHeight="1" x14ac:dyDescent="0.35">
      <c r="A1948" s="3" t="s">
        <v>2386</v>
      </c>
      <c r="B1948" s="4">
        <v>45338</v>
      </c>
      <c r="C1948" s="3" t="s">
        <v>211</v>
      </c>
      <c r="D1948" s="3" t="s">
        <v>198</v>
      </c>
      <c r="E1948" s="3" t="s">
        <v>154</v>
      </c>
      <c r="F1948" s="5">
        <v>3</v>
      </c>
      <c r="G1948" s="5">
        <v>1540</v>
      </c>
      <c r="H1948" s="5">
        <v>29.5</v>
      </c>
      <c r="I1948" s="5">
        <v>3257.1</v>
      </c>
      <c r="J1948" s="3" t="s">
        <v>26</v>
      </c>
      <c r="K1948" s="3" t="s">
        <v>33</v>
      </c>
      <c r="L1948" t="str">
        <f>IFERROR(VLOOKUP(D1948,Products!$A$2:$F$61,3,FALSE()),"")</f>
        <v>Beauty</v>
      </c>
      <c r="M1948" t="str">
        <f>IFERROR(VLOOKUP(E1948,Sales_Reps!$A$2:$C$31,3,FALSE()),"")</f>
        <v>North</v>
      </c>
      <c r="N1948">
        <f>IFERROR(VLOOKUP(D1948,Products!$A$2:$F$61,4,FALSE()),"")</f>
        <v>647</v>
      </c>
      <c r="O1948" t="str">
        <f>IFERROR(VLOOKUP(C1948,Customers!$A$2:$F$301,5,FALSE()),"")</f>
        <v>SMB</v>
      </c>
      <c r="P1948">
        <f>IFERROR(VLOOKUP(C1948,Customers!$A$2:$F$301,3,FALSE()),"")</f>
        <v>55</v>
      </c>
      <c r="Q1948">
        <f t="shared" si="90"/>
        <v>0.57987012987012987</v>
      </c>
      <c r="R1948">
        <f>IF(AND(COUNTIF($A$2:$A$2047,A1948)&gt;1,COUNTIF($A$2:A1948,A1948)=1),1,0)</f>
        <v>0</v>
      </c>
      <c r="S1948" t="b">
        <f>IFERROR(VLOOKUP(D1948,Products!$A$2:$F$61,6,FALSE()),"")</f>
        <v>0</v>
      </c>
      <c r="T1948" t="str">
        <f>IF(COUNTIF(Customers!$A$2:$A$301,C1948)=0,"Missing","OK")</f>
        <v>OK</v>
      </c>
      <c r="U1948" t="str">
        <f t="shared" si="91"/>
        <v>Chennai</v>
      </c>
      <c r="V1948">
        <f t="shared" si="92"/>
        <v>0</v>
      </c>
    </row>
    <row r="1949" spans="1:22" ht="15" customHeight="1" x14ac:dyDescent="0.35">
      <c r="A1949" s="3" t="s">
        <v>2387</v>
      </c>
      <c r="B1949" s="4">
        <v>45551</v>
      </c>
      <c r="C1949" s="3" t="s">
        <v>718</v>
      </c>
      <c r="D1949" s="3" t="s">
        <v>70</v>
      </c>
      <c r="E1949" s="3" t="s">
        <v>60</v>
      </c>
      <c r="F1949" s="5">
        <v>10</v>
      </c>
      <c r="G1949" s="5">
        <v>2270</v>
      </c>
      <c r="H1949" s="5">
        <v>5.5</v>
      </c>
      <c r="I1949" s="5">
        <v>21451.5</v>
      </c>
      <c r="J1949" s="3" t="s">
        <v>79</v>
      </c>
      <c r="K1949" s="3" t="s">
        <v>56</v>
      </c>
      <c r="L1949" t="str">
        <f>IFERROR(VLOOKUP(D1949,Products!$A$2:$F$61,3,FALSE()),"")</f>
        <v>Grocery</v>
      </c>
      <c r="M1949" t="str">
        <f>IFERROR(VLOOKUP(E1949,Sales_Reps!$A$2:$C$31,3,FALSE()),"")</f>
        <v>East</v>
      </c>
      <c r="N1949">
        <f>IFERROR(VLOOKUP(D1949,Products!$A$2:$F$61,4,FALSE()),"")</f>
        <v>1203</v>
      </c>
      <c r="O1949" t="str">
        <f>IFERROR(VLOOKUP(C1949,Customers!$A$2:$F$301,5,FALSE()),"")</f>
        <v>Retail</v>
      </c>
      <c r="P1949">
        <f>IFERROR(VLOOKUP(C1949,Customers!$A$2:$F$301,3,FALSE()),"")</f>
        <v>27</v>
      </c>
      <c r="Q1949">
        <f t="shared" si="90"/>
        <v>0.47004405286343615</v>
      </c>
      <c r="R1949">
        <f>IF(AND(COUNTIF($A$2:$A$2047,A1949)&gt;1,COUNTIF($A$2:A1949,A1949)=1),1,0)</f>
        <v>0</v>
      </c>
      <c r="S1949" t="b">
        <f>IFERROR(VLOOKUP(D1949,Products!$A$2:$F$61,6,FALSE()),"")</f>
        <v>1</v>
      </c>
      <c r="T1949" t="str">
        <f>IF(COUNTIF(Customers!$A$2:$A$301,C1949)=0,"Missing","OK")</f>
        <v>OK</v>
      </c>
      <c r="U1949" t="str">
        <f t="shared" si="91"/>
        <v>Bengaluru</v>
      </c>
      <c r="V1949">
        <f t="shared" si="92"/>
        <v>21451.5</v>
      </c>
    </row>
    <row r="1950" spans="1:22" ht="15" customHeight="1" x14ac:dyDescent="0.35">
      <c r="A1950" s="3" t="s">
        <v>2388</v>
      </c>
      <c r="B1950" s="4">
        <v>45350</v>
      </c>
      <c r="C1950" s="3" t="s">
        <v>795</v>
      </c>
      <c r="D1950" s="3" t="s">
        <v>74</v>
      </c>
      <c r="E1950" s="3" t="s">
        <v>46</v>
      </c>
      <c r="F1950" s="5">
        <v>3</v>
      </c>
      <c r="G1950" s="5">
        <v>2640</v>
      </c>
      <c r="H1950" s="5">
        <v>28.2</v>
      </c>
      <c r="I1950" s="5">
        <v>5686.56</v>
      </c>
      <c r="J1950" s="3" t="s">
        <v>83</v>
      </c>
      <c r="K1950" s="3" t="s">
        <v>27</v>
      </c>
      <c r="L1950" t="str">
        <f>IFERROR(VLOOKUP(D1950,Products!$A$2:$F$61,3,FALSE()),"")</f>
        <v>Electronics</v>
      </c>
      <c r="M1950" t="str">
        <f>IFERROR(VLOOKUP(E1950,Sales_Reps!$A$2:$C$31,3,FALSE()),"")</f>
        <v>North</v>
      </c>
      <c r="N1950">
        <f>IFERROR(VLOOKUP(D1950,Products!$A$2:$F$61,4,FALSE()),"")</f>
        <v>1149</v>
      </c>
      <c r="O1950" t="str">
        <f>IFERROR(VLOOKUP(C1950,Customers!$A$2:$F$301,5,FALSE()),"")</f>
        <v>SMB</v>
      </c>
      <c r="P1950">
        <f>IFERROR(VLOOKUP(C1950,Customers!$A$2:$F$301,3,FALSE()),"")</f>
        <v>59</v>
      </c>
      <c r="Q1950">
        <f t="shared" si="90"/>
        <v>0.56477272727272732</v>
      </c>
      <c r="R1950">
        <f>IF(AND(COUNTIF($A$2:$A$2047,A1950)&gt;1,COUNTIF($A$2:A1950,A1950)=1),1,0)</f>
        <v>0</v>
      </c>
      <c r="S1950" t="b">
        <f>IFERROR(VLOOKUP(D1950,Products!$A$2:$F$61,6,FALSE()),"")</f>
        <v>1</v>
      </c>
      <c r="T1950" t="str">
        <f>IF(COUNTIF(Customers!$A$2:$A$301,C1950)=0,"Missing","OK")</f>
        <v>OK</v>
      </c>
      <c r="U1950" t="str">
        <f t="shared" si="91"/>
        <v>Pune</v>
      </c>
      <c r="V1950">
        <f t="shared" si="92"/>
        <v>0</v>
      </c>
    </row>
    <row r="1951" spans="1:22" ht="15" customHeight="1" x14ac:dyDescent="0.35">
      <c r="A1951" s="3" t="s">
        <v>2389</v>
      </c>
      <c r="B1951" s="4">
        <v>45507</v>
      </c>
      <c r="C1951" s="3" t="s">
        <v>1189</v>
      </c>
      <c r="D1951" s="3" t="s">
        <v>74</v>
      </c>
      <c r="E1951" s="3" t="s">
        <v>127</v>
      </c>
      <c r="F1951" s="5">
        <v>10</v>
      </c>
      <c r="G1951" s="5">
        <v>2640</v>
      </c>
      <c r="H1951" s="5">
        <v>25.9</v>
      </c>
      <c r="I1951" s="5">
        <v>19562.400000000001</v>
      </c>
      <c r="J1951" s="3" t="s">
        <v>26</v>
      </c>
      <c r="K1951" s="3" t="s">
        <v>27</v>
      </c>
      <c r="L1951" t="str">
        <f>IFERROR(VLOOKUP(D1951,Products!$A$2:$F$61,3,FALSE()),"")</f>
        <v>Electronics</v>
      </c>
      <c r="M1951" t="str">
        <f>IFERROR(VLOOKUP(E1951,Sales_Reps!$A$2:$C$31,3,FALSE()),"")</f>
        <v>South</v>
      </c>
      <c r="N1951">
        <f>IFERROR(VLOOKUP(D1951,Products!$A$2:$F$61,4,FALSE()),"")</f>
        <v>1149</v>
      </c>
      <c r="O1951" t="str">
        <f>IFERROR(VLOOKUP(C1951,Customers!$A$2:$F$301,5,FALSE()),"")</f>
        <v>Retail</v>
      </c>
      <c r="P1951">
        <f>IFERROR(VLOOKUP(C1951,Customers!$A$2:$F$301,3,FALSE()),"")</f>
        <v>44</v>
      </c>
      <c r="Q1951">
        <f t="shared" si="90"/>
        <v>0.56477272727272732</v>
      </c>
      <c r="R1951">
        <f>IF(AND(COUNTIF($A$2:$A$2047,A1951)&gt;1,COUNTIF($A$2:A1951,A1951)=1),1,0)</f>
        <v>0</v>
      </c>
      <c r="S1951" t="b">
        <f>IFERROR(VLOOKUP(D1951,Products!$A$2:$F$61,6,FALSE()),"")</f>
        <v>1</v>
      </c>
      <c r="T1951" t="str">
        <f>IF(COUNTIF(Customers!$A$2:$A$301,C1951)=0,"Missing","OK")</f>
        <v>OK</v>
      </c>
      <c r="U1951" t="str">
        <f t="shared" si="91"/>
        <v>Pune</v>
      </c>
      <c r="V1951">
        <f t="shared" si="92"/>
        <v>0</v>
      </c>
    </row>
    <row r="1952" spans="1:22" ht="15" customHeight="1" x14ac:dyDescent="0.35">
      <c r="A1952" s="3" t="s">
        <v>2390</v>
      </c>
      <c r="B1952" s="4">
        <v>45538</v>
      </c>
      <c r="C1952" s="3" t="s">
        <v>644</v>
      </c>
      <c r="D1952" s="3" t="s">
        <v>59</v>
      </c>
      <c r="E1952" s="3" t="s">
        <v>109</v>
      </c>
      <c r="F1952" s="5">
        <v>2</v>
      </c>
      <c r="G1952" s="5">
        <v>1430</v>
      </c>
      <c r="H1952" s="5">
        <v>5</v>
      </c>
      <c r="I1952" s="5">
        <v>2717</v>
      </c>
      <c r="J1952" s="3" t="s">
        <v>79</v>
      </c>
      <c r="K1952" s="3" t="s">
        <v>38</v>
      </c>
      <c r="L1952" t="str">
        <f>IFERROR(VLOOKUP(D1952,Products!$A$2:$F$61,3,FALSE()),"")</f>
        <v>Electronics</v>
      </c>
      <c r="M1952" t="str">
        <f>IFERROR(VLOOKUP(E1952,Sales_Reps!$A$2:$C$31,3,FALSE()),"")</f>
        <v>West</v>
      </c>
      <c r="N1952">
        <f>IFERROR(VLOOKUP(D1952,Products!$A$2:$F$61,4,FALSE()),"")</f>
        <v>861</v>
      </c>
      <c r="O1952" t="str">
        <f>IFERROR(VLOOKUP(C1952,Customers!$A$2:$F$301,5,FALSE()),"")</f>
        <v>Retail</v>
      </c>
      <c r="P1952">
        <f>IFERROR(VLOOKUP(C1952,Customers!$A$2:$F$301,3,FALSE()),"")</f>
        <v>53</v>
      </c>
      <c r="Q1952">
        <f t="shared" si="90"/>
        <v>0.39790209790209791</v>
      </c>
      <c r="R1952">
        <f>IF(AND(COUNTIF($A$2:$A$2047,A1952)&gt;1,COUNTIF($A$2:A1952,A1952)=1),1,0)</f>
        <v>0</v>
      </c>
      <c r="S1952" t="b">
        <f>IFERROR(VLOOKUP(D1952,Products!$A$2:$F$61,6,FALSE()),"")</f>
        <v>1</v>
      </c>
      <c r="T1952" t="str">
        <f>IF(COUNTIF(Customers!$A$2:$A$301,C1952)=0,"Missing","OK")</f>
        <v>OK</v>
      </c>
      <c r="U1952" t="str">
        <f t="shared" si="91"/>
        <v>Delhi</v>
      </c>
      <c r="V1952">
        <f t="shared" si="92"/>
        <v>0</v>
      </c>
    </row>
    <row r="1953" spans="1:22" ht="15" customHeight="1" x14ac:dyDescent="0.35">
      <c r="A1953" s="3" t="s">
        <v>2391</v>
      </c>
      <c r="B1953" s="4">
        <v>45618</v>
      </c>
      <c r="C1953" s="3" t="s">
        <v>379</v>
      </c>
      <c r="D1953" s="3" t="s">
        <v>126</v>
      </c>
      <c r="E1953" s="3" t="s">
        <v>131</v>
      </c>
      <c r="F1953" s="5">
        <v>6</v>
      </c>
      <c r="G1953" s="5">
        <v>3570</v>
      </c>
      <c r="H1953" s="5">
        <v>28.5</v>
      </c>
      <c r="I1953" s="5">
        <v>15315.3</v>
      </c>
      <c r="J1953" s="3" t="s">
        <v>79</v>
      </c>
      <c r="K1953" s="3" t="s">
        <v>27</v>
      </c>
      <c r="L1953" t="str">
        <f>IFERROR(VLOOKUP(D1953,Products!$A$2:$F$61,3,FALSE()),"")</f>
        <v>Electronics</v>
      </c>
      <c r="M1953" t="str">
        <f>IFERROR(VLOOKUP(E1953,Sales_Reps!$A$2:$C$31,3,FALSE()),"")</f>
        <v>East</v>
      </c>
      <c r="N1953">
        <f>IFERROR(VLOOKUP(D1953,Products!$A$2:$F$61,4,FALSE()),"")</f>
        <v>1665</v>
      </c>
      <c r="O1953" t="str">
        <f>IFERROR(VLOOKUP(C1953,Customers!$A$2:$F$301,5,FALSE()),"")</f>
        <v>SMB</v>
      </c>
      <c r="P1953">
        <f>IFERROR(VLOOKUP(C1953,Customers!$A$2:$F$301,3,FALSE()),"")</f>
        <v>30</v>
      </c>
      <c r="Q1953">
        <f t="shared" si="90"/>
        <v>0.53361344537815125</v>
      </c>
      <c r="R1953">
        <f>IF(AND(COUNTIF($A$2:$A$2047,A1953)&gt;1,COUNTIF($A$2:A1953,A1953)=1),1,0)</f>
        <v>0</v>
      </c>
      <c r="S1953" t="b">
        <f>IFERROR(VLOOKUP(D1953,Products!$A$2:$F$61,6,FALSE()),"")</f>
        <v>1</v>
      </c>
      <c r="T1953" t="str">
        <f>IF(COUNTIF(Customers!$A$2:$A$301,C1953)=0,"Missing","OK")</f>
        <v>OK</v>
      </c>
      <c r="U1953" t="str">
        <f t="shared" si="91"/>
        <v>Pune</v>
      </c>
      <c r="V1953">
        <f t="shared" si="92"/>
        <v>0</v>
      </c>
    </row>
    <row r="1954" spans="1:22" ht="15" customHeight="1" x14ac:dyDescent="0.35">
      <c r="A1954" s="3" t="s">
        <v>2392</v>
      </c>
      <c r="B1954" s="4">
        <v>45444</v>
      </c>
      <c r="C1954" s="3" t="s">
        <v>336</v>
      </c>
      <c r="D1954" s="3" t="s">
        <v>126</v>
      </c>
      <c r="E1954" s="3" t="s">
        <v>55</v>
      </c>
      <c r="F1954" s="5">
        <v>1</v>
      </c>
      <c r="G1954" s="5">
        <v>3570</v>
      </c>
      <c r="H1954" s="5">
        <v>7.7</v>
      </c>
      <c r="I1954" s="5">
        <v>3295.11</v>
      </c>
      <c r="J1954" s="3" t="s">
        <v>26</v>
      </c>
      <c r="K1954" s="3" t="s">
        <v>38</v>
      </c>
      <c r="L1954" t="str">
        <f>IFERROR(VLOOKUP(D1954,Products!$A$2:$F$61,3,FALSE()),"")</f>
        <v>Electronics</v>
      </c>
      <c r="M1954" t="str">
        <f>IFERROR(VLOOKUP(E1954,Sales_Reps!$A$2:$C$31,3,FALSE()),"")</f>
        <v>West</v>
      </c>
      <c r="N1954">
        <f>IFERROR(VLOOKUP(D1954,Products!$A$2:$F$61,4,FALSE()),"")</f>
        <v>1665</v>
      </c>
      <c r="O1954" t="str">
        <f>IFERROR(VLOOKUP(C1954,Customers!$A$2:$F$301,5,FALSE()),"")</f>
        <v>Retail</v>
      </c>
      <c r="P1954">
        <f>IFERROR(VLOOKUP(C1954,Customers!$A$2:$F$301,3,FALSE()),"")</f>
        <v>30</v>
      </c>
      <c r="Q1954">
        <f t="shared" si="90"/>
        <v>0.53361344537815125</v>
      </c>
      <c r="R1954">
        <f>IF(AND(COUNTIF($A$2:$A$2047,A1954)&gt;1,COUNTIF($A$2:A1954,A1954)=1),1,0)</f>
        <v>0</v>
      </c>
      <c r="S1954" t="b">
        <f>IFERROR(VLOOKUP(D1954,Products!$A$2:$F$61,6,FALSE()),"")</f>
        <v>1</v>
      </c>
      <c r="T1954" t="str">
        <f>IF(COUNTIF(Customers!$A$2:$A$301,C1954)=0,"Missing","OK")</f>
        <v>OK</v>
      </c>
      <c r="U1954" t="str">
        <f t="shared" si="91"/>
        <v>Delhi</v>
      </c>
      <c r="V1954">
        <f t="shared" si="92"/>
        <v>0</v>
      </c>
    </row>
    <row r="1955" spans="1:22" ht="15" customHeight="1" x14ac:dyDescent="0.35">
      <c r="A1955" s="3" t="s">
        <v>2393</v>
      </c>
      <c r="B1955" s="4">
        <v>45377</v>
      </c>
      <c r="C1955" s="3" t="s">
        <v>1233</v>
      </c>
      <c r="D1955" s="3" t="s">
        <v>187</v>
      </c>
      <c r="E1955" s="3" t="s">
        <v>109</v>
      </c>
      <c r="F1955" s="5">
        <v>9</v>
      </c>
      <c r="G1955" s="5">
        <v>3870</v>
      </c>
      <c r="H1955" s="5">
        <v>11.9</v>
      </c>
      <c r="I1955" s="5">
        <v>30685.23</v>
      </c>
      <c r="J1955" s="3" t="s">
        <v>79</v>
      </c>
      <c r="K1955" s="3" t="s">
        <v>33</v>
      </c>
      <c r="L1955" t="str">
        <f>IFERROR(VLOOKUP(D1955,Products!$A$2:$F$61,3,FALSE()),"")</f>
        <v>Electronics</v>
      </c>
      <c r="M1955" t="str">
        <f>IFERROR(VLOOKUP(E1955,Sales_Reps!$A$2:$C$31,3,FALSE()),"")</f>
        <v>West</v>
      </c>
      <c r="N1955">
        <f>IFERROR(VLOOKUP(D1955,Products!$A$2:$F$61,4,FALSE()),"")</f>
        <v>1559</v>
      </c>
      <c r="O1955" t="str">
        <f>IFERROR(VLOOKUP(C1955,Customers!$A$2:$F$301,5,FALSE()),"")</f>
        <v>SMB</v>
      </c>
      <c r="P1955">
        <f>IFERROR(VLOOKUP(C1955,Customers!$A$2:$F$301,3,FALSE()),"")</f>
        <v>43</v>
      </c>
      <c r="Q1955">
        <f t="shared" si="90"/>
        <v>0.59715762273901807</v>
      </c>
      <c r="R1955">
        <f>IF(AND(COUNTIF($A$2:$A$2047,A1955)&gt;1,COUNTIF($A$2:A1955,A1955)=1),1,0)</f>
        <v>0</v>
      </c>
      <c r="S1955" t="b">
        <f>IFERROR(VLOOKUP(D1955,Products!$A$2:$F$61,6,FALSE()),"")</f>
        <v>1</v>
      </c>
      <c r="T1955" t="str">
        <f>IF(COUNTIF(Customers!$A$2:$A$301,C1955)=0,"Missing","OK")</f>
        <v>OK</v>
      </c>
      <c r="U1955" t="str">
        <f t="shared" si="91"/>
        <v>Chennai</v>
      </c>
      <c r="V1955">
        <f t="shared" si="92"/>
        <v>0</v>
      </c>
    </row>
    <row r="1956" spans="1:22" ht="15" customHeight="1" x14ac:dyDescent="0.35">
      <c r="A1956" s="3" t="s">
        <v>2394</v>
      </c>
      <c r="B1956" s="4">
        <v>45515</v>
      </c>
      <c r="C1956" s="3" t="s">
        <v>789</v>
      </c>
      <c r="D1956" s="3" t="s">
        <v>454</v>
      </c>
      <c r="E1956" s="3" t="s">
        <v>37</v>
      </c>
      <c r="F1956" s="5">
        <v>5</v>
      </c>
      <c r="G1956" s="5">
        <v>6940</v>
      </c>
      <c r="H1956" s="5">
        <v>17.399999999999999</v>
      </c>
      <c r="I1956" s="5">
        <v>28662.2</v>
      </c>
      <c r="J1956" s="3" t="s">
        <v>26</v>
      </c>
      <c r="K1956" s="3" t="s">
        <v>33</v>
      </c>
      <c r="L1956" t="str">
        <f>IFERROR(VLOOKUP(D1956,Products!$A$2:$F$61,3,FALSE()),"")</f>
        <v>Sports</v>
      </c>
      <c r="M1956" t="str">
        <f>IFERROR(VLOOKUP(E1956,Sales_Reps!$A$2:$C$31,3,FALSE()),"")</f>
        <v>South</v>
      </c>
      <c r="N1956">
        <f>IFERROR(VLOOKUP(D1956,Products!$A$2:$F$61,4,FALSE()),"")</f>
        <v>2827</v>
      </c>
      <c r="O1956" t="str">
        <f>IFERROR(VLOOKUP(C1956,Customers!$A$2:$F$301,5,FALSE()),"")</f>
        <v>SMB</v>
      </c>
      <c r="P1956">
        <f>IFERROR(VLOOKUP(C1956,Customers!$A$2:$F$301,3,FALSE()),"")</f>
        <v>26</v>
      </c>
      <c r="Q1956">
        <f t="shared" si="90"/>
        <v>0.5926512968299712</v>
      </c>
      <c r="R1956">
        <f>IF(AND(COUNTIF($A$2:$A$2047,A1956)&gt;1,COUNTIF($A$2:A1956,A1956)=1),1,0)</f>
        <v>0</v>
      </c>
      <c r="S1956" t="b">
        <f>IFERROR(VLOOKUP(D1956,Products!$A$2:$F$61,6,FALSE()),"")</f>
        <v>1</v>
      </c>
      <c r="T1956" t="str">
        <f>IF(COUNTIF(Customers!$A$2:$A$301,C1956)=0,"Missing","OK")</f>
        <v>OK</v>
      </c>
      <c r="U1956" t="str">
        <f t="shared" si="91"/>
        <v>Chennai</v>
      </c>
      <c r="V1956">
        <f t="shared" si="92"/>
        <v>0</v>
      </c>
    </row>
    <row r="1957" spans="1:22" ht="15" customHeight="1" x14ac:dyDescent="0.35">
      <c r="A1957" s="3" t="s">
        <v>2395</v>
      </c>
      <c r="B1957" s="4">
        <v>45312</v>
      </c>
      <c r="C1957" s="3" t="s">
        <v>202</v>
      </c>
      <c r="D1957" s="3" t="s">
        <v>49</v>
      </c>
      <c r="E1957" s="3" t="s">
        <v>140</v>
      </c>
      <c r="F1957" s="5">
        <v>6</v>
      </c>
      <c r="G1957" s="5">
        <v>370</v>
      </c>
      <c r="H1957" s="5">
        <v>8.1</v>
      </c>
      <c r="I1957" s="5">
        <v>2040.18</v>
      </c>
      <c r="J1957" s="3" t="s">
        <v>79</v>
      </c>
      <c r="K1957" s="3" t="s">
        <v>72</v>
      </c>
      <c r="L1957" t="str">
        <f>IFERROR(VLOOKUP(D1957,Products!$A$2:$F$61,3,FALSE()),"")</f>
        <v>Home</v>
      </c>
      <c r="M1957" t="str">
        <f>IFERROR(VLOOKUP(E1957,Sales_Reps!$A$2:$C$31,3,FALSE()),"")</f>
        <v>West</v>
      </c>
      <c r="N1957">
        <f>IFERROR(VLOOKUP(D1957,Products!$A$2:$F$61,4,FALSE()),"")</f>
        <v>288</v>
      </c>
      <c r="O1957" t="str">
        <f>IFERROR(VLOOKUP(C1957,Customers!$A$2:$F$301,5,FALSE()),"")</f>
        <v>Retail</v>
      </c>
      <c r="P1957">
        <f>IFERROR(VLOOKUP(C1957,Customers!$A$2:$F$301,3,FALSE()),"")</f>
        <v>53</v>
      </c>
      <c r="Q1957">
        <f t="shared" si="90"/>
        <v>0.22162162162162163</v>
      </c>
      <c r="R1957">
        <f>IF(AND(COUNTIF($A$2:$A$2047,A1957)&gt;1,COUNTIF($A$2:A1957,A1957)=1),1,0)</f>
        <v>0</v>
      </c>
      <c r="S1957" t="b">
        <f>IFERROR(VLOOKUP(D1957,Products!$A$2:$F$61,6,FALSE()),"")</f>
        <v>1</v>
      </c>
      <c r="T1957" t="str">
        <f>IF(COUNTIF(Customers!$A$2:$A$301,C1957)=0,"Missing","OK")</f>
        <v>OK</v>
      </c>
      <c r="U1957" t="str">
        <f t="shared" si="91"/>
        <v>Hyderabad</v>
      </c>
      <c r="V1957">
        <f t="shared" si="92"/>
        <v>0</v>
      </c>
    </row>
    <row r="1958" spans="1:22" ht="15" customHeight="1" x14ac:dyDescent="0.35">
      <c r="A1958" s="3" t="s">
        <v>2396</v>
      </c>
      <c r="B1958" s="4">
        <v>45549</v>
      </c>
      <c r="C1958" s="3" t="s">
        <v>205</v>
      </c>
      <c r="D1958" s="3" t="s">
        <v>598</v>
      </c>
      <c r="E1958" s="3" t="s">
        <v>282</v>
      </c>
      <c r="F1958" s="5">
        <v>8</v>
      </c>
      <c r="G1958" s="5">
        <v>3560</v>
      </c>
      <c r="H1958" s="5">
        <v>23.3</v>
      </c>
      <c r="I1958" s="5">
        <v>21844.16</v>
      </c>
      <c r="J1958" s="3" t="s">
        <v>26</v>
      </c>
      <c r="K1958" s="3" t="s">
        <v>38</v>
      </c>
      <c r="L1958" t="str">
        <f>IFERROR(VLOOKUP(D1958,Products!$A$2:$F$61,3,FALSE()),"")</f>
        <v>Apparel</v>
      </c>
      <c r="M1958" t="str">
        <f>IFERROR(VLOOKUP(E1958,Sales_Reps!$A$2:$C$31,3,FALSE()),"")</f>
        <v>West</v>
      </c>
      <c r="N1958">
        <f>IFERROR(VLOOKUP(D1958,Products!$A$2:$F$61,4,FALSE()),"")</f>
        <v>2629</v>
      </c>
      <c r="O1958" t="str">
        <f>IFERROR(VLOOKUP(C1958,Customers!$A$2:$F$301,5,FALSE()),"")</f>
        <v>Corporate</v>
      </c>
      <c r="P1958">
        <f>IFERROR(VLOOKUP(C1958,Customers!$A$2:$F$301,3,FALSE()),"")</f>
        <v>55</v>
      </c>
      <c r="Q1958">
        <f t="shared" si="90"/>
        <v>0.26151685393258428</v>
      </c>
      <c r="R1958">
        <f>IF(AND(COUNTIF($A$2:$A$2047,A1958)&gt;1,COUNTIF($A$2:A1958,A1958)=1),1,0)</f>
        <v>0</v>
      </c>
      <c r="S1958" t="b">
        <f>IFERROR(VLOOKUP(D1958,Products!$A$2:$F$61,6,FALSE()),"")</f>
        <v>1</v>
      </c>
      <c r="T1958" t="str">
        <f>IF(COUNTIF(Customers!$A$2:$A$301,C1958)=0,"Missing","OK")</f>
        <v>OK</v>
      </c>
      <c r="U1958" t="str">
        <f t="shared" si="91"/>
        <v>Delhi</v>
      </c>
      <c r="V1958">
        <f t="shared" si="92"/>
        <v>0</v>
      </c>
    </row>
    <row r="1959" spans="1:22" ht="15" customHeight="1" x14ac:dyDescent="0.35">
      <c r="A1959" s="3" t="s">
        <v>2397</v>
      </c>
      <c r="B1959" s="4">
        <v>45633</v>
      </c>
      <c r="C1959" s="3" t="s">
        <v>552</v>
      </c>
      <c r="D1959" s="3" t="s">
        <v>206</v>
      </c>
      <c r="E1959" s="3" t="s">
        <v>67</v>
      </c>
      <c r="F1959" s="5">
        <v>4</v>
      </c>
      <c r="G1959" s="5">
        <v>1220</v>
      </c>
      <c r="H1959" s="5">
        <v>2.7</v>
      </c>
      <c r="I1959" s="5">
        <v>4748.24</v>
      </c>
      <c r="J1959" s="3" t="s">
        <v>26</v>
      </c>
      <c r="K1959" s="3" t="s">
        <v>51</v>
      </c>
      <c r="L1959" t="str">
        <f>IFERROR(VLOOKUP(D1959,Products!$A$2:$F$61,3,FALSE()),"")</f>
        <v>Electronics</v>
      </c>
      <c r="M1959" t="str">
        <f>IFERROR(VLOOKUP(E1959,Sales_Reps!$A$2:$C$31,3,FALSE()),"")</f>
        <v>West</v>
      </c>
      <c r="N1959">
        <f>IFERROR(VLOOKUP(D1959,Products!$A$2:$F$61,4,FALSE()),"")</f>
        <v>517</v>
      </c>
      <c r="O1959" t="str">
        <f>IFERROR(VLOOKUP(C1959,Customers!$A$2:$F$301,5,FALSE()),"")</f>
        <v>Retail</v>
      </c>
      <c r="P1959">
        <f>IFERROR(VLOOKUP(C1959,Customers!$A$2:$F$301,3,FALSE()),"")</f>
        <v>44</v>
      </c>
      <c r="Q1959">
        <f t="shared" si="90"/>
        <v>0.57622950819672136</v>
      </c>
      <c r="R1959">
        <f>IF(AND(COUNTIF($A$2:$A$2047,A1959)&gt;1,COUNTIF($A$2:A1959,A1959)=1),1,0)</f>
        <v>0</v>
      </c>
      <c r="S1959" t="b">
        <f>IFERROR(VLOOKUP(D1959,Products!$A$2:$F$61,6,FALSE()),"")</f>
        <v>1</v>
      </c>
      <c r="T1959" t="str">
        <f>IF(COUNTIF(Customers!$A$2:$A$301,C1959)=0,"Missing","OK")</f>
        <v>OK</v>
      </c>
      <c r="U1959" t="str">
        <f t="shared" si="91"/>
        <v>Mumbai</v>
      </c>
      <c r="V1959">
        <f t="shared" si="92"/>
        <v>0</v>
      </c>
    </row>
    <row r="1960" spans="1:22" ht="15" customHeight="1" x14ac:dyDescent="0.35">
      <c r="A1960" s="3" t="s">
        <v>2398</v>
      </c>
      <c r="B1960" s="4">
        <v>45598</v>
      </c>
      <c r="C1960" s="3" t="s">
        <v>656</v>
      </c>
      <c r="D1960" s="3" t="s">
        <v>203</v>
      </c>
      <c r="E1960" s="3" t="s">
        <v>131</v>
      </c>
      <c r="F1960" s="5">
        <v>10</v>
      </c>
      <c r="G1960" s="5">
        <v>4070</v>
      </c>
      <c r="H1960" s="5">
        <v>11.6</v>
      </c>
      <c r="I1960" s="5">
        <v>35978.800000000003</v>
      </c>
      <c r="J1960" s="3" t="s">
        <v>26</v>
      </c>
      <c r="K1960" s="3" t="s">
        <v>33</v>
      </c>
      <c r="L1960" t="str">
        <f>IFERROR(VLOOKUP(D1960,Products!$A$2:$F$61,3,FALSE()),"")</f>
        <v>Grocery</v>
      </c>
      <c r="M1960" t="str">
        <f>IFERROR(VLOOKUP(E1960,Sales_Reps!$A$2:$C$31,3,FALSE()),"")</f>
        <v>East</v>
      </c>
      <c r="N1960">
        <f>IFERROR(VLOOKUP(D1960,Products!$A$2:$F$61,4,FALSE()),"")</f>
        <v>2027</v>
      </c>
      <c r="O1960" t="str">
        <f>IFERROR(VLOOKUP(C1960,Customers!$A$2:$F$301,5,FALSE()),"")</f>
        <v>Retail</v>
      </c>
      <c r="P1960">
        <f>IFERROR(VLOOKUP(C1960,Customers!$A$2:$F$301,3,FALSE()),"")</f>
        <v>24</v>
      </c>
      <c r="Q1960">
        <f t="shared" si="90"/>
        <v>0.50196560196560192</v>
      </c>
      <c r="R1960">
        <f>IF(AND(COUNTIF($A$2:$A$2047,A1960)&gt;1,COUNTIF($A$2:A1960,A1960)=1),1,0)</f>
        <v>0</v>
      </c>
      <c r="S1960" t="b">
        <f>IFERROR(VLOOKUP(D1960,Products!$A$2:$F$61,6,FALSE()),"")</f>
        <v>1</v>
      </c>
      <c r="T1960" t="str">
        <f>IF(COUNTIF(Customers!$A$2:$A$301,C1960)=0,"Missing","OK")</f>
        <v>OK</v>
      </c>
      <c r="U1960" t="str">
        <f t="shared" si="91"/>
        <v>Chennai</v>
      </c>
      <c r="V1960">
        <f t="shared" si="92"/>
        <v>0</v>
      </c>
    </row>
    <row r="1961" spans="1:22" ht="15" customHeight="1" x14ac:dyDescent="0.35">
      <c r="A1961" s="3" t="s">
        <v>2399</v>
      </c>
      <c r="B1961" s="4">
        <v>45336</v>
      </c>
      <c r="C1961" s="3" t="s">
        <v>736</v>
      </c>
      <c r="D1961" s="3" t="s">
        <v>41</v>
      </c>
      <c r="E1961" s="3" t="s">
        <v>60</v>
      </c>
      <c r="F1961" s="5">
        <v>10</v>
      </c>
      <c r="G1961" s="5">
        <v>3660</v>
      </c>
      <c r="H1961" s="5">
        <v>28.8</v>
      </c>
      <c r="I1961" s="5">
        <v>26059.200000000001</v>
      </c>
      <c r="J1961" s="3" t="s">
        <v>26</v>
      </c>
      <c r="K1961" s="3" t="s">
        <v>38</v>
      </c>
      <c r="L1961" t="str">
        <f>IFERROR(VLOOKUP(D1961,Products!$A$2:$F$61,3,FALSE()),"")</f>
        <v>Grocery</v>
      </c>
      <c r="M1961" t="str">
        <f>IFERROR(VLOOKUP(E1961,Sales_Reps!$A$2:$C$31,3,FALSE()),"")</f>
        <v>East</v>
      </c>
      <c r="N1961">
        <f>IFERROR(VLOOKUP(D1961,Products!$A$2:$F$61,4,FALSE()),"")</f>
        <v>2214</v>
      </c>
      <c r="O1961" t="str">
        <f>IFERROR(VLOOKUP(C1961,Customers!$A$2:$F$301,5,FALSE()),"")</f>
        <v>Retail</v>
      </c>
      <c r="P1961">
        <f>IFERROR(VLOOKUP(C1961,Customers!$A$2:$F$301,3,FALSE()),"")</f>
        <v>63</v>
      </c>
      <c r="Q1961">
        <f t="shared" si="90"/>
        <v>0.39508196721311473</v>
      </c>
      <c r="R1961">
        <f>IF(AND(COUNTIF($A$2:$A$2047,A1961)&gt;1,COUNTIF($A$2:A1961,A1961)=1),1,0)</f>
        <v>0</v>
      </c>
      <c r="S1961" t="b">
        <f>IFERROR(VLOOKUP(D1961,Products!$A$2:$F$61,6,FALSE()),"")</f>
        <v>0</v>
      </c>
      <c r="T1961" t="str">
        <f>IF(COUNTIF(Customers!$A$2:$A$301,C1961)=0,"Missing","OK")</f>
        <v>OK</v>
      </c>
      <c r="U1961" t="str">
        <f t="shared" si="91"/>
        <v>Delhi</v>
      </c>
      <c r="V1961">
        <f t="shared" si="92"/>
        <v>0</v>
      </c>
    </row>
    <row r="1962" spans="1:22" ht="15" customHeight="1" x14ac:dyDescent="0.35">
      <c r="A1962" s="3" t="s">
        <v>2400</v>
      </c>
      <c r="B1962" s="4">
        <v>45449</v>
      </c>
      <c r="C1962" s="3" t="s">
        <v>554</v>
      </c>
      <c r="D1962" s="3" t="s">
        <v>382</v>
      </c>
      <c r="E1962" s="3" t="s">
        <v>242</v>
      </c>
      <c r="F1962" s="5">
        <v>5</v>
      </c>
      <c r="G1962" s="5">
        <v>5080</v>
      </c>
      <c r="H1962" s="5">
        <v>12.1</v>
      </c>
      <c r="I1962" s="5">
        <v>22326.6</v>
      </c>
      <c r="J1962" s="3" t="s">
        <v>26</v>
      </c>
      <c r="K1962" s="3" t="s">
        <v>51</v>
      </c>
      <c r="L1962" t="str">
        <f>IFERROR(VLOOKUP(D1962,Products!$A$2:$F$61,3,FALSE()),"")</f>
        <v>Home</v>
      </c>
      <c r="M1962" t="str">
        <f>IFERROR(VLOOKUP(E1962,Sales_Reps!$A$2:$C$31,3,FALSE()),"")</f>
        <v>East</v>
      </c>
      <c r="N1962">
        <f>IFERROR(VLOOKUP(D1962,Products!$A$2:$F$61,4,FALSE()),"")</f>
        <v>2459</v>
      </c>
      <c r="O1962" t="str">
        <f>IFERROR(VLOOKUP(C1962,Customers!$A$2:$F$301,5,FALSE()),"")</f>
        <v>Retail</v>
      </c>
      <c r="P1962">
        <f>IFERROR(VLOOKUP(C1962,Customers!$A$2:$F$301,3,FALSE()),"")</f>
        <v>53</v>
      </c>
      <c r="Q1962">
        <f t="shared" si="90"/>
        <v>0.51594488188976373</v>
      </c>
      <c r="R1962">
        <f>IF(AND(COUNTIF($A$2:$A$2047,A1962)&gt;1,COUNTIF($A$2:A1962,A1962)=1),1,0)</f>
        <v>0</v>
      </c>
      <c r="S1962" t="b">
        <f>IFERROR(VLOOKUP(D1962,Products!$A$2:$F$61,6,FALSE()),"")</f>
        <v>1</v>
      </c>
      <c r="T1962" t="str">
        <f>IF(COUNTIF(Customers!$A$2:$A$301,C1962)=0,"Missing","OK")</f>
        <v>OK</v>
      </c>
      <c r="U1962" t="str">
        <f t="shared" si="91"/>
        <v>Mumbai</v>
      </c>
      <c r="V1962">
        <f t="shared" si="92"/>
        <v>0</v>
      </c>
    </row>
    <row r="1963" spans="1:22" ht="15" customHeight="1" x14ac:dyDescent="0.35">
      <c r="A1963" s="3" t="s">
        <v>2401</v>
      </c>
      <c r="B1963" s="4">
        <v>45338</v>
      </c>
      <c r="C1963" s="3" t="s">
        <v>736</v>
      </c>
      <c r="D1963" s="3" t="s">
        <v>209</v>
      </c>
      <c r="E1963" s="3" t="s">
        <v>191</v>
      </c>
      <c r="F1963" s="5">
        <v>10</v>
      </c>
      <c r="G1963" s="5">
        <v>4610</v>
      </c>
      <c r="H1963" s="5">
        <v>22.5</v>
      </c>
      <c r="I1963" s="5">
        <v>35727.5</v>
      </c>
      <c r="J1963" s="3" t="s">
        <v>26</v>
      </c>
      <c r="K1963" s="3" t="s">
        <v>38</v>
      </c>
      <c r="L1963" t="str">
        <f>IFERROR(VLOOKUP(D1963,Products!$A$2:$F$61,3,FALSE()),"")</f>
        <v>Home</v>
      </c>
      <c r="M1963" t="str">
        <f>IFERROR(VLOOKUP(E1963,Sales_Reps!$A$2:$C$31,3,FALSE()),"")</f>
        <v>South</v>
      </c>
      <c r="N1963">
        <f>IFERROR(VLOOKUP(D1963,Products!$A$2:$F$61,4,FALSE()),"")</f>
        <v>1850</v>
      </c>
      <c r="O1963" t="str">
        <f>IFERROR(VLOOKUP(C1963,Customers!$A$2:$F$301,5,FALSE()),"")</f>
        <v>Retail</v>
      </c>
      <c r="P1963">
        <f>IFERROR(VLOOKUP(C1963,Customers!$A$2:$F$301,3,FALSE()),"")</f>
        <v>63</v>
      </c>
      <c r="Q1963">
        <f t="shared" si="90"/>
        <v>0.59869848156182215</v>
      </c>
      <c r="R1963">
        <f>IF(AND(COUNTIF($A$2:$A$2047,A1963)&gt;1,COUNTIF($A$2:A1963,A1963)=1),1,0)</f>
        <v>0</v>
      </c>
      <c r="S1963" t="b">
        <f>IFERROR(VLOOKUP(D1963,Products!$A$2:$F$61,6,FALSE()),"")</f>
        <v>1</v>
      </c>
      <c r="T1963" t="str">
        <f>IF(COUNTIF(Customers!$A$2:$A$301,C1963)=0,"Missing","OK")</f>
        <v>OK</v>
      </c>
      <c r="U1963" t="str">
        <f t="shared" si="91"/>
        <v>Delhi</v>
      </c>
      <c r="V1963">
        <f t="shared" si="92"/>
        <v>0</v>
      </c>
    </row>
    <row r="1964" spans="1:22" ht="15" customHeight="1" x14ac:dyDescent="0.35">
      <c r="A1964" s="3" t="s">
        <v>2402</v>
      </c>
      <c r="B1964" s="4">
        <v>45317</v>
      </c>
      <c r="C1964" s="3" t="s">
        <v>718</v>
      </c>
      <c r="D1964" s="3" t="s">
        <v>218</v>
      </c>
      <c r="E1964" s="3" t="s">
        <v>25</v>
      </c>
      <c r="F1964" s="5">
        <v>3</v>
      </c>
      <c r="G1964" s="5">
        <v>2660</v>
      </c>
      <c r="H1964" s="5">
        <v>15</v>
      </c>
      <c r="I1964" s="5">
        <v>6783</v>
      </c>
      <c r="J1964" s="3" t="s">
        <v>26</v>
      </c>
      <c r="K1964" s="3" t="s">
        <v>56</v>
      </c>
      <c r="L1964" t="str">
        <f>IFERROR(VLOOKUP(D1964,Products!$A$2:$F$61,3,FALSE()),"")</f>
        <v>Electronics</v>
      </c>
      <c r="M1964" t="str">
        <f>IFERROR(VLOOKUP(E1964,Sales_Reps!$A$2:$C$31,3,FALSE()),"")</f>
        <v>North</v>
      </c>
      <c r="N1964">
        <f>IFERROR(VLOOKUP(D1964,Products!$A$2:$F$61,4,FALSE()),"")</f>
        <v>1259</v>
      </c>
      <c r="O1964" t="str">
        <f>IFERROR(VLOOKUP(C1964,Customers!$A$2:$F$301,5,FALSE()),"")</f>
        <v>Retail</v>
      </c>
      <c r="P1964">
        <f>IFERROR(VLOOKUP(C1964,Customers!$A$2:$F$301,3,FALSE()),"")</f>
        <v>27</v>
      </c>
      <c r="Q1964">
        <f t="shared" si="90"/>
        <v>0.52669172932330832</v>
      </c>
      <c r="R1964">
        <f>IF(AND(COUNTIF($A$2:$A$2047,A1964)&gt;1,COUNTIF($A$2:A1964,A1964)=1),1,0)</f>
        <v>0</v>
      </c>
      <c r="S1964" t="b">
        <f>IFERROR(VLOOKUP(D1964,Products!$A$2:$F$61,6,FALSE()),"")</f>
        <v>0</v>
      </c>
      <c r="T1964" t="str">
        <f>IF(COUNTIF(Customers!$A$2:$A$301,C1964)=0,"Missing","OK")</f>
        <v>OK</v>
      </c>
      <c r="U1964" t="str">
        <f t="shared" si="91"/>
        <v>Bengaluru</v>
      </c>
      <c r="V1964">
        <f t="shared" si="92"/>
        <v>0</v>
      </c>
    </row>
    <row r="1965" spans="1:22" ht="15" customHeight="1" x14ac:dyDescent="0.35">
      <c r="A1965" s="3" t="s">
        <v>2403</v>
      </c>
      <c r="B1965" s="4">
        <v>45384</v>
      </c>
      <c r="C1965" s="3" t="s">
        <v>534</v>
      </c>
      <c r="D1965" s="3" t="s">
        <v>45</v>
      </c>
      <c r="E1965" s="3" t="s">
        <v>42</v>
      </c>
      <c r="F1965" s="5">
        <v>5</v>
      </c>
      <c r="G1965" s="5">
        <v>3160</v>
      </c>
      <c r="H1965" s="5">
        <v>1.3</v>
      </c>
      <c r="I1965" s="5">
        <v>15594.6</v>
      </c>
      <c r="J1965" s="3" t="s">
        <v>26</v>
      </c>
      <c r="K1965" s="3" t="s">
        <v>38</v>
      </c>
      <c r="L1965" t="str">
        <f>IFERROR(VLOOKUP(D1965,Products!$A$2:$F$61,3,FALSE()),"")</f>
        <v>Apparel</v>
      </c>
      <c r="M1965" t="str">
        <f>IFERROR(VLOOKUP(E1965,Sales_Reps!$A$2:$C$31,3,FALSE()),"")</f>
        <v>North</v>
      </c>
      <c r="N1965">
        <f>IFERROR(VLOOKUP(D1965,Products!$A$2:$F$61,4,FALSE()),"")</f>
        <v>1886</v>
      </c>
      <c r="O1965" t="str">
        <f>IFERROR(VLOOKUP(C1965,Customers!$A$2:$F$301,5,FALSE()),"")</f>
        <v>SMB</v>
      </c>
      <c r="P1965">
        <f>IFERROR(VLOOKUP(C1965,Customers!$A$2:$F$301,3,FALSE()),"")</f>
        <v>48</v>
      </c>
      <c r="Q1965">
        <f t="shared" si="90"/>
        <v>0.4031645569620253</v>
      </c>
      <c r="R1965">
        <f>IF(AND(COUNTIF($A$2:$A$2047,A1965)&gt;1,COUNTIF($A$2:A1965,A1965)=1),1,0)</f>
        <v>0</v>
      </c>
      <c r="S1965" t="b">
        <f>IFERROR(VLOOKUP(D1965,Products!$A$2:$F$61,6,FALSE()),"")</f>
        <v>1</v>
      </c>
      <c r="T1965" t="str">
        <f>IF(COUNTIF(Customers!$A$2:$A$301,C1965)=0,"Missing","OK")</f>
        <v>OK</v>
      </c>
      <c r="U1965" t="str">
        <f t="shared" si="91"/>
        <v>Delhi</v>
      </c>
      <c r="V1965">
        <f t="shared" si="92"/>
        <v>0</v>
      </c>
    </row>
    <row r="1966" spans="1:22" ht="15" customHeight="1" x14ac:dyDescent="0.35">
      <c r="A1966" s="3" t="s">
        <v>2404</v>
      </c>
      <c r="B1966" s="4">
        <v>45325</v>
      </c>
      <c r="C1966" s="3" t="s">
        <v>623</v>
      </c>
      <c r="D1966" s="3" t="s">
        <v>49</v>
      </c>
      <c r="E1966" s="3" t="s">
        <v>78</v>
      </c>
      <c r="F1966" s="5">
        <v>10</v>
      </c>
      <c r="G1966" s="5">
        <v>370</v>
      </c>
      <c r="H1966" s="5">
        <v>29</v>
      </c>
      <c r="I1966" s="5">
        <v>2627</v>
      </c>
      <c r="J1966" s="3" t="s">
        <v>26</v>
      </c>
      <c r="K1966" s="3" t="s">
        <v>38</v>
      </c>
      <c r="L1966" t="str">
        <f>IFERROR(VLOOKUP(D1966,Products!$A$2:$F$61,3,FALSE()),"")</f>
        <v>Home</v>
      </c>
      <c r="M1966" t="str">
        <f>IFERROR(VLOOKUP(E1966,Sales_Reps!$A$2:$C$31,3,FALSE()),"")</f>
        <v>North</v>
      </c>
      <c r="N1966">
        <f>IFERROR(VLOOKUP(D1966,Products!$A$2:$F$61,4,FALSE()),"")</f>
        <v>288</v>
      </c>
      <c r="O1966" t="str">
        <f>IFERROR(VLOOKUP(C1966,Customers!$A$2:$F$301,5,FALSE()),"")</f>
        <v>Retail</v>
      </c>
      <c r="P1966">
        <f>IFERROR(VLOOKUP(C1966,Customers!$A$2:$F$301,3,FALSE()),"")</f>
        <v>41</v>
      </c>
      <c r="Q1966">
        <f t="shared" si="90"/>
        <v>0.22162162162162163</v>
      </c>
      <c r="R1966">
        <f>IF(AND(COUNTIF($A$2:$A$2047,A1966)&gt;1,COUNTIF($A$2:A1966,A1966)=1),1,0)</f>
        <v>0</v>
      </c>
      <c r="S1966" t="b">
        <f>IFERROR(VLOOKUP(D1966,Products!$A$2:$F$61,6,FALSE()),"")</f>
        <v>1</v>
      </c>
      <c r="T1966" t="str">
        <f>IF(COUNTIF(Customers!$A$2:$A$301,C1966)=0,"Missing","OK")</f>
        <v>OK</v>
      </c>
      <c r="U1966" t="str">
        <f t="shared" si="91"/>
        <v>Delhi</v>
      </c>
      <c r="V1966">
        <f t="shared" si="92"/>
        <v>0</v>
      </c>
    </row>
    <row r="1967" spans="1:22" ht="15" customHeight="1" x14ac:dyDescent="0.35">
      <c r="A1967" s="3" t="s">
        <v>2405</v>
      </c>
      <c r="B1967" s="4">
        <v>45358</v>
      </c>
      <c r="C1967" s="3" t="s">
        <v>990</v>
      </c>
      <c r="D1967" s="3" t="s">
        <v>121</v>
      </c>
      <c r="E1967" s="3" t="s">
        <v>46</v>
      </c>
      <c r="F1967" s="5">
        <v>10</v>
      </c>
      <c r="G1967" s="5">
        <v>1010</v>
      </c>
      <c r="H1967" s="5">
        <v>14.1</v>
      </c>
      <c r="I1967" s="5">
        <v>8675.9</v>
      </c>
      <c r="J1967" s="3" t="s">
        <v>83</v>
      </c>
      <c r="K1967" s="3" t="s">
        <v>51</v>
      </c>
      <c r="L1967" t="str">
        <f>IFERROR(VLOOKUP(D1967,Products!$A$2:$F$61,3,FALSE()),"")</f>
        <v>Sports</v>
      </c>
      <c r="M1967" t="str">
        <f>IFERROR(VLOOKUP(E1967,Sales_Reps!$A$2:$C$31,3,FALSE()),"")</f>
        <v>North</v>
      </c>
      <c r="N1967">
        <f>IFERROR(VLOOKUP(D1967,Products!$A$2:$F$61,4,FALSE()),"")</f>
        <v>516</v>
      </c>
      <c r="O1967" t="str">
        <f>IFERROR(VLOOKUP(C1967,Customers!$A$2:$F$301,5,FALSE()),"")</f>
        <v>Retail</v>
      </c>
      <c r="P1967">
        <f>IFERROR(VLOOKUP(C1967,Customers!$A$2:$F$301,3,FALSE()),"")</f>
        <v>54</v>
      </c>
      <c r="Q1967">
        <f t="shared" si="90"/>
        <v>0.4891089108910891</v>
      </c>
      <c r="R1967">
        <f>IF(AND(COUNTIF($A$2:$A$2047,A1967)&gt;1,COUNTIF($A$2:A1967,A1967)=1),1,0)</f>
        <v>0</v>
      </c>
      <c r="S1967" t="b">
        <f>IFERROR(VLOOKUP(D1967,Products!$A$2:$F$61,6,FALSE()),"")</f>
        <v>1</v>
      </c>
      <c r="T1967" t="str">
        <f>IF(COUNTIF(Customers!$A$2:$A$301,C1967)=0,"Missing","OK")</f>
        <v>OK</v>
      </c>
      <c r="U1967" t="str">
        <f t="shared" si="91"/>
        <v>Mumbai</v>
      </c>
      <c r="V1967">
        <f t="shared" si="92"/>
        <v>0</v>
      </c>
    </row>
    <row r="1968" spans="1:22" ht="15" customHeight="1" x14ac:dyDescent="0.35">
      <c r="A1968" s="3" t="s">
        <v>2406</v>
      </c>
      <c r="B1968" s="4">
        <v>45586</v>
      </c>
      <c r="C1968" s="3" t="s">
        <v>272</v>
      </c>
      <c r="D1968" s="3" t="s">
        <v>598</v>
      </c>
      <c r="E1968" s="3" t="s">
        <v>109</v>
      </c>
      <c r="F1968" s="5">
        <v>3</v>
      </c>
      <c r="G1968" s="5">
        <v>3560</v>
      </c>
      <c r="H1968" s="5">
        <v>23.6</v>
      </c>
      <c r="I1968" s="5">
        <v>8159.52</v>
      </c>
      <c r="J1968" s="3" t="s">
        <v>26</v>
      </c>
      <c r="K1968" s="3" t="s">
        <v>72</v>
      </c>
      <c r="L1968" t="str">
        <f>IFERROR(VLOOKUP(D1968,Products!$A$2:$F$61,3,FALSE()),"")</f>
        <v>Apparel</v>
      </c>
      <c r="M1968" t="str">
        <f>IFERROR(VLOOKUP(E1968,Sales_Reps!$A$2:$C$31,3,FALSE()),"")</f>
        <v>West</v>
      </c>
      <c r="N1968">
        <f>IFERROR(VLOOKUP(D1968,Products!$A$2:$F$61,4,FALSE()),"")</f>
        <v>2629</v>
      </c>
      <c r="O1968" t="str">
        <f>IFERROR(VLOOKUP(C1968,Customers!$A$2:$F$301,5,FALSE()),"")</f>
        <v>SMB</v>
      </c>
      <c r="P1968">
        <f>IFERROR(VLOOKUP(C1968,Customers!$A$2:$F$301,3,FALSE()),"")</f>
        <v>65</v>
      </c>
      <c r="Q1968">
        <f t="shared" si="90"/>
        <v>0.26151685393258428</v>
      </c>
      <c r="R1968">
        <f>IF(AND(COUNTIF($A$2:$A$2047,A1968)&gt;1,COUNTIF($A$2:A1968,A1968)=1),1,0)</f>
        <v>0</v>
      </c>
      <c r="S1968" t="b">
        <f>IFERROR(VLOOKUP(D1968,Products!$A$2:$F$61,6,FALSE()),"")</f>
        <v>1</v>
      </c>
      <c r="T1968" t="str">
        <f>IF(COUNTIF(Customers!$A$2:$A$301,C1968)=0,"Missing","OK")</f>
        <v>OK</v>
      </c>
      <c r="U1968" t="str">
        <f t="shared" si="91"/>
        <v>Hyderabad</v>
      </c>
      <c r="V1968">
        <f t="shared" si="92"/>
        <v>0</v>
      </c>
    </row>
    <row r="1969" spans="1:22" ht="15" customHeight="1" x14ac:dyDescent="0.35">
      <c r="A1969" s="3" t="s">
        <v>2407</v>
      </c>
      <c r="B1969" s="4">
        <v>45340</v>
      </c>
      <c r="C1969" s="3" t="s">
        <v>263</v>
      </c>
      <c r="D1969" s="3" t="s">
        <v>206</v>
      </c>
      <c r="E1969" s="3" t="s">
        <v>67</v>
      </c>
      <c r="F1969" s="5">
        <v>9</v>
      </c>
      <c r="G1969" s="5">
        <v>1220</v>
      </c>
      <c r="H1969" s="5">
        <v>16.600000000000001</v>
      </c>
      <c r="I1969" s="5">
        <v>9157.32</v>
      </c>
      <c r="J1969" s="3" t="s">
        <v>26</v>
      </c>
      <c r="K1969" s="3" t="s">
        <v>72</v>
      </c>
      <c r="L1969" t="str">
        <f>IFERROR(VLOOKUP(D1969,Products!$A$2:$F$61,3,FALSE()),"")</f>
        <v>Electronics</v>
      </c>
      <c r="M1969" t="str">
        <f>IFERROR(VLOOKUP(E1969,Sales_Reps!$A$2:$C$31,3,FALSE()),"")</f>
        <v>West</v>
      </c>
      <c r="N1969">
        <f>IFERROR(VLOOKUP(D1969,Products!$A$2:$F$61,4,FALSE()),"")</f>
        <v>517</v>
      </c>
      <c r="O1969" t="str">
        <f>IFERROR(VLOOKUP(C1969,Customers!$A$2:$F$301,5,FALSE()),"")</f>
        <v>Retail</v>
      </c>
      <c r="P1969">
        <f>IFERROR(VLOOKUP(C1969,Customers!$A$2:$F$301,3,FALSE()),"")</f>
        <v>28</v>
      </c>
      <c r="Q1969">
        <f t="shared" si="90"/>
        <v>0.57622950819672136</v>
      </c>
      <c r="R1969">
        <f>IF(AND(COUNTIF($A$2:$A$2047,A1969)&gt;1,COUNTIF($A$2:A1969,A1969)=1),1,0)</f>
        <v>0</v>
      </c>
      <c r="S1969" t="b">
        <f>IFERROR(VLOOKUP(D1969,Products!$A$2:$F$61,6,FALSE()),"")</f>
        <v>1</v>
      </c>
      <c r="T1969" t="str">
        <f>IF(COUNTIF(Customers!$A$2:$A$301,C1969)=0,"Missing","OK")</f>
        <v>OK</v>
      </c>
      <c r="U1969" t="str">
        <f t="shared" si="91"/>
        <v>Hyderabad</v>
      </c>
      <c r="V1969">
        <f t="shared" si="92"/>
        <v>0</v>
      </c>
    </row>
    <row r="1970" spans="1:22" ht="15" customHeight="1" x14ac:dyDescent="0.35">
      <c r="A1970" s="3" t="s">
        <v>2408</v>
      </c>
      <c r="B1970" s="4">
        <v>45343</v>
      </c>
      <c r="C1970" s="3" t="s">
        <v>1170</v>
      </c>
      <c r="D1970" s="3" t="s">
        <v>86</v>
      </c>
      <c r="E1970" s="3" t="s">
        <v>46</v>
      </c>
      <c r="F1970" s="5">
        <v>8</v>
      </c>
      <c r="G1970" s="5">
        <v>190</v>
      </c>
      <c r="H1970" s="5">
        <v>22.3</v>
      </c>
      <c r="I1970" s="5">
        <v>1181.04</v>
      </c>
      <c r="J1970" s="3" t="s">
        <v>26</v>
      </c>
      <c r="K1970" s="3" t="s">
        <v>27</v>
      </c>
      <c r="L1970" t="str">
        <f>IFERROR(VLOOKUP(D1970,Products!$A$2:$F$61,3,FALSE()),"")</f>
        <v>Sports</v>
      </c>
      <c r="M1970" t="str">
        <f>IFERROR(VLOOKUP(E1970,Sales_Reps!$A$2:$C$31,3,FALSE()),"")</f>
        <v>North</v>
      </c>
      <c r="N1970">
        <f>IFERROR(VLOOKUP(D1970,Products!$A$2:$F$61,4,FALSE()),"")</f>
        <v>147</v>
      </c>
      <c r="O1970" t="str">
        <f>IFERROR(VLOOKUP(C1970,Customers!$A$2:$F$301,5,FALSE()),"")</f>
        <v>Retail</v>
      </c>
      <c r="P1970">
        <f>IFERROR(VLOOKUP(C1970,Customers!$A$2:$F$301,3,FALSE()),"")</f>
        <v>42</v>
      </c>
      <c r="Q1970">
        <f t="shared" si="90"/>
        <v>0.22631578947368422</v>
      </c>
      <c r="R1970">
        <f>IF(AND(COUNTIF($A$2:$A$2047,A1970)&gt;1,COUNTIF($A$2:A1970,A1970)=1),1,0)</f>
        <v>0</v>
      </c>
      <c r="S1970" t="b">
        <f>IFERROR(VLOOKUP(D1970,Products!$A$2:$F$61,6,FALSE()),"")</f>
        <v>1</v>
      </c>
      <c r="T1970" t="str">
        <f>IF(COUNTIF(Customers!$A$2:$A$301,C1970)=0,"Missing","OK")</f>
        <v>OK</v>
      </c>
      <c r="U1970" t="str">
        <f t="shared" si="91"/>
        <v>Pune</v>
      </c>
      <c r="V1970">
        <f t="shared" si="92"/>
        <v>0</v>
      </c>
    </row>
    <row r="1971" spans="1:22" ht="15" customHeight="1" x14ac:dyDescent="0.35">
      <c r="A1971" s="3" t="s">
        <v>2409</v>
      </c>
      <c r="B1971" s="4">
        <v>45468</v>
      </c>
      <c r="C1971" s="3" t="s">
        <v>344</v>
      </c>
      <c r="D1971" s="3" t="s">
        <v>121</v>
      </c>
      <c r="E1971" s="3" t="s">
        <v>236</v>
      </c>
      <c r="F1971" s="5">
        <v>2</v>
      </c>
      <c r="G1971" s="5">
        <v>1010</v>
      </c>
      <c r="H1971" s="5">
        <v>3.8</v>
      </c>
      <c r="I1971" s="5">
        <v>1943.24</v>
      </c>
      <c r="J1971" s="3" t="s">
        <v>26</v>
      </c>
      <c r="K1971" s="3" t="s">
        <v>33</v>
      </c>
      <c r="L1971" t="str">
        <f>IFERROR(VLOOKUP(D1971,Products!$A$2:$F$61,3,FALSE()),"")</f>
        <v>Sports</v>
      </c>
      <c r="M1971" t="str">
        <f>IFERROR(VLOOKUP(E1971,Sales_Reps!$A$2:$C$31,3,FALSE()),"")</f>
        <v>North</v>
      </c>
      <c r="N1971">
        <f>IFERROR(VLOOKUP(D1971,Products!$A$2:$F$61,4,FALSE()),"")</f>
        <v>516</v>
      </c>
      <c r="O1971" t="str">
        <f>IFERROR(VLOOKUP(C1971,Customers!$A$2:$F$301,5,FALSE()),"")</f>
        <v>Corporate</v>
      </c>
      <c r="P1971">
        <f>IFERROR(VLOOKUP(C1971,Customers!$A$2:$F$301,3,FALSE()),"")</f>
        <v>24</v>
      </c>
      <c r="Q1971">
        <f t="shared" si="90"/>
        <v>0.4891089108910891</v>
      </c>
      <c r="R1971">
        <f>IF(AND(COUNTIF($A$2:$A$2047,A1971)&gt;1,COUNTIF($A$2:A1971,A1971)=1),1,0)</f>
        <v>0</v>
      </c>
      <c r="S1971" t="b">
        <f>IFERROR(VLOOKUP(D1971,Products!$A$2:$F$61,6,FALSE()),"")</f>
        <v>1</v>
      </c>
      <c r="T1971" t="str">
        <f>IF(COUNTIF(Customers!$A$2:$A$301,C1971)=0,"Missing","OK")</f>
        <v>OK</v>
      </c>
      <c r="U1971" t="str">
        <f t="shared" si="91"/>
        <v>Chennai</v>
      </c>
      <c r="V1971">
        <f t="shared" si="92"/>
        <v>0</v>
      </c>
    </row>
    <row r="1972" spans="1:22" ht="15" customHeight="1" x14ac:dyDescent="0.35">
      <c r="A1972" s="3" t="s">
        <v>2410</v>
      </c>
      <c r="B1972" s="4">
        <v>45439</v>
      </c>
      <c r="C1972" s="3" t="s">
        <v>813</v>
      </c>
      <c r="D1972" s="3" t="s">
        <v>77</v>
      </c>
      <c r="E1972" s="3" t="s">
        <v>143</v>
      </c>
      <c r="F1972" s="5">
        <v>4</v>
      </c>
      <c r="G1972" s="5">
        <v>2600</v>
      </c>
      <c r="H1972" s="5">
        <v>29.1</v>
      </c>
      <c r="I1972" s="5">
        <v>7373.6</v>
      </c>
      <c r="J1972" s="3" t="s">
        <v>26</v>
      </c>
      <c r="K1972" s="3" t="s">
        <v>51</v>
      </c>
      <c r="L1972" t="str">
        <f>IFERROR(VLOOKUP(D1972,Products!$A$2:$F$61,3,FALSE()),"")</f>
        <v>Electronics</v>
      </c>
      <c r="M1972" t="str">
        <f>IFERROR(VLOOKUP(E1972,Sales_Reps!$A$2:$C$31,3,FALSE()),"")</f>
        <v>South</v>
      </c>
      <c r="N1972">
        <f>IFERROR(VLOOKUP(D1972,Products!$A$2:$F$61,4,FALSE()),"")</f>
        <v>1052</v>
      </c>
      <c r="O1972" t="str">
        <f>IFERROR(VLOOKUP(C1972,Customers!$A$2:$F$301,5,FALSE()),"")</f>
        <v>Retail</v>
      </c>
      <c r="P1972">
        <f>IFERROR(VLOOKUP(C1972,Customers!$A$2:$F$301,3,FALSE()),"")</f>
        <v>57</v>
      </c>
      <c r="Q1972">
        <f t="shared" si="90"/>
        <v>0.5953846153846154</v>
      </c>
      <c r="R1972">
        <f>IF(AND(COUNTIF($A$2:$A$2047,A1972)&gt;1,COUNTIF($A$2:A1972,A1972)=1),1,0)</f>
        <v>0</v>
      </c>
      <c r="S1972" t="b">
        <f>IFERROR(VLOOKUP(D1972,Products!$A$2:$F$61,6,FALSE()),"")</f>
        <v>1</v>
      </c>
      <c r="T1972" t="str">
        <f>IF(COUNTIF(Customers!$A$2:$A$301,C1972)=0,"Missing","OK")</f>
        <v>OK</v>
      </c>
      <c r="U1972" t="str">
        <f t="shared" si="91"/>
        <v>Mumbai</v>
      </c>
      <c r="V1972">
        <f t="shared" si="92"/>
        <v>0</v>
      </c>
    </row>
    <row r="1973" spans="1:22" ht="15" customHeight="1" x14ac:dyDescent="0.35">
      <c r="A1973" s="3" t="s">
        <v>2411</v>
      </c>
      <c r="B1973" s="4">
        <v>45517</v>
      </c>
      <c r="C1973" s="3" t="s">
        <v>623</v>
      </c>
      <c r="D1973" s="3" t="s">
        <v>391</v>
      </c>
      <c r="E1973" s="3" t="s">
        <v>168</v>
      </c>
      <c r="F1973" s="5">
        <v>7</v>
      </c>
      <c r="G1973" s="5">
        <v>3450</v>
      </c>
      <c r="H1973" s="5">
        <v>4</v>
      </c>
      <c r="I1973" s="5">
        <v>23184</v>
      </c>
      <c r="J1973" s="3" t="s">
        <v>26</v>
      </c>
      <c r="K1973" s="3" t="s">
        <v>38</v>
      </c>
      <c r="L1973" t="str">
        <f>IFERROR(VLOOKUP(D1973,Products!$A$2:$F$61,3,FALSE()),"")</f>
        <v>Apparel</v>
      </c>
      <c r="M1973" t="str">
        <f>IFERROR(VLOOKUP(E1973,Sales_Reps!$A$2:$C$31,3,FALSE()),"")</f>
        <v>West</v>
      </c>
      <c r="N1973">
        <f>IFERROR(VLOOKUP(D1973,Products!$A$2:$F$61,4,FALSE()),"")</f>
        <v>1748</v>
      </c>
      <c r="O1973" t="str">
        <f>IFERROR(VLOOKUP(C1973,Customers!$A$2:$F$301,5,FALSE()),"")</f>
        <v>Retail</v>
      </c>
      <c r="P1973">
        <f>IFERROR(VLOOKUP(C1973,Customers!$A$2:$F$301,3,FALSE()),"")</f>
        <v>41</v>
      </c>
      <c r="Q1973">
        <f t="shared" si="90"/>
        <v>0.49333333333333335</v>
      </c>
      <c r="R1973">
        <f>IF(AND(COUNTIF($A$2:$A$2047,A1973)&gt;1,COUNTIF($A$2:A1973,A1973)=1),1,0)</f>
        <v>0</v>
      </c>
      <c r="S1973" t="b">
        <f>IFERROR(VLOOKUP(D1973,Products!$A$2:$F$61,6,FALSE()),"")</f>
        <v>1</v>
      </c>
      <c r="T1973" t="str">
        <f>IF(COUNTIF(Customers!$A$2:$A$301,C1973)=0,"Missing","OK")</f>
        <v>OK</v>
      </c>
      <c r="U1973" t="str">
        <f t="shared" si="91"/>
        <v>Delhi</v>
      </c>
      <c r="V1973">
        <f t="shared" si="92"/>
        <v>0</v>
      </c>
    </row>
    <row r="1974" spans="1:22" ht="15" customHeight="1" x14ac:dyDescent="0.35">
      <c r="A1974" s="3" t="s">
        <v>2412</v>
      </c>
      <c r="B1974" s="4">
        <v>45311</v>
      </c>
      <c r="C1974" s="3" t="s">
        <v>183</v>
      </c>
      <c r="D1974" s="3" t="s">
        <v>294</v>
      </c>
      <c r="E1974" s="3" t="s">
        <v>60</v>
      </c>
      <c r="F1974" s="5">
        <v>6</v>
      </c>
      <c r="G1974" s="5">
        <v>2510</v>
      </c>
      <c r="H1974" s="5">
        <v>12.7</v>
      </c>
      <c r="I1974" s="5">
        <v>13147.38</v>
      </c>
      <c r="J1974" s="3" t="s">
        <v>26</v>
      </c>
      <c r="K1974" s="3" t="s">
        <v>33</v>
      </c>
      <c r="L1974" t="str">
        <f>IFERROR(VLOOKUP(D1974,Products!$A$2:$F$61,3,FALSE()),"")</f>
        <v>Apparel</v>
      </c>
      <c r="M1974" t="str">
        <f>IFERROR(VLOOKUP(E1974,Sales_Reps!$A$2:$C$31,3,FALSE()),"")</f>
        <v>East</v>
      </c>
      <c r="N1974">
        <f>IFERROR(VLOOKUP(D1974,Products!$A$2:$F$61,4,FALSE()),"")</f>
        <v>1075</v>
      </c>
      <c r="O1974" t="str">
        <f>IFERROR(VLOOKUP(C1974,Customers!$A$2:$F$301,5,FALSE()),"")</f>
        <v>Corporate</v>
      </c>
      <c r="P1974">
        <f>IFERROR(VLOOKUP(C1974,Customers!$A$2:$F$301,3,FALSE()),"")</f>
        <v>52</v>
      </c>
      <c r="Q1974">
        <f t="shared" si="90"/>
        <v>0.57171314741035861</v>
      </c>
      <c r="R1974">
        <f>IF(AND(COUNTIF($A$2:$A$2047,A1974)&gt;1,COUNTIF($A$2:A1974,A1974)=1),1,0)</f>
        <v>0</v>
      </c>
      <c r="S1974" t="b">
        <f>IFERROR(VLOOKUP(D1974,Products!$A$2:$F$61,6,FALSE()),"")</f>
        <v>0</v>
      </c>
      <c r="T1974" t="str">
        <f>IF(COUNTIF(Customers!$A$2:$A$301,C1974)=0,"Missing","OK")</f>
        <v>OK</v>
      </c>
      <c r="U1974" t="str">
        <f t="shared" si="91"/>
        <v>Chennai</v>
      </c>
      <c r="V1974">
        <f t="shared" si="92"/>
        <v>0</v>
      </c>
    </row>
    <row r="1975" spans="1:22" ht="15" customHeight="1" x14ac:dyDescent="0.35">
      <c r="A1975" s="3" t="s">
        <v>2413</v>
      </c>
      <c r="B1975" s="4">
        <v>45560</v>
      </c>
      <c r="C1975" s="3" t="s">
        <v>48</v>
      </c>
      <c r="D1975" s="3" t="s">
        <v>86</v>
      </c>
      <c r="E1975" s="3" t="s">
        <v>282</v>
      </c>
      <c r="F1975" s="5">
        <v>6</v>
      </c>
      <c r="G1975" s="5">
        <v>190</v>
      </c>
      <c r="H1975" s="5">
        <v>20</v>
      </c>
      <c r="I1975" s="5">
        <v>912</v>
      </c>
      <c r="J1975" s="3" t="s">
        <v>79</v>
      </c>
      <c r="K1975" s="3" t="s">
        <v>51</v>
      </c>
      <c r="L1975" t="str">
        <f>IFERROR(VLOOKUP(D1975,Products!$A$2:$F$61,3,FALSE()),"")</f>
        <v>Sports</v>
      </c>
      <c r="M1975" t="str">
        <f>IFERROR(VLOOKUP(E1975,Sales_Reps!$A$2:$C$31,3,FALSE()),"")</f>
        <v>West</v>
      </c>
      <c r="N1975">
        <f>IFERROR(VLOOKUP(D1975,Products!$A$2:$F$61,4,FALSE()),"")</f>
        <v>147</v>
      </c>
      <c r="O1975" t="str">
        <f>IFERROR(VLOOKUP(C1975,Customers!$A$2:$F$301,5,FALSE()),"")</f>
        <v>Retail</v>
      </c>
      <c r="P1975">
        <f>IFERROR(VLOOKUP(C1975,Customers!$A$2:$F$301,3,FALSE()),"")</f>
        <v>36</v>
      </c>
      <c r="Q1975">
        <f t="shared" si="90"/>
        <v>0.22631578947368422</v>
      </c>
      <c r="R1975">
        <f>IF(AND(COUNTIF($A$2:$A$2047,A1975)&gt;1,COUNTIF($A$2:A1975,A1975)=1),1,0)</f>
        <v>0</v>
      </c>
      <c r="S1975" t="b">
        <f>IFERROR(VLOOKUP(D1975,Products!$A$2:$F$61,6,FALSE()),"")</f>
        <v>1</v>
      </c>
      <c r="T1975" t="str">
        <f>IF(COUNTIF(Customers!$A$2:$A$301,C1975)=0,"Missing","OK")</f>
        <v>OK</v>
      </c>
      <c r="U1975" t="str">
        <f t="shared" si="91"/>
        <v>Mumbai</v>
      </c>
      <c r="V1975">
        <f t="shared" si="92"/>
        <v>0</v>
      </c>
    </row>
    <row r="1976" spans="1:22" ht="15" customHeight="1" x14ac:dyDescent="0.35">
      <c r="A1976" s="3" t="s">
        <v>2414</v>
      </c>
      <c r="B1976" s="4">
        <v>45529</v>
      </c>
      <c r="C1976" s="3" t="s">
        <v>1170</v>
      </c>
      <c r="D1976" s="3" t="s">
        <v>115</v>
      </c>
      <c r="E1976" s="3" t="s">
        <v>168</v>
      </c>
      <c r="F1976" s="5">
        <v>10</v>
      </c>
      <c r="G1976" s="5">
        <v>1650</v>
      </c>
      <c r="H1976" s="5">
        <v>21.5</v>
      </c>
      <c r="I1976" s="5">
        <v>12952.5</v>
      </c>
      <c r="J1976" s="3" t="s">
        <v>26</v>
      </c>
      <c r="K1976" s="3" t="s">
        <v>27</v>
      </c>
      <c r="L1976" t="str">
        <f>IFERROR(VLOOKUP(D1976,Products!$A$2:$F$61,3,FALSE()),"")</f>
        <v>Beauty</v>
      </c>
      <c r="M1976" t="str">
        <f>IFERROR(VLOOKUP(E1976,Sales_Reps!$A$2:$C$31,3,FALSE()),"")</f>
        <v>West</v>
      </c>
      <c r="N1976">
        <f>IFERROR(VLOOKUP(D1976,Products!$A$2:$F$61,4,FALSE()),"")</f>
        <v>1222</v>
      </c>
      <c r="O1976" t="str">
        <f>IFERROR(VLOOKUP(C1976,Customers!$A$2:$F$301,5,FALSE()),"")</f>
        <v>Retail</v>
      </c>
      <c r="P1976">
        <f>IFERROR(VLOOKUP(C1976,Customers!$A$2:$F$301,3,FALSE()),"")</f>
        <v>42</v>
      </c>
      <c r="Q1976">
        <f t="shared" si="90"/>
        <v>0.2593939393939394</v>
      </c>
      <c r="R1976">
        <f>IF(AND(COUNTIF($A$2:$A$2047,A1976)&gt;1,COUNTIF($A$2:A1976,A1976)=1),1,0)</f>
        <v>0</v>
      </c>
      <c r="S1976" t="b">
        <f>IFERROR(VLOOKUP(D1976,Products!$A$2:$F$61,6,FALSE()),"")</f>
        <v>1</v>
      </c>
      <c r="T1976" t="str">
        <f>IF(COUNTIF(Customers!$A$2:$A$301,C1976)=0,"Missing","OK")</f>
        <v>OK</v>
      </c>
      <c r="U1976" t="str">
        <f t="shared" si="91"/>
        <v>Pune</v>
      </c>
      <c r="V1976">
        <f t="shared" si="92"/>
        <v>0</v>
      </c>
    </row>
    <row r="1977" spans="1:22" ht="15" customHeight="1" x14ac:dyDescent="0.35">
      <c r="A1977" s="3" t="s">
        <v>2415</v>
      </c>
      <c r="B1977" s="4">
        <v>45344</v>
      </c>
      <c r="C1977" s="3" t="s">
        <v>58</v>
      </c>
      <c r="D1977" s="3" t="s">
        <v>134</v>
      </c>
      <c r="E1977" s="3" t="s">
        <v>143</v>
      </c>
      <c r="F1977" s="5">
        <v>4</v>
      </c>
      <c r="G1977" s="5">
        <v>2860</v>
      </c>
      <c r="H1977" s="5">
        <v>15.2</v>
      </c>
      <c r="I1977" s="5">
        <v>9701.1200000000008</v>
      </c>
      <c r="J1977" s="3" t="s">
        <v>26</v>
      </c>
      <c r="K1977" s="3" t="s">
        <v>56</v>
      </c>
      <c r="L1977" t="str">
        <f>IFERROR(VLOOKUP(D1977,Products!$A$2:$F$61,3,FALSE()),"")</f>
        <v>Sports</v>
      </c>
      <c r="M1977" t="str">
        <f>IFERROR(VLOOKUP(E1977,Sales_Reps!$A$2:$C$31,3,FALSE()),"")</f>
        <v>South</v>
      </c>
      <c r="N1977">
        <f>IFERROR(VLOOKUP(D1977,Products!$A$2:$F$61,4,FALSE()),"")</f>
        <v>2028</v>
      </c>
      <c r="O1977" t="str">
        <f>IFERROR(VLOOKUP(C1977,Customers!$A$2:$F$301,5,FALSE()),"")</f>
        <v>Corporate</v>
      </c>
      <c r="P1977">
        <f>IFERROR(VLOOKUP(C1977,Customers!$A$2:$F$301,3,FALSE()),"")</f>
        <v>57</v>
      </c>
      <c r="Q1977">
        <f t="shared" si="90"/>
        <v>0.29090909090909089</v>
      </c>
      <c r="R1977">
        <f>IF(AND(COUNTIF($A$2:$A$2047,A1977)&gt;1,COUNTIF($A$2:A1977,A1977)=1),1,0)</f>
        <v>0</v>
      </c>
      <c r="S1977" t="b">
        <f>IFERROR(VLOOKUP(D1977,Products!$A$2:$F$61,6,FALSE()),"")</f>
        <v>1</v>
      </c>
      <c r="T1977" t="str">
        <f>IF(COUNTIF(Customers!$A$2:$A$301,C1977)=0,"Missing","OK")</f>
        <v>OK</v>
      </c>
      <c r="U1977" t="str">
        <f t="shared" si="91"/>
        <v>Bengaluru</v>
      </c>
      <c r="V1977">
        <f t="shared" si="92"/>
        <v>0</v>
      </c>
    </row>
    <row r="1978" spans="1:22" ht="15" customHeight="1" x14ac:dyDescent="0.35">
      <c r="A1978" s="3" t="s">
        <v>2416</v>
      </c>
      <c r="B1978" s="4">
        <v>45589</v>
      </c>
      <c r="C1978" s="3" t="s">
        <v>884</v>
      </c>
      <c r="D1978" s="3" t="s">
        <v>36</v>
      </c>
      <c r="E1978" s="3" t="s">
        <v>67</v>
      </c>
      <c r="F1978" s="5">
        <v>3</v>
      </c>
      <c r="G1978" s="5">
        <v>470</v>
      </c>
      <c r="H1978" s="5">
        <v>14.2</v>
      </c>
      <c r="I1978" s="5">
        <v>1209.78</v>
      </c>
      <c r="J1978" s="3" t="s">
        <v>26</v>
      </c>
      <c r="K1978" s="3" t="s">
        <v>27</v>
      </c>
      <c r="L1978" t="str">
        <f>IFERROR(VLOOKUP(D1978,Products!$A$2:$F$61,3,FALSE()),"")</f>
        <v>Sports</v>
      </c>
      <c r="M1978" t="str">
        <f>IFERROR(VLOOKUP(E1978,Sales_Reps!$A$2:$C$31,3,FALSE()),"")</f>
        <v>West</v>
      </c>
      <c r="N1978">
        <f>IFERROR(VLOOKUP(D1978,Products!$A$2:$F$61,4,FALSE()),"")</f>
        <v>302</v>
      </c>
      <c r="O1978" t="str">
        <f>IFERROR(VLOOKUP(C1978,Customers!$A$2:$F$301,5,FALSE()),"")</f>
        <v>Retail</v>
      </c>
      <c r="P1978">
        <f>IFERROR(VLOOKUP(C1978,Customers!$A$2:$F$301,3,FALSE()),"")</f>
        <v>54</v>
      </c>
      <c r="Q1978">
        <f t="shared" si="90"/>
        <v>0.35744680851063831</v>
      </c>
      <c r="R1978">
        <f>IF(AND(COUNTIF($A$2:$A$2047,A1978)&gt;1,COUNTIF($A$2:A1978,A1978)=1),1,0)</f>
        <v>0</v>
      </c>
      <c r="S1978" t="b">
        <f>IFERROR(VLOOKUP(D1978,Products!$A$2:$F$61,6,FALSE()),"")</f>
        <v>0</v>
      </c>
      <c r="T1978" t="str">
        <f>IF(COUNTIF(Customers!$A$2:$A$301,C1978)=0,"Missing","OK")</f>
        <v>OK</v>
      </c>
      <c r="U1978" t="str">
        <f t="shared" si="91"/>
        <v>Pune</v>
      </c>
      <c r="V1978">
        <f t="shared" si="92"/>
        <v>0</v>
      </c>
    </row>
    <row r="1979" spans="1:22" ht="15" customHeight="1" x14ac:dyDescent="0.35">
      <c r="A1979" s="3" t="s">
        <v>2417</v>
      </c>
      <c r="B1979" s="4">
        <v>45469</v>
      </c>
      <c r="C1979" s="3" t="s">
        <v>882</v>
      </c>
      <c r="D1979" s="3" t="s">
        <v>134</v>
      </c>
      <c r="E1979" s="3" t="s">
        <v>109</v>
      </c>
      <c r="F1979" s="5">
        <v>2</v>
      </c>
      <c r="G1979" s="5">
        <v>2860</v>
      </c>
      <c r="H1979" s="5">
        <v>17.899999999999999</v>
      </c>
      <c r="I1979" s="5">
        <v>4696.12</v>
      </c>
      <c r="J1979" s="3" t="s">
        <v>26</v>
      </c>
      <c r="K1979" s="3" t="s">
        <v>72</v>
      </c>
      <c r="L1979" t="str">
        <f>IFERROR(VLOOKUP(D1979,Products!$A$2:$F$61,3,FALSE()),"")</f>
        <v>Sports</v>
      </c>
      <c r="M1979" t="str">
        <f>IFERROR(VLOOKUP(E1979,Sales_Reps!$A$2:$C$31,3,FALSE()),"")</f>
        <v>West</v>
      </c>
      <c r="N1979">
        <f>IFERROR(VLOOKUP(D1979,Products!$A$2:$F$61,4,FALSE()),"")</f>
        <v>2028</v>
      </c>
      <c r="O1979" t="str">
        <f>IFERROR(VLOOKUP(C1979,Customers!$A$2:$F$301,5,FALSE()),"")</f>
        <v>Corporate</v>
      </c>
      <c r="P1979">
        <f>IFERROR(VLOOKUP(C1979,Customers!$A$2:$F$301,3,FALSE()),"")</f>
        <v>54</v>
      </c>
      <c r="Q1979">
        <f t="shared" si="90"/>
        <v>0.29090909090909089</v>
      </c>
      <c r="R1979">
        <f>IF(AND(COUNTIF($A$2:$A$2047,A1979)&gt;1,COUNTIF($A$2:A1979,A1979)=1),1,0)</f>
        <v>0</v>
      </c>
      <c r="S1979" t="b">
        <f>IFERROR(VLOOKUP(D1979,Products!$A$2:$F$61,6,FALSE()),"")</f>
        <v>1</v>
      </c>
      <c r="T1979" t="str">
        <f>IF(COUNTIF(Customers!$A$2:$A$301,C1979)=0,"Missing","OK")</f>
        <v>OK</v>
      </c>
      <c r="U1979" t="str">
        <f t="shared" si="91"/>
        <v>Hyderabad</v>
      </c>
      <c r="V1979">
        <f t="shared" si="92"/>
        <v>0</v>
      </c>
    </row>
    <row r="1980" spans="1:22" ht="15" customHeight="1" x14ac:dyDescent="0.35">
      <c r="A1980" s="3" t="s">
        <v>2418</v>
      </c>
      <c r="B1980" s="4">
        <v>45407</v>
      </c>
      <c r="C1980" s="3" t="s">
        <v>1289</v>
      </c>
      <c r="D1980" s="3" t="s">
        <v>106</v>
      </c>
      <c r="E1980" s="3" t="s">
        <v>242</v>
      </c>
      <c r="F1980" s="5">
        <v>2</v>
      </c>
      <c r="G1980" s="5">
        <v>2480</v>
      </c>
      <c r="H1980" s="5">
        <v>11.5</v>
      </c>
      <c r="I1980" s="5">
        <v>4389.6000000000004</v>
      </c>
      <c r="J1980" s="3" t="s">
        <v>79</v>
      </c>
      <c r="K1980" s="3" t="s">
        <v>51</v>
      </c>
      <c r="L1980" t="str">
        <f>IFERROR(VLOOKUP(D1980,Products!$A$2:$F$61,3,FALSE()),"")</f>
        <v>Apparel</v>
      </c>
      <c r="M1980" t="str">
        <f>IFERROR(VLOOKUP(E1980,Sales_Reps!$A$2:$C$31,3,FALSE()),"")</f>
        <v>East</v>
      </c>
      <c r="N1980">
        <f>IFERROR(VLOOKUP(D1980,Products!$A$2:$F$61,4,FALSE()),"")</f>
        <v>1173</v>
      </c>
      <c r="O1980" t="str">
        <f>IFERROR(VLOOKUP(C1980,Customers!$A$2:$F$301,5,FALSE()),"")</f>
        <v>Retail</v>
      </c>
      <c r="P1980">
        <f>IFERROR(VLOOKUP(C1980,Customers!$A$2:$F$301,3,FALSE()),"")</f>
        <v>38</v>
      </c>
      <c r="Q1980">
        <f t="shared" si="90"/>
        <v>0.52701612903225803</v>
      </c>
      <c r="R1980">
        <f>IF(AND(COUNTIF($A$2:$A$2047,A1980)&gt;1,COUNTIF($A$2:A1980,A1980)=1),1,0)</f>
        <v>0</v>
      </c>
      <c r="S1980" t="b">
        <f>IFERROR(VLOOKUP(D1980,Products!$A$2:$F$61,6,FALSE()),"")</f>
        <v>1</v>
      </c>
      <c r="T1980" t="str">
        <f>IF(COUNTIF(Customers!$A$2:$A$301,C1980)=0,"Missing","OK")</f>
        <v>OK</v>
      </c>
      <c r="U1980" t="str">
        <f t="shared" si="91"/>
        <v>Mumbai</v>
      </c>
      <c r="V1980">
        <f t="shared" si="92"/>
        <v>0</v>
      </c>
    </row>
    <row r="1981" spans="1:22" ht="15" customHeight="1" x14ac:dyDescent="0.35">
      <c r="A1981" s="3" t="s">
        <v>2419</v>
      </c>
      <c r="B1981" s="4">
        <v>45635</v>
      </c>
      <c r="C1981" s="3" t="s">
        <v>945</v>
      </c>
      <c r="D1981" s="3" t="s">
        <v>234</v>
      </c>
      <c r="E1981" s="3" t="s">
        <v>42</v>
      </c>
      <c r="F1981" s="5">
        <v>10</v>
      </c>
      <c r="G1981" s="5">
        <v>2030</v>
      </c>
      <c r="H1981" s="5">
        <v>29.2</v>
      </c>
      <c r="I1981" s="5">
        <v>14372.4</v>
      </c>
      <c r="J1981" s="3" t="s">
        <v>26</v>
      </c>
      <c r="K1981" s="3" t="s">
        <v>56</v>
      </c>
      <c r="L1981" t="str">
        <f>IFERROR(VLOOKUP(D1981,Products!$A$2:$F$61,3,FALSE()),"")</f>
        <v>Home</v>
      </c>
      <c r="M1981" t="str">
        <f>IFERROR(VLOOKUP(E1981,Sales_Reps!$A$2:$C$31,3,FALSE()),"")</f>
        <v>North</v>
      </c>
      <c r="N1981">
        <f>IFERROR(VLOOKUP(D1981,Products!$A$2:$F$61,4,FALSE()),"")</f>
        <v>1143</v>
      </c>
      <c r="O1981" t="str">
        <f>IFERROR(VLOOKUP(C1981,Customers!$A$2:$F$301,5,FALSE()),"")</f>
        <v>SMB</v>
      </c>
      <c r="P1981">
        <f>IFERROR(VLOOKUP(C1981,Customers!$A$2:$F$301,3,FALSE()),"")</f>
        <v>44</v>
      </c>
      <c r="Q1981">
        <f t="shared" si="90"/>
        <v>0.43694581280788175</v>
      </c>
      <c r="R1981">
        <f>IF(AND(COUNTIF($A$2:$A$2047,A1981)&gt;1,COUNTIF($A$2:A1981,A1981)=1),1,0)</f>
        <v>0</v>
      </c>
      <c r="S1981" t="b">
        <f>IFERROR(VLOOKUP(D1981,Products!$A$2:$F$61,6,FALSE()),"")</f>
        <v>1</v>
      </c>
      <c r="T1981" t="str">
        <f>IF(COUNTIF(Customers!$A$2:$A$301,C1981)=0,"Missing","OK")</f>
        <v>OK</v>
      </c>
      <c r="U1981" t="str">
        <f t="shared" si="91"/>
        <v>Bengaluru</v>
      </c>
      <c r="V1981">
        <f t="shared" si="92"/>
        <v>0</v>
      </c>
    </row>
    <row r="1982" spans="1:22" ht="15" customHeight="1" x14ac:dyDescent="0.35">
      <c r="A1982" s="3" t="s">
        <v>2420</v>
      </c>
      <c r="B1982" s="4">
        <v>45489</v>
      </c>
      <c r="C1982" s="3" t="s">
        <v>133</v>
      </c>
      <c r="D1982" s="3" t="s">
        <v>96</v>
      </c>
      <c r="E1982" s="3" t="s">
        <v>264</v>
      </c>
      <c r="F1982" s="5">
        <v>6</v>
      </c>
      <c r="G1982" s="5">
        <v>3450</v>
      </c>
      <c r="H1982" s="5">
        <v>3.5</v>
      </c>
      <c r="I1982" s="5">
        <v>19975.5</v>
      </c>
      <c r="J1982" s="3" t="s">
        <v>83</v>
      </c>
      <c r="K1982" s="3" t="s">
        <v>27</v>
      </c>
      <c r="L1982" t="str">
        <f>IFERROR(VLOOKUP(D1982,Products!$A$2:$F$61,3,FALSE()),"")</f>
        <v>Beauty</v>
      </c>
      <c r="M1982" t="str">
        <f>IFERROR(VLOOKUP(E1982,Sales_Reps!$A$2:$C$31,3,FALSE()),"")</f>
        <v>South</v>
      </c>
      <c r="N1982">
        <f>IFERROR(VLOOKUP(D1982,Products!$A$2:$F$61,4,FALSE()),"")</f>
        <v>2420</v>
      </c>
      <c r="O1982" t="str">
        <f>IFERROR(VLOOKUP(C1982,Customers!$A$2:$F$301,5,FALSE()),"")</f>
        <v>SMB</v>
      </c>
      <c r="P1982">
        <f>IFERROR(VLOOKUP(C1982,Customers!$A$2:$F$301,3,FALSE()),"")</f>
        <v>44</v>
      </c>
      <c r="Q1982">
        <f t="shared" si="90"/>
        <v>0.29855072463768118</v>
      </c>
      <c r="R1982">
        <f>IF(AND(COUNTIF($A$2:$A$2047,A1982)&gt;1,COUNTIF($A$2:A1982,A1982)=1),1,0)</f>
        <v>0</v>
      </c>
      <c r="S1982" t="b">
        <f>IFERROR(VLOOKUP(D1982,Products!$A$2:$F$61,6,FALSE()),"")</f>
        <v>1</v>
      </c>
      <c r="T1982" t="str">
        <f>IF(COUNTIF(Customers!$A$2:$A$301,C1982)=0,"Missing","OK")</f>
        <v>OK</v>
      </c>
      <c r="U1982" t="str">
        <f t="shared" si="91"/>
        <v>Pune</v>
      </c>
      <c r="V1982">
        <f t="shared" si="92"/>
        <v>0</v>
      </c>
    </row>
    <row r="1983" spans="1:22" ht="15" customHeight="1" x14ac:dyDescent="0.35">
      <c r="A1983" s="3" t="s">
        <v>2421</v>
      </c>
      <c r="B1983" s="4">
        <v>45356</v>
      </c>
      <c r="C1983" s="3" t="s">
        <v>541</v>
      </c>
      <c r="D1983" s="3" t="s">
        <v>59</v>
      </c>
      <c r="E1983" s="3" t="s">
        <v>212</v>
      </c>
      <c r="F1983" s="5">
        <v>10</v>
      </c>
      <c r="G1983" s="5">
        <v>1430</v>
      </c>
      <c r="H1983" s="5">
        <v>3.5</v>
      </c>
      <c r="I1983" s="5">
        <v>13799.5</v>
      </c>
      <c r="J1983" s="3" t="s">
        <v>26</v>
      </c>
      <c r="K1983" s="3" t="s">
        <v>33</v>
      </c>
      <c r="L1983" t="str">
        <f>IFERROR(VLOOKUP(D1983,Products!$A$2:$F$61,3,FALSE()),"")</f>
        <v>Electronics</v>
      </c>
      <c r="M1983" t="str">
        <f>IFERROR(VLOOKUP(E1983,Sales_Reps!$A$2:$C$31,3,FALSE()),"")</f>
        <v>South</v>
      </c>
      <c r="N1983">
        <f>IFERROR(VLOOKUP(D1983,Products!$A$2:$F$61,4,FALSE()),"")</f>
        <v>861</v>
      </c>
      <c r="O1983" t="str">
        <f>IFERROR(VLOOKUP(C1983,Customers!$A$2:$F$301,5,FALSE()),"")</f>
        <v>Retail</v>
      </c>
      <c r="P1983">
        <f>IFERROR(VLOOKUP(C1983,Customers!$A$2:$F$301,3,FALSE()),"")</f>
        <v>61</v>
      </c>
      <c r="Q1983">
        <f t="shared" si="90"/>
        <v>0.39790209790209791</v>
      </c>
      <c r="R1983">
        <f>IF(AND(COUNTIF($A$2:$A$2047,A1983)&gt;1,COUNTIF($A$2:A1983,A1983)=1),1,0)</f>
        <v>0</v>
      </c>
      <c r="S1983" t="b">
        <f>IFERROR(VLOOKUP(D1983,Products!$A$2:$F$61,6,FALSE()),"")</f>
        <v>1</v>
      </c>
      <c r="T1983" t="str">
        <f>IF(COUNTIF(Customers!$A$2:$A$301,C1983)=0,"Missing","OK")</f>
        <v>OK</v>
      </c>
      <c r="U1983" t="str">
        <f t="shared" si="91"/>
        <v>Chennai</v>
      </c>
      <c r="V1983">
        <f t="shared" si="92"/>
        <v>0</v>
      </c>
    </row>
    <row r="1984" spans="1:22" ht="15" customHeight="1" x14ac:dyDescent="0.35">
      <c r="A1984" s="3" t="s">
        <v>2422</v>
      </c>
      <c r="B1984" s="4">
        <v>45422</v>
      </c>
      <c r="C1984" s="3" t="s">
        <v>524</v>
      </c>
      <c r="D1984" s="3" t="s">
        <v>30</v>
      </c>
      <c r="E1984" s="3" t="s">
        <v>177</v>
      </c>
      <c r="F1984" s="5">
        <v>1</v>
      </c>
      <c r="G1984" s="5">
        <v>820</v>
      </c>
      <c r="H1984" s="5">
        <v>14.5</v>
      </c>
      <c r="I1984" s="5">
        <v>701.1</v>
      </c>
      <c r="J1984" s="3" t="s">
        <v>79</v>
      </c>
      <c r="K1984" s="3" t="s">
        <v>33</v>
      </c>
      <c r="L1984" t="str">
        <f>IFERROR(VLOOKUP(D1984,Products!$A$2:$F$61,3,FALSE()),"")</f>
        <v>Apparel</v>
      </c>
      <c r="M1984" t="str">
        <f>IFERROR(VLOOKUP(E1984,Sales_Reps!$A$2:$C$31,3,FALSE()),"")</f>
        <v>East</v>
      </c>
      <c r="N1984">
        <f>IFERROR(VLOOKUP(D1984,Products!$A$2:$F$61,4,FALSE()),"")</f>
        <v>391</v>
      </c>
      <c r="O1984" t="str">
        <f>IFERROR(VLOOKUP(C1984,Customers!$A$2:$F$301,5,FALSE()),"")</f>
        <v>Retail</v>
      </c>
      <c r="P1984">
        <f>IFERROR(VLOOKUP(C1984,Customers!$A$2:$F$301,3,FALSE()),"")</f>
        <v>26</v>
      </c>
      <c r="Q1984">
        <f t="shared" si="90"/>
        <v>0.52317073170731709</v>
      </c>
      <c r="R1984">
        <f>IF(AND(COUNTIF($A$2:$A$2047,A1984)&gt;1,COUNTIF($A$2:A1984,A1984)=1),1,0)</f>
        <v>0</v>
      </c>
      <c r="S1984" t="b">
        <f>IFERROR(VLOOKUP(D1984,Products!$A$2:$F$61,6,FALSE()),"")</f>
        <v>1</v>
      </c>
      <c r="T1984" t="str">
        <f>IF(COUNTIF(Customers!$A$2:$A$301,C1984)=0,"Missing","OK")</f>
        <v>OK</v>
      </c>
      <c r="U1984" t="str">
        <f t="shared" si="91"/>
        <v>Chennai</v>
      </c>
      <c r="V1984">
        <f t="shared" si="92"/>
        <v>0</v>
      </c>
    </row>
    <row r="1985" spans="1:22" ht="15" customHeight="1" x14ac:dyDescent="0.35">
      <c r="A1985" s="3" t="s">
        <v>2423</v>
      </c>
      <c r="B1985" s="4">
        <v>45333</v>
      </c>
      <c r="C1985" s="3" t="s">
        <v>977</v>
      </c>
      <c r="D1985" s="3" t="s">
        <v>123</v>
      </c>
      <c r="E1985" s="3" t="s">
        <v>93</v>
      </c>
      <c r="F1985" s="5">
        <v>5</v>
      </c>
      <c r="G1985" s="5">
        <v>4880</v>
      </c>
      <c r="H1985" s="5">
        <v>1.8</v>
      </c>
      <c r="I1985" s="5">
        <v>23960.799999999999</v>
      </c>
      <c r="J1985" s="3" t="s">
        <v>26</v>
      </c>
      <c r="K1985" s="3" t="s">
        <v>56</v>
      </c>
      <c r="L1985" t="str">
        <f>IFERROR(VLOOKUP(D1985,Products!$A$2:$F$61,3,FALSE()),"")</f>
        <v>Beauty</v>
      </c>
      <c r="M1985" t="str">
        <f>IFERROR(VLOOKUP(E1985,Sales_Reps!$A$2:$C$31,3,FALSE()),"")</f>
        <v>East</v>
      </c>
      <c r="N1985">
        <f>IFERROR(VLOOKUP(D1985,Products!$A$2:$F$61,4,FALSE()),"")</f>
        <v>2768</v>
      </c>
      <c r="O1985" t="str">
        <f>IFERROR(VLOOKUP(C1985,Customers!$A$2:$F$301,5,FALSE()),"")</f>
        <v>Corporate</v>
      </c>
      <c r="P1985">
        <f>IFERROR(VLOOKUP(C1985,Customers!$A$2:$F$301,3,FALSE()),"")</f>
        <v>55</v>
      </c>
      <c r="Q1985">
        <f t="shared" si="90"/>
        <v>0.43278688524590164</v>
      </c>
      <c r="R1985">
        <f>IF(AND(COUNTIF($A$2:$A$2047,A1985)&gt;1,COUNTIF($A$2:A1985,A1985)=1),1,0)</f>
        <v>0</v>
      </c>
      <c r="S1985" t="b">
        <f>IFERROR(VLOOKUP(D1985,Products!$A$2:$F$61,6,FALSE()),"")</f>
        <v>1</v>
      </c>
      <c r="T1985" t="str">
        <f>IF(COUNTIF(Customers!$A$2:$A$301,C1985)=0,"Missing","OK")</f>
        <v>OK</v>
      </c>
      <c r="U1985" t="str">
        <f t="shared" si="91"/>
        <v>Bengaluru</v>
      </c>
      <c r="V1985">
        <f t="shared" si="92"/>
        <v>0</v>
      </c>
    </row>
    <row r="1986" spans="1:22" ht="15" customHeight="1" x14ac:dyDescent="0.35">
      <c r="A1986" s="3" t="s">
        <v>2424</v>
      </c>
      <c r="B1986" s="4">
        <v>45385</v>
      </c>
      <c r="C1986" s="3" t="s">
        <v>48</v>
      </c>
      <c r="D1986" s="3" t="s">
        <v>118</v>
      </c>
      <c r="E1986" s="3" t="s">
        <v>285</v>
      </c>
      <c r="F1986" s="5">
        <v>8</v>
      </c>
      <c r="G1986" s="5">
        <v>3350</v>
      </c>
      <c r="H1986" s="5">
        <v>26.3</v>
      </c>
      <c r="I1986" s="5">
        <v>19751.599999999999</v>
      </c>
      <c r="J1986" s="3" t="s">
        <v>79</v>
      </c>
      <c r="K1986" s="3" t="s">
        <v>51</v>
      </c>
      <c r="L1986" t="str">
        <f>IFERROR(VLOOKUP(D1986,Products!$A$2:$F$61,3,FALSE()),"")</f>
        <v>Beauty</v>
      </c>
      <c r="M1986" t="str">
        <f>IFERROR(VLOOKUP(E1986,Sales_Reps!$A$2:$C$31,3,FALSE()),"")</f>
        <v>South</v>
      </c>
      <c r="N1986">
        <f>IFERROR(VLOOKUP(D1986,Products!$A$2:$F$61,4,FALSE()),"")</f>
        <v>1728</v>
      </c>
      <c r="O1986" t="str">
        <f>IFERROR(VLOOKUP(C1986,Customers!$A$2:$F$301,5,FALSE()),"")</f>
        <v>Retail</v>
      </c>
      <c r="P1986">
        <f>IFERROR(VLOOKUP(C1986,Customers!$A$2:$F$301,3,FALSE()),"")</f>
        <v>36</v>
      </c>
      <c r="Q1986">
        <f t="shared" ref="Q1986:Q2047" si="93">IFERROR((G1986-N1986)/G1986,"")</f>
        <v>0.48417910447761192</v>
      </c>
      <c r="R1986">
        <f>IF(AND(COUNTIF($A$2:$A$2047,A1986)&gt;1,COUNTIF($A$2:A1986,A1986)=1),1,0)</f>
        <v>0</v>
      </c>
      <c r="S1986" t="b">
        <f>IFERROR(VLOOKUP(D1986,Products!$A$2:$F$61,6,FALSE()),"")</f>
        <v>1</v>
      </c>
      <c r="T1986" t="str">
        <f>IF(COUNTIF(Customers!$A$2:$A$301,C1986)=0,"Missing","OK")</f>
        <v>OK</v>
      </c>
      <c r="U1986" t="str">
        <f t="shared" ref="U1986:U2047" si="94">IF(K1986="","",PROPER(TRIM(K1986)))</f>
        <v>Mumbai</v>
      </c>
      <c r="V1986">
        <f t="shared" ref="V1986:V2047" si="95">IF(AND(U1986="Bengaluru",L1986="Grocery"),I1986,0)</f>
        <v>0</v>
      </c>
    </row>
    <row r="1987" spans="1:22" ht="15" customHeight="1" x14ac:dyDescent="0.35">
      <c r="A1987" s="3" t="s">
        <v>2425</v>
      </c>
      <c r="B1987" s="4">
        <v>45298</v>
      </c>
      <c r="C1987" s="3" t="s">
        <v>105</v>
      </c>
      <c r="D1987" s="3" t="s">
        <v>106</v>
      </c>
      <c r="E1987" s="3" t="s">
        <v>224</v>
      </c>
      <c r="F1987" s="5">
        <v>9</v>
      </c>
      <c r="G1987" s="5">
        <v>2480</v>
      </c>
      <c r="H1987" s="5">
        <v>24.3</v>
      </c>
      <c r="I1987" s="5">
        <v>16896.240000000002</v>
      </c>
      <c r="J1987" s="3" t="s">
        <v>26</v>
      </c>
      <c r="K1987" s="3" t="s">
        <v>72</v>
      </c>
      <c r="L1987" t="str">
        <f>IFERROR(VLOOKUP(D1987,Products!$A$2:$F$61,3,FALSE()),"")</f>
        <v>Apparel</v>
      </c>
      <c r="M1987" t="str">
        <f>IFERROR(VLOOKUP(E1987,Sales_Reps!$A$2:$C$31,3,FALSE()),"")</f>
        <v>East</v>
      </c>
      <c r="N1987">
        <f>IFERROR(VLOOKUP(D1987,Products!$A$2:$F$61,4,FALSE()),"")</f>
        <v>1173</v>
      </c>
      <c r="O1987" t="str">
        <f>IFERROR(VLOOKUP(C1987,Customers!$A$2:$F$301,5,FALSE()),"")</f>
        <v>Retail</v>
      </c>
      <c r="P1987">
        <f>IFERROR(VLOOKUP(C1987,Customers!$A$2:$F$301,3,FALSE()),"")</f>
        <v>32</v>
      </c>
      <c r="Q1987">
        <f t="shared" si="93"/>
        <v>0.52701612903225803</v>
      </c>
      <c r="R1987">
        <f>IF(AND(COUNTIF($A$2:$A$2047,A1987)&gt;1,COUNTIF($A$2:A1987,A1987)=1),1,0)</f>
        <v>0</v>
      </c>
      <c r="S1987" t="b">
        <f>IFERROR(VLOOKUP(D1987,Products!$A$2:$F$61,6,FALSE()),"")</f>
        <v>1</v>
      </c>
      <c r="T1987" t="str">
        <f>IF(COUNTIF(Customers!$A$2:$A$301,C1987)=0,"Missing","OK")</f>
        <v>OK</v>
      </c>
      <c r="U1987" t="str">
        <f t="shared" si="94"/>
        <v>Hyderabad</v>
      </c>
      <c r="V1987">
        <f t="shared" si="95"/>
        <v>0</v>
      </c>
    </row>
    <row r="1988" spans="1:22" ht="15" customHeight="1" x14ac:dyDescent="0.35">
      <c r="A1988" s="3" t="s">
        <v>2426</v>
      </c>
      <c r="B1988" s="4">
        <v>45500</v>
      </c>
      <c r="C1988" s="3" t="s">
        <v>170</v>
      </c>
      <c r="D1988" s="3" t="s">
        <v>209</v>
      </c>
      <c r="E1988" s="3" t="s">
        <v>55</v>
      </c>
      <c r="F1988" s="5">
        <v>9</v>
      </c>
      <c r="G1988" s="5">
        <v>4610</v>
      </c>
      <c r="H1988" s="5">
        <v>10</v>
      </c>
      <c r="I1988" s="5">
        <v>37341</v>
      </c>
      <c r="J1988" s="3" t="s">
        <v>26</v>
      </c>
      <c r="K1988" s="3" t="s">
        <v>56</v>
      </c>
      <c r="L1988" t="str">
        <f>IFERROR(VLOOKUP(D1988,Products!$A$2:$F$61,3,FALSE()),"")</f>
        <v>Home</v>
      </c>
      <c r="M1988" t="str">
        <f>IFERROR(VLOOKUP(E1988,Sales_Reps!$A$2:$C$31,3,FALSE()),"")</f>
        <v>West</v>
      </c>
      <c r="N1988">
        <f>IFERROR(VLOOKUP(D1988,Products!$A$2:$F$61,4,FALSE()),"")</f>
        <v>1850</v>
      </c>
      <c r="O1988" t="str">
        <f>IFERROR(VLOOKUP(C1988,Customers!$A$2:$F$301,5,FALSE()),"")</f>
        <v>SMB</v>
      </c>
      <c r="P1988">
        <f>IFERROR(VLOOKUP(C1988,Customers!$A$2:$F$301,3,FALSE()),"")</f>
        <v>64</v>
      </c>
      <c r="Q1988">
        <f t="shared" si="93"/>
        <v>0.59869848156182215</v>
      </c>
      <c r="R1988">
        <f>IF(AND(COUNTIF($A$2:$A$2047,A1988)&gt;1,COUNTIF($A$2:A1988,A1988)=1),1,0)</f>
        <v>0</v>
      </c>
      <c r="S1988" t="b">
        <f>IFERROR(VLOOKUP(D1988,Products!$A$2:$F$61,6,FALSE()),"")</f>
        <v>1</v>
      </c>
      <c r="T1988" t="str">
        <f>IF(COUNTIF(Customers!$A$2:$A$301,C1988)=0,"Missing","OK")</f>
        <v>OK</v>
      </c>
      <c r="U1988" t="str">
        <f t="shared" si="94"/>
        <v>Bengaluru</v>
      </c>
      <c r="V1988">
        <f t="shared" si="95"/>
        <v>0</v>
      </c>
    </row>
    <row r="1989" spans="1:22" ht="15" customHeight="1" x14ac:dyDescent="0.35">
      <c r="A1989" s="3" t="s">
        <v>2427</v>
      </c>
      <c r="B1989" s="4">
        <v>45409</v>
      </c>
      <c r="C1989" s="3" t="s">
        <v>990</v>
      </c>
      <c r="D1989" s="3" t="s">
        <v>173</v>
      </c>
      <c r="E1989" s="3" t="s">
        <v>78</v>
      </c>
      <c r="F1989" s="5">
        <v>1</v>
      </c>
      <c r="G1989" s="5">
        <v>3780</v>
      </c>
      <c r="H1989" s="5">
        <v>2.2000000000000002</v>
      </c>
      <c r="I1989" s="5">
        <v>3696.84</v>
      </c>
      <c r="J1989" s="3" t="s">
        <v>26</v>
      </c>
      <c r="K1989" s="3" t="s">
        <v>51</v>
      </c>
      <c r="L1989" t="str">
        <f>IFERROR(VLOOKUP(D1989,Products!$A$2:$F$61,3,FALSE()),"")</f>
        <v>Grocery</v>
      </c>
      <c r="M1989" t="str">
        <f>IFERROR(VLOOKUP(E1989,Sales_Reps!$A$2:$C$31,3,FALSE()),"")</f>
        <v>North</v>
      </c>
      <c r="N1989">
        <f>IFERROR(VLOOKUP(D1989,Products!$A$2:$F$61,4,FALSE()),"")</f>
        <v>2436</v>
      </c>
      <c r="O1989" t="str">
        <f>IFERROR(VLOOKUP(C1989,Customers!$A$2:$F$301,5,FALSE()),"")</f>
        <v>Retail</v>
      </c>
      <c r="P1989">
        <f>IFERROR(VLOOKUP(C1989,Customers!$A$2:$F$301,3,FALSE()),"")</f>
        <v>54</v>
      </c>
      <c r="Q1989">
        <f t="shared" si="93"/>
        <v>0.35555555555555557</v>
      </c>
      <c r="R1989">
        <f>IF(AND(COUNTIF($A$2:$A$2047,A1989)&gt;1,COUNTIF($A$2:A1989,A1989)=1),1,0)</f>
        <v>0</v>
      </c>
      <c r="S1989" t="b">
        <f>IFERROR(VLOOKUP(D1989,Products!$A$2:$F$61,6,FALSE()),"")</f>
        <v>1</v>
      </c>
      <c r="T1989" t="str">
        <f>IF(COUNTIF(Customers!$A$2:$A$301,C1989)=0,"Missing","OK")</f>
        <v>OK</v>
      </c>
      <c r="U1989" t="str">
        <f t="shared" si="94"/>
        <v>Mumbai</v>
      </c>
      <c r="V1989">
        <f t="shared" si="95"/>
        <v>0</v>
      </c>
    </row>
    <row r="1990" spans="1:22" ht="15" customHeight="1" x14ac:dyDescent="0.35">
      <c r="A1990" s="3" t="s">
        <v>2428</v>
      </c>
      <c r="B1990" s="4">
        <v>45401</v>
      </c>
      <c r="C1990" s="3" t="s">
        <v>644</v>
      </c>
      <c r="D1990" s="3" t="s">
        <v>215</v>
      </c>
      <c r="E1990" s="3" t="s">
        <v>140</v>
      </c>
      <c r="F1990" s="5">
        <v>3</v>
      </c>
      <c r="G1990" s="5">
        <v>3020</v>
      </c>
      <c r="H1990" s="5">
        <v>21.4</v>
      </c>
      <c r="I1990" s="5">
        <v>7121.16</v>
      </c>
      <c r="J1990" s="3" t="s">
        <v>79</v>
      </c>
      <c r="K1990" s="3" t="s">
        <v>38</v>
      </c>
      <c r="L1990" t="str">
        <f>IFERROR(VLOOKUP(D1990,Products!$A$2:$F$61,3,FALSE()),"")</f>
        <v>Beauty</v>
      </c>
      <c r="M1990" t="str">
        <f>IFERROR(VLOOKUP(E1990,Sales_Reps!$A$2:$C$31,3,FALSE()),"")</f>
        <v>West</v>
      </c>
      <c r="N1990">
        <f>IFERROR(VLOOKUP(D1990,Products!$A$2:$F$61,4,FALSE()),"")</f>
        <v>1626</v>
      </c>
      <c r="O1990" t="str">
        <f>IFERROR(VLOOKUP(C1990,Customers!$A$2:$F$301,5,FALSE()),"")</f>
        <v>Retail</v>
      </c>
      <c r="P1990">
        <f>IFERROR(VLOOKUP(C1990,Customers!$A$2:$F$301,3,FALSE()),"")</f>
        <v>53</v>
      </c>
      <c r="Q1990">
        <f t="shared" si="93"/>
        <v>0.46158940397350995</v>
      </c>
      <c r="R1990">
        <f>IF(AND(COUNTIF($A$2:$A$2047,A1990)&gt;1,COUNTIF($A$2:A1990,A1990)=1),1,0)</f>
        <v>0</v>
      </c>
      <c r="S1990" t="b">
        <f>IFERROR(VLOOKUP(D1990,Products!$A$2:$F$61,6,FALSE()),"")</f>
        <v>1</v>
      </c>
      <c r="T1990" t="str">
        <f>IF(COUNTIF(Customers!$A$2:$A$301,C1990)=0,"Missing","OK")</f>
        <v>OK</v>
      </c>
      <c r="U1990" t="str">
        <f t="shared" si="94"/>
        <v>Delhi</v>
      </c>
      <c r="V1990">
        <f t="shared" si="95"/>
        <v>0</v>
      </c>
    </row>
    <row r="1991" spans="1:22" ht="15" customHeight="1" x14ac:dyDescent="0.35">
      <c r="A1991" s="3" t="s">
        <v>2429</v>
      </c>
      <c r="B1991" s="4">
        <v>45645</v>
      </c>
      <c r="C1991" s="3" t="s">
        <v>105</v>
      </c>
      <c r="D1991" s="3" t="s">
        <v>441</v>
      </c>
      <c r="E1991" s="3" t="s">
        <v>42</v>
      </c>
      <c r="F1991" s="5">
        <v>10</v>
      </c>
      <c r="G1991" s="5">
        <v>1090</v>
      </c>
      <c r="H1991" s="5">
        <v>29.2</v>
      </c>
      <c r="I1991" s="5">
        <v>7717.2</v>
      </c>
      <c r="J1991" s="3" t="s">
        <v>79</v>
      </c>
      <c r="K1991" s="3" t="s">
        <v>72</v>
      </c>
      <c r="L1991" t="str">
        <f>IFERROR(VLOOKUP(D1991,Products!$A$2:$F$61,3,FALSE()),"")</f>
        <v>Home</v>
      </c>
      <c r="M1991" t="str">
        <f>IFERROR(VLOOKUP(E1991,Sales_Reps!$A$2:$C$31,3,FALSE()),"")</f>
        <v>North</v>
      </c>
      <c r="N1991">
        <f>IFERROR(VLOOKUP(D1991,Products!$A$2:$F$61,4,FALSE()),"")</f>
        <v>464</v>
      </c>
      <c r="O1991" t="str">
        <f>IFERROR(VLOOKUP(C1991,Customers!$A$2:$F$301,5,FALSE()),"")</f>
        <v>Retail</v>
      </c>
      <c r="P1991">
        <f>IFERROR(VLOOKUP(C1991,Customers!$A$2:$F$301,3,FALSE()),"")</f>
        <v>32</v>
      </c>
      <c r="Q1991">
        <f t="shared" si="93"/>
        <v>0.57431192660550456</v>
      </c>
      <c r="R1991">
        <f>IF(AND(COUNTIF($A$2:$A$2047,A1991)&gt;1,COUNTIF($A$2:A1991,A1991)=1),1,0)</f>
        <v>0</v>
      </c>
      <c r="S1991" t="b">
        <f>IFERROR(VLOOKUP(D1991,Products!$A$2:$F$61,6,FALSE()),"")</f>
        <v>1</v>
      </c>
      <c r="T1991" t="str">
        <f>IF(COUNTIF(Customers!$A$2:$A$301,C1991)=0,"Missing","OK")</f>
        <v>OK</v>
      </c>
      <c r="U1991" t="str">
        <f t="shared" si="94"/>
        <v>Hyderabad</v>
      </c>
      <c r="V1991">
        <f t="shared" si="95"/>
        <v>0</v>
      </c>
    </row>
    <row r="1992" spans="1:22" ht="15" customHeight="1" x14ac:dyDescent="0.35">
      <c r="A1992" s="3" t="s">
        <v>2430</v>
      </c>
      <c r="B1992" s="4">
        <v>45616</v>
      </c>
      <c r="C1992" s="3" t="s">
        <v>1043</v>
      </c>
      <c r="D1992" s="3" t="s">
        <v>130</v>
      </c>
      <c r="E1992" s="3" t="s">
        <v>191</v>
      </c>
      <c r="F1992" s="5">
        <v>5</v>
      </c>
      <c r="G1992" s="5">
        <v>5100</v>
      </c>
      <c r="H1992" s="5">
        <v>28.4</v>
      </c>
      <c r="I1992" s="5">
        <v>18258</v>
      </c>
      <c r="J1992" s="3" t="s">
        <v>26</v>
      </c>
      <c r="K1992" s="3" t="s">
        <v>56</v>
      </c>
      <c r="L1992" t="str">
        <f>IFERROR(VLOOKUP(D1992,Products!$A$2:$F$61,3,FALSE()),"")</f>
        <v>Beauty</v>
      </c>
      <c r="M1992" t="str">
        <f>IFERROR(VLOOKUP(E1992,Sales_Reps!$A$2:$C$31,3,FALSE()),"")</f>
        <v>South</v>
      </c>
      <c r="N1992">
        <f>IFERROR(VLOOKUP(D1992,Products!$A$2:$F$61,4,FALSE()),"")</f>
        <v>2237</v>
      </c>
      <c r="O1992" t="str">
        <f>IFERROR(VLOOKUP(C1992,Customers!$A$2:$F$301,5,FALSE()),"")</f>
        <v>Corporate</v>
      </c>
      <c r="P1992">
        <f>IFERROR(VLOOKUP(C1992,Customers!$A$2:$F$301,3,FALSE()),"")</f>
        <v>31</v>
      </c>
      <c r="Q1992">
        <f t="shared" si="93"/>
        <v>0.56137254901960787</v>
      </c>
      <c r="R1992">
        <f>IF(AND(COUNTIF($A$2:$A$2047,A1992)&gt;1,COUNTIF($A$2:A1992,A1992)=1),1,0)</f>
        <v>0</v>
      </c>
      <c r="S1992" t="b">
        <f>IFERROR(VLOOKUP(D1992,Products!$A$2:$F$61,6,FALSE()),"")</f>
        <v>1</v>
      </c>
      <c r="T1992" t="str">
        <f>IF(COUNTIF(Customers!$A$2:$A$301,C1992)=0,"Missing","OK")</f>
        <v>OK</v>
      </c>
      <c r="U1992" t="str">
        <f t="shared" si="94"/>
        <v>Bengaluru</v>
      </c>
      <c r="V1992">
        <f t="shared" si="95"/>
        <v>0</v>
      </c>
    </row>
    <row r="1993" spans="1:22" ht="15" customHeight="1" x14ac:dyDescent="0.35">
      <c r="A1993" s="3" t="s">
        <v>2431</v>
      </c>
      <c r="B1993" s="4">
        <v>45352</v>
      </c>
      <c r="C1993" s="3" t="s">
        <v>521</v>
      </c>
      <c r="D1993" s="3" t="s">
        <v>123</v>
      </c>
      <c r="E1993" s="3" t="s">
        <v>46</v>
      </c>
      <c r="F1993" s="5">
        <v>6</v>
      </c>
      <c r="G1993" s="5">
        <v>4880</v>
      </c>
      <c r="H1993" s="5">
        <v>16.8</v>
      </c>
      <c r="I1993" s="5">
        <v>24360.959999999999</v>
      </c>
      <c r="J1993" s="3" t="s">
        <v>26</v>
      </c>
      <c r="K1993" s="3" t="s">
        <v>33</v>
      </c>
      <c r="L1993" t="str">
        <f>IFERROR(VLOOKUP(D1993,Products!$A$2:$F$61,3,FALSE()),"")</f>
        <v>Beauty</v>
      </c>
      <c r="M1993" t="str">
        <f>IFERROR(VLOOKUP(E1993,Sales_Reps!$A$2:$C$31,3,FALSE()),"")</f>
        <v>North</v>
      </c>
      <c r="N1993">
        <f>IFERROR(VLOOKUP(D1993,Products!$A$2:$F$61,4,FALSE()),"")</f>
        <v>2768</v>
      </c>
      <c r="O1993" t="str">
        <f>IFERROR(VLOOKUP(C1993,Customers!$A$2:$F$301,5,FALSE()),"")</f>
        <v>SMB</v>
      </c>
      <c r="P1993">
        <f>IFERROR(VLOOKUP(C1993,Customers!$A$2:$F$301,3,FALSE()),"")</f>
        <v>59</v>
      </c>
      <c r="Q1993">
        <f t="shared" si="93"/>
        <v>0.43278688524590164</v>
      </c>
      <c r="R1993">
        <f>IF(AND(COUNTIF($A$2:$A$2047,A1993)&gt;1,COUNTIF($A$2:A1993,A1993)=1),1,0)</f>
        <v>0</v>
      </c>
      <c r="S1993" t="b">
        <f>IFERROR(VLOOKUP(D1993,Products!$A$2:$F$61,6,FALSE()),"")</f>
        <v>1</v>
      </c>
      <c r="T1993" t="str">
        <f>IF(COUNTIF(Customers!$A$2:$A$301,C1993)=0,"Missing","OK")</f>
        <v>OK</v>
      </c>
      <c r="U1993" t="str">
        <f t="shared" si="94"/>
        <v>Chennai</v>
      </c>
      <c r="V1993">
        <f t="shared" si="95"/>
        <v>0</v>
      </c>
    </row>
    <row r="1994" spans="1:22" ht="15" customHeight="1" x14ac:dyDescent="0.35">
      <c r="A1994" s="3" t="s">
        <v>2432</v>
      </c>
      <c r="B1994" s="4">
        <v>45451</v>
      </c>
      <c r="C1994" s="3" t="s">
        <v>636</v>
      </c>
      <c r="D1994" s="3" t="s">
        <v>303</v>
      </c>
      <c r="E1994" s="3" t="s">
        <v>282</v>
      </c>
      <c r="F1994" s="5">
        <v>1</v>
      </c>
      <c r="G1994" s="5">
        <v>5330</v>
      </c>
      <c r="H1994" s="5">
        <v>27.5</v>
      </c>
      <c r="I1994" s="5">
        <v>3864.25</v>
      </c>
      <c r="J1994" s="3" t="s">
        <v>26</v>
      </c>
      <c r="K1994" s="3" t="s">
        <v>72</v>
      </c>
      <c r="L1994" t="str">
        <f>IFERROR(VLOOKUP(D1994,Products!$A$2:$F$61,3,FALSE()),"")</f>
        <v>Electronics</v>
      </c>
      <c r="M1994" t="str">
        <f>IFERROR(VLOOKUP(E1994,Sales_Reps!$A$2:$C$31,3,FALSE()),"")</f>
        <v>West</v>
      </c>
      <c r="N1994">
        <f>IFERROR(VLOOKUP(D1994,Products!$A$2:$F$61,4,FALSE()),"")</f>
        <v>2405</v>
      </c>
      <c r="O1994" t="str">
        <f>IFERROR(VLOOKUP(C1994,Customers!$A$2:$F$301,5,FALSE()),"")</f>
        <v>Retail</v>
      </c>
      <c r="P1994">
        <f>IFERROR(VLOOKUP(C1994,Customers!$A$2:$F$301,3,FALSE()),"")</f>
        <v>65</v>
      </c>
      <c r="Q1994">
        <f t="shared" si="93"/>
        <v>0.54878048780487809</v>
      </c>
      <c r="R1994">
        <f>IF(AND(COUNTIF($A$2:$A$2047,A1994)&gt;1,COUNTIF($A$2:A1994,A1994)=1),1,0)</f>
        <v>0</v>
      </c>
      <c r="S1994" t="b">
        <f>IFERROR(VLOOKUP(D1994,Products!$A$2:$F$61,6,FALSE()),"")</f>
        <v>1</v>
      </c>
      <c r="T1994" t="str">
        <f>IF(COUNTIF(Customers!$A$2:$A$301,C1994)=0,"Missing","OK")</f>
        <v>OK</v>
      </c>
      <c r="U1994" t="str">
        <f t="shared" si="94"/>
        <v>Hyderabad</v>
      </c>
      <c r="V1994">
        <f t="shared" si="95"/>
        <v>0</v>
      </c>
    </row>
    <row r="1995" spans="1:22" ht="15" customHeight="1" x14ac:dyDescent="0.35">
      <c r="A1995" s="3" t="s">
        <v>2433</v>
      </c>
      <c r="B1995" s="4">
        <v>45477</v>
      </c>
      <c r="C1995" s="3" t="s">
        <v>81</v>
      </c>
      <c r="D1995" s="3" t="s">
        <v>234</v>
      </c>
      <c r="E1995" s="3" t="s">
        <v>168</v>
      </c>
      <c r="F1995" s="5">
        <v>7</v>
      </c>
      <c r="G1995" s="5">
        <v>2030</v>
      </c>
      <c r="H1995" s="5">
        <v>5.3</v>
      </c>
      <c r="I1995" s="5">
        <v>13456.87</v>
      </c>
      <c r="J1995" s="3" t="s">
        <v>79</v>
      </c>
      <c r="K1995" s="3" t="s">
        <v>27</v>
      </c>
      <c r="L1995" t="str">
        <f>IFERROR(VLOOKUP(D1995,Products!$A$2:$F$61,3,FALSE()),"")</f>
        <v>Home</v>
      </c>
      <c r="M1995" t="str">
        <f>IFERROR(VLOOKUP(E1995,Sales_Reps!$A$2:$C$31,3,FALSE()),"")</f>
        <v>West</v>
      </c>
      <c r="N1995">
        <f>IFERROR(VLOOKUP(D1995,Products!$A$2:$F$61,4,FALSE()),"")</f>
        <v>1143</v>
      </c>
      <c r="O1995" t="str">
        <f>IFERROR(VLOOKUP(C1995,Customers!$A$2:$F$301,5,FALSE()),"")</f>
        <v>SMB</v>
      </c>
      <c r="P1995">
        <f>IFERROR(VLOOKUP(C1995,Customers!$A$2:$F$301,3,FALSE()),"")</f>
        <v>39</v>
      </c>
      <c r="Q1995">
        <f t="shared" si="93"/>
        <v>0.43694581280788175</v>
      </c>
      <c r="R1995">
        <f>IF(AND(COUNTIF($A$2:$A$2047,A1995)&gt;1,COUNTIF($A$2:A1995,A1995)=1),1,0)</f>
        <v>0</v>
      </c>
      <c r="S1995" t="b">
        <f>IFERROR(VLOOKUP(D1995,Products!$A$2:$F$61,6,FALSE()),"")</f>
        <v>1</v>
      </c>
      <c r="T1995" t="str">
        <f>IF(COUNTIF(Customers!$A$2:$A$301,C1995)=0,"Missing","OK")</f>
        <v>OK</v>
      </c>
      <c r="U1995" t="str">
        <f t="shared" si="94"/>
        <v>Pune</v>
      </c>
      <c r="V1995">
        <f t="shared" si="95"/>
        <v>0</v>
      </c>
    </row>
    <row r="1996" spans="1:22" ht="15" customHeight="1" x14ac:dyDescent="0.35">
      <c r="A1996" s="3" t="s">
        <v>2434</v>
      </c>
      <c r="B1996" s="4">
        <v>45360</v>
      </c>
      <c r="C1996" s="3" t="s">
        <v>62</v>
      </c>
      <c r="D1996" s="3" t="s">
        <v>118</v>
      </c>
      <c r="E1996" s="3" t="s">
        <v>55</v>
      </c>
      <c r="F1996" s="5">
        <v>7</v>
      </c>
      <c r="G1996" s="5">
        <v>3350</v>
      </c>
      <c r="H1996" s="5">
        <v>0.4</v>
      </c>
      <c r="I1996" s="5">
        <v>23356.2</v>
      </c>
      <c r="J1996" s="3" t="s">
        <v>26</v>
      </c>
      <c r="K1996" s="3" t="s">
        <v>56</v>
      </c>
      <c r="L1996" t="str">
        <f>IFERROR(VLOOKUP(D1996,Products!$A$2:$F$61,3,FALSE()),"")</f>
        <v>Beauty</v>
      </c>
      <c r="M1996" t="str">
        <f>IFERROR(VLOOKUP(E1996,Sales_Reps!$A$2:$C$31,3,FALSE()),"")</f>
        <v>West</v>
      </c>
      <c r="N1996">
        <f>IFERROR(VLOOKUP(D1996,Products!$A$2:$F$61,4,FALSE()),"")</f>
        <v>1728</v>
      </c>
      <c r="O1996" t="str">
        <f>IFERROR(VLOOKUP(C1996,Customers!$A$2:$F$301,5,FALSE()),"")</f>
        <v>Retail</v>
      </c>
      <c r="P1996">
        <f>IFERROR(VLOOKUP(C1996,Customers!$A$2:$F$301,3,FALSE()),"")</f>
        <v>42</v>
      </c>
      <c r="Q1996">
        <f t="shared" si="93"/>
        <v>0.48417910447761192</v>
      </c>
      <c r="R1996">
        <f>IF(AND(COUNTIF($A$2:$A$2047,A1996)&gt;1,COUNTIF($A$2:A1996,A1996)=1),1,0)</f>
        <v>0</v>
      </c>
      <c r="S1996" t="b">
        <f>IFERROR(VLOOKUP(D1996,Products!$A$2:$F$61,6,FALSE()),"")</f>
        <v>1</v>
      </c>
      <c r="T1996" t="str">
        <f>IF(COUNTIF(Customers!$A$2:$A$301,C1996)=0,"Missing","OK")</f>
        <v>OK</v>
      </c>
      <c r="U1996" t="str">
        <f t="shared" si="94"/>
        <v>Bengaluru</v>
      </c>
      <c r="V1996">
        <f t="shared" si="95"/>
        <v>0</v>
      </c>
    </row>
    <row r="1997" spans="1:22" ht="15" customHeight="1" x14ac:dyDescent="0.35">
      <c r="A1997" s="3" t="s">
        <v>2435</v>
      </c>
      <c r="B1997" s="4">
        <v>45292</v>
      </c>
      <c r="C1997" s="3" t="s">
        <v>102</v>
      </c>
      <c r="D1997" s="3" t="s">
        <v>165</v>
      </c>
      <c r="E1997" s="3" t="s">
        <v>127</v>
      </c>
      <c r="F1997" s="5">
        <v>6</v>
      </c>
      <c r="G1997" s="5">
        <v>3730</v>
      </c>
      <c r="H1997" s="5">
        <v>13.8</v>
      </c>
      <c r="I1997" s="5">
        <v>19291.560000000001</v>
      </c>
      <c r="J1997" s="3" t="s">
        <v>26</v>
      </c>
      <c r="K1997" s="3" t="s">
        <v>33</v>
      </c>
      <c r="L1997" t="str">
        <f>IFERROR(VLOOKUP(D1997,Products!$A$2:$F$61,3,FALSE()),"")</f>
        <v>Home</v>
      </c>
      <c r="M1997" t="str">
        <f>IFERROR(VLOOKUP(E1997,Sales_Reps!$A$2:$C$31,3,FALSE()),"")</f>
        <v>South</v>
      </c>
      <c r="N1997">
        <f>IFERROR(VLOOKUP(D1997,Products!$A$2:$F$61,4,FALSE()),"")</f>
        <v>2135</v>
      </c>
      <c r="O1997" t="str">
        <f>IFERROR(VLOOKUP(C1997,Customers!$A$2:$F$301,5,FALSE()),"")</f>
        <v>Retail</v>
      </c>
      <c r="P1997">
        <f>IFERROR(VLOOKUP(C1997,Customers!$A$2:$F$301,3,FALSE()),"")</f>
        <v>49</v>
      </c>
      <c r="Q1997">
        <f t="shared" si="93"/>
        <v>0.42761394101876676</v>
      </c>
      <c r="R1997">
        <f>IF(AND(COUNTIF($A$2:$A$2047,A1997)&gt;1,COUNTIF($A$2:A1997,A1997)=1),1,0)</f>
        <v>0</v>
      </c>
      <c r="S1997" t="b">
        <f>IFERROR(VLOOKUP(D1997,Products!$A$2:$F$61,6,FALSE()),"")</f>
        <v>1</v>
      </c>
      <c r="T1997" t="str">
        <f>IF(COUNTIF(Customers!$A$2:$A$301,C1997)=0,"Missing","OK")</f>
        <v>OK</v>
      </c>
      <c r="U1997" t="str">
        <f t="shared" si="94"/>
        <v>Chennai</v>
      </c>
      <c r="V1997">
        <f t="shared" si="95"/>
        <v>0</v>
      </c>
    </row>
    <row r="1998" spans="1:22" ht="15" customHeight="1" x14ac:dyDescent="0.35">
      <c r="A1998" s="3" t="s">
        <v>2436</v>
      </c>
      <c r="B1998" s="4">
        <v>45585</v>
      </c>
      <c r="C1998" s="3" t="s">
        <v>502</v>
      </c>
      <c r="D1998" s="3" t="s">
        <v>347</v>
      </c>
      <c r="E1998" s="3" t="s">
        <v>177</v>
      </c>
      <c r="F1998" s="5">
        <v>6</v>
      </c>
      <c r="G1998" s="5">
        <v>3970</v>
      </c>
      <c r="H1998" s="5">
        <v>5.8</v>
      </c>
      <c r="I1998" s="5">
        <v>22438.44</v>
      </c>
      <c r="J1998" s="3" t="s">
        <v>32</v>
      </c>
      <c r="K1998" s="3" t="s">
        <v>27</v>
      </c>
      <c r="L1998" t="str">
        <f>IFERROR(VLOOKUP(D1998,Products!$A$2:$F$61,3,FALSE()),"")</f>
        <v>Electronics</v>
      </c>
      <c r="M1998" t="str">
        <f>IFERROR(VLOOKUP(E1998,Sales_Reps!$A$2:$C$31,3,FALSE()),"")</f>
        <v>East</v>
      </c>
      <c r="N1998">
        <f>IFERROR(VLOOKUP(D1998,Products!$A$2:$F$61,4,FALSE()),"")</f>
        <v>2865</v>
      </c>
      <c r="O1998" t="str">
        <f>IFERROR(VLOOKUP(C1998,Customers!$A$2:$F$301,5,FALSE()),"")</f>
        <v>SMB</v>
      </c>
      <c r="P1998">
        <f>IFERROR(VLOOKUP(C1998,Customers!$A$2:$F$301,3,FALSE()),"")</f>
        <v>24</v>
      </c>
      <c r="Q1998">
        <f t="shared" si="93"/>
        <v>0.27833753148614609</v>
      </c>
      <c r="R1998">
        <f>IF(AND(COUNTIF($A$2:$A$2047,A1998)&gt;1,COUNTIF($A$2:A1998,A1998)=1),1,0)</f>
        <v>0</v>
      </c>
      <c r="S1998" t="b">
        <f>IFERROR(VLOOKUP(D1998,Products!$A$2:$F$61,6,FALSE()),"")</f>
        <v>1</v>
      </c>
      <c r="T1998" t="str">
        <f>IF(COUNTIF(Customers!$A$2:$A$301,C1998)=0,"Missing","OK")</f>
        <v>OK</v>
      </c>
      <c r="U1998" t="str">
        <f t="shared" si="94"/>
        <v>Pune</v>
      </c>
      <c r="V1998">
        <f t="shared" si="95"/>
        <v>0</v>
      </c>
    </row>
    <row r="1999" spans="1:22" ht="15" customHeight="1" x14ac:dyDescent="0.35">
      <c r="A1999" s="3" t="s">
        <v>2437</v>
      </c>
      <c r="B1999" s="4">
        <v>45592</v>
      </c>
      <c r="C1999" s="3" t="s">
        <v>696</v>
      </c>
      <c r="D1999" s="3" t="s">
        <v>277</v>
      </c>
      <c r="E1999" s="3" t="s">
        <v>212</v>
      </c>
      <c r="F1999" s="5">
        <v>4</v>
      </c>
      <c r="G1999" s="5">
        <v>2210</v>
      </c>
      <c r="H1999" s="5">
        <v>18.2</v>
      </c>
      <c r="I1999" s="5">
        <v>7231.12</v>
      </c>
      <c r="J1999" s="3" t="s">
        <v>32</v>
      </c>
      <c r="K1999" s="3" t="s">
        <v>56</v>
      </c>
      <c r="L1999" t="str">
        <f>IFERROR(VLOOKUP(D1999,Products!$A$2:$F$61,3,FALSE()),"")</f>
        <v>Grocery</v>
      </c>
      <c r="M1999" t="str">
        <f>IFERROR(VLOOKUP(E1999,Sales_Reps!$A$2:$C$31,3,FALSE()),"")</f>
        <v>South</v>
      </c>
      <c r="N1999">
        <f>IFERROR(VLOOKUP(D1999,Products!$A$2:$F$61,4,FALSE()),"")</f>
        <v>1010</v>
      </c>
      <c r="O1999" t="str">
        <f>IFERROR(VLOOKUP(C1999,Customers!$A$2:$F$301,5,FALSE()),"")</f>
        <v>Corporate</v>
      </c>
      <c r="P1999">
        <f>IFERROR(VLOOKUP(C1999,Customers!$A$2:$F$301,3,FALSE()),"")</f>
        <v>43</v>
      </c>
      <c r="Q1999">
        <f t="shared" si="93"/>
        <v>0.54298642533936647</v>
      </c>
      <c r="R1999">
        <f>IF(AND(COUNTIF($A$2:$A$2047,A1999)&gt;1,COUNTIF($A$2:A1999,A1999)=1),1,0)</f>
        <v>0</v>
      </c>
      <c r="S1999" t="b">
        <f>IFERROR(VLOOKUP(D1999,Products!$A$2:$F$61,6,FALSE()),"")</f>
        <v>1</v>
      </c>
      <c r="T1999" t="str">
        <f>IF(COUNTIF(Customers!$A$2:$A$301,C1999)=0,"Missing","OK")</f>
        <v>OK</v>
      </c>
      <c r="U1999" t="str">
        <f t="shared" si="94"/>
        <v>Bengaluru</v>
      </c>
      <c r="V1999">
        <f t="shared" si="95"/>
        <v>7231.12</v>
      </c>
    </row>
    <row r="2000" spans="1:22" ht="15" customHeight="1" x14ac:dyDescent="0.35">
      <c r="A2000" s="3" t="s">
        <v>2438</v>
      </c>
      <c r="B2000" s="4">
        <v>45370</v>
      </c>
      <c r="C2000" s="3" t="s">
        <v>577</v>
      </c>
      <c r="D2000" s="3" t="s">
        <v>299</v>
      </c>
      <c r="E2000" s="3" t="s">
        <v>46</v>
      </c>
      <c r="F2000" s="5">
        <v>6</v>
      </c>
      <c r="G2000" s="5">
        <v>5410</v>
      </c>
      <c r="H2000" s="5">
        <v>15.5</v>
      </c>
      <c r="I2000" s="5">
        <v>27428.7</v>
      </c>
      <c r="J2000" s="3" t="s">
        <v>26</v>
      </c>
      <c r="K2000" s="3" t="s">
        <v>38</v>
      </c>
      <c r="L2000" t="str">
        <f>IFERROR(VLOOKUP(D2000,Products!$A$2:$F$61,3,FALSE()),"")</f>
        <v>Sports</v>
      </c>
      <c r="M2000" t="str">
        <f>IFERROR(VLOOKUP(E2000,Sales_Reps!$A$2:$C$31,3,FALSE()),"")</f>
        <v>North</v>
      </c>
      <c r="N2000">
        <f>IFERROR(VLOOKUP(D2000,Products!$A$2:$F$61,4,FALSE()),"")</f>
        <v>2265</v>
      </c>
      <c r="O2000" t="str">
        <f>IFERROR(VLOOKUP(C2000,Customers!$A$2:$F$301,5,FALSE()),"")</f>
        <v>Retail</v>
      </c>
      <c r="P2000">
        <f>IFERROR(VLOOKUP(C2000,Customers!$A$2:$F$301,3,FALSE()),"")</f>
        <v>43</v>
      </c>
      <c r="Q2000">
        <f t="shared" si="93"/>
        <v>0.58133086876155271</v>
      </c>
      <c r="R2000">
        <f>IF(AND(COUNTIF($A$2:$A$2047,A2000)&gt;1,COUNTIF($A$2:A2000,A2000)=1),1,0)</f>
        <v>0</v>
      </c>
      <c r="S2000" t="b">
        <f>IFERROR(VLOOKUP(D2000,Products!$A$2:$F$61,6,FALSE()),"")</f>
        <v>1</v>
      </c>
      <c r="T2000" t="str">
        <f>IF(COUNTIF(Customers!$A$2:$A$301,C2000)=0,"Missing","OK")</f>
        <v>OK</v>
      </c>
      <c r="U2000" t="str">
        <f t="shared" si="94"/>
        <v>Delhi</v>
      </c>
      <c r="V2000">
        <f t="shared" si="95"/>
        <v>0</v>
      </c>
    </row>
    <row r="2001" spans="1:22" ht="15" customHeight="1" x14ac:dyDescent="0.35">
      <c r="A2001" s="3" t="s">
        <v>2439</v>
      </c>
      <c r="B2001" s="4">
        <v>45325</v>
      </c>
      <c r="C2001" s="3" t="s">
        <v>574</v>
      </c>
      <c r="D2001" s="3" t="s">
        <v>382</v>
      </c>
      <c r="E2001" s="3" t="s">
        <v>93</v>
      </c>
      <c r="F2001" s="5">
        <v>6</v>
      </c>
      <c r="G2001" s="5">
        <v>5080</v>
      </c>
      <c r="H2001" s="5">
        <v>28.1</v>
      </c>
      <c r="I2001" s="5">
        <v>21915.119999999999</v>
      </c>
      <c r="J2001" s="3" t="s">
        <v>26</v>
      </c>
      <c r="K2001" s="3" t="s">
        <v>38</v>
      </c>
      <c r="L2001" t="str">
        <f>IFERROR(VLOOKUP(D2001,Products!$A$2:$F$61,3,FALSE()),"")</f>
        <v>Home</v>
      </c>
      <c r="M2001" t="str">
        <f>IFERROR(VLOOKUP(E2001,Sales_Reps!$A$2:$C$31,3,FALSE()),"")</f>
        <v>East</v>
      </c>
      <c r="N2001">
        <f>IFERROR(VLOOKUP(D2001,Products!$A$2:$F$61,4,FALSE()),"")</f>
        <v>2459</v>
      </c>
      <c r="O2001" t="str">
        <f>IFERROR(VLOOKUP(C2001,Customers!$A$2:$F$301,5,FALSE()),"")</f>
        <v>Retail</v>
      </c>
      <c r="P2001">
        <f>IFERROR(VLOOKUP(C2001,Customers!$A$2:$F$301,3,FALSE()),"")</f>
        <v>49</v>
      </c>
      <c r="Q2001">
        <f t="shared" si="93"/>
        <v>0.51594488188976373</v>
      </c>
      <c r="R2001">
        <f>IF(AND(COUNTIF($A$2:$A$2047,A2001)&gt;1,COUNTIF($A$2:A2001,A2001)=1),1,0)</f>
        <v>0</v>
      </c>
      <c r="S2001" t="b">
        <f>IFERROR(VLOOKUP(D2001,Products!$A$2:$F$61,6,FALSE()),"")</f>
        <v>1</v>
      </c>
      <c r="T2001" t="str">
        <f>IF(COUNTIF(Customers!$A$2:$A$301,C2001)=0,"Missing","OK")</f>
        <v>OK</v>
      </c>
      <c r="U2001" t="str">
        <f t="shared" si="94"/>
        <v>Delhi</v>
      </c>
      <c r="V2001">
        <f t="shared" si="95"/>
        <v>0</v>
      </c>
    </row>
    <row r="2002" spans="1:22" ht="15" customHeight="1" x14ac:dyDescent="0.35">
      <c r="L2002" t="str">
        <f>IFERROR(VLOOKUP(D2002,Products!$A$2:$F$61,3,FALSE()),"")</f>
        <v/>
      </c>
      <c r="M2002" t="str">
        <f>IFERROR(VLOOKUP(E2002,Sales_Reps!$A$2:$C$31,3,FALSE()),"")</f>
        <v/>
      </c>
      <c r="N2002" t="str">
        <f>IFERROR(VLOOKUP(D2002,Products!$A$2:$F$61,4,FALSE()),"")</f>
        <v/>
      </c>
      <c r="O2002" t="str">
        <f>IFERROR(VLOOKUP(C2002,Customers!$A$2:$F$301,5,FALSE()),"")</f>
        <v/>
      </c>
      <c r="P2002" t="str">
        <f>IFERROR(VLOOKUP(C2002,Customers!$A$2:$F$301,3,FALSE()),"")</f>
        <v/>
      </c>
      <c r="Q2002" t="str">
        <f t="shared" si="93"/>
        <v/>
      </c>
      <c r="R2002">
        <f>IF(AND(COUNTIF($A$2:$A$2047,A2002)&gt;1,COUNTIF($A$2:A2002,A2002)=1),1,0)</f>
        <v>0</v>
      </c>
      <c r="S2002" t="str">
        <f>IFERROR(VLOOKUP(D2002,Products!$A$2:$F$61,6,FALSE()),"")</f>
        <v/>
      </c>
      <c r="T2002" t="str">
        <f>IF(COUNTIF(Customers!$A$2:$A$301,C2002)=0,"Missing","OK")</f>
        <v>Missing</v>
      </c>
      <c r="U2002" t="str">
        <f t="shared" si="94"/>
        <v/>
      </c>
      <c r="V2002">
        <f t="shared" si="95"/>
        <v>0</v>
      </c>
    </row>
    <row r="2003" spans="1:22" ht="15" customHeight="1" x14ac:dyDescent="0.35">
      <c r="L2003" t="str">
        <f>IFERROR(VLOOKUP(D2003,Products!$A$2:$F$61,3,FALSE()),"")</f>
        <v/>
      </c>
      <c r="M2003" t="str">
        <f>IFERROR(VLOOKUP(E2003,Sales_Reps!$A$2:$C$31,3,FALSE()),"")</f>
        <v/>
      </c>
      <c r="N2003" t="str">
        <f>IFERROR(VLOOKUP(D2003,Products!$A$2:$F$61,4,FALSE()),"")</f>
        <v/>
      </c>
      <c r="O2003" t="str">
        <f>IFERROR(VLOOKUP(C2003,Customers!$A$2:$F$301,5,FALSE()),"")</f>
        <v/>
      </c>
      <c r="P2003" t="str">
        <f>IFERROR(VLOOKUP(C2003,Customers!$A$2:$F$301,3,FALSE()),"")</f>
        <v/>
      </c>
      <c r="Q2003" t="str">
        <f t="shared" si="93"/>
        <v/>
      </c>
      <c r="R2003">
        <f>IF(AND(COUNTIF($A$2:$A$2047,A2003)&gt;1,COUNTIF($A$2:A2003,A2003)=1),1,0)</f>
        <v>0</v>
      </c>
      <c r="S2003" t="str">
        <f>IFERROR(VLOOKUP(D2003,Products!$A$2:$F$61,6,FALSE()),"")</f>
        <v/>
      </c>
      <c r="T2003" t="str">
        <f>IF(COUNTIF(Customers!$A$2:$A$301,C2003)=0,"Missing","OK")</f>
        <v>Missing</v>
      </c>
      <c r="U2003" t="str">
        <f t="shared" si="94"/>
        <v/>
      </c>
      <c r="V2003">
        <f t="shared" si="95"/>
        <v>0</v>
      </c>
    </row>
    <row r="2004" spans="1:22" ht="15" customHeight="1" x14ac:dyDescent="0.35">
      <c r="L2004" t="str">
        <f>IFERROR(VLOOKUP(D2004,Products!$A$2:$F$61,3,FALSE()),"")</f>
        <v/>
      </c>
      <c r="M2004" t="str">
        <f>IFERROR(VLOOKUP(E2004,Sales_Reps!$A$2:$C$31,3,FALSE()),"")</f>
        <v/>
      </c>
      <c r="N2004" t="str">
        <f>IFERROR(VLOOKUP(D2004,Products!$A$2:$F$61,4,FALSE()),"")</f>
        <v/>
      </c>
      <c r="O2004" t="str">
        <f>IFERROR(VLOOKUP(C2004,Customers!$A$2:$F$301,5,FALSE()),"")</f>
        <v/>
      </c>
      <c r="P2004" t="str">
        <f>IFERROR(VLOOKUP(C2004,Customers!$A$2:$F$301,3,FALSE()),"")</f>
        <v/>
      </c>
      <c r="Q2004" t="str">
        <f t="shared" si="93"/>
        <v/>
      </c>
      <c r="R2004">
        <f>IF(AND(COUNTIF($A$2:$A$2047,A2004)&gt;1,COUNTIF($A$2:A2004,A2004)=1),1,0)</f>
        <v>0</v>
      </c>
      <c r="S2004" t="str">
        <f>IFERROR(VLOOKUP(D2004,Products!$A$2:$F$61,6,FALSE()),"")</f>
        <v/>
      </c>
      <c r="T2004" t="str">
        <f>IF(COUNTIF(Customers!$A$2:$A$301,C2004)=0,"Missing","OK")</f>
        <v>Missing</v>
      </c>
      <c r="U2004" t="str">
        <f t="shared" si="94"/>
        <v/>
      </c>
      <c r="V2004">
        <f t="shared" si="95"/>
        <v>0</v>
      </c>
    </row>
    <row r="2005" spans="1:22" ht="15" customHeight="1" x14ac:dyDescent="0.35">
      <c r="L2005" t="str">
        <f>IFERROR(VLOOKUP(D2005,Products!$A$2:$F$61,3,FALSE()),"")</f>
        <v/>
      </c>
      <c r="M2005" t="str">
        <f>IFERROR(VLOOKUP(E2005,Sales_Reps!$A$2:$C$31,3,FALSE()),"")</f>
        <v/>
      </c>
      <c r="N2005" t="str">
        <f>IFERROR(VLOOKUP(D2005,Products!$A$2:$F$61,4,FALSE()),"")</f>
        <v/>
      </c>
      <c r="O2005" t="str">
        <f>IFERROR(VLOOKUP(C2005,Customers!$A$2:$F$301,5,FALSE()),"")</f>
        <v/>
      </c>
      <c r="P2005" t="str">
        <f>IFERROR(VLOOKUP(C2005,Customers!$A$2:$F$301,3,FALSE()),"")</f>
        <v/>
      </c>
      <c r="Q2005" t="str">
        <f t="shared" si="93"/>
        <v/>
      </c>
      <c r="R2005">
        <f>IF(AND(COUNTIF($A$2:$A$2047,A2005)&gt;1,COUNTIF($A$2:A2005,A2005)=1),1,0)</f>
        <v>0</v>
      </c>
      <c r="S2005" t="str">
        <f>IFERROR(VLOOKUP(D2005,Products!$A$2:$F$61,6,FALSE()),"")</f>
        <v/>
      </c>
      <c r="T2005" t="str">
        <f>IF(COUNTIF(Customers!$A$2:$A$301,C2005)=0,"Missing","OK")</f>
        <v>Missing</v>
      </c>
      <c r="U2005" t="str">
        <f t="shared" si="94"/>
        <v/>
      </c>
      <c r="V2005">
        <f t="shared" si="95"/>
        <v>0</v>
      </c>
    </row>
    <row r="2006" spans="1:22" ht="15" customHeight="1" x14ac:dyDescent="0.35">
      <c r="L2006" t="str">
        <f>IFERROR(VLOOKUP(D2006,Products!$A$2:$F$61,3,FALSE()),"")</f>
        <v/>
      </c>
      <c r="M2006" t="str">
        <f>IFERROR(VLOOKUP(E2006,Sales_Reps!$A$2:$C$31,3,FALSE()),"")</f>
        <v/>
      </c>
      <c r="N2006" t="str">
        <f>IFERROR(VLOOKUP(D2006,Products!$A$2:$F$61,4,FALSE()),"")</f>
        <v/>
      </c>
      <c r="O2006" t="str">
        <f>IFERROR(VLOOKUP(C2006,Customers!$A$2:$F$301,5,FALSE()),"")</f>
        <v/>
      </c>
      <c r="P2006" t="str">
        <f>IFERROR(VLOOKUP(C2006,Customers!$A$2:$F$301,3,FALSE()),"")</f>
        <v/>
      </c>
      <c r="Q2006" t="str">
        <f t="shared" si="93"/>
        <v/>
      </c>
      <c r="R2006">
        <f>IF(AND(COUNTIF($A$2:$A$2047,A2006)&gt;1,COUNTIF($A$2:A2006,A2006)=1),1,0)</f>
        <v>0</v>
      </c>
      <c r="S2006" t="str">
        <f>IFERROR(VLOOKUP(D2006,Products!$A$2:$F$61,6,FALSE()),"")</f>
        <v/>
      </c>
      <c r="T2006" t="str">
        <f>IF(COUNTIF(Customers!$A$2:$A$301,C2006)=0,"Missing","OK")</f>
        <v>Missing</v>
      </c>
      <c r="U2006" t="str">
        <f t="shared" si="94"/>
        <v/>
      </c>
      <c r="V2006">
        <f t="shared" si="95"/>
        <v>0</v>
      </c>
    </row>
    <row r="2007" spans="1:22" ht="15" customHeight="1" x14ac:dyDescent="0.35">
      <c r="L2007" t="str">
        <f>IFERROR(VLOOKUP(D2007,Products!$A$2:$F$61,3,FALSE()),"")</f>
        <v/>
      </c>
      <c r="M2007" t="str">
        <f>IFERROR(VLOOKUP(E2007,Sales_Reps!$A$2:$C$31,3,FALSE()),"")</f>
        <v/>
      </c>
      <c r="N2007" t="str">
        <f>IFERROR(VLOOKUP(D2007,Products!$A$2:$F$61,4,FALSE()),"")</f>
        <v/>
      </c>
      <c r="O2007" t="str">
        <f>IFERROR(VLOOKUP(C2007,Customers!$A$2:$F$301,5,FALSE()),"")</f>
        <v/>
      </c>
      <c r="P2007" t="str">
        <f>IFERROR(VLOOKUP(C2007,Customers!$A$2:$F$301,3,FALSE()),"")</f>
        <v/>
      </c>
      <c r="Q2007" t="str">
        <f t="shared" si="93"/>
        <v/>
      </c>
      <c r="R2007">
        <f>IF(AND(COUNTIF($A$2:$A$2047,A2007)&gt;1,COUNTIF($A$2:A2007,A2007)=1),1,0)</f>
        <v>0</v>
      </c>
      <c r="S2007" t="str">
        <f>IFERROR(VLOOKUP(D2007,Products!$A$2:$F$61,6,FALSE()),"")</f>
        <v/>
      </c>
      <c r="T2007" t="str">
        <f>IF(COUNTIF(Customers!$A$2:$A$301,C2007)=0,"Missing","OK")</f>
        <v>Missing</v>
      </c>
      <c r="U2007" t="str">
        <f t="shared" si="94"/>
        <v/>
      </c>
      <c r="V2007">
        <f t="shared" si="95"/>
        <v>0</v>
      </c>
    </row>
    <row r="2008" spans="1:22" ht="15" customHeight="1" x14ac:dyDescent="0.35">
      <c r="L2008" t="str">
        <f>IFERROR(VLOOKUP(D2008,Products!$A$2:$F$61,3,FALSE()),"")</f>
        <v/>
      </c>
      <c r="M2008" t="str">
        <f>IFERROR(VLOOKUP(E2008,Sales_Reps!$A$2:$C$31,3,FALSE()),"")</f>
        <v/>
      </c>
      <c r="N2008" t="str">
        <f>IFERROR(VLOOKUP(D2008,Products!$A$2:$F$61,4,FALSE()),"")</f>
        <v/>
      </c>
      <c r="O2008" t="str">
        <f>IFERROR(VLOOKUP(C2008,Customers!$A$2:$F$301,5,FALSE()),"")</f>
        <v/>
      </c>
      <c r="P2008" t="str">
        <f>IFERROR(VLOOKUP(C2008,Customers!$A$2:$F$301,3,FALSE()),"")</f>
        <v/>
      </c>
      <c r="Q2008" t="str">
        <f t="shared" si="93"/>
        <v/>
      </c>
      <c r="R2008">
        <f>IF(AND(COUNTIF($A$2:$A$2047,A2008)&gt;1,COUNTIF($A$2:A2008,A2008)=1),1,0)</f>
        <v>0</v>
      </c>
      <c r="S2008" t="str">
        <f>IFERROR(VLOOKUP(D2008,Products!$A$2:$F$61,6,FALSE()),"")</f>
        <v/>
      </c>
      <c r="T2008" t="str">
        <f>IF(COUNTIF(Customers!$A$2:$A$301,C2008)=0,"Missing","OK")</f>
        <v>Missing</v>
      </c>
      <c r="U2008" t="str">
        <f t="shared" si="94"/>
        <v/>
      </c>
      <c r="V2008">
        <f t="shared" si="95"/>
        <v>0</v>
      </c>
    </row>
    <row r="2009" spans="1:22" ht="15" customHeight="1" x14ac:dyDescent="0.35">
      <c r="L2009" t="str">
        <f>IFERROR(VLOOKUP(D2009,Products!$A$2:$F$61,3,FALSE()),"")</f>
        <v/>
      </c>
      <c r="M2009" t="str">
        <f>IFERROR(VLOOKUP(E2009,Sales_Reps!$A$2:$C$31,3,FALSE()),"")</f>
        <v/>
      </c>
      <c r="N2009" t="str">
        <f>IFERROR(VLOOKUP(D2009,Products!$A$2:$F$61,4,FALSE()),"")</f>
        <v/>
      </c>
      <c r="O2009" t="str">
        <f>IFERROR(VLOOKUP(C2009,Customers!$A$2:$F$301,5,FALSE()),"")</f>
        <v/>
      </c>
      <c r="P2009" t="str">
        <f>IFERROR(VLOOKUP(C2009,Customers!$A$2:$F$301,3,FALSE()),"")</f>
        <v/>
      </c>
      <c r="Q2009" t="str">
        <f t="shared" si="93"/>
        <v/>
      </c>
      <c r="R2009">
        <f>IF(AND(COUNTIF($A$2:$A$2047,A2009)&gt;1,COUNTIF($A$2:A2009,A2009)=1),1,0)</f>
        <v>0</v>
      </c>
      <c r="S2009" t="str">
        <f>IFERROR(VLOOKUP(D2009,Products!$A$2:$F$61,6,FALSE()),"")</f>
        <v/>
      </c>
      <c r="T2009" t="str">
        <f>IF(COUNTIF(Customers!$A$2:$A$301,C2009)=0,"Missing","OK")</f>
        <v>Missing</v>
      </c>
      <c r="U2009" t="str">
        <f t="shared" si="94"/>
        <v/>
      </c>
      <c r="V2009">
        <f t="shared" si="95"/>
        <v>0</v>
      </c>
    </row>
    <row r="2010" spans="1:22" ht="15" customHeight="1" x14ac:dyDescent="0.35">
      <c r="L2010" t="str">
        <f>IFERROR(VLOOKUP(D2010,Products!$A$2:$F$61,3,FALSE()),"")</f>
        <v/>
      </c>
      <c r="M2010" t="str">
        <f>IFERROR(VLOOKUP(E2010,Sales_Reps!$A$2:$C$31,3,FALSE()),"")</f>
        <v/>
      </c>
      <c r="N2010" t="str">
        <f>IFERROR(VLOOKUP(D2010,Products!$A$2:$F$61,4,FALSE()),"")</f>
        <v/>
      </c>
      <c r="O2010" t="str">
        <f>IFERROR(VLOOKUP(C2010,Customers!$A$2:$F$301,5,FALSE()),"")</f>
        <v/>
      </c>
      <c r="P2010" t="str">
        <f>IFERROR(VLOOKUP(C2010,Customers!$A$2:$F$301,3,FALSE()),"")</f>
        <v/>
      </c>
      <c r="Q2010" t="str">
        <f t="shared" si="93"/>
        <v/>
      </c>
      <c r="R2010">
        <f>IF(AND(COUNTIF($A$2:$A$2047,A2010)&gt;1,COUNTIF($A$2:A2010,A2010)=1),1,0)</f>
        <v>0</v>
      </c>
      <c r="S2010" t="str">
        <f>IFERROR(VLOOKUP(D2010,Products!$A$2:$F$61,6,FALSE()),"")</f>
        <v/>
      </c>
      <c r="T2010" t="str">
        <f>IF(COUNTIF(Customers!$A$2:$A$301,C2010)=0,"Missing","OK")</f>
        <v>Missing</v>
      </c>
      <c r="U2010" t="str">
        <f t="shared" si="94"/>
        <v/>
      </c>
      <c r="V2010">
        <f t="shared" si="95"/>
        <v>0</v>
      </c>
    </row>
    <row r="2011" spans="1:22" ht="15" customHeight="1" x14ac:dyDescent="0.35">
      <c r="L2011" t="str">
        <f>IFERROR(VLOOKUP(D2011,Products!$A$2:$F$61,3,FALSE()),"")</f>
        <v/>
      </c>
      <c r="M2011" t="str">
        <f>IFERROR(VLOOKUP(E2011,Sales_Reps!$A$2:$C$31,3,FALSE()),"")</f>
        <v/>
      </c>
      <c r="N2011" t="str">
        <f>IFERROR(VLOOKUP(D2011,Products!$A$2:$F$61,4,FALSE()),"")</f>
        <v/>
      </c>
      <c r="O2011" t="str">
        <f>IFERROR(VLOOKUP(C2011,Customers!$A$2:$F$301,5,FALSE()),"")</f>
        <v/>
      </c>
      <c r="P2011" t="str">
        <f>IFERROR(VLOOKUP(C2011,Customers!$A$2:$F$301,3,FALSE()),"")</f>
        <v/>
      </c>
      <c r="Q2011" t="str">
        <f t="shared" si="93"/>
        <v/>
      </c>
      <c r="R2011">
        <f>IF(AND(COUNTIF($A$2:$A$2047,A2011)&gt;1,COUNTIF($A$2:A2011,A2011)=1),1,0)</f>
        <v>0</v>
      </c>
      <c r="S2011" t="str">
        <f>IFERROR(VLOOKUP(D2011,Products!$A$2:$F$61,6,FALSE()),"")</f>
        <v/>
      </c>
      <c r="T2011" t="str">
        <f>IF(COUNTIF(Customers!$A$2:$A$301,C2011)=0,"Missing","OK")</f>
        <v>Missing</v>
      </c>
      <c r="U2011" t="str">
        <f t="shared" si="94"/>
        <v/>
      </c>
      <c r="V2011">
        <f t="shared" si="95"/>
        <v>0</v>
      </c>
    </row>
    <row r="2012" spans="1:22" ht="15" customHeight="1" x14ac:dyDescent="0.35">
      <c r="L2012" t="str">
        <f>IFERROR(VLOOKUP(D2012,Products!$A$2:$F$61,3,FALSE()),"")</f>
        <v/>
      </c>
      <c r="M2012" t="str">
        <f>IFERROR(VLOOKUP(E2012,Sales_Reps!$A$2:$C$31,3,FALSE()),"")</f>
        <v/>
      </c>
      <c r="N2012" t="str">
        <f>IFERROR(VLOOKUP(D2012,Products!$A$2:$F$61,4,FALSE()),"")</f>
        <v/>
      </c>
      <c r="O2012" t="str">
        <f>IFERROR(VLOOKUP(C2012,Customers!$A$2:$F$301,5,FALSE()),"")</f>
        <v/>
      </c>
      <c r="P2012" t="str">
        <f>IFERROR(VLOOKUP(C2012,Customers!$A$2:$F$301,3,FALSE()),"")</f>
        <v/>
      </c>
      <c r="Q2012" t="str">
        <f t="shared" si="93"/>
        <v/>
      </c>
      <c r="R2012">
        <f>IF(AND(COUNTIF($A$2:$A$2047,A2012)&gt;1,COUNTIF($A$2:A2012,A2012)=1),1,0)</f>
        <v>0</v>
      </c>
      <c r="S2012" t="str">
        <f>IFERROR(VLOOKUP(D2012,Products!$A$2:$F$61,6,FALSE()),"")</f>
        <v/>
      </c>
      <c r="T2012" t="str">
        <f>IF(COUNTIF(Customers!$A$2:$A$301,C2012)=0,"Missing","OK")</f>
        <v>Missing</v>
      </c>
      <c r="U2012" t="str">
        <f t="shared" si="94"/>
        <v/>
      </c>
      <c r="V2012">
        <f t="shared" si="95"/>
        <v>0</v>
      </c>
    </row>
    <row r="2013" spans="1:22" ht="15" customHeight="1" x14ac:dyDescent="0.35">
      <c r="L2013" t="str">
        <f>IFERROR(VLOOKUP(D2013,Products!$A$2:$F$61,3,FALSE()),"")</f>
        <v/>
      </c>
      <c r="M2013" t="str">
        <f>IFERROR(VLOOKUP(E2013,Sales_Reps!$A$2:$C$31,3,FALSE()),"")</f>
        <v/>
      </c>
      <c r="N2013" t="str">
        <f>IFERROR(VLOOKUP(D2013,Products!$A$2:$F$61,4,FALSE()),"")</f>
        <v/>
      </c>
      <c r="O2013" t="str">
        <f>IFERROR(VLOOKUP(C2013,Customers!$A$2:$F$301,5,FALSE()),"")</f>
        <v/>
      </c>
      <c r="P2013" t="str">
        <f>IFERROR(VLOOKUP(C2013,Customers!$A$2:$F$301,3,FALSE()),"")</f>
        <v/>
      </c>
      <c r="Q2013" t="str">
        <f t="shared" si="93"/>
        <v/>
      </c>
      <c r="R2013">
        <f>IF(AND(COUNTIF($A$2:$A$2047,A2013)&gt;1,COUNTIF($A$2:A2013,A2013)=1),1,0)</f>
        <v>0</v>
      </c>
      <c r="S2013" t="str">
        <f>IFERROR(VLOOKUP(D2013,Products!$A$2:$F$61,6,FALSE()),"")</f>
        <v/>
      </c>
      <c r="T2013" t="str">
        <f>IF(COUNTIF(Customers!$A$2:$A$301,C2013)=0,"Missing","OK")</f>
        <v>Missing</v>
      </c>
      <c r="U2013" t="str">
        <f t="shared" si="94"/>
        <v/>
      </c>
      <c r="V2013">
        <f t="shared" si="95"/>
        <v>0</v>
      </c>
    </row>
    <row r="2014" spans="1:22" ht="15" customHeight="1" x14ac:dyDescent="0.35">
      <c r="L2014" t="str">
        <f>IFERROR(VLOOKUP(D2014,Products!$A$2:$F$61,3,FALSE()),"")</f>
        <v/>
      </c>
      <c r="M2014" t="str">
        <f>IFERROR(VLOOKUP(E2014,Sales_Reps!$A$2:$C$31,3,FALSE()),"")</f>
        <v/>
      </c>
      <c r="N2014" t="str">
        <f>IFERROR(VLOOKUP(D2014,Products!$A$2:$F$61,4,FALSE()),"")</f>
        <v/>
      </c>
      <c r="O2014" t="str">
        <f>IFERROR(VLOOKUP(C2014,Customers!$A$2:$F$301,5,FALSE()),"")</f>
        <v/>
      </c>
      <c r="P2014" t="str">
        <f>IFERROR(VLOOKUP(C2014,Customers!$A$2:$F$301,3,FALSE()),"")</f>
        <v/>
      </c>
      <c r="Q2014" t="str">
        <f t="shared" si="93"/>
        <v/>
      </c>
      <c r="R2014">
        <f>IF(AND(COUNTIF($A$2:$A$2047,A2014)&gt;1,COUNTIF($A$2:A2014,A2014)=1),1,0)</f>
        <v>0</v>
      </c>
      <c r="S2014" t="str">
        <f>IFERROR(VLOOKUP(D2014,Products!$A$2:$F$61,6,FALSE()),"")</f>
        <v/>
      </c>
      <c r="T2014" t="str">
        <f>IF(COUNTIF(Customers!$A$2:$A$301,C2014)=0,"Missing","OK")</f>
        <v>Missing</v>
      </c>
      <c r="U2014" t="str">
        <f t="shared" si="94"/>
        <v/>
      </c>
      <c r="V2014">
        <f t="shared" si="95"/>
        <v>0</v>
      </c>
    </row>
    <row r="2015" spans="1:22" ht="15" customHeight="1" x14ac:dyDescent="0.35">
      <c r="L2015" t="str">
        <f>IFERROR(VLOOKUP(D2015,Products!$A$2:$F$61,3,FALSE()),"")</f>
        <v/>
      </c>
      <c r="M2015" t="str">
        <f>IFERROR(VLOOKUP(E2015,Sales_Reps!$A$2:$C$31,3,FALSE()),"")</f>
        <v/>
      </c>
      <c r="N2015" t="str">
        <f>IFERROR(VLOOKUP(D2015,Products!$A$2:$F$61,4,FALSE()),"")</f>
        <v/>
      </c>
      <c r="O2015" t="str">
        <f>IFERROR(VLOOKUP(C2015,Customers!$A$2:$F$301,5,FALSE()),"")</f>
        <v/>
      </c>
      <c r="P2015" t="str">
        <f>IFERROR(VLOOKUP(C2015,Customers!$A$2:$F$301,3,FALSE()),"")</f>
        <v/>
      </c>
      <c r="Q2015" t="str">
        <f t="shared" si="93"/>
        <v/>
      </c>
      <c r="R2015">
        <f>IF(AND(COUNTIF($A$2:$A$2047,A2015)&gt;1,COUNTIF($A$2:A2015,A2015)=1),1,0)</f>
        <v>0</v>
      </c>
      <c r="S2015" t="str">
        <f>IFERROR(VLOOKUP(D2015,Products!$A$2:$F$61,6,FALSE()),"")</f>
        <v/>
      </c>
      <c r="T2015" t="str">
        <f>IF(COUNTIF(Customers!$A$2:$A$301,C2015)=0,"Missing","OK")</f>
        <v>Missing</v>
      </c>
      <c r="U2015" t="str">
        <f t="shared" si="94"/>
        <v/>
      </c>
      <c r="V2015">
        <f t="shared" si="95"/>
        <v>0</v>
      </c>
    </row>
    <row r="2016" spans="1:22" ht="15" customHeight="1" x14ac:dyDescent="0.35">
      <c r="L2016" t="str">
        <f>IFERROR(VLOOKUP(D2016,Products!$A$2:$F$61,3,FALSE()),"")</f>
        <v/>
      </c>
      <c r="M2016" t="str">
        <f>IFERROR(VLOOKUP(E2016,Sales_Reps!$A$2:$C$31,3,FALSE()),"")</f>
        <v/>
      </c>
      <c r="N2016" t="str">
        <f>IFERROR(VLOOKUP(D2016,Products!$A$2:$F$61,4,FALSE()),"")</f>
        <v/>
      </c>
      <c r="O2016" t="str">
        <f>IFERROR(VLOOKUP(C2016,Customers!$A$2:$F$301,5,FALSE()),"")</f>
        <v/>
      </c>
      <c r="P2016" t="str">
        <f>IFERROR(VLOOKUP(C2016,Customers!$A$2:$F$301,3,FALSE()),"")</f>
        <v/>
      </c>
      <c r="Q2016" t="str">
        <f t="shared" si="93"/>
        <v/>
      </c>
      <c r="R2016">
        <f>IF(AND(COUNTIF($A$2:$A$2047,A2016)&gt;1,COUNTIF($A$2:A2016,A2016)=1),1,0)</f>
        <v>0</v>
      </c>
      <c r="S2016" t="str">
        <f>IFERROR(VLOOKUP(D2016,Products!$A$2:$F$61,6,FALSE()),"")</f>
        <v/>
      </c>
      <c r="T2016" t="str">
        <f>IF(COUNTIF(Customers!$A$2:$A$301,C2016)=0,"Missing","OK")</f>
        <v>Missing</v>
      </c>
      <c r="U2016" t="str">
        <f t="shared" si="94"/>
        <v/>
      </c>
      <c r="V2016">
        <f t="shared" si="95"/>
        <v>0</v>
      </c>
    </row>
    <row r="2017" spans="12:22" ht="15" customHeight="1" x14ac:dyDescent="0.35">
      <c r="L2017" t="str">
        <f>IFERROR(VLOOKUP(D2017,Products!$A$2:$F$61,3,FALSE()),"")</f>
        <v/>
      </c>
      <c r="M2017" t="str">
        <f>IFERROR(VLOOKUP(E2017,Sales_Reps!$A$2:$C$31,3,FALSE()),"")</f>
        <v/>
      </c>
      <c r="N2017" t="str">
        <f>IFERROR(VLOOKUP(D2017,Products!$A$2:$F$61,4,FALSE()),"")</f>
        <v/>
      </c>
      <c r="O2017" t="str">
        <f>IFERROR(VLOOKUP(C2017,Customers!$A$2:$F$301,5,FALSE()),"")</f>
        <v/>
      </c>
      <c r="P2017" t="str">
        <f>IFERROR(VLOOKUP(C2017,Customers!$A$2:$F$301,3,FALSE()),"")</f>
        <v/>
      </c>
      <c r="Q2017" t="str">
        <f t="shared" si="93"/>
        <v/>
      </c>
      <c r="R2017">
        <f>IF(AND(COUNTIF($A$2:$A$2047,A2017)&gt;1,COUNTIF($A$2:A2017,A2017)=1),1,0)</f>
        <v>0</v>
      </c>
      <c r="S2017" t="str">
        <f>IFERROR(VLOOKUP(D2017,Products!$A$2:$F$61,6,FALSE()),"")</f>
        <v/>
      </c>
      <c r="T2017" t="str">
        <f>IF(COUNTIF(Customers!$A$2:$A$301,C2017)=0,"Missing","OK")</f>
        <v>Missing</v>
      </c>
      <c r="U2017" t="str">
        <f t="shared" si="94"/>
        <v/>
      </c>
      <c r="V2017">
        <f t="shared" si="95"/>
        <v>0</v>
      </c>
    </row>
    <row r="2018" spans="12:22" ht="15" customHeight="1" x14ac:dyDescent="0.35">
      <c r="L2018" t="str">
        <f>IFERROR(VLOOKUP(D2018,Products!$A$2:$F$61,3,FALSE()),"")</f>
        <v/>
      </c>
      <c r="M2018" t="str">
        <f>IFERROR(VLOOKUP(E2018,Sales_Reps!$A$2:$C$31,3,FALSE()),"")</f>
        <v/>
      </c>
      <c r="N2018" t="str">
        <f>IFERROR(VLOOKUP(D2018,Products!$A$2:$F$61,4,FALSE()),"")</f>
        <v/>
      </c>
      <c r="O2018" t="str">
        <f>IFERROR(VLOOKUP(C2018,Customers!$A$2:$F$301,5,FALSE()),"")</f>
        <v/>
      </c>
      <c r="P2018" t="str">
        <f>IFERROR(VLOOKUP(C2018,Customers!$A$2:$F$301,3,FALSE()),"")</f>
        <v/>
      </c>
      <c r="Q2018" t="str">
        <f t="shared" si="93"/>
        <v/>
      </c>
      <c r="R2018">
        <f>IF(AND(COUNTIF($A$2:$A$2047,A2018)&gt;1,COUNTIF($A$2:A2018,A2018)=1),1,0)</f>
        <v>0</v>
      </c>
      <c r="S2018" t="str">
        <f>IFERROR(VLOOKUP(D2018,Products!$A$2:$F$61,6,FALSE()),"")</f>
        <v/>
      </c>
      <c r="T2018" t="str">
        <f>IF(COUNTIF(Customers!$A$2:$A$301,C2018)=0,"Missing","OK")</f>
        <v>Missing</v>
      </c>
      <c r="U2018" t="str">
        <f t="shared" si="94"/>
        <v/>
      </c>
      <c r="V2018">
        <f t="shared" si="95"/>
        <v>0</v>
      </c>
    </row>
    <row r="2019" spans="12:22" ht="15" customHeight="1" x14ac:dyDescent="0.35">
      <c r="L2019" t="str">
        <f>IFERROR(VLOOKUP(D2019,Products!$A$2:$F$61,3,FALSE()),"")</f>
        <v/>
      </c>
      <c r="M2019" t="str">
        <f>IFERROR(VLOOKUP(E2019,Sales_Reps!$A$2:$C$31,3,FALSE()),"")</f>
        <v/>
      </c>
      <c r="N2019" t="str">
        <f>IFERROR(VLOOKUP(D2019,Products!$A$2:$F$61,4,FALSE()),"")</f>
        <v/>
      </c>
      <c r="O2019" t="str">
        <f>IFERROR(VLOOKUP(C2019,Customers!$A$2:$F$301,5,FALSE()),"")</f>
        <v/>
      </c>
      <c r="P2019" t="str">
        <f>IFERROR(VLOOKUP(C2019,Customers!$A$2:$F$301,3,FALSE()),"")</f>
        <v/>
      </c>
      <c r="Q2019" t="str">
        <f t="shared" si="93"/>
        <v/>
      </c>
      <c r="R2019">
        <f>IF(AND(COUNTIF($A$2:$A$2047,A2019)&gt;1,COUNTIF($A$2:A2019,A2019)=1),1,0)</f>
        <v>0</v>
      </c>
      <c r="S2019" t="str">
        <f>IFERROR(VLOOKUP(D2019,Products!$A$2:$F$61,6,FALSE()),"")</f>
        <v/>
      </c>
      <c r="T2019" t="str">
        <f>IF(COUNTIF(Customers!$A$2:$A$301,C2019)=0,"Missing","OK")</f>
        <v>Missing</v>
      </c>
      <c r="U2019" t="str">
        <f t="shared" si="94"/>
        <v/>
      </c>
      <c r="V2019">
        <f t="shared" si="95"/>
        <v>0</v>
      </c>
    </row>
    <row r="2020" spans="12:22" ht="15" customHeight="1" x14ac:dyDescent="0.35">
      <c r="L2020" t="str">
        <f>IFERROR(VLOOKUP(D2020,Products!$A$2:$F$61,3,FALSE()),"")</f>
        <v/>
      </c>
      <c r="M2020" t="str">
        <f>IFERROR(VLOOKUP(E2020,Sales_Reps!$A$2:$C$31,3,FALSE()),"")</f>
        <v/>
      </c>
      <c r="N2020" t="str">
        <f>IFERROR(VLOOKUP(D2020,Products!$A$2:$F$61,4,FALSE()),"")</f>
        <v/>
      </c>
      <c r="O2020" t="str">
        <f>IFERROR(VLOOKUP(C2020,Customers!$A$2:$F$301,5,FALSE()),"")</f>
        <v/>
      </c>
      <c r="P2020" t="str">
        <f>IFERROR(VLOOKUP(C2020,Customers!$A$2:$F$301,3,FALSE()),"")</f>
        <v/>
      </c>
      <c r="Q2020" t="str">
        <f t="shared" si="93"/>
        <v/>
      </c>
      <c r="R2020">
        <f>IF(AND(COUNTIF($A$2:$A$2047,A2020)&gt;1,COUNTIF($A$2:A2020,A2020)=1),1,0)</f>
        <v>0</v>
      </c>
      <c r="S2020" t="str">
        <f>IFERROR(VLOOKUP(D2020,Products!$A$2:$F$61,6,FALSE()),"")</f>
        <v/>
      </c>
      <c r="T2020" t="str">
        <f>IF(COUNTIF(Customers!$A$2:$A$301,C2020)=0,"Missing","OK")</f>
        <v>Missing</v>
      </c>
      <c r="U2020" t="str">
        <f t="shared" si="94"/>
        <v/>
      </c>
      <c r="V2020">
        <f t="shared" si="95"/>
        <v>0</v>
      </c>
    </row>
    <row r="2021" spans="12:22" ht="15" customHeight="1" x14ac:dyDescent="0.35">
      <c r="L2021" t="str">
        <f>IFERROR(VLOOKUP(D2021,Products!$A$2:$F$61,3,FALSE()),"")</f>
        <v/>
      </c>
      <c r="M2021" t="str">
        <f>IFERROR(VLOOKUP(E2021,Sales_Reps!$A$2:$C$31,3,FALSE()),"")</f>
        <v/>
      </c>
      <c r="N2021" t="str">
        <f>IFERROR(VLOOKUP(D2021,Products!$A$2:$F$61,4,FALSE()),"")</f>
        <v/>
      </c>
      <c r="O2021" t="str">
        <f>IFERROR(VLOOKUP(C2021,Customers!$A$2:$F$301,5,FALSE()),"")</f>
        <v/>
      </c>
      <c r="P2021" t="str">
        <f>IFERROR(VLOOKUP(C2021,Customers!$A$2:$F$301,3,FALSE()),"")</f>
        <v/>
      </c>
      <c r="Q2021" t="str">
        <f t="shared" si="93"/>
        <v/>
      </c>
      <c r="R2021">
        <f>IF(AND(COUNTIF($A$2:$A$2047,A2021)&gt;1,COUNTIF($A$2:A2021,A2021)=1),1,0)</f>
        <v>0</v>
      </c>
      <c r="S2021" t="str">
        <f>IFERROR(VLOOKUP(D2021,Products!$A$2:$F$61,6,FALSE()),"")</f>
        <v/>
      </c>
      <c r="T2021" t="str">
        <f>IF(COUNTIF(Customers!$A$2:$A$301,C2021)=0,"Missing","OK")</f>
        <v>Missing</v>
      </c>
      <c r="U2021" t="str">
        <f t="shared" si="94"/>
        <v/>
      </c>
      <c r="V2021">
        <f t="shared" si="95"/>
        <v>0</v>
      </c>
    </row>
    <row r="2022" spans="12:22" ht="15" customHeight="1" x14ac:dyDescent="0.35">
      <c r="L2022" t="str">
        <f>IFERROR(VLOOKUP(D2022,Products!$A$2:$F$61,3,FALSE()),"")</f>
        <v/>
      </c>
      <c r="M2022" t="str">
        <f>IFERROR(VLOOKUP(E2022,Sales_Reps!$A$2:$C$31,3,FALSE()),"")</f>
        <v/>
      </c>
      <c r="N2022" t="str">
        <f>IFERROR(VLOOKUP(D2022,Products!$A$2:$F$61,4,FALSE()),"")</f>
        <v/>
      </c>
      <c r="O2022" t="str">
        <f>IFERROR(VLOOKUP(C2022,Customers!$A$2:$F$301,5,FALSE()),"")</f>
        <v/>
      </c>
      <c r="P2022" t="str">
        <f>IFERROR(VLOOKUP(C2022,Customers!$A$2:$F$301,3,FALSE()),"")</f>
        <v/>
      </c>
      <c r="Q2022" t="str">
        <f t="shared" si="93"/>
        <v/>
      </c>
      <c r="R2022">
        <f>IF(AND(COUNTIF($A$2:$A$2047,A2022)&gt;1,COUNTIF($A$2:A2022,A2022)=1),1,0)</f>
        <v>0</v>
      </c>
      <c r="S2022" t="str">
        <f>IFERROR(VLOOKUP(D2022,Products!$A$2:$F$61,6,FALSE()),"")</f>
        <v/>
      </c>
      <c r="T2022" t="str">
        <f>IF(COUNTIF(Customers!$A$2:$A$301,C2022)=0,"Missing","OK")</f>
        <v>Missing</v>
      </c>
      <c r="U2022" t="str">
        <f t="shared" si="94"/>
        <v/>
      </c>
      <c r="V2022">
        <f t="shared" si="95"/>
        <v>0</v>
      </c>
    </row>
    <row r="2023" spans="12:22" ht="15" customHeight="1" x14ac:dyDescent="0.35">
      <c r="L2023" t="str">
        <f>IFERROR(VLOOKUP(D2023,Products!$A$2:$F$61,3,FALSE()),"")</f>
        <v/>
      </c>
      <c r="M2023" t="str">
        <f>IFERROR(VLOOKUP(E2023,Sales_Reps!$A$2:$C$31,3,FALSE()),"")</f>
        <v/>
      </c>
      <c r="N2023" t="str">
        <f>IFERROR(VLOOKUP(D2023,Products!$A$2:$F$61,4,FALSE()),"")</f>
        <v/>
      </c>
      <c r="O2023" t="str">
        <f>IFERROR(VLOOKUP(C2023,Customers!$A$2:$F$301,5,FALSE()),"")</f>
        <v/>
      </c>
      <c r="P2023" t="str">
        <f>IFERROR(VLOOKUP(C2023,Customers!$A$2:$F$301,3,FALSE()),"")</f>
        <v/>
      </c>
      <c r="Q2023" t="str">
        <f t="shared" si="93"/>
        <v/>
      </c>
      <c r="R2023">
        <f>IF(AND(COUNTIF($A$2:$A$2047,A2023)&gt;1,COUNTIF($A$2:A2023,A2023)=1),1,0)</f>
        <v>0</v>
      </c>
      <c r="S2023" t="str">
        <f>IFERROR(VLOOKUP(D2023,Products!$A$2:$F$61,6,FALSE()),"")</f>
        <v/>
      </c>
      <c r="T2023" t="str">
        <f>IF(COUNTIF(Customers!$A$2:$A$301,C2023)=0,"Missing","OK")</f>
        <v>Missing</v>
      </c>
      <c r="U2023" t="str">
        <f t="shared" si="94"/>
        <v/>
      </c>
      <c r="V2023">
        <f t="shared" si="95"/>
        <v>0</v>
      </c>
    </row>
    <row r="2024" spans="12:22" ht="15" customHeight="1" x14ac:dyDescent="0.35">
      <c r="L2024" t="str">
        <f>IFERROR(VLOOKUP(D2024,Products!$A$2:$F$61,3,FALSE()),"")</f>
        <v/>
      </c>
      <c r="M2024" t="str">
        <f>IFERROR(VLOOKUP(E2024,Sales_Reps!$A$2:$C$31,3,FALSE()),"")</f>
        <v/>
      </c>
      <c r="N2024" t="str">
        <f>IFERROR(VLOOKUP(D2024,Products!$A$2:$F$61,4,FALSE()),"")</f>
        <v/>
      </c>
      <c r="O2024" t="str">
        <f>IFERROR(VLOOKUP(C2024,Customers!$A$2:$F$301,5,FALSE()),"")</f>
        <v/>
      </c>
      <c r="P2024" t="str">
        <f>IFERROR(VLOOKUP(C2024,Customers!$A$2:$F$301,3,FALSE()),"")</f>
        <v/>
      </c>
      <c r="Q2024" t="str">
        <f t="shared" si="93"/>
        <v/>
      </c>
      <c r="R2024">
        <f>IF(AND(COUNTIF($A$2:$A$2047,A2024)&gt;1,COUNTIF($A$2:A2024,A2024)=1),1,0)</f>
        <v>0</v>
      </c>
      <c r="S2024" t="str">
        <f>IFERROR(VLOOKUP(D2024,Products!$A$2:$F$61,6,FALSE()),"")</f>
        <v/>
      </c>
      <c r="T2024" t="str">
        <f>IF(COUNTIF(Customers!$A$2:$A$301,C2024)=0,"Missing","OK")</f>
        <v>Missing</v>
      </c>
      <c r="U2024" t="str">
        <f t="shared" si="94"/>
        <v/>
      </c>
      <c r="V2024">
        <f t="shared" si="95"/>
        <v>0</v>
      </c>
    </row>
    <row r="2025" spans="12:22" ht="15" customHeight="1" x14ac:dyDescent="0.35">
      <c r="L2025" t="str">
        <f>IFERROR(VLOOKUP(D2025,Products!$A$2:$F$61,3,FALSE()),"")</f>
        <v/>
      </c>
      <c r="M2025" t="str">
        <f>IFERROR(VLOOKUP(E2025,Sales_Reps!$A$2:$C$31,3,FALSE()),"")</f>
        <v/>
      </c>
      <c r="N2025" t="str">
        <f>IFERROR(VLOOKUP(D2025,Products!$A$2:$F$61,4,FALSE()),"")</f>
        <v/>
      </c>
      <c r="O2025" t="str">
        <f>IFERROR(VLOOKUP(C2025,Customers!$A$2:$F$301,5,FALSE()),"")</f>
        <v/>
      </c>
      <c r="P2025" t="str">
        <f>IFERROR(VLOOKUP(C2025,Customers!$A$2:$F$301,3,FALSE()),"")</f>
        <v/>
      </c>
      <c r="Q2025" t="str">
        <f t="shared" si="93"/>
        <v/>
      </c>
      <c r="R2025">
        <f>IF(AND(COUNTIF($A$2:$A$2047,A2025)&gt;1,COUNTIF($A$2:A2025,A2025)=1),1,0)</f>
        <v>0</v>
      </c>
      <c r="S2025" t="str">
        <f>IFERROR(VLOOKUP(D2025,Products!$A$2:$F$61,6,FALSE()),"")</f>
        <v/>
      </c>
      <c r="T2025" t="str">
        <f>IF(COUNTIF(Customers!$A$2:$A$301,C2025)=0,"Missing","OK")</f>
        <v>Missing</v>
      </c>
      <c r="U2025" t="str">
        <f t="shared" si="94"/>
        <v/>
      </c>
      <c r="V2025">
        <f t="shared" si="95"/>
        <v>0</v>
      </c>
    </row>
    <row r="2026" spans="12:22" ht="15" customHeight="1" x14ac:dyDescent="0.35">
      <c r="L2026" t="str">
        <f>IFERROR(VLOOKUP(D2026,Products!$A$2:$F$61,3,FALSE()),"")</f>
        <v/>
      </c>
      <c r="M2026" t="str">
        <f>IFERROR(VLOOKUP(E2026,Sales_Reps!$A$2:$C$31,3,FALSE()),"")</f>
        <v/>
      </c>
      <c r="N2026" t="str">
        <f>IFERROR(VLOOKUP(D2026,Products!$A$2:$F$61,4,FALSE()),"")</f>
        <v/>
      </c>
      <c r="O2026" t="str">
        <f>IFERROR(VLOOKUP(C2026,Customers!$A$2:$F$301,5,FALSE()),"")</f>
        <v/>
      </c>
      <c r="P2026" t="str">
        <f>IFERROR(VLOOKUP(C2026,Customers!$A$2:$F$301,3,FALSE()),"")</f>
        <v/>
      </c>
      <c r="Q2026" t="str">
        <f t="shared" si="93"/>
        <v/>
      </c>
      <c r="R2026">
        <f>IF(AND(COUNTIF($A$2:$A$2047,A2026)&gt;1,COUNTIF($A$2:A2026,A2026)=1),1,0)</f>
        <v>0</v>
      </c>
      <c r="S2026" t="str">
        <f>IFERROR(VLOOKUP(D2026,Products!$A$2:$F$61,6,FALSE()),"")</f>
        <v/>
      </c>
      <c r="T2026" t="str">
        <f>IF(COUNTIF(Customers!$A$2:$A$301,C2026)=0,"Missing","OK")</f>
        <v>Missing</v>
      </c>
      <c r="U2026" t="str">
        <f t="shared" si="94"/>
        <v/>
      </c>
      <c r="V2026">
        <f t="shared" si="95"/>
        <v>0</v>
      </c>
    </row>
    <row r="2027" spans="12:22" ht="15" customHeight="1" x14ac:dyDescent="0.35">
      <c r="L2027" t="str">
        <f>IFERROR(VLOOKUP(D2027,Products!$A$2:$F$61,3,FALSE()),"")</f>
        <v/>
      </c>
      <c r="M2027" t="str">
        <f>IFERROR(VLOOKUP(E2027,Sales_Reps!$A$2:$C$31,3,FALSE()),"")</f>
        <v/>
      </c>
      <c r="N2027" t="str">
        <f>IFERROR(VLOOKUP(D2027,Products!$A$2:$F$61,4,FALSE()),"")</f>
        <v/>
      </c>
      <c r="O2027" t="str">
        <f>IFERROR(VLOOKUP(C2027,Customers!$A$2:$F$301,5,FALSE()),"")</f>
        <v/>
      </c>
      <c r="P2027" t="str">
        <f>IFERROR(VLOOKUP(C2027,Customers!$A$2:$F$301,3,FALSE()),"")</f>
        <v/>
      </c>
      <c r="Q2027" t="str">
        <f t="shared" si="93"/>
        <v/>
      </c>
      <c r="R2027">
        <f>IF(AND(COUNTIF($A$2:$A$2047,A2027)&gt;1,COUNTIF($A$2:A2027,A2027)=1),1,0)</f>
        <v>0</v>
      </c>
      <c r="S2027" t="str">
        <f>IFERROR(VLOOKUP(D2027,Products!$A$2:$F$61,6,FALSE()),"")</f>
        <v/>
      </c>
      <c r="T2027" t="str">
        <f>IF(COUNTIF(Customers!$A$2:$A$301,C2027)=0,"Missing","OK")</f>
        <v>Missing</v>
      </c>
      <c r="U2027" t="str">
        <f t="shared" si="94"/>
        <v/>
      </c>
      <c r="V2027">
        <f t="shared" si="95"/>
        <v>0</v>
      </c>
    </row>
    <row r="2028" spans="12:22" ht="15" customHeight="1" x14ac:dyDescent="0.35">
      <c r="L2028" t="str">
        <f>IFERROR(VLOOKUP(D2028,Products!$A$2:$F$61,3,FALSE()),"")</f>
        <v/>
      </c>
      <c r="M2028" t="str">
        <f>IFERROR(VLOOKUP(E2028,Sales_Reps!$A$2:$C$31,3,FALSE()),"")</f>
        <v/>
      </c>
      <c r="N2028" t="str">
        <f>IFERROR(VLOOKUP(D2028,Products!$A$2:$F$61,4,FALSE()),"")</f>
        <v/>
      </c>
      <c r="O2028" t="str">
        <f>IFERROR(VLOOKUP(C2028,Customers!$A$2:$F$301,5,FALSE()),"")</f>
        <v/>
      </c>
      <c r="P2028" t="str">
        <f>IFERROR(VLOOKUP(C2028,Customers!$A$2:$F$301,3,FALSE()),"")</f>
        <v/>
      </c>
      <c r="Q2028" t="str">
        <f t="shared" si="93"/>
        <v/>
      </c>
      <c r="R2028">
        <f>IF(AND(COUNTIF($A$2:$A$2047,A2028)&gt;1,COUNTIF($A$2:A2028,A2028)=1),1,0)</f>
        <v>0</v>
      </c>
      <c r="S2028" t="str">
        <f>IFERROR(VLOOKUP(D2028,Products!$A$2:$F$61,6,FALSE()),"")</f>
        <v/>
      </c>
      <c r="T2028" t="str">
        <f>IF(COUNTIF(Customers!$A$2:$A$301,C2028)=0,"Missing","OK")</f>
        <v>Missing</v>
      </c>
      <c r="U2028" t="str">
        <f t="shared" si="94"/>
        <v/>
      </c>
      <c r="V2028">
        <f t="shared" si="95"/>
        <v>0</v>
      </c>
    </row>
    <row r="2029" spans="12:22" ht="15" customHeight="1" x14ac:dyDescent="0.35">
      <c r="L2029" t="str">
        <f>IFERROR(VLOOKUP(D2029,Products!$A$2:$F$61,3,FALSE()),"")</f>
        <v/>
      </c>
      <c r="M2029" t="str">
        <f>IFERROR(VLOOKUP(E2029,Sales_Reps!$A$2:$C$31,3,FALSE()),"")</f>
        <v/>
      </c>
      <c r="N2029" t="str">
        <f>IFERROR(VLOOKUP(D2029,Products!$A$2:$F$61,4,FALSE()),"")</f>
        <v/>
      </c>
      <c r="O2029" t="str">
        <f>IFERROR(VLOOKUP(C2029,Customers!$A$2:$F$301,5,FALSE()),"")</f>
        <v/>
      </c>
      <c r="P2029" t="str">
        <f>IFERROR(VLOOKUP(C2029,Customers!$A$2:$F$301,3,FALSE()),"")</f>
        <v/>
      </c>
      <c r="Q2029" t="str">
        <f t="shared" si="93"/>
        <v/>
      </c>
      <c r="R2029">
        <f>IF(AND(COUNTIF($A$2:$A$2047,A2029)&gt;1,COUNTIF($A$2:A2029,A2029)=1),1,0)</f>
        <v>0</v>
      </c>
      <c r="S2029" t="str">
        <f>IFERROR(VLOOKUP(D2029,Products!$A$2:$F$61,6,FALSE()),"")</f>
        <v/>
      </c>
      <c r="T2029" t="str">
        <f>IF(COUNTIF(Customers!$A$2:$A$301,C2029)=0,"Missing","OK")</f>
        <v>Missing</v>
      </c>
      <c r="U2029" t="str">
        <f t="shared" si="94"/>
        <v/>
      </c>
      <c r="V2029">
        <f t="shared" si="95"/>
        <v>0</v>
      </c>
    </row>
    <row r="2030" spans="12:22" ht="15" customHeight="1" x14ac:dyDescent="0.35">
      <c r="L2030" t="str">
        <f>IFERROR(VLOOKUP(D2030,Products!$A$2:$F$61,3,FALSE()),"")</f>
        <v/>
      </c>
      <c r="M2030" t="str">
        <f>IFERROR(VLOOKUP(E2030,Sales_Reps!$A$2:$C$31,3,FALSE()),"")</f>
        <v/>
      </c>
      <c r="N2030" t="str">
        <f>IFERROR(VLOOKUP(D2030,Products!$A$2:$F$61,4,FALSE()),"")</f>
        <v/>
      </c>
      <c r="O2030" t="str">
        <f>IFERROR(VLOOKUP(C2030,Customers!$A$2:$F$301,5,FALSE()),"")</f>
        <v/>
      </c>
      <c r="P2030" t="str">
        <f>IFERROR(VLOOKUP(C2030,Customers!$A$2:$F$301,3,FALSE()),"")</f>
        <v/>
      </c>
      <c r="Q2030" t="str">
        <f t="shared" si="93"/>
        <v/>
      </c>
      <c r="R2030">
        <f>IF(AND(COUNTIF($A$2:$A$2047,A2030)&gt;1,COUNTIF($A$2:A2030,A2030)=1),1,0)</f>
        <v>0</v>
      </c>
      <c r="S2030" t="str">
        <f>IFERROR(VLOOKUP(D2030,Products!$A$2:$F$61,6,FALSE()),"")</f>
        <v/>
      </c>
      <c r="T2030" t="str">
        <f>IF(COUNTIF(Customers!$A$2:$A$301,C2030)=0,"Missing","OK")</f>
        <v>Missing</v>
      </c>
      <c r="U2030" t="str">
        <f t="shared" si="94"/>
        <v/>
      </c>
      <c r="V2030">
        <f t="shared" si="95"/>
        <v>0</v>
      </c>
    </row>
    <row r="2031" spans="12:22" ht="15" customHeight="1" x14ac:dyDescent="0.35">
      <c r="L2031" t="str">
        <f>IFERROR(VLOOKUP(D2031,Products!$A$2:$F$61,3,FALSE()),"")</f>
        <v/>
      </c>
      <c r="M2031" t="str">
        <f>IFERROR(VLOOKUP(E2031,Sales_Reps!$A$2:$C$31,3,FALSE()),"")</f>
        <v/>
      </c>
      <c r="N2031" t="str">
        <f>IFERROR(VLOOKUP(D2031,Products!$A$2:$F$61,4,FALSE()),"")</f>
        <v/>
      </c>
      <c r="O2031" t="str">
        <f>IFERROR(VLOOKUP(C2031,Customers!$A$2:$F$301,5,FALSE()),"")</f>
        <v/>
      </c>
      <c r="P2031" t="str">
        <f>IFERROR(VLOOKUP(C2031,Customers!$A$2:$F$301,3,FALSE()),"")</f>
        <v/>
      </c>
      <c r="Q2031" t="str">
        <f t="shared" si="93"/>
        <v/>
      </c>
      <c r="R2031">
        <f>IF(AND(COUNTIF($A$2:$A$2047,A2031)&gt;1,COUNTIF($A$2:A2031,A2031)=1),1,0)</f>
        <v>0</v>
      </c>
      <c r="S2031" t="str">
        <f>IFERROR(VLOOKUP(D2031,Products!$A$2:$F$61,6,FALSE()),"")</f>
        <v/>
      </c>
      <c r="T2031" t="str">
        <f>IF(COUNTIF(Customers!$A$2:$A$301,C2031)=0,"Missing","OK")</f>
        <v>Missing</v>
      </c>
      <c r="U2031" t="str">
        <f t="shared" si="94"/>
        <v/>
      </c>
      <c r="V2031">
        <f t="shared" si="95"/>
        <v>0</v>
      </c>
    </row>
    <row r="2032" spans="12:22" ht="15" customHeight="1" x14ac:dyDescent="0.35">
      <c r="L2032" t="str">
        <f>IFERROR(VLOOKUP(D2032,Products!$A$2:$F$61,3,FALSE()),"")</f>
        <v/>
      </c>
      <c r="M2032" t="str">
        <f>IFERROR(VLOOKUP(E2032,Sales_Reps!$A$2:$C$31,3,FALSE()),"")</f>
        <v/>
      </c>
      <c r="N2032" t="str">
        <f>IFERROR(VLOOKUP(D2032,Products!$A$2:$F$61,4,FALSE()),"")</f>
        <v/>
      </c>
      <c r="O2032" t="str">
        <f>IFERROR(VLOOKUP(C2032,Customers!$A$2:$F$301,5,FALSE()),"")</f>
        <v/>
      </c>
      <c r="P2032" t="str">
        <f>IFERROR(VLOOKUP(C2032,Customers!$A$2:$F$301,3,FALSE()),"")</f>
        <v/>
      </c>
      <c r="Q2032" t="str">
        <f t="shared" si="93"/>
        <v/>
      </c>
      <c r="R2032">
        <f>IF(AND(COUNTIF($A$2:$A$2047,A2032)&gt;1,COUNTIF($A$2:A2032,A2032)=1),1,0)</f>
        <v>0</v>
      </c>
      <c r="S2032" t="str">
        <f>IFERROR(VLOOKUP(D2032,Products!$A$2:$F$61,6,FALSE()),"")</f>
        <v/>
      </c>
      <c r="T2032" t="str">
        <f>IF(COUNTIF(Customers!$A$2:$A$301,C2032)=0,"Missing","OK")</f>
        <v>Missing</v>
      </c>
      <c r="U2032" t="str">
        <f t="shared" si="94"/>
        <v/>
      </c>
      <c r="V2032">
        <f t="shared" si="95"/>
        <v>0</v>
      </c>
    </row>
    <row r="2033" spans="12:22" ht="15" customHeight="1" x14ac:dyDescent="0.35">
      <c r="L2033" t="str">
        <f>IFERROR(VLOOKUP(D2033,Products!$A$2:$F$61,3,FALSE()),"")</f>
        <v/>
      </c>
      <c r="M2033" t="str">
        <f>IFERROR(VLOOKUP(E2033,Sales_Reps!$A$2:$C$31,3,FALSE()),"")</f>
        <v/>
      </c>
      <c r="N2033" t="str">
        <f>IFERROR(VLOOKUP(D2033,Products!$A$2:$F$61,4,FALSE()),"")</f>
        <v/>
      </c>
      <c r="O2033" t="str">
        <f>IFERROR(VLOOKUP(C2033,Customers!$A$2:$F$301,5,FALSE()),"")</f>
        <v/>
      </c>
      <c r="P2033" t="str">
        <f>IFERROR(VLOOKUP(C2033,Customers!$A$2:$F$301,3,FALSE()),"")</f>
        <v/>
      </c>
      <c r="Q2033" t="str">
        <f t="shared" si="93"/>
        <v/>
      </c>
      <c r="R2033">
        <f>IF(AND(COUNTIF($A$2:$A$2047,A2033)&gt;1,COUNTIF($A$2:A2033,A2033)=1),1,0)</f>
        <v>0</v>
      </c>
      <c r="S2033" t="str">
        <f>IFERROR(VLOOKUP(D2033,Products!$A$2:$F$61,6,FALSE()),"")</f>
        <v/>
      </c>
      <c r="T2033" t="str">
        <f>IF(COUNTIF(Customers!$A$2:$A$301,C2033)=0,"Missing","OK")</f>
        <v>Missing</v>
      </c>
      <c r="U2033" t="str">
        <f t="shared" si="94"/>
        <v/>
      </c>
      <c r="V2033">
        <f t="shared" si="95"/>
        <v>0</v>
      </c>
    </row>
    <row r="2034" spans="12:22" ht="15" customHeight="1" x14ac:dyDescent="0.35">
      <c r="L2034" t="str">
        <f>IFERROR(VLOOKUP(D2034,Products!$A$2:$F$61,3,FALSE()),"")</f>
        <v/>
      </c>
      <c r="M2034" t="str">
        <f>IFERROR(VLOOKUP(E2034,Sales_Reps!$A$2:$C$31,3,FALSE()),"")</f>
        <v/>
      </c>
      <c r="N2034" t="str">
        <f>IFERROR(VLOOKUP(D2034,Products!$A$2:$F$61,4,FALSE()),"")</f>
        <v/>
      </c>
      <c r="O2034" t="str">
        <f>IFERROR(VLOOKUP(C2034,Customers!$A$2:$F$301,5,FALSE()),"")</f>
        <v/>
      </c>
      <c r="P2034" t="str">
        <f>IFERROR(VLOOKUP(C2034,Customers!$A$2:$F$301,3,FALSE()),"")</f>
        <v/>
      </c>
      <c r="Q2034" t="str">
        <f t="shared" si="93"/>
        <v/>
      </c>
      <c r="R2034">
        <f>IF(AND(COUNTIF($A$2:$A$2047,A2034)&gt;1,COUNTIF($A$2:A2034,A2034)=1),1,0)</f>
        <v>0</v>
      </c>
      <c r="S2034" t="str">
        <f>IFERROR(VLOOKUP(D2034,Products!$A$2:$F$61,6,FALSE()),"")</f>
        <v/>
      </c>
      <c r="T2034" t="str">
        <f>IF(COUNTIF(Customers!$A$2:$A$301,C2034)=0,"Missing","OK")</f>
        <v>Missing</v>
      </c>
      <c r="U2034" t="str">
        <f t="shared" si="94"/>
        <v/>
      </c>
      <c r="V2034">
        <f t="shared" si="95"/>
        <v>0</v>
      </c>
    </row>
    <row r="2035" spans="12:22" ht="15" customHeight="1" x14ac:dyDescent="0.35">
      <c r="L2035" t="str">
        <f>IFERROR(VLOOKUP(D2035,Products!$A$2:$F$61,3,FALSE()),"")</f>
        <v/>
      </c>
      <c r="M2035" t="str">
        <f>IFERROR(VLOOKUP(E2035,Sales_Reps!$A$2:$C$31,3,FALSE()),"")</f>
        <v/>
      </c>
      <c r="N2035" t="str">
        <f>IFERROR(VLOOKUP(D2035,Products!$A$2:$F$61,4,FALSE()),"")</f>
        <v/>
      </c>
      <c r="O2035" t="str">
        <f>IFERROR(VLOOKUP(C2035,Customers!$A$2:$F$301,5,FALSE()),"")</f>
        <v/>
      </c>
      <c r="P2035" t="str">
        <f>IFERROR(VLOOKUP(C2035,Customers!$A$2:$F$301,3,FALSE()),"")</f>
        <v/>
      </c>
      <c r="Q2035" t="str">
        <f t="shared" si="93"/>
        <v/>
      </c>
      <c r="R2035">
        <f>IF(AND(COUNTIF($A$2:$A$2047,A2035)&gt;1,COUNTIF($A$2:A2035,A2035)=1),1,0)</f>
        <v>0</v>
      </c>
      <c r="S2035" t="str">
        <f>IFERROR(VLOOKUP(D2035,Products!$A$2:$F$61,6,FALSE()),"")</f>
        <v/>
      </c>
      <c r="T2035" t="str">
        <f>IF(COUNTIF(Customers!$A$2:$A$301,C2035)=0,"Missing","OK")</f>
        <v>Missing</v>
      </c>
      <c r="U2035" t="str">
        <f t="shared" si="94"/>
        <v/>
      </c>
      <c r="V2035">
        <f t="shared" si="95"/>
        <v>0</v>
      </c>
    </row>
    <row r="2036" spans="12:22" ht="15" customHeight="1" x14ac:dyDescent="0.35">
      <c r="L2036" t="str">
        <f>IFERROR(VLOOKUP(D2036,Products!$A$2:$F$61,3,FALSE()),"")</f>
        <v/>
      </c>
      <c r="M2036" t="str">
        <f>IFERROR(VLOOKUP(E2036,Sales_Reps!$A$2:$C$31,3,FALSE()),"")</f>
        <v/>
      </c>
      <c r="N2036" t="str">
        <f>IFERROR(VLOOKUP(D2036,Products!$A$2:$F$61,4,FALSE()),"")</f>
        <v/>
      </c>
      <c r="O2036" t="str">
        <f>IFERROR(VLOOKUP(C2036,Customers!$A$2:$F$301,5,FALSE()),"")</f>
        <v/>
      </c>
      <c r="P2036" t="str">
        <f>IFERROR(VLOOKUP(C2036,Customers!$A$2:$F$301,3,FALSE()),"")</f>
        <v/>
      </c>
      <c r="Q2036" t="str">
        <f t="shared" si="93"/>
        <v/>
      </c>
      <c r="R2036">
        <f>IF(AND(COUNTIF($A$2:$A$2047,A2036)&gt;1,COUNTIF($A$2:A2036,A2036)=1),1,0)</f>
        <v>0</v>
      </c>
      <c r="S2036" t="str">
        <f>IFERROR(VLOOKUP(D2036,Products!$A$2:$F$61,6,FALSE()),"")</f>
        <v/>
      </c>
      <c r="T2036" t="str">
        <f>IF(COUNTIF(Customers!$A$2:$A$301,C2036)=0,"Missing","OK")</f>
        <v>Missing</v>
      </c>
      <c r="U2036" t="str">
        <f t="shared" si="94"/>
        <v/>
      </c>
      <c r="V2036">
        <f t="shared" si="95"/>
        <v>0</v>
      </c>
    </row>
    <row r="2037" spans="12:22" ht="15" customHeight="1" x14ac:dyDescent="0.35">
      <c r="L2037" t="str">
        <f>IFERROR(VLOOKUP(D2037,Products!$A$2:$F$61,3,FALSE()),"")</f>
        <v/>
      </c>
      <c r="M2037" t="str">
        <f>IFERROR(VLOOKUP(E2037,Sales_Reps!$A$2:$C$31,3,FALSE()),"")</f>
        <v/>
      </c>
      <c r="N2037" t="str">
        <f>IFERROR(VLOOKUP(D2037,Products!$A$2:$F$61,4,FALSE()),"")</f>
        <v/>
      </c>
      <c r="O2037" t="str">
        <f>IFERROR(VLOOKUP(C2037,Customers!$A$2:$F$301,5,FALSE()),"")</f>
        <v/>
      </c>
      <c r="P2037" t="str">
        <f>IFERROR(VLOOKUP(C2037,Customers!$A$2:$F$301,3,FALSE()),"")</f>
        <v/>
      </c>
      <c r="Q2037" t="str">
        <f t="shared" si="93"/>
        <v/>
      </c>
      <c r="R2037">
        <f>IF(AND(COUNTIF($A$2:$A$2047,A2037)&gt;1,COUNTIF($A$2:A2037,A2037)=1),1,0)</f>
        <v>0</v>
      </c>
      <c r="S2037" t="str">
        <f>IFERROR(VLOOKUP(D2037,Products!$A$2:$F$61,6,FALSE()),"")</f>
        <v/>
      </c>
      <c r="T2037" t="str">
        <f>IF(COUNTIF(Customers!$A$2:$A$301,C2037)=0,"Missing","OK")</f>
        <v>Missing</v>
      </c>
      <c r="U2037" t="str">
        <f t="shared" si="94"/>
        <v/>
      </c>
      <c r="V2037">
        <f t="shared" si="95"/>
        <v>0</v>
      </c>
    </row>
    <row r="2038" spans="12:22" ht="15" customHeight="1" x14ac:dyDescent="0.35">
      <c r="L2038" t="str">
        <f>IFERROR(VLOOKUP(D2038,Products!$A$2:$F$61,3,FALSE()),"")</f>
        <v/>
      </c>
      <c r="M2038" t="str">
        <f>IFERROR(VLOOKUP(E2038,Sales_Reps!$A$2:$C$31,3,FALSE()),"")</f>
        <v/>
      </c>
      <c r="N2038" t="str">
        <f>IFERROR(VLOOKUP(D2038,Products!$A$2:$F$61,4,FALSE()),"")</f>
        <v/>
      </c>
      <c r="O2038" t="str">
        <f>IFERROR(VLOOKUP(C2038,Customers!$A$2:$F$301,5,FALSE()),"")</f>
        <v/>
      </c>
      <c r="P2038" t="str">
        <f>IFERROR(VLOOKUP(C2038,Customers!$A$2:$F$301,3,FALSE()),"")</f>
        <v/>
      </c>
      <c r="Q2038" t="str">
        <f t="shared" si="93"/>
        <v/>
      </c>
      <c r="R2038">
        <f>IF(AND(COUNTIF($A$2:$A$2047,A2038)&gt;1,COUNTIF($A$2:A2038,A2038)=1),1,0)</f>
        <v>0</v>
      </c>
      <c r="S2038" t="str">
        <f>IFERROR(VLOOKUP(D2038,Products!$A$2:$F$61,6,FALSE()),"")</f>
        <v/>
      </c>
      <c r="T2038" t="str">
        <f>IF(COUNTIF(Customers!$A$2:$A$301,C2038)=0,"Missing","OK")</f>
        <v>Missing</v>
      </c>
      <c r="U2038" t="str">
        <f t="shared" si="94"/>
        <v/>
      </c>
      <c r="V2038">
        <f t="shared" si="95"/>
        <v>0</v>
      </c>
    </row>
    <row r="2039" spans="12:22" ht="15" customHeight="1" x14ac:dyDescent="0.35">
      <c r="L2039" t="str">
        <f>IFERROR(VLOOKUP(D2039,Products!$A$2:$F$61,3,FALSE()),"")</f>
        <v/>
      </c>
      <c r="M2039" t="str">
        <f>IFERROR(VLOOKUP(E2039,Sales_Reps!$A$2:$C$31,3,FALSE()),"")</f>
        <v/>
      </c>
      <c r="N2039" t="str">
        <f>IFERROR(VLOOKUP(D2039,Products!$A$2:$F$61,4,FALSE()),"")</f>
        <v/>
      </c>
      <c r="O2039" t="str">
        <f>IFERROR(VLOOKUP(C2039,Customers!$A$2:$F$301,5,FALSE()),"")</f>
        <v/>
      </c>
      <c r="P2039" t="str">
        <f>IFERROR(VLOOKUP(C2039,Customers!$A$2:$F$301,3,FALSE()),"")</f>
        <v/>
      </c>
      <c r="Q2039" t="str">
        <f t="shared" si="93"/>
        <v/>
      </c>
      <c r="R2039">
        <f>IF(AND(COUNTIF($A$2:$A$2047,A2039)&gt;1,COUNTIF($A$2:A2039,A2039)=1),1,0)</f>
        <v>0</v>
      </c>
      <c r="S2039" t="str">
        <f>IFERROR(VLOOKUP(D2039,Products!$A$2:$F$61,6,FALSE()),"")</f>
        <v/>
      </c>
      <c r="T2039" t="str">
        <f>IF(COUNTIF(Customers!$A$2:$A$301,C2039)=0,"Missing","OK")</f>
        <v>Missing</v>
      </c>
      <c r="U2039" t="str">
        <f t="shared" si="94"/>
        <v/>
      </c>
      <c r="V2039">
        <f t="shared" si="95"/>
        <v>0</v>
      </c>
    </row>
    <row r="2040" spans="12:22" ht="15" customHeight="1" x14ac:dyDescent="0.35">
      <c r="L2040" t="str">
        <f>IFERROR(VLOOKUP(D2040,Products!$A$2:$F$61,3,FALSE()),"")</f>
        <v/>
      </c>
      <c r="M2040" t="str">
        <f>IFERROR(VLOOKUP(E2040,Sales_Reps!$A$2:$C$31,3,FALSE()),"")</f>
        <v/>
      </c>
      <c r="N2040" t="str">
        <f>IFERROR(VLOOKUP(D2040,Products!$A$2:$F$61,4,FALSE()),"")</f>
        <v/>
      </c>
      <c r="O2040" t="str">
        <f>IFERROR(VLOOKUP(C2040,Customers!$A$2:$F$301,5,FALSE()),"")</f>
        <v/>
      </c>
      <c r="P2040" t="str">
        <f>IFERROR(VLOOKUP(C2040,Customers!$A$2:$F$301,3,FALSE()),"")</f>
        <v/>
      </c>
      <c r="Q2040" t="str">
        <f t="shared" si="93"/>
        <v/>
      </c>
      <c r="R2040">
        <f>IF(AND(COUNTIF($A$2:$A$2047,A2040)&gt;1,COUNTIF($A$2:A2040,A2040)=1),1,0)</f>
        <v>0</v>
      </c>
      <c r="S2040" t="str">
        <f>IFERROR(VLOOKUP(D2040,Products!$A$2:$F$61,6,FALSE()),"")</f>
        <v/>
      </c>
      <c r="T2040" t="str">
        <f>IF(COUNTIF(Customers!$A$2:$A$301,C2040)=0,"Missing","OK")</f>
        <v>Missing</v>
      </c>
      <c r="U2040" t="str">
        <f t="shared" si="94"/>
        <v/>
      </c>
      <c r="V2040">
        <f t="shared" si="95"/>
        <v>0</v>
      </c>
    </row>
    <row r="2041" spans="12:22" ht="15" customHeight="1" x14ac:dyDescent="0.35">
      <c r="L2041" t="str">
        <f>IFERROR(VLOOKUP(D2041,Products!$A$2:$F$61,3,FALSE()),"")</f>
        <v/>
      </c>
      <c r="M2041" t="str">
        <f>IFERROR(VLOOKUP(E2041,Sales_Reps!$A$2:$C$31,3,FALSE()),"")</f>
        <v/>
      </c>
      <c r="N2041" t="str">
        <f>IFERROR(VLOOKUP(D2041,Products!$A$2:$F$61,4,FALSE()),"")</f>
        <v/>
      </c>
      <c r="O2041" t="str">
        <f>IFERROR(VLOOKUP(C2041,Customers!$A$2:$F$301,5,FALSE()),"")</f>
        <v/>
      </c>
      <c r="P2041" t="str">
        <f>IFERROR(VLOOKUP(C2041,Customers!$A$2:$F$301,3,FALSE()),"")</f>
        <v/>
      </c>
      <c r="Q2041" t="str">
        <f t="shared" si="93"/>
        <v/>
      </c>
      <c r="R2041">
        <f>IF(AND(COUNTIF($A$2:$A$2047,A2041)&gt;1,COUNTIF($A$2:A2041,A2041)=1),1,0)</f>
        <v>0</v>
      </c>
      <c r="S2041" t="str">
        <f>IFERROR(VLOOKUP(D2041,Products!$A$2:$F$61,6,FALSE()),"")</f>
        <v/>
      </c>
      <c r="T2041" t="str">
        <f>IF(COUNTIF(Customers!$A$2:$A$301,C2041)=0,"Missing","OK")</f>
        <v>Missing</v>
      </c>
      <c r="U2041" t="str">
        <f t="shared" si="94"/>
        <v/>
      </c>
      <c r="V2041">
        <f t="shared" si="95"/>
        <v>0</v>
      </c>
    </row>
    <row r="2042" spans="12:22" ht="15" customHeight="1" x14ac:dyDescent="0.35">
      <c r="L2042" t="str">
        <f>IFERROR(VLOOKUP(D2042,Products!$A$2:$F$61,3,FALSE()),"")</f>
        <v/>
      </c>
      <c r="M2042" t="str">
        <f>IFERROR(VLOOKUP(E2042,Sales_Reps!$A$2:$C$31,3,FALSE()),"")</f>
        <v/>
      </c>
      <c r="N2042" t="str">
        <f>IFERROR(VLOOKUP(D2042,Products!$A$2:$F$61,4,FALSE()),"")</f>
        <v/>
      </c>
      <c r="O2042" t="str">
        <f>IFERROR(VLOOKUP(C2042,Customers!$A$2:$F$301,5,FALSE()),"")</f>
        <v/>
      </c>
      <c r="P2042" t="str">
        <f>IFERROR(VLOOKUP(C2042,Customers!$A$2:$F$301,3,FALSE()),"")</f>
        <v/>
      </c>
      <c r="Q2042" t="str">
        <f t="shared" si="93"/>
        <v/>
      </c>
      <c r="R2042">
        <f>IF(AND(COUNTIF($A$2:$A$2047,A2042)&gt;1,COUNTIF($A$2:A2042,A2042)=1),1,0)</f>
        <v>0</v>
      </c>
      <c r="S2042" t="str">
        <f>IFERROR(VLOOKUP(D2042,Products!$A$2:$F$61,6,FALSE()),"")</f>
        <v/>
      </c>
      <c r="T2042" t="str">
        <f>IF(COUNTIF(Customers!$A$2:$A$301,C2042)=0,"Missing","OK")</f>
        <v>Missing</v>
      </c>
      <c r="U2042" t="str">
        <f t="shared" si="94"/>
        <v/>
      </c>
      <c r="V2042">
        <f t="shared" si="95"/>
        <v>0</v>
      </c>
    </row>
    <row r="2043" spans="12:22" ht="15" customHeight="1" x14ac:dyDescent="0.35">
      <c r="L2043" t="str">
        <f>IFERROR(VLOOKUP(D2043,Products!$A$2:$F$61,3,FALSE()),"")</f>
        <v/>
      </c>
      <c r="M2043" t="str">
        <f>IFERROR(VLOOKUP(E2043,Sales_Reps!$A$2:$C$31,3,FALSE()),"")</f>
        <v/>
      </c>
      <c r="N2043" t="str">
        <f>IFERROR(VLOOKUP(D2043,Products!$A$2:$F$61,4,FALSE()),"")</f>
        <v/>
      </c>
      <c r="O2043" t="str">
        <f>IFERROR(VLOOKUP(C2043,Customers!$A$2:$F$301,5,FALSE()),"")</f>
        <v/>
      </c>
      <c r="P2043" t="str">
        <f>IFERROR(VLOOKUP(C2043,Customers!$A$2:$F$301,3,FALSE()),"")</f>
        <v/>
      </c>
      <c r="Q2043" t="str">
        <f t="shared" si="93"/>
        <v/>
      </c>
      <c r="R2043">
        <f>IF(AND(COUNTIF($A$2:$A$2047,A2043)&gt;1,COUNTIF($A$2:A2043,A2043)=1),1,0)</f>
        <v>0</v>
      </c>
      <c r="S2043" t="str">
        <f>IFERROR(VLOOKUP(D2043,Products!$A$2:$F$61,6,FALSE()),"")</f>
        <v/>
      </c>
      <c r="T2043" t="str">
        <f>IF(COUNTIF(Customers!$A$2:$A$301,C2043)=0,"Missing","OK")</f>
        <v>Missing</v>
      </c>
      <c r="U2043" t="str">
        <f t="shared" si="94"/>
        <v/>
      </c>
      <c r="V2043">
        <f t="shared" si="95"/>
        <v>0</v>
      </c>
    </row>
    <row r="2044" spans="12:22" ht="15" customHeight="1" x14ac:dyDescent="0.35">
      <c r="L2044" t="str">
        <f>IFERROR(VLOOKUP(D2044,Products!$A$2:$F$61,3,FALSE()),"")</f>
        <v/>
      </c>
      <c r="M2044" t="str">
        <f>IFERROR(VLOOKUP(E2044,Sales_Reps!$A$2:$C$31,3,FALSE()),"")</f>
        <v/>
      </c>
      <c r="N2044" t="str">
        <f>IFERROR(VLOOKUP(D2044,Products!$A$2:$F$61,4,FALSE()),"")</f>
        <v/>
      </c>
      <c r="O2044" t="str">
        <f>IFERROR(VLOOKUP(C2044,Customers!$A$2:$F$301,5,FALSE()),"")</f>
        <v/>
      </c>
      <c r="P2044" t="str">
        <f>IFERROR(VLOOKUP(C2044,Customers!$A$2:$F$301,3,FALSE()),"")</f>
        <v/>
      </c>
      <c r="Q2044" t="str">
        <f t="shared" si="93"/>
        <v/>
      </c>
      <c r="R2044">
        <f>IF(AND(COUNTIF($A$2:$A$2047,A2044)&gt;1,COUNTIF($A$2:A2044,A2044)=1),1,0)</f>
        <v>0</v>
      </c>
      <c r="S2044" t="str">
        <f>IFERROR(VLOOKUP(D2044,Products!$A$2:$F$61,6,FALSE()),"")</f>
        <v/>
      </c>
      <c r="T2044" t="str">
        <f>IF(COUNTIF(Customers!$A$2:$A$301,C2044)=0,"Missing","OK")</f>
        <v>Missing</v>
      </c>
      <c r="U2044" t="str">
        <f t="shared" si="94"/>
        <v/>
      </c>
      <c r="V2044">
        <f t="shared" si="95"/>
        <v>0</v>
      </c>
    </row>
    <row r="2045" spans="12:22" ht="15" customHeight="1" x14ac:dyDescent="0.35">
      <c r="L2045" t="str">
        <f>IFERROR(VLOOKUP(D2045,Products!$A$2:$F$61,3,FALSE()),"")</f>
        <v/>
      </c>
      <c r="M2045" t="str">
        <f>IFERROR(VLOOKUP(E2045,Sales_Reps!$A$2:$C$31,3,FALSE()),"")</f>
        <v/>
      </c>
      <c r="N2045" t="str">
        <f>IFERROR(VLOOKUP(D2045,Products!$A$2:$F$61,4,FALSE()),"")</f>
        <v/>
      </c>
      <c r="O2045" t="str">
        <f>IFERROR(VLOOKUP(C2045,Customers!$A$2:$F$301,5,FALSE()),"")</f>
        <v/>
      </c>
      <c r="P2045" t="str">
        <f>IFERROR(VLOOKUP(C2045,Customers!$A$2:$F$301,3,FALSE()),"")</f>
        <v/>
      </c>
      <c r="Q2045" t="str">
        <f t="shared" si="93"/>
        <v/>
      </c>
      <c r="R2045">
        <f>IF(AND(COUNTIF($A$2:$A$2047,A2045)&gt;1,COUNTIF($A$2:A2045,A2045)=1),1,0)</f>
        <v>0</v>
      </c>
      <c r="S2045" t="str">
        <f>IFERROR(VLOOKUP(D2045,Products!$A$2:$F$61,6,FALSE()),"")</f>
        <v/>
      </c>
      <c r="T2045" t="str">
        <f>IF(COUNTIF(Customers!$A$2:$A$301,C2045)=0,"Missing","OK")</f>
        <v>Missing</v>
      </c>
      <c r="U2045" t="str">
        <f t="shared" si="94"/>
        <v/>
      </c>
      <c r="V2045">
        <f t="shared" si="95"/>
        <v>0</v>
      </c>
    </row>
    <row r="2046" spans="12:22" ht="15" customHeight="1" x14ac:dyDescent="0.35">
      <c r="L2046" t="str">
        <f>IFERROR(VLOOKUP(D2046,Products!$A$2:$F$61,3,FALSE()),"")</f>
        <v/>
      </c>
      <c r="M2046" t="str">
        <f>IFERROR(VLOOKUP(E2046,Sales_Reps!$A$2:$C$31,3,FALSE()),"")</f>
        <v/>
      </c>
      <c r="N2046" t="str">
        <f>IFERROR(VLOOKUP(D2046,Products!$A$2:$F$61,4,FALSE()),"")</f>
        <v/>
      </c>
      <c r="O2046" t="str">
        <f>IFERROR(VLOOKUP(C2046,Customers!$A$2:$F$301,5,FALSE()),"")</f>
        <v/>
      </c>
      <c r="P2046" t="str">
        <f>IFERROR(VLOOKUP(C2046,Customers!$A$2:$F$301,3,FALSE()),"")</f>
        <v/>
      </c>
      <c r="Q2046" t="str">
        <f t="shared" si="93"/>
        <v/>
      </c>
      <c r="R2046">
        <f>IF(AND(COUNTIF($A$2:$A$2047,A2046)&gt;1,COUNTIF($A$2:A2046,A2046)=1),1,0)</f>
        <v>0</v>
      </c>
      <c r="S2046" t="str">
        <f>IFERROR(VLOOKUP(D2046,Products!$A$2:$F$61,6,FALSE()),"")</f>
        <v/>
      </c>
      <c r="T2046" t="str">
        <f>IF(COUNTIF(Customers!$A$2:$A$301,C2046)=0,"Missing","OK")</f>
        <v>Missing</v>
      </c>
      <c r="U2046" t="str">
        <f t="shared" si="94"/>
        <v/>
      </c>
      <c r="V2046">
        <f t="shared" si="95"/>
        <v>0</v>
      </c>
    </row>
    <row r="2047" spans="12:22" ht="15" customHeight="1" x14ac:dyDescent="0.35">
      <c r="L2047" t="str">
        <f>IFERROR(VLOOKUP(D2047,Products!$A$2:$F$61,3,FALSE()),"")</f>
        <v/>
      </c>
      <c r="M2047" t="str">
        <f>IFERROR(VLOOKUP(E2047,Sales_Reps!$A$2:$C$31,3,FALSE()),"")</f>
        <v/>
      </c>
      <c r="N2047" t="str">
        <f>IFERROR(VLOOKUP(D2047,Products!$A$2:$F$61,4,FALSE()),"")</f>
        <v/>
      </c>
      <c r="O2047" t="str">
        <f>IFERROR(VLOOKUP(C2047,Customers!$A$2:$F$301,5,FALSE()),"")</f>
        <v/>
      </c>
      <c r="P2047" t="str">
        <f>IFERROR(VLOOKUP(C2047,Customers!$A$2:$F$301,3,FALSE()),"")</f>
        <v/>
      </c>
      <c r="Q2047" t="str">
        <f t="shared" si="93"/>
        <v/>
      </c>
      <c r="R2047">
        <f>IF(AND(COUNTIF($A$2:$A$2047,A2047)&gt;1,COUNTIF($A$2:A2047,A2047)=1),1,0)</f>
        <v>0</v>
      </c>
      <c r="S2047" t="str">
        <f>IFERROR(VLOOKUP(D2047,Products!$A$2:$F$61,6,FALSE()),"")</f>
        <v/>
      </c>
      <c r="T2047" t="str">
        <f>IF(COUNTIF(Customers!$A$2:$A$301,C2047)=0,"Missing","OK")</f>
        <v>Missing</v>
      </c>
      <c r="U2047" t="str">
        <f t="shared" si="94"/>
        <v/>
      </c>
      <c r="V2047">
        <f t="shared" si="95"/>
        <v>0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7"/>
  <sheetViews>
    <sheetView topLeftCell="A33" zoomScaleNormal="100" workbookViewId="0">
      <selection activeCell="A3" sqref="A3"/>
    </sheetView>
  </sheetViews>
  <sheetFormatPr defaultColWidth="8.7265625" defaultRowHeight="15" customHeight="1" x14ac:dyDescent="0.35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0.25" customHeight="1" x14ac:dyDescent="0.4">
      <c r="A1" s="6" t="s">
        <v>2440</v>
      </c>
    </row>
    <row r="2" spans="1:8" ht="16.5" customHeight="1" x14ac:dyDescent="0.35">
      <c r="A2" s="7" t="s">
        <v>2441</v>
      </c>
    </row>
    <row r="3" spans="1:8" ht="15" customHeight="1" x14ac:dyDescent="0.35">
      <c r="A3" s="8" t="s">
        <v>2442</v>
      </c>
    </row>
    <row r="5" spans="1:8" ht="15.75" customHeight="1" x14ac:dyDescent="0.35">
      <c r="A5" s="42" t="s">
        <v>2443</v>
      </c>
      <c r="B5" s="42"/>
      <c r="C5" s="42"/>
      <c r="D5" s="42"/>
      <c r="E5" s="42"/>
      <c r="F5" s="42"/>
    </row>
    <row r="6" spans="1:8" ht="15" customHeight="1" x14ac:dyDescent="0.35">
      <c r="A6" s="41" t="s">
        <v>2444</v>
      </c>
      <c r="B6" s="41"/>
      <c r="C6" s="41"/>
      <c r="D6" s="41"/>
      <c r="E6" s="41"/>
      <c r="F6" s="41"/>
      <c r="G6" s="41"/>
      <c r="H6" s="41"/>
    </row>
    <row r="7" spans="1:8" ht="15" customHeight="1" x14ac:dyDescent="0.35">
      <c r="A7" s="41" t="s">
        <v>2445</v>
      </c>
      <c r="B7" s="41"/>
      <c r="C7" s="41"/>
      <c r="D7" s="41"/>
      <c r="E7" s="41"/>
      <c r="F7" s="41"/>
      <c r="G7" s="41"/>
      <c r="H7" s="41"/>
    </row>
    <row r="8" spans="1:8" ht="15" customHeight="1" x14ac:dyDescent="0.35">
      <c r="A8" s="41" t="s">
        <v>2446</v>
      </c>
      <c r="B8" s="41"/>
      <c r="C8" s="41"/>
      <c r="D8" s="41"/>
      <c r="E8" s="41"/>
      <c r="F8" s="41"/>
      <c r="G8" s="41"/>
      <c r="H8" s="41"/>
    </row>
    <row r="9" spans="1:8" ht="15" customHeight="1" x14ac:dyDescent="0.35">
      <c r="A9" s="41"/>
      <c r="B9" s="41"/>
      <c r="C9" s="41"/>
      <c r="D9" s="41"/>
      <c r="E9" s="41"/>
      <c r="F9" s="41"/>
      <c r="G9" s="41"/>
      <c r="H9" s="41"/>
    </row>
    <row r="10" spans="1:8" ht="15" customHeight="1" x14ac:dyDescent="0.35">
      <c r="A10" s="41" t="s">
        <v>2447</v>
      </c>
      <c r="B10" s="41"/>
      <c r="C10" s="41"/>
      <c r="D10" s="41"/>
      <c r="E10" s="41"/>
      <c r="F10" s="41"/>
      <c r="G10" s="41"/>
      <c r="H10" s="41"/>
    </row>
    <row r="11" spans="1:8" ht="15" customHeight="1" x14ac:dyDescent="0.35">
      <c r="A11" s="41" t="s">
        <v>2448</v>
      </c>
      <c r="B11" s="41"/>
      <c r="C11" s="41"/>
      <c r="D11" s="41"/>
      <c r="E11" s="41"/>
      <c r="F11" s="41"/>
      <c r="G11" s="41"/>
      <c r="H11" s="41"/>
    </row>
    <row r="12" spans="1:8" ht="15" customHeight="1" x14ac:dyDescent="0.35">
      <c r="A12" s="41" t="s">
        <v>2449</v>
      </c>
      <c r="B12" s="41"/>
      <c r="C12" s="41"/>
      <c r="D12" s="41"/>
      <c r="E12" s="41"/>
      <c r="F12" s="41"/>
      <c r="G12" s="41"/>
      <c r="H12" s="41"/>
    </row>
    <row r="14" spans="1:8" ht="15.75" customHeight="1" x14ac:dyDescent="0.35">
      <c r="A14" s="1" t="s">
        <v>2450</v>
      </c>
    </row>
    <row r="15" spans="1:8" ht="15" customHeight="1" x14ac:dyDescent="0.35">
      <c r="A15" s="41" t="s">
        <v>2451</v>
      </c>
      <c r="B15" s="41"/>
      <c r="C15" s="41"/>
      <c r="D15" s="41"/>
      <c r="E15" s="41"/>
      <c r="F15" s="41"/>
      <c r="G15" s="41"/>
      <c r="H15" s="41"/>
    </row>
    <row r="16" spans="1:8" ht="15" customHeight="1" x14ac:dyDescent="0.35">
      <c r="A16" s="41" t="s">
        <v>2452</v>
      </c>
      <c r="B16" s="41"/>
      <c r="C16" s="41"/>
      <c r="D16" s="41"/>
      <c r="E16" s="41"/>
      <c r="F16" s="41"/>
      <c r="G16" s="41"/>
      <c r="H16" s="41"/>
    </row>
    <row r="17" spans="1:8" ht="15" customHeight="1" x14ac:dyDescent="0.35">
      <c r="A17" s="41" t="s">
        <v>2453</v>
      </c>
      <c r="B17" s="41"/>
      <c r="C17" s="41"/>
      <c r="D17" s="41"/>
      <c r="E17" s="41"/>
      <c r="F17" s="41"/>
      <c r="G17" s="41"/>
      <c r="H17" s="41"/>
    </row>
    <row r="18" spans="1:8" ht="15" customHeight="1" x14ac:dyDescent="0.35">
      <c r="A18" s="41" t="s">
        <v>2454</v>
      </c>
      <c r="B18" s="41"/>
      <c r="C18" s="41"/>
      <c r="D18" s="41"/>
      <c r="E18" s="41"/>
      <c r="F18" s="41"/>
      <c r="G18" s="41"/>
      <c r="H18" s="41"/>
    </row>
    <row r="19" spans="1:8" ht="15" customHeight="1" x14ac:dyDescent="0.35">
      <c r="A19" s="41" t="s">
        <v>2455</v>
      </c>
      <c r="B19" s="41"/>
      <c r="C19" s="41"/>
      <c r="D19" s="41"/>
      <c r="E19" s="41"/>
      <c r="F19" s="41"/>
      <c r="G19" s="41"/>
      <c r="H19" s="41"/>
    </row>
    <row r="20" spans="1:8" ht="15" customHeight="1" x14ac:dyDescent="0.35">
      <c r="A20" s="41" t="s">
        <v>2456</v>
      </c>
      <c r="B20" s="41"/>
      <c r="C20" s="41"/>
      <c r="D20" s="41"/>
      <c r="E20" s="41"/>
      <c r="F20" s="41"/>
      <c r="G20" s="41"/>
      <c r="H20" s="41"/>
    </row>
    <row r="22" spans="1:8" ht="15.75" customHeight="1" x14ac:dyDescent="0.35">
      <c r="A22" s="1" t="s">
        <v>2457</v>
      </c>
    </row>
    <row r="23" spans="1:8" ht="15" customHeight="1" x14ac:dyDescent="0.35">
      <c r="A23" s="2" t="s">
        <v>2458</v>
      </c>
      <c r="B23" s="9" t="s">
        <v>2459</v>
      </c>
      <c r="C23" s="2" t="s">
        <v>2460</v>
      </c>
      <c r="D23" s="2" t="s">
        <v>2461</v>
      </c>
    </row>
    <row r="24" spans="1:8" ht="15" customHeight="1" x14ac:dyDescent="0.35">
      <c r="A24" s="10" t="s">
        <v>2462</v>
      </c>
      <c r="B24" s="11" t="s">
        <v>2463</v>
      </c>
      <c r="C24" s="10" t="s">
        <v>2464</v>
      </c>
      <c r="D24" s="10" t="s">
        <v>2465</v>
      </c>
    </row>
    <row r="25" spans="1:8" ht="15" customHeight="1" x14ac:dyDescent="0.35">
      <c r="A25" s="10" t="s">
        <v>2466</v>
      </c>
      <c r="B25" s="11" t="s">
        <v>2467</v>
      </c>
      <c r="C25" s="10" t="s">
        <v>2468</v>
      </c>
      <c r="D25" s="10" t="s">
        <v>2469</v>
      </c>
    </row>
    <row r="26" spans="1:8" ht="15" customHeight="1" x14ac:dyDescent="0.35">
      <c r="A26" s="10" t="s">
        <v>2470</v>
      </c>
      <c r="B26" s="11" t="s">
        <v>2471</v>
      </c>
      <c r="C26" s="10" t="s">
        <v>2468</v>
      </c>
      <c r="D26" s="10" t="s">
        <v>2465</v>
      </c>
    </row>
    <row r="27" spans="1:8" ht="15" customHeight="1" x14ac:dyDescent="0.35">
      <c r="A27" s="10" t="s">
        <v>2472</v>
      </c>
      <c r="B27" s="11" t="s">
        <v>2473</v>
      </c>
      <c r="C27" s="10" t="s">
        <v>2474</v>
      </c>
      <c r="D27" s="10" t="s">
        <v>2469</v>
      </c>
    </row>
    <row r="28" spans="1:8" ht="15" customHeight="1" x14ac:dyDescent="0.35">
      <c r="A28" s="10" t="s">
        <v>2475</v>
      </c>
      <c r="B28" s="11" t="s">
        <v>2476</v>
      </c>
      <c r="C28" s="10" t="s">
        <v>2474</v>
      </c>
      <c r="D28" s="10" t="s">
        <v>2477</v>
      </c>
    </row>
    <row r="29" spans="1:8" ht="15" customHeight="1" x14ac:dyDescent="0.35">
      <c r="A29" s="12"/>
      <c r="B29" s="13" t="s">
        <v>2478</v>
      </c>
      <c r="C29" s="12" t="s">
        <v>2479</v>
      </c>
      <c r="D29" s="12" t="s">
        <v>2480</v>
      </c>
    </row>
    <row r="32" spans="1:8" ht="15.75" customHeight="1" x14ac:dyDescent="0.35">
      <c r="A32" s="1" t="s">
        <v>2481</v>
      </c>
    </row>
    <row r="33" spans="1:4" ht="15" customHeight="1" x14ac:dyDescent="0.35">
      <c r="A33" s="2" t="s">
        <v>2461</v>
      </c>
      <c r="B33" s="2" t="s">
        <v>2482</v>
      </c>
      <c r="C33" s="9" t="s">
        <v>2483</v>
      </c>
    </row>
    <row r="34" spans="1:4" ht="15" customHeight="1" x14ac:dyDescent="0.35">
      <c r="A34" s="10" t="s">
        <v>2484</v>
      </c>
      <c r="B34" s="10" t="s">
        <v>2485</v>
      </c>
      <c r="C34" s="11" t="s">
        <v>2486</v>
      </c>
    </row>
    <row r="35" spans="1:4" ht="15" customHeight="1" x14ac:dyDescent="0.35">
      <c r="A35" s="10" t="s">
        <v>2487</v>
      </c>
      <c r="B35" s="10" t="s">
        <v>2488</v>
      </c>
      <c r="C35" s="11" t="s">
        <v>2489</v>
      </c>
    </row>
    <row r="36" spans="1:4" ht="15" customHeight="1" x14ac:dyDescent="0.35">
      <c r="A36" s="10" t="s">
        <v>2490</v>
      </c>
      <c r="B36" s="10" t="s">
        <v>2491</v>
      </c>
      <c r="C36" s="11" t="s">
        <v>2492</v>
      </c>
    </row>
    <row r="37" spans="1:4" ht="15" customHeight="1" x14ac:dyDescent="0.35">
      <c r="A37" s="10" t="s">
        <v>2493</v>
      </c>
      <c r="B37" s="10" t="s">
        <v>2494</v>
      </c>
      <c r="C37" s="11" t="s">
        <v>2495</v>
      </c>
    </row>
    <row r="38" spans="1:4" ht="15" customHeight="1" x14ac:dyDescent="0.35">
      <c r="A38" s="10" t="s">
        <v>2496</v>
      </c>
      <c r="B38" s="10" t="s">
        <v>2497</v>
      </c>
      <c r="C38" s="11" t="s">
        <v>2498</v>
      </c>
    </row>
    <row r="41" spans="1:4" ht="15.75" customHeight="1" x14ac:dyDescent="0.35">
      <c r="A41" s="1" t="s">
        <v>2499</v>
      </c>
    </row>
    <row r="42" spans="1:4" ht="15" customHeight="1" x14ac:dyDescent="0.35">
      <c r="A42" s="14" t="s">
        <v>2500</v>
      </c>
      <c r="B42" s="14" t="s">
        <v>2501</v>
      </c>
      <c r="C42" s="14" t="s">
        <v>2502</v>
      </c>
      <c r="D42" s="14" t="s">
        <v>2503</v>
      </c>
    </row>
    <row r="43" spans="1:4" ht="38.25" customHeight="1" x14ac:dyDescent="0.35">
      <c r="A43" s="15" t="s">
        <v>2504</v>
      </c>
      <c r="B43" s="15" t="s">
        <v>2505</v>
      </c>
      <c r="C43" s="15" t="s">
        <v>2506</v>
      </c>
      <c r="D43" s="15" t="s">
        <v>2507</v>
      </c>
    </row>
    <row r="44" spans="1:4" ht="25.5" customHeight="1" x14ac:dyDescent="0.35">
      <c r="A44" s="15" t="s">
        <v>2508</v>
      </c>
      <c r="B44" s="15" t="s">
        <v>2509</v>
      </c>
      <c r="C44" s="15" t="s">
        <v>2510</v>
      </c>
      <c r="D44" s="15" t="s">
        <v>2511</v>
      </c>
    </row>
    <row r="45" spans="1:4" ht="25.5" customHeight="1" x14ac:dyDescent="0.35">
      <c r="A45" s="15" t="s">
        <v>2512</v>
      </c>
      <c r="B45" s="15" t="s">
        <v>2513</v>
      </c>
      <c r="C45" s="15" t="s">
        <v>2514</v>
      </c>
      <c r="D45" s="15" t="s">
        <v>2515</v>
      </c>
    </row>
    <row r="46" spans="1:4" ht="25.5" customHeight="1" x14ac:dyDescent="0.35">
      <c r="A46" s="15" t="s">
        <v>2516</v>
      </c>
      <c r="B46" s="15" t="s">
        <v>2479</v>
      </c>
      <c r="C46" s="15" t="s">
        <v>2517</v>
      </c>
      <c r="D46" s="15" t="s">
        <v>2518</v>
      </c>
    </row>
    <row r="47" spans="1:4" ht="25.5" customHeight="1" x14ac:dyDescent="0.35">
      <c r="A47" s="15" t="s">
        <v>2519</v>
      </c>
      <c r="B47" s="15" t="s">
        <v>2520</v>
      </c>
      <c r="C47" s="15" t="s">
        <v>2521</v>
      </c>
      <c r="D47" s="15" t="s">
        <v>2522</v>
      </c>
    </row>
  </sheetData>
  <mergeCells count="14">
    <mergeCell ref="A5:F5"/>
    <mergeCell ref="A6:H6"/>
    <mergeCell ref="A7:H7"/>
    <mergeCell ref="A8:H8"/>
    <mergeCell ref="A9:H9"/>
    <mergeCell ref="A17:H17"/>
    <mergeCell ref="A18:H18"/>
    <mergeCell ref="A19:H19"/>
    <mergeCell ref="A20:H20"/>
    <mergeCell ref="A10:H10"/>
    <mergeCell ref="A11:H11"/>
    <mergeCell ref="A12:H12"/>
    <mergeCell ref="A15:H15"/>
    <mergeCell ref="A16:H16"/>
  </mergeCells>
  <pageMargins left="0.5" right="0.5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V2027"/>
  <sheetViews>
    <sheetView showGridLines="0" zoomScaleNormal="100" workbookViewId="0">
      <pane ySplit="1" topLeftCell="A2" activePane="bottomLeft" state="frozen"/>
      <selection pane="bottomLeft" activeCell="L3" sqref="L3"/>
    </sheetView>
  </sheetViews>
  <sheetFormatPr defaultColWidth="8.7265625" defaultRowHeight="15" customHeight="1" x14ac:dyDescent="0.35"/>
  <cols>
    <col min="1" max="2" width="12" customWidth="1"/>
    <col min="3" max="3" width="13" customWidth="1"/>
    <col min="4" max="4" width="12" customWidth="1"/>
    <col min="5" max="5" width="14" customWidth="1"/>
    <col min="6" max="7" width="12" customWidth="1"/>
    <col min="8" max="9" width="14" customWidth="1"/>
    <col min="10" max="10" width="16" customWidth="1"/>
    <col min="11" max="11" width="12" customWidth="1"/>
    <col min="12" max="12" width="15.26953125" customWidth="1"/>
    <col min="13" max="21" width="13" customWidth="1"/>
  </cols>
  <sheetData>
    <row r="1" spans="1:22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" customHeight="1" x14ac:dyDescent="0.35">
      <c r="A2" s="3" t="s">
        <v>22</v>
      </c>
      <c r="B2" s="4">
        <v>45549</v>
      </c>
      <c r="C2" s="3" t="s">
        <v>23</v>
      </c>
      <c r="D2" s="3" t="s">
        <v>24</v>
      </c>
      <c r="E2" s="3" t="s">
        <v>25</v>
      </c>
      <c r="F2" s="5">
        <v>8</v>
      </c>
      <c r="G2" s="5">
        <v>3620</v>
      </c>
      <c r="H2" s="5">
        <v>15.4</v>
      </c>
      <c r="I2" s="5">
        <v>24500.16</v>
      </c>
      <c r="J2" s="3" t="s">
        <v>26</v>
      </c>
      <c r="K2" s="3" t="s">
        <v>27</v>
      </c>
      <c r="L2" t="str">
        <f>IFERROR(VLOOKUP(D2,Products!$A$2:$F$61,3,FALSE()),"")</f>
        <v>Apparel</v>
      </c>
      <c r="M2" t="str">
        <f>IFERROR(VLOOKUP(E2,Sales_Reps!$A$2:$C$31,3,FALSE()),"")</f>
        <v>North</v>
      </c>
      <c r="N2">
        <f>IFERROR(VLOOKUP(D2,Products!$A$2:$F$61,4,FALSE()),"")</f>
        <v>2509</v>
      </c>
      <c r="O2" t="str">
        <f>IFERROR(VLOOKUP(C2,Customers!$A$2:$F$301,5,FALSE()),"")</f>
        <v>SMB</v>
      </c>
      <c r="P2">
        <f>IFERROR(VLOOKUP(C2,Customers!$A$2:$F$301,3,FALSE()),"")</f>
        <v>44</v>
      </c>
      <c r="Q2">
        <f t="shared" ref="Q2:Q65" si="0">IFERROR((G2-N2)/G2,"")</f>
        <v>0.3069060773480663</v>
      </c>
      <c r="R2">
        <f>IF(AND(COUNTIF($A$2:$A$2027,A2)&gt;1,COUNTIF($A$2:A2,A2)=1),1,0)</f>
        <v>0</v>
      </c>
      <c r="S2" t="b">
        <f>IFERROR(VLOOKUP(D2,Products!$A$2:$F$61,6,FALSE()),"")</f>
        <v>1</v>
      </c>
      <c r="T2" t="str">
        <f>IF(COUNTIF(Customers!$A$2:$A$301,C2)=0,"Missing","OK")</f>
        <v>OK</v>
      </c>
      <c r="U2" t="str">
        <f t="shared" ref="U2:U65" si="1">IF(K2="","",PROPER(TRIM(K2)))</f>
        <v>Pune</v>
      </c>
      <c r="V2">
        <f t="shared" ref="V2:V65" si="2">IF(AND(U2="Bengaluru",L2="Grocery"),I2,0)</f>
        <v>0</v>
      </c>
    </row>
    <row r="3" spans="1:22" ht="15" customHeight="1" x14ac:dyDescent="0.35">
      <c r="A3" s="3" t="s">
        <v>28</v>
      </c>
      <c r="B3" s="4">
        <v>45340</v>
      </c>
      <c r="C3" s="3" t="s">
        <v>29</v>
      </c>
      <c r="D3" s="3" t="s">
        <v>30</v>
      </c>
      <c r="E3" s="3" t="s">
        <v>31</v>
      </c>
      <c r="F3" s="5">
        <v>2</v>
      </c>
      <c r="G3" s="5">
        <v>820</v>
      </c>
      <c r="H3" s="5">
        <v>10.8</v>
      </c>
      <c r="I3" s="5">
        <v>1462.88</v>
      </c>
      <c r="J3" s="3" t="s">
        <v>32</v>
      </c>
      <c r="K3" s="3" t="s">
        <v>33</v>
      </c>
      <c r="L3" t="str">
        <f>IFERROR(VLOOKUP(D3,Products!$A$2:$F$61,3,FALSE()),"")</f>
        <v>Apparel</v>
      </c>
      <c r="M3" t="str">
        <f>IFERROR(VLOOKUP(E3,Sales_Reps!$A$2:$C$31,3,FALSE()),"")</f>
        <v>North</v>
      </c>
      <c r="N3">
        <f>IFERROR(VLOOKUP(D3,Products!$A$2:$F$61,4,FALSE()),"")</f>
        <v>391</v>
      </c>
      <c r="O3" t="str">
        <f>IFERROR(VLOOKUP(C3,Customers!$A$2:$F$301,5,FALSE()),"")</f>
        <v>Retail</v>
      </c>
      <c r="P3">
        <f>IFERROR(VLOOKUP(C3,Customers!$A$2:$F$301,3,FALSE()),"")</f>
        <v>39</v>
      </c>
      <c r="Q3">
        <f t="shared" si="0"/>
        <v>0.52317073170731709</v>
      </c>
      <c r="R3">
        <f>IF(AND(COUNTIF($A$2:$A$2027,A3)&gt;1,COUNTIF($A$2:A3,A3)=1),1,0)</f>
        <v>0</v>
      </c>
      <c r="S3" t="b">
        <f>IFERROR(VLOOKUP(D3,Products!$A$2:$F$61,6,FALSE()),"")</f>
        <v>1</v>
      </c>
      <c r="T3" t="str">
        <f>IF(COUNTIF(Customers!$A$2:$A$301,C3)=0,"Missing","OK")</f>
        <v>OK</v>
      </c>
      <c r="U3" t="str">
        <f t="shared" si="1"/>
        <v>Chennai</v>
      </c>
      <c r="V3">
        <f t="shared" si="2"/>
        <v>0</v>
      </c>
    </row>
    <row r="4" spans="1:22" ht="15" customHeight="1" x14ac:dyDescent="0.35">
      <c r="A4" s="3" t="s">
        <v>34</v>
      </c>
      <c r="B4" s="4">
        <v>45371</v>
      </c>
      <c r="C4" s="3" t="s">
        <v>35</v>
      </c>
      <c r="D4" s="3" t="s">
        <v>36</v>
      </c>
      <c r="E4" s="3" t="s">
        <v>37</v>
      </c>
      <c r="F4" s="5">
        <v>8</v>
      </c>
      <c r="G4" s="5">
        <v>470</v>
      </c>
      <c r="H4" s="5">
        <v>3.3</v>
      </c>
      <c r="I4" s="5">
        <v>3635.92</v>
      </c>
      <c r="J4" s="3" t="s">
        <v>32</v>
      </c>
      <c r="K4" s="3" t="s">
        <v>38</v>
      </c>
      <c r="L4" t="str">
        <f>IFERROR(VLOOKUP(D4,Products!$A$2:$F$61,3,FALSE()),"")</f>
        <v>Sports</v>
      </c>
      <c r="M4" t="str">
        <f>IFERROR(VLOOKUP(E4,Sales_Reps!$A$2:$C$31,3,FALSE()),"")</f>
        <v>South</v>
      </c>
      <c r="N4">
        <f>IFERROR(VLOOKUP(D4,Products!$A$2:$F$61,4,FALSE()),"")</f>
        <v>302</v>
      </c>
      <c r="O4" t="str">
        <f>IFERROR(VLOOKUP(C4,Customers!$A$2:$F$301,5,FALSE()),"")</f>
        <v>Retail</v>
      </c>
      <c r="P4">
        <f>IFERROR(VLOOKUP(C4,Customers!$A$2:$F$301,3,FALSE()),"")</f>
        <v>52</v>
      </c>
      <c r="Q4">
        <f t="shared" si="0"/>
        <v>0.35744680851063831</v>
      </c>
      <c r="R4">
        <f>IF(AND(COUNTIF($A$2:$A$2027,A4)&gt;1,COUNTIF($A$2:A4,A4)=1),1,0)</f>
        <v>0</v>
      </c>
      <c r="S4" t="b">
        <f>IFERROR(VLOOKUP(D4,Products!$A$2:$F$61,6,FALSE()),"")</f>
        <v>0</v>
      </c>
      <c r="T4" t="str">
        <f>IF(COUNTIF(Customers!$A$2:$A$301,C4)=0,"Missing","OK")</f>
        <v>OK</v>
      </c>
      <c r="U4" t="str">
        <f t="shared" si="1"/>
        <v>Delhi</v>
      </c>
      <c r="V4">
        <f t="shared" si="2"/>
        <v>0</v>
      </c>
    </row>
    <row r="5" spans="1:22" ht="15" customHeight="1" x14ac:dyDescent="0.35">
      <c r="A5" s="3" t="s">
        <v>39</v>
      </c>
      <c r="B5" s="4">
        <v>45413</v>
      </c>
      <c r="C5" s="3" t="s">
        <v>40</v>
      </c>
      <c r="D5" s="3" t="s">
        <v>41</v>
      </c>
      <c r="E5" s="3" t="s">
        <v>42</v>
      </c>
      <c r="F5" s="5">
        <v>1</v>
      </c>
      <c r="G5" s="5">
        <v>3660</v>
      </c>
      <c r="H5" s="5">
        <v>15.7</v>
      </c>
      <c r="I5" s="5">
        <v>3085.38</v>
      </c>
      <c r="J5" s="3" t="s">
        <v>26</v>
      </c>
      <c r="K5" s="3" t="s">
        <v>38</v>
      </c>
      <c r="L5" t="str">
        <f>IFERROR(VLOOKUP(D5,Products!$A$2:$F$61,3,FALSE()),"")</f>
        <v>Grocery</v>
      </c>
      <c r="M5" t="str">
        <f>IFERROR(VLOOKUP(E5,Sales_Reps!$A$2:$C$31,3,FALSE()),"")</f>
        <v>North</v>
      </c>
      <c r="N5">
        <f>IFERROR(VLOOKUP(D5,Products!$A$2:$F$61,4,FALSE()),"")</f>
        <v>2214</v>
      </c>
      <c r="O5" t="str">
        <f>IFERROR(VLOOKUP(C5,Customers!$A$2:$F$301,5,FALSE()),"")</f>
        <v>Corporate</v>
      </c>
      <c r="P5">
        <f>IFERROR(VLOOKUP(C5,Customers!$A$2:$F$301,3,FALSE()),"")</f>
        <v>46</v>
      </c>
      <c r="Q5">
        <f t="shared" si="0"/>
        <v>0.39508196721311473</v>
      </c>
      <c r="R5">
        <f>IF(AND(COUNTIF($A$2:$A$2027,A5)&gt;1,COUNTIF($A$2:A5,A5)=1),1,0)</f>
        <v>0</v>
      </c>
      <c r="S5" t="b">
        <f>IFERROR(VLOOKUP(D5,Products!$A$2:$F$61,6,FALSE()),"")</f>
        <v>0</v>
      </c>
      <c r="T5" t="str">
        <f>IF(COUNTIF(Customers!$A$2:$A$301,C5)=0,"Missing","OK")</f>
        <v>OK</v>
      </c>
      <c r="U5" t="str">
        <f t="shared" si="1"/>
        <v>Delhi</v>
      </c>
      <c r="V5">
        <f t="shared" si="2"/>
        <v>0</v>
      </c>
    </row>
    <row r="6" spans="1:22" ht="15" customHeight="1" x14ac:dyDescent="0.35">
      <c r="A6" s="3" t="s">
        <v>43</v>
      </c>
      <c r="B6" s="4">
        <v>45611</v>
      </c>
      <c r="C6" s="3" t="s">
        <v>44</v>
      </c>
      <c r="D6" s="3" t="s">
        <v>45</v>
      </c>
      <c r="E6" s="3" t="s">
        <v>46</v>
      </c>
      <c r="F6" s="5">
        <v>1</v>
      </c>
      <c r="G6" s="5">
        <v>3160</v>
      </c>
      <c r="H6" s="5">
        <v>26</v>
      </c>
      <c r="I6" s="5">
        <v>2338.4</v>
      </c>
      <c r="J6" s="3" t="s">
        <v>26</v>
      </c>
      <c r="K6" s="3" t="s">
        <v>33</v>
      </c>
      <c r="L6" t="str">
        <f>IFERROR(VLOOKUP(D6,Products!$A$2:$F$61,3,FALSE()),"")</f>
        <v>Apparel</v>
      </c>
      <c r="M6" t="str">
        <f>IFERROR(VLOOKUP(E6,Sales_Reps!$A$2:$C$31,3,FALSE()),"")</f>
        <v>North</v>
      </c>
      <c r="N6">
        <f>IFERROR(VLOOKUP(D6,Products!$A$2:$F$61,4,FALSE()),"")</f>
        <v>1886</v>
      </c>
      <c r="O6" t="str">
        <f>IFERROR(VLOOKUP(C6,Customers!$A$2:$F$301,5,FALSE()),"")</f>
        <v>Retail</v>
      </c>
      <c r="P6">
        <f>IFERROR(VLOOKUP(C6,Customers!$A$2:$F$301,3,FALSE()),"")</f>
        <v>36</v>
      </c>
      <c r="Q6">
        <f t="shared" si="0"/>
        <v>0.4031645569620253</v>
      </c>
      <c r="R6">
        <f>IF(AND(COUNTIF($A$2:$A$2027,A6)&gt;1,COUNTIF($A$2:A6,A6)=1),1,0)</f>
        <v>0</v>
      </c>
      <c r="S6" t="b">
        <f>IFERROR(VLOOKUP(D6,Products!$A$2:$F$61,6,FALSE()),"")</f>
        <v>1</v>
      </c>
      <c r="T6" t="str">
        <f>IF(COUNTIF(Customers!$A$2:$A$301,C6)=0,"Missing","OK")</f>
        <v>OK</v>
      </c>
      <c r="U6" t="str">
        <f t="shared" si="1"/>
        <v>Chennai</v>
      </c>
      <c r="V6">
        <f t="shared" si="2"/>
        <v>0</v>
      </c>
    </row>
    <row r="7" spans="1:22" ht="15" customHeight="1" x14ac:dyDescent="0.35">
      <c r="A7" s="3" t="s">
        <v>47</v>
      </c>
      <c r="B7" s="4">
        <v>45406</v>
      </c>
      <c r="C7" s="3" t="s">
        <v>48</v>
      </c>
      <c r="D7" s="3" t="s">
        <v>49</v>
      </c>
      <c r="E7" s="3" t="s">
        <v>50</v>
      </c>
      <c r="F7" s="5">
        <v>4</v>
      </c>
      <c r="G7" s="5">
        <v>370</v>
      </c>
      <c r="H7" s="5">
        <v>29</v>
      </c>
      <c r="I7" s="5">
        <v>1050.8</v>
      </c>
      <c r="J7" s="3" t="s">
        <v>26</v>
      </c>
      <c r="K7" s="3" t="s">
        <v>51</v>
      </c>
      <c r="L7" t="str">
        <f>IFERROR(VLOOKUP(D7,Products!$A$2:$F$61,3,FALSE()),"")</f>
        <v>Home</v>
      </c>
      <c r="M7" t="str">
        <f>IFERROR(VLOOKUP(E7,Sales_Reps!$A$2:$C$31,3,FALSE()),"")</f>
        <v>West</v>
      </c>
      <c r="N7">
        <f>IFERROR(VLOOKUP(D7,Products!$A$2:$F$61,4,FALSE()),"")</f>
        <v>288</v>
      </c>
      <c r="O7" t="str">
        <f>IFERROR(VLOOKUP(C7,Customers!$A$2:$F$301,5,FALSE()),"")</f>
        <v>Retail</v>
      </c>
      <c r="P7">
        <f>IFERROR(VLOOKUP(C7,Customers!$A$2:$F$301,3,FALSE()),"")</f>
        <v>36</v>
      </c>
      <c r="Q7">
        <f t="shared" si="0"/>
        <v>0.22162162162162163</v>
      </c>
      <c r="R7">
        <f>IF(AND(COUNTIF($A$2:$A$2027,A7)&gt;1,COUNTIF($A$2:A7,A7)=1),1,0)</f>
        <v>0</v>
      </c>
      <c r="S7" t="b">
        <f>IFERROR(VLOOKUP(D7,Products!$A$2:$F$61,6,FALSE()),"")</f>
        <v>1</v>
      </c>
      <c r="T7" t="str">
        <f>IF(COUNTIF(Customers!$A$2:$A$301,C7)=0,"Missing","OK")</f>
        <v>OK</v>
      </c>
      <c r="U7" t="str">
        <f t="shared" si="1"/>
        <v>Mumbai</v>
      </c>
      <c r="V7">
        <f t="shared" si="2"/>
        <v>0</v>
      </c>
    </row>
    <row r="8" spans="1:22" ht="15" customHeight="1" x14ac:dyDescent="0.35">
      <c r="A8" s="3" t="s">
        <v>52</v>
      </c>
      <c r="B8" s="4">
        <v>45455</v>
      </c>
      <c r="C8" s="3" t="s">
        <v>53</v>
      </c>
      <c r="D8" s="3" t="s">
        <v>54</v>
      </c>
      <c r="E8" s="3" t="s">
        <v>55</v>
      </c>
      <c r="F8" s="5">
        <v>3</v>
      </c>
      <c r="G8" s="5">
        <v>960</v>
      </c>
      <c r="H8" s="5">
        <v>5.8</v>
      </c>
      <c r="I8" s="5">
        <v>2712.96</v>
      </c>
      <c r="J8" s="3" t="s">
        <v>26</v>
      </c>
      <c r="K8" s="3" t="s">
        <v>56</v>
      </c>
      <c r="L8" t="str">
        <f>IFERROR(VLOOKUP(D8,Products!$A$2:$F$61,3,FALSE()),"")</f>
        <v>Sports</v>
      </c>
      <c r="M8" t="str">
        <f>IFERROR(VLOOKUP(E8,Sales_Reps!$A$2:$C$31,3,FALSE()),"")</f>
        <v>West</v>
      </c>
      <c r="N8">
        <f>IFERROR(VLOOKUP(D8,Products!$A$2:$F$61,4,FALSE()),"")</f>
        <v>705</v>
      </c>
      <c r="O8" t="str">
        <f>IFERROR(VLOOKUP(C8,Customers!$A$2:$F$301,5,FALSE()),"")</f>
        <v>Retail</v>
      </c>
      <c r="P8">
        <f>IFERROR(VLOOKUP(C8,Customers!$A$2:$F$301,3,FALSE()),"")</f>
        <v>27</v>
      </c>
      <c r="Q8">
        <f t="shared" si="0"/>
        <v>0.265625</v>
      </c>
      <c r="R8">
        <f>IF(AND(COUNTIF($A$2:$A$2027,A8)&gt;1,COUNTIF($A$2:A8,A8)=1),1,0)</f>
        <v>0</v>
      </c>
      <c r="S8" t="b">
        <f>IFERROR(VLOOKUP(D8,Products!$A$2:$F$61,6,FALSE()),"")</f>
        <v>1</v>
      </c>
      <c r="T8" t="str">
        <f>IF(COUNTIF(Customers!$A$2:$A$301,C8)=0,"Missing","OK")</f>
        <v>OK</v>
      </c>
      <c r="U8" t="str">
        <f t="shared" si="1"/>
        <v>Bengaluru</v>
      </c>
      <c r="V8">
        <f t="shared" si="2"/>
        <v>0</v>
      </c>
    </row>
    <row r="9" spans="1:22" ht="15" customHeight="1" x14ac:dyDescent="0.35">
      <c r="A9" s="3" t="s">
        <v>57</v>
      </c>
      <c r="B9" s="4">
        <v>45617</v>
      </c>
      <c r="C9" s="3" t="s">
        <v>58</v>
      </c>
      <c r="D9" s="3" t="s">
        <v>59</v>
      </c>
      <c r="E9" s="3" t="s">
        <v>60</v>
      </c>
      <c r="F9" s="5">
        <v>8</v>
      </c>
      <c r="G9" s="5">
        <v>1430</v>
      </c>
      <c r="H9" s="5">
        <v>2.4</v>
      </c>
      <c r="I9" s="5">
        <v>11165.44</v>
      </c>
      <c r="J9" s="3" t="s">
        <v>26</v>
      </c>
      <c r="K9" s="3" t="s">
        <v>56</v>
      </c>
      <c r="L9" t="str">
        <f>IFERROR(VLOOKUP(D9,Products!$A$2:$F$61,3,FALSE()),"")</f>
        <v>Electronics</v>
      </c>
      <c r="M9" t="str">
        <f>IFERROR(VLOOKUP(E9,Sales_Reps!$A$2:$C$31,3,FALSE()),"")</f>
        <v>East</v>
      </c>
      <c r="N9">
        <f>IFERROR(VLOOKUP(D9,Products!$A$2:$F$61,4,FALSE()),"")</f>
        <v>861</v>
      </c>
      <c r="O9" t="str">
        <f>IFERROR(VLOOKUP(C9,Customers!$A$2:$F$301,5,FALSE()),"")</f>
        <v>Corporate</v>
      </c>
      <c r="P9">
        <f>IFERROR(VLOOKUP(C9,Customers!$A$2:$F$301,3,FALSE()),"")</f>
        <v>57</v>
      </c>
      <c r="Q9">
        <f t="shared" si="0"/>
        <v>0.39790209790209791</v>
      </c>
      <c r="R9">
        <f>IF(AND(COUNTIF($A$2:$A$2027,A9)&gt;1,COUNTIF($A$2:A9,A9)=1),1,0)</f>
        <v>0</v>
      </c>
      <c r="S9" t="b">
        <f>IFERROR(VLOOKUP(D9,Products!$A$2:$F$61,6,FALSE()),"")</f>
        <v>1</v>
      </c>
      <c r="T9" t="str">
        <f>IF(COUNTIF(Customers!$A$2:$A$301,C9)=0,"Missing","OK")</f>
        <v>OK</v>
      </c>
      <c r="U9" t="str">
        <f t="shared" si="1"/>
        <v>Bengaluru</v>
      </c>
      <c r="V9">
        <f t="shared" si="2"/>
        <v>0</v>
      </c>
    </row>
    <row r="10" spans="1:22" ht="15" customHeight="1" x14ac:dyDescent="0.35">
      <c r="A10" s="3" t="s">
        <v>61</v>
      </c>
      <c r="B10" s="4">
        <v>45549</v>
      </c>
      <c r="C10" s="3" t="s">
        <v>62</v>
      </c>
      <c r="D10" s="3" t="s">
        <v>63</v>
      </c>
      <c r="E10" s="3" t="s">
        <v>46</v>
      </c>
      <c r="F10" s="5">
        <v>3</v>
      </c>
      <c r="G10" s="5">
        <v>5490</v>
      </c>
      <c r="H10" s="5">
        <v>14.2</v>
      </c>
      <c r="I10" s="5">
        <v>14131.26</v>
      </c>
      <c r="J10" s="3" t="s">
        <v>26</v>
      </c>
      <c r="K10" s="3" t="s">
        <v>56</v>
      </c>
      <c r="L10" t="str">
        <f>IFERROR(VLOOKUP(D10,Products!$A$2:$F$61,3,FALSE()),"")</f>
        <v>Home</v>
      </c>
      <c r="M10" t="str">
        <f>IFERROR(VLOOKUP(E10,Sales_Reps!$A$2:$C$31,3,FALSE()),"")</f>
        <v>North</v>
      </c>
      <c r="N10">
        <f>IFERROR(VLOOKUP(D10,Products!$A$2:$F$61,4,FALSE()),"")</f>
        <v>2549</v>
      </c>
      <c r="O10" t="str">
        <f>IFERROR(VLOOKUP(C10,Customers!$A$2:$F$301,5,FALSE()),"")</f>
        <v>Retail</v>
      </c>
      <c r="P10">
        <f>IFERROR(VLOOKUP(C10,Customers!$A$2:$F$301,3,FALSE()),"")</f>
        <v>42</v>
      </c>
      <c r="Q10">
        <f t="shared" si="0"/>
        <v>0.53570127504553733</v>
      </c>
      <c r="R10">
        <f>IF(AND(COUNTIF($A$2:$A$2027,A10)&gt;1,COUNTIF($A$2:A10,A10)=1),1,0)</f>
        <v>0</v>
      </c>
      <c r="S10" t="b">
        <f>IFERROR(VLOOKUP(D10,Products!$A$2:$F$61,6,FALSE()),"")</f>
        <v>1</v>
      </c>
      <c r="T10" t="str">
        <f>IF(COUNTIF(Customers!$A$2:$A$301,C10)=0,"Missing","OK")</f>
        <v>OK</v>
      </c>
      <c r="U10" t="str">
        <f t="shared" si="1"/>
        <v>Bengaluru</v>
      </c>
      <c r="V10">
        <f t="shared" si="2"/>
        <v>0</v>
      </c>
    </row>
    <row r="11" spans="1:22" ht="15" customHeight="1" x14ac:dyDescent="0.35">
      <c r="A11" s="3" t="s">
        <v>64</v>
      </c>
      <c r="B11" s="4">
        <v>45396</v>
      </c>
      <c r="C11" s="3" t="s">
        <v>65</v>
      </c>
      <c r="D11" s="3" t="s">
        <v>66</v>
      </c>
      <c r="E11" s="3" t="s">
        <v>67</v>
      </c>
      <c r="F11" s="5">
        <v>3</v>
      </c>
      <c r="G11" s="5">
        <v>970</v>
      </c>
      <c r="H11" s="5">
        <v>1.2</v>
      </c>
      <c r="I11" s="5">
        <v>2875.08</v>
      </c>
      <c r="J11" s="3" t="s">
        <v>26</v>
      </c>
      <c r="K11" s="3" t="s">
        <v>27</v>
      </c>
      <c r="L11" t="str">
        <f>IFERROR(VLOOKUP(D11,Products!$A$2:$F$61,3,FALSE()),"")</f>
        <v>Grocery</v>
      </c>
      <c r="M11" t="str">
        <f>IFERROR(VLOOKUP(E11,Sales_Reps!$A$2:$C$31,3,FALSE()),"")</f>
        <v>West</v>
      </c>
      <c r="N11">
        <f>IFERROR(VLOOKUP(D11,Products!$A$2:$F$61,4,FALSE()),"")</f>
        <v>434</v>
      </c>
      <c r="O11" t="str">
        <f>IFERROR(VLOOKUP(C11,Customers!$A$2:$F$301,5,FALSE()),"")</f>
        <v>Retail</v>
      </c>
      <c r="P11">
        <f>IFERROR(VLOOKUP(C11,Customers!$A$2:$F$301,3,FALSE()),"")</f>
        <v>56</v>
      </c>
      <c r="Q11">
        <f t="shared" si="0"/>
        <v>0.5525773195876289</v>
      </c>
      <c r="R11">
        <f>IF(AND(COUNTIF($A$2:$A$2027,A11)&gt;1,COUNTIF($A$2:A11,A11)=1),1,0)</f>
        <v>0</v>
      </c>
      <c r="S11" t="b">
        <f>IFERROR(VLOOKUP(D11,Products!$A$2:$F$61,6,FALSE()),"")</f>
        <v>1</v>
      </c>
      <c r="T11" t="str">
        <f>IF(COUNTIF(Customers!$A$2:$A$301,C11)=0,"Missing","OK")</f>
        <v>OK</v>
      </c>
      <c r="U11" t="str">
        <f t="shared" si="1"/>
        <v>Pune</v>
      </c>
      <c r="V11">
        <f t="shared" si="2"/>
        <v>0</v>
      </c>
    </row>
    <row r="12" spans="1:22" ht="15" customHeight="1" x14ac:dyDescent="0.35">
      <c r="A12" s="3" t="s">
        <v>68</v>
      </c>
      <c r="B12" s="4">
        <v>45560</v>
      </c>
      <c r="C12" s="3" t="s">
        <v>69</v>
      </c>
      <c r="D12" s="3" t="s">
        <v>70</v>
      </c>
      <c r="E12" s="3" t="s">
        <v>71</v>
      </c>
      <c r="F12" s="5">
        <v>7</v>
      </c>
      <c r="G12" s="5">
        <v>2270</v>
      </c>
      <c r="H12" s="5">
        <v>7.1</v>
      </c>
      <c r="I12" s="5">
        <v>14761.81</v>
      </c>
      <c r="J12" s="3" t="s">
        <v>32</v>
      </c>
      <c r="K12" s="3" t="s">
        <v>72</v>
      </c>
      <c r="L12" t="str">
        <f>IFERROR(VLOOKUP(D12,Products!$A$2:$F$61,3,FALSE()),"")</f>
        <v>Grocery</v>
      </c>
      <c r="M12" t="str">
        <f>IFERROR(VLOOKUP(E12,Sales_Reps!$A$2:$C$31,3,FALSE()),"")</f>
        <v>South</v>
      </c>
      <c r="N12">
        <f>IFERROR(VLOOKUP(D12,Products!$A$2:$F$61,4,FALSE()),"")</f>
        <v>1203</v>
      </c>
      <c r="O12" t="str">
        <f>IFERROR(VLOOKUP(C12,Customers!$A$2:$F$301,5,FALSE()),"")</f>
        <v>Retail</v>
      </c>
      <c r="P12">
        <f>IFERROR(VLOOKUP(C12,Customers!$A$2:$F$301,3,FALSE()),"")</f>
        <v>60</v>
      </c>
      <c r="Q12">
        <f t="shared" si="0"/>
        <v>0.47004405286343615</v>
      </c>
      <c r="R12">
        <f>IF(AND(COUNTIF($A$2:$A$2027,A12)&gt;1,COUNTIF($A$2:A12,A12)=1),1,0)</f>
        <v>0</v>
      </c>
      <c r="S12" t="b">
        <f>IFERROR(VLOOKUP(D12,Products!$A$2:$F$61,6,FALSE()),"")</f>
        <v>1</v>
      </c>
      <c r="T12" t="str">
        <f>IF(COUNTIF(Customers!$A$2:$A$301,C12)=0,"Missing","OK")</f>
        <v>OK</v>
      </c>
      <c r="U12" t="str">
        <f t="shared" si="1"/>
        <v>Hyderabad</v>
      </c>
      <c r="V12">
        <f t="shared" si="2"/>
        <v>0</v>
      </c>
    </row>
    <row r="13" spans="1:22" ht="15" customHeight="1" x14ac:dyDescent="0.35">
      <c r="A13" s="3" t="s">
        <v>73</v>
      </c>
      <c r="B13" s="4">
        <v>45332</v>
      </c>
      <c r="C13" s="3" t="s">
        <v>65</v>
      </c>
      <c r="D13" s="3" t="s">
        <v>74</v>
      </c>
      <c r="E13" s="3" t="s">
        <v>55</v>
      </c>
      <c r="F13" s="5">
        <v>9</v>
      </c>
      <c r="G13" s="5">
        <v>2640</v>
      </c>
      <c r="H13" s="5">
        <v>21.7</v>
      </c>
      <c r="I13" s="5">
        <v>18604.080000000002</v>
      </c>
      <c r="J13" s="3" t="s">
        <v>26</v>
      </c>
      <c r="K13" s="3" t="s">
        <v>27</v>
      </c>
      <c r="L13" t="str">
        <f>IFERROR(VLOOKUP(D13,Products!$A$2:$F$61,3,FALSE()),"")</f>
        <v>Electronics</v>
      </c>
      <c r="M13" t="str">
        <f>IFERROR(VLOOKUP(E13,Sales_Reps!$A$2:$C$31,3,FALSE()),"")</f>
        <v>West</v>
      </c>
      <c r="N13">
        <f>IFERROR(VLOOKUP(D13,Products!$A$2:$F$61,4,FALSE()),"")</f>
        <v>1149</v>
      </c>
      <c r="O13" t="str">
        <f>IFERROR(VLOOKUP(C13,Customers!$A$2:$F$301,5,FALSE()),"")</f>
        <v>Retail</v>
      </c>
      <c r="P13">
        <f>IFERROR(VLOOKUP(C13,Customers!$A$2:$F$301,3,FALSE()),"")</f>
        <v>56</v>
      </c>
      <c r="Q13">
        <f t="shared" si="0"/>
        <v>0.56477272727272732</v>
      </c>
      <c r="R13">
        <f>IF(AND(COUNTIF($A$2:$A$2027,A13)&gt;1,COUNTIF($A$2:A13,A13)=1),1,0)</f>
        <v>0</v>
      </c>
      <c r="S13" t="b">
        <f>IFERROR(VLOOKUP(D13,Products!$A$2:$F$61,6,FALSE()),"")</f>
        <v>1</v>
      </c>
      <c r="T13" t="str">
        <f>IF(COUNTIF(Customers!$A$2:$A$301,C13)=0,"Missing","OK")</f>
        <v>OK</v>
      </c>
      <c r="U13" t="str">
        <f t="shared" si="1"/>
        <v>Pune</v>
      </c>
      <c r="V13">
        <f t="shared" si="2"/>
        <v>0</v>
      </c>
    </row>
    <row r="14" spans="1:22" ht="15" customHeight="1" x14ac:dyDescent="0.35">
      <c r="A14" s="3" t="s">
        <v>75</v>
      </c>
      <c r="B14" s="4">
        <v>45507</v>
      </c>
      <c r="C14" s="3" t="s">
        <v>76</v>
      </c>
      <c r="D14" s="3" t="s">
        <v>77</v>
      </c>
      <c r="E14" s="3" t="s">
        <v>78</v>
      </c>
      <c r="F14" s="5">
        <v>3</v>
      </c>
      <c r="G14" s="5">
        <v>2600</v>
      </c>
      <c r="H14" s="5">
        <v>4.3</v>
      </c>
      <c r="I14" s="5">
        <v>7464.6</v>
      </c>
      <c r="J14" s="3" t="s">
        <v>79</v>
      </c>
      <c r="K14" s="3" t="s">
        <v>38</v>
      </c>
      <c r="L14" t="str">
        <f>IFERROR(VLOOKUP(D14,Products!$A$2:$F$61,3,FALSE()),"")</f>
        <v>Electronics</v>
      </c>
      <c r="M14" t="str">
        <f>IFERROR(VLOOKUP(E14,Sales_Reps!$A$2:$C$31,3,FALSE()),"")</f>
        <v>North</v>
      </c>
      <c r="N14">
        <f>IFERROR(VLOOKUP(D14,Products!$A$2:$F$61,4,FALSE()),"")</f>
        <v>1052</v>
      </c>
      <c r="O14" t="str">
        <f>IFERROR(VLOOKUP(C14,Customers!$A$2:$F$301,5,FALSE()),"")</f>
        <v>SMB</v>
      </c>
      <c r="P14">
        <f>IFERROR(VLOOKUP(C14,Customers!$A$2:$F$301,3,FALSE()),"")</f>
        <v>27</v>
      </c>
      <c r="Q14">
        <f t="shared" si="0"/>
        <v>0.5953846153846154</v>
      </c>
      <c r="R14">
        <f>IF(AND(COUNTIF($A$2:$A$2027,A14)&gt;1,COUNTIF($A$2:A14,A14)=1),1,0)</f>
        <v>0</v>
      </c>
      <c r="S14" t="b">
        <f>IFERROR(VLOOKUP(D14,Products!$A$2:$F$61,6,FALSE()),"")</f>
        <v>1</v>
      </c>
      <c r="T14" t="str">
        <f>IF(COUNTIF(Customers!$A$2:$A$301,C14)=0,"Missing","OK")</f>
        <v>OK</v>
      </c>
      <c r="U14" t="str">
        <f t="shared" si="1"/>
        <v>Delhi</v>
      </c>
      <c r="V14">
        <f t="shared" si="2"/>
        <v>0</v>
      </c>
    </row>
    <row r="15" spans="1:22" ht="15" customHeight="1" x14ac:dyDescent="0.35">
      <c r="A15" s="3" t="s">
        <v>80</v>
      </c>
      <c r="B15" s="4">
        <v>45466</v>
      </c>
      <c r="C15" s="3" t="s">
        <v>81</v>
      </c>
      <c r="D15" s="3" t="s">
        <v>82</v>
      </c>
      <c r="E15" s="3" t="s">
        <v>50</v>
      </c>
      <c r="F15" s="5">
        <v>3</v>
      </c>
      <c r="G15" s="5">
        <v>3250</v>
      </c>
      <c r="H15" s="5">
        <v>14.1</v>
      </c>
      <c r="I15" s="5">
        <v>8375.25</v>
      </c>
      <c r="J15" s="3" t="s">
        <v>83</v>
      </c>
      <c r="K15" s="3" t="s">
        <v>27</v>
      </c>
      <c r="L15" t="str">
        <f>IFERROR(VLOOKUP(D15,Products!$A$2:$F$61,3,FALSE()),"")</f>
        <v>Home</v>
      </c>
      <c r="M15" t="str">
        <f>IFERROR(VLOOKUP(E15,Sales_Reps!$A$2:$C$31,3,FALSE()),"")</f>
        <v>West</v>
      </c>
      <c r="N15">
        <f>IFERROR(VLOOKUP(D15,Products!$A$2:$F$61,4,FALSE()),"")</f>
        <v>1556</v>
      </c>
      <c r="O15" t="str">
        <f>IFERROR(VLOOKUP(C15,Customers!$A$2:$F$301,5,FALSE()),"")</f>
        <v>SMB</v>
      </c>
      <c r="P15">
        <f>IFERROR(VLOOKUP(C15,Customers!$A$2:$F$301,3,FALSE()),"")</f>
        <v>39</v>
      </c>
      <c r="Q15">
        <f t="shared" si="0"/>
        <v>0.52123076923076928</v>
      </c>
      <c r="R15">
        <f>IF(AND(COUNTIF($A$2:$A$2027,A15)&gt;1,COUNTIF($A$2:A15,A15)=1),1,0)</f>
        <v>0</v>
      </c>
      <c r="S15" t="b">
        <f>IFERROR(VLOOKUP(D15,Products!$A$2:$F$61,6,FALSE()),"")</f>
        <v>1</v>
      </c>
      <c r="T15" t="str">
        <f>IF(COUNTIF(Customers!$A$2:$A$301,C15)=0,"Missing","OK")</f>
        <v>OK</v>
      </c>
      <c r="U15" t="str">
        <f t="shared" si="1"/>
        <v>Pune</v>
      </c>
      <c r="V15">
        <f t="shared" si="2"/>
        <v>0</v>
      </c>
    </row>
    <row r="16" spans="1:22" ht="15" customHeight="1" x14ac:dyDescent="0.35">
      <c r="A16" s="3" t="s">
        <v>84</v>
      </c>
      <c r="B16" s="4">
        <v>45365</v>
      </c>
      <c r="C16" s="3" t="s">
        <v>85</v>
      </c>
      <c r="D16" s="3" t="s">
        <v>86</v>
      </c>
      <c r="E16" s="3" t="s">
        <v>87</v>
      </c>
      <c r="F16" s="5">
        <v>1</v>
      </c>
      <c r="G16" s="5">
        <v>190</v>
      </c>
      <c r="H16" s="5">
        <v>20.7</v>
      </c>
      <c r="I16" s="5">
        <v>150.66999999999999</v>
      </c>
      <c r="J16" s="3" t="s">
        <v>26</v>
      </c>
      <c r="K16" s="3" t="s">
        <v>27</v>
      </c>
      <c r="L16" t="str">
        <f>IFERROR(VLOOKUP(D16,Products!$A$2:$F$61,3,FALSE()),"")</f>
        <v>Sports</v>
      </c>
      <c r="M16" t="str">
        <f>IFERROR(VLOOKUP(E16,Sales_Reps!$A$2:$C$31,3,FALSE()),"")</f>
        <v>North</v>
      </c>
      <c r="N16">
        <f>IFERROR(VLOOKUP(D16,Products!$A$2:$F$61,4,FALSE()),"")</f>
        <v>147</v>
      </c>
      <c r="O16" t="str">
        <f>IFERROR(VLOOKUP(C16,Customers!$A$2:$F$301,5,FALSE()),"")</f>
        <v>Retail</v>
      </c>
      <c r="P16">
        <f>IFERROR(VLOOKUP(C16,Customers!$A$2:$F$301,3,FALSE()),"")</f>
        <v>38</v>
      </c>
      <c r="Q16">
        <f t="shared" si="0"/>
        <v>0.22631578947368422</v>
      </c>
      <c r="R16">
        <f>IF(AND(COUNTIF($A$2:$A$2027,A16)&gt;1,COUNTIF($A$2:A16,A16)=1),1,0)</f>
        <v>0</v>
      </c>
      <c r="S16" t="b">
        <f>IFERROR(VLOOKUP(D16,Products!$A$2:$F$61,6,FALSE()),"")</f>
        <v>1</v>
      </c>
      <c r="T16" t="str">
        <f>IF(COUNTIF(Customers!$A$2:$A$301,C16)=0,"Missing","OK")</f>
        <v>OK</v>
      </c>
      <c r="U16" t="str">
        <f t="shared" si="1"/>
        <v>Pune</v>
      </c>
      <c r="V16">
        <f t="shared" si="2"/>
        <v>0</v>
      </c>
    </row>
    <row r="17" spans="1:22" ht="15" customHeight="1" x14ac:dyDescent="0.35">
      <c r="A17" s="3" t="s">
        <v>88</v>
      </c>
      <c r="B17" s="4">
        <v>45546</v>
      </c>
      <c r="C17" s="3" t="s">
        <v>89</v>
      </c>
      <c r="D17" s="3" t="s">
        <v>90</v>
      </c>
      <c r="E17" s="3" t="s">
        <v>37</v>
      </c>
      <c r="F17" s="5">
        <v>7</v>
      </c>
      <c r="G17" s="5">
        <v>2400</v>
      </c>
      <c r="H17" s="5">
        <v>10.199999999999999</v>
      </c>
      <c r="I17" s="5">
        <v>15086.4</v>
      </c>
      <c r="J17" s="3" t="s">
        <v>32</v>
      </c>
      <c r="K17" s="3" t="s">
        <v>27</v>
      </c>
      <c r="L17" t="str">
        <f>IFERROR(VLOOKUP(D17,Products!$A$2:$F$61,3,FALSE()),"")</f>
        <v>Sports</v>
      </c>
      <c r="M17" t="str">
        <f>IFERROR(VLOOKUP(E17,Sales_Reps!$A$2:$C$31,3,FALSE()),"")</f>
        <v>South</v>
      </c>
      <c r="N17">
        <f>IFERROR(VLOOKUP(D17,Products!$A$2:$F$61,4,FALSE()),"")</f>
        <v>974</v>
      </c>
      <c r="O17" t="str">
        <f>IFERROR(VLOOKUP(C17,Customers!$A$2:$F$301,5,FALSE()),"")</f>
        <v>Retail</v>
      </c>
      <c r="P17">
        <f>IFERROR(VLOOKUP(C17,Customers!$A$2:$F$301,3,FALSE()),"")</f>
        <v>63</v>
      </c>
      <c r="Q17">
        <f t="shared" si="0"/>
        <v>0.59416666666666662</v>
      </c>
      <c r="R17">
        <f>IF(AND(COUNTIF($A$2:$A$2027,A17)&gt;1,COUNTIF($A$2:A17,A17)=1),1,0)</f>
        <v>0</v>
      </c>
      <c r="S17" t="b">
        <f>IFERROR(VLOOKUP(D17,Products!$A$2:$F$61,6,FALSE()),"")</f>
        <v>1</v>
      </c>
      <c r="T17" t="str">
        <f>IF(COUNTIF(Customers!$A$2:$A$301,C17)=0,"Missing","OK")</f>
        <v>OK</v>
      </c>
      <c r="U17" t="str">
        <f t="shared" si="1"/>
        <v>Pune</v>
      </c>
      <c r="V17">
        <f t="shared" si="2"/>
        <v>0</v>
      </c>
    </row>
    <row r="18" spans="1:22" ht="15" customHeight="1" x14ac:dyDescent="0.35">
      <c r="A18" s="3" t="s">
        <v>91</v>
      </c>
      <c r="B18" s="4">
        <v>45512</v>
      </c>
      <c r="C18" s="3" t="s">
        <v>92</v>
      </c>
      <c r="D18" s="3" t="s">
        <v>41</v>
      </c>
      <c r="E18" s="3" t="s">
        <v>93</v>
      </c>
      <c r="F18" s="5">
        <v>4</v>
      </c>
      <c r="G18" s="5">
        <v>3660</v>
      </c>
      <c r="H18" s="5">
        <v>2.6</v>
      </c>
      <c r="I18" s="5">
        <v>14259.36</v>
      </c>
      <c r="J18" s="3" t="s">
        <v>26</v>
      </c>
      <c r="K18" s="3" t="s">
        <v>56</v>
      </c>
      <c r="L18" t="str">
        <f>IFERROR(VLOOKUP(D18,Products!$A$2:$F$61,3,FALSE()),"")</f>
        <v>Grocery</v>
      </c>
      <c r="M18" t="str">
        <f>IFERROR(VLOOKUP(E18,Sales_Reps!$A$2:$C$31,3,FALSE()),"")</f>
        <v>East</v>
      </c>
      <c r="N18">
        <f>IFERROR(VLOOKUP(D18,Products!$A$2:$F$61,4,FALSE()),"")</f>
        <v>2214</v>
      </c>
      <c r="O18" t="str">
        <f>IFERROR(VLOOKUP(C18,Customers!$A$2:$F$301,5,FALSE()),"")</f>
        <v>SMB</v>
      </c>
      <c r="P18">
        <f>IFERROR(VLOOKUP(C18,Customers!$A$2:$F$301,3,FALSE()),"")</f>
        <v>46</v>
      </c>
      <c r="Q18">
        <f t="shared" si="0"/>
        <v>0.39508196721311473</v>
      </c>
      <c r="R18">
        <f>IF(AND(COUNTIF($A$2:$A$2027,A18)&gt;1,COUNTIF($A$2:A18,A18)=1),1,0)</f>
        <v>0</v>
      </c>
      <c r="S18" t="b">
        <f>IFERROR(VLOOKUP(D18,Products!$A$2:$F$61,6,FALSE()),"")</f>
        <v>0</v>
      </c>
      <c r="T18" t="str">
        <f>IF(COUNTIF(Customers!$A$2:$A$301,C18)=0,"Missing","OK")</f>
        <v>OK</v>
      </c>
      <c r="U18" t="str">
        <f t="shared" si="1"/>
        <v>Bengaluru</v>
      </c>
      <c r="V18">
        <f t="shared" si="2"/>
        <v>14259.36</v>
      </c>
    </row>
    <row r="19" spans="1:22" ht="15" customHeight="1" x14ac:dyDescent="0.35">
      <c r="A19" s="3" t="s">
        <v>94</v>
      </c>
      <c r="B19" s="4">
        <v>45654</v>
      </c>
      <c r="C19" s="3" t="s">
        <v>95</v>
      </c>
      <c r="D19" s="3" t="s">
        <v>96</v>
      </c>
      <c r="E19" s="3" t="s">
        <v>97</v>
      </c>
      <c r="F19" s="5">
        <v>8</v>
      </c>
      <c r="G19" s="5">
        <v>3450</v>
      </c>
      <c r="H19" s="5">
        <v>18.5</v>
      </c>
      <c r="I19" s="5">
        <v>22494</v>
      </c>
      <c r="J19" s="3" t="s">
        <v>26</v>
      </c>
      <c r="K19" s="3" t="s">
        <v>72</v>
      </c>
      <c r="L19" t="str">
        <f>IFERROR(VLOOKUP(D19,Products!$A$2:$F$61,3,FALSE()),"")</f>
        <v>Beauty</v>
      </c>
      <c r="M19" t="str">
        <f>IFERROR(VLOOKUP(E19,Sales_Reps!$A$2:$C$31,3,FALSE()),"")</f>
        <v>East</v>
      </c>
      <c r="N19">
        <f>IFERROR(VLOOKUP(D19,Products!$A$2:$F$61,4,FALSE()),"")</f>
        <v>2420</v>
      </c>
      <c r="O19" t="str">
        <f>IFERROR(VLOOKUP(C19,Customers!$A$2:$F$301,5,FALSE()),"")</f>
        <v>Corporate</v>
      </c>
      <c r="P19">
        <f>IFERROR(VLOOKUP(C19,Customers!$A$2:$F$301,3,FALSE()),"")</f>
        <v>32</v>
      </c>
      <c r="Q19">
        <f t="shared" si="0"/>
        <v>0.29855072463768118</v>
      </c>
      <c r="R19">
        <f>IF(AND(COUNTIF($A$2:$A$2027,A19)&gt;1,COUNTIF($A$2:A19,A19)=1),1,0)</f>
        <v>0</v>
      </c>
      <c r="S19" t="b">
        <f>IFERROR(VLOOKUP(D19,Products!$A$2:$F$61,6,FALSE()),"")</f>
        <v>1</v>
      </c>
      <c r="T19" t="str">
        <f>IF(COUNTIF(Customers!$A$2:$A$301,C19)=0,"Missing","OK")</f>
        <v>OK</v>
      </c>
      <c r="U19" t="str">
        <f t="shared" si="1"/>
        <v>Hyderabad</v>
      </c>
      <c r="V19">
        <f t="shared" si="2"/>
        <v>0</v>
      </c>
    </row>
    <row r="20" spans="1:22" ht="15" customHeight="1" x14ac:dyDescent="0.35">
      <c r="A20" s="3" t="s">
        <v>98</v>
      </c>
      <c r="B20" s="4">
        <v>45626</v>
      </c>
      <c r="C20" s="3" t="s">
        <v>99</v>
      </c>
      <c r="D20" s="3" t="s">
        <v>100</v>
      </c>
      <c r="E20" s="3" t="s">
        <v>93</v>
      </c>
      <c r="F20" s="5">
        <v>5</v>
      </c>
      <c r="G20" s="5">
        <v>3450</v>
      </c>
      <c r="H20" s="5">
        <v>7.3</v>
      </c>
      <c r="I20" s="5">
        <v>15990.75</v>
      </c>
      <c r="J20" s="3" t="s">
        <v>26</v>
      </c>
      <c r="K20" s="3" t="s">
        <v>51</v>
      </c>
      <c r="L20" t="str">
        <f>IFERROR(VLOOKUP(D20,Products!$A$2:$F$61,3,FALSE()),"")</f>
        <v>Sports</v>
      </c>
      <c r="M20" t="str">
        <f>IFERROR(VLOOKUP(E20,Sales_Reps!$A$2:$C$31,3,FALSE()),"")</f>
        <v>East</v>
      </c>
      <c r="N20">
        <f>IFERROR(VLOOKUP(D20,Products!$A$2:$F$61,4,FALSE()),"")</f>
        <v>2467</v>
      </c>
      <c r="O20" t="str">
        <f>IFERROR(VLOOKUP(C20,Customers!$A$2:$F$301,5,FALSE()),"")</f>
        <v>Retail</v>
      </c>
      <c r="P20">
        <f>IFERROR(VLOOKUP(C20,Customers!$A$2:$F$301,3,FALSE()),"")</f>
        <v>54</v>
      </c>
      <c r="Q20">
        <f t="shared" si="0"/>
        <v>0.28492753623188405</v>
      </c>
      <c r="R20">
        <f>IF(AND(COUNTIF($A$2:$A$2027,A20)&gt;1,COUNTIF($A$2:A20,A20)=1),1,0)</f>
        <v>0</v>
      </c>
      <c r="S20" t="b">
        <f>IFERROR(VLOOKUP(D20,Products!$A$2:$F$61,6,FALSE()),"")</f>
        <v>1</v>
      </c>
      <c r="T20" t="str">
        <f>IF(COUNTIF(Customers!$A$2:$A$301,C20)=0,"Missing","OK")</f>
        <v>OK</v>
      </c>
      <c r="U20" t="str">
        <f t="shared" si="1"/>
        <v>Mumbai</v>
      </c>
      <c r="V20">
        <f t="shared" si="2"/>
        <v>0</v>
      </c>
    </row>
    <row r="21" spans="1:22" ht="15" customHeight="1" x14ac:dyDescent="0.35">
      <c r="A21" s="3" t="s">
        <v>101</v>
      </c>
      <c r="B21" s="4">
        <v>45394</v>
      </c>
      <c r="C21" s="3" t="s">
        <v>102</v>
      </c>
      <c r="D21" s="3" t="s">
        <v>103</v>
      </c>
      <c r="E21" s="3" t="s">
        <v>93</v>
      </c>
      <c r="F21" s="5">
        <v>8</v>
      </c>
      <c r="G21" s="5">
        <v>1080</v>
      </c>
      <c r="H21" s="5">
        <v>2.2000000000000002</v>
      </c>
      <c r="I21" s="5">
        <v>8449.92</v>
      </c>
      <c r="J21" s="3" t="s">
        <v>26</v>
      </c>
      <c r="K21" s="3" t="s">
        <v>33</v>
      </c>
      <c r="L21" t="str">
        <f>IFERROR(VLOOKUP(D21,Products!$A$2:$F$61,3,FALSE()),"")</f>
        <v>Home</v>
      </c>
      <c r="M21" t="str">
        <f>IFERROR(VLOOKUP(E21,Sales_Reps!$A$2:$C$31,3,FALSE()),"")</f>
        <v>East</v>
      </c>
      <c r="N21">
        <f>IFERROR(VLOOKUP(D21,Products!$A$2:$F$61,4,FALSE()),"")</f>
        <v>519</v>
      </c>
      <c r="O21" t="str">
        <f>IFERROR(VLOOKUP(C21,Customers!$A$2:$F$301,5,FALSE()),"")</f>
        <v>Retail</v>
      </c>
      <c r="P21">
        <f>IFERROR(VLOOKUP(C21,Customers!$A$2:$F$301,3,FALSE()),"")</f>
        <v>49</v>
      </c>
      <c r="Q21">
        <f t="shared" si="0"/>
        <v>0.51944444444444449</v>
      </c>
      <c r="R21">
        <f>IF(AND(COUNTIF($A$2:$A$2027,A21)&gt;1,COUNTIF($A$2:A21,A21)=1),1,0)</f>
        <v>0</v>
      </c>
      <c r="S21" t="b">
        <f>IFERROR(VLOOKUP(D21,Products!$A$2:$F$61,6,FALSE()),"")</f>
        <v>1</v>
      </c>
      <c r="T21" t="str">
        <f>IF(COUNTIF(Customers!$A$2:$A$301,C21)=0,"Missing","OK")</f>
        <v>OK</v>
      </c>
      <c r="U21" t="str">
        <f t="shared" si="1"/>
        <v>Chennai</v>
      </c>
      <c r="V21">
        <f t="shared" si="2"/>
        <v>0</v>
      </c>
    </row>
    <row r="22" spans="1:22" ht="15" customHeight="1" x14ac:dyDescent="0.35">
      <c r="A22" s="3" t="s">
        <v>104</v>
      </c>
      <c r="B22" s="4">
        <v>45470</v>
      </c>
      <c r="C22" s="3" t="s">
        <v>105</v>
      </c>
      <c r="D22" s="3" t="s">
        <v>106</v>
      </c>
      <c r="E22" s="3" t="s">
        <v>42</v>
      </c>
      <c r="F22" s="5">
        <v>7</v>
      </c>
      <c r="G22" s="5">
        <v>2480</v>
      </c>
      <c r="H22" s="5">
        <v>28.7</v>
      </c>
      <c r="I22" s="5">
        <v>12377.68</v>
      </c>
      <c r="J22" s="3" t="s">
        <v>26</v>
      </c>
      <c r="K22" s="3" t="s">
        <v>72</v>
      </c>
      <c r="L22" t="str">
        <f>IFERROR(VLOOKUP(D22,Products!$A$2:$F$61,3,FALSE()),"")</f>
        <v>Apparel</v>
      </c>
      <c r="M22" t="str">
        <f>IFERROR(VLOOKUP(E22,Sales_Reps!$A$2:$C$31,3,FALSE()),"")</f>
        <v>North</v>
      </c>
      <c r="N22">
        <f>IFERROR(VLOOKUP(D22,Products!$A$2:$F$61,4,FALSE()),"")</f>
        <v>1173</v>
      </c>
      <c r="O22" t="str">
        <f>IFERROR(VLOOKUP(C22,Customers!$A$2:$F$301,5,FALSE()),"")</f>
        <v>Retail</v>
      </c>
      <c r="P22">
        <f>IFERROR(VLOOKUP(C22,Customers!$A$2:$F$301,3,FALSE()),"")</f>
        <v>32</v>
      </c>
      <c r="Q22">
        <f t="shared" si="0"/>
        <v>0.52701612903225803</v>
      </c>
      <c r="R22">
        <f>IF(AND(COUNTIF($A$2:$A$2027,A22)&gt;1,COUNTIF($A$2:A22,A22)=1),1,0)</f>
        <v>0</v>
      </c>
      <c r="S22" t="b">
        <f>IFERROR(VLOOKUP(D22,Products!$A$2:$F$61,6,FALSE()),"")</f>
        <v>1</v>
      </c>
      <c r="T22" t="str">
        <f>IF(COUNTIF(Customers!$A$2:$A$301,C22)=0,"Missing","OK")</f>
        <v>OK</v>
      </c>
      <c r="U22" t="str">
        <f t="shared" si="1"/>
        <v>Hyderabad</v>
      </c>
      <c r="V22">
        <f t="shared" si="2"/>
        <v>0</v>
      </c>
    </row>
    <row r="23" spans="1:22" ht="15" customHeight="1" x14ac:dyDescent="0.35">
      <c r="A23" s="3" t="s">
        <v>107</v>
      </c>
      <c r="B23" s="4">
        <v>45354</v>
      </c>
      <c r="C23" s="3" t="s">
        <v>108</v>
      </c>
      <c r="D23" s="3" t="s">
        <v>82</v>
      </c>
      <c r="E23" s="3" t="s">
        <v>109</v>
      </c>
      <c r="F23" s="5">
        <v>4</v>
      </c>
      <c r="G23" s="5">
        <v>3250</v>
      </c>
      <c r="H23" s="5">
        <v>24.6</v>
      </c>
      <c r="I23" s="5">
        <v>9802</v>
      </c>
      <c r="J23" s="3" t="s">
        <v>26</v>
      </c>
      <c r="K23" s="3" t="s">
        <v>51</v>
      </c>
      <c r="L23" t="str">
        <f>IFERROR(VLOOKUP(D23,Products!$A$2:$F$61,3,FALSE()),"")</f>
        <v>Home</v>
      </c>
      <c r="M23" t="str">
        <f>IFERROR(VLOOKUP(E23,Sales_Reps!$A$2:$C$31,3,FALSE()),"")</f>
        <v>West</v>
      </c>
      <c r="N23">
        <f>IFERROR(VLOOKUP(D23,Products!$A$2:$F$61,4,FALSE()),"")</f>
        <v>1556</v>
      </c>
      <c r="O23" t="str">
        <f>IFERROR(VLOOKUP(C23,Customers!$A$2:$F$301,5,FALSE()),"")</f>
        <v>Retail</v>
      </c>
      <c r="P23">
        <f>IFERROR(VLOOKUP(C23,Customers!$A$2:$F$301,3,FALSE()),"")</f>
        <v>34</v>
      </c>
      <c r="Q23">
        <f t="shared" si="0"/>
        <v>0.52123076923076928</v>
      </c>
      <c r="R23">
        <f>IF(AND(COUNTIF($A$2:$A$2027,A23)&gt;1,COUNTIF($A$2:A23,A23)=1),1,0)</f>
        <v>0</v>
      </c>
      <c r="S23" t="b">
        <f>IFERROR(VLOOKUP(D23,Products!$A$2:$F$61,6,FALSE()),"")</f>
        <v>1</v>
      </c>
      <c r="T23" t="str">
        <f>IF(COUNTIF(Customers!$A$2:$A$301,C23)=0,"Missing","OK")</f>
        <v>OK</v>
      </c>
      <c r="U23" t="str">
        <f t="shared" si="1"/>
        <v>Mumbai</v>
      </c>
      <c r="V23">
        <f t="shared" si="2"/>
        <v>0</v>
      </c>
    </row>
    <row r="24" spans="1:22" ht="15" customHeight="1" x14ac:dyDescent="0.35">
      <c r="A24" s="3" t="s">
        <v>110</v>
      </c>
      <c r="B24" s="4">
        <v>45530</v>
      </c>
      <c r="C24" s="3" t="s">
        <v>111</v>
      </c>
      <c r="D24" s="3" t="s">
        <v>112</v>
      </c>
      <c r="E24" s="3" t="s">
        <v>109</v>
      </c>
      <c r="F24" s="5">
        <v>9</v>
      </c>
      <c r="G24" s="5">
        <v>2720</v>
      </c>
      <c r="H24" s="5">
        <v>26.2</v>
      </c>
      <c r="I24" s="5">
        <v>18066.240000000002</v>
      </c>
      <c r="J24" s="3" t="s">
        <v>26</v>
      </c>
      <c r="K24" s="3" t="s">
        <v>27</v>
      </c>
      <c r="L24" t="str">
        <f>IFERROR(VLOOKUP(D24,Products!$A$2:$F$61,3,FALSE()),"")</f>
        <v>Apparel</v>
      </c>
      <c r="M24" t="str">
        <f>IFERROR(VLOOKUP(E24,Sales_Reps!$A$2:$C$31,3,FALSE()),"")</f>
        <v>West</v>
      </c>
      <c r="N24">
        <f>IFERROR(VLOOKUP(D24,Products!$A$2:$F$61,4,FALSE()),"")</f>
        <v>1962</v>
      </c>
      <c r="O24" t="str">
        <f>IFERROR(VLOOKUP(C24,Customers!$A$2:$F$301,5,FALSE()),"")</f>
        <v>Retail</v>
      </c>
      <c r="P24">
        <f>IFERROR(VLOOKUP(C24,Customers!$A$2:$F$301,3,FALSE()),"")</f>
        <v>50</v>
      </c>
      <c r="Q24">
        <f t="shared" si="0"/>
        <v>0.2786764705882353</v>
      </c>
      <c r="R24">
        <f>IF(AND(COUNTIF($A$2:$A$2027,A24)&gt;1,COUNTIF($A$2:A24,A24)=1),1,0)</f>
        <v>0</v>
      </c>
      <c r="S24" t="b">
        <f>IFERROR(VLOOKUP(D24,Products!$A$2:$F$61,6,FALSE()),"")</f>
        <v>1</v>
      </c>
      <c r="T24" t="str">
        <f>IF(COUNTIF(Customers!$A$2:$A$301,C24)=0,"Missing","OK")</f>
        <v>OK</v>
      </c>
      <c r="U24" t="str">
        <f t="shared" si="1"/>
        <v>Pune</v>
      </c>
      <c r="V24">
        <f t="shared" si="2"/>
        <v>0</v>
      </c>
    </row>
    <row r="25" spans="1:22" ht="15" customHeight="1" x14ac:dyDescent="0.35">
      <c r="A25" s="3" t="s">
        <v>113</v>
      </c>
      <c r="B25" s="4">
        <v>45472</v>
      </c>
      <c r="C25" s="3" t="s">
        <v>114</v>
      </c>
      <c r="D25" s="3" t="s">
        <v>115</v>
      </c>
      <c r="E25" s="3" t="s">
        <v>87</v>
      </c>
      <c r="F25" s="5">
        <v>2</v>
      </c>
      <c r="G25" s="5">
        <v>1650</v>
      </c>
      <c r="H25" s="5">
        <v>9.4</v>
      </c>
      <c r="I25" s="5">
        <v>2989.8</v>
      </c>
      <c r="J25" s="3" t="s">
        <v>26</v>
      </c>
      <c r="K25" s="3" t="s">
        <v>72</v>
      </c>
      <c r="L25" t="str">
        <f>IFERROR(VLOOKUP(D25,Products!$A$2:$F$61,3,FALSE()),"")</f>
        <v>Beauty</v>
      </c>
      <c r="M25" t="str">
        <f>IFERROR(VLOOKUP(E25,Sales_Reps!$A$2:$C$31,3,FALSE()),"")</f>
        <v>North</v>
      </c>
      <c r="N25">
        <f>IFERROR(VLOOKUP(D25,Products!$A$2:$F$61,4,FALSE()),"")</f>
        <v>1222</v>
      </c>
      <c r="O25" t="str">
        <f>IFERROR(VLOOKUP(C25,Customers!$A$2:$F$301,5,FALSE()),"")</f>
        <v>SMB</v>
      </c>
      <c r="P25">
        <f>IFERROR(VLOOKUP(C25,Customers!$A$2:$F$301,3,FALSE()),"")</f>
        <v>40</v>
      </c>
      <c r="Q25">
        <f t="shared" si="0"/>
        <v>0.2593939393939394</v>
      </c>
      <c r="R25">
        <f>IF(AND(COUNTIF($A$2:$A$2027,A25)&gt;1,COUNTIF($A$2:A25,A25)=1),1,0)</f>
        <v>0</v>
      </c>
      <c r="S25" t="b">
        <f>IFERROR(VLOOKUP(D25,Products!$A$2:$F$61,6,FALSE()),"")</f>
        <v>1</v>
      </c>
      <c r="T25" t="str">
        <f>IF(COUNTIF(Customers!$A$2:$A$301,C25)=0,"Missing","OK")</f>
        <v>OK</v>
      </c>
      <c r="U25" t="str">
        <f t="shared" si="1"/>
        <v>Hyderabad</v>
      </c>
      <c r="V25">
        <f t="shared" si="2"/>
        <v>0</v>
      </c>
    </row>
    <row r="26" spans="1:22" ht="15" customHeight="1" x14ac:dyDescent="0.35">
      <c r="A26" s="3" t="s">
        <v>116</v>
      </c>
      <c r="B26" s="4">
        <v>45394</v>
      </c>
      <c r="C26" s="3" t="s">
        <v>117</v>
      </c>
      <c r="D26" s="3" t="s">
        <v>118</v>
      </c>
      <c r="E26" s="3" t="s">
        <v>93</v>
      </c>
      <c r="F26" s="5">
        <v>6</v>
      </c>
      <c r="G26" s="5">
        <v>3350</v>
      </c>
      <c r="H26" s="5">
        <v>6.1</v>
      </c>
      <c r="I26" s="5">
        <v>18873.900000000001</v>
      </c>
      <c r="J26" s="3" t="s">
        <v>32</v>
      </c>
      <c r="K26" s="3" t="s">
        <v>33</v>
      </c>
      <c r="L26" t="str">
        <f>IFERROR(VLOOKUP(D26,Products!$A$2:$F$61,3,FALSE()),"")</f>
        <v>Beauty</v>
      </c>
      <c r="M26" t="str">
        <f>IFERROR(VLOOKUP(E26,Sales_Reps!$A$2:$C$31,3,FALSE()),"")</f>
        <v>East</v>
      </c>
      <c r="N26">
        <f>IFERROR(VLOOKUP(D26,Products!$A$2:$F$61,4,FALSE()),"")</f>
        <v>1728</v>
      </c>
      <c r="O26" t="str">
        <f>IFERROR(VLOOKUP(C26,Customers!$A$2:$F$301,5,FALSE()),"")</f>
        <v>Corporate</v>
      </c>
      <c r="P26">
        <f>IFERROR(VLOOKUP(C26,Customers!$A$2:$F$301,3,FALSE()),"")</f>
        <v>55</v>
      </c>
      <c r="Q26">
        <f t="shared" si="0"/>
        <v>0.48417910447761192</v>
      </c>
      <c r="R26">
        <f>IF(AND(COUNTIF($A$2:$A$2027,A26)&gt;1,COUNTIF($A$2:A26,A26)=1),1,0)</f>
        <v>0</v>
      </c>
      <c r="S26" t="b">
        <f>IFERROR(VLOOKUP(D26,Products!$A$2:$F$61,6,FALSE()),"")</f>
        <v>1</v>
      </c>
      <c r="T26" t="str">
        <f>IF(COUNTIF(Customers!$A$2:$A$301,C26)=0,"Missing","OK")</f>
        <v>OK</v>
      </c>
      <c r="U26" t="str">
        <f t="shared" si="1"/>
        <v>Chennai</v>
      </c>
      <c r="V26">
        <f t="shared" si="2"/>
        <v>0</v>
      </c>
    </row>
    <row r="27" spans="1:22" ht="15" customHeight="1" x14ac:dyDescent="0.35">
      <c r="A27" s="3" t="s">
        <v>119</v>
      </c>
      <c r="B27" s="4">
        <v>45570</v>
      </c>
      <c r="C27" s="3" t="s">
        <v>120</v>
      </c>
      <c r="D27" s="3" t="s">
        <v>121</v>
      </c>
      <c r="E27" s="3" t="s">
        <v>60</v>
      </c>
      <c r="F27" s="5">
        <v>2</v>
      </c>
      <c r="G27" s="5">
        <v>1010</v>
      </c>
      <c r="H27" s="5">
        <v>16.5</v>
      </c>
      <c r="I27" s="5">
        <v>1686.7</v>
      </c>
      <c r="J27" s="3" t="s">
        <v>79</v>
      </c>
      <c r="K27" s="3" t="s">
        <v>38</v>
      </c>
      <c r="L27" t="str">
        <f>IFERROR(VLOOKUP(D27,Products!$A$2:$F$61,3,FALSE()),"")</f>
        <v>Sports</v>
      </c>
      <c r="M27" t="str">
        <f>IFERROR(VLOOKUP(E27,Sales_Reps!$A$2:$C$31,3,FALSE()),"")</f>
        <v>East</v>
      </c>
      <c r="N27">
        <f>IFERROR(VLOOKUP(D27,Products!$A$2:$F$61,4,FALSE()),"")</f>
        <v>516</v>
      </c>
      <c r="O27" t="str">
        <f>IFERROR(VLOOKUP(C27,Customers!$A$2:$F$301,5,FALSE()),"")</f>
        <v>Retail</v>
      </c>
      <c r="P27">
        <f>IFERROR(VLOOKUP(C27,Customers!$A$2:$F$301,3,FALSE()),"")</f>
        <v>31</v>
      </c>
      <c r="Q27">
        <f t="shared" si="0"/>
        <v>0.4891089108910891</v>
      </c>
      <c r="R27">
        <f>IF(AND(COUNTIF($A$2:$A$2027,A27)&gt;1,COUNTIF($A$2:A27,A27)=1),1,0)</f>
        <v>0</v>
      </c>
      <c r="S27" t="b">
        <f>IFERROR(VLOOKUP(D27,Products!$A$2:$F$61,6,FALSE()),"")</f>
        <v>1</v>
      </c>
      <c r="T27" t="str">
        <f>IF(COUNTIF(Customers!$A$2:$A$301,C27)=0,"Missing","OK")</f>
        <v>OK</v>
      </c>
      <c r="U27" t="str">
        <f t="shared" si="1"/>
        <v>Delhi</v>
      </c>
      <c r="V27">
        <f t="shared" si="2"/>
        <v>0</v>
      </c>
    </row>
    <row r="28" spans="1:22" ht="15" customHeight="1" x14ac:dyDescent="0.35">
      <c r="A28" s="3" t="s">
        <v>122</v>
      </c>
      <c r="B28" s="4">
        <v>45401</v>
      </c>
      <c r="C28" s="3" t="s">
        <v>35</v>
      </c>
      <c r="D28" s="3" t="s">
        <v>123</v>
      </c>
      <c r="E28" s="3" t="s">
        <v>42</v>
      </c>
      <c r="F28" s="5">
        <v>5</v>
      </c>
      <c r="G28" s="5">
        <v>4880</v>
      </c>
      <c r="H28" s="5">
        <v>23.6</v>
      </c>
      <c r="I28" s="5">
        <v>18641.599999999999</v>
      </c>
      <c r="J28" s="3" t="s">
        <v>26</v>
      </c>
      <c r="K28" s="3" t="s">
        <v>38</v>
      </c>
      <c r="L28" t="str">
        <f>IFERROR(VLOOKUP(D28,Products!$A$2:$F$61,3,FALSE()),"")</f>
        <v>Beauty</v>
      </c>
      <c r="M28" t="str">
        <f>IFERROR(VLOOKUP(E28,Sales_Reps!$A$2:$C$31,3,FALSE()),"")</f>
        <v>North</v>
      </c>
      <c r="N28">
        <f>IFERROR(VLOOKUP(D28,Products!$A$2:$F$61,4,FALSE()),"")</f>
        <v>2768</v>
      </c>
      <c r="O28" t="str">
        <f>IFERROR(VLOOKUP(C28,Customers!$A$2:$F$301,5,FALSE()),"")</f>
        <v>Retail</v>
      </c>
      <c r="P28">
        <f>IFERROR(VLOOKUP(C28,Customers!$A$2:$F$301,3,FALSE()),"")</f>
        <v>52</v>
      </c>
      <c r="Q28">
        <f t="shared" si="0"/>
        <v>0.43278688524590164</v>
      </c>
      <c r="R28">
        <f>IF(AND(COUNTIF($A$2:$A$2027,A28)&gt;1,COUNTIF($A$2:A28,A28)=1),1,0)</f>
        <v>0</v>
      </c>
      <c r="S28" t="b">
        <f>IFERROR(VLOOKUP(D28,Products!$A$2:$F$61,6,FALSE()),"")</f>
        <v>1</v>
      </c>
      <c r="T28" t="str">
        <f>IF(COUNTIF(Customers!$A$2:$A$301,C28)=0,"Missing","OK")</f>
        <v>OK</v>
      </c>
      <c r="U28" t="str">
        <f t="shared" si="1"/>
        <v>Delhi</v>
      </c>
      <c r="V28">
        <f t="shared" si="2"/>
        <v>0</v>
      </c>
    </row>
    <row r="29" spans="1:22" ht="15" customHeight="1" x14ac:dyDescent="0.35">
      <c r="A29" s="3" t="s">
        <v>124</v>
      </c>
      <c r="B29" s="4">
        <v>45517</v>
      </c>
      <c r="C29" s="3" t="s">
        <v>125</v>
      </c>
      <c r="D29" s="3" t="s">
        <v>126</v>
      </c>
      <c r="E29" s="3" t="s">
        <v>127</v>
      </c>
      <c r="F29" s="5">
        <v>7</v>
      </c>
      <c r="G29" s="5">
        <v>3570</v>
      </c>
      <c r="H29" s="5">
        <v>5.8</v>
      </c>
      <c r="I29" s="5">
        <v>23540.58</v>
      </c>
      <c r="J29" s="3" t="s">
        <v>79</v>
      </c>
      <c r="K29" s="3" t="s">
        <v>33</v>
      </c>
      <c r="L29" t="str">
        <f>IFERROR(VLOOKUP(D29,Products!$A$2:$F$61,3,FALSE()),"")</f>
        <v>Electronics</v>
      </c>
      <c r="M29" t="str">
        <f>IFERROR(VLOOKUP(E29,Sales_Reps!$A$2:$C$31,3,FALSE()),"")</f>
        <v>South</v>
      </c>
      <c r="N29">
        <f>IFERROR(VLOOKUP(D29,Products!$A$2:$F$61,4,FALSE()),"")</f>
        <v>1665</v>
      </c>
      <c r="O29" t="str">
        <f>IFERROR(VLOOKUP(C29,Customers!$A$2:$F$301,5,FALSE()),"")</f>
        <v>SMB</v>
      </c>
      <c r="P29">
        <f>IFERROR(VLOOKUP(C29,Customers!$A$2:$F$301,3,FALSE()),"")</f>
        <v>52</v>
      </c>
      <c r="Q29">
        <f t="shared" si="0"/>
        <v>0.53361344537815125</v>
      </c>
      <c r="R29">
        <f>IF(AND(COUNTIF($A$2:$A$2027,A29)&gt;1,COUNTIF($A$2:A29,A29)=1),1,0)</f>
        <v>0</v>
      </c>
      <c r="S29" t="b">
        <f>IFERROR(VLOOKUP(D29,Products!$A$2:$F$61,6,FALSE()),"")</f>
        <v>1</v>
      </c>
      <c r="T29" t="str">
        <f>IF(COUNTIF(Customers!$A$2:$A$301,C29)=0,"Missing","OK")</f>
        <v>OK</v>
      </c>
      <c r="U29" t="str">
        <f t="shared" si="1"/>
        <v>Chennai</v>
      </c>
      <c r="V29">
        <f t="shared" si="2"/>
        <v>0</v>
      </c>
    </row>
    <row r="30" spans="1:22" ht="15" customHeight="1" x14ac:dyDescent="0.35">
      <c r="A30" s="3" t="s">
        <v>128</v>
      </c>
      <c r="B30" s="4">
        <v>45363</v>
      </c>
      <c r="C30" s="3" t="s">
        <v>129</v>
      </c>
      <c r="D30" s="3" t="s">
        <v>130</v>
      </c>
      <c r="E30" s="3" t="s">
        <v>131</v>
      </c>
      <c r="F30" s="5">
        <v>9</v>
      </c>
      <c r="G30" s="5">
        <v>5100</v>
      </c>
      <c r="H30" s="5">
        <v>16.7</v>
      </c>
      <c r="I30" s="5">
        <v>38234.699999999997</v>
      </c>
      <c r="J30" s="3" t="s">
        <v>26</v>
      </c>
      <c r="K30" s="3" t="s">
        <v>72</v>
      </c>
      <c r="L30" t="str">
        <f>IFERROR(VLOOKUP(D30,Products!$A$2:$F$61,3,FALSE()),"")</f>
        <v>Beauty</v>
      </c>
      <c r="M30" t="str">
        <f>IFERROR(VLOOKUP(E30,Sales_Reps!$A$2:$C$31,3,FALSE()),"")</f>
        <v>East</v>
      </c>
      <c r="N30">
        <f>IFERROR(VLOOKUP(D30,Products!$A$2:$F$61,4,FALSE()),"")</f>
        <v>2237</v>
      </c>
      <c r="O30" t="str">
        <f>IFERROR(VLOOKUP(C30,Customers!$A$2:$F$301,5,FALSE()),"")</f>
        <v>Corporate</v>
      </c>
      <c r="P30">
        <f>IFERROR(VLOOKUP(C30,Customers!$A$2:$F$301,3,FALSE()),"")</f>
        <v>56</v>
      </c>
      <c r="Q30">
        <f t="shared" si="0"/>
        <v>0.56137254901960787</v>
      </c>
      <c r="R30">
        <f>IF(AND(COUNTIF($A$2:$A$2027,A30)&gt;1,COUNTIF($A$2:A30,A30)=1),1,0)</f>
        <v>0</v>
      </c>
      <c r="S30" t="b">
        <f>IFERROR(VLOOKUP(D30,Products!$A$2:$F$61,6,FALSE()),"")</f>
        <v>1</v>
      </c>
      <c r="T30" t="str">
        <f>IF(COUNTIF(Customers!$A$2:$A$301,C30)=0,"Missing","OK")</f>
        <v>OK</v>
      </c>
      <c r="U30" t="str">
        <f t="shared" si="1"/>
        <v>Hyderabad</v>
      </c>
      <c r="V30">
        <f t="shared" si="2"/>
        <v>0</v>
      </c>
    </row>
    <row r="31" spans="1:22" ht="15" customHeight="1" x14ac:dyDescent="0.35">
      <c r="A31" s="3" t="s">
        <v>132</v>
      </c>
      <c r="B31" s="4">
        <v>45367</v>
      </c>
      <c r="C31" s="3" t="s">
        <v>133</v>
      </c>
      <c r="D31" s="3" t="s">
        <v>134</v>
      </c>
      <c r="E31" s="3" t="s">
        <v>31</v>
      </c>
      <c r="F31" s="5">
        <v>3</v>
      </c>
      <c r="G31" s="5">
        <v>2860</v>
      </c>
      <c r="H31" s="5">
        <v>25.8</v>
      </c>
      <c r="I31" s="5">
        <v>6366.36</v>
      </c>
      <c r="J31" s="3" t="s">
        <v>26</v>
      </c>
      <c r="K31" s="3" t="s">
        <v>27</v>
      </c>
      <c r="L31" t="str">
        <f>IFERROR(VLOOKUP(D31,Products!$A$2:$F$61,3,FALSE()),"")</f>
        <v>Sports</v>
      </c>
      <c r="M31" t="str">
        <f>IFERROR(VLOOKUP(E31,Sales_Reps!$A$2:$C$31,3,FALSE()),"")</f>
        <v>North</v>
      </c>
      <c r="N31">
        <f>IFERROR(VLOOKUP(D31,Products!$A$2:$F$61,4,FALSE()),"")</f>
        <v>2028</v>
      </c>
      <c r="O31" t="str">
        <f>IFERROR(VLOOKUP(C31,Customers!$A$2:$F$301,5,FALSE()),"")</f>
        <v>SMB</v>
      </c>
      <c r="P31">
        <f>IFERROR(VLOOKUP(C31,Customers!$A$2:$F$301,3,FALSE()),"")</f>
        <v>44</v>
      </c>
      <c r="Q31">
        <f t="shared" si="0"/>
        <v>0.29090909090909089</v>
      </c>
      <c r="R31">
        <f>IF(AND(COUNTIF($A$2:$A$2027,A31)&gt;1,COUNTIF($A$2:A31,A31)=1),1,0)</f>
        <v>0</v>
      </c>
      <c r="S31" t="b">
        <f>IFERROR(VLOOKUP(D31,Products!$A$2:$F$61,6,FALSE()),"")</f>
        <v>1</v>
      </c>
      <c r="T31" t="str">
        <f>IF(COUNTIF(Customers!$A$2:$A$301,C31)=0,"Missing","OK")</f>
        <v>OK</v>
      </c>
      <c r="U31" t="str">
        <f t="shared" si="1"/>
        <v>Pune</v>
      </c>
      <c r="V31">
        <f t="shared" si="2"/>
        <v>0</v>
      </c>
    </row>
    <row r="32" spans="1:22" ht="15" customHeight="1" x14ac:dyDescent="0.35">
      <c r="A32" s="3" t="s">
        <v>135</v>
      </c>
      <c r="B32" s="4">
        <v>45569</v>
      </c>
      <c r="C32" s="3" t="s">
        <v>136</v>
      </c>
      <c r="D32" s="3" t="s">
        <v>66</v>
      </c>
      <c r="E32" s="3" t="s">
        <v>42</v>
      </c>
      <c r="F32" s="5">
        <v>7</v>
      </c>
      <c r="G32" s="5">
        <v>970</v>
      </c>
      <c r="H32" s="5">
        <v>29.8</v>
      </c>
      <c r="I32" s="5">
        <v>4766.58</v>
      </c>
      <c r="J32" s="3" t="s">
        <v>26</v>
      </c>
      <c r="K32" s="3" t="s">
        <v>27</v>
      </c>
      <c r="L32" t="str">
        <f>IFERROR(VLOOKUP(D32,Products!$A$2:$F$61,3,FALSE()),"")</f>
        <v>Grocery</v>
      </c>
      <c r="M32" t="str">
        <f>IFERROR(VLOOKUP(E32,Sales_Reps!$A$2:$C$31,3,FALSE()),"")</f>
        <v>North</v>
      </c>
      <c r="N32">
        <f>IFERROR(VLOOKUP(D32,Products!$A$2:$F$61,4,FALSE()),"")</f>
        <v>434</v>
      </c>
      <c r="O32" t="str">
        <f>IFERROR(VLOOKUP(C32,Customers!$A$2:$F$301,5,FALSE()),"")</f>
        <v>Corporate</v>
      </c>
      <c r="P32">
        <f>IFERROR(VLOOKUP(C32,Customers!$A$2:$F$301,3,FALSE()),"")</f>
        <v>47</v>
      </c>
      <c r="Q32">
        <f t="shared" si="0"/>
        <v>0.5525773195876289</v>
      </c>
      <c r="R32">
        <f>IF(AND(COUNTIF($A$2:$A$2027,A32)&gt;1,COUNTIF($A$2:A32,A32)=1),1,0)</f>
        <v>0</v>
      </c>
      <c r="S32" t="b">
        <f>IFERROR(VLOOKUP(D32,Products!$A$2:$F$61,6,FALSE()),"")</f>
        <v>1</v>
      </c>
      <c r="T32" t="str">
        <f>IF(COUNTIF(Customers!$A$2:$A$301,C32)=0,"Missing","OK")</f>
        <v>OK</v>
      </c>
      <c r="U32" t="str">
        <f t="shared" si="1"/>
        <v>Pune</v>
      </c>
      <c r="V32">
        <f t="shared" si="2"/>
        <v>0</v>
      </c>
    </row>
    <row r="33" spans="1:22" ht="15" customHeight="1" x14ac:dyDescent="0.35">
      <c r="A33" s="3" t="s">
        <v>137</v>
      </c>
      <c r="B33" s="4">
        <v>45641</v>
      </c>
      <c r="C33" s="3" t="s">
        <v>138</v>
      </c>
      <c r="D33" s="3" t="s">
        <v>139</v>
      </c>
      <c r="E33" s="3" t="s">
        <v>140</v>
      </c>
      <c r="F33" s="5">
        <v>4</v>
      </c>
      <c r="G33" s="5">
        <v>2760</v>
      </c>
      <c r="H33" s="5">
        <v>5.9</v>
      </c>
      <c r="I33" s="5">
        <v>10388.64</v>
      </c>
      <c r="J33" s="3" t="s">
        <v>26</v>
      </c>
      <c r="K33" s="3" t="s">
        <v>72</v>
      </c>
      <c r="L33" t="str">
        <f>IFERROR(VLOOKUP(D33,Products!$A$2:$F$61,3,FALSE()),"")</f>
        <v>Grocery</v>
      </c>
      <c r="M33" t="str">
        <f>IFERROR(VLOOKUP(E33,Sales_Reps!$A$2:$C$31,3,FALSE()),"")</f>
        <v>West</v>
      </c>
      <c r="N33">
        <f>IFERROR(VLOOKUP(D33,Products!$A$2:$F$61,4,FALSE()),"")</f>
        <v>1435</v>
      </c>
      <c r="O33" t="str">
        <f>IFERROR(VLOOKUP(C33,Customers!$A$2:$F$301,5,FALSE()),"")</f>
        <v>Retail</v>
      </c>
      <c r="P33">
        <f>IFERROR(VLOOKUP(C33,Customers!$A$2:$F$301,3,FALSE()),"")</f>
        <v>53</v>
      </c>
      <c r="Q33">
        <f t="shared" si="0"/>
        <v>0.48007246376811596</v>
      </c>
      <c r="R33">
        <f>IF(AND(COUNTIF($A$2:$A$2027,A33)&gt;1,COUNTIF($A$2:A33,A33)=1),1,0)</f>
        <v>0</v>
      </c>
      <c r="S33" t="b">
        <f>IFERROR(VLOOKUP(D33,Products!$A$2:$F$61,6,FALSE()),"")</f>
        <v>1</v>
      </c>
      <c r="T33" t="str">
        <f>IF(COUNTIF(Customers!$A$2:$A$301,C33)=0,"Missing","OK")</f>
        <v>OK</v>
      </c>
      <c r="U33" t="str">
        <f t="shared" si="1"/>
        <v>Hyderabad</v>
      </c>
      <c r="V33">
        <f t="shared" si="2"/>
        <v>0</v>
      </c>
    </row>
    <row r="34" spans="1:22" ht="15" customHeight="1" x14ac:dyDescent="0.35">
      <c r="A34" s="3" t="s">
        <v>141</v>
      </c>
      <c r="B34" s="4">
        <v>45343</v>
      </c>
      <c r="C34" s="3" t="s">
        <v>95</v>
      </c>
      <c r="D34" s="3" t="s">
        <v>142</v>
      </c>
      <c r="E34" s="3" t="s">
        <v>143</v>
      </c>
      <c r="F34" s="5">
        <v>10</v>
      </c>
      <c r="G34" s="5">
        <v>660</v>
      </c>
      <c r="H34" s="5">
        <v>18.3</v>
      </c>
      <c r="I34" s="5">
        <v>5392.2</v>
      </c>
      <c r="J34" s="3" t="s">
        <v>32</v>
      </c>
      <c r="K34" s="3" t="s">
        <v>72</v>
      </c>
      <c r="L34" t="str">
        <f>IFERROR(VLOOKUP(D34,Products!$A$2:$F$61,3,FALSE()),"")</f>
        <v>Home</v>
      </c>
      <c r="M34" t="str">
        <f>IFERROR(VLOOKUP(E34,Sales_Reps!$A$2:$C$31,3,FALSE()),"")</f>
        <v>South</v>
      </c>
      <c r="N34">
        <f>IFERROR(VLOOKUP(D34,Products!$A$2:$F$61,4,FALSE()),"")</f>
        <v>329</v>
      </c>
      <c r="O34" t="str">
        <f>IFERROR(VLOOKUP(C34,Customers!$A$2:$F$301,5,FALSE()),"")</f>
        <v>Corporate</v>
      </c>
      <c r="P34">
        <f>IFERROR(VLOOKUP(C34,Customers!$A$2:$F$301,3,FALSE()),"")</f>
        <v>32</v>
      </c>
      <c r="Q34">
        <f t="shared" si="0"/>
        <v>0.50151515151515147</v>
      </c>
      <c r="R34">
        <f>IF(AND(COUNTIF($A$2:$A$2027,A34)&gt;1,COUNTIF($A$2:A34,A34)=1),1,0)</f>
        <v>0</v>
      </c>
      <c r="S34" t="b">
        <f>IFERROR(VLOOKUP(D34,Products!$A$2:$F$61,6,FALSE()),"")</f>
        <v>1</v>
      </c>
      <c r="T34" t="str">
        <f>IF(COUNTIF(Customers!$A$2:$A$301,C34)=0,"Missing","OK")</f>
        <v>OK</v>
      </c>
      <c r="U34" t="str">
        <f t="shared" si="1"/>
        <v>Hyderabad</v>
      </c>
      <c r="V34">
        <f t="shared" si="2"/>
        <v>0</v>
      </c>
    </row>
    <row r="35" spans="1:22" ht="15" customHeight="1" x14ac:dyDescent="0.35">
      <c r="A35" s="3" t="s">
        <v>144</v>
      </c>
      <c r="B35" s="4">
        <v>45576</v>
      </c>
      <c r="C35" s="3" t="s">
        <v>145</v>
      </c>
      <c r="D35" s="3" t="s">
        <v>82</v>
      </c>
      <c r="E35" s="3" t="s">
        <v>60</v>
      </c>
      <c r="F35" s="5">
        <v>1</v>
      </c>
      <c r="G35" s="5">
        <v>3250</v>
      </c>
      <c r="H35" s="5">
        <v>10.7</v>
      </c>
      <c r="I35" s="5">
        <v>2902.25</v>
      </c>
      <c r="J35" s="3" t="s">
        <v>26</v>
      </c>
      <c r="K35" s="3" t="s">
        <v>72</v>
      </c>
      <c r="L35" t="str">
        <f>IFERROR(VLOOKUP(D35,Products!$A$2:$F$61,3,FALSE()),"")</f>
        <v>Home</v>
      </c>
      <c r="M35" t="str">
        <f>IFERROR(VLOOKUP(E35,Sales_Reps!$A$2:$C$31,3,FALSE()),"")</f>
        <v>East</v>
      </c>
      <c r="N35">
        <f>IFERROR(VLOOKUP(D35,Products!$A$2:$F$61,4,FALSE()),"")</f>
        <v>1556</v>
      </c>
      <c r="O35" t="str">
        <f>IFERROR(VLOOKUP(C35,Customers!$A$2:$F$301,5,FALSE()),"")</f>
        <v>SMB</v>
      </c>
      <c r="P35">
        <f>IFERROR(VLOOKUP(C35,Customers!$A$2:$F$301,3,FALSE()),"")</f>
        <v>40</v>
      </c>
      <c r="Q35">
        <f t="shared" si="0"/>
        <v>0.52123076923076928</v>
      </c>
      <c r="R35">
        <f>IF(AND(COUNTIF($A$2:$A$2027,A35)&gt;1,COUNTIF($A$2:A35,A35)=1),1,0)</f>
        <v>0</v>
      </c>
      <c r="S35" t="b">
        <f>IFERROR(VLOOKUP(D35,Products!$A$2:$F$61,6,FALSE()),"")</f>
        <v>1</v>
      </c>
      <c r="T35" t="str">
        <f>IF(COUNTIF(Customers!$A$2:$A$301,C35)=0,"Missing","OK")</f>
        <v>OK</v>
      </c>
      <c r="U35" t="str">
        <f t="shared" si="1"/>
        <v>Hyderabad</v>
      </c>
      <c r="V35">
        <f t="shared" si="2"/>
        <v>0</v>
      </c>
    </row>
    <row r="36" spans="1:22" ht="15" customHeight="1" x14ac:dyDescent="0.35">
      <c r="A36" s="3" t="s">
        <v>146</v>
      </c>
      <c r="B36" s="4">
        <v>45462</v>
      </c>
      <c r="C36" s="3" t="s">
        <v>147</v>
      </c>
      <c r="D36" s="3" t="s">
        <v>130</v>
      </c>
      <c r="E36" s="3" t="s">
        <v>60</v>
      </c>
      <c r="F36" s="5">
        <v>8</v>
      </c>
      <c r="G36" s="5">
        <v>5100</v>
      </c>
      <c r="H36" s="5">
        <v>26.4</v>
      </c>
      <c r="I36" s="5">
        <v>30028.799999999999</v>
      </c>
      <c r="J36" s="3" t="s">
        <v>79</v>
      </c>
      <c r="K36" s="3" t="s">
        <v>72</v>
      </c>
      <c r="L36" t="str">
        <f>IFERROR(VLOOKUP(D36,Products!$A$2:$F$61,3,FALSE()),"")</f>
        <v>Beauty</v>
      </c>
      <c r="M36" t="str">
        <f>IFERROR(VLOOKUP(E36,Sales_Reps!$A$2:$C$31,3,FALSE()),"")</f>
        <v>East</v>
      </c>
      <c r="N36">
        <f>IFERROR(VLOOKUP(D36,Products!$A$2:$F$61,4,FALSE()),"")</f>
        <v>2237</v>
      </c>
      <c r="O36" t="str">
        <f>IFERROR(VLOOKUP(C36,Customers!$A$2:$F$301,5,FALSE()),"")</f>
        <v>Retail</v>
      </c>
      <c r="P36">
        <f>IFERROR(VLOOKUP(C36,Customers!$A$2:$F$301,3,FALSE()),"")</f>
        <v>26</v>
      </c>
      <c r="Q36">
        <f t="shared" si="0"/>
        <v>0.56137254901960787</v>
      </c>
      <c r="R36">
        <f>IF(AND(COUNTIF($A$2:$A$2027,A36)&gt;1,COUNTIF($A$2:A36,A36)=1),1,0)</f>
        <v>0</v>
      </c>
      <c r="S36" t="b">
        <f>IFERROR(VLOOKUP(D36,Products!$A$2:$F$61,6,FALSE()),"")</f>
        <v>1</v>
      </c>
      <c r="T36" t="str">
        <f>IF(COUNTIF(Customers!$A$2:$A$301,C36)=0,"Missing","OK")</f>
        <v>OK</v>
      </c>
      <c r="U36" t="str">
        <f t="shared" si="1"/>
        <v>Hyderabad</v>
      </c>
      <c r="V36">
        <f t="shared" si="2"/>
        <v>0</v>
      </c>
    </row>
    <row r="37" spans="1:22" ht="15" customHeight="1" x14ac:dyDescent="0.35">
      <c r="A37" s="3" t="s">
        <v>148</v>
      </c>
      <c r="B37" s="4">
        <v>45442</v>
      </c>
      <c r="C37" s="3" t="s">
        <v>149</v>
      </c>
      <c r="D37" s="3" t="s">
        <v>103</v>
      </c>
      <c r="E37" s="3" t="s">
        <v>97</v>
      </c>
      <c r="F37" s="5">
        <v>1</v>
      </c>
      <c r="G37" s="5">
        <v>1080</v>
      </c>
      <c r="H37" s="5">
        <v>5.0999999999999996</v>
      </c>
      <c r="I37" s="5">
        <v>1024.92</v>
      </c>
      <c r="J37" s="3" t="s">
        <v>26</v>
      </c>
      <c r="K37" s="3" t="s">
        <v>38</v>
      </c>
      <c r="L37" t="str">
        <f>IFERROR(VLOOKUP(D37,Products!$A$2:$F$61,3,FALSE()),"")</f>
        <v>Home</v>
      </c>
      <c r="M37" t="str">
        <f>IFERROR(VLOOKUP(E37,Sales_Reps!$A$2:$C$31,3,FALSE()),"")</f>
        <v>East</v>
      </c>
      <c r="N37">
        <f>IFERROR(VLOOKUP(D37,Products!$A$2:$F$61,4,FALSE()),"")</f>
        <v>519</v>
      </c>
      <c r="O37" t="str">
        <f>IFERROR(VLOOKUP(C37,Customers!$A$2:$F$301,5,FALSE()),"")</f>
        <v>Retail</v>
      </c>
      <c r="P37">
        <f>IFERROR(VLOOKUP(C37,Customers!$A$2:$F$301,3,FALSE()),"")</f>
        <v>41</v>
      </c>
      <c r="Q37">
        <f t="shared" si="0"/>
        <v>0.51944444444444449</v>
      </c>
      <c r="R37">
        <f>IF(AND(COUNTIF($A$2:$A$2027,A37)&gt;1,COUNTIF($A$2:A37,A37)=1),1,0)</f>
        <v>0</v>
      </c>
      <c r="S37" t="b">
        <f>IFERROR(VLOOKUP(D37,Products!$A$2:$F$61,6,FALSE()),"")</f>
        <v>1</v>
      </c>
      <c r="T37" t="str">
        <f>IF(COUNTIF(Customers!$A$2:$A$301,C37)=0,"Missing","OK")</f>
        <v>OK</v>
      </c>
      <c r="U37" t="str">
        <f t="shared" si="1"/>
        <v>Delhi</v>
      </c>
      <c r="V37">
        <f t="shared" si="2"/>
        <v>0</v>
      </c>
    </row>
    <row r="38" spans="1:22" ht="15" customHeight="1" x14ac:dyDescent="0.35">
      <c r="A38" s="3" t="s">
        <v>150</v>
      </c>
      <c r="B38" s="4">
        <v>45646</v>
      </c>
      <c r="C38" s="3" t="s">
        <v>151</v>
      </c>
      <c r="D38" s="3" t="s">
        <v>63</v>
      </c>
      <c r="E38" s="3" t="s">
        <v>143</v>
      </c>
      <c r="F38" s="5">
        <v>2</v>
      </c>
      <c r="G38" s="5">
        <v>5490</v>
      </c>
      <c r="H38" s="5">
        <v>21.1</v>
      </c>
      <c r="I38" s="5">
        <v>8663.2199999999993</v>
      </c>
      <c r="J38" s="3" t="s">
        <v>79</v>
      </c>
      <c r="K38" s="3" t="s">
        <v>51</v>
      </c>
      <c r="L38" t="str">
        <f>IFERROR(VLOOKUP(D38,Products!$A$2:$F$61,3,FALSE()),"")</f>
        <v>Home</v>
      </c>
      <c r="M38" t="str">
        <f>IFERROR(VLOOKUP(E38,Sales_Reps!$A$2:$C$31,3,FALSE()),"")</f>
        <v>South</v>
      </c>
      <c r="N38">
        <f>IFERROR(VLOOKUP(D38,Products!$A$2:$F$61,4,FALSE()),"")</f>
        <v>2549</v>
      </c>
      <c r="O38" t="str">
        <f>IFERROR(VLOOKUP(C38,Customers!$A$2:$F$301,5,FALSE()),"")</f>
        <v>SMB</v>
      </c>
      <c r="P38">
        <f>IFERROR(VLOOKUP(C38,Customers!$A$2:$F$301,3,FALSE()),"")</f>
        <v>36</v>
      </c>
      <c r="Q38">
        <f t="shared" si="0"/>
        <v>0.53570127504553733</v>
      </c>
      <c r="R38">
        <f>IF(AND(COUNTIF($A$2:$A$2027,A38)&gt;1,COUNTIF($A$2:A38,A38)=1),1,0)</f>
        <v>0</v>
      </c>
      <c r="S38" t="b">
        <f>IFERROR(VLOOKUP(D38,Products!$A$2:$F$61,6,FALSE()),"")</f>
        <v>1</v>
      </c>
      <c r="T38" t="str">
        <f>IF(COUNTIF(Customers!$A$2:$A$301,C38)=0,"Missing","OK")</f>
        <v>OK</v>
      </c>
      <c r="U38" t="str">
        <f t="shared" si="1"/>
        <v>Mumbai</v>
      </c>
      <c r="V38">
        <f t="shared" si="2"/>
        <v>0</v>
      </c>
    </row>
    <row r="39" spans="1:22" ht="15" customHeight="1" x14ac:dyDescent="0.35">
      <c r="A39" s="3" t="s">
        <v>152</v>
      </c>
      <c r="B39" s="4">
        <v>45478</v>
      </c>
      <c r="C39" s="3" t="s">
        <v>153</v>
      </c>
      <c r="D39" s="3" t="s">
        <v>86</v>
      </c>
      <c r="E39" s="3" t="s">
        <v>154</v>
      </c>
      <c r="F39" s="5">
        <v>7</v>
      </c>
      <c r="G39" s="5">
        <v>190</v>
      </c>
      <c r="H39" s="5">
        <v>28.7</v>
      </c>
      <c r="I39" s="5">
        <v>948.29</v>
      </c>
      <c r="J39" s="3" t="s">
        <v>26</v>
      </c>
      <c r="K39" s="3" t="s">
        <v>56</v>
      </c>
      <c r="L39" t="str">
        <f>IFERROR(VLOOKUP(D39,Products!$A$2:$F$61,3,FALSE()),"")</f>
        <v>Sports</v>
      </c>
      <c r="M39" t="str">
        <f>IFERROR(VLOOKUP(E39,Sales_Reps!$A$2:$C$31,3,FALSE()),"")</f>
        <v>North</v>
      </c>
      <c r="N39">
        <f>IFERROR(VLOOKUP(D39,Products!$A$2:$F$61,4,FALSE()),"")</f>
        <v>147</v>
      </c>
      <c r="O39" t="str">
        <f>IFERROR(VLOOKUP(C39,Customers!$A$2:$F$301,5,FALSE()),"")</f>
        <v>Retail</v>
      </c>
      <c r="P39">
        <f>IFERROR(VLOOKUP(C39,Customers!$A$2:$F$301,3,FALSE()),"")</f>
        <v>42</v>
      </c>
      <c r="Q39">
        <f t="shared" si="0"/>
        <v>0.22631578947368422</v>
      </c>
      <c r="R39">
        <f>IF(AND(COUNTIF($A$2:$A$2027,A39)&gt;1,COUNTIF($A$2:A39,A39)=1),1,0)</f>
        <v>0</v>
      </c>
      <c r="S39" t="b">
        <f>IFERROR(VLOOKUP(D39,Products!$A$2:$F$61,6,FALSE()),"")</f>
        <v>1</v>
      </c>
      <c r="T39" t="str">
        <f>IF(COUNTIF(Customers!$A$2:$A$301,C39)=0,"Missing","OK")</f>
        <v>OK</v>
      </c>
      <c r="U39" t="str">
        <f t="shared" si="1"/>
        <v>Bengaluru</v>
      </c>
      <c r="V39">
        <f t="shared" si="2"/>
        <v>0</v>
      </c>
    </row>
    <row r="40" spans="1:22" ht="15" customHeight="1" x14ac:dyDescent="0.35">
      <c r="A40" s="3" t="s">
        <v>155</v>
      </c>
      <c r="B40" s="4">
        <v>45355</v>
      </c>
      <c r="C40" s="3" t="s">
        <v>156</v>
      </c>
      <c r="D40" s="3" t="s">
        <v>90</v>
      </c>
      <c r="E40" s="3" t="s">
        <v>127</v>
      </c>
      <c r="F40" s="5">
        <v>6</v>
      </c>
      <c r="G40" s="5">
        <v>2400</v>
      </c>
      <c r="H40" s="5">
        <v>2.7</v>
      </c>
      <c r="I40" s="5">
        <v>14011.2</v>
      </c>
      <c r="J40" s="3" t="s">
        <v>26</v>
      </c>
      <c r="K40" s="3" t="s">
        <v>33</v>
      </c>
      <c r="L40" t="str">
        <f>IFERROR(VLOOKUP(D40,Products!$A$2:$F$61,3,FALSE()),"")</f>
        <v>Sports</v>
      </c>
      <c r="M40" t="str">
        <f>IFERROR(VLOOKUP(E40,Sales_Reps!$A$2:$C$31,3,FALSE()),"")</f>
        <v>South</v>
      </c>
      <c r="N40">
        <f>IFERROR(VLOOKUP(D40,Products!$A$2:$F$61,4,FALSE()),"")</f>
        <v>974</v>
      </c>
      <c r="O40" t="str">
        <f>IFERROR(VLOOKUP(C40,Customers!$A$2:$F$301,5,FALSE()),"")</f>
        <v>Retail</v>
      </c>
      <c r="P40">
        <f>IFERROR(VLOOKUP(C40,Customers!$A$2:$F$301,3,FALSE()),"")</f>
        <v>51</v>
      </c>
      <c r="Q40">
        <f t="shared" si="0"/>
        <v>0.59416666666666662</v>
      </c>
      <c r="R40">
        <f>IF(AND(COUNTIF($A$2:$A$2027,A40)&gt;1,COUNTIF($A$2:A40,A40)=1),1,0)</f>
        <v>0</v>
      </c>
      <c r="S40" t="b">
        <f>IFERROR(VLOOKUP(D40,Products!$A$2:$F$61,6,FALSE()),"")</f>
        <v>1</v>
      </c>
      <c r="T40" t="str">
        <f>IF(COUNTIF(Customers!$A$2:$A$301,C40)=0,"Missing","OK")</f>
        <v>OK</v>
      </c>
      <c r="U40" t="str">
        <f t="shared" si="1"/>
        <v>Chennai</v>
      </c>
      <c r="V40">
        <f t="shared" si="2"/>
        <v>0</v>
      </c>
    </row>
    <row r="41" spans="1:22" ht="15" customHeight="1" x14ac:dyDescent="0.35">
      <c r="A41" s="3" t="s">
        <v>157</v>
      </c>
      <c r="B41" s="4">
        <v>45599</v>
      </c>
      <c r="C41" s="3" t="s">
        <v>158</v>
      </c>
      <c r="D41" s="3" t="s">
        <v>115</v>
      </c>
      <c r="E41" s="3" t="s">
        <v>93</v>
      </c>
      <c r="F41" s="5">
        <v>9</v>
      </c>
      <c r="G41" s="5">
        <v>1650</v>
      </c>
      <c r="H41" s="5">
        <v>11.6</v>
      </c>
      <c r="I41" s="5">
        <v>13127.4</v>
      </c>
      <c r="J41" s="3" t="s">
        <v>26</v>
      </c>
      <c r="K41" s="3" t="s">
        <v>38</v>
      </c>
      <c r="L41" t="str">
        <f>IFERROR(VLOOKUP(D41,Products!$A$2:$F$61,3,FALSE()),"")</f>
        <v>Beauty</v>
      </c>
      <c r="M41" t="str">
        <f>IFERROR(VLOOKUP(E41,Sales_Reps!$A$2:$C$31,3,FALSE()),"")</f>
        <v>East</v>
      </c>
      <c r="N41">
        <f>IFERROR(VLOOKUP(D41,Products!$A$2:$F$61,4,FALSE()),"")</f>
        <v>1222</v>
      </c>
      <c r="O41" t="str">
        <f>IFERROR(VLOOKUP(C41,Customers!$A$2:$F$301,5,FALSE()),"")</f>
        <v>SMB</v>
      </c>
      <c r="P41">
        <f>IFERROR(VLOOKUP(C41,Customers!$A$2:$F$301,3,FALSE()),"")</f>
        <v>50</v>
      </c>
      <c r="Q41">
        <f t="shared" si="0"/>
        <v>0.2593939393939394</v>
      </c>
      <c r="R41">
        <f>IF(AND(COUNTIF($A$2:$A$2027,A41)&gt;1,COUNTIF($A$2:A41,A41)=1),1,0)</f>
        <v>0</v>
      </c>
      <c r="S41" t="b">
        <f>IFERROR(VLOOKUP(D41,Products!$A$2:$F$61,6,FALSE()),"")</f>
        <v>1</v>
      </c>
      <c r="T41" t="str">
        <f>IF(COUNTIF(Customers!$A$2:$A$301,C41)=0,"Missing","OK")</f>
        <v>OK</v>
      </c>
      <c r="U41" t="str">
        <f t="shared" si="1"/>
        <v>Delhi</v>
      </c>
      <c r="V41">
        <f t="shared" si="2"/>
        <v>0</v>
      </c>
    </row>
    <row r="42" spans="1:22" ht="15" customHeight="1" x14ac:dyDescent="0.35">
      <c r="A42" s="3" t="s">
        <v>159</v>
      </c>
      <c r="B42" s="4">
        <v>45606</v>
      </c>
      <c r="C42" s="3" t="s">
        <v>160</v>
      </c>
      <c r="D42" s="3" t="s">
        <v>63</v>
      </c>
      <c r="E42" s="3" t="s">
        <v>42</v>
      </c>
      <c r="F42" s="5">
        <v>4</v>
      </c>
      <c r="G42" s="5">
        <v>5490</v>
      </c>
      <c r="H42" s="5">
        <v>12.8</v>
      </c>
      <c r="I42" s="5">
        <v>19149.12</v>
      </c>
      <c r="J42" s="3" t="s">
        <v>79</v>
      </c>
      <c r="K42" s="3" t="s">
        <v>33</v>
      </c>
      <c r="L42" t="str">
        <f>IFERROR(VLOOKUP(D42,Products!$A$2:$F$61,3,FALSE()),"")</f>
        <v>Home</v>
      </c>
      <c r="M42" t="str">
        <f>IFERROR(VLOOKUP(E42,Sales_Reps!$A$2:$C$31,3,FALSE()),"")</f>
        <v>North</v>
      </c>
      <c r="N42">
        <f>IFERROR(VLOOKUP(D42,Products!$A$2:$F$61,4,FALSE()),"")</f>
        <v>2549</v>
      </c>
      <c r="O42" t="str">
        <f>IFERROR(VLOOKUP(C42,Customers!$A$2:$F$301,5,FALSE()),"")</f>
        <v/>
      </c>
      <c r="P42" t="str">
        <f>IFERROR(VLOOKUP(C42,Customers!$A$2:$F$301,3,FALSE()),"")</f>
        <v/>
      </c>
      <c r="Q42">
        <f t="shared" si="0"/>
        <v>0.53570127504553733</v>
      </c>
      <c r="R42">
        <f>IF(AND(COUNTIF($A$2:$A$2027,A42)&gt;1,COUNTIF($A$2:A42,A42)=1),1,0)</f>
        <v>0</v>
      </c>
      <c r="S42" t="b">
        <f>IFERROR(VLOOKUP(D42,Products!$A$2:$F$61,6,FALSE()),"")</f>
        <v>1</v>
      </c>
      <c r="T42" t="str">
        <f>IF(COUNTIF(Customers!$A$2:$A$301,C42)=0,"Missing","OK")</f>
        <v>Missing</v>
      </c>
      <c r="U42" t="str">
        <f t="shared" si="1"/>
        <v>Chennai</v>
      </c>
      <c r="V42">
        <f t="shared" si="2"/>
        <v>0</v>
      </c>
    </row>
    <row r="43" spans="1:22" ht="15" customHeight="1" x14ac:dyDescent="0.35">
      <c r="A43" s="3" t="s">
        <v>161</v>
      </c>
      <c r="B43" s="4">
        <v>45432</v>
      </c>
      <c r="C43" s="3" t="s">
        <v>162</v>
      </c>
      <c r="D43" s="3" t="s">
        <v>123</v>
      </c>
      <c r="E43" s="3" t="s">
        <v>37</v>
      </c>
      <c r="F43" s="5">
        <v>10</v>
      </c>
      <c r="G43" s="5">
        <v>4880</v>
      </c>
      <c r="H43" s="5">
        <v>12.7</v>
      </c>
      <c r="I43" s="5">
        <v>42602.400000000001</v>
      </c>
      <c r="J43" s="3" t="s">
        <v>26</v>
      </c>
      <c r="K43" s="3" t="s">
        <v>38</v>
      </c>
      <c r="L43" t="str">
        <f>IFERROR(VLOOKUP(D43,Products!$A$2:$F$61,3,FALSE()),"")</f>
        <v>Beauty</v>
      </c>
      <c r="M43" t="str">
        <f>IFERROR(VLOOKUP(E43,Sales_Reps!$A$2:$C$31,3,FALSE()),"")</f>
        <v>South</v>
      </c>
      <c r="N43">
        <f>IFERROR(VLOOKUP(D43,Products!$A$2:$F$61,4,FALSE()),"")</f>
        <v>2768</v>
      </c>
      <c r="O43" t="str">
        <f>IFERROR(VLOOKUP(C43,Customers!$A$2:$F$301,5,FALSE()),"")</f>
        <v>Retail</v>
      </c>
      <c r="P43">
        <f>IFERROR(VLOOKUP(C43,Customers!$A$2:$F$301,3,FALSE()),"")</f>
        <v>53</v>
      </c>
      <c r="Q43">
        <f t="shared" si="0"/>
        <v>0.43278688524590164</v>
      </c>
      <c r="R43">
        <f>IF(AND(COUNTIF($A$2:$A$2027,A43)&gt;1,COUNTIF($A$2:A43,A43)=1),1,0)</f>
        <v>0</v>
      </c>
      <c r="S43" t="b">
        <f>IFERROR(VLOOKUP(D43,Products!$A$2:$F$61,6,FALSE()),"")</f>
        <v>1</v>
      </c>
      <c r="T43" t="str">
        <f>IF(COUNTIF(Customers!$A$2:$A$301,C43)=0,"Missing","OK")</f>
        <v>OK</v>
      </c>
      <c r="U43" t="str">
        <f t="shared" si="1"/>
        <v>Delhi</v>
      </c>
      <c r="V43">
        <f t="shared" si="2"/>
        <v>0</v>
      </c>
    </row>
    <row r="44" spans="1:22" ht="15" customHeight="1" x14ac:dyDescent="0.35">
      <c r="A44" s="3" t="s">
        <v>163</v>
      </c>
      <c r="B44" s="4">
        <v>45392</v>
      </c>
      <c r="C44" s="3" t="s">
        <v>164</v>
      </c>
      <c r="D44" s="3" t="s">
        <v>165</v>
      </c>
      <c r="E44" s="3" t="s">
        <v>60</v>
      </c>
      <c r="F44" s="5">
        <v>2</v>
      </c>
      <c r="G44" s="5">
        <v>3730</v>
      </c>
      <c r="H44" s="5">
        <v>25.8</v>
      </c>
      <c r="I44" s="5">
        <v>5535.32</v>
      </c>
      <c r="J44" s="3" t="s">
        <v>26</v>
      </c>
      <c r="K44" s="3" t="s">
        <v>33</v>
      </c>
      <c r="L44" t="str">
        <f>IFERROR(VLOOKUP(D44,Products!$A$2:$F$61,3,FALSE()),"")</f>
        <v>Home</v>
      </c>
      <c r="M44" t="str">
        <f>IFERROR(VLOOKUP(E44,Sales_Reps!$A$2:$C$31,3,FALSE()),"")</f>
        <v>East</v>
      </c>
      <c r="N44">
        <f>IFERROR(VLOOKUP(D44,Products!$A$2:$F$61,4,FALSE()),"")</f>
        <v>2135</v>
      </c>
      <c r="O44" t="str">
        <f>IFERROR(VLOOKUP(C44,Customers!$A$2:$F$301,5,FALSE()),"")</f>
        <v>Retail</v>
      </c>
      <c r="P44">
        <f>IFERROR(VLOOKUP(C44,Customers!$A$2:$F$301,3,FALSE()),"")</f>
        <v>37</v>
      </c>
      <c r="Q44">
        <f t="shared" si="0"/>
        <v>0.42761394101876676</v>
      </c>
      <c r="R44">
        <f>IF(AND(COUNTIF($A$2:$A$2027,A44)&gt;1,COUNTIF($A$2:A44,A44)=1),1,0)</f>
        <v>0</v>
      </c>
      <c r="S44" t="b">
        <f>IFERROR(VLOOKUP(D44,Products!$A$2:$F$61,6,FALSE()),"")</f>
        <v>1</v>
      </c>
      <c r="T44" t="str">
        <f>IF(COUNTIF(Customers!$A$2:$A$301,C44)=0,"Missing","OK")</f>
        <v>OK</v>
      </c>
      <c r="U44" t="str">
        <f t="shared" si="1"/>
        <v>Chennai</v>
      </c>
      <c r="V44">
        <f t="shared" si="2"/>
        <v>0</v>
      </c>
    </row>
    <row r="45" spans="1:22" ht="15" customHeight="1" x14ac:dyDescent="0.35">
      <c r="A45" s="3" t="s">
        <v>166</v>
      </c>
      <c r="B45" s="4">
        <v>45396</v>
      </c>
      <c r="C45" s="3" t="s">
        <v>167</v>
      </c>
      <c r="D45" s="3" t="s">
        <v>96</v>
      </c>
      <c r="E45" s="3" t="s">
        <v>168</v>
      </c>
      <c r="F45" s="5">
        <v>4</v>
      </c>
      <c r="G45" s="5">
        <v>3450</v>
      </c>
      <c r="H45" s="5">
        <v>20.7</v>
      </c>
      <c r="I45" s="5">
        <v>10943.4</v>
      </c>
      <c r="J45" s="3" t="s">
        <v>26</v>
      </c>
      <c r="K45" s="3" t="s">
        <v>51</v>
      </c>
      <c r="L45" t="str">
        <f>IFERROR(VLOOKUP(D45,Products!$A$2:$F$61,3,FALSE()),"")</f>
        <v>Beauty</v>
      </c>
      <c r="M45" t="str">
        <f>IFERROR(VLOOKUP(E45,Sales_Reps!$A$2:$C$31,3,FALSE()),"")</f>
        <v>West</v>
      </c>
      <c r="N45">
        <f>IFERROR(VLOOKUP(D45,Products!$A$2:$F$61,4,FALSE()),"")</f>
        <v>2420</v>
      </c>
      <c r="O45" t="str">
        <f>IFERROR(VLOOKUP(C45,Customers!$A$2:$F$301,5,FALSE()),"")</f>
        <v>SMB</v>
      </c>
      <c r="P45">
        <f>IFERROR(VLOOKUP(C45,Customers!$A$2:$F$301,3,FALSE()),"")</f>
        <v>54</v>
      </c>
      <c r="Q45">
        <f t="shared" si="0"/>
        <v>0.29855072463768118</v>
      </c>
      <c r="R45">
        <f>IF(AND(COUNTIF($A$2:$A$2027,A45)&gt;1,COUNTIF($A$2:A45,A45)=1),1,0)</f>
        <v>0</v>
      </c>
      <c r="S45" t="b">
        <f>IFERROR(VLOOKUP(D45,Products!$A$2:$F$61,6,FALSE()),"")</f>
        <v>1</v>
      </c>
      <c r="T45" t="str">
        <f>IF(COUNTIF(Customers!$A$2:$A$301,C45)=0,"Missing","OK")</f>
        <v>OK</v>
      </c>
      <c r="U45" t="str">
        <f t="shared" si="1"/>
        <v>Mumbai</v>
      </c>
      <c r="V45">
        <f t="shared" si="2"/>
        <v>0</v>
      </c>
    </row>
    <row r="46" spans="1:22" ht="15" customHeight="1" x14ac:dyDescent="0.35">
      <c r="A46" s="3" t="s">
        <v>169</v>
      </c>
      <c r="B46" s="4">
        <v>45373</v>
      </c>
      <c r="C46" s="3" t="s">
        <v>170</v>
      </c>
      <c r="D46" s="3" t="s">
        <v>106</v>
      </c>
      <c r="E46" s="3" t="s">
        <v>60</v>
      </c>
      <c r="F46" s="5">
        <v>2</v>
      </c>
      <c r="G46" s="5">
        <v>2480</v>
      </c>
      <c r="H46" s="5">
        <v>17.3</v>
      </c>
      <c r="I46" s="5">
        <v>4101.92</v>
      </c>
      <c r="J46" s="3" t="s">
        <v>26</v>
      </c>
      <c r="K46" s="3" t="s">
        <v>56</v>
      </c>
      <c r="L46" t="str">
        <f>IFERROR(VLOOKUP(D46,Products!$A$2:$F$61,3,FALSE()),"")</f>
        <v>Apparel</v>
      </c>
      <c r="M46" t="str">
        <f>IFERROR(VLOOKUP(E46,Sales_Reps!$A$2:$C$31,3,FALSE()),"")</f>
        <v>East</v>
      </c>
      <c r="N46">
        <f>IFERROR(VLOOKUP(D46,Products!$A$2:$F$61,4,FALSE()),"")</f>
        <v>1173</v>
      </c>
      <c r="O46" t="str">
        <f>IFERROR(VLOOKUP(C46,Customers!$A$2:$F$301,5,FALSE()),"")</f>
        <v>SMB</v>
      </c>
      <c r="P46">
        <f>IFERROR(VLOOKUP(C46,Customers!$A$2:$F$301,3,FALSE()),"")</f>
        <v>64</v>
      </c>
      <c r="Q46">
        <f t="shared" si="0"/>
        <v>0.52701612903225803</v>
      </c>
      <c r="R46">
        <f>IF(AND(COUNTIF($A$2:$A$2027,A46)&gt;1,COUNTIF($A$2:A46,A46)=1),1,0)</f>
        <v>0</v>
      </c>
      <c r="S46" t="b">
        <f>IFERROR(VLOOKUP(D46,Products!$A$2:$F$61,6,FALSE()),"")</f>
        <v>1</v>
      </c>
      <c r="T46" t="str">
        <f>IF(COUNTIF(Customers!$A$2:$A$301,C46)=0,"Missing","OK")</f>
        <v>OK</v>
      </c>
      <c r="U46" t="str">
        <f t="shared" si="1"/>
        <v>Bengaluru</v>
      </c>
      <c r="V46">
        <f t="shared" si="2"/>
        <v>0</v>
      </c>
    </row>
    <row r="47" spans="1:22" ht="15" customHeight="1" x14ac:dyDescent="0.35">
      <c r="A47" s="3" t="s">
        <v>171</v>
      </c>
      <c r="B47" s="4">
        <v>45312</v>
      </c>
      <c r="C47" s="3" t="s">
        <v>172</v>
      </c>
      <c r="D47" s="3" t="s">
        <v>173</v>
      </c>
      <c r="E47" s="3" t="s">
        <v>127</v>
      </c>
      <c r="F47" s="5">
        <v>9</v>
      </c>
      <c r="G47" s="5">
        <v>3780</v>
      </c>
      <c r="H47" s="5">
        <v>8.6999999999999993</v>
      </c>
      <c r="I47" s="5">
        <v>31060.26</v>
      </c>
      <c r="J47" s="3" t="s">
        <v>32</v>
      </c>
      <c r="K47" s="3" t="s">
        <v>27</v>
      </c>
      <c r="L47" t="str">
        <f>IFERROR(VLOOKUP(D47,Products!$A$2:$F$61,3,FALSE()),"")</f>
        <v>Grocery</v>
      </c>
      <c r="M47" t="str">
        <f>IFERROR(VLOOKUP(E47,Sales_Reps!$A$2:$C$31,3,FALSE()),"")</f>
        <v>South</v>
      </c>
      <c r="N47">
        <f>IFERROR(VLOOKUP(D47,Products!$A$2:$F$61,4,FALSE()),"")</f>
        <v>2436</v>
      </c>
      <c r="O47" t="str">
        <f>IFERROR(VLOOKUP(C47,Customers!$A$2:$F$301,5,FALSE()),"")</f>
        <v>SMB</v>
      </c>
      <c r="P47">
        <f>IFERROR(VLOOKUP(C47,Customers!$A$2:$F$301,3,FALSE()),"")</f>
        <v>29</v>
      </c>
      <c r="Q47">
        <f t="shared" si="0"/>
        <v>0.35555555555555557</v>
      </c>
      <c r="R47">
        <f>IF(AND(COUNTIF($A$2:$A$2027,A47)&gt;1,COUNTIF($A$2:A47,A47)=1),1,0)</f>
        <v>0</v>
      </c>
      <c r="S47" t="b">
        <f>IFERROR(VLOOKUP(D47,Products!$A$2:$F$61,6,FALSE()),"")</f>
        <v>1</v>
      </c>
      <c r="T47" t="str">
        <f>IF(COUNTIF(Customers!$A$2:$A$301,C47)=0,"Missing","OK")</f>
        <v>OK</v>
      </c>
      <c r="U47" t="str">
        <f t="shared" si="1"/>
        <v>Pune</v>
      </c>
      <c r="V47">
        <f t="shared" si="2"/>
        <v>0</v>
      </c>
    </row>
    <row r="48" spans="1:22" ht="15" customHeight="1" x14ac:dyDescent="0.35">
      <c r="A48" s="3" t="s">
        <v>174</v>
      </c>
      <c r="B48" s="4">
        <v>45340</v>
      </c>
      <c r="C48" s="3" t="s">
        <v>175</v>
      </c>
      <c r="D48" s="3" t="s">
        <v>176</v>
      </c>
      <c r="E48" s="3" t="s">
        <v>177</v>
      </c>
      <c r="F48" s="5">
        <v>4</v>
      </c>
      <c r="G48" s="5">
        <v>3640</v>
      </c>
      <c r="H48" s="5">
        <v>20.7</v>
      </c>
      <c r="I48" s="5">
        <v>11546.08</v>
      </c>
      <c r="J48" s="3" t="s">
        <v>26</v>
      </c>
      <c r="K48" s="3" t="s">
        <v>72</v>
      </c>
      <c r="L48" t="str">
        <f>IFERROR(VLOOKUP(D48,Products!$A$2:$F$61,3,FALSE()),"")</f>
        <v>Apparel</v>
      </c>
      <c r="M48" t="str">
        <f>IFERROR(VLOOKUP(E48,Sales_Reps!$A$2:$C$31,3,FALSE()),"")</f>
        <v>East</v>
      </c>
      <c r="N48">
        <f>IFERROR(VLOOKUP(D48,Products!$A$2:$F$61,4,FALSE()),"")</f>
        <v>2611</v>
      </c>
      <c r="O48" t="str">
        <f>IFERROR(VLOOKUP(C48,Customers!$A$2:$F$301,5,FALSE()),"")</f>
        <v>Retail</v>
      </c>
      <c r="P48">
        <f>IFERROR(VLOOKUP(C48,Customers!$A$2:$F$301,3,FALSE()),"")</f>
        <v>64</v>
      </c>
      <c r="Q48">
        <f t="shared" si="0"/>
        <v>0.28269230769230769</v>
      </c>
      <c r="R48">
        <f>IF(AND(COUNTIF($A$2:$A$2027,A48)&gt;1,COUNTIF($A$2:A48,A48)=1),1,0)</f>
        <v>0</v>
      </c>
      <c r="S48" t="b">
        <f>IFERROR(VLOOKUP(D48,Products!$A$2:$F$61,6,FALSE()),"")</f>
        <v>1</v>
      </c>
      <c r="T48" t="str">
        <f>IF(COUNTIF(Customers!$A$2:$A$301,C48)=0,"Missing","OK")</f>
        <v>OK</v>
      </c>
      <c r="U48" t="str">
        <f t="shared" si="1"/>
        <v>Hyderabad</v>
      </c>
      <c r="V48">
        <f t="shared" si="2"/>
        <v>0</v>
      </c>
    </row>
    <row r="49" spans="1:22" ht="15" customHeight="1" x14ac:dyDescent="0.35">
      <c r="A49" s="3" t="s">
        <v>178</v>
      </c>
      <c r="B49" s="4">
        <v>45370</v>
      </c>
      <c r="C49" s="3" t="s">
        <v>179</v>
      </c>
      <c r="D49" s="3" t="s">
        <v>180</v>
      </c>
      <c r="E49" s="3" t="s">
        <v>87</v>
      </c>
      <c r="F49" s="5">
        <v>8</v>
      </c>
      <c r="G49" s="5">
        <v>6080</v>
      </c>
      <c r="H49" s="5">
        <v>24.4</v>
      </c>
      <c r="I49" s="5">
        <v>36771.839999999997</v>
      </c>
      <c r="J49" s="3" t="s">
        <v>26</v>
      </c>
      <c r="K49" s="3" t="s">
        <v>27</v>
      </c>
      <c r="L49" t="str">
        <f>IFERROR(VLOOKUP(D49,Products!$A$2:$F$61,3,FALSE()),"")</f>
        <v>Beauty</v>
      </c>
      <c r="M49" t="str">
        <f>IFERROR(VLOOKUP(E49,Sales_Reps!$A$2:$C$31,3,FALSE()),"")</f>
        <v>North</v>
      </c>
      <c r="N49">
        <f>IFERROR(VLOOKUP(D49,Products!$A$2:$F$61,4,FALSE()),"")</f>
        <v>2617</v>
      </c>
      <c r="O49" t="str">
        <f>IFERROR(VLOOKUP(C49,Customers!$A$2:$F$301,5,FALSE()),"")</f>
        <v/>
      </c>
      <c r="P49" t="str">
        <f>IFERROR(VLOOKUP(C49,Customers!$A$2:$F$301,3,FALSE()),"")</f>
        <v/>
      </c>
      <c r="Q49">
        <f t="shared" si="0"/>
        <v>0.56957236842105263</v>
      </c>
      <c r="R49">
        <f>IF(AND(COUNTIF($A$2:$A$2027,A49)&gt;1,COUNTIF($A$2:A49,A49)=1),1,0)</f>
        <v>0</v>
      </c>
      <c r="S49" t="b">
        <f>IFERROR(VLOOKUP(D49,Products!$A$2:$F$61,6,FALSE()),"")</f>
        <v>1</v>
      </c>
      <c r="T49" t="str">
        <f>IF(COUNTIF(Customers!$A$2:$A$301,C49)=0,"Missing","OK")</f>
        <v>Missing</v>
      </c>
      <c r="U49" t="str">
        <f t="shared" si="1"/>
        <v>Pune</v>
      </c>
      <c r="V49">
        <f t="shared" si="2"/>
        <v>0</v>
      </c>
    </row>
    <row r="50" spans="1:22" ht="15" customHeight="1" x14ac:dyDescent="0.35">
      <c r="A50" s="3" t="s">
        <v>181</v>
      </c>
      <c r="B50" s="4">
        <v>45389</v>
      </c>
      <c r="C50" s="3" t="s">
        <v>125</v>
      </c>
      <c r="D50" s="3" t="s">
        <v>66</v>
      </c>
      <c r="E50" s="3" t="s">
        <v>25</v>
      </c>
      <c r="F50" s="5">
        <v>10</v>
      </c>
      <c r="G50" s="5">
        <v>970</v>
      </c>
      <c r="H50" s="5">
        <v>0.6</v>
      </c>
      <c r="I50" s="5">
        <v>9641.7999999999993</v>
      </c>
      <c r="J50" s="3" t="s">
        <v>79</v>
      </c>
      <c r="K50" s="3" t="s">
        <v>33</v>
      </c>
      <c r="L50" t="str">
        <f>IFERROR(VLOOKUP(D50,Products!$A$2:$F$61,3,FALSE()),"")</f>
        <v>Grocery</v>
      </c>
      <c r="M50" t="str">
        <f>IFERROR(VLOOKUP(E50,Sales_Reps!$A$2:$C$31,3,FALSE()),"")</f>
        <v>North</v>
      </c>
      <c r="N50">
        <f>IFERROR(VLOOKUP(D50,Products!$A$2:$F$61,4,FALSE()),"")</f>
        <v>434</v>
      </c>
      <c r="O50" t="str">
        <f>IFERROR(VLOOKUP(C50,Customers!$A$2:$F$301,5,FALSE()),"")</f>
        <v>SMB</v>
      </c>
      <c r="P50">
        <f>IFERROR(VLOOKUP(C50,Customers!$A$2:$F$301,3,FALSE()),"")</f>
        <v>52</v>
      </c>
      <c r="Q50">
        <f t="shared" si="0"/>
        <v>0.5525773195876289</v>
      </c>
      <c r="R50">
        <f>IF(AND(COUNTIF($A$2:$A$2027,A50)&gt;1,COUNTIF($A$2:A50,A50)=1),1,0)</f>
        <v>0</v>
      </c>
      <c r="S50" t="b">
        <f>IFERROR(VLOOKUP(D50,Products!$A$2:$F$61,6,FALSE()),"")</f>
        <v>1</v>
      </c>
      <c r="T50" t="str">
        <f>IF(COUNTIF(Customers!$A$2:$A$301,C50)=0,"Missing","OK")</f>
        <v>OK</v>
      </c>
      <c r="U50" t="str">
        <f t="shared" si="1"/>
        <v>Chennai</v>
      </c>
      <c r="V50">
        <f t="shared" si="2"/>
        <v>0</v>
      </c>
    </row>
    <row r="51" spans="1:22" ht="15" customHeight="1" x14ac:dyDescent="0.35">
      <c r="A51" s="3" t="s">
        <v>182</v>
      </c>
      <c r="B51" s="4">
        <v>45565</v>
      </c>
      <c r="C51" s="3" t="s">
        <v>183</v>
      </c>
      <c r="D51" s="3" t="s">
        <v>184</v>
      </c>
      <c r="E51" s="3" t="s">
        <v>67</v>
      </c>
      <c r="F51" s="5">
        <v>1</v>
      </c>
      <c r="G51" s="5">
        <v>2270</v>
      </c>
      <c r="H51" s="5">
        <v>11.5</v>
      </c>
      <c r="I51" s="5">
        <v>2008.95</v>
      </c>
      <c r="J51" s="3" t="s">
        <v>32</v>
      </c>
      <c r="K51" s="3" t="s">
        <v>33</v>
      </c>
      <c r="L51" t="str">
        <f>IFERROR(VLOOKUP(D51,Products!$A$2:$F$61,3,FALSE()),"")</f>
        <v>Grocery</v>
      </c>
      <c r="M51" t="str">
        <f>IFERROR(VLOOKUP(E51,Sales_Reps!$A$2:$C$31,3,FALSE()),"")</f>
        <v>West</v>
      </c>
      <c r="N51">
        <f>IFERROR(VLOOKUP(D51,Products!$A$2:$F$61,4,FALSE()),"")</f>
        <v>1412</v>
      </c>
      <c r="O51" t="str">
        <f>IFERROR(VLOOKUP(C51,Customers!$A$2:$F$301,5,FALSE()),"")</f>
        <v>Corporate</v>
      </c>
      <c r="P51">
        <f>IFERROR(VLOOKUP(C51,Customers!$A$2:$F$301,3,FALSE()),"")</f>
        <v>52</v>
      </c>
      <c r="Q51">
        <f t="shared" si="0"/>
        <v>0.37797356828193834</v>
      </c>
      <c r="R51">
        <f>IF(AND(COUNTIF($A$2:$A$2027,A51)&gt;1,COUNTIF($A$2:A51,A51)=1),1,0)</f>
        <v>0</v>
      </c>
      <c r="S51" t="b">
        <f>IFERROR(VLOOKUP(D51,Products!$A$2:$F$61,6,FALSE()),"")</f>
        <v>1</v>
      </c>
      <c r="T51" t="str">
        <f>IF(COUNTIF(Customers!$A$2:$A$301,C51)=0,"Missing","OK")</f>
        <v>OK</v>
      </c>
      <c r="U51" t="str">
        <f t="shared" si="1"/>
        <v>Chennai</v>
      </c>
      <c r="V51">
        <f t="shared" si="2"/>
        <v>0</v>
      </c>
    </row>
    <row r="52" spans="1:22" ht="15" customHeight="1" x14ac:dyDescent="0.35">
      <c r="A52" s="3" t="s">
        <v>185</v>
      </c>
      <c r="B52" s="4">
        <v>45323</v>
      </c>
      <c r="C52" s="3" t="s">
        <v>186</v>
      </c>
      <c r="D52" s="3" t="s">
        <v>187</v>
      </c>
      <c r="E52" s="3" t="s">
        <v>93</v>
      </c>
      <c r="F52" s="5">
        <v>7</v>
      </c>
      <c r="G52" s="5">
        <v>3870</v>
      </c>
      <c r="H52" s="5">
        <v>0.3</v>
      </c>
      <c r="I52" s="5">
        <v>27008.73</v>
      </c>
      <c r="J52" s="3" t="s">
        <v>79</v>
      </c>
      <c r="K52" s="3" t="s">
        <v>56</v>
      </c>
      <c r="L52" t="str">
        <f>IFERROR(VLOOKUP(D52,Products!$A$2:$F$61,3,FALSE()),"")</f>
        <v>Electronics</v>
      </c>
      <c r="M52" t="str">
        <f>IFERROR(VLOOKUP(E52,Sales_Reps!$A$2:$C$31,3,FALSE()),"")</f>
        <v>East</v>
      </c>
      <c r="N52">
        <f>IFERROR(VLOOKUP(D52,Products!$A$2:$F$61,4,FALSE()),"")</f>
        <v>1559</v>
      </c>
      <c r="O52" t="str">
        <f>IFERROR(VLOOKUP(C52,Customers!$A$2:$F$301,5,FALSE()),"")</f>
        <v>Retail</v>
      </c>
      <c r="P52">
        <f>IFERROR(VLOOKUP(C52,Customers!$A$2:$F$301,3,FALSE()),"")</f>
        <v>34</v>
      </c>
      <c r="Q52">
        <f t="shared" si="0"/>
        <v>0.59715762273901807</v>
      </c>
      <c r="R52">
        <f>IF(AND(COUNTIF($A$2:$A$2027,A52)&gt;1,COUNTIF($A$2:A52,A52)=1),1,0)</f>
        <v>0</v>
      </c>
      <c r="S52" t="b">
        <f>IFERROR(VLOOKUP(D52,Products!$A$2:$F$61,6,FALSE()),"")</f>
        <v>1</v>
      </c>
      <c r="T52" t="str">
        <f>IF(COUNTIF(Customers!$A$2:$A$301,C52)=0,"Missing","OK")</f>
        <v>OK</v>
      </c>
      <c r="U52" t="str">
        <f t="shared" si="1"/>
        <v>Bengaluru</v>
      </c>
      <c r="V52">
        <f t="shared" si="2"/>
        <v>0</v>
      </c>
    </row>
    <row r="53" spans="1:22" ht="15" customHeight="1" x14ac:dyDescent="0.35">
      <c r="A53" s="3" t="s">
        <v>188</v>
      </c>
      <c r="B53" s="4">
        <v>45506</v>
      </c>
      <c r="C53" s="3" t="s">
        <v>189</v>
      </c>
      <c r="D53" s="3" t="s">
        <v>123</v>
      </c>
      <c r="E53" s="3" t="s">
        <v>143</v>
      </c>
      <c r="F53" s="5">
        <v>1</v>
      </c>
      <c r="G53" s="5">
        <v>4880</v>
      </c>
      <c r="H53" s="5">
        <v>23.9</v>
      </c>
      <c r="I53" s="5">
        <v>3713.68</v>
      </c>
      <c r="J53" s="3" t="s">
        <v>32</v>
      </c>
      <c r="K53" s="3" t="s">
        <v>56</v>
      </c>
      <c r="L53" t="str">
        <f>IFERROR(VLOOKUP(D53,Products!$A$2:$F$61,3,FALSE()),"")</f>
        <v>Beauty</v>
      </c>
      <c r="M53" t="str">
        <f>IFERROR(VLOOKUP(E53,Sales_Reps!$A$2:$C$31,3,FALSE()),"")</f>
        <v>South</v>
      </c>
      <c r="N53">
        <f>IFERROR(VLOOKUP(D53,Products!$A$2:$F$61,4,FALSE()),"")</f>
        <v>2768</v>
      </c>
      <c r="O53" t="str">
        <f>IFERROR(VLOOKUP(C53,Customers!$A$2:$F$301,5,FALSE()),"")</f>
        <v>SMB</v>
      </c>
      <c r="P53">
        <f>IFERROR(VLOOKUP(C53,Customers!$A$2:$F$301,3,FALSE()),"")</f>
        <v>34</v>
      </c>
      <c r="Q53">
        <f t="shared" si="0"/>
        <v>0.43278688524590164</v>
      </c>
      <c r="R53">
        <f>IF(AND(COUNTIF($A$2:$A$2027,A53)&gt;1,COUNTIF($A$2:A53,A53)=1),1,0)</f>
        <v>0</v>
      </c>
      <c r="S53" t="b">
        <f>IFERROR(VLOOKUP(D53,Products!$A$2:$F$61,6,FALSE()),"")</f>
        <v>1</v>
      </c>
      <c r="T53" t="str">
        <f>IF(COUNTIF(Customers!$A$2:$A$301,C53)=0,"Missing","OK")</f>
        <v>OK</v>
      </c>
      <c r="U53" t="str">
        <f t="shared" si="1"/>
        <v>Bengaluru</v>
      </c>
      <c r="V53">
        <f t="shared" si="2"/>
        <v>0</v>
      </c>
    </row>
    <row r="54" spans="1:22" ht="15" customHeight="1" x14ac:dyDescent="0.35">
      <c r="A54" s="3" t="s">
        <v>190</v>
      </c>
      <c r="B54" s="4">
        <v>45616</v>
      </c>
      <c r="C54" s="3" t="s">
        <v>44</v>
      </c>
      <c r="D54" s="3" t="s">
        <v>173</v>
      </c>
      <c r="E54" s="3" t="s">
        <v>191</v>
      </c>
      <c r="F54" s="5">
        <v>5</v>
      </c>
      <c r="G54" s="5">
        <v>3780</v>
      </c>
      <c r="H54" s="5">
        <v>18.5</v>
      </c>
      <c r="I54" s="5">
        <v>15403.5</v>
      </c>
      <c r="J54" s="3" t="s">
        <v>26</v>
      </c>
      <c r="K54" s="3" t="s">
        <v>33</v>
      </c>
      <c r="L54" t="str">
        <f>IFERROR(VLOOKUP(D54,Products!$A$2:$F$61,3,FALSE()),"")</f>
        <v>Grocery</v>
      </c>
      <c r="M54" t="str">
        <f>IFERROR(VLOOKUP(E54,Sales_Reps!$A$2:$C$31,3,FALSE()),"")</f>
        <v>South</v>
      </c>
      <c r="N54">
        <f>IFERROR(VLOOKUP(D54,Products!$A$2:$F$61,4,FALSE()),"")</f>
        <v>2436</v>
      </c>
      <c r="O54" t="str">
        <f>IFERROR(VLOOKUP(C54,Customers!$A$2:$F$301,5,FALSE()),"")</f>
        <v>Retail</v>
      </c>
      <c r="P54">
        <f>IFERROR(VLOOKUP(C54,Customers!$A$2:$F$301,3,FALSE()),"")</f>
        <v>36</v>
      </c>
      <c r="Q54">
        <f t="shared" si="0"/>
        <v>0.35555555555555557</v>
      </c>
      <c r="R54">
        <f>IF(AND(COUNTIF($A$2:$A$2027,A54)&gt;1,COUNTIF($A$2:A54,A54)=1),1,0)</f>
        <v>0</v>
      </c>
      <c r="S54" t="b">
        <f>IFERROR(VLOOKUP(D54,Products!$A$2:$F$61,6,FALSE()),"")</f>
        <v>1</v>
      </c>
      <c r="T54" t="str">
        <f>IF(COUNTIF(Customers!$A$2:$A$301,C54)=0,"Missing","OK")</f>
        <v>OK</v>
      </c>
      <c r="U54" t="str">
        <f t="shared" si="1"/>
        <v>Chennai</v>
      </c>
      <c r="V54">
        <f t="shared" si="2"/>
        <v>0</v>
      </c>
    </row>
    <row r="55" spans="1:22" ht="15" customHeight="1" x14ac:dyDescent="0.35">
      <c r="A55" s="3" t="s">
        <v>192</v>
      </c>
      <c r="B55" s="4">
        <v>45428</v>
      </c>
      <c r="C55" s="3" t="s">
        <v>193</v>
      </c>
      <c r="D55" s="3" t="s">
        <v>82</v>
      </c>
      <c r="E55" s="3" t="s">
        <v>131</v>
      </c>
      <c r="F55" s="5">
        <v>10</v>
      </c>
      <c r="G55" s="5">
        <v>3250</v>
      </c>
      <c r="H55" s="5">
        <v>25.5</v>
      </c>
      <c r="I55" s="5">
        <v>24212.5</v>
      </c>
      <c r="J55" s="3" t="s">
        <v>26</v>
      </c>
      <c r="K55" s="3" t="s">
        <v>33</v>
      </c>
      <c r="L55" t="str">
        <f>IFERROR(VLOOKUP(D55,Products!$A$2:$F$61,3,FALSE()),"")</f>
        <v>Home</v>
      </c>
      <c r="M55" t="str">
        <f>IFERROR(VLOOKUP(E55,Sales_Reps!$A$2:$C$31,3,FALSE()),"")</f>
        <v>East</v>
      </c>
      <c r="N55">
        <f>IFERROR(VLOOKUP(D55,Products!$A$2:$F$61,4,FALSE()),"")</f>
        <v>1556</v>
      </c>
      <c r="O55" t="str">
        <f>IFERROR(VLOOKUP(C55,Customers!$A$2:$F$301,5,FALSE()),"")</f>
        <v>Retail</v>
      </c>
      <c r="P55">
        <f>IFERROR(VLOOKUP(C55,Customers!$A$2:$F$301,3,FALSE()),"")</f>
        <v>24</v>
      </c>
      <c r="Q55">
        <f t="shared" si="0"/>
        <v>0.52123076923076928</v>
      </c>
      <c r="R55">
        <f>IF(AND(COUNTIF($A$2:$A$2027,A55)&gt;1,COUNTIF($A$2:A55,A55)=1),1,0)</f>
        <v>0</v>
      </c>
      <c r="S55" t="b">
        <f>IFERROR(VLOOKUP(D55,Products!$A$2:$F$61,6,FALSE()),"")</f>
        <v>1</v>
      </c>
      <c r="T55" t="str">
        <f>IF(COUNTIF(Customers!$A$2:$A$301,C55)=0,"Missing","OK")</f>
        <v>OK</v>
      </c>
      <c r="U55" t="str">
        <f t="shared" si="1"/>
        <v>Chennai</v>
      </c>
      <c r="V55">
        <f t="shared" si="2"/>
        <v>0</v>
      </c>
    </row>
    <row r="56" spans="1:22" ht="15" customHeight="1" x14ac:dyDescent="0.35">
      <c r="A56" s="3" t="s">
        <v>194</v>
      </c>
      <c r="B56" s="4">
        <v>45515</v>
      </c>
      <c r="C56" s="3" t="s">
        <v>195</v>
      </c>
      <c r="D56" s="3" t="s">
        <v>176</v>
      </c>
      <c r="E56" s="3" t="s">
        <v>25</v>
      </c>
      <c r="F56" s="5">
        <v>4</v>
      </c>
      <c r="G56" s="5">
        <v>3640</v>
      </c>
      <c r="H56" s="5">
        <v>9.9</v>
      </c>
      <c r="I56" s="5">
        <v>13118.56</v>
      </c>
      <c r="J56" s="3" t="s">
        <v>83</v>
      </c>
      <c r="K56" s="3" t="s">
        <v>72</v>
      </c>
      <c r="L56" t="str">
        <f>IFERROR(VLOOKUP(D56,Products!$A$2:$F$61,3,FALSE()),"")</f>
        <v>Apparel</v>
      </c>
      <c r="M56" t="str">
        <f>IFERROR(VLOOKUP(E56,Sales_Reps!$A$2:$C$31,3,FALSE()),"")</f>
        <v>North</v>
      </c>
      <c r="N56">
        <f>IFERROR(VLOOKUP(D56,Products!$A$2:$F$61,4,FALSE()),"")</f>
        <v>2611</v>
      </c>
      <c r="O56" t="str">
        <f>IFERROR(VLOOKUP(C56,Customers!$A$2:$F$301,5,FALSE()),"")</f>
        <v>Retail</v>
      </c>
      <c r="P56">
        <f>IFERROR(VLOOKUP(C56,Customers!$A$2:$F$301,3,FALSE()),"")</f>
        <v>27</v>
      </c>
      <c r="Q56">
        <f t="shared" si="0"/>
        <v>0.28269230769230769</v>
      </c>
      <c r="R56">
        <f>IF(AND(COUNTIF($A$2:$A$2027,A56)&gt;1,COUNTIF($A$2:A56,A56)=1),1,0)</f>
        <v>0</v>
      </c>
      <c r="S56" t="b">
        <f>IFERROR(VLOOKUP(D56,Products!$A$2:$F$61,6,FALSE()),"")</f>
        <v>1</v>
      </c>
      <c r="T56" t="str">
        <f>IF(COUNTIF(Customers!$A$2:$A$301,C56)=0,"Missing","OK")</f>
        <v>OK</v>
      </c>
      <c r="U56" t="str">
        <f t="shared" si="1"/>
        <v>Hyderabad</v>
      </c>
      <c r="V56">
        <f t="shared" si="2"/>
        <v>0</v>
      </c>
    </row>
    <row r="57" spans="1:22" ht="15" customHeight="1" x14ac:dyDescent="0.35">
      <c r="A57" s="3" t="s">
        <v>196</v>
      </c>
      <c r="B57" s="4">
        <v>45649</v>
      </c>
      <c r="C57" s="3" t="s">
        <v>197</v>
      </c>
      <c r="D57" s="3" t="s">
        <v>198</v>
      </c>
      <c r="E57" s="3" t="s">
        <v>93</v>
      </c>
      <c r="F57" s="5">
        <v>4</v>
      </c>
      <c r="G57" s="5">
        <v>1540</v>
      </c>
      <c r="H57" s="5">
        <v>28.8</v>
      </c>
      <c r="I57" s="5">
        <v>4385.92</v>
      </c>
      <c r="J57" s="3" t="s">
        <v>26</v>
      </c>
      <c r="K57" s="3" t="s">
        <v>38</v>
      </c>
      <c r="L57" t="str">
        <f>IFERROR(VLOOKUP(D57,Products!$A$2:$F$61,3,FALSE()),"")</f>
        <v>Beauty</v>
      </c>
      <c r="M57" t="str">
        <f>IFERROR(VLOOKUP(E57,Sales_Reps!$A$2:$C$31,3,FALSE()),"")</f>
        <v>East</v>
      </c>
      <c r="N57">
        <f>IFERROR(VLOOKUP(D57,Products!$A$2:$F$61,4,FALSE()),"")</f>
        <v>647</v>
      </c>
      <c r="O57" t="str">
        <f>IFERROR(VLOOKUP(C57,Customers!$A$2:$F$301,5,FALSE()),"")</f>
        <v>SMB</v>
      </c>
      <c r="P57">
        <f>IFERROR(VLOOKUP(C57,Customers!$A$2:$F$301,3,FALSE()),"")</f>
        <v>55</v>
      </c>
      <c r="Q57">
        <f t="shared" si="0"/>
        <v>0.57987012987012987</v>
      </c>
      <c r="R57">
        <f>IF(AND(COUNTIF($A$2:$A$2027,A57)&gt;1,COUNTIF($A$2:A57,A57)=1),1,0)</f>
        <v>0</v>
      </c>
      <c r="S57" t="b">
        <f>IFERROR(VLOOKUP(D57,Products!$A$2:$F$61,6,FALSE()),"")</f>
        <v>0</v>
      </c>
      <c r="T57" t="str">
        <f>IF(COUNTIF(Customers!$A$2:$A$301,C57)=0,"Missing","OK")</f>
        <v>OK</v>
      </c>
      <c r="U57" t="str">
        <f t="shared" si="1"/>
        <v>Delhi</v>
      </c>
      <c r="V57">
        <f t="shared" si="2"/>
        <v>0</v>
      </c>
    </row>
    <row r="58" spans="1:22" ht="15" customHeight="1" x14ac:dyDescent="0.35">
      <c r="A58" s="3" t="s">
        <v>199</v>
      </c>
      <c r="B58" s="4">
        <v>45616</v>
      </c>
      <c r="C58" s="3" t="s">
        <v>200</v>
      </c>
      <c r="D58" s="3" t="s">
        <v>103</v>
      </c>
      <c r="E58" s="3" t="s">
        <v>177</v>
      </c>
      <c r="F58" s="5">
        <v>1</v>
      </c>
      <c r="G58" s="5">
        <v>1080</v>
      </c>
      <c r="H58" s="5">
        <v>23</v>
      </c>
      <c r="I58" s="5">
        <v>831.6</v>
      </c>
      <c r="J58" s="3" t="s">
        <v>79</v>
      </c>
      <c r="K58" s="3" t="s">
        <v>38</v>
      </c>
      <c r="L58" t="str">
        <f>IFERROR(VLOOKUP(D58,Products!$A$2:$F$61,3,FALSE()),"")</f>
        <v>Home</v>
      </c>
      <c r="M58" t="str">
        <f>IFERROR(VLOOKUP(E58,Sales_Reps!$A$2:$C$31,3,FALSE()),"")</f>
        <v>East</v>
      </c>
      <c r="N58">
        <f>IFERROR(VLOOKUP(D58,Products!$A$2:$F$61,4,FALSE()),"")</f>
        <v>519</v>
      </c>
      <c r="O58" t="str">
        <f>IFERROR(VLOOKUP(C58,Customers!$A$2:$F$301,5,FALSE()),"")</f>
        <v>Retail</v>
      </c>
      <c r="P58">
        <f>IFERROR(VLOOKUP(C58,Customers!$A$2:$F$301,3,FALSE()),"")</f>
        <v>54</v>
      </c>
      <c r="Q58">
        <f t="shared" si="0"/>
        <v>0.51944444444444449</v>
      </c>
      <c r="R58">
        <f>IF(AND(COUNTIF($A$2:$A$2027,A58)&gt;1,COUNTIF($A$2:A58,A58)=1),1,0)</f>
        <v>0</v>
      </c>
      <c r="S58" t="b">
        <f>IFERROR(VLOOKUP(D58,Products!$A$2:$F$61,6,FALSE()),"")</f>
        <v>1</v>
      </c>
      <c r="T58" t="str">
        <f>IF(COUNTIF(Customers!$A$2:$A$301,C58)=0,"Missing","OK")</f>
        <v>OK</v>
      </c>
      <c r="U58" t="str">
        <f t="shared" si="1"/>
        <v>Delhi</v>
      </c>
      <c r="V58">
        <f t="shared" si="2"/>
        <v>0</v>
      </c>
    </row>
    <row r="59" spans="1:22" ht="15" customHeight="1" x14ac:dyDescent="0.35">
      <c r="A59" s="3" t="s">
        <v>201</v>
      </c>
      <c r="B59" s="4">
        <v>45573</v>
      </c>
      <c r="C59" s="3" t="s">
        <v>202</v>
      </c>
      <c r="D59" s="3" t="s">
        <v>203</v>
      </c>
      <c r="E59" s="3" t="s">
        <v>25</v>
      </c>
      <c r="F59" s="5">
        <v>1</v>
      </c>
      <c r="G59" s="5">
        <v>4070</v>
      </c>
      <c r="H59" s="5">
        <v>6.7</v>
      </c>
      <c r="I59" s="5">
        <v>3797.31</v>
      </c>
      <c r="J59" s="3" t="s">
        <v>26</v>
      </c>
      <c r="K59" s="3" t="s">
        <v>72</v>
      </c>
      <c r="L59" t="str">
        <f>IFERROR(VLOOKUP(D59,Products!$A$2:$F$61,3,FALSE()),"")</f>
        <v>Grocery</v>
      </c>
      <c r="M59" t="str">
        <f>IFERROR(VLOOKUP(E59,Sales_Reps!$A$2:$C$31,3,FALSE()),"")</f>
        <v>North</v>
      </c>
      <c r="N59">
        <f>IFERROR(VLOOKUP(D59,Products!$A$2:$F$61,4,FALSE()),"")</f>
        <v>2027</v>
      </c>
      <c r="O59" t="str">
        <f>IFERROR(VLOOKUP(C59,Customers!$A$2:$F$301,5,FALSE()),"")</f>
        <v>Retail</v>
      </c>
      <c r="P59">
        <f>IFERROR(VLOOKUP(C59,Customers!$A$2:$F$301,3,FALSE()),"")</f>
        <v>53</v>
      </c>
      <c r="Q59">
        <f t="shared" si="0"/>
        <v>0.50196560196560192</v>
      </c>
      <c r="R59">
        <f>IF(AND(COUNTIF($A$2:$A$2027,A59)&gt;1,COUNTIF($A$2:A59,A59)=1),1,0)</f>
        <v>0</v>
      </c>
      <c r="S59" t="b">
        <f>IFERROR(VLOOKUP(D59,Products!$A$2:$F$61,6,FALSE()),"")</f>
        <v>1</v>
      </c>
      <c r="T59" t="str">
        <f>IF(COUNTIF(Customers!$A$2:$A$301,C59)=0,"Missing","OK")</f>
        <v>OK</v>
      </c>
      <c r="U59" t="str">
        <f t="shared" si="1"/>
        <v>Hyderabad</v>
      </c>
      <c r="V59">
        <f t="shared" si="2"/>
        <v>0</v>
      </c>
    </row>
    <row r="60" spans="1:22" ht="15" customHeight="1" x14ac:dyDescent="0.35">
      <c r="A60" s="3" t="s">
        <v>204</v>
      </c>
      <c r="B60" s="4">
        <v>45417</v>
      </c>
      <c r="C60" s="3" t="s">
        <v>205</v>
      </c>
      <c r="D60" s="3" t="s">
        <v>206</v>
      </c>
      <c r="E60" s="3" t="s">
        <v>109</v>
      </c>
      <c r="F60" s="5">
        <v>2</v>
      </c>
      <c r="G60" s="5">
        <v>1220</v>
      </c>
      <c r="H60" s="5">
        <v>11.7</v>
      </c>
      <c r="I60" s="5">
        <v>2154.52</v>
      </c>
      <c r="J60" s="3" t="s">
        <v>79</v>
      </c>
      <c r="K60" s="3" t="s">
        <v>38</v>
      </c>
      <c r="L60" t="str">
        <f>IFERROR(VLOOKUP(D60,Products!$A$2:$F$61,3,FALSE()),"")</f>
        <v>Electronics</v>
      </c>
      <c r="M60" t="str">
        <f>IFERROR(VLOOKUP(E60,Sales_Reps!$A$2:$C$31,3,FALSE()),"")</f>
        <v>West</v>
      </c>
      <c r="N60">
        <f>IFERROR(VLOOKUP(D60,Products!$A$2:$F$61,4,FALSE()),"")</f>
        <v>517</v>
      </c>
      <c r="O60" t="str">
        <f>IFERROR(VLOOKUP(C60,Customers!$A$2:$F$301,5,FALSE()),"")</f>
        <v>Corporate</v>
      </c>
      <c r="P60">
        <f>IFERROR(VLOOKUP(C60,Customers!$A$2:$F$301,3,FALSE()),"")</f>
        <v>55</v>
      </c>
      <c r="Q60">
        <f t="shared" si="0"/>
        <v>0.57622950819672136</v>
      </c>
      <c r="R60">
        <f>IF(AND(COUNTIF($A$2:$A$2027,A60)&gt;1,COUNTIF($A$2:A60,A60)=1),1,0)</f>
        <v>0</v>
      </c>
      <c r="S60" t="b">
        <f>IFERROR(VLOOKUP(D60,Products!$A$2:$F$61,6,FALSE()),"")</f>
        <v>1</v>
      </c>
      <c r="T60" t="str">
        <f>IF(COUNTIF(Customers!$A$2:$A$301,C60)=0,"Missing","OK")</f>
        <v>OK</v>
      </c>
      <c r="U60" t="str">
        <f t="shared" si="1"/>
        <v>Delhi</v>
      </c>
      <c r="V60">
        <f t="shared" si="2"/>
        <v>0</v>
      </c>
    </row>
    <row r="61" spans="1:22" ht="15" customHeight="1" x14ac:dyDescent="0.35">
      <c r="A61" s="3" t="s">
        <v>207</v>
      </c>
      <c r="B61" s="4">
        <v>45425</v>
      </c>
      <c r="C61" s="3" t="s">
        <v>208</v>
      </c>
      <c r="D61" s="3" t="s">
        <v>209</v>
      </c>
      <c r="E61" s="3" t="s">
        <v>168</v>
      </c>
      <c r="F61" s="5">
        <v>4</v>
      </c>
      <c r="G61" s="5">
        <v>4610</v>
      </c>
      <c r="H61" s="5">
        <v>26.9</v>
      </c>
      <c r="I61" s="5">
        <v>13479.64</v>
      </c>
      <c r="J61" s="3" t="s">
        <v>32</v>
      </c>
      <c r="K61" s="3" t="s">
        <v>51</v>
      </c>
      <c r="L61" t="str">
        <f>IFERROR(VLOOKUP(D61,Products!$A$2:$F$61,3,FALSE()),"")</f>
        <v>Home</v>
      </c>
      <c r="M61" t="str">
        <f>IFERROR(VLOOKUP(E61,Sales_Reps!$A$2:$C$31,3,FALSE()),"")</f>
        <v>West</v>
      </c>
      <c r="N61">
        <f>IFERROR(VLOOKUP(D61,Products!$A$2:$F$61,4,FALSE()),"")</f>
        <v>1850</v>
      </c>
      <c r="O61" t="str">
        <f>IFERROR(VLOOKUP(C61,Customers!$A$2:$F$301,5,FALSE()),"")</f>
        <v>Retail</v>
      </c>
      <c r="P61">
        <f>IFERROR(VLOOKUP(C61,Customers!$A$2:$F$301,3,FALSE()),"")</f>
        <v>40</v>
      </c>
      <c r="Q61">
        <f t="shared" si="0"/>
        <v>0.59869848156182215</v>
      </c>
      <c r="R61">
        <f>IF(AND(COUNTIF($A$2:$A$2027,A61)&gt;1,COUNTIF($A$2:A61,A61)=1),1,0)</f>
        <v>0</v>
      </c>
      <c r="S61" t="b">
        <f>IFERROR(VLOOKUP(D61,Products!$A$2:$F$61,6,FALSE()),"")</f>
        <v>1</v>
      </c>
      <c r="T61" t="str">
        <f>IF(COUNTIF(Customers!$A$2:$A$301,C61)=0,"Missing","OK")</f>
        <v>OK</v>
      </c>
      <c r="U61" t="str">
        <f t="shared" si="1"/>
        <v>Mumbai</v>
      </c>
      <c r="V61">
        <f t="shared" si="2"/>
        <v>0</v>
      </c>
    </row>
    <row r="62" spans="1:22" ht="15" customHeight="1" x14ac:dyDescent="0.35">
      <c r="A62" s="3" t="s">
        <v>210</v>
      </c>
      <c r="B62" s="4">
        <v>45589</v>
      </c>
      <c r="C62" s="3" t="s">
        <v>211</v>
      </c>
      <c r="D62" s="3" t="s">
        <v>103</v>
      </c>
      <c r="E62" s="3" t="s">
        <v>212</v>
      </c>
      <c r="F62" s="5">
        <v>8</v>
      </c>
      <c r="G62" s="5">
        <v>1080</v>
      </c>
      <c r="H62" s="5">
        <v>28.4</v>
      </c>
      <c r="I62" s="5">
        <v>6186.24</v>
      </c>
      <c r="J62" s="3" t="s">
        <v>26</v>
      </c>
      <c r="K62" s="3" t="s">
        <v>33</v>
      </c>
      <c r="L62" t="str">
        <f>IFERROR(VLOOKUP(D62,Products!$A$2:$F$61,3,FALSE()),"")</f>
        <v>Home</v>
      </c>
      <c r="M62" t="str">
        <f>IFERROR(VLOOKUP(E62,Sales_Reps!$A$2:$C$31,3,FALSE()),"")</f>
        <v>South</v>
      </c>
      <c r="N62">
        <f>IFERROR(VLOOKUP(D62,Products!$A$2:$F$61,4,FALSE()),"")</f>
        <v>519</v>
      </c>
      <c r="O62" t="str">
        <f>IFERROR(VLOOKUP(C62,Customers!$A$2:$F$301,5,FALSE()),"")</f>
        <v>SMB</v>
      </c>
      <c r="P62">
        <f>IFERROR(VLOOKUP(C62,Customers!$A$2:$F$301,3,FALSE()),"")</f>
        <v>55</v>
      </c>
      <c r="Q62">
        <f t="shared" si="0"/>
        <v>0.51944444444444449</v>
      </c>
      <c r="R62">
        <f>IF(AND(COUNTIF($A$2:$A$2027,A62)&gt;1,COUNTIF($A$2:A62,A62)=1),1,0)</f>
        <v>0</v>
      </c>
      <c r="S62" t="b">
        <f>IFERROR(VLOOKUP(D62,Products!$A$2:$F$61,6,FALSE()),"")</f>
        <v>1</v>
      </c>
      <c r="T62" t="str">
        <f>IF(COUNTIF(Customers!$A$2:$A$301,C62)=0,"Missing","OK")</f>
        <v>OK</v>
      </c>
      <c r="U62" t="str">
        <f t="shared" si="1"/>
        <v>Chennai</v>
      </c>
      <c r="V62">
        <f t="shared" si="2"/>
        <v>0</v>
      </c>
    </row>
    <row r="63" spans="1:22" ht="15" customHeight="1" x14ac:dyDescent="0.35">
      <c r="A63" s="3" t="s">
        <v>213</v>
      </c>
      <c r="B63" s="4">
        <v>45488</v>
      </c>
      <c r="C63" s="3" t="s">
        <v>214</v>
      </c>
      <c r="D63" s="3" t="s">
        <v>215</v>
      </c>
      <c r="E63" s="3" t="s">
        <v>42</v>
      </c>
      <c r="F63" s="5">
        <v>10</v>
      </c>
      <c r="G63" s="5">
        <v>3020</v>
      </c>
      <c r="H63" s="5">
        <v>25.4</v>
      </c>
      <c r="I63" s="5">
        <v>22529.200000000001</v>
      </c>
      <c r="J63" s="3" t="s">
        <v>26</v>
      </c>
      <c r="K63" s="3" t="s">
        <v>27</v>
      </c>
      <c r="L63" t="str">
        <f>IFERROR(VLOOKUP(D63,Products!$A$2:$F$61,3,FALSE()),"")</f>
        <v>Beauty</v>
      </c>
      <c r="M63" t="str">
        <f>IFERROR(VLOOKUP(E63,Sales_Reps!$A$2:$C$31,3,FALSE()),"")</f>
        <v>North</v>
      </c>
      <c r="N63">
        <f>IFERROR(VLOOKUP(D63,Products!$A$2:$F$61,4,FALSE()),"")</f>
        <v>1626</v>
      </c>
      <c r="O63" t="str">
        <f>IFERROR(VLOOKUP(C63,Customers!$A$2:$F$301,5,FALSE()),"")</f>
        <v>Retail</v>
      </c>
      <c r="P63">
        <f>IFERROR(VLOOKUP(C63,Customers!$A$2:$F$301,3,FALSE()),"")</f>
        <v>44</v>
      </c>
      <c r="Q63">
        <f t="shared" si="0"/>
        <v>0.46158940397350995</v>
      </c>
      <c r="R63">
        <f>IF(AND(COUNTIF($A$2:$A$2027,A63)&gt;1,COUNTIF($A$2:A63,A63)=1),1,0)</f>
        <v>0</v>
      </c>
      <c r="S63" t="b">
        <f>IFERROR(VLOOKUP(D63,Products!$A$2:$F$61,6,FALSE()),"")</f>
        <v>1</v>
      </c>
      <c r="T63" t="str">
        <f>IF(COUNTIF(Customers!$A$2:$A$301,C63)=0,"Missing","OK")</f>
        <v>OK</v>
      </c>
      <c r="U63" t="str">
        <f t="shared" si="1"/>
        <v>Pune</v>
      </c>
      <c r="V63">
        <f t="shared" si="2"/>
        <v>0</v>
      </c>
    </row>
    <row r="64" spans="1:22" ht="15" customHeight="1" x14ac:dyDescent="0.35">
      <c r="A64" s="3" t="s">
        <v>216</v>
      </c>
      <c r="B64" s="4">
        <v>45465</v>
      </c>
      <c r="C64" s="3" t="s">
        <v>217</v>
      </c>
      <c r="D64" s="3" t="s">
        <v>218</v>
      </c>
      <c r="E64" s="3" t="s">
        <v>177</v>
      </c>
      <c r="F64" s="5">
        <v>7</v>
      </c>
      <c r="G64" s="5">
        <v>2660</v>
      </c>
      <c r="H64" s="5">
        <v>5.3</v>
      </c>
      <c r="I64" s="5">
        <v>17633.14</v>
      </c>
      <c r="J64" s="3" t="s">
        <v>26</v>
      </c>
      <c r="K64" s="3" t="s">
        <v>72</v>
      </c>
      <c r="L64" t="str">
        <f>IFERROR(VLOOKUP(D64,Products!$A$2:$F$61,3,FALSE()),"")</f>
        <v>Electronics</v>
      </c>
      <c r="M64" t="str">
        <f>IFERROR(VLOOKUP(E64,Sales_Reps!$A$2:$C$31,3,FALSE()),"")</f>
        <v>East</v>
      </c>
      <c r="N64">
        <f>IFERROR(VLOOKUP(D64,Products!$A$2:$F$61,4,FALSE()),"")</f>
        <v>1259</v>
      </c>
      <c r="O64" t="str">
        <f>IFERROR(VLOOKUP(C64,Customers!$A$2:$F$301,5,FALSE()),"")</f>
        <v>Corporate</v>
      </c>
      <c r="P64">
        <f>IFERROR(VLOOKUP(C64,Customers!$A$2:$F$301,3,FALSE()),"")</f>
        <v>29</v>
      </c>
      <c r="Q64">
        <f t="shared" si="0"/>
        <v>0.52669172932330832</v>
      </c>
      <c r="R64">
        <f>IF(AND(COUNTIF($A$2:$A$2027,A64)&gt;1,COUNTIF($A$2:A64,A64)=1),1,0)</f>
        <v>0</v>
      </c>
      <c r="S64" t="b">
        <f>IFERROR(VLOOKUP(D64,Products!$A$2:$F$61,6,FALSE()),"")</f>
        <v>0</v>
      </c>
      <c r="T64" t="str">
        <f>IF(COUNTIF(Customers!$A$2:$A$301,C64)=0,"Missing","OK")</f>
        <v>OK</v>
      </c>
      <c r="U64" t="str">
        <f t="shared" si="1"/>
        <v>Hyderabad</v>
      </c>
      <c r="V64">
        <f t="shared" si="2"/>
        <v>0</v>
      </c>
    </row>
    <row r="65" spans="1:22" ht="15" customHeight="1" x14ac:dyDescent="0.35">
      <c r="A65" s="3" t="s">
        <v>219</v>
      </c>
      <c r="B65" s="4">
        <v>45599</v>
      </c>
      <c r="C65" s="3" t="s">
        <v>220</v>
      </c>
      <c r="D65" s="3" t="s">
        <v>221</v>
      </c>
      <c r="E65" s="3" t="s">
        <v>87</v>
      </c>
      <c r="F65" s="5">
        <v>9</v>
      </c>
      <c r="G65" s="5">
        <v>300</v>
      </c>
      <c r="H65" s="5">
        <v>25.3</v>
      </c>
      <c r="I65" s="5">
        <v>2016.9</v>
      </c>
      <c r="J65" s="3" t="s">
        <v>26</v>
      </c>
      <c r="K65" s="3" t="s">
        <v>27</v>
      </c>
      <c r="L65" t="str">
        <f>IFERROR(VLOOKUP(D65,Products!$A$2:$F$61,3,FALSE()),"")</f>
        <v>Electronics</v>
      </c>
      <c r="M65" t="str">
        <f>IFERROR(VLOOKUP(E65,Sales_Reps!$A$2:$C$31,3,FALSE()),"")</f>
        <v>North</v>
      </c>
      <c r="N65">
        <f>IFERROR(VLOOKUP(D65,Products!$A$2:$F$61,4,FALSE()),"")</f>
        <v>128</v>
      </c>
      <c r="O65" t="str">
        <f>IFERROR(VLOOKUP(C65,Customers!$A$2:$F$301,5,FALSE()),"")</f>
        <v>Retail</v>
      </c>
      <c r="P65">
        <f>IFERROR(VLOOKUP(C65,Customers!$A$2:$F$301,3,FALSE()),"")</f>
        <v>25</v>
      </c>
      <c r="Q65">
        <f t="shared" si="0"/>
        <v>0.57333333333333336</v>
      </c>
      <c r="R65">
        <f>IF(AND(COUNTIF($A$2:$A$2027,A65)&gt;1,COUNTIF($A$2:A65,A65)=1),1,0)</f>
        <v>0</v>
      </c>
      <c r="S65" t="b">
        <f>IFERROR(VLOOKUP(D65,Products!$A$2:$F$61,6,FALSE()),"")</f>
        <v>1</v>
      </c>
      <c r="T65" t="str">
        <f>IF(COUNTIF(Customers!$A$2:$A$301,C65)=0,"Missing","OK")</f>
        <v>OK</v>
      </c>
      <c r="U65" t="str">
        <f t="shared" si="1"/>
        <v>Pune</v>
      </c>
      <c r="V65">
        <f t="shared" si="2"/>
        <v>0</v>
      </c>
    </row>
    <row r="66" spans="1:22" ht="15" customHeight="1" x14ac:dyDescent="0.35">
      <c r="A66" s="3" t="s">
        <v>222</v>
      </c>
      <c r="B66" s="4">
        <v>45317</v>
      </c>
      <c r="C66" s="3" t="s">
        <v>223</v>
      </c>
      <c r="D66" s="3" t="s">
        <v>74</v>
      </c>
      <c r="E66" s="3" t="s">
        <v>224</v>
      </c>
      <c r="F66" s="5">
        <v>10</v>
      </c>
      <c r="G66" s="5">
        <v>2640</v>
      </c>
      <c r="H66" s="5">
        <v>18.7</v>
      </c>
      <c r="I66" s="5">
        <v>21463.200000000001</v>
      </c>
      <c r="J66" s="3" t="s">
        <v>79</v>
      </c>
      <c r="K66" s="3" t="s">
        <v>33</v>
      </c>
      <c r="L66" t="str">
        <f>IFERROR(VLOOKUP(D66,Products!$A$2:$F$61,3,FALSE()),"")</f>
        <v>Electronics</v>
      </c>
      <c r="M66" t="str">
        <f>IFERROR(VLOOKUP(E66,Sales_Reps!$A$2:$C$31,3,FALSE()),"")</f>
        <v>East</v>
      </c>
      <c r="N66">
        <f>IFERROR(VLOOKUP(D66,Products!$A$2:$F$61,4,FALSE()),"")</f>
        <v>1149</v>
      </c>
      <c r="O66" t="str">
        <f>IFERROR(VLOOKUP(C66,Customers!$A$2:$F$301,5,FALSE()),"")</f>
        <v>Retail</v>
      </c>
      <c r="P66">
        <f>IFERROR(VLOOKUP(C66,Customers!$A$2:$F$301,3,FALSE()),"")</f>
        <v>28</v>
      </c>
      <c r="Q66">
        <f t="shared" ref="Q66:Q129" si="3">IFERROR((G66-N66)/G66,"")</f>
        <v>0.56477272727272732</v>
      </c>
      <c r="R66">
        <f>IF(AND(COUNTIF($A$2:$A$2027,A66)&gt;1,COUNTIF($A$2:A66,A66)=1),1,0)</f>
        <v>0</v>
      </c>
      <c r="S66" t="b">
        <f>IFERROR(VLOOKUP(D66,Products!$A$2:$F$61,6,FALSE()),"")</f>
        <v>1</v>
      </c>
      <c r="T66" t="str">
        <f>IF(COUNTIF(Customers!$A$2:$A$301,C66)=0,"Missing","OK")</f>
        <v>OK</v>
      </c>
      <c r="U66" t="str">
        <f t="shared" ref="U66:U129" si="4">IF(K66="","",PROPER(TRIM(K66)))</f>
        <v>Chennai</v>
      </c>
      <c r="V66">
        <f t="shared" ref="V66:V129" si="5">IF(AND(U66="Bengaluru",L66="Grocery"),I66,0)</f>
        <v>0</v>
      </c>
    </row>
    <row r="67" spans="1:22" ht="15" customHeight="1" x14ac:dyDescent="0.35">
      <c r="A67" s="3" t="s">
        <v>225</v>
      </c>
      <c r="B67" s="4">
        <v>45462</v>
      </c>
      <c r="C67" s="3" t="s">
        <v>158</v>
      </c>
      <c r="D67" s="3" t="s">
        <v>30</v>
      </c>
      <c r="E67" s="3" t="s">
        <v>131</v>
      </c>
      <c r="F67" s="5">
        <v>8</v>
      </c>
      <c r="G67" s="5">
        <v>820</v>
      </c>
      <c r="H67" s="5">
        <v>24</v>
      </c>
      <c r="I67" s="5">
        <v>4985.6000000000004</v>
      </c>
      <c r="J67" s="3" t="s">
        <v>26</v>
      </c>
      <c r="K67" s="3" t="s">
        <v>38</v>
      </c>
      <c r="L67" t="str">
        <f>IFERROR(VLOOKUP(D67,Products!$A$2:$F$61,3,FALSE()),"")</f>
        <v>Apparel</v>
      </c>
      <c r="M67" t="str">
        <f>IFERROR(VLOOKUP(E67,Sales_Reps!$A$2:$C$31,3,FALSE()),"")</f>
        <v>East</v>
      </c>
      <c r="N67">
        <f>IFERROR(VLOOKUP(D67,Products!$A$2:$F$61,4,FALSE()),"")</f>
        <v>391</v>
      </c>
      <c r="O67" t="str">
        <f>IFERROR(VLOOKUP(C67,Customers!$A$2:$F$301,5,FALSE()),"")</f>
        <v>SMB</v>
      </c>
      <c r="P67">
        <f>IFERROR(VLOOKUP(C67,Customers!$A$2:$F$301,3,FALSE()),"")</f>
        <v>50</v>
      </c>
      <c r="Q67">
        <f t="shared" si="3"/>
        <v>0.52317073170731709</v>
      </c>
      <c r="R67">
        <f>IF(AND(COUNTIF($A$2:$A$2027,A67)&gt;1,COUNTIF($A$2:A67,A67)=1),1,0)</f>
        <v>0</v>
      </c>
      <c r="S67" t="b">
        <f>IFERROR(VLOOKUP(D67,Products!$A$2:$F$61,6,FALSE()),"")</f>
        <v>1</v>
      </c>
      <c r="T67" t="str">
        <f>IF(COUNTIF(Customers!$A$2:$A$301,C67)=0,"Missing","OK")</f>
        <v>OK</v>
      </c>
      <c r="U67" t="str">
        <f t="shared" si="4"/>
        <v>Delhi</v>
      </c>
      <c r="V67">
        <f t="shared" si="5"/>
        <v>0</v>
      </c>
    </row>
    <row r="68" spans="1:22" ht="15" customHeight="1" x14ac:dyDescent="0.35">
      <c r="A68" s="3" t="s">
        <v>226</v>
      </c>
      <c r="B68" s="4">
        <v>45499</v>
      </c>
      <c r="C68" s="3" t="s">
        <v>29</v>
      </c>
      <c r="D68" s="3" t="s">
        <v>139</v>
      </c>
      <c r="E68" s="3" t="s">
        <v>67</v>
      </c>
      <c r="F68" s="5">
        <v>1</v>
      </c>
      <c r="G68" s="5">
        <v>2760</v>
      </c>
      <c r="H68" s="5">
        <v>4.8</v>
      </c>
      <c r="I68" s="5">
        <v>2627.52</v>
      </c>
      <c r="J68" s="3" t="s">
        <v>26</v>
      </c>
      <c r="K68" s="3" t="s">
        <v>33</v>
      </c>
      <c r="L68" t="str">
        <f>IFERROR(VLOOKUP(D68,Products!$A$2:$F$61,3,FALSE()),"")</f>
        <v>Grocery</v>
      </c>
      <c r="M68" t="str">
        <f>IFERROR(VLOOKUP(E68,Sales_Reps!$A$2:$C$31,3,FALSE()),"")</f>
        <v>West</v>
      </c>
      <c r="N68">
        <f>IFERROR(VLOOKUP(D68,Products!$A$2:$F$61,4,FALSE()),"")</f>
        <v>1435</v>
      </c>
      <c r="O68" t="str">
        <f>IFERROR(VLOOKUP(C68,Customers!$A$2:$F$301,5,FALSE()),"")</f>
        <v>Retail</v>
      </c>
      <c r="P68">
        <f>IFERROR(VLOOKUP(C68,Customers!$A$2:$F$301,3,FALSE()),"")</f>
        <v>39</v>
      </c>
      <c r="Q68">
        <f t="shared" si="3"/>
        <v>0.48007246376811596</v>
      </c>
      <c r="R68">
        <f>IF(AND(COUNTIF($A$2:$A$2027,A68)&gt;1,COUNTIF($A$2:A68,A68)=1),1,0)</f>
        <v>0</v>
      </c>
      <c r="S68" t="b">
        <f>IFERROR(VLOOKUP(D68,Products!$A$2:$F$61,6,FALSE()),"")</f>
        <v>1</v>
      </c>
      <c r="T68" t="str">
        <f>IF(COUNTIF(Customers!$A$2:$A$301,C68)=0,"Missing","OK")</f>
        <v>OK</v>
      </c>
      <c r="U68" t="str">
        <f t="shared" si="4"/>
        <v>Chennai</v>
      </c>
      <c r="V68">
        <f t="shared" si="5"/>
        <v>0</v>
      </c>
    </row>
    <row r="69" spans="1:22" ht="15" customHeight="1" x14ac:dyDescent="0.35">
      <c r="A69" s="3" t="s">
        <v>227</v>
      </c>
      <c r="B69" s="4">
        <v>45328</v>
      </c>
      <c r="C69" s="3" t="s">
        <v>228</v>
      </c>
      <c r="D69" s="3" t="s">
        <v>24</v>
      </c>
      <c r="E69" s="3" t="s">
        <v>177</v>
      </c>
      <c r="F69" s="5">
        <v>2</v>
      </c>
      <c r="G69" s="5">
        <v>3620</v>
      </c>
      <c r="H69" s="5">
        <v>19.100000000000001</v>
      </c>
      <c r="I69" s="5">
        <v>5857.16</v>
      </c>
      <c r="J69" s="3" t="s">
        <v>26</v>
      </c>
      <c r="K69" s="3" t="s">
        <v>33</v>
      </c>
      <c r="L69" t="str">
        <f>IFERROR(VLOOKUP(D69,Products!$A$2:$F$61,3,FALSE()),"")</f>
        <v>Apparel</v>
      </c>
      <c r="M69" t="str">
        <f>IFERROR(VLOOKUP(E69,Sales_Reps!$A$2:$C$31,3,FALSE()),"")</f>
        <v>East</v>
      </c>
      <c r="N69">
        <f>IFERROR(VLOOKUP(D69,Products!$A$2:$F$61,4,FALSE()),"")</f>
        <v>2509</v>
      </c>
      <c r="O69" t="str">
        <f>IFERROR(VLOOKUP(C69,Customers!$A$2:$F$301,5,FALSE()),"")</f>
        <v>Retail</v>
      </c>
      <c r="P69">
        <f>IFERROR(VLOOKUP(C69,Customers!$A$2:$F$301,3,FALSE()),"")</f>
        <v>38</v>
      </c>
      <c r="Q69">
        <f t="shared" si="3"/>
        <v>0.3069060773480663</v>
      </c>
      <c r="R69">
        <f>IF(AND(COUNTIF($A$2:$A$2027,A69)&gt;1,COUNTIF($A$2:A69,A69)=1),1,0)</f>
        <v>0</v>
      </c>
      <c r="S69" t="b">
        <f>IFERROR(VLOOKUP(D69,Products!$A$2:$F$61,6,FALSE()),"")</f>
        <v>1</v>
      </c>
      <c r="T69" t="str">
        <f>IF(COUNTIF(Customers!$A$2:$A$301,C69)=0,"Missing","OK")</f>
        <v>OK</v>
      </c>
      <c r="U69" t="str">
        <f t="shared" si="4"/>
        <v>Chennai</v>
      </c>
      <c r="V69">
        <f t="shared" si="5"/>
        <v>0</v>
      </c>
    </row>
    <row r="70" spans="1:22" ht="15" customHeight="1" x14ac:dyDescent="0.35">
      <c r="A70" s="3" t="s">
        <v>229</v>
      </c>
      <c r="B70" s="4">
        <v>45459</v>
      </c>
      <c r="C70" s="3" t="s">
        <v>230</v>
      </c>
      <c r="D70" s="3" t="s">
        <v>231</v>
      </c>
      <c r="E70" s="3" t="s">
        <v>50</v>
      </c>
      <c r="F70" s="5">
        <v>1</v>
      </c>
      <c r="G70" s="5">
        <v>620</v>
      </c>
      <c r="H70" s="5">
        <v>1</v>
      </c>
      <c r="I70" s="5">
        <v>613.79999999999995</v>
      </c>
      <c r="J70" s="3" t="s">
        <v>26</v>
      </c>
      <c r="K70" s="3" t="s">
        <v>38</v>
      </c>
      <c r="L70" t="str">
        <f>IFERROR(VLOOKUP(D70,Products!$A$2:$F$61,3,FALSE()),"")</f>
        <v>Apparel</v>
      </c>
      <c r="M70" t="str">
        <f>IFERROR(VLOOKUP(E70,Sales_Reps!$A$2:$C$31,3,FALSE()),"")</f>
        <v>West</v>
      </c>
      <c r="N70">
        <f>IFERROR(VLOOKUP(D70,Products!$A$2:$F$61,4,FALSE()),"")</f>
        <v>396</v>
      </c>
      <c r="O70" t="str">
        <f>IFERROR(VLOOKUP(C70,Customers!$A$2:$F$301,5,FALSE()),"")</f>
        <v>Retail</v>
      </c>
      <c r="P70">
        <f>IFERROR(VLOOKUP(C70,Customers!$A$2:$F$301,3,FALSE()),"")</f>
        <v>35</v>
      </c>
      <c r="Q70">
        <f t="shared" si="3"/>
        <v>0.36129032258064514</v>
      </c>
      <c r="R70">
        <f>IF(AND(COUNTIF($A$2:$A$2027,A70)&gt;1,COUNTIF($A$2:A70,A70)=1),1,0)</f>
        <v>0</v>
      </c>
      <c r="S70" t="b">
        <f>IFERROR(VLOOKUP(D70,Products!$A$2:$F$61,6,FALSE()),"")</f>
        <v>1</v>
      </c>
      <c r="T70" t="str">
        <f>IF(COUNTIF(Customers!$A$2:$A$301,C70)=0,"Missing","OK")</f>
        <v>OK</v>
      </c>
      <c r="U70" t="str">
        <f t="shared" si="4"/>
        <v>Delhi</v>
      </c>
      <c r="V70">
        <f t="shared" si="5"/>
        <v>0</v>
      </c>
    </row>
    <row r="71" spans="1:22" ht="15" customHeight="1" x14ac:dyDescent="0.35">
      <c r="A71" s="3" t="s">
        <v>232</v>
      </c>
      <c r="B71" s="4">
        <v>45398</v>
      </c>
      <c r="C71" s="3" t="s">
        <v>233</v>
      </c>
      <c r="D71" s="3" t="s">
        <v>234</v>
      </c>
      <c r="E71" s="3" t="s">
        <v>109</v>
      </c>
      <c r="F71" s="5">
        <v>1</v>
      </c>
      <c r="G71" s="5">
        <v>2030</v>
      </c>
      <c r="H71" s="5">
        <v>3.3</v>
      </c>
      <c r="I71" s="5">
        <v>1963.01</v>
      </c>
      <c r="J71" s="3" t="s">
        <v>26</v>
      </c>
      <c r="K71" s="3" t="s">
        <v>72</v>
      </c>
      <c r="L71" t="str">
        <f>IFERROR(VLOOKUP(D71,Products!$A$2:$F$61,3,FALSE()),"")</f>
        <v>Home</v>
      </c>
      <c r="M71" t="str">
        <f>IFERROR(VLOOKUP(E71,Sales_Reps!$A$2:$C$31,3,FALSE()),"")</f>
        <v>West</v>
      </c>
      <c r="N71">
        <f>IFERROR(VLOOKUP(D71,Products!$A$2:$F$61,4,FALSE()),"")</f>
        <v>1143</v>
      </c>
      <c r="O71" t="str">
        <f>IFERROR(VLOOKUP(C71,Customers!$A$2:$F$301,5,FALSE()),"")</f>
        <v>SMB</v>
      </c>
      <c r="P71">
        <f>IFERROR(VLOOKUP(C71,Customers!$A$2:$F$301,3,FALSE()),"")</f>
        <v>43</v>
      </c>
      <c r="Q71">
        <f t="shared" si="3"/>
        <v>0.43694581280788175</v>
      </c>
      <c r="R71">
        <f>IF(AND(COUNTIF($A$2:$A$2027,A71)&gt;1,COUNTIF($A$2:A71,A71)=1),1,0)</f>
        <v>0</v>
      </c>
      <c r="S71" t="b">
        <f>IFERROR(VLOOKUP(D71,Products!$A$2:$F$61,6,FALSE()),"")</f>
        <v>1</v>
      </c>
      <c r="T71" t="str">
        <f>IF(COUNTIF(Customers!$A$2:$A$301,C71)=0,"Missing","OK")</f>
        <v>OK</v>
      </c>
      <c r="U71" t="str">
        <f t="shared" si="4"/>
        <v>Hyderabad</v>
      </c>
      <c r="V71">
        <f t="shared" si="5"/>
        <v>0</v>
      </c>
    </row>
    <row r="72" spans="1:22" ht="15" customHeight="1" x14ac:dyDescent="0.35">
      <c r="A72" s="3" t="s">
        <v>235</v>
      </c>
      <c r="B72" s="4">
        <v>45470</v>
      </c>
      <c r="C72" s="3" t="s">
        <v>44</v>
      </c>
      <c r="D72" s="3" t="s">
        <v>45</v>
      </c>
      <c r="E72" s="3" t="s">
        <v>236</v>
      </c>
      <c r="F72" s="5">
        <v>10</v>
      </c>
      <c r="G72" s="5">
        <v>3160</v>
      </c>
      <c r="H72" s="5">
        <v>15.8</v>
      </c>
      <c r="I72" s="5">
        <v>26607.200000000001</v>
      </c>
      <c r="J72" s="3" t="s">
        <v>26</v>
      </c>
      <c r="K72" s="3" t="s">
        <v>33</v>
      </c>
      <c r="L72" t="str">
        <f>IFERROR(VLOOKUP(D72,Products!$A$2:$F$61,3,FALSE()),"")</f>
        <v>Apparel</v>
      </c>
      <c r="M72" t="str">
        <f>IFERROR(VLOOKUP(E72,Sales_Reps!$A$2:$C$31,3,FALSE()),"")</f>
        <v>North</v>
      </c>
      <c r="N72">
        <f>IFERROR(VLOOKUP(D72,Products!$A$2:$F$61,4,FALSE()),"")</f>
        <v>1886</v>
      </c>
      <c r="O72" t="str">
        <f>IFERROR(VLOOKUP(C72,Customers!$A$2:$F$301,5,FALSE()),"")</f>
        <v>Retail</v>
      </c>
      <c r="P72">
        <f>IFERROR(VLOOKUP(C72,Customers!$A$2:$F$301,3,FALSE()),"")</f>
        <v>36</v>
      </c>
      <c r="Q72">
        <f t="shared" si="3"/>
        <v>0.4031645569620253</v>
      </c>
      <c r="R72">
        <f>IF(AND(COUNTIF($A$2:$A$2027,A72)&gt;1,COUNTIF($A$2:A72,A72)=1),1,0)</f>
        <v>0</v>
      </c>
      <c r="S72" t="b">
        <f>IFERROR(VLOOKUP(D72,Products!$A$2:$F$61,6,FALSE()),"")</f>
        <v>1</v>
      </c>
      <c r="T72" t="str">
        <f>IF(COUNTIF(Customers!$A$2:$A$301,C72)=0,"Missing","OK")</f>
        <v>OK</v>
      </c>
      <c r="U72" t="str">
        <f t="shared" si="4"/>
        <v>Chennai</v>
      </c>
      <c r="V72">
        <f t="shared" si="5"/>
        <v>0</v>
      </c>
    </row>
    <row r="73" spans="1:22" ht="15" customHeight="1" x14ac:dyDescent="0.35">
      <c r="A73" s="3" t="s">
        <v>237</v>
      </c>
      <c r="B73" s="4">
        <v>45346</v>
      </c>
      <c r="C73" s="3" t="s">
        <v>238</v>
      </c>
      <c r="D73" s="3" t="s">
        <v>66</v>
      </c>
      <c r="E73" s="3" t="s">
        <v>154</v>
      </c>
      <c r="F73" s="5">
        <v>5</v>
      </c>
      <c r="G73" s="5">
        <v>970</v>
      </c>
      <c r="H73" s="5">
        <v>12.2</v>
      </c>
      <c r="I73" s="5">
        <v>4258.3</v>
      </c>
      <c r="J73" s="3" t="s">
        <v>26</v>
      </c>
      <c r="K73" s="3" t="s">
        <v>72</v>
      </c>
      <c r="L73" t="str">
        <f>IFERROR(VLOOKUP(D73,Products!$A$2:$F$61,3,FALSE()),"")</f>
        <v>Grocery</v>
      </c>
      <c r="M73" t="str">
        <f>IFERROR(VLOOKUP(E73,Sales_Reps!$A$2:$C$31,3,FALSE()),"")</f>
        <v>North</v>
      </c>
      <c r="N73">
        <f>IFERROR(VLOOKUP(D73,Products!$A$2:$F$61,4,FALSE()),"")</f>
        <v>434</v>
      </c>
      <c r="O73" t="str">
        <f>IFERROR(VLOOKUP(C73,Customers!$A$2:$F$301,5,FALSE()),"")</f>
        <v>Retail</v>
      </c>
      <c r="P73">
        <f>IFERROR(VLOOKUP(C73,Customers!$A$2:$F$301,3,FALSE()),"")</f>
        <v>29</v>
      </c>
      <c r="Q73">
        <f t="shared" si="3"/>
        <v>0.5525773195876289</v>
      </c>
      <c r="R73">
        <f>IF(AND(COUNTIF($A$2:$A$2027,A73)&gt;1,COUNTIF($A$2:A73,A73)=1),1,0)</f>
        <v>0</v>
      </c>
      <c r="S73" t="b">
        <f>IFERROR(VLOOKUP(D73,Products!$A$2:$F$61,6,FALSE()),"")</f>
        <v>1</v>
      </c>
      <c r="T73" t="str">
        <f>IF(COUNTIF(Customers!$A$2:$A$301,C73)=0,"Missing","OK")</f>
        <v>OK</v>
      </c>
      <c r="U73" t="str">
        <f t="shared" si="4"/>
        <v>Hyderabad</v>
      </c>
      <c r="V73">
        <f t="shared" si="5"/>
        <v>0</v>
      </c>
    </row>
    <row r="74" spans="1:22" ht="15" customHeight="1" x14ac:dyDescent="0.35">
      <c r="A74" s="3" t="s">
        <v>239</v>
      </c>
      <c r="B74" s="4">
        <v>45483</v>
      </c>
      <c r="C74" s="3" t="s">
        <v>240</v>
      </c>
      <c r="D74" s="3" t="s">
        <v>118</v>
      </c>
      <c r="E74" s="3" t="s">
        <v>87</v>
      </c>
      <c r="F74" s="5">
        <v>9</v>
      </c>
      <c r="G74" s="5">
        <v>3350</v>
      </c>
      <c r="H74" s="5">
        <v>25.8</v>
      </c>
      <c r="I74" s="5">
        <v>22371.3</v>
      </c>
      <c r="J74" s="3" t="s">
        <v>32</v>
      </c>
      <c r="K74" s="3" t="s">
        <v>33</v>
      </c>
      <c r="L74" t="str">
        <f>IFERROR(VLOOKUP(D74,Products!$A$2:$F$61,3,FALSE()),"")</f>
        <v>Beauty</v>
      </c>
      <c r="M74" t="str">
        <f>IFERROR(VLOOKUP(E74,Sales_Reps!$A$2:$C$31,3,FALSE()),"")</f>
        <v>North</v>
      </c>
      <c r="N74">
        <f>IFERROR(VLOOKUP(D74,Products!$A$2:$F$61,4,FALSE()),"")</f>
        <v>1728</v>
      </c>
      <c r="O74" t="str">
        <f>IFERROR(VLOOKUP(C74,Customers!$A$2:$F$301,5,FALSE()),"")</f>
        <v>Retail</v>
      </c>
      <c r="P74">
        <f>IFERROR(VLOOKUP(C74,Customers!$A$2:$F$301,3,FALSE()),"")</f>
        <v>41</v>
      </c>
      <c r="Q74">
        <f t="shared" si="3"/>
        <v>0.48417910447761192</v>
      </c>
      <c r="R74">
        <f>IF(AND(COUNTIF($A$2:$A$2027,A74)&gt;1,COUNTIF($A$2:A74,A74)=1),1,0)</f>
        <v>0</v>
      </c>
      <c r="S74" t="b">
        <f>IFERROR(VLOOKUP(D74,Products!$A$2:$F$61,6,FALSE()),"")</f>
        <v>1</v>
      </c>
      <c r="T74" t="str">
        <f>IF(COUNTIF(Customers!$A$2:$A$301,C74)=0,"Missing","OK")</f>
        <v>OK</v>
      </c>
      <c r="U74" t="str">
        <f t="shared" si="4"/>
        <v>Chennai</v>
      </c>
      <c r="V74">
        <f t="shared" si="5"/>
        <v>0</v>
      </c>
    </row>
    <row r="75" spans="1:22" ht="15" customHeight="1" x14ac:dyDescent="0.35">
      <c r="A75" s="3" t="s">
        <v>241</v>
      </c>
      <c r="B75" s="4">
        <v>45585</v>
      </c>
      <c r="C75" s="3" t="s">
        <v>197</v>
      </c>
      <c r="D75" s="3" t="s">
        <v>49</v>
      </c>
      <c r="E75" s="3" t="s">
        <v>242</v>
      </c>
      <c r="F75" s="5">
        <v>1</v>
      </c>
      <c r="G75" s="5">
        <v>370</v>
      </c>
      <c r="H75" s="5">
        <v>28.9</v>
      </c>
      <c r="I75" s="5">
        <v>263.07</v>
      </c>
      <c r="J75" s="3" t="s">
        <v>26</v>
      </c>
      <c r="K75" s="3" t="s">
        <v>38</v>
      </c>
      <c r="L75" t="str">
        <f>IFERROR(VLOOKUP(D75,Products!$A$2:$F$61,3,FALSE()),"")</f>
        <v>Home</v>
      </c>
      <c r="M75" t="str">
        <f>IFERROR(VLOOKUP(E75,Sales_Reps!$A$2:$C$31,3,FALSE()),"")</f>
        <v>East</v>
      </c>
      <c r="N75">
        <f>IFERROR(VLOOKUP(D75,Products!$A$2:$F$61,4,FALSE()),"")</f>
        <v>288</v>
      </c>
      <c r="O75" t="str">
        <f>IFERROR(VLOOKUP(C75,Customers!$A$2:$F$301,5,FALSE()),"")</f>
        <v>SMB</v>
      </c>
      <c r="P75">
        <f>IFERROR(VLOOKUP(C75,Customers!$A$2:$F$301,3,FALSE()),"")</f>
        <v>55</v>
      </c>
      <c r="Q75">
        <f t="shared" si="3"/>
        <v>0.22162162162162163</v>
      </c>
      <c r="R75">
        <f>IF(AND(COUNTIF($A$2:$A$2027,A75)&gt;1,COUNTIF($A$2:A75,A75)=1),1,0)</f>
        <v>0</v>
      </c>
      <c r="S75" t="b">
        <f>IFERROR(VLOOKUP(D75,Products!$A$2:$F$61,6,FALSE()),"")</f>
        <v>1</v>
      </c>
      <c r="T75" t="str">
        <f>IF(COUNTIF(Customers!$A$2:$A$301,C75)=0,"Missing","OK")</f>
        <v>OK</v>
      </c>
      <c r="U75" t="str">
        <f t="shared" si="4"/>
        <v>Delhi</v>
      </c>
      <c r="V75">
        <f t="shared" si="5"/>
        <v>0</v>
      </c>
    </row>
    <row r="76" spans="1:22" ht="15" customHeight="1" x14ac:dyDescent="0.35">
      <c r="A76" s="3" t="s">
        <v>243</v>
      </c>
      <c r="B76" s="4">
        <v>45500</v>
      </c>
      <c r="C76" s="3" t="s">
        <v>244</v>
      </c>
      <c r="D76" s="3" t="s">
        <v>66</v>
      </c>
      <c r="E76" s="3" t="s">
        <v>71</v>
      </c>
      <c r="F76" s="5">
        <v>3</v>
      </c>
      <c r="G76" s="5">
        <v>970</v>
      </c>
      <c r="H76" s="5">
        <v>4.3</v>
      </c>
      <c r="I76" s="5">
        <v>2784.87</v>
      </c>
      <c r="J76" s="3" t="s">
        <v>79</v>
      </c>
      <c r="K76" s="3" t="s">
        <v>72</v>
      </c>
      <c r="L76" t="str">
        <f>IFERROR(VLOOKUP(D76,Products!$A$2:$F$61,3,FALSE()),"")</f>
        <v>Grocery</v>
      </c>
      <c r="M76" t="str">
        <f>IFERROR(VLOOKUP(E76,Sales_Reps!$A$2:$C$31,3,FALSE()),"")</f>
        <v>South</v>
      </c>
      <c r="N76">
        <f>IFERROR(VLOOKUP(D76,Products!$A$2:$F$61,4,FALSE()),"")</f>
        <v>434</v>
      </c>
      <c r="O76" t="str">
        <f>IFERROR(VLOOKUP(C76,Customers!$A$2:$F$301,5,FALSE()),"")</f>
        <v>Corporate</v>
      </c>
      <c r="P76">
        <f>IFERROR(VLOOKUP(C76,Customers!$A$2:$F$301,3,FALSE()),"")</f>
        <v>46</v>
      </c>
      <c r="Q76">
        <f t="shared" si="3"/>
        <v>0.5525773195876289</v>
      </c>
      <c r="R76">
        <f>IF(AND(COUNTIF($A$2:$A$2027,A76)&gt;1,COUNTIF($A$2:A76,A76)=1),1,0)</f>
        <v>0</v>
      </c>
      <c r="S76" t="b">
        <f>IFERROR(VLOOKUP(D76,Products!$A$2:$F$61,6,FALSE()),"")</f>
        <v>1</v>
      </c>
      <c r="T76" t="str">
        <f>IF(COUNTIF(Customers!$A$2:$A$301,C76)=0,"Missing","OK")</f>
        <v>OK</v>
      </c>
      <c r="U76" t="str">
        <f t="shared" si="4"/>
        <v>Hyderabad</v>
      </c>
      <c r="V76">
        <f t="shared" si="5"/>
        <v>0</v>
      </c>
    </row>
    <row r="77" spans="1:22" ht="15" customHeight="1" x14ac:dyDescent="0.35">
      <c r="A77" s="3" t="s">
        <v>245</v>
      </c>
      <c r="B77" s="4">
        <v>45375</v>
      </c>
      <c r="C77" s="3" t="s">
        <v>81</v>
      </c>
      <c r="D77" s="3" t="s">
        <v>139</v>
      </c>
      <c r="E77" s="3" t="s">
        <v>224</v>
      </c>
      <c r="F77" s="5">
        <v>6</v>
      </c>
      <c r="G77" s="5">
        <v>2760</v>
      </c>
      <c r="H77" s="5">
        <v>19.899999999999999</v>
      </c>
      <c r="I77" s="5">
        <v>13264.56</v>
      </c>
      <c r="J77" s="3" t="s">
        <v>32</v>
      </c>
      <c r="K77" s="3" t="s">
        <v>27</v>
      </c>
      <c r="L77" t="str">
        <f>IFERROR(VLOOKUP(D77,Products!$A$2:$F$61,3,FALSE()),"")</f>
        <v>Grocery</v>
      </c>
      <c r="M77" t="str">
        <f>IFERROR(VLOOKUP(E77,Sales_Reps!$A$2:$C$31,3,FALSE()),"")</f>
        <v>East</v>
      </c>
      <c r="N77">
        <f>IFERROR(VLOOKUP(D77,Products!$A$2:$F$61,4,FALSE()),"")</f>
        <v>1435</v>
      </c>
      <c r="O77" t="str">
        <f>IFERROR(VLOOKUP(C77,Customers!$A$2:$F$301,5,FALSE()),"")</f>
        <v>SMB</v>
      </c>
      <c r="P77">
        <f>IFERROR(VLOOKUP(C77,Customers!$A$2:$F$301,3,FALSE()),"")</f>
        <v>39</v>
      </c>
      <c r="Q77">
        <f t="shared" si="3"/>
        <v>0.48007246376811596</v>
      </c>
      <c r="R77">
        <f>IF(AND(COUNTIF($A$2:$A$2027,A77)&gt;1,COUNTIF($A$2:A77,A77)=1),1,0)</f>
        <v>0</v>
      </c>
      <c r="S77" t="b">
        <f>IFERROR(VLOOKUP(D77,Products!$A$2:$F$61,6,FALSE()),"")</f>
        <v>1</v>
      </c>
      <c r="T77" t="str">
        <f>IF(COUNTIF(Customers!$A$2:$A$301,C77)=0,"Missing","OK")</f>
        <v>OK</v>
      </c>
      <c r="U77" t="str">
        <f t="shared" si="4"/>
        <v>Pune</v>
      </c>
      <c r="V77">
        <f t="shared" si="5"/>
        <v>0</v>
      </c>
    </row>
    <row r="78" spans="1:22" ht="15" customHeight="1" x14ac:dyDescent="0.35">
      <c r="A78" s="3" t="s">
        <v>246</v>
      </c>
      <c r="B78" s="4">
        <v>45443</v>
      </c>
      <c r="C78" s="3" t="s">
        <v>247</v>
      </c>
      <c r="D78" s="3" t="s">
        <v>139</v>
      </c>
      <c r="E78" s="3" t="s">
        <v>60</v>
      </c>
      <c r="F78" s="5">
        <v>7</v>
      </c>
      <c r="G78" s="5">
        <v>2760</v>
      </c>
      <c r="H78" s="5">
        <v>25.2</v>
      </c>
      <c r="I78" s="5">
        <v>14451.36</v>
      </c>
      <c r="J78" s="3" t="s">
        <v>26</v>
      </c>
      <c r="K78" s="3" t="s">
        <v>27</v>
      </c>
      <c r="L78" t="str">
        <f>IFERROR(VLOOKUP(D78,Products!$A$2:$F$61,3,FALSE()),"")</f>
        <v>Grocery</v>
      </c>
      <c r="M78" t="str">
        <f>IFERROR(VLOOKUP(E78,Sales_Reps!$A$2:$C$31,3,FALSE()),"")</f>
        <v>East</v>
      </c>
      <c r="N78">
        <f>IFERROR(VLOOKUP(D78,Products!$A$2:$F$61,4,FALSE()),"")</f>
        <v>1435</v>
      </c>
      <c r="O78" t="str">
        <f>IFERROR(VLOOKUP(C78,Customers!$A$2:$F$301,5,FALSE()),"")</f>
        <v>SMB</v>
      </c>
      <c r="P78">
        <f>IFERROR(VLOOKUP(C78,Customers!$A$2:$F$301,3,FALSE()),"")</f>
        <v>54</v>
      </c>
      <c r="Q78">
        <f t="shared" si="3"/>
        <v>0.48007246376811596</v>
      </c>
      <c r="R78">
        <f>IF(AND(COUNTIF($A$2:$A$2027,A78)&gt;1,COUNTIF($A$2:A78,A78)=1),1,0)</f>
        <v>0</v>
      </c>
      <c r="S78" t="b">
        <f>IFERROR(VLOOKUP(D78,Products!$A$2:$F$61,6,FALSE()),"")</f>
        <v>1</v>
      </c>
      <c r="T78" t="str">
        <f>IF(COUNTIF(Customers!$A$2:$A$301,C78)=0,"Missing","OK")</f>
        <v>OK</v>
      </c>
      <c r="U78" t="str">
        <f t="shared" si="4"/>
        <v>Pune</v>
      </c>
      <c r="V78">
        <f t="shared" si="5"/>
        <v>0</v>
      </c>
    </row>
    <row r="79" spans="1:22" ht="15" customHeight="1" x14ac:dyDescent="0.35">
      <c r="A79" s="3" t="s">
        <v>248</v>
      </c>
      <c r="B79" s="4">
        <v>45390</v>
      </c>
      <c r="C79" s="3" t="s">
        <v>249</v>
      </c>
      <c r="D79" s="3" t="s">
        <v>206</v>
      </c>
      <c r="E79" s="3" t="s">
        <v>224</v>
      </c>
      <c r="F79" s="5">
        <v>4</v>
      </c>
      <c r="G79" s="5">
        <v>1220</v>
      </c>
      <c r="H79" s="5">
        <v>8.4</v>
      </c>
      <c r="I79" s="5">
        <v>4470.08</v>
      </c>
      <c r="J79" s="3" t="s">
        <v>26</v>
      </c>
      <c r="K79" s="3" t="s">
        <v>56</v>
      </c>
      <c r="L79" t="str">
        <f>IFERROR(VLOOKUP(D79,Products!$A$2:$F$61,3,FALSE()),"")</f>
        <v>Electronics</v>
      </c>
      <c r="M79" t="str">
        <f>IFERROR(VLOOKUP(E79,Sales_Reps!$A$2:$C$31,3,FALSE()),"")</f>
        <v>East</v>
      </c>
      <c r="N79">
        <f>IFERROR(VLOOKUP(D79,Products!$A$2:$F$61,4,FALSE()),"")</f>
        <v>517</v>
      </c>
      <c r="O79" t="str">
        <f>IFERROR(VLOOKUP(C79,Customers!$A$2:$F$301,5,FALSE()),"")</f>
        <v>Retail</v>
      </c>
      <c r="P79">
        <f>IFERROR(VLOOKUP(C79,Customers!$A$2:$F$301,3,FALSE()),"")</f>
        <v>42</v>
      </c>
      <c r="Q79">
        <f t="shared" si="3"/>
        <v>0.57622950819672136</v>
      </c>
      <c r="R79">
        <f>IF(AND(COUNTIF($A$2:$A$2027,A79)&gt;1,COUNTIF($A$2:A79,A79)=1),1,0)</f>
        <v>0</v>
      </c>
      <c r="S79" t="b">
        <f>IFERROR(VLOOKUP(D79,Products!$A$2:$F$61,6,FALSE()),"")</f>
        <v>1</v>
      </c>
      <c r="T79" t="str">
        <f>IF(COUNTIF(Customers!$A$2:$A$301,C79)=0,"Missing","OK")</f>
        <v>OK</v>
      </c>
      <c r="U79" t="str">
        <f t="shared" si="4"/>
        <v>Bengaluru</v>
      </c>
      <c r="V79">
        <f t="shared" si="5"/>
        <v>0</v>
      </c>
    </row>
    <row r="80" spans="1:22" ht="15" customHeight="1" x14ac:dyDescent="0.35">
      <c r="A80" s="3" t="s">
        <v>250</v>
      </c>
      <c r="B80" s="4">
        <v>45615</v>
      </c>
      <c r="C80" s="3" t="s">
        <v>251</v>
      </c>
      <c r="D80" s="3" t="s">
        <v>77</v>
      </c>
      <c r="E80" s="3" t="s">
        <v>67</v>
      </c>
      <c r="F80" s="5">
        <v>2</v>
      </c>
      <c r="G80" s="5">
        <v>2600</v>
      </c>
      <c r="H80" s="5">
        <v>1.9</v>
      </c>
      <c r="I80" s="5">
        <v>5101.2</v>
      </c>
      <c r="J80" s="3" t="s">
        <v>32</v>
      </c>
      <c r="K80" s="3" t="s">
        <v>72</v>
      </c>
      <c r="L80" t="str">
        <f>IFERROR(VLOOKUP(D80,Products!$A$2:$F$61,3,FALSE()),"")</f>
        <v>Electronics</v>
      </c>
      <c r="M80" t="str">
        <f>IFERROR(VLOOKUP(E80,Sales_Reps!$A$2:$C$31,3,FALSE()),"")</f>
        <v>West</v>
      </c>
      <c r="N80">
        <f>IFERROR(VLOOKUP(D80,Products!$A$2:$F$61,4,FALSE()),"")</f>
        <v>1052</v>
      </c>
      <c r="O80" t="str">
        <f>IFERROR(VLOOKUP(C80,Customers!$A$2:$F$301,5,FALSE()),"")</f>
        <v>Retail</v>
      </c>
      <c r="P80">
        <f>IFERROR(VLOOKUP(C80,Customers!$A$2:$F$301,3,FALSE()),"")</f>
        <v>46</v>
      </c>
      <c r="Q80">
        <f t="shared" si="3"/>
        <v>0.5953846153846154</v>
      </c>
      <c r="R80">
        <f>IF(AND(COUNTIF($A$2:$A$2027,A80)&gt;1,COUNTIF($A$2:A80,A80)=1),1,0)</f>
        <v>0</v>
      </c>
      <c r="S80" t="b">
        <f>IFERROR(VLOOKUP(D80,Products!$A$2:$F$61,6,FALSE()),"")</f>
        <v>1</v>
      </c>
      <c r="T80" t="str">
        <f>IF(COUNTIF(Customers!$A$2:$A$301,C80)=0,"Missing","OK")</f>
        <v>OK</v>
      </c>
      <c r="U80" t="str">
        <f t="shared" si="4"/>
        <v>Hyderabad</v>
      </c>
      <c r="V80">
        <f t="shared" si="5"/>
        <v>0</v>
      </c>
    </row>
    <row r="81" spans="1:22" ht="15" customHeight="1" x14ac:dyDescent="0.35">
      <c r="A81" s="3" t="s">
        <v>252</v>
      </c>
      <c r="B81" s="4">
        <v>45498</v>
      </c>
      <c r="C81" s="3" t="s">
        <v>253</v>
      </c>
      <c r="D81" s="3" t="s">
        <v>203</v>
      </c>
      <c r="E81" s="3" t="s">
        <v>109</v>
      </c>
      <c r="F81" s="5">
        <v>9</v>
      </c>
      <c r="G81" s="5">
        <v>4070</v>
      </c>
      <c r="H81" s="5">
        <v>28.8</v>
      </c>
      <c r="I81" s="5">
        <v>26080.560000000001</v>
      </c>
      <c r="J81" s="3" t="s">
        <v>26</v>
      </c>
      <c r="K81" s="3" t="s">
        <v>27</v>
      </c>
      <c r="L81" t="str">
        <f>IFERROR(VLOOKUP(D81,Products!$A$2:$F$61,3,FALSE()),"")</f>
        <v>Grocery</v>
      </c>
      <c r="M81" t="str">
        <f>IFERROR(VLOOKUP(E81,Sales_Reps!$A$2:$C$31,3,FALSE()),"")</f>
        <v>West</v>
      </c>
      <c r="N81">
        <f>IFERROR(VLOOKUP(D81,Products!$A$2:$F$61,4,FALSE()),"")</f>
        <v>2027</v>
      </c>
      <c r="O81" t="str">
        <f>IFERROR(VLOOKUP(C81,Customers!$A$2:$F$301,5,FALSE()),"")</f>
        <v>Corporate</v>
      </c>
      <c r="P81">
        <f>IFERROR(VLOOKUP(C81,Customers!$A$2:$F$301,3,FALSE()),"")</f>
        <v>33</v>
      </c>
      <c r="Q81">
        <f t="shared" si="3"/>
        <v>0.50196560196560192</v>
      </c>
      <c r="R81">
        <f>IF(AND(COUNTIF($A$2:$A$2027,A81)&gt;1,COUNTIF($A$2:A81,A81)=1),1,0)</f>
        <v>0</v>
      </c>
      <c r="S81" t="b">
        <f>IFERROR(VLOOKUP(D81,Products!$A$2:$F$61,6,FALSE()),"")</f>
        <v>1</v>
      </c>
      <c r="T81" t="str">
        <f>IF(COUNTIF(Customers!$A$2:$A$301,C81)=0,"Missing","OK")</f>
        <v>OK</v>
      </c>
      <c r="U81" t="str">
        <f t="shared" si="4"/>
        <v>Pune</v>
      </c>
      <c r="V81">
        <f t="shared" si="5"/>
        <v>0</v>
      </c>
    </row>
    <row r="82" spans="1:22" ht="15" customHeight="1" x14ac:dyDescent="0.35">
      <c r="A82" s="3" t="s">
        <v>254</v>
      </c>
      <c r="B82" s="4">
        <v>45515</v>
      </c>
      <c r="C82" s="3" t="s">
        <v>255</v>
      </c>
      <c r="D82" s="3" t="s">
        <v>70</v>
      </c>
      <c r="E82" s="3" t="s">
        <v>31</v>
      </c>
      <c r="F82" s="5">
        <v>2</v>
      </c>
      <c r="G82" s="5">
        <v>2270</v>
      </c>
      <c r="H82" s="5">
        <v>18</v>
      </c>
      <c r="I82" s="5">
        <v>3722.8</v>
      </c>
      <c r="J82" s="3" t="s">
        <v>83</v>
      </c>
      <c r="K82" s="3" t="s">
        <v>27</v>
      </c>
      <c r="L82" t="str">
        <f>IFERROR(VLOOKUP(D82,Products!$A$2:$F$61,3,FALSE()),"")</f>
        <v>Grocery</v>
      </c>
      <c r="M82" t="str">
        <f>IFERROR(VLOOKUP(E82,Sales_Reps!$A$2:$C$31,3,FALSE()),"")</f>
        <v>North</v>
      </c>
      <c r="N82">
        <f>IFERROR(VLOOKUP(D82,Products!$A$2:$F$61,4,FALSE()),"")</f>
        <v>1203</v>
      </c>
      <c r="O82" t="str">
        <f>IFERROR(VLOOKUP(C82,Customers!$A$2:$F$301,5,FALSE()),"")</f>
        <v>SMB</v>
      </c>
      <c r="P82">
        <f>IFERROR(VLOOKUP(C82,Customers!$A$2:$F$301,3,FALSE()),"")</f>
        <v>60</v>
      </c>
      <c r="Q82">
        <f t="shared" si="3"/>
        <v>0.47004405286343615</v>
      </c>
      <c r="R82">
        <f>IF(AND(COUNTIF($A$2:$A$2027,A82)&gt;1,COUNTIF($A$2:A82,A82)=1),1,0)</f>
        <v>0</v>
      </c>
      <c r="S82" t="b">
        <f>IFERROR(VLOOKUP(D82,Products!$A$2:$F$61,6,FALSE()),"")</f>
        <v>1</v>
      </c>
      <c r="T82" t="str">
        <f>IF(COUNTIF(Customers!$A$2:$A$301,C82)=0,"Missing","OK")</f>
        <v>OK</v>
      </c>
      <c r="U82" t="str">
        <f t="shared" si="4"/>
        <v>Pune</v>
      </c>
      <c r="V82">
        <f t="shared" si="5"/>
        <v>0</v>
      </c>
    </row>
    <row r="83" spans="1:22" ht="15" customHeight="1" x14ac:dyDescent="0.35">
      <c r="A83" s="3" t="s">
        <v>256</v>
      </c>
      <c r="B83" s="4">
        <v>45528</v>
      </c>
      <c r="C83" s="3" t="s">
        <v>257</v>
      </c>
      <c r="D83" s="3" t="s">
        <v>45</v>
      </c>
      <c r="E83" s="3" t="s">
        <v>177</v>
      </c>
      <c r="F83" s="5">
        <v>2</v>
      </c>
      <c r="G83" s="5">
        <v>3160</v>
      </c>
      <c r="H83" s="5">
        <v>18.3</v>
      </c>
      <c r="I83" s="5">
        <v>5163.4399999999996</v>
      </c>
      <c r="J83" s="3" t="s">
        <v>26</v>
      </c>
      <c r="K83" s="3" t="s">
        <v>33</v>
      </c>
      <c r="L83" t="str">
        <f>IFERROR(VLOOKUP(D83,Products!$A$2:$F$61,3,FALSE()),"")</f>
        <v>Apparel</v>
      </c>
      <c r="M83" t="str">
        <f>IFERROR(VLOOKUP(E83,Sales_Reps!$A$2:$C$31,3,FALSE()),"")</f>
        <v>East</v>
      </c>
      <c r="N83">
        <f>IFERROR(VLOOKUP(D83,Products!$A$2:$F$61,4,FALSE()),"")</f>
        <v>1886</v>
      </c>
      <c r="O83" t="str">
        <f>IFERROR(VLOOKUP(C83,Customers!$A$2:$F$301,5,FALSE()),"")</f>
        <v>SMB</v>
      </c>
      <c r="P83">
        <f>IFERROR(VLOOKUP(C83,Customers!$A$2:$F$301,3,FALSE()),"")</f>
        <v>57</v>
      </c>
      <c r="Q83">
        <f t="shared" si="3"/>
        <v>0.4031645569620253</v>
      </c>
      <c r="R83">
        <f>IF(AND(COUNTIF($A$2:$A$2027,A83)&gt;1,COUNTIF($A$2:A83,A83)=1),1,0)</f>
        <v>0</v>
      </c>
      <c r="S83" t="b">
        <f>IFERROR(VLOOKUP(D83,Products!$A$2:$F$61,6,FALSE()),"")</f>
        <v>1</v>
      </c>
      <c r="T83" t="str">
        <f>IF(COUNTIF(Customers!$A$2:$A$301,C83)=0,"Missing","OK")</f>
        <v>OK</v>
      </c>
      <c r="U83" t="str">
        <f t="shared" si="4"/>
        <v>Chennai</v>
      </c>
      <c r="V83">
        <f t="shared" si="5"/>
        <v>0</v>
      </c>
    </row>
    <row r="84" spans="1:22" ht="15" customHeight="1" x14ac:dyDescent="0.35">
      <c r="A84" s="3" t="s">
        <v>258</v>
      </c>
      <c r="B84" s="4">
        <v>45402</v>
      </c>
      <c r="C84" s="3" t="s">
        <v>259</v>
      </c>
      <c r="D84" s="3" t="s">
        <v>106</v>
      </c>
      <c r="E84" s="3" t="s">
        <v>25</v>
      </c>
      <c r="F84" s="5">
        <v>4</v>
      </c>
      <c r="G84" s="5">
        <v>2480</v>
      </c>
      <c r="H84" s="5">
        <v>1.1000000000000001</v>
      </c>
      <c r="I84" s="5">
        <v>9810.8799999999992</v>
      </c>
      <c r="J84" s="3" t="s">
        <v>32</v>
      </c>
      <c r="K84" s="3" t="s">
        <v>72</v>
      </c>
      <c r="L84" t="str">
        <f>IFERROR(VLOOKUP(D84,Products!$A$2:$F$61,3,FALSE()),"")</f>
        <v>Apparel</v>
      </c>
      <c r="M84" t="str">
        <f>IFERROR(VLOOKUP(E84,Sales_Reps!$A$2:$C$31,3,FALSE()),"")</f>
        <v>North</v>
      </c>
      <c r="N84">
        <f>IFERROR(VLOOKUP(D84,Products!$A$2:$F$61,4,FALSE()),"")</f>
        <v>1173</v>
      </c>
      <c r="O84" t="str">
        <f>IFERROR(VLOOKUP(C84,Customers!$A$2:$F$301,5,FALSE()),"")</f>
        <v>SMB</v>
      </c>
      <c r="P84">
        <f>IFERROR(VLOOKUP(C84,Customers!$A$2:$F$301,3,FALSE()),"")</f>
        <v>36</v>
      </c>
      <c r="Q84">
        <f t="shared" si="3"/>
        <v>0.52701612903225803</v>
      </c>
      <c r="R84">
        <f>IF(AND(COUNTIF($A$2:$A$2027,A84)&gt;1,COUNTIF($A$2:A84,A84)=1),1,0)</f>
        <v>0</v>
      </c>
      <c r="S84" t="b">
        <f>IFERROR(VLOOKUP(D84,Products!$A$2:$F$61,6,FALSE()),"")</f>
        <v>1</v>
      </c>
      <c r="T84" t="str">
        <f>IF(COUNTIF(Customers!$A$2:$A$301,C84)=0,"Missing","OK")</f>
        <v>OK</v>
      </c>
      <c r="U84" t="str">
        <f t="shared" si="4"/>
        <v>Hyderabad</v>
      </c>
      <c r="V84">
        <f t="shared" si="5"/>
        <v>0</v>
      </c>
    </row>
    <row r="85" spans="1:22" ht="15" customHeight="1" x14ac:dyDescent="0.35">
      <c r="A85" s="3" t="s">
        <v>260</v>
      </c>
      <c r="B85" s="4">
        <v>45547</v>
      </c>
      <c r="C85" s="3" t="s">
        <v>261</v>
      </c>
      <c r="D85" s="3" t="s">
        <v>218</v>
      </c>
      <c r="E85" s="3" t="s">
        <v>140</v>
      </c>
      <c r="F85" s="5">
        <v>1</v>
      </c>
      <c r="G85" s="5">
        <v>2660</v>
      </c>
      <c r="H85" s="5">
        <v>21</v>
      </c>
      <c r="I85" s="5">
        <v>2101.4</v>
      </c>
      <c r="J85" s="3" t="s">
        <v>26</v>
      </c>
      <c r="K85" s="3" t="s">
        <v>38</v>
      </c>
      <c r="L85" t="str">
        <f>IFERROR(VLOOKUP(D85,Products!$A$2:$F$61,3,FALSE()),"")</f>
        <v>Electronics</v>
      </c>
      <c r="M85" t="str">
        <f>IFERROR(VLOOKUP(E85,Sales_Reps!$A$2:$C$31,3,FALSE()),"")</f>
        <v>West</v>
      </c>
      <c r="N85">
        <f>IFERROR(VLOOKUP(D85,Products!$A$2:$F$61,4,FALSE()),"")</f>
        <v>1259</v>
      </c>
      <c r="O85" t="str">
        <f>IFERROR(VLOOKUP(C85,Customers!$A$2:$F$301,5,FALSE()),"")</f>
        <v>Retail</v>
      </c>
      <c r="P85">
        <f>IFERROR(VLOOKUP(C85,Customers!$A$2:$F$301,3,FALSE()),"")</f>
        <v>31</v>
      </c>
      <c r="Q85">
        <f t="shared" si="3"/>
        <v>0.52669172932330832</v>
      </c>
      <c r="R85">
        <f>IF(AND(COUNTIF($A$2:$A$2027,A85)&gt;1,COUNTIF($A$2:A85,A85)=1),1,0)</f>
        <v>0</v>
      </c>
      <c r="S85" t="b">
        <f>IFERROR(VLOOKUP(D85,Products!$A$2:$F$61,6,FALSE()),"")</f>
        <v>0</v>
      </c>
      <c r="T85" t="str">
        <f>IF(COUNTIF(Customers!$A$2:$A$301,C85)=0,"Missing","OK")</f>
        <v>OK</v>
      </c>
      <c r="U85" t="str">
        <f t="shared" si="4"/>
        <v>Delhi</v>
      </c>
      <c r="V85">
        <f t="shared" si="5"/>
        <v>0</v>
      </c>
    </row>
    <row r="86" spans="1:22" ht="15" customHeight="1" x14ac:dyDescent="0.35">
      <c r="A86" s="3" t="s">
        <v>262</v>
      </c>
      <c r="B86" s="4">
        <v>45424</v>
      </c>
      <c r="C86" s="3" t="s">
        <v>263</v>
      </c>
      <c r="D86" s="3" t="s">
        <v>215</v>
      </c>
      <c r="E86" s="3" t="s">
        <v>264</v>
      </c>
      <c r="F86" s="5">
        <v>5</v>
      </c>
      <c r="G86" s="5">
        <v>3020</v>
      </c>
      <c r="H86" s="5">
        <v>22.2</v>
      </c>
      <c r="I86" s="5">
        <v>11747.8</v>
      </c>
      <c r="J86" s="3" t="s">
        <v>26</v>
      </c>
      <c r="K86" s="3" t="s">
        <v>72</v>
      </c>
      <c r="L86" t="str">
        <f>IFERROR(VLOOKUP(D86,Products!$A$2:$F$61,3,FALSE()),"")</f>
        <v>Beauty</v>
      </c>
      <c r="M86" t="str">
        <f>IFERROR(VLOOKUP(E86,Sales_Reps!$A$2:$C$31,3,FALSE()),"")</f>
        <v>South</v>
      </c>
      <c r="N86">
        <f>IFERROR(VLOOKUP(D86,Products!$A$2:$F$61,4,FALSE()),"")</f>
        <v>1626</v>
      </c>
      <c r="O86" t="str">
        <f>IFERROR(VLOOKUP(C86,Customers!$A$2:$F$301,5,FALSE()),"")</f>
        <v>Retail</v>
      </c>
      <c r="P86">
        <f>IFERROR(VLOOKUP(C86,Customers!$A$2:$F$301,3,FALSE()),"")</f>
        <v>28</v>
      </c>
      <c r="Q86">
        <f t="shared" si="3"/>
        <v>0.46158940397350995</v>
      </c>
      <c r="R86">
        <f>IF(AND(COUNTIF($A$2:$A$2027,A86)&gt;1,COUNTIF($A$2:A86,A86)=1),1,0)</f>
        <v>0</v>
      </c>
      <c r="S86" t="b">
        <f>IFERROR(VLOOKUP(D86,Products!$A$2:$F$61,6,FALSE()),"")</f>
        <v>1</v>
      </c>
      <c r="T86" t="str">
        <f>IF(COUNTIF(Customers!$A$2:$A$301,C86)=0,"Missing","OK")</f>
        <v>OK</v>
      </c>
      <c r="U86" t="str">
        <f t="shared" si="4"/>
        <v>Hyderabad</v>
      </c>
      <c r="V86">
        <f t="shared" si="5"/>
        <v>0</v>
      </c>
    </row>
    <row r="87" spans="1:22" ht="15" customHeight="1" x14ac:dyDescent="0.35">
      <c r="A87" s="3" t="s">
        <v>265</v>
      </c>
      <c r="B87" s="4">
        <v>45461</v>
      </c>
      <c r="C87" s="3" t="s">
        <v>133</v>
      </c>
      <c r="D87" s="3" t="s">
        <v>231</v>
      </c>
      <c r="E87" s="3" t="s">
        <v>109</v>
      </c>
      <c r="F87" s="5">
        <v>9</v>
      </c>
      <c r="G87" s="5">
        <v>620</v>
      </c>
      <c r="H87" s="5">
        <v>23.3</v>
      </c>
      <c r="I87" s="5">
        <v>4279.8599999999997</v>
      </c>
      <c r="J87" s="3" t="s">
        <v>26</v>
      </c>
      <c r="K87" s="3" t="s">
        <v>27</v>
      </c>
      <c r="L87" t="str">
        <f>IFERROR(VLOOKUP(D87,Products!$A$2:$F$61,3,FALSE()),"")</f>
        <v>Apparel</v>
      </c>
      <c r="M87" t="str">
        <f>IFERROR(VLOOKUP(E87,Sales_Reps!$A$2:$C$31,3,FALSE()),"")</f>
        <v>West</v>
      </c>
      <c r="N87">
        <f>IFERROR(VLOOKUP(D87,Products!$A$2:$F$61,4,FALSE()),"")</f>
        <v>396</v>
      </c>
      <c r="O87" t="str">
        <f>IFERROR(VLOOKUP(C87,Customers!$A$2:$F$301,5,FALSE()),"")</f>
        <v>SMB</v>
      </c>
      <c r="P87">
        <f>IFERROR(VLOOKUP(C87,Customers!$A$2:$F$301,3,FALSE()),"")</f>
        <v>44</v>
      </c>
      <c r="Q87">
        <f t="shared" si="3"/>
        <v>0.36129032258064514</v>
      </c>
      <c r="R87">
        <f>IF(AND(COUNTIF($A$2:$A$2027,A87)&gt;1,COUNTIF($A$2:A87,A87)=1),1,0)</f>
        <v>0</v>
      </c>
      <c r="S87" t="b">
        <f>IFERROR(VLOOKUP(D87,Products!$A$2:$F$61,6,FALSE()),"")</f>
        <v>1</v>
      </c>
      <c r="T87" t="str">
        <f>IF(COUNTIF(Customers!$A$2:$A$301,C87)=0,"Missing","OK")</f>
        <v>OK</v>
      </c>
      <c r="U87" t="str">
        <f t="shared" si="4"/>
        <v>Pune</v>
      </c>
      <c r="V87">
        <f t="shared" si="5"/>
        <v>0</v>
      </c>
    </row>
    <row r="88" spans="1:22" ht="15" customHeight="1" x14ac:dyDescent="0.35">
      <c r="A88" s="3" t="s">
        <v>266</v>
      </c>
      <c r="B88" s="4">
        <v>45600</v>
      </c>
      <c r="C88" s="3" t="s">
        <v>267</v>
      </c>
      <c r="D88" s="3" t="s">
        <v>36</v>
      </c>
      <c r="E88" s="3" t="s">
        <v>140</v>
      </c>
      <c r="F88" s="5">
        <v>2</v>
      </c>
      <c r="G88" s="5">
        <v>470</v>
      </c>
      <c r="H88" s="5">
        <v>5.4</v>
      </c>
      <c r="I88" s="5">
        <v>889.24</v>
      </c>
      <c r="J88" s="3" t="s">
        <v>26</v>
      </c>
      <c r="K88" s="3" t="s">
        <v>33</v>
      </c>
      <c r="L88" t="str">
        <f>IFERROR(VLOOKUP(D88,Products!$A$2:$F$61,3,FALSE()),"")</f>
        <v>Sports</v>
      </c>
      <c r="M88" t="str">
        <f>IFERROR(VLOOKUP(E88,Sales_Reps!$A$2:$C$31,3,FALSE()),"")</f>
        <v>West</v>
      </c>
      <c r="N88">
        <f>IFERROR(VLOOKUP(D88,Products!$A$2:$F$61,4,FALSE()),"")</f>
        <v>302</v>
      </c>
      <c r="O88" t="str">
        <f>IFERROR(VLOOKUP(C88,Customers!$A$2:$F$301,5,FALSE()),"")</f>
        <v>Retail</v>
      </c>
      <c r="P88">
        <f>IFERROR(VLOOKUP(C88,Customers!$A$2:$F$301,3,FALSE()),"")</f>
        <v>28</v>
      </c>
      <c r="Q88">
        <f t="shared" si="3"/>
        <v>0.35744680851063831</v>
      </c>
      <c r="R88">
        <f>IF(AND(COUNTIF($A$2:$A$2027,A88)&gt;1,COUNTIF($A$2:A88,A88)=1),1,0)</f>
        <v>0</v>
      </c>
      <c r="S88" t="b">
        <f>IFERROR(VLOOKUP(D88,Products!$A$2:$F$61,6,FALSE()),"")</f>
        <v>0</v>
      </c>
      <c r="T88" t="str">
        <f>IF(COUNTIF(Customers!$A$2:$A$301,C88)=0,"Missing","OK")</f>
        <v>OK</v>
      </c>
      <c r="U88" t="str">
        <f t="shared" si="4"/>
        <v>Chennai</v>
      </c>
      <c r="V88">
        <f t="shared" si="5"/>
        <v>0</v>
      </c>
    </row>
    <row r="89" spans="1:22" ht="15" customHeight="1" x14ac:dyDescent="0.35">
      <c r="A89" s="3" t="s">
        <v>268</v>
      </c>
      <c r="B89" s="4">
        <v>45587</v>
      </c>
      <c r="C89" s="3" t="s">
        <v>111</v>
      </c>
      <c r="D89" s="3" t="s">
        <v>59</v>
      </c>
      <c r="E89" s="3" t="s">
        <v>71</v>
      </c>
      <c r="F89" s="5">
        <v>3</v>
      </c>
      <c r="G89" s="5">
        <v>1430</v>
      </c>
      <c r="H89" s="5">
        <v>6.5</v>
      </c>
      <c r="I89" s="5">
        <v>4011.15</v>
      </c>
      <c r="J89" s="3" t="s">
        <v>26</v>
      </c>
      <c r="K89" s="3" t="s">
        <v>27</v>
      </c>
      <c r="L89" t="str">
        <f>IFERROR(VLOOKUP(D89,Products!$A$2:$F$61,3,FALSE()),"")</f>
        <v>Electronics</v>
      </c>
      <c r="M89" t="str">
        <f>IFERROR(VLOOKUP(E89,Sales_Reps!$A$2:$C$31,3,FALSE()),"")</f>
        <v>South</v>
      </c>
      <c r="N89">
        <f>IFERROR(VLOOKUP(D89,Products!$A$2:$F$61,4,FALSE()),"")</f>
        <v>861</v>
      </c>
      <c r="O89" t="str">
        <f>IFERROR(VLOOKUP(C89,Customers!$A$2:$F$301,5,FALSE()),"")</f>
        <v>Retail</v>
      </c>
      <c r="P89">
        <f>IFERROR(VLOOKUP(C89,Customers!$A$2:$F$301,3,FALSE()),"")</f>
        <v>50</v>
      </c>
      <c r="Q89">
        <f t="shared" si="3"/>
        <v>0.39790209790209791</v>
      </c>
      <c r="R89">
        <f>IF(AND(COUNTIF($A$2:$A$2027,A89)&gt;1,COUNTIF($A$2:A89,A89)=1),1,0)</f>
        <v>0</v>
      </c>
      <c r="S89" t="b">
        <f>IFERROR(VLOOKUP(D89,Products!$A$2:$F$61,6,FALSE()),"")</f>
        <v>1</v>
      </c>
      <c r="T89" t="str">
        <f>IF(COUNTIF(Customers!$A$2:$A$301,C89)=0,"Missing","OK")</f>
        <v>OK</v>
      </c>
      <c r="U89" t="str">
        <f t="shared" si="4"/>
        <v>Pune</v>
      </c>
      <c r="V89">
        <f t="shared" si="5"/>
        <v>0</v>
      </c>
    </row>
    <row r="90" spans="1:22" ht="15" customHeight="1" x14ac:dyDescent="0.35">
      <c r="A90" s="3" t="s">
        <v>269</v>
      </c>
      <c r="B90" s="4">
        <v>45518</v>
      </c>
      <c r="C90" s="3" t="s">
        <v>270</v>
      </c>
      <c r="D90" s="3" t="s">
        <v>231</v>
      </c>
      <c r="E90" s="3" t="s">
        <v>78</v>
      </c>
      <c r="F90" s="5">
        <v>6</v>
      </c>
      <c r="G90" s="5">
        <v>620</v>
      </c>
      <c r="H90" s="5">
        <v>2.6</v>
      </c>
      <c r="I90" s="5">
        <v>3623.28</v>
      </c>
      <c r="J90" s="3" t="s">
        <v>26</v>
      </c>
      <c r="K90" s="3" t="s">
        <v>56</v>
      </c>
      <c r="L90" t="str">
        <f>IFERROR(VLOOKUP(D90,Products!$A$2:$F$61,3,FALSE()),"")</f>
        <v>Apparel</v>
      </c>
      <c r="M90" t="str">
        <f>IFERROR(VLOOKUP(E90,Sales_Reps!$A$2:$C$31,3,FALSE()),"")</f>
        <v>North</v>
      </c>
      <c r="N90">
        <f>IFERROR(VLOOKUP(D90,Products!$A$2:$F$61,4,FALSE()),"")</f>
        <v>396</v>
      </c>
      <c r="O90" t="str">
        <f>IFERROR(VLOOKUP(C90,Customers!$A$2:$F$301,5,FALSE()),"")</f>
        <v>Corporate</v>
      </c>
      <c r="P90">
        <f>IFERROR(VLOOKUP(C90,Customers!$A$2:$F$301,3,FALSE()),"")</f>
        <v>59</v>
      </c>
      <c r="Q90">
        <f t="shared" si="3"/>
        <v>0.36129032258064514</v>
      </c>
      <c r="R90">
        <f>IF(AND(COUNTIF($A$2:$A$2027,A90)&gt;1,COUNTIF($A$2:A90,A90)=1),1,0)</f>
        <v>0</v>
      </c>
      <c r="S90" t="b">
        <f>IFERROR(VLOOKUP(D90,Products!$A$2:$F$61,6,FALSE()),"")</f>
        <v>1</v>
      </c>
      <c r="T90" t="str">
        <f>IF(COUNTIF(Customers!$A$2:$A$301,C90)=0,"Missing","OK")</f>
        <v>OK</v>
      </c>
      <c r="U90" t="str">
        <f t="shared" si="4"/>
        <v>Bengaluru</v>
      </c>
      <c r="V90">
        <f t="shared" si="5"/>
        <v>0</v>
      </c>
    </row>
    <row r="91" spans="1:22" ht="15" customHeight="1" x14ac:dyDescent="0.35">
      <c r="A91" s="3" t="s">
        <v>271</v>
      </c>
      <c r="B91" s="4">
        <v>45533</v>
      </c>
      <c r="C91" s="3" t="s">
        <v>272</v>
      </c>
      <c r="D91" s="3" t="s">
        <v>126</v>
      </c>
      <c r="E91" s="3" t="s">
        <v>264</v>
      </c>
      <c r="F91" s="5">
        <v>4</v>
      </c>
      <c r="G91" s="5">
        <v>3570</v>
      </c>
      <c r="H91" s="5">
        <v>4.5</v>
      </c>
      <c r="I91" s="5">
        <v>13637.4</v>
      </c>
      <c r="J91" s="3" t="s">
        <v>32</v>
      </c>
      <c r="K91" s="3" t="s">
        <v>72</v>
      </c>
      <c r="L91" t="str">
        <f>IFERROR(VLOOKUP(D91,Products!$A$2:$F$61,3,FALSE()),"")</f>
        <v>Electronics</v>
      </c>
      <c r="M91" t="str">
        <f>IFERROR(VLOOKUP(E91,Sales_Reps!$A$2:$C$31,3,FALSE()),"")</f>
        <v>South</v>
      </c>
      <c r="N91">
        <f>IFERROR(VLOOKUP(D91,Products!$A$2:$F$61,4,FALSE()),"")</f>
        <v>1665</v>
      </c>
      <c r="O91" t="str">
        <f>IFERROR(VLOOKUP(C91,Customers!$A$2:$F$301,5,FALSE()),"")</f>
        <v>SMB</v>
      </c>
      <c r="P91">
        <f>IFERROR(VLOOKUP(C91,Customers!$A$2:$F$301,3,FALSE()),"")</f>
        <v>65</v>
      </c>
      <c r="Q91">
        <f t="shared" si="3"/>
        <v>0.53361344537815125</v>
      </c>
      <c r="R91">
        <f>IF(AND(COUNTIF($A$2:$A$2027,A91)&gt;1,COUNTIF($A$2:A91,A91)=1),1,0)</f>
        <v>0</v>
      </c>
      <c r="S91" t="b">
        <f>IFERROR(VLOOKUP(D91,Products!$A$2:$F$61,6,FALSE()),"")</f>
        <v>1</v>
      </c>
      <c r="T91" t="str">
        <f>IF(COUNTIF(Customers!$A$2:$A$301,C91)=0,"Missing","OK")</f>
        <v>OK</v>
      </c>
      <c r="U91" t="str">
        <f t="shared" si="4"/>
        <v>Hyderabad</v>
      </c>
      <c r="V91">
        <f t="shared" si="5"/>
        <v>0</v>
      </c>
    </row>
    <row r="92" spans="1:22" ht="15" customHeight="1" x14ac:dyDescent="0.35">
      <c r="A92" s="3" t="s">
        <v>273</v>
      </c>
      <c r="B92" s="4">
        <v>45622</v>
      </c>
      <c r="C92" s="3" t="s">
        <v>244</v>
      </c>
      <c r="D92" s="3" t="s">
        <v>184</v>
      </c>
      <c r="E92" s="3" t="s">
        <v>71</v>
      </c>
      <c r="F92" s="5">
        <v>6</v>
      </c>
      <c r="G92" s="5">
        <v>2270</v>
      </c>
      <c r="H92" s="5">
        <v>2</v>
      </c>
      <c r="I92" s="5">
        <v>13347.6</v>
      </c>
      <c r="J92" s="3" t="s">
        <v>26</v>
      </c>
      <c r="K92" s="3" t="s">
        <v>72</v>
      </c>
      <c r="L92" t="str">
        <f>IFERROR(VLOOKUP(D92,Products!$A$2:$F$61,3,FALSE()),"")</f>
        <v>Grocery</v>
      </c>
      <c r="M92" t="str">
        <f>IFERROR(VLOOKUP(E92,Sales_Reps!$A$2:$C$31,3,FALSE()),"")</f>
        <v>South</v>
      </c>
      <c r="N92">
        <f>IFERROR(VLOOKUP(D92,Products!$A$2:$F$61,4,FALSE()),"")</f>
        <v>1412</v>
      </c>
      <c r="O92" t="str">
        <f>IFERROR(VLOOKUP(C92,Customers!$A$2:$F$301,5,FALSE()),"")</f>
        <v>Corporate</v>
      </c>
      <c r="P92">
        <f>IFERROR(VLOOKUP(C92,Customers!$A$2:$F$301,3,FALSE()),"")</f>
        <v>46</v>
      </c>
      <c r="Q92">
        <f t="shared" si="3"/>
        <v>0.37797356828193834</v>
      </c>
      <c r="R92">
        <f>IF(AND(COUNTIF($A$2:$A$2027,A92)&gt;1,COUNTIF($A$2:A92,A92)=1),1,0)</f>
        <v>0</v>
      </c>
      <c r="S92" t="b">
        <f>IFERROR(VLOOKUP(D92,Products!$A$2:$F$61,6,FALSE()),"")</f>
        <v>1</v>
      </c>
      <c r="T92" t="str">
        <f>IF(COUNTIF(Customers!$A$2:$A$301,C92)=0,"Missing","OK")</f>
        <v>OK</v>
      </c>
      <c r="U92" t="str">
        <f t="shared" si="4"/>
        <v>Hyderabad</v>
      </c>
      <c r="V92">
        <f t="shared" si="5"/>
        <v>0</v>
      </c>
    </row>
    <row r="93" spans="1:22" ht="15" customHeight="1" x14ac:dyDescent="0.35">
      <c r="A93" s="3" t="s">
        <v>274</v>
      </c>
      <c r="B93" s="4">
        <v>45328</v>
      </c>
      <c r="C93" s="3" t="s">
        <v>275</v>
      </c>
      <c r="D93" s="3" t="s">
        <v>112</v>
      </c>
      <c r="E93" s="3" t="s">
        <v>37</v>
      </c>
      <c r="F93" s="5">
        <v>7</v>
      </c>
      <c r="G93" s="5">
        <v>2720</v>
      </c>
      <c r="H93" s="5">
        <v>15.4</v>
      </c>
      <c r="I93" s="5">
        <v>16107.84</v>
      </c>
      <c r="J93" s="3" t="s">
        <v>26</v>
      </c>
      <c r="K93" s="3" t="s">
        <v>51</v>
      </c>
      <c r="L93" t="str">
        <f>IFERROR(VLOOKUP(D93,Products!$A$2:$F$61,3,FALSE()),"")</f>
        <v>Apparel</v>
      </c>
      <c r="M93" t="str">
        <f>IFERROR(VLOOKUP(E93,Sales_Reps!$A$2:$C$31,3,FALSE()),"")</f>
        <v>South</v>
      </c>
      <c r="N93">
        <f>IFERROR(VLOOKUP(D93,Products!$A$2:$F$61,4,FALSE()),"")</f>
        <v>1962</v>
      </c>
      <c r="O93" t="str">
        <f>IFERROR(VLOOKUP(C93,Customers!$A$2:$F$301,5,FALSE()),"")</f>
        <v>Retail</v>
      </c>
      <c r="P93">
        <f>IFERROR(VLOOKUP(C93,Customers!$A$2:$F$301,3,FALSE()),"")</f>
        <v>49</v>
      </c>
      <c r="Q93">
        <f t="shared" si="3"/>
        <v>0.2786764705882353</v>
      </c>
      <c r="R93">
        <f>IF(AND(COUNTIF($A$2:$A$2027,A93)&gt;1,COUNTIF($A$2:A93,A93)=1),1,0)</f>
        <v>0</v>
      </c>
      <c r="S93" t="b">
        <f>IFERROR(VLOOKUP(D93,Products!$A$2:$F$61,6,FALSE()),"")</f>
        <v>1</v>
      </c>
      <c r="T93" t="str">
        <f>IF(COUNTIF(Customers!$A$2:$A$301,C93)=0,"Missing","OK")</f>
        <v>OK</v>
      </c>
      <c r="U93" t="str">
        <f t="shared" si="4"/>
        <v>Mumbai</v>
      </c>
      <c r="V93">
        <f t="shared" si="5"/>
        <v>0</v>
      </c>
    </row>
    <row r="94" spans="1:22" ht="15" customHeight="1" x14ac:dyDescent="0.35">
      <c r="A94" s="3" t="s">
        <v>276</v>
      </c>
      <c r="B94" s="4">
        <v>45380</v>
      </c>
      <c r="C94" s="3" t="s">
        <v>228</v>
      </c>
      <c r="D94" s="3" t="s">
        <v>277</v>
      </c>
      <c r="E94" s="3" t="s">
        <v>154</v>
      </c>
      <c r="F94" s="5">
        <v>9</v>
      </c>
      <c r="G94" s="5">
        <v>2210</v>
      </c>
      <c r="H94" s="5">
        <v>12.4</v>
      </c>
      <c r="I94" s="5">
        <v>17423.64</v>
      </c>
      <c r="J94" s="3" t="s">
        <v>26</v>
      </c>
      <c r="K94" s="3" t="s">
        <v>33</v>
      </c>
      <c r="L94" t="str">
        <f>IFERROR(VLOOKUP(D94,Products!$A$2:$F$61,3,FALSE()),"")</f>
        <v>Grocery</v>
      </c>
      <c r="M94" t="str">
        <f>IFERROR(VLOOKUP(E94,Sales_Reps!$A$2:$C$31,3,FALSE()),"")</f>
        <v>North</v>
      </c>
      <c r="N94">
        <f>IFERROR(VLOOKUP(D94,Products!$A$2:$F$61,4,FALSE()),"")</f>
        <v>1010</v>
      </c>
      <c r="O94" t="str">
        <f>IFERROR(VLOOKUP(C94,Customers!$A$2:$F$301,5,FALSE()),"")</f>
        <v>Retail</v>
      </c>
      <c r="P94">
        <f>IFERROR(VLOOKUP(C94,Customers!$A$2:$F$301,3,FALSE()),"")</f>
        <v>38</v>
      </c>
      <c r="Q94">
        <f t="shared" si="3"/>
        <v>0.54298642533936647</v>
      </c>
      <c r="R94">
        <f>IF(AND(COUNTIF($A$2:$A$2027,A94)&gt;1,COUNTIF($A$2:A94,A94)=1),1,0)</f>
        <v>0</v>
      </c>
      <c r="S94" t="b">
        <f>IFERROR(VLOOKUP(D94,Products!$A$2:$F$61,6,FALSE()),"")</f>
        <v>1</v>
      </c>
      <c r="T94" t="str">
        <f>IF(COUNTIF(Customers!$A$2:$A$301,C94)=0,"Missing","OK")</f>
        <v>OK</v>
      </c>
      <c r="U94" t="str">
        <f t="shared" si="4"/>
        <v>Chennai</v>
      </c>
      <c r="V94">
        <f t="shared" si="5"/>
        <v>0</v>
      </c>
    </row>
    <row r="95" spans="1:22" ht="15" customHeight="1" x14ac:dyDescent="0.35">
      <c r="A95" s="3" t="s">
        <v>278</v>
      </c>
      <c r="B95" s="4">
        <v>45648</v>
      </c>
      <c r="C95" s="3" t="s">
        <v>279</v>
      </c>
      <c r="D95" s="3" t="s">
        <v>86</v>
      </c>
      <c r="E95" s="3" t="s">
        <v>140</v>
      </c>
      <c r="F95" s="5">
        <v>6</v>
      </c>
      <c r="G95" s="5">
        <v>190</v>
      </c>
      <c r="H95" s="5">
        <v>19.2</v>
      </c>
      <c r="I95" s="5">
        <v>921.12</v>
      </c>
      <c r="J95" s="3" t="s">
        <v>26</v>
      </c>
      <c r="K95" s="3" t="s">
        <v>27</v>
      </c>
      <c r="L95" t="str">
        <f>IFERROR(VLOOKUP(D95,Products!$A$2:$F$61,3,FALSE()),"")</f>
        <v>Sports</v>
      </c>
      <c r="M95" t="str">
        <f>IFERROR(VLOOKUP(E95,Sales_Reps!$A$2:$C$31,3,FALSE()),"")</f>
        <v>West</v>
      </c>
      <c r="N95">
        <f>IFERROR(VLOOKUP(D95,Products!$A$2:$F$61,4,FALSE()),"")</f>
        <v>147</v>
      </c>
      <c r="O95" t="str">
        <f>IFERROR(VLOOKUP(C95,Customers!$A$2:$F$301,5,FALSE()),"")</f>
        <v>Retail</v>
      </c>
      <c r="P95">
        <f>IFERROR(VLOOKUP(C95,Customers!$A$2:$F$301,3,FALSE()),"")</f>
        <v>25</v>
      </c>
      <c r="Q95">
        <f t="shared" si="3"/>
        <v>0.22631578947368422</v>
      </c>
      <c r="R95">
        <f>IF(AND(COUNTIF($A$2:$A$2027,A95)&gt;1,COUNTIF($A$2:A95,A95)=1),1,0)</f>
        <v>0</v>
      </c>
      <c r="S95" t="b">
        <f>IFERROR(VLOOKUP(D95,Products!$A$2:$F$61,6,FALSE()),"")</f>
        <v>1</v>
      </c>
      <c r="T95" t="str">
        <f>IF(COUNTIF(Customers!$A$2:$A$301,C95)=0,"Missing","OK")</f>
        <v>OK</v>
      </c>
      <c r="U95" t="str">
        <f t="shared" si="4"/>
        <v>Pune</v>
      </c>
      <c r="V95">
        <f t="shared" si="5"/>
        <v>0</v>
      </c>
    </row>
    <row r="96" spans="1:22" ht="15" customHeight="1" x14ac:dyDescent="0.35">
      <c r="A96" s="3" t="s">
        <v>280</v>
      </c>
      <c r="B96" s="4">
        <v>45607</v>
      </c>
      <c r="C96" s="3" t="s">
        <v>281</v>
      </c>
      <c r="D96" s="3" t="s">
        <v>130</v>
      </c>
      <c r="E96" s="3" t="s">
        <v>282</v>
      </c>
      <c r="F96" s="5">
        <v>10</v>
      </c>
      <c r="G96" s="5">
        <v>5100</v>
      </c>
      <c r="H96" s="5">
        <v>25.4</v>
      </c>
      <c r="I96" s="5">
        <v>38046</v>
      </c>
      <c r="J96" s="3" t="s">
        <v>83</v>
      </c>
      <c r="K96" s="3" t="s">
        <v>33</v>
      </c>
      <c r="L96" t="str">
        <f>IFERROR(VLOOKUP(D96,Products!$A$2:$F$61,3,FALSE()),"")</f>
        <v>Beauty</v>
      </c>
      <c r="M96" t="str">
        <f>IFERROR(VLOOKUP(E96,Sales_Reps!$A$2:$C$31,3,FALSE()),"")</f>
        <v>West</v>
      </c>
      <c r="N96">
        <f>IFERROR(VLOOKUP(D96,Products!$A$2:$F$61,4,FALSE()),"")</f>
        <v>2237</v>
      </c>
      <c r="O96" t="str">
        <f>IFERROR(VLOOKUP(C96,Customers!$A$2:$F$301,5,FALSE()),"")</f>
        <v>Retail</v>
      </c>
      <c r="P96">
        <f>IFERROR(VLOOKUP(C96,Customers!$A$2:$F$301,3,FALSE()),"")</f>
        <v>26</v>
      </c>
      <c r="Q96">
        <f t="shared" si="3"/>
        <v>0.56137254901960787</v>
      </c>
      <c r="R96">
        <f>IF(AND(COUNTIF($A$2:$A$2027,A96)&gt;1,COUNTIF($A$2:A96,A96)=1),1,0)</f>
        <v>0</v>
      </c>
      <c r="S96" t="b">
        <f>IFERROR(VLOOKUP(D96,Products!$A$2:$F$61,6,FALSE()),"")</f>
        <v>1</v>
      </c>
      <c r="T96" t="str">
        <f>IF(COUNTIF(Customers!$A$2:$A$301,C96)=0,"Missing","OK")</f>
        <v>OK</v>
      </c>
      <c r="U96" t="str">
        <f t="shared" si="4"/>
        <v>Chennai</v>
      </c>
      <c r="V96">
        <f t="shared" si="5"/>
        <v>0</v>
      </c>
    </row>
    <row r="97" spans="1:22" ht="15" customHeight="1" x14ac:dyDescent="0.35">
      <c r="A97" s="3" t="s">
        <v>283</v>
      </c>
      <c r="B97" s="4">
        <v>45414</v>
      </c>
      <c r="C97" s="3" t="s">
        <v>284</v>
      </c>
      <c r="D97" s="3" t="s">
        <v>121</v>
      </c>
      <c r="E97" s="3" t="s">
        <v>285</v>
      </c>
      <c r="F97" s="5">
        <v>5</v>
      </c>
      <c r="G97" s="5">
        <v>1010</v>
      </c>
      <c r="H97" s="5">
        <v>1.6</v>
      </c>
      <c r="I97" s="5">
        <v>4969.2</v>
      </c>
      <c r="J97" s="3" t="s">
        <v>26</v>
      </c>
      <c r="K97" s="3" t="s">
        <v>33</v>
      </c>
      <c r="L97" t="str">
        <f>IFERROR(VLOOKUP(D97,Products!$A$2:$F$61,3,FALSE()),"")</f>
        <v>Sports</v>
      </c>
      <c r="M97" t="str">
        <f>IFERROR(VLOOKUP(E97,Sales_Reps!$A$2:$C$31,3,FALSE()),"")</f>
        <v>South</v>
      </c>
      <c r="N97">
        <f>IFERROR(VLOOKUP(D97,Products!$A$2:$F$61,4,FALSE()),"")</f>
        <v>516</v>
      </c>
      <c r="O97" t="str">
        <f>IFERROR(VLOOKUP(C97,Customers!$A$2:$F$301,5,FALSE()),"")</f>
        <v>Corporate</v>
      </c>
      <c r="P97">
        <f>IFERROR(VLOOKUP(C97,Customers!$A$2:$F$301,3,FALSE()),"")</f>
        <v>38</v>
      </c>
      <c r="Q97">
        <f t="shared" si="3"/>
        <v>0.4891089108910891</v>
      </c>
      <c r="R97">
        <f>IF(AND(COUNTIF($A$2:$A$2027,A97)&gt;1,COUNTIF($A$2:A97,A97)=1),1,0)</f>
        <v>0</v>
      </c>
      <c r="S97" t="b">
        <f>IFERROR(VLOOKUP(D97,Products!$A$2:$F$61,6,FALSE()),"")</f>
        <v>1</v>
      </c>
      <c r="T97" t="str">
        <f>IF(COUNTIF(Customers!$A$2:$A$301,C97)=0,"Missing","OK")</f>
        <v>OK</v>
      </c>
      <c r="U97" t="str">
        <f t="shared" si="4"/>
        <v>Chennai</v>
      </c>
      <c r="V97">
        <f t="shared" si="5"/>
        <v>0</v>
      </c>
    </row>
    <row r="98" spans="1:22" ht="15" customHeight="1" x14ac:dyDescent="0.35">
      <c r="A98" s="3" t="s">
        <v>286</v>
      </c>
      <c r="B98" s="4">
        <v>45328</v>
      </c>
      <c r="C98" s="3" t="s">
        <v>202</v>
      </c>
      <c r="D98" s="3" t="s">
        <v>165</v>
      </c>
      <c r="E98" s="3" t="s">
        <v>50</v>
      </c>
      <c r="F98" s="5">
        <v>1</v>
      </c>
      <c r="G98" s="5">
        <v>3730</v>
      </c>
      <c r="H98" s="5">
        <v>22.7</v>
      </c>
      <c r="I98" s="5">
        <v>2883.29</v>
      </c>
      <c r="J98" s="3" t="s">
        <v>26</v>
      </c>
      <c r="K98" s="3" t="s">
        <v>72</v>
      </c>
      <c r="L98" t="str">
        <f>IFERROR(VLOOKUP(D98,Products!$A$2:$F$61,3,FALSE()),"")</f>
        <v>Home</v>
      </c>
      <c r="M98" t="str">
        <f>IFERROR(VLOOKUP(E98,Sales_Reps!$A$2:$C$31,3,FALSE()),"")</f>
        <v>West</v>
      </c>
      <c r="N98">
        <f>IFERROR(VLOOKUP(D98,Products!$A$2:$F$61,4,FALSE()),"")</f>
        <v>2135</v>
      </c>
      <c r="O98" t="str">
        <f>IFERROR(VLOOKUP(C98,Customers!$A$2:$F$301,5,FALSE()),"")</f>
        <v>Retail</v>
      </c>
      <c r="P98">
        <f>IFERROR(VLOOKUP(C98,Customers!$A$2:$F$301,3,FALSE()),"")</f>
        <v>53</v>
      </c>
      <c r="Q98">
        <f t="shared" si="3"/>
        <v>0.42761394101876676</v>
      </c>
      <c r="R98">
        <f>IF(AND(COUNTIF($A$2:$A$2027,A98)&gt;1,COUNTIF($A$2:A98,A98)=1),1,0)</f>
        <v>0</v>
      </c>
      <c r="S98" t="b">
        <f>IFERROR(VLOOKUP(D98,Products!$A$2:$F$61,6,FALSE()),"")</f>
        <v>1</v>
      </c>
      <c r="T98" t="str">
        <f>IF(COUNTIF(Customers!$A$2:$A$301,C98)=0,"Missing","OK")</f>
        <v>OK</v>
      </c>
      <c r="U98" t="str">
        <f t="shared" si="4"/>
        <v>Hyderabad</v>
      </c>
      <c r="V98">
        <f t="shared" si="5"/>
        <v>0</v>
      </c>
    </row>
    <row r="99" spans="1:22" ht="15" customHeight="1" x14ac:dyDescent="0.35">
      <c r="A99" s="3" t="s">
        <v>287</v>
      </c>
      <c r="B99" s="4">
        <v>45373</v>
      </c>
      <c r="C99" s="3" t="s">
        <v>240</v>
      </c>
      <c r="D99" s="3" t="s">
        <v>77</v>
      </c>
      <c r="E99" s="3" t="s">
        <v>67</v>
      </c>
      <c r="F99" s="5">
        <v>10</v>
      </c>
      <c r="G99" s="5">
        <v>2600</v>
      </c>
      <c r="H99" s="5">
        <v>20.7</v>
      </c>
      <c r="I99" s="5">
        <v>20618</v>
      </c>
      <c r="J99" s="3" t="s">
        <v>26</v>
      </c>
      <c r="K99" s="3" t="s">
        <v>33</v>
      </c>
      <c r="L99" t="str">
        <f>IFERROR(VLOOKUP(D99,Products!$A$2:$F$61,3,FALSE()),"")</f>
        <v>Electronics</v>
      </c>
      <c r="M99" t="str">
        <f>IFERROR(VLOOKUP(E99,Sales_Reps!$A$2:$C$31,3,FALSE()),"")</f>
        <v>West</v>
      </c>
      <c r="N99">
        <f>IFERROR(VLOOKUP(D99,Products!$A$2:$F$61,4,FALSE()),"")</f>
        <v>1052</v>
      </c>
      <c r="O99" t="str">
        <f>IFERROR(VLOOKUP(C99,Customers!$A$2:$F$301,5,FALSE()),"")</f>
        <v>Retail</v>
      </c>
      <c r="P99">
        <f>IFERROR(VLOOKUP(C99,Customers!$A$2:$F$301,3,FALSE()),"")</f>
        <v>41</v>
      </c>
      <c r="Q99">
        <f t="shared" si="3"/>
        <v>0.5953846153846154</v>
      </c>
      <c r="R99">
        <f>IF(AND(COUNTIF($A$2:$A$2027,A99)&gt;1,COUNTIF($A$2:A99,A99)=1),1,0)</f>
        <v>0</v>
      </c>
      <c r="S99" t="b">
        <f>IFERROR(VLOOKUP(D99,Products!$A$2:$F$61,6,FALSE()),"")</f>
        <v>1</v>
      </c>
      <c r="T99" t="str">
        <f>IF(COUNTIF(Customers!$A$2:$A$301,C99)=0,"Missing","OK")</f>
        <v>OK</v>
      </c>
      <c r="U99" t="str">
        <f t="shared" si="4"/>
        <v>Chennai</v>
      </c>
      <c r="V99">
        <f t="shared" si="5"/>
        <v>0</v>
      </c>
    </row>
    <row r="100" spans="1:22" ht="15" customHeight="1" x14ac:dyDescent="0.35">
      <c r="A100" s="3" t="s">
        <v>288</v>
      </c>
      <c r="B100" s="4">
        <v>45458</v>
      </c>
      <c r="C100" s="3" t="s">
        <v>289</v>
      </c>
      <c r="D100" s="3" t="s">
        <v>290</v>
      </c>
      <c r="E100" s="3" t="s">
        <v>42</v>
      </c>
      <c r="F100" s="5">
        <v>4</v>
      </c>
      <c r="G100" s="5">
        <v>4060</v>
      </c>
      <c r="H100" s="5">
        <v>13.9</v>
      </c>
      <c r="I100" s="5">
        <v>13982.64</v>
      </c>
      <c r="J100" s="3" t="s">
        <v>26</v>
      </c>
      <c r="K100" s="3" t="s">
        <v>51</v>
      </c>
      <c r="L100" t="str">
        <f>IFERROR(VLOOKUP(D100,Products!$A$2:$F$61,3,FALSE()),"")</f>
        <v>Grocery</v>
      </c>
      <c r="M100" t="str">
        <f>IFERROR(VLOOKUP(E100,Sales_Reps!$A$2:$C$31,3,FALSE()),"")</f>
        <v>North</v>
      </c>
      <c r="N100">
        <f>IFERROR(VLOOKUP(D100,Products!$A$2:$F$61,4,FALSE()),"")</f>
        <v>2911</v>
      </c>
      <c r="O100" t="str">
        <f>IFERROR(VLOOKUP(C100,Customers!$A$2:$F$301,5,FALSE()),"")</f>
        <v>SMB</v>
      </c>
      <c r="P100">
        <f>IFERROR(VLOOKUP(C100,Customers!$A$2:$F$301,3,FALSE()),"")</f>
        <v>22</v>
      </c>
      <c r="Q100">
        <f t="shared" si="3"/>
        <v>0.28300492610837441</v>
      </c>
      <c r="R100">
        <f>IF(AND(COUNTIF($A$2:$A$2027,A100)&gt;1,COUNTIF($A$2:A100,A100)=1),1,0)</f>
        <v>0</v>
      </c>
      <c r="S100" t="b">
        <f>IFERROR(VLOOKUP(D100,Products!$A$2:$F$61,6,FALSE()),"")</f>
        <v>1</v>
      </c>
      <c r="T100" t="str">
        <f>IF(COUNTIF(Customers!$A$2:$A$301,C100)=0,"Missing","OK")</f>
        <v>OK</v>
      </c>
      <c r="U100" t="str">
        <f t="shared" si="4"/>
        <v>Mumbai</v>
      </c>
      <c r="V100">
        <f t="shared" si="5"/>
        <v>0</v>
      </c>
    </row>
    <row r="101" spans="1:22" ht="15" customHeight="1" x14ac:dyDescent="0.35">
      <c r="A101" s="3" t="s">
        <v>291</v>
      </c>
      <c r="B101" s="4">
        <v>45426</v>
      </c>
      <c r="C101" s="3" t="s">
        <v>292</v>
      </c>
      <c r="D101" s="3" t="s">
        <v>180</v>
      </c>
      <c r="E101" s="3" t="s">
        <v>282</v>
      </c>
      <c r="F101" s="5">
        <v>6</v>
      </c>
      <c r="G101" s="5">
        <v>6080</v>
      </c>
      <c r="H101" s="5">
        <v>16.5</v>
      </c>
      <c r="I101" s="5">
        <v>30460.799999999999</v>
      </c>
      <c r="J101" s="3" t="s">
        <v>26</v>
      </c>
      <c r="K101" s="3" t="s">
        <v>33</v>
      </c>
      <c r="L101" t="str">
        <f>IFERROR(VLOOKUP(D101,Products!$A$2:$F$61,3,FALSE()),"")</f>
        <v>Beauty</v>
      </c>
      <c r="M101" t="str">
        <f>IFERROR(VLOOKUP(E101,Sales_Reps!$A$2:$C$31,3,FALSE()),"")</f>
        <v>West</v>
      </c>
      <c r="N101">
        <f>IFERROR(VLOOKUP(D101,Products!$A$2:$F$61,4,FALSE()),"")</f>
        <v>2617</v>
      </c>
      <c r="O101" t="str">
        <f>IFERROR(VLOOKUP(C101,Customers!$A$2:$F$301,5,FALSE()),"")</f>
        <v>Retail</v>
      </c>
      <c r="P101">
        <f>IFERROR(VLOOKUP(C101,Customers!$A$2:$F$301,3,FALSE()),"")</f>
        <v>60</v>
      </c>
      <c r="Q101">
        <f t="shared" si="3"/>
        <v>0.56957236842105263</v>
      </c>
      <c r="R101">
        <f>IF(AND(COUNTIF($A$2:$A$2027,A101)&gt;1,COUNTIF($A$2:A101,A101)=1),1,0)</f>
        <v>0</v>
      </c>
      <c r="S101" t="b">
        <f>IFERROR(VLOOKUP(D101,Products!$A$2:$F$61,6,FALSE()),"")</f>
        <v>1</v>
      </c>
      <c r="T101" t="str">
        <f>IF(COUNTIF(Customers!$A$2:$A$301,C101)=0,"Missing","OK")</f>
        <v>OK</v>
      </c>
      <c r="U101" t="str">
        <f t="shared" si="4"/>
        <v>Chennai</v>
      </c>
      <c r="V101">
        <f t="shared" si="5"/>
        <v>0</v>
      </c>
    </row>
    <row r="102" spans="1:22" ht="15" customHeight="1" x14ac:dyDescent="0.35">
      <c r="A102" s="3" t="s">
        <v>293</v>
      </c>
      <c r="B102" s="4">
        <v>45557</v>
      </c>
      <c r="C102" s="3" t="s">
        <v>133</v>
      </c>
      <c r="D102" s="3" t="s">
        <v>294</v>
      </c>
      <c r="E102" s="3" t="s">
        <v>67</v>
      </c>
      <c r="F102" s="5">
        <v>6</v>
      </c>
      <c r="G102" s="5">
        <v>2510</v>
      </c>
      <c r="H102" s="5">
        <v>11.7</v>
      </c>
      <c r="I102" s="5">
        <v>13297.98</v>
      </c>
      <c r="J102" s="3" t="s">
        <v>26</v>
      </c>
      <c r="K102" s="3" t="s">
        <v>27</v>
      </c>
      <c r="L102" t="str">
        <f>IFERROR(VLOOKUP(D102,Products!$A$2:$F$61,3,FALSE()),"")</f>
        <v>Apparel</v>
      </c>
      <c r="M102" t="str">
        <f>IFERROR(VLOOKUP(E102,Sales_Reps!$A$2:$C$31,3,FALSE()),"")</f>
        <v>West</v>
      </c>
      <c r="N102">
        <f>IFERROR(VLOOKUP(D102,Products!$A$2:$F$61,4,FALSE()),"")</f>
        <v>1075</v>
      </c>
      <c r="O102" t="str">
        <f>IFERROR(VLOOKUP(C102,Customers!$A$2:$F$301,5,FALSE()),"")</f>
        <v>SMB</v>
      </c>
      <c r="P102">
        <f>IFERROR(VLOOKUP(C102,Customers!$A$2:$F$301,3,FALSE()),"")</f>
        <v>44</v>
      </c>
      <c r="Q102">
        <f t="shared" si="3"/>
        <v>0.57171314741035861</v>
      </c>
      <c r="R102">
        <f>IF(AND(COUNTIF($A$2:$A$2027,A102)&gt;1,COUNTIF($A$2:A102,A102)=1),1,0)</f>
        <v>0</v>
      </c>
      <c r="S102" t="b">
        <f>IFERROR(VLOOKUP(D102,Products!$A$2:$F$61,6,FALSE()),"")</f>
        <v>0</v>
      </c>
      <c r="T102" t="str">
        <f>IF(COUNTIF(Customers!$A$2:$A$301,C102)=0,"Missing","OK")</f>
        <v>OK</v>
      </c>
      <c r="U102" t="str">
        <f t="shared" si="4"/>
        <v>Pune</v>
      </c>
      <c r="V102">
        <f t="shared" si="5"/>
        <v>0</v>
      </c>
    </row>
    <row r="103" spans="1:22" ht="15" customHeight="1" x14ac:dyDescent="0.35">
      <c r="A103" s="3" t="s">
        <v>295</v>
      </c>
      <c r="B103" s="4">
        <v>45509</v>
      </c>
      <c r="C103" s="3" t="s">
        <v>296</v>
      </c>
      <c r="D103" s="3" t="s">
        <v>82</v>
      </c>
      <c r="E103" s="3" t="s">
        <v>140</v>
      </c>
      <c r="F103" s="5">
        <v>5</v>
      </c>
      <c r="G103" s="5">
        <v>3250</v>
      </c>
      <c r="H103" s="5">
        <v>18.399999999999999</v>
      </c>
      <c r="I103" s="5">
        <v>13260</v>
      </c>
      <c r="J103" s="3" t="s">
        <v>26</v>
      </c>
      <c r="K103" s="3" t="s">
        <v>38</v>
      </c>
      <c r="L103" t="str">
        <f>IFERROR(VLOOKUP(D103,Products!$A$2:$F$61,3,FALSE()),"")</f>
        <v>Home</v>
      </c>
      <c r="M103" t="str">
        <f>IFERROR(VLOOKUP(E103,Sales_Reps!$A$2:$C$31,3,FALSE()),"")</f>
        <v>West</v>
      </c>
      <c r="N103">
        <f>IFERROR(VLOOKUP(D103,Products!$A$2:$F$61,4,FALSE()),"")</f>
        <v>1556</v>
      </c>
      <c r="O103" t="str">
        <f>IFERROR(VLOOKUP(C103,Customers!$A$2:$F$301,5,FALSE()),"")</f>
        <v>SMB</v>
      </c>
      <c r="P103">
        <f>IFERROR(VLOOKUP(C103,Customers!$A$2:$F$301,3,FALSE()),"")</f>
        <v>38</v>
      </c>
      <c r="Q103">
        <f t="shared" si="3"/>
        <v>0.52123076923076928</v>
      </c>
      <c r="R103">
        <f>IF(AND(COUNTIF($A$2:$A$2027,A103)&gt;1,COUNTIF($A$2:A103,A103)=1),1,0)</f>
        <v>0</v>
      </c>
      <c r="S103" t="b">
        <f>IFERROR(VLOOKUP(D103,Products!$A$2:$F$61,6,FALSE()),"")</f>
        <v>1</v>
      </c>
      <c r="T103" t="str">
        <f>IF(COUNTIF(Customers!$A$2:$A$301,C103)=0,"Missing","OK")</f>
        <v>OK</v>
      </c>
      <c r="U103" t="str">
        <f t="shared" si="4"/>
        <v>Delhi</v>
      </c>
      <c r="V103">
        <f t="shared" si="5"/>
        <v>0</v>
      </c>
    </row>
    <row r="104" spans="1:22" ht="15" customHeight="1" x14ac:dyDescent="0.35">
      <c r="A104" s="3" t="s">
        <v>297</v>
      </c>
      <c r="B104" s="4">
        <v>45329</v>
      </c>
      <c r="C104" s="3" t="s">
        <v>298</v>
      </c>
      <c r="D104" s="3" t="s">
        <v>299</v>
      </c>
      <c r="E104" s="3" t="s">
        <v>31</v>
      </c>
      <c r="F104" s="5">
        <v>4</v>
      </c>
      <c r="G104" s="5">
        <v>5410</v>
      </c>
      <c r="H104" s="5">
        <v>9.8000000000000007</v>
      </c>
      <c r="I104" s="5">
        <v>19519.28</v>
      </c>
      <c r="J104" s="3" t="s">
        <v>79</v>
      </c>
      <c r="K104" s="3" t="s">
        <v>38</v>
      </c>
      <c r="L104" t="str">
        <f>IFERROR(VLOOKUP(D104,Products!$A$2:$F$61,3,FALSE()),"")</f>
        <v>Sports</v>
      </c>
      <c r="M104" t="str">
        <f>IFERROR(VLOOKUP(E104,Sales_Reps!$A$2:$C$31,3,FALSE()),"")</f>
        <v>North</v>
      </c>
      <c r="N104">
        <f>IFERROR(VLOOKUP(D104,Products!$A$2:$F$61,4,FALSE()),"")</f>
        <v>2265</v>
      </c>
      <c r="O104" t="str">
        <f>IFERROR(VLOOKUP(C104,Customers!$A$2:$F$301,5,FALSE()),"")</f>
        <v>SMB</v>
      </c>
      <c r="P104">
        <f>IFERROR(VLOOKUP(C104,Customers!$A$2:$F$301,3,FALSE()),"")</f>
        <v>28</v>
      </c>
      <c r="Q104">
        <f t="shared" si="3"/>
        <v>0.58133086876155271</v>
      </c>
      <c r="R104">
        <f>IF(AND(COUNTIF($A$2:$A$2027,A104)&gt;1,COUNTIF($A$2:A104,A104)=1),1,0)</f>
        <v>0</v>
      </c>
      <c r="S104" t="b">
        <f>IFERROR(VLOOKUP(D104,Products!$A$2:$F$61,6,FALSE()),"")</f>
        <v>1</v>
      </c>
      <c r="T104" t="str">
        <f>IF(COUNTIF(Customers!$A$2:$A$301,C104)=0,"Missing","OK")</f>
        <v>OK</v>
      </c>
      <c r="U104" t="str">
        <f t="shared" si="4"/>
        <v>Delhi</v>
      </c>
      <c r="V104">
        <f t="shared" si="5"/>
        <v>0</v>
      </c>
    </row>
    <row r="105" spans="1:22" ht="15" customHeight="1" x14ac:dyDescent="0.35">
      <c r="A105" s="3" t="s">
        <v>300</v>
      </c>
      <c r="B105" s="4">
        <v>45411</v>
      </c>
      <c r="C105" s="3" t="s">
        <v>301</v>
      </c>
      <c r="D105" s="3" t="s">
        <v>126</v>
      </c>
      <c r="E105" s="3" t="s">
        <v>242</v>
      </c>
      <c r="F105" s="5">
        <v>8</v>
      </c>
      <c r="G105" s="5">
        <v>3570</v>
      </c>
      <c r="H105" s="5">
        <v>11.1</v>
      </c>
      <c r="I105" s="5">
        <v>25389.84</v>
      </c>
      <c r="J105" s="3" t="s">
        <v>26</v>
      </c>
      <c r="K105" s="3" t="s">
        <v>33</v>
      </c>
      <c r="L105" t="str">
        <f>IFERROR(VLOOKUP(D105,Products!$A$2:$F$61,3,FALSE()),"")</f>
        <v>Electronics</v>
      </c>
      <c r="M105" t="str">
        <f>IFERROR(VLOOKUP(E105,Sales_Reps!$A$2:$C$31,3,FALSE()),"")</f>
        <v>East</v>
      </c>
      <c r="N105">
        <f>IFERROR(VLOOKUP(D105,Products!$A$2:$F$61,4,FALSE()),"")</f>
        <v>1665</v>
      </c>
      <c r="O105" t="str">
        <f>IFERROR(VLOOKUP(C105,Customers!$A$2:$F$301,5,FALSE()),"")</f>
        <v>Corporate</v>
      </c>
      <c r="P105">
        <f>IFERROR(VLOOKUP(C105,Customers!$A$2:$F$301,3,FALSE()),"")</f>
        <v>51</v>
      </c>
      <c r="Q105">
        <f t="shared" si="3"/>
        <v>0.53361344537815125</v>
      </c>
      <c r="R105">
        <f>IF(AND(COUNTIF($A$2:$A$2027,A105)&gt;1,COUNTIF($A$2:A105,A105)=1),1,0)</f>
        <v>0</v>
      </c>
      <c r="S105" t="b">
        <f>IFERROR(VLOOKUP(D105,Products!$A$2:$F$61,6,FALSE()),"")</f>
        <v>1</v>
      </c>
      <c r="T105" t="str">
        <f>IF(COUNTIF(Customers!$A$2:$A$301,C105)=0,"Missing","OK")</f>
        <v>OK</v>
      </c>
      <c r="U105" t="str">
        <f t="shared" si="4"/>
        <v>Chennai</v>
      </c>
      <c r="V105">
        <f t="shared" si="5"/>
        <v>0</v>
      </c>
    </row>
    <row r="106" spans="1:22" ht="15" customHeight="1" x14ac:dyDescent="0.35">
      <c r="A106" s="3" t="s">
        <v>302</v>
      </c>
      <c r="B106" s="4">
        <v>45297</v>
      </c>
      <c r="C106" s="3" t="s">
        <v>289</v>
      </c>
      <c r="D106" s="3" t="s">
        <v>303</v>
      </c>
      <c r="E106" s="3" t="s">
        <v>87</v>
      </c>
      <c r="F106" s="5">
        <v>10</v>
      </c>
      <c r="G106" s="5">
        <v>5330</v>
      </c>
      <c r="H106" s="5">
        <v>21.2</v>
      </c>
      <c r="I106" s="5">
        <v>42000.4</v>
      </c>
      <c r="J106" s="3" t="s">
        <v>26</v>
      </c>
      <c r="K106" s="3" t="s">
        <v>51</v>
      </c>
      <c r="L106" t="str">
        <f>IFERROR(VLOOKUP(D106,Products!$A$2:$F$61,3,FALSE()),"")</f>
        <v>Electronics</v>
      </c>
      <c r="M106" t="str">
        <f>IFERROR(VLOOKUP(E106,Sales_Reps!$A$2:$C$31,3,FALSE()),"")</f>
        <v>North</v>
      </c>
      <c r="N106">
        <f>IFERROR(VLOOKUP(D106,Products!$A$2:$F$61,4,FALSE()),"")</f>
        <v>2405</v>
      </c>
      <c r="O106" t="str">
        <f>IFERROR(VLOOKUP(C106,Customers!$A$2:$F$301,5,FALSE()),"")</f>
        <v>SMB</v>
      </c>
      <c r="P106">
        <f>IFERROR(VLOOKUP(C106,Customers!$A$2:$F$301,3,FALSE()),"")</f>
        <v>22</v>
      </c>
      <c r="Q106">
        <f t="shared" si="3"/>
        <v>0.54878048780487809</v>
      </c>
      <c r="R106">
        <f>IF(AND(COUNTIF($A$2:$A$2027,A106)&gt;1,COUNTIF($A$2:A106,A106)=1),1,0)</f>
        <v>0</v>
      </c>
      <c r="S106" t="b">
        <f>IFERROR(VLOOKUP(D106,Products!$A$2:$F$61,6,FALSE()),"")</f>
        <v>1</v>
      </c>
      <c r="T106" t="str">
        <f>IF(COUNTIF(Customers!$A$2:$A$301,C106)=0,"Missing","OK")</f>
        <v>OK</v>
      </c>
      <c r="U106" t="str">
        <f t="shared" si="4"/>
        <v>Mumbai</v>
      </c>
      <c r="V106">
        <f t="shared" si="5"/>
        <v>0</v>
      </c>
    </row>
    <row r="107" spans="1:22" ht="15" customHeight="1" x14ac:dyDescent="0.35">
      <c r="A107" s="3" t="s">
        <v>304</v>
      </c>
      <c r="B107" s="4">
        <v>45640</v>
      </c>
      <c r="C107" s="3" t="s">
        <v>305</v>
      </c>
      <c r="D107" s="3" t="s">
        <v>306</v>
      </c>
      <c r="E107" s="3" t="s">
        <v>177</v>
      </c>
      <c r="F107" s="5">
        <v>4</v>
      </c>
      <c r="G107" s="5">
        <v>2380</v>
      </c>
      <c r="H107" s="5">
        <v>26.2</v>
      </c>
      <c r="I107" s="5">
        <v>7025.76</v>
      </c>
      <c r="J107" s="3" t="s">
        <v>26</v>
      </c>
      <c r="K107" s="3" t="s">
        <v>51</v>
      </c>
      <c r="L107" t="str">
        <f>IFERROR(VLOOKUP(D107,Products!$A$2:$F$61,3,FALSE()),"")</f>
        <v>Grocery</v>
      </c>
      <c r="M107" t="str">
        <f>IFERROR(VLOOKUP(E107,Sales_Reps!$A$2:$C$31,3,FALSE()),"")</f>
        <v>East</v>
      </c>
      <c r="N107">
        <f>IFERROR(VLOOKUP(D107,Products!$A$2:$F$61,4,FALSE()),"")</f>
        <v>1182</v>
      </c>
      <c r="O107" t="str">
        <f>IFERROR(VLOOKUP(C107,Customers!$A$2:$F$301,5,FALSE()),"")</f>
        <v>Retail</v>
      </c>
      <c r="P107">
        <f>IFERROR(VLOOKUP(C107,Customers!$A$2:$F$301,3,FALSE()),"")</f>
        <v>25</v>
      </c>
      <c r="Q107">
        <f t="shared" si="3"/>
        <v>0.50336134453781511</v>
      </c>
      <c r="R107">
        <f>IF(AND(COUNTIF($A$2:$A$2027,A107)&gt;1,COUNTIF($A$2:A107,A107)=1),1,0)</f>
        <v>0</v>
      </c>
      <c r="S107" t="b">
        <f>IFERROR(VLOOKUP(D107,Products!$A$2:$F$61,6,FALSE()),"")</f>
        <v>1</v>
      </c>
      <c r="T107" t="str">
        <f>IF(COUNTIF(Customers!$A$2:$A$301,C107)=0,"Missing","OK")</f>
        <v>OK</v>
      </c>
      <c r="U107" t="str">
        <f t="shared" si="4"/>
        <v>Mumbai</v>
      </c>
      <c r="V107">
        <f t="shared" si="5"/>
        <v>0</v>
      </c>
    </row>
    <row r="108" spans="1:22" ht="15" customHeight="1" x14ac:dyDescent="0.35">
      <c r="A108" s="3" t="s">
        <v>307</v>
      </c>
      <c r="B108" s="4">
        <v>45322</v>
      </c>
      <c r="C108" s="3" t="s">
        <v>308</v>
      </c>
      <c r="D108" s="3" t="s">
        <v>121</v>
      </c>
      <c r="E108" s="3" t="s">
        <v>282</v>
      </c>
      <c r="F108" s="5">
        <v>1</v>
      </c>
      <c r="G108" s="5">
        <v>1010</v>
      </c>
      <c r="H108" s="5">
        <v>19.5</v>
      </c>
      <c r="I108" s="5">
        <v>813.05</v>
      </c>
      <c r="J108" s="3" t="s">
        <v>79</v>
      </c>
      <c r="K108" s="3" t="s">
        <v>33</v>
      </c>
      <c r="L108" t="str">
        <f>IFERROR(VLOOKUP(D108,Products!$A$2:$F$61,3,FALSE()),"")</f>
        <v>Sports</v>
      </c>
      <c r="M108" t="str">
        <f>IFERROR(VLOOKUP(E108,Sales_Reps!$A$2:$C$31,3,FALSE()),"")</f>
        <v>West</v>
      </c>
      <c r="N108">
        <f>IFERROR(VLOOKUP(D108,Products!$A$2:$F$61,4,FALSE()),"")</f>
        <v>516</v>
      </c>
      <c r="O108" t="str">
        <f>IFERROR(VLOOKUP(C108,Customers!$A$2:$F$301,5,FALSE()),"")</f>
        <v>SMB</v>
      </c>
      <c r="P108">
        <f>IFERROR(VLOOKUP(C108,Customers!$A$2:$F$301,3,FALSE()),"")</f>
        <v>62</v>
      </c>
      <c r="Q108">
        <f t="shared" si="3"/>
        <v>0.4891089108910891</v>
      </c>
      <c r="R108">
        <f>IF(AND(COUNTIF($A$2:$A$2027,A108)&gt;1,COUNTIF($A$2:A108,A108)=1),1,0)</f>
        <v>0</v>
      </c>
      <c r="S108" t="b">
        <f>IFERROR(VLOOKUP(D108,Products!$A$2:$F$61,6,FALSE()),"")</f>
        <v>1</v>
      </c>
      <c r="T108" t="str">
        <f>IF(COUNTIF(Customers!$A$2:$A$301,C108)=0,"Missing","OK")</f>
        <v>OK</v>
      </c>
      <c r="U108" t="str">
        <f t="shared" si="4"/>
        <v>Chennai</v>
      </c>
      <c r="V108">
        <f t="shared" si="5"/>
        <v>0</v>
      </c>
    </row>
    <row r="109" spans="1:22" ht="15" customHeight="1" x14ac:dyDescent="0.35">
      <c r="A109" s="3" t="s">
        <v>309</v>
      </c>
      <c r="B109" s="4">
        <v>45414</v>
      </c>
      <c r="C109" s="3" t="s">
        <v>310</v>
      </c>
      <c r="D109" s="3" t="s">
        <v>41</v>
      </c>
      <c r="E109" s="3" t="s">
        <v>50</v>
      </c>
      <c r="F109" s="5">
        <v>1</v>
      </c>
      <c r="G109" s="5">
        <v>3660</v>
      </c>
      <c r="H109" s="5">
        <v>1.3</v>
      </c>
      <c r="I109" s="5">
        <v>3612.42</v>
      </c>
      <c r="J109" s="3" t="s">
        <v>26</v>
      </c>
      <c r="K109" s="3" t="s">
        <v>51</v>
      </c>
      <c r="L109" t="str">
        <f>IFERROR(VLOOKUP(D109,Products!$A$2:$F$61,3,FALSE()),"")</f>
        <v>Grocery</v>
      </c>
      <c r="M109" t="str">
        <f>IFERROR(VLOOKUP(E109,Sales_Reps!$A$2:$C$31,3,FALSE()),"")</f>
        <v>West</v>
      </c>
      <c r="N109">
        <f>IFERROR(VLOOKUP(D109,Products!$A$2:$F$61,4,FALSE()),"")</f>
        <v>2214</v>
      </c>
      <c r="O109" t="str">
        <f>IFERROR(VLOOKUP(C109,Customers!$A$2:$F$301,5,FALSE()),"")</f>
        <v>Retail</v>
      </c>
      <c r="P109">
        <f>IFERROR(VLOOKUP(C109,Customers!$A$2:$F$301,3,FALSE()),"")</f>
        <v>42</v>
      </c>
      <c r="Q109">
        <f t="shared" si="3"/>
        <v>0.39508196721311473</v>
      </c>
      <c r="R109">
        <f>IF(AND(COUNTIF($A$2:$A$2027,A109)&gt;1,COUNTIF($A$2:A109,A109)=1),1,0)</f>
        <v>0</v>
      </c>
      <c r="S109" t="b">
        <f>IFERROR(VLOOKUP(D109,Products!$A$2:$F$61,6,FALSE()),"")</f>
        <v>0</v>
      </c>
      <c r="T109" t="str">
        <f>IF(COUNTIF(Customers!$A$2:$A$301,C109)=0,"Missing","OK")</f>
        <v>OK</v>
      </c>
      <c r="U109" t="str">
        <f t="shared" si="4"/>
        <v>Mumbai</v>
      </c>
      <c r="V109">
        <f t="shared" si="5"/>
        <v>0</v>
      </c>
    </row>
    <row r="110" spans="1:22" ht="15" customHeight="1" x14ac:dyDescent="0.35">
      <c r="A110" s="3" t="s">
        <v>311</v>
      </c>
      <c r="B110" s="4">
        <v>45592</v>
      </c>
      <c r="C110" s="3" t="s">
        <v>312</v>
      </c>
      <c r="D110" s="3" t="s">
        <v>203</v>
      </c>
      <c r="E110" s="3" t="s">
        <v>191</v>
      </c>
      <c r="F110" s="5">
        <v>2</v>
      </c>
      <c r="G110" s="5">
        <v>4070</v>
      </c>
      <c r="H110" s="5">
        <v>29</v>
      </c>
      <c r="I110" s="5">
        <v>5779.4</v>
      </c>
      <c r="J110" s="3" t="s">
        <v>79</v>
      </c>
      <c r="K110" s="3" t="s">
        <v>27</v>
      </c>
      <c r="L110" t="str">
        <f>IFERROR(VLOOKUP(D110,Products!$A$2:$F$61,3,FALSE()),"")</f>
        <v>Grocery</v>
      </c>
      <c r="M110" t="str">
        <f>IFERROR(VLOOKUP(E110,Sales_Reps!$A$2:$C$31,3,FALSE()),"")</f>
        <v>South</v>
      </c>
      <c r="N110">
        <f>IFERROR(VLOOKUP(D110,Products!$A$2:$F$61,4,FALSE()),"")</f>
        <v>2027</v>
      </c>
      <c r="O110" t="str">
        <f>IFERROR(VLOOKUP(C110,Customers!$A$2:$F$301,5,FALSE()),"")</f>
        <v>Retail</v>
      </c>
      <c r="P110">
        <f>IFERROR(VLOOKUP(C110,Customers!$A$2:$F$301,3,FALSE()),"")</f>
        <v>43</v>
      </c>
      <c r="Q110">
        <f t="shared" si="3"/>
        <v>0.50196560196560192</v>
      </c>
      <c r="R110">
        <f>IF(AND(COUNTIF($A$2:$A$2027,A110)&gt;1,COUNTIF($A$2:A110,A110)=1),1,0)</f>
        <v>0</v>
      </c>
      <c r="S110" t="b">
        <f>IFERROR(VLOOKUP(D110,Products!$A$2:$F$61,6,FALSE()),"")</f>
        <v>1</v>
      </c>
      <c r="T110" t="str">
        <f>IF(COUNTIF(Customers!$A$2:$A$301,C110)=0,"Missing","OK")</f>
        <v>OK</v>
      </c>
      <c r="U110" t="str">
        <f t="shared" si="4"/>
        <v>Pune</v>
      </c>
      <c r="V110">
        <f t="shared" si="5"/>
        <v>0</v>
      </c>
    </row>
    <row r="111" spans="1:22" ht="15" customHeight="1" x14ac:dyDescent="0.35">
      <c r="A111" s="3" t="s">
        <v>313</v>
      </c>
      <c r="B111" s="4">
        <v>45439</v>
      </c>
      <c r="C111" s="3" t="s">
        <v>129</v>
      </c>
      <c r="D111" s="3" t="s">
        <v>142</v>
      </c>
      <c r="E111" s="3" t="s">
        <v>168</v>
      </c>
      <c r="F111" s="5">
        <v>6</v>
      </c>
      <c r="G111" s="5">
        <v>660</v>
      </c>
      <c r="H111" s="5">
        <v>20.2</v>
      </c>
      <c r="I111" s="5">
        <v>3160.08</v>
      </c>
      <c r="J111" s="3" t="s">
        <v>32</v>
      </c>
      <c r="K111" s="3" t="s">
        <v>72</v>
      </c>
      <c r="L111" t="str">
        <f>IFERROR(VLOOKUP(D111,Products!$A$2:$F$61,3,FALSE()),"")</f>
        <v>Home</v>
      </c>
      <c r="M111" t="str">
        <f>IFERROR(VLOOKUP(E111,Sales_Reps!$A$2:$C$31,3,FALSE()),"")</f>
        <v>West</v>
      </c>
      <c r="N111">
        <f>IFERROR(VLOOKUP(D111,Products!$A$2:$F$61,4,FALSE()),"")</f>
        <v>329</v>
      </c>
      <c r="O111" t="str">
        <f>IFERROR(VLOOKUP(C111,Customers!$A$2:$F$301,5,FALSE()),"")</f>
        <v>Corporate</v>
      </c>
      <c r="P111">
        <f>IFERROR(VLOOKUP(C111,Customers!$A$2:$F$301,3,FALSE()),"")</f>
        <v>56</v>
      </c>
      <c r="Q111">
        <f t="shared" si="3"/>
        <v>0.50151515151515147</v>
      </c>
      <c r="R111">
        <f>IF(AND(COUNTIF($A$2:$A$2027,A111)&gt;1,COUNTIF($A$2:A111,A111)=1),1,0)</f>
        <v>0</v>
      </c>
      <c r="S111" t="b">
        <f>IFERROR(VLOOKUP(D111,Products!$A$2:$F$61,6,FALSE()),"")</f>
        <v>1</v>
      </c>
      <c r="T111" t="str">
        <f>IF(COUNTIF(Customers!$A$2:$A$301,C111)=0,"Missing","OK")</f>
        <v>OK</v>
      </c>
      <c r="U111" t="str">
        <f t="shared" si="4"/>
        <v>Hyderabad</v>
      </c>
      <c r="V111">
        <f t="shared" si="5"/>
        <v>0</v>
      </c>
    </row>
    <row r="112" spans="1:22" ht="15" customHeight="1" x14ac:dyDescent="0.35">
      <c r="A112" s="3" t="s">
        <v>314</v>
      </c>
      <c r="B112" s="4">
        <v>45486</v>
      </c>
      <c r="C112" s="3" t="s">
        <v>315</v>
      </c>
      <c r="D112" s="3" t="s">
        <v>103</v>
      </c>
      <c r="E112" s="3" t="s">
        <v>55</v>
      </c>
      <c r="F112" s="5">
        <v>3</v>
      </c>
      <c r="G112" s="5">
        <v>1080</v>
      </c>
      <c r="H112" s="5">
        <v>29.7</v>
      </c>
      <c r="I112" s="5">
        <v>2277.7199999999998</v>
      </c>
      <c r="J112" s="3" t="s">
        <v>26</v>
      </c>
      <c r="K112" s="3" t="s">
        <v>56</v>
      </c>
      <c r="L112" t="str">
        <f>IFERROR(VLOOKUP(D112,Products!$A$2:$F$61,3,FALSE()),"")</f>
        <v>Home</v>
      </c>
      <c r="M112" t="str">
        <f>IFERROR(VLOOKUP(E112,Sales_Reps!$A$2:$C$31,3,FALSE()),"")</f>
        <v>West</v>
      </c>
      <c r="N112">
        <f>IFERROR(VLOOKUP(D112,Products!$A$2:$F$61,4,FALSE()),"")</f>
        <v>519</v>
      </c>
      <c r="O112" t="str">
        <f>IFERROR(VLOOKUP(C112,Customers!$A$2:$F$301,5,FALSE()),"")</f>
        <v>SMB</v>
      </c>
      <c r="P112">
        <f>IFERROR(VLOOKUP(C112,Customers!$A$2:$F$301,3,FALSE()),"")</f>
        <v>44</v>
      </c>
      <c r="Q112">
        <f t="shared" si="3"/>
        <v>0.51944444444444449</v>
      </c>
      <c r="R112">
        <f>IF(AND(COUNTIF($A$2:$A$2027,A112)&gt;1,COUNTIF($A$2:A112,A112)=1),1,0)</f>
        <v>0</v>
      </c>
      <c r="S112" t="b">
        <f>IFERROR(VLOOKUP(D112,Products!$A$2:$F$61,6,FALSE()),"")</f>
        <v>1</v>
      </c>
      <c r="T112" t="str">
        <f>IF(COUNTIF(Customers!$A$2:$A$301,C112)=0,"Missing","OK")</f>
        <v>OK</v>
      </c>
      <c r="U112" t="str">
        <f t="shared" si="4"/>
        <v>Bengaluru</v>
      </c>
      <c r="V112">
        <f t="shared" si="5"/>
        <v>0</v>
      </c>
    </row>
    <row r="113" spans="1:22" ht="15" customHeight="1" x14ac:dyDescent="0.35">
      <c r="A113" s="3" t="s">
        <v>316</v>
      </c>
      <c r="B113" s="4">
        <v>45629</v>
      </c>
      <c r="C113" s="3" t="s">
        <v>317</v>
      </c>
      <c r="D113" s="3" t="s">
        <v>30</v>
      </c>
      <c r="E113" s="3" t="s">
        <v>42</v>
      </c>
      <c r="F113" s="5">
        <v>7</v>
      </c>
      <c r="G113" s="5">
        <v>820</v>
      </c>
      <c r="H113" s="5">
        <v>13.5</v>
      </c>
      <c r="I113" s="5">
        <v>4965.1000000000004</v>
      </c>
      <c r="J113" s="3" t="s">
        <v>79</v>
      </c>
      <c r="K113" s="3" t="s">
        <v>33</v>
      </c>
      <c r="L113" t="str">
        <f>IFERROR(VLOOKUP(D113,Products!$A$2:$F$61,3,FALSE()),"")</f>
        <v>Apparel</v>
      </c>
      <c r="M113" t="str">
        <f>IFERROR(VLOOKUP(E113,Sales_Reps!$A$2:$C$31,3,FALSE()),"")</f>
        <v>North</v>
      </c>
      <c r="N113">
        <f>IFERROR(VLOOKUP(D113,Products!$A$2:$F$61,4,FALSE()),"")</f>
        <v>391</v>
      </c>
      <c r="O113" t="str">
        <f>IFERROR(VLOOKUP(C113,Customers!$A$2:$F$301,5,FALSE()),"")</f>
        <v>SMB</v>
      </c>
      <c r="P113">
        <f>IFERROR(VLOOKUP(C113,Customers!$A$2:$F$301,3,FALSE()),"")</f>
        <v>53</v>
      </c>
      <c r="Q113">
        <f t="shared" si="3"/>
        <v>0.52317073170731709</v>
      </c>
      <c r="R113">
        <f>IF(AND(COUNTIF($A$2:$A$2027,A113)&gt;1,COUNTIF($A$2:A113,A113)=1),1,0)</f>
        <v>0</v>
      </c>
      <c r="S113" t="b">
        <f>IFERROR(VLOOKUP(D113,Products!$A$2:$F$61,6,FALSE()),"")</f>
        <v>1</v>
      </c>
      <c r="T113" t="str">
        <f>IF(COUNTIF(Customers!$A$2:$A$301,C113)=0,"Missing","OK")</f>
        <v>OK</v>
      </c>
      <c r="U113" t="str">
        <f t="shared" si="4"/>
        <v>Chennai</v>
      </c>
      <c r="V113">
        <f t="shared" si="5"/>
        <v>0</v>
      </c>
    </row>
    <row r="114" spans="1:22" ht="15" customHeight="1" x14ac:dyDescent="0.35">
      <c r="A114" s="3" t="s">
        <v>318</v>
      </c>
      <c r="B114" s="4">
        <v>45394</v>
      </c>
      <c r="C114" s="3" t="s">
        <v>76</v>
      </c>
      <c r="D114" s="3" t="s">
        <v>319</v>
      </c>
      <c r="E114" s="3" t="s">
        <v>282</v>
      </c>
      <c r="F114" s="5">
        <v>4</v>
      </c>
      <c r="G114" s="5">
        <v>960</v>
      </c>
      <c r="H114" s="5">
        <v>26</v>
      </c>
      <c r="I114" s="5">
        <v>2841.6</v>
      </c>
      <c r="J114" s="3" t="s">
        <v>26</v>
      </c>
      <c r="K114" s="3" t="s">
        <v>38</v>
      </c>
      <c r="L114" t="str">
        <f>IFERROR(VLOOKUP(D114,Products!$A$2:$F$61,3,FALSE()),"")</f>
        <v>Beauty</v>
      </c>
      <c r="M114" t="str">
        <f>IFERROR(VLOOKUP(E114,Sales_Reps!$A$2:$C$31,3,FALSE()),"")</f>
        <v>West</v>
      </c>
      <c r="N114">
        <f>IFERROR(VLOOKUP(D114,Products!$A$2:$F$61,4,FALSE()),"")</f>
        <v>675</v>
      </c>
      <c r="O114" t="str">
        <f>IFERROR(VLOOKUP(C114,Customers!$A$2:$F$301,5,FALSE()),"")</f>
        <v>SMB</v>
      </c>
      <c r="P114">
        <f>IFERROR(VLOOKUP(C114,Customers!$A$2:$F$301,3,FALSE()),"")</f>
        <v>27</v>
      </c>
      <c r="Q114">
        <f t="shared" si="3"/>
        <v>0.296875</v>
      </c>
      <c r="R114">
        <f>IF(AND(COUNTIF($A$2:$A$2027,A114)&gt;1,COUNTIF($A$2:A114,A114)=1),1,0)</f>
        <v>0</v>
      </c>
      <c r="S114" t="b">
        <f>IFERROR(VLOOKUP(D114,Products!$A$2:$F$61,6,FALSE()),"")</f>
        <v>1</v>
      </c>
      <c r="T114" t="str">
        <f>IF(COUNTIF(Customers!$A$2:$A$301,C114)=0,"Missing","OK")</f>
        <v>OK</v>
      </c>
      <c r="U114" t="str">
        <f t="shared" si="4"/>
        <v>Delhi</v>
      </c>
      <c r="V114">
        <f t="shared" si="5"/>
        <v>0</v>
      </c>
    </row>
    <row r="115" spans="1:22" ht="15" customHeight="1" x14ac:dyDescent="0.35">
      <c r="A115" s="3" t="s">
        <v>320</v>
      </c>
      <c r="B115" s="4">
        <v>45453</v>
      </c>
      <c r="C115" s="3" t="s">
        <v>321</v>
      </c>
      <c r="D115" s="3" t="s">
        <v>77</v>
      </c>
      <c r="E115" s="3" t="s">
        <v>37</v>
      </c>
      <c r="F115" s="5">
        <v>3</v>
      </c>
      <c r="G115" s="5">
        <v>2600</v>
      </c>
      <c r="H115" s="5">
        <v>18.2</v>
      </c>
      <c r="I115" s="5">
        <v>6380.4</v>
      </c>
      <c r="J115" s="3" t="s">
        <v>26</v>
      </c>
      <c r="K115" s="3" t="s">
        <v>38</v>
      </c>
      <c r="L115" t="str">
        <f>IFERROR(VLOOKUP(D115,Products!$A$2:$F$61,3,FALSE()),"")</f>
        <v>Electronics</v>
      </c>
      <c r="M115" t="str">
        <f>IFERROR(VLOOKUP(E115,Sales_Reps!$A$2:$C$31,3,FALSE()),"")</f>
        <v>South</v>
      </c>
      <c r="N115">
        <f>IFERROR(VLOOKUP(D115,Products!$A$2:$F$61,4,FALSE()),"")</f>
        <v>1052</v>
      </c>
      <c r="O115" t="str">
        <f>IFERROR(VLOOKUP(C115,Customers!$A$2:$F$301,5,FALSE()),"")</f>
        <v>Corporate</v>
      </c>
      <c r="P115">
        <f>IFERROR(VLOOKUP(C115,Customers!$A$2:$F$301,3,FALSE()),"")</f>
        <v>27</v>
      </c>
      <c r="Q115">
        <f t="shared" si="3"/>
        <v>0.5953846153846154</v>
      </c>
      <c r="R115">
        <f>IF(AND(COUNTIF($A$2:$A$2027,A115)&gt;1,COUNTIF($A$2:A115,A115)=1),1,0)</f>
        <v>0</v>
      </c>
      <c r="S115" t="b">
        <f>IFERROR(VLOOKUP(D115,Products!$A$2:$F$61,6,FALSE()),"")</f>
        <v>1</v>
      </c>
      <c r="T115" t="str">
        <f>IF(COUNTIF(Customers!$A$2:$A$301,C115)=0,"Missing","OK")</f>
        <v>OK</v>
      </c>
      <c r="U115" t="str">
        <f t="shared" si="4"/>
        <v>Delhi</v>
      </c>
      <c r="V115">
        <f t="shared" si="5"/>
        <v>0</v>
      </c>
    </row>
    <row r="116" spans="1:22" ht="15" customHeight="1" x14ac:dyDescent="0.35">
      <c r="A116" s="3" t="s">
        <v>322</v>
      </c>
      <c r="B116" s="4">
        <v>45370</v>
      </c>
      <c r="C116" s="3" t="s">
        <v>89</v>
      </c>
      <c r="D116" s="3" t="s">
        <v>234</v>
      </c>
      <c r="E116" s="3" t="s">
        <v>168</v>
      </c>
      <c r="F116" s="5">
        <v>9</v>
      </c>
      <c r="G116" s="5">
        <v>2030</v>
      </c>
      <c r="H116" s="5">
        <v>26.1</v>
      </c>
      <c r="I116" s="5">
        <v>13501.53</v>
      </c>
      <c r="J116" s="3" t="s">
        <v>26</v>
      </c>
      <c r="K116" s="3" t="s">
        <v>27</v>
      </c>
      <c r="L116" t="str">
        <f>IFERROR(VLOOKUP(D116,Products!$A$2:$F$61,3,FALSE()),"")</f>
        <v>Home</v>
      </c>
      <c r="M116" t="str">
        <f>IFERROR(VLOOKUP(E116,Sales_Reps!$A$2:$C$31,3,FALSE()),"")</f>
        <v>West</v>
      </c>
      <c r="N116">
        <f>IFERROR(VLOOKUP(D116,Products!$A$2:$F$61,4,FALSE()),"")</f>
        <v>1143</v>
      </c>
      <c r="O116" t="str">
        <f>IFERROR(VLOOKUP(C116,Customers!$A$2:$F$301,5,FALSE()),"")</f>
        <v>Retail</v>
      </c>
      <c r="P116">
        <f>IFERROR(VLOOKUP(C116,Customers!$A$2:$F$301,3,FALSE()),"")</f>
        <v>63</v>
      </c>
      <c r="Q116">
        <f t="shared" si="3"/>
        <v>0.43694581280788175</v>
      </c>
      <c r="R116">
        <f>IF(AND(COUNTIF($A$2:$A$2027,A116)&gt;1,COUNTIF($A$2:A116,A116)=1),1,0)</f>
        <v>0</v>
      </c>
      <c r="S116" t="b">
        <f>IFERROR(VLOOKUP(D116,Products!$A$2:$F$61,6,FALSE()),"")</f>
        <v>1</v>
      </c>
      <c r="T116" t="str">
        <f>IF(COUNTIF(Customers!$A$2:$A$301,C116)=0,"Missing","OK")</f>
        <v>OK</v>
      </c>
      <c r="U116" t="str">
        <f t="shared" si="4"/>
        <v>Pune</v>
      </c>
      <c r="V116">
        <f t="shared" si="5"/>
        <v>0</v>
      </c>
    </row>
    <row r="117" spans="1:22" ht="15" customHeight="1" x14ac:dyDescent="0.35">
      <c r="A117" s="3" t="s">
        <v>323</v>
      </c>
      <c r="B117" s="4">
        <v>45597</v>
      </c>
      <c r="C117" s="3" t="s">
        <v>324</v>
      </c>
      <c r="D117" s="3" t="s">
        <v>325</v>
      </c>
      <c r="E117" s="3" t="s">
        <v>67</v>
      </c>
      <c r="F117" s="5">
        <v>8</v>
      </c>
      <c r="G117" s="5">
        <v>2290</v>
      </c>
      <c r="H117" s="5">
        <v>20.8</v>
      </c>
      <c r="I117" s="5">
        <v>14509.44</v>
      </c>
      <c r="J117" s="3" t="s">
        <v>26</v>
      </c>
      <c r="K117" s="3" t="s">
        <v>56</v>
      </c>
      <c r="L117" t="str">
        <f>IFERROR(VLOOKUP(D117,Products!$A$2:$F$61,3,FALSE()),"")</f>
        <v>Beauty</v>
      </c>
      <c r="M117" t="str">
        <f>IFERROR(VLOOKUP(E117,Sales_Reps!$A$2:$C$31,3,FALSE()),"")</f>
        <v>West</v>
      </c>
      <c r="N117">
        <f>IFERROR(VLOOKUP(D117,Products!$A$2:$F$61,4,FALSE()),"")</f>
        <v>1219</v>
      </c>
      <c r="O117" t="str">
        <f>IFERROR(VLOOKUP(C117,Customers!$A$2:$F$301,5,FALSE()),"")</f>
        <v>Retail</v>
      </c>
      <c r="P117">
        <f>IFERROR(VLOOKUP(C117,Customers!$A$2:$F$301,3,FALSE()),"")</f>
        <v>23</v>
      </c>
      <c r="Q117">
        <f t="shared" si="3"/>
        <v>0.46768558951965067</v>
      </c>
      <c r="R117">
        <f>IF(AND(COUNTIF($A$2:$A$2027,A117)&gt;1,COUNTIF($A$2:A117,A117)=1),1,0)</f>
        <v>0</v>
      </c>
      <c r="S117" t="b">
        <f>IFERROR(VLOOKUP(D117,Products!$A$2:$F$61,6,FALSE()),"")</f>
        <v>1</v>
      </c>
      <c r="T117" t="str">
        <f>IF(COUNTIF(Customers!$A$2:$A$301,C117)=0,"Missing","OK")</f>
        <v>OK</v>
      </c>
      <c r="U117" t="str">
        <f t="shared" si="4"/>
        <v>Bengaluru</v>
      </c>
      <c r="V117">
        <f t="shared" si="5"/>
        <v>0</v>
      </c>
    </row>
    <row r="118" spans="1:22" ht="15" customHeight="1" x14ac:dyDescent="0.35">
      <c r="A118" s="3" t="s">
        <v>326</v>
      </c>
      <c r="B118" s="4">
        <v>45531</v>
      </c>
      <c r="C118" s="3" t="s">
        <v>327</v>
      </c>
      <c r="D118" s="3" t="s">
        <v>165</v>
      </c>
      <c r="E118" s="3" t="s">
        <v>168</v>
      </c>
      <c r="F118" s="5">
        <v>3</v>
      </c>
      <c r="G118" s="5">
        <v>3730</v>
      </c>
      <c r="H118" s="5">
        <v>7.9</v>
      </c>
      <c r="I118" s="5">
        <v>10305.99</v>
      </c>
      <c r="J118" s="3" t="s">
        <v>26</v>
      </c>
      <c r="K118" s="3" t="s">
        <v>72</v>
      </c>
      <c r="L118" t="str">
        <f>IFERROR(VLOOKUP(D118,Products!$A$2:$F$61,3,FALSE()),"")</f>
        <v>Home</v>
      </c>
      <c r="M118" t="str">
        <f>IFERROR(VLOOKUP(E118,Sales_Reps!$A$2:$C$31,3,FALSE()),"")</f>
        <v>West</v>
      </c>
      <c r="N118">
        <f>IFERROR(VLOOKUP(D118,Products!$A$2:$F$61,4,FALSE()),"")</f>
        <v>2135</v>
      </c>
      <c r="O118" t="str">
        <f>IFERROR(VLOOKUP(C118,Customers!$A$2:$F$301,5,FALSE()),"")</f>
        <v>Retail</v>
      </c>
      <c r="P118">
        <f>IFERROR(VLOOKUP(C118,Customers!$A$2:$F$301,3,FALSE()),"")</f>
        <v>44</v>
      </c>
      <c r="Q118">
        <f t="shared" si="3"/>
        <v>0.42761394101876676</v>
      </c>
      <c r="R118">
        <f>IF(AND(COUNTIF($A$2:$A$2027,A118)&gt;1,COUNTIF($A$2:A118,A118)=1),1,0)</f>
        <v>0</v>
      </c>
      <c r="S118" t="b">
        <f>IFERROR(VLOOKUP(D118,Products!$A$2:$F$61,6,FALSE()),"")</f>
        <v>1</v>
      </c>
      <c r="T118" t="str">
        <f>IF(COUNTIF(Customers!$A$2:$A$301,C118)=0,"Missing","OK")</f>
        <v>OK</v>
      </c>
      <c r="U118" t="str">
        <f t="shared" si="4"/>
        <v>Hyderabad</v>
      </c>
      <c r="V118">
        <f t="shared" si="5"/>
        <v>0</v>
      </c>
    </row>
    <row r="119" spans="1:22" ht="15" customHeight="1" x14ac:dyDescent="0.35">
      <c r="A119" s="3" t="s">
        <v>328</v>
      </c>
      <c r="B119" s="4">
        <v>45596</v>
      </c>
      <c r="C119" s="3" t="s">
        <v>329</v>
      </c>
      <c r="D119" s="3" t="s">
        <v>221</v>
      </c>
      <c r="E119" s="3" t="s">
        <v>37</v>
      </c>
      <c r="F119" s="5">
        <v>1</v>
      </c>
      <c r="G119" s="5">
        <v>300</v>
      </c>
      <c r="H119" s="5">
        <v>16.899999999999999</v>
      </c>
      <c r="I119" s="5">
        <v>249.3</v>
      </c>
      <c r="J119" s="3" t="s">
        <v>32</v>
      </c>
      <c r="K119" s="3" t="s">
        <v>27</v>
      </c>
      <c r="L119" t="str">
        <f>IFERROR(VLOOKUP(D119,Products!$A$2:$F$61,3,FALSE()),"")</f>
        <v>Electronics</v>
      </c>
      <c r="M119" t="str">
        <f>IFERROR(VLOOKUP(E119,Sales_Reps!$A$2:$C$31,3,FALSE()),"")</f>
        <v>South</v>
      </c>
      <c r="N119">
        <f>IFERROR(VLOOKUP(D119,Products!$A$2:$F$61,4,FALSE()),"")</f>
        <v>128</v>
      </c>
      <c r="O119" t="str">
        <f>IFERROR(VLOOKUP(C119,Customers!$A$2:$F$301,5,FALSE()),"")</f>
        <v>SMB</v>
      </c>
      <c r="P119">
        <f>IFERROR(VLOOKUP(C119,Customers!$A$2:$F$301,3,FALSE()),"")</f>
        <v>54</v>
      </c>
      <c r="Q119">
        <f t="shared" si="3"/>
        <v>0.57333333333333336</v>
      </c>
      <c r="R119">
        <f>IF(AND(COUNTIF($A$2:$A$2027,A119)&gt;1,COUNTIF($A$2:A119,A119)=1),1,0)</f>
        <v>0</v>
      </c>
      <c r="S119" t="b">
        <f>IFERROR(VLOOKUP(D119,Products!$A$2:$F$61,6,FALSE()),"")</f>
        <v>1</v>
      </c>
      <c r="T119" t="str">
        <f>IF(COUNTIF(Customers!$A$2:$A$301,C119)=0,"Missing","OK")</f>
        <v>OK</v>
      </c>
      <c r="U119" t="str">
        <f t="shared" si="4"/>
        <v>Pune</v>
      </c>
      <c r="V119">
        <f t="shared" si="5"/>
        <v>0</v>
      </c>
    </row>
    <row r="120" spans="1:22" ht="15" customHeight="1" x14ac:dyDescent="0.35">
      <c r="A120" s="3" t="s">
        <v>330</v>
      </c>
      <c r="B120" s="4">
        <v>45420</v>
      </c>
      <c r="C120" s="3" t="s">
        <v>331</v>
      </c>
      <c r="D120" s="3" t="s">
        <v>221</v>
      </c>
      <c r="E120" s="3" t="s">
        <v>264</v>
      </c>
      <c r="F120" s="5">
        <v>3</v>
      </c>
      <c r="G120" s="5">
        <v>300</v>
      </c>
      <c r="H120" s="5">
        <v>0.6</v>
      </c>
      <c r="I120" s="5">
        <v>894.6</v>
      </c>
      <c r="J120" s="3" t="s">
        <v>26</v>
      </c>
      <c r="K120" s="3" t="s">
        <v>51</v>
      </c>
      <c r="L120" t="str">
        <f>IFERROR(VLOOKUP(D120,Products!$A$2:$F$61,3,FALSE()),"")</f>
        <v>Electronics</v>
      </c>
      <c r="M120" t="str">
        <f>IFERROR(VLOOKUP(E120,Sales_Reps!$A$2:$C$31,3,FALSE()),"")</f>
        <v>South</v>
      </c>
      <c r="N120">
        <f>IFERROR(VLOOKUP(D120,Products!$A$2:$F$61,4,FALSE()),"")</f>
        <v>128</v>
      </c>
      <c r="O120" t="str">
        <f>IFERROR(VLOOKUP(C120,Customers!$A$2:$F$301,5,FALSE()),"")</f>
        <v>Retail</v>
      </c>
      <c r="P120">
        <f>IFERROR(VLOOKUP(C120,Customers!$A$2:$F$301,3,FALSE()),"")</f>
        <v>50</v>
      </c>
      <c r="Q120">
        <f t="shared" si="3"/>
        <v>0.57333333333333336</v>
      </c>
      <c r="R120">
        <f>IF(AND(COUNTIF($A$2:$A$2027,A120)&gt;1,COUNTIF($A$2:A120,A120)=1),1,0)</f>
        <v>0</v>
      </c>
      <c r="S120" t="b">
        <f>IFERROR(VLOOKUP(D120,Products!$A$2:$F$61,6,FALSE()),"")</f>
        <v>1</v>
      </c>
      <c r="T120" t="str">
        <f>IF(COUNTIF(Customers!$A$2:$A$301,C120)=0,"Missing","OK")</f>
        <v>OK</v>
      </c>
      <c r="U120" t="str">
        <f t="shared" si="4"/>
        <v>Mumbai</v>
      </c>
      <c r="V120">
        <f t="shared" si="5"/>
        <v>0</v>
      </c>
    </row>
    <row r="121" spans="1:22" ht="15" customHeight="1" x14ac:dyDescent="0.35">
      <c r="A121" s="3" t="s">
        <v>332</v>
      </c>
      <c r="B121" s="4">
        <v>45329</v>
      </c>
      <c r="C121" s="3" t="s">
        <v>333</v>
      </c>
      <c r="D121" s="3" t="s">
        <v>118</v>
      </c>
      <c r="E121" s="3" t="s">
        <v>25</v>
      </c>
      <c r="F121" s="5">
        <v>6</v>
      </c>
      <c r="G121" s="5">
        <v>3350</v>
      </c>
      <c r="H121" s="5">
        <v>2.2999999999999998</v>
      </c>
      <c r="I121" s="5">
        <v>19637.7</v>
      </c>
      <c r="J121" s="3" t="s">
        <v>79</v>
      </c>
      <c r="K121" s="3" t="s">
        <v>56</v>
      </c>
      <c r="L121" t="str">
        <f>IFERROR(VLOOKUP(D121,Products!$A$2:$F$61,3,FALSE()),"")</f>
        <v>Beauty</v>
      </c>
      <c r="M121" t="str">
        <f>IFERROR(VLOOKUP(E121,Sales_Reps!$A$2:$C$31,3,FALSE()),"")</f>
        <v>North</v>
      </c>
      <c r="N121">
        <f>IFERROR(VLOOKUP(D121,Products!$A$2:$F$61,4,FALSE()),"")</f>
        <v>1728</v>
      </c>
      <c r="O121" t="str">
        <f>IFERROR(VLOOKUP(C121,Customers!$A$2:$F$301,5,FALSE()),"")</f>
        <v>SMB</v>
      </c>
      <c r="P121">
        <f>IFERROR(VLOOKUP(C121,Customers!$A$2:$F$301,3,FALSE()),"")</f>
        <v>28</v>
      </c>
      <c r="Q121">
        <f t="shared" si="3"/>
        <v>0.48417910447761192</v>
      </c>
      <c r="R121">
        <f>IF(AND(COUNTIF($A$2:$A$2027,A121)&gt;1,COUNTIF($A$2:A121,A121)=1),1,0)</f>
        <v>0</v>
      </c>
      <c r="S121" t="b">
        <f>IFERROR(VLOOKUP(D121,Products!$A$2:$F$61,6,FALSE()),"")</f>
        <v>1</v>
      </c>
      <c r="T121" t="str">
        <f>IF(COUNTIF(Customers!$A$2:$A$301,C121)=0,"Missing","OK")</f>
        <v>OK</v>
      </c>
      <c r="U121" t="str">
        <f t="shared" si="4"/>
        <v>Bengaluru</v>
      </c>
      <c r="V121">
        <f t="shared" si="5"/>
        <v>0</v>
      </c>
    </row>
    <row r="122" spans="1:22" ht="15" customHeight="1" x14ac:dyDescent="0.35">
      <c r="A122" s="3" t="s">
        <v>334</v>
      </c>
      <c r="B122" s="4">
        <v>45416</v>
      </c>
      <c r="C122" s="3" t="s">
        <v>92</v>
      </c>
      <c r="D122" s="3" t="s">
        <v>303</v>
      </c>
      <c r="E122" s="3" t="s">
        <v>87</v>
      </c>
      <c r="F122" s="5">
        <v>4</v>
      </c>
      <c r="G122" s="5">
        <v>5330</v>
      </c>
      <c r="H122" s="5">
        <v>29.3</v>
      </c>
      <c r="I122" s="5">
        <v>15073.24</v>
      </c>
      <c r="J122" s="3" t="s">
        <v>26</v>
      </c>
      <c r="K122" s="3" t="s">
        <v>56</v>
      </c>
      <c r="L122" t="str">
        <f>IFERROR(VLOOKUP(D122,Products!$A$2:$F$61,3,FALSE()),"")</f>
        <v>Electronics</v>
      </c>
      <c r="M122" t="str">
        <f>IFERROR(VLOOKUP(E122,Sales_Reps!$A$2:$C$31,3,FALSE()),"")</f>
        <v>North</v>
      </c>
      <c r="N122">
        <f>IFERROR(VLOOKUP(D122,Products!$A$2:$F$61,4,FALSE()),"")</f>
        <v>2405</v>
      </c>
      <c r="O122" t="str">
        <f>IFERROR(VLOOKUP(C122,Customers!$A$2:$F$301,5,FALSE()),"")</f>
        <v>SMB</v>
      </c>
      <c r="P122">
        <f>IFERROR(VLOOKUP(C122,Customers!$A$2:$F$301,3,FALSE()),"")</f>
        <v>46</v>
      </c>
      <c r="Q122">
        <f t="shared" si="3"/>
        <v>0.54878048780487809</v>
      </c>
      <c r="R122">
        <f>IF(AND(COUNTIF($A$2:$A$2027,A122)&gt;1,COUNTIF($A$2:A122,A122)=1),1,0)</f>
        <v>0</v>
      </c>
      <c r="S122" t="b">
        <f>IFERROR(VLOOKUP(D122,Products!$A$2:$F$61,6,FALSE()),"")</f>
        <v>1</v>
      </c>
      <c r="T122" t="str">
        <f>IF(COUNTIF(Customers!$A$2:$A$301,C122)=0,"Missing","OK")</f>
        <v>OK</v>
      </c>
      <c r="U122" t="str">
        <f t="shared" si="4"/>
        <v>Bengaluru</v>
      </c>
      <c r="V122">
        <f t="shared" si="5"/>
        <v>0</v>
      </c>
    </row>
    <row r="123" spans="1:22" ht="15" customHeight="1" x14ac:dyDescent="0.35">
      <c r="A123" s="3" t="s">
        <v>335</v>
      </c>
      <c r="B123" s="4">
        <v>45614</v>
      </c>
      <c r="C123" s="3" t="s">
        <v>336</v>
      </c>
      <c r="D123" s="3" t="s">
        <v>24</v>
      </c>
      <c r="E123" s="3" t="s">
        <v>236</v>
      </c>
      <c r="F123" s="5">
        <v>6</v>
      </c>
      <c r="G123" s="5">
        <v>3620</v>
      </c>
      <c r="H123" s="5">
        <v>10.8</v>
      </c>
      <c r="I123" s="5">
        <v>19374.240000000002</v>
      </c>
      <c r="J123" s="3" t="s">
        <v>26</v>
      </c>
      <c r="K123" s="3" t="s">
        <v>38</v>
      </c>
      <c r="L123" t="str">
        <f>IFERROR(VLOOKUP(D123,Products!$A$2:$F$61,3,FALSE()),"")</f>
        <v>Apparel</v>
      </c>
      <c r="M123" t="str">
        <f>IFERROR(VLOOKUP(E123,Sales_Reps!$A$2:$C$31,3,FALSE()),"")</f>
        <v>North</v>
      </c>
      <c r="N123">
        <f>IFERROR(VLOOKUP(D123,Products!$A$2:$F$61,4,FALSE()),"")</f>
        <v>2509</v>
      </c>
      <c r="O123" t="str">
        <f>IFERROR(VLOOKUP(C123,Customers!$A$2:$F$301,5,FALSE()),"")</f>
        <v>Retail</v>
      </c>
      <c r="P123">
        <f>IFERROR(VLOOKUP(C123,Customers!$A$2:$F$301,3,FALSE()),"")</f>
        <v>30</v>
      </c>
      <c r="Q123">
        <f t="shared" si="3"/>
        <v>0.3069060773480663</v>
      </c>
      <c r="R123">
        <f>IF(AND(COUNTIF($A$2:$A$2027,A123)&gt;1,COUNTIF($A$2:A123,A123)=1),1,0)</f>
        <v>0</v>
      </c>
      <c r="S123" t="b">
        <f>IFERROR(VLOOKUP(D123,Products!$A$2:$F$61,6,FALSE()),"")</f>
        <v>1</v>
      </c>
      <c r="T123" t="str">
        <f>IF(COUNTIF(Customers!$A$2:$A$301,C123)=0,"Missing","OK")</f>
        <v>OK</v>
      </c>
      <c r="U123" t="str">
        <f t="shared" si="4"/>
        <v>Delhi</v>
      </c>
      <c r="V123">
        <f t="shared" si="5"/>
        <v>0</v>
      </c>
    </row>
    <row r="124" spans="1:22" ht="15" customHeight="1" x14ac:dyDescent="0.35">
      <c r="A124" s="3" t="s">
        <v>337</v>
      </c>
      <c r="B124" s="4">
        <v>45593</v>
      </c>
      <c r="C124" s="3" t="s">
        <v>338</v>
      </c>
      <c r="D124" s="3" t="s">
        <v>24</v>
      </c>
      <c r="E124" s="3" t="s">
        <v>31</v>
      </c>
      <c r="F124" s="5">
        <v>6</v>
      </c>
      <c r="G124" s="5">
        <v>3620</v>
      </c>
      <c r="H124" s="5">
        <v>21.7</v>
      </c>
      <c r="I124" s="5">
        <v>17006.759999999998</v>
      </c>
      <c r="J124" s="3" t="s">
        <v>26</v>
      </c>
      <c r="K124" s="3" t="s">
        <v>38</v>
      </c>
      <c r="L124" t="str">
        <f>IFERROR(VLOOKUP(D124,Products!$A$2:$F$61,3,FALSE()),"")</f>
        <v>Apparel</v>
      </c>
      <c r="M124" t="str">
        <f>IFERROR(VLOOKUP(E124,Sales_Reps!$A$2:$C$31,3,FALSE()),"")</f>
        <v>North</v>
      </c>
      <c r="N124">
        <f>IFERROR(VLOOKUP(D124,Products!$A$2:$F$61,4,FALSE()),"")</f>
        <v>2509</v>
      </c>
      <c r="O124" t="str">
        <f>IFERROR(VLOOKUP(C124,Customers!$A$2:$F$301,5,FALSE()),"")</f>
        <v>SMB</v>
      </c>
      <c r="P124">
        <f>IFERROR(VLOOKUP(C124,Customers!$A$2:$F$301,3,FALSE()),"")</f>
        <v>53</v>
      </c>
      <c r="Q124">
        <f t="shared" si="3"/>
        <v>0.3069060773480663</v>
      </c>
      <c r="R124">
        <f>IF(AND(COUNTIF($A$2:$A$2027,A124)&gt;1,COUNTIF($A$2:A124,A124)=1),1,0)</f>
        <v>0</v>
      </c>
      <c r="S124" t="b">
        <f>IFERROR(VLOOKUP(D124,Products!$A$2:$F$61,6,FALSE()),"")</f>
        <v>1</v>
      </c>
      <c r="T124" t="str">
        <f>IF(COUNTIF(Customers!$A$2:$A$301,C124)=0,"Missing","OK")</f>
        <v>OK</v>
      </c>
      <c r="U124" t="str">
        <f t="shared" si="4"/>
        <v>Delhi</v>
      </c>
      <c r="V124">
        <f t="shared" si="5"/>
        <v>0</v>
      </c>
    </row>
    <row r="125" spans="1:22" ht="15" customHeight="1" x14ac:dyDescent="0.35">
      <c r="A125" s="3" t="s">
        <v>339</v>
      </c>
      <c r="B125" s="4">
        <v>45360</v>
      </c>
      <c r="C125" s="3" t="s">
        <v>340</v>
      </c>
      <c r="D125" s="3" t="s">
        <v>54</v>
      </c>
      <c r="E125" s="3" t="s">
        <v>46</v>
      </c>
      <c r="F125" s="5">
        <v>8</v>
      </c>
      <c r="G125" s="5">
        <v>960</v>
      </c>
      <c r="H125" s="5">
        <v>27.9</v>
      </c>
      <c r="I125" s="5">
        <v>5537.28</v>
      </c>
      <c r="J125" s="3" t="s">
        <v>26</v>
      </c>
      <c r="K125" s="3" t="s">
        <v>33</v>
      </c>
      <c r="L125" t="str">
        <f>IFERROR(VLOOKUP(D125,Products!$A$2:$F$61,3,FALSE()),"")</f>
        <v>Sports</v>
      </c>
      <c r="M125" t="str">
        <f>IFERROR(VLOOKUP(E125,Sales_Reps!$A$2:$C$31,3,FALSE()),"")</f>
        <v>North</v>
      </c>
      <c r="N125">
        <f>IFERROR(VLOOKUP(D125,Products!$A$2:$F$61,4,FALSE()),"")</f>
        <v>705</v>
      </c>
      <c r="O125" t="str">
        <f>IFERROR(VLOOKUP(C125,Customers!$A$2:$F$301,5,FALSE()),"")</f>
        <v>SMB</v>
      </c>
      <c r="P125">
        <f>IFERROR(VLOOKUP(C125,Customers!$A$2:$F$301,3,FALSE()),"")</f>
        <v>51</v>
      </c>
      <c r="Q125">
        <f t="shared" si="3"/>
        <v>0.265625</v>
      </c>
      <c r="R125">
        <f>IF(AND(COUNTIF($A$2:$A$2027,A125)&gt;1,COUNTIF($A$2:A125,A125)=1),1,0)</f>
        <v>0</v>
      </c>
      <c r="S125" t="b">
        <f>IFERROR(VLOOKUP(D125,Products!$A$2:$F$61,6,FALSE()),"")</f>
        <v>1</v>
      </c>
      <c r="T125" t="str">
        <f>IF(COUNTIF(Customers!$A$2:$A$301,C125)=0,"Missing","OK")</f>
        <v>OK</v>
      </c>
      <c r="U125" t="str">
        <f t="shared" si="4"/>
        <v>Chennai</v>
      </c>
      <c r="V125">
        <f t="shared" si="5"/>
        <v>0</v>
      </c>
    </row>
    <row r="126" spans="1:22" ht="15" customHeight="1" x14ac:dyDescent="0.35">
      <c r="A126" s="3" t="s">
        <v>341</v>
      </c>
      <c r="B126" s="4">
        <v>45628</v>
      </c>
      <c r="C126" s="3" t="s">
        <v>342</v>
      </c>
      <c r="D126" s="3" t="s">
        <v>115</v>
      </c>
      <c r="E126" s="3" t="s">
        <v>50</v>
      </c>
      <c r="F126" s="5">
        <v>5</v>
      </c>
      <c r="G126" s="5">
        <v>1650</v>
      </c>
      <c r="H126" s="5">
        <v>4.9000000000000004</v>
      </c>
      <c r="I126" s="5">
        <v>7845.75</v>
      </c>
      <c r="J126" s="3" t="s">
        <v>26</v>
      </c>
      <c r="K126" s="3" t="s">
        <v>56</v>
      </c>
      <c r="L126" t="str">
        <f>IFERROR(VLOOKUP(D126,Products!$A$2:$F$61,3,FALSE()),"")</f>
        <v>Beauty</v>
      </c>
      <c r="M126" t="str">
        <f>IFERROR(VLOOKUP(E126,Sales_Reps!$A$2:$C$31,3,FALSE()),"")</f>
        <v>West</v>
      </c>
      <c r="N126">
        <f>IFERROR(VLOOKUP(D126,Products!$A$2:$F$61,4,FALSE()),"")</f>
        <v>1222</v>
      </c>
      <c r="O126" t="str">
        <f>IFERROR(VLOOKUP(C126,Customers!$A$2:$F$301,5,FALSE()),"")</f>
        <v>Retail</v>
      </c>
      <c r="P126">
        <f>IFERROR(VLOOKUP(C126,Customers!$A$2:$F$301,3,FALSE()),"")</f>
        <v>59</v>
      </c>
      <c r="Q126">
        <f t="shared" si="3"/>
        <v>0.2593939393939394</v>
      </c>
      <c r="R126">
        <f>IF(AND(COUNTIF($A$2:$A$2027,A126)&gt;1,COUNTIF($A$2:A126,A126)=1),1,0)</f>
        <v>0</v>
      </c>
      <c r="S126" t="b">
        <f>IFERROR(VLOOKUP(D126,Products!$A$2:$F$61,6,FALSE()),"")</f>
        <v>1</v>
      </c>
      <c r="T126" t="str">
        <f>IF(COUNTIF(Customers!$A$2:$A$301,C126)=0,"Missing","OK")</f>
        <v>OK</v>
      </c>
      <c r="U126" t="str">
        <f t="shared" si="4"/>
        <v>Bengaluru</v>
      </c>
      <c r="V126">
        <f t="shared" si="5"/>
        <v>0</v>
      </c>
    </row>
    <row r="127" spans="1:22" ht="15" customHeight="1" x14ac:dyDescent="0.35">
      <c r="A127" s="3" t="s">
        <v>343</v>
      </c>
      <c r="B127" s="4">
        <v>45592</v>
      </c>
      <c r="C127" s="3" t="s">
        <v>344</v>
      </c>
      <c r="D127" s="3" t="s">
        <v>319</v>
      </c>
      <c r="E127" s="3" t="s">
        <v>71</v>
      </c>
      <c r="F127" s="5">
        <v>9</v>
      </c>
      <c r="G127" s="5">
        <v>960</v>
      </c>
      <c r="H127" s="5">
        <v>25.1</v>
      </c>
      <c r="I127" s="5">
        <v>6471.36</v>
      </c>
      <c r="J127" s="3" t="s">
        <v>83</v>
      </c>
      <c r="K127" s="3" t="s">
        <v>33</v>
      </c>
      <c r="L127" t="str">
        <f>IFERROR(VLOOKUP(D127,Products!$A$2:$F$61,3,FALSE()),"")</f>
        <v>Beauty</v>
      </c>
      <c r="M127" t="str">
        <f>IFERROR(VLOOKUP(E127,Sales_Reps!$A$2:$C$31,3,FALSE()),"")</f>
        <v>South</v>
      </c>
      <c r="N127">
        <f>IFERROR(VLOOKUP(D127,Products!$A$2:$F$61,4,FALSE()),"")</f>
        <v>675</v>
      </c>
      <c r="O127" t="str">
        <f>IFERROR(VLOOKUP(C127,Customers!$A$2:$F$301,5,FALSE()),"")</f>
        <v>Corporate</v>
      </c>
      <c r="P127">
        <f>IFERROR(VLOOKUP(C127,Customers!$A$2:$F$301,3,FALSE()),"")</f>
        <v>24</v>
      </c>
      <c r="Q127">
        <f t="shared" si="3"/>
        <v>0.296875</v>
      </c>
      <c r="R127">
        <f>IF(AND(COUNTIF($A$2:$A$2027,A127)&gt;1,COUNTIF($A$2:A127,A127)=1),1,0)</f>
        <v>0</v>
      </c>
      <c r="S127" t="b">
        <f>IFERROR(VLOOKUP(D127,Products!$A$2:$F$61,6,FALSE()),"")</f>
        <v>1</v>
      </c>
      <c r="T127" t="str">
        <f>IF(COUNTIF(Customers!$A$2:$A$301,C127)=0,"Missing","OK")</f>
        <v>OK</v>
      </c>
      <c r="U127" t="str">
        <f t="shared" si="4"/>
        <v>Chennai</v>
      </c>
      <c r="V127">
        <f t="shared" si="5"/>
        <v>0</v>
      </c>
    </row>
    <row r="128" spans="1:22" ht="15" customHeight="1" x14ac:dyDescent="0.35">
      <c r="A128" s="3" t="s">
        <v>345</v>
      </c>
      <c r="B128" s="4">
        <v>45453</v>
      </c>
      <c r="C128" s="3" t="s">
        <v>346</v>
      </c>
      <c r="D128" s="3" t="s">
        <v>347</v>
      </c>
      <c r="E128" s="3" t="s">
        <v>87</v>
      </c>
      <c r="F128" s="5">
        <v>7</v>
      </c>
      <c r="G128" s="5">
        <v>3970</v>
      </c>
      <c r="H128" s="5">
        <v>13.8</v>
      </c>
      <c r="I128" s="5">
        <v>23954.98</v>
      </c>
      <c r="J128" s="3" t="s">
        <v>32</v>
      </c>
      <c r="K128" s="3" t="s">
        <v>27</v>
      </c>
      <c r="L128" t="str">
        <f>IFERROR(VLOOKUP(D128,Products!$A$2:$F$61,3,FALSE()),"")</f>
        <v>Electronics</v>
      </c>
      <c r="M128" t="str">
        <f>IFERROR(VLOOKUP(E128,Sales_Reps!$A$2:$C$31,3,FALSE()),"")</f>
        <v>North</v>
      </c>
      <c r="N128">
        <f>IFERROR(VLOOKUP(D128,Products!$A$2:$F$61,4,FALSE()),"")</f>
        <v>2865</v>
      </c>
      <c r="O128" t="str">
        <f>IFERROR(VLOOKUP(C128,Customers!$A$2:$F$301,5,FALSE()),"")</f>
        <v>SMB</v>
      </c>
      <c r="P128">
        <f>IFERROR(VLOOKUP(C128,Customers!$A$2:$F$301,3,FALSE()),"")</f>
        <v>53</v>
      </c>
      <c r="Q128">
        <f t="shared" si="3"/>
        <v>0.27833753148614609</v>
      </c>
      <c r="R128">
        <f>IF(AND(COUNTIF($A$2:$A$2027,A128)&gt;1,COUNTIF($A$2:A128,A128)=1),1,0)</f>
        <v>0</v>
      </c>
      <c r="S128" t="b">
        <f>IFERROR(VLOOKUP(D128,Products!$A$2:$F$61,6,FALSE()),"")</f>
        <v>1</v>
      </c>
      <c r="T128" t="str">
        <f>IF(COUNTIF(Customers!$A$2:$A$301,C128)=0,"Missing","OK")</f>
        <v>OK</v>
      </c>
      <c r="U128" t="str">
        <f t="shared" si="4"/>
        <v>Pune</v>
      </c>
      <c r="V128">
        <f t="shared" si="5"/>
        <v>0</v>
      </c>
    </row>
    <row r="129" spans="1:22" ht="15" customHeight="1" x14ac:dyDescent="0.35">
      <c r="A129" s="3" t="s">
        <v>348</v>
      </c>
      <c r="B129" s="4">
        <v>45612</v>
      </c>
      <c r="C129" s="3" t="s">
        <v>238</v>
      </c>
      <c r="D129" s="3" t="s">
        <v>66</v>
      </c>
      <c r="E129" s="3" t="s">
        <v>31</v>
      </c>
      <c r="F129" s="5">
        <v>7</v>
      </c>
      <c r="G129" s="5">
        <v>970</v>
      </c>
      <c r="H129" s="5">
        <v>21.6</v>
      </c>
      <c r="I129" s="5">
        <v>5323.36</v>
      </c>
      <c r="J129" s="3" t="s">
        <v>32</v>
      </c>
      <c r="K129" s="3" t="s">
        <v>72</v>
      </c>
      <c r="L129" t="str">
        <f>IFERROR(VLOOKUP(D129,Products!$A$2:$F$61,3,FALSE()),"")</f>
        <v>Grocery</v>
      </c>
      <c r="M129" t="str">
        <f>IFERROR(VLOOKUP(E129,Sales_Reps!$A$2:$C$31,3,FALSE()),"")</f>
        <v>North</v>
      </c>
      <c r="N129">
        <f>IFERROR(VLOOKUP(D129,Products!$A$2:$F$61,4,FALSE()),"")</f>
        <v>434</v>
      </c>
      <c r="O129" t="str">
        <f>IFERROR(VLOOKUP(C129,Customers!$A$2:$F$301,5,FALSE()),"")</f>
        <v>Retail</v>
      </c>
      <c r="P129">
        <f>IFERROR(VLOOKUP(C129,Customers!$A$2:$F$301,3,FALSE()),"")</f>
        <v>29</v>
      </c>
      <c r="Q129">
        <f t="shared" si="3"/>
        <v>0.5525773195876289</v>
      </c>
      <c r="R129">
        <f>IF(AND(COUNTIF($A$2:$A$2027,A129)&gt;1,COUNTIF($A$2:A129,A129)=1),1,0)</f>
        <v>0</v>
      </c>
      <c r="S129" t="b">
        <f>IFERROR(VLOOKUP(D129,Products!$A$2:$F$61,6,FALSE()),"")</f>
        <v>1</v>
      </c>
      <c r="T129" t="str">
        <f>IF(COUNTIF(Customers!$A$2:$A$301,C129)=0,"Missing","OK")</f>
        <v>OK</v>
      </c>
      <c r="U129" t="str">
        <f t="shared" si="4"/>
        <v>Hyderabad</v>
      </c>
      <c r="V129">
        <f t="shared" si="5"/>
        <v>0</v>
      </c>
    </row>
    <row r="130" spans="1:22" ht="15" customHeight="1" x14ac:dyDescent="0.35">
      <c r="A130" s="3" t="s">
        <v>349</v>
      </c>
      <c r="B130" s="4">
        <v>45541</v>
      </c>
      <c r="C130" s="3" t="s">
        <v>350</v>
      </c>
      <c r="D130" s="3" t="s">
        <v>234</v>
      </c>
      <c r="E130" s="3" t="s">
        <v>154</v>
      </c>
      <c r="F130" s="5">
        <v>10</v>
      </c>
      <c r="G130" s="5">
        <v>2030</v>
      </c>
      <c r="H130" s="5">
        <v>1.2</v>
      </c>
      <c r="I130" s="5">
        <v>20056.400000000001</v>
      </c>
      <c r="J130" s="3" t="s">
        <v>26</v>
      </c>
      <c r="K130" s="3" t="s">
        <v>51</v>
      </c>
      <c r="L130" t="str">
        <f>IFERROR(VLOOKUP(D130,Products!$A$2:$F$61,3,FALSE()),"")</f>
        <v>Home</v>
      </c>
      <c r="M130" t="str">
        <f>IFERROR(VLOOKUP(E130,Sales_Reps!$A$2:$C$31,3,FALSE()),"")</f>
        <v>North</v>
      </c>
      <c r="N130">
        <f>IFERROR(VLOOKUP(D130,Products!$A$2:$F$61,4,FALSE()),"")</f>
        <v>1143</v>
      </c>
      <c r="O130" t="str">
        <f>IFERROR(VLOOKUP(C130,Customers!$A$2:$F$301,5,FALSE()),"")</f>
        <v>Retail</v>
      </c>
      <c r="P130">
        <f>IFERROR(VLOOKUP(C130,Customers!$A$2:$F$301,3,FALSE()),"")</f>
        <v>61</v>
      </c>
      <c r="Q130">
        <f t="shared" ref="Q130:Q193" si="6">IFERROR((G130-N130)/G130,"")</f>
        <v>0.43694581280788175</v>
      </c>
      <c r="R130">
        <f>IF(AND(COUNTIF($A$2:$A$2027,A130)&gt;1,COUNTIF($A$2:A130,A130)=1),1,0)</f>
        <v>0</v>
      </c>
      <c r="S130" t="b">
        <f>IFERROR(VLOOKUP(D130,Products!$A$2:$F$61,6,FALSE()),"")</f>
        <v>1</v>
      </c>
      <c r="T130" t="str">
        <f>IF(COUNTIF(Customers!$A$2:$A$301,C130)=0,"Missing","OK")</f>
        <v>OK</v>
      </c>
      <c r="U130" t="str">
        <f t="shared" ref="U130:U193" si="7">IF(K130="","",PROPER(TRIM(K130)))</f>
        <v>Mumbai</v>
      </c>
      <c r="V130">
        <f t="shared" ref="V130:V193" si="8">IF(AND(U130="Bengaluru",L130="Grocery"),I130,0)</f>
        <v>0</v>
      </c>
    </row>
    <row r="131" spans="1:22" ht="15" customHeight="1" x14ac:dyDescent="0.35">
      <c r="A131" s="3" t="s">
        <v>351</v>
      </c>
      <c r="B131" s="4">
        <v>45640</v>
      </c>
      <c r="C131" s="3" t="s">
        <v>352</v>
      </c>
      <c r="D131" s="3" t="s">
        <v>70</v>
      </c>
      <c r="E131" s="3" t="s">
        <v>97</v>
      </c>
      <c r="F131" s="5">
        <v>9</v>
      </c>
      <c r="G131" s="5">
        <v>2270</v>
      </c>
      <c r="H131" s="5">
        <v>13.2</v>
      </c>
      <c r="I131" s="5">
        <v>17733.240000000002</v>
      </c>
      <c r="J131" s="3" t="s">
        <v>32</v>
      </c>
      <c r="K131" s="3" t="s">
        <v>27</v>
      </c>
      <c r="L131" t="str">
        <f>IFERROR(VLOOKUP(D131,Products!$A$2:$F$61,3,FALSE()),"")</f>
        <v>Grocery</v>
      </c>
      <c r="M131" t="str">
        <f>IFERROR(VLOOKUP(E131,Sales_Reps!$A$2:$C$31,3,FALSE()),"")</f>
        <v>East</v>
      </c>
      <c r="N131">
        <f>IFERROR(VLOOKUP(D131,Products!$A$2:$F$61,4,FALSE()),"")</f>
        <v>1203</v>
      </c>
      <c r="O131" t="str">
        <f>IFERROR(VLOOKUP(C131,Customers!$A$2:$F$301,5,FALSE()),"")</f>
        <v>Retail</v>
      </c>
      <c r="P131">
        <f>IFERROR(VLOOKUP(C131,Customers!$A$2:$F$301,3,FALSE()),"")</f>
        <v>22</v>
      </c>
      <c r="Q131">
        <f t="shared" si="6"/>
        <v>0.47004405286343615</v>
      </c>
      <c r="R131">
        <f>IF(AND(COUNTIF($A$2:$A$2027,A131)&gt;1,COUNTIF($A$2:A131,A131)=1),1,0)</f>
        <v>0</v>
      </c>
      <c r="S131" t="b">
        <f>IFERROR(VLOOKUP(D131,Products!$A$2:$F$61,6,FALSE()),"")</f>
        <v>1</v>
      </c>
      <c r="T131" t="str">
        <f>IF(COUNTIF(Customers!$A$2:$A$301,C131)=0,"Missing","OK")</f>
        <v>OK</v>
      </c>
      <c r="U131" t="str">
        <f t="shared" si="7"/>
        <v>Pune</v>
      </c>
      <c r="V131">
        <f t="shared" si="8"/>
        <v>0</v>
      </c>
    </row>
    <row r="132" spans="1:22" ht="15" customHeight="1" x14ac:dyDescent="0.35">
      <c r="A132" s="3" t="s">
        <v>353</v>
      </c>
      <c r="B132" s="4">
        <v>45524</v>
      </c>
      <c r="C132" s="3" t="s">
        <v>95</v>
      </c>
      <c r="D132" s="3" t="s">
        <v>123</v>
      </c>
      <c r="E132" s="3" t="s">
        <v>87</v>
      </c>
      <c r="F132" s="5">
        <v>8</v>
      </c>
      <c r="G132" s="5">
        <v>4880</v>
      </c>
      <c r="H132" s="5">
        <v>13.4</v>
      </c>
      <c r="I132" s="5">
        <v>33808.639999999999</v>
      </c>
      <c r="J132" s="3" t="s">
        <v>26</v>
      </c>
      <c r="K132" s="3" t="s">
        <v>72</v>
      </c>
      <c r="L132" t="str">
        <f>IFERROR(VLOOKUP(D132,Products!$A$2:$F$61,3,FALSE()),"")</f>
        <v>Beauty</v>
      </c>
      <c r="M132" t="str">
        <f>IFERROR(VLOOKUP(E132,Sales_Reps!$A$2:$C$31,3,FALSE()),"")</f>
        <v>North</v>
      </c>
      <c r="N132">
        <f>IFERROR(VLOOKUP(D132,Products!$A$2:$F$61,4,FALSE()),"")</f>
        <v>2768</v>
      </c>
      <c r="O132" t="str">
        <f>IFERROR(VLOOKUP(C132,Customers!$A$2:$F$301,5,FALSE()),"")</f>
        <v>Corporate</v>
      </c>
      <c r="P132">
        <f>IFERROR(VLOOKUP(C132,Customers!$A$2:$F$301,3,FALSE()),"")</f>
        <v>32</v>
      </c>
      <c r="Q132">
        <f t="shared" si="6"/>
        <v>0.43278688524590164</v>
      </c>
      <c r="R132">
        <f>IF(AND(COUNTIF($A$2:$A$2027,A132)&gt;1,COUNTIF($A$2:A132,A132)=1),1,0)</f>
        <v>0</v>
      </c>
      <c r="S132" t="b">
        <f>IFERROR(VLOOKUP(D132,Products!$A$2:$F$61,6,FALSE()),"")</f>
        <v>1</v>
      </c>
      <c r="T132" t="str">
        <f>IF(COUNTIF(Customers!$A$2:$A$301,C132)=0,"Missing","OK")</f>
        <v>OK</v>
      </c>
      <c r="U132" t="str">
        <f t="shared" si="7"/>
        <v>Hyderabad</v>
      </c>
      <c r="V132">
        <f t="shared" si="8"/>
        <v>0</v>
      </c>
    </row>
    <row r="133" spans="1:22" ht="15" customHeight="1" x14ac:dyDescent="0.35">
      <c r="A133" s="3" t="s">
        <v>354</v>
      </c>
      <c r="B133" s="4">
        <v>45344</v>
      </c>
      <c r="C133" s="3" t="s">
        <v>355</v>
      </c>
      <c r="D133" s="3" t="s">
        <v>187</v>
      </c>
      <c r="E133" s="3" t="s">
        <v>212</v>
      </c>
      <c r="F133" s="5">
        <v>10</v>
      </c>
      <c r="G133" s="5">
        <v>3870</v>
      </c>
      <c r="H133" s="5">
        <v>23.9</v>
      </c>
      <c r="I133" s="5">
        <v>29450.7</v>
      </c>
      <c r="J133" s="3" t="s">
        <v>26</v>
      </c>
      <c r="K133" s="3" t="s">
        <v>56</v>
      </c>
      <c r="L133" t="str">
        <f>IFERROR(VLOOKUP(D133,Products!$A$2:$F$61,3,FALSE()),"")</f>
        <v>Electronics</v>
      </c>
      <c r="M133" t="str">
        <f>IFERROR(VLOOKUP(E133,Sales_Reps!$A$2:$C$31,3,FALSE()),"")</f>
        <v>South</v>
      </c>
      <c r="N133">
        <f>IFERROR(VLOOKUP(D133,Products!$A$2:$F$61,4,FALSE()),"")</f>
        <v>1559</v>
      </c>
      <c r="O133" t="str">
        <f>IFERROR(VLOOKUP(C133,Customers!$A$2:$F$301,5,FALSE()),"")</f>
        <v>Corporate</v>
      </c>
      <c r="P133">
        <f>IFERROR(VLOOKUP(C133,Customers!$A$2:$F$301,3,FALSE()),"")</f>
        <v>42</v>
      </c>
      <c r="Q133">
        <f t="shared" si="6"/>
        <v>0.59715762273901807</v>
      </c>
      <c r="R133">
        <f>IF(AND(COUNTIF($A$2:$A$2027,A133)&gt;1,COUNTIF($A$2:A133,A133)=1),1,0)</f>
        <v>0</v>
      </c>
      <c r="S133" t="b">
        <f>IFERROR(VLOOKUP(D133,Products!$A$2:$F$61,6,FALSE()),"")</f>
        <v>1</v>
      </c>
      <c r="T133" t="str">
        <f>IF(COUNTIF(Customers!$A$2:$A$301,C133)=0,"Missing","OK")</f>
        <v>OK</v>
      </c>
      <c r="U133" t="str">
        <f t="shared" si="7"/>
        <v>Bengaluru</v>
      </c>
      <c r="V133">
        <f t="shared" si="8"/>
        <v>0</v>
      </c>
    </row>
    <row r="134" spans="1:22" ht="15" customHeight="1" x14ac:dyDescent="0.35">
      <c r="A134" s="3" t="s">
        <v>356</v>
      </c>
      <c r="B134" s="4">
        <v>45463</v>
      </c>
      <c r="C134" s="3" t="s">
        <v>357</v>
      </c>
      <c r="D134" s="3" t="s">
        <v>325</v>
      </c>
      <c r="E134" s="3" t="s">
        <v>236</v>
      </c>
      <c r="F134" s="5">
        <v>4</v>
      </c>
      <c r="G134" s="5">
        <v>2290</v>
      </c>
      <c r="H134" s="5">
        <v>15.2</v>
      </c>
      <c r="I134" s="5">
        <v>7767.68</v>
      </c>
      <c r="J134" s="3" t="s">
        <v>26</v>
      </c>
      <c r="K134" s="3" t="s">
        <v>72</v>
      </c>
      <c r="L134" t="str">
        <f>IFERROR(VLOOKUP(D134,Products!$A$2:$F$61,3,FALSE()),"")</f>
        <v>Beauty</v>
      </c>
      <c r="M134" t="str">
        <f>IFERROR(VLOOKUP(E134,Sales_Reps!$A$2:$C$31,3,FALSE()),"")</f>
        <v>North</v>
      </c>
      <c r="N134">
        <f>IFERROR(VLOOKUP(D134,Products!$A$2:$F$61,4,FALSE()),"")</f>
        <v>1219</v>
      </c>
      <c r="O134" t="str">
        <f>IFERROR(VLOOKUP(C134,Customers!$A$2:$F$301,5,FALSE()),"")</f>
        <v>Retail</v>
      </c>
      <c r="P134">
        <f>IFERROR(VLOOKUP(C134,Customers!$A$2:$F$301,3,FALSE()),"")</f>
        <v>22</v>
      </c>
      <c r="Q134">
        <f t="shared" si="6"/>
        <v>0.46768558951965067</v>
      </c>
      <c r="R134">
        <f>IF(AND(COUNTIF($A$2:$A$2027,A134)&gt;1,COUNTIF($A$2:A134,A134)=1),1,0)</f>
        <v>0</v>
      </c>
      <c r="S134" t="b">
        <f>IFERROR(VLOOKUP(D134,Products!$A$2:$F$61,6,FALSE()),"")</f>
        <v>1</v>
      </c>
      <c r="T134" t="str">
        <f>IF(COUNTIF(Customers!$A$2:$A$301,C134)=0,"Missing","OK")</f>
        <v>OK</v>
      </c>
      <c r="U134" t="str">
        <f t="shared" si="7"/>
        <v>Hyderabad</v>
      </c>
      <c r="V134">
        <f t="shared" si="8"/>
        <v>0</v>
      </c>
    </row>
    <row r="135" spans="1:22" ht="15" customHeight="1" x14ac:dyDescent="0.35">
      <c r="A135" s="3" t="s">
        <v>358</v>
      </c>
      <c r="B135" s="4">
        <v>45443</v>
      </c>
      <c r="C135" s="3" t="s">
        <v>359</v>
      </c>
      <c r="D135" s="3" t="s">
        <v>306</v>
      </c>
      <c r="E135" s="3" t="s">
        <v>131</v>
      </c>
      <c r="F135" s="5">
        <v>8</v>
      </c>
      <c r="G135" s="5">
        <v>2380</v>
      </c>
      <c r="H135" s="5">
        <v>4.2</v>
      </c>
      <c r="I135" s="5">
        <v>18240.32</v>
      </c>
      <c r="J135" s="3" t="s">
        <v>26</v>
      </c>
      <c r="K135" s="3" t="s">
        <v>38</v>
      </c>
      <c r="L135" t="str">
        <f>IFERROR(VLOOKUP(D135,Products!$A$2:$F$61,3,FALSE()),"")</f>
        <v>Grocery</v>
      </c>
      <c r="M135" t="str">
        <f>IFERROR(VLOOKUP(E135,Sales_Reps!$A$2:$C$31,3,FALSE()),"")</f>
        <v>East</v>
      </c>
      <c r="N135">
        <f>IFERROR(VLOOKUP(D135,Products!$A$2:$F$61,4,FALSE()),"")</f>
        <v>1182</v>
      </c>
      <c r="O135" t="str">
        <f>IFERROR(VLOOKUP(C135,Customers!$A$2:$F$301,5,FALSE()),"")</f>
        <v>Retail</v>
      </c>
      <c r="P135">
        <f>IFERROR(VLOOKUP(C135,Customers!$A$2:$F$301,3,FALSE()),"")</f>
        <v>44</v>
      </c>
      <c r="Q135">
        <f t="shared" si="6"/>
        <v>0.50336134453781511</v>
      </c>
      <c r="R135">
        <f>IF(AND(COUNTIF($A$2:$A$2027,A135)&gt;1,COUNTIF($A$2:A135,A135)=1),1,0)</f>
        <v>0</v>
      </c>
      <c r="S135" t="b">
        <f>IFERROR(VLOOKUP(D135,Products!$A$2:$F$61,6,FALSE()),"")</f>
        <v>1</v>
      </c>
      <c r="T135" t="str">
        <f>IF(COUNTIF(Customers!$A$2:$A$301,C135)=0,"Missing","OK")</f>
        <v>OK</v>
      </c>
      <c r="U135" t="str">
        <f t="shared" si="7"/>
        <v>Delhi</v>
      </c>
      <c r="V135">
        <f t="shared" si="8"/>
        <v>0</v>
      </c>
    </row>
    <row r="136" spans="1:22" ht="15" customHeight="1" x14ac:dyDescent="0.35">
      <c r="A136" s="3" t="s">
        <v>360</v>
      </c>
      <c r="B136" s="4">
        <v>45301</v>
      </c>
      <c r="C136" s="3" t="s">
        <v>361</v>
      </c>
      <c r="D136" s="3" t="s">
        <v>277</v>
      </c>
      <c r="E136" s="3" t="s">
        <v>191</v>
      </c>
      <c r="F136" s="5">
        <v>8</v>
      </c>
      <c r="G136" s="5">
        <v>2210</v>
      </c>
      <c r="H136" s="5">
        <v>11.5</v>
      </c>
      <c r="I136" s="5">
        <v>15646.8</v>
      </c>
      <c r="J136" s="3" t="s">
        <v>26</v>
      </c>
      <c r="K136" s="3" t="s">
        <v>33</v>
      </c>
      <c r="L136" t="str">
        <f>IFERROR(VLOOKUP(D136,Products!$A$2:$F$61,3,FALSE()),"")</f>
        <v>Grocery</v>
      </c>
      <c r="M136" t="str">
        <f>IFERROR(VLOOKUP(E136,Sales_Reps!$A$2:$C$31,3,FALSE()),"")</f>
        <v>South</v>
      </c>
      <c r="N136">
        <f>IFERROR(VLOOKUP(D136,Products!$A$2:$F$61,4,FALSE()),"")</f>
        <v>1010</v>
      </c>
      <c r="O136" t="str">
        <f>IFERROR(VLOOKUP(C136,Customers!$A$2:$F$301,5,FALSE()),"")</f>
        <v>SMB</v>
      </c>
      <c r="P136">
        <f>IFERROR(VLOOKUP(C136,Customers!$A$2:$F$301,3,FALSE()),"")</f>
        <v>64</v>
      </c>
      <c r="Q136">
        <f t="shared" si="6"/>
        <v>0.54298642533936647</v>
      </c>
      <c r="R136">
        <f>IF(AND(COUNTIF($A$2:$A$2027,A136)&gt;1,COUNTIF($A$2:A136,A136)=1),1,0)</f>
        <v>1</v>
      </c>
      <c r="S136" t="b">
        <f>IFERROR(VLOOKUP(D136,Products!$A$2:$F$61,6,FALSE()),"")</f>
        <v>1</v>
      </c>
      <c r="T136" t="str">
        <f>IF(COUNTIF(Customers!$A$2:$A$301,C136)=0,"Missing","OK")</f>
        <v>OK</v>
      </c>
      <c r="U136" t="str">
        <f t="shared" si="7"/>
        <v>Chennai</v>
      </c>
      <c r="V136">
        <f t="shared" si="8"/>
        <v>0</v>
      </c>
    </row>
    <row r="137" spans="1:22" ht="15" customHeight="1" x14ac:dyDescent="0.35">
      <c r="A137" s="3" t="s">
        <v>362</v>
      </c>
      <c r="B137" s="4">
        <v>45360</v>
      </c>
      <c r="C137" s="3" t="s">
        <v>172</v>
      </c>
      <c r="D137" s="3" t="s">
        <v>303</v>
      </c>
      <c r="E137" s="3" t="s">
        <v>224</v>
      </c>
      <c r="F137" s="5">
        <v>4</v>
      </c>
      <c r="G137" s="5">
        <v>5330</v>
      </c>
      <c r="H137" s="5">
        <v>22.6</v>
      </c>
      <c r="I137" s="5">
        <v>16501.68</v>
      </c>
      <c r="J137" s="3" t="s">
        <v>32</v>
      </c>
      <c r="K137" s="3" t="s">
        <v>27</v>
      </c>
      <c r="L137" t="str">
        <f>IFERROR(VLOOKUP(D137,Products!$A$2:$F$61,3,FALSE()),"")</f>
        <v>Electronics</v>
      </c>
      <c r="M137" t="str">
        <f>IFERROR(VLOOKUP(E137,Sales_Reps!$A$2:$C$31,3,FALSE()),"")</f>
        <v>East</v>
      </c>
      <c r="N137">
        <f>IFERROR(VLOOKUP(D137,Products!$A$2:$F$61,4,FALSE()),"")</f>
        <v>2405</v>
      </c>
      <c r="O137" t="str">
        <f>IFERROR(VLOOKUP(C137,Customers!$A$2:$F$301,5,FALSE()),"")</f>
        <v>SMB</v>
      </c>
      <c r="P137">
        <f>IFERROR(VLOOKUP(C137,Customers!$A$2:$F$301,3,FALSE()),"")</f>
        <v>29</v>
      </c>
      <c r="Q137">
        <f t="shared" si="6"/>
        <v>0.54878048780487809</v>
      </c>
      <c r="R137">
        <f>IF(AND(COUNTIF($A$2:$A$2027,A137)&gt;1,COUNTIF($A$2:A137,A137)=1),1,0)</f>
        <v>1</v>
      </c>
      <c r="S137" t="b">
        <f>IFERROR(VLOOKUP(D137,Products!$A$2:$F$61,6,FALSE()),"")</f>
        <v>1</v>
      </c>
      <c r="T137" t="str">
        <f>IF(COUNTIF(Customers!$A$2:$A$301,C137)=0,"Missing","OK")</f>
        <v>OK</v>
      </c>
      <c r="U137" t="str">
        <f t="shared" si="7"/>
        <v>Pune</v>
      </c>
      <c r="V137">
        <f t="shared" si="8"/>
        <v>0</v>
      </c>
    </row>
    <row r="138" spans="1:22" ht="15" customHeight="1" x14ac:dyDescent="0.35">
      <c r="A138" s="3" t="s">
        <v>363</v>
      </c>
      <c r="B138" s="4">
        <v>45559</v>
      </c>
      <c r="C138" s="3" t="s">
        <v>364</v>
      </c>
      <c r="D138" s="3" t="s">
        <v>347</v>
      </c>
      <c r="E138" s="3" t="s">
        <v>224</v>
      </c>
      <c r="F138" s="5">
        <v>8</v>
      </c>
      <c r="G138" s="5">
        <v>3970</v>
      </c>
      <c r="H138" s="5">
        <v>21.8</v>
      </c>
      <c r="I138" s="5">
        <v>24836.32</v>
      </c>
      <c r="J138" s="3" t="s">
        <v>26</v>
      </c>
      <c r="K138" s="3" t="s">
        <v>33</v>
      </c>
      <c r="L138" t="str">
        <f>IFERROR(VLOOKUP(D138,Products!$A$2:$F$61,3,FALSE()),"")</f>
        <v>Electronics</v>
      </c>
      <c r="M138" t="str">
        <f>IFERROR(VLOOKUP(E138,Sales_Reps!$A$2:$C$31,3,FALSE()),"")</f>
        <v>East</v>
      </c>
      <c r="N138">
        <f>IFERROR(VLOOKUP(D138,Products!$A$2:$F$61,4,FALSE()),"")</f>
        <v>2865</v>
      </c>
      <c r="O138" t="str">
        <f>IFERROR(VLOOKUP(C138,Customers!$A$2:$F$301,5,FALSE()),"")</f>
        <v>SMB</v>
      </c>
      <c r="P138">
        <f>IFERROR(VLOOKUP(C138,Customers!$A$2:$F$301,3,FALSE()),"")</f>
        <v>64</v>
      </c>
      <c r="Q138">
        <f t="shared" si="6"/>
        <v>0.27833753148614609</v>
      </c>
      <c r="R138">
        <f>IF(AND(COUNTIF($A$2:$A$2027,A138)&gt;1,COUNTIF($A$2:A138,A138)=1),1,0)</f>
        <v>0</v>
      </c>
      <c r="S138" t="b">
        <f>IFERROR(VLOOKUP(D138,Products!$A$2:$F$61,6,FALSE()),"")</f>
        <v>1</v>
      </c>
      <c r="T138" t="str">
        <f>IF(COUNTIF(Customers!$A$2:$A$301,C138)=0,"Missing","OK")</f>
        <v>OK</v>
      </c>
      <c r="U138" t="str">
        <f t="shared" si="7"/>
        <v>Chennai</v>
      </c>
      <c r="V138">
        <f t="shared" si="8"/>
        <v>0</v>
      </c>
    </row>
    <row r="139" spans="1:22" ht="15" customHeight="1" x14ac:dyDescent="0.35">
      <c r="A139" s="3" t="s">
        <v>365</v>
      </c>
      <c r="B139" s="4">
        <v>45546</v>
      </c>
      <c r="C139" s="3" t="s">
        <v>366</v>
      </c>
      <c r="D139" s="3" t="s">
        <v>45</v>
      </c>
      <c r="E139" s="3" t="s">
        <v>131</v>
      </c>
      <c r="F139" s="5">
        <v>10</v>
      </c>
      <c r="G139" s="5">
        <v>3160</v>
      </c>
      <c r="H139" s="5">
        <v>16.100000000000001</v>
      </c>
      <c r="I139" s="5">
        <v>26512.400000000001</v>
      </c>
      <c r="J139" s="3" t="s">
        <v>79</v>
      </c>
      <c r="K139" s="3" t="s">
        <v>27</v>
      </c>
      <c r="L139" t="str">
        <f>IFERROR(VLOOKUP(D139,Products!$A$2:$F$61,3,FALSE()),"")</f>
        <v>Apparel</v>
      </c>
      <c r="M139" t="str">
        <f>IFERROR(VLOOKUP(E139,Sales_Reps!$A$2:$C$31,3,FALSE()),"")</f>
        <v>East</v>
      </c>
      <c r="N139">
        <f>IFERROR(VLOOKUP(D139,Products!$A$2:$F$61,4,FALSE()),"")</f>
        <v>1886</v>
      </c>
      <c r="O139" t="str">
        <f>IFERROR(VLOOKUP(C139,Customers!$A$2:$F$301,5,FALSE()),"")</f>
        <v>Corporate</v>
      </c>
      <c r="P139">
        <f>IFERROR(VLOOKUP(C139,Customers!$A$2:$F$301,3,FALSE()),"")</f>
        <v>48</v>
      </c>
      <c r="Q139">
        <f t="shared" si="6"/>
        <v>0.4031645569620253</v>
      </c>
      <c r="R139">
        <f>IF(AND(COUNTIF($A$2:$A$2027,A139)&gt;1,COUNTIF($A$2:A139,A139)=1),1,0)</f>
        <v>0</v>
      </c>
      <c r="S139" t="b">
        <f>IFERROR(VLOOKUP(D139,Products!$A$2:$F$61,6,FALSE()),"")</f>
        <v>1</v>
      </c>
      <c r="T139" t="str">
        <f>IF(COUNTIF(Customers!$A$2:$A$301,C139)=0,"Missing","OK")</f>
        <v>OK</v>
      </c>
      <c r="U139" t="str">
        <f t="shared" si="7"/>
        <v>Pune</v>
      </c>
      <c r="V139">
        <f t="shared" si="8"/>
        <v>0</v>
      </c>
    </row>
    <row r="140" spans="1:22" ht="15" customHeight="1" x14ac:dyDescent="0.35">
      <c r="A140" s="3" t="s">
        <v>367</v>
      </c>
      <c r="B140" s="4">
        <v>45425</v>
      </c>
      <c r="C140" s="3" t="s">
        <v>368</v>
      </c>
      <c r="D140" s="3" t="s">
        <v>86</v>
      </c>
      <c r="E140" s="3" t="s">
        <v>143</v>
      </c>
      <c r="F140" s="5">
        <v>5</v>
      </c>
      <c r="G140" s="5">
        <v>190</v>
      </c>
      <c r="H140" s="5">
        <v>14.8</v>
      </c>
      <c r="I140" s="5">
        <v>809.4</v>
      </c>
      <c r="J140" s="3" t="s">
        <v>26</v>
      </c>
      <c r="K140" s="3" t="s">
        <v>56</v>
      </c>
      <c r="L140" t="str">
        <f>IFERROR(VLOOKUP(D140,Products!$A$2:$F$61,3,FALSE()),"")</f>
        <v>Sports</v>
      </c>
      <c r="M140" t="str">
        <f>IFERROR(VLOOKUP(E140,Sales_Reps!$A$2:$C$31,3,FALSE()),"")</f>
        <v>South</v>
      </c>
      <c r="N140">
        <f>IFERROR(VLOOKUP(D140,Products!$A$2:$F$61,4,FALSE()),"")</f>
        <v>147</v>
      </c>
      <c r="O140" t="str">
        <f>IFERROR(VLOOKUP(C140,Customers!$A$2:$F$301,5,FALSE()),"")</f>
        <v>Retail</v>
      </c>
      <c r="P140">
        <f>IFERROR(VLOOKUP(C140,Customers!$A$2:$F$301,3,FALSE()),"")</f>
        <v>55</v>
      </c>
      <c r="Q140">
        <f t="shared" si="6"/>
        <v>0.22631578947368422</v>
      </c>
      <c r="R140">
        <f>IF(AND(COUNTIF($A$2:$A$2027,A140)&gt;1,COUNTIF($A$2:A140,A140)=1),1,0)</f>
        <v>0</v>
      </c>
      <c r="S140" t="b">
        <f>IFERROR(VLOOKUP(D140,Products!$A$2:$F$61,6,FALSE()),"")</f>
        <v>1</v>
      </c>
      <c r="T140" t="str">
        <f>IF(COUNTIF(Customers!$A$2:$A$301,C140)=0,"Missing","OK")</f>
        <v>OK</v>
      </c>
      <c r="U140" t="str">
        <f t="shared" si="7"/>
        <v>Bengaluru</v>
      </c>
      <c r="V140">
        <f t="shared" si="8"/>
        <v>0</v>
      </c>
    </row>
    <row r="141" spans="1:22" ht="15" customHeight="1" x14ac:dyDescent="0.35">
      <c r="A141" s="3" t="s">
        <v>369</v>
      </c>
      <c r="B141" s="4">
        <v>45351</v>
      </c>
      <c r="C141" s="3" t="s">
        <v>261</v>
      </c>
      <c r="D141" s="3" t="s">
        <v>139</v>
      </c>
      <c r="E141" s="3" t="s">
        <v>25</v>
      </c>
      <c r="F141" s="5">
        <v>6</v>
      </c>
      <c r="G141" s="5">
        <v>2760</v>
      </c>
      <c r="H141" s="5">
        <v>19.8</v>
      </c>
      <c r="I141" s="5">
        <v>13281.12</v>
      </c>
      <c r="J141" s="3" t="s">
        <v>26</v>
      </c>
      <c r="K141" s="3" t="s">
        <v>38</v>
      </c>
      <c r="L141" t="str">
        <f>IFERROR(VLOOKUP(D141,Products!$A$2:$F$61,3,FALSE()),"")</f>
        <v>Grocery</v>
      </c>
      <c r="M141" t="str">
        <f>IFERROR(VLOOKUP(E141,Sales_Reps!$A$2:$C$31,3,FALSE()),"")</f>
        <v>North</v>
      </c>
      <c r="N141">
        <f>IFERROR(VLOOKUP(D141,Products!$A$2:$F$61,4,FALSE()),"")</f>
        <v>1435</v>
      </c>
      <c r="O141" t="str">
        <f>IFERROR(VLOOKUP(C141,Customers!$A$2:$F$301,5,FALSE()),"")</f>
        <v>Retail</v>
      </c>
      <c r="P141">
        <f>IFERROR(VLOOKUP(C141,Customers!$A$2:$F$301,3,FALSE()),"")</f>
        <v>31</v>
      </c>
      <c r="Q141">
        <f t="shared" si="6"/>
        <v>0.48007246376811596</v>
      </c>
      <c r="R141">
        <f>IF(AND(COUNTIF($A$2:$A$2027,A141)&gt;1,COUNTIF($A$2:A141,A141)=1),1,0)</f>
        <v>0</v>
      </c>
      <c r="S141" t="b">
        <f>IFERROR(VLOOKUP(D141,Products!$A$2:$F$61,6,FALSE()),"")</f>
        <v>1</v>
      </c>
      <c r="T141" t="str">
        <f>IF(COUNTIF(Customers!$A$2:$A$301,C141)=0,"Missing","OK")</f>
        <v>OK</v>
      </c>
      <c r="U141" t="str">
        <f t="shared" si="7"/>
        <v>Delhi</v>
      </c>
      <c r="V141">
        <f t="shared" si="8"/>
        <v>0</v>
      </c>
    </row>
    <row r="142" spans="1:22" ht="15" customHeight="1" x14ac:dyDescent="0.35">
      <c r="A142" s="3" t="s">
        <v>370</v>
      </c>
      <c r="B142" s="4">
        <v>45604</v>
      </c>
      <c r="C142" s="3" t="s">
        <v>310</v>
      </c>
      <c r="D142" s="3" t="s">
        <v>184</v>
      </c>
      <c r="E142" s="3" t="s">
        <v>60</v>
      </c>
      <c r="F142" s="5">
        <v>9</v>
      </c>
      <c r="G142" s="5">
        <v>2270</v>
      </c>
      <c r="H142" s="5">
        <v>20.8</v>
      </c>
      <c r="I142" s="5">
        <v>16180.56</v>
      </c>
      <c r="J142" s="3" t="s">
        <v>79</v>
      </c>
      <c r="K142" s="3" t="s">
        <v>51</v>
      </c>
      <c r="L142" t="str">
        <f>IFERROR(VLOOKUP(D142,Products!$A$2:$F$61,3,FALSE()),"")</f>
        <v>Grocery</v>
      </c>
      <c r="M142" t="str">
        <f>IFERROR(VLOOKUP(E142,Sales_Reps!$A$2:$C$31,3,FALSE()),"")</f>
        <v>East</v>
      </c>
      <c r="N142">
        <f>IFERROR(VLOOKUP(D142,Products!$A$2:$F$61,4,FALSE()),"")</f>
        <v>1412</v>
      </c>
      <c r="O142" t="str">
        <f>IFERROR(VLOOKUP(C142,Customers!$A$2:$F$301,5,FALSE()),"")</f>
        <v>Retail</v>
      </c>
      <c r="P142">
        <f>IFERROR(VLOOKUP(C142,Customers!$A$2:$F$301,3,FALSE()),"")</f>
        <v>42</v>
      </c>
      <c r="Q142">
        <f t="shared" si="6"/>
        <v>0.37797356828193834</v>
      </c>
      <c r="R142">
        <f>IF(AND(COUNTIF($A$2:$A$2027,A142)&gt;1,COUNTIF($A$2:A142,A142)=1),1,0)</f>
        <v>0</v>
      </c>
      <c r="S142" t="b">
        <f>IFERROR(VLOOKUP(D142,Products!$A$2:$F$61,6,FALSE()),"")</f>
        <v>1</v>
      </c>
      <c r="T142" t="str">
        <f>IF(COUNTIF(Customers!$A$2:$A$301,C142)=0,"Missing","OK")</f>
        <v>OK</v>
      </c>
      <c r="U142" t="str">
        <f t="shared" si="7"/>
        <v>Mumbai</v>
      </c>
      <c r="V142">
        <f t="shared" si="8"/>
        <v>0</v>
      </c>
    </row>
    <row r="143" spans="1:22" ht="15" customHeight="1" x14ac:dyDescent="0.35">
      <c r="A143" s="3" t="s">
        <v>371</v>
      </c>
      <c r="B143" s="4">
        <v>45328</v>
      </c>
      <c r="C143" s="3" t="s">
        <v>105</v>
      </c>
      <c r="D143" s="3" t="s">
        <v>299</v>
      </c>
      <c r="E143" s="3" t="s">
        <v>154</v>
      </c>
      <c r="F143" s="5">
        <v>8</v>
      </c>
      <c r="G143" s="5">
        <v>5410</v>
      </c>
      <c r="H143" s="5">
        <v>12.9</v>
      </c>
      <c r="I143" s="5">
        <v>37696.879999999997</v>
      </c>
      <c r="J143" s="3" t="s">
        <v>26</v>
      </c>
      <c r="K143" s="3" t="s">
        <v>72</v>
      </c>
      <c r="L143" t="str">
        <f>IFERROR(VLOOKUP(D143,Products!$A$2:$F$61,3,FALSE()),"")</f>
        <v>Sports</v>
      </c>
      <c r="M143" t="str">
        <f>IFERROR(VLOOKUP(E143,Sales_Reps!$A$2:$C$31,3,FALSE()),"")</f>
        <v>North</v>
      </c>
      <c r="N143">
        <f>IFERROR(VLOOKUP(D143,Products!$A$2:$F$61,4,FALSE()),"")</f>
        <v>2265</v>
      </c>
      <c r="O143" t="str">
        <f>IFERROR(VLOOKUP(C143,Customers!$A$2:$F$301,5,FALSE()),"")</f>
        <v>Retail</v>
      </c>
      <c r="P143">
        <f>IFERROR(VLOOKUP(C143,Customers!$A$2:$F$301,3,FALSE()),"")</f>
        <v>32</v>
      </c>
      <c r="Q143">
        <f t="shared" si="6"/>
        <v>0.58133086876155271</v>
      </c>
      <c r="R143">
        <f>IF(AND(COUNTIF($A$2:$A$2027,A143)&gt;1,COUNTIF($A$2:A143,A143)=1),1,0)</f>
        <v>0</v>
      </c>
      <c r="S143" t="b">
        <f>IFERROR(VLOOKUP(D143,Products!$A$2:$F$61,6,FALSE()),"")</f>
        <v>1</v>
      </c>
      <c r="T143" t="str">
        <f>IF(COUNTIF(Customers!$A$2:$A$301,C143)=0,"Missing","OK")</f>
        <v>OK</v>
      </c>
      <c r="U143" t="str">
        <f t="shared" si="7"/>
        <v>Hyderabad</v>
      </c>
      <c r="V143">
        <f t="shared" si="8"/>
        <v>0</v>
      </c>
    </row>
    <row r="144" spans="1:22" ht="15" customHeight="1" x14ac:dyDescent="0.35">
      <c r="A144" s="3" t="s">
        <v>372</v>
      </c>
      <c r="B144" s="4">
        <v>45508</v>
      </c>
      <c r="C144" s="3" t="s">
        <v>373</v>
      </c>
      <c r="D144" s="3" t="s">
        <v>70</v>
      </c>
      <c r="E144" s="3" t="s">
        <v>143</v>
      </c>
      <c r="F144" s="5">
        <v>9</v>
      </c>
      <c r="G144" s="5">
        <v>2270</v>
      </c>
      <c r="H144" s="5">
        <v>6.8</v>
      </c>
      <c r="I144" s="5">
        <v>19040.759999999998</v>
      </c>
      <c r="J144" s="3" t="s">
        <v>26</v>
      </c>
      <c r="K144" s="3" t="s">
        <v>38</v>
      </c>
      <c r="L144" t="str">
        <f>IFERROR(VLOOKUP(D144,Products!$A$2:$F$61,3,FALSE()),"")</f>
        <v>Grocery</v>
      </c>
      <c r="M144" t="str">
        <f>IFERROR(VLOOKUP(E144,Sales_Reps!$A$2:$C$31,3,FALSE()),"")</f>
        <v>South</v>
      </c>
      <c r="N144">
        <f>IFERROR(VLOOKUP(D144,Products!$A$2:$F$61,4,FALSE()),"")</f>
        <v>1203</v>
      </c>
      <c r="O144" t="str">
        <f>IFERROR(VLOOKUP(C144,Customers!$A$2:$F$301,5,FALSE()),"")</f>
        <v>Corporate</v>
      </c>
      <c r="P144">
        <f>IFERROR(VLOOKUP(C144,Customers!$A$2:$F$301,3,FALSE()),"")</f>
        <v>31</v>
      </c>
      <c r="Q144">
        <f t="shared" si="6"/>
        <v>0.47004405286343615</v>
      </c>
      <c r="R144">
        <f>IF(AND(COUNTIF($A$2:$A$2027,A144)&gt;1,COUNTIF($A$2:A144,A144)=1),1,0)</f>
        <v>0</v>
      </c>
      <c r="S144" t="b">
        <f>IFERROR(VLOOKUP(D144,Products!$A$2:$F$61,6,FALSE()),"")</f>
        <v>1</v>
      </c>
      <c r="T144" t="str">
        <f>IF(COUNTIF(Customers!$A$2:$A$301,C144)=0,"Missing","OK")</f>
        <v>OK</v>
      </c>
      <c r="U144" t="str">
        <f t="shared" si="7"/>
        <v>Delhi</v>
      </c>
      <c r="V144">
        <f t="shared" si="8"/>
        <v>0</v>
      </c>
    </row>
    <row r="145" spans="1:22" ht="15" customHeight="1" x14ac:dyDescent="0.35">
      <c r="A145" s="3" t="s">
        <v>374</v>
      </c>
      <c r="B145" s="4">
        <v>45309</v>
      </c>
      <c r="C145" s="3" t="s">
        <v>76</v>
      </c>
      <c r="D145" s="3" t="s">
        <v>45</v>
      </c>
      <c r="E145" s="3" t="s">
        <v>154</v>
      </c>
      <c r="F145" s="5">
        <v>3</v>
      </c>
      <c r="G145" s="5">
        <v>3160</v>
      </c>
      <c r="H145" s="5">
        <v>12.8</v>
      </c>
      <c r="I145" s="5">
        <v>8266.56</v>
      </c>
      <c r="J145" s="3" t="s">
        <v>26</v>
      </c>
      <c r="K145" s="3" t="s">
        <v>38</v>
      </c>
      <c r="L145" t="str">
        <f>IFERROR(VLOOKUP(D145,Products!$A$2:$F$61,3,FALSE()),"")</f>
        <v>Apparel</v>
      </c>
      <c r="M145" t="str">
        <f>IFERROR(VLOOKUP(E145,Sales_Reps!$A$2:$C$31,3,FALSE()),"")</f>
        <v>North</v>
      </c>
      <c r="N145">
        <f>IFERROR(VLOOKUP(D145,Products!$A$2:$F$61,4,FALSE()),"")</f>
        <v>1886</v>
      </c>
      <c r="O145" t="str">
        <f>IFERROR(VLOOKUP(C145,Customers!$A$2:$F$301,5,FALSE()),"")</f>
        <v>SMB</v>
      </c>
      <c r="P145">
        <f>IFERROR(VLOOKUP(C145,Customers!$A$2:$F$301,3,FALSE()),"")</f>
        <v>27</v>
      </c>
      <c r="Q145">
        <f t="shared" si="6"/>
        <v>0.4031645569620253</v>
      </c>
      <c r="R145">
        <f>IF(AND(COUNTIF($A$2:$A$2027,A145)&gt;1,COUNTIF($A$2:A145,A145)=1),1,0)</f>
        <v>0</v>
      </c>
      <c r="S145" t="b">
        <f>IFERROR(VLOOKUP(D145,Products!$A$2:$F$61,6,FALSE()),"")</f>
        <v>1</v>
      </c>
      <c r="T145" t="str">
        <f>IF(COUNTIF(Customers!$A$2:$A$301,C145)=0,"Missing","OK")</f>
        <v>OK</v>
      </c>
      <c r="U145" t="str">
        <f t="shared" si="7"/>
        <v>Delhi</v>
      </c>
      <c r="V145">
        <f t="shared" si="8"/>
        <v>0</v>
      </c>
    </row>
    <row r="146" spans="1:22" ht="15" customHeight="1" x14ac:dyDescent="0.35">
      <c r="A146" s="3" t="s">
        <v>375</v>
      </c>
      <c r="B146" s="4">
        <v>45448</v>
      </c>
      <c r="C146" s="3" t="s">
        <v>172</v>
      </c>
      <c r="D146" s="3" t="s">
        <v>290</v>
      </c>
      <c r="E146" s="3" t="s">
        <v>67</v>
      </c>
      <c r="F146" s="5">
        <v>8</v>
      </c>
      <c r="G146" s="5">
        <v>4060</v>
      </c>
      <c r="H146" s="5">
        <v>20.9</v>
      </c>
      <c r="I146" s="5">
        <v>25691.68</v>
      </c>
      <c r="J146" s="3" t="s">
        <v>26</v>
      </c>
      <c r="K146" s="3" t="s">
        <v>27</v>
      </c>
      <c r="L146" t="str">
        <f>IFERROR(VLOOKUP(D146,Products!$A$2:$F$61,3,FALSE()),"")</f>
        <v>Grocery</v>
      </c>
      <c r="M146" t="str">
        <f>IFERROR(VLOOKUP(E146,Sales_Reps!$A$2:$C$31,3,FALSE()),"")</f>
        <v>West</v>
      </c>
      <c r="N146">
        <f>IFERROR(VLOOKUP(D146,Products!$A$2:$F$61,4,FALSE()),"")</f>
        <v>2911</v>
      </c>
      <c r="O146" t="str">
        <f>IFERROR(VLOOKUP(C146,Customers!$A$2:$F$301,5,FALSE()),"")</f>
        <v>SMB</v>
      </c>
      <c r="P146">
        <f>IFERROR(VLOOKUP(C146,Customers!$A$2:$F$301,3,FALSE()),"")</f>
        <v>29</v>
      </c>
      <c r="Q146">
        <f t="shared" si="6"/>
        <v>0.28300492610837441</v>
      </c>
      <c r="R146">
        <f>IF(AND(COUNTIF($A$2:$A$2027,A146)&gt;1,COUNTIF($A$2:A146,A146)=1),1,0)</f>
        <v>0</v>
      </c>
      <c r="S146" t="b">
        <f>IFERROR(VLOOKUP(D146,Products!$A$2:$F$61,6,FALSE()),"")</f>
        <v>1</v>
      </c>
      <c r="T146" t="str">
        <f>IF(COUNTIF(Customers!$A$2:$A$301,C146)=0,"Missing","OK")</f>
        <v>OK</v>
      </c>
      <c r="U146" t="str">
        <f t="shared" si="7"/>
        <v>Pune</v>
      </c>
      <c r="V146">
        <f t="shared" si="8"/>
        <v>0</v>
      </c>
    </row>
    <row r="147" spans="1:22" ht="15" customHeight="1" x14ac:dyDescent="0.35">
      <c r="A147" s="3" t="s">
        <v>376</v>
      </c>
      <c r="B147" s="4">
        <v>45449</v>
      </c>
      <c r="C147" s="3" t="s">
        <v>377</v>
      </c>
      <c r="D147" s="3" t="s">
        <v>30</v>
      </c>
      <c r="E147" s="3" t="s">
        <v>242</v>
      </c>
      <c r="F147" s="5">
        <v>5</v>
      </c>
      <c r="G147" s="5">
        <v>820</v>
      </c>
      <c r="H147" s="5">
        <v>9.1</v>
      </c>
      <c r="I147" s="5">
        <v>3726.9</v>
      </c>
      <c r="J147" s="3" t="s">
        <v>83</v>
      </c>
      <c r="K147" s="3" t="s">
        <v>27</v>
      </c>
      <c r="L147" t="str">
        <f>IFERROR(VLOOKUP(D147,Products!$A$2:$F$61,3,FALSE()),"")</f>
        <v>Apparel</v>
      </c>
      <c r="M147" t="str">
        <f>IFERROR(VLOOKUP(E147,Sales_Reps!$A$2:$C$31,3,FALSE()),"")</f>
        <v>East</v>
      </c>
      <c r="N147">
        <f>IFERROR(VLOOKUP(D147,Products!$A$2:$F$61,4,FALSE()),"")</f>
        <v>391</v>
      </c>
      <c r="O147" t="str">
        <f>IFERROR(VLOOKUP(C147,Customers!$A$2:$F$301,5,FALSE()),"")</f>
        <v/>
      </c>
      <c r="P147" t="str">
        <f>IFERROR(VLOOKUP(C147,Customers!$A$2:$F$301,3,FALSE()),"")</f>
        <v/>
      </c>
      <c r="Q147">
        <f t="shared" si="6"/>
        <v>0.52317073170731709</v>
      </c>
      <c r="R147">
        <f>IF(AND(COUNTIF($A$2:$A$2027,A147)&gt;1,COUNTIF($A$2:A147,A147)=1),1,0)</f>
        <v>0</v>
      </c>
      <c r="S147" t="b">
        <f>IFERROR(VLOOKUP(D147,Products!$A$2:$F$61,6,FALSE()),"")</f>
        <v>1</v>
      </c>
      <c r="T147" t="str">
        <f>IF(COUNTIF(Customers!$A$2:$A$301,C147)=0,"Missing","OK")</f>
        <v>Missing</v>
      </c>
      <c r="U147" t="str">
        <f t="shared" si="7"/>
        <v>Pune</v>
      </c>
      <c r="V147">
        <f t="shared" si="8"/>
        <v>0</v>
      </c>
    </row>
    <row r="148" spans="1:22" ht="15" customHeight="1" x14ac:dyDescent="0.35">
      <c r="A148" s="3" t="s">
        <v>378</v>
      </c>
      <c r="B148" s="4">
        <v>45555</v>
      </c>
      <c r="C148" s="3" t="s">
        <v>379</v>
      </c>
      <c r="D148" s="3" t="s">
        <v>49</v>
      </c>
      <c r="E148" s="3" t="s">
        <v>25</v>
      </c>
      <c r="F148" s="5">
        <v>5</v>
      </c>
      <c r="G148" s="5">
        <v>370</v>
      </c>
      <c r="H148" s="5">
        <v>11.5</v>
      </c>
      <c r="I148" s="5">
        <v>1637.25</v>
      </c>
      <c r="J148" s="3" t="s">
        <v>26</v>
      </c>
      <c r="K148" s="3" t="s">
        <v>27</v>
      </c>
      <c r="L148" t="str">
        <f>IFERROR(VLOOKUP(D148,Products!$A$2:$F$61,3,FALSE()),"")</f>
        <v>Home</v>
      </c>
      <c r="M148" t="str">
        <f>IFERROR(VLOOKUP(E148,Sales_Reps!$A$2:$C$31,3,FALSE()),"")</f>
        <v>North</v>
      </c>
      <c r="N148">
        <f>IFERROR(VLOOKUP(D148,Products!$A$2:$F$61,4,FALSE()),"")</f>
        <v>288</v>
      </c>
      <c r="O148" t="str">
        <f>IFERROR(VLOOKUP(C148,Customers!$A$2:$F$301,5,FALSE()),"")</f>
        <v>SMB</v>
      </c>
      <c r="P148">
        <f>IFERROR(VLOOKUP(C148,Customers!$A$2:$F$301,3,FALSE()),"")</f>
        <v>30</v>
      </c>
      <c r="Q148">
        <f t="shared" si="6"/>
        <v>0.22162162162162163</v>
      </c>
      <c r="R148">
        <f>IF(AND(COUNTIF($A$2:$A$2027,A148)&gt;1,COUNTIF($A$2:A148,A148)=1),1,0)</f>
        <v>0</v>
      </c>
      <c r="S148" t="b">
        <f>IFERROR(VLOOKUP(D148,Products!$A$2:$F$61,6,FALSE()),"")</f>
        <v>1</v>
      </c>
      <c r="T148" t="str">
        <f>IF(COUNTIF(Customers!$A$2:$A$301,C148)=0,"Missing","OK")</f>
        <v>OK</v>
      </c>
      <c r="U148" t="str">
        <f t="shared" si="7"/>
        <v>Pune</v>
      </c>
      <c r="V148">
        <f t="shared" si="8"/>
        <v>0</v>
      </c>
    </row>
    <row r="149" spans="1:22" ht="15" customHeight="1" x14ac:dyDescent="0.35">
      <c r="A149" s="3" t="s">
        <v>380</v>
      </c>
      <c r="B149" s="4">
        <v>45341</v>
      </c>
      <c r="C149" s="3" t="s">
        <v>381</v>
      </c>
      <c r="D149" s="3" t="s">
        <v>382</v>
      </c>
      <c r="E149" s="3" t="s">
        <v>236</v>
      </c>
      <c r="F149" s="5">
        <v>9</v>
      </c>
      <c r="G149" s="5">
        <v>5080</v>
      </c>
      <c r="H149" s="5">
        <v>27.5</v>
      </c>
      <c r="I149" s="5">
        <v>33147</v>
      </c>
      <c r="J149" s="3" t="s">
        <v>26</v>
      </c>
      <c r="K149" s="3" t="s">
        <v>27</v>
      </c>
      <c r="L149" t="str">
        <f>IFERROR(VLOOKUP(D149,Products!$A$2:$F$61,3,FALSE()),"")</f>
        <v>Home</v>
      </c>
      <c r="M149" t="str">
        <f>IFERROR(VLOOKUP(E149,Sales_Reps!$A$2:$C$31,3,FALSE()),"")</f>
        <v>North</v>
      </c>
      <c r="N149">
        <f>IFERROR(VLOOKUP(D149,Products!$A$2:$F$61,4,FALSE()),"")</f>
        <v>2459</v>
      </c>
      <c r="O149" t="str">
        <f>IFERROR(VLOOKUP(C149,Customers!$A$2:$F$301,5,FALSE()),"")</f>
        <v>Retail</v>
      </c>
      <c r="P149">
        <f>IFERROR(VLOOKUP(C149,Customers!$A$2:$F$301,3,FALSE()),"")</f>
        <v>65</v>
      </c>
      <c r="Q149">
        <f t="shared" si="6"/>
        <v>0.51594488188976373</v>
      </c>
      <c r="R149">
        <f>IF(AND(COUNTIF($A$2:$A$2027,A149)&gt;1,COUNTIF($A$2:A149,A149)=1),1,0)</f>
        <v>0</v>
      </c>
      <c r="S149" t="b">
        <f>IFERROR(VLOOKUP(D149,Products!$A$2:$F$61,6,FALSE()),"")</f>
        <v>1</v>
      </c>
      <c r="T149" t="str">
        <f>IF(COUNTIF(Customers!$A$2:$A$301,C149)=0,"Missing","OK")</f>
        <v>OK</v>
      </c>
      <c r="U149" t="str">
        <f t="shared" si="7"/>
        <v>Pune</v>
      </c>
      <c r="V149">
        <f t="shared" si="8"/>
        <v>0</v>
      </c>
    </row>
    <row r="150" spans="1:22" ht="15" customHeight="1" x14ac:dyDescent="0.35">
      <c r="A150" s="3" t="s">
        <v>383</v>
      </c>
      <c r="B150" s="4">
        <v>45422</v>
      </c>
      <c r="C150" s="3" t="s">
        <v>247</v>
      </c>
      <c r="D150" s="3" t="s">
        <v>203</v>
      </c>
      <c r="E150" s="3" t="s">
        <v>264</v>
      </c>
      <c r="F150" s="5">
        <v>6</v>
      </c>
      <c r="G150" s="5">
        <v>4070</v>
      </c>
      <c r="H150" s="5">
        <v>12.5</v>
      </c>
      <c r="I150" s="5">
        <v>21367.5</v>
      </c>
      <c r="J150" s="3" t="s">
        <v>26</v>
      </c>
      <c r="K150" s="3" t="s">
        <v>27</v>
      </c>
      <c r="L150" t="str">
        <f>IFERROR(VLOOKUP(D150,Products!$A$2:$F$61,3,FALSE()),"")</f>
        <v>Grocery</v>
      </c>
      <c r="M150" t="str">
        <f>IFERROR(VLOOKUP(E150,Sales_Reps!$A$2:$C$31,3,FALSE()),"")</f>
        <v>South</v>
      </c>
      <c r="N150">
        <f>IFERROR(VLOOKUP(D150,Products!$A$2:$F$61,4,FALSE()),"")</f>
        <v>2027</v>
      </c>
      <c r="O150" t="str">
        <f>IFERROR(VLOOKUP(C150,Customers!$A$2:$F$301,5,FALSE()),"")</f>
        <v>SMB</v>
      </c>
      <c r="P150">
        <f>IFERROR(VLOOKUP(C150,Customers!$A$2:$F$301,3,FALSE()),"")</f>
        <v>54</v>
      </c>
      <c r="Q150">
        <f t="shared" si="6"/>
        <v>0.50196560196560192</v>
      </c>
      <c r="R150">
        <f>IF(AND(COUNTIF($A$2:$A$2027,A150)&gt;1,COUNTIF($A$2:A150,A150)=1),1,0)</f>
        <v>0</v>
      </c>
      <c r="S150" t="b">
        <f>IFERROR(VLOOKUP(D150,Products!$A$2:$F$61,6,FALSE()),"")</f>
        <v>1</v>
      </c>
      <c r="T150" t="str">
        <f>IF(COUNTIF(Customers!$A$2:$A$301,C150)=0,"Missing","OK")</f>
        <v>OK</v>
      </c>
      <c r="U150" t="str">
        <f t="shared" si="7"/>
        <v>Pune</v>
      </c>
      <c r="V150">
        <f t="shared" si="8"/>
        <v>0</v>
      </c>
    </row>
    <row r="151" spans="1:22" ht="15" customHeight="1" x14ac:dyDescent="0.35">
      <c r="A151" s="3" t="s">
        <v>384</v>
      </c>
      <c r="B151" s="4">
        <v>45346</v>
      </c>
      <c r="C151" s="3" t="s">
        <v>379</v>
      </c>
      <c r="D151" s="3" t="s">
        <v>221</v>
      </c>
      <c r="E151" s="3" t="s">
        <v>55</v>
      </c>
      <c r="F151" s="5">
        <v>5</v>
      </c>
      <c r="G151" s="5">
        <v>300</v>
      </c>
      <c r="H151" s="5">
        <v>25.8</v>
      </c>
      <c r="I151" s="5">
        <v>1113</v>
      </c>
      <c r="J151" s="3" t="s">
        <v>26</v>
      </c>
      <c r="K151" s="3" t="s">
        <v>27</v>
      </c>
      <c r="L151" t="str">
        <f>IFERROR(VLOOKUP(D151,Products!$A$2:$F$61,3,FALSE()),"")</f>
        <v>Electronics</v>
      </c>
      <c r="M151" t="str">
        <f>IFERROR(VLOOKUP(E151,Sales_Reps!$A$2:$C$31,3,FALSE()),"")</f>
        <v>West</v>
      </c>
      <c r="N151">
        <f>IFERROR(VLOOKUP(D151,Products!$A$2:$F$61,4,FALSE()),"")</f>
        <v>128</v>
      </c>
      <c r="O151" t="str">
        <f>IFERROR(VLOOKUP(C151,Customers!$A$2:$F$301,5,FALSE()),"")</f>
        <v>SMB</v>
      </c>
      <c r="P151">
        <f>IFERROR(VLOOKUP(C151,Customers!$A$2:$F$301,3,FALSE()),"")</f>
        <v>30</v>
      </c>
      <c r="Q151">
        <f t="shared" si="6"/>
        <v>0.57333333333333336</v>
      </c>
      <c r="R151">
        <f>IF(AND(COUNTIF($A$2:$A$2027,A151)&gt;1,COUNTIF($A$2:A151,A151)=1),1,0)</f>
        <v>0</v>
      </c>
      <c r="S151" t="b">
        <f>IFERROR(VLOOKUP(D151,Products!$A$2:$F$61,6,FALSE()),"")</f>
        <v>1</v>
      </c>
      <c r="T151" t="str">
        <f>IF(COUNTIF(Customers!$A$2:$A$301,C151)=0,"Missing","OK")</f>
        <v>OK</v>
      </c>
      <c r="U151" t="str">
        <f t="shared" si="7"/>
        <v>Pune</v>
      </c>
      <c r="V151">
        <f t="shared" si="8"/>
        <v>0</v>
      </c>
    </row>
    <row r="152" spans="1:22" ht="15" customHeight="1" x14ac:dyDescent="0.35">
      <c r="A152" s="3" t="s">
        <v>385</v>
      </c>
      <c r="B152" s="4">
        <v>45318</v>
      </c>
      <c r="C152" s="3" t="s">
        <v>386</v>
      </c>
      <c r="D152" s="3" t="s">
        <v>130</v>
      </c>
      <c r="E152" s="3" t="s">
        <v>212</v>
      </c>
      <c r="F152" s="5">
        <v>7</v>
      </c>
      <c r="G152" s="5">
        <v>5100</v>
      </c>
      <c r="H152" s="5">
        <v>28.8</v>
      </c>
      <c r="I152" s="5">
        <v>25418.400000000001</v>
      </c>
      <c r="J152" s="3" t="s">
        <v>26</v>
      </c>
      <c r="K152" s="3" t="s">
        <v>387</v>
      </c>
      <c r="L152" t="str">
        <f>IFERROR(VLOOKUP(D152,Products!$A$2:$F$61,3,FALSE()),"")</f>
        <v>Beauty</v>
      </c>
      <c r="M152" t="str">
        <f>IFERROR(VLOOKUP(E152,Sales_Reps!$A$2:$C$31,3,FALSE()),"")</f>
        <v>South</v>
      </c>
      <c r="N152">
        <f>IFERROR(VLOOKUP(D152,Products!$A$2:$F$61,4,FALSE()),"")</f>
        <v>2237</v>
      </c>
      <c r="O152" t="str">
        <f>IFERROR(VLOOKUP(C152,Customers!$A$2:$F$301,5,FALSE()),"")</f>
        <v>Retail</v>
      </c>
      <c r="P152">
        <f>IFERROR(VLOOKUP(C152,Customers!$A$2:$F$301,3,FALSE()),"")</f>
        <v>41</v>
      </c>
      <c r="Q152">
        <f t="shared" si="6"/>
        <v>0.56137254901960787</v>
      </c>
      <c r="R152">
        <f>IF(AND(COUNTIF($A$2:$A$2027,A152)&gt;1,COUNTIF($A$2:A152,A152)=1),1,0)</f>
        <v>0</v>
      </c>
      <c r="S152" t="b">
        <f>IFERROR(VLOOKUP(D152,Products!$A$2:$F$61,6,FALSE()),"")</f>
        <v>1</v>
      </c>
      <c r="T152" t="str">
        <f>IF(COUNTIF(Customers!$A$2:$A$301,C152)=0,"Missing","OK")</f>
        <v>OK</v>
      </c>
      <c r="U152" t="str">
        <f t="shared" si="7"/>
        <v>Mumbai</v>
      </c>
      <c r="V152">
        <f t="shared" si="8"/>
        <v>0</v>
      </c>
    </row>
    <row r="153" spans="1:22" ht="15" customHeight="1" x14ac:dyDescent="0.35">
      <c r="A153" s="3" t="s">
        <v>388</v>
      </c>
      <c r="B153" s="4">
        <v>45521</v>
      </c>
      <c r="C153" s="3" t="s">
        <v>164</v>
      </c>
      <c r="D153" s="3" t="s">
        <v>63</v>
      </c>
      <c r="E153" s="3" t="s">
        <v>264</v>
      </c>
      <c r="F153" s="5">
        <v>2</v>
      </c>
      <c r="G153" s="5">
        <v>5490</v>
      </c>
      <c r="H153" s="5">
        <v>5.5</v>
      </c>
      <c r="I153" s="5">
        <v>10376.1</v>
      </c>
      <c r="J153" s="3" t="s">
        <v>26</v>
      </c>
      <c r="K153" s="3" t="s">
        <v>33</v>
      </c>
      <c r="L153" t="str">
        <f>IFERROR(VLOOKUP(D153,Products!$A$2:$F$61,3,FALSE()),"")</f>
        <v>Home</v>
      </c>
      <c r="M153" t="str">
        <f>IFERROR(VLOOKUP(E153,Sales_Reps!$A$2:$C$31,3,FALSE()),"")</f>
        <v>South</v>
      </c>
      <c r="N153">
        <f>IFERROR(VLOOKUP(D153,Products!$A$2:$F$61,4,FALSE()),"")</f>
        <v>2549</v>
      </c>
      <c r="O153" t="str">
        <f>IFERROR(VLOOKUP(C153,Customers!$A$2:$F$301,5,FALSE()),"")</f>
        <v>Retail</v>
      </c>
      <c r="P153">
        <f>IFERROR(VLOOKUP(C153,Customers!$A$2:$F$301,3,FALSE()),"")</f>
        <v>37</v>
      </c>
      <c r="Q153">
        <f t="shared" si="6"/>
        <v>0.53570127504553733</v>
      </c>
      <c r="R153">
        <f>IF(AND(COUNTIF($A$2:$A$2027,A153)&gt;1,COUNTIF($A$2:A153,A153)=1),1,0)</f>
        <v>0</v>
      </c>
      <c r="S153" t="b">
        <f>IFERROR(VLOOKUP(D153,Products!$A$2:$F$61,6,FALSE()),"")</f>
        <v>1</v>
      </c>
      <c r="T153" t="str">
        <f>IF(COUNTIF(Customers!$A$2:$A$301,C153)=0,"Missing","OK")</f>
        <v>OK</v>
      </c>
      <c r="U153" t="str">
        <f t="shared" si="7"/>
        <v>Chennai</v>
      </c>
      <c r="V153">
        <f t="shared" si="8"/>
        <v>0</v>
      </c>
    </row>
    <row r="154" spans="1:22" ht="15" customHeight="1" x14ac:dyDescent="0.35">
      <c r="A154" s="3" t="s">
        <v>389</v>
      </c>
      <c r="B154" s="4">
        <v>45595</v>
      </c>
      <c r="C154" s="3" t="s">
        <v>390</v>
      </c>
      <c r="D154" s="3" t="s">
        <v>391</v>
      </c>
      <c r="E154" s="3" t="s">
        <v>127</v>
      </c>
      <c r="F154" s="5">
        <v>2</v>
      </c>
      <c r="G154" s="5">
        <v>3450</v>
      </c>
      <c r="H154" s="5">
        <v>1.2</v>
      </c>
      <c r="I154" s="5">
        <v>6817.2</v>
      </c>
      <c r="J154" s="3" t="s">
        <v>26</v>
      </c>
      <c r="K154" s="3" t="s">
        <v>38</v>
      </c>
      <c r="L154" t="str">
        <f>IFERROR(VLOOKUP(D154,Products!$A$2:$F$61,3,FALSE()),"")</f>
        <v>Apparel</v>
      </c>
      <c r="M154" t="str">
        <f>IFERROR(VLOOKUP(E154,Sales_Reps!$A$2:$C$31,3,FALSE()),"")</f>
        <v>South</v>
      </c>
      <c r="N154">
        <f>IFERROR(VLOOKUP(D154,Products!$A$2:$F$61,4,FALSE()),"")</f>
        <v>1748</v>
      </c>
      <c r="O154" t="str">
        <f>IFERROR(VLOOKUP(C154,Customers!$A$2:$F$301,5,FALSE()),"")</f>
        <v>SMB</v>
      </c>
      <c r="P154">
        <f>IFERROR(VLOOKUP(C154,Customers!$A$2:$F$301,3,FALSE()),"")</f>
        <v>34</v>
      </c>
      <c r="Q154">
        <f t="shared" si="6"/>
        <v>0.49333333333333335</v>
      </c>
      <c r="R154">
        <f>IF(AND(COUNTIF($A$2:$A$2027,A154)&gt;1,COUNTIF($A$2:A154,A154)=1),1,0)</f>
        <v>0</v>
      </c>
      <c r="S154" t="b">
        <f>IFERROR(VLOOKUP(D154,Products!$A$2:$F$61,6,FALSE()),"")</f>
        <v>1</v>
      </c>
      <c r="T154" t="str">
        <f>IF(COUNTIF(Customers!$A$2:$A$301,C154)=0,"Missing","OK")</f>
        <v>OK</v>
      </c>
      <c r="U154" t="str">
        <f t="shared" si="7"/>
        <v>Delhi</v>
      </c>
      <c r="V154">
        <f t="shared" si="8"/>
        <v>0</v>
      </c>
    </row>
    <row r="155" spans="1:22" ht="15" customHeight="1" x14ac:dyDescent="0.35">
      <c r="A155" s="3" t="s">
        <v>392</v>
      </c>
      <c r="B155" s="4">
        <v>45530</v>
      </c>
      <c r="C155" s="3" t="s">
        <v>393</v>
      </c>
      <c r="D155" s="3" t="s">
        <v>277</v>
      </c>
      <c r="E155" s="3" t="s">
        <v>236</v>
      </c>
      <c r="F155" s="5">
        <v>10</v>
      </c>
      <c r="G155" s="5">
        <v>2210</v>
      </c>
      <c r="H155" s="5">
        <v>18.8</v>
      </c>
      <c r="I155" s="5">
        <v>17945.2</v>
      </c>
      <c r="J155" s="3" t="s">
        <v>26</v>
      </c>
      <c r="K155" s="3" t="s">
        <v>72</v>
      </c>
      <c r="L155" t="str">
        <f>IFERROR(VLOOKUP(D155,Products!$A$2:$F$61,3,FALSE()),"")</f>
        <v>Grocery</v>
      </c>
      <c r="M155" t="str">
        <f>IFERROR(VLOOKUP(E155,Sales_Reps!$A$2:$C$31,3,FALSE()),"")</f>
        <v>North</v>
      </c>
      <c r="N155">
        <f>IFERROR(VLOOKUP(D155,Products!$A$2:$F$61,4,FALSE()),"")</f>
        <v>1010</v>
      </c>
      <c r="O155" t="str">
        <f>IFERROR(VLOOKUP(C155,Customers!$A$2:$F$301,5,FALSE()),"")</f>
        <v>Corporate</v>
      </c>
      <c r="P155">
        <f>IFERROR(VLOOKUP(C155,Customers!$A$2:$F$301,3,FALSE()),"")</f>
        <v>43</v>
      </c>
      <c r="Q155">
        <f t="shared" si="6"/>
        <v>0.54298642533936647</v>
      </c>
      <c r="R155">
        <f>IF(AND(COUNTIF($A$2:$A$2027,A155)&gt;1,COUNTIF($A$2:A155,A155)=1),1,0)</f>
        <v>0</v>
      </c>
      <c r="S155" t="b">
        <f>IFERROR(VLOOKUP(D155,Products!$A$2:$F$61,6,FALSE()),"")</f>
        <v>1</v>
      </c>
      <c r="T155" t="str">
        <f>IF(COUNTIF(Customers!$A$2:$A$301,C155)=0,"Missing","OK")</f>
        <v>OK</v>
      </c>
      <c r="U155" t="str">
        <f t="shared" si="7"/>
        <v>Hyderabad</v>
      </c>
      <c r="V155">
        <f t="shared" si="8"/>
        <v>0</v>
      </c>
    </row>
    <row r="156" spans="1:22" ht="15" customHeight="1" x14ac:dyDescent="0.35">
      <c r="A156" s="3" t="s">
        <v>394</v>
      </c>
      <c r="B156" s="4">
        <v>45644</v>
      </c>
      <c r="C156" s="3" t="s">
        <v>259</v>
      </c>
      <c r="D156" s="3" t="s">
        <v>82</v>
      </c>
      <c r="E156" s="3" t="s">
        <v>191</v>
      </c>
      <c r="F156" s="5">
        <v>2</v>
      </c>
      <c r="G156" s="5">
        <v>3250</v>
      </c>
      <c r="H156" s="5">
        <v>26.2</v>
      </c>
      <c r="I156" s="5">
        <v>4797</v>
      </c>
      <c r="J156" s="3" t="s">
        <v>26</v>
      </c>
      <c r="K156" s="3" t="s">
        <v>72</v>
      </c>
      <c r="L156" t="str">
        <f>IFERROR(VLOOKUP(D156,Products!$A$2:$F$61,3,FALSE()),"")</f>
        <v>Home</v>
      </c>
      <c r="M156" t="str">
        <f>IFERROR(VLOOKUP(E156,Sales_Reps!$A$2:$C$31,3,FALSE()),"")</f>
        <v>South</v>
      </c>
      <c r="N156">
        <f>IFERROR(VLOOKUP(D156,Products!$A$2:$F$61,4,FALSE()),"")</f>
        <v>1556</v>
      </c>
      <c r="O156" t="str">
        <f>IFERROR(VLOOKUP(C156,Customers!$A$2:$F$301,5,FALSE()),"")</f>
        <v>SMB</v>
      </c>
      <c r="P156">
        <f>IFERROR(VLOOKUP(C156,Customers!$A$2:$F$301,3,FALSE()),"")</f>
        <v>36</v>
      </c>
      <c r="Q156">
        <f t="shared" si="6"/>
        <v>0.52123076923076928</v>
      </c>
      <c r="R156">
        <f>IF(AND(COUNTIF($A$2:$A$2027,A156)&gt;1,COUNTIF($A$2:A156,A156)=1),1,0)</f>
        <v>0</v>
      </c>
      <c r="S156" t="b">
        <f>IFERROR(VLOOKUP(D156,Products!$A$2:$F$61,6,FALSE()),"")</f>
        <v>1</v>
      </c>
      <c r="T156" t="str">
        <f>IF(COUNTIF(Customers!$A$2:$A$301,C156)=0,"Missing","OK")</f>
        <v>OK</v>
      </c>
      <c r="U156" t="str">
        <f t="shared" si="7"/>
        <v>Hyderabad</v>
      </c>
      <c r="V156">
        <f t="shared" si="8"/>
        <v>0</v>
      </c>
    </row>
    <row r="157" spans="1:22" ht="15" customHeight="1" x14ac:dyDescent="0.35">
      <c r="A157" s="3" t="s">
        <v>395</v>
      </c>
      <c r="B157" s="4">
        <v>45298</v>
      </c>
      <c r="C157" s="3" t="s">
        <v>396</v>
      </c>
      <c r="D157" s="3" t="s">
        <v>45</v>
      </c>
      <c r="E157" s="3" t="s">
        <v>154</v>
      </c>
      <c r="F157" s="5">
        <v>5</v>
      </c>
      <c r="G157" s="5">
        <v>3160</v>
      </c>
      <c r="H157" s="5">
        <v>0.9</v>
      </c>
      <c r="I157" s="5">
        <v>15657.8</v>
      </c>
      <c r="J157" s="3" t="s">
        <v>26</v>
      </c>
      <c r="K157" s="3" t="s">
        <v>27</v>
      </c>
      <c r="L157" t="str">
        <f>IFERROR(VLOOKUP(D157,Products!$A$2:$F$61,3,FALSE()),"")</f>
        <v>Apparel</v>
      </c>
      <c r="M157" t="str">
        <f>IFERROR(VLOOKUP(E157,Sales_Reps!$A$2:$C$31,3,FALSE()),"")</f>
        <v>North</v>
      </c>
      <c r="N157">
        <f>IFERROR(VLOOKUP(D157,Products!$A$2:$F$61,4,FALSE()),"")</f>
        <v>1886</v>
      </c>
      <c r="O157" t="str">
        <f>IFERROR(VLOOKUP(C157,Customers!$A$2:$F$301,5,FALSE()),"")</f>
        <v>Retail</v>
      </c>
      <c r="P157">
        <f>IFERROR(VLOOKUP(C157,Customers!$A$2:$F$301,3,FALSE()),"")</f>
        <v>29</v>
      </c>
      <c r="Q157">
        <f t="shared" si="6"/>
        <v>0.4031645569620253</v>
      </c>
      <c r="R157">
        <f>IF(AND(COUNTIF($A$2:$A$2027,A157)&gt;1,COUNTIF($A$2:A157,A157)=1),1,0)</f>
        <v>0</v>
      </c>
      <c r="S157" t="b">
        <f>IFERROR(VLOOKUP(D157,Products!$A$2:$F$61,6,FALSE()),"")</f>
        <v>1</v>
      </c>
      <c r="T157" t="str">
        <f>IF(COUNTIF(Customers!$A$2:$A$301,C157)=0,"Missing","OK")</f>
        <v>OK</v>
      </c>
      <c r="U157" t="str">
        <f t="shared" si="7"/>
        <v>Pune</v>
      </c>
      <c r="V157">
        <f t="shared" si="8"/>
        <v>0</v>
      </c>
    </row>
    <row r="158" spans="1:22" ht="15" customHeight="1" x14ac:dyDescent="0.35">
      <c r="A158" s="3" t="s">
        <v>397</v>
      </c>
      <c r="B158" s="4">
        <v>45447</v>
      </c>
      <c r="C158" s="3" t="s">
        <v>346</v>
      </c>
      <c r="D158" s="3" t="s">
        <v>187</v>
      </c>
      <c r="E158" s="3" t="s">
        <v>109</v>
      </c>
      <c r="F158" s="5">
        <v>4</v>
      </c>
      <c r="G158" s="5">
        <v>3870</v>
      </c>
      <c r="H158" s="5">
        <v>29.6</v>
      </c>
      <c r="I158" s="5">
        <v>10897.92</v>
      </c>
      <c r="J158" s="3" t="s">
        <v>79</v>
      </c>
      <c r="K158" s="3" t="s">
        <v>27</v>
      </c>
      <c r="L158" t="str">
        <f>IFERROR(VLOOKUP(D158,Products!$A$2:$F$61,3,FALSE()),"")</f>
        <v>Electronics</v>
      </c>
      <c r="M158" t="str">
        <f>IFERROR(VLOOKUP(E158,Sales_Reps!$A$2:$C$31,3,FALSE()),"")</f>
        <v>West</v>
      </c>
      <c r="N158">
        <f>IFERROR(VLOOKUP(D158,Products!$A$2:$F$61,4,FALSE()),"")</f>
        <v>1559</v>
      </c>
      <c r="O158" t="str">
        <f>IFERROR(VLOOKUP(C158,Customers!$A$2:$F$301,5,FALSE()),"")</f>
        <v>SMB</v>
      </c>
      <c r="P158">
        <f>IFERROR(VLOOKUP(C158,Customers!$A$2:$F$301,3,FALSE()),"")</f>
        <v>53</v>
      </c>
      <c r="Q158">
        <f t="shared" si="6"/>
        <v>0.59715762273901807</v>
      </c>
      <c r="R158">
        <f>IF(AND(COUNTIF($A$2:$A$2027,A158)&gt;1,COUNTIF($A$2:A158,A158)=1),1,0)</f>
        <v>0</v>
      </c>
      <c r="S158" t="b">
        <f>IFERROR(VLOOKUP(D158,Products!$A$2:$F$61,6,FALSE()),"")</f>
        <v>1</v>
      </c>
      <c r="T158" t="str">
        <f>IF(COUNTIF(Customers!$A$2:$A$301,C158)=0,"Missing","OK")</f>
        <v>OK</v>
      </c>
      <c r="U158" t="str">
        <f t="shared" si="7"/>
        <v>Pune</v>
      </c>
      <c r="V158">
        <f t="shared" si="8"/>
        <v>0</v>
      </c>
    </row>
    <row r="159" spans="1:22" ht="15" customHeight="1" x14ac:dyDescent="0.35">
      <c r="A159" s="3" t="s">
        <v>398</v>
      </c>
      <c r="B159" s="4">
        <v>45601</v>
      </c>
      <c r="C159" s="3" t="s">
        <v>399</v>
      </c>
      <c r="D159" s="3" t="s">
        <v>400</v>
      </c>
      <c r="E159" s="3" t="s">
        <v>224</v>
      </c>
      <c r="F159" s="5">
        <v>4</v>
      </c>
      <c r="G159" s="5">
        <v>3780</v>
      </c>
      <c r="H159" s="5">
        <v>3.5</v>
      </c>
      <c r="I159" s="5">
        <v>14590.8</v>
      </c>
      <c r="J159" s="3" t="s">
        <v>79</v>
      </c>
      <c r="K159" s="3" t="s">
        <v>27</v>
      </c>
      <c r="L159" t="str">
        <f>IFERROR(VLOOKUP(D159,Products!$A$2:$F$61,3,FALSE()),"")</f>
        <v>Sports</v>
      </c>
      <c r="M159" t="str">
        <f>IFERROR(VLOOKUP(E159,Sales_Reps!$A$2:$C$31,3,FALSE()),"")</f>
        <v>East</v>
      </c>
      <c r="N159">
        <f>IFERROR(VLOOKUP(D159,Products!$A$2:$F$61,4,FALSE()),"")</f>
        <v>1860</v>
      </c>
      <c r="O159" t="str">
        <f>IFERROR(VLOOKUP(C159,Customers!$A$2:$F$301,5,FALSE()),"")</f>
        <v>Corporate</v>
      </c>
      <c r="P159">
        <f>IFERROR(VLOOKUP(C159,Customers!$A$2:$F$301,3,FALSE()),"")</f>
        <v>37</v>
      </c>
      <c r="Q159">
        <f t="shared" si="6"/>
        <v>0.50793650793650791</v>
      </c>
      <c r="R159">
        <f>IF(AND(COUNTIF($A$2:$A$2027,A159)&gt;1,COUNTIF($A$2:A159,A159)=1),1,0)</f>
        <v>0</v>
      </c>
      <c r="S159" t="b">
        <f>IFERROR(VLOOKUP(D159,Products!$A$2:$F$61,6,FALSE()),"")</f>
        <v>1</v>
      </c>
      <c r="T159" t="str">
        <f>IF(COUNTIF(Customers!$A$2:$A$301,C159)=0,"Missing","OK")</f>
        <v>OK</v>
      </c>
      <c r="U159" t="str">
        <f t="shared" si="7"/>
        <v>Pune</v>
      </c>
      <c r="V159">
        <f t="shared" si="8"/>
        <v>0</v>
      </c>
    </row>
    <row r="160" spans="1:22" ht="15" customHeight="1" x14ac:dyDescent="0.35">
      <c r="A160" s="3" t="s">
        <v>401</v>
      </c>
      <c r="B160" s="4">
        <v>45428</v>
      </c>
      <c r="C160" s="3" t="s">
        <v>402</v>
      </c>
      <c r="D160" s="3" t="s">
        <v>215</v>
      </c>
      <c r="E160" s="3" t="s">
        <v>97</v>
      </c>
      <c r="F160" s="5">
        <v>4</v>
      </c>
      <c r="G160" s="5">
        <v>3020</v>
      </c>
      <c r="H160" s="5">
        <v>18.899999999999999</v>
      </c>
      <c r="I160" s="5">
        <v>9796.8799999999992</v>
      </c>
      <c r="J160" s="3" t="s">
        <v>26</v>
      </c>
      <c r="K160" s="3" t="s">
        <v>56</v>
      </c>
      <c r="L160" t="str">
        <f>IFERROR(VLOOKUP(D160,Products!$A$2:$F$61,3,FALSE()),"")</f>
        <v>Beauty</v>
      </c>
      <c r="M160" t="str">
        <f>IFERROR(VLOOKUP(E160,Sales_Reps!$A$2:$C$31,3,FALSE()),"")</f>
        <v>East</v>
      </c>
      <c r="N160">
        <f>IFERROR(VLOOKUP(D160,Products!$A$2:$F$61,4,FALSE()),"")</f>
        <v>1626</v>
      </c>
      <c r="O160" t="str">
        <f>IFERROR(VLOOKUP(C160,Customers!$A$2:$F$301,5,FALSE()),"")</f>
        <v>Retail</v>
      </c>
      <c r="P160">
        <f>IFERROR(VLOOKUP(C160,Customers!$A$2:$F$301,3,FALSE()),"")</f>
        <v>55</v>
      </c>
      <c r="Q160">
        <f t="shared" si="6"/>
        <v>0.46158940397350995</v>
      </c>
      <c r="R160">
        <f>IF(AND(COUNTIF($A$2:$A$2027,A160)&gt;1,COUNTIF($A$2:A160,A160)=1),1,0)</f>
        <v>0</v>
      </c>
      <c r="S160" t="b">
        <f>IFERROR(VLOOKUP(D160,Products!$A$2:$F$61,6,FALSE()),"")</f>
        <v>1</v>
      </c>
      <c r="T160" t="str">
        <f>IF(COUNTIF(Customers!$A$2:$A$301,C160)=0,"Missing","OK")</f>
        <v>OK</v>
      </c>
      <c r="U160" t="str">
        <f t="shared" si="7"/>
        <v>Bengaluru</v>
      </c>
      <c r="V160">
        <f t="shared" si="8"/>
        <v>0</v>
      </c>
    </row>
    <row r="161" spans="1:22" ht="15" customHeight="1" x14ac:dyDescent="0.35">
      <c r="A161" s="3" t="s">
        <v>403</v>
      </c>
      <c r="B161" s="4">
        <v>45409</v>
      </c>
      <c r="C161" s="3" t="s">
        <v>404</v>
      </c>
      <c r="D161" s="3" t="s">
        <v>165</v>
      </c>
      <c r="E161" s="3" t="s">
        <v>127</v>
      </c>
      <c r="F161" s="5">
        <v>1</v>
      </c>
      <c r="G161" s="5">
        <v>3730</v>
      </c>
      <c r="H161" s="5">
        <v>10.8</v>
      </c>
      <c r="I161" s="5">
        <v>3327.16</v>
      </c>
      <c r="J161" s="3" t="s">
        <v>83</v>
      </c>
      <c r="K161" s="3" t="s">
        <v>51</v>
      </c>
      <c r="L161" t="str">
        <f>IFERROR(VLOOKUP(D161,Products!$A$2:$F$61,3,FALSE()),"")</f>
        <v>Home</v>
      </c>
      <c r="M161" t="str">
        <f>IFERROR(VLOOKUP(E161,Sales_Reps!$A$2:$C$31,3,FALSE()),"")</f>
        <v>South</v>
      </c>
      <c r="N161">
        <f>IFERROR(VLOOKUP(D161,Products!$A$2:$F$61,4,FALSE()),"")</f>
        <v>2135</v>
      </c>
      <c r="O161" t="str">
        <f>IFERROR(VLOOKUP(C161,Customers!$A$2:$F$301,5,FALSE()),"")</f>
        <v>Retail</v>
      </c>
      <c r="P161">
        <f>IFERROR(VLOOKUP(C161,Customers!$A$2:$F$301,3,FALSE()),"")</f>
        <v>61</v>
      </c>
      <c r="Q161">
        <f t="shared" si="6"/>
        <v>0.42761394101876676</v>
      </c>
      <c r="R161">
        <f>IF(AND(COUNTIF($A$2:$A$2027,A161)&gt;1,COUNTIF($A$2:A161,A161)=1),1,0)</f>
        <v>0</v>
      </c>
      <c r="S161" t="b">
        <f>IFERROR(VLOOKUP(D161,Products!$A$2:$F$61,6,FALSE()),"")</f>
        <v>1</v>
      </c>
      <c r="T161" t="str">
        <f>IF(COUNTIF(Customers!$A$2:$A$301,C161)=0,"Missing","OK")</f>
        <v>OK</v>
      </c>
      <c r="U161" t="str">
        <f t="shared" si="7"/>
        <v>Mumbai</v>
      </c>
      <c r="V161">
        <f t="shared" si="8"/>
        <v>0</v>
      </c>
    </row>
    <row r="162" spans="1:22" ht="15" customHeight="1" x14ac:dyDescent="0.35">
      <c r="A162" s="3" t="s">
        <v>405</v>
      </c>
      <c r="B162" s="4">
        <v>45394</v>
      </c>
      <c r="C162" s="3" t="s">
        <v>272</v>
      </c>
      <c r="D162" s="3" t="s">
        <v>123</v>
      </c>
      <c r="E162" s="3" t="s">
        <v>242</v>
      </c>
      <c r="F162" s="5">
        <v>8</v>
      </c>
      <c r="G162" s="5">
        <v>4880</v>
      </c>
      <c r="H162" s="5">
        <v>20.3</v>
      </c>
      <c r="I162" s="5">
        <v>31114.880000000001</v>
      </c>
      <c r="J162" s="3" t="s">
        <v>26</v>
      </c>
      <c r="K162" s="3" t="s">
        <v>72</v>
      </c>
      <c r="L162" t="str">
        <f>IFERROR(VLOOKUP(D162,Products!$A$2:$F$61,3,FALSE()),"")</f>
        <v>Beauty</v>
      </c>
      <c r="M162" t="str">
        <f>IFERROR(VLOOKUP(E162,Sales_Reps!$A$2:$C$31,3,FALSE()),"")</f>
        <v>East</v>
      </c>
      <c r="N162">
        <f>IFERROR(VLOOKUP(D162,Products!$A$2:$F$61,4,FALSE()),"")</f>
        <v>2768</v>
      </c>
      <c r="O162" t="str">
        <f>IFERROR(VLOOKUP(C162,Customers!$A$2:$F$301,5,FALSE()),"")</f>
        <v>SMB</v>
      </c>
      <c r="P162">
        <f>IFERROR(VLOOKUP(C162,Customers!$A$2:$F$301,3,FALSE()),"")</f>
        <v>65</v>
      </c>
      <c r="Q162">
        <f t="shared" si="6"/>
        <v>0.43278688524590164</v>
      </c>
      <c r="R162">
        <f>IF(AND(COUNTIF($A$2:$A$2027,A162)&gt;1,COUNTIF($A$2:A162,A162)=1),1,0)</f>
        <v>0</v>
      </c>
      <c r="S162" t="b">
        <f>IFERROR(VLOOKUP(D162,Products!$A$2:$F$61,6,FALSE()),"")</f>
        <v>1</v>
      </c>
      <c r="T162" t="str">
        <f>IF(COUNTIF(Customers!$A$2:$A$301,C162)=0,"Missing","OK")</f>
        <v>OK</v>
      </c>
      <c r="U162" t="str">
        <f t="shared" si="7"/>
        <v>Hyderabad</v>
      </c>
      <c r="V162">
        <f t="shared" si="8"/>
        <v>0</v>
      </c>
    </row>
    <row r="163" spans="1:22" ht="15" customHeight="1" x14ac:dyDescent="0.35">
      <c r="A163" s="3" t="s">
        <v>406</v>
      </c>
      <c r="B163" s="4">
        <v>45579</v>
      </c>
      <c r="C163" s="3" t="s">
        <v>89</v>
      </c>
      <c r="D163" s="3" t="s">
        <v>66</v>
      </c>
      <c r="E163" s="3" t="s">
        <v>140</v>
      </c>
      <c r="F163" s="5">
        <v>9</v>
      </c>
      <c r="G163" s="5">
        <v>970</v>
      </c>
      <c r="H163" s="5">
        <v>18.2</v>
      </c>
      <c r="I163" s="5">
        <v>7141.14</v>
      </c>
      <c r="J163" s="3" t="s">
        <v>26</v>
      </c>
      <c r="K163" s="3" t="s">
        <v>27</v>
      </c>
      <c r="L163" t="str">
        <f>IFERROR(VLOOKUP(D163,Products!$A$2:$F$61,3,FALSE()),"")</f>
        <v>Grocery</v>
      </c>
      <c r="M163" t="str">
        <f>IFERROR(VLOOKUP(E163,Sales_Reps!$A$2:$C$31,3,FALSE()),"")</f>
        <v>West</v>
      </c>
      <c r="N163">
        <f>IFERROR(VLOOKUP(D163,Products!$A$2:$F$61,4,FALSE()),"")</f>
        <v>434</v>
      </c>
      <c r="O163" t="str">
        <f>IFERROR(VLOOKUP(C163,Customers!$A$2:$F$301,5,FALSE()),"")</f>
        <v>Retail</v>
      </c>
      <c r="P163">
        <f>IFERROR(VLOOKUP(C163,Customers!$A$2:$F$301,3,FALSE()),"")</f>
        <v>63</v>
      </c>
      <c r="Q163">
        <f t="shared" si="6"/>
        <v>0.5525773195876289</v>
      </c>
      <c r="R163">
        <f>IF(AND(COUNTIF($A$2:$A$2027,A163)&gt;1,COUNTIF($A$2:A163,A163)=1),1,0)</f>
        <v>0</v>
      </c>
      <c r="S163" t="b">
        <f>IFERROR(VLOOKUP(D163,Products!$A$2:$F$61,6,FALSE()),"")</f>
        <v>1</v>
      </c>
      <c r="T163" t="str">
        <f>IF(COUNTIF(Customers!$A$2:$A$301,C163)=0,"Missing","OK")</f>
        <v>OK</v>
      </c>
      <c r="U163" t="str">
        <f t="shared" si="7"/>
        <v>Pune</v>
      </c>
      <c r="V163">
        <f t="shared" si="8"/>
        <v>0</v>
      </c>
    </row>
    <row r="164" spans="1:22" ht="15" customHeight="1" x14ac:dyDescent="0.35">
      <c r="A164" s="3" t="s">
        <v>407</v>
      </c>
      <c r="B164" s="4">
        <v>45442</v>
      </c>
      <c r="C164" s="3" t="s">
        <v>408</v>
      </c>
      <c r="D164" s="3" t="s">
        <v>218</v>
      </c>
      <c r="E164" s="3" t="s">
        <v>177</v>
      </c>
      <c r="F164" s="5">
        <v>8</v>
      </c>
      <c r="G164" s="5">
        <v>2660</v>
      </c>
      <c r="H164" s="5">
        <v>17.600000000000001</v>
      </c>
      <c r="I164" s="5">
        <v>17534.72</v>
      </c>
      <c r="J164" s="3" t="s">
        <v>26</v>
      </c>
      <c r="K164" s="3" t="s">
        <v>56</v>
      </c>
      <c r="L164" t="str">
        <f>IFERROR(VLOOKUP(D164,Products!$A$2:$F$61,3,FALSE()),"")</f>
        <v>Electronics</v>
      </c>
      <c r="M164" t="str">
        <f>IFERROR(VLOOKUP(E164,Sales_Reps!$A$2:$C$31,3,FALSE()),"")</f>
        <v>East</v>
      </c>
      <c r="N164">
        <f>IFERROR(VLOOKUP(D164,Products!$A$2:$F$61,4,FALSE()),"")</f>
        <v>1259</v>
      </c>
      <c r="O164" t="str">
        <f>IFERROR(VLOOKUP(C164,Customers!$A$2:$F$301,5,FALSE()),"")</f>
        <v>SMB</v>
      </c>
      <c r="P164">
        <f>IFERROR(VLOOKUP(C164,Customers!$A$2:$F$301,3,FALSE()),"")</f>
        <v>43</v>
      </c>
      <c r="Q164">
        <f t="shared" si="6"/>
        <v>0.52669172932330832</v>
      </c>
      <c r="R164">
        <f>IF(AND(COUNTIF($A$2:$A$2027,A164)&gt;1,COUNTIF($A$2:A164,A164)=1),1,0)</f>
        <v>0</v>
      </c>
      <c r="S164" t="b">
        <f>IFERROR(VLOOKUP(D164,Products!$A$2:$F$61,6,FALSE()),"")</f>
        <v>0</v>
      </c>
      <c r="T164" t="str">
        <f>IF(COUNTIF(Customers!$A$2:$A$301,C164)=0,"Missing","OK")</f>
        <v>OK</v>
      </c>
      <c r="U164" t="str">
        <f t="shared" si="7"/>
        <v>Bengaluru</v>
      </c>
      <c r="V164">
        <f t="shared" si="8"/>
        <v>0</v>
      </c>
    </row>
    <row r="165" spans="1:22" ht="15" customHeight="1" x14ac:dyDescent="0.35">
      <c r="A165" s="3" t="s">
        <v>409</v>
      </c>
      <c r="B165" s="4">
        <v>45414</v>
      </c>
      <c r="C165" s="3" t="s">
        <v>76</v>
      </c>
      <c r="D165" s="3" t="s">
        <v>30</v>
      </c>
      <c r="E165" s="3" t="s">
        <v>127</v>
      </c>
      <c r="F165" s="5">
        <v>2</v>
      </c>
      <c r="G165" s="5">
        <v>820</v>
      </c>
      <c r="H165" s="5">
        <v>18.100000000000001</v>
      </c>
      <c r="I165" s="5">
        <v>1343.16</v>
      </c>
      <c r="J165" s="3" t="s">
        <v>79</v>
      </c>
      <c r="K165" s="3" t="s">
        <v>38</v>
      </c>
      <c r="L165" t="str">
        <f>IFERROR(VLOOKUP(D165,Products!$A$2:$F$61,3,FALSE()),"")</f>
        <v>Apparel</v>
      </c>
      <c r="M165" t="str">
        <f>IFERROR(VLOOKUP(E165,Sales_Reps!$A$2:$C$31,3,FALSE()),"")</f>
        <v>South</v>
      </c>
      <c r="N165">
        <f>IFERROR(VLOOKUP(D165,Products!$A$2:$F$61,4,FALSE()),"")</f>
        <v>391</v>
      </c>
      <c r="O165" t="str">
        <f>IFERROR(VLOOKUP(C165,Customers!$A$2:$F$301,5,FALSE()),"")</f>
        <v>SMB</v>
      </c>
      <c r="P165">
        <f>IFERROR(VLOOKUP(C165,Customers!$A$2:$F$301,3,FALSE()),"")</f>
        <v>27</v>
      </c>
      <c r="Q165">
        <f t="shared" si="6"/>
        <v>0.52317073170731709</v>
      </c>
      <c r="R165">
        <f>IF(AND(COUNTIF($A$2:$A$2027,A165)&gt;1,COUNTIF($A$2:A165,A165)=1),1,0)</f>
        <v>0</v>
      </c>
      <c r="S165" t="b">
        <f>IFERROR(VLOOKUP(D165,Products!$A$2:$F$61,6,FALSE()),"")</f>
        <v>1</v>
      </c>
      <c r="T165" t="str">
        <f>IF(COUNTIF(Customers!$A$2:$A$301,C165)=0,"Missing","OK")</f>
        <v>OK</v>
      </c>
      <c r="U165" t="str">
        <f t="shared" si="7"/>
        <v>Delhi</v>
      </c>
      <c r="V165">
        <f t="shared" si="8"/>
        <v>0</v>
      </c>
    </row>
    <row r="166" spans="1:22" ht="15" customHeight="1" x14ac:dyDescent="0.35">
      <c r="A166" s="3" t="s">
        <v>410</v>
      </c>
      <c r="B166" s="4">
        <v>45349</v>
      </c>
      <c r="C166" s="3" t="s">
        <v>411</v>
      </c>
      <c r="D166" s="3" t="s">
        <v>234</v>
      </c>
      <c r="E166" s="3" t="s">
        <v>143</v>
      </c>
      <c r="F166" s="5">
        <v>7</v>
      </c>
      <c r="G166" s="5">
        <v>2030</v>
      </c>
      <c r="H166" s="5">
        <v>23.7</v>
      </c>
      <c r="I166" s="5">
        <v>10842.23</v>
      </c>
      <c r="J166" s="3" t="s">
        <v>32</v>
      </c>
      <c r="K166" s="3" t="s">
        <v>33</v>
      </c>
      <c r="L166" t="str">
        <f>IFERROR(VLOOKUP(D166,Products!$A$2:$F$61,3,FALSE()),"")</f>
        <v>Home</v>
      </c>
      <c r="M166" t="str">
        <f>IFERROR(VLOOKUP(E166,Sales_Reps!$A$2:$C$31,3,FALSE()),"")</f>
        <v>South</v>
      </c>
      <c r="N166">
        <f>IFERROR(VLOOKUP(D166,Products!$A$2:$F$61,4,FALSE()),"")</f>
        <v>1143</v>
      </c>
      <c r="O166" t="str">
        <f>IFERROR(VLOOKUP(C166,Customers!$A$2:$F$301,5,FALSE()),"")</f>
        <v>Corporate</v>
      </c>
      <c r="P166">
        <f>IFERROR(VLOOKUP(C166,Customers!$A$2:$F$301,3,FALSE()),"")</f>
        <v>35</v>
      </c>
      <c r="Q166">
        <f t="shared" si="6"/>
        <v>0.43694581280788175</v>
      </c>
      <c r="R166">
        <f>IF(AND(COUNTIF($A$2:$A$2027,A166)&gt;1,COUNTIF($A$2:A166,A166)=1),1,0)</f>
        <v>0</v>
      </c>
      <c r="S166" t="b">
        <f>IFERROR(VLOOKUP(D166,Products!$A$2:$F$61,6,FALSE()),"")</f>
        <v>1</v>
      </c>
      <c r="T166" t="str">
        <f>IF(COUNTIF(Customers!$A$2:$A$301,C166)=0,"Missing","OK")</f>
        <v>OK</v>
      </c>
      <c r="U166" t="str">
        <f t="shared" si="7"/>
        <v>Chennai</v>
      </c>
      <c r="V166">
        <f t="shared" si="8"/>
        <v>0</v>
      </c>
    </row>
    <row r="167" spans="1:22" ht="15" customHeight="1" x14ac:dyDescent="0.35">
      <c r="A167" s="3" t="s">
        <v>412</v>
      </c>
      <c r="B167" s="4">
        <v>45533</v>
      </c>
      <c r="C167" s="3" t="s">
        <v>413</v>
      </c>
      <c r="D167" s="3" t="s">
        <v>231</v>
      </c>
      <c r="E167" s="3" t="s">
        <v>143</v>
      </c>
      <c r="F167" s="5">
        <v>5</v>
      </c>
      <c r="G167" s="5">
        <v>620</v>
      </c>
      <c r="H167" s="5">
        <v>13.8</v>
      </c>
      <c r="I167" s="5">
        <v>2672.2</v>
      </c>
      <c r="J167" s="3" t="s">
        <v>26</v>
      </c>
      <c r="K167" s="3" t="s">
        <v>38</v>
      </c>
      <c r="L167" t="str">
        <f>IFERROR(VLOOKUP(D167,Products!$A$2:$F$61,3,FALSE()),"")</f>
        <v>Apparel</v>
      </c>
      <c r="M167" t="str">
        <f>IFERROR(VLOOKUP(E167,Sales_Reps!$A$2:$C$31,3,FALSE()),"")</f>
        <v>South</v>
      </c>
      <c r="N167">
        <f>IFERROR(VLOOKUP(D167,Products!$A$2:$F$61,4,FALSE()),"")</f>
        <v>396</v>
      </c>
      <c r="O167" t="str">
        <f>IFERROR(VLOOKUP(C167,Customers!$A$2:$F$301,5,FALSE()),"")</f>
        <v>SMB</v>
      </c>
      <c r="P167">
        <f>IFERROR(VLOOKUP(C167,Customers!$A$2:$F$301,3,FALSE()),"")</f>
        <v>59</v>
      </c>
      <c r="Q167">
        <f t="shared" si="6"/>
        <v>0.36129032258064514</v>
      </c>
      <c r="R167">
        <f>IF(AND(COUNTIF($A$2:$A$2027,A167)&gt;1,COUNTIF($A$2:A167,A167)=1),1,0)</f>
        <v>0</v>
      </c>
      <c r="S167" t="b">
        <f>IFERROR(VLOOKUP(D167,Products!$A$2:$F$61,6,FALSE()),"")</f>
        <v>1</v>
      </c>
      <c r="T167" t="str">
        <f>IF(COUNTIF(Customers!$A$2:$A$301,C167)=0,"Missing","OK")</f>
        <v>OK</v>
      </c>
      <c r="U167" t="str">
        <f t="shared" si="7"/>
        <v>Delhi</v>
      </c>
      <c r="V167">
        <f t="shared" si="8"/>
        <v>0</v>
      </c>
    </row>
    <row r="168" spans="1:22" ht="15" customHeight="1" x14ac:dyDescent="0.35">
      <c r="A168" s="3" t="s">
        <v>414</v>
      </c>
      <c r="B168" s="4">
        <v>45489</v>
      </c>
      <c r="C168" s="3" t="s">
        <v>390</v>
      </c>
      <c r="D168" s="3" t="s">
        <v>184</v>
      </c>
      <c r="E168" s="3" t="s">
        <v>224</v>
      </c>
      <c r="F168" s="5">
        <v>7</v>
      </c>
      <c r="G168" s="5">
        <v>2270</v>
      </c>
      <c r="H168" s="5">
        <v>5.5</v>
      </c>
      <c r="I168" s="5">
        <v>15016.05</v>
      </c>
      <c r="J168" s="3" t="s">
        <v>26</v>
      </c>
      <c r="K168" s="3" t="s">
        <v>38</v>
      </c>
      <c r="L168" t="str">
        <f>IFERROR(VLOOKUP(D168,Products!$A$2:$F$61,3,FALSE()),"")</f>
        <v>Grocery</v>
      </c>
      <c r="M168" t="str">
        <f>IFERROR(VLOOKUP(E168,Sales_Reps!$A$2:$C$31,3,FALSE()),"")</f>
        <v>East</v>
      </c>
      <c r="N168">
        <f>IFERROR(VLOOKUP(D168,Products!$A$2:$F$61,4,FALSE()),"")</f>
        <v>1412</v>
      </c>
      <c r="O168" t="str">
        <f>IFERROR(VLOOKUP(C168,Customers!$A$2:$F$301,5,FALSE()),"")</f>
        <v>SMB</v>
      </c>
      <c r="P168">
        <f>IFERROR(VLOOKUP(C168,Customers!$A$2:$F$301,3,FALSE()),"")</f>
        <v>34</v>
      </c>
      <c r="Q168">
        <f t="shared" si="6"/>
        <v>0.37797356828193834</v>
      </c>
      <c r="R168">
        <f>IF(AND(COUNTIF($A$2:$A$2027,A168)&gt;1,COUNTIF($A$2:A168,A168)=1),1,0)</f>
        <v>0</v>
      </c>
      <c r="S168" t="b">
        <f>IFERROR(VLOOKUP(D168,Products!$A$2:$F$61,6,FALSE()),"")</f>
        <v>1</v>
      </c>
      <c r="T168" t="str">
        <f>IF(COUNTIF(Customers!$A$2:$A$301,C168)=0,"Missing","OK")</f>
        <v>OK</v>
      </c>
      <c r="U168" t="str">
        <f t="shared" si="7"/>
        <v>Delhi</v>
      </c>
      <c r="V168">
        <f t="shared" si="8"/>
        <v>0</v>
      </c>
    </row>
    <row r="169" spans="1:22" ht="15" customHeight="1" x14ac:dyDescent="0.35">
      <c r="A169" s="3" t="s">
        <v>415</v>
      </c>
      <c r="B169" s="4">
        <v>45457</v>
      </c>
      <c r="C169" s="3" t="s">
        <v>114</v>
      </c>
      <c r="D169" s="3" t="s">
        <v>36</v>
      </c>
      <c r="E169" s="3" t="s">
        <v>285</v>
      </c>
      <c r="F169" s="5">
        <v>1</v>
      </c>
      <c r="G169" s="5">
        <v>470</v>
      </c>
      <c r="H169" s="5">
        <v>13.7</v>
      </c>
      <c r="I169" s="5">
        <v>405.61</v>
      </c>
      <c r="J169" s="3" t="s">
        <v>32</v>
      </c>
      <c r="K169" s="3" t="s">
        <v>72</v>
      </c>
      <c r="L169" t="str">
        <f>IFERROR(VLOOKUP(D169,Products!$A$2:$F$61,3,FALSE()),"")</f>
        <v>Sports</v>
      </c>
      <c r="M169" t="str">
        <f>IFERROR(VLOOKUP(E169,Sales_Reps!$A$2:$C$31,3,FALSE()),"")</f>
        <v>South</v>
      </c>
      <c r="N169">
        <f>IFERROR(VLOOKUP(D169,Products!$A$2:$F$61,4,FALSE()),"")</f>
        <v>302</v>
      </c>
      <c r="O169" t="str">
        <f>IFERROR(VLOOKUP(C169,Customers!$A$2:$F$301,5,FALSE()),"")</f>
        <v>SMB</v>
      </c>
      <c r="P169">
        <f>IFERROR(VLOOKUP(C169,Customers!$A$2:$F$301,3,FALSE()),"")</f>
        <v>40</v>
      </c>
      <c r="Q169">
        <f t="shared" si="6"/>
        <v>0.35744680851063831</v>
      </c>
      <c r="R169">
        <f>IF(AND(COUNTIF($A$2:$A$2027,A169)&gt;1,COUNTIF($A$2:A169,A169)=1),1,0)</f>
        <v>1</v>
      </c>
      <c r="S169" t="b">
        <f>IFERROR(VLOOKUP(D169,Products!$A$2:$F$61,6,FALSE()),"")</f>
        <v>0</v>
      </c>
      <c r="T169" t="str">
        <f>IF(COUNTIF(Customers!$A$2:$A$301,C169)=0,"Missing","OK")</f>
        <v>OK</v>
      </c>
      <c r="U169" t="str">
        <f t="shared" si="7"/>
        <v>Hyderabad</v>
      </c>
      <c r="V169">
        <f t="shared" si="8"/>
        <v>0</v>
      </c>
    </row>
    <row r="170" spans="1:22" ht="15" customHeight="1" x14ac:dyDescent="0.35">
      <c r="A170" s="3" t="s">
        <v>416</v>
      </c>
      <c r="B170" s="4">
        <v>45601</v>
      </c>
      <c r="C170" s="3" t="s">
        <v>89</v>
      </c>
      <c r="D170" s="3" t="s">
        <v>303</v>
      </c>
      <c r="E170" s="3" t="s">
        <v>25</v>
      </c>
      <c r="F170" s="5">
        <v>6</v>
      </c>
      <c r="G170" s="5">
        <v>5330</v>
      </c>
      <c r="H170" s="5">
        <v>17.899999999999999</v>
      </c>
      <c r="I170" s="5">
        <v>26255.58</v>
      </c>
      <c r="J170" s="3" t="s">
        <v>26</v>
      </c>
      <c r="K170" s="3" t="s">
        <v>27</v>
      </c>
      <c r="L170" t="str">
        <f>IFERROR(VLOOKUP(D170,Products!$A$2:$F$61,3,FALSE()),"")</f>
        <v>Electronics</v>
      </c>
      <c r="M170" t="str">
        <f>IFERROR(VLOOKUP(E170,Sales_Reps!$A$2:$C$31,3,FALSE()),"")</f>
        <v>North</v>
      </c>
      <c r="N170">
        <f>IFERROR(VLOOKUP(D170,Products!$A$2:$F$61,4,FALSE()),"")</f>
        <v>2405</v>
      </c>
      <c r="O170" t="str">
        <f>IFERROR(VLOOKUP(C170,Customers!$A$2:$F$301,5,FALSE()),"")</f>
        <v>Retail</v>
      </c>
      <c r="P170">
        <f>IFERROR(VLOOKUP(C170,Customers!$A$2:$F$301,3,FALSE()),"")</f>
        <v>63</v>
      </c>
      <c r="Q170">
        <f t="shared" si="6"/>
        <v>0.54878048780487809</v>
      </c>
      <c r="R170">
        <f>IF(AND(COUNTIF($A$2:$A$2027,A170)&gt;1,COUNTIF($A$2:A170,A170)=1),1,0)</f>
        <v>0</v>
      </c>
      <c r="S170" t="b">
        <f>IFERROR(VLOOKUP(D170,Products!$A$2:$F$61,6,FALSE()),"")</f>
        <v>1</v>
      </c>
      <c r="T170" t="str">
        <f>IF(COUNTIF(Customers!$A$2:$A$301,C170)=0,"Missing","OK")</f>
        <v>OK</v>
      </c>
      <c r="U170" t="str">
        <f t="shared" si="7"/>
        <v>Pune</v>
      </c>
      <c r="V170">
        <f t="shared" si="8"/>
        <v>0</v>
      </c>
    </row>
    <row r="171" spans="1:22" ht="15" customHeight="1" x14ac:dyDescent="0.35">
      <c r="A171" s="3" t="s">
        <v>417</v>
      </c>
      <c r="B171" s="4">
        <v>45294</v>
      </c>
      <c r="C171" s="3" t="s">
        <v>418</v>
      </c>
      <c r="D171" s="3" t="s">
        <v>180</v>
      </c>
      <c r="E171" s="3" t="s">
        <v>236</v>
      </c>
      <c r="F171" s="5">
        <v>1</v>
      </c>
      <c r="G171" s="5">
        <v>6080</v>
      </c>
      <c r="H171" s="5">
        <v>25.5</v>
      </c>
      <c r="I171" s="5">
        <v>4529.6000000000004</v>
      </c>
      <c r="J171" s="3" t="s">
        <v>26</v>
      </c>
      <c r="K171" s="3" t="s">
        <v>27</v>
      </c>
      <c r="L171" t="str">
        <f>IFERROR(VLOOKUP(D171,Products!$A$2:$F$61,3,FALSE()),"")</f>
        <v>Beauty</v>
      </c>
      <c r="M171" t="str">
        <f>IFERROR(VLOOKUP(E171,Sales_Reps!$A$2:$C$31,3,FALSE()),"")</f>
        <v>North</v>
      </c>
      <c r="N171">
        <f>IFERROR(VLOOKUP(D171,Products!$A$2:$F$61,4,FALSE()),"")</f>
        <v>2617</v>
      </c>
      <c r="O171" t="str">
        <f>IFERROR(VLOOKUP(C171,Customers!$A$2:$F$301,5,FALSE()),"")</f>
        <v>SMB</v>
      </c>
      <c r="P171">
        <f>IFERROR(VLOOKUP(C171,Customers!$A$2:$F$301,3,FALSE()),"")</f>
        <v>49</v>
      </c>
      <c r="Q171">
        <f t="shared" si="6"/>
        <v>0.56957236842105263</v>
      </c>
      <c r="R171">
        <f>IF(AND(COUNTIF($A$2:$A$2027,A171)&gt;1,COUNTIF($A$2:A171,A171)=1),1,0)</f>
        <v>0</v>
      </c>
      <c r="S171" t="b">
        <f>IFERROR(VLOOKUP(D171,Products!$A$2:$F$61,6,FALSE()),"")</f>
        <v>1</v>
      </c>
      <c r="T171" t="str">
        <f>IF(COUNTIF(Customers!$A$2:$A$301,C171)=0,"Missing","OK")</f>
        <v>OK</v>
      </c>
      <c r="U171" t="str">
        <f t="shared" si="7"/>
        <v>Pune</v>
      </c>
      <c r="V171">
        <f t="shared" si="8"/>
        <v>0</v>
      </c>
    </row>
    <row r="172" spans="1:22" ht="15" customHeight="1" x14ac:dyDescent="0.35">
      <c r="A172" s="3" t="s">
        <v>419</v>
      </c>
      <c r="B172" s="4">
        <v>45345</v>
      </c>
      <c r="C172" s="3" t="s">
        <v>200</v>
      </c>
      <c r="D172" s="3" t="s">
        <v>173</v>
      </c>
      <c r="E172" s="3" t="s">
        <v>224</v>
      </c>
      <c r="F172" s="5">
        <v>5</v>
      </c>
      <c r="G172" s="5">
        <v>3780</v>
      </c>
      <c r="H172" s="5">
        <v>28.6</v>
      </c>
      <c r="I172" s="5">
        <v>13494.6</v>
      </c>
      <c r="J172" s="3" t="s">
        <v>26</v>
      </c>
      <c r="K172" s="3" t="s">
        <v>38</v>
      </c>
      <c r="L172" t="str">
        <f>IFERROR(VLOOKUP(D172,Products!$A$2:$F$61,3,FALSE()),"")</f>
        <v>Grocery</v>
      </c>
      <c r="M172" t="str">
        <f>IFERROR(VLOOKUP(E172,Sales_Reps!$A$2:$C$31,3,FALSE()),"")</f>
        <v>East</v>
      </c>
      <c r="N172">
        <f>IFERROR(VLOOKUP(D172,Products!$A$2:$F$61,4,FALSE()),"")</f>
        <v>2436</v>
      </c>
      <c r="O172" t="str">
        <f>IFERROR(VLOOKUP(C172,Customers!$A$2:$F$301,5,FALSE()),"")</f>
        <v>Retail</v>
      </c>
      <c r="P172">
        <f>IFERROR(VLOOKUP(C172,Customers!$A$2:$F$301,3,FALSE()),"")</f>
        <v>54</v>
      </c>
      <c r="Q172">
        <f t="shared" si="6"/>
        <v>0.35555555555555557</v>
      </c>
      <c r="R172">
        <f>IF(AND(COUNTIF($A$2:$A$2027,A172)&gt;1,COUNTIF($A$2:A172,A172)=1),1,0)</f>
        <v>0</v>
      </c>
      <c r="S172" t="b">
        <f>IFERROR(VLOOKUP(D172,Products!$A$2:$F$61,6,FALSE()),"")</f>
        <v>1</v>
      </c>
      <c r="T172" t="str">
        <f>IF(COUNTIF(Customers!$A$2:$A$301,C172)=0,"Missing","OK")</f>
        <v>OK</v>
      </c>
      <c r="U172" t="str">
        <f t="shared" si="7"/>
        <v>Delhi</v>
      </c>
      <c r="V172">
        <f t="shared" si="8"/>
        <v>0</v>
      </c>
    </row>
    <row r="173" spans="1:22" ht="15" customHeight="1" x14ac:dyDescent="0.35">
      <c r="A173" s="3" t="s">
        <v>420</v>
      </c>
      <c r="B173" s="4">
        <v>45391</v>
      </c>
      <c r="C173" s="3" t="s">
        <v>421</v>
      </c>
      <c r="D173" s="3" t="s">
        <v>231</v>
      </c>
      <c r="E173" s="3" t="s">
        <v>71</v>
      </c>
      <c r="F173" s="5">
        <v>5</v>
      </c>
      <c r="G173" s="5">
        <v>620</v>
      </c>
      <c r="H173" s="5">
        <v>6.9</v>
      </c>
      <c r="I173" s="5">
        <v>2886.1</v>
      </c>
      <c r="J173" s="3" t="s">
        <v>79</v>
      </c>
      <c r="K173" s="3" t="s">
        <v>72</v>
      </c>
      <c r="L173" t="str">
        <f>IFERROR(VLOOKUP(D173,Products!$A$2:$F$61,3,FALSE()),"")</f>
        <v>Apparel</v>
      </c>
      <c r="M173" t="str">
        <f>IFERROR(VLOOKUP(E173,Sales_Reps!$A$2:$C$31,3,FALSE()),"")</f>
        <v>South</v>
      </c>
      <c r="N173">
        <f>IFERROR(VLOOKUP(D173,Products!$A$2:$F$61,4,FALSE()),"")</f>
        <v>396</v>
      </c>
      <c r="O173" t="str">
        <f>IFERROR(VLOOKUP(C173,Customers!$A$2:$F$301,5,FALSE()),"")</f>
        <v>Corporate</v>
      </c>
      <c r="P173">
        <f>IFERROR(VLOOKUP(C173,Customers!$A$2:$F$301,3,FALSE()),"")</f>
        <v>52</v>
      </c>
      <c r="Q173">
        <f t="shared" si="6"/>
        <v>0.36129032258064514</v>
      </c>
      <c r="R173">
        <f>IF(AND(COUNTIF($A$2:$A$2027,A173)&gt;1,COUNTIF($A$2:A173,A173)=1),1,0)</f>
        <v>0</v>
      </c>
      <c r="S173" t="b">
        <f>IFERROR(VLOOKUP(D173,Products!$A$2:$F$61,6,FALSE()),"")</f>
        <v>1</v>
      </c>
      <c r="T173" t="str">
        <f>IF(COUNTIF(Customers!$A$2:$A$301,C173)=0,"Missing","OK")</f>
        <v>OK</v>
      </c>
      <c r="U173" t="str">
        <f t="shared" si="7"/>
        <v>Hyderabad</v>
      </c>
      <c r="V173">
        <f t="shared" si="8"/>
        <v>0</v>
      </c>
    </row>
    <row r="174" spans="1:22" ht="15" customHeight="1" x14ac:dyDescent="0.35">
      <c r="A174" s="3" t="s">
        <v>422</v>
      </c>
      <c r="B174" s="4">
        <v>45419</v>
      </c>
      <c r="C174" s="3" t="s">
        <v>366</v>
      </c>
      <c r="D174" s="3" t="s">
        <v>294</v>
      </c>
      <c r="E174" s="3" t="s">
        <v>282</v>
      </c>
      <c r="F174" s="5">
        <v>8</v>
      </c>
      <c r="G174" s="5">
        <v>2510</v>
      </c>
      <c r="H174" s="5">
        <v>0.7</v>
      </c>
      <c r="I174" s="5">
        <v>19939.439999999999</v>
      </c>
      <c r="J174" s="3" t="s">
        <v>26</v>
      </c>
      <c r="K174" s="3" t="s">
        <v>27</v>
      </c>
      <c r="L174" t="str">
        <f>IFERROR(VLOOKUP(D174,Products!$A$2:$F$61,3,FALSE()),"")</f>
        <v>Apparel</v>
      </c>
      <c r="M174" t="str">
        <f>IFERROR(VLOOKUP(E174,Sales_Reps!$A$2:$C$31,3,FALSE()),"")</f>
        <v>West</v>
      </c>
      <c r="N174">
        <f>IFERROR(VLOOKUP(D174,Products!$A$2:$F$61,4,FALSE()),"")</f>
        <v>1075</v>
      </c>
      <c r="O174" t="str">
        <f>IFERROR(VLOOKUP(C174,Customers!$A$2:$F$301,5,FALSE()),"")</f>
        <v>Corporate</v>
      </c>
      <c r="P174">
        <f>IFERROR(VLOOKUP(C174,Customers!$A$2:$F$301,3,FALSE()),"")</f>
        <v>48</v>
      </c>
      <c r="Q174">
        <f t="shared" si="6"/>
        <v>0.57171314741035861</v>
      </c>
      <c r="R174">
        <f>IF(AND(COUNTIF($A$2:$A$2027,A174)&gt;1,COUNTIF($A$2:A174,A174)=1),1,0)</f>
        <v>0</v>
      </c>
      <c r="S174" t="b">
        <f>IFERROR(VLOOKUP(D174,Products!$A$2:$F$61,6,FALSE()),"")</f>
        <v>0</v>
      </c>
      <c r="T174" t="str">
        <f>IF(COUNTIF(Customers!$A$2:$A$301,C174)=0,"Missing","OK")</f>
        <v>OK</v>
      </c>
      <c r="U174" t="str">
        <f t="shared" si="7"/>
        <v>Pune</v>
      </c>
      <c r="V174">
        <f t="shared" si="8"/>
        <v>0</v>
      </c>
    </row>
    <row r="175" spans="1:22" ht="15" customHeight="1" x14ac:dyDescent="0.35">
      <c r="A175" s="3" t="s">
        <v>423</v>
      </c>
      <c r="B175" s="4">
        <v>45306</v>
      </c>
      <c r="C175" s="3" t="s">
        <v>424</v>
      </c>
      <c r="D175" s="3" t="s">
        <v>112</v>
      </c>
      <c r="E175" s="3" t="s">
        <v>131</v>
      </c>
      <c r="F175" s="5">
        <v>1</v>
      </c>
      <c r="G175" s="5">
        <v>2720</v>
      </c>
      <c r="H175" s="5">
        <v>13.7</v>
      </c>
      <c r="I175" s="5">
        <v>2347.36</v>
      </c>
      <c r="J175" s="3" t="s">
        <v>26</v>
      </c>
      <c r="K175" s="3" t="s">
        <v>27</v>
      </c>
      <c r="L175" t="str">
        <f>IFERROR(VLOOKUP(D175,Products!$A$2:$F$61,3,FALSE()),"")</f>
        <v>Apparel</v>
      </c>
      <c r="M175" t="str">
        <f>IFERROR(VLOOKUP(E175,Sales_Reps!$A$2:$C$31,3,FALSE()),"")</f>
        <v>East</v>
      </c>
      <c r="N175">
        <f>IFERROR(VLOOKUP(D175,Products!$A$2:$F$61,4,FALSE()),"")</f>
        <v>1962</v>
      </c>
      <c r="O175" t="str">
        <f>IFERROR(VLOOKUP(C175,Customers!$A$2:$F$301,5,FALSE()),"")</f>
        <v>Retail</v>
      </c>
      <c r="P175">
        <f>IFERROR(VLOOKUP(C175,Customers!$A$2:$F$301,3,FALSE()),"")</f>
        <v>49</v>
      </c>
      <c r="Q175">
        <f t="shared" si="6"/>
        <v>0.2786764705882353</v>
      </c>
      <c r="R175">
        <f>IF(AND(COUNTIF($A$2:$A$2027,A175)&gt;1,COUNTIF($A$2:A175,A175)=1),1,0)</f>
        <v>0</v>
      </c>
      <c r="S175" t="b">
        <f>IFERROR(VLOOKUP(D175,Products!$A$2:$F$61,6,FALSE()),"")</f>
        <v>1</v>
      </c>
      <c r="T175" t="str">
        <f>IF(COUNTIF(Customers!$A$2:$A$301,C175)=0,"Missing","OK")</f>
        <v>OK</v>
      </c>
      <c r="U175" t="str">
        <f t="shared" si="7"/>
        <v>Pune</v>
      </c>
      <c r="V175">
        <f t="shared" si="8"/>
        <v>0</v>
      </c>
    </row>
    <row r="176" spans="1:22" ht="15" customHeight="1" x14ac:dyDescent="0.35">
      <c r="A176" s="3" t="s">
        <v>425</v>
      </c>
      <c r="B176" s="4">
        <v>45546</v>
      </c>
      <c r="C176" s="3" t="s">
        <v>426</v>
      </c>
      <c r="D176" s="3" t="s">
        <v>36</v>
      </c>
      <c r="E176" s="3" t="s">
        <v>242</v>
      </c>
      <c r="F176" s="5">
        <v>9</v>
      </c>
      <c r="G176" s="5">
        <v>470</v>
      </c>
      <c r="H176" s="5">
        <v>23.6</v>
      </c>
      <c r="I176" s="5">
        <v>3231.72</v>
      </c>
      <c r="J176" s="3" t="s">
        <v>26</v>
      </c>
      <c r="K176" s="3" t="s">
        <v>27</v>
      </c>
      <c r="L176" t="str">
        <f>IFERROR(VLOOKUP(D176,Products!$A$2:$F$61,3,FALSE()),"")</f>
        <v>Sports</v>
      </c>
      <c r="M176" t="str">
        <f>IFERROR(VLOOKUP(E176,Sales_Reps!$A$2:$C$31,3,FALSE()),"")</f>
        <v>East</v>
      </c>
      <c r="N176">
        <f>IFERROR(VLOOKUP(D176,Products!$A$2:$F$61,4,FALSE()),"")</f>
        <v>302</v>
      </c>
      <c r="O176" t="str">
        <f>IFERROR(VLOOKUP(C176,Customers!$A$2:$F$301,5,FALSE()),"")</f>
        <v>Corporate</v>
      </c>
      <c r="P176">
        <f>IFERROR(VLOOKUP(C176,Customers!$A$2:$F$301,3,FALSE()),"")</f>
        <v>29</v>
      </c>
      <c r="Q176">
        <f t="shared" si="6"/>
        <v>0.35744680851063831</v>
      </c>
      <c r="R176">
        <f>IF(AND(COUNTIF($A$2:$A$2027,A176)&gt;1,COUNTIF($A$2:A176,A176)=1),1,0)</f>
        <v>0</v>
      </c>
      <c r="S176" t="b">
        <f>IFERROR(VLOOKUP(D176,Products!$A$2:$F$61,6,FALSE()),"")</f>
        <v>0</v>
      </c>
      <c r="T176" t="str">
        <f>IF(COUNTIF(Customers!$A$2:$A$301,C176)=0,"Missing","OK")</f>
        <v>OK</v>
      </c>
      <c r="U176" t="str">
        <f t="shared" si="7"/>
        <v>Pune</v>
      </c>
      <c r="V176">
        <f t="shared" si="8"/>
        <v>0</v>
      </c>
    </row>
    <row r="177" spans="1:22" ht="15" customHeight="1" x14ac:dyDescent="0.35">
      <c r="A177" s="3" t="s">
        <v>427</v>
      </c>
      <c r="B177" s="4">
        <v>45633</v>
      </c>
      <c r="C177" s="3" t="s">
        <v>251</v>
      </c>
      <c r="D177" s="3" t="s">
        <v>82</v>
      </c>
      <c r="E177" s="3" t="s">
        <v>242</v>
      </c>
      <c r="F177" s="5">
        <v>10</v>
      </c>
      <c r="G177" s="5">
        <v>3250</v>
      </c>
      <c r="H177" s="5">
        <v>21</v>
      </c>
      <c r="I177" s="5">
        <v>25675</v>
      </c>
      <c r="J177" s="3" t="s">
        <v>79</v>
      </c>
      <c r="K177" s="3" t="s">
        <v>72</v>
      </c>
      <c r="L177" t="str">
        <f>IFERROR(VLOOKUP(D177,Products!$A$2:$F$61,3,FALSE()),"")</f>
        <v>Home</v>
      </c>
      <c r="M177" t="str">
        <f>IFERROR(VLOOKUP(E177,Sales_Reps!$A$2:$C$31,3,FALSE()),"")</f>
        <v>East</v>
      </c>
      <c r="N177">
        <f>IFERROR(VLOOKUP(D177,Products!$A$2:$F$61,4,FALSE()),"")</f>
        <v>1556</v>
      </c>
      <c r="O177" t="str">
        <f>IFERROR(VLOOKUP(C177,Customers!$A$2:$F$301,5,FALSE()),"")</f>
        <v>Retail</v>
      </c>
      <c r="P177">
        <f>IFERROR(VLOOKUP(C177,Customers!$A$2:$F$301,3,FALSE()),"")</f>
        <v>46</v>
      </c>
      <c r="Q177">
        <f t="shared" si="6"/>
        <v>0.52123076923076928</v>
      </c>
      <c r="R177">
        <f>IF(AND(COUNTIF($A$2:$A$2027,A177)&gt;1,COUNTIF($A$2:A177,A177)=1),1,0)</f>
        <v>0</v>
      </c>
      <c r="S177" t="b">
        <f>IFERROR(VLOOKUP(D177,Products!$A$2:$F$61,6,FALSE()),"")</f>
        <v>1</v>
      </c>
      <c r="T177" t="str">
        <f>IF(COUNTIF(Customers!$A$2:$A$301,C177)=0,"Missing","OK")</f>
        <v>OK</v>
      </c>
      <c r="U177" t="str">
        <f t="shared" si="7"/>
        <v>Hyderabad</v>
      </c>
      <c r="V177">
        <f t="shared" si="8"/>
        <v>0</v>
      </c>
    </row>
    <row r="178" spans="1:22" ht="15" customHeight="1" x14ac:dyDescent="0.35">
      <c r="A178" s="3" t="s">
        <v>428</v>
      </c>
      <c r="B178" s="4">
        <v>45649</v>
      </c>
      <c r="C178" s="3" t="s">
        <v>429</v>
      </c>
      <c r="D178" s="3" t="s">
        <v>382</v>
      </c>
      <c r="E178" s="3" t="s">
        <v>67</v>
      </c>
      <c r="F178" s="5">
        <v>6</v>
      </c>
      <c r="G178" s="5">
        <v>5080</v>
      </c>
      <c r="H178" s="5">
        <v>16.8</v>
      </c>
      <c r="I178" s="5">
        <v>25359.360000000001</v>
      </c>
      <c r="J178" s="3" t="s">
        <v>32</v>
      </c>
      <c r="K178" s="3" t="s">
        <v>38</v>
      </c>
      <c r="L178" t="str">
        <f>IFERROR(VLOOKUP(D178,Products!$A$2:$F$61,3,FALSE()),"")</f>
        <v>Home</v>
      </c>
      <c r="M178" t="str">
        <f>IFERROR(VLOOKUP(E178,Sales_Reps!$A$2:$C$31,3,FALSE()),"")</f>
        <v>West</v>
      </c>
      <c r="N178">
        <f>IFERROR(VLOOKUP(D178,Products!$A$2:$F$61,4,FALSE()),"")</f>
        <v>2459</v>
      </c>
      <c r="O178" t="str">
        <f>IFERROR(VLOOKUP(C178,Customers!$A$2:$F$301,5,FALSE()),"")</f>
        <v>Retail</v>
      </c>
      <c r="P178">
        <f>IFERROR(VLOOKUP(C178,Customers!$A$2:$F$301,3,FALSE()),"")</f>
        <v>59</v>
      </c>
      <c r="Q178">
        <f t="shared" si="6"/>
        <v>0.51594488188976373</v>
      </c>
      <c r="R178">
        <f>IF(AND(COUNTIF($A$2:$A$2027,A178)&gt;1,COUNTIF($A$2:A178,A178)=1),1,0)</f>
        <v>0</v>
      </c>
      <c r="S178" t="b">
        <f>IFERROR(VLOOKUP(D178,Products!$A$2:$F$61,6,FALSE()),"")</f>
        <v>1</v>
      </c>
      <c r="T178" t="str">
        <f>IF(COUNTIF(Customers!$A$2:$A$301,C178)=0,"Missing","OK")</f>
        <v>OK</v>
      </c>
      <c r="U178" t="str">
        <f t="shared" si="7"/>
        <v>Delhi</v>
      </c>
      <c r="V178">
        <f t="shared" si="8"/>
        <v>0</v>
      </c>
    </row>
    <row r="179" spans="1:22" ht="15" customHeight="1" x14ac:dyDescent="0.35">
      <c r="A179" s="3" t="s">
        <v>430</v>
      </c>
      <c r="B179" s="4">
        <v>45312</v>
      </c>
      <c r="C179" s="3" t="s">
        <v>381</v>
      </c>
      <c r="D179" s="3" t="s">
        <v>126</v>
      </c>
      <c r="E179" s="3" t="s">
        <v>264</v>
      </c>
      <c r="F179" s="5">
        <v>2</v>
      </c>
      <c r="G179" s="5">
        <v>3570</v>
      </c>
      <c r="H179" s="5">
        <v>6.7</v>
      </c>
      <c r="I179" s="5">
        <v>6661.62</v>
      </c>
      <c r="J179" s="3" t="s">
        <v>79</v>
      </c>
      <c r="K179" s="3" t="s">
        <v>27</v>
      </c>
      <c r="L179" t="str">
        <f>IFERROR(VLOOKUP(D179,Products!$A$2:$F$61,3,FALSE()),"")</f>
        <v>Electronics</v>
      </c>
      <c r="M179" t="str">
        <f>IFERROR(VLOOKUP(E179,Sales_Reps!$A$2:$C$31,3,FALSE()),"")</f>
        <v>South</v>
      </c>
      <c r="N179">
        <f>IFERROR(VLOOKUP(D179,Products!$A$2:$F$61,4,FALSE()),"")</f>
        <v>1665</v>
      </c>
      <c r="O179" t="str">
        <f>IFERROR(VLOOKUP(C179,Customers!$A$2:$F$301,5,FALSE()),"")</f>
        <v>Retail</v>
      </c>
      <c r="P179">
        <f>IFERROR(VLOOKUP(C179,Customers!$A$2:$F$301,3,FALSE()),"")</f>
        <v>65</v>
      </c>
      <c r="Q179">
        <f t="shared" si="6"/>
        <v>0.53361344537815125</v>
      </c>
      <c r="R179">
        <f>IF(AND(COUNTIF($A$2:$A$2027,A179)&gt;1,COUNTIF($A$2:A179,A179)=1),1,0)</f>
        <v>0</v>
      </c>
      <c r="S179" t="b">
        <f>IFERROR(VLOOKUP(D179,Products!$A$2:$F$61,6,FALSE()),"")</f>
        <v>1</v>
      </c>
      <c r="T179" t="str">
        <f>IF(COUNTIF(Customers!$A$2:$A$301,C179)=0,"Missing","OK")</f>
        <v>OK</v>
      </c>
      <c r="U179" t="str">
        <f t="shared" si="7"/>
        <v>Pune</v>
      </c>
      <c r="V179">
        <f t="shared" si="8"/>
        <v>0</v>
      </c>
    </row>
    <row r="180" spans="1:22" ht="15" customHeight="1" x14ac:dyDescent="0.35">
      <c r="A180" s="3" t="s">
        <v>431</v>
      </c>
      <c r="B180" s="4">
        <v>45382</v>
      </c>
      <c r="C180" s="3" t="s">
        <v>432</v>
      </c>
      <c r="D180" s="3" t="s">
        <v>176</v>
      </c>
      <c r="E180" s="3" t="s">
        <v>264</v>
      </c>
      <c r="F180" s="5">
        <v>4</v>
      </c>
      <c r="G180" s="5">
        <v>3640</v>
      </c>
      <c r="H180" s="5">
        <v>18.399999999999999</v>
      </c>
      <c r="I180" s="5">
        <v>11880.96</v>
      </c>
      <c r="J180" s="3" t="s">
        <v>26</v>
      </c>
      <c r="K180" s="3" t="s">
        <v>27</v>
      </c>
      <c r="L180" t="str">
        <f>IFERROR(VLOOKUP(D180,Products!$A$2:$F$61,3,FALSE()),"")</f>
        <v>Apparel</v>
      </c>
      <c r="M180" t="str">
        <f>IFERROR(VLOOKUP(E180,Sales_Reps!$A$2:$C$31,3,FALSE()),"")</f>
        <v>South</v>
      </c>
      <c r="N180">
        <f>IFERROR(VLOOKUP(D180,Products!$A$2:$F$61,4,FALSE()),"")</f>
        <v>2611</v>
      </c>
      <c r="O180" t="str">
        <f>IFERROR(VLOOKUP(C180,Customers!$A$2:$F$301,5,FALSE()),"")</f>
        <v>Retail</v>
      </c>
      <c r="P180">
        <f>IFERROR(VLOOKUP(C180,Customers!$A$2:$F$301,3,FALSE()),"")</f>
        <v>57</v>
      </c>
      <c r="Q180">
        <f t="shared" si="6"/>
        <v>0.28269230769230769</v>
      </c>
      <c r="R180">
        <f>IF(AND(COUNTIF($A$2:$A$2027,A180)&gt;1,COUNTIF($A$2:A180,A180)=1),1,0)</f>
        <v>0</v>
      </c>
      <c r="S180" t="b">
        <f>IFERROR(VLOOKUP(D180,Products!$A$2:$F$61,6,FALSE()),"")</f>
        <v>1</v>
      </c>
      <c r="T180" t="str">
        <f>IF(COUNTIF(Customers!$A$2:$A$301,C180)=0,"Missing","OK")</f>
        <v>OK</v>
      </c>
      <c r="U180" t="str">
        <f t="shared" si="7"/>
        <v>Pune</v>
      </c>
      <c r="V180">
        <f t="shared" si="8"/>
        <v>0</v>
      </c>
    </row>
    <row r="181" spans="1:22" ht="15" customHeight="1" x14ac:dyDescent="0.35">
      <c r="A181" s="3" t="s">
        <v>433</v>
      </c>
      <c r="B181" s="4">
        <v>45524</v>
      </c>
      <c r="C181" s="3" t="s">
        <v>89</v>
      </c>
      <c r="D181" s="3" t="s">
        <v>203</v>
      </c>
      <c r="E181" s="3" t="s">
        <v>154</v>
      </c>
      <c r="F181" s="5">
        <v>8</v>
      </c>
      <c r="G181" s="5">
        <v>4070</v>
      </c>
      <c r="H181" s="5">
        <v>6.6</v>
      </c>
      <c r="I181" s="5">
        <v>30411.040000000001</v>
      </c>
      <c r="J181" s="3" t="s">
        <v>26</v>
      </c>
      <c r="K181" s="3" t="s">
        <v>27</v>
      </c>
      <c r="L181" t="str">
        <f>IFERROR(VLOOKUP(D181,Products!$A$2:$F$61,3,FALSE()),"")</f>
        <v>Grocery</v>
      </c>
      <c r="M181" t="str">
        <f>IFERROR(VLOOKUP(E181,Sales_Reps!$A$2:$C$31,3,FALSE()),"")</f>
        <v>North</v>
      </c>
      <c r="N181">
        <f>IFERROR(VLOOKUP(D181,Products!$A$2:$F$61,4,FALSE()),"")</f>
        <v>2027</v>
      </c>
      <c r="O181" t="str">
        <f>IFERROR(VLOOKUP(C181,Customers!$A$2:$F$301,5,FALSE()),"")</f>
        <v>Retail</v>
      </c>
      <c r="P181">
        <f>IFERROR(VLOOKUP(C181,Customers!$A$2:$F$301,3,FALSE()),"")</f>
        <v>63</v>
      </c>
      <c r="Q181">
        <f t="shared" si="6"/>
        <v>0.50196560196560192</v>
      </c>
      <c r="R181">
        <f>IF(AND(COUNTIF($A$2:$A$2027,A181)&gt;1,COUNTIF($A$2:A181,A181)=1),1,0)</f>
        <v>0</v>
      </c>
      <c r="S181" t="b">
        <f>IFERROR(VLOOKUP(D181,Products!$A$2:$F$61,6,FALSE()),"")</f>
        <v>1</v>
      </c>
      <c r="T181" t="str">
        <f>IF(COUNTIF(Customers!$A$2:$A$301,C181)=0,"Missing","OK")</f>
        <v>OK</v>
      </c>
      <c r="U181" t="str">
        <f t="shared" si="7"/>
        <v>Pune</v>
      </c>
      <c r="V181">
        <f t="shared" si="8"/>
        <v>0</v>
      </c>
    </row>
    <row r="182" spans="1:22" ht="15" customHeight="1" x14ac:dyDescent="0.35">
      <c r="A182" s="3" t="s">
        <v>434</v>
      </c>
      <c r="B182" s="4">
        <v>45392</v>
      </c>
      <c r="C182" s="3" t="s">
        <v>108</v>
      </c>
      <c r="D182" s="3" t="s">
        <v>391</v>
      </c>
      <c r="E182" s="3" t="s">
        <v>264</v>
      </c>
      <c r="F182" s="5">
        <v>6</v>
      </c>
      <c r="G182" s="5">
        <v>3450</v>
      </c>
      <c r="H182" s="5">
        <v>14.4</v>
      </c>
      <c r="I182" s="5">
        <v>17719.2</v>
      </c>
      <c r="J182" s="3" t="s">
        <v>32</v>
      </c>
      <c r="K182" s="3" t="s">
        <v>51</v>
      </c>
      <c r="L182" t="str">
        <f>IFERROR(VLOOKUP(D182,Products!$A$2:$F$61,3,FALSE()),"")</f>
        <v>Apparel</v>
      </c>
      <c r="M182" t="str">
        <f>IFERROR(VLOOKUP(E182,Sales_Reps!$A$2:$C$31,3,FALSE()),"")</f>
        <v>South</v>
      </c>
      <c r="N182">
        <f>IFERROR(VLOOKUP(D182,Products!$A$2:$F$61,4,FALSE()),"")</f>
        <v>1748</v>
      </c>
      <c r="O182" t="str">
        <f>IFERROR(VLOOKUP(C182,Customers!$A$2:$F$301,5,FALSE()),"")</f>
        <v>Retail</v>
      </c>
      <c r="P182">
        <f>IFERROR(VLOOKUP(C182,Customers!$A$2:$F$301,3,FALSE()),"")</f>
        <v>34</v>
      </c>
      <c r="Q182">
        <f t="shared" si="6"/>
        <v>0.49333333333333335</v>
      </c>
      <c r="R182">
        <f>IF(AND(COUNTIF($A$2:$A$2027,A182)&gt;1,COUNTIF($A$2:A182,A182)=1),1,0)</f>
        <v>0</v>
      </c>
      <c r="S182" t="b">
        <f>IFERROR(VLOOKUP(D182,Products!$A$2:$F$61,6,FALSE()),"")</f>
        <v>1</v>
      </c>
      <c r="T182" t="str">
        <f>IF(COUNTIF(Customers!$A$2:$A$301,C182)=0,"Missing","OK")</f>
        <v>OK</v>
      </c>
      <c r="U182" t="str">
        <f t="shared" si="7"/>
        <v>Mumbai</v>
      </c>
      <c r="V182">
        <f t="shared" si="8"/>
        <v>0</v>
      </c>
    </row>
    <row r="183" spans="1:22" ht="15" customHeight="1" x14ac:dyDescent="0.35">
      <c r="A183" s="3" t="s">
        <v>435</v>
      </c>
      <c r="B183" s="4">
        <v>45443</v>
      </c>
      <c r="C183" s="3" t="s">
        <v>69</v>
      </c>
      <c r="D183" s="3" t="s">
        <v>382</v>
      </c>
      <c r="E183" s="3" t="s">
        <v>168</v>
      </c>
      <c r="F183" s="5">
        <v>7</v>
      </c>
      <c r="G183" s="5">
        <v>5080</v>
      </c>
      <c r="H183" s="5">
        <v>25.4</v>
      </c>
      <c r="I183" s="5">
        <v>26527.759999999998</v>
      </c>
      <c r="J183" s="3" t="s">
        <v>32</v>
      </c>
      <c r="K183" s="3" t="s">
        <v>72</v>
      </c>
      <c r="L183" t="str">
        <f>IFERROR(VLOOKUP(D183,Products!$A$2:$F$61,3,FALSE()),"")</f>
        <v>Home</v>
      </c>
      <c r="M183" t="str">
        <f>IFERROR(VLOOKUP(E183,Sales_Reps!$A$2:$C$31,3,FALSE()),"")</f>
        <v>West</v>
      </c>
      <c r="N183">
        <f>IFERROR(VLOOKUP(D183,Products!$A$2:$F$61,4,FALSE()),"")</f>
        <v>2459</v>
      </c>
      <c r="O183" t="str">
        <f>IFERROR(VLOOKUP(C183,Customers!$A$2:$F$301,5,FALSE()),"")</f>
        <v>Retail</v>
      </c>
      <c r="P183">
        <f>IFERROR(VLOOKUP(C183,Customers!$A$2:$F$301,3,FALSE()),"")</f>
        <v>60</v>
      </c>
      <c r="Q183">
        <f t="shared" si="6"/>
        <v>0.51594488188976373</v>
      </c>
      <c r="R183">
        <f>IF(AND(COUNTIF($A$2:$A$2027,A183)&gt;1,COUNTIF($A$2:A183,A183)=1),1,0)</f>
        <v>0</v>
      </c>
      <c r="S183" t="b">
        <f>IFERROR(VLOOKUP(D183,Products!$A$2:$F$61,6,FALSE()),"")</f>
        <v>1</v>
      </c>
      <c r="T183" t="str">
        <f>IF(COUNTIF(Customers!$A$2:$A$301,C183)=0,"Missing","OK")</f>
        <v>OK</v>
      </c>
      <c r="U183" t="str">
        <f t="shared" si="7"/>
        <v>Hyderabad</v>
      </c>
      <c r="V183">
        <f t="shared" si="8"/>
        <v>0</v>
      </c>
    </row>
    <row r="184" spans="1:22" ht="15" customHeight="1" x14ac:dyDescent="0.35">
      <c r="A184" s="3" t="s">
        <v>436</v>
      </c>
      <c r="B184" s="4">
        <v>45333</v>
      </c>
      <c r="C184" s="3" t="s">
        <v>263</v>
      </c>
      <c r="D184" s="3" t="s">
        <v>139</v>
      </c>
      <c r="E184" s="3" t="s">
        <v>67</v>
      </c>
      <c r="F184" s="5">
        <v>10</v>
      </c>
      <c r="G184" s="5">
        <v>2760</v>
      </c>
      <c r="H184" s="5">
        <v>20.100000000000001</v>
      </c>
      <c r="I184" s="5">
        <v>22052.400000000001</v>
      </c>
      <c r="J184" s="3" t="s">
        <v>26</v>
      </c>
      <c r="K184" s="3" t="s">
        <v>72</v>
      </c>
      <c r="L184" t="str">
        <f>IFERROR(VLOOKUP(D184,Products!$A$2:$F$61,3,FALSE()),"")</f>
        <v>Grocery</v>
      </c>
      <c r="M184" t="str">
        <f>IFERROR(VLOOKUP(E184,Sales_Reps!$A$2:$C$31,3,FALSE()),"")</f>
        <v>West</v>
      </c>
      <c r="N184">
        <f>IFERROR(VLOOKUP(D184,Products!$A$2:$F$61,4,FALSE()),"")</f>
        <v>1435</v>
      </c>
      <c r="O184" t="str">
        <f>IFERROR(VLOOKUP(C184,Customers!$A$2:$F$301,5,FALSE()),"")</f>
        <v>Retail</v>
      </c>
      <c r="P184">
        <f>IFERROR(VLOOKUP(C184,Customers!$A$2:$F$301,3,FALSE()),"")</f>
        <v>28</v>
      </c>
      <c r="Q184">
        <f t="shared" si="6"/>
        <v>0.48007246376811596</v>
      </c>
      <c r="R184">
        <f>IF(AND(COUNTIF($A$2:$A$2027,A184)&gt;1,COUNTIF($A$2:A184,A184)=1),1,0)</f>
        <v>0</v>
      </c>
      <c r="S184" t="b">
        <f>IFERROR(VLOOKUP(D184,Products!$A$2:$F$61,6,FALSE()),"")</f>
        <v>1</v>
      </c>
      <c r="T184" t="str">
        <f>IF(COUNTIF(Customers!$A$2:$A$301,C184)=0,"Missing","OK")</f>
        <v>OK</v>
      </c>
      <c r="U184" t="str">
        <f t="shared" si="7"/>
        <v>Hyderabad</v>
      </c>
      <c r="V184">
        <f t="shared" si="8"/>
        <v>0</v>
      </c>
    </row>
    <row r="185" spans="1:22" ht="15" customHeight="1" x14ac:dyDescent="0.35">
      <c r="A185" s="3" t="s">
        <v>437</v>
      </c>
      <c r="B185" s="4">
        <v>45456</v>
      </c>
      <c r="C185" s="3" t="s">
        <v>350</v>
      </c>
      <c r="D185" s="3" t="s">
        <v>115</v>
      </c>
      <c r="E185" s="3" t="s">
        <v>285</v>
      </c>
      <c r="F185" s="5">
        <v>6</v>
      </c>
      <c r="G185" s="5">
        <v>1650</v>
      </c>
      <c r="H185" s="5">
        <v>11.3</v>
      </c>
      <c r="I185" s="5">
        <v>8781.2999999999993</v>
      </c>
      <c r="J185" s="3" t="s">
        <v>32</v>
      </c>
      <c r="K185" s="3" t="s">
        <v>51</v>
      </c>
      <c r="L185" t="str">
        <f>IFERROR(VLOOKUP(D185,Products!$A$2:$F$61,3,FALSE()),"")</f>
        <v>Beauty</v>
      </c>
      <c r="M185" t="str">
        <f>IFERROR(VLOOKUP(E185,Sales_Reps!$A$2:$C$31,3,FALSE()),"")</f>
        <v>South</v>
      </c>
      <c r="N185">
        <f>IFERROR(VLOOKUP(D185,Products!$A$2:$F$61,4,FALSE()),"")</f>
        <v>1222</v>
      </c>
      <c r="O185" t="str">
        <f>IFERROR(VLOOKUP(C185,Customers!$A$2:$F$301,5,FALSE()),"")</f>
        <v>Retail</v>
      </c>
      <c r="P185">
        <f>IFERROR(VLOOKUP(C185,Customers!$A$2:$F$301,3,FALSE()),"")</f>
        <v>61</v>
      </c>
      <c r="Q185">
        <f t="shared" si="6"/>
        <v>0.2593939393939394</v>
      </c>
      <c r="R185">
        <f>IF(AND(COUNTIF($A$2:$A$2027,A185)&gt;1,COUNTIF($A$2:A185,A185)=1),1,0)</f>
        <v>0</v>
      </c>
      <c r="S185" t="b">
        <f>IFERROR(VLOOKUP(D185,Products!$A$2:$F$61,6,FALSE()),"")</f>
        <v>1</v>
      </c>
      <c r="T185" t="str">
        <f>IF(COUNTIF(Customers!$A$2:$A$301,C185)=0,"Missing","OK")</f>
        <v>OK</v>
      </c>
      <c r="U185" t="str">
        <f t="shared" si="7"/>
        <v>Mumbai</v>
      </c>
      <c r="V185">
        <f t="shared" si="8"/>
        <v>0</v>
      </c>
    </row>
    <row r="186" spans="1:22" ht="15" customHeight="1" x14ac:dyDescent="0.35">
      <c r="A186" s="3" t="s">
        <v>438</v>
      </c>
      <c r="B186" s="4">
        <v>45295</v>
      </c>
      <c r="C186" s="3" t="s">
        <v>233</v>
      </c>
      <c r="D186" s="3" t="s">
        <v>187</v>
      </c>
      <c r="E186" s="3" t="s">
        <v>25</v>
      </c>
      <c r="F186" s="5">
        <v>9</v>
      </c>
      <c r="G186" s="5">
        <v>3870</v>
      </c>
      <c r="H186" s="5">
        <v>27.5</v>
      </c>
      <c r="I186" s="5">
        <v>25251.75</v>
      </c>
      <c r="J186" s="3" t="s">
        <v>26</v>
      </c>
      <c r="K186" s="3" t="s">
        <v>72</v>
      </c>
      <c r="L186" t="str">
        <f>IFERROR(VLOOKUP(D186,Products!$A$2:$F$61,3,FALSE()),"")</f>
        <v>Electronics</v>
      </c>
      <c r="M186" t="str">
        <f>IFERROR(VLOOKUP(E186,Sales_Reps!$A$2:$C$31,3,FALSE()),"")</f>
        <v>North</v>
      </c>
      <c r="N186">
        <f>IFERROR(VLOOKUP(D186,Products!$A$2:$F$61,4,FALSE()),"")</f>
        <v>1559</v>
      </c>
      <c r="O186" t="str">
        <f>IFERROR(VLOOKUP(C186,Customers!$A$2:$F$301,5,FALSE()),"")</f>
        <v>SMB</v>
      </c>
      <c r="P186">
        <f>IFERROR(VLOOKUP(C186,Customers!$A$2:$F$301,3,FALSE()),"")</f>
        <v>43</v>
      </c>
      <c r="Q186">
        <f t="shared" si="6"/>
        <v>0.59715762273901807</v>
      </c>
      <c r="R186">
        <f>IF(AND(COUNTIF($A$2:$A$2027,A186)&gt;1,COUNTIF($A$2:A186,A186)=1),1,0)</f>
        <v>0</v>
      </c>
      <c r="S186" t="b">
        <f>IFERROR(VLOOKUP(D186,Products!$A$2:$F$61,6,FALSE()),"")</f>
        <v>1</v>
      </c>
      <c r="T186" t="str">
        <f>IF(COUNTIF(Customers!$A$2:$A$301,C186)=0,"Missing","OK")</f>
        <v>OK</v>
      </c>
      <c r="U186" t="str">
        <f t="shared" si="7"/>
        <v>Hyderabad</v>
      </c>
      <c r="V186">
        <f t="shared" si="8"/>
        <v>0</v>
      </c>
    </row>
    <row r="187" spans="1:22" ht="15" customHeight="1" x14ac:dyDescent="0.35">
      <c r="A187" s="3" t="s">
        <v>439</v>
      </c>
      <c r="B187" s="4">
        <v>45532</v>
      </c>
      <c r="C187" s="3" t="s">
        <v>440</v>
      </c>
      <c r="D187" s="3" t="s">
        <v>441</v>
      </c>
      <c r="E187" s="3" t="s">
        <v>224</v>
      </c>
      <c r="F187" s="5">
        <v>2</v>
      </c>
      <c r="G187" s="5">
        <v>1090</v>
      </c>
      <c r="H187" s="5">
        <v>18.7</v>
      </c>
      <c r="I187" s="5">
        <v>1772.34</v>
      </c>
      <c r="J187" s="3" t="s">
        <v>83</v>
      </c>
      <c r="K187" s="3" t="s">
        <v>72</v>
      </c>
      <c r="L187" t="str">
        <f>IFERROR(VLOOKUP(D187,Products!$A$2:$F$61,3,FALSE()),"")</f>
        <v>Home</v>
      </c>
      <c r="M187" t="str">
        <f>IFERROR(VLOOKUP(E187,Sales_Reps!$A$2:$C$31,3,FALSE()),"")</f>
        <v>East</v>
      </c>
      <c r="N187">
        <f>IFERROR(VLOOKUP(D187,Products!$A$2:$F$61,4,FALSE()),"")</f>
        <v>464</v>
      </c>
      <c r="O187" t="str">
        <f>IFERROR(VLOOKUP(C187,Customers!$A$2:$F$301,5,FALSE()),"")</f>
        <v>SMB</v>
      </c>
      <c r="P187">
        <f>IFERROR(VLOOKUP(C187,Customers!$A$2:$F$301,3,FALSE()),"")</f>
        <v>65</v>
      </c>
      <c r="Q187">
        <f t="shared" si="6"/>
        <v>0.57431192660550456</v>
      </c>
      <c r="R187">
        <f>IF(AND(COUNTIF($A$2:$A$2027,A187)&gt;1,COUNTIF($A$2:A187,A187)=1),1,0)</f>
        <v>0</v>
      </c>
      <c r="S187" t="b">
        <f>IFERROR(VLOOKUP(D187,Products!$A$2:$F$61,6,FALSE()),"")</f>
        <v>1</v>
      </c>
      <c r="T187" t="str">
        <f>IF(COUNTIF(Customers!$A$2:$A$301,C187)=0,"Missing","OK")</f>
        <v>OK</v>
      </c>
      <c r="U187" t="str">
        <f t="shared" si="7"/>
        <v>Hyderabad</v>
      </c>
      <c r="V187">
        <f t="shared" si="8"/>
        <v>0</v>
      </c>
    </row>
    <row r="188" spans="1:22" ht="15" customHeight="1" x14ac:dyDescent="0.35">
      <c r="A188" s="3" t="s">
        <v>442</v>
      </c>
      <c r="B188" s="4">
        <v>45564</v>
      </c>
      <c r="C188" s="3" t="s">
        <v>443</v>
      </c>
      <c r="D188" s="3" t="s">
        <v>319</v>
      </c>
      <c r="E188" s="3" t="s">
        <v>50</v>
      </c>
      <c r="F188" s="5">
        <v>4</v>
      </c>
      <c r="G188" s="5">
        <v>960</v>
      </c>
      <c r="H188" s="5">
        <v>23.4</v>
      </c>
      <c r="I188" s="5">
        <v>2941.44</v>
      </c>
      <c r="J188" s="3" t="s">
        <v>26</v>
      </c>
      <c r="K188" s="3" t="s">
        <v>56</v>
      </c>
      <c r="L188" t="str">
        <f>IFERROR(VLOOKUP(D188,Products!$A$2:$F$61,3,FALSE()),"")</f>
        <v>Beauty</v>
      </c>
      <c r="M188" t="str">
        <f>IFERROR(VLOOKUP(E188,Sales_Reps!$A$2:$C$31,3,FALSE()),"")</f>
        <v>West</v>
      </c>
      <c r="N188">
        <f>IFERROR(VLOOKUP(D188,Products!$A$2:$F$61,4,FALSE()),"")</f>
        <v>675</v>
      </c>
      <c r="O188" t="str">
        <f>IFERROR(VLOOKUP(C188,Customers!$A$2:$F$301,5,FALSE()),"")</f>
        <v>Corporate</v>
      </c>
      <c r="P188">
        <f>IFERROR(VLOOKUP(C188,Customers!$A$2:$F$301,3,FALSE()),"")</f>
        <v>36</v>
      </c>
      <c r="Q188">
        <f t="shared" si="6"/>
        <v>0.296875</v>
      </c>
      <c r="R188">
        <f>IF(AND(COUNTIF($A$2:$A$2027,A188)&gt;1,COUNTIF($A$2:A188,A188)=1),1,0)</f>
        <v>0</v>
      </c>
      <c r="S188" t="b">
        <f>IFERROR(VLOOKUP(D188,Products!$A$2:$F$61,6,FALSE()),"")</f>
        <v>1</v>
      </c>
      <c r="T188" t="str">
        <f>IF(COUNTIF(Customers!$A$2:$A$301,C188)=0,"Missing","OK")</f>
        <v>OK</v>
      </c>
      <c r="U188" t="str">
        <f t="shared" si="7"/>
        <v>Bengaluru</v>
      </c>
      <c r="V188">
        <f t="shared" si="8"/>
        <v>0</v>
      </c>
    </row>
    <row r="189" spans="1:22" ht="15" customHeight="1" x14ac:dyDescent="0.35">
      <c r="A189" s="3" t="s">
        <v>444</v>
      </c>
      <c r="B189" s="4">
        <v>45539</v>
      </c>
      <c r="C189" s="3" t="s">
        <v>186</v>
      </c>
      <c r="D189" s="3" t="s">
        <v>118</v>
      </c>
      <c r="E189" s="3" t="s">
        <v>97</v>
      </c>
      <c r="F189" s="5">
        <v>3</v>
      </c>
      <c r="G189" s="5">
        <v>3350</v>
      </c>
      <c r="H189" s="5">
        <v>17.899999999999999</v>
      </c>
      <c r="I189" s="5">
        <v>8251.0499999999993</v>
      </c>
      <c r="J189" s="3" t="s">
        <v>26</v>
      </c>
      <c r="K189" s="3" t="s">
        <v>56</v>
      </c>
      <c r="L189" t="str">
        <f>IFERROR(VLOOKUP(D189,Products!$A$2:$F$61,3,FALSE()),"")</f>
        <v>Beauty</v>
      </c>
      <c r="M189" t="str">
        <f>IFERROR(VLOOKUP(E189,Sales_Reps!$A$2:$C$31,3,FALSE()),"")</f>
        <v>East</v>
      </c>
      <c r="N189">
        <f>IFERROR(VLOOKUP(D189,Products!$A$2:$F$61,4,FALSE()),"")</f>
        <v>1728</v>
      </c>
      <c r="O189" t="str">
        <f>IFERROR(VLOOKUP(C189,Customers!$A$2:$F$301,5,FALSE()),"")</f>
        <v>Retail</v>
      </c>
      <c r="P189">
        <f>IFERROR(VLOOKUP(C189,Customers!$A$2:$F$301,3,FALSE()),"")</f>
        <v>34</v>
      </c>
      <c r="Q189">
        <f t="shared" si="6"/>
        <v>0.48417910447761192</v>
      </c>
      <c r="R189">
        <f>IF(AND(COUNTIF($A$2:$A$2027,A189)&gt;1,COUNTIF($A$2:A189,A189)=1),1,0)</f>
        <v>0</v>
      </c>
      <c r="S189" t="b">
        <f>IFERROR(VLOOKUP(D189,Products!$A$2:$F$61,6,FALSE()),"")</f>
        <v>1</v>
      </c>
      <c r="T189" t="str">
        <f>IF(COUNTIF(Customers!$A$2:$A$301,C189)=0,"Missing","OK")</f>
        <v>OK</v>
      </c>
      <c r="U189" t="str">
        <f t="shared" si="7"/>
        <v>Bengaluru</v>
      </c>
      <c r="V189">
        <f t="shared" si="8"/>
        <v>0</v>
      </c>
    </row>
    <row r="190" spans="1:22" ht="15" customHeight="1" x14ac:dyDescent="0.35">
      <c r="A190" s="3" t="s">
        <v>445</v>
      </c>
      <c r="B190" s="4">
        <v>45605</v>
      </c>
      <c r="C190" s="3" t="s">
        <v>446</v>
      </c>
      <c r="D190" s="3" t="s">
        <v>184</v>
      </c>
      <c r="E190" s="3" t="s">
        <v>31</v>
      </c>
      <c r="F190" s="5">
        <v>4</v>
      </c>
      <c r="G190" s="5">
        <v>2270</v>
      </c>
      <c r="H190" s="5">
        <v>29</v>
      </c>
      <c r="I190" s="5">
        <v>6446.8</v>
      </c>
      <c r="J190" s="3" t="s">
        <v>26</v>
      </c>
      <c r="K190" s="3" t="s">
        <v>27</v>
      </c>
      <c r="L190" t="str">
        <f>IFERROR(VLOOKUP(D190,Products!$A$2:$F$61,3,FALSE()),"")</f>
        <v>Grocery</v>
      </c>
      <c r="M190" t="str">
        <f>IFERROR(VLOOKUP(E190,Sales_Reps!$A$2:$C$31,3,FALSE()),"")</f>
        <v>North</v>
      </c>
      <c r="N190">
        <f>IFERROR(VLOOKUP(D190,Products!$A$2:$F$61,4,FALSE()),"")</f>
        <v>1412</v>
      </c>
      <c r="O190" t="str">
        <f>IFERROR(VLOOKUP(C190,Customers!$A$2:$F$301,5,FALSE()),"")</f>
        <v>Retail</v>
      </c>
      <c r="P190">
        <f>IFERROR(VLOOKUP(C190,Customers!$A$2:$F$301,3,FALSE()),"")</f>
        <v>59</v>
      </c>
      <c r="Q190">
        <f t="shared" si="6"/>
        <v>0.37797356828193834</v>
      </c>
      <c r="R190">
        <f>IF(AND(COUNTIF($A$2:$A$2027,A190)&gt;1,COUNTIF($A$2:A190,A190)=1),1,0)</f>
        <v>0</v>
      </c>
      <c r="S190" t="b">
        <f>IFERROR(VLOOKUP(D190,Products!$A$2:$F$61,6,FALSE()),"")</f>
        <v>1</v>
      </c>
      <c r="T190" t="str">
        <f>IF(COUNTIF(Customers!$A$2:$A$301,C190)=0,"Missing","OK")</f>
        <v>OK</v>
      </c>
      <c r="U190" t="str">
        <f t="shared" si="7"/>
        <v>Pune</v>
      </c>
      <c r="V190">
        <f t="shared" si="8"/>
        <v>0</v>
      </c>
    </row>
    <row r="191" spans="1:22" ht="15" customHeight="1" x14ac:dyDescent="0.35">
      <c r="A191" s="3" t="s">
        <v>447</v>
      </c>
      <c r="B191" s="4">
        <v>45460</v>
      </c>
      <c r="C191" s="3" t="s">
        <v>368</v>
      </c>
      <c r="D191" s="3" t="s">
        <v>209</v>
      </c>
      <c r="E191" s="3" t="s">
        <v>93</v>
      </c>
      <c r="F191" s="5">
        <v>9</v>
      </c>
      <c r="G191" s="5">
        <v>4610</v>
      </c>
      <c r="H191" s="5">
        <v>28.3</v>
      </c>
      <c r="I191" s="5">
        <v>29748.33</v>
      </c>
      <c r="J191" s="3" t="s">
        <v>32</v>
      </c>
      <c r="K191" s="3" t="s">
        <v>56</v>
      </c>
      <c r="L191" t="str">
        <f>IFERROR(VLOOKUP(D191,Products!$A$2:$F$61,3,FALSE()),"")</f>
        <v>Home</v>
      </c>
      <c r="M191" t="str">
        <f>IFERROR(VLOOKUP(E191,Sales_Reps!$A$2:$C$31,3,FALSE()),"")</f>
        <v>East</v>
      </c>
      <c r="N191">
        <f>IFERROR(VLOOKUP(D191,Products!$A$2:$F$61,4,FALSE()),"")</f>
        <v>1850</v>
      </c>
      <c r="O191" t="str">
        <f>IFERROR(VLOOKUP(C191,Customers!$A$2:$F$301,5,FALSE()),"")</f>
        <v>Retail</v>
      </c>
      <c r="P191">
        <f>IFERROR(VLOOKUP(C191,Customers!$A$2:$F$301,3,FALSE()),"")</f>
        <v>55</v>
      </c>
      <c r="Q191">
        <f t="shared" si="6"/>
        <v>0.59869848156182215</v>
      </c>
      <c r="R191">
        <f>IF(AND(COUNTIF($A$2:$A$2027,A191)&gt;1,COUNTIF($A$2:A191,A191)=1),1,0)</f>
        <v>0</v>
      </c>
      <c r="S191" t="b">
        <f>IFERROR(VLOOKUP(D191,Products!$A$2:$F$61,6,FALSE()),"")</f>
        <v>1</v>
      </c>
      <c r="T191" t="str">
        <f>IF(COUNTIF(Customers!$A$2:$A$301,C191)=0,"Missing","OK")</f>
        <v>OK</v>
      </c>
      <c r="U191" t="str">
        <f t="shared" si="7"/>
        <v>Bengaluru</v>
      </c>
      <c r="V191">
        <f t="shared" si="8"/>
        <v>0</v>
      </c>
    </row>
    <row r="192" spans="1:22" ht="15" customHeight="1" x14ac:dyDescent="0.35">
      <c r="A192" s="3" t="s">
        <v>448</v>
      </c>
      <c r="B192" s="4">
        <v>45538</v>
      </c>
      <c r="C192" s="3" t="s">
        <v>449</v>
      </c>
      <c r="D192" s="3" t="s">
        <v>45</v>
      </c>
      <c r="E192" s="3" t="s">
        <v>143</v>
      </c>
      <c r="F192" s="5">
        <v>3</v>
      </c>
      <c r="G192" s="5">
        <v>3160</v>
      </c>
      <c r="H192" s="5">
        <v>7.3</v>
      </c>
      <c r="I192" s="5">
        <v>8787.9599999999991</v>
      </c>
      <c r="J192" s="3" t="s">
        <v>26</v>
      </c>
      <c r="K192" s="3" t="s">
        <v>56</v>
      </c>
      <c r="L192" t="str">
        <f>IFERROR(VLOOKUP(D192,Products!$A$2:$F$61,3,FALSE()),"")</f>
        <v>Apparel</v>
      </c>
      <c r="M192" t="str">
        <f>IFERROR(VLOOKUP(E192,Sales_Reps!$A$2:$C$31,3,FALSE()),"")</f>
        <v>South</v>
      </c>
      <c r="N192">
        <f>IFERROR(VLOOKUP(D192,Products!$A$2:$F$61,4,FALSE()),"")</f>
        <v>1886</v>
      </c>
      <c r="O192" t="str">
        <f>IFERROR(VLOOKUP(C192,Customers!$A$2:$F$301,5,FALSE()),"")</f>
        <v>SMB</v>
      </c>
      <c r="P192">
        <f>IFERROR(VLOOKUP(C192,Customers!$A$2:$F$301,3,FALSE()),"")</f>
        <v>26</v>
      </c>
      <c r="Q192">
        <f t="shared" si="6"/>
        <v>0.4031645569620253</v>
      </c>
      <c r="R192">
        <f>IF(AND(COUNTIF($A$2:$A$2027,A192)&gt;1,COUNTIF($A$2:A192,A192)=1),1,0)</f>
        <v>0</v>
      </c>
      <c r="S192" t="b">
        <f>IFERROR(VLOOKUP(D192,Products!$A$2:$F$61,6,FALSE()),"")</f>
        <v>1</v>
      </c>
      <c r="T192" t="str">
        <f>IF(COUNTIF(Customers!$A$2:$A$301,C192)=0,"Missing","OK")</f>
        <v>OK</v>
      </c>
      <c r="U192" t="str">
        <f t="shared" si="7"/>
        <v>Bengaluru</v>
      </c>
      <c r="V192">
        <f t="shared" si="8"/>
        <v>0</v>
      </c>
    </row>
    <row r="193" spans="1:22" ht="15" customHeight="1" x14ac:dyDescent="0.35">
      <c r="A193" s="3" t="s">
        <v>450</v>
      </c>
      <c r="B193" s="4">
        <v>45573</v>
      </c>
      <c r="C193" s="3" t="s">
        <v>451</v>
      </c>
      <c r="D193" s="3" t="s">
        <v>184</v>
      </c>
      <c r="E193" s="3" t="s">
        <v>78</v>
      </c>
      <c r="F193" s="5">
        <v>8</v>
      </c>
      <c r="G193" s="5">
        <v>2270</v>
      </c>
      <c r="H193" s="5">
        <v>15.6</v>
      </c>
      <c r="I193" s="5">
        <v>15327.04</v>
      </c>
      <c r="J193" s="3" t="s">
        <v>26</v>
      </c>
      <c r="K193" s="3" t="s">
        <v>72</v>
      </c>
      <c r="L193" t="str">
        <f>IFERROR(VLOOKUP(D193,Products!$A$2:$F$61,3,FALSE()),"")</f>
        <v>Grocery</v>
      </c>
      <c r="M193" t="str">
        <f>IFERROR(VLOOKUP(E193,Sales_Reps!$A$2:$C$31,3,FALSE()),"")</f>
        <v>North</v>
      </c>
      <c r="N193">
        <f>IFERROR(VLOOKUP(D193,Products!$A$2:$F$61,4,FALSE()),"")</f>
        <v>1412</v>
      </c>
      <c r="O193" t="str">
        <f>IFERROR(VLOOKUP(C193,Customers!$A$2:$F$301,5,FALSE()),"")</f>
        <v>Retail</v>
      </c>
      <c r="P193">
        <f>IFERROR(VLOOKUP(C193,Customers!$A$2:$F$301,3,FALSE()),"")</f>
        <v>61</v>
      </c>
      <c r="Q193">
        <f t="shared" si="6"/>
        <v>0.37797356828193834</v>
      </c>
      <c r="R193">
        <f>IF(AND(COUNTIF($A$2:$A$2027,A193)&gt;1,COUNTIF($A$2:A193,A193)=1),1,0)</f>
        <v>0</v>
      </c>
      <c r="S193" t="b">
        <f>IFERROR(VLOOKUP(D193,Products!$A$2:$F$61,6,FALSE()),"")</f>
        <v>1</v>
      </c>
      <c r="T193" t="str">
        <f>IF(COUNTIF(Customers!$A$2:$A$301,C193)=0,"Missing","OK")</f>
        <v>OK</v>
      </c>
      <c r="U193" t="str">
        <f t="shared" si="7"/>
        <v>Hyderabad</v>
      </c>
      <c r="V193">
        <f t="shared" si="8"/>
        <v>0</v>
      </c>
    </row>
    <row r="194" spans="1:22" ht="15" customHeight="1" x14ac:dyDescent="0.35">
      <c r="A194" s="3" t="s">
        <v>452</v>
      </c>
      <c r="B194" s="4">
        <v>45483</v>
      </c>
      <c r="C194" s="3" t="s">
        <v>65</v>
      </c>
      <c r="D194" s="3" t="s">
        <v>215</v>
      </c>
      <c r="E194" s="3" t="s">
        <v>67</v>
      </c>
      <c r="F194" s="5">
        <v>8</v>
      </c>
      <c r="G194" s="5">
        <v>3020</v>
      </c>
      <c r="H194" s="5">
        <v>16.3</v>
      </c>
      <c r="I194" s="5">
        <v>20221.919999999998</v>
      </c>
      <c r="J194" s="3" t="s">
        <v>79</v>
      </c>
      <c r="K194" s="3" t="s">
        <v>27</v>
      </c>
      <c r="L194" t="str">
        <f>IFERROR(VLOOKUP(D194,Products!$A$2:$F$61,3,FALSE()),"")</f>
        <v>Beauty</v>
      </c>
      <c r="M194" t="str">
        <f>IFERROR(VLOOKUP(E194,Sales_Reps!$A$2:$C$31,3,FALSE()),"")</f>
        <v>West</v>
      </c>
      <c r="N194">
        <f>IFERROR(VLOOKUP(D194,Products!$A$2:$F$61,4,FALSE()),"")</f>
        <v>1626</v>
      </c>
      <c r="O194" t="str">
        <f>IFERROR(VLOOKUP(C194,Customers!$A$2:$F$301,5,FALSE()),"")</f>
        <v>Retail</v>
      </c>
      <c r="P194">
        <f>IFERROR(VLOOKUP(C194,Customers!$A$2:$F$301,3,FALSE()),"")</f>
        <v>56</v>
      </c>
      <c r="Q194">
        <f t="shared" ref="Q194:Q257" si="9">IFERROR((G194-N194)/G194,"")</f>
        <v>0.46158940397350995</v>
      </c>
      <c r="R194">
        <f>IF(AND(COUNTIF($A$2:$A$2027,A194)&gt;1,COUNTIF($A$2:A194,A194)=1),1,0)</f>
        <v>0</v>
      </c>
      <c r="S194" t="b">
        <f>IFERROR(VLOOKUP(D194,Products!$A$2:$F$61,6,FALSE()),"")</f>
        <v>1</v>
      </c>
      <c r="T194" t="str">
        <f>IF(COUNTIF(Customers!$A$2:$A$301,C194)=0,"Missing","OK")</f>
        <v>OK</v>
      </c>
      <c r="U194" t="str">
        <f t="shared" ref="U194:U257" si="10">IF(K194="","",PROPER(TRIM(K194)))</f>
        <v>Pune</v>
      </c>
      <c r="V194">
        <f t="shared" ref="V194:V257" si="11">IF(AND(U194="Bengaluru",L194="Grocery"),I194,0)</f>
        <v>0</v>
      </c>
    </row>
    <row r="195" spans="1:22" ht="15" customHeight="1" x14ac:dyDescent="0.35">
      <c r="A195" s="3" t="s">
        <v>453</v>
      </c>
      <c r="B195" s="4">
        <v>45617</v>
      </c>
      <c r="C195" s="3" t="s">
        <v>92</v>
      </c>
      <c r="D195" s="3" t="s">
        <v>454</v>
      </c>
      <c r="E195" s="3" t="s">
        <v>109</v>
      </c>
      <c r="F195" s="5">
        <v>7</v>
      </c>
      <c r="G195" s="5">
        <v>6940</v>
      </c>
      <c r="H195" s="5">
        <v>8.5</v>
      </c>
      <c r="I195" s="5">
        <v>44450.7</v>
      </c>
      <c r="J195" s="3" t="s">
        <v>26</v>
      </c>
      <c r="K195" s="3" t="s">
        <v>56</v>
      </c>
      <c r="L195" t="str">
        <f>IFERROR(VLOOKUP(D195,Products!$A$2:$F$61,3,FALSE()),"")</f>
        <v>Sports</v>
      </c>
      <c r="M195" t="str">
        <f>IFERROR(VLOOKUP(E195,Sales_Reps!$A$2:$C$31,3,FALSE()),"")</f>
        <v>West</v>
      </c>
      <c r="N195">
        <f>IFERROR(VLOOKUP(D195,Products!$A$2:$F$61,4,FALSE()),"")</f>
        <v>2827</v>
      </c>
      <c r="O195" t="str">
        <f>IFERROR(VLOOKUP(C195,Customers!$A$2:$F$301,5,FALSE()),"")</f>
        <v>SMB</v>
      </c>
      <c r="P195">
        <f>IFERROR(VLOOKUP(C195,Customers!$A$2:$F$301,3,FALSE()),"")</f>
        <v>46</v>
      </c>
      <c r="Q195">
        <f t="shared" si="9"/>
        <v>0.5926512968299712</v>
      </c>
      <c r="R195">
        <f>IF(AND(COUNTIF($A$2:$A$2027,A195)&gt;1,COUNTIF($A$2:A195,A195)=1),1,0)</f>
        <v>0</v>
      </c>
      <c r="S195" t="b">
        <f>IFERROR(VLOOKUP(D195,Products!$A$2:$F$61,6,FALSE()),"")</f>
        <v>1</v>
      </c>
      <c r="T195" t="str">
        <f>IF(COUNTIF(Customers!$A$2:$A$301,C195)=0,"Missing","OK")</f>
        <v>OK</v>
      </c>
      <c r="U195" t="str">
        <f t="shared" si="10"/>
        <v>Bengaluru</v>
      </c>
      <c r="V195">
        <f t="shared" si="11"/>
        <v>0</v>
      </c>
    </row>
    <row r="196" spans="1:22" ht="15" customHeight="1" x14ac:dyDescent="0.35">
      <c r="A196" s="3" t="s">
        <v>455</v>
      </c>
      <c r="B196" s="4">
        <v>45546</v>
      </c>
      <c r="C196" s="3" t="s">
        <v>426</v>
      </c>
      <c r="D196" s="3" t="s">
        <v>198</v>
      </c>
      <c r="E196" s="3" t="s">
        <v>264</v>
      </c>
      <c r="F196" s="5">
        <v>8</v>
      </c>
      <c r="G196" s="5">
        <v>1540</v>
      </c>
      <c r="H196" s="5">
        <v>21</v>
      </c>
      <c r="I196" s="5">
        <v>9732.7999999999993</v>
      </c>
      <c r="J196" s="3" t="s">
        <v>26</v>
      </c>
      <c r="K196" s="3" t="s">
        <v>27</v>
      </c>
      <c r="L196" t="str">
        <f>IFERROR(VLOOKUP(D196,Products!$A$2:$F$61,3,FALSE()),"")</f>
        <v>Beauty</v>
      </c>
      <c r="M196" t="str">
        <f>IFERROR(VLOOKUP(E196,Sales_Reps!$A$2:$C$31,3,FALSE()),"")</f>
        <v>South</v>
      </c>
      <c r="N196">
        <f>IFERROR(VLOOKUP(D196,Products!$A$2:$F$61,4,FALSE()),"")</f>
        <v>647</v>
      </c>
      <c r="O196" t="str">
        <f>IFERROR(VLOOKUP(C196,Customers!$A$2:$F$301,5,FALSE()),"")</f>
        <v>Corporate</v>
      </c>
      <c r="P196">
        <f>IFERROR(VLOOKUP(C196,Customers!$A$2:$F$301,3,FALSE()),"")</f>
        <v>29</v>
      </c>
      <c r="Q196">
        <f t="shared" si="9"/>
        <v>0.57987012987012987</v>
      </c>
      <c r="R196">
        <f>IF(AND(COUNTIF($A$2:$A$2027,A196)&gt;1,COUNTIF($A$2:A196,A196)=1),1,0)</f>
        <v>0</v>
      </c>
      <c r="S196" t="b">
        <f>IFERROR(VLOOKUP(D196,Products!$A$2:$F$61,6,FALSE()),"")</f>
        <v>0</v>
      </c>
      <c r="T196" t="str">
        <f>IF(COUNTIF(Customers!$A$2:$A$301,C196)=0,"Missing","OK")</f>
        <v>OK</v>
      </c>
      <c r="U196" t="str">
        <f t="shared" si="10"/>
        <v>Pune</v>
      </c>
      <c r="V196">
        <f t="shared" si="11"/>
        <v>0</v>
      </c>
    </row>
    <row r="197" spans="1:22" ht="15" customHeight="1" x14ac:dyDescent="0.35">
      <c r="A197" s="3" t="s">
        <v>456</v>
      </c>
      <c r="B197" s="4">
        <v>45380</v>
      </c>
      <c r="C197" s="3" t="s">
        <v>457</v>
      </c>
      <c r="D197" s="3" t="s">
        <v>106</v>
      </c>
      <c r="E197" s="3" t="s">
        <v>168</v>
      </c>
      <c r="F197" s="5">
        <v>6</v>
      </c>
      <c r="G197" s="5">
        <v>2480</v>
      </c>
      <c r="H197" s="5">
        <v>27.9</v>
      </c>
      <c r="I197" s="5">
        <v>10728.48</v>
      </c>
      <c r="J197" s="3" t="s">
        <v>26</v>
      </c>
      <c r="K197" s="3" t="s">
        <v>27</v>
      </c>
      <c r="L197" t="str">
        <f>IFERROR(VLOOKUP(D197,Products!$A$2:$F$61,3,FALSE()),"")</f>
        <v>Apparel</v>
      </c>
      <c r="M197" t="str">
        <f>IFERROR(VLOOKUP(E197,Sales_Reps!$A$2:$C$31,3,FALSE()),"")</f>
        <v>West</v>
      </c>
      <c r="N197">
        <f>IFERROR(VLOOKUP(D197,Products!$A$2:$F$61,4,FALSE()),"")</f>
        <v>1173</v>
      </c>
      <c r="O197" t="str">
        <f>IFERROR(VLOOKUP(C197,Customers!$A$2:$F$301,5,FALSE()),"")</f>
        <v>Retail</v>
      </c>
      <c r="P197">
        <f>IFERROR(VLOOKUP(C197,Customers!$A$2:$F$301,3,FALSE()),"")</f>
        <v>49</v>
      </c>
      <c r="Q197">
        <f t="shared" si="9"/>
        <v>0.52701612903225803</v>
      </c>
      <c r="R197">
        <f>IF(AND(COUNTIF($A$2:$A$2027,A197)&gt;1,COUNTIF($A$2:A197,A197)=1),1,0)</f>
        <v>0</v>
      </c>
      <c r="S197" t="b">
        <f>IFERROR(VLOOKUP(D197,Products!$A$2:$F$61,6,FALSE()),"")</f>
        <v>1</v>
      </c>
      <c r="T197" t="str">
        <f>IF(COUNTIF(Customers!$A$2:$A$301,C197)=0,"Missing","OK")</f>
        <v>OK</v>
      </c>
      <c r="U197" t="str">
        <f t="shared" si="10"/>
        <v>Pune</v>
      </c>
      <c r="V197">
        <f t="shared" si="11"/>
        <v>0</v>
      </c>
    </row>
    <row r="198" spans="1:22" ht="15" customHeight="1" x14ac:dyDescent="0.35">
      <c r="A198" s="3" t="s">
        <v>458</v>
      </c>
      <c r="B198" s="4">
        <v>45320</v>
      </c>
      <c r="C198" s="3" t="s">
        <v>459</v>
      </c>
      <c r="D198" s="3" t="s">
        <v>86</v>
      </c>
      <c r="E198" s="3" t="s">
        <v>224</v>
      </c>
      <c r="F198" s="5">
        <v>4</v>
      </c>
      <c r="G198" s="5">
        <v>190</v>
      </c>
      <c r="H198" s="5">
        <v>21.5</v>
      </c>
      <c r="I198" s="5">
        <v>596.6</v>
      </c>
      <c r="J198" s="3" t="s">
        <v>26</v>
      </c>
      <c r="K198" s="3" t="s">
        <v>51</v>
      </c>
      <c r="L198" t="str">
        <f>IFERROR(VLOOKUP(D198,Products!$A$2:$F$61,3,FALSE()),"")</f>
        <v>Sports</v>
      </c>
      <c r="M198" t="str">
        <f>IFERROR(VLOOKUP(E198,Sales_Reps!$A$2:$C$31,3,FALSE()),"")</f>
        <v>East</v>
      </c>
      <c r="N198">
        <f>IFERROR(VLOOKUP(D198,Products!$A$2:$F$61,4,FALSE()),"")</f>
        <v>147</v>
      </c>
      <c r="O198" t="str">
        <f>IFERROR(VLOOKUP(C198,Customers!$A$2:$F$301,5,FALSE()),"")</f>
        <v>Corporate</v>
      </c>
      <c r="P198">
        <f>IFERROR(VLOOKUP(C198,Customers!$A$2:$F$301,3,FALSE()),"")</f>
        <v>35</v>
      </c>
      <c r="Q198">
        <f t="shared" si="9"/>
        <v>0.22631578947368422</v>
      </c>
      <c r="R198">
        <f>IF(AND(COUNTIF($A$2:$A$2027,A198)&gt;1,COUNTIF($A$2:A198,A198)=1),1,0)</f>
        <v>0</v>
      </c>
      <c r="S198" t="b">
        <f>IFERROR(VLOOKUP(D198,Products!$A$2:$F$61,6,FALSE()),"")</f>
        <v>1</v>
      </c>
      <c r="T198" t="str">
        <f>IF(COUNTIF(Customers!$A$2:$A$301,C198)=0,"Missing","OK")</f>
        <v>OK</v>
      </c>
      <c r="U198" t="str">
        <f t="shared" si="10"/>
        <v>Mumbai</v>
      </c>
      <c r="V198">
        <f t="shared" si="11"/>
        <v>0</v>
      </c>
    </row>
    <row r="199" spans="1:22" ht="15" customHeight="1" x14ac:dyDescent="0.35">
      <c r="A199" s="3" t="s">
        <v>460</v>
      </c>
      <c r="B199" s="4">
        <v>45355</v>
      </c>
      <c r="C199" s="3" t="s">
        <v>461</v>
      </c>
      <c r="D199" s="3" t="s">
        <v>134</v>
      </c>
      <c r="E199" s="3" t="s">
        <v>37</v>
      </c>
      <c r="F199" s="5">
        <v>1</v>
      </c>
      <c r="G199" s="5">
        <v>2860</v>
      </c>
      <c r="H199" s="5">
        <v>15.3</v>
      </c>
      <c r="I199" s="5">
        <v>2422.42</v>
      </c>
      <c r="J199" s="3" t="s">
        <v>26</v>
      </c>
      <c r="K199" s="3" t="s">
        <v>38</v>
      </c>
      <c r="L199" t="str">
        <f>IFERROR(VLOOKUP(D199,Products!$A$2:$F$61,3,FALSE()),"")</f>
        <v>Sports</v>
      </c>
      <c r="M199" t="str">
        <f>IFERROR(VLOOKUP(E199,Sales_Reps!$A$2:$C$31,3,FALSE()),"")</f>
        <v>South</v>
      </c>
      <c r="N199">
        <f>IFERROR(VLOOKUP(D199,Products!$A$2:$F$61,4,FALSE()),"")</f>
        <v>2028</v>
      </c>
      <c r="O199" t="str">
        <f>IFERROR(VLOOKUP(C199,Customers!$A$2:$F$301,5,FALSE()),"")</f>
        <v>SMB</v>
      </c>
      <c r="P199">
        <f>IFERROR(VLOOKUP(C199,Customers!$A$2:$F$301,3,FALSE()),"")</f>
        <v>55</v>
      </c>
      <c r="Q199">
        <f t="shared" si="9"/>
        <v>0.29090909090909089</v>
      </c>
      <c r="R199">
        <f>IF(AND(COUNTIF($A$2:$A$2027,A199)&gt;1,COUNTIF($A$2:A199,A199)=1),1,0)</f>
        <v>0</v>
      </c>
      <c r="S199" t="b">
        <f>IFERROR(VLOOKUP(D199,Products!$A$2:$F$61,6,FALSE()),"")</f>
        <v>1</v>
      </c>
      <c r="T199" t="str">
        <f>IF(COUNTIF(Customers!$A$2:$A$301,C199)=0,"Missing","OK")</f>
        <v>OK</v>
      </c>
      <c r="U199" t="str">
        <f t="shared" si="10"/>
        <v>Delhi</v>
      </c>
      <c r="V199">
        <f t="shared" si="11"/>
        <v>0</v>
      </c>
    </row>
    <row r="200" spans="1:22" ht="15" customHeight="1" x14ac:dyDescent="0.35">
      <c r="A200" s="3" t="s">
        <v>462</v>
      </c>
      <c r="B200" s="4">
        <v>45350</v>
      </c>
      <c r="C200" s="3" t="s">
        <v>463</v>
      </c>
      <c r="D200" s="3" t="s">
        <v>294</v>
      </c>
      <c r="E200" s="3" t="s">
        <v>127</v>
      </c>
      <c r="F200" s="5">
        <v>4</v>
      </c>
      <c r="G200" s="5">
        <v>2510</v>
      </c>
      <c r="H200" s="5">
        <v>10.1</v>
      </c>
      <c r="I200" s="5">
        <v>9025.9599999999991</v>
      </c>
      <c r="J200" s="3" t="s">
        <v>83</v>
      </c>
      <c r="K200" s="3" t="s">
        <v>51</v>
      </c>
      <c r="L200" t="str">
        <f>IFERROR(VLOOKUP(D200,Products!$A$2:$F$61,3,FALSE()),"")</f>
        <v>Apparel</v>
      </c>
      <c r="M200" t="str">
        <f>IFERROR(VLOOKUP(E200,Sales_Reps!$A$2:$C$31,3,FALSE()),"")</f>
        <v>South</v>
      </c>
      <c r="N200">
        <f>IFERROR(VLOOKUP(D200,Products!$A$2:$F$61,4,FALSE()),"")</f>
        <v>1075</v>
      </c>
      <c r="O200" t="str">
        <f>IFERROR(VLOOKUP(C200,Customers!$A$2:$F$301,5,FALSE()),"")</f>
        <v>Corporate</v>
      </c>
      <c r="P200">
        <f>IFERROR(VLOOKUP(C200,Customers!$A$2:$F$301,3,FALSE()),"")</f>
        <v>55</v>
      </c>
      <c r="Q200">
        <f t="shared" si="9"/>
        <v>0.57171314741035861</v>
      </c>
      <c r="R200">
        <f>IF(AND(COUNTIF($A$2:$A$2027,A200)&gt;1,COUNTIF($A$2:A200,A200)=1),1,0)</f>
        <v>0</v>
      </c>
      <c r="S200" t="b">
        <f>IFERROR(VLOOKUP(D200,Products!$A$2:$F$61,6,FALSE()),"")</f>
        <v>0</v>
      </c>
      <c r="T200" t="str">
        <f>IF(COUNTIF(Customers!$A$2:$A$301,C200)=0,"Missing","OK")</f>
        <v>OK</v>
      </c>
      <c r="U200" t="str">
        <f t="shared" si="10"/>
        <v>Mumbai</v>
      </c>
      <c r="V200">
        <f t="shared" si="11"/>
        <v>0</v>
      </c>
    </row>
    <row r="201" spans="1:22" ht="15" customHeight="1" x14ac:dyDescent="0.35">
      <c r="A201" s="3" t="s">
        <v>464</v>
      </c>
      <c r="B201" s="4">
        <v>45587</v>
      </c>
      <c r="C201" s="3" t="s">
        <v>324</v>
      </c>
      <c r="D201" s="3" t="s">
        <v>126</v>
      </c>
      <c r="E201" s="3" t="s">
        <v>87</v>
      </c>
      <c r="F201" s="5">
        <v>2</v>
      </c>
      <c r="G201" s="5">
        <v>3570</v>
      </c>
      <c r="H201" s="5">
        <v>11.6</v>
      </c>
      <c r="I201" s="5">
        <v>6311.76</v>
      </c>
      <c r="J201" s="3" t="s">
        <v>32</v>
      </c>
      <c r="K201" s="3" t="s">
        <v>56</v>
      </c>
      <c r="L201" t="str">
        <f>IFERROR(VLOOKUP(D201,Products!$A$2:$F$61,3,FALSE()),"")</f>
        <v>Electronics</v>
      </c>
      <c r="M201" t="str">
        <f>IFERROR(VLOOKUP(E201,Sales_Reps!$A$2:$C$31,3,FALSE()),"")</f>
        <v>North</v>
      </c>
      <c r="N201">
        <f>IFERROR(VLOOKUP(D201,Products!$A$2:$F$61,4,FALSE()),"")</f>
        <v>1665</v>
      </c>
      <c r="O201" t="str">
        <f>IFERROR(VLOOKUP(C201,Customers!$A$2:$F$301,5,FALSE()),"")</f>
        <v>Retail</v>
      </c>
      <c r="P201">
        <f>IFERROR(VLOOKUP(C201,Customers!$A$2:$F$301,3,FALSE()),"")</f>
        <v>23</v>
      </c>
      <c r="Q201">
        <f t="shared" si="9"/>
        <v>0.53361344537815125</v>
      </c>
      <c r="R201">
        <f>IF(AND(COUNTIF($A$2:$A$2027,A201)&gt;1,COUNTIF($A$2:A201,A201)=1),1,0)</f>
        <v>0</v>
      </c>
      <c r="S201" t="b">
        <f>IFERROR(VLOOKUP(D201,Products!$A$2:$F$61,6,FALSE()),"")</f>
        <v>1</v>
      </c>
      <c r="T201" t="str">
        <f>IF(COUNTIF(Customers!$A$2:$A$301,C201)=0,"Missing","OK")</f>
        <v>OK</v>
      </c>
      <c r="U201" t="str">
        <f t="shared" si="10"/>
        <v>Bengaluru</v>
      </c>
      <c r="V201">
        <f t="shared" si="11"/>
        <v>0</v>
      </c>
    </row>
    <row r="202" spans="1:22" ht="15" customHeight="1" x14ac:dyDescent="0.35">
      <c r="A202" s="3" t="s">
        <v>465</v>
      </c>
      <c r="B202" s="4">
        <v>45344</v>
      </c>
      <c r="C202" s="3" t="s">
        <v>429</v>
      </c>
      <c r="D202" s="3" t="s">
        <v>165</v>
      </c>
      <c r="E202" s="3" t="s">
        <v>285</v>
      </c>
      <c r="F202" s="5">
        <v>7</v>
      </c>
      <c r="G202" s="5">
        <v>3730</v>
      </c>
      <c r="H202" s="5">
        <v>2.5</v>
      </c>
      <c r="I202" s="5">
        <v>25457.25</v>
      </c>
      <c r="J202" s="3" t="s">
        <v>79</v>
      </c>
      <c r="K202" s="3" t="s">
        <v>38</v>
      </c>
      <c r="L202" t="str">
        <f>IFERROR(VLOOKUP(D202,Products!$A$2:$F$61,3,FALSE()),"")</f>
        <v>Home</v>
      </c>
      <c r="M202" t="str">
        <f>IFERROR(VLOOKUP(E202,Sales_Reps!$A$2:$C$31,3,FALSE()),"")</f>
        <v>South</v>
      </c>
      <c r="N202">
        <f>IFERROR(VLOOKUP(D202,Products!$A$2:$F$61,4,FALSE()),"")</f>
        <v>2135</v>
      </c>
      <c r="O202" t="str">
        <f>IFERROR(VLOOKUP(C202,Customers!$A$2:$F$301,5,FALSE()),"")</f>
        <v>Retail</v>
      </c>
      <c r="P202">
        <f>IFERROR(VLOOKUP(C202,Customers!$A$2:$F$301,3,FALSE()),"")</f>
        <v>59</v>
      </c>
      <c r="Q202">
        <f t="shared" si="9"/>
        <v>0.42761394101876676</v>
      </c>
      <c r="R202">
        <f>IF(AND(COUNTIF($A$2:$A$2027,A202)&gt;1,COUNTIF($A$2:A202,A202)=1),1,0)</f>
        <v>0</v>
      </c>
      <c r="S202" t="b">
        <f>IFERROR(VLOOKUP(D202,Products!$A$2:$F$61,6,FALSE()),"")</f>
        <v>1</v>
      </c>
      <c r="T202" t="str">
        <f>IF(COUNTIF(Customers!$A$2:$A$301,C202)=0,"Missing","OK")</f>
        <v>OK</v>
      </c>
      <c r="U202" t="str">
        <f t="shared" si="10"/>
        <v>Delhi</v>
      </c>
      <c r="V202">
        <f t="shared" si="11"/>
        <v>0</v>
      </c>
    </row>
    <row r="203" spans="1:22" ht="15" customHeight="1" x14ac:dyDescent="0.35">
      <c r="A203" s="3" t="s">
        <v>466</v>
      </c>
      <c r="B203" s="4">
        <v>45492</v>
      </c>
      <c r="C203" s="3" t="s">
        <v>467</v>
      </c>
      <c r="D203" s="3" t="s">
        <v>49</v>
      </c>
      <c r="E203" s="3" t="s">
        <v>109</v>
      </c>
      <c r="F203" s="5">
        <v>6</v>
      </c>
      <c r="G203" s="5">
        <v>370</v>
      </c>
      <c r="H203" s="5">
        <v>9.9</v>
      </c>
      <c r="I203" s="5">
        <v>2000.22</v>
      </c>
      <c r="J203" s="3" t="s">
        <v>26</v>
      </c>
      <c r="K203" s="3" t="s">
        <v>51</v>
      </c>
      <c r="L203" t="str">
        <f>IFERROR(VLOOKUP(D203,Products!$A$2:$F$61,3,FALSE()),"")</f>
        <v>Home</v>
      </c>
      <c r="M203" t="str">
        <f>IFERROR(VLOOKUP(E203,Sales_Reps!$A$2:$C$31,3,FALSE()),"")</f>
        <v>West</v>
      </c>
      <c r="N203">
        <f>IFERROR(VLOOKUP(D203,Products!$A$2:$F$61,4,FALSE()),"")</f>
        <v>288</v>
      </c>
      <c r="O203" t="str">
        <f>IFERROR(VLOOKUP(C203,Customers!$A$2:$F$301,5,FALSE()),"")</f>
        <v>Retail</v>
      </c>
      <c r="P203">
        <f>IFERROR(VLOOKUP(C203,Customers!$A$2:$F$301,3,FALSE()),"")</f>
        <v>44</v>
      </c>
      <c r="Q203">
        <f t="shared" si="9"/>
        <v>0.22162162162162163</v>
      </c>
      <c r="R203">
        <f>IF(AND(COUNTIF($A$2:$A$2027,A203)&gt;1,COUNTIF($A$2:A203,A203)=1),1,0)</f>
        <v>0</v>
      </c>
      <c r="S203" t="b">
        <f>IFERROR(VLOOKUP(D203,Products!$A$2:$F$61,6,FALSE()),"")</f>
        <v>1</v>
      </c>
      <c r="T203" t="str">
        <f>IF(COUNTIF(Customers!$A$2:$A$301,C203)=0,"Missing","OK")</f>
        <v>OK</v>
      </c>
      <c r="U203" t="str">
        <f t="shared" si="10"/>
        <v>Mumbai</v>
      </c>
      <c r="V203">
        <f t="shared" si="11"/>
        <v>0</v>
      </c>
    </row>
    <row r="204" spans="1:22" ht="15" customHeight="1" x14ac:dyDescent="0.35">
      <c r="A204" s="3" t="s">
        <v>468</v>
      </c>
      <c r="B204" s="4">
        <v>45490</v>
      </c>
      <c r="C204" s="3" t="s">
        <v>469</v>
      </c>
      <c r="D204" s="3" t="s">
        <v>218</v>
      </c>
      <c r="E204" s="3" t="s">
        <v>37</v>
      </c>
      <c r="F204" s="5">
        <v>4</v>
      </c>
      <c r="G204" s="5">
        <v>2660</v>
      </c>
      <c r="H204" s="5">
        <v>29.7</v>
      </c>
      <c r="I204" s="5">
        <v>7479.92</v>
      </c>
      <c r="J204" s="3" t="s">
        <v>26</v>
      </c>
      <c r="K204" s="3" t="s">
        <v>38</v>
      </c>
      <c r="L204" t="str">
        <f>IFERROR(VLOOKUP(D204,Products!$A$2:$F$61,3,FALSE()),"")</f>
        <v>Electronics</v>
      </c>
      <c r="M204" t="str">
        <f>IFERROR(VLOOKUP(E204,Sales_Reps!$A$2:$C$31,3,FALSE()),"")</f>
        <v>South</v>
      </c>
      <c r="N204">
        <f>IFERROR(VLOOKUP(D204,Products!$A$2:$F$61,4,FALSE()),"")</f>
        <v>1259</v>
      </c>
      <c r="O204" t="str">
        <f>IFERROR(VLOOKUP(C204,Customers!$A$2:$F$301,5,FALSE()),"")</f>
        <v>Retail</v>
      </c>
      <c r="P204">
        <f>IFERROR(VLOOKUP(C204,Customers!$A$2:$F$301,3,FALSE()),"")</f>
        <v>45</v>
      </c>
      <c r="Q204">
        <f t="shared" si="9"/>
        <v>0.52669172932330832</v>
      </c>
      <c r="R204">
        <f>IF(AND(COUNTIF($A$2:$A$2027,A204)&gt;1,COUNTIF($A$2:A204,A204)=1),1,0)</f>
        <v>0</v>
      </c>
      <c r="S204" t="b">
        <f>IFERROR(VLOOKUP(D204,Products!$A$2:$F$61,6,FALSE()),"")</f>
        <v>0</v>
      </c>
      <c r="T204" t="str">
        <f>IF(COUNTIF(Customers!$A$2:$A$301,C204)=0,"Missing","OK")</f>
        <v>OK</v>
      </c>
      <c r="U204" t="str">
        <f t="shared" si="10"/>
        <v>Delhi</v>
      </c>
      <c r="V204">
        <f t="shared" si="11"/>
        <v>0</v>
      </c>
    </row>
    <row r="205" spans="1:22" ht="15" customHeight="1" x14ac:dyDescent="0.35">
      <c r="A205" s="3" t="s">
        <v>470</v>
      </c>
      <c r="B205" s="4">
        <v>45538</v>
      </c>
      <c r="C205" s="3" t="s">
        <v>324</v>
      </c>
      <c r="D205" s="3" t="s">
        <v>139</v>
      </c>
      <c r="E205" s="3" t="s">
        <v>127</v>
      </c>
      <c r="F205" s="5">
        <v>6</v>
      </c>
      <c r="G205" s="5">
        <v>2760</v>
      </c>
      <c r="H205" s="5">
        <v>0.9</v>
      </c>
      <c r="I205" s="5">
        <v>16410.96</v>
      </c>
      <c r="J205" s="3" t="s">
        <v>26</v>
      </c>
      <c r="K205" s="3" t="s">
        <v>56</v>
      </c>
      <c r="L205" t="str">
        <f>IFERROR(VLOOKUP(D205,Products!$A$2:$F$61,3,FALSE()),"")</f>
        <v>Grocery</v>
      </c>
      <c r="M205" t="str">
        <f>IFERROR(VLOOKUP(E205,Sales_Reps!$A$2:$C$31,3,FALSE()),"")</f>
        <v>South</v>
      </c>
      <c r="N205">
        <f>IFERROR(VLOOKUP(D205,Products!$A$2:$F$61,4,FALSE()),"")</f>
        <v>1435</v>
      </c>
      <c r="O205" t="str">
        <f>IFERROR(VLOOKUP(C205,Customers!$A$2:$F$301,5,FALSE()),"")</f>
        <v>Retail</v>
      </c>
      <c r="P205">
        <f>IFERROR(VLOOKUP(C205,Customers!$A$2:$F$301,3,FALSE()),"")</f>
        <v>23</v>
      </c>
      <c r="Q205">
        <f t="shared" si="9"/>
        <v>0.48007246376811596</v>
      </c>
      <c r="R205">
        <f>IF(AND(COUNTIF($A$2:$A$2027,A205)&gt;1,COUNTIF($A$2:A205,A205)=1),1,0)</f>
        <v>0</v>
      </c>
      <c r="S205" t="b">
        <f>IFERROR(VLOOKUP(D205,Products!$A$2:$F$61,6,FALSE()),"")</f>
        <v>1</v>
      </c>
      <c r="T205" t="str">
        <f>IF(COUNTIF(Customers!$A$2:$A$301,C205)=0,"Missing","OK")</f>
        <v>OK</v>
      </c>
      <c r="U205" t="str">
        <f t="shared" si="10"/>
        <v>Bengaluru</v>
      </c>
      <c r="V205">
        <f t="shared" si="11"/>
        <v>16410.96</v>
      </c>
    </row>
    <row r="206" spans="1:22" ht="15" customHeight="1" x14ac:dyDescent="0.35">
      <c r="A206" s="3" t="s">
        <v>471</v>
      </c>
      <c r="B206" s="4">
        <v>45591</v>
      </c>
      <c r="C206" s="3" t="s">
        <v>472</v>
      </c>
      <c r="D206" s="3" t="s">
        <v>118</v>
      </c>
      <c r="E206" s="3" t="s">
        <v>143</v>
      </c>
      <c r="F206" s="5">
        <v>6</v>
      </c>
      <c r="G206" s="5">
        <v>3350</v>
      </c>
      <c r="H206" s="5">
        <v>17.899999999999999</v>
      </c>
      <c r="I206" s="5">
        <v>16502.099999999999</v>
      </c>
      <c r="J206" s="3" t="s">
        <v>26</v>
      </c>
      <c r="K206" s="3" t="s">
        <v>38</v>
      </c>
      <c r="L206" t="str">
        <f>IFERROR(VLOOKUP(D206,Products!$A$2:$F$61,3,FALSE()),"")</f>
        <v>Beauty</v>
      </c>
      <c r="M206" t="str">
        <f>IFERROR(VLOOKUP(E206,Sales_Reps!$A$2:$C$31,3,FALSE()),"")</f>
        <v>South</v>
      </c>
      <c r="N206">
        <f>IFERROR(VLOOKUP(D206,Products!$A$2:$F$61,4,FALSE()),"")</f>
        <v>1728</v>
      </c>
      <c r="O206" t="str">
        <f>IFERROR(VLOOKUP(C206,Customers!$A$2:$F$301,5,FALSE()),"")</f>
        <v>SMB</v>
      </c>
      <c r="P206">
        <f>IFERROR(VLOOKUP(C206,Customers!$A$2:$F$301,3,FALSE()),"")</f>
        <v>48</v>
      </c>
      <c r="Q206">
        <f t="shared" si="9"/>
        <v>0.48417910447761192</v>
      </c>
      <c r="R206">
        <f>IF(AND(COUNTIF($A$2:$A$2027,A206)&gt;1,COUNTIF($A$2:A206,A206)=1),1,0)</f>
        <v>0</v>
      </c>
      <c r="S206" t="b">
        <f>IFERROR(VLOOKUP(D206,Products!$A$2:$F$61,6,FALSE()),"")</f>
        <v>1</v>
      </c>
      <c r="T206" t="str">
        <f>IF(COUNTIF(Customers!$A$2:$A$301,C206)=0,"Missing","OK")</f>
        <v>OK</v>
      </c>
      <c r="U206" t="str">
        <f t="shared" si="10"/>
        <v>Delhi</v>
      </c>
      <c r="V206">
        <f t="shared" si="11"/>
        <v>0</v>
      </c>
    </row>
    <row r="207" spans="1:22" ht="15" customHeight="1" x14ac:dyDescent="0.35">
      <c r="A207" s="3" t="s">
        <v>473</v>
      </c>
      <c r="B207" s="4">
        <v>45319</v>
      </c>
      <c r="C207" s="3" t="s">
        <v>379</v>
      </c>
      <c r="D207" s="3" t="s">
        <v>221</v>
      </c>
      <c r="E207" s="3" t="s">
        <v>177</v>
      </c>
      <c r="F207" s="5">
        <v>8</v>
      </c>
      <c r="G207" s="5">
        <v>300</v>
      </c>
      <c r="H207" s="5">
        <v>20.6</v>
      </c>
      <c r="I207" s="5">
        <v>1905.6</v>
      </c>
      <c r="J207" s="3" t="s">
        <v>83</v>
      </c>
      <c r="K207" s="3" t="s">
        <v>27</v>
      </c>
      <c r="L207" t="str">
        <f>IFERROR(VLOOKUP(D207,Products!$A$2:$F$61,3,FALSE()),"")</f>
        <v>Electronics</v>
      </c>
      <c r="M207" t="str">
        <f>IFERROR(VLOOKUP(E207,Sales_Reps!$A$2:$C$31,3,FALSE()),"")</f>
        <v>East</v>
      </c>
      <c r="N207">
        <f>IFERROR(VLOOKUP(D207,Products!$A$2:$F$61,4,FALSE()),"")</f>
        <v>128</v>
      </c>
      <c r="O207" t="str">
        <f>IFERROR(VLOOKUP(C207,Customers!$A$2:$F$301,5,FALSE()),"")</f>
        <v>SMB</v>
      </c>
      <c r="P207">
        <f>IFERROR(VLOOKUP(C207,Customers!$A$2:$F$301,3,FALSE()),"")</f>
        <v>30</v>
      </c>
      <c r="Q207">
        <f t="shared" si="9"/>
        <v>0.57333333333333336</v>
      </c>
      <c r="R207">
        <f>IF(AND(COUNTIF($A$2:$A$2027,A207)&gt;1,COUNTIF($A$2:A207,A207)=1),1,0)</f>
        <v>0</v>
      </c>
      <c r="S207" t="b">
        <f>IFERROR(VLOOKUP(D207,Products!$A$2:$F$61,6,FALSE()),"")</f>
        <v>1</v>
      </c>
      <c r="T207" t="str">
        <f>IF(COUNTIF(Customers!$A$2:$A$301,C207)=0,"Missing","OK")</f>
        <v>OK</v>
      </c>
      <c r="U207" t="str">
        <f t="shared" si="10"/>
        <v>Pune</v>
      </c>
      <c r="V207">
        <f t="shared" si="11"/>
        <v>0</v>
      </c>
    </row>
    <row r="208" spans="1:22" ht="15" customHeight="1" x14ac:dyDescent="0.35">
      <c r="A208" s="3" t="s">
        <v>474</v>
      </c>
      <c r="B208" s="4">
        <v>45527</v>
      </c>
      <c r="C208" s="3" t="s">
        <v>467</v>
      </c>
      <c r="D208" s="3" t="s">
        <v>112</v>
      </c>
      <c r="E208" s="3" t="s">
        <v>236</v>
      </c>
      <c r="F208" s="5">
        <v>5</v>
      </c>
      <c r="G208" s="5">
        <v>2720</v>
      </c>
      <c r="H208" s="5">
        <v>17.100000000000001</v>
      </c>
      <c r="I208" s="5">
        <v>11274.4</v>
      </c>
      <c r="J208" s="3" t="s">
        <v>32</v>
      </c>
      <c r="K208" s="3" t="s">
        <v>51</v>
      </c>
      <c r="L208" t="str">
        <f>IFERROR(VLOOKUP(D208,Products!$A$2:$F$61,3,FALSE()),"")</f>
        <v>Apparel</v>
      </c>
      <c r="M208" t="str">
        <f>IFERROR(VLOOKUP(E208,Sales_Reps!$A$2:$C$31,3,FALSE()),"")</f>
        <v>North</v>
      </c>
      <c r="N208">
        <f>IFERROR(VLOOKUP(D208,Products!$A$2:$F$61,4,FALSE()),"")</f>
        <v>1962</v>
      </c>
      <c r="O208" t="str">
        <f>IFERROR(VLOOKUP(C208,Customers!$A$2:$F$301,5,FALSE()),"")</f>
        <v>Retail</v>
      </c>
      <c r="P208">
        <f>IFERROR(VLOOKUP(C208,Customers!$A$2:$F$301,3,FALSE()),"")</f>
        <v>44</v>
      </c>
      <c r="Q208">
        <f t="shared" si="9"/>
        <v>0.2786764705882353</v>
      </c>
      <c r="R208">
        <f>IF(AND(COUNTIF($A$2:$A$2027,A208)&gt;1,COUNTIF($A$2:A208,A208)=1),1,0)</f>
        <v>0</v>
      </c>
      <c r="S208" t="b">
        <f>IFERROR(VLOOKUP(D208,Products!$A$2:$F$61,6,FALSE()),"")</f>
        <v>1</v>
      </c>
      <c r="T208" t="str">
        <f>IF(COUNTIF(Customers!$A$2:$A$301,C208)=0,"Missing","OK")</f>
        <v>OK</v>
      </c>
      <c r="U208" t="str">
        <f t="shared" si="10"/>
        <v>Mumbai</v>
      </c>
      <c r="V208">
        <f t="shared" si="11"/>
        <v>0</v>
      </c>
    </row>
    <row r="209" spans="1:22" ht="15" customHeight="1" x14ac:dyDescent="0.35">
      <c r="A209" s="3" t="s">
        <v>475</v>
      </c>
      <c r="B209" s="4">
        <v>45572</v>
      </c>
      <c r="C209" s="3" t="s">
        <v>476</v>
      </c>
      <c r="D209" s="3" t="s">
        <v>187</v>
      </c>
      <c r="E209" s="3" t="s">
        <v>127</v>
      </c>
      <c r="F209" s="5">
        <v>1</v>
      </c>
      <c r="G209" s="5">
        <v>3870</v>
      </c>
      <c r="H209" s="5">
        <v>23.5</v>
      </c>
      <c r="I209" s="5">
        <v>2960.55</v>
      </c>
      <c r="J209" s="3" t="s">
        <v>32</v>
      </c>
      <c r="K209" s="3" t="s">
        <v>72</v>
      </c>
      <c r="L209" t="str">
        <f>IFERROR(VLOOKUP(D209,Products!$A$2:$F$61,3,FALSE()),"")</f>
        <v>Electronics</v>
      </c>
      <c r="M209" t="str">
        <f>IFERROR(VLOOKUP(E209,Sales_Reps!$A$2:$C$31,3,FALSE()),"")</f>
        <v>South</v>
      </c>
      <c r="N209">
        <f>IFERROR(VLOOKUP(D209,Products!$A$2:$F$61,4,FALSE()),"")</f>
        <v>1559</v>
      </c>
      <c r="O209" t="str">
        <f>IFERROR(VLOOKUP(C209,Customers!$A$2:$F$301,5,FALSE()),"")</f>
        <v>SMB</v>
      </c>
      <c r="P209">
        <f>IFERROR(VLOOKUP(C209,Customers!$A$2:$F$301,3,FALSE()),"")</f>
        <v>48</v>
      </c>
      <c r="Q209">
        <f t="shared" si="9"/>
        <v>0.59715762273901807</v>
      </c>
      <c r="R209">
        <f>IF(AND(COUNTIF($A$2:$A$2027,A209)&gt;1,COUNTIF($A$2:A209,A209)=1),1,0)</f>
        <v>0</v>
      </c>
      <c r="S209" t="b">
        <f>IFERROR(VLOOKUP(D209,Products!$A$2:$F$61,6,FALSE()),"")</f>
        <v>1</v>
      </c>
      <c r="T209" t="str">
        <f>IF(COUNTIF(Customers!$A$2:$A$301,C209)=0,"Missing","OK")</f>
        <v>OK</v>
      </c>
      <c r="U209" t="str">
        <f t="shared" si="10"/>
        <v>Hyderabad</v>
      </c>
      <c r="V209">
        <f t="shared" si="11"/>
        <v>0</v>
      </c>
    </row>
    <row r="210" spans="1:22" ht="15" customHeight="1" x14ac:dyDescent="0.35">
      <c r="A210" s="3" t="s">
        <v>477</v>
      </c>
      <c r="B210" s="4">
        <v>45637</v>
      </c>
      <c r="C210" s="3" t="s">
        <v>478</v>
      </c>
      <c r="D210" s="3" t="s">
        <v>165</v>
      </c>
      <c r="E210" s="3" t="s">
        <v>264</v>
      </c>
      <c r="F210" s="5">
        <v>3</v>
      </c>
      <c r="G210" s="5">
        <v>3730</v>
      </c>
      <c r="H210" s="5">
        <v>0.7</v>
      </c>
      <c r="I210" s="5">
        <v>11111.67</v>
      </c>
      <c r="J210" s="3" t="s">
        <v>32</v>
      </c>
      <c r="K210" s="3" t="s">
        <v>72</v>
      </c>
      <c r="L210" t="str">
        <f>IFERROR(VLOOKUP(D210,Products!$A$2:$F$61,3,FALSE()),"")</f>
        <v>Home</v>
      </c>
      <c r="M210" t="str">
        <f>IFERROR(VLOOKUP(E210,Sales_Reps!$A$2:$C$31,3,FALSE()),"")</f>
        <v>South</v>
      </c>
      <c r="N210">
        <f>IFERROR(VLOOKUP(D210,Products!$A$2:$F$61,4,FALSE()),"")</f>
        <v>2135</v>
      </c>
      <c r="O210" t="str">
        <f>IFERROR(VLOOKUP(C210,Customers!$A$2:$F$301,5,FALSE()),"")</f>
        <v>Retail</v>
      </c>
      <c r="P210">
        <f>IFERROR(VLOOKUP(C210,Customers!$A$2:$F$301,3,FALSE()),"")</f>
        <v>38</v>
      </c>
      <c r="Q210">
        <f t="shared" si="9"/>
        <v>0.42761394101876676</v>
      </c>
      <c r="R210">
        <f>IF(AND(COUNTIF($A$2:$A$2027,A210)&gt;1,COUNTIF($A$2:A210,A210)=1),1,0)</f>
        <v>0</v>
      </c>
      <c r="S210" t="b">
        <f>IFERROR(VLOOKUP(D210,Products!$A$2:$F$61,6,FALSE()),"")</f>
        <v>1</v>
      </c>
      <c r="T210" t="str">
        <f>IF(COUNTIF(Customers!$A$2:$A$301,C210)=0,"Missing","OK")</f>
        <v>OK</v>
      </c>
      <c r="U210" t="str">
        <f t="shared" si="10"/>
        <v>Hyderabad</v>
      </c>
      <c r="V210">
        <f t="shared" si="11"/>
        <v>0</v>
      </c>
    </row>
    <row r="211" spans="1:22" ht="15" customHeight="1" x14ac:dyDescent="0.35">
      <c r="A211" s="3" t="s">
        <v>479</v>
      </c>
      <c r="B211" s="4">
        <v>45315</v>
      </c>
      <c r="C211" s="3" t="s">
        <v>480</v>
      </c>
      <c r="D211" s="3" t="s">
        <v>106</v>
      </c>
      <c r="E211" s="3" t="s">
        <v>264</v>
      </c>
      <c r="F211" s="5">
        <v>8</v>
      </c>
      <c r="G211" s="5">
        <v>2480</v>
      </c>
      <c r="H211" s="5">
        <v>18.2</v>
      </c>
      <c r="I211" s="5">
        <v>16229.12</v>
      </c>
      <c r="J211" s="3" t="s">
        <v>79</v>
      </c>
      <c r="K211" s="3" t="s">
        <v>33</v>
      </c>
      <c r="L211" t="str">
        <f>IFERROR(VLOOKUP(D211,Products!$A$2:$F$61,3,FALSE()),"")</f>
        <v>Apparel</v>
      </c>
      <c r="M211" t="str">
        <f>IFERROR(VLOOKUP(E211,Sales_Reps!$A$2:$C$31,3,FALSE()),"")</f>
        <v>South</v>
      </c>
      <c r="N211">
        <f>IFERROR(VLOOKUP(D211,Products!$A$2:$F$61,4,FALSE()),"")</f>
        <v>1173</v>
      </c>
      <c r="O211" t="str">
        <f>IFERROR(VLOOKUP(C211,Customers!$A$2:$F$301,5,FALSE()),"")</f>
        <v>Corporate</v>
      </c>
      <c r="P211">
        <f>IFERROR(VLOOKUP(C211,Customers!$A$2:$F$301,3,FALSE()),"")</f>
        <v>34</v>
      </c>
      <c r="Q211">
        <f t="shared" si="9"/>
        <v>0.52701612903225803</v>
      </c>
      <c r="R211">
        <f>IF(AND(COUNTIF($A$2:$A$2027,A211)&gt;1,COUNTIF($A$2:A211,A211)=1),1,0)</f>
        <v>0</v>
      </c>
      <c r="S211" t="b">
        <f>IFERROR(VLOOKUP(D211,Products!$A$2:$F$61,6,FALSE()),"")</f>
        <v>1</v>
      </c>
      <c r="T211" t="str">
        <f>IF(COUNTIF(Customers!$A$2:$A$301,C211)=0,"Missing","OK")</f>
        <v>OK</v>
      </c>
      <c r="U211" t="str">
        <f t="shared" si="10"/>
        <v>Chennai</v>
      </c>
      <c r="V211">
        <f t="shared" si="11"/>
        <v>0</v>
      </c>
    </row>
    <row r="212" spans="1:22" ht="15" customHeight="1" x14ac:dyDescent="0.35">
      <c r="A212" s="3" t="s">
        <v>481</v>
      </c>
      <c r="B212" s="4">
        <v>45374</v>
      </c>
      <c r="C212" s="3" t="s">
        <v>327</v>
      </c>
      <c r="D212" s="3" t="s">
        <v>54</v>
      </c>
      <c r="E212" s="3" t="s">
        <v>60</v>
      </c>
      <c r="F212" s="5">
        <v>2</v>
      </c>
      <c r="G212" s="5">
        <v>960</v>
      </c>
      <c r="H212" s="5">
        <v>2.2000000000000002</v>
      </c>
      <c r="I212" s="5">
        <v>1877.76</v>
      </c>
      <c r="J212" s="3" t="s">
        <v>26</v>
      </c>
      <c r="K212" s="3" t="s">
        <v>72</v>
      </c>
      <c r="L212" t="str">
        <f>IFERROR(VLOOKUP(D212,Products!$A$2:$F$61,3,FALSE()),"")</f>
        <v>Sports</v>
      </c>
      <c r="M212" t="str">
        <f>IFERROR(VLOOKUP(E212,Sales_Reps!$A$2:$C$31,3,FALSE()),"")</f>
        <v>East</v>
      </c>
      <c r="N212">
        <f>IFERROR(VLOOKUP(D212,Products!$A$2:$F$61,4,FALSE()),"")</f>
        <v>705</v>
      </c>
      <c r="O212" t="str">
        <f>IFERROR(VLOOKUP(C212,Customers!$A$2:$F$301,5,FALSE()),"")</f>
        <v>Retail</v>
      </c>
      <c r="P212">
        <f>IFERROR(VLOOKUP(C212,Customers!$A$2:$F$301,3,FALSE()),"")</f>
        <v>44</v>
      </c>
      <c r="Q212">
        <f t="shared" si="9"/>
        <v>0.265625</v>
      </c>
      <c r="R212">
        <f>IF(AND(COUNTIF($A$2:$A$2027,A212)&gt;1,COUNTIF($A$2:A212,A212)=1),1,0)</f>
        <v>0</v>
      </c>
      <c r="S212" t="b">
        <f>IFERROR(VLOOKUP(D212,Products!$A$2:$F$61,6,FALSE()),"")</f>
        <v>1</v>
      </c>
      <c r="T212" t="str">
        <f>IF(COUNTIF(Customers!$A$2:$A$301,C212)=0,"Missing","OK")</f>
        <v>OK</v>
      </c>
      <c r="U212" t="str">
        <f t="shared" si="10"/>
        <v>Hyderabad</v>
      </c>
      <c r="V212">
        <f t="shared" si="11"/>
        <v>0</v>
      </c>
    </row>
    <row r="213" spans="1:22" ht="15" customHeight="1" x14ac:dyDescent="0.35">
      <c r="A213" s="3" t="s">
        <v>482</v>
      </c>
      <c r="B213" s="4">
        <v>45335</v>
      </c>
      <c r="C213" s="3" t="s">
        <v>483</v>
      </c>
      <c r="D213" s="3" t="s">
        <v>123</v>
      </c>
      <c r="E213" s="3" t="s">
        <v>242</v>
      </c>
      <c r="F213" s="5">
        <v>8</v>
      </c>
      <c r="G213" s="5">
        <v>4880</v>
      </c>
      <c r="H213" s="5">
        <v>11.9</v>
      </c>
      <c r="I213" s="5">
        <v>34394.239999999998</v>
      </c>
      <c r="J213" s="3" t="s">
        <v>26</v>
      </c>
      <c r="K213" s="3" t="s">
        <v>72</v>
      </c>
      <c r="L213" t="str">
        <f>IFERROR(VLOOKUP(D213,Products!$A$2:$F$61,3,FALSE()),"")</f>
        <v>Beauty</v>
      </c>
      <c r="M213" t="str">
        <f>IFERROR(VLOOKUP(E213,Sales_Reps!$A$2:$C$31,3,FALSE()),"")</f>
        <v>East</v>
      </c>
      <c r="N213">
        <f>IFERROR(VLOOKUP(D213,Products!$A$2:$F$61,4,FALSE()),"")</f>
        <v>2768</v>
      </c>
      <c r="O213" t="str">
        <f>IFERROR(VLOOKUP(C213,Customers!$A$2:$F$301,5,FALSE()),"")</f>
        <v>Retail</v>
      </c>
      <c r="P213">
        <f>IFERROR(VLOOKUP(C213,Customers!$A$2:$F$301,3,FALSE()),"")</f>
        <v>25</v>
      </c>
      <c r="Q213">
        <f t="shared" si="9"/>
        <v>0.43278688524590164</v>
      </c>
      <c r="R213">
        <f>IF(AND(COUNTIF($A$2:$A$2027,A213)&gt;1,COUNTIF($A$2:A213,A213)=1),1,0)</f>
        <v>0</v>
      </c>
      <c r="S213" t="b">
        <f>IFERROR(VLOOKUP(D213,Products!$A$2:$F$61,6,FALSE()),"")</f>
        <v>1</v>
      </c>
      <c r="T213" t="str">
        <f>IF(COUNTIF(Customers!$A$2:$A$301,C213)=0,"Missing","OK")</f>
        <v>OK</v>
      </c>
      <c r="U213" t="str">
        <f t="shared" si="10"/>
        <v>Hyderabad</v>
      </c>
      <c r="V213">
        <f t="shared" si="11"/>
        <v>0</v>
      </c>
    </row>
    <row r="214" spans="1:22" ht="15" customHeight="1" x14ac:dyDescent="0.35">
      <c r="A214" s="3" t="s">
        <v>484</v>
      </c>
      <c r="B214" s="4">
        <v>45656</v>
      </c>
      <c r="C214" s="3" t="s">
        <v>485</v>
      </c>
      <c r="D214" s="3" t="s">
        <v>24</v>
      </c>
      <c r="E214" s="3" t="s">
        <v>109</v>
      </c>
      <c r="F214" s="5">
        <v>2</v>
      </c>
      <c r="G214" s="5">
        <v>3620</v>
      </c>
      <c r="H214" s="5">
        <v>1.1000000000000001</v>
      </c>
      <c r="I214" s="5">
        <v>7160.36</v>
      </c>
      <c r="J214" s="3" t="s">
        <v>32</v>
      </c>
      <c r="K214" s="3" t="s">
        <v>38</v>
      </c>
      <c r="L214" t="str">
        <f>IFERROR(VLOOKUP(D214,Products!$A$2:$F$61,3,FALSE()),"")</f>
        <v>Apparel</v>
      </c>
      <c r="M214" t="str">
        <f>IFERROR(VLOOKUP(E214,Sales_Reps!$A$2:$C$31,3,FALSE()),"")</f>
        <v>West</v>
      </c>
      <c r="N214">
        <f>IFERROR(VLOOKUP(D214,Products!$A$2:$F$61,4,FALSE()),"")</f>
        <v>2509</v>
      </c>
      <c r="O214" t="str">
        <f>IFERROR(VLOOKUP(C214,Customers!$A$2:$F$301,5,FALSE()),"")</f>
        <v>SMB</v>
      </c>
      <c r="P214">
        <f>IFERROR(VLOOKUP(C214,Customers!$A$2:$F$301,3,FALSE()),"")</f>
        <v>29</v>
      </c>
      <c r="Q214">
        <f t="shared" si="9"/>
        <v>0.3069060773480663</v>
      </c>
      <c r="R214">
        <f>IF(AND(COUNTIF($A$2:$A$2027,A214)&gt;1,COUNTIF($A$2:A214,A214)=1),1,0)</f>
        <v>0</v>
      </c>
      <c r="S214" t="b">
        <f>IFERROR(VLOOKUP(D214,Products!$A$2:$F$61,6,FALSE()),"")</f>
        <v>1</v>
      </c>
      <c r="T214" t="str">
        <f>IF(COUNTIF(Customers!$A$2:$A$301,C214)=0,"Missing","OK")</f>
        <v>OK</v>
      </c>
      <c r="U214" t="str">
        <f t="shared" si="10"/>
        <v>Delhi</v>
      </c>
      <c r="V214">
        <f t="shared" si="11"/>
        <v>0</v>
      </c>
    </row>
    <row r="215" spans="1:22" ht="15" customHeight="1" x14ac:dyDescent="0.35">
      <c r="A215" s="3" t="s">
        <v>486</v>
      </c>
      <c r="B215" s="4">
        <v>45573</v>
      </c>
      <c r="C215" s="3" t="s">
        <v>230</v>
      </c>
      <c r="D215" s="3" t="s">
        <v>347</v>
      </c>
      <c r="E215" s="3" t="s">
        <v>46</v>
      </c>
      <c r="F215" s="5">
        <v>8</v>
      </c>
      <c r="G215" s="5">
        <v>3970</v>
      </c>
      <c r="H215" s="5">
        <v>18.100000000000001</v>
      </c>
      <c r="I215" s="5">
        <v>26011.439999999999</v>
      </c>
      <c r="J215" s="3" t="s">
        <v>26</v>
      </c>
      <c r="K215" s="3" t="s">
        <v>38</v>
      </c>
      <c r="L215" t="str">
        <f>IFERROR(VLOOKUP(D215,Products!$A$2:$F$61,3,FALSE()),"")</f>
        <v>Electronics</v>
      </c>
      <c r="M215" t="str">
        <f>IFERROR(VLOOKUP(E215,Sales_Reps!$A$2:$C$31,3,FALSE()),"")</f>
        <v>North</v>
      </c>
      <c r="N215">
        <f>IFERROR(VLOOKUP(D215,Products!$A$2:$F$61,4,FALSE()),"")</f>
        <v>2865</v>
      </c>
      <c r="O215" t="str">
        <f>IFERROR(VLOOKUP(C215,Customers!$A$2:$F$301,5,FALSE()),"")</f>
        <v>Retail</v>
      </c>
      <c r="P215">
        <f>IFERROR(VLOOKUP(C215,Customers!$A$2:$F$301,3,FALSE()),"")</f>
        <v>35</v>
      </c>
      <c r="Q215">
        <f t="shared" si="9"/>
        <v>0.27833753148614609</v>
      </c>
      <c r="R215">
        <f>IF(AND(COUNTIF($A$2:$A$2027,A215)&gt;1,COUNTIF($A$2:A215,A215)=1),1,0)</f>
        <v>0</v>
      </c>
      <c r="S215" t="b">
        <f>IFERROR(VLOOKUP(D215,Products!$A$2:$F$61,6,FALSE()),"")</f>
        <v>1</v>
      </c>
      <c r="T215" t="str">
        <f>IF(COUNTIF(Customers!$A$2:$A$301,C215)=0,"Missing","OK")</f>
        <v>OK</v>
      </c>
      <c r="U215" t="str">
        <f t="shared" si="10"/>
        <v>Delhi</v>
      </c>
      <c r="V215">
        <f t="shared" si="11"/>
        <v>0</v>
      </c>
    </row>
    <row r="216" spans="1:22" ht="15" customHeight="1" x14ac:dyDescent="0.35">
      <c r="A216" s="3" t="s">
        <v>487</v>
      </c>
      <c r="B216" s="4">
        <v>45534</v>
      </c>
      <c r="C216" s="3" t="s">
        <v>105</v>
      </c>
      <c r="D216" s="3" t="s">
        <v>184</v>
      </c>
      <c r="E216" s="3" t="s">
        <v>140</v>
      </c>
      <c r="F216" s="5">
        <v>8</v>
      </c>
      <c r="G216" s="5">
        <v>2270</v>
      </c>
      <c r="H216" s="5">
        <v>19.600000000000001</v>
      </c>
      <c r="I216" s="5">
        <v>14600.64</v>
      </c>
      <c r="J216" s="3" t="s">
        <v>26</v>
      </c>
      <c r="K216" s="3" t="s">
        <v>72</v>
      </c>
      <c r="L216" t="str">
        <f>IFERROR(VLOOKUP(D216,Products!$A$2:$F$61,3,FALSE()),"")</f>
        <v>Grocery</v>
      </c>
      <c r="M216" t="str">
        <f>IFERROR(VLOOKUP(E216,Sales_Reps!$A$2:$C$31,3,FALSE()),"")</f>
        <v>West</v>
      </c>
      <c r="N216">
        <f>IFERROR(VLOOKUP(D216,Products!$A$2:$F$61,4,FALSE()),"")</f>
        <v>1412</v>
      </c>
      <c r="O216" t="str">
        <f>IFERROR(VLOOKUP(C216,Customers!$A$2:$F$301,5,FALSE()),"")</f>
        <v>Retail</v>
      </c>
      <c r="P216">
        <f>IFERROR(VLOOKUP(C216,Customers!$A$2:$F$301,3,FALSE()),"")</f>
        <v>32</v>
      </c>
      <c r="Q216">
        <f t="shared" si="9"/>
        <v>0.37797356828193834</v>
      </c>
      <c r="R216">
        <f>IF(AND(COUNTIF($A$2:$A$2027,A216)&gt;1,COUNTIF($A$2:A216,A216)=1),1,0)</f>
        <v>0</v>
      </c>
      <c r="S216" t="b">
        <f>IFERROR(VLOOKUP(D216,Products!$A$2:$F$61,6,FALSE()),"")</f>
        <v>1</v>
      </c>
      <c r="T216" t="str">
        <f>IF(COUNTIF(Customers!$A$2:$A$301,C216)=0,"Missing","OK")</f>
        <v>OK</v>
      </c>
      <c r="U216" t="str">
        <f t="shared" si="10"/>
        <v>Hyderabad</v>
      </c>
      <c r="V216">
        <f t="shared" si="11"/>
        <v>0</v>
      </c>
    </row>
    <row r="217" spans="1:22" ht="15" customHeight="1" x14ac:dyDescent="0.35">
      <c r="A217" s="3" t="s">
        <v>488</v>
      </c>
      <c r="B217" s="4">
        <v>45639</v>
      </c>
      <c r="C217" s="3" t="s">
        <v>205</v>
      </c>
      <c r="D217" s="3" t="s">
        <v>173</v>
      </c>
      <c r="E217" s="3" t="s">
        <v>191</v>
      </c>
      <c r="F217" s="5">
        <v>1</v>
      </c>
      <c r="G217" s="5">
        <v>3780</v>
      </c>
      <c r="H217" s="5">
        <v>22.6</v>
      </c>
      <c r="I217" s="5">
        <v>2925.72</v>
      </c>
      <c r="J217" s="3" t="s">
        <v>26</v>
      </c>
      <c r="K217" s="3" t="s">
        <v>38</v>
      </c>
      <c r="L217" t="str">
        <f>IFERROR(VLOOKUP(D217,Products!$A$2:$F$61,3,FALSE()),"")</f>
        <v>Grocery</v>
      </c>
      <c r="M217" t="str">
        <f>IFERROR(VLOOKUP(E217,Sales_Reps!$A$2:$C$31,3,FALSE()),"")</f>
        <v>South</v>
      </c>
      <c r="N217">
        <f>IFERROR(VLOOKUP(D217,Products!$A$2:$F$61,4,FALSE()),"")</f>
        <v>2436</v>
      </c>
      <c r="O217" t="str">
        <f>IFERROR(VLOOKUP(C217,Customers!$A$2:$F$301,5,FALSE()),"")</f>
        <v>Corporate</v>
      </c>
      <c r="P217">
        <f>IFERROR(VLOOKUP(C217,Customers!$A$2:$F$301,3,FALSE()),"")</f>
        <v>55</v>
      </c>
      <c r="Q217">
        <f t="shared" si="9"/>
        <v>0.35555555555555557</v>
      </c>
      <c r="R217">
        <f>IF(AND(COUNTIF($A$2:$A$2027,A217)&gt;1,COUNTIF($A$2:A217,A217)=1),1,0)</f>
        <v>0</v>
      </c>
      <c r="S217" t="b">
        <f>IFERROR(VLOOKUP(D217,Products!$A$2:$F$61,6,FALSE()),"")</f>
        <v>1</v>
      </c>
      <c r="T217" t="str">
        <f>IF(COUNTIF(Customers!$A$2:$A$301,C217)=0,"Missing","OK")</f>
        <v>OK</v>
      </c>
      <c r="U217" t="str">
        <f t="shared" si="10"/>
        <v>Delhi</v>
      </c>
      <c r="V217">
        <f t="shared" si="11"/>
        <v>0</v>
      </c>
    </row>
    <row r="218" spans="1:22" ht="15" customHeight="1" x14ac:dyDescent="0.35">
      <c r="A218" s="3" t="s">
        <v>489</v>
      </c>
      <c r="B218" s="4">
        <v>45653</v>
      </c>
      <c r="C218" s="3" t="s">
        <v>490</v>
      </c>
      <c r="D218" s="3" t="s">
        <v>203</v>
      </c>
      <c r="E218" s="3" t="s">
        <v>224</v>
      </c>
      <c r="F218" s="5">
        <v>9</v>
      </c>
      <c r="G218" s="5">
        <v>4070</v>
      </c>
      <c r="H218" s="5">
        <v>28.2</v>
      </c>
      <c r="I218" s="5">
        <v>26300.34</v>
      </c>
      <c r="J218" s="3" t="s">
        <v>26</v>
      </c>
      <c r="K218" s="3" t="s">
        <v>51</v>
      </c>
      <c r="L218" t="str">
        <f>IFERROR(VLOOKUP(D218,Products!$A$2:$F$61,3,FALSE()),"")</f>
        <v>Grocery</v>
      </c>
      <c r="M218" t="str">
        <f>IFERROR(VLOOKUP(E218,Sales_Reps!$A$2:$C$31,3,FALSE()),"")</f>
        <v>East</v>
      </c>
      <c r="N218">
        <f>IFERROR(VLOOKUP(D218,Products!$A$2:$F$61,4,FALSE()),"")</f>
        <v>2027</v>
      </c>
      <c r="O218" t="str">
        <f>IFERROR(VLOOKUP(C218,Customers!$A$2:$F$301,5,FALSE()),"")</f>
        <v>Corporate</v>
      </c>
      <c r="P218">
        <f>IFERROR(VLOOKUP(C218,Customers!$A$2:$F$301,3,FALSE()),"")</f>
        <v>60</v>
      </c>
      <c r="Q218">
        <f t="shared" si="9"/>
        <v>0.50196560196560192</v>
      </c>
      <c r="R218">
        <f>IF(AND(COUNTIF($A$2:$A$2027,A218)&gt;1,COUNTIF($A$2:A218,A218)=1),1,0)</f>
        <v>0</v>
      </c>
      <c r="S218" t="b">
        <f>IFERROR(VLOOKUP(D218,Products!$A$2:$F$61,6,FALSE()),"")</f>
        <v>1</v>
      </c>
      <c r="T218" t="str">
        <f>IF(COUNTIF(Customers!$A$2:$A$301,C218)=0,"Missing","OK")</f>
        <v>OK</v>
      </c>
      <c r="U218" t="str">
        <f t="shared" si="10"/>
        <v>Mumbai</v>
      </c>
      <c r="V218">
        <f t="shared" si="11"/>
        <v>0</v>
      </c>
    </row>
    <row r="219" spans="1:22" ht="15" customHeight="1" x14ac:dyDescent="0.35">
      <c r="A219" s="3" t="s">
        <v>491</v>
      </c>
      <c r="B219" s="4">
        <v>45424</v>
      </c>
      <c r="C219" s="3" t="s">
        <v>492</v>
      </c>
      <c r="D219" s="3" t="s">
        <v>218</v>
      </c>
      <c r="E219" s="3" t="s">
        <v>42</v>
      </c>
      <c r="F219" s="5">
        <v>9</v>
      </c>
      <c r="G219" s="5">
        <v>2660</v>
      </c>
      <c r="H219" s="5">
        <v>13.1</v>
      </c>
      <c r="I219" s="5">
        <v>20803.86</v>
      </c>
      <c r="J219" s="3" t="s">
        <v>32</v>
      </c>
      <c r="K219" s="3" t="s">
        <v>51</v>
      </c>
      <c r="L219" t="str">
        <f>IFERROR(VLOOKUP(D219,Products!$A$2:$F$61,3,FALSE()),"")</f>
        <v>Electronics</v>
      </c>
      <c r="M219" t="str">
        <f>IFERROR(VLOOKUP(E219,Sales_Reps!$A$2:$C$31,3,FALSE()),"")</f>
        <v>North</v>
      </c>
      <c r="N219">
        <f>IFERROR(VLOOKUP(D219,Products!$A$2:$F$61,4,FALSE()),"")</f>
        <v>1259</v>
      </c>
      <c r="O219" t="str">
        <f>IFERROR(VLOOKUP(C219,Customers!$A$2:$F$301,5,FALSE()),"")</f>
        <v>Retail</v>
      </c>
      <c r="P219">
        <f>IFERROR(VLOOKUP(C219,Customers!$A$2:$F$301,3,FALSE()),"")</f>
        <v>65</v>
      </c>
      <c r="Q219">
        <f t="shared" si="9"/>
        <v>0.52669172932330832</v>
      </c>
      <c r="R219">
        <f>IF(AND(COUNTIF($A$2:$A$2027,A219)&gt;1,COUNTIF($A$2:A219,A219)=1),1,0)</f>
        <v>0</v>
      </c>
      <c r="S219" t="b">
        <f>IFERROR(VLOOKUP(D219,Products!$A$2:$F$61,6,FALSE()),"")</f>
        <v>0</v>
      </c>
      <c r="T219" t="str">
        <f>IF(COUNTIF(Customers!$A$2:$A$301,C219)=0,"Missing","OK")</f>
        <v>OK</v>
      </c>
      <c r="U219" t="str">
        <f t="shared" si="10"/>
        <v>Mumbai</v>
      </c>
      <c r="V219">
        <f t="shared" si="11"/>
        <v>0</v>
      </c>
    </row>
    <row r="220" spans="1:22" ht="15" customHeight="1" x14ac:dyDescent="0.35">
      <c r="A220" s="3" t="s">
        <v>493</v>
      </c>
      <c r="B220" s="4">
        <v>45400</v>
      </c>
      <c r="C220" s="3" t="s">
        <v>494</v>
      </c>
      <c r="D220" s="3" t="s">
        <v>126</v>
      </c>
      <c r="E220" s="3" t="s">
        <v>78</v>
      </c>
      <c r="F220" s="5">
        <v>4</v>
      </c>
      <c r="G220" s="5">
        <v>3570</v>
      </c>
      <c r="H220" s="5">
        <v>1.5</v>
      </c>
      <c r="I220" s="5">
        <v>14065.8</v>
      </c>
      <c r="J220" s="3" t="s">
        <v>79</v>
      </c>
      <c r="K220" s="3" t="s">
        <v>51</v>
      </c>
      <c r="L220" t="str">
        <f>IFERROR(VLOOKUP(D220,Products!$A$2:$F$61,3,FALSE()),"")</f>
        <v>Electronics</v>
      </c>
      <c r="M220" t="str">
        <f>IFERROR(VLOOKUP(E220,Sales_Reps!$A$2:$C$31,3,FALSE()),"")</f>
        <v>North</v>
      </c>
      <c r="N220">
        <f>IFERROR(VLOOKUP(D220,Products!$A$2:$F$61,4,FALSE()),"")</f>
        <v>1665</v>
      </c>
      <c r="O220" t="str">
        <f>IFERROR(VLOOKUP(C220,Customers!$A$2:$F$301,5,FALSE()),"")</f>
        <v>Retail</v>
      </c>
      <c r="P220">
        <f>IFERROR(VLOOKUP(C220,Customers!$A$2:$F$301,3,FALSE()),"")</f>
        <v>37</v>
      </c>
      <c r="Q220">
        <f t="shared" si="9"/>
        <v>0.53361344537815125</v>
      </c>
      <c r="R220">
        <f>IF(AND(COUNTIF($A$2:$A$2027,A220)&gt;1,COUNTIF($A$2:A220,A220)=1),1,0)</f>
        <v>0</v>
      </c>
      <c r="S220" t="b">
        <f>IFERROR(VLOOKUP(D220,Products!$A$2:$F$61,6,FALSE()),"")</f>
        <v>1</v>
      </c>
      <c r="T220" t="str">
        <f>IF(COUNTIF(Customers!$A$2:$A$301,C220)=0,"Missing","OK")</f>
        <v>OK</v>
      </c>
      <c r="U220" t="str">
        <f t="shared" si="10"/>
        <v>Mumbai</v>
      </c>
      <c r="V220">
        <f t="shared" si="11"/>
        <v>0</v>
      </c>
    </row>
    <row r="221" spans="1:22" ht="15" customHeight="1" x14ac:dyDescent="0.35">
      <c r="A221" s="3" t="s">
        <v>495</v>
      </c>
      <c r="B221" s="4">
        <v>45531</v>
      </c>
      <c r="C221" s="3" t="s">
        <v>496</v>
      </c>
      <c r="D221" s="3" t="s">
        <v>319</v>
      </c>
      <c r="E221" s="3" t="s">
        <v>154</v>
      </c>
      <c r="F221" s="5">
        <v>2</v>
      </c>
      <c r="G221" s="5">
        <v>960</v>
      </c>
      <c r="H221" s="5">
        <v>18.600000000000001</v>
      </c>
      <c r="I221" s="5">
        <v>1562.88</v>
      </c>
      <c r="J221" s="3" t="s">
        <v>26</v>
      </c>
      <c r="K221" s="3" t="s">
        <v>51</v>
      </c>
      <c r="L221" t="str">
        <f>IFERROR(VLOOKUP(D221,Products!$A$2:$F$61,3,FALSE()),"")</f>
        <v>Beauty</v>
      </c>
      <c r="M221" t="str">
        <f>IFERROR(VLOOKUP(E221,Sales_Reps!$A$2:$C$31,3,FALSE()),"")</f>
        <v>North</v>
      </c>
      <c r="N221">
        <f>IFERROR(VLOOKUP(D221,Products!$A$2:$F$61,4,FALSE()),"")</f>
        <v>675</v>
      </c>
      <c r="O221" t="str">
        <f>IFERROR(VLOOKUP(C221,Customers!$A$2:$F$301,5,FALSE()),"")</f>
        <v>Retail</v>
      </c>
      <c r="P221">
        <f>IFERROR(VLOOKUP(C221,Customers!$A$2:$F$301,3,FALSE()),"")</f>
        <v>65</v>
      </c>
      <c r="Q221">
        <f t="shared" si="9"/>
        <v>0.296875</v>
      </c>
      <c r="R221">
        <f>IF(AND(COUNTIF($A$2:$A$2027,A221)&gt;1,COUNTIF($A$2:A221,A221)=1),1,0)</f>
        <v>0</v>
      </c>
      <c r="S221" t="b">
        <f>IFERROR(VLOOKUP(D221,Products!$A$2:$F$61,6,FALSE()),"")</f>
        <v>1</v>
      </c>
      <c r="T221" t="str">
        <f>IF(COUNTIF(Customers!$A$2:$A$301,C221)=0,"Missing","OK")</f>
        <v>OK</v>
      </c>
      <c r="U221" t="str">
        <f t="shared" si="10"/>
        <v>Mumbai</v>
      </c>
      <c r="V221">
        <f t="shared" si="11"/>
        <v>0</v>
      </c>
    </row>
    <row r="222" spans="1:22" ht="15" customHeight="1" x14ac:dyDescent="0.35">
      <c r="A222" s="3" t="s">
        <v>497</v>
      </c>
      <c r="B222" s="4">
        <v>45546</v>
      </c>
      <c r="C222" s="3" t="s">
        <v>498</v>
      </c>
      <c r="D222" s="3" t="s">
        <v>96</v>
      </c>
      <c r="E222" s="3" t="s">
        <v>242</v>
      </c>
      <c r="F222" s="5">
        <v>2</v>
      </c>
      <c r="G222" s="5">
        <v>3450</v>
      </c>
      <c r="H222" s="5">
        <v>3.7</v>
      </c>
      <c r="I222" s="5">
        <v>6644.7</v>
      </c>
      <c r="J222" s="3" t="s">
        <v>26</v>
      </c>
      <c r="K222" s="3" t="s">
        <v>27</v>
      </c>
      <c r="L222" t="str">
        <f>IFERROR(VLOOKUP(D222,Products!$A$2:$F$61,3,FALSE()),"")</f>
        <v>Beauty</v>
      </c>
      <c r="M222" t="str">
        <f>IFERROR(VLOOKUP(E222,Sales_Reps!$A$2:$C$31,3,FALSE()),"")</f>
        <v>East</v>
      </c>
      <c r="N222">
        <f>IFERROR(VLOOKUP(D222,Products!$A$2:$F$61,4,FALSE()),"")</f>
        <v>2420</v>
      </c>
      <c r="O222" t="str">
        <f>IFERROR(VLOOKUP(C222,Customers!$A$2:$F$301,5,FALSE()),"")</f>
        <v>Retail</v>
      </c>
      <c r="P222">
        <f>IFERROR(VLOOKUP(C222,Customers!$A$2:$F$301,3,FALSE()),"")</f>
        <v>62</v>
      </c>
      <c r="Q222">
        <f t="shared" si="9"/>
        <v>0.29855072463768118</v>
      </c>
      <c r="R222">
        <f>IF(AND(COUNTIF($A$2:$A$2027,A222)&gt;1,COUNTIF($A$2:A222,A222)=1),1,0)</f>
        <v>0</v>
      </c>
      <c r="S222" t="b">
        <f>IFERROR(VLOOKUP(D222,Products!$A$2:$F$61,6,FALSE()),"")</f>
        <v>1</v>
      </c>
      <c r="T222" t="str">
        <f>IF(COUNTIF(Customers!$A$2:$A$301,C222)=0,"Missing","OK")</f>
        <v>OK</v>
      </c>
      <c r="U222" t="str">
        <f t="shared" si="10"/>
        <v>Pune</v>
      </c>
      <c r="V222">
        <f t="shared" si="11"/>
        <v>0</v>
      </c>
    </row>
    <row r="223" spans="1:22" ht="15" customHeight="1" x14ac:dyDescent="0.35">
      <c r="A223" s="3" t="s">
        <v>499</v>
      </c>
      <c r="B223" s="4">
        <v>45608</v>
      </c>
      <c r="C223" s="3" t="s">
        <v>500</v>
      </c>
      <c r="D223" s="3" t="s">
        <v>130</v>
      </c>
      <c r="E223" s="3" t="s">
        <v>25</v>
      </c>
      <c r="F223" s="5">
        <v>6</v>
      </c>
      <c r="G223" s="5">
        <v>5100</v>
      </c>
      <c r="H223" s="5">
        <v>1.2</v>
      </c>
      <c r="I223" s="5">
        <v>30232.799999999999</v>
      </c>
      <c r="J223" s="3" t="s">
        <v>26</v>
      </c>
      <c r="K223" s="3" t="s">
        <v>72</v>
      </c>
      <c r="L223" t="str">
        <f>IFERROR(VLOOKUP(D223,Products!$A$2:$F$61,3,FALSE()),"")</f>
        <v>Beauty</v>
      </c>
      <c r="M223" t="str">
        <f>IFERROR(VLOOKUP(E223,Sales_Reps!$A$2:$C$31,3,FALSE()),"")</f>
        <v>North</v>
      </c>
      <c r="N223">
        <f>IFERROR(VLOOKUP(D223,Products!$A$2:$F$61,4,FALSE()),"")</f>
        <v>2237</v>
      </c>
      <c r="O223" t="str">
        <f>IFERROR(VLOOKUP(C223,Customers!$A$2:$F$301,5,FALSE()),"")</f>
        <v>SMB</v>
      </c>
      <c r="P223">
        <f>IFERROR(VLOOKUP(C223,Customers!$A$2:$F$301,3,FALSE()),"")</f>
        <v>43</v>
      </c>
      <c r="Q223">
        <f t="shared" si="9"/>
        <v>0.56137254901960787</v>
      </c>
      <c r="R223">
        <f>IF(AND(COUNTIF($A$2:$A$2027,A223)&gt;1,COUNTIF($A$2:A223,A223)=1),1,0)</f>
        <v>0</v>
      </c>
      <c r="S223" t="b">
        <f>IFERROR(VLOOKUP(D223,Products!$A$2:$F$61,6,FALSE()),"")</f>
        <v>1</v>
      </c>
      <c r="T223" t="str">
        <f>IF(COUNTIF(Customers!$A$2:$A$301,C223)=0,"Missing","OK")</f>
        <v>OK</v>
      </c>
      <c r="U223" t="str">
        <f t="shared" si="10"/>
        <v>Hyderabad</v>
      </c>
      <c r="V223">
        <f t="shared" si="11"/>
        <v>0</v>
      </c>
    </row>
    <row r="224" spans="1:22" ht="15" customHeight="1" x14ac:dyDescent="0.35">
      <c r="A224" s="3" t="s">
        <v>501</v>
      </c>
      <c r="B224" s="4">
        <v>45614</v>
      </c>
      <c r="C224" s="3" t="s">
        <v>502</v>
      </c>
      <c r="D224" s="3" t="s">
        <v>221</v>
      </c>
      <c r="E224" s="3" t="s">
        <v>31</v>
      </c>
      <c r="F224" s="5">
        <v>9</v>
      </c>
      <c r="G224" s="5">
        <v>300</v>
      </c>
      <c r="H224" s="5">
        <v>25.4</v>
      </c>
      <c r="I224" s="5">
        <v>2014.2</v>
      </c>
      <c r="J224" s="3" t="s">
        <v>79</v>
      </c>
      <c r="K224" s="3" t="s">
        <v>27</v>
      </c>
      <c r="L224" t="str">
        <f>IFERROR(VLOOKUP(D224,Products!$A$2:$F$61,3,FALSE()),"")</f>
        <v>Electronics</v>
      </c>
      <c r="M224" t="str">
        <f>IFERROR(VLOOKUP(E224,Sales_Reps!$A$2:$C$31,3,FALSE()),"")</f>
        <v>North</v>
      </c>
      <c r="N224">
        <f>IFERROR(VLOOKUP(D224,Products!$A$2:$F$61,4,FALSE()),"")</f>
        <v>128</v>
      </c>
      <c r="O224" t="str">
        <f>IFERROR(VLOOKUP(C224,Customers!$A$2:$F$301,5,FALSE()),"")</f>
        <v>SMB</v>
      </c>
      <c r="P224">
        <f>IFERROR(VLOOKUP(C224,Customers!$A$2:$F$301,3,FALSE()),"")</f>
        <v>24</v>
      </c>
      <c r="Q224">
        <f t="shared" si="9"/>
        <v>0.57333333333333336</v>
      </c>
      <c r="R224">
        <f>IF(AND(COUNTIF($A$2:$A$2027,A224)&gt;1,COUNTIF($A$2:A224,A224)=1),1,0)</f>
        <v>0</v>
      </c>
      <c r="S224" t="b">
        <f>IFERROR(VLOOKUP(D224,Products!$A$2:$F$61,6,FALSE()),"")</f>
        <v>1</v>
      </c>
      <c r="T224" t="str">
        <f>IF(COUNTIF(Customers!$A$2:$A$301,C224)=0,"Missing","OK")</f>
        <v>OK</v>
      </c>
      <c r="U224" t="str">
        <f t="shared" si="10"/>
        <v>Pune</v>
      </c>
      <c r="V224">
        <f t="shared" si="11"/>
        <v>0</v>
      </c>
    </row>
    <row r="225" spans="1:22" ht="15" customHeight="1" x14ac:dyDescent="0.35">
      <c r="A225" s="3" t="s">
        <v>503</v>
      </c>
      <c r="B225" s="4">
        <v>45405</v>
      </c>
      <c r="C225" s="3" t="s">
        <v>504</v>
      </c>
      <c r="D225" s="3" t="s">
        <v>123</v>
      </c>
      <c r="E225" s="3" t="s">
        <v>131</v>
      </c>
      <c r="F225" s="5">
        <v>7</v>
      </c>
      <c r="G225" s="5">
        <v>4880</v>
      </c>
      <c r="H225" s="5">
        <v>16.899999999999999</v>
      </c>
      <c r="I225" s="5">
        <v>28386.959999999999</v>
      </c>
      <c r="J225" s="3" t="s">
        <v>32</v>
      </c>
      <c r="K225" s="3" t="s">
        <v>51</v>
      </c>
      <c r="L225" t="str">
        <f>IFERROR(VLOOKUP(D225,Products!$A$2:$F$61,3,FALSE()),"")</f>
        <v>Beauty</v>
      </c>
      <c r="M225" t="str">
        <f>IFERROR(VLOOKUP(E225,Sales_Reps!$A$2:$C$31,3,FALSE()),"")</f>
        <v>East</v>
      </c>
      <c r="N225">
        <f>IFERROR(VLOOKUP(D225,Products!$A$2:$F$61,4,FALSE()),"")</f>
        <v>2768</v>
      </c>
      <c r="O225" t="str">
        <f>IFERROR(VLOOKUP(C225,Customers!$A$2:$F$301,5,FALSE()),"")</f>
        <v>SMB</v>
      </c>
      <c r="P225">
        <f>IFERROR(VLOOKUP(C225,Customers!$A$2:$F$301,3,FALSE()),"")</f>
        <v>61</v>
      </c>
      <c r="Q225">
        <f t="shared" si="9"/>
        <v>0.43278688524590164</v>
      </c>
      <c r="R225">
        <f>IF(AND(COUNTIF($A$2:$A$2027,A225)&gt;1,COUNTIF($A$2:A225,A225)=1),1,0)</f>
        <v>0</v>
      </c>
      <c r="S225" t="b">
        <f>IFERROR(VLOOKUP(D225,Products!$A$2:$F$61,6,FALSE()),"")</f>
        <v>1</v>
      </c>
      <c r="T225" t="str">
        <f>IF(COUNTIF(Customers!$A$2:$A$301,C225)=0,"Missing","OK")</f>
        <v>OK</v>
      </c>
      <c r="U225" t="str">
        <f t="shared" si="10"/>
        <v>Mumbai</v>
      </c>
      <c r="V225">
        <f t="shared" si="11"/>
        <v>0</v>
      </c>
    </row>
    <row r="226" spans="1:22" ht="15" customHeight="1" x14ac:dyDescent="0.35">
      <c r="A226" s="3" t="s">
        <v>505</v>
      </c>
      <c r="B226" s="4">
        <v>45504</v>
      </c>
      <c r="C226" s="3" t="s">
        <v>506</v>
      </c>
      <c r="D226" s="3" t="s">
        <v>82</v>
      </c>
      <c r="E226" s="3" t="s">
        <v>93</v>
      </c>
      <c r="F226" s="5">
        <v>9</v>
      </c>
      <c r="G226" s="5">
        <v>3250</v>
      </c>
      <c r="H226" s="5">
        <v>10.8</v>
      </c>
      <c r="I226" s="5">
        <v>26091</v>
      </c>
      <c r="J226" s="3" t="s">
        <v>79</v>
      </c>
      <c r="K226" s="3" t="s">
        <v>56</v>
      </c>
      <c r="L226" t="str">
        <f>IFERROR(VLOOKUP(D226,Products!$A$2:$F$61,3,FALSE()),"")</f>
        <v>Home</v>
      </c>
      <c r="M226" t="str">
        <f>IFERROR(VLOOKUP(E226,Sales_Reps!$A$2:$C$31,3,FALSE()),"")</f>
        <v>East</v>
      </c>
      <c r="N226">
        <f>IFERROR(VLOOKUP(D226,Products!$A$2:$F$61,4,FALSE()),"")</f>
        <v>1556</v>
      </c>
      <c r="O226" t="str">
        <f>IFERROR(VLOOKUP(C226,Customers!$A$2:$F$301,5,FALSE()),"")</f>
        <v>Corporate</v>
      </c>
      <c r="P226">
        <f>IFERROR(VLOOKUP(C226,Customers!$A$2:$F$301,3,FALSE()),"")</f>
        <v>41</v>
      </c>
      <c r="Q226">
        <f t="shared" si="9"/>
        <v>0.52123076923076928</v>
      </c>
      <c r="R226">
        <f>IF(AND(COUNTIF($A$2:$A$2027,A226)&gt;1,COUNTIF($A$2:A226,A226)=1),1,0)</f>
        <v>0</v>
      </c>
      <c r="S226" t="b">
        <f>IFERROR(VLOOKUP(D226,Products!$A$2:$F$61,6,FALSE()),"")</f>
        <v>1</v>
      </c>
      <c r="T226" t="str">
        <f>IF(COUNTIF(Customers!$A$2:$A$301,C226)=0,"Missing","OK")</f>
        <v>OK</v>
      </c>
      <c r="U226" t="str">
        <f t="shared" si="10"/>
        <v>Bengaluru</v>
      </c>
      <c r="V226">
        <f t="shared" si="11"/>
        <v>0</v>
      </c>
    </row>
    <row r="227" spans="1:22" ht="15" customHeight="1" x14ac:dyDescent="0.35">
      <c r="A227" s="3" t="s">
        <v>507</v>
      </c>
      <c r="B227" s="4">
        <v>45298</v>
      </c>
      <c r="C227" s="3" t="s">
        <v>381</v>
      </c>
      <c r="D227" s="3" t="s">
        <v>96</v>
      </c>
      <c r="E227" s="3" t="s">
        <v>42</v>
      </c>
      <c r="F227" s="5">
        <v>3</v>
      </c>
      <c r="G227" s="5">
        <v>3450</v>
      </c>
      <c r="H227" s="5">
        <v>5.4</v>
      </c>
      <c r="I227" s="5">
        <v>9791.1</v>
      </c>
      <c r="J227" s="3" t="s">
        <v>32</v>
      </c>
      <c r="K227" s="3" t="s">
        <v>27</v>
      </c>
      <c r="L227" t="str">
        <f>IFERROR(VLOOKUP(D227,Products!$A$2:$F$61,3,FALSE()),"")</f>
        <v>Beauty</v>
      </c>
      <c r="M227" t="str">
        <f>IFERROR(VLOOKUP(E227,Sales_Reps!$A$2:$C$31,3,FALSE()),"")</f>
        <v>North</v>
      </c>
      <c r="N227">
        <f>IFERROR(VLOOKUP(D227,Products!$A$2:$F$61,4,FALSE()),"")</f>
        <v>2420</v>
      </c>
      <c r="O227" t="str">
        <f>IFERROR(VLOOKUP(C227,Customers!$A$2:$F$301,5,FALSE()),"")</f>
        <v>Retail</v>
      </c>
      <c r="P227">
        <f>IFERROR(VLOOKUP(C227,Customers!$A$2:$F$301,3,FALSE()),"")</f>
        <v>65</v>
      </c>
      <c r="Q227">
        <f t="shared" si="9"/>
        <v>0.29855072463768118</v>
      </c>
      <c r="R227">
        <f>IF(AND(COUNTIF($A$2:$A$2027,A227)&gt;1,COUNTIF($A$2:A227,A227)=1),1,0)</f>
        <v>0</v>
      </c>
      <c r="S227" t="b">
        <f>IFERROR(VLOOKUP(D227,Products!$A$2:$F$61,6,FALSE()),"")</f>
        <v>1</v>
      </c>
      <c r="T227" t="str">
        <f>IF(COUNTIF(Customers!$A$2:$A$301,C227)=0,"Missing","OK")</f>
        <v>OK</v>
      </c>
      <c r="U227" t="str">
        <f t="shared" si="10"/>
        <v>Pune</v>
      </c>
      <c r="V227">
        <f t="shared" si="11"/>
        <v>0</v>
      </c>
    </row>
    <row r="228" spans="1:22" ht="15" customHeight="1" x14ac:dyDescent="0.35">
      <c r="A228" s="3" t="s">
        <v>508</v>
      </c>
      <c r="B228" s="4">
        <v>45346</v>
      </c>
      <c r="C228" s="3" t="s">
        <v>509</v>
      </c>
      <c r="D228" s="3" t="s">
        <v>180</v>
      </c>
      <c r="E228" s="3" t="s">
        <v>97</v>
      </c>
      <c r="F228" s="5">
        <v>5</v>
      </c>
      <c r="G228" s="5">
        <v>6080</v>
      </c>
      <c r="H228" s="5">
        <v>18</v>
      </c>
      <c r="I228" s="5">
        <v>24928</v>
      </c>
      <c r="J228" s="3" t="s">
        <v>26</v>
      </c>
      <c r="K228" s="3" t="s">
        <v>38</v>
      </c>
      <c r="L228" t="str">
        <f>IFERROR(VLOOKUP(D228,Products!$A$2:$F$61,3,FALSE()),"")</f>
        <v>Beauty</v>
      </c>
      <c r="M228" t="str">
        <f>IFERROR(VLOOKUP(E228,Sales_Reps!$A$2:$C$31,3,FALSE()),"")</f>
        <v>East</v>
      </c>
      <c r="N228">
        <f>IFERROR(VLOOKUP(D228,Products!$A$2:$F$61,4,FALSE()),"")</f>
        <v>2617</v>
      </c>
      <c r="O228" t="str">
        <f>IFERROR(VLOOKUP(C228,Customers!$A$2:$F$301,5,FALSE()),"")</f>
        <v>Corporate</v>
      </c>
      <c r="P228">
        <f>IFERROR(VLOOKUP(C228,Customers!$A$2:$F$301,3,FALSE()),"")</f>
        <v>47</v>
      </c>
      <c r="Q228">
        <f t="shared" si="9"/>
        <v>0.56957236842105263</v>
      </c>
      <c r="R228">
        <f>IF(AND(COUNTIF($A$2:$A$2027,A228)&gt;1,COUNTIF($A$2:A228,A228)=1),1,0)</f>
        <v>0</v>
      </c>
      <c r="S228" t="b">
        <f>IFERROR(VLOOKUP(D228,Products!$A$2:$F$61,6,FALSE()),"")</f>
        <v>1</v>
      </c>
      <c r="T228" t="str">
        <f>IF(COUNTIF(Customers!$A$2:$A$301,C228)=0,"Missing","OK")</f>
        <v>OK</v>
      </c>
      <c r="U228" t="str">
        <f t="shared" si="10"/>
        <v>Delhi</v>
      </c>
      <c r="V228">
        <f t="shared" si="11"/>
        <v>0</v>
      </c>
    </row>
    <row r="229" spans="1:22" ht="15" customHeight="1" x14ac:dyDescent="0.35">
      <c r="A229" s="3" t="s">
        <v>510</v>
      </c>
      <c r="B229" s="4">
        <v>45487</v>
      </c>
      <c r="C229" s="3" t="s">
        <v>379</v>
      </c>
      <c r="D229" s="3" t="s">
        <v>180</v>
      </c>
      <c r="E229" s="3" t="s">
        <v>224</v>
      </c>
      <c r="F229" s="5">
        <v>7</v>
      </c>
      <c r="G229" s="5">
        <v>6080</v>
      </c>
      <c r="H229" s="5">
        <v>9.1999999999999993</v>
      </c>
      <c r="I229" s="5">
        <v>38644.480000000003</v>
      </c>
      <c r="J229" s="3" t="s">
        <v>26</v>
      </c>
      <c r="K229" s="3" t="s">
        <v>27</v>
      </c>
      <c r="L229" t="str">
        <f>IFERROR(VLOOKUP(D229,Products!$A$2:$F$61,3,FALSE()),"")</f>
        <v>Beauty</v>
      </c>
      <c r="M229" t="str">
        <f>IFERROR(VLOOKUP(E229,Sales_Reps!$A$2:$C$31,3,FALSE()),"")</f>
        <v>East</v>
      </c>
      <c r="N229">
        <f>IFERROR(VLOOKUP(D229,Products!$A$2:$F$61,4,FALSE()),"")</f>
        <v>2617</v>
      </c>
      <c r="O229" t="str">
        <f>IFERROR(VLOOKUP(C229,Customers!$A$2:$F$301,5,FALSE()),"")</f>
        <v>SMB</v>
      </c>
      <c r="P229">
        <f>IFERROR(VLOOKUP(C229,Customers!$A$2:$F$301,3,FALSE()),"")</f>
        <v>30</v>
      </c>
      <c r="Q229">
        <f t="shared" si="9"/>
        <v>0.56957236842105263</v>
      </c>
      <c r="R229">
        <f>IF(AND(COUNTIF($A$2:$A$2027,A229)&gt;1,COUNTIF($A$2:A229,A229)=1),1,0)</f>
        <v>0</v>
      </c>
      <c r="S229" t="b">
        <f>IFERROR(VLOOKUP(D229,Products!$A$2:$F$61,6,FALSE()),"")</f>
        <v>1</v>
      </c>
      <c r="T229" t="str">
        <f>IF(COUNTIF(Customers!$A$2:$A$301,C229)=0,"Missing","OK")</f>
        <v>OK</v>
      </c>
      <c r="U229" t="str">
        <f t="shared" si="10"/>
        <v>Pune</v>
      </c>
      <c r="V229">
        <f t="shared" si="11"/>
        <v>0</v>
      </c>
    </row>
    <row r="230" spans="1:22" ht="15" customHeight="1" x14ac:dyDescent="0.35">
      <c r="A230" s="3" t="s">
        <v>511</v>
      </c>
      <c r="B230" s="4">
        <v>45585</v>
      </c>
      <c r="C230" s="3" t="s">
        <v>478</v>
      </c>
      <c r="D230" s="3" t="s">
        <v>70</v>
      </c>
      <c r="E230" s="3" t="s">
        <v>37</v>
      </c>
      <c r="F230" s="5">
        <v>5</v>
      </c>
      <c r="G230" s="5">
        <v>2270</v>
      </c>
      <c r="H230" s="5">
        <v>0.4</v>
      </c>
      <c r="I230" s="5">
        <v>11304.6</v>
      </c>
      <c r="J230" s="3" t="s">
        <v>79</v>
      </c>
      <c r="K230" s="3" t="s">
        <v>72</v>
      </c>
      <c r="L230" t="str">
        <f>IFERROR(VLOOKUP(D230,Products!$A$2:$F$61,3,FALSE()),"")</f>
        <v>Grocery</v>
      </c>
      <c r="M230" t="str">
        <f>IFERROR(VLOOKUP(E230,Sales_Reps!$A$2:$C$31,3,FALSE()),"")</f>
        <v>South</v>
      </c>
      <c r="N230">
        <f>IFERROR(VLOOKUP(D230,Products!$A$2:$F$61,4,FALSE()),"")</f>
        <v>1203</v>
      </c>
      <c r="O230" t="str">
        <f>IFERROR(VLOOKUP(C230,Customers!$A$2:$F$301,5,FALSE()),"")</f>
        <v>Retail</v>
      </c>
      <c r="P230">
        <f>IFERROR(VLOOKUP(C230,Customers!$A$2:$F$301,3,FALSE()),"")</f>
        <v>38</v>
      </c>
      <c r="Q230">
        <f t="shared" si="9"/>
        <v>0.47004405286343615</v>
      </c>
      <c r="R230">
        <f>IF(AND(COUNTIF($A$2:$A$2027,A230)&gt;1,COUNTIF($A$2:A230,A230)=1),1,0)</f>
        <v>0</v>
      </c>
      <c r="S230" t="b">
        <f>IFERROR(VLOOKUP(D230,Products!$A$2:$F$61,6,FALSE()),"")</f>
        <v>1</v>
      </c>
      <c r="T230" t="str">
        <f>IF(COUNTIF(Customers!$A$2:$A$301,C230)=0,"Missing","OK")</f>
        <v>OK</v>
      </c>
      <c r="U230" t="str">
        <f t="shared" si="10"/>
        <v>Hyderabad</v>
      </c>
      <c r="V230">
        <f t="shared" si="11"/>
        <v>0</v>
      </c>
    </row>
    <row r="231" spans="1:22" ht="15" customHeight="1" x14ac:dyDescent="0.35">
      <c r="A231" s="3" t="s">
        <v>512</v>
      </c>
      <c r="B231" s="4">
        <v>45373</v>
      </c>
      <c r="C231" s="3" t="s">
        <v>310</v>
      </c>
      <c r="D231" s="3" t="s">
        <v>123</v>
      </c>
      <c r="E231" s="3" t="s">
        <v>285</v>
      </c>
      <c r="F231" s="5">
        <v>10</v>
      </c>
      <c r="G231" s="5">
        <v>4880</v>
      </c>
      <c r="H231" s="5">
        <v>24.5</v>
      </c>
      <c r="I231" s="5">
        <v>36844</v>
      </c>
      <c r="J231" s="3" t="s">
        <v>83</v>
      </c>
      <c r="K231" s="3" t="s">
        <v>51</v>
      </c>
      <c r="L231" t="str">
        <f>IFERROR(VLOOKUP(D231,Products!$A$2:$F$61,3,FALSE()),"")</f>
        <v>Beauty</v>
      </c>
      <c r="M231" t="str">
        <f>IFERROR(VLOOKUP(E231,Sales_Reps!$A$2:$C$31,3,FALSE()),"")</f>
        <v>South</v>
      </c>
      <c r="N231">
        <f>IFERROR(VLOOKUP(D231,Products!$A$2:$F$61,4,FALSE()),"")</f>
        <v>2768</v>
      </c>
      <c r="O231" t="str">
        <f>IFERROR(VLOOKUP(C231,Customers!$A$2:$F$301,5,FALSE()),"")</f>
        <v>Retail</v>
      </c>
      <c r="P231">
        <f>IFERROR(VLOOKUP(C231,Customers!$A$2:$F$301,3,FALSE()),"")</f>
        <v>42</v>
      </c>
      <c r="Q231">
        <f t="shared" si="9"/>
        <v>0.43278688524590164</v>
      </c>
      <c r="R231">
        <f>IF(AND(COUNTIF($A$2:$A$2027,A231)&gt;1,COUNTIF($A$2:A231,A231)=1),1,0)</f>
        <v>0</v>
      </c>
      <c r="S231" t="b">
        <f>IFERROR(VLOOKUP(D231,Products!$A$2:$F$61,6,FALSE()),"")</f>
        <v>1</v>
      </c>
      <c r="T231" t="str">
        <f>IF(COUNTIF(Customers!$A$2:$A$301,C231)=0,"Missing","OK")</f>
        <v>OK</v>
      </c>
      <c r="U231" t="str">
        <f t="shared" si="10"/>
        <v>Mumbai</v>
      </c>
      <c r="V231">
        <f t="shared" si="11"/>
        <v>0</v>
      </c>
    </row>
    <row r="232" spans="1:22" ht="15" customHeight="1" x14ac:dyDescent="0.35">
      <c r="A232" s="3" t="s">
        <v>513</v>
      </c>
      <c r="B232" s="4">
        <v>45293</v>
      </c>
      <c r="C232" s="3" t="s">
        <v>117</v>
      </c>
      <c r="D232" s="3" t="s">
        <v>306</v>
      </c>
      <c r="E232" s="3" t="s">
        <v>236</v>
      </c>
      <c r="F232" s="5">
        <v>2</v>
      </c>
      <c r="G232" s="5">
        <v>2380</v>
      </c>
      <c r="H232" s="5">
        <v>2.2999999999999998</v>
      </c>
      <c r="I232" s="5">
        <v>4650.5200000000004</v>
      </c>
      <c r="J232" s="3" t="s">
        <v>26</v>
      </c>
      <c r="K232" s="3" t="s">
        <v>33</v>
      </c>
      <c r="L232" t="str">
        <f>IFERROR(VLOOKUP(D232,Products!$A$2:$F$61,3,FALSE()),"")</f>
        <v>Grocery</v>
      </c>
      <c r="M232" t="str">
        <f>IFERROR(VLOOKUP(E232,Sales_Reps!$A$2:$C$31,3,FALSE()),"")</f>
        <v>North</v>
      </c>
      <c r="N232">
        <f>IFERROR(VLOOKUP(D232,Products!$A$2:$F$61,4,FALSE()),"")</f>
        <v>1182</v>
      </c>
      <c r="O232" t="str">
        <f>IFERROR(VLOOKUP(C232,Customers!$A$2:$F$301,5,FALSE()),"")</f>
        <v>Corporate</v>
      </c>
      <c r="P232">
        <f>IFERROR(VLOOKUP(C232,Customers!$A$2:$F$301,3,FALSE()),"")</f>
        <v>55</v>
      </c>
      <c r="Q232">
        <f t="shared" si="9"/>
        <v>0.50336134453781511</v>
      </c>
      <c r="R232">
        <f>IF(AND(COUNTIF($A$2:$A$2027,A232)&gt;1,COUNTIF($A$2:A232,A232)=1),1,0)</f>
        <v>0</v>
      </c>
      <c r="S232" t="b">
        <f>IFERROR(VLOOKUP(D232,Products!$A$2:$F$61,6,FALSE()),"")</f>
        <v>1</v>
      </c>
      <c r="T232" t="str">
        <f>IF(COUNTIF(Customers!$A$2:$A$301,C232)=0,"Missing","OK")</f>
        <v>OK</v>
      </c>
      <c r="U232" t="str">
        <f t="shared" si="10"/>
        <v>Chennai</v>
      </c>
      <c r="V232">
        <f t="shared" si="11"/>
        <v>0</v>
      </c>
    </row>
    <row r="233" spans="1:22" ht="15" customHeight="1" x14ac:dyDescent="0.35">
      <c r="A233" s="3" t="s">
        <v>514</v>
      </c>
      <c r="B233" s="4">
        <v>45498</v>
      </c>
      <c r="C233" s="3" t="s">
        <v>228</v>
      </c>
      <c r="D233" s="3" t="s">
        <v>121</v>
      </c>
      <c r="E233" s="3" t="s">
        <v>50</v>
      </c>
      <c r="F233" s="5">
        <v>1</v>
      </c>
      <c r="G233" s="5">
        <v>1010</v>
      </c>
      <c r="H233" s="5">
        <v>29.9</v>
      </c>
      <c r="I233" s="5">
        <v>708.01</v>
      </c>
      <c r="J233" s="3" t="s">
        <v>26</v>
      </c>
      <c r="K233" s="3" t="s">
        <v>33</v>
      </c>
      <c r="L233" t="str">
        <f>IFERROR(VLOOKUP(D233,Products!$A$2:$F$61,3,FALSE()),"")</f>
        <v>Sports</v>
      </c>
      <c r="M233" t="str">
        <f>IFERROR(VLOOKUP(E233,Sales_Reps!$A$2:$C$31,3,FALSE()),"")</f>
        <v>West</v>
      </c>
      <c r="N233">
        <f>IFERROR(VLOOKUP(D233,Products!$A$2:$F$61,4,FALSE()),"")</f>
        <v>516</v>
      </c>
      <c r="O233" t="str">
        <f>IFERROR(VLOOKUP(C233,Customers!$A$2:$F$301,5,FALSE()),"")</f>
        <v>Retail</v>
      </c>
      <c r="P233">
        <f>IFERROR(VLOOKUP(C233,Customers!$A$2:$F$301,3,FALSE()),"")</f>
        <v>38</v>
      </c>
      <c r="Q233">
        <f t="shared" si="9"/>
        <v>0.4891089108910891</v>
      </c>
      <c r="R233">
        <f>IF(AND(COUNTIF($A$2:$A$2027,A233)&gt;1,COUNTIF($A$2:A233,A233)=1),1,0)</f>
        <v>0</v>
      </c>
      <c r="S233" t="b">
        <f>IFERROR(VLOOKUP(D233,Products!$A$2:$F$61,6,FALSE()),"")</f>
        <v>1</v>
      </c>
      <c r="T233" t="str">
        <f>IF(COUNTIF(Customers!$A$2:$A$301,C233)=0,"Missing","OK")</f>
        <v>OK</v>
      </c>
      <c r="U233" t="str">
        <f t="shared" si="10"/>
        <v>Chennai</v>
      </c>
      <c r="V233">
        <f t="shared" si="11"/>
        <v>0</v>
      </c>
    </row>
    <row r="234" spans="1:22" ht="15" customHeight="1" x14ac:dyDescent="0.35">
      <c r="A234" s="3" t="s">
        <v>515</v>
      </c>
      <c r="B234" s="4">
        <v>45643</v>
      </c>
      <c r="C234" s="3" t="s">
        <v>251</v>
      </c>
      <c r="D234" s="3" t="s">
        <v>454</v>
      </c>
      <c r="E234" s="3" t="s">
        <v>168</v>
      </c>
      <c r="F234" s="5">
        <v>7</v>
      </c>
      <c r="G234" s="5">
        <v>6940</v>
      </c>
      <c r="H234" s="5">
        <v>25.8</v>
      </c>
      <c r="I234" s="5">
        <v>36046.36</v>
      </c>
      <c r="J234" s="3" t="s">
        <v>26</v>
      </c>
      <c r="K234" s="3" t="s">
        <v>72</v>
      </c>
      <c r="L234" t="str">
        <f>IFERROR(VLOOKUP(D234,Products!$A$2:$F$61,3,FALSE()),"")</f>
        <v>Sports</v>
      </c>
      <c r="M234" t="str">
        <f>IFERROR(VLOOKUP(E234,Sales_Reps!$A$2:$C$31,3,FALSE()),"")</f>
        <v>West</v>
      </c>
      <c r="N234">
        <f>IFERROR(VLOOKUP(D234,Products!$A$2:$F$61,4,FALSE()),"")</f>
        <v>2827</v>
      </c>
      <c r="O234" t="str">
        <f>IFERROR(VLOOKUP(C234,Customers!$A$2:$F$301,5,FALSE()),"")</f>
        <v>Retail</v>
      </c>
      <c r="P234">
        <f>IFERROR(VLOOKUP(C234,Customers!$A$2:$F$301,3,FALSE()),"")</f>
        <v>46</v>
      </c>
      <c r="Q234">
        <f t="shared" si="9"/>
        <v>0.5926512968299712</v>
      </c>
      <c r="R234">
        <f>IF(AND(COUNTIF($A$2:$A$2027,A234)&gt;1,COUNTIF($A$2:A234,A234)=1),1,0)</f>
        <v>0</v>
      </c>
      <c r="S234" t="b">
        <f>IFERROR(VLOOKUP(D234,Products!$A$2:$F$61,6,FALSE()),"")</f>
        <v>1</v>
      </c>
      <c r="T234" t="str">
        <f>IF(COUNTIF(Customers!$A$2:$A$301,C234)=0,"Missing","OK")</f>
        <v>OK</v>
      </c>
      <c r="U234" t="str">
        <f t="shared" si="10"/>
        <v>Hyderabad</v>
      </c>
      <c r="V234">
        <f t="shared" si="11"/>
        <v>0</v>
      </c>
    </row>
    <row r="235" spans="1:22" ht="15" customHeight="1" x14ac:dyDescent="0.35">
      <c r="A235" s="3" t="s">
        <v>516</v>
      </c>
      <c r="B235" s="4">
        <v>45542</v>
      </c>
      <c r="C235" s="3" t="s">
        <v>492</v>
      </c>
      <c r="D235" s="3" t="s">
        <v>325</v>
      </c>
      <c r="E235" s="3" t="s">
        <v>55</v>
      </c>
      <c r="F235" s="5">
        <v>6</v>
      </c>
      <c r="G235" s="5">
        <v>2290</v>
      </c>
      <c r="H235" s="5">
        <v>25.9</v>
      </c>
      <c r="I235" s="5">
        <v>10181.34</v>
      </c>
      <c r="J235" s="3" t="s">
        <v>32</v>
      </c>
      <c r="K235" s="3" t="s">
        <v>51</v>
      </c>
      <c r="L235" t="str">
        <f>IFERROR(VLOOKUP(D235,Products!$A$2:$F$61,3,FALSE()),"")</f>
        <v>Beauty</v>
      </c>
      <c r="M235" t="str">
        <f>IFERROR(VLOOKUP(E235,Sales_Reps!$A$2:$C$31,3,FALSE()),"")</f>
        <v>West</v>
      </c>
      <c r="N235">
        <f>IFERROR(VLOOKUP(D235,Products!$A$2:$F$61,4,FALSE()),"")</f>
        <v>1219</v>
      </c>
      <c r="O235" t="str">
        <f>IFERROR(VLOOKUP(C235,Customers!$A$2:$F$301,5,FALSE()),"")</f>
        <v>Retail</v>
      </c>
      <c r="P235">
        <f>IFERROR(VLOOKUP(C235,Customers!$A$2:$F$301,3,FALSE()),"")</f>
        <v>65</v>
      </c>
      <c r="Q235">
        <f t="shared" si="9"/>
        <v>0.46768558951965067</v>
      </c>
      <c r="R235">
        <f>IF(AND(COUNTIF($A$2:$A$2027,A235)&gt;1,COUNTIF($A$2:A235,A235)=1),1,0)</f>
        <v>0</v>
      </c>
      <c r="S235" t="b">
        <f>IFERROR(VLOOKUP(D235,Products!$A$2:$F$61,6,FALSE()),"")</f>
        <v>1</v>
      </c>
      <c r="T235" t="str">
        <f>IF(COUNTIF(Customers!$A$2:$A$301,C235)=0,"Missing","OK")</f>
        <v>OK</v>
      </c>
      <c r="U235" t="str">
        <f t="shared" si="10"/>
        <v>Mumbai</v>
      </c>
      <c r="V235">
        <f t="shared" si="11"/>
        <v>0</v>
      </c>
    </row>
    <row r="236" spans="1:22" ht="15" customHeight="1" x14ac:dyDescent="0.35">
      <c r="A236" s="3" t="s">
        <v>517</v>
      </c>
      <c r="B236" s="4">
        <v>45508</v>
      </c>
      <c r="C236" s="3" t="s">
        <v>76</v>
      </c>
      <c r="D236" s="3" t="s">
        <v>49</v>
      </c>
      <c r="E236" s="3" t="s">
        <v>37</v>
      </c>
      <c r="F236" s="5">
        <v>2</v>
      </c>
      <c r="G236" s="5">
        <v>370</v>
      </c>
      <c r="H236" s="5">
        <v>3.9</v>
      </c>
      <c r="I236" s="5">
        <v>711.14</v>
      </c>
      <c r="J236" s="3" t="s">
        <v>26</v>
      </c>
      <c r="K236" s="3" t="s">
        <v>38</v>
      </c>
      <c r="L236" t="str">
        <f>IFERROR(VLOOKUP(D236,Products!$A$2:$F$61,3,FALSE()),"")</f>
        <v>Home</v>
      </c>
      <c r="M236" t="str">
        <f>IFERROR(VLOOKUP(E236,Sales_Reps!$A$2:$C$31,3,FALSE()),"")</f>
        <v>South</v>
      </c>
      <c r="N236">
        <f>IFERROR(VLOOKUP(D236,Products!$A$2:$F$61,4,FALSE()),"")</f>
        <v>288</v>
      </c>
      <c r="O236" t="str">
        <f>IFERROR(VLOOKUP(C236,Customers!$A$2:$F$301,5,FALSE()),"")</f>
        <v>SMB</v>
      </c>
      <c r="P236">
        <f>IFERROR(VLOOKUP(C236,Customers!$A$2:$F$301,3,FALSE()),"")</f>
        <v>27</v>
      </c>
      <c r="Q236">
        <f t="shared" si="9"/>
        <v>0.22162162162162163</v>
      </c>
      <c r="R236">
        <f>IF(AND(COUNTIF($A$2:$A$2027,A236)&gt;1,COUNTIF($A$2:A236,A236)=1),1,0)</f>
        <v>0</v>
      </c>
      <c r="S236" t="b">
        <f>IFERROR(VLOOKUP(D236,Products!$A$2:$F$61,6,FALSE()),"")</f>
        <v>1</v>
      </c>
      <c r="T236" t="str">
        <f>IF(COUNTIF(Customers!$A$2:$A$301,C236)=0,"Missing","OK")</f>
        <v>OK</v>
      </c>
      <c r="U236" t="str">
        <f t="shared" si="10"/>
        <v>Delhi</v>
      </c>
      <c r="V236">
        <f t="shared" si="11"/>
        <v>0</v>
      </c>
    </row>
    <row r="237" spans="1:22" ht="15" customHeight="1" x14ac:dyDescent="0.35">
      <c r="A237" s="3" t="s">
        <v>518</v>
      </c>
      <c r="B237" s="4">
        <v>45353</v>
      </c>
      <c r="C237" s="3" t="s">
        <v>519</v>
      </c>
      <c r="D237" s="3" t="s">
        <v>184</v>
      </c>
      <c r="E237" s="3" t="s">
        <v>131</v>
      </c>
      <c r="F237" s="5">
        <v>1</v>
      </c>
      <c r="G237" s="5">
        <v>2270</v>
      </c>
      <c r="H237" s="5">
        <v>25.3</v>
      </c>
      <c r="I237" s="5">
        <v>1695.69</v>
      </c>
      <c r="J237" s="3" t="s">
        <v>26</v>
      </c>
      <c r="K237" s="3" t="s">
        <v>27</v>
      </c>
      <c r="L237" t="str">
        <f>IFERROR(VLOOKUP(D237,Products!$A$2:$F$61,3,FALSE()),"")</f>
        <v>Grocery</v>
      </c>
      <c r="M237" t="str">
        <f>IFERROR(VLOOKUP(E237,Sales_Reps!$A$2:$C$31,3,FALSE()),"")</f>
        <v>East</v>
      </c>
      <c r="N237">
        <f>IFERROR(VLOOKUP(D237,Products!$A$2:$F$61,4,FALSE()),"")</f>
        <v>1412</v>
      </c>
      <c r="O237" t="str">
        <f>IFERROR(VLOOKUP(C237,Customers!$A$2:$F$301,5,FALSE()),"")</f>
        <v>Corporate</v>
      </c>
      <c r="P237">
        <f>IFERROR(VLOOKUP(C237,Customers!$A$2:$F$301,3,FALSE()),"")</f>
        <v>40</v>
      </c>
      <c r="Q237">
        <f t="shared" si="9"/>
        <v>0.37797356828193834</v>
      </c>
      <c r="R237">
        <f>IF(AND(COUNTIF($A$2:$A$2027,A237)&gt;1,COUNTIF($A$2:A237,A237)=1),1,0)</f>
        <v>0</v>
      </c>
      <c r="S237" t="b">
        <f>IFERROR(VLOOKUP(D237,Products!$A$2:$F$61,6,FALSE()),"")</f>
        <v>1</v>
      </c>
      <c r="T237" t="str">
        <f>IF(COUNTIF(Customers!$A$2:$A$301,C237)=0,"Missing","OK")</f>
        <v>OK</v>
      </c>
      <c r="U237" t="str">
        <f t="shared" si="10"/>
        <v>Pune</v>
      </c>
      <c r="V237">
        <f t="shared" si="11"/>
        <v>0</v>
      </c>
    </row>
    <row r="238" spans="1:22" ht="15" customHeight="1" x14ac:dyDescent="0.35">
      <c r="A238" s="3" t="s">
        <v>520</v>
      </c>
      <c r="B238" s="4">
        <v>45344</v>
      </c>
      <c r="C238" s="3" t="s">
        <v>521</v>
      </c>
      <c r="D238" s="3" t="s">
        <v>180</v>
      </c>
      <c r="E238" s="3" t="s">
        <v>236</v>
      </c>
      <c r="F238" s="5">
        <v>4</v>
      </c>
      <c r="G238" s="5">
        <v>6080</v>
      </c>
      <c r="H238" s="5">
        <v>28.8</v>
      </c>
      <c r="I238" s="5">
        <v>17315.84</v>
      </c>
      <c r="J238" s="3" t="s">
        <v>32</v>
      </c>
      <c r="K238" s="3" t="s">
        <v>33</v>
      </c>
      <c r="L238" t="str">
        <f>IFERROR(VLOOKUP(D238,Products!$A$2:$F$61,3,FALSE()),"")</f>
        <v>Beauty</v>
      </c>
      <c r="M238" t="str">
        <f>IFERROR(VLOOKUP(E238,Sales_Reps!$A$2:$C$31,3,FALSE()),"")</f>
        <v>North</v>
      </c>
      <c r="N238">
        <f>IFERROR(VLOOKUP(D238,Products!$A$2:$F$61,4,FALSE()),"")</f>
        <v>2617</v>
      </c>
      <c r="O238" t="str">
        <f>IFERROR(VLOOKUP(C238,Customers!$A$2:$F$301,5,FALSE()),"")</f>
        <v>SMB</v>
      </c>
      <c r="P238">
        <f>IFERROR(VLOOKUP(C238,Customers!$A$2:$F$301,3,FALSE()),"")</f>
        <v>59</v>
      </c>
      <c r="Q238">
        <f t="shared" si="9"/>
        <v>0.56957236842105263</v>
      </c>
      <c r="R238">
        <f>IF(AND(COUNTIF($A$2:$A$2027,A238)&gt;1,COUNTIF($A$2:A238,A238)=1),1,0)</f>
        <v>0</v>
      </c>
      <c r="S238" t="b">
        <f>IFERROR(VLOOKUP(D238,Products!$A$2:$F$61,6,FALSE()),"")</f>
        <v>1</v>
      </c>
      <c r="T238" t="str">
        <f>IF(COUNTIF(Customers!$A$2:$A$301,C238)=0,"Missing","OK")</f>
        <v>OK</v>
      </c>
      <c r="U238" t="str">
        <f t="shared" si="10"/>
        <v>Chennai</v>
      </c>
      <c r="V238">
        <f t="shared" si="11"/>
        <v>0</v>
      </c>
    </row>
    <row r="239" spans="1:22" ht="15" customHeight="1" x14ac:dyDescent="0.35">
      <c r="A239" s="3" t="s">
        <v>522</v>
      </c>
      <c r="B239" s="4">
        <v>45389</v>
      </c>
      <c r="C239" s="3" t="s">
        <v>186</v>
      </c>
      <c r="D239" s="3" t="s">
        <v>303</v>
      </c>
      <c r="E239" s="3" t="s">
        <v>242</v>
      </c>
      <c r="F239" s="5">
        <v>2</v>
      </c>
      <c r="G239" s="5">
        <v>5330</v>
      </c>
      <c r="H239" s="5">
        <v>23.8</v>
      </c>
      <c r="I239" s="5">
        <v>8122.92</v>
      </c>
      <c r="J239" s="3" t="s">
        <v>32</v>
      </c>
      <c r="K239" s="3" t="s">
        <v>56</v>
      </c>
      <c r="L239" t="str">
        <f>IFERROR(VLOOKUP(D239,Products!$A$2:$F$61,3,FALSE()),"")</f>
        <v>Electronics</v>
      </c>
      <c r="M239" t="str">
        <f>IFERROR(VLOOKUP(E239,Sales_Reps!$A$2:$C$31,3,FALSE()),"")</f>
        <v>East</v>
      </c>
      <c r="N239">
        <f>IFERROR(VLOOKUP(D239,Products!$A$2:$F$61,4,FALSE()),"")</f>
        <v>2405</v>
      </c>
      <c r="O239" t="str">
        <f>IFERROR(VLOOKUP(C239,Customers!$A$2:$F$301,5,FALSE()),"")</f>
        <v>Retail</v>
      </c>
      <c r="P239">
        <f>IFERROR(VLOOKUP(C239,Customers!$A$2:$F$301,3,FALSE()),"")</f>
        <v>34</v>
      </c>
      <c r="Q239">
        <f t="shared" si="9"/>
        <v>0.54878048780487809</v>
      </c>
      <c r="R239">
        <f>IF(AND(COUNTIF($A$2:$A$2027,A239)&gt;1,COUNTIF($A$2:A239,A239)=1),1,0)</f>
        <v>0</v>
      </c>
      <c r="S239" t="b">
        <f>IFERROR(VLOOKUP(D239,Products!$A$2:$F$61,6,FALSE()),"")</f>
        <v>1</v>
      </c>
      <c r="T239" t="str">
        <f>IF(COUNTIF(Customers!$A$2:$A$301,C239)=0,"Missing","OK")</f>
        <v>OK</v>
      </c>
      <c r="U239" t="str">
        <f t="shared" si="10"/>
        <v>Bengaluru</v>
      </c>
      <c r="V239">
        <f t="shared" si="11"/>
        <v>0</v>
      </c>
    </row>
    <row r="240" spans="1:22" ht="15" customHeight="1" x14ac:dyDescent="0.35">
      <c r="A240" s="3" t="s">
        <v>523</v>
      </c>
      <c r="B240" s="4">
        <v>45344</v>
      </c>
      <c r="C240" s="3" t="s">
        <v>524</v>
      </c>
      <c r="D240" s="3" t="s">
        <v>203</v>
      </c>
      <c r="E240" s="3" t="s">
        <v>55</v>
      </c>
      <c r="F240" s="5">
        <v>2</v>
      </c>
      <c r="G240" s="5">
        <v>4070</v>
      </c>
      <c r="H240" s="5">
        <v>4.3</v>
      </c>
      <c r="I240" s="5">
        <v>7789.98</v>
      </c>
      <c r="J240" s="3" t="s">
        <v>26</v>
      </c>
      <c r="K240" s="3" t="s">
        <v>33</v>
      </c>
      <c r="L240" t="str">
        <f>IFERROR(VLOOKUP(D240,Products!$A$2:$F$61,3,FALSE()),"")</f>
        <v>Grocery</v>
      </c>
      <c r="M240" t="str">
        <f>IFERROR(VLOOKUP(E240,Sales_Reps!$A$2:$C$31,3,FALSE()),"")</f>
        <v>West</v>
      </c>
      <c r="N240">
        <f>IFERROR(VLOOKUP(D240,Products!$A$2:$F$61,4,FALSE()),"")</f>
        <v>2027</v>
      </c>
      <c r="O240" t="str">
        <f>IFERROR(VLOOKUP(C240,Customers!$A$2:$F$301,5,FALSE()),"")</f>
        <v>Retail</v>
      </c>
      <c r="P240">
        <f>IFERROR(VLOOKUP(C240,Customers!$A$2:$F$301,3,FALSE()),"")</f>
        <v>26</v>
      </c>
      <c r="Q240">
        <f t="shared" si="9"/>
        <v>0.50196560196560192</v>
      </c>
      <c r="R240">
        <f>IF(AND(COUNTIF($A$2:$A$2027,A240)&gt;1,COUNTIF($A$2:A240,A240)=1),1,0)</f>
        <v>0</v>
      </c>
      <c r="S240" t="b">
        <f>IFERROR(VLOOKUP(D240,Products!$A$2:$F$61,6,FALSE()),"")</f>
        <v>1</v>
      </c>
      <c r="T240" t="str">
        <f>IF(COUNTIF(Customers!$A$2:$A$301,C240)=0,"Missing","OK")</f>
        <v>OK</v>
      </c>
      <c r="U240" t="str">
        <f t="shared" si="10"/>
        <v>Chennai</v>
      </c>
      <c r="V240">
        <f t="shared" si="11"/>
        <v>0</v>
      </c>
    </row>
    <row r="241" spans="1:22" ht="15" customHeight="1" x14ac:dyDescent="0.35">
      <c r="A241" s="3" t="s">
        <v>525</v>
      </c>
      <c r="B241" s="4">
        <v>45480</v>
      </c>
      <c r="C241" s="3" t="s">
        <v>399</v>
      </c>
      <c r="D241" s="3" t="s">
        <v>221</v>
      </c>
      <c r="E241" s="3" t="s">
        <v>78</v>
      </c>
      <c r="F241" s="5">
        <v>6</v>
      </c>
      <c r="G241" s="5">
        <v>300</v>
      </c>
      <c r="H241" s="5">
        <v>17.399999999999999</v>
      </c>
      <c r="I241" s="5">
        <v>1486.8</v>
      </c>
      <c r="J241" s="3" t="s">
        <v>79</v>
      </c>
      <c r="K241" s="3" t="s">
        <v>27</v>
      </c>
      <c r="L241" t="str">
        <f>IFERROR(VLOOKUP(D241,Products!$A$2:$F$61,3,FALSE()),"")</f>
        <v>Electronics</v>
      </c>
      <c r="M241" t="str">
        <f>IFERROR(VLOOKUP(E241,Sales_Reps!$A$2:$C$31,3,FALSE()),"")</f>
        <v>North</v>
      </c>
      <c r="N241">
        <f>IFERROR(VLOOKUP(D241,Products!$A$2:$F$61,4,FALSE()),"")</f>
        <v>128</v>
      </c>
      <c r="O241" t="str">
        <f>IFERROR(VLOOKUP(C241,Customers!$A$2:$F$301,5,FALSE()),"")</f>
        <v>Corporate</v>
      </c>
      <c r="P241">
        <f>IFERROR(VLOOKUP(C241,Customers!$A$2:$F$301,3,FALSE()),"")</f>
        <v>37</v>
      </c>
      <c r="Q241">
        <f t="shared" si="9"/>
        <v>0.57333333333333336</v>
      </c>
      <c r="R241">
        <f>IF(AND(COUNTIF($A$2:$A$2027,A241)&gt;1,COUNTIF($A$2:A241,A241)=1),1,0)</f>
        <v>0</v>
      </c>
      <c r="S241" t="b">
        <f>IFERROR(VLOOKUP(D241,Products!$A$2:$F$61,6,FALSE()),"")</f>
        <v>1</v>
      </c>
      <c r="T241" t="str">
        <f>IF(COUNTIF(Customers!$A$2:$A$301,C241)=0,"Missing","OK")</f>
        <v>OK</v>
      </c>
      <c r="U241" t="str">
        <f t="shared" si="10"/>
        <v>Pune</v>
      </c>
      <c r="V241">
        <f t="shared" si="11"/>
        <v>0</v>
      </c>
    </row>
    <row r="242" spans="1:22" ht="15" customHeight="1" x14ac:dyDescent="0.35">
      <c r="A242" s="3" t="s">
        <v>526</v>
      </c>
      <c r="B242" s="4">
        <v>45488</v>
      </c>
      <c r="C242" s="3" t="s">
        <v>65</v>
      </c>
      <c r="D242" s="3" t="s">
        <v>123</v>
      </c>
      <c r="E242" s="3" t="s">
        <v>37</v>
      </c>
      <c r="F242" s="5">
        <v>1</v>
      </c>
      <c r="G242" s="5">
        <v>4880</v>
      </c>
      <c r="H242" s="5">
        <v>17.5</v>
      </c>
      <c r="I242" s="5">
        <v>4026</v>
      </c>
      <c r="J242" s="3" t="s">
        <v>26</v>
      </c>
      <c r="K242" s="3" t="s">
        <v>27</v>
      </c>
      <c r="L242" t="str">
        <f>IFERROR(VLOOKUP(D242,Products!$A$2:$F$61,3,FALSE()),"")</f>
        <v>Beauty</v>
      </c>
      <c r="M242" t="str">
        <f>IFERROR(VLOOKUP(E242,Sales_Reps!$A$2:$C$31,3,FALSE()),"")</f>
        <v>South</v>
      </c>
      <c r="N242">
        <f>IFERROR(VLOOKUP(D242,Products!$A$2:$F$61,4,FALSE()),"")</f>
        <v>2768</v>
      </c>
      <c r="O242" t="str">
        <f>IFERROR(VLOOKUP(C242,Customers!$A$2:$F$301,5,FALSE()),"")</f>
        <v>Retail</v>
      </c>
      <c r="P242">
        <f>IFERROR(VLOOKUP(C242,Customers!$A$2:$F$301,3,FALSE()),"")</f>
        <v>56</v>
      </c>
      <c r="Q242">
        <f t="shared" si="9"/>
        <v>0.43278688524590164</v>
      </c>
      <c r="R242">
        <f>IF(AND(COUNTIF($A$2:$A$2027,A242)&gt;1,COUNTIF($A$2:A242,A242)=1),1,0)</f>
        <v>0</v>
      </c>
      <c r="S242" t="b">
        <f>IFERROR(VLOOKUP(D242,Products!$A$2:$F$61,6,FALSE()),"")</f>
        <v>1</v>
      </c>
      <c r="T242" t="str">
        <f>IF(COUNTIF(Customers!$A$2:$A$301,C242)=0,"Missing","OK")</f>
        <v>OK</v>
      </c>
      <c r="U242" t="str">
        <f t="shared" si="10"/>
        <v>Pune</v>
      </c>
      <c r="V242">
        <f t="shared" si="11"/>
        <v>0</v>
      </c>
    </row>
    <row r="243" spans="1:22" ht="15" customHeight="1" x14ac:dyDescent="0.35">
      <c r="A243" s="3" t="s">
        <v>527</v>
      </c>
      <c r="B243" s="4">
        <v>45326</v>
      </c>
      <c r="C243" s="3" t="s">
        <v>528</v>
      </c>
      <c r="D243" s="3" t="s">
        <v>134</v>
      </c>
      <c r="E243" s="3" t="s">
        <v>282</v>
      </c>
      <c r="F243" s="5">
        <v>3</v>
      </c>
      <c r="G243" s="5">
        <v>2860</v>
      </c>
      <c r="H243" s="5">
        <v>20.100000000000001</v>
      </c>
      <c r="I243" s="5">
        <v>6855.42</v>
      </c>
      <c r="J243" s="3" t="s">
        <v>26</v>
      </c>
      <c r="K243" s="3" t="s">
        <v>33</v>
      </c>
      <c r="L243" t="str">
        <f>IFERROR(VLOOKUP(D243,Products!$A$2:$F$61,3,FALSE()),"")</f>
        <v>Sports</v>
      </c>
      <c r="M243" t="str">
        <f>IFERROR(VLOOKUP(E243,Sales_Reps!$A$2:$C$31,3,FALSE()),"")</f>
        <v>West</v>
      </c>
      <c r="N243">
        <f>IFERROR(VLOOKUP(D243,Products!$A$2:$F$61,4,FALSE()),"")</f>
        <v>2028</v>
      </c>
      <c r="O243" t="str">
        <f>IFERROR(VLOOKUP(C243,Customers!$A$2:$F$301,5,FALSE()),"")</f>
        <v>Corporate</v>
      </c>
      <c r="P243">
        <f>IFERROR(VLOOKUP(C243,Customers!$A$2:$F$301,3,FALSE()),"")</f>
        <v>30</v>
      </c>
      <c r="Q243">
        <f t="shared" si="9"/>
        <v>0.29090909090909089</v>
      </c>
      <c r="R243">
        <f>IF(AND(COUNTIF($A$2:$A$2027,A243)&gt;1,COUNTIF($A$2:A243,A243)=1),1,0)</f>
        <v>0</v>
      </c>
      <c r="S243" t="b">
        <f>IFERROR(VLOOKUP(D243,Products!$A$2:$F$61,6,FALSE()),"")</f>
        <v>1</v>
      </c>
      <c r="T243" t="str">
        <f>IF(COUNTIF(Customers!$A$2:$A$301,C243)=0,"Missing","OK")</f>
        <v>OK</v>
      </c>
      <c r="U243" t="str">
        <f t="shared" si="10"/>
        <v>Chennai</v>
      </c>
      <c r="V243">
        <f t="shared" si="11"/>
        <v>0</v>
      </c>
    </row>
    <row r="244" spans="1:22" ht="15" customHeight="1" x14ac:dyDescent="0.35">
      <c r="A244" s="3" t="s">
        <v>529</v>
      </c>
      <c r="B244" s="4">
        <v>45627</v>
      </c>
      <c r="C244" s="3" t="s">
        <v>247</v>
      </c>
      <c r="D244" s="3" t="s">
        <v>198</v>
      </c>
      <c r="E244" s="3" t="s">
        <v>236</v>
      </c>
      <c r="F244" s="5">
        <v>3</v>
      </c>
      <c r="G244" s="5">
        <v>1540</v>
      </c>
      <c r="H244" s="5">
        <v>20.9</v>
      </c>
      <c r="I244" s="5">
        <v>3654.42</v>
      </c>
      <c r="J244" s="3" t="s">
        <v>26</v>
      </c>
      <c r="K244" s="3" t="s">
        <v>27</v>
      </c>
      <c r="L244" t="str">
        <f>IFERROR(VLOOKUP(D244,Products!$A$2:$F$61,3,FALSE()),"")</f>
        <v>Beauty</v>
      </c>
      <c r="M244" t="str">
        <f>IFERROR(VLOOKUP(E244,Sales_Reps!$A$2:$C$31,3,FALSE()),"")</f>
        <v>North</v>
      </c>
      <c r="N244">
        <f>IFERROR(VLOOKUP(D244,Products!$A$2:$F$61,4,FALSE()),"")</f>
        <v>647</v>
      </c>
      <c r="O244" t="str">
        <f>IFERROR(VLOOKUP(C244,Customers!$A$2:$F$301,5,FALSE()),"")</f>
        <v>SMB</v>
      </c>
      <c r="P244">
        <f>IFERROR(VLOOKUP(C244,Customers!$A$2:$F$301,3,FALSE()),"")</f>
        <v>54</v>
      </c>
      <c r="Q244">
        <f t="shared" si="9"/>
        <v>0.57987012987012987</v>
      </c>
      <c r="R244">
        <f>IF(AND(COUNTIF($A$2:$A$2027,A244)&gt;1,COUNTIF($A$2:A244,A244)=1),1,0)</f>
        <v>0</v>
      </c>
      <c r="S244" t="b">
        <f>IFERROR(VLOOKUP(D244,Products!$A$2:$F$61,6,FALSE()),"")</f>
        <v>0</v>
      </c>
      <c r="T244" t="str">
        <f>IF(COUNTIF(Customers!$A$2:$A$301,C244)=0,"Missing","OK")</f>
        <v>OK</v>
      </c>
      <c r="U244" t="str">
        <f t="shared" si="10"/>
        <v>Pune</v>
      </c>
      <c r="V244">
        <f t="shared" si="11"/>
        <v>0</v>
      </c>
    </row>
    <row r="245" spans="1:22" ht="15" customHeight="1" x14ac:dyDescent="0.35">
      <c r="A245" s="3" t="s">
        <v>530</v>
      </c>
      <c r="B245" s="4">
        <v>45576</v>
      </c>
      <c r="C245" s="3" t="s">
        <v>531</v>
      </c>
      <c r="D245" s="3" t="s">
        <v>74</v>
      </c>
      <c r="E245" s="3" t="s">
        <v>71</v>
      </c>
      <c r="F245" s="5">
        <v>10</v>
      </c>
      <c r="G245" s="5">
        <v>2640</v>
      </c>
      <c r="H245" s="5">
        <v>11.2</v>
      </c>
      <c r="I245" s="5">
        <v>23443.200000000001</v>
      </c>
      <c r="J245" s="3" t="s">
        <v>32</v>
      </c>
      <c r="K245" s="3" t="s">
        <v>72</v>
      </c>
      <c r="L245" t="str">
        <f>IFERROR(VLOOKUP(D245,Products!$A$2:$F$61,3,FALSE()),"")</f>
        <v>Electronics</v>
      </c>
      <c r="M245" t="str">
        <f>IFERROR(VLOOKUP(E245,Sales_Reps!$A$2:$C$31,3,FALSE()),"")</f>
        <v>South</v>
      </c>
      <c r="N245">
        <f>IFERROR(VLOOKUP(D245,Products!$A$2:$F$61,4,FALSE()),"")</f>
        <v>1149</v>
      </c>
      <c r="O245" t="str">
        <f>IFERROR(VLOOKUP(C245,Customers!$A$2:$F$301,5,FALSE()),"")</f>
        <v>Retail</v>
      </c>
      <c r="P245">
        <f>IFERROR(VLOOKUP(C245,Customers!$A$2:$F$301,3,FALSE()),"")</f>
        <v>22</v>
      </c>
      <c r="Q245">
        <f t="shared" si="9"/>
        <v>0.56477272727272732</v>
      </c>
      <c r="R245">
        <f>IF(AND(COUNTIF($A$2:$A$2027,A245)&gt;1,COUNTIF($A$2:A245,A245)=1),1,0)</f>
        <v>0</v>
      </c>
      <c r="S245" t="b">
        <f>IFERROR(VLOOKUP(D245,Products!$A$2:$F$61,6,FALSE()),"")</f>
        <v>1</v>
      </c>
      <c r="T245" t="str">
        <f>IF(COUNTIF(Customers!$A$2:$A$301,C245)=0,"Missing","OK")</f>
        <v>OK</v>
      </c>
      <c r="U245" t="str">
        <f t="shared" si="10"/>
        <v>Hyderabad</v>
      </c>
      <c r="V245">
        <f t="shared" si="11"/>
        <v>0</v>
      </c>
    </row>
    <row r="246" spans="1:22" ht="15" customHeight="1" x14ac:dyDescent="0.35">
      <c r="A246" s="3" t="s">
        <v>532</v>
      </c>
      <c r="B246" s="4">
        <v>45317</v>
      </c>
      <c r="C246" s="3" t="s">
        <v>355</v>
      </c>
      <c r="D246" s="3" t="s">
        <v>45</v>
      </c>
      <c r="E246" s="3" t="s">
        <v>191</v>
      </c>
      <c r="F246" s="5">
        <v>1</v>
      </c>
      <c r="G246" s="5">
        <v>3160</v>
      </c>
      <c r="H246" s="5">
        <v>11.5</v>
      </c>
      <c r="I246" s="5">
        <v>2796.6</v>
      </c>
      <c r="J246" s="3" t="s">
        <v>26</v>
      </c>
      <c r="K246" s="3" t="s">
        <v>56</v>
      </c>
      <c r="L246" t="str">
        <f>IFERROR(VLOOKUP(D246,Products!$A$2:$F$61,3,FALSE()),"")</f>
        <v>Apparel</v>
      </c>
      <c r="M246" t="str">
        <f>IFERROR(VLOOKUP(E246,Sales_Reps!$A$2:$C$31,3,FALSE()),"")</f>
        <v>South</v>
      </c>
      <c r="N246">
        <f>IFERROR(VLOOKUP(D246,Products!$A$2:$F$61,4,FALSE()),"")</f>
        <v>1886</v>
      </c>
      <c r="O246" t="str">
        <f>IFERROR(VLOOKUP(C246,Customers!$A$2:$F$301,5,FALSE()),"")</f>
        <v>Corporate</v>
      </c>
      <c r="P246">
        <f>IFERROR(VLOOKUP(C246,Customers!$A$2:$F$301,3,FALSE()),"")</f>
        <v>42</v>
      </c>
      <c r="Q246">
        <f t="shared" si="9"/>
        <v>0.4031645569620253</v>
      </c>
      <c r="R246">
        <f>IF(AND(COUNTIF($A$2:$A$2027,A246)&gt;1,COUNTIF($A$2:A246,A246)=1),1,0)</f>
        <v>0</v>
      </c>
      <c r="S246" t="b">
        <f>IFERROR(VLOOKUP(D246,Products!$A$2:$F$61,6,FALSE()),"")</f>
        <v>1</v>
      </c>
      <c r="T246" t="str">
        <f>IF(COUNTIF(Customers!$A$2:$A$301,C246)=0,"Missing","OK")</f>
        <v>OK</v>
      </c>
      <c r="U246" t="str">
        <f t="shared" si="10"/>
        <v>Bengaluru</v>
      </c>
      <c r="V246">
        <f t="shared" si="11"/>
        <v>0</v>
      </c>
    </row>
    <row r="247" spans="1:22" ht="15" customHeight="1" x14ac:dyDescent="0.35">
      <c r="A247" s="3" t="s">
        <v>533</v>
      </c>
      <c r="B247" s="4">
        <v>45650</v>
      </c>
      <c r="C247" s="3" t="s">
        <v>534</v>
      </c>
      <c r="D247" s="3" t="s">
        <v>103</v>
      </c>
      <c r="E247" s="3" t="s">
        <v>25</v>
      </c>
      <c r="F247" s="5">
        <v>4</v>
      </c>
      <c r="G247" s="5">
        <v>1080</v>
      </c>
      <c r="H247" s="5">
        <v>20.7</v>
      </c>
      <c r="I247" s="5">
        <v>3425.76</v>
      </c>
      <c r="J247" s="3" t="s">
        <v>32</v>
      </c>
      <c r="K247" s="3" t="s">
        <v>38</v>
      </c>
      <c r="L247" t="str">
        <f>IFERROR(VLOOKUP(D247,Products!$A$2:$F$61,3,FALSE()),"")</f>
        <v>Home</v>
      </c>
      <c r="M247" t="str">
        <f>IFERROR(VLOOKUP(E247,Sales_Reps!$A$2:$C$31,3,FALSE()),"")</f>
        <v>North</v>
      </c>
      <c r="N247">
        <f>IFERROR(VLOOKUP(D247,Products!$A$2:$F$61,4,FALSE()),"")</f>
        <v>519</v>
      </c>
      <c r="O247" t="str">
        <f>IFERROR(VLOOKUP(C247,Customers!$A$2:$F$301,5,FALSE()),"")</f>
        <v>SMB</v>
      </c>
      <c r="P247">
        <f>IFERROR(VLOOKUP(C247,Customers!$A$2:$F$301,3,FALSE()),"")</f>
        <v>48</v>
      </c>
      <c r="Q247">
        <f t="shared" si="9"/>
        <v>0.51944444444444449</v>
      </c>
      <c r="R247">
        <f>IF(AND(COUNTIF($A$2:$A$2027,A247)&gt;1,COUNTIF($A$2:A247,A247)=1),1,0)</f>
        <v>0</v>
      </c>
      <c r="S247" t="b">
        <f>IFERROR(VLOOKUP(D247,Products!$A$2:$F$61,6,FALSE()),"")</f>
        <v>1</v>
      </c>
      <c r="T247" t="str">
        <f>IF(COUNTIF(Customers!$A$2:$A$301,C247)=0,"Missing","OK")</f>
        <v>OK</v>
      </c>
      <c r="U247" t="str">
        <f t="shared" si="10"/>
        <v>Delhi</v>
      </c>
      <c r="V247">
        <f t="shared" si="11"/>
        <v>0</v>
      </c>
    </row>
    <row r="248" spans="1:22" ht="15" customHeight="1" x14ac:dyDescent="0.35">
      <c r="A248" s="3" t="s">
        <v>535</v>
      </c>
      <c r="B248" s="4">
        <v>45585</v>
      </c>
      <c r="C248" s="3" t="s">
        <v>536</v>
      </c>
      <c r="D248" s="3" t="s">
        <v>121</v>
      </c>
      <c r="E248" s="3" t="s">
        <v>191</v>
      </c>
      <c r="F248" s="5">
        <v>4</v>
      </c>
      <c r="G248" s="5">
        <v>1010</v>
      </c>
      <c r="H248" s="5">
        <v>29.5</v>
      </c>
      <c r="I248" s="5">
        <v>2848.2</v>
      </c>
      <c r="J248" s="3" t="s">
        <v>32</v>
      </c>
      <c r="K248" s="3" t="s">
        <v>51</v>
      </c>
      <c r="L248" t="str">
        <f>IFERROR(VLOOKUP(D248,Products!$A$2:$F$61,3,FALSE()),"")</f>
        <v>Sports</v>
      </c>
      <c r="M248" t="str">
        <f>IFERROR(VLOOKUP(E248,Sales_Reps!$A$2:$C$31,3,FALSE()),"")</f>
        <v>South</v>
      </c>
      <c r="N248">
        <f>IFERROR(VLOOKUP(D248,Products!$A$2:$F$61,4,FALSE()),"")</f>
        <v>516</v>
      </c>
      <c r="O248" t="str">
        <f>IFERROR(VLOOKUP(C248,Customers!$A$2:$F$301,5,FALSE()),"")</f>
        <v>Retail</v>
      </c>
      <c r="P248">
        <f>IFERROR(VLOOKUP(C248,Customers!$A$2:$F$301,3,FALSE()),"")</f>
        <v>39</v>
      </c>
      <c r="Q248">
        <f t="shared" si="9"/>
        <v>0.4891089108910891</v>
      </c>
      <c r="R248">
        <f>IF(AND(COUNTIF($A$2:$A$2027,A248)&gt;1,COUNTIF($A$2:A248,A248)=1),1,0)</f>
        <v>0</v>
      </c>
      <c r="S248" t="b">
        <f>IFERROR(VLOOKUP(D248,Products!$A$2:$F$61,6,FALSE()),"")</f>
        <v>1</v>
      </c>
      <c r="T248" t="str">
        <f>IF(COUNTIF(Customers!$A$2:$A$301,C248)=0,"Missing","OK")</f>
        <v>OK</v>
      </c>
      <c r="U248" t="str">
        <f t="shared" si="10"/>
        <v>Mumbai</v>
      </c>
      <c r="V248">
        <f t="shared" si="11"/>
        <v>0</v>
      </c>
    </row>
    <row r="249" spans="1:22" ht="15" customHeight="1" x14ac:dyDescent="0.35">
      <c r="A249" s="3" t="s">
        <v>537</v>
      </c>
      <c r="B249" s="4">
        <v>45545</v>
      </c>
      <c r="C249" s="3" t="s">
        <v>538</v>
      </c>
      <c r="D249" s="3" t="s">
        <v>77</v>
      </c>
      <c r="E249" s="3" t="s">
        <v>282</v>
      </c>
      <c r="F249" s="5">
        <v>7</v>
      </c>
      <c r="G249" s="5">
        <v>2600</v>
      </c>
      <c r="H249" s="5">
        <v>6.6</v>
      </c>
      <c r="I249" s="5">
        <v>16998.8</v>
      </c>
      <c r="J249" s="3" t="s">
        <v>26</v>
      </c>
      <c r="K249" s="3" t="s">
        <v>56</v>
      </c>
      <c r="L249" t="str">
        <f>IFERROR(VLOOKUP(D249,Products!$A$2:$F$61,3,FALSE()),"")</f>
        <v>Electronics</v>
      </c>
      <c r="M249" t="str">
        <f>IFERROR(VLOOKUP(E249,Sales_Reps!$A$2:$C$31,3,FALSE()),"")</f>
        <v>West</v>
      </c>
      <c r="N249">
        <f>IFERROR(VLOOKUP(D249,Products!$A$2:$F$61,4,FALSE()),"")</f>
        <v>1052</v>
      </c>
      <c r="O249" t="str">
        <f>IFERROR(VLOOKUP(C249,Customers!$A$2:$F$301,5,FALSE()),"")</f>
        <v>Corporate</v>
      </c>
      <c r="P249">
        <f>IFERROR(VLOOKUP(C249,Customers!$A$2:$F$301,3,FALSE()),"")</f>
        <v>26</v>
      </c>
      <c r="Q249">
        <f t="shared" si="9"/>
        <v>0.5953846153846154</v>
      </c>
      <c r="R249">
        <f>IF(AND(COUNTIF($A$2:$A$2027,A249)&gt;1,COUNTIF($A$2:A249,A249)=1),1,0)</f>
        <v>0</v>
      </c>
      <c r="S249" t="b">
        <f>IFERROR(VLOOKUP(D249,Products!$A$2:$F$61,6,FALSE()),"")</f>
        <v>1</v>
      </c>
      <c r="T249" t="str">
        <f>IF(COUNTIF(Customers!$A$2:$A$301,C249)=0,"Missing","OK")</f>
        <v>OK</v>
      </c>
      <c r="U249" t="str">
        <f t="shared" si="10"/>
        <v>Bengaluru</v>
      </c>
      <c r="V249">
        <f t="shared" si="11"/>
        <v>0</v>
      </c>
    </row>
    <row r="250" spans="1:22" ht="15" customHeight="1" x14ac:dyDescent="0.35">
      <c r="A250" s="3" t="s">
        <v>539</v>
      </c>
      <c r="B250" s="4">
        <v>45395</v>
      </c>
      <c r="C250" s="3" t="s">
        <v>197</v>
      </c>
      <c r="D250" s="3" t="s">
        <v>294</v>
      </c>
      <c r="E250" s="3" t="s">
        <v>143</v>
      </c>
      <c r="F250" s="5">
        <v>4</v>
      </c>
      <c r="G250" s="5">
        <v>2510</v>
      </c>
      <c r="H250" s="5">
        <v>1</v>
      </c>
      <c r="I250" s="5">
        <v>9939.6</v>
      </c>
      <c r="J250" s="3" t="s">
        <v>26</v>
      </c>
      <c r="K250" s="3" t="s">
        <v>38</v>
      </c>
      <c r="L250" t="str">
        <f>IFERROR(VLOOKUP(D250,Products!$A$2:$F$61,3,FALSE()),"")</f>
        <v>Apparel</v>
      </c>
      <c r="M250" t="str">
        <f>IFERROR(VLOOKUP(E250,Sales_Reps!$A$2:$C$31,3,FALSE()),"")</f>
        <v>South</v>
      </c>
      <c r="N250">
        <f>IFERROR(VLOOKUP(D250,Products!$A$2:$F$61,4,FALSE()),"")</f>
        <v>1075</v>
      </c>
      <c r="O250" t="str">
        <f>IFERROR(VLOOKUP(C250,Customers!$A$2:$F$301,5,FALSE()),"")</f>
        <v>SMB</v>
      </c>
      <c r="P250">
        <f>IFERROR(VLOOKUP(C250,Customers!$A$2:$F$301,3,FALSE()),"")</f>
        <v>55</v>
      </c>
      <c r="Q250">
        <f t="shared" si="9"/>
        <v>0.57171314741035861</v>
      </c>
      <c r="R250">
        <f>IF(AND(COUNTIF($A$2:$A$2027,A250)&gt;1,COUNTIF($A$2:A250,A250)=1),1,0)</f>
        <v>0</v>
      </c>
      <c r="S250" t="b">
        <f>IFERROR(VLOOKUP(D250,Products!$A$2:$F$61,6,FALSE()),"")</f>
        <v>0</v>
      </c>
      <c r="T250" t="str">
        <f>IF(COUNTIF(Customers!$A$2:$A$301,C250)=0,"Missing","OK")</f>
        <v>OK</v>
      </c>
      <c r="U250" t="str">
        <f t="shared" si="10"/>
        <v>Delhi</v>
      </c>
      <c r="V250">
        <f t="shared" si="11"/>
        <v>0</v>
      </c>
    </row>
    <row r="251" spans="1:22" ht="15" customHeight="1" x14ac:dyDescent="0.35">
      <c r="A251" s="3" t="s">
        <v>540</v>
      </c>
      <c r="B251" s="4">
        <v>45636</v>
      </c>
      <c r="C251" s="3" t="s">
        <v>541</v>
      </c>
      <c r="D251" s="3" t="s">
        <v>203</v>
      </c>
      <c r="E251" s="3" t="s">
        <v>224</v>
      </c>
      <c r="F251" s="5">
        <v>9</v>
      </c>
      <c r="G251" s="5">
        <v>4070</v>
      </c>
      <c r="H251" s="5">
        <v>6.7</v>
      </c>
      <c r="I251" s="5">
        <v>34175.79</v>
      </c>
      <c r="J251" s="3" t="s">
        <v>79</v>
      </c>
      <c r="K251" s="3" t="s">
        <v>33</v>
      </c>
      <c r="L251" t="str">
        <f>IFERROR(VLOOKUP(D251,Products!$A$2:$F$61,3,FALSE()),"")</f>
        <v>Grocery</v>
      </c>
      <c r="M251" t="str">
        <f>IFERROR(VLOOKUP(E251,Sales_Reps!$A$2:$C$31,3,FALSE()),"")</f>
        <v>East</v>
      </c>
      <c r="N251">
        <f>IFERROR(VLOOKUP(D251,Products!$A$2:$F$61,4,FALSE()),"")</f>
        <v>2027</v>
      </c>
      <c r="O251" t="str">
        <f>IFERROR(VLOOKUP(C251,Customers!$A$2:$F$301,5,FALSE()),"")</f>
        <v>Retail</v>
      </c>
      <c r="P251">
        <f>IFERROR(VLOOKUP(C251,Customers!$A$2:$F$301,3,FALSE()),"")</f>
        <v>61</v>
      </c>
      <c r="Q251">
        <f t="shared" si="9"/>
        <v>0.50196560196560192</v>
      </c>
      <c r="R251">
        <f>IF(AND(COUNTIF($A$2:$A$2027,A251)&gt;1,COUNTIF($A$2:A251,A251)=1),1,0)</f>
        <v>0</v>
      </c>
      <c r="S251" t="b">
        <f>IFERROR(VLOOKUP(D251,Products!$A$2:$F$61,6,FALSE()),"")</f>
        <v>1</v>
      </c>
      <c r="T251" t="str">
        <f>IF(COUNTIF(Customers!$A$2:$A$301,C251)=0,"Missing","OK")</f>
        <v>OK</v>
      </c>
      <c r="U251" t="str">
        <f t="shared" si="10"/>
        <v>Chennai</v>
      </c>
      <c r="V251">
        <f t="shared" si="11"/>
        <v>0</v>
      </c>
    </row>
    <row r="252" spans="1:22" ht="15" customHeight="1" x14ac:dyDescent="0.35">
      <c r="A252" s="3" t="s">
        <v>542</v>
      </c>
      <c r="B252" s="4">
        <v>45612</v>
      </c>
      <c r="C252" s="3" t="s">
        <v>543</v>
      </c>
      <c r="D252" s="3" t="s">
        <v>30</v>
      </c>
      <c r="E252" s="3" t="s">
        <v>71</v>
      </c>
      <c r="F252" s="5">
        <v>6</v>
      </c>
      <c r="G252" s="5">
        <v>820</v>
      </c>
      <c r="H252" s="5">
        <v>14</v>
      </c>
      <c r="I252" s="5">
        <v>4231.2</v>
      </c>
      <c r="J252" s="3" t="s">
        <v>26</v>
      </c>
      <c r="K252" s="3" t="s">
        <v>56</v>
      </c>
      <c r="L252" t="str">
        <f>IFERROR(VLOOKUP(D252,Products!$A$2:$F$61,3,FALSE()),"")</f>
        <v>Apparel</v>
      </c>
      <c r="M252" t="str">
        <f>IFERROR(VLOOKUP(E252,Sales_Reps!$A$2:$C$31,3,FALSE()),"")</f>
        <v>South</v>
      </c>
      <c r="N252">
        <f>IFERROR(VLOOKUP(D252,Products!$A$2:$F$61,4,FALSE()),"")</f>
        <v>391</v>
      </c>
      <c r="O252" t="str">
        <f>IFERROR(VLOOKUP(C252,Customers!$A$2:$F$301,5,FALSE()),"")</f>
        <v>Retail</v>
      </c>
      <c r="P252">
        <f>IFERROR(VLOOKUP(C252,Customers!$A$2:$F$301,3,FALSE()),"")</f>
        <v>34</v>
      </c>
      <c r="Q252">
        <f t="shared" si="9"/>
        <v>0.52317073170731709</v>
      </c>
      <c r="R252">
        <f>IF(AND(COUNTIF($A$2:$A$2027,A252)&gt;1,COUNTIF($A$2:A252,A252)=1),1,0)</f>
        <v>0</v>
      </c>
      <c r="S252" t="b">
        <f>IFERROR(VLOOKUP(D252,Products!$A$2:$F$61,6,FALSE()),"")</f>
        <v>1</v>
      </c>
      <c r="T252" t="str">
        <f>IF(COUNTIF(Customers!$A$2:$A$301,C252)=0,"Missing","OK")</f>
        <v>OK</v>
      </c>
      <c r="U252" t="str">
        <f t="shared" si="10"/>
        <v>Bengaluru</v>
      </c>
      <c r="V252">
        <f t="shared" si="11"/>
        <v>0</v>
      </c>
    </row>
    <row r="253" spans="1:22" ht="15" customHeight="1" x14ac:dyDescent="0.35">
      <c r="A253" s="3" t="s">
        <v>544</v>
      </c>
      <c r="B253" s="4">
        <v>45495</v>
      </c>
      <c r="C253" s="3" t="s">
        <v>545</v>
      </c>
      <c r="D253" s="3" t="s">
        <v>66</v>
      </c>
      <c r="E253" s="3" t="s">
        <v>31</v>
      </c>
      <c r="F253" s="5">
        <v>2</v>
      </c>
      <c r="G253" s="5">
        <v>970</v>
      </c>
      <c r="H253" s="5">
        <v>23.8</v>
      </c>
      <c r="I253" s="5">
        <v>1478.28</v>
      </c>
      <c r="J253" s="3" t="s">
        <v>26</v>
      </c>
      <c r="K253" s="3" t="s">
        <v>51</v>
      </c>
      <c r="L253" t="str">
        <f>IFERROR(VLOOKUP(D253,Products!$A$2:$F$61,3,FALSE()),"")</f>
        <v>Grocery</v>
      </c>
      <c r="M253" t="str">
        <f>IFERROR(VLOOKUP(E253,Sales_Reps!$A$2:$C$31,3,FALSE()),"")</f>
        <v>North</v>
      </c>
      <c r="N253">
        <f>IFERROR(VLOOKUP(D253,Products!$A$2:$F$61,4,FALSE()),"")</f>
        <v>434</v>
      </c>
      <c r="O253" t="str">
        <f>IFERROR(VLOOKUP(C253,Customers!$A$2:$F$301,5,FALSE()),"")</f>
        <v>Retail</v>
      </c>
      <c r="P253">
        <f>IFERROR(VLOOKUP(C253,Customers!$A$2:$F$301,3,FALSE()),"")</f>
        <v>52</v>
      </c>
      <c r="Q253">
        <f t="shared" si="9"/>
        <v>0.5525773195876289</v>
      </c>
      <c r="R253">
        <f>IF(AND(COUNTIF($A$2:$A$2027,A253)&gt;1,COUNTIF($A$2:A253,A253)=1),1,0)</f>
        <v>0</v>
      </c>
      <c r="S253" t="b">
        <f>IFERROR(VLOOKUP(D253,Products!$A$2:$F$61,6,FALSE()),"")</f>
        <v>1</v>
      </c>
      <c r="T253" t="str">
        <f>IF(COUNTIF(Customers!$A$2:$A$301,C253)=0,"Missing","OK")</f>
        <v>OK</v>
      </c>
      <c r="U253" t="str">
        <f t="shared" si="10"/>
        <v>Mumbai</v>
      </c>
      <c r="V253">
        <f t="shared" si="11"/>
        <v>0</v>
      </c>
    </row>
    <row r="254" spans="1:22" ht="15" customHeight="1" x14ac:dyDescent="0.35">
      <c r="A254" s="3" t="s">
        <v>546</v>
      </c>
      <c r="B254" s="4">
        <v>45337</v>
      </c>
      <c r="C254" s="3" t="s">
        <v>547</v>
      </c>
      <c r="D254" s="3" t="s">
        <v>203</v>
      </c>
      <c r="E254" s="3" t="s">
        <v>264</v>
      </c>
      <c r="F254" s="5">
        <v>4</v>
      </c>
      <c r="G254" s="5">
        <v>4070</v>
      </c>
      <c r="H254" s="5">
        <v>19</v>
      </c>
      <c r="I254" s="5">
        <v>13186.8</v>
      </c>
      <c r="J254" s="3" t="s">
        <v>32</v>
      </c>
      <c r="K254" s="3" t="s">
        <v>27</v>
      </c>
      <c r="L254" t="str">
        <f>IFERROR(VLOOKUP(D254,Products!$A$2:$F$61,3,FALSE()),"")</f>
        <v>Grocery</v>
      </c>
      <c r="M254" t="str">
        <f>IFERROR(VLOOKUP(E254,Sales_Reps!$A$2:$C$31,3,FALSE()),"")</f>
        <v>South</v>
      </c>
      <c r="N254">
        <f>IFERROR(VLOOKUP(D254,Products!$A$2:$F$61,4,FALSE()),"")</f>
        <v>2027</v>
      </c>
      <c r="O254" t="str">
        <f>IFERROR(VLOOKUP(C254,Customers!$A$2:$F$301,5,FALSE()),"")</f>
        <v>Corporate</v>
      </c>
      <c r="P254">
        <f>IFERROR(VLOOKUP(C254,Customers!$A$2:$F$301,3,FALSE()),"")</f>
        <v>40</v>
      </c>
      <c r="Q254">
        <f t="shared" si="9"/>
        <v>0.50196560196560192</v>
      </c>
      <c r="R254">
        <f>IF(AND(COUNTIF($A$2:$A$2027,A254)&gt;1,COUNTIF($A$2:A254,A254)=1),1,0)</f>
        <v>0</v>
      </c>
      <c r="S254" t="b">
        <f>IFERROR(VLOOKUP(D254,Products!$A$2:$F$61,6,FALSE()),"")</f>
        <v>1</v>
      </c>
      <c r="T254" t="str">
        <f>IF(COUNTIF(Customers!$A$2:$A$301,C254)=0,"Missing","OK")</f>
        <v>OK</v>
      </c>
      <c r="U254" t="str">
        <f t="shared" si="10"/>
        <v>Pune</v>
      </c>
      <c r="V254">
        <f t="shared" si="11"/>
        <v>0</v>
      </c>
    </row>
    <row r="255" spans="1:22" ht="15" customHeight="1" x14ac:dyDescent="0.35">
      <c r="A255" s="3" t="s">
        <v>548</v>
      </c>
      <c r="B255" s="4">
        <v>45333</v>
      </c>
      <c r="C255" s="3" t="s">
        <v>549</v>
      </c>
      <c r="D255" s="3" t="s">
        <v>96</v>
      </c>
      <c r="E255" s="3" t="s">
        <v>177</v>
      </c>
      <c r="F255" s="5">
        <v>3</v>
      </c>
      <c r="G255" s="5">
        <v>3450</v>
      </c>
      <c r="H255" s="5">
        <v>4.4000000000000004</v>
      </c>
      <c r="I255" s="5">
        <v>9894.6</v>
      </c>
      <c r="J255" s="3" t="s">
        <v>79</v>
      </c>
      <c r="K255" s="3" t="s">
        <v>56</v>
      </c>
      <c r="L255" t="str">
        <f>IFERROR(VLOOKUP(D255,Products!$A$2:$F$61,3,FALSE()),"")</f>
        <v>Beauty</v>
      </c>
      <c r="M255" t="str">
        <f>IFERROR(VLOOKUP(E255,Sales_Reps!$A$2:$C$31,3,FALSE()),"")</f>
        <v>East</v>
      </c>
      <c r="N255">
        <f>IFERROR(VLOOKUP(D255,Products!$A$2:$F$61,4,FALSE()),"")</f>
        <v>2420</v>
      </c>
      <c r="O255" t="str">
        <f>IFERROR(VLOOKUP(C255,Customers!$A$2:$F$301,5,FALSE()),"")</f>
        <v>SMB</v>
      </c>
      <c r="P255">
        <f>IFERROR(VLOOKUP(C255,Customers!$A$2:$F$301,3,FALSE()),"")</f>
        <v>42</v>
      </c>
      <c r="Q255">
        <f t="shared" si="9"/>
        <v>0.29855072463768118</v>
      </c>
      <c r="R255">
        <f>IF(AND(COUNTIF($A$2:$A$2027,A255)&gt;1,COUNTIF($A$2:A255,A255)=1),1,0)</f>
        <v>0</v>
      </c>
      <c r="S255" t="b">
        <f>IFERROR(VLOOKUP(D255,Products!$A$2:$F$61,6,FALSE()),"")</f>
        <v>1</v>
      </c>
      <c r="T255" t="str">
        <f>IF(COUNTIF(Customers!$A$2:$A$301,C255)=0,"Missing","OK")</f>
        <v>OK</v>
      </c>
      <c r="U255" t="str">
        <f t="shared" si="10"/>
        <v>Bengaluru</v>
      </c>
      <c r="V255">
        <f t="shared" si="11"/>
        <v>0</v>
      </c>
    </row>
    <row r="256" spans="1:22" ht="15" customHeight="1" x14ac:dyDescent="0.35">
      <c r="A256" s="3" t="s">
        <v>550</v>
      </c>
      <c r="B256" s="4">
        <v>45511</v>
      </c>
      <c r="C256" s="3" t="s">
        <v>275</v>
      </c>
      <c r="D256" s="3" t="s">
        <v>173</v>
      </c>
      <c r="E256" s="3" t="s">
        <v>71</v>
      </c>
      <c r="F256" s="5">
        <v>5</v>
      </c>
      <c r="G256" s="5">
        <v>3780</v>
      </c>
      <c r="H256" s="5">
        <v>13.5</v>
      </c>
      <c r="I256" s="5">
        <v>16348.5</v>
      </c>
      <c r="J256" s="3" t="s">
        <v>26</v>
      </c>
      <c r="K256" s="3" t="s">
        <v>51</v>
      </c>
      <c r="L256" t="str">
        <f>IFERROR(VLOOKUP(D256,Products!$A$2:$F$61,3,FALSE()),"")</f>
        <v>Grocery</v>
      </c>
      <c r="M256" t="str">
        <f>IFERROR(VLOOKUP(E256,Sales_Reps!$A$2:$C$31,3,FALSE()),"")</f>
        <v>South</v>
      </c>
      <c r="N256">
        <f>IFERROR(VLOOKUP(D256,Products!$A$2:$F$61,4,FALSE()),"")</f>
        <v>2436</v>
      </c>
      <c r="O256" t="str">
        <f>IFERROR(VLOOKUP(C256,Customers!$A$2:$F$301,5,FALSE()),"")</f>
        <v>Retail</v>
      </c>
      <c r="P256">
        <f>IFERROR(VLOOKUP(C256,Customers!$A$2:$F$301,3,FALSE()),"")</f>
        <v>49</v>
      </c>
      <c r="Q256">
        <f t="shared" si="9"/>
        <v>0.35555555555555557</v>
      </c>
      <c r="R256">
        <f>IF(AND(COUNTIF($A$2:$A$2027,A256)&gt;1,COUNTIF($A$2:A256,A256)=1),1,0)</f>
        <v>0</v>
      </c>
      <c r="S256" t="b">
        <f>IFERROR(VLOOKUP(D256,Products!$A$2:$F$61,6,FALSE()),"")</f>
        <v>1</v>
      </c>
      <c r="T256" t="str">
        <f>IF(COUNTIF(Customers!$A$2:$A$301,C256)=0,"Missing","OK")</f>
        <v>OK</v>
      </c>
      <c r="U256" t="str">
        <f t="shared" si="10"/>
        <v>Mumbai</v>
      </c>
      <c r="V256">
        <f t="shared" si="11"/>
        <v>0</v>
      </c>
    </row>
    <row r="257" spans="1:22" ht="15" customHeight="1" x14ac:dyDescent="0.35">
      <c r="A257" s="3" t="s">
        <v>551</v>
      </c>
      <c r="B257" s="4">
        <v>45595</v>
      </c>
      <c r="C257" s="3" t="s">
        <v>552</v>
      </c>
      <c r="D257" s="3" t="s">
        <v>54</v>
      </c>
      <c r="E257" s="3" t="s">
        <v>78</v>
      </c>
      <c r="F257" s="5">
        <v>1</v>
      </c>
      <c r="G257" s="5">
        <v>960</v>
      </c>
      <c r="H257" s="5">
        <v>29.2</v>
      </c>
      <c r="I257" s="5">
        <v>679.68</v>
      </c>
      <c r="J257" s="3" t="s">
        <v>26</v>
      </c>
      <c r="K257" s="3" t="s">
        <v>51</v>
      </c>
      <c r="L257" t="str">
        <f>IFERROR(VLOOKUP(D257,Products!$A$2:$F$61,3,FALSE()),"")</f>
        <v>Sports</v>
      </c>
      <c r="M257" t="str">
        <f>IFERROR(VLOOKUP(E257,Sales_Reps!$A$2:$C$31,3,FALSE()),"")</f>
        <v>North</v>
      </c>
      <c r="N257">
        <f>IFERROR(VLOOKUP(D257,Products!$A$2:$F$61,4,FALSE()),"")</f>
        <v>705</v>
      </c>
      <c r="O257" t="str">
        <f>IFERROR(VLOOKUP(C257,Customers!$A$2:$F$301,5,FALSE()),"")</f>
        <v>Retail</v>
      </c>
      <c r="P257">
        <f>IFERROR(VLOOKUP(C257,Customers!$A$2:$F$301,3,FALSE()),"")</f>
        <v>44</v>
      </c>
      <c r="Q257">
        <f t="shared" si="9"/>
        <v>0.265625</v>
      </c>
      <c r="R257">
        <f>IF(AND(COUNTIF($A$2:$A$2027,A257)&gt;1,COUNTIF($A$2:A257,A257)=1),1,0)</f>
        <v>0</v>
      </c>
      <c r="S257" t="b">
        <f>IFERROR(VLOOKUP(D257,Products!$A$2:$F$61,6,FALSE()),"")</f>
        <v>1</v>
      </c>
      <c r="T257" t="str">
        <f>IF(COUNTIF(Customers!$A$2:$A$301,C257)=0,"Missing","OK")</f>
        <v>OK</v>
      </c>
      <c r="U257" t="str">
        <f t="shared" si="10"/>
        <v>Mumbai</v>
      </c>
      <c r="V257">
        <f t="shared" si="11"/>
        <v>0</v>
      </c>
    </row>
    <row r="258" spans="1:22" ht="15" customHeight="1" x14ac:dyDescent="0.35">
      <c r="A258" s="3" t="s">
        <v>553</v>
      </c>
      <c r="B258" s="4">
        <v>45321</v>
      </c>
      <c r="C258" s="3" t="s">
        <v>554</v>
      </c>
      <c r="D258" s="3" t="s">
        <v>126</v>
      </c>
      <c r="E258" s="3" t="s">
        <v>224</v>
      </c>
      <c r="F258" s="5">
        <v>10</v>
      </c>
      <c r="G258" s="5">
        <v>3570</v>
      </c>
      <c r="H258" s="5">
        <v>10.7</v>
      </c>
      <c r="I258" s="5">
        <v>31880.1</v>
      </c>
      <c r="J258" s="3" t="s">
        <v>26</v>
      </c>
      <c r="K258" s="3" t="s">
        <v>51</v>
      </c>
      <c r="L258" t="str">
        <f>IFERROR(VLOOKUP(D258,Products!$A$2:$F$61,3,FALSE()),"")</f>
        <v>Electronics</v>
      </c>
      <c r="M258" t="str">
        <f>IFERROR(VLOOKUP(E258,Sales_Reps!$A$2:$C$31,3,FALSE()),"")</f>
        <v>East</v>
      </c>
      <c r="N258">
        <f>IFERROR(VLOOKUP(D258,Products!$A$2:$F$61,4,FALSE()),"")</f>
        <v>1665</v>
      </c>
      <c r="O258" t="str">
        <f>IFERROR(VLOOKUP(C258,Customers!$A$2:$F$301,5,FALSE()),"")</f>
        <v>Retail</v>
      </c>
      <c r="P258">
        <f>IFERROR(VLOOKUP(C258,Customers!$A$2:$F$301,3,FALSE()),"")</f>
        <v>53</v>
      </c>
      <c r="Q258">
        <f t="shared" ref="Q258:Q321" si="12">IFERROR((G258-N258)/G258,"")</f>
        <v>0.53361344537815125</v>
      </c>
      <c r="R258">
        <f>IF(AND(COUNTIF($A$2:$A$2027,A258)&gt;1,COUNTIF($A$2:A258,A258)=1),1,0)</f>
        <v>0</v>
      </c>
      <c r="S258" t="b">
        <f>IFERROR(VLOOKUP(D258,Products!$A$2:$F$61,6,FALSE()),"")</f>
        <v>1</v>
      </c>
      <c r="T258" t="str">
        <f>IF(COUNTIF(Customers!$A$2:$A$301,C258)=0,"Missing","OK")</f>
        <v>OK</v>
      </c>
      <c r="U258" t="str">
        <f t="shared" ref="U258:U321" si="13">IF(K258="","",PROPER(TRIM(K258)))</f>
        <v>Mumbai</v>
      </c>
      <c r="V258">
        <f t="shared" ref="V258:V321" si="14">IF(AND(U258="Bengaluru",L258="Grocery"),I258,0)</f>
        <v>0</v>
      </c>
    </row>
    <row r="259" spans="1:22" ht="15" customHeight="1" x14ac:dyDescent="0.35">
      <c r="A259" s="3" t="s">
        <v>555</v>
      </c>
      <c r="B259" s="4">
        <v>45511</v>
      </c>
      <c r="C259" s="3" t="s">
        <v>556</v>
      </c>
      <c r="D259" s="3" t="s">
        <v>126</v>
      </c>
      <c r="E259" s="3" t="s">
        <v>55</v>
      </c>
      <c r="F259" s="5">
        <v>7</v>
      </c>
      <c r="G259" s="5">
        <v>3570</v>
      </c>
      <c r="H259" s="5">
        <v>12.2</v>
      </c>
      <c r="I259" s="5">
        <v>21941.22</v>
      </c>
      <c r="J259" s="3" t="s">
        <v>26</v>
      </c>
      <c r="K259" s="3" t="s">
        <v>51</v>
      </c>
      <c r="L259" t="str">
        <f>IFERROR(VLOOKUP(D259,Products!$A$2:$F$61,3,FALSE()),"")</f>
        <v>Electronics</v>
      </c>
      <c r="M259" t="str">
        <f>IFERROR(VLOOKUP(E259,Sales_Reps!$A$2:$C$31,3,FALSE()),"")</f>
        <v>West</v>
      </c>
      <c r="N259">
        <f>IFERROR(VLOOKUP(D259,Products!$A$2:$F$61,4,FALSE()),"")</f>
        <v>1665</v>
      </c>
      <c r="O259" t="str">
        <f>IFERROR(VLOOKUP(C259,Customers!$A$2:$F$301,5,FALSE()),"")</f>
        <v>SMB</v>
      </c>
      <c r="P259">
        <f>IFERROR(VLOOKUP(C259,Customers!$A$2:$F$301,3,FALSE()),"")</f>
        <v>65</v>
      </c>
      <c r="Q259">
        <f t="shared" si="12"/>
        <v>0.53361344537815125</v>
      </c>
      <c r="R259">
        <f>IF(AND(COUNTIF($A$2:$A$2027,A259)&gt;1,COUNTIF($A$2:A259,A259)=1),1,0)</f>
        <v>0</v>
      </c>
      <c r="S259" t="b">
        <f>IFERROR(VLOOKUP(D259,Products!$A$2:$F$61,6,FALSE()),"")</f>
        <v>1</v>
      </c>
      <c r="T259" t="str">
        <f>IF(COUNTIF(Customers!$A$2:$A$301,C259)=0,"Missing","OK")</f>
        <v>OK</v>
      </c>
      <c r="U259" t="str">
        <f t="shared" si="13"/>
        <v>Mumbai</v>
      </c>
      <c r="V259">
        <f t="shared" si="14"/>
        <v>0</v>
      </c>
    </row>
    <row r="260" spans="1:22" ht="15" customHeight="1" x14ac:dyDescent="0.35">
      <c r="A260" s="3" t="s">
        <v>557</v>
      </c>
      <c r="B260" s="4">
        <v>45575</v>
      </c>
      <c r="C260" s="3" t="s">
        <v>449</v>
      </c>
      <c r="D260" s="3" t="s">
        <v>103</v>
      </c>
      <c r="E260" s="3" t="s">
        <v>37</v>
      </c>
      <c r="F260" s="5">
        <v>6</v>
      </c>
      <c r="G260" s="5">
        <v>1080</v>
      </c>
      <c r="H260" s="5">
        <v>19.8</v>
      </c>
      <c r="I260" s="5">
        <v>5196.96</v>
      </c>
      <c r="J260" s="3" t="s">
        <v>26</v>
      </c>
      <c r="K260" s="3" t="s">
        <v>56</v>
      </c>
      <c r="L260" t="str">
        <f>IFERROR(VLOOKUP(D260,Products!$A$2:$F$61,3,FALSE()),"")</f>
        <v>Home</v>
      </c>
      <c r="M260" t="str">
        <f>IFERROR(VLOOKUP(E260,Sales_Reps!$A$2:$C$31,3,FALSE()),"")</f>
        <v>South</v>
      </c>
      <c r="N260">
        <f>IFERROR(VLOOKUP(D260,Products!$A$2:$F$61,4,FALSE()),"")</f>
        <v>519</v>
      </c>
      <c r="O260" t="str">
        <f>IFERROR(VLOOKUP(C260,Customers!$A$2:$F$301,5,FALSE()),"")</f>
        <v>SMB</v>
      </c>
      <c r="P260">
        <f>IFERROR(VLOOKUP(C260,Customers!$A$2:$F$301,3,FALSE()),"")</f>
        <v>26</v>
      </c>
      <c r="Q260">
        <f t="shared" si="12"/>
        <v>0.51944444444444449</v>
      </c>
      <c r="R260">
        <f>IF(AND(COUNTIF($A$2:$A$2027,A260)&gt;1,COUNTIF($A$2:A260,A260)=1),1,0)</f>
        <v>0</v>
      </c>
      <c r="S260" t="b">
        <f>IFERROR(VLOOKUP(D260,Products!$A$2:$F$61,6,FALSE()),"")</f>
        <v>1</v>
      </c>
      <c r="T260" t="str">
        <f>IF(COUNTIF(Customers!$A$2:$A$301,C260)=0,"Missing","OK")</f>
        <v>OK</v>
      </c>
      <c r="U260" t="str">
        <f t="shared" si="13"/>
        <v>Bengaluru</v>
      </c>
      <c r="V260">
        <f t="shared" si="14"/>
        <v>0</v>
      </c>
    </row>
    <row r="261" spans="1:22" ht="15" customHeight="1" x14ac:dyDescent="0.35">
      <c r="A261" s="3" t="s">
        <v>558</v>
      </c>
      <c r="B261" s="4">
        <v>45649</v>
      </c>
      <c r="C261" s="3" t="s">
        <v>114</v>
      </c>
      <c r="D261" s="3" t="s">
        <v>391</v>
      </c>
      <c r="E261" s="3" t="s">
        <v>71</v>
      </c>
      <c r="F261" s="5">
        <v>8</v>
      </c>
      <c r="G261" s="5">
        <v>3450</v>
      </c>
      <c r="H261" s="5">
        <v>19</v>
      </c>
      <c r="I261" s="5">
        <v>22356</v>
      </c>
      <c r="J261" s="3" t="s">
        <v>26</v>
      </c>
      <c r="K261" s="3" t="s">
        <v>72</v>
      </c>
      <c r="L261" t="str">
        <f>IFERROR(VLOOKUP(D261,Products!$A$2:$F$61,3,FALSE()),"")</f>
        <v>Apparel</v>
      </c>
      <c r="M261" t="str">
        <f>IFERROR(VLOOKUP(E261,Sales_Reps!$A$2:$C$31,3,FALSE()),"")</f>
        <v>South</v>
      </c>
      <c r="N261">
        <f>IFERROR(VLOOKUP(D261,Products!$A$2:$F$61,4,FALSE()),"")</f>
        <v>1748</v>
      </c>
      <c r="O261" t="str">
        <f>IFERROR(VLOOKUP(C261,Customers!$A$2:$F$301,5,FALSE()),"")</f>
        <v>SMB</v>
      </c>
      <c r="P261">
        <f>IFERROR(VLOOKUP(C261,Customers!$A$2:$F$301,3,FALSE()),"")</f>
        <v>40</v>
      </c>
      <c r="Q261">
        <f t="shared" si="12"/>
        <v>0.49333333333333335</v>
      </c>
      <c r="R261">
        <f>IF(AND(COUNTIF($A$2:$A$2027,A261)&gt;1,COUNTIF($A$2:A261,A261)=1),1,0)</f>
        <v>0</v>
      </c>
      <c r="S261" t="b">
        <f>IFERROR(VLOOKUP(D261,Products!$A$2:$F$61,6,FALSE()),"")</f>
        <v>1</v>
      </c>
      <c r="T261" t="str">
        <f>IF(COUNTIF(Customers!$A$2:$A$301,C261)=0,"Missing","OK")</f>
        <v>OK</v>
      </c>
      <c r="U261" t="str">
        <f t="shared" si="13"/>
        <v>Hyderabad</v>
      </c>
      <c r="V261">
        <f t="shared" si="14"/>
        <v>0</v>
      </c>
    </row>
    <row r="262" spans="1:22" ht="15" customHeight="1" x14ac:dyDescent="0.35">
      <c r="A262" s="3" t="s">
        <v>559</v>
      </c>
      <c r="B262" s="4">
        <v>45371</v>
      </c>
      <c r="C262" s="3" t="s">
        <v>560</v>
      </c>
      <c r="D262" s="3" t="s">
        <v>218</v>
      </c>
      <c r="E262" s="3" t="s">
        <v>93</v>
      </c>
      <c r="F262" s="5">
        <v>4</v>
      </c>
      <c r="G262" s="5">
        <v>2660</v>
      </c>
      <c r="H262" s="5">
        <v>18.8</v>
      </c>
      <c r="I262" s="5">
        <v>8639.68</v>
      </c>
      <c r="J262" s="3" t="s">
        <v>32</v>
      </c>
      <c r="K262" s="3" t="s">
        <v>33</v>
      </c>
      <c r="L262" t="str">
        <f>IFERROR(VLOOKUP(D262,Products!$A$2:$F$61,3,FALSE()),"")</f>
        <v>Electronics</v>
      </c>
      <c r="M262" t="str">
        <f>IFERROR(VLOOKUP(E262,Sales_Reps!$A$2:$C$31,3,FALSE()),"")</f>
        <v>East</v>
      </c>
      <c r="N262">
        <f>IFERROR(VLOOKUP(D262,Products!$A$2:$F$61,4,FALSE()),"")</f>
        <v>1259</v>
      </c>
      <c r="O262" t="str">
        <f>IFERROR(VLOOKUP(C262,Customers!$A$2:$F$301,5,FALSE()),"")</f>
        <v>Corporate</v>
      </c>
      <c r="P262">
        <f>IFERROR(VLOOKUP(C262,Customers!$A$2:$F$301,3,FALSE()),"")</f>
        <v>22</v>
      </c>
      <c r="Q262">
        <f t="shared" si="12"/>
        <v>0.52669172932330832</v>
      </c>
      <c r="R262">
        <f>IF(AND(COUNTIF($A$2:$A$2027,A262)&gt;1,COUNTIF($A$2:A262,A262)=1),1,0)</f>
        <v>0</v>
      </c>
      <c r="S262" t="b">
        <f>IFERROR(VLOOKUP(D262,Products!$A$2:$F$61,6,FALSE()),"")</f>
        <v>0</v>
      </c>
      <c r="T262" t="str">
        <f>IF(COUNTIF(Customers!$A$2:$A$301,C262)=0,"Missing","OK")</f>
        <v>OK</v>
      </c>
      <c r="U262" t="str">
        <f t="shared" si="13"/>
        <v>Chennai</v>
      </c>
      <c r="V262">
        <f t="shared" si="14"/>
        <v>0</v>
      </c>
    </row>
    <row r="263" spans="1:22" ht="15" customHeight="1" x14ac:dyDescent="0.35">
      <c r="A263" s="3" t="s">
        <v>561</v>
      </c>
      <c r="B263" s="4">
        <v>45522</v>
      </c>
      <c r="C263" s="3" t="s">
        <v>244</v>
      </c>
      <c r="D263" s="3" t="s">
        <v>90</v>
      </c>
      <c r="E263" s="3" t="s">
        <v>143</v>
      </c>
      <c r="F263" s="5">
        <v>4</v>
      </c>
      <c r="G263" s="5">
        <v>2400</v>
      </c>
      <c r="H263" s="5">
        <v>5.6</v>
      </c>
      <c r="I263" s="5">
        <v>9062.4</v>
      </c>
      <c r="J263" s="3" t="s">
        <v>26</v>
      </c>
      <c r="K263" s="3" t="s">
        <v>72</v>
      </c>
      <c r="L263" t="str">
        <f>IFERROR(VLOOKUP(D263,Products!$A$2:$F$61,3,FALSE()),"")</f>
        <v>Sports</v>
      </c>
      <c r="M263" t="str">
        <f>IFERROR(VLOOKUP(E263,Sales_Reps!$A$2:$C$31,3,FALSE()),"")</f>
        <v>South</v>
      </c>
      <c r="N263">
        <f>IFERROR(VLOOKUP(D263,Products!$A$2:$F$61,4,FALSE()),"")</f>
        <v>974</v>
      </c>
      <c r="O263" t="str">
        <f>IFERROR(VLOOKUP(C263,Customers!$A$2:$F$301,5,FALSE()),"")</f>
        <v>Corporate</v>
      </c>
      <c r="P263">
        <f>IFERROR(VLOOKUP(C263,Customers!$A$2:$F$301,3,FALSE()),"")</f>
        <v>46</v>
      </c>
      <c r="Q263">
        <f t="shared" si="12"/>
        <v>0.59416666666666662</v>
      </c>
      <c r="R263">
        <f>IF(AND(COUNTIF($A$2:$A$2027,A263)&gt;1,COUNTIF($A$2:A263,A263)=1),1,0)</f>
        <v>0</v>
      </c>
      <c r="S263" t="b">
        <f>IFERROR(VLOOKUP(D263,Products!$A$2:$F$61,6,FALSE()),"")</f>
        <v>1</v>
      </c>
      <c r="T263" t="str">
        <f>IF(COUNTIF(Customers!$A$2:$A$301,C263)=0,"Missing","OK")</f>
        <v>OK</v>
      </c>
      <c r="U263" t="str">
        <f t="shared" si="13"/>
        <v>Hyderabad</v>
      </c>
      <c r="V263">
        <f t="shared" si="14"/>
        <v>0</v>
      </c>
    </row>
    <row r="264" spans="1:22" ht="15" customHeight="1" x14ac:dyDescent="0.35">
      <c r="A264" s="3" t="s">
        <v>562</v>
      </c>
      <c r="B264" s="4">
        <v>45513</v>
      </c>
      <c r="C264" s="3" t="s">
        <v>563</v>
      </c>
      <c r="D264" s="3" t="s">
        <v>77</v>
      </c>
      <c r="E264" s="3" t="s">
        <v>87</v>
      </c>
      <c r="F264" s="5">
        <v>10</v>
      </c>
      <c r="G264" s="5">
        <v>2600</v>
      </c>
      <c r="H264" s="5">
        <v>24.7</v>
      </c>
      <c r="I264" s="5">
        <v>19578</v>
      </c>
      <c r="J264" s="3" t="s">
        <v>26</v>
      </c>
      <c r="K264" s="3" t="s">
        <v>27</v>
      </c>
      <c r="L264" t="str">
        <f>IFERROR(VLOOKUP(D264,Products!$A$2:$F$61,3,FALSE()),"")</f>
        <v>Electronics</v>
      </c>
      <c r="M264" t="str">
        <f>IFERROR(VLOOKUP(E264,Sales_Reps!$A$2:$C$31,3,FALSE()),"")</f>
        <v>North</v>
      </c>
      <c r="N264">
        <f>IFERROR(VLOOKUP(D264,Products!$A$2:$F$61,4,FALSE()),"")</f>
        <v>1052</v>
      </c>
      <c r="O264" t="str">
        <f>IFERROR(VLOOKUP(C264,Customers!$A$2:$F$301,5,FALSE()),"")</f>
        <v>Corporate</v>
      </c>
      <c r="P264">
        <f>IFERROR(VLOOKUP(C264,Customers!$A$2:$F$301,3,FALSE()),"")</f>
        <v>31</v>
      </c>
      <c r="Q264">
        <f t="shared" si="12"/>
        <v>0.5953846153846154</v>
      </c>
      <c r="R264">
        <f>IF(AND(COUNTIF($A$2:$A$2027,A264)&gt;1,COUNTIF($A$2:A264,A264)=1),1,0)</f>
        <v>0</v>
      </c>
      <c r="S264" t="b">
        <f>IFERROR(VLOOKUP(D264,Products!$A$2:$F$61,6,FALSE()),"")</f>
        <v>1</v>
      </c>
      <c r="T264" t="str">
        <f>IF(COUNTIF(Customers!$A$2:$A$301,C264)=0,"Missing","OK")</f>
        <v>OK</v>
      </c>
      <c r="U264" t="str">
        <f t="shared" si="13"/>
        <v>Pune</v>
      </c>
      <c r="V264">
        <f t="shared" si="14"/>
        <v>0</v>
      </c>
    </row>
    <row r="265" spans="1:22" ht="15" customHeight="1" x14ac:dyDescent="0.35">
      <c r="A265" s="3" t="s">
        <v>564</v>
      </c>
      <c r="B265" s="4">
        <v>45513</v>
      </c>
      <c r="C265" s="3" t="s">
        <v>565</v>
      </c>
      <c r="D265" s="3" t="s">
        <v>290</v>
      </c>
      <c r="E265" s="3" t="s">
        <v>78</v>
      </c>
      <c r="F265" s="5">
        <v>3</v>
      </c>
      <c r="G265" s="5">
        <v>4060</v>
      </c>
      <c r="H265" s="5">
        <v>6.9</v>
      </c>
      <c r="I265" s="5">
        <v>11339.58</v>
      </c>
      <c r="J265" s="3" t="s">
        <v>26</v>
      </c>
      <c r="K265" s="3" t="s">
        <v>38</v>
      </c>
      <c r="L265" t="str">
        <f>IFERROR(VLOOKUP(D265,Products!$A$2:$F$61,3,FALSE()),"")</f>
        <v>Grocery</v>
      </c>
      <c r="M265" t="str">
        <f>IFERROR(VLOOKUP(E265,Sales_Reps!$A$2:$C$31,3,FALSE()),"")</f>
        <v>North</v>
      </c>
      <c r="N265">
        <f>IFERROR(VLOOKUP(D265,Products!$A$2:$F$61,4,FALSE()),"")</f>
        <v>2911</v>
      </c>
      <c r="O265" t="str">
        <f>IFERROR(VLOOKUP(C265,Customers!$A$2:$F$301,5,FALSE()),"")</f>
        <v>Retail</v>
      </c>
      <c r="P265">
        <f>IFERROR(VLOOKUP(C265,Customers!$A$2:$F$301,3,FALSE()),"")</f>
        <v>40</v>
      </c>
      <c r="Q265">
        <f t="shared" si="12"/>
        <v>0.28300492610837441</v>
      </c>
      <c r="R265">
        <f>IF(AND(COUNTIF($A$2:$A$2027,A265)&gt;1,COUNTIF($A$2:A265,A265)=1),1,0)</f>
        <v>0</v>
      </c>
      <c r="S265" t="b">
        <f>IFERROR(VLOOKUP(D265,Products!$A$2:$F$61,6,FALSE()),"")</f>
        <v>1</v>
      </c>
      <c r="T265" t="str">
        <f>IF(COUNTIF(Customers!$A$2:$A$301,C265)=0,"Missing","OK")</f>
        <v>OK</v>
      </c>
      <c r="U265" t="str">
        <f t="shared" si="13"/>
        <v>Delhi</v>
      </c>
      <c r="V265">
        <f t="shared" si="14"/>
        <v>0</v>
      </c>
    </row>
    <row r="266" spans="1:22" ht="15" customHeight="1" x14ac:dyDescent="0.35">
      <c r="A266" s="3" t="s">
        <v>566</v>
      </c>
      <c r="B266" s="4">
        <v>45465</v>
      </c>
      <c r="C266" s="3" t="s">
        <v>567</v>
      </c>
      <c r="D266" s="3" t="s">
        <v>63</v>
      </c>
      <c r="E266" s="3" t="s">
        <v>93</v>
      </c>
      <c r="F266" s="5">
        <v>6</v>
      </c>
      <c r="G266" s="5">
        <v>5490</v>
      </c>
      <c r="H266" s="5">
        <v>8.4</v>
      </c>
      <c r="I266" s="5">
        <v>30173.040000000001</v>
      </c>
      <c r="J266" s="3" t="s">
        <v>26</v>
      </c>
      <c r="K266" s="3" t="s">
        <v>72</v>
      </c>
      <c r="L266" t="str">
        <f>IFERROR(VLOOKUP(D266,Products!$A$2:$F$61,3,FALSE()),"")</f>
        <v>Home</v>
      </c>
      <c r="M266" t="str">
        <f>IFERROR(VLOOKUP(E266,Sales_Reps!$A$2:$C$31,3,FALSE()),"")</f>
        <v>East</v>
      </c>
      <c r="N266">
        <f>IFERROR(VLOOKUP(D266,Products!$A$2:$F$61,4,FALSE()),"")</f>
        <v>2549</v>
      </c>
      <c r="O266" t="str">
        <f>IFERROR(VLOOKUP(C266,Customers!$A$2:$F$301,5,FALSE()),"")</f>
        <v>Corporate</v>
      </c>
      <c r="P266">
        <f>IFERROR(VLOOKUP(C266,Customers!$A$2:$F$301,3,FALSE()),"")</f>
        <v>22</v>
      </c>
      <c r="Q266">
        <f t="shared" si="12"/>
        <v>0.53570127504553733</v>
      </c>
      <c r="R266">
        <f>IF(AND(COUNTIF($A$2:$A$2027,A266)&gt;1,COUNTIF($A$2:A266,A266)=1),1,0)</f>
        <v>0</v>
      </c>
      <c r="S266" t="b">
        <f>IFERROR(VLOOKUP(D266,Products!$A$2:$F$61,6,FALSE()),"")</f>
        <v>1</v>
      </c>
      <c r="T266" t="str">
        <f>IF(COUNTIF(Customers!$A$2:$A$301,C266)=0,"Missing","OK")</f>
        <v>OK</v>
      </c>
      <c r="U266" t="str">
        <f t="shared" si="13"/>
        <v>Hyderabad</v>
      </c>
      <c r="V266">
        <f t="shared" si="14"/>
        <v>0</v>
      </c>
    </row>
    <row r="267" spans="1:22" ht="15" customHeight="1" x14ac:dyDescent="0.35">
      <c r="A267" s="3" t="s">
        <v>568</v>
      </c>
      <c r="B267" s="4">
        <v>45407</v>
      </c>
      <c r="C267" s="3" t="s">
        <v>424</v>
      </c>
      <c r="D267" s="3" t="s">
        <v>49</v>
      </c>
      <c r="E267" s="3" t="s">
        <v>242</v>
      </c>
      <c r="F267" s="5">
        <v>6</v>
      </c>
      <c r="G267" s="5">
        <v>370</v>
      </c>
      <c r="H267" s="5">
        <v>15.1</v>
      </c>
      <c r="I267" s="5">
        <v>1884.78</v>
      </c>
      <c r="J267" s="3" t="s">
        <v>26</v>
      </c>
      <c r="K267" s="3" t="s">
        <v>27</v>
      </c>
      <c r="L267" t="str">
        <f>IFERROR(VLOOKUP(D267,Products!$A$2:$F$61,3,FALSE()),"")</f>
        <v>Home</v>
      </c>
      <c r="M267" t="str">
        <f>IFERROR(VLOOKUP(E267,Sales_Reps!$A$2:$C$31,3,FALSE()),"")</f>
        <v>East</v>
      </c>
      <c r="N267">
        <f>IFERROR(VLOOKUP(D267,Products!$A$2:$F$61,4,FALSE()),"")</f>
        <v>288</v>
      </c>
      <c r="O267" t="str">
        <f>IFERROR(VLOOKUP(C267,Customers!$A$2:$F$301,5,FALSE()),"")</f>
        <v>Retail</v>
      </c>
      <c r="P267">
        <f>IFERROR(VLOOKUP(C267,Customers!$A$2:$F$301,3,FALSE()),"")</f>
        <v>49</v>
      </c>
      <c r="Q267">
        <f t="shared" si="12"/>
        <v>0.22162162162162163</v>
      </c>
      <c r="R267">
        <f>IF(AND(COUNTIF($A$2:$A$2027,A267)&gt;1,COUNTIF($A$2:A267,A267)=1),1,0)</f>
        <v>0</v>
      </c>
      <c r="S267" t="b">
        <f>IFERROR(VLOOKUP(D267,Products!$A$2:$F$61,6,FALSE()),"")</f>
        <v>1</v>
      </c>
      <c r="T267" t="str">
        <f>IF(COUNTIF(Customers!$A$2:$A$301,C267)=0,"Missing","OK")</f>
        <v>OK</v>
      </c>
      <c r="U267" t="str">
        <f t="shared" si="13"/>
        <v>Pune</v>
      </c>
      <c r="V267">
        <f t="shared" si="14"/>
        <v>0</v>
      </c>
    </row>
    <row r="268" spans="1:22" ht="15" customHeight="1" x14ac:dyDescent="0.35">
      <c r="A268" s="3" t="s">
        <v>569</v>
      </c>
      <c r="B268" s="4">
        <v>45405</v>
      </c>
      <c r="C268" s="3" t="s">
        <v>296</v>
      </c>
      <c r="D268" s="3" t="s">
        <v>231</v>
      </c>
      <c r="E268" s="3" t="s">
        <v>93</v>
      </c>
      <c r="F268" s="5">
        <v>5</v>
      </c>
      <c r="G268" s="5">
        <v>620</v>
      </c>
      <c r="H268" s="5">
        <v>13.1</v>
      </c>
      <c r="I268" s="5">
        <v>2693.9</v>
      </c>
      <c r="J268" s="3" t="s">
        <v>79</v>
      </c>
      <c r="K268" s="3" t="s">
        <v>38</v>
      </c>
      <c r="L268" t="str">
        <f>IFERROR(VLOOKUP(D268,Products!$A$2:$F$61,3,FALSE()),"")</f>
        <v>Apparel</v>
      </c>
      <c r="M268" t="str">
        <f>IFERROR(VLOOKUP(E268,Sales_Reps!$A$2:$C$31,3,FALSE()),"")</f>
        <v>East</v>
      </c>
      <c r="N268">
        <f>IFERROR(VLOOKUP(D268,Products!$A$2:$F$61,4,FALSE()),"")</f>
        <v>396</v>
      </c>
      <c r="O268" t="str">
        <f>IFERROR(VLOOKUP(C268,Customers!$A$2:$F$301,5,FALSE()),"")</f>
        <v>SMB</v>
      </c>
      <c r="P268">
        <f>IFERROR(VLOOKUP(C268,Customers!$A$2:$F$301,3,FALSE()),"")</f>
        <v>38</v>
      </c>
      <c r="Q268">
        <f t="shared" si="12"/>
        <v>0.36129032258064514</v>
      </c>
      <c r="R268">
        <f>IF(AND(COUNTIF($A$2:$A$2027,A268)&gt;1,COUNTIF($A$2:A268,A268)=1),1,0)</f>
        <v>0</v>
      </c>
      <c r="S268" t="b">
        <f>IFERROR(VLOOKUP(D268,Products!$A$2:$F$61,6,FALSE()),"")</f>
        <v>1</v>
      </c>
      <c r="T268" t="str">
        <f>IF(COUNTIF(Customers!$A$2:$A$301,C268)=0,"Missing","OK")</f>
        <v>OK</v>
      </c>
      <c r="U268" t="str">
        <f t="shared" si="13"/>
        <v>Delhi</v>
      </c>
      <c r="V268">
        <f t="shared" si="14"/>
        <v>0</v>
      </c>
    </row>
    <row r="269" spans="1:22" ht="15" customHeight="1" x14ac:dyDescent="0.35">
      <c r="A269" s="3" t="s">
        <v>570</v>
      </c>
      <c r="B269" s="4">
        <v>45332</v>
      </c>
      <c r="C269" s="3" t="s">
        <v>281</v>
      </c>
      <c r="D269" s="3" t="s">
        <v>82</v>
      </c>
      <c r="E269" s="3" t="s">
        <v>168</v>
      </c>
      <c r="F269" s="5">
        <v>9</v>
      </c>
      <c r="G269" s="5">
        <v>3250</v>
      </c>
      <c r="H269" s="5">
        <v>16.5</v>
      </c>
      <c r="I269" s="5">
        <v>24423.75</v>
      </c>
      <c r="J269" s="3" t="s">
        <v>26</v>
      </c>
      <c r="K269" s="3" t="s">
        <v>33</v>
      </c>
      <c r="L269" t="str">
        <f>IFERROR(VLOOKUP(D269,Products!$A$2:$F$61,3,FALSE()),"")</f>
        <v>Home</v>
      </c>
      <c r="M269" t="str">
        <f>IFERROR(VLOOKUP(E269,Sales_Reps!$A$2:$C$31,3,FALSE()),"")</f>
        <v>West</v>
      </c>
      <c r="N269">
        <f>IFERROR(VLOOKUP(D269,Products!$A$2:$F$61,4,FALSE()),"")</f>
        <v>1556</v>
      </c>
      <c r="O269" t="str">
        <f>IFERROR(VLOOKUP(C269,Customers!$A$2:$F$301,5,FALSE()),"")</f>
        <v>Retail</v>
      </c>
      <c r="P269">
        <f>IFERROR(VLOOKUP(C269,Customers!$A$2:$F$301,3,FALSE()),"")</f>
        <v>26</v>
      </c>
      <c r="Q269">
        <f t="shared" si="12"/>
        <v>0.52123076923076928</v>
      </c>
      <c r="R269">
        <f>IF(AND(COUNTIF($A$2:$A$2027,A269)&gt;1,COUNTIF($A$2:A269,A269)=1),1,0)</f>
        <v>1</v>
      </c>
      <c r="S269" t="b">
        <f>IFERROR(VLOOKUP(D269,Products!$A$2:$F$61,6,FALSE()),"")</f>
        <v>1</v>
      </c>
      <c r="T269" t="str">
        <f>IF(COUNTIF(Customers!$A$2:$A$301,C269)=0,"Missing","OK")</f>
        <v>OK</v>
      </c>
      <c r="U269" t="str">
        <f t="shared" si="13"/>
        <v>Chennai</v>
      </c>
      <c r="V269">
        <f t="shared" si="14"/>
        <v>0</v>
      </c>
    </row>
    <row r="270" spans="1:22" ht="15" customHeight="1" x14ac:dyDescent="0.35">
      <c r="A270" s="3" t="s">
        <v>571</v>
      </c>
      <c r="B270" s="4">
        <v>45299</v>
      </c>
      <c r="C270" s="3" t="s">
        <v>167</v>
      </c>
      <c r="D270" s="3" t="s">
        <v>180</v>
      </c>
      <c r="E270" s="3" t="s">
        <v>212</v>
      </c>
      <c r="F270" s="5">
        <v>1</v>
      </c>
      <c r="G270" s="5">
        <v>6080</v>
      </c>
      <c r="H270" s="5">
        <v>0.1</v>
      </c>
      <c r="I270" s="5">
        <v>6073.92</v>
      </c>
      <c r="J270" s="3" t="s">
        <v>26</v>
      </c>
      <c r="K270" s="3" t="s">
        <v>51</v>
      </c>
      <c r="L270" t="str">
        <f>IFERROR(VLOOKUP(D270,Products!$A$2:$F$61,3,FALSE()),"")</f>
        <v>Beauty</v>
      </c>
      <c r="M270" t="str">
        <f>IFERROR(VLOOKUP(E270,Sales_Reps!$A$2:$C$31,3,FALSE()),"")</f>
        <v>South</v>
      </c>
      <c r="N270">
        <f>IFERROR(VLOOKUP(D270,Products!$A$2:$F$61,4,FALSE()),"")</f>
        <v>2617</v>
      </c>
      <c r="O270" t="str">
        <f>IFERROR(VLOOKUP(C270,Customers!$A$2:$F$301,5,FALSE()),"")</f>
        <v>SMB</v>
      </c>
      <c r="P270">
        <f>IFERROR(VLOOKUP(C270,Customers!$A$2:$F$301,3,FALSE()),"")</f>
        <v>54</v>
      </c>
      <c r="Q270">
        <f t="shared" si="12"/>
        <v>0.56957236842105263</v>
      </c>
      <c r="R270">
        <f>IF(AND(COUNTIF($A$2:$A$2027,A270)&gt;1,COUNTIF($A$2:A270,A270)=1),1,0)</f>
        <v>0</v>
      </c>
      <c r="S270" t="b">
        <f>IFERROR(VLOOKUP(D270,Products!$A$2:$F$61,6,FALSE()),"")</f>
        <v>1</v>
      </c>
      <c r="T270" t="str">
        <f>IF(COUNTIF(Customers!$A$2:$A$301,C270)=0,"Missing","OK")</f>
        <v>OK</v>
      </c>
      <c r="U270" t="str">
        <f t="shared" si="13"/>
        <v>Mumbai</v>
      </c>
      <c r="V270">
        <f t="shared" si="14"/>
        <v>0</v>
      </c>
    </row>
    <row r="271" spans="1:22" ht="15" customHeight="1" x14ac:dyDescent="0.35">
      <c r="A271" s="3" t="s">
        <v>572</v>
      </c>
      <c r="B271" s="4">
        <v>45386</v>
      </c>
      <c r="C271" s="3" t="s">
        <v>528</v>
      </c>
      <c r="D271" s="3" t="s">
        <v>176</v>
      </c>
      <c r="E271" s="3" t="s">
        <v>37</v>
      </c>
      <c r="F271" s="5">
        <v>8</v>
      </c>
      <c r="G271" s="5">
        <v>3640</v>
      </c>
      <c r="H271" s="5">
        <v>13.5</v>
      </c>
      <c r="I271" s="5">
        <v>25188.799999999999</v>
      </c>
      <c r="J271" s="3" t="s">
        <v>26</v>
      </c>
      <c r="K271" s="3" t="s">
        <v>33</v>
      </c>
      <c r="L271" t="str">
        <f>IFERROR(VLOOKUP(D271,Products!$A$2:$F$61,3,FALSE()),"")</f>
        <v>Apparel</v>
      </c>
      <c r="M271" t="str">
        <f>IFERROR(VLOOKUP(E271,Sales_Reps!$A$2:$C$31,3,FALSE()),"")</f>
        <v>South</v>
      </c>
      <c r="N271">
        <f>IFERROR(VLOOKUP(D271,Products!$A$2:$F$61,4,FALSE()),"")</f>
        <v>2611</v>
      </c>
      <c r="O271" t="str">
        <f>IFERROR(VLOOKUP(C271,Customers!$A$2:$F$301,5,FALSE()),"")</f>
        <v>Corporate</v>
      </c>
      <c r="P271">
        <f>IFERROR(VLOOKUP(C271,Customers!$A$2:$F$301,3,FALSE()),"")</f>
        <v>30</v>
      </c>
      <c r="Q271">
        <f t="shared" si="12"/>
        <v>0.28269230769230769</v>
      </c>
      <c r="R271">
        <f>IF(AND(COUNTIF($A$2:$A$2027,A271)&gt;1,COUNTIF($A$2:A271,A271)=1),1,0)</f>
        <v>0</v>
      </c>
      <c r="S271" t="b">
        <f>IFERROR(VLOOKUP(D271,Products!$A$2:$F$61,6,FALSE()),"")</f>
        <v>1</v>
      </c>
      <c r="T271" t="str">
        <f>IF(COUNTIF(Customers!$A$2:$A$301,C271)=0,"Missing","OK")</f>
        <v>OK</v>
      </c>
      <c r="U271" t="str">
        <f t="shared" si="13"/>
        <v>Chennai</v>
      </c>
      <c r="V271">
        <f t="shared" si="14"/>
        <v>0</v>
      </c>
    </row>
    <row r="272" spans="1:22" ht="15" customHeight="1" x14ac:dyDescent="0.35">
      <c r="A272" s="3" t="s">
        <v>573</v>
      </c>
      <c r="B272" s="4">
        <v>45472</v>
      </c>
      <c r="C272" s="3" t="s">
        <v>574</v>
      </c>
      <c r="D272" s="3" t="s">
        <v>45</v>
      </c>
      <c r="E272" s="3" t="s">
        <v>31</v>
      </c>
      <c r="F272" s="5">
        <v>9</v>
      </c>
      <c r="G272" s="5">
        <v>3160</v>
      </c>
      <c r="H272" s="5">
        <v>29.7</v>
      </c>
      <c r="I272" s="5">
        <v>19993.32</v>
      </c>
      <c r="J272" s="3" t="s">
        <v>26</v>
      </c>
      <c r="K272" s="3" t="s">
        <v>38</v>
      </c>
      <c r="L272" t="str">
        <f>IFERROR(VLOOKUP(D272,Products!$A$2:$F$61,3,FALSE()),"")</f>
        <v>Apparel</v>
      </c>
      <c r="M272" t="str">
        <f>IFERROR(VLOOKUP(E272,Sales_Reps!$A$2:$C$31,3,FALSE()),"")</f>
        <v>North</v>
      </c>
      <c r="N272">
        <f>IFERROR(VLOOKUP(D272,Products!$A$2:$F$61,4,FALSE()),"")</f>
        <v>1886</v>
      </c>
      <c r="O272" t="str">
        <f>IFERROR(VLOOKUP(C272,Customers!$A$2:$F$301,5,FALSE()),"")</f>
        <v>Retail</v>
      </c>
      <c r="P272">
        <f>IFERROR(VLOOKUP(C272,Customers!$A$2:$F$301,3,FALSE()),"")</f>
        <v>49</v>
      </c>
      <c r="Q272">
        <f t="shared" si="12"/>
        <v>0.4031645569620253</v>
      </c>
      <c r="R272">
        <f>IF(AND(COUNTIF($A$2:$A$2027,A272)&gt;1,COUNTIF($A$2:A272,A272)=1),1,0)</f>
        <v>0</v>
      </c>
      <c r="S272" t="b">
        <f>IFERROR(VLOOKUP(D272,Products!$A$2:$F$61,6,FALSE()),"")</f>
        <v>1</v>
      </c>
      <c r="T272" t="str">
        <f>IF(COUNTIF(Customers!$A$2:$A$301,C272)=0,"Missing","OK")</f>
        <v>OK</v>
      </c>
      <c r="U272" t="str">
        <f t="shared" si="13"/>
        <v>Delhi</v>
      </c>
      <c r="V272">
        <f t="shared" si="14"/>
        <v>0</v>
      </c>
    </row>
    <row r="273" spans="1:22" ht="15" customHeight="1" x14ac:dyDescent="0.35">
      <c r="A273" s="3" t="s">
        <v>575</v>
      </c>
      <c r="B273" s="4">
        <v>45428</v>
      </c>
      <c r="C273" s="3" t="s">
        <v>500</v>
      </c>
      <c r="D273" s="3" t="s">
        <v>187</v>
      </c>
      <c r="E273" s="3" t="s">
        <v>25</v>
      </c>
      <c r="F273" s="5">
        <v>2</v>
      </c>
      <c r="G273" s="5">
        <v>3870</v>
      </c>
      <c r="H273" s="5">
        <v>18.100000000000001</v>
      </c>
      <c r="I273" s="5">
        <v>6339.06</v>
      </c>
      <c r="J273" s="3" t="s">
        <v>79</v>
      </c>
      <c r="K273" s="3" t="s">
        <v>72</v>
      </c>
      <c r="L273" t="str">
        <f>IFERROR(VLOOKUP(D273,Products!$A$2:$F$61,3,FALSE()),"")</f>
        <v>Electronics</v>
      </c>
      <c r="M273" t="str">
        <f>IFERROR(VLOOKUP(E273,Sales_Reps!$A$2:$C$31,3,FALSE()),"")</f>
        <v>North</v>
      </c>
      <c r="N273">
        <f>IFERROR(VLOOKUP(D273,Products!$A$2:$F$61,4,FALSE()),"")</f>
        <v>1559</v>
      </c>
      <c r="O273" t="str">
        <f>IFERROR(VLOOKUP(C273,Customers!$A$2:$F$301,5,FALSE()),"")</f>
        <v>SMB</v>
      </c>
      <c r="P273">
        <f>IFERROR(VLOOKUP(C273,Customers!$A$2:$F$301,3,FALSE()),"")</f>
        <v>43</v>
      </c>
      <c r="Q273">
        <f t="shared" si="12"/>
        <v>0.59715762273901807</v>
      </c>
      <c r="R273">
        <f>IF(AND(COUNTIF($A$2:$A$2027,A273)&gt;1,COUNTIF($A$2:A273,A273)=1),1,0)</f>
        <v>0</v>
      </c>
      <c r="S273" t="b">
        <f>IFERROR(VLOOKUP(D273,Products!$A$2:$F$61,6,FALSE()),"")</f>
        <v>1</v>
      </c>
      <c r="T273" t="str">
        <f>IF(COUNTIF(Customers!$A$2:$A$301,C273)=0,"Missing","OK")</f>
        <v>OK</v>
      </c>
      <c r="U273" t="str">
        <f t="shared" si="13"/>
        <v>Hyderabad</v>
      </c>
      <c r="V273">
        <f t="shared" si="14"/>
        <v>0</v>
      </c>
    </row>
    <row r="274" spans="1:22" ht="15" customHeight="1" x14ac:dyDescent="0.35">
      <c r="A274" s="3" t="s">
        <v>576</v>
      </c>
      <c r="B274" s="4">
        <v>45430</v>
      </c>
      <c r="C274" s="3" t="s">
        <v>577</v>
      </c>
      <c r="D274" s="3" t="s">
        <v>142</v>
      </c>
      <c r="E274" s="3" t="s">
        <v>109</v>
      </c>
      <c r="F274" s="5">
        <v>3</v>
      </c>
      <c r="G274" s="5">
        <v>660</v>
      </c>
      <c r="H274" s="5">
        <v>9.1999999999999993</v>
      </c>
      <c r="I274" s="5">
        <v>1797.84</v>
      </c>
      <c r="J274" s="3" t="s">
        <v>26</v>
      </c>
      <c r="K274" s="3" t="s">
        <v>38</v>
      </c>
      <c r="L274" t="str">
        <f>IFERROR(VLOOKUP(D274,Products!$A$2:$F$61,3,FALSE()),"")</f>
        <v>Home</v>
      </c>
      <c r="M274" t="str">
        <f>IFERROR(VLOOKUP(E274,Sales_Reps!$A$2:$C$31,3,FALSE()),"")</f>
        <v>West</v>
      </c>
      <c r="N274">
        <f>IFERROR(VLOOKUP(D274,Products!$A$2:$F$61,4,FALSE()),"")</f>
        <v>329</v>
      </c>
      <c r="O274" t="str">
        <f>IFERROR(VLOOKUP(C274,Customers!$A$2:$F$301,5,FALSE()),"")</f>
        <v>Retail</v>
      </c>
      <c r="P274">
        <f>IFERROR(VLOOKUP(C274,Customers!$A$2:$F$301,3,FALSE()),"")</f>
        <v>43</v>
      </c>
      <c r="Q274">
        <f t="shared" si="12"/>
        <v>0.50151515151515147</v>
      </c>
      <c r="R274">
        <f>IF(AND(COUNTIF($A$2:$A$2027,A274)&gt;1,COUNTIF($A$2:A274,A274)=1),1,0)</f>
        <v>0</v>
      </c>
      <c r="S274" t="b">
        <f>IFERROR(VLOOKUP(D274,Products!$A$2:$F$61,6,FALSE()),"")</f>
        <v>1</v>
      </c>
      <c r="T274" t="str">
        <f>IF(COUNTIF(Customers!$A$2:$A$301,C274)=0,"Missing","OK")</f>
        <v>OK</v>
      </c>
      <c r="U274" t="str">
        <f t="shared" si="13"/>
        <v>Delhi</v>
      </c>
      <c r="V274">
        <f t="shared" si="14"/>
        <v>0</v>
      </c>
    </row>
    <row r="275" spans="1:22" ht="15" customHeight="1" x14ac:dyDescent="0.35">
      <c r="A275" s="3" t="s">
        <v>578</v>
      </c>
      <c r="B275" s="4">
        <v>45418</v>
      </c>
      <c r="C275" s="3" t="s">
        <v>344</v>
      </c>
      <c r="D275" s="3" t="s">
        <v>290</v>
      </c>
      <c r="E275" s="3" t="s">
        <v>191</v>
      </c>
      <c r="F275" s="5">
        <v>4</v>
      </c>
      <c r="G275" s="5">
        <v>4060</v>
      </c>
      <c r="H275" s="5">
        <v>28</v>
      </c>
      <c r="I275" s="5">
        <v>11692.8</v>
      </c>
      <c r="J275" s="3" t="s">
        <v>26</v>
      </c>
      <c r="K275" s="3" t="s">
        <v>33</v>
      </c>
      <c r="L275" t="str">
        <f>IFERROR(VLOOKUP(D275,Products!$A$2:$F$61,3,FALSE()),"")</f>
        <v>Grocery</v>
      </c>
      <c r="M275" t="str">
        <f>IFERROR(VLOOKUP(E275,Sales_Reps!$A$2:$C$31,3,FALSE()),"")</f>
        <v>South</v>
      </c>
      <c r="N275">
        <f>IFERROR(VLOOKUP(D275,Products!$A$2:$F$61,4,FALSE()),"")</f>
        <v>2911</v>
      </c>
      <c r="O275" t="str">
        <f>IFERROR(VLOOKUP(C275,Customers!$A$2:$F$301,5,FALSE()),"")</f>
        <v>Corporate</v>
      </c>
      <c r="P275">
        <f>IFERROR(VLOOKUP(C275,Customers!$A$2:$F$301,3,FALSE()),"")</f>
        <v>24</v>
      </c>
      <c r="Q275">
        <f t="shared" si="12"/>
        <v>0.28300492610837441</v>
      </c>
      <c r="R275">
        <f>IF(AND(COUNTIF($A$2:$A$2027,A275)&gt;1,COUNTIF($A$2:A275,A275)=1),1,0)</f>
        <v>0</v>
      </c>
      <c r="S275" t="b">
        <f>IFERROR(VLOOKUP(D275,Products!$A$2:$F$61,6,FALSE()),"")</f>
        <v>1</v>
      </c>
      <c r="T275" t="str">
        <f>IF(COUNTIF(Customers!$A$2:$A$301,C275)=0,"Missing","OK")</f>
        <v>OK</v>
      </c>
      <c r="U275" t="str">
        <f t="shared" si="13"/>
        <v>Chennai</v>
      </c>
      <c r="V275">
        <f t="shared" si="14"/>
        <v>0</v>
      </c>
    </row>
    <row r="276" spans="1:22" ht="15" customHeight="1" x14ac:dyDescent="0.35">
      <c r="A276" s="3" t="s">
        <v>579</v>
      </c>
      <c r="B276" s="4">
        <v>45360</v>
      </c>
      <c r="C276" s="3" t="s">
        <v>296</v>
      </c>
      <c r="D276" s="3" t="s">
        <v>382</v>
      </c>
      <c r="E276" s="3" t="s">
        <v>285</v>
      </c>
      <c r="F276" s="5">
        <v>2</v>
      </c>
      <c r="G276" s="5">
        <v>5080</v>
      </c>
      <c r="H276" s="5">
        <v>7.7</v>
      </c>
      <c r="I276" s="5">
        <v>9377.68</v>
      </c>
      <c r="J276" s="3" t="s">
        <v>83</v>
      </c>
      <c r="K276" s="3" t="s">
        <v>38</v>
      </c>
      <c r="L276" t="str">
        <f>IFERROR(VLOOKUP(D276,Products!$A$2:$F$61,3,FALSE()),"")</f>
        <v>Home</v>
      </c>
      <c r="M276" t="str">
        <f>IFERROR(VLOOKUP(E276,Sales_Reps!$A$2:$C$31,3,FALSE()),"")</f>
        <v>South</v>
      </c>
      <c r="N276">
        <f>IFERROR(VLOOKUP(D276,Products!$A$2:$F$61,4,FALSE()),"")</f>
        <v>2459</v>
      </c>
      <c r="O276" t="str">
        <f>IFERROR(VLOOKUP(C276,Customers!$A$2:$F$301,5,FALSE()),"")</f>
        <v>SMB</v>
      </c>
      <c r="P276">
        <f>IFERROR(VLOOKUP(C276,Customers!$A$2:$F$301,3,FALSE()),"")</f>
        <v>38</v>
      </c>
      <c r="Q276">
        <f t="shared" si="12"/>
        <v>0.51594488188976373</v>
      </c>
      <c r="R276">
        <f>IF(AND(COUNTIF($A$2:$A$2027,A276)&gt;1,COUNTIF($A$2:A276,A276)=1),1,0)</f>
        <v>0</v>
      </c>
      <c r="S276" t="b">
        <f>IFERROR(VLOOKUP(D276,Products!$A$2:$F$61,6,FALSE()),"")</f>
        <v>1</v>
      </c>
      <c r="T276" t="str">
        <f>IF(COUNTIF(Customers!$A$2:$A$301,C276)=0,"Missing","OK")</f>
        <v>OK</v>
      </c>
      <c r="U276" t="str">
        <f t="shared" si="13"/>
        <v>Delhi</v>
      </c>
      <c r="V276">
        <f t="shared" si="14"/>
        <v>0</v>
      </c>
    </row>
    <row r="277" spans="1:22" ht="15" customHeight="1" x14ac:dyDescent="0.35">
      <c r="A277" s="3" t="s">
        <v>580</v>
      </c>
      <c r="B277" s="4">
        <v>45296</v>
      </c>
      <c r="C277" s="3" t="s">
        <v>251</v>
      </c>
      <c r="D277" s="3" t="s">
        <v>126</v>
      </c>
      <c r="E277" s="3" t="s">
        <v>31</v>
      </c>
      <c r="F277" s="5">
        <v>3</v>
      </c>
      <c r="G277" s="5">
        <v>3570</v>
      </c>
      <c r="H277" s="5">
        <v>9.5</v>
      </c>
      <c r="I277" s="5">
        <v>9692.5499999999993</v>
      </c>
      <c r="J277" s="3" t="s">
        <v>26</v>
      </c>
      <c r="K277" s="3" t="s">
        <v>72</v>
      </c>
      <c r="L277" t="str">
        <f>IFERROR(VLOOKUP(D277,Products!$A$2:$F$61,3,FALSE()),"")</f>
        <v>Electronics</v>
      </c>
      <c r="M277" t="str">
        <f>IFERROR(VLOOKUP(E277,Sales_Reps!$A$2:$C$31,3,FALSE()),"")</f>
        <v>North</v>
      </c>
      <c r="N277">
        <f>IFERROR(VLOOKUP(D277,Products!$A$2:$F$61,4,FALSE()),"")</f>
        <v>1665</v>
      </c>
      <c r="O277" t="str">
        <f>IFERROR(VLOOKUP(C277,Customers!$A$2:$F$301,5,FALSE()),"")</f>
        <v>Retail</v>
      </c>
      <c r="P277">
        <f>IFERROR(VLOOKUP(C277,Customers!$A$2:$F$301,3,FALSE()),"")</f>
        <v>46</v>
      </c>
      <c r="Q277">
        <f t="shared" si="12"/>
        <v>0.53361344537815125</v>
      </c>
      <c r="R277">
        <f>IF(AND(COUNTIF($A$2:$A$2027,A277)&gt;1,COUNTIF($A$2:A277,A277)=1),1,0)</f>
        <v>0</v>
      </c>
      <c r="S277" t="b">
        <f>IFERROR(VLOOKUP(D277,Products!$A$2:$F$61,6,FALSE()),"")</f>
        <v>1</v>
      </c>
      <c r="T277" t="str">
        <f>IF(COUNTIF(Customers!$A$2:$A$301,C277)=0,"Missing","OK")</f>
        <v>OK</v>
      </c>
      <c r="U277" t="str">
        <f t="shared" si="13"/>
        <v>Hyderabad</v>
      </c>
      <c r="V277">
        <f t="shared" si="14"/>
        <v>0</v>
      </c>
    </row>
    <row r="278" spans="1:22" ht="15" customHeight="1" x14ac:dyDescent="0.35">
      <c r="A278" s="3" t="s">
        <v>581</v>
      </c>
      <c r="B278" s="4">
        <v>45460</v>
      </c>
      <c r="C278" s="3" t="s">
        <v>582</v>
      </c>
      <c r="D278" s="3" t="s">
        <v>231</v>
      </c>
      <c r="E278" s="3" t="s">
        <v>131</v>
      </c>
      <c r="F278" s="5">
        <v>2</v>
      </c>
      <c r="G278" s="5">
        <v>620</v>
      </c>
      <c r="H278" s="5">
        <v>29.5</v>
      </c>
      <c r="I278" s="5">
        <v>874.2</v>
      </c>
      <c r="J278" s="3" t="s">
        <v>26</v>
      </c>
      <c r="K278" s="3" t="s">
        <v>51</v>
      </c>
      <c r="L278" t="str">
        <f>IFERROR(VLOOKUP(D278,Products!$A$2:$F$61,3,FALSE()),"")</f>
        <v>Apparel</v>
      </c>
      <c r="M278" t="str">
        <f>IFERROR(VLOOKUP(E278,Sales_Reps!$A$2:$C$31,3,FALSE()),"")</f>
        <v>East</v>
      </c>
      <c r="N278">
        <f>IFERROR(VLOOKUP(D278,Products!$A$2:$F$61,4,FALSE()),"")</f>
        <v>396</v>
      </c>
      <c r="O278" t="str">
        <f>IFERROR(VLOOKUP(C278,Customers!$A$2:$F$301,5,FALSE()),"")</f>
        <v>SMB</v>
      </c>
      <c r="P278">
        <f>IFERROR(VLOOKUP(C278,Customers!$A$2:$F$301,3,FALSE()),"")</f>
        <v>27</v>
      </c>
      <c r="Q278">
        <f t="shared" si="12"/>
        <v>0.36129032258064514</v>
      </c>
      <c r="R278">
        <f>IF(AND(COUNTIF($A$2:$A$2027,A278)&gt;1,COUNTIF($A$2:A278,A278)=1),1,0)</f>
        <v>0</v>
      </c>
      <c r="S278" t="b">
        <f>IFERROR(VLOOKUP(D278,Products!$A$2:$F$61,6,FALSE()),"")</f>
        <v>1</v>
      </c>
      <c r="T278" t="str">
        <f>IF(COUNTIF(Customers!$A$2:$A$301,C278)=0,"Missing","OK")</f>
        <v>OK</v>
      </c>
      <c r="U278" t="str">
        <f t="shared" si="13"/>
        <v>Mumbai</v>
      </c>
      <c r="V278">
        <f t="shared" si="14"/>
        <v>0</v>
      </c>
    </row>
    <row r="279" spans="1:22" ht="15" customHeight="1" x14ac:dyDescent="0.35">
      <c r="A279" s="3" t="s">
        <v>583</v>
      </c>
      <c r="B279" s="4">
        <v>45638</v>
      </c>
      <c r="C279" s="3" t="s">
        <v>342</v>
      </c>
      <c r="D279" s="3" t="s">
        <v>391</v>
      </c>
      <c r="E279" s="3" t="s">
        <v>191</v>
      </c>
      <c r="F279" s="5">
        <v>3</v>
      </c>
      <c r="G279" s="5">
        <v>3450</v>
      </c>
      <c r="H279" s="5">
        <v>3</v>
      </c>
      <c r="I279" s="5">
        <v>10039.5</v>
      </c>
      <c r="J279" s="3" t="s">
        <v>26</v>
      </c>
      <c r="K279" s="3" t="s">
        <v>56</v>
      </c>
      <c r="L279" t="str">
        <f>IFERROR(VLOOKUP(D279,Products!$A$2:$F$61,3,FALSE()),"")</f>
        <v>Apparel</v>
      </c>
      <c r="M279" t="str">
        <f>IFERROR(VLOOKUP(E279,Sales_Reps!$A$2:$C$31,3,FALSE()),"")</f>
        <v>South</v>
      </c>
      <c r="N279">
        <f>IFERROR(VLOOKUP(D279,Products!$A$2:$F$61,4,FALSE()),"")</f>
        <v>1748</v>
      </c>
      <c r="O279" t="str">
        <f>IFERROR(VLOOKUP(C279,Customers!$A$2:$F$301,5,FALSE()),"")</f>
        <v>Retail</v>
      </c>
      <c r="P279">
        <f>IFERROR(VLOOKUP(C279,Customers!$A$2:$F$301,3,FALSE()),"")</f>
        <v>59</v>
      </c>
      <c r="Q279">
        <f t="shared" si="12"/>
        <v>0.49333333333333335</v>
      </c>
      <c r="R279">
        <f>IF(AND(COUNTIF($A$2:$A$2027,A279)&gt;1,COUNTIF($A$2:A279,A279)=1),1,0)</f>
        <v>0</v>
      </c>
      <c r="S279" t="b">
        <f>IFERROR(VLOOKUP(D279,Products!$A$2:$F$61,6,FALSE()),"")</f>
        <v>1</v>
      </c>
      <c r="T279" t="str">
        <f>IF(COUNTIF(Customers!$A$2:$A$301,C279)=0,"Missing","OK")</f>
        <v>OK</v>
      </c>
      <c r="U279" t="str">
        <f t="shared" si="13"/>
        <v>Bengaluru</v>
      </c>
      <c r="V279">
        <f t="shared" si="14"/>
        <v>0</v>
      </c>
    </row>
    <row r="280" spans="1:22" ht="15" customHeight="1" x14ac:dyDescent="0.35">
      <c r="A280" s="3" t="s">
        <v>584</v>
      </c>
      <c r="B280" s="4">
        <v>45408</v>
      </c>
      <c r="C280" s="3" t="s">
        <v>461</v>
      </c>
      <c r="D280" s="3" t="s">
        <v>130</v>
      </c>
      <c r="E280" s="3" t="s">
        <v>42</v>
      </c>
      <c r="F280" s="5">
        <v>7</v>
      </c>
      <c r="G280" s="5">
        <v>5100</v>
      </c>
      <c r="H280" s="5">
        <v>4.3</v>
      </c>
      <c r="I280" s="5">
        <v>34164.9</v>
      </c>
      <c r="J280" s="3" t="s">
        <v>26</v>
      </c>
      <c r="K280" s="3" t="s">
        <v>38</v>
      </c>
      <c r="L280" t="str">
        <f>IFERROR(VLOOKUP(D280,Products!$A$2:$F$61,3,FALSE()),"")</f>
        <v>Beauty</v>
      </c>
      <c r="M280" t="str">
        <f>IFERROR(VLOOKUP(E280,Sales_Reps!$A$2:$C$31,3,FALSE()),"")</f>
        <v>North</v>
      </c>
      <c r="N280">
        <f>IFERROR(VLOOKUP(D280,Products!$A$2:$F$61,4,FALSE()),"")</f>
        <v>2237</v>
      </c>
      <c r="O280" t="str">
        <f>IFERROR(VLOOKUP(C280,Customers!$A$2:$F$301,5,FALSE()),"")</f>
        <v>SMB</v>
      </c>
      <c r="P280">
        <f>IFERROR(VLOOKUP(C280,Customers!$A$2:$F$301,3,FALSE()),"")</f>
        <v>55</v>
      </c>
      <c r="Q280">
        <f t="shared" si="12"/>
        <v>0.56137254901960787</v>
      </c>
      <c r="R280">
        <f>IF(AND(COUNTIF($A$2:$A$2027,A280)&gt;1,COUNTIF($A$2:A280,A280)=1),1,0)</f>
        <v>0</v>
      </c>
      <c r="S280" t="b">
        <f>IFERROR(VLOOKUP(D280,Products!$A$2:$F$61,6,FALSE()),"")</f>
        <v>1</v>
      </c>
      <c r="T280" t="str">
        <f>IF(COUNTIF(Customers!$A$2:$A$301,C280)=0,"Missing","OK")</f>
        <v>OK</v>
      </c>
      <c r="U280" t="str">
        <f t="shared" si="13"/>
        <v>Delhi</v>
      </c>
      <c r="V280">
        <f t="shared" si="14"/>
        <v>0</v>
      </c>
    </row>
    <row r="281" spans="1:22" ht="15" customHeight="1" x14ac:dyDescent="0.35">
      <c r="A281" s="3" t="s">
        <v>585</v>
      </c>
      <c r="B281" s="4">
        <v>45541</v>
      </c>
      <c r="C281" s="3" t="s">
        <v>368</v>
      </c>
      <c r="D281" s="3" t="s">
        <v>187</v>
      </c>
      <c r="E281" s="3" t="s">
        <v>87</v>
      </c>
      <c r="F281" s="5">
        <v>9</v>
      </c>
      <c r="G281" s="5">
        <v>3870</v>
      </c>
      <c r="H281" s="5">
        <v>4.8</v>
      </c>
      <c r="I281" s="5">
        <v>33158.160000000003</v>
      </c>
      <c r="J281" s="3" t="s">
        <v>26</v>
      </c>
      <c r="K281" s="3" t="s">
        <v>56</v>
      </c>
      <c r="L281" t="str">
        <f>IFERROR(VLOOKUP(D281,Products!$A$2:$F$61,3,FALSE()),"")</f>
        <v>Electronics</v>
      </c>
      <c r="M281" t="str">
        <f>IFERROR(VLOOKUP(E281,Sales_Reps!$A$2:$C$31,3,FALSE()),"")</f>
        <v>North</v>
      </c>
      <c r="N281">
        <f>IFERROR(VLOOKUP(D281,Products!$A$2:$F$61,4,FALSE()),"")</f>
        <v>1559</v>
      </c>
      <c r="O281" t="str">
        <f>IFERROR(VLOOKUP(C281,Customers!$A$2:$F$301,5,FALSE()),"")</f>
        <v>Retail</v>
      </c>
      <c r="P281">
        <f>IFERROR(VLOOKUP(C281,Customers!$A$2:$F$301,3,FALSE()),"")</f>
        <v>55</v>
      </c>
      <c r="Q281">
        <f t="shared" si="12"/>
        <v>0.59715762273901807</v>
      </c>
      <c r="R281">
        <f>IF(AND(COUNTIF($A$2:$A$2027,A281)&gt;1,COUNTIF($A$2:A281,A281)=1),1,0)</f>
        <v>0</v>
      </c>
      <c r="S281" t="b">
        <f>IFERROR(VLOOKUP(D281,Products!$A$2:$F$61,6,FALSE()),"")</f>
        <v>1</v>
      </c>
      <c r="T281" t="str">
        <f>IF(COUNTIF(Customers!$A$2:$A$301,C281)=0,"Missing","OK")</f>
        <v>OK</v>
      </c>
      <c r="U281" t="str">
        <f t="shared" si="13"/>
        <v>Bengaluru</v>
      </c>
      <c r="V281">
        <f t="shared" si="14"/>
        <v>0</v>
      </c>
    </row>
    <row r="282" spans="1:22" ht="15" customHeight="1" x14ac:dyDescent="0.35">
      <c r="A282" s="3" t="s">
        <v>586</v>
      </c>
      <c r="B282" s="4">
        <v>45633</v>
      </c>
      <c r="C282" s="3" t="s">
        <v>547</v>
      </c>
      <c r="D282" s="3" t="s">
        <v>206</v>
      </c>
      <c r="E282" s="3" t="s">
        <v>168</v>
      </c>
      <c r="F282" s="5">
        <v>5</v>
      </c>
      <c r="G282" s="5">
        <v>1220</v>
      </c>
      <c r="H282" s="5">
        <v>4</v>
      </c>
      <c r="I282" s="5">
        <v>5856</v>
      </c>
      <c r="J282" s="3" t="s">
        <v>79</v>
      </c>
      <c r="K282" s="3" t="s">
        <v>27</v>
      </c>
      <c r="L282" t="str">
        <f>IFERROR(VLOOKUP(D282,Products!$A$2:$F$61,3,FALSE()),"")</f>
        <v>Electronics</v>
      </c>
      <c r="M282" t="str">
        <f>IFERROR(VLOOKUP(E282,Sales_Reps!$A$2:$C$31,3,FALSE()),"")</f>
        <v>West</v>
      </c>
      <c r="N282">
        <f>IFERROR(VLOOKUP(D282,Products!$A$2:$F$61,4,FALSE()),"")</f>
        <v>517</v>
      </c>
      <c r="O282" t="str">
        <f>IFERROR(VLOOKUP(C282,Customers!$A$2:$F$301,5,FALSE()),"")</f>
        <v>Corporate</v>
      </c>
      <c r="P282">
        <f>IFERROR(VLOOKUP(C282,Customers!$A$2:$F$301,3,FALSE()),"")</f>
        <v>40</v>
      </c>
      <c r="Q282">
        <f t="shared" si="12"/>
        <v>0.57622950819672136</v>
      </c>
      <c r="R282">
        <f>IF(AND(COUNTIF($A$2:$A$2027,A282)&gt;1,COUNTIF($A$2:A282,A282)=1),1,0)</f>
        <v>0</v>
      </c>
      <c r="S282" t="b">
        <f>IFERROR(VLOOKUP(D282,Products!$A$2:$F$61,6,FALSE()),"")</f>
        <v>1</v>
      </c>
      <c r="T282" t="str">
        <f>IF(COUNTIF(Customers!$A$2:$A$301,C282)=0,"Missing","OK")</f>
        <v>OK</v>
      </c>
      <c r="U282" t="str">
        <f t="shared" si="13"/>
        <v>Pune</v>
      </c>
      <c r="V282">
        <f t="shared" si="14"/>
        <v>0</v>
      </c>
    </row>
    <row r="283" spans="1:22" ht="15" customHeight="1" x14ac:dyDescent="0.35">
      <c r="A283" s="3" t="s">
        <v>587</v>
      </c>
      <c r="B283" s="4">
        <v>45338</v>
      </c>
      <c r="C283" s="3" t="s">
        <v>105</v>
      </c>
      <c r="D283" s="3" t="s">
        <v>63</v>
      </c>
      <c r="E283" s="3" t="s">
        <v>93</v>
      </c>
      <c r="F283" s="5">
        <v>5</v>
      </c>
      <c r="G283" s="5">
        <v>5490</v>
      </c>
      <c r="H283" s="5">
        <v>19.8</v>
      </c>
      <c r="I283" s="5">
        <v>22014.9</v>
      </c>
      <c r="J283" s="3" t="s">
        <v>26</v>
      </c>
      <c r="K283" s="3" t="s">
        <v>72</v>
      </c>
      <c r="L283" t="str">
        <f>IFERROR(VLOOKUP(D283,Products!$A$2:$F$61,3,FALSE()),"")</f>
        <v>Home</v>
      </c>
      <c r="M283" t="str">
        <f>IFERROR(VLOOKUP(E283,Sales_Reps!$A$2:$C$31,3,FALSE()),"")</f>
        <v>East</v>
      </c>
      <c r="N283">
        <f>IFERROR(VLOOKUP(D283,Products!$A$2:$F$61,4,FALSE()),"")</f>
        <v>2549</v>
      </c>
      <c r="O283" t="str">
        <f>IFERROR(VLOOKUP(C283,Customers!$A$2:$F$301,5,FALSE()),"")</f>
        <v>Retail</v>
      </c>
      <c r="P283">
        <f>IFERROR(VLOOKUP(C283,Customers!$A$2:$F$301,3,FALSE()),"")</f>
        <v>32</v>
      </c>
      <c r="Q283">
        <f t="shared" si="12"/>
        <v>0.53570127504553733</v>
      </c>
      <c r="R283">
        <f>IF(AND(COUNTIF($A$2:$A$2027,A283)&gt;1,COUNTIF($A$2:A283,A283)=1),1,0)</f>
        <v>0</v>
      </c>
      <c r="S283" t="b">
        <f>IFERROR(VLOOKUP(D283,Products!$A$2:$F$61,6,FALSE()),"")</f>
        <v>1</v>
      </c>
      <c r="T283" t="str">
        <f>IF(COUNTIF(Customers!$A$2:$A$301,C283)=0,"Missing","OK")</f>
        <v>OK</v>
      </c>
      <c r="U283" t="str">
        <f t="shared" si="13"/>
        <v>Hyderabad</v>
      </c>
      <c r="V283">
        <f t="shared" si="14"/>
        <v>0</v>
      </c>
    </row>
    <row r="284" spans="1:22" ht="15" customHeight="1" x14ac:dyDescent="0.35">
      <c r="A284" s="3" t="s">
        <v>588</v>
      </c>
      <c r="B284" s="4">
        <v>45529</v>
      </c>
      <c r="C284" s="3" t="s">
        <v>324</v>
      </c>
      <c r="D284" s="3" t="s">
        <v>115</v>
      </c>
      <c r="E284" s="3" t="s">
        <v>154</v>
      </c>
      <c r="F284" s="5">
        <v>1</v>
      </c>
      <c r="G284" s="5">
        <v>1650</v>
      </c>
      <c r="H284" s="5">
        <v>26.2</v>
      </c>
      <c r="I284" s="5">
        <v>1217.7</v>
      </c>
      <c r="J284" s="3" t="s">
        <v>26</v>
      </c>
      <c r="K284" s="3" t="s">
        <v>56</v>
      </c>
      <c r="L284" t="str">
        <f>IFERROR(VLOOKUP(D284,Products!$A$2:$F$61,3,FALSE()),"")</f>
        <v>Beauty</v>
      </c>
      <c r="M284" t="str">
        <f>IFERROR(VLOOKUP(E284,Sales_Reps!$A$2:$C$31,3,FALSE()),"")</f>
        <v>North</v>
      </c>
      <c r="N284">
        <f>IFERROR(VLOOKUP(D284,Products!$A$2:$F$61,4,FALSE()),"")</f>
        <v>1222</v>
      </c>
      <c r="O284" t="str">
        <f>IFERROR(VLOOKUP(C284,Customers!$A$2:$F$301,5,FALSE()),"")</f>
        <v>Retail</v>
      </c>
      <c r="P284">
        <f>IFERROR(VLOOKUP(C284,Customers!$A$2:$F$301,3,FALSE()),"")</f>
        <v>23</v>
      </c>
      <c r="Q284">
        <f t="shared" si="12"/>
        <v>0.2593939393939394</v>
      </c>
      <c r="R284">
        <f>IF(AND(COUNTIF($A$2:$A$2027,A284)&gt;1,COUNTIF($A$2:A284,A284)=1),1,0)</f>
        <v>0</v>
      </c>
      <c r="S284" t="b">
        <f>IFERROR(VLOOKUP(D284,Products!$A$2:$F$61,6,FALSE()),"")</f>
        <v>1</v>
      </c>
      <c r="T284" t="str">
        <f>IF(COUNTIF(Customers!$A$2:$A$301,C284)=0,"Missing","OK")</f>
        <v>OK</v>
      </c>
      <c r="U284" t="str">
        <f t="shared" si="13"/>
        <v>Bengaluru</v>
      </c>
      <c r="V284">
        <f t="shared" si="14"/>
        <v>0</v>
      </c>
    </row>
    <row r="285" spans="1:22" ht="15" customHeight="1" x14ac:dyDescent="0.35">
      <c r="A285" s="3" t="s">
        <v>589</v>
      </c>
      <c r="B285" s="4">
        <v>45460</v>
      </c>
      <c r="C285" s="3" t="s">
        <v>590</v>
      </c>
      <c r="D285" s="3" t="s">
        <v>218</v>
      </c>
      <c r="E285" s="3" t="s">
        <v>87</v>
      </c>
      <c r="F285" s="5">
        <v>1</v>
      </c>
      <c r="G285" s="5">
        <v>2660</v>
      </c>
      <c r="H285" s="5">
        <v>21</v>
      </c>
      <c r="I285" s="5">
        <v>2101.4</v>
      </c>
      <c r="J285" s="3" t="s">
        <v>26</v>
      </c>
      <c r="K285" s="3" t="s">
        <v>72</v>
      </c>
      <c r="L285" t="str">
        <f>IFERROR(VLOOKUP(D285,Products!$A$2:$F$61,3,FALSE()),"")</f>
        <v>Electronics</v>
      </c>
      <c r="M285" t="str">
        <f>IFERROR(VLOOKUP(E285,Sales_Reps!$A$2:$C$31,3,FALSE()),"")</f>
        <v>North</v>
      </c>
      <c r="N285">
        <f>IFERROR(VLOOKUP(D285,Products!$A$2:$F$61,4,FALSE()),"")</f>
        <v>1259</v>
      </c>
      <c r="O285" t="str">
        <f>IFERROR(VLOOKUP(C285,Customers!$A$2:$F$301,5,FALSE()),"")</f>
        <v>Retail</v>
      </c>
      <c r="P285">
        <f>IFERROR(VLOOKUP(C285,Customers!$A$2:$F$301,3,FALSE()),"")</f>
        <v>50</v>
      </c>
      <c r="Q285">
        <f t="shared" si="12"/>
        <v>0.52669172932330832</v>
      </c>
      <c r="R285">
        <f>IF(AND(COUNTIF($A$2:$A$2027,A285)&gt;1,COUNTIF($A$2:A285,A285)=1),1,0)</f>
        <v>0</v>
      </c>
      <c r="S285" t="b">
        <f>IFERROR(VLOOKUP(D285,Products!$A$2:$F$61,6,FALSE()),"")</f>
        <v>0</v>
      </c>
      <c r="T285" t="str">
        <f>IF(COUNTIF(Customers!$A$2:$A$301,C285)=0,"Missing","OK")</f>
        <v>OK</v>
      </c>
      <c r="U285" t="str">
        <f t="shared" si="13"/>
        <v>Hyderabad</v>
      </c>
      <c r="V285">
        <f t="shared" si="14"/>
        <v>0</v>
      </c>
    </row>
    <row r="286" spans="1:22" ht="15" customHeight="1" x14ac:dyDescent="0.35">
      <c r="A286" s="3" t="s">
        <v>591</v>
      </c>
      <c r="B286" s="4">
        <v>45375</v>
      </c>
      <c r="C286" s="3" t="s">
        <v>270</v>
      </c>
      <c r="D286" s="3" t="s">
        <v>277</v>
      </c>
      <c r="E286" s="3" t="s">
        <v>87</v>
      </c>
      <c r="F286" s="5">
        <v>6</v>
      </c>
      <c r="G286" s="5">
        <v>2210</v>
      </c>
      <c r="H286" s="5">
        <v>9.8000000000000007</v>
      </c>
      <c r="I286" s="5">
        <v>11960.52</v>
      </c>
      <c r="J286" s="3" t="s">
        <v>32</v>
      </c>
      <c r="K286" s="3" t="s">
        <v>56</v>
      </c>
      <c r="L286" t="str">
        <f>IFERROR(VLOOKUP(D286,Products!$A$2:$F$61,3,FALSE()),"")</f>
        <v>Grocery</v>
      </c>
      <c r="M286" t="str">
        <f>IFERROR(VLOOKUP(E286,Sales_Reps!$A$2:$C$31,3,FALSE()),"")</f>
        <v>North</v>
      </c>
      <c r="N286">
        <f>IFERROR(VLOOKUP(D286,Products!$A$2:$F$61,4,FALSE()),"")</f>
        <v>1010</v>
      </c>
      <c r="O286" t="str">
        <f>IFERROR(VLOOKUP(C286,Customers!$A$2:$F$301,5,FALSE()),"")</f>
        <v>Corporate</v>
      </c>
      <c r="P286">
        <f>IFERROR(VLOOKUP(C286,Customers!$A$2:$F$301,3,FALSE()),"")</f>
        <v>59</v>
      </c>
      <c r="Q286">
        <f t="shared" si="12"/>
        <v>0.54298642533936647</v>
      </c>
      <c r="R286">
        <f>IF(AND(COUNTIF($A$2:$A$2027,A286)&gt;1,COUNTIF($A$2:A286,A286)=1),1,0)</f>
        <v>0</v>
      </c>
      <c r="S286" t="b">
        <f>IFERROR(VLOOKUP(D286,Products!$A$2:$F$61,6,FALSE()),"")</f>
        <v>1</v>
      </c>
      <c r="T286" t="str">
        <f>IF(COUNTIF(Customers!$A$2:$A$301,C286)=0,"Missing","OK")</f>
        <v>OK</v>
      </c>
      <c r="U286" t="str">
        <f t="shared" si="13"/>
        <v>Bengaluru</v>
      </c>
      <c r="V286">
        <f t="shared" si="14"/>
        <v>11960.52</v>
      </c>
    </row>
    <row r="287" spans="1:22" ht="15" customHeight="1" x14ac:dyDescent="0.35">
      <c r="A287" s="3" t="s">
        <v>592</v>
      </c>
      <c r="B287" s="4">
        <v>45310</v>
      </c>
      <c r="C287" s="3" t="s">
        <v>461</v>
      </c>
      <c r="D287" s="3" t="s">
        <v>77</v>
      </c>
      <c r="E287" s="3" t="s">
        <v>154</v>
      </c>
      <c r="F287" s="5">
        <v>9</v>
      </c>
      <c r="G287" s="5">
        <v>2600</v>
      </c>
      <c r="H287" s="5">
        <v>15.7</v>
      </c>
      <c r="I287" s="5">
        <v>19726.2</v>
      </c>
      <c r="J287" s="3" t="s">
        <v>26</v>
      </c>
      <c r="K287" s="3" t="s">
        <v>38</v>
      </c>
      <c r="L287" t="str">
        <f>IFERROR(VLOOKUP(D287,Products!$A$2:$F$61,3,FALSE()),"")</f>
        <v>Electronics</v>
      </c>
      <c r="M287" t="str">
        <f>IFERROR(VLOOKUP(E287,Sales_Reps!$A$2:$C$31,3,FALSE()),"")</f>
        <v>North</v>
      </c>
      <c r="N287">
        <f>IFERROR(VLOOKUP(D287,Products!$A$2:$F$61,4,FALSE()),"")</f>
        <v>1052</v>
      </c>
      <c r="O287" t="str">
        <f>IFERROR(VLOOKUP(C287,Customers!$A$2:$F$301,5,FALSE()),"")</f>
        <v>SMB</v>
      </c>
      <c r="P287">
        <f>IFERROR(VLOOKUP(C287,Customers!$A$2:$F$301,3,FALSE()),"")</f>
        <v>55</v>
      </c>
      <c r="Q287">
        <f t="shared" si="12"/>
        <v>0.5953846153846154</v>
      </c>
      <c r="R287">
        <f>IF(AND(COUNTIF($A$2:$A$2027,A287)&gt;1,COUNTIF($A$2:A287,A287)=1),1,0)</f>
        <v>0</v>
      </c>
      <c r="S287" t="b">
        <f>IFERROR(VLOOKUP(D287,Products!$A$2:$F$61,6,FALSE()),"")</f>
        <v>1</v>
      </c>
      <c r="T287" t="str">
        <f>IF(COUNTIF(Customers!$A$2:$A$301,C287)=0,"Missing","OK")</f>
        <v>OK</v>
      </c>
      <c r="U287" t="str">
        <f t="shared" si="13"/>
        <v>Delhi</v>
      </c>
      <c r="V287">
        <f t="shared" si="14"/>
        <v>0</v>
      </c>
    </row>
    <row r="288" spans="1:22" ht="15" customHeight="1" x14ac:dyDescent="0.35">
      <c r="A288" s="3" t="s">
        <v>593</v>
      </c>
      <c r="B288" s="4">
        <v>45314</v>
      </c>
      <c r="C288" s="3" t="s">
        <v>594</v>
      </c>
      <c r="D288" s="3" t="s">
        <v>215</v>
      </c>
      <c r="E288" s="3" t="s">
        <v>50</v>
      </c>
      <c r="F288" s="5">
        <v>3</v>
      </c>
      <c r="G288" s="5">
        <v>3020</v>
      </c>
      <c r="H288" s="5">
        <v>22.6</v>
      </c>
      <c r="I288" s="5">
        <v>7012.44</v>
      </c>
      <c r="J288" s="3" t="s">
        <v>26</v>
      </c>
      <c r="K288" s="3" t="s">
        <v>72</v>
      </c>
      <c r="L288" t="str">
        <f>IFERROR(VLOOKUP(D288,Products!$A$2:$F$61,3,FALSE()),"")</f>
        <v>Beauty</v>
      </c>
      <c r="M288" t="str">
        <f>IFERROR(VLOOKUP(E288,Sales_Reps!$A$2:$C$31,3,FALSE()),"")</f>
        <v>West</v>
      </c>
      <c r="N288">
        <f>IFERROR(VLOOKUP(D288,Products!$A$2:$F$61,4,FALSE()),"")</f>
        <v>1626</v>
      </c>
      <c r="O288" t="str">
        <f>IFERROR(VLOOKUP(C288,Customers!$A$2:$F$301,5,FALSE()),"")</f>
        <v>Retail</v>
      </c>
      <c r="P288">
        <f>IFERROR(VLOOKUP(C288,Customers!$A$2:$F$301,3,FALSE()),"")</f>
        <v>27</v>
      </c>
      <c r="Q288">
        <f t="shared" si="12"/>
        <v>0.46158940397350995</v>
      </c>
      <c r="R288">
        <f>IF(AND(COUNTIF($A$2:$A$2027,A288)&gt;1,COUNTIF($A$2:A288,A288)=1),1,0)</f>
        <v>0</v>
      </c>
      <c r="S288" t="b">
        <f>IFERROR(VLOOKUP(D288,Products!$A$2:$F$61,6,FALSE()),"")</f>
        <v>1</v>
      </c>
      <c r="T288" t="str">
        <f>IF(COUNTIF(Customers!$A$2:$A$301,C288)=0,"Missing","OK")</f>
        <v>OK</v>
      </c>
      <c r="U288" t="str">
        <f t="shared" si="13"/>
        <v>Hyderabad</v>
      </c>
      <c r="V288">
        <f t="shared" si="14"/>
        <v>0</v>
      </c>
    </row>
    <row r="289" spans="1:22" ht="15" customHeight="1" x14ac:dyDescent="0.35">
      <c r="A289" s="3" t="s">
        <v>595</v>
      </c>
      <c r="B289" s="4">
        <v>45459</v>
      </c>
      <c r="C289" s="3" t="s">
        <v>253</v>
      </c>
      <c r="D289" s="3" t="s">
        <v>49</v>
      </c>
      <c r="E289" s="3" t="s">
        <v>31</v>
      </c>
      <c r="F289" s="5">
        <v>6</v>
      </c>
      <c r="G289" s="5">
        <v>370</v>
      </c>
      <c r="H289" s="5">
        <v>12.4</v>
      </c>
      <c r="I289" s="5">
        <v>1944.72</v>
      </c>
      <c r="J289" s="3" t="s">
        <v>26</v>
      </c>
      <c r="K289" s="3" t="s">
        <v>27</v>
      </c>
      <c r="L289" t="str">
        <f>IFERROR(VLOOKUP(D289,Products!$A$2:$F$61,3,FALSE()),"")</f>
        <v>Home</v>
      </c>
      <c r="M289" t="str">
        <f>IFERROR(VLOOKUP(E289,Sales_Reps!$A$2:$C$31,3,FALSE()),"")</f>
        <v>North</v>
      </c>
      <c r="N289">
        <f>IFERROR(VLOOKUP(D289,Products!$A$2:$F$61,4,FALSE()),"")</f>
        <v>288</v>
      </c>
      <c r="O289" t="str">
        <f>IFERROR(VLOOKUP(C289,Customers!$A$2:$F$301,5,FALSE()),"")</f>
        <v>Corporate</v>
      </c>
      <c r="P289">
        <f>IFERROR(VLOOKUP(C289,Customers!$A$2:$F$301,3,FALSE()),"")</f>
        <v>33</v>
      </c>
      <c r="Q289">
        <f t="shared" si="12"/>
        <v>0.22162162162162163</v>
      </c>
      <c r="R289">
        <f>IF(AND(COUNTIF($A$2:$A$2027,A289)&gt;1,COUNTIF($A$2:A289,A289)=1),1,0)</f>
        <v>0</v>
      </c>
      <c r="S289" t="b">
        <f>IFERROR(VLOOKUP(D289,Products!$A$2:$F$61,6,FALSE()),"")</f>
        <v>1</v>
      </c>
      <c r="T289" t="str">
        <f>IF(COUNTIF(Customers!$A$2:$A$301,C289)=0,"Missing","OK")</f>
        <v>OK</v>
      </c>
      <c r="U289" t="str">
        <f t="shared" si="13"/>
        <v>Pune</v>
      </c>
      <c r="V289">
        <f t="shared" si="14"/>
        <v>0</v>
      </c>
    </row>
    <row r="290" spans="1:22" ht="15" customHeight="1" x14ac:dyDescent="0.35">
      <c r="A290" s="3" t="s">
        <v>596</v>
      </c>
      <c r="B290" s="4">
        <v>45312</v>
      </c>
      <c r="C290" s="3" t="s">
        <v>554</v>
      </c>
      <c r="D290" s="3" t="s">
        <v>303</v>
      </c>
      <c r="E290" s="3" t="s">
        <v>42</v>
      </c>
      <c r="F290" s="5">
        <v>8</v>
      </c>
      <c r="G290" s="5">
        <v>5330</v>
      </c>
      <c r="H290" s="5">
        <v>16.2</v>
      </c>
      <c r="I290" s="5">
        <v>35732.32</v>
      </c>
      <c r="J290" s="3" t="s">
        <v>26</v>
      </c>
      <c r="K290" s="3" t="s">
        <v>51</v>
      </c>
      <c r="L290" t="str">
        <f>IFERROR(VLOOKUP(D290,Products!$A$2:$F$61,3,FALSE()),"")</f>
        <v>Electronics</v>
      </c>
      <c r="M290" t="str">
        <f>IFERROR(VLOOKUP(E290,Sales_Reps!$A$2:$C$31,3,FALSE()),"")</f>
        <v>North</v>
      </c>
      <c r="N290">
        <f>IFERROR(VLOOKUP(D290,Products!$A$2:$F$61,4,FALSE()),"")</f>
        <v>2405</v>
      </c>
      <c r="O290" t="str">
        <f>IFERROR(VLOOKUP(C290,Customers!$A$2:$F$301,5,FALSE()),"")</f>
        <v>Retail</v>
      </c>
      <c r="P290">
        <f>IFERROR(VLOOKUP(C290,Customers!$A$2:$F$301,3,FALSE()),"")</f>
        <v>53</v>
      </c>
      <c r="Q290">
        <f t="shared" si="12"/>
        <v>0.54878048780487809</v>
      </c>
      <c r="R290">
        <f>IF(AND(COUNTIF($A$2:$A$2027,A290)&gt;1,COUNTIF($A$2:A290,A290)=1),1,0)</f>
        <v>0</v>
      </c>
      <c r="S290" t="b">
        <f>IFERROR(VLOOKUP(D290,Products!$A$2:$F$61,6,FALSE()),"")</f>
        <v>1</v>
      </c>
      <c r="T290" t="str">
        <f>IF(COUNTIF(Customers!$A$2:$A$301,C290)=0,"Missing","OK")</f>
        <v>OK</v>
      </c>
      <c r="U290" t="str">
        <f t="shared" si="13"/>
        <v>Mumbai</v>
      </c>
      <c r="V290">
        <f t="shared" si="14"/>
        <v>0</v>
      </c>
    </row>
    <row r="291" spans="1:22" ht="15" customHeight="1" x14ac:dyDescent="0.35">
      <c r="A291" s="3" t="s">
        <v>597</v>
      </c>
      <c r="B291" s="4">
        <v>45500</v>
      </c>
      <c r="C291" s="3" t="s">
        <v>164</v>
      </c>
      <c r="D291" s="3" t="s">
        <v>598</v>
      </c>
      <c r="E291" s="3" t="s">
        <v>109</v>
      </c>
      <c r="F291" s="5">
        <v>4</v>
      </c>
      <c r="G291" s="5">
        <v>3560</v>
      </c>
      <c r="H291" s="5">
        <v>10.5</v>
      </c>
      <c r="I291" s="5">
        <v>12744.8</v>
      </c>
      <c r="J291" s="3" t="s">
        <v>26</v>
      </c>
      <c r="K291" s="3" t="s">
        <v>33</v>
      </c>
      <c r="L291" t="str">
        <f>IFERROR(VLOOKUP(D291,Products!$A$2:$F$61,3,FALSE()),"")</f>
        <v>Apparel</v>
      </c>
      <c r="M291" t="str">
        <f>IFERROR(VLOOKUP(E291,Sales_Reps!$A$2:$C$31,3,FALSE()),"")</f>
        <v>West</v>
      </c>
      <c r="N291">
        <f>IFERROR(VLOOKUP(D291,Products!$A$2:$F$61,4,FALSE()),"")</f>
        <v>2629</v>
      </c>
      <c r="O291" t="str">
        <f>IFERROR(VLOOKUP(C291,Customers!$A$2:$F$301,5,FALSE()),"")</f>
        <v>Retail</v>
      </c>
      <c r="P291">
        <f>IFERROR(VLOOKUP(C291,Customers!$A$2:$F$301,3,FALSE()),"")</f>
        <v>37</v>
      </c>
      <c r="Q291">
        <f t="shared" si="12"/>
        <v>0.26151685393258428</v>
      </c>
      <c r="R291">
        <f>IF(AND(COUNTIF($A$2:$A$2027,A291)&gt;1,COUNTIF($A$2:A291,A291)=1),1,0)</f>
        <v>0</v>
      </c>
      <c r="S291" t="b">
        <f>IFERROR(VLOOKUP(D291,Products!$A$2:$F$61,6,FALSE()),"")</f>
        <v>1</v>
      </c>
      <c r="T291" t="str">
        <f>IF(COUNTIF(Customers!$A$2:$A$301,C291)=0,"Missing","OK")</f>
        <v>OK</v>
      </c>
      <c r="U291" t="str">
        <f t="shared" si="13"/>
        <v>Chennai</v>
      </c>
      <c r="V291">
        <f t="shared" si="14"/>
        <v>0</v>
      </c>
    </row>
    <row r="292" spans="1:22" ht="15" customHeight="1" x14ac:dyDescent="0.35">
      <c r="A292" s="3" t="s">
        <v>599</v>
      </c>
      <c r="B292" s="4">
        <v>45389</v>
      </c>
      <c r="C292" s="3" t="s">
        <v>543</v>
      </c>
      <c r="D292" s="3" t="s">
        <v>121</v>
      </c>
      <c r="E292" s="3" t="s">
        <v>109</v>
      </c>
      <c r="F292" s="5">
        <v>10</v>
      </c>
      <c r="G292" s="5">
        <v>1010</v>
      </c>
      <c r="H292" s="5">
        <v>10.8</v>
      </c>
      <c r="I292" s="5">
        <v>9009.2000000000007</v>
      </c>
      <c r="J292" s="3" t="s">
        <v>26</v>
      </c>
      <c r="K292" s="3" t="s">
        <v>56</v>
      </c>
      <c r="L292" t="str">
        <f>IFERROR(VLOOKUP(D292,Products!$A$2:$F$61,3,FALSE()),"")</f>
        <v>Sports</v>
      </c>
      <c r="M292" t="str">
        <f>IFERROR(VLOOKUP(E292,Sales_Reps!$A$2:$C$31,3,FALSE()),"")</f>
        <v>West</v>
      </c>
      <c r="N292">
        <f>IFERROR(VLOOKUP(D292,Products!$A$2:$F$61,4,FALSE()),"")</f>
        <v>516</v>
      </c>
      <c r="O292" t="str">
        <f>IFERROR(VLOOKUP(C292,Customers!$A$2:$F$301,5,FALSE()),"")</f>
        <v>Retail</v>
      </c>
      <c r="P292">
        <f>IFERROR(VLOOKUP(C292,Customers!$A$2:$F$301,3,FALSE()),"")</f>
        <v>34</v>
      </c>
      <c r="Q292">
        <f t="shared" si="12"/>
        <v>0.4891089108910891</v>
      </c>
      <c r="R292">
        <f>IF(AND(COUNTIF($A$2:$A$2027,A292)&gt;1,COUNTIF($A$2:A292,A292)=1),1,0)</f>
        <v>0</v>
      </c>
      <c r="S292" t="b">
        <f>IFERROR(VLOOKUP(D292,Products!$A$2:$F$61,6,FALSE()),"")</f>
        <v>1</v>
      </c>
      <c r="T292" t="str">
        <f>IF(COUNTIF(Customers!$A$2:$A$301,C292)=0,"Missing","OK")</f>
        <v>OK</v>
      </c>
      <c r="U292" t="str">
        <f t="shared" si="13"/>
        <v>Bengaluru</v>
      </c>
      <c r="V292">
        <f t="shared" si="14"/>
        <v>0</v>
      </c>
    </row>
    <row r="293" spans="1:22" ht="15" customHeight="1" x14ac:dyDescent="0.35">
      <c r="A293" s="3" t="s">
        <v>600</v>
      </c>
      <c r="B293" s="4">
        <v>45619</v>
      </c>
      <c r="C293" s="3" t="s">
        <v>601</v>
      </c>
      <c r="D293" s="3" t="s">
        <v>454</v>
      </c>
      <c r="E293" s="3" t="s">
        <v>42</v>
      </c>
      <c r="F293" s="5">
        <v>8</v>
      </c>
      <c r="G293" s="5">
        <v>6940</v>
      </c>
      <c r="H293" s="5">
        <v>3.2</v>
      </c>
      <c r="I293" s="5">
        <v>53743.360000000001</v>
      </c>
      <c r="J293" s="3" t="s">
        <v>79</v>
      </c>
      <c r="K293" s="3" t="s">
        <v>33</v>
      </c>
      <c r="L293" t="str">
        <f>IFERROR(VLOOKUP(D293,Products!$A$2:$F$61,3,FALSE()),"")</f>
        <v>Sports</v>
      </c>
      <c r="M293" t="str">
        <f>IFERROR(VLOOKUP(E293,Sales_Reps!$A$2:$C$31,3,FALSE()),"")</f>
        <v>North</v>
      </c>
      <c r="N293">
        <f>IFERROR(VLOOKUP(D293,Products!$A$2:$F$61,4,FALSE()),"")</f>
        <v>2827</v>
      </c>
      <c r="O293" t="str">
        <f>IFERROR(VLOOKUP(C293,Customers!$A$2:$F$301,5,FALSE()),"")</f>
        <v>Corporate</v>
      </c>
      <c r="P293">
        <f>IFERROR(VLOOKUP(C293,Customers!$A$2:$F$301,3,FALSE()),"")</f>
        <v>41</v>
      </c>
      <c r="Q293">
        <f t="shared" si="12"/>
        <v>0.5926512968299712</v>
      </c>
      <c r="R293">
        <f>IF(AND(COUNTIF($A$2:$A$2027,A293)&gt;1,COUNTIF($A$2:A293,A293)=1),1,0)</f>
        <v>0</v>
      </c>
      <c r="S293" t="b">
        <f>IFERROR(VLOOKUP(D293,Products!$A$2:$F$61,6,FALSE()),"")</f>
        <v>1</v>
      </c>
      <c r="T293" t="str">
        <f>IF(COUNTIF(Customers!$A$2:$A$301,C293)=0,"Missing","OK")</f>
        <v>OK</v>
      </c>
      <c r="U293" t="str">
        <f t="shared" si="13"/>
        <v>Chennai</v>
      </c>
      <c r="V293">
        <f t="shared" si="14"/>
        <v>0</v>
      </c>
    </row>
    <row r="294" spans="1:22" ht="15" customHeight="1" x14ac:dyDescent="0.35">
      <c r="A294" s="3" t="s">
        <v>602</v>
      </c>
      <c r="B294" s="4">
        <v>45617</v>
      </c>
      <c r="C294" s="3" t="s">
        <v>251</v>
      </c>
      <c r="D294" s="3" t="s">
        <v>45</v>
      </c>
      <c r="E294" s="3" t="s">
        <v>127</v>
      </c>
      <c r="F294" s="5">
        <v>7</v>
      </c>
      <c r="G294" s="5">
        <v>3160</v>
      </c>
      <c r="H294" s="5">
        <v>3.6</v>
      </c>
      <c r="I294" s="5">
        <v>21323.68</v>
      </c>
      <c r="J294" s="3" t="s">
        <v>26</v>
      </c>
      <c r="K294" s="3" t="s">
        <v>72</v>
      </c>
      <c r="L294" t="str">
        <f>IFERROR(VLOOKUP(D294,Products!$A$2:$F$61,3,FALSE()),"")</f>
        <v>Apparel</v>
      </c>
      <c r="M294" t="str">
        <f>IFERROR(VLOOKUP(E294,Sales_Reps!$A$2:$C$31,3,FALSE()),"")</f>
        <v>South</v>
      </c>
      <c r="N294">
        <f>IFERROR(VLOOKUP(D294,Products!$A$2:$F$61,4,FALSE()),"")</f>
        <v>1886</v>
      </c>
      <c r="O294" t="str">
        <f>IFERROR(VLOOKUP(C294,Customers!$A$2:$F$301,5,FALSE()),"")</f>
        <v>Retail</v>
      </c>
      <c r="P294">
        <f>IFERROR(VLOOKUP(C294,Customers!$A$2:$F$301,3,FALSE()),"")</f>
        <v>46</v>
      </c>
      <c r="Q294">
        <f t="shared" si="12"/>
        <v>0.4031645569620253</v>
      </c>
      <c r="R294">
        <f>IF(AND(COUNTIF($A$2:$A$2027,A294)&gt;1,COUNTIF($A$2:A294,A294)=1),1,0)</f>
        <v>1</v>
      </c>
      <c r="S294" t="b">
        <f>IFERROR(VLOOKUP(D294,Products!$A$2:$F$61,6,FALSE()),"")</f>
        <v>1</v>
      </c>
      <c r="T294" t="str">
        <f>IF(COUNTIF(Customers!$A$2:$A$301,C294)=0,"Missing","OK")</f>
        <v>OK</v>
      </c>
      <c r="U294" t="str">
        <f t="shared" si="13"/>
        <v>Hyderabad</v>
      </c>
      <c r="V294">
        <f t="shared" si="14"/>
        <v>0</v>
      </c>
    </row>
    <row r="295" spans="1:22" ht="15" customHeight="1" x14ac:dyDescent="0.35">
      <c r="A295" s="3" t="s">
        <v>603</v>
      </c>
      <c r="B295" s="4">
        <v>45640</v>
      </c>
      <c r="C295" s="3" t="s">
        <v>424</v>
      </c>
      <c r="D295" s="3" t="s">
        <v>41</v>
      </c>
      <c r="E295" s="3" t="s">
        <v>46</v>
      </c>
      <c r="F295" s="5">
        <v>2</v>
      </c>
      <c r="G295" s="5">
        <v>3660</v>
      </c>
      <c r="H295" s="5">
        <v>30</v>
      </c>
      <c r="I295" s="5">
        <v>5124</v>
      </c>
      <c r="J295" s="3" t="s">
        <v>32</v>
      </c>
      <c r="K295" s="3" t="s">
        <v>27</v>
      </c>
      <c r="L295" t="str">
        <f>IFERROR(VLOOKUP(D295,Products!$A$2:$F$61,3,FALSE()),"")</f>
        <v>Grocery</v>
      </c>
      <c r="M295" t="str">
        <f>IFERROR(VLOOKUP(E295,Sales_Reps!$A$2:$C$31,3,FALSE()),"")</f>
        <v>North</v>
      </c>
      <c r="N295">
        <f>IFERROR(VLOOKUP(D295,Products!$A$2:$F$61,4,FALSE()),"")</f>
        <v>2214</v>
      </c>
      <c r="O295" t="str">
        <f>IFERROR(VLOOKUP(C295,Customers!$A$2:$F$301,5,FALSE()),"")</f>
        <v>Retail</v>
      </c>
      <c r="P295">
        <f>IFERROR(VLOOKUP(C295,Customers!$A$2:$F$301,3,FALSE()),"")</f>
        <v>49</v>
      </c>
      <c r="Q295">
        <f t="shared" si="12"/>
        <v>0.39508196721311473</v>
      </c>
      <c r="R295">
        <f>IF(AND(COUNTIF($A$2:$A$2027,A295)&gt;1,COUNTIF($A$2:A295,A295)=1),1,0)</f>
        <v>0</v>
      </c>
      <c r="S295" t="b">
        <f>IFERROR(VLOOKUP(D295,Products!$A$2:$F$61,6,FALSE()),"")</f>
        <v>0</v>
      </c>
      <c r="T295" t="str">
        <f>IF(COUNTIF(Customers!$A$2:$A$301,C295)=0,"Missing","OK")</f>
        <v>OK</v>
      </c>
      <c r="U295" t="str">
        <f t="shared" si="13"/>
        <v>Pune</v>
      </c>
      <c r="V295">
        <f t="shared" si="14"/>
        <v>0</v>
      </c>
    </row>
    <row r="296" spans="1:22" ht="15" customHeight="1" x14ac:dyDescent="0.35">
      <c r="A296" s="3" t="s">
        <v>604</v>
      </c>
      <c r="B296" s="4">
        <v>45401</v>
      </c>
      <c r="C296" s="3" t="s">
        <v>305</v>
      </c>
      <c r="D296" s="3" t="s">
        <v>70</v>
      </c>
      <c r="E296" s="3" t="s">
        <v>31</v>
      </c>
      <c r="F296" s="5">
        <v>1</v>
      </c>
      <c r="G296" s="5">
        <v>2270</v>
      </c>
      <c r="H296" s="5">
        <v>4.8</v>
      </c>
      <c r="I296" s="5">
        <v>2161.04</v>
      </c>
      <c r="J296" s="3" t="s">
        <v>79</v>
      </c>
      <c r="K296" s="3" t="s">
        <v>51</v>
      </c>
      <c r="L296" t="str">
        <f>IFERROR(VLOOKUP(D296,Products!$A$2:$F$61,3,FALSE()),"")</f>
        <v>Grocery</v>
      </c>
      <c r="M296" t="str">
        <f>IFERROR(VLOOKUP(E296,Sales_Reps!$A$2:$C$31,3,FALSE()),"")</f>
        <v>North</v>
      </c>
      <c r="N296">
        <f>IFERROR(VLOOKUP(D296,Products!$A$2:$F$61,4,FALSE()),"")</f>
        <v>1203</v>
      </c>
      <c r="O296" t="str">
        <f>IFERROR(VLOOKUP(C296,Customers!$A$2:$F$301,5,FALSE()),"")</f>
        <v>Retail</v>
      </c>
      <c r="P296">
        <f>IFERROR(VLOOKUP(C296,Customers!$A$2:$F$301,3,FALSE()),"")</f>
        <v>25</v>
      </c>
      <c r="Q296">
        <f t="shared" si="12"/>
        <v>0.47004405286343615</v>
      </c>
      <c r="R296">
        <f>IF(AND(COUNTIF($A$2:$A$2027,A296)&gt;1,COUNTIF($A$2:A296,A296)=1),1,0)</f>
        <v>0</v>
      </c>
      <c r="S296" t="b">
        <f>IFERROR(VLOOKUP(D296,Products!$A$2:$F$61,6,FALSE()),"")</f>
        <v>1</v>
      </c>
      <c r="T296" t="str">
        <f>IF(COUNTIF(Customers!$A$2:$A$301,C296)=0,"Missing","OK")</f>
        <v>OK</v>
      </c>
      <c r="U296" t="str">
        <f t="shared" si="13"/>
        <v>Mumbai</v>
      </c>
      <c r="V296">
        <f t="shared" si="14"/>
        <v>0</v>
      </c>
    </row>
    <row r="297" spans="1:22" ht="15" customHeight="1" x14ac:dyDescent="0.35">
      <c r="A297" s="3" t="s">
        <v>605</v>
      </c>
      <c r="B297" s="4">
        <v>45405</v>
      </c>
      <c r="C297" s="3" t="s">
        <v>162</v>
      </c>
      <c r="D297" s="3" t="s">
        <v>400</v>
      </c>
      <c r="E297" s="3" t="s">
        <v>50</v>
      </c>
      <c r="F297" s="5">
        <v>8</v>
      </c>
      <c r="G297" s="5">
        <v>3780</v>
      </c>
      <c r="H297" s="5">
        <v>13</v>
      </c>
      <c r="I297" s="5">
        <v>26308.799999999999</v>
      </c>
      <c r="J297" s="3" t="s">
        <v>26</v>
      </c>
      <c r="K297" s="3" t="s">
        <v>38</v>
      </c>
      <c r="L297" t="str">
        <f>IFERROR(VLOOKUP(D297,Products!$A$2:$F$61,3,FALSE()),"")</f>
        <v>Sports</v>
      </c>
      <c r="M297" t="str">
        <f>IFERROR(VLOOKUP(E297,Sales_Reps!$A$2:$C$31,3,FALSE()),"")</f>
        <v>West</v>
      </c>
      <c r="N297">
        <f>IFERROR(VLOOKUP(D297,Products!$A$2:$F$61,4,FALSE()),"")</f>
        <v>1860</v>
      </c>
      <c r="O297" t="str">
        <f>IFERROR(VLOOKUP(C297,Customers!$A$2:$F$301,5,FALSE()),"")</f>
        <v>Retail</v>
      </c>
      <c r="P297">
        <f>IFERROR(VLOOKUP(C297,Customers!$A$2:$F$301,3,FALSE()),"")</f>
        <v>53</v>
      </c>
      <c r="Q297">
        <f t="shared" si="12"/>
        <v>0.50793650793650791</v>
      </c>
      <c r="R297">
        <f>IF(AND(COUNTIF($A$2:$A$2027,A297)&gt;1,COUNTIF($A$2:A297,A297)=1),1,0)</f>
        <v>0</v>
      </c>
      <c r="S297" t="b">
        <f>IFERROR(VLOOKUP(D297,Products!$A$2:$F$61,6,FALSE()),"")</f>
        <v>1</v>
      </c>
      <c r="T297" t="str">
        <f>IF(COUNTIF(Customers!$A$2:$A$301,C297)=0,"Missing","OK")</f>
        <v>OK</v>
      </c>
      <c r="U297" t="str">
        <f t="shared" si="13"/>
        <v>Delhi</v>
      </c>
      <c r="V297">
        <f t="shared" si="14"/>
        <v>0</v>
      </c>
    </row>
    <row r="298" spans="1:22" ht="15" customHeight="1" x14ac:dyDescent="0.35">
      <c r="A298" s="3" t="s">
        <v>606</v>
      </c>
      <c r="B298" s="4">
        <v>45537</v>
      </c>
      <c r="C298" s="3" t="s">
        <v>556</v>
      </c>
      <c r="D298" s="3" t="s">
        <v>176</v>
      </c>
      <c r="E298" s="3" t="s">
        <v>264</v>
      </c>
      <c r="F298" s="5">
        <v>1</v>
      </c>
      <c r="G298" s="5">
        <v>3640</v>
      </c>
      <c r="H298" s="5">
        <v>15.3</v>
      </c>
      <c r="I298" s="5">
        <v>3083.08</v>
      </c>
      <c r="J298" s="3" t="s">
        <v>32</v>
      </c>
      <c r="K298" s="3" t="s">
        <v>51</v>
      </c>
      <c r="L298" t="str">
        <f>IFERROR(VLOOKUP(D298,Products!$A$2:$F$61,3,FALSE()),"")</f>
        <v>Apparel</v>
      </c>
      <c r="M298" t="str">
        <f>IFERROR(VLOOKUP(E298,Sales_Reps!$A$2:$C$31,3,FALSE()),"")</f>
        <v>South</v>
      </c>
      <c r="N298">
        <f>IFERROR(VLOOKUP(D298,Products!$A$2:$F$61,4,FALSE()),"")</f>
        <v>2611</v>
      </c>
      <c r="O298" t="str">
        <f>IFERROR(VLOOKUP(C298,Customers!$A$2:$F$301,5,FALSE()),"")</f>
        <v>SMB</v>
      </c>
      <c r="P298">
        <f>IFERROR(VLOOKUP(C298,Customers!$A$2:$F$301,3,FALSE()),"")</f>
        <v>65</v>
      </c>
      <c r="Q298">
        <f t="shared" si="12"/>
        <v>0.28269230769230769</v>
      </c>
      <c r="R298">
        <f>IF(AND(COUNTIF($A$2:$A$2027,A298)&gt;1,COUNTIF($A$2:A298,A298)=1),1,0)</f>
        <v>1</v>
      </c>
      <c r="S298" t="b">
        <f>IFERROR(VLOOKUP(D298,Products!$A$2:$F$61,6,FALSE()),"")</f>
        <v>1</v>
      </c>
      <c r="T298" t="str">
        <f>IF(COUNTIF(Customers!$A$2:$A$301,C298)=0,"Missing","OK")</f>
        <v>OK</v>
      </c>
      <c r="U298" t="str">
        <f t="shared" si="13"/>
        <v>Mumbai</v>
      </c>
      <c r="V298">
        <f t="shared" si="14"/>
        <v>0</v>
      </c>
    </row>
    <row r="299" spans="1:22" ht="15" customHeight="1" x14ac:dyDescent="0.35">
      <c r="A299" s="3" t="s">
        <v>607</v>
      </c>
      <c r="B299" s="4">
        <v>45475</v>
      </c>
      <c r="C299" s="3" t="s">
        <v>608</v>
      </c>
      <c r="D299" s="3" t="s">
        <v>206</v>
      </c>
      <c r="E299" s="3" t="s">
        <v>143</v>
      </c>
      <c r="F299" s="5">
        <v>8</v>
      </c>
      <c r="G299" s="5">
        <v>1220</v>
      </c>
      <c r="H299" s="5">
        <v>28.2</v>
      </c>
      <c r="I299" s="5">
        <v>7007.68</v>
      </c>
      <c r="J299" s="3" t="s">
        <v>26</v>
      </c>
      <c r="K299" s="3" t="s">
        <v>72</v>
      </c>
      <c r="L299" t="str">
        <f>IFERROR(VLOOKUP(D299,Products!$A$2:$F$61,3,FALSE()),"")</f>
        <v>Electronics</v>
      </c>
      <c r="M299" t="str">
        <f>IFERROR(VLOOKUP(E299,Sales_Reps!$A$2:$C$31,3,FALSE()),"")</f>
        <v>South</v>
      </c>
      <c r="N299">
        <f>IFERROR(VLOOKUP(D299,Products!$A$2:$F$61,4,FALSE()),"")</f>
        <v>517</v>
      </c>
      <c r="O299" t="str">
        <f>IFERROR(VLOOKUP(C299,Customers!$A$2:$F$301,5,FALSE()),"")</f>
        <v>Retail</v>
      </c>
      <c r="P299">
        <f>IFERROR(VLOOKUP(C299,Customers!$A$2:$F$301,3,FALSE()),"")</f>
        <v>31</v>
      </c>
      <c r="Q299">
        <f t="shared" si="12"/>
        <v>0.57622950819672136</v>
      </c>
      <c r="R299">
        <f>IF(AND(COUNTIF($A$2:$A$2027,A299)&gt;1,COUNTIF($A$2:A299,A299)=1),1,0)</f>
        <v>0</v>
      </c>
      <c r="S299" t="b">
        <f>IFERROR(VLOOKUP(D299,Products!$A$2:$F$61,6,FALSE()),"")</f>
        <v>1</v>
      </c>
      <c r="T299" t="str">
        <f>IF(COUNTIF(Customers!$A$2:$A$301,C299)=0,"Missing","OK")</f>
        <v>OK</v>
      </c>
      <c r="U299" t="str">
        <f t="shared" si="13"/>
        <v>Hyderabad</v>
      </c>
      <c r="V299">
        <f t="shared" si="14"/>
        <v>0</v>
      </c>
    </row>
    <row r="300" spans="1:22" ht="15" customHeight="1" x14ac:dyDescent="0.35">
      <c r="A300" s="3" t="s">
        <v>609</v>
      </c>
      <c r="B300" s="4">
        <v>45624</v>
      </c>
      <c r="C300" s="3" t="s">
        <v>208</v>
      </c>
      <c r="D300" s="3" t="s">
        <v>294</v>
      </c>
      <c r="E300" s="3" t="s">
        <v>109</v>
      </c>
      <c r="F300" s="5">
        <v>3</v>
      </c>
      <c r="G300" s="5">
        <v>2510</v>
      </c>
      <c r="H300" s="5">
        <v>17.399999999999999</v>
      </c>
      <c r="I300" s="5">
        <v>6219.78</v>
      </c>
      <c r="J300" s="3" t="s">
        <v>26</v>
      </c>
      <c r="K300" s="3" t="s">
        <v>51</v>
      </c>
      <c r="L300" t="str">
        <f>IFERROR(VLOOKUP(D300,Products!$A$2:$F$61,3,FALSE()),"")</f>
        <v>Apparel</v>
      </c>
      <c r="M300" t="str">
        <f>IFERROR(VLOOKUP(E300,Sales_Reps!$A$2:$C$31,3,FALSE()),"")</f>
        <v>West</v>
      </c>
      <c r="N300">
        <f>IFERROR(VLOOKUP(D300,Products!$A$2:$F$61,4,FALSE()),"")</f>
        <v>1075</v>
      </c>
      <c r="O300" t="str">
        <f>IFERROR(VLOOKUP(C300,Customers!$A$2:$F$301,5,FALSE()),"")</f>
        <v>Retail</v>
      </c>
      <c r="P300">
        <f>IFERROR(VLOOKUP(C300,Customers!$A$2:$F$301,3,FALSE()),"")</f>
        <v>40</v>
      </c>
      <c r="Q300">
        <f t="shared" si="12"/>
        <v>0.57171314741035861</v>
      </c>
      <c r="R300">
        <f>IF(AND(COUNTIF($A$2:$A$2027,A300)&gt;1,COUNTIF($A$2:A300,A300)=1),1,0)</f>
        <v>0</v>
      </c>
      <c r="S300" t="b">
        <f>IFERROR(VLOOKUP(D300,Products!$A$2:$F$61,6,FALSE()),"")</f>
        <v>0</v>
      </c>
      <c r="T300" t="str">
        <f>IF(COUNTIF(Customers!$A$2:$A$301,C300)=0,"Missing","OK")</f>
        <v>OK</v>
      </c>
      <c r="U300" t="str">
        <f t="shared" si="13"/>
        <v>Mumbai</v>
      </c>
      <c r="V300">
        <f t="shared" si="14"/>
        <v>0</v>
      </c>
    </row>
    <row r="301" spans="1:22" ht="15" customHeight="1" x14ac:dyDescent="0.35">
      <c r="A301" s="3" t="s">
        <v>610</v>
      </c>
      <c r="B301" s="4">
        <v>45635</v>
      </c>
      <c r="C301" s="3" t="s">
        <v>504</v>
      </c>
      <c r="D301" s="3" t="s">
        <v>103</v>
      </c>
      <c r="E301" s="3" t="s">
        <v>78</v>
      </c>
      <c r="F301" s="5">
        <v>1</v>
      </c>
      <c r="G301" s="5">
        <v>1080</v>
      </c>
      <c r="H301" s="5">
        <v>13.9</v>
      </c>
      <c r="I301" s="5">
        <v>929.88</v>
      </c>
      <c r="J301" s="3" t="s">
        <v>26</v>
      </c>
      <c r="K301" s="3" t="s">
        <v>51</v>
      </c>
      <c r="L301" t="str">
        <f>IFERROR(VLOOKUP(D301,Products!$A$2:$F$61,3,FALSE()),"")</f>
        <v>Home</v>
      </c>
      <c r="M301" t="str">
        <f>IFERROR(VLOOKUP(E301,Sales_Reps!$A$2:$C$31,3,FALSE()),"")</f>
        <v>North</v>
      </c>
      <c r="N301">
        <f>IFERROR(VLOOKUP(D301,Products!$A$2:$F$61,4,FALSE()),"")</f>
        <v>519</v>
      </c>
      <c r="O301" t="str">
        <f>IFERROR(VLOOKUP(C301,Customers!$A$2:$F$301,5,FALSE()),"")</f>
        <v>SMB</v>
      </c>
      <c r="P301">
        <f>IFERROR(VLOOKUP(C301,Customers!$A$2:$F$301,3,FALSE()),"")</f>
        <v>61</v>
      </c>
      <c r="Q301">
        <f t="shared" si="12"/>
        <v>0.51944444444444449</v>
      </c>
      <c r="R301">
        <f>IF(AND(COUNTIF($A$2:$A$2027,A301)&gt;1,COUNTIF($A$2:A301,A301)=1),1,0)</f>
        <v>0</v>
      </c>
      <c r="S301" t="b">
        <f>IFERROR(VLOOKUP(D301,Products!$A$2:$F$61,6,FALSE()),"")</f>
        <v>1</v>
      </c>
      <c r="T301" t="str">
        <f>IF(COUNTIF(Customers!$A$2:$A$301,C301)=0,"Missing","OK")</f>
        <v>OK</v>
      </c>
      <c r="U301" t="str">
        <f t="shared" si="13"/>
        <v>Mumbai</v>
      </c>
      <c r="V301">
        <f t="shared" si="14"/>
        <v>0</v>
      </c>
    </row>
    <row r="302" spans="1:22" ht="15" customHeight="1" x14ac:dyDescent="0.35">
      <c r="A302" s="3" t="s">
        <v>611</v>
      </c>
      <c r="B302" s="4">
        <v>45395</v>
      </c>
      <c r="C302" s="3" t="s">
        <v>612</v>
      </c>
      <c r="D302" s="3" t="s">
        <v>234</v>
      </c>
      <c r="E302" s="3" t="s">
        <v>285</v>
      </c>
      <c r="F302" s="5">
        <v>7</v>
      </c>
      <c r="G302" s="5">
        <v>2030</v>
      </c>
      <c r="H302" s="5">
        <v>29.2</v>
      </c>
      <c r="I302" s="5">
        <v>10060.68</v>
      </c>
      <c r="J302" s="3" t="s">
        <v>26</v>
      </c>
      <c r="K302" s="3" t="s">
        <v>51</v>
      </c>
      <c r="L302" t="str">
        <f>IFERROR(VLOOKUP(D302,Products!$A$2:$F$61,3,FALSE()),"")</f>
        <v>Home</v>
      </c>
      <c r="M302" t="str">
        <f>IFERROR(VLOOKUP(E302,Sales_Reps!$A$2:$C$31,3,FALSE()),"")</f>
        <v>South</v>
      </c>
      <c r="N302">
        <f>IFERROR(VLOOKUP(D302,Products!$A$2:$F$61,4,FALSE()),"")</f>
        <v>1143</v>
      </c>
      <c r="O302" t="str">
        <f>IFERROR(VLOOKUP(C302,Customers!$A$2:$F$301,5,FALSE()),"")</f>
        <v>Retail</v>
      </c>
      <c r="P302">
        <f>IFERROR(VLOOKUP(C302,Customers!$A$2:$F$301,3,FALSE()),"")</f>
        <v>35</v>
      </c>
      <c r="Q302">
        <f t="shared" si="12"/>
        <v>0.43694581280788175</v>
      </c>
      <c r="R302">
        <f>IF(AND(COUNTIF($A$2:$A$2027,A302)&gt;1,COUNTIF($A$2:A302,A302)=1),1,0)</f>
        <v>0</v>
      </c>
      <c r="S302" t="b">
        <f>IFERROR(VLOOKUP(D302,Products!$A$2:$F$61,6,FALSE()),"")</f>
        <v>1</v>
      </c>
      <c r="T302" t="str">
        <f>IF(COUNTIF(Customers!$A$2:$A$301,C302)=0,"Missing","OK")</f>
        <v>OK</v>
      </c>
      <c r="U302" t="str">
        <f t="shared" si="13"/>
        <v>Mumbai</v>
      </c>
      <c r="V302">
        <f t="shared" si="14"/>
        <v>0</v>
      </c>
    </row>
    <row r="303" spans="1:22" ht="15" customHeight="1" x14ac:dyDescent="0.35">
      <c r="A303" s="3" t="s">
        <v>613</v>
      </c>
      <c r="B303" s="4">
        <v>45415</v>
      </c>
      <c r="C303" s="3" t="s">
        <v>108</v>
      </c>
      <c r="D303" s="3" t="s">
        <v>400</v>
      </c>
      <c r="E303" s="3" t="s">
        <v>131</v>
      </c>
      <c r="F303" s="5">
        <v>6</v>
      </c>
      <c r="G303" s="5">
        <v>3780</v>
      </c>
      <c r="H303" s="5">
        <v>20.9</v>
      </c>
      <c r="I303" s="5">
        <v>17939.88</v>
      </c>
      <c r="J303" s="3" t="s">
        <v>83</v>
      </c>
      <c r="K303" s="3" t="s">
        <v>51</v>
      </c>
      <c r="L303" t="str">
        <f>IFERROR(VLOOKUP(D303,Products!$A$2:$F$61,3,FALSE()),"")</f>
        <v>Sports</v>
      </c>
      <c r="M303" t="str">
        <f>IFERROR(VLOOKUP(E303,Sales_Reps!$A$2:$C$31,3,FALSE()),"")</f>
        <v>East</v>
      </c>
      <c r="N303">
        <f>IFERROR(VLOOKUP(D303,Products!$A$2:$F$61,4,FALSE()),"")</f>
        <v>1860</v>
      </c>
      <c r="O303" t="str">
        <f>IFERROR(VLOOKUP(C303,Customers!$A$2:$F$301,5,FALSE()),"")</f>
        <v>Retail</v>
      </c>
      <c r="P303">
        <f>IFERROR(VLOOKUP(C303,Customers!$A$2:$F$301,3,FALSE()),"")</f>
        <v>34</v>
      </c>
      <c r="Q303">
        <f t="shared" si="12"/>
        <v>0.50793650793650791</v>
      </c>
      <c r="R303">
        <f>IF(AND(COUNTIF($A$2:$A$2027,A303)&gt;1,COUNTIF($A$2:A303,A303)=1),1,0)</f>
        <v>0</v>
      </c>
      <c r="S303" t="b">
        <f>IFERROR(VLOOKUP(D303,Products!$A$2:$F$61,6,FALSE()),"")</f>
        <v>1</v>
      </c>
      <c r="T303" t="str">
        <f>IF(COUNTIF(Customers!$A$2:$A$301,C303)=0,"Missing","OK")</f>
        <v>OK</v>
      </c>
      <c r="U303" t="str">
        <f t="shared" si="13"/>
        <v>Mumbai</v>
      </c>
      <c r="V303">
        <f t="shared" si="14"/>
        <v>0</v>
      </c>
    </row>
    <row r="304" spans="1:22" ht="15" customHeight="1" x14ac:dyDescent="0.35">
      <c r="A304" s="3" t="s">
        <v>614</v>
      </c>
      <c r="B304" s="4">
        <v>45653</v>
      </c>
      <c r="C304" s="3" t="s">
        <v>615</v>
      </c>
      <c r="D304" s="3" t="s">
        <v>45</v>
      </c>
      <c r="E304" s="3" t="s">
        <v>285</v>
      </c>
      <c r="F304" s="5">
        <v>1</v>
      </c>
      <c r="G304" s="5">
        <v>3160</v>
      </c>
      <c r="H304" s="5">
        <v>10.7</v>
      </c>
      <c r="I304" s="5">
        <v>2821.88</v>
      </c>
      <c r="J304" s="3" t="s">
        <v>26</v>
      </c>
      <c r="K304" s="3" t="s">
        <v>27</v>
      </c>
      <c r="L304" t="str">
        <f>IFERROR(VLOOKUP(D304,Products!$A$2:$F$61,3,FALSE()),"")</f>
        <v>Apparel</v>
      </c>
      <c r="M304" t="str">
        <f>IFERROR(VLOOKUP(E304,Sales_Reps!$A$2:$C$31,3,FALSE()),"")</f>
        <v>South</v>
      </c>
      <c r="N304">
        <f>IFERROR(VLOOKUP(D304,Products!$A$2:$F$61,4,FALSE()),"")</f>
        <v>1886</v>
      </c>
      <c r="O304" t="str">
        <f>IFERROR(VLOOKUP(C304,Customers!$A$2:$F$301,5,FALSE()),"")</f>
        <v>SMB</v>
      </c>
      <c r="P304">
        <f>IFERROR(VLOOKUP(C304,Customers!$A$2:$F$301,3,FALSE()),"")</f>
        <v>35</v>
      </c>
      <c r="Q304">
        <f t="shared" si="12"/>
        <v>0.4031645569620253</v>
      </c>
      <c r="R304">
        <f>IF(AND(COUNTIF($A$2:$A$2027,A304)&gt;1,COUNTIF($A$2:A304,A304)=1),1,0)</f>
        <v>0</v>
      </c>
      <c r="S304" t="b">
        <f>IFERROR(VLOOKUP(D304,Products!$A$2:$F$61,6,FALSE()),"")</f>
        <v>1</v>
      </c>
      <c r="T304" t="str">
        <f>IF(COUNTIF(Customers!$A$2:$A$301,C304)=0,"Missing","OK")</f>
        <v>OK</v>
      </c>
      <c r="U304" t="str">
        <f t="shared" si="13"/>
        <v>Pune</v>
      </c>
      <c r="V304">
        <f t="shared" si="14"/>
        <v>0</v>
      </c>
    </row>
    <row r="305" spans="1:22" ht="15" customHeight="1" x14ac:dyDescent="0.35">
      <c r="A305" s="3" t="s">
        <v>616</v>
      </c>
      <c r="B305" s="4">
        <v>45564</v>
      </c>
      <c r="C305" s="3" t="s">
        <v>233</v>
      </c>
      <c r="D305" s="3" t="s">
        <v>123</v>
      </c>
      <c r="E305" s="3" t="s">
        <v>71</v>
      </c>
      <c r="F305" s="5">
        <v>5</v>
      </c>
      <c r="G305" s="5">
        <v>4880</v>
      </c>
      <c r="H305" s="5">
        <v>11.4</v>
      </c>
      <c r="I305" s="5">
        <v>21618.400000000001</v>
      </c>
      <c r="J305" s="3" t="s">
        <v>26</v>
      </c>
      <c r="K305" s="3" t="s">
        <v>72</v>
      </c>
      <c r="L305" t="str">
        <f>IFERROR(VLOOKUP(D305,Products!$A$2:$F$61,3,FALSE()),"")</f>
        <v>Beauty</v>
      </c>
      <c r="M305" t="str">
        <f>IFERROR(VLOOKUP(E305,Sales_Reps!$A$2:$C$31,3,FALSE()),"")</f>
        <v>South</v>
      </c>
      <c r="N305">
        <f>IFERROR(VLOOKUP(D305,Products!$A$2:$F$61,4,FALSE()),"")</f>
        <v>2768</v>
      </c>
      <c r="O305" t="str">
        <f>IFERROR(VLOOKUP(C305,Customers!$A$2:$F$301,5,FALSE()),"")</f>
        <v>SMB</v>
      </c>
      <c r="P305">
        <f>IFERROR(VLOOKUP(C305,Customers!$A$2:$F$301,3,FALSE()),"")</f>
        <v>43</v>
      </c>
      <c r="Q305">
        <f t="shared" si="12"/>
        <v>0.43278688524590164</v>
      </c>
      <c r="R305">
        <f>IF(AND(COUNTIF($A$2:$A$2027,A305)&gt;1,COUNTIF($A$2:A305,A305)=1),1,0)</f>
        <v>1</v>
      </c>
      <c r="S305" t="b">
        <f>IFERROR(VLOOKUP(D305,Products!$A$2:$F$61,6,FALSE()),"")</f>
        <v>1</v>
      </c>
      <c r="T305" t="str">
        <f>IF(COUNTIF(Customers!$A$2:$A$301,C305)=0,"Missing","OK")</f>
        <v>OK</v>
      </c>
      <c r="U305" t="str">
        <f t="shared" si="13"/>
        <v>Hyderabad</v>
      </c>
      <c r="V305">
        <f t="shared" si="14"/>
        <v>0</v>
      </c>
    </row>
    <row r="306" spans="1:22" ht="15" customHeight="1" x14ac:dyDescent="0.35">
      <c r="A306" s="3" t="s">
        <v>617</v>
      </c>
      <c r="B306" s="4">
        <v>45633</v>
      </c>
      <c r="C306" s="3" t="s">
        <v>577</v>
      </c>
      <c r="D306" s="3" t="s">
        <v>165</v>
      </c>
      <c r="E306" s="3" t="s">
        <v>143</v>
      </c>
      <c r="F306" s="5">
        <v>9</v>
      </c>
      <c r="G306" s="5">
        <v>3730</v>
      </c>
      <c r="H306" s="5">
        <v>10</v>
      </c>
      <c r="I306" s="5">
        <v>30213</v>
      </c>
      <c r="J306" s="3" t="s">
        <v>26</v>
      </c>
      <c r="K306" s="3" t="s">
        <v>38</v>
      </c>
      <c r="L306" t="str">
        <f>IFERROR(VLOOKUP(D306,Products!$A$2:$F$61,3,FALSE()),"")</f>
        <v>Home</v>
      </c>
      <c r="M306" t="str">
        <f>IFERROR(VLOOKUP(E306,Sales_Reps!$A$2:$C$31,3,FALSE()),"")</f>
        <v>South</v>
      </c>
      <c r="N306">
        <f>IFERROR(VLOOKUP(D306,Products!$A$2:$F$61,4,FALSE()),"")</f>
        <v>2135</v>
      </c>
      <c r="O306" t="str">
        <f>IFERROR(VLOOKUP(C306,Customers!$A$2:$F$301,5,FALSE()),"")</f>
        <v>Retail</v>
      </c>
      <c r="P306">
        <f>IFERROR(VLOOKUP(C306,Customers!$A$2:$F$301,3,FALSE()),"")</f>
        <v>43</v>
      </c>
      <c r="Q306">
        <f t="shared" si="12"/>
        <v>0.42761394101876676</v>
      </c>
      <c r="R306">
        <f>IF(AND(COUNTIF($A$2:$A$2027,A306)&gt;1,COUNTIF($A$2:A306,A306)=1),1,0)</f>
        <v>0</v>
      </c>
      <c r="S306" t="b">
        <f>IFERROR(VLOOKUP(D306,Products!$A$2:$F$61,6,FALSE()),"")</f>
        <v>1</v>
      </c>
      <c r="T306" t="str">
        <f>IF(COUNTIF(Customers!$A$2:$A$301,C306)=0,"Missing","OK")</f>
        <v>OK</v>
      </c>
      <c r="U306" t="str">
        <f t="shared" si="13"/>
        <v>Delhi</v>
      </c>
      <c r="V306">
        <f t="shared" si="14"/>
        <v>0</v>
      </c>
    </row>
    <row r="307" spans="1:22" ht="15" customHeight="1" x14ac:dyDescent="0.35">
      <c r="A307" s="3" t="s">
        <v>618</v>
      </c>
      <c r="B307" s="4">
        <v>45309</v>
      </c>
      <c r="C307" s="3" t="s">
        <v>619</v>
      </c>
      <c r="D307" s="3" t="s">
        <v>382</v>
      </c>
      <c r="E307" s="3" t="s">
        <v>78</v>
      </c>
      <c r="F307" s="5">
        <v>5</v>
      </c>
      <c r="G307" s="5">
        <v>5080</v>
      </c>
      <c r="H307" s="5">
        <v>15.3</v>
      </c>
      <c r="I307" s="5">
        <v>21513.8</v>
      </c>
      <c r="J307" s="3" t="s">
        <v>26</v>
      </c>
      <c r="K307" s="3" t="s">
        <v>33</v>
      </c>
      <c r="L307" t="str">
        <f>IFERROR(VLOOKUP(D307,Products!$A$2:$F$61,3,FALSE()),"")</f>
        <v>Home</v>
      </c>
      <c r="M307" t="str">
        <f>IFERROR(VLOOKUP(E307,Sales_Reps!$A$2:$C$31,3,FALSE()),"")</f>
        <v>North</v>
      </c>
      <c r="N307">
        <f>IFERROR(VLOOKUP(D307,Products!$A$2:$F$61,4,FALSE()),"")</f>
        <v>2459</v>
      </c>
      <c r="O307" t="str">
        <f>IFERROR(VLOOKUP(C307,Customers!$A$2:$F$301,5,FALSE()),"")</f>
        <v>Retail</v>
      </c>
      <c r="P307">
        <f>IFERROR(VLOOKUP(C307,Customers!$A$2:$F$301,3,FALSE()),"")</f>
        <v>26</v>
      </c>
      <c r="Q307">
        <f t="shared" si="12"/>
        <v>0.51594488188976373</v>
      </c>
      <c r="R307">
        <f>IF(AND(COUNTIF($A$2:$A$2027,A307)&gt;1,COUNTIF($A$2:A307,A307)=1),1,0)</f>
        <v>0</v>
      </c>
      <c r="S307" t="b">
        <f>IFERROR(VLOOKUP(D307,Products!$A$2:$F$61,6,FALSE()),"")</f>
        <v>1</v>
      </c>
      <c r="T307" t="str">
        <f>IF(COUNTIF(Customers!$A$2:$A$301,C307)=0,"Missing","OK")</f>
        <v>OK</v>
      </c>
      <c r="U307" t="str">
        <f t="shared" si="13"/>
        <v>Chennai</v>
      </c>
      <c r="V307">
        <f t="shared" si="14"/>
        <v>0</v>
      </c>
    </row>
    <row r="308" spans="1:22" ht="15" customHeight="1" x14ac:dyDescent="0.35">
      <c r="A308" s="3" t="s">
        <v>620</v>
      </c>
      <c r="B308" s="4">
        <v>45403</v>
      </c>
      <c r="C308" s="3" t="s">
        <v>99</v>
      </c>
      <c r="D308" s="3" t="s">
        <v>325</v>
      </c>
      <c r="E308" s="3" t="s">
        <v>191</v>
      </c>
      <c r="F308" s="5">
        <v>9</v>
      </c>
      <c r="G308" s="5">
        <v>2290</v>
      </c>
      <c r="H308" s="5">
        <v>3.3</v>
      </c>
      <c r="I308" s="5">
        <v>19929.87</v>
      </c>
      <c r="J308" s="3" t="s">
        <v>32</v>
      </c>
      <c r="K308" s="3" t="s">
        <v>51</v>
      </c>
      <c r="L308" t="str">
        <f>IFERROR(VLOOKUP(D308,Products!$A$2:$F$61,3,FALSE()),"")</f>
        <v>Beauty</v>
      </c>
      <c r="M308" t="str">
        <f>IFERROR(VLOOKUP(E308,Sales_Reps!$A$2:$C$31,3,FALSE()),"")</f>
        <v>South</v>
      </c>
      <c r="N308">
        <f>IFERROR(VLOOKUP(D308,Products!$A$2:$F$61,4,FALSE()),"")</f>
        <v>1219</v>
      </c>
      <c r="O308" t="str">
        <f>IFERROR(VLOOKUP(C308,Customers!$A$2:$F$301,5,FALSE()),"")</f>
        <v>Retail</v>
      </c>
      <c r="P308">
        <f>IFERROR(VLOOKUP(C308,Customers!$A$2:$F$301,3,FALSE()),"")</f>
        <v>54</v>
      </c>
      <c r="Q308">
        <f t="shared" si="12"/>
        <v>0.46768558951965067</v>
      </c>
      <c r="R308">
        <f>IF(AND(COUNTIF($A$2:$A$2027,A308)&gt;1,COUNTIF($A$2:A308,A308)=1),1,0)</f>
        <v>0</v>
      </c>
      <c r="S308" t="b">
        <f>IFERROR(VLOOKUP(D308,Products!$A$2:$F$61,6,FALSE()),"")</f>
        <v>1</v>
      </c>
      <c r="T308" t="str">
        <f>IF(COUNTIF(Customers!$A$2:$A$301,C308)=0,"Missing","OK")</f>
        <v>OK</v>
      </c>
      <c r="U308" t="str">
        <f t="shared" si="13"/>
        <v>Mumbai</v>
      </c>
      <c r="V308">
        <f t="shared" si="14"/>
        <v>0</v>
      </c>
    </row>
    <row r="309" spans="1:22" ht="15" customHeight="1" x14ac:dyDescent="0.35">
      <c r="A309" s="3" t="s">
        <v>621</v>
      </c>
      <c r="B309" s="4">
        <v>45554</v>
      </c>
      <c r="C309" s="3" t="s">
        <v>485</v>
      </c>
      <c r="D309" s="3" t="s">
        <v>218</v>
      </c>
      <c r="E309" s="3" t="s">
        <v>71</v>
      </c>
      <c r="F309" s="5">
        <v>5</v>
      </c>
      <c r="G309" s="5">
        <v>2660</v>
      </c>
      <c r="H309" s="5">
        <v>8.3000000000000007</v>
      </c>
      <c r="I309" s="5">
        <v>12196.1</v>
      </c>
      <c r="J309" s="3" t="s">
        <v>26</v>
      </c>
      <c r="K309" s="3" t="s">
        <v>38</v>
      </c>
      <c r="L309" t="str">
        <f>IFERROR(VLOOKUP(D309,Products!$A$2:$F$61,3,FALSE()),"")</f>
        <v>Electronics</v>
      </c>
      <c r="M309" t="str">
        <f>IFERROR(VLOOKUP(E309,Sales_Reps!$A$2:$C$31,3,FALSE()),"")</f>
        <v>South</v>
      </c>
      <c r="N309">
        <f>IFERROR(VLOOKUP(D309,Products!$A$2:$F$61,4,FALSE()),"")</f>
        <v>1259</v>
      </c>
      <c r="O309" t="str">
        <f>IFERROR(VLOOKUP(C309,Customers!$A$2:$F$301,5,FALSE()),"")</f>
        <v>SMB</v>
      </c>
      <c r="P309">
        <f>IFERROR(VLOOKUP(C309,Customers!$A$2:$F$301,3,FALSE()),"")</f>
        <v>29</v>
      </c>
      <c r="Q309">
        <f t="shared" si="12"/>
        <v>0.52669172932330832</v>
      </c>
      <c r="R309">
        <f>IF(AND(COUNTIF($A$2:$A$2027,A309)&gt;1,COUNTIF($A$2:A309,A309)=1),1,0)</f>
        <v>0</v>
      </c>
      <c r="S309" t="b">
        <f>IFERROR(VLOOKUP(D309,Products!$A$2:$F$61,6,FALSE()),"")</f>
        <v>0</v>
      </c>
      <c r="T309" t="str">
        <f>IF(COUNTIF(Customers!$A$2:$A$301,C309)=0,"Missing","OK")</f>
        <v>OK</v>
      </c>
      <c r="U309" t="str">
        <f t="shared" si="13"/>
        <v>Delhi</v>
      </c>
      <c r="V309">
        <f t="shared" si="14"/>
        <v>0</v>
      </c>
    </row>
    <row r="310" spans="1:22" ht="15" customHeight="1" x14ac:dyDescent="0.35">
      <c r="A310" s="3" t="s">
        <v>622</v>
      </c>
      <c r="B310" s="4">
        <v>45529</v>
      </c>
      <c r="C310" s="3" t="s">
        <v>623</v>
      </c>
      <c r="D310" s="3" t="s">
        <v>173</v>
      </c>
      <c r="E310" s="3" t="s">
        <v>50</v>
      </c>
      <c r="F310" s="5">
        <v>6</v>
      </c>
      <c r="G310" s="5">
        <v>3780</v>
      </c>
      <c r="H310" s="5">
        <v>28.3</v>
      </c>
      <c r="I310" s="5">
        <v>16261.56</v>
      </c>
      <c r="J310" s="3" t="s">
        <v>26</v>
      </c>
      <c r="K310" s="3" t="s">
        <v>38</v>
      </c>
      <c r="L310" t="str">
        <f>IFERROR(VLOOKUP(D310,Products!$A$2:$F$61,3,FALSE()),"")</f>
        <v>Grocery</v>
      </c>
      <c r="M310" t="str">
        <f>IFERROR(VLOOKUP(E310,Sales_Reps!$A$2:$C$31,3,FALSE()),"")</f>
        <v>West</v>
      </c>
      <c r="N310">
        <f>IFERROR(VLOOKUP(D310,Products!$A$2:$F$61,4,FALSE()),"")</f>
        <v>2436</v>
      </c>
      <c r="O310" t="str">
        <f>IFERROR(VLOOKUP(C310,Customers!$A$2:$F$301,5,FALSE()),"")</f>
        <v>Retail</v>
      </c>
      <c r="P310">
        <f>IFERROR(VLOOKUP(C310,Customers!$A$2:$F$301,3,FALSE()),"")</f>
        <v>41</v>
      </c>
      <c r="Q310">
        <f t="shared" si="12"/>
        <v>0.35555555555555557</v>
      </c>
      <c r="R310">
        <f>IF(AND(COUNTIF($A$2:$A$2027,A310)&gt;1,COUNTIF($A$2:A310,A310)=1),1,0)</f>
        <v>0</v>
      </c>
      <c r="S310" t="b">
        <f>IFERROR(VLOOKUP(D310,Products!$A$2:$F$61,6,FALSE()),"")</f>
        <v>1</v>
      </c>
      <c r="T310" t="str">
        <f>IF(COUNTIF(Customers!$A$2:$A$301,C310)=0,"Missing","OK")</f>
        <v>OK</v>
      </c>
      <c r="U310" t="str">
        <f t="shared" si="13"/>
        <v>Delhi</v>
      </c>
      <c r="V310">
        <f t="shared" si="14"/>
        <v>0</v>
      </c>
    </row>
    <row r="311" spans="1:22" ht="15" customHeight="1" x14ac:dyDescent="0.35">
      <c r="A311" s="3" t="s">
        <v>624</v>
      </c>
      <c r="B311" s="4">
        <v>45300</v>
      </c>
      <c r="C311" s="3" t="s">
        <v>625</v>
      </c>
      <c r="D311" s="3" t="s">
        <v>139</v>
      </c>
      <c r="E311" s="3" t="s">
        <v>67</v>
      </c>
      <c r="F311" s="5">
        <v>5</v>
      </c>
      <c r="G311" s="5">
        <v>2760</v>
      </c>
      <c r="H311" s="5">
        <v>4.9000000000000004</v>
      </c>
      <c r="I311" s="5">
        <v>13123.8</v>
      </c>
      <c r="J311" s="3" t="s">
        <v>26</v>
      </c>
      <c r="K311" s="3" t="s">
        <v>51</v>
      </c>
      <c r="L311" t="str">
        <f>IFERROR(VLOOKUP(D311,Products!$A$2:$F$61,3,FALSE()),"")</f>
        <v>Grocery</v>
      </c>
      <c r="M311" t="str">
        <f>IFERROR(VLOOKUP(E311,Sales_Reps!$A$2:$C$31,3,FALSE()),"")</f>
        <v>West</v>
      </c>
      <c r="N311">
        <f>IFERROR(VLOOKUP(D311,Products!$A$2:$F$61,4,FALSE()),"")</f>
        <v>1435</v>
      </c>
      <c r="O311" t="str">
        <f>IFERROR(VLOOKUP(C311,Customers!$A$2:$F$301,5,FALSE()),"")</f>
        <v>Retail</v>
      </c>
      <c r="P311">
        <f>IFERROR(VLOOKUP(C311,Customers!$A$2:$F$301,3,FALSE()),"")</f>
        <v>35</v>
      </c>
      <c r="Q311">
        <f t="shared" si="12"/>
        <v>0.48007246376811596</v>
      </c>
      <c r="R311">
        <f>IF(AND(COUNTIF($A$2:$A$2027,A311)&gt;1,COUNTIF($A$2:A311,A311)=1),1,0)</f>
        <v>0</v>
      </c>
      <c r="S311" t="b">
        <f>IFERROR(VLOOKUP(D311,Products!$A$2:$F$61,6,FALSE()),"")</f>
        <v>1</v>
      </c>
      <c r="T311" t="str">
        <f>IF(COUNTIF(Customers!$A$2:$A$301,C311)=0,"Missing","OK")</f>
        <v>OK</v>
      </c>
      <c r="U311" t="str">
        <f t="shared" si="13"/>
        <v>Mumbai</v>
      </c>
      <c r="V311">
        <f t="shared" si="14"/>
        <v>0</v>
      </c>
    </row>
    <row r="312" spans="1:22" ht="15" customHeight="1" x14ac:dyDescent="0.35">
      <c r="A312" s="3" t="s">
        <v>626</v>
      </c>
      <c r="B312" s="4">
        <v>45368</v>
      </c>
      <c r="C312" s="3" t="s">
        <v>272</v>
      </c>
      <c r="D312" s="3" t="s">
        <v>198</v>
      </c>
      <c r="E312" s="3" t="s">
        <v>42</v>
      </c>
      <c r="F312" s="5">
        <v>8</v>
      </c>
      <c r="G312" s="5">
        <v>1540</v>
      </c>
      <c r="H312" s="5">
        <v>29.4</v>
      </c>
      <c r="I312" s="5">
        <v>8697.92</v>
      </c>
      <c r="J312" s="3" t="s">
        <v>79</v>
      </c>
      <c r="K312" s="3" t="s">
        <v>72</v>
      </c>
      <c r="L312" t="str">
        <f>IFERROR(VLOOKUP(D312,Products!$A$2:$F$61,3,FALSE()),"")</f>
        <v>Beauty</v>
      </c>
      <c r="M312" t="str">
        <f>IFERROR(VLOOKUP(E312,Sales_Reps!$A$2:$C$31,3,FALSE()),"")</f>
        <v>North</v>
      </c>
      <c r="N312">
        <f>IFERROR(VLOOKUP(D312,Products!$A$2:$F$61,4,FALSE()),"")</f>
        <v>647</v>
      </c>
      <c r="O312" t="str">
        <f>IFERROR(VLOOKUP(C312,Customers!$A$2:$F$301,5,FALSE()),"")</f>
        <v>SMB</v>
      </c>
      <c r="P312">
        <f>IFERROR(VLOOKUP(C312,Customers!$A$2:$F$301,3,FALSE()),"")</f>
        <v>65</v>
      </c>
      <c r="Q312">
        <f t="shared" si="12"/>
        <v>0.57987012987012987</v>
      </c>
      <c r="R312">
        <f>IF(AND(COUNTIF($A$2:$A$2027,A312)&gt;1,COUNTIF($A$2:A312,A312)=1),1,0)</f>
        <v>0</v>
      </c>
      <c r="S312" t="b">
        <f>IFERROR(VLOOKUP(D312,Products!$A$2:$F$61,6,FALSE()),"")</f>
        <v>0</v>
      </c>
      <c r="T312" t="str">
        <f>IF(COUNTIF(Customers!$A$2:$A$301,C312)=0,"Missing","OK")</f>
        <v>OK</v>
      </c>
      <c r="U312" t="str">
        <f t="shared" si="13"/>
        <v>Hyderabad</v>
      </c>
      <c r="V312">
        <f t="shared" si="14"/>
        <v>0</v>
      </c>
    </row>
    <row r="313" spans="1:22" ht="15" customHeight="1" x14ac:dyDescent="0.35">
      <c r="A313" s="3" t="s">
        <v>627</v>
      </c>
      <c r="B313" s="4">
        <v>45374</v>
      </c>
      <c r="C313" s="3" t="s">
        <v>628</v>
      </c>
      <c r="D313" s="3" t="s">
        <v>123</v>
      </c>
      <c r="E313" s="3" t="s">
        <v>224</v>
      </c>
      <c r="F313" s="5">
        <v>1</v>
      </c>
      <c r="G313" s="5">
        <v>4880</v>
      </c>
      <c r="H313" s="5">
        <v>18.100000000000001</v>
      </c>
      <c r="I313" s="5">
        <v>3996.72</v>
      </c>
      <c r="J313" s="3" t="s">
        <v>26</v>
      </c>
      <c r="K313" s="3" t="s">
        <v>72</v>
      </c>
      <c r="L313" t="str">
        <f>IFERROR(VLOOKUP(D313,Products!$A$2:$F$61,3,FALSE()),"")</f>
        <v>Beauty</v>
      </c>
      <c r="M313" t="str">
        <f>IFERROR(VLOOKUP(E313,Sales_Reps!$A$2:$C$31,3,FALSE()),"")</f>
        <v>East</v>
      </c>
      <c r="N313">
        <f>IFERROR(VLOOKUP(D313,Products!$A$2:$F$61,4,FALSE()),"")</f>
        <v>2768</v>
      </c>
      <c r="O313" t="str">
        <f>IFERROR(VLOOKUP(C313,Customers!$A$2:$F$301,5,FALSE()),"")</f>
        <v>Retail</v>
      </c>
      <c r="P313">
        <f>IFERROR(VLOOKUP(C313,Customers!$A$2:$F$301,3,FALSE()),"")</f>
        <v>28</v>
      </c>
      <c r="Q313">
        <f t="shared" si="12"/>
        <v>0.43278688524590164</v>
      </c>
      <c r="R313">
        <f>IF(AND(COUNTIF($A$2:$A$2027,A313)&gt;1,COUNTIF($A$2:A313,A313)=1),1,0)</f>
        <v>0</v>
      </c>
      <c r="S313" t="b">
        <f>IFERROR(VLOOKUP(D313,Products!$A$2:$F$61,6,FALSE()),"")</f>
        <v>1</v>
      </c>
      <c r="T313" t="str">
        <f>IF(COUNTIF(Customers!$A$2:$A$301,C313)=0,"Missing","OK")</f>
        <v>OK</v>
      </c>
      <c r="U313" t="str">
        <f t="shared" si="13"/>
        <v>Hyderabad</v>
      </c>
      <c r="V313">
        <f t="shared" si="14"/>
        <v>0</v>
      </c>
    </row>
    <row r="314" spans="1:22" ht="15" customHeight="1" x14ac:dyDescent="0.35">
      <c r="A314" s="3" t="s">
        <v>629</v>
      </c>
      <c r="B314" s="4">
        <v>45592</v>
      </c>
      <c r="C314" s="3" t="s">
        <v>421</v>
      </c>
      <c r="D314" s="3" t="s">
        <v>70</v>
      </c>
      <c r="E314" s="3" t="s">
        <v>127</v>
      </c>
      <c r="F314" s="5">
        <v>8</v>
      </c>
      <c r="G314" s="5">
        <v>2270</v>
      </c>
      <c r="H314" s="5">
        <v>19.8</v>
      </c>
      <c r="I314" s="5">
        <v>14564.32</v>
      </c>
      <c r="J314" s="3" t="s">
        <v>32</v>
      </c>
      <c r="K314" s="3" t="s">
        <v>72</v>
      </c>
      <c r="L314" t="str">
        <f>IFERROR(VLOOKUP(D314,Products!$A$2:$F$61,3,FALSE()),"")</f>
        <v>Grocery</v>
      </c>
      <c r="M314" t="str">
        <f>IFERROR(VLOOKUP(E314,Sales_Reps!$A$2:$C$31,3,FALSE()),"")</f>
        <v>South</v>
      </c>
      <c r="N314">
        <f>IFERROR(VLOOKUP(D314,Products!$A$2:$F$61,4,FALSE()),"")</f>
        <v>1203</v>
      </c>
      <c r="O314" t="str">
        <f>IFERROR(VLOOKUP(C314,Customers!$A$2:$F$301,5,FALSE()),"")</f>
        <v>Corporate</v>
      </c>
      <c r="P314">
        <f>IFERROR(VLOOKUP(C314,Customers!$A$2:$F$301,3,FALSE()),"")</f>
        <v>52</v>
      </c>
      <c r="Q314">
        <f t="shared" si="12"/>
        <v>0.47004405286343615</v>
      </c>
      <c r="R314">
        <f>IF(AND(COUNTIF($A$2:$A$2027,A314)&gt;1,COUNTIF($A$2:A314,A314)=1),1,0)</f>
        <v>0</v>
      </c>
      <c r="S314" t="b">
        <f>IFERROR(VLOOKUP(D314,Products!$A$2:$F$61,6,FALSE()),"")</f>
        <v>1</v>
      </c>
      <c r="T314" t="str">
        <f>IF(COUNTIF(Customers!$A$2:$A$301,C314)=0,"Missing","OK")</f>
        <v>OK</v>
      </c>
      <c r="U314" t="str">
        <f t="shared" si="13"/>
        <v>Hyderabad</v>
      </c>
      <c r="V314">
        <f t="shared" si="14"/>
        <v>0</v>
      </c>
    </row>
    <row r="315" spans="1:22" ht="15" customHeight="1" x14ac:dyDescent="0.35">
      <c r="A315" s="3" t="s">
        <v>630</v>
      </c>
      <c r="B315" s="4">
        <v>45508</v>
      </c>
      <c r="C315" s="3" t="s">
        <v>554</v>
      </c>
      <c r="D315" s="3" t="s">
        <v>106</v>
      </c>
      <c r="E315" s="3" t="s">
        <v>71</v>
      </c>
      <c r="F315" s="5">
        <v>10</v>
      </c>
      <c r="G315" s="5">
        <v>2480</v>
      </c>
      <c r="H315" s="5">
        <v>24.4</v>
      </c>
      <c r="I315" s="5">
        <v>18748.8</v>
      </c>
      <c r="J315" s="3" t="s">
        <v>32</v>
      </c>
      <c r="K315" s="3" t="s">
        <v>51</v>
      </c>
      <c r="L315" t="str">
        <f>IFERROR(VLOOKUP(D315,Products!$A$2:$F$61,3,FALSE()),"")</f>
        <v>Apparel</v>
      </c>
      <c r="M315" t="str">
        <f>IFERROR(VLOOKUP(E315,Sales_Reps!$A$2:$C$31,3,FALSE()),"")</f>
        <v>South</v>
      </c>
      <c r="N315">
        <f>IFERROR(VLOOKUP(D315,Products!$A$2:$F$61,4,FALSE()),"")</f>
        <v>1173</v>
      </c>
      <c r="O315" t="str">
        <f>IFERROR(VLOOKUP(C315,Customers!$A$2:$F$301,5,FALSE()),"")</f>
        <v>Retail</v>
      </c>
      <c r="P315">
        <f>IFERROR(VLOOKUP(C315,Customers!$A$2:$F$301,3,FALSE()),"")</f>
        <v>53</v>
      </c>
      <c r="Q315">
        <f t="shared" si="12"/>
        <v>0.52701612903225803</v>
      </c>
      <c r="R315">
        <f>IF(AND(COUNTIF($A$2:$A$2027,A315)&gt;1,COUNTIF($A$2:A315,A315)=1),1,0)</f>
        <v>0</v>
      </c>
      <c r="S315" t="b">
        <f>IFERROR(VLOOKUP(D315,Products!$A$2:$F$61,6,FALSE()),"")</f>
        <v>1</v>
      </c>
      <c r="T315" t="str">
        <f>IF(COUNTIF(Customers!$A$2:$A$301,C315)=0,"Missing","OK")</f>
        <v>OK</v>
      </c>
      <c r="U315" t="str">
        <f t="shared" si="13"/>
        <v>Mumbai</v>
      </c>
      <c r="V315">
        <f t="shared" si="14"/>
        <v>0</v>
      </c>
    </row>
    <row r="316" spans="1:22" ht="15" customHeight="1" x14ac:dyDescent="0.35">
      <c r="A316" s="3" t="s">
        <v>631</v>
      </c>
      <c r="B316" s="4">
        <v>45481</v>
      </c>
      <c r="C316" s="3" t="s">
        <v>69</v>
      </c>
      <c r="D316" s="3" t="s">
        <v>215</v>
      </c>
      <c r="E316" s="3" t="s">
        <v>37</v>
      </c>
      <c r="F316" s="5">
        <v>8</v>
      </c>
      <c r="G316" s="5">
        <v>3020</v>
      </c>
      <c r="H316" s="5">
        <v>15.2</v>
      </c>
      <c r="I316" s="5">
        <v>20487.68</v>
      </c>
      <c r="J316" s="3" t="s">
        <v>32</v>
      </c>
      <c r="K316" s="3" t="s">
        <v>72</v>
      </c>
      <c r="L316" t="str">
        <f>IFERROR(VLOOKUP(D316,Products!$A$2:$F$61,3,FALSE()),"")</f>
        <v>Beauty</v>
      </c>
      <c r="M316" t="str">
        <f>IFERROR(VLOOKUP(E316,Sales_Reps!$A$2:$C$31,3,FALSE()),"")</f>
        <v>South</v>
      </c>
      <c r="N316">
        <f>IFERROR(VLOOKUP(D316,Products!$A$2:$F$61,4,FALSE()),"")</f>
        <v>1626</v>
      </c>
      <c r="O316" t="str">
        <f>IFERROR(VLOOKUP(C316,Customers!$A$2:$F$301,5,FALSE()),"")</f>
        <v>Retail</v>
      </c>
      <c r="P316">
        <f>IFERROR(VLOOKUP(C316,Customers!$A$2:$F$301,3,FALSE()),"")</f>
        <v>60</v>
      </c>
      <c r="Q316">
        <f t="shared" si="12"/>
        <v>0.46158940397350995</v>
      </c>
      <c r="R316">
        <f>IF(AND(COUNTIF($A$2:$A$2027,A316)&gt;1,COUNTIF($A$2:A316,A316)=1),1,0)</f>
        <v>0</v>
      </c>
      <c r="S316" t="b">
        <f>IFERROR(VLOOKUP(D316,Products!$A$2:$F$61,6,FALSE()),"")</f>
        <v>1</v>
      </c>
      <c r="T316" t="str">
        <f>IF(COUNTIF(Customers!$A$2:$A$301,C316)=0,"Missing","OK")</f>
        <v>OK</v>
      </c>
      <c r="U316" t="str">
        <f t="shared" si="13"/>
        <v>Hyderabad</v>
      </c>
      <c r="V316">
        <f t="shared" si="14"/>
        <v>0</v>
      </c>
    </row>
    <row r="317" spans="1:22" ht="15" customHeight="1" x14ac:dyDescent="0.35">
      <c r="A317" s="3" t="s">
        <v>632</v>
      </c>
      <c r="B317" s="4">
        <v>45517</v>
      </c>
      <c r="C317" s="3" t="s">
        <v>267</v>
      </c>
      <c r="D317" s="3" t="s">
        <v>198</v>
      </c>
      <c r="E317" s="3" t="s">
        <v>60</v>
      </c>
      <c r="F317" s="5">
        <v>10</v>
      </c>
      <c r="G317" s="5">
        <v>1540</v>
      </c>
      <c r="H317" s="5">
        <v>0.6</v>
      </c>
      <c r="I317" s="5">
        <v>15307.6</v>
      </c>
      <c r="J317" s="3" t="s">
        <v>26</v>
      </c>
      <c r="K317" s="3" t="s">
        <v>33</v>
      </c>
      <c r="L317" t="str">
        <f>IFERROR(VLOOKUP(D317,Products!$A$2:$F$61,3,FALSE()),"")</f>
        <v>Beauty</v>
      </c>
      <c r="M317" t="str">
        <f>IFERROR(VLOOKUP(E317,Sales_Reps!$A$2:$C$31,3,FALSE()),"")</f>
        <v>East</v>
      </c>
      <c r="N317">
        <f>IFERROR(VLOOKUP(D317,Products!$A$2:$F$61,4,FALSE()),"")</f>
        <v>647</v>
      </c>
      <c r="O317" t="str">
        <f>IFERROR(VLOOKUP(C317,Customers!$A$2:$F$301,5,FALSE()),"")</f>
        <v>Retail</v>
      </c>
      <c r="P317">
        <f>IFERROR(VLOOKUP(C317,Customers!$A$2:$F$301,3,FALSE()),"")</f>
        <v>28</v>
      </c>
      <c r="Q317">
        <f t="shared" si="12"/>
        <v>0.57987012987012987</v>
      </c>
      <c r="R317">
        <f>IF(AND(COUNTIF($A$2:$A$2027,A317)&gt;1,COUNTIF($A$2:A317,A317)=1),1,0)</f>
        <v>0</v>
      </c>
      <c r="S317" t="b">
        <f>IFERROR(VLOOKUP(D317,Products!$A$2:$F$61,6,FALSE()),"")</f>
        <v>0</v>
      </c>
      <c r="T317" t="str">
        <f>IF(COUNTIF(Customers!$A$2:$A$301,C317)=0,"Missing","OK")</f>
        <v>OK</v>
      </c>
      <c r="U317" t="str">
        <f t="shared" si="13"/>
        <v>Chennai</v>
      </c>
      <c r="V317">
        <f t="shared" si="14"/>
        <v>0</v>
      </c>
    </row>
    <row r="318" spans="1:22" ht="15" customHeight="1" x14ac:dyDescent="0.35">
      <c r="A318" s="3" t="s">
        <v>633</v>
      </c>
      <c r="B318" s="4">
        <v>45632</v>
      </c>
      <c r="C318" s="3" t="s">
        <v>429</v>
      </c>
      <c r="D318" s="3" t="s">
        <v>45</v>
      </c>
      <c r="E318" s="3" t="s">
        <v>154</v>
      </c>
      <c r="F318" s="5">
        <v>7</v>
      </c>
      <c r="G318" s="5">
        <v>3160</v>
      </c>
      <c r="H318" s="5">
        <v>8.9</v>
      </c>
      <c r="I318" s="5">
        <v>20151.32</v>
      </c>
      <c r="J318" s="3" t="s">
        <v>26</v>
      </c>
      <c r="K318" s="3" t="s">
        <v>38</v>
      </c>
      <c r="L318" t="str">
        <f>IFERROR(VLOOKUP(D318,Products!$A$2:$F$61,3,FALSE()),"")</f>
        <v>Apparel</v>
      </c>
      <c r="M318" t="str">
        <f>IFERROR(VLOOKUP(E318,Sales_Reps!$A$2:$C$31,3,FALSE()),"")</f>
        <v>North</v>
      </c>
      <c r="N318">
        <f>IFERROR(VLOOKUP(D318,Products!$A$2:$F$61,4,FALSE()),"")</f>
        <v>1886</v>
      </c>
      <c r="O318" t="str">
        <f>IFERROR(VLOOKUP(C318,Customers!$A$2:$F$301,5,FALSE()),"")</f>
        <v>Retail</v>
      </c>
      <c r="P318">
        <f>IFERROR(VLOOKUP(C318,Customers!$A$2:$F$301,3,FALSE()),"")</f>
        <v>59</v>
      </c>
      <c r="Q318">
        <f t="shared" si="12"/>
        <v>0.4031645569620253</v>
      </c>
      <c r="R318">
        <f>IF(AND(COUNTIF($A$2:$A$2027,A318)&gt;1,COUNTIF($A$2:A318,A318)=1),1,0)</f>
        <v>0</v>
      </c>
      <c r="S318" t="b">
        <f>IFERROR(VLOOKUP(D318,Products!$A$2:$F$61,6,FALSE()),"")</f>
        <v>1</v>
      </c>
      <c r="T318" t="str">
        <f>IF(COUNTIF(Customers!$A$2:$A$301,C318)=0,"Missing","OK")</f>
        <v>OK</v>
      </c>
      <c r="U318" t="str">
        <f t="shared" si="13"/>
        <v>Delhi</v>
      </c>
      <c r="V318">
        <f t="shared" si="14"/>
        <v>0</v>
      </c>
    </row>
    <row r="319" spans="1:22" ht="15" customHeight="1" x14ac:dyDescent="0.35">
      <c r="A319" s="3" t="s">
        <v>634</v>
      </c>
      <c r="B319" s="4">
        <v>45592</v>
      </c>
      <c r="C319" s="3" t="s">
        <v>149</v>
      </c>
      <c r="D319" s="3" t="s">
        <v>121</v>
      </c>
      <c r="E319" s="3" t="s">
        <v>191</v>
      </c>
      <c r="F319" s="5">
        <v>6</v>
      </c>
      <c r="G319" s="5">
        <v>1010</v>
      </c>
      <c r="H319" s="5">
        <v>12.9</v>
      </c>
      <c r="I319" s="5">
        <v>5278.26</v>
      </c>
      <c r="J319" s="3" t="s">
        <v>26</v>
      </c>
      <c r="K319" s="3" t="s">
        <v>38</v>
      </c>
      <c r="L319" t="str">
        <f>IFERROR(VLOOKUP(D319,Products!$A$2:$F$61,3,FALSE()),"")</f>
        <v>Sports</v>
      </c>
      <c r="M319" t="str">
        <f>IFERROR(VLOOKUP(E319,Sales_Reps!$A$2:$C$31,3,FALSE()),"")</f>
        <v>South</v>
      </c>
      <c r="N319">
        <f>IFERROR(VLOOKUP(D319,Products!$A$2:$F$61,4,FALSE()),"")</f>
        <v>516</v>
      </c>
      <c r="O319" t="str">
        <f>IFERROR(VLOOKUP(C319,Customers!$A$2:$F$301,5,FALSE()),"")</f>
        <v>Retail</v>
      </c>
      <c r="P319">
        <f>IFERROR(VLOOKUP(C319,Customers!$A$2:$F$301,3,FALSE()),"")</f>
        <v>41</v>
      </c>
      <c r="Q319">
        <f t="shared" si="12"/>
        <v>0.4891089108910891</v>
      </c>
      <c r="R319">
        <f>IF(AND(COUNTIF($A$2:$A$2027,A319)&gt;1,COUNTIF($A$2:A319,A319)=1),1,0)</f>
        <v>0</v>
      </c>
      <c r="S319" t="b">
        <f>IFERROR(VLOOKUP(D319,Products!$A$2:$F$61,6,FALSE()),"")</f>
        <v>1</v>
      </c>
      <c r="T319" t="str">
        <f>IF(COUNTIF(Customers!$A$2:$A$301,C319)=0,"Missing","OK")</f>
        <v>OK</v>
      </c>
      <c r="U319" t="str">
        <f t="shared" si="13"/>
        <v>Delhi</v>
      </c>
      <c r="V319">
        <f t="shared" si="14"/>
        <v>0</v>
      </c>
    </row>
    <row r="320" spans="1:22" ht="15" customHeight="1" x14ac:dyDescent="0.35">
      <c r="A320" s="3" t="s">
        <v>635</v>
      </c>
      <c r="B320" s="4">
        <v>45450</v>
      </c>
      <c r="C320" s="3" t="s">
        <v>636</v>
      </c>
      <c r="D320" s="3" t="s">
        <v>209</v>
      </c>
      <c r="E320" s="3" t="s">
        <v>131</v>
      </c>
      <c r="F320" s="5">
        <v>4</v>
      </c>
      <c r="G320" s="5">
        <v>4610</v>
      </c>
      <c r="H320" s="5">
        <v>18.2</v>
      </c>
      <c r="I320" s="5">
        <v>15083.92</v>
      </c>
      <c r="J320" s="3" t="s">
        <v>26</v>
      </c>
      <c r="K320" s="3" t="s">
        <v>72</v>
      </c>
      <c r="L320" t="str">
        <f>IFERROR(VLOOKUP(D320,Products!$A$2:$F$61,3,FALSE()),"")</f>
        <v>Home</v>
      </c>
      <c r="M320" t="str">
        <f>IFERROR(VLOOKUP(E320,Sales_Reps!$A$2:$C$31,3,FALSE()),"")</f>
        <v>East</v>
      </c>
      <c r="N320">
        <f>IFERROR(VLOOKUP(D320,Products!$A$2:$F$61,4,FALSE()),"")</f>
        <v>1850</v>
      </c>
      <c r="O320" t="str">
        <f>IFERROR(VLOOKUP(C320,Customers!$A$2:$F$301,5,FALSE()),"")</f>
        <v>Retail</v>
      </c>
      <c r="P320">
        <f>IFERROR(VLOOKUP(C320,Customers!$A$2:$F$301,3,FALSE()),"")</f>
        <v>65</v>
      </c>
      <c r="Q320">
        <f t="shared" si="12"/>
        <v>0.59869848156182215</v>
      </c>
      <c r="R320">
        <f>IF(AND(COUNTIF($A$2:$A$2027,A320)&gt;1,COUNTIF($A$2:A320,A320)=1),1,0)</f>
        <v>0</v>
      </c>
      <c r="S320" t="b">
        <f>IFERROR(VLOOKUP(D320,Products!$A$2:$F$61,6,FALSE()),"")</f>
        <v>1</v>
      </c>
      <c r="T320" t="str">
        <f>IF(COUNTIF(Customers!$A$2:$A$301,C320)=0,"Missing","OK")</f>
        <v>OK</v>
      </c>
      <c r="U320" t="str">
        <f t="shared" si="13"/>
        <v>Hyderabad</v>
      </c>
      <c r="V320">
        <f t="shared" si="14"/>
        <v>0</v>
      </c>
    </row>
    <row r="321" spans="1:22" ht="15" customHeight="1" x14ac:dyDescent="0.35">
      <c r="A321" s="3" t="s">
        <v>637</v>
      </c>
      <c r="B321" s="4">
        <v>45343</v>
      </c>
      <c r="C321" s="3" t="s">
        <v>202</v>
      </c>
      <c r="D321" s="3" t="s">
        <v>290</v>
      </c>
      <c r="E321" s="3" t="s">
        <v>168</v>
      </c>
      <c r="F321" s="5">
        <v>6</v>
      </c>
      <c r="G321" s="5">
        <v>4060</v>
      </c>
      <c r="H321" s="5">
        <v>24.3</v>
      </c>
      <c r="I321" s="5">
        <v>18440.52</v>
      </c>
      <c r="J321" s="3" t="s">
        <v>26</v>
      </c>
      <c r="K321" s="3" t="s">
        <v>72</v>
      </c>
      <c r="L321" t="str">
        <f>IFERROR(VLOOKUP(D321,Products!$A$2:$F$61,3,FALSE()),"")</f>
        <v>Grocery</v>
      </c>
      <c r="M321" t="str">
        <f>IFERROR(VLOOKUP(E321,Sales_Reps!$A$2:$C$31,3,FALSE()),"")</f>
        <v>West</v>
      </c>
      <c r="N321">
        <f>IFERROR(VLOOKUP(D321,Products!$A$2:$F$61,4,FALSE()),"")</f>
        <v>2911</v>
      </c>
      <c r="O321" t="str">
        <f>IFERROR(VLOOKUP(C321,Customers!$A$2:$F$301,5,FALSE()),"")</f>
        <v>Retail</v>
      </c>
      <c r="P321">
        <f>IFERROR(VLOOKUP(C321,Customers!$A$2:$F$301,3,FALSE()),"")</f>
        <v>53</v>
      </c>
      <c r="Q321">
        <f t="shared" si="12"/>
        <v>0.28300492610837441</v>
      </c>
      <c r="R321">
        <f>IF(AND(COUNTIF($A$2:$A$2027,A321)&gt;1,COUNTIF($A$2:A321,A321)=1),1,0)</f>
        <v>0</v>
      </c>
      <c r="S321" t="b">
        <f>IFERROR(VLOOKUP(D321,Products!$A$2:$F$61,6,FALSE()),"")</f>
        <v>1</v>
      </c>
      <c r="T321" t="str">
        <f>IF(COUNTIF(Customers!$A$2:$A$301,C321)=0,"Missing","OK")</f>
        <v>OK</v>
      </c>
      <c r="U321" t="str">
        <f t="shared" si="13"/>
        <v>Hyderabad</v>
      </c>
      <c r="V321">
        <f t="shared" si="14"/>
        <v>0</v>
      </c>
    </row>
    <row r="322" spans="1:22" ht="15" customHeight="1" x14ac:dyDescent="0.35">
      <c r="A322" s="3" t="s">
        <v>638</v>
      </c>
      <c r="B322" s="4">
        <v>45509</v>
      </c>
      <c r="C322" s="3" t="s">
        <v>639</v>
      </c>
      <c r="D322" s="3" t="s">
        <v>231</v>
      </c>
      <c r="E322" s="3" t="s">
        <v>154</v>
      </c>
      <c r="F322" s="5">
        <v>5</v>
      </c>
      <c r="G322" s="5">
        <v>620</v>
      </c>
      <c r="H322" s="5">
        <v>10.7</v>
      </c>
      <c r="I322" s="5">
        <v>2768.3</v>
      </c>
      <c r="J322" s="3" t="s">
        <v>83</v>
      </c>
      <c r="K322" s="3" t="s">
        <v>33</v>
      </c>
      <c r="L322" t="str">
        <f>IFERROR(VLOOKUP(D322,Products!$A$2:$F$61,3,FALSE()),"")</f>
        <v>Apparel</v>
      </c>
      <c r="M322" t="str">
        <f>IFERROR(VLOOKUP(E322,Sales_Reps!$A$2:$C$31,3,FALSE()),"")</f>
        <v>North</v>
      </c>
      <c r="N322">
        <f>IFERROR(VLOOKUP(D322,Products!$A$2:$F$61,4,FALSE()),"")</f>
        <v>396</v>
      </c>
      <c r="O322" t="str">
        <f>IFERROR(VLOOKUP(C322,Customers!$A$2:$F$301,5,FALSE()),"")</f>
        <v>SMB</v>
      </c>
      <c r="P322">
        <f>IFERROR(VLOOKUP(C322,Customers!$A$2:$F$301,3,FALSE()),"")</f>
        <v>46</v>
      </c>
      <c r="Q322">
        <f t="shared" ref="Q322:Q385" si="15">IFERROR((G322-N322)/G322,"")</f>
        <v>0.36129032258064514</v>
      </c>
      <c r="R322">
        <f>IF(AND(COUNTIF($A$2:$A$2027,A322)&gt;1,COUNTIF($A$2:A322,A322)=1),1,0)</f>
        <v>0</v>
      </c>
      <c r="S322" t="b">
        <f>IFERROR(VLOOKUP(D322,Products!$A$2:$F$61,6,FALSE()),"")</f>
        <v>1</v>
      </c>
      <c r="T322" t="str">
        <f>IF(COUNTIF(Customers!$A$2:$A$301,C322)=0,"Missing","OK")</f>
        <v>OK</v>
      </c>
      <c r="U322" t="str">
        <f t="shared" ref="U322:U385" si="16">IF(K322="","",PROPER(TRIM(K322)))</f>
        <v>Chennai</v>
      </c>
      <c r="V322">
        <f t="shared" ref="V322:V385" si="17">IF(AND(U322="Bengaluru",L322="Grocery"),I322,0)</f>
        <v>0</v>
      </c>
    </row>
    <row r="323" spans="1:22" ht="15" customHeight="1" x14ac:dyDescent="0.35">
      <c r="A323" s="3" t="s">
        <v>640</v>
      </c>
      <c r="B323" s="4">
        <v>45513</v>
      </c>
      <c r="C323" s="3" t="s">
        <v>393</v>
      </c>
      <c r="D323" s="3" t="s">
        <v>598</v>
      </c>
      <c r="E323" s="3" t="s">
        <v>87</v>
      </c>
      <c r="F323" s="5">
        <v>3</v>
      </c>
      <c r="G323" s="5">
        <v>3560</v>
      </c>
      <c r="H323" s="5">
        <v>4.0999999999999996</v>
      </c>
      <c r="I323" s="5">
        <v>10242.120000000001</v>
      </c>
      <c r="J323" s="3" t="s">
        <v>26</v>
      </c>
      <c r="K323" s="3" t="s">
        <v>72</v>
      </c>
      <c r="L323" t="str">
        <f>IFERROR(VLOOKUP(D323,Products!$A$2:$F$61,3,FALSE()),"")</f>
        <v>Apparel</v>
      </c>
      <c r="M323" t="str">
        <f>IFERROR(VLOOKUP(E323,Sales_Reps!$A$2:$C$31,3,FALSE()),"")</f>
        <v>North</v>
      </c>
      <c r="N323">
        <f>IFERROR(VLOOKUP(D323,Products!$A$2:$F$61,4,FALSE()),"")</f>
        <v>2629</v>
      </c>
      <c r="O323" t="str">
        <f>IFERROR(VLOOKUP(C323,Customers!$A$2:$F$301,5,FALSE()),"")</f>
        <v>Corporate</v>
      </c>
      <c r="P323">
        <f>IFERROR(VLOOKUP(C323,Customers!$A$2:$F$301,3,FALSE()),"")</f>
        <v>43</v>
      </c>
      <c r="Q323">
        <f t="shared" si="15"/>
        <v>0.26151685393258428</v>
      </c>
      <c r="R323">
        <f>IF(AND(COUNTIF($A$2:$A$2027,A323)&gt;1,COUNTIF($A$2:A323,A323)=1),1,0)</f>
        <v>0</v>
      </c>
      <c r="S323" t="b">
        <f>IFERROR(VLOOKUP(D323,Products!$A$2:$F$61,6,FALSE()),"")</f>
        <v>1</v>
      </c>
      <c r="T323" t="str">
        <f>IF(COUNTIF(Customers!$A$2:$A$301,C323)=0,"Missing","OK")</f>
        <v>OK</v>
      </c>
      <c r="U323" t="str">
        <f t="shared" si="16"/>
        <v>Hyderabad</v>
      </c>
      <c r="V323">
        <f t="shared" si="17"/>
        <v>0</v>
      </c>
    </row>
    <row r="324" spans="1:22" ht="15" customHeight="1" x14ac:dyDescent="0.35">
      <c r="A324" s="3" t="s">
        <v>641</v>
      </c>
      <c r="B324" s="4">
        <v>45500</v>
      </c>
      <c r="C324" s="3" t="s">
        <v>642</v>
      </c>
      <c r="D324" s="3" t="s">
        <v>90</v>
      </c>
      <c r="E324" s="3" t="s">
        <v>264</v>
      </c>
      <c r="F324" s="5">
        <v>2</v>
      </c>
      <c r="G324" s="5">
        <v>2400</v>
      </c>
      <c r="H324" s="5">
        <v>13</v>
      </c>
      <c r="I324" s="5">
        <v>4176</v>
      </c>
      <c r="J324" s="3" t="s">
        <v>26</v>
      </c>
      <c r="K324" s="3" t="s">
        <v>27</v>
      </c>
      <c r="L324" t="str">
        <f>IFERROR(VLOOKUP(D324,Products!$A$2:$F$61,3,FALSE()),"")</f>
        <v>Sports</v>
      </c>
      <c r="M324" t="str">
        <f>IFERROR(VLOOKUP(E324,Sales_Reps!$A$2:$C$31,3,FALSE()),"")</f>
        <v>South</v>
      </c>
      <c r="N324">
        <f>IFERROR(VLOOKUP(D324,Products!$A$2:$F$61,4,FALSE()),"")</f>
        <v>974</v>
      </c>
      <c r="O324" t="str">
        <f>IFERROR(VLOOKUP(C324,Customers!$A$2:$F$301,5,FALSE()),"")</f>
        <v>Corporate</v>
      </c>
      <c r="P324">
        <f>IFERROR(VLOOKUP(C324,Customers!$A$2:$F$301,3,FALSE()),"")</f>
        <v>52</v>
      </c>
      <c r="Q324">
        <f t="shared" si="15"/>
        <v>0.59416666666666662</v>
      </c>
      <c r="R324">
        <f>IF(AND(COUNTIF($A$2:$A$2027,A324)&gt;1,COUNTIF($A$2:A324,A324)=1),1,0)</f>
        <v>0</v>
      </c>
      <c r="S324" t="b">
        <f>IFERROR(VLOOKUP(D324,Products!$A$2:$F$61,6,FALSE()),"")</f>
        <v>1</v>
      </c>
      <c r="T324" t="str">
        <f>IF(COUNTIF(Customers!$A$2:$A$301,C324)=0,"Missing","OK")</f>
        <v>OK</v>
      </c>
      <c r="U324" t="str">
        <f t="shared" si="16"/>
        <v>Pune</v>
      </c>
      <c r="V324">
        <f t="shared" si="17"/>
        <v>0</v>
      </c>
    </row>
    <row r="325" spans="1:22" ht="15" customHeight="1" x14ac:dyDescent="0.35">
      <c r="A325" s="3" t="s">
        <v>643</v>
      </c>
      <c r="B325" s="4">
        <v>45407</v>
      </c>
      <c r="C325" s="3" t="s">
        <v>644</v>
      </c>
      <c r="D325" s="3" t="s">
        <v>454</v>
      </c>
      <c r="E325" s="3" t="s">
        <v>42</v>
      </c>
      <c r="F325" s="5">
        <v>9</v>
      </c>
      <c r="G325" s="5">
        <v>6940</v>
      </c>
      <c r="H325" s="5">
        <v>26.2</v>
      </c>
      <c r="I325" s="5">
        <v>46095.48</v>
      </c>
      <c r="J325" s="3" t="s">
        <v>26</v>
      </c>
      <c r="K325" s="3" t="s">
        <v>38</v>
      </c>
      <c r="L325" t="str">
        <f>IFERROR(VLOOKUP(D325,Products!$A$2:$F$61,3,FALSE()),"")</f>
        <v>Sports</v>
      </c>
      <c r="M325" t="str">
        <f>IFERROR(VLOOKUP(E325,Sales_Reps!$A$2:$C$31,3,FALSE()),"")</f>
        <v>North</v>
      </c>
      <c r="N325">
        <f>IFERROR(VLOOKUP(D325,Products!$A$2:$F$61,4,FALSE()),"")</f>
        <v>2827</v>
      </c>
      <c r="O325" t="str">
        <f>IFERROR(VLOOKUP(C325,Customers!$A$2:$F$301,5,FALSE()),"")</f>
        <v>Retail</v>
      </c>
      <c r="P325">
        <f>IFERROR(VLOOKUP(C325,Customers!$A$2:$F$301,3,FALSE()),"")</f>
        <v>53</v>
      </c>
      <c r="Q325">
        <f t="shared" si="15"/>
        <v>0.5926512968299712</v>
      </c>
      <c r="R325">
        <f>IF(AND(COUNTIF($A$2:$A$2027,A325)&gt;1,COUNTIF($A$2:A325,A325)=1),1,0)</f>
        <v>0</v>
      </c>
      <c r="S325" t="b">
        <f>IFERROR(VLOOKUP(D325,Products!$A$2:$F$61,6,FALSE()),"")</f>
        <v>1</v>
      </c>
      <c r="T325" t="str">
        <f>IF(COUNTIF(Customers!$A$2:$A$301,C325)=0,"Missing","OK")</f>
        <v>OK</v>
      </c>
      <c r="U325" t="str">
        <f t="shared" si="16"/>
        <v>Delhi</v>
      </c>
      <c r="V325">
        <f t="shared" si="17"/>
        <v>0</v>
      </c>
    </row>
    <row r="326" spans="1:22" ht="15" customHeight="1" x14ac:dyDescent="0.35">
      <c r="A326" s="3" t="s">
        <v>645</v>
      </c>
      <c r="B326" s="4">
        <v>45385</v>
      </c>
      <c r="C326" s="3" t="s">
        <v>646</v>
      </c>
      <c r="D326" s="3" t="s">
        <v>306</v>
      </c>
      <c r="E326" s="3" t="s">
        <v>50</v>
      </c>
      <c r="F326" s="5">
        <v>9</v>
      </c>
      <c r="G326" s="5">
        <v>2380</v>
      </c>
      <c r="H326" s="5">
        <v>22.7</v>
      </c>
      <c r="I326" s="5">
        <v>16557.66</v>
      </c>
      <c r="J326" s="3" t="s">
        <v>26</v>
      </c>
      <c r="K326" s="3" t="s">
        <v>51</v>
      </c>
      <c r="L326" t="str">
        <f>IFERROR(VLOOKUP(D326,Products!$A$2:$F$61,3,FALSE()),"")</f>
        <v>Grocery</v>
      </c>
      <c r="M326" t="str">
        <f>IFERROR(VLOOKUP(E326,Sales_Reps!$A$2:$C$31,3,FALSE()),"")</f>
        <v>West</v>
      </c>
      <c r="N326">
        <f>IFERROR(VLOOKUP(D326,Products!$A$2:$F$61,4,FALSE()),"")</f>
        <v>1182</v>
      </c>
      <c r="O326" t="str">
        <f>IFERROR(VLOOKUP(C326,Customers!$A$2:$F$301,5,FALSE()),"")</f>
        <v>Retail</v>
      </c>
      <c r="P326">
        <f>IFERROR(VLOOKUP(C326,Customers!$A$2:$F$301,3,FALSE()),"")</f>
        <v>33</v>
      </c>
      <c r="Q326">
        <f t="shared" si="15"/>
        <v>0.50336134453781511</v>
      </c>
      <c r="R326">
        <f>IF(AND(COUNTIF($A$2:$A$2027,A326)&gt;1,COUNTIF($A$2:A326,A326)=1),1,0)</f>
        <v>0</v>
      </c>
      <c r="S326" t="b">
        <f>IFERROR(VLOOKUP(D326,Products!$A$2:$F$61,6,FALSE()),"")</f>
        <v>1</v>
      </c>
      <c r="T326" t="str">
        <f>IF(COUNTIF(Customers!$A$2:$A$301,C326)=0,"Missing","OK")</f>
        <v>OK</v>
      </c>
      <c r="U326" t="str">
        <f t="shared" si="16"/>
        <v>Mumbai</v>
      </c>
      <c r="V326">
        <f t="shared" si="17"/>
        <v>0</v>
      </c>
    </row>
    <row r="327" spans="1:22" ht="15" customHeight="1" x14ac:dyDescent="0.35">
      <c r="A327" s="3" t="s">
        <v>647</v>
      </c>
      <c r="B327" s="4">
        <v>45542</v>
      </c>
      <c r="C327" s="3" t="s">
        <v>205</v>
      </c>
      <c r="D327" s="3" t="s">
        <v>24</v>
      </c>
      <c r="E327" s="3" t="s">
        <v>67</v>
      </c>
      <c r="F327" s="5">
        <v>6</v>
      </c>
      <c r="G327" s="5">
        <v>3620</v>
      </c>
      <c r="H327" s="5">
        <v>9.1999999999999993</v>
      </c>
      <c r="I327" s="5">
        <v>19721.759999999998</v>
      </c>
      <c r="J327" s="3" t="s">
        <v>26</v>
      </c>
      <c r="K327" s="3" t="s">
        <v>38</v>
      </c>
      <c r="L327" t="str">
        <f>IFERROR(VLOOKUP(D327,Products!$A$2:$F$61,3,FALSE()),"")</f>
        <v>Apparel</v>
      </c>
      <c r="M327" t="str">
        <f>IFERROR(VLOOKUP(E327,Sales_Reps!$A$2:$C$31,3,FALSE()),"")</f>
        <v>West</v>
      </c>
      <c r="N327">
        <f>IFERROR(VLOOKUP(D327,Products!$A$2:$F$61,4,FALSE()),"")</f>
        <v>2509</v>
      </c>
      <c r="O327" t="str">
        <f>IFERROR(VLOOKUP(C327,Customers!$A$2:$F$301,5,FALSE()),"")</f>
        <v>Corporate</v>
      </c>
      <c r="P327">
        <f>IFERROR(VLOOKUP(C327,Customers!$A$2:$F$301,3,FALSE()),"")</f>
        <v>55</v>
      </c>
      <c r="Q327">
        <f t="shared" si="15"/>
        <v>0.3069060773480663</v>
      </c>
      <c r="R327">
        <f>IF(AND(COUNTIF($A$2:$A$2027,A327)&gt;1,COUNTIF($A$2:A327,A327)=1),1,0)</f>
        <v>0</v>
      </c>
      <c r="S327" t="b">
        <f>IFERROR(VLOOKUP(D327,Products!$A$2:$F$61,6,FALSE()),"")</f>
        <v>1</v>
      </c>
      <c r="T327" t="str">
        <f>IF(COUNTIF(Customers!$A$2:$A$301,C327)=0,"Missing","OK")</f>
        <v>OK</v>
      </c>
      <c r="U327" t="str">
        <f t="shared" si="16"/>
        <v>Delhi</v>
      </c>
      <c r="V327">
        <f t="shared" si="17"/>
        <v>0</v>
      </c>
    </row>
    <row r="328" spans="1:22" ht="15" customHeight="1" x14ac:dyDescent="0.35">
      <c r="A328" s="3" t="s">
        <v>648</v>
      </c>
      <c r="B328" s="4">
        <v>45422</v>
      </c>
      <c r="C328" s="3" t="s">
        <v>393</v>
      </c>
      <c r="D328" s="3" t="s">
        <v>180</v>
      </c>
      <c r="E328" s="3" t="s">
        <v>78</v>
      </c>
      <c r="F328" s="5">
        <v>1</v>
      </c>
      <c r="G328" s="5">
        <v>6080</v>
      </c>
      <c r="H328" s="5">
        <v>29.4</v>
      </c>
      <c r="I328" s="5">
        <v>4292.4799999999996</v>
      </c>
      <c r="J328" s="3" t="s">
        <v>79</v>
      </c>
      <c r="K328" s="3" t="s">
        <v>72</v>
      </c>
      <c r="L328" t="str">
        <f>IFERROR(VLOOKUP(D328,Products!$A$2:$F$61,3,FALSE()),"")</f>
        <v>Beauty</v>
      </c>
      <c r="M328" t="str">
        <f>IFERROR(VLOOKUP(E328,Sales_Reps!$A$2:$C$31,3,FALSE()),"")</f>
        <v>North</v>
      </c>
      <c r="N328">
        <f>IFERROR(VLOOKUP(D328,Products!$A$2:$F$61,4,FALSE()),"")</f>
        <v>2617</v>
      </c>
      <c r="O328" t="str">
        <f>IFERROR(VLOOKUP(C328,Customers!$A$2:$F$301,5,FALSE()),"")</f>
        <v>Corporate</v>
      </c>
      <c r="P328">
        <f>IFERROR(VLOOKUP(C328,Customers!$A$2:$F$301,3,FALSE()),"")</f>
        <v>43</v>
      </c>
      <c r="Q328">
        <f t="shared" si="15"/>
        <v>0.56957236842105263</v>
      </c>
      <c r="R328">
        <f>IF(AND(COUNTIF($A$2:$A$2027,A328)&gt;1,COUNTIF($A$2:A328,A328)=1),1,0)</f>
        <v>0</v>
      </c>
      <c r="S328" t="b">
        <f>IFERROR(VLOOKUP(D328,Products!$A$2:$F$61,6,FALSE()),"")</f>
        <v>1</v>
      </c>
      <c r="T328" t="str">
        <f>IF(COUNTIF(Customers!$A$2:$A$301,C328)=0,"Missing","OK")</f>
        <v>OK</v>
      </c>
      <c r="U328" t="str">
        <f t="shared" si="16"/>
        <v>Hyderabad</v>
      </c>
      <c r="V328">
        <f t="shared" si="17"/>
        <v>0</v>
      </c>
    </row>
    <row r="329" spans="1:22" ht="15" customHeight="1" x14ac:dyDescent="0.35">
      <c r="A329" s="3" t="s">
        <v>649</v>
      </c>
      <c r="B329" s="4">
        <v>45343</v>
      </c>
      <c r="C329" s="3" t="s">
        <v>619</v>
      </c>
      <c r="D329" s="3" t="s">
        <v>30</v>
      </c>
      <c r="E329" s="3" t="s">
        <v>242</v>
      </c>
      <c r="F329" s="5">
        <v>6</v>
      </c>
      <c r="G329" s="5">
        <v>820</v>
      </c>
      <c r="H329" s="5">
        <v>29.1</v>
      </c>
      <c r="I329" s="5">
        <v>3488.28</v>
      </c>
      <c r="J329" s="3" t="s">
        <v>26</v>
      </c>
      <c r="K329" s="3" t="s">
        <v>33</v>
      </c>
      <c r="L329" t="str">
        <f>IFERROR(VLOOKUP(D329,Products!$A$2:$F$61,3,FALSE()),"")</f>
        <v>Apparel</v>
      </c>
      <c r="M329" t="str">
        <f>IFERROR(VLOOKUP(E329,Sales_Reps!$A$2:$C$31,3,FALSE()),"")</f>
        <v>East</v>
      </c>
      <c r="N329">
        <f>IFERROR(VLOOKUP(D329,Products!$A$2:$F$61,4,FALSE()),"")</f>
        <v>391</v>
      </c>
      <c r="O329" t="str">
        <f>IFERROR(VLOOKUP(C329,Customers!$A$2:$F$301,5,FALSE()),"")</f>
        <v>Retail</v>
      </c>
      <c r="P329">
        <f>IFERROR(VLOOKUP(C329,Customers!$A$2:$F$301,3,FALSE()),"")</f>
        <v>26</v>
      </c>
      <c r="Q329">
        <f t="shared" si="15"/>
        <v>0.52317073170731709</v>
      </c>
      <c r="R329">
        <f>IF(AND(COUNTIF($A$2:$A$2027,A329)&gt;1,COUNTIF($A$2:A329,A329)=1),1,0)</f>
        <v>0</v>
      </c>
      <c r="S329" t="b">
        <f>IFERROR(VLOOKUP(D329,Products!$A$2:$F$61,6,FALSE()),"")</f>
        <v>1</v>
      </c>
      <c r="T329" t="str">
        <f>IF(COUNTIF(Customers!$A$2:$A$301,C329)=0,"Missing","OK")</f>
        <v>OK</v>
      </c>
      <c r="U329" t="str">
        <f t="shared" si="16"/>
        <v>Chennai</v>
      </c>
      <c r="V329">
        <f t="shared" si="17"/>
        <v>0</v>
      </c>
    </row>
    <row r="330" spans="1:22" ht="15" customHeight="1" x14ac:dyDescent="0.35">
      <c r="A330" s="3" t="s">
        <v>650</v>
      </c>
      <c r="B330" s="4">
        <v>45646</v>
      </c>
      <c r="C330" s="3" t="s">
        <v>651</v>
      </c>
      <c r="D330" s="3" t="s">
        <v>215</v>
      </c>
      <c r="E330" s="3" t="s">
        <v>55</v>
      </c>
      <c r="F330" s="5">
        <v>9</v>
      </c>
      <c r="G330" s="5">
        <v>3020</v>
      </c>
      <c r="H330" s="5">
        <v>7.9</v>
      </c>
      <c r="I330" s="5">
        <v>25032.78</v>
      </c>
      <c r="J330" s="3" t="s">
        <v>26</v>
      </c>
      <c r="K330" s="3" t="s">
        <v>51</v>
      </c>
      <c r="L330" t="str">
        <f>IFERROR(VLOOKUP(D330,Products!$A$2:$F$61,3,FALSE()),"")</f>
        <v>Beauty</v>
      </c>
      <c r="M330" t="str">
        <f>IFERROR(VLOOKUP(E330,Sales_Reps!$A$2:$C$31,3,FALSE()),"")</f>
        <v>West</v>
      </c>
      <c r="N330">
        <f>IFERROR(VLOOKUP(D330,Products!$A$2:$F$61,4,FALSE()),"")</f>
        <v>1626</v>
      </c>
      <c r="O330" t="str">
        <f>IFERROR(VLOOKUP(C330,Customers!$A$2:$F$301,5,FALSE()),"")</f>
        <v>Corporate</v>
      </c>
      <c r="P330">
        <f>IFERROR(VLOOKUP(C330,Customers!$A$2:$F$301,3,FALSE()),"")</f>
        <v>51</v>
      </c>
      <c r="Q330">
        <f t="shared" si="15"/>
        <v>0.46158940397350995</v>
      </c>
      <c r="R330">
        <f>IF(AND(COUNTIF($A$2:$A$2027,A330)&gt;1,COUNTIF($A$2:A330,A330)=1),1,0)</f>
        <v>0</v>
      </c>
      <c r="S330" t="b">
        <f>IFERROR(VLOOKUP(D330,Products!$A$2:$F$61,6,FALSE()),"")</f>
        <v>1</v>
      </c>
      <c r="T330" t="str">
        <f>IF(COUNTIF(Customers!$A$2:$A$301,C330)=0,"Missing","OK")</f>
        <v>OK</v>
      </c>
      <c r="U330" t="str">
        <f t="shared" si="16"/>
        <v>Mumbai</v>
      </c>
      <c r="V330">
        <f t="shared" si="17"/>
        <v>0</v>
      </c>
    </row>
    <row r="331" spans="1:22" ht="15" customHeight="1" x14ac:dyDescent="0.35">
      <c r="A331" s="3" t="s">
        <v>652</v>
      </c>
      <c r="B331" s="4">
        <v>45645</v>
      </c>
      <c r="C331" s="3" t="s">
        <v>653</v>
      </c>
      <c r="D331" s="3" t="s">
        <v>187</v>
      </c>
      <c r="E331" s="3" t="s">
        <v>168</v>
      </c>
      <c r="F331" s="5">
        <v>8</v>
      </c>
      <c r="G331" s="5">
        <v>3870</v>
      </c>
      <c r="H331" s="5">
        <v>11.9</v>
      </c>
      <c r="I331" s="5">
        <v>27275.759999999998</v>
      </c>
      <c r="J331" s="3" t="s">
        <v>26</v>
      </c>
      <c r="K331" s="3" t="s">
        <v>38</v>
      </c>
      <c r="L331" t="str">
        <f>IFERROR(VLOOKUP(D331,Products!$A$2:$F$61,3,FALSE()),"")</f>
        <v>Electronics</v>
      </c>
      <c r="M331" t="str">
        <f>IFERROR(VLOOKUP(E331,Sales_Reps!$A$2:$C$31,3,FALSE()),"")</f>
        <v>West</v>
      </c>
      <c r="N331">
        <f>IFERROR(VLOOKUP(D331,Products!$A$2:$F$61,4,FALSE()),"")</f>
        <v>1559</v>
      </c>
      <c r="O331" t="str">
        <f>IFERROR(VLOOKUP(C331,Customers!$A$2:$F$301,5,FALSE()),"")</f>
        <v>Retail</v>
      </c>
      <c r="P331">
        <f>IFERROR(VLOOKUP(C331,Customers!$A$2:$F$301,3,FALSE()),"")</f>
        <v>24</v>
      </c>
      <c r="Q331">
        <f t="shared" si="15"/>
        <v>0.59715762273901807</v>
      </c>
      <c r="R331">
        <f>IF(AND(COUNTIF($A$2:$A$2027,A331)&gt;1,COUNTIF($A$2:A331,A331)=1),1,0)</f>
        <v>0</v>
      </c>
      <c r="S331" t="b">
        <f>IFERROR(VLOOKUP(D331,Products!$A$2:$F$61,6,FALSE()),"")</f>
        <v>1</v>
      </c>
      <c r="T331" t="str">
        <f>IF(COUNTIF(Customers!$A$2:$A$301,C331)=0,"Missing","OK")</f>
        <v>OK</v>
      </c>
      <c r="U331" t="str">
        <f t="shared" si="16"/>
        <v>Delhi</v>
      </c>
      <c r="V331">
        <f t="shared" si="17"/>
        <v>0</v>
      </c>
    </row>
    <row r="332" spans="1:22" ht="15" customHeight="1" x14ac:dyDescent="0.35">
      <c r="A332" s="3" t="s">
        <v>654</v>
      </c>
      <c r="B332" s="4">
        <v>45528</v>
      </c>
      <c r="C332" s="3" t="s">
        <v>379</v>
      </c>
      <c r="D332" s="3" t="s">
        <v>96</v>
      </c>
      <c r="E332" s="3" t="s">
        <v>109</v>
      </c>
      <c r="F332" s="5">
        <v>6</v>
      </c>
      <c r="G332" s="5">
        <v>3450</v>
      </c>
      <c r="H332" s="5">
        <v>13.9</v>
      </c>
      <c r="I332" s="5">
        <v>17822.7</v>
      </c>
      <c r="J332" s="3" t="s">
        <v>26</v>
      </c>
      <c r="K332" s="3" t="s">
        <v>27</v>
      </c>
      <c r="L332" t="str">
        <f>IFERROR(VLOOKUP(D332,Products!$A$2:$F$61,3,FALSE()),"")</f>
        <v>Beauty</v>
      </c>
      <c r="M332" t="str">
        <f>IFERROR(VLOOKUP(E332,Sales_Reps!$A$2:$C$31,3,FALSE()),"")</f>
        <v>West</v>
      </c>
      <c r="N332">
        <f>IFERROR(VLOOKUP(D332,Products!$A$2:$F$61,4,FALSE()),"")</f>
        <v>2420</v>
      </c>
      <c r="O332" t="str">
        <f>IFERROR(VLOOKUP(C332,Customers!$A$2:$F$301,5,FALSE()),"")</f>
        <v>SMB</v>
      </c>
      <c r="P332">
        <f>IFERROR(VLOOKUP(C332,Customers!$A$2:$F$301,3,FALSE()),"")</f>
        <v>30</v>
      </c>
      <c r="Q332">
        <f t="shared" si="15"/>
        <v>0.29855072463768118</v>
      </c>
      <c r="R332">
        <f>IF(AND(COUNTIF($A$2:$A$2027,A332)&gt;1,COUNTIF($A$2:A332,A332)=1),1,0)</f>
        <v>0</v>
      </c>
      <c r="S332" t="b">
        <f>IFERROR(VLOOKUP(D332,Products!$A$2:$F$61,6,FALSE()),"")</f>
        <v>1</v>
      </c>
      <c r="T332" t="str">
        <f>IF(COUNTIF(Customers!$A$2:$A$301,C332)=0,"Missing","OK")</f>
        <v>OK</v>
      </c>
      <c r="U332" t="str">
        <f t="shared" si="16"/>
        <v>Pune</v>
      </c>
      <c r="V332">
        <f t="shared" si="17"/>
        <v>0</v>
      </c>
    </row>
    <row r="333" spans="1:22" ht="15" customHeight="1" x14ac:dyDescent="0.35">
      <c r="A333" s="3" t="s">
        <v>655</v>
      </c>
      <c r="B333" s="4">
        <v>45655</v>
      </c>
      <c r="C333" s="3" t="s">
        <v>656</v>
      </c>
      <c r="D333" s="3" t="s">
        <v>130</v>
      </c>
      <c r="E333" s="3" t="s">
        <v>46</v>
      </c>
      <c r="F333" s="5">
        <v>9</v>
      </c>
      <c r="G333" s="5">
        <v>5100</v>
      </c>
      <c r="H333" s="5">
        <v>2.1</v>
      </c>
      <c r="I333" s="5">
        <v>44936.1</v>
      </c>
      <c r="J333" s="3" t="s">
        <v>26</v>
      </c>
      <c r="K333" s="3" t="s">
        <v>33</v>
      </c>
      <c r="L333" t="str">
        <f>IFERROR(VLOOKUP(D333,Products!$A$2:$F$61,3,FALSE()),"")</f>
        <v>Beauty</v>
      </c>
      <c r="M333" t="str">
        <f>IFERROR(VLOOKUP(E333,Sales_Reps!$A$2:$C$31,3,FALSE()),"")</f>
        <v>North</v>
      </c>
      <c r="N333">
        <f>IFERROR(VLOOKUP(D333,Products!$A$2:$F$61,4,FALSE()),"")</f>
        <v>2237</v>
      </c>
      <c r="O333" t="str">
        <f>IFERROR(VLOOKUP(C333,Customers!$A$2:$F$301,5,FALSE()),"")</f>
        <v>Retail</v>
      </c>
      <c r="P333">
        <f>IFERROR(VLOOKUP(C333,Customers!$A$2:$F$301,3,FALSE()),"")</f>
        <v>24</v>
      </c>
      <c r="Q333">
        <f t="shared" si="15"/>
        <v>0.56137254901960787</v>
      </c>
      <c r="R333">
        <f>IF(AND(COUNTIF($A$2:$A$2027,A333)&gt;1,COUNTIF($A$2:A333,A333)=1),1,0)</f>
        <v>0</v>
      </c>
      <c r="S333" t="b">
        <f>IFERROR(VLOOKUP(D333,Products!$A$2:$F$61,6,FALSE()),"")</f>
        <v>1</v>
      </c>
      <c r="T333" t="str">
        <f>IF(COUNTIF(Customers!$A$2:$A$301,C333)=0,"Missing","OK")</f>
        <v>OK</v>
      </c>
      <c r="U333" t="str">
        <f t="shared" si="16"/>
        <v>Chennai</v>
      </c>
      <c r="V333">
        <f t="shared" si="17"/>
        <v>0</v>
      </c>
    </row>
    <row r="334" spans="1:22" ht="15" customHeight="1" x14ac:dyDescent="0.35">
      <c r="A334" s="3" t="s">
        <v>657</v>
      </c>
      <c r="B334" s="4">
        <v>45518</v>
      </c>
      <c r="C334" s="3" t="s">
        <v>338</v>
      </c>
      <c r="D334" s="3" t="s">
        <v>203</v>
      </c>
      <c r="E334" s="3" t="s">
        <v>46</v>
      </c>
      <c r="F334" s="5">
        <v>2</v>
      </c>
      <c r="G334" s="5">
        <v>4070</v>
      </c>
      <c r="H334" s="5">
        <v>28.6</v>
      </c>
      <c r="I334" s="5">
        <v>5811.96</v>
      </c>
      <c r="J334" s="3" t="s">
        <v>26</v>
      </c>
      <c r="K334" s="3" t="s">
        <v>38</v>
      </c>
      <c r="L334" t="str">
        <f>IFERROR(VLOOKUP(D334,Products!$A$2:$F$61,3,FALSE()),"")</f>
        <v>Grocery</v>
      </c>
      <c r="M334" t="str">
        <f>IFERROR(VLOOKUP(E334,Sales_Reps!$A$2:$C$31,3,FALSE()),"")</f>
        <v>North</v>
      </c>
      <c r="N334">
        <f>IFERROR(VLOOKUP(D334,Products!$A$2:$F$61,4,FALSE()),"")</f>
        <v>2027</v>
      </c>
      <c r="O334" t="str">
        <f>IFERROR(VLOOKUP(C334,Customers!$A$2:$F$301,5,FALSE()),"")</f>
        <v>SMB</v>
      </c>
      <c r="P334">
        <f>IFERROR(VLOOKUP(C334,Customers!$A$2:$F$301,3,FALSE()),"")</f>
        <v>53</v>
      </c>
      <c r="Q334">
        <f t="shared" si="15"/>
        <v>0.50196560196560192</v>
      </c>
      <c r="R334">
        <f>IF(AND(COUNTIF($A$2:$A$2027,A334)&gt;1,COUNTIF($A$2:A334,A334)=1),1,0)</f>
        <v>0</v>
      </c>
      <c r="S334" t="b">
        <f>IFERROR(VLOOKUP(D334,Products!$A$2:$F$61,6,FALSE()),"")</f>
        <v>1</v>
      </c>
      <c r="T334" t="str">
        <f>IF(COUNTIF(Customers!$A$2:$A$301,C334)=0,"Missing","OK")</f>
        <v>OK</v>
      </c>
      <c r="U334" t="str">
        <f t="shared" si="16"/>
        <v>Delhi</v>
      </c>
      <c r="V334">
        <f t="shared" si="17"/>
        <v>0</v>
      </c>
    </row>
    <row r="335" spans="1:22" ht="15" customHeight="1" x14ac:dyDescent="0.35">
      <c r="A335" s="3" t="s">
        <v>658</v>
      </c>
      <c r="B335" s="4">
        <v>45339</v>
      </c>
      <c r="C335" s="3" t="s">
        <v>615</v>
      </c>
      <c r="D335" s="3" t="s">
        <v>303</v>
      </c>
      <c r="E335" s="3" t="s">
        <v>25</v>
      </c>
      <c r="F335" s="5">
        <v>9</v>
      </c>
      <c r="G335" s="5">
        <v>5330</v>
      </c>
      <c r="H335" s="5">
        <v>6.2</v>
      </c>
      <c r="I335" s="5">
        <v>44995.86</v>
      </c>
      <c r="J335" s="3" t="s">
        <v>26</v>
      </c>
      <c r="K335" s="3" t="s">
        <v>27</v>
      </c>
      <c r="L335" t="str">
        <f>IFERROR(VLOOKUP(D335,Products!$A$2:$F$61,3,FALSE()),"")</f>
        <v>Electronics</v>
      </c>
      <c r="M335" t="str">
        <f>IFERROR(VLOOKUP(E335,Sales_Reps!$A$2:$C$31,3,FALSE()),"")</f>
        <v>North</v>
      </c>
      <c r="N335">
        <f>IFERROR(VLOOKUP(D335,Products!$A$2:$F$61,4,FALSE()),"")</f>
        <v>2405</v>
      </c>
      <c r="O335" t="str">
        <f>IFERROR(VLOOKUP(C335,Customers!$A$2:$F$301,5,FALSE()),"")</f>
        <v>SMB</v>
      </c>
      <c r="P335">
        <f>IFERROR(VLOOKUP(C335,Customers!$A$2:$F$301,3,FALSE()),"")</f>
        <v>35</v>
      </c>
      <c r="Q335">
        <f t="shared" si="15"/>
        <v>0.54878048780487809</v>
      </c>
      <c r="R335">
        <f>IF(AND(COUNTIF($A$2:$A$2027,A335)&gt;1,COUNTIF($A$2:A335,A335)=1),1,0)</f>
        <v>0</v>
      </c>
      <c r="S335" t="b">
        <f>IFERROR(VLOOKUP(D335,Products!$A$2:$F$61,6,FALSE()),"")</f>
        <v>1</v>
      </c>
      <c r="T335" t="str">
        <f>IF(COUNTIF(Customers!$A$2:$A$301,C335)=0,"Missing","OK")</f>
        <v>OK</v>
      </c>
      <c r="U335" t="str">
        <f t="shared" si="16"/>
        <v>Pune</v>
      </c>
      <c r="V335">
        <f t="shared" si="17"/>
        <v>0</v>
      </c>
    </row>
    <row r="336" spans="1:22" ht="15" customHeight="1" x14ac:dyDescent="0.35">
      <c r="A336" s="3" t="s">
        <v>602</v>
      </c>
      <c r="B336" s="4">
        <v>45319</v>
      </c>
      <c r="C336" s="3" t="s">
        <v>659</v>
      </c>
      <c r="D336" s="3" t="s">
        <v>70</v>
      </c>
      <c r="E336" s="3" t="s">
        <v>131</v>
      </c>
      <c r="F336" s="5">
        <v>6</v>
      </c>
      <c r="G336" s="5">
        <v>2270</v>
      </c>
      <c r="H336" s="5">
        <v>23.7</v>
      </c>
      <c r="I336" s="5">
        <v>10392.06</v>
      </c>
      <c r="J336" s="3" t="s">
        <v>26</v>
      </c>
      <c r="K336" s="3" t="s">
        <v>660</v>
      </c>
      <c r="L336" t="str">
        <f>IFERROR(VLOOKUP(D336,Products!$A$2:$F$61,3,FALSE()),"")</f>
        <v>Grocery</v>
      </c>
      <c r="M336" t="str">
        <f>IFERROR(VLOOKUP(E336,Sales_Reps!$A$2:$C$31,3,FALSE()),"")</f>
        <v>East</v>
      </c>
      <c r="N336">
        <f>IFERROR(VLOOKUP(D336,Products!$A$2:$F$61,4,FALSE()),"")</f>
        <v>1203</v>
      </c>
      <c r="O336" t="str">
        <f>IFERROR(VLOOKUP(C336,Customers!$A$2:$F$301,5,FALSE()),"")</f>
        <v>Retail</v>
      </c>
      <c r="P336">
        <f>IFERROR(VLOOKUP(C336,Customers!$A$2:$F$301,3,FALSE()),"")</f>
        <v>48</v>
      </c>
      <c r="Q336">
        <f t="shared" si="15"/>
        <v>0.47004405286343615</v>
      </c>
      <c r="R336">
        <f>IF(AND(COUNTIF($A$2:$A$2027,A336)&gt;1,COUNTIF($A$2:A336,A336)=1),1,0)</f>
        <v>0</v>
      </c>
      <c r="S336" t="b">
        <f>IFERROR(VLOOKUP(D336,Products!$A$2:$F$61,6,FALSE()),"")</f>
        <v>1</v>
      </c>
      <c r="T336" t="str">
        <f>IF(COUNTIF(Customers!$A$2:$A$301,C336)=0,"Missing","OK")</f>
        <v>OK</v>
      </c>
      <c r="U336" t="str">
        <f t="shared" si="16"/>
        <v>Pune</v>
      </c>
      <c r="V336">
        <f t="shared" si="17"/>
        <v>0</v>
      </c>
    </row>
    <row r="337" spans="1:22" ht="15" customHeight="1" x14ac:dyDescent="0.35">
      <c r="A337" s="3" t="s">
        <v>661</v>
      </c>
      <c r="B337" s="4">
        <v>45618</v>
      </c>
      <c r="C337" s="3" t="s">
        <v>81</v>
      </c>
      <c r="D337" s="3" t="s">
        <v>294</v>
      </c>
      <c r="E337" s="3" t="s">
        <v>55</v>
      </c>
      <c r="F337" s="5">
        <v>5</v>
      </c>
      <c r="G337" s="5">
        <v>2510</v>
      </c>
      <c r="H337" s="5">
        <v>25</v>
      </c>
      <c r="I337" s="5">
        <v>9412.5</v>
      </c>
      <c r="J337" s="3" t="s">
        <v>26</v>
      </c>
      <c r="K337" s="3" t="s">
        <v>27</v>
      </c>
      <c r="L337" t="str">
        <f>IFERROR(VLOOKUP(D337,Products!$A$2:$F$61,3,FALSE()),"")</f>
        <v>Apparel</v>
      </c>
      <c r="M337" t="str">
        <f>IFERROR(VLOOKUP(E337,Sales_Reps!$A$2:$C$31,3,FALSE()),"")</f>
        <v>West</v>
      </c>
      <c r="N337">
        <f>IFERROR(VLOOKUP(D337,Products!$A$2:$F$61,4,FALSE()),"")</f>
        <v>1075</v>
      </c>
      <c r="O337" t="str">
        <f>IFERROR(VLOOKUP(C337,Customers!$A$2:$F$301,5,FALSE()),"")</f>
        <v>SMB</v>
      </c>
      <c r="P337">
        <f>IFERROR(VLOOKUP(C337,Customers!$A$2:$F$301,3,FALSE()),"")</f>
        <v>39</v>
      </c>
      <c r="Q337">
        <f t="shared" si="15"/>
        <v>0.57171314741035861</v>
      </c>
      <c r="R337">
        <f>IF(AND(COUNTIF($A$2:$A$2027,A337)&gt;1,COUNTIF($A$2:A337,A337)=1),1,0)</f>
        <v>0</v>
      </c>
      <c r="S337" t="b">
        <f>IFERROR(VLOOKUP(D337,Products!$A$2:$F$61,6,FALSE()),"")</f>
        <v>0</v>
      </c>
      <c r="T337" t="str">
        <f>IF(COUNTIF(Customers!$A$2:$A$301,C337)=0,"Missing","OK")</f>
        <v>OK</v>
      </c>
      <c r="U337" t="str">
        <f t="shared" si="16"/>
        <v>Pune</v>
      </c>
      <c r="V337">
        <f t="shared" si="17"/>
        <v>0</v>
      </c>
    </row>
    <row r="338" spans="1:22" ht="15" customHeight="1" x14ac:dyDescent="0.35">
      <c r="A338" s="3" t="s">
        <v>662</v>
      </c>
      <c r="B338" s="4">
        <v>45335</v>
      </c>
      <c r="C338" s="3" t="s">
        <v>565</v>
      </c>
      <c r="D338" s="3" t="s">
        <v>306</v>
      </c>
      <c r="E338" s="3" t="s">
        <v>60</v>
      </c>
      <c r="F338" s="5">
        <v>9</v>
      </c>
      <c r="G338" s="5">
        <v>2380</v>
      </c>
      <c r="H338" s="5">
        <v>16.8</v>
      </c>
      <c r="I338" s="5">
        <v>17821.439999999999</v>
      </c>
      <c r="J338" s="3" t="s">
        <v>26</v>
      </c>
      <c r="K338" s="3" t="s">
        <v>38</v>
      </c>
      <c r="L338" t="str">
        <f>IFERROR(VLOOKUP(D338,Products!$A$2:$F$61,3,FALSE()),"")</f>
        <v>Grocery</v>
      </c>
      <c r="M338" t="str">
        <f>IFERROR(VLOOKUP(E338,Sales_Reps!$A$2:$C$31,3,FALSE()),"")</f>
        <v>East</v>
      </c>
      <c r="N338">
        <f>IFERROR(VLOOKUP(D338,Products!$A$2:$F$61,4,FALSE()),"")</f>
        <v>1182</v>
      </c>
      <c r="O338" t="str">
        <f>IFERROR(VLOOKUP(C338,Customers!$A$2:$F$301,5,FALSE()),"")</f>
        <v>Retail</v>
      </c>
      <c r="P338">
        <f>IFERROR(VLOOKUP(C338,Customers!$A$2:$F$301,3,FALSE()),"")</f>
        <v>40</v>
      </c>
      <c r="Q338">
        <f t="shared" si="15"/>
        <v>0.50336134453781511</v>
      </c>
      <c r="R338">
        <f>IF(AND(COUNTIF($A$2:$A$2027,A338)&gt;1,COUNTIF($A$2:A338,A338)=1),1,0)</f>
        <v>0</v>
      </c>
      <c r="S338" t="b">
        <f>IFERROR(VLOOKUP(D338,Products!$A$2:$F$61,6,FALSE()),"")</f>
        <v>1</v>
      </c>
      <c r="T338" t="str">
        <f>IF(COUNTIF(Customers!$A$2:$A$301,C338)=0,"Missing","OK")</f>
        <v>OK</v>
      </c>
      <c r="U338" t="str">
        <f t="shared" si="16"/>
        <v>Delhi</v>
      </c>
      <c r="V338">
        <f t="shared" si="17"/>
        <v>0</v>
      </c>
    </row>
    <row r="339" spans="1:22" ht="15" customHeight="1" x14ac:dyDescent="0.35">
      <c r="A339" s="3" t="s">
        <v>663</v>
      </c>
      <c r="B339" s="4">
        <v>45420</v>
      </c>
      <c r="C339" s="3" t="s">
        <v>664</v>
      </c>
      <c r="D339" s="3" t="s">
        <v>391</v>
      </c>
      <c r="E339" s="3" t="s">
        <v>46</v>
      </c>
      <c r="F339" s="5">
        <v>1</v>
      </c>
      <c r="G339" s="5">
        <v>3450</v>
      </c>
      <c r="H339" s="5">
        <v>1.5</v>
      </c>
      <c r="I339" s="5">
        <v>3398.25</v>
      </c>
      <c r="J339" s="3" t="s">
        <v>83</v>
      </c>
      <c r="K339" s="3" t="s">
        <v>38</v>
      </c>
      <c r="L339" t="str">
        <f>IFERROR(VLOOKUP(D339,Products!$A$2:$F$61,3,FALSE()),"")</f>
        <v>Apparel</v>
      </c>
      <c r="M339" t="str">
        <f>IFERROR(VLOOKUP(E339,Sales_Reps!$A$2:$C$31,3,FALSE()),"")</f>
        <v>North</v>
      </c>
      <c r="N339">
        <f>IFERROR(VLOOKUP(D339,Products!$A$2:$F$61,4,FALSE()),"")</f>
        <v>1748</v>
      </c>
      <c r="O339" t="str">
        <f>IFERROR(VLOOKUP(C339,Customers!$A$2:$F$301,5,FALSE()),"")</f>
        <v>SMB</v>
      </c>
      <c r="P339">
        <f>IFERROR(VLOOKUP(C339,Customers!$A$2:$F$301,3,FALSE()),"")</f>
        <v>26</v>
      </c>
      <c r="Q339">
        <f t="shared" si="15"/>
        <v>0.49333333333333335</v>
      </c>
      <c r="R339">
        <f>IF(AND(COUNTIF($A$2:$A$2027,A339)&gt;1,COUNTIF($A$2:A339,A339)=1),1,0)</f>
        <v>0</v>
      </c>
      <c r="S339" t="b">
        <f>IFERROR(VLOOKUP(D339,Products!$A$2:$F$61,6,FALSE()),"")</f>
        <v>1</v>
      </c>
      <c r="T339" t="str">
        <f>IF(COUNTIF(Customers!$A$2:$A$301,C339)=0,"Missing","OK")</f>
        <v>OK</v>
      </c>
      <c r="U339" t="str">
        <f t="shared" si="16"/>
        <v>Delhi</v>
      </c>
      <c r="V339">
        <f t="shared" si="17"/>
        <v>0</v>
      </c>
    </row>
    <row r="340" spans="1:22" ht="15" customHeight="1" x14ac:dyDescent="0.35">
      <c r="A340" s="3" t="s">
        <v>665</v>
      </c>
      <c r="B340" s="4">
        <v>45295</v>
      </c>
      <c r="C340" s="3" t="s">
        <v>58</v>
      </c>
      <c r="D340" s="3" t="s">
        <v>126</v>
      </c>
      <c r="E340" s="3" t="s">
        <v>236</v>
      </c>
      <c r="F340" s="5">
        <v>5</v>
      </c>
      <c r="G340" s="5">
        <v>3570</v>
      </c>
      <c r="H340" s="5">
        <v>12.8</v>
      </c>
      <c r="I340" s="5">
        <v>15565.2</v>
      </c>
      <c r="J340" s="3" t="s">
        <v>26</v>
      </c>
      <c r="K340" s="3" t="s">
        <v>56</v>
      </c>
      <c r="L340" t="str">
        <f>IFERROR(VLOOKUP(D340,Products!$A$2:$F$61,3,FALSE()),"")</f>
        <v>Electronics</v>
      </c>
      <c r="M340" t="str">
        <f>IFERROR(VLOOKUP(E340,Sales_Reps!$A$2:$C$31,3,FALSE()),"")</f>
        <v>North</v>
      </c>
      <c r="N340">
        <f>IFERROR(VLOOKUP(D340,Products!$A$2:$F$61,4,FALSE()),"")</f>
        <v>1665</v>
      </c>
      <c r="O340" t="str">
        <f>IFERROR(VLOOKUP(C340,Customers!$A$2:$F$301,5,FALSE()),"")</f>
        <v>Corporate</v>
      </c>
      <c r="P340">
        <f>IFERROR(VLOOKUP(C340,Customers!$A$2:$F$301,3,FALSE()),"")</f>
        <v>57</v>
      </c>
      <c r="Q340">
        <f t="shared" si="15"/>
        <v>0.53361344537815125</v>
      </c>
      <c r="R340">
        <f>IF(AND(COUNTIF($A$2:$A$2027,A340)&gt;1,COUNTIF($A$2:A340,A340)=1),1,0)</f>
        <v>0</v>
      </c>
      <c r="S340" t="b">
        <f>IFERROR(VLOOKUP(D340,Products!$A$2:$F$61,6,FALSE()),"")</f>
        <v>1</v>
      </c>
      <c r="T340" t="str">
        <f>IF(COUNTIF(Customers!$A$2:$A$301,C340)=0,"Missing","OK")</f>
        <v>OK</v>
      </c>
      <c r="U340" t="str">
        <f t="shared" si="16"/>
        <v>Bengaluru</v>
      </c>
      <c r="V340">
        <f t="shared" si="17"/>
        <v>0</v>
      </c>
    </row>
    <row r="341" spans="1:22" ht="15" customHeight="1" x14ac:dyDescent="0.35">
      <c r="A341" s="3" t="s">
        <v>666</v>
      </c>
      <c r="B341" s="4">
        <v>45590</v>
      </c>
      <c r="C341" s="3" t="s">
        <v>195</v>
      </c>
      <c r="D341" s="3" t="s">
        <v>303</v>
      </c>
      <c r="E341" s="3" t="s">
        <v>168</v>
      </c>
      <c r="F341" s="5">
        <v>3</v>
      </c>
      <c r="G341" s="5">
        <v>5330</v>
      </c>
      <c r="H341" s="5">
        <v>16.2</v>
      </c>
      <c r="I341" s="5">
        <v>13399.62</v>
      </c>
      <c r="J341" s="3" t="s">
        <v>26</v>
      </c>
      <c r="K341" s="3" t="s">
        <v>72</v>
      </c>
      <c r="L341" t="str">
        <f>IFERROR(VLOOKUP(D341,Products!$A$2:$F$61,3,FALSE()),"")</f>
        <v>Electronics</v>
      </c>
      <c r="M341" t="str">
        <f>IFERROR(VLOOKUP(E341,Sales_Reps!$A$2:$C$31,3,FALSE()),"")</f>
        <v>West</v>
      </c>
      <c r="N341">
        <f>IFERROR(VLOOKUP(D341,Products!$A$2:$F$61,4,FALSE()),"")</f>
        <v>2405</v>
      </c>
      <c r="O341" t="str">
        <f>IFERROR(VLOOKUP(C341,Customers!$A$2:$F$301,5,FALSE()),"")</f>
        <v>Retail</v>
      </c>
      <c r="P341">
        <f>IFERROR(VLOOKUP(C341,Customers!$A$2:$F$301,3,FALSE()),"")</f>
        <v>27</v>
      </c>
      <c r="Q341">
        <f t="shared" si="15"/>
        <v>0.54878048780487809</v>
      </c>
      <c r="R341">
        <f>IF(AND(COUNTIF($A$2:$A$2027,A341)&gt;1,COUNTIF($A$2:A341,A341)=1),1,0)</f>
        <v>0</v>
      </c>
      <c r="S341" t="b">
        <f>IFERROR(VLOOKUP(D341,Products!$A$2:$F$61,6,FALSE()),"")</f>
        <v>1</v>
      </c>
      <c r="T341" t="str">
        <f>IF(COUNTIF(Customers!$A$2:$A$301,C341)=0,"Missing","OK")</f>
        <v>OK</v>
      </c>
      <c r="U341" t="str">
        <f t="shared" si="16"/>
        <v>Hyderabad</v>
      </c>
      <c r="V341">
        <f t="shared" si="17"/>
        <v>0</v>
      </c>
    </row>
    <row r="342" spans="1:22" ht="15" customHeight="1" x14ac:dyDescent="0.35">
      <c r="A342" s="3" t="s">
        <v>667</v>
      </c>
      <c r="B342" s="4">
        <v>45341</v>
      </c>
      <c r="C342" s="3" t="s">
        <v>668</v>
      </c>
      <c r="D342" s="3" t="s">
        <v>41</v>
      </c>
      <c r="E342" s="3" t="s">
        <v>282</v>
      </c>
      <c r="F342" s="5">
        <v>3</v>
      </c>
      <c r="G342" s="5">
        <v>3660</v>
      </c>
      <c r="H342" s="5">
        <v>25.3</v>
      </c>
      <c r="I342" s="5">
        <v>8202.06</v>
      </c>
      <c r="J342" s="3" t="s">
        <v>26</v>
      </c>
      <c r="K342" s="3" t="s">
        <v>51</v>
      </c>
      <c r="L342" t="str">
        <f>IFERROR(VLOOKUP(D342,Products!$A$2:$F$61,3,FALSE()),"")</f>
        <v>Grocery</v>
      </c>
      <c r="M342" t="str">
        <f>IFERROR(VLOOKUP(E342,Sales_Reps!$A$2:$C$31,3,FALSE()),"")</f>
        <v>West</v>
      </c>
      <c r="N342">
        <f>IFERROR(VLOOKUP(D342,Products!$A$2:$F$61,4,FALSE()),"")</f>
        <v>2214</v>
      </c>
      <c r="O342" t="str">
        <f>IFERROR(VLOOKUP(C342,Customers!$A$2:$F$301,5,FALSE()),"")</f>
        <v>Retail</v>
      </c>
      <c r="P342">
        <f>IFERROR(VLOOKUP(C342,Customers!$A$2:$F$301,3,FALSE()),"")</f>
        <v>56</v>
      </c>
      <c r="Q342">
        <f t="shared" si="15"/>
        <v>0.39508196721311473</v>
      </c>
      <c r="R342">
        <f>IF(AND(COUNTIF($A$2:$A$2027,A342)&gt;1,COUNTIF($A$2:A342,A342)=1),1,0)</f>
        <v>0</v>
      </c>
      <c r="S342" t="b">
        <f>IFERROR(VLOOKUP(D342,Products!$A$2:$F$61,6,FALSE()),"")</f>
        <v>0</v>
      </c>
      <c r="T342" t="str">
        <f>IF(COUNTIF(Customers!$A$2:$A$301,C342)=0,"Missing","OK")</f>
        <v>OK</v>
      </c>
      <c r="U342" t="str">
        <f t="shared" si="16"/>
        <v>Mumbai</v>
      </c>
      <c r="V342">
        <f t="shared" si="17"/>
        <v>0</v>
      </c>
    </row>
    <row r="343" spans="1:22" ht="15" customHeight="1" x14ac:dyDescent="0.35">
      <c r="A343" s="3" t="s">
        <v>669</v>
      </c>
      <c r="B343" s="4">
        <v>45600</v>
      </c>
      <c r="C343" s="3" t="s">
        <v>612</v>
      </c>
      <c r="D343" s="3" t="s">
        <v>121</v>
      </c>
      <c r="E343" s="3" t="s">
        <v>127</v>
      </c>
      <c r="F343" s="5">
        <v>2</v>
      </c>
      <c r="G343" s="5">
        <v>1010</v>
      </c>
      <c r="H343" s="5">
        <v>29.2</v>
      </c>
      <c r="I343" s="5">
        <v>1430.16</v>
      </c>
      <c r="J343" s="3" t="s">
        <v>26</v>
      </c>
      <c r="K343" s="3" t="s">
        <v>51</v>
      </c>
      <c r="L343" t="str">
        <f>IFERROR(VLOOKUP(D343,Products!$A$2:$F$61,3,FALSE()),"")</f>
        <v>Sports</v>
      </c>
      <c r="M343" t="str">
        <f>IFERROR(VLOOKUP(E343,Sales_Reps!$A$2:$C$31,3,FALSE()),"")</f>
        <v>South</v>
      </c>
      <c r="N343">
        <f>IFERROR(VLOOKUP(D343,Products!$A$2:$F$61,4,FALSE()),"")</f>
        <v>516</v>
      </c>
      <c r="O343" t="str">
        <f>IFERROR(VLOOKUP(C343,Customers!$A$2:$F$301,5,FALSE()),"")</f>
        <v>Retail</v>
      </c>
      <c r="P343">
        <f>IFERROR(VLOOKUP(C343,Customers!$A$2:$F$301,3,FALSE()),"")</f>
        <v>35</v>
      </c>
      <c r="Q343">
        <f t="shared" si="15"/>
        <v>0.4891089108910891</v>
      </c>
      <c r="R343">
        <f>IF(AND(COUNTIF($A$2:$A$2027,A343)&gt;1,COUNTIF($A$2:A343,A343)=1),1,0)</f>
        <v>0</v>
      </c>
      <c r="S343" t="b">
        <f>IFERROR(VLOOKUP(D343,Products!$A$2:$F$61,6,FALSE()),"")</f>
        <v>1</v>
      </c>
      <c r="T343" t="str">
        <f>IF(COUNTIF(Customers!$A$2:$A$301,C343)=0,"Missing","OK")</f>
        <v>OK</v>
      </c>
      <c r="U343" t="str">
        <f t="shared" si="16"/>
        <v>Mumbai</v>
      </c>
      <c r="V343">
        <f t="shared" si="17"/>
        <v>0</v>
      </c>
    </row>
    <row r="344" spans="1:22" ht="15" customHeight="1" x14ac:dyDescent="0.35">
      <c r="A344" s="3" t="s">
        <v>670</v>
      </c>
      <c r="B344" s="4">
        <v>45506</v>
      </c>
      <c r="C344" s="3" t="s">
        <v>534</v>
      </c>
      <c r="D344" s="3" t="s">
        <v>103</v>
      </c>
      <c r="E344" s="3" t="s">
        <v>127</v>
      </c>
      <c r="F344" s="5">
        <v>1</v>
      </c>
      <c r="G344" s="5">
        <v>1080</v>
      </c>
      <c r="H344" s="5">
        <v>1.8</v>
      </c>
      <c r="I344" s="5">
        <v>1060.56</v>
      </c>
      <c r="J344" s="3" t="s">
        <v>26</v>
      </c>
      <c r="K344" s="3" t="s">
        <v>38</v>
      </c>
      <c r="L344" t="str">
        <f>IFERROR(VLOOKUP(D344,Products!$A$2:$F$61,3,FALSE()),"")</f>
        <v>Home</v>
      </c>
      <c r="M344" t="str">
        <f>IFERROR(VLOOKUP(E344,Sales_Reps!$A$2:$C$31,3,FALSE()),"")</f>
        <v>South</v>
      </c>
      <c r="N344">
        <f>IFERROR(VLOOKUP(D344,Products!$A$2:$F$61,4,FALSE()),"")</f>
        <v>519</v>
      </c>
      <c r="O344" t="str">
        <f>IFERROR(VLOOKUP(C344,Customers!$A$2:$F$301,5,FALSE()),"")</f>
        <v>SMB</v>
      </c>
      <c r="P344">
        <f>IFERROR(VLOOKUP(C344,Customers!$A$2:$F$301,3,FALSE()),"")</f>
        <v>48</v>
      </c>
      <c r="Q344">
        <f t="shared" si="15"/>
        <v>0.51944444444444449</v>
      </c>
      <c r="R344">
        <f>IF(AND(COUNTIF($A$2:$A$2027,A344)&gt;1,COUNTIF($A$2:A344,A344)=1),1,0)</f>
        <v>0</v>
      </c>
      <c r="S344" t="b">
        <f>IFERROR(VLOOKUP(D344,Products!$A$2:$F$61,6,FALSE()),"")</f>
        <v>1</v>
      </c>
      <c r="T344" t="str">
        <f>IF(COUNTIF(Customers!$A$2:$A$301,C344)=0,"Missing","OK")</f>
        <v>OK</v>
      </c>
      <c r="U344" t="str">
        <f t="shared" si="16"/>
        <v>Delhi</v>
      </c>
      <c r="V344">
        <f t="shared" si="17"/>
        <v>0</v>
      </c>
    </row>
    <row r="345" spans="1:22" ht="15" customHeight="1" x14ac:dyDescent="0.35">
      <c r="A345" s="3" t="s">
        <v>671</v>
      </c>
      <c r="B345" s="4">
        <v>45414</v>
      </c>
      <c r="C345" s="3" t="s">
        <v>352</v>
      </c>
      <c r="D345" s="3" t="s">
        <v>100</v>
      </c>
      <c r="E345" s="3" t="s">
        <v>71</v>
      </c>
      <c r="F345" s="5">
        <v>8</v>
      </c>
      <c r="G345" s="5">
        <v>3450</v>
      </c>
      <c r="H345" s="5">
        <v>20.399999999999999</v>
      </c>
      <c r="I345" s="5">
        <v>21969.599999999999</v>
      </c>
      <c r="J345" s="3" t="s">
        <v>26</v>
      </c>
      <c r="K345" s="3" t="s">
        <v>27</v>
      </c>
      <c r="L345" t="str">
        <f>IFERROR(VLOOKUP(D345,Products!$A$2:$F$61,3,FALSE()),"")</f>
        <v>Sports</v>
      </c>
      <c r="M345" t="str">
        <f>IFERROR(VLOOKUP(E345,Sales_Reps!$A$2:$C$31,3,FALSE()),"")</f>
        <v>South</v>
      </c>
      <c r="N345">
        <f>IFERROR(VLOOKUP(D345,Products!$A$2:$F$61,4,FALSE()),"")</f>
        <v>2467</v>
      </c>
      <c r="O345" t="str">
        <f>IFERROR(VLOOKUP(C345,Customers!$A$2:$F$301,5,FALSE()),"")</f>
        <v>Retail</v>
      </c>
      <c r="P345">
        <f>IFERROR(VLOOKUP(C345,Customers!$A$2:$F$301,3,FALSE()),"")</f>
        <v>22</v>
      </c>
      <c r="Q345">
        <f t="shared" si="15"/>
        <v>0.28492753623188405</v>
      </c>
      <c r="R345">
        <f>IF(AND(COUNTIF($A$2:$A$2027,A345)&gt;1,COUNTIF($A$2:A345,A345)=1),1,0)</f>
        <v>0</v>
      </c>
      <c r="S345" t="b">
        <f>IFERROR(VLOOKUP(D345,Products!$A$2:$F$61,6,FALSE()),"")</f>
        <v>1</v>
      </c>
      <c r="T345" t="str">
        <f>IF(COUNTIF(Customers!$A$2:$A$301,C345)=0,"Missing","OK")</f>
        <v>OK</v>
      </c>
      <c r="U345" t="str">
        <f t="shared" si="16"/>
        <v>Pune</v>
      </c>
      <c r="V345">
        <f t="shared" si="17"/>
        <v>0</v>
      </c>
    </row>
    <row r="346" spans="1:22" ht="15" customHeight="1" x14ac:dyDescent="0.35">
      <c r="A346" s="3" t="s">
        <v>672</v>
      </c>
      <c r="B346" s="4">
        <v>45553</v>
      </c>
      <c r="C346" s="3" t="s">
        <v>310</v>
      </c>
      <c r="D346" s="3" t="s">
        <v>454</v>
      </c>
      <c r="E346" s="3" t="s">
        <v>127</v>
      </c>
      <c r="F346" s="5">
        <v>8</v>
      </c>
      <c r="G346" s="5">
        <v>6940</v>
      </c>
      <c r="H346" s="5">
        <v>19.399999999999999</v>
      </c>
      <c r="I346" s="5">
        <v>44749.120000000003</v>
      </c>
      <c r="J346" s="3" t="s">
        <v>26</v>
      </c>
      <c r="K346" s="3" t="s">
        <v>51</v>
      </c>
      <c r="L346" t="str">
        <f>IFERROR(VLOOKUP(D346,Products!$A$2:$F$61,3,FALSE()),"")</f>
        <v>Sports</v>
      </c>
      <c r="M346" t="str">
        <f>IFERROR(VLOOKUP(E346,Sales_Reps!$A$2:$C$31,3,FALSE()),"")</f>
        <v>South</v>
      </c>
      <c r="N346">
        <f>IFERROR(VLOOKUP(D346,Products!$A$2:$F$61,4,FALSE()),"")</f>
        <v>2827</v>
      </c>
      <c r="O346" t="str">
        <f>IFERROR(VLOOKUP(C346,Customers!$A$2:$F$301,5,FALSE()),"")</f>
        <v>Retail</v>
      </c>
      <c r="P346">
        <f>IFERROR(VLOOKUP(C346,Customers!$A$2:$F$301,3,FALSE()),"")</f>
        <v>42</v>
      </c>
      <c r="Q346">
        <f t="shared" si="15"/>
        <v>0.5926512968299712</v>
      </c>
      <c r="R346">
        <f>IF(AND(COUNTIF($A$2:$A$2027,A346)&gt;1,COUNTIF($A$2:A346,A346)=1),1,0)</f>
        <v>1</v>
      </c>
      <c r="S346" t="b">
        <f>IFERROR(VLOOKUP(D346,Products!$A$2:$F$61,6,FALSE()),"")</f>
        <v>1</v>
      </c>
      <c r="T346" t="str">
        <f>IF(COUNTIF(Customers!$A$2:$A$301,C346)=0,"Missing","OK")</f>
        <v>OK</v>
      </c>
      <c r="U346" t="str">
        <f t="shared" si="16"/>
        <v>Mumbai</v>
      </c>
      <c r="V346">
        <f t="shared" si="17"/>
        <v>0</v>
      </c>
    </row>
    <row r="347" spans="1:22" ht="15" customHeight="1" x14ac:dyDescent="0.35">
      <c r="A347" s="3" t="s">
        <v>673</v>
      </c>
      <c r="B347" s="4">
        <v>45434</v>
      </c>
      <c r="C347" s="3" t="s">
        <v>674</v>
      </c>
      <c r="D347" s="3" t="s">
        <v>198</v>
      </c>
      <c r="E347" s="3" t="s">
        <v>87</v>
      </c>
      <c r="F347" s="5">
        <v>2</v>
      </c>
      <c r="G347" s="5">
        <v>1540</v>
      </c>
      <c r="H347" s="5">
        <v>9.3000000000000007</v>
      </c>
      <c r="I347" s="5">
        <v>2793.56</v>
      </c>
      <c r="J347" s="3" t="s">
        <v>26</v>
      </c>
      <c r="K347" s="3" t="s">
        <v>27</v>
      </c>
      <c r="L347" t="str">
        <f>IFERROR(VLOOKUP(D347,Products!$A$2:$F$61,3,FALSE()),"")</f>
        <v>Beauty</v>
      </c>
      <c r="M347" t="str">
        <f>IFERROR(VLOOKUP(E347,Sales_Reps!$A$2:$C$31,3,FALSE()),"")</f>
        <v>North</v>
      </c>
      <c r="N347">
        <f>IFERROR(VLOOKUP(D347,Products!$A$2:$F$61,4,FALSE()),"")</f>
        <v>647</v>
      </c>
      <c r="O347" t="str">
        <f>IFERROR(VLOOKUP(C347,Customers!$A$2:$F$301,5,FALSE()),"")</f>
        <v>Retail</v>
      </c>
      <c r="P347">
        <f>IFERROR(VLOOKUP(C347,Customers!$A$2:$F$301,3,FALSE()),"")</f>
        <v>54</v>
      </c>
      <c r="Q347">
        <f t="shared" si="15"/>
        <v>0.57987012987012987</v>
      </c>
      <c r="R347">
        <f>IF(AND(COUNTIF($A$2:$A$2027,A347)&gt;1,COUNTIF($A$2:A347,A347)=1),1,0)</f>
        <v>0</v>
      </c>
      <c r="S347" t="b">
        <f>IFERROR(VLOOKUP(D347,Products!$A$2:$F$61,6,FALSE()),"")</f>
        <v>0</v>
      </c>
      <c r="T347" t="str">
        <f>IF(COUNTIF(Customers!$A$2:$A$301,C347)=0,"Missing","OK")</f>
        <v>OK</v>
      </c>
      <c r="U347" t="str">
        <f t="shared" si="16"/>
        <v>Pune</v>
      </c>
      <c r="V347">
        <f t="shared" si="17"/>
        <v>0</v>
      </c>
    </row>
    <row r="348" spans="1:22" ht="15" customHeight="1" x14ac:dyDescent="0.35">
      <c r="A348" s="3" t="s">
        <v>675</v>
      </c>
      <c r="B348" s="4">
        <v>45446</v>
      </c>
      <c r="C348" s="3" t="s">
        <v>136</v>
      </c>
      <c r="D348" s="3" t="s">
        <v>74</v>
      </c>
      <c r="E348" s="3" t="s">
        <v>127</v>
      </c>
      <c r="F348" s="5">
        <v>4</v>
      </c>
      <c r="G348" s="5">
        <v>2640</v>
      </c>
      <c r="H348" s="5">
        <v>23.2</v>
      </c>
      <c r="I348" s="5">
        <v>8110.08</v>
      </c>
      <c r="J348" s="3" t="s">
        <v>83</v>
      </c>
      <c r="K348" s="3" t="s">
        <v>27</v>
      </c>
      <c r="L348" t="str">
        <f>IFERROR(VLOOKUP(D348,Products!$A$2:$F$61,3,FALSE()),"")</f>
        <v>Electronics</v>
      </c>
      <c r="M348" t="str">
        <f>IFERROR(VLOOKUP(E348,Sales_Reps!$A$2:$C$31,3,FALSE()),"")</f>
        <v>South</v>
      </c>
      <c r="N348">
        <f>IFERROR(VLOOKUP(D348,Products!$A$2:$F$61,4,FALSE()),"")</f>
        <v>1149</v>
      </c>
      <c r="O348" t="str">
        <f>IFERROR(VLOOKUP(C348,Customers!$A$2:$F$301,5,FALSE()),"")</f>
        <v>Corporate</v>
      </c>
      <c r="P348">
        <f>IFERROR(VLOOKUP(C348,Customers!$A$2:$F$301,3,FALSE()),"")</f>
        <v>47</v>
      </c>
      <c r="Q348">
        <f t="shared" si="15"/>
        <v>0.56477272727272732</v>
      </c>
      <c r="R348">
        <f>IF(AND(COUNTIF($A$2:$A$2027,A348)&gt;1,COUNTIF($A$2:A348,A348)=1),1,0)</f>
        <v>0</v>
      </c>
      <c r="S348" t="b">
        <f>IFERROR(VLOOKUP(D348,Products!$A$2:$F$61,6,FALSE()),"")</f>
        <v>1</v>
      </c>
      <c r="T348" t="str">
        <f>IF(COUNTIF(Customers!$A$2:$A$301,C348)=0,"Missing","OK")</f>
        <v>OK</v>
      </c>
      <c r="U348" t="str">
        <f t="shared" si="16"/>
        <v>Pune</v>
      </c>
      <c r="V348">
        <f t="shared" si="17"/>
        <v>0</v>
      </c>
    </row>
    <row r="349" spans="1:22" ht="15" customHeight="1" x14ac:dyDescent="0.35">
      <c r="A349" s="3" t="s">
        <v>676</v>
      </c>
      <c r="B349" s="4">
        <v>45626</v>
      </c>
      <c r="C349" s="3" t="s">
        <v>677</v>
      </c>
      <c r="D349" s="3" t="s">
        <v>299</v>
      </c>
      <c r="E349" s="3" t="s">
        <v>55</v>
      </c>
      <c r="F349" s="5">
        <v>6</v>
      </c>
      <c r="G349" s="5">
        <v>5410</v>
      </c>
      <c r="H349" s="5">
        <v>29.4</v>
      </c>
      <c r="I349" s="5">
        <v>22916.76</v>
      </c>
      <c r="J349" s="3" t="s">
        <v>26</v>
      </c>
      <c r="K349" s="3" t="s">
        <v>27</v>
      </c>
      <c r="L349" t="str">
        <f>IFERROR(VLOOKUP(D349,Products!$A$2:$F$61,3,FALSE()),"")</f>
        <v>Sports</v>
      </c>
      <c r="M349" t="str">
        <f>IFERROR(VLOOKUP(E349,Sales_Reps!$A$2:$C$31,3,FALSE()),"")</f>
        <v>West</v>
      </c>
      <c r="N349">
        <f>IFERROR(VLOOKUP(D349,Products!$A$2:$F$61,4,FALSE()),"")</f>
        <v>2265</v>
      </c>
      <c r="O349" t="str">
        <f>IFERROR(VLOOKUP(C349,Customers!$A$2:$F$301,5,FALSE()),"")</f>
        <v>Retail</v>
      </c>
      <c r="P349">
        <f>IFERROR(VLOOKUP(C349,Customers!$A$2:$F$301,3,FALSE()),"")</f>
        <v>36</v>
      </c>
      <c r="Q349">
        <f t="shared" si="15"/>
        <v>0.58133086876155271</v>
      </c>
      <c r="R349">
        <f>IF(AND(COUNTIF($A$2:$A$2027,A349)&gt;1,COUNTIF($A$2:A349,A349)=1),1,0)</f>
        <v>0</v>
      </c>
      <c r="S349" t="b">
        <f>IFERROR(VLOOKUP(D349,Products!$A$2:$F$61,6,FALSE()),"")</f>
        <v>1</v>
      </c>
      <c r="T349" t="str">
        <f>IF(COUNTIF(Customers!$A$2:$A$301,C349)=0,"Missing","OK")</f>
        <v>OK</v>
      </c>
      <c r="U349" t="str">
        <f t="shared" si="16"/>
        <v>Pune</v>
      </c>
      <c r="V349">
        <f t="shared" si="17"/>
        <v>0</v>
      </c>
    </row>
    <row r="350" spans="1:22" ht="15" customHeight="1" x14ac:dyDescent="0.35">
      <c r="A350" s="3" t="s">
        <v>678</v>
      </c>
      <c r="B350" s="4">
        <v>45459</v>
      </c>
      <c r="C350" s="3" t="s">
        <v>296</v>
      </c>
      <c r="D350" s="3" t="s">
        <v>126</v>
      </c>
      <c r="E350" s="3" t="s">
        <v>282</v>
      </c>
      <c r="F350" s="5">
        <v>1</v>
      </c>
      <c r="G350" s="5">
        <v>3570</v>
      </c>
      <c r="H350" s="5">
        <v>4.3</v>
      </c>
      <c r="I350" s="5">
        <v>3416.49</v>
      </c>
      <c r="J350" s="3" t="s">
        <v>26</v>
      </c>
      <c r="K350" s="3" t="s">
        <v>38</v>
      </c>
      <c r="L350" t="str">
        <f>IFERROR(VLOOKUP(D350,Products!$A$2:$F$61,3,FALSE()),"")</f>
        <v>Electronics</v>
      </c>
      <c r="M350" t="str">
        <f>IFERROR(VLOOKUP(E350,Sales_Reps!$A$2:$C$31,3,FALSE()),"")</f>
        <v>West</v>
      </c>
      <c r="N350">
        <f>IFERROR(VLOOKUP(D350,Products!$A$2:$F$61,4,FALSE()),"")</f>
        <v>1665</v>
      </c>
      <c r="O350" t="str">
        <f>IFERROR(VLOOKUP(C350,Customers!$A$2:$F$301,5,FALSE()),"")</f>
        <v>SMB</v>
      </c>
      <c r="P350">
        <f>IFERROR(VLOOKUP(C350,Customers!$A$2:$F$301,3,FALSE()),"")</f>
        <v>38</v>
      </c>
      <c r="Q350">
        <f t="shared" si="15"/>
        <v>0.53361344537815125</v>
      </c>
      <c r="R350">
        <f>IF(AND(COUNTIF($A$2:$A$2027,A350)&gt;1,COUNTIF($A$2:A350,A350)=1),1,0)</f>
        <v>0</v>
      </c>
      <c r="S350" t="b">
        <f>IFERROR(VLOOKUP(D350,Products!$A$2:$F$61,6,FALSE()),"")</f>
        <v>1</v>
      </c>
      <c r="T350" t="str">
        <f>IF(COUNTIF(Customers!$A$2:$A$301,C350)=0,"Missing","OK")</f>
        <v>OK</v>
      </c>
      <c r="U350" t="str">
        <f t="shared" si="16"/>
        <v>Delhi</v>
      </c>
      <c r="V350">
        <f t="shared" si="17"/>
        <v>0</v>
      </c>
    </row>
    <row r="351" spans="1:22" ht="15" customHeight="1" x14ac:dyDescent="0.35">
      <c r="A351" s="3" t="s">
        <v>679</v>
      </c>
      <c r="B351" s="4">
        <v>45520</v>
      </c>
      <c r="C351" s="3" t="s">
        <v>680</v>
      </c>
      <c r="D351" s="3" t="s">
        <v>49</v>
      </c>
      <c r="E351" s="3" t="s">
        <v>67</v>
      </c>
      <c r="F351" s="5">
        <v>2</v>
      </c>
      <c r="G351" s="5">
        <v>370</v>
      </c>
      <c r="H351" s="5">
        <v>7.2</v>
      </c>
      <c r="I351" s="5">
        <v>686.72</v>
      </c>
      <c r="J351" s="3" t="s">
        <v>26</v>
      </c>
      <c r="K351" s="3" t="s">
        <v>72</v>
      </c>
      <c r="L351" t="str">
        <f>IFERROR(VLOOKUP(D351,Products!$A$2:$F$61,3,FALSE()),"")</f>
        <v>Home</v>
      </c>
      <c r="M351" t="str">
        <f>IFERROR(VLOOKUP(E351,Sales_Reps!$A$2:$C$31,3,FALSE()),"")</f>
        <v>West</v>
      </c>
      <c r="N351">
        <f>IFERROR(VLOOKUP(D351,Products!$A$2:$F$61,4,FALSE()),"")</f>
        <v>288</v>
      </c>
      <c r="O351" t="str">
        <f>IFERROR(VLOOKUP(C351,Customers!$A$2:$F$301,5,FALSE()),"")</f>
        <v>SMB</v>
      </c>
      <c r="P351">
        <f>IFERROR(VLOOKUP(C351,Customers!$A$2:$F$301,3,FALSE()),"")</f>
        <v>29</v>
      </c>
      <c r="Q351">
        <f t="shared" si="15"/>
        <v>0.22162162162162163</v>
      </c>
      <c r="R351">
        <f>IF(AND(COUNTIF($A$2:$A$2027,A351)&gt;1,COUNTIF($A$2:A351,A351)=1),1,0)</f>
        <v>0</v>
      </c>
      <c r="S351" t="b">
        <f>IFERROR(VLOOKUP(D351,Products!$A$2:$F$61,6,FALSE()),"")</f>
        <v>1</v>
      </c>
      <c r="T351" t="str">
        <f>IF(COUNTIF(Customers!$A$2:$A$301,C351)=0,"Missing","OK")</f>
        <v>OK</v>
      </c>
      <c r="U351" t="str">
        <f t="shared" si="16"/>
        <v>Hyderabad</v>
      </c>
      <c r="V351">
        <f t="shared" si="17"/>
        <v>0</v>
      </c>
    </row>
    <row r="352" spans="1:22" ht="15" customHeight="1" x14ac:dyDescent="0.35">
      <c r="A352" s="3" t="s">
        <v>681</v>
      </c>
      <c r="B352" s="4">
        <v>45314</v>
      </c>
      <c r="C352" s="3" t="s">
        <v>536</v>
      </c>
      <c r="D352" s="3" t="s">
        <v>294</v>
      </c>
      <c r="E352" s="3" t="s">
        <v>177</v>
      </c>
      <c r="F352" s="5">
        <v>1</v>
      </c>
      <c r="G352" s="5">
        <v>2510</v>
      </c>
      <c r="H352" s="5">
        <v>2.4</v>
      </c>
      <c r="I352" s="5">
        <v>2449.7600000000002</v>
      </c>
      <c r="J352" s="3" t="s">
        <v>26</v>
      </c>
      <c r="K352" s="3" t="s">
        <v>51</v>
      </c>
      <c r="L352" t="str">
        <f>IFERROR(VLOOKUP(D352,Products!$A$2:$F$61,3,FALSE()),"")</f>
        <v>Apparel</v>
      </c>
      <c r="M352" t="str">
        <f>IFERROR(VLOOKUP(E352,Sales_Reps!$A$2:$C$31,3,FALSE()),"")</f>
        <v>East</v>
      </c>
      <c r="N352">
        <f>IFERROR(VLOOKUP(D352,Products!$A$2:$F$61,4,FALSE()),"")</f>
        <v>1075</v>
      </c>
      <c r="O352" t="str">
        <f>IFERROR(VLOOKUP(C352,Customers!$A$2:$F$301,5,FALSE()),"")</f>
        <v>Retail</v>
      </c>
      <c r="P352">
        <f>IFERROR(VLOOKUP(C352,Customers!$A$2:$F$301,3,FALSE()),"")</f>
        <v>39</v>
      </c>
      <c r="Q352">
        <f t="shared" si="15"/>
        <v>0.57171314741035861</v>
      </c>
      <c r="R352">
        <f>IF(AND(COUNTIF($A$2:$A$2027,A352)&gt;1,COUNTIF($A$2:A352,A352)=1),1,0)</f>
        <v>0</v>
      </c>
      <c r="S352" t="b">
        <f>IFERROR(VLOOKUP(D352,Products!$A$2:$F$61,6,FALSE()),"")</f>
        <v>0</v>
      </c>
      <c r="T352" t="str">
        <f>IF(COUNTIF(Customers!$A$2:$A$301,C352)=0,"Missing","OK")</f>
        <v>OK</v>
      </c>
      <c r="U352" t="str">
        <f t="shared" si="16"/>
        <v>Mumbai</v>
      </c>
      <c r="V352">
        <f t="shared" si="17"/>
        <v>0</v>
      </c>
    </row>
    <row r="353" spans="1:22" ht="15" customHeight="1" x14ac:dyDescent="0.35">
      <c r="A353" s="3" t="s">
        <v>682</v>
      </c>
      <c r="B353" s="4">
        <v>45480</v>
      </c>
      <c r="C353" s="3" t="s">
        <v>683</v>
      </c>
      <c r="D353" s="3" t="s">
        <v>176</v>
      </c>
      <c r="E353" s="3" t="s">
        <v>224</v>
      </c>
      <c r="F353" s="5">
        <v>8</v>
      </c>
      <c r="G353" s="5">
        <v>3640</v>
      </c>
      <c r="H353" s="5">
        <v>28.7</v>
      </c>
      <c r="I353" s="5">
        <v>20762.560000000001</v>
      </c>
      <c r="J353" s="3" t="s">
        <v>32</v>
      </c>
      <c r="K353" s="3" t="s">
        <v>72</v>
      </c>
      <c r="L353" t="str">
        <f>IFERROR(VLOOKUP(D353,Products!$A$2:$F$61,3,FALSE()),"")</f>
        <v>Apparel</v>
      </c>
      <c r="M353" t="str">
        <f>IFERROR(VLOOKUP(E353,Sales_Reps!$A$2:$C$31,3,FALSE()),"")</f>
        <v>East</v>
      </c>
      <c r="N353">
        <f>IFERROR(VLOOKUP(D353,Products!$A$2:$F$61,4,FALSE()),"")</f>
        <v>2611</v>
      </c>
      <c r="O353" t="str">
        <f>IFERROR(VLOOKUP(C353,Customers!$A$2:$F$301,5,FALSE()),"")</f>
        <v>Retail</v>
      </c>
      <c r="P353">
        <f>IFERROR(VLOOKUP(C353,Customers!$A$2:$F$301,3,FALSE()),"")</f>
        <v>64</v>
      </c>
      <c r="Q353">
        <f t="shared" si="15"/>
        <v>0.28269230769230769</v>
      </c>
      <c r="R353">
        <f>IF(AND(COUNTIF($A$2:$A$2027,A353)&gt;1,COUNTIF($A$2:A353,A353)=1),1,0)</f>
        <v>0</v>
      </c>
      <c r="S353" t="b">
        <f>IFERROR(VLOOKUP(D353,Products!$A$2:$F$61,6,FALSE()),"")</f>
        <v>1</v>
      </c>
      <c r="T353" t="str">
        <f>IF(COUNTIF(Customers!$A$2:$A$301,C353)=0,"Missing","OK")</f>
        <v>OK</v>
      </c>
      <c r="U353" t="str">
        <f t="shared" si="16"/>
        <v>Hyderabad</v>
      </c>
      <c r="V353">
        <f t="shared" si="17"/>
        <v>0</v>
      </c>
    </row>
    <row r="354" spans="1:22" ht="15" customHeight="1" x14ac:dyDescent="0.35">
      <c r="A354" s="3" t="s">
        <v>684</v>
      </c>
      <c r="B354" s="4">
        <v>45520</v>
      </c>
      <c r="C354" s="3" t="s">
        <v>125</v>
      </c>
      <c r="D354" s="3" t="s">
        <v>115</v>
      </c>
      <c r="E354" s="3" t="s">
        <v>168</v>
      </c>
      <c r="F354" s="5">
        <v>5</v>
      </c>
      <c r="G354" s="5">
        <v>1650</v>
      </c>
      <c r="H354" s="5">
        <v>13.4</v>
      </c>
      <c r="I354" s="5">
        <v>7144.5</v>
      </c>
      <c r="J354" s="3" t="s">
        <v>32</v>
      </c>
      <c r="K354" s="3" t="s">
        <v>33</v>
      </c>
      <c r="L354" t="str">
        <f>IFERROR(VLOOKUP(D354,Products!$A$2:$F$61,3,FALSE()),"")</f>
        <v>Beauty</v>
      </c>
      <c r="M354" t="str">
        <f>IFERROR(VLOOKUP(E354,Sales_Reps!$A$2:$C$31,3,FALSE()),"")</f>
        <v>West</v>
      </c>
      <c r="N354">
        <f>IFERROR(VLOOKUP(D354,Products!$A$2:$F$61,4,FALSE()),"")</f>
        <v>1222</v>
      </c>
      <c r="O354" t="str">
        <f>IFERROR(VLOOKUP(C354,Customers!$A$2:$F$301,5,FALSE()),"")</f>
        <v>SMB</v>
      </c>
      <c r="P354">
        <f>IFERROR(VLOOKUP(C354,Customers!$A$2:$F$301,3,FALSE()),"")</f>
        <v>52</v>
      </c>
      <c r="Q354">
        <f t="shared" si="15"/>
        <v>0.2593939393939394</v>
      </c>
      <c r="R354">
        <f>IF(AND(COUNTIF($A$2:$A$2027,A354)&gt;1,COUNTIF($A$2:A354,A354)=1),1,0)</f>
        <v>0</v>
      </c>
      <c r="S354" t="b">
        <f>IFERROR(VLOOKUP(D354,Products!$A$2:$F$61,6,FALSE()),"")</f>
        <v>1</v>
      </c>
      <c r="T354" t="str">
        <f>IF(COUNTIF(Customers!$A$2:$A$301,C354)=0,"Missing","OK")</f>
        <v>OK</v>
      </c>
      <c r="U354" t="str">
        <f t="shared" si="16"/>
        <v>Chennai</v>
      </c>
      <c r="V354">
        <f t="shared" si="17"/>
        <v>0</v>
      </c>
    </row>
    <row r="355" spans="1:22" ht="15" customHeight="1" x14ac:dyDescent="0.35">
      <c r="A355" s="3" t="s">
        <v>685</v>
      </c>
      <c r="B355" s="4">
        <v>45360</v>
      </c>
      <c r="C355" s="3" t="s">
        <v>292</v>
      </c>
      <c r="D355" s="3" t="s">
        <v>319</v>
      </c>
      <c r="E355" s="3" t="s">
        <v>55</v>
      </c>
      <c r="F355" s="5">
        <v>9</v>
      </c>
      <c r="G355" s="5">
        <v>960</v>
      </c>
      <c r="H355" s="5">
        <v>28.6</v>
      </c>
      <c r="I355" s="5">
        <v>6168.96</v>
      </c>
      <c r="J355" s="3" t="s">
        <v>32</v>
      </c>
      <c r="K355" s="3" t="s">
        <v>33</v>
      </c>
      <c r="L355" t="str">
        <f>IFERROR(VLOOKUP(D355,Products!$A$2:$F$61,3,FALSE()),"")</f>
        <v>Beauty</v>
      </c>
      <c r="M355" t="str">
        <f>IFERROR(VLOOKUP(E355,Sales_Reps!$A$2:$C$31,3,FALSE()),"")</f>
        <v>West</v>
      </c>
      <c r="N355">
        <f>IFERROR(VLOOKUP(D355,Products!$A$2:$F$61,4,FALSE()),"")</f>
        <v>675</v>
      </c>
      <c r="O355" t="str">
        <f>IFERROR(VLOOKUP(C355,Customers!$A$2:$F$301,5,FALSE()),"")</f>
        <v>Retail</v>
      </c>
      <c r="P355">
        <f>IFERROR(VLOOKUP(C355,Customers!$A$2:$F$301,3,FALSE()),"")</f>
        <v>60</v>
      </c>
      <c r="Q355">
        <f t="shared" si="15"/>
        <v>0.296875</v>
      </c>
      <c r="R355">
        <f>IF(AND(COUNTIF($A$2:$A$2027,A355)&gt;1,COUNTIF($A$2:A355,A355)=1),1,0)</f>
        <v>0</v>
      </c>
      <c r="S355" t="b">
        <f>IFERROR(VLOOKUP(D355,Products!$A$2:$F$61,6,FALSE()),"")</f>
        <v>1</v>
      </c>
      <c r="T355" t="str">
        <f>IF(COUNTIF(Customers!$A$2:$A$301,C355)=0,"Missing","OK")</f>
        <v>OK</v>
      </c>
      <c r="U355" t="str">
        <f t="shared" si="16"/>
        <v>Chennai</v>
      </c>
      <c r="V355">
        <f t="shared" si="17"/>
        <v>0</v>
      </c>
    </row>
    <row r="356" spans="1:22" ht="15" customHeight="1" x14ac:dyDescent="0.35">
      <c r="A356" s="3" t="s">
        <v>686</v>
      </c>
      <c r="B356" s="4">
        <v>45486</v>
      </c>
      <c r="C356" s="3" t="s">
        <v>170</v>
      </c>
      <c r="D356" s="3" t="s">
        <v>173</v>
      </c>
      <c r="E356" s="3" t="s">
        <v>97</v>
      </c>
      <c r="F356" s="5">
        <v>4</v>
      </c>
      <c r="G356" s="5">
        <v>3780</v>
      </c>
      <c r="H356" s="5">
        <v>25.3</v>
      </c>
      <c r="I356" s="5">
        <v>11294.64</v>
      </c>
      <c r="J356" s="3" t="s">
        <v>26</v>
      </c>
      <c r="K356" s="3" t="s">
        <v>56</v>
      </c>
      <c r="L356" t="str">
        <f>IFERROR(VLOOKUP(D356,Products!$A$2:$F$61,3,FALSE()),"")</f>
        <v>Grocery</v>
      </c>
      <c r="M356" t="str">
        <f>IFERROR(VLOOKUP(E356,Sales_Reps!$A$2:$C$31,3,FALSE()),"")</f>
        <v>East</v>
      </c>
      <c r="N356">
        <f>IFERROR(VLOOKUP(D356,Products!$A$2:$F$61,4,FALSE()),"")</f>
        <v>2436</v>
      </c>
      <c r="O356" t="str">
        <f>IFERROR(VLOOKUP(C356,Customers!$A$2:$F$301,5,FALSE()),"")</f>
        <v>SMB</v>
      </c>
      <c r="P356">
        <f>IFERROR(VLOOKUP(C356,Customers!$A$2:$F$301,3,FALSE()),"")</f>
        <v>64</v>
      </c>
      <c r="Q356">
        <f t="shared" si="15"/>
        <v>0.35555555555555557</v>
      </c>
      <c r="R356">
        <f>IF(AND(COUNTIF($A$2:$A$2027,A356)&gt;1,COUNTIF($A$2:A356,A356)=1),1,0)</f>
        <v>0</v>
      </c>
      <c r="S356" t="b">
        <f>IFERROR(VLOOKUP(D356,Products!$A$2:$F$61,6,FALSE()),"")</f>
        <v>1</v>
      </c>
      <c r="T356" t="str">
        <f>IF(COUNTIF(Customers!$A$2:$A$301,C356)=0,"Missing","OK")</f>
        <v>OK</v>
      </c>
      <c r="U356" t="str">
        <f t="shared" si="16"/>
        <v>Bengaluru</v>
      </c>
      <c r="V356">
        <f t="shared" si="17"/>
        <v>11294.64</v>
      </c>
    </row>
    <row r="357" spans="1:22" ht="15" customHeight="1" x14ac:dyDescent="0.35">
      <c r="A357" s="3" t="s">
        <v>687</v>
      </c>
      <c r="B357" s="4">
        <v>45544</v>
      </c>
      <c r="C357" s="3" t="s">
        <v>125</v>
      </c>
      <c r="D357" s="3" t="s">
        <v>115</v>
      </c>
      <c r="E357" s="3" t="s">
        <v>37</v>
      </c>
      <c r="F357" s="5">
        <v>4</v>
      </c>
      <c r="G357" s="5">
        <v>1650</v>
      </c>
      <c r="H357" s="5">
        <v>13.7</v>
      </c>
      <c r="I357" s="5">
        <v>5695.8</v>
      </c>
      <c r="J357" s="3" t="s">
        <v>79</v>
      </c>
      <c r="K357" s="3" t="s">
        <v>33</v>
      </c>
      <c r="L357" t="str">
        <f>IFERROR(VLOOKUP(D357,Products!$A$2:$F$61,3,FALSE()),"")</f>
        <v>Beauty</v>
      </c>
      <c r="M357" t="str">
        <f>IFERROR(VLOOKUP(E357,Sales_Reps!$A$2:$C$31,3,FALSE()),"")</f>
        <v>South</v>
      </c>
      <c r="N357">
        <f>IFERROR(VLOOKUP(D357,Products!$A$2:$F$61,4,FALSE()),"")</f>
        <v>1222</v>
      </c>
      <c r="O357" t="str">
        <f>IFERROR(VLOOKUP(C357,Customers!$A$2:$F$301,5,FALSE()),"")</f>
        <v>SMB</v>
      </c>
      <c r="P357">
        <f>IFERROR(VLOOKUP(C357,Customers!$A$2:$F$301,3,FALSE()),"")</f>
        <v>52</v>
      </c>
      <c r="Q357">
        <f t="shared" si="15"/>
        <v>0.2593939393939394</v>
      </c>
      <c r="R357">
        <f>IF(AND(COUNTIF($A$2:$A$2027,A357)&gt;1,COUNTIF($A$2:A357,A357)=1),1,0)</f>
        <v>0</v>
      </c>
      <c r="S357" t="b">
        <f>IFERROR(VLOOKUP(D357,Products!$A$2:$F$61,6,FALSE()),"")</f>
        <v>1</v>
      </c>
      <c r="T357" t="str">
        <f>IF(COUNTIF(Customers!$A$2:$A$301,C357)=0,"Missing","OK")</f>
        <v>OK</v>
      </c>
      <c r="U357" t="str">
        <f t="shared" si="16"/>
        <v>Chennai</v>
      </c>
      <c r="V357">
        <f t="shared" si="17"/>
        <v>0</v>
      </c>
    </row>
    <row r="358" spans="1:22" ht="15" customHeight="1" x14ac:dyDescent="0.35">
      <c r="A358" s="3" t="s">
        <v>688</v>
      </c>
      <c r="B358" s="4">
        <v>45580</v>
      </c>
      <c r="C358" s="3" t="s">
        <v>478</v>
      </c>
      <c r="D358" s="3" t="s">
        <v>24</v>
      </c>
      <c r="E358" s="3" t="s">
        <v>264</v>
      </c>
      <c r="F358" s="5">
        <v>6</v>
      </c>
      <c r="G358" s="5">
        <v>3620</v>
      </c>
      <c r="H358" s="5">
        <v>21.3</v>
      </c>
      <c r="I358" s="5">
        <v>17093.64</v>
      </c>
      <c r="J358" s="3" t="s">
        <v>32</v>
      </c>
      <c r="K358" s="3" t="s">
        <v>72</v>
      </c>
      <c r="L358" t="str">
        <f>IFERROR(VLOOKUP(D358,Products!$A$2:$F$61,3,FALSE()),"")</f>
        <v>Apparel</v>
      </c>
      <c r="M358" t="str">
        <f>IFERROR(VLOOKUP(E358,Sales_Reps!$A$2:$C$31,3,FALSE()),"")</f>
        <v>South</v>
      </c>
      <c r="N358">
        <f>IFERROR(VLOOKUP(D358,Products!$A$2:$F$61,4,FALSE()),"")</f>
        <v>2509</v>
      </c>
      <c r="O358" t="str">
        <f>IFERROR(VLOOKUP(C358,Customers!$A$2:$F$301,5,FALSE()),"")</f>
        <v>Retail</v>
      </c>
      <c r="P358">
        <f>IFERROR(VLOOKUP(C358,Customers!$A$2:$F$301,3,FALSE()),"")</f>
        <v>38</v>
      </c>
      <c r="Q358">
        <f t="shared" si="15"/>
        <v>0.3069060773480663</v>
      </c>
      <c r="R358">
        <f>IF(AND(COUNTIF($A$2:$A$2027,A358)&gt;1,COUNTIF($A$2:A358,A358)=1),1,0)</f>
        <v>0</v>
      </c>
      <c r="S358" t="b">
        <f>IFERROR(VLOOKUP(D358,Products!$A$2:$F$61,6,FALSE()),"")</f>
        <v>1</v>
      </c>
      <c r="T358" t="str">
        <f>IF(COUNTIF(Customers!$A$2:$A$301,C358)=0,"Missing","OK")</f>
        <v>OK</v>
      </c>
      <c r="U358" t="str">
        <f t="shared" si="16"/>
        <v>Hyderabad</v>
      </c>
      <c r="V358">
        <f t="shared" si="17"/>
        <v>0</v>
      </c>
    </row>
    <row r="359" spans="1:22" ht="15" customHeight="1" x14ac:dyDescent="0.35">
      <c r="A359" s="3" t="s">
        <v>689</v>
      </c>
      <c r="B359" s="4">
        <v>45312</v>
      </c>
      <c r="C359" s="3" t="s">
        <v>413</v>
      </c>
      <c r="D359" s="3" t="s">
        <v>184</v>
      </c>
      <c r="E359" s="3" t="s">
        <v>109</v>
      </c>
      <c r="F359" s="5">
        <v>10</v>
      </c>
      <c r="G359" s="5">
        <v>2270</v>
      </c>
      <c r="H359" s="5">
        <v>17.7</v>
      </c>
      <c r="I359" s="5">
        <v>18682.099999999999</v>
      </c>
      <c r="J359" s="3" t="s">
        <v>26</v>
      </c>
      <c r="K359" s="3" t="s">
        <v>38</v>
      </c>
      <c r="L359" t="str">
        <f>IFERROR(VLOOKUP(D359,Products!$A$2:$F$61,3,FALSE()),"")</f>
        <v>Grocery</v>
      </c>
      <c r="M359" t="str">
        <f>IFERROR(VLOOKUP(E359,Sales_Reps!$A$2:$C$31,3,FALSE()),"")</f>
        <v>West</v>
      </c>
      <c r="N359">
        <f>IFERROR(VLOOKUP(D359,Products!$A$2:$F$61,4,FALSE()),"")</f>
        <v>1412</v>
      </c>
      <c r="O359" t="str">
        <f>IFERROR(VLOOKUP(C359,Customers!$A$2:$F$301,5,FALSE()),"")</f>
        <v>SMB</v>
      </c>
      <c r="P359">
        <f>IFERROR(VLOOKUP(C359,Customers!$A$2:$F$301,3,FALSE()),"")</f>
        <v>59</v>
      </c>
      <c r="Q359">
        <f t="shared" si="15"/>
        <v>0.37797356828193834</v>
      </c>
      <c r="R359">
        <f>IF(AND(COUNTIF($A$2:$A$2027,A359)&gt;1,COUNTIF($A$2:A359,A359)=1),1,0)</f>
        <v>0</v>
      </c>
      <c r="S359" t="b">
        <f>IFERROR(VLOOKUP(D359,Products!$A$2:$F$61,6,FALSE()),"")</f>
        <v>1</v>
      </c>
      <c r="T359" t="str">
        <f>IF(COUNTIF(Customers!$A$2:$A$301,C359)=0,"Missing","OK")</f>
        <v>OK</v>
      </c>
      <c r="U359" t="str">
        <f t="shared" si="16"/>
        <v>Delhi</v>
      </c>
      <c r="V359">
        <f t="shared" si="17"/>
        <v>0</v>
      </c>
    </row>
    <row r="360" spans="1:22" ht="15" customHeight="1" x14ac:dyDescent="0.35">
      <c r="A360" s="3" t="s">
        <v>690</v>
      </c>
      <c r="B360" s="4">
        <v>45447</v>
      </c>
      <c r="C360" s="3" t="s">
        <v>691</v>
      </c>
      <c r="D360" s="3" t="s">
        <v>198</v>
      </c>
      <c r="E360" s="3" t="s">
        <v>191</v>
      </c>
      <c r="F360" s="5">
        <v>9</v>
      </c>
      <c r="G360" s="5">
        <v>1540</v>
      </c>
      <c r="H360" s="5">
        <v>10.7</v>
      </c>
      <c r="I360" s="5">
        <v>12376.98</v>
      </c>
      <c r="J360" s="3" t="s">
        <v>26</v>
      </c>
      <c r="K360" s="3" t="s">
        <v>56</v>
      </c>
      <c r="L360" t="str">
        <f>IFERROR(VLOOKUP(D360,Products!$A$2:$F$61,3,FALSE()),"")</f>
        <v>Beauty</v>
      </c>
      <c r="M360" t="str">
        <f>IFERROR(VLOOKUP(E360,Sales_Reps!$A$2:$C$31,3,FALSE()),"")</f>
        <v>South</v>
      </c>
      <c r="N360">
        <f>IFERROR(VLOOKUP(D360,Products!$A$2:$F$61,4,FALSE()),"")</f>
        <v>647</v>
      </c>
      <c r="O360" t="str">
        <f>IFERROR(VLOOKUP(C360,Customers!$A$2:$F$301,5,FALSE()),"")</f>
        <v>Retail</v>
      </c>
      <c r="P360">
        <f>IFERROR(VLOOKUP(C360,Customers!$A$2:$F$301,3,FALSE()),"")</f>
        <v>32</v>
      </c>
      <c r="Q360">
        <f t="shared" si="15"/>
        <v>0.57987012987012987</v>
      </c>
      <c r="R360">
        <f>IF(AND(COUNTIF($A$2:$A$2027,A360)&gt;1,COUNTIF($A$2:A360,A360)=1),1,0)</f>
        <v>0</v>
      </c>
      <c r="S360" t="b">
        <f>IFERROR(VLOOKUP(D360,Products!$A$2:$F$61,6,FALSE()),"")</f>
        <v>0</v>
      </c>
      <c r="T360" t="str">
        <f>IF(COUNTIF(Customers!$A$2:$A$301,C360)=0,"Missing","OK")</f>
        <v>OK</v>
      </c>
      <c r="U360" t="str">
        <f t="shared" si="16"/>
        <v>Bengaluru</v>
      </c>
      <c r="V360">
        <f t="shared" si="17"/>
        <v>0</v>
      </c>
    </row>
    <row r="361" spans="1:22" ht="15" customHeight="1" x14ac:dyDescent="0.35">
      <c r="A361" s="3" t="s">
        <v>692</v>
      </c>
      <c r="B361" s="4">
        <v>45607</v>
      </c>
      <c r="C361" s="3" t="s">
        <v>147</v>
      </c>
      <c r="D361" s="3" t="s">
        <v>134</v>
      </c>
      <c r="E361" s="3" t="s">
        <v>97</v>
      </c>
      <c r="F361" s="5">
        <v>9</v>
      </c>
      <c r="G361" s="5">
        <v>2860</v>
      </c>
      <c r="H361" s="5">
        <v>12.9</v>
      </c>
      <c r="I361" s="5">
        <v>22419.54</v>
      </c>
      <c r="J361" s="3" t="s">
        <v>26</v>
      </c>
      <c r="K361" s="3" t="s">
        <v>72</v>
      </c>
      <c r="L361" t="str">
        <f>IFERROR(VLOOKUP(D361,Products!$A$2:$F$61,3,FALSE()),"")</f>
        <v>Sports</v>
      </c>
      <c r="M361" t="str">
        <f>IFERROR(VLOOKUP(E361,Sales_Reps!$A$2:$C$31,3,FALSE()),"")</f>
        <v>East</v>
      </c>
      <c r="N361">
        <f>IFERROR(VLOOKUP(D361,Products!$A$2:$F$61,4,FALSE()),"")</f>
        <v>2028</v>
      </c>
      <c r="O361" t="str">
        <f>IFERROR(VLOOKUP(C361,Customers!$A$2:$F$301,5,FALSE()),"")</f>
        <v>Retail</v>
      </c>
      <c r="P361">
        <f>IFERROR(VLOOKUP(C361,Customers!$A$2:$F$301,3,FALSE()),"")</f>
        <v>26</v>
      </c>
      <c r="Q361">
        <f t="shared" si="15"/>
        <v>0.29090909090909089</v>
      </c>
      <c r="R361">
        <f>IF(AND(COUNTIF($A$2:$A$2027,A361)&gt;1,COUNTIF($A$2:A361,A361)=1),1,0)</f>
        <v>0</v>
      </c>
      <c r="S361" t="b">
        <f>IFERROR(VLOOKUP(D361,Products!$A$2:$F$61,6,FALSE()),"")</f>
        <v>1</v>
      </c>
      <c r="T361" t="str">
        <f>IF(COUNTIF(Customers!$A$2:$A$301,C361)=0,"Missing","OK")</f>
        <v>OK</v>
      </c>
      <c r="U361" t="str">
        <f t="shared" si="16"/>
        <v>Hyderabad</v>
      </c>
      <c r="V361">
        <f t="shared" si="17"/>
        <v>0</v>
      </c>
    </row>
    <row r="362" spans="1:22" ht="15" customHeight="1" x14ac:dyDescent="0.35">
      <c r="A362" s="3" t="s">
        <v>693</v>
      </c>
      <c r="B362" s="4">
        <v>45379</v>
      </c>
      <c r="C362" s="3" t="s">
        <v>639</v>
      </c>
      <c r="D362" s="3" t="s">
        <v>277</v>
      </c>
      <c r="E362" s="3" t="s">
        <v>285</v>
      </c>
      <c r="F362" s="5">
        <v>5</v>
      </c>
      <c r="G362" s="5">
        <v>2210</v>
      </c>
      <c r="H362" s="5">
        <v>5.0999999999999996</v>
      </c>
      <c r="I362" s="5">
        <v>10486.45</v>
      </c>
      <c r="J362" s="3" t="s">
        <v>26</v>
      </c>
      <c r="K362" s="3" t="s">
        <v>33</v>
      </c>
      <c r="L362" t="str">
        <f>IFERROR(VLOOKUP(D362,Products!$A$2:$F$61,3,FALSE()),"")</f>
        <v>Grocery</v>
      </c>
      <c r="M362" t="str">
        <f>IFERROR(VLOOKUP(E362,Sales_Reps!$A$2:$C$31,3,FALSE()),"")</f>
        <v>South</v>
      </c>
      <c r="N362">
        <f>IFERROR(VLOOKUP(D362,Products!$A$2:$F$61,4,FALSE()),"")</f>
        <v>1010</v>
      </c>
      <c r="O362" t="str">
        <f>IFERROR(VLOOKUP(C362,Customers!$A$2:$F$301,5,FALSE()),"")</f>
        <v>SMB</v>
      </c>
      <c r="P362">
        <f>IFERROR(VLOOKUP(C362,Customers!$A$2:$F$301,3,FALSE()),"")</f>
        <v>46</v>
      </c>
      <c r="Q362">
        <f t="shared" si="15"/>
        <v>0.54298642533936647</v>
      </c>
      <c r="R362">
        <f>IF(AND(COUNTIF($A$2:$A$2027,A362)&gt;1,COUNTIF($A$2:A362,A362)=1),1,0)</f>
        <v>0</v>
      </c>
      <c r="S362" t="b">
        <f>IFERROR(VLOOKUP(D362,Products!$A$2:$F$61,6,FALSE()),"")</f>
        <v>1</v>
      </c>
      <c r="T362" t="str">
        <f>IF(COUNTIF(Customers!$A$2:$A$301,C362)=0,"Missing","OK")</f>
        <v>OK</v>
      </c>
      <c r="U362" t="str">
        <f t="shared" si="16"/>
        <v>Chennai</v>
      </c>
      <c r="V362">
        <f t="shared" si="17"/>
        <v>0</v>
      </c>
    </row>
    <row r="363" spans="1:22" ht="15" customHeight="1" x14ac:dyDescent="0.35">
      <c r="A363" s="3" t="s">
        <v>694</v>
      </c>
      <c r="B363" s="4">
        <v>45591</v>
      </c>
      <c r="C363" s="3" t="s">
        <v>317</v>
      </c>
      <c r="D363" s="3" t="s">
        <v>206</v>
      </c>
      <c r="E363" s="3" t="s">
        <v>168</v>
      </c>
      <c r="F363" s="5">
        <v>1</v>
      </c>
      <c r="G363" s="5">
        <v>1220</v>
      </c>
      <c r="H363" s="5">
        <v>16.100000000000001</v>
      </c>
      <c r="I363" s="5">
        <v>1023.58</v>
      </c>
      <c r="J363" s="3" t="s">
        <v>26</v>
      </c>
      <c r="K363" s="3" t="s">
        <v>33</v>
      </c>
      <c r="L363" t="str">
        <f>IFERROR(VLOOKUP(D363,Products!$A$2:$F$61,3,FALSE()),"")</f>
        <v>Electronics</v>
      </c>
      <c r="M363" t="str">
        <f>IFERROR(VLOOKUP(E363,Sales_Reps!$A$2:$C$31,3,FALSE()),"")</f>
        <v>West</v>
      </c>
      <c r="N363">
        <f>IFERROR(VLOOKUP(D363,Products!$A$2:$F$61,4,FALSE()),"")</f>
        <v>517</v>
      </c>
      <c r="O363" t="str">
        <f>IFERROR(VLOOKUP(C363,Customers!$A$2:$F$301,5,FALSE()),"")</f>
        <v>SMB</v>
      </c>
      <c r="P363">
        <f>IFERROR(VLOOKUP(C363,Customers!$A$2:$F$301,3,FALSE()),"")</f>
        <v>53</v>
      </c>
      <c r="Q363">
        <f t="shared" si="15"/>
        <v>0.57622950819672136</v>
      </c>
      <c r="R363">
        <f>IF(AND(COUNTIF($A$2:$A$2027,A363)&gt;1,COUNTIF($A$2:A363,A363)=1),1,0)</f>
        <v>0</v>
      </c>
      <c r="S363" t="b">
        <f>IFERROR(VLOOKUP(D363,Products!$A$2:$F$61,6,FALSE()),"")</f>
        <v>1</v>
      </c>
      <c r="T363" t="str">
        <f>IF(COUNTIF(Customers!$A$2:$A$301,C363)=0,"Missing","OK")</f>
        <v>OK</v>
      </c>
      <c r="U363" t="str">
        <f t="shared" si="16"/>
        <v>Chennai</v>
      </c>
      <c r="V363">
        <f t="shared" si="17"/>
        <v>0</v>
      </c>
    </row>
    <row r="364" spans="1:22" ht="15" customHeight="1" x14ac:dyDescent="0.35">
      <c r="A364" s="3" t="s">
        <v>695</v>
      </c>
      <c r="B364" s="4">
        <v>45561</v>
      </c>
      <c r="C364" s="3" t="s">
        <v>696</v>
      </c>
      <c r="D364" s="3" t="s">
        <v>126</v>
      </c>
      <c r="E364" s="3" t="s">
        <v>42</v>
      </c>
      <c r="F364" s="5">
        <v>2</v>
      </c>
      <c r="G364" s="5">
        <v>3570</v>
      </c>
      <c r="H364" s="5">
        <v>1.1000000000000001</v>
      </c>
      <c r="I364" s="5">
        <v>7061.46</v>
      </c>
      <c r="J364" s="3" t="s">
        <v>26</v>
      </c>
      <c r="K364" s="3" t="s">
        <v>56</v>
      </c>
      <c r="L364" t="str">
        <f>IFERROR(VLOOKUP(D364,Products!$A$2:$F$61,3,FALSE()),"")</f>
        <v>Electronics</v>
      </c>
      <c r="M364" t="str">
        <f>IFERROR(VLOOKUP(E364,Sales_Reps!$A$2:$C$31,3,FALSE()),"")</f>
        <v>North</v>
      </c>
      <c r="N364">
        <f>IFERROR(VLOOKUP(D364,Products!$A$2:$F$61,4,FALSE()),"")</f>
        <v>1665</v>
      </c>
      <c r="O364" t="str">
        <f>IFERROR(VLOOKUP(C364,Customers!$A$2:$F$301,5,FALSE()),"")</f>
        <v>Corporate</v>
      </c>
      <c r="P364">
        <f>IFERROR(VLOOKUP(C364,Customers!$A$2:$F$301,3,FALSE()),"")</f>
        <v>43</v>
      </c>
      <c r="Q364">
        <f t="shared" si="15"/>
        <v>0.53361344537815125</v>
      </c>
      <c r="R364">
        <f>IF(AND(COUNTIF($A$2:$A$2027,A364)&gt;1,COUNTIF($A$2:A364,A364)=1),1,0)</f>
        <v>0</v>
      </c>
      <c r="S364" t="b">
        <f>IFERROR(VLOOKUP(D364,Products!$A$2:$F$61,6,FALSE()),"")</f>
        <v>1</v>
      </c>
      <c r="T364" t="str">
        <f>IF(COUNTIF(Customers!$A$2:$A$301,C364)=0,"Missing","OK")</f>
        <v>OK</v>
      </c>
      <c r="U364" t="str">
        <f t="shared" si="16"/>
        <v>Bengaluru</v>
      </c>
      <c r="V364">
        <f t="shared" si="17"/>
        <v>0</v>
      </c>
    </row>
    <row r="365" spans="1:22" ht="15" customHeight="1" x14ac:dyDescent="0.35">
      <c r="A365" s="3" t="s">
        <v>697</v>
      </c>
      <c r="B365" s="4">
        <v>45308</v>
      </c>
      <c r="C365" s="3" t="s">
        <v>698</v>
      </c>
      <c r="D365" s="3" t="s">
        <v>391</v>
      </c>
      <c r="E365" s="3" t="s">
        <v>285</v>
      </c>
      <c r="F365" s="5">
        <v>10</v>
      </c>
      <c r="G365" s="5">
        <v>3450</v>
      </c>
      <c r="H365" s="5">
        <v>12.6</v>
      </c>
      <c r="I365" s="5">
        <v>30153</v>
      </c>
      <c r="J365" s="3" t="s">
        <v>26</v>
      </c>
      <c r="K365" s="3" t="s">
        <v>56</v>
      </c>
      <c r="L365" t="str">
        <f>IFERROR(VLOOKUP(D365,Products!$A$2:$F$61,3,FALSE()),"")</f>
        <v>Apparel</v>
      </c>
      <c r="M365" t="str">
        <f>IFERROR(VLOOKUP(E365,Sales_Reps!$A$2:$C$31,3,FALSE()),"")</f>
        <v>South</v>
      </c>
      <c r="N365">
        <f>IFERROR(VLOOKUP(D365,Products!$A$2:$F$61,4,FALSE()),"")</f>
        <v>1748</v>
      </c>
      <c r="O365" t="str">
        <f>IFERROR(VLOOKUP(C365,Customers!$A$2:$F$301,5,FALSE()),"")</f>
        <v>Retail</v>
      </c>
      <c r="P365">
        <f>IFERROR(VLOOKUP(C365,Customers!$A$2:$F$301,3,FALSE()),"")</f>
        <v>29</v>
      </c>
      <c r="Q365">
        <f t="shared" si="15"/>
        <v>0.49333333333333335</v>
      </c>
      <c r="R365">
        <f>IF(AND(COUNTIF($A$2:$A$2027,A365)&gt;1,COUNTIF($A$2:A365,A365)=1),1,0)</f>
        <v>0</v>
      </c>
      <c r="S365" t="b">
        <f>IFERROR(VLOOKUP(D365,Products!$A$2:$F$61,6,FALSE()),"")</f>
        <v>1</v>
      </c>
      <c r="T365" t="str">
        <f>IF(COUNTIF(Customers!$A$2:$A$301,C365)=0,"Missing","OK")</f>
        <v>OK</v>
      </c>
      <c r="U365" t="str">
        <f t="shared" si="16"/>
        <v>Bengaluru</v>
      </c>
      <c r="V365">
        <f t="shared" si="17"/>
        <v>0</v>
      </c>
    </row>
    <row r="366" spans="1:22" ht="15" customHeight="1" x14ac:dyDescent="0.35">
      <c r="A366" s="3" t="s">
        <v>699</v>
      </c>
      <c r="B366" s="4">
        <v>45563</v>
      </c>
      <c r="C366" s="3" t="s">
        <v>677</v>
      </c>
      <c r="D366" s="3" t="s">
        <v>277</v>
      </c>
      <c r="E366" s="3" t="s">
        <v>97</v>
      </c>
      <c r="F366" s="5">
        <v>4</v>
      </c>
      <c r="G366" s="5">
        <v>2210</v>
      </c>
      <c r="H366" s="5">
        <v>5.4</v>
      </c>
      <c r="I366" s="5">
        <v>8362.64</v>
      </c>
      <c r="J366" s="3" t="s">
        <v>26</v>
      </c>
      <c r="K366" s="3" t="s">
        <v>27</v>
      </c>
      <c r="L366" t="str">
        <f>IFERROR(VLOOKUP(D366,Products!$A$2:$F$61,3,FALSE()),"")</f>
        <v>Grocery</v>
      </c>
      <c r="M366" t="str">
        <f>IFERROR(VLOOKUP(E366,Sales_Reps!$A$2:$C$31,3,FALSE()),"")</f>
        <v>East</v>
      </c>
      <c r="N366">
        <f>IFERROR(VLOOKUP(D366,Products!$A$2:$F$61,4,FALSE()),"")</f>
        <v>1010</v>
      </c>
      <c r="O366" t="str">
        <f>IFERROR(VLOOKUP(C366,Customers!$A$2:$F$301,5,FALSE()),"")</f>
        <v>Retail</v>
      </c>
      <c r="P366">
        <f>IFERROR(VLOOKUP(C366,Customers!$A$2:$F$301,3,FALSE()),"")</f>
        <v>36</v>
      </c>
      <c r="Q366">
        <f t="shared" si="15"/>
        <v>0.54298642533936647</v>
      </c>
      <c r="R366">
        <f>IF(AND(COUNTIF($A$2:$A$2027,A366)&gt;1,COUNTIF($A$2:A366,A366)=1),1,0)</f>
        <v>0</v>
      </c>
      <c r="S366" t="b">
        <f>IFERROR(VLOOKUP(D366,Products!$A$2:$F$61,6,FALSE()),"")</f>
        <v>1</v>
      </c>
      <c r="T366" t="str">
        <f>IF(COUNTIF(Customers!$A$2:$A$301,C366)=0,"Missing","OK")</f>
        <v>OK</v>
      </c>
      <c r="U366" t="str">
        <f t="shared" si="16"/>
        <v>Pune</v>
      </c>
      <c r="V366">
        <f t="shared" si="17"/>
        <v>0</v>
      </c>
    </row>
    <row r="367" spans="1:22" ht="15" customHeight="1" x14ac:dyDescent="0.35">
      <c r="A367" s="3" t="s">
        <v>700</v>
      </c>
      <c r="B367" s="4">
        <v>45476</v>
      </c>
      <c r="C367" s="3" t="s">
        <v>701</v>
      </c>
      <c r="D367" s="3" t="s">
        <v>441</v>
      </c>
      <c r="E367" s="3" t="s">
        <v>37</v>
      </c>
      <c r="F367" s="5">
        <v>6</v>
      </c>
      <c r="G367" s="5">
        <v>1090</v>
      </c>
      <c r="H367" s="5">
        <v>2.9</v>
      </c>
      <c r="I367" s="5">
        <v>6350.34</v>
      </c>
      <c r="J367" s="3" t="s">
        <v>79</v>
      </c>
      <c r="K367" s="3" t="s">
        <v>72</v>
      </c>
      <c r="L367" t="str">
        <f>IFERROR(VLOOKUP(D367,Products!$A$2:$F$61,3,FALSE()),"")</f>
        <v>Home</v>
      </c>
      <c r="M367" t="str">
        <f>IFERROR(VLOOKUP(E367,Sales_Reps!$A$2:$C$31,3,FALSE()),"")</f>
        <v>South</v>
      </c>
      <c r="N367">
        <f>IFERROR(VLOOKUP(D367,Products!$A$2:$F$61,4,FALSE()),"")</f>
        <v>464</v>
      </c>
      <c r="O367" t="str">
        <f>IFERROR(VLOOKUP(C367,Customers!$A$2:$F$301,5,FALSE()),"")</f>
        <v>Retail</v>
      </c>
      <c r="P367">
        <f>IFERROR(VLOOKUP(C367,Customers!$A$2:$F$301,3,FALSE()),"")</f>
        <v>52</v>
      </c>
      <c r="Q367">
        <f t="shared" si="15"/>
        <v>0.57431192660550456</v>
      </c>
      <c r="R367">
        <f>IF(AND(COUNTIF($A$2:$A$2027,A367)&gt;1,COUNTIF($A$2:A367,A367)=1),1,0)</f>
        <v>0</v>
      </c>
      <c r="S367" t="b">
        <f>IFERROR(VLOOKUP(D367,Products!$A$2:$F$61,6,FALSE()),"")</f>
        <v>1</v>
      </c>
      <c r="T367" t="str">
        <f>IF(COUNTIF(Customers!$A$2:$A$301,C367)=0,"Missing","OK")</f>
        <v>OK</v>
      </c>
      <c r="U367" t="str">
        <f t="shared" si="16"/>
        <v>Hyderabad</v>
      </c>
      <c r="V367">
        <f t="shared" si="17"/>
        <v>0</v>
      </c>
    </row>
    <row r="368" spans="1:22" ht="15" customHeight="1" x14ac:dyDescent="0.35">
      <c r="A368" s="3" t="s">
        <v>702</v>
      </c>
      <c r="B368" s="4">
        <v>45364</v>
      </c>
      <c r="C368" s="3" t="s">
        <v>703</v>
      </c>
      <c r="D368" s="3" t="s">
        <v>198</v>
      </c>
      <c r="E368" s="3" t="s">
        <v>177</v>
      </c>
      <c r="F368" s="5">
        <v>8</v>
      </c>
      <c r="G368" s="5">
        <v>1540</v>
      </c>
      <c r="H368" s="5">
        <v>17.899999999999999</v>
      </c>
      <c r="I368" s="5">
        <v>10114.719999999999</v>
      </c>
      <c r="J368" s="3" t="s">
        <v>32</v>
      </c>
      <c r="K368" s="3" t="s">
        <v>33</v>
      </c>
      <c r="L368" t="str">
        <f>IFERROR(VLOOKUP(D368,Products!$A$2:$F$61,3,FALSE()),"")</f>
        <v>Beauty</v>
      </c>
      <c r="M368" t="str">
        <f>IFERROR(VLOOKUP(E368,Sales_Reps!$A$2:$C$31,3,FALSE()),"")</f>
        <v>East</v>
      </c>
      <c r="N368">
        <f>IFERROR(VLOOKUP(D368,Products!$A$2:$F$61,4,FALSE()),"")</f>
        <v>647</v>
      </c>
      <c r="O368" t="str">
        <f>IFERROR(VLOOKUP(C368,Customers!$A$2:$F$301,5,FALSE()),"")</f>
        <v>SMB</v>
      </c>
      <c r="P368">
        <f>IFERROR(VLOOKUP(C368,Customers!$A$2:$F$301,3,FALSE()),"")</f>
        <v>26</v>
      </c>
      <c r="Q368">
        <f t="shared" si="15"/>
        <v>0.57987012987012987</v>
      </c>
      <c r="R368">
        <f>IF(AND(COUNTIF($A$2:$A$2027,A368)&gt;1,COUNTIF($A$2:A368,A368)=1),1,0)</f>
        <v>0</v>
      </c>
      <c r="S368" t="b">
        <f>IFERROR(VLOOKUP(D368,Products!$A$2:$F$61,6,FALSE()),"")</f>
        <v>0</v>
      </c>
      <c r="T368" t="str">
        <f>IF(COUNTIF(Customers!$A$2:$A$301,C368)=0,"Missing","OK")</f>
        <v>OK</v>
      </c>
      <c r="U368" t="str">
        <f t="shared" si="16"/>
        <v>Chennai</v>
      </c>
      <c r="V368">
        <f t="shared" si="17"/>
        <v>0</v>
      </c>
    </row>
    <row r="369" spans="1:22" ht="15" customHeight="1" x14ac:dyDescent="0.35">
      <c r="A369" s="3" t="s">
        <v>704</v>
      </c>
      <c r="B369" s="4">
        <v>45371</v>
      </c>
      <c r="C369" s="3" t="s">
        <v>424</v>
      </c>
      <c r="D369" s="3" t="s">
        <v>77</v>
      </c>
      <c r="E369" s="3" t="s">
        <v>67</v>
      </c>
      <c r="F369" s="5">
        <v>9</v>
      </c>
      <c r="G369" s="5">
        <v>2600</v>
      </c>
      <c r="H369" s="5">
        <v>4.0999999999999996</v>
      </c>
      <c r="I369" s="5">
        <v>22440.6</v>
      </c>
      <c r="J369" s="3" t="s">
        <v>26</v>
      </c>
      <c r="K369" s="3" t="s">
        <v>27</v>
      </c>
      <c r="L369" t="str">
        <f>IFERROR(VLOOKUP(D369,Products!$A$2:$F$61,3,FALSE()),"")</f>
        <v>Electronics</v>
      </c>
      <c r="M369" t="str">
        <f>IFERROR(VLOOKUP(E369,Sales_Reps!$A$2:$C$31,3,FALSE()),"")</f>
        <v>West</v>
      </c>
      <c r="N369">
        <f>IFERROR(VLOOKUP(D369,Products!$A$2:$F$61,4,FALSE()),"")</f>
        <v>1052</v>
      </c>
      <c r="O369" t="str">
        <f>IFERROR(VLOOKUP(C369,Customers!$A$2:$F$301,5,FALSE()),"")</f>
        <v>Retail</v>
      </c>
      <c r="P369">
        <f>IFERROR(VLOOKUP(C369,Customers!$A$2:$F$301,3,FALSE()),"")</f>
        <v>49</v>
      </c>
      <c r="Q369">
        <f t="shared" si="15"/>
        <v>0.5953846153846154</v>
      </c>
      <c r="R369">
        <f>IF(AND(COUNTIF($A$2:$A$2027,A369)&gt;1,COUNTIF($A$2:A369,A369)=1),1,0)</f>
        <v>0</v>
      </c>
      <c r="S369" t="b">
        <f>IFERROR(VLOOKUP(D369,Products!$A$2:$F$61,6,FALSE()),"")</f>
        <v>1</v>
      </c>
      <c r="T369" t="str">
        <f>IF(COUNTIF(Customers!$A$2:$A$301,C369)=0,"Missing","OK")</f>
        <v>OK</v>
      </c>
      <c r="U369" t="str">
        <f t="shared" si="16"/>
        <v>Pune</v>
      </c>
      <c r="V369">
        <f t="shared" si="17"/>
        <v>0</v>
      </c>
    </row>
    <row r="370" spans="1:22" ht="15" customHeight="1" x14ac:dyDescent="0.35">
      <c r="A370" s="3" t="s">
        <v>705</v>
      </c>
      <c r="B370" s="4">
        <v>45623</v>
      </c>
      <c r="C370" s="3" t="s">
        <v>619</v>
      </c>
      <c r="D370" s="3" t="s">
        <v>86</v>
      </c>
      <c r="E370" s="3" t="s">
        <v>25</v>
      </c>
      <c r="F370" s="5">
        <v>2</v>
      </c>
      <c r="G370" s="5">
        <v>190</v>
      </c>
      <c r="H370" s="5">
        <v>4.8</v>
      </c>
      <c r="I370" s="5">
        <v>361.76</v>
      </c>
      <c r="J370" s="3" t="s">
        <v>26</v>
      </c>
      <c r="K370" s="3" t="s">
        <v>33</v>
      </c>
      <c r="L370" t="str">
        <f>IFERROR(VLOOKUP(D370,Products!$A$2:$F$61,3,FALSE()),"")</f>
        <v>Sports</v>
      </c>
      <c r="M370" t="str">
        <f>IFERROR(VLOOKUP(E370,Sales_Reps!$A$2:$C$31,3,FALSE()),"")</f>
        <v>North</v>
      </c>
      <c r="N370">
        <f>IFERROR(VLOOKUP(D370,Products!$A$2:$F$61,4,FALSE()),"")</f>
        <v>147</v>
      </c>
      <c r="O370" t="str">
        <f>IFERROR(VLOOKUP(C370,Customers!$A$2:$F$301,5,FALSE()),"")</f>
        <v>Retail</v>
      </c>
      <c r="P370">
        <f>IFERROR(VLOOKUP(C370,Customers!$A$2:$F$301,3,FALSE()),"")</f>
        <v>26</v>
      </c>
      <c r="Q370">
        <f t="shared" si="15"/>
        <v>0.22631578947368422</v>
      </c>
      <c r="R370">
        <f>IF(AND(COUNTIF($A$2:$A$2027,A370)&gt;1,COUNTIF($A$2:A370,A370)=1),1,0)</f>
        <v>0</v>
      </c>
      <c r="S370" t="b">
        <f>IFERROR(VLOOKUP(D370,Products!$A$2:$F$61,6,FALSE()),"")</f>
        <v>1</v>
      </c>
      <c r="T370" t="str">
        <f>IF(COUNTIF(Customers!$A$2:$A$301,C370)=0,"Missing","OK")</f>
        <v>OK</v>
      </c>
      <c r="U370" t="str">
        <f t="shared" si="16"/>
        <v>Chennai</v>
      </c>
      <c r="V370">
        <f t="shared" si="17"/>
        <v>0</v>
      </c>
    </row>
    <row r="371" spans="1:22" ht="15" customHeight="1" x14ac:dyDescent="0.35">
      <c r="A371" s="3" t="s">
        <v>706</v>
      </c>
      <c r="B371" s="4">
        <v>45441</v>
      </c>
      <c r="C371" s="3" t="s">
        <v>707</v>
      </c>
      <c r="D371" s="3" t="s">
        <v>106</v>
      </c>
      <c r="E371" s="3" t="s">
        <v>37</v>
      </c>
      <c r="F371" s="5">
        <v>9</v>
      </c>
      <c r="G371" s="5">
        <v>2480</v>
      </c>
      <c r="H371" s="5">
        <v>28.3</v>
      </c>
      <c r="I371" s="5">
        <v>16003.44</v>
      </c>
      <c r="J371" s="3" t="s">
        <v>26</v>
      </c>
      <c r="K371" s="3" t="s">
        <v>27</v>
      </c>
      <c r="L371" t="str">
        <f>IFERROR(VLOOKUP(D371,Products!$A$2:$F$61,3,FALSE()),"")</f>
        <v>Apparel</v>
      </c>
      <c r="M371" t="str">
        <f>IFERROR(VLOOKUP(E371,Sales_Reps!$A$2:$C$31,3,FALSE()),"")</f>
        <v>South</v>
      </c>
      <c r="N371">
        <f>IFERROR(VLOOKUP(D371,Products!$A$2:$F$61,4,FALSE()),"")</f>
        <v>1173</v>
      </c>
      <c r="O371" t="str">
        <f>IFERROR(VLOOKUP(C371,Customers!$A$2:$F$301,5,FALSE()),"")</f>
        <v>Corporate</v>
      </c>
      <c r="P371">
        <f>IFERROR(VLOOKUP(C371,Customers!$A$2:$F$301,3,FALSE()),"")</f>
        <v>42</v>
      </c>
      <c r="Q371">
        <f t="shared" si="15"/>
        <v>0.52701612903225803</v>
      </c>
      <c r="R371">
        <f>IF(AND(COUNTIF($A$2:$A$2027,A371)&gt;1,COUNTIF($A$2:A371,A371)=1),1,0)</f>
        <v>0</v>
      </c>
      <c r="S371" t="b">
        <f>IFERROR(VLOOKUP(D371,Products!$A$2:$F$61,6,FALSE()),"")</f>
        <v>1</v>
      </c>
      <c r="T371" t="str">
        <f>IF(COUNTIF(Customers!$A$2:$A$301,C371)=0,"Missing","OK")</f>
        <v>OK</v>
      </c>
      <c r="U371" t="str">
        <f t="shared" si="16"/>
        <v>Pune</v>
      </c>
      <c r="V371">
        <f t="shared" si="17"/>
        <v>0</v>
      </c>
    </row>
    <row r="372" spans="1:22" ht="15" customHeight="1" x14ac:dyDescent="0.35">
      <c r="A372" s="3" t="s">
        <v>708</v>
      </c>
      <c r="B372" s="4">
        <v>45442</v>
      </c>
      <c r="C372" s="3" t="s">
        <v>709</v>
      </c>
      <c r="D372" s="3" t="s">
        <v>325</v>
      </c>
      <c r="E372" s="3" t="s">
        <v>42</v>
      </c>
      <c r="F372" s="5">
        <v>7</v>
      </c>
      <c r="G372" s="5">
        <v>2290</v>
      </c>
      <c r="H372" s="5">
        <v>25</v>
      </c>
      <c r="I372" s="5">
        <v>12022.5</v>
      </c>
      <c r="J372" s="3" t="s">
        <v>79</v>
      </c>
      <c r="K372" s="3" t="s">
        <v>27</v>
      </c>
      <c r="L372" t="str">
        <f>IFERROR(VLOOKUP(D372,Products!$A$2:$F$61,3,FALSE()),"")</f>
        <v>Beauty</v>
      </c>
      <c r="M372" t="str">
        <f>IFERROR(VLOOKUP(E372,Sales_Reps!$A$2:$C$31,3,FALSE()),"")</f>
        <v>North</v>
      </c>
      <c r="N372">
        <f>IFERROR(VLOOKUP(D372,Products!$A$2:$F$61,4,FALSE()),"")</f>
        <v>1219</v>
      </c>
      <c r="O372" t="str">
        <f>IFERROR(VLOOKUP(C372,Customers!$A$2:$F$301,5,FALSE()),"")</f>
        <v>Retail</v>
      </c>
      <c r="P372">
        <f>IFERROR(VLOOKUP(C372,Customers!$A$2:$F$301,3,FALSE()),"")</f>
        <v>35</v>
      </c>
      <c r="Q372">
        <f t="shared" si="15"/>
        <v>0.46768558951965067</v>
      </c>
      <c r="R372">
        <f>IF(AND(COUNTIF($A$2:$A$2027,A372)&gt;1,COUNTIF($A$2:A372,A372)=1),1,0)</f>
        <v>0</v>
      </c>
      <c r="S372" t="b">
        <f>IFERROR(VLOOKUP(D372,Products!$A$2:$F$61,6,FALSE()),"")</f>
        <v>1</v>
      </c>
      <c r="T372" t="str">
        <f>IF(COUNTIF(Customers!$A$2:$A$301,C372)=0,"Missing","OK")</f>
        <v>OK</v>
      </c>
      <c r="U372" t="str">
        <f t="shared" si="16"/>
        <v>Pune</v>
      </c>
      <c r="V372">
        <f t="shared" si="17"/>
        <v>0</v>
      </c>
    </row>
    <row r="373" spans="1:22" ht="15" customHeight="1" x14ac:dyDescent="0.35">
      <c r="A373" s="3" t="s">
        <v>710</v>
      </c>
      <c r="B373" s="4">
        <v>45567</v>
      </c>
      <c r="C373" s="3" t="s">
        <v>175</v>
      </c>
      <c r="D373" s="3" t="s">
        <v>198</v>
      </c>
      <c r="E373" s="3" t="s">
        <v>127</v>
      </c>
      <c r="F373" s="5">
        <v>9</v>
      </c>
      <c r="G373" s="5">
        <v>1540</v>
      </c>
      <c r="H373" s="5">
        <v>23.3</v>
      </c>
      <c r="I373" s="5">
        <v>10630.62</v>
      </c>
      <c r="J373" s="3" t="s">
        <v>26</v>
      </c>
      <c r="K373" s="3" t="s">
        <v>72</v>
      </c>
      <c r="L373" t="str">
        <f>IFERROR(VLOOKUP(D373,Products!$A$2:$F$61,3,FALSE()),"")</f>
        <v>Beauty</v>
      </c>
      <c r="M373" t="str">
        <f>IFERROR(VLOOKUP(E373,Sales_Reps!$A$2:$C$31,3,FALSE()),"")</f>
        <v>South</v>
      </c>
      <c r="N373">
        <f>IFERROR(VLOOKUP(D373,Products!$A$2:$F$61,4,FALSE()),"")</f>
        <v>647</v>
      </c>
      <c r="O373" t="str">
        <f>IFERROR(VLOOKUP(C373,Customers!$A$2:$F$301,5,FALSE()),"")</f>
        <v>Retail</v>
      </c>
      <c r="P373">
        <f>IFERROR(VLOOKUP(C373,Customers!$A$2:$F$301,3,FALSE()),"")</f>
        <v>64</v>
      </c>
      <c r="Q373">
        <f t="shared" si="15"/>
        <v>0.57987012987012987</v>
      </c>
      <c r="R373">
        <f>IF(AND(COUNTIF($A$2:$A$2027,A373)&gt;1,COUNTIF($A$2:A373,A373)=1),1,0)</f>
        <v>1</v>
      </c>
      <c r="S373" t="b">
        <f>IFERROR(VLOOKUP(D373,Products!$A$2:$F$61,6,FALSE()),"")</f>
        <v>0</v>
      </c>
      <c r="T373" t="str">
        <f>IF(COUNTIF(Customers!$A$2:$A$301,C373)=0,"Missing","OK")</f>
        <v>OK</v>
      </c>
      <c r="U373" t="str">
        <f t="shared" si="16"/>
        <v>Hyderabad</v>
      </c>
      <c r="V373">
        <f t="shared" si="17"/>
        <v>0</v>
      </c>
    </row>
    <row r="374" spans="1:22" ht="15" customHeight="1" x14ac:dyDescent="0.35">
      <c r="A374" s="3" t="s">
        <v>711</v>
      </c>
      <c r="B374" s="4">
        <v>45653</v>
      </c>
      <c r="C374" s="3" t="s">
        <v>298</v>
      </c>
      <c r="D374" s="3" t="s">
        <v>382</v>
      </c>
      <c r="E374" s="3" t="s">
        <v>50</v>
      </c>
      <c r="F374" s="5">
        <v>2</v>
      </c>
      <c r="G374" s="5">
        <v>5080</v>
      </c>
      <c r="H374" s="5">
        <v>2.5</v>
      </c>
      <c r="I374" s="5">
        <v>9906</v>
      </c>
      <c r="J374" s="3" t="s">
        <v>79</v>
      </c>
      <c r="K374" s="3" t="s">
        <v>38</v>
      </c>
      <c r="L374" t="str">
        <f>IFERROR(VLOOKUP(D374,Products!$A$2:$F$61,3,FALSE()),"")</f>
        <v>Home</v>
      </c>
      <c r="M374" t="str">
        <f>IFERROR(VLOOKUP(E374,Sales_Reps!$A$2:$C$31,3,FALSE()),"")</f>
        <v>West</v>
      </c>
      <c r="N374">
        <f>IFERROR(VLOOKUP(D374,Products!$A$2:$F$61,4,FALSE()),"")</f>
        <v>2459</v>
      </c>
      <c r="O374" t="str">
        <f>IFERROR(VLOOKUP(C374,Customers!$A$2:$F$301,5,FALSE()),"")</f>
        <v>SMB</v>
      </c>
      <c r="P374">
        <f>IFERROR(VLOOKUP(C374,Customers!$A$2:$F$301,3,FALSE()),"")</f>
        <v>28</v>
      </c>
      <c r="Q374">
        <f t="shared" si="15"/>
        <v>0.51594488188976373</v>
      </c>
      <c r="R374">
        <f>IF(AND(COUNTIF($A$2:$A$2027,A374)&gt;1,COUNTIF($A$2:A374,A374)=1),1,0)</f>
        <v>0</v>
      </c>
      <c r="S374" t="b">
        <f>IFERROR(VLOOKUP(D374,Products!$A$2:$F$61,6,FALSE()),"")</f>
        <v>1</v>
      </c>
      <c r="T374" t="str">
        <f>IF(COUNTIF(Customers!$A$2:$A$301,C374)=0,"Missing","OK")</f>
        <v>OK</v>
      </c>
      <c r="U374" t="str">
        <f t="shared" si="16"/>
        <v>Delhi</v>
      </c>
      <c r="V374">
        <f t="shared" si="17"/>
        <v>0</v>
      </c>
    </row>
    <row r="375" spans="1:22" ht="15" customHeight="1" x14ac:dyDescent="0.35">
      <c r="A375" s="3" t="s">
        <v>712</v>
      </c>
      <c r="B375" s="4">
        <v>45331</v>
      </c>
      <c r="C375" s="3" t="s">
        <v>432</v>
      </c>
      <c r="D375" s="3" t="s">
        <v>294</v>
      </c>
      <c r="E375" s="3" t="s">
        <v>285</v>
      </c>
      <c r="F375" s="5">
        <v>4</v>
      </c>
      <c r="G375" s="5">
        <v>2510</v>
      </c>
      <c r="H375" s="5">
        <v>23.6</v>
      </c>
      <c r="I375" s="5">
        <v>7670.56</v>
      </c>
      <c r="J375" s="3" t="s">
        <v>26</v>
      </c>
      <c r="K375" s="3" t="s">
        <v>27</v>
      </c>
      <c r="L375" t="str">
        <f>IFERROR(VLOOKUP(D375,Products!$A$2:$F$61,3,FALSE()),"")</f>
        <v>Apparel</v>
      </c>
      <c r="M375" t="str">
        <f>IFERROR(VLOOKUP(E375,Sales_Reps!$A$2:$C$31,3,FALSE()),"")</f>
        <v>South</v>
      </c>
      <c r="N375">
        <f>IFERROR(VLOOKUP(D375,Products!$A$2:$F$61,4,FALSE()),"")</f>
        <v>1075</v>
      </c>
      <c r="O375" t="str">
        <f>IFERROR(VLOOKUP(C375,Customers!$A$2:$F$301,5,FALSE()),"")</f>
        <v>Retail</v>
      </c>
      <c r="P375">
        <f>IFERROR(VLOOKUP(C375,Customers!$A$2:$F$301,3,FALSE()),"")</f>
        <v>57</v>
      </c>
      <c r="Q375">
        <f t="shared" si="15"/>
        <v>0.57171314741035861</v>
      </c>
      <c r="R375">
        <f>IF(AND(COUNTIF($A$2:$A$2027,A375)&gt;1,COUNTIF($A$2:A375,A375)=1),1,0)</f>
        <v>0</v>
      </c>
      <c r="S375" t="b">
        <f>IFERROR(VLOOKUP(D375,Products!$A$2:$F$61,6,FALSE()),"")</f>
        <v>0</v>
      </c>
      <c r="T375" t="str">
        <f>IF(COUNTIF(Customers!$A$2:$A$301,C375)=0,"Missing","OK")</f>
        <v>OK</v>
      </c>
      <c r="U375" t="str">
        <f t="shared" si="16"/>
        <v>Pune</v>
      </c>
      <c r="V375">
        <f t="shared" si="17"/>
        <v>0</v>
      </c>
    </row>
    <row r="376" spans="1:22" ht="15" customHeight="1" x14ac:dyDescent="0.35">
      <c r="A376" s="3" t="s">
        <v>713</v>
      </c>
      <c r="B376" s="4">
        <v>45332</v>
      </c>
      <c r="C376" s="3" t="s">
        <v>298</v>
      </c>
      <c r="D376" s="3" t="s">
        <v>325</v>
      </c>
      <c r="E376" s="3" t="s">
        <v>212</v>
      </c>
      <c r="F376" s="5">
        <v>5</v>
      </c>
      <c r="G376" s="5">
        <v>2290</v>
      </c>
      <c r="H376" s="5">
        <v>17</v>
      </c>
      <c r="I376" s="5">
        <v>9503.5</v>
      </c>
      <c r="J376" s="3" t="s">
        <v>26</v>
      </c>
      <c r="K376" s="3" t="s">
        <v>38</v>
      </c>
      <c r="L376" t="str">
        <f>IFERROR(VLOOKUP(D376,Products!$A$2:$F$61,3,FALSE()),"")</f>
        <v>Beauty</v>
      </c>
      <c r="M376" t="str">
        <f>IFERROR(VLOOKUP(E376,Sales_Reps!$A$2:$C$31,3,FALSE()),"")</f>
        <v>South</v>
      </c>
      <c r="N376">
        <f>IFERROR(VLOOKUP(D376,Products!$A$2:$F$61,4,FALSE()),"")</f>
        <v>1219</v>
      </c>
      <c r="O376" t="str">
        <f>IFERROR(VLOOKUP(C376,Customers!$A$2:$F$301,5,FALSE()),"")</f>
        <v>SMB</v>
      </c>
      <c r="P376">
        <f>IFERROR(VLOOKUP(C376,Customers!$A$2:$F$301,3,FALSE()),"")</f>
        <v>28</v>
      </c>
      <c r="Q376">
        <f t="shared" si="15"/>
        <v>0.46768558951965067</v>
      </c>
      <c r="R376">
        <f>IF(AND(COUNTIF($A$2:$A$2027,A376)&gt;1,COUNTIF($A$2:A376,A376)=1),1,0)</f>
        <v>0</v>
      </c>
      <c r="S376" t="b">
        <f>IFERROR(VLOOKUP(D376,Products!$A$2:$F$61,6,FALSE()),"")</f>
        <v>1</v>
      </c>
      <c r="T376" t="str">
        <f>IF(COUNTIF(Customers!$A$2:$A$301,C376)=0,"Missing","OK")</f>
        <v>OK</v>
      </c>
      <c r="U376" t="str">
        <f t="shared" si="16"/>
        <v>Delhi</v>
      </c>
      <c r="V376">
        <f t="shared" si="17"/>
        <v>0</v>
      </c>
    </row>
    <row r="377" spans="1:22" ht="15" customHeight="1" x14ac:dyDescent="0.35">
      <c r="A377" s="3" t="s">
        <v>714</v>
      </c>
      <c r="B377" s="4">
        <v>45340</v>
      </c>
      <c r="C377" s="3" t="s">
        <v>267</v>
      </c>
      <c r="D377" s="3" t="s">
        <v>36</v>
      </c>
      <c r="E377" s="3" t="s">
        <v>42</v>
      </c>
      <c r="F377" s="5">
        <v>8</v>
      </c>
      <c r="G377" s="5">
        <v>470</v>
      </c>
      <c r="H377" s="5">
        <v>9.3000000000000007</v>
      </c>
      <c r="I377" s="5">
        <v>3410.32</v>
      </c>
      <c r="J377" s="3" t="s">
        <v>26</v>
      </c>
      <c r="K377" s="3" t="s">
        <v>33</v>
      </c>
      <c r="L377" t="str">
        <f>IFERROR(VLOOKUP(D377,Products!$A$2:$F$61,3,FALSE()),"")</f>
        <v>Sports</v>
      </c>
      <c r="M377" t="str">
        <f>IFERROR(VLOOKUP(E377,Sales_Reps!$A$2:$C$31,3,FALSE()),"")</f>
        <v>North</v>
      </c>
      <c r="N377">
        <f>IFERROR(VLOOKUP(D377,Products!$A$2:$F$61,4,FALSE()),"")</f>
        <v>302</v>
      </c>
      <c r="O377" t="str">
        <f>IFERROR(VLOOKUP(C377,Customers!$A$2:$F$301,5,FALSE()),"")</f>
        <v>Retail</v>
      </c>
      <c r="P377">
        <f>IFERROR(VLOOKUP(C377,Customers!$A$2:$F$301,3,FALSE()),"")</f>
        <v>28</v>
      </c>
      <c r="Q377">
        <f t="shared" si="15"/>
        <v>0.35744680851063831</v>
      </c>
      <c r="R377">
        <f>IF(AND(COUNTIF($A$2:$A$2027,A377)&gt;1,COUNTIF($A$2:A377,A377)=1),1,0)</f>
        <v>0</v>
      </c>
      <c r="S377" t="b">
        <f>IFERROR(VLOOKUP(D377,Products!$A$2:$F$61,6,FALSE()),"")</f>
        <v>0</v>
      </c>
      <c r="T377" t="str">
        <f>IF(COUNTIF(Customers!$A$2:$A$301,C377)=0,"Missing","OK")</f>
        <v>OK</v>
      </c>
      <c r="U377" t="str">
        <f t="shared" si="16"/>
        <v>Chennai</v>
      </c>
      <c r="V377">
        <f t="shared" si="17"/>
        <v>0</v>
      </c>
    </row>
    <row r="378" spans="1:22" ht="15" customHeight="1" x14ac:dyDescent="0.35">
      <c r="A378" s="3" t="s">
        <v>715</v>
      </c>
      <c r="B378" s="4">
        <v>45564</v>
      </c>
      <c r="C378" s="3" t="s">
        <v>259</v>
      </c>
      <c r="D378" s="3" t="s">
        <v>130</v>
      </c>
      <c r="E378" s="3" t="s">
        <v>143</v>
      </c>
      <c r="F378" s="5">
        <v>8</v>
      </c>
      <c r="G378" s="5">
        <v>5100</v>
      </c>
      <c r="H378" s="5">
        <v>4.5999999999999996</v>
      </c>
      <c r="I378" s="5">
        <v>38923.199999999997</v>
      </c>
      <c r="J378" s="3" t="s">
        <v>26</v>
      </c>
      <c r="K378" s="3" t="s">
        <v>72</v>
      </c>
      <c r="L378" t="str">
        <f>IFERROR(VLOOKUP(D378,Products!$A$2:$F$61,3,FALSE()),"")</f>
        <v>Beauty</v>
      </c>
      <c r="M378" t="str">
        <f>IFERROR(VLOOKUP(E378,Sales_Reps!$A$2:$C$31,3,FALSE()),"")</f>
        <v>South</v>
      </c>
      <c r="N378">
        <f>IFERROR(VLOOKUP(D378,Products!$A$2:$F$61,4,FALSE()),"")</f>
        <v>2237</v>
      </c>
      <c r="O378" t="str">
        <f>IFERROR(VLOOKUP(C378,Customers!$A$2:$F$301,5,FALSE()),"")</f>
        <v>SMB</v>
      </c>
      <c r="P378">
        <f>IFERROR(VLOOKUP(C378,Customers!$A$2:$F$301,3,FALSE()),"")</f>
        <v>36</v>
      </c>
      <c r="Q378">
        <f t="shared" si="15"/>
        <v>0.56137254901960787</v>
      </c>
      <c r="R378">
        <f>IF(AND(COUNTIF($A$2:$A$2027,A378)&gt;1,COUNTIF($A$2:A378,A378)=1),1,0)</f>
        <v>0</v>
      </c>
      <c r="S378" t="b">
        <f>IFERROR(VLOOKUP(D378,Products!$A$2:$F$61,6,FALSE()),"")</f>
        <v>1</v>
      </c>
      <c r="T378" t="str">
        <f>IF(COUNTIF(Customers!$A$2:$A$301,C378)=0,"Missing","OK")</f>
        <v>OK</v>
      </c>
      <c r="U378" t="str">
        <f t="shared" si="16"/>
        <v>Hyderabad</v>
      </c>
      <c r="V378">
        <f t="shared" si="17"/>
        <v>0</v>
      </c>
    </row>
    <row r="379" spans="1:22" ht="15" customHeight="1" x14ac:dyDescent="0.35">
      <c r="A379" s="3" t="s">
        <v>716</v>
      </c>
      <c r="B379" s="4">
        <v>45296</v>
      </c>
      <c r="C379" s="3" t="s">
        <v>521</v>
      </c>
      <c r="D379" s="3" t="s">
        <v>303</v>
      </c>
      <c r="E379" s="3" t="s">
        <v>71</v>
      </c>
      <c r="F379" s="5">
        <v>7</v>
      </c>
      <c r="G379" s="5">
        <v>5330</v>
      </c>
      <c r="H379" s="5">
        <v>2.5</v>
      </c>
      <c r="I379" s="5">
        <v>36377.25</v>
      </c>
      <c r="J379" s="3" t="s">
        <v>26</v>
      </c>
      <c r="K379" s="3" t="s">
        <v>33</v>
      </c>
      <c r="L379" t="str">
        <f>IFERROR(VLOOKUP(D379,Products!$A$2:$F$61,3,FALSE()),"")</f>
        <v>Electronics</v>
      </c>
      <c r="M379" t="str">
        <f>IFERROR(VLOOKUP(E379,Sales_Reps!$A$2:$C$31,3,FALSE()),"")</f>
        <v>South</v>
      </c>
      <c r="N379">
        <f>IFERROR(VLOOKUP(D379,Products!$A$2:$F$61,4,FALSE()),"")</f>
        <v>2405</v>
      </c>
      <c r="O379" t="str">
        <f>IFERROR(VLOOKUP(C379,Customers!$A$2:$F$301,5,FALSE()),"")</f>
        <v>SMB</v>
      </c>
      <c r="P379">
        <f>IFERROR(VLOOKUP(C379,Customers!$A$2:$F$301,3,FALSE()),"")</f>
        <v>59</v>
      </c>
      <c r="Q379">
        <f t="shared" si="15"/>
        <v>0.54878048780487809</v>
      </c>
      <c r="R379">
        <f>IF(AND(COUNTIF($A$2:$A$2027,A379)&gt;1,COUNTIF($A$2:A379,A379)=1),1,0)</f>
        <v>0</v>
      </c>
      <c r="S379" t="b">
        <f>IFERROR(VLOOKUP(D379,Products!$A$2:$F$61,6,FALSE()),"")</f>
        <v>1</v>
      </c>
      <c r="T379" t="str">
        <f>IF(COUNTIF(Customers!$A$2:$A$301,C379)=0,"Missing","OK")</f>
        <v>OK</v>
      </c>
      <c r="U379" t="str">
        <f t="shared" si="16"/>
        <v>Chennai</v>
      </c>
      <c r="V379">
        <f t="shared" si="17"/>
        <v>0</v>
      </c>
    </row>
    <row r="380" spans="1:22" ht="15" customHeight="1" x14ac:dyDescent="0.35">
      <c r="A380" s="3" t="s">
        <v>717</v>
      </c>
      <c r="B380" s="4">
        <v>45364</v>
      </c>
      <c r="C380" s="3" t="s">
        <v>718</v>
      </c>
      <c r="D380" s="3" t="s">
        <v>234</v>
      </c>
      <c r="E380" s="3" t="s">
        <v>67</v>
      </c>
      <c r="F380" s="5">
        <v>10</v>
      </c>
      <c r="G380" s="5">
        <v>2030</v>
      </c>
      <c r="H380" s="5">
        <v>8.5</v>
      </c>
      <c r="I380" s="5">
        <v>18574.5</v>
      </c>
      <c r="J380" s="3" t="s">
        <v>26</v>
      </c>
      <c r="K380" s="3" t="s">
        <v>56</v>
      </c>
      <c r="L380" t="str">
        <f>IFERROR(VLOOKUP(D380,Products!$A$2:$F$61,3,FALSE()),"")</f>
        <v>Home</v>
      </c>
      <c r="M380" t="str">
        <f>IFERROR(VLOOKUP(E380,Sales_Reps!$A$2:$C$31,3,FALSE()),"")</f>
        <v>West</v>
      </c>
      <c r="N380">
        <f>IFERROR(VLOOKUP(D380,Products!$A$2:$F$61,4,FALSE()),"")</f>
        <v>1143</v>
      </c>
      <c r="O380" t="str">
        <f>IFERROR(VLOOKUP(C380,Customers!$A$2:$F$301,5,FALSE()),"")</f>
        <v>Retail</v>
      </c>
      <c r="P380">
        <f>IFERROR(VLOOKUP(C380,Customers!$A$2:$F$301,3,FALSE()),"")</f>
        <v>27</v>
      </c>
      <c r="Q380">
        <f t="shared" si="15"/>
        <v>0.43694581280788175</v>
      </c>
      <c r="R380">
        <f>IF(AND(COUNTIF($A$2:$A$2027,A380)&gt;1,COUNTIF($A$2:A380,A380)=1),1,0)</f>
        <v>0</v>
      </c>
      <c r="S380" t="b">
        <f>IFERROR(VLOOKUP(D380,Products!$A$2:$F$61,6,FALSE()),"")</f>
        <v>1</v>
      </c>
      <c r="T380" t="str">
        <f>IF(COUNTIF(Customers!$A$2:$A$301,C380)=0,"Missing","OK")</f>
        <v>OK</v>
      </c>
      <c r="U380" t="str">
        <f t="shared" si="16"/>
        <v>Bengaluru</v>
      </c>
      <c r="V380">
        <f t="shared" si="17"/>
        <v>0</v>
      </c>
    </row>
    <row r="381" spans="1:22" ht="15" customHeight="1" x14ac:dyDescent="0.35">
      <c r="A381" s="3" t="s">
        <v>719</v>
      </c>
      <c r="B381" s="4">
        <v>45560</v>
      </c>
      <c r="C381" s="3" t="s">
        <v>720</v>
      </c>
      <c r="D381" s="3" t="s">
        <v>382</v>
      </c>
      <c r="E381" s="3" t="s">
        <v>87</v>
      </c>
      <c r="F381" s="5">
        <v>8</v>
      </c>
      <c r="G381" s="5">
        <v>5080</v>
      </c>
      <c r="H381" s="5">
        <v>9.6</v>
      </c>
      <c r="I381" s="5">
        <v>36738.559999999998</v>
      </c>
      <c r="J381" s="3" t="s">
        <v>79</v>
      </c>
      <c r="K381" s="3" t="s">
        <v>38</v>
      </c>
      <c r="L381" t="str">
        <f>IFERROR(VLOOKUP(D381,Products!$A$2:$F$61,3,FALSE()),"")</f>
        <v>Home</v>
      </c>
      <c r="M381" t="str">
        <f>IFERROR(VLOOKUP(E381,Sales_Reps!$A$2:$C$31,3,FALSE()),"")</f>
        <v>North</v>
      </c>
      <c r="N381">
        <f>IFERROR(VLOOKUP(D381,Products!$A$2:$F$61,4,FALSE()),"")</f>
        <v>2459</v>
      </c>
      <c r="O381" t="str">
        <f>IFERROR(VLOOKUP(C381,Customers!$A$2:$F$301,5,FALSE()),"")</f>
        <v>SMB</v>
      </c>
      <c r="P381">
        <f>IFERROR(VLOOKUP(C381,Customers!$A$2:$F$301,3,FALSE()),"")</f>
        <v>29</v>
      </c>
      <c r="Q381">
        <f t="shared" si="15"/>
        <v>0.51594488188976373</v>
      </c>
      <c r="R381">
        <f>IF(AND(COUNTIF($A$2:$A$2027,A381)&gt;1,COUNTIF($A$2:A381,A381)=1),1,0)</f>
        <v>0</v>
      </c>
      <c r="S381" t="b">
        <f>IFERROR(VLOOKUP(D381,Products!$A$2:$F$61,6,FALSE()),"")</f>
        <v>1</v>
      </c>
      <c r="T381" t="str">
        <f>IF(COUNTIF(Customers!$A$2:$A$301,C381)=0,"Missing","OK")</f>
        <v>OK</v>
      </c>
      <c r="U381" t="str">
        <f t="shared" si="16"/>
        <v>Delhi</v>
      </c>
      <c r="V381">
        <f t="shared" si="17"/>
        <v>0</v>
      </c>
    </row>
    <row r="382" spans="1:22" ht="15" customHeight="1" x14ac:dyDescent="0.35">
      <c r="A382" s="3" t="s">
        <v>721</v>
      </c>
      <c r="B382" s="4">
        <v>45378</v>
      </c>
      <c r="C382" s="3" t="s">
        <v>114</v>
      </c>
      <c r="D382" s="3" t="s">
        <v>306</v>
      </c>
      <c r="E382" s="3" t="s">
        <v>37</v>
      </c>
      <c r="F382" s="5">
        <v>1</v>
      </c>
      <c r="G382" s="5">
        <v>2380</v>
      </c>
      <c r="H382" s="5">
        <v>11.6</v>
      </c>
      <c r="I382" s="5">
        <v>2103.92</v>
      </c>
      <c r="J382" s="3" t="s">
        <v>32</v>
      </c>
      <c r="K382" s="3" t="s">
        <v>72</v>
      </c>
      <c r="L382" t="str">
        <f>IFERROR(VLOOKUP(D382,Products!$A$2:$F$61,3,FALSE()),"")</f>
        <v>Grocery</v>
      </c>
      <c r="M382" t="str">
        <f>IFERROR(VLOOKUP(E382,Sales_Reps!$A$2:$C$31,3,FALSE()),"")</f>
        <v>South</v>
      </c>
      <c r="N382">
        <f>IFERROR(VLOOKUP(D382,Products!$A$2:$F$61,4,FALSE()),"")</f>
        <v>1182</v>
      </c>
      <c r="O382" t="str">
        <f>IFERROR(VLOOKUP(C382,Customers!$A$2:$F$301,5,FALSE()),"")</f>
        <v>SMB</v>
      </c>
      <c r="P382">
        <f>IFERROR(VLOOKUP(C382,Customers!$A$2:$F$301,3,FALSE()),"")</f>
        <v>40</v>
      </c>
      <c r="Q382">
        <f t="shared" si="15"/>
        <v>0.50336134453781511</v>
      </c>
      <c r="R382">
        <f>IF(AND(COUNTIF($A$2:$A$2027,A382)&gt;1,COUNTIF($A$2:A382,A382)=1),1,0)</f>
        <v>0</v>
      </c>
      <c r="S382" t="b">
        <f>IFERROR(VLOOKUP(D382,Products!$A$2:$F$61,6,FALSE()),"")</f>
        <v>1</v>
      </c>
      <c r="T382" t="str">
        <f>IF(COUNTIF(Customers!$A$2:$A$301,C382)=0,"Missing","OK")</f>
        <v>OK</v>
      </c>
      <c r="U382" t="str">
        <f t="shared" si="16"/>
        <v>Hyderabad</v>
      </c>
      <c r="V382">
        <f t="shared" si="17"/>
        <v>0</v>
      </c>
    </row>
    <row r="383" spans="1:22" ht="15" customHeight="1" x14ac:dyDescent="0.35">
      <c r="A383" s="3" t="s">
        <v>722</v>
      </c>
      <c r="B383" s="4">
        <v>45590</v>
      </c>
      <c r="C383" s="3" t="s">
        <v>211</v>
      </c>
      <c r="D383" s="3" t="s">
        <v>198</v>
      </c>
      <c r="E383" s="3" t="s">
        <v>282</v>
      </c>
      <c r="F383" s="5">
        <v>8</v>
      </c>
      <c r="G383" s="5">
        <v>1540</v>
      </c>
      <c r="H383" s="5">
        <v>27.8</v>
      </c>
      <c r="I383" s="5">
        <v>8895.0400000000009</v>
      </c>
      <c r="J383" s="3" t="s">
        <v>26</v>
      </c>
      <c r="K383" s="3" t="s">
        <v>33</v>
      </c>
      <c r="L383" t="str">
        <f>IFERROR(VLOOKUP(D383,Products!$A$2:$F$61,3,FALSE()),"")</f>
        <v>Beauty</v>
      </c>
      <c r="M383" t="str">
        <f>IFERROR(VLOOKUP(E383,Sales_Reps!$A$2:$C$31,3,FALSE()),"")</f>
        <v>West</v>
      </c>
      <c r="N383">
        <f>IFERROR(VLOOKUP(D383,Products!$A$2:$F$61,4,FALSE()),"")</f>
        <v>647</v>
      </c>
      <c r="O383" t="str">
        <f>IFERROR(VLOOKUP(C383,Customers!$A$2:$F$301,5,FALSE()),"")</f>
        <v>SMB</v>
      </c>
      <c r="P383">
        <f>IFERROR(VLOOKUP(C383,Customers!$A$2:$F$301,3,FALSE()),"")</f>
        <v>55</v>
      </c>
      <c r="Q383">
        <f t="shared" si="15"/>
        <v>0.57987012987012987</v>
      </c>
      <c r="R383">
        <f>IF(AND(COUNTIF($A$2:$A$2027,A383)&gt;1,COUNTIF($A$2:A383,A383)=1),1,0)</f>
        <v>0</v>
      </c>
      <c r="S383" t="b">
        <f>IFERROR(VLOOKUP(D383,Products!$A$2:$F$61,6,FALSE()),"")</f>
        <v>0</v>
      </c>
      <c r="T383" t="str">
        <f>IF(COUNTIF(Customers!$A$2:$A$301,C383)=0,"Missing","OK")</f>
        <v>OK</v>
      </c>
      <c r="U383" t="str">
        <f t="shared" si="16"/>
        <v>Chennai</v>
      </c>
      <c r="V383">
        <f t="shared" si="17"/>
        <v>0</v>
      </c>
    </row>
    <row r="384" spans="1:22" ht="15" customHeight="1" x14ac:dyDescent="0.35">
      <c r="A384" s="3" t="s">
        <v>723</v>
      </c>
      <c r="B384" s="4">
        <v>45591</v>
      </c>
      <c r="C384" s="3" t="s">
        <v>724</v>
      </c>
      <c r="D384" s="3" t="s">
        <v>70</v>
      </c>
      <c r="E384" s="3" t="s">
        <v>55</v>
      </c>
      <c r="F384" s="5">
        <v>1</v>
      </c>
      <c r="G384" s="5">
        <v>2270</v>
      </c>
      <c r="H384" s="5">
        <v>6.5</v>
      </c>
      <c r="I384" s="5">
        <v>2122.4499999999998</v>
      </c>
      <c r="J384" s="3" t="s">
        <v>32</v>
      </c>
      <c r="K384" s="3" t="s">
        <v>725</v>
      </c>
      <c r="L384" t="str">
        <f>IFERROR(VLOOKUP(D384,Products!$A$2:$F$61,3,FALSE()),"")</f>
        <v>Grocery</v>
      </c>
      <c r="M384" t="str">
        <f>IFERROR(VLOOKUP(E384,Sales_Reps!$A$2:$C$31,3,FALSE()),"")</f>
        <v>West</v>
      </c>
      <c r="N384">
        <f>IFERROR(VLOOKUP(D384,Products!$A$2:$F$61,4,FALSE()),"")</f>
        <v>1203</v>
      </c>
      <c r="O384" t="str">
        <f>IFERROR(VLOOKUP(C384,Customers!$A$2:$F$301,5,FALSE()),"")</f>
        <v>Retail</v>
      </c>
      <c r="P384">
        <f>IFERROR(VLOOKUP(C384,Customers!$A$2:$F$301,3,FALSE()),"")</f>
        <v>31</v>
      </c>
      <c r="Q384">
        <f t="shared" si="15"/>
        <v>0.47004405286343615</v>
      </c>
      <c r="R384">
        <f>IF(AND(COUNTIF($A$2:$A$2027,A384)&gt;1,COUNTIF($A$2:A384,A384)=1),1,0)</f>
        <v>0</v>
      </c>
      <c r="S384" t="b">
        <f>IFERROR(VLOOKUP(D384,Products!$A$2:$F$61,6,FALSE()),"")</f>
        <v>1</v>
      </c>
      <c r="T384" t="str">
        <f>IF(COUNTIF(Customers!$A$2:$A$301,C384)=0,"Missing","OK")</f>
        <v>OK</v>
      </c>
      <c r="U384" t="str">
        <f t="shared" si="16"/>
        <v>Pune</v>
      </c>
      <c r="V384">
        <f t="shared" si="17"/>
        <v>0</v>
      </c>
    </row>
    <row r="385" spans="1:22" ht="15" customHeight="1" x14ac:dyDescent="0.35">
      <c r="A385" s="3" t="s">
        <v>726</v>
      </c>
      <c r="B385" s="4">
        <v>45503</v>
      </c>
      <c r="C385" s="3" t="s">
        <v>255</v>
      </c>
      <c r="D385" s="3" t="s">
        <v>106</v>
      </c>
      <c r="E385" s="3" t="s">
        <v>67</v>
      </c>
      <c r="F385" s="5">
        <v>6</v>
      </c>
      <c r="G385" s="5">
        <v>2480</v>
      </c>
      <c r="H385" s="5">
        <v>25.9</v>
      </c>
      <c r="I385" s="5">
        <v>11026.08</v>
      </c>
      <c r="J385" s="3" t="s">
        <v>26</v>
      </c>
      <c r="K385" s="3" t="s">
        <v>27</v>
      </c>
      <c r="L385" t="str">
        <f>IFERROR(VLOOKUP(D385,Products!$A$2:$F$61,3,FALSE()),"")</f>
        <v>Apparel</v>
      </c>
      <c r="M385" t="str">
        <f>IFERROR(VLOOKUP(E385,Sales_Reps!$A$2:$C$31,3,FALSE()),"")</f>
        <v>West</v>
      </c>
      <c r="N385">
        <f>IFERROR(VLOOKUP(D385,Products!$A$2:$F$61,4,FALSE()),"")</f>
        <v>1173</v>
      </c>
      <c r="O385" t="str">
        <f>IFERROR(VLOOKUP(C385,Customers!$A$2:$F$301,5,FALSE()),"")</f>
        <v>SMB</v>
      </c>
      <c r="P385">
        <f>IFERROR(VLOOKUP(C385,Customers!$A$2:$F$301,3,FALSE()),"")</f>
        <v>60</v>
      </c>
      <c r="Q385">
        <f t="shared" si="15"/>
        <v>0.52701612903225803</v>
      </c>
      <c r="R385">
        <f>IF(AND(COUNTIF($A$2:$A$2027,A385)&gt;1,COUNTIF($A$2:A385,A385)=1),1,0)</f>
        <v>0</v>
      </c>
      <c r="S385" t="b">
        <f>IFERROR(VLOOKUP(D385,Products!$A$2:$F$61,6,FALSE()),"")</f>
        <v>1</v>
      </c>
      <c r="T385" t="str">
        <f>IF(COUNTIF(Customers!$A$2:$A$301,C385)=0,"Missing","OK")</f>
        <v>OK</v>
      </c>
      <c r="U385" t="str">
        <f t="shared" si="16"/>
        <v>Pune</v>
      </c>
      <c r="V385">
        <f t="shared" si="17"/>
        <v>0</v>
      </c>
    </row>
    <row r="386" spans="1:22" ht="15" customHeight="1" x14ac:dyDescent="0.35">
      <c r="A386" s="3" t="s">
        <v>727</v>
      </c>
      <c r="B386" s="4">
        <v>45608</v>
      </c>
      <c r="C386" s="3" t="s">
        <v>257</v>
      </c>
      <c r="D386" s="3" t="s">
        <v>598</v>
      </c>
      <c r="E386" s="3" t="s">
        <v>60</v>
      </c>
      <c r="F386" s="5">
        <v>3</v>
      </c>
      <c r="G386" s="5">
        <v>3560</v>
      </c>
      <c r="H386" s="5">
        <v>0.4</v>
      </c>
      <c r="I386" s="5">
        <v>10637.28</v>
      </c>
      <c r="J386" s="3" t="s">
        <v>83</v>
      </c>
      <c r="K386" s="3" t="s">
        <v>33</v>
      </c>
      <c r="L386" t="str">
        <f>IFERROR(VLOOKUP(D386,Products!$A$2:$F$61,3,FALSE()),"")</f>
        <v>Apparel</v>
      </c>
      <c r="M386" t="str">
        <f>IFERROR(VLOOKUP(E386,Sales_Reps!$A$2:$C$31,3,FALSE()),"")</f>
        <v>East</v>
      </c>
      <c r="N386">
        <f>IFERROR(VLOOKUP(D386,Products!$A$2:$F$61,4,FALSE()),"")</f>
        <v>2629</v>
      </c>
      <c r="O386" t="str">
        <f>IFERROR(VLOOKUP(C386,Customers!$A$2:$F$301,5,FALSE()),"")</f>
        <v>SMB</v>
      </c>
      <c r="P386">
        <f>IFERROR(VLOOKUP(C386,Customers!$A$2:$F$301,3,FALSE()),"")</f>
        <v>57</v>
      </c>
      <c r="Q386">
        <f t="shared" ref="Q386:Q449" si="18">IFERROR((G386-N386)/G386,"")</f>
        <v>0.26151685393258428</v>
      </c>
      <c r="R386">
        <f>IF(AND(COUNTIF($A$2:$A$2027,A386)&gt;1,COUNTIF($A$2:A386,A386)=1),1,0)</f>
        <v>0</v>
      </c>
      <c r="S386" t="b">
        <f>IFERROR(VLOOKUP(D386,Products!$A$2:$F$61,6,FALSE()),"")</f>
        <v>1</v>
      </c>
      <c r="T386" t="str">
        <f>IF(COUNTIF(Customers!$A$2:$A$301,C386)=0,"Missing","OK")</f>
        <v>OK</v>
      </c>
      <c r="U386" t="str">
        <f t="shared" ref="U386:U449" si="19">IF(K386="","",PROPER(TRIM(K386)))</f>
        <v>Chennai</v>
      </c>
      <c r="V386">
        <f t="shared" ref="V386:V449" si="20">IF(AND(U386="Bengaluru",L386="Grocery"),I386,0)</f>
        <v>0</v>
      </c>
    </row>
    <row r="387" spans="1:22" ht="15" customHeight="1" x14ac:dyDescent="0.35">
      <c r="A387" s="3" t="s">
        <v>728</v>
      </c>
      <c r="B387" s="4">
        <v>45422</v>
      </c>
      <c r="C387" s="3" t="s">
        <v>590</v>
      </c>
      <c r="D387" s="3" t="s">
        <v>218</v>
      </c>
      <c r="E387" s="3" t="s">
        <v>42</v>
      </c>
      <c r="F387" s="5">
        <v>4</v>
      </c>
      <c r="G387" s="5">
        <v>2660</v>
      </c>
      <c r="H387" s="5">
        <v>19.7</v>
      </c>
      <c r="I387" s="5">
        <v>8543.92</v>
      </c>
      <c r="J387" s="3" t="s">
        <v>79</v>
      </c>
      <c r="K387" s="3" t="s">
        <v>72</v>
      </c>
      <c r="L387" t="str">
        <f>IFERROR(VLOOKUP(D387,Products!$A$2:$F$61,3,FALSE()),"")</f>
        <v>Electronics</v>
      </c>
      <c r="M387" t="str">
        <f>IFERROR(VLOOKUP(E387,Sales_Reps!$A$2:$C$31,3,FALSE()),"")</f>
        <v>North</v>
      </c>
      <c r="N387">
        <f>IFERROR(VLOOKUP(D387,Products!$A$2:$F$61,4,FALSE()),"")</f>
        <v>1259</v>
      </c>
      <c r="O387" t="str">
        <f>IFERROR(VLOOKUP(C387,Customers!$A$2:$F$301,5,FALSE()),"")</f>
        <v>Retail</v>
      </c>
      <c r="P387">
        <f>IFERROR(VLOOKUP(C387,Customers!$A$2:$F$301,3,FALSE()),"")</f>
        <v>50</v>
      </c>
      <c r="Q387">
        <f t="shared" si="18"/>
        <v>0.52669172932330832</v>
      </c>
      <c r="R387">
        <f>IF(AND(COUNTIF($A$2:$A$2027,A387)&gt;1,COUNTIF($A$2:A387,A387)=1),1,0)</f>
        <v>0</v>
      </c>
      <c r="S387" t="b">
        <f>IFERROR(VLOOKUP(D387,Products!$A$2:$F$61,6,FALSE()),"")</f>
        <v>0</v>
      </c>
      <c r="T387" t="str">
        <f>IF(COUNTIF(Customers!$A$2:$A$301,C387)=0,"Missing","OK")</f>
        <v>OK</v>
      </c>
      <c r="U387" t="str">
        <f t="shared" si="19"/>
        <v>Hyderabad</v>
      </c>
      <c r="V387">
        <f t="shared" si="20"/>
        <v>0</v>
      </c>
    </row>
    <row r="388" spans="1:22" ht="15" customHeight="1" x14ac:dyDescent="0.35">
      <c r="A388" s="3" t="s">
        <v>729</v>
      </c>
      <c r="B388" s="4">
        <v>45386</v>
      </c>
      <c r="C388" s="3" t="s">
        <v>111</v>
      </c>
      <c r="D388" s="3" t="s">
        <v>206</v>
      </c>
      <c r="E388" s="3" t="s">
        <v>191</v>
      </c>
      <c r="F388" s="5">
        <v>10</v>
      </c>
      <c r="G388" s="5">
        <v>1220</v>
      </c>
      <c r="H388" s="5">
        <v>10.1</v>
      </c>
      <c r="I388" s="5">
        <v>10967.8</v>
      </c>
      <c r="J388" s="3" t="s">
        <v>79</v>
      </c>
      <c r="K388" s="3" t="s">
        <v>27</v>
      </c>
      <c r="L388" t="str">
        <f>IFERROR(VLOOKUP(D388,Products!$A$2:$F$61,3,FALSE()),"")</f>
        <v>Electronics</v>
      </c>
      <c r="M388" t="str">
        <f>IFERROR(VLOOKUP(E388,Sales_Reps!$A$2:$C$31,3,FALSE()),"")</f>
        <v>South</v>
      </c>
      <c r="N388">
        <f>IFERROR(VLOOKUP(D388,Products!$A$2:$F$61,4,FALSE()),"")</f>
        <v>517</v>
      </c>
      <c r="O388" t="str">
        <f>IFERROR(VLOOKUP(C388,Customers!$A$2:$F$301,5,FALSE()),"")</f>
        <v>Retail</v>
      </c>
      <c r="P388">
        <f>IFERROR(VLOOKUP(C388,Customers!$A$2:$F$301,3,FALSE()),"")</f>
        <v>50</v>
      </c>
      <c r="Q388">
        <f t="shared" si="18"/>
        <v>0.57622950819672136</v>
      </c>
      <c r="R388">
        <f>IF(AND(COUNTIF($A$2:$A$2027,A388)&gt;1,COUNTIF($A$2:A388,A388)=1),1,0)</f>
        <v>0</v>
      </c>
      <c r="S388" t="b">
        <f>IFERROR(VLOOKUP(D388,Products!$A$2:$F$61,6,FALSE()),"")</f>
        <v>1</v>
      </c>
      <c r="T388" t="str">
        <f>IF(COUNTIF(Customers!$A$2:$A$301,C388)=0,"Missing","OK")</f>
        <v>OK</v>
      </c>
      <c r="U388" t="str">
        <f t="shared" si="19"/>
        <v>Pune</v>
      </c>
      <c r="V388">
        <f t="shared" si="20"/>
        <v>0</v>
      </c>
    </row>
    <row r="389" spans="1:22" ht="15" customHeight="1" x14ac:dyDescent="0.35">
      <c r="A389" s="3" t="s">
        <v>730</v>
      </c>
      <c r="B389" s="4">
        <v>45584</v>
      </c>
      <c r="C389" s="3" t="s">
        <v>615</v>
      </c>
      <c r="D389" s="3" t="s">
        <v>77</v>
      </c>
      <c r="E389" s="3" t="s">
        <v>37</v>
      </c>
      <c r="F389" s="5">
        <v>8</v>
      </c>
      <c r="G389" s="5">
        <v>2600</v>
      </c>
      <c r="H389" s="5">
        <v>26.7</v>
      </c>
      <c r="I389" s="5">
        <v>15246.4</v>
      </c>
      <c r="J389" s="3" t="s">
        <v>26</v>
      </c>
      <c r="K389" s="3" t="s">
        <v>27</v>
      </c>
      <c r="L389" t="str">
        <f>IFERROR(VLOOKUP(D389,Products!$A$2:$F$61,3,FALSE()),"")</f>
        <v>Electronics</v>
      </c>
      <c r="M389" t="str">
        <f>IFERROR(VLOOKUP(E389,Sales_Reps!$A$2:$C$31,3,FALSE()),"")</f>
        <v>South</v>
      </c>
      <c r="N389">
        <f>IFERROR(VLOOKUP(D389,Products!$A$2:$F$61,4,FALSE()),"")</f>
        <v>1052</v>
      </c>
      <c r="O389" t="str">
        <f>IFERROR(VLOOKUP(C389,Customers!$A$2:$F$301,5,FALSE()),"")</f>
        <v>SMB</v>
      </c>
      <c r="P389">
        <f>IFERROR(VLOOKUP(C389,Customers!$A$2:$F$301,3,FALSE()),"")</f>
        <v>35</v>
      </c>
      <c r="Q389">
        <f t="shared" si="18"/>
        <v>0.5953846153846154</v>
      </c>
      <c r="R389">
        <f>IF(AND(COUNTIF($A$2:$A$2027,A389)&gt;1,COUNTIF($A$2:A389,A389)=1),1,0)</f>
        <v>0</v>
      </c>
      <c r="S389" t="b">
        <f>IFERROR(VLOOKUP(D389,Products!$A$2:$F$61,6,FALSE()),"")</f>
        <v>1</v>
      </c>
      <c r="T389" t="str">
        <f>IF(COUNTIF(Customers!$A$2:$A$301,C389)=0,"Missing","OK")</f>
        <v>OK</v>
      </c>
      <c r="U389" t="str">
        <f t="shared" si="19"/>
        <v>Pune</v>
      </c>
      <c r="V389">
        <f t="shared" si="20"/>
        <v>0</v>
      </c>
    </row>
    <row r="390" spans="1:22" ht="15" customHeight="1" x14ac:dyDescent="0.35">
      <c r="A390" s="3" t="s">
        <v>731</v>
      </c>
      <c r="B390" s="4">
        <v>45440</v>
      </c>
      <c r="C390" s="3" t="s">
        <v>457</v>
      </c>
      <c r="D390" s="3" t="s">
        <v>391</v>
      </c>
      <c r="E390" s="3" t="s">
        <v>131</v>
      </c>
      <c r="F390" s="5">
        <v>10</v>
      </c>
      <c r="G390" s="5">
        <v>3450</v>
      </c>
      <c r="H390" s="5">
        <v>20.399999999999999</v>
      </c>
      <c r="I390" s="5">
        <v>27462</v>
      </c>
      <c r="J390" s="3" t="s">
        <v>26</v>
      </c>
      <c r="K390" s="3" t="s">
        <v>27</v>
      </c>
      <c r="L390" t="str">
        <f>IFERROR(VLOOKUP(D390,Products!$A$2:$F$61,3,FALSE()),"")</f>
        <v>Apparel</v>
      </c>
      <c r="M390" t="str">
        <f>IFERROR(VLOOKUP(E390,Sales_Reps!$A$2:$C$31,3,FALSE()),"")</f>
        <v>East</v>
      </c>
      <c r="N390">
        <f>IFERROR(VLOOKUP(D390,Products!$A$2:$F$61,4,FALSE()),"")</f>
        <v>1748</v>
      </c>
      <c r="O390" t="str">
        <f>IFERROR(VLOOKUP(C390,Customers!$A$2:$F$301,5,FALSE()),"")</f>
        <v>Retail</v>
      </c>
      <c r="P390">
        <f>IFERROR(VLOOKUP(C390,Customers!$A$2:$F$301,3,FALSE()),"")</f>
        <v>49</v>
      </c>
      <c r="Q390">
        <f t="shared" si="18"/>
        <v>0.49333333333333335</v>
      </c>
      <c r="R390">
        <f>IF(AND(COUNTIF($A$2:$A$2027,A390)&gt;1,COUNTIF($A$2:A390,A390)=1),1,0)</f>
        <v>0</v>
      </c>
      <c r="S390" t="b">
        <f>IFERROR(VLOOKUP(D390,Products!$A$2:$F$61,6,FALSE()),"")</f>
        <v>1</v>
      </c>
      <c r="T390" t="str">
        <f>IF(COUNTIF(Customers!$A$2:$A$301,C390)=0,"Missing","OK")</f>
        <v>OK</v>
      </c>
      <c r="U390" t="str">
        <f t="shared" si="19"/>
        <v>Pune</v>
      </c>
      <c r="V390">
        <f t="shared" si="20"/>
        <v>0</v>
      </c>
    </row>
    <row r="391" spans="1:22" ht="15" customHeight="1" x14ac:dyDescent="0.35">
      <c r="A391" s="3" t="s">
        <v>732</v>
      </c>
      <c r="B391" s="4">
        <v>45440</v>
      </c>
      <c r="C391" s="3" t="s">
        <v>147</v>
      </c>
      <c r="D391" s="3" t="s">
        <v>454</v>
      </c>
      <c r="E391" s="3" t="s">
        <v>60</v>
      </c>
      <c r="F391" s="5">
        <v>1</v>
      </c>
      <c r="G391" s="5">
        <v>6940</v>
      </c>
      <c r="H391" s="5">
        <v>9.6999999999999993</v>
      </c>
      <c r="I391" s="5">
        <v>6266.82</v>
      </c>
      <c r="J391" s="3" t="s">
        <v>26</v>
      </c>
      <c r="K391" s="3" t="s">
        <v>72</v>
      </c>
      <c r="L391" t="str">
        <f>IFERROR(VLOOKUP(D391,Products!$A$2:$F$61,3,FALSE()),"")</f>
        <v>Sports</v>
      </c>
      <c r="M391" t="str">
        <f>IFERROR(VLOOKUP(E391,Sales_Reps!$A$2:$C$31,3,FALSE()),"")</f>
        <v>East</v>
      </c>
      <c r="N391">
        <f>IFERROR(VLOOKUP(D391,Products!$A$2:$F$61,4,FALSE()),"")</f>
        <v>2827</v>
      </c>
      <c r="O391" t="str">
        <f>IFERROR(VLOOKUP(C391,Customers!$A$2:$F$301,5,FALSE()),"")</f>
        <v>Retail</v>
      </c>
      <c r="P391">
        <f>IFERROR(VLOOKUP(C391,Customers!$A$2:$F$301,3,FALSE()),"")</f>
        <v>26</v>
      </c>
      <c r="Q391">
        <f t="shared" si="18"/>
        <v>0.5926512968299712</v>
      </c>
      <c r="R391">
        <f>IF(AND(COUNTIF($A$2:$A$2027,A391)&gt;1,COUNTIF($A$2:A391,A391)=1),1,0)</f>
        <v>0</v>
      </c>
      <c r="S391" t="b">
        <f>IFERROR(VLOOKUP(D391,Products!$A$2:$F$61,6,FALSE()),"")</f>
        <v>1</v>
      </c>
      <c r="T391" t="str">
        <f>IF(COUNTIF(Customers!$A$2:$A$301,C391)=0,"Missing","OK")</f>
        <v>OK</v>
      </c>
      <c r="U391" t="str">
        <f t="shared" si="19"/>
        <v>Hyderabad</v>
      </c>
      <c r="V391">
        <f t="shared" si="20"/>
        <v>0</v>
      </c>
    </row>
    <row r="392" spans="1:22" ht="15" customHeight="1" x14ac:dyDescent="0.35">
      <c r="A392" s="3" t="s">
        <v>733</v>
      </c>
      <c r="B392" s="4">
        <v>45358</v>
      </c>
      <c r="C392" s="3" t="s">
        <v>734</v>
      </c>
      <c r="D392" s="3" t="s">
        <v>118</v>
      </c>
      <c r="E392" s="3" t="s">
        <v>42</v>
      </c>
      <c r="F392" s="5">
        <v>10</v>
      </c>
      <c r="G392" s="5">
        <v>3350</v>
      </c>
      <c r="H392" s="5">
        <v>3.2</v>
      </c>
      <c r="I392" s="5">
        <v>32428</v>
      </c>
      <c r="J392" s="3" t="s">
        <v>26</v>
      </c>
      <c r="K392" s="3" t="s">
        <v>33</v>
      </c>
      <c r="L392" t="str">
        <f>IFERROR(VLOOKUP(D392,Products!$A$2:$F$61,3,FALSE()),"")</f>
        <v>Beauty</v>
      </c>
      <c r="M392" t="str">
        <f>IFERROR(VLOOKUP(E392,Sales_Reps!$A$2:$C$31,3,FALSE()),"")</f>
        <v>North</v>
      </c>
      <c r="N392">
        <f>IFERROR(VLOOKUP(D392,Products!$A$2:$F$61,4,FALSE()),"")</f>
        <v>1728</v>
      </c>
      <c r="O392" t="str">
        <f>IFERROR(VLOOKUP(C392,Customers!$A$2:$F$301,5,FALSE()),"")</f>
        <v>Retail</v>
      </c>
      <c r="P392">
        <f>IFERROR(VLOOKUP(C392,Customers!$A$2:$F$301,3,FALSE()),"")</f>
        <v>22</v>
      </c>
      <c r="Q392">
        <f t="shared" si="18"/>
        <v>0.48417910447761192</v>
      </c>
      <c r="R392">
        <f>IF(AND(COUNTIF($A$2:$A$2027,A392)&gt;1,COUNTIF($A$2:A392,A392)=1),1,0)</f>
        <v>0</v>
      </c>
      <c r="S392" t="b">
        <f>IFERROR(VLOOKUP(D392,Products!$A$2:$F$61,6,FALSE()),"")</f>
        <v>1</v>
      </c>
      <c r="T392" t="str">
        <f>IF(COUNTIF(Customers!$A$2:$A$301,C392)=0,"Missing","OK")</f>
        <v>OK</v>
      </c>
      <c r="U392" t="str">
        <f t="shared" si="19"/>
        <v>Chennai</v>
      </c>
      <c r="V392">
        <f t="shared" si="20"/>
        <v>0</v>
      </c>
    </row>
    <row r="393" spans="1:22" ht="15" customHeight="1" x14ac:dyDescent="0.35">
      <c r="A393" s="3" t="s">
        <v>735</v>
      </c>
      <c r="B393" s="4">
        <v>45387</v>
      </c>
      <c r="C393" s="3" t="s">
        <v>736</v>
      </c>
      <c r="D393" s="3" t="s">
        <v>198</v>
      </c>
      <c r="E393" s="3" t="s">
        <v>140</v>
      </c>
      <c r="F393" s="5">
        <v>7</v>
      </c>
      <c r="G393" s="5">
        <v>1540</v>
      </c>
      <c r="H393" s="5">
        <v>0.5</v>
      </c>
      <c r="I393" s="5">
        <v>10726.1</v>
      </c>
      <c r="J393" s="3" t="s">
        <v>26</v>
      </c>
      <c r="K393" s="3" t="s">
        <v>38</v>
      </c>
      <c r="L393" t="str">
        <f>IFERROR(VLOOKUP(D393,Products!$A$2:$F$61,3,FALSE()),"")</f>
        <v>Beauty</v>
      </c>
      <c r="M393" t="str">
        <f>IFERROR(VLOOKUP(E393,Sales_Reps!$A$2:$C$31,3,FALSE()),"")</f>
        <v>West</v>
      </c>
      <c r="N393">
        <f>IFERROR(VLOOKUP(D393,Products!$A$2:$F$61,4,FALSE()),"")</f>
        <v>647</v>
      </c>
      <c r="O393" t="str">
        <f>IFERROR(VLOOKUP(C393,Customers!$A$2:$F$301,5,FALSE()),"")</f>
        <v>Retail</v>
      </c>
      <c r="P393">
        <f>IFERROR(VLOOKUP(C393,Customers!$A$2:$F$301,3,FALSE()),"")</f>
        <v>63</v>
      </c>
      <c r="Q393">
        <f t="shared" si="18"/>
        <v>0.57987012987012987</v>
      </c>
      <c r="R393">
        <f>IF(AND(COUNTIF($A$2:$A$2027,A393)&gt;1,COUNTIF($A$2:A393,A393)=1),1,0)</f>
        <v>0</v>
      </c>
      <c r="S393" t="b">
        <f>IFERROR(VLOOKUP(D393,Products!$A$2:$F$61,6,FALSE()),"")</f>
        <v>0</v>
      </c>
      <c r="T393" t="str">
        <f>IF(COUNTIF(Customers!$A$2:$A$301,C393)=0,"Missing","OK")</f>
        <v>OK</v>
      </c>
      <c r="U393" t="str">
        <f t="shared" si="19"/>
        <v>Delhi</v>
      </c>
      <c r="V393">
        <f t="shared" si="20"/>
        <v>0</v>
      </c>
    </row>
    <row r="394" spans="1:22" ht="15" customHeight="1" x14ac:dyDescent="0.35">
      <c r="A394" s="3" t="s">
        <v>737</v>
      </c>
      <c r="B394" s="4">
        <v>45655</v>
      </c>
      <c r="C394" s="3" t="s">
        <v>738</v>
      </c>
      <c r="D394" s="3" t="s">
        <v>24</v>
      </c>
      <c r="E394" s="3" t="s">
        <v>140</v>
      </c>
      <c r="F394" s="5">
        <v>10</v>
      </c>
      <c r="G394" s="5">
        <v>3620</v>
      </c>
      <c r="H394" s="5">
        <v>22</v>
      </c>
      <c r="I394" s="5">
        <v>28236</v>
      </c>
      <c r="J394" s="3" t="s">
        <v>26</v>
      </c>
      <c r="K394" s="3" t="s">
        <v>27</v>
      </c>
      <c r="L394" t="str">
        <f>IFERROR(VLOOKUP(D394,Products!$A$2:$F$61,3,FALSE()),"")</f>
        <v>Apparel</v>
      </c>
      <c r="M394" t="str">
        <f>IFERROR(VLOOKUP(E394,Sales_Reps!$A$2:$C$31,3,FALSE()),"")</f>
        <v>West</v>
      </c>
      <c r="N394">
        <f>IFERROR(VLOOKUP(D394,Products!$A$2:$F$61,4,FALSE()),"")</f>
        <v>2509</v>
      </c>
      <c r="O394" t="str">
        <f>IFERROR(VLOOKUP(C394,Customers!$A$2:$F$301,5,FALSE()),"")</f>
        <v/>
      </c>
      <c r="P394" t="str">
        <f>IFERROR(VLOOKUP(C394,Customers!$A$2:$F$301,3,FALSE()),"")</f>
        <v/>
      </c>
      <c r="Q394">
        <f t="shared" si="18"/>
        <v>0.3069060773480663</v>
      </c>
      <c r="R394">
        <f>IF(AND(COUNTIF($A$2:$A$2027,A394)&gt;1,COUNTIF($A$2:A394,A394)=1),1,0)</f>
        <v>0</v>
      </c>
      <c r="S394" t="b">
        <f>IFERROR(VLOOKUP(D394,Products!$A$2:$F$61,6,FALSE()),"")</f>
        <v>1</v>
      </c>
      <c r="T394" t="str">
        <f>IF(COUNTIF(Customers!$A$2:$A$301,C394)=0,"Missing","OK")</f>
        <v>Missing</v>
      </c>
      <c r="U394" t="str">
        <f t="shared" si="19"/>
        <v>Pune</v>
      </c>
      <c r="V394">
        <f t="shared" si="20"/>
        <v>0</v>
      </c>
    </row>
    <row r="395" spans="1:22" ht="15" customHeight="1" x14ac:dyDescent="0.35">
      <c r="A395" s="3" t="s">
        <v>739</v>
      </c>
      <c r="B395" s="4">
        <v>45629</v>
      </c>
      <c r="C395" s="3" t="s">
        <v>172</v>
      </c>
      <c r="D395" s="3" t="s">
        <v>36</v>
      </c>
      <c r="E395" s="3" t="s">
        <v>140</v>
      </c>
      <c r="F395" s="5">
        <v>2</v>
      </c>
      <c r="G395" s="5">
        <v>470</v>
      </c>
      <c r="H395" s="5">
        <v>26.5</v>
      </c>
      <c r="I395" s="5">
        <v>690.9</v>
      </c>
      <c r="J395" s="3" t="s">
        <v>32</v>
      </c>
      <c r="K395" s="3" t="s">
        <v>27</v>
      </c>
      <c r="L395" t="str">
        <f>IFERROR(VLOOKUP(D395,Products!$A$2:$F$61,3,FALSE()),"")</f>
        <v>Sports</v>
      </c>
      <c r="M395" t="str">
        <f>IFERROR(VLOOKUP(E395,Sales_Reps!$A$2:$C$31,3,FALSE()),"")</f>
        <v>West</v>
      </c>
      <c r="N395">
        <f>IFERROR(VLOOKUP(D395,Products!$A$2:$F$61,4,FALSE()),"")</f>
        <v>302</v>
      </c>
      <c r="O395" t="str">
        <f>IFERROR(VLOOKUP(C395,Customers!$A$2:$F$301,5,FALSE()),"")</f>
        <v>SMB</v>
      </c>
      <c r="P395">
        <f>IFERROR(VLOOKUP(C395,Customers!$A$2:$F$301,3,FALSE()),"")</f>
        <v>29</v>
      </c>
      <c r="Q395">
        <f t="shared" si="18"/>
        <v>0.35744680851063831</v>
      </c>
      <c r="R395">
        <f>IF(AND(COUNTIF($A$2:$A$2027,A395)&gt;1,COUNTIF($A$2:A395,A395)=1),1,0)</f>
        <v>0</v>
      </c>
      <c r="S395" t="b">
        <f>IFERROR(VLOOKUP(D395,Products!$A$2:$F$61,6,FALSE()),"")</f>
        <v>0</v>
      </c>
      <c r="T395" t="str">
        <f>IF(COUNTIF(Customers!$A$2:$A$301,C395)=0,"Missing","OK")</f>
        <v>OK</v>
      </c>
      <c r="U395" t="str">
        <f t="shared" si="19"/>
        <v>Pune</v>
      </c>
      <c r="V395">
        <f t="shared" si="20"/>
        <v>0</v>
      </c>
    </row>
    <row r="396" spans="1:22" ht="15" customHeight="1" x14ac:dyDescent="0.35">
      <c r="A396" s="3" t="s">
        <v>740</v>
      </c>
      <c r="B396" s="4">
        <v>45323</v>
      </c>
      <c r="C396" s="3" t="s">
        <v>741</v>
      </c>
      <c r="D396" s="3" t="s">
        <v>41</v>
      </c>
      <c r="E396" s="3" t="s">
        <v>71</v>
      </c>
      <c r="F396" s="5">
        <v>6</v>
      </c>
      <c r="G396" s="5">
        <v>3660</v>
      </c>
      <c r="H396" s="5">
        <v>1.5</v>
      </c>
      <c r="I396" s="5">
        <v>21630.6</v>
      </c>
      <c r="J396" s="3" t="s">
        <v>26</v>
      </c>
      <c r="K396" s="3" t="s">
        <v>33</v>
      </c>
      <c r="L396" t="str">
        <f>IFERROR(VLOOKUP(D396,Products!$A$2:$F$61,3,FALSE()),"")</f>
        <v>Grocery</v>
      </c>
      <c r="M396" t="str">
        <f>IFERROR(VLOOKUP(E396,Sales_Reps!$A$2:$C$31,3,FALSE()),"")</f>
        <v>South</v>
      </c>
      <c r="N396">
        <f>IFERROR(VLOOKUP(D396,Products!$A$2:$F$61,4,FALSE()),"")</f>
        <v>2214</v>
      </c>
      <c r="O396" t="str">
        <f>IFERROR(VLOOKUP(C396,Customers!$A$2:$F$301,5,FALSE()),"")</f>
        <v>SMB</v>
      </c>
      <c r="P396">
        <f>IFERROR(VLOOKUP(C396,Customers!$A$2:$F$301,3,FALSE()),"")</f>
        <v>39</v>
      </c>
      <c r="Q396">
        <f t="shared" si="18"/>
        <v>0.39508196721311473</v>
      </c>
      <c r="R396">
        <f>IF(AND(COUNTIF($A$2:$A$2027,A396)&gt;1,COUNTIF($A$2:A396,A396)=1),1,0)</f>
        <v>0</v>
      </c>
      <c r="S396" t="b">
        <f>IFERROR(VLOOKUP(D396,Products!$A$2:$F$61,6,FALSE()),"")</f>
        <v>0</v>
      </c>
      <c r="T396" t="str">
        <f>IF(COUNTIF(Customers!$A$2:$A$301,C396)=0,"Missing","OK")</f>
        <v>OK</v>
      </c>
      <c r="U396" t="str">
        <f t="shared" si="19"/>
        <v>Chennai</v>
      </c>
      <c r="V396">
        <f t="shared" si="20"/>
        <v>0</v>
      </c>
    </row>
    <row r="397" spans="1:22" ht="15" customHeight="1" x14ac:dyDescent="0.35">
      <c r="A397" s="3" t="s">
        <v>742</v>
      </c>
      <c r="B397" s="4">
        <v>45432</v>
      </c>
      <c r="C397" s="3" t="s">
        <v>58</v>
      </c>
      <c r="D397" s="3" t="s">
        <v>454</v>
      </c>
      <c r="E397" s="3" t="s">
        <v>177</v>
      </c>
      <c r="F397" s="5">
        <v>10</v>
      </c>
      <c r="G397" s="5">
        <v>6940</v>
      </c>
      <c r="H397" s="5">
        <v>1.9</v>
      </c>
      <c r="I397" s="5">
        <v>68081.399999999994</v>
      </c>
      <c r="J397" s="3" t="s">
        <v>26</v>
      </c>
      <c r="K397" s="3" t="s">
        <v>56</v>
      </c>
      <c r="L397" t="str">
        <f>IFERROR(VLOOKUP(D397,Products!$A$2:$F$61,3,FALSE()),"")</f>
        <v>Sports</v>
      </c>
      <c r="M397" t="str">
        <f>IFERROR(VLOOKUP(E397,Sales_Reps!$A$2:$C$31,3,FALSE()),"")</f>
        <v>East</v>
      </c>
      <c r="N397">
        <f>IFERROR(VLOOKUP(D397,Products!$A$2:$F$61,4,FALSE()),"")</f>
        <v>2827</v>
      </c>
      <c r="O397" t="str">
        <f>IFERROR(VLOOKUP(C397,Customers!$A$2:$F$301,5,FALSE()),"")</f>
        <v>Corporate</v>
      </c>
      <c r="P397">
        <f>IFERROR(VLOOKUP(C397,Customers!$A$2:$F$301,3,FALSE()),"")</f>
        <v>57</v>
      </c>
      <c r="Q397">
        <f t="shared" si="18"/>
        <v>0.5926512968299712</v>
      </c>
      <c r="R397">
        <f>IF(AND(COUNTIF($A$2:$A$2027,A397)&gt;1,COUNTIF($A$2:A397,A397)=1),1,0)</f>
        <v>0</v>
      </c>
      <c r="S397" t="b">
        <f>IFERROR(VLOOKUP(D397,Products!$A$2:$F$61,6,FALSE()),"")</f>
        <v>1</v>
      </c>
      <c r="T397" t="str">
        <f>IF(COUNTIF(Customers!$A$2:$A$301,C397)=0,"Missing","OK")</f>
        <v>OK</v>
      </c>
      <c r="U397" t="str">
        <f t="shared" si="19"/>
        <v>Bengaluru</v>
      </c>
      <c r="V397">
        <f t="shared" si="20"/>
        <v>0</v>
      </c>
    </row>
    <row r="398" spans="1:22" ht="15" customHeight="1" x14ac:dyDescent="0.35">
      <c r="A398" s="3" t="s">
        <v>743</v>
      </c>
      <c r="B398" s="4">
        <v>45397</v>
      </c>
      <c r="C398" s="3" t="s">
        <v>519</v>
      </c>
      <c r="D398" s="3" t="s">
        <v>325</v>
      </c>
      <c r="E398" s="3" t="s">
        <v>31</v>
      </c>
      <c r="F398" s="5">
        <v>8</v>
      </c>
      <c r="G398" s="5">
        <v>2290</v>
      </c>
      <c r="H398" s="5">
        <v>27.9</v>
      </c>
      <c r="I398" s="5">
        <v>13208.72</v>
      </c>
      <c r="J398" s="3" t="s">
        <v>26</v>
      </c>
      <c r="K398" s="3" t="s">
        <v>27</v>
      </c>
      <c r="L398" t="str">
        <f>IFERROR(VLOOKUP(D398,Products!$A$2:$F$61,3,FALSE()),"")</f>
        <v>Beauty</v>
      </c>
      <c r="M398" t="str">
        <f>IFERROR(VLOOKUP(E398,Sales_Reps!$A$2:$C$31,3,FALSE()),"")</f>
        <v>North</v>
      </c>
      <c r="N398">
        <f>IFERROR(VLOOKUP(D398,Products!$A$2:$F$61,4,FALSE()),"")</f>
        <v>1219</v>
      </c>
      <c r="O398" t="str">
        <f>IFERROR(VLOOKUP(C398,Customers!$A$2:$F$301,5,FALSE()),"")</f>
        <v>Corporate</v>
      </c>
      <c r="P398">
        <f>IFERROR(VLOOKUP(C398,Customers!$A$2:$F$301,3,FALSE()),"")</f>
        <v>40</v>
      </c>
      <c r="Q398">
        <f t="shared" si="18"/>
        <v>0.46768558951965067</v>
      </c>
      <c r="R398">
        <f>IF(AND(COUNTIF($A$2:$A$2027,A398)&gt;1,COUNTIF($A$2:A398,A398)=1),1,0)</f>
        <v>0</v>
      </c>
      <c r="S398" t="b">
        <f>IFERROR(VLOOKUP(D398,Products!$A$2:$F$61,6,FALSE()),"")</f>
        <v>1</v>
      </c>
      <c r="T398" t="str">
        <f>IF(COUNTIF(Customers!$A$2:$A$301,C398)=0,"Missing","OK")</f>
        <v>OK</v>
      </c>
      <c r="U398" t="str">
        <f t="shared" si="19"/>
        <v>Pune</v>
      </c>
      <c r="V398">
        <f t="shared" si="20"/>
        <v>0</v>
      </c>
    </row>
    <row r="399" spans="1:22" ht="15" customHeight="1" x14ac:dyDescent="0.35">
      <c r="A399" s="3" t="s">
        <v>744</v>
      </c>
      <c r="B399" s="4">
        <v>45573</v>
      </c>
      <c r="C399" s="3" t="s">
        <v>451</v>
      </c>
      <c r="D399" s="3" t="s">
        <v>45</v>
      </c>
      <c r="E399" s="3" t="s">
        <v>55</v>
      </c>
      <c r="F399" s="5">
        <v>9</v>
      </c>
      <c r="G399" s="5">
        <v>3160</v>
      </c>
      <c r="H399" s="5">
        <v>10.199999999999999</v>
      </c>
      <c r="I399" s="5">
        <v>25539.119999999999</v>
      </c>
      <c r="J399" s="3" t="s">
        <v>26</v>
      </c>
      <c r="K399" s="3" t="s">
        <v>72</v>
      </c>
      <c r="L399" t="str">
        <f>IFERROR(VLOOKUP(D399,Products!$A$2:$F$61,3,FALSE()),"")</f>
        <v>Apparel</v>
      </c>
      <c r="M399" t="str">
        <f>IFERROR(VLOOKUP(E399,Sales_Reps!$A$2:$C$31,3,FALSE()),"")</f>
        <v>West</v>
      </c>
      <c r="N399">
        <f>IFERROR(VLOOKUP(D399,Products!$A$2:$F$61,4,FALSE()),"")</f>
        <v>1886</v>
      </c>
      <c r="O399" t="str">
        <f>IFERROR(VLOOKUP(C399,Customers!$A$2:$F$301,5,FALSE()),"")</f>
        <v>Retail</v>
      </c>
      <c r="P399">
        <f>IFERROR(VLOOKUP(C399,Customers!$A$2:$F$301,3,FALSE()),"")</f>
        <v>61</v>
      </c>
      <c r="Q399">
        <f t="shared" si="18"/>
        <v>0.4031645569620253</v>
      </c>
      <c r="R399">
        <f>IF(AND(COUNTIF($A$2:$A$2027,A399)&gt;1,COUNTIF($A$2:A399,A399)=1),1,0)</f>
        <v>0</v>
      </c>
      <c r="S399" t="b">
        <f>IFERROR(VLOOKUP(D399,Products!$A$2:$F$61,6,FALSE()),"")</f>
        <v>1</v>
      </c>
      <c r="T399" t="str">
        <f>IF(COUNTIF(Customers!$A$2:$A$301,C399)=0,"Missing","OK")</f>
        <v>OK</v>
      </c>
      <c r="U399" t="str">
        <f t="shared" si="19"/>
        <v>Hyderabad</v>
      </c>
      <c r="V399">
        <f t="shared" si="20"/>
        <v>0</v>
      </c>
    </row>
    <row r="400" spans="1:22" ht="15" customHeight="1" x14ac:dyDescent="0.35">
      <c r="A400" s="3" t="s">
        <v>745</v>
      </c>
      <c r="B400" s="4">
        <v>45307</v>
      </c>
      <c r="C400" s="3" t="s">
        <v>746</v>
      </c>
      <c r="D400" s="3" t="s">
        <v>382</v>
      </c>
      <c r="E400" s="3" t="s">
        <v>67</v>
      </c>
      <c r="F400" s="5">
        <v>6</v>
      </c>
      <c r="G400" s="5">
        <v>5080</v>
      </c>
      <c r="H400" s="5">
        <v>25.4</v>
      </c>
      <c r="I400" s="5">
        <v>22738.080000000002</v>
      </c>
      <c r="J400" s="3" t="s">
        <v>26</v>
      </c>
      <c r="K400" s="3" t="s">
        <v>27</v>
      </c>
      <c r="L400" t="str">
        <f>IFERROR(VLOOKUP(D400,Products!$A$2:$F$61,3,FALSE()),"")</f>
        <v>Home</v>
      </c>
      <c r="M400" t="str">
        <f>IFERROR(VLOOKUP(E400,Sales_Reps!$A$2:$C$31,3,FALSE()),"")</f>
        <v>West</v>
      </c>
      <c r="N400">
        <f>IFERROR(VLOOKUP(D400,Products!$A$2:$F$61,4,FALSE()),"")</f>
        <v>2459</v>
      </c>
      <c r="O400" t="str">
        <f>IFERROR(VLOOKUP(C400,Customers!$A$2:$F$301,5,FALSE()),"")</f>
        <v>Retail</v>
      </c>
      <c r="P400">
        <f>IFERROR(VLOOKUP(C400,Customers!$A$2:$F$301,3,FALSE()),"")</f>
        <v>36</v>
      </c>
      <c r="Q400">
        <f t="shared" si="18"/>
        <v>0.51594488188976373</v>
      </c>
      <c r="R400">
        <f>IF(AND(COUNTIF($A$2:$A$2027,A400)&gt;1,COUNTIF($A$2:A400,A400)=1),1,0)</f>
        <v>0</v>
      </c>
      <c r="S400" t="b">
        <f>IFERROR(VLOOKUP(D400,Products!$A$2:$F$61,6,FALSE()),"")</f>
        <v>1</v>
      </c>
      <c r="T400" t="str">
        <f>IF(COUNTIF(Customers!$A$2:$A$301,C400)=0,"Missing","OK")</f>
        <v>OK</v>
      </c>
      <c r="U400" t="str">
        <f t="shared" si="19"/>
        <v>Pune</v>
      </c>
      <c r="V400">
        <f t="shared" si="20"/>
        <v>0</v>
      </c>
    </row>
    <row r="401" spans="1:22" ht="15" customHeight="1" x14ac:dyDescent="0.35">
      <c r="A401" s="3" t="s">
        <v>747</v>
      </c>
      <c r="B401" s="4">
        <v>45620</v>
      </c>
      <c r="C401" s="3" t="s">
        <v>683</v>
      </c>
      <c r="D401" s="3" t="s">
        <v>139</v>
      </c>
      <c r="E401" s="3" t="s">
        <v>264</v>
      </c>
      <c r="F401" s="5">
        <v>6</v>
      </c>
      <c r="G401" s="5">
        <v>2760</v>
      </c>
      <c r="H401" s="5">
        <v>21.3</v>
      </c>
      <c r="I401" s="5">
        <v>13032.72</v>
      </c>
      <c r="J401" s="3" t="s">
        <v>26</v>
      </c>
      <c r="K401" s="3" t="s">
        <v>72</v>
      </c>
      <c r="L401" t="str">
        <f>IFERROR(VLOOKUP(D401,Products!$A$2:$F$61,3,FALSE()),"")</f>
        <v>Grocery</v>
      </c>
      <c r="M401" t="str">
        <f>IFERROR(VLOOKUP(E401,Sales_Reps!$A$2:$C$31,3,FALSE()),"")</f>
        <v>South</v>
      </c>
      <c r="N401">
        <f>IFERROR(VLOOKUP(D401,Products!$A$2:$F$61,4,FALSE()),"")</f>
        <v>1435</v>
      </c>
      <c r="O401" t="str">
        <f>IFERROR(VLOOKUP(C401,Customers!$A$2:$F$301,5,FALSE()),"")</f>
        <v>Retail</v>
      </c>
      <c r="P401">
        <f>IFERROR(VLOOKUP(C401,Customers!$A$2:$F$301,3,FALSE()),"")</f>
        <v>64</v>
      </c>
      <c r="Q401">
        <f t="shared" si="18"/>
        <v>0.48007246376811596</v>
      </c>
      <c r="R401">
        <f>IF(AND(COUNTIF($A$2:$A$2027,A401)&gt;1,COUNTIF($A$2:A401,A401)=1),1,0)</f>
        <v>0</v>
      </c>
      <c r="S401" t="b">
        <f>IFERROR(VLOOKUP(D401,Products!$A$2:$F$61,6,FALSE()),"")</f>
        <v>1</v>
      </c>
      <c r="T401" t="str">
        <f>IF(COUNTIF(Customers!$A$2:$A$301,C401)=0,"Missing","OK")</f>
        <v>OK</v>
      </c>
      <c r="U401" t="str">
        <f t="shared" si="19"/>
        <v>Hyderabad</v>
      </c>
      <c r="V401">
        <f t="shared" si="20"/>
        <v>0</v>
      </c>
    </row>
    <row r="402" spans="1:22" ht="15" customHeight="1" x14ac:dyDescent="0.35">
      <c r="A402" s="3" t="s">
        <v>748</v>
      </c>
      <c r="B402" s="4">
        <v>45462</v>
      </c>
      <c r="C402" s="3" t="s">
        <v>749</v>
      </c>
      <c r="D402" s="3" t="s">
        <v>206</v>
      </c>
      <c r="E402" s="3" t="s">
        <v>264</v>
      </c>
      <c r="F402" s="5">
        <v>5</v>
      </c>
      <c r="G402" s="5">
        <v>1220</v>
      </c>
      <c r="H402" s="5">
        <v>7.6</v>
      </c>
      <c r="I402" s="5">
        <v>5636.4</v>
      </c>
      <c r="J402" s="3" t="s">
        <v>26</v>
      </c>
      <c r="K402" s="3" t="s">
        <v>51</v>
      </c>
      <c r="L402" t="str">
        <f>IFERROR(VLOOKUP(D402,Products!$A$2:$F$61,3,FALSE()),"")</f>
        <v>Electronics</v>
      </c>
      <c r="M402" t="str">
        <f>IFERROR(VLOOKUP(E402,Sales_Reps!$A$2:$C$31,3,FALSE()),"")</f>
        <v>South</v>
      </c>
      <c r="N402">
        <f>IFERROR(VLOOKUP(D402,Products!$A$2:$F$61,4,FALSE()),"")</f>
        <v>517</v>
      </c>
      <c r="O402" t="str">
        <f>IFERROR(VLOOKUP(C402,Customers!$A$2:$F$301,5,FALSE()),"")</f>
        <v/>
      </c>
      <c r="P402" t="str">
        <f>IFERROR(VLOOKUP(C402,Customers!$A$2:$F$301,3,FALSE()),"")</f>
        <v/>
      </c>
      <c r="Q402">
        <f t="shared" si="18"/>
        <v>0.57622950819672136</v>
      </c>
      <c r="R402">
        <f>IF(AND(COUNTIF($A$2:$A$2027,A402)&gt;1,COUNTIF($A$2:A402,A402)=1),1,0)</f>
        <v>0</v>
      </c>
      <c r="S402" t="b">
        <f>IFERROR(VLOOKUP(D402,Products!$A$2:$F$61,6,FALSE()),"")</f>
        <v>1</v>
      </c>
      <c r="T402" t="str">
        <f>IF(COUNTIF(Customers!$A$2:$A$301,C402)=0,"Missing","OK")</f>
        <v>Missing</v>
      </c>
      <c r="U402" t="str">
        <f t="shared" si="19"/>
        <v>Mumbai</v>
      </c>
      <c r="V402">
        <f t="shared" si="20"/>
        <v>0</v>
      </c>
    </row>
    <row r="403" spans="1:22" ht="15" customHeight="1" x14ac:dyDescent="0.35">
      <c r="A403" s="3" t="s">
        <v>750</v>
      </c>
      <c r="B403" s="4">
        <v>45622</v>
      </c>
      <c r="C403" s="3" t="s">
        <v>240</v>
      </c>
      <c r="D403" s="3" t="s">
        <v>123</v>
      </c>
      <c r="E403" s="3" t="s">
        <v>67</v>
      </c>
      <c r="F403" s="5">
        <v>5</v>
      </c>
      <c r="G403" s="5">
        <v>4880</v>
      </c>
      <c r="H403" s="5">
        <v>8.5</v>
      </c>
      <c r="I403" s="5">
        <v>22326</v>
      </c>
      <c r="J403" s="3" t="s">
        <v>26</v>
      </c>
      <c r="K403" s="3" t="s">
        <v>33</v>
      </c>
      <c r="L403" t="str">
        <f>IFERROR(VLOOKUP(D403,Products!$A$2:$F$61,3,FALSE()),"")</f>
        <v>Beauty</v>
      </c>
      <c r="M403" t="str">
        <f>IFERROR(VLOOKUP(E403,Sales_Reps!$A$2:$C$31,3,FALSE()),"")</f>
        <v>West</v>
      </c>
      <c r="N403">
        <f>IFERROR(VLOOKUP(D403,Products!$A$2:$F$61,4,FALSE()),"")</f>
        <v>2768</v>
      </c>
      <c r="O403" t="str">
        <f>IFERROR(VLOOKUP(C403,Customers!$A$2:$F$301,5,FALSE()),"")</f>
        <v>Retail</v>
      </c>
      <c r="P403">
        <f>IFERROR(VLOOKUP(C403,Customers!$A$2:$F$301,3,FALSE()),"")</f>
        <v>41</v>
      </c>
      <c r="Q403">
        <f t="shared" si="18"/>
        <v>0.43278688524590164</v>
      </c>
      <c r="R403">
        <f>IF(AND(COUNTIF($A$2:$A$2027,A403)&gt;1,COUNTIF($A$2:A403,A403)=1),1,0)</f>
        <v>0</v>
      </c>
      <c r="S403" t="b">
        <f>IFERROR(VLOOKUP(D403,Products!$A$2:$F$61,6,FALSE()),"")</f>
        <v>1</v>
      </c>
      <c r="T403" t="str">
        <f>IF(COUNTIF(Customers!$A$2:$A$301,C403)=0,"Missing","OK")</f>
        <v>OK</v>
      </c>
      <c r="U403" t="str">
        <f t="shared" si="19"/>
        <v>Chennai</v>
      </c>
      <c r="V403">
        <f t="shared" si="20"/>
        <v>0</v>
      </c>
    </row>
    <row r="404" spans="1:22" ht="15" customHeight="1" x14ac:dyDescent="0.35">
      <c r="A404" s="3" t="s">
        <v>751</v>
      </c>
      <c r="B404" s="4">
        <v>45596</v>
      </c>
      <c r="C404" s="3" t="s">
        <v>170</v>
      </c>
      <c r="D404" s="3" t="s">
        <v>203</v>
      </c>
      <c r="E404" s="3" t="s">
        <v>224</v>
      </c>
      <c r="F404" s="5">
        <v>7</v>
      </c>
      <c r="G404" s="5">
        <v>4070</v>
      </c>
      <c r="H404" s="5">
        <v>28</v>
      </c>
      <c r="I404" s="5">
        <v>20512.8</v>
      </c>
      <c r="J404" s="3" t="s">
        <v>26</v>
      </c>
      <c r="K404" s="3" t="s">
        <v>56</v>
      </c>
      <c r="L404" t="str">
        <f>IFERROR(VLOOKUP(D404,Products!$A$2:$F$61,3,FALSE()),"")</f>
        <v>Grocery</v>
      </c>
      <c r="M404" t="str">
        <f>IFERROR(VLOOKUP(E404,Sales_Reps!$A$2:$C$31,3,FALSE()),"")</f>
        <v>East</v>
      </c>
      <c r="N404">
        <f>IFERROR(VLOOKUP(D404,Products!$A$2:$F$61,4,FALSE()),"")</f>
        <v>2027</v>
      </c>
      <c r="O404" t="str">
        <f>IFERROR(VLOOKUP(C404,Customers!$A$2:$F$301,5,FALSE()),"")</f>
        <v>SMB</v>
      </c>
      <c r="P404">
        <f>IFERROR(VLOOKUP(C404,Customers!$A$2:$F$301,3,FALSE()),"")</f>
        <v>64</v>
      </c>
      <c r="Q404">
        <f t="shared" si="18"/>
        <v>0.50196560196560192</v>
      </c>
      <c r="R404">
        <f>IF(AND(COUNTIF($A$2:$A$2027,A404)&gt;1,COUNTIF($A$2:A404,A404)=1),1,0)</f>
        <v>0</v>
      </c>
      <c r="S404" t="b">
        <f>IFERROR(VLOOKUP(D404,Products!$A$2:$F$61,6,FALSE()),"")</f>
        <v>1</v>
      </c>
      <c r="T404" t="str">
        <f>IF(COUNTIF(Customers!$A$2:$A$301,C404)=0,"Missing","OK")</f>
        <v>OK</v>
      </c>
      <c r="U404" t="str">
        <f t="shared" si="19"/>
        <v>Bengaluru</v>
      </c>
      <c r="V404">
        <f t="shared" si="20"/>
        <v>20512.8</v>
      </c>
    </row>
    <row r="405" spans="1:22" ht="15" customHeight="1" x14ac:dyDescent="0.35">
      <c r="A405" s="3" t="s">
        <v>752</v>
      </c>
      <c r="B405" s="4">
        <v>45506</v>
      </c>
      <c r="C405" s="3" t="s">
        <v>440</v>
      </c>
      <c r="D405" s="3" t="s">
        <v>347</v>
      </c>
      <c r="E405" s="3" t="s">
        <v>67</v>
      </c>
      <c r="F405" s="5">
        <v>2</v>
      </c>
      <c r="G405" s="5">
        <v>3970</v>
      </c>
      <c r="H405" s="5">
        <v>14</v>
      </c>
      <c r="I405" s="5">
        <v>6828.4</v>
      </c>
      <c r="J405" s="3" t="s">
        <v>26</v>
      </c>
      <c r="K405" s="3" t="s">
        <v>72</v>
      </c>
      <c r="L405" t="str">
        <f>IFERROR(VLOOKUP(D405,Products!$A$2:$F$61,3,FALSE()),"")</f>
        <v>Electronics</v>
      </c>
      <c r="M405" t="str">
        <f>IFERROR(VLOOKUP(E405,Sales_Reps!$A$2:$C$31,3,FALSE()),"")</f>
        <v>West</v>
      </c>
      <c r="N405">
        <f>IFERROR(VLOOKUP(D405,Products!$A$2:$F$61,4,FALSE()),"")</f>
        <v>2865</v>
      </c>
      <c r="O405" t="str">
        <f>IFERROR(VLOOKUP(C405,Customers!$A$2:$F$301,5,FALSE()),"")</f>
        <v>SMB</v>
      </c>
      <c r="P405">
        <f>IFERROR(VLOOKUP(C405,Customers!$A$2:$F$301,3,FALSE()),"")</f>
        <v>65</v>
      </c>
      <c r="Q405">
        <f t="shared" si="18"/>
        <v>0.27833753148614609</v>
      </c>
      <c r="R405">
        <f>IF(AND(COUNTIF($A$2:$A$2027,A405)&gt;1,COUNTIF($A$2:A405,A405)=1),1,0)</f>
        <v>0</v>
      </c>
      <c r="S405" t="b">
        <f>IFERROR(VLOOKUP(D405,Products!$A$2:$F$61,6,FALSE()),"")</f>
        <v>1</v>
      </c>
      <c r="T405" t="str">
        <f>IF(COUNTIF(Customers!$A$2:$A$301,C405)=0,"Missing","OK")</f>
        <v>OK</v>
      </c>
      <c r="U405" t="str">
        <f t="shared" si="19"/>
        <v>Hyderabad</v>
      </c>
      <c r="V405">
        <f t="shared" si="20"/>
        <v>0</v>
      </c>
    </row>
    <row r="406" spans="1:22" ht="15" customHeight="1" x14ac:dyDescent="0.35">
      <c r="A406" s="3" t="s">
        <v>753</v>
      </c>
      <c r="B406" s="4">
        <v>45349</v>
      </c>
      <c r="C406" s="3" t="s">
        <v>205</v>
      </c>
      <c r="D406" s="3" t="s">
        <v>218</v>
      </c>
      <c r="E406" s="3" t="s">
        <v>242</v>
      </c>
      <c r="F406" s="5">
        <v>9</v>
      </c>
      <c r="G406" s="5">
        <v>2660</v>
      </c>
      <c r="H406" s="5">
        <v>10.1</v>
      </c>
      <c r="I406" s="5">
        <v>21522.06</v>
      </c>
      <c r="J406" s="3" t="s">
        <v>26</v>
      </c>
      <c r="K406" s="3" t="s">
        <v>38</v>
      </c>
      <c r="L406" t="str">
        <f>IFERROR(VLOOKUP(D406,Products!$A$2:$F$61,3,FALSE()),"")</f>
        <v>Electronics</v>
      </c>
      <c r="M406" t="str">
        <f>IFERROR(VLOOKUP(E406,Sales_Reps!$A$2:$C$31,3,FALSE()),"")</f>
        <v>East</v>
      </c>
      <c r="N406">
        <f>IFERROR(VLOOKUP(D406,Products!$A$2:$F$61,4,FALSE()),"")</f>
        <v>1259</v>
      </c>
      <c r="O406" t="str">
        <f>IFERROR(VLOOKUP(C406,Customers!$A$2:$F$301,5,FALSE()),"")</f>
        <v>Corporate</v>
      </c>
      <c r="P406">
        <f>IFERROR(VLOOKUP(C406,Customers!$A$2:$F$301,3,FALSE()),"")</f>
        <v>55</v>
      </c>
      <c r="Q406">
        <f t="shared" si="18"/>
        <v>0.52669172932330832</v>
      </c>
      <c r="R406">
        <f>IF(AND(COUNTIF($A$2:$A$2027,A406)&gt;1,COUNTIF($A$2:A406,A406)=1),1,0)</f>
        <v>0</v>
      </c>
      <c r="S406" t="b">
        <f>IFERROR(VLOOKUP(D406,Products!$A$2:$F$61,6,FALSE()),"")</f>
        <v>0</v>
      </c>
      <c r="T406" t="str">
        <f>IF(COUNTIF(Customers!$A$2:$A$301,C406)=0,"Missing","OK")</f>
        <v>OK</v>
      </c>
      <c r="U406" t="str">
        <f t="shared" si="19"/>
        <v>Delhi</v>
      </c>
      <c r="V406">
        <f t="shared" si="20"/>
        <v>0</v>
      </c>
    </row>
    <row r="407" spans="1:22" ht="15" customHeight="1" x14ac:dyDescent="0.35">
      <c r="A407" s="3" t="s">
        <v>754</v>
      </c>
      <c r="B407" s="4">
        <v>45407</v>
      </c>
      <c r="C407" s="3" t="s">
        <v>755</v>
      </c>
      <c r="D407" s="3" t="s">
        <v>134</v>
      </c>
      <c r="E407" s="3" t="s">
        <v>224</v>
      </c>
      <c r="F407" s="5">
        <v>9</v>
      </c>
      <c r="G407" s="5">
        <v>2860</v>
      </c>
      <c r="H407" s="5">
        <v>10.1</v>
      </c>
      <c r="I407" s="5">
        <v>23140.26</v>
      </c>
      <c r="J407" s="3" t="s">
        <v>83</v>
      </c>
      <c r="K407" s="3" t="s">
        <v>27</v>
      </c>
      <c r="L407" t="str">
        <f>IFERROR(VLOOKUP(D407,Products!$A$2:$F$61,3,FALSE()),"")</f>
        <v>Sports</v>
      </c>
      <c r="M407" t="str">
        <f>IFERROR(VLOOKUP(E407,Sales_Reps!$A$2:$C$31,3,FALSE()),"")</f>
        <v>East</v>
      </c>
      <c r="N407">
        <f>IFERROR(VLOOKUP(D407,Products!$A$2:$F$61,4,FALSE()),"")</f>
        <v>2028</v>
      </c>
      <c r="O407" t="str">
        <f>IFERROR(VLOOKUP(C407,Customers!$A$2:$F$301,5,FALSE()),"")</f>
        <v>Retail</v>
      </c>
      <c r="P407">
        <f>IFERROR(VLOOKUP(C407,Customers!$A$2:$F$301,3,FALSE()),"")</f>
        <v>36</v>
      </c>
      <c r="Q407">
        <f t="shared" si="18"/>
        <v>0.29090909090909089</v>
      </c>
      <c r="R407">
        <f>IF(AND(COUNTIF($A$2:$A$2027,A407)&gt;1,COUNTIF($A$2:A407,A407)=1),1,0)</f>
        <v>0</v>
      </c>
      <c r="S407" t="b">
        <f>IFERROR(VLOOKUP(D407,Products!$A$2:$F$61,6,FALSE()),"")</f>
        <v>1</v>
      </c>
      <c r="T407" t="str">
        <f>IF(COUNTIF(Customers!$A$2:$A$301,C407)=0,"Missing","OK")</f>
        <v>OK</v>
      </c>
      <c r="U407" t="str">
        <f t="shared" si="19"/>
        <v>Pune</v>
      </c>
      <c r="V407">
        <f t="shared" si="20"/>
        <v>0</v>
      </c>
    </row>
    <row r="408" spans="1:22" ht="15" customHeight="1" x14ac:dyDescent="0.35">
      <c r="A408" s="3" t="s">
        <v>756</v>
      </c>
      <c r="B408" s="4">
        <v>45591</v>
      </c>
      <c r="C408" s="3" t="s">
        <v>230</v>
      </c>
      <c r="D408" s="3" t="s">
        <v>206</v>
      </c>
      <c r="E408" s="3" t="s">
        <v>25</v>
      </c>
      <c r="F408" s="5">
        <v>7</v>
      </c>
      <c r="G408" s="5">
        <v>1220</v>
      </c>
      <c r="H408" s="5">
        <v>23.5</v>
      </c>
      <c r="I408" s="5">
        <v>6533.1</v>
      </c>
      <c r="J408" s="3" t="s">
        <v>83</v>
      </c>
      <c r="K408" s="3" t="s">
        <v>38</v>
      </c>
      <c r="L408" t="str">
        <f>IFERROR(VLOOKUP(D408,Products!$A$2:$F$61,3,FALSE()),"")</f>
        <v>Electronics</v>
      </c>
      <c r="M408" t="str">
        <f>IFERROR(VLOOKUP(E408,Sales_Reps!$A$2:$C$31,3,FALSE()),"")</f>
        <v>North</v>
      </c>
      <c r="N408">
        <f>IFERROR(VLOOKUP(D408,Products!$A$2:$F$61,4,FALSE()),"")</f>
        <v>517</v>
      </c>
      <c r="O408" t="str">
        <f>IFERROR(VLOOKUP(C408,Customers!$A$2:$F$301,5,FALSE()),"")</f>
        <v>Retail</v>
      </c>
      <c r="P408">
        <f>IFERROR(VLOOKUP(C408,Customers!$A$2:$F$301,3,FALSE()),"")</f>
        <v>35</v>
      </c>
      <c r="Q408">
        <f t="shared" si="18"/>
        <v>0.57622950819672136</v>
      </c>
      <c r="R408">
        <f>IF(AND(COUNTIF($A$2:$A$2027,A408)&gt;1,COUNTIF($A$2:A408,A408)=1),1,0)</f>
        <v>0</v>
      </c>
      <c r="S408" t="b">
        <f>IFERROR(VLOOKUP(D408,Products!$A$2:$F$61,6,FALSE()),"")</f>
        <v>1</v>
      </c>
      <c r="T408" t="str">
        <f>IF(COUNTIF(Customers!$A$2:$A$301,C408)=0,"Missing","OK")</f>
        <v>OK</v>
      </c>
      <c r="U408" t="str">
        <f t="shared" si="19"/>
        <v>Delhi</v>
      </c>
      <c r="V408">
        <f t="shared" si="20"/>
        <v>0</v>
      </c>
    </row>
    <row r="409" spans="1:22" ht="15" customHeight="1" x14ac:dyDescent="0.35">
      <c r="A409" s="3" t="s">
        <v>757</v>
      </c>
      <c r="B409" s="4">
        <v>45584</v>
      </c>
      <c r="C409" s="3" t="s">
        <v>373</v>
      </c>
      <c r="D409" s="3" t="s">
        <v>184</v>
      </c>
      <c r="E409" s="3" t="s">
        <v>140</v>
      </c>
      <c r="F409" s="5">
        <v>1</v>
      </c>
      <c r="G409" s="5">
        <v>2270</v>
      </c>
      <c r="H409" s="5">
        <v>5.8</v>
      </c>
      <c r="I409" s="5">
        <v>2138.34</v>
      </c>
      <c r="J409" s="3" t="s">
        <v>79</v>
      </c>
      <c r="K409" s="3" t="s">
        <v>38</v>
      </c>
      <c r="L409" t="str">
        <f>IFERROR(VLOOKUP(D409,Products!$A$2:$F$61,3,FALSE()),"")</f>
        <v>Grocery</v>
      </c>
      <c r="M409" t="str">
        <f>IFERROR(VLOOKUP(E409,Sales_Reps!$A$2:$C$31,3,FALSE()),"")</f>
        <v>West</v>
      </c>
      <c r="N409">
        <f>IFERROR(VLOOKUP(D409,Products!$A$2:$F$61,4,FALSE()),"")</f>
        <v>1412</v>
      </c>
      <c r="O409" t="str">
        <f>IFERROR(VLOOKUP(C409,Customers!$A$2:$F$301,5,FALSE()),"")</f>
        <v>Corporate</v>
      </c>
      <c r="P409">
        <f>IFERROR(VLOOKUP(C409,Customers!$A$2:$F$301,3,FALSE()),"")</f>
        <v>31</v>
      </c>
      <c r="Q409">
        <f t="shared" si="18"/>
        <v>0.37797356828193834</v>
      </c>
      <c r="R409">
        <f>IF(AND(COUNTIF($A$2:$A$2027,A409)&gt;1,COUNTIF($A$2:A409,A409)=1),1,0)</f>
        <v>0</v>
      </c>
      <c r="S409" t="b">
        <f>IFERROR(VLOOKUP(D409,Products!$A$2:$F$61,6,FALSE()),"")</f>
        <v>1</v>
      </c>
      <c r="T409" t="str">
        <f>IF(COUNTIF(Customers!$A$2:$A$301,C409)=0,"Missing","OK")</f>
        <v>OK</v>
      </c>
      <c r="U409" t="str">
        <f t="shared" si="19"/>
        <v>Delhi</v>
      </c>
      <c r="V409">
        <f t="shared" si="20"/>
        <v>0</v>
      </c>
    </row>
    <row r="410" spans="1:22" ht="15" customHeight="1" x14ac:dyDescent="0.35">
      <c r="A410" s="3" t="s">
        <v>758</v>
      </c>
      <c r="B410" s="4">
        <v>45581</v>
      </c>
      <c r="C410" s="3" t="s">
        <v>556</v>
      </c>
      <c r="D410" s="3" t="s">
        <v>142</v>
      </c>
      <c r="E410" s="3" t="s">
        <v>236</v>
      </c>
      <c r="F410" s="5">
        <v>2</v>
      </c>
      <c r="G410" s="5">
        <v>660</v>
      </c>
      <c r="H410" s="5">
        <v>2.2999999999999998</v>
      </c>
      <c r="I410" s="5">
        <v>1289.6400000000001</v>
      </c>
      <c r="J410" s="3" t="s">
        <v>26</v>
      </c>
      <c r="K410" s="3" t="s">
        <v>51</v>
      </c>
      <c r="L410" t="str">
        <f>IFERROR(VLOOKUP(D410,Products!$A$2:$F$61,3,FALSE()),"")</f>
        <v>Home</v>
      </c>
      <c r="M410" t="str">
        <f>IFERROR(VLOOKUP(E410,Sales_Reps!$A$2:$C$31,3,FALSE()),"")</f>
        <v>North</v>
      </c>
      <c r="N410">
        <f>IFERROR(VLOOKUP(D410,Products!$A$2:$F$61,4,FALSE()),"")</f>
        <v>329</v>
      </c>
      <c r="O410" t="str">
        <f>IFERROR(VLOOKUP(C410,Customers!$A$2:$F$301,5,FALSE()),"")</f>
        <v>SMB</v>
      </c>
      <c r="P410">
        <f>IFERROR(VLOOKUP(C410,Customers!$A$2:$F$301,3,FALSE()),"")</f>
        <v>65</v>
      </c>
      <c r="Q410">
        <f t="shared" si="18"/>
        <v>0.50151515151515147</v>
      </c>
      <c r="R410">
        <f>IF(AND(COUNTIF($A$2:$A$2027,A410)&gt;1,COUNTIF($A$2:A410,A410)=1),1,0)</f>
        <v>0</v>
      </c>
      <c r="S410" t="b">
        <f>IFERROR(VLOOKUP(D410,Products!$A$2:$F$61,6,FALSE()),"")</f>
        <v>1</v>
      </c>
      <c r="T410" t="str">
        <f>IF(COUNTIF(Customers!$A$2:$A$301,C410)=0,"Missing","OK")</f>
        <v>OK</v>
      </c>
      <c r="U410" t="str">
        <f t="shared" si="19"/>
        <v>Mumbai</v>
      </c>
      <c r="V410">
        <f t="shared" si="20"/>
        <v>0</v>
      </c>
    </row>
    <row r="411" spans="1:22" ht="15" customHeight="1" x14ac:dyDescent="0.35">
      <c r="A411" s="3" t="s">
        <v>759</v>
      </c>
      <c r="B411" s="4">
        <v>45441</v>
      </c>
      <c r="C411" s="3" t="s">
        <v>284</v>
      </c>
      <c r="D411" s="3" t="s">
        <v>45</v>
      </c>
      <c r="E411" s="3" t="s">
        <v>37</v>
      </c>
      <c r="F411" s="5">
        <v>1</v>
      </c>
      <c r="G411" s="5">
        <v>3160</v>
      </c>
      <c r="H411" s="5">
        <v>5.6</v>
      </c>
      <c r="I411" s="5">
        <v>2983.04</v>
      </c>
      <c r="J411" s="3" t="s">
        <v>26</v>
      </c>
      <c r="K411" s="3" t="s">
        <v>33</v>
      </c>
      <c r="L411" t="str">
        <f>IFERROR(VLOOKUP(D411,Products!$A$2:$F$61,3,FALSE()),"")</f>
        <v>Apparel</v>
      </c>
      <c r="M411" t="str">
        <f>IFERROR(VLOOKUP(E411,Sales_Reps!$A$2:$C$31,3,FALSE()),"")</f>
        <v>South</v>
      </c>
      <c r="N411">
        <f>IFERROR(VLOOKUP(D411,Products!$A$2:$F$61,4,FALSE()),"")</f>
        <v>1886</v>
      </c>
      <c r="O411" t="str">
        <f>IFERROR(VLOOKUP(C411,Customers!$A$2:$F$301,5,FALSE()),"")</f>
        <v>Corporate</v>
      </c>
      <c r="P411">
        <f>IFERROR(VLOOKUP(C411,Customers!$A$2:$F$301,3,FALSE()),"")</f>
        <v>38</v>
      </c>
      <c r="Q411">
        <f t="shared" si="18"/>
        <v>0.4031645569620253</v>
      </c>
      <c r="R411">
        <f>IF(AND(COUNTIF($A$2:$A$2027,A411)&gt;1,COUNTIF($A$2:A411,A411)=1),1,0)</f>
        <v>0</v>
      </c>
      <c r="S411" t="b">
        <f>IFERROR(VLOOKUP(D411,Products!$A$2:$F$61,6,FALSE()),"")</f>
        <v>1</v>
      </c>
      <c r="T411" t="str">
        <f>IF(COUNTIF(Customers!$A$2:$A$301,C411)=0,"Missing","OK")</f>
        <v>OK</v>
      </c>
      <c r="U411" t="str">
        <f t="shared" si="19"/>
        <v>Chennai</v>
      </c>
      <c r="V411">
        <f t="shared" si="20"/>
        <v>0</v>
      </c>
    </row>
    <row r="412" spans="1:22" ht="15" customHeight="1" x14ac:dyDescent="0.35">
      <c r="A412" s="3" t="s">
        <v>760</v>
      </c>
      <c r="B412" s="4">
        <v>45408</v>
      </c>
      <c r="C412" s="3" t="s">
        <v>44</v>
      </c>
      <c r="D412" s="3" t="s">
        <v>77</v>
      </c>
      <c r="E412" s="3" t="s">
        <v>191</v>
      </c>
      <c r="F412" s="5">
        <v>1</v>
      </c>
      <c r="G412" s="5">
        <v>2600</v>
      </c>
      <c r="H412" s="5">
        <v>1</v>
      </c>
      <c r="I412" s="5">
        <v>2574</v>
      </c>
      <c r="J412" s="3" t="s">
        <v>26</v>
      </c>
      <c r="K412" s="3" t="s">
        <v>33</v>
      </c>
      <c r="L412" t="str">
        <f>IFERROR(VLOOKUP(D412,Products!$A$2:$F$61,3,FALSE()),"")</f>
        <v>Electronics</v>
      </c>
      <c r="M412" t="str">
        <f>IFERROR(VLOOKUP(E412,Sales_Reps!$A$2:$C$31,3,FALSE()),"")</f>
        <v>South</v>
      </c>
      <c r="N412">
        <f>IFERROR(VLOOKUP(D412,Products!$A$2:$F$61,4,FALSE()),"")</f>
        <v>1052</v>
      </c>
      <c r="O412" t="str">
        <f>IFERROR(VLOOKUP(C412,Customers!$A$2:$F$301,5,FALSE()),"")</f>
        <v>Retail</v>
      </c>
      <c r="P412">
        <f>IFERROR(VLOOKUP(C412,Customers!$A$2:$F$301,3,FALSE()),"")</f>
        <v>36</v>
      </c>
      <c r="Q412">
        <f t="shared" si="18"/>
        <v>0.5953846153846154</v>
      </c>
      <c r="R412">
        <f>IF(AND(COUNTIF($A$2:$A$2027,A412)&gt;1,COUNTIF($A$2:A412,A412)=1),1,0)</f>
        <v>0</v>
      </c>
      <c r="S412" t="b">
        <f>IFERROR(VLOOKUP(D412,Products!$A$2:$F$61,6,FALSE()),"")</f>
        <v>1</v>
      </c>
      <c r="T412" t="str">
        <f>IF(COUNTIF(Customers!$A$2:$A$301,C412)=0,"Missing","OK")</f>
        <v>OK</v>
      </c>
      <c r="U412" t="str">
        <f t="shared" si="19"/>
        <v>Chennai</v>
      </c>
      <c r="V412">
        <f t="shared" si="20"/>
        <v>0</v>
      </c>
    </row>
    <row r="413" spans="1:22" ht="15" customHeight="1" x14ac:dyDescent="0.35">
      <c r="A413" s="3" t="s">
        <v>761</v>
      </c>
      <c r="B413" s="4">
        <v>45515</v>
      </c>
      <c r="C413" s="3" t="s">
        <v>762</v>
      </c>
      <c r="D413" s="3" t="s">
        <v>209</v>
      </c>
      <c r="E413" s="3" t="s">
        <v>37</v>
      </c>
      <c r="F413" s="5">
        <v>4</v>
      </c>
      <c r="G413" s="5">
        <v>4610</v>
      </c>
      <c r="H413" s="5">
        <v>18.7</v>
      </c>
      <c r="I413" s="5">
        <v>14991.72</v>
      </c>
      <c r="J413" s="3" t="s">
        <v>26</v>
      </c>
      <c r="K413" s="3" t="s">
        <v>33</v>
      </c>
      <c r="L413" t="str">
        <f>IFERROR(VLOOKUP(D413,Products!$A$2:$F$61,3,FALSE()),"")</f>
        <v>Home</v>
      </c>
      <c r="M413" t="str">
        <f>IFERROR(VLOOKUP(E413,Sales_Reps!$A$2:$C$31,3,FALSE()),"")</f>
        <v>South</v>
      </c>
      <c r="N413">
        <f>IFERROR(VLOOKUP(D413,Products!$A$2:$F$61,4,FALSE()),"")</f>
        <v>1850</v>
      </c>
      <c r="O413" t="str">
        <f>IFERROR(VLOOKUP(C413,Customers!$A$2:$F$301,5,FALSE()),"")</f>
        <v>Retail</v>
      </c>
      <c r="P413">
        <f>IFERROR(VLOOKUP(C413,Customers!$A$2:$F$301,3,FALSE()),"")</f>
        <v>32</v>
      </c>
      <c r="Q413">
        <f t="shared" si="18"/>
        <v>0.59869848156182215</v>
      </c>
      <c r="R413">
        <f>IF(AND(COUNTIF($A$2:$A$2027,A413)&gt;1,COUNTIF($A$2:A413,A413)=1),1,0)</f>
        <v>0</v>
      </c>
      <c r="S413" t="b">
        <f>IFERROR(VLOOKUP(D413,Products!$A$2:$F$61,6,FALSE()),"")</f>
        <v>1</v>
      </c>
      <c r="T413" t="str">
        <f>IF(COUNTIF(Customers!$A$2:$A$301,C413)=0,"Missing","OK")</f>
        <v>OK</v>
      </c>
      <c r="U413" t="str">
        <f t="shared" si="19"/>
        <v>Chennai</v>
      </c>
      <c r="V413">
        <f t="shared" si="20"/>
        <v>0</v>
      </c>
    </row>
    <row r="414" spans="1:22" ht="15" customHeight="1" x14ac:dyDescent="0.35">
      <c r="A414" s="3" t="s">
        <v>763</v>
      </c>
      <c r="B414" s="4">
        <v>45412</v>
      </c>
      <c r="C414" s="3" t="s">
        <v>498</v>
      </c>
      <c r="D414" s="3" t="s">
        <v>176</v>
      </c>
      <c r="E414" s="3" t="s">
        <v>242</v>
      </c>
      <c r="F414" s="5">
        <v>3</v>
      </c>
      <c r="G414" s="5">
        <v>3640</v>
      </c>
      <c r="H414" s="5">
        <v>9.6999999999999993</v>
      </c>
      <c r="I414" s="5">
        <v>9860.76</v>
      </c>
      <c r="J414" s="3" t="s">
        <v>79</v>
      </c>
      <c r="K414" s="3" t="s">
        <v>27</v>
      </c>
      <c r="L414" t="str">
        <f>IFERROR(VLOOKUP(D414,Products!$A$2:$F$61,3,FALSE()),"")</f>
        <v>Apparel</v>
      </c>
      <c r="M414" t="str">
        <f>IFERROR(VLOOKUP(E414,Sales_Reps!$A$2:$C$31,3,FALSE()),"")</f>
        <v>East</v>
      </c>
      <c r="N414">
        <f>IFERROR(VLOOKUP(D414,Products!$A$2:$F$61,4,FALSE()),"")</f>
        <v>2611</v>
      </c>
      <c r="O414" t="str">
        <f>IFERROR(VLOOKUP(C414,Customers!$A$2:$F$301,5,FALSE()),"")</f>
        <v>Retail</v>
      </c>
      <c r="P414">
        <f>IFERROR(VLOOKUP(C414,Customers!$A$2:$F$301,3,FALSE()),"")</f>
        <v>62</v>
      </c>
      <c r="Q414">
        <f t="shared" si="18"/>
        <v>0.28269230769230769</v>
      </c>
      <c r="R414">
        <f>IF(AND(COUNTIF($A$2:$A$2027,A414)&gt;1,COUNTIF($A$2:A414,A414)=1),1,0)</f>
        <v>0</v>
      </c>
      <c r="S414" t="b">
        <f>IFERROR(VLOOKUP(D414,Products!$A$2:$F$61,6,FALSE()),"")</f>
        <v>1</v>
      </c>
      <c r="T414" t="str">
        <f>IF(COUNTIF(Customers!$A$2:$A$301,C414)=0,"Missing","OK")</f>
        <v>OK</v>
      </c>
      <c r="U414" t="str">
        <f t="shared" si="19"/>
        <v>Pune</v>
      </c>
      <c r="V414">
        <f t="shared" si="20"/>
        <v>0</v>
      </c>
    </row>
    <row r="415" spans="1:22" ht="15" customHeight="1" x14ac:dyDescent="0.35">
      <c r="A415" s="3" t="s">
        <v>764</v>
      </c>
      <c r="B415" s="4">
        <v>45448</v>
      </c>
      <c r="C415" s="3" t="s">
        <v>485</v>
      </c>
      <c r="D415" s="3" t="s">
        <v>112</v>
      </c>
      <c r="E415" s="3" t="s">
        <v>78</v>
      </c>
      <c r="F415" s="5">
        <v>6</v>
      </c>
      <c r="G415" s="5">
        <v>2720</v>
      </c>
      <c r="H415" s="5">
        <v>13</v>
      </c>
      <c r="I415" s="5">
        <v>14198.4</v>
      </c>
      <c r="J415" s="3" t="s">
        <v>32</v>
      </c>
      <c r="K415" s="3" t="s">
        <v>38</v>
      </c>
      <c r="L415" t="str">
        <f>IFERROR(VLOOKUP(D415,Products!$A$2:$F$61,3,FALSE()),"")</f>
        <v>Apparel</v>
      </c>
      <c r="M415" t="str">
        <f>IFERROR(VLOOKUP(E415,Sales_Reps!$A$2:$C$31,3,FALSE()),"")</f>
        <v>North</v>
      </c>
      <c r="N415">
        <f>IFERROR(VLOOKUP(D415,Products!$A$2:$F$61,4,FALSE()),"")</f>
        <v>1962</v>
      </c>
      <c r="O415" t="str">
        <f>IFERROR(VLOOKUP(C415,Customers!$A$2:$F$301,5,FALSE()),"")</f>
        <v>SMB</v>
      </c>
      <c r="P415">
        <f>IFERROR(VLOOKUP(C415,Customers!$A$2:$F$301,3,FALSE()),"")</f>
        <v>29</v>
      </c>
      <c r="Q415">
        <f t="shared" si="18"/>
        <v>0.2786764705882353</v>
      </c>
      <c r="R415">
        <f>IF(AND(COUNTIF($A$2:$A$2027,A415)&gt;1,COUNTIF($A$2:A415,A415)=1),1,0)</f>
        <v>0</v>
      </c>
      <c r="S415" t="b">
        <f>IFERROR(VLOOKUP(D415,Products!$A$2:$F$61,6,FALSE()),"")</f>
        <v>1</v>
      </c>
      <c r="T415" t="str">
        <f>IF(COUNTIF(Customers!$A$2:$A$301,C415)=0,"Missing","OK")</f>
        <v>OK</v>
      </c>
      <c r="U415" t="str">
        <f t="shared" si="19"/>
        <v>Delhi</v>
      </c>
      <c r="V415">
        <f t="shared" si="20"/>
        <v>0</v>
      </c>
    </row>
    <row r="416" spans="1:22" ht="15" customHeight="1" x14ac:dyDescent="0.35">
      <c r="A416" s="3" t="s">
        <v>765</v>
      </c>
      <c r="B416" s="4">
        <v>45644</v>
      </c>
      <c r="C416" s="3" t="s">
        <v>469</v>
      </c>
      <c r="D416" s="3" t="s">
        <v>400</v>
      </c>
      <c r="E416" s="3" t="s">
        <v>46</v>
      </c>
      <c r="F416" s="5">
        <v>5</v>
      </c>
      <c r="G416" s="5">
        <v>3780</v>
      </c>
      <c r="H416" s="5">
        <v>15.2</v>
      </c>
      <c r="I416" s="5">
        <v>16027.2</v>
      </c>
      <c r="J416" s="3" t="s">
        <v>26</v>
      </c>
      <c r="K416" s="3" t="s">
        <v>38</v>
      </c>
      <c r="L416" t="str">
        <f>IFERROR(VLOOKUP(D416,Products!$A$2:$F$61,3,FALSE()),"")</f>
        <v>Sports</v>
      </c>
      <c r="M416" t="str">
        <f>IFERROR(VLOOKUP(E416,Sales_Reps!$A$2:$C$31,3,FALSE()),"")</f>
        <v>North</v>
      </c>
      <c r="N416">
        <f>IFERROR(VLOOKUP(D416,Products!$A$2:$F$61,4,FALSE()),"")</f>
        <v>1860</v>
      </c>
      <c r="O416" t="str">
        <f>IFERROR(VLOOKUP(C416,Customers!$A$2:$F$301,5,FALSE()),"")</f>
        <v>Retail</v>
      </c>
      <c r="P416">
        <f>IFERROR(VLOOKUP(C416,Customers!$A$2:$F$301,3,FALSE()),"")</f>
        <v>45</v>
      </c>
      <c r="Q416">
        <f t="shared" si="18"/>
        <v>0.50793650793650791</v>
      </c>
      <c r="R416">
        <f>IF(AND(COUNTIF($A$2:$A$2027,A416)&gt;1,COUNTIF($A$2:A416,A416)=1),1,0)</f>
        <v>0</v>
      </c>
      <c r="S416" t="b">
        <f>IFERROR(VLOOKUP(D416,Products!$A$2:$F$61,6,FALSE()),"")</f>
        <v>1</v>
      </c>
      <c r="T416" t="str">
        <f>IF(COUNTIF(Customers!$A$2:$A$301,C416)=0,"Missing","OK")</f>
        <v>OK</v>
      </c>
      <c r="U416" t="str">
        <f t="shared" si="19"/>
        <v>Delhi</v>
      </c>
      <c r="V416">
        <f t="shared" si="20"/>
        <v>0</v>
      </c>
    </row>
    <row r="417" spans="1:22" ht="15" customHeight="1" x14ac:dyDescent="0.35">
      <c r="A417" s="3" t="s">
        <v>766</v>
      </c>
      <c r="B417" s="4">
        <v>45407</v>
      </c>
      <c r="C417" s="3" t="s">
        <v>767</v>
      </c>
      <c r="D417" s="3" t="s">
        <v>441</v>
      </c>
      <c r="E417" s="3" t="s">
        <v>109</v>
      </c>
      <c r="F417" s="5">
        <v>9</v>
      </c>
      <c r="G417" s="5">
        <v>1090</v>
      </c>
      <c r="H417" s="5">
        <v>28.5</v>
      </c>
      <c r="I417" s="5">
        <v>7014.15</v>
      </c>
      <c r="J417" s="3" t="s">
        <v>26</v>
      </c>
      <c r="K417" s="3" t="s">
        <v>72</v>
      </c>
      <c r="L417" t="str">
        <f>IFERROR(VLOOKUP(D417,Products!$A$2:$F$61,3,FALSE()),"")</f>
        <v>Home</v>
      </c>
      <c r="M417" t="str">
        <f>IFERROR(VLOOKUP(E417,Sales_Reps!$A$2:$C$31,3,FALSE()),"")</f>
        <v>West</v>
      </c>
      <c r="N417">
        <f>IFERROR(VLOOKUP(D417,Products!$A$2:$F$61,4,FALSE()),"")</f>
        <v>464</v>
      </c>
      <c r="O417" t="str">
        <f>IFERROR(VLOOKUP(C417,Customers!$A$2:$F$301,5,FALSE()),"")</f>
        <v>Retail</v>
      </c>
      <c r="P417">
        <f>IFERROR(VLOOKUP(C417,Customers!$A$2:$F$301,3,FALSE()),"")</f>
        <v>52</v>
      </c>
      <c r="Q417">
        <f t="shared" si="18"/>
        <v>0.57431192660550456</v>
      </c>
      <c r="R417">
        <f>IF(AND(COUNTIF($A$2:$A$2027,A417)&gt;1,COUNTIF($A$2:A417,A417)=1),1,0)</f>
        <v>0</v>
      </c>
      <c r="S417" t="b">
        <f>IFERROR(VLOOKUP(D417,Products!$A$2:$F$61,6,FALSE()),"")</f>
        <v>1</v>
      </c>
      <c r="T417" t="str">
        <f>IF(COUNTIF(Customers!$A$2:$A$301,C417)=0,"Missing","OK")</f>
        <v>OK</v>
      </c>
      <c r="U417" t="str">
        <f t="shared" si="19"/>
        <v>Hyderabad</v>
      </c>
      <c r="V417">
        <f t="shared" si="20"/>
        <v>0</v>
      </c>
    </row>
    <row r="418" spans="1:22" ht="15" customHeight="1" x14ac:dyDescent="0.35">
      <c r="A418" s="3" t="s">
        <v>768</v>
      </c>
      <c r="B418" s="4">
        <v>45581</v>
      </c>
      <c r="C418" s="3" t="s">
        <v>524</v>
      </c>
      <c r="D418" s="3" t="s">
        <v>441</v>
      </c>
      <c r="E418" s="3" t="s">
        <v>67</v>
      </c>
      <c r="F418" s="5">
        <v>6</v>
      </c>
      <c r="G418" s="5">
        <v>1090</v>
      </c>
      <c r="H418" s="5">
        <v>28.7</v>
      </c>
      <c r="I418" s="5">
        <v>4663.0200000000004</v>
      </c>
      <c r="J418" s="3" t="s">
        <v>26</v>
      </c>
      <c r="K418" s="3" t="s">
        <v>33</v>
      </c>
      <c r="L418" t="str">
        <f>IFERROR(VLOOKUP(D418,Products!$A$2:$F$61,3,FALSE()),"")</f>
        <v>Home</v>
      </c>
      <c r="M418" t="str">
        <f>IFERROR(VLOOKUP(E418,Sales_Reps!$A$2:$C$31,3,FALSE()),"")</f>
        <v>West</v>
      </c>
      <c r="N418">
        <f>IFERROR(VLOOKUP(D418,Products!$A$2:$F$61,4,FALSE()),"")</f>
        <v>464</v>
      </c>
      <c r="O418" t="str">
        <f>IFERROR(VLOOKUP(C418,Customers!$A$2:$F$301,5,FALSE()),"")</f>
        <v>Retail</v>
      </c>
      <c r="P418">
        <f>IFERROR(VLOOKUP(C418,Customers!$A$2:$F$301,3,FALSE()),"")</f>
        <v>26</v>
      </c>
      <c r="Q418">
        <f t="shared" si="18"/>
        <v>0.57431192660550456</v>
      </c>
      <c r="R418">
        <f>IF(AND(COUNTIF($A$2:$A$2027,A418)&gt;1,COUNTIF($A$2:A418,A418)=1),1,0)</f>
        <v>0</v>
      </c>
      <c r="S418" t="b">
        <f>IFERROR(VLOOKUP(D418,Products!$A$2:$F$61,6,FALSE()),"")</f>
        <v>1</v>
      </c>
      <c r="T418" t="str">
        <f>IF(COUNTIF(Customers!$A$2:$A$301,C418)=0,"Missing","OK")</f>
        <v>OK</v>
      </c>
      <c r="U418" t="str">
        <f t="shared" si="19"/>
        <v>Chennai</v>
      </c>
      <c r="V418">
        <f t="shared" si="20"/>
        <v>0</v>
      </c>
    </row>
    <row r="419" spans="1:22" ht="15" customHeight="1" x14ac:dyDescent="0.35">
      <c r="A419" s="3" t="s">
        <v>769</v>
      </c>
      <c r="B419" s="4">
        <v>45366</v>
      </c>
      <c r="C419" s="3" t="s">
        <v>552</v>
      </c>
      <c r="D419" s="3" t="s">
        <v>294</v>
      </c>
      <c r="E419" s="3" t="s">
        <v>109</v>
      </c>
      <c r="F419" s="5">
        <v>5</v>
      </c>
      <c r="G419" s="5">
        <v>2510</v>
      </c>
      <c r="H419" s="5">
        <v>25</v>
      </c>
      <c r="I419" s="5">
        <v>9412.5</v>
      </c>
      <c r="J419" s="3" t="s">
        <v>26</v>
      </c>
      <c r="K419" s="3" t="s">
        <v>51</v>
      </c>
      <c r="L419" t="str">
        <f>IFERROR(VLOOKUP(D419,Products!$A$2:$F$61,3,FALSE()),"")</f>
        <v>Apparel</v>
      </c>
      <c r="M419" t="str">
        <f>IFERROR(VLOOKUP(E419,Sales_Reps!$A$2:$C$31,3,FALSE()),"")</f>
        <v>West</v>
      </c>
      <c r="N419">
        <f>IFERROR(VLOOKUP(D419,Products!$A$2:$F$61,4,FALSE()),"")</f>
        <v>1075</v>
      </c>
      <c r="O419" t="str">
        <f>IFERROR(VLOOKUP(C419,Customers!$A$2:$F$301,5,FALSE()),"")</f>
        <v>Retail</v>
      </c>
      <c r="P419">
        <f>IFERROR(VLOOKUP(C419,Customers!$A$2:$F$301,3,FALSE()),"")</f>
        <v>44</v>
      </c>
      <c r="Q419">
        <f t="shared" si="18"/>
        <v>0.57171314741035861</v>
      </c>
      <c r="R419">
        <f>IF(AND(COUNTIF($A$2:$A$2027,A419)&gt;1,COUNTIF($A$2:A419,A419)=1),1,0)</f>
        <v>0</v>
      </c>
      <c r="S419" t="b">
        <f>IFERROR(VLOOKUP(D419,Products!$A$2:$F$61,6,FALSE()),"")</f>
        <v>0</v>
      </c>
      <c r="T419" t="str">
        <f>IF(COUNTIF(Customers!$A$2:$A$301,C419)=0,"Missing","OK")</f>
        <v>OK</v>
      </c>
      <c r="U419" t="str">
        <f t="shared" si="19"/>
        <v>Mumbai</v>
      </c>
      <c r="V419">
        <f t="shared" si="20"/>
        <v>0</v>
      </c>
    </row>
    <row r="420" spans="1:22" ht="15" customHeight="1" x14ac:dyDescent="0.35">
      <c r="A420" s="3" t="s">
        <v>770</v>
      </c>
      <c r="B420" s="4">
        <v>45577</v>
      </c>
      <c r="C420" s="3" t="s">
        <v>312</v>
      </c>
      <c r="D420" s="3" t="s">
        <v>347</v>
      </c>
      <c r="E420" s="3" t="s">
        <v>71</v>
      </c>
      <c r="F420" s="5">
        <v>5</v>
      </c>
      <c r="G420" s="5">
        <v>3970</v>
      </c>
      <c r="H420" s="5">
        <v>26</v>
      </c>
      <c r="I420" s="5">
        <v>14689</v>
      </c>
      <c r="J420" s="3" t="s">
        <v>26</v>
      </c>
      <c r="K420" s="3" t="s">
        <v>27</v>
      </c>
      <c r="L420" t="str">
        <f>IFERROR(VLOOKUP(D420,Products!$A$2:$F$61,3,FALSE()),"")</f>
        <v>Electronics</v>
      </c>
      <c r="M420" t="str">
        <f>IFERROR(VLOOKUP(E420,Sales_Reps!$A$2:$C$31,3,FALSE()),"")</f>
        <v>South</v>
      </c>
      <c r="N420">
        <f>IFERROR(VLOOKUP(D420,Products!$A$2:$F$61,4,FALSE()),"")</f>
        <v>2865</v>
      </c>
      <c r="O420" t="str">
        <f>IFERROR(VLOOKUP(C420,Customers!$A$2:$F$301,5,FALSE()),"")</f>
        <v>Retail</v>
      </c>
      <c r="P420">
        <f>IFERROR(VLOOKUP(C420,Customers!$A$2:$F$301,3,FALSE()),"")</f>
        <v>43</v>
      </c>
      <c r="Q420">
        <f t="shared" si="18"/>
        <v>0.27833753148614609</v>
      </c>
      <c r="R420">
        <f>IF(AND(COUNTIF($A$2:$A$2027,A420)&gt;1,COUNTIF($A$2:A420,A420)=1),1,0)</f>
        <v>0</v>
      </c>
      <c r="S420" t="b">
        <f>IFERROR(VLOOKUP(D420,Products!$A$2:$F$61,6,FALSE()),"")</f>
        <v>1</v>
      </c>
      <c r="T420" t="str">
        <f>IF(COUNTIF(Customers!$A$2:$A$301,C420)=0,"Missing","OK")</f>
        <v>OK</v>
      </c>
      <c r="U420" t="str">
        <f t="shared" si="19"/>
        <v>Pune</v>
      </c>
      <c r="V420">
        <f t="shared" si="20"/>
        <v>0</v>
      </c>
    </row>
    <row r="421" spans="1:22" ht="15" customHeight="1" x14ac:dyDescent="0.35">
      <c r="A421" s="3" t="s">
        <v>771</v>
      </c>
      <c r="B421" s="4">
        <v>45333</v>
      </c>
      <c r="C421" s="3" t="s">
        <v>467</v>
      </c>
      <c r="D421" s="3" t="s">
        <v>203</v>
      </c>
      <c r="E421" s="3" t="s">
        <v>154</v>
      </c>
      <c r="F421" s="5">
        <v>9</v>
      </c>
      <c r="G421" s="5">
        <v>4070</v>
      </c>
      <c r="H421" s="5">
        <v>15.7</v>
      </c>
      <c r="I421" s="5">
        <v>30879.09</v>
      </c>
      <c r="J421" s="3" t="s">
        <v>26</v>
      </c>
      <c r="K421" s="3" t="s">
        <v>51</v>
      </c>
      <c r="L421" t="str">
        <f>IFERROR(VLOOKUP(D421,Products!$A$2:$F$61,3,FALSE()),"")</f>
        <v>Grocery</v>
      </c>
      <c r="M421" t="str">
        <f>IFERROR(VLOOKUP(E421,Sales_Reps!$A$2:$C$31,3,FALSE()),"")</f>
        <v>North</v>
      </c>
      <c r="N421">
        <f>IFERROR(VLOOKUP(D421,Products!$A$2:$F$61,4,FALSE()),"")</f>
        <v>2027</v>
      </c>
      <c r="O421" t="str">
        <f>IFERROR(VLOOKUP(C421,Customers!$A$2:$F$301,5,FALSE()),"")</f>
        <v>Retail</v>
      </c>
      <c r="P421">
        <f>IFERROR(VLOOKUP(C421,Customers!$A$2:$F$301,3,FALSE()),"")</f>
        <v>44</v>
      </c>
      <c r="Q421">
        <f t="shared" si="18"/>
        <v>0.50196560196560192</v>
      </c>
      <c r="R421">
        <f>IF(AND(COUNTIF($A$2:$A$2027,A421)&gt;1,COUNTIF($A$2:A421,A421)=1),1,0)</f>
        <v>0</v>
      </c>
      <c r="S421" t="b">
        <f>IFERROR(VLOOKUP(D421,Products!$A$2:$F$61,6,FALSE()),"")</f>
        <v>1</v>
      </c>
      <c r="T421" t="str">
        <f>IF(COUNTIF(Customers!$A$2:$A$301,C421)=0,"Missing","OK")</f>
        <v>OK</v>
      </c>
      <c r="U421" t="str">
        <f t="shared" si="19"/>
        <v>Mumbai</v>
      </c>
      <c r="V421">
        <f t="shared" si="20"/>
        <v>0</v>
      </c>
    </row>
    <row r="422" spans="1:22" ht="15" customHeight="1" x14ac:dyDescent="0.35">
      <c r="A422" s="3" t="s">
        <v>772</v>
      </c>
      <c r="B422" s="4">
        <v>45418</v>
      </c>
      <c r="C422" s="3" t="s">
        <v>193</v>
      </c>
      <c r="D422" s="3" t="s">
        <v>63</v>
      </c>
      <c r="E422" s="3" t="s">
        <v>78</v>
      </c>
      <c r="F422" s="5">
        <v>6</v>
      </c>
      <c r="G422" s="5">
        <v>5490</v>
      </c>
      <c r="H422" s="5">
        <v>8.5</v>
      </c>
      <c r="I422" s="5">
        <v>30140.1</v>
      </c>
      <c r="J422" s="3" t="s">
        <v>83</v>
      </c>
      <c r="K422" s="3" t="s">
        <v>33</v>
      </c>
      <c r="L422" t="str">
        <f>IFERROR(VLOOKUP(D422,Products!$A$2:$F$61,3,FALSE()),"")</f>
        <v>Home</v>
      </c>
      <c r="M422" t="str">
        <f>IFERROR(VLOOKUP(E422,Sales_Reps!$A$2:$C$31,3,FALSE()),"")</f>
        <v>North</v>
      </c>
      <c r="N422">
        <f>IFERROR(VLOOKUP(D422,Products!$A$2:$F$61,4,FALSE()),"")</f>
        <v>2549</v>
      </c>
      <c r="O422" t="str">
        <f>IFERROR(VLOOKUP(C422,Customers!$A$2:$F$301,5,FALSE()),"")</f>
        <v>Retail</v>
      </c>
      <c r="P422">
        <f>IFERROR(VLOOKUP(C422,Customers!$A$2:$F$301,3,FALSE()),"")</f>
        <v>24</v>
      </c>
      <c r="Q422">
        <f t="shared" si="18"/>
        <v>0.53570127504553733</v>
      </c>
      <c r="R422">
        <f>IF(AND(COUNTIF($A$2:$A$2027,A422)&gt;1,COUNTIF($A$2:A422,A422)=1),1,0)</f>
        <v>0</v>
      </c>
      <c r="S422" t="b">
        <f>IFERROR(VLOOKUP(D422,Products!$A$2:$F$61,6,FALSE()),"")</f>
        <v>1</v>
      </c>
      <c r="T422" t="str">
        <f>IF(COUNTIF(Customers!$A$2:$A$301,C422)=0,"Missing","OK")</f>
        <v>OK</v>
      </c>
      <c r="U422" t="str">
        <f t="shared" si="19"/>
        <v>Chennai</v>
      </c>
      <c r="V422">
        <f t="shared" si="20"/>
        <v>0</v>
      </c>
    </row>
    <row r="423" spans="1:22" ht="15" customHeight="1" x14ac:dyDescent="0.35">
      <c r="A423" s="3" t="s">
        <v>773</v>
      </c>
      <c r="B423" s="4">
        <v>45615</v>
      </c>
      <c r="C423" s="3" t="s">
        <v>774</v>
      </c>
      <c r="D423" s="3" t="s">
        <v>121</v>
      </c>
      <c r="E423" s="3" t="s">
        <v>224</v>
      </c>
      <c r="F423" s="5">
        <v>9</v>
      </c>
      <c r="G423" s="5">
        <v>1010</v>
      </c>
      <c r="H423" s="5">
        <v>3.6</v>
      </c>
      <c r="I423" s="5">
        <v>8762.76</v>
      </c>
      <c r="J423" s="3" t="s">
        <v>26</v>
      </c>
      <c r="K423" s="3" t="s">
        <v>56</v>
      </c>
      <c r="L423" t="str">
        <f>IFERROR(VLOOKUP(D423,Products!$A$2:$F$61,3,FALSE()),"")</f>
        <v>Sports</v>
      </c>
      <c r="M423" t="str">
        <f>IFERROR(VLOOKUP(E423,Sales_Reps!$A$2:$C$31,3,FALSE()),"")</f>
        <v>East</v>
      </c>
      <c r="N423">
        <f>IFERROR(VLOOKUP(D423,Products!$A$2:$F$61,4,FALSE()),"")</f>
        <v>516</v>
      </c>
      <c r="O423" t="str">
        <f>IFERROR(VLOOKUP(C423,Customers!$A$2:$F$301,5,FALSE()),"")</f>
        <v>Retail</v>
      </c>
      <c r="P423">
        <f>IFERROR(VLOOKUP(C423,Customers!$A$2:$F$301,3,FALSE()),"")</f>
        <v>52</v>
      </c>
      <c r="Q423">
        <f t="shared" si="18"/>
        <v>0.4891089108910891</v>
      </c>
      <c r="R423">
        <f>IF(AND(COUNTIF($A$2:$A$2027,A423)&gt;1,COUNTIF($A$2:A423,A423)=1),1,0)</f>
        <v>0</v>
      </c>
      <c r="S423" t="b">
        <f>IFERROR(VLOOKUP(D423,Products!$A$2:$F$61,6,FALSE()),"")</f>
        <v>1</v>
      </c>
      <c r="T423" t="str">
        <f>IF(COUNTIF(Customers!$A$2:$A$301,C423)=0,"Missing","OK")</f>
        <v>OK</v>
      </c>
      <c r="U423" t="str">
        <f t="shared" si="19"/>
        <v>Bengaluru</v>
      </c>
      <c r="V423">
        <f t="shared" si="20"/>
        <v>0</v>
      </c>
    </row>
    <row r="424" spans="1:22" ht="15" customHeight="1" x14ac:dyDescent="0.35">
      <c r="A424" s="3" t="s">
        <v>775</v>
      </c>
      <c r="B424" s="4">
        <v>45631</v>
      </c>
      <c r="C424" s="3" t="s">
        <v>776</v>
      </c>
      <c r="D424" s="3" t="s">
        <v>41</v>
      </c>
      <c r="E424" s="3" t="s">
        <v>46</v>
      </c>
      <c r="F424" s="5">
        <v>6</v>
      </c>
      <c r="G424" s="5">
        <v>3660</v>
      </c>
      <c r="H424" s="5">
        <v>10.8</v>
      </c>
      <c r="I424" s="5">
        <v>19588.32</v>
      </c>
      <c r="J424" s="3" t="s">
        <v>26</v>
      </c>
      <c r="K424" s="3" t="s">
        <v>56</v>
      </c>
      <c r="L424" t="str">
        <f>IFERROR(VLOOKUP(D424,Products!$A$2:$F$61,3,FALSE()),"")</f>
        <v>Grocery</v>
      </c>
      <c r="M424" t="str">
        <f>IFERROR(VLOOKUP(E424,Sales_Reps!$A$2:$C$31,3,FALSE()),"")</f>
        <v>North</v>
      </c>
      <c r="N424">
        <f>IFERROR(VLOOKUP(D424,Products!$A$2:$F$61,4,FALSE()),"")</f>
        <v>2214</v>
      </c>
      <c r="O424" t="str">
        <f>IFERROR(VLOOKUP(C424,Customers!$A$2:$F$301,5,FALSE()),"")</f>
        <v>Retail</v>
      </c>
      <c r="P424">
        <f>IFERROR(VLOOKUP(C424,Customers!$A$2:$F$301,3,FALSE()),"")</f>
        <v>37</v>
      </c>
      <c r="Q424">
        <f t="shared" si="18"/>
        <v>0.39508196721311473</v>
      </c>
      <c r="R424">
        <f>IF(AND(COUNTIF($A$2:$A$2027,A424)&gt;1,COUNTIF($A$2:A424,A424)=1),1,0)</f>
        <v>0</v>
      </c>
      <c r="S424" t="b">
        <f>IFERROR(VLOOKUP(D424,Products!$A$2:$F$61,6,FALSE()),"")</f>
        <v>0</v>
      </c>
      <c r="T424" t="str">
        <f>IF(COUNTIF(Customers!$A$2:$A$301,C424)=0,"Missing","OK")</f>
        <v>OK</v>
      </c>
      <c r="U424" t="str">
        <f t="shared" si="19"/>
        <v>Bengaluru</v>
      </c>
      <c r="V424">
        <f t="shared" si="20"/>
        <v>19588.32</v>
      </c>
    </row>
    <row r="425" spans="1:22" ht="15" customHeight="1" x14ac:dyDescent="0.35">
      <c r="A425" s="3" t="s">
        <v>777</v>
      </c>
      <c r="B425" s="4">
        <v>45524</v>
      </c>
      <c r="C425" s="3" t="s">
        <v>352</v>
      </c>
      <c r="D425" s="3" t="s">
        <v>96</v>
      </c>
      <c r="E425" s="3" t="s">
        <v>285</v>
      </c>
      <c r="F425" s="5">
        <v>6</v>
      </c>
      <c r="G425" s="5">
        <v>3450</v>
      </c>
      <c r="H425" s="5">
        <v>10.7</v>
      </c>
      <c r="I425" s="5">
        <v>18485.099999999999</v>
      </c>
      <c r="J425" s="3" t="s">
        <v>26</v>
      </c>
      <c r="K425" s="3" t="s">
        <v>27</v>
      </c>
      <c r="L425" t="str">
        <f>IFERROR(VLOOKUP(D425,Products!$A$2:$F$61,3,FALSE()),"")</f>
        <v>Beauty</v>
      </c>
      <c r="M425" t="str">
        <f>IFERROR(VLOOKUP(E425,Sales_Reps!$A$2:$C$31,3,FALSE()),"")</f>
        <v>South</v>
      </c>
      <c r="N425">
        <f>IFERROR(VLOOKUP(D425,Products!$A$2:$F$61,4,FALSE()),"")</f>
        <v>2420</v>
      </c>
      <c r="O425" t="str">
        <f>IFERROR(VLOOKUP(C425,Customers!$A$2:$F$301,5,FALSE()),"")</f>
        <v>Retail</v>
      </c>
      <c r="P425">
        <f>IFERROR(VLOOKUP(C425,Customers!$A$2:$F$301,3,FALSE()),"")</f>
        <v>22</v>
      </c>
      <c r="Q425">
        <f t="shared" si="18"/>
        <v>0.29855072463768118</v>
      </c>
      <c r="R425">
        <f>IF(AND(COUNTIF($A$2:$A$2027,A425)&gt;1,COUNTIF($A$2:A425,A425)=1),1,0)</f>
        <v>0</v>
      </c>
      <c r="S425" t="b">
        <f>IFERROR(VLOOKUP(D425,Products!$A$2:$F$61,6,FALSE()),"")</f>
        <v>1</v>
      </c>
      <c r="T425" t="str">
        <f>IF(COUNTIF(Customers!$A$2:$A$301,C425)=0,"Missing","OK")</f>
        <v>OK</v>
      </c>
      <c r="U425" t="str">
        <f t="shared" si="19"/>
        <v>Pune</v>
      </c>
      <c r="V425">
        <f t="shared" si="20"/>
        <v>0</v>
      </c>
    </row>
    <row r="426" spans="1:22" ht="15" customHeight="1" x14ac:dyDescent="0.35">
      <c r="A426" s="3" t="s">
        <v>778</v>
      </c>
      <c r="B426" s="4">
        <v>45379</v>
      </c>
      <c r="C426" s="3" t="s">
        <v>164</v>
      </c>
      <c r="D426" s="3" t="s">
        <v>203</v>
      </c>
      <c r="E426" s="3" t="s">
        <v>212</v>
      </c>
      <c r="F426" s="5">
        <v>10</v>
      </c>
      <c r="G426" s="5">
        <v>4070</v>
      </c>
      <c r="H426" s="5">
        <v>23.4</v>
      </c>
      <c r="I426" s="5">
        <v>31176.2</v>
      </c>
      <c r="J426" s="3" t="s">
        <v>83</v>
      </c>
      <c r="K426" s="3" t="s">
        <v>33</v>
      </c>
      <c r="L426" t="str">
        <f>IFERROR(VLOOKUP(D426,Products!$A$2:$F$61,3,FALSE()),"")</f>
        <v>Grocery</v>
      </c>
      <c r="M426" t="str">
        <f>IFERROR(VLOOKUP(E426,Sales_Reps!$A$2:$C$31,3,FALSE()),"")</f>
        <v>South</v>
      </c>
      <c r="N426">
        <f>IFERROR(VLOOKUP(D426,Products!$A$2:$F$61,4,FALSE()),"")</f>
        <v>2027</v>
      </c>
      <c r="O426" t="str">
        <f>IFERROR(VLOOKUP(C426,Customers!$A$2:$F$301,5,FALSE()),"")</f>
        <v>Retail</v>
      </c>
      <c r="P426">
        <f>IFERROR(VLOOKUP(C426,Customers!$A$2:$F$301,3,FALSE()),"")</f>
        <v>37</v>
      </c>
      <c r="Q426">
        <f t="shared" si="18"/>
        <v>0.50196560196560192</v>
      </c>
      <c r="R426">
        <f>IF(AND(COUNTIF($A$2:$A$2027,A426)&gt;1,COUNTIF($A$2:A426,A426)=1),1,0)</f>
        <v>0</v>
      </c>
      <c r="S426" t="b">
        <f>IFERROR(VLOOKUP(D426,Products!$A$2:$F$61,6,FALSE()),"")</f>
        <v>1</v>
      </c>
      <c r="T426" t="str">
        <f>IF(COUNTIF(Customers!$A$2:$A$301,C426)=0,"Missing","OK")</f>
        <v>OK</v>
      </c>
      <c r="U426" t="str">
        <f t="shared" si="19"/>
        <v>Chennai</v>
      </c>
      <c r="V426">
        <f t="shared" si="20"/>
        <v>0</v>
      </c>
    </row>
    <row r="427" spans="1:22" ht="15" customHeight="1" x14ac:dyDescent="0.35">
      <c r="A427" s="3" t="s">
        <v>779</v>
      </c>
      <c r="B427" s="4">
        <v>45454</v>
      </c>
      <c r="C427" s="3" t="s">
        <v>780</v>
      </c>
      <c r="D427" s="3" t="s">
        <v>126</v>
      </c>
      <c r="E427" s="3" t="s">
        <v>50</v>
      </c>
      <c r="F427" s="5">
        <v>9</v>
      </c>
      <c r="G427" s="5">
        <v>3570</v>
      </c>
      <c r="H427" s="5">
        <v>15.2</v>
      </c>
      <c r="I427" s="5">
        <v>27246.240000000002</v>
      </c>
      <c r="J427" s="3" t="s">
        <v>26</v>
      </c>
      <c r="K427" s="3" t="s">
        <v>56</v>
      </c>
      <c r="L427" t="str">
        <f>IFERROR(VLOOKUP(D427,Products!$A$2:$F$61,3,FALSE()),"")</f>
        <v>Electronics</v>
      </c>
      <c r="M427" t="str">
        <f>IFERROR(VLOOKUP(E427,Sales_Reps!$A$2:$C$31,3,FALSE()),"")</f>
        <v>West</v>
      </c>
      <c r="N427">
        <f>IFERROR(VLOOKUP(D427,Products!$A$2:$F$61,4,FALSE()),"")</f>
        <v>1665</v>
      </c>
      <c r="O427" t="str">
        <f>IFERROR(VLOOKUP(C427,Customers!$A$2:$F$301,5,FALSE()),"")</f>
        <v>Corporate</v>
      </c>
      <c r="P427">
        <f>IFERROR(VLOOKUP(C427,Customers!$A$2:$F$301,3,FALSE()),"")</f>
        <v>41</v>
      </c>
      <c r="Q427">
        <f t="shared" si="18"/>
        <v>0.53361344537815125</v>
      </c>
      <c r="R427">
        <f>IF(AND(COUNTIF($A$2:$A$2027,A427)&gt;1,COUNTIF($A$2:A427,A427)=1),1,0)</f>
        <v>0</v>
      </c>
      <c r="S427" t="b">
        <f>IFERROR(VLOOKUP(D427,Products!$A$2:$F$61,6,FALSE()),"")</f>
        <v>1</v>
      </c>
      <c r="T427" t="str">
        <f>IF(COUNTIF(Customers!$A$2:$A$301,C427)=0,"Missing","OK")</f>
        <v>OK</v>
      </c>
      <c r="U427" t="str">
        <f t="shared" si="19"/>
        <v>Bengaluru</v>
      </c>
      <c r="V427">
        <f t="shared" si="20"/>
        <v>0</v>
      </c>
    </row>
    <row r="428" spans="1:22" ht="15" customHeight="1" x14ac:dyDescent="0.35">
      <c r="A428" s="3" t="s">
        <v>781</v>
      </c>
      <c r="B428" s="4">
        <v>45562</v>
      </c>
      <c r="C428" s="3" t="s">
        <v>58</v>
      </c>
      <c r="D428" s="3" t="s">
        <v>454</v>
      </c>
      <c r="E428" s="3" t="s">
        <v>31</v>
      </c>
      <c r="F428" s="5">
        <v>10</v>
      </c>
      <c r="G428" s="5">
        <v>6940</v>
      </c>
      <c r="H428" s="5">
        <v>21.8</v>
      </c>
      <c r="I428" s="5">
        <v>54270.8</v>
      </c>
      <c r="J428" s="3" t="s">
        <v>32</v>
      </c>
      <c r="K428" s="3" t="s">
        <v>56</v>
      </c>
      <c r="L428" t="str">
        <f>IFERROR(VLOOKUP(D428,Products!$A$2:$F$61,3,FALSE()),"")</f>
        <v>Sports</v>
      </c>
      <c r="M428" t="str">
        <f>IFERROR(VLOOKUP(E428,Sales_Reps!$A$2:$C$31,3,FALSE()),"")</f>
        <v>North</v>
      </c>
      <c r="N428">
        <f>IFERROR(VLOOKUP(D428,Products!$A$2:$F$61,4,FALSE()),"")</f>
        <v>2827</v>
      </c>
      <c r="O428" t="str">
        <f>IFERROR(VLOOKUP(C428,Customers!$A$2:$F$301,5,FALSE()),"")</f>
        <v>Corporate</v>
      </c>
      <c r="P428">
        <f>IFERROR(VLOOKUP(C428,Customers!$A$2:$F$301,3,FALSE()),"")</f>
        <v>57</v>
      </c>
      <c r="Q428">
        <f t="shared" si="18"/>
        <v>0.5926512968299712</v>
      </c>
      <c r="R428">
        <f>IF(AND(COUNTIF($A$2:$A$2027,A428)&gt;1,COUNTIF($A$2:A428,A428)=1),1,0)</f>
        <v>0</v>
      </c>
      <c r="S428" t="b">
        <f>IFERROR(VLOOKUP(D428,Products!$A$2:$F$61,6,FALSE()),"")</f>
        <v>1</v>
      </c>
      <c r="T428" t="str">
        <f>IF(COUNTIF(Customers!$A$2:$A$301,C428)=0,"Missing","OK")</f>
        <v>OK</v>
      </c>
      <c r="U428" t="str">
        <f t="shared" si="19"/>
        <v>Bengaluru</v>
      </c>
      <c r="V428">
        <f t="shared" si="20"/>
        <v>0</v>
      </c>
    </row>
    <row r="429" spans="1:22" ht="15" customHeight="1" x14ac:dyDescent="0.35">
      <c r="A429" s="3" t="s">
        <v>782</v>
      </c>
      <c r="B429" s="4">
        <v>45489</v>
      </c>
      <c r="C429" s="3" t="s">
        <v>255</v>
      </c>
      <c r="D429" s="3" t="s">
        <v>115</v>
      </c>
      <c r="E429" s="3" t="s">
        <v>37</v>
      </c>
      <c r="F429" s="5">
        <v>9</v>
      </c>
      <c r="G429" s="5">
        <v>1650</v>
      </c>
      <c r="H429" s="5">
        <v>24.3</v>
      </c>
      <c r="I429" s="5">
        <v>11241.45</v>
      </c>
      <c r="J429" s="3" t="s">
        <v>26</v>
      </c>
      <c r="K429" s="3" t="s">
        <v>27</v>
      </c>
      <c r="L429" t="str">
        <f>IFERROR(VLOOKUP(D429,Products!$A$2:$F$61,3,FALSE()),"")</f>
        <v>Beauty</v>
      </c>
      <c r="M429" t="str">
        <f>IFERROR(VLOOKUP(E429,Sales_Reps!$A$2:$C$31,3,FALSE()),"")</f>
        <v>South</v>
      </c>
      <c r="N429">
        <f>IFERROR(VLOOKUP(D429,Products!$A$2:$F$61,4,FALSE()),"")</f>
        <v>1222</v>
      </c>
      <c r="O429" t="str">
        <f>IFERROR(VLOOKUP(C429,Customers!$A$2:$F$301,5,FALSE()),"")</f>
        <v>SMB</v>
      </c>
      <c r="P429">
        <f>IFERROR(VLOOKUP(C429,Customers!$A$2:$F$301,3,FALSE()),"")</f>
        <v>60</v>
      </c>
      <c r="Q429">
        <f t="shared" si="18"/>
        <v>0.2593939393939394</v>
      </c>
      <c r="R429">
        <f>IF(AND(COUNTIF($A$2:$A$2027,A429)&gt;1,COUNTIF($A$2:A429,A429)=1),1,0)</f>
        <v>0</v>
      </c>
      <c r="S429" t="b">
        <f>IFERROR(VLOOKUP(D429,Products!$A$2:$F$61,6,FALSE()),"")</f>
        <v>1</v>
      </c>
      <c r="T429" t="str">
        <f>IF(COUNTIF(Customers!$A$2:$A$301,C429)=0,"Missing","OK")</f>
        <v>OK</v>
      </c>
      <c r="U429" t="str">
        <f t="shared" si="19"/>
        <v>Pune</v>
      </c>
      <c r="V429">
        <f t="shared" si="20"/>
        <v>0</v>
      </c>
    </row>
    <row r="430" spans="1:22" ht="15" customHeight="1" x14ac:dyDescent="0.35">
      <c r="A430" s="3" t="s">
        <v>783</v>
      </c>
      <c r="B430" s="4">
        <v>45624</v>
      </c>
      <c r="C430" s="3" t="s">
        <v>506</v>
      </c>
      <c r="D430" s="3" t="s">
        <v>59</v>
      </c>
      <c r="E430" s="3" t="s">
        <v>37</v>
      </c>
      <c r="F430" s="5">
        <v>10</v>
      </c>
      <c r="G430" s="5">
        <v>1430</v>
      </c>
      <c r="H430" s="5">
        <v>25.2</v>
      </c>
      <c r="I430" s="5">
        <v>10696.4</v>
      </c>
      <c r="J430" s="3" t="s">
        <v>26</v>
      </c>
      <c r="K430" s="3" t="s">
        <v>56</v>
      </c>
      <c r="L430" t="str">
        <f>IFERROR(VLOOKUP(D430,Products!$A$2:$F$61,3,FALSE()),"")</f>
        <v>Electronics</v>
      </c>
      <c r="M430" t="str">
        <f>IFERROR(VLOOKUP(E430,Sales_Reps!$A$2:$C$31,3,FALSE()),"")</f>
        <v>South</v>
      </c>
      <c r="N430">
        <f>IFERROR(VLOOKUP(D430,Products!$A$2:$F$61,4,FALSE()),"")</f>
        <v>861</v>
      </c>
      <c r="O430" t="str">
        <f>IFERROR(VLOOKUP(C430,Customers!$A$2:$F$301,5,FALSE()),"")</f>
        <v>Corporate</v>
      </c>
      <c r="P430">
        <f>IFERROR(VLOOKUP(C430,Customers!$A$2:$F$301,3,FALSE()),"")</f>
        <v>41</v>
      </c>
      <c r="Q430">
        <f t="shared" si="18"/>
        <v>0.39790209790209791</v>
      </c>
      <c r="R430">
        <f>IF(AND(COUNTIF($A$2:$A$2027,A430)&gt;1,COUNTIF($A$2:A430,A430)=1),1,0)</f>
        <v>0</v>
      </c>
      <c r="S430" t="b">
        <f>IFERROR(VLOOKUP(D430,Products!$A$2:$F$61,6,FALSE()),"")</f>
        <v>1</v>
      </c>
      <c r="T430" t="str">
        <f>IF(COUNTIF(Customers!$A$2:$A$301,C430)=0,"Missing","OK")</f>
        <v>OK</v>
      </c>
      <c r="U430" t="str">
        <f t="shared" si="19"/>
        <v>Bengaluru</v>
      </c>
      <c r="V430">
        <f t="shared" si="20"/>
        <v>0</v>
      </c>
    </row>
    <row r="431" spans="1:22" ht="15" customHeight="1" x14ac:dyDescent="0.35">
      <c r="A431" s="3" t="s">
        <v>784</v>
      </c>
      <c r="B431" s="4">
        <v>45480</v>
      </c>
      <c r="C431" s="3" t="s">
        <v>563</v>
      </c>
      <c r="D431" s="3" t="s">
        <v>290</v>
      </c>
      <c r="E431" s="3" t="s">
        <v>71</v>
      </c>
      <c r="F431" s="5">
        <v>4</v>
      </c>
      <c r="G431" s="5">
        <v>4060</v>
      </c>
      <c r="H431" s="5">
        <v>1.6</v>
      </c>
      <c r="I431" s="5">
        <v>15980.16</v>
      </c>
      <c r="J431" s="3" t="s">
        <v>26</v>
      </c>
      <c r="K431" s="3" t="s">
        <v>27</v>
      </c>
      <c r="L431" t="str">
        <f>IFERROR(VLOOKUP(D431,Products!$A$2:$F$61,3,FALSE()),"")</f>
        <v>Grocery</v>
      </c>
      <c r="M431" t="str">
        <f>IFERROR(VLOOKUP(E431,Sales_Reps!$A$2:$C$31,3,FALSE()),"")</f>
        <v>South</v>
      </c>
      <c r="N431">
        <f>IFERROR(VLOOKUP(D431,Products!$A$2:$F$61,4,FALSE()),"")</f>
        <v>2911</v>
      </c>
      <c r="O431" t="str">
        <f>IFERROR(VLOOKUP(C431,Customers!$A$2:$F$301,5,FALSE()),"")</f>
        <v>Corporate</v>
      </c>
      <c r="P431">
        <f>IFERROR(VLOOKUP(C431,Customers!$A$2:$F$301,3,FALSE()),"")</f>
        <v>31</v>
      </c>
      <c r="Q431">
        <f t="shared" si="18"/>
        <v>0.28300492610837441</v>
      </c>
      <c r="R431">
        <f>IF(AND(COUNTIF($A$2:$A$2027,A431)&gt;1,COUNTIF($A$2:A431,A431)=1),1,0)</f>
        <v>0</v>
      </c>
      <c r="S431" t="b">
        <f>IFERROR(VLOOKUP(D431,Products!$A$2:$F$61,6,FALSE()),"")</f>
        <v>1</v>
      </c>
      <c r="T431" t="str">
        <f>IF(COUNTIF(Customers!$A$2:$A$301,C431)=0,"Missing","OK")</f>
        <v>OK</v>
      </c>
      <c r="U431" t="str">
        <f t="shared" si="19"/>
        <v>Pune</v>
      </c>
      <c r="V431">
        <f t="shared" si="20"/>
        <v>0</v>
      </c>
    </row>
    <row r="432" spans="1:22" ht="15" customHeight="1" x14ac:dyDescent="0.35">
      <c r="A432" s="3" t="s">
        <v>785</v>
      </c>
      <c r="B432" s="4">
        <v>45420</v>
      </c>
      <c r="C432" s="3" t="s">
        <v>545</v>
      </c>
      <c r="D432" s="3" t="s">
        <v>49</v>
      </c>
      <c r="E432" s="3" t="s">
        <v>31</v>
      </c>
      <c r="F432" s="5">
        <v>9</v>
      </c>
      <c r="G432" s="5">
        <v>370</v>
      </c>
      <c r="H432" s="5">
        <v>17</v>
      </c>
      <c r="I432" s="5">
        <v>2763.9</v>
      </c>
      <c r="J432" s="3" t="s">
        <v>26</v>
      </c>
      <c r="K432" s="3" t="s">
        <v>51</v>
      </c>
      <c r="L432" t="str">
        <f>IFERROR(VLOOKUP(D432,Products!$A$2:$F$61,3,FALSE()),"")</f>
        <v>Home</v>
      </c>
      <c r="M432" t="str">
        <f>IFERROR(VLOOKUP(E432,Sales_Reps!$A$2:$C$31,3,FALSE()),"")</f>
        <v>North</v>
      </c>
      <c r="N432">
        <f>IFERROR(VLOOKUP(D432,Products!$A$2:$F$61,4,FALSE()),"")</f>
        <v>288</v>
      </c>
      <c r="O432" t="str">
        <f>IFERROR(VLOOKUP(C432,Customers!$A$2:$F$301,5,FALSE()),"")</f>
        <v>Retail</v>
      </c>
      <c r="P432">
        <f>IFERROR(VLOOKUP(C432,Customers!$A$2:$F$301,3,FALSE()),"")</f>
        <v>52</v>
      </c>
      <c r="Q432">
        <f t="shared" si="18"/>
        <v>0.22162162162162163</v>
      </c>
      <c r="R432">
        <f>IF(AND(COUNTIF($A$2:$A$2027,A432)&gt;1,COUNTIF($A$2:A432,A432)=1),1,0)</f>
        <v>0</v>
      </c>
      <c r="S432" t="b">
        <f>IFERROR(VLOOKUP(D432,Products!$A$2:$F$61,6,FALSE()),"")</f>
        <v>1</v>
      </c>
      <c r="T432" t="str">
        <f>IF(COUNTIF(Customers!$A$2:$A$301,C432)=0,"Missing","OK")</f>
        <v>OK</v>
      </c>
      <c r="U432" t="str">
        <f t="shared" si="19"/>
        <v>Mumbai</v>
      </c>
      <c r="V432">
        <f t="shared" si="20"/>
        <v>0</v>
      </c>
    </row>
    <row r="433" spans="1:22" ht="15" customHeight="1" x14ac:dyDescent="0.35">
      <c r="A433" s="3" t="s">
        <v>786</v>
      </c>
      <c r="B433" s="4">
        <v>45322</v>
      </c>
      <c r="C433" s="3" t="s">
        <v>642</v>
      </c>
      <c r="D433" s="3" t="s">
        <v>198</v>
      </c>
      <c r="E433" s="3" t="s">
        <v>71</v>
      </c>
      <c r="F433" s="5">
        <v>1</v>
      </c>
      <c r="G433" s="5">
        <v>1540</v>
      </c>
      <c r="H433" s="5">
        <v>24</v>
      </c>
      <c r="I433" s="5">
        <v>1170.4000000000001</v>
      </c>
      <c r="J433" s="3" t="s">
        <v>79</v>
      </c>
      <c r="K433" s="3" t="s">
        <v>27</v>
      </c>
      <c r="L433" t="str">
        <f>IFERROR(VLOOKUP(D433,Products!$A$2:$F$61,3,FALSE()),"")</f>
        <v>Beauty</v>
      </c>
      <c r="M433" t="str">
        <f>IFERROR(VLOOKUP(E433,Sales_Reps!$A$2:$C$31,3,FALSE()),"")</f>
        <v>South</v>
      </c>
      <c r="N433">
        <f>IFERROR(VLOOKUP(D433,Products!$A$2:$F$61,4,FALSE()),"")</f>
        <v>647</v>
      </c>
      <c r="O433" t="str">
        <f>IFERROR(VLOOKUP(C433,Customers!$A$2:$F$301,5,FALSE()),"")</f>
        <v>Corporate</v>
      </c>
      <c r="P433">
        <f>IFERROR(VLOOKUP(C433,Customers!$A$2:$F$301,3,FALSE()),"")</f>
        <v>52</v>
      </c>
      <c r="Q433">
        <f t="shared" si="18"/>
        <v>0.57987012987012987</v>
      </c>
      <c r="R433">
        <f>IF(AND(COUNTIF($A$2:$A$2027,A433)&gt;1,COUNTIF($A$2:A433,A433)=1),1,0)</f>
        <v>0</v>
      </c>
      <c r="S433" t="b">
        <f>IFERROR(VLOOKUP(D433,Products!$A$2:$F$61,6,FALSE()),"")</f>
        <v>0</v>
      </c>
      <c r="T433" t="str">
        <f>IF(COUNTIF(Customers!$A$2:$A$301,C433)=0,"Missing","OK")</f>
        <v>OK</v>
      </c>
      <c r="U433" t="str">
        <f t="shared" si="19"/>
        <v>Pune</v>
      </c>
      <c r="V433">
        <f t="shared" si="20"/>
        <v>0</v>
      </c>
    </row>
    <row r="434" spans="1:22" ht="15" customHeight="1" x14ac:dyDescent="0.35">
      <c r="A434" s="3" t="s">
        <v>787</v>
      </c>
      <c r="B434" s="4">
        <v>45382</v>
      </c>
      <c r="C434" s="3" t="s">
        <v>502</v>
      </c>
      <c r="D434" s="3" t="s">
        <v>77</v>
      </c>
      <c r="E434" s="3" t="s">
        <v>50</v>
      </c>
      <c r="F434" s="5">
        <v>9</v>
      </c>
      <c r="G434" s="5">
        <v>2600</v>
      </c>
      <c r="H434" s="5">
        <v>7.7</v>
      </c>
      <c r="I434" s="5">
        <v>21598.2</v>
      </c>
      <c r="J434" s="3" t="s">
        <v>26</v>
      </c>
      <c r="K434" s="3" t="s">
        <v>27</v>
      </c>
      <c r="L434" t="str">
        <f>IFERROR(VLOOKUP(D434,Products!$A$2:$F$61,3,FALSE()),"")</f>
        <v>Electronics</v>
      </c>
      <c r="M434" t="str">
        <f>IFERROR(VLOOKUP(E434,Sales_Reps!$A$2:$C$31,3,FALSE()),"")</f>
        <v>West</v>
      </c>
      <c r="N434">
        <f>IFERROR(VLOOKUP(D434,Products!$A$2:$F$61,4,FALSE()),"")</f>
        <v>1052</v>
      </c>
      <c r="O434" t="str">
        <f>IFERROR(VLOOKUP(C434,Customers!$A$2:$F$301,5,FALSE()),"")</f>
        <v>SMB</v>
      </c>
      <c r="P434">
        <f>IFERROR(VLOOKUP(C434,Customers!$A$2:$F$301,3,FALSE()),"")</f>
        <v>24</v>
      </c>
      <c r="Q434">
        <f t="shared" si="18"/>
        <v>0.5953846153846154</v>
      </c>
      <c r="R434">
        <f>IF(AND(COUNTIF($A$2:$A$2027,A434)&gt;1,COUNTIF($A$2:A434,A434)=1),1,0)</f>
        <v>0</v>
      </c>
      <c r="S434" t="b">
        <f>IFERROR(VLOOKUP(D434,Products!$A$2:$F$61,6,FALSE()),"")</f>
        <v>1</v>
      </c>
      <c r="T434" t="str">
        <f>IF(COUNTIF(Customers!$A$2:$A$301,C434)=0,"Missing","OK")</f>
        <v>OK</v>
      </c>
      <c r="U434" t="str">
        <f t="shared" si="19"/>
        <v>Pune</v>
      </c>
      <c r="V434">
        <f t="shared" si="20"/>
        <v>0</v>
      </c>
    </row>
    <row r="435" spans="1:22" ht="15" customHeight="1" x14ac:dyDescent="0.35">
      <c r="A435" s="3" t="s">
        <v>788</v>
      </c>
      <c r="B435" s="4">
        <v>45497</v>
      </c>
      <c r="C435" s="3" t="s">
        <v>789</v>
      </c>
      <c r="D435" s="3" t="s">
        <v>294</v>
      </c>
      <c r="E435" s="3" t="s">
        <v>127</v>
      </c>
      <c r="F435" s="5">
        <v>8</v>
      </c>
      <c r="G435" s="5">
        <v>2510</v>
      </c>
      <c r="H435" s="5">
        <v>3.7</v>
      </c>
      <c r="I435" s="5">
        <v>19337.04</v>
      </c>
      <c r="J435" s="3" t="s">
        <v>26</v>
      </c>
      <c r="K435" s="3" t="s">
        <v>33</v>
      </c>
      <c r="L435" t="str">
        <f>IFERROR(VLOOKUP(D435,Products!$A$2:$F$61,3,FALSE()),"")</f>
        <v>Apparel</v>
      </c>
      <c r="M435" t="str">
        <f>IFERROR(VLOOKUP(E435,Sales_Reps!$A$2:$C$31,3,FALSE()),"")</f>
        <v>South</v>
      </c>
      <c r="N435">
        <f>IFERROR(VLOOKUP(D435,Products!$A$2:$F$61,4,FALSE()),"")</f>
        <v>1075</v>
      </c>
      <c r="O435" t="str">
        <f>IFERROR(VLOOKUP(C435,Customers!$A$2:$F$301,5,FALSE()),"")</f>
        <v>SMB</v>
      </c>
      <c r="P435">
        <f>IFERROR(VLOOKUP(C435,Customers!$A$2:$F$301,3,FALSE()),"")</f>
        <v>26</v>
      </c>
      <c r="Q435">
        <f t="shared" si="18"/>
        <v>0.57171314741035861</v>
      </c>
      <c r="R435">
        <f>IF(AND(COUNTIF($A$2:$A$2027,A435)&gt;1,COUNTIF($A$2:A435,A435)=1),1,0)</f>
        <v>0</v>
      </c>
      <c r="S435" t="b">
        <f>IFERROR(VLOOKUP(D435,Products!$A$2:$F$61,6,FALSE()),"")</f>
        <v>0</v>
      </c>
      <c r="T435" t="str">
        <f>IF(COUNTIF(Customers!$A$2:$A$301,C435)=0,"Missing","OK")</f>
        <v>OK</v>
      </c>
      <c r="U435" t="str">
        <f t="shared" si="19"/>
        <v>Chennai</v>
      </c>
      <c r="V435">
        <f t="shared" si="20"/>
        <v>0</v>
      </c>
    </row>
    <row r="436" spans="1:22" ht="15" customHeight="1" x14ac:dyDescent="0.35">
      <c r="A436" s="3" t="s">
        <v>790</v>
      </c>
      <c r="B436" s="4">
        <v>45510</v>
      </c>
      <c r="C436" s="3" t="s">
        <v>563</v>
      </c>
      <c r="D436" s="3" t="s">
        <v>303</v>
      </c>
      <c r="E436" s="3" t="s">
        <v>87</v>
      </c>
      <c r="F436" s="5">
        <v>6</v>
      </c>
      <c r="G436" s="5">
        <v>5330</v>
      </c>
      <c r="H436" s="5">
        <v>8.4</v>
      </c>
      <c r="I436" s="5">
        <v>29293.68</v>
      </c>
      <c r="J436" s="3" t="s">
        <v>26</v>
      </c>
      <c r="K436" s="3" t="s">
        <v>27</v>
      </c>
      <c r="L436" t="str">
        <f>IFERROR(VLOOKUP(D436,Products!$A$2:$F$61,3,FALSE()),"")</f>
        <v>Electronics</v>
      </c>
      <c r="M436" t="str">
        <f>IFERROR(VLOOKUP(E436,Sales_Reps!$A$2:$C$31,3,FALSE()),"")</f>
        <v>North</v>
      </c>
      <c r="N436">
        <f>IFERROR(VLOOKUP(D436,Products!$A$2:$F$61,4,FALSE()),"")</f>
        <v>2405</v>
      </c>
      <c r="O436" t="str">
        <f>IFERROR(VLOOKUP(C436,Customers!$A$2:$F$301,5,FALSE()),"")</f>
        <v>Corporate</v>
      </c>
      <c r="P436">
        <f>IFERROR(VLOOKUP(C436,Customers!$A$2:$F$301,3,FALSE()),"")</f>
        <v>31</v>
      </c>
      <c r="Q436">
        <f t="shared" si="18"/>
        <v>0.54878048780487809</v>
      </c>
      <c r="R436">
        <f>IF(AND(COUNTIF($A$2:$A$2027,A436)&gt;1,COUNTIF($A$2:A436,A436)=1),1,0)</f>
        <v>0</v>
      </c>
      <c r="S436" t="b">
        <f>IFERROR(VLOOKUP(D436,Products!$A$2:$F$61,6,FALSE()),"")</f>
        <v>1</v>
      </c>
      <c r="T436" t="str">
        <f>IF(COUNTIF(Customers!$A$2:$A$301,C436)=0,"Missing","OK")</f>
        <v>OK</v>
      </c>
      <c r="U436" t="str">
        <f t="shared" si="19"/>
        <v>Pune</v>
      </c>
      <c r="V436">
        <f t="shared" si="20"/>
        <v>0</v>
      </c>
    </row>
    <row r="437" spans="1:22" ht="15" customHeight="1" x14ac:dyDescent="0.35">
      <c r="A437" s="3" t="s">
        <v>791</v>
      </c>
      <c r="B437" s="4">
        <v>45522</v>
      </c>
      <c r="C437" s="3" t="s">
        <v>368</v>
      </c>
      <c r="D437" s="3" t="s">
        <v>382</v>
      </c>
      <c r="E437" s="3" t="s">
        <v>37</v>
      </c>
      <c r="F437" s="5">
        <v>5</v>
      </c>
      <c r="G437" s="5">
        <v>5080</v>
      </c>
      <c r="H437" s="5">
        <v>10.3</v>
      </c>
      <c r="I437" s="5">
        <v>22783.8</v>
      </c>
      <c r="J437" s="3" t="s">
        <v>26</v>
      </c>
      <c r="K437" s="3" t="s">
        <v>56</v>
      </c>
      <c r="L437" t="str">
        <f>IFERROR(VLOOKUP(D437,Products!$A$2:$F$61,3,FALSE()),"")</f>
        <v>Home</v>
      </c>
      <c r="M437" t="str">
        <f>IFERROR(VLOOKUP(E437,Sales_Reps!$A$2:$C$31,3,FALSE()),"")</f>
        <v>South</v>
      </c>
      <c r="N437">
        <f>IFERROR(VLOOKUP(D437,Products!$A$2:$F$61,4,FALSE()),"")</f>
        <v>2459</v>
      </c>
      <c r="O437" t="str">
        <f>IFERROR(VLOOKUP(C437,Customers!$A$2:$F$301,5,FALSE()),"")</f>
        <v>Retail</v>
      </c>
      <c r="P437">
        <f>IFERROR(VLOOKUP(C437,Customers!$A$2:$F$301,3,FALSE()),"")</f>
        <v>55</v>
      </c>
      <c r="Q437">
        <f t="shared" si="18"/>
        <v>0.51594488188976373</v>
      </c>
      <c r="R437">
        <f>IF(AND(COUNTIF($A$2:$A$2027,A437)&gt;1,COUNTIF($A$2:A437,A437)=1),1,0)</f>
        <v>0</v>
      </c>
      <c r="S437" t="b">
        <f>IFERROR(VLOOKUP(D437,Products!$A$2:$F$61,6,FALSE()),"")</f>
        <v>1</v>
      </c>
      <c r="T437" t="str">
        <f>IF(COUNTIF(Customers!$A$2:$A$301,C437)=0,"Missing","OK")</f>
        <v>OK</v>
      </c>
      <c r="U437" t="str">
        <f t="shared" si="19"/>
        <v>Bengaluru</v>
      </c>
      <c r="V437">
        <f t="shared" si="20"/>
        <v>0</v>
      </c>
    </row>
    <row r="438" spans="1:22" ht="15" customHeight="1" x14ac:dyDescent="0.35">
      <c r="A438" s="3" t="s">
        <v>792</v>
      </c>
      <c r="B438" s="4">
        <v>45381</v>
      </c>
      <c r="C438" s="3" t="s">
        <v>549</v>
      </c>
      <c r="D438" s="3" t="s">
        <v>203</v>
      </c>
      <c r="E438" s="3" t="s">
        <v>50</v>
      </c>
      <c r="F438" s="5">
        <v>3</v>
      </c>
      <c r="G438" s="5">
        <v>4070</v>
      </c>
      <c r="H438" s="5">
        <v>23.7</v>
      </c>
      <c r="I438" s="5">
        <v>9316.23</v>
      </c>
      <c r="J438" s="3" t="s">
        <v>26</v>
      </c>
      <c r="K438" s="3" t="s">
        <v>56</v>
      </c>
      <c r="L438" t="str">
        <f>IFERROR(VLOOKUP(D438,Products!$A$2:$F$61,3,FALSE()),"")</f>
        <v>Grocery</v>
      </c>
      <c r="M438" t="str">
        <f>IFERROR(VLOOKUP(E438,Sales_Reps!$A$2:$C$31,3,FALSE()),"")</f>
        <v>West</v>
      </c>
      <c r="N438">
        <f>IFERROR(VLOOKUP(D438,Products!$A$2:$F$61,4,FALSE()),"")</f>
        <v>2027</v>
      </c>
      <c r="O438" t="str">
        <f>IFERROR(VLOOKUP(C438,Customers!$A$2:$F$301,5,FALSE()),"")</f>
        <v>SMB</v>
      </c>
      <c r="P438">
        <f>IFERROR(VLOOKUP(C438,Customers!$A$2:$F$301,3,FALSE()),"")</f>
        <v>42</v>
      </c>
      <c r="Q438">
        <f t="shared" si="18"/>
        <v>0.50196560196560192</v>
      </c>
      <c r="R438">
        <f>IF(AND(COUNTIF($A$2:$A$2027,A438)&gt;1,COUNTIF($A$2:A438,A438)=1),1,0)</f>
        <v>0</v>
      </c>
      <c r="S438" t="b">
        <f>IFERROR(VLOOKUP(D438,Products!$A$2:$F$61,6,FALSE()),"")</f>
        <v>1</v>
      </c>
      <c r="T438" t="str">
        <f>IF(COUNTIF(Customers!$A$2:$A$301,C438)=0,"Missing","OK")</f>
        <v>OK</v>
      </c>
      <c r="U438" t="str">
        <f t="shared" si="19"/>
        <v>Bengaluru</v>
      </c>
      <c r="V438">
        <f t="shared" si="20"/>
        <v>9316.23</v>
      </c>
    </row>
    <row r="439" spans="1:22" ht="15" customHeight="1" x14ac:dyDescent="0.35">
      <c r="A439" s="3" t="s">
        <v>793</v>
      </c>
      <c r="B439" s="4">
        <v>45511</v>
      </c>
      <c r="C439" s="3" t="s">
        <v>129</v>
      </c>
      <c r="D439" s="3" t="s">
        <v>231</v>
      </c>
      <c r="E439" s="3" t="s">
        <v>191</v>
      </c>
      <c r="F439" s="5">
        <v>4</v>
      </c>
      <c r="G439" s="5">
        <v>620</v>
      </c>
      <c r="H439" s="5">
        <v>18.8</v>
      </c>
      <c r="I439" s="5">
        <v>2013.76</v>
      </c>
      <c r="J439" s="3" t="s">
        <v>26</v>
      </c>
      <c r="K439" s="3" t="s">
        <v>72</v>
      </c>
      <c r="L439" t="str">
        <f>IFERROR(VLOOKUP(D439,Products!$A$2:$F$61,3,FALSE()),"")</f>
        <v>Apparel</v>
      </c>
      <c r="M439" t="str">
        <f>IFERROR(VLOOKUP(E439,Sales_Reps!$A$2:$C$31,3,FALSE()),"")</f>
        <v>South</v>
      </c>
      <c r="N439">
        <f>IFERROR(VLOOKUP(D439,Products!$A$2:$F$61,4,FALSE()),"")</f>
        <v>396</v>
      </c>
      <c r="O439" t="str">
        <f>IFERROR(VLOOKUP(C439,Customers!$A$2:$F$301,5,FALSE()),"")</f>
        <v>Corporate</v>
      </c>
      <c r="P439">
        <f>IFERROR(VLOOKUP(C439,Customers!$A$2:$F$301,3,FALSE()),"")</f>
        <v>56</v>
      </c>
      <c r="Q439">
        <f t="shared" si="18"/>
        <v>0.36129032258064514</v>
      </c>
      <c r="R439">
        <f>IF(AND(COUNTIF($A$2:$A$2027,A439)&gt;1,COUNTIF($A$2:A439,A439)=1),1,0)</f>
        <v>0</v>
      </c>
      <c r="S439" t="b">
        <f>IFERROR(VLOOKUP(D439,Products!$A$2:$F$61,6,FALSE()),"")</f>
        <v>1</v>
      </c>
      <c r="T439" t="str">
        <f>IF(COUNTIF(Customers!$A$2:$A$301,C439)=0,"Missing","OK")</f>
        <v>OK</v>
      </c>
      <c r="U439" t="str">
        <f t="shared" si="19"/>
        <v>Hyderabad</v>
      </c>
      <c r="V439">
        <f t="shared" si="20"/>
        <v>0</v>
      </c>
    </row>
    <row r="440" spans="1:22" ht="15" customHeight="1" x14ac:dyDescent="0.35">
      <c r="A440" s="3" t="s">
        <v>794</v>
      </c>
      <c r="B440" s="4">
        <v>45628</v>
      </c>
      <c r="C440" s="3" t="s">
        <v>795</v>
      </c>
      <c r="D440" s="3" t="s">
        <v>74</v>
      </c>
      <c r="E440" s="3" t="s">
        <v>177</v>
      </c>
      <c r="F440" s="5">
        <v>10</v>
      </c>
      <c r="G440" s="5">
        <v>2640</v>
      </c>
      <c r="H440" s="5">
        <v>12.7</v>
      </c>
      <c r="I440" s="5">
        <v>23047.200000000001</v>
      </c>
      <c r="J440" s="3" t="s">
        <v>26</v>
      </c>
      <c r="K440" s="3" t="s">
        <v>27</v>
      </c>
      <c r="L440" t="str">
        <f>IFERROR(VLOOKUP(D440,Products!$A$2:$F$61,3,FALSE()),"")</f>
        <v>Electronics</v>
      </c>
      <c r="M440" t="str">
        <f>IFERROR(VLOOKUP(E440,Sales_Reps!$A$2:$C$31,3,FALSE()),"")</f>
        <v>East</v>
      </c>
      <c r="N440">
        <f>IFERROR(VLOOKUP(D440,Products!$A$2:$F$61,4,FALSE()),"")</f>
        <v>1149</v>
      </c>
      <c r="O440" t="str">
        <f>IFERROR(VLOOKUP(C440,Customers!$A$2:$F$301,5,FALSE()),"")</f>
        <v>SMB</v>
      </c>
      <c r="P440">
        <f>IFERROR(VLOOKUP(C440,Customers!$A$2:$F$301,3,FALSE()),"")</f>
        <v>59</v>
      </c>
      <c r="Q440">
        <f t="shared" si="18"/>
        <v>0.56477272727272732</v>
      </c>
      <c r="R440">
        <f>IF(AND(COUNTIF($A$2:$A$2027,A440)&gt;1,COUNTIF($A$2:A440,A440)=1),1,0)</f>
        <v>0</v>
      </c>
      <c r="S440" t="b">
        <f>IFERROR(VLOOKUP(D440,Products!$A$2:$F$61,6,FALSE()),"")</f>
        <v>1</v>
      </c>
      <c r="T440" t="str">
        <f>IF(COUNTIF(Customers!$A$2:$A$301,C440)=0,"Missing","OK")</f>
        <v>OK</v>
      </c>
      <c r="U440" t="str">
        <f t="shared" si="19"/>
        <v>Pune</v>
      </c>
      <c r="V440">
        <f t="shared" si="20"/>
        <v>0</v>
      </c>
    </row>
    <row r="441" spans="1:22" ht="15" customHeight="1" x14ac:dyDescent="0.35">
      <c r="A441" s="3" t="s">
        <v>796</v>
      </c>
      <c r="B441" s="4">
        <v>45326</v>
      </c>
      <c r="C441" s="3" t="s">
        <v>408</v>
      </c>
      <c r="D441" s="3" t="s">
        <v>203</v>
      </c>
      <c r="E441" s="3" t="s">
        <v>109</v>
      </c>
      <c r="F441" s="5">
        <v>2</v>
      </c>
      <c r="G441" s="5">
        <v>4070</v>
      </c>
      <c r="H441" s="5">
        <v>29</v>
      </c>
      <c r="I441" s="5">
        <v>5779.4</v>
      </c>
      <c r="J441" s="3" t="s">
        <v>26</v>
      </c>
      <c r="K441" s="3" t="s">
        <v>56</v>
      </c>
      <c r="L441" t="str">
        <f>IFERROR(VLOOKUP(D441,Products!$A$2:$F$61,3,FALSE()),"")</f>
        <v>Grocery</v>
      </c>
      <c r="M441" t="str">
        <f>IFERROR(VLOOKUP(E441,Sales_Reps!$A$2:$C$31,3,FALSE()),"")</f>
        <v>West</v>
      </c>
      <c r="N441">
        <f>IFERROR(VLOOKUP(D441,Products!$A$2:$F$61,4,FALSE()),"")</f>
        <v>2027</v>
      </c>
      <c r="O441" t="str">
        <f>IFERROR(VLOOKUP(C441,Customers!$A$2:$F$301,5,FALSE()),"")</f>
        <v>SMB</v>
      </c>
      <c r="P441">
        <f>IFERROR(VLOOKUP(C441,Customers!$A$2:$F$301,3,FALSE()),"")</f>
        <v>43</v>
      </c>
      <c r="Q441">
        <f t="shared" si="18"/>
        <v>0.50196560196560192</v>
      </c>
      <c r="R441">
        <f>IF(AND(COUNTIF($A$2:$A$2027,A441)&gt;1,COUNTIF($A$2:A441,A441)=1),1,0)</f>
        <v>0</v>
      </c>
      <c r="S441" t="b">
        <f>IFERROR(VLOOKUP(D441,Products!$A$2:$F$61,6,FALSE()),"")</f>
        <v>1</v>
      </c>
      <c r="T441" t="str">
        <f>IF(COUNTIF(Customers!$A$2:$A$301,C441)=0,"Missing","OK")</f>
        <v>OK</v>
      </c>
      <c r="U441" t="str">
        <f t="shared" si="19"/>
        <v>Bengaluru</v>
      </c>
      <c r="V441">
        <f t="shared" si="20"/>
        <v>5779.4</v>
      </c>
    </row>
    <row r="442" spans="1:22" ht="15" customHeight="1" x14ac:dyDescent="0.35">
      <c r="A442" s="3" t="s">
        <v>797</v>
      </c>
      <c r="B442" s="4">
        <v>45561</v>
      </c>
      <c r="C442" s="3" t="s">
        <v>601</v>
      </c>
      <c r="D442" s="3" t="s">
        <v>121</v>
      </c>
      <c r="E442" s="3" t="s">
        <v>25</v>
      </c>
      <c r="F442" s="5">
        <v>8</v>
      </c>
      <c r="G442" s="5">
        <v>1010</v>
      </c>
      <c r="H442" s="5">
        <v>25.4</v>
      </c>
      <c r="I442" s="5">
        <v>6027.68</v>
      </c>
      <c r="J442" s="3" t="s">
        <v>26</v>
      </c>
      <c r="K442" s="3" t="s">
        <v>33</v>
      </c>
      <c r="L442" t="str">
        <f>IFERROR(VLOOKUP(D442,Products!$A$2:$F$61,3,FALSE()),"")</f>
        <v>Sports</v>
      </c>
      <c r="M442" t="str">
        <f>IFERROR(VLOOKUP(E442,Sales_Reps!$A$2:$C$31,3,FALSE()),"")</f>
        <v>North</v>
      </c>
      <c r="N442">
        <f>IFERROR(VLOOKUP(D442,Products!$A$2:$F$61,4,FALSE()),"")</f>
        <v>516</v>
      </c>
      <c r="O442" t="str">
        <f>IFERROR(VLOOKUP(C442,Customers!$A$2:$F$301,5,FALSE()),"")</f>
        <v>Corporate</v>
      </c>
      <c r="P442">
        <f>IFERROR(VLOOKUP(C442,Customers!$A$2:$F$301,3,FALSE()),"")</f>
        <v>41</v>
      </c>
      <c r="Q442">
        <f t="shared" si="18"/>
        <v>0.4891089108910891</v>
      </c>
      <c r="R442">
        <f>IF(AND(COUNTIF($A$2:$A$2027,A442)&gt;1,COUNTIF($A$2:A442,A442)=1),1,0)</f>
        <v>0</v>
      </c>
      <c r="S442" t="b">
        <f>IFERROR(VLOOKUP(D442,Products!$A$2:$F$61,6,FALSE()),"")</f>
        <v>1</v>
      </c>
      <c r="T442" t="str">
        <f>IF(COUNTIF(Customers!$A$2:$A$301,C442)=0,"Missing","OK")</f>
        <v>OK</v>
      </c>
      <c r="U442" t="str">
        <f t="shared" si="19"/>
        <v>Chennai</v>
      </c>
      <c r="V442">
        <f t="shared" si="20"/>
        <v>0</v>
      </c>
    </row>
    <row r="443" spans="1:22" ht="15" customHeight="1" x14ac:dyDescent="0.35">
      <c r="A443" s="3" t="s">
        <v>798</v>
      </c>
      <c r="B443" s="4">
        <v>45629</v>
      </c>
      <c r="C443" s="3" t="s">
        <v>426</v>
      </c>
      <c r="D443" s="3" t="s">
        <v>82</v>
      </c>
      <c r="E443" s="3" t="s">
        <v>31</v>
      </c>
      <c r="F443" s="5">
        <v>8</v>
      </c>
      <c r="G443" s="5">
        <v>3250</v>
      </c>
      <c r="H443" s="5">
        <v>5.4</v>
      </c>
      <c r="I443" s="5">
        <v>24596</v>
      </c>
      <c r="J443" s="3" t="s">
        <v>26</v>
      </c>
      <c r="K443" s="3" t="s">
        <v>27</v>
      </c>
      <c r="L443" t="str">
        <f>IFERROR(VLOOKUP(D443,Products!$A$2:$F$61,3,FALSE()),"")</f>
        <v>Home</v>
      </c>
      <c r="M443" t="str">
        <f>IFERROR(VLOOKUP(E443,Sales_Reps!$A$2:$C$31,3,FALSE()),"")</f>
        <v>North</v>
      </c>
      <c r="N443">
        <f>IFERROR(VLOOKUP(D443,Products!$A$2:$F$61,4,FALSE()),"")</f>
        <v>1556</v>
      </c>
      <c r="O443" t="str">
        <f>IFERROR(VLOOKUP(C443,Customers!$A$2:$F$301,5,FALSE()),"")</f>
        <v>Corporate</v>
      </c>
      <c r="P443">
        <f>IFERROR(VLOOKUP(C443,Customers!$A$2:$F$301,3,FALSE()),"")</f>
        <v>29</v>
      </c>
      <c r="Q443">
        <f t="shared" si="18"/>
        <v>0.52123076923076928</v>
      </c>
      <c r="R443">
        <f>IF(AND(COUNTIF($A$2:$A$2027,A443)&gt;1,COUNTIF($A$2:A443,A443)=1),1,0)</f>
        <v>0</v>
      </c>
      <c r="S443" t="b">
        <f>IFERROR(VLOOKUP(D443,Products!$A$2:$F$61,6,FALSE()),"")</f>
        <v>1</v>
      </c>
      <c r="T443" t="str">
        <f>IF(COUNTIF(Customers!$A$2:$A$301,C443)=0,"Missing","OK")</f>
        <v>OK</v>
      </c>
      <c r="U443" t="str">
        <f t="shared" si="19"/>
        <v>Pune</v>
      </c>
      <c r="V443">
        <f t="shared" si="20"/>
        <v>0</v>
      </c>
    </row>
    <row r="444" spans="1:22" ht="15" customHeight="1" x14ac:dyDescent="0.35">
      <c r="A444" s="3" t="s">
        <v>799</v>
      </c>
      <c r="B444" s="4">
        <v>45460</v>
      </c>
      <c r="C444" s="3" t="s">
        <v>366</v>
      </c>
      <c r="D444" s="3" t="s">
        <v>59</v>
      </c>
      <c r="E444" s="3" t="s">
        <v>143</v>
      </c>
      <c r="F444" s="5">
        <v>7</v>
      </c>
      <c r="G444" s="5">
        <v>1430</v>
      </c>
      <c r="H444" s="5">
        <v>19.3</v>
      </c>
      <c r="I444" s="5">
        <v>8078.07</v>
      </c>
      <c r="J444" s="3" t="s">
        <v>26</v>
      </c>
      <c r="K444" s="3" t="s">
        <v>27</v>
      </c>
      <c r="L444" t="str">
        <f>IFERROR(VLOOKUP(D444,Products!$A$2:$F$61,3,FALSE()),"")</f>
        <v>Electronics</v>
      </c>
      <c r="M444" t="str">
        <f>IFERROR(VLOOKUP(E444,Sales_Reps!$A$2:$C$31,3,FALSE()),"")</f>
        <v>South</v>
      </c>
      <c r="N444">
        <f>IFERROR(VLOOKUP(D444,Products!$A$2:$F$61,4,FALSE()),"")</f>
        <v>861</v>
      </c>
      <c r="O444" t="str">
        <f>IFERROR(VLOOKUP(C444,Customers!$A$2:$F$301,5,FALSE()),"")</f>
        <v>Corporate</v>
      </c>
      <c r="P444">
        <f>IFERROR(VLOOKUP(C444,Customers!$A$2:$F$301,3,FALSE()),"")</f>
        <v>48</v>
      </c>
      <c r="Q444">
        <f t="shared" si="18"/>
        <v>0.39790209790209791</v>
      </c>
      <c r="R444">
        <f>IF(AND(COUNTIF($A$2:$A$2027,A444)&gt;1,COUNTIF($A$2:A444,A444)=1),1,0)</f>
        <v>0</v>
      </c>
      <c r="S444" t="b">
        <f>IFERROR(VLOOKUP(D444,Products!$A$2:$F$61,6,FALSE()),"")</f>
        <v>1</v>
      </c>
      <c r="T444" t="str">
        <f>IF(COUNTIF(Customers!$A$2:$A$301,C444)=0,"Missing","OK")</f>
        <v>OK</v>
      </c>
      <c r="U444" t="str">
        <f t="shared" si="19"/>
        <v>Pune</v>
      </c>
      <c r="V444">
        <f t="shared" si="20"/>
        <v>0</v>
      </c>
    </row>
    <row r="445" spans="1:22" ht="15" customHeight="1" x14ac:dyDescent="0.35">
      <c r="A445" s="3" t="s">
        <v>800</v>
      </c>
      <c r="B445" s="4">
        <v>45597</v>
      </c>
      <c r="C445" s="3" t="s">
        <v>315</v>
      </c>
      <c r="D445" s="3" t="s">
        <v>215</v>
      </c>
      <c r="E445" s="3" t="s">
        <v>242</v>
      </c>
      <c r="F445" s="5">
        <v>9</v>
      </c>
      <c r="G445" s="5">
        <v>3020</v>
      </c>
      <c r="H445" s="5">
        <v>15</v>
      </c>
      <c r="I445" s="5">
        <v>23103</v>
      </c>
      <c r="J445" s="3" t="s">
        <v>26</v>
      </c>
      <c r="K445" s="3" t="s">
        <v>56</v>
      </c>
      <c r="L445" t="str">
        <f>IFERROR(VLOOKUP(D445,Products!$A$2:$F$61,3,FALSE()),"")</f>
        <v>Beauty</v>
      </c>
      <c r="M445" t="str">
        <f>IFERROR(VLOOKUP(E445,Sales_Reps!$A$2:$C$31,3,FALSE()),"")</f>
        <v>East</v>
      </c>
      <c r="N445">
        <f>IFERROR(VLOOKUP(D445,Products!$A$2:$F$61,4,FALSE()),"")</f>
        <v>1626</v>
      </c>
      <c r="O445" t="str">
        <f>IFERROR(VLOOKUP(C445,Customers!$A$2:$F$301,5,FALSE()),"")</f>
        <v>SMB</v>
      </c>
      <c r="P445">
        <f>IFERROR(VLOOKUP(C445,Customers!$A$2:$F$301,3,FALSE()),"")</f>
        <v>44</v>
      </c>
      <c r="Q445">
        <f t="shared" si="18"/>
        <v>0.46158940397350995</v>
      </c>
      <c r="R445">
        <f>IF(AND(COUNTIF($A$2:$A$2027,A445)&gt;1,COUNTIF($A$2:A445,A445)=1),1,0)</f>
        <v>0</v>
      </c>
      <c r="S445" t="b">
        <f>IFERROR(VLOOKUP(D445,Products!$A$2:$F$61,6,FALSE()),"")</f>
        <v>1</v>
      </c>
      <c r="T445" t="str">
        <f>IF(COUNTIF(Customers!$A$2:$A$301,C445)=0,"Missing","OK")</f>
        <v>OK</v>
      </c>
      <c r="U445" t="str">
        <f t="shared" si="19"/>
        <v>Bengaluru</v>
      </c>
      <c r="V445">
        <f t="shared" si="20"/>
        <v>0</v>
      </c>
    </row>
    <row r="446" spans="1:22" ht="15" customHeight="1" x14ac:dyDescent="0.35">
      <c r="A446" s="3" t="s">
        <v>801</v>
      </c>
      <c r="B446" s="4">
        <v>45324</v>
      </c>
      <c r="C446" s="3" t="s">
        <v>802</v>
      </c>
      <c r="D446" s="3" t="s">
        <v>218</v>
      </c>
      <c r="E446" s="3" t="s">
        <v>236</v>
      </c>
      <c r="F446" s="5">
        <v>2</v>
      </c>
      <c r="G446" s="5">
        <v>2660</v>
      </c>
      <c r="H446" s="5">
        <v>21.4</v>
      </c>
      <c r="I446" s="5">
        <v>4181.5200000000004</v>
      </c>
      <c r="J446" s="3" t="s">
        <v>26</v>
      </c>
      <c r="K446" s="3" t="s">
        <v>33</v>
      </c>
      <c r="L446" t="str">
        <f>IFERROR(VLOOKUP(D446,Products!$A$2:$F$61,3,FALSE()),"")</f>
        <v>Electronics</v>
      </c>
      <c r="M446" t="str">
        <f>IFERROR(VLOOKUP(E446,Sales_Reps!$A$2:$C$31,3,FALSE()),"")</f>
        <v>North</v>
      </c>
      <c r="N446">
        <f>IFERROR(VLOOKUP(D446,Products!$A$2:$F$61,4,FALSE()),"")</f>
        <v>1259</v>
      </c>
      <c r="O446" t="str">
        <f>IFERROR(VLOOKUP(C446,Customers!$A$2:$F$301,5,FALSE()),"")</f>
        <v/>
      </c>
      <c r="P446" t="str">
        <f>IFERROR(VLOOKUP(C446,Customers!$A$2:$F$301,3,FALSE()),"")</f>
        <v/>
      </c>
      <c r="Q446">
        <f t="shared" si="18"/>
        <v>0.52669172932330832</v>
      </c>
      <c r="R446">
        <f>IF(AND(COUNTIF($A$2:$A$2027,A446)&gt;1,COUNTIF($A$2:A446,A446)=1),1,0)</f>
        <v>0</v>
      </c>
      <c r="S446" t="b">
        <f>IFERROR(VLOOKUP(D446,Products!$A$2:$F$61,6,FALSE()),"")</f>
        <v>0</v>
      </c>
      <c r="T446" t="str">
        <f>IF(COUNTIF(Customers!$A$2:$A$301,C446)=0,"Missing","OK")</f>
        <v>Missing</v>
      </c>
      <c r="U446" t="str">
        <f t="shared" si="19"/>
        <v>Chennai</v>
      </c>
      <c r="V446">
        <f t="shared" si="20"/>
        <v>0</v>
      </c>
    </row>
    <row r="447" spans="1:22" ht="15" customHeight="1" x14ac:dyDescent="0.35">
      <c r="A447" s="3" t="s">
        <v>803</v>
      </c>
      <c r="B447" s="4">
        <v>45490</v>
      </c>
      <c r="C447" s="3" t="s">
        <v>120</v>
      </c>
      <c r="D447" s="3" t="s">
        <v>126</v>
      </c>
      <c r="E447" s="3" t="s">
        <v>60</v>
      </c>
      <c r="F447" s="5">
        <v>10</v>
      </c>
      <c r="G447" s="5">
        <v>3570</v>
      </c>
      <c r="H447" s="5">
        <v>20.3</v>
      </c>
      <c r="I447" s="5">
        <v>28452.9</v>
      </c>
      <c r="J447" s="3" t="s">
        <v>26</v>
      </c>
      <c r="K447" s="3" t="s">
        <v>38</v>
      </c>
      <c r="L447" t="str">
        <f>IFERROR(VLOOKUP(D447,Products!$A$2:$F$61,3,FALSE()),"")</f>
        <v>Electronics</v>
      </c>
      <c r="M447" t="str">
        <f>IFERROR(VLOOKUP(E447,Sales_Reps!$A$2:$C$31,3,FALSE()),"")</f>
        <v>East</v>
      </c>
      <c r="N447">
        <f>IFERROR(VLOOKUP(D447,Products!$A$2:$F$61,4,FALSE()),"")</f>
        <v>1665</v>
      </c>
      <c r="O447" t="str">
        <f>IFERROR(VLOOKUP(C447,Customers!$A$2:$F$301,5,FALSE()),"")</f>
        <v>Retail</v>
      </c>
      <c r="P447">
        <f>IFERROR(VLOOKUP(C447,Customers!$A$2:$F$301,3,FALSE()),"")</f>
        <v>31</v>
      </c>
      <c r="Q447">
        <f t="shared" si="18"/>
        <v>0.53361344537815125</v>
      </c>
      <c r="R447">
        <f>IF(AND(COUNTIF($A$2:$A$2027,A447)&gt;1,COUNTIF($A$2:A447,A447)=1),1,0)</f>
        <v>0</v>
      </c>
      <c r="S447" t="b">
        <f>IFERROR(VLOOKUP(D447,Products!$A$2:$F$61,6,FALSE()),"")</f>
        <v>1</v>
      </c>
      <c r="T447" t="str">
        <f>IF(COUNTIF(Customers!$A$2:$A$301,C447)=0,"Missing","OK")</f>
        <v>OK</v>
      </c>
      <c r="U447" t="str">
        <f t="shared" si="19"/>
        <v>Delhi</v>
      </c>
      <c r="V447">
        <f t="shared" si="20"/>
        <v>0</v>
      </c>
    </row>
    <row r="448" spans="1:22" ht="15" customHeight="1" x14ac:dyDescent="0.35">
      <c r="A448" s="3" t="s">
        <v>804</v>
      </c>
      <c r="B448" s="4">
        <v>45330</v>
      </c>
      <c r="C448" s="3" t="s">
        <v>136</v>
      </c>
      <c r="D448" s="3" t="s">
        <v>118</v>
      </c>
      <c r="E448" s="3" t="s">
        <v>71</v>
      </c>
      <c r="F448" s="5">
        <v>4</v>
      </c>
      <c r="G448" s="5">
        <v>3350</v>
      </c>
      <c r="H448" s="5">
        <v>28.1</v>
      </c>
      <c r="I448" s="5">
        <v>9634.6</v>
      </c>
      <c r="J448" s="3" t="s">
        <v>26</v>
      </c>
      <c r="K448" s="3" t="s">
        <v>27</v>
      </c>
      <c r="L448" t="str">
        <f>IFERROR(VLOOKUP(D448,Products!$A$2:$F$61,3,FALSE()),"")</f>
        <v>Beauty</v>
      </c>
      <c r="M448" t="str">
        <f>IFERROR(VLOOKUP(E448,Sales_Reps!$A$2:$C$31,3,FALSE()),"")</f>
        <v>South</v>
      </c>
      <c r="N448">
        <f>IFERROR(VLOOKUP(D448,Products!$A$2:$F$61,4,FALSE()),"")</f>
        <v>1728</v>
      </c>
      <c r="O448" t="str">
        <f>IFERROR(VLOOKUP(C448,Customers!$A$2:$F$301,5,FALSE()),"")</f>
        <v>Corporate</v>
      </c>
      <c r="P448">
        <f>IFERROR(VLOOKUP(C448,Customers!$A$2:$F$301,3,FALSE()),"")</f>
        <v>47</v>
      </c>
      <c r="Q448">
        <f t="shared" si="18"/>
        <v>0.48417910447761192</v>
      </c>
      <c r="R448">
        <f>IF(AND(COUNTIF($A$2:$A$2027,A448)&gt;1,COUNTIF($A$2:A448,A448)=1),1,0)</f>
        <v>0</v>
      </c>
      <c r="S448" t="b">
        <f>IFERROR(VLOOKUP(D448,Products!$A$2:$F$61,6,FALSE()),"")</f>
        <v>1</v>
      </c>
      <c r="T448" t="str">
        <f>IF(COUNTIF(Customers!$A$2:$A$301,C448)=0,"Missing","OK")</f>
        <v>OK</v>
      </c>
      <c r="U448" t="str">
        <f t="shared" si="19"/>
        <v>Pune</v>
      </c>
      <c r="V448">
        <f t="shared" si="20"/>
        <v>0</v>
      </c>
    </row>
    <row r="449" spans="1:22" ht="15" customHeight="1" x14ac:dyDescent="0.35">
      <c r="A449" s="3" t="s">
        <v>805</v>
      </c>
      <c r="B449" s="4">
        <v>45336</v>
      </c>
      <c r="C449" s="3" t="s">
        <v>40</v>
      </c>
      <c r="D449" s="3" t="s">
        <v>106</v>
      </c>
      <c r="E449" s="3" t="s">
        <v>97</v>
      </c>
      <c r="F449" s="5">
        <v>1</v>
      </c>
      <c r="G449" s="5">
        <v>2480</v>
      </c>
      <c r="H449" s="5">
        <v>13.5</v>
      </c>
      <c r="I449" s="5">
        <v>2145.1999999999998</v>
      </c>
      <c r="J449" s="3" t="s">
        <v>26</v>
      </c>
      <c r="K449" s="3" t="s">
        <v>38</v>
      </c>
      <c r="L449" t="str">
        <f>IFERROR(VLOOKUP(D449,Products!$A$2:$F$61,3,FALSE()),"")</f>
        <v>Apparel</v>
      </c>
      <c r="M449" t="str">
        <f>IFERROR(VLOOKUP(E449,Sales_Reps!$A$2:$C$31,3,FALSE()),"")</f>
        <v>East</v>
      </c>
      <c r="N449">
        <f>IFERROR(VLOOKUP(D449,Products!$A$2:$F$61,4,FALSE()),"")</f>
        <v>1173</v>
      </c>
      <c r="O449" t="str">
        <f>IFERROR(VLOOKUP(C449,Customers!$A$2:$F$301,5,FALSE()),"")</f>
        <v>Corporate</v>
      </c>
      <c r="P449">
        <f>IFERROR(VLOOKUP(C449,Customers!$A$2:$F$301,3,FALSE()),"")</f>
        <v>46</v>
      </c>
      <c r="Q449">
        <f t="shared" si="18"/>
        <v>0.52701612903225803</v>
      </c>
      <c r="R449">
        <f>IF(AND(COUNTIF($A$2:$A$2027,A449)&gt;1,COUNTIF($A$2:A449,A449)=1),1,0)</f>
        <v>0</v>
      </c>
      <c r="S449" t="b">
        <f>IFERROR(VLOOKUP(D449,Products!$A$2:$F$61,6,FALSE()),"")</f>
        <v>1</v>
      </c>
      <c r="T449" t="str">
        <f>IF(COUNTIF(Customers!$A$2:$A$301,C449)=0,"Missing","OK")</f>
        <v>OK</v>
      </c>
      <c r="U449" t="str">
        <f t="shared" si="19"/>
        <v>Delhi</v>
      </c>
      <c r="V449">
        <f t="shared" si="20"/>
        <v>0</v>
      </c>
    </row>
    <row r="450" spans="1:22" ht="15" customHeight="1" x14ac:dyDescent="0.35">
      <c r="A450" s="3" t="s">
        <v>806</v>
      </c>
      <c r="B450" s="4">
        <v>45649</v>
      </c>
      <c r="C450" s="3" t="s">
        <v>807</v>
      </c>
      <c r="D450" s="3" t="s">
        <v>299</v>
      </c>
      <c r="E450" s="3" t="s">
        <v>127</v>
      </c>
      <c r="F450" s="5">
        <v>10</v>
      </c>
      <c r="G450" s="5">
        <v>5410</v>
      </c>
      <c r="H450" s="5">
        <v>26.1</v>
      </c>
      <c r="I450" s="5">
        <v>39979.9</v>
      </c>
      <c r="J450" s="3" t="s">
        <v>26</v>
      </c>
      <c r="K450" s="3" t="s">
        <v>38</v>
      </c>
      <c r="L450" t="str">
        <f>IFERROR(VLOOKUP(D450,Products!$A$2:$F$61,3,FALSE()),"")</f>
        <v>Sports</v>
      </c>
      <c r="M450" t="str">
        <f>IFERROR(VLOOKUP(E450,Sales_Reps!$A$2:$C$31,3,FALSE()),"")</f>
        <v>South</v>
      </c>
      <c r="N450">
        <f>IFERROR(VLOOKUP(D450,Products!$A$2:$F$61,4,FALSE()),"")</f>
        <v>2265</v>
      </c>
      <c r="O450" t="str">
        <f>IFERROR(VLOOKUP(C450,Customers!$A$2:$F$301,5,FALSE()),"")</f>
        <v>SMB</v>
      </c>
      <c r="P450">
        <f>IFERROR(VLOOKUP(C450,Customers!$A$2:$F$301,3,FALSE()),"")</f>
        <v>38</v>
      </c>
      <c r="Q450">
        <f t="shared" ref="Q450:Q513" si="21">IFERROR((G450-N450)/G450,"")</f>
        <v>0.58133086876155271</v>
      </c>
      <c r="R450">
        <f>IF(AND(COUNTIF($A$2:$A$2027,A450)&gt;1,COUNTIF($A$2:A450,A450)=1),1,0)</f>
        <v>0</v>
      </c>
      <c r="S450" t="b">
        <f>IFERROR(VLOOKUP(D450,Products!$A$2:$F$61,6,FALSE()),"")</f>
        <v>1</v>
      </c>
      <c r="T450" t="str">
        <f>IF(COUNTIF(Customers!$A$2:$A$301,C450)=0,"Missing","OK")</f>
        <v>OK</v>
      </c>
      <c r="U450" t="str">
        <f t="shared" ref="U450:U513" si="22">IF(K450="","",PROPER(TRIM(K450)))</f>
        <v>Delhi</v>
      </c>
      <c r="V450">
        <f t="shared" ref="V450:V513" si="23">IF(AND(U450="Bengaluru",L450="Grocery"),I450,0)</f>
        <v>0</v>
      </c>
    </row>
    <row r="451" spans="1:22" ht="15" customHeight="1" x14ac:dyDescent="0.35">
      <c r="A451" s="3" t="s">
        <v>808</v>
      </c>
      <c r="B451" s="4">
        <v>45586</v>
      </c>
      <c r="C451" s="3" t="s">
        <v>809</v>
      </c>
      <c r="D451" s="3" t="s">
        <v>142</v>
      </c>
      <c r="E451" s="3" t="s">
        <v>93</v>
      </c>
      <c r="F451" s="5">
        <v>2</v>
      </c>
      <c r="G451" s="5">
        <v>660</v>
      </c>
      <c r="H451" s="5">
        <v>5</v>
      </c>
      <c r="I451" s="5">
        <v>1254</v>
      </c>
      <c r="J451" s="3" t="s">
        <v>26</v>
      </c>
      <c r="K451" s="3" t="s">
        <v>56</v>
      </c>
      <c r="L451" t="str">
        <f>IFERROR(VLOOKUP(D451,Products!$A$2:$F$61,3,FALSE()),"")</f>
        <v>Home</v>
      </c>
      <c r="M451" t="str">
        <f>IFERROR(VLOOKUP(E451,Sales_Reps!$A$2:$C$31,3,FALSE()),"")</f>
        <v>East</v>
      </c>
      <c r="N451">
        <f>IFERROR(VLOOKUP(D451,Products!$A$2:$F$61,4,FALSE()),"")</f>
        <v>329</v>
      </c>
      <c r="O451" t="str">
        <f>IFERROR(VLOOKUP(C451,Customers!$A$2:$F$301,5,FALSE()),"")</f>
        <v>Retail</v>
      </c>
      <c r="P451">
        <f>IFERROR(VLOOKUP(C451,Customers!$A$2:$F$301,3,FALSE()),"")</f>
        <v>47</v>
      </c>
      <c r="Q451">
        <f t="shared" si="21"/>
        <v>0.50151515151515147</v>
      </c>
      <c r="R451">
        <f>IF(AND(COUNTIF($A$2:$A$2027,A451)&gt;1,COUNTIF($A$2:A451,A451)=1),1,0)</f>
        <v>0</v>
      </c>
      <c r="S451" t="b">
        <f>IFERROR(VLOOKUP(D451,Products!$A$2:$F$61,6,FALSE()),"")</f>
        <v>1</v>
      </c>
      <c r="T451" t="str">
        <f>IF(COUNTIF(Customers!$A$2:$A$301,C451)=0,"Missing","OK")</f>
        <v>OK</v>
      </c>
      <c r="U451" t="str">
        <f t="shared" si="22"/>
        <v>Bengaluru</v>
      </c>
      <c r="V451">
        <f t="shared" si="23"/>
        <v>0</v>
      </c>
    </row>
    <row r="452" spans="1:22" ht="15" customHeight="1" x14ac:dyDescent="0.35">
      <c r="A452" s="3" t="s">
        <v>810</v>
      </c>
      <c r="B452" s="4">
        <v>45647</v>
      </c>
      <c r="C452" s="3" t="s">
        <v>811</v>
      </c>
      <c r="D452" s="3" t="s">
        <v>121</v>
      </c>
      <c r="E452" s="3" t="s">
        <v>25</v>
      </c>
      <c r="F452" s="5">
        <v>10</v>
      </c>
      <c r="G452" s="5">
        <v>1010</v>
      </c>
      <c r="H452" s="5">
        <v>10</v>
      </c>
      <c r="I452" s="5">
        <v>9090</v>
      </c>
      <c r="J452" s="3" t="s">
        <v>26</v>
      </c>
      <c r="K452" s="3" t="s">
        <v>51</v>
      </c>
      <c r="L452" t="str">
        <f>IFERROR(VLOOKUP(D452,Products!$A$2:$F$61,3,FALSE()),"")</f>
        <v>Sports</v>
      </c>
      <c r="M452" t="str">
        <f>IFERROR(VLOOKUP(E452,Sales_Reps!$A$2:$C$31,3,FALSE()),"")</f>
        <v>North</v>
      </c>
      <c r="N452">
        <f>IFERROR(VLOOKUP(D452,Products!$A$2:$F$61,4,FALSE()),"")</f>
        <v>516</v>
      </c>
      <c r="O452" t="str">
        <f>IFERROR(VLOOKUP(C452,Customers!$A$2:$F$301,5,FALSE()),"")</f>
        <v>Corporate</v>
      </c>
      <c r="P452">
        <f>IFERROR(VLOOKUP(C452,Customers!$A$2:$F$301,3,FALSE()),"")</f>
        <v>62</v>
      </c>
      <c r="Q452">
        <f t="shared" si="21"/>
        <v>0.4891089108910891</v>
      </c>
      <c r="R452">
        <f>IF(AND(COUNTIF($A$2:$A$2027,A452)&gt;1,COUNTIF($A$2:A452,A452)=1),1,0)</f>
        <v>0</v>
      </c>
      <c r="S452" t="b">
        <f>IFERROR(VLOOKUP(D452,Products!$A$2:$F$61,6,FALSE()),"")</f>
        <v>1</v>
      </c>
      <c r="T452" t="str">
        <f>IF(COUNTIF(Customers!$A$2:$A$301,C452)=0,"Missing","OK")</f>
        <v>OK</v>
      </c>
      <c r="U452" t="str">
        <f t="shared" si="22"/>
        <v>Mumbai</v>
      </c>
      <c r="V452">
        <f t="shared" si="23"/>
        <v>0</v>
      </c>
    </row>
    <row r="453" spans="1:22" ht="15" customHeight="1" x14ac:dyDescent="0.35">
      <c r="A453" s="3" t="s">
        <v>812</v>
      </c>
      <c r="B453" s="4">
        <v>45496</v>
      </c>
      <c r="C453" s="3" t="s">
        <v>813</v>
      </c>
      <c r="D453" s="3" t="s">
        <v>325</v>
      </c>
      <c r="E453" s="3" t="s">
        <v>154</v>
      </c>
      <c r="F453" s="5">
        <v>3</v>
      </c>
      <c r="G453" s="5">
        <v>2290</v>
      </c>
      <c r="H453" s="5">
        <v>8.9</v>
      </c>
      <c r="I453" s="5">
        <v>6258.57</v>
      </c>
      <c r="J453" s="3" t="s">
        <v>26</v>
      </c>
      <c r="K453" s="3" t="s">
        <v>51</v>
      </c>
      <c r="L453" t="str">
        <f>IFERROR(VLOOKUP(D453,Products!$A$2:$F$61,3,FALSE()),"")</f>
        <v>Beauty</v>
      </c>
      <c r="M453" t="str">
        <f>IFERROR(VLOOKUP(E453,Sales_Reps!$A$2:$C$31,3,FALSE()),"")</f>
        <v>North</v>
      </c>
      <c r="N453">
        <f>IFERROR(VLOOKUP(D453,Products!$A$2:$F$61,4,FALSE()),"")</f>
        <v>1219</v>
      </c>
      <c r="O453" t="str">
        <f>IFERROR(VLOOKUP(C453,Customers!$A$2:$F$301,5,FALSE()),"")</f>
        <v>Retail</v>
      </c>
      <c r="P453">
        <f>IFERROR(VLOOKUP(C453,Customers!$A$2:$F$301,3,FALSE()),"")</f>
        <v>57</v>
      </c>
      <c r="Q453">
        <f t="shared" si="21"/>
        <v>0.46768558951965067</v>
      </c>
      <c r="R453">
        <f>IF(AND(COUNTIF($A$2:$A$2027,A453)&gt;1,COUNTIF($A$2:A453,A453)=1),1,0)</f>
        <v>0</v>
      </c>
      <c r="S453" t="b">
        <f>IFERROR(VLOOKUP(D453,Products!$A$2:$F$61,6,FALSE()),"")</f>
        <v>1</v>
      </c>
      <c r="T453" t="str">
        <f>IF(COUNTIF(Customers!$A$2:$A$301,C453)=0,"Missing","OK")</f>
        <v>OK</v>
      </c>
      <c r="U453" t="str">
        <f t="shared" si="22"/>
        <v>Mumbai</v>
      </c>
      <c r="V453">
        <f t="shared" si="23"/>
        <v>0</v>
      </c>
    </row>
    <row r="454" spans="1:22" ht="15" customHeight="1" x14ac:dyDescent="0.35">
      <c r="A454" s="3" t="s">
        <v>814</v>
      </c>
      <c r="B454" s="4">
        <v>45369</v>
      </c>
      <c r="C454" s="3" t="s">
        <v>653</v>
      </c>
      <c r="D454" s="3" t="s">
        <v>96</v>
      </c>
      <c r="E454" s="3" t="s">
        <v>154</v>
      </c>
      <c r="F454" s="5">
        <v>9</v>
      </c>
      <c r="G454" s="5">
        <v>3450</v>
      </c>
      <c r="H454" s="5">
        <v>24.3</v>
      </c>
      <c r="I454" s="5">
        <v>23504.85</v>
      </c>
      <c r="J454" s="3" t="s">
        <v>26</v>
      </c>
      <c r="K454" s="3" t="s">
        <v>38</v>
      </c>
      <c r="L454" t="str">
        <f>IFERROR(VLOOKUP(D454,Products!$A$2:$F$61,3,FALSE()),"")</f>
        <v>Beauty</v>
      </c>
      <c r="M454" t="str">
        <f>IFERROR(VLOOKUP(E454,Sales_Reps!$A$2:$C$31,3,FALSE()),"")</f>
        <v>North</v>
      </c>
      <c r="N454">
        <f>IFERROR(VLOOKUP(D454,Products!$A$2:$F$61,4,FALSE()),"")</f>
        <v>2420</v>
      </c>
      <c r="O454" t="str">
        <f>IFERROR(VLOOKUP(C454,Customers!$A$2:$F$301,5,FALSE()),"")</f>
        <v>Retail</v>
      </c>
      <c r="P454">
        <f>IFERROR(VLOOKUP(C454,Customers!$A$2:$F$301,3,FALSE()),"")</f>
        <v>24</v>
      </c>
      <c r="Q454">
        <f t="shared" si="21"/>
        <v>0.29855072463768118</v>
      </c>
      <c r="R454">
        <f>IF(AND(COUNTIF($A$2:$A$2027,A454)&gt;1,COUNTIF($A$2:A454,A454)=1),1,0)</f>
        <v>0</v>
      </c>
      <c r="S454" t="b">
        <f>IFERROR(VLOOKUP(D454,Products!$A$2:$F$61,6,FALSE()),"")</f>
        <v>1</v>
      </c>
      <c r="T454" t="str">
        <f>IF(COUNTIF(Customers!$A$2:$A$301,C454)=0,"Missing","OK")</f>
        <v>OK</v>
      </c>
      <c r="U454" t="str">
        <f t="shared" si="22"/>
        <v>Delhi</v>
      </c>
      <c r="V454">
        <f t="shared" si="23"/>
        <v>0</v>
      </c>
    </row>
    <row r="455" spans="1:22" ht="15" customHeight="1" x14ac:dyDescent="0.35">
      <c r="A455" s="3" t="s">
        <v>815</v>
      </c>
      <c r="B455" s="4">
        <v>45389</v>
      </c>
      <c r="C455" s="3" t="s">
        <v>228</v>
      </c>
      <c r="D455" s="3" t="s">
        <v>176</v>
      </c>
      <c r="E455" s="3" t="s">
        <v>87</v>
      </c>
      <c r="F455" s="5">
        <v>10</v>
      </c>
      <c r="G455" s="5">
        <v>3640</v>
      </c>
      <c r="H455" s="5">
        <v>21.4</v>
      </c>
      <c r="I455" s="5">
        <v>28610.400000000001</v>
      </c>
      <c r="J455" s="3" t="s">
        <v>79</v>
      </c>
      <c r="K455" s="3" t="s">
        <v>33</v>
      </c>
      <c r="L455" t="str">
        <f>IFERROR(VLOOKUP(D455,Products!$A$2:$F$61,3,FALSE()),"")</f>
        <v>Apparel</v>
      </c>
      <c r="M455" t="str">
        <f>IFERROR(VLOOKUP(E455,Sales_Reps!$A$2:$C$31,3,FALSE()),"")</f>
        <v>North</v>
      </c>
      <c r="N455">
        <f>IFERROR(VLOOKUP(D455,Products!$A$2:$F$61,4,FALSE()),"")</f>
        <v>2611</v>
      </c>
      <c r="O455" t="str">
        <f>IFERROR(VLOOKUP(C455,Customers!$A$2:$F$301,5,FALSE()),"")</f>
        <v>Retail</v>
      </c>
      <c r="P455">
        <f>IFERROR(VLOOKUP(C455,Customers!$A$2:$F$301,3,FALSE()),"")</f>
        <v>38</v>
      </c>
      <c r="Q455">
        <f t="shared" si="21"/>
        <v>0.28269230769230769</v>
      </c>
      <c r="R455">
        <f>IF(AND(COUNTIF($A$2:$A$2027,A455)&gt;1,COUNTIF($A$2:A455,A455)=1),1,0)</f>
        <v>0</v>
      </c>
      <c r="S455" t="b">
        <f>IFERROR(VLOOKUP(D455,Products!$A$2:$F$61,6,FALSE()),"")</f>
        <v>1</v>
      </c>
      <c r="T455" t="str">
        <f>IF(COUNTIF(Customers!$A$2:$A$301,C455)=0,"Missing","OK")</f>
        <v>OK</v>
      </c>
      <c r="U455" t="str">
        <f t="shared" si="22"/>
        <v>Chennai</v>
      </c>
      <c r="V455">
        <f t="shared" si="23"/>
        <v>0</v>
      </c>
    </row>
    <row r="456" spans="1:22" ht="15" customHeight="1" x14ac:dyDescent="0.35">
      <c r="A456" s="3" t="s">
        <v>816</v>
      </c>
      <c r="B456" s="4">
        <v>45336</v>
      </c>
      <c r="C456" s="3" t="s">
        <v>817</v>
      </c>
      <c r="D456" s="3" t="s">
        <v>306</v>
      </c>
      <c r="E456" s="3" t="s">
        <v>127</v>
      </c>
      <c r="F456" s="5">
        <v>5</v>
      </c>
      <c r="G456" s="5">
        <v>2380</v>
      </c>
      <c r="H456" s="5">
        <v>12.2</v>
      </c>
      <c r="I456" s="5">
        <v>10448.200000000001</v>
      </c>
      <c r="J456" s="3" t="s">
        <v>26</v>
      </c>
      <c r="K456" s="3" t="s">
        <v>51</v>
      </c>
      <c r="L456" t="str">
        <f>IFERROR(VLOOKUP(D456,Products!$A$2:$F$61,3,FALSE()),"")</f>
        <v>Grocery</v>
      </c>
      <c r="M456" t="str">
        <f>IFERROR(VLOOKUP(E456,Sales_Reps!$A$2:$C$31,3,FALSE()),"")</f>
        <v>South</v>
      </c>
      <c r="N456">
        <f>IFERROR(VLOOKUP(D456,Products!$A$2:$F$61,4,FALSE()),"")</f>
        <v>1182</v>
      </c>
      <c r="O456" t="str">
        <f>IFERROR(VLOOKUP(C456,Customers!$A$2:$F$301,5,FALSE()),"")</f>
        <v>Corporate</v>
      </c>
      <c r="P456">
        <f>IFERROR(VLOOKUP(C456,Customers!$A$2:$F$301,3,FALSE()),"")</f>
        <v>62</v>
      </c>
      <c r="Q456">
        <f t="shared" si="21"/>
        <v>0.50336134453781511</v>
      </c>
      <c r="R456">
        <f>IF(AND(COUNTIF($A$2:$A$2027,A456)&gt;1,COUNTIF($A$2:A456,A456)=1),1,0)</f>
        <v>0</v>
      </c>
      <c r="S456" t="b">
        <f>IFERROR(VLOOKUP(D456,Products!$A$2:$F$61,6,FALSE()),"")</f>
        <v>1</v>
      </c>
      <c r="T456" t="str">
        <f>IF(COUNTIF(Customers!$A$2:$A$301,C456)=0,"Missing","OK")</f>
        <v>OK</v>
      </c>
      <c r="U456" t="str">
        <f t="shared" si="22"/>
        <v>Mumbai</v>
      </c>
      <c r="V456">
        <f t="shared" si="23"/>
        <v>0</v>
      </c>
    </row>
    <row r="457" spans="1:22" ht="15" customHeight="1" x14ac:dyDescent="0.35">
      <c r="A457" s="3" t="s">
        <v>818</v>
      </c>
      <c r="B457" s="4">
        <v>45505</v>
      </c>
      <c r="C457" s="3" t="s">
        <v>478</v>
      </c>
      <c r="D457" s="3" t="s">
        <v>299</v>
      </c>
      <c r="E457" s="3" t="s">
        <v>177</v>
      </c>
      <c r="F457" s="5">
        <v>10</v>
      </c>
      <c r="G457" s="5">
        <v>5410</v>
      </c>
      <c r="H457" s="5">
        <v>29.8</v>
      </c>
      <c r="I457" s="5">
        <v>37978.199999999997</v>
      </c>
      <c r="J457" s="3" t="s">
        <v>26</v>
      </c>
      <c r="K457" s="3" t="s">
        <v>72</v>
      </c>
      <c r="L457" t="str">
        <f>IFERROR(VLOOKUP(D457,Products!$A$2:$F$61,3,FALSE()),"")</f>
        <v>Sports</v>
      </c>
      <c r="M457" t="str">
        <f>IFERROR(VLOOKUP(E457,Sales_Reps!$A$2:$C$31,3,FALSE()),"")</f>
        <v>East</v>
      </c>
      <c r="N457">
        <f>IFERROR(VLOOKUP(D457,Products!$A$2:$F$61,4,FALSE()),"")</f>
        <v>2265</v>
      </c>
      <c r="O457" t="str">
        <f>IFERROR(VLOOKUP(C457,Customers!$A$2:$F$301,5,FALSE()),"")</f>
        <v>Retail</v>
      </c>
      <c r="P457">
        <f>IFERROR(VLOOKUP(C457,Customers!$A$2:$F$301,3,FALSE()),"")</f>
        <v>38</v>
      </c>
      <c r="Q457">
        <f t="shared" si="21"/>
        <v>0.58133086876155271</v>
      </c>
      <c r="R457">
        <f>IF(AND(COUNTIF($A$2:$A$2027,A457)&gt;1,COUNTIF($A$2:A457,A457)=1),1,0)</f>
        <v>0</v>
      </c>
      <c r="S457" t="b">
        <f>IFERROR(VLOOKUP(D457,Products!$A$2:$F$61,6,FALSE()),"")</f>
        <v>1</v>
      </c>
      <c r="T457" t="str">
        <f>IF(COUNTIF(Customers!$A$2:$A$301,C457)=0,"Missing","OK")</f>
        <v>OK</v>
      </c>
      <c r="U457" t="str">
        <f t="shared" si="22"/>
        <v>Hyderabad</v>
      </c>
      <c r="V457">
        <f t="shared" si="23"/>
        <v>0</v>
      </c>
    </row>
    <row r="458" spans="1:22" ht="15" customHeight="1" x14ac:dyDescent="0.35">
      <c r="A458" s="3" t="s">
        <v>819</v>
      </c>
      <c r="B458" s="4">
        <v>45375</v>
      </c>
      <c r="C458" s="3" t="s">
        <v>811</v>
      </c>
      <c r="D458" s="3" t="s">
        <v>115</v>
      </c>
      <c r="E458" s="3" t="s">
        <v>97</v>
      </c>
      <c r="F458" s="5">
        <v>3</v>
      </c>
      <c r="G458" s="5">
        <v>1650</v>
      </c>
      <c r="H458" s="5">
        <v>9.4</v>
      </c>
      <c r="I458" s="5">
        <v>4484.7</v>
      </c>
      <c r="J458" s="3" t="s">
        <v>79</v>
      </c>
      <c r="K458" s="3" t="s">
        <v>51</v>
      </c>
      <c r="L458" t="str">
        <f>IFERROR(VLOOKUP(D458,Products!$A$2:$F$61,3,FALSE()),"")</f>
        <v>Beauty</v>
      </c>
      <c r="M458" t="str">
        <f>IFERROR(VLOOKUP(E458,Sales_Reps!$A$2:$C$31,3,FALSE()),"")</f>
        <v>East</v>
      </c>
      <c r="N458">
        <f>IFERROR(VLOOKUP(D458,Products!$A$2:$F$61,4,FALSE()),"")</f>
        <v>1222</v>
      </c>
      <c r="O458" t="str">
        <f>IFERROR(VLOOKUP(C458,Customers!$A$2:$F$301,5,FALSE()),"")</f>
        <v>Corporate</v>
      </c>
      <c r="P458">
        <f>IFERROR(VLOOKUP(C458,Customers!$A$2:$F$301,3,FALSE()),"")</f>
        <v>62</v>
      </c>
      <c r="Q458">
        <f t="shared" si="21"/>
        <v>0.2593939393939394</v>
      </c>
      <c r="R458">
        <f>IF(AND(COUNTIF($A$2:$A$2027,A458)&gt;1,COUNTIF($A$2:A458,A458)=1),1,0)</f>
        <v>0</v>
      </c>
      <c r="S458" t="b">
        <f>IFERROR(VLOOKUP(D458,Products!$A$2:$F$61,6,FALSE()),"")</f>
        <v>1</v>
      </c>
      <c r="T458" t="str">
        <f>IF(COUNTIF(Customers!$A$2:$A$301,C458)=0,"Missing","OK")</f>
        <v>OK</v>
      </c>
      <c r="U458" t="str">
        <f t="shared" si="22"/>
        <v>Mumbai</v>
      </c>
      <c r="V458">
        <f t="shared" si="23"/>
        <v>0</v>
      </c>
    </row>
    <row r="459" spans="1:22" ht="15" customHeight="1" x14ac:dyDescent="0.35">
      <c r="A459" s="3" t="s">
        <v>820</v>
      </c>
      <c r="B459" s="4">
        <v>45383</v>
      </c>
      <c r="C459" s="3" t="s">
        <v>821</v>
      </c>
      <c r="D459" s="3" t="s">
        <v>77</v>
      </c>
      <c r="E459" s="3" t="s">
        <v>224</v>
      </c>
      <c r="F459" s="5">
        <v>7</v>
      </c>
      <c r="G459" s="5">
        <v>2600</v>
      </c>
      <c r="H459" s="5">
        <v>19.899999999999999</v>
      </c>
      <c r="I459" s="5">
        <v>14578.2</v>
      </c>
      <c r="J459" s="3" t="s">
        <v>32</v>
      </c>
      <c r="K459" s="3" t="s">
        <v>51</v>
      </c>
      <c r="L459" t="str">
        <f>IFERROR(VLOOKUP(D459,Products!$A$2:$F$61,3,FALSE()),"")</f>
        <v>Electronics</v>
      </c>
      <c r="M459" t="str">
        <f>IFERROR(VLOOKUP(E459,Sales_Reps!$A$2:$C$31,3,FALSE()),"")</f>
        <v>East</v>
      </c>
      <c r="N459">
        <f>IFERROR(VLOOKUP(D459,Products!$A$2:$F$61,4,FALSE()),"")</f>
        <v>1052</v>
      </c>
      <c r="O459" t="str">
        <f>IFERROR(VLOOKUP(C459,Customers!$A$2:$F$301,5,FALSE()),"")</f>
        <v>Retail</v>
      </c>
      <c r="P459">
        <f>IFERROR(VLOOKUP(C459,Customers!$A$2:$F$301,3,FALSE()),"")</f>
        <v>22</v>
      </c>
      <c r="Q459">
        <f t="shared" si="21"/>
        <v>0.5953846153846154</v>
      </c>
      <c r="R459">
        <f>IF(AND(COUNTIF($A$2:$A$2027,A459)&gt;1,COUNTIF($A$2:A459,A459)=1),1,0)</f>
        <v>0</v>
      </c>
      <c r="S459" t="b">
        <f>IFERROR(VLOOKUP(D459,Products!$A$2:$F$61,6,FALSE()),"")</f>
        <v>1</v>
      </c>
      <c r="T459" t="str">
        <f>IF(COUNTIF(Customers!$A$2:$A$301,C459)=0,"Missing","OK")</f>
        <v>OK</v>
      </c>
      <c r="U459" t="str">
        <f t="shared" si="22"/>
        <v>Mumbai</v>
      </c>
      <c r="V459">
        <f t="shared" si="23"/>
        <v>0</v>
      </c>
    </row>
    <row r="460" spans="1:22" ht="15" customHeight="1" x14ac:dyDescent="0.35">
      <c r="A460" s="3" t="s">
        <v>360</v>
      </c>
      <c r="B460" s="4">
        <v>45474</v>
      </c>
      <c r="C460" s="3" t="s">
        <v>822</v>
      </c>
      <c r="D460" s="3" t="s">
        <v>209</v>
      </c>
      <c r="E460" s="3" t="s">
        <v>236</v>
      </c>
      <c r="F460" s="5">
        <v>4</v>
      </c>
      <c r="G460" s="5">
        <v>4610</v>
      </c>
      <c r="H460" s="5">
        <v>13.2</v>
      </c>
      <c r="I460" s="5">
        <v>16005.92</v>
      </c>
      <c r="J460" s="3" t="s">
        <v>26</v>
      </c>
      <c r="K460" s="3" t="s">
        <v>72</v>
      </c>
      <c r="L460" t="str">
        <f>IFERROR(VLOOKUP(D460,Products!$A$2:$F$61,3,FALSE()),"")</f>
        <v>Home</v>
      </c>
      <c r="M460" t="str">
        <f>IFERROR(VLOOKUP(E460,Sales_Reps!$A$2:$C$31,3,FALSE()),"")</f>
        <v>North</v>
      </c>
      <c r="N460">
        <f>IFERROR(VLOOKUP(D460,Products!$A$2:$F$61,4,FALSE()),"")</f>
        <v>1850</v>
      </c>
      <c r="O460" t="str">
        <f>IFERROR(VLOOKUP(C460,Customers!$A$2:$F$301,5,FALSE()),"")</f>
        <v>SMB</v>
      </c>
      <c r="P460">
        <f>IFERROR(VLOOKUP(C460,Customers!$A$2:$F$301,3,FALSE()),"")</f>
        <v>28</v>
      </c>
      <c r="Q460">
        <f t="shared" si="21"/>
        <v>0.59869848156182215</v>
      </c>
      <c r="R460">
        <f>IF(AND(COUNTIF($A$2:$A$2027,A460)&gt;1,COUNTIF($A$2:A460,A460)=1),1,0)</f>
        <v>0</v>
      </c>
      <c r="S460" t="b">
        <f>IFERROR(VLOOKUP(D460,Products!$A$2:$F$61,6,FALSE()),"")</f>
        <v>1</v>
      </c>
      <c r="T460" t="str">
        <f>IF(COUNTIF(Customers!$A$2:$A$301,C460)=0,"Missing","OK")</f>
        <v>OK</v>
      </c>
      <c r="U460" t="str">
        <f t="shared" si="22"/>
        <v>Hyderabad</v>
      </c>
      <c r="V460">
        <f t="shared" si="23"/>
        <v>0</v>
      </c>
    </row>
    <row r="461" spans="1:22" ht="15" customHeight="1" x14ac:dyDescent="0.35">
      <c r="A461" s="3" t="s">
        <v>823</v>
      </c>
      <c r="B461" s="4">
        <v>45361</v>
      </c>
      <c r="C461" s="3" t="s">
        <v>202</v>
      </c>
      <c r="D461" s="3" t="s">
        <v>209</v>
      </c>
      <c r="E461" s="3" t="s">
        <v>97</v>
      </c>
      <c r="F461" s="5">
        <v>9</v>
      </c>
      <c r="G461" s="5">
        <v>4610</v>
      </c>
      <c r="H461" s="5">
        <v>25.8</v>
      </c>
      <c r="I461" s="5">
        <v>30785.58</v>
      </c>
      <c r="J461" s="3" t="s">
        <v>26</v>
      </c>
      <c r="K461" s="3" t="s">
        <v>72</v>
      </c>
      <c r="L461" t="str">
        <f>IFERROR(VLOOKUP(D461,Products!$A$2:$F$61,3,FALSE()),"")</f>
        <v>Home</v>
      </c>
      <c r="M461" t="str">
        <f>IFERROR(VLOOKUP(E461,Sales_Reps!$A$2:$C$31,3,FALSE()),"")</f>
        <v>East</v>
      </c>
      <c r="N461">
        <f>IFERROR(VLOOKUP(D461,Products!$A$2:$F$61,4,FALSE()),"")</f>
        <v>1850</v>
      </c>
      <c r="O461" t="str">
        <f>IFERROR(VLOOKUP(C461,Customers!$A$2:$F$301,5,FALSE()),"")</f>
        <v>Retail</v>
      </c>
      <c r="P461">
        <f>IFERROR(VLOOKUP(C461,Customers!$A$2:$F$301,3,FALSE()),"")</f>
        <v>53</v>
      </c>
      <c r="Q461">
        <f t="shared" si="21"/>
        <v>0.59869848156182215</v>
      </c>
      <c r="R461">
        <f>IF(AND(COUNTIF($A$2:$A$2027,A461)&gt;1,COUNTIF($A$2:A461,A461)=1),1,0)</f>
        <v>0</v>
      </c>
      <c r="S461" t="b">
        <f>IFERROR(VLOOKUP(D461,Products!$A$2:$F$61,6,FALSE()),"")</f>
        <v>1</v>
      </c>
      <c r="T461" t="str">
        <f>IF(COUNTIF(Customers!$A$2:$A$301,C461)=0,"Missing","OK")</f>
        <v>OK</v>
      </c>
      <c r="U461" t="str">
        <f t="shared" si="22"/>
        <v>Hyderabad</v>
      </c>
      <c r="V461">
        <f t="shared" si="23"/>
        <v>0</v>
      </c>
    </row>
    <row r="462" spans="1:22" ht="15" customHeight="1" x14ac:dyDescent="0.35">
      <c r="A462" s="3" t="s">
        <v>824</v>
      </c>
      <c r="B462" s="4">
        <v>45550</v>
      </c>
      <c r="C462" s="3" t="s">
        <v>825</v>
      </c>
      <c r="D462" s="3" t="s">
        <v>221</v>
      </c>
      <c r="E462" s="3" t="s">
        <v>37</v>
      </c>
      <c r="F462" s="5">
        <v>5</v>
      </c>
      <c r="G462" s="5">
        <v>300</v>
      </c>
      <c r="H462" s="5">
        <v>11.8</v>
      </c>
      <c r="I462" s="5">
        <v>1323</v>
      </c>
      <c r="J462" s="3" t="s">
        <v>26</v>
      </c>
      <c r="K462" s="3" t="s">
        <v>33</v>
      </c>
      <c r="L462" t="str">
        <f>IFERROR(VLOOKUP(D462,Products!$A$2:$F$61,3,FALSE()),"")</f>
        <v>Electronics</v>
      </c>
      <c r="M462" t="str">
        <f>IFERROR(VLOOKUP(E462,Sales_Reps!$A$2:$C$31,3,FALSE()),"")</f>
        <v>South</v>
      </c>
      <c r="N462">
        <f>IFERROR(VLOOKUP(D462,Products!$A$2:$F$61,4,FALSE()),"")</f>
        <v>128</v>
      </c>
      <c r="O462" t="str">
        <f>IFERROR(VLOOKUP(C462,Customers!$A$2:$F$301,5,FALSE()),"")</f>
        <v>Corporate</v>
      </c>
      <c r="P462">
        <f>IFERROR(VLOOKUP(C462,Customers!$A$2:$F$301,3,FALSE()),"")</f>
        <v>44</v>
      </c>
      <c r="Q462">
        <f t="shared" si="21"/>
        <v>0.57333333333333336</v>
      </c>
      <c r="R462">
        <f>IF(AND(COUNTIF($A$2:$A$2027,A462)&gt;1,COUNTIF($A$2:A462,A462)=1),1,0)</f>
        <v>0</v>
      </c>
      <c r="S462" t="b">
        <f>IFERROR(VLOOKUP(D462,Products!$A$2:$F$61,6,FALSE()),"")</f>
        <v>1</v>
      </c>
      <c r="T462" t="str">
        <f>IF(COUNTIF(Customers!$A$2:$A$301,C462)=0,"Missing","OK")</f>
        <v>OK</v>
      </c>
      <c r="U462" t="str">
        <f t="shared" si="22"/>
        <v>Chennai</v>
      </c>
      <c r="V462">
        <f t="shared" si="23"/>
        <v>0</v>
      </c>
    </row>
    <row r="463" spans="1:22" ht="15" customHeight="1" x14ac:dyDescent="0.35">
      <c r="A463" s="3" t="s">
        <v>826</v>
      </c>
      <c r="B463" s="4">
        <v>45485</v>
      </c>
      <c r="C463" s="3" t="s">
        <v>734</v>
      </c>
      <c r="D463" s="3" t="s">
        <v>391</v>
      </c>
      <c r="E463" s="3" t="s">
        <v>131</v>
      </c>
      <c r="F463" s="5">
        <v>3</v>
      </c>
      <c r="G463" s="5">
        <v>3450</v>
      </c>
      <c r="H463" s="5">
        <v>14.2</v>
      </c>
      <c r="I463" s="5">
        <v>8880.2999999999993</v>
      </c>
      <c r="J463" s="3" t="s">
        <v>26</v>
      </c>
      <c r="K463" s="3" t="s">
        <v>33</v>
      </c>
      <c r="L463" t="str">
        <f>IFERROR(VLOOKUP(D463,Products!$A$2:$F$61,3,FALSE()),"")</f>
        <v>Apparel</v>
      </c>
      <c r="M463" t="str">
        <f>IFERROR(VLOOKUP(E463,Sales_Reps!$A$2:$C$31,3,FALSE()),"")</f>
        <v>East</v>
      </c>
      <c r="N463">
        <f>IFERROR(VLOOKUP(D463,Products!$A$2:$F$61,4,FALSE()),"")</f>
        <v>1748</v>
      </c>
      <c r="O463" t="str">
        <f>IFERROR(VLOOKUP(C463,Customers!$A$2:$F$301,5,FALSE()),"")</f>
        <v>Retail</v>
      </c>
      <c r="P463">
        <f>IFERROR(VLOOKUP(C463,Customers!$A$2:$F$301,3,FALSE()),"")</f>
        <v>22</v>
      </c>
      <c r="Q463">
        <f t="shared" si="21"/>
        <v>0.49333333333333335</v>
      </c>
      <c r="R463">
        <f>IF(AND(COUNTIF($A$2:$A$2027,A463)&gt;1,COUNTIF($A$2:A463,A463)=1),1,0)</f>
        <v>0</v>
      </c>
      <c r="S463" t="b">
        <f>IFERROR(VLOOKUP(D463,Products!$A$2:$F$61,6,FALSE()),"")</f>
        <v>1</v>
      </c>
      <c r="T463" t="str">
        <f>IF(COUNTIF(Customers!$A$2:$A$301,C463)=0,"Missing","OK")</f>
        <v>OK</v>
      </c>
      <c r="U463" t="str">
        <f t="shared" si="22"/>
        <v>Chennai</v>
      </c>
      <c r="V463">
        <f t="shared" si="23"/>
        <v>0</v>
      </c>
    </row>
    <row r="464" spans="1:22" ht="15" customHeight="1" x14ac:dyDescent="0.35">
      <c r="A464" s="3" t="s">
        <v>827</v>
      </c>
      <c r="B464" s="4">
        <v>45523</v>
      </c>
      <c r="C464" s="3" t="s">
        <v>528</v>
      </c>
      <c r="D464" s="3" t="s">
        <v>112</v>
      </c>
      <c r="E464" s="3" t="s">
        <v>67</v>
      </c>
      <c r="F464" s="5">
        <v>2</v>
      </c>
      <c r="G464" s="5">
        <v>2720</v>
      </c>
      <c r="H464" s="5">
        <v>14.6</v>
      </c>
      <c r="I464" s="5">
        <v>4645.76</v>
      </c>
      <c r="J464" s="3" t="s">
        <v>79</v>
      </c>
      <c r="K464" s="3" t="s">
        <v>33</v>
      </c>
      <c r="L464" t="str">
        <f>IFERROR(VLOOKUP(D464,Products!$A$2:$F$61,3,FALSE()),"")</f>
        <v>Apparel</v>
      </c>
      <c r="M464" t="str">
        <f>IFERROR(VLOOKUP(E464,Sales_Reps!$A$2:$C$31,3,FALSE()),"")</f>
        <v>West</v>
      </c>
      <c r="N464">
        <f>IFERROR(VLOOKUP(D464,Products!$A$2:$F$61,4,FALSE()),"")</f>
        <v>1962</v>
      </c>
      <c r="O464" t="str">
        <f>IFERROR(VLOOKUP(C464,Customers!$A$2:$F$301,5,FALSE()),"")</f>
        <v>Corporate</v>
      </c>
      <c r="P464">
        <f>IFERROR(VLOOKUP(C464,Customers!$A$2:$F$301,3,FALSE()),"")</f>
        <v>30</v>
      </c>
      <c r="Q464">
        <f t="shared" si="21"/>
        <v>0.2786764705882353</v>
      </c>
      <c r="R464">
        <f>IF(AND(COUNTIF($A$2:$A$2027,A464)&gt;1,COUNTIF($A$2:A464,A464)=1),1,0)</f>
        <v>0</v>
      </c>
      <c r="S464" t="b">
        <f>IFERROR(VLOOKUP(D464,Products!$A$2:$F$61,6,FALSE()),"")</f>
        <v>1</v>
      </c>
      <c r="T464" t="str">
        <f>IF(COUNTIF(Customers!$A$2:$A$301,C464)=0,"Missing","OK")</f>
        <v>OK</v>
      </c>
      <c r="U464" t="str">
        <f t="shared" si="22"/>
        <v>Chennai</v>
      </c>
      <c r="V464">
        <f t="shared" si="23"/>
        <v>0</v>
      </c>
    </row>
    <row r="465" spans="1:22" ht="15" customHeight="1" x14ac:dyDescent="0.35">
      <c r="A465" s="3" t="s">
        <v>828</v>
      </c>
      <c r="B465" s="4">
        <v>45626</v>
      </c>
      <c r="C465" s="3" t="s">
        <v>608</v>
      </c>
      <c r="D465" s="3" t="s">
        <v>218</v>
      </c>
      <c r="E465" s="3" t="s">
        <v>177</v>
      </c>
      <c r="F465" s="5">
        <v>7</v>
      </c>
      <c r="G465" s="5">
        <v>2660</v>
      </c>
      <c r="H465" s="5">
        <v>27.4</v>
      </c>
      <c r="I465" s="5">
        <v>13518.12</v>
      </c>
      <c r="J465" s="3" t="s">
        <v>79</v>
      </c>
      <c r="K465" s="3" t="s">
        <v>72</v>
      </c>
      <c r="L465" t="str">
        <f>IFERROR(VLOOKUP(D465,Products!$A$2:$F$61,3,FALSE()),"")</f>
        <v>Electronics</v>
      </c>
      <c r="M465" t="str">
        <f>IFERROR(VLOOKUP(E465,Sales_Reps!$A$2:$C$31,3,FALSE()),"")</f>
        <v>East</v>
      </c>
      <c r="N465">
        <f>IFERROR(VLOOKUP(D465,Products!$A$2:$F$61,4,FALSE()),"")</f>
        <v>1259</v>
      </c>
      <c r="O465" t="str">
        <f>IFERROR(VLOOKUP(C465,Customers!$A$2:$F$301,5,FALSE()),"")</f>
        <v>Retail</v>
      </c>
      <c r="P465">
        <f>IFERROR(VLOOKUP(C465,Customers!$A$2:$F$301,3,FALSE()),"")</f>
        <v>31</v>
      </c>
      <c r="Q465">
        <f t="shared" si="21"/>
        <v>0.52669172932330832</v>
      </c>
      <c r="R465">
        <f>IF(AND(COUNTIF($A$2:$A$2027,A465)&gt;1,COUNTIF($A$2:A465,A465)=1),1,0)</f>
        <v>0</v>
      </c>
      <c r="S465" t="b">
        <f>IFERROR(VLOOKUP(D465,Products!$A$2:$F$61,6,FALSE()),"")</f>
        <v>0</v>
      </c>
      <c r="T465" t="str">
        <f>IF(COUNTIF(Customers!$A$2:$A$301,C465)=0,"Missing","OK")</f>
        <v>OK</v>
      </c>
      <c r="U465" t="str">
        <f t="shared" si="22"/>
        <v>Hyderabad</v>
      </c>
      <c r="V465">
        <f t="shared" si="23"/>
        <v>0</v>
      </c>
    </row>
    <row r="466" spans="1:22" ht="15" customHeight="1" x14ac:dyDescent="0.35">
      <c r="A466" s="3" t="s">
        <v>829</v>
      </c>
      <c r="B466" s="4">
        <v>45302</v>
      </c>
      <c r="C466" s="3" t="s">
        <v>554</v>
      </c>
      <c r="D466" s="3" t="s">
        <v>100</v>
      </c>
      <c r="E466" s="3" t="s">
        <v>31</v>
      </c>
      <c r="F466" s="5">
        <v>8</v>
      </c>
      <c r="G466" s="5">
        <v>3450</v>
      </c>
      <c r="H466" s="5">
        <v>20.399999999999999</v>
      </c>
      <c r="I466" s="5">
        <v>21969.599999999999</v>
      </c>
      <c r="J466" s="3" t="s">
        <v>26</v>
      </c>
      <c r="K466" s="3" t="s">
        <v>51</v>
      </c>
      <c r="L466" t="str">
        <f>IFERROR(VLOOKUP(D466,Products!$A$2:$F$61,3,FALSE()),"")</f>
        <v>Sports</v>
      </c>
      <c r="M466" t="str">
        <f>IFERROR(VLOOKUP(E466,Sales_Reps!$A$2:$C$31,3,FALSE()),"")</f>
        <v>North</v>
      </c>
      <c r="N466">
        <f>IFERROR(VLOOKUP(D466,Products!$A$2:$F$61,4,FALSE()),"")</f>
        <v>2467</v>
      </c>
      <c r="O466" t="str">
        <f>IFERROR(VLOOKUP(C466,Customers!$A$2:$F$301,5,FALSE()),"")</f>
        <v>Retail</v>
      </c>
      <c r="P466">
        <f>IFERROR(VLOOKUP(C466,Customers!$A$2:$F$301,3,FALSE()),"")</f>
        <v>53</v>
      </c>
      <c r="Q466">
        <f t="shared" si="21"/>
        <v>0.28492753623188405</v>
      </c>
      <c r="R466">
        <f>IF(AND(COUNTIF($A$2:$A$2027,A466)&gt;1,COUNTIF($A$2:A466,A466)=1),1,0)</f>
        <v>0</v>
      </c>
      <c r="S466" t="b">
        <f>IFERROR(VLOOKUP(D466,Products!$A$2:$F$61,6,FALSE()),"")</f>
        <v>1</v>
      </c>
      <c r="T466" t="str">
        <f>IF(COUNTIF(Customers!$A$2:$A$301,C466)=0,"Missing","OK")</f>
        <v>OK</v>
      </c>
      <c r="U466" t="str">
        <f t="shared" si="22"/>
        <v>Mumbai</v>
      </c>
      <c r="V466">
        <f t="shared" si="23"/>
        <v>0</v>
      </c>
    </row>
    <row r="467" spans="1:22" ht="15" customHeight="1" x14ac:dyDescent="0.35">
      <c r="A467" s="3" t="s">
        <v>830</v>
      </c>
      <c r="B467" s="4">
        <v>45427</v>
      </c>
      <c r="C467" s="3" t="s">
        <v>421</v>
      </c>
      <c r="D467" s="3" t="s">
        <v>299</v>
      </c>
      <c r="E467" s="3" t="s">
        <v>285</v>
      </c>
      <c r="F467" s="5">
        <v>2</v>
      </c>
      <c r="G467" s="5">
        <v>5410</v>
      </c>
      <c r="H467" s="5">
        <v>7.2</v>
      </c>
      <c r="I467" s="5">
        <v>10040.959999999999</v>
      </c>
      <c r="J467" s="3" t="s">
        <v>26</v>
      </c>
      <c r="K467" s="3" t="s">
        <v>72</v>
      </c>
      <c r="L467" t="str">
        <f>IFERROR(VLOOKUP(D467,Products!$A$2:$F$61,3,FALSE()),"")</f>
        <v>Sports</v>
      </c>
      <c r="M467" t="str">
        <f>IFERROR(VLOOKUP(E467,Sales_Reps!$A$2:$C$31,3,FALSE()),"")</f>
        <v>South</v>
      </c>
      <c r="N467">
        <f>IFERROR(VLOOKUP(D467,Products!$A$2:$F$61,4,FALSE()),"")</f>
        <v>2265</v>
      </c>
      <c r="O467" t="str">
        <f>IFERROR(VLOOKUP(C467,Customers!$A$2:$F$301,5,FALSE()),"")</f>
        <v>Corporate</v>
      </c>
      <c r="P467">
        <f>IFERROR(VLOOKUP(C467,Customers!$A$2:$F$301,3,FALSE()),"")</f>
        <v>52</v>
      </c>
      <c r="Q467">
        <f t="shared" si="21"/>
        <v>0.58133086876155271</v>
      </c>
      <c r="R467">
        <f>IF(AND(COUNTIF($A$2:$A$2027,A467)&gt;1,COUNTIF($A$2:A467,A467)=1),1,0)</f>
        <v>0</v>
      </c>
      <c r="S467" t="b">
        <f>IFERROR(VLOOKUP(D467,Products!$A$2:$F$61,6,FALSE()),"")</f>
        <v>1</v>
      </c>
      <c r="T467" t="str">
        <f>IF(COUNTIF(Customers!$A$2:$A$301,C467)=0,"Missing","OK")</f>
        <v>OK</v>
      </c>
      <c r="U467" t="str">
        <f t="shared" si="22"/>
        <v>Hyderabad</v>
      </c>
      <c r="V467">
        <f t="shared" si="23"/>
        <v>0</v>
      </c>
    </row>
    <row r="468" spans="1:22" ht="15" customHeight="1" x14ac:dyDescent="0.35">
      <c r="A468" s="3" t="s">
        <v>831</v>
      </c>
      <c r="B468" s="4">
        <v>45315</v>
      </c>
      <c r="C468" s="3" t="s">
        <v>528</v>
      </c>
      <c r="D468" s="3" t="s">
        <v>187</v>
      </c>
      <c r="E468" s="3" t="s">
        <v>191</v>
      </c>
      <c r="F468" s="5">
        <v>3</v>
      </c>
      <c r="G468" s="5">
        <v>3870</v>
      </c>
      <c r="H468" s="5">
        <v>4.2</v>
      </c>
      <c r="I468" s="5">
        <v>11122.38</v>
      </c>
      <c r="J468" s="3" t="s">
        <v>26</v>
      </c>
      <c r="K468" s="3" t="s">
        <v>33</v>
      </c>
      <c r="L468" t="str">
        <f>IFERROR(VLOOKUP(D468,Products!$A$2:$F$61,3,FALSE()),"")</f>
        <v>Electronics</v>
      </c>
      <c r="M468" t="str">
        <f>IFERROR(VLOOKUP(E468,Sales_Reps!$A$2:$C$31,3,FALSE()),"")</f>
        <v>South</v>
      </c>
      <c r="N468">
        <f>IFERROR(VLOOKUP(D468,Products!$A$2:$F$61,4,FALSE()),"")</f>
        <v>1559</v>
      </c>
      <c r="O468" t="str">
        <f>IFERROR(VLOOKUP(C468,Customers!$A$2:$F$301,5,FALSE()),"")</f>
        <v>Corporate</v>
      </c>
      <c r="P468">
        <f>IFERROR(VLOOKUP(C468,Customers!$A$2:$F$301,3,FALSE()),"")</f>
        <v>30</v>
      </c>
      <c r="Q468">
        <f t="shared" si="21"/>
        <v>0.59715762273901807</v>
      </c>
      <c r="R468">
        <f>IF(AND(COUNTIF($A$2:$A$2027,A468)&gt;1,COUNTIF($A$2:A468,A468)=1),1,0)</f>
        <v>0</v>
      </c>
      <c r="S468" t="b">
        <f>IFERROR(VLOOKUP(D468,Products!$A$2:$F$61,6,FALSE()),"")</f>
        <v>1</v>
      </c>
      <c r="T468" t="str">
        <f>IF(COUNTIF(Customers!$A$2:$A$301,C468)=0,"Missing","OK")</f>
        <v>OK</v>
      </c>
      <c r="U468" t="str">
        <f t="shared" si="22"/>
        <v>Chennai</v>
      </c>
      <c r="V468">
        <f t="shared" si="23"/>
        <v>0</v>
      </c>
    </row>
    <row r="469" spans="1:22" ht="15" customHeight="1" x14ac:dyDescent="0.35">
      <c r="A469" s="3" t="s">
        <v>832</v>
      </c>
      <c r="B469" s="4">
        <v>45328</v>
      </c>
      <c r="C469" s="3" t="s">
        <v>255</v>
      </c>
      <c r="D469" s="3" t="s">
        <v>70</v>
      </c>
      <c r="E469" s="3" t="s">
        <v>31</v>
      </c>
      <c r="F469" s="5">
        <v>10</v>
      </c>
      <c r="G469" s="5">
        <v>2270</v>
      </c>
      <c r="H469" s="5">
        <v>17.3</v>
      </c>
      <c r="I469" s="5">
        <v>18772.900000000001</v>
      </c>
      <c r="J469" s="3" t="s">
        <v>26</v>
      </c>
      <c r="K469" s="3" t="s">
        <v>27</v>
      </c>
      <c r="L469" t="str">
        <f>IFERROR(VLOOKUP(D469,Products!$A$2:$F$61,3,FALSE()),"")</f>
        <v>Grocery</v>
      </c>
      <c r="M469" t="str">
        <f>IFERROR(VLOOKUP(E469,Sales_Reps!$A$2:$C$31,3,FALSE()),"")</f>
        <v>North</v>
      </c>
      <c r="N469">
        <f>IFERROR(VLOOKUP(D469,Products!$A$2:$F$61,4,FALSE()),"")</f>
        <v>1203</v>
      </c>
      <c r="O469" t="str">
        <f>IFERROR(VLOOKUP(C469,Customers!$A$2:$F$301,5,FALSE()),"")</f>
        <v>SMB</v>
      </c>
      <c r="P469">
        <f>IFERROR(VLOOKUP(C469,Customers!$A$2:$F$301,3,FALSE()),"")</f>
        <v>60</v>
      </c>
      <c r="Q469">
        <f t="shared" si="21"/>
        <v>0.47004405286343615</v>
      </c>
      <c r="R469">
        <f>IF(AND(COUNTIF($A$2:$A$2027,A469)&gt;1,COUNTIF($A$2:A469,A469)=1),1,0)</f>
        <v>0</v>
      </c>
      <c r="S469" t="b">
        <f>IFERROR(VLOOKUP(D469,Products!$A$2:$F$61,6,FALSE()),"")</f>
        <v>1</v>
      </c>
      <c r="T469" t="str">
        <f>IF(COUNTIF(Customers!$A$2:$A$301,C469)=0,"Missing","OK")</f>
        <v>OK</v>
      </c>
      <c r="U469" t="str">
        <f t="shared" si="22"/>
        <v>Pune</v>
      </c>
      <c r="V469">
        <f t="shared" si="23"/>
        <v>0</v>
      </c>
    </row>
    <row r="470" spans="1:22" ht="15" customHeight="1" x14ac:dyDescent="0.35">
      <c r="A470" s="3" t="s">
        <v>833</v>
      </c>
      <c r="B470" s="4">
        <v>45394</v>
      </c>
      <c r="C470" s="3" t="s">
        <v>834</v>
      </c>
      <c r="D470" s="3" t="s">
        <v>303</v>
      </c>
      <c r="E470" s="3" t="s">
        <v>50</v>
      </c>
      <c r="F470" s="5">
        <v>1</v>
      </c>
      <c r="G470" s="5">
        <v>5330</v>
      </c>
      <c r="H470" s="5">
        <v>24.2</v>
      </c>
      <c r="I470" s="5">
        <v>4040.14</v>
      </c>
      <c r="J470" s="3" t="s">
        <v>26</v>
      </c>
      <c r="K470" s="3" t="s">
        <v>56</v>
      </c>
      <c r="L470" t="str">
        <f>IFERROR(VLOOKUP(D470,Products!$A$2:$F$61,3,FALSE()),"")</f>
        <v>Electronics</v>
      </c>
      <c r="M470" t="str">
        <f>IFERROR(VLOOKUP(E470,Sales_Reps!$A$2:$C$31,3,FALSE()),"")</f>
        <v>West</v>
      </c>
      <c r="N470">
        <f>IFERROR(VLOOKUP(D470,Products!$A$2:$F$61,4,FALSE()),"")</f>
        <v>2405</v>
      </c>
      <c r="O470" t="str">
        <f>IFERROR(VLOOKUP(C470,Customers!$A$2:$F$301,5,FALSE()),"")</f>
        <v>Retail</v>
      </c>
      <c r="P470">
        <f>IFERROR(VLOOKUP(C470,Customers!$A$2:$F$301,3,FALSE()),"")</f>
        <v>46</v>
      </c>
      <c r="Q470">
        <f t="shared" si="21"/>
        <v>0.54878048780487809</v>
      </c>
      <c r="R470">
        <f>IF(AND(COUNTIF($A$2:$A$2027,A470)&gt;1,COUNTIF($A$2:A470,A470)=1),1,0)</f>
        <v>0</v>
      </c>
      <c r="S470" t="b">
        <f>IFERROR(VLOOKUP(D470,Products!$A$2:$F$61,6,FALSE()),"")</f>
        <v>1</v>
      </c>
      <c r="T470" t="str">
        <f>IF(COUNTIF(Customers!$A$2:$A$301,C470)=0,"Missing","OK")</f>
        <v>OK</v>
      </c>
      <c r="U470" t="str">
        <f t="shared" si="22"/>
        <v>Bengaluru</v>
      </c>
      <c r="V470">
        <f t="shared" si="23"/>
        <v>0</v>
      </c>
    </row>
    <row r="471" spans="1:22" ht="15" customHeight="1" x14ac:dyDescent="0.35">
      <c r="A471" s="3" t="s">
        <v>835</v>
      </c>
      <c r="B471" s="4">
        <v>45414</v>
      </c>
      <c r="C471" s="3" t="s">
        <v>58</v>
      </c>
      <c r="D471" s="3" t="s">
        <v>118</v>
      </c>
      <c r="E471" s="3" t="s">
        <v>127</v>
      </c>
      <c r="F471" s="5">
        <v>2</v>
      </c>
      <c r="G471" s="5">
        <v>3350</v>
      </c>
      <c r="H471" s="5">
        <v>23.4</v>
      </c>
      <c r="I471" s="5">
        <v>5132.2</v>
      </c>
      <c r="J471" s="3" t="s">
        <v>26</v>
      </c>
      <c r="K471" s="3" t="s">
        <v>56</v>
      </c>
      <c r="L471" t="str">
        <f>IFERROR(VLOOKUP(D471,Products!$A$2:$F$61,3,FALSE()),"")</f>
        <v>Beauty</v>
      </c>
      <c r="M471" t="str">
        <f>IFERROR(VLOOKUP(E471,Sales_Reps!$A$2:$C$31,3,FALSE()),"")</f>
        <v>South</v>
      </c>
      <c r="N471">
        <f>IFERROR(VLOOKUP(D471,Products!$A$2:$F$61,4,FALSE()),"")</f>
        <v>1728</v>
      </c>
      <c r="O471" t="str">
        <f>IFERROR(VLOOKUP(C471,Customers!$A$2:$F$301,5,FALSE()),"")</f>
        <v>Corporate</v>
      </c>
      <c r="P471">
        <f>IFERROR(VLOOKUP(C471,Customers!$A$2:$F$301,3,FALSE()),"")</f>
        <v>57</v>
      </c>
      <c r="Q471">
        <f t="shared" si="21"/>
        <v>0.48417910447761192</v>
      </c>
      <c r="R471">
        <f>IF(AND(COUNTIF($A$2:$A$2027,A471)&gt;1,COUNTIF($A$2:A471,A471)=1),1,0)</f>
        <v>0</v>
      </c>
      <c r="S471" t="b">
        <f>IFERROR(VLOOKUP(D471,Products!$A$2:$F$61,6,FALSE()),"")</f>
        <v>1</v>
      </c>
      <c r="T471" t="str">
        <f>IF(COUNTIF(Customers!$A$2:$A$301,C471)=0,"Missing","OK")</f>
        <v>OK</v>
      </c>
      <c r="U471" t="str">
        <f t="shared" si="22"/>
        <v>Bengaluru</v>
      </c>
      <c r="V471">
        <f t="shared" si="23"/>
        <v>0</v>
      </c>
    </row>
    <row r="472" spans="1:22" ht="15" customHeight="1" x14ac:dyDescent="0.35">
      <c r="A472" s="3" t="s">
        <v>836</v>
      </c>
      <c r="B472" s="4">
        <v>45393</v>
      </c>
      <c r="C472" s="3" t="s">
        <v>762</v>
      </c>
      <c r="D472" s="3" t="s">
        <v>215</v>
      </c>
      <c r="E472" s="3" t="s">
        <v>42</v>
      </c>
      <c r="F472" s="5">
        <v>7</v>
      </c>
      <c r="G472" s="5">
        <v>3020</v>
      </c>
      <c r="H472" s="5">
        <v>23.7</v>
      </c>
      <c r="I472" s="5">
        <v>16129.82</v>
      </c>
      <c r="J472" s="3" t="s">
        <v>26</v>
      </c>
      <c r="K472" s="3" t="s">
        <v>33</v>
      </c>
      <c r="L472" t="str">
        <f>IFERROR(VLOOKUP(D472,Products!$A$2:$F$61,3,FALSE()),"")</f>
        <v>Beauty</v>
      </c>
      <c r="M472" t="str">
        <f>IFERROR(VLOOKUP(E472,Sales_Reps!$A$2:$C$31,3,FALSE()),"")</f>
        <v>North</v>
      </c>
      <c r="N472">
        <f>IFERROR(VLOOKUP(D472,Products!$A$2:$F$61,4,FALSE()),"")</f>
        <v>1626</v>
      </c>
      <c r="O472" t="str">
        <f>IFERROR(VLOOKUP(C472,Customers!$A$2:$F$301,5,FALSE()),"")</f>
        <v>Retail</v>
      </c>
      <c r="P472">
        <f>IFERROR(VLOOKUP(C472,Customers!$A$2:$F$301,3,FALSE()),"")</f>
        <v>32</v>
      </c>
      <c r="Q472">
        <f t="shared" si="21"/>
        <v>0.46158940397350995</v>
      </c>
      <c r="R472">
        <f>IF(AND(COUNTIF($A$2:$A$2027,A472)&gt;1,COUNTIF($A$2:A472,A472)=1),1,0)</f>
        <v>0</v>
      </c>
      <c r="S472" t="b">
        <f>IFERROR(VLOOKUP(D472,Products!$A$2:$F$61,6,FALSE()),"")</f>
        <v>1</v>
      </c>
      <c r="T472" t="str">
        <f>IF(COUNTIF(Customers!$A$2:$A$301,C472)=0,"Missing","OK")</f>
        <v>OK</v>
      </c>
      <c r="U472" t="str">
        <f t="shared" si="22"/>
        <v>Chennai</v>
      </c>
      <c r="V472">
        <f t="shared" si="23"/>
        <v>0</v>
      </c>
    </row>
    <row r="473" spans="1:22" ht="15" customHeight="1" x14ac:dyDescent="0.35">
      <c r="A473" s="3" t="s">
        <v>837</v>
      </c>
      <c r="B473" s="4">
        <v>45535</v>
      </c>
      <c r="C473" s="3" t="s">
        <v>504</v>
      </c>
      <c r="D473" s="3" t="s">
        <v>45</v>
      </c>
      <c r="E473" s="3" t="s">
        <v>131</v>
      </c>
      <c r="F473" s="5">
        <v>7</v>
      </c>
      <c r="G473" s="5">
        <v>3160</v>
      </c>
      <c r="H473" s="5">
        <v>22.8</v>
      </c>
      <c r="I473" s="5">
        <v>17076.64</v>
      </c>
      <c r="J473" s="3" t="s">
        <v>26</v>
      </c>
      <c r="K473" s="3" t="s">
        <v>51</v>
      </c>
      <c r="L473" t="str">
        <f>IFERROR(VLOOKUP(D473,Products!$A$2:$F$61,3,FALSE()),"")</f>
        <v>Apparel</v>
      </c>
      <c r="M473" t="str">
        <f>IFERROR(VLOOKUP(E473,Sales_Reps!$A$2:$C$31,3,FALSE()),"")</f>
        <v>East</v>
      </c>
      <c r="N473">
        <f>IFERROR(VLOOKUP(D473,Products!$A$2:$F$61,4,FALSE()),"")</f>
        <v>1886</v>
      </c>
      <c r="O473" t="str">
        <f>IFERROR(VLOOKUP(C473,Customers!$A$2:$F$301,5,FALSE()),"")</f>
        <v>SMB</v>
      </c>
      <c r="P473">
        <f>IFERROR(VLOOKUP(C473,Customers!$A$2:$F$301,3,FALSE()),"")</f>
        <v>61</v>
      </c>
      <c r="Q473">
        <f t="shared" si="21"/>
        <v>0.4031645569620253</v>
      </c>
      <c r="R473">
        <f>IF(AND(COUNTIF($A$2:$A$2027,A473)&gt;1,COUNTIF($A$2:A473,A473)=1),1,0)</f>
        <v>0</v>
      </c>
      <c r="S473" t="b">
        <f>IFERROR(VLOOKUP(D473,Products!$A$2:$F$61,6,FALSE()),"")</f>
        <v>1</v>
      </c>
      <c r="T473" t="str">
        <f>IF(COUNTIF(Customers!$A$2:$A$301,C473)=0,"Missing","OK")</f>
        <v>OK</v>
      </c>
      <c r="U473" t="str">
        <f t="shared" si="22"/>
        <v>Mumbai</v>
      </c>
      <c r="V473">
        <f t="shared" si="23"/>
        <v>0</v>
      </c>
    </row>
    <row r="474" spans="1:22" ht="15" customHeight="1" x14ac:dyDescent="0.35">
      <c r="A474" s="3" t="s">
        <v>838</v>
      </c>
      <c r="B474" s="4">
        <v>45541</v>
      </c>
      <c r="C474" s="3" t="s">
        <v>839</v>
      </c>
      <c r="D474" s="3" t="s">
        <v>36</v>
      </c>
      <c r="E474" s="3" t="s">
        <v>131</v>
      </c>
      <c r="F474" s="5">
        <v>2</v>
      </c>
      <c r="G474" s="5">
        <v>470</v>
      </c>
      <c r="H474" s="5">
        <v>28.8</v>
      </c>
      <c r="I474" s="5">
        <v>669.28</v>
      </c>
      <c r="J474" s="3" t="s">
        <v>79</v>
      </c>
      <c r="K474" s="3" t="s">
        <v>56</v>
      </c>
      <c r="L474" t="str">
        <f>IFERROR(VLOOKUP(D474,Products!$A$2:$F$61,3,FALSE()),"")</f>
        <v>Sports</v>
      </c>
      <c r="M474" t="str">
        <f>IFERROR(VLOOKUP(E474,Sales_Reps!$A$2:$C$31,3,FALSE()),"")</f>
        <v>East</v>
      </c>
      <c r="N474">
        <f>IFERROR(VLOOKUP(D474,Products!$A$2:$F$61,4,FALSE()),"")</f>
        <v>302</v>
      </c>
      <c r="O474" t="str">
        <f>IFERROR(VLOOKUP(C474,Customers!$A$2:$F$301,5,FALSE()),"")</f>
        <v>Retail</v>
      </c>
      <c r="P474">
        <f>IFERROR(VLOOKUP(C474,Customers!$A$2:$F$301,3,FALSE()),"")</f>
        <v>35</v>
      </c>
      <c r="Q474">
        <f t="shared" si="21"/>
        <v>0.35744680851063831</v>
      </c>
      <c r="R474">
        <f>IF(AND(COUNTIF($A$2:$A$2027,A474)&gt;1,COUNTIF($A$2:A474,A474)=1),1,0)</f>
        <v>0</v>
      </c>
      <c r="S474" t="b">
        <f>IFERROR(VLOOKUP(D474,Products!$A$2:$F$61,6,FALSE()),"")</f>
        <v>0</v>
      </c>
      <c r="T474" t="str">
        <f>IF(COUNTIF(Customers!$A$2:$A$301,C474)=0,"Missing","OK")</f>
        <v>OK</v>
      </c>
      <c r="U474" t="str">
        <f t="shared" si="22"/>
        <v>Bengaluru</v>
      </c>
      <c r="V474">
        <f t="shared" si="23"/>
        <v>0</v>
      </c>
    </row>
    <row r="475" spans="1:22" ht="15" customHeight="1" x14ac:dyDescent="0.35">
      <c r="A475" s="3" t="s">
        <v>840</v>
      </c>
      <c r="B475" s="4">
        <v>45454</v>
      </c>
      <c r="C475" s="3" t="s">
        <v>841</v>
      </c>
      <c r="D475" s="3" t="s">
        <v>82</v>
      </c>
      <c r="E475" s="3" t="s">
        <v>97</v>
      </c>
      <c r="F475" s="5">
        <v>2</v>
      </c>
      <c r="G475" s="5">
        <v>3250</v>
      </c>
      <c r="H475" s="5">
        <v>24.7</v>
      </c>
      <c r="I475" s="5">
        <v>4894.5</v>
      </c>
      <c r="J475" s="3" t="s">
        <v>26</v>
      </c>
      <c r="K475" s="3" t="s">
        <v>51</v>
      </c>
      <c r="L475" t="str">
        <f>IFERROR(VLOOKUP(D475,Products!$A$2:$F$61,3,FALSE()),"")</f>
        <v>Home</v>
      </c>
      <c r="M475" t="str">
        <f>IFERROR(VLOOKUP(E475,Sales_Reps!$A$2:$C$31,3,FALSE()),"")</f>
        <v>East</v>
      </c>
      <c r="N475">
        <f>IFERROR(VLOOKUP(D475,Products!$A$2:$F$61,4,FALSE()),"")</f>
        <v>1556</v>
      </c>
      <c r="O475" t="str">
        <f>IFERROR(VLOOKUP(C475,Customers!$A$2:$F$301,5,FALSE()),"")</f>
        <v>Retail</v>
      </c>
      <c r="P475">
        <f>IFERROR(VLOOKUP(C475,Customers!$A$2:$F$301,3,FALSE()),"")</f>
        <v>37</v>
      </c>
      <c r="Q475">
        <f t="shared" si="21"/>
        <v>0.52123076923076928</v>
      </c>
      <c r="R475">
        <f>IF(AND(COUNTIF($A$2:$A$2027,A475)&gt;1,COUNTIF($A$2:A475,A475)=1),1,0)</f>
        <v>0</v>
      </c>
      <c r="S475" t="b">
        <f>IFERROR(VLOOKUP(D475,Products!$A$2:$F$61,6,FALSE()),"")</f>
        <v>1</v>
      </c>
      <c r="T475" t="str">
        <f>IF(COUNTIF(Customers!$A$2:$A$301,C475)=0,"Missing","OK")</f>
        <v>OK</v>
      </c>
      <c r="U475" t="str">
        <f t="shared" si="22"/>
        <v>Mumbai</v>
      </c>
      <c r="V475">
        <f t="shared" si="23"/>
        <v>0</v>
      </c>
    </row>
    <row r="476" spans="1:22" ht="15" customHeight="1" x14ac:dyDescent="0.35">
      <c r="A476" s="3" t="s">
        <v>842</v>
      </c>
      <c r="B476" s="4">
        <v>45631</v>
      </c>
      <c r="C476" s="3" t="s">
        <v>329</v>
      </c>
      <c r="D476" s="3" t="s">
        <v>121</v>
      </c>
      <c r="E476" s="3" t="s">
        <v>93</v>
      </c>
      <c r="F476" s="5">
        <v>2</v>
      </c>
      <c r="G476" s="5">
        <v>1010</v>
      </c>
      <c r="H476" s="5">
        <v>5.2</v>
      </c>
      <c r="I476" s="5">
        <v>1914.96</v>
      </c>
      <c r="J476" s="3" t="s">
        <v>79</v>
      </c>
      <c r="K476" s="3" t="s">
        <v>27</v>
      </c>
      <c r="L476" t="str">
        <f>IFERROR(VLOOKUP(D476,Products!$A$2:$F$61,3,FALSE()),"")</f>
        <v>Sports</v>
      </c>
      <c r="M476" t="str">
        <f>IFERROR(VLOOKUP(E476,Sales_Reps!$A$2:$C$31,3,FALSE()),"")</f>
        <v>East</v>
      </c>
      <c r="N476">
        <f>IFERROR(VLOOKUP(D476,Products!$A$2:$F$61,4,FALSE()),"")</f>
        <v>516</v>
      </c>
      <c r="O476" t="str">
        <f>IFERROR(VLOOKUP(C476,Customers!$A$2:$F$301,5,FALSE()),"")</f>
        <v>SMB</v>
      </c>
      <c r="P476">
        <f>IFERROR(VLOOKUP(C476,Customers!$A$2:$F$301,3,FALSE()),"")</f>
        <v>54</v>
      </c>
      <c r="Q476">
        <f t="shared" si="21"/>
        <v>0.4891089108910891</v>
      </c>
      <c r="R476">
        <f>IF(AND(COUNTIF($A$2:$A$2027,A476)&gt;1,COUNTIF($A$2:A476,A476)=1),1,0)</f>
        <v>0</v>
      </c>
      <c r="S476" t="b">
        <f>IFERROR(VLOOKUP(D476,Products!$A$2:$F$61,6,FALSE()),"")</f>
        <v>1</v>
      </c>
      <c r="T476" t="str">
        <f>IF(COUNTIF(Customers!$A$2:$A$301,C476)=0,"Missing","OK")</f>
        <v>OK</v>
      </c>
      <c r="U476" t="str">
        <f t="shared" si="22"/>
        <v>Pune</v>
      </c>
      <c r="V476">
        <f t="shared" si="23"/>
        <v>0</v>
      </c>
    </row>
    <row r="477" spans="1:22" ht="15" customHeight="1" x14ac:dyDescent="0.35">
      <c r="A477" s="3" t="s">
        <v>843</v>
      </c>
      <c r="B477" s="4">
        <v>45588</v>
      </c>
      <c r="C477" s="3" t="s">
        <v>844</v>
      </c>
      <c r="D477" s="3" t="s">
        <v>221</v>
      </c>
      <c r="E477" s="3" t="s">
        <v>154</v>
      </c>
      <c r="F477" s="5">
        <v>9</v>
      </c>
      <c r="G477" s="5">
        <v>300</v>
      </c>
      <c r="H477" s="5">
        <v>7.9</v>
      </c>
      <c r="I477" s="5">
        <v>2486.6999999999998</v>
      </c>
      <c r="J477" s="3" t="s">
        <v>26</v>
      </c>
      <c r="K477" s="3" t="s">
        <v>51</v>
      </c>
      <c r="L477" t="str">
        <f>IFERROR(VLOOKUP(D477,Products!$A$2:$F$61,3,FALSE()),"")</f>
        <v>Electronics</v>
      </c>
      <c r="M477" t="str">
        <f>IFERROR(VLOOKUP(E477,Sales_Reps!$A$2:$C$31,3,FALSE()),"")</f>
        <v>North</v>
      </c>
      <c r="N477">
        <f>IFERROR(VLOOKUP(D477,Products!$A$2:$F$61,4,FALSE()),"")</f>
        <v>128</v>
      </c>
      <c r="O477" t="str">
        <f>IFERROR(VLOOKUP(C477,Customers!$A$2:$F$301,5,FALSE()),"")</f>
        <v>SMB</v>
      </c>
      <c r="P477">
        <f>IFERROR(VLOOKUP(C477,Customers!$A$2:$F$301,3,FALSE()),"")</f>
        <v>43</v>
      </c>
      <c r="Q477">
        <f t="shared" si="21"/>
        <v>0.57333333333333336</v>
      </c>
      <c r="R477">
        <f>IF(AND(COUNTIF($A$2:$A$2027,A477)&gt;1,COUNTIF($A$2:A477,A477)=1),1,0)</f>
        <v>0</v>
      </c>
      <c r="S477" t="b">
        <f>IFERROR(VLOOKUP(D477,Products!$A$2:$F$61,6,FALSE()),"")</f>
        <v>1</v>
      </c>
      <c r="T477" t="str">
        <f>IF(COUNTIF(Customers!$A$2:$A$301,C477)=0,"Missing","OK")</f>
        <v>OK</v>
      </c>
      <c r="U477" t="str">
        <f t="shared" si="22"/>
        <v>Mumbai</v>
      </c>
      <c r="V477">
        <f t="shared" si="23"/>
        <v>0</v>
      </c>
    </row>
    <row r="478" spans="1:22" ht="15" customHeight="1" x14ac:dyDescent="0.35">
      <c r="A478" s="3" t="s">
        <v>845</v>
      </c>
      <c r="B478" s="4">
        <v>45469</v>
      </c>
      <c r="C478" s="3" t="s">
        <v>642</v>
      </c>
      <c r="D478" s="3" t="s">
        <v>130</v>
      </c>
      <c r="E478" s="3" t="s">
        <v>42</v>
      </c>
      <c r="F478" s="5">
        <v>10</v>
      </c>
      <c r="G478" s="5">
        <v>5100</v>
      </c>
      <c r="H478" s="5">
        <v>26.3</v>
      </c>
      <c r="I478" s="5">
        <v>37587</v>
      </c>
      <c r="J478" s="3" t="s">
        <v>32</v>
      </c>
      <c r="K478" s="3" t="s">
        <v>27</v>
      </c>
      <c r="L478" t="str">
        <f>IFERROR(VLOOKUP(D478,Products!$A$2:$F$61,3,FALSE()),"")</f>
        <v>Beauty</v>
      </c>
      <c r="M478" t="str">
        <f>IFERROR(VLOOKUP(E478,Sales_Reps!$A$2:$C$31,3,FALSE()),"")</f>
        <v>North</v>
      </c>
      <c r="N478">
        <f>IFERROR(VLOOKUP(D478,Products!$A$2:$F$61,4,FALSE()),"")</f>
        <v>2237</v>
      </c>
      <c r="O478" t="str">
        <f>IFERROR(VLOOKUP(C478,Customers!$A$2:$F$301,5,FALSE()),"")</f>
        <v>Corporate</v>
      </c>
      <c r="P478">
        <f>IFERROR(VLOOKUP(C478,Customers!$A$2:$F$301,3,FALSE()),"")</f>
        <v>52</v>
      </c>
      <c r="Q478">
        <f t="shared" si="21"/>
        <v>0.56137254901960787</v>
      </c>
      <c r="R478">
        <f>IF(AND(COUNTIF($A$2:$A$2027,A478)&gt;1,COUNTIF($A$2:A478,A478)=1),1,0)</f>
        <v>0</v>
      </c>
      <c r="S478" t="b">
        <f>IFERROR(VLOOKUP(D478,Products!$A$2:$F$61,6,FALSE()),"")</f>
        <v>1</v>
      </c>
      <c r="T478" t="str">
        <f>IF(COUNTIF(Customers!$A$2:$A$301,C478)=0,"Missing","OK")</f>
        <v>OK</v>
      </c>
      <c r="U478" t="str">
        <f t="shared" si="22"/>
        <v>Pune</v>
      </c>
      <c r="V478">
        <f t="shared" si="23"/>
        <v>0</v>
      </c>
    </row>
    <row r="479" spans="1:22" ht="15" customHeight="1" x14ac:dyDescent="0.35">
      <c r="A479" s="3" t="s">
        <v>846</v>
      </c>
      <c r="B479" s="4">
        <v>45552</v>
      </c>
      <c r="C479" s="3" t="s">
        <v>847</v>
      </c>
      <c r="D479" s="3" t="s">
        <v>118</v>
      </c>
      <c r="E479" s="3" t="s">
        <v>67</v>
      </c>
      <c r="F479" s="5">
        <v>1</v>
      </c>
      <c r="G479" s="5">
        <v>3350</v>
      </c>
      <c r="H479" s="5">
        <v>8.5</v>
      </c>
      <c r="I479" s="5">
        <v>3065.25</v>
      </c>
      <c r="J479" s="3" t="s">
        <v>79</v>
      </c>
      <c r="K479" s="3" t="s">
        <v>72</v>
      </c>
      <c r="L479" t="str">
        <f>IFERROR(VLOOKUP(D479,Products!$A$2:$F$61,3,FALSE()),"")</f>
        <v>Beauty</v>
      </c>
      <c r="M479" t="str">
        <f>IFERROR(VLOOKUP(E479,Sales_Reps!$A$2:$C$31,3,FALSE()),"")</f>
        <v>West</v>
      </c>
      <c r="N479">
        <f>IFERROR(VLOOKUP(D479,Products!$A$2:$F$61,4,FALSE()),"")</f>
        <v>1728</v>
      </c>
      <c r="O479" t="str">
        <f>IFERROR(VLOOKUP(C479,Customers!$A$2:$F$301,5,FALSE()),"")</f>
        <v>Retail</v>
      </c>
      <c r="P479">
        <f>IFERROR(VLOOKUP(C479,Customers!$A$2:$F$301,3,FALSE()),"")</f>
        <v>31</v>
      </c>
      <c r="Q479">
        <f t="shared" si="21"/>
        <v>0.48417910447761192</v>
      </c>
      <c r="R479">
        <f>IF(AND(COUNTIF($A$2:$A$2027,A479)&gt;1,COUNTIF($A$2:A479,A479)=1),1,0)</f>
        <v>0</v>
      </c>
      <c r="S479" t="b">
        <f>IFERROR(VLOOKUP(D479,Products!$A$2:$F$61,6,FALSE()),"")</f>
        <v>1</v>
      </c>
      <c r="T479" t="str">
        <f>IF(COUNTIF(Customers!$A$2:$A$301,C479)=0,"Missing","OK")</f>
        <v>OK</v>
      </c>
      <c r="U479" t="str">
        <f t="shared" si="22"/>
        <v>Hyderabad</v>
      </c>
      <c r="V479">
        <f t="shared" si="23"/>
        <v>0</v>
      </c>
    </row>
    <row r="480" spans="1:22" ht="15" customHeight="1" x14ac:dyDescent="0.35">
      <c r="A480" s="3" t="s">
        <v>848</v>
      </c>
      <c r="B480" s="4">
        <v>45554</v>
      </c>
      <c r="C480" s="3" t="s">
        <v>849</v>
      </c>
      <c r="D480" s="3" t="s">
        <v>82</v>
      </c>
      <c r="E480" s="3" t="s">
        <v>224</v>
      </c>
      <c r="F480" s="5">
        <v>2</v>
      </c>
      <c r="G480" s="5">
        <v>3250</v>
      </c>
      <c r="H480" s="5">
        <v>25.7</v>
      </c>
      <c r="I480" s="5">
        <v>4829.5</v>
      </c>
      <c r="J480" s="3" t="s">
        <v>83</v>
      </c>
      <c r="K480" s="3" t="s">
        <v>38</v>
      </c>
      <c r="L480" t="str">
        <f>IFERROR(VLOOKUP(D480,Products!$A$2:$F$61,3,FALSE()),"")</f>
        <v>Home</v>
      </c>
      <c r="M480" t="str">
        <f>IFERROR(VLOOKUP(E480,Sales_Reps!$A$2:$C$31,3,FALSE()),"")</f>
        <v>East</v>
      </c>
      <c r="N480">
        <f>IFERROR(VLOOKUP(D480,Products!$A$2:$F$61,4,FALSE()),"")</f>
        <v>1556</v>
      </c>
      <c r="O480" t="str">
        <f>IFERROR(VLOOKUP(C480,Customers!$A$2:$F$301,5,FALSE()),"")</f>
        <v>Retail</v>
      </c>
      <c r="P480">
        <f>IFERROR(VLOOKUP(C480,Customers!$A$2:$F$301,3,FALSE()),"")</f>
        <v>55</v>
      </c>
      <c r="Q480">
        <f t="shared" si="21"/>
        <v>0.52123076923076928</v>
      </c>
      <c r="R480">
        <f>IF(AND(COUNTIF($A$2:$A$2027,A480)&gt;1,COUNTIF($A$2:A480,A480)=1),1,0)</f>
        <v>1</v>
      </c>
      <c r="S480" t="b">
        <f>IFERROR(VLOOKUP(D480,Products!$A$2:$F$61,6,FALSE()),"")</f>
        <v>1</v>
      </c>
      <c r="T480" t="str">
        <f>IF(COUNTIF(Customers!$A$2:$A$301,C480)=0,"Missing","OK")</f>
        <v>OK</v>
      </c>
      <c r="U480" t="str">
        <f t="shared" si="22"/>
        <v>Delhi</v>
      </c>
      <c r="V480">
        <f t="shared" si="23"/>
        <v>0</v>
      </c>
    </row>
    <row r="481" spans="1:22" ht="15" customHeight="1" x14ac:dyDescent="0.35">
      <c r="A481" s="3" t="s">
        <v>850</v>
      </c>
      <c r="B481" s="4">
        <v>45352</v>
      </c>
      <c r="C481" s="3" t="s">
        <v>85</v>
      </c>
      <c r="D481" s="3" t="s">
        <v>41</v>
      </c>
      <c r="E481" s="3" t="s">
        <v>46</v>
      </c>
      <c r="F481" s="5">
        <v>10</v>
      </c>
      <c r="G481" s="5">
        <v>3660</v>
      </c>
      <c r="H481" s="5">
        <v>12</v>
      </c>
      <c r="I481" s="5">
        <v>32208</v>
      </c>
      <c r="J481" s="3" t="s">
        <v>26</v>
      </c>
      <c r="K481" s="3" t="s">
        <v>27</v>
      </c>
      <c r="L481" t="str">
        <f>IFERROR(VLOOKUP(D481,Products!$A$2:$F$61,3,FALSE()),"")</f>
        <v>Grocery</v>
      </c>
      <c r="M481" t="str">
        <f>IFERROR(VLOOKUP(E481,Sales_Reps!$A$2:$C$31,3,FALSE()),"")</f>
        <v>North</v>
      </c>
      <c r="N481">
        <f>IFERROR(VLOOKUP(D481,Products!$A$2:$F$61,4,FALSE()),"")</f>
        <v>2214</v>
      </c>
      <c r="O481" t="str">
        <f>IFERROR(VLOOKUP(C481,Customers!$A$2:$F$301,5,FALSE()),"")</f>
        <v>Retail</v>
      </c>
      <c r="P481">
        <f>IFERROR(VLOOKUP(C481,Customers!$A$2:$F$301,3,FALSE()),"")</f>
        <v>38</v>
      </c>
      <c r="Q481">
        <f t="shared" si="21"/>
        <v>0.39508196721311473</v>
      </c>
      <c r="R481">
        <f>IF(AND(COUNTIF($A$2:$A$2027,A481)&gt;1,COUNTIF($A$2:A481,A481)=1),1,0)</f>
        <v>0</v>
      </c>
      <c r="S481" t="b">
        <f>IFERROR(VLOOKUP(D481,Products!$A$2:$F$61,6,FALSE()),"")</f>
        <v>0</v>
      </c>
      <c r="T481" t="str">
        <f>IF(COUNTIF(Customers!$A$2:$A$301,C481)=0,"Missing","OK")</f>
        <v>OK</v>
      </c>
      <c r="U481" t="str">
        <f t="shared" si="22"/>
        <v>Pune</v>
      </c>
      <c r="V481">
        <f t="shared" si="23"/>
        <v>0</v>
      </c>
    </row>
    <row r="482" spans="1:22" ht="15" customHeight="1" x14ac:dyDescent="0.35">
      <c r="A482" s="3" t="s">
        <v>851</v>
      </c>
      <c r="B482" s="4">
        <v>45521</v>
      </c>
      <c r="C482" s="3" t="s">
        <v>156</v>
      </c>
      <c r="D482" s="3" t="s">
        <v>90</v>
      </c>
      <c r="E482" s="3" t="s">
        <v>143</v>
      </c>
      <c r="F482" s="5">
        <v>1</v>
      </c>
      <c r="G482" s="5">
        <v>2400</v>
      </c>
      <c r="H482" s="5">
        <v>24.5</v>
      </c>
      <c r="I482" s="5">
        <v>1812</v>
      </c>
      <c r="J482" s="3" t="s">
        <v>26</v>
      </c>
      <c r="K482" s="3" t="s">
        <v>33</v>
      </c>
      <c r="L482" t="str">
        <f>IFERROR(VLOOKUP(D482,Products!$A$2:$F$61,3,FALSE()),"")</f>
        <v>Sports</v>
      </c>
      <c r="M482" t="str">
        <f>IFERROR(VLOOKUP(E482,Sales_Reps!$A$2:$C$31,3,FALSE()),"")</f>
        <v>South</v>
      </c>
      <c r="N482">
        <f>IFERROR(VLOOKUP(D482,Products!$A$2:$F$61,4,FALSE()),"")</f>
        <v>974</v>
      </c>
      <c r="O482" t="str">
        <f>IFERROR(VLOOKUP(C482,Customers!$A$2:$F$301,5,FALSE()),"")</f>
        <v>Retail</v>
      </c>
      <c r="P482">
        <f>IFERROR(VLOOKUP(C482,Customers!$A$2:$F$301,3,FALSE()),"")</f>
        <v>51</v>
      </c>
      <c r="Q482">
        <f t="shared" si="21"/>
        <v>0.59416666666666662</v>
      </c>
      <c r="R482">
        <f>IF(AND(COUNTIF($A$2:$A$2027,A482)&gt;1,COUNTIF($A$2:A482,A482)=1),1,0)</f>
        <v>0</v>
      </c>
      <c r="S482" t="b">
        <f>IFERROR(VLOOKUP(D482,Products!$A$2:$F$61,6,FALSE()),"")</f>
        <v>1</v>
      </c>
      <c r="T482" t="str">
        <f>IF(COUNTIF(Customers!$A$2:$A$301,C482)=0,"Missing","OK")</f>
        <v>OK</v>
      </c>
      <c r="U482" t="str">
        <f t="shared" si="22"/>
        <v>Chennai</v>
      </c>
      <c r="V482">
        <f t="shared" si="23"/>
        <v>0</v>
      </c>
    </row>
    <row r="483" spans="1:22" ht="15" customHeight="1" x14ac:dyDescent="0.35">
      <c r="A483" s="3" t="s">
        <v>852</v>
      </c>
      <c r="B483" s="4">
        <v>45496</v>
      </c>
      <c r="C483" s="3" t="s">
        <v>373</v>
      </c>
      <c r="D483" s="3" t="s">
        <v>441</v>
      </c>
      <c r="E483" s="3" t="s">
        <v>71</v>
      </c>
      <c r="F483" s="5">
        <v>1</v>
      </c>
      <c r="G483" s="5">
        <v>1090</v>
      </c>
      <c r="H483" s="5">
        <v>18.399999999999999</v>
      </c>
      <c r="I483" s="5">
        <v>889.44</v>
      </c>
      <c r="J483" s="3" t="s">
        <v>26</v>
      </c>
      <c r="K483" s="3" t="s">
        <v>38</v>
      </c>
      <c r="L483" t="str">
        <f>IFERROR(VLOOKUP(D483,Products!$A$2:$F$61,3,FALSE()),"")</f>
        <v>Home</v>
      </c>
      <c r="M483" t="str">
        <f>IFERROR(VLOOKUP(E483,Sales_Reps!$A$2:$C$31,3,FALSE()),"")</f>
        <v>South</v>
      </c>
      <c r="N483">
        <f>IFERROR(VLOOKUP(D483,Products!$A$2:$F$61,4,FALSE()),"")</f>
        <v>464</v>
      </c>
      <c r="O483" t="str">
        <f>IFERROR(VLOOKUP(C483,Customers!$A$2:$F$301,5,FALSE()),"")</f>
        <v>Corporate</v>
      </c>
      <c r="P483">
        <f>IFERROR(VLOOKUP(C483,Customers!$A$2:$F$301,3,FALSE()),"")</f>
        <v>31</v>
      </c>
      <c r="Q483">
        <f t="shared" si="21"/>
        <v>0.57431192660550456</v>
      </c>
      <c r="R483">
        <f>IF(AND(COUNTIF($A$2:$A$2027,A483)&gt;1,COUNTIF($A$2:A483,A483)=1),1,0)</f>
        <v>0</v>
      </c>
      <c r="S483" t="b">
        <f>IFERROR(VLOOKUP(D483,Products!$A$2:$F$61,6,FALSE()),"")</f>
        <v>1</v>
      </c>
      <c r="T483" t="str">
        <f>IF(COUNTIF(Customers!$A$2:$A$301,C483)=0,"Missing","OK")</f>
        <v>OK</v>
      </c>
      <c r="U483" t="str">
        <f t="shared" si="22"/>
        <v>Delhi</v>
      </c>
      <c r="V483">
        <f t="shared" si="23"/>
        <v>0</v>
      </c>
    </row>
    <row r="484" spans="1:22" ht="15" customHeight="1" x14ac:dyDescent="0.35">
      <c r="A484" s="3" t="s">
        <v>853</v>
      </c>
      <c r="B484" s="4">
        <v>45404</v>
      </c>
      <c r="C484" s="3" t="s">
        <v>734</v>
      </c>
      <c r="D484" s="3" t="s">
        <v>400</v>
      </c>
      <c r="E484" s="3" t="s">
        <v>127</v>
      </c>
      <c r="F484" s="5">
        <v>6</v>
      </c>
      <c r="G484" s="5">
        <v>3780</v>
      </c>
      <c r="H484" s="5">
        <v>15.9</v>
      </c>
      <c r="I484" s="5">
        <v>19073.88</v>
      </c>
      <c r="J484" s="3" t="s">
        <v>26</v>
      </c>
      <c r="K484" s="3" t="s">
        <v>33</v>
      </c>
      <c r="L484" t="str">
        <f>IFERROR(VLOOKUP(D484,Products!$A$2:$F$61,3,FALSE()),"")</f>
        <v>Sports</v>
      </c>
      <c r="M484" t="str">
        <f>IFERROR(VLOOKUP(E484,Sales_Reps!$A$2:$C$31,3,FALSE()),"")</f>
        <v>South</v>
      </c>
      <c r="N484">
        <f>IFERROR(VLOOKUP(D484,Products!$A$2:$F$61,4,FALSE()),"")</f>
        <v>1860</v>
      </c>
      <c r="O484" t="str">
        <f>IFERROR(VLOOKUP(C484,Customers!$A$2:$F$301,5,FALSE()),"")</f>
        <v>Retail</v>
      </c>
      <c r="P484">
        <f>IFERROR(VLOOKUP(C484,Customers!$A$2:$F$301,3,FALSE()),"")</f>
        <v>22</v>
      </c>
      <c r="Q484">
        <f t="shared" si="21"/>
        <v>0.50793650793650791</v>
      </c>
      <c r="R484">
        <f>IF(AND(COUNTIF($A$2:$A$2027,A484)&gt;1,COUNTIF($A$2:A484,A484)=1),1,0)</f>
        <v>0</v>
      </c>
      <c r="S484" t="b">
        <f>IFERROR(VLOOKUP(D484,Products!$A$2:$F$61,6,FALSE()),"")</f>
        <v>1</v>
      </c>
      <c r="T484" t="str">
        <f>IF(COUNTIF(Customers!$A$2:$A$301,C484)=0,"Missing","OK")</f>
        <v>OK</v>
      </c>
      <c r="U484" t="str">
        <f t="shared" si="22"/>
        <v>Chennai</v>
      </c>
      <c r="V484">
        <f t="shared" si="23"/>
        <v>0</v>
      </c>
    </row>
    <row r="485" spans="1:22" ht="15" customHeight="1" x14ac:dyDescent="0.35">
      <c r="A485" s="3" t="s">
        <v>854</v>
      </c>
      <c r="B485" s="4">
        <v>45330</v>
      </c>
      <c r="C485" s="3" t="s">
        <v>418</v>
      </c>
      <c r="D485" s="3" t="s">
        <v>118</v>
      </c>
      <c r="E485" s="3" t="s">
        <v>60</v>
      </c>
      <c r="F485" s="5">
        <v>3</v>
      </c>
      <c r="G485" s="5">
        <v>3350</v>
      </c>
      <c r="H485" s="5">
        <v>18.8</v>
      </c>
      <c r="I485" s="5">
        <v>8160.6</v>
      </c>
      <c r="J485" s="3" t="s">
        <v>83</v>
      </c>
      <c r="K485" s="3" t="s">
        <v>27</v>
      </c>
      <c r="L485" t="str">
        <f>IFERROR(VLOOKUP(D485,Products!$A$2:$F$61,3,FALSE()),"")</f>
        <v>Beauty</v>
      </c>
      <c r="M485" t="str">
        <f>IFERROR(VLOOKUP(E485,Sales_Reps!$A$2:$C$31,3,FALSE()),"")</f>
        <v>East</v>
      </c>
      <c r="N485">
        <f>IFERROR(VLOOKUP(D485,Products!$A$2:$F$61,4,FALSE()),"")</f>
        <v>1728</v>
      </c>
      <c r="O485" t="str">
        <f>IFERROR(VLOOKUP(C485,Customers!$A$2:$F$301,5,FALSE()),"")</f>
        <v>SMB</v>
      </c>
      <c r="P485">
        <f>IFERROR(VLOOKUP(C485,Customers!$A$2:$F$301,3,FALSE()),"")</f>
        <v>49</v>
      </c>
      <c r="Q485">
        <f t="shared" si="21"/>
        <v>0.48417910447761192</v>
      </c>
      <c r="R485">
        <f>IF(AND(COUNTIF($A$2:$A$2027,A485)&gt;1,COUNTIF($A$2:A485,A485)=1),1,0)</f>
        <v>0</v>
      </c>
      <c r="S485" t="b">
        <f>IFERROR(VLOOKUP(D485,Products!$A$2:$F$61,6,FALSE()),"")</f>
        <v>1</v>
      </c>
      <c r="T485" t="str">
        <f>IF(COUNTIF(Customers!$A$2:$A$301,C485)=0,"Missing","OK")</f>
        <v>OK</v>
      </c>
      <c r="U485" t="str">
        <f t="shared" si="22"/>
        <v>Pune</v>
      </c>
      <c r="V485">
        <f t="shared" si="23"/>
        <v>0</v>
      </c>
    </row>
    <row r="486" spans="1:22" ht="15" customHeight="1" x14ac:dyDescent="0.35">
      <c r="A486" s="3" t="s">
        <v>855</v>
      </c>
      <c r="B486" s="4">
        <v>45323</v>
      </c>
      <c r="C486" s="3" t="s">
        <v>58</v>
      </c>
      <c r="D486" s="3" t="s">
        <v>103</v>
      </c>
      <c r="E486" s="3" t="s">
        <v>109</v>
      </c>
      <c r="F486" s="5">
        <v>3</v>
      </c>
      <c r="G486" s="5">
        <v>1080</v>
      </c>
      <c r="H486" s="5">
        <v>3.4</v>
      </c>
      <c r="I486" s="5">
        <v>3129.84</v>
      </c>
      <c r="J486" s="3" t="s">
        <v>26</v>
      </c>
      <c r="K486" s="3" t="s">
        <v>56</v>
      </c>
      <c r="L486" t="str">
        <f>IFERROR(VLOOKUP(D486,Products!$A$2:$F$61,3,FALSE()),"")</f>
        <v>Home</v>
      </c>
      <c r="M486" t="str">
        <f>IFERROR(VLOOKUP(E486,Sales_Reps!$A$2:$C$31,3,FALSE()),"")</f>
        <v>West</v>
      </c>
      <c r="N486">
        <f>IFERROR(VLOOKUP(D486,Products!$A$2:$F$61,4,FALSE()),"")</f>
        <v>519</v>
      </c>
      <c r="O486" t="str">
        <f>IFERROR(VLOOKUP(C486,Customers!$A$2:$F$301,5,FALSE()),"")</f>
        <v>Corporate</v>
      </c>
      <c r="P486">
        <f>IFERROR(VLOOKUP(C486,Customers!$A$2:$F$301,3,FALSE()),"")</f>
        <v>57</v>
      </c>
      <c r="Q486">
        <f t="shared" si="21"/>
        <v>0.51944444444444449</v>
      </c>
      <c r="R486">
        <f>IF(AND(COUNTIF($A$2:$A$2027,A486)&gt;1,COUNTIF($A$2:A486,A486)=1),1,0)</f>
        <v>0</v>
      </c>
      <c r="S486" t="b">
        <f>IFERROR(VLOOKUP(D486,Products!$A$2:$F$61,6,FALSE()),"")</f>
        <v>1</v>
      </c>
      <c r="T486" t="str">
        <f>IF(COUNTIF(Customers!$A$2:$A$301,C486)=0,"Missing","OK")</f>
        <v>OK</v>
      </c>
      <c r="U486" t="str">
        <f t="shared" si="22"/>
        <v>Bengaluru</v>
      </c>
      <c r="V486">
        <f t="shared" si="23"/>
        <v>0</v>
      </c>
    </row>
    <row r="487" spans="1:22" ht="15" customHeight="1" x14ac:dyDescent="0.35">
      <c r="A487" s="3" t="s">
        <v>856</v>
      </c>
      <c r="B487" s="4">
        <v>45519</v>
      </c>
      <c r="C487" s="3" t="s">
        <v>257</v>
      </c>
      <c r="D487" s="3" t="s">
        <v>203</v>
      </c>
      <c r="E487" s="3" t="s">
        <v>224</v>
      </c>
      <c r="F487" s="5">
        <v>6</v>
      </c>
      <c r="G487" s="5">
        <v>4070</v>
      </c>
      <c r="H487" s="5">
        <v>27.7</v>
      </c>
      <c r="I487" s="5">
        <v>17655.66</v>
      </c>
      <c r="J487" s="3" t="s">
        <v>32</v>
      </c>
      <c r="K487" s="3" t="s">
        <v>33</v>
      </c>
      <c r="L487" t="str">
        <f>IFERROR(VLOOKUP(D487,Products!$A$2:$F$61,3,FALSE()),"")</f>
        <v>Grocery</v>
      </c>
      <c r="M487" t="str">
        <f>IFERROR(VLOOKUP(E487,Sales_Reps!$A$2:$C$31,3,FALSE()),"")</f>
        <v>East</v>
      </c>
      <c r="N487">
        <f>IFERROR(VLOOKUP(D487,Products!$A$2:$F$61,4,FALSE()),"")</f>
        <v>2027</v>
      </c>
      <c r="O487" t="str">
        <f>IFERROR(VLOOKUP(C487,Customers!$A$2:$F$301,5,FALSE()),"")</f>
        <v>SMB</v>
      </c>
      <c r="P487">
        <f>IFERROR(VLOOKUP(C487,Customers!$A$2:$F$301,3,FALSE()),"")</f>
        <v>57</v>
      </c>
      <c r="Q487">
        <f t="shared" si="21"/>
        <v>0.50196560196560192</v>
      </c>
      <c r="R487">
        <f>IF(AND(COUNTIF($A$2:$A$2027,A487)&gt;1,COUNTIF($A$2:A487,A487)=1),1,0)</f>
        <v>0</v>
      </c>
      <c r="S487" t="b">
        <f>IFERROR(VLOOKUP(D487,Products!$A$2:$F$61,6,FALSE()),"")</f>
        <v>1</v>
      </c>
      <c r="T487" t="str">
        <f>IF(COUNTIF(Customers!$A$2:$A$301,C487)=0,"Missing","OK")</f>
        <v>OK</v>
      </c>
      <c r="U487" t="str">
        <f t="shared" si="22"/>
        <v>Chennai</v>
      </c>
      <c r="V487">
        <f t="shared" si="23"/>
        <v>0</v>
      </c>
    </row>
    <row r="488" spans="1:22" ht="15" customHeight="1" x14ac:dyDescent="0.35">
      <c r="A488" s="3" t="s">
        <v>857</v>
      </c>
      <c r="B488" s="4">
        <v>45514</v>
      </c>
      <c r="C488" s="3" t="s">
        <v>734</v>
      </c>
      <c r="D488" s="3" t="s">
        <v>198</v>
      </c>
      <c r="E488" s="3" t="s">
        <v>140</v>
      </c>
      <c r="F488" s="5">
        <v>5</v>
      </c>
      <c r="G488" s="5">
        <v>1540</v>
      </c>
      <c r="H488" s="5">
        <v>24.9</v>
      </c>
      <c r="I488" s="5">
        <v>5782.7</v>
      </c>
      <c r="J488" s="3" t="s">
        <v>26</v>
      </c>
      <c r="K488" s="3" t="s">
        <v>33</v>
      </c>
      <c r="L488" t="str">
        <f>IFERROR(VLOOKUP(D488,Products!$A$2:$F$61,3,FALSE()),"")</f>
        <v>Beauty</v>
      </c>
      <c r="M488" t="str">
        <f>IFERROR(VLOOKUP(E488,Sales_Reps!$A$2:$C$31,3,FALSE()),"")</f>
        <v>West</v>
      </c>
      <c r="N488">
        <f>IFERROR(VLOOKUP(D488,Products!$A$2:$F$61,4,FALSE()),"")</f>
        <v>647</v>
      </c>
      <c r="O488" t="str">
        <f>IFERROR(VLOOKUP(C488,Customers!$A$2:$F$301,5,FALSE()),"")</f>
        <v>Retail</v>
      </c>
      <c r="P488">
        <f>IFERROR(VLOOKUP(C488,Customers!$A$2:$F$301,3,FALSE()),"")</f>
        <v>22</v>
      </c>
      <c r="Q488">
        <f t="shared" si="21"/>
        <v>0.57987012987012987</v>
      </c>
      <c r="R488">
        <f>IF(AND(COUNTIF($A$2:$A$2027,A488)&gt;1,COUNTIF($A$2:A488,A488)=1),1,0)</f>
        <v>0</v>
      </c>
      <c r="S488" t="b">
        <f>IFERROR(VLOOKUP(D488,Products!$A$2:$F$61,6,FALSE()),"")</f>
        <v>0</v>
      </c>
      <c r="T488" t="str">
        <f>IF(COUNTIF(Customers!$A$2:$A$301,C488)=0,"Missing","OK")</f>
        <v>OK</v>
      </c>
      <c r="U488" t="str">
        <f t="shared" si="22"/>
        <v>Chennai</v>
      </c>
      <c r="V488">
        <f t="shared" si="23"/>
        <v>0</v>
      </c>
    </row>
    <row r="489" spans="1:22" ht="15" customHeight="1" x14ac:dyDescent="0.35">
      <c r="A489" s="3" t="s">
        <v>858</v>
      </c>
      <c r="B489" s="4">
        <v>45497</v>
      </c>
      <c r="C489" s="3" t="s">
        <v>333</v>
      </c>
      <c r="D489" s="3" t="s">
        <v>139</v>
      </c>
      <c r="E489" s="3" t="s">
        <v>67</v>
      </c>
      <c r="F489" s="5">
        <v>6</v>
      </c>
      <c r="G489" s="5">
        <v>2760</v>
      </c>
      <c r="H489" s="5">
        <v>29.9</v>
      </c>
      <c r="I489" s="5">
        <v>11608.56</v>
      </c>
      <c r="J489" s="3" t="s">
        <v>26</v>
      </c>
      <c r="K489" s="3" t="s">
        <v>56</v>
      </c>
      <c r="L489" t="str">
        <f>IFERROR(VLOOKUP(D489,Products!$A$2:$F$61,3,FALSE()),"")</f>
        <v>Grocery</v>
      </c>
      <c r="M489" t="str">
        <f>IFERROR(VLOOKUP(E489,Sales_Reps!$A$2:$C$31,3,FALSE()),"")</f>
        <v>West</v>
      </c>
      <c r="N489">
        <f>IFERROR(VLOOKUP(D489,Products!$A$2:$F$61,4,FALSE()),"")</f>
        <v>1435</v>
      </c>
      <c r="O489" t="str">
        <f>IFERROR(VLOOKUP(C489,Customers!$A$2:$F$301,5,FALSE()),"")</f>
        <v>SMB</v>
      </c>
      <c r="P489">
        <f>IFERROR(VLOOKUP(C489,Customers!$A$2:$F$301,3,FALSE()),"")</f>
        <v>28</v>
      </c>
      <c r="Q489">
        <f t="shared" si="21"/>
        <v>0.48007246376811596</v>
      </c>
      <c r="R489">
        <f>IF(AND(COUNTIF($A$2:$A$2027,A489)&gt;1,COUNTIF($A$2:A489,A489)=1),1,0)</f>
        <v>0</v>
      </c>
      <c r="S489" t="b">
        <f>IFERROR(VLOOKUP(D489,Products!$A$2:$F$61,6,FALSE()),"")</f>
        <v>1</v>
      </c>
      <c r="T489" t="str">
        <f>IF(COUNTIF(Customers!$A$2:$A$301,C489)=0,"Missing","OK")</f>
        <v>OK</v>
      </c>
      <c r="U489" t="str">
        <f t="shared" si="22"/>
        <v>Bengaluru</v>
      </c>
      <c r="V489">
        <f t="shared" si="23"/>
        <v>11608.56</v>
      </c>
    </row>
    <row r="490" spans="1:22" ht="15" customHeight="1" x14ac:dyDescent="0.35">
      <c r="A490" s="3" t="s">
        <v>859</v>
      </c>
      <c r="B490" s="4">
        <v>45639</v>
      </c>
      <c r="C490" s="3" t="s">
        <v>860</v>
      </c>
      <c r="D490" s="3" t="s">
        <v>347</v>
      </c>
      <c r="E490" s="3" t="s">
        <v>224</v>
      </c>
      <c r="F490" s="5">
        <v>8</v>
      </c>
      <c r="G490" s="5">
        <v>3970</v>
      </c>
      <c r="H490" s="5">
        <v>23.7</v>
      </c>
      <c r="I490" s="5">
        <v>24232.880000000001</v>
      </c>
      <c r="J490" s="3" t="s">
        <v>26</v>
      </c>
      <c r="K490" s="3" t="s">
        <v>56</v>
      </c>
      <c r="L490" t="str">
        <f>IFERROR(VLOOKUP(D490,Products!$A$2:$F$61,3,FALSE()),"")</f>
        <v>Electronics</v>
      </c>
      <c r="M490" t="str">
        <f>IFERROR(VLOOKUP(E490,Sales_Reps!$A$2:$C$31,3,FALSE()),"")</f>
        <v>East</v>
      </c>
      <c r="N490">
        <f>IFERROR(VLOOKUP(D490,Products!$A$2:$F$61,4,FALSE()),"")</f>
        <v>2865</v>
      </c>
      <c r="O490" t="str">
        <f>IFERROR(VLOOKUP(C490,Customers!$A$2:$F$301,5,FALSE()),"")</f>
        <v>Retail</v>
      </c>
      <c r="P490">
        <f>IFERROR(VLOOKUP(C490,Customers!$A$2:$F$301,3,FALSE()),"")</f>
        <v>28</v>
      </c>
      <c r="Q490">
        <f t="shared" si="21"/>
        <v>0.27833753148614609</v>
      </c>
      <c r="R490">
        <f>IF(AND(COUNTIF($A$2:$A$2027,A490)&gt;1,COUNTIF($A$2:A490,A490)=1),1,0)</f>
        <v>0</v>
      </c>
      <c r="S490" t="b">
        <f>IFERROR(VLOOKUP(D490,Products!$A$2:$F$61,6,FALSE()),"")</f>
        <v>1</v>
      </c>
      <c r="T490" t="str">
        <f>IF(COUNTIF(Customers!$A$2:$A$301,C490)=0,"Missing","OK")</f>
        <v>OK</v>
      </c>
      <c r="U490" t="str">
        <f t="shared" si="22"/>
        <v>Bengaluru</v>
      </c>
      <c r="V490">
        <f t="shared" si="23"/>
        <v>0</v>
      </c>
    </row>
    <row r="491" spans="1:22" ht="15" customHeight="1" x14ac:dyDescent="0.35">
      <c r="A491" s="3" t="s">
        <v>861</v>
      </c>
      <c r="B491" s="4">
        <v>45562</v>
      </c>
      <c r="C491" s="3" t="s">
        <v>841</v>
      </c>
      <c r="D491" s="3" t="s">
        <v>391</v>
      </c>
      <c r="E491" s="3" t="s">
        <v>97</v>
      </c>
      <c r="F491" s="5">
        <v>1</v>
      </c>
      <c r="G491" s="5">
        <v>3450</v>
      </c>
      <c r="H491" s="5">
        <v>7.4</v>
      </c>
      <c r="I491" s="5">
        <v>3194.7</v>
      </c>
      <c r="J491" s="3" t="s">
        <v>26</v>
      </c>
      <c r="K491" s="3" t="s">
        <v>51</v>
      </c>
      <c r="L491" t="str">
        <f>IFERROR(VLOOKUP(D491,Products!$A$2:$F$61,3,FALSE()),"")</f>
        <v>Apparel</v>
      </c>
      <c r="M491" t="str">
        <f>IFERROR(VLOOKUP(E491,Sales_Reps!$A$2:$C$31,3,FALSE()),"")</f>
        <v>East</v>
      </c>
      <c r="N491">
        <f>IFERROR(VLOOKUP(D491,Products!$A$2:$F$61,4,FALSE()),"")</f>
        <v>1748</v>
      </c>
      <c r="O491" t="str">
        <f>IFERROR(VLOOKUP(C491,Customers!$A$2:$F$301,5,FALSE()),"")</f>
        <v>Retail</v>
      </c>
      <c r="P491">
        <f>IFERROR(VLOOKUP(C491,Customers!$A$2:$F$301,3,FALSE()),"")</f>
        <v>37</v>
      </c>
      <c r="Q491">
        <f t="shared" si="21"/>
        <v>0.49333333333333335</v>
      </c>
      <c r="R491">
        <f>IF(AND(COUNTIF($A$2:$A$2027,A491)&gt;1,COUNTIF($A$2:A491,A491)=1),1,0)</f>
        <v>0</v>
      </c>
      <c r="S491" t="b">
        <f>IFERROR(VLOOKUP(D491,Products!$A$2:$F$61,6,FALSE()),"")</f>
        <v>1</v>
      </c>
      <c r="T491" t="str">
        <f>IF(COUNTIF(Customers!$A$2:$A$301,C491)=0,"Missing","OK")</f>
        <v>OK</v>
      </c>
      <c r="U491" t="str">
        <f t="shared" si="22"/>
        <v>Mumbai</v>
      </c>
      <c r="V491">
        <f t="shared" si="23"/>
        <v>0</v>
      </c>
    </row>
    <row r="492" spans="1:22" ht="15" customHeight="1" x14ac:dyDescent="0.35">
      <c r="A492" s="3" t="s">
        <v>862</v>
      </c>
      <c r="B492" s="4">
        <v>45308</v>
      </c>
      <c r="C492" s="3" t="s">
        <v>443</v>
      </c>
      <c r="D492" s="3" t="s">
        <v>598</v>
      </c>
      <c r="E492" s="3" t="s">
        <v>31</v>
      </c>
      <c r="F492" s="5">
        <v>3</v>
      </c>
      <c r="G492" s="5">
        <v>3560</v>
      </c>
      <c r="H492" s="5">
        <v>15.2</v>
      </c>
      <c r="I492" s="5">
        <v>9056.64</v>
      </c>
      <c r="J492" s="3" t="s">
        <v>26</v>
      </c>
      <c r="K492" s="3" t="s">
        <v>56</v>
      </c>
      <c r="L492" t="str">
        <f>IFERROR(VLOOKUP(D492,Products!$A$2:$F$61,3,FALSE()),"")</f>
        <v>Apparel</v>
      </c>
      <c r="M492" t="str">
        <f>IFERROR(VLOOKUP(E492,Sales_Reps!$A$2:$C$31,3,FALSE()),"")</f>
        <v>North</v>
      </c>
      <c r="N492">
        <f>IFERROR(VLOOKUP(D492,Products!$A$2:$F$61,4,FALSE()),"")</f>
        <v>2629</v>
      </c>
      <c r="O492" t="str">
        <f>IFERROR(VLOOKUP(C492,Customers!$A$2:$F$301,5,FALSE()),"")</f>
        <v>Corporate</v>
      </c>
      <c r="P492">
        <f>IFERROR(VLOOKUP(C492,Customers!$A$2:$F$301,3,FALSE()),"")</f>
        <v>36</v>
      </c>
      <c r="Q492">
        <f t="shared" si="21"/>
        <v>0.26151685393258428</v>
      </c>
      <c r="R492">
        <f>IF(AND(COUNTIF($A$2:$A$2027,A492)&gt;1,COUNTIF($A$2:A492,A492)=1),1,0)</f>
        <v>0</v>
      </c>
      <c r="S492" t="b">
        <f>IFERROR(VLOOKUP(D492,Products!$A$2:$F$61,6,FALSE()),"")</f>
        <v>1</v>
      </c>
      <c r="T492" t="str">
        <f>IF(COUNTIF(Customers!$A$2:$A$301,C492)=0,"Missing","OK")</f>
        <v>OK</v>
      </c>
      <c r="U492" t="str">
        <f t="shared" si="22"/>
        <v>Bengaluru</v>
      </c>
      <c r="V492">
        <f t="shared" si="23"/>
        <v>0</v>
      </c>
    </row>
    <row r="493" spans="1:22" ht="15" customHeight="1" x14ac:dyDescent="0.35">
      <c r="A493" s="3" t="s">
        <v>863</v>
      </c>
      <c r="B493" s="4">
        <v>45428</v>
      </c>
      <c r="C493" s="3" t="s">
        <v>426</v>
      </c>
      <c r="D493" s="3" t="s">
        <v>126</v>
      </c>
      <c r="E493" s="3" t="s">
        <v>109</v>
      </c>
      <c r="F493" s="5">
        <v>4</v>
      </c>
      <c r="G493" s="5">
        <v>3570</v>
      </c>
      <c r="H493" s="5">
        <v>18.899999999999999</v>
      </c>
      <c r="I493" s="5">
        <v>11581.08</v>
      </c>
      <c r="J493" s="3" t="s">
        <v>26</v>
      </c>
      <c r="K493" s="3" t="s">
        <v>27</v>
      </c>
      <c r="L493" t="str">
        <f>IFERROR(VLOOKUP(D493,Products!$A$2:$F$61,3,FALSE()),"")</f>
        <v>Electronics</v>
      </c>
      <c r="M493" t="str">
        <f>IFERROR(VLOOKUP(E493,Sales_Reps!$A$2:$C$31,3,FALSE()),"")</f>
        <v>West</v>
      </c>
      <c r="N493">
        <f>IFERROR(VLOOKUP(D493,Products!$A$2:$F$61,4,FALSE()),"")</f>
        <v>1665</v>
      </c>
      <c r="O493" t="str">
        <f>IFERROR(VLOOKUP(C493,Customers!$A$2:$F$301,5,FALSE()),"")</f>
        <v>Corporate</v>
      </c>
      <c r="P493">
        <f>IFERROR(VLOOKUP(C493,Customers!$A$2:$F$301,3,FALSE()),"")</f>
        <v>29</v>
      </c>
      <c r="Q493">
        <f t="shared" si="21"/>
        <v>0.53361344537815125</v>
      </c>
      <c r="R493">
        <f>IF(AND(COUNTIF($A$2:$A$2027,A493)&gt;1,COUNTIF($A$2:A493,A493)=1),1,0)</f>
        <v>0</v>
      </c>
      <c r="S493" t="b">
        <f>IFERROR(VLOOKUP(D493,Products!$A$2:$F$61,6,FALSE()),"")</f>
        <v>1</v>
      </c>
      <c r="T493" t="str">
        <f>IF(COUNTIF(Customers!$A$2:$A$301,C493)=0,"Missing","OK")</f>
        <v>OK</v>
      </c>
      <c r="U493" t="str">
        <f t="shared" si="22"/>
        <v>Pune</v>
      </c>
      <c r="V493">
        <f t="shared" si="23"/>
        <v>0</v>
      </c>
    </row>
    <row r="494" spans="1:22" ht="15" customHeight="1" x14ac:dyDescent="0.35">
      <c r="A494" s="3" t="s">
        <v>864</v>
      </c>
      <c r="B494" s="4">
        <v>45472</v>
      </c>
      <c r="C494" s="3" t="s">
        <v>446</v>
      </c>
      <c r="D494" s="3" t="s">
        <v>54</v>
      </c>
      <c r="E494" s="3" t="s">
        <v>50</v>
      </c>
      <c r="F494" s="5">
        <v>9</v>
      </c>
      <c r="G494" s="5">
        <v>960</v>
      </c>
      <c r="H494" s="5">
        <v>14</v>
      </c>
      <c r="I494" s="5">
        <v>7430.4</v>
      </c>
      <c r="J494" s="3" t="s">
        <v>83</v>
      </c>
      <c r="K494" s="3" t="s">
        <v>27</v>
      </c>
      <c r="L494" t="str">
        <f>IFERROR(VLOOKUP(D494,Products!$A$2:$F$61,3,FALSE()),"")</f>
        <v>Sports</v>
      </c>
      <c r="M494" t="str">
        <f>IFERROR(VLOOKUP(E494,Sales_Reps!$A$2:$C$31,3,FALSE()),"")</f>
        <v>West</v>
      </c>
      <c r="N494">
        <f>IFERROR(VLOOKUP(D494,Products!$A$2:$F$61,4,FALSE()),"")</f>
        <v>705</v>
      </c>
      <c r="O494" t="str">
        <f>IFERROR(VLOOKUP(C494,Customers!$A$2:$F$301,5,FALSE()),"")</f>
        <v>Retail</v>
      </c>
      <c r="P494">
        <f>IFERROR(VLOOKUP(C494,Customers!$A$2:$F$301,3,FALSE()),"")</f>
        <v>59</v>
      </c>
      <c r="Q494">
        <f t="shared" si="21"/>
        <v>0.265625</v>
      </c>
      <c r="R494">
        <f>IF(AND(COUNTIF($A$2:$A$2027,A494)&gt;1,COUNTIF($A$2:A494,A494)=1),1,0)</f>
        <v>0</v>
      </c>
      <c r="S494" t="b">
        <f>IFERROR(VLOOKUP(D494,Products!$A$2:$F$61,6,FALSE()),"")</f>
        <v>1</v>
      </c>
      <c r="T494" t="str">
        <f>IF(COUNTIF(Customers!$A$2:$A$301,C494)=0,"Missing","OK")</f>
        <v>OK</v>
      </c>
      <c r="U494" t="str">
        <f t="shared" si="22"/>
        <v>Pune</v>
      </c>
      <c r="V494">
        <f t="shared" si="23"/>
        <v>0</v>
      </c>
    </row>
    <row r="495" spans="1:22" ht="15" customHeight="1" x14ac:dyDescent="0.35">
      <c r="A495" s="3" t="s">
        <v>865</v>
      </c>
      <c r="B495" s="4">
        <v>45406</v>
      </c>
      <c r="C495" s="3" t="s">
        <v>642</v>
      </c>
      <c r="D495" s="3" t="s">
        <v>96</v>
      </c>
      <c r="E495" s="3" t="s">
        <v>285</v>
      </c>
      <c r="F495" s="5">
        <v>9</v>
      </c>
      <c r="G495" s="5">
        <v>3450</v>
      </c>
      <c r="H495" s="5">
        <v>6</v>
      </c>
      <c r="I495" s="5">
        <v>29187</v>
      </c>
      <c r="J495" s="3" t="s">
        <v>79</v>
      </c>
      <c r="K495" s="3" t="s">
        <v>27</v>
      </c>
      <c r="L495" t="str">
        <f>IFERROR(VLOOKUP(D495,Products!$A$2:$F$61,3,FALSE()),"")</f>
        <v>Beauty</v>
      </c>
      <c r="M495" t="str">
        <f>IFERROR(VLOOKUP(E495,Sales_Reps!$A$2:$C$31,3,FALSE()),"")</f>
        <v>South</v>
      </c>
      <c r="N495">
        <f>IFERROR(VLOOKUP(D495,Products!$A$2:$F$61,4,FALSE()),"")</f>
        <v>2420</v>
      </c>
      <c r="O495" t="str">
        <f>IFERROR(VLOOKUP(C495,Customers!$A$2:$F$301,5,FALSE()),"")</f>
        <v>Corporate</v>
      </c>
      <c r="P495">
        <f>IFERROR(VLOOKUP(C495,Customers!$A$2:$F$301,3,FALSE()),"")</f>
        <v>52</v>
      </c>
      <c r="Q495">
        <f t="shared" si="21"/>
        <v>0.29855072463768118</v>
      </c>
      <c r="R495">
        <f>IF(AND(COUNTIF($A$2:$A$2027,A495)&gt;1,COUNTIF($A$2:A495,A495)=1),1,0)</f>
        <v>0</v>
      </c>
      <c r="S495" t="b">
        <f>IFERROR(VLOOKUP(D495,Products!$A$2:$F$61,6,FALSE()),"")</f>
        <v>1</v>
      </c>
      <c r="T495" t="str">
        <f>IF(COUNTIF(Customers!$A$2:$A$301,C495)=0,"Missing","OK")</f>
        <v>OK</v>
      </c>
      <c r="U495" t="str">
        <f t="shared" si="22"/>
        <v>Pune</v>
      </c>
      <c r="V495">
        <f t="shared" si="23"/>
        <v>0</v>
      </c>
    </row>
    <row r="496" spans="1:22" ht="15" customHeight="1" x14ac:dyDescent="0.35">
      <c r="A496" s="3" t="s">
        <v>866</v>
      </c>
      <c r="B496" s="4">
        <v>45457</v>
      </c>
      <c r="C496" s="3" t="s">
        <v>342</v>
      </c>
      <c r="D496" s="3" t="s">
        <v>118</v>
      </c>
      <c r="E496" s="3" t="s">
        <v>264</v>
      </c>
      <c r="F496" s="5">
        <v>7</v>
      </c>
      <c r="G496" s="5">
        <v>3350</v>
      </c>
      <c r="H496" s="5">
        <v>14</v>
      </c>
      <c r="I496" s="5">
        <v>20167</v>
      </c>
      <c r="J496" s="3" t="s">
        <v>79</v>
      </c>
      <c r="K496" s="3" t="s">
        <v>56</v>
      </c>
      <c r="L496" t="str">
        <f>IFERROR(VLOOKUP(D496,Products!$A$2:$F$61,3,FALSE()),"")</f>
        <v>Beauty</v>
      </c>
      <c r="M496" t="str">
        <f>IFERROR(VLOOKUP(E496,Sales_Reps!$A$2:$C$31,3,FALSE()),"")</f>
        <v>South</v>
      </c>
      <c r="N496">
        <f>IFERROR(VLOOKUP(D496,Products!$A$2:$F$61,4,FALSE()),"")</f>
        <v>1728</v>
      </c>
      <c r="O496" t="str">
        <f>IFERROR(VLOOKUP(C496,Customers!$A$2:$F$301,5,FALSE()),"")</f>
        <v>Retail</v>
      </c>
      <c r="P496">
        <f>IFERROR(VLOOKUP(C496,Customers!$A$2:$F$301,3,FALSE()),"")</f>
        <v>59</v>
      </c>
      <c r="Q496">
        <f t="shared" si="21"/>
        <v>0.48417910447761192</v>
      </c>
      <c r="R496">
        <f>IF(AND(COUNTIF($A$2:$A$2027,A496)&gt;1,COUNTIF($A$2:A496,A496)=1),1,0)</f>
        <v>0</v>
      </c>
      <c r="S496" t="b">
        <f>IFERROR(VLOOKUP(D496,Products!$A$2:$F$61,6,FALSE()),"")</f>
        <v>1</v>
      </c>
      <c r="T496" t="str">
        <f>IF(COUNTIF(Customers!$A$2:$A$301,C496)=0,"Missing","OK")</f>
        <v>OK</v>
      </c>
      <c r="U496" t="str">
        <f t="shared" si="22"/>
        <v>Bengaluru</v>
      </c>
      <c r="V496">
        <f t="shared" si="23"/>
        <v>0</v>
      </c>
    </row>
    <row r="497" spans="1:22" ht="15" customHeight="1" x14ac:dyDescent="0.35">
      <c r="A497" s="3" t="s">
        <v>867</v>
      </c>
      <c r="B497" s="4">
        <v>45298</v>
      </c>
      <c r="C497" s="3" t="s">
        <v>230</v>
      </c>
      <c r="D497" s="3" t="s">
        <v>319</v>
      </c>
      <c r="E497" s="3" t="s">
        <v>78</v>
      </c>
      <c r="F497" s="5">
        <v>6</v>
      </c>
      <c r="G497" s="5">
        <v>960</v>
      </c>
      <c r="H497" s="5">
        <v>10.1</v>
      </c>
      <c r="I497" s="5">
        <v>5178.24</v>
      </c>
      <c r="J497" s="3" t="s">
        <v>26</v>
      </c>
      <c r="K497" s="3" t="s">
        <v>38</v>
      </c>
      <c r="L497" t="str">
        <f>IFERROR(VLOOKUP(D497,Products!$A$2:$F$61,3,FALSE()),"")</f>
        <v>Beauty</v>
      </c>
      <c r="M497" t="str">
        <f>IFERROR(VLOOKUP(E497,Sales_Reps!$A$2:$C$31,3,FALSE()),"")</f>
        <v>North</v>
      </c>
      <c r="N497">
        <f>IFERROR(VLOOKUP(D497,Products!$A$2:$F$61,4,FALSE()),"")</f>
        <v>675</v>
      </c>
      <c r="O497" t="str">
        <f>IFERROR(VLOOKUP(C497,Customers!$A$2:$F$301,5,FALSE()),"")</f>
        <v>Retail</v>
      </c>
      <c r="P497">
        <f>IFERROR(VLOOKUP(C497,Customers!$A$2:$F$301,3,FALSE()),"")</f>
        <v>35</v>
      </c>
      <c r="Q497">
        <f t="shared" si="21"/>
        <v>0.296875</v>
      </c>
      <c r="R497">
        <f>IF(AND(COUNTIF($A$2:$A$2027,A497)&gt;1,COUNTIF($A$2:A497,A497)=1),1,0)</f>
        <v>0</v>
      </c>
      <c r="S497" t="b">
        <f>IFERROR(VLOOKUP(D497,Products!$A$2:$F$61,6,FALSE()),"")</f>
        <v>1</v>
      </c>
      <c r="T497" t="str">
        <f>IF(COUNTIF(Customers!$A$2:$A$301,C497)=0,"Missing","OK")</f>
        <v>OK</v>
      </c>
      <c r="U497" t="str">
        <f t="shared" si="22"/>
        <v>Delhi</v>
      </c>
      <c r="V497">
        <f t="shared" si="23"/>
        <v>0</v>
      </c>
    </row>
    <row r="498" spans="1:22" ht="15" customHeight="1" x14ac:dyDescent="0.35">
      <c r="A498" s="3" t="s">
        <v>868</v>
      </c>
      <c r="B498" s="4">
        <v>45337</v>
      </c>
      <c r="C498" s="3" t="s">
        <v>76</v>
      </c>
      <c r="D498" s="3" t="s">
        <v>221</v>
      </c>
      <c r="E498" s="3" t="s">
        <v>285</v>
      </c>
      <c r="F498" s="5">
        <v>7</v>
      </c>
      <c r="G498" s="5">
        <v>300</v>
      </c>
      <c r="H498" s="5">
        <v>21.9</v>
      </c>
      <c r="I498" s="5">
        <v>1640.1</v>
      </c>
      <c r="J498" s="3" t="s">
        <v>26</v>
      </c>
      <c r="K498" s="3" t="s">
        <v>38</v>
      </c>
      <c r="L498" t="str">
        <f>IFERROR(VLOOKUP(D498,Products!$A$2:$F$61,3,FALSE()),"")</f>
        <v>Electronics</v>
      </c>
      <c r="M498" t="str">
        <f>IFERROR(VLOOKUP(E498,Sales_Reps!$A$2:$C$31,3,FALSE()),"")</f>
        <v>South</v>
      </c>
      <c r="N498">
        <f>IFERROR(VLOOKUP(D498,Products!$A$2:$F$61,4,FALSE()),"")</f>
        <v>128</v>
      </c>
      <c r="O498" t="str">
        <f>IFERROR(VLOOKUP(C498,Customers!$A$2:$F$301,5,FALSE()),"")</f>
        <v>SMB</v>
      </c>
      <c r="P498">
        <f>IFERROR(VLOOKUP(C498,Customers!$A$2:$F$301,3,FALSE()),"")</f>
        <v>27</v>
      </c>
      <c r="Q498">
        <f t="shared" si="21"/>
        <v>0.57333333333333336</v>
      </c>
      <c r="R498">
        <f>IF(AND(COUNTIF($A$2:$A$2027,A498)&gt;1,COUNTIF($A$2:A498,A498)=1),1,0)</f>
        <v>0</v>
      </c>
      <c r="S498" t="b">
        <f>IFERROR(VLOOKUP(D498,Products!$A$2:$F$61,6,FALSE()),"")</f>
        <v>1</v>
      </c>
      <c r="T498" t="str">
        <f>IF(COUNTIF(Customers!$A$2:$A$301,C498)=0,"Missing","OK")</f>
        <v>OK</v>
      </c>
      <c r="U498" t="str">
        <f t="shared" si="22"/>
        <v>Delhi</v>
      </c>
      <c r="V498">
        <f t="shared" si="23"/>
        <v>0</v>
      </c>
    </row>
    <row r="499" spans="1:22" ht="15" customHeight="1" x14ac:dyDescent="0.35">
      <c r="A499" s="3" t="s">
        <v>869</v>
      </c>
      <c r="B499" s="4">
        <v>45389</v>
      </c>
      <c r="C499" s="3" t="s">
        <v>478</v>
      </c>
      <c r="D499" s="3" t="s">
        <v>306</v>
      </c>
      <c r="E499" s="3" t="s">
        <v>60</v>
      </c>
      <c r="F499" s="5">
        <v>2</v>
      </c>
      <c r="G499" s="5">
        <v>2380</v>
      </c>
      <c r="H499" s="5">
        <v>6.8</v>
      </c>
      <c r="I499" s="5">
        <v>4436.32</v>
      </c>
      <c r="J499" s="3" t="s">
        <v>26</v>
      </c>
      <c r="K499" s="3" t="s">
        <v>72</v>
      </c>
      <c r="L499" t="str">
        <f>IFERROR(VLOOKUP(D499,Products!$A$2:$F$61,3,FALSE()),"")</f>
        <v>Grocery</v>
      </c>
      <c r="M499" t="str">
        <f>IFERROR(VLOOKUP(E499,Sales_Reps!$A$2:$C$31,3,FALSE()),"")</f>
        <v>East</v>
      </c>
      <c r="N499">
        <f>IFERROR(VLOOKUP(D499,Products!$A$2:$F$61,4,FALSE()),"")</f>
        <v>1182</v>
      </c>
      <c r="O499" t="str">
        <f>IFERROR(VLOOKUP(C499,Customers!$A$2:$F$301,5,FALSE()),"")</f>
        <v>Retail</v>
      </c>
      <c r="P499">
        <f>IFERROR(VLOOKUP(C499,Customers!$A$2:$F$301,3,FALSE()),"")</f>
        <v>38</v>
      </c>
      <c r="Q499">
        <f t="shared" si="21"/>
        <v>0.50336134453781511</v>
      </c>
      <c r="R499">
        <f>IF(AND(COUNTIF($A$2:$A$2027,A499)&gt;1,COUNTIF($A$2:A499,A499)=1),1,0)</f>
        <v>0</v>
      </c>
      <c r="S499" t="b">
        <f>IFERROR(VLOOKUP(D499,Products!$A$2:$F$61,6,FALSE()),"")</f>
        <v>1</v>
      </c>
      <c r="T499" t="str">
        <f>IF(COUNTIF(Customers!$A$2:$A$301,C499)=0,"Missing","OK")</f>
        <v>OK</v>
      </c>
      <c r="U499" t="str">
        <f t="shared" si="22"/>
        <v>Hyderabad</v>
      </c>
      <c r="V499">
        <f t="shared" si="23"/>
        <v>0</v>
      </c>
    </row>
    <row r="500" spans="1:22" ht="15" customHeight="1" x14ac:dyDescent="0.35">
      <c r="A500" s="3" t="s">
        <v>870</v>
      </c>
      <c r="B500" s="4">
        <v>45298</v>
      </c>
      <c r="C500" s="3" t="s">
        <v>698</v>
      </c>
      <c r="D500" s="3" t="s">
        <v>54</v>
      </c>
      <c r="E500" s="3" t="s">
        <v>55</v>
      </c>
      <c r="F500" s="5">
        <v>5</v>
      </c>
      <c r="G500" s="5">
        <v>960</v>
      </c>
      <c r="H500" s="5">
        <v>15</v>
      </c>
      <c r="I500" s="5">
        <v>4080</v>
      </c>
      <c r="J500" s="3" t="s">
        <v>79</v>
      </c>
      <c r="K500" s="3" t="s">
        <v>56</v>
      </c>
      <c r="L500" t="str">
        <f>IFERROR(VLOOKUP(D500,Products!$A$2:$F$61,3,FALSE()),"")</f>
        <v>Sports</v>
      </c>
      <c r="M500" t="str">
        <f>IFERROR(VLOOKUP(E500,Sales_Reps!$A$2:$C$31,3,FALSE()),"")</f>
        <v>West</v>
      </c>
      <c r="N500">
        <f>IFERROR(VLOOKUP(D500,Products!$A$2:$F$61,4,FALSE()),"")</f>
        <v>705</v>
      </c>
      <c r="O500" t="str">
        <f>IFERROR(VLOOKUP(C500,Customers!$A$2:$F$301,5,FALSE()),"")</f>
        <v>Retail</v>
      </c>
      <c r="P500">
        <f>IFERROR(VLOOKUP(C500,Customers!$A$2:$F$301,3,FALSE()),"")</f>
        <v>29</v>
      </c>
      <c r="Q500">
        <f t="shared" si="21"/>
        <v>0.265625</v>
      </c>
      <c r="R500">
        <f>IF(AND(COUNTIF($A$2:$A$2027,A500)&gt;1,COUNTIF($A$2:A500,A500)=1),1,0)</f>
        <v>0</v>
      </c>
      <c r="S500" t="b">
        <f>IFERROR(VLOOKUP(D500,Products!$A$2:$F$61,6,FALSE()),"")</f>
        <v>1</v>
      </c>
      <c r="T500" t="str">
        <f>IF(COUNTIF(Customers!$A$2:$A$301,C500)=0,"Missing","OK")</f>
        <v>OK</v>
      </c>
      <c r="U500" t="str">
        <f t="shared" si="22"/>
        <v>Bengaluru</v>
      </c>
      <c r="V500">
        <f t="shared" si="23"/>
        <v>0</v>
      </c>
    </row>
    <row r="501" spans="1:22" ht="15" customHeight="1" x14ac:dyDescent="0.35">
      <c r="A501" s="3" t="s">
        <v>871</v>
      </c>
      <c r="B501" s="4">
        <v>45577</v>
      </c>
      <c r="C501" s="3" t="s">
        <v>211</v>
      </c>
      <c r="D501" s="3" t="s">
        <v>400</v>
      </c>
      <c r="E501" s="3" t="s">
        <v>264</v>
      </c>
      <c r="F501" s="5">
        <v>10</v>
      </c>
      <c r="G501" s="5">
        <v>3780</v>
      </c>
      <c r="H501" s="5">
        <v>24.1</v>
      </c>
      <c r="I501" s="5">
        <v>28690.2</v>
      </c>
      <c r="J501" s="3" t="s">
        <v>83</v>
      </c>
      <c r="K501" s="3" t="s">
        <v>33</v>
      </c>
      <c r="L501" t="str">
        <f>IFERROR(VLOOKUP(D501,Products!$A$2:$F$61,3,FALSE()),"")</f>
        <v>Sports</v>
      </c>
      <c r="M501" t="str">
        <f>IFERROR(VLOOKUP(E501,Sales_Reps!$A$2:$C$31,3,FALSE()),"")</f>
        <v>South</v>
      </c>
      <c r="N501">
        <f>IFERROR(VLOOKUP(D501,Products!$A$2:$F$61,4,FALSE()),"")</f>
        <v>1860</v>
      </c>
      <c r="O501" t="str">
        <f>IFERROR(VLOOKUP(C501,Customers!$A$2:$F$301,5,FALSE()),"")</f>
        <v>SMB</v>
      </c>
      <c r="P501">
        <f>IFERROR(VLOOKUP(C501,Customers!$A$2:$F$301,3,FALSE()),"")</f>
        <v>55</v>
      </c>
      <c r="Q501">
        <f t="shared" si="21"/>
        <v>0.50793650793650791</v>
      </c>
      <c r="R501">
        <f>IF(AND(COUNTIF($A$2:$A$2027,A501)&gt;1,COUNTIF($A$2:A501,A501)=1),1,0)</f>
        <v>0</v>
      </c>
      <c r="S501" t="b">
        <f>IFERROR(VLOOKUP(D501,Products!$A$2:$F$61,6,FALSE()),"")</f>
        <v>1</v>
      </c>
      <c r="T501" t="str">
        <f>IF(COUNTIF(Customers!$A$2:$A$301,C501)=0,"Missing","OK")</f>
        <v>OK</v>
      </c>
      <c r="U501" t="str">
        <f t="shared" si="22"/>
        <v>Chennai</v>
      </c>
      <c r="V501">
        <f t="shared" si="23"/>
        <v>0</v>
      </c>
    </row>
    <row r="502" spans="1:22" ht="15" customHeight="1" x14ac:dyDescent="0.35">
      <c r="A502" s="3" t="s">
        <v>872</v>
      </c>
      <c r="B502" s="4">
        <v>45355</v>
      </c>
      <c r="C502" s="3" t="s">
        <v>156</v>
      </c>
      <c r="D502" s="3" t="s">
        <v>198</v>
      </c>
      <c r="E502" s="3" t="s">
        <v>131</v>
      </c>
      <c r="F502" s="5">
        <v>4</v>
      </c>
      <c r="G502" s="5">
        <v>1540</v>
      </c>
      <c r="H502" s="5">
        <v>14.2</v>
      </c>
      <c r="I502" s="5">
        <v>5285.28</v>
      </c>
      <c r="J502" s="3" t="s">
        <v>79</v>
      </c>
      <c r="K502" s="3" t="s">
        <v>33</v>
      </c>
      <c r="L502" t="str">
        <f>IFERROR(VLOOKUP(D502,Products!$A$2:$F$61,3,FALSE()),"")</f>
        <v>Beauty</v>
      </c>
      <c r="M502" t="str">
        <f>IFERROR(VLOOKUP(E502,Sales_Reps!$A$2:$C$31,3,FALSE()),"")</f>
        <v>East</v>
      </c>
      <c r="N502">
        <f>IFERROR(VLOOKUP(D502,Products!$A$2:$F$61,4,FALSE()),"")</f>
        <v>647</v>
      </c>
      <c r="O502" t="str">
        <f>IFERROR(VLOOKUP(C502,Customers!$A$2:$F$301,5,FALSE()),"")</f>
        <v>Retail</v>
      </c>
      <c r="P502">
        <f>IFERROR(VLOOKUP(C502,Customers!$A$2:$F$301,3,FALSE()),"")</f>
        <v>51</v>
      </c>
      <c r="Q502">
        <f t="shared" si="21"/>
        <v>0.57987012987012987</v>
      </c>
      <c r="R502">
        <f>IF(AND(COUNTIF($A$2:$A$2027,A502)&gt;1,COUNTIF($A$2:A502,A502)=1),1,0)</f>
        <v>0</v>
      </c>
      <c r="S502" t="b">
        <f>IFERROR(VLOOKUP(D502,Products!$A$2:$F$61,6,FALSE()),"")</f>
        <v>0</v>
      </c>
      <c r="T502" t="str">
        <f>IF(COUNTIF(Customers!$A$2:$A$301,C502)=0,"Missing","OK")</f>
        <v>OK</v>
      </c>
      <c r="U502" t="str">
        <f t="shared" si="22"/>
        <v>Chennai</v>
      </c>
      <c r="V502">
        <f t="shared" si="23"/>
        <v>0</v>
      </c>
    </row>
    <row r="503" spans="1:22" ht="15" customHeight="1" x14ac:dyDescent="0.35">
      <c r="A503" s="3" t="s">
        <v>873</v>
      </c>
      <c r="B503" s="4">
        <v>45463</v>
      </c>
      <c r="C503" s="3" t="s">
        <v>774</v>
      </c>
      <c r="D503" s="3" t="s">
        <v>294</v>
      </c>
      <c r="E503" s="3" t="s">
        <v>31</v>
      </c>
      <c r="F503" s="5">
        <v>10</v>
      </c>
      <c r="G503" s="5">
        <v>2510</v>
      </c>
      <c r="H503" s="5">
        <v>20.8</v>
      </c>
      <c r="I503" s="5">
        <v>19879.2</v>
      </c>
      <c r="J503" s="3" t="s">
        <v>26</v>
      </c>
      <c r="K503" s="3" t="s">
        <v>56</v>
      </c>
      <c r="L503" t="str">
        <f>IFERROR(VLOOKUP(D503,Products!$A$2:$F$61,3,FALSE()),"")</f>
        <v>Apparel</v>
      </c>
      <c r="M503" t="str">
        <f>IFERROR(VLOOKUP(E503,Sales_Reps!$A$2:$C$31,3,FALSE()),"")</f>
        <v>North</v>
      </c>
      <c r="N503">
        <f>IFERROR(VLOOKUP(D503,Products!$A$2:$F$61,4,FALSE()),"")</f>
        <v>1075</v>
      </c>
      <c r="O503" t="str">
        <f>IFERROR(VLOOKUP(C503,Customers!$A$2:$F$301,5,FALSE()),"")</f>
        <v>Retail</v>
      </c>
      <c r="P503">
        <f>IFERROR(VLOOKUP(C503,Customers!$A$2:$F$301,3,FALSE()),"")</f>
        <v>52</v>
      </c>
      <c r="Q503">
        <f t="shared" si="21"/>
        <v>0.57171314741035861</v>
      </c>
      <c r="R503">
        <f>IF(AND(COUNTIF($A$2:$A$2027,A503)&gt;1,COUNTIF($A$2:A503,A503)=1),1,0)</f>
        <v>0</v>
      </c>
      <c r="S503" t="b">
        <f>IFERROR(VLOOKUP(D503,Products!$A$2:$F$61,6,FALSE()),"")</f>
        <v>0</v>
      </c>
      <c r="T503" t="str">
        <f>IF(COUNTIF(Customers!$A$2:$A$301,C503)=0,"Missing","OK")</f>
        <v>OK</v>
      </c>
      <c r="U503" t="str">
        <f t="shared" si="22"/>
        <v>Bengaluru</v>
      </c>
      <c r="V503">
        <f t="shared" si="23"/>
        <v>0</v>
      </c>
    </row>
    <row r="504" spans="1:22" ht="15" customHeight="1" x14ac:dyDescent="0.35">
      <c r="A504" s="3" t="s">
        <v>874</v>
      </c>
      <c r="B504" s="4">
        <v>45374</v>
      </c>
      <c r="C504" s="3" t="s">
        <v>327</v>
      </c>
      <c r="D504" s="3" t="s">
        <v>290</v>
      </c>
      <c r="E504" s="3" t="s">
        <v>37</v>
      </c>
      <c r="F504" s="5">
        <v>9</v>
      </c>
      <c r="G504" s="5">
        <v>4060</v>
      </c>
      <c r="H504" s="5">
        <v>27.1</v>
      </c>
      <c r="I504" s="5">
        <v>26637.66</v>
      </c>
      <c r="J504" s="3" t="s">
        <v>26</v>
      </c>
      <c r="K504" s="3" t="s">
        <v>72</v>
      </c>
      <c r="L504" t="str">
        <f>IFERROR(VLOOKUP(D504,Products!$A$2:$F$61,3,FALSE()),"")</f>
        <v>Grocery</v>
      </c>
      <c r="M504" t="str">
        <f>IFERROR(VLOOKUP(E504,Sales_Reps!$A$2:$C$31,3,FALSE()),"")</f>
        <v>South</v>
      </c>
      <c r="N504">
        <f>IFERROR(VLOOKUP(D504,Products!$A$2:$F$61,4,FALSE()),"")</f>
        <v>2911</v>
      </c>
      <c r="O504" t="str">
        <f>IFERROR(VLOOKUP(C504,Customers!$A$2:$F$301,5,FALSE()),"")</f>
        <v>Retail</v>
      </c>
      <c r="P504">
        <f>IFERROR(VLOOKUP(C504,Customers!$A$2:$F$301,3,FALSE()),"")</f>
        <v>44</v>
      </c>
      <c r="Q504">
        <f t="shared" si="21"/>
        <v>0.28300492610837441</v>
      </c>
      <c r="R504">
        <f>IF(AND(COUNTIF($A$2:$A$2027,A504)&gt;1,COUNTIF($A$2:A504,A504)=1),1,0)</f>
        <v>0</v>
      </c>
      <c r="S504" t="b">
        <f>IFERROR(VLOOKUP(D504,Products!$A$2:$F$61,6,FALSE()),"")</f>
        <v>1</v>
      </c>
      <c r="T504" t="str">
        <f>IF(COUNTIF(Customers!$A$2:$A$301,C504)=0,"Missing","OK")</f>
        <v>OK</v>
      </c>
      <c r="U504" t="str">
        <f t="shared" si="22"/>
        <v>Hyderabad</v>
      </c>
      <c r="V504">
        <f t="shared" si="23"/>
        <v>0</v>
      </c>
    </row>
    <row r="505" spans="1:22" ht="15" customHeight="1" x14ac:dyDescent="0.35">
      <c r="A505" s="3" t="s">
        <v>875</v>
      </c>
      <c r="B505" s="4">
        <v>45638</v>
      </c>
      <c r="C505" s="3" t="s">
        <v>298</v>
      </c>
      <c r="D505" s="3" t="s">
        <v>90</v>
      </c>
      <c r="E505" s="3" t="s">
        <v>50</v>
      </c>
      <c r="F505" s="5">
        <v>4</v>
      </c>
      <c r="G505" s="5">
        <v>2400</v>
      </c>
      <c r="H505" s="5">
        <v>19.100000000000001</v>
      </c>
      <c r="I505" s="5">
        <v>7766.4</v>
      </c>
      <c r="J505" s="3" t="s">
        <v>26</v>
      </c>
      <c r="K505" s="3" t="s">
        <v>38</v>
      </c>
      <c r="L505" t="str">
        <f>IFERROR(VLOOKUP(D505,Products!$A$2:$F$61,3,FALSE()),"")</f>
        <v>Sports</v>
      </c>
      <c r="M505" t="str">
        <f>IFERROR(VLOOKUP(E505,Sales_Reps!$A$2:$C$31,3,FALSE()),"")</f>
        <v>West</v>
      </c>
      <c r="N505">
        <f>IFERROR(VLOOKUP(D505,Products!$A$2:$F$61,4,FALSE()),"")</f>
        <v>974</v>
      </c>
      <c r="O505" t="str">
        <f>IFERROR(VLOOKUP(C505,Customers!$A$2:$F$301,5,FALSE()),"")</f>
        <v>SMB</v>
      </c>
      <c r="P505">
        <f>IFERROR(VLOOKUP(C505,Customers!$A$2:$F$301,3,FALSE()),"")</f>
        <v>28</v>
      </c>
      <c r="Q505">
        <f t="shared" si="21"/>
        <v>0.59416666666666662</v>
      </c>
      <c r="R505">
        <f>IF(AND(COUNTIF($A$2:$A$2027,A505)&gt;1,COUNTIF($A$2:A505,A505)=1),1,0)</f>
        <v>0</v>
      </c>
      <c r="S505" t="b">
        <f>IFERROR(VLOOKUP(D505,Products!$A$2:$F$61,6,FALSE()),"")</f>
        <v>1</v>
      </c>
      <c r="T505" t="str">
        <f>IF(COUNTIF(Customers!$A$2:$A$301,C505)=0,"Missing","OK")</f>
        <v>OK</v>
      </c>
      <c r="U505" t="str">
        <f t="shared" si="22"/>
        <v>Delhi</v>
      </c>
      <c r="V505">
        <f t="shared" si="23"/>
        <v>0</v>
      </c>
    </row>
    <row r="506" spans="1:22" ht="15" customHeight="1" x14ac:dyDescent="0.35">
      <c r="A506" s="3" t="s">
        <v>876</v>
      </c>
      <c r="B506" s="4">
        <v>45525</v>
      </c>
      <c r="C506" s="3" t="s">
        <v>40</v>
      </c>
      <c r="D506" s="3" t="s">
        <v>123</v>
      </c>
      <c r="E506" s="3" t="s">
        <v>224</v>
      </c>
      <c r="F506" s="5">
        <v>8</v>
      </c>
      <c r="G506" s="5">
        <v>4880</v>
      </c>
      <c r="H506" s="5">
        <v>9.1999999999999993</v>
      </c>
      <c r="I506" s="5">
        <v>35448.32</v>
      </c>
      <c r="J506" s="3" t="s">
        <v>79</v>
      </c>
      <c r="K506" s="3" t="s">
        <v>38</v>
      </c>
      <c r="L506" t="str">
        <f>IFERROR(VLOOKUP(D506,Products!$A$2:$F$61,3,FALSE()),"")</f>
        <v>Beauty</v>
      </c>
      <c r="M506" t="str">
        <f>IFERROR(VLOOKUP(E506,Sales_Reps!$A$2:$C$31,3,FALSE()),"")</f>
        <v>East</v>
      </c>
      <c r="N506">
        <f>IFERROR(VLOOKUP(D506,Products!$A$2:$F$61,4,FALSE()),"")</f>
        <v>2768</v>
      </c>
      <c r="O506" t="str">
        <f>IFERROR(VLOOKUP(C506,Customers!$A$2:$F$301,5,FALSE()),"")</f>
        <v>Corporate</v>
      </c>
      <c r="P506">
        <f>IFERROR(VLOOKUP(C506,Customers!$A$2:$F$301,3,FALSE()),"")</f>
        <v>46</v>
      </c>
      <c r="Q506">
        <f t="shared" si="21"/>
        <v>0.43278688524590164</v>
      </c>
      <c r="R506">
        <f>IF(AND(COUNTIF($A$2:$A$2027,A506)&gt;1,COUNTIF($A$2:A506,A506)=1),1,0)</f>
        <v>0</v>
      </c>
      <c r="S506" t="b">
        <f>IFERROR(VLOOKUP(D506,Products!$A$2:$F$61,6,FALSE()),"")</f>
        <v>1</v>
      </c>
      <c r="T506" t="str">
        <f>IF(COUNTIF(Customers!$A$2:$A$301,C506)=0,"Missing","OK")</f>
        <v>OK</v>
      </c>
      <c r="U506" t="str">
        <f t="shared" si="22"/>
        <v>Delhi</v>
      </c>
      <c r="V506">
        <f t="shared" si="23"/>
        <v>0</v>
      </c>
    </row>
    <row r="507" spans="1:22" ht="15" customHeight="1" x14ac:dyDescent="0.35">
      <c r="A507" s="3" t="s">
        <v>877</v>
      </c>
      <c r="B507" s="4">
        <v>45586</v>
      </c>
      <c r="C507" s="3" t="s">
        <v>552</v>
      </c>
      <c r="D507" s="3" t="s">
        <v>130</v>
      </c>
      <c r="E507" s="3" t="s">
        <v>60</v>
      </c>
      <c r="F507" s="5">
        <v>9</v>
      </c>
      <c r="G507" s="5">
        <v>5100</v>
      </c>
      <c r="H507" s="5">
        <v>11.1</v>
      </c>
      <c r="I507" s="5">
        <v>40805.1</v>
      </c>
      <c r="J507" s="3" t="s">
        <v>79</v>
      </c>
      <c r="K507" s="3" t="s">
        <v>51</v>
      </c>
      <c r="L507" t="str">
        <f>IFERROR(VLOOKUP(D507,Products!$A$2:$F$61,3,FALSE()),"")</f>
        <v>Beauty</v>
      </c>
      <c r="M507" t="str">
        <f>IFERROR(VLOOKUP(E507,Sales_Reps!$A$2:$C$31,3,FALSE()),"")</f>
        <v>East</v>
      </c>
      <c r="N507">
        <f>IFERROR(VLOOKUP(D507,Products!$A$2:$F$61,4,FALSE()),"")</f>
        <v>2237</v>
      </c>
      <c r="O507" t="str">
        <f>IFERROR(VLOOKUP(C507,Customers!$A$2:$F$301,5,FALSE()),"")</f>
        <v>Retail</v>
      </c>
      <c r="P507">
        <f>IFERROR(VLOOKUP(C507,Customers!$A$2:$F$301,3,FALSE()),"")</f>
        <v>44</v>
      </c>
      <c r="Q507">
        <f t="shared" si="21"/>
        <v>0.56137254901960787</v>
      </c>
      <c r="R507">
        <f>IF(AND(COUNTIF($A$2:$A$2027,A507)&gt;1,COUNTIF($A$2:A507,A507)=1),1,0)</f>
        <v>0</v>
      </c>
      <c r="S507" t="b">
        <f>IFERROR(VLOOKUP(D507,Products!$A$2:$F$61,6,FALSE()),"")</f>
        <v>1</v>
      </c>
      <c r="T507" t="str">
        <f>IF(COUNTIF(Customers!$A$2:$A$301,C507)=0,"Missing","OK")</f>
        <v>OK</v>
      </c>
      <c r="U507" t="str">
        <f t="shared" si="22"/>
        <v>Mumbai</v>
      </c>
      <c r="V507">
        <f t="shared" si="23"/>
        <v>0</v>
      </c>
    </row>
    <row r="508" spans="1:22" ht="15" customHeight="1" x14ac:dyDescent="0.35">
      <c r="A508" s="3" t="s">
        <v>878</v>
      </c>
      <c r="B508" s="4">
        <v>45637</v>
      </c>
      <c r="C508" s="3" t="s">
        <v>296</v>
      </c>
      <c r="D508" s="3" t="s">
        <v>221</v>
      </c>
      <c r="E508" s="3" t="s">
        <v>67</v>
      </c>
      <c r="F508" s="5">
        <v>4</v>
      </c>
      <c r="G508" s="5">
        <v>300</v>
      </c>
      <c r="H508" s="5">
        <v>16.7</v>
      </c>
      <c r="I508" s="5">
        <v>999.6</v>
      </c>
      <c r="J508" s="3" t="s">
        <v>26</v>
      </c>
      <c r="K508" s="3" t="s">
        <v>38</v>
      </c>
      <c r="L508" t="str">
        <f>IFERROR(VLOOKUP(D508,Products!$A$2:$F$61,3,FALSE()),"")</f>
        <v>Electronics</v>
      </c>
      <c r="M508" t="str">
        <f>IFERROR(VLOOKUP(E508,Sales_Reps!$A$2:$C$31,3,FALSE()),"")</f>
        <v>West</v>
      </c>
      <c r="N508">
        <f>IFERROR(VLOOKUP(D508,Products!$A$2:$F$61,4,FALSE()),"")</f>
        <v>128</v>
      </c>
      <c r="O508" t="str">
        <f>IFERROR(VLOOKUP(C508,Customers!$A$2:$F$301,5,FALSE()),"")</f>
        <v>SMB</v>
      </c>
      <c r="P508">
        <f>IFERROR(VLOOKUP(C508,Customers!$A$2:$F$301,3,FALSE()),"")</f>
        <v>38</v>
      </c>
      <c r="Q508">
        <f t="shared" si="21"/>
        <v>0.57333333333333336</v>
      </c>
      <c r="R508">
        <f>IF(AND(COUNTIF($A$2:$A$2027,A508)&gt;1,COUNTIF($A$2:A508,A508)=1),1,0)</f>
        <v>0</v>
      </c>
      <c r="S508" t="b">
        <f>IFERROR(VLOOKUP(D508,Products!$A$2:$F$61,6,FALSE()),"")</f>
        <v>1</v>
      </c>
      <c r="T508" t="str">
        <f>IF(COUNTIF(Customers!$A$2:$A$301,C508)=0,"Missing","OK")</f>
        <v>OK</v>
      </c>
      <c r="U508" t="str">
        <f t="shared" si="22"/>
        <v>Delhi</v>
      </c>
      <c r="V508">
        <f t="shared" si="23"/>
        <v>0</v>
      </c>
    </row>
    <row r="509" spans="1:22" ht="15" customHeight="1" x14ac:dyDescent="0.35">
      <c r="A509" s="3" t="s">
        <v>879</v>
      </c>
      <c r="B509" s="4">
        <v>45443</v>
      </c>
      <c r="C509" s="3" t="s">
        <v>524</v>
      </c>
      <c r="D509" s="3" t="s">
        <v>106</v>
      </c>
      <c r="E509" s="3" t="s">
        <v>37</v>
      </c>
      <c r="F509" s="5">
        <v>6</v>
      </c>
      <c r="G509" s="5">
        <v>2480</v>
      </c>
      <c r="H509" s="5">
        <v>3.3</v>
      </c>
      <c r="I509" s="5">
        <v>14388.96</v>
      </c>
      <c r="J509" s="3" t="s">
        <v>26</v>
      </c>
      <c r="K509" s="3" t="s">
        <v>33</v>
      </c>
      <c r="L509" t="str">
        <f>IFERROR(VLOOKUP(D509,Products!$A$2:$F$61,3,FALSE()),"")</f>
        <v>Apparel</v>
      </c>
      <c r="M509" t="str">
        <f>IFERROR(VLOOKUP(E509,Sales_Reps!$A$2:$C$31,3,FALSE()),"")</f>
        <v>South</v>
      </c>
      <c r="N509">
        <f>IFERROR(VLOOKUP(D509,Products!$A$2:$F$61,4,FALSE()),"")</f>
        <v>1173</v>
      </c>
      <c r="O509" t="str">
        <f>IFERROR(VLOOKUP(C509,Customers!$A$2:$F$301,5,FALSE()),"")</f>
        <v>Retail</v>
      </c>
      <c r="P509">
        <f>IFERROR(VLOOKUP(C509,Customers!$A$2:$F$301,3,FALSE()),"")</f>
        <v>26</v>
      </c>
      <c r="Q509">
        <f t="shared" si="21"/>
        <v>0.52701612903225803</v>
      </c>
      <c r="R509">
        <f>IF(AND(COUNTIF($A$2:$A$2027,A509)&gt;1,COUNTIF($A$2:A509,A509)=1),1,0)</f>
        <v>0</v>
      </c>
      <c r="S509" t="b">
        <f>IFERROR(VLOOKUP(D509,Products!$A$2:$F$61,6,FALSE()),"")</f>
        <v>1</v>
      </c>
      <c r="T509" t="str">
        <f>IF(COUNTIF(Customers!$A$2:$A$301,C509)=0,"Missing","OK")</f>
        <v>OK</v>
      </c>
      <c r="U509" t="str">
        <f t="shared" si="22"/>
        <v>Chennai</v>
      </c>
      <c r="V509">
        <f t="shared" si="23"/>
        <v>0</v>
      </c>
    </row>
    <row r="510" spans="1:22" ht="15" customHeight="1" x14ac:dyDescent="0.35">
      <c r="A510" s="3" t="s">
        <v>880</v>
      </c>
      <c r="B510" s="4">
        <v>45569</v>
      </c>
      <c r="C510" s="3" t="s">
        <v>44</v>
      </c>
      <c r="D510" s="3" t="s">
        <v>115</v>
      </c>
      <c r="E510" s="3" t="s">
        <v>93</v>
      </c>
      <c r="F510" s="5">
        <v>10</v>
      </c>
      <c r="G510" s="5">
        <v>1650</v>
      </c>
      <c r="H510" s="5">
        <v>22.9</v>
      </c>
      <c r="I510" s="5">
        <v>12721.5</v>
      </c>
      <c r="J510" s="3" t="s">
        <v>83</v>
      </c>
      <c r="K510" s="3" t="s">
        <v>33</v>
      </c>
      <c r="L510" t="str">
        <f>IFERROR(VLOOKUP(D510,Products!$A$2:$F$61,3,FALSE()),"")</f>
        <v>Beauty</v>
      </c>
      <c r="M510" t="str">
        <f>IFERROR(VLOOKUP(E510,Sales_Reps!$A$2:$C$31,3,FALSE()),"")</f>
        <v>East</v>
      </c>
      <c r="N510">
        <f>IFERROR(VLOOKUP(D510,Products!$A$2:$F$61,4,FALSE()),"")</f>
        <v>1222</v>
      </c>
      <c r="O510" t="str">
        <f>IFERROR(VLOOKUP(C510,Customers!$A$2:$F$301,5,FALSE()),"")</f>
        <v>Retail</v>
      </c>
      <c r="P510">
        <f>IFERROR(VLOOKUP(C510,Customers!$A$2:$F$301,3,FALSE()),"")</f>
        <v>36</v>
      </c>
      <c r="Q510">
        <f t="shared" si="21"/>
        <v>0.2593939393939394</v>
      </c>
      <c r="R510">
        <f>IF(AND(COUNTIF($A$2:$A$2027,A510)&gt;1,COUNTIF($A$2:A510,A510)=1),1,0)</f>
        <v>0</v>
      </c>
      <c r="S510" t="b">
        <f>IFERROR(VLOOKUP(D510,Products!$A$2:$F$61,6,FALSE()),"")</f>
        <v>1</v>
      </c>
      <c r="T510" t="str">
        <f>IF(COUNTIF(Customers!$A$2:$A$301,C510)=0,"Missing","OK")</f>
        <v>OK</v>
      </c>
      <c r="U510" t="str">
        <f t="shared" si="22"/>
        <v>Chennai</v>
      </c>
      <c r="V510">
        <f t="shared" si="23"/>
        <v>0</v>
      </c>
    </row>
    <row r="511" spans="1:22" ht="15" customHeight="1" x14ac:dyDescent="0.35">
      <c r="A511" s="3" t="s">
        <v>881</v>
      </c>
      <c r="B511" s="4">
        <v>45319</v>
      </c>
      <c r="C511" s="3" t="s">
        <v>882</v>
      </c>
      <c r="D511" s="3" t="s">
        <v>277</v>
      </c>
      <c r="E511" s="3" t="s">
        <v>264</v>
      </c>
      <c r="F511" s="5">
        <v>3</v>
      </c>
      <c r="G511" s="5">
        <v>2210</v>
      </c>
      <c r="H511" s="5">
        <v>11.1</v>
      </c>
      <c r="I511" s="5">
        <v>5894.07</v>
      </c>
      <c r="J511" s="3" t="s">
        <v>26</v>
      </c>
      <c r="K511" s="3" t="s">
        <v>72</v>
      </c>
      <c r="L511" t="str">
        <f>IFERROR(VLOOKUP(D511,Products!$A$2:$F$61,3,FALSE()),"")</f>
        <v>Grocery</v>
      </c>
      <c r="M511" t="str">
        <f>IFERROR(VLOOKUP(E511,Sales_Reps!$A$2:$C$31,3,FALSE()),"")</f>
        <v>South</v>
      </c>
      <c r="N511">
        <f>IFERROR(VLOOKUP(D511,Products!$A$2:$F$61,4,FALSE()),"")</f>
        <v>1010</v>
      </c>
      <c r="O511" t="str">
        <f>IFERROR(VLOOKUP(C511,Customers!$A$2:$F$301,5,FALSE()),"")</f>
        <v>Corporate</v>
      </c>
      <c r="P511">
        <f>IFERROR(VLOOKUP(C511,Customers!$A$2:$F$301,3,FALSE()),"")</f>
        <v>54</v>
      </c>
      <c r="Q511">
        <f t="shared" si="21"/>
        <v>0.54298642533936647</v>
      </c>
      <c r="R511">
        <f>IF(AND(COUNTIF($A$2:$A$2027,A511)&gt;1,COUNTIF($A$2:A511,A511)=1),1,0)</f>
        <v>0</v>
      </c>
      <c r="S511" t="b">
        <f>IFERROR(VLOOKUP(D511,Products!$A$2:$F$61,6,FALSE()),"")</f>
        <v>1</v>
      </c>
      <c r="T511" t="str">
        <f>IF(COUNTIF(Customers!$A$2:$A$301,C511)=0,"Missing","OK")</f>
        <v>OK</v>
      </c>
      <c r="U511" t="str">
        <f t="shared" si="22"/>
        <v>Hyderabad</v>
      </c>
      <c r="V511">
        <f t="shared" si="23"/>
        <v>0</v>
      </c>
    </row>
    <row r="512" spans="1:22" ht="15" customHeight="1" x14ac:dyDescent="0.35">
      <c r="A512" s="3" t="s">
        <v>883</v>
      </c>
      <c r="B512" s="4">
        <v>45406</v>
      </c>
      <c r="C512" s="3" t="s">
        <v>884</v>
      </c>
      <c r="D512" s="3" t="s">
        <v>106</v>
      </c>
      <c r="E512" s="3" t="s">
        <v>31</v>
      </c>
      <c r="F512" s="5">
        <v>10</v>
      </c>
      <c r="G512" s="5">
        <v>2480</v>
      </c>
      <c r="H512" s="5">
        <v>13</v>
      </c>
      <c r="I512" s="5">
        <v>21576</v>
      </c>
      <c r="J512" s="3" t="s">
        <v>32</v>
      </c>
      <c r="K512" s="3" t="s">
        <v>27</v>
      </c>
      <c r="L512" t="str">
        <f>IFERROR(VLOOKUP(D512,Products!$A$2:$F$61,3,FALSE()),"")</f>
        <v>Apparel</v>
      </c>
      <c r="M512" t="str">
        <f>IFERROR(VLOOKUP(E512,Sales_Reps!$A$2:$C$31,3,FALSE()),"")</f>
        <v>North</v>
      </c>
      <c r="N512">
        <f>IFERROR(VLOOKUP(D512,Products!$A$2:$F$61,4,FALSE()),"")</f>
        <v>1173</v>
      </c>
      <c r="O512" t="str">
        <f>IFERROR(VLOOKUP(C512,Customers!$A$2:$F$301,5,FALSE()),"")</f>
        <v>Retail</v>
      </c>
      <c r="P512">
        <f>IFERROR(VLOOKUP(C512,Customers!$A$2:$F$301,3,FALSE()),"")</f>
        <v>54</v>
      </c>
      <c r="Q512">
        <f t="shared" si="21"/>
        <v>0.52701612903225803</v>
      </c>
      <c r="R512">
        <f>IF(AND(COUNTIF($A$2:$A$2027,A512)&gt;1,COUNTIF($A$2:A512,A512)=1),1,0)</f>
        <v>0</v>
      </c>
      <c r="S512" t="b">
        <f>IFERROR(VLOOKUP(D512,Products!$A$2:$F$61,6,FALSE()),"")</f>
        <v>1</v>
      </c>
      <c r="T512" t="str">
        <f>IF(COUNTIF(Customers!$A$2:$A$301,C512)=0,"Missing","OK")</f>
        <v>OK</v>
      </c>
      <c r="U512" t="str">
        <f t="shared" si="22"/>
        <v>Pune</v>
      </c>
      <c r="V512">
        <f t="shared" si="23"/>
        <v>0</v>
      </c>
    </row>
    <row r="513" spans="1:22" ht="15" customHeight="1" x14ac:dyDescent="0.35">
      <c r="A513" s="3" t="s">
        <v>885</v>
      </c>
      <c r="B513" s="4">
        <v>45629</v>
      </c>
      <c r="C513" s="3" t="s">
        <v>40</v>
      </c>
      <c r="D513" s="3" t="s">
        <v>303</v>
      </c>
      <c r="E513" s="3" t="s">
        <v>93</v>
      </c>
      <c r="F513" s="5">
        <v>10</v>
      </c>
      <c r="G513" s="5">
        <v>5330</v>
      </c>
      <c r="H513" s="5">
        <v>0.7</v>
      </c>
      <c r="I513" s="5">
        <v>52926.9</v>
      </c>
      <c r="J513" s="3" t="s">
        <v>26</v>
      </c>
      <c r="K513" s="3" t="s">
        <v>38</v>
      </c>
      <c r="L513" t="str">
        <f>IFERROR(VLOOKUP(D513,Products!$A$2:$F$61,3,FALSE()),"")</f>
        <v>Electronics</v>
      </c>
      <c r="M513" t="str">
        <f>IFERROR(VLOOKUP(E513,Sales_Reps!$A$2:$C$31,3,FALSE()),"")</f>
        <v>East</v>
      </c>
      <c r="N513">
        <f>IFERROR(VLOOKUP(D513,Products!$A$2:$F$61,4,FALSE()),"")</f>
        <v>2405</v>
      </c>
      <c r="O513" t="str">
        <f>IFERROR(VLOOKUP(C513,Customers!$A$2:$F$301,5,FALSE()),"")</f>
        <v>Corporate</v>
      </c>
      <c r="P513">
        <f>IFERROR(VLOOKUP(C513,Customers!$A$2:$F$301,3,FALSE()),"")</f>
        <v>46</v>
      </c>
      <c r="Q513">
        <f t="shared" si="21"/>
        <v>0.54878048780487809</v>
      </c>
      <c r="R513">
        <f>IF(AND(COUNTIF($A$2:$A$2027,A513)&gt;1,COUNTIF($A$2:A513,A513)=1),1,0)</f>
        <v>0</v>
      </c>
      <c r="S513" t="b">
        <f>IFERROR(VLOOKUP(D513,Products!$A$2:$F$61,6,FALSE()),"")</f>
        <v>1</v>
      </c>
      <c r="T513" t="str">
        <f>IF(COUNTIF(Customers!$A$2:$A$301,C513)=0,"Missing","OK")</f>
        <v>OK</v>
      </c>
      <c r="U513" t="str">
        <f t="shared" si="22"/>
        <v>Delhi</v>
      </c>
      <c r="V513">
        <f t="shared" si="23"/>
        <v>0</v>
      </c>
    </row>
    <row r="514" spans="1:22" ht="15" customHeight="1" x14ac:dyDescent="0.35">
      <c r="A514" s="3" t="s">
        <v>886</v>
      </c>
      <c r="B514" s="4">
        <v>45612</v>
      </c>
      <c r="C514" s="3" t="s">
        <v>887</v>
      </c>
      <c r="D514" s="3" t="s">
        <v>203</v>
      </c>
      <c r="E514" s="3" t="s">
        <v>264</v>
      </c>
      <c r="F514" s="5">
        <v>9</v>
      </c>
      <c r="G514" s="5">
        <v>4070</v>
      </c>
      <c r="H514" s="5">
        <v>15.6</v>
      </c>
      <c r="I514" s="5">
        <v>30915.72</v>
      </c>
      <c r="J514" s="3" t="s">
        <v>26</v>
      </c>
      <c r="K514" s="3" t="s">
        <v>27</v>
      </c>
      <c r="L514" t="str">
        <f>IFERROR(VLOOKUP(D514,Products!$A$2:$F$61,3,FALSE()),"")</f>
        <v>Grocery</v>
      </c>
      <c r="M514" t="str">
        <f>IFERROR(VLOOKUP(E514,Sales_Reps!$A$2:$C$31,3,FALSE()),"")</f>
        <v>South</v>
      </c>
      <c r="N514">
        <f>IFERROR(VLOOKUP(D514,Products!$A$2:$F$61,4,FALSE()),"")</f>
        <v>2027</v>
      </c>
      <c r="O514" t="str">
        <f>IFERROR(VLOOKUP(C514,Customers!$A$2:$F$301,5,FALSE()),"")</f>
        <v>Retail</v>
      </c>
      <c r="P514">
        <f>IFERROR(VLOOKUP(C514,Customers!$A$2:$F$301,3,FALSE()),"")</f>
        <v>65</v>
      </c>
      <c r="Q514">
        <f t="shared" ref="Q514:Q577" si="24">IFERROR((G514-N514)/G514,"")</f>
        <v>0.50196560196560192</v>
      </c>
      <c r="R514">
        <f>IF(AND(COUNTIF($A$2:$A$2027,A514)&gt;1,COUNTIF($A$2:A514,A514)=1),1,0)</f>
        <v>0</v>
      </c>
      <c r="S514" t="b">
        <f>IFERROR(VLOOKUP(D514,Products!$A$2:$F$61,6,FALSE()),"")</f>
        <v>1</v>
      </c>
      <c r="T514" t="str">
        <f>IF(COUNTIF(Customers!$A$2:$A$301,C514)=0,"Missing","OK")</f>
        <v>OK</v>
      </c>
      <c r="U514" t="str">
        <f t="shared" ref="U514:U577" si="25">IF(K514="","",PROPER(TRIM(K514)))</f>
        <v>Pune</v>
      </c>
      <c r="V514">
        <f t="shared" ref="V514:V577" si="26">IF(AND(U514="Bengaluru",L514="Grocery"),I514,0)</f>
        <v>0</v>
      </c>
    </row>
    <row r="515" spans="1:22" ht="15" customHeight="1" x14ac:dyDescent="0.35">
      <c r="A515" s="3" t="s">
        <v>888</v>
      </c>
      <c r="B515" s="4">
        <v>45613</v>
      </c>
      <c r="C515" s="3" t="s">
        <v>762</v>
      </c>
      <c r="D515" s="3" t="s">
        <v>112</v>
      </c>
      <c r="E515" s="3" t="s">
        <v>154</v>
      </c>
      <c r="F515" s="5">
        <v>5</v>
      </c>
      <c r="G515" s="5">
        <v>2720</v>
      </c>
      <c r="H515" s="5">
        <v>10.3</v>
      </c>
      <c r="I515" s="5">
        <v>12199.2</v>
      </c>
      <c r="J515" s="3" t="s">
        <v>79</v>
      </c>
      <c r="K515" s="3" t="s">
        <v>33</v>
      </c>
      <c r="L515" t="str">
        <f>IFERROR(VLOOKUP(D515,Products!$A$2:$F$61,3,FALSE()),"")</f>
        <v>Apparel</v>
      </c>
      <c r="M515" t="str">
        <f>IFERROR(VLOOKUP(E515,Sales_Reps!$A$2:$C$31,3,FALSE()),"")</f>
        <v>North</v>
      </c>
      <c r="N515">
        <f>IFERROR(VLOOKUP(D515,Products!$A$2:$F$61,4,FALSE()),"")</f>
        <v>1962</v>
      </c>
      <c r="O515" t="str">
        <f>IFERROR(VLOOKUP(C515,Customers!$A$2:$F$301,5,FALSE()),"")</f>
        <v>Retail</v>
      </c>
      <c r="P515">
        <f>IFERROR(VLOOKUP(C515,Customers!$A$2:$F$301,3,FALSE()),"")</f>
        <v>32</v>
      </c>
      <c r="Q515">
        <f t="shared" si="24"/>
        <v>0.2786764705882353</v>
      </c>
      <c r="R515">
        <f>IF(AND(COUNTIF($A$2:$A$2027,A515)&gt;1,COUNTIF($A$2:A515,A515)=1),1,0)</f>
        <v>0</v>
      </c>
      <c r="S515" t="b">
        <f>IFERROR(VLOOKUP(D515,Products!$A$2:$F$61,6,FALSE()),"")</f>
        <v>1</v>
      </c>
      <c r="T515" t="str">
        <f>IF(COUNTIF(Customers!$A$2:$A$301,C515)=0,"Missing","OK")</f>
        <v>OK</v>
      </c>
      <c r="U515" t="str">
        <f t="shared" si="25"/>
        <v>Chennai</v>
      </c>
      <c r="V515">
        <f t="shared" si="26"/>
        <v>0</v>
      </c>
    </row>
    <row r="516" spans="1:22" ht="15" customHeight="1" x14ac:dyDescent="0.35">
      <c r="A516" s="3" t="s">
        <v>889</v>
      </c>
      <c r="B516" s="4">
        <v>45484</v>
      </c>
      <c r="C516" s="3" t="s">
        <v>696</v>
      </c>
      <c r="D516" s="3" t="s">
        <v>134</v>
      </c>
      <c r="E516" s="3" t="s">
        <v>168</v>
      </c>
      <c r="F516" s="5">
        <v>6</v>
      </c>
      <c r="G516" s="5">
        <v>2860</v>
      </c>
      <c r="H516" s="5">
        <v>28.9</v>
      </c>
      <c r="I516" s="5">
        <v>12200.76</v>
      </c>
      <c r="J516" s="3" t="s">
        <v>26</v>
      </c>
      <c r="K516" s="3" t="s">
        <v>56</v>
      </c>
      <c r="L516" t="str">
        <f>IFERROR(VLOOKUP(D516,Products!$A$2:$F$61,3,FALSE()),"")</f>
        <v>Sports</v>
      </c>
      <c r="M516" t="str">
        <f>IFERROR(VLOOKUP(E516,Sales_Reps!$A$2:$C$31,3,FALSE()),"")</f>
        <v>West</v>
      </c>
      <c r="N516">
        <f>IFERROR(VLOOKUP(D516,Products!$A$2:$F$61,4,FALSE()),"")</f>
        <v>2028</v>
      </c>
      <c r="O516" t="str">
        <f>IFERROR(VLOOKUP(C516,Customers!$A$2:$F$301,5,FALSE()),"")</f>
        <v>Corporate</v>
      </c>
      <c r="P516">
        <f>IFERROR(VLOOKUP(C516,Customers!$A$2:$F$301,3,FALSE()),"")</f>
        <v>43</v>
      </c>
      <c r="Q516">
        <f t="shared" si="24"/>
        <v>0.29090909090909089</v>
      </c>
      <c r="R516">
        <f>IF(AND(COUNTIF($A$2:$A$2027,A516)&gt;1,COUNTIF($A$2:A516,A516)=1),1,0)</f>
        <v>0</v>
      </c>
      <c r="S516" t="b">
        <f>IFERROR(VLOOKUP(D516,Products!$A$2:$F$61,6,FALSE()),"")</f>
        <v>1</v>
      </c>
      <c r="T516" t="str">
        <f>IF(COUNTIF(Customers!$A$2:$A$301,C516)=0,"Missing","OK")</f>
        <v>OK</v>
      </c>
      <c r="U516" t="str">
        <f t="shared" si="25"/>
        <v>Bengaluru</v>
      </c>
      <c r="V516">
        <f t="shared" si="26"/>
        <v>0</v>
      </c>
    </row>
    <row r="517" spans="1:22" ht="15" customHeight="1" x14ac:dyDescent="0.35">
      <c r="A517" s="3" t="s">
        <v>890</v>
      </c>
      <c r="B517" s="4">
        <v>45656</v>
      </c>
      <c r="C517" s="3" t="s">
        <v>891</v>
      </c>
      <c r="D517" s="3" t="s">
        <v>24</v>
      </c>
      <c r="E517" s="3" t="s">
        <v>264</v>
      </c>
      <c r="F517" s="5">
        <v>5</v>
      </c>
      <c r="G517" s="5">
        <v>3620</v>
      </c>
      <c r="H517" s="5">
        <v>18.2</v>
      </c>
      <c r="I517" s="5">
        <v>14805.8</v>
      </c>
      <c r="J517" s="3" t="s">
        <v>26</v>
      </c>
      <c r="K517" s="3" t="s">
        <v>72</v>
      </c>
      <c r="L517" t="str">
        <f>IFERROR(VLOOKUP(D517,Products!$A$2:$F$61,3,FALSE()),"")</f>
        <v>Apparel</v>
      </c>
      <c r="M517" t="str">
        <f>IFERROR(VLOOKUP(E517,Sales_Reps!$A$2:$C$31,3,FALSE()),"")</f>
        <v>South</v>
      </c>
      <c r="N517">
        <f>IFERROR(VLOOKUP(D517,Products!$A$2:$F$61,4,FALSE()),"")</f>
        <v>2509</v>
      </c>
      <c r="O517" t="str">
        <f>IFERROR(VLOOKUP(C517,Customers!$A$2:$F$301,5,FALSE()),"")</f>
        <v>Retail</v>
      </c>
      <c r="P517">
        <f>IFERROR(VLOOKUP(C517,Customers!$A$2:$F$301,3,FALSE()),"")</f>
        <v>35</v>
      </c>
      <c r="Q517">
        <f t="shared" si="24"/>
        <v>0.3069060773480663</v>
      </c>
      <c r="R517">
        <f>IF(AND(COUNTIF($A$2:$A$2027,A517)&gt;1,COUNTIF($A$2:A517,A517)=1),1,0)</f>
        <v>0</v>
      </c>
      <c r="S517" t="b">
        <f>IFERROR(VLOOKUP(D517,Products!$A$2:$F$61,6,FALSE()),"")</f>
        <v>1</v>
      </c>
      <c r="T517" t="str">
        <f>IF(COUNTIF(Customers!$A$2:$A$301,C517)=0,"Missing","OK")</f>
        <v>OK</v>
      </c>
      <c r="U517" t="str">
        <f t="shared" si="25"/>
        <v>Hyderabad</v>
      </c>
      <c r="V517">
        <f t="shared" si="26"/>
        <v>0</v>
      </c>
    </row>
    <row r="518" spans="1:22" ht="15" customHeight="1" x14ac:dyDescent="0.35">
      <c r="A518" s="3" t="s">
        <v>892</v>
      </c>
      <c r="B518" s="4">
        <v>45432</v>
      </c>
      <c r="C518" s="3" t="s">
        <v>92</v>
      </c>
      <c r="D518" s="3" t="s">
        <v>115</v>
      </c>
      <c r="E518" s="3" t="s">
        <v>242</v>
      </c>
      <c r="F518" s="5">
        <v>3</v>
      </c>
      <c r="G518" s="5">
        <v>1650</v>
      </c>
      <c r="H518" s="5">
        <v>10.7</v>
      </c>
      <c r="I518" s="5">
        <v>4420.3500000000004</v>
      </c>
      <c r="J518" s="3" t="s">
        <v>26</v>
      </c>
      <c r="K518" s="3" t="s">
        <v>56</v>
      </c>
      <c r="L518" t="str">
        <f>IFERROR(VLOOKUP(D518,Products!$A$2:$F$61,3,FALSE()),"")</f>
        <v>Beauty</v>
      </c>
      <c r="M518" t="str">
        <f>IFERROR(VLOOKUP(E518,Sales_Reps!$A$2:$C$31,3,FALSE()),"")</f>
        <v>East</v>
      </c>
      <c r="N518">
        <f>IFERROR(VLOOKUP(D518,Products!$A$2:$F$61,4,FALSE()),"")</f>
        <v>1222</v>
      </c>
      <c r="O518" t="str">
        <f>IFERROR(VLOOKUP(C518,Customers!$A$2:$F$301,5,FALSE()),"")</f>
        <v>SMB</v>
      </c>
      <c r="P518">
        <f>IFERROR(VLOOKUP(C518,Customers!$A$2:$F$301,3,FALSE()),"")</f>
        <v>46</v>
      </c>
      <c r="Q518">
        <f t="shared" si="24"/>
        <v>0.2593939393939394</v>
      </c>
      <c r="R518">
        <f>IF(AND(COUNTIF($A$2:$A$2027,A518)&gt;1,COUNTIF($A$2:A518,A518)=1),1,0)</f>
        <v>0</v>
      </c>
      <c r="S518" t="b">
        <f>IFERROR(VLOOKUP(D518,Products!$A$2:$F$61,6,FALSE()),"")</f>
        <v>1</v>
      </c>
      <c r="T518" t="str">
        <f>IF(COUNTIF(Customers!$A$2:$A$301,C518)=0,"Missing","OK")</f>
        <v>OK</v>
      </c>
      <c r="U518" t="str">
        <f t="shared" si="25"/>
        <v>Bengaluru</v>
      </c>
      <c r="V518">
        <f t="shared" si="26"/>
        <v>0</v>
      </c>
    </row>
    <row r="519" spans="1:22" ht="15" customHeight="1" x14ac:dyDescent="0.35">
      <c r="A519" s="3" t="s">
        <v>893</v>
      </c>
      <c r="B519" s="4">
        <v>45495</v>
      </c>
      <c r="C519" s="3" t="s">
        <v>483</v>
      </c>
      <c r="D519" s="3" t="s">
        <v>86</v>
      </c>
      <c r="E519" s="3" t="s">
        <v>168</v>
      </c>
      <c r="F519" s="5">
        <v>8</v>
      </c>
      <c r="G519" s="5">
        <v>190</v>
      </c>
      <c r="H519" s="5">
        <v>18</v>
      </c>
      <c r="I519" s="5">
        <v>1246.4000000000001</v>
      </c>
      <c r="J519" s="3" t="s">
        <v>32</v>
      </c>
      <c r="K519" s="3" t="s">
        <v>72</v>
      </c>
      <c r="L519" t="str">
        <f>IFERROR(VLOOKUP(D519,Products!$A$2:$F$61,3,FALSE()),"")</f>
        <v>Sports</v>
      </c>
      <c r="M519" t="str">
        <f>IFERROR(VLOOKUP(E519,Sales_Reps!$A$2:$C$31,3,FALSE()),"")</f>
        <v>West</v>
      </c>
      <c r="N519">
        <f>IFERROR(VLOOKUP(D519,Products!$A$2:$F$61,4,FALSE()),"")</f>
        <v>147</v>
      </c>
      <c r="O519" t="str">
        <f>IFERROR(VLOOKUP(C519,Customers!$A$2:$F$301,5,FALSE()),"")</f>
        <v>Retail</v>
      </c>
      <c r="P519">
        <f>IFERROR(VLOOKUP(C519,Customers!$A$2:$F$301,3,FALSE()),"")</f>
        <v>25</v>
      </c>
      <c r="Q519">
        <f t="shared" si="24"/>
        <v>0.22631578947368422</v>
      </c>
      <c r="R519">
        <f>IF(AND(COUNTIF($A$2:$A$2027,A519)&gt;1,COUNTIF($A$2:A519,A519)=1),1,0)</f>
        <v>0</v>
      </c>
      <c r="S519" t="b">
        <f>IFERROR(VLOOKUP(D519,Products!$A$2:$F$61,6,FALSE()),"")</f>
        <v>1</v>
      </c>
      <c r="T519" t="str">
        <f>IF(COUNTIF(Customers!$A$2:$A$301,C519)=0,"Missing","OK")</f>
        <v>OK</v>
      </c>
      <c r="U519" t="str">
        <f t="shared" si="25"/>
        <v>Hyderabad</v>
      </c>
      <c r="V519">
        <f t="shared" si="26"/>
        <v>0</v>
      </c>
    </row>
    <row r="520" spans="1:22" ht="15" customHeight="1" x14ac:dyDescent="0.35">
      <c r="A520" s="3" t="s">
        <v>894</v>
      </c>
      <c r="B520" s="4">
        <v>45443</v>
      </c>
      <c r="C520" s="3" t="s">
        <v>895</v>
      </c>
      <c r="D520" s="3" t="s">
        <v>325</v>
      </c>
      <c r="E520" s="3" t="s">
        <v>168</v>
      </c>
      <c r="F520" s="5">
        <v>7</v>
      </c>
      <c r="G520" s="5">
        <v>2290</v>
      </c>
      <c r="H520" s="5">
        <v>12.5</v>
      </c>
      <c r="I520" s="5">
        <v>14026.25</v>
      </c>
      <c r="J520" s="3" t="s">
        <v>26</v>
      </c>
      <c r="K520" s="3" t="s">
        <v>51</v>
      </c>
      <c r="L520" t="str">
        <f>IFERROR(VLOOKUP(D520,Products!$A$2:$F$61,3,FALSE()),"")</f>
        <v>Beauty</v>
      </c>
      <c r="M520" t="str">
        <f>IFERROR(VLOOKUP(E520,Sales_Reps!$A$2:$C$31,3,FALSE()),"")</f>
        <v>West</v>
      </c>
      <c r="N520">
        <f>IFERROR(VLOOKUP(D520,Products!$A$2:$F$61,4,FALSE()),"")</f>
        <v>1219</v>
      </c>
      <c r="O520" t="str">
        <f>IFERROR(VLOOKUP(C520,Customers!$A$2:$F$301,5,FALSE()),"")</f>
        <v>Retail</v>
      </c>
      <c r="P520">
        <f>IFERROR(VLOOKUP(C520,Customers!$A$2:$F$301,3,FALSE()),"")</f>
        <v>49</v>
      </c>
      <c r="Q520">
        <f t="shared" si="24"/>
        <v>0.46768558951965067</v>
      </c>
      <c r="R520">
        <f>IF(AND(COUNTIF($A$2:$A$2027,A520)&gt;1,COUNTIF($A$2:A520,A520)=1),1,0)</f>
        <v>0</v>
      </c>
      <c r="S520" t="b">
        <f>IFERROR(VLOOKUP(D520,Products!$A$2:$F$61,6,FALSE()),"")</f>
        <v>1</v>
      </c>
      <c r="T520" t="str">
        <f>IF(COUNTIF(Customers!$A$2:$A$301,C520)=0,"Missing","OK")</f>
        <v>OK</v>
      </c>
      <c r="U520" t="str">
        <f t="shared" si="25"/>
        <v>Mumbai</v>
      </c>
      <c r="V520">
        <f t="shared" si="26"/>
        <v>0</v>
      </c>
    </row>
    <row r="521" spans="1:22" ht="15" customHeight="1" x14ac:dyDescent="0.35">
      <c r="A521" s="3" t="s">
        <v>896</v>
      </c>
      <c r="B521" s="4">
        <v>45638</v>
      </c>
      <c r="C521" s="3" t="s">
        <v>125</v>
      </c>
      <c r="D521" s="3" t="s">
        <v>303</v>
      </c>
      <c r="E521" s="3" t="s">
        <v>177</v>
      </c>
      <c r="F521" s="5">
        <v>2</v>
      </c>
      <c r="G521" s="5">
        <v>5330</v>
      </c>
      <c r="H521" s="5">
        <v>26.5</v>
      </c>
      <c r="I521" s="5">
        <v>7835.1</v>
      </c>
      <c r="J521" s="3" t="s">
        <v>26</v>
      </c>
      <c r="K521" s="3" t="s">
        <v>33</v>
      </c>
      <c r="L521" t="str">
        <f>IFERROR(VLOOKUP(D521,Products!$A$2:$F$61,3,FALSE()),"")</f>
        <v>Electronics</v>
      </c>
      <c r="M521" t="str">
        <f>IFERROR(VLOOKUP(E521,Sales_Reps!$A$2:$C$31,3,FALSE()),"")</f>
        <v>East</v>
      </c>
      <c r="N521">
        <f>IFERROR(VLOOKUP(D521,Products!$A$2:$F$61,4,FALSE()),"")</f>
        <v>2405</v>
      </c>
      <c r="O521" t="str">
        <f>IFERROR(VLOOKUP(C521,Customers!$A$2:$F$301,5,FALSE()),"")</f>
        <v>SMB</v>
      </c>
      <c r="P521">
        <f>IFERROR(VLOOKUP(C521,Customers!$A$2:$F$301,3,FALSE()),"")</f>
        <v>52</v>
      </c>
      <c r="Q521">
        <f t="shared" si="24"/>
        <v>0.54878048780487809</v>
      </c>
      <c r="R521">
        <f>IF(AND(COUNTIF($A$2:$A$2027,A521)&gt;1,COUNTIF($A$2:A521,A521)=1),1,0)</f>
        <v>0</v>
      </c>
      <c r="S521" t="b">
        <f>IFERROR(VLOOKUP(D521,Products!$A$2:$F$61,6,FALSE()),"")</f>
        <v>1</v>
      </c>
      <c r="T521" t="str">
        <f>IF(COUNTIF(Customers!$A$2:$A$301,C521)=0,"Missing","OK")</f>
        <v>OK</v>
      </c>
      <c r="U521" t="str">
        <f t="shared" si="25"/>
        <v>Chennai</v>
      </c>
      <c r="V521">
        <f t="shared" si="26"/>
        <v>0</v>
      </c>
    </row>
    <row r="522" spans="1:22" ht="15" customHeight="1" x14ac:dyDescent="0.35">
      <c r="A522" s="3" t="s">
        <v>897</v>
      </c>
      <c r="B522" s="4">
        <v>45476</v>
      </c>
      <c r="C522" s="3" t="s">
        <v>898</v>
      </c>
      <c r="D522" s="3" t="s">
        <v>303</v>
      </c>
      <c r="E522" s="3" t="s">
        <v>127</v>
      </c>
      <c r="F522" s="5">
        <v>4</v>
      </c>
      <c r="G522" s="5">
        <v>5330</v>
      </c>
      <c r="H522" s="5">
        <v>25.6</v>
      </c>
      <c r="I522" s="5">
        <v>15862.08</v>
      </c>
      <c r="J522" s="3" t="s">
        <v>26</v>
      </c>
      <c r="K522" s="3" t="s">
        <v>51</v>
      </c>
      <c r="L522" t="str">
        <f>IFERROR(VLOOKUP(D522,Products!$A$2:$F$61,3,FALSE()),"")</f>
        <v>Electronics</v>
      </c>
      <c r="M522" t="str">
        <f>IFERROR(VLOOKUP(E522,Sales_Reps!$A$2:$C$31,3,FALSE()),"")</f>
        <v>South</v>
      </c>
      <c r="N522">
        <f>IFERROR(VLOOKUP(D522,Products!$A$2:$F$61,4,FALSE()),"")</f>
        <v>2405</v>
      </c>
      <c r="O522" t="str">
        <f>IFERROR(VLOOKUP(C522,Customers!$A$2:$F$301,5,FALSE()),"")</f>
        <v>SMB</v>
      </c>
      <c r="P522">
        <f>IFERROR(VLOOKUP(C522,Customers!$A$2:$F$301,3,FALSE()),"")</f>
        <v>65</v>
      </c>
      <c r="Q522">
        <f t="shared" si="24"/>
        <v>0.54878048780487809</v>
      </c>
      <c r="R522">
        <f>IF(AND(COUNTIF($A$2:$A$2027,A522)&gt;1,COUNTIF($A$2:A522,A522)=1),1,0)</f>
        <v>0</v>
      </c>
      <c r="S522" t="b">
        <f>IFERROR(VLOOKUP(D522,Products!$A$2:$F$61,6,FALSE()),"")</f>
        <v>1</v>
      </c>
      <c r="T522" t="str">
        <f>IF(COUNTIF(Customers!$A$2:$A$301,C522)=0,"Missing","OK")</f>
        <v>OK</v>
      </c>
      <c r="U522" t="str">
        <f t="shared" si="25"/>
        <v>Mumbai</v>
      </c>
      <c r="V522">
        <f t="shared" si="26"/>
        <v>0</v>
      </c>
    </row>
    <row r="523" spans="1:22" ht="15" customHeight="1" x14ac:dyDescent="0.35">
      <c r="A523" s="3" t="s">
        <v>899</v>
      </c>
      <c r="B523" s="4">
        <v>45566</v>
      </c>
      <c r="C523" s="3" t="s">
        <v>228</v>
      </c>
      <c r="D523" s="3" t="s">
        <v>382</v>
      </c>
      <c r="E523" s="3" t="s">
        <v>42</v>
      </c>
      <c r="F523" s="5">
        <v>4</v>
      </c>
      <c r="G523" s="5">
        <v>5080</v>
      </c>
      <c r="H523" s="5">
        <v>28.6</v>
      </c>
      <c r="I523" s="5">
        <v>14508.48</v>
      </c>
      <c r="J523" s="3" t="s">
        <v>26</v>
      </c>
      <c r="K523" s="3" t="s">
        <v>33</v>
      </c>
      <c r="L523" t="str">
        <f>IFERROR(VLOOKUP(D523,Products!$A$2:$F$61,3,FALSE()),"")</f>
        <v>Home</v>
      </c>
      <c r="M523" t="str">
        <f>IFERROR(VLOOKUP(E523,Sales_Reps!$A$2:$C$31,3,FALSE()),"")</f>
        <v>North</v>
      </c>
      <c r="N523">
        <f>IFERROR(VLOOKUP(D523,Products!$A$2:$F$61,4,FALSE()),"")</f>
        <v>2459</v>
      </c>
      <c r="O523" t="str">
        <f>IFERROR(VLOOKUP(C523,Customers!$A$2:$F$301,5,FALSE()),"")</f>
        <v>Retail</v>
      </c>
      <c r="P523">
        <f>IFERROR(VLOOKUP(C523,Customers!$A$2:$F$301,3,FALSE()),"")</f>
        <v>38</v>
      </c>
      <c r="Q523">
        <f t="shared" si="24"/>
        <v>0.51594488188976373</v>
      </c>
      <c r="R523">
        <f>IF(AND(COUNTIF($A$2:$A$2027,A523)&gt;1,COUNTIF($A$2:A523,A523)=1),1,0)</f>
        <v>0</v>
      </c>
      <c r="S523" t="b">
        <f>IFERROR(VLOOKUP(D523,Products!$A$2:$F$61,6,FALSE()),"")</f>
        <v>1</v>
      </c>
      <c r="T523" t="str">
        <f>IF(COUNTIF(Customers!$A$2:$A$301,C523)=0,"Missing","OK")</f>
        <v>OK</v>
      </c>
      <c r="U523" t="str">
        <f t="shared" si="25"/>
        <v>Chennai</v>
      </c>
      <c r="V523">
        <f t="shared" si="26"/>
        <v>0</v>
      </c>
    </row>
    <row r="524" spans="1:22" ht="15" customHeight="1" x14ac:dyDescent="0.35">
      <c r="A524" s="3" t="s">
        <v>900</v>
      </c>
      <c r="B524" s="4">
        <v>45392</v>
      </c>
      <c r="C524" s="3" t="s">
        <v>418</v>
      </c>
      <c r="D524" s="3" t="s">
        <v>49</v>
      </c>
      <c r="E524" s="3" t="s">
        <v>236</v>
      </c>
      <c r="F524" s="5">
        <v>4</v>
      </c>
      <c r="G524" s="5">
        <v>370</v>
      </c>
      <c r="H524" s="5">
        <v>12.6</v>
      </c>
      <c r="I524" s="5">
        <v>1293.52</v>
      </c>
      <c r="J524" s="3" t="s">
        <v>32</v>
      </c>
      <c r="K524" s="3" t="s">
        <v>27</v>
      </c>
      <c r="L524" t="str">
        <f>IFERROR(VLOOKUP(D524,Products!$A$2:$F$61,3,FALSE()),"")</f>
        <v>Home</v>
      </c>
      <c r="M524" t="str">
        <f>IFERROR(VLOOKUP(E524,Sales_Reps!$A$2:$C$31,3,FALSE()),"")</f>
        <v>North</v>
      </c>
      <c r="N524">
        <f>IFERROR(VLOOKUP(D524,Products!$A$2:$F$61,4,FALSE()),"")</f>
        <v>288</v>
      </c>
      <c r="O524" t="str">
        <f>IFERROR(VLOOKUP(C524,Customers!$A$2:$F$301,5,FALSE()),"")</f>
        <v>SMB</v>
      </c>
      <c r="P524">
        <f>IFERROR(VLOOKUP(C524,Customers!$A$2:$F$301,3,FALSE()),"")</f>
        <v>49</v>
      </c>
      <c r="Q524">
        <f t="shared" si="24"/>
        <v>0.22162162162162163</v>
      </c>
      <c r="R524">
        <f>IF(AND(COUNTIF($A$2:$A$2027,A524)&gt;1,COUNTIF($A$2:A524,A524)=1),1,0)</f>
        <v>0</v>
      </c>
      <c r="S524" t="b">
        <f>IFERROR(VLOOKUP(D524,Products!$A$2:$F$61,6,FALSE()),"")</f>
        <v>1</v>
      </c>
      <c r="T524" t="str">
        <f>IF(COUNTIF(Customers!$A$2:$A$301,C524)=0,"Missing","OK")</f>
        <v>OK</v>
      </c>
      <c r="U524" t="str">
        <f t="shared" si="25"/>
        <v>Pune</v>
      </c>
      <c r="V524">
        <f t="shared" si="26"/>
        <v>0</v>
      </c>
    </row>
    <row r="525" spans="1:22" ht="15" customHeight="1" x14ac:dyDescent="0.35">
      <c r="A525" s="3" t="s">
        <v>901</v>
      </c>
      <c r="B525" s="4">
        <v>45561</v>
      </c>
      <c r="C525" s="3" t="s">
        <v>902</v>
      </c>
      <c r="D525" s="3" t="s">
        <v>36</v>
      </c>
      <c r="E525" s="3" t="s">
        <v>191</v>
      </c>
      <c r="F525" s="5">
        <v>9</v>
      </c>
      <c r="G525" s="5">
        <v>470</v>
      </c>
      <c r="H525" s="5">
        <v>3.6</v>
      </c>
      <c r="I525" s="5">
        <v>4077.72</v>
      </c>
      <c r="J525" s="3" t="s">
        <v>26</v>
      </c>
      <c r="K525" s="3" t="s">
        <v>33</v>
      </c>
      <c r="L525" t="str">
        <f>IFERROR(VLOOKUP(D525,Products!$A$2:$F$61,3,FALSE()),"")</f>
        <v>Sports</v>
      </c>
      <c r="M525" t="str">
        <f>IFERROR(VLOOKUP(E525,Sales_Reps!$A$2:$C$31,3,FALSE()),"")</f>
        <v>South</v>
      </c>
      <c r="N525">
        <f>IFERROR(VLOOKUP(D525,Products!$A$2:$F$61,4,FALSE()),"")</f>
        <v>302</v>
      </c>
      <c r="O525" t="str">
        <f>IFERROR(VLOOKUP(C525,Customers!$A$2:$F$301,5,FALSE()),"")</f>
        <v>Retail</v>
      </c>
      <c r="P525">
        <f>IFERROR(VLOOKUP(C525,Customers!$A$2:$F$301,3,FALSE()),"")</f>
        <v>31</v>
      </c>
      <c r="Q525">
        <f t="shared" si="24"/>
        <v>0.35744680851063831</v>
      </c>
      <c r="R525">
        <f>IF(AND(COUNTIF($A$2:$A$2027,A525)&gt;1,COUNTIF($A$2:A525,A525)=1),1,0)</f>
        <v>0</v>
      </c>
      <c r="S525" t="b">
        <f>IFERROR(VLOOKUP(D525,Products!$A$2:$F$61,6,FALSE()),"")</f>
        <v>0</v>
      </c>
      <c r="T525" t="str">
        <f>IF(COUNTIF(Customers!$A$2:$A$301,C525)=0,"Missing","OK")</f>
        <v>OK</v>
      </c>
      <c r="U525" t="str">
        <f t="shared" si="25"/>
        <v>Chennai</v>
      </c>
      <c r="V525">
        <f t="shared" si="26"/>
        <v>0</v>
      </c>
    </row>
    <row r="526" spans="1:22" ht="15" customHeight="1" x14ac:dyDescent="0.35">
      <c r="A526" s="3" t="s">
        <v>903</v>
      </c>
      <c r="B526" s="4">
        <v>45634</v>
      </c>
      <c r="C526" s="3" t="s">
        <v>582</v>
      </c>
      <c r="D526" s="3" t="s">
        <v>299</v>
      </c>
      <c r="E526" s="3" t="s">
        <v>282</v>
      </c>
      <c r="F526" s="5">
        <v>4</v>
      </c>
      <c r="G526" s="5">
        <v>5410</v>
      </c>
      <c r="H526" s="5">
        <v>11.3</v>
      </c>
      <c r="I526" s="5">
        <v>19194.68</v>
      </c>
      <c r="J526" s="3" t="s">
        <v>83</v>
      </c>
      <c r="K526" s="3" t="s">
        <v>51</v>
      </c>
      <c r="L526" t="str">
        <f>IFERROR(VLOOKUP(D526,Products!$A$2:$F$61,3,FALSE()),"")</f>
        <v>Sports</v>
      </c>
      <c r="M526" t="str">
        <f>IFERROR(VLOOKUP(E526,Sales_Reps!$A$2:$C$31,3,FALSE()),"")</f>
        <v>West</v>
      </c>
      <c r="N526">
        <f>IFERROR(VLOOKUP(D526,Products!$A$2:$F$61,4,FALSE()),"")</f>
        <v>2265</v>
      </c>
      <c r="O526" t="str">
        <f>IFERROR(VLOOKUP(C526,Customers!$A$2:$F$301,5,FALSE()),"")</f>
        <v>SMB</v>
      </c>
      <c r="P526">
        <f>IFERROR(VLOOKUP(C526,Customers!$A$2:$F$301,3,FALSE()),"")</f>
        <v>27</v>
      </c>
      <c r="Q526">
        <f t="shared" si="24"/>
        <v>0.58133086876155271</v>
      </c>
      <c r="R526">
        <f>IF(AND(COUNTIF($A$2:$A$2027,A526)&gt;1,COUNTIF($A$2:A526,A526)=1),1,0)</f>
        <v>0</v>
      </c>
      <c r="S526" t="b">
        <f>IFERROR(VLOOKUP(D526,Products!$A$2:$F$61,6,FALSE()),"")</f>
        <v>1</v>
      </c>
      <c r="T526" t="str">
        <f>IF(COUNTIF(Customers!$A$2:$A$301,C526)=0,"Missing","OK")</f>
        <v>OK</v>
      </c>
      <c r="U526" t="str">
        <f t="shared" si="25"/>
        <v>Mumbai</v>
      </c>
      <c r="V526">
        <f t="shared" si="26"/>
        <v>0</v>
      </c>
    </row>
    <row r="527" spans="1:22" ht="15" customHeight="1" x14ac:dyDescent="0.35">
      <c r="A527" s="3" t="s">
        <v>904</v>
      </c>
      <c r="B527" s="4">
        <v>45311</v>
      </c>
      <c r="C527" s="3" t="s">
        <v>905</v>
      </c>
      <c r="D527" s="3" t="s">
        <v>24</v>
      </c>
      <c r="E527" s="3" t="s">
        <v>25</v>
      </c>
      <c r="F527" s="5">
        <v>10</v>
      </c>
      <c r="G527" s="5">
        <v>3620</v>
      </c>
      <c r="H527" s="5">
        <v>2.5</v>
      </c>
      <c r="I527" s="5">
        <v>35295</v>
      </c>
      <c r="J527" s="3" t="s">
        <v>26</v>
      </c>
      <c r="K527" s="3" t="s">
        <v>72</v>
      </c>
      <c r="L527" t="str">
        <f>IFERROR(VLOOKUP(D527,Products!$A$2:$F$61,3,FALSE()),"")</f>
        <v>Apparel</v>
      </c>
      <c r="M527" t="str">
        <f>IFERROR(VLOOKUP(E527,Sales_Reps!$A$2:$C$31,3,FALSE()),"")</f>
        <v>North</v>
      </c>
      <c r="N527">
        <f>IFERROR(VLOOKUP(D527,Products!$A$2:$F$61,4,FALSE()),"")</f>
        <v>2509</v>
      </c>
      <c r="O527" t="str">
        <f>IFERROR(VLOOKUP(C527,Customers!$A$2:$F$301,5,FALSE()),"")</f>
        <v>SMB</v>
      </c>
      <c r="P527">
        <f>IFERROR(VLOOKUP(C527,Customers!$A$2:$F$301,3,FALSE()),"")</f>
        <v>31</v>
      </c>
      <c r="Q527">
        <f t="shared" si="24"/>
        <v>0.3069060773480663</v>
      </c>
      <c r="R527">
        <f>IF(AND(COUNTIF($A$2:$A$2027,A527)&gt;1,COUNTIF($A$2:A527,A527)=1),1,0)</f>
        <v>0</v>
      </c>
      <c r="S527" t="b">
        <f>IFERROR(VLOOKUP(D527,Products!$A$2:$F$61,6,FALSE()),"")</f>
        <v>1</v>
      </c>
      <c r="T527" t="str">
        <f>IF(COUNTIF(Customers!$A$2:$A$301,C527)=0,"Missing","OK")</f>
        <v>OK</v>
      </c>
      <c r="U527" t="str">
        <f t="shared" si="25"/>
        <v>Hyderabad</v>
      </c>
      <c r="V527">
        <f t="shared" si="26"/>
        <v>0</v>
      </c>
    </row>
    <row r="528" spans="1:22" ht="15" customHeight="1" x14ac:dyDescent="0.35">
      <c r="A528" s="3" t="s">
        <v>906</v>
      </c>
      <c r="B528" s="4">
        <v>45380</v>
      </c>
      <c r="C528" s="3" t="s">
        <v>907</v>
      </c>
      <c r="D528" s="3" t="s">
        <v>139</v>
      </c>
      <c r="E528" s="3" t="s">
        <v>109</v>
      </c>
      <c r="F528" s="5">
        <v>1</v>
      </c>
      <c r="G528" s="5">
        <v>2760</v>
      </c>
      <c r="H528" s="5">
        <v>22.2</v>
      </c>
      <c r="I528" s="5">
        <v>2147.2800000000002</v>
      </c>
      <c r="J528" s="3" t="s">
        <v>26</v>
      </c>
      <c r="K528" s="3" t="s">
        <v>38</v>
      </c>
      <c r="L528" t="str">
        <f>IFERROR(VLOOKUP(D528,Products!$A$2:$F$61,3,FALSE()),"")</f>
        <v>Grocery</v>
      </c>
      <c r="M528" t="str">
        <f>IFERROR(VLOOKUP(E528,Sales_Reps!$A$2:$C$31,3,FALSE()),"")</f>
        <v>West</v>
      </c>
      <c r="N528">
        <f>IFERROR(VLOOKUP(D528,Products!$A$2:$F$61,4,FALSE()),"")</f>
        <v>1435</v>
      </c>
      <c r="O528" t="str">
        <f>IFERROR(VLOOKUP(C528,Customers!$A$2:$F$301,5,FALSE()),"")</f>
        <v>Retail</v>
      </c>
      <c r="P528">
        <f>IFERROR(VLOOKUP(C528,Customers!$A$2:$F$301,3,FALSE()),"")</f>
        <v>47</v>
      </c>
      <c r="Q528">
        <f t="shared" si="24"/>
        <v>0.48007246376811596</v>
      </c>
      <c r="R528">
        <f>IF(AND(COUNTIF($A$2:$A$2027,A528)&gt;1,COUNTIF($A$2:A528,A528)=1),1,0)</f>
        <v>0</v>
      </c>
      <c r="S528" t="b">
        <f>IFERROR(VLOOKUP(D528,Products!$A$2:$F$61,6,FALSE()),"")</f>
        <v>1</v>
      </c>
      <c r="T528" t="str">
        <f>IF(COUNTIF(Customers!$A$2:$A$301,C528)=0,"Missing","OK")</f>
        <v>OK</v>
      </c>
      <c r="U528" t="str">
        <f t="shared" si="25"/>
        <v>Delhi</v>
      </c>
      <c r="V528">
        <f t="shared" si="26"/>
        <v>0</v>
      </c>
    </row>
    <row r="529" spans="1:22" ht="15" customHeight="1" x14ac:dyDescent="0.35">
      <c r="A529" s="3" t="s">
        <v>908</v>
      </c>
      <c r="B529" s="4">
        <v>45549</v>
      </c>
      <c r="C529" s="3" t="s">
        <v>909</v>
      </c>
      <c r="D529" s="3" t="s">
        <v>96</v>
      </c>
      <c r="E529" s="3" t="s">
        <v>154</v>
      </c>
      <c r="F529" s="5">
        <v>7</v>
      </c>
      <c r="G529" s="5">
        <v>3450</v>
      </c>
      <c r="H529" s="5">
        <v>8.6</v>
      </c>
      <c r="I529" s="5">
        <v>22073.1</v>
      </c>
      <c r="J529" s="3" t="s">
        <v>26</v>
      </c>
      <c r="K529" s="3" t="s">
        <v>51</v>
      </c>
      <c r="L529" t="str">
        <f>IFERROR(VLOOKUP(D529,Products!$A$2:$F$61,3,FALSE()),"")</f>
        <v>Beauty</v>
      </c>
      <c r="M529" t="str">
        <f>IFERROR(VLOOKUP(E529,Sales_Reps!$A$2:$C$31,3,FALSE()),"")</f>
        <v>North</v>
      </c>
      <c r="N529">
        <f>IFERROR(VLOOKUP(D529,Products!$A$2:$F$61,4,FALSE()),"")</f>
        <v>2420</v>
      </c>
      <c r="O529" t="str">
        <f>IFERROR(VLOOKUP(C529,Customers!$A$2:$F$301,5,FALSE()),"")</f>
        <v>Retail</v>
      </c>
      <c r="P529">
        <f>IFERROR(VLOOKUP(C529,Customers!$A$2:$F$301,3,FALSE()),"")</f>
        <v>40</v>
      </c>
      <c r="Q529">
        <f t="shared" si="24"/>
        <v>0.29855072463768118</v>
      </c>
      <c r="R529">
        <f>IF(AND(COUNTIF($A$2:$A$2027,A529)&gt;1,COUNTIF($A$2:A529,A529)=1),1,0)</f>
        <v>0</v>
      </c>
      <c r="S529" t="b">
        <f>IFERROR(VLOOKUP(D529,Products!$A$2:$F$61,6,FALSE()),"")</f>
        <v>1</v>
      </c>
      <c r="T529" t="str">
        <f>IF(COUNTIF(Customers!$A$2:$A$301,C529)=0,"Missing","OK")</f>
        <v>OK</v>
      </c>
      <c r="U529" t="str">
        <f t="shared" si="25"/>
        <v>Mumbai</v>
      </c>
      <c r="V529">
        <f t="shared" si="26"/>
        <v>0</v>
      </c>
    </row>
    <row r="530" spans="1:22" ht="15" customHeight="1" x14ac:dyDescent="0.35">
      <c r="A530" s="3" t="s">
        <v>910</v>
      </c>
      <c r="B530" s="4">
        <v>45418</v>
      </c>
      <c r="C530" s="3" t="s">
        <v>485</v>
      </c>
      <c r="D530" s="3" t="s">
        <v>41</v>
      </c>
      <c r="E530" s="3" t="s">
        <v>67</v>
      </c>
      <c r="F530" s="5">
        <v>6</v>
      </c>
      <c r="G530" s="5">
        <v>3660</v>
      </c>
      <c r="H530" s="5">
        <v>10.6</v>
      </c>
      <c r="I530" s="5">
        <v>19632.240000000002</v>
      </c>
      <c r="J530" s="3" t="s">
        <v>26</v>
      </c>
      <c r="K530" s="3" t="s">
        <v>38</v>
      </c>
      <c r="L530" t="str">
        <f>IFERROR(VLOOKUP(D530,Products!$A$2:$F$61,3,FALSE()),"")</f>
        <v>Grocery</v>
      </c>
      <c r="M530" t="str">
        <f>IFERROR(VLOOKUP(E530,Sales_Reps!$A$2:$C$31,3,FALSE()),"")</f>
        <v>West</v>
      </c>
      <c r="N530">
        <f>IFERROR(VLOOKUP(D530,Products!$A$2:$F$61,4,FALSE()),"")</f>
        <v>2214</v>
      </c>
      <c r="O530" t="str">
        <f>IFERROR(VLOOKUP(C530,Customers!$A$2:$F$301,5,FALSE()),"")</f>
        <v>SMB</v>
      </c>
      <c r="P530">
        <f>IFERROR(VLOOKUP(C530,Customers!$A$2:$F$301,3,FALSE()),"")</f>
        <v>29</v>
      </c>
      <c r="Q530">
        <f t="shared" si="24"/>
        <v>0.39508196721311473</v>
      </c>
      <c r="R530">
        <f>IF(AND(COUNTIF($A$2:$A$2027,A530)&gt;1,COUNTIF($A$2:A530,A530)=1),1,0)</f>
        <v>0</v>
      </c>
      <c r="S530" t="b">
        <f>IFERROR(VLOOKUP(D530,Products!$A$2:$F$61,6,FALSE()),"")</f>
        <v>0</v>
      </c>
      <c r="T530" t="str">
        <f>IF(COUNTIF(Customers!$A$2:$A$301,C530)=0,"Missing","OK")</f>
        <v>OK</v>
      </c>
      <c r="U530" t="str">
        <f t="shared" si="25"/>
        <v>Delhi</v>
      </c>
      <c r="V530">
        <f t="shared" si="26"/>
        <v>0</v>
      </c>
    </row>
    <row r="531" spans="1:22" ht="15" customHeight="1" x14ac:dyDescent="0.35">
      <c r="A531" s="3" t="s">
        <v>911</v>
      </c>
      <c r="B531" s="4">
        <v>45532</v>
      </c>
      <c r="C531" s="3" t="s">
        <v>463</v>
      </c>
      <c r="D531" s="3" t="s">
        <v>126</v>
      </c>
      <c r="E531" s="3" t="s">
        <v>67</v>
      </c>
      <c r="F531" s="5">
        <v>10</v>
      </c>
      <c r="G531" s="5">
        <v>3570</v>
      </c>
      <c r="H531" s="5">
        <v>1.2</v>
      </c>
      <c r="I531" s="5">
        <v>35271.599999999999</v>
      </c>
      <c r="J531" s="3" t="s">
        <v>26</v>
      </c>
      <c r="K531" s="3" t="s">
        <v>51</v>
      </c>
      <c r="L531" t="str">
        <f>IFERROR(VLOOKUP(D531,Products!$A$2:$F$61,3,FALSE()),"")</f>
        <v>Electronics</v>
      </c>
      <c r="M531" t="str">
        <f>IFERROR(VLOOKUP(E531,Sales_Reps!$A$2:$C$31,3,FALSE()),"")</f>
        <v>West</v>
      </c>
      <c r="N531">
        <f>IFERROR(VLOOKUP(D531,Products!$A$2:$F$61,4,FALSE()),"")</f>
        <v>1665</v>
      </c>
      <c r="O531" t="str">
        <f>IFERROR(VLOOKUP(C531,Customers!$A$2:$F$301,5,FALSE()),"")</f>
        <v>Corporate</v>
      </c>
      <c r="P531">
        <f>IFERROR(VLOOKUP(C531,Customers!$A$2:$F$301,3,FALSE()),"")</f>
        <v>55</v>
      </c>
      <c r="Q531">
        <f t="shared" si="24"/>
        <v>0.53361344537815125</v>
      </c>
      <c r="R531">
        <f>IF(AND(COUNTIF($A$2:$A$2027,A531)&gt;1,COUNTIF($A$2:A531,A531)=1),1,0)</f>
        <v>0</v>
      </c>
      <c r="S531" t="b">
        <f>IFERROR(VLOOKUP(D531,Products!$A$2:$F$61,6,FALSE()),"")</f>
        <v>1</v>
      </c>
      <c r="T531" t="str">
        <f>IF(COUNTIF(Customers!$A$2:$A$301,C531)=0,"Missing","OK")</f>
        <v>OK</v>
      </c>
      <c r="U531" t="str">
        <f t="shared" si="25"/>
        <v>Mumbai</v>
      </c>
      <c r="V531">
        <f t="shared" si="26"/>
        <v>0</v>
      </c>
    </row>
    <row r="532" spans="1:22" ht="15" customHeight="1" x14ac:dyDescent="0.35">
      <c r="A532" s="3" t="s">
        <v>912</v>
      </c>
      <c r="B532" s="4">
        <v>45542</v>
      </c>
      <c r="C532" s="3" t="s">
        <v>359</v>
      </c>
      <c r="D532" s="3" t="s">
        <v>441</v>
      </c>
      <c r="E532" s="3" t="s">
        <v>143</v>
      </c>
      <c r="F532" s="5">
        <v>8</v>
      </c>
      <c r="G532" s="5">
        <v>1090</v>
      </c>
      <c r="H532" s="5">
        <v>13.2</v>
      </c>
      <c r="I532" s="5">
        <v>7568.96</v>
      </c>
      <c r="J532" s="3" t="s">
        <v>83</v>
      </c>
      <c r="K532" s="3" t="s">
        <v>38</v>
      </c>
      <c r="L532" t="str">
        <f>IFERROR(VLOOKUP(D532,Products!$A$2:$F$61,3,FALSE()),"")</f>
        <v>Home</v>
      </c>
      <c r="M532" t="str">
        <f>IFERROR(VLOOKUP(E532,Sales_Reps!$A$2:$C$31,3,FALSE()),"")</f>
        <v>South</v>
      </c>
      <c r="N532">
        <f>IFERROR(VLOOKUP(D532,Products!$A$2:$F$61,4,FALSE()),"")</f>
        <v>464</v>
      </c>
      <c r="O532" t="str">
        <f>IFERROR(VLOOKUP(C532,Customers!$A$2:$F$301,5,FALSE()),"")</f>
        <v>Retail</v>
      </c>
      <c r="P532">
        <f>IFERROR(VLOOKUP(C532,Customers!$A$2:$F$301,3,FALSE()),"")</f>
        <v>44</v>
      </c>
      <c r="Q532">
        <f t="shared" si="24"/>
        <v>0.57431192660550456</v>
      </c>
      <c r="R532">
        <f>IF(AND(COUNTIF($A$2:$A$2027,A532)&gt;1,COUNTIF($A$2:A532,A532)=1),1,0)</f>
        <v>0</v>
      </c>
      <c r="S532" t="b">
        <f>IFERROR(VLOOKUP(D532,Products!$A$2:$F$61,6,FALSE()),"")</f>
        <v>1</v>
      </c>
      <c r="T532" t="str">
        <f>IF(COUNTIF(Customers!$A$2:$A$301,C532)=0,"Missing","OK")</f>
        <v>OK</v>
      </c>
      <c r="U532" t="str">
        <f t="shared" si="25"/>
        <v>Delhi</v>
      </c>
      <c r="V532">
        <f t="shared" si="26"/>
        <v>0</v>
      </c>
    </row>
    <row r="533" spans="1:22" ht="15" customHeight="1" x14ac:dyDescent="0.35">
      <c r="A533" s="3" t="s">
        <v>913</v>
      </c>
      <c r="B533" s="4">
        <v>45320</v>
      </c>
      <c r="C533" s="3" t="s">
        <v>396</v>
      </c>
      <c r="D533" s="3" t="s">
        <v>24</v>
      </c>
      <c r="E533" s="3" t="s">
        <v>242</v>
      </c>
      <c r="F533" s="5">
        <v>8</v>
      </c>
      <c r="G533" s="5">
        <v>3620</v>
      </c>
      <c r="H533" s="5">
        <v>29</v>
      </c>
      <c r="I533" s="5">
        <v>20561.599999999999</v>
      </c>
      <c r="J533" s="3" t="s">
        <v>26</v>
      </c>
      <c r="K533" s="3" t="s">
        <v>27</v>
      </c>
      <c r="L533" t="str">
        <f>IFERROR(VLOOKUP(D533,Products!$A$2:$F$61,3,FALSE()),"")</f>
        <v>Apparel</v>
      </c>
      <c r="M533" t="str">
        <f>IFERROR(VLOOKUP(E533,Sales_Reps!$A$2:$C$31,3,FALSE()),"")</f>
        <v>East</v>
      </c>
      <c r="N533">
        <f>IFERROR(VLOOKUP(D533,Products!$A$2:$F$61,4,FALSE()),"")</f>
        <v>2509</v>
      </c>
      <c r="O533" t="str">
        <f>IFERROR(VLOOKUP(C533,Customers!$A$2:$F$301,5,FALSE()),"")</f>
        <v>Retail</v>
      </c>
      <c r="P533">
        <f>IFERROR(VLOOKUP(C533,Customers!$A$2:$F$301,3,FALSE()),"")</f>
        <v>29</v>
      </c>
      <c r="Q533">
        <f t="shared" si="24"/>
        <v>0.3069060773480663</v>
      </c>
      <c r="R533">
        <f>IF(AND(COUNTIF($A$2:$A$2027,A533)&gt;1,COUNTIF($A$2:A533,A533)=1),1,0)</f>
        <v>0</v>
      </c>
      <c r="S533" t="b">
        <f>IFERROR(VLOOKUP(D533,Products!$A$2:$F$61,6,FALSE()),"")</f>
        <v>1</v>
      </c>
      <c r="T533" t="str">
        <f>IF(COUNTIF(Customers!$A$2:$A$301,C533)=0,"Missing","OK")</f>
        <v>OK</v>
      </c>
      <c r="U533" t="str">
        <f t="shared" si="25"/>
        <v>Pune</v>
      </c>
      <c r="V533">
        <f t="shared" si="26"/>
        <v>0</v>
      </c>
    </row>
    <row r="534" spans="1:22" ht="15" customHeight="1" x14ac:dyDescent="0.35">
      <c r="A534" s="3" t="s">
        <v>914</v>
      </c>
      <c r="B534" s="4">
        <v>45548</v>
      </c>
      <c r="C534" s="3" t="s">
        <v>230</v>
      </c>
      <c r="D534" s="3" t="s">
        <v>123</v>
      </c>
      <c r="E534" s="3" t="s">
        <v>71</v>
      </c>
      <c r="F534" s="5">
        <v>7</v>
      </c>
      <c r="G534" s="5">
        <v>4880</v>
      </c>
      <c r="H534" s="5">
        <v>25.6</v>
      </c>
      <c r="I534" s="5">
        <v>25415.040000000001</v>
      </c>
      <c r="J534" s="3" t="s">
        <v>83</v>
      </c>
      <c r="K534" s="3" t="s">
        <v>38</v>
      </c>
      <c r="L534" t="str">
        <f>IFERROR(VLOOKUP(D534,Products!$A$2:$F$61,3,FALSE()),"")</f>
        <v>Beauty</v>
      </c>
      <c r="M534" t="str">
        <f>IFERROR(VLOOKUP(E534,Sales_Reps!$A$2:$C$31,3,FALSE()),"")</f>
        <v>South</v>
      </c>
      <c r="N534">
        <f>IFERROR(VLOOKUP(D534,Products!$A$2:$F$61,4,FALSE()),"")</f>
        <v>2768</v>
      </c>
      <c r="O534" t="str">
        <f>IFERROR(VLOOKUP(C534,Customers!$A$2:$F$301,5,FALSE()),"")</f>
        <v>Retail</v>
      </c>
      <c r="P534">
        <f>IFERROR(VLOOKUP(C534,Customers!$A$2:$F$301,3,FALSE()),"")</f>
        <v>35</v>
      </c>
      <c r="Q534">
        <f t="shared" si="24"/>
        <v>0.43278688524590164</v>
      </c>
      <c r="R534">
        <f>IF(AND(COUNTIF($A$2:$A$2027,A534)&gt;1,COUNTIF($A$2:A534,A534)=1),1,0)</f>
        <v>0</v>
      </c>
      <c r="S534" t="b">
        <f>IFERROR(VLOOKUP(D534,Products!$A$2:$F$61,6,FALSE()),"")</f>
        <v>1</v>
      </c>
      <c r="T534" t="str">
        <f>IF(COUNTIF(Customers!$A$2:$A$301,C534)=0,"Missing","OK")</f>
        <v>OK</v>
      </c>
      <c r="U534" t="str">
        <f t="shared" si="25"/>
        <v>Delhi</v>
      </c>
      <c r="V534">
        <f t="shared" si="26"/>
        <v>0</v>
      </c>
    </row>
    <row r="535" spans="1:22" ht="15" customHeight="1" x14ac:dyDescent="0.35">
      <c r="A535" s="3" t="s">
        <v>915</v>
      </c>
      <c r="B535" s="4">
        <v>45434</v>
      </c>
      <c r="C535" s="3" t="s">
        <v>916</v>
      </c>
      <c r="D535" s="3" t="s">
        <v>36</v>
      </c>
      <c r="E535" s="3" t="s">
        <v>67</v>
      </c>
      <c r="F535" s="5">
        <v>2</v>
      </c>
      <c r="G535" s="5">
        <v>470</v>
      </c>
      <c r="H535" s="5">
        <v>9.6999999999999993</v>
      </c>
      <c r="I535" s="5">
        <v>848.82</v>
      </c>
      <c r="J535" s="3" t="s">
        <v>26</v>
      </c>
      <c r="K535" s="3" t="s">
        <v>27</v>
      </c>
      <c r="L535" t="str">
        <f>IFERROR(VLOOKUP(D535,Products!$A$2:$F$61,3,FALSE()),"")</f>
        <v>Sports</v>
      </c>
      <c r="M535" t="str">
        <f>IFERROR(VLOOKUP(E535,Sales_Reps!$A$2:$C$31,3,FALSE()),"")</f>
        <v>West</v>
      </c>
      <c r="N535">
        <f>IFERROR(VLOOKUP(D535,Products!$A$2:$F$61,4,FALSE()),"")</f>
        <v>302</v>
      </c>
      <c r="O535" t="str">
        <f>IFERROR(VLOOKUP(C535,Customers!$A$2:$F$301,5,FALSE()),"")</f>
        <v>Corporate</v>
      </c>
      <c r="P535">
        <f>IFERROR(VLOOKUP(C535,Customers!$A$2:$F$301,3,FALSE()),"")</f>
        <v>29</v>
      </c>
      <c r="Q535">
        <f t="shared" si="24"/>
        <v>0.35744680851063831</v>
      </c>
      <c r="R535">
        <f>IF(AND(COUNTIF($A$2:$A$2027,A535)&gt;1,COUNTIF($A$2:A535,A535)=1),1,0)</f>
        <v>0</v>
      </c>
      <c r="S535" t="b">
        <f>IFERROR(VLOOKUP(D535,Products!$A$2:$F$61,6,FALSE()),"")</f>
        <v>0</v>
      </c>
      <c r="T535" t="str">
        <f>IF(COUNTIF(Customers!$A$2:$A$301,C535)=0,"Missing","OK")</f>
        <v>OK</v>
      </c>
      <c r="U535" t="str">
        <f t="shared" si="25"/>
        <v>Pune</v>
      </c>
      <c r="V535">
        <f t="shared" si="26"/>
        <v>0</v>
      </c>
    </row>
    <row r="536" spans="1:22" ht="15" customHeight="1" x14ac:dyDescent="0.35">
      <c r="A536" s="3" t="s">
        <v>917</v>
      </c>
      <c r="B536" s="4">
        <v>45539</v>
      </c>
      <c r="C536" s="3" t="s">
        <v>774</v>
      </c>
      <c r="D536" s="3" t="s">
        <v>325</v>
      </c>
      <c r="E536" s="3" t="s">
        <v>224</v>
      </c>
      <c r="F536" s="5">
        <v>6</v>
      </c>
      <c r="G536" s="5">
        <v>2290</v>
      </c>
      <c r="H536" s="5">
        <v>8.9</v>
      </c>
      <c r="I536" s="5">
        <v>12517.14</v>
      </c>
      <c r="J536" s="3" t="s">
        <v>26</v>
      </c>
      <c r="K536" s="3" t="s">
        <v>56</v>
      </c>
      <c r="L536" t="str">
        <f>IFERROR(VLOOKUP(D536,Products!$A$2:$F$61,3,FALSE()),"")</f>
        <v>Beauty</v>
      </c>
      <c r="M536" t="str">
        <f>IFERROR(VLOOKUP(E536,Sales_Reps!$A$2:$C$31,3,FALSE()),"")</f>
        <v>East</v>
      </c>
      <c r="N536">
        <f>IFERROR(VLOOKUP(D536,Products!$A$2:$F$61,4,FALSE()),"")</f>
        <v>1219</v>
      </c>
      <c r="O536" t="str">
        <f>IFERROR(VLOOKUP(C536,Customers!$A$2:$F$301,5,FALSE()),"")</f>
        <v>Retail</v>
      </c>
      <c r="P536">
        <f>IFERROR(VLOOKUP(C536,Customers!$A$2:$F$301,3,FALSE()),"")</f>
        <v>52</v>
      </c>
      <c r="Q536">
        <f t="shared" si="24"/>
        <v>0.46768558951965067</v>
      </c>
      <c r="R536">
        <f>IF(AND(COUNTIF($A$2:$A$2027,A536)&gt;1,COUNTIF($A$2:A536,A536)=1),1,0)</f>
        <v>0</v>
      </c>
      <c r="S536" t="b">
        <f>IFERROR(VLOOKUP(D536,Products!$A$2:$F$61,6,FALSE()),"")</f>
        <v>1</v>
      </c>
      <c r="T536" t="str">
        <f>IF(COUNTIF(Customers!$A$2:$A$301,C536)=0,"Missing","OK")</f>
        <v>OK</v>
      </c>
      <c r="U536" t="str">
        <f t="shared" si="25"/>
        <v>Bengaluru</v>
      </c>
      <c r="V536">
        <f t="shared" si="26"/>
        <v>0</v>
      </c>
    </row>
    <row r="537" spans="1:22" ht="15" customHeight="1" x14ac:dyDescent="0.35">
      <c r="A537" s="3" t="s">
        <v>918</v>
      </c>
      <c r="B537" s="4">
        <v>45468</v>
      </c>
      <c r="C537" s="3" t="s">
        <v>399</v>
      </c>
      <c r="D537" s="3" t="s">
        <v>306</v>
      </c>
      <c r="E537" s="3" t="s">
        <v>71</v>
      </c>
      <c r="F537" s="5">
        <v>3</v>
      </c>
      <c r="G537" s="5">
        <v>2380</v>
      </c>
      <c r="H537" s="5">
        <v>2.7</v>
      </c>
      <c r="I537" s="5">
        <v>6947.22</v>
      </c>
      <c r="J537" s="3" t="s">
        <v>32</v>
      </c>
      <c r="K537" s="3" t="s">
        <v>27</v>
      </c>
      <c r="L537" t="str">
        <f>IFERROR(VLOOKUP(D537,Products!$A$2:$F$61,3,FALSE()),"")</f>
        <v>Grocery</v>
      </c>
      <c r="M537" t="str">
        <f>IFERROR(VLOOKUP(E537,Sales_Reps!$A$2:$C$31,3,FALSE()),"")</f>
        <v>South</v>
      </c>
      <c r="N537">
        <f>IFERROR(VLOOKUP(D537,Products!$A$2:$F$61,4,FALSE()),"")</f>
        <v>1182</v>
      </c>
      <c r="O537" t="str">
        <f>IFERROR(VLOOKUP(C537,Customers!$A$2:$F$301,5,FALSE()),"")</f>
        <v>Corporate</v>
      </c>
      <c r="P537">
        <f>IFERROR(VLOOKUP(C537,Customers!$A$2:$F$301,3,FALSE()),"")</f>
        <v>37</v>
      </c>
      <c r="Q537">
        <f t="shared" si="24"/>
        <v>0.50336134453781511</v>
      </c>
      <c r="R537">
        <f>IF(AND(COUNTIF($A$2:$A$2027,A537)&gt;1,COUNTIF($A$2:A537,A537)=1),1,0)</f>
        <v>0</v>
      </c>
      <c r="S537" t="b">
        <f>IFERROR(VLOOKUP(D537,Products!$A$2:$F$61,6,FALSE()),"")</f>
        <v>1</v>
      </c>
      <c r="T537" t="str">
        <f>IF(COUNTIF(Customers!$A$2:$A$301,C537)=0,"Missing","OK")</f>
        <v>OK</v>
      </c>
      <c r="U537" t="str">
        <f t="shared" si="25"/>
        <v>Pune</v>
      </c>
      <c r="V537">
        <f t="shared" si="26"/>
        <v>0</v>
      </c>
    </row>
    <row r="538" spans="1:22" ht="15" customHeight="1" x14ac:dyDescent="0.35">
      <c r="A538" s="3" t="s">
        <v>919</v>
      </c>
      <c r="B538" s="4">
        <v>45485</v>
      </c>
      <c r="C538" s="3" t="s">
        <v>668</v>
      </c>
      <c r="D538" s="3" t="s">
        <v>306</v>
      </c>
      <c r="E538" s="3" t="s">
        <v>46</v>
      </c>
      <c r="F538" s="5">
        <v>9</v>
      </c>
      <c r="G538" s="5">
        <v>2380</v>
      </c>
      <c r="H538" s="5">
        <v>20.100000000000001</v>
      </c>
      <c r="I538" s="5">
        <v>17114.580000000002</v>
      </c>
      <c r="J538" s="3" t="s">
        <v>26</v>
      </c>
      <c r="K538" s="3" t="s">
        <v>51</v>
      </c>
      <c r="L538" t="str">
        <f>IFERROR(VLOOKUP(D538,Products!$A$2:$F$61,3,FALSE()),"")</f>
        <v>Grocery</v>
      </c>
      <c r="M538" t="str">
        <f>IFERROR(VLOOKUP(E538,Sales_Reps!$A$2:$C$31,3,FALSE()),"")</f>
        <v>North</v>
      </c>
      <c r="N538">
        <f>IFERROR(VLOOKUP(D538,Products!$A$2:$F$61,4,FALSE()),"")</f>
        <v>1182</v>
      </c>
      <c r="O538" t="str">
        <f>IFERROR(VLOOKUP(C538,Customers!$A$2:$F$301,5,FALSE()),"")</f>
        <v>Retail</v>
      </c>
      <c r="P538">
        <f>IFERROR(VLOOKUP(C538,Customers!$A$2:$F$301,3,FALSE()),"")</f>
        <v>56</v>
      </c>
      <c r="Q538">
        <f t="shared" si="24"/>
        <v>0.50336134453781511</v>
      </c>
      <c r="R538">
        <f>IF(AND(COUNTIF($A$2:$A$2027,A538)&gt;1,COUNTIF($A$2:A538,A538)=1),1,0)</f>
        <v>0</v>
      </c>
      <c r="S538" t="b">
        <f>IFERROR(VLOOKUP(D538,Products!$A$2:$F$61,6,FALSE()),"")</f>
        <v>1</v>
      </c>
      <c r="T538" t="str">
        <f>IF(COUNTIF(Customers!$A$2:$A$301,C538)=0,"Missing","OK")</f>
        <v>OK</v>
      </c>
      <c r="U538" t="str">
        <f t="shared" si="25"/>
        <v>Mumbai</v>
      </c>
      <c r="V538">
        <f t="shared" si="26"/>
        <v>0</v>
      </c>
    </row>
    <row r="539" spans="1:22" ht="15" customHeight="1" x14ac:dyDescent="0.35">
      <c r="A539" s="3" t="s">
        <v>920</v>
      </c>
      <c r="B539" s="4">
        <v>45303</v>
      </c>
      <c r="C539" s="3" t="s">
        <v>506</v>
      </c>
      <c r="D539" s="3" t="s">
        <v>299</v>
      </c>
      <c r="E539" s="3" t="s">
        <v>37</v>
      </c>
      <c r="F539" s="5">
        <v>8</v>
      </c>
      <c r="G539" s="5">
        <v>5410</v>
      </c>
      <c r="H539" s="5">
        <v>11.2</v>
      </c>
      <c r="I539" s="5">
        <v>38432.639999999999</v>
      </c>
      <c r="J539" s="3" t="s">
        <v>26</v>
      </c>
      <c r="K539" s="3" t="s">
        <v>56</v>
      </c>
      <c r="L539" t="str">
        <f>IFERROR(VLOOKUP(D539,Products!$A$2:$F$61,3,FALSE()),"")</f>
        <v>Sports</v>
      </c>
      <c r="M539" t="str">
        <f>IFERROR(VLOOKUP(E539,Sales_Reps!$A$2:$C$31,3,FALSE()),"")</f>
        <v>South</v>
      </c>
      <c r="N539">
        <f>IFERROR(VLOOKUP(D539,Products!$A$2:$F$61,4,FALSE()),"")</f>
        <v>2265</v>
      </c>
      <c r="O539" t="str">
        <f>IFERROR(VLOOKUP(C539,Customers!$A$2:$F$301,5,FALSE()),"")</f>
        <v>Corporate</v>
      </c>
      <c r="P539">
        <f>IFERROR(VLOOKUP(C539,Customers!$A$2:$F$301,3,FALSE()),"")</f>
        <v>41</v>
      </c>
      <c r="Q539">
        <f t="shared" si="24"/>
        <v>0.58133086876155271</v>
      </c>
      <c r="R539">
        <f>IF(AND(COUNTIF($A$2:$A$2027,A539)&gt;1,COUNTIF($A$2:A539,A539)=1),1,0)</f>
        <v>0</v>
      </c>
      <c r="S539" t="b">
        <f>IFERROR(VLOOKUP(D539,Products!$A$2:$F$61,6,FALSE()),"")</f>
        <v>1</v>
      </c>
      <c r="T539" t="str">
        <f>IF(COUNTIF(Customers!$A$2:$A$301,C539)=0,"Missing","OK")</f>
        <v>OK</v>
      </c>
      <c r="U539" t="str">
        <f t="shared" si="25"/>
        <v>Bengaluru</v>
      </c>
      <c r="V539">
        <f t="shared" si="26"/>
        <v>0</v>
      </c>
    </row>
    <row r="540" spans="1:22" ht="15" customHeight="1" x14ac:dyDescent="0.35">
      <c r="A540" s="3" t="s">
        <v>921</v>
      </c>
      <c r="B540" s="4">
        <v>45605</v>
      </c>
      <c r="C540" s="3" t="s">
        <v>922</v>
      </c>
      <c r="D540" s="3" t="s">
        <v>59</v>
      </c>
      <c r="E540" s="3" t="s">
        <v>46</v>
      </c>
      <c r="F540" s="5">
        <v>1</v>
      </c>
      <c r="G540" s="5">
        <v>1430</v>
      </c>
      <c r="H540" s="5">
        <v>19.600000000000001</v>
      </c>
      <c r="I540" s="5">
        <v>1149.72</v>
      </c>
      <c r="J540" s="3" t="s">
        <v>26</v>
      </c>
      <c r="K540" s="3" t="s">
        <v>56</v>
      </c>
      <c r="L540" t="str">
        <f>IFERROR(VLOOKUP(D540,Products!$A$2:$F$61,3,FALSE()),"")</f>
        <v>Electronics</v>
      </c>
      <c r="M540" t="str">
        <f>IFERROR(VLOOKUP(E540,Sales_Reps!$A$2:$C$31,3,FALSE()),"")</f>
        <v>North</v>
      </c>
      <c r="N540">
        <f>IFERROR(VLOOKUP(D540,Products!$A$2:$F$61,4,FALSE()),"")</f>
        <v>861</v>
      </c>
      <c r="O540" t="str">
        <f>IFERROR(VLOOKUP(C540,Customers!$A$2:$F$301,5,FALSE()),"")</f>
        <v>SMB</v>
      </c>
      <c r="P540">
        <f>IFERROR(VLOOKUP(C540,Customers!$A$2:$F$301,3,FALSE()),"")</f>
        <v>36</v>
      </c>
      <c r="Q540">
        <f t="shared" si="24"/>
        <v>0.39790209790209791</v>
      </c>
      <c r="R540">
        <f>IF(AND(COUNTIF($A$2:$A$2027,A540)&gt;1,COUNTIF($A$2:A540,A540)=1),1,0)</f>
        <v>0</v>
      </c>
      <c r="S540" t="b">
        <f>IFERROR(VLOOKUP(D540,Products!$A$2:$F$61,6,FALSE()),"")</f>
        <v>1</v>
      </c>
      <c r="T540" t="str">
        <f>IF(COUNTIF(Customers!$A$2:$A$301,C540)=0,"Missing","OK")</f>
        <v>OK</v>
      </c>
      <c r="U540" t="str">
        <f t="shared" si="25"/>
        <v>Bengaluru</v>
      </c>
      <c r="V540">
        <f t="shared" si="26"/>
        <v>0</v>
      </c>
    </row>
    <row r="541" spans="1:22" ht="15" customHeight="1" x14ac:dyDescent="0.35">
      <c r="A541" s="3" t="s">
        <v>923</v>
      </c>
      <c r="B541" s="4">
        <v>45421</v>
      </c>
      <c r="C541" s="3" t="s">
        <v>809</v>
      </c>
      <c r="D541" s="3" t="s">
        <v>90</v>
      </c>
      <c r="E541" s="3" t="s">
        <v>282</v>
      </c>
      <c r="F541" s="5">
        <v>9</v>
      </c>
      <c r="G541" s="5">
        <v>2400</v>
      </c>
      <c r="H541" s="5">
        <v>5</v>
      </c>
      <c r="I541" s="5">
        <v>20520</v>
      </c>
      <c r="J541" s="3" t="s">
        <v>26</v>
      </c>
      <c r="K541" s="3" t="s">
        <v>56</v>
      </c>
      <c r="L541" t="str">
        <f>IFERROR(VLOOKUP(D541,Products!$A$2:$F$61,3,FALSE()),"")</f>
        <v>Sports</v>
      </c>
      <c r="M541" t="str">
        <f>IFERROR(VLOOKUP(E541,Sales_Reps!$A$2:$C$31,3,FALSE()),"")</f>
        <v>West</v>
      </c>
      <c r="N541">
        <f>IFERROR(VLOOKUP(D541,Products!$A$2:$F$61,4,FALSE()),"")</f>
        <v>974</v>
      </c>
      <c r="O541" t="str">
        <f>IFERROR(VLOOKUP(C541,Customers!$A$2:$F$301,5,FALSE()),"")</f>
        <v>Retail</v>
      </c>
      <c r="P541">
        <f>IFERROR(VLOOKUP(C541,Customers!$A$2:$F$301,3,FALSE()),"")</f>
        <v>47</v>
      </c>
      <c r="Q541">
        <f t="shared" si="24"/>
        <v>0.59416666666666662</v>
      </c>
      <c r="R541">
        <f>IF(AND(COUNTIF($A$2:$A$2027,A541)&gt;1,COUNTIF($A$2:A541,A541)=1),1,0)</f>
        <v>0</v>
      </c>
      <c r="S541" t="b">
        <f>IFERROR(VLOOKUP(D541,Products!$A$2:$F$61,6,FALSE()),"")</f>
        <v>1</v>
      </c>
      <c r="T541" t="str">
        <f>IF(COUNTIF(Customers!$A$2:$A$301,C541)=0,"Missing","OK")</f>
        <v>OK</v>
      </c>
      <c r="U541" t="str">
        <f t="shared" si="25"/>
        <v>Bengaluru</v>
      </c>
      <c r="V541">
        <f t="shared" si="26"/>
        <v>0</v>
      </c>
    </row>
    <row r="542" spans="1:22" ht="15" customHeight="1" x14ac:dyDescent="0.35">
      <c r="A542" s="3" t="s">
        <v>924</v>
      </c>
      <c r="B542" s="4">
        <v>45493</v>
      </c>
      <c r="C542" s="3" t="s">
        <v>925</v>
      </c>
      <c r="D542" s="3" t="s">
        <v>173</v>
      </c>
      <c r="E542" s="3" t="s">
        <v>154</v>
      </c>
      <c r="F542" s="5">
        <v>1</v>
      </c>
      <c r="G542" s="5">
        <v>3780</v>
      </c>
      <c r="H542" s="5">
        <v>4.7</v>
      </c>
      <c r="I542" s="5">
        <v>3602.34</v>
      </c>
      <c r="J542" s="3" t="s">
        <v>26</v>
      </c>
      <c r="K542" s="3" t="s">
        <v>33</v>
      </c>
      <c r="L542" t="str">
        <f>IFERROR(VLOOKUP(D542,Products!$A$2:$F$61,3,FALSE()),"")</f>
        <v>Grocery</v>
      </c>
      <c r="M542" t="str">
        <f>IFERROR(VLOOKUP(E542,Sales_Reps!$A$2:$C$31,3,FALSE()),"")</f>
        <v>North</v>
      </c>
      <c r="N542">
        <f>IFERROR(VLOOKUP(D542,Products!$A$2:$F$61,4,FALSE()),"")</f>
        <v>2436</v>
      </c>
      <c r="O542" t="str">
        <f>IFERROR(VLOOKUP(C542,Customers!$A$2:$F$301,5,FALSE()),"")</f>
        <v>Corporate</v>
      </c>
      <c r="P542">
        <f>IFERROR(VLOOKUP(C542,Customers!$A$2:$F$301,3,FALSE()),"")</f>
        <v>52</v>
      </c>
      <c r="Q542">
        <f t="shared" si="24"/>
        <v>0.35555555555555557</v>
      </c>
      <c r="R542">
        <f>IF(AND(COUNTIF($A$2:$A$2027,A542)&gt;1,COUNTIF($A$2:A542,A542)=1),1,0)</f>
        <v>0</v>
      </c>
      <c r="S542" t="b">
        <f>IFERROR(VLOOKUP(D542,Products!$A$2:$F$61,6,FALSE()),"")</f>
        <v>1</v>
      </c>
      <c r="T542" t="str">
        <f>IF(COUNTIF(Customers!$A$2:$A$301,C542)=0,"Missing","OK")</f>
        <v>OK</v>
      </c>
      <c r="U542" t="str">
        <f t="shared" si="25"/>
        <v>Chennai</v>
      </c>
      <c r="V542">
        <f t="shared" si="26"/>
        <v>0</v>
      </c>
    </row>
    <row r="543" spans="1:22" ht="15" customHeight="1" x14ac:dyDescent="0.35">
      <c r="A543" s="3" t="s">
        <v>926</v>
      </c>
      <c r="B543" s="4">
        <v>45592</v>
      </c>
      <c r="C543" s="3" t="s">
        <v>817</v>
      </c>
      <c r="D543" s="3" t="s">
        <v>231</v>
      </c>
      <c r="E543" s="3" t="s">
        <v>60</v>
      </c>
      <c r="F543" s="5">
        <v>2</v>
      </c>
      <c r="G543" s="5">
        <v>620</v>
      </c>
      <c r="H543" s="5">
        <v>8</v>
      </c>
      <c r="I543" s="5">
        <v>1140.8</v>
      </c>
      <c r="J543" s="3" t="s">
        <v>26</v>
      </c>
      <c r="K543" s="3" t="s">
        <v>51</v>
      </c>
      <c r="L543" t="str">
        <f>IFERROR(VLOOKUP(D543,Products!$A$2:$F$61,3,FALSE()),"")</f>
        <v>Apparel</v>
      </c>
      <c r="M543" t="str">
        <f>IFERROR(VLOOKUP(E543,Sales_Reps!$A$2:$C$31,3,FALSE()),"")</f>
        <v>East</v>
      </c>
      <c r="N543">
        <f>IFERROR(VLOOKUP(D543,Products!$A$2:$F$61,4,FALSE()),"")</f>
        <v>396</v>
      </c>
      <c r="O543" t="str">
        <f>IFERROR(VLOOKUP(C543,Customers!$A$2:$F$301,5,FALSE()),"")</f>
        <v>Corporate</v>
      </c>
      <c r="P543">
        <f>IFERROR(VLOOKUP(C543,Customers!$A$2:$F$301,3,FALSE()),"")</f>
        <v>62</v>
      </c>
      <c r="Q543">
        <f t="shared" si="24"/>
        <v>0.36129032258064514</v>
      </c>
      <c r="R543">
        <f>IF(AND(COUNTIF($A$2:$A$2027,A543)&gt;1,COUNTIF($A$2:A543,A543)=1),1,0)</f>
        <v>0</v>
      </c>
      <c r="S543" t="b">
        <f>IFERROR(VLOOKUP(D543,Products!$A$2:$F$61,6,FALSE()),"")</f>
        <v>1</v>
      </c>
      <c r="T543" t="str">
        <f>IF(COUNTIF(Customers!$A$2:$A$301,C543)=0,"Missing","OK")</f>
        <v>OK</v>
      </c>
      <c r="U543" t="str">
        <f t="shared" si="25"/>
        <v>Mumbai</v>
      </c>
      <c r="V543">
        <f t="shared" si="26"/>
        <v>0</v>
      </c>
    </row>
    <row r="544" spans="1:22" ht="15" customHeight="1" x14ac:dyDescent="0.35">
      <c r="A544" s="3" t="s">
        <v>927</v>
      </c>
      <c r="B544" s="4">
        <v>45379</v>
      </c>
      <c r="C544" s="3" t="s">
        <v>577</v>
      </c>
      <c r="D544" s="3" t="s">
        <v>86</v>
      </c>
      <c r="E544" s="3" t="s">
        <v>25</v>
      </c>
      <c r="F544" s="5">
        <v>3</v>
      </c>
      <c r="G544" s="5">
        <v>190</v>
      </c>
      <c r="H544" s="5">
        <v>17.899999999999999</v>
      </c>
      <c r="I544" s="5">
        <v>467.97</v>
      </c>
      <c r="J544" s="3" t="s">
        <v>32</v>
      </c>
      <c r="K544" s="3" t="s">
        <v>38</v>
      </c>
      <c r="L544" t="str">
        <f>IFERROR(VLOOKUP(D544,Products!$A$2:$F$61,3,FALSE()),"")</f>
        <v>Sports</v>
      </c>
      <c r="M544" t="str">
        <f>IFERROR(VLOOKUP(E544,Sales_Reps!$A$2:$C$31,3,FALSE()),"")</f>
        <v>North</v>
      </c>
      <c r="N544">
        <f>IFERROR(VLOOKUP(D544,Products!$A$2:$F$61,4,FALSE()),"")</f>
        <v>147</v>
      </c>
      <c r="O544" t="str">
        <f>IFERROR(VLOOKUP(C544,Customers!$A$2:$F$301,5,FALSE()),"")</f>
        <v>Retail</v>
      </c>
      <c r="P544">
        <f>IFERROR(VLOOKUP(C544,Customers!$A$2:$F$301,3,FALSE()),"")</f>
        <v>43</v>
      </c>
      <c r="Q544">
        <f t="shared" si="24"/>
        <v>0.22631578947368422</v>
      </c>
      <c r="R544">
        <f>IF(AND(COUNTIF($A$2:$A$2027,A544)&gt;1,COUNTIF($A$2:A544,A544)=1),1,0)</f>
        <v>0</v>
      </c>
      <c r="S544" t="b">
        <f>IFERROR(VLOOKUP(D544,Products!$A$2:$F$61,6,FALSE()),"")</f>
        <v>1</v>
      </c>
      <c r="T544" t="str">
        <f>IF(COUNTIF(Customers!$A$2:$A$301,C544)=0,"Missing","OK")</f>
        <v>OK</v>
      </c>
      <c r="U544" t="str">
        <f t="shared" si="25"/>
        <v>Delhi</v>
      </c>
      <c r="V544">
        <f t="shared" si="26"/>
        <v>0</v>
      </c>
    </row>
    <row r="545" spans="1:22" ht="15" customHeight="1" x14ac:dyDescent="0.35">
      <c r="A545" s="3" t="s">
        <v>928</v>
      </c>
      <c r="B545" s="4">
        <v>45332</v>
      </c>
      <c r="C545" s="3" t="s">
        <v>929</v>
      </c>
      <c r="D545" s="3" t="s">
        <v>24</v>
      </c>
      <c r="E545" s="3" t="s">
        <v>60</v>
      </c>
      <c r="F545" s="5">
        <v>2</v>
      </c>
      <c r="G545" s="5">
        <v>3620</v>
      </c>
      <c r="H545" s="5">
        <v>15.5</v>
      </c>
      <c r="I545" s="5">
        <v>6117.8</v>
      </c>
      <c r="J545" s="3" t="s">
        <v>26</v>
      </c>
      <c r="K545" s="3" t="s">
        <v>56</v>
      </c>
      <c r="L545" t="str">
        <f>IFERROR(VLOOKUP(D545,Products!$A$2:$F$61,3,FALSE()),"")</f>
        <v>Apparel</v>
      </c>
      <c r="M545" t="str">
        <f>IFERROR(VLOOKUP(E545,Sales_Reps!$A$2:$C$31,3,FALSE()),"")</f>
        <v>East</v>
      </c>
      <c r="N545">
        <f>IFERROR(VLOOKUP(D545,Products!$A$2:$F$61,4,FALSE()),"")</f>
        <v>2509</v>
      </c>
      <c r="O545" t="str">
        <f>IFERROR(VLOOKUP(C545,Customers!$A$2:$F$301,5,FALSE()),"")</f>
        <v>Retail</v>
      </c>
      <c r="P545">
        <f>IFERROR(VLOOKUP(C545,Customers!$A$2:$F$301,3,FALSE()),"")</f>
        <v>61</v>
      </c>
      <c r="Q545">
        <f t="shared" si="24"/>
        <v>0.3069060773480663</v>
      </c>
      <c r="R545">
        <f>IF(AND(COUNTIF($A$2:$A$2027,A545)&gt;1,COUNTIF($A$2:A545,A545)=1),1,0)</f>
        <v>0</v>
      </c>
      <c r="S545" t="b">
        <f>IFERROR(VLOOKUP(D545,Products!$A$2:$F$61,6,FALSE()),"")</f>
        <v>1</v>
      </c>
      <c r="T545" t="str">
        <f>IF(COUNTIF(Customers!$A$2:$A$301,C545)=0,"Missing","OK")</f>
        <v>OK</v>
      </c>
      <c r="U545" t="str">
        <f t="shared" si="25"/>
        <v>Bengaluru</v>
      </c>
      <c r="V545">
        <f t="shared" si="26"/>
        <v>0</v>
      </c>
    </row>
    <row r="546" spans="1:22" ht="15" customHeight="1" x14ac:dyDescent="0.35">
      <c r="A546" s="3" t="s">
        <v>930</v>
      </c>
      <c r="B546" s="4">
        <v>45610</v>
      </c>
      <c r="C546" s="3" t="s">
        <v>129</v>
      </c>
      <c r="D546" s="3" t="s">
        <v>134</v>
      </c>
      <c r="E546" s="3" t="s">
        <v>242</v>
      </c>
      <c r="F546" s="5">
        <v>5</v>
      </c>
      <c r="G546" s="5">
        <v>2860</v>
      </c>
      <c r="H546" s="5">
        <v>26.8</v>
      </c>
      <c r="I546" s="5">
        <v>10467.6</v>
      </c>
      <c r="J546" s="3" t="s">
        <v>26</v>
      </c>
      <c r="K546" s="3" t="s">
        <v>72</v>
      </c>
      <c r="L546" t="str">
        <f>IFERROR(VLOOKUP(D546,Products!$A$2:$F$61,3,FALSE()),"")</f>
        <v>Sports</v>
      </c>
      <c r="M546" t="str">
        <f>IFERROR(VLOOKUP(E546,Sales_Reps!$A$2:$C$31,3,FALSE()),"")</f>
        <v>East</v>
      </c>
      <c r="N546">
        <f>IFERROR(VLOOKUP(D546,Products!$A$2:$F$61,4,FALSE()),"")</f>
        <v>2028</v>
      </c>
      <c r="O546" t="str">
        <f>IFERROR(VLOOKUP(C546,Customers!$A$2:$F$301,5,FALSE()),"")</f>
        <v>Corporate</v>
      </c>
      <c r="P546">
        <f>IFERROR(VLOOKUP(C546,Customers!$A$2:$F$301,3,FALSE()),"")</f>
        <v>56</v>
      </c>
      <c r="Q546">
        <f t="shared" si="24"/>
        <v>0.29090909090909089</v>
      </c>
      <c r="R546">
        <f>IF(AND(COUNTIF($A$2:$A$2027,A546)&gt;1,COUNTIF($A$2:A546,A546)=1),1,0)</f>
        <v>0</v>
      </c>
      <c r="S546" t="b">
        <f>IFERROR(VLOOKUP(D546,Products!$A$2:$F$61,6,FALSE()),"")</f>
        <v>1</v>
      </c>
      <c r="T546" t="str">
        <f>IF(COUNTIF(Customers!$A$2:$A$301,C546)=0,"Missing","OK")</f>
        <v>OK</v>
      </c>
      <c r="U546" t="str">
        <f t="shared" si="25"/>
        <v>Hyderabad</v>
      </c>
      <c r="V546">
        <f t="shared" si="26"/>
        <v>0</v>
      </c>
    </row>
    <row r="547" spans="1:22" ht="15" customHeight="1" x14ac:dyDescent="0.35">
      <c r="A547" s="3" t="s">
        <v>931</v>
      </c>
      <c r="B547" s="4">
        <v>45638</v>
      </c>
      <c r="C547" s="3" t="s">
        <v>849</v>
      </c>
      <c r="D547" s="3" t="s">
        <v>90</v>
      </c>
      <c r="E547" s="3" t="s">
        <v>93</v>
      </c>
      <c r="F547" s="5">
        <v>6</v>
      </c>
      <c r="G547" s="5">
        <v>2400</v>
      </c>
      <c r="H547" s="5">
        <v>19.2</v>
      </c>
      <c r="I547" s="5">
        <v>11635.2</v>
      </c>
      <c r="J547" s="3" t="s">
        <v>79</v>
      </c>
      <c r="K547" s="3" t="s">
        <v>38</v>
      </c>
      <c r="L547" t="str">
        <f>IFERROR(VLOOKUP(D547,Products!$A$2:$F$61,3,FALSE()),"")</f>
        <v>Sports</v>
      </c>
      <c r="M547" t="str">
        <f>IFERROR(VLOOKUP(E547,Sales_Reps!$A$2:$C$31,3,FALSE()),"")</f>
        <v>East</v>
      </c>
      <c r="N547">
        <f>IFERROR(VLOOKUP(D547,Products!$A$2:$F$61,4,FALSE()),"")</f>
        <v>974</v>
      </c>
      <c r="O547" t="str">
        <f>IFERROR(VLOOKUP(C547,Customers!$A$2:$F$301,5,FALSE()),"")</f>
        <v>Retail</v>
      </c>
      <c r="P547">
        <f>IFERROR(VLOOKUP(C547,Customers!$A$2:$F$301,3,FALSE()),"")</f>
        <v>55</v>
      </c>
      <c r="Q547">
        <f t="shared" si="24"/>
        <v>0.59416666666666662</v>
      </c>
      <c r="R547">
        <f>IF(AND(COUNTIF($A$2:$A$2027,A547)&gt;1,COUNTIF($A$2:A547,A547)=1),1,0)</f>
        <v>0</v>
      </c>
      <c r="S547" t="b">
        <f>IFERROR(VLOOKUP(D547,Products!$A$2:$F$61,6,FALSE()),"")</f>
        <v>1</v>
      </c>
      <c r="T547" t="str">
        <f>IF(COUNTIF(Customers!$A$2:$A$301,C547)=0,"Missing","OK")</f>
        <v>OK</v>
      </c>
      <c r="U547" t="str">
        <f t="shared" si="25"/>
        <v>Delhi</v>
      </c>
      <c r="V547">
        <f t="shared" si="26"/>
        <v>0</v>
      </c>
    </row>
    <row r="548" spans="1:22" ht="15" customHeight="1" x14ac:dyDescent="0.35">
      <c r="A548" s="3" t="s">
        <v>932</v>
      </c>
      <c r="B548" s="4">
        <v>45546</v>
      </c>
      <c r="C548" s="3" t="s">
        <v>549</v>
      </c>
      <c r="D548" s="3" t="s">
        <v>382</v>
      </c>
      <c r="E548" s="3" t="s">
        <v>143</v>
      </c>
      <c r="F548" s="5">
        <v>7</v>
      </c>
      <c r="G548" s="5">
        <v>5080</v>
      </c>
      <c r="H548" s="5">
        <v>16.600000000000001</v>
      </c>
      <c r="I548" s="5">
        <v>29657.040000000001</v>
      </c>
      <c r="J548" s="3" t="s">
        <v>32</v>
      </c>
      <c r="K548" s="3" t="s">
        <v>56</v>
      </c>
      <c r="L548" t="str">
        <f>IFERROR(VLOOKUP(D548,Products!$A$2:$F$61,3,FALSE()),"")</f>
        <v>Home</v>
      </c>
      <c r="M548" t="str">
        <f>IFERROR(VLOOKUP(E548,Sales_Reps!$A$2:$C$31,3,FALSE()),"")</f>
        <v>South</v>
      </c>
      <c r="N548">
        <f>IFERROR(VLOOKUP(D548,Products!$A$2:$F$61,4,FALSE()),"")</f>
        <v>2459</v>
      </c>
      <c r="O548" t="str">
        <f>IFERROR(VLOOKUP(C548,Customers!$A$2:$F$301,5,FALSE()),"")</f>
        <v>SMB</v>
      </c>
      <c r="P548">
        <f>IFERROR(VLOOKUP(C548,Customers!$A$2:$F$301,3,FALSE()),"")</f>
        <v>42</v>
      </c>
      <c r="Q548">
        <f t="shared" si="24"/>
        <v>0.51594488188976373</v>
      </c>
      <c r="R548">
        <f>IF(AND(COUNTIF($A$2:$A$2027,A548)&gt;1,COUNTIF($A$2:A548,A548)=1),1,0)</f>
        <v>0</v>
      </c>
      <c r="S548" t="b">
        <f>IFERROR(VLOOKUP(D548,Products!$A$2:$F$61,6,FALSE()),"")</f>
        <v>1</v>
      </c>
      <c r="T548" t="str">
        <f>IF(COUNTIF(Customers!$A$2:$A$301,C548)=0,"Missing","OK")</f>
        <v>OK</v>
      </c>
      <c r="U548" t="str">
        <f t="shared" si="25"/>
        <v>Bengaluru</v>
      </c>
      <c r="V548">
        <f t="shared" si="26"/>
        <v>0</v>
      </c>
    </row>
    <row r="549" spans="1:22" ht="15" customHeight="1" x14ac:dyDescent="0.35">
      <c r="A549" s="3" t="s">
        <v>933</v>
      </c>
      <c r="B549" s="4">
        <v>45436</v>
      </c>
      <c r="C549" s="3" t="s">
        <v>95</v>
      </c>
      <c r="D549" s="3" t="s">
        <v>382</v>
      </c>
      <c r="E549" s="3" t="s">
        <v>127</v>
      </c>
      <c r="F549" s="5">
        <v>10</v>
      </c>
      <c r="G549" s="5">
        <v>5080</v>
      </c>
      <c r="H549" s="5">
        <v>24.6</v>
      </c>
      <c r="I549" s="5">
        <v>38303.199999999997</v>
      </c>
      <c r="J549" s="3" t="s">
        <v>26</v>
      </c>
      <c r="K549" s="3" t="s">
        <v>72</v>
      </c>
      <c r="L549" t="str">
        <f>IFERROR(VLOOKUP(D549,Products!$A$2:$F$61,3,FALSE()),"")</f>
        <v>Home</v>
      </c>
      <c r="M549" t="str">
        <f>IFERROR(VLOOKUP(E549,Sales_Reps!$A$2:$C$31,3,FALSE()),"")</f>
        <v>South</v>
      </c>
      <c r="N549">
        <f>IFERROR(VLOOKUP(D549,Products!$A$2:$F$61,4,FALSE()),"")</f>
        <v>2459</v>
      </c>
      <c r="O549" t="str">
        <f>IFERROR(VLOOKUP(C549,Customers!$A$2:$F$301,5,FALSE()),"")</f>
        <v>Corporate</v>
      </c>
      <c r="P549">
        <f>IFERROR(VLOOKUP(C549,Customers!$A$2:$F$301,3,FALSE()),"")</f>
        <v>32</v>
      </c>
      <c r="Q549">
        <f t="shared" si="24"/>
        <v>0.51594488188976373</v>
      </c>
      <c r="R549">
        <f>IF(AND(COUNTIF($A$2:$A$2027,A549)&gt;1,COUNTIF($A$2:A549,A549)=1),1,0)</f>
        <v>0</v>
      </c>
      <c r="S549" t="b">
        <f>IFERROR(VLOOKUP(D549,Products!$A$2:$F$61,6,FALSE()),"")</f>
        <v>1</v>
      </c>
      <c r="T549" t="str">
        <f>IF(COUNTIF(Customers!$A$2:$A$301,C549)=0,"Missing","OK")</f>
        <v>OK</v>
      </c>
      <c r="U549" t="str">
        <f t="shared" si="25"/>
        <v>Hyderabad</v>
      </c>
      <c r="V549">
        <f t="shared" si="26"/>
        <v>0</v>
      </c>
    </row>
    <row r="550" spans="1:22" ht="15" customHeight="1" x14ac:dyDescent="0.35">
      <c r="A550" s="3" t="s">
        <v>934</v>
      </c>
      <c r="B550" s="4">
        <v>45532</v>
      </c>
      <c r="C550" s="3" t="s">
        <v>898</v>
      </c>
      <c r="D550" s="3" t="s">
        <v>54</v>
      </c>
      <c r="E550" s="3" t="s">
        <v>46</v>
      </c>
      <c r="F550" s="5">
        <v>7</v>
      </c>
      <c r="G550" s="5">
        <v>960</v>
      </c>
      <c r="H550" s="5">
        <v>16.600000000000001</v>
      </c>
      <c r="I550" s="5">
        <v>5604.48</v>
      </c>
      <c r="J550" s="3" t="s">
        <v>26</v>
      </c>
      <c r="K550" s="3" t="s">
        <v>51</v>
      </c>
      <c r="L550" t="str">
        <f>IFERROR(VLOOKUP(D550,Products!$A$2:$F$61,3,FALSE()),"")</f>
        <v>Sports</v>
      </c>
      <c r="M550" t="str">
        <f>IFERROR(VLOOKUP(E550,Sales_Reps!$A$2:$C$31,3,FALSE()),"")</f>
        <v>North</v>
      </c>
      <c r="N550">
        <f>IFERROR(VLOOKUP(D550,Products!$A$2:$F$61,4,FALSE()),"")</f>
        <v>705</v>
      </c>
      <c r="O550" t="str">
        <f>IFERROR(VLOOKUP(C550,Customers!$A$2:$F$301,5,FALSE()),"")</f>
        <v>SMB</v>
      </c>
      <c r="P550">
        <f>IFERROR(VLOOKUP(C550,Customers!$A$2:$F$301,3,FALSE()),"")</f>
        <v>65</v>
      </c>
      <c r="Q550">
        <f t="shared" si="24"/>
        <v>0.265625</v>
      </c>
      <c r="R550">
        <f>IF(AND(COUNTIF($A$2:$A$2027,A550)&gt;1,COUNTIF($A$2:A550,A550)=1),1,0)</f>
        <v>0</v>
      </c>
      <c r="S550" t="b">
        <f>IFERROR(VLOOKUP(D550,Products!$A$2:$F$61,6,FALSE()),"")</f>
        <v>1</v>
      </c>
      <c r="T550" t="str">
        <f>IF(COUNTIF(Customers!$A$2:$A$301,C550)=0,"Missing","OK")</f>
        <v>OK</v>
      </c>
      <c r="U550" t="str">
        <f t="shared" si="25"/>
        <v>Mumbai</v>
      </c>
      <c r="V550">
        <f t="shared" si="26"/>
        <v>0</v>
      </c>
    </row>
    <row r="551" spans="1:22" ht="15" customHeight="1" x14ac:dyDescent="0.35">
      <c r="A551" s="3" t="s">
        <v>935</v>
      </c>
      <c r="B551" s="4">
        <v>45568</v>
      </c>
      <c r="C551" s="3" t="s">
        <v>205</v>
      </c>
      <c r="D551" s="3" t="s">
        <v>41</v>
      </c>
      <c r="E551" s="3" t="s">
        <v>67</v>
      </c>
      <c r="F551" s="5">
        <v>3</v>
      </c>
      <c r="G551" s="5">
        <v>3660</v>
      </c>
      <c r="H551" s="5">
        <v>3.2</v>
      </c>
      <c r="I551" s="5">
        <v>10628.64</v>
      </c>
      <c r="J551" s="3" t="s">
        <v>32</v>
      </c>
      <c r="K551" s="3" t="s">
        <v>38</v>
      </c>
      <c r="L551" t="str">
        <f>IFERROR(VLOOKUP(D551,Products!$A$2:$F$61,3,FALSE()),"")</f>
        <v>Grocery</v>
      </c>
      <c r="M551" t="str">
        <f>IFERROR(VLOOKUP(E551,Sales_Reps!$A$2:$C$31,3,FALSE()),"")</f>
        <v>West</v>
      </c>
      <c r="N551">
        <f>IFERROR(VLOOKUP(D551,Products!$A$2:$F$61,4,FALSE()),"")</f>
        <v>2214</v>
      </c>
      <c r="O551" t="str">
        <f>IFERROR(VLOOKUP(C551,Customers!$A$2:$F$301,5,FALSE()),"")</f>
        <v>Corporate</v>
      </c>
      <c r="P551">
        <f>IFERROR(VLOOKUP(C551,Customers!$A$2:$F$301,3,FALSE()),"")</f>
        <v>55</v>
      </c>
      <c r="Q551">
        <f t="shared" si="24"/>
        <v>0.39508196721311473</v>
      </c>
      <c r="R551">
        <f>IF(AND(COUNTIF($A$2:$A$2027,A551)&gt;1,COUNTIF($A$2:A551,A551)=1),1,0)</f>
        <v>0</v>
      </c>
      <c r="S551" t="b">
        <f>IFERROR(VLOOKUP(D551,Products!$A$2:$F$61,6,FALSE()),"")</f>
        <v>0</v>
      </c>
      <c r="T551" t="str">
        <f>IF(COUNTIF(Customers!$A$2:$A$301,C551)=0,"Missing","OK")</f>
        <v>OK</v>
      </c>
      <c r="U551" t="str">
        <f t="shared" si="25"/>
        <v>Delhi</v>
      </c>
      <c r="V551">
        <f t="shared" si="26"/>
        <v>0</v>
      </c>
    </row>
    <row r="552" spans="1:22" ht="15" customHeight="1" x14ac:dyDescent="0.35">
      <c r="A552" s="3" t="s">
        <v>936</v>
      </c>
      <c r="B552" s="4">
        <v>45572</v>
      </c>
      <c r="C552" s="3" t="s">
        <v>136</v>
      </c>
      <c r="D552" s="3" t="s">
        <v>74</v>
      </c>
      <c r="E552" s="3" t="s">
        <v>143</v>
      </c>
      <c r="F552" s="5">
        <v>6</v>
      </c>
      <c r="G552" s="5">
        <v>2640</v>
      </c>
      <c r="H552" s="5">
        <v>26.3</v>
      </c>
      <c r="I552" s="5">
        <v>11674.08</v>
      </c>
      <c r="J552" s="3" t="s">
        <v>26</v>
      </c>
      <c r="K552" s="3" t="s">
        <v>27</v>
      </c>
      <c r="L552" t="str">
        <f>IFERROR(VLOOKUP(D552,Products!$A$2:$F$61,3,FALSE()),"")</f>
        <v>Electronics</v>
      </c>
      <c r="M552" t="str">
        <f>IFERROR(VLOOKUP(E552,Sales_Reps!$A$2:$C$31,3,FALSE()),"")</f>
        <v>South</v>
      </c>
      <c r="N552">
        <f>IFERROR(VLOOKUP(D552,Products!$A$2:$F$61,4,FALSE()),"")</f>
        <v>1149</v>
      </c>
      <c r="O552" t="str">
        <f>IFERROR(VLOOKUP(C552,Customers!$A$2:$F$301,5,FALSE()),"")</f>
        <v>Corporate</v>
      </c>
      <c r="P552">
        <f>IFERROR(VLOOKUP(C552,Customers!$A$2:$F$301,3,FALSE()),"")</f>
        <v>47</v>
      </c>
      <c r="Q552">
        <f t="shared" si="24"/>
        <v>0.56477272727272732</v>
      </c>
      <c r="R552">
        <f>IF(AND(COUNTIF($A$2:$A$2027,A552)&gt;1,COUNTIF($A$2:A552,A552)=1),1,0)</f>
        <v>0</v>
      </c>
      <c r="S552" t="b">
        <f>IFERROR(VLOOKUP(D552,Products!$A$2:$F$61,6,FALSE()),"")</f>
        <v>1</v>
      </c>
      <c r="T552" t="str">
        <f>IF(COUNTIF(Customers!$A$2:$A$301,C552)=0,"Missing","OK")</f>
        <v>OK</v>
      </c>
      <c r="U552" t="str">
        <f t="shared" si="25"/>
        <v>Pune</v>
      </c>
      <c r="V552">
        <f t="shared" si="26"/>
        <v>0</v>
      </c>
    </row>
    <row r="553" spans="1:22" ht="15" customHeight="1" x14ac:dyDescent="0.35">
      <c r="A553" s="3" t="s">
        <v>937</v>
      </c>
      <c r="B553" s="4">
        <v>45562</v>
      </c>
      <c r="C553" s="3" t="s">
        <v>364</v>
      </c>
      <c r="D553" s="3" t="s">
        <v>206</v>
      </c>
      <c r="E553" s="3" t="s">
        <v>143</v>
      </c>
      <c r="F553" s="5">
        <v>6</v>
      </c>
      <c r="G553" s="5">
        <v>1220</v>
      </c>
      <c r="H553" s="5">
        <v>22.3</v>
      </c>
      <c r="I553" s="5">
        <v>5687.64</v>
      </c>
      <c r="J553" s="3" t="s">
        <v>79</v>
      </c>
      <c r="K553" s="3" t="s">
        <v>33</v>
      </c>
      <c r="L553" t="str">
        <f>IFERROR(VLOOKUP(D553,Products!$A$2:$F$61,3,FALSE()),"")</f>
        <v>Electronics</v>
      </c>
      <c r="M553" t="str">
        <f>IFERROR(VLOOKUP(E553,Sales_Reps!$A$2:$C$31,3,FALSE()),"")</f>
        <v>South</v>
      </c>
      <c r="N553">
        <f>IFERROR(VLOOKUP(D553,Products!$A$2:$F$61,4,FALSE()),"")</f>
        <v>517</v>
      </c>
      <c r="O553" t="str">
        <f>IFERROR(VLOOKUP(C553,Customers!$A$2:$F$301,5,FALSE()),"")</f>
        <v>SMB</v>
      </c>
      <c r="P553">
        <f>IFERROR(VLOOKUP(C553,Customers!$A$2:$F$301,3,FALSE()),"")</f>
        <v>64</v>
      </c>
      <c r="Q553">
        <f t="shared" si="24"/>
        <v>0.57622950819672136</v>
      </c>
      <c r="R553">
        <f>IF(AND(COUNTIF($A$2:$A$2027,A553)&gt;1,COUNTIF($A$2:A553,A553)=1),1,0)</f>
        <v>0</v>
      </c>
      <c r="S553" t="b">
        <f>IFERROR(VLOOKUP(D553,Products!$A$2:$F$61,6,FALSE()),"")</f>
        <v>1</v>
      </c>
      <c r="T553" t="str">
        <f>IF(COUNTIF(Customers!$A$2:$A$301,C553)=0,"Missing","OK")</f>
        <v>OK</v>
      </c>
      <c r="U553" t="str">
        <f t="shared" si="25"/>
        <v>Chennai</v>
      </c>
      <c r="V553">
        <f t="shared" si="26"/>
        <v>0</v>
      </c>
    </row>
    <row r="554" spans="1:22" ht="15" customHeight="1" x14ac:dyDescent="0.35">
      <c r="A554" s="3" t="s">
        <v>938</v>
      </c>
      <c r="B554" s="4">
        <v>45345</v>
      </c>
      <c r="C554" s="3" t="s">
        <v>939</v>
      </c>
      <c r="D554" s="3" t="s">
        <v>221</v>
      </c>
      <c r="E554" s="3" t="s">
        <v>191</v>
      </c>
      <c r="F554" s="5">
        <v>1</v>
      </c>
      <c r="G554" s="5">
        <v>300</v>
      </c>
      <c r="H554" s="5">
        <v>0.7</v>
      </c>
      <c r="I554" s="5">
        <v>297.89999999999998</v>
      </c>
      <c r="J554" s="3" t="s">
        <v>26</v>
      </c>
      <c r="K554" s="3" t="s">
        <v>56</v>
      </c>
      <c r="L554" t="str">
        <f>IFERROR(VLOOKUP(D554,Products!$A$2:$F$61,3,FALSE()),"")</f>
        <v>Electronics</v>
      </c>
      <c r="M554" t="str">
        <f>IFERROR(VLOOKUP(E554,Sales_Reps!$A$2:$C$31,3,FALSE()),"")</f>
        <v>South</v>
      </c>
      <c r="N554">
        <f>IFERROR(VLOOKUP(D554,Products!$A$2:$F$61,4,FALSE()),"")</f>
        <v>128</v>
      </c>
      <c r="O554" t="str">
        <f>IFERROR(VLOOKUP(C554,Customers!$A$2:$F$301,5,FALSE()),"")</f>
        <v>Retail</v>
      </c>
      <c r="P554">
        <f>IFERROR(VLOOKUP(C554,Customers!$A$2:$F$301,3,FALSE()),"")</f>
        <v>27</v>
      </c>
      <c r="Q554">
        <f t="shared" si="24"/>
        <v>0.57333333333333336</v>
      </c>
      <c r="R554">
        <f>IF(AND(COUNTIF($A$2:$A$2027,A554)&gt;1,COUNTIF($A$2:A554,A554)=1),1,0)</f>
        <v>0</v>
      </c>
      <c r="S554" t="b">
        <f>IFERROR(VLOOKUP(D554,Products!$A$2:$F$61,6,FALSE()),"")</f>
        <v>1</v>
      </c>
      <c r="T554" t="str">
        <f>IF(COUNTIF(Customers!$A$2:$A$301,C554)=0,"Missing","OK")</f>
        <v>OK</v>
      </c>
      <c r="U554" t="str">
        <f t="shared" si="25"/>
        <v>Bengaluru</v>
      </c>
      <c r="V554">
        <f t="shared" si="26"/>
        <v>0</v>
      </c>
    </row>
    <row r="555" spans="1:22" ht="15" customHeight="1" x14ac:dyDescent="0.35">
      <c r="A555" s="3" t="s">
        <v>940</v>
      </c>
      <c r="B555" s="4">
        <v>45370</v>
      </c>
      <c r="C555" s="3" t="s">
        <v>636</v>
      </c>
      <c r="D555" s="3" t="s">
        <v>121</v>
      </c>
      <c r="E555" s="3" t="s">
        <v>131</v>
      </c>
      <c r="F555" s="5">
        <v>2</v>
      </c>
      <c r="G555" s="5">
        <v>1010</v>
      </c>
      <c r="H555" s="5">
        <v>28</v>
      </c>
      <c r="I555" s="5">
        <v>1454.4</v>
      </c>
      <c r="J555" s="3" t="s">
        <v>26</v>
      </c>
      <c r="K555" s="3" t="s">
        <v>72</v>
      </c>
      <c r="L555" t="str">
        <f>IFERROR(VLOOKUP(D555,Products!$A$2:$F$61,3,FALSE()),"")</f>
        <v>Sports</v>
      </c>
      <c r="M555" t="str">
        <f>IFERROR(VLOOKUP(E555,Sales_Reps!$A$2:$C$31,3,FALSE()),"")</f>
        <v>East</v>
      </c>
      <c r="N555">
        <f>IFERROR(VLOOKUP(D555,Products!$A$2:$F$61,4,FALSE()),"")</f>
        <v>516</v>
      </c>
      <c r="O555" t="str">
        <f>IFERROR(VLOOKUP(C555,Customers!$A$2:$F$301,5,FALSE()),"")</f>
        <v>Retail</v>
      </c>
      <c r="P555">
        <f>IFERROR(VLOOKUP(C555,Customers!$A$2:$F$301,3,FALSE()),"")</f>
        <v>65</v>
      </c>
      <c r="Q555">
        <f t="shared" si="24"/>
        <v>0.4891089108910891</v>
      </c>
      <c r="R555">
        <f>IF(AND(COUNTIF($A$2:$A$2027,A555)&gt;1,COUNTIF($A$2:A555,A555)=1),1,0)</f>
        <v>0</v>
      </c>
      <c r="S555" t="b">
        <f>IFERROR(VLOOKUP(D555,Products!$A$2:$F$61,6,FALSE()),"")</f>
        <v>1</v>
      </c>
      <c r="T555" t="str">
        <f>IF(COUNTIF(Customers!$A$2:$A$301,C555)=0,"Missing","OK")</f>
        <v>OK</v>
      </c>
      <c r="U555" t="str">
        <f t="shared" si="25"/>
        <v>Hyderabad</v>
      </c>
      <c r="V555">
        <f t="shared" si="26"/>
        <v>0</v>
      </c>
    </row>
    <row r="556" spans="1:22" ht="15" customHeight="1" x14ac:dyDescent="0.35">
      <c r="A556" s="3" t="s">
        <v>941</v>
      </c>
      <c r="B556" s="4">
        <v>45407</v>
      </c>
      <c r="C556" s="3" t="s">
        <v>942</v>
      </c>
      <c r="D556" s="3" t="s">
        <v>77</v>
      </c>
      <c r="E556" s="3" t="s">
        <v>212</v>
      </c>
      <c r="F556" s="5">
        <v>5</v>
      </c>
      <c r="G556" s="5">
        <v>2600</v>
      </c>
      <c r="H556" s="5">
        <v>0.8</v>
      </c>
      <c r="I556" s="5">
        <v>12896</v>
      </c>
      <c r="J556" s="3" t="s">
        <v>79</v>
      </c>
      <c r="K556" s="3" t="s">
        <v>38</v>
      </c>
      <c r="L556" t="str">
        <f>IFERROR(VLOOKUP(D556,Products!$A$2:$F$61,3,FALSE()),"")</f>
        <v>Electronics</v>
      </c>
      <c r="M556" t="str">
        <f>IFERROR(VLOOKUP(E556,Sales_Reps!$A$2:$C$31,3,FALSE()),"")</f>
        <v>South</v>
      </c>
      <c r="N556">
        <f>IFERROR(VLOOKUP(D556,Products!$A$2:$F$61,4,FALSE()),"")</f>
        <v>1052</v>
      </c>
      <c r="O556" t="str">
        <f>IFERROR(VLOOKUP(C556,Customers!$A$2:$F$301,5,FALSE()),"")</f>
        <v>SMB</v>
      </c>
      <c r="P556">
        <f>IFERROR(VLOOKUP(C556,Customers!$A$2:$F$301,3,FALSE()),"")</f>
        <v>45</v>
      </c>
      <c r="Q556">
        <f t="shared" si="24"/>
        <v>0.5953846153846154</v>
      </c>
      <c r="R556">
        <f>IF(AND(COUNTIF($A$2:$A$2027,A556)&gt;1,COUNTIF($A$2:A556,A556)=1),1,0)</f>
        <v>0</v>
      </c>
      <c r="S556" t="b">
        <f>IFERROR(VLOOKUP(D556,Products!$A$2:$F$61,6,FALSE()),"")</f>
        <v>1</v>
      </c>
      <c r="T556" t="str">
        <f>IF(COUNTIF(Customers!$A$2:$A$301,C556)=0,"Missing","OK")</f>
        <v>OK</v>
      </c>
      <c r="U556" t="str">
        <f t="shared" si="25"/>
        <v>Delhi</v>
      </c>
      <c r="V556">
        <f t="shared" si="26"/>
        <v>0</v>
      </c>
    </row>
    <row r="557" spans="1:22" ht="15" customHeight="1" x14ac:dyDescent="0.35">
      <c r="A557" s="3" t="s">
        <v>943</v>
      </c>
      <c r="B557" s="4">
        <v>45337</v>
      </c>
      <c r="C557" s="3" t="s">
        <v>494</v>
      </c>
      <c r="D557" s="3" t="s">
        <v>454</v>
      </c>
      <c r="E557" s="3" t="s">
        <v>140</v>
      </c>
      <c r="F557" s="5">
        <v>3</v>
      </c>
      <c r="G557" s="5">
        <v>6940</v>
      </c>
      <c r="H557" s="5">
        <v>10.7</v>
      </c>
      <c r="I557" s="5">
        <v>18592.259999999998</v>
      </c>
      <c r="J557" s="3" t="s">
        <v>79</v>
      </c>
      <c r="K557" s="3" t="s">
        <v>51</v>
      </c>
      <c r="L557" t="str">
        <f>IFERROR(VLOOKUP(D557,Products!$A$2:$F$61,3,FALSE()),"")</f>
        <v>Sports</v>
      </c>
      <c r="M557" t="str">
        <f>IFERROR(VLOOKUP(E557,Sales_Reps!$A$2:$C$31,3,FALSE()),"")</f>
        <v>West</v>
      </c>
      <c r="N557">
        <f>IFERROR(VLOOKUP(D557,Products!$A$2:$F$61,4,FALSE()),"")</f>
        <v>2827</v>
      </c>
      <c r="O557" t="str">
        <f>IFERROR(VLOOKUP(C557,Customers!$A$2:$F$301,5,FALSE()),"")</f>
        <v>Retail</v>
      </c>
      <c r="P557">
        <f>IFERROR(VLOOKUP(C557,Customers!$A$2:$F$301,3,FALSE()),"")</f>
        <v>37</v>
      </c>
      <c r="Q557">
        <f t="shared" si="24"/>
        <v>0.5926512968299712</v>
      </c>
      <c r="R557">
        <f>IF(AND(COUNTIF($A$2:$A$2027,A557)&gt;1,COUNTIF($A$2:A557,A557)=1),1,0)</f>
        <v>0</v>
      </c>
      <c r="S557" t="b">
        <f>IFERROR(VLOOKUP(D557,Products!$A$2:$F$61,6,FALSE()),"")</f>
        <v>1</v>
      </c>
      <c r="T557" t="str">
        <f>IF(COUNTIF(Customers!$A$2:$A$301,C557)=0,"Missing","OK")</f>
        <v>OK</v>
      </c>
      <c r="U557" t="str">
        <f t="shared" si="25"/>
        <v>Mumbai</v>
      </c>
      <c r="V557">
        <f t="shared" si="26"/>
        <v>0</v>
      </c>
    </row>
    <row r="558" spans="1:22" ht="15" customHeight="1" x14ac:dyDescent="0.35">
      <c r="A558" s="3" t="s">
        <v>944</v>
      </c>
      <c r="B558" s="4">
        <v>45571</v>
      </c>
      <c r="C558" s="3" t="s">
        <v>945</v>
      </c>
      <c r="D558" s="3" t="s">
        <v>49</v>
      </c>
      <c r="E558" s="3" t="s">
        <v>212</v>
      </c>
      <c r="F558" s="5">
        <v>1</v>
      </c>
      <c r="G558" s="5">
        <v>370</v>
      </c>
      <c r="H558" s="5">
        <v>10.3</v>
      </c>
      <c r="I558" s="5">
        <v>331.89</v>
      </c>
      <c r="J558" s="3" t="s">
        <v>83</v>
      </c>
      <c r="K558" s="3" t="s">
        <v>56</v>
      </c>
      <c r="L558" t="str">
        <f>IFERROR(VLOOKUP(D558,Products!$A$2:$F$61,3,FALSE()),"")</f>
        <v>Home</v>
      </c>
      <c r="M558" t="str">
        <f>IFERROR(VLOOKUP(E558,Sales_Reps!$A$2:$C$31,3,FALSE()),"")</f>
        <v>South</v>
      </c>
      <c r="N558">
        <f>IFERROR(VLOOKUP(D558,Products!$A$2:$F$61,4,FALSE()),"")</f>
        <v>288</v>
      </c>
      <c r="O558" t="str">
        <f>IFERROR(VLOOKUP(C558,Customers!$A$2:$F$301,5,FALSE()),"")</f>
        <v>SMB</v>
      </c>
      <c r="P558">
        <f>IFERROR(VLOOKUP(C558,Customers!$A$2:$F$301,3,FALSE()),"")</f>
        <v>44</v>
      </c>
      <c r="Q558">
        <f t="shared" si="24"/>
        <v>0.22162162162162163</v>
      </c>
      <c r="R558">
        <f>IF(AND(COUNTIF($A$2:$A$2027,A558)&gt;1,COUNTIF($A$2:A558,A558)=1),1,0)</f>
        <v>0</v>
      </c>
      <c r="S558" t="b">
        <f>IFERROR(VLOOKUP(D558,Products!$A$2:$F$61,6,FALSE()),"")</f>
        <v>1</v>
      </c>
      <c r="T558" t="str">
        <f>IF(COUNTIF(Customers!$A$2:$A$301,C558)=0,"Missing","OK")</f>
        <v>OK</v>
      </c>
      <c r="U558" t="str">
        <f t="shared" si="25"/>
        <v>Bengaluru</v>
      </c>
      <c r="V558">
        <f t="shared" si="26"/>
        <v>0</v>
      </c>
    </row>
    <row r="559" spans="1:22" ht="15" customHeight="1" x14ac:dyDescent="0.35">
      <c r="A559" s="3" t="s">
        <v>946</v>
      </c>
      <c r="B559" s="4">
        <v>45357</v>
      </c>
      <c r="C559" s="3" t="s">
        <v>536</v>
      </c>
      <c r="D559" s="3" t="s">
        <v>173</v>
      </c>
      <c r="E559" s="3" t="s">
        <v>168</v>
      </c>
      <c r="F559" s="5">
        <v>2</v>
      </c>
      <c r="G559" s="5">
        <v>3780</v>
      </c>
      <c r="H559" s="5">
        <v>29.4</v>
      </c>
      <c r="I559" s="5">
        <v>5337.36</v>
      </c>
      <c r="J559" s="3" t="s">
        <v>26</v>
      </c>
      <c r="K559" s="3" t="s">
        <v>51</v>
      </c>
      <c r="L559" t="str">
        <f>IFERROR(VLOOKUP(D559,Products!$A$2:$F$61,3,FALSE()),"")</f>
        <v>Grocery</v>
      </c>
      <c r="M559" t="str">
        <f>IFERROR(VLOOKUP(E559,Sales_Reps!$A$2:$C$31,3,FALSE()),"")</f>
        <v>West</v>
      </c>
      <c r="N559">
        <f>IFERROR(VLOOKUP(D559,Products!$A$2:$F$61,4,FALSE()),"")</f>
        <v>2436</v>
      </c>
      <c r="O559" t="str">
        <f>IFERROR(VLOOKUP(C559,Customers!$A$2:$F$301,5,FALSE()),"")</f>
        <v>Retail</v>
      </c>
      <c r="P559">
        <f>IFERROR(VLOOKUP(C559,Customers!$A$2:$F$301,3,FALSE()),"")</f>
        <v>39</v>
      </c>
      <c r="Q559">
        <f t="shared" si="24"/>
        <v>0.35555555555555557</v>
      </c>
      <c r="R559">
        <f>IF(AND(COUNTIF($A$2:$A$2027,A559)&gt;1,COUNTIF($A$2:A559,A559)=1),1,0)</f>
        <v>0</v>
      </c>
      <c r="S559" t="b">
        <f>IFERROR(VLOOKUP(D559,Products!$A$2:$F$61,6,FALSE()),"")</f>
        <v>1</v>
      </c>
      <c r="T559" t="str">
        <f>IF(COUNTIF(Customers!$A$2:$A$301,C559)=0,"Missing","OK")</f>
        <v>OK</v>
      </c>
      <c r="U559" t="str">
        <f t="shared" si="25"/>
        <v>Mumbai</v>
      </c>
      <c r="V559">
        <f t="shared" si="26"/>
        <v>0</v>
      </c>
    </row>
    <row r="560" spans="1:22" ht="15" customHeight="1" x14ac:dyDescent="0.35">
      <c r="A560" s="3" t="s">
        <v>947</v>
      </c>
      <c r="B560" s="4">
        <v>45432</v>
      </c>
      <c r="C560" s="3" t="s">
        <v>418</v>
      </c>
      <c r="D560" s="3" t="s">
        <v>66</v>
      </c>
      <c r="E560" s="3" t="s">
        <v>224</v>
      </c>
      <c r="F560" s="5">
        <v>5</v>
      </c>
      <c r="G560" s="5">
        <v>970</v>
      </c>
      <c r="H560" s="5">
        <v>14.6</v>
      </c>
      <c r="I560" s="5">
        <v>4141.8999999999996</v>
      </c>
      <c r="J560" s="3" t="s">
        <v>26</v>
      </c>
      <c r="K560" s="3" t="s">
        <v>27</v>
      </c>
      <c r="L560" t="str">
        <f>IFERROR(VLOOKUP(D560,Products!$A$2:$F$61,3,FALSE()),"")</f>
        <v>Grocery</v>
      </c>
      <c r="M560" t="str">
        <f>IFERROR(VLOOKUP(E560,Sales_Reps!$A$2:$C$31,3,FALSE()),"")</f>
        <v>East</v>
      </c>
      <c r="N560">
        <f>IFERROR(VLOOKUP(D560,Products!$A$2:$F$61,4,FALSE()),"")</f>
        <v>434</v>
      </c>
      <c r="O560" t="str">
        <f>IFERROR(VLOOKUP(C560,Customers!$A$2:$F$301,5,FALSE()),"")</f>
        <v>SMB</v>
      </c>
      <c r="P560">
        <f>IFERROR(VLOOKUP(C560,Customers!$A$2:$F$301,3,FALSE()),"")</f>
        <v>49</v>
      </c>
      <c r="Q560">
        <f t="shared" si="24"/>
        <v>0.5525773195876289</v>
      </c>
      <c r="R560">
        <f>IF(AND(COUNTIF($A$2:$A$2027,A560)&gt;1,COUNTIF($A$2:A560,A560)=1),1,0)</f>
        <v>0</v>
      </c>
      <c r="S560" t="b">
        <f>IFERROR(VLOOKUP(D560,Products!$A$2:$F$61,6,FALSE()),"")</f>
        <v>1</v>
      </c>
      <c r="T560" t="str">
        <f>IF(COUNTIF(Customers!$A$2:$A$301,C560)=0,"Missing","OK")</f>
        <v>OK</v>
      </c>
      <c r="U560" t="str">
        <f t="shared" si="25"/>
        <v>Pune</v>
      </c>
      <c r="V560">
        <f t="shared" si="26"/>
        <v>0</v>
      </c>
    </row>
    <row r="561" spans="1:22" ht="15" customHeight="1" x14ac:dyDescent="0.35">
      <c r="A561" s="3" t="s">
        <v>948</v>
      </c>
      <c r="B561" s="4">
        <v>45604</v>
      </c>
      <c r="C561" s="3" t="s">
        <v>724</v>
      </c>
      <c r="D561" s="3" t="s">
        <v>184</v>
      </c>
      <c r="E561" s="3" t="s">
        <v>236</v>
      </c>
      <c r="F561" s="5">
        <v>3</v>
      </c>
      <c r="G561" s="5">
        <v>2270</v>
      </c>
      <c r="H561" s="5">
        <v>6.5</v>
      </c>
      <c r="I561" s="5">
        <v>6367.35</v>
      </c>
      <c r="J561" s="3" t="s">
        <v>26</v>
      </c>
      <c r="K561" s="3" t="s">
        <v>27</v>
      </c>
      <c r="L561" t="str">
        <f>IFERROR(VLOOKUP(D561,Products!$A$2:$F$61,3,FALSE()),"")</f>
        <v>Grocery</v>
      </c>
      <c r="M561" t="str">
        <f>IFERROR(VLOOKUP(E561,Sales_Reps!$A$2:$C$31,3,FALSE()),"")</f>
        <v>North</v>
      </c>
      <c r="N561">
        <f>IFERROR(VLOOKUP(D561,Products!$A$2:$F$61,4,FALSE()),"")</f>
        <v>1412</v>
      </c>
      <c r="O561" t="str">
        <f>IFERROR(VLOOKUP(C561,Customers!$A$2:$F$301,5,FALSE()),"")</f>
        <v>Retail</v>
      </c>
      <c r="P561">
        <f>IFERROR(VLOOKUP(C561,Customers!$A$2:$F$301,3,FALSE()),"")</f>
        <v>31</v>
      </c>
      <c r="Q561">
        <f t="shared" si="24"/>
        <v>0.37797356828193834</v>
      </c>
      <c r="R561">
        <f>IF(AND(COUNTIF($A$2:$A$2027,A561)&gt;1,COUNTIF($A$2:A561,A561)=1),1,0)</f>
        <v>0</v>
      </c>
      <c r="S561" t="b">
        <f>IFERROR(VLOOKUP(D561,Products!$A$2:$F$61,6,FALSE()),"")</f>
        <v>1</v>
      </c>
      <c r="T561" t="str">
        <f>IF(COUNTIF(Customers!$A$2:$A$301,C561)=0,"Missing","OK")</f>
        <v>OK</v>
      </c>
      <c r="U561" t="str">
        <f t="shared" si="25"/>
        <v>Pune</v>
      </c>
      <c r="V561">
        <f t="shared" si="26"/>
        <v>0</v>
      </c>
    </row>
    <row r="562" spans="1:22" ht="15" customHeight="1" x14ac:dyDescent="0.35">
      <c r="A562" s="3" t="s">
        <v>949</v>
      </c>
      <c r="B562" s="4">
        <v>45467</v>
      </c>
      <c r="C562" s="3" t="s">
        <v>639</v>
      </c>
      <c r="D562" s="3" t="s">
        <v>198</v>
      </c>
      <c r="E562" s="3" t="s">
        <v>168</v>
      </c>
      <c r="F562" s="5">
        <v>10</v>
      </c>
      <c r="G562" s="5">
        <v>1540</v>
      </c>
      <c r="H562" s="5">
        <v>16.5</v>
      </c>
      <c r="I562" s="5">
        <v>12859</v>
      </c>
      <c r="J562" s="3" t="s">
        <v>26</v>
      </c>
      <c r="K562" s="3" t="s">
        <v>33</v>
      </c>
      <c r="L562" t="str">
        <f>IFERROR(VLOOKUP(D562,Products!$A$2:$F$61,3,FALSE()),"")</f>
        <v>Beauty</v>
      </c>
      <c r="M562" t="str">
        <f>IFERROR(VLOOKUP(E562,Sales_Reps!$A$2:$C$31,3,FALSE()),"")</f>
        <v>West</v>
      </c>
      <c r="N562">
        <f>IFERROR(VLOOKUP(D562,Products!$A$2:$F$61,4,FALSE()),"")</f>
        <v>647</v>
      </c>
      <c r="O562" t="str">
        <f>IFERROR(VLOOKUP(C562,Customers!$A$2:$F$301,5,FALSE()),"")</f>
        <v>SMB</v>
      </c>
      <c r="P562">
        <f>IFERROR(VLOOKUP(C562,Customers!$A$2:$F$301,3,FALSE()),"")</f>
        <v>46</v>
      </c>
      <c r="Q562">
        <f t="shared" si="24"/>
        <v>0.57987012987012987</v>
      </c>
      <c r="R562">
        <f>IF(AND(COUNTIF($A$2:$A$2027,A562)&gt;1,COUNTIF($A$2:A562,A562)=1),1,0)</f>
        <v>0</v>
      </c>
      <c r="S562" t="b">
        <f>IFERROR(VLOOKUP(D562,Products!$A$2:$F$61,6,FALSE()),"")</f>
        <v>0</v>
      </c>
      <c r="T562" t="str">
        <f>IF(COUNTIF(Customers!$A$2:$A$301,C562)=0,"Missing","OK")</f>
        <v>OK</v>
      </c>
      <c r="U562" t="str">
        <f t="shared" si="25"/>
        <v>Chennai</v>
      </c>
      <c r="V562">
        <f t="shared" si="26"/>
        <v>0</v>
      </c>
    </row>
    <row r="563" spans="1:22" ht="15" customHeight="1" x14ac:dyDescent="0.35">
      <c r="A563" s="3" t="s">
        <v>950</v>
      </c>
      <c r="B563" s="4">
        <v>45649</v>
      </c>
      <c r="C563" s="3" t="s">
        <v>44</v>
      </c>
      <c r="D563" s="3" t="s">
        <v>139</v>
      </c>
      <c r="E563" s="3" t="s">
        <v>177</v>
      </c>
      <c r="F563" s="5">
        <v>4</v>
      </c>
      <c r="G563" s="5">
        <v>2760</v>
      </c>
      <c r="H563" s="5">
        <v>19.8</v>
      </c>
      <c r="I563" s="5">
        <v>8854.08</v>
      </c>
      <c r="J563" s="3" t="s">
        <v>26</v>
      </c>
      <c r="K563" s="3" t="s">
        <v>33</v>
      </c>
      <c r="L563" t="str">
        <f>IFERROR(VLOOKUP(D563,Products!$A$2:$F$61,3,FALSE()),"")</f>
        <v>Grocery</v>
      </c>
      <c r="M563" t="str">
        <f>IFERROR(VLOOKUP(E563,Sales_Reps!$A$2:$C$31,3,FALSE()),"")</f>
        <v>East</v>
      </c>
      <c r="N563">
        <f>IFERROR(VLOOKUP(D563,Products!$A$2:$F$61,4,FALSE()),"")</f>
        <v>1435</v>
      </c>
      <c r="O563" t="str">
        <f>IFERROR(VLOOKUP(C563,Customers!$A$2:$F$301,5,FALSE()),"")</f>
        <v>Retail</v>
      </c>
      <c r="P563">
        <f>IFERROR(VLOOKUP(C563,Customers!$A$2:$F$301,3,FALSE()),"")</f>
        <v>36</v>
      </c>
      <c r="Q563">
        <f t="shared" si="24"/>
        <v>0.48007246376811596</v>
      </c>
      <c r="R563">
        <f>IF(AND(COUNTIF($A$2:$A$2027,A563)&gt;1,COUNTIF($A$2:A563,A563)=1),1,0)</f>
        <v>0</v>
      </c>
      <c r="S563" t="b">
        <f>IFERROR(VLOOKUP(D563,Products!$A$2:$F$61,6,FALSE()),"")</f>
        <v>1</v>
      </c>
      <c r="T563" t="str">
        <f>IF(COUNTIF(Customers!$A$2:$A$301,C563)=0,"Missing","OK")</f>
        <v>OK</v>
      </c>
      <c r="U563" t="str">
        <f t="shared" si="25"/>
        <v>Chennai</v>
      </c>
      <c r="V563">
        <f t="shared" si="26"/>
        <v>0</v>
      </c>
    </row>
    <row r="564" spans="1:22" ht="15" customHeight="1" x14ac:dyDescent="0.35">
      <c r="A564" s="3" t="s">
        <v>951</v>
      </c>
      <c r="B564" s="4">
        <v>45332</v>
      </c>
      <c r="C564" s="3" t="s">
        <v>324</v>
      </c>
      <c r="D564" s="3" t="s">
        <v>70</v>
      </c>
      <c r="E564" s="3" t="s">
        <v>109</v>
      </c>
      <c r="F564" s="5">
        <v>3</v>
      </c>
      <c r="G564" s="5">
        <v>2270</v>
      </c>
      <c r="H564" s="5">
        <v>29.5</v>
      </c>
      <c r="I564" s="5">
        <v>4801.05</v>
      </c>
      <c r="J564" s="3" t="s">
        <v>83</v>
      </c>
      <c r="K564" s="3" t="s">
        <v>56</v>
      </c>
      <c r="L564" t="str">
        <f>IFERROR(VLOOKUP(D564,Products!$A$2:$F$61,3,FALSE()),"")</f>
        <v>Grocery</v>
      </c>
      <c r="M564" t="str">
        <f>IFERROR(VLOOKUP(E564,Sales_Reps!$A$2:$C$31,3,FALSE()),"")</f>
        <v>West</v>
      </c>
      <c r="N564">
        <f>IFERROR(VLOOKUP(D564,Products!$A$2:$F$61,4,FALSE()),"")</f>
        <v>1203</v>
      </c>
      <c r="O564" t="str">
        <f>IFERROR(VLOOKUP(C564,Customers!$A$2:$F$301,5,FALSE()),"")</f>
        <v>Retail</v>
      </c>
      <c r="P564">
        <f>IFERROR(VLOOKUP(C564,Customers!$A$2:$F$301,3,FALSE()),"")</f>
        <v>23</v>
      </c>
      <c r="Q564">
        <f t="shared" si="24"/>
        <v>0.47004405286343615</v>
      </c>
      <c r="R564">
        <f>IF(AND(COUNTIF($A$2:$A$2027,A564)&gt;1,COUNTIF($A$2:A564,A564)=1),1,0)</f>
        <v>0</v>
      </c>
      <c r="S564" t="b">
        <f>IFERROR(VLOOKUP(D564,Products!$A$2:$F$61,6,FALSE()),"")</f>
        <v>1</v>
      </c>
      <c r="T564" t="str">
        <f>IF(COUNTIF(Customers!$A$2:$A$301,C564)=0,"Missing","OK")</f>
        <v>OK</v>
      </c>
      <c r="U564" t="str">
        <f t="shared" si="25"/>
        <v>Bengaluru</v>
      </c>
      <c r="V564">
        <f t="shared" si="26"/>
        <v>4801.05</v>
      </c>
    </row>
    <row r="565" spans="1:22" ht="15" customHeight="1" x14ac:dyDescent="0.35">
      <c r="A565" s="3" t="s">
        <v>952</v>
      </c>
      <c r="B565" s="4">
        <v>45418</v>
      </c>
      <c r="C565" s="3" t="s">
        <v>506</v>
      </c>
      <c r="D565" s="3" t="s">
        <v>215</v>
      </c>
      <c r="E565" s="3" t="s">
        <v>127</v>
      </c>
      <c r="F565" s="5">
        <v>8</v>
      </c>
      <c r="G565" s="5">
        <v>3020</v>
      </c>
      <c r="H565" s="5">
        <v>1.2</v>
      </c>
      <c r="I565" s="5">
        <v>23870.080000000002</v>
      </c>
      <c r="J565" s="3" t="s">
        <v>26</v>
      </c>
      <c r="K565" s="3" t="s">
        <v>56</v>
      </c>
      <c r="L565" t="str">
        <f>IFERROR(VLOOKUP(D565,Products!$A$2:$F$61,3,FALSE()),"")</f>
        <v>Beauty</v>
      </c>
      <c r="M565" t="str">
        <f>IFERROR(VLOOKUP(E565,Sales_Reps!$A$2:$C$31,3,FALSE()),"")</f>
        <v>South</v>
      </c>
      <c r="N565">
        <f>IFERROR(VLOOKUP(D565,Products!$A$2:$F$61,4,FALSE()),"")</f>
        <v>1626</v>
      </c>
      <c r="O565" t="str">
        <f>IFERROR(VLOOKUP(C565,Customers!$A$2:$F$301,5,FALSE()),"")</f>
        <v>Corporate</v>
      </c>
      <c r="P565">
        <f>IFERROR(VLOOKUP(C565,Customers!$A$2:$F$301,3,FALSE()),"")</f>
        <v>41</v>
      </c>
      <c r="Q565">
        <f t="shared" si="24"/>
        <v>0.46158940397350995</v>
      </c>
      <c r="R565">
        <f>IF(AND(COUNTIF($A$2:$A$2027,A565)&gt;1,COUNTIF($A$2:A565,A565)=1),1,0)</f>
        <v>0</v>
      </c>
      <c r="S565" t="b">
        <f>IFERROR(VLOOKUP(D565,Products!$A$2:$F$61,6,FALSE()),"")</f>
        <v>1</v>
      </c>
      <c r="T565" t="str">
        <f>IF(COUNTIF(Customers!$A$2:$A$301,C565)=0,"Missing","OK")</f>
        <v>OK</v>
      </c>
      <c r="U565" t="str">
        <f t="shared" si="25"/>
        <v>Bengaluru</v>
      </c>
      <c r="V565">
        <f t="shared" si="26"/>
        <v>0</v>
      </c>
    </row>
    <row r="566" spans="1:22" ht="15" customHeight="1" x14ac:dyDescent="0.35">
      <c r="A566" s="3" t="s">
        <v>953</v>
      </c>
      <c r="B566" s="4">
        <v>45490</v>
      </c>
      <c r="C566" s="3" t="s">
        <v>498</v>
      </c>
      <c r="D566" s="3" t="s">
        <v>306</v>
      </c>
      <c r="E566" s="3" t="s">
        <v>242</v>
      </c>
      <c r="F566" s="5">
        <v>6</v>
      </c>
      <c r="G566" s="5">
        <v>2380</v>
      </c>
      <c r="H566" s="5">
        <v>20.399999999999999</v>
      </c>
      <c r="I566" s="5">
        <v>11366.88</v>
      </c>
      <c r="J566" s="3" t="s">
        <v>26</v>
      </c>
      <c r="K566" s="3" t="s">
        <v>27</v>
      </c>
      <c r="L566" t="str">
        <f>IFERROR(VLOOKUP(D566,Products!$A$2:$F$61,3,FALSE()),"")</f>
        <v>Grocery</v>
      </c>
      <c r="M566" t="str">
        <f>IFERROR(VLOOKUP(E566,Sales_Reps!$A$2:$C$31,3,FALSE()),"")</f>
        <v>East</v>
      </c>
      <c r="N566">
        <f>IFERROR(VLOOKUP(D566,Products!$A$2:$F$61,4,FALSE()),"")</f>
        <v>1182</v>
      </c>
      <c r="O566" t="str">
        <f>IFERROR(VLOOKUP(C566,Customers!$A$2:$F$301,5,FALSE()),"")</f>
        <v>Retail</v>
      </c>
      <c r="P566">
        <f>IFERROR(VLOOKUP(C566,Customers!$A$2:$F$301,3,FALSE()),"")</f>
        <v>62</v>
      </c>
      <c r="Q566">
        <f t="shared" si="24"/>
        <v>0.50336134453781511</v>
      </c>
      <c r="R566">
        <f>IF(AND(COUNTIF($A$2:$A$2027,A566)&gt;1,COUNTIF($A$2:A566,A566)=1),1,0)</f>
        <v>0</v>
      </c>
      <c r="S566" t="b">
        <f>IFERROR(VLOOKUP(D566,Products!$A$2:$F$61,6,FALSE()),"")</f>
        <v>1</v>
      </c>
      <c r="T566" t="str">
        <f>IF(COUNTIF(Customers!$A$2:$A$301,C566)=0,"Missing","OK")</f>
        <v>OK</v>
      </c>
      <c r="U566" t="str">
        <f t="shared" si="25"/>
        <v>Pune</v>
      </c>
      <c r="V566">
        <f t="shared" si="26"/>
        <v>0</v>
      </c>
    </row>
    <row r="567" spans="1:22" ht="15" customHeight="1" x14ac:dyDescent="0.35">
      <c r="A567" s="3" t="s">
        <v>954</v>
      </c>
      <c r="B567" s="4">
        <v>45470</v>
      </c>
      <c r="C567" s="3" t="s">
        <v>955</v>
      </c>
      <c r="D567" s="3" t="s">
        <v>454</v>
      </c>
      <c r="E567" s="3" t="s">
        <v>67</v>
      </c>
      <c r="F567" s="5">
        <v>1</v>
      </c>
      <c r="G567" s="5">
        <v>6940</v>
      </c>
      <c r="H567" s="5">
        <v>15</v>
      </c>
      <c r="I567" s="5">
        <v>5899</v>
      </c>
      <c r="J567" s="3" t="s">
        <v>79</v>
      </c>
      <c r="K567" s="3" t="s">
        <v>56</v>
      </c>
      <c r="L567" t="str">
        <f>IFERROR(VLOOKUP(D567,Products!$A$2:$F$61,3,FALSE()),"")</f>
        <v>Sports</v>
      </c>
      <c r="M567" t="str">
        <f>IFERROR(VLOOKUP(E567,Sales_Reps!$A$2:$C$31,3,FALSE()),"")</f>
        <v>West</v>
      </c>
      <c r="N567">
        <f>IFERROR(VLOOKUP(D567,Products!$A$2:$F$61,4,FALSE()),"")</f>
        <v>2827</v>
      </c>
      <c r="O567" t="str">
        <f>IFERROR(VLOOKUP(C567,Customers!$A$2:$F$301,5,FALSE()),"")</f>
        <v>SMB</v>
      </c>
      <c r="P567">
        <f>IFERROR(VLOOKUP(C567,Customers!$A$2:$F$301,3,FALSE()),"")</f>
        <v>49</v>
      </c>
      <c r="Q567">
        <f t="shared" si="24"/>
        <v>0.5926512968299712</v>
      </c>
      <c r="R567">
        <f>IF(AND(COUNTIF($A$2:$A$2027,A567)&gt;1,COUNTIF($A$2:A567,A567)=1),1,0)</f>
        <v>0</v>
      </c>
      <c r="S567" t="b">
        <f>IFERROR(VLOOKUP(D567,Products!$A$2:$F$61,6,FALSE()),"")</f>
        <v>1</v>
      </c>
      <c r="T567" t="str">
        <f>IF(COUNTIF(Customers!$A$2:$A$301,C567)=0,"Missing","OK")</f>
        <v>OK</v>
      </c>
      <c r="U567" t="str">
        <f t="shared" si="25"/>
        <v>Bengaluru</v>
      </c>
      <c r="V567">
        <f t="shared" si="26"/>
        <v>0</v>
      </c>
    </row>
    <row r="568" spans="1:22" ht="15" customHeight="1" x14ac:dyDescent="0.35">
      <c r="A568" s="3" t="s">
        <v>956</v>
      </c>
      <c r="B568" s="4">
        <v>45654</v>
      </c>
      <c r="C568" s="3" t="s">
        <v>230</v>
      </c>
      <c r="D568" s="3" t="s">
        <v>218</v>
      </c>
      <c r="E568" s="3" t="s">
        <v>71</v>
      </c>
      <c r="F568" s="5">
        <v>1</v>
      </c>
      <c r="G568" s="5">
        <v>2660</v>
      </c>
      <c r="H568" s="5">
        <v>11.6</v>
      </c>
      <c r="I568" s="5">
        <v>2351.44</v>
      </c>
      <c r="J568" s="3" t="s">
        <v>26</v>
      </c>
      <c r="K568" s="3" t="s">
        <v>38</v>
      </c>
      <c r="L568" t="str">
        <f>IFERROR(VLOOKUP(D568,Products!$A$2:$F$61,3,FALSE()),"")</f>
        <v>Electronics</v>
      </c>
      <c r="M568" t="str">
        <f>IFERROR(VLOOKUP(E568,Sales_Reps!$A$2:$C$31,3,FALSE()),"")</f>
        <v>South</v>
      </c>
      <c r="N568">
        <f>IFERROR(VLOOKUP(D568,Products!$A$2:$F$61,4,FALSE()),"")</f>
        <v>1259</v>
      </c>
      <c r="O568" t="str">
        <f>IFERROR(VLOOKUP(C568,Customers!$A$2:$F$301,5,FALSE()),"")</f>
        <v>Retail</v>
      </c>
      <c r="P568">
        <f>IFERROR(VLOOKUP(C568,Customers!$A$2:$F$301,3,FALSE()),"")</f>
        <v>35</v>
      </c>
      <c r="Q568">
        <f t="shared" si="24"/>
        <v>0.52669172932330832</v>
      </c>
      <c r="R568">
        <f>IF(AND(COUNTIF($A$2:$A$2027,A568)&gt;1,COUNTIF($A$2:A568,A568)=1),1,0)</f>
        <v>0</v>
      </c>
      <c r="S568" t="b">
        <f>IFERROR(VLOOKUP(D568,Products!$A$2:$F$61,6,FALSE()),"")</f>
        <v>0</v>
      </c>
      <c r="T568" t="str">
        <f>IF(COUNTIF(Customers!$A$2:$A$301,C568)=0,"Missing","OK")</f>
        <v>OK</v>
      </c>
      <c r="U568" t="str">
        <f t="shared" si="25"/>
        <v>Delhi</v>
      </c>
      <c r="V568">
        <f t="shared" si="26"/>
        <v>0</v>
      </c>
    </row>
    <row r="569" spans="1:22" ht="15" customHeight="1" x14ac:dyDescent="0.35">
      <c r="A569" s="3" t="s">
        <v>957</v>
      </c>
      <c r="B569" s="4">
        <v>45548</v>
      </c>
      <c r="C569" s="3" t="s">
        <v>709</v>
      </c>
      <c r="D569" s="3" t="s">
        <v>66</v>
      </c>
      <c r="E569" s="3" t="s">
        <v>191</v>
      </c>
      <c r="F569" s="5">
        <v>4</v>
      </c>
      <c r="G569" s="5">
        <v>970</v>
      </c>
      <c r="H569" s="5">
        <v>11.6</v>
      </c>
      <c r="I569" s="5">
        <v>3429.92</v>
      </c>
      <c r="J569" s="3" t="s">
        <v>26</v>
      </c>
      <c r="K569" s="3" t="s">
        <v>27</v>
      </c>
      <c r="L569" t="str">
        <f>IFERROR(VLOOKUP(D569,Products!$A$2:$F$61,3,FALSE()),"")</f>
        <v>Grocery</v>
      </c>
      <c r="M569" t="str">
        <f>IFERROR(VLOOKUP(E569,Sales_Reps!$A$2:$C$31,3,FALSE()),"")</f>
        <v>South</v>
      </c>
      <c r="N569">
        <f>IFERROR(VLOOKUP(D569,Products!$A$2:$F$61,4,FALSE()),"")</f>
        <v>434</v>
      </c>
      <c r="O569" t="str">
        <f>IFERROR(VLOOKUP(C569,Customers!$A$2:$F$301,5,FALSE()),"")</f>
        <v>Retail</v>
      </c>
      <c r="P569">
        <f>IFERROR(VLOOKUP(C569,Customers!$A$2:$F$301,3,FALSE()),"")</f>
        <v>35</v>
      </c>
      <c r="Q569">
        <f t="shared" si="24"/>
        <v>0.5525773195876289</v>
      </c>
      <c r="R569">
        <f>IF(AND(COUNTIF($A$2:$A$2027,A569)&gt;1,COUNTIF($A$2:A569,A569)=1),1,0)</f>
        <v>0</v>
      </c>
      <c r="S569" t="b">
        <f>IFERROR(VLOOKUP(D569,Products!$A$2:$F$61,6,FALSE()),"")</f>
        <v>1</v>
      </c>
      <c r="T569" t="str">
        <f>IF(COUNTIF(Customers!$A$2:$A$301,C569)=0,"Missing","OK")</f>
        <v>OK</v>
      </c>
      <c r="U569" t="str">
        <f t="shared" si="25"/>
        <v>Pune</v>
      </c>
      <c r="V569">
        <f t="shared" si="26"/>
        <v>0</v>
      </c>
    </row>
    <row r="570" spans="1:22" ht="15" customHeight="1" x14ac:dyDescent="0.35">
      <c r="A570" s="3" t="s">
        <v>958</v>
      </c>
      <c r="B570" s="4">
        <v>45632</v>
      </c>
      <c r="C570" s="3" t="s">
        <v>541</v>
      </c>
      <c r="D570" s="3" t="s">
        <v>184</v>
      </c>
      <c r="E570" s="3" t="s">
        <v>236</v>
      </c>
      <c r="F570" s="5">
        <v>7</v>
      </c>
      <c r="G570" s="5">
        <v>2270</v>
      </c>
      <c r="H570" s="5">
        <v>27.9</v>
      </c>
      <c r="I570" s="5">
        <v>11456.69</v>
      </c>
      <c r="J570" s="3" t="s">
        <v>26</v>
      </c>
      <c r="K570" s="3" t="s">
        <v>33</v>
      </c>
      <c r="L570" t="str">
        <f>IFERROR(VLOOKUP(D570,Products!$A$2:$F$61,3,FALSE()),"")</f>
        <v>Grocery</v>
      </c>
      <c r="M570" t="str">
        <f>IFERROR(VLOOKUP(E570,Sales_Reps!$A$2:$C$31,3,FALSE()),"")</f>
        <v>North</v>
      </c>
      <c r="N570">
        <f>IFERROR(VLOOKUP(D570,Products!$A$2:$F$61,4,FALSE()),"")</f>
        <v>1412</v>
      </c>
      <c r="O570" t="str">
        <f>IFERROR(VLOOKUP(C570,Customers!$A$2:$F$301,5,FALSE()),"")</f>
        <v>Retail</v>
      </c>
      <c r="P570">
        <f>IFERROR(VLOOKUP(C570,Customers!$A$2:$F$301,3,FALSE()),"")</f>
        <v>61</v>
      </c>
      <c r="Q570">
        <f t="shared" si="24"/>
        <v>0.37797356828193834</v>
      </c>
      <c r="R570">
        <f>IF(AND(COUNTIF($A$2:$A$2027,A570)&gt;1,COUNTIF($A$2:A570,A570)=1),1,0)</f>
        <v>0</v>
      </c>
      <c r="S570" t="b">
        <f>IFERROR(VLOOKUP(D570,Products!$A$2:$F$61,6,FALSE()),"")</f>
        <v>1</v>
      </c>
      <c r="T570" t="str">
        <f>IF(COUNTIF(Customers!$A$2:$A$301,C570)=0,"Missing","OK")</f>
        <v>OK</v>
      </c>
      <c r="U570" t="str">
        <f t="shared" si="25"/>
        <v>Chennai</v>
      </c>
      <c r="V570">
        <f t="shared" si="26"/>
        <v>0</v>
      </c>
    </row>
    <row r="571" spans="1:22" ht="15" customHeight="1" x14ac:dyDescent="0.35">
      <c r="A571" s="3" t="s">
        <v>959</v>
      </c>
      <c r="B571" s="4">
        <v>45304</v>
      </c>
      <c r="C571" s="3" t="s">
        <v>202</v>
      </c>
      <c r="D571" s="3" t="s">
        <v>121</v>
      </c>
      <c r="E571" s="3" t="s">
        <v>285</v>
      </c>
      <c r="F571" s="5">
        <v>8</v>
      </c>
      <c r="G571" s="5">
        <v>1010</v>
      </c>
      <c r="H571" s="5">
        <v>13.7</v>
      </c>
      <c r="I571" s="5">
        <v>6973.04</v>
      </c>
      <c r="J571" s="3" t="s">
        <v>79</v>
      </c>
      <c r="K571" s="3" t="s">
        <v>72</v>
      </c>
      <c r="L571" t="str">
        <f>IFERROR(VLOOKUP(D571,Products!$A$2:$F$61,3,FALSE()),"")</f>
        <v>Sports</v>
      </c>
      <c r="M571" t="str">
        <f>IFERROR(VLOOKUP(E571,Sales_Reps!$A$2:$C$31,3,FALSE()),"")</f>
        <v>South</v>
      </c>
      <c r="N571">
        <f>IFERROR(VLOOKUP(D571,Products!$A$2:$F$61,4,FALSE()),"")</f>
        <v>516</v>
      </c>
      <c r="O571" t="str">
        <f>IFERROR(VLOOKUP(C571,Customers!$A$2:$F$301,5,FALSE()),"")</f>
        <v>Retail</v>
      </c>
      <c r="P571">
        <f>IFERROR(VLOOKUP(C571,Customers!$A$2:$F$301,3,FALSE()),"")</f>
        <v>53</v>
      </c>
      <c r="Q571">
        <f t="shared" si="24"/>
        <v>0.4891089108910891</v>
      </c>
      <c r="R571">
        <f>IF(AND(COUNTIF($A$2:$A$2027,A571)&gt;1,COUNTIF($A$2:A571,A571)=1),1,0)</f>
        <v>0</v>
      </c>
      <c r="S571" t="b">
        <f>IFERROR(VLOOKUP(D571,Products!$A$2:$F$61,6,FALSE()),"")</f>
        <v>1</v>
      </c>
      <c r="T571" t="str">
        <f>IF(COUNTIF(Customers!$A$2:$A$301,C571)=0,"Missing","OK")</f>
        <v>OK</v>
      </c>
      <c r="U571" t="str">
        <f t="shared" si="25"/>
        <v>Hyderabad</v>
      </c>
      <c r="V571">
        <f t="shared" si="26"/>
        <v>0</v>
      </c>
    </row>
    <row r="572" spans="1:22" ht="15" customHeight="1" x14ac:dyDescent="0.35">
      <c r="A572" s="3" t="s">
        <v>960</v>
      </c>
      <c r="B572" s="4">
        <v>45330</v>
      </c>
      <c r="C572" s="3" t="s">
        <v>399</v>
      </c>
      <c r="D572" s="3" t="s">
        <v>306</v>
      </c>
      <c r="E572" s="3" t="s">
        <v>154</v>
      </c>
      <c r="F572" s="5">
        <v>8</v>
      </c>
      <c r="G572" s="5">
        <v>2380</v>
      </c>
      <c r="H572" s="5">
        <v>15.3</v>
      </c>
      <c r="I572" s="5">
        <v>16126.88</v>
      </c>
      <c r="J572" s="3" t="s">
        <v>79</v>
      </c>
      <c r="K572" s="3" t="s">
        <v>27</v>
      </c>
      <c r="L572" t="str">
        <f>IFERROR(VLOOKUP(D572,Products!$A$2:$F$61,3,FALSE()),"")</f>
        <v>Grocery</v>
      </c>
      <c r="M572" t="str">
        <f>IFERROR(VLOOKUP(E572,Sales_Reps!$A$2:$C$31,3,FALSE()),"")</f>
        <v>North</v>
      </c>
      <c r="N572">
        <f>IFERROR(VLOOKUP(D572,Products!$A$2:$F$61,4,FALSE()),"")</f>
        <v>1182</v>
      </c>
      <c r="O572" t="str">
        <f>IFERROR(VLOOKUP(C572,Customers!$A$2:$F$301,5,FALSE()),"")</f>
        <v>Corporate</v>
      </c>
      <c r="P572">
        <f>IFERROR(VLOOKUP(C572,Customers!$A$2:$F$301,3,FALSE()),"")</f>
        <v>37</v>
      </c>
      <c r="Q572">
        <f t="shared" si="24"/>
        <v>0.50336134453781511</v>
      </c>
      <c r="R572">
        <f>IF(AND(COUNTIF($A$2:$A$2027,A572)&gt;1,COUNTIF($A$2:A572,A572)=1),1,0)</f>
        <v>0</v>
      </c>
      <c r="S572" t="b">
        <f>IFERROR(VLOOKUP(D572,Products!$A$2:$F$61,6,FALSE()),"")</f>
        <v>1</v>
      </c>
      <c r="T572" t="str">
        <f>IF(COUNTIF(Customers!$A$2:$A$301,C572)=0,"Missing","OK")</f>
        <v>OK</v>
      </c>
      <c r="U572" t="str">
        <f t="shared" si="25"/>
        <v>Pune</v>
      </c>
      <c r="V572">
        <f t="shared" si="26"/>
        <v>0</v>
      </c>
    </row>
    <row r="573" spans="1:22" ht="15" customHeight="1" x14ac:dyDescent="0.35">
      <c r="A573" s="3" t="s">
        <v>961</v>
      </c>
      <c r="B573" s="4">
        <v>45633</v>
      </c>
      <c r="C573" s="3" t="s">
        <v>922</v>
      </c>
      <c r="D573" s="3" t="s">
        <v>36</v>
      </c>
      <c r="E573" s="3" t="s">
        <v>242</v>
      </c>
      <c r="F573" s="5">
        <v>10</v>
      </c>
      <c r="G573" s="5">
        <v>470</v>
      </c>
      <c r="H573" s="5">
        <v>2.1</v>
      </c>
      <c r="I573" s="5">
        <v>4601.3</v>
      </c>
      <c r="J573" s="3" t="s">
        <v>26</v>
      </c>
      <c r="K573" s="3" t="s">
        <v>56</v>
      </c>
      <c r="L573" t="str">
        <f>IFERROR(VLOOKUP(D573,Products!$A$2:$F$61,3,FALSE()),"")</f>
        <v>Sports</v>
      </c>
      <c r="M573" t="str">
        <f>IFERROR(VLOOKUP(E573,Sales_Reps!$A$2:$C$31,3,FALSE()),"")</f>
        <v>East</v>
      </c>
      <c r="N573">
        <f>IFERROR(VLOOKUP(D573,Products!$A$2:$F$61,4,FALSE()),"")</f>
        <v>302</v>
      </c>
      <c r="O573" t="str">
        <f>IFERROR(VLOOKUP(C573,Customers!$A$2:$F$301,5,FALSE()),"")</f>
        <v>SMB</v>
      </c>
      <c r="P573">
        <f>IFERROR(VLOOKUP(C573,Customers!$A$2:$F$301,3,FALSE()),"")</f>
        <v>36</v>
      </c>
      <c r="Q573">
        <f t="shared" si="24"/>
        <v>0.35744680851063831</v>
      </c>
      <c r="R573">
        <f>IF(AND(COUNTIF($A$2:$A$2027,A573)&gt;1,COUNTIF($A$2:A573,A573)=1),1,0)</f>
        <v>0</v>
      </c>
      <c r="S573" t="b">
        <f>IFERROR(VLOOKUP(D573,Products!$A$2:$F$61,6,FALSE()),"")</f>
        <v>0</v>
      </c>
      <c r="T573" t="str">
        <f>IF(COUNTIF(Customers!$A$2:$A$301,C573)=0,"Missing","OK")</f>
        <v>OK</v>
      </c>
      <c r="U573" t="str">
        <f t="shared" si="25"/>
        <v>Bengaluru</v>
      </c>
      <c r="V573">
        <f t="shared" si="26"/>
        <v>0</v>
      </c>
    </row>
    <row r="574" spans="1:22" ht="15" customHeight="1" x14ac:dyDescent="0.35">
      <c r="A574" s="3" t="s">
        <v>962</v>
      </c>
      <c r="B574" s="4">
        <v>45480</v>
      </c>
      <c r="C574" s="3" t="s">
        <v>390</v>
      </c>
      <c r="D574" s="3" t="s">
        <v>130</v>
      </c>
      <c r="E574" s="3" t="s">
        <v>50</v>
      </c>
      <c r="F574" s="5">
        <v>5</v>
      </c>
      <c r="G574" s="5">
        <v>5100</v>
      </c>
      <c r="H574" s="5">
        <v>9.6999999999999993</v>
      </c>
      <c r="I574" s="5">
        <v>23026.5</v>
      </c>
      <c r="J574" s="3" t="s">
        <v>26</v>
      </c>
      <c r="K574" s="3" t="s">
        <v>38</v>
      </c>
      <c r="L574" t="str">
        <f>IFERROR(VLOOKUP(D574,Products!$A$2:$F$61,3,FALSE()),"")</f>
        <v>Beauty</v>
      </c>
      <c r="M574" t="str">
        <f>IFERROR(VLOOKUP(E574,Sales_Reps!$A$2:$C$31,3,FALSE()),"")</f>
        <v>West</v>
      </c>
      <c r="N574">
        <f>IFERROR(VLOOKUP(D574,Products!$A$2:$F$61,4,FALSE()),"")</f>
        <v>2237</v>
      </c>
      <c r="O574" t="str">
        <f>IFERROR(VLOOKUP(C574,Customers!$A$2:$F$301,5,FALSE()),"")</f>
        <v>SMB</v>
      </c>
      <c r="P574">
        <f>IFERROR(VLOOKUP(C574,Customers!$A$2:$F$301,3,FALSE()),"")</f>
        <v>34</v>
      </c>
      <c r="Q574">
        <f t="shared" si="24"/>
        <v>0.56137254901960787</v>
      </c>
      <c r="R574">
        <f>IF(AND(COUNTIF($A$2:$A$2027,A574)&gt;1,COUNTIF($A$2:A574,A574)=1),1,0)</f>
        <v>0</v>
      </c>
      <c r="S574" t="b">
        <f>IFERROR(VLOOKUP(D574,Products!$A$2:$F$61,6,FALSE()),"")</f>
        <v>1</v>
      </c>
      <c r="T574" t="str">
        <f>IF(COUNTIF(Customers!$A$2:$A$301,C574)=0,"Missing","OK")</f>
        <v>OK</v>
      </c>
      <c r="U574" t="str">
        <f t="shared" si="25"/>
        <v>Delhi</v>
      </c>
      <c r="V574">
        <f t="shared" si="26"/>
        <v>0</v>
      </c>
    </row>
    <row r="575" spans="1:22" ht="15" customHeight="1" x14ac:dyDescent="0.35">
      <c r="A575" s="3" t="s">
        <v>963</v>
      </c>
      <c r="B575" s="4">
        <v>45402</v>
      </c>
      <c r="C575" s="3" t="s">
        <v>105</v>
      </c>
      <c r="D575" s="3" t="s">
        <v>319</v>
      </c>
      <c r="E575" s="3" t="s">
        <v>140</v>
      </c>
      <c r="F575" s="5">
        <v>9</v>
      </c>
      <c r="G575" s="5">
        <v>960</v>
      </c>
      <c r="H575" s="5">
        <v>17.7</v>
      </c>
      <c r="I575" s="5">
        <v>7110.72</v>
      </c>
      <c r="J575" s="3" t="s">
        <v>26</v>
      </c>
      <c r="K575" s="3" t="s">
        <v>72</v>
      </c>
      <c r="L575" t="str">
        <f>IFERROR(VLOOKUP(D575,Products!$A$2:$F$61,3,FALSE()),"")</f>
        <v>Beauty</v>
      </c>
      <c r="M575" t="str">
        <f>IFERROR(VLOOKUP(E575,Sales_Reps!$A$2:$C$31,3,FALSE()),"")</f>
        <v>West</v>
      </c>
      <c r="N575">
        <f>IFERROR(VLOOKUP(D575,Products!$A$2:$F$61,4,FALSE()),"")</f>
        <v>675</v>
      </c>
      <c r="O575" t="str">
        <f>IFERROR(VLOOKUP(C575,Customers!$A$2:$F$301,5,FALSE()),"")</f>
        <v>Retail</v>
      </c>
      <c r="P575">
        <f>IFERROR(VLOOKUP(C575,Customers!$A$2:$F$301,3,FALSE()),"")</f>
        <v>32</v>
      </c>
      <c r="Q575">
        <f t="shared" si="24"/>
        <v>0.296875</v>
      </c>
      <c r="R575">
        <f>IF(AND(COUNTIF($A$2:$A$2027,A575)&gt;1,COUNTIF($A$2:A575,A575)=1),1,0)</f>
        <v>0</v>
      </c>
      <c r="S575" t="b">
        <f>IFERROR(VLOOKUP(D575,Products!$A$2:$F$61,6,FALSE()),"")</f>
        <v>1</v>
      </c>
      <c r="T575" t="str">
        <f>IF(COUNTIF(Customers!$A$2:$A$301,C575)=0,"Missing","OK")</f>
        <v>OK</v>
      </c>
      <c r="U575" t="str">
        <f t="shared" si="25"/>
        <v>Hyderabad</v>
      </c>
      <c r="V575">
        <f t="shared" si="26"/>
        <v>0</v>
      </c>
    </row>
    <row r="576" spans="1:22" ht="15" customHeight="1" x14ac:dyDescent="0.35">
      <c r="A576" s="3" t="s">
        <v>964</v>
      </c>
      <c r="B576" s="4">
        <v>45478</v>
      </c>
      <c r="C576" s="3" t="s">
        <v>145</v>
      </c>
      <c r="D576" s="3" t="s">
        <v>203</v>
      </c>
      <c r="E576" s="3" t="s">
        <v>25</v>
      </c>
      <c r="F576" s="5">
        <v>2</v>
      </c>
      <c r="G576" s="5">
        <v>4070</v>
      </c>
      <c r="H576" s="5">
        <v>2.1</v>
      </c>
      <c r="I576" s="5">
        <v>7969.06</v>
      </c>
      <c r="J576" s="3" t="s">
        <v>26</v>
      </c>
      <c r="K576" s="3" t="s">
        <v>72</v>
      </c>
      <c r="L576" t="str">
        <f>IFERROR(VLOOKUP(D576,Products!$A$2:$F$61,3,FALSE()),"")</f>
        <v>Grocery</v>
      </c>
      <c r="M576" t="str">
        <f>IFERROR(VLOOKUP(E576,Sales_Reps!$A$2:$C$31,3,FALSE()),"")</f>
        <v>North</v>
      </c>
      <c r="N576">
        <f>IFERROR(VLOOKUP(D576,Products!$A$2:$F$61,4,FALSE()),"")</f>
        <v>2027</v>
      </c>
      <c r="O576" t="str">
        <f>IFERROR(VLOOKUP(C576,Customers!$A$2:$F$301,5,FALSE()),"")</f>
        <v>SMB</v>
      </c>
      <c r="P576">
        <f>IFERROR(VLOOKUP(C576,Customers!$A$2:$F$301,3,FALSE()),"")</f>
        <v>40</v>
      </c>
      <c r="Q576">
        <f t="shared" si="24"/>
        <v>0.50196560196560192</v>
      </c>
      <c r="R576">
        <f>IF(AND(COUNTIF($A$2:$A$2027,A576)&gt;1,COUNTIF($A$2:A576,A576)=1),1,0)</f>
        <v>0</v>
      </c>
      <c r="S576" t="b">
        <f>IFERROR(VLOOKUP(D576,Products!$A$2:$F$61,6,FALSE()),"")</f>
        <v>1</v>
      </c>
      <c r="T576" t="str">
        <f>IF(COUNTIF(Customers!$A$2:$A$301,C576)=0,"Missing","OK")</f>
        <v>OK</v>
      </c>
      <c r="U576" t="str">
        <f t="shared" si="25"/>
        <v>Hyderabad</v>
      </c>
      <c r="V576">
        <f t="shared" si="26"/>
        <v>0</v>
      </c>
    </row>
    <row r="577" spans="1:22" ht="15" customHeight="1" x14ac:dyDescent="0.35">
      <c r="A577" s="3" t="s">
        <v>965</v>
      </c>
      <c r="B577" s="4">
        <v>45358</v>
      </c>
      <c r="C577" s="3" t="s">
        <v>966</v>
      </c>
      <c r="D577" s="3" t="s">
        <v>165</v>
      </c>
      <c r="E577" s="3" t="s">
        <v>97</v>
      </c>
      <c r="F577" s="5">
        <v>5</v>
      </c>
      <c r="G577" s="5">
        <v>3730</v>
      </c>
      <c r="H577" s="5">
        <v>16.5</v>
      </c>
      <c r="I577" s="5">
        <v>15572.75</v>
      </c>
      <c r="J577" s="3" t="s">
        <v>26</v>
      </c>
      <c r="K577" s="3" t="s">
        <v>51</v>
      </c>
      <c r="L577" t="str">
        <f>IFERROR(VLOOKUP(D577,Products!$A$2:$F$61,3,FALSE()),"")</f>
        <v>Home</v>
      </c>
      <c r="M577" t="str">
        <f>IFERROR(VLOOKUP(E577,Sales_Reps!$A$2:$C$31,3,FALSE()),"")</f>
        <v>East</v>
      </c>
      <c r="N577">
        <f>IFERROR(VLOOKUP(D577,Products!$A$2:$F$61,4,FALSE()),"")</f>
        <v>2135</v>
      </c>
      <c r="O577" t="str">
        <f>IFERROR(VLOOKUP(C577,Customers!$A$2:$F$301,5,FALSE()),"")</f>
        <v>SMB</v>
      </c>
      <c r="P577">
        <f>IFERROR(VLOOKUP(C577,Customers!$A$2:$F$301,3,FALSE()),"")</f>
        <v>47</v>
      </c>
      <c r="Q577">
        <f t="shared" si="24"/>
        <v>0.42761394101876676</v>
      </c>
      <c r="R577">
        <f>IF(AND(COUNTIF($A$2:$A$2027,A577)&gt;1,COUNTIF($A$2:A577,A577)=1),1,0)</f>
        <v>0</v>
      </c>
      <c r="S577" t="b">
        <f>IFERROR(VLOOKUP(D577,Products!$A$2:$F$61,6,FALSE()),"")</f>
        <v>1</v>
      </c>
      <c r="T577" t="str">
        <f>IF(COUNTIF(Customers!$A$2:$A$301,C577)=0,"Missing","OK")</f>
        <v>OK</v>
      </c>
      <c r="U577" t="str">
        <f t="shared" si="25"/>
        <v>Mumbai</v>
      </c>
      <c r="V577">
        <f t="shared" si="26"/>
        <v>0</v>
      </c>
    </row>
    <row r="578" spans="1:22" ht="15" customHeight="1" x14ac:dyDescent="0.35">
      <c r="A578" s="3" t="s">
        <v>967</v>
      </c>
      <c r="B578" s="4">
        <v>45589</v>
      </c>
      <c r="C578" s="3" t="s">
        <v>40</v>
      </c>
      <c r="D578" s="3" t="s">
        <v>134</v>
      </c>
      <c r="E578" s="3" t="s">
        <v>224</v>
      </c>
      <c r="F578" s="5">
        <v>1</v>
      </c>
      <c r="G578" s="5">
        <v>2860</v>
      </c>
      <c r="H578" s="5">
        <v>10.4</v>
      </c>
      <c r="I578" s="5">
        <v>2562.56</v>
      </c>
      <c r="J578" s="3" t="s">
        <v>79</v>
      </c>
      <c r="K578" s="3" t="s">
        <v>38</v>
      </c>
      <c r="L578" t="str">
        <f>IFERROR(VLOOKUP(D578,Products!$A$2:$F$61,3,FALSE()),"")</f>
        <v>Sports</v>
      </c>
      <c r="M578" t="str">
        <f>IFERROR(VLOOKUP(E578,Sales_Reps!$A$2:$C$31,3,FALSE()),"")</f>
        <v>East</v>
      </c>
      <c r="N578">
        <f>IFERROR(VLOOKUP(D578,Products!$A$2:$F$61,4,FALSE()),"")</f>
        <v>2028</v>
      </c>
      <c r="O578" t="str">
        <f>IFERROR(VLOOKUP(C578,Customers!$A$2:$F$301,5,FALSE()),"")</f>
        <v>Corporate</v>
      </c>
      <c r="P578">
        <f>IFERROR(VLOOKUP(C578,Customers!$A$2:$F$301,3,FALSE()),"")</f>
        <v>46</v>
      </c>
      <c r="Q578">
        <f t="shared" ref="Q578:Q641" si="27">IFERROR((G578-N578)/G578,"")</f>
        <v>0.29090909090909089</v>
      </c>
      <c r="R578">
        <f>IF(AND(COUNTIF($A$2:$A$2027,A578)&gt;1,COUNTIF($A$2:A578,A578)=1),1,0)</f>
        <v>0</v>
      </c>
      <c r="S578" t="b">
        <f>IFERROR(VLOOKUP(D578,Products!$A$2:$F$61,6,FALSE()),"")</f>
        <v>1</v>
      </c>
      <c r="T578" t="str">
        <f>IF(COUNTIF(Customers!$A$2:$A$301,C578)=0,"Missing","OK")</f>
        <v>OK</v>
      </c>
      <c r="U578" t="str">
        <f t="shared" ref="U578:U641" si="28">IF(K578="","",PROPER(TRIM(K578)))</f>
        <v>Delhi</v>
      </c>
      <c r="V578">
        <f t="shared" ref="V578:V641" si="29">IF(AND(U578="Bengaluru",L578="Grocery"),I578,0)</f>
        <v>0</v>
      </c>
    </row>
    <row r="579" spans="1:22" ht="15" customHeight="1" x14ac:dyDescent="0.35">
      <c r="A579" s="3" t="s">
        <v>968</v>
      </c>
      <c r="B579" s="4">
        <v>45507</v>
      </c>
      <c r="C579" s="3" t="s">
        <v>741</v>
      </c>
      <c r="D579" s="3" t="s">
        <v>123</v>
      </c>
      <c r="E579" s="3" t="s">
        <v>242</v>
      </c>
      <c r="F579" s="5">
        <v>4</v>
      </c>
      <c r="G579" s="5">
        <v>4880</v>
      </c>
      <c r="H579" s="5">
        <v>27.5</v>
      </c>
      <c r="I579" s="5">
        <v>14152</v>
      </c>
      <c r="J579" s="3" t="s">
        <v>32</v>
      </c>
      <c r="K579" s="3" t="s">
        <v>33</v>
      </c>
      <c r="L579" t="str">
        <f>IFERROR(VLOOKUP(D579,Products!$A$2:$F$61,3,FALSE()),"")</f>
        <v>Beauty</v>
      </c>
      <c r="M579" t="str">
        <f>IFERROR(VLOOKUP(E579,Sales_Reps!$A$2:$C$31,3,FALSE()),"")</f>
        <v>East</v>
      </c>
      <c r="N579">
        <f>IFERROR(VLOOKUP(D579,Products!$A$2:$F$61,4,FALSE()),"")</f>
        <v>2768</v>
      </c>
      <c r="O579" t="str">
        <f>IFERROR(VLOOKUP(C579,Customers!$A$2:$F$301,5,FALSE()),"")</f>
        <v>SMB</v>
      </c>
      <c r="P579">
        <f>IFERROR(VLOOKUP(C579,Customers!$A$2:$F$301,3,FALSE()),"")</f>
        <v>39</v>
      </c>
      <c r="Q579">
        <f t="shared" si="27"/>
        <v>0.43278688524590164</v>
      </c>
      <c r="R579">
        <f>IF(AND(COUNTIF($A$2:$A$2027,A579)&gt;1,COUNTIF($A$2:A579,A579)=1),1,0)</f>
        <v>0</v>
      </c>
      <c r="S579" t="b">
        <f>IFERROR(VLOOKUP(D579,Products!$A$2:$F$61,6,FALSE()),"")</f>
        <v>1</v>
      </c>
      <c r="T579" t="str">
        <f>IF(COUNTIF(Customers!$A$2:$A$301,C579)=0,"Missing","OK")</f>
        <v>OK</v>
      </c>
      <c r="U579" t="str">
        <f t="shared" si="28"/>
        <v>Chennai</v>
      </c>
      <c r="V579">
        <f t="shared" si="29"/>
        <v>0</v>
      </c>
    </row>
    <row r="580" spans="1:22" ht="15" customHeight="1" x14ac:dyDescent="0.35">
      <c r="A580" s="3" t="s">
        <v>969</v>
      </c>
      <c r="B580" s="4">
        <v>45470</v>
      </c>
      <c r="C580" s="3" t="s">
        <v>762</v>
      </c>
      <c r="D580" s="3" t="s">
        <v>184</v>
      </c>
      <c r="E580" s="3" t="s">
        <v>224</v>
      </c>
      <c r="F580" s="5">
        <v>3</v>
      </c>
      <c r="G580" s="5">
        <v>2270</v>
      </c>
      <c r="H580" s="5">
        <v>6.7</v>
      </c>
      <c r="I580" s="5">
        <v>6353.73</v>
      </c>
      <c r="J580" s="3" t="s">
        <v>26</v>
      </c>
      <c r="K580" s="3" t="s">
        <v>33</v>
      </c>
      <c r="L580" t="str">
        <f>IFERROR(VLOOKUP(D580,Products!$A$2:$F$61,3,FALSE()),"")</f>
        <v>Grocery</v>
      </c>
      <c r="M580" t="str">
        <f>IFERROR(VLOOKUP(E580,Sales_Reps!$A$2:$C$31,3,FALSE()),"")</f>
        <v>East</v>
      </c>
      <c r="N580">
        <f>IFERROR(VLOOKUP(D580,Products!$A$2:$F$61,4,FALSE()),"")</f>
        <v>1412</v>
      </c>
      <c r="O580" t="str">
        <f>IFERROR(VLOOKUP(C580,Customers!$A$2:$F$301,5,FALSE()),"")</f>
        <v>Retail</v>
      </c>
      <c r="P580">
        <f>IFERROR(VLOOKUP(C580,Customers!$A$2:$F$301,3,FALSE()),"")</f>
        <v>32</v>
      </c>
      <c r="Q580">
        <f t="shared" si="27"/>
        <v>0.37797356828193834</v>
      </c>
      <c r="R580">
        <f>IF(AND(COUNTIF($A$2:$A$2027,A580)&gt;1,COUNTIF($A$2:A580,A580)=1),1,0)</f>
        <v>0</v>
      </c>
      <c r="S580" t="b">
        <f>IFERROR(VLOOKUP(D580,Products!$A$2:$F$61,6,FALSE()),"")</f>
        <v>1</v>
      </c>
      <c r="T580" t="str">
        <f>IF(COUNTIF(Customers!$A$2:$A$301,C580)=0,"Missing","OK")</f>
        <v>OK</v>
      </c>
      <c r="U580" t="str">
        <f t="shared" si="28"/>
        <v>Chennai</v>
      </c>
      <c r="V580">
        <f t="shared" si="29"/>
        <v>0</v>
      </c>
    </row>
    <row r="581" spans="1:22" ht="15" customHeight="1" x14ac:dyDescent="0.35">
      <c r="A581" s="3" t="s">
        <v>970</v>
      </c>
      <c r="B581" s="4">
        <v>45589</v>
      </c>
      <c r="C581" s="3" t="s">
        <v>496</v>
      </c>
      <c r="D581" s="3" t="s">
        <v>290</v>
      </c>
      <c r="E581" s="3" t="s">
        <v>25</v>
      </c>
      <c r="F581" s="5">
        <v>10</v>
      </c>
      <c r="G581" s="5">
        <v>4060</v>
      </c>
      <c r="H581" s="5">
        <v>3.6</v>
      </c>
      <c r="I581" s="5">
        <v>39138.400000000001</v>
      </c>
      <c r="J581" s="3" t="s">
        <v>32</v>
      </c>
      <c r="K581" s="3" t="s">
        <v>51</v>
      </c>
      <c r="L581" t="str">
        <f>IFERROR(VLOOKUP(D581,Products!$A$2:$F$61,3,FALSE()),"")</f>
        <v>Grocery</v>
      </c>
      <c r="M581" t="str">
        <f>IFERROR(VLOOKUP(E581,Sales_Reps!$A$2:$C$31,3,FALSE()),"")</f>
        <v>North</v>
      </c>
      <c r="N581">
        <f>IFERROR(VLOOKUP(D581,Products!$A$2:$F$61,4,FALSE()),"")</f>
        <v>2911</v>
      </c>
      <c r="O581" t="str">
        <f>IFERROR(VLOOKUP(C581,Customers!$A$2:$F$301,5,FALSE()),"")</f>
        <v>Retail</v>
      </c>
      <c r="P581">
        <f>IFERROR(VLOOKUP(C581,Customers!$A$2:$F$301,3,FALSE()),"")</f>
        <v>65</v>
      </c>
      <c r="Q581">
        <f t="shared" si="27"/>
        <v>0.28300492610837441</v>
      </c>
      <c r="R581">
        <f>IF(AND(COUNTIF($A$2:$A$2027,A581)&gt;1,COUNTIF($A$2:A581,A581)=1),1,0)</f>
        <v>0</v>
      </c>
      <c r="S581" t="b">
        <f>IFERROR(VLOOKUP(D581,Products!$A$2:$F$61,6,FALSE()),"")</f>
        <v>1</v>
      </c>
      <c r="T581" t="str">
        <f>IF(COUNTIF(Customers!$A$2:$A$301,C581)=0,"Missing","OK")</f>
        <v>OK</v>
      </c>
      <c r="U581" t="str">
        <f t="shared" si="28"/>
        <v>Mumbai</v>
      </c>
      <c r="V581">
        <f t="shared" si="29"/>
        <v>0</v>
      </c>
    </row>
    <row r="582" spans="1:22" ht="15" customHeight="1" x14ac:dyDescent="0.35">
      <c r="A582" s="3" t="s">
        <v>971</v>
      </c>
      <c r="B582" s="4">
        <v>45433</v>
      </c>
      <c r="C582" s="3" t="s">
        <v>554</v>
      </c>
      <c r="D582" s="3" t="s">
        <v>74</v>
      </c>
      <c r="E582" s="3" t="s">
        <v>78</v>
      </c>
      <c r="F582" s="5">
        <v>8</v>
      </c>
      <c r="G582" s="5">
        <v>2640</v>
      </c>
      <c r="H582" s="5">
        <v>28.8</v>
      </c>
      <c r="I582" s="5">
        <v>15037.44</v>
      </c>
      <c r="J582" s="3" t="s">
        <v>26</v>
      </c>
      <c r="K582" s="3" t="s">
        <v>51</v>
      </c>
      <c r="L582" t="str">
        <f>IFERROR(VLOOKUP(D582,Products!$A$2:$F$61,3,FALSE()),"")</f>
        <v>Electronics</v>
      </c>
      <c r="M582" t="str">
        <f>IFERROR(VLOOKUP(E582,Sales_Reps!$A$2:$C$31,3,FALSE()),"")</f>
        <v>North</v>
      </c>
      <c r="N582">
        <f>IFERROR(VLOOKUP(D582,Products!$A$2:$F$61,4,FALSE()),"")</f>
        <v>1149</v>
      </c>
      <c r="O582" t="str">
        <f>IFERROR(VLOOKUP(C582,Customers!$A$2:$F$301,5,FALSE()),"")</f>
        <v>Retail</v>
      </c>
      <c r="P582">
        <f>IFERROR(VLOOKUP(C582,Customers!$A$2:$F$301,3,FALSE()),"")</f>
        <v>53</v>
      </c>
      <c r="Q582">
        <f t="shared" si="27"/>
        <v>0.56477272727272732</v>
      </c>
      <c r="R582">
        <f>IF(AND(COUNTIF($A$2:$A$2027,A582)&gt;1,COUNTIF($A$2:A582,A582)=1),1,0)</f>
        <v>0</v>
      </c>
      <c r="S582" t="b">
        <f>IFERROR(VLOOKUP(D582,Products!$A$2:$F$61,6,FALSE()),"")</f>
        <v>1</v>
      </c>
      <c r="T582" t="str">
        <f>IF(COUNTIF(Customers!$A$2:$A$301,C582)=0,"Missing","OK")</f>
        <v>OK</v>
      </c>
      <c r="U582" t="str">
        <f t="shared" si="28"/>
        <v>Mumbai</v>
      </c>
      <c r="V582">
        <f t="shared" si="29"/>
        <v>0</v>
      </c>
    </row>
    <row r="583" spans="1:22" ht="15" customHeight="1" x14ac:dyDescent="0.35">
      <c r="A583" s="3" t="s">
        <v>972</v>
      </c>
      <c r="B583" s="4">
        <v>45477</v>
      </c>
      <c r="C583" s="3" t="s">
        <v>429</v>
      </c>
      <c r="D583" s="3" t="s">
        <v>165</v>
      </c>
      <c r="E583" s="3" t="s">
        <v>264</v>
      </c>
      <c r="F583" s="5">
        <v>6</v>
      </c>
      <c r="G583" s="5">
        <v>3730</v>
      </c>
      <c r="H583" s="5">
        <v>21.9</v>
      </c>
      <c r="I583" s="5">
        <v>17478.78</v>
      </c>
      <c r="J583" s="3" t="s">
        <v>26</v>
      </c>
      <c r="K583" s="3" t="s">
        <v>38</v>
      </c>
      <c r="L583" t="str">
        <f>IFERROR(VLOOKUP(D583,Products!$A$2:$F$61,3,FALSE()),"")</f>
        <v>Home</v>
      </c>
      <c r="M583" t="str">
        <f>IFERROR(VLOOKUP(E583,Sales_Reps!$A$2:$C$31,3,FALSE()),"")</f>
        <v>South</v>
      </c>
      <c r="N583">
        <f>IFERROR(VLOOKUP(D583,Products!$A$2:$F$61,4,FALSE()),"")</f>
        <v>2135</v>
      </c>
      <c r="O583" t="str">
        <f>IFERROR(VLOOKUP(C583,Customers!$A$2:$F$301,5,FALSE()),"")</f>
        <v>Retail</v>
      </c>
      <c r="P583">
        <f>IFERROR(VLOOKUP(C583,Customers!$A$2:$F$301,3,FALSE()),"")</f>
        <v>59</v>
      </c>
      <c r="Q583">
        <f t="shared" si="27"/>
        <v>0.42761394101876676</v>
      </c>
      <c r="R583">
        <f>IF(AND(COUNTIF($A$2:$A$2027,A583)&gt;1,COUNTIF($A$2:A583,A583)=1),1,0)</f>
        <v>0</v>
      </c>
      <c r="S583" t="b">
        <f>IFERROR(VLOOKUP(D583,Products!$A$2:$F$61,6,FALSE()),"")</f>
        <v>1</v>
      </c>
      <c r="T583" t="str">
        <f>IF(COUNTIF(Customers!$A$2:$A$301,C583)=0,"Missing","OK")</f>
        <v>OK</v>
      </c>
      <c r="U583" t="str">
        <f t="shared" si="28"/>
        <v>Delhi</v>
      </c>
      <c r="V583">
        <f t="shared" si="29"/>
        <v>0</v>
      </c>
    </row>
    <row r="584" spans="1:22" ht="15" customHeight="1" x14ac:dyDescent="0.35">
      <c r="A584" s="3" t="s">
        <v>973</v>
      </c>
      <c r="B584" s="4">
        <v>45443</v>
      </c>
      <c r="C584" s="3" t="s">
        <v>429</v>
      </c>
      <c r="D584" s="3" t="s">
        <v>303</v>
      </c>
      <c r="E584" s="3" t="s">
        <v>42</v>
      </c>
      <c r="F584" s="5">
        <v>9</v>
      </c>
      <c r="G584" s="5">
        <v>5330</v>
      </c>
      <c r="H584" s="5">
        <v>29.4</v>
      </c>
      <c r="I584" s="5">
        <v>33866.82</v>
      </c>
      <c r="J584" s="3" t="s">
        <v>79</v>
      </c>
      <c r="K584" s="3" t="s">
        <v>38</v>
      </c>
      <c r="L584" t="str">
        <f>IFERROR(VLOOKUP(D584,Products!$A$2:$F$61,3,FALSE()),"")</f>
        <v>Electronics</v>
      </c>
      <c r="M584" t="str">
        <f>IFERROR(VLOOKUP(E584,Sales_Reps!$A$2:$C$31,3,FALSE()),"")</f>
        <v>North</v>
      </c>
      <c r="N584">
        <f>IFERROR(VLOOKUP(D584,Products!$A$2:$F$61,4,FALSE()),"")</f>
        <v>2405</v>
      </c>
      <c r="O584" t="str">
        <f>IFERROR(VLOOKUP(C584,Customers!$A$2:$F$301,5,FALSE()),"")</f>
        <v>Retail</v>
      </c>
      <c r="P584">
        <f>IFERROR(VLOOKUP(C584,Customers!$A$2:$F$301,3,FALSE()),"")</f>
        <v>59</v>
      </c>
      <c r="Q584">
        <f t="shared" si="27"/>
        <v>0.54878048780487809</v>
      </c>
      <c r="R584">
        <f>IF(AND(COUNTIF($A$2:$A$2027,A584)&gt;1,COUNTIF($A$2:A584,A584)=1),1,0)</f>
        <v>0</v>
      </c>
      <c r="S584" t="b">
        <f>IFERROR(VLOOKUP(D584,Products!$A$2:$F$61,6,FALSE()),"")</f>
        <v>1</v>
      </c>
      <c r="T584" t="str">
        <f>IF(COUNTIF(Customers!$A$2:$A$301,C584)=0,"Missing","OK")</f>
        <v>OK</v>
      </c>
      <c r="U584" t="str">
        <f t="shared" si="28"/>
        <v>Delhi</v>
      </c>
      <c r="V584">
        <f t="shared" si="29"/>
        <v>0</v>
      </c>
    </row>
    <row r="585" spans="1:22" ht="15" customHeight="1" x14ac:dyDescent="0.35">
      <c r="A585" s="3" t="s">
        <v>974</v>
      </c>
      <c r="B585" s="4">
        <v>45322</v>
      </c>
      <c r="C585" s="3" t="s">
        <v>975</v>
      </c>
      <c r="D585" s="3" t="s">
        <v>391</v>
      </c>
      <c r="E585" s="3" t="s">
        <v>282</v>
      </c>
      <c r="F585" s="5">
        <v>1</v>
      </c>
      <c r="G585" s="5">
        <v>3450</v>
      </c>
      <c r="H585" s="5">
        <v>23.3</v>
      </c>
      <c r="I585" s="5">
        <v>2646.15</v>
      </c>
      <c r="J585" s="3" t="s">
        <v>26</v>
      </c>
      <c r="K585" s="3" t="s">
        <v>51</v>
      </c>
      <c r="L585" t="str">
        <f>IFERROR(VLOOKUP(D585,Products!$A$2:$F$61,3,FALSE()),"")</f>
        <v>Apparel</v>
      </c>
      <c r="M585" t="str">
        <f>IFERROR(VLOOKUP(E585,Sales_Reps!$A$2:$C$31,3,FALSE()),"")</f>
        <v>West</v>
      </c>
      <c r="N585">
        <f>IFERROR(VLOOKUP(D585,Products!$A$2:$F$61,4,FALSE()),"")</f>
        <v>1748</v>
      </c>
      <c r="O585" t="str">
        <f>IFERROR(VLOOKUP(C585,Customers!$A$2:$F$301,5,FALSE()),"")</f>
        <v>Retail</v>
      </c>
      <c r="P585">
        <f>IFERROR(VLOOKUP(C585,Customers!$A$2:$F$301,3,FALSE()),"")</f>
        <v>33</v>
      </c>
      <c r="Q585">
        <f t="shared" si="27"/>
        <v>0.49333333333333335</v>
      </c>
      <c r="R585">
        <f>IF(AND(COUNTIF($A$2:$A$2027,A585)&gt;1,COUNTIF($A$2:A585,A585)=1),1,0)</f>
        <v>0</v>
      </c>
      <c r="S585" t="b">
        <f>IFERROR(VLOOKUP(D585,Products!$A$2:$F$61,6,FALSE()),"")</f>
        <v>1</v>
      </c>
      <c r="T585" t="str">
        <f>IF(COUNTIF(Customers!$A$2:$A$301,C585)=0,"Missing","OK")</f>
        <v>OK</v>
      </c>
      <c r="U585" t="str">
        <f t="shared" si="28"/>
        <v>Mumbai</v>
      </c>
      <c r="V585">
        <f t="shared" si="29"/>
        <v>0</v>
      </c>
    </row>
    <row r="586" spans="1:22" ht="15" customHeight="1" x14ac:dyDescent="0.35">
      <c r="A586" s="3" t="s">
        <v>976</v>
      </c>
      <c r="B586" s="4">
        <v>45544</v>
      </c>
      <c r="C586" s="3" t="s">
        <v>977</v>
      </c>
      <c r="D586" s="3" t="s">
        <v>180</v>
      </c>
      <c r="E586" s="3" t="s">
        <v>177</v>
      </c>
      <c r="F586" s="5">
        <v>3</v>
      </c>
      <c r="G586" s="5">
        <v>6080</v>
      </c>
      <c r="H586" s="5">
        <v>14.5</v>
      </c>
      <c r="I586" s="5">
        <v>15595.2</v>
      </c>
      <c r="J586" s="3" t="s">
        <v>26</v>
      </c>
      <c r="K586" s="3" t="s">
        <v>56</v>
      </c>
      <c r="L586" t="str">
        <f>IFERROR(VLOOKUP(D586,Products!$A$2:$F$61,3,FALSE()),"")</f>
        <v>Beauty</v>
      </c>
      <c r="M586" t="str">
        <f>IFERROR(VLOOKUP(E586,Sales_Reps!$A$2:$C$31,3,FALSE()),"")</f>
        <v>East</v>
      </c>
      <c r="N586">
        <f>IFERROR(VLOOKUP(D586,Products!$A$2:$F$61,4,FALSE()),"")</f>
        <v>2617</v>
      </c>
      <c r="O586" t="str">
        <f>IFERROR(VLOOKUP(C586,Customers!$A$2:$F$301,5,FALSE()),"")</f>
        <v>Corporate</v>
      </c>
      <c r="P586">
        <f>IFERROR(VLOOKUP(C586,Customers!$A$2:$F$301,3,FALSE()),"")</f>
        <v>55</v>
      </c>
      <c r="Q586">
        <f t="shared" si="27"/>
        <v>0.56957236842105263</v>
      </c>
      <c r="R586">
        <f>IF(AND(COUNTIF($A$2:$A$2027,A586)&gt;1,COUNTIF($A$2:A586,A586)=1),1,0)</f>
        <v>0</v>
      </c>
      <c r="S586" t="b">
        <f>IFERROR(VLOOKUP(D586,Products!$A$2:$F$61,6,FALSE()),"")</f>
        <v>1</v>
      </c>
      <c r="T586" t="str">
        <f>IF(COUNTIF(Customers!$A$2:$A$301,C586)=0,"Missing","OK")</f>
        <v>OK</v>
      </c>
      <c r="U586" t="str">
        <f t="shared" si="28"/>
        <v>Bengaluru</v>
      </c>
      <c r="V586">
        <f t="shared" si="29"/>
        <v>0</v>
      </c>
    </row>
    <row r="587" spans="1:22" ht="15" customHeight="1" x14ac:dyDescent="0.35">
      <c r="A587" s="3" t="s">
        <v>978</v>
      </c>
      <c r="B587" s="4">
        <v>45609</v>
      </c>
      <c r="C587" s="3" t="s">
        <v>249</v>
      </c>
      <c r="D587" s="3" t="s">
        <v>165</v>
      </c>
      <c r="E587" s="3" t="s">
        <v>236</v>
      </c>
      <c r="F587" s="5">
        <v>4</v>
      </c>
      <c r="G587" s="5">
        <v>3730</v>
      </c>
      <c r="H587" s="5">
        <v>3.4</v>
      </c>
      <c r="I587" s="5">
        <v>14412.72</v>
      </c>
      <c r="J587" s="3" t="s">
        <v>79</v>
      </c>
      <c r="K587" s="3" t="s">
        <v>56</v>
      </c>
      <c r="L587" t="str">
        <f>IFERROR(VLOOKUP(D587,Products!$A$2:$F$61,3,FALSE()),"")</f>
        <v>Home</v>
      </c>
      <c r="M587" t="str">
        <f>IFERROR(VLOOKUP(E587,Sales_Reps!$A$2:$C$31,3,FALSE()),"")</f>
        <v>North</v>
      </c>
      <c r="N587">
        <f>IFERROR(VLOOKUP(D587,Products!$A$2:$F$61,4,FALSE()),"")</f>
        <v>2135</v>
      </c>
      <c r="O587" t="str">
        <f>IFERROR(VLOOKUP(C587,Customers!$A$2:$F$301,5,FALSE()),"")</f>
        <v>Retail</v>
      </c>
      <c r="P587">
        <f>IFERROR(VLOOKUP(C587,Customers!$A$2:$F$301,3,FALSE()),"")</f>
        <v>42</v>
      </c>
      <c r="Q587">
        <f t="shared" si="27"/>
        <v>0.42761394101876676</v>
      </c>
      <c r="R587">
        <f>IF(AND(COUNTIF($A$2:$A$2027,A587)&gt;1,COUNTIF($A$2:A587,A587)=1),1,0)</f>
        <v>0</v>
      </c>
      <c r="S587" t="b">
        <f>IFERROR(VLOOKUP(D587,Products!$A$2:$F$61,6,FALSE()),"")</f>
        <v>1</v>
      </c>
      <c r="T587" t="str">
        <f>IF(COUNTIF(Customers!$A$2:$A$301,C587)=0,"Missing","OK")</f>
        <v>OK</v>
      </c>
      <c r="U587" t="str">
        <f t="shared" si="28"/>
        <v>Bengaluru</v>
      </c>
      <c r="V587">
        <f t="shared" si="29"/>
        <v>0</v>
      </c>
    </row>
    <row r="588" spans="1:22" ht="15" customHeight="1" x14ac:dyDescent="0.35">
      <c r="A588" s="3" t="s">
        <v>979</v>
      </c>
      <c r="B588" s="4">
        <v>45491</v>
      </c>
      <c r="C588" s="3" t="s">
        <v>240</v>
      </c>
      <c r="D588" s="3" t="s">
        <v>218</v>
      </c>
      <c r="E588" s="3" t="s">
        <v>224</v>
      </c>
      <c r="F588" s="5">
        <v>10</v>
      </c>
      <c r="G588" s="5">
        <v>2660</v>
      </c>
      <c r="H588" s="5">
        <v>2.1</v>
      </c>
      <c r="I588" s="5">
        <v>26041.4</v>
      </c>
      <c r="J588" s="3" t="s">
        <v>26</v>
      </c>
      <c r="K588" s="3" t="s">
        <v>33</v>
      </c>
      <c r="L588" t="str">
        <f>IFERROR(VLOOKUP(D588,Products!$A$2:$F$61,3,FALSE()),"")</f>
        <v>Electronics</v>
      </c>
      <c r="M588" t="str">
        <f>IFERROR(VLOOKUP(E588,Sales_Reps!$A$2:$C$31,3,FALSE()),"")</f>
        <v>East</v>
      </c>
      <c r="N588">
        <f>IFERROR(VLOOKUP(D588,Products!$A$2:$F$61,4,FALSE()),"")</f>
        <v>1259</v>
      </c>
      <c r="O588" t="str">
        <f>IFERROR(VLOOKUP(C588,Customers!$A$2:$F$301,5,FALSE()),"")</f>
        <v>Retail</v>
      </c>
      <c r="P588">
        <f>IFERROR(VLOOKUP(C588,Customers!$A$2:$F$301,3,FALSE()),"")</f>
        <v>41</v>
      </c>
      <c r="Q588">
        <f t="shared" si="27"/>
        <v>0.52669172932330832</v>
      </c>
      <c r="R588">
        <f>IF(AND(COUNTIF($A$2:$A$2027,A588)&gt;1,COUNTIF($A$2:A588,A588)=1),1,0)</f>
        <v>0</v>
      </c>
      <c r="S588" t="b">
        <f>IFERROR(VLOOKUP(D588,Products!$A$2:$F$61,6,FALSE()),"")</f>
        <v>0</v>
      </c>
      <c r="T588" t="str">
        <f>IF(COUNTIF(Customers!$A$2:$A$301,C588)=0,"Missing","OK")</f>
        <v>OK</v>
      </c>
      <c r="U588" t="str">
        <f t="shared" si="28"/>
        <v>Chennai</v>
      </c>
      <c r="V588">
        <f t="shared" si="29"/>
        <v>0</v>
      </c>
    </row>
    <row r="589" spans="1:22" ht="15" customHeight="1" x14ac:dyDescent="0.35">
      <c r="A589" s="3" t="s">
        <v>980</v>
      </c>
      <c r="B589" s="4">
        <v>45373</v>
      </c>
      <c r="C589" s="3" t="s">
        <v>114</v>
      </c>
      <c r="D589" s="3" t="s">
        <v>277</v>
      </c>
      <c r="E589" s="3" t="s">
        <v>97</v>
      </c>
      <c r="F589" s="5">
        <v>7</v>
      </c>
      <c r="G589" s="5">
        <v>2210</v>
      </c>
      <c r="H589" s="5">
        <v>17.100000000000001</v>
      </c>
      <c r="I589" s="5">
        <v>12824.63</v>
      </c>
      <c r="J589" s="3" t="s">
        <v>26</v>
      </c>
      <c r="K589" s="3" t="s">
        <v>72</v>
      </c>
      <c r="L589" t="str">
        <f>IFERROR(VLOOKUP(D589,Products!$A$2:$F$61,3,FALSE()),"")</f>
        <v>Grocery</v>
      </c>
      <c r="M589" t="str">
        <f>IFERROR(VLOOKUP(E589,Sales_Reps!$A$2:$C$31,3,FALSE()),"")</f>
        <v>East</v>
      </c>
      <c r="N589">
        <f>IFERROR(VLOOKUP(D589,Products!$A$2:$F$61,4,FALSE()),"")</f>
        <v>1010</v>
      </c>
      <c r="O589" t="str">
        <f>IFERROR(VLOOKUP(C589,Customers!$A$2:$F$301,5,FALSE()),"")</f>
        <v>SMB</v>
      </c>
      <c r="P589">
        <f>IFERROR(VLOOKUP(C589,Customers!$A$2:$F$301,3,FALSE()),"")</f>
        <v>40</v>
      </c>
      <c r="Q589">
        <f t="shared" si="27"/>
        <v>0.54298642533936647</v>
      </c>
      <c r="R589">
        <f>IF(AND(COUNTIF($A$2:$A$2027,A589)&gt;1,COUNTIF($A$2:A589,A589)=1),1,0)</f>
        <v>0</v>
      </c>
      <c r="S589" t="b">
        <f>IFERROR(VLOOKUP(D589,Products!$A$2:$F$61,6,FALSE()),"")</f>
        <v>1</v>
      </c>
      <c r="T589" t="str">
        <f>IF(COUNTIF(Customers!$A$2:$A$301,C589)=0,"Missing","OK")</f>
        <v>OK</v>
      </c>
      <c r="U589" t="str">
        <f t="shared" si="28"/>
        <v>Hyderabad</v>
      </c>
      <c r="V589">
        <f t="shared" si="29"/>
        <v>0</v>
      </c>
    </row>
    <row r="590" spans="1:22" ht="15" customHeight="1" x14ac:dyDescent="0.35">
      <c r="A590" s="3" t="s">
        <v>981</v>
      </c>
      <c r="B590" s="4">
        <v>45607</v>
      </c>
      <c r="C590" s="3" t="s">
        <v>133</v>
      </c>
      <c r="D590" s="3" t="s">
        <v>400</v>
      </c>
      <c r="E590" s="3" t="s">
        <v>191</v>
      </c>
      <c r="F590" s="5">
        <v>6</v>
      </c>
      <c r="G590" s="5">
        <v>3780</v>
      </c>
      <c r="H590" s="5">
        <v>12.7</v>
      </c>
      <c r="I590" s="5">
        <v>19799.64</v>
      </c>
      <c r="J590" s="3" t="s">
        <v>26</v>
      </c>
      <c r="K590" s="3" t="s">
        <v>27</v>
      </c>
      <c r="L590" t="str">
        <f>IFERROR(VLOOKUP(D590,Products!$A$2:$F$61,3,FALSE()),"")</f>
        <v>Sports</v>
      </c>
      <c r="M590" t="str">
        <f>IFERROR(VLOOKUP(E590,Sales_Reps!$A$2:$C$31,3,FALSE()),"")</f>
        <v>South</v>
      </c>
      <c r="N590">
        <f>IFERROR(VLOOKUP(D590,Products!$A$2:$F$61,4,FALSE()),"")</f>
        <v>1860</v>
      </c>
      <c r="O590" t="str">
        <f>IFERROR(VLOOKUP(C590,Customers!$A$2:$F$301,5,FALSE()),"")</f>
        <v>SMB</v>
      </c>
      <c r="P590">
        <f>IFERROR(VLOOKUP(C590,Customers!$A$2:$F$301,3,FALSE()),"")</f>
        <v>44</v>
      </c>
      <c r="Q590">
        <f t="shared" si="27"/>
        <v>0.50793650793650791</v>
      </c>
      <c r="R590">
        <f>IF(AND(COUNTIF($A$2:$A$2027,A590)&gt;1,COUNTIF($A$2:A590,A590)=1),1,0)</f>
        <v>0</v>
      </c>
      <c r="S590" t="b">
        <f>IFERROR(VLOOKUP(D590,Products!$A$2:$F$61,6,FALSE()),"")</f>
        <v>1</v>
      </c>
      <c r="T590" t="str">
        <f>IF(COUNTIF(Customers!$A$2:$A$301,C590)=0,"Missing","OK")</f>
        <v>OK</v>
      </c>
      <c r="U590" t="str">
        <f t="shared" si="28"/>
        <v>Pune</v>
      </c>
      <c r="V590">
        <f t="shared" si="29"/>
        <v>0</v>
      </c>
    </row>
    <row r="591" spans="1:22" ht="15" customHeight="1" x14ac:dyDescent="0.35">
      <c r="A591" s="3" t="s">
        <v>982</v>
      </c>
      <c r="B591" s="4">
        <v>45412</v>
      </c>
      <c r="C591" s="3" t="s">
        <v>902</v>
      </c>
      <c r="D591" s="3" t="s">
        <v>63</v>
      </c>
      <c r="E591" s="3" t="s">
        <v>168</v>
      </c>
      <c r="F591" s="5">
        <v>4</v>
      </c>
      <c r="G591" s="5">
        <v>5490</v>
      </c>
      <c r="H591" s="5">
        <v>26.9</v>
      </c>
      <c r="I591" s="5">
        <v>16052.76</v>
      </c>
      <c r="J591" s="3" t="s">
        <v>26</v>
      </c>
      <c r="K591" s="3" t="s">
        <v>33</v>
      </c>
      <c r="L591" t="str">
        <f>IFERROR(VLOOKUP(D591,Products!$A$2:$F$61,3,FALSE()),"")</f>
        <v>Home</v>
      </c>
      <c r="M591" t="str">
        <f>IFERROR(VLOOKUP(E591,Sales_Reps!$A$2:$C$31,3,FALSE()),"")</f>
        <v>West</v>
      </c>
      <c r="N591">
        <f>IFERROR(VLOOKUP(D591,Products!$A$2:$F$61,4,FALSE()),"")</f>
        <v>2549</v>
      </c>
      <c r="O591" t="str">
        <f>IFERROR(VLOOKUP(C591,Customers!$A$2:$F$301,5,FALSE()),"")</f>
        <v>Retail</v>
      </c>
      <c r="P591">
        <f>IFERROR(VLOOKUP(C591,Customers!$A$2:$F$301,3,FALSE()),"")</f>
        <v>31</v>
      </c>
      <c r="Q591">
        <f t="shared" si="27"/>
        <v>0.53570127504553733</v>
      </c>
      <c r="R591">
        <f>IF(AND(COUNTIF($A$2:$A$2027,A591)&gt;1,COUNTIF($A$2:A591,A591)=1),1,0)</f>
        <v>0</v>
      </c>
      <c r="S591" t="b">
        <f>IFERROR(VLOOKUP(D591,Products!$A$2:$F$61,6,FALSE()),"")</f>
        <v>1</v>
      </c>
      <c r="T591" t="str">
        <f>IF(COUNTIF(Customers!$A$2:$A$301,C591)=0,"Missing","OK")</f>
        <v>OK</v>
      </c>
      <c r="U591" t="str">
        <f t="shared" si="28"/>
        <v>Chennai</v>
      </c>
      <c r="V591">
        <f t="shared" si="29"/>
        <v>0</v>
      </c>
    </row>
    <row r="592" spans="1:22" ht="15" customHeight="1" x14ac:dyDescent="0.35">
      <c r="A592" s="3" t="s">
        <v>983</v>
      </c>
      <c r="B592" s="4">
        <v>45351</v>
      </c>
      <c r="C592" s="3" t="s">
        <v>741</v>
      </c>
      <c r="D592" s="3" t="s">
        <v>218</v>
      </c>
      <c r="E592" s="3" t="s">
        <v>191</v>
      </c>
      <c r="F592" s="5">
        <v>9</v>
      </c>
      <c r="G592" s="5">
        <v>2660</v>
      </c>
      <c r="H592" s="5">
        <v>21.9</v>
      </c>
      <c r="I592" s="5">
        <v>18697.14</v>
      </c>
      <c r="J592" s="3" t="s">
        <v>26</v>
      </c>
      <c r="K592" s="3" t="s">
        <v>33</v>
      </c>
      <c r="L592" t="str">
        <f>IFERROR(VLOOKUP(D592,Products!$A$2:$F$61,3,FALSE()),"")</f>
        <v>Electronics</v>
      </c>
      <c r="M592" t="str">
        <f>IFERROR(VLOOKUP(E592,Sales_Reps!$A$2:$C$31,3,FALSE()),"")</f>
        <v>South</v>
      </c>
      <c r="N592">
        <f>IFERROR(VLOOKUP(D592,Products!$A$2:$F$61,4,FALSE()),"")</f>
        <v>1259</v>
      </c>
      <c r="O592" t="str">
        <f>IFERROR(VLOOKUP(C592,Customers!$A$2:$F$301,5,FALSE()),"")</f>
        <v>SMB</v>
      </c>
      <c r="P592">
        <f>IFERROR(VLOOKUP(C592,Customers!$A$2:$F$301,3,FALSE()),"")</f>
        <v>39</v>
      </c>
      <c r="Q592">
        <f t="shared" si="27"/>
        <v>0.52669172932330832</v>
      </c>
      <c r="R592">
        <f>IF(AND(COUNTIF($A$2:$A$2027,A592)&gt;1,COUNTIF($A$2:A592,A592)=1),1,0)</f>
        <v>0</v>
      </c>
      <c r="S592" t="b">
        <f>IFERROR(VLOOKUP(D592,Products!$A$2:$F$61,6,FALSE()),"")</f>
        <v>0</v>
      </c>
      <c r="T592" t="str">
        <f>IF(COUNTIF(Customers!$A$2:$A$301,C592)=0,"Missing","OK")</f>
        <v>OK</v>
      </c>
      <c r="U592" t="str">
        <f t="shared" si="28"/>
        <v>Chennai</v>
      </c>
      <c r="V592">
        <f t="shared" si="29"/>
        <v>0</v>
      </c>
    </row>
    <row r="593" spans="1:22" ht="15" customHeight="1" x14ac:dyDescent="0.35">
      <c r="A593" s="3" t="s">
        <v>984</v>
      </c>
      <c r="B593" s="4">
        <v>45572</v>
      </c>
      <c r="C593" s="3" t="s">
        <v>342</v>
      </c>
      <c r="D593" s="3" t="s">
        <v>454</v>
      </c>
      <c r="E593" s="3" t="s">
        <v>67</v>
      </c>
      <c r="F593" s="5">
        <v>9</v>
      </c>
      <c r="G593" s="5">
        <v>6940</v>
      </c>
      <c r="H593" s="5">
        <v>8</v>
      </c>
      <c r="I593" s="5">
        <v>57463.199999999997</v>
      </c>
      <c r="J593" s="3" t="s">
        <v>26</v>
      </c>
      <c r="K593" s="3" t="s">
        <v>56</v>
      </c>
      <c r="L593" t="str">
        <f>IFERROR(VLOOKUP(D593,Products!$A$2:$F$61,3,FALSE()),"")</f>
        <v>Sports</v>
      </c>
      <c r="M593" t="str">
        <f>IFERROR(VLOOKUP(E593,Sales_Reps!$A$2:$C$31,3,FALSE()),"")</f>
        <v>West</v>
      </c>
      <c r="N593">
        <f>IFERROR(VLOOKUP(D593,Products!$A$2:$F$61,4,FALSE()),"")</f>
        <v>2827</v>
      </c>
      <c r="O593" t="str">
        <f>IFERROR(VLOOKUP(C593,Customers!$A$2:$F$301,5,FALSE()),"")</f>
        <v>Retail</v>
      </c>
      <c r="P593">
        <f>IFERROR(VLOOKUP(C593,Customers!$A$2:$F$301,3,FALSE()),"")</f>
        <v>59</v>
      </c>
      <c r="Q593">
        <f t="shared" si="27"/>
        <v>0.5926512968299712</v>
      </c>
      <c r="R593">
        <f>IF(AND(COUNTIF($A$2:$A$2027,A593)&gt;1,COUNTIF($A$2:A593,A593)=1),1,0)</f>
        <v>0</v>
      </c>
      <c r="S593" t="b">
        <f>IFERROR(VLOOKUP(D593,Products!$A$2:$F$61,6,FALSE()),"")</f>
        <v>1</v>
      </c>
      <c r="T593" t="str">
        <f>IF(COUNTIF(Customers!$A$2:$A$301,C593)=0,"Missing","OK")</f>
        <v>OK</v>
      </c>
      <c r="U593" t="str">
        <f t="shared" si="28"/>
        <v>Bengaluru</v>
      </c>
      <c r="V593">
        <f t="shared" si="29"/>
        <v>0</v>
      </c>
    </row>
    <row r="594" spans="1:22" ht="15" customHeight="1" x14ac:dyDescent="0.35">
      <c r="A594" s="3" t="s">
        <v>672</v>
      </c>
      <c r="B594" s="4">
        <v>45402</v>
      </c>
      <c r="C594" s="3" t="s">
        <v>136</v>
      </c>
      <c r="D594" s="3" t="s">
        <v>187</v>
      </c>
      <c r="E594" s="3" t="s">
        <v>42</v>
      </c>
      <c r="F594" s="5">
        <v>1</v>
      </c>
      <c r="G594" s="5">
        <v>3870</v>
      </c>
      <c r="H594" s="5">
        <v>22.6</v>
      </c>
      <c r="I594" s="5">
        <v>2995.38</v>
      </c>
      <c r="J594" s="3" t="s">
        <v>26</v>
      </c>
      <c r="K594" s="3" t="s">
        <v>27</v>
      </c>
      <c r="L594" t="str">
        <f>IFERROR(VLOOKUP(D594,Products!$A$2:$F$61,3,FALSE()),"")</f>
        <v>Electronics</v>
      </c>
      <c r="M594" t="str">
        <f>IFERROR(VLOOKUP(E594,Sales_Reps!$A$2:$C$31,3,FALSE()),"")</f>
        <v>North</v>
      </c>
      <c r="N594">
        <f>IFERROR(VLOOKUP(D594,Products!$A$2:$F$61,4,FALSE()),"")</f>
        <v>1559</v>
      </c>
      <c r="O594" t="str">
        <f>IFERROR(VLOOKUP(C594,Customers!$A$2:$F$301,5,FALSE()),"")</f>
        <v>Corporate</v>
      </c>
      <c r="P594">
        <f>IFERROR(VLOOKUP(C594,Customers!$A$2:$F$301,3,FALSE()),"")</f>
        <v>47</v>
      </c>
      <c r="Q594">
        <f t="shared" si="27"/>
        <v>0.59715762273901807</v>
      </c>
      <c r="R594">
        <f>IF(AND(COUNTIF($A$2:$A$2027,A594)&gt;1,COUNTIF($A$2:A594,A594)=1),1,0)</f>
        <v>0</v>
      </c>
      <c r="S594" t="b">
        <f>IFERROR(VLOOKUP(D594,Products!$A$2:$F$61,6,FALSE()),"")</f>
        <v>1</v>
      </c>
      <c r="T594" t="str">
        <f>IF(COUNTIF(Customers!$A$2:$A$301,C594)=0,"Missing","OK")</f>
        <v>OK</v>
      </c>
      <c r="U594" t="str">
        <f t="shared" si="28"/>
        <v>Pune</v>
      </c>
      <c r="V594">
        <f t="shared" si="29"/>
        <v>0</v>
      </c>
    </row>
    <row r="595" spans="1:22" ht="15" customHeight="1" x14ac:dyDescent="0.35">
      <c r="A595" s="3" t="s">
        <v>985</v>
      </c>
      <c r="B595" s="4">
        <v>45503</v>
      </c>
      <c r="C595" s="3" t="s">
        <v>986</v>
      </c>
      <c r="D595" s="3" t="s">
        <v>441</v>
      </c>
      <c r="E595" s="3" t="s">
        <v>46</v>
      </c>
      <c r="F595" s="5">
        <v>3</v>
      </c>
      <c r="G595" s="5">
        <v>1090</v>
      </c>
      <c r="H595" s="5">
        <v>28.1</v>
      </c>
      <c r="I595" s="5">
        <v>2351.13</v>
      </c>
      <c r="J595" s="3" t="s">
        <v>26</v>
      </c>
      <c r="K595" s="3" t="s">
        <v>72</v>
      </c>
      <c r="L595" t="str">
        <f>IFERROR(VLOOKUP(D595,Products!$A$2:$F$61,3,FALSE()),"")</f>
        <v>Home</v>
      </c>
      <c r="M595" t="str">
        <f>IFERROR(VLOOKUP(E595,Sales_Reps!$A$2:$C$31,3,FALSE()),"")</f>
        <v>North</v>
      </c>
      <c r="N595">
        <f>IFERROR(VLOOKUP(D595,Products!$A$2:$F$61,4,FALSE()),"")</f>
        <v>464</v>
      </c>
      <c r="O595" t="str">
        <f>IFERROR(VLOOKUP(C595,Customers!$A$2:$F$301,5,FALSE()),"")</f>
        <v>Retail</v>
      </c>
      <c r="P595">
        <f>IFERROR(VLOOKUP(C595,Customers!$A$2:$F$301,3,FALSE()),"")</f>
        <v>41</v>
      </c>
      <c r="Q595">
        <f t="shared" si="27"/>
        <v>0.57431192660550456</v>
      </c>
      <c r="R595">
        <f>IF(AND(COUNTIF($A$2:$A$2027,A595)&gt;1,COUNTIF($A$2:A595,A595)=1),1,0)</f>
        <v>0</v>
      </c>
      <c r="S595" t="b">
        <f>IFERROR(VLOOKUP(D595,Products!$A$2:$F$61,6,FALSE()),"")</f>
        <v>1</v>
      </c>
      <c r="T595" t="str">
        <f>IF(COUNTIF(Customers!$A$2:$A$301,C595)=0,"Missing","OK")</f>
        <v>OK</v>
      </c>
      <c r="U595" t="str">
        <f t="shared" si="28"/>
        <v>Hyderabad</v>
      </c>
      <c r="V595">
        <f t="shared" si="29"/>
        <v>0</v>
      </c>
    </row>
    <row r="596" spans="1:22" ht="15" customHeight="1" x14ac:dyDescent="0.35">
      <c r="A596" s="3" t="s">
        <v>987</v>
      </c>
      <c r="B596" s="4">
        <v>45524</v>
      </c>
      <c r="C596" s="3" t="s">
        <v>404</v>
      </c>
      <c r="D596" s="3" t="s">
        <v>77</v>
      </c>
      <c r="E596" s="3" t="s">
        <v>154</v>
      </c>
      <c r="F596" s="5">
        <v>2</v>
      </c>
      <c r="G596" s="5">
        <v>2600</v>
      </c>
      <c r="H596" s="5">
        <v>5.6</v>
      </c>
      <c r="I596" s="5">
        <v>4908.8</v>
      </c>
      <c r="J596" s="3" t="s">
        <v>26</v>
      </c>
      <c r="K596" s="3" t="s">
        <v>51</v>
      </c>
      <c r="L596" t="str">
        <f>IFERROR(VLOOKUP(D596,Products!$A$2:$F$61,3,FALSE()),"")</f>
        <v>Electronics</v>
      </c>
      <c r="M596" t="str">
        <f>IFERROR(VLOOKUP(E596,Sales_Reps!$A$2:$C$31,3,FALSE()),"")</f>
        <v>North</v>
      </c>
      <c r="N596">
        <f>IFERROR(VLOOKUP(D596,Products!$A$2:$F$61,4,FALSE()),"")</f>
        <v>1052</v>
      </c>
      <c r="O596" t="str">
        <f>IFERROR(VLOOKUP(C596,Customers!$A$2:$F$301,5,FALSE()),"")</f>
        <v>Retail</v>
      </c>
      <c r="P596">
        <f>IFERROR(VLOOKUP(C596,Customers!$A$2:$F$301,3,FALSE()),"")</f>
        <v>61</v>
      </c>
      <c r="Q596">
        <f t="shared" si="27"/>
        <v>0.5953846153846154</v>
      </c>
      <c r="R596">
        <f>IF(AND(COUNTIF($A$2:$A$2027,A596)&gt;1,COUNTIF($A$2:A596,A596)=1),1,0)</f>
        <v>0</v>
      </c>
      <c r="S596" t="b">
        <f>IFERROR(VLOOKUP(D596,Products!$A$2:$F$61,6,FALSE()),"")</f>
        <v>1</v>
      </c>
      <c r="T596" t="str">
        <f>IF(COUNTIF(Customers!$A$2:$A$301,C596)=0,"Missing","OK")</f>
        <v>OK</v>
      </c>
      <c r="U596" t="str">
        <f t="shared" si="28"/>
        <v>Mumbai</v>
      </c>
      <c r="V596">
        <f t="shared" si="29"/>
        <v>0</v>
      </c>
    </row>
    <row r="597" spans="1:22" ht="15" customHeight="1" x14ac:dyDescent="0.35">
      <c r="A597" s="3" t="s">
        <v>988</v>
      </c>
      <c r="B597" s="4">
        <v>45425</v>
      </c>
      <c r="C597" s="3" t="s">
        <v>795</v>
      </c>
      <c r="D597" s="3" t="s">
        <v>54</v>
      </c>
      <c r="E597" s="3" t="s">
        <v>131</v>
      </c>
      <c r="F597" s="5">
        <v>4</v>
      </c>
      <c r="G597" s="5">
        <v>960</v>
      </c>
      <c r="H597" s="5">
        <v>21.7</v>
      </c>
      <c r="I597" s="5">
        <v>3006.72</v>
      </c>
      <c r="J597" s="3" t="s">
        <v>26</v>
      </c>
      <c r="K597" s="3" t="s">
        <v>27</v>
      </c>
      <c r="L597" t="str">
        <f>IFERROR(VLOOKUP(D597,Products!$A$2:$F$61,3,FALSE()),"")</f>
        <v>Sports</v>
      </c>
      <c r="M597" t="str">
        <f>IFERROR(VLOOKUP(E597,Sales_Reps!$A$2:$C$31,3,FALSE()),"")</f>
        <v>East</v>
      </c>
      <c r="N597">
        <f>IFERROR(VLOOKUP(D597,Products!$A$2:$F$61,4,FALSE()),"")</f>
        <v>705</v>
      </c>
      <c r="O597" t="str">
        <f>IFERROR(VLOOKUP(C597,Customers!$A$2:$F$301,5,FALSE()),"")</f>
        <v>SMB</v>
      </c>
      <c r="P597">
        <f>IFERROR(VLOOKUP(C597,Customers!$A$2:$F$301,3,FALSE()),"")</f>
        <v>59</v>
      </c>
      <c r="Q597">
        <f t="shared" si="27"/>
        <v>0.265625</v>
      </c>
      <c r="R597">
        <f>IF(AND(COUNTIF($A$2:$A$2027,A597)&gt;1,COUNTIF($A$2:A597,A597)=1),1,0)</f>
        <v>0</v>
      </c>
      <c r="S597" t="b">
        <f>IFERROR(VLOOKUP(D597,Products!$A$2:$F$61,6,FALSE()),"")</f>
        <v>1</v>
      </c>
      <c r="T597" t="str">
        <f>IF(COUNTIF(Customers!$A$2:$A$301,C597)=0,"Missing","OK")</f>
        <v>OK</v>
      </c>
      <c r="U597" t="str">
        <f t="shared" si="28"/>
        <v>Pune</v>
      </c>
      <c r="V597">
        <f t="shared" si="29"/>
        <v>0</v>
      </c>
    </row>
    <row r="598" spans="1:22" ht="15" customHeight="1" x14ac:dyDescent="0.35">
      <c r="A598" s="3" t="s">
        <v>989</v>
      </c>
      <c r="B598" s="4">
        <v>45533</v>
      </c>
      <c r="C598" s="3" t="s">
        <v>990</v>
      </c>
      <c r="D598" s="3" t="s">
        <v>49</v>
      </c>
      <c r="E598" s="3" t="s">
        <v>140</v>
      </c>
      <c r="F598" s="5">
        <v>6</v>
      </c>
      <c r="G598" s="5">
        <v>370</v>
      </c>
      <c r="H598" s="5">
        <v>22.5</v>
      </c>
      <c r="I598" s="5">
        <v>1720.5</v>
      </c>
      <c r="J598" s="3" t="s">
        <v>26</v>
      </c>
      <c r="K598" s="3" t="s">
        <v>51</v>
      </c>
      <c r="L598" t="str">
        <f>IFERROR(VLOOKUP(D598,Products!$A$2:$F$61,3,FALSE()),"")</f>
        <v>Home</v>
      </c>
      <c r="M598" t="str">
        <f>IFERROR(VLOOKUP(E598,Sales_Reps!$A$2:$C$31,3,FALSE()),"")</f>
        <v>West</v>
      </c>
      <c r="N598">
        <f>IFERROR(VLOOKUP(D598,Products!$A$2:$F$61,4,FALSE()),"")</f>
        <v>288</v>
      </c>
      <c r="O598" t="str">
        <f>IFERROR(VLOOKUP(C598,Customers!$A$2:$F$301,5,FALSE()),"")</f>
        <v>Retail</v>
      </c>
      <c r="P598">
        <f>IFERROR(VLOOKUP(C598,Customers!$A$2:$F$301,3,FALSE()),"")</f>
        <v>54</v>
      </c>
      <c r="Q598">
        <f t="shared" si="27"/>
        <v>0.22162162162162163</v>
      </c>
      <c r="R598">
        <f>IF(AND(COUNTIF($A$2:$A$2027,A598)&gt;1,COUNTIF($A$2:A598,A598)=1),1,0)</f>
        <v>0</v>
      </c>
      <c r="S598" t="b">
        <f>IFERROR(VLOOKUP(D598,Products!$A$2:$F$61,6,FALSE()),"")</f>
        <v>1</v>
      </c>
      <c r="T598" t="str">
        <f>IF(COUNTIF(Customers!$A$2:$A$301,C598)=0,"Missing","OK")</f>
        <v>OK</v>
      </c>
      <c r="U598" t="str">
        <f t="shared" si="28"/>
        <v>Mumbai</v>
      </c>
      <c r="V598">
        <f t="shared" si="29"/>
        <v>0</v>
      </c>
    </row>
    <row r="599" spans="1:22" ht="15" customHeight="1" x14ac:dyDescent="0.35">
      <c r="A599" s="3" t="s">
        <v>991</v>
      </c>
      <c r="B599" s="4">
        <v>45649</v>
      </c>
      <c r="C599" s="3" t="s">
        <v>189</v>
      </c>
      <c r="D599" s="3" t="s">
        <v>382</v>
      </c>
      <c r="E599" s="3" t="s">
        <v>42</v>
      </c>
      <c r="F599" s="5">
        <v>5</v>
      </c>
      <c r="G599" s="5">
        <v>5080</v>
      </c>
      <c r="H599" s="5">
        <v>23.8</v>
      </c>
      <c r="I599" s="5">
        <v>19354.8</v>
      </c>
      <c r="J599" s="3" t="s">
        <v>26</v>
      </c>
      <c r="K599" s="3" t="s">
        <v>56</v>
      </c>
      <c r="L599" t="str">
        <f>IFERROR(VLOOKUP(D599,Products!$A$2:$F$61,3,FALSE()),"")</f>
        <v>Home</v>
      </c>
      <c r="M599" t="str">
        <f>IFERROR(VLOOKUP(E599,Sales_Reps!$A$2:$C$31,3,FALSE()),"")</f>
        <v>North</v>
      </c>
      <c r="N599">
        <f>IFERROR(VLOOKUP(D599,Products!$A$2:$F$61,4,FALSE()),"")</f>
        <v>2459</v>
      </c>
      <c r="O599" t="str">
        <f>IFERROR(VLOOKUP(C599,Customers!$A$2:$F$301,5,FALSE()),"")</f>
        <v>SMB</v>
      </c>
      <c r="P599">
        <f>IFERROR(VLOOKUP(C599,Customers!$A$2:$F$301,3,FALSE()),"")</f>
        <v>34</v>
      </c>
      <c r="Q599">
        <f t="shared" si="27"/>
        <v>0.51594488188976373</v>
      </c>
      <c r="R599">
        <f>IF(AND(COUNTIF($A$2:$A$2027,A599)&gt;1,COUNTIF($A$2:A599,A599)=1),1,0)</f>
        <v>0</v>
      </c>
      <c r="S599" t="b">
        <f>IFERROR(VLOOKUP(D599,Products!$A$2:$F$61,6,FALSE()),"")</f>
        <v>1</v>
      </c>
      <c r="T599" t="str">
        <f>IF(COUNTIF(Customers!$A$2:$A$301,C599)=0,"Missing","OK")</f>
        <v>OK</v>
      </c>
      <c r="U599" t="str">
        <f t="shared" si="28"/>
        <v>Bengaluru</v>
      </c>
      <c r="V599">
        <f t="shared" si="29"/>
        <v>0</v>
      </c>
    </row>
    <row r="600" spans="1:22" ht="15" customHeight="1" x14ac:dyDescent="0.35">
      <c r="A600" s="3" t="s">
        <v>992</v>
      </c>
      <c r="B600" s="4">
        <v>45375</v>
      </c>
      <c r="C600" s="3" t="s">
        <v>498</v>
      </c>
      <c r="D600" s="3" t="s">
        <v>198</v>
      </c>
      <c r="E600" s="3" t="s">
        <v>87</v>
      </c>
      <c r="F600" s="5">
        <v>5</v>
      </c>
      <c r="G600" s="5">
        <v>1540</v>
      </c>
      <c r="H600" s="5">
        <v>6.1</v>
      </c>
      <c r="I600" s="5">
        <v>7230.3</v>
      </c>
      <c r="J600" s="3" t="s">
        <v>26</v>
      </c>
      <c r="K600" s="3" t="s">
        <v>27</v>
      </c>
      <c r="L600" t="str">
        <f>IFERROR(VLOOKUP(D600,Products!$A$2:$F$61,3,FALSE()),"")</f>
        <v>Beauty</v>
      </c>
      <c r="M600" t="str">
        <f>IFERROR(VLOOKUP(E600,Sales_Reps!$A$2:$C$31,3,FALSE()),"")</f>
        <v>North</v>
      </c>
      <c r="N600">
        <f>IFERROR(VLOOKUP(D600,Products!$A$2:$F$61,4,FALSE()),"")</f>
        <v>647</v>
      </c>
      <c r="O600" t="str">
        <f>IFERROR(VLOOKUP(C600,Customers!$A$2:$F$301,5,FALSE()),"")</f>
        <v>Retail</v>
      </c>
      <c r="P600">
        <f>IFERROR(VLOOKUP(C600,Customers!$A$2:$F$301,3,FALSE()),"")</f>
        <v>62</v>
      </c>
      <c r="Q600">
        <f t="shared" si="27"/>
        <v>0.57987012987012987</v>
      </c>
      <c r="R600">
        <f>IF(AND(COUNTIF($A$2:$A$2027,A600)&gt;1,COUNTIF($A$2:A600,A600)=1),1,0)</f>
        <v>0</v>
      </c>
      <c r="S600" t="b">
        <f>IFERROR(VLOOKUP(D600,Products!$A$2:$F$61,6,FALSE()),"")</f>
        <v>0</v>
      </c>
      <c r="T600" t="str">
        <f>IF(COUNTIF(Customers!$A$2:$A$301,C600)=0,"Missing","OK")</f>
        <v>OK</v>
      </c>
      <c r="U600" t="str">
        <f t="shared" si="28"/>
        <v>Pune</v>
      </c>
      <c r="V600">
        <f t="shared" si="29"/>
        <v>0</v>
      </c>
    </row>
    <row r="601" spans="1:22" ht="15" customHeight="1" x14ac:dyDescent="0.35">
      <c r="A601" s="3" t="s">
        <v>993</v>
      </c>
      <c r="B601" s="4">
        <v>45342</v>
      </c>
      <c r="C601" s="3" t="s">
        <v>994</v>
      </c>
      <c r="D601" s="3" t="s">
        <v>70</v>
      </c>
      <c r="E601" s="3" t="s">
        <v>127</v>
      </c>
      <c r="F601" s="5">
        <v>7</v>
      </c>
      <c r="G601" s="5">
        <v>2270</v>
      </c>
      <c r="H601" s="5">
        <v>0.4</v>
      </c>
      <c r="I601" s="5">
        <v>15826.44</v>
      </c>
      <c r="J601" s="3" t="s">
        <v>26</v>
      </c>
      <c r="K601" s="3" t="s">
        <v>51</v>
      </c>
      <c r="L601" t="str">
        <f>IFERROR(VLOOKUP(D601,Products!$A$2:$F$61,3,FALSE()),"")</f>
        <v>Grocery</v>
      </c>
      <c r="M601" t="str">
        <f>IFERROR(VLOOKUP(E601,Sales_Reps!$A$2:$C$31,3,FALSE()),"")</f>
        <v>South</v>
      </c>
      <c r="N601">
        <f>IFERROR(VLOOKUP(D601,Products!$A$2:$F$61,4,FALSE()),"")</f>
        <v>1203</v>
      </c>
      <c r="O601" t="str">
        <f>IFERROR(VLOOKUP(C601,Customers!$A$2:$F$301,5,FALSE()),"")</f>
        <v>Retail</v>
      </c>
      <c r="P601">
        <f>IFERROR(VLOOKUP(C601,Customers!$A$2:$F$301,3,FALSE()),"")</f>
        <v>37</v>
      </c>
      <c r="Q601">
        <f t="shared" si="27"/>
        <v>0.47004405286343615</v>
      </c>
      <c r="R601">
        <f>IF(AND(COUNTIF($A$2:$A$2027,A601)&gt;1,COUNTIF($A$2:A601,A601)=1),1,0)</f>
        <v>1</v>
      </c>
      <c r="S601" t="b">
        <f>IFERROR(VLOOKUP(D601,Products!$A$2:$F$61,6,FALSE()),"")</f>
        <v>1</v>
      </c>
      <c r="T601" t="str">
        <f>IF(COUNTIF(Customers!$A$2:$A$301,C601)=0,"Missing","OK")</f>
        <v>OK</v>
      </c>
      <c r="U601" t="str">
        <f t="shared" si="28"/>
        <v>Mumbai</v>
      </c>
      <c r="V601">
        <f t="shared" si="29"/>
        <v>0</v>
      </c>
    </row>
    <row r="602" spans="1:22" ht="15" customHeight="1" x14ac:dyDescent="0.35">
      <c r="A602" s="3" t="s">
        <v>995</v>
      </c>
      <c r="B602" s="4">
        <v>45441</v>
      </c>
      <c r="C602" s="3" t="s">
        <v>767</v>
      </c>
      <c r="D602" s="3" t="s">
        <v>54</v>
      </c>
      <c r="E602" s="3" t="s">
        <v>127</v>
      </c>
      <c r="F602" s="5">
        <v>2</v>
      </c>
      <c r="G602" s="5">
        <v>960</v>
      </c>
      <c r="H602" s="5">
        <v>3.7</v>
      </c>
      <c r="I602" s="5">
        <v>1848.96</v>
      </c>
      <c r="J602" s="3" t="s">
        <v>26</v>
      </c>
      <c r="K602" s="3" t="s">
        <v>72</v>
      </c>
      <c r="L602" t="str">
        <f>IFERROR(VLOOKUP(D602,Products!$A$2:$F$61,3,FALSE()),"")</f>
        <v>Sports</v>
      </c>
      <c r="M602" t="str">
        <f>IFERROR(VLOOKUP(E602,Sales_Reps!$A$2:$C$31,3,FALSE()),"")</f>
        <v>South</v>
      </c>
      <c r="N602">
        <f>IFERROR(VLOOKUP(D602,Products!$A$2:$F$61,4,FALSE()),"")</f>
        <v>705</v>
      </c>
      <c r="O602" t="str">
        <f>IFERROR(VLOOKUP(C602,Customers!$A$2:$F$301,5,FALSE()),"")</f>
        <v>Retail</v>
      </c>
      <c r="P602">
        <f>IFERROR(VLOOKUP(C602,Customers!$A$2:$F$301,3,FALSE()),"")</f>
        <v>52</v>
      </c>
      <c r="Q602">
        <f t="shared" si="27"/>
        <v>0.265625</v>
      </c>
      <c r="R602">
        <f>IF(AND(COUNTIF($A$2:$A$2027,A602)&gt;1,COUNTIF($A$2:A602,A602)=1),1,0)</f>
        <v>0</v>
      </c>
      <c r="S602" t="b">
        <f>IFERROR(VLOOKUP(D602,Products!$A$2:$F$61,6,FALSE()),"")</f>
        <v>1</v>
      </c>
      <c r="T602" t="str">
        <f>IF(COUNTIF(Customers!$A$2:$A$301,C602)=0,"Missing","OK")</f>
        <v>OK</v>
      </c>
      <c r="U602" t="str">
        <f t="shared" si="28"/>
        <v>Hyderabad</v>
      </c>
      <c r="V602">
        <f t="shared" si="29"/>
        <v>0</v>
      </c>
    </row>
    <row r="603" spans="1:22" ht="15" customHeight="1" x14ac:dyDescent="0.35">
      <c r="A603" s="3" t="s">
        <v>996</v>
      </c>
      <c r="B603" s="4">
        <v>45410</v>
      </c>
      <c r="C603" s="3" t="s">
        <v>346</v>
      </c>
      <c r="D603" s="3" t="s">
        <v>59</v>
      </c>
      <c r="E603" s="3" t="s">
        <v>282</v>
      </c>
      <c r="F603" s="5">
        <v>6</v>
      </c>
      <c r="G603" s="5">
        <v>1430</v>
      </c>
      <c r="H603" s="5">
        <v>2</v>
      </c>
      <c r="I603" s="5">
        <v>8408.4</v>
      </c>
      <c r="J603" s="3" t="s">
        <v>32</v>
      </c>
      <c r="K603" s="3" t="s">
        <v>27</v>
      </c>
      <c r="L603" t="str">
        <f>IFERROR(VLOOKUP(D603,Products!$A$2:$F$61,3,FALSE()),"")</f>
        <v>Electronics</v>
      </c>
      <c r="M603" t="str">
        <f>IFERROR(VLOOKUP(E603,Sales_Reps!$A$2:$C$31,3,FALSE()),"")</f>
        <v>West</v>
      </c>
      <c r="N603">
        <f>IFERROR(VLOOKUP(D603,Products!$A$2:$F$61,4,FALSE()),"")</f>
        <v>861</v>
      </c>
      <c r="O603" t="str">
        <f>IFERROR(VLOOKUP(C603,Customers!$A$2:$F$301,5,FALSE()),"")</f>
        <v>SMB</v>
      </c>
      <c r="P603">
        <f>IFERROR(VLOOKUP(C603,Customers!$A$2:$F$301,3,FALSE()),"")</f>
        <v>53</v>
      </c>
      <c r="Q603">
        <f t="shared" si="27"/>
        <v>0.39790209790209791</v>
      </c>
      <c r="R603">
        <f>IF(AND(COUNTIF($A$2:$A$2027,A603)&gt;1,COUNTIF($A$2:A603,A603)=1),1,0)</f>
        <v>0</v>
      </c>
      <c r="S603" t="b">
        <f>IFERROR(VLOOKUP(D603,Products!$A$2:$F$61,6,FALSE()),"")</f>
        <v>1</v>
      </c>
      <c r="T603" t="str">
        <f>IF(COUNTIF(Customers!$A$2:$A$301,C603)=0,"Missing","OK")</f>
        <v>OK</v>
      </c>
      <c r="U603" t="str">
        <f t="shared" si="28"/>
        <v>Pune</v>
      </c>
      <c r="V603">
        <f t="shared" si="29"/>
        <v>0</v>
      </c>
    </row>
    <row r="604" spans="1:22" ht="15" customHeight="1" x14ac:dyDescent="0.35">
      <c r="A604" s="3" t="s">
        <v>997</v>
      </c>
      <c r="B604" s="4">
        <v>45588</v>
      </c>
      <c r="C604" s="3" t="s">
        <v>238</v>
      </c>
      <c r="D604" s="3" t="s">
        <v>96</v>
      </c>
      <c r="E604" s="3" t="s">
        <v>42</v>
      </c>
      <c r="F604" s="5">
        <v>10</v>
      </c>
      <c r="G604" s="5">
        <v>3450</v>
      </c>
      <c r="H604" s="5">
        <v>19.100000000000001</v>
      </c>
      <c r="I604" s="5">
        <v>27910.5</v>
      </c>
      <c r="J604" s="3" t="s">
        <v>26</v>
      </c>
      <c r="K604" s="3" t="s">
        <v>72</v>
      </c>
      <c r="L604" t="str">
        <f>IFERROR(VLOOKUP(D604,Products!$A$2:$F$61,3,FALSE()),"")</f>
        <v>Beauty</v>
      </c>
      <c r="M604" t="str">
        <f>IFERROR(VLOOKUP(E604,Sales_Reps!$A$2:$C$31,3,FALSE()),"")</f>
        <v>North</v>
      </c>
      <c r="N604">
        <f>IFERROR(VLOOKUP(D604,Products!$A$2:$F$61,4,FALSE()),"")</f>
        <v>2420</v>
      </c>
      <c r="O604" t="str">
        <f>IFERROR(VLOOKUP(C604,Customers!$A$2:$F$301,5,FALSE()),"")</f>
        <v>Retail</v>
      </c>
      <c r="P604">
        <f>IFERROR(VLOOKUP(C604,Customers!$A$2:$F$301,3,FALSE()),"")</f>
        <v>29</v>
      </c>
      <c r="Q604">
        <f t="shared" si="27"/>
        <v>0.29855072463768118</v>
      </c>
      <c r="R604">
        <f>IF(AND(COUNTIF($A$2:$A$2027,A604)&gt;1,COUNTIF($A$2:A604,A604)=1),1,0)</f>
        <v>0</v>
      </c>
      <c r="S604" t="b">
        <f>IFERROR(VLOOKUP(D604,Products!$A$2:$F$61,6,FALSE()),"")</f>
        <v>1</v>
      </c>
      <c r="T604" t="str">
        <f>IF(COUNTIF(Customers!$A$2:$A$301,C604)=0,"Missing","OK")</f>
        <v>OK</v>
      </c>
      <c r="U604" t="str">
        <f t="shared" si="28"/>
        <v>Hyderabad</v>
      </c>
      <c r="V604">
        <f t="shared" si="29"/>
        <v>0</v>
      </c>
    </row>
    <row r="605" spans="1:22" ht="15" customHeight="1" x14ac:dyDescent="0.35">
      <c r="A605" s="3" t="s">
        <v>998</v>
      </c>
      <c r="B605" s="4">
        <v>45412</v>
      </c>
      <c r="C605" s="3" t="s">
        <v>379</v>
      </c>
      <c r="D605" s="3" t="s">
        <v>206</v>
      </c>
      <c r="E605" s="3" t="s">
        <v>140</v>
      </c>
      <c r="F605" s="5">
        <v>8</v>
      </c>
      <c r="G605" s="5">
        <v>1220</v>
      </c>
      <c r="H605" s="5">
        <v>16.899999999999999</v>
      </c>
      <c r="I605" s="5">
        <v>8110.56</v>
      </c>
      <c r="J605" s="3" t="s">
        <v>26</v>
      </c>
      <c r="K605" s="3" t="s">
        <v>27</v>
      </c>
      <c r="L605" t="str">
        <f>IFERROR(VLOOKUP(D605,Products!$A$2:$F$61,3,FALSE()),"")</f>
        <v>Electronics</v>
      </c>
      <c r="M605" t="str">
        <f>IFERROR(VLOOKUP(E605,Sales_Reps!$A$2:$C$31,3,FALSE()),"")</f>
        <v>West</v>
      </c>
      <c r="N605">
        <f>IFERROR(VLOOKUP(D605,Products!$A$2:$F$61,4,FALSE()),"")</f>
        <v>517</v>
      </c>
      <c r="O605" t="str">
        <f>IFERROR(VLOOKUP(C605,Customers!$A$2:$F$301,5,FALSE()),"")</f>
        <v>SMB</v>
      </c>
      <c r="P605">
        <f>IFERROR(VLOOKUP(C605,Customers!$A$2:$F$301,3,FALSE()),"")</f>
        <v>30</v>
      </c>
      <c r="Q605">
        <f t="shared" si="27"/>
        <v>0.57622950819672136</v>
      </c>
      <c r="R605">
        <f>IF(AND(COUNTIF($A$2:$A$2027,A605)&gt;1,COUNTIF($A$2:A605,A605)=1),1,0)</f>
        <v>0</v>
      </c>
      <c r="S605" t="b">
        <f>IFERROR(VLOOKUP(D605,Products!$A$2:$F$61,6,FALSE()),"")</f>
        <v>1</v>
      </c>
      <c r="T605" t="str">
        <f>IF(COUNTIF(Customers!$A$2:$A$301,C605)=0,"Missing","OK")</f>
        <v>OK</v>
      </c>
      <c r="U605" t="str">
        <f t="shared" si="28"/>
        <v>Pune</v>
      </c>
      <c r="V605">
        <f t="shared" si="29"/>
        <v>0</v>
      </c>
    </row>
    <row r="606" spans="1:22" ht="15" customHeight="1" x14ac:dyDescent="0.35">
      <c r="A606" s="3" t="s">
        <v>999</v>
      </c>
      <c r="B606" s="4">
        <v>45439</v>
      </c>
      <c r="C606" s="3" t="s">
        <v>907</v>
      </c>
      <c r="D606" s="3" t="s">
        <v>139</v>
      </c>
      <c r="E606" s="3" t="s">
        <v>131</v>
      </c>
      <c r="F606" s="5">
        <v>9</v>
      </c>
      <c r="G606" s="5">
        <v>2760</v>
      </c>
      <c r="H606" s="5">
        <v>16.899999999999999</v>
      </c>
      <c r="I606" s="5">
        <v>20642.04</v>
      </c>
      <c r="J606" s="3" t="s">
        <v>26</v>
      </c>
      <c r="K606" s="3" t="s">
        <v>38</v>
      </c>
      <c r="L606" t="str">
        <f>IFERROR(VLOOKUP(D606,Products!$A$2:$F$61,3,FALSE()),"")</f>
        <v>Grocery</v>
      </c>
      <c r="M606" t="str">
        <f>IFERROR(VLOOKUP(E606,Sales_Reps!$A$2:$C$31,3,FALSE()),"")</f>
        <v>East</v>
      </c>
      <c r="N606">
        <f>IFERROR(VLOOKUP(D606,Products!$A$2:$F$61,4,FALSE()),"")</f>
        <v>1435</v>
      </c>
      <c r="O606" t="str">
        <f>IFERROR(VLOOKUP(C606,Customers!$A$2:$F$301,5,FALSE()),"")</f>
        <v>Retail</v>
      </c>
      <c r="P606">
        <f>IFERROR(VLOOKUP(C606,Customers!$A$2:$F$301,3,FALSE()),"")</f>
        <v>47</v>
      </c>
      <c r="Q606">
        <f t="shared" si="27"/>
        <v>0.48007246376811596</v>
      </c>
      <c r="R606">
        <f>IF(AND(COUNTIF($A$2:$A$2027,A606)&gt;1,COUNTIF($A$2:A606,A606)=1),1,0)</f>
        <v>0</v>
      </c>
      <c r="S606" t="b">
        <f>IFERROR(VLOOKUP(D606,Products!$A$2:$F$61,6,FALSE()),"")</f>
        <v>1</v>
      </c>
      <c r="T606" t="str">
        <f>IF(COUNTIF(Customers!$A$2:$A$301,C606)=0,"Missing","OK")</f>
        <v>OK</v>
      </c>
      <c r="U606" t="str">
        <f t="shared" si="28"/>
        <v>Delhi</v>
      </c>
      <c r="V606">
        <f t="shared" si="29"/>
        <v>0</v>
      </c>
    </row>
    <row r="607" spans="1:22" ht="15" customHeight="1" x14ac:dyDescent="0.35">
      <c r="A607" s="3" t="s">
        <v>1000</v>
      </c>
      <c r="B607" s="4">
        <v>45593</v>
      </c>
      <c r="C607" s="3" t="s">
        <v>1001</v>
      </c>
      <c r="D607" s="3" t="s">
        <v>118</v>
      </c>
      <c r="E607" s="3" t="s">
        <v>177</v>
      </c>
      <c r="F607" s="5">
        <v>6</v>
      </c>
      <c r="G607" s="5">
        <v>3350</v>
      </c>
      <c r="H607" s="5">
        <v>11.8</v>
      </c>
      <c r="I607" s="5">
        <v>17728.2</v>
      </c>
      <c r="J607" s="3" t="s">
        <v>32</v>
      </c>
      <c r="K607" s="3" t="s">
        <v>51</v>
      </c>
      <c r="L607" t="str">
        <f>IFERROR(VLOOKUP(D607,Products!$A$2:$F$61,3,FALSE()),"")</f>
        <v>Beauty</v>
      </c>
      <c r="M607" t="str">
        <f>IFERROR(VLOOKUP(E607,Sales_Reps!$A$2:$C$31,3,FALSE()),"")</f>
        <v>East</v>
      </c>
      <c r="N607">
        <f>IFERROR(VLOOKUP(D607,Products!$A$2:$F$61,4,FALSE()),"")</f>
        <v>1728</v>
      </c>
      <c r="O607" t="str">
        <f>IFERROR(VLOOKUP(C607,Customers!$A$2:$F$301,5,FALSE()),"")</f>
        <v>SMB</v>
      </c>
      <c r="P607">
        <f>IFERROR(VLOOKUP(C607,Customers!$A$2:$F$301,3,FALSE()),"")</f>
        <v>54</v>
      </c>
      <c r="Q607">
        <f t="shared" si="27"/>
        <v>0.48417910447761192</v>
      </c>
      <c r="R607">
        <f>IF(AND(COUNTIF($A$2:$A$2027,A607)&gt;1,COUNTIF($A$2:A607,A607)=1),1,0)</f>
        <v>0</v>
      </c>
      <c r="S607" t="b">
        <f>IFERROR(VLOOKUP(D607,Products!$A$2:$F$61,6,FALSE()),"")</f>
        <v>1</v>
      </c>
      <c r="T607" t="str">
        <f>IF(COUNTIF(Customers!$A$2:$A$301,C607)=0,"Missing","OK")</f>
        <v>OK</v>
      </c>
      <c r="U607" t="str">
        <f t="shared" si="28"/>
        <v>Mumbai</v>
      </c>
      <c r="V607">
        <f t="shared" si="29"/>
        <v>0</v>
      </c>
    </row>
    <row r="608" spans="1:22" ht="15" customHeight="1" x14ac:dyDescent="0.35">
      <c r="A608" s="3" t="s">
        <v>1002</v>
      </c>
      <c r="B608" s="4">
        <v>45570</v>
      </c>
      <c r="C608" s="3" t="s">
        <v>189</v>
      </c>
      <c r="D608" s="3" t="s">
        <v>130</v>
      </c>
      <c r="E608" s="3" t="s">
        <v>191</v>
      </c>
      <c r="F608" s="5">
        <v>6</v>
      </c>
      <c r="G608" s="5">
        <v>5100</v>
      </c>
      <c r="H608" s="5">
        <v>13.2</v>
      </c>
      <c r="I608" s="5">
        <v>26560.799999999999</v>
      </c>
      <c r="J608" s="3" t="s">
        <v>26</v>
      </c>
      <c r="K608" s="3" t="s">
        <v>56</v>
      </c>
      <c r="L608" t="str">
        <f>IFERROR(VLOOKUP(D608,Products!$A$2:$F$61,3,FALSE()),"")</f>
        <v>Beauty</v>
      </c>
      <c r="M608" t="str">
        <f>IFERROR(VLOOKUP(E608,Sales_Reps!$A$2:$C$31,3,FALSE()),"")</f>
        <v>South</v>
      </c>
      <c r="N608">
        <f>IFERROR(VLOOKUP(D608,Products!$A$2:$F$61,4,FALSE()),"")</f>
        <v>2237</v>
      </c>
      <c r="O608" t="str">
        <f>IFERROR(VLOOKUP(C608,Customers!$A$2:$F$301,5,FALSE()),"")</f>
        <v>SMB</v>
      </c>
      <c r="P608">
        <f>IFERROR(VLOOKUP(C608,Customers!$A$2:$F$301,3,FALSE()),"")</f>
        <v>34</v>
      </c>
      <c r="Q608">
        <f t="shared" si="27"/>
        <v>0.56137254901960787</v>
      </c>
      <c r="R608">
        <f>IF(AND(COUNTIF($A$2:$A$2027,A608)&gt;1,COUNTIF($A$2:A608,A608)=1),1,0)</f>
        <v>0</v>
      </c>
      <c r="S608" t="b">
        <f>IFERROR(VLOOKUP(D608,Products!$A$2:$F$61,6,FALSE()),"")</f>
        <v>1</v>
      </c>
      <c r="T608" t="str">
        <f>IF(COUNTIF(Customers!$A$2:$A$301,C608)=0,"Missing","OK")</f>
        <v>OK</v>
      </c>
      <c r="U608" t="str">
        <f t="shared" si="28"/>
        <v>Bengaluru</v>
      </c>
      <c r="V608">
        <f t="shared" si="29"/>
        <v>0</v>
      </c>
    </row>
    <row r="609" spans="1:22" ht="15" customHeight="1" x14ac:dyDescent="0.35">
      <c r="A609" s="3" t="s">
        <v>1003</v>
      </c>
      <c r="B609" s="4">
        <v>45474</v>
      </c>
      <c r="C609" s="3" t="s">
        <v>1004</v>
      </c>
      <c r="D609" s="3" t="s">
        <v>74</v>
      </c>
      <c r="E609" s="3" t="s">
        <v>282</v>
      </c>
      <c r="F609" s="5">
        <v>6</v>
      </c>
      <c r="G609" s="5">
        <v>2640</v>
      </c>
      <c r="H609" s="5">
        <v>26.2</v>
      </c>
      <c r="I609" s="5">
        <v>11689.92</v>
      </c>
      <c r="J609" s="3" t="s">
        <v>26</v>
      </c>
      <c r="K609" s="3" t="s">
        <v>33</v>
      </c>
      <c r="L609" t="str">
        <f>IFERROR(VLOOKUP(D609,Products!$A$2:$F$61,3,FALSE()),"")</f>
        <v>Electronics</v>
      </c>
      <c r="M609" t="str">
        <f>IFERROR(VLOOKUP(E609,Sales_Reps!$A$2:$C$31,3,FALSE()),"")</f>
        <v>West</v>
      </c>
      <c r="N609">
        <f>IFERROR(VLOOKUP(D609,Products!$A$2:$F$61,4,FALSE()),"")</f>
        <v>1149</v>
      </c>
      <c r="O609" t="str">
        <f>IFERROR(VLOOKUP(C609,Customers!$A$2:$F$301,5,FALSE()),"")</f>
        <v>Retail</v>
      </c>
      <c r="P609">
        <f>IFERROR(VLOOKUP(C609,Customers!$A$2:$F$301,3,FALSE()),"")</f>
        <v>49</v>
      </c>
      <c r="Q609">
        <f t="shared" si="27"/>
        <v>0.56477272727272732</v>
      </c>
      <c r="R609">
        <f>IF(AND(COUNTIF($A$2:$A$2027,A609)&gt;1,COUNTIF($A$2:A609,A609)=1),1,0)</f>
        <v>0</v>
      </c>
      <c r="S609" t="b">
        <f>IFERROR(VLOOKUP(D609,Products!$A$2:$F$61,6,FALSE()),"")</f>
        <v>1</v>
      </c>
      <c r="T609" t="str">
        <f>IF(COUNTIF(Customers!$A$2:$A$301,C609)=0,"Missing","OK")</f>
        <v>OK</v>
      </c>
      <c r="U609" t="str">
        <f t="shared" si="28"/>
        <v>Chennai</v>
      </c>
      <c r="V609">
        <f t="shared" si="29"/>
        <v>0</v>
      </c>
    </row>
    <row r="610" spans="1:22" ht="15" customHeight="1" x14ac:dyDescent="0.35">
      <c r="A610" s="3" t="s">
        <v>1005</v>
      </c>
      <c r="B610" s="4">
        <v>45524</v>
      </c>
      <c r="C610" s="3" t="s">
        <v>536</v>
      </c>
      <c r="D610" s="3" t="s">
        <v>41</v>
      </c>
      <c r="E610" s="3" t="s">
        <v>285</v>
      </c>
      <c r="F610" s="5">
        <v>1</v>
      </c>
      <c r="G610" s="5">
        <v>3660</v>
      </c>
      <c r="H610" s="5">
        <v>19.7</v>
      </c>
      <c r="I610" s="5">
        <v>2938.98</v>
      </c>
      <c r="J610" s="3" t="s">
        <v>26</v>
      </c>
      <c r="K610" s="3" t="s">
        <v>51</v>
      </c>
      <c r="L610" t="str">
        <f>IFERROR(VLOOKUP(D610,Products!$A$2:$F$61,3,FALSE()),"")</f>
        <v>Grocery</v>
      </c>
      <c r="M610" t="str">
        <f>IFERROR(VLOOKUP(E610,Sales_Reps!$A$2:$C$31,3,FALSE()),"")</f>
        <v>South</v>
      </c>
      <c r="N610">
        <f>IFERROR(VLOOKUP(D610,Products!$A$2:$F$61,4,FALSE()),"")</f>
        <v>2214</v>
      </c>
      <c r="O610" t="str">
        <f>IFERROR(VLOOKUP(C610,Customers!$A$2:$F$301,5,FALSE()),"")</f>
        <v>Retail</v>
      </c>
      <c r="P610">
        <f>IFERROR(VLOOKUP(C610,Customers!$A$2:$F$301,3,FALSE()),"")</f>
        <v>39</v>
      </c>
      <c r="Q610">
        <f t="shared" si="27"/>
        <v>0.39508196721311473</v>
      </c>
      <c r="R610">
        <f>IF(AND(COUNTIF($A$2:$A$2027,A610)&gt;1,COUNTIF($A$2:A610,A610)=1),1,0)</f>
        <v>0</v>
      </c>
      <c r="S610" t="b">
        <f>IFERROR(VLOOKUP(D610,Products!$A$2:$F$61,6,FALSE()),"")</f>
        <v>0</v>
      </c>
      <c r="T610" t="str">
        <f>IF(COUNTIF(Customers!$A$2:$A$301,C610)=0,"Missing","OK")</f>
        <v>OK</v>
      </c>
      <c r="U610" t="str">
        <f t="shared" si="28"/>
        <v>Mumbai</v>
      </c>
      <c r="V610">
        <f t="shared" si="29"/>
        <v>0</v>
      </c>
    </row>
    <row r="611" spans="1:22" ht="15" customHeight="1" x14ac:dyDescent="0.35">
      <c r="A611" s="3" t="s">
        <v>1006</v>
      </c>
      <c r="B611" s="4">
        <v>45468</v>
      </c>
      <c r="C611" s="3" t="s">
        <v>552</v>
      </c>
      <c r="D611" s="3" t="s">
        <v>49</v>
      </c>
      <c r="E611" s="3" t="s">
        <v>282</v>
      </c>
      <c r="F611" s="5">
        <v>5</v>
      </c>
      <c r="G611" s="5">
        <v>370</v>
      </c>
      <c r="H611" s="5">
        <v>21.7</v>
      </c>
      <c r="I611" s="5">
        <v>1448.55</v>
      </c>
      <c r="J611" s="3" t="s">
        <v>26</v>
      </c>
      <c r="K611" s="3" t="s">
        <v>51</v>
      </c>
      <c r="L611" t="str">
        <f>IFERROR(VLOOKUP(D611,Products!$A$2:$F$61,3,FALSE()),"")</f>
        <v>Home</v>
      </c>
      <c r="M611" t="str">
        <f>IFERROR(VLOOKUP(E611,Sales_Reps!$A$2:$C$31,3,FALSE()),"")</f>
        <v>West</v>
      </c>
      <c r="N611">
        <f>IFERROR(VLOOKUP(D611,Products!$A$2:$F$61,4,FALSE()),"")</f>
        <v>288</v>
      </c>
      <c r="O611" t="str">
        <f>IFERROR(VLOOKUP(C611,Customers!$A$2:$F$301,5,FALSE()),"")</f>
        <v>Retail</v>
      </c>
      <c r="P611">
        <f>IFERROR(VLOOKUP(C611,Customers!$A$2:$F$301,3,FALSE()),"")</f>
        <v>44</v>
      </c>
      <c r="Q611">
        <f t="shared" si="27"/>
        <v>0.22162162162162163</v>
      </c>
      <c r="R611">
        <f>IF(AND(COUNTIF($A$2:$A$2027,A611)&gt;1,COUNTIF($A$2:A611,A611)=1),1,0)</f>
        <v>0</v>
      </c>
      <c r="S611" t="b">
        <f>IFERROR(VLOOKUP(D611,Products!$A$2:$F$61,6,FALSE()),"")</f>
        <v>1</v>
      </c>
      <c r="T611" t="str">
        <f>IF(COUNTIF(Customers!$A$2:$A$301,C611)=0,"Missing","OK")</f>
        <v>OK</v>
      </c>
      <c r="U611" t="str">
        <f t="shared" si="28"/>
        <v>Mumbai</v>
      </c>
      <c r="V611">
        <f t="shared" si="29"/>
        <v>0</v>
      </c>
    </row>
    <row r="612" spans="1:22" ht="15" customHeight="1" x14ac:dyDescent="0.35">
      <c r="A612" s="3" t="s">
        <v>1007</v>
      </c>
      <c r="B612" s="4">
        <v>45336</v>
      </c>
      <c r="C612" s="3" t="s">
        <v>333</v>
      </c>
      <c r="D612" s="3" t="s">
        <v>231</v>
      </c>
      <c r="E612" s="3" t="s">
        <v>50</v>
      </c>
      <c r="F612" s="5">
        <v>5</v>
      </c>
      <c r="G612" s="5">
        <v>620</v>
      </c>
      <c r="H612" s="5">
        <v>10.199999999999999</v>
      </c>
      <c r="I612" s="5">
        <v>2783.8</v>
      </c>
      <c r="J612" s="3" t="s">
        <v>26</v>
      </c>
      <c r="K612" s="3" t="s">
        <v>56</v>
      </c>
      <c r="L612" t="str">
        <f>IFERROR(VLOOKUP(D612,Products!$A$2:$F$61,3,FALSE()),"")</f>
        <v>Apparel</v>
      </c>
      <c r="M612" t="str">
        <f>IFERROR(VLOOKUP(E612,Sales_Reps!$A$2:$C$31,3,FALSE()),"")</f>
        <v>West</v>
      </c>
      <c r="N612">
        <f>IFERROR(VLOOKUP(D612,Products!$A$2:$F$61,4,FALSE()),"")</f>
        <v>396</v>
      </c>
      <c r="O612" t="str">
        <f>IFERROR(VLOOKUP(C612,Customers!$A$2:$F$301,5,FALSE()),"")</f>
        <v>SMB</v>
      </c>
      <c r="P612">
        <f>IFERROR(VLOOKUP(C612,Customers!$A$2:$F$301,3,FALSE()),"")</f>
        <v>28</v>
      </c>
      <c r="Q612">
        <f t="shared" si="27"/>
        <v>0.36129032258064514</v>
      </c>
      <c r="R612">
        <f>IF(AND(COUNTIF($A$2:$A$2027,A612)&gt;1,COUNTIF($A$2:A612,A612)=1),1,0)</f>
        <v>0</v>
      </c>
      <c r="S612" t="b">
        <f>IFERROR(VLOOKUP(D612,Products!$A$2:$F$61,6,FALSE()),"")</f>
        <v>1</v>
      </c>
      <c r="T612" t="str">
        <f>IF(COUNTIF(Customers!$A$2:$A$301,C612)=0,"Missing","OK")</f>
        <v>OK</v>
      </c>
      <c r="U612" t="str">
        <f t="shared" si="28"/>
        <v>Bengaluru</v>
      </c>
      <c r="V612">
        <f t="shared" si="29"/>
        <v>0</v>
      </c>
    </row>
    <row r="613" spans="1:22" ht="15" customHeight="1" x14ac:dyDescent="0.35">
      <c r="A613" s="3" t="s">
        <v>1008</v>
      </c>
      <c r="B613" s="4">
        <v>45392</v>
      </c>
      <c r="C613" s="3" t="s">
        <v>636</v>
      </c>
      <c r="D613" s="3" t="s">
        <v>36</v>
      </c>
      <c r="E613" s="3" t="s">
        <v>242</v>
      </c>
      <c r="F613" s="5">
        <v>8</v>
      </c>
      <c r="G613" s="5">
        <v>470</v>
      </c>
      <c r="H613" s="5">
        <v>2.4</v>
      </c>
      <c r="I613" s="5">
        <v>3669.76</v>
      </c>
      <c r="J613" s="3" t="s">
        <v>26</v>
      </c>
      <c r="K613" s="3" t="s">
        <v>72</v>
      </c>
      <c r="L613" t="str">
        <f>IFERROR(VLOOKUP(D613,Products!$A$2:$F$61,3,FALSE()),"")</f>
        <v>Sports</v>
      </c>
      <c r="M613" t="str">
        <f>IFERROR(VLOOKUP(E613,Sales_Reps!$A$2:$C$31,3,FALSE()),"")</f>
        <v>East</v>
      </c>
      <c r="N613">
        <f>IFERROR(VLOOKUP(D613,Products!$A$2:$F$61,4,FALSE()),"")</f>
        <v>302</v>
      </c>
      <c r="O613" t="str">
        <f>IFERROR(VLOOKUP(C613,Customers!$A$2:$F$301,5,FALSE()),"")</f>
        <v>Retail</v>
      </c>
      <c r="P613">
        <f>IFERROR(VLOOKUP(C613,Customers!$A$2:$F$301,3,FALSE()),"")</f>
        <v>65</v>
      </c>
      <c r="Q613">
        <f t="shared" si="27"/>
        <v>0.35744680851063831</v>
      </c>
      <c r="R613">
        <f>IF(AND(COUNTIF($A$2:$A$2027,A613)&gt;1,COUNTIF($A$2:A613,A613)=1),1,0)</f>
        <v>0</v>
      </c>
      <c r="S613" t="b">
        <f>IFERROR(VLOOKUP(D613,Products!$A$2:$F$61,6,FALSE()),"")</f>
        <v>0</v>
      </c>
      <c r="T613" t="str">
        <f>IF(COUNTIF(Customers!$A$2:$A$301,C613)=0,"Missing","OK")</f>
        <v>OK</v>
      </c>
      <c r="U613" t="str">
        <f t="shared" si="28"/>
        <v>Hyderabad</v>
      </c>
      <c r="V613">
        <f t="shared" si="29"/>
        <v>0</v>
      </c>
    </row>
    <row r="614" spans="1:22" ht="15" customHeight="1" x14ac:dyDescent="0.35">
      <c r="A614" s="3" t="s">
        <v>1009</v>
      </c>
      <c r="B614" s="4">
        <v>45610</v>
      </c>
      <c r="C614" s="3" t="s">
        <v>565</v>
      </c>
      <c r="D614" s="3" t="s">
        <v>325</v>
      </c>
      <c r="E614" s="3" t="s">
        <v>31</v>
      </c>
      <c r="F614" s="5">
        <v>3</v>
      </c>
      <c r="G614" s="5">
        <v>2290</v>
      </c>
      <c r="H614" s="5">
        <v>20.8</v>
      </c>
      <c r="I614" s="5">
        <v>5441.04</v>
      </c>
      <c r="J614" s="3" t="s">
        <v>26</v>
      </c>
      <c r="K614" s="3" t="s">
        <v>38</v>
      </c>
      <c r="L614" t="str">
        <f>IFERROR(VLOOKUP(D614,Products!$A$2:$F$61,3,FALSE()),"")</f>
        <v>Beauty</v>
      </c>
      <c r="M614" t="str">
        <f>IFERROR(VLOOKUP(E614,Sales_Reps!$A$2:$C$31,3,FALSE()),"")</f>
        <v>North</v>
      </c>
      <c r="N614">
        <f>IFERROR(VLOOKUP(D614,Products!$A$2:$F$61,4,FALSE()),"")</f>
        <v>1219</v>
      </c>
      <c r="O614" t="str">
        <f>IFERROR(VLOOKUP(C614,Customers!$A$2:$F$301,5,FALSE()),"")</f>
        <v>Retail</v>
      </c>
      <c r="P614">
        <f>IFERROR(VLOOKUP(C614,Customers!$A$2:$F$301,3,FALSE()),"")</f>
        <v>40</v>
      </c>
      <c r="Q614">
        <f t="shared" si="27"/>
        <v>0.46768558951965067</v>
      </c>
      <c r="R614">
        <f>IF(AND(COUNTIF($A$2:$A$2027,A614)&gt;1,COUNTIF($A$2:A614,A614)=1),1,0)</f>
        <v>1</v>
      </c>
      <c r="S614" t="b">
        <f>IFERROR(VLOOKUP(D614,Products!$A$2:$F$61,6,FALSE()),"")</f>
        <v>1</v>
      </c>
      <c r="T614" t="str">
        <f>IF(COUNTIF(Customers!$A$2:$A$301,C614)=0,"Missing","OK")</f>
        <v>OK</v>
      </c>
      <c r="U614" t="str">
        <f t="shared" si="28"/>
        <v>Delhi</v>
      </c>
      <c r="V614">
        <f t="shared" si="29"/>
        <v>0</v>
      </c>
    </row>
    <row r="615" spans="1:22" ht="15" customHeight="1" x14ac:dyDescent="0.35">
      <c r="A615" s="3" t="s">
        <v>1010</v>
      </c>
      <c r="B615" s="4">
        <v>45297</v>
      </c>
      <c r="C615" s="3" t="s">
        <v>1011</v>
      </c>
      <c r="D615" s="3" t="s">
        <v>54</v>
      </c>
      <c r="E615" s="3" t="s">
        <v>55</v>
      </c>
      <c r="F615" s="5">
        <v>4</v>
      </c>
      <c r="G615" s="5">
        <v>960</v>
      </c>
      <c r="H615" s="5">
        <v>28.8</v>
      </c>
      <c r="I615" s="5">
        <v>2734.08</v>
      </c>
      <c r="J615" s="3" t="s">
        <v>32</v>
      </c>
      <c r="K615" s="3" t="s">
        <v>51</v>
      </c>
      <c r="L615" t="str">
        <f>IFERROR(VLOOKUP(D615,Products!$A$2:$F$61,3,FALSE()),"")</f>
        <v>Sports</v>
      </c>
      <c r="M615" t="str">
        <f>IFERROR(VLOOKUP(E615,Sales_Reps!$A$2:$C$31,3,FALSE()),"")</f>
        <v>West</v>
      </c>
      <c r="N615">
        <f>IFERROR(VLOOKUP(D615,Products!$A$2:$F$61,4,FALSE()),"")</f>
        <v>705</v>
      </c>
      <c r="O615" t="str">
        <f>IFERROR(VLOOKUP(C615,Customers!$A$2:$F$301,5,FALSE()),"")</f>
        <v>SMB</v>
      </c>
      <c r="P615">
        <f>IFERROR(VLOOKUP(C615,Customers!$A$2:$F$301,3,FALSE()),"")</f>
        <v>53</v>
      </c>
      <c r="Q615">
        <f t="shared" si="27"/>
        <v>0.265625</v>
      </c>
      <c r="R615">
        <f>IF(AND(COUNTIF($A$2:$A$2027,A615)&gt;1,COUNTIF($A$2:A615,A615)=1),1,0)</f>
        <v>0</v>
      </c>
      <c r="S615" t="b">
        <f>IFERROR(VLOOKUP(D615,Products!$A$2:$F$61,6,FALSE()),"")</f>
        <v>1</v>
      </c>
      <c r="T615" t="str">
        <f>IF(COUNTIF(Customers!$A$2:$A$301,C615)=0,"Missing","OK")</f>
        <v>OK</v>
      </c>
      <c r="U615" t="str">
        <f t="shared" si="28"/>
        <v>Mumbai</v>
      </c>
      <c r="V615">
        <f t="shared" si="29"/>
        <v>0</v>
      </c>
    </row>
    <row r="616" spans="1:22" ht="15" customHeight="1" x14ac:dyDescent="0.35">
      <c r="A616" s="3" t="s">
        <v>1012</v>
      </c>
      <c r="B616" s="4">
        <v>45558</v>
      </c>
      <c r="C616" s="3" t="s">
        <v>381</v>
      </c>
      <c r="D616" s="3" t="s">
        <v>41</v>
      </c>
      <c r="E616" s="3" t="s">
        <v>71</v>
      </c>
      <c r="F616" s="5">
        <v>5</v>
      </c>
      <c r="G616" s="5">
        <v>3660</v>
      </c>
      <c r="H616" s="5">
        <v>11.9</v>
      </c>
      <c r="I616" s="5">
        <v>16122.3</v>
      </c>
      <c r="J616" s="3" t="s">
        <v>32</v>
      </c>
      <c r="K616" s="3" t="s">
        <v>27</v>
      </c>
      <c r="L616" t="str">
        <f>IFERROR(VLOOKUP(D616,Products!$A$2:$F$61,3,FALSE()),"")</f>
        <v>Grocery</v>
      </c>
      <c r="M616" t="str">
        <f>IFERROR(VLOOKUP(E616,Sales_Reps!$A$2:$C$31,3,FALSE()),"")</f>
        <v>South</v>
      </c>
      <c r="N616">
        <f>IFERROR(VLOOKUP(D616,Products!$A$2:$F$61,4,FALSE()),"")</f>
        <v>2214</v>
      </c>
      <c r="O616" t="str">
        <f>IFERROR(VLOOKUP(C616,Customers!$A$2:$F$301,5,FALSE()),"")</f>
        <v>Retail</v>
      </c>
      <c r="P616">
        <f>IFERROR(VLOOKUP(C616,Customers!$A$2:$F$301,3,FALSE()),"")</f>
        <v>65</v>
      </c>
      <c r="Q616">
        <f t="shared" si="27"/>
        <v>0.39508196721311473</v>
      </c>
      <c r="R616">
        <f>IF(AND(COUNTIF($A$2:$A$2027,A616)&gt;1,COUNTIF($A$2:A616,A616)=1),1,0)</f>
        <v>0</v>
      </c>
      <c r="S616" t="b">
        <f>IFERROR(VLOOKUP(D616,Products!$A$2:$F$61,6,FALSE()),"")</f>
        <v>0</v>
      </c>
      <c r="T616" t="str">
        <f>IF(COUNTIF(Customers!$A$2:$A$301,C616)=0,"Missing","OK")</f>
        <v>OK</v>
      </c>
      <c r="U616" t="str">
        <f t="shared" si="28"/>
        <v>Pune</v>
      </c>
      <c r="V616">
        <f t="shared" si="29"/>
        <v>0</v>
      </c>
    </row>
    <row r="617" spans="1:22" ht="15" customHeight="1" x14ac:dyDescent="0.35">
      <c r="A617" s="3" t="s">
        <v>1013</v>
      </c>
      <c r="B617" s="4">
        <v>45487</v>
      </c>
      <c r="C617" s="3" t="s">
        <v>272</v>
      </c>
      <c r="D617" s="3" t="s">
        <v>126</v>
      </c>
      <c r="E617" s="3" t="s">
        <v>60</v>
      </c>
      <c r="F617" s="5">
        <v>5</v>
      </c>
      <c r="G617" s="5">
        <v>3570</v>
      </c>
      <c r="H617" s="5">
        <v>12.4</v>
      </c>
      <c r="I617" s="5">
        <v>15636.6</v>
      </c>
      <c r="J617" s="3" t="s">
        <v>26</v>
      </c>
      <c r="K617" s="3" t="s">
        <v>72</v>
      </c>
      <c r="L617" t="str">
        <f>IFERROR(VLOOKUP(D617,Products!$A$2:$F$61,3,FALSE()),"")</f>
        <v>Electronics</v>
      </c>
      <c r="M617" t="str">
        <f>IFERROR(VLOOKUP(E617,Sales_Reps!$A$2:$C$31,3,FALSE()),"")</f>
        <v>East</v>
      </c>
      <c r="N617">
        <f>IFERROR(VLOOKUP(D617,Products!$A$2:$F$61,4,FALSE()),"")</f>
        <v>1665</v>
      </c>
      <c r="O617" t="str">
        <f>IFERROR(VLOOKUP(C617,Customers!$A$2:$F$301,5,FALSE()),"")</f>
        <v>SMB</v>
      </c>
      <c r="P617">
        <f>IFERROR(VLOOKUP(C617,Customers!$A$2:$F$301,3,FALSE()),"")</f>
        <v>65</v>
      </c>
      <c r="Q617">
        <f t="shared" si="27"/>
        <v>0.53361344537815125</v>
      </c>
      <c r="R617">
        <f>IF(AND(COUNTIF($A$2:$A$2027,A617)&gt;1,COUNTIF($A$2:A617,A617)=1),1,0)</f>
        <v>0</v>
      </c>
      <c r="S617" t="b">
        <f>IFERROR(VLOOKUP(D617,Products!$A$2:$F$61,6,FALSE()),"")</f>
        <v>1</v>
      </c>
      <c r="T617" t="str">
        <f>IF(COUNTIF(Customers!$A$2:$A$301,C617)=0,"Missing","OK")</f>
        <v>OK</v>
      </c>
      <c r="U617" t="str">
        <f t="shared" si="28"/>
        <v>Hyderabad</v>
      </c>
      <c r="V617">
        <f t="shared" si="29"/>
        <v>0</v>
      </c>
    </row>
    <row r="618" spans="1:22" ht="15" customHeight="1" x14ac:dyDescent="0.35">
      <c r="A618" s="3" t="s">
        <v>1014</v>
      </c>
      <c r="B618" s="4">
        <v>45307</v>
      </c>
      <c r="C618" s="3" t="s">
        <v>48</v>
      </c>
      <c r="D618" s="3" t="s">
        <v>234</v>
      </c>
      <c r="E618" s="3" t="s">
        <v>177</v>
      </c>
      <c r="F618" s="5">
        <v>9</v>
      </c>
      <c r="G618" s="5">
        <v>2030</v>
      </c>
      <c r="H618" s="5">
        <v>23.4</v>
      </c>
      <c r="I618" s="5">
        <v>13994.82</v>
      </c>
      <c r="J618" s="3" t="s">
        <v>26</v>
      </c>
      <c r="K618" s="3" t="s">
        <v>51</v>
      </c>
      <c r="L618" t="str">
        <f>IFERROR(VLOOKUP(D618,Products!$A$2:$F$61,3,FALSE()),"")</f>
        <v>Home</v>
      </c>
      <c r="M618" t="str">
        <f>IFERROR(VLOOKUP(E618,Sales_Reps!$A$2:$C$31,3,FALSE()),"")</f>
        <v>East</v>
      </c>
      <c r="N618">
        <f>IFERROR(VLOOKUP(D618,Products!$A$2:$F$61,4,FALSE()),"")</f>
        <v>1143</v>
      </c>
      <c r="O618" t="str">
        <f>IFERROR(VLOOKUP(C618,Customers!$A$2:$F$301,5,FALSE()),"")</f>
        <v>Retail</v>
      </c>
      <c r="P618">
        <f>IFERROR(VLOOKUP(C618,Customers!$A$2:$F$301,3,FALSE()),"")</f>
        <v>36</v>
      </c>
      <c r="Q618">
        <f t="shared" si="27"/>
        <v>0.43694581280788175</v>
      </c>
      <c r="R618">
        <f>IF(AND(COUNTIF($A$2:$A$2027,A618)&gt;1,COUNTIF($A$2:A618,A618)=1),1,0)</f>
        <v>0</v>
      </c>
      <c r="S618" t="b">
        <f>IFERROR(VLOOKUP(D618,Products!$A$2:$F$61,6,FALSE()),"")</f>
        <v>1</v>
      </c>
      <c r="T618" t="str">
        <f>IF(COUNTIF(Customers!$A$2:$A$301,C618)=0,"Missing","OK")</f>
        <v>OK</v>
      </c>
      <c r="U618" t="str">
        <f t="shared" si="28"/>
        <v>Mumbai</v>
      </c>
      <c r="V618">
        <f t="shared" si="29"/>
        <v>0</v>
      </c>
    </row>
    <row r="619" spans="1:22" ht="15" customHeight="1" x14ac:dyDescent="0.35">
      <c r="A619" s="3" t="s">
        <v>1015</v>
      </c>
      <c r="B619" s="4">
        <v>45328</v>
      </c>
      <c r="C619" s="3" t="s">
        <v>133</v>
      </c>
      <c r="D619" s="3" t="s">
        <v>112</v>
      </c>
      <c r="E619" s="3" t="s">
        <v>55</v>
      </c>
      <c r="F619" s="5">
        <v>7</v>
      </c>
      <c r="G619" s="5">
        <v>2720</v>
      </c>
      <c r="H619" s="5">
        <v>11.2</v>
      </c>
      <c r="I619" s="5">
        <v>16907.52</v>
      </c>
      <c r="J619" s="3" t="s">
        <v>83</v>
      </c>
      <c r="K619" s="3" t="s">
        <v>27</v>
      </c>
      <c r="L619" t="str">
        <f>IFERROR(VLOOKUP(D619,Products!$A$2:$F$61,3,FALSE()),"")</f>
        <v>Apparel</v>
      </c>
      <c r="M619" t="str">
        <f>IFERROR(VLOOKUP(E619,Sales_Reps!$A$2:$C$31,3,FALSE()),"")</f>
        <v>West</v>
      </c>
      <c r="N619">
        <f>IFERROR(VLOOKUP(D619,Products!$A$2:$F$61,4,FALSE()),"")</f>
        <v>1962</v>
      </c>
      <c r="O619" t="str">
        <f>IFERROR(VLOOKUP(C619,Customers!$A$2:$F$301,5,FALSE()),"")</f>
        <v>SMB</v>
      </c>
      <c r="P619">
        <f>IFERROR(VLOOKUP(C619,Customers!$A$2:$F$301,3,FALSE()),"")</f>
        <v>44</v>
      </c>
      <c r="Q619">
        <f t="shared" si="27"/>
        <v>0.2786764705882353</v>
      </c>
      <c r="R619">
        <f>IF(AND(COUNTIF($A$2:$A$2027,A619)&gt;1,COUNTIF($A$2:A619,A619)=1),1,0)</f>
        <v>0</v>
      </c>
      <c r="S619" t="b">
        <f>IFERROR(VLOOKUP(D619,Products!$A$2:$F$61,6,FALSE()),"")</f>
        <v>1</v>
      </c>
      <c r="T619" t="str">
        <f>IF(COUNTIF(Customers!$A$2:$A$301,C619)=0,"Missing","OK")</f>
        <v>OK</v>
      </c>
      <c r="U619" t="str">
        <f t="shared" si="28"/>
        <v>Pune</v>
      </c>
      <c r="V619">
        <f t="shared" si="29"/>
        <v>0</v>
      </c>
    </row>
    <row r="620" spans="1:22" ht="15" customHeight="1" x14ac:dyDescent="0.35">
      <c r="A620" s="3" t="s">
        <v>1016</v>
      </c>
      <c r="B620" s="4">
        <v>45627</v>
      </c>
      <c r="C620" s="3" t="s">
        <v>668</v>
      </c>
      <c r="D620" s="3" t="s">
        <v>126</v>
      </c>
      <c r="E620" s="3" t="s">
        <v>46</v>
      </c>
      <c r="F620" s="5">
        <v>2</v>
      </c>
      <c r="G620" s="5">
        <v>3570</v>
      </c>
      <c r="H620" s="5">
        <v>6.1</v>
      </c>
      <c r="I620" s="5">
        <v>6704.46</v>
      </c>
      <c r="J620" s="3" t="s">
        <v>79</v>
      </c>
      <c r="K620" s="3" t="s">
        <v>51</v>
      </c>
      <c r="L620" t="str">
        <f>IFERROR(VLOOKUP(D620,Products!$A$2:$F$61,3,FALSE()),"")</f>
        <v>Electronics</v>
      </c>
      <c r="M620" t="str">
        <f>IFERROR(VLOOKUP(E620,Sales_Reps!$A$2:$C$31,3,FALSE()),"")</f>
        <v>North</v>
      </c>
      <c r="N620">
        <f>IFERROR(VLOOKUP(D620,Products!$A$2:$F$61,4,FALSE()),"")</f>
        <v>1665</v>
      </c>
      <c r="O620" t="str">
        <f>IFERROR(VLOOKUP(C620,Customers!$A$2:$F$301,5,FALSE()),"")</f>
        <v>Retail</v>
      </c>
      <c r="P620">
        <f>IFERROR(VLOOKUP(C620,Customers!$A$2:$F$301,3,FALSE()),"")</f>
        <v>56</v>
      </c>
      <c r="Q620">
        <f t="shared" si="27"/>
        <v>0.53361344537815125</v>
      </c>
      <c r="R620">
        <f>IF(AND(COUNTIF($A$2:$A$2027,A620)&gt;1,COUNTIF($A$2:A620,A620)=1),1,0)</f>
        <v>0</v>
      </c>
      <c r="S620" t="b">
        <f>IFERROR(VLOOKUP(D620,Products!$A$2:$F$61,6,FALSE()),"")</f>
        <v>1</v>
      </c>
      <c r="T620" t="str">
        <f>IF(COUNTIF(Customers!$A$2:$A$301,C620)=0,"Missing","OK")</f>
        <v>OK</v>
      </c>
      <c r="U620" t="str">
        <f t="shared" si="28"/>
        <v>Mumbai</v>
      </c>
      <c r="V620">
        <f t="shared" si="29"/>
        <v>0</v>
      </c>
    </row>
    <row r="621" spans="1:22" ht="15" customHeight="1" x14ac:dyDescent="0.35">
      <c r="A621" s="3" t="s">
        <v>1017</v>
      </c>
      <c r="B621" s="4">
        <v>45574</v>
      </c>
      <c r="C621" s="3" t="s">
        <v>755</v>
      </c>
      <c r="D621" s="3" t="s">
        <v>90</v>
      </c>
      <c r="E621" s="3" t="s">
        <v>154</v>
      </c>
      <c r="F621" s="5">
        <v>5</v>
      </c>
      <c r="G621" s="5">
        <v>2400</v>
      </c>
      <c r="H621" s="5">
        <v>16.100000000000001</v>
      </c>
      <c r="I621" s="5">
        <v>10068</v>
      </c>
      <c r="J621" s="3" t="s">
        <v>26</v>
      </c>
      <c r="K621" s="3" t="s">
        <v>27</v>
      </c>
      <c r="L621" t="str">
        <f>IFERROR(VLOOKUP(D621,Products!$A$2:$F$61,3,FALSE()),"")</f>
        <v>Sports</v>
      </c>
      <c r="M621" t="str">
        <f>IFERROR(VLOOKUP(E621,Sales_Reps!$A$2:$C$31,3,FALSE()),"")</f>
        <v>North</v>
      </c>
      <c r="N621">
        <f>IFERROR(VLOOKUP(D621,Products!$A$2:$F$61,4,FALSE()),"")</f>
        <v>974</v>
      </c>
      <c r="O621" t="str">
        <f>IFERROR(VLOOKUP(C621,Customers!$A$2:$F$301,5,FALSE()),"")</f>
        <v>Retail</v>
      </c>
      <c r="P621">
        <f>IFERROR(VLOOKUP(C621,Customers!$A$2:$F$301,3,FALSE()),"")</f>
        <v>36</v>
      </c>
      <c r="Q621">
        <f t="shared" si="27"/>
        <v>0.59416666666666662</v>
      </c>
      <c r="R621">
        <f>IF(AND(COUNTIF($A$2:$A$2027,A621)&gt;1,COUNTIF($A$2:A621,A621)=1),1,0)</f>
        <v>0</v>
      </c>
      <c r="S621" t="b">
        <f>IFERROR(VLOOKUP(D621,Products!$A$2:$F$61,6,FALSE()),"")</f>
        <v>1</v>
      </c>
      <c r="T621" t="str">
        <f>IF(COUNTIF(Customers!$A$2:$A$301,C621)=0,"Missing","OK")</f>
        <v>OK</v>
      </c>
      <c r="U621" t="str">
        <f t="shared" si="28"/>
        <v>Pune</v>
      </c>
      <c r="V621">
        <f t="shared" si="29"/>
        <v>0</v>
      </c>
    </row>
    <row r="622" spans="1:22" ht="15" customHeight="1" x14ac:dyDescent="0.35">
      <c r="A622" s="3" t="s">
        <v>1018</v>
      </c>
      <c r="B622" s="4">
        <v>45592</v>
      </c>
      <c r="C622" s="3" t="s">
        <v>1011</v>
      </c>
      <c r="D622" s="3" t="s">
        <v>70</v>
      </c>
      <c r="E622" s="3" t="s">
        <v>236</v>
      </c>
      <c r="F622" s="5">
        <v>4</v>
      </c>
      <c r="G622" s="5">
        <v>2270</v>
      </c>
      <c r="H622" s="5">
        <v>27.5</v>
      </c>
      <c r="I622" s="5">
        <v>6583</v>
      </c>
      <c r="J622" s="3" t="s">
        <v>32</v>
      </c>
      <c r="K622" s="3" t="s">
        <v>51</v>
      </c>
      <c r="L622" t="str">
        <f>IFERROR(VLOOKUP(D622,Products!$A$2:$F$61,3,FALSE()),"")</f>
        <v>Grocery</v>
      </c>
      <c r="M622" t="str">
        <f>IFERROR(VLOOKUP(E622,Sales_Reps!$A$2:$C$31,3,FALSE()),"")</f>
        <v>North</v>
      </c>
      <c r="N622">
        <f>IFERROR(VLOOKUP(D622,Products!$A$2:$F$61,4,FALSE()),"")</f>
        <v>1203</v>
      </c>
      <c r="O622" t="str">
        <f>IFERROR(VLOOKUP(C622,Customers!$A$2:$F$301,5,FALSE()),"")</f>
        <v>SMB</v>
      </c>
      <c r="P622">
        <f>IFERROR(VLOOKUP(C622,Customers!$A$2:$F$301,3,FALSE()),"")</f>
        <v>53</v>
      </c>
      <c r="Q622">
        <f t="shared" si="27"/>
        <v>0.47004405286343615</v>
      </c>
      <c r="R622">
        <f>IF(AND(COUNTIF($A$2:$A$2027,A622)&gt;1,COUNTIF($A$2:A622,A622)=1),1,0)</f>
        <v>0</v>
      </c>
      <c r="S622" t="b">
        <f>IFERROR(VLOOKUP(D622,Products!$A$2:$F$61,6,FALSE()),"")</f>
        <v>1</v>
      </c>
      <c r="T622" t="str">
        <f>IF(COUNTIF(Customers!$A$2:$A$301,C622)=0,"Missing","OK")</f>
        <v>OK</v>
      </c>
      <c r="U622" t="str">
        <f t="shared" si="28"/>
        <v>Mumbai</v>
      </c>
      <c r="V622">
        <f t="shared" si="29"/>
        <v>0</v>
      </c>
    </row>
    <row r="623" spans="1:22" ht="15" customHeight="1" x14ac:dyDescent="0.35">
      <c r="A623" s="3" t="s">
        <v>1019</v>
      </c>
      <c r="B623" s="4">
        <v>45509</v>
      </c>
      <c r="C623" s="3" t="s">
        <v>40</v>
      </c>
      <c r="D623" s="3" t="s">
        <v>66</v>
      </c>
      <c r="E623" s="3" t="s">
        <v>264</v>
      </c>
      <c r="F623" s="5">
        <v>1</v>
      </c>
      <c r="G623" s="5">
        <v>970</v>
      </c>
      <c r="H623" s="5">
        <v>12.7</v>
      </c>
      <c r="I623" s="5">
        <v>846.81</v>
      </c>
      <c r="J623" s="3" t="s">
        <v>26</v>
      </c>
      <c r="K623" s="3" t="s">
        <v>38</v>
      </c>
      <c r="L623" t="str">
        <f>IFERROR(VLOOKUP(D623,Products!$A$2:$F$61,3,FALSE()),"")</f>
        <v>Grocery</v>
      </c>
      <c r="M623" t="str">
        <f>IFERROR(VLOOKUP(E623,Sales_Reps!$A$2:$C$31,3,FALSE()),"")</f>
        <v>South</v>
      </c>
      <c r="N623">
        <f>IFERROR(VLOOKUP(D623,Products!$A$2:$F$61,4,FALSE()),"")</f>
        <v>434</v>
      </c>
      <c r="O623" t="str">
        <f>IFERROR(VLOOKUP(C623,Customers!$A$2:$F$301,5,FALSE()),"")</f>
        <v>Corporate</v>
      </c>
      <c r="P623">
        <f>IFERROR(VLOOKUP(C623,Customers!$A$2:$F$301,3,FALSE()),"")</f>
        <v>46</v>
      </c>
      <c r="Q623">
        <f t="shared" si="27"/>
        <v>0.5525773195876289</v>
      </c>
      <c r="R623">
        <f>IF(AND(COUNTIF($A$2:$A$2027,A623)&gt;1,COUNTIF($A$2:A623,A623)=1),1,0)</f>
        <v>0</v>
      </c>
      <c r="S623" t="b">
        <f>IFERROR(VLOOKUP(D623,Products!$A$2:$F$61,6,FALSE()),"")</f>
        <v>1</v>
      </c>
      <c r="T623" t="str">
        <f>IF(COUNTIF(Customers!$A$2:$A$301,C623)=0,"Missing","OK")</f>
        <v>OK</v>
      </c>
      <c r="U623" t="str">
        <f t="shared" si="28"/>
        <v>Delhi</v>
      </c>
      <c r="V623">
        <f t="shared" si="29"/>
        <v>0</v>
      </c>
    </row>
    <row r="624" spans="1:22" ht="15" customHeight="1" x14ac:dyDescent="0.35">
      <c r="A624" s="3" t="s">
        <v>1020</v>
      </c>
      <c r="B624" s="4">
        <v>45307</v>
      </c>
      <c r="C624" s="3" t="s">
        <v>408</v>
      </c>
      <c r="D624" s="3" t="s">
        <v>454</v>
      </c>
      <c r="E624" s="3" t="s">
        <v>242</v>
      </c>
      <c r="F624" s="5">
        <v>5</v>
      </c>
      <c r="G624" s="5">
        <v>6940</v>
      </c>
      <c r="H624" s="5">
        <v>16.2</v>
      </c>
      <c r="I624" s="5">
        <v>29078.6</v>
      </c>
      <c r="J624" s="3" t="s">
        <v>26</v>
      </c>
      <c r="K624" s="3" t="s">
        <v>56</v>
      </c>
      <c r="L624" t="str">
        <f>IFERROR(VLOOKUP(D624,Products!$A$2:$F$61,3,FALSE()),"")</f>
        <v>Sports</v>
      </c>
      <c r="M624" t="str">
        <f>IFERROR(VLOOKUP(E624,Sales_Reps!$A$2:$C$31,3,FALSE()),"")</f>
        <v>East</v>
      </c>
      <c r="N624">
        <f>IFERROR(VLOOKUP(D624,Products!$A$2:$F$61,4,FALSE()),"")</f>
        <v>2827</v>
      </c>
      <c r="O624" t="str">
        <f>IFERROR(VLOOKUP(C624,Customers!$A$2:$F$301,5,FALSE()),"")</f>
        <v>SMB</v>
      </c>
      <c r="P624">
        <f>IFERROR(VLOOKUP(C624,Customers!$A$2:$F$301,3,FALSE()),"")</f>
        <v>43</v>
      </c>
      <c r="Q624">
        <f t="shared" si="27"/>
        <v>0.5926512968299712</v>
      </c>
      <c r="R624">
        <f>IF(AND(COUNTIF($A$2:$A$2027,A624)&gt;1,COUNTIF($A$2:A624,A624)=1),1,0)</f>
        <v>0</v>
      </c>
      <c r="S624" t="b">
        <f>IFERROR(VLOOKUP(D624,Products!$A$2:$F$61,6,FALSE()),"")</f>
        <v>1</v>
      </c>
      <c r="T624" t="str">
        <f>IF(COUNTIF(Customers!$A$2:$A$301,C624)=0,"Missing","OK")</f>
        <v>OK</v>
      </c>
      <c r="U624" t="str">
        <f t="shared" si="28"/>
        <v>Bengaluru</v>
      </c>
      <c r="V624">
        <f t="shared" si="29"/>
        <v>0</v>
      </c>
    </row>
    <row r="625" spans="1:22" ht="15" customHeight="1" x14ac:dyDescent="0.35">
      <c r="A625" s="3" t="s">
        <v>1021</v>
      </c>
      <c r="B625" s="4">
        <v>45586</v>
      </c>
      <c r="C625" s="3" t="s">
        <v>138</v>
      </c>
      <c r="D625" s="3" t="s">
        <v>454</v>
      </c>
      <c r="E625" s="3" t="s">
        <v>143</v>
      </c>
      <c r="F625" s="5">
        <v>4</v>
      </c>
      <c r="G625" s="5">
        <v>6940</v>
      </c>
      <c r="H625" s="5">
        <v>15.1</v>
      </c>
      <c r="I625" s="5">
        <v>23568.240000000002</v>
      </c>
      <c r="J625" s="3" t="s">
        <v>26</v>
      </c>
      <c r="K625" s="3" t="s">
        <v>72</v>
      </c>
      <c r="L625" t="str">
        <f>IFERROR(VLOOKUP(D625,Products!$A$2:$F$61,3,FALSE()),"")</f>
        <v>Sports</v>
      </c>
      <c r="M625" t="str">
        <f>IFERROR(VLOOKUP(E625,Sales_Reps!$A$2:$C$31,3,FALSE()),"")</f>
        <v>South</v>
      </c>
      <c r="N625">
        <f>IFERROR(VLOOKUP(D625,Products!$A$2:$F$61,4,FALSE()),"")</f>
        <v>2827</v>
      </c>
      <c r="O625" t="str">
        <f>IFERROR(VLOOKUP(C625,Customers!$A$2:$F$301,5,FALSE()),"")</f>
        <v>Retail</v>
      </c>
      <c r="P625">
        <f>IFERROR(VLOOKUP(C625,Customers!$A$2:$F$301,3,FALSE()),"")</f>
        <v>53</v>
      </c>
      <c r="Q625">
        <f t="shared" si="27"/>
        <v>0.5926512968299712</v>
      </c>
      <c r="R625">
        <f>IF(AND(COUNTIF($A$2:$A$2027,A625)&gt;1,COUNTIF($A$2:A625,A625)=1),1,0)</f>
        <v>0</v>
      </c>
      <c r="S625" t="b">
        <f>IFERROR(VLOOKUP(D625,Products!$A$2:$F$61,6,FALSE()),"")</f>
        <v>1</v>
      </c>
      <c r="T625" t="str">
        <f>IF(COUNTIF(Customers!$A$2:$A$301,C625)=0,"Missing","OK")</f>
        <v>OK</v>
      </c>
      <c r="U625" t="str">
        <f t="shared" si="28"/>
        <v>Hyderabad</v>
      </c>
      <c r="V625">
        <f t="shared" si="29"/>
        <v>0</v>
      </c>
    </row>
    <row r="626" spans="1:22" ht="15" customHeight="1" x14ac:dyDescent="0.35">
      <c r="A626" s="3" t="s">
        <v>1022</v>
      </c>
      <c r="B626" s="4">
        <v>45587</v>
      </c>
      <c r="C626" s="3" t="s">
        <v>279</v>
      </c>
      <c r="D626" s="3" t="s">
        <v>121</v>
      </c>
      <c r="E626" s="3" t="s">
        <v>42</v>
      </c>
      <c r="F626" s="5">
        <v>1</v>
      </c>
      <c r="G626" s="5">
        <v>1010</v>
      </c>
      <c r="H626" s="5">
        <v>1.7</v>
      </c>
      <c r="I626" s="5">
        <v>992.83</v>
      </c>
      <c r="J626" s="3" t="s">
        <v>26</v>
      </c>
      <c r="K626" s="3" t="s">
        <v>27</v>
      </c>
      <c r="L626" t="str">
        <f>IFERROR(VLOOKUP(D626,Products!$A$2:$F$61,3,FALSE()),"")</f>
        <v>Sports</v>
      </c>
      <c r="M626" t="str">
        <f>IFERROR(VLOOKUP(E626,Sales_Reps!$A$2:$C$31,3,FALSE()),"")</f>
        <v>North</v>
      </c>
      <c r="N626">
        <f>IFERROR(VLOOKUP(D626,Products!$A$2:$F$61,4,FALSE()),"")</f>
        <v>516</v>
      </c>
      <c r="O626" t="str">
        <f>IFERROR(VLOOKUP(C626,Customers!$A$2:$F$301,5,FALSE()),"")</f>
        <v>Retail</v>
      </c>
      <c r="P626">
        <f>IFERROR(VLOOKUP(C626,Customers!$A$2:$F$301,3,FALSE()),"")</f>
        <v>25</v>
      </c>
      <c r="Q626">
        <f t="shared" si="27"/>
        <v>0.4891089108910891</v>
      </c>
      <c r="R626">
        <f>IF(AND(COUNTIF($A$2:$A$2027,A626)&gt;1,COUNTIF($A$2:A626,A626)=1),1,0)</f>
        <v>0</v>
      </c>
      <c r="S626" t="b">
        <f>IFERROR(VLOOKUP(D626,Products!$A$2:$F$61,6,FALSE()),"")</f>
        <v>1</v>
      </c>
      <c r="T626" t="str">
        <f>IF(COUNTIF(Customers!$A$2:$A$301,C626)=0,"Missing","OK")</f>
        <v>OK</v>
      </c>
      <c r="U626" t="str">
        <f t="shared" si="28"/>
        <v>Pune</v>
      </c>
      <c r="V626">
        <f t="shared" si="29"/>
        <v>0</v>
      </c>
    </row>
    <row r="627" spans="1:22" ht="15" customHeight="1" x14ac:dyDescent="0.35">
      <c r="A627" s="3" t="s">
        <v>1023</v>
      </c>
      <c r="B627" s="4">
        <v>45609</v>
      </c>
      <c r="C627" s="3" t="s">
        <v>230</v>
      </c>
      <c r="D627" s="3" t="s">
        <v>187</v>
      </c>
      <c r="E627" s="3" t="s">
        <v>25</v>
      </c>
      <c r="F627" s="5">
        <v>6</v>
      </c>
      <c r="G627" s="5">
        <v>3870</v>
      </c>
      <c r="H627" s="5">
        <v>12.2</v>
      </c>
      <c r="I627" s="5">
        <v>20387.16</v>
      </c>
      <c r="J627" s="3" t="s">
        <v>26</v>
      </c>
      <c r="K627" s="3" t="s">
        <v>38</v>
      </c>
      <c r="L627" t="str">
        <f>IFERROR(VLOOKUP(D627,Products!$A$2:$F$61,3,FALSE()),"")</f>
        <v>Electronics</v>
      </c>
      <c r="M627" t="str">
        <f>IFERROR(VLOOKUP(E627,Sales_Reps!$A$2:$C$31,3,FALSE()),"")</f>
        <v>North</v>
      </c>
      <c r="N627">
        <f>IFERROR(VLOOKUP(D627,Products!$A$2:$F$61,4,FALSE()),"")</f>
        <v>1559</v>
      </c>
      <c r="O627" t="str">
        <f>IFERROR(VLOOKUP(C627,Customers!$A$2:$F$301,5,FALSE()),"")</f>
        <v>Retail</v>
      </c>
      <c r="P627">
        <f>IFERROR(VLOOKUP(C627,Customers!$A$2:$F$301,3,FALSE()),"")</f>
        <v>35</v>
      </c>
      <c r="Q627">
        <f t="shared" si="27"/>
        <v>0.59715762273901807</v>
      </c>
      <c r="R627">
        <f>IF(AND(COUNTIF($A$2:$A$2027,A627)&gt;1,COUNTIF($A$2:A627,A627)=1),1,0)</f>
        <v>0</v>
      </c>
      <c r="S627" t="b">
        <f>IFERROR(VLOOKUP(D627,Products!$A$2:$F$61,6,FALSE()),"")</f>
        <v>1</v>
      </c>
      <c r="T627" t="str">
        <f>IF(COUNTIF(Customers!$A$2:$A$301,C627)=0,"Missing","OK")</f>
        <v>OK</v>
      </c>
      <c r="U627" t="str">
        <f t="shared" si="28"/>
        <v>Delhi</v>
      </c>
      <c r="V627">
        <f t="shared" si="29"/>
        <v>0</v>
      </c>
    </row>
    <row r="628" spans="1:22" ht="15" customHeight="1" x14ac:dyDescent="0.35">
      <c r="A628" s="3" t="s">
        <v>1024</v>
      </c>
      <c r="B628" s="4">
        <v>45316</v>
      </c>
      <c r="C628" s="3" t="s">
        <v>476</v>
      </c>
      <c r="D628" s="3" t="s">
        <v>130</v>
      </c>
      <c r="E628" s="3" t="s">
        <v>212</v>
      </c>
      <c r="F628" s="5">
        <v>9</v>
      </c>
      <c r="G628" s="5">
        <v>5100</v>
      </c>
      <c r="H628" s="5">
        <v>26.4</v>
      </c>
      <c r="I628" s="5">
        <v>33782.400000000001</v>
      </c>
      <c r="J628" s="3" t="s">
        <v>26</v>
      </c>
      <c r="K628" s="3" t="s">
        <v>72</v>
      </c>
      <c r="L628" t="str">
        <f>IFERROR(VLOOKUP(D628,Products!$A$2:$F$61,3,FALSE()),"")</f>
        <v>Beauty</v>
      </c>
      <c r="M628" t="str">
        <f>IFERROR(VLOOKUP(E628,Sales_Reps!$A$2:$C$31,3,FALSE()),"")</f>
        <v>South</v>
      </c>
      <c r="N628">
        <f>IFERROR(VLOOKUP(D628,Products!$A$2:$F$61,4,FALSE()),"")</f>
        <v>2237</v>
      </c>
      <c r="O628" t="str">
        <f>IFERROR(VLOOKUP(C628,Customers!$A$2:$F$301,5,FALSE()),"")</f>
        <v>SMB</v>
      </c>
      <c r="P628">
        <f>IFERROR(VLOOKUP(C628,Customers!$A$2:$F$301,3,FALSE()),"")</f>
        <v>48</v>
      </c>
      <c r="Q628">
        <f t="shared" si="27"/>
        <v>0.56137254901960787</v>
      </c>
      <c r="R628">
        <f>IF(AND(COUNTIF($A$2:$A$2027,A628)&gt;1,COUNTIF($A$2:A628,A628)=1),1,0)</f>
        <v>0</v>
      </c>
      <c r="S628" t="b">
        <f>IFERROR(VLOOKUP(D628,Products!$A$2:$F$61,6,FALSE()),"")</f>
        <v>1</v>
      </c>
      <c r="T628" t="str">
        <f>IF(COUNTIF(Customers!$A$2:$A$301,C628)=0,"Missing","OK")</f>
        <v>OK</v>
      </c>
      <c r="U628" t="str">
        <f t="shared" si="28"/>
        <v>Hyderabad</v>
      </c>
      <c r="V628">
        <f t="shared" si="29"/>
        <v>0</v>
      </c>
    </row>
    <row r="629" spans="1:22" ht="15" customHeight="1" x14ac:dyDescent="0.35">
      <c r="A629" s="3" t="s">
        <v>1025</v>
      </c>
      <c r="B629" s="4">
        <v>45451</v>
      </c>
      <c r="C629" s="3" t="s">
        <v>887</v>
      </c>
      <c r="D629" s="3" t="s">
        <v>45</v>
      </c>
      <c r="E629" s="3" t="s">
        <v>46</v>
      </c>
      <c r="F629" s="5">
        <v>2</v>
      </c>
      <c r="G629" s="5">
        <v>3160</v>
      </c>
      <c r="H629" s="5">
        <v>13.4</v>
      </c>
      <c r="I629" s="5">
        <v>5473.12</v>
      </c>
      <c r="J629" s="3" t="s">
        <v>83</v>
      </c>
      <c r="K629" s="3" t="s">
        <v>27</v>
      </c>
      <c r="L629" t="str">
        <f>IFERROR(VLOOKUP(D629,Products!$A$2:$F$61,3,FALSE()),"")</f>
        <v>Apparel</v>
      </c>
      <c r="M629" t="str">
        <f>IFERROR(VLOOKUP(E629,Sales_Reps!$A$2:$C$31,3,FALSE()),"")</f>
        <v>North</v>
      </c>
      <c r="N629">
        <f>IFERROR(VLOOKUP(D629,Products!$A$2:$F$61,4,FALSE()),"")</f>
        <v>1886</v>
      </c>
      <c r="O629" t="str">
        <f>IFERROR(VLOOKUP(C629,Customers!$A$2:$F$301,5,FALSE()),"")</f>
        <v>Retail</v>
      </c>
      <c r="P629">
        <f>IFERROR(VLOOKUP(C629,Customers!$A$2:$F$301,3,FALSE()),"")</f>
        <v>65</v>
      </c>
      <c r="Q629">
        <f t="shared" si="27"/>
        <v>0.4031645569620253</v>
      </c>
      <c r="R629">
        <f>IF(AND(COUNTIF($A$2:$A$2027,A629)&gt;1,COUNTIF($A$2:A629,A629)=1),1,0)</f>
        <v>0</v>
      </c>
      <c r="S629" t="b">
        <f>IFERROR(VLOOKUP(D629,Products!$A$2:$F$61,6,FALSE()),"")</f>
        <v>1</v>
      </c>
      <c r="T629" t="str">
        <f>IF(COUNTIF(Customers!$A$2:$A$301,C629)=0,"Missing","OK")</f>
        <v>OK</v>
      </c>
      <c r="U629" t="str">
        <f t="shared" si="28"/>
        <v>Pune</v>
      </c>
      <c r="V629">
        <f t="shared" si="29"/>
        <v>0</v>
      </c>
    </row>
    <row r="630" spans="1:22" ht="15" customHeight="1" x14ac:dyDescent="0.35">
      <c r="A630" s="3" t="s">
        <v>1026</v>
      </c>
      <c r="B630" s="4">
        <v>45554</v>
      </c>
      <c r="C630" s="3" t="s">
        <v>966</v>
      </c>
      <c r="D630" s="3" t="s">
        <v>277</v>
      </c>
      <c r="E630" s="3" t="s">
        <v>212</v>
      </c>
      <c r="F630" s="5">
        <v>8</v>
      </c>
      <c r="G630" s="5">
        <v>2210</v>
      </c>
      <c r="H630" s="5">
        <v>26</v>
      </c>
      <c r="I630" s="5">
        <v>13083.2</v>
      </c>
      <c r="J630" s="3" t="s">
        <v>26</v>
      </c>
      <c r="K630" s="3" t="s">
        <v>51</v>
      </c>
      <c r="L630" t="str">
        <f>IFERROR(VLOOKUP(D630,Products!$A$2:$F$61,3,FALSE()),"")</f>
        <v>Grocery</v>
      </c>
      <c r="M630" t="str">
        <f>IFERROR(VLOOKUP(E630,Sales_Reps!$A$2:$C$31,3,FALSE()),"")</f>
        <v>South</v>
      </c>
      <c r="N630">
        <f>IFERROR(VLOOKUP(D630,Products!$A$2:$F$61,4,FALSE()),"")</f>
        <v>1010</v>
      </c>
      <c r="O630" t="str">
        <f>IFERROR(VLOOKUP(C630,Customers!$A$2:$F$301,5,FALSE()),"")</f>
        <v>SMB</v>
      </c>
      <c r="P630">
        <f>IFERROR(VLOOKUP(C630,Customers!$A$2:$F$301,3,FALSE()),"")</f>
        <v>47</v>
      </c>
      <c r="Q630">
        <f t="shared" si="27"/>
        <v>0.54298642533936647</v>
      </c>
      <c r="R630">
        <f>IF(AND(COUNTIF($A$2:$A$2027,A630)&gt;1,COUNTIF($A$2:A630,A630)=1),1,0)</f>
        <v>0</v>
      </c>
      <c r="S630" t="b">
        <f>IFERROR(VLOOKUP(D630,Products!$A$2:$F$61,6,FALSE()),"")</f>
        <v>1</v>
      </c>
      <c r="T630" t="str">
        <f>IF(COUNTIF(Customers!$A$2:$A$301,C630)=0,"Missing","OK")</f>
        <v>OK</v>
      </c>
      <c r="U630" t="str">
        <f t="shared" si="28"/>
        <v>Mumbai</v>
      </c>
      <c r="V630">
        <f t="shared" si="29"/>
        <v>0</v>
      </c>
    </row>
    <row r="631" spans="1:22" ht="15" customHeight="1" x14ac:dyDescent="0.35">
      <c r="A631" s="3" t="s">
        <v>1027</v>
      </c>
      <c r="B631" s="4">
        <v>45567</v>
      </c>
      <c r="C631" s="3" t="s">
        <v>338</v>
      </c>
      <c r="D631" s="3" t="s">
        <v>598</v>
      </c>
      <c r="E631" s="3" t="s">
        <v>140</v>
      </c>
      <c r="F631" s="5">
        <v>5</v>
      </c>
      <c r="G631" s="5">
        <v>3560</v>
      </c>
      <c r="H631" s="5">
        <v>15</v>
      </c>
      <c r="I631" s="5">
        <v>15130</v>
      </c>
      <c r="J631" s="3" t="s">
        <v>26</v>
      </c>
      <c r="K631" s="3" t="s">
        <v>38</v>
      </c>
      <c r="L631" t="str">
        <f>IFERROR(VLOOKUP(D631,Products!$A$2:$F$61,3,FALSE()),"")</f>
        <v>Apparel</v>
      </c>
      <c r="M631" t="str">
        <f>IFERROR(VLOOKUP(E631,Sales_Reps!$A$2:$C$31,3,FALSE()),"")</f>
        <v>West</v>
      </c>
      <c r="N631">
        <f>IFERROR(VLOOKUP(D631,Products!$A$2:$F$61,4,FALSE()),"")</f>
        <v>2629</v>
      </c>
      <c r="O631" t="str">
        <f>IFERROR(VLOOKUP(C631,Customers!$A$2:$F$301,5,FALSE()),"")</f>
        <v>SMB</v>
      </c>
      <c r="P631">
        <f>IFERROR(VLOOKUP(C631,Customers!$A$2:$F$301,3,FALSE()),"")</f>
        <v>53</v>
      </c>
      <c r="Q631">
        <f t="shared" si="27"/>
        <v>0.26151685393258428</v>
      </c>
      <c r="R631">
        <f>IF(AND(COUNTIF($A$2:$A$2027,A631)&gt;1,COUNTIF($A$2:A631,A631)=1),1,0)</f>
        <v>0</v>
      </c>
      <c r="S631" t="b">
        <f>IFERROR(VLOOKUP(D631,Products!$A$2:$F$61,6,FALSE()),"")</f>
        <v>1</v>
      </c>
      <c r="T631" t="str">
        <f>IF(COUNTIF(Customers!$A$2:$A$301,C631)=0,"Missing","OK")</f>
        <v>OK</v>
      </c>
      <c r="U631" t="str">
        <f t="shared" si="28"/>
        <v>Delhi</v>
      </c>
      <c r="V631">
        <f t="shared" si="29"/>
        <v>0</v>
      </c>
    </row>
    <row r="632" spans="1:22" ht="15" customHeight="1" x14ac:dyDescent="0.35">
      <c r="A632" s="3" t="s">
        <v>1028</v>
      </c>
      <c r="B632" s="4">
        <v>45633</v>
      </c>
      <c r="C632" s="3" t="s">
        <v>939</v>
      </c>
      <c r="D632" s="3" t="s">
        <v>231</v>
      </c>
      <c r="E632" s="3" t="s">
        <v>71</v>
      </c>
      <c r="F632" s="5">
        <v>10</v>
      </c>
      <c r="G632" s="5">
        <v>620</v>
      </c>
      <c r="H632" s="5">
        <v>15.8</v>
      </c>
      <c r="I632" s="5">
        <v>5220.3999999999996</v>
      </c>
      <c r="J632" s="3" t="s">
        <v>83</v>
      </c>
      <c r="K632" s="3" t="s">
        <v>56</v>
      </c>
      <c r="L632" t="str">
        <f>IFERROR(VLOOKUP(D632,Products!$A$2:$F$61,3,FALSE()),"")</f>
        <v>Apparel</v>
      </c>
      <c r="M632" t="str">
        <f>IFERROR(VLOOKUP(E632,Sales_Reps!$A$2:$C$31,3,FALSE()),"")</f>
        <v>South</v>
      </c>
      <c r="N632">
        <f>IFERROR(VLOOKUP(D632,Products!$A$2:$F$61,4,FALSE()),"")</f>
        <v>396</v>
      </c>
      <c r="O632" t="str">
        <f>IFERROR(VLOOKUP(C632,Customers!$A$2:$F$301,5,FALSE()),"")</f>
        <v>Retail</v>
      </c>
      <c r="P632">
        <f>IFERROR(VLOOKUP(C632,Customers!$A$2:$F$301,3,FALSE()),"")</f>
        <v>27</v>
      </c>
      <c r="Q632">
        <f t="shared" si="27"/>
        <v>0.36129032258064514</v>
      </c>
      <c r="R632">
        <f>IF(AND(COUNTIF($A$2:$A$2027,A632)&gt;1,COUNTIF($A$2:A632,A632)=1),1,0)</f>
        <v>0</v>
      </c>
      <c r="S632" t="b">
        <f>IFERROR(VLOOKUP(D632,Products!$A$2:$F$61,6,FALSE()),"")</f>
        <v>1</v>
      </c>
      <c r="T632" t="str">
        <f>IF(COUNTIF(Customers!$A$2:$A$301,C632)=0,"Missing","OK")</f>
        <v>OK</v>
      </c>
      <c r="U632" t="str">
        <f t="shared" si="28"/>
        <v>Bengaluru</v>
      </c>
      <c r="V632">
        <f t="shared" si="29"/>
        <v>0</v>
      </c>
    </row>
    <row r="633" spans="1:22" ht="15" customHeight="1" x14ac:dyDescent="0.35">
      <c r="A633" s="3" t="s">
        <v>1029</v>
      </c>
      <c r="B633" s="4">
        <v>45588</v>
      </c>
      <c r="C633" s="3" t="s">
        <v>496</v>
      </c>
      <c r="D633" s="3" t="s">
        <v>139</v>
      </c>
      <c r="E633" s="3" t="s">
        <v>236</v>
      </c>
      <c r="F633" s="5">
        <v>3</v>
      </c>
      <c r="G633" s="5">
        <v>2760</v>
      </c>
      <c r="H633" s="5">
        <v>1.9</v>
      </c>
      <c r="I633" s="5">
        <v>8122.68</v>
      </c>
      <c r="J633" s="3" t="s">
        <v>79</v>
      </c>
      <c r="K633" s="3" t="s">
        <v>51</v>
      </c>
      <c r="L633" t="str">
        <f>IFERROR(VLOOKUP(D633,Products!$A$2:$F$61,3,FALSE()),"")</f>
        <v>Grocery</v>
      </c>
      <c r="M633" t="str">
        <f>IFERROR(VLOOKUP(E633,Sales_Reps!$A$2:$C$31,3,FALSE()),"")</f>
        <v>North</v>
      </c>
      <c r="N633">
        <f>IFERROR(VLOOKUP(D633,Products!$A$2:$F$61,4,FALSE()),"")</f>
        <v>1435</v>
      </c>
      <c r="O633" t="str">
        <f>IFERROR(VLOOKUP(C633,Customers!$A$2:$F$301,5,FALSE()),"")</f>
        <v>Retail</v>
      </c>
      <c r="P633">
        <f>IFERROR(VLOOKUP(C633,Customers!$A$2:$F$301,3,FALSE()),"")</f>
        <v>65</v>
      </c>
      <c r="Q633">
        <f t="shared" si="27"/>
        <v>0.48007246376811596</v>
      </c>
      <c r="R633">
        <f>IF(AND(COUNTIF($A$2:$A$2027,A633)&gt;1,COUNTIF($A$2:A633,A633)=1),1,0)</f>
        <v>0</v>
      </c>
      <c r="S633" t="b">
        <f>IFERROR(VLOOKUP(D633,Products!$A$2:$F$61,6,FALSE()),"")</f>
        <v>1</v>
      </c>
      <c r="T633" t="str">
        <f>IF(COUNTIF(Customers!$A$2:$A$301,C633)=0,"Missing","OK")</f>
        <v>OK</v>
      </c>
      <c r="U633" t="str">
        <f t="shared" si="28"/>
        <v>Mumbai</v>
      </c>
      <c r="V633">
        <f t="shared" si="29"/>
        <v>0</v>
      </c>
    </row>
    <row r="634" spans="1:22" ht="15" customHeight="1" x14ac:dyDescent="0.35">
      <c r="A634" s="3" t="s">
        <v>1030</v>
      </c>
      <c r="B634" s="4">
        <v>45634</v>
      </c>
      <c r="C634" s="3" t="s">
        <v>158</v>
      </c>
      <c r="D634" s="3" t="s">
        <v>121</v>
      </c>
      <c r="E634" s="3" t="s">
        <v>31</v>
      </c>
      <c r="F634" s="5">
        <v>10</v>
      </c>
      <c r="G634" s="5">
        <v>1010</v>
      </c>
      <c r="H634" s="5">
        <v>28.9</v>
      </c>
      <c r="I634" s="5">
        <v>7181.1</v>
      </c>
      <c r="J634" s="3" t="s">
        <v>26</v>
      </c>
      <c r="K634" s="3" t="s">
        <v>38</v>
      </c>
      <c r="L634" t="str">
        <f>IFERROR(VLOOKUP(D634,Products!$A$2:$F$61,3,FALSE()),"")</f>
        <v>Sports</v>
      </c>
      <c r="M634" t="str">
        <f>IFERROR(VLOOKUP(E634,Sales_Reps!$A$2:$C$31,3,FALSE()),"")</f>
        <v>North</v>
      </c>
      <c r="N634">
        <f>IFERROR(VLOOKUP(D634,Products!$A$2:$F$61,4,FALSE()),"")</f>
        <v>516</v>
      </c>
      <c r="O634" t="str">
        <f>IFERROR(VLOOKUP(C634,Customers!$A$2:$F$301,5,FALSE()),"")</f>
        <v>SMB</v>
      </c>
      <c r="P634">
        <f>IFERROR(VLOOKUP(C634,Customers!$A$2:$F$301,3,FALSE()),"")</f>
        <v>50</v>
      </c>
      <c r="Q634">
        <f t="shared" si="27"/>
        <v>0.4891089108910891</v>
      </c>
      <c r="R634">
        <f>IF(AND(COUNTIF($A$2:$A$2027,A634)&gt;1,COUNTIF($A$2:A634,A634)=1),1,0)</f>
        <v>0</v>
      </c>
      <c r="S634" t="b">
        <f>IFERROR(VLOOKUP(D634,Products!$A$2:$F$61,6,FALSE()),"")</f>
        <v>1</v>
      </c>
      <c r="T634" t="str">
        <f>IF(COUNTIF(Customers!$A$2:$A$301,C634)=0,"Missing","OK")</f>
        <v>OK</v>
      </c>
      <c r="U634" t="str">
        <f t="shared" si="28"/>
        <v>Delhi</v>
      </c>
      <c r="V634">
        <f t="shared" si="29"/>
        <v>0</v>
      </c>
    </row>
    <row r="635" spans="1:22" ht="15" customHeight="1" x14ac:dyDescent="0.35">
      <c r="A635" s="3" t="s">
        <v>1031</v>
      </c>
      <c r="B635" s="4">
        <v>45352</v>
      </c>
      <c r="C635" s="3" t="s">
        <v>145</v>
      </c>
      <c r="D635" s="3" t="s">
        <v>176</v>
      </c>
      <c r="E635" s="3" t="s">
        <v>236</v>
      </c>
      <c r="F635" s="5">
        <v>1</v>
      </c>
      <c r="G635" s="5">
        <v>3640</v>
      </c>
      <c r="H635" s="5">
        <v>9.6999999999999993</v>
      </c>
      <c r="I635" s="5">
        <v>3286.92</v>
      </c>
      <c r="J635" s="3" t="s">
        <v>26</v>
      </c>
      <c r="K635" s="3" t="s">
        <v>72</v>
      </c>
      <c r="L635" t="str">
        <f>IFERROR(VLOOKUP(D635,Products!$A$2:$F$61,3,FALSE()),"")</f>
        <v>Apparel</v>
      </c>
      <c r="M635" t="str">
        <f>IFERROR(VLOOKUP(E635,Sales_Reps!$A$2:$C$31,3,FALSE()),"")</f>
        <v>North</v>
      </c>
      <c r="N635">
        <f>IFERROR(VLOOKUP(D635,Products!$A$2:$F$61,4,FALSE()),"")</f>
        <v>2611</v>
      </c>
      <c r="O635" t="str">
        <f>IFERROR(VLOOKUP(C635,Customers!$A$2:$F$301,5,FALSE()),"")</f>
        <v>SMB</v>
      </c>
      <c r="P635">
        <f>IFERROR(VLOOKUP(C635,Customers!$A$2:$F$301,3,FALSE()),"")</f>
        <v>40</v>
      </c>
      <c r="Q635">
        <f t="shared" si="27"/>
        <v>0.28269230769230769</v>
      </c>
      <c r="R635">
        <f>IF(AND(COUNTIF($A$2:$A$2027,A635)&gt;1,COUNTIF($A$2:A635,A635)=1),1,0)</f>
        <v>0</v>
      </c>
      <c r="S635" t="b">
        <f>IFERROR(VLOOKUP(D635,Products!$A$2:$F$61,6,FALSE()),"")</f>
        <v>1</v>
      </c>
      <c r="T635" t="str">
        <f>IF(COUNTIF(Customers!$A$2:$A$301,C635)=0,"Missing","OK")</f>
        <v>OK</v>
      </c>
      <c r="U635" t="str">
        <f t="shared" si="28"/>
        <v>Hyderabad</v>
      </c>
      <c r="V635">
        <f t="shared" si="29"/>
        <v>0</v>
      </c>
    </row>
    <row r="636" spans="1:22" ht="15" customHeight="1" x14ac:dyDescent="0.35">
      <c r="A636" s="3" t="s">
        <v>1032</v>
      </c>
      <c r="B636" s="4">
        <v>45489</v>
      </c>
      <c r="C636" s="3" t="s">
        <v>125</v>
      </c>
      <c r="D636" s="3" t="s">
        <v>30</v>
      </c>
      <c r="E636" s="3" t="s">
        <v>71</v>
      </c>
      <c r="F636" s="5">
        <v>1</v>
      </c>
      <c r="G636" s="5">
        <v>820</v>
      </c>
      <c r="H636" s="5">
        <v>15</v>
      </c>
      <c r="I636" s="5">
        <v>697</v>
      </c>
      <c r="J636" s="3" t="s">
        <v>26</v>
      </c>
      <c r="K636" s="3" t="s">
        <v>33</v>
      </c>
      <c r="L636" t="str">
        <f>IFERROR(VLOOKUP(D636,Products!$A$2:$F$61,3,FALSE()),"")</f>
        <v>Apparel</v>
      </c>
      <c r="M636" t="str">
        <f>IFERROR(VLOOKUP(E636,Sales_Reps!$A$2:$C$31,3,FALSE()),"")</f>
        <v>South</v>
      </c>
      <c r="N636">
        <f>IFERROR(VLOOKUP(D636,Products!$A$2:$F$61,4,FALSE()),"")</f>
        <v>391</v>
      </c>
      <c r="O636" t="str">
        <f>IFERROR(VLOOKUP(C636,Customers!$A$2:$F$301,5,FALSE()),"")</f>
        <v>SMB</v>
      </c>
      <c r="P636">
        <f>IFERROR(VLOOKUP(C636,Customers!$A$2:$F$301,3,FALSE()),"")</f>
        <v>52</v>
      </c>
      <c r="Q636">
        <f t="shared" si="27"/>
        <v>0.52317073170731709</v>
      </c>
      <c r="R636">
        <f>IF(AND(COUNTIF($A$2:$A$2027,A636)&gt;1,COUNTIF($A$2:A636,A636)=1),1,0)</f>
        <v>0</v>
      </c>
      <c r="S636" t="b">
        <f>IFERROR(VLOOKUP(D636,Products!$A$2:$F$61,6,FALSE()),"")</f>
        <v>1</v>
      </c>
      <c r="T636" t="str">
        <f>IF(COUNTIF(Customers!$A$2:$A$301,C636)=0,"Missing","OK")</f>
        <v>OK</v>
      </c>
      <c r="U636" t="str">
        <f t="shared" si="28"/>
        <v>Chennai</v>
      </c>
      <c r="V636">
        <f t="shared" si="29"/>
        <v>0</v>
      </c>
    </row>
    <row r="637" spans="1:22" ht="15" customHeight="1" x14ac:dyDescent="0.35">
      <c r="A637" s="3" t="s">
        <v>1033</v>
      </c>
      <c r="B637" s="4">
        <v>45342</v>
      </c>
      <c r="C637" s="3" t="s">
        <v>102</v>
      </c>
      <c r="D637" s="3" t="s">
        <v>176</v>
      </c>
      <c r="E637" s="3" t="s">
        <v>212</v>
      </c>
      <c r="F637" s="5">
        <v>4</v>
      </c>
      <c r="G637" s="5">
        <v>3640</v>
      </c>
      <c r="H637" s="5">
        <v>17</v>
      </c>
      <c r="I637" s="5">
        <v>12084.8</v>
      </c>
      <c r="J637" s="3" t="s">
        <v>26</v>
      </c>
      <c r="K637" s="3" t="s">
        <v>33</v>
      </c>
      <c r="L637" t="str">
        <f>IFERROR(VLOOKUP(D637,Products!$A$2:$F$61,3,FALSE()),"")</f>
        <v>Apparel</v>
      </c>
      <c r="M637" t="str">
        <f>IFERROR(VLOOKUP(E637,Sales_Reps!$A$2:$C$31,3,FALSE()),"")</f>
        <v>South</v>
      </c>
      <c r="N637">
        <f>IFERROR(VLOOKUP(D637,Products!$A$2:$F$61,4,FALSE()),"")</f>
        <v>2611</v>
      </c>
      <c r="O637" t="str">
        <f>IFERROR(VLOOKUP(C637,Customers!$A$2:$F$301,5,FALSE()),"")</f>
        <v>Retail</v>
      </c>
      <c r="P637">
        <f>IFERROR(VLOOKUP(C637,Customers!$A$2:$F$301,3,FALSE()),"")</f>
        <v>49</v>
      </c>
      <c r="Q637">
        <f t="shared" si="27"/>
        <v>0.28269230769230769</v>
      </c>
      <c r="R637">
        <f>IF(AND(COUNTIF($A$2:$A$2027,A637)&gt;1,COUNTIF($A$2:A637,A637)=1),1,0)</f>
        <v>0</v>
      </c>
      <c r="S637" t="b">
        <f>IFERROR(VLOOKUP(D637,Products!$A$2:$F$61,6,FALSE()),"")</f>
        <v>1</v>
      </c>
      <c r="T637" t="str">
        <f>IF(COUNTIF(Customers!$A$2:$A$301,C637)=0,"Missing","OK")</f>
        <v>OK</v>
      </c>
      <c r="U637" t="str">
        <f t="shared" si="28"/>
        <v>Chennai</v>
      </c>
      <c r="V637">
        <f t="shared" si="29"/>
        <v>0</v>
      </c>
    </row>
    <row r="638" spans="1:22" ht="15" customHeight="1" x14ac:dyDescent="0.35">
      <c r="A638" s="3" t="s">
        <v>1034</v>
      </c>
      <c r="B638" s="4">
        <v>45425</v>
      </c>
      <c r="C638" s="3" t="s">
        <v>1035</v>
      </c>
      <c r="D638" s="3" t="s">
        <v>306</v>
      </c>
      <c r="E638" s="3" t="s">
        <v>236</v>
      </c>
      <c r="F638" s="5">
        <v>7</v>
      </c>
      <c r="G638" s="5">
        <v>2380</v>
      </c>
      <c r="H638" s="5">
        <v>25.5</v>
      </c>
      <c r="I638" s="5">
        <v>12411.7</v>
      </c>
      <c r="J638" s="3" t="s">
        <v>26</v>
      </c>
      <c r="K638" s="3" t="s">
        <v>27</v>
      </c>
      <c r="L638" t="str">
        <f>IFERROR(VLOOKUP(D638,Products!$A$2:$F$61,3,FALSE()),"")</f>
        <v>Grocery</v>
      </c>
      <c r="M638" t="str">
        <f>IFERROR(VLOOKUP(E638,Sales_Reps!$A$2:$C$31,3,FALSE()),"")</f>
        <v>North</v>
      </c>
      <c r="N638">
        <f>IFERROR(VLOOKUP(D638,Products!$A$2:$F$61,4,FALSE()),"")</f>
        <v>1182</v>
      </c>
      <c r="O638" t="str">
        <f>IFERROR(VLOOKUP(C638,Customers!$A$2:$F$301,5,FALSE()),"")</f>
        <v>Corporate</v>
      </c>
      <c r="P638">
        <f>IFERROR(VLOOKUP(C638,Customers!$A$2:$F$301,3,FALSE()),"")</f>
        <v>42</v>
      </c>
      <c r="Q638">
        <f t="shared" si="27"/>
        <v>0.50336134453781511</v>
      </c>
      <c r="R638">
        <f>IF(AND(COUNTIF($A$2:$A$2027,A638)&gt;1,COUNTIF($A$2:A638,A638)=1),1,0)</f>
        <v>0</v>
      </c>
      <c r="S638" t="b">
        <f>IFERROR(VLOOKUP(D638,Products!$A$2:$F$61,6,FALSE()),"")</f>
        <v>1</v>
      </c>
      <c r="T638" t="str">
        <f>IF(COUNTIF(Customers!$A$2:$A$301,C638)=0,"Missing","OK")</f>
        <v>OK</v>
      </c>
      <c r="U638" t="str">
        <f t="shared" si="28"/>
        <v>Pune</v>
      </c>
      <c r="V638">
        <f t="shared" si="29"/>
        <v>0</v>
      </c>
    </row>
    <row r="639" spans="1:22" ht="15" customHeight="1" x14ac:dyDescent="0.35">
      <c r="A639" s="3" t="s">
        <v>1036</v>
      </c>
      <c r="B639" s="4">
        <v>45598</v>
      </c>
      <c r="C639" s="3" t="s">
        <v>746</v>
      </c>
      <c r="D639" s="3" t="s">
        <v>142</v>
      </c>
      <c r="E639" s="3" t="s">
        <v>46</v>
      </c>
      <c r="F639" s="5">
        <v>1</v>
      </c>
      <c r="G639" s="5">
        <v>660</v>
      </c>
      <c r="H639" s="5">
        <v>2.5</v>
      </c>
      <c r="I639" s="5">
        <v>643.5</v>
      </c>
      <c r="J639" s="3" t="s">
        <v>26</v>
      </c>
      <c r="K639" s="3" t="s">
        <v>27</v>
      </c>
      <c r="L639" t="str">
        <f>IFERROR(VLOOKUP(D639,Products!$A$2:$F$61,3,FALSE()),"")</f>
        <v>Home</v>
      </c>
      <c r="M639" t="str">
        <f>IFERROR(VLOOKUP(E639,Sales_Reps!$A$2:$C$31,3,FALSE()),"")</f>
        <v>North</v>
      </c>
      <c r="N639">
        <f>IFERROR(VLOOKUP(D639,Products!$A$2:$F$61,4,FALSE()),"")</f>
        <v>329</v>
      </c>
      <c r="O639" t="str">
        <f>IFERROR(VLOOKUP(C639,Customers!$A$2:$F$301,5,FALSE()),"")</f>
        <v>Retail</v>
      </c>
      <c r="P639">
        <f>IFERROR(VLOOKUP(C639,Customers!$A$2:$F$301,3,FALSE()),"")</f>
        <v>36</v>
      </c>
      <c r="Q639">
        <f t="shared" si="27"/>
        <v>0.50151515151515147</v>
      </c>
      <c r="R639">
        <f>IF(AND(COUNTIF($A$2:$A$2027,A639)&gt;1,COUNTIF($A$2:A639,A639)=1),1,0)</f>
        <v>0</v>
      </c>
      <c r="S639" t="b">
        <f>IFERROR(VLOOKUP(D639,Products!$A$2:$F$61,6,FALSE()),"")</f>
        <v>1</v>
      </c>
      <c r="T639" t="str">
        <f>IF(COUNTIF(Customers!$A$2:$A$301,C639)=0,"Missing","OK")</f>
        <v>OK</v>
      </c>
      <c r="U639" t="str">
        <f t="shared" si="28"/>
        <v>Pune</v>
      </c>
      <c r="V639">
        <f t="shared" si="29"/>
        <v>0</v>
      </c>
    </row>
    <row r="640" spans="1:22" ht="15" customHeight="1" x14ac:dyDescent="0.35">
      <c r="A640" s="3" t="s">
        <v>1037</v>
      </c>
      <c r="B640" s="4">
        <v>45353</v>
      </c>
      <c r="C640" s="3" t="s">
        <v>709</v>
      </c>
      <c r="D640" s="3" t="s">
        <v>187</v>
      </c>
      <c r="E640" s="3" t="s">
        <v>131</v>
      </c>
      <c r="F640" s="5">
        <v>7</v>
      </c>
      <c r="G640" s="5">
        <v>3870</v>
      </c>
      <c r="H640" s="5">
        <v>20.3</v>
      </c>
      <c r="I640" s="5">
        <v>21590.73</v>
      </c>
      <c r="J640" s="3" t="s">
        <v>32</v>
      </c>
      <c r="K640" s="3" t="s">
        <v>27</v>
      </c>
      <c r="L640" t="str">
        <f>IFERROR(VLOOKUP(D640,Products!$A$2:$F$61,3,FALSE()),"")</f>
        <v>Electronics</v>
      </c>
      <c r="M640" t="str">
        <f>IFERROR(VLOOKUP(E640,Sales_Reps!$A$2:$C$31,3,FALSE()),"")</f>
        <v>East</v>
      </c>
      <c r="N640">
        <f>IFERROR(VLOOKUP(D640,Products!$A$2:$F$61,4,FALSE()),"")</f>
        <v>1559</v>
      </c>
      <c r="O640" t="str">
        <f>IFERROR(VLOOKUP(C640,Customers!$A$2:$F$301,5,FALSE()),"")</f>
        <v>Retail</v>
      </c>
      <c r="P640">
        <f>IFERROR(VLOOKUP(C640,Customers!$A$2:$F$301,3,FALSE()),"")</f>
        <v>35</v>
      </c>
      <c r="Q640">
        <f t="shared" si="27"/>
        <v>0.59715762273901807</v>
      </c>
      <c r="R640">
        <f>IF(AND(COUNTIF($A$2:$A$2027,A640)&gt;1,COUNTIF($A$2:A640,A640)=1),1,0)</f>
        <v>0</v>
      </c>
      <c r="S640" t="b">
        <f>IFERROR(VLOOKUP(D640,Products!$A$2:$F$61,6,FALSE()),"")</f>
        <v>1</v>
      </c>
      <c r="T640" t="str">
        <f>IF(COUNTIF(Customers!$A$2:$A$301,C640)=0,"Missing","OK")</f>
        <v>OK</v>
      </c>
      <c r="U640" t="str">
        <f t="shared" si="28"/>
        <v>Pune</v>
      </c>
      <c r="V640">
        <f t="shared" si="29"/>
        <v>0</v>
      </c>
    </row>
    <row r="641" spans="1:22" ht="15" customHeight="1" x14ac:dyDescent="0.35">
      <c r="A641" s="3" t="s">
        <v>1038</v>
      </c>
      <c r="B641" s="4">
        <v>45542</v>
      </c>
      <c r="C641" s="3" t="s">
        <v>193</v>
      </c>
      <c r="D641" s="3" t="s">
        <v>49</v>
      </c>
      <c r="E641" s="3" t="s">
        <v>285</v>
      </c>
      <c r="F641" s="5">
        <v>10</v>
      </c>
      <c r="G641" s="5">
        <v>370</v>
      </c>
      <c r="H641" s="5">
        <v>1.3</v>
      </c>
      <c r="I641" s="5">
        <v>3651.9</v>
      </c>
      <c r="J641" s="3" t="s">
        <v>83</v>
      </c>
      <c r="K641" s="3" t="s">
        <v>33</v>
      </c>
      <c r="L641" t="str">
        <f>IFERROR(VLOOKUP(D641,Products!$A$2:$F$61,3,FALSE()),"")</f>
        <v>Home</v>
      </c>
      <c r="M641" t="str">
        <f>IFERROR(VLOOKUP(E641,Sales_Reps!$A$2:$C$31,3,FALSE()),"")</f>
        <v>South</v>
      </c>
      <c r="N641">
        <f>IFERROR(VLOOKUP(D641,Products!$A$2:$F$61,4,FALSE()),"")</f>
        <v>288</v>
      </c>
      <c r="O641" t="str">
        <f>IFERROR(VLOOKUP(C641,Customers!$A$2:$F$301,5,FALSE()),"")</f>
        <v>Retail</v>
      </c>
      <c r="P641">
        <f>IFERROR(VLOOKUP(C641,Customers!$A$2:$F$301,3,FALSE()),"")</f>
        <v>24</v>
      </c>
      <c r="Q641">
        <f t="shared" si="27"/>
        <v>0.22162162162162163</v>
      </c>
      <c r="R641">
        <f>IF(AND(COUNTIF($A$2:$A$2027,A641)&gt;1,COUNTIF($A$2:A641,A641)=1),1,0)</f>
        <v>0</v>
      </c>
      <c r="S641" t="b">
        <f>IFERROR(VLOOKUP(D641,Products!$A$2:$F$61,6,FALSE()),"")</f>
        <v>1</v>
      </c>
      <c r="T641" t="str">
        <f>IF(COUNTIF(Customers!$A$2:$A$301,C641)=0,"Missing","OK")</f>
        <v>OK</v>
      </c>
      <c r="U641" t="str">
        <f t="shared" si="28"/>
        <v>Chennai</v>
      </c>
      <c r="V641">
        <f t="shared" si="29"/>
        <v>0</v>
      </c>
    </row>
    <row r="642" spans="1:22" ht="15" customHeight="1" x14ac:dyDescent="0.35">
      <c r="A642" s="3" t="s">
        <v>1039</v>
      </c>
      <c r="B642" s="4">
        <v>45365</v>
      </c>
      <c r="C642" s="3" t="s">
        <v>145</v>
      </c>
      <c r="D642" s="3" t="s">
        <v>24</v>
      </c>
      <c r="E642" s="3" t="s">
        <v>242</v>
      </c>
      <c r="F642" s="5">
        <v>1</v>
      </c>
      <c r="G642" s="5">
        <v>3620</v>
      </c>
      <c r="H642" s="5">
        <v>1.4</v>
      </c>
      <c r="I642" s="5">
        <v>3569.32</v>
      </c>
      <c r="J642" s="3" t="s">
        <v>26</v>
      </c>
      <c r="K642" s="3" t="s">
        <v>72</v>
      </c>
      <c r="L642" t="str">
        <f>IFERROR(VLOOKUP(D642,Products!$A$2:$F$61,3,FALSE()),"")</f>
        <v>Apparel</v>
      </c>
      <c r="M642" t="str">
        <f>IFERROR(VLOOKUP(E642,Sales_Reps!$A$2:$C$31,3,FALSE()),"")</f>
        <v>East</v>
      </c>
      <c r="N642">
        <f>IFERROR(VLOOKUP(D642,Products!$A$2:$F$61,4,FALSE()),"")</f>
        <v>2509</v>
      </c>
      <c r="O642" t="str">
        <f>IFERROR(VLOOKUP(C642,Customers!$A$2:$F$301,5,FALSE()),"")</f>
        <v>SMB</v>
      </c>
      <c r="P642">
        <f>IFERROR(VLOOKUP(C642,Customers!$A$2:$F$301,3,FALSE()),"")</f>
        <v>40</v>
      </c>
      <c r="Q642">
        <f t="shared" ref="Q642:Q705" si="30">IFERROR((G642-N642)/G642,"")</f>
        <v>0.3069060773480663</v>
      </c>
      <c r="R642">
        <f>IF(AND(COUNTIF($A$2:$A$2027,A642)&gt;1,COUNTIF($A$2:A642,A642)=1),1,0)</f>
        <v>0</v>
      </c>
      <c r="S642" t="b">
        <f>IFERROR(VLOOKUP(D642,Products!$A$2:$F$61,6,FALSE()),"")</f>
        <v>1</v>
      </c>
      <c r="T642" t="str">
        <f>IF(COUNTIF(Customers!$A$2:$A$301,C642)=0,"Missing","OK")</f>
        <v>OK</v>
      </c>
      <c r="U642" t="str">
        <f t="shared" ref="U642:U705" si="31">IF(K642="","",PROPER(TRIM(K642)))</f>
        <v>Hyderabad</v>
      </c>
      <c r="V642">
        <f t="shared" ref="V642:V705" si="32">IF(AND(U642="Bengaluru",L642="Grocery"),I642,0)</f>
        <v>0</v>
      </c>
    </row>
    <row r="643" spans="1:22" ht="15" customHeight="1" x14ac:dyDescent="0.35">
      <c r="A643" s="3" t="s">
        <v>1040</v>
      </c>
      <c r="B643" s="4">
        <v>45574</v>
      </c>
      <c r="C643" s="3" t="s">
        <v>368</v>
      </c>
      <c r="D643" s="3" t="s">
        <v>218</v>
      </c>
      <c r="E643" s="3" t="s">
        <v>31</v>
      </c>
      <c r="F643" s="5">
        <v>10</v>
      </c>
      <c r="G643" s="5">
        <v>2660</v>
      </c>
      <c r="H643" s="5">
        <v>20.2</v>
      </c>
      <c r="I643" s="5">
        <v>21226.799999999999</v>
      </c>
      <c r="J643" s="3" t="s">
        <v>26</v>
      </c>
      <c r="K643" s="3" t="s">
        <v>56</v>
      </c>
      <c r="L643" t="str">
        <f>IFERROR(VLOOKUP(D643,Products!$A$2:$F$61,3,FALSE()),"")</f>
        <v>Electronics</v>
      </c>
      <c r="M643" t="str">
        <f>IFERROR(VLOOKUP(E643,Sales_Reps!$A$2:$C$31,3,FALSE()),"")</f>
        <v>North</v>
      </c>
      <c r="N643">
        <f>IFERROR(VLOOKUP(D643,Products!$A$2:$F$61,4,FALSE()),"")</f>
        <v>1259</v>
      </c>
      <c r="O643" t="str">
        <f>IFERROR(VLOOKUP(C643,Customers!$A$2:$F$301,5,FALSE()),"")</f>
        <v>Retail</v>
      </c>
      <c r="P643">
        <f>IFERROR(VLOOKUP(C643,Customers!$A$2:$F$301,3,FALSE()),"")</f>
        <v>55</v>
      </c>
      <c r="Q643">
        <f t="shared" si="30"/>
        <v>0.52669172932330832</v>
      </c>
      <c r="R643">
        <f>IF(AND(COUNTIF($A$2:$A$2027,A643)&gt;1,COUNTIF($A$2:A643,A643)=1),1,0)</f>
        <v>0</v>
      </c>
      <c r="S643" t="b">
        <f>IFERROR(VLOOKUP(D643,Products!$A$2:$F$61,6,FALSE()),"")</f>
        <v>0</v>
      </c>
      <c r="T643" t="str">
        <f>IF(COUNTIF(Customers!$A$2:$A$301,C643)=0,"Missing","OK")</f>
        <v>OK</v>
      </c>
      <c r="U643" t="str">
        <f t="shared" si="31"/>
        <v>Bengaluru</v>
      </c>
      <c r="V643">
        <f t="shared" si="32"/>
        <v>0</v>
      </c>
    </row>
    <row r="644" spans="1:22" ht="15" customHeight="1" x14ac:dyDescent="0.35">
      <c r="A644" s="3" t="s">
        <v>1041</v>
      </c>
      <c r="B644" s="4">
        <v>45614</v>
      </c>
      <c r="C644" s="3" t="s">
        <v>205</v>
      </c>
      <c r="D644" s="3" t="s">
        <v>100</v>
      </c>
      <c r="E644" s="3" t="s">
        <v>127</v>
      </c>
      <c r="F644" s="5">
        <v>10</v>
      </c>
      <c r="G644" s="5">
        <v>3450</v>
      </c>
      <c r="H644" s="5">
        <v>25.1</v>
      </c>
      <c r="I644" s="5">
        <v>25840.5</v>
      </c>
      <c r="J644" s="3" t="s">
        <v>26</v>
      </c>
      <c r="K644" s="3" t="s">
        <v>38</v>
      </c>
      <c r="L644" t="str">
        <f>IFERROR(VLOOKUP(D644,Products!$A$2:$F$61,3,FALSE()),"")</f>
        <v>Sports</v>
      </c>
      <c r="M644" t="str">
        <f>IFERROR(VLOOKUP(E644,Sales_Reps!$A$2:$C$31,3,FALSE()),"")</f>
        <v>South</v>
      </c>
      <c r="N644">
        <f>IFERROR(VLOOKUP(D644,Products!$A$2:$F$61,4,FALSE()),"")</f>
        <v>2467</v>
      </c>
      <c r="O644" t="str">
        <f>IFERROR(VLOOKUP(C644,Customers!$A$2:$F$301,5,FALSE()),"")</f>
        <v>Corporate</v>
      </c>
      <c r="P644">
        <f>IFERROR(VLOOKUP(C644,Customers!$A$2:$F$301,3,FALSE()),"")</f>
        <v>55</v>
      </c>
      <c r="Q644">
        <f t="shared" si="30"/>
        <v>0.28492753623188405</v>
      </c>
      <c r="R644">
        <f>IF(AND(COUNTIF($A$2:$A$2027,A644)&gt;1,COUNTIF($A$2:A644,A644)=1),1,0)</f>
        <v>0</v>
      </c>
      <c r="S644" t="b">
        <f>IFERROR(VLOOKUP(D644,Products!$A$2:$F$61,6,FALSE()),"")</f>
        <v>1</v>
      </c>
      <c r="T644" t="str">
        <f>IF(COUNTIF(Customers!$A$2:$A$301,C644)=0,"Missing","OK")</f>
        <v>OK</v>
      </c>
      <c r="U644" t="str">
        <f t="shared" si="31"/>
        <v>Delhi</v>
      </c>
      <c r="V644">
        <f t="shared" si="32"/>
        <v>0</v>
      </c>
    </row>
    <row r="645" spans="1:22" ht="15" customHeight="1" x14ac:dyDescent="0.35">
      <c r="A645" s="3" t="s">
        <v>1042</v>
      </c>
      <c r="B645" s="4">
        <v>45629</v>
      </c>
      <c r="C645" s="3" t="s">
        <v>1043</v>
      </c>
      <c r="D645" s="3" t="s">
        <v>290</v>
      </c>
      <c r="E645" s="3" t="s">
        <v>191</v>
      </c>
      <c r="F645" s="5">
        <v>3</v>
      </c>
      <c r="G645" s="5">
        <v>4060</v>
      </c>
      <c r="H645" s="5">
        <v>2.5</v>
      </c>
      <c r="I645" s="5">
        <v>11875.5</v>
      </c>
      <c r="J645" s="3" t="s">
        <v>83</v>
      </c>
      <c r="K645" s="3" t="s">
        <v>56</v>
      </c>
      <c r="L645" t="str">
        <f>IFERROR(VLOOKUP(D645,Products!$A$2:$F$61,3,FALSE()),"")</f>
        <v>Grocery</v>
      </c>
      <c r="M645" t="str">
        <f>IFERROR(VLOOKUP(E645,Sales_Reps!$A$2:$C$31,3,FALSE()),"")</f>
        <v>South</v>
      </c>
      <c r="N645">
        <f>IFERROR(VLOOKUP(D645,Products!$A$2:$F$61,4,FALSE()),"")</f>
        <v>2911</v>
      </c>
      <c r="O645" t="str">
        <f>IFERROR(VLOOKUP(C645,Customers!$A$2:$F$301,5,FALSE()),"")</f>
        <v>Corporate</v>
      </c>
      <c r="P645">
        <f>IFERROR(VLOOKUP(C645,Customers!$A$2:$F$301,3,FALSE()),"")</f>
        <v>31</v>
      </c>
      <c r="Q645">
        <f t="shared" si="30"/>
        <v>0.28300492610837441</v>
      </c>
      <c r="R645">
        <f>IF(AND(COUNTIF($A$2:$A$2027,A645)&gt;1,COUNTIF($A$2:A645,A645)=1),1,0)</f>
        <v>0</v>
      </c>
      <c r="S645" t="b">
        <f>IFERROR(VLOOKUP(D645,Products!$A$2:$F$61,6,FALSE()),"")</f>
        <v>1</v>
      </c>
      <c r="T645" t="str">
        <f>IF(COUNTIF(Customers!$A$2:$A$301,C645)=0,"Missing","OK")</f>
        <v>OK</v>
      </c>
      <c r="U645" t="str">
        <f t="shared" si="31"/>
        <v>Bengaluru</v>
      </c>
      <c r="V645">
        <f t="shared" si="32"/>
        <v>11875.5</v>
      </c>
    </row>
    <row r="646" spans="1:22" ht="15" customHeight="1" x14ac:dyDescent="0.35">
      <c r="A646" s="3" t="s">
        <v>1044</v>
      </c>
      <c r="B646" s="4">
        <v>45294</v>
      </c>
      <c r="C646" s="3" t="s">
        <v>117</v>
      </c>
      <c r="D646" s="3" t="s">
        <v>54</v>
      </c>
      <c r="E646" s="3" t="s">
        <v>97</v>
      </c>
      <c r="F646" s="5">
        <v>3</v>
      </c>
      <c r="G646" s="5">
        <v>960</v>
      </c>
      <c r="H646" s="5">
        <v>6.6</v>
      </c>
      <c r="I646" s="5">
        <v>2689.92</v>
      </c>
      <c r="J646" s="3" t="s">
        <v>79</v>
      </c>
      <c r="K646" s="3" t="s">
        <v>33</v>
      </c>
      <c r="L646" t="str">
        <f>IFERROR(VLOOKUP(D646,Products!$A$2:$F$61,3,FALSE()),"")</f>
        <v>Sports</v>
      </c>
      <c r="M646" t="str">
        <f>IFERROR(VLOOKUP(E646,Sales_Reps!$A$2:$C$31,3,FALSE()),"")</f>
        <v>East</v>
      </c>
      <c r="N646">
        <f>IFERROR(VLOOKUP(D646,Products!$A$2:$F$61,4,FALSE()),"")</f>
        <v>705</v>
      </c>
      <c r="O646" t="str">
        <f>IFERROR(VLOOKUP(C646,Customers!$A$2:$F$301,5,FALSE()),"")</f>
        <v>Corporate</v>
      </c>
      <c r="P646">
        <f>IFERROR(VLOOKUP(C646,Customers!$A$2:$F$301,3,FALSE()),"")</f>
        <v>55</v>
      </c>
      <c r="Q646">
        <f t="shared" si="30"/>
        <v>0.265625</v>
      </c>
      <c r="R646">
        <f>IF(AND(COUNTIF($A$2:$A$2027,A646)&gt;1,COUNTIF($A$2:A646,A646)=1),1,0)</f>
        <v>0</v>
      </c>
      <c r="S646" t="b">
        <f>IFERROR(VLOOKUP(D646,Products!$A$2:$F$61,6,FALSE()),"")</f>
        <v>1</v>
      </c>
      <c r="T646" t="str">
        <f>IF(COUNTIF(Customers!$A$2:$A$301,C646)=0,"Missing","OK")</f>
        <v>OK</v>
      </c>
      <c r="U646" t="str">
        <f t="shared" si="31"/>
        <v>Chennai</v>
      </c>
      <c r="V646">
        <f t="shared" si="32"/>
        <v>0</v>
      </c>
    </row>
    <row r="647" spans="1:22" ht="15" customHeight="1" x14ac:dyDescent="0.35">
      <c r="A647" s="3" t="s">
        <v>1045</v>
      </c>
      <c r="B647" s="4">
        <v>45418</v>
      </c>
      <c r="C647" s="3" t="s">
        <v>500</v>
      </c>
      <c r="D647" s="3" t="s">
        <v>218</v>
      </c>
      <c r="E647" s="3" t="s">
        <v>46</v>
      </c>
      <c r="F647" s="5">
        <v>4</v>
      </c>
      <c r="G647" s="5">
        <v>2660</v>
      </c>
      <c r="H647" s="5">
        <v>16.899999999999999</v>
      </c>
      <c r="I647" s="5">
        <v>8841.84</v>
      </c>
      <c r="J647" s="3" t="s">
        <v>26</v>
      </c>
      <c r="K647" s="3" t="s">
        <v>72</v>
      </c>
      <c r="L647" t="str">
        <f>IFERROR(VLOOKUP(D647,Products!$A$2:$F$61,3,FALSE()),"")</f>
        <v>Electronics</v>
      </c>
      <c r="M647" t="str">
        <f>IFERROR(VLOOKUP(E647,Sales_Reps!$A$2:$C$31,3,FALSE()),"")</f>
        <v>North</v>
      </c>
      <c r="N647">
        <f>IFERROR(VLOOKUP(D647,Products!$A$2:$F$61,4,FALSE()),"")</f>
        <v>1259</v>
      </c>
      <c r="O647" t="str">
        <f>IFERROR(VLOOKUP(C647,Customers!$A$2:$F$301,5,FALSE()),"")</f>
        <v>SMB</v>
      </c>
      <c r="P647">
        <f>IFERROR(VLOOKUP(C647,Customers!$A$2:$F$301,3,FALSE()),"")</f>
        <v>43</v>
      </c>
      <c r="Q647">
        <f t="shared" si="30"/>
        <v>0.52669172932330832</v>
      </c>
      <c r="R647">
        <f>IF(AND(COUNTIF($A$2:$A$2027,A647)&gt;1,COUNTIF($A$2:A647,A647)=1),1,0)</f>
        <v>0</v>
      </c>
      <c r="S647" t="b">
        <f>IFERROR(VLOOKUP(D647,Products!$A$2:$F$61,6,FALSE()),"")</f>
        <v>0</v>
      </c>
      <c r="T647" t="str">
        <f>IF(COUNTIF(Customers!$A$2:$A$301,C647)=0,"Missing","OK")</f>
        <v>OK</v>
      </c>
      <c r="U647" t="str">
        <f t="shared" si="31"/>
        <v>Hyderabad</v>
      </c>
      <c r="V647">
        <f t="shared" si="32"/>
        <v>0</v>
      </c>
    </row>
    <row r="648" spans="1:22" ht="15" customHeight="1" x14ac:dyDescent="0.35">
      <c r="A648" s="3" t="s">
        <v>1046</v>
      </c>
      <c r="B648" s="4">
        <v>45369</v>
      </c>
      <c r="C648" s="3" t="s">
        <v>440</v>
      </c>
      <c r="D648" s="3" t="s">
        <v>70</v>
      </c>
      <c r="E648" s="3" t="s">
        <v>242</v>
      </c>
      <c r="F648" s="5">
        <v>6</v>
      </c>
      <c r="G648" s="5">
        <v>2270</v>
      </c>
      <c r="H648" s="5">
        <v>16.7</v>
      </c>
      <c r="I648" s="5">
        <v>11345.46</v>
      </c>
      <c r="J648" s="3" t="s">
        <v>26</v>
      </c>
      <c r="K648" s="3" t="s">
        <v>72</v>
      </c>
      <c r="L648" t="str">
        <f>IFERROR(VLOOKUP(D648,Products!$A$2:$F$61,3,FALSE()),"")</f>
        <v>Grocery</v>
      </c>
      <c r="M648" t="str">
        <f>IFERROR(VLOOKUP(E648,Sales_Reps!$A$2:$C$31,3,FALSE()),"")</f>
        <v>East</v>
      </c>
      <c r="N648">
        <f>IFERROR(VLOOKUP(D648,Products!$A$2:$F$61,4,FALSE()),"")</f>
        <v>1203</v>
      </c>
      <c r="O648" t="str">
        <f>IFERROR(VLOOKUP(C648,Customers!$A$2:$F$301,5,FALSE()),"")</f>
        <v>SMB</v>
      </c>
      <c r="P648">
        <f>IFERROR(VLOOKUP(C648,Customers!$A$2:$F$301,3,FALSE()),"")</f>
        <v>65</v>
      </c>
      <c r="Q648">
        <f t="shared" si="30"/>
        <v>0.47004405286343615</v>
      </c>
      <c r="R648">
        <f>IF(AND(COUNTIF($A$2:$A$2027,A648)&gt;1,COUNTIF($A$2:A648,A648)=1),1,0)</f>
        <v>0</v>
      </c>
      <c r="S648" t="b">
        <f>IFERROR(VLOOKUP(D648,Products!$A$2:$F$61,6,FALSE()),"")</f>
        <v>1</v>
      </c>
      <c r="T648" t="str">
        <f>IF(COUNTIF(Customers!$A$2:$A$301,C648)=0,"Missing","OK")</f>
        <v>OK</v>
      </c>
      <c r="U648" t="str">
        <f t="shared" si="31"/>
        <v>Hyderabad</v>
      </c>
      <c r="V648">
        <f t="shared" si="32"/>
        <v>0</v>
      </c>
    </row>
    <row r="649" spans="1:22" ht="15" customHeight="1" x14ac:dyDescent="0.35">
      <c r="A649" s="3" t="s">
        <v>1047</v>
      </c>
      <c r="B649" s="4">
        <v>45549</v>
      </c>
      <c r="C649" s="3" t="s">
        <v>333</v>
      </c>
      <c r="D649" s="3" t="s">
        <v>173</v>
      </c>
      <c r="E649" s="3" t="s">
        <v>50</v>
      </c>
      <c r="F649" s="5">
        <v>5</v>
      </c>
      <c r="G649" s="5">
        <v>3780</v>
      </c>
      <c r="H649" s="5">
        <v>21.5</v>
      </c>
      <c r="I649" s="5">
        <v>14836.5</v>
      </c>
      <c r="J649" s="3" t="s">
        <v>26</v>
      </c>
      <c r="K649" s="3" t="s">
        <v>56</v>
      </c>
      <c r="L649" t="str">
        <f>IFERROR(VLOOKUP(D649,Products!$A$2:$F$61,3,FALSE()),"")</f>
        <v>Grocery</v>
      </c>
      <c r="M649" t="str">
        <f>IFERROR(VLOOKUP(E649,Sales_Reps!$A$2:$C$31,3,FALSE()),"")</f>
        <v>West</v>
      </c>
      <c r="N649">
        <f>IFERROR(VLOOKUP(D649,Products!$A$2:$F$61,4,FALSE()),"")</f>
        <v>2436</v>
      </c>
      <c r="O649" t="str">
        <f>IFERROR(VLOOKUP(C649,Customers!$A$2:$F$301,5,FALSE()),"")</f>
        <v>SMB</v>
      </c>
      <c r="P649">
        <f>IFERROR(VLOOKUP(C649,Customers!$A$2:$F$301,3,FALSE()),"")</f>
        <v>28</v>
      </c>
      <c r="Q649">
        <f t="shared" si="30"/>
        <v>0.35555555555555557</v>
      </c>
      <c r="R649">
        <f>IF(AND(COUNTIF($A$2:$A$2027,A649)&gt;1,COUNTIF($A$2:A649,A649)=1),1,0)</f>
        <v>0</v>
      </c>
      <c r="S649" t="b">
        <f>IFERROR(VLOOKUP(D649,Products!$A$2:$F$61,6,FALSE()),"")</f>
        <v>1</v>
      </c>
      <c r="T649" t="str">
        <f>IF(COUNTIF(Customers!$A$2:$A$301,C649)=0,"Missing","OK")</f>
        <v>OK</v>
      </c>
      <c r="U649" t="str">
        <f t="shared" si="31"/>
        <v>Bengaluru</v>
      </c>
      <c r="V649">
        <f t="shared" si="32"/>
        <v>14836.5</v>
      </c>
    </row>
    <row r="650" spans="1:22" ht="15" customHeight="1" x14ac:dyDescent="0.35">
      <c r="A650" s="3" t="s">
        <v>1048</v>
      </c>
      <c r="B650" s="4">
        <v>45505</v>
      </c>
      <c r="C650" s="3" t="s">
        <v>849</v>
      </c>
      <c r="D650" s="3" t="s">
        <v>142</v>
      </c>
      <c r="E650" s="3" t="s">
        <v>60</v>
      </c>
      <c r="F650" s="5">
        <v>10</v>
      </c>
      <c r="G650" s="5">
        <v>660</v>
      </c>
      <c r="H650" s="5">
        <v>18.8</v>
      </c>
      <c r="I650" s="5">
        <v>5359.2</v>
      </c>
      <c r="J650" s="3" t="s">
        <v>26</v>
      </c>
      <c r="K650" s="3" t="s">
        <v>38</v>
      </c>
      <c r="L650" t="str">
        <f>IFERROR(VLOOKUP(D650,Products!$A$2:$F$61,3,FALSE()),"")</f>
        <v>Home</v>
      </c>
      <c r="M650" t="str">
        <f>IFERROR(VLOOKUP(E650,Sales_Reps!$A$2:$C$31,3,FALSE()),"")</f>
        <v>East</v>
      </c>
      <c r="N650">
        <f>IFERROR(VLOOKUP(D650,Products!$A$2:$F$61,4,FALSE()),"")</f>
        <v>329</v>
      </c>
      <c r="O650" t="str">
        <f>IFERROR(VLOOKUP(C650,Customers!$A$2:$F$301,5,FALSE()),"")</f>
        <v>Retail</v>
      </c>
      <c r="P650">
        <f>IFERROR(VLOOKUP(C650,Customers!$A$2:$F$301,3,FALSE()),"")</f>
        <v>55</v>
      </c>
      <c r="Q650">
        <f t="shared" si="30"/>
        <v>0.50151515151515147</v>
      </c>
      <c r="R650">
        <f>IF(AND(COUNTIF($A$2:$A$2027,A650)&gt;1,COUNTIF($A$2:A650,A650)=1),1,0)</f>
        <v>0</v>
      </c>
      <c r="S650" t="b">
        <f>IFERROR(VLOOKUP(D650,Products!$A$2:$F$61,6,FALSE()),"")</f>
        <v>1</v>
      </c>
      <c r="T650" t="str">
        <f>IF(COUNTIF(Customers!$A$2:$A$301,C650)=0,"Missing","OK")</f>
        <v>OK</v>
      </c>
      <c r="U650" t="str">
        <f t="shared" si="31"/>
        <v>Delhi</v>
      </c>
      <c r="V650">
        <f t="shared" si="32"/>
        <v>0</v>
      </c>
    </row>
    <row r="651" spans="1:22" ht="15" customHeight="1" x14ac:dyDescent="0.35">
      <c r="A651" s="3" t="s">
        <v>1049</v>
      </c>
      <c r="B651" s="4">
        <v>45413</v>
      </c>
      <c r="C651" s="3" t="s">
        <v>547</v>
      </c>
      <c r="D651" s="3" t="s">
        <v>165</v>
      </c>
      <c r="E651" s="3" t="s">
        <v>55</v>
      </c>
      <c r="F651" s="5">
        <v>10</v>
      </c>
      <c r="G651" s="5">
        <v>3730</v>
      </c>
      <c r="H651" s="5">
        <v>15.1</v>
      </c>
      <c r="I651" s="5">
        <v>31667.7</v>
      </c>
      <c r="J651" s="3" t="s">
        <v>26</v>
      </c>
      <c r="K651" s="3" t="s">
        <v>27</v>
      </c>
      <c r="L651" t="str">
        <f>IFERROR(VLOOKUP(D651,Products!$A$2:$F$61,3,FALSE()),"")</f>
        <v>Home</v>
      </c>
      <c r="M651" t="str">
        <f>IFERROR(VLOOKUP(E651,Sales_Reps!$A$2:$C$31,3,FALSE()),"")</f>
        <v>West</v>
      </c>
      <c r="N651">
        <f>IFERROR(VLOOKUP(D651,Products!$A$2:$F$61,4,FALSE()),"")</f>
        <v>2135</v>
      </c>
      <c r="O651" t="str">
        <f>IFERROR(VLOOKUP(C651,Customers!$A$2:$F$301,5,FALSE()),"")</f>
        <v>Corporate</v>
      </c>
      <c r="P651">
        <f>IFERROR(VLOOKUP(C651,Customers!$A$2:$F$301,3,FALSE()),"")</f>
        <v>40</v>
      </c>
      <c r="Q651">
        <f t="shared" si="30"/>
        <v>0.42761394101876676</v>
      </c>
      <c r="R651">
        <f>IF(AND(COUNTIF($A$2:$A$2027,A651)&gt;1,COUNTIF($A$2:A651,A651)=1),1,0)</f>
        <v>0</v>
      </c>
      <c r="S651" t="b">
        <f>IFERROR(VLOOKUP(D651,Products!$A$2:$F$61,6,FALSE()),"")</f>
        <v>1</v>
      </c>
      <c r="T651" t="str">
        <f>IF(COUNTIF(Customers!$A$2:$A$301,C651)=0,"Missing","OK")</f>
        <v>OK</v>
      </c>
      <c r="U651" t="str">
        <f t="shared" si="31"/>
        <v>Pune</v>
      </c>
      <c r="V651">
        <f t="shared" si="32"/>
        <v>0</v>
      </c>
    </row>
    <row r="652" spans="1:22" ht="15" customHeight="1" x14ac:dyDescent="0.35">
      <c r="A652" s="3" t="s">
        <v>1050</v>
      </c>
      <c r="B652" s="4">
        <v>45559</v>
      </c>
      <c r="C652" s="3" t="s">
        <v>76</v>
      </c>
      <c r="D652" s="3" t="s">
        <v>290</v>
      </c>
      <c r="E652" s="3" t="s">
        <v>97</v>
      </c>
      <c r="F652" s="5">
        <v>6</v>
      </c>
      <c r="G652" s="5">
        <v>4060</v>
      </c>
      <c r="H652" s="5">
        <v>20.100000000000001</v>
      </c>
      <c r="I652" s="5">
        <v>19463.64</v>
      </c>
      <c r="J652" s="3" t="s">
        <v>32</v>
      </c>
      <c r="K652" s="3" t="s">
        <v>1051</v>
      </c>
      <c r="L652" t="str">
        <f>IFERROR(VLOOKUP(D652,Products!$A$2:$F$61,3,FALSE()),"")</f>
        <v>Grocery</v>
      </c>
      <c r="M652" t="str">
        <f>IFERROR(VLOOKUP(E652,Sales_Reps!$A$2:$C$31,3,FALSE()),"")</f>
        <v>East</v>
      </c>
      <c r="N652">
        <f>IFERROR(VLOOKUP(D652,Products!$A$2:$F$61,4,FALSE()),"")</f>
        <v>2911</v>
      </c>
      <c r="O652" t="str">
        <f>IFERROR(VLOOKUP(C652,Customers!$A$2:$F$301,5,FALSE()),"")</f>
        <v>SMB</v>
      </c>
      <c r="P652">
        <f>IFERROR(VLOOKUP(C652,Customers!$A$2:$F$301,3,FALSE()),"")</f>
        <v>27</v>
      </c>
      <c r="Q652">
        <f t="shared" si="30"/>
        <v>0.28300492610837441</v>
      </c>
      <c r="R652">
        <f>IF(AND(COUNTIF($A$2:$A$2027,A652)&gt;1,COUNTIF($A$2:A652,A652)=1),1,0)</f>
        <v>0</v>
      </c>
      <c r="S652" t="b">
        <f>IFERROR(VLOOKUP(D652,Products!$A$2:$F$61,6,FALSE()),"")</f>
        <v>1</v>
      </c>
      <c r="T652" t="str">
        <f>IF(COUNTIF(Customers!$A$2:$A$301,C652)=0,"Missing","OK")</f>
        <v>OK</v>
      </c>
      <c r="U652" t="str">
        <f t="shared" si="31"/>
        <v>Delhi</v>
      </c>
      <c r="V652">
        <f t="shared" si="32"/>
        <v>0</v>
      </c>
    </row>
    <row r="653" spans="1:22" ht="15" customHeight="1" x14ac:dyDescent="0.35">
      <c r="A653" s="3" t="s">
        <v>1052</v>
      </c>
      <c r="B653" s="4">
        <v>45525</v>
      </c>
      <c r="C653" s="3" t="s">
        <v>922</v>
      </c>
      <c r="D653" s="3" t="s">
        <v>70</v>
      </c>
      <c r="E653" s="3" t="s">
        <v>87</v>
      </c>
      <c r="F653" s="5">
        <v>2</v>
      </c>
      <c r="G653" s="5">
        <v>2270</v>
      </c>
      <c r="H653" s="5">
        <v>17.7</v>
      </c>
      <c r="I653" s="5">
        <v>3736.42</v>
      </c>
      <c r="J653" s="3" t="s">
        <v>26</v>
      </c>
      <c r="K653" s="3" t="s">
        <v>56</v>
      </c>
      <c r="L653" t="str">
        <f>IFERROR(VLOOKUP(D653,Products!$A$2:$F$61,3,FALSE()),"")</f>
        <v>Grocery</v>
      </c>
      <c r="M653" t="str">
        <f>IFERROR(VLOOKUP(E653,Sales_Reps!$A$2:$C$31,3,FALSE()),"")</f>
        <v>North</v>
      </c>
      <c r="N653">
        <f>IFERROR(VLOOKUP(D653,Products!$A$2:$F$61,4,FALSE()),"")</f>
        <v>1203</v>
      </c>
      <c r="O653" t="str">
        <f>IFERROR(VLOOKUP(C653,Customers!$A$2:$F$301,5,FALSE()),"")</f>
        <v>SMB</v>
      </c>
      <c r="P653">
        <f>IFERROR(VLOOKUP(C653,Customers!$A$2:$F$301,3,FALSE()),"")</f>
        <v>36</v>
      </c>
      <c r="Q653">
        <f t="shared" si="30"/>
        <v>0.47004405286343615</v>
      </c>
      <c r="R653">
        <f>IF(AND(COUNTIF($A$2:$A$2027,A653)&gt;1,COUNTIF($A$2:A653,A653)=1),1,0)</f>
        <v>0</v>
      </c>
      <c r="S653" t="b">
        <f>IFERROR(VLOOKUP(D653,Products!$A$2:$F$61,6,FALSE()),"")</f>
        <v>1</v>
      </c>
      <c r="T653" t="str">
        <f>IF(COUNTIF(Customers!$A$2:$A$301,C653)=0,"Missing","OK")</f>
        <v>OK</v>
      </c>
      <c r="U653" t="str">
        <f t="shared" si="31"/>
        <v>Bengaluru</v>
      </c>
      <c r="V653">
        <f t="shared" si="32"/>
        <v>3736.42</v>
      </c>
    </row>
    <row r="654" spans="1:22" ht="15" customHeight="1" x14ac:dyDescent="0.35">
      <c r="A654" s="3" t="s">
        <v>1053</v>
      </c>
      <c r="B654" s="4">
        <v>45610</v>
      </c>
      <c r="C654" s="3" t="s">
        <v>476</v>
      </c>
      <c r="D654" s="3" t="s">
        <v>126</v>
      </c>
      <c r="E654" s="3" t="s">
        <v>67</v>
      </c>
      <c r="F654" s="5">
        <v>9</v>
      </c>
      <c r="G654" s="5">
        <v>3570</v>
      </c>
      <c r="H654" s="5">
        <v>29.9</v>
      </c>
      <c r="I654" s="5">
        <v>22523.13</v>
      </c>
      <c r="J654" s="3" t="s">
        <v>26</v>
      </c>
      <c r="K654" s="3" t="s">
        <v>72</v>
      </c>
      <c r="L654" t="str">
        <f>IFERROR(VLOOKUP(D654,Products!$A$2:$F$61,3,FALSE()),"")</f>
        <v>Electronics</v>
      </c>
      <c r="M654" t="str">
        <f>IFERROR(VLOOKUP(E654,Sales_Reps!$A$2:$C$31,3,FALSE()),"")</f>
        <v>West</v>
      </c>
      <c r="N654">
        <f>IFERROR(VLOOKUP(D654,Products!$A$2:$F$61,4,FALSE()),"")</f>
        <v>1665</v>
      </c>
      <c r="O654" t="str">
        <f>IFERROR(VLOOKUP(C654,Customers!$A$2:$F$301,5,FALSE()),"")</f>
        <v>SMB</v>
      </c>
      <c r="P654">
        <f>IFERROR(VLOOKUP(C654,Customers!$A$2:$F$301,3,FALSE()),"")</f>
        <v>48</v>
      </c>
      <c r="Q654">
        <f t="shared" si="30"/>
        <v>0.53361344537815125</v>
      </c>
      <c r="R654">
        <f>IF(AND(COUNTIF($A$2:$A$2027,A654)&gt;1,COUNTIF($A$2:A654,A654)=1),1,0)</f>
        <v>0</v>
      </c>
      <c r="S654" t="b">
        <f>IFERROR(VLOOKUP(D654,Products!$A$2:$F$61,6,FALSE()),"")</f>
        <v>1</v>
      </c>
      <c r="T654" t="str">
        <f>IF(COUNTIF(Customers!$A$2:$A$301,C654)=0,"Missing","OK")</f>
        <v>OK</v>
      </c>
      <c r="U654" t="str">
        <f t="shared" si="31"/>
        <v>Hyderabad</v>
      </c>
      <c r="V654">
        <f t="shared" si="32"/>
        <v>0</v>
      </c>
    </row>
    <row r="655" spans="1:22" ht="15" customHeight="1" x14ac:dyDescent="0.35">
      <c r="A655" s="3" t="s">
        <v>1054</v>
      </c>
      <c r="B655" s="4">
        <v>45521</v>
      </c>
      <c r="C655" s="3" t="s">
        <v>767</v>
      </c>
      <c r="D655" s="3" t="s">
        <v>277</v>
      </c>
      <c r="E655" s="3" t="s">
        <v>78</v>
      </c>
      <c r="F655" s="5">
        <v>7</v>
      </c>
      <c r="G655" s="5">
        <v>2210</v>
      </c>
      <c r="H655" s="5">
        <v>25</v>
      </c>
      <c r="I655" s="5">
        <v>11602.5</v>
      </c>
      <c r="J655" s="3" t="s">
        <v>26</v>
      </c>
      <c r="K655" s="3" t="s">
        <v>72</v>
      </c>
      <c r="L655" t="str">
        <f>IFERROR(VLOOKUP(D655,Products!$A$2:$F$61,3,FALSE()),"")</f>
        <v>Grocery</v>
      </c>
      <c r="M655" t="str">
        <f>IFERROR(VLOOKUP(E655,Sales_Reps!$A$2:$C$31,3,FALSE()),"")</f>
        <v>North</v>
      </c>
      <c r="N655">
        <f>IFERROR(VLOOKUP(D655,Products!$A$2:$F$61,4,FALSE()),"")</f>
        <v>1010</v>
      </c>
      <c r="O655" t="str">
        <f>IFERROR(VLOOKUP(C655,Customers!$A$2:$F$301,5,FALSE()),"")</f>
        <v>Retail</v>
      </c>
      <c r="P655">
        <f>IFERROR(VLOOKUP(C655,Customers!$A$2:$F$301,3,FALSE()),"")</f>
        <v>52</v>
      </c>
      <c r="Q655">
        <f t="shared" si="30"/>
        <v>0.54298642533936647</v>
      </c>
      <c r="R655">
        <f>IF(AND(COUNTIF($A$2:$A$2027,A655)&gt;1,COUNTIF($A$2:A655,A655)=1),1,0)</f>
        <v>0</v>
      </c>
      <c r="S655" t="b">
        <f>IFERROR(VLOOKUP(D655,Products!$A$2:$F$61,6,FALSE()),"")</f>
        <v>1</v>
      </c>
      <c r="T655" t="str">
        <f>IF(COUNTIF(Customers!$A$2:$A$301,C655)=0,"Missing","OK")</f>
        <v>OK</v>
      </c>
      <c r="U655" t="str">
        <f t="shared" si="31"/>
        <v>Hyderabad</v>
      </c>
      <c r="V655">
        <f t="shared" si="32"/>
        <v>0</v>
      </c>
    </row>
    <row r="656" spans="1:22" ht="15" customHeight="1" x14ac:dyDescent="0.35">
      <c r="A656" s="3" t="s">
        <v>1055</v>
      </c>
      <c r="B656" s="4">
        <v>45381</v>
      </c>
      <c r="C656" s="3" t="s">
        <v>844</v>
      </c>
      <c r="D656" s="3" t="s">
        <v>54</v>
      </c>
      <c r="E656" s="3" t="s">
        <v>140</v>
      </c>
      <c r="F656" s="5">
        <v>2</v>
      </c>
      <c r="G656" s="5">
        <v>960</v>
      </c>
      <c r="H656" s="5">
        <v>8.1999999999999993</v>
      </c>
      <c r="I656" s="5">
        <v>1762.56</v>
      </c>
      <c r="J656" s="3" t="s">
        <v>79</v>
      </c>
      <c r="K656" s="3" t="s">
        <v>51</v>
      </c>
      <c r="L656" t="str">
        <f>IFERROR(VLOOKUP(D656,Products!$A$2:$F$61,3,FALSE()),"")</f>
        <v>Sports</v>
      </c>
      <c r="M656" t="str">
        <f>IFERROR(VLOOKUP(E656,Sales_Reps!$A$2:$C$31,3,FALSE()),"")</f>
        <v>West</v>
      </c>
      <c r="N656">
        <f>IFERROR(VLOOKUP(D656,Products!$A$2:$F$61,4,FALSE()),"")</f>
        <v>705</v>
      </c>
      <c r="O656" t="str">
        <f>IFERROR(VLOOKUP(C656,Customers!$A$2:$F$301,5,FALSE()),"")</f>
        <v>SMB</v>
      </c>
      <c r="P656">
        <f>IFERROR(VLOOKUP(C656,Customers!$A$2:$F$301,3,FALSE()),"")</f>
        <v>43</v>
      </c>
      <c r="Q656">
        <f t="shared" si="30"/>
        <v>0.265625</v>
      </c>
      <c r="R656">
        <f>IF(AND(COUNTIF($A$2:$A$2027,A656)&gt;1,COUNTIF($A$2:A656,A656)=1),1,0)</f>
        <v>0</v>
      </c>
      <c r="S656" t="b">
        <f>IFERROR(VLOOKUP(D656,Products!$A$2:$F$61,6,FALSE()),"")</f>
        <v>1</v>
      </c>
      <c r="T656" t="str">
        <f>IF(COUNTIF(Customers!$A$2:$A$301,C656)=0,"Missing","OK")</f>
        <v>OK</v>
      </c>
      <c r="U656" t="str">
        <f t="shared" si="31"/>
        <v>Mumbai</v>
      </c>
      <c r="V656">
        <f t="shared" si="32"/>
        <v>0</v>
      </c>
    </row>
    <row r="657" spans="1:22" ht="15" customHeight="1" x14ac:dyDescent="0.35">
      <c r="A657" s="3" t="s">
        <v>1056</v>
      </c>
      <c r="B657" s="4">
        <v>45401</v>
      </c>
      <c r="C657" s="3" t="s">
        <v>567</v>
      </c>
      <c r="D657" s="3" t="s">
        <v>400</v>
      </c>
      <c r="E657" s="3" t="s">
        <v>140</v>
      </c>
      <c r="F657" s="5">
        <v>9</v>
      </c>
      <c r="G657" s="5">
        <v>3780</v>
      </c>
      <c r="H657" s="5">
        <v>28.4</v>
      </c>
      <c r="I657" s="5">
        <v>24358.32</v>
      </c>
      <c r="J657" s="3" t="s">
        <v>32</v>
      </c>
      <c r="K657" s="3" t="s">
        <v>72</v>
      </c>
      <c r="L657" t="str">
        <f>IFERROR(VLOOKUP(D657,Products!$A$2:$F$61,3,FALSE()),"")</f>
        <v>Sports</v>
      </c>
      <c r="M657" t="str">
        <f>IFERROR(VLOOKUP(E657,Sales_Reps!$A$2:$C$31,3,FALSE()),"")</f>
        <v>West</v>
      </c>
      <c r="N657">
        <f>IFERROR(VLOOKUP(D657,Products!$A$2:$F$61,4,FALSE()),"")</f>
        <v>1860</v>
      </c>
      <c r="O657" t="str">
        <f>IFERROR(VLOOKUP(C657,Customers!$A$2:$F$301,5,FALSE()),"")</f>
        <v>Corporate</v>
      </c>
      <c r="P657">
        <f>IFERROR(VLOOKUP(C657,Customers!$A$2:$F$301,3,FALSE()),"")</f>
        <v>22</v>
      </c>
      <c r="Q657">
        <f t="shared" si="30"/>
        <v>0.50793650793650791</v>
      </c>
      <c r="R657">
        <f>IF(AND(COUNTIF($A$2:$A$2027,A657)&gt;1,COUNTIF($A$2:A657,A657)=1),1,0)</f>
        <v>0</v>
      </c>
      <c r="S657" t="b">
        <f>IFERROR(VLOOKUP(D657,Products!$A$2:$F$61,6,FALSE()),"")</f>
        <v>1</v>
      </c>
      <c r="T657" t="str">
        <f>IF(COUNTIF(Customers!$A$2:$A$301,C657)=0,"Missing","OK")</f>
        <v>OK</v>
      </c>
      <c r="U657" t="str">
        <f t="shared" si="31"/>
        <v>Hyderabad</v>
      </c>
      <c r="V657">
        <f t="shared" si="32"/>
        <v>0</v>
      </c>
    </row>
    <row r="658" spans="1:22" ht="15" customHeight="1" x14ac:dyDescent="0.35">
      <c r="A658" s="3" t="s">
        <v>1057</v>
      </c>
      <c r="B658" s="4">
        <v>45581</v>
      </c>
      <c r="C658" s="3" t="s">
        <v>825</v>
      </c>
      <c r="D658" s="3" t="s">
        <v>130</v>
      </c>
      <c r="E658" s="3" t="s">
        <v>37</v>
      </c>
      <c r="F658" s="5">
        <v>2</v>
      </c>
      <c r="G658" s="5">
        <v>5100</v>
      </c>
      <c r="H658" s="5">
        <v>8.6</v>
      </c>
      <c r="I658" s="5">
        <v>9322.7999999999993</v>
      </c>
      <c r="J658" s="3" t="s">
        <v>26</v>
      </c>
      <c r="K658" s="3" t="s">
        <v>33</v>
      </c>
      <c r="L658" t="str">
        <f>IFERROR(VLOOKUP(D658,Products!$A$2:$F$61,3,FALSE()),"")</f>
        <v>Beauty</v>
      </c>
      <c r="M658" t="str">
        <f>IFERROR(VLOOKUP(E658,Sales_Reps!$A$2:$C$31,3,FALSE()),"")</f>
        <v>South</v>
      </c>
      <c r="N658">
        <f>IFERROR(VLOOKUP(D658,Products!$A$2:$F$61,4,FALSE()),"")</f>
        <v>2237</v>
      </c>
      <c r="O658" t="str">
        <f>IFERROR(VLOOKUP(C658,Customers!$A$2:$F$301,5,FALSE()),"")</f>
        <v>Corporate</v>
      </c>
      <c r="P658">
        <f>IFERROR(VLOOKUP(C658,Customers!$A$2:$F$301,3,FALSE()),"")</f>
        <v>44</v>
      </c>
      <c r="Q658">
        <f t="shared" si="30"/>
        <v>0.56137254901960787</v>
      </c>
      <c r="R658">
        <f>IF(AND(COUNTIF($A$2:$A$2027,A658)&gt;1,COUNTIF($A$2:A658,A658)=1),1,0)</f>
        <v>0</v>
      </c>
      <c r="S658" t="b">
        <f>IFERROR(VLOOKUP(D658,Products!$A$2:$F$61,6,FALSE()),"")</f>
        <v>1</v>
      </c>
      <c r="T658" t="str">
        <f>IF(COUNTIF(Customers!$A$2:$A$301,C658)=0,"Missing","OK")</f>
        <v>OK</v>
      </c>
      <c r="U658" t="str">
        <f t="shared" si="31"/>
        <v>Chennai</v>
      </c>
      <c r="V658">
        <f t="shared" si="32"/>
        <v>0</v>
      </c>
    </row>
    <row r="659" spans="1:22" ht="15" customHeight="1" x14ac:dyDescent="0.35">
      <c r="A659" s="3" t="s">
        <v>1058</v>
      </c>
      <c r="B659" s="4">
        <v>45414</v>
      </c>
      <c r="C659" s="3" t="s">
        <v>449</v>
      </c>
      <c r="D659" s="3" t="s">
        <v>106</v>
      </c>
      <c r="E659" s="3" t="s">
        <v>97</v>
      </c>
      <c r="F659" s="5">
        <v>4</v>
      </c>
      <c r="G659" s="5">
        <v>2480</v>
      </c>
      <c r="H659" s="5">
        <v>16.600000000000001</v>
      </c>
      <c r="I659" s="5">
        <v>8273.2800000000007</v>
      </c>
      <c r="J659" s="3" t="s">
        <v>26</v>
      </c>
      <c r="K659" s="3" t="s">
        <v>56</v>
      </c>
      <c r="L659" t="str">
        <f>IFERROR(VLOOKUP(D659,Products!$A$2:$F$61,3,FALSE()),"")</f>
        <v>Apparel</v>
      </c>
      <c r="M659" t="str">
        <f>IFERROR(VLOOKUP(E659,Sales_Reps!$A$2:$C$31,3,FALSE()),"")</f>
        <v>East</v>
      </c>
      <c r="N659">
        <f>IFERROR(VLOOKUP(D659,Products!$A$2:$F$61,4,FALSE()),"")</f>
        <v>1173</v>
      </c>
      <c r="O659" t="str">
        <f>IFERROR(VLOOKUP(C659,Customers!$A$2:$F$301,5,FALSE()),"")</f>
        <v>SMB</v>
      </c>
      <c r="P659">
        <f>IFERROR(VLOOKUP(C659,Customers!$A$2:$F$301,3,FALSE()),"")</f>
        <v>26</v>
      </c>
      <c r="Q659">
        <f t="shared" si="30"/>
        <v>0.52701612903225803</v>
      </c>
      <c r="R659">
        <f>IF(AND(COUNTIF($A$2:$A$2027,A659)&gt;1,COUNTIF($A$2:A659,A659)=1),1,0)</f>
        <v>0</v>
      </c>
      <c r="S659" t="b">
        <f>IFERROR(VLOOKUP(D659,Products!$A$2:$F$61,6,FALSE()),"")</f>
        <v>1</v>
      </c>
      <c r="T659" t="str">
        <f>IF(COUNTIF(Customers!$A$2:$A$301,C659)=0,"Missing","OK")</f>
        <v>OK</v>
      </c>
      <c r="U659" t="str">
        <f t="shared" si="31"/>
        <v>Bengaluru</v>
      </c>
      <c r="V659">
        <f t="shared" si="32"/>
        <v>0</v>
      </c>
    </row>
    <row r="660" spans="1:22" ht="15" customHeight="1" x14ac:dyDescent="0.35">
      <c r="A660" s="3" t="s">
        <v>1059</v>
      </c>
      <c r="B660" s="4">
        <v>45443</v>
      </c>
      <c r="C660" s="3" t="s">
        <v>1060</v>
      </c>
      <c r="D660" s="3" t="s">
        <v>103</v>
      </c>
      <c r="E660" s="3" t="s">
        <v>242</v>
      </c>
      <c r="F660" s="5">
        <v>10</v>
      </c>
      <c r="G660" s="5">
        <v>1080</v>
      </c>
      <c r="H660" s="5">
        <v>14.5</v>
      </c>
      <c r="I660" s="5">
        <v>9234</v>
      </c>
      <c r="J660" s="3" t="s">
        <v>26</v>
      </c>
      <c r="K660" s="3" t="s">
        <v>51</v>
      </c>
      <c r="L660" t="str">
        <f>IFERROR(VLOOKUP(D660,Products!$A$2:$F$61,3,FALSE()),"")</f>
        <v>Home</v>
      </c>
      <c r="M660" t="str">
        <f>IFERROR(VLOOKUP(E660,Sales_Reps!$A$2:$C$31,3,FALSE()),"")</f>
        <v>East</v>
      </c>
      <c r="N660">
        <f>IFERROR(VLOOKUP(D660,Products!$A$2:$F$61,4,FALSE()),"")</f>
        <v>519</v>
      </c>
      <c r="O660" t="str">
        <f>IFERROR(VLOOKUP(C660,Customers!$A$2:$F$301,5,FALSE()),"")</f>
        <v>Corporate</v>
      </c>
      <c r="P660">
        <f>IFERROR(VLOOKUP(C660,Customers!$A$2:$F$301,3,FALSE()),"")</f>
        <v>46</v>
      </c>
      <c r="Q660">
        <f t="shared" si="30"/>
        <v>0.51944444444444449</v>
      </c>
      <c r="R660">
        <f>IF(AND(COUNTIF($A$2:$A$2027,A660)&gt;1,COUNTIF($A$2:A660,A660)=1),1,0)</f>
        <v>0</v>
      </c>
      <c r="S660" t="b">
        <f>IFERROR(VLOOKUP(D660,Products!$A$2:$F$61,6,FALSE()),"")</f>
        <v>1</v>
      </c>
      <c r="T660" t="str">
        <f>IF(COUNTIF(Customers!$A$2:$A$301,C660)=0,"Missing","OK")</f>
        <v>OK</v>
      </c>
      <c r="U660" t="str">
        <f t="shared" si="31"/>
        <v>Mumbai</v>
      </c>
      <c r="V660">
        <f t="shared" si="32"/>
        <v>0</v>
      </c>
    </row>
    <row r="661" spans="1:22" ht="15" customHeight="1" x14ac:dyDescent="0.35">
      <c r="A661" s="3" t="s">
        <v>1061</v>
      </c>
      <c r="B661" s="4">
        <v>45377</v>
      </c>
      <c r="C661" s="3" t="s">
        <v>565</v>
      </c>
      <c r="D661" s="3" t="s">
        <v>77</v>
      </c>
      <c r="E661" s="3" t="s">
        <v>168</v>
      </c>
      <c r="F661" s="5">
        <v>7</v>
      </c>
      <c r="G661" s="5">
        <v>2600</v>
      </c>
      <c r="H661" s="5">
        <v>21</v>
      </c>
      <c r="I661" s="5">
        <v>14378</v>
      </c>
      <c r="J661" s="3" t="s">
        <v>26</v>
      </c>
      <c r="K661" s="3" t="s">
        <v>38</v>
      </c>
      <c r="L661" t="str">
        <f>IFERROR(VLOOKUP(D661,Products!$A$2:$F$61,3,FALSE()),"")</f>
        <v>Electronics</v>
      </c>
      <c r="M661" t="str">
        <f>IFERROR(VLOOKUP(E661,Sales_Reps!$A$2:$C$31,3,FALSE()),"")</f>
        <v>West</v>
      </c>
      <c r="N661">
        <f>IFERROR(VLOOKUP(D661,Products!$A$2:$F$61,4,FALSE()),"")</f>
        <v>1052</v>
      </c>
      <c r="O661" t="str">
        <f>IFERROR(VLOOKUP(C661,Customers!$A$2:$F$301,5,FALSE()),"")</f>
        <v>Retail</v>
      </c>
      <c r="P661">
        <f>IFERROR(VLOOKUP(C661,Customers!$A$2:$F$301,3,FALSE()),"")</f>
        <v>40</v>
      </c>
      <c r="Q661">
        <f t="shared" si="30"/>
        <v>0.5953846153846154</v>
      </c>
      <c r="R661">
        <f>IF(AND(COUNTIF($A$2:$A$2027,A661)&gt;1,COUNTIF($A$2:A661,A661)=1),1,0)</f>
        <v>0</v>
      </c>
      <c r="S661" t="b">
        <f>IFERROR(VLOOKUP(D661,Products!$A$2:$F$61,6,FALSE()),"")</f>
        <v>1</v>
      </c>
      <c r="T661" t="str">
        <f>IF(COUNTIF(Customers!$A$2:$A$301,C661)=0,"Missing","OK")</f>
        <v>OK</v>
      </c>
      <c r="U661" t="str">
        <f t="shared" si="31"/>
        <v>Delhi</v>
      </c>
      <c r="V661">
        <f t="shared" si="32"/>
        <v>0</v>
      </c>
    </row>
    <row r="662" spans="1:22" ht="15" customHeight="1" x14ac:dyDescent="0.35">
      <c r="A662" s="3" t="s">
        <v>1062</v>
      </c>
      <c r="B662" s="4">
        <v>45622</v>
      </c>
      <c r="C662" s="3" t="s">
        <v>44</v>
      </c>
      <c r="D662" s="3" t="s">
        <v>77</v>
      </c>
      <c r="E662" s="3" t="s">
        <v>127</v>
      </c>
      <c r="F662" s="5">
        <v>7</v>
      </c>
      <c r="G662" s="5">
        <v>2600</v>
      </c>
      <c r="H662" s="5">
        <v>6.7</v>
      </c>
      <c r="I662" s="5">
        <v>16980.599999999999</v>
      </c>
      <c r="J662" s="3" t="s">
        <v>32</v>
      </c>
      <c r="K662" s="3" t="s">
        <v>33</v>
      </c>
      <c r="L662" t="str">
        <f>IFERROR(VLOOKUP(D662,Products!$A$2:$F$61,3,FALSE()),"")</f>
        <v>Electronics</v>
      </c>
      <c r="M662" t="str">
        <f>IFERROR(VLOOKUP(E662,Sales_Reps!$A$2:$C$31,3,FALSE()),"")</f>
        <v>South</v>
      </c>
      <c r="N662">
        <f>IFERROR(VLOOKUP(D662,Products!$A$2:$F$61,4,FALSE()),"")</f>
        <v>1052</v>
      </c>
      <c r="O662" t="str">
        <f>IFERROR(VLOOKUP(C662,Customers!$A$2:$F$301,5,FALSE()),"")</f>
        <v>Retail</v>
      </c>
      <c r="P662">
        <f>IFERROR(VLOOKUP(C662,Customers!$A$2:$F$301,3,FALSE()),"")</f>
        <v>36</v>
      </c>
      <c r="Q662">
        <f t="shared" si="30"/>
        <v>0.5953846153846154</v>
      </c>
      <c r="R662">
        <f>IF(AND(COUNTIF($A$2:$A$2027,A662)&gt;1,COUNTIF($A$2:A662,A662)=1),1,0)</f>
        <v>0</v>
      </c>
      <c r="S662" t="b">
        <f>IFERROR(VLOOKUP(D662,Products!$A$2:$F$61,6,FALSE()),"")</f>
        <v>1</v>
      </c>
      <c r="T662" t="str">
        <f>IF(COUNTIF(Customers!$A$2:$A$301,C662)=0,"Missing","OK")</f>
        <v>OK</v>
      </c>
      <c r="U662" t="str">
        <f t="shared" si="31"/>
        <v>Chennai</v>
      </c>
      <c r="V662">
        <f t="shared" si="32"/>
        <v>0</v>
      </c>
    </row>
    <row r="663" spans="1:22" ht="15" customHeight="1" x14ac:dyDescent="0.35">
      <c r="A663" s="3" t="s">
        <v>1063</v>
      </c>
      <c r="B663" s="4">
        <v>45403</v>
      </c>
      <c r="C663" s="3" t="s">
        <v>158</v>
      </c>
      <c r="D663" s="3" t="s">
        <v>30</v>
      </c>
      <c r="E663" s="3" t="s">
        <v>93</v>
      </c>
      <c r="F663" s="5">
        <v>8</v>
      </c>
      <c r="G663" s="5">
        <v>820</v>
      </c>
      <c r="H663" s="5">
        <v>17.8</v>
      </c>
      <c r="I663" s="5">
        <v>5392.32</v>
      </c>
      <c r="J663" s="3" t="s">
        <v>32</v>
      </c>
      <c r="K663" s="3" t="s">
        <v>38</v>
      </c>
      <c r="L663" t="str">
        <f>IFERROR(VLOOKUP(D663,Products!$A$2:$F$61,3,FALSE()),"")</f>
        <v>Apparel</v>
      </c>
      <c r="M663" t="str">
        <f>IFERROR(VLOOKUP(E663,Sales_Reps!$A$2:$C$31,3,FALSE()),"")</f>
        <v>East</v>
      </c>
      <c r="N663">
        <f>IFERROR(VLOOKUP(D663,Products!$A$2:$F$61,4,FALSE()),"")</f>
        <v>391</v>
      </c>
      <c r="O663" t="str">
        <f>IFERROR(VLOOKUP(C663,Customers!$A$2:$F$301,5,FALSE()),"")</f>
        <v>SMB</v>
      </c>
      <c r="P663">
        <f>IFERROR(VLOOKUP(C663,Customers!$A$2:$F$301,3,FALSE()),"")</f>
        <v>50</v>
      </c>
      <c r="Q663">
        <f t="shared" si="30"/>
        <v>0.52317073170731709</v>
      </c>
      <c r="R663">
        <f>IF(AND(COUNTIF($A$2:$A$2027,A663)&gt;1,COUNTIF($A$2:A663,A663)=1),1,0)</f>
        <v>0</v>
      </c>
      <c r="S663" t="b">
        <f>IFERROR(VLOOKUP(D663,Products!$A$2:$F$61,6,FALSE()),"")</f>
        <v>1</v>
      </c>
      <c r="T663" t="str">
        <f>IF(COUNTIF(Customers!$A$2:$A$301,C663)=0,"Missing","OK")</f>
        <v>OK</v>
      </c>
      <c r="U663" t="str">
        <f t="shared" si="31"/>
        <v>Delhi</v>
      </c>
      <c r="V663">
        <f t="shared" si="32"/>
        <v>0</v>
      </c>
    </row>
    <row r="664" spans="1:22" ht="15" customHeight="1" x14ac:dyDescent="0.35">
      <c r="A664" s="3" t="s">
        <v>1064</v>
      </c>
      <c r="B664" s="4">
        <v>45532</v>
      </c>
      <c r="C664" s="3" t="s">
        <v>457</v>
      </c>
      <c r="D664" s="3" t="s">
        <v>54</v>
      </c>
      <c r="E664" s="3" t="s">
        <v>143</v>
      </c>
      <c r="F664" s="5">
        <v>3</v>
      </c>
      <c r="G664" s="5">
        <v>960</v>
      </c>
      <c r="H664" s="5">
        <v>17.8</v>
      </c>
      <c r="I664" s="5">
        <v>2367.36</v>
      </c>
      <c r="J664" s="3" t="s">
        <v>26</v>
      </c>
      <c r="K664" s="3" t="s">
        <v>27</v>
      </c>
      <c r="L664" t="str">
        <f>IFERROR(VLOOKUP(D664,Products!$A$2:$F$61,3,FALSE()),"")</f>
        <v>Sports</v>
      </c>
      <c r="M664" t="str">
        <f>IFERROR(VLOOKUP(E664,Sales_Reps!$A$2:$C$31,3,FALSE()),"")</f>
        <v>South</v>
      </c>
      <c r="N664">
        <f>IFERROR(VLOOKUP(D664,Products!$A$2:$F$61,4,FALSE()),"")</f>
        <v>705</v>
      </c>
      <c r="O664" t="str">
        <f>IFERROR(VLOOKUP(C664,Customers!$A$2:$F$301,5,FALSE()),"")</f>
        <v>Retail</v>
      </c>
      <c r="P664">
        <f>IFERROR(VLOOKUP(C664,Customers!$A$2:$F$301,3,FALSE()),"")</f>
        <v>49</v>
      </c>
      <c r="Q664">
        <f t="shared" si="30"/>
        <v>0.265625</v>
      </c>
      <c r="R664">
        <f>IF(AND(COUNTIF($A$2:$A$2027,A664)&gt;1,COUNTIF($A$2:A664,A664)=1),1,0)</f>
        <v>0</v>
      </c>
      <c r="S664" t="b">
        <f>IFERROR(VLOOKUP(D664,Products!$A$2:$F$61,6,FALSE()),"")</f>
        <v>1</v>
      </c>
      <c r="T664" t="str">
        <f>IF(COUNTIF(Customers!$A$2:$A$301,C664)=0,"Missing","OK")</f>
        <v>OK</v>
      </c>
      <c r="U664" t="str">
        <f t="shared" si="31"/>
        <v>Pune</v>
      </c>
      <c r="V664">
        <f t="shared" si="32"/>
        <v>0</v>
      </c>
    </row>
    <row r="665" spans="1:22" ht="15" customHeight="1" x14ac:dyDescent="0.35">
      <c r="A665" s="3" t="s">
        <v>1065</v>
      </c>
      <c r="B665" s="4">
        <v>45301</v>
      </c>
      <c r="C665" s="3" t="s">
        <v>205</v>
      </c>
      <c r="D665" s="3" t="s">
        <v>198</v>
      </c>
      <c r="E665" s="3" t="s">
        <v>93</v>
      </c>
      <c r="F665" s="5">
        <v>2</v>
      </c>
      <c r="G665" s="5">
        <v>1540</v>
      </c>
      <c r="H665" s="5">
        <v>1.8</v>
      </c>
      <c r="I665" s="5">
        <v>3024.56</v>
      </c>
      <c r="J665" s="3" t="s">
        <v>79</v>
      </c>
      <c r="K665" s="3" t="s">
        <v>38</v>
      </c>
      <c r="L665" t="str">
        <f>IFERROR(VLOOKUP(D665,Products!$A$2:$F$61,3,FALSE()),"")</f>
        <v>Beauty</v>
      </c>
      <c r="M665" t="str">
        <f>IFERROR(VLOOKUP(E665,Sales_Reps!$A$2:$C$31,3,FALSE()),"")</f>
        <v>East</v>
      </c>
      <c r="N665">
        <f>IFERROR(VLOOKUP(D665,Products!$A$2:$F$61,4,FALSE()),"")</f>
        <v>647</v>
      </c>
      <c r="O665" t="str">
        <f>IFERROR(VLOOKUP(C665,Customers!$A$2:$F$301,5,FALSE()),"")</f>
        <v>Corporate</v>
      </c>
      <c r="P665">
        <f>IFERROR(VLOOKUP(C665,Customers!$A$2:$F$301,3,FALSE()),"")</f>
        <v>55</v>
      </c>
      <c r="Q665">
        <f t="shared" si="30"/>
        <v>0.57987012987012987</v>
      </c>
      <c r="R665">
        <f>IF(AND(COUNTIF($A$2:$A$2027,A665)&gt;1,COUNTIF($A$2:A665,A665)=1),1,0)</f>
        <v>0</v>
      </c>
      <c r="S665" t="b">
        <f>IFERROR(VLOOKUP(D665,Products!$A$2:$F$61,6,FALSE()),"")</f>
        <v>0</v>
      </c>
      <c r="T665" t="str">
        <f>IF(COUNTIF(Customers!$A$2:$A$301,C665)=0,"Missing","OK")</f>
        <v>OK</v>
      </c>
      <c r="U665" t="str">
        <f t="shared" si="31"/>
        <v>Delhi</v>
      </c>
      <c r="V665">
        <f t="shared" si="32"/>
        <v>0</v>
      </c>
    </row>
    <row r="666" spans="1:22" ht="15" customHeight="1" x14ac:dyDescent="0.35">
      <c r="A666" s="3" t="s">
        <v>1066</v>
      </c>
      <c r="B666" s="4">
        <v>45622</v>
      </c>
      <c r="C666" s="3" t="s">
        <v>945</v>
      </c>
      <c r="D666" s="3" t="s">
        <v>454</v>
      </c>
      <c r="E666" s="3" t="s">
        <v>109</v>
      </c>
      <c r="F666" s="5">
        <v>5</v>
      </c>
      <c r="G666" s="5">
        <v>6940</v>
      </c>
      <c r="H666" s="5">
        <v>2.9</v>
      </c>
      <c r="I666" s="5">
        <v>33693.699999999997</v>
      </c>
      <c r="J666" s="3" t="s">
        <v>26</v>
      </c>
      <c r="K666" s="3" t="s">
        <v>56</v>
      </c>
      <c r="L666" t="str">
        <f>IFERROR(VLOOKUP(D666,Products!$A$2:$F$61,3,FALSE()),"")</f>
        <v>Sports</v>
      </c>
      <c r="M666" t="str">
        <f>IFERROR(VLOOKUP(E666,Sales_Reps!$A$2:$C$31,3,FALSE()),"")</f>
        <v>West</v>
      </c>
      <c r="N666">
        <f>IFERROR(VLOOKUP(D666,Products!$A$2:$F$61,4,FALSE()),"")</f>
        <v>2827</v>
      </c>
      <c r="O666" t="str">
        <f>IFERROR(VLOOKUP(C666,Customers!$A$2:$F$301,5,FALSE()),"")</f>
        <v>SMB</v>
      </c>
      <c r="P666">
        <f>IFERROR(VLOOKUP(C666,Customers!$A$2:$F$301,3,FALSE()),"")</f>
        <v>44</v>
      </c>
      <c r="Q666">
        <f t="shared" si="30"/>
        <v>0.5926512968299712</v>
      </c>
      <c r="R666">
        <f>IF(AND(COUNTIF($A$2:$A$2027,A666)&gt;1,COUNTIF($A$2:A666,A666)=1),1,0)</f>
        <v>0</v>
      </c>
      <c r="S666" t="b">
        <f>IFERROR(VLOOKUP(D666,Products!$A$2:$F$61,6,FALSE()),"")</f>
        <v>1</v>
      </c>
      <c r="T666" t="str">
        <f>IF(COUNTIF(Customers!$A$2:$A$301,C666)=0,"Missing","OK")</f>
        <v>OK</v>
      </c>
      <c r="U666" t="str">
        <f t="shared" si="31"/>
        <v>Bengaluru</v>
      </c>
      <c r="V666">
        <f t="shared" si="32"/>
        <v>0</v>
      </c>
    </row>
    <row r="667" spans="1:22" ht="15" customHeight="1" x14ac:dyDescent="0.35">
      <c r="A667" s="3" t="s">
        <v>1067</v>
      </c>
      <c r="B667" s="4">
        <v>45531</v>
      </c>
      <c r="C667" s="3" t="s">
        <v>317</v>
      </c>
      <c r="D667" s="3" t="s">
        <v>198</v>
      </c>
      <c r="E667" s="3" t="s">
        <v>191</v>
      </c>
      <c r="F667" s="5">
        <v>5</v>
      </c>
      <c r="G667" s="5">
        <v>1540</v>
      </c>
      <c r="H667" s="5">
        <v>28.8</v>
      </c>
      <c r="I667" s="5">
        <v>5482.4</v>
      </c>
      <c r="J667" s="3" t="s">
        <v>26</v>
      </c>
      <c r="K667" s="3" t="s">
        <v>33</v>
      </c>
      <c r="L667" t="str">
        <f>IFERROR(VLOOKUP(D667,Products!$A$2:$F$61,3,FALSE()),"")</f>
        <v>Beauty</v>
      </c>
      <c r="M667" t="str">
        <f>IFERROR(VLOOKUP(E667,Sales_Reps!$A$2:$C$31,3,FALSE()),"")</f>
        <v>South</v>
      </c>
      <c r="N667">
        <f>IFERROR(VLOOKUP(D667,Products!$A$2:$F$61,4,FALSE()),"")</f>
        <v>647</v>
      </c>
      <c r="O667" t="str">
        <f>IFERROR(VLOOKUP(C667,Customers!$A$2:$F$301,5,FALSE()),"")</f>
        <v>SMB</v>
      </c>
      <c r="P667">
        <f>IFERROR(VLOOKUP(C667,Customers!$A$2:$F$301,3,FALSE()),"")</f>
        <v>53</v>
      </c>
      <c r="Q667">
        <f t="shared" si="30"/>
        <v>0.57987012987012987</v>
      </c>
      <c r="R667">
        <f>IF(AND(COUNTIF($A$2:$A$2027,A667)&gt;1,COUNTIF($A$2:A667,A667)=1),1,0)</f>
        <v>0</v>
      </c>
      <c r="S667" t="b">
        <f>IFERROR(VLOOKUP(D667,Products!$A$2:$F$61,6,FALSE()),"")</f>
        <v>0</v>
      </c>
      <c r="T667" t="str">
        <f>IF(COUNTIF(Customers!$A$2:$A$301,C667)=0,"Missing","OK")</f>
        <v>OK</v>
      </c>
      <c r="U667" t="str">
        <f t="shared" si="31"/>
        <v>Chennai</v>
      </c>
      <c r="V667">
        <f t="shared" si="32"/>
        <v>0</v>
      </c>
    </row>
    <row r="668" spans="1:22" ht="15" customHeight="1" x14ac:dyDescent="0.35">
      <c r="A668" s="3" t="s">
        <v>1068</v>
      </c>
      <c r="B668" s="4">
        <v>45326</v>
      </c>
      <c r="C668" s="3" t="s">
        <v>644</v>
      </c>
      <c r="D668" s="3" t="s">
        <v>165</v>
      </c>
      <c r="E668" s="3" t="s">
        <v>264</v>
      </c>
      <c r="F668" s="5">
        <v>8</v>
      </c>
      <c r="G668" s="5">
        <v>3730</v>
      </c>
      <c r="H668" s="5">
        <v>21.1</v>
      </c>
      <c r="I668" s="5">
        <v>23543.759999999998</v>
      </c>
      <c r="J668" s="3" t="s">
        <v>26</v>
      </c>
      <c r="K668" s="3" t="s">
        <v>38</v>
      </c>
      <c r="L668" t="str">
        <f>IFERROR(VLOOKUP(D668,Products!$A$2:$F$61,3,FALSE()),"")</f>
        <v>Home</v>
      </c>
      <c r="M668" t="str">
        <f>IFERROR(VLOOKUP(E668,Sales_Reps!$A$2:$C$31,3,FALSE()),"")</f>
        <v>South</v>
      </c>
      <c r="N668">
        <f>IFERROR(VLOOKUP(D668,Products!$A$2:$F$61,4,FALSE()),"")</f>
        <v>2135</v>
      </c>
      <c r="O668" t="str">
        <f>IFERROR(VLOOKUP(C668,Customers!$A$2:$F$301,5,FALSE()),"")</f>
        <v>Retail</v>
      </c>
      <c r="P668">
        <f>IFERROR(VLOOKUP(C668,Customers!$A$2:$F$301,3,FALSE()),"")</f>
        <v>53</v>
      </c>
      <c r="Q668">
        <f t="shared" si="30"/>
        <v>0.42761394101876676</v>
      </c>
      <c r="R668">
        <f>IF(AND(COUNTIF($A$2:$A$2027,A668)&gt;1,COUNTIF($A$2:A668,A668)=1),1,0)</f>
        <v>0</v>
      </c>
      <c r="S668" t="b">
        <f>IFERROR(VLOOKUP(D668,Products!$A$2:$F$61,6,FALSE()),"")</f>
        <v>1</v>
      </c>
      <c r="T668" t="str">
        <f>IF(COUNTIF(Customers!$A$2:$A$301,C668)=0,"Missing","OK")</f>
        <v>OK</v>
      </c>
      <c r="U668" t="str">
        <f t="shared" si="31"/>
        <v>Delhi</v>
      </c>
      <c r="V668">
        <f t="shared" si="32"/>
        <v>0</v>
      </c>
    </row>
    <row r="669" spans="1:22" ht="15" customHeight="1" x14ac:dyDescent="0.35">
      <c r="A669" s="3" t="s">
        <v>1069</v>
      </c>
      <c r="B669" s="4">
        <v>45635</v>
      </c>
      <c r="C669" s="3" t="s">
        <v>186</v>
      </c>
      <c r="D669" s="3" t="s">
        <v>139</v>
      </c>
      <c r="E669" s="3" t="s">
        <v>93</v>
      </c>
      <c r="F669" s="5">
        <v>7</v>
      </c>
      <c r="G669" s="5">
        <v>2760</v>
      </c>
      <c r="H669" s="5">
        <v>1.2</v>
      </c>
      <c r="I669" s="5">
        <v>19088.16</v>
      </c>
      <c r="J669" s="3" t="s">
        <v>79</v>
      </c>
      <c r="K669" s="3" t="s">
        <v>56</v>
      </c>
      <c r="L669" t="str">
        <f>IFERROR(VLOOKUP(D669,Products!$A$2:$F$61,3,FALSE()),"")</f>
        <v>Grocery</v>
      </c>
      <c r="M669" t="str">
        <f>IFERROR(VLOOKUP(E669,Sales_Reps!$A$2:$C$31,3,FALSE()),"")</f>
        <v>East</v>
      </c>
      <c r="N669">
        <f>IFERROR(VLOOKUP(D669,Products!$A$2:$F$61,4,FALSE()),"")</f>
        <v>1435</v>
      </c>
      <c r="O669" t="str">
        <f>IFERROR(VLOOKUP(C669,Customers!$A$2:$F$301,5,FALSE()),"")</f>
        <v>Retail</v>
      </c>
      <c r="P669">
        <f>IFERROR(VLOOKUP(C669,Customers!$A$2:$F$301,3,FALSE()),"")</f>
        <v>34</v>
      </c>
      <c r="Q669">
        <f t="shared" si="30"/>
        <v>0.48007246376811596</v>
      </c>
      <c r="R669">
        <f>IF(AND(COUNTIF($A$2:$A$2027,A669)&gt;1,COUNTIF($A$2:A669,A669)=1),1,0)</f>
        <v>0</v>
      </c>
      <c r="S669" t="b">
        <f>IFERROR(VLOOKUP(D669,Products!$A$2:$F$61,6,FALSE()),"")</f>
        <v>1</v>
      </c>
      <c r="T669" t="str">
        <f>IF(COUNTIF(Customers!$A$2:$A$301,C669)=0,"Missing","OK")</f>
        <v>OK</v>
      </c>
      <c r="U669" t="str">
        <f t="shared" si="31"/>
        <v>Bengaluru</v>
      </c>
      <c r="V669">
        <f t="shared" si="32"/>
        <v>19088.16</v>
      </c>
    </row>
    <row r="670" spans="1:22" ht="15" customHeight="1" x14ac:dyDescent="0.35">
      <c r="A670" s="3" t="s">
        <v>1070</v>
      </c>
      <c r="B670" s="4">
        <v>45431</v>
      </c>
      <c r="C670" s="3" t="s">
        <v>301</v>
      </c>
      <c r="D670" s="3" t="s">
        <v>347</v>
      </c>
      <c r="E670" s="3" t="s">
        <v>131</v>
      </c>
      <c r="F670" s="5">
        <v>3</v>
      </c>
      <c r="G670" s="5">
        <v>3970</v>
      </c>
      <c r="H670" s="5">
        <v>18.3</v>
      </c>
      <c r="I670" s="5">
        <v>9730.4699999999993</v>
      </c>
      <c r="J670" s="3" t="s">
        <v>26</v>
      </c>
      <c r="K670" s="3" t="s">
        <v>33</v>
      </c>
      <c r="L670" t="str">
        <f>IFERROR(VLOOKUP(D670,Products!$A$2:$F$61,3,FALSE()),"")</f>
        <v>Electronics</v>
      </c>
      <c r="M670" t="str">
        <f>IFERROR(VLOOKUP(E670,Sales_Reps!$A$2:$C$31,3,FALSE()),"")</f>
        <v>East</v>
      </c>
      <c r="N670">
        <f>IFERROR(VLOOKUP(D670,Products!$A$2:$F$61,4,FALSE()),"")</f>
        <v>2865</v>
      </c>
      <c r="O670" t="str">
        <f>IFERROR(VLOOKUP(C670,Customers!$A$2:$F$301,5,FALSE()),"")</f>
        <v>Corporate</v>
      </c>
      <c r="P670">
        <f>IFERROR(VLOOKUP(C670,Customers!$A$2:$F$301,3,FALSE()),"")</f>
        <v>51</v>
      </c>
      <c r="Q670">
        <f t="shared" si="30"/>
        <v>0.27833753148614609</v>
      </c>
      <c r="R670">
        <f>IF(AND(COUNTIF($A$2:$A$2027,A670)&gt;1,COUNTIF($A$2:A670,A670)=1),1,0)</f>
        <v>0</v>
      </c>
      <c r="S670" t="b">
        <f>IFERROR(VLOOKUP(D670,Products!$A$2:$F$61,6,FALSE()),"")</f>
        <v>1</v>
      </c>
      <c r="T670" t="str">
        <f>IF(COUNTIF(Customers!$A$2:$A$301,C670)=0,"Missing","OK")</f>
        <v>OK</v>
      </c>
      <c r="U670" t="str">
        <f t="shared" si="31"/>
        <v>Chennai</v>
      </c>
      <c r="V670">
        <f t="shared" si="32"/>
        <v>0</v>
      </c>
    </row>
    <row r="671" spans="1:22" ht="15" customHeight="1" x14ac:dyDescent="0.35">
      <c r="A671" s="3" t="s">
        <v>1071</v>
      </c>
      <c r="B671" s="4">
        <v>45393</v>
      </c>
      <c r="C671" s="3" t="s">
        <v>333</v>
      </c>
      <c r="D671" s="3" t="s">
        <v>173</v>
      </c>
      <c r="E671" s="3" t="s">
        <v>93</v>
      </c>
      <c r="F671" s="5">
        <v>4</v>
      </c>
      <c r="G671" s="5">
        <v>3780</v>
      </c>
      <c r="H671" s="5">
        <v>24.6</v>
      </c>
      <c r="I671" s="5">
        <v>11400.48</v>
      </c>
      <c r="J671" s="3" t="s">
        <v>26</v>
      </c>
      <c r="K671" s="3" t="s">
        <v>56</v>
      </c>
      <c r="L671" t="str">
        <f>IFERROR(VLOOKUP(D671,Products!$A$2:$F$61,3,FALSE()),"")</f>
        <v>Grocery</v>
      </c>
      <c r="M671" t="str">
        <f>IFERROR(VLOOKUP(E671,Sales_Reps!$A$2:$C$31,3,FALSE()),"")</f>
        <v>East</v>
      </c>
      <c r="N671">
        <f>IFERROR(VLOOKUP(D671,Products!$A$2:$F$61,4,FALSE()),"")</f>
        <v>2436</v>
      </c>
      <c r="O671" t="str">
        <f>IFERROR(VLOOKUP(C671,Customers!$A$2:$F$301,5,FALSE()),"")</f>
        <v>SMB</v>
      </c>
      <c r="P671">
        <f>IFERROR(VLOOKUP(C671,Customers!$A$2:$F$301,3,FALSE()),"")</f>
        <v>28</v>
      </c>
      <c r="Q671">
        <f t="shared" si="30"/>
        <v>0.35555555555555557</v>
      </c>
      <c r="R671">
        <f>IF(AND(COUNTIF($A$2:$A$2027,A671)&gt;1,COUNTIF($A$2:A671,A671)=1),1,0)</f>
        <v>0</v>
      </c>
      <c r="S671" t="b">
        <f>IFERROR(VLOOKUP(D671,Products!$A$2:$F$61,6,FALSE()),"")</f>
        <v>1</v>
      </c>
      <c r="T671" t="str">
        <f>IF(COUNTIF(Customers!$A$2:$A$301,C671)=0,"Missing","OK")</f>
        <v>OK</v>
      </c>
      <c r="U671" t="str">
        <f t="shared" si="31"/>
        <v>Bengaluru</v>
      </c>
      <c r="V671">
        <f t="shared" si="32"/>
        <v>11400.48</v>
      </c>
    </row>
    <row r="672" spans="1:22" ht="15" customHeight="1" x14ac:dyDescent="0.35">
      <c r="A672" s="3" t="s">
        <v>1072</v>
      </c>
      <c r="B672" s="4">
        <v>45295</v>
      </c>
      <c r="C672" s="3" t="s">
        <v>774</v>
      </c>
      <c r="D672" s="3" t="s">
        <v>112</v>
      </c>
      <c r="E672" s="3" t="s">
        <v>46</v>
      </c>
      <c r="F672" s="5">
        <v>10</v>
      </c>
      <c r="G672" s="5">
        <v>2720</v>
      </c>
      <c r="H672" s="5">
        <v>12.8</v>
      </c>
      <c r="I672" s="5">
        <v>23718.400000000001</v>
      </c>
      <c r="J672" s="3" t="s">
        <v>26</v>
      </c>
      <c r="K672" s="3" t="s">
        <v>56</v>
      </c>
      <c r="L672" t="str">
        <f>IFERROR(VLOOKUP(D672,Products!$A$2:$F$61,3,FALSE()),"")</f>
        <v>Apparel</v>
      </c>
      <c r="M672" t="str">
        <f>IFERROR(VLOOKUP(E672,Sales_Reps!$A$2:$C$31,3,FALSE()),"")</f>
        <v>North</v>
      </c>
      <c r="N672">
        <f>IFERROR(VLOOKUP(D672,Products!$A$2:$F$61,4,FALSE()),"")</f>
        <v>1962</v>
      </c>
      <c r="O672" t="str">
        <f>IFERROR(VLOOKUP(C672,Customers!$A$2:$F$301,5,FALSE()),"")</f>
        <v>Retail</v>
      </c>
      <c r="P672">
        <f>IFERROR(VLOOKUP(C672,Customers!$A$2:$F$301,3,FALSE()),"")</f>
        <v>52</v>
      </c>
      <c r="Q672">
        <f t="shared" si="30"/>
        <v>0.2786764705882353</v>
      </c>
      <c r="R672">
        <f>IF(AND(COUNTIF($A$2:$A$2027,A672)&gt;1,COUNTIF($A$2:A672,A672)=1),1,0)</f>
        <v>0</v>
      </c>
      <c r="S672" t="b">
        <f>IFERROR(VLOOKUP(D672,Products!$A$2:$F$61,6,FALSE()),"")</f>
        <v>1</v>
      </c>
      <c r="T672" t="str">
        <f>IF(COUNTIF(Customers!$A$2:$A$301,C672)=0,"Missing","OK")</f>
        <v>OK</v>
      </c>
      <c r="U672" t="str">
        <f t="shared" si="31"/>
        <v>Bengaluru</v>
      </c>
      <c r="V672">
        <f t="shared" si="32"/>
        <v>0</v>
      </c>
    </row>
    <row r="673" spans="1:22" ht="15" customHeight="1" x14ac:dyDescent="0.35">
      <c r="A673" s="3" t="s">
        <v>1073</v>
      </c>
      <c r="B673" s="4">
        <v>45371</v>
      </c>
      <c r="C673" s="3" t="s">
        <v>275</v>
      </c>
      <c r="D673" s="3" t="s">
        <v>347</v>
      </c>
      <c r="E673" s="3" t="s">
        <v>177</v>
      </c>
      <c r="F673" s="5">
        <v>5</v>
      </c>
      <c r="G673" s="5">
        <v>3970</v>
      </c>
      <c r="H673" s="5">
        <v>5.9</v>
      </c>
      <c r="I673" s="5">
        <v>18678.849999999999</v>
      </c>
      <c r="J673" s="3" t="s">
        <v>26</v>
      </c>
      <c r="K673" s="3" t="s">
        <v>51</v>
      </c>
      <c r="L673" t="str">
        <f>IFERROR(VLOOKUP(D673,Products!$A$2:$F$61,3,FALSE()),"")</f>
        <v>Electronics</v>
      </c>
      <c r="M673" t="str">
        <f>IFERROR(VLOOKUP(E673,Sales_Reps!$A$2:$C$31,3,FALSE()),"")</f>
        <v>East</v>
      </c>
      <c r="N673">
        <f>IFERROR(VLOOKUP(D673,Products!$A$2:$F$61,4,FALSE()),"")</f>
        <v>2865</v>
      </c>
      <c r="O673" t="str">
        <f>IFERROR(VLOOKUP(C673,Customers!$A$2:$F$301,5,FALSE()),"")</f>
        <v>Retail</v>
      </c>
      <c r="P673">
        <f>IFERROR(VLOOKUP(C673,Customers!$A$2:$F$301,3,FALSE()),"")</f>
        <v>49</v>
      </c>
      <c r="Q673">
        <f t="shared" si="30"/>
        <v>0.27833753148614609</v>
      </c>
      <c r="R673">
        <f>IF(AND(COUNTIF($A$2:$A$2027,A673)&gt;1,COUNTIF($A$2:A673,A673)=1),1,0)</f>
        <v>0</v>
      </c>
      <c r="S673" t="b">
        <f>IFERROR(VLOOKUP(D673,Products!$A$2:$F$61,6,FALSE()),"")</f>
        <v>1</v>
      </c>
      <c r="T673" t="str">
        <f>IF(COUNTIF(Customers!$A$2:$A$301,C673)=0,"Missing","OK")</f>
        <v>OK</v>
      </c>
      <c r="U673" t="str">
        <f t="shared" si="31"/>
        <v>Mumbai</v>
      </c>
      <c r="V673">
        <f t="shared" si="32"/>
        <v>0</v>
      </c>
    </row>
    <row r="674" spans="1:22" ht="15" customHeight="1" x14ac:dyDescent="0.35">
      <c r="A674" s="3" t="s">
        <v>1074</v>
      </c>
      <c r="B674" s="4">
        <v>45601</v>
      </c>
      <c r="C674" s="3" t="s">
        <v>81</v>
      </c>
      <c r="D674" s="3" t="s">
        <v>30</v>
      </c>
      <c r="E674" s="3" t="s">
        <v>212</v>
      </c>
      <c r="F674" s="5">
        <v>3</v>
      </c>
      <c r="G674" s="5">
        <v>820</v>
      </c>
      <c r="H674" s="5">
        <v>19.399999999999999</v>
      </c>
      <c r="I674" s="5">
        <v>1982.76</v>
      </c>
      <c r="J674" s="3" t="s">
        <v>26</v>
      </c>
      <c r="K674" s="3" t="s">
        <v>27</v>
      </c>
      <c r="L674" t="str">
        <f>IFERROR(VLOOKUP(D674,Products!$A$2:$F$61,3,FALSE()),"")</f>
        <v>Apparel</v>
      </c>
      <c r="M674" t="str">
        <f>IFERROR(VLOOKUP(E674,Sales_Reps!$A$2:$C$31,3,FALSE()),"")</f>
        <v>South</v>
      </c>
      <c r="N674">
        <f>IFERROR(VLOOKUP(D674,Products!$A$2:$F$61,4,FALSE()),"")</f>
        <v>391</v>
      </c>
      <c r="O674" t="str">
        <f>IFERROR(VLOOKUP(C674,Customers!$A$2:$F$301,5,FALSE()),"")</f>
        <v>SMB</v>
      </c>
      <c r="P674">
        <f>IFERROR(VLOOKUP(C674,Customers!$A$2:$F$301,3,FALSE()),"")</f>
        <v>39</v>
      </c>
      <c r="Q674">
        <f t="shared" si="30"/>
        <v>0.52317073170731709</v>
      </c>
      <c r="R674">
        <f>IF(AND(COUNTIF($A$2:$A$2027,A674)&gt;1,COUNTIF($A$2:A674,A674)=1),1,0)</f>
        <v>0</v>
      </c>
      <c r="S674" t="b">
        <f>IFERROR(VLOOKUP(D674,Products!$A$2:$F$61,6,FALSE()),"")</f>
        <v>1</v>
      </c>
      <c r="T674" t="str">
        <f>IF(COUNTIF(Customers!$A$2:$A$301,C674)=0,"Missing","OK")</f>
        <v>OK</v>
      </c>
      <c r="U674" t="str">
        <f t="shared" si="31"/>
        <v>Pune</v>
      </c>
      <c r="V674">
        <f t="shared" si="32"/>
        <v>0</v>
      </c>
    </row>
    <row r="675" spans="1:22" ht="15" customHeight="1" x14ac:dyDescent="0.35">
      <c r="A675" s="3" t="s">
        <v>1075</v>
      </c>
      <c r="B675" s="4">
        <v>45471</v>
      </c>
      <c r="C675" s="3" t="s">
        <v>494</v>
      </c>
      <c r="D675" s="3" t="s">
        <v>231</v>
      </c>
      <c r="E675" s="3" t="s">
        <v>71</v>
      </c>
      <c r="F675" s="5">
        <v>7</v>
      </c>
      <c r="G675" s="5">
        <v>620</v>
      </c>
      <c r="H675" s="5">
        <v>9.9</v>
      </c>
      <c r="I675" s="5">
        <v>3910.34</v>
      </c>
      <c r="J675" s="3" t="s">
        <v>26</v>
      </c>
      <c r="K675" s="3" t="s">
        <v>51</v>
      </c>
      <c r="L675" t="str">
        <f>IFERROR(VLOOKUP(D675,Products!$A$2:$F$61,3,FALSE()),"")</f>
        <v>Apparel</v>
      </c>
      <c r="M675" t="str">
        <f>IFERROR(VLOOKUP(E675,Sales_Reps!$A$2:$C$31,3,FALSE()),"")</f>
        <v>South</v>
      </c>
      <c r="N675">
        <f>IFERROR(VLOOKUP(D675,Products!$A$2:$F$61,4,FALSE()),"")</f>
        <v>396</v>
      </c>
      <c r="O675" t="str">
        <f>IFERROR(VLOOKUP(C675,Customers!$A$2:$F$301,5,FALSE()),"")</f>
        <v>Retail</v>
      </c>
      <c r="P675">
        <f>IFERROR(VLOOKUP(C675,Customers!$A$2:$F$301,3,FALSE()),"")</f>
        <v>37</v>
      </c>
      <c r="Q675">
        <f t="shared" si="30"/>
        <v>0.36129032258064514</v>
      </c>
      <c r="R675">
        <f>IF(AND(COUNTIF($A$2:$A$2027,A675)&gt;1,COUNTIF($A$2:A675,A675)=1),1,0)</f>
        <v>0</v>
      </c>
      <c r="S675" t="b">
        <f>IFERROR(VLOOKUP(D675,Products!$A$2:$F$61,6,FALSE()),"")</f>
        <v>1</v>
      </c>
      <c r="T675" t="str">
        <f>IF(COUNTIF(Customers!$A$2:$A$301,C675)=0,"Missing","OK")</f>
        <v>OK</v>
      </c>
      <c r="U675" t="str">
        <f t="shared" si="31"/>
        <v>Mumbai</v>
      </c>
      <c r="V675">
        <f t="shared" si="32"/>
        <v>0</v>
      </c>
    </row>
    <row r="676" spans="1:22" ht="15" customHeight="1" x14ac:dyDescent="0.35">
      <c r="A676" s="3" t="s">
        <v>1076</v>
      </c>
      <c r="B676" s="4">
        <v>45318</v>
      </c>
      <c r="C676" s="3" t="s">
        <v>608</v>
      </c>
      <c r="D676" s="3" t="s">
        <v>325</v>
      </c>
      <c r="E676" s="3" t="s">
        <v>282</v>
      </c>
      <c r="F676" s="5">
        <v>8</v>
      </c>
      <c r="G676" s="5">
        <v>2290</v>
      </c>
      <c r="H676" s="5">
        <v>18.3</v>
      </c>
      <c r="I676" s="5">
        <v>14967.44</v>
      </c>
      <c r="J676" s="3" t="s">
        <v>26</v>
      </c>
      <c r="K676" s="3" t="s">
        <v>72</v>
      </c>
      <c r="L676" t="str">
        <f>IFERROR(VLOOKUP(D676,Products!$A$2:$F$61,3,FALSE()),"")</f>
        <v>Beauty</v>
      </c>
      <c r="M676" t="str">
        <f>IFERROR(VLOOKUP(E676,Sales_Reps!$A$2:$C$31,3,FALSE()),"")</f>
        <v>West</v>
      </c>
      <c r="N676">
        <f>IFERROR(VLOOKUP(D676,Products!$A$2:$F$61,4,FALSE()),"")</f>
        <v>1219</v>
      </c>
      <c r="O676" t="str">
        <f>IFERROR(VLOOKUP(C676,Customers!$A$2:$F$301,5,FALSE()),"")</f>
        <v>Retail</v>
      </c>
      <c r="P676">
        <f>IFERROR(VLOOKUP(C676,Customers!$A$2:$F$301,3,FALSE()),"")</f>
        <v>31</v>
      </c>
      <c r="Q676">
        <f t="shared" si="30"/>
        <v>0.46768558951965067</v>
      </c>
      <c r="R676">
        <f>IF(AND(COUNTIF($A$2:$A$2027,A676)&gt;1,COUNTIF($A$2:A676,A676)=1),1,0)</f>
        <v>0</v>
      </c>
      <c r="S676" t="b">
        <f>IFERROR(VLOOKUP(D676,Products!$A$2:$F$61,6,FALSE()),"")</f>
        <v>1</v>
      </c>
      <c r="T676" t="str">
        <f>IF(COUNTIF(Customers!$A$2:$A$301,C676)=0,"Missing","OK")</f>
        <v>OK</v>
      </c>
      <c r="U676" t="str">
        <f t="shared" si="31"/>
        <v>Hyderabad</v>
      </c>
      <c r="V676">
        <f t="shared" si="32"/>
        <v>0</v>
      </c>
    </row>
    <row r="677" spans="1:22" ht="15" customHeight="1" x14ac:dyDescent="0.35">
      <c r="A677" s="3" t="s">
        <v>1077</v>
      </c>
      <c r="B677" s="4">
        <v>45364</v>
      </c>
      <c r="C677" s="3" t="s">
        <v>506</v>
      </c>
      <c r="D677" s="3" t="s">
        <v>66</v>
      </c>
      <c r="E677" s="3" t="s">
        <v>50</v>
      </c>
      <c r="F677" s="5">
        <v>3</v>
      </c>
      <c r="G677" s="5">
        <v>970</v>
      </c>
      <c r="H677" s="5">
        <v>18.399999999999999</v>
      </c>
      <c r="I677" s="5">
        <v>2374.56</v>
      </c>
      <c r="J677" s="3" t="s">
        <v>26</v>
      </c>
      <c r="K677" s="3" t="s">
        <v>56</v>
      </c>
      <c r="L677" t="str">
        <f>IFERROR(VLOOKUP(D677,Products!$A$2:$F$61,3,FALSE()),"")</f>
        <v>Grocery</v>
      </c>
      <c r="M677" t="str">
        <f>IFERROR(VLOOKUP(E677,Sales_Reps!$A$2:$C$31,3,FALSE()),"")</f>
        <v>West</v>
      </c>
      <c r="N677">
        <f>IFERROR(VLOOKUP(D677,Products!$A$2:$F$61,4,FALSE()),"")</f>
        <v>434</v>
      </c>
      <c r="O677" t="str">
        <f>IFERROR(VLOOKUP(C677,Customers!$A$2:$F$301,5,FALSE()),"")</f>
        <v>Corporate</v>
      </c>
      <c r="P677">
        <f>IFERROR(VLOOKUP(C677,Customers!$A$2:$F$301,3,FALSE()),"")</f>
        <v>41</v>
      </c>
      <c r="Q677">
        <f t="shared" si="30"/>
        <v>0.5525773195876289</v>
      </c>
      <c r="R677">
        <f>IF(AND(COUNTIF($A$2:$A$2027,A677)&gt;1,COUNTIF($A$2:A677,A677)=1),1,0)</f>
        <v>0</v>
      </c>
      <c r="S677" t="b">
        <f>IFERROR(VLOOKUP(D677,Products!$A$2:$F$61,6,FALSE()),"")</f>
        <v>1</v>
      </c>
      <c r="T677" t="str">
        <f>IF(COUNTIF(Customers!$A$2:$A$301,C677)=0,"Missing","OK")</f>
        <v>OK</v>
      </c>
      <c r="U677" t="str">
        <f t="shared" si="31"/>
        <v>Bengaluru</v>
      </c>
      <c r="V677">
        <f t="shared" si="32"/>
        <v>2374.56</v>
      </c>
    </row>
    <row r="678" spans="1:22" ht="15" customHeight="1" x14ac:dyDescent="0.35">
      <c r="A678" s="3" t="s">
        <v>1078</v>
      </c>
      <c r="B678" s="4">
        <v>45419</v>
      </c>
      <c r="C678" s="3" t="s">
        <v>907</v>
      </c>
      <c r="D678" s="3" t="s">
        <v>49</v>
      </c>
      <c r="E678" s="3" t="s">
        <v>37</v>
      </c>
      <c r="F678" s="5">
        <v>2</v>
      </c>
      <c r="G678" s="5">
        <v>370</v>
      </c>
      <c r="H678" s="5">
        <v>8.9</v>
      </c>
      <c r="I678" s="5">
        <v>674.14</v>
      </c>
      <c r="J678" s="3" t="s">
        <v>26</v>
      </c>
      <c r="K678" s="3" t="s">
        <v>38</v>
      </c>
      <c r="L678" t="str">
        <f>IFERROR(VLOOKUP(D678,Products!$A$2:$F$61,3,FALSE()),"")</f>
        <v>Home</v>
      </c>
      <c r="M678" t="str">
        <f>IFERROR(VLOOKUP(E678,Sales_Reps!$A$2:$C$31,3,FALSE()),"")</f>
        <v>South</v>
      </c>
      <c r="N678">
        <f>IFERROR(VLOOKUP(D678,Products!$A$2:$F$61,4,FALSE()),"")</f>
        <v>288</v>
      </c>
      <c r="O678" t="str">
        <f>IFERROR(VLOOKUP(C678,Customers!$A$2:$F$301,5,FALSE()),"")</f>
        <v>Retail</v>
      </c>
      <c r="P678">
        <f>IFERROR(VLOOKUP(C678,Customers!$A$2:$F$301,3,FALSE()),"")</f>
        <v>47</v>
      </c>
      <c r="Q678">
        <f t="shared" si="30"/>
        <v>0.22162162162162163</v>
      </c>
      <c r="R678">
        <f>IF(AND(COUNTIF($A$2:$A$2027,A678)&gt;1,COUNTIF($A$2:A678,A678)=1),1,0)</f>
        <v>0</v>
      </c>
      <c r="S678" t="b">
        <f>IFERROR(VLOOKUP(D678,Products!$A$2:$F$61,6,FALSE()),"")</f>
        <v>1</v>
      </c>
      <c r="T678" t="str">
        <f>IF(COUNTIF(Customers!$A$2:$A$301,C678)=0,"Missing","OK")</f>
        <v>OK</v>
      </c>
      <c r="U678" t="str">
        <f t="shared" si="31"/>
        <v>Delhi</v>
      </c>
      <c r="V678">
        <f t="shared" si="32"/>
        <v>0</v>
      </c>
    </row>
    <row r="679" spans="1:22" ht="15" customHeight="1" x14ac:dyDescent="0.35">
      <c r="A679" s="3" t="s">
        <v>1079</v>
      </c>
      <c r="B679" s="4">
        <v>45632</v>
      </c>
      <c r="C679" s="3" t="s">
        <v>664</v>
      </c>
      <c r="D679" s="3" t="s">
        <v>59</v>
      </c>
      <c r="E679" s="3" t="s">
        <v>25</v>
      </c>
      <c r="F679" s="5">
        <v>1</v>
      </c>
      <c r="G679" s="5">
        <v>1430</v>
      </c>
      <c r="H679" s="5">
        <v>5.9</v>
      </c>
      <c r="I679" s="5">
        <v>1345.63</v>
      </c>
      <c r="J679" s="3" t="s">
        <v>79</v>
      </c>
      <c r="K679" s="3" t="s">
        <v>38</v>
      </c>
      <c r="L679" t="str">
        <f>IFERROR(VLOOKUP(D679,Products!$A$2:$F$61,3,FALSE()),"")</f>
        <v>Electronics</v>
      </c>
      <c r="M679" t="str">
        <f>IFERROR(VLOOKUP(E679,Sales_Reps!$A$2:$C$31,3,FALSE()),"")</f>
        <v>North</v>
      </c>
      <c r="N679">
        <f>IFERROR(VLOOKUP(D679,Products!$A$2:$F$61,4,FALSE()),"")</f>
        <v>861</v>
      </c>
      <c r="O679" t="str">
        <f>IFERROR(VLOOKUP(C679,Customers!$A$2:$F$301,5,FALSE()),"")</f>
        <v>SMB</v>
      </c>
      <c r="P679">
        <f>IFERROR(VLOOKUP(C679,Customers!$A$2:$F$301,3,FALSE()),"")</f>
        <v>26</v>
      </c>
      <c r="Q679">
        <f t="shared" si="30"/>
        <v>0.39790209790209791</v>
      </c>
      <c r="R679">
        <f>IF(AND(COUNTIF($A$2:$A$2027,A679)&gt;1,COUNTIF($A$2:A679,A679)=1),1,0)</f>
        <v>0</v>
      </c>
      <c r="S679" t="b">
        <f>IFERROR(VLOOKUP(D679,Products!$A$2:$F$61,6,FALSE()),"")</f>
        <v>1</v>
      </c>
      <c r="T679" t="str">
        <f>IF(COUNTIF(Customers!$A$2:$A$301,C679)=0,"Missing","OK")</f>
        <v>OK</v>
      </c>
      <c r="U679" t="str">
        <f t="shared" si="31"/>
        <v>Delhi</v>
      </c>
      <c r="V679">
        <f t="shared" si="32"/>
        <v>0</v>
      </c>
    </row>
    <row r="680" spans="1:22" ht="15" customHeight="1" x14ac:dyDescent="0.35">
      <c r="A680" s="3" t="s">
        <v>1080</v>
      </c>
      <c r="B680" s="4">
        <v>45494</v>
      </c>
      <c r="C680" s="3" t="s">
        <v>776</v>
      </c>
      <c r="D680" s="3" t="s">
        <v>90</v>
      </c>
      <c r="E680" s="3" t="s">
        <v>109</v>
      </c>
      <c r="F680" s="5">
        <v>2</v>
      </c>
      <c r="G680" s="5">
        <v>2400</v>
      </c>
      <c r="H680" s="5">
        <v>29.1</v>
      </c>
      <c r="I680" s="5">
        <v>3403.2</v>
      </c>
      <c r="J680" s="3" t="s">
        <v>26</v>
      </c>
      <c r="K680" s="3" t="s">
        <v>56</v>
      </c>
      <c r="L680" t="str">
        <f>IFERROR(VLOOKUP(D680,Products!$A$2:$F$61,3,FALSE()),"")</f>
        <v>Sports</v>
      </c>
      <c r="M680" t="str">
        <f>IFERROR(VLOOKUP(E680,Sales_Reps!$A$2:$C$31,3,FALSE()),"")</f>
        <v>West</v>
      </c>
      <c r="N680">
        <f>IFERROR(VLOOKUP(D680,Products!$A$2:$F$61,4,FALSE()),"")</f>
        <v>974</v>
      </c>
      <c r="O680" t="str">
        <f>IFERROR(VLOOKUP(C680,Customers!$A$2:$F$301,5,FALSE()),"")</f>
        <v>Retail</v>
      </c>
      <c r="P680">
        <f>IFERROR(VLOOKUP(C680,Customers!$A$2:$F$301,3,FALSE()),"")</f>
        <v>37</v>
      </c>
      <c r="Q680">
        <f t="shared" si="30"/>
        <v>0.59416666666666662</v>
      </c>
      <c r="R680">
        <f>IF(AND(COUNTIF($A$2:$A$2027,A680)&gt;1,COUNTIF($A$2:A680,A680)=1),1,0)</f>
        <v>0</v>
      </c>
      <c r="S680" t="b">
        <f>IFERROR(VLOOKUP(D680,Products!$A$2:$F$61,6,FALSE()),"")</f>
        <v>1</v>
      </c>
      <c r="T680" t="str">
        <f>IF(COUNTIF(Customers!$A$2:$A$301,C680)=0,"Missing","OK")</f>
        <v>OK</v>
      </c>
      <c r="U680" t="str">
        <f t="shared" si="31"/>
        <v>Bengaluru</v>
      </c>
      <c r="V680">
        <f t="shared" si="32"/>
        <v>0</v>
      </c>
    </row>
    <row r="681" spans="1:22" ht="15" customHeight="1" x14ac:dyDescent="0.35">
      <c r="A681" s="3" t="s">
        <v>1081</v>
      </c>
      <c r="B681" s="4">
        <v>45337</v>
      </c>
      <c r="C681" s="3" t="s">
        <v>338</v>
      </c>
      <c r="D681" s="3" t="s">
        <v>59</v>
      </c>
      <c r="E681" s="3" t="s">
        <v>212</v>
      </c>
      <c r="F681" s="5">
        <v>9</v>
      </c>
      <c r="G681" s="5">
        <v>1430</v>
      </c>
      <c r="H681" s="5">
        <v>6</v>
      </c>
      <c r="I681" s="5">
        <v>12097.8</v>
      </c>
      <c r="J681" s="3" t="s">
        <v>26</v>
      </c>
      <c r="K681" s="3" t="s">
        <v>38</v>
      </c>
      <c r="L681" t="str">
        <f>IFERROR(VLOOKUP(D681,Products!$A$2:$F$61,3,FALSE()),"")</f>
        <v>Electronics</v>
      </c>
      <c r="M681" t="str">
        <f>IFERROR(VLOOKUP(E681,Sales_Reps!$A$2:$C$31,3,FALSE()),"")</f>
        <v>South</v>
      </c>
      <c r="N681">
        <f>IFERROR(VLOOKUP(D681,Products!$A$2:$F$61,4,FALSE()),"")</f>
        <v>861</v>
      </c>
      <c r="O681" t="str">
        <f>IFERROR(VLOOKUP(C681,Customers!$A$2:$F$301,5,FALSE()),"")</f>
        <v>SMB</v>
      </c>
      <c r="P681">
        <f>IFERROR(VLOOKUP(C681,Customers!$A$2:$F$301,3,FALSE()),"")</f>
        <v>53</v>
      </c>
      <c r="Q681">
        <f t="shared" si="30"/>
        <v>0.39790209790209791</v>
      </c>
      <c r="R681">
        <f>IF(AND(COUNTIF($A$2:$A$2027,A681)&gt;1,COUNTIF($A$2:A681,A681)=1),1,0)</f>
        <v>0</v>
      </c>
      <c r="S681" t="b">
        <f>IFERROR(VLOOKUP(D681,Products!$A$2:$F$61,6,FALSE()),"")</f>
        <v>1</v>
      </c>
      <c r="T681" t="str">
        <f>IF(COUNTIF(Customers!$A$2:$A$301,C681)=0,"Missing","OK")</f>
        <v>OK</v>
      </c>
      <c r="U681" t="str">
        <f t="shared" si="31"/>
        <v>Delhi</v>
      </c>
      <c r="V681">
        <f t="shared" si="32"/>
        <v>0</v>
      </c>
    </row>
    <row r="682" spans="1:22" ht="15" customHeight="1" x14ac:dyDescent="0.35">
      <c r="A682" s="3" t="s">
        <v>1082</v>
      </c>
      <c r="B682" s="4">
        <v>45510</v>
      </c>
      <c r="C682" s="3" t="s">
        <v>534</v>
      </c>
      <c r="D682" s="3" t="s">
        <v>112</v>
      </c>
      <c r="E682" s="3" t="s">
        <v>25</v>
      </c>
      <c r="F682" s="5">
        <v>8</v>
      </c>
      <c r="G682" s="5">
        <v>2720</v>
      </c>
      <c r="H682" s="5">
        <v>25.7</v>
      </c>
      <c r="I682" s="5">
        <v>16167.68</v>
      </c>
      <c r="J682" s="3" t="s">
        <v>26</v>
      </c>
      <c r="K682" s="3" t="s">
        <v>38</v>
      </c>
      <c r="L682" t="str">
        <f>IFERROR(VLOOKUP(D682,Products!$A$2:$F$61,3,FALSE()),"")</f>
        <v>Apparel</v>
      </c>
      <c r="M682" t="str">
        <f>IFERROR(VLOOKUP(E682,Sales_Reps!$A$2:$C$31,3,FALSE()),"")</f>
        <v>North</v>
      </c>
      <c r="N682">
        <f>IFERROR(VLOOKUP(D682,Products!$A$2:$F$61,4,FALSE()),"")</f>
        <v>1962</v>
      </c>
      <c r="O682" t="str">
        <f>IFERROR(VLOOKUP(C682,Customers!$A$2:$F$301,5,FALSE()),"")</f>
        <v>SMB</v>
      </c>
      <c r="P682">
        <f>IFERROR(VLOOKUP(C682,Customers!$A$2:$F$301,3,FALSE()),"")</f>
        <v>48</v>
      </c>
      <c r="Q682">
        <f t="shared" si="30"/>
        <v>0.2786764705882353</v>
      </c>
      <c r="R682">
        <f>IF(AND(COUNTIF($A$2:$A$2027,A682)&gt;1,COUNTIF($A$2:A682,A682)=1),1,0)</f>
        <v>0</v>
      </c>
      <c r="S682" t="b">
        <f>IFERROR(VLOOKUP(D682,Products!$A$2:$F$61,6,FALSE()),"")</f>
        <v>1</v>
      </c>
      <c r="T682" t="str">
        <f>IF(COUNTIF(Customers!$A$2:$A$301,C682)=0,"Missing","OK")</f>
        <v>OK</v>
      </c>
      <c r="U682" t="str">
        <f t="shared" si="31"/>
        <v>Delhi</v>
      </c>
      <c r="V682">
        <f t="shared" si="32"/>
        <v>0</v>
      </c>
    </row>
    <row r="683" spans="1:22" ht="15" customHeight="1" x14ac:dyDescent="0.35">
      <c r="A683" s="3" t="s">
        <v>1083</v>
      </c>
      <c r="B683" s="4">
        <v>45572</v>
      </c>
      <c r="C683" s="3" t="s">
        <v>656</v>
      </c>
      <c r="D683" s="3" t="s">
        <v>454</v>
      </c>
      <c r="E683" s="3" t="s">
        <v>282</v>
      </c>
      <c r="F683" s="5">
        <v>6</v>
      </c>
      <c r="G683" s="5">
        <v>6940</v>
      </c>
      <c r="H683" s="5">
        <v>25.7</v>
      </c>
      <c r="I683" s="5">
        <v>30938.52</v>
      </c>
      <c r="J683" s="3" t="s">
        <v>26</v>
      </c>
      <c r="K683" s="3" t="s">
        <v>33</v>
      </c>
      <c r="L683" t="str">
        <f>IFERROR(VLOOKUP(D683,Products!$A$2:$F$61,3,FALSE()),"")</f>
        <v>Sports</v>
      </c>
      <c r="M683" t="str">
        <f>IFERROR(VLOOKUP(E683,Sales_Reps!$A$2:$C$31,3,FALSE()),"")</f>
        <v>West</v>
      </c>
      <c r="N683">
        <f>IFERROR(VLOOKUP(D683,Products!$A$2:$F$61,4,FALSE()),"")</f>
        <v>2827</v>
      </c>
      <c r="O683" t="str">
        <f>IFERROR(VLOOKUP(C683,Customers!$A$2:$F$301,5,FALSE()),"")</f>
        <v>Retail</v>
      </c>
      <c r="P683">
        <f>IFERROR(VLOOKUP(C683,Customers!$A$2:$F$301,3,FALSE()),"")</f>
        <v>24</v>
      </c>
      <c r="Q683">
        <f t="shared" si="30"/>
        <v>0.5926512968299712</v>
      </c>
      <c r="R683">
        <f>IF(AND(COUNTIF($A$2:$A$2027,A683)&gt;1,COUNTIF($A$2:A683,A683)=1),1,0)</f>
        <v>0</v>
      </c>
      <c r="S683" t="b">
        <f>IFERROR(VLOOKUP(D683,Products!$A$2:$F$61,6,FALSE()),"")</f>
        <v>1</v>
      </c>
      <c r="T683" t="str">
        <f>IF(COUNTIF(Customers!$A$2:$A$301,C683)=0,"Missing","OK")</f>
        <v>OK</v>
      </c>
      <c r="U683" t="str">
        <f t="shared" si="31"/>
        <v>Chennai</v>
      </c>
      <c r="V683">
        <f t="shared" si="32"/>
        <v>0</v>
      </c>
    </row>
    <row r="684" spans="1:22" ht="15" customHeight="1" x14ac:dyDescent="0.35">
      <c r="A684" s="3" t="s">
        <v>1084</v>
      </c>
      <c r="B684" s="4">
        <v>45472</v>
      </c>
      <c r="C684" s="3" t="s">
        <v>707</v>
      </c>
      <c r="D684" s="3" t="s">
        <v>24</v>
      </c>
      <c r="E684" s="3" t="s">
        <v>25</v>
      </c>
      <c r="F684" s="5">
        <v>3</v>
      </c>
      <c r="G684" s="5">
        <v>3620</v>
      </c>
      <c r="H684" s="5">
        <v>29.7</v>
      </c>
      <c r="I684" s="5">
        <v>7634.58</v>
      </c>
      <c r="J684" s="3" t="s">
        <v>26</v>
      </c>
      <c r="K684" s="3" t="s">
        <v>27</v>
      </c>
      <c r="L684" t="str">
        <f>IFERROR(VLOOKUP(D684,Products!$A$2:$F$61,3,FALSE()),"")</f>
        <v>Apparel</v>
      </c>
      <c r="M684" t="str">
        <f>IFERROR(VLOOKUP(E684,Sales_Reps!$A$2:$C$31,3,FALSE()),"")</f>
        <v>North</v>
      </c>
      <c r="N684">
        <f>IFERROR(VLOOKUP(D684,Products!$A$2:$F$61,4,FALSE()),"")</f>
        <v>2509</v>
      </c>
      <c r="O684" t="str">
        <f>IFERROR(VLOOKUP(C684,Customers!$A$2:$F$301,5,FALSE()),"")</f>
        <v>Corporate</v>
      </c>
      <c r="P684">
        <f>IFERROR(VLOOKUP(C684,Customers!$A$2:$F$301,3,FALSE()),"")</f>
        <v>42</v>
      </c>
      <c r="Q684">
        <f t="shared" si="30"/>
        <v>0.3069060773480663</v>
      </c>
      <c r="R684">
        <f>IF(AND(COUNTIF($A$2:$A$2027,A684)&gt;1,COUNTIF($A$2:A684,A684)=1),1,0)</f>
        <v>0</v>
      </c>
      <c r="S684" t="b">
        <f>IFERROR(VLOOKUP(D684,Products!$A$2:$F$61,6,FALSE()),"")</f>
        <v>1</v>
      </c>
      <c r="T684" t="str">
        <f>IF(COUNTIF(Customers!$A$2:$A$301,C684)=0,"Missing","OK")</f>
        <v>OK</v>
      </c>
      <c r="U684" t="str">
        <f t="shared" si="31"/>
        <v>Pune</v>
      </c>
      <c r="V684">
        <f t="shared" si="32"/>
        <v>0</v>
      </c>
    </row>
    <row r="685" spans="1:22" ht="15" customHeight="1" x14ac:dyDescent="0.35">
      <c r="A685" s="3" t="s">
        <v>1085</v>
      </c>
      <c r="B685" s="4">
        <v>45615</v>
      </c>
      <c r="C685" s="3" t="s">
        <v>317</v>
      </c>
      <c r="D685" s="3" t="s">
        <v>74</v>
      </c>
      <c r="E685" s="3" t="s">
        <v>50</v>
      </c>
      <c r="F685" s="5">
        <v>8</v>
      </c>
      <c r="G685" s="5">
        <v>2640</v>
      </c>
      <c r="H685" s="5">
        <v>24.4</v>
      </c>
      <c r="I685" s="5">
        <v>15966.72</v>
      </c>
      <c r="J685" s="3" t="s">
        <v>26</v>
      </c>
      <c r="K685" s="3" t="s">
        <v>33</v>
      </c>
      <c r="L685" t="str">
        <f>IFERROR(VLOOKUP(D685,Products!$A$2:$F$61,3,FALSE()),"")</f>
        <v>Electronics</v>
      </c>
      <c r="M685" t="str">
        <f>IFERROR(VLOOKUP(E685,Sales_Reps!$A$2:$C$31,3,FALSE()),"")</f>
        <v>West</v>
      </c>
      <c r="N685">
        <f>IFERROR(VLOOKUP(D685,Products!$A$2:$F$61,4,FALSE()),"")</f>
        <v>1149</v>
      </c>
      <c r="O685" t="str">
        <f>IFERROR(VLOOKUP(C685,Customers!$A$2:$F$301,5,FALSE()),"")</f>
        <v>SMB</v>
      </c>
      <c r="P685">
        <f>IFERROR(VLOOKUP(C685,Customers!$A$2:$F$301,3,FALSE()),"")</f>
        <v>53</v>
      </c>
      <c r="Q685">
        <f t="shared" si="30"/>
        <v>0.56477272727272732</v>
      </c>
      <c r="R685">
        <f>IF(AND(COUNTIF($A$2:$A$2027,A685)&gt;1,COUNTIF($A$2:A685,A685)=1),1,0)</f>
        <v>0</v>
      </c>
      <c r="S685" t="b">
        <f>IFERROR(VLOOKUP(D685,Products!$A$2:$F$61,6,FALSE()),"")</f>
        <v>1</v>
      </c>
      <c r="T685" t="str">
        <f>IF(COUNTIF(Customers!$A$2:$A$301,C685)=0,"Missing","OK")</f>
        <v>OK</v>
      </c>
      <c r="U685" t="str">
        <f t="shared" si="31"/>
        <v>Chennai</v>
      </c>
      <c r="V685">
        <f t="shared" si="32"/>
        <v>0</v>
      </c>
    </row>
    <row r="686" spans="1:22" ht="15" customHeight="1" x14ac:dyDescent="0.35">
      <c r="A686" s="3" t="s">
        <v>1086</v>
      </c>
      <c r="B686" s="4">
        <v>45349</v>
      </c>
      <c r="C686" s="3" t="s">
        <v>668</v>
      </c>
      <c r="D686" s="3" t="s">
        <v>63</v>
      </c>
      <c r="E686" s="3" t="s">
        <v>42</v>
      </c>
      <c r="F686" s="5">
        <v>3</v>
      </c>
      <c r="G686" s="5">
        <v>5490</v>
      </c>
      <c r="H686" s="5">
        <v>13.5</v>
      </c>
      <c r="I686" s="5">
        <v>14246.55</v>
      </c>
      <c r="J686" s="3" t="s">
        <v>26</v>
      </c>
      <c r="K686" s="3" t="s">
        <v>51</v>
      </c>
      <c r="L686" t="str">
        <f>IFERROR(VLOOKUP(D686,Products!$A$2:$F$61,3,FALSE()),"")</f>
        <v>Home</v>
      </c>
      <c r="M686" t="str">
        <f>IFERROR(VLOOKUP(E686,Sales_Reps!$A$2:$C$31,3,FALSE()),"")</f>
        <v>North</v>
      </c>
      <c r="N686">
        <f>IFERROR(VLOOKUP(D686,Products!$A$2:$F$61,4,FALSE()),"")</f>
        <v>2549</v>
      </c>
      <c r="O686" t="str">
        <f>IFERROR(VLOOKUP(C686,Customers!$A$2:$F$301,5,FALSE()),"")</f>
        <v>Retail</v>
      </c>
      <c r="P686">
        <f>IFERROR(VLOOKUP(C686,Customers!$A$2:$F$301,3,FALSE()),"")</f>
        <v>56</v>
      </c>
      <c r="Q686">
        <f t="shared" si="30"/>
        <v>0.53570127504553733</v>
      </c>
      <c r="R686">
        <f>IF(AND(COUNTIF($A$2:$A$2027,A686)&gt;1,COUNTIF($A$2:A686,A686)=1),1,0)</f>
        <v>0</v>
      </c>
      <c r="S686" t="b">
        <f>IFERROR(VLOOKUP(D686,Products!$A$2:$F$61,6,FALSE()),"")</f>
        <v>1</v>
      </c>
      <c r="T686" t="str">
        <f>IF(COUNTIF(Customers!$A$2:$A$301,C686)=0,"Missing","OK")</f>
        <v>OK</v>
      </c>
      <c r="U686" t="str">
        <f t="shared" si="31"/>
        <v>Mumbai</v>
      </c>
      <c r="V686">
        <f t="shared" si="32"/>
        <v>0</v>
      </c>
    </row>
    <row r="687" spans="1:22" ht="15" customHeight="1" x14ac:dyDescent="0.35">
      <c r="A687" s="3" t="s">
        <v>1087</v>
      </c>
      <c r="B687" s="4">
        <v>45413</v>
      </c>
      <c r="C687" s="3" t="s">
        <v>81</v>
      </c>
      <c r="D687" s="3" t="s">
        <v>382</v>
      </c>
      <c r="E687" s="3" t="s">
        <v>177</v>
      </c>
      <c r="F687" s="5">
        <v>3</v>
      </c>
      <c r="G687" s="5">
        <v>5080</v>
      </c>
      <c r="H687" s="5">
        <v>9.3000000000000007</v>
      </c>
      <c r="I687" s="5">
        <v>13822.68</v>
      </c>
      <c r="J687" s="3" t="s">
        <v>26</v>
      </c>
      <c r="K687" s="3" t="s">
        <v>27</v>
      </c>
      <c r="L687" t="str">
        <f>IFERROR(VLOOKUP(D687,Products!$A$2:$F$61,3,FALSE()),"")</f>
        <v>Home</v>
      </c>
      <c r="M687" t="str">
        <f>IFERROR(VLOOKUP(E687,Sales_Reps!$A$2:$C$31,3,FALSE()),"")</f>
        <v>East</v>
      </c>
      <c r="N687">
        <f>IFERROR(VLOOKUP(D687,Products!$A$2:$F$61,4,FALSE()),"")</f>
        <v>2459</v>
      </c>
      <c r="O687" t="str">
        <f>IFERROR(VLOOKUP(C687,Customers!$A$2:$F$301,5,FALSE()),"")</f>
        <v>SMB</v>
      </c>
      <c r="P687">
        <f>IFERROR(VLOOKUP(C687,Customers!$A$2:$F$301,3,FALSE()),"")</f>
        <v>39</v>
      </c>
      <c r="Q687">
        <f t="shared" si="30"/>
        <v>0.51594488188976373</v>
      </c>
      <c r="R687">
        <f>IF(AND(COUNTIF($A$2:$A$2027,A687)&gt;1,COUNTIF($A$2:A687,A687)=1),1,0)</f>
        <v>0</v>
      </c>
      <c r="S687" t="b">
        <f>IFERROR(VLOOKUP(D687,Products!$A$2:$F$61,6,FALSE()),"")</f>
        <v>1</v>
      </c>
      <c r="T687" t="str">
        <f>IF(COUNTIF(Customers!$A$2:$A$301,C687)=0,"Missing","OK")</f>
        <v>OK</v>
      </c>
      <c r="U687" t="str">
        <f t="shared" si="31"/>
        <v>Pune</v>
      </c>
      <c r="V687">
        <f t="shared" si="32"/>
        <v>0</v>
      </c>
    </row>
    <row r="688" spans="1:22" ht="15" customHeight="1" x14ac:dyDescent="0.35">
      <c r="A688" s="3" t="s">
        <v>1088</v>
      </c>
      <c r="B688" s="4">
        <v>45515</v>
      </c>
      <c r="C688" s="3" t="s">
        <v>333</v>
      </c>
      <c r="D688" s="3" t="s">
        <v>325</v>
      </c>
      <c r="E688" s="3" t="s">
        <v>109</v>
      </c>
      <c r="F688" s="5">
        <v>4</v>
      </c>
      <c r="G688" s="5">
        <v>2290</v>
      </c>
      <c r="H688" s="5">
        <v>24.4</v>
      </c>
      <c r="I688" s="5">
        <v>6924.96</v>
      </c>
      <c r="J688" s="3" t="s">
        <v>26</v>
      </c>
      <c r="K688" s="3" t="s">
        <v>56</v>
      </c>
      <c r="L688" t="str">
        <f>IFERROR(VLOOKUP(D688,Products!$A$2:$F$61,3,FALSE()),"")</f>
        <v>Beauty</v>
      </c>
      <c r="M688" t="str">
        <f>IFERROR(VLOOKUP(E688,Sales_Reps!$A$2:$C$31,3,FALSE()),"")</f>
        <v>West</v>
      </c>
      <c r="N688">
        <f>IFERROR(VLOOKUP(D688,Products!$A$2:$F$61,4,FALSE()),"")</f>
        <v>1219</v>
      </c>
      <c r="O688" t="str">
        <f>IFERROR(VLOOKUP(C688,Customers!$A$2:$F$301,5,FALSE()),"")</f>
        <v>SMB</v>
      </c>
      <c r="P688">
        <f>IFERROR(VLOOKUP(C688,Customers!$A$2:$F$301,3,FALSE()),"")</f>
        <v>28</v>
      </c>
      <c r="Q688">
        <f t="shared" si="30"/>
        <v>0.46768558951965067</v>
      </c>
      <c r="R688">
        <f>IF(AND(COUNTIF($A$2:$A$2027,A688)&gt;1,COUNTIF($A$2:A688,A688)=1),1,0)</f>
        <v>0</v>
      </c>
      <c r="S688" t="b">
        <f>IFERROR(VLOOKUP(D688,Products!$A$2:$F$61,6,FALSE()),"")</f>
        <v>1</v>
      </c>
      <c r="T688" t="str">
        <f>IF(COUNTIF(Customers!$A$2:$A$301,C688)=0,"Missing","OK")</f>
        <v>OK</v>
      </c>
      <c r="U688" t="str">
        <f t="shared" si="31"/>
        <v>Bengaluru</v>
      </c>
      <c r="V688">
        <f t="shared" si="32"/>
        <v>0</v>
      </c>
    </row>
    <row r="689" spans="1:22" ht="15" customHeight="1" x14ac:dyDescent="0.35">
      <c r="A689" s="3" t="s">
        <v>1089</v>
      </c>
      <c r="B689" s="4">
        <v>45463</v>
      </c>
      <c r="C689" s="3" t="s">
        <v>352</v>
      </c>
      <c r="D689" s="3" t="s">
        <v>234</v>
      </c>
      <c r="E689" s="3" t="s">
        <v>212</v>
      </c>
      <c r="F689" s="5">
        <v>10</v>
      </c>
      <c r="G689" s="5">
        <v>2030</v>
      </c>
      <c r="H689" s="5">
        <v>13.6</v>
      </c>
      <c r="I689" s="5">
        <v>17539.2</v>
      </c>
      <c r="J689" s="3" t="s">
        <v>32</v>
      </c>
      <c r="K689" s="3" t="s">
        <v>27</v>
      </c>
      <c r="L689" t="str">
        <f>IFERROR(VLOOKUP(D689,Products!$A$2:$F$61,3,FALSE()),"")</f>
        <v>Home</v>
      </c>
      <c r="M689" t="str">
        <f>IFERROR(VLOOKUP(E689,Sales_Reps!$A$2:$C$31,3,FALSE()),"")</f>
        <v>South</v>
      </c>
      <c r="N689">
        <f>IFERROR(VLOOKUP(D689,Products!$A$2:$F$61,4,FALSE()),"")</f>
        <v>1143</v>
      </c>
      <c r="O689" t="str">
        <f>IFERROR(VLOOKUP(C689,Customers!$A$2:$F$301,5,FALSE()),"")</f>
        <v>Retail</v>
      </c>
      <c r="P689">
        <f>IFERROR(VLOOKUP(C689,Customers!$A$2:$F$301,3,FALSE()),"")</f>
        <v>22</v>
      </c>
      <c r="Q689">
        <f t="shared" si="30"/>
        <v>0.43694581280788175</v>
      </c>
      <c r="R689">
        <f>IF(AND(COUNTIF($A$2:$A$2027,A689)&gt;1,COUNTIF($A$2:A689,A689)=1),1,0)</f>
        <v>0</v>
      </c>
      <c r="S689" t="b">
        <f>IFERROR(VLOOKUP(D689,Products!$A$2:$F$61,6,FALSE()),"")</f>
        <v>1</v>
      </c>
      <c r="T689" t="str">
        <f>IF(COUNTIF(Customers!$A$2:$A$301,C689)=0,"Missing","OK")</f>
        <v>OK</v>
      </c>
      <c r="U689" t="str">
        <f t="shared" si="31"/>
        <v>Pune</v>
      </c>
      <c r="V689">
        <f t="shared" si="32"/>
        <v>0</v>
      </c>
    </row>
    <row r="690" spans="1:22" ht="15" customHeight="1" x14ac:dyDescent="0.35">
      <c r="A690" s="3" t="s">
        <v>1090</v>
      </c>
      <c r="B690" s="4">
        <v>45607</v>
      </c>
      <c r="C690" s="3" t="s">
        <v>504</v>
      </c>
      <c r="D690" s="3" t="s">
        <v>59</v>
      </c>
      <c r="E690" s="3" t="s">
        <v>264</v>
      </c>
      <c r="F690" s="5">
        <v>10</v>
      </c>
      <c r="G690" s="5">
        <v>1430</v>
      </c>
      <c r="H690" s="5">
        <v>16.100000000000001</v>
      </c>
      <c r="I690" s="5">
        <v>11997.7</v>
      </c>
      <c r="J690" s="3" t="s">
        <v>79</v>
      </c>
      <c r="K690" s="3" t="s">
        <v>51</v>
      </c>
      <c r="L690" t="str">
        <f>IFERROR(VLOOKUP(D690,Products!$A$2:$F$61,3,FALSE()),"")</f>
        <v>Electronics</v>
      </c>
      <c r="M690" t="str">
        <f>IFERROR(VLOOKUP(E690,Sales_Reps!$A$2:$C$31,3,FALSE()),"")</f>
        <v>South</v>
      </c>
      <c r="N690">
        <f>IFERROR(VLOOKUP(D690,Products!$A$2:$F$61,4,FALSE()),"")</f>
        <v>861</v>
      </c>
      <c r="O690" t="str">
        <f>IFERROR(VLOOKUP(C690,Customers!$A$2:$F$301,5,FALSE()),"")</f>
        <v>SMB</v>
      </c>
      <c r="P690">
        <f>IFERROR(VLOOKUP(C690,Customers!$A$2:$F$301,3,FALSE()),"")</f>
        <v>61</v>
      </c>
      <c r="Q690">
        <f t="shared" si="30"/>
        <v>0.39790209790209791</v>
      </c>
      <c r="R690">
        <f>IF(AND(COUNTIF($A$2:$A$2027,A690)&gt;1,COUNTIF($A$2:A690,A690)=1),1,0)</f>
        <v>0</v>
      </c>
      <c r="S690" t="b">
        <f>IFERROR(VLOOKUP(D690,Products!$A$2:$F$61,6,FALSE()),"")</f>
        <v>1</v>
      </c>
      <c r="T690" t="str">
        <f>IF(COUNTIF(Customers!$A$2:$A$301,C690)=0,"Missing","OK")</f>
        <v>OK</v>
      </c>
      <c r="U690" t="str">
        <f t="shared" si="31"/>
        <v>Mumbai</v>
      </c>
      <c r="V690">
        <f t="shared" si="32"/>
        <v>0</v>
      </c>
    </row>
    <row r="691" spans="1:22" ht="15" customHeight="1" x14ac:dyDescent="0.35">
      <c r="A691" s="3" t="s">
        <v>1091</v>
      </c>
      <c r="B691" s="4">
        <v>45357</v>
      </c>
      <c r="C691" s="3" t="s">
        <v>1001</v>
      </c>
      <c r="D691" s="3" t="s">
        <v>173</v>
      </c>
      <c r="E691" s="3" t="s">
        <v>143</v>
      </c>
      <c r="F691" s="5">
        <v>1</v>
      </c>
      <c r="G691" s="5">
        <v>3780</v>
      </c>
      <c r="H691" s="5">
        <v>22.7</v>
      </c>
      <c r="I691" s="5">
        <v>2921.94</v>
      </c>
      <c r="J691" s="3" t="s">
        <v>26</v>
      </c>
      <c r="K691" s="3" t="s">
        <v>51</v>
      </c>
      <c r="L691" t="str">
        <f>IFERROR(VLOOKUP(D691,Products!$A$2:$F$61,3,FALSE()),"")</f>
        <v>Grocery</v>
      </c>
      <c r="M691" t="str">
        <f>IFERROR(VLOOKUP(E691,Sales_Reps!$A$2:$C$31,3,FALSE()),"")</f>
        <v>South</v>
      </c>
      <c r="N691">
        <f>IFERROR(VLOOKUP(D691,Products!$A$2:$F$61,4,FALSE()),"")</f>
        <v>2436</v>
      </c>
      <c r="O691" t="str">
        <f>IFERROR(VLOOKUP(C691,Customers!$A$2:$F$301,5,FALSE()),"")</f>
        <v>SMB</v>
      </c>
      <c r="P691">
        <f>IFERROR(VLOOKUP(C691,Customers!$A$2:$F$301,3,FALSE()),"")</f>
        <v>54</v>
      </c>
      <c r="Q691">
        <f t="shared" si="30"/>
        <v>0.35555555555555557</v>
      </c>
      <c r="R691">
        <f>IF(AND(COUNTIF($A$2:$A$2027,A691)&gt;1,COUNTIF($A$2:A691,A691)=1),1,0)</f>
        <v>0</v>
      </c>
      <c r="S691" t="b">
        <f>IFERROR(VLOOKUP(D691,Products!$A$2:$F$61,6,FALSE()),"")</f>
        <v>1</v>
      </c>
      <c r="T691" t="str">
        <f>IF(COUNTIF(Customers!$A$2:$A$301,C691)=0,"Missing","OK")</f>
        <v>OK</v>
      </c>
      <c r="U691" t="str">
        <f t="shared" si="31"/>
        <v>Mumbai</v>
      </c>
      <c r="V691">
        <f t="shared" si="32"/>
        <v>0</v>
      </c>
    </row>
    <row r="692" spans="1:22" ht="15" customHeight="1" x14ac:dyDescent="0.35">
      <c r="A692" s="3" t="s">
        <v>1092</v>
      </c>
      <c r="B692" s="4">
        <v>45443</v>
      </c>
      <c r="C692" s="3" t="s">
        <v>331</v>
      </c>
      <c r="D692" s="3" t="s">
        <v>45</v>
      </c>
      <c r="E692" s="3" t="s">
        <v>97</v>
      </c>
      <c r="F692" s="5">
        <v>10</v>
      </c>
      <c r="G692" s="5">
        <v>3160</v>
      </c>
      <c r="H692" s="5">
        <v>13.4</v>
      </c>
      <c r="I692" s="5">
        <v>27365.599999999999</v>
      </c>
      <c r="J692" s="3" t="s">
        <v>26</v>
      </c>
      <c r="K692" s="3" t="s">
        <v>51</v>
      </c>
      <c r="L692" t="str">
        <f>IFERROR(VLOOKUP(D692,Products!$A$2:$F$61,3,FALSE()),"")</f>
        <v>Apparel</v>
      </c>
      <c r="M692" t="str">
        <f>IFERROR(VLOOKUP(E692,Sales_Reps!$A$2:$C$31,3,FALSE()),"")</f>
        <v>East</v>
      </c>
      <c r="N692">
        <f>IFERROR(VLOOKUP(D692,Products!$A$2:$F$61,4,FALSE()),"")</f>
        <v>1886</v>
      </c>
      <c r="O692" t="str">
        <f>IFERROR(VLOOKUP(C692,Customers!$A$2:$F$301,5,FALSE()),"")</f>
        <v>Retail</v>
      </c>
      <c r="P692">
        <f>IFERROR(VLOOKUP(C692,Customers!$A$2:$F$301,3,FALSE()),"")</f>
        <v>50</v>
      </c>
      <c r="Q692">
        <f t="shared" si="30"/>
        <v>0.4031645569620253</v>
      </c>
      <c r="R692">
        <f>IF(AND(COUNTIF($A$2:$A$2027,A692)&gt;1,COUNTIF($A$2:A692,A692)=1),1,0)</f>
        <v>0</v>
      </c>
      <c r="S692" t="b">
        <f>IFERROR(VLOOKUP(D692,Products!$A$2:$F$61,6,FALSE()),"")</f>
        <v>1</v>
      </c>
      <c r="T692" t="str">
        <f>IF(COUNTIF(Customers!$A$2:$A$301,C692)=0,"Missing","OK")</f>
        <v>OK</v>
      </c>
      <c r="U692" t="str">
        <f t="shared" si="31"/>
        <v>Mumbai</v>
      </c>
      <c r="V692">
        <f t="shared" si="32"/>
        <v>0</v>
      </c>
    </row>
    <row r="693" spans="1:22" ht="15" customHeight="1" x14ac:dyDescent="0.35">
      <c r="A693" s="3" t="s">
        <v>1093</v>
      </c>
      <c r="B693" s="4">
        <v>45422</v>
      </c>
      <c r="C693" s="3" t="s">
        <v>381</v>
      </c>
      <c r="D693" s="3" t="s">
        <v>59</v>
      </c>
      <c r="E693" s="3" t="s">
        <v>87</v>
      </c>
      <c r="F693" s="5">
        <v>2</v>
      </c>
      <c r="G693" s="5">
        <v>1430</v>
      </c>
      <c r="H693" s="5">
        <v>7.4</v>
      </c>
      <c r="I693" s="5">
        <v>2648.36</v>
      </c>
      <c r="J693" s="3" t="s">
        <v>26</v>
      </c>
      <c r="K693" s="3" t="s">
        <v>27</v>
      </c>
      <c r="L693" t="str">
        <f>IFERROR(VLOOKUP(D693,Products!$A$2:$F$61,3,FALSE()),"")</f>
        <v>Electronics</v>
      </c>
      <c r="M693" t="str">
        <f>IFERROR(VLOOKUP(E693,Sales_Reps!$A$2:$C$31,3,FALSE()),"")</f>
        <v>North</v>
      </c>
      <c r="N693">
        <f>IFERROR(VLOOKUP(D693,Products!$A$2:$F$61,4,FALSE()),"")</f>
        <v>861</v>
      </c>
      <c r="O693" t="str">
        <f>IFERROR(VLOOKUP(C693,Customers!$A$2:$F$301,5,FALSE()),"")</f>
        <v>Retail</v>
      </c>
      <c r="P693">
        <f>IFERROR(VLOOKUP(C693,Customers!$A$2:$F$301,3,FALSE()),"")</f>
        <v>65</v>
      </c>
      <c r="Q693">
        <f t="shared" si="30"/>
        <v>0.39790209790209791</v>
      </c>
      <c r="R693">
        <f>IF(AND(COUNTIF($A$2:$A$2027,A693)&gt;1,COUNTIF($A$2:A693,A693)=1),1,0)</f>
        <v>0</v>
      </c>
      <c r="S693" t="b">
        <f>IFERROR(VLOOKUP(D693,Products!$A$2:$F$61,6,FALSE()),"")</f>
        <v>1</v>
      </c>
      <c r="T693" t="str">
        <f>IF(COUNTIF(Customers!$A$2:$A$301,C693)=0,"Missing","OK")</f>
        <v>OK</v>
      </c>
      <c r="U693" t="str">
        <f t="shared" si="31"/>
        <v>Pune</v>
      </c>
      <c r="V693">
        <f t="shared" si="32"/>
        <v>0</v>
      </c>
    </row>
    <row r="694" spans="1:22" ht="15" customHeight="1" x14ac:dyDescent="0.35">
      <c r="A694" s="3" t="s">
        <v>1094</v>
      </c>
      <c r="B694" s="4">
        <v>45640</v>
      </c>
      <c r="C694" s="3" t="s">
        <v>170</v>
      </c>
      <c r="D694" s="3" t="s">
        <v>45</v>
      </c>
      <c r="E694" s="3" t="s">
        <v>42</v>
      </c>
      <c r="F694" s="5">
        <v>5</v>
      </c>
      <c r="G694" s="5">
        <v>3160</v>
      </c>
      <c r="H694" s="5">
        <v>3.6</v>
      </c>
      <c r="I694" s="5">
        <v>15231.2</v>
      </c>
      <c r="J694" s="3" t="s">
        <v>32</v>
      </c>
      <c r="K694" s="3" t="s">
        <v>56</v>
      </c>
      <c r="L694" t="str">
        <f>IFERROR(VLOOKUP(D694,Products!$A$2:$F$61,3,FALSE()),"")</f>
        <v>Apparel</v>
      </c>
      <c r="M694" t="str">
        <f>IFERROR(VLOOKUP(E694,Sales_Reps!$A$2:$C$31,3,FALSE()),"")</f>
        <v>North</v>
      </c>
      <c r="N694">
        <f>IFERROR(VLOOKUP(D694,Products!$A$2:$F$61,4,FALSE()),"")</f>
        <v>1886</v>
      </c>
      <c r="O694" t="str">
        <f>IFERROR(VLOOKUP(C694,Customers!$A$2:$F$301,5,FALSE()),"")</f>
        <v>SMB</v>
      </c>
      <c r="P694">
        <f>IFERROR(VLOOKUP(C694,Customers!$A$2:$F$301,3,FALSE()),"")</f>
        <v>64</v>
      </c>
      <c r="Q694">
        <f t="shared" si="30"/>
        <v>0.4031645569620253</v>
      </c>
      <c r="R694">
        <f>IF(AND(COUNTIF($A$2:$A$2027,A694)&gt;1,COUNTIF($A$2:A694,A694)=1),1,0)</f>
        <v>0</v>
      </c>
      <c r="S694" t="b">
        <f>IFERROR(VLOOKUP(D694,Products!$A$2:$F$61,6,FALSE()),"")</f>
        <v>1</v>
      </c>
      <c r="T694" t="str">
        <f>IF(COUNTIF(Customers!$A$2:$A$301,C694)=0,"Missing","OK")</f>
        <v>OK</v>
      </c>
      <c r="U694" t="str">
        <f t="shared" si="31"/>
        <v>Bengaluru</v>
      </c>
      <c r="V694">
        <f t="shared" si="32"/>
        <v>0</v>
      </c>
    </row>
    <row r="695" spans="1:22" ht="15" customHeight="1" x14ac:dyDescent="0.35">
      <c r="A695" s="3" t="s">
        <v>1095</v>
      </c>
      <c r="B695" s="4">
        <v>45521</v>
      </c>
      <c r="C695" s="3" t="s">
        <v>746</v>
      </c>
      <c r="D695" s="3" t="s">
        <v>325</v>
      </c>
      <c r="E695" s="3" t="s">
        <v>78</v>
      </c>
      <c r="F695" s="5">
        <v>2</v>
      </c>
      <c r="G695" s="5">
        <v>2290</v>
      </c>
      <c r="H695" s="5">
        <v>28.2</v>
      </c>
      <c r="I695" s="5">
        <v>3288.44</v>
      </c>
      <c r="J695" s="3" t="s">
        <v>26</v>
      </c>
      <c r="K695" s="3" t="s">
        <v>27</v>
      </c>
      <c r="L695" t="str">
        <f>IFERROR(VLOOKUP(D695,Products!$A$2:$F$61,3,FALSE()),"")</f>
        <v>Beauty</v>
      </c>
      <c r="M695" t="str">
        <f>IFERROR(VLOOKUP(E695,Sales_Reps!$A$2:$C$31,3,FALSE()),"")</f>
        <v>North</v>
      </c>
      <c r="N695">
        <f>IFERROR(VLOOKUP(D695,Products!$A$2:$F$61,4,FALSE()),"")</f>
        <v>1219</v>
      </c>
      <c r="O695" t="str">
        <f>IFERROR(VLOOKUP(C695,Customers!$A$2:$F$301,5,FALSE()),"")</f>
        <v>Retail</v>
      </c>
      <c r="P695">
        <f>IFERROR(VLOOKUP(C695,Customers!$A$2:$F$301,3,FALSE()),"")</f>
        <v>36</v>
      </c>
      <c r="Q695">
        <f t="shared" si="30"/>
        <v>0.46768558951965067</v>
      </c>
      <c r="R695">
        <f>IF(AND(COUNTIF($A$2:$A$2027,A695)&gt;1,COUNTIF($A$2:A695,A695)=1),1,0)</f>
        <v>0</v>
      </c>
      <c r="S695" t="b">
        <f>IFERROR(VLOOKUP(D695,Products!$A$2:$F$61,6,FALSE()),"")</f>
        <v>1</v>
      </c>
      <c r="T695" t="str">
        <f>IF(COUNTIF(Customers!$A$2:$A$301,C695)=0,"Missing","OK")</f>
        <v>OK</v>
      </c>
      <c r="U695" t="str">
        <f t="shared" si="31"/>
        <v>Pune</v>
      </c>
      <c r="V695">
        <f t="shared" si="32"/>
        <v>0</v>
      </c>
    </row>
    <row r="696" spans="1:22" ht="15" customHeight="1" x14ac:dyDescent="0.35">
      <c r="A696" s="3" t="s">
        <v>1096</v>
      </c>
      <c r="B696" s="4">
        <v>45366</v>
      </c>
      <c r="C696" s="3" t="s">
        <v>677</v>
      </c>
      <c r="D696" s="3" t="s">
        <v>391</v>
      </c>
      <c r="E696" s="3" t="s">
        <v>127</v>
      </c>
      <c r="F696" s="5">
        <v>5</v>
      </c>
      <c r="G696" s="5">
        <v>3450</v>
      </c>
      <c r="H696" s="5">
        <v>18.100000000000001</v>
      </c>
      <c r="I696" s="5">
        <v>14127.75</v>
      </c>
      <c r="J696" s="3" t="s">
        <v>79</v>
      </c>
      <c r="K696" s="3" t="s">
        <v>27</v>
      </c>
      <c r="L696" t="str">
        <f>IFERROR(VLOOKUP(D696,Products!$A$2:$F$61,3,FALSE()),"")</f>
        <v>Apparel</v>
      </c>
      <c r="M696" t="str">
        <f>IFERROR(VLOOKUP(E696,Sales_Reps!$A$2:$C$31,3,FALSE()),"")</f>
        <v>South</v>
      </c>
      <c r="N696">
        <f>IFERROR(VLOOKUP(D696,Products!$A$2:$F$61,4,FALSE()),"")</f>
        <v>1748</v>
      </c>
      <c r="O696" t="str">
        <f>IFERROR(VLOOKUP(C696,Customers!$A$2:$F$301,5,FALSE()),"")</f>
        <v>Retail</v>
      </c>
      <c r="P696">
        <f>IFERROR(VLOOKUP(C696,Customers!$A$2:$F$301,3,FALSE()),"")</f>
        <v>36</v>
      </c>
      <c r="Q696">
        <f t="shared" si="30"/>
        <v>0.49333333333333335</v>
      </c>
      <c r="R696">
        <f>IF(AND(COUNTIF($A$2:$A$2027,A696)&gt;1,COUNTIF($A$2:A696,A696)=1),1,0)</f>
        <v>0</v>
      </c>
      <c r="S696" t="b">
        <f>IFERROR(VLOOKUP(D696,Products!$A$2:$F$61,6,FALSE()),"")</f>
        <v>1</v>
      </c>
      <c r="T696" t="str">
        <f>IF(COUNTIF(Customers!$A$2:$A$301,C696)=0,"Missing","OK")</f>
        <v>OK</v>
      </c>
      <c r="U696" t="str">
        <f t="shared" si="31"/>
        <v>Pune</v>
      </c>
      <c r="V696">
        <f t="shared" si="32"/>
        <v>0</v>
      </c>
    </row>
    <row r="697" spans="1:22" ht="15" customHeight="1" x14ac:dyDescent="0.35">
      <c r="A697" s="3" t="s">
        <v>1097</v>
      </c>
      <c r="B697" s="4">
        <v>45439</v>
      </c>
      <c r="C697" s="3" t="s">
        <v>156</v>
      </c>
      <c r="D697" s="3" t="s">
        <v>598</v>
      </c>
      <c r="E697" s="3" t="s">
        <v>154</v>
      </c>
      <c r="F697" s="5">
        <v>1</v>
      </c>
      <c r="G697" s="5">
        <v>3560</v>
      </c>
      <c r="H697" s="5">
        <v>18.7</v>
      </c>
      <c r="I697" s="5">
        <v>2894.28</v>
      </c>
      <c r="J697" s="3" t="s">
        <v>26</v>
      </c>
      <c r="K697" s="3" t="s">
        <v>33</v>
      </c>
      <c r="L697" t="str">
        <f>IFERROR(VLOOKUP(D697,Products!$A$2:$F$61,3,FALSE()),"")</f>
        <v>Apparel</v>
      </c>
      <c r="M697" t="str">
        <f>IFERROR(VLOOKUP(E697,Sales_Reps!$A$2:$C$31,3,FALSE()),"")</f>
        <v>North</v>
      </c>
      <c r="N697">
        <f>IFERROR(VLOOKUP(D697,Products!$A$2:$F$61,4,FALSE()),"")</f>
        <v>2629</v>
      </c>
      <c r="O697" t="str">
        <f>IFERROR(VLOOKUP(C697,Customers!$A$2:$F$301,5,FALSE()),"")</f>
        <v>Retail</v>
      </c>
      <c r="P697">
        <f>IFERROR(VLOOKUP(C697,Customers!$A$2:$F$301,3,FALSE()),"")</f>
        <v>51</v>
      </c>
      <c r="Q697">
        <f t="shared" si="30"/>
        <v>0.26151685393258428</v>
      </c>
      <c r="R697">
        <f>IF(AND(COUNTIF($A$2:$A$2027,A697)&gt;1,COUNTIF($A$2:A697,A697)=1),1,0)</f>
        <v>0</v>
      </c>
      <c r="S697" t="b">
        <f>IFERROR(VLOOKUP(D697,Products!$A$2:$F$61,6,FALSE()),"")</f>
        <v>1</v>
      </c>
      <c r="T697" t="str">
        <f>IF(COUNTIF(Customers!$A$2:$A$301,C697)=0,"Missing","OK")</f>
        <v>OK</v>
      </c>
      <c r="U697" t="str">
        <f t="shared" si="31"/>
        <v>Chennai</v>
      </c>
      <c r="V697">
        <f t="shared" si="32"/>
        <v>0</v>
      </c>
    </row>
    <row r="698" spans="1:22" ht="15" customHeight="1" x14ac:dyDescent="0.35">
      <c r="A698" s="3" t="s">
        <v>1098</v>
      </c>
      <c r="B698" s="4">
        <v>45426</v>
      </c>
      <c r="C698" s="3" t="s">
        <v>244</v>
      </c>
      <c r="D698" s="3" t="s">
        <v>90</v>
      </c>
      <c r="E698" s="3" t="s">
        <v>143</v>
      </c>
      <c r="F698" s="5">
        <v>9</v>
      </c>
      <c r="G698" s="5">
        <v>2400</v>
      </c>
      <c r="H698" s="5">
        <v>18.5</v>
      </c>
      <c r="I698" s="5">
        <v>17604</v>
      </c>
      <c r="J698" s="3" t="s">
        <v>26</v>
      </c>
      <c r="K698" s="3" t="s">
        <v>72</v>
      </c>
      <c r="L698" t="str">
        <f>IFERROR(VLOOKUP(D698,Products!$A$2:$F$61,3,FALSE()),"")</f>
        <v>Sports</v>
      </c>
      <c r="M698" t="str">
        <f>IFERROR(VLOOKUP(E698,Sales_Reps!$A$2:$C$31,3,FALSE()),"")</f>
        <v>South</v>
      </c>
      <c r="N698">
        <f>IFERROR(VLOOKUP(D698,Products!$A$2:$F$61,4,FALSE()),"")</f>
        <v>974</v>
      </c>
      <c r="O698" t="str">
        <f>IFERROR(VLOOKUP(C698,Customers!$A$2:$F$301,5,FALSE()),"")</f>
        <v>Corporate</v>
      </c>
      <c r="P698">
        <f>IFERROR(VLOOKUP(C698,Customers!$A$2:$F$301,3,FALSE()),"")</f>
        <v>46</v>
      </c>
      <c r="Q698">
        <f t="shared" si="30"/>
        <v>0.59416666666666662</v>
      </c>
      <c r="R698">
        <f>IF(AND(COUNTIF($A$2:$A$2027,A698)&gt;1,COUNTIF($A$2:A698,A698)=1),1,0)</f>
        <v>0</v>
      </c>
      <c r="S698" t="b">
        <f>IFERROR(VLOOKUP(D698,Products!$A$2:$F$61,6,FALSE()),"")</f>
        <v>1</v>
      </c>
      <c r="T698" t="str">
        <f>IF(COUNTIF(Customers!$A$2:$A$301,C698)=0,"Missing","OK")</f>
        <v>OK</v>
      </c>
      <c r="U698" t="str">
        <f t="shared" si="31"/>
        <v>Hyderabad</v>
      </c>
      <c r="V698">
        <f t="shared" si="32"/>
        <v>0</v>
      </c>
    </row>
    <row r="699" spans="1:22" ht="15" customHeight="1" x14ac:dyDescent="0.35">
      <c r="A699" s="3" t="s">
        <v>1099</v>
      </c>
      <c r="B699" s="4">
        <v>45415</v>
      </c>
      <c r="C699" s="3" t="s">
        <v>292</v>
      </c>
      <c r="D699" s="3" t="s">
        <v>187</v>
      </c>
      <c r="E699" s="3" t="s">
        <v>93</v>
      </c>
      <c r="F699" s="5">
        <v>9</v>
      </c>
      <c r="G699" s="5">
        <v>3870</v>
      </c>
      <c r="H699" s="5">
        <v>6.9</v>
      </c>
      <c r="I699" s="5">
        <v>32426.73</v>
      </c>
      <c r="J699" s="3" t="s">
        <v>83</v>
      </c>
      <c r="K699" s="3" t="s">
        <v>33</v>
      </c>
      <c r="L699" t="str">
        <f>IFERROR(VLOOKUP(D699,Products!$A$2:$F$61,3,FALSE()),"")</f>
        <v>Electronics</v>
      </c>
      <c r="M699" t="str">
        <f>IFERROR(VLOOKUP(E699,Sales_Reps!$A$2:$C$31,3,FALSE()),"")</f>
        <v>East</v>
      </c>
      <c r="N699">
        <f>IFERROR(VLOOKUP(D699,Products!$A$2:$F$61,4,FALSE()),"")</f>
        <v>1559</v>
      </c>
      <c r="O699" t="str">
        <f>IFERROR(VLOOKUP(C699,Customers!$A$2:$F$301,5,FALSE()),"")</f>
        <v>Retail</v>
      </c>
      <c r="P699">
        <f>IFERROR(VLOOKUP(C699,Customers!$A$2:$F$301,3,FALSE()),"")</f>
        <v>60</v>
      </c>
      <c r="Q699">
        <f t="shared" si="30"/>
        <v>0.59715762273901807</v>
      </c>
      <c r="R699">
        <f>IF(AND(COUNTIF($A$2:$A$2027,A699)&gt;1,COUNTIF($A$2:A699,A699)=1),1,0)</f>
        <v>0</v>
      </c>
      <c r="S699" t="b">
        <f>IFERROR(VLOOKUP(D699,Products!$A$2:$F$61,6,FALSE()),"")</f>
        <v>1</v>
      </c>
      <c r="T699" t="str">
        <f>IF(COUNTIF(Customers!$A$2:$A$301,C699)=0,"Missing","OK")</f>
        <v>OK</v>
      </c>
      <c r="U699" t="str">
        <f t="shared" si="31"/>
        <v>Chennai</v>
      </c>
      <c r="V699">
        <f t="shared" si="32"/>
        <v>0</v>
      </c>
    </row>
    <row r="700" spans="1:22" ht="15" customHeight="1" x14ac:dyDescent="0.35">
      <c r="A700" s="3" t="s">
        <v>1100</v>
      </c>
      <c r="B700" s="4">
        <v>45620</v>
      </c>
      <c r="C700" s="3" t="s">
        <v>644</v>
      </c>
      <c r="D700" s="3" t="s">
        <v>41</v>
      </c>
      <c r="E700" s="3" t="s">
        <v>224</v>
      </c>
      <c r="F700" s="5">
        <v>5</v>
      </c>
      <c r="G700" s="5">
        <v>3660</v>
      </c>
      <c r="H700" s="5">
        <v>11.7</v>
      </c>
      <c r="I700" s="5">
        <v>16158.9</v>
      </c>
      <c r="J700" s="3" t="s">
        <v>26</v>
      </c>
      <c r="K700" s="3" t="s">
        <v>38</v>
      </c>
      <c r="L700" t="str">
        <f>IFERROR(VLOOKUP(D700,Products!$A$2:$F$61,3,FALSE()),"")</f>
        <v>Grocery</v>
      </c>
      <c r="M700" t="str">
        <f>IFERROR(VLOOKUP(E700,Sales_Reps!$A$2:$C$31,3,FALSE()),"")</f>
        <v>East</v>
      </c>
      <c r="N700">
        <f>IFERROR(VLOOKUP(D700,Products!$A$2:$F$61,4,FALSE()),"")</f>
        <v>2214</v>
      </c>
      <c r="O700" t="str">
        <f>IFERROR(VLOOKUP(C700,Customers!$A$2:$F$301,5,FALSE()),"")</f>
        <v>Retail</v>
      </c>
      <c r="P700">
        <f>IFERROR(VLOOKUP(C700,Customers!$A$2:$F$301,3,FALSE()),"")</f>
        <v>53</v>
      </c>
      <c r="Q700">
        <f t="shared" si="30"/>
        <v>0.39508196721311473</v>
      </c>
      <c r="R700">
        <f>IF(AND(COUNTIF($A$2:$A$2027,A700)&gt;1,COUNTIF($A$2:A700,A700)=1),1,0)</f>
        <v>0</v>
      </c>
      <c r="S700" t="b">
        <f>IFERROR(VLOOKUP(D700,Products!$A$2:$F$61,6,FALSE()),"")</f>
        <v>0</v>
      </c>
      <c r="T700" t="str">
        <f>IF(COUNTIF(Customers!$A$2:$A$301,C700)=0,"Missing","OK")</f>
        <v>OK</v>
      </c>
      <c r="U700" t="str">
        <f t="shared" si="31"/>
        <v>Delhi</v>
      </c>
      <c r="V700">
        <f t="shared" si="32"/>
        <v>0</v>
      </c>
    </row>
    <row r="701" spans="1:22" ht="15" customHeight="1" x14ac:dyDescent="0.35">
      <c r="A701" s="3" t="s">
        <v>1101</v>
      </c>
      <c r="B701" s="4">
        <v>45346</v>
      </c>
      <c r="C701" s="3" t="s">
        <v>344</v>
      </c>
      <c r="D701" s="3" t="s">
        <v>103</v>
      </c>
      <c r="E701" s="3" t="s">
        <v>109</v>
      </c>
      <c r="F701" s="5">
        <v>4</v>
      </c>
      <c r="G701" s="5">
        <v>1080</v>
      </c>
      <c r="H701" s="5">
        <v>17.5</v>
      </c>
      <c r="I701" s="5">
        <v>3564</v>
      </c>
      <c r="J701" s="3" t="s">
        <v>26</v>
      </c>
      <c r="K701" s="3" t="s">
        <v>33</v>
      </c>
      <c r="L701" t="str">
        <f>IFERROR(VLOOKUP(D701,Products!$A$2:$F$61,3,FALSE()),"")</f>
        <v>Home</v>
      </c>
      <c r="M701" t="str">
        <f>IFERROR(VLOOKUP(E701,Sales_Reps!$A$2:$C$31,3,FALSE()),"")</f>
        <v>West</v>
      </c>
      <c r="N701">
        <f>IFERROR(VLOOKUP(D701,Products!$A$2:$F$61,4,FALSE()),"")</f>
        <v>519</v>
      </c>
      <c r="O701" t="str">
        <f>IFERROR(VLOOKUP(C701,Customers!$A$2:$F$301,5,FALSE()),"")</f>
        <v>Corporate</v>
      </c>
      <c r="P701">
        <f>IFERROR(VLOOKUP(C701,Customers!$A$2:$F$301,3,FALSE()),"")</f>
        <v>24</v>
      </c>
      <c r="Q701">
        <f t="shared" si="30"/>
        <v>0.51944444444444449</v>
      </c>
      <c r="R701">
        <f>IF(AND(COUNTIF($A$2:$A$2027,A701)&gt;1,COUNTIF($A$2:A701,A701)=1),1,0)</f>
        <v>0</v>
      </c>
      <c r="S701" t="b">
        <f>IFERROR(VLOOKUP(D701,Products!$A$2:$F$61,6,FALSE()),"")</f>
        <v>1</v>
      </c>
      <c r="T701" t="str">
        <f>IF(COUNTIF(Customers!$A$2:$A$301,C701)=0,"Missing","OK")</f>
        <v>OK</v>
      </c>
      <c r="U701" t="str">
        <f t="shared" si="31"/>
        <v>Chennai</v>
      </c>
      <c r="V701">
        <f t="shared" si="32"/>
        <v>0</v>
      </c>
    </row>
    <row r="702" spans="1:22" ht="15" customHeight="1" x14ac:dyDescent="0.35">
      <c r="A702" s="3" t="s">
        <v>1102</v>
      </c>
      <c r="B702" s="4">
        <v>45297</v>
      </c>
      <c r="C702" s="3" t="s">
        <v>774</v>
      </c>
      <c r="D702" s="3" t="s">
        <v>400</v>
      </c>
      <c r="E702" s="3" t="s">
        <v>42</v>
      </c>
      <c r="F702" s="5">
        <v>6</v>
      </c>
      <c r="G702" s="5">
        <v>3780</v>
      </c>
      <c r="H702" s="5">
        <v>27.8</v>
      </c>
      <c r="I702" s="5">
        <v>16374.96</v>
      </c>
      <c r="J702" s="3" t="s">
        <v>26</v>
      </c>
      <c r="K702" s="3" t="s">
        <v>56</v>
      </c>
      <c r="L702" t="str">
        <f>IFERROR(VLOOKUP(D702,Products!$A$2:$F$61,3,FALSE()),"")</f>
        <v>Sports</v>
      </c>
      <c r="M702" t="str">
        <f>IFERROR(VLOOKUP(E702,Sales_Reps!$A$2:$C$31,3,FALSE()),"")</f>
        <v>North</v>
      </c>
      <c r="N702">
        <f>IFERROR(VLOOKUP(D702,Products!$A$2:$F$61,4,FALSE()),"")</f>
        <v>1860</v>
      </c>
      <c r="O702" t="str">
        <f>IFERROR(VLOOKUP(C702,Customers!$A$2:$F$301,5,FALSE()),"")</f>
        <v>Retail</v>
      </c>
      <c r="P702">
        <f>IFERROR(VLOOKUP(C702,Customers!$A$2:$F$301,3,FALSE()),"")</f>
        <v>52</v>
      </c>
      <c r="Q702">
        <f t="shared" si="30"/>
        <v>0.50793650793650791</v>
      </c>
      <c r="R702">
        <f>IF(AND(COUNTIF($A$2:$A$2027,A702)&gt;1,COUNTIF($A$2:A702,A702)=1),1,0)</f>
        <v>1</v>
      </c>
      <c r="S702" t="b">
        <f>IFERROR(VLOOKUP(D702,Products!$A$2:$F$61,6,FALSE()),"")</f>
        <v>1</v>
      </c>
      <c r="T702" t="str">
        <f>IF(COUNTIF(Customers!$A$2:$A$301,C702)=0,"Missing","OK")</f>
        <v>OK</v>
      </c>
      <c r="U702" t="str">
        <f t="shared" si="31"/>
        <v>Bengaluru</v>
      </c>
      <c r="V702">
        <f t="shared" si="32"/>
        <v>0</v>
      </c>
    </row>
    <row r="703" spans="1:22" ht="15" customHeight="1" x14ac:dyDescent="0.35">
      <c r="A703" s="3" t="s">
        <v>1103</v>
      </c>
      <c r="B703" s="4">
        <v>45521</v>
      </c>
      <c r="C703" s="3" t="s">
        <v>1001</v>
      </c>
      <c r="D703" s="3" t="s">
        <v>106</v>
      </c>
      <c r="E703" s="3" t="s">
        <v>224</v>
      </c>
      <c r="F703" s="5">
        <v>8</v>
      </c>
      <c r="G703" s="5">
        <v>2480</v>
      </c>
      <c r="H703" s="5">
        <v>15.7</v>
      </c>
      <c r="I703" s="5">
        <v>16725.12</v>
      </c>
      <c r="J703" s="3" t="s">
        <v>32</v>
      </c>
      <c r="K703" s="3" t="s">
        <v>51</v>
      </c>
      <c r="L703" t="str">
        <f>IFERROR(VLOOKUP(D703,Products!$A$2:$F$61,3,FALSE()),"")</f>
        <v>Apparel</v>
      </c>
      <c r="M703" t="str">
        <f>IFERROR(VLOOKUP(E703,Sales_Reps!$A$2:$C$31,3,FALSE()),"")</f>
        <v>East</v>
      </c>
      <c r="N703">
        <f>IFERROR(VLOOKUP(D703,Products!$A$2:$F$61,4,FALSE()),"")</f>
        <v>1173</v>
      </c>
      <c r="O703" t="str">
        <f>IFERROR(VLOOKUP(C703,Customers!$A$2:$F$301,5,FALSE()),"")</f>
        <v>SMB</v>
      </c>
      <c r="P703">
        <f>IFERROR(VLOOKUP(C703,Customers!$A$2:$F$301,3,FALSE()),"")</f>
        <v>54</v>
      </c>
      <c r="Q703">
        <f t="shared" si="30"/>
        <v>0.52701612903225803</v>
      </c>
      <c r="R703">
        <f>IF(AND(COUNTIF($A$2:$A$2027,A703)&gt;1,COUNTIF($A$2:A703,A703)=1),1,0)</f>
        <v>0</v>
      </c>
      <c r="S703" t="b">
        <f>IFERROR(VLOOKUP(D703,Products!$A$2:$F$61,6,FALSE()),"")</f>
        <v>1</v>
      </c>
      <c r="T703" t="str">
        <f>IF(COUNTIF(Customers!$A$2:$A$301,C703)=0,"Missing","OK")</f>
        <v>OK</v>
      </c>
      <c r="U703" t="str">
        <f t="shared" si="31"/>
        <v>Mumbai</v>
      </c>
      <c r="V703">
        <f t="shared" si="32"/>
        <v>0</v>
      </c>
    </row>
    <row r="704" spans="1:22" ht="15" customHeight="1" x14ac:dyDescent="0.35">
      <c r="A704" s="3" t="s">
        <v>1104</v>
      </c>
      <c r="B704" s="4">
        <v>45409</v>
      </c>
      <c r="C704" s="3" t="s">
        <v>329</v>
      </c>
      <c r="D704" s="3" t="s">
        <v>121</v>
      </c>
      <c r="E704" s="3" t="s">
        <v>37</v>
      </c>
      <c r="F704" s="5">
        <v>10</v>
      </c>
      <c r="G704" s="5">
        <v>1010</v>
      </c>
      <c r="H704" s="5">
        <v>0.1</v>
      </c>
      <c r="I704" s="5">
        <v>10089.9</v>
      </c>
      <c r="J704" s="3" t="s">
        <v>32</v>
      </c>
      <c r="K704" s="3" t="s">
        <v>27</v>
      </c>
      <c r="L704" t="str">
        <f>IFERROR(VLOOKUP(D704,Products!$A$2:$F$61,3,FALSE()),"")</f>
        <v>Sports</v>
      </c>
      <c r="M704" t="str">
        <f>IFERROR(VLOOKUP(E704,Sales_Reps!$A$2:$C$31,3,FALSE()),"")</f>
        <v>South</v>
      </c>
      <c r="N704">
        <f>IFERROR(VLOOKUP(D704,Products!$A$2:$F$61,4,FALSE()),"")</f>
        <v>516</v>
      </c>
      <c r="O704" t="str">
        <f>IFERROR(VLOOKUP(C704,Customers!$A$2:$F$301,5,FALSE()),"")</f>
        <v>SMB</v>
      </c>
      <c r="P704">
        <f>IFERROR(VLOOKUP(C704,Customers!$A$2:$F$301,3,FALSE()),"")</f>
        <v>54</v>
      </c>
      <c r="Q704">
        <f t="shared" si="30"/>
        <v>0.4891089108910891</v>
      </c>
      <c r="R704">
        <f>IF(AND(COUNTIF($A$2:$A$2027,A704)&gt;1,COUNTIF($A$2:A704,A704)=1),1,0)</f>
        <v>0</v>
      </c>
      <c r="S704" t="b">
        <f>IFERROR(VLOOKUP(D704,Products!$A$2:$F$61,6,FALSE()),"")</f>
        <v>1</v>
      </c>
      <c r="T704" t="str">
        <f>IF(COUNTIF(Customers!$A$2:$A$301,C704)=0,"Missing","OK")</f>
        <v>OK</v>
      </c>
      <c r="U704" t="str">
        <f t="shared" si="31"/>
        <v>Pune</v>
      </c>
      <c r="V704">
        <f t="shared" si="32"/>
        <v>0</v>
      </c>
    </row>
    <row r="705" spans="1:22" ht="15" customHeight="1" x14ac:dyDescent="0.35">
      <c r="A705" s="3" t="s">
        <v>1105</v>
      </c>
      <c r="B705" s="4">
        <v>45406</v>
      </c>
      <c r="C705" s="3" t="s">
        <v>89</v>
      </c>
      <c r="D705" s="3" t="s">
        <v>36</v>
      </c>
      <c r="E705" s="3" t="s">
        <v>127</v>
      </c>
      <c r="F705" s="5">
        <v>3</v>
      </c>
      <c r="G705" s="5">
        <v>470</v>
      </c>
      <c r="H705" s="5">
        <v>1.1000000000000001</v>
      </c>
      <c r="I705" s="5">
        <v>1394.49</v>
      </c>
      <c r="J705" s="3" t="s">
        <v>26</v>
      </c>
      <c r="K705" s="3" t="s">
        <v>27</v>
      </c>
      <c r="L705" t="str">
        <f>IFERROR(VLOOKUP(D705,Products!$A$2:$F$61,3,FALSE()),"")</f>
        <v>Sports</v>
      </c>
      <c r="M705" t="str">
        <f>IFERROR(VLOOKUP(E705,Sales_Reps!$A$2:$C$31,3,FALSE()),"")</f>
        <v>South</v>
      </c>
      <c r="N705">
        <f>IFERROR(VLOOKUP(D705,Products!$A$2:$F$61,4,FALSE()),"")</f>
        <v>302</v>
      </c>
      <c r="O705" t="str">
        <f>IFERROR(VLOOKUP(C705,Customers!$A$2:$F$301,5,FALSE()),"")</f>
        <v>Retail</v>
      </c>
      <c r="P705">
        <f>IFERROR(VLOOKUP(C705,Customers!$A$2:$F$301,3,FALSE()),"")</f>
        <v>63</v>
      </c>
      <c r="Q705">
        <f t="shared" si="30"/>
        <v>0.35744680851063831</v>
      </c>
      <c r="R705">
        <f>IF(AND(COUNTIF($A$2:$A$2027,A705)&gt;1,COUNTIF($A$2:A705,A705)=1),1,0)</f>
        <v>0</v>
      </c>
      <c r="S705" t="b">
        <f>IFERROR(VLOOKUP(D705,Products!$A$2:$F$61,6,FALSE()),"")</f>
        <v>0</v>
      </c>
      <c r="T705" t="str">
        <f>IF(COUNTIF(Customers!$A$2:$A$301,C705)=0,"Missing","OK")</f>
        <v>OK</v>
      </c>
      <c r="U705" t="str">
        <f t="shared" si="31"/>
        <v>Pune</v>
      </c>
      <c r="V705">
        <f t="shared" si="32"/>
        <v>0</v>
      </c>
    </row>
    <row r="706" spans="1:22" ht="15" customHeight="1" x14ac:dyDescent="0.35">
      <c r="A706" s="3" t="s">
        <v>1106</v>
      </c>
      <c r="B706" s="4">
        <v>45474</v>
      </c>
      <c r="C706" s="3" t="s">
        <v>653</v>
      </c>
      <c r="D706" s="3" t="s">
        <v>70</v>
      </c>
      <c r="E706" s="3" t="s">
        <v>60</v>
      </c>
      <c r="F706" s="5">
        <v>4</v>
      </c>
      <c r="G706" s="5">
        <v>2270</v>
      </c>
      <c r="H706" s="5">
        <v>17.100000000000001</v>
      </c>
      <c r="I706" s="5">
        <v>7527.32</v>
      </c>
      <c r="J706" s="3" t="s">
        <v>26</v>
      </c>
      <c r="K706" s="3" t="s">
        <v>38</v>
      </c>
      <c r="L706" t="str">
        <f>IFERROR(VLOOKUP(D706,Products!$A$2:$F$61,3,FALSE()),"")</f>
        <v>Grocery</v>
      </c>
      <c r="M706" t="str">
        <f>IFERROR(VLOOKUP(E706,Sales_Reps!$A$2:$C$31,3,FALSE()),"")</f>
        <v>East</v>
      </c>
      <c r="N706">
        <f>IFERROR(VLOOKUP(D706,Products!$A$2:$F$61,4,FALSE()),"")</f>
        <v>1203</v>
      </c>
      <c r="O706" t="str">
        <f>IFERROR(VLOOKUP(C706,Customers!$A$2:$F$301,5,FALSE()),"")</f>
        <v>Retail</v>
      </c>
      <c r="P706">
        <f>IFERROR(VLOOKUP(C706,Customers!$A$2:$F$301,3,FALSE()),"")</f>
        <v>24</v>
      </c>
      <c r="Q706">
        <f t="shared" ref="Q706:Q769" si="33">IFERROR((G706-N706)/G706,"")</f>
        <v>0.47004405286343615</v>
      </c>
      <c r="R706">
        <f>IF(AND(COUNTIF($A$2:$A$2027,A706)&gt;1,COUNTIF($A$2:A706,A706)=1),1,0)</f>
        <v>0</v>
      </c>
      <c r="S706" t="b">
        <f>IFERROR(VLOOKUP(D706,Products!$A$2:$F$61,6,FALSE()),"")</f>
        <v>1</v>
      </c>
      <c r="T706" t="str">
        <f>IF(COUNTIF(Customers!$A$2:$A$301,C706)=0,"Missing","OK")</f>
        <v>OK</v>
      </c>
      <c r="U706" t="str">
        <f t="shared" ref="U706:U769" si="34">IF(K706="","",PROPER(TRIM(K706)))</f>
        <v>Delhi</v>
      </c>
      <c r="V706">
        <f t="shared" ref="V706:V769" si="35">IF(AND(U706="Bengaluru",L706="Grocery"),I706,0)</f>
        <v>0</v>
      </c>
    </row>
    <row r="707" spans="1:22" ht="15" customHeight="1" x14ac:dyDescent="0.35">
      <c r="A707" s="3" t="s">
        <v>1107</v>
      </c>
      <c r="B707" s="4">
        <v>45588</v>
      </c>
      <c r="C707" s="3" t="s">
        <v>162</v>
      </c>
      <c r="D707" s="3" t="s">
        <v>139</v>
      </c>
      <c r="E707" s="3" t="s">
        <v>71</v>
      </c>
      <c r="F707" s="5">
        <v>7</v>
      </c>
      <c r="G707" s="5">
        <v>2760</v>
      </c>
      <c r="H707" s="5">
        <v>17.100000000000001</v>
      </c>
      <c r="I707" s="5">
        <v>16016.28</v>
      </c>
      <c r="J707" s="3" t="s">
        <v>26</v>
      </c>
      <c r="K707" s="3" t="s">
        <v>38</v>
      </c>
      <c r="L707" t="str">
        <f>IFERROR(VLOOKUP(D707,Products!$A$2:$F$61,3,FALSE()),"")</f>
        <v>Grocery</v>
      </c>
      <c r="M707" t="str">
        <f>IFERROR(VLOOKUP(E707,Sales_Reps!$A$2:$C$31,3,FALSE()),"")</f>
        <v>South</v>
      </c>
      <c r="N707">
        <f>IFERROR(VLOOKUP(D707,Products!$A$2:$F$61,4,FALSE()),"")</f>
        <v>1435</v>
      </c>
      <c r="O707" t="str">
        <f>IFERROR(VLOOKUP(C707,Customers!$A$2:$F$301,5,FALSE()),"")</f>
        <v>Retail</v>
      </c>
      <c r="P707">
        <f>IFERROR(VLOOKUP(C707,Customers!$A$2:$F$301,3,FALSE()),"")</f>
        <v>53</v>
      </c>
      <c r="Q707">
        <f t="shared" si="33"/>
        <v>0.48007246376811596</v>
      </c>
      <c r="R707">
        <f>IF(AND(COUNTIF($A$2:$A$2027,A707)&gt;1,COUNTIF($A$2:A707,A707)=1),1,0)</f>
        <v>0</v>
      </c>
      <c r="S707" t="b">
        <f>IFERROR(VLOOKUP(D707,Products!$A$2:$F$61,6,FALSE()),"")</f>
        <v>1</v>
      </c>
      <c r="T707" t="str">
        <f>IF(COUNTIF(Customers!$A$2:$A$301,C707)=0,"Missing","OK")</f>
        <v>OK</v>
      </c>
      <c r="U707" t="str">
        <f t="shared" si="34"/>
        <v>Delhi</v>
      </c>
      <c r="V707">
        <f t="shared" si="35"/>
        <v>0</v>
      </c>
    </row>
    <row r="708" spans="1:22" ht="15" customHeight="1" x14ac:dyDescent="0.35">
      <c r="A708" s="3" t="s">
        <v>1108</v>
      </c>
      <c r="B708" s="4">
        <v>45530</v>
      </c>
      <c r="C708" s="3" t="s">
        <v>986</v>
      </c>
      <c r="D708" s="3" t="s">
        <v>100</v>
      </c>
      <c r="E708" s="3" t="s">
        <v>46</v>
      </c>
      <c r="F708" s="5">
        <v>6</v>
      </c>
      <c r="G708" s="5">
        <v>3450</v>
      </c>
      <c r="H708" s="5">
        <v>6.6</v>
      </c>
      <c r="I708" s="5">
        <v>19333.8</v>
      </c>
      <c r="J708" s="3" t="s">
        <v>83</v>
      </c>
      <c r="K708" s="3" t="s">
        <v>72</v>
      </c>
      <c r="L708" t="str">
        <f>IFERROR(VLOOKUP(D708,Products!$A$2:$F$61,3,FALSE()),"")</f>
        <v>Sports</v>
      </c>
      <c r="M708" t="str">
        <f>IFERROR(VLOOKUP(E708,Sales_Reps!$A$2:$C$31,3,FALSE()),"")</f>
        <v>North</v>
      </c>
      <c r="N708">
        <f>IFERROR(VLOOKUP(D708,Products!$A$2:$F$61,4,FALSE()),"")</f>
        <v>2467</v>
      </c>
      <c r="O708" t="str">
        <f>IFERROR(VLOOKUP(C708,Customers!$A$2:$F$301,5,FALSE()),"")</f>
        <v>Retail</v>
      </c>
      <c r="P708">
        <f>IFERROR(VLOOKUP(C708,Customers!$A$2:$F$301,3,FALSE()),"")</f>
        <v>41</v>
      </c>
      <c r="Q708">
        <f t="shared" si="33"/>
        <v>0.28492753623188405</v>
      </c>
      <c r="R708">
        <f>IF(AND(COUNTIF($A$2:$A$2027,A708)&gt;1,COUNTIF($A$2:A708,A708)=1),1,0)</f>
        <v>0</v>
      </c>
      <c r="S708" t="b">
        <f>IFERROR(VLOOKUP(D708,Products!$A$2:$F$61,6,FALSE()),"")</f>
        <v>1</v>
      </c>
      <c r="T708" t="str">
        <f>IF(COUNTIF(Customers!$A$2:$A$301,C708)=0,"Missing","OK")</f>
        <v>OK</v>
      </c>
      <c r="U708" t="str">
        <f t="shared" si="34"/>
        <v>Hyderabad</v>
      </c>
      <c r="V708">
        <f t="shared" si="35"/>
        <v>0</v>
      </c>
    </row>
    <row r="709" spans="1:22" ht="15" customHeight="1" x14ac:dyDescent="0.35">
      <c r="A709" s="3" t="s">
        <v>1109</v>
      </c>
      <c r="B709" s="4">
        <v>45630</v>
      </c>
      <c r="C709" s="3" t="s">
        <v>531</v>
      </c>
      <c r="D709" s="3" t="s">
        <v>41</v>
      </c>
      <c r="E709" s="3" t="s">
        <v>25</v>
      </c>
      <c r="F709" s="5">
        <v>8</v>
      </c>
      <c r="G709" s="5">
        <v>3660</v>
      </c>
      <c r="H709" s="5">
        <v>7.2</v>
      </c>
      <c r="I709" s="5">
        <v>27171.84</v>
      </c>
      <c r="J709" s="3" t="s">
        <v>26</v>
      </c>
      <c r="K709" s="3" t="s">
        <v>72</v>
      </c>
      <c r="L709" t="str">
        <f>IFERROR(VLOOKUP(D709,Products!$A$2:$F$61,3,FALSE()),"")</f>
        <v>Grocery</v>
      </c>
      <c r="M709" t="str">
        <f>IFERROR(VLOOKUP(E709,Sales_Reps!$A$2:$C$31,3,FALSE()),"")</f>
        <v>North</v>
      </c>
      <c r="N709">
        <f>IFERROR(VLOOKUP(D709,Products!$A$2:$F$61,4,FALSE()),"")</f>
        <v>2214</v>
      </c>
      <c r="O709" t="str">
        <f>IFERROR(VLOOKUP(C709,Customers!$A$2:$F$301,5,FALSE()),"")</f>
        <v>Retail</v>
      </c>
      <c r="P709">
        <f>IFERROR(VLOOKUP(C709,Customers!$A$2:$F$301,3,FALSE()),"")</f>
        <v>22</v>
      </c>
      <c r="Q709">
        <f t="shared" si="33"/>
        <v>0.39508196721311473</v>
      </c>
      <c r="R709">
        <f>IF(AND(COUNTIF($A$2:$A$2027,A709)&gt;1,COUNTIF($A$2:A709,A709)=1),1,0)</f>
        <v>0</v>
      </c>
      <c r="S709" t="b">
        <f>IFERROR(VLOOKUP(D709,Products!$A$2:$F$61,6,FALSE()),"")</f>
        <v>0</v>
      </c>
      <c r="T709" t="str">
        <f>IF(COUNTIF(Customers!$A$2:$A$301,C709)=0,"Missing","OK")</f>
        <v>OK</v>
      </c>
      <c r="U709" t="str">
        <f t="shared" si="34"/>
        <v>Hyderabad</v>
      </c>
      <c r="V709">
        <f t="shared" si="35"/>
        <v>0</v>
      </c>
    </row>
    <row r="710" spans="1:22" ht="15" customHeight="1" x14ac:dyDescent="0.35">
      <c r="A710" s="3" t="s">
        <v>1110</v>
      </c>
      <c r="B710" s="4">
        <v>45551</v>
      </c>
      <c r="C710" s="3" t="s">
        <v>1111</v>
      </c>
      <c r="D710" s="3" t="s">
        <v>206</v>
      </c>
      <c r="E710" s="3" t="s">
        <v>109</v>
      </c>
      <c r="F710" s="5">
        <v>4</v>
      </c>
      <c r="G710" s="5">
        <v>1220</v>
      </c>
      <c r="H710" s="5">
        <v>24.3</v>
      </c>
      <c r="I710" s="5">
        <v>3694.16</v>
      </c>
      <c r="J710" s="3" t="s">
        <v>79</v>
      </c>
      <c r="K710" s="3" t="s">
        <v>27</v>
      </c>
      <c r="L710" t="str">
        <f>IFERROR(VLOOKUP(D710,Products!$A$2:$F$61,3,FALSE()),"")</f>
        <v>Electronics</v>
      </c>
      <c r="M710" t="str">
        <f>IFERROR(VLOOKUP(E710,Sales_Reps!$A$2:$C$31,3,FALSE()),"")</f>
        <v>West</v>
      </c>
      <c r="N710">
        <f>IFERROR(VLOOKUP(D710,Products!$A$2:$F$61,4,FALSE()),"")</f>
        <v>517</v>
      </c>
      <c r="O710" t="str">
        <f>IFERROR(VLOOKUP(C710,Customers!$A$2:$F$301,5,FALSE()),"")</f>
        <v>Retail</v>
      </c>
      <c r="P710">
        <f>IFERROR(VLOOKUP(C710,Customers!$A$2:$F$301,3,FALSE()),"")</f>
        <v>39</v>
      </c>
      <c r="Q710">
        <f t="shared" si="33"/>
        <v>0.57622950819672136</v>
      </c>
      <c r="R710">
        <f>IF(AND(COUNTIF($A$2:$A$2027,A710)&gt;1,COUNTIF($A$2:A710,A710)=1),1,0)</f>
        <v>0</v>
      </c>
      <c r="S710" t="b">
        <f>IFERROR(VLOOKUP(D710,Products!$A$2:$F$61,6,FALSE()),"")</f>
        <v>1</v>
      </c>
      <c r="T710" t="str">
        <f>IF(COUNTIF(Customers!$A$2:$A$301,C710)=0,"Missing","OK")</f>
        <v>OK</v>
      </c>
      <c r="U710" t="str">
        <f t="shared" si="34"/>
        <v>Pune</v>
      </c>
      <c r="V710">
        <f t="shared" si="35"/>
        <v>0</v>
      </c>
    </row>
    <row r="711" spans="1:22" ht="15" customHeight="1" x14ac:dyDescent="0.35">
      <c r="A711" s="3" t="s">
        <v>1112</v>
      </c>
      <c r="B711" s="4">
        <v>45610</v>
      </c>
      <c r="C711" s="3" t="s">
        <v>822</v>
      </c>
      <c r="D711" s="3" t="s">
        <v>299</v>
      </c>
      <c r="E711" s="3" t="s">
        <v>25</v>
      </c>
      <c r="F711" s="5">
        <v>2</v>
      </c>
      <c r="G711" s="5">
        <v>5410</v>
      </c>
      <c r="H711" s="5">
        <v>0.9</v>
      </c>
      <c r="I711" s="5">
        <v>10722.62</v>
      </c>
      <c r="J711" s="3" t="s">
        <v>32</v>
      </c>
      <c r="K711" s="3" t="s">
        <v>72</v>
      </c>
      <c r="L711" t="str">
        <f>IFERROR(VLOOKUP(D711,Products!$A$2:$F$61,3,FALSE()),"")</f>
        <v>Sports</v>
      </c>
      <c r="M711" t="str">
        <f>IFERROR(VLOOKUP(E711,Sales_Reps!$A$2:$C$31,3,FALSE()),"")</f>
        <v>North</v>
      </c>
      <c r="N711">
        <f>IFERROR(VLOOKUP(D711,Products!$A$2:$F$61,4,FALSE()),"")</f>
        <v>2265</v>
      </c>
      <c r="O711" t="str">
        <f>IFERROR(VLOOKUP(C711,Customers!$A$2:$F$301,5,FALSE()),"")</f>
        <v>SMB</v>
      </c>
      <c r="P711">
        <f>IFERROR(VLOOKUP(C711,Customers!$A$2:$F$301,3,FALSE()),"")</f>
        <v>28</v>
      </c>
      <c r="Q711">
        <f t="shared" si="33"/>
        <v>0.58133086876155271</v>
      </c>
      <c r="R711">
        <f>IF(AND(COUNTIF($A$2:$A$2027,A711)&gt;1,COUNTIF($A$2:A711,A711)=1),1,0)</f>
        <v>0</v>
      </c>
      <c r="S711" t="b">
        <f>IFERROR(VLOOKUP(D711,Products!$A$2:$F$61,6,FALSE()),"")</f>
        <v>1</v>
      </c>
      <c r="T711" t="str">
        <f>IF(COUNTIF(Customers!$A$2:$A$301,C711)=0,"Missing","OK")</f>
        <v>OK</v>
      </c>
      <c r="U711" t="str">
        <f t="shared" si="34"/>
        <v>Hyderabad</v>
      </c>
      <c r="V711">
        <f t="shared" si="35"/>
        <v>0</v>
      </c>
    </row>
    <row r="712" spans="1:22" ht="15" customHeight="1" x14ac:dyDescent="0.35">
      <c r="A712" s="3" t="s">
        <v>1113</v>
      </c>
      <c r="B712" s="4">
        <v>45322</v>
      </c>
      <c r="C712" s="3" t="s">
        <v>352</v>
      </c>
      <c r="D712" s="3" t="s">
        <v>234</v>
      </c>
      <c r="E712" s="3" t="s">
        <v>143</v>
      </c>
      <c r="F712" s="5">
        <v>5</v>
      </c>
      <c r="G712" s="5">
        <v>2030</v>
      </c>
      <c r="H712" s="5">
        <v>25.2</v>
      </c>
      <c r="I712" s="5">
        <v>7592.2</v>
      </c>
      <c r="J712" s="3" t="s">
        <v>26</v>
      </c>
      <c r="K712" s="3" t="s">
        <v>27</v>
      </c>
      <c r="L712" t="str">
        <f>IFERROR(VLOOKUP(D712,Products!$A$2:$F$61,3,FALSE()),"")</f>
        <v>Home</v>
      </c>
      <c r="M712" t="str">
        <f>IFERROR(VLOOKUP(E712,Sales_Reps!$A$2:$C$31,3,FALSE()),"")</f>
        <v>South</v>
      </c>
      <c r="N712">
        <f>IFERROR(VLOOKUP(D712,Products!$A$2:$F$61,4,FALSE()),"")</f>
        <v>1143</v>
      </c>
      <c r="O712" t="str">
        <f>IFERROR(VLOOKUP(C712,Customers!$A$2:$F$301,5,FALSE()),"")</f>
        <v>Retail</v>
      </c>
      <c r="P712">
        <f>IFERROR(VLOOKUP(C712,Customers!$A$2:$F$301,3,FALSE()),"")</f>
        <v>22</v>
      </c>
      <c r="Q712">
        <f t="shared" si="33"/>
        <v>0.43694581280788175</v>
      </c>
      <c r="R712">
        <f>IF(AND(COUNTIF($A$2:$A$2027,A712)&gt;1,COUNTIF($A$2:A712,A712)=1),1,0)</f>
        <v>0</v>
      </c>
      <c r="S712" t="b">
        <f>IFERROR(VLOOKUP(D712,Products!$A$2:$F$61,6,FALSE()),"")</f>
        <v>1</v>
      </c>
      <c r="T712" t="str">
        <f>IF(COUNTIF(Customers!$A$2:$A$301,C712)=0,"Missing","OK")</f>
        <v>OK</v>
      </c>
      <c r="U712" t="str">
        <f t="shared" si="34"/>
        <v>Pune</v>
      </c>
      <c r="V712">
        <f t="shared" si="35"/>
        <v>0</v>
      </c>
    </row>
    <row r="713" spans="1:22" ht="15" customHeight="1" x14ac:dyDescent="0.35">
      <c r="A713" s="3" t="s">
        <v>1114</v>
      </c>
      <c r="B713" s="4">
        <v>45363</v>
      </c>
      <c r="C713" s="3" t="s">
        <v>524</v>
      </c>
      <c r="D713" s="3" t="s">
        <v>206</v>
      </c>
      <c r="E713" s="3" t="s">
        <v>264</v>
      </c>
      <c r="F713" s="5">
        <v>5</v>
      </c>
      <c r="G713" s="5">
        <v>1220</v>
      </c>
      <c r="H713" s="5">
        <v>2.6</v>
      </c>
      <c r="I713" s="5">
        <v>5941.4</v>
      </c>
      <c r="J713" s="3" t="s">
        <v>26</v>
      </c>
      <c r="K713" s="3" t="s">
        <v>33</v>
      </c>
      <c r="L713" t="str">
        <f>IFERROR(VLOOKUP(D713,Products!$A$2:$F$61,3,FALSE()),"")</f>
        <v>Electronics</v>
      </c>
      <c r="M713" t="str">
        <f>IFERROR(VLOOKUP(E713,Sales_Reps!$A$2:$C$31,3,FALSE()),"")</f>
        <v>South</v>
      </c>
      <c r="N713">
        <f>IFERROR(VLOOKUP(D713,Products!$A$2:$F$61,4,FALSE()),"")</f>
        <v>517</v>
      </c>
      <c r="O713" t="str">
        <f>IFERROR(VLOOKUP(C713,Customers!$A$2:$F$301,5,FALSE()),"")</f>
        <v>Retail</v>
      </c>
      <c r="P713">
        <f>IFERROR(VLOOKUP(C713,Customers!$A$2:$F$301,3,FALSE()),"")</f>
        <v>26</v>
      </c>
      <c r="Q713">
        <f t="shared" si="33"/>
        <v>0.57622950819672136</v>
      </c>
      <c r="R713">
        <f>IF(AND(COUNTIF($A$2:$A$2027,A713)&gt;1,COUNTIF($A$2:A713,A713)=1),1,0)</f>
        <v>0</v>
      </c>
      <c r="S713" t="b">
        <f>IFERROR(VLOOKUP(D713,Products!$A$2:$F$61,6,FALSE()),"")</f>
        <v>1</v>
      </c>
      <c r="T713" t="str">
        <f>IF(COUNTIF(Customers!$A$2:$A$301,C713)=0,"Missing","OK")</f>
        <v>OK</v>
      </c>
      <c r="U713" t="str">
        <f t="shared" si="34"/>
        <v>Chennai</v>
      </c>
      <c r="V713">
        <f t="shared" si="35"/>
        <v>0</v>
      </c>
    </row>
    <row r="714" spans="1:22" ht="15" customHeight="1" x14ac:dyDescent="0.35">
      <c r="A714" s="3" t="s">
        <v>1115</v>
      </c>
      <c r="B714" s="4">
        <v>45600</v>
      </c>
      <c r="C714" s="3" t="s">
        <v>463</v>
      </c>
      <c r="D714" s="3" t="s">
        <v>218</v>
      </c>
      <c r="E714" s="3" t="s">
        <v>42</v>
      </c>
      <c r="F714" s="5">
        <v>4</v>
      </c>
      <c r="G714" s="5">
        <v>2660</v>
      </c>
      <c r="H714" s="5">
        <v>19.100000000000001</v>
      </c>
      <c r="I714" s="5">
        <v>8607.76</v>
      </c>
      <c r="J714" s="3" t="s">
        <v>83</v>
      </c>
      <c r="K714" s="3" t="s">
        <v>51</v>
      </c>
      <c r="L714" t="str">
        <f>IFERROR(VLOOKUP(D714,Products!$A$2:$F$61,3,FALSE()),"")</f>
        <v>Electronics</v>
      </c>
      <c r="M714" t="str">
        <f>IFERROR(VLOOKUP(E714,Sales_Reps!$A$2:$C$31,3,FALSE()),"")</f>
        <v>North</v>
      </c>
      <c r="N714">
        <f>IFERROR(VLOOKUP(D714,Products!$A$2:$F$61,4,FALSE()),"")</f>
        <v>1259</v>
      </c>
      <c r="O714" t="str">
        <f>IFERROR(VLOOKUP(C714,Customers!$A$2:$F$301,5,FALSE()),"")</f>
        <v>Corporate</v>
      </c>
      <c r="P714">
        <f>IFERROR(VLOOKUP(C714,Customers!$A$2:$F$301,3,FALSE()),"")</f>
        <v>55</v>
      </c>
      <c r="Q714">
        <f t="shared" si="33"/>
        <v>0.52669172932330832</v>
      </c>
      <c r="R714">
        <f>IF(AND(COUNTIF($A$2:$A$2027,A714)&gt;1,COUNTIF($A$2:A714,A714)=1),1,0)</f>
        <v>0</v>
      </c>
      <c r="S714" t="b">
        <f>IFERROR(VLOOKUP(D714,Products!$A$2:$F$61,6,FALSE()),"")</f>
        <v>0</v>
      </c>
      <c r="T714" t="str">
        <f>IF(COUNTIF(Customers!$A$2:$A$301,C714)=0,"Missing","OK")</f>
        <v>OK</v>
      </c>
      <c r="U714" t="str">
        <f t="shared" si="34"/>
        <v>Mumbai</v>
      </c>
      <c r="V714">
        <f t="shared" si="35"/>
        <v>0</v>
      </c>
    </row>
    <row r="715" spans="1:22" ht="15" customHeight="1" x14ac:dyDescent="0.35">
      <c r="A715" s="3" t="s">
        <v>1116</v>
      </c>
      <c r="B715" s="4">
        <v>45351</v>
      </c>
      <c r="C715" s="3" t="s">
        <v>549</v>
      </c>
      <c r="D715" s="3" t="s">
        <v>203</v>
      </c>
      <c r="E715" s="3" t="s">
        <v>285</v>
      </c>
      <c r="F715" s="5">
        <v>3</v>
      </c>
      <c r="G715" s="5">
        <v>4070</v>
      </c>
      <c r="H715" s="5">
        <v>25.2</v>
      </c>
      <c r="I715" s="5">
        <v>9133.08</v>
      </c>
      <c r="J715" s="3" t="s">
        <v>26</v>
      </c>
      <c r="K715" s="3" t="s">
        <v>56</v>
      </c>
      <c r="L715" t="str">
        <f>IFERROR(VLOOKUP(D715,Products!$A$2:$F$61,3,FALSE()),"")</f>
        <v>Grocery</v>
      </c>
      <c r="M715" t="str">
        <f>IFERROR(VLOOKUP(E715,Sales_Reps!$A$2:$C$31,3,FALSE()),"")</f>
        <v>South</v>
      </c>
      <c r="N715">
        <f>IFERROR(VLOOKUP(D715,Products!$A$2:$F$61,4,FALSE()),"")</f>
        <v>2027</v>
      </c>
      <c r="O715" t="str">
        <f>IFERROR(VLOOKUP(C715,Customers!$A$2:$F$301,5,FALSE()),"")</f>
        <v>SMB</v>
      </c>
      <c r="P715">
        <f>IFERROR(VLOOKUP(C715,Customers!$A$2:$F$301,3,FALSE()),"")</f>
        <v>42</v>
      </c>
      <c r="Q715">
        <f t="shared" si="33"/>
        <v>0.50196560196560192</v>
      </c>
      <c r="R715">
        <f>IF(AND(COUNTIF($A$2:$A$2027,A715)&gt;1,COUNTIF($A$2:A715,A715)=1),1,0)</f>
        <v>0</v>
      </c>
      <c r="S715" t="b">
        <f>IFERROR(VLOOKUP(D715,Products!$A$2:$F$61,6,FALSE()),"")</f>
        <v>1</v>
      </c>
      <c r="T715" t="str">
        <f>IF(COUNTIF(Customers!$A$2:$A$301,C715)=0,"Missing","OK")</f>
        <v>OK</v>
      </c>
      <c r="U715" t="str">
        <f t="shared" si="34"/>
        <v>Bengaluru</v>
      </c>
      <c r="V715">
        <f t="shared" si="35"/>
        <v>9133.08</v>
      </c>
    </row>
    <row r="716" spans="1:22" ht="15" customHeight="1" x14ac:dyDescent="0.35">
      <c r="A716" s="3" t="s">
        <v>1117</v>
      </c>
      <c r="B716" s="4">
        <v>45461</v>
      </c>
      <c r="C716" s="3" t="s">
        <v>608</v>
      </c>
      <c r="D716" s="3" t="s">
        <v>319</v>
      </c>
      <c r="E716" s="3" t="s">
        <v>37</v>
      </c>
      <c r="F716" s="5">
        <v>10</v>
      </c>
      <c r="G716" s="5">
        <v>960</v>
      </c>
      <c r="H716" s="5">
        <v>0.3</v>
      </c>
      <c r="I716" s="5">
        <v>9571.2000000000007</v>
      </c>
      <c r="J716" s="3" t="s">
        <v>26</v>
      </c>
      <c r="K716" s="3" t="s">
        <v>72</v>
      </c>
      <c r="L716" t="str">
        <f>IFERROR(VLOOKUP(D716,Products!$A$2:$F$61,3,FALSE()),"")</f>
        <v>Beauty</v>
      </c>
      <c r="M716" t="str">
        <f>IFERROR(VLOOKUP(E716,Sales_Reps!$A$2:$C$31,3,FALSE()),"")</f>
        <v>South</v>
      </c>
      <c r="N716">
        <f>IFERROR(VLOOKUP(D716,Products!$A$2:$F$61,4,FALSE()),"")</f>
        <v>675</v>
      </c>
      <c r="O716" t="str">
        <f>IFERROR(VLOOKUP(C716,Customers!$A$2:$F$301,5,FALSE()),"")</f>
        <v>Retail</v>
      </c>
      <c r="P716">
        <f>IFERROR(VLOOKUP(C716,Customers!$A$2:$F$301,3,FALSE()),"")</f>
        <v>31</v>
      </c>
      <c r="Q716">
        <f t="shared" si="33"/>
        <v>0.296875</v>
      </c>
      <c r="R716">
        <f>IF(AND(COUNTIF($A$2:$A$2027,A716)&gt;1,COUNTIF($A$2:A716,A716)=1),1,0)</f>
        <v>0</v>
      </c>
      <c r="S716" t="b">
        <f>IFERROR(VLOOKUP(D716,Products!$A$2:$F$61,6,FALSE()),"")</f>
        <v>1</v>
      </c>
      <c r="T716" t="str">
        <f>IF(COUNTIF(Customers!$A$2:$A$301,C716)=0,"Missing","OK")</f>
        <v>OK</v>
      </c>
      <c r="U716" t="str">
        <f t="shared" si="34"/>
        <v>Hyderabad</v>
      </c>
      <c r="V716">
        <f t="shared" si="35"/>
        <v>0</v>
      </c>
    </row>
    <row r="717" spans="1:22" ht="15" customHeight="1" x14ac:dyDescent="0.35">
      <c r="A717" s="3" t="s">
        <v>1118</v>
      </c>
      <c r="B717" s="4">
        <v>45431</v>
      </c>
      <c r="C717" s="3" t="s">
        <v>1119</v>
      </c>
      <c r="D717" s="3" t="s">
        <v>165</v>
      </c>
      <c r="E717" s="3" t="s">
        <v>168</v>
      </c>
      <c r="F717" s="5">
        <v>2</v>
      </c>
      <c r="G717" s="5">
        <v>3730</v>
      </c>
      <c r="H717" s="5">
        <v>29.9</v>
      </c>
      <c r="I717" s="5">
        <v>5229.46</v>
      </c>
      <c r="J717" s="3" t="s">
        <v>26</v>
      </c>
      <c r="K717" s="3" t="s">
        <v>33</v>
      </c>
      <c r="L717" t="str">
        <f>IFERROR(VLOOKUP(D717,Products!$A$2:$F$61,3,FALSE()),"")</f>
        <v>Home</v>
      </c>
      <c r="M717" t="str">
        <f>IFERROR(VLOOKUP(E717,Sales_Reps!$A$2:$C$31,3,FALSE()),"")</f>
        <v>West</v>
      </c>
      <c r="N717">
        <f>IFERROR(VLOOKUP(D717,Products!$A$2:$F$61,4,FALSE()),"")</f>
        <v>2135</v>
      </c>
      <c r="O717" t="str">
        <f>IFERROR(VLOOKUP(C717,Customers!$A$2:$F$301,5,FALSE()),"")</f>
        <v>Corporate</v>
      </c>
      <c r="P717">
        <f>IFERROR(VLOOKUP(C717,Customers!$A$2:$F$301,3,FALSE()),"")</f>
        <v>49</v>
      </c>
      <c r="Q717">
        <f t="shared" si="33"/>
        <v>0.42761394101876676</v>
      </c>
      <c r="R717">
        <f>IF(AND(COUNTIF($A$2:$A$2027,A717)&gt;1,COUNTIF($A$2:A717,A717)=1),1,0)</f>
        <v>0</v>
      </c>
      <c r="S717" t="b">
        <f>IFERROR(VLOOKUP(D717,Products!$A$2:$F$61,6,FALSE()),"")</f>
        <v>1</v>
      </c>
      <c r="T717" t="str">
        <f>IF(COUNTIF(Customers!$A$2:$A$301,C717)=0,"Missing","OK")</f>
        <v>OK</v>
      </c>
      <c r="U717" t="str">
        <f t="shared" si="34"/>
        <v>Chennai</v>
      </c>
      <c r="V717">
        <f t="shared" si="35"/>
        <v>0</v>
      </c>
    </row>
    <row r="718" spans="1:22" ht="15" customHeight="1" x14ac:dyDescent="0.35">
      <c r="A718" s="3" t="s">
        <v>1120</v>
      </c>
      <c r="B718" s="4">
        <v>45592</v>
      </c>
      <c r="C718" s="3" t="s">
        <v>308</v>
      </c>
      <c r="D718" s="3" t="s">
        <v>54</v>
      </c>
      <c r="E718" s="3" t="s">
        <v>78</v>
      </c>
      <c r="F718" s="5">
        <v>9</v>
      </c>
      <c r="G718" s="5">
        <v>960</v>
      </c>
      <c r="H718" s="5">
        <v>1.9</v>
      </c>
      <c r="I718" s="5">
        <v>8475.84</v>
      </c>
      <c r="J718" s="3" t="s">
        <v>26</v>
      </c>
      <c r="K718" s="3" t="s">
        <v>33</v>
      </c>
      <c r="L718" t="str">
        <f>IFERROR(VLOOKUP(D718,Products!$A$2:$F$61,3,FALSE()),"")</f>
        <v>Sports</v>
      </c>
      <c r="M718" t="str">
        <f>IFERROR(VLOOKUP(E718,Sales_Reps!$A$2:$C$31,3,FALSE()),"")</f>
        <v>North</v>
      </c>
      <c r="N718">
        <f>IFERROR(VLOOKUP(D718,Products!$A$2:$F$61,4,FALSE()),"")</f>
        <v>705</v>
      </c>
      <c r="O718" t="str">
        <f>IFERROR(VLOOKUP(C718,Customers!$A$2:$F$301,5,FALSE()),"")</f>
        <v>SMB</v>
      </c>
      <c r="P718">
        <f>IFERROR(VLOOKUP(C718,Customers!$A$2:$F$301,3,FALSE()),"")</f>
        <v>62</v>
      </c>
      <c r="Q718">
        <f t="shared" si="33"/>
        <v>0.265625</v>
      </c>
      <c r="R718">
        <f>IF(AND(COUNTIF($A$2:$A$2027,A718)&gt;1,COUNTIF($A$2:A718,A718)=1),1,0)</f>
        <v>0</v>
      </c>
      <c r="S718" t="b">
        <f>IFERROR(VLOOKUP(D718,Products!$A$2:$F$61,6,FALSE()),"")</f>
        <v>1</v>
      </c>
      <c r="T718" t="str">
        <f>IF(COUNTIF(Customers!$A$2:$A$301,C718)=0,"Missing","OK")</f>
        <v>OK</v>
      </c>
      <c r="U718" t="str">
        <f t="shared" si="34"/>
        <v>Chennai</v>
      </c>
      <c r="V718">
        <f t="shared" si="35"/>
        <v>0</v>
      </c>
    </row>
    <row r="719" spans="1:22" ht="15" customHeight="1" x14ac:dyDescent="0.35">
      <c r="A719" s="3" t="s">
        <v>1121</v>
      </c>
      <c r="B719" s="4">
        <v>45454</v>
      </c>
      <c r="C719" s="3" t="s">
        <v>85</v>
      </c>
      <c r="D719" s="3" t="s">
        <v>391</v>
      </c>
      <c r="E719" s="3" t="s">
        <v>78</v>
      </c>
      <c r="F719" s="5">
        <v>2</v>
      </c>
      <c r="G719" s="5">
        <v>3450</v>
      </c>
      <c r="H719" s="5">
        <v>22.9</v>
      </c>
      <c r="I719" s="5">
        <v>5319.9</v>
      </c>
      <c r="J719" s="3" t="s">
        <v>32</v>
      </c>
      <c r="K719" s="3" t="s">
        <v>27</v>
      </c>
      <c r="L719" t="str">
        <f>IFERROR(VLOOKUP(D719,Products!$A$2:$F$61,3,FALSE()),"")</f>
        <v>Apparel</v>
      </c>
      <c r="M719" t="str">
        <f>IFERROR(VLOOKUP(E719,Sales_Reps!$A$2:$C$31,3,FALSE()),"")</f>
        <v>North</v>
      </c>
      <c r="N719">
        <f>IFERROR(VLOOKUP(D719,Products!$A$2:$F$61,4,FALSE()),"")</f>
        <v>1748</v>
      </c>
      <c r="O719" t="str">
        <f>IFERROR(VLOOKUP(C719,Customers!$A$2:$F$301,5,FALSE()),"")</f>
        <v>Retail</v>
      </c>
      <c r="P719">
        <f>IFERROR(VLOOKUP(C719,Customers!$A$2:$F$301,3,FALSE()),"")</f>
        <v>38</v>
      </c>
      <c r="Q719">
        <f t="shared" si="33"/>
        <v>0.49333333333333335</v>
      </c>
      <c r="R719">
        <f>IF(AND(COUNTIF($A$2:$A$2027,A719)&gt;1,COUNTIF($A$2:A719,A719)=1),1,0)</f>
        <v>0</v>
      </c>
      <c r="S719" t="b">
        <f>IFERROR(VLOOKUP(D719,Products!$A$2:$F$61,6,FALSE()),"")</f>
        <v>1</v>
      </c>
      <c r="T719" t="str">
        <f>IF(COUNTIF(Customers!$A$2:$A$301,C719)=0,"Missing","OK")</f>
        <v>OK</v>
      </c>
      <c r="U719" t="str">
        <f t="shared" si="34"/>
        <v>Pune</v>
      </c>
      <c r="V719">
        <f t="shared" si="35"/>
        <v>0</v>
      </c>
    </row>
    <row r="720" spans="1:22" ht="15" customHeight="1" x14ac:dyDescent="0.35">
      <c r="A720" s="3" t="s">
        <v>1122</v>
      </c>
      <c r="B720" s="4">
        <v>45616</v>
      </c>
      <c r="C720" s="3" t="s">
        <v>780</v>
      </c>
      <c r="D720" s="3" t="s">
        <v>299</v>
      </c>
      <c r="E720" s="3" t="s">
        <v>71</v>
      </c>
      <c r="F720" s="5">
        <v>3</v>
      </c>
      <c r="G720" s="5">
        <v>5410</v>
      </c>
      <c r="H720" s="5">
        <v>15.5</v>
      </c>
      <c r="I720" s="5">
        <v>13714.35</v>
      </c>
      <c r="J720" s="3" t="s">
        <v>26</v>
      </c>
      <c r="K720" s="3" t="s">
        <v>56</v>
      </c>
      <c r="L720" t="str">
        <f>IFERROR(VLOOKUP(D720,Products!$A$2:$F$61,3,FALSE()),"")</f>
        <v>Sports</v>
      </c>
      <c r="M720" t="str">
        <f>IFERROR(VLOOKUP(E720,Sales_Reps!$A$2:$C$31,3,FALSE()),"")</f>
        <v>South</v>
      </c>
      <c r="N720">
        <f>IFERROR(VLOOKUP(D720,Products!$A$2:$F$61,4,FALSE()),"")</f>
        <v>2265</v>
      </c>
      <c r="O720" t="str">
        <f>IFERROR(VLOOKUP(C720,Customers!$A$2:$F$301,5,FALSE()),"")</f>
        <v>Corporate</v>
      </c>
      <c r="P720">
        <f>IFERROR(VLOOKUP(C720,Customers!$A$2:$F$301,3,FALSE()),"")</f>
        <v>41</v>
      </c>
      <c r="Q720">
        <f t="shared" si="33"/>
        <v>0.58133086876155271</v>
      </c>
      <c r="R720">
        <f>IF(AND(COUNTIF($A$2:$A$2027,A720)&gt;1,COUNTIF($A$2:A720,A720)=1),1,0)</f>
        <v>0</v>
      </c>
      <c r="S720" t="b">
        <f>IFERROR(VLOOKUP(D720,Products!$A$2:$F$61,6,FALSE()),"")</f>
        <v>1</v>
      </c>
      <c r="T720" t="str">
        <f>IF(COUNTIF(Customers!$A$2:$A$301,C720)=0,"Missing","OK")</f>
        <v>OK</v>
      </c>
      <c r="U720" t="str">
        <f t="shared" si="34"/>
        <v>Bengaluru</v>
      </c>
      <c r="V720">
        <f t="shared" si="35"/>
        <v>0</v>
      </c>
    </row>
    <row r="721" spans="1:22" ht="15" customHeight="1" x14ac:dyDescent="0.35">
      <c r="A721" s="3" t="s">
        <v>1123</v>
      </c>
      <c r="B721" s="4">
        <v>45448</v>
      </c>
      <c r="C721" s="3" t="s">
        <v>440</v>
      </c>
      <c r="D721" s="3" t="s">
        <v>118</v>
      </c>
      <c r="E721" s="3" t="s">
        <v>60</v>
      </c>
      <c r="F721" s="5">
        <v>8</v>
      </c>
      <c r="G721" s="5">
        <v>3350</v>
      </c>
      <c r="H721" s="5">
        <v>18.399999999999999</v>
      </c>
      <c r="I721" s="5">
        <v>21868.799999999999</v>
      </c>
      <c r="J721" s="3" t="s">
        <v>26</v>
      </c>
      <c r="K721" s="3" t="s">
        <v>72</v>
      </c>
      <c r="L721" t="str">
        <f>IFERROR(VLOOKUP(D721,Products!$A$2:$F$61,3,FALSE()),"")</f>
        <v>Beauty</v>
      </c>
      <c r="M721" t="str">
        <f>IFERROR(VLOOKUP(E721,Sales_Reps!$A$2:$C$31,3,FALSE()),"")</f>
        <v>East</v>
      </c>
      <c r="N721">
        <f>IFERROR(VLOOKUP(D721,Products!$A$2:$F$61,4,FALSE()),"")</f>
        <v>1728</v>
      </c>
      <c r="O721" t="str">
        <f>IFERROR(VLOOKUP(C721,Customers!$A$2:$F$301,5,FALSE()),"")</f>
        <v>SMB</v>
      </c>
      <c r="P721">
        <f>IFERROR(VLOOKUP(C721,Customers!$A$2:$F$301,3,FALSE()),"")</f>
        <v>65</v>
      </c>
      <c r="Q721">
        <f t="shared" si="33"/>
        <v>0.48417910447761192</v>
      </c>
      <c r="R721">
        <f>IF(AND(COUNTIF($A$2:$A$2027,A721)&gt;1,COUNTIF($A$2:A721,A721)=1),1,0)</f>
        <v>0</v>
      </c>
      <c r="S721" t="b">
        <f>IFERROR(VLOOKUP(D721,Products!$A$2:$F$61,6,FALSE()),"")</f>
        <v>1</v>
      </c>
      <c r="T721" t="str">
        <f>IF(COUNTIF(Customers!$A$2:$A$301,C721)=0,"Missing","OK")</f>
        <v>OK</v>
      </c>
      <c r="U721" t="str">
        <f t="shared" si="34"/>
        <v>Hyderabad</v>
      </c>
      <c r="V721">
        <f t="shared" si="35"/>
        <v>0</v>
      </c>
    </row>
    <row r="722" spans="1:22" ht="15" customHeight="1" x14ac:dyDescent="0.35">
      <c r="A722" s="3" t="s">
        <v>1124</v>
      </c>
      <c r="B722" s="4">
        <v>45611</v>
      </c>
      <c r="C722" s="3" t="s">
        <v>162</v>
      </c>
      <c r="D722" s="3" t="s">
        <v>112</v>
      </c>
      <c r="E722" s="3" t="s">
        <v>46</v>
      </c>
      <c r="F722" s="5">
        <v>5</v>
      </c>
      <c r="G722" s="5">
        <v>2720</v>
      </c>
      <c r="H722" s="5">
        <v>17.3</v>
      </c>
      <c r="I722" s="5">
        <v>11247.2</v>
      </c>
      <c r="J722" s="3" t="s">
        <v>79</v>
      </c>
      <c r="K722" s="3" t="s">
        <v>38</v>
      </c>
      <c r="L722" t="str">
        <f>IFERROR(VLOOKUP(D722,Products!$A$2:$F$61,3,FALSE()),"")</f>
        <v>Apparel</v>
      </c>
      <c r="M722" t="str">
        <f>IFERROR(VLOOKUP(E722,Sales_Reps!$A$2:$C$31,3,FALSE()),"")</f>
        <v>North</v>
      </c>
      <c r="N722">
        <f>IFERROR(VLOOKUP(D722,Products!$A$2:$F$61,4,FALSE()),"")</f>
        <v>1962</v>
      </c>
      <c r="O722" t="str">
        <f>IFERROR(VLOOKUP(C722,Customers!$A$2:$F$301,5,FALSE()),"")</f>
        <v>Retail</v>
      </c>
      <c r="P722">
        <f>IFERROR(VLOOKUP(C722,Customers!$A$2:$F$301,3,FALSE()),"")</f>
        <v>53</v>
      </c>
      <c r="Q722">
        <f t="shared" si="33"/>
        <v>0.2786764705882353</v>
      </c>
      <c r="R722">
        <f>IF(AND(COUNTIF($A$2:$A$2027,A722)&gt;1,COUNTIF($A$2:A722,A722)=1),1,0)</f>
        <v>0</v>
      </c>
      <c r="S722" t="b">
        <f>IFERROR(VLOOKUP(D722,Products!$A$2:$F$61,6,FALSE()),"")</f>
        <v>1</v>
      </c>
      <c r="T722" t="str">
        <f>IF(COUNTIF(Customers!$A$2:$A$301,C722)=0,"Missing","OK")</f>
        <v>OK</v>
      </c>
      <c r="U722" t="str">
        <f t="shared" si="34"/>
        <v>Delhi</v>
      </c>
      <c r="V722">
        <f t="shared" si="35"/>
        <v>0</v>
      </c>
    </row>
    <row r="723" spans="1:22" ht="15" customHeight="1" x14ac:dyDescent="0.35">
      <c r="A723" s="3" t="s">
        <v>1125</v>
      </c>
      <c r="B723" s="4">
        <v>45403</v>
      </c>
      <c r="C723" s="3" t="s">
        <v>53</v>
      </c>
      <c r="D723" s="3" t="s">
        <v>41</v>
      </c>
      <c r="E723" s="3" t="s">
        <v>177</v>
      </c>
      <c r="F723" s="5">
        <v>8</v>
      </c>
      <c r="G723" s="5">
        <v>3660</v>
      </c>
      <c r="H723" s="5">
        <v>28.8</v>
      </c>
      <c r="I723" s="5">
        <v>20847.36</v>
      </c>
      <c r="J723" s="3" t="s">
        <v>26</v>
      </c>
      <c r="K723" s="3" t="s">
        <v>56</v>
      </c>
      <c r="L723" t="str">
        <f>IFERROR(VLOOKUP(D723,Products!$A$2:$F$61,3,FALSE()),"")</f>
        <v>Grocery</v>
      </c>
      <c r="M723" t="str">
        <f>IFERROR(VLOOKUP(E723,Sales_Reps!$A$2:$C$31,3,FALSE()),"")</f>
        <v>East</v>
      </c>
      <c r="N723">
        <f>IFERROR(VLOOKUP(D723,Products!$A$2:$F$61,4,FALSE()),"")</f>
        <v>2214</v>
      </c>
      <c r="O723" t="str">
        <f>IFERROR(VLOOKUP(C723,Customers!$A$2:$F$301,5,FALSE()),"")</f>
        <v>Retail</v>
      </c>
      <c r="P723">
        <f>IFERROR(VLOOKUP(C723,Customers!$A$2:$F$301,3,FALSE()),"")</f>
        <v>27</v>
      </c>
      <c r="Q723">
        <f t="shared" si="33"/>
        <v>0.39508196721311473</v>
      </c>
      <c r="R723">
        <f>IF(AND(COUNTIF($A$2:$A$2027,A723)&gt;1,COUNTIF($A$2:A723,A723)=1),1,0)</f>
        <v>0</v>
      </c>
      <c r="S723" t="b">
        <f>IFERROR(VLOOKUP(D723,Products!$A$2:$F$61,6,FALSE()),"")</f>
        <v>0</v>
      </c>
      <c r="T723" t="str">
        <f>IF(COUNTIF(Customers!$A$2:$A$301,C723)=0,"Missing","OK")</f>
        <v>OK</v>
      </c>
      <c r="U723" t="str">
        <f t="shared" si="34"/>
        <v>Bengaluru</v>
      </c>
      <c r="V723">
        <f t="shared" si="35"/>
        <v>20847.36</v>
      </c>
    </row>
    <row r="724" spans="1:22" ht="15" customHeight="1" x14ac:dyDescent="0.35">
      <c r="A724" s="3" t="s">
        <v>1126</v>
      </c>
      <c r="B724" s="4">
        <v>45530</v>
      </c>
      <c r="C724" s="3" t="s">
        <v>521</v>
      </c>
      <c r="D724" s="3" t="s">
        <v>221</v>
      </c>
      <c r="E724" s="3" t="s">
        <v>191</v>
      </c>
      <c r="F724" s="5">
        <v>6</v>
      </c>
      <c r="G724" s="5">
        <v>300</v>
      </c>
      <c r="H724" s="5">
        <v>23.9</v>
      </c>
      <c r="I724" s="5">
        <v>1369.8</v>
      </c>
      <c r="J724" s="3" t="s">
        <v>79</v>
      </c>
      <c r="K724" s="3" t="s">
        <v>33</v>
      </c>
      <c r="L724" t="str">
        <f>IFERROR(VLOOKUP(D724,Products!$A$2:$F$61,3,FALSE()),"")</f>
        <v>Electronics</v>
      </c>
      <c r="M724" t="str">
        <f>IFERROR(VLOOKUP(E724,Sales_Reps!$A$2:$C$31,3,FALSE()),"")</f>
        <v>South</v>
      </c>
      <c r="N724">
        <f>IFERROR(VLOOKUP(D724,Products!$A$2:$F$61,4,FALSE()),"")</f>
        <v>128</v>
      </c>
      <c r="O724" t="str">
        <f>IFERROR(VLOOKUP(C724,Customers!$A$2:$F$301,5,FALSE()),"")</f>
        <v>SMB</v>
      </c>
      <c r="P724">
        <f>IFERROR(VLOOKUP(C724,Customers!$A$2:$F$301,3,FALSE()),"")</f>
        <v>59</v>
      </c>
      <c r="Q724">
        <f t="shared" si="33"/>
        <v>0.57333333333333336</v>
      </c>
      <c r="R724">
        <f>IF(AND(COUNTIF($A$2:$A$2027,A724)&gt;1,COUNTIF($A$2:A724,A724)=1),1,0)</f>
        <v>0</v>
      </c>
      <c r="S724" t="b">
        <f>IFERROR(VLOOKUP(D724,Products!$A$2:$F$61,6,FALSE()),"")</f>
        <v>1</v>
      </c>
      <c r="T724" t="str">
        <f>IF(COUNTIF(Customers!$A$2:$A$301,C724)=0,"Missing","OK")</f>
        <v>OK</v>
      </c>
      <c r="U724" t="str">
        <f t="shared" si="34"/>
        <v>Chennai</v>
      </c>
      <c r="V724">
        <f t="shared" si="35"/>
        <v>0</v>
      </c>
    </row>
    <row r="725" spans="1:22" ht="15" customHeight="1" x14ac:dyDescent="0.35">
      <c r="A725" s="3" t="s">
        <v>1127</v>
      </c>
      <c r="B725" s="4">
        <v>45548</v>
      </c>
      <c r="C725" s="3" t="s">
        <v>183</v>
      </c>
      <c r="D725" s="3" t="s">
        <v>325</v>
      </c>
      <c r="E725" s="3" t="s">
        <v>140</v>
      </c>
      <c r="F725" s="5">
        <v>3</v>
      </c>
      <c r="G725" s="5">
        <v>2290</v>
      </c>
      <c r="H725" s="5">
        <v>2.4</v>
      </c>
      <c r="I725" s="5">
        <v>6705.12</v>
      </c>
      <c r="J725" s="3" t="s">
        <v>26</v>
      </c>
      <c r="K725" s="3" t="s">
        <v>33</v>
      </c>
      <c r="L725" t="str">
        <f>IFERROR(VLOOKUP(D725,Products!$A$2:$F$61,3,FALSE()),"")</f>
        <v>Beauty</v>
      </c>
      <c r="M725" t="str">
        <f>IFERROR(VLOOKUP(E725,Sales_Reps!$A$2:$C$31,3,FALSE()),"")</f>
        <v>West</v>
      </c>
      <c r="N725">
        <f>IFERROR(VLOOKUP(D725,Products!$A$2:$F$61,4,FALSE()),"")</f>
        <v>1219</v>
      </c>
      <c r="O725" t="str">
        <f>IFERROR(VLOOKUP(C725,Customers!$A$2:$F$301,5,FALSE()),"")</f>
        <v>Corporate</v>
      </c>
      <c r="P725">
        <f>IFERROR(VLOOKUP(C725,Customers!$A$2:$F$301,3,FALSE()),"")</f>
        <v>52</v>
      </c>
      <c r="Q725">
        <f t="shared" si="33"/>
        <v>0.46768558951965067</v>
      </c>
      <c r="R725">
        <f>IF(AND(COUNTIF($A$2:$A$2027,A725)&gt;1,COUNTIF($A$2:A725,A725)=1),1,0)</f>
        <v>0</v>
      </c>
      <c r="S725" t="b">
        <f>IFERROR(VLOOKUP(D725,Products!$A$2:$F$61,6,FALSE()),"")</f>
        <v>1</v>
      </c>
      <c r="T725" t="str">
        <f>IF(COUNTIF(Customers!$A$2:$A$301,C725)=0,"Missing","OK")</f>
        <v>OK</v>
      </c>
      <c r="U725" t="str">
        <f t="shared" si="34"/>
        <v>Chennai</v>
      </c>
      <c r="V725">
        <f t="shared" si="35"/>
        <v>0</v>
      </c>
    </row>
    <row r="726" spans="1:22" ht="15" customHeight="1" x14ac:dyDescent="0.35">
      <c r="A726" s="3" t="s">
        <v>1128</v>
      </c>
      <c r="B726" s="4">
        <v>45403</v>
      </c>
      <c r="C726" s="3" t="s">
        <v>925</v>
      </c>
      <c r="D726" s="3" t="s">
        <v>123</v>
      </c>
      <c r="E726" s="3" t="s">
        <v>37</v>
      </c>
      <c r="F726" s="5">
        <v>6</v>
      </c>
      <c r="G726" s="5">
        <v>4880</v>
      </c>
      <c r="H726" s="5">
        <v>11.1</v>
      </c>
      <c r="I726" s="5">
        <v>26029.919999999998</v>
      </c>
      <c r="J726" s="3" t="s">
        <v>32</v>
      </c>
      <c r="K726" s="3" t="s">
        <v>33</v>
      </c>
      <c r="L726" t="str">
        <f>IFERROR(VLOOKUP(D726,Products!$A$2:$F$61,3,FALSE()),"")</f>
        <v>Beauty</v>
      </c>
      <c r="M726" t="str">
        <f>IFERROR(VLOOKUP(E726,Sales_Reps!$A$2:$C$31,3,FALSE()),"")</f>
        <v>South</v>
      </c>
      <c r="N726">
        <f>IFERROR(VLOOKUP(D726,Products!$A$2:$F$61,4,FALSE()),"")</f>
        <v>2768</v>
      </c>
      <c r="O726" t="str">
        <f>IFERROR(VLOOKUP(C726,Customers!$A$2:$F$301,5,FALSE()),"")</f>
        <v>Corporate</v>
      </c>
      <c r="P726">
        <f>IFERROR(VLOOKUP(C726,Customers!$A$2:$F$301,3,FALSE()),"")</f>
        <v>52</v>
      </c>
      <c r="Q726">
        <f t="shared" si="33"/>
        <v>0.43278688524590164</v>
      </c>
      <c r="R726">
        <f>IF(AND(COUNTIF($A$2:$A$2027,A726)&gt;1,COUNTIF($A$2:A726,A726)=1),1,0)</f>
        <v>0</v>
      </c>
      <c r="S726" t="b">
        <f>IFERROR(VLOOKUP(D726,Products!$A$2:$F$61,6,FALSE()),"")</f>
        <v>1</v>
      </c>
      <c r="T726" t="str">
        <f>IF(COUNTIF(Customers!$A$2:$A$301,C726)=0,"Missing","OK")</f>
        <v>OK</v>
      </c>
      <c r="U726" t="str">
        <f t="shared" si="34"/>
        <v>Chennai</v>
      </c>
      <c r="V726">
        <f t="shared" si="35"/>
        <v>0</v>
      </c>
    </row>
    <row r="727" spans="1:22" ht="15" customHeight="1" x14ac:dyDescent="0.35">
      <c r="A727" s="3" t="s">
        <v>1129</v>
      </c>
      <c r="B727" s="4">
        <v>45562</v>
      </c>
      <c r="C727" s="3" t="s">
        <v>1130</v>
      </c>
      <c r="D727" s="3" t="s">
        <v>221</v>
      </c>
      <c r="E727" s="3" t="s">
        <v>25</v>
      </c>
      <c r="F727" s="5">
        <v>5</v>
      </c>
      <c r="G727" s="5">
        <v>300</v>
      </c>
      <c r="H727" s="5">
        <v>19.399999999999999</v>
      </c>
      <c r="I727" s="5">
        <v>1209</v>
      </c>
      <c r="J727" s="3" t="s">
        <v>26</v>
      </c>
      <c r="K727" s="3" t="s">
        <v>56</v>
      </c>
      <c r="L727" t="str">
        <f>IFERROR(VLOOKUP(D727,Products!$A$2:$F$61,3,FALSE()),"")</f>
        <v>Electronics</v>
      </c>
      <c r="M727" t="str">
        <f>IFERROR(VLOOKUP(E727,Sales_Reps!$A$2:$C$31,3,FALSE()),"")</f>
        <v>North</v>
      </c>
      <c r="N727">
        <f>IFERROR(VLOOKUP(D727,Products!$A$2:$F$61,4,FALSE()),"")</f>
        <v>128</v>
      </c>
      <c r="O727" t="str">
        <f>IFERROR(VLOOKUP(C727,Customers!$A$2:$F$301,5,FALSE()),"")</f>
        <v>Retail</v>
      </c>
      <c r="P727">
        <f>IFERROR(VLOOKUP(C727,Customers!$A$2:$F$301,3,FALSE()),"")</f>
        <v>36</v>
      </c>
      <c r="Q727">
        <f t="shared" si="33"/>
        <v>0.57333333333333336</v>
      </c>
      <c r="R727">
        <f>IF(AND(COUNTIF($A$2:$A$2027,A727)&gt;1,COUNTIF($A$2:A727,A727)=1),1,0)</f>
        <v>0</v>
      </c>
      <c r="S727" t="b">
        <f>IFERROR(VLOOKUP(D727,Products!$A$2:$F$61,6,FALSE()),"")</f>
        <v>1</v>
      </c>
      <c r="T727" t="str">
        <f>IF(COUNTIF(Customers!$A$2:$A$301,C727)=0,"Missing","OK")</f>
        <v>OK</v>
      </c>
      <c r="U727" t="str">
        <f t="shared" si="34"/>
        <v>Bengaluru</v>
      </c>
      <c r="V727">
        <f t="shared" si="35"/>
        <v>0</v>
      </c>
    </row>
    <row r="728" spans="1:22" ht="15" customHeight="1" x14ac:dyDescent="0.35">
      <c r="A728" s="3" t="s">
        <v>1131</v>
      </c>
      <c r="B728" s="4">
        <v>45635</v>
      </c>
      <c r="C728" s="3" t="s">
        <v>1132</v>
      </c>
      <c r="D728" s="3" t="s">
        <v>218</v>
      </c>
      <c r="E728" s="3" t="s">
        <v>109</v>
      </c>
      <c r="F728" s="5">
        <v>3</v>
      </c>
      <c r="G728" s="5">
        <v>2660</v>
      </c>
      <c r="H728" s="5">
        <v>28.5</v>
      </c>
      <c r="I728" s="5">
        <v>5705.7</v>
      </c>
      <c r="J728" s="3" t="s">
        <v>32</v>
      </c>
      <c r="K728" s="3" t="s">
        <v>72</v>
      </c>
      <c r="L728" t="str">
        <f>IFERROR(VLOOKUP(D728,Products!$A$2:$F$61,3,FALSE()),"")</f>
        <v>Electronics</v>
      </c>
      <c r="M728" t="str">
        <f>IFERROR(VLOOKUP(E728,Sales_Reps!$A$2:$C$31,3,FALSE()),"")</f>
        <v>West</v>
      </c>
      <c r="N728">
        <f>IFERROR(VLOOKUP(D728,Products!$A$2:$F$61,4,FALSE()),"")</f>
        <v>1259</v>
      </c>
      <c r="O728" t="str">
        <f>IFERROR(VLOOKUP(C728,Customers!$A$2:$F$301,5,FALSE()),"")</f>
        <v>SMB</v>
      </c>
      <c r="P728">
        <f>IFERROR(VLOOKUP(C728,Customers!$A$2:$F$301,3,FALSE()),"")</f>
        <v>25</v>
      </c>
      <c r="Q728">
        <f t="shared" si="33"/>
        <v>0.52669172932330832</v>
      </c>
      <c r="R728">
        <f>IF(AND(COUNTIF($A$2:$A$2027,A728)&gt;1,COUNTIF($A$2:A728,A728)=1),1,0)</f>
        <v>0</v>
      </c>
      <c r="S728" t="b">
        <f>IFERROR(VLOOKUP(D728,Products!$A$2:$F$61,6,FALSE()),"")</f>
        <v>0</v>
      </c>
      <c r="T728" t="str">
        <f>IF(COUNTIF(Customers!$A$2:$A$301,C728)=0,"Missing","OK")</f>
        <v>OK</v>
      </c>
      <c r="U728" t="str">
        <f t="shared" si="34"/>
        <v>Hyderabad</v>
      </c>
      <c r="V728">
        <f t="shared" si="35"/>
        <v>0</v>
      </c>
    </row>
    <row r="729" spans="1:22" ht="15" customHeight="1" x14ac:dyDescent="0.35">
      <c r="A729" s="3" t="s">
        <v>1133</v>
      </c>
      <c r="B729" s="4">
        <v>45434</v>
      </c>
      <c r="C729" s="3" t="s">
        <v>774</v>
      </c>
      <c r="D729" s="3" t="s">
        <v>441</v>
      </c>
      <c r="E729" s="3" t="s">
        <v>55</v>
      </c>
      <c r="F729" s="5">
        <v>7</v>
      </c>
      <c r="G729" s="5">
        <v>1090</v>
      </c>
      <c r="H729" s="5">
        <v>10.3</v>
      </c>
      <c r="I729" s="5">
        <v>6844.11</v>
      </c>
      <c r="J729" s="3" t="s">
        <v>26</v>
      </c>
      <c r="K729" s="3" t="s">
        <v>56</v>
      </c>
      <c r="L729" t="str">
        <f>IFERROR(VLOOKUP(D729,Products!$A$2:$F$61,3,FALSE()),"")</f>
        <v>Home</v>
      </c>
      <c r="M729" t="str">
        <f>IFERROR(VLOOKUP(E729,Sales_Reps!$A$2:$C$31,3,FALSE()),"")</f>
        <v>West</v>
      </c>
      <c r="N729">
        <f>IFERROR(VLOOKUP(D729,Products!$A$2:$F$61,4,FALSE()),"")</f>
        <v>464</v>
      </c>
      <c r="O729" t="str">
        <f>IFERROR(VLOOKUP(C729,Customers!$A$2:$F$301,5,FALSE()),"")</f>
        <v>Retail</v>
      </c>
      <c r="P729">
        <f>IFERROR(VLOOKUP(C729,Customers!$A$2:$F$301,3,FALSE()),"")</f>
        <v>52</v>
      </c>
      <c r="Q729">
        <f t="shared" si="33"/>
        <v>0.57431192660550456</v>
      </c>
      <c r="R729">
        <f>IF(AND(COUNTIF($A$2:$A$2027,A729)&gt;1,COUNTIF($A$2:A729,A729)=1),1,0)</f>
        <v>0</v>
      </c>
      <c r="S729" t="b">
        <f>IFERROR(VLOOKUP(D729,Products!$A$2:$F$61,6,FALSE()),"")</f>
        <v>1</v>
      </c>
      <c r="T729" t="str">
        <f>IF(COUNTIF(Customers!$A$2:$A$301,C729)=0,"Missing","OK")</f>
        <v>OK</v>
      </c>
      <c r="U729" t="str">
        <f t="shared" si="34"/>
        <v>Bengaluru</v>
      </c>
      <c r="V729">
        <f t="shared" si="35"/>
        <v>0</v>
      </c>
    </row>
    <row r="730" spans="1:22" ht="15" customHeight="1" x14ac:dyDescent="0.35">
      <c r="A730" s="3" t="s">
        <v>1134</v>
      </c>
      <c r="B730" s="4">
        <v>45350</v>
      </c>
      <c r="C730" s="3" t="s">
        <v>426</v>
      </c>
      <c r="D730" s="3" t="s">
        <v>59</v>
      </c>
      <c r="E730" s="3" t="s">
        <v>264</v>
      </c>
      <c r="F730" s="5">
        <v>9</v>
      </c>
      <c r="G730" s="5">
        <v>1430</v>
      </c>
      <c r="H730" s="5">
        <v>12.1</v>
      </c>
      <c r="I730" s="5">
        <v>11312.73</v>
      </c>
      <c r="J730" s="3" t="s">
        <v>79</v>
      </c>
      <c r="K730" s="3" t="s">
        <v>27</v>
      </c>
      <c r="L730" t="str">
        <f>IFERROR(VLOOKUP(D730,Products!$A$2:$F$61,3,FALSE()),"")</f>
        <v>Electronics</v>
      </c>
      <c r="M730" t="str">
        <f>IFERROR(VLOOKUP(E730,Sales_Reps!$A$2:$C$31,3,FALSE()),"")</f>
        <v>South</v>
      </c>
      <c r="N730">
        <f>IFERROR(VLOOKUP(D730,Products!$A$2:$F$61,4,FALSE()),"")</f>
        <v>861</v>
      </c>
      <c r="O730" t="str">
        <f>IFERROR(VLOOKUP(C730,Customers!$A$2:$F$301,5,FALSE()),"")</f>
        <v>Corporate</v>
      </c>
      <c r="P730">
        <f>IFERROR(VLOOKUP(C730,Customers!$A$2:$F$301,3,FALSE()),"")</f>
        <v>29</v>
      </c>
      <c r="Q730">
        <f t="shared" si="33"/>
        <v>0.39790209790209791</v>
      </c>
      <c r="R730">
        <f>IF(AND(COUNTIF($A$2:$A$2027,A730)&gt;1,COUNTIF($A$2:A730,A730)=1),1,0)</f>
        <v>0</v>
      </c>
      <c r="S730" t="b">
        <f>IFERROR(VLOOKUP(D730,Products!$A$2:$F$61,6,FALSE()),"")</f>
        <v>1</v>
      </c>
      <c r="T730" t="str">
        <f>IF(COUNTIF(Customers!$A$2:$A$301,C730)=0,"Missing","OK")</f>
        <v>OK</v>
      </c>
      <c r="U730" t="str">
        <f t="shared" si="34"/>
        <v>Pune</v>
      </c>
      <c r="V730">
        <f t="shared" si="35"/>
        <v>0</v>
      </c>
    </row>
    <row r="731" spans="1:22" ht="15" customHeight="1" x14ac:dyDescent="0.35">
      <c r="A731" s="3" t="s">
        <v>1135</v>
      </c>
      <c r="B731" s="4">
        <v>45344</v>
      </c>
      <c r="C731" s="3" t="s">
        <v>164</v>
      </c>
      <c r="D731" s="3" t="s">
        <v>74</v>
      </c>
      <c r="E731" s="3" t="s">
        <v>31</v>
      </c>
      <c r="F731" s="5">
        <v>5</v>
      </c>
      <c r="G731" s="5">
        <v>2640</v>
      </c>
      <c r="H731" s="5">
        <v>26.8</v>
      </c>
      <c r="I731" s="5">
        <v>9662.4</v>
      </c>
      <c r="J731" s="3" t="s">
        <v>26</v>
      </c>
      <c r="K731" s="3" t="s">
        <v>33</v>
      </c>
      <c r="L731" t="str">
        <f>IFERROR(VLOOKUP(D731,Products!$A$2:$F$61,3,FALSE()),"")</f>
        <v>Electronics</v>
      </c>
      <c r="M731" t="str">
        <f>IFERROR(VLOOKUP(E731,Sales_Reps!$A$2:$C$31,3,FALSE()),"")</f>
        <v>North</v>
      </c>
      <c r="N731">
        <f>IFERROR(VLOOKUP(D731,Products!$A$2:$F$61,4,FALSE()),"")</f>
        <v>1149</v>
      </c>
      <c r="O731" t="str">
        <f>IFERROR(VLOOKUP(C731,Customers!$A$2:$F$301,5,FALSE()),"")</f>
        <v>Retail</v>
      </c>
      <c r="P731">
        <f>IFERROR(VLOOKUP(C731,Customers!$A$2:$F$301,3,FALSE()),"")</f>
        <v>37</v>
      </c>
      <c r="Q731">
        <f t="shared" si="33"/>
        <v>0.56477272727272732</v>
      </c>
      <c r="R731">
        <f>IF(AND(COUNTIF($A$2:$A$2027,A731)&gt;1,COUNTIF($A$2:A731,A731)=1),1,0)</f>
        <v>0</v>
      </c>
      <c r="S731" t="b">
        <f>IFERROR(VLOOKUP(D731,Products!$A$2:$F$61,6,FALSE()),"")</f>
        <v>1</v>
      </c>
      <c r="T731" t="str">
        <f>IF(COUNTIF(Customers!$A$2:$A$301,C731)=0,"Missing","OK")</f>
        <v>OK</v>
      </c>
      <c r="U731" t="str">
        <f t="shared" si="34"/>
        <v>Chennai</v>
      </c>
      <c r="V731">
        <f t="shared" si="35"/>
        <v>0</v>
      </c>
    </row>
    <row r="732" spans="1:22" ht="15" customHeight="1" x14ac:dyDescent="0.35">
      <c r="A732" s="3" t="s">
        <v>1136</v>
      </c>
      <c r="B732" s="4">
        <v>45498</v>
      </c>
      <c r="C732" s="3" t="s">
        <v>642</v>
      </c>
      <c r="D732" s="3" t="s">
        <v>112</v>
      </c>
      <c r="E732" s="3" t="s">
        <v>154</v>
      </c>
      <c r="F732" s="5">
        <v>8</v>
      </c>
      <c r="G732" s="5">
        <v>2720</v>
      </c>
      <c r="H732" s="5">
        <v>17.5</v>
      </c>
      <c r="I732" s="5">
        <v>17952</v>
      </c>
      <c r="J732" s="3" t="s">
        <v>26</v>
      </c>
      <c r="K732" s="3" t="s">
        <v>27</v>
      </c>
      <c r="L732" t="str">
        <f>IFERROR(VLOOKUP(D732,Products!$A$2:$F$61,3,FALSE()),"")</f>
        <v>Apparel</v>
      </c>
      <c r="M732" t="str">
        <f>IFERROR(VLOOKUP(E732,Sales_Reps!$A$2:$C$31,3,FALSE()),"")</f>
        <v>North</v>
      </c>
      <c r="N732">
        <f>IFERROR(VLOOKUP(D732,Products!$A$2:$F$61,4,FALSE()),"")</f>
        <v>1962</v>
      </c>
      <c r="O732" t="str">
        <f>IFERROR(VLOOKUP(C732,Customers!$A$2:$F$301,5,FALSE()),"")</f>
        <v>Corporate</v>
      </c>
      <c r="P732">
        <f>IFERROR(VLOOKUP(C732,Customers!$A$2:$F$301,3,FALSE()),"")</f>
        <v>52</v>
      </c>
      <c r="Q732">
        <f t="shared" si="33"/>
        <v>0.2786764705882353</v>
      </c>
      <c r="R732">
        <f>IF(AND(COUNTIF($A$2:$A$2027,A732)&gt;1,COUNTIF($A$2:A732,A732)=1),1,0)</f>
        <v>0</v>
      </c>
      <c r="S732" t="b">
        <f>IFERROR(VLOOKUP(D732,Products!$A$2:$F$61,6,FALSE()),"")</f>
        <v>1</v>
      </c>
      <c r="T732" t="str">
        <f>IF(COUNTIF(Customers!$A$2:$A$301,C732)=0,"Missing","OK")</f>
        <v>OK</v>
      </c>
      <c r="U732" t="str">
        <f t="shared" si="34"/>
        <v>Pune</v>
      </c>
      <c r="V732">
        <f t="shared" si="35"/>
        <v>0</v>
      </c>
    </row>
    <row r="733" spans="1:22" ht="15" customHeight="1" x14ac:dyDescent="0.35">
      <c r="A733" s="3" t="s">
        <v>1137</v>
      </c>
      <c r="B733" s="4">
        <v>45520</v>
      </c>
      <c r="C733" s="3" t="s">
        <v>421</v>
      </c>
      <c r="D733" s="3" t="s">
        <v>176</v>
      </c>
      <c r="E733" s="3" t="s">
        <v>285</v>
      </c>
      <c r="F733" s="5">
        <v>9</v>
      </c>
      <c r="G733" s="5">
        <v>3640</v>
      </c>
      <c r="H733" s="5">
        <v>3.6</v>
      </c>
      <c r="I733" s="5">
        <v>31580.639999999999</v>
      </c>
      <c r="J733" s="3" t="s">
        <v>26</v>
      </c>
      <c r="K733" s="3" t="s">
        <v>72</v>
      </c>
      <c r="L733" t="str">
        <f>IFERROR(VLOOKUP(D733,Products!$A$2:$F$61,3,FALSE()),"")</f>
        <v>Apparel</v>
      </c>
      <c r="M733" t="str">
        <f>IFERROR(VLOOKUP(E733,Sales_Reps!$A$2:$C$31,3,FALSE()),"")</f>
        <v>South</v>
      </c>
      <c r="N733">
        <f>IFERROR(VLOOKUP(D733,Products!$A$2:$F$61,4,FALSE()),"")</f>
        <v>2611</v>
      </c>
      <c r="O733" t="str">
        <f>IFERROR(VLOOKUP(C733,Customers!$A$2:$F$301,5,FALSE()),"")</f>
        <v>Corporate</v>
      </c>
      <c r="P733">
        <f>IFERROR(VLOOKUP(C733,Customers!$A$2:$F$301,3,FALSE()),"")</f>
        <v>52</v>
      </c>
      <c r="Q733">
        <f t="shared" si="33"/>
        <v>0.28269230769230769</v>
      </c>
      <c r="R733">
        <f>IF(AND(COUNTIF($A$2:$A$2027,A733)&gt;1,COUNTIF($A$2:A733,A733)=1),1,0)</f>
        <v>0</v>
      </c>
      <c r="S733" t="b">
        <f>IFERROR(VLOOKUP(D733,Products!$A$2:$F$61,6,FALSE()),"")</f>
        <v>1</v>
      </c>
      <c r="T733" t="str">
        <f>IF(COUNTIF(Customers!$A$2:$A$301,C733)=0,"Missing","OK")</f>
        <v>OK</v>
      </c>
      <c r="U733" t="str">
        <f t="shared" si="34"/>
        <v>Hyderabad</v>
      </c>
      <c r="V733">
        <f t="shared" si="35"/>
        <v>0</v>
      </c>
    </row>
    <row r="734" spans="1:22" ht="15" customHeight="1" x14ac:dyDescent="0.35">
      <c r="A734" s="3" t="s">
        <v>1138</v>
      </c>
      <c r="B734" s="4">
        <v>45554</v>
      </c>
      <c r="C734" s="3" t="s">
        <v>1139</v>
      </c>
      <c r="D734" s="3" t="s">
        <v>180</v>
      </c>
      <c r="E734" s="3" t="s">
        <v>97</v>
      </c>
      <c r="F734" s="5">
        <v>7</v>
      </c>
      <c r="G734" s="5">
        <v>6080</v>
      </c>
      <c r="H734" s="5">
        <v>23.6</v>
      </c>
      <c r="I734" s="5">
        <v>32515.84</v>
      </c>
      <c r="J734" s="3" t="s">
        <v>26</v>
      </c>
      <c r="K734" s="3" t="s">
        <v>51</v>
      </c>
      <c r="L734" t="str">
        <f>IFERROR(VLOOKUP(D734,Products!$A$2:$F$61,3,FALSE()),"")</f>
        <v>Beauty</v>
      </c>
      <c r="M734" t="str">
        <f>IFERROR(VLOOKUP(E734,Sales_Reps!$A$2:$C$31,3,FALSE()),"")</f>
        <v>East</v>
      </c>
      <c r="N734">
        <f>IFERROR(VLOOKUP(D734,Products!$A$2:$F$61,4,FALSE()),"")</f>
        <v>2617</v>
      </c>
      <c r="O734" t="str">
        <f>IFERROR(VLOOKUP(C734,Customers!$A$2:$F$301,5,FALSE()),"")</f>
        <v/>
      </c>
      <c r="P734" t="str">
        <f>IFERROR(VLOOKUP(C734,Customers!$A$2:$F$301,3,FALSE()),"")</f>
        <v/>
      </c>
      <c r="Q734">
        <f t="shared" si="33"/>
        <v>0.56957236842105263</v>
      </c>
      <c r="R734">
        <f>IF(AND(COUNTIF($A$2:$A$2027,A734)&gt;1,COUNTIF($A$2:A734,A734)=1),1,0)</f>
        <v>0</v>
      </c>
      <c r="S734" t="b">
        <f>IFERROR(VLOOKUP(D734,Products!$A$2:$F$61,6,FALSE()),"")</f>
        <v>1</v>
      </c>
      <c r="T734" t="str">
        <f>IF(COUNTIF(Customers!$A$2:$A$301,C734)=0,"Missing","OK")</f>
        <v>Missing</v>
      </c>
      <c r="U734" t="str">
        <f t="shared" si="34"/>
        <v>Mumbai</v>
      </c>
      <c r="V734">
        <f t="shared" si="35"/>
        <v>0</v>
      </c>
    </row>
    <row r="735" spans="1:22" ht="15" customHeight="1" x14ac:dyDescent="0.35">
      <c r="A735" s="3" t="s">
        <v>1140</v>
      </c>
      <c r="B735" s="4">
        <v>45584</v>
      </c>
      <c r="C735" s="3" t="s">
        <v>601</v>
      </c>
      <c r="D735" s="3" t="s">
        <v>303</v>
      </c>
      <c r="E735" s="3" t="s">
        <v>127</v>
      </c>
      <c r="F735" s="5">
        <v>7</v>
      </c>
      <c r="G735" s="5">
        <v>5330</v>
      </c>
      <c r="H735" s="5">
        <v>19.7</v>
      </c>
      <c r="I735" s="5">
        <v>29959.93</v>
      </c>
      <c r="J735" s="3" t="s">
        <v>79</v>
      </c>
      <c r="K735" s="3" t="s">
        <v>33</v>
      </c>
      <c r="L735" t="str">
        <f>IFERROR(VLOOKUP(D735,Products!$A$2:$F$61,3,FALSE()),"")</f>
        <v>Electronics</v>
      </c>
      <c r="M735" t="str">
        <f>IFERROR(VLOOKUP(E735,Sales_Reps!$A$2:$C$31,3,FALSE()),"")</f>
        <v>South</v>
      </c>
      <c r="N735">
        <f>IFERROR(VLOOKUP(D735,Products!$A$2:$F$61,4,FALSE()),"")</f>
        <v>2405</v>
      </c>
      <c r="O735" t="str">
        <f>IFERROR(VLOOKUP(C735,Customers!$A$2:$F$301,5,FALSE()),"")</f>
        <v>Corporate</v>
      </c>
      <c r="P735">
        <f>IFERROR(VLOOKUP(C735,Customers!$A$2:$F$301,3,FALSE()),"")</f>
        <v>41</v>
      </c>
      <c r="Q735">
        <f t="shared" si="33"/>
        <v>0.54878048780487809</v>
      </c>
      <c r="R735">
        <f>IF(AND(COUNTIF($A$2:$A$2027,A735)&gt;1,COUNTIF($A$2:A735,A735)=1),1,0)</f>
        <v>0</v>
      </c>
      <c r="S735" t="b">
        <f>IFERROR(VLOOKUP(D735,Products!$A$2:$F$61,6,FALSE()),"")</f>
        <v>1</v>
      </c>
      <c r="T735" t="str">
        <f>IF(COUNTIF(Customers!$A$2:$A$301,C735)=0,"Missing","OK")</f>
        <v>OK</v>
      </c>
      <c r="U735" t="str">
        <f t="shared" si="34"/>
        <v>Chennai</v>
      </c>
      <c r="V735">
        <f t="shared" si="35"/>
        <v>0</v>
      </c>
    </row>
    <row r="736" spans="1:22" ht="15" customHeight="1" x14ac:dyDescent="0.35">
      <c r="A736" s="3" t="s">
        <v>1141</v>
      </c>
      <c r="B736" s="4">
        <v>45593</v>
      </c>
      <c r="C736" s="3" t="s">
        <v>451</v>
      </c>
      <c r="D736" s="3" t="s">
        <v>209</v>
      </c>
      <c r="E736" s="3" t="s">
        <v>55</v>
      </c>
      <c r="F736" s="5">
        <v>5</v>
      </c>
      <c r="G736" s="5">
        <v>4610</v>
      </c>
      <c r="H736" s="5">
        <v>3.6</v>
      </c>
      <c r="I736" s="5">
        <v>22220.2</v>
      </c>
      <c r="J736" s="3" t="s">
        <v>26</v>
      </c>
      <c r="K736" s="3" t="s">
        <v>72</v>
      </c>
      <c r="L736" t="str">
        <f>IFERROR(VLOOKUP(D736,Products!$A$2:$F$61,3,FALSE()),"")</f>
        <v>Home</v>
      </c>
      <c r="M736" t="str">
        <f>IFERROR(VLOOKUP(E736,Sales_Reps!$A$2:$C$31,3,FALSE()),"")</f>
        <v>West</v>
      </c>
      <c r="N736">
        <f>IFERROR(VLOOKUP(D736,Products!$A$2:$F$61,4,FALSE()),"")</f>
        <v>1850</v>
      </c>
      <c r="O736" t="str">
        <f>IFERROR(VLOOKUP(C736,Customers!$A$2:$F$301,5,FALSE()),"")</f>
        <v>Retail</v>
      </c>
      <c r="P736">
        <f>IFERROR(VLOOKUP(C736,Customers!$A$2:$F$301,3,FALSE()),"")</f>
        <v>61</v>
      </c>
      <c r="Q736">
        <f t="shared" si="33"/>
        <v>0.59869848156182215</v>
      </c>
      <c r="R736">
        <f>IF(AND(COUNTIF($A$2:$A$2027,A736)&gt;1,COUNTIF($A$2:A736,A736)=1),1,0)</f>
        <v>0</v>
      </c>
      <c r="S736" t="b">
        <f>IFERROR(VLOOKUP(D736,Products!$A$2:$F$61,6,FALSE()),"")</f>
        <v>1</v>
      </c>
      <c r="T736" t="str">
        <f>IF(COUNTIF(Customers!$A$2:$A$301,C736)=0,"Missing","OK")</f>
        <v>OK</v>
      </c>
      <c r="U736" t="str">
        <f t="shared" si="34"/>
        <v>Hyderabad</v>
      </c>
      <c r="V736">
        <f t="shared" si="35"/>
        <v>0</v>
      </c>
    </row>
    <row r="737" spans="1:22" ht="15" customHeight="1" x14ac:dyDescent="0.35">
      <c r="A737" s="3" t="s">
        <v>1142</v>
      </c>
      <c r="B737" s="4">
        <v>45302</v>
      </c>
      <c r="C737" s="3" t="s">
        <v>746</v>
      </c>
      <c r="D737" s="3" t="s">
        <v>303</v>
      </c>
      <c r="E737" s="3" t="s">
        <v>109</v>
      </c>
      <c r="F737" s="5">
        <v>9</v>
      </c>
      <c r="G737" s="5">
        <v>5330</v>
      </c>
      <c r="H737" s="5">
        <v>22.9</v>
      </c>
      <c r="I737" s="5">
        <v>36984.870000000003</v>
      </c>
      <c r="J737" s="3" t="s">
        <v>26</v>
      </c>
      <c r="K737" s="3" t="s">
        <v>27</v>
      </c>
      <c r="L737" t="str">
        <f>IFERROR(VLOOKUP(D737,Products!$A$2:$F$61,3,FALSE()),"")</f>
        <v>Electronics</v>
      </c>
      <c r="M737" t="str">
        <f>IFERROR(VLOOKUP(E737,Sales_Reps!$A$2:$C$31,3,FALSE()),"")</f>
        <v>West</v>
      </c>
      <c r="N737">
        <f>IFERROR(VLOOKUP(D737,Products!$A$2:$F$61,4,FALSE()),"")</f>
        <v>2405</v>
      </c>
      <c r="O737" t="str">
        <f>IFERROR(VLOOKUP(C737,Customers!$A$2:$F$301,5,FALSE()),"")</f>
        <v>Retail</v>
      </c>
      <c r="P737">
        <f>IFERROR(VLOOKUP(C737,Customers!$A$2:$F$301,3,FALSE()),"")</f>
        <v>36</v>
      </c>
      <c r="Q737">
        <f t="shared" si="33"/>
        <v>0.54878048780487809</v>
      </c>
      <c r="R737">
        <f>IF(AND(COUNTIF($A$2:$A$2027,A737)&gt;1,COUNTIF($A$2:A737,A737)=1),1,0)</f>
        <v>0</v>
      </c>
      <c r="S737" t="b">
        <f>IFERROR(VLOOKUP(D737,Products!$A$2:$F$61,6,FALSE()),"")</f>
        <v>1</v>
      </c>
      <c r="T737" t="str">
        <f>IF(COUNTIF(Customers!$A$2:$A$301,C737)=0,"Missing","OK")</f>
        <v>OK</v>
      </c>
      <c r="U737" t="str">
        <f t="shared" si="34"/>
        <v>Pune</v>
      </c>
      <c r="V737">
        <f t="shared" si="35"/>
        <v>0</v>
      </c>
    </row>
    <row r="738" spans="1:22" ht="15" customHeight="1" x14ac:dyDescent="0.35">
      <c r="A738" s="3" t="s">
        <v>1143</v>
      </c>
      <c r="B738" s="4">
        <v>45440</v>
      </c>
      <c r="C738" s="3" t="s">
        <v>424</v>
      </c>
      <c r="D738" s="3" t="s">
        <v>180</v>
      </c>
      <c r="E738" s="3" t="s">
        <v>242</v>
      </c>
      <c r="F738" s="5">
        <v>5</v>
      </c>
      <c r="G738" s="5">
        <v>6080</v>
      </c>
      <c r="H738" s="5">
        <v>6</v>
      </c>
      <c r="I738" s="5">
        <v>28576</v>
      </c>
      <c r="J738" s="3" t="s">
        <v>83</v>
      </c>
      <c r="K738" s="3" t="s">
        <v>27</v>
      </c>
      <c r="L738" t="str">
        <f>IFERROR(VLOOKUP(D738,Products!$A$2:$F$61,3,FALSE()),"")</f>
        <v>Beauty</v>
      </c>
      <c r="M738" t="str">
        <f>IFERROR(VLOOKUP(E738,Sales_Reps!$A$2:$C$31,3,FALSE()),"")</f>
        <v>East</v>
      </c>
      <c r="N738">
        <f>IFERROR(VLOOKUP(D738,Products!$A$2:$F$61,4,FALSE()),"")</f>
        <v>2617</v>
      </c>
      <c r="O738" t="str">
        <f>IFERROR(VLOOKUP(C738,Customers!$A$2:$F$301,5,FALSE()),"")</f>
        <v>Retail</v>
      </c>
      <c r="P738">
        <f>IFERROR(VLOOKUP(C738,Customers!$A$2:$F$301,3,FALSE()),"")</f>
        <v>49</v>
      </c>
      <c r="Q738">
        <f t="shared" si="33"/>
        <v>0.56957236842105263</v>
      </c>
      <c r="R738">
        <f>IF(AND(COUNTIF($A$2:$A$2027,A738)&gt;1,COUNTIF($A$2:A738,A738)=1),1,0)</f>
        <v>0</v>
      </c>
      <c r="S738" t="b">
        <f>IFERROR(VLOOKUP(D738,Products!$A$2:$F$61,6,FALSE()),"")</f>
        <v>1</v>
      </c>
      <c r="T738" t="str">
        <f>IF(COUNTIF(Customers!$A$2:$A$301,C738)=0,"Missing","OK")</f>
        <v>OK</v>
      </c>
      <c r="U738" t="str">
        <f t="shared" si="34"/>
        <v>Pune</v>
      </c>
      <c r="V738">
        <f t="shared" si="35"/>
        <v>0</v>
      </c>
    </row>
    <row r="739" spans="1:22" ht="15" customHeight="1" x14ac:dyDescent="0.35">
      <c r="A739" s="3" t="s">
        <v>1144</v>
      </c>
      <c r="B739" s="4">
        <v>45299</v>
      </c>
      <c r="C739" s="3" t="s">
        <v>651</v>
      </c>
      <c r="D739" s="3" t="s">
        <v>176</v>
      </c>
      <c r="E739" s="3" t="s">
        <v>177</v>
      </c>
      <c r="F739" s="5">
        <v>7</v>
      </c>
      <c r="G739" s="5">
        <v>3640</v>
      </c>
      <c r="H739" s="5">
        <v>5.5</v>
      </c>
      <c r="I739" s="5">
        <v>24078.6</v>
      </c>
      <c r="J739" s="3" t="s">
        <v>26</v>
      </c>
      <c r="K739" s="3" t="s">
        <v>51</v>
      </c>
      <c r="L739" t="str">
        <f>IFERROR(VLOOKUP(D739,Products!$A$2:$F$61,3,FALSE()),"")</f>
        <v>Apparel</v>
      </c>
      <c r="M739" t="str">
        <f>IFERROR(VLOOKUP(E739,Sales_Reps!$A$2:$C$31,3,FALSE()),"")</f>
        <v>East</v>
      </c>
      <c r="N739">
        <f>IFERROR(VLOOKUP(D739,Products!$A$2:$F$61,4,FALSE()),"")</f>
        <v>2611</v>
      </c>
      <c r="O739" t="str">
        <f>IFERROR(VLOOKUP(C739,Customers!$A$2:$F$301,5,FALSE()),"")</f>
        <v>Corporate</v>
      </c>
      <c r="P739">
        <f>IFERROR(VLOOKUP(C739,Customers!$A$2:$F$301,3,FALSE()),"")</f>
        <v>51</v>
      </c>
      <c r="Q739">
        <f t="shared" si="33"/>
        <v>0.28269230769230769</v>
      </c>
      <c r="R739">
        <f>IF(AND(COUNTIF($A$2:$A$2027,A739)&gt;1,COUNTIF($A$2:A739,A739)=1),1,0)</f>
        <v>0</v>
      </c>
      <c r="S739" t="b">
        <f>IFERROR(VLOOKUP(D739,Products!$A$2:$F$61,6,FALSE()),"")</f>
        <v>1</v>
      </c>
      <c r="T739" t="str">
        <f>IF(COUNTIF(Customers!$A$2:$A$301,C739)=0,"Missing","OK")</f>
        <v>OK</v>
      </c>
      <c r="U739" t="str">
        <f t="shared" si="34"/>
        <v>Mumbai</v>
      </c>
      <c r="V739">
        <f t="shared" si="35"/>
        <v>0</v>
      </c>
    </row>
    <row r="740" spans="1:22" ht="15" customHeight="1" x14ac:dyDescent="0.35">
      <c r="A740" s="3" t="s">
        <v>1145</v>
      </c>
      <c r="B740" s="4">
        <v>45336</v>
      </c>
      <c r="C740" s="3" t="s">
        <v>411</v>
      </c>
      <c r="D740" s="3" t="s">
        <v>218</v>
      </c>
      <c r="E740" s="3" t="s">
        <v>191</v>
      </c>
      <c r="F740" s="5">
        <v>1</v>
      </c>
      <c r="G740" s="5">
        <v>2660</v>
      </c>
      <c r="H740" s="5">
        <v>6.1</v>
      </c>
      <c r="I740" s="5">
        <v>2497.7399999999998</v>
      </c>
      <c r="J740" s="3" t="s">
        <v>79</v>
      </c>
      <c r="K740" s="3" t="s">
        <v>33</v>
      </c>
      <c r="L740" t="str">
        <f>IFERROR(VLOOKUP(D740,Products!$A$2:$F$61,3,FALSE()),"")</f>
        <v>Electronics</v>
      </c>
      <c r="M740" t="str">
        <f>IFERROR(VLOOKUP(E740,Sales_Reps!$A$2:$C$31,3,FALSE()),"")</f>
        <v>South</v>
      </c>
      <c r="N740">
        <f>IFERROR(VLOOKUP(D740,Products!$A$2:$F$61,4,FALSE()),"")</f>
        <v>1259</v>
      </c>
      <c r="O740" t="str">
        <f>IFERROR(VLOOKUP(C740,Customers!$A$2:$F$301,5,FALSE()),"")</f>
        <v>Corporate</v>
      </c>
      <c r="P740">
        <f>IFERROR(VLOOKUP(C740,Customers!$A$2:$F$301,3,FALSE()),"")</f>
        <v>35</v>
      </c>
      <c r="Q740">
        <f t="shared" si="33"/>
        <v>0.52669172932330832</v>
      </c>
      <c r="R740">
        <f>IF(AND(COUNTIF($A$2:$A$2027,A740)&gt;1,COUNTIF($A$2:A740,A740)=1),1,0)</f>
        <v>0</v>
      </c>
      <c r="S740" t="b">
        <f>IFERROR(VLOOKUP(D740,Products!$A$2:$F$61,6,FALSE()),"")</f>
        <v>0</v>
      </c>
      <c r="T740" t="str">
        <f>IF(COUNTIF(Customers!$A$2:$A$301,C740)=0,"Missing","OK")</f>
        <v>OK</v>
      </c>
      <c r="U740" t="str">
        <f t="shared" si="34"/>
        <v>Chennai</v>
      </c>
      <c r="V740">
        <f t="shared" si="35"/>
        <v>0</v>
      </c>
    </row>
    <row r="741" spans="1:22" ht="15" customHeight="1" x14ac:dyDescent="0.35">
      <c r="A741" s="3" t="s">
        <v>1146</v>
      </c>
      <c r="B741" s="4">
        <v>45300</v>
      </c>
      <c r="C741" s="3" t="s">
        <v>172</v>
      </c>
      <c r="D741" s="3" t="s">
        <v>118</v>
      </c>
      <c r="E741" s="3" t="s">
        <v>127</v>
      </c>
      <c r="F741" s="5">
        <v>8</v>
      </c>
      <c r="G741" s="5">
        <v>3350</v>
      </c>
      <c r="H741" s="5">
        <v>19.5</v>
      </c>
      <c r="I741" s="5">
        <v>21574</v>
      </c>
      <c r="J741" s="3" t="s">
        <v>26</v>
      </c>
      <c r="K741" s="3" t="s">
        <v>27</v>
      </c>
      <c r="L741" t="str">
        <f>IFERROR(VLOOKUP(D741,Products!$A$2:$F$61,3,FALSE()),"")</f>
        <v>Beauty</v>
      </c>
      <c r="M741" t="str">
        <f>IFERROR(VLOOKUP(E741,Sales_Reps!$A$2:$C$31,3,FALSE()),"")</f>
        <v>South</v>
      </c>
      <c r="N741">
        <f>IFERROR(VLOOKUP(D741,Products!$A$2:$F$61,4,FALSE()),"")</f>
        <v>1728</v>
      </c>
      <c r="O741" t="str">
        <f>IFERROR(VLOOKUP(C741,Customers!$A$2:$F$301,5,FALSE()),"")</f>
        <v>SMB</v>
      </c>
      <c r="P741">
        <f>IFERROR(VLOOKUP(C741,Customers!$A$2:$F$301,3,FALSE()),"")</f>
        <v>29</v>
      </c>
      <c r="Q741">
        <f t="shared" si="33"/>
        <v>0.48417910447761192</v>
      </c>
      <c r="R741">
        <f>IF(AND(COUNTIF($A$2:$A$2027,A741)&gt;1,COUNTIF($A$2:A741,A741)=1),1,0)</f>
        <v>0</v>
      </c>
      <c r="S741" t="b">
        <f>IFERROR(VLOOKUP(D741,Products!$A$2:$F$61,6,FALSE()),"")</f>
        <v>1</v>
      </c>
      <c r="T741" t="str">
        <f>IF(COUNTIF(Customers!$A$2:$A$301,C741)=0,"Missing","OK")</f>
        <v>OK</v>
      </c>
      <c r="U741" t="str">
        <f t="shared" si="34"/>
        <v>Pune</v>
      </c>
      <c r="V741">
        <f t="shared" si="35"/>
        <v>0</v>
      </c>
    </row>
    <row r="742" spans="1:22" ht="15" customHeight="1" x14ac:dyDescent="0.35">
      <c r="A742" s="3" t="s">
        <v>1147</v>
      </c>
      <c r="B742" s="4">
        <v>45648</v>
      </c>
      <c r="C742" s="3" t="s">
        <v>23</v>
      </c>
      <c r="D742" s="3" t="s">
        <v>209</v>
      </c>
      <c r="E742" s="3" t="s">
        <v>60</v>
      </c>
      <c r="F742" s="5">
        <v>4</v>
      </c>
      <c r="G742" s="5">
        <v>4610</v>
      </c>
      <c r="H742" s="5">
        <v>24</v>
      </c>
      <c r="I742" s="5">
        <v>14014.4</v>
      </c>
      <c r="J742" s="3" t="s">
        <v>26</v>
      </c>
      <c r="K742" s="3" t="s">
        <v>27</v>
      </c>
      <c r="L742" t="str">
        <f>IFERROR(VLOOKUP(D742,Products!$A$2:$F$61,3,FALSE()),"")</f>
        <v>Home</v>
      </c>
      <c r="M742" t="str">
        <f>IFERROR(VLOOKUP(E742,Sales_Reps!$A$2:$C$31,3,FALSE()),"")</f>
        <v>East</v>
      </c>
      <c r="N742">
        <f>IFERROR(VLOOKUP(D742,Products!$A$2:$F$61,4,FALSE()),"")</f>
        <v>1850</v>
      </c>
      <c r="O742" t="str">
        <f>IFERROR(VLOOKUP(C742,Customers!$A$2:$F$301,5,FALSE()),"")</f>
        <v>SMB</v>
      </c>
      <c r="P742">
        <f>IFERROR(VLOOKUP(C742,Customers!$A$2:$F$301,3,FALSE()),"")</f>
        <v>44</v>
      </c>
      <c r="Q742">
        <f t="shared" si="33"/>
        <v>0.59869848156182215</v>
      </c>
      <c r="R742">
        <f>IF(AND(COUNTIF($A$2:$A$2027,A742)&gt;1,COUNTIF($A$2:A742,A742)=1),1,0)</f>
        <v>0</v>
      </c>
      <c r="S742" t="b">
        <f>IFERROR(VLOOKUP(D742,Products!$A$2:$F$61,6,FALSE()),"")</f>
        <v>1</v>
      </c>
      <c r="T742" t="str">
        <f>IF(COUNTIF(Customers!$A$2:$A$301,C742)=0,"Missing","OK")</f>
        <v>OK</v>
      </c>
      <c r="U742" t="str">
        <f t="shared" si="34"/>
        <v>Pune</v>
      </c>
      <c r="V742">
        <f t="shared" si="35"/>
        <v>0</v>
      </c>
    </row>
    <row r="743" spans="1:22" ht="15" customHeight="1" x14ac:dyDescent="0.35">
      <c r="A743" s="3" t="s">
        <v>1148</v>
      </c>
      <c r="B743" s="4">
        <v>45293</v>
      </c>
      <c r="C743" s="3" t="s">
        <v>519</v>
      </c>
      <c r="D743" s="3" t="s">
        <v>134</v>
      </c>
      <c r="E743" s="3" t="s">
        <v>37</v>
      </c>
      <c r="F743" s="5">
        <v>7</v>
      </c>
      <c r="G743" s="5">
        <v>2860</v>
      </c>
      <c r="H743" s="5">
        <v>23.2</v>
      </c>
      <c r="I743" s="5">
        <v>15375.36</v>
      </c>
      <c r="J743" s="3" t="s">
        <v>26</v>
      </c>
      <c r="K743" s="3" t="s">
        <v>27</v>
      </c>
      <c r="L743" t="str">
        <f>IFERROR(VLOOKUP(D743,Products!$A$2:$F$61,3,FALSE()),"")</f>
        <v>Sports</v>
      </c>
      <c r="M743" t="str">
        <f>IFERROR(VLOOKUP(E743,Sales_Reps!$A$2:$C$31,3,FALSE()),"")</f>
        <v>South</v>
      </c>
      <c r="N743">
        <f>IFERROR(VLOOKUP(D743,Products!$A$2:$F$61,4,FALSE()),"")</f>
        <v>2028</v>
      </c>
      <c r="O743" t="str">
        <f>IFERROR(VLOOKUP(C743,Customers!$A$2:$F$301,5,FALSE()),"")</f>
        <v>Corporate</v>
      </c>
      <c r="P743">
        <f>IFERROR(VLOOKUP(C743,Customers!$A$2:$F$301,3,FALSE()),"")</f>
        <v>40</v>
      </c>
      <c r="Q743">
        <f t="shared" si="33"/>
        <v>0.29090909090909089</v>
      </c>
      <c r="R743">
        <f>IF(AND(COUNTIF($A$2:$A$2027,A743)&gt;1,COUNTIF($A$2:A743,A743)=1),1,0)</f>
        <v>0</v>
      </c>
      <c r="S743" t="b">
        <f>IFERROR(VLOOKUP(D743,Products!$A$2:$F$61,6,FALSE()),"")</f>
        <v>1</v>
      </c>
      <c r="T743" t="str">
        <f>IF(COUNTIF(Customers!$A$2:$A$301,C743)=0,"Missing","OK")</f>
        <v>OK</v>
      </c>
      <c r="U743" t="str">
        <f t="shared" si="34"/>
        <v>Pune</v>
      </c>
      <c r="V743">
        <f t="shared" si="35"/>
        <v>0</v>
      </c>
    </row>
    <row r="744" spans="1:22" ht="15" customHeight="1" x14ac:dyDescent="0.35">
      <c r="A744" s="3" t="s">
        <v>1149</v>
      </c>
      <c r="B744" s="4">
        <v>45644</v>
      </c>
      <c r="C744" s="3" t="s">
        <v>746</v>
      </c>
      <c r="D744" s="3" t="s">
        <v>118</v>
      </c>
      <c r="E744" s="3" t="s">
        <v>191</v>
      </c>
      <c r="F744" s="5">
        <v>7</v>
      </c>
      <c r="G744" s="5">
        <v>3350</v>
      </c>
      <c r="H744" s="5">
        <v>10.6</v>
      </c>
      <c r="I744" s="5">
        <v>20964.3</v>
      </c>
      <c r="J744" s="3" t="s">
        <v>32</v>
      </c>
      <c r="K744" s="3" t="s">
        <v>27</v>
      </c>
      <c r="L744" t="str">
        <f>IFERROR(VLOOKUP(D744,Products!$A$2:$F$61,3,FALSE()),"")</f>
        <v>Beauty</v>
      </c>
      <c r="M744" t="str">
        <f>IFERROR(VLOOKUP(E744,Sales_Reps!$A$2:$C$31,3,FALSE()),"")</f>
        <v>South</v>
      </c>
      <c r="N744">
        <f>IFERROR(VLOOKUP(D744,Products!$A$2:$F$61,4,FALSE()),"")</f>
        <v>1728</v>
      </c>
      <c r="O744" t="str">
        <f>IFERROR(VLOOKUP(C744,Customers!$A$2:$F$301,5,FALSE()),"")</f>
        <v>Retail</v>
      </c>
      <c r="P744">
        <f>IFERROR(VLOOKUP(C744,Customers!$A$2:$F$301,3,FALSE()),"")</f>
        <v>36</v>
      </c>
      <c r="Q744">
        <f t="shared" si="33"/>
        <v>0.48417910447761192</v>
      </c>
      <c r="R744">
        <f>IF(AND(COUNTIF($A$2:$A$2027,A744)&gt;1,COUNTIF($A$2:A744,A744)=1),1,0)</f>
        <v>0</v>
      </c>
      <c r="S744" t="b">
        <f>IFERROR(VLOOKUP(D744,Products!$A$2:$F$61,6,FALSE()),"")</f>
        <v>1</v>
      </c>
      <c r="T744" t="str">
        <f>IF(COUNTIF(Customers!$A$2:$A$301,C744)=0,"Missing","OK")</f>
        <v>OK</v>
      </c>
      <c r="U744" t="str">
        <f t="shared" si="34"/>
        <v>Pune</v>
      </c>
      <c r="V744">
        <f t="shared" si="35"/>
        <v>0</v>
      </c>
    </row>
    <row r="745" spans="1:22" ht="15" customHeight="1" x14ac:dyDescent="0.35">
      <c r="A745" s="3" t="s">
        <v>1150</v>
      </c>
      <c r="B745" s="4">
        <v>45589</v>
      </c>
      <c r="C745" s="3" t="s">
        <v>267</v>
      </c>
      <c r="D745" s="3" t="s">
        <v>277</v>
      </c>
      <c r="E745" s="3" t="s">
        <v>67</v>
      </c>
      <c r="F745" s="5">
        <v>5</v>
      </c>
      <c r="G745" s="5">
        <v>2210</v>
      </c>
      <c r="H745" s="5">
        <v>12.1</v>
      </c>
      <c r="I745" s="5">
        <v>9712.9500000000007</v>
      </c>
      <c r="J745" s="3" t="s">
        <v>26</v>
      </c>
      <c r="K745" s="3" t="s">
        <v>33</v>
      </c>
      <c r="L745" t="str">
        <f>IFERROR(VLOOKUP(D745,Products!$A$2:$F$61,3,FALSE()),"")</f>
        <v>Grocery</v>
      </c>
      <c r="M745" t="str">
        <f>IFERROR(VLOOKUP(E745,Sales_Reps!$A$2:$C$31,3,FALSE()),"")</f>
        <v>West</v>
      </c>
      <c r="N745">
        <f>IFERROR(VLOOKUP(D745,Products!$A$2:$F$61,4,FALSE()),"")</f>
        <v>1010</v>
      </c>
      <c r="O745" t="str">
        <f>IFERROR(VLOOKUP(C745,Customers!$A$2:$F$301,5,FALSE()),"")</f>
        <v>Retail</v>
      </c>
      <c r="P745">
        <f>IFERROR(VLOOKUP(C745,Customers!$A$2:$F$301,3,FALSE()),"")</f>
        <v>28</v>
      </c>
      <c r="Q745">
        <f t="shared" si="33"/>
        <v>0.54298642533936647</v>
      </c>
      <c r="R745">
        <f>IF(AND(COUNTIF($A$2:$A$2027,A745)&gt;1,COUNTIF($A$2:A745,A745)=1),1,0)</f>
        <v>0</v>
      </c>
      <c r="S745" t="b">
        <f>IFERROR(VLOOKUP(D745,Products!$A$2:$F$61,6,FALSE()),"")</f>
        <v>1</v>
      </c>
      <c r="T745" t="str">
        <f>IF(COUNTIF(Customers!$A$2:$A$301,C745)=0,"Missing","OK")</f>
        <v>OK</v>
      </c>
      <c r="U745" t="str">
        <f t="shared" si="34"/>
        <v>Chennai</v>
      </c>
      <c r="V745">
        <f t="shared" si="35"/>
        <v>0</v>
      </c>
    </row>
    <row r="746" spans="1:22" ht="15" customHeight="1" x14ac:dyDescent="0.35">
      <c r="A746" s="3" t="s">
        <v>1151</v>
      </c>
      <c r="B746" s="4">
        <v>45329</v>
      </c>
      <c r="C746" s="3" t="s">
        <v>399</v>
      </c>
      <c r="D746" s="3" t="s">
        <v>96</v>
      </c>
      <c r="E746" s="3" t="s">
        <v>191</v>
      </c>
      <c r="F746" s="5">
        <v>1</v>
      </c>
      <c r="G746" s="5">
        <v>3450</v>
      </c>
      <c r="H746" s="5">
        <v>19.100000000000001</v>
      </c>
      <c r="I746" s="5">
        <v>2791.05</v>
      </c>
      <c r="J746" s="3" t="s">
        <v>32</v>
      </c>
      <c r="K746" s="3" t="s">
        <v>27</v>
      </c>
      <c r="L746" t="str">
        <f>IFERROR(VLOOKUP(D746,Products!$A$2:$F$61,3,FALSE()),"")</f>
        <v>Beauty</v>
      </c>
      <c r="M746" t="str">
        <f>IFERROR(VLOOKUP(E746,Sales_Reps!$A$2:$C$31,3,FALSE()),"")</f>
        <v>South</v>
      </c>
      <c r="N746">
        <f>IFERROR(VLOOKUP(D746,Products!$A$2:$F$61,4,FALSE()),"")</f>
        <v>2420</v>
      </c>
      <c r="O746" t="str">
        <f>IFERROR(VLOOKUP(C746,Customers!$A$2:$F$301,5,FALSE()),"")</f>
        <v>Corporate</v>
      </c>
      <c r="P746">
        <f>IFERROR(VLOOKUP(C746,Customers!$A$2:$F$301,3,FALSE()),"")</f>
        <v>37</v>
      </c>
      <c r="Q746">
        <f t="shared" si="33"/>
        <v>0.29855072463768118</v>
      </c>
      <c r="R746">
        <f>IF(AND(COUNTIF($A$2:$A$2027,A746)&gt;1,COUNTIF($A$2:A746,A746)=1),1,0)</f>
        <v>0</v>
      </c>
      <c r="S746" t="b">
        <f>IFERROR(VLOOKUP(D746,Products!$A$2:$F$61,6,FALSE()),"")</f>
        <v>1</v>
      </c>
      <c r="T746" t="str">
        <f>IF(COUNTIF(Customers!$A$2:$A$301,C746)=0,"Missing","OK")</f>
        <v>OK</v>
      </c>
      <c r="U746" t="str">
        <f t="shared" si="34"/>
        <v>Pune</v>
      </c>
      <c r="V746">
        <f t="shared" si="35"/>
        <v>0</v>
      </c>
    </row>
    <row r="747" spans="1:22" ht="15" customHeight="1" x14ac:dyDescent="0.35">
      <c r="A747" s="3" t="s">
        <v>1152</v>
      </c>
      <c r="B747" s="4">
        <v>45587</v>
      </c>
      <c r="C747" s="3" t="s">
        <v>478</v>
      </c>
      <c r="D747" s="3" t="s">
        <v>130</v>
      </c>
      <c r="E747" s="3" t="s">
        <v>67</v>
      </c>
      <c r="F747" s="5">
        <v>5</v>
      </c>
      <c r="G747" s="5">
        <v>5100</v>
      </c>
      <c r="H747" s="5">
        <v>2.8</v>
      </c>
      <c r="I747" s="5">
        <v>24786</v>
      </c>
      <c r="J747" s="3" t="s">
        <v>26</v>
      </c>
      <c r="K747" s="3" t="s">
        <v>72</v>
      </c>
      <c r="L747" t="str">
        <f>IFERROR(VLOOKUP(D747,Products!$A$2:$F$61,3,FALSE()),"")</f>
        <v>Beauty</v>
      </c>
      <c r="M747" t="str">
        <f>IFERROR(VLOOKUP(E747,Sales_Reps!$A$2:$C$31,3,FALSE()),"")</f>
        <v>West</v>
      </c>
      <c r="N747">
        <f>IFERROR(VLOOKUP(D747,Products!$A$2:$F$61,4,FALSE()),"")</f>
        <v>2237</v>
      </c>
      <c r="O747" t="str">
        <f>IFERROR(VLOOKUP(C747,Customers!$A$2:$F$301,5,FALSE()),"")</f>
        <v>Retail</v>
      </c>
      <c r="P747">
        <f>IFERROR(VLOOKUP(C747,Customers!$A$2:$F$301,3,FALSE()),"")</f>
        <v>38</v>
      </c>
      <c r="Q747">
        <f t="shared" si="33"/>
        <v>0.56137254901960787</v>
      </c>
      <c r="R747">
        <f>IF(AND(COUNTIF($A$2:$A$2027,A747)&gt;1,COUNTIF($A$2:A747,A747)=1),1,0)</f>
        <v>0</v>
      </c>
      <c r="S747" t="b">
        <f>IFERROR(VLOOKUP(D747,Products!$A$2:$F$61,6,FALSE()),"")</f>
        <v>1</v>
      </c>
      <c r="T747" t="str">
        <f>IF(COUNTIF(Customers!$A$2:$A$301,C747)=0,"Missing","OK")</f>
        <v>OK</v>
      </c>
      <c r="U747" t="str">
        <f t="shared" si="34"/>
        <v>Hyderabad</v>
      </c>
      <c r="V747">
        <f t="shared" si="35"/>
        <v>0</v>
      </c>
    </row>
    <row r="748" spans="1:22" ht="15" customHeight="1" x14ac:dyDescent="0.35">
      <c r="A748" s="3" t="s">
        <v>1153</v>
      </c>
      <c r="B748" s="4">
        <v>45423</v>
      </c>
      <c r="C748" s="3" t="s">
        <v>238</v>
      </c>
      <c r="D748" s="3" t="s">
        <v>130</v>
      </c>
      <c r="E748" s="3" t="s">
        <v>87</v>
      </c>
      <c r="F748" s="5">
        <v>9</v>
      </c>
      <c r="G748" s="5">
        <v>5100</v>
      </c>
      <c r="H748" s="5">
        <v>24.4</v>
      </c>
      <c r="I748" s="5">
        <v>34700.400000000001</v>
      </c>
      <c r="J748" s="3" t="s">
        <v>26</v>
      </c>
      <c r="K748" s="3" t="s">
        <v>72</v>
      </c>
      <c r="L748" t="str">
        <f>IFERROR(VLOOKUP(D748,Products!$A$2:$F$61,3,FALSE()),"")</f>
        <v>Beauty</v>
      </c>
      <c r="M748" t="str">
        <f>IFERROR(VLOOKUP(E748,Sales_Reps!$A$2:$C$31,3,FALSE()),"")</f>
        <v>North</v>
      </c>
      <c r="N748">
        <f>IFERROR(VLOOKUP(D748,Products!$A$2:$F$61,4,FALSE()),"")</f>
        <v>2237</v>
      </c>
      <c r="O748" t="str">
        <f>IFERROR(VLOOKUP(C748,Customers!$A$2:$F$301,5,FALSE()),"")</f>
        <v>Retail</v>
      </c>
      <c r="P748">
        <f>IFERROR(VLOOKUP(C748,Customers!$A$2:$F$301,3,FALSE()),"")</f>
        <v>29</v>
      </c>
      <c r="Q748">
        <f t="shared" si="33"/>
        <v>0.56137254901960787</v>
      </c>
      <c r="R748">
        <f>IF(AND(COUNTIF($A$2:$A$2027,A748)&gt;1,COUNTIF($A$2:A748,A748)=1),1,0)</f>
        <v>0</v>
      </c>
      <c r="S748" t="b">
        <f>IFERROR(VLOOKUP(D748,Products!$A$2:$F$61,6,FALSE()),"")</f>
        <v>1</v>
      </c>
      <c r="T748" t="str">
        <f>IF(COUNTIF(Customers!$A$2:$A$301,C748)=0,"Missing","OK")</f>
        <v>OK</v>
      </c>
      <c r="U748" t="str">
        <f t="shared" si="34"/>
        <v>Hyderabad</v>
      </c>
      <c r="V748">
        <f t="shared" si="35"/>
        <v>0</v>
      </c>
    </row>
    <row r="749" spans="1:22" ht="15" customHeight="1" x14ac:dyDescent="0.35">
      <c r="A749" s="3" t="s">
        <v>1154</v>
      </c>
      <c r="B749" s="4">
        <v>45568</v>
      </c>
      <c r="C749" s="3" t="s">
        <v>240</v>
      </c>
      <c r="D749" s="3" t="s">
        <v>142</v>
      </c>
      <c r="E749" s="3" t="s">
        <v>42</v>
      </c>
      <c r="F749" s="5">
        <v>9</v>
      </c>
      <c r="G749" s="5">
        <v>660</v>
      </c>
      <c r="H749" s="5">
        <v>19.8</v>
      </c>
      <c r="I749" s="5">
        <v>4763.88</v>
      </c>
      <c r="J749" s="3" t="s">
        <v>26</v>
      </c>
      <c r="K749" s="3" t="s">
        <v>33</v>
      </c>
      <c r="L749" t="str">
        <f>IFERROR(VLOOKUP(D749,Products!$A$2:$F$61,3,FALSE()),"")</f>
        <v>Home</v>
      </c>
      <c r="M749" t="str">
        <f>IFERROR(VLOOKUP(E749,Sales_Reps!$A$2:$C$31,3,FALSE()),"")</f>
        <v>North</v>
      </c>
      <c r="N749">
        <f>IFERROR(VLOOKUP(D749,Products!$A$2:$F$61,4,FALSE()),"")</f>
        <v>329</v>
      </c>
      <c r="O749" t="str">
        <f>IFERROR(VLOOKUP(C749,Customers!$A$2:$F$301,5,FALSE()),"")</f>
        <v>Retail</v>
      </c>
      <c r="P749">
        <f>IFERROR(VLOOKUP(C749,Customers!$A$2:$F$301,3,FALSE()),"")</f>
        <v>41</v>
      </c>
      <c r="Q749">
        <f t="shared" si="33"/>
        <v>0.50151515151515147</v>
      </c>
      <c r="R749">
        <f>IF(AND(COUNTIF($A$2:$A$2027,A749)&gt;1,COUNTIF($A$2:A749,A749)=1),1,0)</f>
        <v>0</v>
      </c>
      <c r="S749" t="b">
        <f>IFERROR(VLOOKUP(D749,Products!$A$2:$F$61,6,FALSE()),"")</f>
        <v>1</v>
      </c>
      <c r="T749" t="str">
        <f>IF(COUNTIF(Customers!$A$2:$A$301,C749)=0,"Missing","OK")</f>
        <v>OK</v>
      </c>
      <c r="U749" t="str">
        <f t="shared" si="34"/>
        <v>Chennai</v>
      </c>
      <c r="V749">
        <f t="shared" si="35"/>
        <v>0</v>
      </c>
    </row>
    <row r="750" spans="1:22" ht="15" customHeight="1" x14ac:dyDescent="0.35">
      <c r="A750" s="3" t="s">
        <v>1155</v>
      </c>
      <c r="B750" s="4">
        <v>45549</v>
      </c>
      <c r="C750" s="3" t="s">
        <v>1156</v>
      </c>
      <c r="D750" s="3" t="s">
        <v>203</v>
      </c>
      <c r="E750" s="3" t="s">
        <v>42</v>
      </c>
      <c r="F750" s="5">
        <v>3</v>
      </c>
      <c r="G750" s="5">
        <v>4070</v>
      </c>
      <c r="H750" s="5">
        <v>27.1</v>
      </c>
      <c r="I750" s="5">
        <v>8901.09</v>
      </c>
      <c r="J750" s="3" t="s">
        <v>26</v>
      </c>
      <c r="K750" s="3" t="s">
        <v>51</v>
      </c>
      <c r="L750" t="str">
        <f>IFERROR(VLOOKUP(D750,Products!$A$2:$F$61,3,FALSE()),"")</f>
        <v>Grocery</v>
      </c>
      <c r="M750" t="str">
        <f>IFERROR(VLOOKUP(E750,Sales_Reps!$A$2:$C$31,3,FALSE()),"")</f>
        <v>North</v>
      </c>
      <c r="N750">
        <f>IFERROR(VLOOKUP(D750,Products!$A$2:$F$61,4,FALSE()),"")</f>
        <v>2027</v>
      </c>
      <c r="O750" t="str">
        <f>IFERROR(VLOOKUP(C750,Customers!$A$2:$F$301,5,FALSE()),"")</f>
        <v>Retail</v>
      </c>
      <c r="P750">
        <f>IFERROR(VLOOKUP(C750,Customers!$A$2:$F$301,3,FALSE()),"")</f>
        <v>44</v>
      </c>
      <c r="Q750">
        <f t="shared" si="33"/>
        <v>0.50196560196560192</v>
      </c>
      <c r="R750">
        <f>IF(AND(COUNTIF($A$2:$A$2027,A750)&gt;1,COUNTIF($A$2:A750,A750)=1),1,0)</f>
        <v>0</v>
      </c>
      <c r="S750" t="b">
        <f>IFERROR(VLOOKUP(D750,Products!$A$2:$F$61,6,FALSE()),"")</f>
        <v>1</v>
      </c>
      <c r="T750" t="str">
        <f>IF(COUNTIF(Customers!$A$2:$A$301,C750)=0,"Missing","OK")</f>
        <v>OK</v>
      </c>
      <c r="U750" t="str">
        <f t="shared" si="34"/>
        <v>Mumbai</v>
      </c>
      <c r="V750">
        <f t="shared" si="35"/>
        <v>0</v>
      </c>
    </row>
    <row r="751" spans="1:22" ht="15" customHeight="1" x14ac:dyDescent="0.35">
      <c r="A751" s="3" t="s">
        <v>1157</v>
      </c>
      <c r="B751" s="4">
        <v>45504</v>
      </c>
      <c r="C751" s="3" t="s">
        <v>289</v>
      </c>
      <c r="D751" s="3" t="s">
        <v>294</v>
      </c>
      <c r="E751" s="3" t="s">
        <v>25</v>
      </c>
      <c r="F751" s="5">
        <v>2</v>
      </c>
      <c r="G751" s="5">
        <v>2510</v>
      </c>
      <c r="H751" s="5">
        <v>29.1</v>
      </c>
      <c r="I751" s="5">
        <v>3559.18</v>
      </c>
      <c r="J751" s="3" t="s">
        <v>26</v>
      </c>
      <c r="K751" s="3" t="s">
        <v>51</v>
      </c>
      <c r="L751" t="str">
        <f>IFERROR(VLOOKUP(D751,Products!$A$2:$F$61,3,FALSE()),"")</f>
        <v>Apparel</v>
      </c>
      <c r="M751" t="str">
        <f>IFERROR(VLOOKUP(E751,Sales_Reps!$A$2:$C$31,3,FALSE()),"")</f>
        <v>North</v>
      </c>
      <c r="N751">
        <f>IFERROR(VLOOKUP(D751,Products!$A$2:$F$61,4,FALSE()),"")</f>
        <v>1075</v>
      </c>
      <c r="O751" t="str">
        <f>IFERROR(VLOOKUP(C751,Customers!$A$2:$F$301,5,FALSE()),"")</f>
        <v>SMB</v>
      </c>
      <c r="P751">
        <f>IFERROR(VLOOKUP(C751,Customers!$A$2:$F$301,3,FALSE()),"")</f>
        <v>22</v>
      </c>
      <c r="Q751">
        <f t="shared" si="33"/>
        <v>0.57171314741035861</v>
      </c>
      <c r="R751">
        <f>IF(AND(COUNTIF($A$2:$A$2027,A751)&gt;1,COUNTIF($A$2:A751,A751)=1),1,0)</f>
        <v>0</v>
      </c>
      <c r="S751" t="b">
        <f>IFERROR(VLOOKUP(D751,Products!$A$2:$F$61,6,FALSE()),"")</f>
        <v>0</v>
      </c>
      <c r="T751" t="str">
        <f>IF(COUNTIF(Customers!$A$2:$A$301,C751)=0,"Missing","OK")</f>
        <v>OK</v>
      </c>
      <c r="U751" t="str">
        <f t="shared" si="34"/>
        <v>Mumbai</v>
      </c>
      <c r="V751">
        <f t="shared" si="35"/>
        <v>0</v>
      </c>
    </row>
    <row r="752" spans="1:22" ht="15" customHeight="1" x14ac:dyDescent="0.35">
      <c r="A752" s="3" t="s">
        <v>1158</v>
      </c>
      <c r="B752" s="4">
        <v>45449</v>
      </c>
      <c r="C752" s="3" t="s">
        <v>172</v>
      </c>
      <c r="D752" s="3" t="s">
        <v>82</v>
      </c>
      <c r="E752" s="3" t="s">
        <v>109</v>
      </c>
      <c r="F752" s="5">
        <v>4</v>
      </c>
      <c r="G752" s="5">
        <v>3250</v>
      </c>
      <c r="H752" s="5">
        <v>21.1</v>
      </c>
      <c r="I752" s="5">
        <v>10257</v>
      </c>
      <c r="J752" s="3" t="s">
        <v>26</v>
      </c>
      <c r="K752" s="3" t="s">
        <v>27</v>
      </c>
      <c r="L752" t="str">
        <f>IFERROR(VLOOKUP(D752,Products!$A$2:$F$61,3,FALSE()),"")</f>
        <v>Home</v>
      </c>
      <c r="M752" t="str">
        <f>IFERROR(VLOOKUP(E752,Sales_Reps!$A$2:$C$31,3,FALSE()),"")</f>
        <v>West</v>
      </c>
      <c r="N752">
        <f>IFERROR(VLOOKUP(D752,Products!$A$2:$F$61,4,FALSE()),"")</f>
        <v>1556</v>
      </c>
      <c r="O752" t="str">
        <f>IFERROR(VLOOKUP(C752,Customers!$A$2:$F$301,5,FALSE()),"")</f>
        <v>SMB</v>
      </c>
      <c r="P752">
        <f>IFERROR(VLOOKUP(C752,Customers!$A$2:$F$301,3,FALSE()),"")</f>
        <v>29</v>
      </c>
      <c r="Q752">
        <f t="shared" si="33"/>
        <v>0.52123076923076928</v>
      </c>
      <c r="R752">
        <f>IF(AND(COUNTIF($A$2:$A$2027,A752)&gt;1,COUNTIF($A$2:A752,A752)=1),1,0)</f>
        <v>0</v>
      </c>
      <c r="S752" t="b">
        <f>IFERROR(VLOOKUP(D752,Products!$A$2:$F$61,6,FALSE()),"")</f>
        <v>1</v>
      </c>
      <c r="T752" t="str">
        <f>IF(COUNTIF(Customers!$A$2:$A$301,C752)=0,"Missing","OK")</f>
        <v>OK</v>
      </c>
      <c r="U752" t="str">
        <f t="shared" si="34"/>
        <v>Pune</v>
      </c>
      <c r="V752">
        <f t="shared" si="35"/>
        <v>0</v>
      </c>
    </row>
    <row r="753" spans="1:22" ht="15" customHeight="1" x14ac:dyDescent="0.35">
      <c r="A753" s="3" t="s">
        <v>1159</v>
      </c>
      <c r="B753" s="4">
        <v>45600</v>
      </c>
      <c r="C753" s="3" t="s">
        <v>538</v>
      </c>
      <c r="D753" s="3" t="s">
        <v>49</v>
      </c>
      <c r="E753" s="3" t="s">
        <v>31</v>
      </c>
      <c r="F753" s="5">
        <v>3</v>
      </c>
      <c r="G753" s="5">
        <v>370</v>
      </c>
      <c r="H753" s="5">
        <v>7.7</v>
      </c>
      <c r="I753" s="5">
        <v>1024.53</v>
      </c>
      <c r="J753" s="3" t="s">
        <v>26</v>
      </c>
      <c r="K753" s="3" t="s">
        <v>56</v>
      </c>
      <c r="L753" t="str">
        <f>IFERROR(VLOOKUP(D753,Products!$A$2:$F$61,3,FALSE()),"")</f>
        <v>Home</v>
      </c>
      <c r="M753" t="str">
        <f>IFERROR(VLOOKUP(E753,Sales_Reps!$A$2:$C$31,3,FALSE()),"")</f>
        <v>North</v>
      </c>
      <c r="N753">
        <f>IFERROR(VLOOKUP(D753,Products!$A$2:$F$61,4,FALSE()),"")</f>
        <v>288</v>
      </c>
      <c r="O753" t="str">
        <f>IFERROR(VLOOKUP(C753,Customers!$A$2:$F$301,5,FALSE()),"")</f>
        <v>Corporate</v>
      </c>
      <c r="P753">
        <f>IFERROR(VLOOKUP(C753,Customers!$A$2:$F$301,3,FALSE()),"")</f>
        <v>26</v>
      </c>
      <c r="Q753">
        <f t="shared" si="33"/>
        <v>0.22162162162162163</v>
      </c>
      <c r="R753">
        <f>IF(AND(COUNTIF($A$2:$A$2027,A753)&gt;1,COUNTIF($A$2:A753,A753)=1),1,0)</f>
        <v>0</v>
      </c>
      <c r="S753" t="b">
        <f>IFERROR(VLOOKUP(D753,Products!$A$2:$F$61,6,FALSE()),"")</f>
        <v>1</v>
      </c>
      <c r="T753" t="str">
        <f>IF(COUNTIF(Customers!$A$2:$A$301,C753)=0,"Missing","OK")</f>
        <v>OK</v>
      </c>
      <c r="U753" t="str">
        <f t="shared" si="34"/>
        <v>Bengaluru</v>
      </c>
      <c r="V753">
        <f t="shared" si="35"/>
        <v>0</v>
      </c>
    </row>
    <row r="754" spans="1:22" ht="15" customHeight="1" x14ac:dyDescent="0.35">
      <c r="A754" s="3" t="s">
        <v>1160</v>
      </c>
      <c r="B754" s="4">
        <v>45479</v>
      </c>
      <c r="C754" s="3" t="s">
        <v>916</v>
      </c>
      <c r="D754" s="3" t="s">
        <v>30</v>
      </c>
      <c r="E754" s="3" t="s">
        <v>42</v>
      </c>
      <c r="F754" s="5">
        <v>10</v>
      </c>
      <c r="G754" s="5">
        <v>820</v>
      </c>
      <c r="H754" s="5">
        <v>3.5</v>
      </c>
      <c r="I754" s="5">
        <v>7913</v>
      </c>
      <c r="J754" s="3" t="s">
        <v>26</v>
      </c>
      <c r="K754" s="3" t="s">
        <v>27</v>
      </c>
      <c r="L754" t="str">
        <f>IFERROR(VLOOKUP(D754,Products!$A$2:$F$61,3,FALSE()),"")</f>
        <v>Apparel</v>
      </c>
      <c r="M754" t="str">
        <f>IFERROR(VLOOKUP(E754,Sales_Reps!$A$2:$C$31,3,FALSE()),"")</f>
        <v>North</v>
      </c>
      <c r="N754">
        <f>IFERROR(VLOOKUP(D754,Products!$A$2:$F$61,4,FALSE()),"")</f>
        <v>391</v>
      </c>
      <c r="O754" t="str">
        <f>IFERROR(VLOOKUP(C754,Customers!$A$2:$F$301,5,FALSE()),"")</f>
        <v>Corporate</v>
      </c>
      <c r="P754">
        <f>IFERROR(VLOOKUP(C754,Customers!$A$2:$F$301,3,FALSE()),"")</f>
        <v>29</v>
      </c>
      <c r="Q754">
        <f t="shared" si="33"/>
        <v>0.52317073170731709</v>
      </c>
      <c r="R754">
        <f>IF(AND(COUNTIF($A$2:$A$2027,A754)&gt;1,COUNTIF($A$2:A754,A754)=1),1,0)</f>
        <v>0</v>
      </c>
      <c r="S754" t="b">
        <f>IFERROR(VLOOKUP(D754,Products!$A$2:$F$61,6,FALSE()),"")</f>
        <v>1</v>
      </c>
      <c r="T754" t="str">
        <f>IF(COUNTIF(Customers!$A$2:$A$301,C754)=0,"Missing","OK")</f>
        <v>OK</v>
      </c>
      <c r="U754" t="str">
        <f t="shared" si="34"/>
        <v>Pune</v>
      </c>
      <c r="V754">
        <f t="shared" si="35"/>
        <v>0</v>
      </c>
    </row>
    <row r="755" spans="1:22" ht="15" customHeight="1" x14ac:dyDescent="0.35">
      <c r="A755" s="3" t="s">
        <v>1161</v>
      </c>
      <c r="B755" s="4">
        <v>45531</v>
      </c>
      <c r="C755" s="3" t="s">
        <v>368</v>
      </c>
      <c r="D755" s="3" t="s">
        <v>203</v>
      </c>
      <c r="E755" s="3" t="s">
        <v>168</v>
      </c>
      <c r="F755" s="5">
        <v>4</v>
      </c>
      <c r="G755" s="5">
        <v>4070</v>
      </c>
      <c r="H755" s="5">
        <v>23.8</v>
      </c>
      <c r="I755" s="5">
        <v>12405.36</v>
      </c>
      <c r="J755" s="3" t="s">
        <v>26</v>
      </c>
      <c r="K755" s="3" t="s">
        <v>56</v>
      </c>
      <c r="L755" t="str">
        <f>IFERROR(VLOOKUP(D755,Products!$A$2:$F$61,3,FALSE()),"")</f>
        <v>Grocery</v>
      </c>
      <c r="M755" t="str">
        <f>IFERROR(VLOOKUP(E755,Sales_Reps!$A$2:$C$31,3,FALSE()),"")</f>
        <v>West</v>
      </c>
      <c r="N755">
        <f>IFERROR(VLOOKUP(D755,Products!$A$2:$F$61,4,FALSE()),"")</f>
        <v>2027</v>
      </c>
      <c r="O755" t="str">
        <f>IFERROR(VLOOKUP(C755,Customers!$A$2:$F$301,5,FALSE()),"")</f>
        <v>Retail</v>
      </c>
      <c r="P755">
        <f>IFERROR(VLOOKUP(C755,Customers!$A$2:$F$301,3,FALSE()),"")</f>
        <v>55</v>
      </c>
      <c r="Q755">
        <f t="shared" si="33"/>
        <v>0.50196560196560192</v>
      </c>
      <c r="R755">
        <f>IF(AND(COUNTIF($A$2:$A$2027,A755)&gt;1,COUNTIF($A$2:A755,A755)=1),1,0)</f>
        <v>0</v>
      </c>
      <c r="S755" t="b">
        <f>IFERROR(VLOOKUP(D755,Products!$A$2:$F$61,6,FALSE()),"")</f>
        <v>1</v>
      </c>
      <c r="T755" t="str">
        <f>IF(COUNTIF(Customers!$A$2:$A$301,C755)=0,"Missing","OK")</f>
        <v>OK</v>
      </c>
      <c r="U755" t="str">
        <f t="shared" si="34"/>
        <v>Bengaluru</v>
      </c>
      <c r="V755">
        <f t="shared" si="35"/>
        <v>12405.36</v>
      </c>
    </row>
    <row r="756" spans="1:22" ht="15" customHeight="1" x14ac:dyDescent="0.35">
      <c r="A756" s="3" t="s">
        <v>1162</v>
      </c>
      <c r="B756" s="4">
        <v>45356</v>
      </c>
      <c r="C756" s="3" t="s">
        <v>698</v>
      </c>
      <c r="D756" s="3" t="s">
        <v>306</v>
      </c>
      <c r="E756" s="3" t="s">
        <v>212</v>
      </c>
      <c r="F756" s="5">
        <v>1</v>
      </c>
      <c r="G756" s="5">
        <v>2380</v>
      </c>
      <c r="H756" s="5">
        <v>19.600000000000001</v>
      </c>
      <c r="I756" s="5">
        <v>1913.52</v>
      </c>
      <c r="J756" s="3" t="s">
        <v>79</v>
      </c>
      <c r="K756" s="3" t="s">
        <v>56</v>
      </c>
      <c r="L756" t="str">
        <f>IFERROR(VLOOKUP(D756,Products!$A$2:$F$61,3,FALSE()),"")</f>
        <v>Grocery</v>
      </c>
      <c r="M756" t="str">
        <f>IFERROR(VLOOKUP(E756,Sales_Reps!$A$2:$C$31,3,FALSE()),"")</f>
        <v>South</v>
      </c>
      <c r="N756">
        <f>IFERROR(VLOOKUP(D756,Products!$A$2:$F$61,4,FALSE()),"")</f>
        <v>1182</v>
      </c>
      <c r="O756" t="str">
        <f>IFERROR(VLOOKUP(C756,Customers!$A$2:$F$301,5,FALSE()),"")</f>
        <v>Retail</v>
      </c>
      <c r="P756">
        <f>IFERROR(VLOOKUP(C756,Customers!$A$2:$F$301,3,FALSE()),"")</f>
        <v>29</v>
      </c>
      <c r="Q756">
        <f t="shared" si="33"/>
        <v>0.50336134453781511</v>
      </c>
      <c r="R756">
        <f>IF(AND(COUNTIF($A$2:$A$2027,A756)&gt;1,COUNTIF($A$2:A756,A756)=1),1,0)</f>
        <v>0</v>
      </c>
      <c r="S756" t="b">
        <f>IFERROR(VLOOKUP(D756,Products!$A$2:$F$61,6,FALSE()),"")</f>
        <v>1</v>
      </c>
      <c r="T756" t="str">
        <f>IF(COUNTIF(Customers!$A$2:$A$301,C756)=0,"Missing","OK")</f>
        <v>OK</v>
      </c>
      <c r="U756" t="str">
        <f t="shared" si="34"/>
        <v>Bengaluru</v>
      </c>
      <c r="V756">
        <f t="shared" si="35"/>
        <v>1913.52</v>
      </c>
    </row>
    <row r="757" spans="1:22" ht="15" customHeight="1" x14ac:dyDescent="0.35">
      <c r="A757" s="3" t="s">
        <v>1163</v>
      </c>
      <c r="B757" s="4">
        <v>45553</v>
      </c>
      <c r="C757" s="3" t="s">
        <v>887</v>
      </c>
      <c r="D757" s="3" t="s">
        <v>63</v>
      </c>
      <c r="E757" s="3" t="s">
        <v>109</v>
      </c>
      <c r="F757" s="5">
        <v>3</v>
      </c>
      <c r="G757" s="5">
        <v>5490</v>
      </c>
      <c r="H757" s="5">
        <v>2.5</v>
      </c>
      <c r="I757" s="5">
        <v>16058.25</v>
      </c>
      <c r="J757" s="3" t="s">
        <v>26</v>
      </c>
      <c r="K757" s="3" t="s">
        <v>27</v>
      </c>
      <c r="L757" t="str">
        <f>IFERROR(VLOOKUP(D757,Products!$A$2:$F$61,3,FALSE()),"")</f>
        <v>Home</v>
      </c>
      <c r="M757" t="str">
        <f>IFERROR(VLOOKUP(E757,Sales_Reps!$A$2:$C$31,3,FALSE()),"")</f>
        <v>West</v>
      </c>
      <c r="N757">
        <f>IFERROR(VLOOKUP(D757,Products!$A$2:$F$61,4,FALSE()),"")</f>
        <v>2549</v>
      </c>
      <c r="O757" t="str">
        <f>IFERROR(VLOOKUP(C757,Customers!$A$2:$F$301,5,FALSE()),"")</f>
        <v>Retail</v>
      </c>
      <c r="P757">
        <f>IFERROR(VLOOKUP(C757,Customers!$A$2:$F$301,3,FALSE()),"")</f>
        <v>65</v>
      </c>
      <c r="Q757">
        <f t="shared" si="33"/>
        <v>0.53570127504553733</v>
      </c>
      <c r="R757">
        <f>IF(AND(COUNTIF($A$2:$A$2027,A757)&gt;1,COUNTIF($A$2:A757,A757)=1),1,0)</f>
        <v>0</v>
      </c>
      <c r="S757" t="b">
        <f>IFERROR(VLOOKUP(D757,Products!$A$2:$F$61,6,FALSE()),"")</f>
        <v>1</v>
      </c>
      <c r="T757" t="str">
        <f>IF(COUNTIF(Customers!$A$2:$A$301,C757)=0,"Missing","OK")</f>
        <v>OK</v>
      </c>
      <c r="U757" t="str">
        <f t="shared" si="34"/>
        <v>Pune</v>
      </c>
      <c r="V757">
        <f t="shared" si="35"/>
        <v>0</v>
      </c>
    </row>
    <row r="758" spans="1:22" ht="15" customHeight="1" x14ac:dyDescent="0.35">
      <c r="A758" s="3" t="s">
        <v>1164</v>
      </c>
      <c r="B758" s="4">
        <v>45492</v>
      </c>
      <c r="C758" s="3" t="s">
        <v>275</v>
      </c>
      <c r="D758" s="3" t="s">
        <v>176</v>
      </c>
      <c r="E758" s="3" t="s">
        <v>282</v>
      </c>
      <c r="F758" s="5">
        <v>3</v>
      </c>
      <c r="G758" s="5">
        <v>3640</v>
      </c>
      <c r="H758" s="5">
        <v>23.3</v>
      </c>
      <c r="I758" s="5">
        <v>8375.64</v>
      </c>
      <c r="J758" s="3" t="s">
        <v>26</v>
      </c>
      <c r="K758" s="3" t="s">
        <v>51</v>
      </c>
      <c r="L758" t="str">
        <f>IFERROR(VLOOKUP(D758,Products!$A$2:$F$61,3,FALSE()),"")</f>
        <v>Apparel</v>
      </c>
      <c r="M758" t="str">
        <f>IFERROR(VLOOKUP(E758,Sales_Reps!$A$2:$C$31,3,FALSE()),"")</f>
        <v>West</v>
      </c>
      <c r="N758">
        <f>IFERROR(VLOOKUP(D758,Products!$A$2:$F$61,4,FALSE()),"")</f>
        <v>2611</v>
      </c>
      <c r="O758" t="str">
        <f>IFERROR(VLOOKUP(C758,Customers!$A$2:$F$301,5,FALSE()),"")</f>
        <v>Retail</v>
      </c>
      <c r="P758">
        <f>IFERROR(VLOOKUP(C758,Customers!$A$2:$F$301,3,FALSE()),"")</f>
        <v>49</v>
      </c>
      <c r="Q758">
        <f t="shared" si="33"/>
        <v>0.28269230769230769</v>
      </c>
      <c r="R758">
        <f>IF(AND(COUNTIF($A$2:$A$2027,A758)&gt;1,COUNTIF($A$2:A758,A758)=1),1,0)</f>
        <v>0</v>
      </c>
      <c r="S758" t="b">
        <f>IFERROR(VLOOKUP(D758,Products!$A$2:$F$61,6,FALSE()),"")</f>
        <v>1</v>
      </c>
      <c r="T758" t="str">
        <f>IF(COUNTIF(Customers!$A$2:$A$301,C758)=0,"Missing","OK")</f>
        <v>OK</v>
      </c>
      <c r="U758" t="str">
        <f t="shared" si="34"/>
        <v>Mumbai</v>
      </c>
      <c r="V758">
        <f t="shared" si="35"/>
        <v>0</v>
      </c>
    </row>
    <row r="759" spans="1:22" ht="15" customHeight="1" x14ac:dyDescent="0.35">
      <c r="A759" s="3" t="s">
        <v>1165</v>
      </c>
      <c r="B759" s="4">
        <v>45388</v>
      </c>
      <c r="C759" s="3" t="s">
        <v>344</v>
      </c>
      <c r="D759" s="3" t="s">
        <v>209</v>
      </c>
      <c r="E759" s="3" t="s">
        <v>242</v>
      </c>
      <c r="F759" s="5">
        <v>2</v>
      </c>
      <c r="G759" s="5">
        <v>4610</v>
      </c>
      <c r="H759" s="5">
        <v>5</v>
      </c>
      <c r="I759" s="5">
        <v>8759</v>
      </c>
      <c r="J759" s="3" t="s">
        <v>32</v>
      </c>
      <c r="K759" s="3" t="s">
        <v>33</v>
      </c>
      <c r="L759" t="str">
        <f>IFERROR(VLOOKUP(D759,Products!$A$2:$F$61,3,FALSE()),"")</f>
        <v>Home</v>
      </c>
      <c r="M759" t="str">
        <f>IFERROR(VLOOKUP(E759,Sales_Reps!$A$2:$C$31,3,FALSE()),"")</f>
        <v>East</v>
      </c>
      <c r="N759">
        <f>IFERROR(VLOOKUP(D759,Products!$A$2:$F$61,4,FALSE()),"")</f>
        <v>1850</v>
      </c>
      <c r="O759" t="str">
        <f>IFERROR(VLOOKUP(C759,Customers!$A$2:$F$301,5,FALSE()),"")</f>
        <v>Corporate</v>
      </c>
      <c r="P759">
        <f>IFERROR(VLOOKUP(C759,Customers!$A$2:$F$301,3,FALSE()),"")</f>
        <v>24</v>
      </c>
      <c r="Q759">
        <f t="shared" si="33"/>
        <v>0.59869848156182215</v>
      </c>
      <c r="R759">
        <f>IF(AND(COUNTIF($A$2:$A$2027,A759)&gt;1,COUNTIF($A$2:A759,A759)=1),1,0)</f>
        <v>0</v>
      </c>
      <c r="S759" t="b">
        <f>IFERROR(VLOOKUP(D759,Products!$A$2:$F$61,6,FALSE()),"")</f>
        <v>1</v>
      </c>
      <c r="T759" t="str">
        <f>IF(COUNTIF(Customers!$A$2:$A$301,C759)=0,"Missing","OK")</f>
        <v>OK</v>
      </c>
      <c r="U759" t="str">
        <f t="shared" si="34"/>
        <v>Chennai</v>
      </c>
      <c r="V759">
        <f t="shared" si="35"/>
        <v>0</v>
      </c>
    </row>
    <row r="760" spans="1:22" ht="15" customHeight="1" x14ac:dyDescent="0.35">
      <c r="A760" s="3" t="s">
        <v>1166</v>
      </c>
      <c r="B760" s="4">
        <v>45369</v>
      </c>
      <c r="C760" s="3" t="s">
        <v>446</v>
      </c>
      <c r="D760" s="3" t="s">
        <v>90</v>
      </c>
      <c r="E760" s="3" t="s">
        <v>154</v>
      </c>
      <c r="F760" s="5">
        <v>8</v>
      </c>
      <c r="G760" s="5">
        <v>2400</v>
      </c>
      <c r="H760" s="5">
        <v>10</v>
      </c>
      <c r="I760" s="5">
        <v>17280</v>
      </c>
      <c r="J760" s="3" t="s">
        <v>32</v>
      </c>
      <c r="K760" s="3" t="s">
        <v>27</v>
      </c>
      <c r="L760" t="str">
        <f>IFERROR(VLOOKUP(D760,Products!$A$2:$F$61,3,FALSE()),"")</f>
        <v>Sports</v>
      </c>
      <c r="M760" t="str">
        <f>IFERROR(VLOOKUP(E760,Sales_Reps!$A$2:$C$31,3,FALSE()),"")</f>
        <v>North</v>
      </c>
      <c r="N760">
        <f>IFERROR(VLOOKUP(D760,Products!$A$2:$F$61,4,FALSE()),"")</f>
        <v>974</v>
      </c>
      <c r="O760" t="str">
        <f>IFERROR(VLOOKUP(C760,Customers!$A$2:$F$301,5,FALSE()),"")</f>
        <v>Retail</v>
      </c>
      <c r="P760">
        <f>IFERROR(VLOOKUP(C760,Customers!$A$2:$F$301,3,FALSE()),"")</f>
        <v>59</v>
      </c>
      <c r="Q760">
        <f t="shared" si="33"/>
        <v>0.59416666666666662</v>
      </c>
      <c r="R760">
        <f>IF(AND(COUNTIF($A$2:$A$2027,A760)&gt;1,COUNTIF($A$2:A760,A760)=1),1,0)</f>
        <v>0</v>
      </c>
      <c r="S760" t="b">
        <f>IFERROR(VLOOKUP(D760,Products!$A$2:$F$61,6,FALSE()),"")</f>
        <v>1</v>
      </c>
      <c r="T760" t="str">
        <f>IF(COUNTIF(Customers!$A$2:$A$301,C760)=0,"Missing","OK")</f>
        <v>OK</v>
      </c>
      <c r="U760" t="str">
        <f t="shared" si="34"/>
        <v>Pune</v>
      </c>
      <c r="V760">
        <f t="shared" si="35"/>
        <v>0</v>
      </c>
    </row>
    <row r="761" spans="1:22" ht="15" customHeight="1" x14ac:dyDescent="0.35">
      <c r="A761" s="3" t="s">
        <v>1167</v>
      </c>
      <c r="B761" s="4">
        <v>45597</v>
      </c>
      <c r="C761" s="3" t="s">
        <v>336</v>
      </c>
      <c r="D761" s="3" t="s">
        <v>118</v>
      </c>
      <c r="E761" s="3" t="s">
        <v>236</v>
      </c>
      <c r="F761" s="5">
        <v>7</v>
      </c>
      <c r="G761" s="5">
        <v>3350</v>
      </c>
      <c r="H761" s="5">
        <v>23.7</v>
      </c>
      <c r="I761" s="5">
        <v>17892.349999999999</v>
      </c>
      <c r="J761" s="3" t="s">
        <v>26</v>
      </c>
      <c r="K761" s="3" t="s">
        <v>38</v>
      </c>
      <c r="L761" t="str">
        <f>IFERROR(VLOOKUP(D761,Products!$A$2:$F$61,3,FALSE()),"")</f>
        <v>Beauty</v>
      </c>
      <c r="M761" t="str">
        <f>IFERROR(VLOOKUP(E761,Sales_Reps!$A$2:$C$31,3,FALSE()),"")</f>
        <v>North</v>
      </c>
      <c r="N761">
        <f>IFERROR(VLOOKUP(D761,Products!$A$2:$F$61,4,FALSE()),"")</f>
        <v>1728</v>
      </c>
      <c r="O761" t="str">
        <f>IFERROR(VLOOKUP(C761,Customers!$A$2:$F$301,5,FALSE()),"")</f>
        <v>Retail</v>
      </c>
      <c r="P761">
        <f>IFERROR(VLOOKUP(C761,Customers!$A$2:$F$301,3,FALSE()),"")</f>
        <v>30</v>
      </c>
      <c r="Q761">
        <f t="shared" si="33"/>
        <v>0.48417910447761192</v>
      </c>
      <c r="R761">
        <f>IF(AND(COUNTIF($A$2:$A$2027,A761)&gt;1,COUNTIF($A$2:A761,A761)=1),1,0)</f>
        <v>0</v>
      </c>
      <c r="S761" t="b">
        <f>IFERROR(VLOOKUP(D761,Products!$A$2:$F$61,6,FALSE()),"")</f>
        <v>1</v>
      </c>
      <c r="T761" t="str">
        <f>IF(COUNTIF(Customers!$A$2:$A$301,C761)=0,"Missing","OK")</f>
        <v>OK</v>
      </c>
      <c r="U761" t="str">
        <f t="shared" si="34"/>
        <v>Delhi</v>
      </c>
      <c r="V761">
        <f t="shared" si="35"/>
        <v>0</v>
      </c>
    </row>
    <row r="762" spans="1:22" ht="15" customHeight="1" x14ac:dyDescent="0.35">
      <c r="A762" s="3" t="s">
        <v>1168</v>
      </c>
      <c r="B762" s="4">
        <v>45611</v>
      </c>
      <c r="C762" s="3" t="s">
        <v>594</v>
      </c>
      <c r="D762" s="3" t="s">
        <v>176</v>
      </c>
      <c r="E762" s="3" t="s">
        <v>264</v>
      </c>
      <c r="F762" s="5">
        <v>4</v>
      </c>
      <c r="G762" s="5">
        <v>3640</v>
      </c>
      <c r="H762" s="5">
        <v>9.3000000000000007</v>
      </c>
      <c r="I762" s="5">
        <v>13205.92</v>
      </c>
      <c r="J762" s="3" t="s">
        <v>79</v>
      </c>
      <c r="K762" s="3" t="s">
        <v>72</v>
      </c>
      <c r="L762" t="str">
        <f>IFERROR(VLOOKUP(D762,Products!$A$2:$F$61,3,FALSE()),"")</f>
        <v>Apparel</v>
      </c>
      <c r="M762" t="str">
        <f>IFERROR(VLOOKUP(E762,Sales_Reps!$A$2:$C$31,3,FALSE()),"")</f>
        <v>South</v>
      </c>
      <c r="N762">
        <f>IFERROR(VLOOKUP(D762,Products!$A$2:$F$61,4,FALSE()),"")</f>
        <v>2611</v>
      </c>
      <c r="O762" t="str">
        <f>IFERROR(VLOOKUP(C762,Customers!$A$2:$F$301,5,FALSE()),"")</f>
        <v>Retail</v>
      </c>
      <c r="P762">
        <f>IFERROR(VLOOKUP(C762,Customers!$A$2:$F$301,3,FALSE()),"")</f>
        <v>27</v>
      </c>
      <c r="Q762">
        <f t="shared" si="33"/>
        <v>0.28269230769230769</v>
      </c>
      <c r="R762">
        <f>IF(AND(COUNTIF($A$2:$A$2027,A762)&gt;1,COUNTIF($A$2:A762,A762)=1),1,0)</f>
        <v>0</v>
      </c>
      <c r="S762" t="b">
        <f>IFERROR(VLOOKUP(D762,Products!$A$2:$F$61,6,FALSE()),"")</f>
        <v>1</v>
      </c>
      <c r="T762" t="str">
        <f>IF(COUNTIF(Customers!$A$2:$A$301,C762)=0,"Missing","OK")</f>
        <v>OK</v>
      </c>
      <c r="U762" t="str">
        <f t="shared" si="34"/>
        <v>Hyderabad</v>
      </c>
      <c r="V762">
        <f t="shared" si="35"/>
        <v>0</v>
      </c>
    </row>
    <row r="763" spans="1:22" ht="15" customHeight="1" x14ac:dyDescent="0.35">
      <c r="A763" s="3" t="s">
        <v>1169</v>
      </c>
      <c r="B763" s="4">
        <v>45579</v>
      </c>
      <c r="C763" s="3" t="s">
        <v>1170</v>
      </c>
      <c r="D763" s="3" t="s">
        <v>176</v>
      </c>
      <c r="E763" s="3" t="s">
        <v>67</v>
      </c>
      <c r="F763" s="5">
        <v>9</v>
      </c>
      <c r="G763" s="5">
        <v>3640</v>
      </c>
      <c r="H763" s="5">
        <v>13.1</v>
      </c>
      <c r="I763" s="5">
        <v>28468.44</v>
      </c>
      <c r="J763" s="3" t="s">
        <v>32</v>
      </c>
      <c r="K763" s="3" t="s">
        <v>27</v>
      </c>
      <c r="L763" t="str">
        <f>IFERROR(VLOOKUP(D763,Products!$A$2:$F$61,3,FALSE()),"")</f>
        <v>Apparel</v>
      </c>
      <c r="M763" t="str">
        <f>IFERROR(VLOOKUP(E763,Sales_Reps!$A$2:$C$31,3,FALSE()),"")</f>
        <v>West</v>
      </c>
      <c r="N763">
        <f>IFERROR(VLOOKUP(D763,Products!$A$2:$F$61,4,FALSE()),"")</f>
        <v>2611</v>
      </c>
      <c r="O763" t="str">
        <f>IFERROR(VLOOKUP(C763,Customers!$A$2:$F$301,5,FALSE()),"")</f>
        <v>Retail</v>
      </c>
      <c r="P763">
        <f>IFERROR(VLOOKUP(C763,Customers!$A$2:$F$301,3,FALSE()),"")</f>
        <v>42</v>
      </c>
      <c r="Q763">
        <f t="shared" si="33"/>
        <v>0.28269230769230769</v>
      </c>
      <c r="R763">
        <f>IF(AND(COUNTIF($A$2:$A$2027,A763)&gt;1,COUNTIF($A$2:A763,A763)=1),1,0)</f>
        <v>0</v>
      </c>
      <c r="S763" t="b">
        <f>IFERROR(VLOOKUP(D763,Products!$A$2:$F$61,6,FALSE()),"")</f>
        <v>1</v>
      </c>
      <c r="T763" t="str">
        <f>IF(COUNTIF(Customers!$A$2:$A$301,C763)=0,"Missing","OK")</f>
        <v>OK</v>
      </c>
      <c r="U763" t="str">
        <f t="shared" si="34"/>
        <v>Pune</v>
      </c>
      <c r="V763">
        <f t="shared" si="35"/>
        <v>0</v>
      </c>
    </row>
    <row r="764" spans="1:22" ht="15" customHeight="1" x14ac:dyDescent="0.35">
      <c r="A764" s="3" t="s">
        <v>1171</v>
      </c>
      <c r="B764" s="4">
        <v>45634</v>
      </c>
      <c r="C764" s="3" t="s">
        <v>111</v>
      </c>
      <c r="D764" s="3" t="s">
        <v>234</v>
      </c>
      <c r="E764" s="3" t="s">
        <v>37</v>
      </c>
      <c r="F764" s="5">
        <v>2</v>
      </c>
      <c r="G764" s="5">
        <v>2030</v>
      </c>
      <c r="H764" s="5">
        <v>12.2</v>
      </c>
      <c r="I764" s="5">
        <v>3564.68</v>
      </c>
      <c r="J764" s="3" t="s">
        <v>26</v>
      </c>
      <c r="K764" s="3" t="s">
        <v>27</v>
      </c>
      <c r="L764" t="str">
        <f>IFERROR(VLOOKUP(D764,Products!$A$2:$F$61,3,FALSE()),"")</f>
        <v>Home</v>
      </c>
      <c r="M764" t="str">
        <f>IFERROR(VLOOKUP(E764,Sales_Reps!$A$2:$C$31,3,FALSE()),"")</f>
        <v>South</v>
      </c>
      <c r="N764">
        <f>IFERROR(VLOOKUP(D764,Products!$A$2:$F$61,4,FALSE()),"")</f>
        <v>1143</v>
      </c>
      <c r="O764" t="str">
        <f>IFERROR(VLOOKUP(C764,Customers!$A$2:$F$301,5,FALSE()),"")</f>
        <v>Retail</v>
      </c>
      <c r="P764">
        <f>IFERROR(VLOOKUP(C764,Customers!$A$2:$F$301,3,FALSE()),"")</f>
        <v>50</v>
      </c>
      <c r="Q764">
        <f t="shared" si="33"/>
        <v>0.43694581280788175</v>
      </c>
      <c r="R764">
        <f>IF(AND(COUNTIF($A$2:$A$2027,A764)&gt;1,COUNTIF($A$2:A764,A764)=1),1,0)</f>
        <v>0</v>
      </c>
      <c r="S764" t="b">
        <f>IFERROR(VLOOKUP(D764,Products!$A$2:$F$61,6,FALSE()),"")</f>
        <v>1</v>
      </c>
      <c r="T764" t="str">
        <f>IF(COUNTIF(Customers!$A$2:$A$301,C764)=0,"Missing","OK")</f>
        <v>OK</v>
      </c>
      <c r="U764" t="str">
        <f t="shared" si="34"/>
        <v>Pune</v>
      </c>
      <c r="V764">
        <f t="shared" si="35"/>
        <v>0</v>
      </c>
    </row>
    <row r="765" spans="1:22" ht="15" customHeight="1" x14ac:dyDescent="0.35">
      <c r="A765" s="3" t="s">
        <v>1172</v>
      </c>
      <c r="B765" s="4">
        <v>45471</v>
      </c>
      <c r="C765" s="3" t="s">
        <v>1173</v>
      </c>
      <c r="D765" s="3" t="s">
        <v>45</v>
      </c>
      <c r="E765" s="3" t="s">
        <v>236</v>
      </c>
      <c r="F765" s="5">
        <v>4</v>
      </c>
      <c r="G765" s="5">
        <v>3160</v>
      </c>
      <c r="H765" s="5">
        <v>7.5</v>
      </c>
      <c r="I765" s="5">
        <v>11692</v>
      </c>
      <c r="J765" s="3" t="s">
        <v>26</v>
      </c>
      <c r="K765" s="3" t="s">
        <v>51</v>
      </c>
      <c r="L765" t="str">
        <f>IFERROR(VLOOKUP(D765,Products!$A$2:$F$61,3,FALSE()),"")</f>
        <v>Apparel</v>
      </c>
      <c r="M765" t="str">
        <f>IFERROR(VLOOKUP(E765,Sales_Reps!$A$2:$C$31,3,FALSE()),"")</f>
        <v>North</v>
      </c>
      <c r="N765">
        <f>IFERROR(VLOOKUP(D765,Products!$A$2:$F$61,4,FALSE()),"")</f>
        <v>1886</v>
      </c>
      <c r="O765" t="str">
        <f>IFERROR(VLOOKUP(C765,Customers!$A$2:$F$301,5,FALSE()),"")</f>
        <v>Retail</v>
      </c>
      <c r="P765">
        <f>IFERROR(VLOOKUP(C765,Customers!$A$2:$F$301,3,FALSE()),"")</f>
        <v>29</v>
      </c>
      <c r="Q765">
        <f t="shared" si="33"/>
        <v>0.4031645569620253</v>
      </c>
      <c r="R765">
        <f>IF(AND(COUNTIF($A$2:$A$2027,A765)&gt;1,COUNTIF($A$2:A765,A765)=1),1,0)</f>
        <v>0</v>
      </c>
      <c r="S765" t="b">
        <f>IFERROR(VLOOKUP(D765,Products!$A$2:$F$61,6,FALSE()),"")</f>
        <v>1</v>
      </c>
      <c r="T765" t="str">
        <f>IF(COUNTIF(Customers!$A$2:$A$301,C765)=0,"Missing","OK")</f>
        <v>OK</v>
      </c>
      <c r="U765" t="str">
        <f t="shared" si="34"/>
        <v>Mumbai</v>
      </c>
      <c r="V765">
        <f t="shared" si="35"/>
        <v>0</v>
      </c>
    </row>
    <row r="766" spans="1:22" ht="15" customHeight="1" x14ac:dyDescent="0.35">
      <c r="A766" s="3" t="s">
        <v>1174</v>
      </c>
      <c r="B766" s="4">
        <v>45327</v>
      </c>
      <c r="C766" s="3" t="s">
        <v>703</v>
      </c>
      <c r="D766" s="3" t="s">
        <v>203</v>
      </c>
      <c r="E766" s="3" t="s">
        <v>168</v>
      </c>
      <c r="F766" s="5">
        <v>10</v>
      </c>
      <c r="G766" s="5">
        <v>4070</v>
      </c>
      <c r="H766" s="5">
        <v>8.3000000000000007</v>
      </c>
      <c r="I766" s="5">
        <v>37321.9</v>
      </c>
      <c r="J766" s="3" t="s">
        <v>26</v>
      </c>
      <c r="K766" s="3" t="s">
        <v>33</v>
      </c>
      <c r="L766" t="str">
        <f>IFERROR(VLOOKUP(D766,Products!$A$2:$F$61,3,FALSE()),"")</f>
        <v>Grocery</v>
      </c>
      <c r="M766" t="str">
        <f>IFERROR(VLOOKUP(E766,Sales_Reps!$A$2:$C$31,3,FALSE()),"")</f>
        <v>West</v>
      </c>
      <c r="N766">
        <f>IFERROR(VLOOKUP(D766,Products!$A$2:$F$61,4,FALSE()),"")</f>
        <v>2027</v>
      </c>
      <c r="O766" t="str">
        <f>IFERROR(VLOOKUP(C766,Customers!$A$2:$F$301,5,FALSE()),"")</f>
        <v>SMB</v>
      </c>
      <c r="P766">
        <f>IFERROR(VLOOKUP(C766,Customers!$A$2:$F$301,3,FALSE()),"")</f>
        <v>26</v>
      </c>
      <c r="Q766">
        <f t="shared" si="33"/>
        <v>0.50196560196560192</v>
      </c>
      <c r="R766">
        <f>IF(AND(COUNTIF($A$2:$A$2027,A766)&gt;1,COUNTIF($A$2:A766,A766)=1),1,0)</f>
        <v>0</v>
      </c>
      <c r="S766" t="b">
        <f>IFERROR(VLOOKUP(D766,Products!$A$2:$F$61,6,FALSE()),"")</f>
        <v>1</v>
      </c>
      <c r="T766" t="str">
        <f>IF(COUNTIF(Customers!$A$2:$A$301,C766)=0,"Missing","OK")</f>
        <v>OK</v>
      </c>
      <c r="U766" t="str">
        <f t="shared" si="34"/>
        <v>Chennai</v>
      </c>
      <c r="V766">
        <f t="shared" si="35"/>
        <v>0</v>
      </c>
    </row>
    <row r="767" spans="1:22" ht="15" customHeight="1" x14ac:dyDescent="0.35">
      <c r="A767" s="3" t="s">
        <v>1175</v>
      </c>
      <c r="B767" s="4">
        <v>45343</v>
      </c>
      <c r="C767" s="3" t="s">
        <v>565</v>
      </c>
      <c r="D767" s="3" t="s">
        <v>290</v>
      </c>
      <c r="E767" s="3" t="s">
        <v>55</v>
      </c>
      <c r="F767" s="5">
        <v>8</v>
      </c>
      <c r="G767" s="5">
        <v>4060</v>
      </c>
      <c r="H767" s="5">
        <v>8.5</v>
      </c>
      <c r="I767" s="5">
        <v>29719.200000000001</v>
      </c>
      <c r="J767" s="3" t="s">
        <v>26</v>
      </c>
      <c r="K767" s="3" t="s">
        <v>38</v>
      </c>
      <c r="L767" t="str">
        <f>IFERROR(VLOOKUP(D767,Products!$A$2:$F$61,3,FALSE()),"")</f>
        <v>Grocery</v>
      </c>
      <c r="M767" t="str">
        <f>IFERROR(VLOOKUP(E767,Sales_Reps!$A$2:$C$31,3,FALSE()),"")</f>
        <v>West</v>
      </c>
      <c r="N767">
        <f>IFERROR(VLOOKUP(D767,Products!$A$2:$F$61,4,FALSE()),"")</f>
        <v>2911</v>
      </c>
      <c r="O767" t="str">
        <f>IFERROR(VLOOKUP(C767,Customers!$A$2:$F$301,5,FALSE()),"")</f>
        <v>Retail</v>
      </c>
      <c r="P767">
        <f>IFERROR(VLOOKUP(C767,Customers!$A$2:$F$301,3,FALSE()),"")</f>
        <v>40</v>
      </c>
      <c r="Q767">
        <f t="shared" si="33"/>
        <v>0.28300492610837441</v>
      </c>
      <c r="R767">
        <f>IF(AND(COUNTIF($A$2:$A$2027,A767)&gt;1,COUNTIF($A$2:A767,A767)=1),1,0)</f>
        <v>0</v>
      </c>
      <c r="S767" t="b">
        <f>IFERROR(VLOOKUP(D767,Products!$A$2:$F$61,6,FALSE()),"")</f>
        <v>1</v>
      </c>
      <c r="T767" t="str">
        <f>IF(COUNTIF(Customers!$A$2:$A$301,C767)=0,"Missing","OK")</f>
        <v>OK</v>
      </c>
      <c r="U767" t="str">
        <f t="shared" si="34"/>
        <v>Delhi</v>
      </c>
      <c r="V767">
        <f t="shared" si="35"/>
        <v>0</v>
      </c>
    </row>
    <row r="768" spans="1:22" ht="15" customHeight="1" x14ac:dyDescent="0.35">
      <c r="A768" s="3" t="s">
        <v>1176</v>
      </c>
      <c r="B768" s="4">
        <v>45334</v>
      </c>
      <c r="C768" s="3" t="s">
        <v>668</v>
      </c>
      <c r="D768" s="3" t="s">
        <v>54</v>
      </c>
      <c r="E768" s="3" t="s">
        <v>242</v>
      </c>
      <c r="F768" s="5">
        <v>8</v>
      </c>
      <c r="G768" s="5">
        <v>960</v>
      </c>
      <c r="H768" s="5">
        <v>8.6999999999999993</v>
      </c>
      <c r="I768" s="5">
        <v>7011.84</v>
      </c>
      <c r="J768" s="3" t="s">
        <v>26</v>
      </c>
      <c r="K768" s="3" t="s">
        <v>51</v>
      </c>
      <c r="L768" t="str">
        <f>IFERROR(VLOOKUP(D768,Products!$A$2:$F$61,3,FALSE()),"")</f>
        <v>Sports</v>
      </c>
      <c r="M768" t="str">
        <f>IFERROR(VLOOKUP(E768,Sales_Reps!$A$2:$C$31,3,FALSE()),"")</f>
        <v>East</v>
      </c>
      <c r="N768">
        <f>IFERROR(VLOOKUP(D768,Products!$A$2:$F$61,4,FALSE()),"")</f>
        <v>705</v>
      </c>
      <c r="O768" t="str">
        <f>IFERROR(VLOOKUP(C768,Customers!$A$2:$F$301,5,FALSE()),"")</f>
        <v>Retail</v>
      </c>
      <c r="P768">
        <f>IFERROR(VLOOKUP(C768,Customers!$A$2:$F$301,3,FALSE()),"")</f>
        <v>56</v>
      </c>
      <c r="Q768">
        <f t="shared" si="33"/>
        <v>0.265625</v>
      </c>
      <c r="R768">
        <f>IF(AND(COUNTIF($A$2:$A$2027,A768)&gt;1,COUNTIF($A$2:A768,A768)=1),1,0)</f>
        <v>0</v>
      </c>
      <c r="S768" t="b">
        <f>IFERROR(VLOOKUP(D768,Products!$A$2:$F$61,6,FALSE()),"")</f>
        <v>1</v>
      </c>
      <c r="T768" t="str">
        <f>IF(COUNTIF(Customers!$A$2:$A$301,C768)=0,"Missing","OK")</f>
        <v>OK</v>
      </c>
      <c r="U768" t="str">
        <f t="shared" si="34"/>
        <v>Mumbai</v>
      </c>
      <c r="V768">
        <f t="shared" si="35"/>
        <v>0</v>
      </c>
    </row>
    <row r="769" spans="1:22" ht="15" customHeight="1" x14ac:dyDescent="0.35">
      <c r="A769" s="3" t="s">
        <v>1177</v>
      </c>
      <c r="B769" s="4">
        <v>45306</v>
      </c>
      <c r="C769" s="3" t="s">
        <v>615</v>
      </c>
      <c r="D769" s="3" t="s">
        <v>184</v>
      </c>
      <c r="E769" s="3" t="s">
        <v>282</v>
      </c>
      <c r="F769" s="5">
        <v>2</v>
      </c>
      <c r="G769" s="5">
        <v>2270</v>
      </c>
      <c r="H769" s="5">
        <v>10.199999999999999</v>
      </c>
      <c r="I769" s="5">
        <v>4076.92</v>
      </c>
      <c r="J769" s="3" t="s">
        <v>26</v>
      </c>
      <c r="K769" s="3" t="s">
        <v>27</v>
      </c>
      <c r="L769" t="str">
        <f>IFERROR(VLOOKUP(D769,Products!$A$2:$F$61,3,FALSE()),"")</f>
        <v>Grocery</v>
      </c>
      <c r="M769" t="str">
        <f>IFERROR(VLOOKUP(E769,Sales_Reps!$A$2:$C$31,3,FALSE()),"")</f>
        <v>West</v>
      </c>
      <c r="N769">
        <f>IFERROR(VLOOKUP(D769,Products!$A$2:$F$61,4,FALSE()),"")</f>
        <v>1412</v>
      </c>
      <c r="O769" t="str">
        <f>IFERROR(VLOOKUP(C769,Customers!$A$2:$F$301,5,FALSE()),"")</f>
        <v>SMB</v>
      </c>
      <c r="P769">
        <f>IFERROR(VLOOKUP(C769,Customers!$A$2:$F$301,3,FALSE()),"")</f>
        <v>35</v>
      </c>
      <c r="Q769">
        <f t="shared" si="33"/>
        <v>0.37797356828193834</v>
      </c>
      <c r="R769">
        <f>IF(AND(COUNTIF($A$2:$A$2027,A769)&gt;1,COUNTIF($A$2:A769,A769)=1),1,0)</f>
        <v>0</v>
      </c>
      <c r="S769" t="b">
        <f>IFERROR(VLOOKUP(D769,Products!$A$2:$F$61,6,FALSE()),"")</f>
        <v>1</v>
      </c>
      <c r="T769" t="str">
        <f>IF(COUNTIF(Customers!$A$2:$A$301,C769)=0,"Missing","OK")</f>
        <v>OK</v>
      </c>
      <c r="U769" t="str">
        <f t="shared" si="34"/>
        <v>Pune</v>
      </c>
      <c r="V769">
        <f t="shared" si="35"/>
        <v>0</v>
      </c>
    </row>
    <row r="770" spans="1:22" ht="15" customHeight="1" x14ac:dyDescent="0.35">
      <c r="A770" s="3" t="s">
        <v>1178</v>
      </c>
      <c r="B770" s="4">
        <v>45296</v>
      </c>
      <c r="C770" s="3" t="s">
        <v>238</v>
      </c>
      <c r="D770" s="3" t="s">
        <v>173</v>
      </c>
      <c r="E770" s="3" t="s">
        <v>25</v>
      </c>
      <c r="F770" s="5">
        <v>1</v>
      </c>
      <c r="G770" s="5">
        <v>3780</v>
      </c>
      <c r="H770" s="5">
        <v>15.3</v>
      </c>
      <c r="I770" s="5">
        <v>3201.66</v>
      </c>
      <c r="J770" s="3" t="s">
        <v>79</v>
      </c>
      <c r="K770" s="3" t="s">
        <v>72</v>
      </c>
      <c r="L770" t="str">
        <f>IFERROR(VLOOKUP(D770,Products!$A$2:$F$61,3,FALSE()),"")</f>
        <v>Grocery</v>
      </c>
      <c r="M770" t="str">
        <f>IFERROR(VLOOKUP(E770,Sales_Reps!$A$2:$C$31,3,FALSE()),"")</f>
        <v>North</v>
      </c>
      <c r="N770">
        <f>IFERROR(VLOOKUP(D770,Products!$A$2:$F$61,4,FALSE()),"")</f>
        <v>2436</v>
      </c>
      <c r="O770" t="str">
        <f>IFERROR(VLOOKUP(C770,Customers!$A$2:$F$301,5,FALSE()),"")</f>
        <v>Retail</v>
      </c>
      <c r="P770">
        <f>IFERROR(VLOOKUP(C770,Customers!$A$2:$F$301,3,FALSE()),"")</f>
        <v>29</v>
      </c>
      <c r="Q770">
        <f t="shared" ref="Q770:Q833" si="36">IFERROR((G770-N770)/G770,"")</f>
        <v>0.35555555555555557</v>
      </c>
      <c r="R770">
        <f>IF(AND(COUNTIF($A$2:$A$2027,A770)&gt;1,COUNTIF($A$2:A770,A770)=1),1,0)</f>
        <v>0</v>
      </c>
      <c r="S770" t="b">
        <f>IFERROR(VLOOKUP(D770,Products!$A$2:$F$61,6,FALSE()),"")</f>
        <v>1</v>
      </c>
      <c r="T770" t="str">
        <f>IF(COUNTIF(Customers!$A$2:$A$301,C770)=0,"Missing","OK")</f>
        <v>OK</v>
      </c>
      <c r="U770" t="str">
        <f t="shared" ref="U770:U833" si="37">IF(K770="","",PROPER(TRIM(K770)))</f>
        <v>Hyderabad</v>
      </c>
      <c r="V770">
        <f t="shared" ref="V770:V833" si="38">IF(AND(U770="Bengaluru",L770="Grocery"),I770,0)</f>
        <v>0</v>
      </c>
    </row>
    <row r="771" spans="1:22" ht="15" customHeight="1" x14ac:dyDescent="0.35">
      <c r="A771" s="3" t="s">
        <v>1179</v>
      </c>
      <c r="B771" s="4">
        <v>45489</v>
      </c>
      <c r="C771" s="3" t="s">
        <v>813</v>
      </c>
      <c r="D771" s="3" t="s">
        <v>325</v>
      </c>
      <c r="E771" s="3" t="s">
        <v>67</v>
      </c>
      <c r="F771" s="5">
        <v>10</v>
      </c>
      <c r="G771" s="5">
        <v>2290</v>
      </c>
      <c r="H771" s="5">
        <v>2.4</v>
      </c>
      <c r="I771" s="5">
        <v>22350.400000000001</v>
      </c>
      <c r="J771" s="3" t="s">
        <v>32</v>
      </c>
      <c r="K771" s="3" t="s">
        <v>51</v>
      </c>
      <c r="L771" t="str">
        <f>IFERROR(VLOOKUP(D771,Products!$A$2:$F$61,3,FALSE()),"")</f>
        <v>Beauty</v>
      </c>
      <c r="M771" t="str">
        <f>IFERROR(VLOOKUP(E771,Sales_Reps!$A$2:$C$31,3,FALSE()),"")</f>
        <v>West</v>
      </c>
      <c r="N771">
        <f>IFERROR(VLOOKUP(D771,Products!$A$2:$F$61,4,FALSE()),"")</f>
        <v>1219</v>
      </c>
      <c r="O771" t="str">
        <f>IFERROR(VLOOKUP(C771,Customers!$A$2:$F$301,5,FALSE()),"")</f>
        <v>Retail</v>
      </c>
      <c r="P771">
        <f>IFERROR(VLOOKUP(C771,Customers!$A$2:$F$301,3,FALSE()),"")</f>
        <v>57</v>
      </c>
      <c r="Q771">
        <f t="shared" si="36"/>
        <v>0.46768558951965067</v>
      </c>
      <c r="R771">
        <f>IF(AND(COUNTIF($A$2:$A$2027,A771)&gt;1,COUNTIF($A$2:A771,A771)=1),1,0)</f>
        <v>0</v>
      </c>
      <c r="S771" t="b">
        <f>IFERROR(VLOOKUP(D771,Products!$A$2:$F$61,6,FALSE()),"")</f>
        <v>1</v>
      </c>
      <c r="T771" t="str">
        <f>IF(COUNTIF(Customers!$A$2:$A$301,C771)=0,"Missing","OK")</f>
        <v>OK</v>
      </c>
      <c r="U771" t="str">
        <f t="shared" si="37"/>
        <v>Mumbai</v>
      </c>
      <c r="V771">
        <f t="shared" si="38"/>
        <v>0</v>
      </c>
    </row>
    <row r="772" spans="1:22" ht="15" customHeight="1" x14ac:dyDescent="0.35">
      <c r="A772" s="3" t="s">
        <v>1180</v>
      </c>
      <c r="B772" s="4">
        <v>45416</v>
      </c>
      <c r="C772" s="3" t="s">
        <v>1170</v>
      </c>
      <c r="D772" s="3" t="s">
        <v>118</v>
      </c>
      <c r="E772" s="3" t="s">
        <v>177</v>
      </c>
      <c r="F772" s="5">
        <v>5</v>
      </c>
      <c r="G772" s="5">
        <v>3350</v>
      </c>
      <c r="H772" s="5">
        <v>18.5</v>
      </c>
      <c r="I772" s="5">
        <v>13651.25</v>
      </c>
      <c r="J772" s="3" t="s">
        <v>79</v>
      </c>
      <c r="K772" s="3" t="s">
        <v>27</v>
      </c>
      <c r="L772" t="str">
        <f>IFERROR(VLOOKUP(D772,Products!$A$2:$F$61,3,FALSE()),"")</f>
        <v>Beauty</v>
      </c>
      <c r="M772" t="str">
        <f>IFERROR(VLOOKUP(E772,Sales_Reps!$A$2:$C$31,3,FALSE()),"")</f>
        <v>East</v>
      </c>
      <c r="N772">
        <f>IFERROR(VLOOKUP(D772,Products!$A$2:$F$61,4,FALSE()),"")</f>
        <v>1728</v>
      </c>
      <c r="O772" t="str">
        <f>IFERROR(VLOOKUP(C772,Customers!$A$2:$F$301,5,FALSE()),"")</f>
        <v>Retail</v>
      </c>
      <c r="P772">
        <f>IFERROR(VLOOKUP(C772,Customers!$A$2:$F$301,3,FALSE()),"")</f>
        <v>42</v>
      </c>
      <c r="Q772">
        <f t="shared" si="36"/>
        <v>0.48417910447761192</v>
      </c>
      <c r="R772">
        <f>IF(AND(COUNTIF($A$2:$A$2027,A772)&gt;1,COUNTIF($A$2:A772,A772)=1),1,0)</f>
        <v>0</v>
      </c>
      <c r="S772" t="b">
        <f>IFERROR(VLOOKUP(D772,Products!$A$2:$F$61,6,FALSE()),"")</f>
        <v>1</v>
      </c>
      <c r="T772" t="str">
        <f>IF(COUNTIF(Customers!$A$2:$A$301,C772)=0,"Missing","OK")</f>
        <v>OK</v>
      </c>
      <c r="U772" t="str">
        <f t="shared" si="37"/>
        <v>Pune</v>
      </c>
      <c r="V772">
        <f t="shared" si="38"/>
        <v>0</v>
      </c>
    </row>
    <row r="773" spans="1:22" ht="15" customHeight="1" x14ac:dyDescent="0.35">
      <c r="A773" s="3" t="s">
        <v>1181</v>
      </c>
      <c r="B773" s="4">
        <v>45347</v>
      </c>
      <c r="C773" s="3" t="s">
        <v>247</v>
      </c>
      <c r="D773" s="3" t="s">
        <v>294</v>
      </c>
      <c r="E773" s="3" t="s">
        <v>97</v>
      </c>
      <c r="F773" s="5">
        <v>7</v>
      </c>
      <c r="G773" s="5">
        <v>2510</v>
      </c>
      <c r="H773" s="5">
        <v>4.2</v>
      </c>
      <c r="I773" s="5">
        <v>16832.060000000001</v>
      </c>
      <c r="J773" s="3" t="s">
        <v>79</v>
      </c>
      <c r="K773" s="3" t="s">
        <v>27</v>
      </c>
      <c r="L773" t="str">
        <f>IFERROR(VLOOKUP(D773,Products!$A$2:$F$61,3,FALSE()),"")</f>
        <v>Apparel</v>
      </c>
      <c r="M773" t="str">
        <f>IFERROR(VLOOKUP(E773,Sales_Reps!$A$2:$C$31,3,FALSE()),"")</f>
        <v>East</v>
      </c>
      <c r="N773">
        <f>IFERROR(VLOOKUP(D773,Products!$A$2:$F$61,4,FALSE()),"")</f>
        <v>1075</v>
      </c>
      <c r="O773" t="str">
        <f>IFERROR(VLOOKUP(C773,Customers!$A$2:$F$301,5,FALSE()),"")</f>
        <v>SMB</v>
      </c>
      <c r="P773">
        <f>IFERROR(VLOOKUP(C773,Customers!$A$2:$F$301,3,FALSE()),"")</f>
        <v>54</v>
      </c>
      <c r="Q773">
        <f t="shared" si="36"/>
        <v>0.57171314741035861</v>
      </c>
      <c r="R773">
        <f>IF(AND(COUNTIF($A$2:$A$2027,A773)&gt;1,COUNTIF($A$2:A773,A773)=1),1,0)</f>
        <v>0</v>
      </c>
      <c r="S773" t="b">
        <f>IFERROR(VLOOKUP(D773,Products!$A$2:$F$61,6,FALSE()),"")</f>
        <v>0</v>
      </c>
      <c r="T773" t="str">
        <f>IF(COUNTIF(Customers!$A$2:$A$301,C773)=0,"Missing","OK")</f>
        <v>OK</v>
      </c>
      <c r="U773" t="str">
        <f t="shared" si="37"/>
        <v>Pune</v>
      </c>
      <c r="V773">
        <f t="shared" si="38"/>
        <v>0</v>
      </c>
    </row>
    <row r="774" spans="1:22" ht="15" customHeight="1" x14ac:dyDescent="0.35">
      <c r="A774" s="3" t="s">
        <v>1182</v>
      </c>
      <c r="B774" s="4">
        <v>45652</v>
      </c>
      <c r="C774" s="3" t="s">
        <v>102</v>
      </c>
      <c r="D774" s="3" t="s">
        <v>77</v>
      </c>
      <c r="E774" s="3" t="s">
        <v>242</v>
      </c>
      <c r="F774" s="5">
        <v>1</v>
      </c>
      <c r="G774" s="5">
        <v>2600</v>
      </c>
      <c r="H774" s="5">
        <v>2.2000000000000002</v>
      </c>
      <c r="I774" s="5">
        <v>2542.8000000000002</v>
      </c>
      <c r="J774" s="3" t="s">
        <v>26</v>
      </c>
      <c r="K774" s="3" t="s">
        <v>33</v>
      </c>
      <c r="L774" t="str">
        <f>IFERROR(VLOOKUP(D774,Products!$A$2:$F$61,3,FALSE()),"")</f>
        <v>Electronics</v>
      </c>
      <c r="M774" t="str">
        <f>IFERROR(VLOOKUP(E774,Sales_Reps!$A$2:$C$31,3,FALSE()),"")</f>
        <v>East</v>
      </c>
      <c r="N774">
        <f>IFERROR(VLOOKUP(D774,Products!$A$2:$F$61,4,FALSE()),"")</f>
        <v>1052</v>
      </c>
      <c r="O774" t="str">
        <f>IFERROR(VLOOKUP(C774,Customers!$A$2:$F$301,5,FALSE()),"")</f>
        <v>Retail</v>
      </c>
      <c r="P774">
        <f>IFERROR(VLOOKUP(C774,Customers!$A$2:$F$301,3,FALSE()),"")</f>
        <v>49</v>
      </c>
      <c r="Q774">
        <f t="shared" si="36"/>
        <v>0.5953846153846154</v>
      </c>
      <c r="R774">
        <f>IF(AND(COUNTIF($A$2:$A$2027,A774)&gt;1,COUNTIF($A$2:A774,A774)=1),1,0)</f>
        <v>0</v>
      </c>
      <c r="S774" t="b">
        <f>IFERROR(VLOOKUP(D774,Products!$A$2:$F$61,6,FALSE()),"")</f>
        <v>1</v>
      </c>
      <c r="T774" t="str">
        <f>IF(COUNTIF(Customers!$A$2:$A$301,C774)=0,"Missing","OK")</f>
        <v>OK</v>
      </c>
      <c r="U774" t="str">
        <f t="shared" si="37"/>
        <v>Chennai</v>
      </c>
      <c r="V774">
        <f t="shared" si="38"/>
        <v>0</v>
      </c>
    </row>
    <row r="775" spans="1:22" ht="15" customHeight="1" x14ac:dyDescent="0.35">
      <c r="A775" s="3" t="s">
        <v>1183</v>
      </c>
      <c r="B775" s="4">
        <v>45467</v>
      </c>
      <c r="C775" s="3" t="s">
        <v>368</v>
      </c>
      <c r="D775" s="3" t="s">
        <v>36</v>
      </c>
      <c r="E775" s="3" t="s">
        <v>87</v>
      </c>
      <c r="F775" s="5">
        <v>8</v>
      </c>
      <c r="G775" s="5">
        <v>470</v>
      </c>
      <c r="H775" s="5">
        <v>25.2</v>
      </c>
      <c r="I775" s="5">
        <v>2812.48</v>
      </c>
      <c r="J775" s="3" t="s">
        <v>26</v>
      </c>
      <c r="K775" s="3" t="s">
        <v>56</v>
      </c>
      <c r="L775" t="str">
        <f>IFERROR(VLOOKUP(D775,Products!$A$2:$F$61,3,FALSE()),"")</f>
        <v>Sports</v>
      </c>
      <c r="M775" t="str">
        <f>IFERROR(VLOOKUP(E775,Sales_Reps!$A$2:$C$31,3,FALSE()),"")</f>
        <v>North</v>
      </c>
      <c r="N775">
        <f>IFERROR(VLOOKUP(D775,Products!$A$2:$F$61,4,FALSE()),"")</f>
        <v>302</v>
      </c>
      <c r="O775" t="str">
        <f>IFERROR(VLOOKUP(C775,Customers!$A$2:$F$301,5,FALSE()),"")</f>
        <v>Retail</v>
      </c>
      <c r="P775">
        <f>IFERROR(VLOOKUP(C775,Customers!$A$2:$F$301,3,FALSE()),"")</f>
        <v>55</v>
      </c>
      <c r="Q775">
        <f t="shared" si="36"/>
        <v>0.35744680851063831</v>
      </c>
      <c r="R775">
        <f>IF(AND(COUNTIF($A$2:$A$2027,A775)&gt;1,COUNTIF($A$2:A775,A775)=1),1,0)</f>
        <v>0</v>
      </c>
      <c r="S775" t="b">
        <f>IFERROR(VLOOKUP(D775,Products!$A$2:$F$61,6,FALSE()),"")</f>
        <v>0</v>
      </c>
      <c r="T775" t="str">
        <f>IF(COUNTIF(Customers!$A$2:$A$301,C775)=0,"Missing","OK")</f>
        <v>OK</v>
      </c>
      <c r="U775" t="str">
        <f t="shared" si="37"/>
        <v>Bengaluru</v>
      </c>
      <c r="V775">
        <f t="shared" si="38"/>
        <v>0</v>
      </c>
    </row>
    <row r="776" spans="1:22" ht="15" customHeight="1" x14ac:dyDescent="0.35">
      <c r="A776" s="3" t="s">
        <v>1184</v>
      </c>
      <c r="B776" s="4">
        <v>45558</v>
      </c>
      <c r="C776" s="3" t="s">
        <v>136</v>
      </c>
      <c r="D776" s="3" t="s">
        <v>103</v>
      </c>
      <c r="E776" s="3" t="s">
        <v>264</v>
      </c>
      <c r="F776" s="5">
        <v>6</v>
      </c>
      <c r="G776" s="5">
        <v>1080</v>
      </c>
      <c r="H776" s="5">
        <v>25</v>
      </c>
      <c r="I776" s="5">
        <v>4860</v>
      </c>
      <c r="J776" s="3" t="s">
        <v>26</v>
      </c>
      <c r="K776" s="3" t="s">
        <v>27</v>
      </c>
      <c r="L776" t="str">
        <f>IFERROR(VLOOKUP(D776,Products!$A$2:$F$61,3,FALSE()),"")</f>
        <v>Home</v>
      </c>
      <c r="M776" t="str">
        <f>IFERROR(VLOOKUP(E776,Sales_Reps!$A$2:$C$31,3,FALSE()),"")</f>
        <v>South</v>
      </c>
      <c r="N776">
        <f>IFERROR(VLOOKUP(D776,Products!$A$2:$F$61,4,FALSE()),"")</f>
        <v>519</v>
      </c>
      <c r="O776" t="str">
        <f>IFERROR(VLOOKUP(C776,Customers!$A$2:$F$301,5,FALSE()),"")</f>
        <v>Corporate</v>
      </c>
      <c r="P776">
        <f>IFERROR(VLOOKUP(C776,Customers!$A$2:$F$301,3,FALSE()),"")</f>
        <v>47</v>
      </c>
      <c r="Q776">
        <f t="shared" si="36"/>
        <v>0.51944444444444449</v>
      </c>
      <c r="R776">
        <f>IF(AND(COUNTIF($A$2:$A$2027,A776)&gt;1,COUNTIF($A$2:A776,A776)=1),1,0)</f>
        <v>0</v>
      </c>
      <c r="S776" t="b">
        <f>IFERROR(VLOOKUP(D776,Products!$A$2:$F$61,6,FALSE()),"")</f>
        <v>1</v>
      </c>
      <c r="T776" t="str">
        <f>IF(COUNTIF(Customers!$A$2:$A$301,C776)=0,"Missing","OK")</f>
        <v>OK</v>
      </c>
      <c r="U776" t="str">
        <f t="shared" si="37"/>
        <v>Pune</v>
      </c>
      <c r="V776">
        <f t="shared" si="38"/>
        <v>0</v>
      </c>
    </row>
    <row r="777" spans="1:22" ht="15" customHeight="1" x14ac:dyDescent="0.35">
      <c r="A777" s="3" t="s">
        <v>1185</v>
      </c>
      <c r="B777" s="4">
        <v>45645</v>
      </c>
      <c r="C777" s="3" t="s">
        <v>23</v>
      </c>
      <c r="D777" s="3" t="s">
        <v>121</v>
      </c>
      <c r="E777" s="3" t="s">
        <v>60</v>
      </c>
      <c r="F777" s="5">
        <v>2</v>
      </c>
      <c r="G777" s="5">
        <v>1010</v>
      </c>
      <c r="H777" s="5">
        <v>16.100000000000001</v>
      </c>
      <c r="I777" s="5">
        <v>1694.78</v>
      </c>
      <c r="J777" s="3" t="s">
        <v>26</v>
      </c>
      <c r="K777" s="3" t="s">
        <v>27</v>
      </c>
      <c r="L777" t="str">
        <f>IFERROR(VLOOKUP(D777,Products!$A$2:$F$61,3,FALSE()),"")</f>
        <v>Sports</v>
      </c>
      <c r="M777" t="str">
        <f>IFERROR(VLOOKUP(E777,Sales_Reps!$A$2:$C$31,3,FALSE()),"")</f>
        <v>East</v>
      </c>
      <c r="N777">
        <f>IFERROR(VLOOKUP(D777,Products!$A$2:$F$61,4,FALSE()),"")</f>
        <v>516</v>
      </c>
      <c r="O777" t="str">
        <f>IFERROR(VLOOKUP(C777,Customers!$A$2:$F$301,5,FALSE()),"")</f>
        <v>SMB</v>
      </c>
      <c r="P777">
        <f>IFERROR(VLOOKUP(C777,Customers!$A$2:$F$301,3,FALSE()),"")</f>
        <v>44</v>
      </c>
      <c r="Q777">
        <f t="shared" si="36"/>
        <v>0.4891089108910891</v>
      </c>
      <c r="R777">
        <f>IF(AND(COUNTIF($A$2:$A$2027,A777)&gt;1,COUNTIF($A$2:A777,A777)=1),1,0)</f>
        <v>0</v>
      </c>
      <c r="S777" t="b">
        <f>IFERROR(VLOOKUP(D777,Products!$A$2:$F$61,6,FALSE()),"")</f>
        <v>1</v>
      </c>
      <c r="T777" t="str">
        <f>IF(COUNTIF(Customers!$A$2:$A$301,C777)=0,"Missing","OK")</f>
        <v>OK</v>
      </c>
      <c r="U777" t="str">
        <f t="shared" si="37"/>
        <v>Pune</v>
      </c>
      <c r="V777">
        <f t="shared" si="38"/>
        <v>0</v>
      </c>
    </row>
    <row r="778" spans="1:22" ht="15" customHeight="1" x14ac:dyDescent="0.35">
      <c r="A778" s="3" t="s">
        <v>1186</v>
      </c>
      <c r="B778" s="4">
        <v>45418</v>
      </c>
      <c r="C778" s="3" t="s">
        <v>664</v>
      </c>
      <c r="D778" s="3" t="s">
        <v>187</v>
      </c>
      <c r="E778" s="3" t="s">
        <v>236</v>
      </c>
      <c r="F778" s="5">
        <v>6</v>
      </c>
      <c r="G778" s="5">
        <v>3870</v>
      </c>
      <c r="H778" s="5">
        <v>22.4</v>
      </c>
      <c r="I778" s="5">
        <v>18018.72</v>
      </c>
      <c r="J778" s="3" t="s">
        <v>79</v>
      </c>
      <c r="K778" s="3" t="s">
        <v>38</v>
      </c>
      <c r="L778" t="str">
        <f>IFERROR(VLOOKUP(D778,Products!$A$2:$F$61,3,FALSE()),"")</f>
        <v>Electronics</v>
      </c>
      <c r="M778" t="str">
        <f>IFERROR(VLOOKUP(E778,Sales_Reps!$A$2:$C$31,3,FALSE()),"")</f>
        <v>North</v>
      </c>
      <c r="N778">
        <f>IFERROR(VLOOKUP(D778,Products!$A$2:$F$61,4,FALSE()),"")</f>
        <v>1559</v>
      </c>
      <c r="O778" t="str">
        <f>IFERROR(VLOOKUP(C778,Customers!$A$2:$F$301,5,FALSE()),"")</f>
        <v>SMB</v>
      </c>
      <c r="P778">
        <f>IFERROR(VLOOKUP(C778,Customers!$A$2:$F$301,3,FALSE()),"")</f>
        <v>26</v>
      </c>
      <c r="Q778">
        <f t="shared" si="36"/>
        <v>0.59715762273901807</v>
      </c>
      <c r="R778">
        <f>IF(AND(COUNTIF($A$2:$A$2027,A778)&gt;1,COUNTIF($A$2:A778,A778)=1),1,0)</f>
        <v>0</v>
      </c>
      <c r="S778" t="b">
        <f>IFERROR(VLOOKUP(D778,Products!$A$2:$F$61,6,FALSE()),"")</f>
        <v>1</v>
      </c>
      <c r="T778" t="str">
        <f>IF(COUNTIF(Customers!$A$2:$A$301,C778)=0,"Missing","OK")</f>
        <v>OK</v>
      </c>
      <c r="U778" t="str">
        <f t="shared" si="37"/>
        <v>Delhi</v>
      </c>
      <c r="V778">
        <f t="shared" si="38"/>
        <v>0</v>
      </c>
    </row>
    <row r="779" spans="1:22" ht="15" customHeight="1" x14ac:dyDescent="0.35">
      <c r="A779" s="3" t="s">
        <v>1187</v>
      </c>
      <c r="B779" s="4">
        <v>45655</v>
      </c>
      <c r="C779" s="3" t="s">
        <v>552</v>
      </c>
      <c r="D779" s="3" t="s">
        <v>234</v>
      </c>
      <c r="E779" s="3" t="s">
        <v>282</v>
      </c>
      <c r="F779" s="5">
        <v>3</v>
      </c>
      <c r="G779" s="5">
        <v>2030</v>
      </c>
      <c r="H779" s="5">
        <v>18.5</v>
      </c>
      <c r="I779" s="5">
        <v>4963.3500000000004</v>
      </c>
      <c r="J779" s="3" t="s">
        <v>26</v>
      </c>
      <c r="K779" s="3" t="s">
        <v>51</v>
      </c>
      <c r="L779" t="str">
        <f>IFERROR(VLOOKUP(D779,Products!$A$2:$F$61,3,FALSE()),"")</f>
        <v>Home</v>
      </c>
      <c r="M779" t="str">
        <f>IFERROR(VLOOKUP(E779,Sales_Reps!$A$2:$C$31,3,FALSE()),"")</f>
        <v>West</v>
      </c>
      <c r="N779">
        <f>IFERROR(VLOOKUP(D779,Products!$A$2:$F$61,4,FALSE()),"")</f>
        <v>1143</v>
      </c>
      <c r="O779" t="str">
        <f>IFERROR(VLOOKUP(C779,Customers!$A$2:$F$301,5,FALSE()),"")</f>
        <v>Retail</v>
      </c>
      <c r="P779">
        <f>IFERROR(VLOOKUP(C779,Customers!$A$2:$F$301,3,FALSE()),"")</f>
        <v>44</v>
      </c>
      <c r="Q779">
        <f t="shared" si="36"/>
        <v>0.43694581280788175</v>
      </c>
      <c r="R779">
        <f>IF(AND(COUNTIF($A$2:$A$2027,A779)&gt;1,COUNTIF($A$2:A779,A779)=1),1,0)</f>
        <v>0</v>
      </c>
      <c r="S779" t="b">
        <f>IFERROR(VLOOKUP(D779,Products!$A$2:$F$61,6,FALSE()),"")</f>
        <v>1</v>
      </c>
      <c r="T779" t="str">
        <f>IF(COUNTIF(Customers!$A$2:$A$301,C779)=0,"Missing","OK")</f>
        <v>OK</v>
      </c>
      <c r="U779" t="str">
        <f t="shared" si="37"/>
        <v>Mumbai</v>
      </c>
      <c r="V779">
        <f t="shared" si="38"/>
        <v>0</v>
      </c>
    </row>
    <row r="780" spans="1:22" ht="15" customHeight="1" x14ac:dyDescent="0.35">
      <c r="A780" s="3" t="s">
        <v>1188</v>
      </c>
      <c r="B780" s="4">
        <v>45540</v>
      </c>
      <c r="C780" s="3" t="s">
        <v>1189</v>
      </c>
      <c r="D780" s="3" t="s">
        <v>103</v>
      </c>
      <c r="E780" s="3" t="s">
        <v>282</v>
      </c>
      <c r="F780" s="5">
        <v>7</v>
      </c>
      <c r="G780" s="5">
        <v>1080</v>
      </c>
      <c r="H780" s="5">
        <v>6.8</v>
      </c>
      <c r="I780" s="5">
        <v>7045.92</v>
      </c>
      <c r="J780" s="3" t="s">
        <v>32</v>
      </c>
      <c r="K780" s="3" t="s">
        <v>27</v>
      </c>
      <c r="L780" t="str">
        <f>IFERROR(VLOOKUP(D780,Products!$A$2:$F$61,3,FALSE()),"")</f>
        <v>Home</v>
      </c>
      <c r="M780" t="str">
        <f>IFERROR(VLOOKUP(E780,Sales_Reps!$A$2:$C$31,3,FALSE()),"")</f>
        <v>West</v>
      </c>
      <c r="N780">
        <f>IFERROR(VLOOKUP(D780,Products!$A$2:$F$61,4,FALSE()),"")</f>
        <v>519</v>
      </c>
      <c r="O780" t="str">
        <f>IFERROR(VLOOKUP(C780,Customers!$A$2:$F$301,5,FALSE()),"")</f>
        <v>Retail</v>
      </c>
      <c r="P780">
        <f>IFERROR(VLOOKUP(C780,Customers!$A$2:$F$301,3,FALSE()),"")</f>
        <v>44</v>
      </c>
      <c r="Q780">
        <f t="shared" si="36"/>
        <v>0.51944444444444449</v>
      </c>
      <c r="R780">
        <f>IF(AND(COUNTIF($A$2:$A$2027,A780)&gt;1,COUNTIF($A$2:A780,A780)=1),1,0)</f>
        <v>0</v>
      </c>
      <c r="S780" t="b">
        <f>IFERROR(VLOOKUP(D780,Products!$A$2:$F$61,6,FALSE()),"")</f>
        <v>1</v>
      </c>
      <c r="T780" t="str">
        <f>IF(COUNTIF(Customers!$A$2:$A$301,C780)=0,"Missing","OK")</f>
        <v>OK</v>
      </c>
      <c r="U780" t="str">
        <f t="shared" si="37"/>
        <v>Pune</v>
      </c>
      <c r="V780">
        <f t="shared" si="38"/>
        <v>0</v>
      </c>
    </row>
    <row r="781" spans="1:22" ht="15" customHeight="1" x14ac:dyDescent="0.35">
      <c r="A781" s="3" t="s">
        <v>1190</v>
      </c>
      <c r="B781" s="4">
        <v>45609</v>
      </c>
      <c r="C781" s="3" t="s">
        <v>301</v>
      </c>
      <c r="D781" s="3" t="s">
        <v>441</v>
      </c>
      <c r="E781" s="3" t="s">
        <v>143</v>
      </c>
      <c r="F781" s="5">
        <v>1</v>
      </c>
      <c r="G781" s="5">
        <v>1090</v>
      </c>
      <c r="H781" s="5">
        <v>20.6</v>
      </c>
      <c r="I781" s="5">
        <v>865.46</v>
      </c>
      <c r="J781" s="3" t="s">
        <v>26</v>
      </c>
      <c r="K781" s="3" t="s">
        <v>33</v>
      </c>
      <c r="L781" t="str">
        <f>IFERROR(VLOOKUP(D781,Products!$A$2:$F$61,3,FALSE()),"")</f>
        <v>Home</v>
      </c>
      <c r="M781" t="str">
        <f>IFERROR(VLOOKUP(E781,Sales_Reps!$A$2:$C$31,3,FALSE()),"")</f>
        <v>South</v>
      </c>
      <c r="N781">
        <f>IFERROR(VLOOKUP(D781,Products!$A$2:$F$61,4,FALSE()),"")</f>
        <v>464</v>
      </c>
      <c r="O781" t="str">
        <f>IFERROR(VLOOKUP(C781,Customers!$A$2:$F$301,5,FALSE()),"")</f>
        <v>Corporate</v>
      </c>
      <c r="P781">
        <f>IFERROR(VLOOKUP(C781,Customers!$A$2:$F$301,3,FALSE()),"")</f>
        <v>51</v>
      </c>
      <c r="Q781">
        <f t="shared" si="36"/>
        <v>0.57431192660550456</v>
      </c>
      <c r="R781">
        <f>IF(AND(COUNTIF($A$2:$A$2027,A781)&gt;1,COUNTIF($A$2:A781,A781)=1),1,0)</f>
        <v>0</v>
      </c>
      <c r="S781" t="b">
        <f>IFERROR(VLOOKUP(D781,Products!$A$2:$F$61,6,FALSE()),"")</f>
        <v>1</v>
      </c>
      <c r="T781" t="str">
        <f>IF(COUNTIF(Customers!$A$2:$A$301,C781)=0,"Missing","OK")</f>
        <v>OK</v>
      </c>
      <c r="U781" t="str">
        <f t="shared" si="37"/>
        <v>Chennai</v>
      </c>
      <c r="V781">
        <f t="shared" si="38"/>
        <v>0</v>
      </c>
    </row>
    <row r="782" spans="1:22" ht="15" customHeight="1" x14ac:dyDescent="0.35">
      <c r="A782" s="3" t="s">
        <v>1191</v>
      </c>
      <c r="B782" s="4">
        <v>45528</v>
      </c>
      <c r="C782" s="3" t="s">
        <v>267</v>
      </c>
      <c r="D782" s="3" t="s">
        <v>49</v>
      </c>
      <c r="E782" s="3" t="s">
        <v>212</v>
      </c>
      <c r="F782" s="5">
        <v>8</v>
      </c>
      <c r="G782" s="5">
        <v>370</v>
      </c>
      <c r="H782" s="5">
        <v>1.7</v>
      </c>
      <c r="I782" s="5">
        <v>2909.68</v>
      </c>
      <c r="J782" s="3" t="s">
        <v>26</v>
      </c>
      <c r="K782" s="3" t="s">
        <v>33</v>
      </c>
      <c r="L782" t="str">
        <f>IFERROR(VLOOKUP(D782,Products!$A$2:$F$61,3,FALSE()),"")</f>
        <v>Home</v>
      </c>
      <c r="M782" t="str">
        <f>IFERROR(VLOOKUP(E782,Sales_Reps!$A$2:$C$31,3,FALSE()),"")</f>
        <v>South</v>
      </c>
      <c r="N782">
        <f>IFERROR(VLOOKUP(D782,Products!$A$2:$F$61,4,FALSE()),"")</f>
        <v>288</v>
      </c>
      <c r="O782" t="str">
        <f>IFERROR(VLOOKUP(C782,Customers!$A$2:$F$301,5,FALSE()),"")</f>
        <v>Retail</v>
      </c>
      <c r="P782">
        <f>IFERROR(VLOOKUP(C782,Customers!$A$2:$F$301,3,FALSE()),"")</f>
        <v>28</v>
      </c>
      <c r="Q782">
        <f t="shared" si="36"/>
        <v>0.22162162162162163</v>
      </c>
      <c r="R782">
        <f>IF(AND(COUNTIF($A$2:$A$2027,A782)&gt;1,COUNTIF($A$2:A782,A782)=1),1,0)</f>
        <v>0</v>
      </c>
      <c r="S782" t="b">
        <f>IFERROR(VLOOKUP(D782,Products!$A$2:$F$61,6,FALSE()),"")</f>
        <v>1</v>
      </c>
      <c r="T782" t="str">
        <f>IF(COUNTIF(Customers!$A$2:$A$301,C782)=0,"Missing","OK")</f>
        <v>OK</v>
      </c>
      <c r="U782" t="str">
        <f t="shared" si="37"/>
        <v>Chennai</v>
      </c>
      <c r="V782">
        <f t="shared" si="38"/>
        <v>0</v>
      </c>
    </row>
    <row r="783" spans="1:22" ht="15" customHeight="1" x14ac:dyDescent="0.35">
      <c r="A783" s="3" t="s">
        <v>1192</v>
      </c>
      <c r="B783" s="4">
        <v>45625</v>
      </c>
      <c r="C783" s="3" t="s">
        <v>990</v>
      </c>
      <c r="D783" s="3" t="s">
        <v>598</v>
      </c>
      <c r="E783" s="3" t="s">
        <v>242</v>
      </c>
      <c r="F783" s="5">
        <v>7</v>
      </c>
      <c r="G783" s="5">
        <v>3560</v>
      </c>
      <c r="H783" s="5">
        <v>28.7</v>
      </c>
      <c r="I783" s="5">
        <v>17767.96</v>
      </c>
      <c r="J783" s="3" t="s">
        <v>26</v>
      </c>
      <c r="K783" s="3" t="s">
        <v>51</v>
      </c>
      <c r="L783" t="str">
        <f>IFERROR(VLOOKUP(D783,Products!$A$2:$F$61,3,FALSE()),"")</f>
        <v>Apparel</v>
      </c>
      <c r="M783" t="str">
        <f>IFERROR(VLOOKUP(E783,Sales_Reps!$A$2:$C$31,3,FALSE()),"")</f>
        <v>East</v>
      </c>
      <c r="N783">
        <f>IFERROR(VLOOKUP(D783,Products!$A$2:$F$61,4,FALSE()),"")</f>
        <v>2629</v>
      </c>
      <c r="O783" t="str">
        <f>IFERROR(VLOOKUP(C783,Customers!$A$2:$F$301,5,FALSE()),"")</f>
        <v>Retail</v>
      </c>
      <c r="P783">
        <f>IFERROR(VLOOKUP(C783,Customers!$A$2:$F$301,3,FALSE()),"")</f>
        <v>54</v>
      </c>
      <c r="Q783">
        <f t="shared" si="36"/>
        <v>0.26151685393258428</v>
      </c>
      <c r="R783">
        <f>IF(AND(COUNTIF($A$2:$A$2027,A783)&gt;1,COUNTIF($A$2:A783,A783)=1),1,0)</f>
        <v>0</v>
      </c>
      <c r="S783" t="b">
        <f>IFERROR(VLOOKUP(D783,Products!$A$2:$F$61,6,FALSE()),"")</f>
        <v>1</v>
      </c>
      <c r="T783" t="str">
        <f>IF(COUNTIF(Customers!$A$2:$A$301,C783)=0,"Missing","OK")</f>
        <v>OK</v>
      </c>
      <c r="U783" t="str">
        <f t="shared" si="37"/>
        <v>Mumbai</v>
      </c>
      <c r="V783">
        <f t="shared" si="38"/>
        <v>0</v>
      </c>
    </row>
    <row r="784" spans="1:22" ht="15" customHeight="1" x14ac:dyDescent="0.35">
      <c r="A784" s="3" t="s">
        <v>1193</v>
      </c>
      <c r="B784" s="4">
        <v>45444</v>
      </c>
      <c r="C784" s="3" t="s">
        <v>498</v>
      </c>
      <c r="D784" s="3" t="s">
        <v>180</v>
      </c>
      <c r="E784" s="3" t="s">
        <v>285</v>
      </c>
      <c r="F784" s="5">
        <v>9</v>
      </c>
      <c r="G784" s="5">
        <v>6080</v>
      </c>
      <c r="H784" s="5">
        <v>16.3</v>
      </c>
      <c r="I784" s="5">
        <v>45800.639999999999</v>
      </c>
      <c r="J784" s="3" t="s">
        <v>79</v>
      </c>
      <c r="K784" s="3" t="s">
        <v>27</v>
      </c>
      <c r="L784" t="str">
        <f>IFERROR(VLOOKUP(D784,Products!$A$2:$F$61,3,FALSE()),"")</f>
        <v>Beauty</v>
      </c>
      <c r="M784" t="str">
        <f>IFERROR(VLOOKUP(E784,Sales_Reps!$A$2:$C$31,3,FALSE()),"")</f>
        <v>South</v>
      </c>
      <c r="N784">
        <f>IFERROR(VLOOKUP(D784,Products!$A$2:$F$61,4,FALSE()),"")</f>
        <v>2617</v>
      </c>
      <c r="O784" t="str">
        <f>IFERROR(VLOOKUP(C784,Customers!$A$2:$F$301,5,FALSE()),"")</f>
        <v>Retail</v>
      </c>
      <c r="P784">
        <f>IFERROR(VLOOKUP(C784,Customers!$A$2:$F$301,3,FALSE()),"")</f>
        <v>62</v>
      </c>
      <c r="Q784">
        <f t="shared" si="36"/>
        <v>0.56957236842105263</v>
      </c>
      <c r="R784">
        <f>IF(AND(COUNTIF($A$2:$A$2027,A784)&gt;1,COUNTIF($A$2:A784,A784)=1),1,0)</f>
        <v>0</v>
      </c>
      <c r="S784" t="b">
        <f>IFERROR(VLOOKUP(D784,Products!$A$2:$F$61,6,FALSE()),"")</f>
        <v>1</v>
      </c>
      <c r="T784" t="str">
        <f>IF(COUNTIF(Customers!$A$2:$A$301,C784)=0,"Missing","OK")</f>
        <v>OK</v>
      </c>
      <c r="U784" t="str">
        <f t="shared" si="37"/>
        <v>Pune</v>
      </c>
      <c r="V784">
        <f t="shared" si="38"/>
        <v>0</v>
      </c>
    </row>
    <row r="785" spans="1:22" ht="15" customHeight="1" x14ac:dyDescent="0.35">
      <c r="A785" s="3" t="s">
        <v>1194</v>
      </c>
      <c r="B785" s="4">
        <v>45505</v>
      </c>
      <c r="C785" s="3" t="s">
        <v>95</v>
      </c>
      <c r="D785" s="3" t="s">
        <v>100</v>
      </c>
      <c r="E785" s="3" t="s">
        <v>127</v>
      </c>
      <c r="F785" s="5">
        <v>2</v>
      </c>
      <c r="G785" s="5">
        <v>3450</v>
      </c>
      <c r="H785" s="5">
        <v>17.600000000000001</v>
      </c>
      <c r="I785" s="5">
        <v>5685.6</v>
      </c>
      <c r="J785" s="3" t="s">
        <v>32</v>
      </c>
      <c r="K785" s="3" t="s">
        <v>72</v>
      </c>
      <c r="L785" t="str">
        <f>IFERROR(VLOOKUP(D785,Products!$A$2:$F$61,3,FALSE()),"")</f>
        <v>Sports</v>
      </c>
      <c r="M785" t="str">
        <f>IFERROR(VLOOKUP(E785,Sales_Reps!$A$2:$C$31,3,FALSE()),"")</f>
        <v>South</v>
      </c>
      <c r="N785">
        <f>IFERROR(VLOOKUP(D785,Products!$A$2:$F$61,4,FALSE()),"")</f>
        <v>2467</v>
      </c>
      <c r="O785" t="str">
        <f>IFERROR(VLOOKUP(C785,Customers!$A$2:$F$301,5,FALSE()),"")</f>
        <v>Corporate</v>
      </c>
      <c r="P785">
        <f>IFERROR(VLOOKUP(C785,Customers!$A$2:$F$301,3,FALSE()),"")</f>
        <v>32</v>
      </c>
      <c r="Q785">
        <f t="shared" si="36"/>
        <v>0.28492753623188405</v>
      </c>
      <c r="R785">
        <f>IF(AND(COUNTIF($A$2:$A$2027,A785)&gt;1,COUNTIF($A$2:A785,A785)=1),1,0)</f>
        <v>0</v>
      </c>
      <c r="S785" t="b">
        <f>IFERROR(VLOOKUP(D785,Products!$A$2:$F$61,6,FALSE()),"")</f>
        <v>1</v>
      </c>
      <c r="T785" t="str">
        <f>IF(COUNTIF(Customers!$A$2:$A$301,C785)=0,"Missing","OK")</f>
        <v>OK</v>
      </c>
      <c r="U785" t="str">
        <f t="shared" si="37"/>
        <v>Hyderabad</v>
      </c>
      <c r="V785">
        <f t="shared" si="38"/>
        <v>0</v>
      </c>
    </row>
    <row r="786" spans="1:22" ht="15" customHeight="1" x14ac:dyDescent="0.35">
      <c r="A786" s="3" t="s">
        <v>1195</v>
      </c>
      <c r="B786" s="4">
        <v>45401</v>
      </c>
      <c r="C786" s="3" t="s">
        <v>156</v>
      </c>
      <c r="D786" s="3" t="s">
        <v>382</v>
      </c>
      <c r="E786" s="3" t="s">
        <v>143</v>
      </c>
      <c r="F786" s="5">
        <v>1</v>
      </c>
      <c r="G786" s="5">
        <v>5080</v>
      </c>
      <c r="H786" s="5">
        <v>5.9</v>
      </c>
      <c r="I786" s="5">
        <v>4780.28</v>
      </c>
      <c r="J786" s="3" t="s">
        <v>26</v>
      </c>
      <c r="K786" s="3" t="s">
        <v>33</v>
      </c>
      <c r="L786" t="str">
        <f>IFERROR(VLOOKUP(D786,Products!$A$2:$F$61,3,FALSE()),"")</f>
        <v>Home</v>
      </c>
      <c r="M786" t="str">
        <f>IFERROR(VLOOKUP(E786,Sales_Reps!$A$2:$C$31,3,FALSE()),"")</f>
        <v>South</v>
      </c>
      <c r="N786">
        <f>IFERROR(VLOOKUP(D786,Products!$A$2:$F$61,4,FALSE()),"")</f>
        <v>2459</v>
      </c>
      <c r="O786" t="str">
        <f>IFERROR(VLOOKUP(C786,Customers!$A$2:$F$301,5,FALSE()),"")</f>
        <v>Retail</v>
      </c>
      <c r="P786">
        <f>IFERROR(VLOOKUP(C786,Customers!$A$2:$F$301,3,FALSE()),"")</f>
        <v>51</v>
      </c>
      <c r="Q786">
        <f t="shared" si="36"/>
        <v>0.51594488188976373</v>
      </c>
      <c r="R786">
        <f>IF(AND(COUNTIF($A$2:$A$2027,A786)&gt;1,COUNTIF($A$2:A786,A786)=1),1,0)</f>
        <v>0</v>
      </c>
      <c r="S786" t="b">
        <f>IFERROR(VLOOKUP(D786,Products!$A$2:$F$61,6,FALSE()),"")</f>
        <v>1</v>
      </c>
      <c r="T786" t="str">
        <f>IF(COUNTIF(Customers!$A$2:$A$301,C786)=0,"Missing","OK")</f>
        <v>OK</v>
      </c>
      <c r="U786" t="str">
        <f t="shared" si="37"/>
        <v>Chennai</v>
      </c>
      <c r="V786">
        <f t="shared" si="38"/>
        <v>0</v>
      </c>
    </row>
    <row r="787" spans="1:22" ht="15" customHeight="1" x14ac:dyDescent="0.35">
      <c r="A787" s="3" t="s">
        <v>1196</v>
      </c>
      <c r="B787" s="4">
        <v>45364</v>
      </c>
      <c r="C787" s="3" t="s">
        <v>822</v>
      </c>
      <c r="D787" s="3" t="s">
        <v>391</v>
      </c>
      <c r="E787" s="3" t="s">
        <v>93</v>
      </c>
      <c r="F787" s="5">
        <v>7</v>
      </c>
      <c r="G787" s="5">
        <v>3450</v>
      </c>
      <c r="H787" s="5">
        <v>17.399999999999999</v>
      </c>
      <c r="I787" s="5">
        <v>19947.900000000001</v>
      </c>
      <c r="J787" s="3" t="s">
        <v>26</v>
      </c>
      <c r="K787" s="3" t="s">
        <v>72</v>
      </c>
      <c r="L787" t="str">
        <f>IFERROR(VLOOKUP(D787,Products!$A$2:$F$61,3,FALSE()),"")</f>
        <v>Apparel</v>
      </c>
      <c r="M787" t="str">
        <f>IFERROR(VLOOKUP(E787,Sales_Reps!$A$2:$C$31,3,FALSE()),"")</f>
        <v>East</v>
      </c>
      <c r="N787">
        <f>IFERROR(VLOOKUP(D787,Products!$A$2:$F$61,4,FALSE()),"")</f>
        <v>1748</v>
      </c>
      <c r="O787" t="str">
        <f>IFERROR(VLOOKUP(C787,Customers!$A$2:$F$301,5,FALSE()),"")</f>
        <v>SMB</v>
      </c>
      <c r="P787">
        <f>IFERROR(VLOOKUP(C787,Customers!$A$2:$F$301,3,FALSE()),"")</f>
        <v>28</v>
      </c>
      <c r="Q787">
        <f t="shared" si="36"/>
        <v>0.49333333333333335</v>
      </c>
      <c r="R787">
        <f>IF(AND(COUNTIF($A$2:$A$2027,A787)&gt;1,COUNTIF($A$2:A787,A787)=1),1,0)</f>
        <v>0</v>
      </c>
      <c r="S787" t="b">
        <f>IFERROR(VLOOKUP(D787,Products!$A$2:$F$61,6,FALSE()),"")</f>
        <v>1</v>
      </c>
      <c r="T787" t="str">
        <f>IF(COUNTIF(Customers!$A$2:$A$301,C787)=0,"Missing","OK")</f>
        <v>OK</v>
      </c>
      <c r="U787" t="str">
        <f t="shared" si="37"/>
        <v>Hyderabad</v>
      </c>
      <c r="V787">
        <f t="shared" si="38"/>
        <v>0</v>
      </c>
    </row>
    <row r="788" spans="1:22" ht="15" customHeight="1" x14ac:dyDescent="0.35">
      <c r="A788" s="3" t="s">
        <v>1197</v>
      </c>
      <c r="B788" s="4">
        <v>45403</v>
      </c>
      <c r="C788" s="3" t="s">
        <v>1111</v>
      </c>
      <c r="D788" s="3" t="s">
        <v>70</v>
      </c>
      <c r="E788" s="3" t="s">
        <v>143</v>
      </c>
      <c r="F788" s="5">
        <v>8</v>
      </c>
      <c r="G788" s="5">
        <v>2270</v>
      </c>
      <c r="H788" s="5">
        <v>24.7</v>
      </c>
      <c r="I788" s="5">
        <v>13674.48</v>
      </c>
      <c r="J788" s="3" t="s">
        <v>26</v>
      </c>
      <c r="K788" s="3" t="s">
        <v>27</v>
      </c>
      <c r="L788" t="str">
        <f>IFERROR(VLOOKUP(D788,Products!$A$2:$F$61,3,FALSE()),"")</f>
        <v>Grocery</v>
      </c>
      <c r="M788" t="str">
        <f>IFERROR(VLOOKUP(E788,Sales_Reps!$A$2:$C$31,3,FALSE()),"")</f>
        <v>South</v>
      </c>
      <c r="N788">
        <f>IFERROR(VLOOKUP(D788,Products!$A$2:$F$61,4,FALSE()),"")</f>
        <v>1203</v>
      </c>
      <c r="O788" t="str">
        <f>IFERROR(VLOOKUP(C788,Customers!$A$2:$F$301,5,FALSE()),"")</f>
        <v>Retail</v>
      </c>
      <c r="P788">
        <f>IFERROR(VLOOKUP(C788,Customers!$A$2:$F$301,3,FALSE()),"")</f>
        <v>39</v>
      </c>
      <c r="Q788">
        <f t="shared" si="36"/>
        <v>0.47004405286343615</v>
      </c>
      <c r="R788">
        <f>IF(AND(COUNTIF($A$2:$A$2027,A788)&gt;1,COUNTIF($A$2:A788,A788)=1),1,0)</f>
        <v>0</v>
      </c>
      <c r="S788" t="b">
        <f>IFERROR(VLOOKUP(D788,Products!$A$2:$F$61,6,FALSE()),"")</f>
        <v>1</v>
      </c>
      <c r="T788" t="str">
        <f>IF(COUNTIF(Customers!$A$2:$A$301,C788)=0,"Missing","OK")</f>
        <v>OK</v>
      </c>
      <c r="U788" t="str">
        <f t="shared" si="37"/>
        <v>Pune</v>
      </c>
      <c r="V788">
        <f t="shared" si="38"/>
        <v>0</v>
      </c>
    </row>
    <row r="789" spans="1:22" ht="15" customHeight="1" x14ac:dyDescent="0.35">
      <c r="A789" s="3" t="s">
        <v>1198</v>
      </c>
      <c r="B789" s="4">
        <v>45599</v>
      </c>
      <c r="C789" s="3" t="s">
        <v>23</v>
      </c>
      <c r="D789" s="3" t="s">
        <v>45</v>
      </c>
      <c r="E789" s="3" t="s">
        <v>93</v>
      </c>
      <c r="F789" s="5">
        <v>3</v>
      </c>
      <c r="G789" s="5">
        <v>3160</v>
      </c>
      <c r="H789" s="5">
        <v>1.5</v>
      </c>
      <c r="I789" s="5">
        <v>9337.7999999999993</v>
      </c>
      <c r="J789" s="3" t="s">
        <v>32</v>
      </c>
      <c r="K789" s="3" t="s">
        <v>27</v>
      </c>
      <c r="L789" t="str">
        <f>IFERROR(VLOOKUP(D789,Products!$A$2:$F$61,3,FALSE()),"")</f>
        <v>Apparel</v>
      </c>
      <c r="M789" t="str">
        <f>IFERROR(VLOOKUP(E789,Sales_Reps!$A$2:$C$31,3,FALSE()),"")</f>
        <v>East</v>
      </c>
      <c r="N789">
        <f>IFERROR(VLOOKUP(D789,Products!$A$2:$F$61,4,FALSE()),"")</f>
        <v>1886</v>
      </c>
      <c r="O789" t="str">
        <f>IFERROR(VLOOKUP(C789,Customers!$A$2:$F$301,5,FALSE()),"")</f>
        <v>SMB</v>
      </c>
      <c r="P789">
        <f>IFERROR(VLOOKUP(C789,Customers!$A$2:$F$301,3,FALSE()),"")</f>
        <v>44</v>
      </c>
      <c r="Q789">
        <f t="shared" si="36"/>
        <v>0.4031645569620253</v>
      </c>
      <c r="R789">
        <f>IF(AND(COUNTIF($A$2:$A$2027,A789)&gt;1,COUNTIF($A$2:A789,A789)=1),1,0)</f>
        <v>0</v>
      </c>
      <c r="S789" t="b">
        <f>IFERROR(VLOOKUP(D789,Products!$A$2:$F$61,6,FALSE()),"")</f>
        <v>1</v>
      </c>
      <c r="T789" t="str">
        <f>IF(COUNTIF(Customers!$A$2:$A$301,C789)=0,"Missing","OK")</f>
        <v>OK</v>
      </c>
      <c r="U789" t="str">
        <f t="shared" si="37"/>
        <v>Pune</v>
      </c>
      <c r="V789">
        <f t="shared" si="38"/>
        <v>0</v>
      </c>
    </row>
    <row r="790" spans="1:22" ht="15" customHeight="1" x14ac:dyDescent="0.35">
      <c r="A790" s="3" t="s">
        <v>1199</v>
      </c>
      <c r="B790" s="4">
        <v>45389</v>
      </c>
      <c r="C790" s="3" t="s">
        <v>1200</v>
      </c>
      <c r="D790" s="3" t="s">
        <v>118</v>
      </c>
      <c r="E790" s="3" t="s">
        <v>168</v>
      </c>
      <c r="F790" s="5">
        <v>6</v>
      </c>
      <c r="G790" s="5">
        <v>3350</v>
      </c>
      <c r="H790" s="5">
        <v>0.9</v>
      </c>
      <c r="I790" s="5">
        <v>19919.099999999999</v>
      </c>
      <c r="J790" s="3" t="s">
        <v>32</v>
      </c>
      <c r="K790" s="3" t="s">
        <v>56</v>
      </c>
      <c r="L790" t="str">
        <f>IFERROR(VLOOKUP(D790,Products!$A$2:$F$61,3,FALSE()),"")</f>
        <v>Beauty</v>
      </c>
      <c r="M790" t="str">
        <f>IFERROR(VLOOKUP(E790,Sales_Reps!$A$2:$C$31,3,FALSE()),"")</f>
        <v>West</v>
      </c>
      <c r="N790">
        <f>IFERROR(VLOOKUP(D790,Products!$A$2:$F$61,4,FALSE()),"")</f>
        <v>1728</v>
      </c>
      <c r="O790" t="str">
        <f>IFERROR(VLOOKUP(C790,Customers!$A$2:$F$301,5,FALSE()),"")</f>
        <v>Retail</v>
      </c>
      <c r="P790">
        <f>IFERROR(VLOOKUP(C790,Customers!$A$2:$F$301,3,FALSE()),"")</f>
        <v>54</v>
      </c>
      <c r="Q790">
        <f t="shared" si="36"/>
        <v>0.48417910447761192</v>
      </c>
      <c r="R790">
        <f>IF(AND(COUNTIF($A$2:$A$2027,A790)&gt;1,COUNTIF($A$2:A790,A790)=1),1,0)</f>
        <v>0</v>
      </c>
      <c r="S790" t="b">
        <f>IFERROR(VLOOKUP(D790,Products!$A$2:$F$61,6,FALSE()),"")</f>
        <v>1</v>
      </c>
      <c r="T790" t="str">
        <f>IF(COUNTIF(Customers!$A$2:$A$301,C790)=0,"Missing","OK")</f>
        <v>OK</v>
      </c>
      <c r="U790" t="str">
        <f t="shared" si="37"/>
        <v>Bengaluru</v>
      </c>
      <c r="V790">
        <f t="shared" si="38"/>
        <v>0</v>
      </c>
    </row>
    <row r="791" spans="1:22" ht="15" customHeight="1" x14ac:dyDescent="0.35">
      <c r="A791" s="3" t="s">
        <v>1201</v>
      </c>
      <c r="B791" s="4">
        <v>45506</v>
      </c>
      <c r="C791" s="3" t="s">
        <v>884</v>
      </c>
      <c r="D791" s="3" t="s">
        <v>115</v>
      </c>
      <c r="E791" s="3" t="s">
        <v>168</v>
      </c>
      <c r="F791" s="5">
        <v>7</v>
      </c>
      <c r="G791" s="5">
        <v>1650</v>
      </c>
      <c r="H791" s="5">
        <v>5.6</v>
      </c>
      <c r="I791" s="5">
        <v>10903.2</v>
      </c>
      <c r="J791" s="3" t="s">
        <v>83</v>
      </c>
      <c r="K791" s="3" t="s">
        <v>27</v>
      </c>
      <c r="L791" t="str">
        <f>IFERROR(VLOOKUP(D791,Products!$A$2:$F$61,3,FALSE()),"")</f>
        <v>Beauty</v>
      </c>
      <c r="M791" t="str">
        <f>IFERROR(VLOOKUP(E791,Sales_Reps!$A$2:$C$31,3,FALSE()),"")</f>
        <v>West</v>
      </c>
      <c r="N791">
        <f>IFERROR(VLOOKUP(D791,Products!$A$2:$F$61,4,FALSE()),"")</f>
        <v>1222</v>
      </c>
      <c r="O791" t="str">
        <f>IFERROR(VLOOKUP(C791,Customers!$A$2:$F$301,5,FALSE()),"")</f>
        <v>Retail</v>
      </c>
      <c r="P791">
        <f>IFERROR(VLOOKUP(C791,Customers!$A$2:$F$301,3,FALSE()),"")</f>
        <v>54</v>
      </c>
      <c r="Q791">
        <f t="shared" si="36"/>
        <v>0.2593939393939394</v>
      </c>
      <c r="R791">
        <f>IF(AND(COUNTIF($A$2:$A$2027,A791)&gt;1,COUNTIF($A$2:A791,A791)=1),1,0)</f>
        <v>0</v>
      </c>
      <c r="S791" t="b">
        <f>IFERROR(VLOOKUP(D791,Products!$A$2:$F$61,6,FALSE()),"")</f>
        <v>1</v>
      </c>
      <c r="T791" t="str">
        <f>IF(COUNTIF(Customers!$A$2:$A$301,C791)=0,"Missing","OK")</f>
        <v>OK</v>
      </c>
      <c r="U791" t="str">
        <f t="shared" si="37"/>
        <v>Pune</v>
      </c>
      <c r="V791">
        <f t="shared" si="38"/>
        <v>0</v>
      </c>
    </row>
    <row r="792" spans="1:22" ht="15" customHeight="1" x14ac:dyDescent="0.35">
      <c r="A792" s="3" t="s">
        <v>1202</v>
      </c>
      <c r="B792" s="4">
        <v>45402</v>
      </c>
      <c r="C792" s="3" t="s">
        <v>664</v>
      </c>
      <c r="D792" s="3" t="s">
        <v>63</v>
      </c>
      <c r="E792" s="3" t="s">
        <v>87</v>
      </c>
      <c r="F792" s="5">
        <v>1</v>
      </c>
      <c r="G792" s="5">
        <v>5490</v>
      </c>
      <c r="H792" s="5">
        <v>5.8</v>
      </c>
      <c r="I792" s="5">
        <v>5171.58</v>
      </c>
      <c r="J792" s="3" t="s">
        <v>26</v>
      </c>
      <c r="K792" s="3" t="s">
        <v>38</v>
      </c>
      <c r="L792" t="str">
        <f>IFERROR(VLOOKUP(D792,Products!$A$2:$F$61,3,FALSE()),"")</f>
        <v>Home</v>
      </c>
      <c r="M792" t="str">
        <f>IFERROR(VLOOKUP(E792,Sales_Reps!$A$2:$C$31,3,FALSE()),"")</f>
        <v>North</v>
      </c>
      <c r="N792">
        <f>IFERROR(VLOOKUP(D792,Products!$A$2:$F$61,4,FALSE()),"")</f>
        <v>2549</v>
      </c>
      <c r="O792" t="str">
        <f>IFERROR(VLOOKUP(C792,Customers!$A$2:$F$301,5,FALSE()),"")</f>
        <v>SMB</v>
      </c>
      <c r="P792">
        <f>IFERROR(VLOOKUP(C792,Customers!$A$2:$F$301,3,FALSE()),"")</f>
        <v>26</v>
      </c>
      <c r="Q792">
        <f t="shared" si="36"/>
        <v>0.53570127504553733</v>
      </c>
      <c r="R792">
        <f>IF(AND(COUNTIF($A$2:$A$2027,A792)&gt;1,COUNTIF($A$2:A792,A792)=1),1,0)</f>
        <v>0</v>
      </c>
      <c r="S792" t="b">
        <f>IFERROR(VLOOKUP(D792,Products!$A$2:$F$61,6,FALSE()),"")</f>
        <v>1</v>
      </c>
      <c r="T792" t="str">
        <f>IF(COUNTIF(Customers!$A$2:$A$301,C792)=0,"Missing","OK")</f>
        <v>OK</v>
      </c>
      <c r="U792" t="str">
        <f t="shared" si="37"/>
        <v>Delhi</v>
      </c>
      <c r="V792">
        <f t="shared" si="38"/>
        <v>0</v>
      </c>
    </row>
    <row r="793" spans="1:22" ht="15" customHeight="1" x14ac:dyDescent="0.35">
      <c r="A793" s="3" t="s">
        <v>1203</v>
      </c>
      <c r="B793" s="4">
        <v>45405</v>
      </c>
      <c r="C793" s="3" t="s">
        <v>89</v>
      </c>
      <c r="D793" s="3" t="s">
        <v>103</v>
      </c>
      <c r="E793" s="3" t="s">
        <v>55</v>
      </c>
      <c r="F793" s="5">
        <v>3</v>
      </c>
      <c r="G793" s="5">
        <v>1080</v>
      </c>
      <c r="H793" s="5">
        <v>20.9</v>
      </c>
      <c r="I793" s="5">
        <v>2562.84</v>
      </c>
      <c r="J793" s="3" t="s">
        <v>26</v>
      </c>
      <c r="K793" s="3" t="s">
        <v>27</v>
      </c>
      <c r="L793" t="str">
        <f>IFERROR(VLOOKUP(D793,Products!$A$2:$F$61,3,FALSE()),"")</f>
        <v>Home</v>
      </c>
      <c r="M793" t="str">
        <f>IFERROR(VLOOKUP(E793,Sales_Reps!$A$2:$C$31,3,FALSE()),"")</f>
        <v>West</v>
      </c>
      <c r="N793">
        <f>IFERROR(VLOOKUP(D793,Products!$A$2:$F$61,4,FALSE()),"")</f>
        <v>519</v>
      </c>
      <c r="O793" t="str">
        <f>IFERROR(VLOOKUP(C793,Customers!$A$2:$F$301,5,FALSE()),"")</f>
        <v>Retail</v>
      </c>
      <c r="P793">
        <f>IFERROR(VLOOKUP(C793,Customers!$A$2:$F$301,3,FALSE()),"")</f>
        <v>63</v>
      </c>
      <c r="Q793">
        <f t="shared" si="36"/>
        <v>0.51944444444444449</v>
      </c>
      <c r="R793">
        <f>IF(AND(COUNTIF($A$2:$A$2027,A793)&gt;1,COUNTIF($A$2:A793,A793)=1),1,0)</f>
        <v>0</v>
      </c>
      <c r="S793" t="b">
        <f>IFERROR(VLOOKUP(D793,Products!$A$2:$F$61,6,FALSE()),"")</f>
        <v>1</v>
      </c>
      <c r="T793" t="str">
        <f>IF(COUNTIF(Customers!$A$2:$A$301,C793)=0,"Missing","OK")</f>
        <v>OK</v>
      </c>
      <c r="U793" t="str">
        <f t="shared" si="37"/>
        <v>Pune</v>
      </c>
      <c r="V793">
        <f t="shared" si="38"/>
        <v>0</v>
      </c>
    </row>
    <row r="794" spans="1:22" ht="15" customHeight="1" x14ac:dyDescent="0.35">
      <c r="A794" s="3" t="s">
        <v>1204</v>
      </c>
      <c r="B794" s="4">
        <v>45434</v>
      </c>
      <c r="C794" s="3" t="s">
        <v>1205</v>
      </c>
      <c r="D794" s="3" t="s">
        <v>173</v>
      </c>
      <c r="E794" s="3" t="s">
        <v>242</v>
      </c>
      <c r="F794" s="5">
        <v>10</v>
      </c>
      <c r="G794" s="5">
        <v>3780</v>
      </c>
      <c r="H794" s="5">
        <v>5.5</v>
      </c>
      <c r="I794" s="5">
        <v>35721</v>
      </c>
      <c r="J794" s="3" t="s">
        <v>26</v>
      </c>
      <c r="K794" s="3" t="s">
        <v>72</v>
      </c>
      <c r="L794" t="str">
        <f>IFERROR(VLOOKUP(D794,Products!$A$2:$F$61,3,FALSE()),"")</f>
        <v>Grocery</v>
      </c>
      <c r="M794" t="str">
        <f>IFERROR(VLOOKUP(E794,Sales_Reps!$A$2:$C$31,3,FALSE()),"")</f>
        <v>East</v>
      </c>
      <c r="N794">
        <f>IFERROR(VLOOKUP(D794,Products!$A$2:$F$61,4,FALSE()),"")</f>
        <v>2436</v>
      </c>
      <c r="O794" t="str">
        <f>IFERROR(VLOOKUP(C794,Customers!$A$2:$F$301,5,FALSE()),"")</f>
        <v/>
      </c>
      <c r="P794" t="str">
        <f>IFERROR(VLOOKUP(C794,Customers!$A$2:$F$301,3,FALSE()),"")</f>
        <v/>
      </c>
      <c r="Q794">
        <f t="shared" si="36"/>
        <v>0.35555555555555557</v>
      </c>
      <c r="R794">
        <f>IF(AND(COUNTIF($A$2:$A$2027,A794)&gt;1,COUNTIF($A$2:A794,A794)=1),1,0)</f>
        <v>0</v>
      </c>
      <c r="S794" t="b">
        <f>IFERROR(VLOOKUP(D794,Products!$A$2:$F$61,6,FALSE()),"")</f>
        <v>1</v>
      </c>
      <c r="T794" t="str">
        <f>IF(COUNTIF(Customers!$A$2:$A$301,C794)=0,"Missing","OK")</f>
        <v>Missing</v>
      </c>
      <c r="U794" t="str">
        <f t="shared" si="37"/>
        <v>Hyderabad</v>
      </c>
      <c r="V794">
        <f t="shared" si="38"/>
        <v>0</v>
      </c>
    </row>
    <row r="795" spans="1:22" ht="15" customHeight="1" x14ac:dyDescent="0.35">
      <c r="A795" s="3" t="s">
        <v>1206</v>
      </c>
      <c r="B795" s="4">
        <v>45558</v>
      </c>
      <c r="C795" s="3" t="s">
        <v>147</v>
      </c>
      <c r="D795" s="3" t="s">
        <v>234</v>
      </c>
      <c r="E795" s="3" t="s">
        <v>109</v>
      </c>
      <c r="F795" s="5">
        <v>2</v>
      </c>
      <c r="G795" s="5">
        <v>2030</v>
      </c>
      <c r="H795" s="5">
        <v>2</v>
      </c>
      <c r="I795" s="5">
        <v>3978.8</v>
      </c>
      <c r="J795" s="3" t="s">
        <v>32</v>
      </c>
      <c r="K795" s="3" t="s">
        <v>72</v>
      </c>
      <c r="L795" t="str">
        <f>IFERROR(VLOOKUP(D795,Products!$A$2:$F$61,3,FALSE()),"")</f>
        <v>Home</v>
      </c>
      <c r="M795" t="str">
        <f>IFERROR(VLOOKUP(E795,Sales_Reps!$A$2:$C$31,3,FALSE()),"")</f>
        <v>West</v>
      </c>
      <c r="N795">
        <f>IFERROR(VLOOKUP(D795,Products!$A$2:$F$61,4,FALSE()),"")</f>
        <v>1143</v>
      </c>
      <c r="O795" t="str">
        <f>IFERROR(VLOOKUP(C795,Customers!$A$2:$F$301,5,FALSE()),"")</f>
        <v>Retail</v>
      </c>
      <c r="P795">
        <f>IFERROR(VLOOKUP(C795,Customers!$A$2:$F$301,3,FALSE()),"")</f>
        <v>26</v>
      </c>
      <c r="Q795">
        <f t="shared" si="36"/>
        <v>0.43694581280788175</v>
      </c>
      <c r="R795">
        <f>IF(AND(COUNTIF($A$2:$A$2027,A795)&gt;1,COUNTIF($A$2:A795,A795)=1),1,0)</f>
        <v>0</v>
      </c>
      <c r="S795" t="b">
        <f>IFERROR(VLOOKUP(D795,Products!$A$2:$F$61,6,FALSE()),"")</f>
        <v>1</v>
      </c>
      <c r="T795" t="str">
        <f>IF(COUNTIF(Customers!$A$2:$A$301,C795)=0,"Missing","OK")</f>
        <v>OK</v>
      </c>
      <c r="U795" t="str">
        <f t="shared" si="37"/>
        <v>Hyderabad</v>
      </c>
      <c r="V795">
        <f t="shared" si="38"/>
        <v>0</v>
      </c>
    </row>
    <row r="796" spans="1:22" ht="15" customHeight="1" x14ac:dyDescent="0.35">
      <c r="A796" s="3" t="s">
        <v>1207</v>
      </c>
      <c r="B796" s="4">
        <v>45582</v>
      </c>
      <c r="C796" s="3" t="s">
        <v>506</v>
      </c>
      <c r="D796" s="3" t="s">
        <v>198</v>
      </c>
      <c r="E796" s="3" t="s">
        <v>60</v>
      </c>
      <c r="F796" s="5">
        <v>8</v>
      </c>
      <c r="G796" s="5">
        <v>1540</v>
      </c>
      <c r="H796" s="5">
        <v>9</v>
      </c>
      <c r="I796" s="5">
        <v>11211.2</v>
      </c>
      <c r="J796" s="3" t="s">
        <v>79</v>
      </c>
      <c r="K796" s="3" t="s">
        <v>56</v>
      </c>
      <c r="L796" t="str">
        <f>IFERROR(VLOOKUP(D796,Products!$A$2:$F$61,3,FALSE()),"")</f>
        <v>Beauty</v>
      </c>
      <c r="M796" t="str">
        <f>IFERROR(VLOOKUP(E796,Sales_Reps!$A$2:$C$31,3,FALSE()),"")</f>
        <v>East</v>
      </c>
      <c r="N796">
        <f>IFERROR(VLOOKUP(D796,Products!$A$2:$F$61,4,FALSE()),"")</f>
        <v>647</v>
      </c>
      <c r="O796" t="str">
        <f>IFERROR(VLOOKUP(C796,Customers!$A$2:$F$301,5,FALSE()),"")</f>
        <v>Corporate</v>
      </c>
      <c r="P796">
        <f>IFERROR(VLOOKUP(C796,Customers!$A$2:$F$301,3,FALSE()),"")</f>
        <v>41</v>
      </c>
      <c r="Q796">
        <f t="shared" si="36"/>
        <v>0.57987012987012987</v>
      </c>
      <c r="R796">
        <f>IF(AND(COUNTIF($A$2:$A$2027,A796)&gt;1,COUNTIF($A$2:A796,A796)=1),1,0)</f>
        <v>0</v>
      </c>
      <c r="S796" t="b">
        <f>IFERROR(VLOOKUP(D796,Products!$A$2:$F$61,6,FALSE()),"")</f>
        <v>0</v>
      </c>
      <c r="T796" t="str">
        <f>IF(COUNTIF(Customers!$A$2:$A$301,C796)=0,"Missing","OK")</f>
        <v>OK</v>
      </c>
      <c r="U796" t="str">
        <f t="shared" si="37"/>
        <v>Bengaluru</v>
      </c>
      <c r="V796">
        <f t="shared" si="38"/>
        <v>0</v>
      </c>
    </row>
    <row r="797" spans="1:22" ht="15" customHeight="1" x14ac:dyDescent="0.35">
      <c r="A797" s="3" t="s">
        <v>1208</v>
      </c>
      <c r="B797" s="4">
        <v>45601</v>
      </c>
      <c r="C797" s="3" t="s">
        <v>65</v>
      </c>
      <c r="D797" s="3" t="s">
        <v>82</v>
      </c>
      <c r="E797" s="3" t="s">
        <v>127</v>
      </c>
      <c r="F797" s="5">
        <v>9</v>
      </c>
      <c r="G797" s="5">
        <v>3250</v>
      </c>
      <c r="H797" s="5">
        <v>20.5</v>
      </c>
      <c r="I797" s="5">
        <v>23253.75</v>
      </c>
      <c r="J797" s="3" t="s">
        <v>26</v>
      </c>
      <c r="K797" s="3" t="s">
        <v>27</v>
      </c>
      <c r="L797" t="str">
        <f>IFERROR(VLOOKUP(D797,Products!$A$2:$F$61,3,FALSE()),"")</f>
        <v>Home</v>
      </c>
      <c r="M797" t="str">
        <f>IFERROR(VLOOKUP(E797,Sales_Reps!$A$2:$C$31,3,FALSE()),"")</f>
        <v>South</v>
      </c>
      <c r="N797">
        <f>IFERROR(VLOOKUP(D797,Products!$A$2:$F$61,4,FALSE()),"")</f>
        <v>1556</v>
      </c>
      <c r="O797" t="str">
        <f>IFERROR(VLOOKUP(C797,Customers!$A$2:$F$301,5,FALSE()),"")</f>
        <v>Retail</v>
      </c>
      <c r="P797">
        <f>IFERROR(VLOOKUP(C797,Customers!$A$2:$F$301,3,FALSE()),"")</f>
        <v>56</v>
      </c>
      <c r="Q797">
        <f t="shared" si="36"/>
        <v>0.52123076923076928</v>
      </c>
      <c r="R797">
        <f>IF(AND(COUNTIF($A$2:$A$2027,A797)&gt;1,COUNTIF($A$2:A797,A797)=1),1,0)</f>
        <v>0</v>
      </c>
      <c r="S797" t="b">
        <f>IFERROR(VLOOKUP(D797,Products!$A$2:$F$61,6,FALSE()),"")</f>
        <v>1</v>
      </c>
      <c r="T797" t="str">
        <f>IF(COUNTIF(Customers!$A$2:$A$301,C797)=0,"Missing","OK")</f>
        <v>OK</v>
      </c>
      <c r="U797" t="str">
        <f t="shared" si="37"/>
        <v>Pune</v>
      </c>
      <c r="V797">
        <f t="shared" si="38"/>
        <v>0</v>
      </c>
    </row>
    <row r="798" spans="1:22" ht="15" customHeight="1" x14ac:dyDescent="0.35">
      <c r="A798" s="3" t="s">
        <v>1209</v>
      </c>
      <c r="B798" s="4">
        <v>45344</v>
      </c>
      <c r="C798" s="3" t="s">
        <v>338</v>
      </c>
      <c r="D798" s="3" t="s">
        <v>96</v>
      </c>
      <c r="E798" s="3" t="s">
        <v>31</v>
      </c>
      <c r="F798" s="5">
        <v>3</v>
      </c>
      <c r="G798" s="5">
        <v>3450</v>
      </c>
      <c r="H798" s="5">
        <v>17.899999999999999</v>
      </c>
      <c r="I798" s="5">
        <v>8497.35</v>
      </c>
      <c r="J798" s="3" t="s">
        <v>26</v>
      </c>
      <c r="K798" s="3" t="s">
        <v>38</v>
      </c>
      <c r="L798" t="str">
        <f>IFERROR(VLOOKUP(D798,Products!$A$2:$F$61,3,FALSE()),"")</f>
        <v>Beauty</v>
      </c>
      <c r="M798" t="str">
        <f>IFERROR(VLOOKUP(E798,Sales_Reps!$A$2:$C$31,3,FALSE()),"")</f>
        <v>North</v>
      </c>
      <c r="N798">
        <f>IFERROR(VLOOKUP(D798,Products!$A$2:$F$61,4,FALSE()),"")</f>
        <v>2420</v>
      </c>
      <c r="O798" t="str">
        <f>IFERROR(VLOOKUP(C798,Customers!$A$2:$F$301,5,FALSE()),"")</f>
        <v>SMB</v>
      </c>
      <c r="P798">
        <f>IFERROR(VLOOKUP(C798,Customers!$A$2:$F$301,3,FALSE()),"")</f>
        <v>53</v>
      </c>
      <c r="Q798">
        <f t="shared" si="36"/>
        <v>0.29855072463768118</v>
      </c>
      <c r="R798">
        <f>IF(AND(COUNTIF($A$2:$A$2027,A798)&gt;1,COUNTIF($A$2:A798,A798)=1),1,0)</f>
        <v>0</v>
      </c>
      <c r="S798" t="b">
        <f>IFERROR(VLOOKUP(D798,Products!$A$2:$F$61,6,FALSE()),"")</f>
        <v>1</v>
      </c>
      <c r="T798" t="str">
        <f>IF(COUNTIF(Customers!$A$2:$A$301,C798)=0,"Missing","OK")</f>
        <v>OK</v>
      </c>
      <c r="U798" t="str">
        <f t="shared" si="37"/>
        <v>Delhi</v>
      </c>
      <c r="V798">
        <f t="shared" si="38"/>
        <v>0</v>
      </c>
    </row>
    <row r="799" spans="1:22" ht="15" customHeight="1" x14ac:dyDescent="0.35">
      <c r="A799" s="3" t="s">
        <v>1210</v>
      </c>
      <c r="B799" s="4">
        <v>45504</v>
      </c>
      <c r="C799" s="3" t="s">
        <v>344</v>
      </c>
      <c r="D799" s="3" t="s">
        <v>63</v>
      </c>
      <c r="E799" s="3" t="s">
        <v>46</v>
      </c>
      <c r="F799" s="5">
        <v>5</v>
      </c>
      <c r="G799" s="5">
        <v>5490</v>
      </c>
      <c r="H799" s="5">
        <v>7.9</v>
      </c>
      <c r="I799" s="5">
        <v>25281.45</v>
      </c>
      <c r="J799" s="3" t="s">
        <v>26</v>
      </c>
      <c r="K799" s="3" t="s">
        <v>33</v>
      </c>
      <c r="L799" t="str">
        <f>IFERROR(VLOOKUP(D799,Products!$A$2:$F$61,3,FALSE()),"")</f>
        <v>Home</v>
      </c>
      <c r="M799" t="str">
        <f>IFERROR(VLOOKUP(E799,Sales_Reps!$A$2:$C$31,3,FALSE()),"")</f>
        <v>North</v>
      </c>
      <c r="N799">
        <f>IFERROR(VLOOKUP(D799,Products!$A$2:$F$61,4,FALSE()),"")</f>
        <v>2549</v>
      </c>
      <c r="O799" t="str">
        <f>IFERROR(VLOOKUP(C799,Customers!$A$2:$F$301,5,FALSE()),"")</f>
        <v>Corporate</v>
      </c>
      <c r="P799">
        <f>IFERROR(VLOOKUP(C799,Customers!$A$2:$F$301,3,FALSE()),"")</f>
        <v>24</v>
      </c>
      <c r="Q799">
        <f t="shared" si="36"/>
        <v>0.53570127504553733</v>
      </c>
      <c r="R799">
        <f>IF(AND(COUNTIF($A$2:$A$2027,A799)&gt;1,COUNTIF($A$2:A799,A799)=1),1,0)</f>
        <v>0</v>
      </c>
      <c r="S799" t="b">
        <f>IFERROR(VLOOKUP(D799,Products!$A$2:$F$61,6,FALSE()),"")</f>
        <v>1</v>
      </c>
      <c r="T799" t="str">
        <f>IF(COUNTIF(Customers!$A$2:$A$301,C799)=0,"Missing","OK")</f>
        <v>OK</v>
      </c>
      <c r="U799" t="str">
        <f t="shared" si="37"/>
        <v>Chennai</v>
      </c>
      <c r="V799">
        <f t="shared" si="38"/>
        <v>0</v>
      </c>
    </row>
    <row r="800" spans="1:22" ht="15" customHeight="1" x14ac:dyDescent="0.35">
      <c r="A800" s="3" t="s">
        <v>1211</v>
      </c>
      <c r="B800" s="4">
        <v>45306</v>
      </c>
      <c r="C800" s="3" t="s">
        <v>565</v>
      </c>
      <c r="D800" s="3" t="s">
        <v>49</v>
      </c>
      <c r="E800" s="3" t="s">
        <v>168</v>
      </c>
      <c r="F800" s="5">
        <v>3</v>
      </c>
      <c r="G800" s="5">
        <v>370</v>
      </c>
      <c r="H800" s="5">
        <v>13.4</v>
      </c>
      <c r="I800" s="5">
        <v>961.26</v>
      </c>
      <c r="J800" s="3" t="s">
        <v>26</v>
      </c>
      <c r="K800" s="3" t="s">
        <v>38</v>
      </c>
      <c r="L800" t="str">
        <f>IFERROR(VLOOKUP(D800,Products!$A$2:$F$61,3,FALSE()),"")</f>
        <v>Home</v>
      </c>
      <c r="M800" t="str">
        <f>IFERROR(VLOOKUP(E800,Sales_Reps!$A$2:$C$31,3,FALSE()),"")</f>
        <v>West</v>
      </c>
      <c r="N800">
        <f>IFERROR(VLOOKUP(D800,Products!$A$2:$F$61,4,FALSE()),"")</f>
        <v>288</v>
      </c>
      <c r="O800" t="str">
        <f>IFERROR(VLOOKUP(C800,Customers!$A$2:$F$301,5,FALSE()),"")</f>
        <v>Retail</v>
      </c>
      <c r="P800">
        <f>IFERROR(VLOOKUP(C800,Customers!$A$2:$F$301,3,FALSE()),"")</f>
        <v>40</v>
      </c>
      <c r="Q800">
        <f t="shared" si="36"/>
        <v>0.22162162162162163</v>
      </c>
      <c r="R800">
        <f>IF(AND(COUNTIF($A$2:$A$2027,A800)&gt;1,COUNTIF($A$2:A800,A800)=1),1,0)</f>
        <v>0</v>
      </c>
      <c r="S800" t="b">
        <f>IFERROR(VLOOKUP(D800,Products!$A$2:$F$61,6,FALSE()),"")</f>
        <v>1</v>
      </c>
      <c r="T800" t="str">
        <f>IF(COUNTIF(Customers!$A$2:$A$301,C800)=0,"Missing","OK")</f>
        <v>OK</v>
      </c>
      <c r="U800" t="str">
        <f t="shared" si="37"/>
        <v>Delhi</v>
      </c>
      <c r="V800">
        <f t="shared" si="38"/>
        <v>0</v>
      </c>
    </row>
    <row r="801" spans="1:22" ht="15" customHeight="1" x14ac:dyDescent="0.35">
      <c r="A801" s="3" t="s">
        <v>1212</v>
      </c>
      <c r="B801" s="4">
        <v>45413</v>
      </c>
      <c r="C801" s="3" t="s">
        <v>317</v>
      </c>
      <c r="D801" s="3" t="s">
        <v>303</v>
      </c>
      <c r="E801" s="3" t="s">
        <v>143</v>
      </c>
      <c r="F801" s="5">
        <v>7</v>
      </c>
      <c r="G801" s="5">
        <v>5330</v>
      </c>
      <c r="H801" s="5">
        <v>29.7</v>
      </c>
      <c r="I801" s="5">
        <v>26228.93</v>
      </c>
      <c r="J801" s="3" t="s">
        <v>32</v>
      </c>
      <c r="K801" s="3" t="s">
        <v>33</v>
      </c>
      <c r="L801" t="str">
        <f>IFERROR(VLOOKUP(D801,Products!$A$2:$F$61,3,FALSE()),"")</f>
        <v>Electronics</v>
      </c>
      <c r="M801" t="str">
        <f>IFERROR(VLOOKUP(E801,Sales_Reps!$A$2:$C$31,3,FALSE()),"")</f>
        <v>South</v>
      </c>
      <c r="N801">
        <f>IFERROR(VLOOKUP(D801,Products!$A$2:$F$61,4,FALSE()),"")</f>
        <v>2405</v>
      </c>
      <c r="O801" t="str">
        <f>IFERROR(VLOOKUP(C801,Customers!$A$2:$F$301,5,FALSE()),"")</f>
        <v>SMB</v>
      </c>
      <c r="P801">
        <f>IFERROR(VLOOKUP(C801,Customers!$A$2:$F$301,3,FALSE()),"")</f>
        <v>53</v>
      </c>
      <c r="Q801">
        <f t="shared" si="36"/>
        <v>0.54878048780487809</v>
      </c>
      <c r="R801">
        <f>IF(AND(COUNTIF($A$2:$A$2027,A801)&gt;1,COUNTIF($A$2:A801,A801)=1),1,0)</f>
        <v>0</v>
      </c>
      <c r="S801" t="b">
        <f>IFERROR(VLOOKUP(D801,Products!$A$2:$F$61,6,FALSE()),"")</f>
        <v>1</v>
      </c>
      <c r="T801" t="str">
        <f>IF(COUNTIF(Customers!$A$2:$A$301,C801)=0,"Missing","OK")</f>
        <v>OK</v>
      </c>
      <c r="U801" t="str">
        <f t="shared" si="37"/>
        <v>Chennai</v>
      </c>
      <c r="V801">
        <f t="shared" si="38"/>
        <v>0</v>
      </c>
    </row>
    <row r="802" spans="1:22" ht="15" customHeight="1" x14ac:dyDescent="0.35">
      <c r="A802" s="3" t="s">
        <v>1213</v>
      </c>
      <c r="B802" s="4">
        <v>45368</v>
      </c>
      <c r="C802" s="3" t="s">
        <v>1004</v>
      </c>
      <c r="D802" s="3" t="s">
        <v>100</v>
      </c>
      <c r="E802" s="3" t="s">
        <v>285</v>
      </c>
      <c r="F802" s="5">
        <v>8</v>
      </c>
      <c r="G802" s="5">
        <v>3450</v>
      </c>
      <c r="H802" s="5">
        <v>23.7</v>
      </c>
      <c r="I802" s="5">
        <v>21058.799999999999</v>
      </c>
      <c r="J802" s="3" t="s">
        <v>26</v>
      </c>
      <c r="K802" s="3" t="s">
        <v>33</v>
      </c>
      <c r="L802" t="str">
        <f>IFERROR(VLOOKUP(D802,Products!$A$2:$F$61,3,FALSE()),"")</f>
        <v>Sports</v>
      </c>
      <c r="M802" t="str">
        <f>IFERROR(VLOOKUP(E802,Sales_Reps!$A$2:$C$31,3,FALSE()),"")</f>
        <v>South</v>
      </c>
      <c r="N802">
        <f>IFERROR(VLOOKUP(D802,Products!$A$2:$F$61,4,FALSE()),"")</f>
        <v>2467</v>
      </c>
      <c r="O802" t="str">
        <f>IFERROR(VLOOKUP(C802,Customers!$A$2:$F$301,5,FALSE()),"")</f>
        <v>Retail</v>
      </c>
      <c r="P802">
        <f>IFERROR(VLOOKUP(C802,Customers!$A$2:$F$301,3,FALSE()),"")</f>
        <v>49</v>
      </c>
      <c r="Q802">
        <f t="shared" si="36"/>
        <v>0.28492753623188405</v>
      </c>
      <c r="R802">
        <f>IF(AND(COUNTIF($A$2:$A$2027,A802)&gt;1,COUNTIF($A$2:A802,A802)=1),1,0)</f>
        <v>0</v>
      </c>
      <c r="S802" t="b">
        <f>IFERROR(VLOOKUP(D802,Products!$A$2:$F$61,6,FALSE()),"")</f>
        <v>1</v>
      </c>
      <c r="T802" t="str">
        <f>IF(COUNTIF(Customers!$A$2:$A$301,C802)=0,"Missing","OK")</f>
        <v>OK</v>
      </c>
      <c r="U802" t="str">
        <f t="shared" si="37"/>
        <v>Chennai</v>
      </c>
      <c r="V802">
        <f t="shared" si="38"/>
        <v>0</v>
      </c>
    </row>
    <row r="803" spans="1:22" ht="15" customHeight="1" x14ac:dyDescent="0.35">
      <c r="A803" s="3" t="s">
        <v>1214</v>
      </c>
      <c r="B803" s="4">
        <v>45316</v>
      </c>
      <c r="C803" s="3" t="s">
        <v>301</v>
      </c>
      <c r="D803" s="3" t="s">
        <v>391</v>
      </c>
      <c r="E803" s="3" t="s">
        <v>282</v>
      </c>
      <c r="F803" s="5">
        <v>8</v>
      </c>
      <c r="G803" s="5">
        <v>3450</v>
      </c>
      <c r="H803" s="5">
        <v>5.4</v>
      </c>
      <c r="I803" s="5">
        <v>26109.599999999999</v>
      </c>
      <c r="J803" s="3" t="s">
        <v>26</v>
      </c>
      <c r="K803" s="3" t="s">
        <v>33</v>
      </c>
      <c r="L803" t="str">
        <f>IFERROR(VLOOKUP(D803,Products!$A$2:$F$61,3,FALSE()),"")</f>
        <v>Apparel</v>
      </c>
      <c r="M803" t="str">
        <f>IFERROR(VLOOKUP(E803,Sales_Reps!$A$2:$C$31,3,FALSE()),"")</f>
        <v>West</v>
      </c>
      <c r="N803">
        <f>IFERROR(VLOOKUP(D803,Products!$A$2:$F$61,4,FALSE()),"")</f>
        <v>1748</v>
      </c>
      <c r="O803" t="str">
        <f>IFERROR(VLOOKUP(C803,Customers!$A$2:$F$301,5,FALSE()),"")</f>
        <v>Corporate</v>
      </c>
      <c r="P803">
        <f>IFERROR(VLOOKUP(C803,Customers!$A$2:$F$301,3,FALSE()),"")</f>
        <v>51</v>
      </c>
      <c r="Q803">
        <f t="shared" si="36"/>
        <v>0.49333333333333335</v>
      </c>
      <c r="R803">
        <f>IF(AND(COUNTIF($A$2:$A$2027,A803)&gt;1,COUNTIF($A$2:A803,A803)=1),1,0)</f>
        <v>0</v>
      </c>
      <c r="S803" t="b">
        <f>IFERROR(VLOOKUP(D803,Products!$A$2:$F$61,6,FALSE()),"")</f>
        <v>1</v>
      </c>
      <c r="T803" t="str">
        <f>IF(COUNTIF(Customers!$A$2:$A$301,C803)=0,"Missing","OK")</f>
        <v>OK</v>
      </c>
      <c r="U803" t="str">
        <f t="shared" si="37"/>
        <v>Chennai</v>
      </c>
      <c r="V803">
        <f t="shared" si="38"/>
        <v>0</v>
      </c>
    </row>
    <row r="804" spans="1:22" ht="15" customHeight="1" x14ac:dyDescent="0.35">
      <c r="A804" s="3" t="s">
        <v>1215</v>
      </c>
      <c r="B804" s="4">
        <v>45652</v>
      </c>
      <c r="C804" s="3" t="s">
        <v>811</v>
      </c>
      <c r="D804" s="3" t="s">
        <v>180</v>
      </c>
      <c r="E804" s="3" t="s">
        <v>168</v>
      </c>
      <c r="F804" s="5">
        <v>1</v>
      </c>
      <c r="G804" s="5">
        <v>6080</v>
      </c>
      <c r="H804" s="5">
        <v>22.3</v>
      </c>
      <c r="I804" s="5">
        <v>4724.16</v>
      </c>
      <c r="J804" s="3" t="s">
        <v>26</v>
      </c>
      <c r="K804" s="3" t="s">
        <v>51</v>
      </c>
      <c r="L804" t="str">
        <f>IFERROR(VLOOKUP(D804,Products!$A$2:$F$61,3,FALSE()),"")</f>
        <v>Beauty</v>
      </c>
      <c r="M804" t="str">
        <f>IFERROR(VLOOKUP(E804,Sales_Reps!$A$2:$C$31,3,FALSE()),"")</f>
        <v>West</v>
      </c>
      <c r="N804">
        <f>IFERROR(VLOOKUP(D804,Products!$A$2:$F$61,4,FALSE()),"")</f>
        <v>2617</v>
      </c>
      <c r="O804" t="str">
        <f>IFERROR(VLOOKUP(C804,Customers!$A$2:$F$301,5,FALSE()),"")</f>
        <v>Corporate</v>
      </c>
      <c r="P804">
        <f>IFERROR(VLOOKUP(C804,Customers!$A$2:$F$301,3,FALSE()),"")</f>
        <v>62</v>
      </c>
      <c r="Q804">
        <f t="shared" si="36"/>
        <v>0.56957236842105263</v>
      </c>
      <c r="R804">
        <f>IF(AND(COUNTIF($A$2:$A$2027,A804)&gt;1,COUNTIF($A$2:A804,A804)=1),1,0)</f>
        <v>0</v>
      </c>
      <c r="S804" t="b">
        <f>IFERROR(VLOOKUP(D804,Products!$A$2:$F$61,6,FALSE()),"")</f>
        <v>1</v>
      </c>
      <c r="T804" t="str">
        <f>IF(COUNTIF(Customers!$A$2:$A$301,C804)=0,"Missing","OK")</f>
        <v>OK</v>
      </c>
      <c r="U804" t="str">
        <f t="shared" si="37"/>
        <v>Mumbai</v>
      </c>
      <c r="V804">
        <f t="shared" si="38"/>
        <v>0</v>
      </c>
    </row>
    <row r="805" spans="1:22" ht="15" customHeight="1" x14ac:dyDescent="0.35">
      <c r="A805" s="3" t="s">
        <v>1216</v>
      </c>
      <c r="B805" s="4">
        <v>45597</v>
      </c>
      <c r="C805" s="3" t="s">
        <v>158</v>
      </c>
      <c r="D805" s="3" t="s">
        <v>294</v>
      </c>
      <c r="E805" s="3" t="s">
        <v>212</v>
      </c>
      <c r="F805" s="5">
        <v>9</v>
      </c>
      <c r="G805" s="5">
        <v>2510</v>
      </c>
      <c r="H805" s="5">
        <v>27.4</v>
      </c>
      <c r="I805" s="5">
        <v>16400.34</v>
      </c>
      <c r="J805" s="3" t="s">
        <v>26</v>
      </c>
      <c r="K805" s="3" t="s">
        <v>38</v>
      </c>
      <c r="L805" t="str">
        <f>IFERROR(VLOOKUP(D805,Products!$A$2:$F$61,3,FALSE()),"")</f>
        <v>Apparel</v>
      </c>
      <c r="M805" t="str">
        <f>IFERROR(VLOOKUP(E805,Sales_Reps!$A$2:$C$31,3,FALSE()),"")</f>
        <v>South</v>
      </c>
      <c r="N805">
        <f>IFERROR(VLOOKUP(D805,Products!$A$2:$F$61,4,FALSE()),"")</f>
        <v>1075</v>
      </c>
      <c r="O805" t="str">
        <f>IFERROR(VLOOKUP(C805,Customers!$A$2:$F$301,5,FALSE()),"")</f>
        <v>SMB</v>
      </c>
      <c r="P805">
        <f>IFERROR(VLOOKUP(C805,Customers!$A$2:$F$301,3,FALSE()),"")</f>
        <v>50</v>
      </c>
      <c r="Q805">
        <f t="shared" si="36"/>
        <v>0.57171314741035861</v>
      </c>
      <c r="R805">
        <f>IF(AND(COUNTIF($A$2:$A$2027,A805)&gt;1,COUNTIF($A$2:A805,A805)=1),1,0)</f>
        <v>0</v>
      </c>
      <c r="S805" t="b">
        <f>IFERROR(VLOOKUP(D805,Products!$A$2:$F$61,6,FALSE()),"")</f>
        <v>0</v>
      </c>
      <c r="T805" t="str">
        <f>IF(COUNTIF(Customers!$A$2:$A$301,C805)=0,"Missing","OK")</f>
        <v>OK</v>
      </c>
      <c r="U805" t="str">
        <f t="shared" si="37"/>
        <v>Delhi</v>
      </c>
      <c r="V805">
        <f t="shared" si="38"/>
        <v>0</v>
      </c>
    </row>
    <row r="806" spans="1:22" ht="15" customHeight="1" x14ac:dyDescent="0.35">
      <c r="A806" s="3" t="s">
        <v>1217</v>
      </c>
      <c r="B806" s="4">
        <v>45392</v>
      </c>
      <c r="C806" s="3" t="s">
        <v>99</v>
      </c>
      <c r="D806" s="3" t="s">
        <v>121</v>
      </c>
      <c r="E806" s="3" t="s">
        <v>264</v>
      </c>
      <c r="F806" s="5">
        <v>10</v>
      </c>
      <c r="G806" s="5">
        <v>1010</v>
      </c>
      <c r="H806" s="5">
        <v>28.4</v>
      </c>
      <c r="I806" s="5">
        <v>7231.6</v>
      </c>
      <c r="J806" s="3" t="s">
        <v>26</v>
      </c>
      <c r="K806" s="3" t="s">
        <v>51</v>
      </c>
      <c r="L806" t="str">
        <f>IFERROR(VLOOKUP(D806,Products!$A$2:$F$61,3,FALSE()),"")</f>
        <v>Sports</v>
      </c>
      <c r="M806" t="str">
        <f>IFERROR(VLOOKUP(E806,Sales_Reps!$A$2:$C$31,3,FALSE()),"")</f>
        <v>South</v>
      </c>
      <c r="N806">
        <f>IFERROR(VLOOKUP(D806,Products!$A$2:$F$61,4,FALSE()),"")</f>
        <v>516</v>
      </c>
      <c r="O806" t="str">
        <f>IFERROR(VLOOKUP(C806,Customers!$A$2:$F$301,5,FALSE()),"")</f>
        <v>Retail</v>
      </c>
      <c r="P806">
        <f>IFERROR(VLOOKUP(C806,Customers!$A$2:$F$301,3,FALSE()),"")</f>
        <v>54</v>
      </c>
      <c r="Q806">
        <f t="shared" si="36"/>
        <v>0.4891089108910891</v>
      </c>
      <c r="R806">
        <f>IF(AND(COUNTIF($A$2:$A$2027,A806)&gt;1,COUNTIF($A$2:A806,A806)=1),1,0)</f>
        <v>0</v>
      </c>
      <c r="S806" t="b">
        <f>IFERROR(VLOOKUP(D806,Products!$A$2:$F$61,6,FALSE()),"")</f>
        <v>1</v>
      </c>
      <c r="T806" t="str">
        <f>IF(COUNTIF(Customers!$A$2:$A$301,C806)=0,"Missing","OK")</f>
        <v>OK</v>
      </c>
      <c r="U806" t="str">
        <f t="shared" si="37"/>
        <v>Mumbai</v>
      </c>
      <c r="V806">
        <f t="shared" si="38"/>
        <v>0</v>
      </c>
    </row>
    <row r="807" spans="1:22" ht="15" customHeight="1" x14ac:dyDescent="0.35">
      <c r="A807" s="3" t="s">
        <v>1218</v>
      </c>
      <c r="B807" s="4">
        <v>45401</v>
      </c>
      <c r="C807" s="3" t="s">
        <v>990</v>
      </c>
      <c r="D807" s="3" t="s">
        <v>598</v>
      </c>
      <c r="E807" s="3" t="s">
        <v>93</v>
      </c>
      <c r="F807" s="5">
        <v>1</v>
      </c>
      <c r="G807" s="5">
        <v>3560</v>
      </c>
      <c r="H807" s="5">
        <v>26</v>
      </c>
      <c r="I807" s="5">
        <v>2634.4</v>
      </c>
      <c r="J807" s="3" t="s">
        <v>26</v>
      </c>
      <c r="K807" s="3" t="s">
        <v>51</v>
      </c>
      <c r="L807" t="str">
        <f>IFERROR(VLOOKUP(D807,Products!$A$2:$F$61,3,FALSE()),"")</f>
        <v>Apparel</v>
      </c>
      <c r="M807" t="str">
        <f>IFERROR(VLOOKUP(E807,Sales_Reps!$A$2:$C$31,3,FALSE()),"")</f>
        <v>East</v>
      </c>
      <c r="N807">
        <f>IFERROR(VLOOKUP(D807,Products!$A$2:$F$61,4,FALSE()),"")</f>
        <v>2629</v>
      </c>
      <c r="O807" t="str">
        <f>IFERROR(VLOOKUP(C807,Customers!$A$2:$F$301,5,FALSE()),"")</f>
        <v>Retail</v>
      </c>
      <c r="P807">
        <f>IFERROR(VLOOKUP(C807,Customers!$A$2:$F$301,3,FALSE()),"")</f>
        <v>54</v>
      </c>
      <c r="Q807">
        <f t="shared" si="36"/>
        <v>0.26151685393258428</v>
      </c>
      <c r="R807">
        <f>IF(AND(COUNTIF($A$2:$A$2027,A807)&gt;1,COUNTIF($A$2:A807,A807)=1),1,0)</f>
        <v>0</v>
      </c>
      <c r="S807" t="b">
        <f>IFERROR(VLOOKUP(D807,Products!$A$2:$F$61,6,FALSE()),"")</f>
        <v>1</v>
      </c>
      <c r="T807" t="str">
        <f>IF(COUNTIF(Customers!$A$2:$A$301,C807)=0,"Missing","OK")</f>
        <v>OK</v>
      </c>
      <c r="U807" t="str">
        <f t="shared" si="37"/>
        <v>Mumbai</v>
      </c>
      <c r="V807">
        <f t="shared" si="38"/>
        <v>0</v>
      </c>
    </row>
    <row r="808" spans="1:22" ht="15" customHeight="1" x14ac:dyDescent="0.35">
      <c r="A808" s="3" t="s">
        <v>1219</v>
      </c>
      <c r="B808" s="4">
        <v>45397</v>
      </c>
      <c r="C808" s="3" t="s">
        <v>393</v>
      </c>
      <c r="D808" s="3" t="s">
        <v>215</v>
      </c>
      <c r="E808" s="3" t="s">
        <v>42</v>
      </c>
      <c r="F808" s="5">
        <v>8</v>
      </c>
      <c r="G808" s="5">
        <v>3020</v>
      </c>
      <c r="H808" s="5">
        <v>6.9</v>
      </c>
      <c r="I808" s="5">
        <v>22492.959999999999</v>
      </c>
      <c r="J808" s="3" t="s">
        <v>26</v>
      </c>
      <c r="K808" s="3" t="s">
        <v>72</v>
      </c>
      <c r="L808" t="str">
        <f>IFERROR(VLOOKUP(D808,Products!$A$2:$F$61,3,FALSE()),"")</f>
        <v>Beauty</v>
      </c>
      <c r="M808" t="str">
        <f>IFERROR(VLOOKUP(E808,Sales_Reps!$A$2:$C$31,3,FALSE()),"")</f>
        <v>North</v>
      </c>
      <c r="N808">
        <f>IFERROR(VLOOKUP(D808,Products!$A$2:$F$61,4,FALSE()),"")</f>
        <v>1626</v>
      </c>
      <c r="O808" t="str">
        <f>IFERROR(VLOOKUP(C808,Customers!$A$2:$F$301,5,FALSE()),"")</f>
        <v>Corporate</v>
      </c>
      <c r="P808">
        <f>IFERROR(VLOOKUP(C808,Customers!$A$2:$F$301,3,FALSE()),"")</f>
        <v>43</v>
      </c>
      <c r="Q808">
        <f t="shared" si="36"/>
        <v>0.46158940397350995</v>
      </c>
      <c r="R808">
        <f>IF(AND(COUNTIF($A$2:$A$2027,A808)&gt;1,COUNTIF($A$2:A808,A808)=1),1,0)</f>
        <v>0</v>
      </c>
      <c r="S808" t="b">
        <f>IFERROR(VLOOKUP(D808,Products!$A$2:$F$61,6,FALSE()),"")</f>
        <v>1</v>
      </c>
      <c r="T808" t="str">
        <f>IF(COUNTIF(Customers!$A$2:$A$301,C808)=0,"Missing","OK")</f>
        <v>OK</v>
      </c>
      <c r="U808" t="str">
        <f t="shared" si="37"/>
        <v>Hyderabad</v>
      </c>
      <c r="V808">
        <f t="shared" si="38"/>
        <v>0</v>
      </c>
    </row>
    <row r="809" spans="1:22" ht="15" customHeight="1" x14ac:dyDescent="0.35">
      <c r="A809" s="3" t="s">
        <v>1220</v>
      </c>
      <c r="B809" s="4">
        <v>45301</v>
      </c>
      <c r="C809" s="3" t="s">
        <v>524</v>
      </c>
      <c r="D809" s="3" t="s">
        <v>203</v>
      </c>
      <c r="E809" s="3" t="s">
        <v>177</v>
      </c>
      <c r="F809" s="5">
        <v>1</v>
      </c>
      <c r="G809" s="5">
        <v>4070</v>
      </c>
      <c r="H809" s="5">
        <v>8.1999999999999993</v>
      </c>
      <c r="I809" s="5">
        <v>3736.26</v>
      </c>
      <c r="J809" s="3" t="s">
        <v>26</v>
      </c>
      <c r="K809" s="3" t="s">
        <v>33</v>
      </c>
      <c r="L809" t="str">
        <f>IFERROR(VLOOKUP(D809,Products!$A$2:$F$61,3,FALSE()),"")</f>
        <v>Grocery</v>
      </c>
      <c r="M809" t="str">
        <f>IFERROR(VLOOKUP(E809,Sales_Reps!$A$2:$C$31,3,FALSE()),"")</f>
        <v>East</v>
      </c>
      <c r="N809">
        <f>IFERROR(VLOOKUP(D809,Products!$A$2:$F$61,4,FALSE()),"")</f>
        <v>2027</v>
      </c>
      <c r="O809" t="str">
        <f>IFERROR(VLOOKUP(C809,Customers!$A$2:$F$301,5,FALSE()),"")</f>
        <v>Retail</v>
      </c>
      <c r="P809">
        <f>IFERROR(VLOOKUP(C809,Customers!$A$2:$F$301,3,FALSE()),"")</f>
        <v>26</v>
      </c>
      <c r="Q809">
        <f t="shared" si="36"/>
        <v>0.50196560196560192</v>
      </c>
      <c r="R809">
        <f>IF(AND(COUNTIF($A$2:$A$2027,A809)&gt;1,COUNTIF($A$2:A809,A809)=1),1,0)</f>
        <v>0</v>
      </c>
      <c r="S809" t="b">
        <f>IFERROR(VLOOKUP(D809,Products!$A$2:$F$61,6,FALSE()),"")</f>
        <v>1</v>
      </c>
      <c r="T809" t="str">
        <f>IF(COUNTIF(Customers!$A$2:$A$301,C809)=0,"Missing","OK")</f>
        <v>OK</v>
      </c>
      <c r="U809" t="str">
        <f t="shared" si="37"/>
        <v>Chennai</v>
      </c>
      <c r="V809">
        <f t="shared" si="38"/>
        <v>0</v>
      </c>
    </row>
    <row r="810" spans="1:22" ht="15" customHeight="1" x14ac:dyDescent="0.35">
      <c r="A810" s="3" t="s">
        <v>1221</v>
      </c>
      <c r="B810" s="4">
        <v>45347</v>
      </c>
      <c r="C810" s="3" t="s">
        <v>1173</v>
      </c>
      <c r="D810" s="3" t="s">
        <v>49</v>
      </c>
      <c r="E810" s="3" t="s">
        <v>131</v>
      </c>
      <c r="F810" s="5">
        <v>9</v>
      </c>
      <c r="G810" s="5">
        <v>370</v>
      </c>
      <c r="H810" s="5">
        <v>19.8</v>
      </c>
      <c r="I810" s="5">
        <v>2670.66</v>
      </c>
      <c r="J810" s="3" t="s">
        <v>26</v>
      </c>
      <c r="K810" s="3" t="s">
        <v>51</v>
      </c>
      <c r="L810" t="str">
        <f>IFERROR(VLOOKUP(D810,Products!$A$2:$F$61,3,FALSE()),"")</f>
        <v>Home</v>
      </c>
      <c r="M810" t="str">
        <f>IFERROR(VLOOKUP(E810,Sales_Reps!$A$2:$C$31,3,FALSE()),"")</f>
        <v>East</v>
      </c>
      <c r="N810">
        <f>IFERROR(VLOOKUP(D810,Products!$A$2:$F$61,4,FALSE()),"")</f>
        <v>288</v>
      </c>
      <c r="O810" t="str">
        <f>IFERROR(VLOOKUP(C810,Customers!$A$2:$F$301,5,FALSE()),"")</f>
        <v>Retail</v>
      </c>
      <c r="P810">
        <f>IFERROR(VLOOKUP(C810,Customers!$A$2:$F$301,3,FALSE()),"")</f>
        <v>29</v>
      </c>
      <c r="Q810">
        <f t="shared" si="36"/>
        <v>0.22162162162162163</v>
      </c>
      <c r="R810">
        <f>IF(AND(COUNTIF($A$2:$A$2027,A810)&gt;1,COUNTIF($A$2:A810,A810)=1),1,0)</f>
        <v>0</v>
      </c>
      <c r="S810" t="b">
        <f>IFERROR(VLOOKUP(D810,Products!$A$2:$F$61,6,FALSE()),"")</f>
        <v>1</v>
      </c>
      <c r="T810" t="str">
        <f>IF(COUNTIF(Customers!$A$2:$A$301,C810)=0,"Missing","OK")</f>
        <v>OK</v>
      </c>
      <c r="U810" t="str">
        <f t="shared" si="37"/>
        <v>Mumbai</v>
      </c>
      <c r="V810">
        <f t="shared" si="38"/>
        <v>0</v>
      </c>
    </row>
    <row r="811" spans="1:22" ht="15" customHeight="1" x14ac:dyDescent="0.35">
      <c r="A811" s="3" t="s">
        <v>1222</v>
      </c>
      <c r="B811" s="4">
        <v>45544</v>
      </c>
      <c r="C811" s="3" t="s">
        <v>822</v>
      </c>
      <c r="D811" s="3" t="s">
        <v>66</v>
      </c>
      <c r="E811" s="3" t="s">
        <v>131</v>
      </c>
      <c r="F811" s="5">
        <v>6</v>
      </c>
      <c r="G811" s="5">
        <v>970</v>
      </c>
      <c r="H811" s="5">
        <v>16.2</v>
      </c>
      <c r="I811" s="5">
        <v>4877.16</v>
      </c>
      <c r="J811" s="3" t="s">
        <v>26</v>
      </c>
      <c r="K811" s="3" t="s">
        <v>72</v>
      </c>
      <c r="L811" t="str">
        <f>IFERROR(VLOOKUP(D811,Products!$A$2:$F$61,3,FALSE()),"")</f>
        <v>Grocery</v>
      </c>
      <c r="M811" t="str">
        <f>IFERROR(VLOOKUP(E811,Sales_Reps!$A$2:$C$31,3,FALSE()),"")</f>
        <v>East</v>
      </c>
      <c r="N811">
        <f>IFERROR(VLOOKUP(D811,Products!$A$2:$F$61,4,FALSE()),"")</f>
        <v>434</v>
      </c>
      <c r="O811" t="str">
        <f>IFERROR(VLOOKUP(C811,Customers!$A$2:$F$301,5,FALSE()),"")</f>
        <v>SMB</v>
      </c>
      <c r="P811">
        <f>IFERROR(VLOOKUP(C811,Customers!$A$2:$F$301,3,FALSE()),"")</f>
        <v>28</v>
      </c>
      <c r="Q811">
        <f t="shared" si="36"/>
        <v>0.5525773195876289</v>
      </c>
      <c r="R811">
        <f>IF(AND(COUNTIF($A$2:$A$2027,A811)&gt;1,COUNTIF($A$2:A811,A811)=1),1,0)</f>
        <v>0</v>
      </c>
      <c r="S811" t="b">
        <f>IFERROR(VLOOKUP(D811,Products!$A$2:$F$61,6,FALSE()),"")</f>
        <v>1</v>
      </c>
      <c r="T811" t="str">
        <f>IF(COUNTIF(Customers!$A$2:$A$301,C811)=0,"Missing","OK")</f>
        <v>OK</v>
      </c>
      <c r="U811" t="str">
        <f t="shared" si="37"/>
        <v>Hyderabad</v>
      </c>
      <c r="V811">
        <f t="shared" si="38"/>
        <v>0</v>
      </c>
    </row>
    <row r="812" spans="1:22" ht="15" customHeight="1" x14ac:dyDescent="0.35">
      <c r="A812" s="3" t="s">
        <v>1223</v>
      </c>
      <c r="B812" s="4">
        <v>45633</v>
      </c>
      <c r="C812" s="3" t="s">
        <v>255</v>
      </c>
      <c r="D812" s="3" t="s">
        <v>112</v>
      </c>
      <c r="E812" s="3" t="s">
        <v>60</v>
      </c>
      <c r="F812" s="5">
        <v>10</v>
      </c>
      <c r="G812" s="5">
        <v>2720</v>
      </c>
      <c r="H812" s="5">
        <v>3</v>
      </c>
      <c r="I812" s="5">
        <v>26384</v>
      </c>
      <c r="J812" s="3" t="s">
        <v>32</v>
      </c>
      <c r="K812" s="3" t="s">
        <v>27</v>
      </c>
      <c r="L812" t="str">
        <f>IFERROR(VLOOKUP(D812,Products!$A$2:$F$61,3,FALSE()),"")</f>
        <v>Apparel</v>
      </c>
      <c r="M812" t="str">
        <f>IFERROR(VLOOKUP(E812,Sales_Reps!$A$2:$C$31,3,FALSE()),"")</f>
        <v>East</v>
      </c>
      <c r="N812">
        <f>IFERROR(VLOOKUP(D812,Products!$A$2:$F$61,4,FALSE()),"")</f>
        <v>1962</v>
      </c>
      <c r="O812" t="str">
        <f>IFERROR(VLOOKUP(C812,Customers!$A$2:$F$301,5,FALSE()),"")</f>
        <v>SMB</v>
      </c>
      <c r="P812">
        <f>IFERROR(VLOOKUP(C812,Customers!$A$2:$F$301,3,FALSE()),"")</f>
        <v>60</v>
      </c>
      <c r="Q812">
        <f t="shared" si="36"/>
        <v>0.2786764705882353</v>
      </c>
      <c r="R812">
        <f>IF(AND(COUNTIF($A$2:$A$2027,A812)&gt;1,COUNTIF($A$2:A812,A812)=1),1,0)</f>
        <v>0</v>
      </c>
      <c r="S812" t="b">
        <f>IFERROR(VLOOKUP(D812,Products!$A$2:$F$61,6,FALSE()),"")</f>
        <v>1</v>
      </c>
      <c r="T812" t="str">
        <f>IF(COUNTIF(Customers!$A$2:$A$301,C812)=0,"Missing","OK")</f>
        <v>OK</v>
      </c>
      <c r="U812" t="str">
        <f t="shared" si="37"/>
        <v>Pune</v>
      </c>
      <c r="V812">
        <f t="shared" si="38"/>
        <v>0</v>
      </c>
    </row>
    <row r="813" spans="1:22" ht="15" customHeight="1" x14ac:dyDescent="0.35">
      <c r="A813" s="3" t="s">
        <v>1224</v>
      </c>
      <c r="B813" s="4">
        <v>45293</v>
      </c>
      <c r="C813" s="3" t="s">
        <v>696</v>
      </c>
      <c r="D813" s="3" t="s">
        <v>90</v>
      </c>
      <c r="E813" s="3" t="s">
        <v>37</v>
      </c>
      <c r="F813" s="5">
        <v>7</v>
      </c>
      <c r="G813" s="5">
        <v>2400</v>
      </c>
      <c r="H813" s="5">
        <v>29.4</v>
      </c>
      <c r="I813" s="5">
        <v>11860.8</v>
      </c>
      <c r="J813" s="3" t="s">
        <v>26</v>
      </c>
      <c r="K813" s="3" t="s">
        <v>56</v>
      </c>
      <c r="L813" t="str">
        <f>IFERROR(VLOOKUP(D813,Products!$A$2:$F$61,3,FALSE()),"")</f>
        <v>Sports</v>
      </c>
      <c r="M813" t="str">
        <f>IFERROR(VLOOKUP(E813,Sales_Reps!$A$2:$C$31,3,FALSE()),"")</f>
        <v>South</v>
      </c>
      <c r="N813">
        <f>IFERROR(VLOOKUP(D813,Products!$A$2:$F$61,4,FALSE()),"")</f>
        <v>974</v>
      </c>
      <c r="O813" t="str">
        <f>IFERROR(VLOOKUP(C813,Customers!$A$2:$F$301,5,FALSE()),"")</f>
        <v>Corporate</v>
      </c>
      <c r="P813">
        <f>IFERROR(VLOOKUP(C813,Customers!$A$2:$F$301,3,FALSE()),"")</f>
        <v>43</v>
      </c>
      <c r="Q813">
        <f t="shared" si="36"/>
        <v>0.59416666666666662</v>
      </c>
      <c r="R813">
        <f>IF(AND(COUNTIF($A$2:$A$2027,A813)&gt;1,COUNTIF($A$2:A813,A813)=1),1,0)</f>
        <v>0</v>
      </c>
      <c r="S813" t="b">
        <f>IFERROR(VLOOKUP(D813,Products!$A$2:$F$61,6,FALSE()),"")</f>
        <v>1</v>
      </c>
      <c r="T813" t="str">
        <f>IF(COUNTIF(Customers!$A$2:$A$301,C813)=0,"Missing","OK")</f>
        <v>OK</v>
      </c>
      <c r="U813" t="str">
        <f t="shared" si="37"/>
        <v>Bengaluru</v>
      </c>
      <c r="V813">
        <f t="shared" si="38"/>
        <v>0</v>
      </c>
    </row>
    <row r="814" spans="1:22" ht="15" customHeight="1" x14ac:dyDescent="0.35">
      <c r="A814" s="3" t="s">
        <v>1225</v>
      </c>
      <c r="B814" s="4">
        <v>45564</v>
      </c>
      <c r="C814" s="3" t="s">
        <v>381</v>
      </c>
      <c r="D814" s="3" t="s">
        <v>598</v>
      </c>
      <c r="E814" s="3" t="s">
        <v>264</v>
      </c>
      <c r="F814" s="5">
        <v>8</v>
      </c>
      <c r="G814" s="5">
        <v>3560</v>
      </c>
      <c r="H814" s="5">
        <v>21.7</v>
      </c>
      <c r="I814" s="5">
        <v>22299.84</v>
      </c>
      <c r="J814" s="3" t="s">
        <v>26</v>
      </c>
      <c r="K814" s="3" t="s">
        <v>27</v>
      </c>
      <c r="L814" t="str">
        <f>IFERROR(VLOOKUP(D814,Products!$A$2:$F$61,3,FALSE()),"")</f>
        <v>Apparel</v>
      </c>
      <c r="M814" t="str">
        <f>IFERROR(VLOOKUP(E814,Sales_Reps!$A$2:$C$31,3,FALSE()),"")</f>
        <v>South</v>
      </c>
      <c r="N814">
        <f>IFERROR(VLOOKUP(D814,Products!$A$2:$F$61,4,FALSE()),"")</f>
        <v>2629</v>
      </c>
      <c r="O814" t="str">
        <f>IFERROR(VLOOKUP(C814,Customers!$A$2:$F$301,5,FALSE()),"")</f>
        <v>Retail</v>
      </c>
      <c r="P814">
        <f>IFERROR(VLOOKUP(C814,Customers!$A$2:$F$301,3,FALSE()),"")</f>
        <v>65</v>
      </c>
      <c r="Q814">
        <f t="shared" si="36"/>
        <v>0.26151685393258428</v>
      </c>
      <c r="R814">
        <f>IF(AND(COUNTIF($A$2:$A$2027,A814)&gt;1,COUNTIF($A$2:A814,A814)=1),1,0)</f>
        <v>0</v>
      </c>
      <c r="S814" t="b">
        <f>IFERROR(VLOOKUP(D814,Products!$A$2:$F$61,6,FALSE()),"")</f>
        <v>1</v>
      </c>
      <c r="T814" t="str">
        <f>IF(COUNTIF(Customers!$A$2:$A$301,C814)=0,"Missing","OK")</f>
        <v>OK</v>
      </c>
      <c r="U814" t="str">
        <f t="shared" si="37"/>
        <v>Pune</v>
      </c>
      <c r="V814">
        <f t="shared" si="38"/>
        <v>0</v>
      </c>
    </row>
    <row r="815" spans="1:22" ht="15" customHeight="1" x14ac:dyDescent="0.35">
      <c r="A815" s="3" t="s">
        <v>1226</v>
      </c>
      <c r="B815" s="4">
        <v>45385</v>
      </c>
      <c r="C815" s="3" t="s">
        <v>720</v>
      </c>
      <c r="D815" s="3" t="s">
        <v>203</v>
      </c>
      <c r="E815" s="3" t="s">
        <v>127</v>
      </c>
      <c r="F815" s="5">
        <v>7</v>
      </c>
      <c r="G815" s="5">
        <v>4070</v>
      </c>
      <c r="H815" s="5">
        <v>10.5</v>
      </c>
      <c r="I815" s="5">
        <v>25498.55</v>
      </c>
      <c r="J815" s="3" t="s">
        <v>26</v>
      </c>
      <c r="K815" s="3" t="s">
        <v>38</v>
      </c>
      <c r="L815" t="str">
        <f>IFERROR(VLOOKUP(D815,Products!$A$2:$F$61,3,FALSE()),"")</f>
        <v>Grocery</v>
      </c>
      <c r="M815" t="str">
        <f>IFERROR(VLOOKUP(E815,Sales_Reps!$A$2:$C$31,3,FALSE()),"")</f>
        <v>South</v>
      </c>
      <c r="N815">
        <f>IFERROR(VLOOKUP(D815,Products!$A$2:$F$61,4,FALSE()),"")</f>
        <v>2027</v>
      </c>
      <c r="O815" t="str">
        <f>IFERROR(VLOOKUP(C815,Customers!$A$2:$F$301,5,FALSE()),"")</f>
        <v>SMB</v>
      </c>
      <c r="P815">
        <f>IFERROR(VLOOKUP(C815,Customers!$A$2:$F$301,3,FALSE()),"")</f>
        <v>29</v>
      </c>
      <c r="Q815">
        <f t="shared" si="36"/>
        <v>0.50196560196560192</v>
      </c>
      <c r="R815">
        <f>IF(AND(COUNTIF($A$2:$A$2027,A815)&gt;1,COUNTIF($A$2:A815,A815)=1),1,0)</f>
        <v>0</v>
      </c>
      <c r="S815" t="b">
        <f>IFERROR(VLOOKUP(D815,Products!$A$2:$F$61,6,FALSE()),"")</f>
        <v>1</v>
      </c>
      <c r="T815" t="str">
        <f>IF(COUNTIF(Customers!$A$2:$A$301,C815)=0,"Missing","OK")</f>
        <v>OK</v>
      </c>
      <c r="U815" t="str">
        <f t="shared" si="37"/>
        <v>Delhi</v>
      </c>
      <c r="V815">
        <f t="shared" si="38"/>
        <v>0</v>
      </c>
    </row>
    <row r="816" spans="1:22" ht="15" customHeight="1" x14ac:dyDescent="0.35">
      <c r="A816" s="3" t="s">
        <v>1227</v>
      </c>
      <c r="B816" s="4">
        <v>45299</v>
      </c>
      <c r="C816" s="3" t="s">
        <v>554</v>
      </c>
      <c r="D816" s="3" t="s">
        <v>299</v>
      </c>
      <c r="E816" s="3" t="s">
        <v>46</v>
      </c>
      <c r="F816" s="5">
        <v>3</v>
      </c>
      <c r="G816" s="5">
        <v>5410</v>
      </c>
      <c r="H816" s="5">
        <v>0.2</v>
      </c>
      <c r="I816" s="5">
        <v>16197.54</v>
      </c>
      <c r="J816" s="3" t="s">
        <v>26</v>
      </c>
      <c r="K816" s="3" t="s">
        <v>51</v>
      </c>
      <c r="L816" t="str">
        <f>IFERROR(VLOOKUP(D816,Products!$A$2:$F$61,3,FALSE()),"")</f>
        <v>Sports</v>
      </c>
      <c r="M816" t="str">
        <f>IFERROR(VLOOKUP(E816,Sales_Reps!$A$2:$C$31,3,FALSE()),"")</f>
        <v>North</v>
      </c>
      <c r="N816">
        <f>IFERROR(VLOOKUP(D816,Products!$A$2:$F$61,4,FALSE()),"")</f>
        <v>2265</v>
      </c>
      <c r="O816" t="str">
        <f>IFERROR(VLOOKUP(C816,Customers!$A$2:$F$301,5,FALSE()),"")</f>
        <v>Retail</v>
      </c>
      <c r="P816">
        <f>IFERROR(VLOOKUP(C816,Customers!$A$2:$F$301,3,FALSE()),"")</f>
        <v>53</v>
      </c>
      <c r="Q816">
        <f t="shared" si="36"/>
        <v>0.58133086876155271</v>
      </c>
      <c r="R816">
        <f>IF(AND(COUNTIF($A$2:$A$2027,A816)&gt;1,COUNTIF($A$2:A816,A816)=1),1,0)</f>
        <v>1</v>
      </c>
      <c r="S816" t="b">
        <f>IFERROR(VLOOKUP(D816,Products!$A$2:$F$61,6,FALSE()),"")</f>
        <v>1</v>
      </c>
      <c r="T816" t="str">
        <f>IF(COUNTIF(Customers!$A$2:$A$301,C816)=0,"Missing","OK")</f>
        <v>OK</v>
      </c>
      <c r="U816" t="str">
        <f t="shared" si="37"/>
        <v>Mumbai</v>
      </c>
      <c r="V816">
        <f t="shared" si="38"/>
        <v>0</v>
      </c>
    </row>
    <row r="817" spans="1:22" ht="15" customHeight="1" x14ac:dyDescent="0.35">
      <c r="A817" s="3" t="s">
        <v>1228</v>
      </c>
      <c r="B817" s="4">
        <v>45651</v>
      </c>
      <c r="C817" s="3" t="s">
        <v>472</v>
      </c>
      <c r="D817" s="3" t="s">
        <v>139</v>
      </c>
      <c r="E817" s="3" t="s">
        <v>67</v>
      </c>
      <c r="F817" s="5">
        <v>4</v>
      </c>
      <c r="G817" s="5">
        <v>2760</v>
      </c>
      <c r="H817" s="5">
        <v>27.5</v>
      </c>
      <c r="I817" s="5">
        <v>8004</v>
      </c>
      <c r="J817" s="3" t="s">
        <v>79</v>
      </c>
      <c r="K817" s="3" t="s">
        <v>38</v>
      </c>
      <c r="L817" t="str">
        <f>IFERROR(VLOOKUP(D817,Products!$A$2:$F$61,3,FALSE()),"")</f>
        <v>Grocery</v>
      </c>
      <c r="M817" t="str">
        <f>IFERROR(VLOOKUP(E817,Sales_Reps!$A$2:$C$31,3,FALSE()),"")</f>
        <v>West</v>
      </c>
      <c r="N817">
        <f>IFERROR(VLOOKUP(D817,Products!$A$2:$F$61,4,FALSE()),"")</f>
        <v>1435</v>
      </c>
      <c r="O817" t="str">
        <f>IFERROR(VLOOKUP(C817,Customers!$A$2:$F$301,5,FALSE()),"")</f>
        <v>SMB</v>
      </c>
      <c r="P817">
        <f>IFERROR(VLOOKUP(C817,Customers!$A$2:$F$301,3,FALSE()),"")</f>
        <v>48</v>
      </c>
      <c r="Q817">
        <f t="shared" si="36"/>
        <v>0.48007246376811596</v>
      </c>
      <c r="R817">
        <f>IF(AND(COUNTIF($A$2:$A$2027,A817)&gt;1,COUNTIF($A$2:A817,A817)=1),1,0)</f>
        <v>0</v>
      </c>
      <c r="S817" t="b">
        <f>IFERROR(VLOOKUP(D817,Products!$A$2:$F$61,6,FALSE()),"")</f>
        <v>1</v>
      </c>
      <c r="T817" t="str">
        <f>IF(COUNTIF(Customers!$A$2:$A$301,C817)=0,"Missing","OK")</f>
        <v>OK</v>
      </c>
      <c r="U817" t="str">
        <f t="shared" si="37"/>
        <v>Delhi</v>
      </c>
      <c r="V817">
        <f t="shared" si="38"/>
        <v>0</v>
      </c>
    </row>
    <row r="818" spans="1:22" ht="15" customHeight="1" x14ac:dyDescent="0.35">
      <c r="A818" s="3" t="s">
        <v>1229</v>
      </c>
      <c r="B818" s="4">
        <v>45474</v>
      </c>
      <c r="C818" s="3" t="s">
        <v>396</v>
      </c>
      <c r="D818" s="3" t="s">
        <v>382</v>
      </c>
      <c r="E818" s="3" t="s">
        <v>191</v>
      </c>
      <c r="F818" s="5">
        <v>3</v>
      </c>
      <c r="G818" s="5">
        <v>5080</v>
      </c>
      <c r="H818" s="5">
        <v>27.2</v>
      </c>
      <c r="I818" s="5">
        <v>11094.72</v>
      </c>
      <c r="J818" s="3" t="s">
        <v>26</v>
      </c>
      <c r="K818" s="3" t="s">
        <v>27</v>
      </c>
      <c r="L818" t="str">
        <f>IFERROR(VLOOKUP(D818,Products!$A$2:$F$61,3,FALSE()),"")</f>
        <v>Home</v>
      </c>
      <c r="M818" t="str">
        <f>IFERROR(VLOOKUP(E818,Sales_Reps!$A$2:$C$31,3,FALSE()),"")</f>
        <v>South</v>
      </c>
      <c r="N818">
        <f>IFERROR(VLOOKUP(D818,Products!$A$2:$F$61,4,FALSE()),"")</f>
        <v>2459</v>
      </c>
      <c r="O818" t="str">
        <f>IFERROR(VLOOKUP(C818,Customers!$A$2:$F$301,5,FALSE()),"")</f>
        <v>Retail</v>
      </c>
      <c r="P818">
        <f>IFERROR(VLOOKUP(C818,Customers!$A$2:$F$301,3,FALSE()),"")</f>
        <v>29</v>
      </c>
      <c r="Q818">
        <f t="shared" si="36"/>
        <v>0.51594488188976373</v>
      </c>
      <c r="R818">
        <f>IF(AND(COUNTIF($A$2:$A$2027,A818)&gt;1,COUNTIF($A$2:A818,A818)=1),1,0)</f>
        <v>1</v>
      </c>
      <c r="S818" t="b">
        <f>IFERROR(VLOOKUP(D818,Products!$A$2:$F$61,6,FALSE()),"")</f>
        <v>1</v>
      </c>
      <c r="T818" t="str">
        <f>IF(COUNTIF(Customers!$A$2:$A$301,C818)=0,"Missing","OK")</f>
        <v>OK</v>
      </c>
      <c r="U818" t="str">
        <f t="shared" si="37"/>
        <v>Pune</v>
      </c>
      <c r="V818">
        <f t="shared" si="38"/>
        <v>0</v>
      </c>
    </row>
    <row r="819" spans="1:22" ht="15" customHeight="1" x14ac:dyDescent="0.35">
      <c r="A819" s="3" t="s">
        <v>1230</v>
      </c>
      <c r="B819" s="4">
        <v>45391</v>
      </c>
      <c r="C819" s="3" t="s">
        <v>1111</v>
      </c>
      <c r="D819" s="3" t="s">
        <v>441</v>
      </c>
      <c r="E819" s="3" t="s">
        <v>177</v>
      </c>
      <c r="F819" s="5">
        <v>5</v>
      </c>
      <c r="G819" s="5">
        <v>1090</v>
      </c>
      <c r="H819" s="5">
        <v>3.3</v>
      </c>
      <c r="I819" s="5">
        <v>5270.15</v>
      </c>
      <c r="J819" s="3" t="s">
        <v>26</v>
      </c>
      <c r="K819" s="3" t="s">
        <v>27</v>
      </c>
      <c r="L819" t="str">
        <f>IFERROR(VLOOKUP(D819,Products!$A$2:$F$61,3,FALSE()),"")</f>
        <v>Home</v>
      </c>
      <c r="M819" t="str">
        <f>IFERROR(VLOOKUP(E819,Sales_Reps!$A$2:$C$31,3,FALSE()),"")</f>
        <v>East</v>
      </c>
      <c r="N819">
        <f>IFERROR(VLOOKUP(D819,Products!$A$2:$F$61,4,FALSE()),"")</f>
        <v>464</v>
      </c>
      <c r="O819" t="str">
        <f>IFERROR(VLOOKUP(C819,Customers!$A$2:$F$301,5,FALSE()),"")</f>
        <v>Retail</v>
      </c>
      <c r="P819">
        <f>IFERROR(VLOOKUP(C819,Customers!$A$2:$F$301,3,FALSE()),"")</f>
        <v>39</v>
      </c>
      <c r="Q819">
        <f t="shared" si="36"/>
        <v>0.57431192660550456</v>
      </c>
      <c r="R819">
        <f>IF(AND(COUNTIF($A$2:$A$2027,A819)&gt;1,COUNTIF($A$2:A819,A819)=1),1,0)</f>
        <v>0</v>
      </c>
      <c r="S819" t="b">
        <f>IFERROR(VLOOKUP(D819,Products!$A$2:$F$61,6,FALSE()),"")</f>
        <v>1</v>
      </c>
      <c r="T819" t="str">
        <f>IF(COUNTIF(Customers!$A$2:$A$301,C819)=0,"Missing","OK")</f>
        <v>OK</v>
      </c>
      <c r="U819" t="str">
        <f t="shared" si="37"/>
        <v>Pune</v>
      </c>
      <c r="V819">
        <f t="shared" si="38"/>
        <v>0</v>
      </c>
    </row>
    <row r="820" spans="1:22" ht="15" customHeight="1" x14ac:dyDescent="0.35">
      <c r="A820" s="3" t="s">
        <v>1231</v>
      </c>
      <c r="B820" s="4">
        <v>45328</v>
      </c>
      <c r="C820" s="3" t="s">
        <v>780</v>
      </c>
      <c r="D820" s="3" t="s">
        <v>306</v>
      </c>
      <c r="E820" s="3" t="s">
        <v>168</v>
      </c>
      <c r="F820" s="5">
        <v>10</v>
      </c>
      <c r="G820" s="5">
        <v>2380</v>
      </c>
      <c r="H820" s="5">
        <v>7</v>
      </c>
      <c r="I820" s="5">
        <v>22134</v>
      </c>
      <c r="J820" s="3" t="s">
        <v>26</v>
      </c>
      <c r="K820" s="3" t="s">
        <v>56</v>
      </c>
      <c r="L820" t="str">
        <f>IFERROR(VLOOKUP(D820,Products!$A$2:$F$61,3,FALSE()),"")</f>
        <v>Grocery</v>
      </c>
      <c r="M820" t="str">
        <f>IFERROR(VLOOKUP(E820,Sales_Reps!$A$2:$C$31,3,FALSE()),"")</f>
        <v>West</v>
      </c>
      <c r="N820">
        <f>IFERROR(VLOOKUP(D820,Products!$A$2:$F$61,4,FALSE()),"")</f>
        <v>1182</v>
      </c>
      <c r="O820" t="str">
        <f>IFERROR(VLOOKUP(C820,Customers!$A$2:$F$301,5,FALSE()),"")</f>
        <v>Corporate</v>
      </c>
      <c r="P820">
        <f>IFERROR(VLOOKUP(C820,Customers!$A$2:$F$301,3,FALSE()),"")</f>
        <v>41</v>
      </c>
      <c r="Q820">
        <f t="shared" si="36"/>
        <v>0.50336134453781511</v>
      </c>
      <c r="R820">
        <f>IF(AND(COUNTIF($A$2:$A$2027,A820)&gt;1,COUNTIF($A$2:A820,A820)=1),1,0)</f>
        <v>0</v>
      </c>
      <c r="S820" t="b">
        <f>IFERROR(VLOOKUP(D820,Products!$A$2:$F$61,6,FALSE()),"")</f>
        <v>1</v>
      </c>
      <c r="T820" t="str">
        <f>IF(COUNTIF(Customers!$A$2:$A$301,C820)=0,"Missing","OK")</f>
        <v>OK</v>
      </c>
      <c r="U820" t="str">
        <f t="shared" si="37"/>
        <v>Bengaluru</v>
      </c>
      <c r="V820">
        <f t="shared" si="38"/>
        <v>22134</v>
      </c>
    </row>
    <row r="821" spans="1:22" ht="15" customHeight="1" x14ac:dyDescent="0.35">
      <c r="A821" s="3" t="s">
        <v>1232</v>
      </c>
      <c r="B821" s="4">
        <v>45490</v>
      </c>
      <c r="C821" s="3" t="s">
        <v>1233</v>
      </c>
      <c r="D821" s="3" t="s">
        <v>45</v>
      </c>
      <c r="E821" s="3" t="s">
        <v>140</v>
      </c>
      <c r="F821" s="5">
        <v>5</v>
      </c>
      <c r="G821" s="5">
        <v>3160</v>
      </c>
      <c r="H821" s="5">
        <v>25.6</v>
      </c>
      <c r="I821" s="5">
        <v>11755.2</v>
      </c>
      <c r="J821" s="3" t="s">
        <v>26</v>
      </c>
      <c r="K821" s="3" t="s">
        <v>33</v>
      </c>
      <c r="L821" t="str">
        <f>IFERROR(VLOOKUP(D821,Products!$A$2:$F$61,3,FALSE()),"")</f>
        <v>Apparel</v>
      </c>
      <c r="M821" t="str">
        <f>IFERROR(VLOOKUP(E821,Sales_Reps!$A$2:$C$31,3,FALSE()),"")</f>
        <v>West</v>
      </c>
      <c r="N821">
        <f>IFERROR(VLOOKUP(D821,Products!$A$2:$F$61,4,FALSE()),"")</f>
        <v>1886</v>
      </c>
      <c r="O821" t="str">
        <f>IFERROR(VLOOKUP(C821,Customers!$A$2:$F$301,5,FALSE()),"")</f>
        <v>SMB</v>
      </c>
      <c r="P821">
        <f>IFERROR(VLOOKUP(C821,Customers!$A$2:$F$301,3,FALSE()),"")</f>
        <v>43</v>
      </c>
      <c r="Q821">
        <f t="shared" si="36"/>
        <v>0.4031645569620253</v>
      </c>
      <c r="R821">
        <f>IF(AND(COUNTIF($A$2:$A$2027,A821)&gt;1,COUNTIF($A$2:A821,A821)=1),1,0)</f>
        <v>0</v>
      </c>
      <c r="S821" t="b">
        <f>IFERROR(VLOOKUP(D821,Products!$A$2:$F$61,6,FALSE()),"")</f>
        <v>1</v>
      </c>
      <c r="T821" t="str">
        <f>IF(COUNTIF(Customers!$A$2:$A$301,C821)=0,"Missing","OK")</f>
        <v>OK</v>
      </c>
      <c r="U821" t="str">
        <f t="shared" si="37"/>
        <v>Chennai</v>
      </c>
      <c r="V821">
        <f t="shared" si="38"/>
        <v>0</v>
      </c>
    </row>
    <row r="822" spans="1:22" ht="15" customHeight="1" x14ac:dyDescent="0.35">
      <c r="A822" s="3" t="s">
        <v>1234</v>
      </c>
      <c r="B822" s="4">
        <v>45362</v>
      </c>
      <c r="C822" s="3" t="s">
        <v>844</v>
      </c>
      <c r="D822" s="3" t="s">
        <v>90</v>
      </c>
      <c r="E822" s="3" t="s">
        <v>168</v>
      </c>
      <c r="F822" s="5">
        <v>9</v>
      </c>
      <c r="G822" s="5">
        <v>2400</v>
      </c>
      <c r="H822" s="5">
        <v>8.4</v>
      </c>
      <c r="I822" s="5">
        <v>19785.599999999999</v>
      </c>
      <c r="J822" s="3" t="s">
        <v>26</v>
      </c>
      <c r="K822" s="3" t="s">
        <v>51</v>
      </c>
      <c r="L822" t="str">
        <f>IFERROR(VLOOKUP(D822,Products!$A$2:$F$61,3,FALSE()),"")</f>
        <v>Sports</v>
      </c>
      <c r="M822" t="str">
        <f>IFERROR(VLOOKUP(E822,Sales_Reps!$A$2:$C$31,3,FALSE()),"")</f>
        <v>West</v>
      </c>
      <c r="N822">
        <f>IFERROR(VLOOKUP(D822,Products!$A$2:$F$61,4,FALSE()),"")</f>
        <v>974</v>
      </c>
      <c r="O822" t="str">
        <f>IFERROR(VLOOKUP(C822,Customers!$A$2:$F$301,5,FALSE()),"")</f>
        <v>SMB</v>
      </c>
      <c r="P822">
        <f>IFERROR(VLOOKUP(C822,Customers!$A$2:$F$301,3,FALSE()),"")</f>
        <v>43</v>
      </c>
      <c r="Q822">
        <f t="shared" si="36"/>
        <v>0.59416666666666662</v>
      </c>
      <c r="R822">
        <f>IF(AND(COUNTIF($A$2:$A$2027,A822)&gt;1,COUNTIF($A$2:A822,A822)=1),1,0)</f>
        <v>0</v>
      </c>
      <c r="S822" t="b">
        <f>IFERROR(VLOOKUP(D822,Products!$A$2:$F$61,6,FALSE()),"")</f>
        <v>1</v>
      </c>
      <c r="T822" t="str">
        <f>IF(COUNTIF(Customers!$A$2:$A$301,C822)=0,"Missing","OK")</f>
        <v>OK</v>
      </c>
      <c r="U822" t="str">
        <f t="shared" si="37"/>
        <v>Mumbai</v>
      </c>
      <c r="V822">
        <f t="shared" si="38"/>
        <v>0</v>
      </c>
    </row>
    <row r="823" spans="1:22" ht="15" customHeight="1" x14ac:dyDescent="0.35">
      <c r="A823" s="3" t="s">
        <v>1235</v>
      </c>
      <c r="B823" s="4">
        <v>45449</v>
      </c>
      <c r="C823" s="3" t="s">
        <v>1236</v>
      </c>
      <c r="D823" s="3" t="s">
        <v>77</v>
      </c>
      <c r="E823" s="3" t="s">
        <v>131</v>
      </c>
      <c r="F823" s="5">
        <v>4</v>
      </c>
      <c r="G823" s="5">
        <v>2600</v>
      </c>
      <c r="H823" s="5">
        <v>4.2</v>
      </c>
      <c r="I823" s="5">
        <v>9963.2000000000007</v>
      </c>
      <c r="J823" s="3" t="s">
        <v>26</v>
      </c>
      <c r="K823" s="3" t="s">
        <v>51</v>
      </c>
      <c r="L823" t="str">
        <f>IFERROR(VLOOKUP(D823,Products!$A$2:$F$61,3,FALSE()),"")</f>
        <v>Electronics</v>
      </c>
      <c r="M823" t="str">
        <f>IFERROR(VLOOKUP(E823,Sales_Reps!$A$2:$C$31,3,FALSE()),"")</f>
        <v>East</v>
      </c>
      <c r="N823">
        <f>IFERROR(VLOOKUP(D823,Products!$A$2:$F$61,4,FALSE()),"")</f>
        <v>1052</v>
      </c>
      <c r="O823" t="str">
        <f>IFERROR(VLOOKUP(C823,Customers!$A$2:$F$301,5,FALSE()),"")</f>
        <v>Retail</v>
      </c>
      <c r="P823">
        <f>IFERROR(VLOOKUP(C823,Customers!$A$2:$F$301,3,FALSE()),"")</f>
        <v>38</v>
      </c>
      <c r="Q823">
        <f t="shared" si="36"/>
        <v>0.5953846153846154</v>
      </c>
      <c r="R823">
        <f>IF(AND(COUNTIF($A$2:$A$2027,A823)&gt;1,COUNTIF($A$2:A823,A823)=1),1,0)</f>
        <v>0</v>
      </c>
      <c r="S823" t="b">
        <f>IFERROR(VLOOKUP(D823,Products!$A$2:$F$61,6,FALSE()),"")</f>
        <v>1</v>
      </c>
      <c r="T823" t="str">
        <f>IF(COUNTIF(Customers!$A$2:$A$301,C823)=0,"Missing","OK")</f>
        <v>OK</v>
      </c>
      <c r="U823" t="str">
        <f t="shared" si="37"/>
        <v>Mumbai</v>
      </c>
      <c r="V823">
        <f t="shared" si="38"/>
        <v>0</v>
      </c>
    </row>
    <row r="824" spans="1:22" ht="15" customHeight="1" x14ac:dyDescent="0.35">
      <c r="A824" s="3" t="s">
        <v>1237</v>
      </c>
      <c r="B824" s="4">
        <v>45409</v>
      </c>
      <c r="C824" s="3" t="s">
        <v>1238</v>
      </c>
      <c r="D824" s="3" t="s">
        <v>70</v>
      </c>
      <c r="E824" s="3" t="s">
        <v>93</v>
      </c>
      <c r="F824" s="5">
        <v>5</v>
      </c>
      <c r="G824" s="5">
        <v>2270</v>
      </c>
      <c r="H824" s="5">
        <v>0.1</v>
      </c>
      <c r="I824" s="5">
        <v>11338.65</v>
      </c>
      <c r="J824" s="3" t="s">
        <v>26</v>
      </c>
      <c r="K824" s="3" t="s">
        <v>51</v>
      </c>
      <c r="L824" t="str">
        <f>IFERROR(VLOOKUP(D824,Products!$A$2:$F$61,3,FALSE()),"")</f>
        <v>Grocery</v>
      </c>
      <c r="M824" t="str">
        <f>IFERROR(VLOOKUP(E824,Sales_Reps!$A$2:$C$31,3,FALSE()),"")</f>
        <v>East</v>
      </c>
      <c r="N824">
        <f>IFERROR(VLOOKUP(D824,Products!$A$2:$F$61,4,FALSE()),"")</f>
        <v>1203</v>
      </c>
      <c r="O824" t="str">
        <f>IFERROR(VLOOKUP(C824,Customers!$A$2:$F$301,5,FALSE()),"")</f>
        <v/>
      </c>
      <c r="P824" t="str">
        <f>IFERROR(VLOOKUP(C824,Customers!$A$2:$F$301,3,FALSE()),"")</f>
        <v/>
      </c>
      <c r="Q824">
        <f t="shared" si="36"/>
        <v>0.47004405286343615</v>
      </c>
      <c r="R824">
        <f>IF(AND(COUNTIF($A$2:$A$2027,A824)&gt;1,COUNTIF($A$2:A824,A824)=1),1,0)</f>
        <v>0</v>
      </c>
      <c r="S824" t="b">
        <f>IFERROR(VLOOKUP(D824,Products!$A$2:$F$61,6,FALSE()),"")</f>
        <v>1</v>
      </c>
      <c r="T824" t="str">
        <f>IF(COUNTIF(Customers!$A$2:$A$301,C824)=0,"Missing","OK")</f>
        <v>Missing</v>
      </c>
      <c r="U824" t="str">
        <f t="shared" si="37"/>
        <v>Mumbai</v>
      </c>
      <c r="V824">
        <f t="shared" si="38"/>
        <v>0</v>
      </c>
    </row>
    <row r="825" spans="1:22" ht="15" customHeight="1" x14ac:dyDescent="0.35">
      <c r="A825" s="3" t="s">
        <v>1239</v>
      </c>
      <c r="B825" s="4">
        <v>45465</v>
      </c>
      <c r="C825" s="3" t="s">
        <v>780</v>
      </c>
      <c r="D825" s="3" t="s">
        <v>63</v>
      </c>
      <c r="E825" s="3" t="s">
        <v>131</v>
      </c>
      <c r="F825" s="5">
        <v>7</v>
      </c>
      <c r="G825" s="5">
        <v>5490</v>
      </c>
      <c r="H825" s="5">
        <v>14.9</v>
      </c>
      <c r="I825" s="5">
        <v>32703.93</v>
      </c>
      <c r="J825" s="3" t="s">
        <v>26</v>
      </c>
      <c r="K825" s="3" t="s">
        <v>56</v>
      </c>
      <c r="L825" t="str">
        <f>IFERROR(VLOOKUP(D825,Products!$A$2:$F$61,3,FALSE()),"")</f>
        <v>Home</v>
      </c>
      <c r="M825" t="str">
        <f>IFERROR(VLOOKUP(E825,Sales_Reps!$A$2:$C$31,3,FALSE()),"")</f>
        <v>East</v>
      </c>
      <c r="N825">
        <f>IFERROR(VLOOKUP(D825,Products!$A$2:$F$61,4,FALSE()),"")</f>
        <v>2549</v>
      </c>
      <c r="O825" t="str">
        <f>IFERROR(VLOOKUP(C825,Customers!$A$2:$F$301,5,FALSE()),"")</f>
        <v>Corporate</v>
      </c>
      <c r="P825">
        <f>IFERROR(VLOOKUP(C825,Customers!$A$2:$F$301,3,FALSE()),"")</f>
        <v>41</v>
      </c>
      <c r="Q825">
        <f t="shared" si="36"/>
        <v>0.53570127504553733</v>
      </c>
      <c r="R825">
        <f>IF(AND(COUNTIF($A$2:$A$2027,A825)&gt;1,COUNTIF($A$2:A825,A825)=1),1,0)</f>
        <v>0</v>
      </c>
      <c r="S825" t="b">
        <f>IFERROR(VLOOKUP(D825,Products!$A$2:$F$61,6,FALSE()),"")</f>
        <v>1</v>
      </c>
      <c r="T825" t="str">
        <f>IF(COUNTIF(Customers!$A$2:$A$301,C825)=0,"Missing","OK")</f>
        <v>OK</v>
      </c>
      <c r="U825" t="str">
        <f t="shared" si="37"/>
        <v>Bengaluru</v>
      </c>
      <c r="V825">
        <f t="shared" si="38"/>
        <v>0</v>
      </c>
    </row>
    <row r="826" spans="1:22" ht="15" customHeight="1" x14ac:dyDescent="0.35">
      <c r="A826" s="3" t="s">
        <v>1240</v>
      </c>
      <c r="B826" s="4">
        <v>45415</v>
      </c>
      <c r="C826" s="3" t="s">
        <v>615</v>
      </c>
      <c r="D826" s="3" t="s">
        <v>187</v>
      </c>
      <c r="E826" s="3" t="s">
        <v>143</v>
      </c>
      <c r="F826" s="5">
        <v>5</v>
      </c>
      <c r="G826" s="5">
        <v>3870</v>
      </c>
      <c r="H826" s="5">
        <v>13.3</v>
      </c>
      <c r="I826" s="5">
        <v>16776.45</v>
      </c>
      <c r="J826" s="3" t="s">
        <v>79</v>
      </c>
      <c r="K826" s="3" t="s">
        <v>27</v>
      </c>
      <c r="L826" t="str">
        <f>IFERROR(VLOOKUP(D826,Products!$A$2:$F$61,3,FALSE()),"")</f>
        <v>Electronics</v>
      </c>
      <c r="M826" t="str">
        <f>IFERROR(VLOOKUP(E826,Sales_Reps!$A$2:$C$31,3,FALSE()),"")</f>
        <v>South</v>
      </c>
      <c r="N826">
        <f>IFERROR(VLOOKUP(D826,Products!$A$2:$F$61,4,FALSE()),"")</f>
        <v>1559</v>
      </c>
      <c r="O826" t="str">
        <f>IFERROR(VLOOKUP(C826,Customers!$A$2:$F$301,5,FALSE()),"")</f>
        <v>SMB</v>
      </c>
      <c r="P826">
        <f>IFERROR(VLOOKUP(C826,Customers!$A$2:$F$301,3,FALSE()),"")</f>
        <v>35</v>
      </c>
      <c r="Q826">
        <f t="shared" si="36"/>
        <v>0.59715762273901807</v>
      </c>
      <c r="R826">
        <f>IF(AND(COUNTIF($A$2:$A$2027,A826)&gt;1,COUNTIF($A$2:A826,A826)=1),1,0)</f>
        <v>0</v>
      </c>
      <c r="S826" t="b">
        <f>IFERROR(VLOOKUP(D826,Products!$A$2:$F$61,6,FALSE()),"")</f>
        <v>1</v>
      </c>
      <c r="T826" t="str">
        <f>IF(COUNTIF(Customers!$A$2:$A$301,C826)=0,"Missing","OK")</f>
        <v>OK</v>
      </c>
      <c r="U826" t="str">
        <f t="shared" si="37"/>
        <v>Pune</v>
      </c>
      <c r="V826">
        <f t="shared" si="38"/>
        <v>0</v>
      </c>
    </row>
    <row r="827" spans="1:22" ht="15" customHeight="1" x14ac:dyDescent="0.35">
      <c r="A827" s="3" t="s">
        <v>1241</v>
      </c>
      <c r="B827" s="4">
        <v>45372</v>
      </c>
      <c r="C827" s="3" t="s">
        <v>628</v>
      </c>
      <c r="D827" s="3" t="s">
        <v>319</v>
      </c>
      <c r="E827" s="3" t="s">
        <v>55</v>
      </c>
      <c r="F827" s="5">
        <v>2</v>
      </c>
      <c r="G827" s="5">
        <v>960</v>
      </c>
      <c r="H827" s="5">
        <v>17.5</v>
      </c>
      <c r="I827" s="5">
        <v>1584</v>
      </c>
      <c r="J827" s="3" t="s">
        <v>26</v>
      </c>
      <c r="K827" s="3" t="s">
        <v>72</v>
      </c>
      <c r="L827" t="str">
        <f>IFERROR(VLOOKUP(D827,Products!$A$2:$F$61,3,FALSE()),"")</f>
        <v>Beauty</v>
      </c>
      <c r="M827" t="str">
        <f>IFERROR(VLOOKUP(E827,Sales_Reps!$A$2:$C$31,3,FALSE()),"")</f>
        <v>West</v>
      </c>
      <c r="N827">
        <f>IFERROR(VLOOKUP(D827,Products!$A$2:$F$61,4,FALSE()),"")</f>
        <v>675</v>
      </c>
      <c r="O827" t="str">
        <f>IFERROR(VLOOKUP(C827,Customers!$A$2:$F$301,5,FALSE()),"")</f>
        <v>Retail</v>
      </c>
      <c r="P827">
        <f>IFERROR(VLOOKUP(C827,Customers!$A$2:$F$301,3,FALSE()),"")</f>
        <v>28</v>
      </c>
      <c r="Q827">
        <f t="shared" si="36"/>
        <v>0.296875</v>
      </c>
      <c r="R827">
        <f>IF(AND(COUNTIF($A$2:$A$2027,A827)&gt;1,COUNTIF($A$2:A827,A827)=1),1,0)</f>
        <v>0</v>
      </c>
      <c r="S827" t="b">
        <f>IFERROR(VLOOKUP(D827,Products!$A$2:$F$61,6,FALSE()),"")</f>
        <v>1</v>
      </c>
      <c r="T827" t="str">
        <f>IF(COUNTIF(Customers!$A$2:$A$301,C827)=0,"Missing","OK")</f>
        <v>OK</v>
      </c>
      <c r="U827" t="str">
        <f t="shared" si="37"/>
        <v>Hyderabad</v>
      </c>
      <c r="V827">
        <f t="shared" si="38"/>
        <v>0</v>
      </c>
    </row>
    <row r="828" spans="1:22" ht="15" customHeight="1" x14ac:dyDescent="0.35">
      <c r="A828" s="3" t="s">
        <v>1242</v>
      </c>
      <c r="B828" s="4">
        <v>45405</v>
      </c>
      <c r="C828" s="3" t="s">
        <v>994</v>
      </c>
      <c r="D828" s="3" t="s">
        <v>123</v>
      </c>
      <c r="E828" s="3" t="s">
        <v>154</v>
      </c>
      <c r="F828" s="5">
        <v>4</v>
      </c>
      <c r="G828" s="5">
        <v>4880</v>
      </c>
      <c r="H828" s="5">
        <v>12.2</v>
      </c>
      <c r="I828" s="5">
        <v>17138.560000000001</v>
      </c>
      <c r="J828" s="3" t="s">
        <v>79</v>
      </c>
      <c r="K828" s="3" t="s">
        <v>51</v>
      </c>
      <c r="L828" t="str">
        <f>IFERROR(VLOOKUP(D828,Products!$A$2:$F$61,3,FALSE()),"")</f>
        <v>Beauty</v>
      </c>
      <c r="M828" t="str">
        <f>IFERROR(VLOOKUP(E828,Sales_Reps!$A$2:$C$31,3,FALSE()),"")</f>
        <v>North</v>
      </c>
      <c r="N828">
        <f>IFERROR(VLOOKUP(D828,Products!$A$2:$F$61,4,FALSE()),"")</f>
        <v>2768</v>
      </c>
      <c r="O828" t="str">
        <f>IFERROR(VLOOKUP(C828,Customers!$A$2:$F$301,5,FALSE()),"")</f>
        <v>Retail</v>
      </c>
      <c r="P828">
        <f>IFERROR(VLOOKUP(C828,Customers!$A$2:$F$301,3,FALSE()),"")</f>
        <v>37</v>
      </c>
      <c r="Q828">
        <f t="shared" si="36"/>
        <v>0.43278688524590164</v>
      </c>
      <c r="R828">
        <f>IF(AND(COUNTIF($A$2:$A$2027,A828)&gt;1,COUNTIF($A$2:A828,A828)=1),1,0)</f>
        <v>0</v>
      </c>
      <c r="S828" t="b">
        <f>IFERROR(VLOOKUP(D828,Products!$A$2:$F$61,6,FALSE()),"")</f>
        <v>1</v>
      </c>
      <c r="T828" t="str">
        <f>IF(COUNTIF(Customers!$A$2:$A$301,C828)=0,"Missing","OK")</f>
        <v>OK</v>
      </c>
      <c r="U828" t="str">
        <f t="shared" si="37"/>
        <v>Mumbai</v>
      </c>
      <c r="V828">
        <f t="shared" si="38"/>
        <v>0</v>
      </c>
    </row>
    <row r="829" spans="1:22" ht="15" customHeight="1" x14ac:dyDescent="0.35">
      <c r="A829" s="3" t="s">
        <v>1243</v>
      </c>
      <c r="B829" s="4">
        <v>45419</v>
      </c>
      <c r="C829" s="3" t="s">
        <v>582</v>
      </c>
      <c r="D829" s="3" t="s">
        <v>90</v>
      </c>
      <c r="E829" s="3" t="s">
        <v>46</v>
      </c>
      <c r="F829" s="5">
        <v>5</v>
      </c>
      <c r="G829" s="5">
        <v>2400</v>
      </c>
      <c r="H829" s="5">
        <v>15</v>
      </c>
      <c r="I829" s="5">
        <v>10200</v>
      </c>
      <c r="J829" s="3" t="s">
        <v>26</v>
      </c>
      <c r="K829" s="3" t="s">
        <v>51</v>
      </c>
      <c r="L829" t="str">
        <f>IFERROR(VLOOKUP(D829,Products!$A$2:$F$61,3,FALSE()),"")</f>
        <v>Sports</v>
      </c>
      <c r="M829" t="str">
        <f>IFERROR(VLOOKUP(E829,Sales_Reps!$A$2:$C$31,3,FALSE()),"")</f>
        <v>North</v>
      </c>
      <c r="N829">
        <f>IFERROR(VLOOKUP(D829,Products!$A$2:$F$61,4,FALSE()),"")</f>
        <v>974</v>
      </c>
      <c r="O829" t="str">
        <f>IFERROR(VLOOKUP(C829,Customers!$A$2:$F$301,5,FALSE()),"")</f>
        <v>SMB</v>
      </c>
      <c r="P829">
        <f>IFERROR(VLOOKUP(C829,Customers!$A$2:$F$301,3,FALSE()),"")</f>
        <v>27</v>
      </c>
      <c r="Q829">
        <f t="shared" si="36"/>
        <v>0.59416666666666662</v>
      </c>
      <c r="R829">
        <f>IF(AND(COUNTIF($A$2:$A$2027,A829)&gt;1,COUNTIF($A$2:A829,A829)=1),1,0)</f>
        <v>0</v>
      </c>
      <c r="S829" t="b">
        <f>IFERROR(VLOOKUP(D829,Products!$A$2:$F$61,6,FALSE()),"")</f>
        <v>1</v>
      </c>
      <c r="T829" t="str">
        <f>IF(COUNTIF(Customers!$A$2:$A$301,C829)=0,"Missing","OK")</f>
        <v>OK</v>
      </c>
      <c r="U829" t="str">
        <f t="shared" si="37"/>
        <v>Mumbai</v>
      </c>
      <c r="V829">
        <f t="shared" si="38"/>
        <v>0</v>
      </c>
    </row>
    <row r="830" spans="1:22" ht="15" customHeight="1" x14ac:dyDescent="0.35">
      <c r="A830" s="3" t="s">
        <v>1244</v>
      </c>
      <c r="B830" s="4">
        <v>45522</v>
      </c>
      <c r="C830" s="3" t="s">
        <v>247</v>
      </c>
      <c r="D830" s="3" t="s">
        <v>231</v>
      </c>
      <c r="E830" s="3" t="s">
        <v>127</v>
      </c>
      <c r="F830" s="5">
        <v>9</v>
      </c>
      <c r="G830" s="5">
        <v>620</v>
      </c>
      <c r="H830" s="5">
        <v>20.399999999999999</v>
      </c>
      <c r="I830" s="5">
        <v>4441.68</v>
      </c>
      <c r="J830" s="3" t="s">
        <v>32</v>
      </c>
      <c r="K830" s="3" t="s">
        <v>27</v>
      </c>
      <c r="L830" t="str">
        <f>IFERROR(VLOOKUP(D830,Products!$A$2:$F$61,3,FALSE()),"")</f>
        <v>Apparel</v>
      </c>
      <c r="M830" t="str">
        <f>IFERROR(VLOOKUP(E830,Sales_Reps!$A$2:$C$31,3,FALSE()),"")</f>
        <v>South</v>
      </c>
      <c r="N830">
        <f>IFERROR(VLOOKUP(D830,Products!$A$2:$F$61,4,FALSE()),"")</f>
        <v>396</v>
      </c>
      <c r="O830" t="str">
        <f>IFERROR(VLOOKUP(C830,Customers!$A$2:$F$301,5,FALSE()),"")</f>
        <v>SMB</v>
      </c>
      <c r="P830">
        <f>IFERROR(VLOOKUP(C830,Customers!$A$2:$F$301,3,FALSE()),"")</f>
        <v>54</v>
      </c>
      <c r="Q830">
        <f t="shared" si="36"/>
        <v>0.36129032258064514</v>
      </c>
      <c r="R830">
        <f>IF(AND(COUNTIF($A$2:$A$2027,A830)&gt;1,COUNTIF($A$2:A830,A830)=1),1,0)</f>
        <v>0</v>
      </c>
      <c r="S830" t="b">
        <f>IFERROR(VLOOKUP(D830,Products!$A$2:$F$61,6,FALSE()),"")</f>
        <v>1</v>
      </c>
      <c r="T830" t="str">
        <f>IF(COUNTIF(Customers!$A$2:$A$301,C830)=0,"Missing","OK")</f>
        <v>OK</v>
      </c>
      <c r="U830" t="str">
        <f t="shared" si="37"/>
        <v>Pune</v>
      </c>
      <c r="V830">
        <f t="shared" si="38"/>
        <v>0</v>
      </c>
    </row>
    <row r="831" spans="1:22" ht="15" customHeight="1" x14ac:dyDescent="0.35">
      <c r="A831" s="3" t="s">
        <v>1245</v>
      </c>
      <c r="B831" s="4">
        <v>45513</v>
      </c>
      <c r="C831" s="3" t="s">
        <v>677</v>
      </c>
      <c r="D831" s="3" t="s">
        <v>209</v>
      </c>
      <c r="E831" s="3" t="s">
        <v>191</v>
      </c>
      <c r="F831" s="5">
        <v>1</v>
      </c>
      <c r="G831" s="5">
        <v>4610</v>
      </c>
      <c r="H831" s="5">
        <v>1.8</v>
      </c>
      <c r="I831" s="5">
        <v>4527.0200000000004</v>
      </c>
      <c r="J831" s="3" t="s">
        <v>32</v>
      </c>
      <c r="K831" s="3" t="s">
        <v>27</v>
      </c>
      <c r="L831" t="str">
        <f>IFERROR(VLOOKUP(D831,Products!$A$2:$F$61,3,FALSE()),"")</f>
        <v>Home</v>
      </c>
      <c r="M831" t="str">
        <f>IFERROR(VLOOKUP(E831,Sales_Reps!$A$2:$C$31,3,FALSE()),"")</f>
        <v>South</v>
      </c>
      <c r="N831">
        <f>IFERROR(VLOOKUP(D831,Products!$A$2:$F$61,4,FALSE()),"")</f>
        <v>1850</v>
      </c>
      <c r="O831" t="str">
        <f>IFERROR(VLOOKUP(C831,Customers!$A$2:$F$301,5,FALSE()),"")</f>
        <v>Retail</v>
      </c>
      <c r="P831">
        <f>IFERROR(VLOOKUP(C831,Customers!$A$2:$F$301,3,FALSE()),"")</f>
        <v>36</v>
      </c>
      <c r="Q831">
        <f t="shared" si="36"/>
        <v>0.59869848156182215</v>
      </c>
      <c r="R831">
        <f>IF(AND(COUNTIF($A$2:$A$2027,A831)&gt;1,COUNTIF($A$2:A831,A831)=1),1,0)</f>
        <v>0</v>
      </c>
      <c r="S831" t="b">
        <f>IFERROR(VLOOKUP(D831,Products!$A$2:$F$61,6,FALSE()),"")</f>
        <v>1</v>
      </c>
      <c r="T831" t="str">
        <f>IF(COUNTIF(Customers!$A$2:$A$301,C831)=0,"Missing","OK")</f>
        <v>OK</v>
      </c>
      <c r="U831" t="str">
        <f t="shared" si="37"/>
        <v>Pune</v>
      </c>
      <c r="V831">
        <f t="shared" si="38"/>
        <v>0</v>
      </c>
    </row>
    <row r="832" spans="1:22" ht="15" customHeight="1" x14ac:dyDescent="0.35">
      <c r="A832" s="3" t="s">
        <v>1246</v>
      </c>
      <c r="B832" s="4">
        <v>45500</v>
      </c>
      <c r="C832" s="3" t="s">
        <v>1247</v>
      </c>
      <c r="D832" s="3" t="s">
        <v>209</v>
      </c>
      <c r="E832" s="3" t="s">
        <v>37</v>
      </c>
      <c r="F832" s="5">
        <v>7</v>
      </c>
      <c r="G832" s="5">
        <v>4610</v>
      </c>
      <c r="H832" s="5">
        <v>27</v>
      </c>
      <c r="I832" s="5">
        <v>23557.1</v>
      </c>
      <c r="J832" s="3" t="s">
        <v>26</v>
      </c>
      <c r="K832" s="3" t="s">
        <v>33</v>
      </c>
      <c r="L832" t="str">
        <f>IFERROR(VLOOKUP(D832,Products!$A$2:$F$61,3,FALSE()),"")</f>
        <v>Home</v>
      </c>
      <c r="M832" t="str">
        <f>IFERROR(VLOOKUP(E832,Sales_Reps!$A$2:$C$31,3,FALSE()),"")</f>
        <v>South</v>
      </c>
      <c r="N832">
        <f>IFERROR(VLOOKUP(D832,Products!$A$2:$F$61,4,FALSE()),"")</f>
        <v>1850</v>
      </c>
      <c r="O832" t="str">
        <f>IFERROR(VLOOKUP(C832,Customers!$A$2:$F$301,5,FALSE()),"")</f>
        <v>SMB</v>
      </c>
      <c r="P832">
        <f>IFERROR(VLOOKUP(C832,Customers!$A$2:$F$301,3,FALSE()),"")</f>
        <v>51</v>
      </c>
      <c r="Q832">
        <f t="shared" si="36"/>
        <v>0.59869848156182215</v>
      </c>
      <c r="R832">
        <f>IF(AND(COUNTIF($A$2:$A$2027,A832)&gt;1,COUNTIF($A$2:A832,A832)=1),1,0)</f>
        <v>0</v>
      </c>
      <c r="S832" t="b">
        <f>IFERROR(VLOOKUP(D832,Products!$A$2:$F$61,6,FALSE()),"")</f>
        <v>1</v>
      </c>
      <c r="T832" t="str">
        <f>IF(COUNTIF(Customers!$A$2:$A$301,C832)=0,"Missing","OK")</f>
        <v>OK</v>
      </c>
      <c r="U832" t="str">
        <f t="shared" si="37"/>
        <v>Chennai</v>
      </c>
      <c r="V832">
        <f t="shared" si="38"/>
        <v>0</v>
      </c>
    </row>
    <row r="833" spans="1:22" ht="15" customHeight="1" x14ac:dyDescent="0.35">
      <c r="A833" s="3" t="s">
        <v>1248</v>
      </c>
      <c r="B833" s="4">
        <v>45608</v>
      </c>
      <c r="C833" s="3" t="s">
        <v>905</v>
      </c>
      <c r="D833" s="3" t="s">
        <v>66</v>
      </c>
      <c r="E833" s="3" t="s">
        <v>168</v>
      </c>
      <c r="F833" s="5">
        <v>6</v>
      </c>
      <c r="G833" s="5">
        <v>970</v>
      </c>
      <c r="H833" s="5">
        <v>4.7</v>
      </c>
      <c r="I833" s="5">
        <v>5546.46</v>
      </c>
      <c r="J833" s="3" t="s">
        <v>79</v>
      </c>
      <c r="K833" s="3" t="s">
        <v>72</v>
      </c>
      <c r="L833" t="str">
        <f>IFERROR(VLOOKUP(D833,Products!$A$2:$F$61,3,FALSE()),"")</f>
        <v>Grocery</v>
      </c>
      <c r="M833" t="str">
        <f>IFERROR(VLOOKUP(E833,Sales_Reps!$A$2:$C$31,3,FALSE()),"")</f>
        <v>West</v>
      </c>
      <c r="N833">
        <f>IFERROR(VLOOKUP(D833,Products!$A$2:$F$61,4,FALSE()),"")</f>
        <v>434</v>
      </c>
      <c r="O833" t="str">
        <f>IFERROR(VLOOKUP(C833,Customers!$A$2:$F$301,5,FALSE()),"")</f>
        <v>SMB</v>
      </c>
      <c r="P833">
        <f>IFERROR(VLOOKUP(C833,Customers!$A$2:$F$301,3,FALSE()),"")</f>
        <v>31</v>
      </c>
      <c r="Q833">
        <f t="shared" si="36"/>
        <v>0.5525773195876289</v>
      </c>
      <c r="R833">
        <f>IF(AND(COUNTIF($A$2:$A$2027,A833)&gt;1,COUNTIF($A$2:A833,A833)=1),1,0)</f>
        <v>0</v>
      </c>
      <c r="S833" t="b">
        <f>IFERROR(VLOOKUP(D833,Products!$A$2:$F$61,6,FALSE()),"")</f>
        <v>1</v>
      </c>
      <c r="T833" t="str">
        <f>IF(COUNTIF(Customers!$A$2:$A$301,C833)=0,"Missing","OK")</f>
        <v>OK</v>
      </c>
      <c r="U833" t="str">
        <f t="shared" si="37"/>
        <v>Hyderabad</v>
      </c>
      <c r="V833">
        <f t="shared" si="38"/>
        <v>0</v>
      </c>
    </row>
    <row r="834" spans="1:22" ht="15" customHeight="1" x14ac:dyDescent="0.35">
      <c r="A834" s="3" t="s">
        <v>1249</v>
      </c>
      <c r="B834" s="4">
        <v>45362</v>
      </c>
      <c r="C834" s="3" t="s">
        <v>411</v>
      </c>
      <c r="D834" s="3" t="s">
        <v>59</v>
      </c>
      <c r="E834" s="3" t="s">
        <v>140</v>
      </c>
      <c r="F834" s="5">
        <v>8</v>
      </c>
      <c r="G834" s="5">
        <v>1430</v>
      </c>
      <c r="H834" s="5">
        <v>8.6999999999999993</v>
      </c>
      <c r="I834" s="5">
        <v>10444.719999999999</v>
      </c>
      <c r="J834" s="3" t="s">
        <v>26</v>
      </c>
      <c r="K834" s="3" t="s">
        <v>33</v>
      </c>
      <c r="L834" t="str">
        <f>IFERROR(VLOOKUP(D834,Products!$A$2:$F$61,3,FALSE()),"")</f>
        <v>Electronics</v>
      </c>
      <c r="M834" t="str">
        <f>IFERROR(VLOOKUP(E834,Sales_Reps!$A$2:$C$31,3,FALSE()),"")</f>
        <v>West</v>
      </c>
      <c r="N834">
        <f>IFERROR(VLOOKUP(D834,Products!$A$2:$F$61,4,FALSE()),"")</f>
        <v>861</v>
      </c>
      <c r="O834" t="str">
        <f>IFERROR(VLOOKUP(C834,Customers!$A$2:$F$301,5,FALSE()),"")</f>
        <v>Corporate</v>
      </c>
      <c r="P834">
        <f>IFERROR(VLOOKUP(C834,Customers!$A$2:$F$301,3,FALSE()),"")</f>
        <v>35</v>
      </c>
      <c r="Q834">
        <f t="shared" ref="Q834:Q897" si="39">IFERROR((G834-N834)/G834,"")</f>
        <v>0.39790209790209791</v>
      </c>
      <c r="R834">
        <f>IF(AND(COUNTIF($A$2:$A$2027,A834)&gt;1,COUNTIF($A$2:A834,A834)=1),1,0)</f>
        <v>0</v>
      </c>
      <c r="S834" t="b">
        <f>IFERROR(VLOOKUP(D834,Products!$A$2:$F$61,6,FALSE()),"")</f>
        <v>1</v>
      </c>
      <c r="T834" t="str">
        <f>IF(COUNTIF(Customers!$A$2:$A$301,C834)=0,"Missing","OK")</f>
        <v>OK</v>
      </c>
      <c r="U834" t="str">
        <f t="shared" ref="U834:U897" si="40">IF(K834="","",PROPER(TRIM(K834)))</f>
        <v>Chennai</v>
      </c>
      <c r="V834">
        <f t="shared" ref="V834:V897" si="41">IF(AND(U834="Bengaluru",L834="Grocery"),I834,0)</f>
        <v>0</v>
      </c>
    </row>
    <row r="835" spans="1:22" ht="15" customHeight="1" x14ac:dyDescent="0.35">
      <c r="A835" s="3" t="s">
        <v>1250</v>
      </c>
      <c r="B835" s="4">
        <v>45348</v>
      </c>
      <c r="C835" s="3" t="s">
        <v>158</v>
      </c>
      <c r="D835" s="3" t="s">
        <v>173</v>
      </c>
      <c r="E835" s="3" t="s">
        <v>212</v>
      </c>
      <c r="F835" s="5">
        <v>5</v>
      </c>
      <c r="G835" s="5">
        <v>3780</v>
      </c>
      <c r="H835" s="5">
        <v>2.9</v>
      </c>
      <c r="I835" s="5">
        <v>18351.900000000001</v>
      </c>
      <c r="J835" s="3" t="s">
        <v>26</v>
      </c>
      <c r="K835" s="3" t="s">
        <v>38</v>
      </c>
      <c r="L835" t="str">
        <f>IFERROR(VLOOKUP(D835,Products!$A$2:$F$61,3,FALSE()),"")</f>
        <v>Grocery</v>
      </c>
      <c r="M835" t="str">
        <f>IFERROR(VLOOKUP(E835,Sales_Reps!$A$2:$C$31,3,FALSE()),"")</f>
        <v>South</v>
      </c>
      <c r="N835">
        <f>IFERROR(VLOOKUP(D835,Products!$A$2:$F$61,4,FALSE()),"")</f>
        <v>2436</v>
      </c>
      <c r="O835" t="str">
        <f>IFERROR(VLOOKUP(C835,Customers!$A$2:$F$301,5,FALSE()),"")</f>
        <v>SMB</v>
      </c>
      <c r="P835">
        <f>IFERROR(VLOOKUP(C835,Customers!$A$2:$F$301,3,FALSE()),"")</f>
        <v>50</v>
      </c>
      <c r="Q835">
        <f t="shared" si="39"/>
        <v>0.35555555555555557</v>
      </c>
      <c r="R835">
        <f>IF(AND(COUNTIF($A$2:$A$2027,A835)&gt;1,COUNTIF($A$2:A835,A835)=1),1,0)</f>
        <v>0</v>
      </c>
      <c r="S835" t="b">
        <f>IFERROR(VLOOKUP(D835,Products!$A$2:$F$61,6,FALSE()),"")</f>
        <v>1</v>
      </c>
      <c r="T835" t="str">
        <f>IF(COUNTIF(Customers!$A$2:$A$301,C835)=0,"Missing","OK")</f>
        <v>OK</v>
      </c>
      <c r="U835" t="str">
        <f t="shared" si="40"/>
        <v>Delhi</v>
      </c>
      <c r="V835">
        <f t="shared" si="41"/>
        <v>0</v>
      </c>
    </row>
    <row r="836" spans="1:22" ht="15" customHeight="1" x14ac:dyDescent="0.35">
      <c r="A836" s="3" t="s">
        <v>1251</v>
      </c>
      <c r="B836" s="4">
        <v>45532</v>
      </c>
      <c r="C836" s="3" t="s">
        <v>440</v>
      </c>
      <c r="D836" s="3" t="s">
        <v>198</v>
      </c>
      <c r="E836" s="3" t="s">
        <v>93</v>
      </c>
      <c r="F836" s="5">
        <v>2</v>
      </c>
      <c r="G836" s="5">
        <v>1540</v>
      </c>
      <c r="H836" s="5">
        <v>12.7</v>
      </c>
      <c r="I836" s="5">
        <v>2688.84</v>
      </c>
      <c r="J836" s="3" t="s">
        <v>26</v>
      </c>
      <c r="K836" s="3" t="s">
        <v>72</v>
      </c>
      <c r="L836" t="str">
        <f>IFERROR(VLOOKUP(D836,Products!$A$2:$F$61,3,FALSE()),"")</f>
        <v>Beauty</v>
      </c>
      <c r="M836" t="str">
        <f>IFERROR(VLOOKUP(E836,Sales_Reps!$A$2:$C$31,3,FALSE()),"")</f>
        <v>East</v>
      </c>
      <c r="N836">
        <f>IFERROR(VLOOKUP(D836,Products!$A$2:$F$61,4,FALSE()),"")</f>
        <v>647</v>
      </c>
      <c r="O836" t="str">
        <f>IFERROR(VLOOKUP(C836,Customers!$A$2:$F$301,5,FALSE()),"")</f>
        <v>SMB</v>
      </c>
      <c r="P836">
        <f>IFERROR(VLOOKUP(C836,Customers!$A$2:$F$301,3,FALSE()),"")</f>
        <v>65</v>
      </c>
      <c r="Q836">
        <f t="shared" si="39"/>
        <v>0.57987012987012987</v>
      </c>
      <c r="R836">
        <f>IF(AND(COUNTIF($A$2:$A$2027,A836)&gt;1,COUNTIF($A$2:A836,A836)=1),1,0)</f>
        <v>0</v>
      </c>
      <c r="S836" t="b">
        <f>IFERROR(VLOOKUP(D836,Products!$A$2:$F$61,6,FALSE()),"")</f>
        <v>0</v>
      </c>
      <c r="T836" t="str">
        <f>IF(COUNTIF(Customers!$A$2:$A$301,C836)=0,"Missing","OK")</f>
        <v>OK</v>
      </c>
      <c r="U836" t="str">
        <f t="shared" si="40"/>
        <v>Hyderabad</v>
      </c>
      <c r="V836">
        <f t="shared" si="41"/>
        <v>0</v>
      </c>
    </row>
    <row r="837" spans="1:22" ht="15" customHeight="1" x14ac:dyDescent="0.35">
      <c r="A837" s="3" t="s">
        <v>1252</v>
      </c>
      <c r="B837" s="4">
        <v>45492</v>
      </c>
      <c r="C837" s="3" t="s">
        <v>1111</v>
      </c>
      <c r="D837" s="3" t="s">
        <v>103</v>
      </c>
      <c r="E837" s="3" t="s">
        <v>131</v>
      </c>
      <c r="F837" s="5">
        <v>9</v>
      </c>
      <c r="G837" s="5">
        <v>1080</v>
      </c>
      <c r="H837" s="5">
        <v>11.2</v>
      </c>
      <c r="I837" s="5">
        <v>8631.36</v>
      </c>
      <c r="J837" s="3" t="s">
        <v>79</v>
      </c>
      <c r="K837" s="3" t="s">
        <v>27</v>
      </c>
      <c r="L837" t="str">
        <f>IFERROR(VLOOKUP(D837,Products!$A$2:$F$61,3,FALSE()),"")</f>
        <v>Home</v>
      </c>
      <c r="M837" t="str">
        <f>IFERROR(VLOOKUP(E837,Sales_Reps!$A$2:$C$31,3,FALSE()),"")</f>
        <v>East</v>
      </c>
      <c r="N837">
        <f>IFERROR(VLOOKUP(D837,Products!$A$2:$F$61,4,FALSE()),"")</f>
        <v>519</v>
      </c>
      <c r="O837" t="str">
        <f>IFERROR(VLOOKUP(C837,Customers!$A$2:$F$301,5,FALSE()),"")</f>
        <v>Retail</v>
      </c>
      <c r="P837">
        <f>IFERROR(VLOOKUP(C837,Customers!$A$2:$F$301,3,FALSE()),"")</f>
        <v>39</v>
      </c>
      <c r="Q837">
        <f t="shared" si="39"/>
        <v>0.51944444444444449</v>
      </c>
      <c r="R837">
        <f>IF(AND(COUNTIF($A$2:$A$2027,A837)&gt;1,COUNTIF($A$2:A837,A837)=1),1,0)</f>
        <v>0</v>
      </c>
      <c r="S837" t="b">
        <f>IFERROR(VLOOKUP(D837,Products!$A$2:$F$61,6,FALSE()),"")</f>
        <v>1</v>
      </c>
      <c r="T837" t="str">
        <f>IF(COUNTIF(Customers!$A$2:$A$301,C837)=0,"Missing","OK")</f>
        <v>OK</v>
      </c>
      <c r="U837" t="str">
        <f t="shared" si="40"/>
        <v>Pune</v>
      </c>
      <c r="V837">
        <f t="shared" si="41"/>
        <v>0</v>
      </c>
    </row>
    <row r="838" spans="1:22" ht="15" customHeight="1" x14ac:dyDescent="0.35">
      <c r="A838" s="3" t="s">
        <v>1253</v>
      </c>
      <c r="B838" s="4">
        <v>45368</v>
      </c>
      <c r="C838" s="3" t="s">
        <v>887</v>
      </c>
      <c r="D838" s="3" t="s">
        <v>90</v>
      </c>
      <c r="E838" s="3" t="s">
        <v>25</v>
      </c>
      <c r="F838" s="5">
        <v>3</v>
      </c>
      <c r="G838" s="5">
        <v>2400</v>
      </c>
      <c r="H838" s="5">
        <v>28.6</v>
      </c>
      <c r="I838" s="5">
        <v>5140.8</v>
      </c>
      <c r="J838" s="3" t="s">
        <v>26</v>
      </c>
      <c r="K838" s="3" t="s">
        <v>27</v>
      </c>
      <c r="L838" t="str">
        <f>IFERROR(VLOOKUP(D838,Products!$A$2:$F$61,3,FALSE()),"")</f>
        <v>Sports</v>
      </c>
      <c r="M838" t="str">
        <f>IFERROR(VLOOKUP(E838,Sales_Reps!$A$2:$C$31,3,FALSE()),"")</f>
        <v>North</v>
      </c>
      <c r="N838">
        <f>IFERROR(VLOOKUP(D838,Products!$A$2:$F$61,4,FALSE()),"")</f>
        <v>974</v>
      </c>
      <c r="O838" t="str">
        <f>IFERROR(VLOOKUP(C838,Customers!$A$2:$F$301,5,FALSE()),"")</f>
        <v>Retail</v>
      </c>
      <c r="P838">
        <f>IFERROR(VLOOKUP(C838,Customers!$A$2:$F$301,3,FALSE()),"")</f>
        <v>65</v>
      </c>
      <c r="Q838">
        <f t="shared" si="39"/>
        <v>0.59416666666666662</v>
      </c>
      <c r="R838">
        <f>IF(AND(COUNTIF($A$2:$A$2027,A838)&gt;1,COUNTIF($A$2:A838,A838)=1),1,0)</f>
        <v>0</v>
      </c>
      <c r="S838" t="b">
        <f>IFERROR(VLOOKUP(D838,Products!$A$2:$F$61,6,FALSE()),"")</f>
        <v>1</v>
      </c>
      <c r="T838" t="str">
        <f>IF(COUNTIF(Customers!$A$2:$A$301,C838)=0,"Missing","OK")</f>
        <v>OK</v>
      </c>
      <c r="U838" t="str">
        <f t="shared" si="40"/>
        <v>Pune</v>
      </c>
      <c r="V838">
        <f t="shared" si="41"/>
        <v>0</v>
      </c>
    </row>
    <row r="839" spans="1:22" ht="15" customHeight="1" x14ac:dyDescent="0.35">
      <c r="A839" s="3" t="s">
        <v>1254</v>
      </c>
      <c r="B839" s="4">
        <v>45448</v>
      </c>
      <c r="C839" s="3" t="s">
        <v>92</v>
      </c>
      <c r="D839" s="3" t="s">
        <v>103</v>
      </c>
      <c r="E839" s="3" t="s">
        <v>242</v>
      </c>
      <c r="F839" s="5">
        <v>5</v>
      </c>
      <c r="G839" s="5">
        <v>1080</v>
      </c>
      <c r="H839" s="5">
        <v>18.3</v>
      </c>
      <c r="I839" s="5">
        <v>4411.8</v>
      </c>
      <c r="J839" s="3" t="s">
        <v>26</v>
      </c>
      <c r="K839" s="3" t="s">
        <v>56</v>
      </c>
      <c r="L839" t="str">
        <f>IFERROR(VLOOKUP(D839,Products!$A$2:$F$61,3,FALSE()),"")</f>
        <v>Home</v>
      </c>
      <c r="M839" t="str">
        <f>IFERROR(VLOOKUP(E839,Sales_Reps!$A$2:$C$31,3,FALSE()),"")</f>
        <v>East</v>
      </c>
      <c r="N839">
        <f>IFERROR(VLOOKUP(D839,Products!$A$2:$F$61,4,FALSE()),"")</f>
        <v>519</v>
      </c>
      <c r="O839" t="str">
        <f>IFERROR(VLOOKUP(C839,Customers!$A$2:$F$301,5,FALSE()),"")</f>
        <v>SMB</v>
      </c>
      <c r="P839">
        <f>IFERROR(VLOOKUP(C839,Customers!$A$2:$F$301,3,FALSE()),"")</f>
        <v>46</v>
      </c>
      <c r="Q839">
        <f t="shared" si="39"/>
        <v>0.51944444444444449</v>
      </c>
      <c r="R839">
        <f>IF(AND(COUNTIF($A$2:$A$2027,A839)&gt;1,COUNTIF($A$2:A839,A839)=1),1,0)</f>
        <v>0</v>
      </c>
      <c r="S839" t="b">
        <f>IFERROR(VLOOKUP(D839,Products!$A$2:$F$61,6,FALSE()),"")</f>
        <v>1</v>
      </c>
      <c r="T839" t="str">
        <f>IF(COUNTIF(Customers!$A$2:$A$301,C839)=0,"Missing","OK")</f>
        <v>OK</v>
      </c>
      <c r="U839" t="str">
        <f t="shared" si="40"/>
        <v>Bengaluru</v>
      </c>
      <c r="V839">
        <f t="shared" si="41"/>
        <v>0</v>
      </c>
    </row>
    <row r="840" spans="1:22" ht="15" customHeight="1" x14ac:dyDescent="0.35">
      <c r="A840" s="3" t="s">
        <v>1255</v>
      </c>
      <c r="B840" s="4">
        <v>45610</v>
      </c>
      <c r="C840" s="3" t="s">
        <v>340</v>
      </c>
      <c r="D840" s="3" t="s">
        <v>70</v>
      </c>
      <c r="E840" s="3" t="s">
        <v>282</v>
      </c>
      <c r="F840" s="5">
        <v>7</v>
      </c>
      <c r="G840" s="5">
        <v>2270</v>
      </c>
      <c r="H840" s="5">
        <v>1.7</v>
      </c>
      <c r="I840" s="5">
        <v>15619.87</v>
      </c>
      <c r="J840" s="3" t="s">
        <v>79</v>
      </c>
      <c r="K840" s="3" t="s">
        <v>33</v>
      </c>
      <c r="L840" t="str">
        <f>IFERROR(VLOOKUP(D840,Products!$A$2:$F$61,3,FALSE()),"")</f>
        <v>Grocery</v>
      </c>
      <c r="M840" t="str">
        <f>IFERROR(VLOOKUP(E840,Sales_Reps!$A$2:$C$31,3,FALSE()),"")</f>
        <v>West</v>
      </c>
      <c r="N840">
        <f>IFERROR(VLOOKUP(D840,Products!$A$2:$F$61,4,FALSE()),"")</f>
        <v>1203</v>
      </c>
      <c r="O840" t="str">
        <f>IFERROR(VLOOKUP(C840,Customers!$A$2:$F$301,5,FALSE()),"")</f>
        <v>SMB</v>
      </c>
      <c r="P840">
        <f>IFERROR(VLOOKUP(C840,Customers!$A$2:$F$301,3,FALSE()),"")</f>
        <v>51</v>
      </c>
      <c r="Q840">
        <f t="shared" si="39"/>
        <v>0.47004405286343615</v>
      </c>
      <c r="R840">
        <f>IF(AND(COUNTIF($A$2:$A$2027,A840)&gt;1,COUNTIF($A$2:A840,A840)=1),1,0)</f>
        <v>0</v>
      </c>
      <c r="S840" t="b">
        <f>IFERROR(VLOOKUP(D840,Products!$A$2:$F$61,6,FALSE()),"")</f>
        <v>1</v>
      </c>
      <c r="T840" t="str">
        <f>IF(COUNTIF(Customers!$A$2:$A$301,C840)=0,"Missing","OK")</f>
        <v>OK</v>
      </c>
      <c r="U840" t="str">
        <f t="shared" si="40"/>
        <v>Chennai</v>
      </c>
      <c r="V840">
        <f t="shared" si="41"/>
        <v>0</v>
      </c>
    </row>
    <row r="841" spans="1:22" ht="15" customHeight="1" x14ac:dyDescent="0.35">
      <c r="A841" s="3" t="s">
        <v>1256</v>
      </c>
      <c r="B841" s="4">
        <v>45438</v>
      </c>
      <c r="C841" s="3" t="s">
        <v>582</v>
      </c>
      <c r="D841" s="3" t="s">
        <v>41</v>
      </c>
      <c r="E841" s="3" t="s">
        <v>140</v>
      </c>
      <c r="F841" s="5">
        <v>8</v>
      </c>
      <c r="G841" s="5">
        <v>3660</v>
      </c>
      <c r="H841" s="5">
        <v>19.100000000000001</v>
      </c>
      <c r="I841" s="5">
        <v>23687.52</v>
      </c>
      <c r="J841" s="3" t="s">
        <v>79</v>
      </c>
      <c r="K841" s="3" t="s">
        <v>51</v>
      </c>
      <c r="L841" t="str">
        <f>IFERROR(VLOOKUP(D841,Products!$A$2:$F$61,3,FALSE()),"")</f>
        <v>Grocery</v>
      </c>
      <c r="M841" t="str">
        <f>IFERROR(VLOOKUP(E841,Sales_Reps!$A$2:$C$31,3,FALSE()),"")</f>
        <v>West</v>
      </c>
      <c r="N841">
        <f>IFERROR(VLOOKUP(D841,Products!$A$2:$F$61,4,FALSE()),"")</f>
        <v>2214</v>
      </c>
      <c r="O841" t="str">
        <f>IFERROR(VLOOKUP(C841,Customers!$A$2:$F$301,5,FALSE()),"")</f>
        <v>SMB</v>
      </c>
      <c r="P841">
        <f>IFERROR(VLOOKUP(C841,Customers!$A$2:$F$301,3,FALSE()),"")</f>
        <v>27</v>
      </c>
      <c r="Q841">
        <f t="shared" si="39"/>
        <v>0.39508196721311473</v>
      </c>
      <c r="R841">
        <f>IF(AND(COUNTIF($A$2:$A$2027,A841)&gt;1,COUNTIF($A$2:A841,A841)=1),1,0)</f>
        <v>0</v>
      </c>
      <c r="S841" t="b">
        <f>IFERROR(VLOOKUP(D841,Products!$A$2:$F$61,6,FALSE()),"")</f>
        <v>0</v>
      </c>
      <c r="T841" t="str">
        <f>IF(COUNTIF(Customers!$A$2:$A$301,C841)=0,"Missing","OK")</f>
        <v>OK</v>
      </c>
      <c r="U841" t="str">
        <f t="shared" si="40"/>
        <v>Mumbai</v>
      </c>
      <c r="V841">
        <f t="shared" si="41"/>
        <v>0</v>
      </c>
    </row>
    <row r="842" spans="1:22" ht="15" customHeight="1" x14ac:dyDescent="0.35">
      <c r="A842" s="3" t="s">
        <v>1257</v>
      </c>
      <c r="B842" s="4">
        <v>45477</v>
      </c>
      <c r="C842" s="3" t="s">
        <v>472</v>
      </c>
      <c r="D842" s="3" t="s">
        <v>82</v>
      </c>
      <c r="E842" s="3" t="s">
        <v>87</v>
      </c>
      <c r="F842" s="5">
        <v>5</v>
      </c>
      <c r="G842" s="5">
        <v>3250</v>
      </c>
      <c r="H842" s="5">
        <v>12.9</v>
      </c>
      <c r="I842" s="5">
        <v>14153.75</v>
      </c>
      <c r="J842" s="3" t="s">
        <v>26</v>
      </c>
      <c r="K842" s="3" t="s">
        <v>38</v>
      </c>
      <c r="L842" t="str">
        <f>IFERROR(VLOOKUP(D842,Products!$A$2:$F$61,3,FALSE()),"")</f>
        <v>Home</v>
      </c>
      <c r="M842" t="str">
        <f>IFERROR(VLOOKUP(E842,Sales_Reps!$A$2:$C$31,3,FALSE()),"")</f>
        <v>North</v>
      </c>
      <c r="N842">
        <f>IFERROR(VLOOKUP(D842,Products!$A$2:$F$61,4,FALSE()),"")</f>
        <v>1556</v>
      </c>
      <c r="O842" t="str">
        <f>IFERROR(VLOOKUP(C842,Customers!$A$2:$F$301,5,FALSE()),"")</f>
        <v>SMB</v>
      </c>
      <c r="P842">
        <f>IFERROR(VLOOKUP(C842,Customers!$A$2:$F$301,3,FALSE()),"")</f>
        <v>48</v>
      </c>
      <c r="Q842">
        <f t="shared" si="39"/>
        <v>0.52123076923076928</v>
      </c>
      <c r="R842">
        <f>IF(AND(COUNTIF($A$2:$A$2027,A842)&gt;1,COUNTIF($A$2:A842,A842)=1),1,0)</f>
        <v>0</v>
      </c>
      <c r="S842" t="b">
        <f>IFERROR(VLOOKUP(D842,Products!$A$2:$F$61,6,FALSE()),"")</f>
        <v>1</v>
      </c>
      <c r="T842" t="str">
        <f>IF(COUNTIF(Customers!$A$2:$A$301,C842)=0,"Missing","OK")</f>
        <v>OK</v>
      </c>
      <c r="U842" t="str">
        <f t="shared" si="40"/>
        <v>Delhi</v>
      </c>
      <c r="V842">
        <f t="shared" si="41"/>
        <v>0</v>
      </c>
    </row>
    <row r="843" spans="1:22" ht="15" customHeight="1" x14ac:dyDescent="0.35">
      <c r="A843" s="3" t="s">
        <v>1258</v>
      </c>
      <c r="B843" s="4">
        <v>45328</v>
      </c>
      <c r="C843" s="3" t="s">
        <v>502</v>
      </c>
      <c r="D843" s="3" t="s">
        <v>115</v>
      </c>
      <c r="E843" s="3" t="s">
        <v>264</v>
      </c>
      <c r="F843" s="5">
        <v>4</v>
      </c>
      <c r="G843" s="5">
        <v>1650</v>
      </c>
      <c r="H843" s="5">
        <v>4.0999999999999996</v>
      </c>
      <c r="I843" s="5">
        <v>6329.4</v>
      </c>
      <c r="J843" s="3" t="s">
        <v>26</v>
      </c>
      <c r="K843" s="3" t="s">
        <v>27</v>
      </c>
      <c r="L843" t="str">
        <f>IFERROR(VLOOKUP(D843,Products!$A$2:$F$61,3,FALSE()),"")</f>
        <v>Beauty</v>
      </c>
      <c r="M843" t="str">
        <f>IFERROR(VLOOKUP(E843,Sales_Reps!$A$2:$C$31,3,FALSE()),"")</f>
        <v>South</v>
      </c>
      <c r="N843">
        <f>IFERROR(VLOOKUP(D843,Products!$A$2:$F$61,4,FALSE()),"")</f>
        <v>1222</v>
      </c>
      <c r="O843" t="str">
        <f>IFERROR(VLOOKUP(C843,Customers!$A$2:$F$301,5,FALSE()),"")</f>
        <v>SMB</v>
      </c>
      <c r="P843">
        <f>IFERROR(VLOOKUP(C843,Customers!$A$2:$F$301,3,FALSE()),"")</f>
        <v>24</v>
      </c>
      <c r="Q843">
        <f t="shared" si="39"/>
        <v>0.2593939393939394</v>
      </c>
      <c r="R843">
        <f>IF(AND(COUNTIF($A$2:$A$2027,A843)&gt;1,COUNTIF($A$2:A843,A843)=1),1,0)</f>
        <v>0</v>
      </c>
      <c r="S843" t="b">
        <f>IFERROR(VLOOKUP(D843,Products!$A$2:$F$61,6,FALSE()),"")</f>
        <v>1</v>
      </c>
      <c r="T843" t="str">
        <f>IF(COUNTIF(Customers!$A$2:$A$301,C843)=0,"Missing","OK")</f>
        <v>OK</v>
      </c>
      <c r="U843" t="str">
        <f t="shared" si="40"/>
        <v>Pune</v>
      </c>
      <c r="V843">
        <f t="shared" si="41"/>
        <v>0</v>
      </c>
    </row>
    <row r="844" spans="1:22" ht="15" customHeight="1" x14ac:dyDescent="0.35">
      <c r="A844" s="3" t="s">
        <v>1259</v>
      </c>
      <c r="B844" s="4">
        <v>45624</v>
      </c>
      <c r="C844" s="3" t="s">
        <v>233</v>
      </c>
      <c r="D844" s="3" t="s">
        <v>382</v>
      </c>
      <c r="E844" s="3" t="s">
        <v>87</v>
      </c>
      <c r="F844" s="5">
        <v>6</v>
      </c>
      <c r="G844" s="5">
        <v>5080</v>
      </c>
      <c r="H844" s="5">
        <v>3</v>
      </c>
      <c r="I844" s="5">
        <v>29565.599999999999</v>
      </c>
      <c r="J844" s="3" t="s">
        <v>26</v>
      </c>
      <c r="K844" s="3" t="s">
        <v>72</v>
      </c>
      <c r="L844" t="str">
        <f>IFERROR(VLOOKUP(D844,Products!$A$2:$F$61,3,FALSE()),"")</f>
        <v>Home</v>
      </c>
      <c r="M844" t="str">
        <f>IFERROR(VLOOKUP(E844,Sales_Reps!$A$2:$C$31,3,FALSE()),"")</f>
        <v>North</v>
      </c>
      <c r="N844">
        <f>IFERROR(VLOOKUP(D844,Products!$A$2:$F$61,4,FALSE()),"")</f>
        <v>2459</v>
      </c>
      <c r="O844" t="str">
        <f>IFERROR(VLOOKUP(C844,Customers!$A$2:$F$301,5,FALSE()),"")</f>
        <v>SMB</v>
      </c>
      <c r="P844">
        <f>IFERROR(VLOOKUP(C844,Customers!$A$2:$F$301,3,FALSE()),"")</f>
        <v>43</v>
      </c>
      <c r="Q844">
        <f t="shared" si="39"/>
        <v>0.51594488188976373</v>
      </c>
      <c r="R844">
        <f>IF(AND(COUNTIF($A$2:$A$2027,A844)&gt;1,COUNTIF($A$2:A844,A844)=1),1,0)</f>
        <v>0</v>
      </c>
      <c r="S844" t="b">
        <f>IFERROR(VLOOKUP(D844,Products!$A$2:$F$61,6,FALSE()),"")</f>
        <v>1</v>
      </c>
      <c r="T844" t="str">
        <f>IF(COUNTIF(Customers!$A$2:$A$301,C844)=0,"Missing","OK")</f>
        <v>OK</v>
      </c>
      <c r="U844" t="str">
        <f t="shared" si="40"/>
        <v>Hyderabad</v>
      </c>
      <c r="V844">
        <f t="shared" si="41"/>
        <v>0</v>
      </c>
    </row>
    <row r="845" spans="1:22" ht="15" customHeight="1" x14ac:dyDescent="0.35">
      <c r="A845" s="3" t="s">
        <v>1260</v>
      </c>
      <c r="B845" s="4">
        <v>45614</v>
      </c>
      <c r="C845" s="3" t="s">
        <v>929</v>
      </c>
      <c r="D845" s="3" t="s">
        <v>100</v>
      </c>
      <c r="E845" s="3" t="s">
        <v>282</v>
      </c>
      <c r="F845" s="5">
        <v>8</v>
      </c>
      <c r="G845" s="5">
        <v>3450</v>
      </c>
      <c r="H845" s="5">
        <v>20.9</v>
      </c>
      <c r="I845" s="5">
        <v>21831.599999999999</v>
      </c>
      <c r="J845" s="3" t="s">
        <v>26</v>
      </c>
      <c r="K845" s="3" t="s">
        <v>56</v>
      </c>
      <c r="L845" t="str">
        <f>IFERROR(VLOOKUP(D845,Products!$A$2:$F$61,3,FALSE()),"")</f>
        <v>Sports</v>
      </c>
      <c r="M845" t="str">
        <f>IFERROR(VLOOKUP(E845,Sales_Reps!$A$2:$C$31,3,FALSE()),"")</f>
        <v>West</v>
      </c>
      <c r="N845">
        <f>IFERROR(VLOOKUP(D845,Products!$A$2:$F$61,4,FALSE()),"")</f>
        <v>2467</v>
      </c>
      <c r="O845" t="str">
        <f>IFERROR(VLOOKUP(C845,Customers!$A$2:$F$301,5,FALSE()),"")</f>
        <v>Retail</v>
      </c>
      <c r="P845">
        <f>IFERROR(VLOOKUP(C845,Customers!$A$2:$F$301,3,FALSE()),"")</f>
        <v>61</v>
      </c>
      <c r="Q845">
        <f t="shared" si="39"/>
        <v>0.28492753623188405</v>
      </c>
      <c r="R845">
        <f>IF(AND(COUNTIF($A$2:$A$2027,A845)&gt;1,COUNTIF($A$2:A845,A845)=1),1,0)</f>
        <v>0</v>
      </c>
      <c r="S845" t="b">
        <f>IFERROR(VLOOKUP(D845,Products!$A$2:$F$61,6,FALSE()),"")</f>
        <v>1</v>
      </c>
      <c r="T845" t="str">
        <f>IF(COUNTIF(Customers!$A$2:$A$301,C845)=0,"Missing","OK")</f>
        <v>OK</v>
      </c>
      <c r="U845" t="str">
        <f t="shared" si="40"/>
        <v>Bengaluru</v>
      </c>
      <c r="V845">
        <f t="shared" si="41"/>
        <v>0</v>
      </c>
    </row>
    <row r="846" spans="1:22" ht="15" customHeight="1" x14ac:dyDescent="0.35">
      <c r="A846" s="3" t="s">
        <v>1261</v>
      </c>
      <c r="B846" s="4">
        <v>45429</v>
      </c>
      <c r="C846" s="3" t="s">
        <v>240</v>
      </c>
      <c r="D846" s="3" t="s">
        <v>118</v>
      </c>
      <c r="E846" s="3" t="s">
        <v>242</v>
      </c>
      <c r="F846" s="5">
        <v>6</v>
      </c>
      <c r="G846" s="5">
        <v>3350</v>
      </c>
      <c r="H846" s="5">
        <v>24.8</v>
      </c>
      <c r="I846" s="5">
        <v>15115.2</v>
      </c>
      <c r="J846" s="3" t="s">
        <v>26</v>
      </c>
      <c r="K846" s="3" t="s">
        <v>33</v>
      </c>
      <c r="L846" t="str">
        <f>IFERROR(VLOOKUP(D846,Products!$A$2:$F$61,3,FALSE()),"")</f>
        <v>Beauty</v>
      </c>
      <c r="M846" t="str">
        <f>IFERROR(VLOOKUP(E846,Sales_Reps!$A$2:$C$31,3,FALSE()),"")</f>
        <v>East</v>
      </c>
      <c r="N846">
        <f>IFERROR(VLOOKUP(D846,Products!$A$2:$F$61,4,FALSE()),"")</f>
        <v>1728</v>
      </c>
      <c r="O846" t="str">
        <f>IFERROR(VLOOKUP(C846,Customers!$A$2:$F$301,5,FALSE()),"")</f>
        <v>Retail</v>
      </c>
      <c r="P846">
        <f>IFERROR(VLOOKUP(C846,Customers!$A$2:$F$301,3,FALSE()),"")</f>
        <v>41</v>
      </c>
      <c r="Q846">
        <f t="shared" si="39"/>
        <v>0.48417910447761192</v>
      </c>
      <c r="R846">
        <f>IF(AND(COUNTIF($A$2:$A$2027,A846)&gt;1,COUNTIF($A$2:A846,A846)=1),1,0)</f>
        <v>0</v>
      </c>
      <c r="S846" t="b">
        <f>IFERROR(VLOOKUP(D846,Products!$A$2:$F$61,6,FALSE()),"")</f>
        <v>1</v>
      </c>
      <c r="T846" t="str">
        <f>IF(COUNTIF(Customers!$A$2:$A$301,C846)=0,"Missing","OK")</f>
        <v>OK</v>
      </c>
      <c r="U846" t="str">
        <f t="shared" si="40"/>
        <v>Chennai</v>
      </c>
      <c r="V846">
        <f t="shared" si="41"/>
        <v>0</v>
      </c>
    </row>
    <row r="847" spans="1:22" ht="15" customHeight="1" x14ac:dyDescent="0.35">
      <c r="A847" s="3" t="s">
        <v>1262</v>
      </c>
      <c r="B847" s="4">
        <v>45451</v>
      </c>
      <c r="C847" s="3" t="s">
        <v>608</v>
      </c>
      <c r="D847" s="3" t="s">
        <v>277</v>
      </c>
      <c r="E847" s="3" t="s">
        <v>282</v>
      </c>
      <c r="F847" s="5">
        <v>10</v>
      </c>
      <c r="G847" s="5">
        <v>2210</v>
      </c>
      <c r="H847" s="5">
        <v>4.2</v>
      </c>
      <c r="I847" s="5">
        <v>21171.8</v>
      </c>
      <c r="J847" s="3" t="s">
        <v>26</v>
      </c>
      <c r="K847" s="3" t="s">
        <v>72</v>
      </c>
      <c r="L847" t="str">
        <f>IFERROR(VLOOKUP(D847,Products!$A$2:$F$61,3,FALSE()),"")</f>
        <v>Grocery</v>
      </c>
      <c r="M847" t="str">
        <f>IFERROR(VLOOKUP(E847,Sales_Reps!$A$2:$C$31,3,FALSE()),"")</f>
        <v>West</v>
      </c>
      <c r="N847">
        <f>IFERROR(VLOOKUP(D847,Products!$A$2:$F$61,4,FALSE()),"")</f>
        <v>1010</v>
      </c>
      <c r="O847" t="str">
        <f>IFERROR(VLOOKUP(C847,Customers!$A$2:$F$301,5,FALSE()),"")</f>
        <v>Retail</v>
      </c>
      <c r="P847">
        <f>IFERROR(VLOOKUP(C847,Customers!$A$2:$F$301,3,FALSE()),"")</f>
        <v>31</v>
      </c>
      <c r="Q847">
        <f t="shared" si="39"/>
        <v>0.54298642533936647</v>
      </c>
      <c r="R847">
        <f>IF(AND(COUNTIF($A$2:$A$2027,A847)&gt;1,COUNTIF($A$2:A847,A847)=1),1,0)</f>
        <v>0</v>
      </c>
      <c r="S847" t="b">
        <f>IFERROR(VLOOKUP(D847,Products!$A$2:$F$61,6,FALSE()),"")</f>
        <v>1</v>
      </c>
      <c r="T847" t="str">
        <f>IF(COUNTIF(Customers!$A$2:$A$301,C847)=0,"Missing","OK")</f>
        <v>OK</v>
      </c>
      <c r="U847" t="str">
        <f t="shared" si="40"/>
        <v>Hyderabad</v>
      </c>
      <c r="V847">
        <f t="shared" si="41"/>
        <v>0</v>
      </c>
    </row>
    <row r="848" spans="1:22" ht="15" customHeight="1" x14ac:dyDescent="0.35">
      <c r="A848" s="3" t="s">
        <v>1263</v>
      </c>
      <c r="B848" s="4">
        <v>45444</v>
      </c>
      <c r="C848" s="3" t="s">
        <v>577</v>
      </c>
      <c r="D848" s="3" t="s">
        <v>123</v>
      </c>
      <c r="E848" s="3" t="s">
        <v>42</v>
      </c>
      <c r="F848" s="5">
        <v>10</v>
      </c>
      <c r="G848" s="5">
        <v>4880</v>
      </c>
      <c r="H848" s="5">
        <v>0.7</v>
      </c>
      <c r="I848" s="5">
        <v>48458.400000000001</v>
      </c>
      <c r="J848" s="3" t="s">
        <v>26</v>
      </c>
      <c r="K848" s="3" t="s">
        <v>38</v>
      </c>
      <c r="L848" t="str">
        <f>IFERROR(VLOOKUP(D848,Products!$A$2:$F$61,3,FALSE()),"")</f>
        <v>Beauty</v>
      </c>
      <c r="M848" t="str">
        <f>IFERROR(VLOOKUP(E848,Sales_Reps!$A$2:$C$31,3,FALSE()),"")</f>
        <v>North</v>
      </c>
      <c r="N848">
        <f>IFERROR(VLOOKUP(D848,Products!$A$2:$F$61,4,FALSE()),"")</f>
        <v>2768</v>
      </c>
      <c r="O848" t="str">
        <f>IFERROR(VLOOKUP(C848,Customers!$A$2:$F$301,5,FALSE()),"")</f>
        <v>Retail</v>
      </c>
      <c r="P848">
        <f>IFERROR(VLOOKUP(C848,Customers!$A$2:$F$301,3,FALSE()),"")</f>
        <v>43</v>
      </c>
      <c r="Q848">
        <f t="shared" si="39"/>
        <v>0.43278688524590164</v>
      </c>
      <c r="R848">
        <f>IF(AND(COUNTIF($A$2:$A$2027,A848)&gt;1,COUNTIF($A$2:A848,A848)=1),1,0)</f>
        <v>0</v>
      </c>
      <c r="S848" t="b">
        <f>IFERROR(VLOOKUP(D848,Products!$A$2:$F$61,6,FALSE()),"")</f>
        <v>1</v>
      </c>
      <c r="T848" t="str">
        <f>IF(COUNTIF(Customers!$A$2:$A$301,C848)=0,"Missing","OK")</f>
        <v>OK</v>
      </c>
      <c r="U848" t="str">
        <f t="shared" si="40"/>
        <v>Delhi</v>
      </c>
      <c r="V848">
        <f t="shared" si="41"/>
        <v>0</v>
      </c>
    </row>
    <row r="849" spans="1:22" ht="15" customHeight="1" x14ac:dyDescent="0.35">
      <c r="A849" s="3" t="s">
        <v>1264</v>
      </c>
      <c r="B849" s="4">
        <v>45369</v>
      </c>
      <c r="C849" s="3" t="s">
        <v>102</v>
      </c>
      <c r="D849" s="3" t="s">
        <v>134</v>
      </c>
      <c r="E849" s="3" t="s">
        <v>78</v>
      </c>
      <c r="F849" s="5">
        <v>7</v>
      </c>
      <c r="G849" s="5">
        <v>2860</v>
      </c>
      <c r="H849" s="5">
        <v>28.1</v>
      </c>
      <c r="I849" s="5">
        <v>14394.38</v>
      </c>
      <c r="J849" s="3" t="s">
        <v>32</v>
      </c>
      <c r="K849" s="3" t="s">
        <v>33</v>
      </c>
      <c r="L849" t="str">
        <f>IFERROR(VLOOKUP(D849,Products!$A$2:$F$61,3,FALSE()),"")</f>
        <v>Sports</v>
      </c>
      <c r="M849" t="str">
        <f>IFERROR(VLOOKUP(E849,Sales_Reps!$A$2:$C$31,3,FALSE()),"")</f>
        <v>North</v>
      </c>
      <c r="N849">
        <f>IFERROR(VLOOKUP(D849,Products!$A$2:$F$61,4,FALSE()),"")</f>
        <v>2028</v>
      </c>
      <c r="O849" t="str">
        <f>IFERROR(VLOOKUP(C849,Customers!$A$2:$F$301,5,FALSE()),"")</f>
        <v>Retail</v>
      </c>
      <c r="P849">
        <f>IFERROR(VLOOKUP(C849,Customers!$A$2:$F$301,3,FALSE()),"")</f>
        <v>49</v>
      </c>
      <c r="Q849">
        <f t="shared" si="39"/>
        <v>0.29090909090909089</v>
      </c>
      <c r="R849">
        <f>IF(AND(COUNTIF($A$2:$A$2027,A849)&gt;1,COUNTIF($A$2:A849,A849)=1),1,0)</f>
        <v>0</v>
      </c>
      <c r="S849" t="b">
        <f>IFERROR(VLOOKUP(D849,Products!$A$2:$F$61,6,FALSE()),"")</f>
        <v>1</v>
      </c>
      <c r="T849" t="str">
        <f>IF(COUNTIF(Customers!$A$2:$A$301,C849)=0,"Missing","OK")</f>
        <v>OK</v>
      </c>
      <c r="U849" t="str">
        <f t="shared" si="40"/>
        <v>Chennai</v>
      </c>
      <c r="V849">
        <f t="shared" si="41"/>
        <v>0</v>
      </c>
    </row>
    <row r="850" spans="1:22" ht="15" customHeight="1" x14ac:dyDescent="0.35">
      <c r="A850" s="3" t="s">
        <v>1265</v>
      </c>
      <c r="B850" s="4">
        <v>45581</v>
      </c>
      <c r="C850" s="3" t="s">
        <v>381</v>
      </c>
      <c r="D850" s="3" t="s">
        <v>66</v>
      </c>
      <c r="E850" s="3" t="s">
        <v>31</v>
      </c>
      <c r="F850" s="5">
        <v>3</v>
      </c>
      <c r="G850" s="5">
        <v>970</v>
      </c>
      <c r="H850" s="5">
        <v>28.3</v>
      </c>
      <c r="I850" s="5">
        <v>2086.4699999999998</v>
      </c>
      <c r="J850" s="3" t="s">
        <v>26</v>
      </c>
      <c r="K850" s="3" t="s">
        <v>27</v>
      </c>
      <c r="L850" t="str">
        <f>IFERROR(VLOOKUP(D850,Products!$A$2:$F$61,3,FALSE()),"")</f>
        <v>Grocery</v>
      </c>
      <c r="M850" t="str">
        <f>IFERROR(VLOOKUP(E850,Sales_Reps!$A$2:$C$31,3,FALSE()),"")</f>
        <v>North</v>
      </c>
      <c r="N850">
        <f>IFERROR(VLOOKUP(D850,Products!$A$2:$F$61,4,FALSE()),"")</f>
        <v>434</v>
      </c>
      <c r="O850" t="str">
        <f>IFERROR(VLOOKUP(C850,Customers!$A$2:$F$301,5,FALSE()),"")</f>
        <v>Retail</v>
      </c>
      <c r="P850">
        <f>IFERROR(VLOOKUP(C850,Customers!$A$2:$F$301,3,FALSE()),"")</f>
        <v>65</v>
      </c>
      <c r="Q850">
        <f t="shared" si="39"/>
        <v>0.5525773195876289</v>
      </c>
      <c r="R850">
        <f>IF(AND(COUNTIF($A$2:$A$2027,A850)&gt;1,COUNTIF($A$2:A850,A850)=1),1,0)</f>
        <v>0</v>
      </c>
      <c r="S850" t="b">
        <f>IFERROR(VLOOKUP(D850,Products!$A$2:$F$61,6,FALSE()),"")</f>
        <v>1</v>
      </c>
      <c r="T850" t="str">
        <f>IF(COUNTIF(Customers!$A$2:$A$301,C850)=0,"Missing","OK")</f>
        <v>OK</v>
      </c>
      <c r="U850" t="str">
        <f t="shared" si="40"/>
        <v>Pune</v>
      </c>
      <c r="V850">
        <f t="shared" si="41"/>
        <v>0</v>
      </c>
    </row>
    <row r="851" spans="1:22" ht="15" customHeight="1" x14ac:dyDescent="0.35">
      <c r="A851" s="3" t="s">
        <v>1266</v>
      </c>
      <c r="B851" s="4">
        <v>45494</v>
      </c>
      <c r="C851" s="3" t="s">
        <v>916</v>
      </c>
      <c r="D851" s="3" t="s">
        <v>184</v>
      </c>
      <c r="E851" s="3" t="s">
        <v>46</v>
      </c>
      <c r="F851" s="5">
        <v>1</v>
      </c>
      <c r="G851" s="5">
        <v>2270</v>
      </c>
      <c r="H851" s="5">
        <v>15.1</v>
      </c>
      <c r="I851" s="5">
        <v>1927.23</v>
      </c>
      <c r="J851" s="3" t="s">
        <v>26</v>
      </c>
      <c r="K851" s="3" t="s">
        <v>27</v>
      </c>
      <c r="L851" t="str">
        <f>IFERROR(VLOOKUP(D851,Products!$A$2:$F$61,3,FALSE()),"")</f>
        <v>Grocery</v>
      </c>
      <c r="M851" t="str">
        <f>IFERROR(VLOOKUP(E851,Sales_Reps!$A$2:$C$31,3,FALSE()),"")</f>
        <v>North</v>
      </c>
      <c r="N851">
        <f>IFERROR(VLOOKUP(D851,Products!$A$2:$F$61,4,FALSE()),"")</f>
        <v>1412</v>
      </c>
      <c r="O851" t="str">
        <f>IFERROR(VLOOKUP(C851,Customers!$A$2:$F$301,5,FALSE()),"")</f>
        <v>Corporate</v>
      </c>
      <c r="P851">
        <f>IFERROR(VLOOKUP(C851,Customers!$A$2:$F$301,3,FALSE()),"")</f>
        <v>29</v>
      </c>
      <c r="Q851">
        <f t="shared" si="39"/>
        <v>0.37797356828193834</v>
      </c>
      <c r="R851">
        <f>IF(AND(COUNTIF($A$2:$A$2027,A851)&gt;1,COUNTIF($A$2:A851,A851)=1),1,0)</f>
        <v>0</v>
      </c>
      <c r="S851" t="b">
        <f>IFERROR(VLOOKUP(D851,Products!$A$2:$F$61,6,FALSE()),"")</f>
        <v>1</v>
      </c>
      <c r="T851" t="str">
        <f>IF(COUNTIF(Customers!$A$2:$A$301,C851)=0,"Missing","OK")</f>
        <v>OK</v>
      </c>
      <c r="U851" t="str">
        <f t="shared" si="40"/>
        <v>Pune</v>
      </c>
      <c r="V851">
        <f t="shared" si="41"/>
        <v>0</v>
      </c>
    </row>
    <row r="852" spans="1:22" ht="15" customHeight="1" x14ac:dyDescent="0.35">
      <c r="A852" s="3" t="s">
        <v>1267</v>
      </c>
      <c r="B852" s="4">
        <v>45324</v>
      </c>
      <c r="C852" s="3" t="s">
        <v>308</v>
      </c>
      <c r="D852" s="3" t="s">
        <v>598</v>
      </c>
      <c r="E852" s="3" t="s">
        <v>127</v>
      </c>
      <c r="F852" s="5">
        <v>5</v>
      </c>
      <c r="G852" s="5">
        <v>3560</v>
      </c>
      <c r="H852" s="5">
        <v>11.5</v>
      </c>
      <c r="I852" s="5">
        <v>15753</v>
      </c>
      <c r="J852" s="3" t="s">
        <v>26</v>
      </c>
      <c r="K852" s="3" t="s">
        <v>33</v>
      </c>
      <c r="L852" t="str">
        <f>IFERROR(VLOOKUP(D852,Products!$A$2:$F$61,3,FALSE()),"")</f>
        <v>Apparel</v>
      </c>
      <c r="M852" t="str">
        <f>IFERROR(VLOOKUP(E852,Sales_Reps!$A$2:$C$31,3,FALSE()),"")</f>
        <v>South</v>
      </c>
      <c r="N852">
        <f>IFERROR(VLOOKUP(D852,Products!$A$2:$F$61,4,FALSE()),"")</f>
        <v>2629</v>
      </c>
      <c r="O852" t="str">
        <f>IFERROR(VLOOKUP(C852,Customers!$A$2:$F$301,5,FALSE()),"")</f>
        <v>SMB</v>
      </c>
      <c r="P852">
        <f>IFERROR(VLOOKUP(C852,Customers!$A$2:$F$301,3,FALSE()),"")</f>
        <v>62</v>
      </c>
      <c r="Q852">
        <f t="shared" si="39"/>
        <v>0.26151685393258428</v>
      </c>
      <c r="R852">
        <f>IF(AND(COUNTIF($A$2:$A$2027,A852)&gt;1,COUNTIF($A$2:A852,A852)=1),1,0)</f>
        <v>0</v>
      </c>
      <c r="S852" t="b">
        <f>IFERROR(VLOOKUP(D852,Products!$A$2:$F$61,6,FALSE()),"")</f>
        <v>1</v>
      </c>
      <c r="T852" t="str">
        <f>IF(COUNTIF(Customers!$A$2:$A$301,C852)=0,"Missing","OK")</f>
        <v>OK</v>
      </c>
      <c r="U852" t="str">
        <f t="shared" si="40"/>
        <v>Chennai</v>
      </c>
      <c r="V852">
        <f t="shared" si="41"/>
        <v>0</v>
      </c>
    </row>
    <row r="853" spans="1:22" ht="15" customHeight="1" x14ac:dyDescent="0.35">
      <c r="A853" s="3" t="s">
        <v>1268</v>
      </c>
      <c r="B853" s="4">
        <v>45419</v>
      </c>
      <c r="C853" s="3" t="s">
        <v>117</v>
      </c>
      <c r="D853" s="3" t="s">
        <v>299</v>
      </c>
      <c r="E853" s="3" t="s">
        <v>71</v>
      </c>
      <c r="F853" s="5">
        <v>2</v>
      </c>
      <c r="G853" s="5">
        <v>5410</v>
      </c>
      <c r="H853" s="5">
        <v>14.8</v>
      </c>
      <c r="I853" s="5">
        <v>9218.64</v>
      </c>
      <c r="J853" s="3" t="s">
        <v>32</v>
      </c>
      <c r="K853" s="3" t="s">
        <v>33</v>
      </c>
      <c r="L853" t="str">
        <f>IFERROR(VLOOKUP(D853,Products!$A$2:$F$61,3,FALSE()),"")</f>
        <v>Sports</v>
      </c>
      <c r="M853" t="str">
        <f>IFERROR(VLOOKUP(E853,Sales_Reps!$A$2:$C$31,3,FALSE()),"")</f>
        <v>South</v>
      </c>
      <c r="N853">
        <f>IFERROR(VLOOKUP(D853,Products!$A$2:$F$61,4,FALSE()),"")</f>
        <v>2265</v>
      </c>
      <c r="O853" t="str">
        <f>IFERROR(VLOOKUP(C853,Customers!$A$2:$F$301,5,FALSE()),"")</f>
        <v>Corporate</v>
      </c>
      <c r="P853">
        <f>IFERROR(VLOOKUP(C853,Customers!$A$2:$F$301,3,FALSE()),"")</f>
        <v>55</v>
      </c>
      <c r="Q853">
        <f t="shared" si="39"/>
        <v>0.58133086876155271</v>
      </c>
      <c r="R853">
        <f>IF(AND(COUNTIF($A$2:$A$2027,A853)&gt;1,COUNTIF($A$2:A853,A853)=1),1,0)</f>
        <v>0</v>
      </c>
      <c r="S853" t="b">
        <f>IFERROR(VLOOKUP(D853,Products!$A$2:$F$61,6,FALSE()),"")</f>
        <v>1</v>
      </c>
      <c r="T853" t="str">
        <f>IF(COUNTIF(Customers!$A$2:$A$301,C853)=0,"Missing","OK")</f>
        <v>OK</v>
      </c>
      <c r="U853" t="str">
        <f t="shared" si="40"/>
        <v>Chennai</v>
      </c>
      <c r="V853">
        <f t="shared" si="41"/>
        <v>0</v>
      </c>
    </row>
    <row r="854" spans="1:22" ht="15" customHeight="1" x14ac:dyDescent="0.35">
      <c r="A854" s="3" t="s">
        <v>1269</v>
      </c>
      <c r="B854" s="4">
        <v>45656</v>
      </c>
      <c r="C854" s="3" t="s">
        <v>860</v>
      </c>
      <c r="D854" s="3" t="s">
        <v>106</v>
      </c>
      <c r="E854" s="3" t="s">
        <v>42</v>
      </c>
      <c r="F854" s="5">
        <v>2</v>
      </c>
      <c r="G854" s="5">
        <v>2480</v>
      </c>
      <c r="H854" s="5">
        <v>27.2</v>
      </c>
      <c r="I854" s="5">
        <v>3610.88</v>
      </c>
      <c r="J854" s="3" t="s">
        <v>26</v>
      </c>
      <c r="K854" s="3" t="s">
        <v>56</v>
      </c>
      <c r="L854" t="str">
        <f>IFERROR(VLOOKUP(D854,Products!$A$2:$F$61,3,FALSE()),"")</f>
        <v>Apparel</v>
      </c>
      <c r="M854" t="str">
        <f>IFERROR(VLOOKUP(E854,Sales_Reps!$A$2:$C$31,3,FALSE()),"")</f>
        <v>North</v>
      </c>
      <c r="N854">
        <f>IFERROR(VLOOKUP(D854,Products!$A$2:$F$61,4,FALSE()),"")</f>
        <v>1173</v>
      </c>
      <c r="O854" t="str">
        <f>IFERROR(VLOOKUP(C854,Customers!$A$2:$F$301,5,FALSE()),"")</f>
        <v>Retail</v>
      </c>
      <c r="P854">
        <f>IFERROR(VLOOKUP(C854,Customers!$A$2:$F$301,3,FALSE()),"")</f>
        <v>28</v>
      </c>
      <c r="Q854">
        <f t="shared" si="39"/>
        <v>0.52701612903225803</v>
      </c>
      <c r="R854">
        <f>IF(AND(COUNTIF($A$2:$A$2027,A854)&gt;1,COUNTIF($A$2:A854,A854)=1),1,0)</f>
        <v>0</v>
      </c>
      <c r="S854" t="b">
        <f>IFERROR(VLOOKUP(D854,Products!$A$2:$F$61,6,FALSE()),"")</f>
        <v>1</v>
      </c>
      <c r="T854" t="str">
        <f>IF(COUNTIF(Customers!$A$2:$A$301,C854)=0,"Missing","OK")</f>
        <v>OK</v>
      </c>
      <c r="U854" t="str">
        <f t="shared" si="40"/>
        <v>Bengaluru</v>
      </c>
      <c r="V854">
        <f t="shared" si="41"/>
        <v>0</v>
      </c>
    </row>
    <row r="855" spans="1:22" ht="15" customHeight="1" x14ac:dyDescent="0.35">
      <c r="A855" s="3" t="s">
        <v>1270</v>
      </c>
      <c r="B855" s="4">
        <v>45350</v>
      </c>
      <c r="C855" s="3" t="s">
        <v>469</v>
      </c>
      <c r="D855" s="3" t="s">
        <v>30</v>
      </c>
      <c r="E855" s="3" t="s">
        <v>37</v>
      </c>
      <c r="F855" s="5">
        <v>6</v>
      </c>
      <c r="G855" s="5">
        <v>820</v>
      </c>
      <c r="H855" s="5">
        <v>6.6</v>
      </c>
      <c r="I855" s="5">
        <v>4595.28</v>
      </c>
      <c r="J855" s="3" t="s">
        <v>26</v>
      </c>
      <c r="K855" s="3" t="s">
        <v>38</v>
      </c>
      <c r="L855" t="str">
        <f>IFERROR(VLOOKUP(D855,Products!$A$2:$F$61,3,FALSE()),"")</f>
        <v>Apparel</v>
      </c>
      <c r="M855" t="str">
        <f>IFERROR(VLOOKUP(E855,Sales_Reps!$A$2:$C$31,3,FALSE()),"")</f>
        <v>South</v>
      </c>
      <c r="N855">
        <f>IFERROR(VLOOKUP(D855,Products!$A$2:$F$61,4,FALSE()),"")</f>
        <v>391</v>
      </c>
      <c r="O855" t="str">
        <f>IFERROR(VLOOKUP(C855,Customers!$A$2:$F$301,5,FALSE()),"")</f>
        <v>Retail</v>
      </c>
      <c r="P855">
        <f>IFERROR(VLOOKUP(C855,Customers!$A$2:$F$301,3,FALSE()),"")</f>
        <v>45</v>
      </c>
      <c r="Q855">
        <f t="shared" si="39"/>
        <v>0.52317073170731709</v>
      </c>
      <c r="R855">
        <f>IF(AND(COUNTIF($A$2:$A$2027,A855)&gt;1,COUNTIF($A$2:A855,A855)=1),1,0)</f>
        <v>0</v>
      </c>
      <c r="S855" t="b">
        <f>IFERROR(VLOOKUP(D855,Products!$A$2:$F$61,6,FALSE()),"")</f>
        <v>1</v>
      </c>
      <c r="T855" t="str">
        <f>IF(COUNTIF(Customers!$A$2:$A$301,C855)=0,"Missing","OK")</f>
        <v>OK</v>
      </c>
      <c r="U855" t="str">
        <f t="shared" si="40"/>
        <v>Delhi</v>
      </c>
      <c r="V855">
        <f t="shared" si="41"/>
        <v>0</v>
      </c>
    </row>
    <row r="856" spans="1:22" ht="15" customHeight="1" x14ac:dyDescent="0.35">
      <c r="A856" s="3" t="s">
        <v>1271</v>
      </c>
      <c r="B856" s="4">
        <v>45434</v>
      </c>
      <c r="C856" s="3" t="s">
        <v>186</v>
      </c>
      <c r="D856" s="3" t="s">
        <v>303</v>
      </c>
      <c r="E856" s="3" t="s">
        <v>127</v>
      </c>
      <c r="F856" s="5">
        <v>10</v>
      </c>
      <c r="G856" s="5">
        <v>5330</v>
      </c>
      <c r="H856" s="5">
        <v>16.100000000000001</v>
      </c>
      <c r="I856" s="5">
        <v>44718.7</v>
      </c>
      <c r="J856" s="3" t="s">
        <v>26</v>
      </c>
      <c r="K856" s="3" t="s">
        <v>56</v>
      </c>
      <c r="L856" t="str">
        <f>IFERROR(VLOOKUP(D856,Products!$A$2:$F$61,3,FALSE()),"")</f>
        <v>Electronics</v>
      </c>
      <c r="M856" t="str">
        <f>IFERROR(VLOOKUP(E856,Sales_Reps!$A$2:$C$31,3,FALSE()),"")</f>
        <v>South</v>
      </c>
      <c r="N856">
        <f>IFERROR(VLOOKUP(D856,Products!$A$2:$F$61,4,FALSE()),"")</f>
        <v>2405</v>
      </c>
      <c r="O856" t="str">
        <f>IFERROR(VLOOKUP(C856,Customers!$A$2:$F$301,5,FALSE()),"")</f>
        <v>Retail</v>
      </c>
      <c r="P856">
        <f>IFERROR(VLOOKUP(C856,Customers!$A$2:$F$301,3,FALSE()),"")</f>
        <v>34</v>
      </c>
      <c r="Q856">
        <f t="shared" si="39"/>
        <v>0.54878048780487809</v>
      </c>
      <c r="R856">
        <f>IF(AND(COUNTIF($A$2:$A$2027,A856)&gt;1,COUNTIF($A$2:A856,A856)=1),1,0)</f>
        <v>0</v>
      </c>
      <c r="S856" t="b">
        <f>IFERROR(VLOOKUP(D856,Products!$A$2:$F$61,6,FALSE()),"")</f>
        <v>1</v>
      </c>
      <c r="T856" t="str">
        <f>IF(COUNTIF(Customers!$A$2:$A$301,C856)=0,"Missing","OK")</f>
        <v>OK</v>
      </c>
      <c r="U856" t="str">
        <f t="shared" si="40"/>
        <v>Bengaluru</v>
      </c>
      <c r="V856">
        <f t="shared" si="41"/>
        <v>0</v>
      </c>
    </row>
    <row r="857" spans="1:22" ht="15" customHeight="1" x14ac:dyDescent="0.35">
      <c r="A857" s="3" t="s">
        <v>1272</v>
      </c>
      <c r="B857" s="4">
        <v>45438</v>
      </c>
      <c r="C857" s="3" t="s">
        <v>683</v>
      </c>
      <c r="D857" s="3" t="s">
        <v>96</v>
      </c>
      <c r="E857" s="3" t="s">
        <v>78</v>
      </c>
      <c r="F857" s="5">
        <v>2</v>
      </c>
      <c r="G857" s="5">
        <v>3450</v>
      </c>
      <c r="H857" s="5">
        <v>11.3</v>
      </c>
      <c r="I857" s="5">
        <v>6120.3</v>
      </c>
      <c r="J857" s="3" t="s">
        <v>32</v>
      </c>
      <c r="K857" s="3" t="s">
        <v>72</v>
      </c>
      <c r="L857" t="str">
        <f>IFERROR(VLOOKUP(D857,Products!$A$2:$F$61,3,FALSE()),"")</f>
        <v>Beauty</v>
      </c>
      <c r="M857" t="str">
        <f>IFERROR(VLOOKUP(E857,Sales_Reps!$A$2:$C$31,3,FALSE()),"")</f>
        <v>North</v>
      </c>
      <c r="N857">
        <f>IFERROR(VLOOKUP(D857,Products!$A$2:$F$61,4,FALSE()),"")</f>
        <v>2420</v>
      </c>
      <c r="O857" t="str">
        <f>IFERROR(VLOOKUP(C857,Customers!$A$2:$F$301,5,FALSE()),"")</f>
        <v>Retail</v>
      </c>
      <c r="P857">
        <f>IFERROR(VLOOKUP(C857,Customers!$A$2:$F$301,3,FALSE()),"")</f>
        <v>64</v>
      </c>
      <c r="Q857">
        <f t="shared" si="39"/>
        <v>0.29855072463768118</v>
      </c>
      <c r="R857">
        <f>IF(AND(COUNTIF($A$2:$A$2027,A857)&gt;1,COUNTIF($A$2:A857,A857)=1),1,0)</f>
        <v>0</v>
      </c>
      <c r="S857" t="b">
        <f>IFERROR(VLOOKUP(D857,Products!$A$2:$F$61,6,FALSE()),"")</f>
        <v>1</v>
      </c>
      <c r="T857" t="str">
        <f>IF(COUNTIF(Customers!$A$2:$A$301,C857)=0,"Missing","OK")</f>
        <v>OK</v>
      </c>
      <c r="U857" t="str">
        <f t="shared" si="40"/>
        <v>Hyderabad</v>
      </c>
      <c r="V857">
        <f t="shared" si="41"/>
        <v>0</v>
      </c>
    </row>
    <row r="858" spans="1:22" ht="15" customHeight="1" x14ac:dyDescent="0.35">
      <c r="A858" s="3" t="s">
        <v>1273</v>
      </c>
      <c r="B858" s="4">
        <v>45486</v>
      </c>
      <c r="C858" s="3" t="s">
        <v>240</v>
      </c>
      <c r="D858" s="3" t="s">
        <v>319</v>
      </c>
      <c r="E858" s="3" t="s">
        <v>93</v>
      </c>
      <c r="F858" s="5">
        <v>7</v>
      </c>
      <c r="G858" s="5">
        <v>960</v>
      </c>
      <c r="H858" s="5">
        <v>17.100000000000001</v>
      </c>
      <c r="I858" s="5">
        <v>5570.88</v>
      </c>
      <c r="J858" s="3" t="s">
        <v>26</v>
      </c>
      <c r="K858" s="3" t="s">
        <v>33</v>
      </c>
      <c r="L858" t="str">
        <f>IFERROR(VLOOKUP(D858,Products!$A$2:$F$61,3,FALSE()),"")</f>
        <v>Beauty</v>
      </c>
      <c r="M858" t="str">
        <f>IFERROR(VLOOKUP(E858,Sales_Reps!$A$2:$C$31,3,FALSE()),"")</f>
        <v>East</v>
      </c>
      <c r="N858">
        <f>IFERROR(VLOOKUP(D858,Products!$A$2:$F$61,4,FALSE()),"")</f>
        <v>675</v>
      </c>
      <c r="O858" t="str">
        <f>IFERROR(VLOOKUP(C858,Customers!$A$2:$F$301,5,FALSE()),"")</f>
        <v>Retail</v>
      </c>
      <c r="P858">
        <f>IFERROR(VLOOKUP(C858,Customers!$A$2:$F$301,3,FALSE()),"")</f>
        <v>41</v>
      </c>
      <c r="Q858">
        <f t="shared" si="39"/>
        <v>0.296875</v>
      </c>
      <c r="R858">
        <f>IF(AND(COUNTIF($A$2:$A$2027,A858)&gt;1,COUNTIF($A$2:A858,A858)=1),1,0)</f>
        <v>0</v>
      </c>
      <c r="S858" t="b">
        <f>IFERROR(VLOOKUP(D858,Products!$A$2:$F$61,6,FALSE()),"")</f>
        <v>1</v>
      </c>
      <c r="T858" t="str">
        <f>IF(COUNTIF(Customers!$A$2:$A$301,C858)=0,"Missing","OK")</f>
        <v>OK</v>
      </c>
      <c r="U858" t="str">
        <f t="shared" si="40"/>
        <v>Chennai</v>
      </c>
      <c r="V858">
        <f t="shared" si="41"/>
        <v>0</v>
      </c>
    </row>
    <row r="859" spans="1:22" ht="15" customHeight="1" x14ac:dyDescent="0.35">
      <c r="A859" s="3" t="s">
        <v>1274</v>
      </c>
      <c r="B859" s="4">
        <v>45623</v>
      </c>
      <c r="C859" s="3" t="s">
        <v>233</v>
      </c>
      <c r="D859" s="3" t="s">
        <v>391</v>
      </c>
      <c r="E859" s="3" t="s">
        <v>87</v>
      </c>
      <c r="F859" s="5">
        <v>5</v>
      </c>
      <c r="G859" s="5">
        <v>3450</v>
      </c>
      <c r="H859" s="5">
        <v>22.9</v>
      </c>
      <c r="I859" s="5">
        <v>13299.75</v>
      </c>
      <c r="J859" s="3" t="s">
        <v>26</v>
      </c>
      <c r="K859" s="3" t="s">
        <v>72</v>
      </c>
      <c r="L859" t="str">
        <f>IFERROR(VLOOKUP(D859,Products!$A$2:$F$61,3,FALSE()),"")</f>
        <v>Apparel</v>
      </c>
      <c r="M859" t="str">
        <f>IFERROR(VLOOKUP(E859,Sales_Reps!$A$2:$C$31,3,FALSE()),"")</f>
        <v>North</v>
      </c>
      <c r="N859">
        <f>IFERROR(VLOOKUP(D859,Products!$A$2:$F$61,4,FALSE()),"")</f>
        <v>1748</v>
      </c>
      <c r="O859" t="str">
        <f>IFERROR(VLOOKUP(C859,Customers!$A$2:$F$301,5,FALSE()),"")</f>
        <v>SMB</v>
      </c>
      <c r="P859">
        <f>IFERROR(VLOOKUP(C859,Customers!$A$2:$F$301,3,FALSE()),"")</f>
        <v>43</v>
      </c>
      <c r="Q859">
        <f t="shared" si="39"/>
        <v>0.49333333333333335</v>
      </c>
      <c r="R859">
        <f>IF(AND(COUNTIF($A$2:$A$2027,A859)&gt;1,COUNTIF($A$2:A859,A859)=1),1,0)</f>
        <v>0</v>
      </c>
      <c r="S859" t="b">
        <f>IFERROR(VLOOKUP(D859,Products!$A$2:$F$61,6,FALSE()),"")</f>
        <v>1</v>
      </c>
      <c r="T859" t="str">
        <f>IF(COUNTIF(Customers!$A$2:$A$301,C859)=0,"Missing","OK")</f>
        <v>OK</v>
      </c>
      <c r="U859" t="str">
        <f t="shared" si="40"/>
        <v>Hyderabad</v>
      </c>
      <c r="V859">
        <f t="shared" si="41"/>
        <v>0</v>
      </c>
    </row>
    <row r="860" spans="1:22" ht="15" customHeight="1" x14ac:dyDescent="0.35">
      <c r="A860" s="3" t="s">
        <v>1275</v>
      </c>
      <c r="B860" s="4">
        <v>45634</v>
      </c>
      <c r="C860" s="3" t="s">
        <v>795</v>
      </c>
      <c r="D860" s="3" t="s">
        <v>206</v>
      </c>
      <c r="E860" s="3" t="s">
        <v>46</v>
      </c>
      <c r="F860" s="5">
        <v>5</v>
      </c>
      <c r="G860" s="5">
        <v>1220</v>
      </c>
      <c r="H860" s="5">
        <v>0.3</v>
      </c>
      <c r="I860" s="5">
        <v>6081.7</v>
      </c>
      <c r="J860" s="3" t="s">
        <v>26</v>
      </c>
      <c r="K860" s="3" t="s">
        <v>27</v>
      </c>
      <c r="L860" t="str">
        <f>IFERROR(VLOOKUP(D860,Products!$A$2:$F$61,3,FALSE()),"")</f>
        <v>Electronics</v>
      </c>
      <c r="M860" t="str">
        <f>IFERROR(VLOOKUP(E860,Sales_Reps!$A$2:$C$31,3,FALSE()),"")</f>
        <v>North</v>
      </c>
      <c r="N860">
        <f>IFERROR(VLOOKUP(D860,Products!$A$2:$F$61,4,FALSE()),"")</f>
        <v>517</v>
      </c>
      <c r="O860" t="str">
        <f>IFERROR(VLOOKUP(C860,Customers!$A$2:$F$301,5,FALSE()),"")</f>
        <v>SMB</v>
      </c>
      <c r="P860">
        <f>IFERROR(VLOOKUP(C860,Customers!$A$2:$F$301,3,FALSE()),"")</f>
        <v>59</v>
      </c>
      <c r="Q860">
        <f t="shared" si="39"/>
        <v>0.57622950819672136</v>
      </c>
      <c r="R860">
        <f>IF(AND(COUNTIF($A$2:$A$2027,A860)&gt;1,COUNTIF($A$2:A860,A860)=1),1,0)</f>
        <v>0</v>
      </c>
      <c r="S860" t="b">
        <f>IFERROR(VLOOKUP(D860,Products!$A$2:$F$61,6,FALSE()),"")</f>
        <v>1</v>
      </c>
      <c r="T860" t="str">
        <f>IF(COUNTIF(Customers!$A$2:$A$301,C860)=0,"Missing","OK")</f>
        <v>OK</v>
      </c>
      <c r="U860" t="str">
        <f t="shared" si="40"/>
        <v>Pune</v>
      </c>
      <c r="V860">
        <f t="shared" si="41"/>
        <v>0</v>
      </c>
    </row>
    <row r="861" spans="1:22" ht="15" customHeight="1" x14ac:dyDescent="0.35">
      <c r="A861" s="3" t="s">
        <v>1276</v>
      </c>
      <c r="B861" s="4">
        <v>45308</v>
      </c>
      <c r="C861" s="3" t="s">
        <v>1111</v>
      </c>
      <c r="D861" s="3" t="s">
        <v>303</v>
      </c>
      <c r="E861" s="3" t="s">
        <v>25</v>
      </c>
      <c r="F861" s="5">
        <v>5</v>
      </c>
      <c r="G861" s="5">
        <v>5330</v>
      </c>
      <c r="H861" s="5">
        <v>29</v>
      </c>
      <c r="I861" s="5">
        <v>18921.5</v>
      </c>
      <c r="J861" s="3" t="s">
        <v>26</v>
      </c>
      <c r="K861" s="3" t="s">
        <v>27</v>
      </c>
      <c r="L861" t="str">
        <f>IFERROR(VLOOKUP(D861,Products!$A$2:$F$61,3,FALSE()),"")</f>
        <v>Electronics</v>
      </c>
      <c r="M861" t="str">
        <f>IFERROR(VLOOKUP(E861,Sales_Reps!$A$2:$C$31,3,FALSE()),"")</f>
        <v>North</v>
      </c>
      <c r="N861">
        <f>IFERROR(VLOOKUP(D861,Products!$A$2:$F$61,4,FALSE()),"")</f>
        <v>2405</v>
      </c>
      <c r="O861" t="str">
        <f>IFERROR(VLOOKUP(C861,Customers!$A$2:$F$301,5,FALSE()),"")</f>
        <v>Retail</v>
      </c>
      <c r="P861">
        <f>IFERROR(VLOOKUP(C861,Customers!$A$2:$F$301,3,FALSE()),"")</f>
        <v>39</v>
      </c>
      <c r="Q861">
        <f t="shared" si="39"/>
        <v>0.54878048780487809</v>
      </c>
      <c r="R861">
        <f>IF(AND(COUNTIF($A$2:$A$2027,A861)&gt;1,COUNTIF($A$2:A861,A861)=1),1,0)</f>
        <v>0</v>
      </c>
      <c r="S861" t="b">
        <f>IFERROR(VLOOKUP(D861,Products!$A$2:$F$61,6,FALSE()),"")</f>
        <v>1</v>
      </c>
      <c r="T861" t="str">
        <f>IF(COUNTIF(Customers!$A$2:$A$301,C861)=0,"Missing","OK")</f>
        <v>OK</v>
      </c>
      <c r="U861" t="str">
        <f t="shared" si="40"/>
        <v>Pune</v>
      </c>
      <c r="V861">
        <f t="shared" si="41"/>
        <v>0</v>
      </c>
    </row>
    <row r="862" spans="1:22" ht="15" customHeight="1" x14ac:dyDescent="0.35">
      <c r="A862" s="3" t="s">
        <v>1277</v>
      </c>
      <c r="B862" s="4">
        <v>45641</v>
      </c>
      <c r="C862" s="3" t="s">
        <v>698</v>
      </c>
      <c r="D862" s="3" t="s">
        <v>126</v>
      </c>
      <c r="E862" s="3" t="s">
        <v>67</v>
      </c>
      <c r="F862" s="5">
        <v>3</v>
      </c>
      <c r="G862" s="5">
        <v>3570</v>
      </c>
      <c r="H862" s="5">
        <v>20</v>
      </c>
      <c r="I862" s="5">
        <v>8568</v>
      </c>
      <c r="J862" s="3" t="s">
        <v>79</v>
      </c>
      <c r="K862" s="3" t="s">
        <v>56</v>
      </c>
      <c r="L862" t="str">
        <f>IFERROR(VLOOKUP(D862,Products!$A$2:$F$61,3,FALSE()),"")</f>
        <v>Electronics</v>
      </c>
      <c r="M862" t="str">
        <f>IFERROR(VLOOKUP(E862,Sales_Reps!$A$2:$C$31,3,FALSE()),"")</f>
        <v>West</v>
      </c>
      <c r="N862">
        <f>IFERROR(VLOOKUP(D862,Products!$A$2:$F$61,4,FALSE()),"")</f>
        <v>1665</v>
      </c>
      <c r="O862" t="str">
        <f>IFERROR(VLOOKUP(C862,Customers!$A$2:$F$301,5,FALSE()),"")</f>
        <v>Retail</v>
      </c>
      <c r="P862">
        <f>IFERROR(VLOOKUP(C862,Customers!$A$2:$F$301,3,FALSE()),"")</f>
        <v>29</v>
      </c>
      <c r="Q862">
        <f t="shared" si="39"/>
        <v>0.53361344537815125</v>
      </c>
      <c r="R862">
        <f>IF(AND(COUNTIF($A$2:$A$2027,A862)&gt;1,COUNTIF($A$2:A862,A862)=1),1,0)</f>
        <v>0</v>
      </c>
      <c r="S862" t="b">
        <f>IFERROR(VLOOKUP(D862,Products!$A$2:$F$61,6,FALSE()),"")</f>
        <v>1</v>
      </c>
      <c r="T862" t="str">
        <f>IF(COUNTIF(Customers!$A$2:$A$301,C862)=0,"Missing","OK")</f>
        <v>OK</v>
      </c>
      <c r="U862" t="str">
        <f t="shared" si="40"/>
        <v>Bengaluru</v>
      </c>
      <c r="V862">
        <f t="shared" si="41"/>
        <v>0</v>
      </c>
    </row>
    <row r="863" spans="1:22" ht="15" customHeight="1" x14ac:dyDescent="0.35">
      <c r="A863" s="3" t="s">
        <v>1278</v>
      </c>
      <c r="B863" s="4">
        <v>45396</v>
      </c>
      <c r="C863" s="3" t="s">
        <v>668</v>
      </c>
      <c r="D863" s="3" t="s">
        <v>277</v>
      </c>
      <c r="E863" s="3" t="s">
        <v>140</v>
      </c>
      <c r="F863" s="5">
        <v>9</v>
      </c>
      <c r="G863" s="5">
        <v>2210</v>
      </c>
      <c r="H863" s="5">
        <v>12.4</v>
      </c>
      <c r="I863" s="5">
        <v>17423.64</v>
      </c>
      <c r="J863" s="3" t="s">
        <v>26</v>
      </c>
      <c r="K863" s="3" t="s">
        <v>51</v>
      </c>
      <c r="L863" t="str">
        <f>IFERROR(VLOOKUP(D863,Products!$A$2:$F$61,3,FALSE()),"")</f>
        <v>Grocery</v>
      </c>
      <c r="M863" t="str">
        <f>IFERROR(VLOOKUP(E863,Sales_Reps!$A$2:$C$31,3,FALSE()),"")</f>
        <v>West</v>
      </c>
      <c r="N863">
        <f>IFERROR(VLOOKUP(D863,Products!$A$2:$F$61,4,FALSE()),"")</f>
        <v>1010</v>
      </c>
      <c r="O863" t="str">
        <f>IFERROR(VLOOKUP(C863,Customers!$A$2:$F$301,5,FALSE()),"")</f>
        <v>Retail</v>
      </c>
      <c r="P863">
        <f>IFERROR(VLOOKUP(C863,Customers!$A$2:$F$301,3,FALSE()),"")</f>
        <v>56</v>
      </c>
      <c r="Q863">
        <f t="shared" si="39"/>
        <v>0.54298642533936647</v>
      </c>
      <c r="R863">
        <f>IF(AND(COUNTIF($A$2:$A$2027,A863)&gt;1,COUNTIF($A$2:A863,A863)=1),1,0)</f>
        <v>0</v>
      </c>
      <c r="S863" t="b">
        <f>IFERROR(VLOOKUP(D863,Products!$A$2:$F$61,6,FALSE()),"")</f>
        <v>1</v>
      </c>
      <c r="T863" t="str">
        <f>IF(COUNTIF(Customers!$A$2:$A$301,C863)=0,"Missing","OK")</f>
        <v>OK</v>
      </c>
      <c r="U863" t="str">
        <f t="shared" si="40"/>
        <v>Mumbai</v>
      </c>
      <c r="V863">
        <f t="shared" si="41"/>
        <v>0</v>
      </c>
    </row>
    <row r="864" spans="1:22" ht="15" customHeight="1" x14ac:dyDescent="0.35">
      <c r="A864" s="3" t="s">
        <v>1279</v>
      </c>
      <c r="B864" s="4">
        <v>45302</v>
      </c>
      <c r="C864" s="3" t="s">
        <v>81</v>
      </c>
      <c r="D864" s="3" t="s">
        <v>400</v>
      </c>
      <c r="E864" s="3" t="s">
        <v>168</v>
      </c>
      <c r="F864" s="5">
        <v>5</v>
      </c>
      <c r="G864" s="5">
        <v>3780</v>
      </c>
      <c r="H864" s="5">
        <v>3.9</v>
      </c>
      <c r="I864" s="5">
        <v>18162.900000000001</v>
      </c>
      <c r="J864" s="3" t="s">
        <v>26</v>
      </c>
      <c r="K864" s="3" t="s">
        <v>27</v>
      </c>
      <c r="L864" t="str">
        <f>IFERROR(VLOOKUP(D864,Products!$A$2:$F$61,3,FALSE()),"")</f>
        <v>Sports</v>
      </c>
      <c r="M864" t="str">
        <f>IFERROR(VLOOKUP(E864,Sales_Reps!$A$2:$C$31,3,FALSE()),"")</f>
        <v>West</v>
      </c>
      <c r="N864">
        <f>IFERROR(VLOOKUP(D864,Products!$A$2:$F$61,4,FALSE()),"")</f>
        <v>1860</v>
      </c>
      <c r="O864" t="str">
        <f>IFERROR(VLOOKUP(C864,Customers!$A$2:$F$301,5,FALSE()),"")</f>
        <v>SMB</v>
      </c>
      <c r="P864">
        <f>IFERROR(VLOOKUP(C864,Customers!$A$2:$F$301,3,FALSE()),"")</f>
        <v>39</v>
      </c>
      <c r="Q864">
        <f t="shared" si="39"/>
        <v>0.50793650793650791</v>
      </c>
      <c r="R864">
        <f>IF(AND(COUNTIF($A$2:$A$2027,A864)&gt;1,COUNTIF($A$2:A864,A864)=1),1,0)</f>
        <v>0</v>
      </c>
      <c r="S864" t="b">
        <f>IFERROR(VLOOKUP(D864,Products!$A$2:$F$61,6,FALSE()),"")</f>
        <v>1</v>
      </c>
      <c r="T864" t="str">
        <f>IF(COUNTIF(Customers!$A$2:$A$301,C864)=0,"Missing","OK")</f>
        <v>OK</v>
      </c>
      <c r="U864" t="str">
        <f t="shared" si="40"/>
        <v>Pune</v>
      </c>
      <c r="V864">
        <f t="shared" si="41"/>
        <v>0</v>
      </c>
    </row>
    <row r="865" spans="1:22" ht="15" customHeight="1" x14ac:dyDescent="0.35">
      <c r="A865" s="3" t="s">
        <v>1280</v>
      </c>
      <c r="B865" s="4">
        <v>45626</v>
      </c>
      <c r="C865" s="3" t="s">
        <v>108</v>
      </c>
      <c r="D865" s="3" t="s">
        <v>74</v>
      </c>
      <c r="E865" s="3" t="s">
        <v>46</v>
      </c>
      <c r="F865" s="5">
        <v>10</v>
      </c>
      <c r="G865" s="5">
        <v>2640</v>
      </c>
      <c r="H865" s="5">
        <v>17.8</v>
      </c>
      <c r="I865" s="5">
        <v>21700.799999999999</v>
      </c>
      <c r="J865" s="3" t="s">
        <v>83</v>
      </c>
      <c r="K865" s="3" t="s">
        <v>51</v>
      </c>
      <c r="L865" t="str">
        <f>IFERROR(VLOOKUP(D865,Products!$A$2:$F$61,3,FALSE()),"")</f>
        <v>Electronics</v>
      </c>
      <c r="M865" t="str">
        <f>IFERROR(VLOOKUP(E865,Sales_Reps!$A$2:$C$31,3,FALSE()),"")</f>
        <v>North</v>
      </c>
      <c r="N865">
        <f>IFERROR(VLOOKUP(D865,Products!$A$2:$F$61,4,FALSE()),"")</f>
        <v>1149</v>
      </c>
      <c r="O865" t="str">
        <f>IFERROR(VLOOKUP(C865,Customers!$A$2:$F$301,5,FALSE()),"")</f>
        <v>Retail</v>
      </c>
      <c r="P865">
        <f>IFERROR(VLOOKUP(C865,Customers!$A$2:$F$301,3,FALSE()),"")</f>
        <v>34</v>
      </c>
      <c r="Q865">
        <f t="shared" si="39"/>
        <v>0.56477272727272732</v>
      </c>
      <c r="R865">
        <f>IF(AND(COUNTIF($A$2:$A$2027,A865)&gt;1,COUNTIF($A$2:A865,A865)=1),1,0)</f>
        <v>0</v>
      </c>
      <c r="S865" t="b">
        <f>IFERROR(VLOOKUP(D865,Products!$A$2:$F$61,6,FALSE()),"")</f>
        <v>1</v>
      </c>
      <c r="T865" t="str">
        <f>IF(COUNTIF(Customers!$A$2:$A$301,C865)=0,"Missing","OK")</f>
        <v>OK</v>
      </c>
      <c r="U865" t="str">
        <f t="shared" si="40"/>
        <v>Mumbai</v>
      </c>
      <c r="V865">
        <f t="shared" si="41"/>
        <v>0</v>
      </c>
    </row>
    <row r="866" spans="1:22" ht="15" customHeight="1" x14ac:dyDescent="0.35">
      <c r="A866" s="3" t="s">
        <v>1281</v>
      </c>
      <c r="B866" s="4">
        <v>45352</v>
      </c>
      <c r="C866" s="3" t="s">
        <v>549</v>
      </c>
      <c r="D866" s="3" t="s">
        <v>221</v>
      </c>
      <c r="E866" s="3" t="s">
        <v>55</v>
      </c>
      <c r="F866" s="5">
        <v>5</v>
      </c>
      <c r="G866" s="5">
        <v>300</v>
      </c>
      <c r="H866" s="5">
        <v>12.9</v>
      </c>
      <c r="I866" s="5">
        <v>1306.5</v>
      </c>
      <c r="J866" s="3" t="s">
        <v>26</v>
      </c>
      <c r="K866" s="3" t="s">
        <v>56</v>
      </c>
      <c r="L866" t="str">
        <f>IFERROR(VLOOKUP(D866,Products!$A$2:$F$61,3,FALSE()),"")</f>
        <v>Electronics</v>
      </c>
      <c r="M866" t="str">
        <f>IFERROR(VLOOKUP(E866,Sales_Reps!$A$2:$C$31,3,FALSE()),"")</f>
        <v>West</v>
      </c>
      <c r="N866">
        <f>IFERROR(VLOOKUP(D866,Products!$A$2:$F$61,4,FALSE()),"")</f>
        <v>128</v>
      </c>
      <c r="O866" t="str">
        <f>IFERROR(VLOOKUP(C866,Customers!$A$2:$F$301,5,FALSE()),"")</f>
        <v>SMB</v>
      </c>
      <c r="P866">
        <f>IFERROR(VLOOKUP(C866,Customers!$A$2:$F$301,3,FALSE()),"")</f>
        <v>42</v>
      </c>
      <c r="Q866">
        <f t="shared" si="39"/>
        <v>0.57333333333333336</v>
      </c>
      <c r="R866">
        <f>IF(AND(COUNTIF($A$2:$A$2027,A866)&gt;1,COUNTIF($A$2:A866,A866)=1),1,0)</f>
        <v>0</v>
      </c>
      <c r="S866" t="b">
        <f>IFERROR(VLOOKUP(D866,Products!$A$2:$F$61,6,FALSE()),"")</f>
        <v>1</v>
      </c>
      <c r="T866" t="str">
        <f>IF(COUNTIF(Customers!$A$2:$A$301,C866)=0,"Missing","OK")</f>
        <v>OK</v>
      </c>
      <c r="U866" t="str">
        <f t="shared" si="40"/>
        <v>Bengaluru</v>
      </c>
      <c r="V866">
        <f t="shared" si="41"/>
        <v>0</v>
      </c>
    </row>
    <row r="867" spans="1:22" ht="15" customHeight="1" x14ac:dyDescent="0.35">
      <c r="A867" s="3" t="s">
        <v>1282</v>
      </c>
      <c r="B867" s="4">
        <v>45588</v>
      </c>
      <c r="C867" s="3" t="s">
        <v>233</v>
      </c>
      <c r="D867" s="3" t="s">
        <v>90</v>
      </c>
      <c r="E867" s="3" t="s">
        <v>191</v>
      </c>
      <c r="F867" s="5">
        <v>2</v>
      </c>
      <c r="G867" s="5">
        <v>2400</v>
      </c>
      <c r="H867" s="5">
        <v>17.100000000000001</v>
      </c>
      <c r="I867" s="5">
        <v>3979.2</v>
      </c>
      <c r="J867" s="3" t="s">
        <v>32</v>
      </c>
      <c r="K867" s="3" t="s">
        <v>72</v>
      </c>
      <c r="L867" t="str">
        <f>IFERROR(VLOOKUP(D867,Products!$A$2:$F$61,3,FALSE()),"")</f>
        <v>Sports</v>
      </c>
      <c r="M867" t="str">
        <f>IFERROR(VLOOKUP(E867,Sales_Reps!$A$2:$C$31,3,FALSE()),"")</f>
        <v>South</v>
      </c>
      <c r="N867">
        <f>IFERROR(VLOOKUP(D867,Products!$A$2:$F$61,4,FALSE()),"")</f>
        <v>974</v>
      </c>
      <c r="O867" t="str">
        <f>IFERROR(VLOOKUP(C867,Customers!$A$2:$F$301,5,FALSE()),"")</f>
        <v>SMB</v>
      </c>
      <c r="P867">
        <f>IFERROR(VLOOKUP(C867,Customers!$A$2:$F$301,3,FALSE()),"")</f>
        <v>43</v>
      </c>
      <c r="Q867">
        <f t="shared" si="39"/>
        <v>0.59416666666666662</v>
      </c>
      <c r="R867">
        <f>IF(AND(COUNTIF($A$2:$A$2027,A867)&gt;1,COUNTIF($A$2:A867,A867)=1),1,0)</f>
        <v>0</v>
      </c>
      <c r="S867" t="b">
        <f>IFERROR(VLOOKUP(D867,Products!$A$2:$F$61,6,FALSE()),"")</f>
        <v>1</v>
      </c>
      <c r="T867" t="str">
        <f>IF(COUNTIF(Customers!$A$2:$A$301,C867)=0,"Missing","OK")</f>
        <v>OK</v>
      </c>
      <c r="U867" t="str">
        <f t="shared" si="40"/>
        <v>Hyderabad</v>
      </c>
      <c r="V867">
        <f t="shared" si="41"/>
        <v>0</v>
      </c>
    </row>
    <row r="868" spans="1:22" ht="15" customHeight="1" x14ac:dyDescent="0.35">
      <c r="A868" s="3" t="s">
        <v>1283</v>
      </c>
      <c r="B868" s="4">
        <v>45583</v>
      </c>
      <c r="C868" s="3" t="s">
        <v>238</v>
      </c>
      <c r="D868" s="3" t="s">
        <v>103</v>
      </c>
      <c r="E868" s="3" t="s">
        <v>140</v>
      </c>
      <c r="F868" s="5">
        <v>5</v>
      </c>
      <c r="G868" s="5">
        <v>1080</v>
      </c>
      <c r="H868" s="5">
        <v>15.7</v>
      </c>
      <c r="I868" s="5">
        <v>4552.2</v>
      </c>
      <c r="J868" s="3" t="s">
        <v>32</v>
      </c>
      <c r="K868" s="3" t="s">
        <v>72</v>
      </c>
      <c r="L868" t="str">
        <f>IFERROR(VLOOKUP(D868,Products!$A$2:$F$61,3,FALSE()),"")</f>
        <v>Home</v>
      </c>
      <c r="M868" t="str">
        <f>IFERROR(VLOOKUP(E868,Sales_Reps!$A$2:$C$31,3,FALSE()),"")</f>
        <v>West</v>
      </c>
      <c r="N868">
        <f>IFERROR(VLOOKUP(D868,Products!$A$2:$F$61,4,FALSE()),"")</f>
        <v>519</v>
      </c>
      <c r="O868" t="str">
        <f>IFERROR(VLOOKUP(C868,Customers!$A$2:$F$301,5,FALSE()),"")</f>
        <v>Retail</v>
      </c>
      <c r="P868">
        <f>IFERROR(VLOOKUP(C868,Customers!$A$2:$F$301,3,FALSE()),"")</f>
        <v>29</v>
      </c>
      <c r="Q868">
        <f t="shared" si="39"/>
        <v>0.51944444444444449</v>
      </c>
      <c r="R868">
        <f>IF(AND(COUNTIF($A$2:$A$2027,A868)&gt;1,COUNTIF($A$2:A868,A868)=1),1,0)</f>
        <v>0</v>
      </c>
      <c r="S868" t="b">
        <f>IFERROR(VLOOKUP(D868,Products!$A$2:$F$61,6,FALSE()),"")</f>
        <v>1</v>
      </c>
      <c r="T868" t="str">
        <f>IF(COUNTIF(Customers!$A$2:$A$301,C868)=0,"Missing","OK")</f>
        <v>OK</v>
      </c>
      <c r="U868" t="str">
        <f t="shared" si="40"/>
        <v>Hyderabad</v>
      </c>
      <c r="V868">
        <f t="shared" si="41"/>
        <v>0</v>
      </c>
    </row>
    <row r="869" spans="1:22" ht="15" customHeight="1" x14ac:dyDescent="0.35">
      <c r="A869" s="3" t="s">
        <v>1284</v>
      </c>
      <c r="B869" s="4">
        <v>45528</v>
      </c>
      <c r="C869" s="3" t="s">
        <v>653</v>
      </c>
      <c r="D869" s="3" t="s">
        <v>82</v>
      </c>
      <c r="E869" s="3" t="s">
        <v>87</v>
      </c>
      <c r="F869" s="5">
        <v>1</v>
      </c>
      <c r="G869" s="5">
        <v>3250</v>
      </c>
      <c r="H869" s="5">
        <v>14.7</v>
      </c>
      <c r="I869" s="5">
        <v>2772.25</v>
      </c>
      <c r="J869" s="3" t="s">
        <v>26</v>
      </c>
      <c r="K869" s="3" t="s">
        <v>38</v>
      </c>
      <c r="L869" t="str">
        <f>IFERROR(VLOOKUP(D869,Products!$A$2:$F$61,3,FALSE()),"")</f>
        <v>Home</v>
      </c>
      <c r="M869" t="str">
        <f>IFERROR(VLOOKUP(E869,Sales_Reps!$A$2:$C$31,3,FALSE()),"")</f>
        <v>North</v>
      </c>
      <c r="N869">
        <f>IFERROR(VLOOKUP(D869,Products!$A$2:$F$61,4,FALSE()),"")</f>
        <v>1556</v>
      </c>
      <c r="O869" t="str">
        <f>IFERROR(VLOOKUP(C869,Customers!$A$2:$F$301,5,FALSE()),"")</f>
        <v>Retail</v>
      </c>
      <c r="P869">
        <f>IFERROR(VLOOKUP(C869,Customers!$A$2:$F$301,3,FALSE()),"")</f>
        <v>24</v>
      </c>
      <c r="Q869">
        <f t="shared" si="39"/>
        <v>0.52123076923076928</v>
      </c>
      <c r="R869">
        <f>IF(AND(COUNTIF($A$2:$A$2027,A869)&gt;1,COUNTIF($A$2:A869,A869)=1),1,0)</f>
        <v>0</v>
      </c>
      <c r="S869" t="b">
        <f>IFERROR(VLOOKUP(D869,Products!$A$2:$F$61,6,FALSE()),"")</f>
        <v>1</v>
      </c>
      <c r="T869" t="str">
        <f>IF(COUNTIF(Customers!$A$2:$A$301,C869)=0,"Missing","OK")</f>
        <v>OK</v>
      </c>
      <c r="U869" t="str">
        <f t="shared" si="40"/>
        <v>Delhi</v>
      </c>
      <c r="V869">
        <f t="shared" si="41"/>
        <v>0</v>
      </c>
    </row>
    <row r="870" spans="1:22" ht="15" customHeight="1" x14ac:dyDescent="0.35">
      <c r="A870" s="3" t="s">
        <v>1285</v>
      </c>
      <c r="B870" s="4">
        <v>45400</v>
      </c>
      <c r="C870" s="3" t="s">
        <v>355</v>
      </c>
      <c r="D870" s="3" t="s">
        <v>49</v>
      </c>
      <c r="E870" s="3" t="s">
        <v>97</v>
      </c>
      <c r="F870" s="5">
        <v>7</v>
      </c>
      <c r="G870" s="5">
        <v>370</v>
      </c>
      <c r="H870" s="5">
        <v>6</v>
      </c>
      <c r="I870" s="5">
        <v>2434.6</v>
      </c>
      <c r="J870" s="3" t="s">
        <v>79</v>
      </c>
      <c r="K870" s="3" t="s">
        <v>56</v>
      </c>
      <c r="L870" t="str">
        <f>IFERROR(VLOOKUP(D870,Products!$A$2:$F$61,3,FALSE()),"")</f>
        <v>Home</v>
      </c>
      <c r="M870" t="str">
        <f>IFERROR(VLOOKUP(E870,Sales_Reps!$A$2:$C$31,3,FALSE()),"")</f>
        <v>East</v>
      </c>
      <c r="N870">
        <f>IFERROR(VLOOKUP(D870,Products!$A$2:$F$61,4,FALSE()),"")</f>
        <v>288</v>
      </c>
      <c r="O870" t="str">
        <f>IFERROR(VLOOKUP(C870,Customers!$A$2:$F$301,5,FALSE()),"")</f>
        <v>Corporate</v>
      </c>
      <c r="P870">
        <f>IFERROR(VLOOKUP(C870,Customers!$A$2:$F$301,3,FALSE()),"")</f>
        <v>42</v>
      </c>
      <c r="Q870">
        <f t="shared" si="39"/>
        <v>0.22162162162162163</v>
      </c>
      <c r="R870">
        <f>IF(AND(COUNTIF($A$2:$A$2027,A870)&gt;1,COUNTIF($A$2:A870,A870)=1),1,0)</f>
        <v>0</v>
      </c>
      <c r="S870" t="b">
        <f>IFERROR(VLOOKUP(D870,Products!$A$2:$F$61,6,FALSE()),"")</f>
        <v>1</v>
      </c>
      <c r="T870" t="str">
        <f>IF(COUNTIF(Customers!$A$2:$A$301,C870)=0,"Missing","OK")</f>
        <v>OK</v>
      </c>
      <c r="U870" t="str">
        <f t="shared" si="40"/>
        <v>Bengaluru</v>
      </c>
      <c r="V870">
        <f t="shared" si="41"/>
        <v>0</v>
      </c>
    </row>
    <row r="871" spans="1:22" ht="15" customHeight="1" x14ac:dyDescent="0.35">
      <c r="A871" s="3" t="s">
        <v>1286</v>
      </c>
      <c r="B871" s="4">
        <v>45337</v>
      </c>
      <c r="C871" s="3" t="s">
        <v>1287</v>
      </c>
      <c r="D871" s="3" t="s">
        <v>63</v>
      </c>
      <c r="E871" s="3" t="s">
        <v>168</v>
      </c>
      <c r="F871" s="5">
        <v>7</v>
      </c>
      <c r="G871" s="5">
        <v>5490</v>
      </c>
      <c r="H871" s="5">
        <v>10.199999999999999</v>
      </c>
      <c r="I871" s="5">
        <v>34510.14</v>
      </c>
      <c r="J871" s="3" t="s">
        <v>26</v>
      </c>
      <c r="K871" s="3" t="s">
        <v>27</v>
      </c>
      <c r="L871" t="str">
        <f>IFERROR(VLOOKUP(D871,Products!$A$2:$F$61,3,FALSE()),"")</f>
        <v>Home</v>
      </c>
      <c r="M871" t="str">
        <f>IFERROR(VLOOKUP(E871,Sales_Reps!$A$2:$C$31,3,FALSE()),"")</f>
        <v>West</v>
      </c>
      <c r="N871">
        <f>IFERROR(VLOOKUP(D871,Products!$A$2:$F$61,4,FALSE()),"")</f>
        <v>2549</v>
      </c>
      <c r="O871" t="str">
        <f>IFERROR(VLOOKUP(C871,Customers!$A$2:$F$301,5,FALSE()),"")</f>
        <v/>
      </c>
      <c r="P871" t="str">
        <f>IFERROR(VLOOKUP(C871,Customers!$A$2:$F$301,3,FALSE()),"")</f>
        <v/>
      </c>
      <c r="Q871">
        <f t="shared" si="39"/>
        <v>0.53570127504553733</v>
      </c>
      <c r="R871">
        <f>IF(AND(COUNTIF($A$2:$A$2027,A871)&gt;1,COUNTIF($A$2:A871,A871)=1),1,0)</f>
        <v>0</v>
      </c>
      <c r="S871" t="b">
        <f>IFERROR(VLOOKUP(D871,Products!$A$2:$F$61,6,FALSE()),"")</f>
        <v>1</v>
      </c>
      <c r="T871" t="str">
        <f>IF(COUNTIF(Customers!$A$2:$A$301,C871)=0,"Missing","OK")</f>
        <v>Missing</v>
      </c>
      <c r="U871" t="str">
        <f t="shared" si="40"/>
        <v>Pune</v>
      </c>
      <c r="V871">
        <f t="shared" si="41"/>
        <v>0</v>
      </c>
    </row>
    <row r="872" spans="1:22" ht="15" customHeight="1" x14ac:dyDescent="0.35">
      <c r="A872" s="3" t="s">
        <v>1288</v>
      </c>
      <c r="B872" s="4">
        <v>45482</v>
      </c>
      <c r="C872" s="3" t="s">
        <v>1289</v>
      </c>
      <c r="D872" s="3" t="s">
        <v>347</v>
      </c>
      <c r="E872" s="3" t="s">
        <v>67</v>
      </c>
      <c r="F872" s="5">
        <v>3</v>
      </c>
      <c r="G872" s="5">
        <v>3970</v>
      </c>
      <c r="H872" s="5">
        <v>2.4</v>
      </c>
      <c r="I872" s="5">
        <v>11624.16</v>
      </c>
      <c r="J872" s="3" t="s">
        <v>26</v>
      </c>
      <c r="K872" s="3" t="s">
        <v>51</v>
      </c>
      <c r="L872" t="str">
        <f>IFERROR(VLOOKUP(D872,Products!$A$2:$F$61,3,FALSE()),"")</f>
        <v>Electronics</v>
      </c>
      <c r="M872" t="str">
        <f>IFERROR(VLOOKUP(E872,Sales_Reps!$A$2:$C$31,3,FALSE()),"")</f>
        <v>West</v>
      </c>
      <c r="N872">
        <f>IFERROR(VLOOKUP(D872,Products!$A$2:$F$61,4,FALSE()),"")</f>
        <v>2865</v>
      </c>
      <c r="O872" t="str">
        <f>IFERROR(VLOOKUP(C872,Customers!$A$2:$F$301,5,FALSE()),"")</f>
        <v>Retail</v>
      </c>
      <c r="P872">
        <f>IFERROR(VLOOKUP(C872,Customers!$A$2:$F$301,3,FALSE()),"")</f>
        <v>38</v>
      </c>
      <c r="Q872">
        <f t="shared" si="39"/>
        <v>0.27833753148614609</v>
      </c>
      <c r="R872">
        <f>IF(AND(COUNTIF($A$2:$A$2027,A872)&gt;1,COUNTIF($A$2:A872,A872)=1),1,0)</f>
        <v>0</v>
      </c>
      <c r="S872" t="b">
        <f>IFERROR(VLOOKUP(D872,Products!$A$2:$F$61,6,FALSE()),"")</f>
        <v>1</v>
      </c>
      <c r="T872" t="str">
        <f>IF(COUNTIF(Customers!$A$2:$A$301,C872)=0,"Missing","OK")</f>
        <v>OK</v>
      </c>
      <c r="U872" t="str">
        <f t="shared" si="40"/>
        <v>Mumbai</v>
      </c>
      <c r="V872">
        <f t="shared" si="41"/>
        <v>0</v>
      </c>
    </row>
    <row r="873" spans="1:22" ht="15" customHeight="1" x14ac:dyDescent="0.35">
      <c r="A873" s="3" t="s">
        <v>1290</v>
      </c>
      <c r="B873" s="4">
        <v>45583</v>
      </c>
      <c r="C873" s="3" t="s">
        <v>701</v>
      </c>
      <c r="D873" s="3" t="s">
        <v>206</v>
      </c>
      <c r="E873" s="3" t="s">
        <v>25</v>
      </c>
      <c r="F873" s="5">
        <v>4</v>
      </c>
      <c r="G873" s="5">
        <v>1220</v>
      </c>
      <c r="H873" s="5">
        <v>25.3</v>
      </c>
      <c r="I873" s="5">
        <v>3645.36</v>
      </c>
      <c r="J873" s="3" t="s">
        <v>26</v>
      </c>
      <c r="K873" s="3" t="s">
        <v>72</v>
      </c>
      <c r="L873" t="str">
        <f>IFERROR(VLOOKUP(D873,Products!$A$2:$F$61,3,FALSE()),"")</f>
        <v>Electronics</v>
      </c>
      <c r="M873" t="str">
        <f>IFERROR(VLOOKUP(E873,Sales_Reps!$A$2:$C$31,3,FALSE()),"")</f>
        <v>North</v>
      </c>
      <c r="N873">
        <f>IFERROR(VLOOKUP(D873,Products!$A$2:$F$61,4,FALSE()),"")</f>
        <v>517</v>
      </c>
      <c r="O873" t="str">
        <f>IFERROR(VLOOKUP(C873,Customers!$A$2:$F$301,5,FALSE()),"")</f>
        <v>Retail</v>
      </c>
      <c r="P873">
        <f>IFERROR(VLOOKUP(C873,Customers!$A$2:$F$301,3,FALSE()),"")</f>
        <v>52</v>
      </c>
      <c r="Q873">
        <f t="shared" si="39"/>
        <v>0.57622950819672136</v>
      </c>
      <c r="R873">
        <f>IF(AND(COUNTIF($A$2:$A$2027,A873)&gt;1,COUNTIF($A$2:A873,A873)=1),1,0)</f>
        <v>0</v>
      </c>
      <c r="S873" t="b">
        <f>IFERROR(VLOOKUP(D873,Products!$A$2:$F$61,6,FALSE()),"")</f>
        <v>1</v>
      </c>
      <c r="T873" t="str">
        <f>IF(COUNTIF(Customers!$A$2:$A$301,C873)=0,"Missing","OK")</f>
        <v>OK</v>
      </c>
      <c r="U873" t="str">
        <f t="shared" si="40"/>
        <v>Hyderabad</v>
      </c>
      <c r="V873">
        <f t="shared" si="41"/>
        <v>0</v>
      </c>
    </row>
    <row r="874" spans="1:22" ht="15" customHeight="1" x14ac:dyDescent="0.35">
      <c r="A874" s="3" t="s">
        <v>1291</v>
      </c>
      <c r="B874" s="4">
        <v>45409</v>
      </c>
      <c r="C874" s="3" t="s">
        <v>683</v>
      </c>
      <c r="D874" s="3" t="s">
        <v>45</v>
      </c>
      <c r="E874" s="3" t="s">
        <v>140</v>
      </c>
      <c r="F874" s="5">
        <v>3</v>
      </c>
      <c r="G874" s="5">
        <v>3160</v>
      </c>
      <c r="H874" s="5">
        <v>19.8</v>
      </c>
      <c r="I874" s="5">
        <v>7602.96</v>
      </c>
      <c r="J874" s="3" t="s">
        <v>26</v>
      </c>
      <c r="K874" s="3" t="s">
        <v>72</v>
      </c>
      <c r="L874" t="str">
        <f>IFERROR(VLOOKUP(D874,Products!$A$2:$F$61,3,FALSE()),"")</f>
        <v>Apparel</v>
      </c>
      <c r="M874" t="str">
        <f>IFERROR(VLOOKUP(E874,Sales_Reps!$A$2:$C$31,3,FALSE()),"")</f>
        <v>West</v>
      </c>
      <c r="N874">
        <f>IFERROR(VLOOKUP(D874,Products!$A$2:$F$61,4,FALSE()),"")</f>
        <v>1886</v>
      </c>
      <c r="O874" t="str">
        <f>IFERROR(VLOOKUP(C874,Customers!$A$2:$F$301,5,FALSE()),"")</f>
        <v>Retail</v>
      </c>
      <c r="P874">
        <f>IFERROR(VLOOKUP(C874,Customers!$A$2:$F$301,3,FALSE()),"")</f>
        <v>64</v>
      </c>
      <c r="Q874">
        <f t="shared" si="39"/>
        <v>0.4031645569620253</v>
      </c>
      <c r="R874">
        <f>IF(AND(COUNTIF($A$2:$A$2027,A874)&gt;1,COUNTIF($A$2:A874,A874)=1),1,0)</f>
        <v>0</v>
      </c>
      <c r="S874" t="b">
        <f>IFERROR(VLOOKUP(D874,Products!$A$2:$F$61,6,FALSE()),"")</f>
        <v>1</v>
      </c>
      <c r="T874" t="str">
        <f>IF(COUNTIF(Customers!$A$2:$A$301,C874)=0,"Missing","OK")</f>
        <v>OK</v>
      </c>
      <c r="U874" t="str">
        <f t="shared" si="40"/>
        <v>Hyderabad</v>
      </c>
      <c r="V874">
        <f t="shared" si="41"/>
        <v>0</v>
      </c>
    </row>
    <row r="875" spans="1:22" ht="15" customHeight="1" x14ac:dyDescent="0.35">
      <c r="A875" s="3" t="s">
        <v>1292</v>
      </c>
      <c r="B875" s="4">
        <v>45430</v>
      </c>
      <c r="C875" s="3" t="s">
        <v>552</v>
      </c>
      <c r="D875" s="3" t="s">
        <v>221</v>
      </c>
      <c r="E875" s="3" t="s">
        <v>46</v>
      </c>
      <c r="F875" s="5">
        <v>1</v>
      </c>
      <c r="G875" s="5">
        <v>300</v>
      </c>
      <c r="H875" s="5">
        <v>24.5</v>
      </c>
      <c r="I875" s="5">
        <v>226.5</v>
      </c>
      <c r="J875" s="3" t="s">
        <v>26</v>
      </c>
      <c r="K875" s="3" t="s">
        <v>51</v>
      </c>
      <c r="L875" t="str">
        <f>IFERROR(VLOOKUP(D875,Products!$A$2:$F$61,3,FALSE()),"")</f>
        <v>Electronics</v>
      </c>
      <c r="M875" t="str">
        <f>IFERROR(VLOOKUP(E875,Sales_Reps!$A$2:$C$31,3,FALSE()),"")</f>
        <v>North</v>
      </c>
      <c r="N875">
        <f>IFERROR(VLOOKUP(D875,Products!$A$2:$F$61,4,FALSE()),"")</f>
        <v>128</v>
      </c>
      <c r="O875" t="str">
        <f>IFERROR(VLOOKUP(C875,Customers!$A$2:$F$301,5,FALSE()),"")</f>
        <v>Retail</v>
      </c>
      <c r="P875">
        <f>IFERROR(VLOOKUP(C875,Customers!$A$2:$F$301,3,FALSE()),"")</f>
        <v>44</v>
      </c>
      <c r="Q875">
        <f t="shared" si="39"/>
        <v>0.57333333333333336</v>
      </c>
      <c r="R875">
        <f>IF(AND(COUNTIF($A$2:$A$2027,A875)&gt;1,COUNTIF($A$2:A875,A875)=1),1,0)</f>
        <v>0</v>
      </c>
      <c r="S875" t="b">
        <f>IFERROR(VLOOKUP(D875,Products!$A$2:$F$61,6,FALSE()),"")</f>
        <v>1</v>
      </c>
      <c r="T875" t="str">
        <f>IF(COUNTIF(Customers!$A$2:$A$301,C875)=0,"Missing","OK")</f>
        <v>OK</v>
      </c>
      <c r="U875" t="str">
        <f t="shared" si="40"/>
        <v>Mumbai</v>
      </c>
      <c r="V875">
        <f t="shared" si="41"/>
        <v>0</v>
      </c>
    </row>
    <row r="876" spans="1:22" ht="15" customHeight="1" x14ac:dyDescent="0.35">
      <c r="A876" s="3" t="s">
        <v>1293</v>
      </c>
      <c r="B876" s="4">
        <v>45654</v>
      </c>
      <c r="C876" s="3" t="s">
        <v>1247</v>
      </c>
      <c r="D876" s="3" t="s">
        <v>96</v>
      </c>
      <c r="E876" s="3" t="s">
        <v>168</v>
      </c>
      <c r="F876" s="5">
        <v>5</v>
      </c>
      <c r="G876" s="5">
        <v>3450</v>
      </c>
      <c r="H876" s="5">
        <v>13.4</v>
      </c>
      <c r="I876" s="5">
        <v>14938.5</v>
      </c>
      <c r="J876" s="3" t="s">
        <v>32</v>
      </c>
      <c r="K876" s="3" t="s">
        <v>33</v>
      </c>
      <c r="L876" t="str">
        <f>IFERROR(VLOOKUP(D876,Products!$A$2:$F$61,3,FALSE()),"")</f>
        <v>Beauty</v>
      </c>
      <c r="M876" t="str">
        <f>IFERROR(VLOOKUP(E876,Sales_Reps!$A$2:$C$31,3,FALSE()),"")</f>
        <v>West</v>
      </c>
      <c r="N876">
        <f>IFERROR(VLOOKUP(D876,Products!$A$2:$F$61,4,FALSE()),"")</f>
        <v>2420</v>
      </c>
      <c r="O876" t="str">
        <f>IFERROR(VLOOKUP(C876,Customers!$A$2:$F$301,5,FALSE()),"")</f>
        <v>SMB</v>
      </c>
      <c r="P876">
        <f>IFERROR(VLOOKUP(C876,Customers!$A$2:$F$301,3,FALSE()),"")</f>
        <v>51</v>
      </c>
      <c r="Q876">
        <f t="shared" si="39"/>
        <v>0.29855072463768118</v>
      </c>
      <c r="R876">
        <f>IF(AND(COUNTIF($A$2:$A$2027,A876)&gt;1,COUNTIF($A$2:A876,A876)=1),1,0)</f>
        <v>0</v>
      </c>
      <c r="S876" t="b">
        <f>IFERROR(VLOOKUP(D876,Products!$A$2:$F$61,6,FALSE()),"")</f>
        <v>1</v>
      </c>
      <c r="T876" t="str">
        <f>IF(COUNTIF(Customers!$A$2:$A$301,C876)=0,"Missing","OK")</f>
        <v>OK</v>
      </c>
      <c r="U876" t="str">
        <f t="shared" si="40"/>
        <v>Chennai</v>
      </c>
      <c r="V876">
        <f t="shared" si="41"/>
        <v>0</v>
      </c>
    </row>
    <row r="877" spans="1:22" ht="15" customHeight="1" x14ac:dyDescent="0.35">
      <c r="A877" s="3" t="s">
        <v>1294</v>
      </c>
      <c r="B877" s="4">
        <v>45397</v>
      </c>
      <c r="C877" s="3" t="s">
        <v>228</v>
      </c>
      <c r="D877" s="3" t="s">
        <v>24</v>
      </c>
      <c r="E877" s="3" t="s">
        <v>282</v>
      </c>
      <c r="F877" s="5">
        <v>7</v>
      </c>
      <c r="G877" s="5">
        <v>3620</v>
      </c>
      <c r="H877" s="5">
        <v>19.2</v>
      </c>
      <c r="I877" s="5">
        <v>20474.72</v>
      </c>
      <c r="J877" s="3" t="s">
        <v>26</v>
      </c>
      <c r="K877" s="3" t="s">
        <v>33</v>
      </c>
      <c r="L877" t="str">
        <f>IFERROR(VLOOKUP(D877,Products!$A$2:$F$61,3,FALSE()),"")</f>
        <v>Apparel</v>
      </c>
      <c r="M877" t="str">
        <f>IFERROR(VLOOKUP(E877,Sales_Reps!$A$2:$C$31,3,FALSE()),"")</f>
        <v>West</v>
      </c>
      <c r="N877">
        <f>IFERROR(VLOOKUP(D877,Products!$A$2:$F$61,4,FALSE()),"")</f>
        <v>2509</v>
      </c>
      <c r="O877" t="str">
        <f>IFERROR(VLOOKUP(C877,Customers!$A$2:$F$301,5,FALSE()),"")</f>
        <v>Retail</v>
      </c>
      <c r="P877">
        <f>IFERROR(VLOOKUP(C877,Customers!$A$2:$F$301,3,FALSE()),"")</f>
        <v>38</v>
      </c>
      <c r="Q877">
        <f t="shared" si="39"/>
        <v>0.3069060773480663</v>
      </c>
      <c r="R877">
        <f>IF(AND(COUNTIF($A$2:$A$2027,A877)&gt;1,COUNTIF($A$2:A877,A877)=1),1,0)</f>
        <v>0</v>
      </c>
      <c r="S877" t="b">
        <f>IFERROR(VLOOKUP(D877,Products!$A$2:$F$61,6,FALSE()),"")</f>
        <v>1</v>
      </c>
      <c r="T877" t="str">
        <f>IF(COUNTIF(Customers!$A$2:$A$301,C877)=0,"Missing","OK")</f>
        <v>OK</v>
      </c>
      <c r="U877" t="str">
        <f t="shared" si="40"/>
        <v>Chennai</v>
      </c>
      <c r="V877">
        <f t="shared" si="41"/>
        <v>0</v>
      </c>
    </row>
    <row r="878" spans="1:22" ht="15" customHeight="1" x14ac:dyDescent="0.35">
      <c r="A878" s="3" t="s">
        <v>1295</v>
      </c>
      <c r="B878" s="4">
        <v>45505</v>
      </c>
      <c r="C878" s="3" t="s">
        <v>48</v>
      </c>
      <c r="D878" s="3" t="s">
        <v>70</v>
      </c>
      <c r="E878" s="3" t="s">
        <v>71</v>
      </c>
      <c r="F878" s="5">
        <v>10</v>
      </c>
      <c r="G878" s="5">
        <v>2270</v>
      </c>
      <c r="H878" s="5">
        <v>20.5</v>
      </c>
      <c r="I878" s="5">
        <v>18046.5</v>
      </c>
      <c r="J878" s="3" t="s">
        <v>26</v>
      </c>
      <c r="K878" s="3" t="s">
        <v>51</v>
      </c>
      <c r="L878" t="str">
        <f>IFERROR(VLOOKUP(D878,Products!$A$2:$F$61,3,FALSE()),"")</f>
        <v>Grocery</v>
      </c>
      <c r="M878" t="str">
        <f>IFERROR(VLOOKUP(E878,Sales_Reps!$A$2:$C$31,3,FALSE()),"")</f>
        <v>South</v>
      </c>
      <c r="N878">
        <f>IFERROR(VLOOKUP(D878,Products!$A$2:$F$61,4,FALSE()),"")</f>
        <v>1203</v>
      </c>
      <c r="O878" t="str">
        <f>IFERROR(VLOOKUP(C878,Customers!$A$2:$F$301,5,FALSE()),"")</f>
        <v>Retail</v>
      </c>
      <c r="P878">
        <f>IFERROR(VLOOKUP(C878,Customers!$A$2:$F$301,3,FALSE()),"")</f>
        <v>36</v>
      </c>
      <c r="Q878">
        <f t="shared" si="39"/>
        <v>0.47004405286343615</v>
      </c>
      <c r="R878">
        <f>IF(AND(COUNTIF($A$2:$A$2027,A878)&gt;1,COUNTIF($A$2:A878,A878)=1),1,0)</f>
        <v>0</v>
      </c>
      <c r="S878" t="b">
        <f>IFERROR(VLOOKUP(D878,Products!$A$2:$F$61,6,FALSE()),"")</f>
        <v>1</v>
      </c>
      <c r="T878" t="str">
        <f>IF(COUNTIF(Customers!$A$2:$A$301,C878)=0,"Missing","OK")</f>
        <v>OK</v>
      </c>
      <c r="U878" t="str">
        <f t="shared" si="40"/>
        <v>Mumbai</v>
      </c>
      <c r="V878">
        <f t="shared" si="41"/>
        <v>0</v>
      </c>
    </row>
    <row r="879" spans="1:22" ht="15" customHeight="1" x14ac:dyDescent="0.35">
      <c r="A879" s="3" t="s">
        <v>1296</v>
      </c>
      <c r="B879" s="4">
        <v>45386</v>
      </c>
      <c r="C879" s="3" t="s">
        <v>1297</v>
      </c>
      <c r="D879" s="3" t="s">
        <v>112</v>
      </c>
      <c r="E879" s="3" t="s">
        <v>55</v>
      </c>
      <c r="F879" s="5">
        <v>5</v>
      </c>
      <c r="G879" s="5">
        <v>2720</v>
      </c>
      <c r="H879" s="5">
        <v>29.3</v>
      </c>
      <c r="I879" s="5">
        <v>9615.2000000000007</v>
      </c>
      <c r="J879" s="3" t="s">
        <v>26</v>
      </c>
      <c r="K879" s="3" t="s">
        <v>51</v>
      </c>
      <c r="L879" t="str">
        <f>IFERROR(VLOOKUP(D879,Products!$A$2:$F$61,3,FALSE()),"")</f>
        <v>Apparel</v>
      </c>
      <c r="M879" t="str">
        <f>IFERROR(VLOOKUP(E879,Sales_Reps!$A$2:$C$31,3,FALSE()),"")</f>
        <v>West</v>
      </c>
      <c r="N879">
        <f>IFERROR(VLOOKUP(D879,Products!$A$2:$F$61,4,FALSE()),"")</f>
        <v>1962</v>
      </c>
      <c r="O879" t="str">
        <f>IFERROR(VLOOKUP(C879,Customers!$A$2:$F$301,5,FALSE()),"")</f>
        <v>Corporate</v>
      </c>
      <c r="P879">
        <f>IFERROR(VLOOKUP(C879,Customers!$A$2:$F$301,3,FALSE()),"")</f>
        <v>42</v>
      </c>
      <c r="Q879">
        <f t="shared" si="39"/>
        <v>0.2786764705882353</v>
      </c>
      <c r="R879">
        <f>IF(AND(COUNTIF($A$2:$A$2027,A879)&gt;1,COUNTIF($A$2:A879,A879)=1),1,0)</f>
        <v>0</v>
      </c>
      <c r="S879" t="b">
        <f>IFERROR(VLOOKUP(D879,Products!$A$2:$F$61,6,FALSE()),"")</f>
        <v>1</v>
      </c>
      <c r="T879" t="str">
        <f>IF(COUNTIF(Customers!$A$2:$A$301,C879)=0,"Missing","OK")</f>
        <v>OK</v>
      </c>
      <c r="U879" t="str">
        <f t="shared" si="40"/>
        <v>Mumbai</v>
      </c>
      <c r="V879">
        <f t="shared" si="41"/>
        <v>0</v>
      </c>
    </row>
    <row r="880" spans="1:22" ht="15" customHeight="1" x14ac:dyDescent="0.35">
      <c r="A880" s="3" t="s">
        <v>1298</v>
      </c>
      <c r="B880" s="4">
        <v>45499</v>
      </c>
      <c r="C880" s="3" t="s">
        <v>902</v>
      </c>
      <c r="D880" s="3" t="s">
        <v>173</v>
      </c>
      <c r="E880" s="3" t="s">
        <v>224</v>
      </c>
      <c r="F880" s="5">
        <v>9</v>
      </c>
      <c r="G880" s="5">
        <v>3780</v>
      </c>
      <c r="H880" s="5">
        <v>2.2999999999999998</v>
      </c>
      <c r="I880" s="5">
        <v>33237.54</v>
      </c>
      <c r="J880" s="3" t="s">
        <v>26</v>
      </c>
      <c r="K880" s="3" t="s">
        <v>33</v>
      </c>
      <c r="L880" t="str">
        <f>IFERROR(VLOOKUP(D880,Products!$A$2:$F$61,3,FALSE()),"")</f>
        <v>Grocery</v>
      </c>
      <c r="M880" t="str">
        <f>IFERROR(VLOOKUP(E880,Sales_Reps!$A$2:$C$31,3,FALSE()),"")</f>
        <v>East</v>
      </c>
      <c r="N880">
        <f>IFERROR(VLOOKUP(D880,Products!$A$2:$F$61,4,FALSE()),"")</f>
        <v>2436</v>
      </c>
      <c r="O880" t="str">
        <f>IFERROR(VLOOKUP(C880,Customers!$A$2:$F$301,5,FALSE()),"")</f>
        <v>Retail</v>
      </c>
      <c r="P880">
        <f>IFERROR(VLOOKUP(C880,Customers!$A$2:$F$301,3,FALSE()),"")</f>
        <v>31</v>
      </c>
      <c r="Q880">
        <f t="shared" si="39"/>
        <v>0.35555555555555557</v>
      </c>
      <c r="R880">
        <f>IF(AND(COUNTIF($A$2:$A$2027,A880)&gt;1,COUNTIF($A$2:A880,A880)=1),1,0)</f>
        <v>0</v>
      </c>
      <c r="S880" t="b">
        <f>IFERROR(VLOOKUP(D880,Products!$A$2:$F$61,6,FALSE()),"")</f>
        <v>1</v>
      </c>
      <c r="T880" t="str">
        <f>IF(COUNTIF(Customers!$A$2:$A$301,C880)=0,"Missing","OK")</f>
        <v>OK</v>
      </c>
      <c r="U880" t="str">
        <f t="shared" si="40"/>
        <v>Chennai</v>
      </c>
      <c r="V880">
        <f t="shared" si="41"/>
        <v>0</v>
      </c>
    </row>
    <row r="881" spans="1:22" ht="15" customHeight="1" x14ac:dyDescent="0.35">
      <c r="A881" s="3" t="s">
        <v>1299</v>
      </c>
      <c r="B881" s="4">
        <v>45636</v>
      </c>
      <c r="C881" s="3" t="s">
        <v>1300</v>
      </c>
      <c r="D881" s="3" t="s">
        <v>290</v>
      </c>
      <c r="E881" s="3" t="s">
        <v>37</v>
      </c>
      <c r="F881" s="5">
        <v>9</v>
      </c>
      <c r="G881" s="5">
        <v>4060</v>
      </c>
      <c r="H881" s="5">
        <v>11.5</v>
      </c>
      <c r="I881" s="5">
        <v>32337.9</v>
      </c>
      <c r="J881" s="3" t="s">
        <v>26</v>
      </c>
      <c r="K881" s="3" t="s">
        <v>33</v>
      </c>
      <c r="L881" t="str">
        <f>IFERROR(VLOOKUP(D881,Products!$A$2:$F$61,3,FALSE()),"")</f>
        <v>Grocery</v>
      </c>
      <c r="M881" t="str">
        <f>IFERROR(VLOOKUP(E881,Sales_Reps!$A$2:$C$31,3,FALSE()),"")</f>
        <v>South</v>
      </c>
      <c r="N881">
        <f>IFERROR(VLOOKUP(D881,Products!$A$2:$F$61,4,FALSE()),"")</f>
        <v>2911</v>
      </c>
      <c r="O881" t="str">
        <f>IFERROR(VLOOKUP(C881,Customers!$A$2:$F$301,5,FALSE()),"")</f>
        <v>Retail</v>
      </c>
      <c r="P881">
        <f>IFERROR(VLOOKUP(C881,Customers!$A$2:$F$301,3,FALSE()),"")</f>
        <v>34</v>
      </c>
      <c r="Q881">
        <f t="shared" si="39"/>
        <v>0.28300492610837441</v>
      </c>
      <c r="R881">
        <f>IF(AND(COUNTIF($A$2:$A$2027,A881)&gt;1,COUNTIF($A$2:A881,A881)=1),1,0)</f>
        <v>0</v>
      </c>
      <c r="S881" t="b">
        <f>IFERROR(VLOOKUP(D881,Products!$A$2:$F$61,6,FALSE()),"")</f>
        <v>1</v>
      </c>
      <c r="T881" t="str">
        <f>IF(COUNTIF(Customers!$A$2:$A$301,C881)=0,"Missing","OK")</f>
        <v>OK</v>
      </c>
      <c r="U881" t="str">
        <f t="shared" si="40"/>
        <v>Chennai</v>
      </c>
      <c r="V881">
        <f t="shared" si="41"/>
        <v>0</v>
      </c>
    </row>
    <row r="882" spans="1:22" ht="15" customHeight="1" x14ac:dyDescent="0.35">
      <c r="A882" s="3" t="s">
        <v>616</v>
      </c>
      <c r="B882" s="4">
        <v>45517</v>
      </c>
      <c r="C882" s="3" t="s">
        <v>359</v>
      </c>
      <c r="D882" s="3" t="s">
        <v>139</v>
      </c>
      <c r="E882" s="3" t="s">
        <v>264</v>
      </c>
      <c r="F882" s="5">
        <v>10</v>
      </c>
      <c r="G882" s="5">
        <v>2760</v>
      </c>
      <c r="H882" s="5">
        <v>3.9</v>
      </c>
      <c r="I882" s="5">
        <v>26523.599999999999</v>
      </c>
      <c r="J882" s="3" t="s">
        <v>83</v>
      </c>
      <c r="K882" s="3" t="s">
        <v>38</v>
      </c>
      <c r="L882" t="str">
        <f>IFERROR(VLOOKUP(D882,Products!$A$2:$F$61,3,FALSE()),"")</f>
        <v>Grocery</v>
      </c>
      <c r="M882" t="str">
        <f>IFERROR(VLOOKUP(E882,Sales_Reps!$A$2:$C$31,3,FALSE()),"")</f>
        <v>South</v>
      </c>
      <c r="N882">
        <f>IFERROR(VLOOKUP(D882,Products!$A$2:$F$61,4,FALSE()),"")</f>
        <v>1435</v>
      </c>
      <c r="O882" t="str">
        <f>IFERROR(VLOOKUP(C882,Customers!$A$2:$F$301,5,FALSE()),"")</f>
        <v>Retail</v>
      </c>
      <c r="P882">
        <f>IFERROR(VLOOKUP(C882,Customers!$A$2:$F$301,3,FALSE()),"")</f>
        <v>44</v>
      </c>
      <c r="Q882">
        <f t="shared" si="39"/>
        <v>0.48007246376811596</v>
      </c>
      <c r="R882">
        <f>IF(AND(COUNTIF($A$2:$A$2027,A882)&gt;1,COUNTIF($A$2:A882,A882)=1),1,0)</f>
        <v>0</v>
      </c>
      <c r="S882" t="b">
        <f>IFERROR(VLOOKUP(D882,Products!$A$2:$F$61,6,FALSE()),"")</f>
        <v>1</v>
      </c>
      <c r="T882" t="str">
        <f>IF(COUNTIF(Customers!$A$2:$A$301,C882)=0,"Missing","OK")</f>
        <v>OK</v>
      </c>
      <c r="U882" t="str">
        <f t="shared" si="40"/>
        <v>Delhi</v>
      </c>
      <c r="V882">
        <f t="shared" si="41"/>
        <v>0</v>
      </c>
    </row>
    <row r="883" spans="1:22" ht="15" customHeight="1" x14ac:dyDescent="0.35">
      <c r="A883" s="3" t="s">
        <v>1301</v>
      </c>
      <c r="B883" s="4">
        <v>45593</v>
      </c>
      <c r="C883" s="3" t="s">
        <v>164</v>
      </c>
      <c r="D883" s="3" t="s">
        <v>103</v>
      </c>
      <c r="E883" s="3" t="s">
        <v>97</v>
      </c>
      <c r="F883" s="5">
        <v>10</v>
      </c>
      <c r="G883" s="5">
        <v>1080</v>
      </c>
      <c r="H883" s="5">
        <v>21.4</v>
      </c>
      <c r="I883" s="5">
        <v>8488.7999999999993</v>
      </c>
      <c r="J883" s="3" t="s">
        <v>26</v>
      </c>
      <c r="K883" s="3" t="s">
        <v>33</v>
      </c>
      <c r="L883" t="str">
        <f>IFERROR(VLOOKUP(D883,Products!$A$2:$F$61,3,FALSE()),"")</f>
        <v>Home</v>
      </c>
      <c r="M883" t="str">
        <f>IFERROR(VLOOKUP(E883,Sales_Reps!$A$2:$C$31,3,FALSE()),"")</f>
        <v>East</v>
      </c>
      <c r="N883">
        <f>IFERROR(VLOOKUP(D883,Products!$A$2:$F$61,4,FALSE()),"")</f>
        <v>519</v>
      </c>
      <c r="O883" t="str">
        <f>IFERROR(VLOOKUP(C883,Customers!$A$2:$F$301,5,FALSE()),"")</f>
        <v>Retail</v>
      </c>
      <c r="P883">
        <f>IFERROR(VLOOKUP(C883,Customers!$A$2:$F$301,3,FALSE()),"")</f>
        <v>37</v>
      </c>
      <c r="Q883">
        <f t="shared" si="39"/>
        <v>0.51944444444444449</v>
      </c>
      <c r="R883">
        <f>IF(AND(COUNTIF($A$2:$A$2027,A883)&gt;1,COUNTIF($A$2:A883,A883)=1),1,0)</f>
        <v>0</v>
      </c>
      <c r="S883" t="b">
        <f>IFERROR(VLOOKUP(D883,Products!$A$2:$F$61,6,FALSE()),"")</f>
        <v>1</v>
      </c>
      <c r="T883" t="str">
        <f>IF(COUNTIF(Customers!$A$2:$A$301,C883)=0,"Missing","OK")</f>
        <v>OK</v>
      </c>
      <c r="U883" t="str">
        <f t="shared" si="40"/>
        <v>Chennai</v>
      </c>
      <c r="V883">
        <f t="shared" si="41"/>
        <v>0</v>
      </c>
    </row>
    <row r="884" spans="1:22" ht="15" customHeight="1" x14ac:dyDescent="0.35">
      <c r="A884" s="3" t="s">
        <v>1302</v>
      </c>
      <c r="B884" s="4">
        <v>45497</v>
      </c>
      <c r="C884" s="3" t="s">
        <v>1297</v>
      </c>
      <c r="D884" s="3" t="s">
        <v>382</v>
      </c>
      <c r="E884" s="3" t="s">
        <v>93</v>
      </c>
      <c r="F884" s="5">
        <v>6</v>
      </c>
      <c r="G884" s="5">
        <v>5080</v>
      </c>
      <c r="H884" s="5">
        <v>29.8</v>
      </c>
      <c r="I884" s="5">
        <v>21396.959999999999</v>
      </c>
      <c r="J884" s="3" t="s">
        <v>32</v>
      </c>
      <c r="K884" s="3" t="s">
        <v>51</v>
      </c>
      <c r="L884" t="str">
        <f>IFERROR(VLOOKUP(D884,Products!$A$2:$F$61,3,FALSE()),"")</f>
        <v>Home</v>
      </c>
      <c r="M884" t="str">
        <f>IFERROR(VLOOKUP(E884,Sales_Reps!$A$2:$C$31,3,FALSE()),"")</f>
        <v>East</v>
      </c>
      <c r="N884">
        <f>IFERROR(VLOOKUP(D884,Products!$A$2:$F$61,4,FALSE()),"")</f>
        <v>2459</v>
      </c>
      <c r="O884" t="str">
        <f>IFERROR(VLOOKUP(C884,Customers!$A$2:$F$301,5,FALSE()),"")</f>
        <v>Corporate</v>
      </c>
      <c r="P884">
        <f>IFERROR(VLOOKUP(C884,Customers!$A$2:$F$301,3,FALSE()),"")</f>
        <v>42</v>
      </c>
      <c r="Q884">
        <f t="shared" si="39"/>
        <v>0.51594488188976373</v>
      </c>
      <c r="R884">
        <f>IF(AND(COUNTIF($A$2:$A$2027,A884)&gt;1,COUNTIF($A$2:A884,A884)=1),1,0)</f>
        <v>0</v>
      </c>
      <c r="S884" t="b">
        <f>IFERROR(VLOOKUP(D884,Products!$A$2:$F$61,6,FALSE()),"")</f>
        <v>1</v>
      </c>
      <c r="T884" t="str">
        <f>IF(COUNTIF(Customers!$A$2:$A$301,C884)=0,"Missing","OK")</f>
        <v>OK</v>
      </c>
      <c r="U884" t="str">
        <f t="shared" si="40"/>
        <v>Mumbai</v>
      </c>
      <c r="V884">
        <f t="shared" si="41"/>
        <v>0</v>
      </c>
    </row>
    <row r="885" spans="1:22" ht="15" customHeight="1" x14ac:dyDescent="0.35">
      <c r="A885" s="3" t="s">
        <v>1303</v>
      </c>
      <c r="B885" s="4">
        <v>45293</v>
      </c>
      <c r="C885" s="3" t="s">
        <v>65</v>
      </c>
      <c r="D885" s="3" t="s">
        <v>123</v>
      </c>
      <c r="E885" s="3" t="s">
        <v>109</v>
      </c>
      <c r="F885" s="5">
        <v>1</v>
      </c>
      <c r="G885" s="5">
        <v>4880</v>
      </c>
      <c r="H885" s="5">
        <v>28.2</v>
      </c>
      <c r="I885" s="5">
        <v>3503.84</v>
      </c>
      <c r="J885" s="3" t="s">
        <v>26</v>
      </c>
      <c r="K885" s="3" t="s">
        <v>27</v>
      </c>
      <c r="L885" t="str">
        <f>IFERROR(VLOOKUP(D885,Products!$A$2:$F$61,3,FALSE()),"")</f>
        <v>Beauty</v>
      </c>
      <c r="M885" t="str">
        <f>IFERROR(VLOOKUP(E885,Sales_Reps!$A$2:$C$31,3,FALSE()),"")</f>
        <v>West</v>
      </c>
      <c r="N885">
        <f>IFERROR(VLOOKUP(D885,Products!$A$2:$F$61,4,FALSE()),"")</f>
        <v>2768</v>
      </c>
      <c r="O885" t="str">
        <f>IFERROR(VLOOKUP(C885,Customers!$A$2:$F$301,5,FALSE()),"")</f>
        <v>Retail</v>
      </c>
      <c r="P885">
        <f>IFERROR(VLOOKUP(C885,Customers!$A$2:$F$301,3,FALSE()),"")</f>
        <v>56</v>
      </c>
      <c r="Q885">
        <f t="shared" si="39"/>
        <v>0.43278688524590164</v>
      </c>
      <c r="R885">
        <f>IF(AND(COUNTIF($A$2:$A$2027,A885)&gt;1,COUNTIF($A$2:A885,A885)=1),1,0)</f>
        <v>0</v>
      </c>
      <c r="S885" t="b">
        <f>IFERROR(VLOOKUP(D885,Products!$A$2:$F$61,6,FALSE()),"")</f>
        <v>1</v>
      </c>
      <c r="T885" t="str">
        <f>IF(COUNTIF(Customers!$A$2:$A$301,C885)=0,"Missing","OK")</f>
        <v>OK</v>
      </c>
      <c r="U885" t="str">
        <f t="shared" si="40"/>
        <v>Pune</v>
      </c>
      <c r="V885">
        <f t="shared" si="41"/>
        <v>0</v>
      </c>
    </row>
    <row r="886" spans="1:22" ht="15" customHeight="1" x14ac:dyDescent="0.35">
      <c r="A886" s="3" t="s">
        <v>1304</v>
      </c>
      <c r="B886" s="4">
        <v>45562</v>
      </c>
      <c r="C886" s="3" t="s">
        <v>151</v>
      </c>
      <c r="D886" s="3" t="s">
        <v>184</v>
      </c>
      <c r="E886" s="3" t="s">
        <v>282</v>
      </c>
      <c r="F886" s="5">
        <v>1</v>
      </c>
      <c r="G886" s="5">
        <v>2270</v>
      </c>
      <c r="H886" s="5">
        <v>27.8</v>
      </c>
      <c r="I886" s="5">
        <v>1638.94</v>
      </c>
      <c r="J886" s="3" t="s">
        <v>26</v>
      </c>
      <c r="K886" s="3" t="s">
        <v>51</v>
      </c>
      <c r="L886" t="str">
        <f>IFERROR(VLOOKUP(D886,Products!$A$2:$F$61,3,FALSE()),"")</f>
        <v>Grocery</v>
      </c>
      <c r="M886" t="str">
        <f>IFERROR(VLOOKUP(E886,Sales_Reps!$A$2:$C$31,3,FALSE()),"")</f>
        <v>West</v>
      </c>
      <c r="N886">
        <f>IFERROR(VLOOKUP(D886,Products!$A$2:$F$61,4,FALSE()),"")</f>
        <v>1412</v>
      </c>
      <c r="O886" t="str">
        <f>IFERROR(VLOOKUP(C886,Customers!$A$2:$F$301,5,FALSE()),"")</f>
        <v>SMB</v>
      </c>
      <c r="P886">
        <f>IFERROR(VLOOKUP(C886,Customers!$A$2:$F$301,3,FALSE()),"")</f>
        <v>36</v>
      </c>
      <c r="Q886">
        <f t="shared" si="39"/>
        <v>0.37797356828193834</v>
      </c>
      <c r="R886">
        <f>IF(AND(COUNTIF($A$2:$A$2027,A886)&gt;1,COUNTIF($A$2:A886,A886)=1),1,0)</f>
        <v>0</v>
      </c>
      <c r="S886" t="b">
        <f>IFERROR(VLOOKUP(D886,Products!$A$2:$F$61,6,FALSE()),"")</f>
        <v>1</v>
      </c>
      <c r="T886" t="str">
        <f>IF(COUNTIF(Customers!$A$2:$A$301,C886)=0,"Missing","OK")</f>
        <v>OK</v>
      </c>
      <c r="U886" t="str">
        <f t="shared" si="40"/>
        <v>Mumbai</v>
      </c>
      <c r="V886">
        <f t="shared" si="41"/>
        <v>0</v>
      </c>
    </row>
    <row r="887" spans="1:22" ht="15" customHeight="1" x14ac:dyDescent="0.35">
      <c r="A887" s="3" t="s">
        <v>1305</v>
      </c>
      <c r="B887" s="4">
        <v>45638</v>
      </c>
      <c r="C887" s="3" t="s">
        <v>461</v>
      </c>
      <c r="D887" s="3" t="s">
        <v>347</v>
      </c>
      <c r="E887" s="3" t="s">
        <v>60</v>
      </c>
      <c r="F887" s="5">
        <v>9</v>
      </c>
      <c r="G887" s="5">
        <v>3970</v>
      </c>
      <c r="H887" s="5">
        <v>7</v>
      </c>
      <c r="I887" s="5">
        <v>33228.9</v>
      </c>
      <c r="J887" s="3" t="s">
        <v>26</v>
      </c>
      <c r="K887" s="3" t="s">
        <v>38</v>
      </c>
      <c r="L887" t="str">
        <f>IFERROR(VLOOKUP(D887,Products!$A$2:$F$61,3,FALSE()),"")</f>
        <v>Electronics</v>
      </c>
      <c r="M887" t="str">
        <f>IFERROR(VLOOKUP(E887,Sales_Reps!$A$2:$C$31,3,FALSE()),"")</f>
        <v>East</v>
      </c>
      <c r="N887">
        <f>IFERROR(VLOOKUP(D887,Products!$A$2:$F$61,4,FALSE()),"")</f>
        <v>2865</v>
      </c>
      <c r="O887" t="str">
        <f>IFERROR(VLOOKUP(C887,Customers!$A$2:$F$301,5,FALSE()),"")</f>
        <v>SMB</v>
      </c>
      <c r="P887">
        <f>IFERROR(VLOOKUP(C887,Customers!$A$2:$F$301,3,FALSE()),"")</f>
        <v>55</v>
      </c>
      <c r="Q887">
        <f t="shared" si="39"/>
        <v>0.27833753148614609</v>
      </c>
      <c r="R887">
        <f>IF(AND(COUNTIF($A$2:$A$2027,A887)&gt;1,COUNTIF($A$2:A887,A887)=1),1,0)</f>
        <v>0</v>
      </c>
      <c r="S887" t="b">
        <f>IFERROR(VLOOKUP(D887,Products!$A$2:$F$61,6,FALSE()),"")</f>
        <v>1</v>
      </c>
      <c r="T887" t="str">
        <f>IF(COUNTIF(Customers!$A$2:$A$301,C887)=0,"Missing","OK")</f>
        <v>OK</v>
      </c>
      <c r="U887" t="str">
        <f t="shared" si="40"/>
        <v>Delhi</v>
      </c>
      <c r="V887">
        <f t="shared" si="41"/>
        <v>0</v>
      </c>
    </row>
    <row r="888" spans="1:22" ht="15" customHeight="1" x14ac:dyDescent="0.35">
      <c r="A888" s="3" t="s">
        <v>1306</v>
      </c>
      <c r="B888" s="4">
        <v>45408</v>
      </c>
      <c r="C888" s="3" t="s">
        <v>545</v>
      </c>
      <c r="D888" s="3" t="s">
        <v>130</v>
      </c>
      <c r="E888" s="3" t="s">
        <v>87</v>
      </c>
      <c r="F888" s="5">
        <v>9</v>
      </c>
      <c r="G888" s="5">
        <v>5100</v>
      </c>
      <c r="H888" s="5">
        <v>9.6999999999999993</v>
      </c>
      <c r="I888" s="5">
        <v>41447.699999999997</v>
      </c>
      <c r="J888" s="3" t="s">
        <v>26</v>
      </c>
      <c r="K888" s="3" t="s">
        <v>51</v>
      </c>
      <c r="L888" t="str">
        <f>IFERROR(VLOOKUP(D888,Products!$A$2:$F$61,3,FALSE()),"")</f>
        <v>Beauty</v>
      </c>
      <c r="M888" t="str">
        <f>IFERROR(VLOOKUP(E888,Sales_Reps!$A$2:$C$31,3,FALSE()),"")</f>
        <v>North</v>
      </c>
      <c r="N888">
        <f>IFERROR(VLOOKUP(D888,Products!$A$2:$F$61,4,FALSE()),"")</f>
        <v>2237</v>
      </c>
      <c r="O888" t="str">
        <f>IFERROR(VLOOKUP(C888,Customers!$A$2:$F$301,5,FALSE()),"")</f>
        <v>Retail</v>
      </c>
      <c r="P888">
        <f>IFERROR(VLOOKUP(C888,Customers!$A$2:$F$301,3,FALSE()),"")</f>
        <v>52</v>
      </c>
      <c r="Q888">
        <f t="shared" si="39"/>
        <v>0.56137254901960787</v>
      </c>
      <c r="R888">
        <f>IF(AND(COUNTIF($A$2:$A$2027,A888)&gt;1,COUNTIF($A$2:A888,A888)=1),1,0)</f>
        <v>0</v>
      </c>
      <c r="S888" t="b">
        <f>IFERROR(VLOOKUP(D888,Products!$A$2:$F$61,6,FALSE()),"")</f>
        <v>1</v>
      </c>
      <c r="T888" t="str">
        <f>IF(COUNTIF(Customers!$A$2:$A$301,C888)=0,"Missing","OK")</f>
        <v>OK</v>
      </c>
      <c r="U888" t="str">
        <f t="shared" si="40"/>
        <v>Mumbai</v>
      </c>
      <c r="V888">
        <f t="shared" si="41"/>
        <v>0</v>
      </c>
    </row>
    <row r="889" spans="1:22" ht="15" customHeight="1" x14ac:dyDescent="0.35">
      <c r="A889" s="3" t="s">
        <v>1307</v>
      </c>
      <c r="B889" s="4">
        <v>45498</v>
      </c>
      <c r="C889" s="3" t="s">
        <v>485</v>
      </c>
      <c r="D889" s="3" t="s">
        <v>86</v>
      </c>
      <c r="E889" s="3" t="s">
        <v>31</v>
      </c>
      <c r="F889" s="5">
        <v>8</v>
      </c>
      <c r="G889" s="5">
        <v>190</v>
      </c>
      <c r="H889" s="5">
        <v>10.199999999999999</v>
      </c>
      <c r="I889" s="5">
        <v>1364.96</v>
      </c>
      <c r="J889" s="3" t="s">
        <v>26</v>
      </c>
      <c r="K889" s="3" t="s">
        <v>38</v>
      </c>
      <c r="L889" t="str">
        <f>IFERROR(VLOOKUP(D889,Products!$A$2:$F$61,3,FALSE()),"")</f>
        <v>Sports</v>
      </c>
      <c r="M889" t="str">
        <f>IFERROR(VLOOKUP(E889,Sales_Reps!$A$2:$C$31,3,FALSE()),"")</f>
        <v>North</v>
      </c>
      <c r="N889">
        <f>IFERROR(VLOOKUP(D889,Products!$A$2:$F$61,4,FALSE()),"")</f>
        <v>147</v>
      </c>
      <c r="O889" t="str">
        <f>IFERROR(VLOOKUP(C889,Customers!$A$2:$F$301,5,FALSE()),"")</f>
        <v>SMB</v>
      </c>
      <c r="P889">
        <f>IFERROR(VLOOKUP(C889,Customers!$A$2:$F$301,3,FALSE()),"")</f>
        <v>29</v>
      </c>
      <c r="Q889">
        <f t="shared" si="39"/>
        <v>0.22631578947368422</v>
      </c>
      <c r="R889">
        <f>IF(AND(COUNTIF($A$2:$A$2027,A889)&gt;1,COUNTIF($A$2:A889,A889)=1),1,0)</f>
        <v>0</v>
      </c>
      <c r="S889" t="b">
        <f>IFERROR(VLOOKUP(D889,Products!$A$2:$F$61,6,FALSE()),"")</f>
        <v>1</v>
      </c>
      <c r="T889" t="str">
        <f>IF(COUNTIF(Customers!$A$2:$A$301,C889)=0,"Missing","OK")</f>
        <v>OK</v>
      </c>
      <c r="U889" t="str">
        <f t="shared" si="40"/>
        <v>Delhi</v>
      </c>
      <c r="V889">
        <f t="shared" si="41"/>
        <v>0</v>
      </c>
    </row>
    <row r="890" spans="1:22" ht="15" customHeight="1" x14ac:dyDescent="0.35">
      <c r="A890" s="3" t="s">
        <v>1308</v>
      </c>
      <c r="B890" s="4">
        <v>45649</v>
      </c>
      <c r="C890" s="3" t="s">
        <v>310</v>
      </c>
      <c r="D890" s="3" t="s">
        <v>180</v>
      </c>
      <c r="E890" s="3" t="s">
        <v>140</v>
      </c>
      <c r="F890" s="5">
        <v>1</v>
      </c>
      <c r="G890" s="5">
        <v>6080</v>
      </c>
      <c r="H890" s="5">
        <v>5.6</v>
      </c>
      <c r="I890" s="5">
        <v>5739.52</v>
      </c>
      <c r="J890" s="3" t="s">
        <v>26</v>
      </c>
      <c r="K890" s="3" t="s">
        <v>51</v>
      </c>
      <c r="L890" t="str">
        <f>IFERROR(VLOOKUP(D890,Products!$A$2:$F$61,3,FALSE()),"")</f>
        <v>Beauty</v>
      </c>
      <c r="M890" t="str">
        <f>IFERROR(VLOOKUP(E890,Sales_Reps!$A$2:$C$31,3,FALSE()),"")</f>
        <v>West</v>
      </c>
      <c r="N890">
        <f>IFERROR(VLOOKUP(D890,Products!$A$2:$F$61,4,FALSE()),"")</f>
        <v>2617</v>
      </c>
      <c r="O890" t="str">
        <f>IFERROR(VLOOKUP(C890,Customers!$A$2:$F$301,5,FALSE()),"")</f>
        <v>Retail</v>
      </c>
      <c r="P890">
        <f>IFERROR(VLOOKUP(C890,Customers!$A$2:$F$301,3,FALSE()),"")</f>
        <v>42</v>
      </c>
      <c r="Q890">
        <f t="shared" si="39"/>
        <v>0.56957236842105263</v>
      </c>
      <c r="R890">
        <f>IF(AND(COUNTIF($A$2:$A$2027,A890)&gt;1,COUNTIF($A$2:A890,A890)=1),1,0)</f>
        <v>0</v>
      </c>
      <c r="S890" t="b">
        <f>IFERROR(VLOOKUP(D890,Products!$A$2:$F$61,6,FALSE()),"")</f>
        <v>1</v>
      </c>
      <c r="T890" t="str">
        <f>IF(COUNTIF(Customers!$A$2:$A$301,C890)=0,"Missing","OK")</f>
        <v>OK</v>
      </c>
      <c r="U890" t="str">
        <f t="shared" si="40"/>
        <v>Mumbai</v>
      </c>
      <c r="V890">
        <f t="shared" si="41"/>
        <v>0</v>
      </c>
    </row>
    <row r="891" spans="1:22" ht="15" customHeight="1" x14ac:dyDescent="0.35">
      <c r="A891" s="3" t="s">
        <v>1309</v>
      </c>
      <c r="B891" s="4">
        <v>45484</v>
      </c>
      <c r="C891" s="3" t="s">
        <v>536</v>
      </c>
      <c r="D891" s="3" t="s">
        <v>54</v>
      </c>
      <c r="E891" s="3" t="s">
        <v>131</v>
      </c>
      <c r="F891" s="5">
        <v>6</v>
      </c>
      <c r="G891" s="5">
        <v>960</v>
      </c>
      <c r="H891" s="5">
        <v>1.9</v>
      </c>
      <c r="I891" s="5">
        <v>5650.56</v>
      </c>
      <c r="J891" s="3" t="s">
        <v>26</v>
      </c>
      <c r="K891" s="3" t="s">
        <v>51</v>
      </c>
      <c r="L891" t="str">
        <f>IFERROR(VLOOKUP(D891,Products!$A$2:$F$61,3,FALSE()),"")</f>
        <v>Sports</v>
      </c>
      <c r="M891" t="str">
        <f>IFERROR(VLOOKUP(E891,Sales_Reps!$A$2:$C$31,3,FALSE()),"")</f>
        <v>East</v>
      </c>
      <c r="N891">
        <f>IFERROR(VLOOKUP(D891,Products!$A$2:$F$61,4,FALSE()),"")</f>
        <v>705</v>
      </c>
      <c r="O891" t="str">
        <f>IFERROR(VLOOKUP(C891,Customers!$A$2:$F$301,5,FALSE()),"")</f>
        <v>Retail</v>
      </c>
      <c r="P891">
        <f>IFERROR(VLOOKUP(C891,Customers!$A$2:$F$301,3,FALSE()),"")</f>
        <v>39</v>
      </c>
      <c r="Q891">
        <f t="shared" si="39"/>
        <v>0.265625</v>
      </c>
      <c r="R891">
        <f>IF(AND(COUNTIF($A$2:$A$2027,A891)&gt;1,COUNTIF($A$2:A891,A891)=1),1,0)</f>
        <v>0</v>
      </c>
      <c r="S891" t="b">
        <f>IFERROR(VLOOKUP(D891,Products!$A$2:$F$61,6,FALSE()),"")</f>
        <v>1</v>
      </c>
      <c r="T891" t="str">
        <f>IF(COUNTIF(Customers!$A$2:$A$301,C891)=0,"Missing","OK")</f>
        <v>OK</v>
      </c>
      <c r="U891" t="str">
        <f t="shared" si="40"/>
        <v>Mumbai</v>
      </c>
      <c r="V891">
        <f t="shared" si="41"/>
        <v>0</v>
      </c>
    </row>
    <row r="892" spans="1:22" ht="15" customHeight="1" x14ac:dyDescent="0.35">
      <c r="A892" s="3" t="s">
        <v>1310</v>
      </c>
      <c r="B892" s="4">
        <v>45316</v>
      </c>
      <c r="C892" s="3" t="s">
        <v>472</v>
      </c>
      <c r="D892" s="3" t="s">
        <v>198</v>
      </c>
      <c r="E892" s="3" t="s">
        <v>78</v>
      </c>
      <c r="F892" s="5">
        <v>7</v>
      </c>
      <c r="G892" s="5">
        <v>1540</v>
      </c>
      <c r="H892" s="5">
        <v>7.1</v>
      </c>
      <c r="I892" s="5">
        <v>10014.620000000001</v>
      </c>
      <c r="J892" s="3" t="s">
        <v>26</v>
      </c>
      <c r="K892" s="3" t="s">
        <v>38</v>
      </c>
      <c r="L892" t="str">
        <f>IFERROR(VLOOKUP(D892,Products!$A$2:$F$61,3,FALSE()),"")</f>
        <v>Beauty</v>
      </c>
      <c r="M892" t="str">
        <f>IFERROR(VLOOKUP(E892,Sales_Reps!$A$2:$C$31,3,FALSE()),"")</f>
        <v>North</v>
      </c>
      <c r="N892">
        <f>IFERROR(VLOOKUP(D892,Products!$A$2:$F$61,4,FALSE()),"")</f>
        <v>647</v>
      </c>
      <c r="O892" t="str">
        <f>IFERROR(VLOOKUP(C892,Customers!$A$2:$F$301,5,FALSE()),"")</f>
        <v>SMB</v>
      </c>
      <c r="P892">
        <f>IFERROR(VLOOKUP(C892,Customers!$A$2:$F$301,3,FALSE()),"")</f>
        <v>48</v>
      </c>
      <c r="Q892">
        <f t="shared" si="39"/>
        <v>0.57987012987012987</v>
      </c>
      <c r="R892">
        <f>IF(AND(COUNTIF($A$2:$A$2027,A892)&gt;1,COUNTIF($A$2:A892,A892)=1),1,0)</f>
        <v>0</v>
      </c>
      <c r="S892" t="b">
        <f>IFERROR(VLOOKUP(D892,Products!$A$2:$F$61,6,FALSE()),"")</f>
        <v>0</v>
      </c>
      <c r="T892" t="str">
        <f>IF(COUNTIF(Customers!$A$2:$A$301,C892)=0,"Missing","OK")</f>
        <v>OK</v>
      </c>
      <c r="U892" t="str">
        <f t="shared" si="40"/>
        <v>Delhi</v>
      </c>
      <c r="V892">
        <f t="shared" si="41"/>
        <v>0</v>
      </c>
    </row>
    <row r="893" spans="1:22" ht="15" customHeight="1" x14ac:dyDescent="0.35">
      <c r="A893" s="3" t="s">
        <v>1311</v>
      </c>
      <c r="B893" s="4">
        <v>45328</v>
      </c>
      <c r="C893" s="3" t="s">
        <v>200</v>
      </c>
      <c r="D893" s="3" t="s">
        <v>221</v>
      </c>
      <c r="E893" s="3" t="s">
        <v>212</v>
      </c>
      <c r="F893" s="5">
        <v>10</v>
      </c>
      <c r="G893" s="5">
        <v>300</v>
      </c>
      <c r="H893" s="5">
        <v>12.8</v>
      </c>
      <c r="I893" s="5">
        <v>2616</v>
      </c>
      <c r="J893" s="3" t="s">
        <v>79</v>
      </c>
      <c r="K893" s="3" t="s">
        <v>38</v>
      </c>
      <c r="L893" t="str">
        <f>IFERROR(VLOOKUP(D893,Products!$A$2:$F$61,3,FALSE()),"")</f>
        <v>Electronics</v>
      </c>
      <c r="M893" t="str">
        <f>IFERROR(VLOOKUP(E893,Sales_Reps!$A$2:$C$31,3,FALSE()),"")</f>
        <v>South</v>
      </c>
      <c r="N893">
        <f>IFERROR(VLOOKUP(D893,Products!$A$2:$F$61,4,FALSE()),"")</f>
        <v>128</v>
      </c>
      <c r="O893" t="str">
        <f>IFERROR(VLOOKUP(C893,Customers!$A$2:$F$301,5,FALSE()),"")</f>
        <v>Retail</v>
      </c>
      <c r="P893">
        <f>IFERROR(VLOOKUP(C893,Customers!$A$2:$F$301,3,FALSE()),"")</f>
        <v>54</v>
      </c>
      <c r="Q893">
        <f t="shared" si="39"/>
        <v>0.57333333333333336</v>
      </c>
      <c r="R893">
        <f>IF(AND(COUNTIF($A$2:$A$2027,A893)&gt;1,COUNTIF($A$2:A893,A893)=1),1,0)</f>
        <v>0</v>
      </c>
      <c r="S893" t="b">
        <f>IFERROR(VLOOKUP(D893,Products!$A$2:$F$61,6,FALSE()),"")</f>
        <v>1</v>
      </c>
      <c r="T893" t="str">
        <f>IF(COUNTIF(Customers!$A$2:$A$301,C893)=0,"Missing","OK")</f>
        <v>OK</v>
      </c>
      <c r="U893" t="str">
        <f t="shared" si="40"/>
        <v>Delhi</v>
      </c>
      <c r="V893">
        <f t="shared" si="41"/>
        <v>0</v>
      </c>
    </row>
    <row r="894" spans="1:22" ht="15" customHeight="1" x14ac:dyDescent="0.35">
      <c r="A894" s="3" t="s">
        <v>1312</v>
      </c>
      <c r="B894" s="4">
        <v>45456</v>
      </c>
      <c r="C894" s="3" t="s">
        <v>476</v>
      </c>
      <c r="D894" s="3" t="s">
        <v>123</v>
      </c>
      <c r="E894" s="3" t="s">
        <v>212</v>
      </c>
      <c r="F894" s="5">
        <v>4</v>
      </c>
      <c r="G894" s="5">
        <v>4880</v>
      </c>
      <c r="H894" s="5">
        <v>26.5</v>
      </c>
      <c r="I894" s="5">
        <v>14347.2</v>
      </c>
      <c r="J894" s="3" t="s">
        <v>26</v>
      </c>
      <c r="K894" s="3" t="s">
        <v>72</v>
      </c>
      <c r="L894" t="str">
        <f>IFERROR(VLOOKUP(D894,Products!$A$2:$F$61,3,FALSE()),"")</f>
        <v>Beauty</v>
      </c>
      <c r="M894" t="str">
        <f>IFERROR(VLOOKUP(E894,Sales_Reps!$A$2:$C$31,3,FALSE()),"")</f>
        <v>South</v>
      </c>
      <c r="N894">
        <f>IFERROR(VLOOKUP(D894,Products!$A$2:$F$61,4,FALSE()),"")</f>
        <v>2768</v>
      </c>
      <c r="O894" t="str">
        <f>IFERROR(VLOOKUP(C894,Customers!$A$2:$F$301,5,FALSE()),"")</f>
        <v>SMB</v>
      </c>
      <c r="P894">
        <f>IFERROR(VLOOKUP(C894,Customers!$A$2:$F$301,3,FALSE()),"")</f>
        <v>48</v>
      </c>
      <c r="Q894">
        <f t="shared" si="39"/>
        <v>0.43278688524590164</v>
      </c>
      <c r="R894">
        <f>IF(AND(COUNTIF($A$2:$A$2027,A894)&gt;1,COUNTIF($A$2:A894,A894)=1),1,0)</f>
        <v>0</v>
      </c>
      <c r="S894" t="b">
        <f>IFERROR(VLOOKUP(D894,Products!$A$2:$F$61,6,FALSE()),"")</f>
        <v>1</v>
      </c>
      <c r="T894" t="str">
        <f>IF(COUNTIF(Customers!$A$2:$A$301,C894)=0,"Missing","OK")</f>
        <v>OK</v>
      </c>
      <c r="U894" t="str">
        <f t="shared" si="40"/>
        <v>Hyderabad</v>
      </c>
      <c r="V894">
        <f t="shared" si="41"/>
        <v>0</v>
      </c>
    </row>
    <row r="895" spans="1:22" ht="15" customHeight="1" x14ac:dyDescent="0.35">
      <c r="A895" s="3" t="s">
        <v>1313</v>
      </c>
      <c r="B895" s="4">
        <v>45589</v>
      </c>
      <c r="C895" s="3" t="s">
        <v>1200</v>
      </c>
      <c r="D895" s="3" t="s">
        <v>49</v>
      </c>
      <c r="E895" s="3" t="s">
        <v>87</v>
      </c>
      <c r="F895" s="5">
        <v>2</v>
      </c>
      <c r="G895" s="5">
        <v>370</v>
      </c>
      <c r="H895" s="5">
        <v>26.5</v>
      </c>
      <c r="I895" s="5">
        <v>543.9</v>
      </c>
      <c r="J895" s="3" t="s">
        <v>26</v>
      </c>
      <c r="K895" s="3" t="s">
        <v>56</v>
      </c>
      <c r="L895" t="str">
        <f>IFERROR(VLOOKUP(D895,Products!$A$2:$F$61,3,FALSE()),"")</f>
        <v>Home</v>
      </c>
      <c r="M895" t="str">
        <f>IFERROR(VLOOKUP(E895,Sales_Reps!$A$2:$C$31,3,FALSE()),"")</f>
        <v>North</v>
      </c>
      <c r="N895">
        <f>IFERROR(VLOOKUP(D895,Products!$A$2:$F$61,4,FALSE()),"")</f>
        <v>288</v>
      </c>
      <c r="O895" t="str">
        <f>IFERROR(VLOOKUP(C895,Customers!$A$2:$F$301,5,FALSE()),"")</f>
        <v>Retail</v>
      </c>
      <c r="P895">
        <f>IFERROR(VLOOKUP(C895,Customers!$A$2:$F$301,3,FALSE()),"")</f>
        <v>54</v>
      </c>
      <c r="Q895">
        <f t="shared" si="39"/>
        <v>0.22162162162162163</v>
      </c>
      <c r="R895">
        <f>IF(AND(COUNTIF($A$2:$A$2027,A895)&gt;1,COUNTIF($A$2:A895,A895)=1),1,0)</f>
        <v>0</v>
      </c>
      <c r="S895" t="b">
        <f>IFERROR(VLOOKUP(D895,Products!$A$2:$F$61,6,FALSE()),"")</f>
        <v>1</v>
      </c>
      <c r="T895" t="str">
        <f>IF(COUNTIF(Customers!$A$2:$A$301,C895)=0,"Missing","OK")</f>
        <v>OK</v>
      </c>
      <c r="U895" t="str">
        <f t="shared" si="40"/>
        <v>Bengaluru</v>
      </c>
      <c r="V895">
        <f t="shared" si="41"/>
        <v>0</v>
      </c>
    </row>
    <row r="896" spans="1:22" ht="15" customHeight="1" x14ac:dyDescent="0.35">
      <c r="A896" s="3" t="s">
        <v>1314</v>
      </c>
      <c r="B896" s="4">
        <v>45593</v>
      </c>
      <c r="C896" s="3" t="s">
        <v>315</v>
      </c>
      <c r="D896" s="3" t="s">
        <v>209</v>
      </c>
      <c r="E896" s="3" t="s">
        <v>236</v>
      </c>
      <c r="F896" s="5">
        <v>3</v>
      </c>
      <c r="G896" s="5">
        <v>4610</v>
      </c>
      <c r="H896" s="5">
        <v>29.7</v>
      </c>
      <c r="I896" s="5">
        <v>9722.49</v>
      </c>
      <c r="J896" s="3" t="s">
        <v>26</v>
      </c>
      <c r="K896" s="3" t="s">
        <v>56</v>
      </c>
      <c r="L896" t="str">
        <f>IFERROR(VLOOKUP(D896,Products!$A$2:$F$61,3,FALSE()),"")</f>
        <v>Home</v>
      </c>
      <c r="M896" t="str">
        <f>IFERROR(VLOOKUP(E896,Sales_Reps!$A$2:$C$31,3,FALSE()),"")</f>
        <v>North</v>
      </c>
      <c r="N896">
        <f>IFERROR(VLOOKUP(D896,Products!$A$2:$F$61,4,FALSE()),"")</f>
        <v>1850</v>
      </c>
      <c r="O896" t="str">
        <f>IFERROR(VLOOKUP(C896,Customers!$A$2:$F$301,5,FALSE()),"")</f>
        <v>SMB</v>
      </c>
      <c r="P896">
        <f>IFERROR(VLOOKUP(C896,Customers!$A$2:$F$301,3,FALSE()),"")</f>
        <v>44</v>
      </c>
      <c r="Q896">
        <f t="shared" si="39"/>
        <v>0.59869848156182215</v>
      </c>
      <c r="R896">
        <f>IF(AND(COUNTIF($A$2:$A$2027,A896)&gt;1,COUNTIF($A$2:A896,A896)=1),1,0)</f>
        <v>0</v>
      </c>
      <c r="S896" t="b">
        <f>IFERROR(VLOOKUP(D896,Products!$A$2:$F$61,6,FALSE()),"")</f>
        <v>1</v>
      </c>
      <c r="T896" t="str">
        <f>IF(COUNTIF(Customers!$A$2:$A$301,C896)=0,"Missing","OK")</f>
        <v>OK</v>
      </c>
      <c r="U896" t="str">
        <f t="shared" si="40"/>
        <v>Bengaluru</v>
      </c>
      <c r="V896">
        <f t="shared" si="41"/>
        <v>0</v>
      </c>
    </row>
    <row r="897" spans="1:22" ht="15" customHeight="1" x14ac:dyDescent="0.35">
      <c r="A897" s="3" t="s">
        <v>1315</v>
      </c>
      <c r="B897" s="4">
        <v>45539</v>
      </c>
      <c r="C897" s="3" t="s">
        <v>612</v>
      </c>
      <c r="D897" s="3" t="s">
        <v>77</v>
      </c>
      <c r="E897" s="3" t="s">
        <v>191</v>
      </c>
      <c r="F897" s="5">
        <v>5</v>
      </c>
      <c r="G897" s="5">
        <v>2600</v>
      </c>
      <c r="H897" s="5">
        <v>21.4</v>
      </c>
      <c r="I897" s="5">
        <v>10218</v>
      </c>
      <c r="J897" s="3" t="s">
        <v>26</v>
      </c>
      <c r="K897" s="3" t="s">
        <v>51</v>
      </c>
      <c r="L897" t="str">
        <f>IFERROR(VLOOKUP(D897,Products!$A$2:$F$61,3,FALSE()),"")</f>
        <v>Electronics</v>
      </c>
      <c r="M897" t="str">
        <f>IFERROR(VLOOKUP(E897,Sales_Reps!$A$2:$C$31,3,FALSE()),"")</f>
        <v>South</v>
      </c>
      <c r="N897">
        <f>IFERROR(VLOOKUP(D897,Products!$A$2:$F$61,4,FALSE()),"")</f>
        <v>1052</v>
      </c>
      <c r="O897" t="str">
        <f>IFERROR(VLOOKUP(C897,Customers!$A$2:$F$301,5,FALSE()),"")</f>
        <v>Retail</v>
      </c>
      <c r="P897">
        <f>IFERROR(VLOOKUP(C897,Customers!$A$2:$F$301,3,FALSE()),"")</f>
        <v>35</v>
      </c>
      <c r="Q897">
        <f t="shared" si="39"/>
        <v>0.5953846153846154</v>
      </c>
      <c r="R897">
        <f>IF(AND(COUNTIF($A$2:$A$2027,A897)&gt;1,COUNTIF($A$2:A897,A897)=1),1,0)</f>
        <v>0</v>
      </c>
      <c r="S897" t="b">
        <f>IFERROR(VLOOKUP(D897,Products!$A$2:$F$61,6,FALSE()),"")</f>
        <v>1</v>
      </c>
      <c r="T897" t="str">
        <f>IF(COUNTIF(Customers!$A$2:$A$301,C897)=0,"Missing","OK")</f>
        <v>OK</v>
      </c>
      <c r="U897" t="str">
        <f t="shared" si="40"/>
        <v>Mumbai</v>
      </c>
      <c r="V897">
        <f t="shared" si="41"/>
        <v>0</v>
      </c>
    </row>
    <row r="898" spans="1:22" ht="15" customHeight="1" x14ac:dyDescent="0.35">
      <c r="A898" s="3" t="s">
        <v>993</v>
      </c>
      <c r="B898" s="4">
        <v>45436</v>
      </c>
      <c r="C898" s="3" t="s">
        <v>659</v>
      </c>
      <c r="D898" s="3" t="s">
        <v>206</v>
      </c>
      <c r="E898" s="3" t="s">
        <v>50</v>
      </c>
      <c r="F898" s="5">
        <v>10</v>
      </c>
      <c r="G898" s="5">
        <v>1220</v>
      </c>
      <c r="H898" s="5">
        <v>24.3</v>
      </c>
      <c r="I898" s="5">
        <v>9235.4</v>
      </c>
      <c r="J898" s="3" t="s">
        <v>26</v>
      </c>
      <c r="K898" s="3" t="s">
        <v>27</v>
      </c>
      <c r="L898" t="str">
        <f>IFERROR(VLOOKUP(D898,Products!$A$2:$F$61,3,FALSE()),"")</f>
        <v>Electronics</v>
      </c>
      <c r="M898" t="str">
        <f>IFERROR(VLOOKUP(E898,Sales_Reps!$A$2:$C$31,3,FALSE()),"")</f>
        <v>West</v>
      </c>
      <c r="N898">
        <f>IFERROR(VLOOKUP(D898,Products!$A$2:$F$61,4,FALSE()),"")</f>
        <v>517</v>
      </c>
      <c r="O898" t="str">
        <f>IFERROR(VLOOKUP(C898,Customers!$A$2:$F$301,5,FALSE()),"")</f>
        <v>Retail</v>
      </c>
      <c r="P898">
        <f>IFERROR(VLOOKUP(C898,Customers!$A$2:$F$301,3,FALSE()),"")</f>
        <v>48</v>
      </c>
      <c r="Q898">
        <f t="shared" ref="Q898:Q961" si="42">IFERROR((G898-N898)/G898,"")</f>
        <v>0.57622950819672136</v>
      </c>
      <c r="R898">
        <f>IF(AND(COUNTIF($A$2:$A$2027,A898)&gt;1,COUNTIF($A$2:A898,A898)=1),1,0)</f>
        <v>0</v>
      </c>
      <c r="S898" t="b">
        <f>IFERROR(VLOOKUP(D898,Products!$A$2:$F$61,6,FALSE()),"")</f>
        <v>1</v>
      </c>
      <c r="T898" t="str">
        <f>IF(COUNTIF(Customers!$A$2:$A$301,C898)=0,"Missing","OK")</f>
        <v>OK</v>
      </c>
      <c r="U898" t="str">
        <f t="shared" ref="U898:U961" si="43">IF(K898="","",PROPER(TRIM(K898)))</f>
        <v>Pune</v>
      </c>
      <c r="V898">
        <f t="shared" ref="V898:V961" si="44">IF(AND(U898="Bengaluru",L898="Grocery"),I898,0)</f>
        <v>0</v>
      </c>
    </row>
    <row r="899" spans="1:22" ht="15" customHeight="1" x14ac:dyDescent="0.35">
      <c r="A899" s="3" t="s">
        <v>1316</v>
      </c>
      <c r="B899" s="4">
        <v>45646</v>
      </c>
      <c r="C899" s="3" t="s">
        <v>1317</v>
      </c>
      <c r="D899" s="3" t="s">
        <v>59</v>
      </c>
      <c r="E899" s="3" t="s">
        <v>127</v>
      </c>
      <c r="F899" s="5">
        <v>10</v>
      </c>
      <c r="G899" s="5">
        <v>1430</v>
      </c>
      <c r="H899" s="5">
        <v>5.0999999999999996</v>
      </c>
      <c r="I899" s="5">
        <v>13570.7</v>
      </c>
      <c r="J899" s="3" t="s">
        <v>79</v>
      </c>
      <c r="K899" s="3" t="s">
        <v>33</v>
      </c>
      <c r="L899" t="str">
        <f>IFERROR(VLOOKUP(D899,Products!$A$2:$F$61,3,FALSE()),"")</f>
        <v>Electronics</v>
      </c>
      <c r="M899" t="str">
        <f>IFERROR(VLOOKUP(E899,Sales_Reps!$A$2:$C$31,3,FALSE()),"")</f>
        <v>South</v>
      </c>
      <c r="N899">
        <f>IFERROR(VLOOKUP(D899,Products!$A$2:$F$61,4,FALSE()),"")</f>
        <v>861</v>
      </c>
      <c r="O899" t="str">
        <f>IFERROR(VLOOKUP(C899,Customers!$A$2:$F$301,5,FALSE()),"")</f>
        <v/>
      </c>
      <c r="P899" t="str">
        <f>IFERROR(VLOOKUP(C899,Customers!$A$2:$F$301,3,FALSE()),"")</f>
        <v/>
      </c>
      <c r="Q899">
        <f t="shared" si="42"/>
        <v>0.39790209790209791</v>
      </c>
      <c r="R899">
        <f>IF(AND(COUNTIF($A$2:$A$2027,A899)&gt;1,COUNTIF($A$2:A899,A899)=1),1,0)</f>
        <v>0</v>
      </c>
      <c r="S899" t="b">
        <f>IFERROR(VLOOKUP(D899,Products!$A$2:$F$61,6,FALSE()),"")</f>
        <v>1</v>
      </c>
      <c r="T899" t="str">
        <f>IF(COUNTIF(Customers!$A$2:$A$301,C899)=0,"Missing","OK")</f>
        <v>Missing</v>
      </c>
      <c r="U899" t="str">
        <f t="shared" si="43"/>
        <v>Chennai</v>
      </c>
      <c r="V899">
        <f t="shared" si="44"/>
        <v>0</v>
      </c>
    </row>
    <row r="900" spans="1:22" ht="15" customHeight="1" x14ac:dyDescent="0.35">
      <c r="A900" s="3" t="s">
        <v>1318</v>
      </c>
      <c r="B900" s="4">
        <v>45478</v>
      </c>
      <c r="C900" s="3" t="s">
        <v>240</v>
      </c>
      <c r="D900" s="3" t="s">
        <v>123</v>
      </c>
      <c r="E900" s="3" t="s">
        <v>109</v>
      </c>
      <c r="F900" s="5">
        <v>10</v>
      </c>
      <c r="G900" s="5">
        <v>4880</v>
      </c>
      <c r="H900" s="5">
        <v>25.5</v>
      </c>
      <c r="I900" s="5">
        <v>36356</v>
      </c>
      <c r="J900" s="3" t="s">
        <v>79</v>
      </c>
      <c r="K900" s="3" t="s">
        <v>33</v>
      </c>
      <c r="L900" t="str">
        <f>IFERROR(VLOOKUP(D900,Products!$A$2:$F$61,3,FALSE()),"")</f>
        <v>Beauty</v>
      </c>
      <c r="M900" t="str">
        <f>IFERROR(VLOOKUP(E900,Sales_Reps!$A$2:$C$31,3,FALSE()),"")</f>
        <v>West</v>
      </c>
      <c r="N900">
        <f>IFERROR(VLOOKUP(D900,Products!$A$2:$F$61,4,FALSE()),"")</f>
        <v>2768</v>
      </c>
      <c r="O900" t="str">
        <f>IFERROR(VLOOKUP(C900,Customers!$A$2:$F$301,5,FALSE()),"")</f>
        <v>Retail</v>
      </c>
      <c r="P900">
        <f>IFERROR(VLOOKUP(C900,Customers!$A$2:$F$301,3,FALSE()),"")</f>
        <v>41</v>
      </c>
      <c r="Q900">
        <f t="shared" si="42"/>
        <v>0.43278688524590164</v>
      </c>
      <c r="R900">
        <f>IF(AND(COUNTIF($A$2:$A$2027,A900)&gt;1,COUNTIF($A$2:A900,A900)=1),1,0)</f>
        <v>0</v>
      </c>
      <c r="S900" t="b">
        <f>IFERROR(VLOOKUP(D900,Products!$A$2:$F$61,6,FALSE()),"")</f>
        <v>1</v>
      </c>
      <c r="T900" t="str">
        <f>IF(COUNTIF(Customers!$A$2:$A$301,C900)=0,"Missing","OK")</f>
        <v>OK</v>
      </c>
      <c r="U900" t="str">
        <f t="shared" si="43"/>
        <v>Chennai</v>
      </c>
      <c r="V900">
        <f t="shared" si="44"/>
        <v>0</v>
      </c>
    </row>
    <row r="901" spans="1:22" ht="15" customHeight="1" x14ac:dyDescent="0.35">
      <c r="A901" s="3" t="s">
        <v>1319</v>
      </c>
      <c r="B901" s="4">
        <v>45518</v>
      </c>
      <c r="C901" s="3" t="s">
        <v>905</v>
      </c>
      <c r="D901" s="3" t="s">
        <v>180</v>
      </c>
      <c r="E901" s="3" t="s">
        <v>67</v>
      </c>
      <c r="F901" s="5">
        <v>6</v>
      </c>
      <c r="G901" s="5">
        <v>6080</v>
      </c>
      <c r="H901" s="5">
        <v>21.6</v>
      </c>
      <c r="I901" s="5">
        <v>28600.32</v>
      </c>
      <c r="J901" s="3" t="s">
        <v>26</v>
      </c>
      <c r="K901" s="3" t="s">
        <v>72</v>
      </c>
      <c r="L901" t="str">
        <f>IFERROR(VLOOKUP(D901,Products!$A$2:$F$61,3,FALSE()),"")</f>
        <v>Beauty</v>
      </c>
      <c r="M901" t="str">
        <f>IFERROR(VLOOKUP(E901,Sales_Reps!$A$2:$C$31,3,FALSE()),"")</f>
        <v>West</v>
      </c>
      <c r="N901">
        <f>IFERROR(VLOOKUP(D901,Products!$A$2:$F$61,4,FALSE()),"")</f>
        <v>2617</v>
      </c>
      <c r="O901" t="str">
        <f>IFERROR(VLOOKUP(C901,Customers!$A$2:$F$301,5,FALSE()),"")</f>
        <v>SMB</v>
      </c>
      <c r="P901">
        <f>IFERROR(VLOOKUP(C901,Customers!$A$2:$F$301,3,FALSE()),"")</f>
        <v>31</v>
      </c>
      <c r="Q901">
        <f t="shared" si="42"/>
        <v>0.56957236842105263</v>
      </c>
      <c r="R901">
        <f>IF(AND(COUNTIF($A$2:$A$2027,A901)&gt;1,COUNTIF($A$2:A901,A901)=1),1,0)</f>
        <v>0</v>
      </c>
      <c r="S901" t="b">
        <f>IFERROR(VLOOKUP(D901,Products!$A$2:$F$61,6,FALSE()),"")</f>
        <v>1</v>
      </c>
      <c r="T901" t="str">
        <f>IF(COUNTIF(Customers!$A$2:$A$301,C901)=0,"Missing","OK")</f>
        <v>OK</v>
      </c>
      <c r="U901" t="str">
        <f t="shared" si="43"/>
        <v>Hyderabad</v>
      </c>
      <c r="V901">
        <f t="shared" si="44"/>
        <v>0</v>
      </c>
    </row>
    <row r="902" spans="1:22" ht="15" customHeight="1" x14ac:dyDescent="0.35">
      <c r="A902" s="3" t="s">
        <v>1320</v>
      </c>
      <c r="B902" s="4">
        <v>45319</v>
      </c>
      <c r="C902" s="3" t="s">
        <v>480</v>
      </c>
      <c r="D902" s="3" t="s">
        <v>215</v>
      </c>
      <c r="E902" s="3" t="s">
        <v>191</v>
      </c>
      <c r="F902" s="5">
        <v>3</v>
      </c>
      <c r="G902" s="5">
        <v>3020</v>
      </c>
      <c r="H902" s="5">
        <v>20.7</v>
      </c>
      <c r="I902" s="5">
        <v>7184.58</v>
      </c>
      <c r="J902" s="3" t="s">
        <v>26</v>
      </c>
      <c r="K902" s="3" t="s">
        <v>33</v>
      </c>
      <c r="L902" t="str">
        <f>IFERROR(VLOOKUP(D902,Products!$A$2:$F$61,3,FALSE()),"")</f>
        <v>Beauty</v>
      </c>
      <c r="M902" t="str">
        <f>IFERROR(VLOOKUP(E902,Sales_Reps!$A$2:$C$31,3,FALSE()),"")</f>
        <v>South</v>
      </c>
      <c r="N902">
        <f>IFERROR(VLOOKUP(D902,Products!$A$2:$F$61,4,FALSE()),"")</f>
        <v>1626</v>
      </c>
      <c r="O902" t="str">
        <f>IFERROR(VLOOKUP(C902,Customers!$A$2:$F$301,5,FALSE()),"")</f>
        <v>Corporate</v>
      </c>
      <c r="P902">
        <f>IFERROR(VLOOKUP(C902,Customers!$A$2:$F$301,3,FALSE()),"")</f>
        <v>34</v>
      </c>
      <c r="Q902">
        <f t="shared" si="42"/>
        <v>0.46158940397350995</v>
      </c>
      <c r="R902">
        <f>IF(AND(COUNTIF($A$2:$A$2027,A902)&gt;1,COUNTIF($A$2:A902,A902)=1),1,0)</f>
        <v>0</v>
      </c>
      <c r="S902" t="b">
        <f>IFERROR(VLOOKUP(D902,Products!$A$2:$F$61,6,FALSE()),"")</f>
        <v>1</v>
      </c>
      <c r="T902" t="str">
        <f>IF(COUNTIF(Customers!$A$2:$A$301,C902)=0,"Missing","OK")</f>
        <v>OK</v>
      </c>
      <c r="U902" t="str">
        <f t="shared" si="43"/>
        <v>Chennai</v>
      </c>
      <c r="V902">
        <f t="shared" si="44"/>
        <v>0</v>
      </c>
    </row>
    <row r="903" spans="1:22" ht="15" customHeight="1" x14ac:dyDescent="0.35">
      <c r="A903" s="3" t="s">
        <v>1321</v>
      </c>
      <c r="B903" s="4">
        <v>45445</v>
      </c>
      <c r="C903" s="3" t="s">
        <v>270</v>
      </c>
      <c r="D903" s="3" t="s">
        <v>112</v>
      </c>
      <c r="E903" s="3" t="s">
        <v>191</v>
      </c>
      <c r="F903" s="5">
        <v>9</v>
      </c>
      <c r="G903" s="5">
        <v>2720</v>
      </c>
      <c r="H903" s="5">
        <v>21.4</v>
      </c>
      <c r="I903" s="5">
        <v>19241.28</v>
      </c>
      <c r="J903" s="3" t="s">
        <v>26</v>
      </c>
      <c r="K903" s="3" t="s">
        <v>56</v>
      </c>
      <c r="L903" t="str">
        <f>IFERROR(VLOOKUP(D903,Products!$A$2:$F$61,3,FALSE()),"")</f>
        <v>Apparel</v>
      </c>
      <c r="M903" t="str">
        <f>IFERROR(VLOOKUP(E903,Sales_Reps!$A$2:$C$31,3,FALSE()),"")</f>
        <v>South</v>
      </c>
      <c r="N903">
        <f>IFERROR(VLOOKUP(D903,Products!$A$2:$F$61,4,FALSE()),"")</f>
        <v>1962</v>
      </c>
      <c r="O903" t="str">
        <f>IFERROR(VLOOKUP(C903,Customers!$A$2:$F$301,5,FALSE()),"")</f>
        <v>Corporate</v>
      </c>
      <c r="P903">
        <f>IFERROR(VLOOKUP(C903,Customers!$A$2:$F$301,3,FALSE()),"")</f>
        <v>59</v>
      </c>
      <c r="Q903">
        <f t="shared" si="42"/>
        <v>0.2786764705882353</v>
      </c>
      <c r="R903">
        <f>IF(AND(COUNTIF($A$2:$A$2027,A903)&gt;1,COUNTIF($A$2:A903,A903)=1),1,0)</f>
        <v>0</v>
      </c>
      <c r="S903" t="b">
        <f>IFERROR(VLOOKUP(D903,Products!$A$2:$F$61,6,FALSE()),"")</f>
        <v>1</v>
      </c>
      <c r="T903" t="str">
        <f>IF(COUNTIF(Customers!$A$2:$A$301,C903)=0,"Missing","OK")</f>
        <v>OK</v>
      </c>
      <c r="U903" t="str">
        <f t="shared" si="43"/>
        <v>Bengaluru</v>
      </c>
      <c r="V903">
        <f t="shared" si="44"/>
        <v>0</v>
      </c>
    </row>
    <row r="904" spans="1:22" ht="15" customHeight="1" x14ac:dyDescent="0.35">
      <c r="A904" s="3" t="s">
        <v>1322</v>
      </c>
      <c r="B904" s="4">
        <v>45417</v>
      </c>
      <c r="C904" s="3" t="s">
        <v>211</v>
      </c>
      <c r="D904" s="3" t="s">
        <v>126</v>
      </c>
      <c r="E904" s="3" t="s">
        <v>50</v>
      </c>
      <c r="F904" s="5">
        <v>10</v>
      </c>
      <c r="G904" s="5">
        <v>3570</v>
      </c>
      <c r="H904" s="5">
        <v>4.4000000000000004</v>
      </c>
      <c r="I904" s="5">
        <v>34129.199999999997</v>
      </c>
      <c r="J904" s="3" t="s">
        <v>26</v>
      </c>
      <c r="K904" s="3" t="s">
        <v>33</v>
      </c>
      <c r="L904" t="str">
        <f>IFERROR(VLOOKUP(D904,Products!$A$2:$F$61,3,FALSE()),"")</f>
        <v>Electronics</v>
      </c>
      <c r="M904" t="str">
        <f>IFERROR(VLOOKUP(E904,Sales_Reps!$A$2:$C$31,3,FALSE()),"")</f>
        <v>West</v>
      </c>
      <c r="N904">
        <f>IFERROR(VLOOKUP(D904,Products!$A$2:$F$61,4,FALSE()),"")</f>
        <v>1665</v>
      </c>
      <c r="O904" t="str">
        <f>IFERROR(VLOOKUP(C904,Customers!$A$2:$F$301,5,FALSE()),"")</f>
        <v>SMB</v>
      </c>
      <c r="P904">
        <f>IFERROR(VLOOKUP(C904,Customers!$A$2:$F$301,3,FALSE()),"")</f>
        <v>55</v>
      </c>
      <c r="Q904">
        <f t="shared" si="42"/>
        <v>0.53361344537815125</v>
      </c>
      <c r="R904">
        <f>IF(AND(COUNTIF($A$2:$A$2027,A904)&gt;1,COUNTIF($A$2:A904,A904)=1),1,0)</f>
        <v>0</v>
      </c>
      <c r="S904" t="b">
        <f>IFERROR(VLOOKUP(D904,Products!$A$2:$F$61,6,FALSE()),"")</f>
        <v>1</v>
      </c>
      <c r="T904" t="str">
        <f>IF(COUNTIF(Customers!$A$2:$A$301,C904)=0,"Missing","OK")</f>
        <v>OK</v>
      </c>
      <c r="U904" t="str">
        <f t="shared" si="43"/>
        <v>Chennai</v>
      </c>
      <c r="V904">
        <f t="shared" si="44"/>
        <v>0</v>
      </c>
    </row>
    <row r="905" spans="1:22" ht="15" customHeight="1" x14ac:dyDescent="0.35">
      <c r="A905" s="3" t="s">
        <v>1323</v>
      </c>
      <c r="B905" s="4">
        <v>45309</v>
      </c>
      <c r="C905" s="3" t="s">
        <v>966</v>
      </c>
      <c r="D905" s="3" t="s">
        <v>103</v>
      </c>
      <c r="E905" s="3" t="s">
        <v>37</v>
      </c>
      <c r="F905" s="5">
        <v>8</v>
      </c>
      <c r="G905" s="5">
        <v>1080</v>
      </c>
      <c r="H905" s="5">
        <v>23.8</v>
      </c>
      <c r="I905" s="5">
        <v>6583.68</v>
      </c>
      <c r="J905" s="3" t="s">
        <v>26</v>
      </c>
      <c r="K905" s="3" t="s">
        <v>51</v>
      </c>
      <c r="L905" t="str">
        <f>IFERROR(VLOOKUP(D905,Products!$A$2:$F$61,3,FALSE()),"")</f>
        <v>Home</v>
      </c>
      <c r="M905" t="str">
        <f>IFERROR(VLOOKUP(E905,Sales_Reps!$A$2:$C$31,3,FALSE()),"")</f>
        <v>South</v>
      </c>
      <c r="N905">
        <f>IFERROR(VLOOKUP(D905,Products!$A$2:$F$61,4,FALSE()),"")</f>
        <v>519</v>
      </c>
      <c r="O905" t="str">
        <f>IFERROR(VLOOKUP(C905,Customers!$A$2:$F$301,5,FALSE()),"")</f>
        <v>SMB</v>
      </c>
      <c r="P905">
        <f>IFERROR(VLOOKUP(C905,Customers!$A$2:$F$301,3,FALSE()),"")</f>
        <v>47</v>
      </c>
      <c r="Q905">
        <f t="shared" si="42"/>
        <v>0.51944444444444449</v>
      </c>
      <c r="R905">
        <f>IF(AND(COUNTIF($A$2:$A$2027,A905)&gt;1,COUNTIF($A$2:A905,A905)=1),1,0)</f>
        <v>0</v>
      </c>
      <c r="S905" t="b">
        <f>IFERROR(VLOOKUP(D905,Products!$A$2:$F$61,6,FALSE()),"")</f>
        <v>1</v>
      </c>
      <c r="T905" t="str">
        <f>IF(COUNTIF(Customers!$A$2:$A$301,C905)=0,"Missing","OK")</f>
        <v>OK</v>
      </c>
      <c r="U905" t="str">
        <f t="shared" si="43"/>
        <v>Mumbai</v>
      </c>
      <c r="V905">
        <f t="shared" si="44"/>
        <v>0</v>
      </c>
    </row>
    <row r="906" spans="1:22" ht="15" customHeight="1" x14ac:dyDescent="0.35">
      <c r="A906" s="3" t="s">
        <v>1324</v>
      </c>
      <c r="B906" s="4">
        <v>45367</v>
      </c>
      <c r="C906" s="3" t="s">
        <v>776</v>
      </c>
      <c r="D906" s="3" t="s">
        <v>441</v>
      </c>
      <c r="E906" s="3" t="s">
        <v>212</v>
      </c>
      <c r="F906" s="5">
        <v>8</v>
      </c>
      <c r="G906" s="5">
        <v>1090</v>
      </c>
      <c r="H906" s="5">
        <v>17.5</v>
      </c>
      <c r="I906" s="5">
        <v>7194</v>
      </c>
      <c r="J906" s="3" t="s">
        <v>26</v>
      </c>
      <c r="K906" s="3" t="s">
        <v>56</v>
      </c>
      <c r="L906" t="str">
        <f>IFERROR(VLOOKUP(D906,Products!$A$2:$F$61,3,FALSE()),"")</f>
        <v>Home</v>
      </c>
      <c r="M906" t="str">
        <f>IFERROR(VLOOKUP(E906,Sales_Reps!$A$2:$C$31,3,FALSE()),"")</f>
        <v>South</v>
      </c>
      <c r="N906">
        <f>IFERROR(VLOOKUP(D906,Products!$A$2:$F$61,4,FALSE()),"")</f>
        <v>464</v>
      </c>
      <c r="O906" t="str">
        <f>IFERROR(VLOOKUP(C906,Customers!$A$2:$F$301,5,FALSE()),"")</f>
        <v>Retail</v>
      </c>
      <c r="P906">
        <f>IFERROR(VLOOKUP(C906,Customers!$A$2:$F$301,3,FALSE()),"")</f>
        <v>37</v>
      </c>
      <c r="Q906">
        <f t="shared" si="42"/>
        <v>0.57431192660550456</v>
      </c>
      <c r="R906">
        <f>IF(AND(COUNTIF($A$2:$A$2027,A906)&gt;1,COUNTIF($A$2:A906,A906)=1),1,0)</f>
        <v>0</v>
      </c>
      <c r="S906" t="b">
        <f>IFERROR(VLOOKUP(D906,Products!$A$2:$F$61,6,FALSE()),"")</f>
        <v>1</v>
      </c>
      <c r="T906" t="str">
        <f>IF(COUNTIF(Customers!$A$2:$A$301,C906)=0,"Missing","OK")</f>
        <v>OK</v>
      </c>
      <c r="U906" t="str">
        <f t="shared" si="43"/>
        <v>Bengaluru</v>
      </c>
      <c r="V906">
        <f t="shared" si="44"/>
        <v>0</v>
      </c>
    </row>
    <row r="907" spans="1:22" ht="15" customHeight="1" x14ac:dyDescent="0.35">
      <c r="A907" s="3" t="s">
        <v>1325</v>
      </c>
      <c r="B907" s="4">
        <v>45615</v>
      </c>
      <c r="C907" s="3" t="s">
        <v>1247</v>
      </c>
      <c r="D907" s="3" t="s">
        <v>598</v>
      </c>
      <c r="E907" s="3" t="s">
        <v>282</v>
      </c>
      <c r="F907" s="5">
        <v>7</v>
      </c>
      <c r="G907" s="5">
        <v>3560</v>
      </c>
      <c r="H907" s="5">
        <v>11.1</v>
      </c>
      <c r="I907" s="5">
        <v>22153.88</v>
      </c>
      <c r="J907" s="3" t="s">
        <v>26</v>
      </c>
      <c r="K907" s="3" t="s">
        <v>33</v>
      </c>
      <c r="L907" t="str">
        <f>IFERROR(VLOOKUP(D907,Products!$A$2:$F$61,3,FALSE()),"")</f>
        <v>Apparel</v>
      </c>
      <c r="M907" t="str">
        <f>IFERROR(VLOOKUP(E907,Sales_Reps!$A$2:$C$31,3,FALSE()),"")</f>
        <v>West</v>
      </c>
      <c r="N907">
        <f>IFERROR(VLOOKUP(D907,Products!$A$2:$F$61,4,FALSE()),"")</f>
        <v>2629</v>
      </c>
      <c r="O907" t="str">
        <f>IFERROR(VLOOKUP(C907,Customers!$A$2:$F$301,5,FALSE()),"")</f>
        <v>SMB</v>
      </c>
      <c r="P907">
        <f>IFERROR(VLOOKUP(C907,Customers!$A$2:$F$301,3,FALSE()),"")</f>
        <v>51</v>
      </c>
      <c r="Q907">
        <f t="shared" si="42"/>
        <v>0.26151685393258428</v>
      </c>
      <c r="R907">
        <f>IF(AND(COUNTIF($A$2:$A$2027,A907)&gt;1,COUNTIF($A$2:A907,A907)=1),1,0)</f>
        <v>0</v>
      </c>
      <c r="S907" t="b">
        <f>IFERROR(VLOOKUP(D907,Products!$A$2:$F$61,6,FALSE()),"")</f>
        <v>1</v>
      </c>
      <c r="T907" t="str">
        <f>IF(COUNTIF(Customers!$A$2:$A$301,C907)=0,"Missing","OK")</f>
        <v>OK</v>
      </c>
      <c r="U907" t="str">
        <f t="shared" si="43"/>
        <v>Chennai</v>
      </c>
      <c r="V907">
        <f t="shared" si="44"/>
        <v>0</v>
      </c>
    </row>
    <row r="908" spans="1:22" ht="15" customHeight="1" x14ac:dyDescent="0.35">
      <c r="A908" s="3" t="s">
        <v>1326</v>
      </c>
      <c r="B908" s="4">
        <v>45499</v>
      </c>
      <c r="C908" s="3" t="s">
        <v>167</v>
      </c>
      <c r="D908" s="3" t="s">
        <v>86</v>
      </c>
      <c r="E908" s="3" t="s">
        <v>224</v>
      </c>
      <c r="F908" s="5">
        <v>6</v>
      </c>
      <c r="G908" s="5">
        <v>190</v>
      </c>
      <c r="H908" s="5">
        <v>17.100000000000001</v>
      </c>
      <c r="I908" s="5">
        <v>945.06</v>
      </c>
      <c r="J908" s="3" t="s">
        <v>79</v>
      </c>
      <c r="K908" s="3" t="s">
        <v>51</v>
      </c>
      <c r="L908" t="str">
        <f>IFERROR(VLOOKUP(D908,Products!$A$2:$F$61,3,FALSE()),"")</f>
        <v>Sports</v>
      </c>
      <c r="M908" t="str">
        <f>IFERROR(VLOOKUP(E908,Sales_Reps!$A$2:$C$31,3,FALSE()),"")</f>
        <v>East</v>
      </c>
      <c r="N908">
        <f>IFERROR(VLOOKUP(D908,Products!$A$2:$F$61,4,FALSE()),"")</f>
        <v>147</v>
      </c>
      <c r="O908" t="str">
        <f>IFERROR(VLOOKUP(C908,Customers!$A$2:$F$301,5,FALSE()),"")</f>
        <v>SMB</v>
      </c>
      <c r="P908">
        <f>IFERROR(VLOOKUP(C908,Customers!$A$2:$F$301,3,FALSE()),"")</f>
        <v>54</v>
      </c>
      <c r="Q908">
        <f t="shared" si="42"/>
        <v>0.22631578947368422</v>
      </c>
      <c r="R908">
        <f>IF(AND(COUNTIF($A$2:$A$2027,A908)&gt;1,COUNTIF($A$2:A908,A908)=1),1,0)</f>
        <v>0</v>
      </c>
      <c r="S908" t="b">
        <f>IFERROR(VLOOKUP(D908,Products!$A$2:$F$61,6,FALSE()),"")</f>
        <v>1</v>
      </c>
      <c r="T908" t="str">
        <f>IF(COUNTIF(Customers!$A$2:$A$301,C908)=0,"Missing","OK")</f>
        <v>OK</v>
      </c>
      <c r="U908" t="str">
        <f t="shared" si="43"/>
        <v>Mumbai</v>
      </c>
      <c r="V908">
        <f t="shared" si="44"/>
        <v>0</v>
      </c>
    </row>
    <row r="909" spans="1:22" ht="15" customHeight="1" x14ac:dyDescent="0.35">
      <c r="A909" s="3" t="s">
        <v>1327</v>
      </c>
      <c r="B909" s="4">
        <v>45356</v>
      </c>
      <c r="C909" s="3" t="s">
        <v>656</v>
      </c>
      <c r="D909" s="3" t="s">
        <v>290</v>
      </c>
      <c r="E909" s="3" t="s">
        <v>50</v>
      </c>
      <c r="F909" s="5">
        <v>7</v>
      </c>
      <c r="G909" s="5">
        <v>4060</v>
      </c>
      <c r="H909" s="5">
        <v>0.6</v>
      </c>
      <c r="I909" s="5">
        <v>28249.48</v>
      </c>
      <c r="J909" s="3" t="s">
        <v>26</v>
      </c>
      <c r="K909" s="3" t="s">
        <v>33</v>
      </c>
      <c r="L909" t="str">
        <f>IFERROR(VLOOKUP(D909,Products!$A$2:$F$61,3,FALSE()),"")</f>
        <v>Grocery</v>
      </c>
      <c r="M909" t="str">
        <f>IFERROR(VLOOKUP(E909,Sales_Reps!$A$2:$C$31,3,FALSE()),"")</f>
        <v>West</v>
      </c>
      <c r="N909">
        <f>IFERROR(VLOOKUP(D909,Products!$A$2:$F$61,4,FALSE()),"")</f>
        <v>2911</v>
      </c>
      <c r="O909" t="str">
        <f>IFERROR(VLOOKUP(C909,Customers!$A$2:$F$301,5,FALSE()),"")</f>
        <v>Retail</v>
      </c>
      <c r="P909">
        <f>IFERROR(VLOOKUP(C909,Customers!$A$2:$F$301,3,FALSE()),"")</f>
        <v>24</v>
      </c>
      <c r="Q909">
        <f t="shared" si="42"/>
        <v>0.28300492610837441</v>
      </c>
      <c r="R909">
        <f>IF(AND(COUNTIF($A$2:$A$2027,A909)&gt;1,COUNTIF($A$2:A909,A909)=1),1,0)</f>
        <v>0</v>
      </c>
      <c r="S909" t="b">
        <f>IFERROR(VLOOKUP(D909,Products!$A$2:$F$61,6,FALSE()),"")</f>
        <v>1</v>
      </c>
      <c r="T909" t="str">
        <f>IF(COUNTIF(Customers!$A$2:$A$301,C909)=0,"Missing","OK")</f>
        <v>OK</v>
      </c>
      <c r="U909" t="str">
        <f t="shared" si="43"/>
        <v>Chennai</v>
      </c>
      <c r="V909">
        <f t="shared" si="44"/>
        <v>0</v>
      </c>
    </row>
    <row r="910" spans="1:22" ht="15" customHeight="1" x14ac:dyDescent="0.35">
      <c r="A910" s="3" t="s">
        <v>1328</v>
      </c>
      <c r="B910" s="4">
        <v>45346</v>
      </c>
      <c r="C910" s="3" t="s">
        <v>547</v>
      </c>
      <c r="D910" s="3" t="s">
        <v>209</v>
      </c>
      <c r="E910" s="3" t="s">
        <v>97</v>
      </c>
      <c r="F910" s="5">
        <v>4</v>
      </c>
      <c r="G910" s="5">
        <v>4610</v>
      </c>
      <c r="H910" s="5">
        <v>1.9</v>
      </c>
      <c r="I910" s="5">
        <v>18089.64</v>
      </c>
      <c r="J910" s="3" t="s">
        <v>32</v>
      </c>
      <c r="K910" s="3" t="s">
        <v>27</v>
      </c>
      <c r="L910" t="str">
        <f>IFERROR(VLOOKUP(D910,Products!$A$2:$F$61,3,FALSE()),"")</f>
        <v>Home</v>
      </c>
      <c r="M910" t="str">
        <f>IFERROR(VLOOKUP(E910,Sales_Reps!$A$2:$C$31,3,FALSE()),"")</f>
        <v>East</v>
      </c>
      <c r="N910">
        <f>IFERROR(VLOOKUP(D910,Products!$A$2:$F$61,4,FALSE()),"")</f>
        <v>1850</v>
      </c>
      <c r="O910" t="str">
        <f>IFERROR(VLOOKUP(C910,Customers!$A$2:$F$301,5,FALSE()),"")</f>
        <v>Corporate</v>
      </c>
      <c r="P910">
        <f>IFERROR(VLOOKUP(C910,Customers!$A$2:$F$301,3,FALSE()),"")</f>
        <v>40</v>
      </c>
      <c r="Q910">
        <f t="shared" si="42"/>
        <v>0.59869848156182215</v>
      </c>
      <c r="R910">
        <f>IF(AND(COUNTIF($A$2:$A$2027,A910)&gt;1,COUNTIF($A$2:A910,A910)=1),1,0)</f>
        <v>0</v>
      </c>
      <c r="S910" t="b">
        <f>IFERROR(VLOOKUP(D910,Products!$A$2:$F$61,6,FALSE()),"")</f>
        <v>1</v>
      </c>
      <c r="T910" t="str">
        <f>IF(COUNTIF(Customers!$A$2:$A$301,C910)=0,"Missing","OK")</f>
        <v>OK</v>
      </c>
      <c r="U910" t="str">
        <f t="shared" si="43"/>
        <v>Pune</v>
      </c>
      <c r="V910">
        <f t="shared" si="44"/>
        <v>0</v>
      </c>
    </row>
    <row r="911" spans="1:22" ht="15" customHeight="1" x14ac:dyDescent="0.35">
      <c r="A911" s="3" t="s">
        <v>1329</v>
      </c>
      <c r="B911" s="4">
        <v>45640</v>
      </c>
      <c r="C911" s="3" t="s">
        <v>560</v>
      </c>
      <c r="D911" s="3" t="s">
        <v>203</v>
      </c>
      <c r="E911" s="3" t="s">
        <v>131</v>
      </c>
      <c r="F911" s="5">
        <v>4</v>
      </c>
      <c r="G911" s="5">
        <v>4070</v>
      </c>
      <c r="H911" s="5">
        <v>26.8</v>
      </c>
      <c r="I911" s="5">
        <v>11916.96</v>
      </c>
      <c r="J911" s="3" t="s">
        <v>26</v>
      </c>
      <c r="K911" s="3" t="s">
        <v>33</v>
      </c>
      <c r="L911" t="str">
        <f>IFERROR(VLOOKUP(D911,Products!$A$2:$F$61,3,FALSE()),"")</f>
        <v>Grocery</v>
      </c>
      <c r="M911" t="str">
        <f>IFERROR(VLOOKUP(E911,Sales_Reps!$A$2:$C$31,3,FALSE()),"")</f>
        <v>East</v>
      </c>
      <c r="N911">
        <f>IFERROR(VLOOKUP(D911,Products!$A$2:$F$61,4,FALSE()),"")</f>
        <v>2027</v>
      </c>
      <c r="O911" t="str">
        <f>IFERROR(VLOOKUP(C911,Customers!$A$2:$F$301,5,FALSE()),"")</f>
        <v>Corporate</v>
      </c>
      <c r="P911">
        <f>IFERROR(VLOOKUP(C911,Customers!$A$2:$F$301,3,FALSE()),"")</f>
        <v>22</v>
      </c>
      <c r="Q911">
        <f t="shared" si="42"/>
        <v>0.50196560196560192</v>
      </c>
      <c r="R911">
        <f>IF(AND(COUNTIF($A$2:$A$2027,A911)&gt;1,COUNTIF($A$2:A911,A911)=1),1,0)</f>
        <v>0</v>
      </c>
      <c r="S911" t="b">
        <f>IFERROR(VLOOKUP(D911,Products!$A$2:$F$61,6,FALSE()),"")</f>
        <v>1</v>
      </c>
      <c r="T911" t="str">
        <f>IF(COUNTIF(Customers!$A$2:$A$301,C911)=0,"Missing","OK")</f>
        <v>OK</v>
      </c>
      <c r="U911" t="str">
        <f t="shared" si="43"/>
        <v>Chennai</v>
      </c>
      <c r="V911">
        <f t="shared" si="44"/>
        <v>0</v>
      </c>
    </row>
    <row r="912" spans="1:22" ht="15" customHeight="1" x14ac:dyDescent="0.35">
      <c r="A912" s="3" t="s">
        <v>1330</v>
      </c>
      <c r="B912" s="4">
        <v>45633</v>
      </c>
      <c r="C912" s="3" t="s">
        <v>195</v>
      </c>
      <c r="D912" s="3" t="s">
        <v>24</v>
      </c>
      <c r="E912" s="3" t="s">
        <v>78</v>
      </c>
      <c r="F912" s="5">
        <v>4</v>
      </c>
      <c r="G912" s="5">
        <v>3620</v>
      </c>
      <c r="H912" s="5">
        <v>11.7</v>
      </c>
      <c r="I912" s="5">
        <v>12785.84</v>
      </c>
      <c r="J912" s="3" t="s">
        <v>26</v>
      </c>
      <c r="K912" s="3" t="s">
        <v>72</v>
      </c>
      <c r="L912" t="str">
        <f>IFERROR(VLOOKUP(D912,Products!$A$2:$F$61,3,FALSE()),"")</f>
        <v>Apparel</v>
      </c>
      <c r="M912" t="str">
        <f>IFERROR(VLOOKUP(E912,Sales_Reps!$A$2:$C$31,3,FALSE()),"")</f>
        <v>North</v>
      </c>
      <c r="N912">
        <f>IFERROR(VLOOKUP(D912,Products!$A$2:$F$61,4,FALSE()),"")</f>
        <v>2509</v>
      </c>
      <c r="O912" t="str">
        <f>IFERROR(VLOOKUP(C912,Customers!$A$2:$F$301,5,FALSE()),"")</f>
        <v>Retail</v>
      </c>
      <c r="P912">
        <f>IFERROR(VLOOKUP(C912,Customers!$A$2:$F$301,3,FALSE()),"")</f>
        <v>27</v>
      </c>
      <c r="Q912">
        <f t="shared" si="42"/>
        <v>0.3069060773480663</v>
      </c>
      <c r="R912">
        <f>IF(AND(COUNTIF($A$2:$A$2027,A912)&gt;1,COUNTIF($A$2:A912,A912)=1),1,0)</f>
        <v>0</v>
      </c>
      <c r="S912" t="b">
        <f>IFERROR(VLOOKUP(D912,Products!$A$2:$F$61,6,FALSE()),"")</f>
        <v>1</v>
      </c>
      <c r="T912" t="str">
        <f>IF(COUNTIF(Customers!$A$2:$A$301,C912)=0,"Missing","OK")</f>
        <v>OK</v>
      </c>
      <c r="U912" t="str">
        <f t="shared" si="43"/>
        <v>Hyderabad</v>
      </c>
      <c r="V912">
        <f t="shared" si="44"/>
        <v>0</v>
      </c>
    </row>
    <row r="913" spans="1:22" ht="15" customHeight="1" x14ac:dyDescent="0.35">
      <c r="A913" s="3" t="s">
        <v>1331</v>
      </c>
      <c r="B913" s="4">
        <v>45430</v>
      </c>
      <c r="C913" s="3" t="s">
        <v>257</v>
      </c>
      <c r="D913" s="3" t="s">
        <v>347</v>
      </c>
      <c r="E913" s="3" t="s">
        <v>109</v>
      </c>
      <c r="F913" s="5">
        <v>3</v>
      </c>
      <c r="G913" s="5">
        <v>3970</v>
      </c>
      <c r="H913" s="5">
        <v>24.7</v>
      </c>
      <c r="I913" s="5">
        <v>8968.23</v>
      </c>
      <c r="J913" s="3" t="s">
        <v>26</v>
      </c>
      <c r="K913" s="3" t="s">
        <v>33</v>
      </c>
      <c r="L913" t="str">
        <f>IFERROR(VLOOKUP(D913,Products!$A$2:$F$61,3,FALSE()),"")</f>
        <v>Electronics</v>
      </c>
      <c r="M913" t="str">
        <f>IFERROR(VLOOKUP(E913,Sales_Reps!$A$2:$C$31,3,FALSE()),"")</f>
        <v>West</v>
      </c>
      <c r="N913">
        <f>IFERROR(VLOOKUP(D913,Products!$A$2:$F$61,4,FALSE()),"")</f>
        <v>2865</v>
      </c>
      <c r="O913" t="str">
        <f>IFERROR(VLOOKUP(C913,Customers!$A$2:$F$301,5,FALSE()),"")</f>
        <v>SMB</v>
      </c>
      <c r="P913">
        <f>IFERROR(VLOOKUP(C913,Customers!$A$2:$F$301,3,FALSE()),"")</f>
        <v>57</v>
      </c>
      <c r="Q913">
        <f t="shared" si="42"/>
        <v>0.27833753148614609</v>
      </c>
      <c r="R913">
        <f>IF(AND(COUNTIF($A$2:$A$2027,A913)&gt;1,COUNTIF($A$2:A913,A913)=1),1,0)</f>
        <v>0</v>
      </c>
      <c r="S913" t="b">
        <f>IFERROR(VLOOKUP(D913,Products!$A$2:$F$61,6,FALSE()),"")</f>
        <v>1</v>
      </c>
      <c r="T913" t="str">
        <f>IF(COUNTIF(Customers!$A$2:$A$301,C913)=0,"Missing","OK")</f>
        <v>OK</v>
      </c>
      <c r="U913" t="str">
        <f t="shared" si="43"/>
        <v>Chennai</v>
      </c>
      <c r="V913">
        <f t="shared" si="44"/>
        <v>0</v>
      </c>
    </row>
    <row r="914" spans="1:22" ht="15" customHeight="1" x14ac:dyDescent="0.35">
      <c r="A914" s="3" t="s">
        <v>1332</v>
      </c>
      <c r="B914" s="4">
        <v>45355</v>
      </c>
      <c r="C914" s="3" t="s">
        <v>355</v>
      </c>
      <c r="D914" s="3" t="s">
        <v>66</v>
      </c>
      <c r="E914" s="3" t="s">
        <v>67</v>
      </c>
      <c r="F914" s="5">
        <v>4</v>
      </c>
      <c r="G914" s="5">
        <v>970</v>
      </c>
      <c r="H914" s="5">
        <v>0.4</v>
      </c>
      <c r="I914" s="5">
        <v>3864.48</v>
      </c>
      <c r="J914" s="3" t="s">
        <v>26</v>
      </c>
      <c r="K914" s="3" t="s">
        <v>56</v>
      </c>
      <c r="L914" t="str">
        <f>IFERROR(VLOOKUP(D914,Products!$A$2:$F$61,3,FALSE()),"")</f>
        <v>Grocery</v>
      </c>
      <c r="M914" t="str">
        <f>IFERROR(VLOOKUP(E914,Sales_Reps!$A$2:$C$31,3,FALSE()),"")</f>
        <v>West</v>
      </c>
      <c r="N914">
        <f>IFERROR(VLOOKUP(D914,Products!$A$2:$F$61,4,FALSE()),"")</f>
        <v>434</v>
      </c>
      <c r="O914" t="str">
        <f>IFERROR(VLOOKUP(C914,Customers!$A$2:$F$301,5,FALSE()),"")</f>
        <v>Corporate</v>
      </c>
      <c r="P914">
        <f>IFERROR(VLOOKUP(C914,Customers!$A$2:$F$301,3,FALSE()),"")</f>
        <v>42</v>
      </c>
      <c r="Q914">
        <f t="shared" si="42"/>
        <v>0.5525773195876289</v>
      </c>
      <c r="R914">
        <f>IF(AND(COUNTIF($A$2:$A$2027,A914)&gt;1,COUNTIF($A$2:A914,A914)=1),1,0)</f>
        <v>0</v>
      </c>
      <c r="S914" t="b">
        <f>IFERROR(VLOOKUP(D914,Products!$A$2:$F$61,6,FALSE()),"")</f>
        <v>1</v>
      </c>
      <c r="T914" t="str">
        <f>IF(COUNTIF(Customers!$A$2:$A$301,C914)=0,"Missing","OK")</f>
        <v>OK</v>
      </c>
      <c r="U914" t="str">
        <f t="shared" si="43"/>
        <v>Bengaluru</v>
      </c>
      <c r="V914">
        <f t="shared" si="44"/>
        <v>3864.48</v>
      </c>
    </row>
    <row r="915" spans="1:22" ht="15" customHeight="1" x14ac:dyDescent="0.35">
      <c r="A915" s="3" t="s">
        <v>1333</v>
      </c>
      <c r="B915" s="4">
        <v>45379</v>
      </c>
      <c r="C915" s="3" t="s">
        <v>238</v>
      </c>
      <c r="D915" s="3" t="s">
        <v>54</v>
      </c>
      <c r="E915" s="3" t="s">
        <v>93</v>
      </c>
      <c r="F915" s="5">
        <v>2</v>
      </c>
      <c r="G915" s="5">
        <v>960</v>
      </c>
      <c r="H915" s="5">
        <v>1.4</v>
      </c>
      <c r="I915" s="5">
        <v>1893.12</v>
      </c>
      <c r="J915" s="3" t="s">
        <v>26</v>
      </c>
      <c r="K915" s="3" t="s">
        <v>72</v>
      </c>
      <c r="L915" t="str">
        <f>IFERROR(VLOOKUP(D915,Products!$A$2:$F$61,3,FALSE()),"")</f>
        <v>Sports</v>
      </c>
      <c r="M915" t="str">
        <f>IFERROR(VLOOKUP(E915,Sales_Reps!$A$2:$C$31,3,FALSE()),"")</f>
        <v>East</v>
      </c>
      <c r="N915">
        <f>IFERROR(VLOOKUP(D915,Products!$A$2:$F$61,4,FALSE()),"")</f>
        <v>705</v>
      </c>
      <c r="O915" t="str">
        <f>IFERROR(VLOOKUP(C915,Customers!$A$2:$F$301,5,FALSE()),"")</f>
        <v>Retail</v>
      </c>
      <c r="P915">
        <f>IFERROR(VLOOKUP(C915,Customers!$A$2:$F$301,3,FALSE()),"")</f>
        <v>29</v>
      </c>
      <c r="Q915">
        <f t="shared" si="42"/>
        <v>0.265625</v>
      </c>
      <c r="R915">
        <f>IF(AND(COUNTIF($A$2:$A$2027,A915)&gt;1,COUNTIF($A$2:A915,A915)=1),1,0)</f>
        <v>0</v>
      </c>
      <c r="S915" t="b">
        <f>IFERROR(VLOOKUP(D915,Products!$A$2:$F$61,6,FALSE()),"")</f>
        <v>1</v>
      </c>
      <c r="T915" t="str">
        <f>IF(COUNTIF(Customers!$A$2:$A$301,C915)=0,"Missing","OK")</f>
        <v>OK</v>
      </c>
      <c r="U915" t="str">
        <f t="shared" si="43"/>
        <v>Hyderabad</v>
      </c>
      <c r="V915">
        <f t="shared" si="44"/>
        <v>0</v>
      </c>
    </row>
    <row r="916" spans="1:22" ht="15" customHeight="1" x14ac:dyDescent="0.35">
      <c r="A916" s="3" t="s">
        <v>1334</v>
      </c>
      <c r="B916" s="4">
        <v>45375</v>
      </c>
      <c r="C916" s="3" t="s">
        <v>99</v>
      </c>
      <c r="D916" s="3" t="s">
        <v>221</v>
      </c>
      <c r="E916" s="3" t="s">
        <v>285</v>
      </c>
      <c r="F916" s="5">
        <v>7</v>
      </c>
      <c r="G916" s="5">
        <v>300</v>
      </c>
      <c r="H916" s="5">
        <v>20.399999999999999</v>
      </c>
      <c r="I916" s="5">
        <v>1671.6</v>
      </c>
      <c r="J916" s="3" t="s">
        <v>26</v>
      </c>
      <c r="K916" s="3" t="s">
        <v>51</v>
      </c>
      <c r="L916" t="str">
        <f>IFERROR(VLOOKUP(D916,Products!$A$2:$F$61,3,FALSE()),"")</f>
        <v>Electronics</v>
      </c>
      <c r="M916" t="str">
        <f>IFERROR(VLOOKUP(E916,Sales_Reps!$A$2:$C$31,3,FALSE()),"")</f>
        <v>South</v>
      </c>
      <c r="N916">
        <f>IFERROR(VLOOKUP(D916,Products!$A$2:$F$61,4,FALSE()),"")</f>
        <v>128</v>
      </c>
      <c r="O916" t="str">
        <f>IFERROR(VLOOKUP(C916,Customers!$A$2:$F$301,5,FALSE()),"")</f>
        <v>Retail</v>
      </c>
      <c r="P916">
        <f>IFERROR(VLOOKUP(C916,Customers!$A$2:$F$301,3,FALSE()),"")</f>
        <v>54</v>
      </c>
      <c r="Q916">
        <f t="shared" si="42"/>
        <v>0.57333333333333336</v>
      </c>
      <c r="R916">
        <f>IF(AND(COUNTIF($A$2:$A$2027,A916)&gt;1,COUNTIF($A$2:A916,A916)=1),1,0)</f>
        <v>0</v>
      </c>
      <c r="S916" t="b">
        <f>IFERROR(VLOOKUP(D916,Products!$A$2:$F$61,6,FALSE()),"")</f>
        <v>1</v>
      </c>
      <c r="T916" t="str">
        <f>IF(COUNTIF(Customers!$A$2:$A$301,C916)=0,"Missing","OK")</f>
        <v>OK</v>
      </c>
      <c r="U916" t="str">
        <f t="shared" si="43"/>
        <v>Mumbai</v>
      </c>
      <c r="V916">
        <f t="shared" si="44"/>
        <v>0</v>
      </c>
    </row>
    <row r="917" spans="1:22" ht="15" customHeight="1" x14ac:dyDescent="0.35">
      <c r="A917" s="3" t="s">
        <v>1335</v>
      </c>
      <c r="B917" s="4">
        <v>45397</v>
      </c>
      <c r="C917" s="3" t="s">
        <v>251</v>
      </c>
      <c r="D917" s="3" t="s">
        <v>77</v>
      </c>
      <c r="E917" s="3" t="s">
        <v>37</v>
      </c>
      <c r="F917" s="5">
        <v>8</v>
      </c>
      <c r="G917" s="5">
        <v>2600</v>
      </c>
      <c r="H917" s="5">
        <v>2.2000000000000002</v>
      </c>
      <c r="I917" s="5">
        <v>20342.400000000001</v>
      </c>
      <c r="J917" s="3" t="s">
        <v>79</v>
      </c>
      <c r="K917" s="3" t="s">
        <v>72</v>
      </c>
      <c r="L917" t="str">
        <f>IFERROR(VLOOKUP(D917,Products!$A$2:$F$61,3,FALSE()),"")</f>
        <v>Electronics</v>
      </c>
      <c r="M917" t="str">
        <f>IFERROR(VLOOKUP(E917,Sales_Reps!$A$2:$C$31,3,FALSE()),"")</f>
        <v>South</v>
      </c>
      <c r="N917">
        <f>IFERROR(VLOOKUP(D917,Products!$A$2:$F$61,4,FALSE()),"")</f>
        <v>1052</v>
      </c>
      <c r="O917" t="str">
        <f>IFERROR(VLOOKUP(C917,Customers!$A$2:$F$301,5,FALSE()),"")</f>
        <v>Retail</v>
      </c>
      <c r="P917">
        <f>IFERROR(VLOOKUP(C917,Customers!$A$2:$F$301,3,FALSE()),"")</f>
        <v>46</v>
      </c>
      <c r="Q917">
        <f t="shared" si="42"/>
        <v>0.5953846153846154</v>
      </c>
      <c r="R917">
        <f>IF(AND(COUNTIF($A$2:$A$2027,A917)&gt;1,COUNTIF($A$2:A917,A917)=1),1,0)</f>
        <v>0</v>
      </c>
      <c r="S917" t="b">
        <f>IFERROR(VLOOKUP(D917,Products!$A$2:$F$61,6,FALSE()),"")</f>
        <v>1</v>
      </c>
      <c r="T917" t="str">
        <f>IF(COUNTIF(Customers!$A$2:$A$301,C917)=0,"Missing","OK")</f>
        <v>OK</v>
      </c>
      <c r="U917" t="str">
        <f t="shared" si="43"/>
        <v>Hyderabad</v>
      </c>
      <c r="V917">
        <f t="shared" si="44"/>
        <v>0</v>
      </c>
    </row>
    <row r="918" spans="1:22" ht="15" customHeight="1" x14ac:dyDescent="0.35">
      <c r="A918" s="3" t="s">
        <v>1336</v>
      </c>
      <c r="B918" s="4">
        <v>45571</v>
      </c>
      <c r="C918" s="3" t="s">
        <v>424</v>
      </c>
      <c r="D918" s="3" t="s">
        <v>49</v>
      </c>
      <c r="E918" s="3" t="s">
        <v>46</v>
      </c>
      <c r="F918" s="5">
        <v>2</v>
      </c>
      <c r="G918" s="5">
        <v>370</v>
      </c>
      <c r="H918" s="5">
        <v>17.7</v>
      </c>
      <c r="I918" s="5">
        <v>609.02</v>
      </c>
      <c r="J918" s="3" t="s">
        <v>26</v>
      </c>
      <c r="K918" s="3" t="s">
        <v>27</v>
      </c>
      <c r="L918" t="str">
        <f>IFERROR(VLOOKUP(D918,Products!$A$2:$F$61,3,FALSE()),"")</f>
        <v>Home</v>
      </c>
      <c r="M918" t="str">
        <f>IFERROR(VLOOKUP(E918,Sales_Reps!$A$2:$C$31,3,FALSE()),"")</f>
        <v>North</v>
      </c>
      <c r="N918">
        <f>IFERROR(VLOOKUP(D918,Products!$A$2:$F$61,4,FALSE()),"")</f>
        <v>288</v>
      </c>
      <c r="O918" t="str">
        <f>IFERROR(VLOOKUP(C918,Customers!$A$2:$F$301,5,FALSE()),"")</f>
        <v>Retail</v>
      </c>
      <c r="P918">
        <f>IFERROR(VLOOKUP(C918,Customers!$A$2:$F$301,3,FALSE()),"")</f>
        <v>49</v>
      </c>
      <c r="Q918">
        <f t="shared" si="42"/>
        <v>0.22162162162162163</v>
      </c>
      <c r="R918">
        <f>IF(AND(COUNTIF($A$2:$A$2027,A918)&gt;1,COUNTIF($A$2:A918,A918)=1),1,0)</f>
        <v>0</v>
      </c>
      <c r="S918" t="b">
        <f>IFERROR(VLOOKUP(D918,Products!$A$2:$F$61,6,FALSE()),"")</f>
        <v>1</v>
      </c>
      <c r="T918" t="str">
        <f>IF(COUNTIF(Customers!$A$2:$A$301,C918)=0,"Missing","OK")</f>
        <v>OK</v>
      </c>
      <c r="U918" t="str">
        <f t="shared" si="43"/>
        <v>Pune</v>
      </c>
      <c r="V918">
        <f t="shared" si="44"/>
        <v>0</v>
      </c>
    </row>
    <row r="919" spans="1:22" ht="15" customHeight="1" x14ac:dyDescent="0.35">
      <c r="A919" s="3" t="s">
        <v>1337</v>
      </c>
      <c r="B919" s="4">
        <v>45455</v>
      </c>
      <c r="C919" s="3" t="s">
        <v>117</v>
      </c>
      <c r="D919" s="3" t="s">
        <v>96</v>
      </c>
      <c r="E919" s="3" t="s">
        <v>140</v>
      </c>
      <c r="F919" s="5">
        <v>4</v>
      </c>
      <c r="G919" s="5">
        <v>3450</v>
      </c>
      <c r="H919" s="5">
        <v>9.8000000000000007</v>
      </c>
      <c r="I919" s="5">
        <v>12447.6</v>
      </c>
      <c r="J919" s="3" t="s">
        <v>79</v>
      </c>
      <c r="K919" s="3" t="s">
        <v>33</v>
      </c>
      <c r="L919" t="str">
        <f>IFERROR(VLOOKUP(D919,Products!$A$2:$F$61,3,FALSE()),"")</f>
        <v>Beauty</v>
      </c>
      <c r="M919" t="str">
        <f>IFERROR(VLOOKUP(E919,Sales_Reps!$A$2:$C$31,3,FALSE()),"")</f>
        <v>West</v>
      </c>
      <c r="N919">
        <f>IFERROR(VLOOKUP(D919,Products!$A$2:$F$61,4,FALSE()),"")</f>
        <v>2420</v>
      </c>
      <c r="O919" t="str">
        <f>IFERROR(VLOOKUP(C919,Customers!$A$2:$F$301,5,FALSE()),"")</f>
        <v>Corporate</v>
      </c>
      <c r="P919">
        <f>IFERROR(VLOOKUP(C919,Customers!$A$2:$F$301,3,FALSE()),"")</f>
        <v>55</v>
      </c>
      <c r="Q919">
        <f t="shared" si="42"/>
        <v>0.29855072463768118</v>
      </c>
      <c r="R919">
        <f>IF(AND(COUNTIF($A$2:$A$2027,A919)&gt;1,COUNTIF($A$2:A919,A919)=1),1,0)</f>
        <v>0</v>
      </c>
      <c r="S919" t="b">
        <f>IFERROR(VLOOKUP(D919,Products!$A$2:$F$61,6,FALSE()),"")</f>
        <v>1</v>
      </c>
      <c r="T919" t="str">
        <f>IF(COUNTIF(Customers!$A$2:$A$301,C919)=0,"Missing","OK")</f>
        <v>OK</v>
      </c>
      <c r="U919" t="str">
        <f t="shared" si="43"/>
        <v>Chennai</v>
      </c>
      <c r="V919">
        <f t="shared" si="44"/>
        <v>0</v>
      </c>
    </row>
    <row r="920" spans="1:22" ht="15" customHeight="1" x14ac:dyDescent="0.35">
      <c r="A920" s="3" t="s">
        <v>1338</v>
      </c>
      <c r="B920" s="4">
        <v>45486</v>
      </c>
      <c r="C920" s="3" t="s">
        <v>720</v>
      </c>
      <c r="D920" s="3" t="s">
        <v>106</v>
      </c>
      <c r="E920" s="3" t="s">
        <v>131</v>
      </c>
      <c r="F920" s="5">
        <v>1</v>
      </c>
      <c r="G920" s="5">
        <v>2480</v>
      </c>
      <c r="H920" s="5">
        <v>5.8</v>
      </c>
      <c r="I920" s="5">
        <v>2336.16</v>
      </c>
      <c r="J920" s="3" t="s">
        <v>26</v>
      </c>
      <c r="K920" s="3" t="s">
        <v>38</v>
      </c>
      <c r="L920" t="str">
        <f>IFERROR(VLOOKUP(D920,Products!$A$2:$F$61,3,FALSE()),"")</f>
        <v>Apparel</v>
      </c>
      <c r="M920" t="str">
        <f>IFERROR(VLOOKUP(E920,Sales_Reps!$A$2:$C$31,3,FALSE()),"")</f>
        <v>East</v>
      </c>
      <c r="N920">
        <f>IFERROR(VLOOKUP(D920,Products!$A$2:$F$61,4,FALSE()),"")</f>
        <v>1173</v>
      </c>
      <c r="O920" t="str">
        <f>IFERROR(VLOOKUP(C920,Customers!$A$2:$F$301,5,FALSE()),"")</f>
        <v>SMB</v>
      </c>
      <c r="P920">
        <f>IFERROR(VLOOKUP(C920,Customers!$A$2:$F$301,3,FALSE()),"")</f>
        <v>29</v>
      </c>
      <c r="Q920">
        <f t="shared" si="42"/>
        <v>0.52701612903225803</v>
      </c>
      <c r="R920">
        <f>IF(AND(COUNTIF($A$2:$A$2027,A920)&gt;1,COUNTIF($A$2:A920,A920)=1),1,0)</f>
        <v>0</v>
      </c>
      <c r="S920" t="b">
        <f>IFERROR(VLOOKUP(D920,Products!$A$2:$F$61,6,FALSE()),"")</f>
        <v>1</v>
      </c>
      <c r="T920" t="str">
        <f>IF(COUNTIF(Customers!$A$2:$A$301,C920)=0,"Missing","OK")</f>
        <v>OK</v>
      </c>
      <c r="U920" t="str">
        <f t="shared" si="43"/>
        <v>Delhi</v>
      </c>
      <c r="V920">
        <f t="shared" si="44"/>
        <v>0</v>
      </c>
    </row>
    <row r="921" spans="1:22" ht="15" customHeight="1" x14ac:dyDescent="0.35">
      <c r="A921" s="3" t="s">
        <v>1339</v>
      </c>
      <c r="B921" s="4">
        <v>45329</v>
      </c>
      <c r="C921" s="3" t="s">
        <v>490</v>
      </c>
      <c r="D921" s="3" t="s">
        <v>41</v>
      </c>
      <c r="E921" s="3" t="s">
        <v>60</v>
      </c>
      <c r="F921" s="5">
        <v>5</v>
      </c>
      <c r="G921" s="5">
        <v>3660</v>
      </c>
      <c r="H921" s="5">
        <v>4.7</v>
      </c>
      <c r="I921" s="5">
        <v>17439.900000000001</v>
      </c>
      <c r="J921" s="3" t="s">
        <v>32</v>
      </c>
      <c r="K921" s="3" t="s">
        <v>51</v>
      </c>
      <c r="L921" t="str">
        <f>IFERROR(VLOOKUP(D921,Products!$A$2:$F$61,3,FALSE()),"")</f>
        <v>Grocery</v>
      </c>
      <c r="M921" t="str">
        <f>IFERROR(VLOOKUP(E921,Sales_Reps!$A$2:$C$31,3,FALSE()),"")</f>
        <v>East</v>
      </c>
      <c r="N921">
        <f>IFERROR(VLOOKUP(D921,Products!$A$2:$F$61,4,FALSE()),"")</f>
        <v>2214</v>
      </c>
      <c r="O921" t="str">
        <f>IFERROR(VLOOKUP(C921,Customers!$A$2:$F$301,5,FALSE()),"")</f>
        <v>Corporate</v>
      </c>
      <c r="P921">
        <f>IFERROR(VLOOKUP(C921,Customers!$A$2:$F$301,3,FALSE()),"")</f>
        <v>60</v>
      </c>
      <c r="Q921">
        <f t="shared" si="42"/>
        <v>0.39508196721311473</v>
      </c>
      <c r="R921">
        <f>IF(AND(COUNTIF($A$2:$A$2027,A921)&gt;1,COUNTIF($A$2:A921,A921)=1),1,0)</f>
        <v>0</v>
      </c>
      <c r="S921" t="b">
        <f>IFERROR(VLOOKUP(D921,Products!$A$2:$F$61,6,FALSE()),"")</f>
        <v>0</v>
      </c>
      <c r="T921" t="str">
        <f>IF(COUNTIF(Customers!$A$2:$A$301,C921)=0,"Missing","OK")</f>
        <v>OK</v>
      </c>
      <c r="U921" t="str">
        <f t="shared" si="43"/>
        <v>Mumbai</v>
      </c>
      <c r="V921">
        <f t="shared" si="44"/>
        <v>0</v>
      </c>
    </row>
    <row r="922" spans="1:22" ht="15" customHeight="1" x14ac:dyDescent="0.35">
      <c r="A922" s="3" t="s">
        <v>1340</v>
      </c>
      <c r="B922" s="4">
        <v>45315</v>
      </c>
      <c r="C922" s="3" t="s">
        <v>281</v>
      </c>
      <c r="D922" s="3" t="s">
        <v>115</v>
      </c>
      <c r="E922" s="3" t="s">
        <v>93</v>
      </c>
      <c r="F922" s="5">
        <v>7</v>
      </c>
      <c r="G922" s="5">
        <v>1650</v>
      </c>
      <c r="H922" s="5">
        <v>8.6</v>
      </c>
      <c r="I922" s="5">
        <v>10556.7</v>
      </c>
      <c r="J922" s="3" t="s">
        <v>26</v>
      </c>
      <c r="K922" s="3" t="s">
        <v>33</v>
      </c>
      <c r="L922" t="str">
        <f>IFERROR(VLOOKUP(D922,Products!$A$2:$F$61,3,FALSE()),"")</f>
        <v>Beauty</v>
      </c>
      <c r="M922" t="str">
        <f>IFERROR(VLOOKUP(E922,Sales_Reps!$A$2:$C$31,3,FALSE()),"")</f>
        <v>East</v>
      </c>
      <c r="N922">
        <f>IFERROR(VLOOKUP(D922,Products!$A$2:$F$61,4,FALSE()),"")</f>
        <v>1222</v>
      </c>
      <c r="O922" t="str">
        <f>IFERROR(VLOOKUP(C922,Customers!$A$2:$F$301,5,FALSE()),"")</f>
        <v>Retail</v>
      </c>
      <c r="P922">
        <f>IFERROR(VLOOKUP(C922,Customers!$A$2:$F$301,3,FALSE()),"")</f>
        <v>26</v>
      </c>
      <c r="Q922">
        <f t="shared" si="42"/>
        <v>0.2593939393939394</v>
      </c>
      <c r="R922">
        <f>IF(AND(COUNTIF($A$2:$A$2027,A922)&gt;1,COUNTIF($A$2:A922,A922)=1),1,0)</f>
        <v>0</v>
      </c>
      <c r="S922" t="b">
        <f>IFERROR(VLOOKUP(D922,Products!$A$2:$F$61,6,FALSE()),"")</f>
        <v>1</v>
      </c>
      <c r="T922" t="str">
        <f>IF(COUNTIF(Customers!$A$2:$A$301,C922)=0,"Missing","OK")</f>
        <v>OK</v>
      </c>
      <c r="U922" t="str">
        <f t="shared" si="43"/>
        <v>Chennai</v>
      </c>
      <c r="V922">
        <f t="shared" si="44"/>
        <v>0</v>
      </c>
    </row>
    <row r="923" spans="1:22" ht="15" customHeight="1" x14ac:dyDescent="0.35">
      <c r="A923" s="3" t="s">
        <v>1341</v>
      </c>
      <c r="B923" s="4">
        <v>45473</v>
      </c>
      <c r="C923" s="3" t="s">
        <v>129</v>
      </c>
      <c r="D923" s="3" t="s">
        <v>86</v>
      </c>
      <c r="E923" s="3" t="s">
        <v>50</v>
      </c>
      <c r="F923" s="5">
        <v>6</v>
      </c>
      <c r="G923" s="5">
        <v>190</v>
      </c>
      <c r="H923" s="5">
        <v>14.6</v>
      </c>
      <c r="I923" s="5">
        <v>973.56</v>
      </c>
      <c r="J923" s="3" t="s">
        <v>26</v>
      </c>
      <c r="K923" s="3" t="s">
        <v>72</v>
      </c>
      <c r="L923" t="str">
        <f>IFERROR(VLOOKUP(D923,Products!$A$2:$F$61,3,FALSE()),"")</f>
        <v>Sports</v>
      </c>
      <c r="M923" t="str">
        <f>IFERROR(VLOOKUP(E923,Sales_Reps!$A$2:$C$31,3,FALSE()),"")</f>
        <v>West</v>
      </c>
      <c r="N923">
        <f>IFERROR(VLOOKUP(D923,Products!$A$2:$F$61,4,FALSE()),"")</f>
        <v>147</v>
      </c>
      <c r="O923" t="str">
        <f>IFERROR(VLOOKUP(C923,Customers!$A$2:$F$301,5,FALSE()),"")</f>
        <v>Corporate</v>
      </c>
      <c r="P923">
        <f>IFERROR(VLOOKUP(C923,Customers!$A$2:$F$301,3,FALSE()),"")</f>
        <v>56</v>
      </c>
      <c r="Q923">
        <f t="shared" si="42"/>
        <v>0.22631578947368422</v>
      </c>
      <c r="R923">
        <f>IF(AND(COUNTIF($A$2:$A$2027,A923)&gt;1,COUNTIF($A$2:A923,A923)=1),1,0)</f>
        <v>0</v>
      </c>
      <c r="S923" t="b">
        <f>IFERROR(VLOOKUP(D923,Products!$A$2:$F$61,6,FALSE()),"")</f>
        <v>1</v>
      </c>
      <c r="T923" t="str">
        <f>IF(COUNTIF(Customers!$A$2:$A$301,C923)=0,"Missing","OK")</f>
        <v>OK</v>
      </c>
      <c r="U923" t="str">
        <f t="shared" si="43"/>
        <v>Hyderabad</v>
      </c>
      <c r="V923">
        <f t="shared" si="44"/>
        <v>0</v>
      </c>
    </row>
    <row r="924" spans="1:22" ht="15" customHeight="1" x14ac:dyDescent="0.35">
      <c r="A924" s="3" t="s">
        <v>1342</v>
      </c>
      <c r="B924" s="4">
        <v>45546</v>
      </c>
      <c r="C924" s="3" t="s">
        <v>547</v>
      </c>
      <c r="D924" s="3" t="s">
        <v>184</v>
      </c>
      <c r="E924" s="3" t="s">
        <v>154</v>
      </c>
      <c r="F924" s="5">
        <v>5</v>
      </c>
      <c r="G924" s="5">
        <v>2270</v>
      </c>
      <c r="H924" s="5">
        <v>5.9</v>
      </c>
      <c r="I924" s="5">
        <v>10680.35</v>
      </c>
      <c r="J924" s="3" t="s">
        <v>26</v>
      </c>
      <c r="K924" s="3" t="s">
        <v>27</v>
      </c>
      <c r="L924" t="str">
        <f>IFERROR(VLOOKUP(D924,Products!$A$2:$F$61,3,FALSE()),"")</f>
        <v>Grocery</v>
      </c>
      <c r="M924" t="str">
        <f>IFERROR(VLOOKUP(E924,Sales_Reps!$A$2:$C$31,3,FALSE()),"")</f>
        <v>North</v>
      </c>
      <c r="N924">
        <f>IFERROR(VLOOKUP(D924,Products!$A$2:$F$61,4,FALSE()),"")</f>
        <v>1412</v>
      </c>
      <c r="O924" t="str">
        <f>IFERROR(VLOOKUP(C924,Customers!$A$2:$F$301,5,FALSE()),"")</f>
        <v>Corporate</v>
      </c>
      <c r="P924">
        <f>IFERROR(VLOOKUP(C924,Customers!$A$2:$F$301,3,FALSE()),"")</f>
        <v>40</v>
      </c>
      <c r="Q924">
        <f t="shared" si="42"/>
        <v>0.37797356828193834</v>
      </c>
      <c r="R924">
        <f>IF(AND(COUNTIF($A$2:$A$2027,A924)&gt;1,COUNTIF($A$2:A924,A924)=1),1,0)</f>
        <v>0</v>
      </c>
      <c r="S924" t="b">
        <f>IFERROR(VLOOKUP(D924,Products!$A$2:$F$61,6,FALSE()),"")</f>
        <v>1</v>
      </c>
      <c r="T924" t="str">
        <f>IF(COUNTIF(Customers!$A$2:$A$301,C924)=0,"Missing","OK")</f>
        <v>OK</v>
      </c>
      <c r="U924" t="str">
        <f t="shared" si="43"/>
        <v>Pune</v>
      </c>
      <c r="V924">
        <f t="shared" si="44"/>
        <v>0</v>
      </c>
    </row>
    <row r="925" spans="1:22" ht="15" customHeight="1" x14ac:dyDescent="0.35">
      <c r="A925" s="3" t="s">
        <v>1343</v>
      </c>
      <c r="B925" s="4">
        <v>45625</v>
      </c>
      <c r="C925" s="3" t="s">
        <v>929</v>
      </c>
      <c r="D925" s="3" t="s">
        <v>70</v>
      </c>
      <c r="E925" s="3" t="s">
        <v>212</v>
      </c>
      <c r="F925" s="5">
        <v>1</v>
      </c>
      <c r="G925" s="5">
        <v>2270</v>
      </c>
      <c r="H925" s="5">
        <v>14.9</v>
      </c>
      <c r="I925" s="5">
        <v>1931.77</v>
      </c>
      <c r="J925" s="3" t="s">
        <v>26</v>
      </c>
      <c r="K925" s="3" t="s">
        <v>56</v>
      </c>
      <c r="L925" t="str">
        <f>IFERROR(VLOOKUP(D925,Products!$A$2:$F$61,3,FALSE()),"")</f>
        <v>Grocery</v>
      </c>
      <c r="M925" t="str">
        <f>IFERROR(VLOOKUP(E925,Sales_Reps!$A$2:$C$31,3,FALSE()),"")</f>
        <v>South</v>
      </c>
      <c r="N925">
        <f>IFERROR(VLOOKUP(D925,Products!$A$2:$F$61,4,FALSE()),"")</f>
        <v>1203</v>
      </c>
      <c r="O925" t="str">
        <f>IFERROR(VLOOKUP(C925,Customers!$A$2:$F$301,5,FALSE()),"")</f>
        <v>Retail</v>
      </c>
      <c r="P925">
        <f>IFERROR(VLOOKUP(C925,Customers!$A$2:$F$301,3,FALSE()),"")</f>
        <v>61</v>
      </c>
      <c r="Q925">
        <f t="shared" si="42"/>
        <v>0.47004405286343615</v>
      </c>
      <c r="R925">
        <f>IF(AND(COUNTIF($A$2:$A$2027,A925)&gt;1,COUNTIF($A$2:A925,A925)=1),1,0)</f>
        <v>0</v>
      </c>
      <c r="S925" t="b">
        <f>IFERROR(VLOOKUP(D925,Products!$A$2:$F$61,6,FALSE()),"")</f>
        <v>1</v>
      </c>
      <c r="T925" t="str">
        <f>IF(COUNTIF(Customers!$A$2:$A$301,C925)=0,"Missing","OK")</f>
        <v>OK</v>
      </c>
      <c r="U925" t="str">
        <f t="shared" si="43"/>
        <v>Bengaluru</v>
      </c>
      <c r="V925">
        <f t="shared" si="44"/>
        <v>1931.77</v>
      </c>
    </row>
    <row r="926" spans="1:22" ht="15" customHeight="1" x14ac:dyDescent="0.35">
      <c r="A926" s="3" t="s">
        <v>1344</v>
      </c>
      <c r="B926" s="4">
        <v>45579</v>
      </c>
      <c r="C926" s="3" t="s">
        <v>545</v>
      </c>
      <c r="D926" s="3" t="s">
        <v>391</v>
      </c>
      <c r="E926" s="3" t="s">
        <v>242</v>
      </c>
      <c r="F926" s="5">
        <v>4</v>
      </c>
      <c r="G926" s="5">
        <v>3450</v>
      </c>
      <c r="H926" s="5">
        <v>11.7</v>
      </c>
      <c r="I926" s="5">
        <v>12185.4</v>
      </c>
      <c r="J926" s="3" t="s">
        <v>79</v>
      </c>
      <c r="K926" s="3" t="s">
        <v>51</v>
      </c>
      <c r="L926" t="str">
        <f>IFERROR(VLOOKUP(D926,Products!$A$2:$F$61,3,FALSE()),"")</f>
        <v>Apparel</v>
      </c>
      <c r="M926" t="str">
        <f>IFERROR(VLOOKUP(E926,Sales_Reps!$A$2:$C$31,3,FALSE()),"")</f>
        <v>East</v>
      </c>
      <c r="N926">
        <f>IFERROR(VLOOKUP(D926,Products!$A$2:$F$61,4,FALSE()),"")</f>
        <v>1748</v>
      </c>
      <c r="O926" t="str">
        <f>IFERROR(VLOOKUP(C926,Customers!$A$2:$F$301,5,FALSE()),"")</f>
        <v>Retail</v>
      </c>
      <c r="P926">
        <f>IFERROR(VLOOKUP(C926,Customers!$A$2:$F$301,3,FALSE()),"")</f>
        <v>52</v>
      </c>
      <c r="Q926">
        <f t="shared" si="42"/>
        <v>0.49333333333333335</v>
      </c>
      <c r="R926">
        <f>IF(AND(COUNTIF($A$2:$A$2027,A926)&gt;1,COUNTIF($A$2:A926,A926)=1),1,0)</f>
        <v>0</v>
      </c>
      <c r="S926" t="b">
        <f>IFERROR(VLOOKUP(D926,Products!$A$2:$F$61,6,FALSE()),"")</f>
        <v>1</v>
      </c>
      <c r="T926" t="str">
        <f>IF(COUNTIF(Customers!$A$2:$A$301,C926)=0,"Missing","OK")</f>
        <v>OK</v>
      </c>
      <c r="U926" t="str">
        <f t="shared" si="43"/>
        <v>Mumbai</v>
      </c>
      <c r="V926">
        <f t="shared" si="44"/>
        <v>0</v>
      </c>
    </row>
    <row r="927" spans="1:22" ht="15" customHeight="1" x14ac:dyDescent="0.35">
      <c r="A927" s="3" t="s">
        <v>1345</v>
      </c>
      <c r="B927" s="4">
        <v>45323</v>
      </c>
      <c r="C927" s="3" t="s">
        <v>467</v>
      </c>
      <c r="D927" s="3" t="s">
        <v>215</v>
      </c>
      <c r="E927" s="3" t="s">
        <v>67</v>
      </c>
      <c r="F927" s="5">
        <v>7</v>
      </c>
      <c r="G927" s="5">
        <v>3020</v>
      </c>
      <c r="H927" s="5">
        <v>18.8</v>
      </c>
      <c r="I927" s="5">
        <v>17165.68</v>
      </c>
      <c r="J927" s="3" t="s">
        <v>26</v>
      </c>
      <c r="K927" s="3" t="s">
        <v>51</v>
      </c>
      <c r="L927" t="str">
        <f>IFERROR(VLOOKUP(D927,Products!$A$2:$F$61,3,FALSE()),"")</f>
        <v>Beauty</v>
      </c>
      <c r="M927" t="str">
        <f>IFERROR(VLOOKUP(E927,Sales_Reps!$A$2:$C$31,3,FALSE()),"")</f>
        <v>West</v>
      </c>
      <c r="N927">
        <f>IFERROR(VLOOKUP(D927,Products!$A$2:$F$61,4,FALSE()),"")</f>
        <v>1626</v>
      </c>
      <c r="O927" t="str">
        <f>IFERROR(VLOOKUP(C927,Customers!$A$2:$F$301,5,FALSE()),"")</f>
        <v>Retail</v>
      </c>
      <c r="P927">
        <f>IFERROR(VLOOKUP(C927,Customers!$A$2:$F$301,3,FALSE()),"")</f>
        <v>44</v>
      </c>
      <c r="Q927">
        <f t="shared" si="42"/>
        <v>0.46158940397350995</v>
      </c>
      <c r="R927">
        <f>IF(AND(COUNTIF($A$2:$A$2027,A927)&gt;1,COUNTIF($A$2:A927,A927)=1),1,0)</f>
        <v>0</v>
      </c>
      <c r="S927" t="b">
        <f>IFERROR(VLOOKUP(D927,Products!$A$2:$F$61,6,FALSE()),"")</f>
        <v>1</v>
      </c>
      <c r="T927" t="str">
        <f>IF(COUNTIF(Customers!$A$2:$A$301,C927)=0,"Missing","OK")</f>
        <v>OK</v>
      </c>
      <c r="U927" t="str">
        <f t="shared" si="43"/>
        <v>Mumbai</v>
      </c>
      <c r="V927">
        <f t="shared" si="44"/>
        <v>0</v>
      </c>
    </row>
    <row r="928" spans="1:22" ht="15" customHeight="1" x14ac:dyDescent="0.35">
      <c r="A928" s="3" t="s">
        <v>1346</v>
      </c>
      <c r="B928" s="4">
        <v>45613</v>
      </c>
      <c r="C928" s="3" t="s">
        <v>809</v>
      </c>
      <c r="D928" s="3" t="s">
        <v>234</v>
      </c>
      <c r="E928" s="3" t="s">
        <v>285</v>
      </c>
      <c r="F928" s="5">
        <v>4</v>
      </c>
      <c r="G928" s="5">
        <v>2030</v>
      </c>
      <c r="H928" s="5">
        <v>25.7</v>
      </c>
      <c r="I928" s="5">
        <v>6033.16</v>
      </c>
      <c r="J928" s="3" t="s">
        <v>26</v>
      </c>
      <c r="K928" s="3" t="s">
        <v>56</v>
      </c>
      <c r="L928" t="str">
        <f>IFERROR(VLOOKUP(D928,Products!$A$2:$F$61,3,FALSE()),"")</f>
        <v>Home</v>
      </c>
      <c r="M928" t="str">
        <f>IFERROR(VLOOKUP(E928,Sales_Reps!$A$2:$C$31,3,FALSE()),"")</f>
        <v>South</v>
      </c>
      <c r="N928">
        <f>IFERROR(VLOOKUP(D928,Products!$A$2:$F$61,4,FALSE()),"")</f>
        <v>1143</v>
      </c>
      <c r="O928" t="str">
        <f>IFERROR(VLOOKUP(C928,Customers!$A$2:$F$301,5,FALSE()),"")</f>
        <v>Retail</v>
      </c>
      <c r="P928">
        <f>IFERROR(VLOOKUP(C928,Customers!$A$2:$F$301,3,FALSE()),"")</f>
        <v>47</v>
      </c>
      <c r="Q928">
        <f t="shared" si="42"/>
        <v>0.43694581280788175</v>
      </c>
      <c r="R928">
        <f>IF(AND(COUNTIF($A$2:$A$2027,A928)&gt;1,COUNTIF($A$2:A928,A928)=1),1,0)</f>
        <v>0</v>
      </c>
      <c r="S928" t="b">
        <f>IFERROR(VLOOKUP(D928,Products!$A$2:$F$61,6,FALSE()),"")</f>
        <v>1</v>
      </c>
      <c r="T928" t="str">
        <f>IF(COUNTIF(Customers!$A$2:$A$301,C928)=0,"Missing","OK")</f>
        <v>OK</v>
      </c>
      <c r="U928" t="str">
        <f t="shared" si="43"/>
        <v>Bengaluru</v>
      </c>
      <c r="V928">
        <f t="shared" si="44"/>
        <v>0</v>
      </c>
    </row>
    <row r="929" spans="1:22" ht="15" customHeight="1" x14ac:dyDescent="0.35">
      <c r="A929" s="3" t="s">
        <v>1347</v>
      </c>
      <c r="B929" s="4">
        <v>45362</v>
      </c>
      <c r="C929" s="3" t="s">
        <v>228</v>
      </c>
      <c r="D929" s="3" t="s">
        <v>391</v>
      </c>
      <c r="E929" s="3" t="s">
        <v>37</v>
      </c>
      <c r="F929" s="5">
        <v>4</v>
      </c>
      <c r="G929" s="5">
        <v>3450</v>
      </c>
      <c r="H929" s="5">
        <v>3.9</v>
      </c>
      <c r="I929" s="5">
        <v>13261.8</v>
      </c>
      <c r="J929" s="3" t="s">
        <v>26</v>
      </c>
      <c r="K929" s="3" t="s">
        <v>33</v>
      </c>
      <c r="L929" t="str">
        <f>IFERROR(VLOOKUP(D929,Products!$A$2:$F$61,3,FALSE()),"")</f>
        <v>Apparel</v>
      </c>
      <c r="M929" t="str">
        <f>IFERROR(VLOOKUP(E929,Sales_Reps!$A$2:$C$31,3,FALSE()),"")</f>
        <v>South</v>
      </c>
      <c r="N929">
        <f>IFERROR(VLOOKUP(D929,Products!$A$2:$F$61,4,FALSE()),"")</f>
        <v>1748</v>
      </c>
      <c r="O929" t="str">
        <f>IFERROR(VLOOKUP(C929,Customers!$A$2:$F$301,5,FALSE()),"")</f>
        <v>Retail</v>
      </c>
      <c r="P929">
        <f>IFERROR(VLOOKUP(C929,Customers!$A$2:$F$301,3,FALSE()),"")</f>
        <v>38</v>
      </c>
      <c r="Q929">
        <f t="shared" si="42"/>
        <v>0.49333333333333335</v>
      </c>
      <c r="R929">
        <f>IF(AND(COUNTIF($A$2:$A$2027,A929)&gt;1,COUNTIF($A$2:A929,A929)=1),1,0)</f>
        <v>0</v>
      </c>
      <c r="S929" t="b">
        <f>IFERROR(VLOOKUP(D929,Products!$A$2:$F$61,6,FALSE()),"")</f>
        <v>1</v>
      </c>
      <c r="T929" t="str">
        <f>IF(COUNTIF(Customers!$A$2:$A$301,C929)=0,"Missing","OK")</f>
        <v>OK</v>
      </c>
      <c r="U929" t="str">
        <f t="shared" si="43"/>
        <v>Chennai</v>
      </c>
      <c r="V929">
        <f t="shared" si="44"/>
        <v>0</v>
      </c>
    </row>
    <row r="930" spans="1:22" ht="15" customHeight="1" x14ac:dyDescent="0.35">
      <c r="A930" s="3" t="s">
        <v>1348</v>
      </c>
      <c r="B930" s="4">
        <v>45347</v>
      </c>
      <c r="C930" s="3" t="s">
        <v>467</v>
      </c>
      <c r="D930" s="3" t="s">
        <v>319</v>
      </c>
      <c r="E930" s="3" t="s">
        <v>67</v>
      </c>
      <c r="F930" s="5">
        <v>5</v>
      </c>
      <c r="G930" s="5">
        <v>960</v>
      </c>
      <c r="H930" s="5">
        <v>8</v>
      </c>
      <c r="I930" s="5">
        <v>4416</v>
      </c>
      <c r="J930" s="3" t="s">
        <v>26</v>
      </c>
      <c r="K930" s="3" t="s">
        <v>51</v>
      </c>
      <c r="L930" t="str">
        <f>IFERROR(VLOOKUP(D930,Products!$A$2:$F$61,3,FALSE()),"")</f>
        <v>Beauty</v>
      </c>
      <c r="M930" t="str">
        <f>IFERROR(VLOOKUP(E930,Sales_Reps!$A$2:$C$31,3,FALSE()),"")</f>
        <v>West</v>
      </c>
      <c r="N930">
        <f>IFERROR(VLOOKUP(D930,Products!$A$2:$F$61,4,FALSE()),"")</f>
        <v>675</v>
      </c>
      <c r="O930" t="str">
        <f>IFERROR(VLOOKUP(C930,Customers!$A$2:$F$301,5,FALSE()),"")</f>
        <v>Retail</v>
      </c>
      <c r="P930">
        <f>IFERROR(VLOOKUP(C930,Customers!$A$2:$F$301,3,FALSE()),"")</f>
        <v>44</v>
      </c>
      <c r="Q930">
        <f t="shared" si="42"/>
        <v>0.296875</v>
      </c>
      <c r="R930">
        <f>IF(AND(COUNTIF($A$2:$A$2027,A930)&gt;1,COUNTIF($A$2:A930,A930)=1),1,0)</f>
        <v>0</v>
      </c>
      <c r="S930" t="b">
        <f>IFERROR(VLOOKUP(D930,Products!$A$2:$F$61,6,FALSE()),"")</f>
        <v>1</v>
      </c>
      <c r="T930" t="str">
        <f>IF(COUNTIF(Customers!$A$2:$A$301,C930)=0,"Missing","OK")</f>
        <v>OK</v>
      </c>
      <c r="U930" t="str">
        <f t="shared" si="43"/>
        <v>Mumbai</v>
      </c>
      <c r="V930">
        <f t="shared" si="44"/>
        <v>0</v>
      </c>
    </row>
    <row r="931" spans="1:22" ht="15" customHeight="1" x14ac:dyDescent="0.35">
      <c r="A931" s="3" t="s">
        <v>1349</v>
      </c>
      <c r="B931" s="4">
        <v>45550</v>
      </c>
      <c r="C931" s="3" t="s">
        <v>35</v>
      </c>
      <c r="D931" s="3" t="s">
        <v>347</v>
      </c>
      <c r="E931" s="3" t="s">
        <v>154</v>
      </c>
      <c r="F931" s="5">
        <v>7</v>
      </c>
      <c r="G931" s="5">
        <v>3970</v>
      </c>
      <c r="H931" s="5">
        <v>11.7</v>
      </c>
      <c r="I931" s="5">
        <v>24538.57</v>
      </c>
      <c r="J931" s="3" t="s">
        <v>26</v>
      </c>
      <c r="K931" s="3" t="s">
        <v>38</v>
      </c>
      <c r="L931" t="str">
        <f>IFERROR(VLOOKUP(D931,Products!$A$2:$F$61,3,FALSE()),"")</f>
        <v>Electronics</v>
      </c>
      <c r="M931" t="str">
        <f>IFERROR(VLOOKUP(E931,Sales_Reps!$A$2:$C$31,3,FALSE()),"")</f>
        <v>North</v>
      </c>
      <c r="N931">
        <f>IFERROR(VLOOKUP(D931,Products!$A$2:$F$61,4,FALSE()),"")</f>
        <v>2865</v>
      </c>
      <c r="O931" t="str">
        <f>IFERROR(VLOOKUP(C931,Customers!$A$2:$F$301,5,FALSE()),"")</f>
        <v>Retail</v>
      </c>
      <c r="P931">
        <f>IFERROR(VLOOKUP(C931,Customers!$A$2:$F$301,3,FALSE()),"")</f>
        <v>52</v>
      </c>
      <c r="Q931">
        <f t="shared" si="42"/>
        <v>0.27833753148614609</v>
      </c>
      <c r="R931">
        <f>IF(AND(COUNTIF($A$2:$A$2027,A931)&gt;1,COUNTIF($A$2:A931,A931)=1),1,0)</f>
        <v>0</v>
      </c>
      <c r="S931" t="b">
        <f>IFERROR(VLOOKUP(D931,Products!$A$2:$F$61,6,FALSE()),"")</f>
        <v>1</v>
      </c>
      <c r="T931" t="str">
        <f>IF(COUNTIF(Customers!$A$2:$A$301,C931)=0,"Missing","OK")</f>
        <v>OK</v>
      </c>
      <c r="U931" t="str">
        <f t="shared" si="43"/>
        <v>Delhi</v>
      </c>
      <c r="V931">
        <f t="shared" si="44"/>
        <v>0</v>
      </c>
    </row>
    <row r="932" spans="1:22" ht="15" customHeight="1" x14ac:dyDescent="0.35">
      <c r="A932" s="3" t="s">
        <v>1350</v>
      </c>
      <c r="B932" s="4">
        <v>45554</v>
      </c>
      <c r="C932" s="3" t="s">
        <v>244</v>
      </c>
      <c r="D932" s="3" t="s">
        <v>299</v>
      </c>
      <c r="E932" s="3" t="s">
        <v>140</v>
      </c>
      <c r="F932" s="5">
        <v>3</v>
      </c>
      <c r="G932" s="5">
        <v>5410</v>
      </c>
      <c r="H932" s="5">
        <v>10</v>
      </c>
      <c r="I932" s="5">
        <v>14607</v>
      </c>
      <c r="J932" s="3" t="s">
        <v>26</v>
      </c>
      <c r="K932" s="3" t="s">
        <v>72</v>
      </c>
      <c r="L932" t="str">
        <f>IFERROR(VLOOKUP(D932,Products!$A$2:$F$61,3,FALSE()),"")</f>
        <v>Sports</v>
      </c>
      <c r="M932" t="str">
        <f>IFERROR(VLOOKUP(E932,Sales_Reps!$A$2:$C$31,3,FALSE()),"")</f>
        <v>West</v>
      </c>
      <c r="N932">
        <f>IFERROR(VLOOKUP(D932,Products!$A$2:$F$61,4,FALSE()),"")</f>
        <v>2265</v>
      </c>
      <c r="O932" t="str">
        <f>IFERROR(VLOOKUP(C932,Customers!$A$2:$F$301,5,FALSE()),"")</f>
        <v>Corporate</v>
      </c>
      <c r="P932">
        <f>IFERROR(VLOOKUP(C932,Customers!$A$2:$F$301,3,FALSE()),"")</f>
        <v>46</v>
      </c>
      <c r="Q932">
        <f t="shared" si="42"/>
        <v>0.58133086876155271</v>
      </c>
      <c r="R932">
        <f>IF(AND(COUNTIF($A$2:$A$2027,A932)&gt;1,COUNTIF($A$2:A932,A932)=1),1,0)</f>
        <v>0</v>
      </c>
      <c r="S932" t="b">
        <f>IFERROR(VLOOKUP(D932,Products!$A$2:$F$61,6,FALSE()),"")</f>
        <v>1</v>
      </c>
      <c r="T932" t="str">
        <f>IF(COUNTIF(Customers!$A$2:$A$301,C932)=0,"Missing","OK")</f>
        <v>OK</v>
      </c>
      <c r="U932" t="str">
        <f t="shared" si="43"/>
        <v>Hyderabad</v>
      </c>
      <c r="V932">
        <f t="shared" si="44"/>
        <v>0</v>
      </c>
    </row>
    <row r="933" spans="1:22" ht="15" customHeight="1" x14ac:dyDescent="0.35">
      <c r="A933" s="3" t="s">
        <v>1351</v>
      </c>
      <c r="B933" s="4">
        <v>45428</v>
      </c>
      <c r="C933" s="3" t="s">
        <v>399</v>
      </c>
      <c r="D933" s="3" t="s">
        <v>126</v>
      </c>
      <c r="E933" s="3" t="s">
        <v>25</v>
      </c>
      <c r="F933" s="5">
        <v>8</v>
      </c>
      <c r="G933" s="5">
        <v>3570</v>
      </c>
      <c r="H933" s="5">
        <v>8.5</v>
      </c>
      <c r="I933" s="5">
        <v>26132.400000000001</v>
      </c>
      <c r="J933" s="3" t="s">
        <v>26</v>
      </c>
      <c r="K933" s="3" t="s">
        <v>27</v>
      </c>
      <c r="L933" t="str">
        <f>IFERROR(VLOOKUP(D933,Products!$A$2:$F$61,3,FALSE()),"")</f>
        <v>Electronics</v>
      </c>
      <c r="M933" t="str">
        <f>IFERROR(VLOOKUP(E933,Sales_Reps!$A$2:$C$31,3,FALSE()),"")</f>
        <v>North</v>
      </c>
      <c r="N933">
        <f>IFERROR(VLOOKUP(D933,Products!$A$2:$F$61,4,FALSE()),"")</f>
        <v>1665</v>
      </c>
      <c r="O933" t="str">
        <f>IFERROR(VLOOKUP(C933,Customers!$A$2:$F$301,5,FALSE()),"")</f>
        <v>Corporate</v>
      </c>
      <c r="P933">
        <f>IFERROR(VLOOKUP(C933,Customers!$A$2:$F$301,3,FALSE()),"")</f>
        <v>37</v>
      </c>
      <c r="Q933">
        <f t="shared" si="42"/>
        <v>0.53361344537815125</v>
      </c>
      <c r="R933">
        <f>IF(AND(COUNTIF($A$2:$A$2027,A933)&gt;1,COUNTIF($A$2:A933,A933)=1),1,0)</f>
        <v>0</v>
      </c>
      <c r="S933" t="b">
        <f>IFERROR(VLOOKUP(D933,Products!$A$2:$F$61,6,FALSE()),"")</f>
        <v>1</v>
      </c>
      <c r="T933" t="str">
        <f>IF(COUNTIF(Customers!$A$2:$A$301,C933)=0,"Missing","OK")</f>
        <v>OK</v>
      </c>
      <c r="U933" t="str">
        <f t="shared" si="43"/>
        <v>Pune</v>
      </c>
      <c r="V933">
        <f t="shared" si="44"/>
        <v>0</v>
      </c>
    </row>
    <row r="934" spans="1:22" ht="15" customHeight="1" x14ac:dyDescent="0.35">
      <c r="A934" s="3" t="s">
        <v>1352</v>
      </c>
      <c r="B934" s="4">
        <v>45517</v>
      </c>
      <c r="C934" s="3" t="s">
        <v>167</v>
      </c>
      <c r="D934" s="3" t="s">
        <v>77</v>
      </c>
      <c r="E934" s="3" t="s">
        <v>37</v>
      </c>
      <c r="F934" s="5">
        <v>7</v>
      </c>
      <c r="G934" s="5">
        <v>2600</v>
      </c>
      <c r="H934" s="5">
        <v>27.1</v>
      </c>
      <c r="I934" s="5">
        <v>13267.8</v>
      </c>
      <c r="J934" s="3" t="s">
        <v>26</v>
      </c>
      <c r="K934" s="3" t="s">
        <v>51</v>
      </c>
      <c r="L934" t="str">
        <f>IFERROR(VLOOKUP(D934,Products!$A$2:$F$61,3,FALSE()),"")</f>
        <v>Electronics</v>
      </c>
      <c r="M934" t="str">
        <f>IFERROR(VLOOKUP(E934,Sales_Reps!$A$2:$C$31,3,FALSE()),"")</f>
        <v>South</v>
      </c>
      <c r="N934">
        <f>IFERROR(VLOOKUP(D934,Products!$A$2:$F$61,4,FALSE()),"")</f>
        <v>1052</v>
      </c>
      <c r="O934" t="str">
        <f>IFERROR(VLOOKUP(C934,Customers!$A$2:$F$301,5,FALSE()),"")</f>
        <v>SMB</v>
      </c>
      <c r="P934">
        <f>IFERROR(VLOOKUP(C934,Customers!$A$2:$F$301,3,FALSE()),"")</f>
        <v>54</v>
      </c>
      <c r="Q934">
        <f t="shared" si="42"/>
        <v>0.5953846153846154</v>
      </c>
      <c r="R934">
        <f>IF(AND(COUNTIF($A$2:$A$2027,A934)&gt;1,COUNTIF($A$2:A934,A934)=1),1,0)</f>
        <v>0</v>
      </c>
      <c r="S934" t="b">
        <f>IFERROR(VLOOKUP(D934,Products!$A$2:$F$61,6,FALSE()),"")</f>
        <v>1</v>
      </c>
      <c r="T934" t="str">
        <f>IF(COUNTIF(Customers!$A$2:$A$301,C934)=0,"Missing","OK")</f>
        <v>OK</v>
      </c>
      <c r="U934" t="str">
        <f t="shared" si="43"/>
        <v>Mumbai</v>
      </c>
      <c r="V934">
        <f t="shared" si="44"/>
        <v>0</v>
      </c>
    </row>
    <row r="935" spans="1:22" ht="15" customHeight="1" x14ac:dyDescent="0.35">
      <c r="A935" s="3" t="s">
        <v>1353</v>
      </c>
      <c r="B935" s="4">
        <v>45442</v>
      </c>
      <c r="C935" s="3" t="s">
        <v>205</v>
      </c>
      <c r="D935" s="3" t="s">
        <v>36</v>
      </c>
      <c r="E935" s="3" t="s">
        <v>140</v>
      </c>
      <c r="F935" s="5">
        <v>6</v>
      </c>
      <c r="G935" s="5">
        <v>470</v>
      </c>
      <c r="H935" s="5">
        <v>2.4</v>
      </c>
      <c r="I935" s="5">
        <v>2752.32</v>
      </c>
      <c r="J935" s="3" t="s">
        <v>32</v>
      </c>
      <c r="K935" s="3" t="s">
        <v>38</v>
      </c>
      <c r="L935" t="str">
        <f>IFERROR(VLOOKUP(D935,Products!$A$2:$F$61,3,FALSE()),"")</f>
        <v>Sports</v>
      </c>
      <c r="M935" t="str">
        <f>IFERROR(VLOOKUP(E935,Sales_Reps!$A$2:$C$31,3,FALSE()),"")</f>
        <v>West</v>
      </c>
      <c r="N935">
        <f>IFERROR(VLOOKUP(D935,Products!$A$2:$F$61,4,FALSE()),"")</f>
        <v>302</v>
      </c>
      <c r="O935" t="str">
        <f>IFERROR(VLOOKUP(C935,Customers!$A$2:$F$301,5,FALSE()),"")</f>
        <v>Corporate</v>
      </c>
      <c r="P935">
        <f>IFERROR(VLOOKUP(C935,Customers!$A$2:$F$301,3,FALSE()),"")</f>
        <v>55</v>
      </c>
      <c r="Q935">
        <f t="shared" si="42"/>
        <v>0.35744680851063831</v>
      </c>
      <c r="R935">
        <f>IF(AND(COUNTIF($A$2:$A$2027,A935)&gt;1,COUNTIF($A$2:A935,A935)=1),1,0)</f>
        <v>0</v>
      </c>
      <c r="S935" t="b">
        <f>IFERROR(VLOOKUP(D935,Products!$A$2:$F$61,6,FALSE()),"")</f>
        <v>0</v>
      </c>
      <c r="T935" t="str">
        <f>IF(COUNTIF(Customers!$A$2:$A$301,C935)=0,"Missing","OK")</f>
        <v>OK</v>
      </c>
      <c r="U935" t="str">
        <f t="shared" si="43"/>
        <v>Delhi</v>
      </c>
      <c r="V935">
        <f t="shared" si="44"/>
        <v>0</v>
      </c>
    </row>
    <row r="936" spans="1:22" ht="15" customHeight="1" x14ac:dyDescent="0.35">
      <c r="A936" s="3" t="s">
        <v>1354</v>
      </c>
      <c r="B936" s="4">
        <v>45371</v>
      </c>
      <c r="C936" s="3" t="s">
        <v>698</v>
      </c>
      <c r="D936" s="3" t="s">
        <v>36</v>
      </c>
      <c r="E936" s="3" t="s">
        <v>50</v>
      </c>
      <c r="F936" s="5">
        <v>3</v>
      </c>
      <c r="G936" s="5">
        <v>470</v>
      </c>
      <c r="H936" s="5">
        <v>6.3</v>
      </c>
      <c r="I936" s="5">
        <v>1321.17</v>
      </c>
      <c r="J936" s="3" t="s">
        <v>26</v>
      </c>
      <c r="K936" s="3" t="s">
        <v>56</v>
      </c>
      <c r="L936" t="str">
        <f>IFERROR(VLOOKUP(D936,Products!$A$2:$F$61,3,FALSE()),"")</f>
        <v>Sports</v>
      </c>
      <c r="M936" t="str">
        <f>IFERROR(VLOOKUP(E936,Sales_Reps!$A$2:$C$31,3,FALSE()),"")</f>
        <v>West</v>
      </c>
      <c r="N936">
        <f>IFERROR(VLOOKUP(D936,Products!$A$2:$F$61,4,FALSE()),"")</f>
        <v>302</v>
      </c>
      <c r="O936" t="str">
        <f>IFERROR(VLOOKUP(C936,Customers!$A$2:$F$301,5,FALSE()),"")</f>
        <v>Retail</v>
      </c>
      <c r="P936">
        <f>IFERROR(VLOOKUP(C936,Customers!$A$2:$F$301,3,FALSE()),"")</f>
        <v>29</v>
      </c>
      <c r="Q936">
        <f t="shared" si="42"/>
        <v>0.35744680851063831</v>
      </c>
      <c r="R936">
        <f>IF(AND(COUNTIF($A$2:$A$2027,A936)&gt;1,COUNTIF($A$2:A936,A936)=1),1,0)</f>
        <v>0</v>
      </c>
      <c r="S936" t="b">
        <f>IFERROR(VLOOKUP(D936,Products!$A$2:$F$61,6,FALSE()),"")</f>
        <v>0</v>
      </c>
      <c r="T936" t="str">
        <f>IF(COUNTIF(Customers!$A$2:$A$301,C936)=0,"Missing","OK")</f>
        <v>OK</v>
      </c>
      <c r="U936" t="str">
        <f t="shared" si="43"/>
        <v>Bengaluru</v>
      </c>
      <c r="V936">
        <f t="shared" si="44"/>
        <v>0</v>
      </c>
    </row>
    <row r="937" spans="1:22" ht="15" customHeight="1" x14ac:dyDescent="0.35">
      <c r="A937" s="3" t="s">
        <v>1355</v>
      </c>
      <c r="B937" s="4">
        <v>45540</v>
      </c>
      <c r="C937" s="3" t="s">
        <v>1247</v>
      </c>
      <c r="D937" s="3" t="s">
        <v>400</v>
      </c>
      <c r="E937" s="3" t="s">
        <v>78</v>
      </c>
      <c r="F937" s="5">
        <v>3</v>
      </c>
      <c r="G937" s="5">
        <v>3780</v>
      </c>
      <c r="H937" s="5">
        <v>19.399999999999999</v>
      </c>
      <c r="I937" s="5">
        <v>9140.0400000000009</v>
      </c>
      <c r="J937" s="3" t="s">
        <v>32</v>
      </c>
      <c r="K937" s="3" t="s">
        <v>33</v>
      </c>
      <c r="L937" t="str">
        <f>IFERROR(VLOOKUP(D937,Products!$A$2:$F$61,3,FALSE()),"")</f>
        <v>Sports</v>
      </c>
      <c r="M937" t="str">
        <f>IFERROR(VLOOKUP(E937,Sales_Reps!$A$2:$C$31,3,FALSE()),"")</f>
        <v>North</v>
      </c>
      <c r="N937">
        <f>IFERROR(VLOOKUP(D937,Products!$A$2:$F$61,4,FALSE()),"")</f>
        <v>1860</v>
      </c>
      <c r="O937" t="str">
        <f>IFERROR(VLOOKUP(C937,Customers!$A$2:$F$301,5,FALSE()),"")</f>
        <v>SMB</v>
      </c>
      <c r="P937">
        <f>IFERROR(VLOOKUP(C937,Customers!$A$2:$F$301,3,FALSE()),"")</f>
        <v>51</v>
      </c>
      <c r="Q937">
        <f t="shared" si="42"/>
        <v>0.50793650793650791</v>
      </c>
      <c r="R937">
        <f>IF(AND(COUNTIF($A$2:$A$2027,A937)&gt;1,COUNTIF($A$2:A937,A937)=1),1,0)</f>
        <v>0</v>
      </c>
      <c r="S937" t="b">
        <f>IFERROR(VLOOKUP(D937,Products!$A$2:$F$61,6,FALSE()),"")</f>
        <v>1</v>
      </c>
      <c r="T937" t="str">
        <f>IF(COUNTIF(Customers!$A$2:$A$301,C937)=0,"Missing","OK")</f>
        <v>OK</v>
      </c>
      <c r="U937" t="str">
        <f t="shared" si="43"/>
        <v>Chennai</v>
      </c>
      <c r="V937">
        <f t="shared" si="44"/>
        <v>0</v>
      </c>
    </row>
    <row r="938" spans="1:22" ht="15" customHeight="1" x14ac:dyDescent="0.35">
      <c r="A938" s="3" t="s">
        <v>1356</v>
      </c>
      <c r="B938" s="4">
        <v>45392</v>
      </c>
      <c r="C938" s="3" t="s">
        <v>65</v>
      </c>
      <c r="D938" s="3" t="s">
        <v>454</v>
      </c>
      <c r="E938" s="3" t="s">
        <v>60</v>
      </c>
      <c r="F938" s="5">
        <v>5</v>
      </c>
      <c r="G938" s="5">
        <v>6940</v>
      </c>
      <c r="H938" s="5">
        <v>12.6</v>
      </c>
      <c r="I938" s="5">
        <v>30327.8</v>
      </c>
      <c r="J938" s="3" t="s">
        <v>26</v>
      </c>
      <c r="K938" s="3" t="s">
        <v>27</v>
      </c>
      <c r="L938" t="str">
        <f>IFERROR(VLOOKUP(D938,Products!$A$2:$F$61,3,FALSE()),"")</f>
        <v>Sports</v>
      </c>
      <c r="M938" t="str">
        <f>IFERROR(VLOOKUP(E938,Sales_Reps!$A$2:$C$31,3,FALSE()),"")</f>
        <v>East</v>
      </c>
      <c r="N938">
        <f>IFERROR(VLOOKUP(D938,Products!$A$2:$F$61,4,FALSE()),"")</f>
        <v>2827</v>
      </c>
      <c r="O938" t="str">
        <f>IFERROR(VLOOKUP(C938,Customers!$A$2:$F$301,5,FALSE()),"")</f>
        <v>Retail</v>
      </c>
      <c r="P938">
        <f>IFERROR(VLOOKUP(C938,Customers!$A$2:$F$301,3,FALSE()),"")</f>
        <v>56</v>
      </c>
      <c r="Q938">
        <f t="shared" si="42"/>
        <v>0.5926512968299712</v>
      </c>
      <c r="R938">
        <f>IF(AND(COUNTIF($A$2:$A$2027,A938)&gt;1,COUNTIF($A$2:A938,A938)=1),1,0)</f>
        <v>0</v>
      </c>
      <c r="S938" t="b">
        <f>IFERROR(VLOOKUP(D938,Products!$A$2:$F$61,6,FALSE()),"")</f>
        <v>1</v>
      </c>
      <c r="T938" t="str">
        <f>IF(COUNTIF(Customers!$A$2:$A$301,C938)=0,"Missing","OK")</f>
        <v>OK</v>
      </c>
      <c r="U938" t="str">
        <f t="shared" si="43"/>
        <v>Pune</v>
      </c>
      <c r="V938">
        <f t="shared" si="44"/>
        <v>0</v>
      </c>
    </row>
    <row r="939" spans="1:22" ht="15" customHeight="1" x14ac:dyDescent="0.35">
      <c r="A939" s="3" t="s">
        <v>1357</v>
      </c>
      <c r="B939" s="4">
        <v>45386</v>
      </c>
      <c r="C939" s="3" t="s">
        <v>352</v>
      </c>
      <c r="D939" s="3" t="s">
        <v>187</v>
      </c>
      <c r="E939" s="3" t="s">
        <v>109</v>
      </c>
      <c r="F939" s="5">
        <v>2</v>
      </c>
      <c r="G939" s="5">
        <v>3870</v>
      </c>
      <c r="H939" s="5">
        <v>10.5</v>
      </c>
      <c r="I939" s="5">
        <v>6927.3</v>
      </c>
      <c r="J939" s="3" t="s">
        <v>26</v>
      </c>
      <c r="K939" s="3" t="s">
        <v>27</v>
      </c>
      <c r="L939" t="str">
        <f>IFERROR(VLOOKUP(D939,Products!$A$2:$F$61,3,FALSE()),"")</f>
        <v>Electronics</v>
      </c>
      <c r="M939" t="str">
        <f>IFERROR(VLOOKUP(E939,Sales_Reps!$A$2:$C$31,3,FALSE()),"")</f>
        <v>West</v>
      </c>
      <c r="N939">
        <f>IFERROR(VLOOKUP(D939,Products!$A$2:$F$61,4,FALSE()),"")</f>
        <v>1559</v>
      </c>
      <c r="O939" t="str">
        <f>IFERROR(VLOOKUP(C939,Customers!$A$2:$F$301,5,FALSE()),"")</f>
        <v>Retail</v>
      </c>
      <c r="P939">
        <f>IFERROR(VLOOKUP(C939,Customers!$A$2:$F$301,3,FALSE()),"")</f>
        <v>22</v>
      </c>
      <c r="Q939">
        <f t="shared" si="42"/>
        <v>0.59715762273901807</v>
      </c>
      <c r="R939">
        <f>IF(AND(COUNTIF($A$2:$A$2027,A939)&gt;1,COUNTIF($A$2:A939,A939)=1),1,0)</f>
        <v>0</v>
      </c>
      <c r="S939" t="b">
        <f>IFERROR(VLOOKUP(D939,Products!$A$2:$F$61,6,FALSE()),"")</f>
        <v>1</v>
      </c>
      <c r="T939" t="str">
        <f>IF(COUNTIF(Customers!$A$2:$A$301,C939)=0,"Missing","OK")</f>
        <v>OK</v>
      </c>
      <c r="U939" t="str">
        <f t="shared" si="43"/>
        <v>Pune</v>
      </c>
      <c r="V939">
        <f t="shared" si="44"/>
        <v>0</v>
      </c>
    </row>
    <row r="940" spans="1:22" ht="15" customHeight="1" x14ac:dyDescent="0.35">
      <c r="A940" s="3" t="s">
        <v>1358</v>
      </c>
      <c r="B940" s="4">
        <v>45516</v>
      </c>
      <c r="C940" s="3" t="s">
        <v>780</v>
      </c>
      <c r="D940" s="3" t="s">
        <v>299</v>
      </c>
      <c r="E940" s="3" t="s">
        <v>37</v>
      </c>
      <c r="F940" s="5">
        <v>8</v>
      </c>
      <c r="G940" s="5">
        <v>5410</v>
      </c>
      <c r="H940" s="5">
        <v>28.4</v>
      </c>
      <c r="I940" s="5">
        <v>30988.48</v>
      </c>
      <c r="J940" s="3" t="s">
        <v>32</v>
      </c>
      <c r="K940" s="3" t="s">
        <v>56</v>
      </c>
      <c r="L940" t="str">
        <f>IFERROR(VLOOKUP(D940,Products!$A$2:$F$61,3,FALSE()),"")</f>
        <v>Sports</v>
      </c>
      <c r="M940" t="str">
        <f>IFERROR(VLOOKUP(E940,Sales_Reps!$A$2:$C$31,3,FALSE()),"")</f>
        <v>South</v>
      </c>
      <c r="N940">
        <f>IFERROR(VLOOKUP(D940,Products!$A$2:$F$61,4,FALSE()),"")</f>
        <v>2265</v>
      </c>
      <c r="O940" t="str">
        <f>IFERROR(VLOOKUP(C940,Customers!$A$2:$F$301,5,FALSE()),"")</f>
        <v>Corporate</v>
      </c>
      <c r="P940">
        <f>IFERROR(VLOOKUP(C940,Customers!$A$2:$F$301,3,FALSE()),"")</f>
        <v>41</v>
      </c>
      <c r="Q940">
        <f t="shared" si="42"/>
        <v>0.58133086876155271</v>
      </c>
      <c r="R940">
        <f>IF(AND(COUNTIF($A$2:$A$2027,A940)&gt;1,COUNTIF($A$2:A940,A940)=1),1,0)</f>
        <v>0</v>
      </c>
      <c r="S940" t="b">
        <f>IFERROR(VLOOKUP(D940,Products!$A$2:$F$61,6,FALSE()),"")</f>
        <v>1</v>
      </c>
      <c r="T940" t="str">
        <f>IF(COUNTIF(Customers!$A$2:$A$301,C940)=0,"Missing","OK")</f>
        <v>OK</v>
      </c>
      <c r="U940" t="str">
        <f t="shared" si="43"/>
        <v>Bengaluru</v>
      </c>
      <c r="V940">
        <f t="shared" si="44"/>
        <v>0</v>
      </c>
    </row>
    <row r="941" spans="1:22" ht="15" customHeight="1" x14ac:dyDescent="0.35">
      <c r="A941" s="3" t="s">
        <v>1359</v>
      </c>
      <c r="B941" s="4">
        <v>45618</v>
      </c>
      <c r="C941" s="3" t="s">
        <v>136</v>
      </c>
      <c r="D941" s="3" t="s">
        <v>347</v>
      </c>
      <c r="E941" s="3" t="s">
        <v>109</v>
      </c>
      <c r="F941" s="5">
        <v>7</v>
      </c>
      <c r="G941" s="5">
        <v>3970</v>
      </c>
      <c r="H941" s="5">
        <v>12.3</v>
      </c>
      <c r="I941" s="5">
        <v>24371.83</v>
      </c>
      <c r="J941" s="3" t="s">
        <v>26</v>
      </c>
      <c r="K941" s="3" t="s">
        <v>27</v>
      </c>
      <c r="L941" t="str">
        <f>IFERROR(VLOOKUP(D941,Products!$A$2:$F$61,3,FALSE()),"")</f>
        <v>Electronics</v>
      </c>
      <c r="M941" t="str">
        <f>IFERROR(VLOOKUP(E941,Sales_Reps!$A$2:$C$31,3,FALSE()),"")</f>
        <v>West</v>
      </c>
      <c r="N941">
        <f>IFERROR(VLOOKUP(D941,Products!$A$2:$F$61,4,FALSE()),"")</f>
        <v>2865</v>
      </c>
      <c r="O941" t="str">
        <f>IFERROR(VLOOKUP(C941,Customers!$A$2:$F$301,5,FALSE()),"")</f>
        <v>Corporate</v>
      </c>
      <c r="P941">
        <f>IFERROR(VLOOKUP(C941,Customers!$A$2:$F$301,3,FALSE()),"")</f>
        <v>47</v>
      </c>
      <c r="Q941">
        <f t="shared" si="42"/>
        <v>0.27833753148614609</v>
      </c>
      <c r="R941">
        <f>IF(AND(COUNTIF($A$2:$A$2027,A941)&gt;1,COUNTIF($A$2:A941,A941)=1),1,0)</f>
        <v>0</v>
      </c>
      <c r="S941" t="b">
        <f>IFERROR(VLOOKUP(D941,Products!$A$2:$F$61,6,FALSE()),"")</f>
        <v>1</v>
      </c>
      <c r="T941" t="str">
        <f>IF(COUNTIF(Customers!$A$2:$A$301,C941)=0,"Missing","OK")</f>
        <v>OK</v>
      </c>
      <c r="U941" t="str">
        <f t="shared" si="43"/>
        <v>Pune</v>
      </c>
      <c r="V941">
        <f t="shared" si="44"/>
        <v>0</v>
      </c>
    </row>
    <row r="942" spans="1:22" ht="15" customHeight="1" x14ac:dyDescent="0.35">
      <c r="A942" s="3" t="s">
        <v>1360</v>
      </c>
      <c r="B942" s="4">
        <v>45610</v>
      </c>
      <c r="C942" s="3" t="s">
        <v>554</v>
      </c>
      <c r="D942" s="3" t="s">
        <v>454</v>
      </c>
      <c r="E942" s="3" t="s">
        <v>154</v>
      </c>
      <c r="F942" s="5">
        <v>5</v>
      </c>
      <c r="G942" s="5">
        <v>6940</v>
      </c>
      <c r="H942" s="5">
        <v>1.5</v>
      </c>
      <c r="I942" s="5">
        <v>34179.5</v>
      </c>
      <c r="J942" s="3" t="s">
        <v>26</v>
      </c>
      <c r="K942" s="3" t="s">
        <v>51</v>
      </c>
      <c r="L942" t="str">
        <f>IFERROR(VLOOKUP(D942,Products!$A$2:$F$61,3,FALSE()),"")</f>
        <v>Sports</v>
      </c>
      <c r="M942" t="str">
        <f>IFERROR(VLOOKUP(E942,Sales_Reps!$A$2:$C$31,3,FALSE()),"")</f>
        <v>North</v>
      </c>
      <c r="N942">
        <f>IFERROR(VLOOKUP(D942,Products!$A$2:$F$61,4,FALSE()),"")</f>
        <v>2827</v>
      </c>
      <c r="O942" t="str">
        <f>IFERROR(VLOOKUP(C942,Customers!$A$2:$F$301,5,FALSE()),"")</f>
        <v>Retail</v>
      </c>
      <c r="P942">
        <f>IFERROR(VLOOKUP(C942,Customers!$A$2:$F$301,3,FALSE()),"")</f>
        <v>53</v>
      </c>
      <c r="Q942">
        <f t="shared" si="42"/>
        <v>0.5926512968299712</v>
      </c>
      <c r="R942">
        <f>IF(AND(COUNTIF($A$2:$A$2027,A942)&gt;1,COUNTIF($A$2:A942,A942)=1),1,0)</f>
        <v>0</v>
      </c>
      <c r="S942" t="b">
        <f>IFERROR(VLOOKUP(D942,Products!$A$2:$F$61,6,FALSE()),"")</f>
        <v>1</v>
      </c>
      <c r="T942" t="str">
        <f>IF(COUNTIF(Customers!$A$2:$A$301,C942)=0,"Missing","OK")</f>
        <v>OK</v>
      </c>
      <c r="U942" t="str">
        <f t="shared" si="43"/>
        <v>Mumbai</v>
      </c>
      <c r="V942">
        <f t="shared" si="44"/>
        <v>0</v>
      </c>
    </row>
    <row r="943" spans="1:22" ht="15" customHeight="1" x14ac:dyDescent="0.35">
      <c r="A943" s="3" t="s">
        <v>1361</v>
      </c>
      <c r="B943" s="4">
        <v>45541</v>
      </c>
      <c r="C943" s="3" t="s">
        <v>977</v>
      </c>
      <c r="D943" s="3" t="s">
        <v>45</v>
      </c>
      <c r="E943" s="3" t="s">
        <v>42</v>
      </c>
      <c r="F943" s="5">
        <v>7</v>
      </c>
      <c r="G943" s="5">
        <v>3160</v>
      </c>
      <c r="H943" s="5">
        <v>2.4</v>
      </c>
      <c r="I943" s="5">
        <v>21589.119999999999</v>
      </c>
      <c r="J943" s="3" t="s">
        <v>83</v>
      </c>
      <c r="K943" s="3" t="s">
        <v>56</v>
      </c>
      <c r="L943" t="str">
        <f>IFERROR(VLOOKUP(D943,Products!$A$2:$F$61,3,FALSE()),"")</f>
        <v>Apparel</v>
      </c>
      <c r="M943" t="str">
        <f>IFERROR(VLOOKUP(E943,Sales_Reps!$A$2:$C$31,3,FALSE()),"")</f>
        <v>North</v>
      </c>
      <c r="N943">
        <f>IFERROR(VLOOKUP(D943,Products!$A$2:$F$61,4,FALSE()),"")</f>
        <v>1886</v>
      </c>
      <c r="O943" t="str">
        <f>IFERROR(VLOOKUP(C943,Customers!$A$2:$F$301,5,FALSE()),"")</f>
        <v>Corporate</v>
      </c>
      <c r="P943">
        <f>IFERROR(VLOOKUP(C943,Customers!$A$2:$F$301,3,FALSE()),"")</f>
        <v>55</v>
      </c>
      <c r="Q943">
        <f t="shared" si="42"/>
        <v>0.4031645569620253</v>
      </c>
      <c r="R943">
        <f>IF(AND(COUNTIF($A$2:$A$2027,A943)&gt;1,COUNTIF($A$2:A943,A943)=1),1,0)</f>
        <v>0</v>
      </c>
      <c r="S943" t="b">
        <f>IFERROR(VLOOKUP(D943,Products!$A$2:$F$61,6,FALSE()),"")</f>
        <v>1</v>
      </c>
      <c r="T943" t="str">
        <f>IF(COUNTIF(Customers!$A$2:$A$301,C943)=0,"Missing","OK")</f>
        <v>OK</v>
      </c>
      <c r="U943" t="str">
        <f t="shared" si="43"/>
        <v>Bengaluru</v>
      </c>
      <c r="V943">
        <f t="shared" si="44"/>
        <v>0</v>
      </c>
    </row>
    <row r="944" spans="1:22" ht="15" customHeight="1" x14ac:dyDescent="0.35">
      <c r="A944" s="3" t="s">
        <v>1362</v>
      </c>
      <c r="B944" s="4">
        <v>45497</v>
      </c>
      <c r="C944" s="3" t="s">
        <v>696</v>
      </c>
      <c r="D944" s="3" t="s">
        <v>30</v>
      </c>
      <c r="E944" s="3" t="s">
        <v>55</v>
      </c>
      <c r="F944" s="5">
        <v>2</v>
      </c>
      <c r="G944" s="5">
        <v>820</v>
      </c>
      <c r="H944" s="5">
        <v>8.1</v>
      </c>
      <c r="I944" s="5">
        <v>1507.16</v>
      </c>
      <c r="J944" s="3" t="s">
        <v>26</v>
      </c>
      <c r="K944" s="3" t="s">
        <v>56</v>
      </c>
      <c r="L944" t="str">
        <f>IFERROR(VLOOKUP(D944,Products!$A$2:$F$61,3,FALSE()),"")</f>
        <v>Apparel</v>
      </c>
      <c r="M944" t="str">
        <f>IFERROR(VLOOKUP(E944,Sales_Reps!$A$2:$C$31,3,FALSE()),"")</f>
        <v>West</v>
      </c>
      <c r="N944">
        <f>IFERROR(VLOOKUP(D944,Products!$A$2:$F$61,4,FALSE()),"")</f>
        <v>391</v>
      </c>
      <c r="O944" t="str">
        <f>IFERROR(VLOOKUP(C944,Customers!$A$2:$F$301,5,FALSE()),"")</f>
        <v>Corporate</v>
      </c>
      <c r="P944">
        <f>IFERROR(VLOOKUP(C944,Customers!$A$2:$F$301,3,FALSE()),"")</f>
        <v>43</v>
      </c>
      <c r="Q944">
        <f t="shared" si="42"/>
        <v>0.52317073170731709</v>
      </c>
      <c r="R944">
        <f>IF(AND(COUNTIF($A$2:$A$2027,A944)&gt;1,COUNTIF($A$2:A944,A944)=1),1,0)</f>
        <v>0</v>
      </c>
      <c r="S944" t="b">
        <f>IFERROR(VLOOKUP(D944,Products!$A$2:$F$61,6,FALSE()),"")</f>
        <v>1</v>
      </c>
      <c r="T944" t="str">
        <f>IF(COUNTIF(Customers!$A$2:$A$301,C944)=0,"Missing","OK")</f>
        <v>OK</v>
      </c>
      <c r="U944" t="str">
        <f t="shared" si="43"/>
        <v>Bengaluru</v>
      </c>
      <c r="V944">
        <f t="shared" si="44"/>
        <v>0</v>
      </c>
    </row>
    <row r="945" spans="1:22" ht="15" customHeight="1" x14ac:dyDescent="0.35">
      <c r="A945" s="3" t="s">
        <v>1363</v>
      </c>
      <c r="B945" s="4">
        <v>45567</v>
      </c>
      <c r="C945" s="3" t="s">
        <v>189</v>
      </c>
      <c r="D945" s="3" t="s">
        <v>198</v>
      </c>
      <c r="E945" s="3" t="s">
        <v>109</v>
      </c>
      <c r="F945" s="5">
        <v>2</v>
      </c>
      <c r="G945" s="5">
        <v>1540</v>
      </c>
      <c r="H945" s="5">
        <v>17.7</v>
      </c>
      <c r="I945" s="5">
        <v>2534.84</v>
      </c>
      <c r="J945" s="3" t="s">
        <v>26</v>
      </c>
      <c r="K945" s="3" t="s">
        <v>56</v>
      </c>
      <c r="L945" t="str">
        <f>IFERROR(VLOOKUP(D945,Products!$A$2:$F$61,3,FALSE()),"")</f>
        <v>Beauty</v>
      </c>
      <c r="M945" t="str">
        <f>IFERROR(VLOOKUP(E945,Sales_Reps!$A$2:$C$31,3,FALSE()),"")</f>
        <v>West</v>
      </c>
      <c r="N945">
        <f>IFERROR(VLOOKUP(D945,Products!$A$2:$F$61,4,FALSE()),"")</f>
        <v>647</v>
      </c>
      <c r="O945" t="str">
        <f>IFERROR(VLOOKUP(C945,Customers!$A$2:$F$301,5,FALSE()),"")</f>
        <v>SMB</v>
      </c>
      <c r="P945">
        <f>IFERROR(VLOOKUP(C945,Customers!$A$2:$F$301,3,FALSE()),"")</f>
        <v>34</v>
      </c>
      <c r="Q945">
        <f t="shared" si="42"/>
        <v>0.57987012987012987</v>
      </c>
      <c r="R945">
        <f>IF(AND(COUNTIF($A$2:$A$2027,A945)&gt;1,COUNTIF($A$2:A945,A945)=1),1,0)</f>
        <v>0</v>
      </c>
      <c r="S945" t="b">
        <f>IFERROR(VLOOKUP(D945,Products!$A$2:$F$61,6,FALSE()),"")</f>
        <v>0</v>
      </c>
      <c r="T945" t="str">
        <f>IF(COUNTIF(Customers!$A$2:$A$301,C945)=0,"Missing","OK")</f>
        <v>OK</v>
      </c>
      <c r="U945" t="str">
        <f t="shared" si="43"/>
        <v>Bengaluru</v>
      </c>
      <c r="V945">
        <f t="shared" si="44"/>
        <v>0</v>
      </c>
    </row>
    <row r="946" spans="1:22" ht="15" customHeight="1" x14ac:dyDescent="0.35">
      <c r="A946" s="3" t="s">
        <v>1364</v>
      </c>
      <c r="B946" s="4">
        <v>45451</v>
      </c>
      <c r="C946" s="3" t="s">
        <v>698</v>
      </c>
      <c r="D946" s="3" t="s">
        <v>187</v>
      </c>
      <c r="E946" s="3" t="s">
        <v>154</v>
      </c>
      <c r="F946" s="5">
        <v>10</v>
      </c>
      <c r="G946" s="5">
        <v>3870</v>
      </c>
      <c r="H946" s="5">
        <v>12.2</v>
      </c>
      <c r="I946" s="5">
        <v>33978.6</v>
      </c>
      <c r="J946" s="3" t="s">
        <v>83</v>
      </c>
      <c r="K946" s="3" t="s">
        <v>56</v>
      </c>
      <c r="L946" t="str">
        <f>IFERROR(VLOOKUP(D946,Products!$A$2:$F$61,3,FALSE()),"")</f>
        <v>Electronics</v>
      </c>
      <c r="M946" t="str">
        <f>IFERROR(VLOOKUP(E946,Sales_Reps!$A$2:$C$31,3,FALSE()),"")</f>
        <v>North</v>
      </c>
      <c r="N946">
        <f>IFERROR(VLOOKUP(D946,Products!$A$2:$F$61,4,FALSE()),"")</f>
        <v>1559</v>
      </c>
      <c r="O946" t="str">
        <f>IFERROR(VLOOKUP(C946,Customers!$A$2:$F$301,5,FALSE()),"")</f>
        <v>Retail</v>
      </c>
      <c r="P946">
        <f>IFERROR(VLOOKUP(C946,Customers!$A$2:$F$301,3,FALSE()),"")</f>
        <v>29</v>
      </c>
      <c r="Q946">
        <f t="shared" si="42"/>
        <v>0.59715762273901807</v>
      </c>
      <c r="R946">
        <f>IF(AND(COUNTIF($A$2:$A$2027,A946)&gt;1,COUNTIF($A$2:A946,A946)=1),1,0)</f>
        <v>0</v>
      </c>
      <c r="S946" t="b">
        <f>IFERROR(VLOOKUP(D946,Products!$A$2:$F$61,6,FALSE()),"")</f>
        <v>1</v>
      </c>
      <c r="T946" t="str">
        <f>IF(COUNTIF(Customers!$A$2:$A$301,C946)=0,"Missing","OK")</f>
        <v>OK</v>
      </c>
      <c r="U946" t="str">
        <f t="shared" si="43"/>
        <v>Bengaluru</v>
      </c>
      <c r="V946">
        <f t="shared" si="44"/>
        <v>0</v>
      </c>
    </row>
    <row r="947" spans="1:22" ht="15" customHeight="1" x14ac:dyDescent="0.35">
      <c r="A947" s="3" t="s">
        <v>1365</v>
      </c>
      <c r="B947" s="4">
        <v>45488</v>
      </c>
      <c r="C947" s="3" t="s">
        <v>331</v>
      </c>
      <c r="D947" s="3" t="s">
        <v>218</v>
      </c>
      <c r="E947" s="3" t="s">
        <v>236</v>
      </c>
      <c r="F947" s="5">
        <v>7</v>
      </c>
      <c r="G947" s="5">
        <v>2660</v>
      </c>
      <c r="H947" s="5">
        <v>4.7</v>
      </c>
      <c r="I947" s="5">
        <v>17744.86</v>
      </c>
      <c r="J947" s="3" t="s">
        <v>26</v>
      </c>
      <c r="K947" s="3" t="s">
        <v>51</v>
      </c>
      <c r="L947" t="str">
        <f>IFERROR(VLOOKUP(D947,Products!$A$2:$F$61,3,FALSE()),"")</f>
        <v>Electronics</v>
      </c>
      <c r="M947" t="str">
        <f>IFERROR(VLOOKUP(E947,Sales_Reps!$A$2:$C$31,3,FALSE()),"")</f>
        <v>North</v>
      </c>
      <c r="N947">
        <f>IFERROR(VLOOKUP(D947,Products!$A$2:$F$61,4,FALSE()),"")</f>
        <v>1259</v>
      </c>
      <c r="O947" t="str">
        <f>IFERROR(VLOOKUP(C947,Customers!$A$2:$F$301,5,FALSE()),"")</f>
        <v>Retail</v>
      </c>
      <c r="P947">
        <f>IFERROR(VLOOKUP(C947,Customers!$A$2:$F$301,3,FALSE()),"")</f>
        <v>50</v>
      </c>
      <c r="Q947">
        <f t="shared" si="42"/>
        <v>0.52669172932330832</v>
      </c>
      <c r="R947">
        <f>IF(AND(COUNTIF($A$2:$A$2027,A947)&gt;1,COUNTIF($A$2:A947,A947)=1),1,0)</f>
        <v>0</v>
      </c>
      <c r="S947" t="b">
        <f>IFERROR(VLOOKUP(D947,Products!$A$2:$F$61,6,FALSE()),"")</f>
        <v>0</v>
      </c>
      <c r="T947" t="str">
        <f>IF(COUNTIF(Customers!$A$2:$A$301,C947)=0,"Missing","OK")</f>
        <v>OK</v>
      </c>
      <c r="U947" t="str">
        <f t="shared" si="43"/>
        <v>Mumbai</v>
      </c>
      <c r="V947">
        <f t="shared" si="44"/>
        <v>0</v>
      </c>
    </row>
    <row r="948" spans="1:22" ht="15" customHeight="1" x14ac:dyDescent="0.35">
      <c r="A948" s="3" t="s">
        <v>1366</v>
      </c>
      <c r="B948" s="4">
        <v>45431</v>
      </c>
      <c r="C948" s="3" t="s">
        <v>340</v>
      </c>
      <c r="D948" s="3" t="s">
        <v>126</v>
      </c>
      <c r="E948" s="3" t="s">
        <v>143</v>
      </c>
      <c r="F948" s="5">
        <v>4</v>
      </c>
      <c r="G948" s="5">
        <v>3570</v>
      </c>
      <c r="H948" s="5">
        <v>19.3</v>
      </c>
      <c r="I948" s="5">
        <v>11523.96</v>
      </c>
      <c r="J948" s="3" t="s">
        <v>26</v>
      </c>
      <c r="K948" s="3" t="s">
        <v>33</v>
      </c>
      <c r="L948" t="str">
        <f>IFERROR(VLOOKUP(D948,Products!$A$2:$F$61,3,FALSE()),"")</f>
        <v>Electronics</v>
      </c>
      <c r="M948" t="str">
        <f>IFERROR(VLOOKUP(E948,Sales_Reps!$A$2:$C$31,3,FALSE()),"")</f>
        <v>South</v>
      </c>
      <c r="N948">
        <f>IFERROR(VLOOKUP(D948,Products!$A$2:$F$61,4,FALSE()),"")</f>
        <v>1665</v>
      </c>
      <c r="O948" t="str">
        <f>IFERROR(VLOOKUP(C948,Customers!$A$2:$F$301,5,FALSE()),"")</f>
        <v>SMB</v>
      </c>
      <c r="P948">
        <f>IFERROR(VLOOKUP(C948,Customers!$A$2:$F$301,3,FALSE()),"")</f>
        <v>51</v>
      </c>
      <c r="Q948">
        <f t="shared" si="42"/>
        <v>0.53361344537815125</v>
      </c>
      <c r="R948">
        <f>IF(AND(COUNTIF($A$2:$A$2027,A948)&gt;1,COUNTIF($A$2:A948,A948)=1),1,0)</f>
        <v>1</v>
      </c>
      <c r="S948" t="b">
        <f>IFERROR(VLOOKUP(D948,Products!$A$2:$F$61,6,FALSE()),"")</f>
        <v>1</v>
      </c>
      <c r="T948" t="str">
        <f>IF(COUNTIF(Customers!$A$2:$A$301,C948)=0,"Missing","OK")</f>
        <v>OK</v>
      </c>
      <c r="U948" t="str">
        <f t="shared" si="43"/>
        <v>Chennai</v>
      </c>
      <c r="V948">
        <f t="shared" si="44"/>
        <v>0</v>
      </c>
    </row>
    <row r="949" spans="1:22" ht="15" customHeight="1" x14ac:dyDescent="0.35">
      <c r="A949" s="3" t="s">
        <v>1367</v>
      </c>
      <c r="B949" s="4">
        <v>45393</v>
      </c>
      <c r="C949" s="3" t="s">
        <v>125</v>
      </c>
      <c r="D949" s="3" t="s">
        <v>234</v>
      </c>
      <c r="E949" s="3" t="s">
        <v>236</v>
      </c>
      <c r="F949" s="5">
        <v>2</v>
      </c>
      <c r="G949" s="5">
        <v>2030</v>
      </c>
      <c r="H949" s="5">
        <v>2.6</v>
      </c>
      <c r="I949" s="5">
        <v>3954.44</v>
      </c>
      <c r="J949" s="3" t="s">
        <v>26</v>
      </c>
      <c r="K949" s="3" t="s">
        <v>33</v>
      </c>
      <c r="L949" t="str">
        <f>IFERROR(VLOOKUP(D949,Products!$A$2:$F$61,3,FALSE()),"")</f>
        <v>Home</v>
      </c>
      <c r="M949" t="str">
        <f>IFERROR(VLOOKUP(E949,Sales_Reps!$A$2:$C$31,3,FALSE()),"")</f>
        <v>North</v>
      </c>
      <c r="N949">
        <f>IFERROR(VLOOKUP(D949,Products!$A$2:$F$61,4,FALSE()),"")</f>
        <v>1143</v>
      </c>
      <c r="O949" t="str">
        <f>IFERROR(VLOOKUP(C949,Customers!$A$2:$F$301,5,FALSE()),"")</f>
        <v>SMB</v>
      </c>
      <c r="P949">
        <f>IFERROR(VLOOKUP(C949,Customers!$A$2:$F$301,3,FALSE()),"")</f>
        <v>52</v>
      </c>
      <c r="Q949">
        <f t="shared" si="42"/>
        <v>0.43694581280788175</v>
      </c>
      <c r="R949">
        <f>IF(AND(COUNTIF($A$2:$A$2027,A949)&gt;1,COUNTIF($A$2:A949,A949)=1),1,0)</f>
        <v>0</v>
      </c>
      <c r="S949" t="b">
        <f>IFERROR(VLOOKUP(D949,Products!$A$2:$F$61,6,FALSE()),"")</f>
        <v>1</v>
      </c>
      <c r="T949" t="str">
        <f>IF(COUNTIF(Customers!$A$2:$A$301,C949)=0,"Missing","OK")</f>
        <v>OK</v>
      </c>
      <c r="U949" t="str">
        <f t="shared" si="43"/>
        <v>Chennai</v>
      </c>
      <c r="V949">
        <f t="shared" si="44"/>
        <v>0</v>
      </c>
    </row>
    <row r="950" spans="1:22" ht="15" customHeight="1" x14ac:dyDescent="0.35">
      <c r="A950" s="3" t="s">
        <v>1368</v>
      </c>
      <c r="B950" s="4">
        <v>45427</v>
      </c>
      <c r="C950" s="3" t="s">
        <v>393</v>
      </c>
      <c r="D950" s="3" t="s">
        <v>45</v>
      </c>
      <c r="E950" s="3" t="s">
        <v>191</v>
      </c>
      <c r="F950" s="5">
        <v>6</v>
      </c>
      <c r="G950" s="5">
        <v>3160</v>
      </c>
      <c r="H950" s="5">
        <v>25.8</v>
      </c>
      <c r="I950" s="5">
        <v>14068.32</v>
      </c>
      <c r="J950" s="3" t="s">
        <v>26</v>
      </c>
      <c r="K950" s="3" t="s">
        <v>72</v>
      </c>
      <c r="L950" t="str">
        <f>IFERROR(VLOOKUP(D950,Products!$A$2:$F$61,3,FALSE()),"")</f>
        <v>Apparel</v>
      </c>
      <c r="M950" t="str">
        <f>IFERROR(VLOOKUP(E950,Sales_Reps!$A$2:$C$31,3,FALSE()),"")</f>
        <v>South</v>
      </c>
      <c r="N950">
        <f>IFERROR(VLOOKUP(D950,Products!$A$2:$F$61,4,FALSE()),"")</f>
        <v>1886</v>
      </c>
      <c r="O950" t="str">
        <f>IFERROR(VLOOKUP(C950,Customers!$A$2:$F$301,5,FALSE()),"")</f>
        <v>Corporate</v>
      </c>
      <c r="P950">
        <f>IFERROR(VLOOKUP(C950,Customers!$A$2:$F$301,3,FALSE()),"")</f>
        <v>43</v>
      </c>
      <c r="Q950">
        <f t="shared" si="42"/>
        <v>0.4031645569620253</v>
      </c>
      <c r="R950">
        <f>IF(AND(COUNTIF($A$2:$A$2027,A950)&gt;1,COUNTIF($A$2:A950,A950)=1),1,0)</f>
        <v>0</v>
      </c>
      <c r="S950" t="b">
        <f>IFERROR(VLOOKUP(D950,Products!$A$2:$F$61,6,FALSE()),"")</f>
        <v>1</v>
      </c>
      <c r="T950" t="str">
        <f>IF(COUNTIF(Customers!$A$2:$A$301,C950)=0,"Missing","OK")</f>
        <v>OK</v>
      </c>
      <c r="U950" t="str">
        <f t="shared" si="43"/>
        <v>Hyderabad</v>
      </c>
      <c r="V950">
        <f t="shared" si="44"/>
        <v>0</v>
      </c>
    </row>
    <row r="951" spans="1:22" ht="15" customHeight="1" x14ac:dyDescent="0.35">
      <c r="A951" s="3" t="s">
        <v>1369</v>
      </c>
      <c r="B951" s="4">
        <v>45591</v>
      </c>
      <c r="C951" s="3" t="s">
        <v>461</v>
      </c>
      <c r="D951" s="3" t="s">
        <v>382</v>
      </c>
      <c r="E951" s="3" t="s">
        <v>37</v>
      </c>
      <c r="F951" s="5">
        <v>4</v>
      </c>
      <c r="G951" s="5">
        <v>5080</v>
      </c>
      <c r="H951" s="5">
        <v>2</v>
      </c>
      <c r="I951" s="5">
        <v>19913.599999999999</v>
      </c>
      <c r="J951" s="3" t="s">
        <v>26</v>
      </c>
      <c r="K951" s="3" t="s">
        <v>1370</v>
      </c>
      <c r="L951" t="str">
        <f>IFERROR(VLOOKUP(D951,Products!$A$2:$F$61,3,FALSE()),"")</f>
        <v>Home</v>
      </c>
      <c r="M951" t="str">
        <f>IFERROR(VLOOKUP(E951,Sales_Reps!$A$2:$C$31,3,FALSE()),"")</f>
        <v>South</v>
      </c>
      <c r="N951">
        <f>IFERROR(VLOOKUP(D951,Products!$A$2:$F$61,4,FALSE()),"")</f>
        <v>2459</v>
      </c>
      <c r="O951" t="str">
        <f>IFERROR(VLOOKUP(C951,Customers!$A$2:$F$301,5,FALSE()),"")</f>
        <v>SMB</v>
      </c>
      <c r="P951">
        <f>IFERROR(VLOOKUP(C951,Customers!$A$2:$F$301,3,FALSE()),"")</f>
        <v>55</v>
      </c>
      <c r="Q951">
        <f t="shared" si="42"/>
        <v>0.51594488188976373</v>
      </c>
      <c r="R951">
        <f>IF(AND(COUNTIF($A$2:$A$2027,A951)&gt;1,COUNTIF($A$2:A951,A951)=1),1,0)</f>
        <v>0</v>
      </c>
      <c r="S951" t="b">
        <f>IFERROR(VLOOKUP(D951,Products!$A$2:$F$61,6,FALSE()),"")</f>
        <v>1</v>
      </c>
      <c r="T951" t="str">
        <f>IF(COUNTIF(Customers!$A$2:$A$301,C951)=0,"Missing","OK")</f>
        <v>OK</v>
      </c>
      <c r="U951" t="str">
        <f t="shared" si="43"/>
        <v>Delhi</v>
      </c>
      <c r="V951">
        <f t="shared" si="44"/>
        <v>0</v>
      </c>
    </row>
    <row r="952" spans="1:22" ht="15" customHeight="1" x14ac:dyDescent="0.35">
      <c r="A952" s="3" t="s">
        <v>1371</v>
      </c>
      <c r="B952" s="4">
        <v>45327</v>
      </c>
      <c r="C952" s="3" t="s">
        <v>399</v>
      </c>
      <c r="D952" s="3" t="s">
        <v>96</v>
      </c>
      <c r="E952" s="3" t="s">
        <v>71</v>
      </c>
      <c r="F952" s="5">
        <v>6</v>
      </c>
      <c r="G952" s="5">
        <v>3450</v>
      </c>
      <c r="H952" s="5">
        <v>1.8</v>
      </c>
      <c r="I952" s="5">
        <v>20327.400000000001</v>
      </c>
      <c r="J952" s="3" t="s">
        <v>79</v>
      </c>
      <c r="K952" s="3" t="s">
        <v>27</v>
      </c>
      <c r="L952" t="str">
        <f>IFERROR(VLOOKUP(D952,Products!$A$2:$F$61,3,FALSE()),"")</f>
        <v>Beauty</v>
      </c>
      <c r="M952" t="str">
        <f>IFERROR(VLOOKUP(E952,Sales_Reps!$A$2:$C$31,3,FALSE()),"")</f>
        <v>South</v>
      </c>
      <c r="N952">
        <f>IFERROR(VLOOKUP(D952,Products!$A$2:$F$61,4,FALSE()),"")</f>
        <v>2420</v>
      </c>
      <c r="O952" t="str">
        <f>IFERROR(VLOOKUP(C952,Customers!$A$2:$F$301,5,FALSE()),"")</f>
        <v>Corporate</v>
      </c>
      <c r="P952">
        <f>IFERROR(VLOOKUP(C952,Customers!$A$2:$F$301,3,FALSE()),"")</f>
        <v>37</v>
      </c>
      <c r="Q952">
        <f t="shared" si="42"/>
        <v>0.29855072463768118</v>
      </c>
      <c r="R952">
        <f>IF(AND(COUNTIF($A$2:$A$2027,A952)&gt;1,COUNTIF($A$2:A952,A952)=1),1,0)</f>
        <v>0</v>
      </c>
      <c r="S952" t="b">
        <f>IFERROR(VLOOKUP(D952,Products!$A$2:$F$61,6,FALSE()),"")</f>
        <v>1</v>
      </c>
      <c r="T952" t="str">
        <f>IF(COUNTIF(Customers!$A$2:$A$301,C952)=0,"Missing","OK")</f>
        <v>OK</v>
      </c>
      <c r="U952" t="str">
        <f t="shared" si="43"/>
        <v>Pune</v>
      </c>
      <c r="V952">
        <f t="shared" si="44"/>
        <v>0</v>
      </c>
    </row>
    <row r="953" spans="1:22" ht="15" customHeight="1" x14ac:dyDescent="0.35">
      <c r="A953" s="3" t="s">
        <v>1372</v>
      </c>
      <c r="B953" s="4">
        <v>45575</v>
      </c>
      <c r="C953" s="3" t="s">
        <v>536</v>
      </c>
      <c r="D953" s="3" t="s">
        <v>100</v>
      </c>
      <c r="E953" s="3" t="s">
        <v>285</v>
      </c>
      <c r="F953" s="5">
        <v>3</v>
      </c>
      <c r="G953" s="5">
        <v>3450</v>
      </c>
      <c r="H953" s="5">
        <v>4.7</v>
      </c>
      <c r="I953" s="5">
        <v>9863.5499999999993</v>
      </c>
      <c r="J953" s="3" t="s">
        <v>32</v>
      </c>
      <c r="K953" s="3" t="s">
        <v>51</v>
      </c>
      <c r="L953" t="str">
        <f>IFERROR(VLOOKUP(D953,Products!$A$2:$F$61,3,FALSE()),"")</f>
        <v>Sports</v>
      </c>
      <c r="M953" t="str">
        <f>IFERROR(VLOOKUP(E953,Sales_Reps!$A$2:$C$31,3,FALSE()),"")</f>
        <v>South</v>
      </c>
      <c r="N953">
        <f>IFERROR(VLOOKUP(D953,Products!$A$2:$F$61,4,FALSE()),"")</f>
        <v>2467</v>
      </c>
      <c r="O953" t="str">
        <f>IFERROR(VLOOKUP(C953,Customers!$A$2:$F$301,5,FALSE()),"")</f>
        <v>Retail</v>
      </c>
      <c r="P953">
        <f>IFERROR(VLOOKUP(C953,Customers!$A$2:$F$301,3,FALSE()),"")</f>
        <v>39</v>
      </c>
      <c r="Q953">
        <f t="shared" si="42"/>
        <v>0.28492753623188405</v>
      </c>
      <c r="R953">
        <f>IF(AND(COUNTIF($A$2:$A$2027,A953)&gt;1,COUNTIF($A$2:A953,A953)=1),1,0)</f>
        <v>0</v>
      </c>
      <c r="S953" t="b">
        <f>IFERROR(VLOOKUP(D953,Products!$A$2:$F$61,6,FALSE()),"")</f>
        <v>1</v>
      </c>
      <c r="T953" t="str">
        <f>IF(COUNTIF(Customers!$A$2:$A$301,C953)=0,"Missing","OK")</f>
        <v>OK</v>
      </c>
      <c r="U953" t="str">
        <f t="shared" si="43"/>
        <v>Mumbai</v>
      </c>
      <c r="V953">
        <f t="shared" si="44"/>
        <v>0</v>
      </c>
    </row>
    <row r="954" spans="1:22" ht="15" customHeight="1" x14ac:dyDescent="0.35">
      <c r="A954" s="3" t="s">
        <v>1373</v>
      </c>
      <c r="B954" s="4">
        <v>45367</v>
      </c>
      <c r="C954" s="3" t="s">
        <v>147</v>
      </c>
      <c r="D954" s="3" t="s">
        <v>303</v>
      </c>
      <c r="E954" s="3" t="s">
        <v>282</v>
      </c>
      <c r="F954" s="5">
        <v>7</v>
      </c>
      <c r="G954" s="5">
        <v>5330</v>
      </c>
      <c r="H954" s="5">
        <v>16.399999999999999</v>
      </c>
      <c r="I954" s="5">
        <v>31191.16</v>
      </c>
      <c r="J954" s="3" t="s">
        <v>26</v>
      </c>
      <c r="K954" s="3" t="s">
        <v>72</v>
      </c>
      <c r="L954" t="str">
        <f>IFERROR(VLOOKUP(D954,Products!$A$2:$F$61,3,FALSE()),"")</f>
        <v>Electronics</v>
      </c>
      <c r="M954" t="str">
        <f>IFERROR(VLOOKUP(E954,Sales_Reps!$A$2:$C$31,3,FALSE()),"")</f>
        <v>West</v>
      </c>
      <c r="N954">
        <f>IFERROR(VLOOKUP(D954,Products!$A$2:$F$61,4,FALSE()),"")</f>
        <v>2405</v>
      </c>
      <c r="O954" t="str">
        <f>IFERROR(VLOOKUP(C954,Customers!$A$2:$F$301,5,FALSE()),"")</f>
        <v>Retail</v>
      </c>
      <c r="P954">
        <f>IFERROR(VLOOKUP(C954,Customers!$A$2:$F$301,3,FALSE()),"")</f>
        <v>26</v>
      </c>
      <c r="Q954">
        <f t="shared" si="42"/>
        <v>0.54878048780487809</v>
      </c>
      <c r="R954">
        <f>IF(AND(COUNTIF($A$2:$A$2027,A954)&gt;1,COUNTIF($A$2:A954,A954)=1),1,0)</f>
        <v>0</v>
      </c>
      <c r="S954" t="b">
        <f>IFERROR(VLOOKUP(D954,Products!$A$2:$F$61,6,FALSE()),"")</f>
        <v>1</v>
      </c>
      <c r="T954" t="str">
        <f>IF(COUNTIF(Customers!$A$2:$A$301,C954)=0,"Missing","OK")</f>
        <v>OK</v>
      </c>
      <c r="U954" t="str">
        <f t="shared" si="43"/>
        <v>Hyderabad</v>
      </c>
      <c r="V954">
        <f t="shared" si="44"/>
        <v>0</v>
      </c>
    </row>
    <row r="955" spans="1:22" ht="15" customHeight="1" x14ac:dyDescent="0.35">
      <c r="A955" s="3" t="s">
        <v>1374</v>
      </c>
      <c r="B955" s="4">
        <v>45522</v>
      </c>
      <c r="C955" s="3" t="s">
        <v>545</v>
      </c>
      <c r="D955" s="3" t="s">
        <v>277</v>
      </c>
      <c r="E955" s="3" t="s">
        <v>87</v>
      </c>
      <c r="F955" s="5">
        <v>6</v>
      </c>
      <c r="G955" s="5">
        <v>2210</v>
      </c>
      <c r="H955" s="5">
        <v>13.1</v>
      </c>
      <c r="I955" s="5">
        <v>11522.94</v>
      </c>
      <c r="J955" s="3" t="s">
        <v>26</v>
      </c>
      <c r="K955" s="3" t="s">
        <v>51</v>
      </c>
      <c r="L955" t="str">
        <f>IFERROR(VLOOKUP(D955,Products!$A$2:$F$61,3,FALSE()),"")</f>
        <v>Grocery</v>
      </c>
      <c r="M955" t="str">
        <f>IFERROR(VLOOKUP(E955,Sales_Reps!$A$2:$C$31,3,FALSE()),"")</f>
        <v>North</v>
      </c>
      <c r="N955">
        <f>IFERROR(VLOOKUP(D955,Products!$A$2:$F$61,4,FALSE()),"")</f>
        <v>1010</v>
      </c>
      <c r="O955" t="str">
        <f>IFERROR(VLOOKUP(C955,Customers!$A$2:$F$301,5,FALSE()),"")</f>
        <v>Retail</v>
      </c>
      <c r="P955">
        <f>IFERROR(VLOOKUP(C955,Customers!$A$2:$F$301,3,FALSE()),"")</f>
        <v>52</v>
      </c>
      <c r="Q955">
        <f t="shared" si="42"/>
        <v>0.54298642533936647</v>
      </c>
      <c r="R955">
        <f>IF(AND(COUNTIF($A$2:$A$2027,A955)&gt;1,COUNTIF($A$2:A955,A955)=1),1,0)</f>
        <v>0</v>
      </c>
      <c r="S955" t="b">
        <f>IFERROR(VLOOKUP(D955,Products!$A$2:$F$61,6,FALSE()),"")</f>
        <v>1</v>
      </c>
      <c r="T955" t="str">
        <f>IF(COUNTIF(Customers!$A$2:$A$301,C955)=0,"Missing","OK")</f>
        <v>OK</v>
      </c>
      <c r="U955" t="str">
        <f t="shared" si="43"/>
        <v>Mumbai</v>
      </c>
      <c r="V955">
        <f t="shared" si="44"/>
        <v>0</v>
      </c>
    </row>
    <row r="956" spans="1:22" ht="15" customHeight="1" x14ac:dyDescent="0.35">
      <c r="A956" s="3" t="s">
        <v>1375</v>
      </c>
      <c r="B956" s="4">
        <v>45579</v>
      </c>
      <c r="C956" s="3" t="s">
        <v>386</v>
      </c>
      <c r="D956" s="3" t="s">
        <v>103</v>
      </c>
      <c r="E956" s="3" t="s">
        <v>140</v>
      </c>
      <c r="F956" s="5">
        <v>8</v>
      </c>
      <c r="G956" s="5">
        <v>1080</v>
      </c>
      <c r="H956" s="5">
        <v>8.6999999999999993</v>
      </c>
      <c r="I956" s="5">
        <v>7888.32</v>
      </c>
      <c r="J956" s="3" t="s">
        <v>26</v>
      </c>
      <c r="K956" s="3" t="s">
        <v>51</v>
      </c>
      <c r="L956" t="str">
        <f>IFERROR(VLOOKUP(D956,Products!$A$2:$F$61,3,FALSE()),"")</f>
        <v>Home</v>
      </c>
      <c r="M956" t="str">
        <f>IFERROR(VLOOKUP(E956,Sales_Reps!$A$2:$C$31,3,FALSE()),"")</f>
        <v>West</v>
      </c>
      <c r="N956">
        <f>IFERROR(VLOOKUP(D956,Products!$A$2:$F$61,4,FALSE()),"")</f>
        <v>519</v>
      </c>
      <c r="O956" t="str">
        <f>IFERROR(VLOOKUP(C956,Customers!$A$2:$F$301,5,FALSE()),"")</f>
        <v>Retail</v>
      </c>
      <c r="P956">
        <f>IFERROR(VLOOKUP(C956,Customers!$A$2:$F$301,3,FALSE()),"")</f>
        <v>41</v>
      </c>
      <c r="Q956">
        <f t="shared" si="42"/>
        <v>0.51944444444444449</v>
      </c>
      <c r="R956">
        <f>IF(AND(COUNTIF($A$2:$A$2027,A956)&gt;1,COUNTIF($A$2:A956,A956)=1),1,0)</f>
        <v>0</v>
      </c>
      <c r="S956" t="b">
        <f>IFERROR(VLOOKUP(D956,Products!$A$2:$F$61,6,FALSE()),"")</f>
        <v>1</v>
      </c>
      <c r="T956" t="str">
        <f>IF(COUNTIF(Customers!$A$2:$A$301,C956)=0,"Missing","OK")</f>
        <v>OK</v>
      </c>
      <c r="U956" t="str">
        <f t="shared" si="43"/>
        <v>Mumbai</v>
      </c>
      <c r="V956">
        <f t="shared" si="44"/>
        <v>0</v>
      </c>
    </row>
    <row r="957" spans="1:22" ht="15" customHeight="1" x14ac:dyDescent="0.35">
      <c r="A957" s="3" t="s">
        <v>1376</v>
      </c>
      <c r="B957" s="4">
        <v>45495</v>
      </c>
      <c r="C957" s="3" t="s">
        <v>315</v>
      </c>
      <c r="D957" s="3" t="s">
        <v>24</v>
      </c>
      <c r="E957" s="3" t="s">
        <v>127</v>
      </c>
      <c r="F957" s="5">
        <v>5</v>
      </c>
      <c r="G957" s="5">
        <v>3620</v>
      </c>
      <c r="H957" s="5">
        <v>16.100000000000001</v>
      </c>
      <c r="I957" s="5">
        <v>15185.9</v>
      </c>
      <c r="J957" s="3" t="s">
        <v>26</v>
      </c>
      <c r="K957" s="3" t="s">
        <v>56</v>
      </c>
      <c r="L957" t="str">
        <f>IFERROR(VLOOKUP(D957,Products!$A$2:$F$61,3,FALSE()),"")</f>
        <v>Apparel</v>
      </c>
      <c r="M957" t="str">
        <f>IFERROR(VLOOKUP(E957,Sales_Reps!$A$2:$C$31,3,FALSE()),"")</f>
        <v>South</v>
      </c>
      <c r="N957">
        <f>IFERROR(VLOOKUP(D957,Products!$A$2:$F$61,4,FALSE()),"")</f>
        <v>2509</v>
      </c>
      <c r="O957" t="str">
        <f>IFERROR(VLOOKUP(C957,Customers!$A$2:$F$301,5,FALSE()),"")</f>
        <v>SMB</v>
      </c>
      <c r="P957">
        <f>IFERROR(VLOOKUP(C957,Customers!$A$2:$F$301,3,FALSE()),"")</f>
        <v>44</v>
      </c>
      <c r="Q957">
        <f t="shared" si="42"/>
        <v>0.3069060773480663</v>
      </c>
      <c r="R957">
        <f>IF(AND(COUNTIF($A$2:$A$2027,A957)&gt;1,COUNTIF($A$2:A957,A957)=1),1,0)</f>
        <v>0</v>
      </c>
      <c r="S957" t="b">
        <f>IFERROR(VLOOKUP(D957,Products!$A$2:$F$61,6,FALSE()),"")</f>
        <v>1</v>
      </c>
      <c r="T957" t="str">
        <f>IF(COUNTIF(Customers!$A$2:$A$301,C957)=0,"Missing","OK")</f>
        <v>OK</v>
      </c>
      <c r="U957" t="str">
        <f t="shared" si="43"/>
        <v>Bengaluru</v>
      </c>
      <c r="V957">
        <f t="shared" si="44"/>
        <v>0</v>
      </c>
    </row>
    <row r="958" spans="1:22" ht="15" customHeight="1" x14ac:dyDescent="0.35">
      <c r="A958" s="3" t="s">
        <v>1377</v>
      </c>
      <c r="B958" s="4">
        <v>45483</v>
      </c>
      <c r="C958" s="3" t="s">
        <v>48</v>
      </c>
      <c r="D958" s="3" t="s">
        <v>598</v>
      </c>
      <c r="E958" s="3" t="s">
        <v>212</v>
      </c>
      <c r="F958" s="5">
        <v>7</v>
      </c>
      <c r="G958" s="5">
        <v>3560</v>
      </c>
      <c r="H958" s="5">
        <v>8.5</v>
      </c>
      <c r="I958" s="5">
        <v>22801.8</v>
      </c>
      <c r="J958" s="3" t="s">
        <v>26</v>
      </c>
      <c r="K958" s="3" t="s">
        <v>51</v>
      </c>
      <c r="L958" t="str">
        <f>IFERROR(VLOOKUP(D958,Products!$A$2:$F$61,3,FALSE()),"")</f>
        <v>Apparel</v>
      </c>
      <c r="M958" t="str">
        <f>IFERROR(VLOOKUP(E958,Sales_Reps!$A$2:$C$31,3,FALSE()),"")</f>
        <v>South</v>
      </c>
      <c r="N958">
        <f>IFERROR(VLOOKUP(D958,Products!$A$2:$F$61,4,FALSE()),"")</f>
        <v>2629</v>
      </c>
      <c r="O958" t="str">
        <f>IFERROR(VLOOKUP(C958,Customers!$A$2:$F$301,5,FALSE()),"")</f>
        <v>Retail</v>
      </c>
      <c r="P958">
        <f>IFERROR(VLOOKUP(C958,Customers!$A$2:$F$301,3,FALSE()),"")</f>
        <v>36</v>
      </c>
      <c r="Q958">
        <f t="shared" si="42"/>
        <v>0.26151685393258428</v>
      </c>
      <c r="R958">
        <f>IF(AND(COUNTIF($A$2:$A$2027,A958)&gt;1,COUNTIF($A$2:A958,A958)=1),1,0)</f>
        <v>0</v>
      </c>
      <c r="S958" t="b">
        <f>IFERROR(VLOOKUP(D958,Products!$A$2:$F$61,6,FALSE()),"")</f>
        <v>1</v>
      </c>
      <c r="T958" t="str">
        <f>IF(COUNTIF(Customers!$A$2:$A$301,C958)=0,"Missing","OK")</f>
        <v>OK</v>
      </c>
      <c r="U958" t="str">
        <f t="shared" si="43"/>
        <v>Mumbai</v>
      </c>
      <c r="V958">
        <f t="shared" si="44"/>
        <v>0</v>
      </c>
    </row>
    <row r="959" spans="1:22" ht="15" customHeight="1" x14ac:dyDescent="0.35">
      <c r="A959" s="3" t="s">
        <v>1378</v>
      </c>
      <c r="B959" s="4">
        <v>45496</v>
      </c>
      <c r="C959" s="3" t="s">
        <v>240</v>
      </c>
      <c r="D959" s="3" t="s">
        <v>234</v>
      </c>
      <c r="E959" s="3" t="s">
        <v>50</v>
      </c>
      <c r="F959" s="5">
        <v>8</v>
      </c>
      <c r="G959" s="5">
        <v>2030</v>
      </c>
      <c r="H959" s="5">
        <v>18.100000000000001</v>
      </c>
      <c r="I959" s="5">
        <v>13300.56</v>
      </c>
      <c r="J959" s="3" t="s">
        <v>26</v>
      </c>
      <c r="K959" s="3" t="s">
        <v>33</v>
      </c>
      <c r="L959" t="str">
        <f>IFERROR(VLOOKUP(D959,Products!$A$2:$F$61,3,FALSE()),"")</f>
        <v>Home</v>
      </c>
      <c r="M959" t="str">
        <f>IFERROR(VLOOKUP(E959,Sales_Reps!$A$2:$C$31,3,FALSE()),"")</f>
        <v>West</v>
      </c>
      <c r="N959">
        <f>IFERROR(VLOOKUP(D959,Products!$A$2:$F$61,4,FALSE()),"")</f>
        <v>1143</v>
      </c>
      <c r="O959" t="str">
        <f>IFERROR(VLOOKUP(C959,Customers!$A$2:$F$301,5,FALSE()),"")</f>
        <v>Retail</v>
      </c>
      <c r="P959">
        <f>IFERROR(VLOOKUP(C959,Customers!$A$2:$F$301,3,FALSE()),"")</f>
        <v>41</v>
      </c>
      <c r="Q959">
        <f t="shared" si="42"/>
        <v>0.43694581280788175</v>
      </c>
      <c r="R959">
        <f>IF(AND(COUNTIF($A$2:$A$2027,A959)&gt;1,COUNTIF($A$2:A959,A959)=1),1,0)</f>
        <v>0</v>
      </c>
      <c r="S959" t="b">
        <f>IFERROR(VLOOKUP(D959,Products!$A$2:$F$61,6,FALSE()),"")</f>
        <v>1</v>
      </c>
      <c r="T959" t="str">
        <f>IF(COUNTIF(Customers!$A$2:$A$301,C959)=0,"Missing","OK")</f>
        <v>OK</v>
      </c>
      <c r="U959" t="str">
        <f t="shared" si="43"/>
        <v>Chennai</v>
      </c>
      <c r="V959">
        <f t="shared" si="44"/>
        <v>0</v>
      </c>
    </row>
    <row r="960" spans="1:22" ht="15" customHeight="1" x14ac:dyDescent="0.35">
      <c r="A960" s="3" t="s">
        <v>1379</v>
      </c>
      <c r="B960" s="4">
        <v>45350</v>
      </c>
      <c r="C960" s="3" t="s">
        <v>1247</v>
      </c>
      <c r="D960" s="3" t="s">
        <v>115</v>
      </c>
      <c r="E960" s="3" t="s">
        <v>212</v>
      </c>
      <c r="F960" s="5">
        <v>10</v>
      </c>
      <c r="G960" s="5">
        <v>1650</v>
      </c>
      <c r="H960" s="5">
        <v>7.1</v>
      </c>
      <c r="I960" s="5">
        <v>15328.5</v>
      </c>
      <c r="J960" s="3" t="s">
        <v>26</v>
      </c>
      <c r="K960" s="3" t="s">
        <v>33</v>
      </c>
      <c r="L960" t="str">
        <f>IFERROR(VLOOKUP(D960,Products!$A$2:$F$61,3,FALSE()),"")</f>
        <v>Beauty</v>
      </c>
      <c r="M960" t="str">
        <f>IFERROR(VLOOKUP(E960,Sales_Reps!$A$2:$C$31,3,FALSE()),"")</f>
        <v>South</v>
      </c>
      <c r="N960">
        <f>IFERROR(VLOOKUP(D960,Products!$A$2:$F$61,4,FALSE()),"")</f>
        <v>1222</v>
      </c>
      <c r="O960" t="str">
        <f>IFERROR(VLOOKUP(C960,Customers!$A$2:$F$301,5,FALSE()),"")</f>
        <v>SMB</v>
      </c>
      <c r="P960">
        <f>IFERROR(VLOOKUP(C960,Customers!$A$2:$F$301,3,FALSE()),"")</f>
        <v>51</v>
      </c>
      <c r="Q960">
        <f t="shared" si="42"/>
        <v>0.2593939393939394</v>
      </c>
      <c r="R960">
        <f>IF(AND(COUNTIF($A$2:$A$2027,A960)&gt;1,COUNTIF($A$2:A960,A960)=1),1,0)</f>
        <v>0</v>
      </c>
      <c r="S960" t="b">
        <f>IFERROR(VLOOKUP(D960,Products!$A$2:$F$61,6,FALSE()),"")</f>
        <v>1</v>
      </c>
      <c r="T960" t="str">
        <f>IF(COUNTIF(Customers!$A$2:$A$301,C960)=0,"Missing","OK")</f>
        <v>OK</v>
      </c>
      <c r="U960" t="str">
        <f t="shared" si="43"/>
        <v>Chennai</v>
      </c>
      <c r="V960">
        <f t="shared" si="44"/>
        <v>0</v>
      </c>
    </row>
    <row r="961" spans="1:22" ht="15" customHeight="1" x14ac:dyDescent="0.35">
      <c r="A961" s="3" t="s">
        <v>1380</v>
      </c>
      <c r="B961" s="4">
        <v>45517</v>
      </c>
      <c r="C961" s="3" t="s">
        <v>440</v>
      </c>
      <c r="D961" s="3" t="s">
        <v>139</v>
      </c>
      <c r="E961" s="3" t="s">
        <v>177</v>
      </c>
      <c r="F961" s="5">
        <v>4</v>
      </c>
      <c r="G961" s="5">
        <v>2760</v>
      </c>
      <c r="H961" s="5">
        <v>17.600000000000001</v>
      </c>
      <c r="I961" s="5">
        <v>9096.9599999999991</v>
      </c>
      <c r="J961" s="3" t="s">
        <v>79</v>
      </c>
      <c r="K961" s="3" t="s">
        <v>72</v>
      </c>
      <c r="L961" t="str">
        <f>IFERROR(VLOOKUP(D961,Products!$A$2:$F$61,3,FALSE()),"")</f>
        <v>Grocery</v>
      </c>
      <c r="M961" t="str">
        <f>IFERROR(VLOOKUP(E961,Sales_Reps!$A$2:$C$31,3,FALSE()),"")</f>
        <v>East</v>
      </c>
      <c r="N961">
        <f>IFERROR(VLOOKUP(D961,Products!$A$2:$F$61,4,FALSE()),"")</f>
        <v>1435</v>
      </c>
      <c r="O961" t="str">
        <f>IFERROR(VLOOKUP(C961,Customers!$A$2:$F$301,5,FALSE()),"")</f>
        <v>SMB</v>
      </c>
      <c r="P961">
        <f>IFERROR(VLOOKUP(C961,Customers!$A$2:$F$301,3,FALSE()),"")</f>
        <v>65</v>
      </c>
      <c r="Q961">
        <f t="shared" si="42"/>
        <v>0.48007246376811596</v>
      </c>
      <c r="R961">
        <f>IF(AND(COUNTIF($A$2:$A$2027,A961)&gt;1,COUNTIF($A$2:A961,A961)=1),1,0)</f>
        <v>0</v>
      </c>
      <c r="S961" t="b">
        <f>IFERROR(VLOOKUP(D961,Products!$A$2:$F$61,6,FALSE()),"")</f>
        <v>1</v>
      </c>
      <c r="T961" t="str">
        <f>IF(COUNTIF(Customers!$A$2:$A$301,C961)=0,"Missing","OK")</f>
        <v>OK</v>
      </c>
      <c r="U961" t="str">
        <f t="shared" si="43"/>
        <v>Hyderabad</v>
      </c>
      <c r="V961">
        <f t="shared" si="44"/>
        <v>0</v>
      </c>
    </row>
    <row r="962" spans="1:22" ht="15" customHeight="1" x14ac:dyDescent="0.35">
      <c r="A962" s="3" t="s">
        <v>1381</v>
      </c>
      <c r="B962" s="4">
        <v>45460</v>
      </c>
      <c r="C962" s="3" t="s">
        <v>509</v>
      </c>
      <c r="D962" s="3" t="s">
        <v>347</v>
      </c>
      <c r="E962" s="3" t="s">
        <v>143</v>
      </c>
      <c r="F962" s="5">
        <v>4</v>
      </c>
      <c r="G962" s="5">
        <v>3970</v>
      </c>
      <c r="H962" s="5">
        <v>4.3</v>
      </c>
      <c r="I962" s="5">
        <v>15197.16</v>
      </c>
      <c r="J962" s="3" t="s">
        <v>26</v>
      </c>
      <c r="K962" s="3" t="s">
        <v>38</v>
      </c>
      <c r="L962" t="str">
        <f>IFERROR(VLOOKUP(D962,Products!$A$2:$F$61,3,FALSE()),"")</f>
        <v>Electronics</v>
      </c>
      <c r="M962" t="str">
        <f>IFERROR(VLOOKUP(E962,Sales_Reps!$A$2:$C$31,3,FALSE()),"")</f>
        <v>South</v>
      </c>
      <c r="N962">
        <f>IFERROR(VLOOKUP(D962,Products!$A$2:$F$61,4,FALSE()),"")</f>
        <v>2865</v>
      </c>
      <c r="O962" t="str">
        <f>IFERROR(VLOOKUP(C962,Customers!$A$2:$F$301,5,FALSE()),"")</f>
        <v>Corporate</v>
      </c>
      <c r="P962">
        <f>IFERROR(VLOOKUP(C962,Customers!$A$2:$F$301,3,FALSE()),"")</f>
        <v>47</v>
      </c>
      <c r="Q962">
        <f t="shared" ref="Q962:Q1025" si="45">IFERROR((G962-N962)/G962,"")</f>
        <v>0.27833753148614609</v>
      </c>
      <c r="R962">
        <f>IF(AND(COUNTIF($A$2:$A$2027,A962)&gt;1,COUNTIF($A$2:A962,A962)=1),1,0)</f>
        <v>0</v>
      </c>
      <c r="S962" t="b">
        <f>IFERROR(VLOOKUP(D962,Products!$A$2:$F$61,6,FALSE()),"")</f>
        <v>1</v>
      </c>
      <c r="T962" t="str">
        <f>IF(COUNTIF(Customers!$A$2:$A$301,C962)=0,"Missing","OK")</f>
        <v>OK</v>
      </c>
      <c r="U962" t="str">
        <f t="shared" ref="U962:U1025" si="46">IF(K962="","",PROPER(TRIM(K962)))</f>
        <v>Delhi</v>
      </c>
      <c r="V962">
        <f t="shared" ref="V962:V1025" si="47">IF(AND(U962="Bengaluru",L962="Grocery"),I962,0)</f>
        <v>0</v>
      </c>
    </row>
    <row r="963" spans="1:22" ht="15" customHeight="1" x14ac:dyDescent="0.35">
      <c r="A963" s="3" t="s">
        <v>1382</v>
      </c>
      <c r="B963" s="4">
        <v>45509</v>
      </c>
      <c r="C963" s="3" t="s">
        <v>418</v>
      </c>
      <c r="D963" s="3" t="s">
        <v>180</v>
      </c>
      <c r="E963" s="3" t="s">
        <v>71</v>
      </c>
      <c r="F963" s="5">
        <v>2</v>
      </c>
      <c r="G963" s="5">
        <v>6080</v>
      </c>
      <c r="H963" s="5">
        <v>23.8</v>
      </c>
      <c r="I963" s="5">
        <v>9265.92</v>
      </c>
      <c r="J963" s="3" t="s">
        <v>26</v>
      </c>
      <c r="K963" s="3" t="s">
        <v>27</v>
      </c>
      <c r="L963" t="str">
        <f>IFERROR(VLOOKUP(D963,Products!$A$2:$F$61,3,FALSE()),"")</f>
        <v>Beauty</v>
      </c>
      <c r="M963" t="str">
        <f>IFERROR(VLOOKUP(E963,Sales_Reps!$A$2:$C$31,3,FALSE()),"")</f>
        <v>South</v>
      </c>
      <c r="N963">
        <f>IFERROR(VLOOKUP(D963,Products!$A$2:$F$61,4,FALSE()),"")</f>
        <v>2617</v>
      </c>
      <c r="O963" t="str">
        <f>IFERROR(VLOOKUP(C963,Customers!$A$2:$F$301,5,FALSE()),"")</f>
        <v>SMB</v>
      </c>
      <c r="P963">
        <f>IFERROR(VLOOKUP(C963,Customers!$A$2:$F$301,3,FALSE()),"")</f>
        <v>49</v>
      </c>
      <c r="Q963">
        <f t="shared" si="45"/>
        <v>0.56957236842105263</v>
      </c>
      <c r="R963">
        <f>IF(AND(COUNTIF($A$2:$A$2027,A963)&gt;1,COUNTIF($A$2:A963,A963)=1),1,0)</f>
        <v>0</v>
      </c>
      <c r="S963" t="b">
        <f>IFERROR(VLOOKUP(D963,Products!$A$2:$F$61,6,FALSE()),"")</f>
        <v>1</v>
      </c>
      <c r="T963" t="str">
        <f>IF(COUNTIF(Customers!$A$2:$A$301,C963)=0,"Missing","OK")</f>
        <v>OK</v>
      </c>
      <c r="U963" t="str">
        <f t="shared" si="46"/>
        <v>Pune</v>
      </c>
      <c r="V963">
        <f t="shared" si="47"/>
        <v>0</v>
      </c>
    </row>
    <row r="964" spans="1:22" ht="15" customHeight="1" x14ac:dyDescent="0.35">
      <c r="A964" s="3" t="s">
        <v>1383</v>
      </c>
      <c r="B964" s="4">
        <v>45602</v>
      </c>
      <c r="C964" s="3" t="s">
        <v>312</v>
      </c>
      <c r="D964" s="3" t="s">
        <v>70</v>
      </c>
      <c r="E964" s="3" t="s">
        <v>78</v>
      </c>
      <c r="F964" s="5">
        <v>4</v>
      </c>
      <c r="G964" s="5">
        <v>2270</v>
      </c>
      <c r="H964" s="5">
        <v>28.9</v>
      </c>
      <c r="I964" s="5">
        <v>6455.88</v>
      </c>
      <c r="J964" s="3" t="s">
        <v>26</v>
      </c>
      <c r="K964" s="3" t="s">
        <v>27</v>
      </c>
      <c r="L964" t="str">
        <f>IFERROR(VLOOKUP(D964,Products!$A$2:$F$61,3,FALSE()),"")</f>
        <v>Grocery</v>
      </c>
      <c r="M964" t="str">
        <f>IFERROR(VLOOKUP(E964,Sales_Reps!$A$2:$C$31,3,FALSE()),"")</f>
        <v>North</v>
      </c>
      <c r="N964">
        <f>IFERROR(VLOOKUP(D964,Products!$A$2:$F$61,4,FALSE()),"")</f>
        <v>1203</v>
      </c>
      <c r="O964" t="str">
        <f>IFERROR(VLOOKUP(C964,Customers!$A$2:$F$301,5,FALSE()),"")</f>
        <v>Retail</v>
      </c>
      <c r="P964">
        <f>IFERROR(VLOOKUP(C964,Customers!$A$2:$F$301,3,FALSE()),"")</f>
        <v>43</v>
      </c>
      <c r="Q964">
        <f t="shared" si="45"/>
        <v>0.47004405286343615</v>
      </c>
      <c r="R964">
        <f>IF(AND(COUNTIF($A$2:$A$2027,A964)&gt;1,COUNTIF($A$2:A964,A964)=1),1,0)</f>
        <v>0</v>
      </c>
      <c r="S964" t="b">
        <f>IFERROR(VLOOKUP(D964,Products!$A$2:$F$61,6,FALSE()),"")</f>
        <v>1</v>
      </c>
      <c r="T964" t="str">
        <f>IF(COUNTIF(Customers!$A$2:$A$301,C964)=0,"Missing","OK")</f>
        <v>OK</v>
      </c>
      <c r="U964" t="str">
        <f t="shared" si="46"/>
        <v>Pune</v>
      </c>
      <c r="V964">
        <f t="shared" si="47"/>
        <v>0</v>
      </c>
    </row>
    <row r="965" spans="1:22" ht="15" customHeight="1" x14ac:dyDescent="0.35">
      <c r="A965" s="3" t="s">
        <v>1384</v>
      </c>
      <c r="B965" s="4">
        <v>45441</v>
      </c>
      <c r="C965" s="3" t="s">
        <v>136</v>
      </c>
      <c r="D965" s="3" t="s">
        <v>347</v>
      </c>
      <c r="E965" s="3" t="s">
        <v>78</v>
      </c>
      <c r="F965" s="5">
        <v>10</v>
      </c>
      <c r="G965" s="5">
        <v>3970</v>
      </c>
      <c r="H965" s="5">
        <v>26.2</v>
      </c>
      <c r="I965" s="5">
        <v>29298.6</v>
      </c>
      <c r="J965" s="3" t="s">
        <v>26</v>
      </c>
      <c r="K965" s="3" t="s">
        <v>27</v>
      </c>
      <c r="L965" t="str">
        <f>IFERROR(VLOOKUP(D965,Products!$A$2:$F$61,3,FALSE()),"")</f>
        <v>Electronics</v>
      </c>
      <c r="M965" t="str">
        <f>IFERROR(VLOOKUP(E965,Sales_Reps!$A$2:$C$31,3,FALSE()),"")</f>
        <v>North</v>
      </c>
      <c r="N965">
        <f>IFERROR(VLOOKUP(D965,Products!$A$2:$F$61,4,FALSE()),"")</f>
        <v>2865</v>
      </c>
      <c r="O965" t="str">
        <f>IFERROR(VLOOKUP(C965,Customers!$A$2:$F$301,5,FALSE()),"")</f>
        <v>Corporate</v>
      </c>
      <c r="P965">
        <f>IFERROR(VLOOKUP(C965,Customers!$A$2:$F$301,3,FALSE()),"")</f>
        <v>47</v>
      </c>
      <c r="Q965">
        <f t="shared" si="45"/>
        <v>0.27833753148614609</v>
      </c>
      <c r="R965">
        <f>IF(AND(COUNTIF($A$2:$A$2027,A965)&gt;1,COUNTIF($A$2:A965,A965)=1),1,0)</f>
        <v>0</v>
      </c>
      <c r="S965" t="b">
        <f>IFERROR(VLOOKUP(D965,Products!$A$2:$F$61,6,FALSE()),"")</f>
        <v>1</v>
      </c>
      <c r="T965" t="str">
        <f>IF(COUNTIF(Customers!$A$2:$A$301,C965)=0,"Missing","OK")</f>
        <v>OK</v>
      </c>
      <c r="U965" t="str">
        <f t="shared" si="46"/>
        <v>Pune</v>
      </c>
      <c r="V965">
        <f t="shared" si="47"/>
        <v>0</v>
      </c>
    </row>
    <row r="966" spans="1:22" ht="15" customHeight="1" x14ac:dyDescent="0.35">
      <c r="A966" s="3" t="s">
        <v>1385</v>
      </c>
      <c r="B966" s="4">
        <v>45378</v>
      </c>
      <c r="C966" s="3" t="s">
        <v>281</v>
      </c>
      <c r="D966" s="3" t="s">
        <v>130</v>
      </c>
      <c r="E966" s="3" t="s">
        <v>191</v>
      </c>
      <c r="F966" s="5">
        <v>4</v>
      </c>
      <c r="G966" s="5">
        <v>5100</v>
      </c>
      <c r="H966" s="5">
        <v>2.1</v>
      </c>
      <c r="I966" s="5">
        <v>19971.599999999999</v>
      </c>
      <c r="J966" s="3" t="s">
        <v>26</v>
      </c>
      <c r="K966" s="3" t="s">
        <v>33</v>
      </c>
      <c r="L966" t="str">
        <f>IFERROR(VLOOKUP(D966,Products!$A$2:$F$61,3,FALSE()),"")</f>
        <v>Beauty</v>
      </c>
      <c r="M966" t="str">
        <f>IFERROR(VLOOKUP(E966,Sales_Reps!$A$2:$C$31,3,FALSE()),"")</f>
        <v>South</v>
      </c>
      <c r="N966">
        <f>IFERROR(VLOOKUP(D966,Products!$A$2:$F$61,4,FALSE()),"")</f>
        <v>2237</v>
      </c>
      <c r="O966" t="str">
        <f>IFERROR(VLOOKUP(C966,Customers!$A$2:$F$301,5,FALSE()),"")</f>
        <v>Retail</v>
      </c>
      <c r="P966">
        <f>IFERROR(VLOOKUP(C966,Customers!$A$2:$F$301,3,FALSE()),"")</f>
        <v>26</v>
      </c>
      <c r="Q966">
        <f t="shared" si="45"/>
        <v>0.56137254901960787</v>
      </c>
      <c r="R966">
        <f>IF(AND(COUNTIF($A$2:$A$2027,A966)&gt;1,COUNTIF($A$2:A966,A966)=1),1,0)</f>
        <v>0</v>
      </c>
      <c r="S966" t="b">
        <f>IFERROR(VLOOKUP(D966,Products!$A$2:$F$61,6,FALSE()),"")</f>
        <v>1</v>
      </c>
      <c r="T966" t="str">
        <f>IF(COUNTIF(Customers!$A$2:$A$301,C966)=0,"Missing","OK")</f>
        <v>OK</v>
      </c>
      <c r="U966" t="str">
        <f t="shared" si="46"/>
        <v>Chennai</v>
      </c>
      <c r="V966">
        <f t="shared" si="47"/>
        <v>0</v>
      </c>
    </row>
    <row r="967" spans="1:22" ht="15" customHeight="1" x14ac:dyDescent="0.35">
      <c r="A967" s="3" t="s">
        <v>1386</v>
      </c>
      <c r="B967" s="4">
        <v>45428</v>
      </c>
      <c r="C967" s="3" t="s">
        <v>253</v>
      </c>
      <c r="D967" s="3" t="s">
        <v>215</v>
      </c>
      <c r="E967" s="3" t="s">
        <v>55</v>
      </c>
      <c r="F967" s="5">
        <v>5</v>
      </c>
      <c r="G967" s="5">
        <v>3020</v>
      </c>
      <c r="H967" s="5">
        <v>17.3</v>
      </c>
      <c r="I967" s="5">
        <v>12487.7</v>
      </c>
      <c r="J967" s="3" t="s">
        <v>26</v>
      </c>
      <c r="K967" s="3" t="s">
        <v>27</v>
      </c>
      <c r="L967" t="str">
        <f>IFERROR(VLOOKUP(D967,Products!$A$2:$F$61,3,FALSE()),"")</f>
        <v>Beauty</v>
      </c>
      <c r="M967" t="str">
        <f>IFERROR(VLOOKUP(E967,Sales_Reps!$A$2:$C$31,3,FALSE()),"")</f>
        <v>West</v>
      </c>
      <c r="N967">
        <f>IFERROR(VLOOKUP(D967,Products!$A$2:$F$61,4,FALSE()),"")</f>
        <v>1626</v>
      </c>
      <c r="O967" t="str">
        <f>IFERROR(VLOOKUP(C967,Customers!$A$2:$F$301,5,FALSE()),"")</f>
        <v>Corporate</v>
      </c>
      <c r="P967">
        <f>IFERROR(VLOOKUP(C967,Customers!$A$2:$F$301,3,FALSE()),"")</f>
        <v>33</v>
      </c>
      <c r="Q967">
        <f t="shared" si="45"/>
        <v>0.46158940397350995</v>
      </c>
      <c r="R967">
        <f>IF(AND(COUNTIF($A$2:$A$2027,A967)&gt;1,COUNTIF($A$2:A967,A967)=1),1,0)</f>
        <v>0</v>
      </c>
      <c r="S967" t="b">
        <f>IFERROR(VLOOKUP(D967,Products!$A$2:$F$61,6,FALSE()),"")</f>
        <v>1</v>
      </c>
      <c r="T967" t="str">
        <f>IF(COUNTIF(Customers!$A$2:$A$301,C967)=0,"Missing","OK")</f>
        <v>OK</v>
      </c>
      <c r="U967" t="str">
        <f t="shared" si="46"/>
        <v>Pune</v>
      </c>
      <c r="V967">
        <f t="shared" si="47"/>
        <v>0</v>
      </c>
    </row>
    <row r="968" spans="1:22" ht="15" customHeight="1" x14ac:dyDescent="0.35">
      <c r="A968" s="3" t="s">
        <v>1387</v>
      </c>
      <c r="B968" s="4">
        <v>45521</v>
      </c>
      <c r="C968" s="3" t="s">
        <v>841</v>
      </c>
      <c r="D968" s="3" t="s">
        <v>54</v>
      </c>
      <c r="E968" s="3" t="s">
        <v>285</v>
      </c>
      <c r="F968" s="5">
        <v>8</v>
      </c>
      <c r="G968" s="5">
        <v>960</v>
      </c>
      <c r="H968" s="5">
        <v>1.3</v>
      </c>
      <c r="I968" s="5">
        <v>7580.16</v>
      </c>
      <c r="J968" s="3" t="s">
        <v>79</v>
      </c>
      <c r="K968" s="3" t="s">
        <v>51</v>
      </c>
      <c r="L968" t="str">
        <f>IFERROR(VLOOKUP(D968,Products!$A$2:$F$61,3,FALSE()),"")</f>
        <v>Sports</v>
      </c>
      <c r="M968" t="str">
        <f>IFERROR(VLOOKUP(E968,Sales_Reps!$A$2:$C$31,3,FALSE()),"")</f>
        <v>South</v>
      </c>
      <c r="N968">
        <f>IFERROR(VLOOKUP(D968,Products!$A$2:$F$61,4,FALSE()),"")</f>
        <v>705</v>
      </c>
      <c r="O968" t="str">
        <f>IFERROR(VLOOKUP(C968,Customers!$A$2:$F$301,5,FALSE()),"")</f>
        <v>Retail</v>
      </c>
      <c r="P968">
        <f>IFERROR(VLOOKUP(C968,Customers!$A$2:$F$301,3,FALSE()),"")</f>
        <v>37</v>
      </c>
      <c r="Q968">
        <f t="shared" si="45"/>
        <v>0.265625</v>
      </c>
      <c r="R968">
        <f>IF(AND(COUNTIF($A$2:$A$2027,A968)&gt;1,COUNTIF($A$2:A968,A968)=1),1,0)</f>
        <v>0</v>
      </c>
      <c r="S968" t="b">
        <f>IFERROR(VLOOKUP(D968,Products!$A$2:$F$61,6,FALSE()),"")</f>
        <v>1</v>
      </c>
      <c r="T968" t="str">
        <f>IF(COUNTIF(Customers!$A$2:$A$301,C968)=0,"Missing","OK")</f>
        <v>OK</v>
      </c>
      <c r="U968" t="str">
        <f t="shared" si="46"/>
        <v>Mumbai</v>
      </c>
      <c r="V968">
        <f t="shared" si="47"/>
        <v>0</v>
      </c>
    </row>
    <row r="969" spans="1:22" ht="15" customHeight="1" x14ac:dyDescent="0.35">
      <c r="A969" s="3" t="s">
        <v>1388</v>
      </c>
      <c r="B969" s="4">
        <v>45612</v>
      </c>
      <c r="C969" s="3" t="s">
        <v>898</v>
      </c>
      <c r="D969" s="3" t="s">
        <v>106</v>
      </c>
      <c r="E969" s="3" t="s">
        <v>46</v>
      </c>
      <c r="F969" s="5">
        <v>9</v>
      </c>
      <c r="G969" s="5">
        <v>2480</v>
      </c>
      <c r="H969" s="5">
        <v>15.6</v>
      </c>
      <c r="I969" s="5">
        <v>18838.080000000002</v>
      </c>
      <c r="J969" s="3" t="s">
        <v>26</v>
      </c>
      <c r="K969" s="3" t="s">
        <v>51</v>
      </c>
      <c r="L969" t="str">
        <f>IFERROR(VLOOKUP(D969,Products!$A$2:$F$61,3,FALSE()),"")</f>
        <v>Apparel</v>
      </c>
      <c r="M969" t="str">
        <f>IFERROR(VLOOKUP(E969,Sales_Reps!$A$2:$C$31,3,FALSE()),"")</f>
        <v>North</v>
      </c>
      <c r="N969">
        <f>IFERROR(VLOOKUP(D969,Products!$A$2:$F$61,4,FALSE()),"")</f>
        <v>1173</v>
      </c>
      <c r="O969" t="str">
        <f>IFERROR(VLOOKUP(C969,Customers!$A$2:$F$301,5,FALSE()),"")</f>
        <v>SMB</v>
      </c>
      <c r="P969">
        <f>IFERROR(VLOOKUP(C969,Customers!$A$2:$F$301,3,FALSE()),"")</f>
        <v>65</v>
      </c>
      <c r="Q969">
        <f t="shared" si="45"/>
        <v>0.52701612903225803</v>
      </c>
      <c r="R969">
        <f>IF(AND(COUNTIF($A$2:$A$2027,A969)&gt;1,COUNTIF($A$2:A969,A969)=1),1,0)</f>
        <v>0</v>
      </c>
      <c r="S969" t="b">
        <f>IFERROR(VLOOKUP(D969,Products!$A$2:$F$61,6,FALSE()),"")</f>
        <v>1</v>
      </c>
      <c r="T969" t="str">
        <f>IF(COUNTIF(Customers!$A$2:$A$301,C969)=0,"Missing","OK")</f>
        <v>OK</v>
      </c>
      <c r="U969" t="str">
        <f t="shared" si="46"/>
        <v>Mumbai</v>
      </c>
      <c r="V969">
        <f t="shared" si="47"/>
        <v>0</v>
      </c>
    </row>
    <row r="970" spans="1:22" ht="15" customHeight="1" x14ac:dyDescent="0.35">
      <c r="A970" s="3" t="s">
        <v>1389</v>
      </c>
      <c r="B970" s="4">
        <v>45566</v>
      </c>
      <c r="C970" s="3" t="s">
        <v>1390</v>
      </c>
      <c r="D970" s="3" t="s">
        <v>66</v>
      </c>
      <c r="E970" s="3" t="s">
        <v>264</v>
      </c>
      <c r="F970" s="5">
        <v>1</v>
      </c>
      <c r="G970" s="5">
        <v>970</v>
      </c>
      <c r="H970" s="5">
        <v>24.9</v>
      </c>
      <c r="I970" s="5">
        <v>728.47</v>
      </c>
      <c r="J970" s="3" t="s">
        <v>26</v>
      </c>
      <c r="K970" s="3" t="s">
        <v>56</v>
      </c>
      <c r="L970" t="str">
        <f>IFERROR(VLOOKUP(D970,Products!$A$2:$F$61,3,FALSE()),"")</f>
        <v>Grocery</v>
      </c>
      <c r="M970" t="str">
        <f>IFERROR(VLOOKUP(E970,Sales_Reps!$A$2:$C$31,3,FALSE()),"")</f>
        <v>South</v>
      </c>
      <c r="N970">
        <f>IFERROR(VLOOKUP(D970,Products!$A$2:$F$61,4,FALSE()),"")</f>
        <v>434</v>
      </c>
      <c r="O970" t="str">
        <f>IFERROR(VLOOKUP(C970,Customers!$A$2:$F$301,5,FALSE()),"")</f>
        <v/>
      </c>
      <c r="P970" t="str">
        <f>IFERROR(VLOOKUP(C970,Customers!$A$2:$F$301,3,FALSE()),"")</f>
        <v/>
      </c>
      <c r="Q970">
        <f t="shared" si="45"/>
        <v>0.5525773195876289</v>
      </c>
      <c r="R970">
        <f>IF(AND(COUNTIF($A$2:$A$2027,A970)&gt;1,COUNTIF($A$2:A970,A970)=1),1,0)</f>
        <v>0</v>
      </c>
      <c r="S970" t="b">
        <f>IFERROR(VLOOKUP(D970,Products!$A$2:$F$61,6,FALSE()),"")</f>
        <v>1</v>
      </c>
      <c r="T970" t="str">
        <f>IF(COUNTIF(Customers!$A$2:$A$301,C970)=0,"Missing","OK")</f>
        <v>Missing</v>
      </c>
      <c r="U970" t="str">
        <f t="shared" si="46"/>
        <v>Bengaluru</v>
      </c>
      <c r="V970">
        <f t="shared" si="47"/>
        <v>728.47</v>
      </c>
    </row>
    <row r="971" spans="1:22" ht="15" customHeight="1" x14ac:dyDescent="0.35">
      <c r="A971" s="3" t="s">
        <v>1391</v>
      </c>
      <c r="B971" s="4">
        <v>45606</v>
      </c>
      <c r="C971" s="3" t="s">
        <v>346</v>
      </c>
      <c r="D971" s="3" t="s">
        <v>306</v>
      </c>
      <c r="E971" s="3" t="s">
        <v>224</v>
      </c>
      <c r="F971" s="5">
        <v>4</v>
      </c>
      <c r="G971" s="5">
        <v>2380</v>
      </c>
      <c r="H971" s="5">
        <v>9.5</v>
      </c>
      <c r="I971" s="5">
        <v>8615.6</v>
      </c>
      <c r="J971" s="3" t="s">
        <v>79</v>
      </c>
      <c r="K971" s="3" t="s">
        <v>27</v>
      </c>
      <c r="L971" t="str">
        <f>IFERROR(VLOOKUP(D971,Products!$A$2:$F$61,3,FALSE()),"")</f>
        <v>Grocery</v>
      </c>
      <c r="M971" t="str">
        <f>IFERROR(VLOOKUP(E971,Sales_Reps!$A$2:$C$31,3,FALSE()),"")</f>
        <v>East</v>
      </c>
      <c r="N971">
        <f>IFERROR(VLOOKUP(D971,Products!$A$2:$F$61,4,FALSE()),"")</f>
        <v>1182</v>
      </c>
      <c r="O971" t="str">
        <f>IFERROR(VLOOKUP(C971,Customers!$A$2:$F$301,5,FALSE()),"")</f>
        <v>SMB</v>
      </c>
      <c r="P971">
        <f>IFERROR(VLOOKUP(C971,Customers!$A$2:$F$301,3,FALSE()),"")</f>
        <v>53</v>
      </c>
      <c r="Q971">
        <f t="shared" si="45"/>
        <v>0.50336134453781511</v>
      </c>
      <c r="R971">
        <f>IF(AND(COUNTIF($A$2:$A$2027,A971)&gt;1,COUNTIF($A$2:A971,A971)=1),1,0)</f>
        <v>0</v>
      </c>
      <c r="S971" t="b">
        <f>IFERROR(VLOOKUP(D971,Products!$A$2:$F$61,6,FALSE()),"")</f>
        <v>1</v>
      </c>
      <c r="T971" t="str">
        <f>IF(COUNTIF(Customers!$A$2:$A$301,C971)=0,"Missing","OK")</f>
        <v>OK</v>
      </c>
      <c r="U971" t="str">
        <f t="shared" si="46"/>
        <v>Pune</v>
      </c>
      <c r="V971">
        <f t="shared" si="47"/>
        <v>0</v>
      </c>
    </row>
    <row r="972" spans="1:22" ht="15" customHeight="1" x14ac:dyDescent="0.35">
      <c r="A972" s="3" t="s">
        <v>1392</v>
      </c>
      <c r="B972" s="4">
        <v>45423</v>
      </c>
      <c r="C972" s="3" t="s">
        <v>69</v>
      </c>
      <c r="D972" s="3" t="s">
        <v>299</v>
      </c>
      <c r="E972" s="3" t="s">
        <v>31</v>
      </c>
      <c r="F972" s="5">
        <v>4</v>
      </c>
      <c r="G972" s="5">
        <v>5410</v>
      </c>
      <c r="H972" s="5">
        <v>18.7</v>
      </c>
      <c r="I972" s="5">
        <v>17593.32</v>
      </c>
      <c r="J972" s="3" t="s">
        <v>26</v>
      </c>
      <c r="K972" s="3" t="s">
        <v>72</v>
      </c>
      <c r="L972" t="str">
        <f>IFERROR(VLOOKUP(D972,Products!$A$2:$F$61,3,FALSE()),"")</f>
        <v>Sports</v>
      </c>
      <c r="M972" t="str">
        <f>IFERROR(VLOOKUP(E972,Sales_Reps!$A$2:$C$31,3,FALSE()),"")</f>
        <v>North</v>
      </c>
      <c r="N972">
        <f>IFERROR(VLOOKUP(D972,Products!$A$2:$F$61,4,FALSE()),"")</f>
        <v>2265</v>
      </c>
      <c r="O972" t="str">
        <f>IFERROR(VLOOKUP(C972,Customers!$A$2:$F$301,5,FALSE()),"")</f>
        <v>Retail</v>
      </c>
      <c r="P972">
        <f>IFERROR(VLOOKUP(C972,Customers!$A$2:$F$301,3,FALSE()),"")</f>
        <v>60</v>
      </c>
      <c r="Q972">
        <f t="shared" si="45"/>
        <v>0.58133086876155271</v>
      </c>
      <c r="R972">
        <f>IF(AND(COUNTIF($A$2:$A$2027,A972)&gt;1,COUNTIF($A$2:A972,A972)=1),1,0)</f>
        <v>0</v>
      </c>
      <c r="S972" t="b">
        <f>IFERROR(VLOOKUP(D972,Products!$A$2:$F$61,6,FALSE()),"")</f>
        <v>1</v>
      </c>
      <c r="T972" t="str">
        <f>IF(COUNTIF(Customers!$A$2:$A$301,C972)=0,"Missing","OK")</f>
        <v>OK</v>
      </c>
      <c r="U972" t="str">
        <f t="shared" si="46"/>
        <v>Hyderabad</v>
      </c>
      <c r="V972">
        <f t="shared" si="47"/>
        <v>0</v>
      </c>
    </row>
    <row r="973" spans="1:22" ht="15" customHeight="1" x14ac:dyDescent="0.35">
      <c r="A973" s="3" t="s">
        <v>1393</v>
      </c>
      <c r="B973" s="4">
        <v>45573</v>
      </c>
      <c r="C973" s="3" t="s">
        <v>223</v>
      </c>
      <c r="D973" s="3" t="s">
        <v>382</v>
      </c>
      <c r="E973" s="3" t="s">
        <v>224</v>
      </c>
      <c r="F973" s="5">
        <v>7</v>
      </c>
      <c r="G973" s="5">
        <v>5080</v>
      </c>
      <c r="H973" s="5">
        <v>6.5</v>
      </c>
      <c r="I973" s="5">
        <v>33248.6</v>
      </c>
      <c r="J973" s="3" t="s">
        <v>26</v>
      </c>
      <c r="K973" s="3" t="s">
        <v>33</v>
      </c>
      <c r="L973" t="str">
        <f>IFERROR(VLOOKUP(D973,Products!$A$2:$F$61,3,FALSE()),"")</f>
        <v>Home</v>
      </c>
      <c r="M973" t="str">
        <f>IFERROR(VLOOKUP(E973,Sales_Reps!$A$2:$C$31,3,FALSE()),"")</f>
        <v>East</v>
      </c>
      <c r="N973">
        <f>IFERROR(VLOOKUP(D973,Products!$A$2:$F$61,4,FALSE()),"")</f>
        <v>2459</v>
      </c>
      <c r="O973" t="str">
        <f>IFERROR(VLOOKUP(C973,Customers!$A$2:$F$301,5,FALSE()),"")</f>
        <v>Retail</v>
      </c>
      <c r="P973">
        <f>IFERROR(VLOOKUP(C973,Customers!$A$2:$F$301,3,FALSE()),"")</f>
        <v>28</v>
      </c>
      <c r="Q973">
        <f t="shared" si="45"/>
        <v>0.51594488188976373</v>
      </c>
      <c r="R973">
        <f>IF(AND(COUNTIF($A$2:$A$2027,A973)&gt;1,COUNTIF($A$2:A973,A973)=1),1,0)</f>
        <v>0</v>
      </c>
      <c r="S973" t="b">
        <f>IFERROR(VLOOKUP(D973,Products!$A$2:$F$61,6,FALSE()),"")</f>
        <v>1</v>
      </c>
      <c r="T973" t="str">
        <f>IF(COUNTIF(Customers!$A$2:$A$301,C973)=0,"Missing","OK")</f>
        <v>OK</v>
      </c>
      <c r="U973" t="str">
        <f t="shared" si="46"/>
        <v>Chennai</v>
      </c>
      <c r="V973">
        <f t="shared" si="47"/>
        <v>0</v>
      </c>
    </row>
    <row r="974" spans="1:22" ht="15" customHeight="1" x14ac:dyDescent="0.35">
      <c r="A974" s="3" t="s">
        <v>1394</v>
      </c>
      <c r="B974" s="4">
        <v>45339</v>
      </c>
      <c r="C974" s="3" t="s">
        <v>1111</v>
      </c>
      <c r="D974" s="3" t="s">
        <v>59</v>
      </c>
      <c r="E974" s="3" t="s">
        <v>50</v>
      </c>
      <c r="F974" s="5">
        <v>5</v>
      </c>
      <c r="G974" s="5">
        <v>1430</v>
      </c>
      <c r="H974" s="5">
        <v>19.8</v>
      </c>
      <c r="I974" s="5">
        <v>5734.3</v>
      </c>
      <c r="J974" s="3" t="s">
        <v>26</v>
      </c>
      <c r="K974" s="3" t="s">
        <v>27</v>
      </c>
      <c r="L974" t="str">
        <f>IFERROR(VLOOKUP(D974,Products!$A$2:$F$61,3,FALSE()),"")</f>
        <v>Electronics</v>
      </c>
      <c r="M974" t="str">
        <f>IFERROR(VLOOKUP(E974,Sales_Reps!$A$2:$C$31,3,FALSE()),"")</f>
        <v>West</v>
      </c>
      <c r="N974">
        <f>IFERROR(VLOOKUP(D974,Products!$A$2:$F$61,4,FALSE()),"")</f>
        <v>861</v>
      </c>
      <c r="O974" t="str">
        <f>IFERROR(VLOOKUP(C974,Customers!$A$2:$F$301,5,FALSE()),"")</f>
        <v>Retail</v>
      </c>
      <c r="P974">
        <f>IFERROR(VLOOKUP(C974,Customers!$A$2:$F$301,3,FALSE()),"")</f>
        <v>39</v>
      </c>
      <c r="Q974">
        <f t="shared" si="45"/>
        <v>0.39790209790209791</v>
      </c>
      <c r="R974">
        <f>IF(AND(COUNTIF($A$2:$A$2027,A974)&gt;1,COUNTIF($A$2:A974,A974)=1),1,0)</f>
        <v>0</v>
      </c>
      <c r="S974" t="b">
        <f>IFERROR(VLOOKUP(D974,Products!$A$2:$F$61,6,FALSE()),"")</f>
        <v>1</v>
      </c>
      <c r="T974" t="str">
        <f>IF(COUNTIF(Customers!$A$2:$A$301,C974)=0,"Missing","OK")</f>
        <v>OK</v>
      </c>
      <c r="U974" t="str">
        <f t="shared" si="46"/>
        <v>Pune</v>
      </c>
      <c r="V974">
        <f t="shared" si="47"/>
        <v>0</v>
      </c>
    </row>
    <row r="975" spans="1:22" ht="15" customHeight="1" x14ac:dyDescent="0.35">
      <c r="A975" s="3" t="s">
        <v>1395</v>
      </c>
      <c r="B975" s="4">
        <v>45611</v>
      </c>
      <c r="C975" s="3" t="s">
        <v>807</v>
      </c>
      <c r="D975" s="3" t="s">
        <v>142</v>
      </c>
      <c r="E975" s="3" t="s">
        <v>212</v>
      </c>
      <c r="F975" s="5">
        <v>7</v>
      </c>
      <c r="G975" s="5">
        <v>660</v>
      </c>
      <c r="H975" s="5">
        <v>17.3</v>
      </c>
      <c r="I975" s="5">
        <v>3820.74</v>
      </c>
      <c r="J975" s="3" t="s">
        <v>26</v>
      </c>
      <c r="K975" s="3" t="s">
        <v>38</v>
      </c>
      <c r="L975" t="str">
        <f>IFERROR(VLOOKUP(D975,Products!$A$2:$F$61,3,FALSE()),"")</f>
        <v>Home</v>
      </c>
      <c r="M975" t="str">
        <f>IFERROR(VLOOKUP(E975,Sales_Reps!$A$2:$C$31,3,FALSE()),"")</f>
        <v>South</v>
      </c>
      <c r="N975">
        <f>IFERROR(VLOOKUP(D975,Products!$A$2:$F$61,4,FALSE()),"")</f>
        <v>329</v>
      </c>
      <c r="O975" t="str">
        <f>IFERROR(VLOOKUP(C975,Customers!$A$2:$F$301,5,FALSE()),"")</f>
        <v>SMB</v>
      </c>
      <c r="P975">
        <f>IFERROR(VLOOKUP(C975,Customers!$A$2:$F$301,3,FALSE()),"")</f>
        <v>38</v>
      </c>
      <c r="Q975">
        <f t="shared" si="45"/>
        <v>0.50151515151515147</v>
      </c>
      <c r="R975">
        <f>IF(AND(COUNTIF($A$2:$A$2027,A975)&gt;1,COUNTIF($A$2:A975,A975)=1),1,0)</f>
        <v>0</v>
      </c>
      <c r="S975" t="b">
        <f>IFERROR(VLOOKUP(D975,Products!$A$2:$F$61,6,FALSE()),"")</f>
        <v>1</v>
      </c>
      <c r="T975" t="str">
        <f>IF(COUNTIF(Customers!$A$2:$A$301,C975)=0,"Missing","OK")</f>
        <v>OK</v>
      </c>
      <c r="U975" t="str">
        <f t="shared" si="46"/>
        <v>Delhi</v>
      </c>
      <c r="V975">
        <f t="shared" si="47"/>
        <v>0</v>
      </c>
    </row>
    <row r="976" spans="1:22" ht="15" customHeight="1" x14ac:dyDescent="0.35">
      <c r="A976" s="3" t="s">
        <v>1396</v>
      </c>
      <c r="B976" s="4">
        <v>45505</v>
      </c>
      <c r="C976" s="3" t="s">
        <v>755</v>
      </c>
      <c r="D976" s="3" t="s">
        <v>198</v>
      </c>
      <c r="E976" s="3" t="s">
        <v>78</v>
      </c>
      <c r="F976" s="5">
        <v>10</v>
      </c>
      <c r="G976" s="5">
        <v>1540</v>
      </c>
      <c r="H976" s="5">
        <v>17.5</v>
      </c>
      <c r="I976" s="5">
        <v>12705</v>
      </c>
      <c r="J976" s="3" t="s">
        <v>26</v>
      </c>
      <c r="K976" s="3" t="s">
        <v>27</v>
      </c>
      <c r="L976" t="str">
        <f>IFERROR(VLOOKUP(D976,Products!$A$2:$F$61,3,FALSE()),"")</f>
        <v>Beauty</v>
      </c>
      <c r="M976" t="str">
        <f>IFERROR(VLOOKUP(E976,Sales_Reps!$A$2:$C$31,3,FALSE()),"")</f>
        <v>North</v>
      </c>
      <c r="N976">
        <f>IFERROR(VLOOKUP(D976,Products!$A$2:$F$61,4,FALSE()),"")</f>
        <v>647</v>
      </c>
      <c r="O976" t="str">
        <f>IFERROR(VLOOKUP(C976,Customers!$A$2:$F$301,5,FALSE()),"")</f>
        <v>Retail</v>
      </c>
      <c r="P976">
        <f>IFERROR(VLOOKUP(C976,Customers!$A$2:$F$301,3,FALSE()),"")</f>
        <v>36</v>
      </c>
      <c r="Q976">
        <f t="shared" si="45"/>
        <v>0.57987012987012987</v>
      </c>
      <c r="R976">
        <f>IF(AND(COUNTIF($A$2:$A$2027,A976)&gt;1,COUNTIF($A$2:A976,A976)=1),1,0)</f>
        <v>0</v>
      </c>
      <c r="S976" t="b">
        <f>IFERROR(VLOOKUP(D976,Products!$A$2:$F$61,6,FALSE()),"")</f>
        <v>0</v>
      </c>
      <c r="T976" t="str">
        <f>IF(COUNTIF(Customers!$A$2:$A$301,C976)=0,"Missing","OK")</f>
        <v>OK</v>
      </c>
      <c r="U976" t="str">
        <f t="shared" si="46"/>
        <v>Pune</v>
      </c>
      <c r="V976">
        <f t="shared" si="47"/>
        <v>0</v>
      </c>
    </row>
    <row r="977" spans="1:22" ht="15" customHeight="1" x14ac:dyDescent="0.35">
      <c r="A977" s="3" t="s">
        <v>1397</v>
      </c>
      <c r="B977" s="4">
        <v>45358</v>
      </c>
      <c r="C977" s="3" t="s">
        <v>472</v>
      </c>
      <c r="D977" s="3" t="s">
        <v>277</v>
      </c>
      <c r="E977" s="3" t="s">
        <v>87</v>
      </c>
      <c r="F977" s="5">
        <v>10</v>
      </c>
      <c r="G977" s="5">
        <v>2210</v>
      </c>
      <c r="H977" s="5">
        <v>24.1</v>
      </c>
      <c r="I977" s="5">
        <v>16773.900000000001</v>
      </c>
      <c r="J977" s="3" t="s">
        <v>32</v>
      </c>
      <c r="K977" s="3" t="s">
        <v>38</v>
      </c>
      <c r="L977" t="str">
        <f>IFERROR(VLOOKUP(D977,Products!$A$2:$F$61,3,FALSE()),"")</f>
        <v>Grocery</v>
      </c>
      <c r="M977" t="str">
        <f>IFERROR(VLOOKUP(E977,Sales_Reps!$A$2:$C$31,3,FALSE()),"")</f>
        <v>North</v>
      </c>
      <c r="N977">
        <f>IFERROR(VLOOKUP(D977,Products!$A$2:$F$61,4,FALSE()),"")</f>
        <v>1010</v>
      </c>
      <c r="O977" t="str">
        <f>IFERROR(VLOOKUP(C977,Customers!$A$2:$F$301,5,FALSE()),"")</f>
        <v>SMB</v>
      </c>
      <c r="P977">
        <f>IFERROR(VLOOKUP(C977,Customers!$A$2:$F$301,3,FALSE()),"")</f>
        <v>48</v>
      </c>
      <c r="Q977">
        <f t="shared" si="45"/>
        <v>0.54298642533936647</v>
      </c>
      <c r="R977">
        <f>IF(AND(COUNTIF($A$2:$A$2027,A977)&gt;1,COUNTIF($A$2:A977,A977)=1),1,0)</f>
        <v>1</v>
      </c>
      <c r="S977" t="b">
        <f>IFERROR(VLOOKUP(D977,Products!$A$2:$F$61,6,FALSE()),"")</f>
        <v>1</v>
      </c>
      <c r="T977" t="str">
        <f>IF(COUNTIF(Customers!$A$2:$A$301,C977)=0,"Missing","OK")</f>
        <v>OK</v>
      </c>
      <c r="U977" t="str">
        <f t="shared" si="46"/>
        <v>Delhi</v>
      </c>
      <c r="V977">
        <f t="shared" si="47"/>
        <v>0</v>
      </c>
    </row>
    <row r="978" spans="1:22" ht="15" customHeight="1" x14ac:dyDescent="0.35">
      <c r="A978" s="3" t="s">
        <v>1398</v>
      </c>
      <c r="B978" s="4">
        <v>45519</v>
      </c>
      <c r="C978" s="3" t="s">
        <v>467</v>
      </c>
      <c r="D978" s="3" t="s">
        <v>54</v>
      </c>
      <c r="E978" s="3" t="s">
        <v>224</v>
      </c>
      <c r="F978" s="5">
        <v>4</v>
      </c>
      <c r="G978" s="5">
        <v>960</v>
      </c>
      <c r="H978" s="5">
        <v>13.4</v>
      </c>
      <c r="I978" s="5">
        <v>3325.44</v>
      </c>
      <c r="J978" s="3" t="s">
        <v>26</v>
      </c>
      <c r="K978" s="3" t="s">
        <v>51</v>
      </c>
      <c r="L978" t="str">
        <f>IFERROR(VLOOKUP(D978,Products!$A$2:$F$61,3,FALSE()),"")</f>
        <v>Sports</v>
      </c>
      <c r="M978" t="str">
        <f>IFERROR(VLOOKUP(E978,Sales_Reps!$A$2:$C$31,3,FALSE()),"")</f>
        <v>East</v>
      </c>
      <c r="N978">
        <f>IFERROR(VLOOKUP(D978,Products!$A$2:$F$61,4,FALSE()),"")</f>
        <v>705</v>
      </c>
      <c r="O978" t="str">
        <f>IFERROR(VLOOKUP(C978,Customers!$A$2:$F$301,5,FALSE()),"")</f>
        <v>Retail</v>
      </c>
      <c r="P978">
        <f>IFERROR(VLOOKUP(C978,Customers!$A$2:$F$301,3,FALSE()),"")</f>
        <v>44</v>
      </c>
      <c r="Q978">
        <f t="shared" si="45"/>
        <v>0.265625</v>
      </c>
      <c r="R978">
        <f>IF(AND(COUNTIF($A$2:$A$2027,A978)&gt;1,COUNTIF($A$2:A978,A978)=1),1,0)</f>
        <v>0</v>
      </c>
      <c r="S978" t="b">
        <f>IFERROR(VLOOKUP(D978,Products!$A$2:$F$61,6,FALSE()),"")</f>
        <v>1</v>
      </c>
      <c r="T978" t="str">
        <f>IF(COUNTIF(Customers!$A$2:$A$301,C978)=0,"Missing","OK")</f>
        <v>OK</v>
      </c>
      <c r="U978" t="str">
        <f t="shared" si="46"/>
        <v>Mumbai</v>
      </c>
      <c r="V978">
        <f t="shared" si="47"/>
        <v>0</v>
      </c>
    </row>
    <row r="979" spans="1:22" ht="15" customHeight="1" x14ac:dyDescent="0.35">
      <c r="A979" s="3" t="s">
        <v>1399</v>
      </c>
      <c r="B979" s="4">
        <v>45628</v>
      </c>
      <c r="C979" s="3" t="s">
        <v>1289</v>
      </c>
      <c r="D979" s="3" t="s">
        <v>96</v>
      </c>
      <c r="E979" s="3" t="s">
        <v>224</v>
      </c>
      <c r="F979" s="5">
        <v>8</v>
      </c>
      <c r="G979" s="5">
        <v>3450</v>
      </c>
      <c r="H979" s="5">
        <v>3.7</v>
      </c>
      <c r="I979" s="5">
        <v>26578.799999999999</v>
      </c>
      <c r="J979" s="3" t="s">
        <v>26</v>
      </c>
      <c r="K979" s="3" t="s">
        <v>51</v>
      </c>
      <c r="L979" t="str">
        <f>IFERROR(VLOOKUP(D979,Products!$A$2:$F$61,3,FALSE()),"")</f>
        <v>Beauty</v>
      </c>
      <c r="M979" t="str">
        <f>IFERROR(VLOOKUP(E979,Sales_Reps!$A$2:$C$31,3,FALSE()),"")</f>
        <v>East</v>
      </c>
      <c r="N979">
        <f>IFERROR(VLOOKUP(D979,Products!$A$2:$F$61,4,FALSE()),"")</f>
        <v>2420</v>
      </c>
      <c r="O979" t="str">
        <f>IFERROR(VLOOKUP(C979,Customers!$A$2:$F$301,5,FALSE()),"")</f>
        <v>Retail</v>
      </c>
      <c r="P979">
        <f>IFERROR(VLOOKUP(C979,Customers!$A$2:$F$301,3,FALSE()),"")</f>
        <v>38</v>
      </c>
      <c r="Q979">
        <f t="shared" si="45"/>
        <v>0.29855072463768118</v>
      </c>
      <c r="R979">
        <f>IF(AND(COUNTIF($A$2:$A$2027,A979)&gt;1,COUNTIF($A$2:A979,A979)=1),1,0)</f>
        <v>0</v>
      </c>
      <c r="S979" t="b">
        <f>IFERROR(VLOOKUP(D979,Products!$A$2:$F$61,6,FALSE()),"")</f>
        <v>1</v>
      </c>
      <c r="T979" t="str">
        <f>IF(COUNTIF(Customers!$A$2:$A$301,C979)=0,"Missing","OK")</f>
        <v>OK</v>
      </c>
      <c r="U979" t="str">
        <f t="shared" si="46"/>
        <v>Mumbai</v>
      </c>
      <c r="V979">
        <f t="shared" si="47"/>
        <v>0</v>
      </c>
    </row>
    <row r="980" spans="1:22" ht="15" customHeight="1" x14ac:dyDescent="0.35">
      <c r="A980" s="3" t="s">
        <v>1400</v>
      </c>
      <c r="B980" s="4">
        <v>45481</v>
      </c>
      <c r="C980" s="3" t="s">
        <v>1401</v>
      </c>
      <c r="D980" s="3" t="s">
        <v>234</v>
      </c>
      <c r="E980" s="3" t="s">
        <v>31</v>
      </c>
      <c r="F980" s="5">
        <v>6</v>
      </c>
      <c r="G980" s="5">
        <v>2030</v>
      </c>
      <c r="H980" s="5">
        <v>9.5</v>
      </c>
      <c r="I980" s="5">
        <v>11022.9</v>
      </c>
      <c r="J980" s="3" t="s">
        <v>26</v>
      </c>
      <c r="K980" s="3" t="s">
        <v>51</v>
      </c>
      <c r="L980" t="str">
        <f>IFERROR(VLOOKUP(D980,Products!$A$2:$F$61,3,FALSE()),"")</f>
        <v>Home</v>
      </c>
      <c r="M980" t="str">
        <f>IFERROR(VLOOKUP(E980,Sales_Reps!$A$2:$C$31,3,FALSE()),"")</f>
        <v>North</v>
      </c>
      <c r="N980">
        <f>IFERROR(VLOOKUP(D980,Products!$A$2:$F$61,4,FALSE()),"")</f>
        <v>1143</v>
      </c>
      <c r="O980" t="str">
        <f>IFERROR(VLOOKUP(C980,Customers!$A$2:$F$301,5,FALSE()),"")</f>
        <v/>
      </c>
      <c r="P980" t="str">
        <f>IFERROR(VLOOKUP(C980,Customers!$A$2:$F$301,3,FALSE()),"")</f>
        <v/>
      </c>
      <c r="Q980">
        <f t="shared" si="45"/>
        <v>0.43694581280788175</v>
      </c>
      <c r="R980">
        <f>IF(AND(COUNTIF($A$2:$A$2027,A980)&gt;1,COUNTIF($A$2:A980,A980)=1),1,0)</f>
        <v>0</v>
      </c>
      <c r="S980" t="b">
        <f>IFERROR(VLOOKUP(D980,Products!$A$2:$F$61,6,FALSE()),"")</f>
        <v>1</v>
      </c>
      <c r="T980" t="str">
        <f>IF(COUNTIF(Customers!$A$2:$A$301,C980)=0,"Missing","OK")</f>
        <v>Missing</v>
      </c>
      <c r="U980" t="str">
        <f t="shared" si="46"/>
        <v>Mumbai</v>
      </c>
      <c r="V980">
        <f t="shared" si="47"/>
        <v>0</v>
      </c>
    </row>
    <row r="981" spans="1:22" ht="15" customHeight="1" x14ac:dyDescent="0.35">
      <c r="A981" s="3" t="s">
        <v>1402</v>
      </c>
      <c r="B981" s="4">
        <v>45399</v>
      </c>
      <c r="C981" s="3" t="s">
        <v>502</v>
      </c>
      <c r="D981" s="3" t="s">
        <v>391</v>
      </c>
      <c r="E981" s="3" t="s">
        <v>143</v>
      </c>
      <c r="F981" s="5">
        <v>7</v>
      </c>
      <c r="G981" s="5">
        <v>3450</v>
      </c>
      <c r="H981" s="5">
        <v>28.2</v>
      </c>
      <c r="I981" s="5">
        <v>17339.7</v>
      </c>
      <c r="J981" s="3" t="s">
        <v>26</v>
      </c>
      <c r="K981" s="3" t="s">
        <v>27</v>
      </c>
      <c r="L981" t="str">
        <f>IFERROR(VLOOKUP(D981,Products!$A$2:$F$61,3,FALSE()),"")</f>
        <v>Apparel</v>
      </c>
      <c r="M981" t="str">
        <f>IFERROR(VLOOKUP(E981,Sales_Reps!$A$2:$C$31,3,FALSE()),"")</f>
        <v>South</v>
      </c>
      <c r="N981">
        <f>IFERROR(VLOOKUP(D981,Products!$A$2:$F$61,4,FALSE()),"")</f>
        <v>1748</v>
      </c>
      <c r="O981" t="str">
        <f>IFERROR(VLOOKUP(C981,Customers!$A$2:$F$301,5,FALSE()),"")</f>
        <v>SMB</v>
      </c>
      <c r="P981">
        <f>IFERROR(VLOOKUP(C981,Customers!$A$2:$F$301,3,FALSE()),"")</f>
        <v>24</v>
      </c>
      <c r="Q981">
        <f t="shared" si="45"/>
        <v>0.49333333333333335</v>
      </c>
      <c r="R981">
        <f>IF(AND(COUNTIF($A$2:$A$2027,A981)&gt;1,COUNTIF($A$2:A981,A981)=1),1,0)</f>
        <v>0</v>
      </c>
      <c r="S981" t="b">
        <f>IFERROR(VLOOKUP(D981,Products!$A$2:$F$61,6,FALSE()),"")</f>
        <v>1</v>
      </c>
      <c r="T981" t="str">
        <f>IF(COUNTIF(Customers!$A$2:$A$301,C981)=0,"Missing","OK")</f>
        <v>OK</v>
      </c>
      <c r="U981" t="str">
        <f t="shared" si="46"/>
        <v>Pune</v>
      </c>
      <c r="V981">
        <f t="shared" si="47"/>
        <v>0</v>
      </c>
    </row>
    <row r="982" spans="1:22" ht="15" customHeight="1" x14ac:dyDescent="0.35">
      <c r="A982" s="3" t="s">
        <v>1403</v>
      </c>
      <c r="B982" s="4">
        <v>45531</v>
      </c>
      <c r="C982" s="3" t="s">
        <v>424</v>
      </c>
      <c r="D982" s="3" t="s">
        <v>173</v>
      </c>
      <c r="E982" s="3" t="s">
        <v>212</v>
      </c>
      <c r="F982" s="5">
        <v>7</v>
      </c>
      <c r="G982" s="5">
        <v>3780</v>
      </c>
      <c r="H982" s="5">
        <v>15.1</v>
      </c>
      <c r="I982" s="5">
        <v>22464.54</v>
      </c>
      <c r="J982" s="3" t="s">
        <v>26</v>
      </c>
      <c r="K982" s="3" t="s">
        <v>27</v>
      </c>
      <c r="L982" t="str">
        <f>IFERROR(VLOOKUP(D982,Products!$A$2:$F$61,3,FALSE()),"")</f>
        <v>Grocery</v>
      </c>
      <c r="M982" t="str">
        <f>IFERROR(VLOOKUP(E982,Sales_Reps!$A$2:$C$31,3,FALSE()),"")</f>
        <v>South</v>
      </c>
      <c r="N982">
        <f>IFERROR(VLOOKUP(D982,Products!$A$2:$F$61,4,FALSE()),"")</f>
        <v>2436</v>
      </c>
      <c r="O982" t="str">
        <f>IFERROR(VLOOKUP(C982,Customers!$A$2:$F$301,5,FALSE()),"")</f>
        <v>Retail</v>
      </c>
      <c r="P982">
        <f>IFERROR(VLOOKUP(C982,Customers!$A$2:$F$301,3,FALSE()),"")</f>
        <v>49</v>
      </c>
      <c r="Q982">
        <f t="shared" si="45"/>
        <v>0.35555555555555557</v>
      </c>
      <c r="R982">
        <f>IF(AND(COUNTIF($A$2:$A$2027,A982)&gt;1,COUNTIF($A$2:A982,A982)=1),1,0)</f>
        <v>0</v>
      </c>
      <c r="S982" t="b">
        <f>IFERROR(VLOOKUP(D982,Products!$A$2:$F$61,6,FALSE()),"")</f>
        <v>1</v>
      </c>
      <c r="T982" t="str">
        <f>IF(COUNTIF(Customers!$A$2:$A$301,C982)=0,"Missing","OK")</f>
        <v>OK</v>
      </c>
      <c r="U982" t="str">
        <f t="shared" si="46"/>
        <v>Pune</v>
      </c>
      <c r="V982">
        <f t="shared" si="47"/>
        <v>0</v>
      </c>
    </row>
    <row r="983" spans="1:22" ht="15" customHeight="1" x14ac:dyDescent="0.35">
      <c r="A983" s="3" t="s">
        <v>1366</v>
      </c>
      <c r="B983" s="4">
        <v>45417</v>
      </c>
      <c r="C983" s="3" t="s">
        <v>111</v>
      </c>
      <c r="D983" s="3" t="s">
        <v>139</v>
      </c>
      <c r="E983" s="3" t="s">
        <v>236</v>
      </c>
      <c r="F983" s="5">
        <v>4</v>
      </c>
      <c r="G983" s="5">
        <v>2760</v>
      </c>
      <c r="H983" s="5">
        <v>14.8</v>
      </c>
      <c r="I983" s="5">
        <v>9406.08</v>
      </c>
      <c r="J983" s="3" t="s">
        <v>26</v>
      </c>
      <c r="K983" s="3" t="s">
        <v>27</v>
      </c>
      <c r="L983" t="str">
        <f>IFERROR(VLOOKUP(D983,Products!$A$2:$F$61,3,FALSE()),"")</f>
        <v>Grocery</v>
      </c>
      <c r="M983" t="str">
        <f>IFERROR(VLOOKUP(E983,Sales_Reps!$A$2:$C$31,3,FALSE()),"")</f>
        <v>North</v>
      </c>
      <c r="N983">
        <f>IFERROR(VLOOKUP(D983,Products!$A$2:$F$61,4,FALSE()),"")</f>
        <v>1435</v>
      </c>
      <c r="O983" t="str">
        <f>IFERROR(VLOOKUP(C983,Customers!$A$2:$F$301,5,FALSE()),"")</f>
        <v>Retail</v>
      </c>
      <c r="P983">
        <f>IFERROR(VLOOKUP(C983,Customers!$A$2:$F$301,3,FALSE()),"")</f>
        <v>50</v>
      </c>
      <c r="Q983">
        <f t="shared" si="45"/>
        <v>0.48007246376811596</v>
      </c>
      <c r="R983">
        <f>IF(AND(COUNTIF($A$2:$A$2027,A983)&gt;1,COUNTIF($A$2:A983,A983)=1),1,0)</f>
        <v>0</v>
      </c>
      <c r="S983" t="b">
        <f>IFERROR(VLOOKUP(D983,Products!$A$2:$F$61,6,FALSE()),"")</f>
        <v>1</v>
      </c>
      <c r="T983" t="str">
        <f>IF(COUNTIF(Customers!$A$2:$A$301,C983)=0,"Missing","OK")</f>
        <v>OK</v>
      </c>
      <c r="U983" t="str">
        <f t="shared" si="46"/>
        <v>Pune</v>
      </c>
      <c r="V983">
        <f t="shared" si="47"/>
        <v>0</v>
      </c>
    </row>
    <row r="984" spans="1:22" ht="15" customHeight="1" x14ac:dyDescent="0.35">
      <c r="A984" s="3" t="s">
        <v>1404</v>
      </c>
      <c r="B984" s="4">
        <v>45327</v>
      </c>
      <c r="C984" s="3" t="s">
        <v>724</v>
      </c>
      <c r="D984" s="3" t="s">
        <v>198</v>
      </c>
      <c r="E984" s="3" t="s">
        <v>168</v>
      </c>
      <c r="F984" s="5">
        <v>4</v>
      </c>
      <c r="G984" s="5">
        <v>1540</v>
      </c>
      <c r="H984" s="5">
        <v>13.9</v>
      </c>
      <c r="I984" s="5">
        <v>5303.76</v>
      </c>
      <c r="J984" s="3" t="s">
        <v>26</v>
      </c>
      <c r="K984" s="3" t="s">
        <v>27</v>
      </c>
      <c r="L984" t="str">
        <f>IFERROR(VLOOKUP(D984,Products!$A$2:$F$61,3,FALSE()),"")</f>
        <v>Beauty</v>
      </c>
      <c r="M984" t="str">
        <f>IFERROR(VLOOKUP(E984,Sales_Reps!$A$2:$C$31,3,FALSE()),"")</f>
        <v>West</v>
      </c>
      <c r="N984">
        <f>IFERROR(VLOOKUP(D984,Products!$A$2:$F$61,4,FALSE()),"")</f>
        <v>647</v>
      </c>
      <c r="O984" t="str">
        <f>IFERROR(VLOOKUP(C984,Customers!$A$2:$F$301,5,FALSE()),"")</f>
        <v>Retail</v>
      </c>
      <c r="P984">
        <f>IFERROR(VLOOKUP(C984,Customers!$A$2:$F$301,3,FALSE()),"")</f>
        <v>31</v>
      </c>
      <c r="Q984">
        <f t="shared" si="45"/>
        <v>0.57987012987012987</v>
      </c>
      <c r="R984">
        <f>IF(AND(COUNTIF($A$2:$A$2027,A984)&gt;1,COUNTIF($A$2:A984,A984)=1),1,0)</f>
        <v>0</v>
      </c>
      <c r="S984" t="b">
        <f>IFERROR(VLOOKUP(D984,Products!$A$2:$F$61,6,FALSE()),"")</f>
        <v>0</v>
      </c>
      <c r="T984" t="str">
        <f>IF(COUNTIF(Customers!$A$2:$A$301,C984)=0,"Missing","OK")</f>
        <v>OK</v>
      </c>
      <c r="U984" t="str">
        <f t="shared" si="46"/>
        <v>Pune</v>
      </c>
      <c r="V984">
        <f t="shared" si="47"/>
        <v>0</v>
      </c>
    </row>
    <row r="985" spans="1:22" ht="15" customHeight="1" x14ac:dyDescent="0.35">
      <c r="A985" s="3" t="s">
        <v>1405</v>
      </c>
      <c r="B985" s="4">
        <v>45438</v>
      </c>
      <c r="C985" s="3" t="s">
        <v>718</v>
      </c>
      <c r="D985" s="3" t="s">
        <v>165</v>
      </c>
      <c r="E985" s="3" t="s">
        <v>25</v>
      </c>
      <c r="F985" s="5">
        <v>2</v>
      </c>
      <c r="G985" s="5">
        <v>3730</v>
      </c>
      <c r="H985" s="5">
        <v>15.7</v>
      </c>
      <c r="I985" s="5">
        <v>6288.78</v>
      </c>
      <c r="J985" s="3" t="s">
        <v>79</v>
      </c>
      <c r="K985" s="3" t="s">
        <v>56</v>
      </c>
      <c r="L985" t="str">
        <f>IFERROR(VLOOKUP(D985,Products!$A$2:$F$61,3,FALSE()),"")</f>
        <v>Home</v>
      </c>
      <c r="M985" t="str">
        <f>IFERROR(VLOOKUP(E985,Sales_Reps!$A$2:$C$31,3,FALSE()),"")</f>
        <v>North</v>
      </c>
      <c r="N985">
        <f>IFERROR(VLOOKUP(D985,Products!$A$2:$F$61,4,FALSE()),"")</f>
        <v>2135</v>
      </c>
      <c r="O985" t="str">
        <f>IFERROR(VLOOKUP(C985,Customers!$A$2:$F$301,5,FALSE()),"")</f>
        <v>Retail</v>
      </c>
      <c r="P985">
        <f>IFERROR(VLOOKUP(C985,Customers!$A$2:$F$301,3,FALSE()),"")</f>
        <v>27</v>
      </c>
      <c r="Q985">
        <f t="shared" si="45"/>
        <v>0.42761394101876676</v>
      </c>
      <c r="R985">
        <f>IF(AND(COUNTIF($A$2:$A$2027,A985)&gt;1,COUNTIF($A$2:A985,A985)=1),1,0)</f>
        <v>0</v>
      </c>
      <c r="S985" t="b">
        <f>IFERROR(VLOOKUP(D985,Products!$A$2:$F$61,6,FALSE()),"")</f>
        <v>1</v>
      </c>
      <c r="T985" t="str">
        <f>IF(COUNTIF(Customers!$A$2:$A$301,C985)=0,"Missing","OK")</f>
        <v>OK</v>
      </c>
      <c r="U985" t="str">
        <f t="shared" si="46"/>
        <v>Bengaluru</v>
      </c>
      <c r="V985">
        <f t="shared" si="47"/>
        <v>0</v>
      </c>
    </row>
    <row r="986" spans="1:22" ht="15" customHeight="1" x14ac:dyDescent="0.35">
      <c r="A986" s="3" t="s">
        <v>1406</v>
      </c>
      <c r="B986" s="4">
        <v>45577</v>
      </c>
      <c r="C986" s="3" t="s">
        <v>774</v>
      </c>
      <c r="D986" s="3" t="s">
        <v>165</v>
      </c>
      <c r="E986" s="3" t="s">
        <v>282</v>
      </c>
      <c r="F986" s="5">
        <v>4</v>
      </c>
      <c r="G986" s="5">
        <v>3730</v>
      </c>
      <c r="H986" s="5">
        <v>2.1</v>
      </c>
      <c r="I986" s="5">
        <v>14606.68</v>
      </c>
      <c r="J986" s="3" t="s">
        <v>26</v>
      </c>
      <c r="K986" s="3" t="s">
        <v>56</v>
      </c>
      <c r="L986" t="str">
        <f>IFERROR(VLOOKUP(D986,Products!$A$2:$F$61,3,FALSE()),"")</f>
        <v>Home</v>
      </c>
      <c r="M986" t="str">
        <f>IFERROR(VLOOKUP(E986,Sales_Reps!$A$2:$C$31,3,FALSE()),"")</f>
        <v>West</v>
      </c>
      <c r="N986">
        <f>IFERROR(VLOOKUP(D986,Products!$A$2:$F$61,4,FALSE()),"")</f>
        <v>2135</v>
      </c>
      <c r="O986" t="str">
        <f>IFERROR(VLOOKUP(C986,Customers!$A$2:$F$301,5,FALSE()),"")</f>
        <v>Retail</v>
      </c>
      <c r="P986">
        <f>IFERROR(VLOOKUP(C986,Customers!$A$2:$F$301,3,FALSE()),"")</f>
        <v>52</v>
      </c>
      <c r="Q986">
        <f t="shared" si="45"/>
        <v>0.42761394101876676</v>
      </c>
      <c r="R986">
        <f>IF(AND(COUNTIF($A$2:$A$2027,A986)&gt;1,COUNTIF($A$2:A986,A986)=1),1,0)</f>
        <v>0</v>
      </c>
      <c r="S986" t="b">
        <f>IFERROR(VLOOKUP(D986,Products!$A$2:$F$61,6,FALSE()),"")</f>
        <v>1</v>
      </c>
      <c r="T986" t="str">
        <f>IF(COUNTIF(Customers!$A$2:$A$301,C986)=0,"Missing","OK")</f>
        <v>OK</v>
      </c>
      <c r="U986" t="str">
        <f t="shared" si="46"/>
        <v>Bengaluru</v>
      </c>
      <c r="V986">
        <f t="shared" si="47"/>
        <v>0</v>
      </c>
    </row>
    <row r="987" spans="1:22" ht="15" customHeight="1" x14ac:dyDescent="0.35">
      <c r="A987" s="3" t="s">
        <v>1407</v>
      </c>
      <c r="B987" s="4">
        <v>45457</v>
      </c>
      <c r="C987" s="3" t="s">
        <v>498</v>
      </c>
      <c r="D987" s="3" t="s">
        <v>45</v>
      </c>
      <c r="E987" s="3" t="s">
        <v>191</v>
      </c>
      <c r="F987" s="5">
        <v>1</v>
      </c>
      <c r="G987" s="5">
        <v>3160</v>
      </c>
      <c r="H987" s="5">
        <v>29.8</v>
      </c>
      <c r="I987" s="5">
        <v>2218.3200000000002</v>
      </c>
      <c r="J987" s="3" t="s">
        <v>26</v>
      </c>
      <c r="K987" s="3" t="s">
        <v>27</v>
      </c>
      <c r="L987" t="str">
        <f>IFERROR(VLOOKUP(D987,Products!$A$2:$F$61,3,FALSE()),"")</f>
        <v>Apparel</v>
      </c>
      <c r="M987" t="str">
        <f>IFERROR(VLOOKUP(E987,Sales_Reps!$A$2:$C$31,3,FALSE()),"")</f>
        <v>South</v>
      </c>
      <c r="N987">
        <f>IFERROR(VLOOKUP(D987,Products!$A$2:$F$61,4,FALSE()),"")</f>
        <v>1886</v>
      </c>
      <c r="O987" t="str">
        <f>IFERROR(VLOOKUP(C987,Customers!$A$2:$F$301,5,FALSE()),"")</f>
        <v>Retail</v>
      </c>
      <c r="P987">
        <f>IFERROR(VLOOKUP(C987,Customers!$A$2:$F$301,3,FALSE()),"")</f>
        <v>62</v>
      </c>
      <c r="Q987">
        <f t="shared" si="45"/>
        <v>0.4031645569620253</v>
      </c>
      <c r="R987">
        <f>IF(AND(COUNTIF($A$2:$A$2027,A987)&gt;1,COUNTIF($A$2:A987,A987)=1),1,0)</f>
        <v>0</v>
      </c>
      <c r="S987" t="b">
        <f>IFERROR(VLOOKUP(D987,Products!$A$2:$F$61,6,FALSE()),"")</f>
        <v>1</v>
      </c>
      <c r="T987" t="str">
        <f>IF(COUNTIF(Customers!$A$2:$A$301,C987)=0,"Missing","OK")</f>
        <v>OK</v>
      </c>
      <c r="U987" t="str">
        <f t="shared" si="46"/>
        <v>Pune</v>
      </c>
      <c r="V987">
        <f t="shared" si="47"/>
        <v>0</v>
      </c>
    </row>
    <row r="988" spans="1:22" ht="15" customHeight="1" x14ac:dyDescent="0.35">
      <c r="A988" s="3" t="s">
        <v>1408</v>
      </c>
      <c r="B988" s="4">
        <v>45544</v>
      </c>
      <c r="C988" s="3" t="s">
        <v>554</v>
      </c>
      <c r="D988" s="3" t="s">
        <v>325</v>
      </c>
      <c r="E988" s="3" t="s">
        <v>224</v>
      </c>
      <c r="F988" s="5">
        <v>9</v>
      </c>
      <c r="G988" s="5">
        <v>2290</v>
      </c>
      <c r="H988" s="5">
        <v>8.3000000000000007</v>
      </c>
      <c r="I988" s="5">
        <v>18899.37</v>
      </c>
      <c r="J988" s="3" t="s">
        <v>32</v>
      </c>
      <c r="K988" s="3" t="s">
        <v>51</v>
      </c>
      <c r="L988" t="str">
        <f>IFERROR(VLOOKUP(D988,Products!$A$2:$F$61,3,FALSE()),"")</f>
        <v>Beauty</v>
      </c>
      <c r="M988" t="str">
        <f>IFERROR(VLOOKUP(E988,Sales_Reps!$A$2:$C$31,3,FALSE()),"")</f>
        <v>East</v>
      </c>
      <c r="N988">
        <f>IFERROR(VLOOKUP(D988,Products!$A$2:$F$61,4,FALSE()),"")</f>
        <v>1219</v>
      </c>
      <c r="O988" t="str">
        <f>IFERROR(VLOOKUP(C988,Customers!$A$2:$F$301,5,FALSE()),"")</f>
        <v>Retail</v>
      </c>
      <c r="P988">
        <f>IFERROR(VLOOKUP(C988,Customers!$A$2:$F$301,3,FALSE()),"")</f>
        <v>53</v>
      </c>
      <c r="Q988">
        <f t="shared" si="45"/>
        <v>0.46768558951965067</v>
      </c>
      <c r="R988">
        <f>IF(AND(COUNTIF($A$2:$A$2027,A988)&gt;1,COUNTIF($A$2:A988,A988)=1),1,0)</f>
        <v>0</v>
      </c>
      <c r="S988" t="b">
        <f>IFERROR(VLOOKUP(D988,Products!$A$2:$F$61,6,FALSE()),"")</f>
        <v>1</v>
      </c>
      <c r="T988" t="str">
        <f>IF(COUNTIF(Customers!$A$2:$A$301,C988)=0,"Missing","OK")</f>
        <v>OK</v>
      </c>
      <c r="U988" t="str">
        <f t="shared" si="46"/>
        <v>Mumbai</v>
      </c>
      <c r="V988">
        <f t="shared" si="47"/>
        <v>0</v>
      </c>
    </row>
    <row r="989" spans="1:22" ht="15" customHeight="1" x14ac:dyDescent="0.35">
      <c r="A989" s="3" t="s">
        <v>1409</v>
      </c>
      <c r="B989" s="4">
        <v>45632</v>
      </c>
      <c r="C989" s="3" t="s">
        <v>366</v>
      </c>
      <c r="D989" s="3" t="s">
        <v>187</v>
      </c>
      <c r="E989" s="3" t="s">
        <v>191</v>
      </c>
      <c r="F989" s="5">
        <v>2</v>
      </c>
      <c r="G989" s="5">
        <v>3870</v>
      </c>
      <c r="H989" s="5">
        <v>5.2</v>
      </c>
      <c r="I989" s="5">
        <v>7337.52</v>
      </c>
      <c r="J989" s="3" t="s">
        <v>26</v>
      </c>
      <c r="K989" s="3" t="s">
        <v>27</v>
      </c>
      <c r="L989" t="str">
        <f>IFERROR(VLOOKUP(D989,Products!$A$2:$F$61,3,FALSE()),"")</f>
        <v>Electronics</v>
      </c>
      <c r="M989" t="str">
        <f>IFERROR(VLOOKUP(E989,Sales_Reps!$A$2:$C$31,3,FALSE()),"")</f>
        <v>South</v>
      </c>
      <c r="N989">
        <f>IFERROR(VLOOKUP(D989,Products!$A$2:$F$61,4,FALSE()),"")</f>
        <v>1559</v>
      </c>
      <c r="O989" t="str">
        <f>IFERROR(VLOOKUP(C989,Customers!$A$2:$F$301,5,FALSE()),"")</f>
        <v>Corporate</v>
      </c>
      <c r="P989">
        <f>IFERROR(VLOOKUP(C989,Customers!$A$2:$F$301,3,FALSE()),"")</f>
        <v>48</v>
      </c>
      <c r="Q989">
        <f t="shared" si="45"/>
        <v>0.59715762273901807</v>
      </c>
      <c r="R989">
        <f>IF(AND(COUNTIF($A$2:$A$2027,A989)&gt;1,COUNTIF($A$2:A989,A989)=1),1,0)</f>
        <v>0</v>
      </c>
      <c r="S989" t="b">
        <f>IFERROR(VLOOKUP(D989,Products!$A$2:$F$61,6,FALSE()),"")</f>
        <v>1</v>
      </c>
      <c r="T989" t="str">
        <f>IF(COUNTIF(Customers!$A$2:$A$301,C989)=0,"Missing","OK")</f>
        <v>OK</v>
      </c>
      <c r="U989" t="str">
        <f t="shared" si="46"/>
        <v>Pune</v>
      </c>
      <c r="V989">
        <f t="shared" si="47"/>
        <v>0</v>
      </c>
    </row>
    <row r="990" spans="1:22" ht="15" customHeight="1" x14ac:dyDescent="0.35">
      <c r="A990" s="3" t="s">
        <v>1410</v>
      </c>
      <c r="B990" s="4">
        <v>45465</v>
      </c>
      <c r="C990" s="3" t="s">
        <v>368</v>
      </c>
      <c r="D990" s="3" t="s">
        <v>126</v>
      </c>
      <c r="E990" s="3" t="s">
        <v>25</v>
      </c>
      <c r="F990" s="5">
        <v>5</v>
      </c>
      <c r="G990" s="5">
        <v>3570</v>
      </c>
      <c r="H990" s="5">
        <v>19.899999999999999</v>
      </c>
      <c r="I990" s="5">
        <v>14297.85</v>
      </c>
      <c r="J990" s="3" t="s">
        <v>26</v>
      </c>
      <c r="K990" s="3" t="s">
        <v>56</v>
      </c>
      <c r="L990" t="str">
        <f>IFERROR(VLOOKUP(D990,Products!$A$2:$F$61,3,FALSE()),"")</f>
        <v>Electronics</v>
      </c>
      <c r="M990" t="str">
        <f>IFERROR(VLOOKUP(E990,Sales_Reps!$A$2:$C$31,3,FALSE()),"")</f>
        <v>North</v>
      </c>
      <c r="N990">
        <f>IFERROR(VLOOKUP(D990,Products!$A$2:$F$61,4,FALSE()),"")</f>
        <v>1665</v>
      </c>
      <c r="O990" t="str">
        <f>IFERROR(VLOOKUP(C990,Customers!$A$2:$F$301,5,FALSE()),"")</f>
        <v>Retail</v>
      </c>
      <c r="P990">
        <f>IFERROR(VLOOKUP(C990,Customers!$A$2:$F$301,3,FALSE()),"")</f>
        <v>55</v>
      </c>
      <c r="Q990">
        <f t="shared" si="45"/>
        <v>0.53361344537815125</v>
      </c>
      <c r="R990">
        <f>IF(AND(COUNTIF($A$2:$A$2027,A990)&gt;1,COUNTIF($A$2:A990,A990)=1),1,0)</f>
        <v>0</v>
      </c>
      <c r="S990" t="b">
        <f>IFERROR(VLOOKUP(D990,Products!$A$2:$F$61,6,FALSE()),"")</f>
        <v>1</v>
      </c>
      <c r="T990" t="str">
        <f>IF(COUNTIF(Customers!$A$2:$A$301,C990)=0,"Missing","OK")</f>
        <v>OK</v>
      </c>
      <c r="U990" t="str">
        <f t="shared" si="46"/>
        <v>Bengaluru</v>
      </c>
      <c r="V990">
        <f t="shared" si="47"/>
        <v>0</v>
      </c>
    </row>
    <row r="991" spans="1:22" ht="15" customHeight="1" x14ac:dyDescent="0.35">
      <c r="A991" s="3" t="s">
        <v>1411</v>
      </c>
      <c r="B991" s="4">
        <v>45342</v>
      </c>
      <c r="C991" s="3" t="s">
        <v>228</v>
      </c>
      <c r="D991" s="3" t="s">
        <v>121</v>
      </c>
      <c r="E991" s="3" t="s">
        <v>154</v>
      </c>
      <c r="F991" s="5">
        <v>5</v>
      </c>
      <c r="G991" s="5">
        <v>1010</v>
      </c>
      <c r="H991" s="5">
        <v>2.2000000000000002</v>
      </c>
      <c r="I991" s="5">
        <v>4938.8999999999996</v>
      </c>
      <c r="J991" s="3" t="s">
        <v>26</v>
      </c>
      <c r="K991" s="3" t="s">
        <v>33</v>
      </c>
      <c r="L991" t="str">
        <f>IFERROR(VLOOKUP(D991,Products!$A$2:$F$61,3,FALSE()),"")</f>
        <v>Sports</v>
      </c>
      <c r="M991" t="str">
        <f>IFERROR(VLOOKUP(E991,Sales_Reps!$A$2:$C$31,3,FALSE()),"")</f>
        <v>North</v>
      </c>
      <c r="N991">
        <f>IFERROR(VLOOKUP(D991,Products!$A$2:$F$61,4,FALSE()),"")</f>
        <v>516</v>
      </c>
      <c r="O991" t="str">
        <f>IFERROR(VLOOKUP(C991,Customers!$A$2:$F$301,5,FALSE()),"")</f>
        <v>Retail</v>
      </c>
      <c r="P991">
        <f>IFERROR(VLOOKUP(C991,Customers!$A$2:$F$301,3,FALSE()),"")</f>
        <v>38</v>
      </c>
      <c r="Q991">
        <f t="shared" si="45"/>
        <v>0.4891089108910891</v>
      </c>
      <c r="R991">
        <f>IF(AND(COUNTIF($A$2:$A$2027,A991)&gt;1,COUNTIF($A$2:A991,A991)=1),1,0)</f>
        <v>0</v>
      </c>
      <c r="S991" t="b">
        <f>IFERROR(VLOOKUP(D991,Products!$A$2:$F$61,6,FALSE()),"")</f>
        <v>1</v>
      </c>
      <c r="T991" t="str">
        <f>IF(COUNTIF(Customers!$A$2:$A$301,C991)=0,"Missing","OK")</f>
        <v>OK</v>
      </c>
      <c r="U991" t="str">
        <f t="shared" si="46"/>
        <v>Chennai</v>
      </c>
      <c r="V991">
        <f t="shared" si="47"/>
        <v>0</v>
      </c>
    </row>
    <row r="992" spans="1:22" ht="15" customHeight="1" x14ac:dyDescent="0.35">
      <c r="A992" s="3" t="s">
        <v>1412</v>
      </c>
      <c r="B992" s="4">
        <v>45309</v>
      </c>
      <c r="C992" s="3" t="s">
        <v>301</v>
      </c>
      <c r="D992" s="3" t="s">
        <v>325</v>
      </c>
      <c r="E992" s="3" t="s">
        <v>78</v>
      </c>
      <c r="F992" s="5">
        <v>10</v>
      </c>
      <c r="G992" s="5">
        <v>2290</v>
      </c>
      <c r="H992" s="5">
        <v>16.8</v>
      </c>
      <c r="I992" s="5">
        <v>19052.8</v>
      </c>
      <c r="J992" s="3" t="s">
        <v>79</v>
      </c>
      <c r="K992" s="3" t="s">
        <v>33</v>
      </c>
      <c r="L992" t="str">
        <f>IFERROR(VLOOKUP(D992,Products!$A$2:$F$61,3,FALSE()),"")</f>
        <v>Beauty</v>
      </c>
      <c r="M992" t="str">
        <f>IFERROR(VLOOKUP(E992,Sales_Reps!$A$2:$C$31,3,FALSE()),"")</f>
        <v>North</v>
      </c>
      <c r="N992">
        <f>IFERROR(VLOOKUP(D992,Products!$A$2:$F$61,4,FALSE()),"")</f>
        <v>1219</v>
      </c>
      <c r="O992" t="str">
        <f>IFERROR(VLOOKUP(C992,Customers!$A$2:$F$301,5,FALSE()),"")</f>
        <v>Corporate</v>
      </c>
      <c r="P992">
        <f>IFERROR(VLOOKUP(C992,Customers!$A$2:$F$301,3,FALSE()),"")</f>
        <v>51</v>
      </c>
      <c r="Q992">
        <f t="shared" si="45"/>
        <v>0.46768558951965067</v>
      </c>
      <c r="R992">
        <f>IF(AND(COUNTIF($A$2:$A$2027,A992)&gt;1,COUNTIF($A$2:A992,A992)=1),1,0)</f>
        <v>0</v>
      </c>
      <c r="S992" t="b">
        <f>IFERROR(VLOOKUP(D992,Products!$A$2:$F$61,6,FALSE()),"")</f>
        <v>1</v>
      </c>
      <c r="T992" t="str">
        <f>IF(COUNTIF(Customers!$A$2:$A$301,C992)=0,"Missing","OK")</f>
        <v>OK</v>
      </c>
      <c r="U992" t="str">
        <f t="shared" si="46"/>
        <v>Chennai</v>
      </c>
      <c r="V992">
        <f t="shared" si="47"/>
        <v>0</v>
      </c>
    </row>
    <row r="993" spans="1:22" ht="15" customHeight="1" x14ac:dyDescent="0.35">
      <c r="A993" s="3" t="s">
        <v>1413</v>
      </c>
      <c r="B993" s="4">
        <v>45493</v>
      </c>
      <c r="C993" s="3" t="s">
        <v>421</v>
      </c>
      <c r="D993" s="3" t="s">
        <v>209</v>
      </c>
      <c r="E993" s="3" t="s">
        <v>60</v>
      </c>
      <c r="F993" s="5">
        <v>3</v>
      </c>
      <c r="G993" s="5">
        <v>4610</v>
      </c>
      <c r="H993" s="5">
        <v>13.2</v>
      </c>
      <c r="I993" s="5">
        <v>12004.44</v>
      </c>
      <c r="J993" s="3" t="s">
        <v>32</v>
      </c>
      <c r="K993" s="3" t="s">
        <v>72</v>
      </c>
      <c r="L993" t="str">
        <f>IFERROR(VLOOKUP(D993,Products!$A$2:$F$61,3,FALSE()),"")</f>
        <v>Home</v>
      </c>
      <c r="M993" t="str">
        <f>IFERROR(VLOOKUP(E993,Sales_Reps!$A$2:$C$31,3,FALSE()),"")</f>
        <v>East</v>
      </c>
      <c r="N993">
        <f>IFERROR(VLOOKUP(D993,Products!$A$2:$F$61,4,FALSE()),"")</f>
        <v>1850</v>
      </c>
      <c r="O993" t="str">
        <f>IFERROR(VLOOKUP(C993,Customers!$A$2:$F$301,5,FALSE()),"")</f>
        <v>Corporate</v>
      </c>
      <c r="P993">
        <f>IFERROR(VLOOKUP(C993,Customers!$A$2:$F$301,3,FALSE()),"")</f>
        <v>52</v>
      </c>
      <c r="Q993">
        <f t="shared" si="45"/>
        <v>0.59869848156182215</v>
      </c>
      <c r="R993">
        <f>IF(AND(COUNTIF($A$2:$A$2027,A993)&gt;1,COUNTIF($A$2:A993,A993)=1),1,0)</f>
        <v>0</v>
      </c>
      <c r="S993" t="b">
        <f>IFERROR(VLOOKUP(D993,Products!$A$2:$F$61,6,FALSE()),"")</f>
        <v>1</v>
      </c>
      <c r="T993" t="str">
        <f>IF(COUNTIF(Customers!$A$2:$A$301,C993)=0,"Missing","OK")</f>
        <v>OK</v>
      </c>
      <c r="U993" t="str">
        <f t="shared" si="46"/>
        <v>Hyderabad</v>
      </c>
      <c r="V993">
        <f t="shared" si="47"/>
        <v>0</v>
      </c>
    </row>
    <row r="994" spans="1:22" ht="15" customHeight="1" x14ac:dyDescent="0.35">
      <c r="A994" s="3" t="s">
        <v>1414</v>
      </c>
      <c r="B994" s="4">
        <v>45356</v>
      </c>
      <c r="C994" s="3" t="s">
        <v>399</v>
      </c>
      <c r="D994" s="3" t="s">
        <v>294</v>
      </c>
      <c r="E994" s="3" t="s">
        <v>87</v>
      </c>
      <c r="F994" s="5">
        <v>1</v>
      </c>
      <c r="G994" s="5">
        <v>2510</v>
      </c>
      <c r="H994" s="5">
        <v>16.899999999999999</v>
      </c>
      <c r="I994" s="5">
        <v>2085.81</v>
      </c>
      <c r="J994" s="3" t="s">
        <v>26</v>
      </c>
      <c r="K994" s="3" t="s">
        <v>27</v>
      </c>
      <c r="L994" t="str">
        <f>IFERROR(VLOOKUP(D994,Products!$A$2:$F$61,3,FALSE()),"")</f>
        <v>Apparel</v>
      </c>
      <c r="M994" t="str">
        <f>IFERROR(VLOOKUP(E994,Sales_Reps!$A$2:$C$31,3,FALSE()),"")</f>
        <v>North</v>
      </c>
      <c r="N994">
        <f>IFERROR(VLOOKUP(D994,Products!$A$2:$F$61,4,FALSE()),"")</f>
        <v>1075</v>
      </c>
      <c r="O994" t="str">
        <f>IFERROR(VLOOKUP(C994,Customers!$A$2:$F$301,5,FALSE()),"")</f>
        <v>Corporate</v>
      </c>
      <c r="P994">
        <f>IFERROR(VLOOKUP(C994,Customers!$A$2:$F$301,3,FALSE()),"")</f>
        <v>37</v>
      </c>
      <c r="Q994">
        <f t="shared" si="45"/>
        <v>0.57171314741035861</v>
      </c>
      <c r="R994">
        <f>IF(AND(COUNTIF($A$2:$A$2027,A994)&gt;1,COUNTIF($A$2:A994,A994)=1),1,0)</f>
        <v>0</v>
      </c>
      <c r="S994" t="b">
        <f>IFERROR(VLOOKUP(D994,Products!$A$2:$F$61,6,FALSE()),"")</f>
        <v>0</v>
      </c>
      <c r="T994" t="str">
        <f>IF(COUNTIF(Customers!$A$2:$A$301,C994)=0,"Missing","OK")</f>
        <v>OK</v>
      </c>
      <c r="U994" t="str">
        <f t="shared" si="46"/>
        <v>Pune</v>
      </c>
      <c r="V994">
        <f t="shared" si="47"/>
        <v>0</v>
      </c>
    </row>
    <row r="995" spans="1:22" ht="15" customHeight="1" x14ac:dyDescent="0.35">
      <c r="A995" s="3" t="s">
        <v>1415</v>
      </c>
      <c r="B995" s="4">
        <v>45367</v>
      </c>
      <c r="C995" s="3" t="s">
        <v>582</v>
      </c>
      <c r="D995" s="3" t="s">
        <v>215</v>
      </c>
      <c r="E995" s="3" t="s">
        <v>143</v>
      </c>
      <c r="F995" s="5">
        <v>1</v>
      </c>
      <c r="G995" s="5">
        <v>3020</v>
      </c>
      <c r="H995" s="5">
        <v>26.7</v>
      </c>
      <c r="I995" s="5">
        <v>2213.66</v>
      </c>
      <c r="J995" s="3" t="s">
        <v>26</v>
      </c>
      <c r="K995" s="3" t="s">
        <v>51</v>
      </c>
      <c r="L995" t="str">
        <f>IFERROR(VLOOKUP(D995,Products!$A$2:$F$61,3,FALSE()),"")</f>
        <v>Beauty</v>
      </c>
      <c r="M995" t="str">
        <f>IFERROR(VLOOKUP(E995,Sales_Reps!$A$2:$C$31,3,FALSE()),"")</f>
        <v>South</v>
      </c>
      <c r="N995">
        <f>IFERROR(VLOOKUP(D995,Products!$A$2:$F$61,4,FALSE()),"")</f>
        <v>1626</v>
      </c>
      <c r="O995" t="str">
        <f>IFERROR(VLOOKUP(C995,Customers!$A$2:$F$301,5,FALSE()),"")</f>
        <v>SMB</v>
      </c>
      <c r="P995">
        <f>IFERROR(VLOOKUP(C995,Customers!$A$2:$F$301,3,FALSE()),"")</f>
        <v>27</v>
      </c>
      <c r="Q995">
        <f t="shared" si="45"/>
        <v>0.46158940397350995</v>
      </c>
      <c r="R995">
        <f>IF(AND(COUNTIF($A$2:$A$2027,A995)&gt;1,COUNTIF($A$2:A995,A995)=1),1,0)</f>
        <v>0</v>
      </c>
      <c r="S995" t="b">
        <f>IFERROR(VLOOKUP(D995,Products!$A$2:$F$61,6,FALSE()),"")</f>
        <v>1</v>
      </c>
      <c r="T995" t="str">
        <f>IF(COUNTIF(Customers!$A$2:$A$301,C995)=0,"Missing","OK")</f>
        <v>OK</v>
      </c>
      <c r="U995" t="str">
        <f t="shared" si="46"/>
        <v>Mumbai</v>
      </c>
      <c r="V995">
        <f t="shared" si="47"/>
        <v>0</v>
      </c>
    </row>
    <row r="996" spans="1:22" ht="15" customHeight="1" x14ac:dyDescent="0.35">
      <c r="A996" s="3" t="s">
        <v>1416</v>
      </c>
      <c r="B996" s="4">
        <v>45313</v>
      </c>
      <c r="C996" s="3" t="s">
        <v>498</v>
      </c>
      <c r="D996" s="3" t="s">
        <v>86</v>
      </c>
      <c r="E996" s="3" t="s">
        <v>264</v>
      </c>
      <c r="F996" s="5">
        <v>6</v>
      </c>
      <c r="G996" s="5">
        <v>190</v>
      </c>
      <c r="H996" s="5">
        <v>7.1</v>
      </c>
      <c r="I996" s="5">
        <v>1059.06</v>
      </c>
      <c r="J996" s="3" t="s">
        <v>26</v>
      </c>
      <c r="K996" s="3" t="s">
        <v>27</v>
      </c>
      <c r="L996" t="str">
        <f>IFERROR(VLOOKUP(D996,Products!$A$2:$F$61,3,FALSE()),"")</f>
        <v>Sports</v>
      </c>
      <c r="M996" t="str">
        <f>IFERROR(VLOOKUP(E996,Sales_Reps!$A$2:$C$31,3,FALSE()),"")</f>
        <v>South</v>
      </c>
      <c r="N996">
        <f>IFERROR(VLOOKUP(D996,Products!$A$2:$F$61,4,FALSE()),"")</f>
        <v>147</v>
      </c>
      <c r="O996" t="str">
        <f>IFERROR(VLOOKUP(C996,Customers!$A$2:$F$301,5,FALSE()),"")</f>
        <v>Retail</v>
      </c>
      <c r="P996">
        <f>IFERROR(VLOOKUP(C996,Customers!$A$2:$F$301,3,FALSE()),"")</f>
        <v>62</v>
      </c>
      <c r="Q996">
        <f t="shared" si="45"/>
        <v>0.22631578947368422</v>
      </c>
      <c r="R996">
        <f>IF(AND(COUNTIF($A$2:$A$2027,A996)&gt;1,COUNTIF($A$2:A996,A996)=1),1,0)</f>
        <v>0</v>
      </c>
      <c r="S996" t="b">
        <f>IFERROR(VLOOKUP(D996,Products!$A$2:$F$61,6,FALSE()),"")</f>
        <v>1</v>
      </c>
      <c r="T996" t="str">
        <f>IF(COUNTIF(Customers!$A$2:$A$301,C996)=0,"Missing","OK")</f>
        <v>OK</v>
      </c>
      <c r="U996" t="str">
        <f t="shared" si="46"/>
        <v>Pune</v>
      </c>
      <c r="V996">
        <f t="shared" si="47"/>
        <v>0</v>
      </c>
    </row>
    <row r="997" spans="1:22" ht="15" customHeight="1" x14ac:dyDescent="0.35">
      <c r="A997" s="3" t="s">
        <v>1417</v>
      </c>
      <c r="B997" s="4">
        <v>45529</v>
      </c>
      <c r="C997" s="3" t="s">
        <v>1130</v>
      </c>
      <c r="D997" s="3" t="s">
        <v>234</v>
      </c>
      <c r="E997" s="3" t="s">
        <v>236</v>
      </c>
      <c r="F997" s="5">
        <v>6</v>
      </c>
      <c r="G997" s="5">
        <v>2030</v>
      </c>
      <c r="H997" s="5">
        <v>13.5</v>
      </c>
      <c r="I997" s="5">
        <v>10535.7</v>
      </c>
      <c r="J997" s="3" t="s">
        <v>79</v>
      </c>
      <c r="K997" s="3" t="s">
        <v>56</v>
      </c>
      <c r="L997" t="str">
        <f>IFERROR(VLOOKUP(D997,Products!$A$2:$F$61,3,FALSE()),"")</f>
        <v>Home</v>
      </c>
      <c r="M997" t="str">
        <f>IFERROR(VLOOKUP(E997,Sales_Reps!$A$2:$C$31,3,FALSE()),"")</f>
        <v>North</v>
      </c>
      <c r="N997">
        <f>IFERROR(VLOOKUP(D997,Products!$A$2:$F$61,4,FALSE()),"")</f>
        <v>1143</v>
      </c>
      <c r="O997" t="str">
        <f>IFERROR(VLOOKUP(C997,Customers!$A$2:$F$301,5,FALSE()),"")</f>
        <v>Retail</v>
      </c>
      <c r="P997">
        <f>IFERROR(VLOOKUP(C997,Customers!$A$2:$F$301,3,FALSE()),"")</f>
        <v>36</v>
      </c>
      <c r="Q997">
        <f t="shared" si="45"/>
        <v>0.43694581280788175</v>
      </c>
      <c r="R997">
        <f>IF(AND(COUNTIF($A$2:$A$2027,A997)&gt;1,COUNTIF($A$2:A997,A997)=1),1,0)</f>
        <v>0</v>
      </c>
      <c r="S997" t="b">
        <f>IFERROR(VLOOKUP(D997,Products!$A$2:$F$61,6,FALSE()),"")</f>
        <v>1</v>
      </c>
      <c r="T997" t="str">
        <f>IF(COUNTIF(Customers!$A$2:$A$301,C997)=0,"Missing","OK")</f>
        <v>OK</v>
      </c>
      <c r="U997" t="str">
        <f t="shared" si="46"/>
        <v>Bengaluru</v>
      </c>
      <c r="V997">
        <f t="shared" si="47"/>
        <v>0</v>
      </c>
    </row>
    <row r="998" spans="1:22" ht="15" customHeight="1" x14ac:dyDescent="0.35">
      <c r="A998" s="3" t="s">
        <v>1418</v>
      </c>
      <c r="B998" s="4">
        <v>45547</v>
      </c>
      <c r="C998" s="3" t="s">
        <v>767</v>
      </c>
      <c r="D998" s="3" t="s">
        <v>82</v>
      </c>
      <c r="E998" s="3" t="s">
        <v>264</v>
      </c>
      <c r="F998" s="5">
        <v>10</v>
      </c>
      <c r="G998" s="5">
        <v>3250</v>
      </c>
      <c r="H998" s="5">
        <v>8.6999999999999993</v>
      </c>
      <c r="I998" s="5">
        <v>29672.5</v>
      </c>
      <c r="J998" s="3" t="s">
        <v>26</v>
      </c>
      <c r="K998" s="3" t="s">
        <v>72</v>
      </c>
      <c r="L998" t="str">
        <f>IFERROR(VLOOKUP(D998,Products!$A$2:$F$61,3,FALSE()),"")</f>
        <v>Home</v>
      </c>
      <c r="M998" t="str">
        <f>IFERROR(VLOOKUP(E998,Sales_Reps!$A$2:$C$31,3,FALSE()),"")</f>
        <v>South</v>
      </c>
      <c r="N998">
        <f>IFERROR(VLOOKUP(D998,Products!$A$2:$F$61,4,FALSE()),"")</f>
        <v>1556</v>
      </c>
      <c r="O998" t="str">
        <f>IFERROR(VLOOKUP(C998,Customers!$A$2:$F$301,5,FALSE()),"")</f>
        <v>Retail</v>
      </c>
      <c r="P998">
        <f>IFERROR(VLOOKUP(C998,Customers!$A$2:$F$301,3,FALSE()),"")</f>
        <v>52</v>
      </c>
      <c r="Q998">
        <f t="shared" si="45"/>
        <v>0.52123076923076928</v>
      </c>
      <c r="R998">
        <f>IF(AND(COUNTIF($A$2:$A$2027,A998)&gt;1,COUNTIF($A$2:A998,A998)=1),1,0)</f>
        <v>0</v>
      </c>
      <c r="S998" t="b">
        <f>IFERROR(VLOOKUP(D998,Products!$A$2:$F$61,6,FALSE()),"")</f>
        <v>1</v>
      </c>
      <c r="T998" t="str">
        <f>IF(COUNTIF(Customers!$A$2:$A$301,C998)=0,"Missing","OK")</f>
        <v>OK</v>
      </c>
      <c r="U998" t="str">
        <f t="shared" si="46"/>
        <v>Hyderabad</v>
      </c>
      <c r="V998">
        <f t="shared" si="47"/>
        <v>0</v>
      </c>
    </row>
    <row r="999" spans="1:22" ht="15" customHeight="1" x14ac:dyDescent="0.35">
      <c r="A999" s="3" t="s">
        <v>1419</v>
      </c>
      <c r="B999" s="4">
        <v>45299</v>
      </c>
      <c r="C999" s="3" t="s">
        <v>381</v>
      </c>
      <c r="D999" s="3" t="s">
        <v>234</v>
      </c>
      <c r="E999" s="3" t="s">
        <v>168</v>
      </c>
      <c r="F999" s="5">
        <v>9</v>
      </c>
      <c r="G999" s="5">
        <v>2030</v>
      </c>
      <c r="H999" s="5">
        <v>29.3</v>
      </c>
      <c r="I999" s="5">
        <v>12916.89</v>
      </c>
      <c r="J999" s="3" t="s">
        <v>26</v>
      </c>
      <c r="K999" s="3" t="s">
        <v>27</v>
      </c>
      <c r="L999" t="str">
        <f>IFERROR(VLOOKUP(D999,Products!$A$2:$F$61,3,FALSE()),"")</f>
        <v>Home</v>
      </c>
      <c r="M999" t="str">
        <f>IFERROR(VLOOKUP(E999,Sales_Reps!$A$2:$C$31,3,FALSE()),"")</f>
        <v>West</v>
      </c>
      <c r="N999">
        <f>IFERROR(VLOOKUP(D999,Products!$A$2:$F$61,4,FALSE()),"")</f>
        <v>1143</v>
      </c>
      <c r="O999" t="str">
        <f>IFERROR(VLOOKUP(C999,Customers!$A$2:$F$301,5,FALSE()),"")</f>
        <v>Retail</v>
      </c>
      <c r="P999">
        <f>IFERROR(VLOOKUP(C999,Customers!$A$2:$F$301,3,FALSE()),"")</f>
        <v>65</v>
      </c>
      <c r="Q999">
        <f t="shared" si="45"/>
        <v>0.43694581280788175</v>
      </c>
      <c r="R999">
        <f>IF(AND(COUNTIF($A$2:$A$2027,A999)&gt;1,COUNTIF($A$2:A999,A999)=1),1,0)</f>
        <v>0</v>
      </c>
      <c r="S999" t="b">
        <f>IFERROR(VLOOKUP(D999,Products!$A$2:$F$61,6,FALSE()),"")</f>
        <v>1</v>
      </c>
      <c r="T999" t="str">
        <f>IF(COUNTIF(Customers!$A$2:$A$301,C999)=0,"Missing","OK")</f>
        <v>OK</v>
      </c>
      <c r="U999" t="str">
        <f t="shared" si="46"/>
        <v>Pune</v>
      </c>
      <c r="V999">
        <f t="shared" si="47"/>
        <v>0</v>
      </c>
    </row>
    <row r="1000" spans="1:22" ht="15" customHeight="1" x14ac:dyDescent="0.35">
      <c r="A1000" s="3" t="s">
        <v>1420</v>
      </c>
      <c r="B1000" s="4">
        <v>45380</v>
      </c>
      <c r="C1000" s="3" t="s">
        <v>966</v>
      </c>
      <c r="D1000" s="3" t="s">
        <v>306</v>
      </c>
      <c r="E1000" s="3" t="s">
        <v>50</v>
      </c>
      <c r="F1000" s="5">
        <v>1</v>
      </c>
      <c r="G1000" s="5">
        <v>2380</v>
      </c>
      <c r="H1000" s="5">
        <v>12.9</v>
      </c>
      <c r="I1000" s="5">
        <v>2072.98</v>
      </c>
      <c r="J1000" s="3" t="s">
        <v>26</v>
      </c>
      <c r="K1000" s="3" t="s">
        <v>51</v>
      </c>
      <c r="L1000" t="str">
        <f>IFERROR(VLOOKUP(D1000,Products!$A$2:$F$61,3,FALSE()),"")</f>
        <v>Grocery</v>
      </c>
      <c r="M1000" t="str">
        <f>IFERROR(VLOOKUP(E1000,Sales_Reps!$A$2:$C$31,3,FALSE()),"")</f>
        <v>West</v>
      </c>
      <c r="N1000">
        <f>IFERROR(VLOOKUP(D1000,Products!$A$2:$F$61,4,FALSE()),"")</f>
        <v>1182</v>
      </c>
      <c r="O1000" t="str">
        <f>IFERROR(VLOOKUP(C1000,Customers!$A$2:$F$301,5,FALSE()),"")</f>
        <v>SMB</v>
      </c>
      <c r="P1000">
        <f>IFERROR(VLOOKUP(C1000,Customers!$A$2:$F$301,3,FALSE()),"")</f>
        <v>47</v>
      </c>
      <c r="Q1000">
        <f t="shared" si="45"/>
        <v>0.50336134453781511</v>
      </c>
      <c r="R1000">
        <f>IF(AND(COUNTIF($A$2:$A$2027,A1000)&gt;1,COUNTIF($A$2:A1000,A1000)=1),1,0)</f>
        <v>0</v>
      </c>
      <c r="S1000" t="b">
        <f>IFERROR(VLOOKUP(D1000,Products!$A$2:$F$61,6,FALSE()),"")</f>
        <v>1</v>
      </c>
      <c r="T1000" t="str">
        <f>IF(COUNTIF(Customers!$A$2:$A$301,C1000)=0,"Missing","OK")</f>
        <v>OK</v>
      </c>
      <c r="U1000" t="str">
        <f t="shared" si="46"/>
        <v>Mumbai</v>
      </c>
      <c r="V1000">
        <f t="shared" si="47"/>
        <v>0</v>
      </c>
    </row>
    <row r="1001" spans="1:22" ht="15" customHeight="1" x14ac:dyDescent="0.35">
      <c r="A1001" s="3" t="s">
        <v>1421</v>
      </c>
      <c r="B1001" s="4">
        <v>45521</v>
      </c>
      <c r="C1001" s="3" t="s">
        <v>478</v>
      </c>
      <c r="D1001" s="3" t="s">
        <v>391</v>
      </c>
      <c r="E1001" s="3" t="s">
        <v>55</v>
      </c>
      <c r="F1001" s="5">
        <v>10</v>
      </c>
      <c r="G1001" s="5">
        <v>3450</v>
      </c>
      <c r="H1001" s="5">
        <v>18.5</v>
      </c>
      <c r="I1001" s="5">
        <v>28117.5</v>
      </c>
      <c r="J1001" s="3" t="s">
        <v>26</v>
      </c>
      <c r="K1001" s="3" t="s">
        <v>72</v>
      </c>
      <c r="L1001" t="str">
        <f>IFERROR(VLOOKUP(D1001,Products!$A$2:$F$61,3,FALSE()),"")</f>
        <v>Apparel</v>
      </c>
      <c r="M1001" t="str">
        <f>IFERROR(VLOOKUP(E1001,Sales_Reps!$A$2:$C$31,3,FALSE()),"")</f>
        <v>West</v>
      </c>
      <c r="N1001">
        <f>IFERROR(VLOOKUP(D1001,Products!$A$2:$F$61,4,FALSE()),"")</f>
        <v>1748</v>
      </c>
      <c r="O1001" t="str">
        <f>IFERROR(VLOOKUP(C1001,Customers!$A$2:$F$301,5,FALSE()),"")</f>
        <v>Retail</v>
      </c>
      <c r="P1001">
        <f>IFERROR(VLOOKUP(C1001,Customers!$A$2:$F$301,3,FALSE()),"")</f>
        <v>38</v>
      </c>
      <c r="Q1001">
        <f t="shared" si="45"/>
        <v>0.49333333333333335</v>
      </c>
      <c r="R1001">
        <f>IF(AND(COUNTIF($A$2:$A$2027,A1001)&gt;1,COUNTIF($A$2:A1001,A1001)=1),1,0)</f>
        <v>0</v>
      </c>
      <c r="S1001" t="b">
        <f>IFERROR(VLOOKUP(D1001,Products!$A$2:$F$61,6,FALSE()),"")</f>
        <v>1</v>
      </c>
      <c r="T1001" t="str">
        <f>IF(COUNTIF(Customers!$A$2:$A$301,C1001)=0,"Missing","OK")</f>
        <v>OK</v>
      </c>
      <c r="U1001" t="str">
        <f t="shared" si="46"/>
        <v>Hyderabad</v>
      </c>
      <c r="V1001">
        <f t="shared" si="47"/>
        <v>0</v>
      </c>
    </row>
    <row r="1002" spans="1:22" ht="15" customHeight="1" x14ac:dyDescent="0.35">
      <c r="A1002" s="3" t="s">
        <v>1422</v>
      </c>
      <c r="B1002" s="4">
        <v>45500</v>
      </c>
      <c r="C1002" s="3" t="s">
        <v>217</v>
      </c>
      <c r="D1002" s="3" t="s">
        <v>45</v>
      </c>
      <c r="E1002" s="3" t="s">
        <v>236</v>
      </c>
      <c r="F1002" s="5">
        <v>10</v>
      </c>
      <c r="G1002" s="5">
        <v>3160</v>
      </c>
      <c r="H1002" s="5">
        <v>26.3</v>
      </c>
      <c r="I1002" s="5">
        <v>23289.200000000001</v>
      </c>
      <c r="J1002" s="3" t="s">
        <v>26</v>
      </c>
      <c r="K1002" s="3" t="s">
        <v>72</v>
      </c>
      <c r="L1002" t="str">
        <f>IFERROR(VLOOKUP(D1002,Products!$A$2:$F$61,3,FALSE()),"")</f>
        <v>Apparel</v>
      </c>
      <c r="M1002" t="str">
        <f>IFERROR(VLOOKUP(E1002,Sales_Reps!$A$2:$C$31,3,FALSE()),"")</f>
        <v>North</v>
      </c>
      <c r="N1002">
        <f>IFERROR(VLOOKUP(D1002,Products!$A$2:$F$61,4,FALSE()),"")</f>
        <v>1886</v>
      </c>
      <c r="O1002" t="str">
        <f>IFERROR(VLOOKUP(C1002,Customers!$A$2:$F$301,5,FALSE()),"")</f>
        <v>Corporate</v>
      </c>
      <c r="P1002">
        <f>IFERROR(VLOOKUP(C1002,Customers!$A$2:$F$301,3,FALSE()),"")</f>
        <v>29</v>
      </c>
      <c r="Q1002">
        <f t="shared" si="45"/>
        <v>0.4031645569620253</v>
      </c>
      <c r="R1002">
        <f>IF(AND(COUNTIF($A$2:$A$2027,A1002)&gt;1,COUNTIF($A$2:A1002,A1002)=1),1,0)</f>
        <v>0</v>
      </c>
      <c r="S1002" t="b">
        <f>IFERROR(VLOOKUP(D1002,Products!$A$2:$F$61,6,FALSE()),"")</f>
        <v>1</v>
      </c>
      <c r="T1002" t="str">
        <f>IF(COUNTIF(Customers!$A$2:$A$301,C1002)=0,"Missing","OK")</f>
        <v>OK</v>
      </c>
      <c r="U1002" t="str">
        <f t="shared" si="46"/>
        <v>Hyderabad</v>
      </c>
      <c r="V1002">
        <f t="shared" si="47"/>
        <v>0</v>
      </c>
    </row>
    <row r="1003" spans="1:22" ht="15" customHeight="1" x14ac:dyDescent="0.35">
      <c r="A1003" s="3" t="s">
        <v>1423</v>
      </c>
      <c r="B1003" s="4">
        <v>45531</v>
      </c>
      <c r="C1003" s="3" t="s">
        <v>292</v>
      </c>
      <c r="D1003" s="3" t="s">
        <v>63</v>
      </c>
      <c r="E1003" s="3" t="s">
        <v>140</v>
      </c>
      <c r="F1003" s="5">
        <v>10</v>
      </c>
      <c r="G1003" s="5">
        <v>5490</v>
      </c>
      <c r="H1003" s="5">
        <v>22.7</v>
      </c>
      <c r="I1003" s="5">
        <v>42437.7</v>
      </c>
      <c r="J1003" s="3" t="s">
        <v>26</v>
      </c>
      <c r="K1003" s="3" t="s">
        <v>33</v>
      </c>
      <c r="L1003" t="str">
        <f>IFERROR(VLOOKUP(D1003,Products!$A$2:$F$61,3,FALSE()),"")</f>
        <v>Home</v>
      </c>
      <c r="M1003" t="str">
        <f>IFERROR(VLOOKUP(E1003,Sales_Reps!$A$2:$C$31,3,FALSE()),"")</f>
        <v>West</v>
      </c>
      <c r="N1003">
        <f>IFERROR(VLOOKUP(D1003,Products!$A$2:$F$61,4,FALSE()),"")</f>
        <v>2549</v>
      </c>
      <c r="O1003" t="str">
        <f>IFERROR(VLOOKUP(C1003,Customers!$A$2:$F$301,5,FALSE()),"")</f>
        <v>Retail</v>
      </c>
      <c r="P1003">
        <f>IFERROR(VLOOKUP(C1003,Customers!$A$2:$F$301,3,FALSE()),"")</f>
        <v>60</v>
      </c>
      <c r="Q1003">
        <f t="shared" si="45"/>
        <v>0.53570127504553733</v>
      </c>
      <c r="R1003">
        <f>IF(AND(COUNTIF($A$2:$A$2027,A1003)&gt;1,COUNTIF($A$2:A1003,A1003)=1),1,0)</f>
        <v>0</v>
      </c>
      <c r="S1003" t="b">
        <f>IFERROR(VLOOKUP(D1003,Products!$A$2:$F$61,6,FALSE()),"")</f>
        <v>1</v>
      </c>
      <c r="T1003" t="str">
        <f>IF(COUNTIF(Customers!$A$2:$A$301,C1003)=0,"Missing","OK")</f>
        <v>OK</v>
      </c>
      <c r="U1003" t="str">
        <f t="shared" si="46"/>
        <v>Chennai</v>
      </c>
      <c r="V1003">
        <f t="shared" si="47"/>
        <v>0</v>
      </c>
    </row>
    <row r="1004" spans="1:22" ht="15" customHeight="1" x14ac:dyDescent="0.35">
      <c r="A1004" s="3" t="s">
        <v>1424</v>
      </c>
      <c r="B1004" s="4">
        <v>45563</v>
      </c>
      <c r="C1004" s="3" t="s">
        <v>639</v>
      </c>
      <c r="D1004" s="3" t="s">
        <v>134</v>
      </c>
      <c r="E1004" s="3" t="s">
        <v>42</v>
      </c>
      <c r="F1004" s="5">
        <v>8</v>
      </c>
      <c r="G1004" s="5">
        <v>2860</v>
      </c>
      <c r="H1004" s="5">
        <v>14.3</v>
      </c>
      <c r="I1004" s="5">
        <v>19608.16</v>
      </c>
      <c r="J1004" s="3" t="s">
        <v>26</v>
      </c>
      <c r="K1004" s="3" t="s">
        <v>33</v>
      </c>
      <c r="L1004" t="str">
        <f>IFERROR(VLOOKUP(D1004,Products!$A$2:$F$61,3,FALSE()),"")</f>
        <v>Sports</v>
      </c>
      <c r="M1004" t="str">
        <f>IFERROR(VLOOKUP(E1004,Sales_Reps!$A$2:$C$31,3,FALSE()),"")</f>
        <v>North</v>
      </c>
      <c r="N1004">
        <f>IFERROR(VLOOKUP(D1004,Products!$A$2:$F$61,4,FALSE()),"")</f>
        <v>2028</v>
      </c>
      <c r="O1004" t="str">
        <f>IFERROR(VLOOKUP(C1004,Customers!$A$2:$F$301,5,FALSE()),"")</f>
        <v>SMB</v>
      </c>
      <c r="P1004">
        <f>IFERROR(VLOOKUP(C1004,Customers!$A$2:$F$301,3,FALSE()),"")</f>
        <v>46</v>
      </c>
      <c r="Q1004">
        <f t="shared" si="45"/>
        <v>0.29090909090909089</v>
      </c>
      <c r="R1004">
        <f>IF(AND(COUNTIF($A$2:$A$2027,A1004)&gt;1,COUNTIF($A$2:A1004,A1004)=1),1,0)</f>
        <v>0</v>
      </c>
      <c r="S1004" t="b">
        <f>IFERROR(VLOOKUP(D1004,Products!$A$2:$F$61,6,FALSE()),"")</f>
        <v>1</v>
      </c>
      <c r="T1004" t="str">
        <f>IF(COUNTIF(Customers!$A$2:$A$301,C1004)=0,"Missing","OK")</f>
        <v>OK</v>
      </c>
      <c r="U1004" t="str">
        <f t="shared" si="46"/>
        <v>Chennai</v>
      </c>
      <c r="V1004">
        <f t="shared" si="47"/>
        <v>0</v>
      </c>
    </row>
    <row r="1005" spans="1:22" ht="15" customHeight="1" x14ac:dyDescent="0.35">
      <c r="A1005" s="3" t="s">
        <v>1425</v>
      </c>
      <c r="B1005" s="4">
        <v>45416</v>
      </c>
      <c r="C1005" s="3" t="s">
        <v>186</v>
      </c>
      <c r="D1005" s="3" t="s">
        <v>319</v>
      </c>
      <c r="E1005" s="3" t="s">
        <v>212</v>
      </c>
      <c r="F1005" s="5">
        <v>1</v>
      </c>
      <c r="G1005" s="5">
        <v>960</v>
      </c>
      <c r="H1005" s="5">
        <v>11.9</v>
      </c>
      <c r="I1005" s="5">
        <v>845.76</v>
      </c>
      <c r="J1005" s="3" t="s">
        <v>26</v>
      </c>
      <c r="K1005" s="3" t="s">
        <v>56</v>
      </c>
      <c r="L1005" t="str">
        <f>IFERROR(VLOOKUP(D1005,Products!$A$2:$F$61,3,FALSE()),"")</f>
        <v>Beauty</v>
      </c>
      <c r="M1005" t="str">
        <f>IFERROR(VLOOKUP(E1005,Sales_Reps!$A$2:$C$31,3,FALSE()),"")</f>
        <v>South</v>
      </c>
      <c r="N1005">
        <f>IFERROR(VLOOKUP(D1005,Products!$A$2:$F$61,4,FALSE()),"")</f>
        <v>675</v>
      </c>
      <c r="O1005" t="str">
        <f>IFERROR(VLOOKUP(C1005,Customers!$A$2:$F$301,5,FALSE()),"")</f>
        <v>Retail</v>
      </c>
      <c r="P1005">
        <f>IFERROR(VLOOKUP(C1005,Customers!$A$2:$F$301,3,FALSE()),"")</f>
        <v>34</v>
      </c>
      <c r="Q1005">
        <f t="shared" si="45"/>
        <v>0.296875</v>
      </c>
      <c r="R1005">
        <f>IF(AND(COUNTIF($A$2:$A$2027,A1005)&gt;1,COUNTIF($A$2:A1005,A1005)=1),1,0)</f>
        <v>0</v>
      </c>
      <c r="S1005" t="b">
        <f>IFERROR(VLOOKUP(D1005,Products!$A$2:$F$61,6,FALSE()),"")</f>
        <v>1</v>
      </c>
      <c r="T1005" t="str">
        <f>IF(COUNTIF(Customers!$A$2:$A$301,C1005)=0,"Missing","OK")</f>
        <v>OK</v>
      </c>
      <c r="U1005" t="str">
        <f t="shared" si="46"/>
        <v>Bengaluru</v>
      </c>
      <c r="V1005">
        <f t="shared" si="47"/>
        <v>0</v>
      </c>
    </row>
    <row r="1006" spans="1:22" ht="15" customHeight="1" x14ac:dyDescent="0.35">
      <c r="A1006" s="3" t="s">
        <v>1426</v>
      </c>
      <c r="B1006" s="4">
        <v>45430</v>
      </c>
      <c r="C1006" s="3" t="s">
        <v>691</v>
      </c>
      <c r="D1006" s="3" t="s">
        <v>103</v>
      </c>
      <c r="E1006" s="3" t="s">
        <v>25</v>
      </c>
      <c r="F1006" s="5">
        <v>3</v>
      </c>
      <c r="G1006" s="5">
        <v>1080</v>
      </c>
      <c r="H1006" s="5">
        <v>26</v>
      </c>
      <c r="I1006" s="5">
        <v>2397.6</v>
      </c>
      <c r="J1006" s="3" t="s">
        <v>26</v>
      </c>
      <c r="K1006" s="3" t="s">
        <v>56</v>
      </c>
      <c r="L1006" t="str">
        <f>IFERROR(VLOOKUP(D1006,Products!$A$2:$F$61,3,FALSE()),"")</f>
        <v>Home</v>
      </c>
      <c r="M1006" t="str">
        <f>IFERROR(VLOOKUP(E1006,Sales_Reps!$A$2:$C$31,3,FALSE()),"")</f>
        <v>North</v>
      </c>
      <c r="N1006">
        <f>IFERROR(VLOOKUP(D1006,Products!$A$2:$F$61,4,FALSE()),"")</f>
        <v>519</v>
      </c>
      <c r="O1006" t="str">
        <f>IFERROR(VLOOKUP(C1006,Customers!$A$2:$F$301,5,FALSE()),"")</f>
        <v>Retail</v>
      </c>
      <c r="P1006">
        <f>IFERROR(VLOOKUP(C1006,Customers!$A$2:$F$301,3,FALSE()),"")</f>
        <v>32</v>
      </c>
      <c r="Q1006">
        <f t="shared" si="45"/>
        <v>0.51944444444444449</v>
      </c>
      <c r="R1006">
        <f>IF(AND(COUNTIF($A$2:$A$2027,A1006)&gt;1,COUNTIF($A$2:A1006,A1006)=1),1,0)</f>
        <v>0</v>
      </c>
      <c r="S1006" t="b">
        <f>IFERROR(VLOOKUP(D1006,Products!$A$2:$F$61,6,FALSE()),"")</f>
        <v>1</v>
      </c>
      <c r="T1006" t="str">
        <f>IF(COUNTIF(Customers!$A$2:$A$301,C1006)=0,"Missing","OK")</f>
        <v>OK</v>
      </c>
      <c r="U1006" t="str">
        <f t="shared" si="46"/>
        <v>Bengaluru</v>
      </c>
      <c r="V1006">
        <f t="shared" si="47"/>
        <v>0</v>
      </c>
    </row>
    <row r="1007" spans="1:22" ht="15" customHeight="1" x14ac:dyDescent="0.35">
      <c r="A1007" s="3" t="s">
        <v>1427</v>
      </c>
      <c r="B1007" s="4">
        <v>45585</v>
      </c>
      <c r="C1007" s="3" t="s">
        <v>329</v>
      </c>
      <c r="D1007" s="3" t="s">
        <v>134</v>
      </c>
      <c r="E1007" s="3" t="s">
        <v>154</v>
      </c>
      <c r="F1007" s="5">
        <v>10</v>
      </c>
      <c r="G1007" s="5">
        <v>2860</v>
      </c>
      <c r="H1007" s="5">
        <v>13.1</v>
      </c>
      <c r="I1007" s="5">
        <v>24853.4</v>
      </c>
      <c r="J1007" s="3" t="s">
        <v>83</v>
      </c>
      <c r="K1007" s="3" t="s">
        <v>27</v>
      </c>
      <c r="L1007" t="str">
        <f>IFERROR(VLOOKUP(D1007,Products!$A$2:$F$61,3,FALSE()),"")</f>
        <v>Sports</v>
      </c>
      <c r="M1007" t="str">
        <f>IFERROR(VLOOKUP(E1007,Sales_Reps!$A$2:$C$31,3,FALSE()),"")</f>
        <v>North</v>
      </c>
      <c r="N1007">
        <f>IFERROR(VLOOKUP(D1007,Products!$A$2:$F$61,4,FALSE()),"")</f>
        <v>2028</v>
      </c>
      <c r="O1007" t="str">
        <f>IFERROR(VLOOKUP(C1007,Customers!$A$2:$F$301,5,FALSE()),"")</f>
        <v>SMB</v>
      </c>
      <c r="P1007">
        <f>IFERROR(VLOOKUP(C1007,Customers!$A$2:$F$301,3,FALSE()),"")</f>
        <v>54</v>
      </c>
      <c r="Q1007">
        <f t="shared" si="45"/>
        <v>0.29090909090909089</v>
      </c>
      <c r="R1007">
        <f>IF(AND(COUNTIF($A$2:$A$2027,A1007)&gt;1,COUNTIF($A$2:A1007,A1007)=1),1,0)</f>
        <v>0</v>
      </c>
      <c r="S1007" t="b">
        <f>IFERROR(VLOOKUP(D1007,Products!$A$2:$F$61,6,FALSE()),"")</f>
        <v>1</v>
      </c>
      <c r="T1007" t="str">
        <f>IF(COUNTIF(Customers!$A$2:$A$301,C1007)=0,"Missing","OK")</f>
        <v>OK</v>
      </c>
      <c r="U1007" t="str">
        <f t="shared" si="46"/>
        <v>Pune</v>
      </c>
      <c r="V1007">
        <f t="shared" si="47"/>
        <v>0</v>
      </c>
    </row>
    <row r="1008" spans="1:22" ht="15" customHeight="1" x14ac:dyDescent="0.35">
      <c r="A1008" s="3" t="s">
        <v>1428</v>
      </c>
      <c r="B1008" s="4">
        <v>45630</v>
      </c>
      <c r="C1008" s="3" t="s">
        <v>1300</v>
      </c>
      <c r="D1008" s="3" t="s">
        <v>176</v>
      </c>
      <c r="E1008" s="3" t="s">
        <v>154</v>
      </c>
      <c r="F1008" s="5">
        <v>3</v>
      </c>
      <c r="G1008" s="5">
        <v>3640</v>
      </c>
      <c r="H1008" s="5">
        <v>18.2</v>
      </c>
      <c r="I1008" s="5">
        <v>8932.56</v>
      </c>
      <c r="J1008" s="3" t="s">
        <v>26</v>
      </c>
      <c r="K1008" s="3" t="s">
        <v>33</v>
      </c>
      <c r="L1008" t="str">
        <f>IFERROR(VLOOKUP(D1008,Products!$A$2:$F$61,3,FALSE()),"")</f>
        <v>Apparel</v>
      </c>
      <c r="M1008" t="str">
        <f>IFERROR(VLOOKUP(E1008,Sales_Reps!$A$2:$C$31,3,FALSE()),"")</f>
        <v>North</v>
      </c>
      <c r="N1008">
        <f>IFERROR(VLOOKUP(D1008,Products!$A$2:$F$61,4,FALSE()),"")</f>
        <v>2611</v>
      </c>
      <c r="O1008" t="str">
        <f>IFERROR(VLOOKUP(C1008,Customers!$A$2:$F$301,5,FALSE()),"")</f>
        <v>Retail</v>
      </c>
      <c r="P1008">
        <f>IFERROR(VLOOKUP(C1008,Customers!$A$2:$F$301,3,FALSE()),"")</f>
        <v>34</v>
      </c>
      <c r="Q1008">
        <f t="shared" si="45"/>
        <v>0.28269230769230769</v>
      </c>
      <c r="R1008">
        <f>IF(AND(COUNTIF($A$2:$A$2027,A1008)&gt;1,COUNTIF($A$2:A1008,A1008)=1),1,0)</f>
        <v>0</v>
      </c>
      <c r="S1008" t="b">
        <f>IFERROR(VLOOKUP(D1008,Products!$A$2:$F$61,6,FALSE()),"")</f>
        <v>1</v>
      </c>
      <c r="T1008" t="str">
        <f>IF(COUNTIF(Customers!$A$2:$A$301,C1008)=0,"Missing","OK")</f>
        <v>OK</v>
      </c>
      <c r="U1008" t="str">
        <f t="shared" si="46"/>
        <v>Chennai</v>
      </c>
      <c r="V1008">
        <f t="shared" si="47"/>
        <v>0</v>
      </c>
    </row>
    <row r="1009" spans="1:22" ht="15" customHeight="1" x14ac:dyDescent="0.35">
      <c r="A1009" s="3" t="s">
        <v>1429</v>
      </c>
      <c r="B1009" s="4">
        <v>45405</v>
      </c>
      <c r="C1009" s="3" t="s">
        <v>145</v>
      </c>
      <c r="D1009" s="3" t="s">
        <v>112</v>
      </c>
      <c r="E1009" s="3" t="s">
        <v>242</v>
      </c>
      <c r="F1009" s="5">
        <v>3</v>
      </c>
      <c r="G1009" s="5">
        <v>2720</v>
      </c>
      <c r="H1009" s="5">
        <v>3.6</v>
      </c>
      <c r="I1009" s="5">
        <v>7866.24</v>
      </c>
      <c r="J1009" s="3" t="s">
        <v>26</v>
      </c>
      <c r="K1009" s="3" t="s">
        <v>72</v>
      </c>
      <c r="L1009" t="str">
        <f>IFERROR(VLOOKUP(D1009,Products!$A$2:$F$61,3,FALSE()),"")</f>
        <v>Apparel</v>
      </c>
      <c r="M1009" t="str">
        <f>IFERROR(VLOOKUP(E1009,Sales_Reps!$A$2:$C$31,3,FALSE()),"")</f>
        <v>East</v>
      </c>
      <c r="N1009">
        <f>IFERROR(VLOOKUP(D1009,Products!$A$2:$F$61,4,FALSE()),"")</f>
        <v>1962</v>
      </c>
      <c r="O1009" t="str">
        <f>IFERROR(VLOOKUP(C1009,Customers!$A$2:$F$301,5,FALSE()),"")</f>
        <v>SMB</v>
      </c>
      <c r="P1009">
        <f>IFERROR(VLOOKUP(C1009,Customers!$A$2:$F$301,3,FALSE()),"")</f>
        <v>40</v>
      </c>
      <c r="Q1009">
        <f t="shared" si="45"/>
        <v>0.2786764705882353</v>
      </c>
      <c r="R1009">
        <f>IF(AND(COUNTIF($A$2:$A$2027,A1009)&gt;1,COUNTIF($A$2:A1009,A1009)=1),1,0)</f>
        <v>0</v>
      </c>
      <c r="S1009" t="b">
        <f>IFERROR(VLOOKUP(D1009,Products!$A$2:$F$61,6,FALSE()),"")</f>
        <v>1</v>
      </c>
      <c r="T1009" t="str">
        <f>IF(COUNTIF(Customers!$A$2:$A$301,C1009)=0,"Missing","OK")</f>
        <v>OK</v>
      </c>
      <c r="U1009" t="str">
        <f t="shared" si="46"/>
        <v>Hyderabad</v>
      </c>
      <c r="V1009">
        <f t="shared" si="47"/>
        <v>0</v>
      </c>
    </row>
    <row r="1010" spans="1:22" ht="15" customHeight="1" x14ac:dyDescent="0.35">
      <c r="A1010" s="3" t="s">
        <v>1430</v>
      </c>
      <c r="B1010" s="4">
        <v>45630</v>
      </c>
      <c r="C1010" s="3" t="s">
        <v>476</v>
      </c>
      <c r="D1010" s="3" t="s">
        <v>70</v>
      </c>
      <c r="E1010" s="3" t="s">
        <v>46</v>
      </c>
      <c r="F1010" s="5">
        <v>4</v>
      </c>
      <c r="G1010" s="5">
        <v>2270</v>
      </c>
      <c r="H1010" s="5">
        <v>18.399999999999999</v>
      </c>
      <c r="I1010" s="5">
        <v>7409.28</v>
      </c>
      <c r="J1010" s="3" t="s">
        <v>26</v>
      </c>
      <c r="K1010" s="3" t="s">
        <v>72</v>
      </c>
      <c r="L1010" t="str">
        <f>IFERROR(VLOOKUP(D1010,Products!$A$2:$F$61,3,FALSE()),"")</f>
        <v>Grocery</v>
      </c>
      <c r="M1010" t="str">
        <f>IFERROR(VLOOKUP(E1010,Sales_Reps!$A$2:$C$31,3,FALSE()),"")</f>
        <v>North</v>
      </c>
      <c r="N1010">
        <f>IFERROR(VLOOKUP(D1010,Products!$A$2:$F$61,4,FALSE()),"")</f>
        <v>1203</v>
      </c>
      <c r="O1010" t="str">
        <f>IFERROR(VLOOKUP(C1010,Customers!$A$2:$F$301,5,FALSE()),"")</f>
        <v>SMB</v>
      </c>
      <c r="P1010">
        <f>IFERROR(VLOOKUP(C1010,Customers!$A$2:$F$301,3,FALSE()),"")</f>
        <v>48</v>
      </c>
      <c r="Q1010">
        <f t="shared" si="45"/>
        <v>0.47004405286343615</v>
      </c>
      <c r="R1010">
        <f>IF(AND(COUNTIF($A$2:$A$2027,A1010)&gt;1,COUNTIF($A$2:A1010,A1010)=1),1,0)</f>
        <v>0</v>
      </c>
      <c r="S1010" t="b">
        <f>IFERROR(VLOOKUP(D1010,Products!$A$2:$F$61,6,FALSE()),"")</f>
        <v>1</v>
      </c>
      <c r="T1010" t="str">
        <f>IF(COUNTIF(Customers!$A$2:$A$301,C1010)=0,"Missing","OK")</f>
        <v>OK</v>
      </c>
      <c r="U1010" t="str">
        <f t="shared" si="46"/>
        <v>Hyderabad</v>
      </c>
      <c r="V1010">
        <f t="shared" si="47"/>
        <v>0</v>
      </c>
    </row>
    <row r="1011" spans="1:22" ht="15" customHeight="1" x14ac:dyDescent="0.35">
      <c r="A1011" s="3" t="s">
        <v>1431</v>
      </c>
      <c r="B1011" s="4">
        <v>45483</v>
      </c>
      <c r="C1011" s="3" t="s">
        <v>1132</v>
      </c>
      <c r="D1011" s="3" t="s">
        <v>206</v>
      </c>
      <c r="E1011" s="3" t="s">
        <v>168</v>
      </c>
      <c r="F1011" s="5">
        <v>5</v>
      </c>
      <c r="G1011" s="5">
        <v>1220</v>
      </c>
      <c r="H1011" s="5">
        <v>13.9</v>
      </c>
      <c r="I1011" s="5">
        <v>5252.1</v>
      </c>
      <c r="J1011" s="3" t="s">
        <v>26</v>
      </c>
      <c r="K1011" s="3" t="s">
        <v>72</v>
      </c>
      <c r="L1011" t="str">
        <f>IFERROR(VLOOKUP(D1011,Products!$A$2:$F$61,3,FALSE()),"")</f>
        <v>Electronics</v>
      </c>
      <c r="M1011" t="str">
        <f>IFERROR(VLOOKUP(E1011,Sales_Reps!$A$2:$C$31,3,FALSE()),"")</f>
        <v>West</v>
      </c>
      <c r="N1011">
        <f>IFERROR(VLOOKUP(D1011,Products!$A$2:$F$61,4,FALSE()),"")</f>
        <v>517</v>
      </c>
      <c r="O1011" t="str">
        <f>IFERROR(VLOOKUP(C1011,Customers!$A$2:$F$301,5,FALSE()),"")</f>
        <v>SMB</v>
      </c>
      <c r="P1011">
        <f>IFERROR(VLOOKUP(C1011,Customers!$A$2:$F$301,3,FALSE()),"")</f>
        <v>25</v>
      </c>
      <c r="Q1011">
        <f t="shared" si="45"/>
        <v>0.57622950819672136</v>
      </c>
      <c r="R1011">
        <f>IF(AND(COUNTIF($A$2:$A$2027,A1011)&gt;1,COUNTIF($A$2:A1011,A1011)=1),1,0)</f>
        <v>0</v>
      </c>
      <c r="S1011" t="b">
        <f>IFERROR(VLOOKUP(D1011,Products!$A$2:$F$61,6,FALSE()),"")</f>
        <v>1</v>
      </c>
      <c r="T1011" t="str">
        <f>IF(COUNTIF(Customers!$A$2:$A$301,C1011)=0,"Missing","OK")</f>
        <v>OK</v>
      </c>
      <c r="U1011" t="str">
        <f t="shared" si="46"/>
        <v>Hyderabad</v>
      </c>
      <c r="V1011">
        <f t="shared" si="47"/>
        <v>0</v>
      </c>
    </row>
    <row r="1012" spans="1:22" ht="15" customHeight="1" x14ac:dyDescent="0.35">
      <c r="A1012" s="3" t="s">
        <v>1432</v>
      </c>
      <c r="B1012" s="4">
        <v>45530</v>
      </c>
      <c r="C1012" s="3" t="s">
        <v>238</v>
      </c>
      <c r="D1012" s="3" t="s">
        <v>74</v>
      </c>
      <c r="E1012" s="3" t="s">
        <v>127</v>
      </c>
      <c r="F1012" s="5">
        <v>8</v>
      </c>
      <c r="G1012" s="5">
        <v>2640</v>
      </c>
      <c r="H1012" s="5">
        <v>17.3</v>
      </c>
      <c r="I1012" s="5">
        <v>17466.240000000002</v>
      </c>
      <c r="J1012" s="3" t="s">
        <v>26</v>
      </c>
      <c r="K1012" s="3" t="s">
        <v>72</v>
      </c>
      <c r="L1012" t="str">
        <f>IFERROR(VLOOKUP(D1012,Products!$A$2:$F$61,3,FALSE()),"")</f>
        <v>Electronics</v>
      </c>
      <c r="M1012" t="str">
        <f>IFERROR(VLOOKUP(E1012,Sales_Reps!$A$2:$C$31,3,FALSE()),"")</f>
        <v>South</v>
      </c>
      <c r="N1012">
        <f>IFERROR(VLOOKUP(D1012,Products!$A$2:$F$61,4,FALSE()),"")</f>
        <v>1149</v>
      </c>
      <c r="O1012" t="str">
        <f>IFERROR(VLOOKUP(C1012,Customers!$A$2:$F$301,5,FALSE()),"")</f>
        <v>Retail</v>
      </c>
      <c r="P1012">
        <f>IFERROR(VLOOKUP(C1012,Customers!$A$2:$F$301,3,FALSE()),"")</f>
        <v>29</v>
      </c>
      <c r="Q1012">
        <f t="shared" si="45"/>
        <v>0.56477272727272732</v>
      </c>
      <c r="R1012">
        <f>IF(AND(COUNTIF($A$2:$A$2027,A1012)&gt;1,COUNTIF($A$2:A1012,A1012)=1),1,0)</f>
        <v>0</v>
      </c>
      <c r="S1012" t="b">
        <f>IFERROR(VLOOKUP(D1012,Products!$A$2:$F$61,6,FALSE()),"")</f>
        <v>1</v>
      </c>
      <c r="T1012" t="str">
        <f>IF(COUNTIF(Customers!$A$2:$A$301,C1012)=0,"Missing","OK")</f>
        <v>OK</v>
      </c>
      <c r="U1012" t="str">
        <f t="shared" si="46"/>
        <v>Hyderabad</v>
      </c>
      <c r="V1012">
        <f t="shared" si="47"/>
        <v>0</v>
      </c>
    </row>
    <row r="1013" spans="1:22" ht="15" customHeight="1" x14ac:dyDescent="0.35">
      <c r="A1013" s="3" t="s">
        <v>1433</v>
      </c>
      <c r="B1013" s="4">
        <v>45500</v>
      </c>
      <c r="C1013" s="3" t="s">
        <v>315</v>
      </c>
      <c r="D1013" s="3" t="s">
        <v>66</v>
      </c>
      <c r="E1013" s="3" t="s">
        <v>127</v>
      </c>
      <c r="F1013" s="5">
        <v>1</v>
      </c>
      <c r="G1013" s="5">
        <v>970</v>
      </c>
      <c r="H1013" s="5">
        <v>28</v>
      </c>
      <c r="I1013" s="5">
        <v>698.4</v>
      </c>
      <c r="J1013" s="3" t="s">
        <v>79</v>
      </c>
      <c r="K1013" s="3" t="s">
        <v>56</v>
      </c>
      <c r="L1013" t="str">
        <f>IFERROR(VLOOKUP(D1013,Products!$A$2:$F$61,3,FALSE()),"")</f>
        <v>Grocery</v>
      </c>
      <c r="M1013" t="str">
        <f>IFERROR(VLOOKUP(E1013,Sales_Reps!$A$2:$C$31,3,FALSE()),"")</f>
        <v>South</v>
      </c>
      <c r="N1013">
        <f>IFERROR(VLOOKUP(D1013,Products!$A$2:$F$61,4,FALSE()),"")</f>
        <v>434</v>
      </c>
      <c r="O1013" t="str">
        <f>IFERROR(VLOOKUP(C1013,Customers!$A$2:$F$301,5,FALSE()),"")</f>
        <v>SMB</v>
      </c>
      <c r="P1013">
        <f>IFERROR(VLOOKUP(C1013,Customers!$A$2:$F$301,3,FALSE()),"")</f>
        <v>44</v>
      </c>
      <c r="Q1013">
        <f t="shared" si="45"/>
        <v>0.5525773195876289</v>
      </c>
      <c r="R1013">
        <f>IF(AND(COUNTIF($A$2:$A$2027,A1013)&gt;1,COUNTIF($A$2:A1013,A1013)=1),1,0)</f>
        <v>0</v>
      </c>
      <c r="S1013" t="b">
        <f>IFERROR(VLOOKUP(D1013,Products!$A$2:$F$61,6,FALSE()),"")</f>
        <v>1</v>
      </c>
      <c r="T1013" t="str">
        <f>IF(COUNTIF(Customers!$A$2:$A$301,C1013)=0,"Missing","OK")</f>
        <v>OK</v>
      </c>
      <c r="U1013" t="str">
        <f t="shared" si="46"/>
        <v>Bengaluru</v>
      </c>
      <c r="V1013">
        <f t="shared" si="47"/>
        <v>698.4</v>
      </c>
    </row>
    <row r="1014" spans="1:22" ht="15" customHeight="1" x14ac:dyDescent="0.35">
      <c r="A1014" s="3" t="s">
        <v>1434</v>
      </c>
      <c r="B1014" s="4">
        <v>45358</v>
      </c>
      <c r="C1014" s="3" t="s">
        <v>214</v>
      </c>
      <c r="D1014" s="3" t="s">
        <v>165</v>
      </c>
      <c r="E1014" s="3" t="s">
        <v>50</v>
      </c>
      <c r="F1014" s="5">
        <v>8</v>
      </c>
      <c r="G1014" s="5">
        <v>3730</v>
      </c>
      <c r="H1014" s="5">
        <v>2.1</v>
      </c>
      <c r="I1014" s="5">
        <v>29213.360000000001</v>
      </c>
      <c r="J1014" s="3" t="s">
        <v>83</v>
      </c>
      <c r="K1014" s="3" t="s">
        <v>27</v>
      </c>
      <c r="L1014" t="str">
        <f>IFERROR(VLOOKUP(D1014,Products!$A$2:$F$61,3,FALSE()),"")</f>
        <v>Home</v>
      </c>
      <c r="M1014" t="str">
        <f>IFERROR(VLOOKUP(E1014,Sales_Reps!$A$2:$C$31,3,FALSE()),"")</f>
        <v>West</v>
      </c>
      <c r="N1014">
        <f>IFERROR(VLOOKUP(D1014,Products!$A$2:$F$61,4,FALSE()),"")</f>
        <v>2135</v>
      </c>
      <c r="O1014" t="str">
        <f>IFERROR(VLOOKUP(C1014,Customers!$A$2:$F$301,5,FALSE()),"")</f>
        <v>Retail</v>
      </c>
      <c r="P1014">
        <f>IFERROR(VLOOKUP(C1014,Customers!$A$2:$F$301,3,FALSE()),"")</f>
        <v>44</v>
      </c>
      <c r="Q1014">
        <f t="shared" si="45"/>
        <v>0.42761394101876676</v>
      </c>
      <c r="R1014">
        <f>IF(AND(COUNTIF($A$2:$A$2027,A1014)&gt;1,COUNTIF($A$2:A1014,A1014)=1),1,0)</f>
        <v>0</v>
      </c>
      <c r="S1014" t="b">
        <f>IFERROR(VLOOKUP(D1014,Products!$A$2:$F$61,6,FALSE()),"")</f>
        <v>1</v>
      </c>
      <c r="T1014" t="str">
        <f>IF(COUNTIF(Customers!$A$2:$A$301,C1014)=0,"Missing","OK")</f>
        <v>OK</v>
      </c>
      <c r="U1014" t="str">
        <f t="shared" si="46"/>
        <v>Pune</v>
      </c>
      <c r="V1014">
        <f t="shared" si="47"/>
        <v>0</v>
      </c>
    </row>
    <row r="1015" spans="1:22" ht="15" customHeight="1" x14ac:dyDescent="0.35">
      <c r="A1015" s="3" t="s">
        <v>1435</v>
      </c>
      <c r="B1015" s="4">
        <v>45598</v>
      </c>
      <c r="C1015" s="3" t="s">
        <v>724</v>
      </c>
      <c r="D1015" s="3" t="s">
        <v>66</v>
      </c>
      <c r="E1015" s="3" t="s">
        <v>55</v>
      </c>
      <c r="F1015" s="5">
        <v>7</v>
      </c>
      <c r="G1015" s="5">
        <v>970</v>
      </c>
      <c r="H1015" s="5">
        <v>25.5</v>
      </c>
      <c r="I1015" s="5">
        <v>5058.55</v>
      </c>
      <c r="J1015" s="3" t="s">
        <v>26</v>
      </c>
      <c r="K1015" s="3" t="s">
        <v>27</v>
      </c>
      <c r="L1015" t="str">
        <f>IFERROR(VLOOKUP(D1015,Products!$A$2:$F$61,3,FALSE()),"")</f>
        <v>Grocery</v>
      </c>
      <c r="M1015" t="str">
        <f>IFERROR(VLOOKUP(E1015,Sales_Reps!$A$2:$C$31,3,FALSE()),"")</f>
        <v>West</v>
      </c>
      <c r="N1015">
        <f>IFERROR(VLOOKUP(D1015,Products!$A$2:$F$61,4,FALSE()),"")</f>
        <v>434</v>
      </c>
      <c r="O1015" t="str">
        <f>IFERROR(VLOOKUP(C1015,Customers!$A$2:$F$301,5,FALSE()),"")</f>
        <v>Retail</v>
      </c>
      <c r="P1015">
        <f>IFERROR(VLOOKUP(C1015,Customers!$A$2:$F$301,3,FALSE()),"")</f>
        <v>31</v>
      </c>
      <c r="Q1015">
        <f t="shared" si="45"/>
        <v>0.5525773195876289</v>
      </c>
      <c r="R1015">
        <f>IF(AND(COUNTIF($A$2:$A$2027,A1015)&gt;1,COUNTIF($A$2:A1015,A1015)=1),1,0)</f>
        <v>0</v>
      </c>
      <c r="S1015" t="b">
        <f>IFERROR(VLOOKUP(D1015,Products!$A$2:$F$61,6,FALSE()),"")</f>
        <v>1</v>
      </c>
      <c r="T1015" t="str">
        <f>IF(COUNTIF(Customers!$A$2:$A$301,C1015)=0,"Missing","OK")</f>
        <v>OK</v>
      </c>
      <c r="U1015" t="str">
        <f t="shared" si="46"/>
        <v>Pune</v>
      </c>
      <c r="V1015">
        <f t="shared" si="47"/>
        <v>0</v>
      </c>
    </row>
    <row r="1016" spans="1:22" ht="15" customHeight="1" x14ac:dyDescent="0.35">
      <c r="A1016" s="3" t="s">
        <v>1436</v>
      </c>
      <c r="B1016" s="4">
        <v>45318</v>
      </c>
      <c r="C1016" s="3" t="s">
        <v>298</v>
      </c>
      <c r="D1016" s="3" t="s">
        <v>126</v>
      </c>
      <c r="E1016" s="3" t="s">
        <v>224</v>
      </c>
      <c r="F1016" s="5">
        <v>6</v>
      </c>
      <c r="G1016" s="5">
        <v>3570</v>
      </c>
      <c r="H1016" s="5">
        <v>9.9</v>
      </c>
      <c r="I1016" s="5">
        <v>19299.419999999998</v>
      </c>
      <c r="J1016" s="3" t="s">
        <v>26</v>
      </c>
      <c r="K1016" s="3" t="s">
        <v>38</v>
      </c>
      <c r="L1016" t="str">
        <f>IFERROR(VLOOKUP(D1016,Products!$A$2:$F$61,3,FALSE()),"")</f>
        <v>Electronics</v>
      </c>
      <c r="M1016" t="str">
        <f>IFERROR(VLOOKUP(E1016,Sales_Reps!$A$2:$C$31,3,FALSE()),"")</f>
        <v>East</v>
      </c>
      <c r="N1016">
        <f>IFERROR(VLOOKUP(D1016,Products!$A$2:$F$61,4,FALSE()),"")</f>
        <v>1665</v>
      </c>
      <c r="O1016" t="str">
        <f>IFERROR(VLOOKUP(C1016,Customers!$A$2:$F$301,5,FALSE()),"")</f>
        <v>SMB</v>
      </c>
      <c r="P1016">
        <f>IFERROR(VLOOKUP(C1016,Customers!$A$2:$F$301,3,FALSE()),"")</f>
        <v>28</v>
      </c>
      <c r="Q1016">
        <f t="shared" si="45"/>
        <v>0.53361344537815125</v>
      </c>
      <c r="R1016">
        <f>IF(AND(COUNTIF($A$2:$A$2027,A1016)&gt;1,COUNTIF($A$2:A1016,A1016)=1),1,0)</f>
        <v>0</v>
      </c>
      <c r="S1016" t="b">
        <f>IFERROR(VLOOKUP(D1016,Products!$A$2:$F$61,6,FALSE()),"")</f>
        <v>1</v>
      </c>
      <c r="T1016" t="str">
        <f>IF(COUNTIF(Customers!$A$2:$A$301,C1016)=0,"Missing","OK")</f>
        <v>OK</v>
      </c>
      <c r="U1016" t="str">
        <f t="shared" si="46"/>
        <v>Delhi</v>
      </c>
      <c r="V1016">
        <f t="shared" si="47"/>
        <v>0</v>
      </c>
    </row>
    <row r="1017" spans="1:22" ht="15" customHeight="1" x14ac:dyDescent="0.35">
      <c r="A1017" s="3" t="s">
        <v>1437</v>
      </c>
      <c r="B1017" s="4">
        <v>45524</v>
      </c>
      <c r="C1017" s="3" t="s">
        <v>1438</v>
      </c>
      <c r="D1017" s="3" t="s">
        <v>66</v>
      </c>
      <c r="E1017" s="3" t="s">
        <v>285</v>
      </c>
      <c r="F1017" s="5">
        <v>6</v>
      </c>
      <c r="G1017" s="5">
        <v>970</v>
      </c>
      <c r="H1017" s="5">
        <v>19.600000000000001</v>
      </c>
      <c r="I1017" s="5">
        <v>4679.28</v>
      </c>
      <c r="J1017" s="3" t="s">
        <v>26</v>
      </c>
      <c r="K1017" s="3" t="s">
        <v>33</v>
      </c>
      <c r="L1017" t="str">
        <f>IFERROR(VLOOKUP(D1017,Products!$A$2:$F$61,3,FALSE()),"")</f>
        <v>Grocery</v>
      </c>
      <c r="M1017" t="str">
        <f>IFERROR(VLOOKUP(E1017,Sales_Reps!$A$2:$C$31,3,FALSE()),"")</f>
        <v>South</v>
      </c>
      <c r="N1017">
        <f>IFERROR(VLOOKUP(D1017,Products!$A$2:$F$61,4,FALSE()),"")</f>
        <v>434</v>
      </c>
      <c r="O1017" t="str">
        <f>IFERROR(VLOOKUP(C1017,Customers!$A$2:$F$301,5,FALSE()),"")</f>
        <v>Retail</v>
      </c>
      <c r="P1017">
        <f>IFERROR(VLOOKUP(C1017,Customers!$A$2:$F$301,3,FALSE()),"")</f>
        <v>26</v>
      </c>
      <c r="Q1017">
        <f t="shared" si="45"/>
        <v>0.5525773195876289</v>
      </c>
      <c r="R1017">
        <f>IF(AND(COUNTIF($A$2:$A$2027,A1017)&gt;1,COUNTIF($A$2:A1017,A1017)=1),1,0)</f>
        <v>0</v>
      </c>
      <c r="S1017" t="b">
        <f>IFERROR(VLOOKUP(D1017,Products!$A$2:$F$61,6,FALSE()),"")</f>
        <v>1</v>
      </c>
      <c r="T1017" t="str">
        <f>IF(COUNTIF(Customers!$A$2:$A$301,C1017)=0,"Missing","OK")</f>
        <v>OK</v>
      </c>
      <c r="U1017" t="str">
        <f t="shared" si="46"/>
        <v>Chennai</v>
      </c>
      <c r="V1017">
        <f t="shared" si="47"/>
        <v>0</v>
      </c>
    </row>
    <row r="1018" spans="1:22" ht="15" customHeight="1" x14ac:dyDescent="0.35">
      <c r="A1018" s="3" t="s">
        <v>1439</v>
      </c>
      <c r="B1018" s="4">
        <v>45554</v>
      </c>
      <c r="C1018" s="3" t="s">
        <v>158</v>
      </c>
      <c r="D1018" s="3" t="s">
        <v>400</v>
      </c>
      <c r="E1018" s="3" t="s">
        <v>212</v>
      </c>
      <c r="F1018" s="5">
        <v>8</v>
      </c>
      <c r="G1018" s="5">
        <v>3780</v>
      </c>
      <c r="H1018" s="5">
        <v>26.5</v>
      </c>
      <c r="I1018" s="5">
        <v>22226.400000000001</v>
      </c>
      <c r="J1018" s="3" t="s">
        <v>26</v>
      </c>
      <c r="K1018" s="3" t="s">
        <v>38</v>
      </c>
      <c r="L1018" t="str">
        <f>IFERROR(VLOOKUP(D1018,Products!$A$2:$F$61,3,FALSE()),"")</f>
        <v>Sports</v>
      </c>
      <c r="M1018" t="str">
        <f>IFERROR(VLOOKUP(E1018,Sales_Reps!$A$2:$C$31,3,FALSE()),"")</f>
        <v>South</v>
      </c>
      <c r="N1018">
        <f>IFERROR(VLOOKUP(D1018,Products!$A$2:$F$61,4,FALSE()),"")</f>
        <v>1860</v>
      </c>
      <c r="O1018" t="str">
        <f>IFERROR(VLOOKUP(C1018,Customers!$A$2:$F$301,5,FALSE()),"")</f>
        <v>SMB</v>
      </c>
      <c r="P1018">
        <f>IFERROR(VLOOKUP(C1018,Customers!$A$2:$F$301,3,FALSE()),"")</f>
        <v>50</v>
      </c>
      <c r="Q1018">
        <f t="shared" si="45"/>
        <v>0.50793650793650791</v>
      </c>
      <c r="R1018">
        <f>IF(AND(COUNTIF($A$2:$A$2027,A1018)&gt;1,COUNTIF($A$2:A1018,A1018)=1),1,0)</f>
        <v>0</v>
      </c>
      <c r="S1018" t="b">
        <f>IFERROR(VLOOKUP(D1018,Products!$A$2:$F$61,6,FALSE()),"")</f>
        <v>1</v>
      </c>
      <c r="T1018" t="str">
        <f>IF(COUNTIF(Customers!$A$2:$A$301,C1018)=0,"Missing","OK")</f>
        <v>OK</v>
      </c>
      <c r="U1018" t="str">
        <f t="shared" si="46"/>
        <v>Delhi</v>
      </c>
      <c r="V1018">
        <f t="shared" si="47"/>
        <v>0</v>
      </c>
    </row>
    <row r="1019" spans="1:22" ht="15" customHeight="1" x14ac:dyDescent="0.35">
      <c r="A1019" s="3" t="s">
        <v>1440</v>
      </c>
      <c r="B1019" s="4">
        <v>45528</v>
      </c>
      <c r="C1019" s="3" t="s">
        <v>860</v>
      </c>
      <c r="D1019" s="3" t="s">
        <v>90</v>
      </c>
      <c r="E1019" s="3" t="s">
        <v>212</v>
      </c>
      <c r="F1019" s="5">
        <v>6</v>
      </c>
      <c r="G1019" s="5">
        <v>2400</v>
      </c>
      <c r="H1019" s="5">
        <v>1.4</v>
      </c>
      <c r="I1019" s="5">
        <v>14198.4</v>
      </c>
      <c r="J1019" s="3" t="s">
        <v>26</v>
      </c>
      <c r="K1019" s="3" t="s">
        <v>56</v>
      </c>
      <c r="L1019" t="str">
        <f>IFERROR(VLOOKUP(D1019,Products!$A$2:$F$61,3,FALSE()),"")</f>
        <v>Sports</v>
      </c>
      <c r="M1019" t="str">
        <f>IFERROR(VLOOKUP(E1019,Sales_Reps!$A$2:$C$31,3,FALSE()),"")</f>
        <v>South</v>
      </c>
      <c r="N1019">
        <f>IFERROR(VLOOKUP(D1019,Products!$A$2:$F$61,4,FALSE()),"")</f>
        <v>974</v>
      </c>
      <c r="O1019" t="str">
        <f>IFERROR(VLOOKUP(C1019,Customers!$A$2:$F$301,5,FALSE()),"")</f>
        <v>Retail</v>
      </c>
      <c r="P1019">
        <f>IFERROR(VLOOKUP(C1019,Customers!$A$2:$F$301,3,FALSE()),"")</f>
        <v>28</v>
      </c>
      <c r="Q1019">
        <f t="shared" si="45"/>
        <v>0.59416666666666662</v>
      </c>
      <c r="R1019">
        <f>IF(AND(COUNTIF($A$2:$A$2027,A1019)&gt;1,COUNTIF($A$2:A1019,A1019)=1),1,0)</f>
        <v>0</v>
      </c>
      <c r="S1019" t="b">
        <f>IFERROR(VLOOKUP(D1019,Products!$A$2:$F$61,6,FALSE()),"")</f>
        <v>1</v>
      </c>
      <c r="T1019" t="str">
        <f>IF(COUNTIF(Customers!$A$2:$A$301,C1019)=0,"Missing","OK")</f>
        <v>OK</v>
      </c>
      <c r="U1019" t="str">
        <f t="shared" si="46"/>
        <v>Bengaluru</v>
      </c>
      <c r="V1019">
        <f t="shared" si="47"/>
        <v>0</v>
      </c>
    </row>
    <row r="1020" spans="1:22" ht="15" customHeight="1" x14ac:dyDescent="0.35">
      <c r="A1020" s="3" t="s">
        <v>1441</v>
      </c>
      <c r="B1020" s="4">
        <v>45486</v>
      </c>
      <c r="C1020" s="3" t="s">
        <v>296</v>
      </c>
      <c r="D1020" s="3" t="s">
        <v>82</v>
      </c>
      <c r="E1020" s="3" t="s">
        <v>97</v>
      </c>
      <c r="F1020" s="5">
        <v>10</v>
      </c>
      <c r="G1020" s="5">
        <v>3250</v>
      </c>
      <c r="H1020" s="5">
        <v>19.3</v>
      </c>
      <c r="I1020" s="5">
        <v>26227.5</v>
      </c>
      <c r="J1020" s="3" t="s">
        <v>26</v>
      </c>
      <c r="K1020" s="3" t="s">
        <v>38</v>
      </c>
      <c r="L1020" t="str">
        <f>IFERROR(VLOOKUP(D1020,Products!$A$2:$F$61,3,FALSE()),"")</f>
        <v>Home</v>
      </c>
      <c r="M1020" t="str">
        <f>IFERROR(VLOOKUP(E1020,Sales_Reps!$A$2:$C$31,3,FALSE()),"")</f>
        <v>East</v>
      </c>
      <c r="N1020">
        <f>IFERROR(VLOOKUP(D1020,Products!$A$2:$F$61,4,FALSE()),"")</f>
        <v>1556</v>
      </c>
      <c r="O1020" t="str">
        <f>IFERROR(VLOOKUP(C1020,Customers!$A$2:$F$301,5,FALSE()),"")</f>
        <v>SMB</v>
      </c>
      <c r="P1020">
        <f>IFERROR(VLOOKUP(C1020,Customers!$A$2:$F$301,3,FALSE()),"")</f>
        <v>38</v>
      </c>
      <c r="Q1020">
        <f t="shared" si="45"/>
        <v>0.52123076923076928</v>
      </c>
      <c r="R1020">
        <f>IF(AND(COUNTIF($A$2:$A$2027,A1020)&gt;1,COUNTIF($A$2:A1020,A1020)=1),1,0)</f>
        <v>0</v>
      </c>
      <c r="S1020" t="b">
        <f>IFERROR(VLOOKUP(D1020,Products!$A$2:$F$61,6,FALSE()),"")</f>
        <v>1</v>
      </c>
      <c r="T1020" t="str">
        <f>IF(COUNTIF(Customers!$A$2:$A$301,C1020)=0,"Missing","OK")</f>
        <v>OK</v>
      </c>
      <c r="U1020" t="str">
        <f t="shared" si="46"/>
        <v>Delhi</v>
      </c>
      <c r="V1020">
        <f t="shared" si="47"/>
        <v>0</v>
      </c>
    </row>
    <row r="1021" spans="1:22" ht="15" customHeight="1" x14ac:dyDescent="0.35">
      <c r="A1021" s="3" t="s">
        <v>1442</v>
      </c>
      <c r="B1021" s="4">
        <v>45336</v>
      </c>
      <c r="C1021" s="3" t="s">
        <v>327</v>
      </c>
      <c r="D1021" s="3" t="s">
        <v>139</v>
      </c>
      <c r="E1021" s="3" t="s">
        <v>37</v>
      </c>
      <c r="F1021" s="5">
        <v>7</v>
      </c>
      <c r="G1021" s="5">
        <v>2760</v>
      </c>
      <c r="H1021" s="5">
        <v>23.6</v>
      </c>
      <c r="I1021" s="5">
        <v>14760.48</v>
      </c>
      <c r="J1021" s="3" t="s">
        <v>32</v>
      </c>
      <c r="K1021" s="3" t="s">
        <v>72</v>
      </c>
      <c r="L1021" t="str">
        <f>IFERROR(VLOOKUP(D1021,Products!$A$2:$F$61,3,FALSE()),"")</f>
        <v>Grocery</v>
      </c>
      <c r="M1021" t="str">
        <f>IFERROR(VLOOKUP(E1021,Sales_Reps!$A$2:$C$31,3,FALSE()),"")</f>
        <v>South</v>
      </c>
      <c r="N1021">
        <f>IFERROR(VLOOKUP(D1021,Products!$A$2:$F$61,4,FALSE()),"")</f>
        <v>1435</v>
      </c>
      <c r="O1021" t="str">
        <f>IFERROR(VLOOKUP(C1021,Customers!$A$2:$F$301,5,FALSE()),"")</f>
        <v>Retail</v>
      </c>
      <c r="P1021">
        <f>IFERROR(VLOOKUP(C1021,Customers!$A$2:$F$301,3,FALSE()),"")</f>
        <v>44</v>
      </c>
      <c r="Q1021">
        <f t="shared" si="45"/>
        <v>0.48007246376811596</v>
      </c>
      <c r="R1021">
        <f>IF(AND(COUNTIF($A$2:$A$2027,A1021)&gt;1,COUNTIF($A$2:A1021,A1021)=1),1,0)</f>
        <v>0</v>
      </c>
      <c r="S1021" t="b">
        <f>IFERROR(VLOOKUP(D1021,Products!$A$2:$F$61,6,FALSE()),"")</f>
        <v>1</v>
      </c>
      <c r="T1021" t="str">
        <f>IF(COUNTIF(Customers!$A$2:$A$301,C1021)=0,"Missing","OK")</f>
        <v>OK</v>
      </c>
      <c r="U1021" t="str">
        <f t="shared" si="46"/>
        <v>Hyderabad</v>
      </c>
      <c r="V1021">
        <f t="shared" si="47"/>
        <v>0</v>
      </c>
    </row>
    <row r="1022" spans="1:22" ht="15" customHeight="1" x14ac:dyDescent="0.35">
      <c r="A1022" s="3" t="s">
        <v>1443</v>
      </c>
      <c r="B1022" s="4">
        <v>45463</v>
      </c>
      <c r="C1022" s="3" t="s">
        <v>170</v>
      </c>
      <c r="D1022" s="3" t="s">
        <v>126</v>
      </c>
      <c r="E1022" s="3" t="s">
        <v>154</v>
      </c>
      <c r="F1022" s="5">
        <v>3</v>
      </c>
      <c r="G1022" s="5">
        <v>3570</v>
      </c>
      <c r="H1022" s="5">
        <v>26.3</v>
      </c>
      <c r="I1022" s="5">
        <v>7893.27</v>
      </c>
      <c r="J1022" s="3" t="s">
        <v>26</v>
      </c>
      <c r="K1022" s="3" t="s">
        <v>56</v>
      </c>
      <c r="L1022" t="str">
        <f>IFERROR(VLOOKUP(D1022,Products!$A$2:$F$61,3,FALSE()),"")</f>
        <v>Electronics</v>
      </c>
      <c r="M1022" t="str">
        <f>IFERROR(VLOOKUP(E1022,Sales_Reps!$A$2:$C$31,3,FALSE()),"")</f>
        <v>North</v>
      </c>
      <c r="N1022">
        <f>IFERROR(VLOOKUP(D1022,Products!$A$2:$F$61,4,FALSE()),"")</f>
        <v>1665</v>
      </c>
      <c r="O1022" t="str">
        <f>IFERROR(VLOOKUP(C1022,Customers!$A$2:$F$301,5,FALSE()),"")</f>
        <v>SMB</v>
      </c>
      <c r="P1022">
        <f>IFERROR(VLOOKUP(C1022,Customers!$A$2:$F$301,3,FALSE()),"")</f>
        <v>64</v>
      </c>
      <c r="Q1022">
        <f t="shared" si="45"/>
        <v>0.53361344537815125</v>
      </c>
      <c r="R1022">
        <f>IF(AND(COUNTIF($A$2:$A$2027,A1022)&gt;1,COUNTIF($A$2:A1022,A1022)=1),1,0)</f>
        <v>0</v>
      </c>
      <c r="S1022" t="b">
        <f>IFERROR(VLOOKUP(D1022,Products!$A$2:$F$61,6,FALSE()),"")</f>
        <v>1</v>
      </c>
      <c r="T1022" t="str">
        <f>IF(COUNTIF(Customers!$A$2:$A$301,C1022)=0,"Missing","OK")</f>
        <v>OK</v>
      </c>
      <c r="U1022" t="str">
        <f t="shared" si="46"/>
        <v>Bengaluru</v>
      </c>
      <c r="V1022">
        <f t="shared" si="47"/>
        <v>0</v>
      </c>
    </row>
    <row r="1023" spans="1:22" ht="15" customHeight="1" x14ac:dyDescent="0.35">
      <c r="A1023" s="3" t="s">
        <v>1444</v>
      </c>
      <c r="B1023" s="4">
        <v>45392</v>
      </c>
      <c r="C1023" s="3" t="s">
        <v>524</v>
      </c>
      <c r="D1023" s="3" t="s">
        <v>173</v>
      </c>
      <c r="E1023" s="3" t="s">
        <v>127</v>
      </c>
      <c r="F1023" s="5">
        <v>4</v>
      </c>
      <c r="G1023" s="5">
        <v>3780</v>
      </c>
      <c r="H1023" s="5">
        <v>10.1</v>
      </c>
      <c r="I1023" s="5">
        <v>13592.88</v>
      </c>
      <c r="J1023" s="3" t="s">
        <v>26</v>
      </c>
      <c r="K1023" s="3" t="s">
        <v>33</v>
      </c>
      <c r="L1023" t="str">
        <f>IFERROR(VLOOKUP(D1023,Products!$A$2:$F$61,3,FALSE()),"")</f>
        <v>Grocery</v>
      </c>
      <c r="M1023" t="str">
        <f>IFERROR(VLOOKUP(E1023,Sales_Reps!$A$2:$C$31,3,FALSE()),"")</f>
        <v>South</v>
      </c>
      <c r="N1023">
        <f>IFERROR(VLOOKUP(D1023,Products!$A$2:$F$61,4,FALSE()),"")</f>
        <v>2436</v>
      </c>
      <c r="O1023" t="str">
        <f>IFERROR(VLOOKUP(C1023,Customers!$A$2:$F$301,5,FALSE()),"")</f>
        <v>Retail</v>
      </c>
      <c r="P1023">
        <f>IFERROR(VLOOKUP(C1023,Customers!$A$2:$F$301,3,FALSE()),"")</f>
        <v>26</v>
      </c>
      <c r="Q1023">
        <f t="shared" si="45"/>
        <v>0.35555555555555557</v>
      </c>
      <c r="R1023">
        <f>IF(AND(COUNTIF($A$2:$A$2027,A1023)&gt;1,COUNTIF($A$2:A1023,A1023)=1),1,0)</f>
        <v>0</v>
      </c>
      <c r="S1023" t="b">
        <f>IFERROR(VLOOKUP(D1023,Products!$A$2:$F$61,6,FALSE()),"")</f>
        <v>1</v>
      </c>
      <c r="T1023" t="str">
        <f>IF(COUNTIF(Customers!$A$2:$A$301,C1023)=0,"Missing","OK")</f>
        <v>OK</v>
      </c>
      <c r="U1023" t="str">
        <f t="shared" si="46"/>
        <v>Chennai</v>
      </c>
      <c r="V1023">
        <f t="shared" si="47"/>
        <v>0</v>
      </c>
    </row>
    <row r="1024" spans="1:22" ht="15" customHeight="1" x14ac:dyDescent="0.35">
      <c r="A1024" s="3" t="s">
        <v>1445</v>
      </c>
      <c r="B1024" s="4">
        <v>45600</v>
      </c>
      <c r="C1024" s="3" t="s">
        <v>541</v>
      </c>
      <c r="D1024" s="3" t="s">
        <v>59</v>
      </c>
      <c r="E1024" s="3" t="s">
        <v>60</v>
      </c>
      <c r="F1024" s="5">
        <v>10</v>
      </c>
      <c r="G1024" s="5">
        <v>1430</v>
      </c>
      <c r="H1024" s="5">
        <v>3.7</v>
      </c>
      <c r="I1024" s="5">
        <v>13770.9</v>
      </c>
      <c r="J1024" s="3" t="s">
        <v>26</v>
      </c>
      <c r="K1024" s="3" t="s">
        <v>33</v>
      </c>
      <c r="L1024" t="str">
        <f>IFERROR(VLOOKUP(D1024,Products!$A$2:$F$61,3,FALSE()),"")</f>
        <v>Electronics</v>
      </c>
      <c r="M1024" t="str">
        <f>IFERROR(VLOOKUP(E1024,Sales_Reps!$A$2:$C$31,3,FALSE()),"")</f>
        <v>East</v>
      </c>
      <c r="N1024">
        <f>IFERROR(VLOOKUP(D1024,Products!$A$2:$F$61,4,FALSE()),"")</f>
        <v>861</v>
      </c>
      <c r="O1024" t="str">
        <f>IFERROR(VLOOKUP(C1024,Customers!$A$2:$F$301,5,FALSE()),"")</f>
        <v>Retail</v>
      </c>
      <c r="P1024">
        <f>IFERROR(VLOOKUP(C1024,Customers!$A$2:$F$301,3,FALSE()),"")</f>
        <v>61</v>
      </c>
      <c r="Q1024">
        <f t="shared" si="45"/>
        <v>0.39790209790209791</v>
      </c>
      <c r="R1024">
        <f>IF(AND(COUNTIF($A$2:$A$2027,A1024)&gt;1,COUNTIF($A$2:A1024,A1024)=1),1,0)</f>
        <v>0</v>
      </c>
      <c r="S1024" t="b">
        <f>IFERROR(VLOOKUP(D1024,Products!$A$2:$F$61,6,FALSE()),"")</f>
        <v>1</v>
      </c>
      <c r="T1024" t="str">
        <f>IF(COUNTIF(Customers!$A$2:$A$301,C1024)=0,"Missing","OK")</f>
        <v>OK</v>
      </c>
      <c r="U1024" t="str">
        <f t="shared" si="46"/>
        <v>Chennai</v>
      </c>
      <c r="V1024">
        <f t="shared" si="47"/>
        <v>0</v>
      </c>
    </row>
    <row r="1025" spans="1:22" ht="15" customHeight="1" x14ac:dyDescent="0.35">
      <c r="A1025" s="3" t="s">
        <v>1446</v>
      </c>
      <c r="B1025" s="4">
        <v>45411</v>
      </c>
      <c r="C1025" s="3" t="s">
        <v>680</v>
      </c>
      <c r="D1025" s="3" t="s">
        <v>184</v>
      </c>
      <c r="E1025" s="3" t="s">
        <v>212</v>
      </c>
      <c r="F1025" s="5">
        <v>6</v>
      </c>
      <c r="G1025" s="5">
        <v>2270</v>
      </c>
      <c r="H1025" s="5">
        <v>7.9</v>
      </c>
      <c r="I1025" s="5">
        <v>12544.02</v>
      </c>
      <c r="J1025" s="3" t="s">
        <v>83</v>
      </c>
      <c r="K1025" s="3" t="s">
        <v>72</v>
      </c>
      <c r="L1025" t="str">
        <f>IFERROR(VLOOKUP(D1025,Products!$A$2:$F$61,3,FALSE()),"")</f>
        <v>Grocery</v>
      </c>
      <c r="M1025" t="str">
        <f>IFERROR(VLOOKUP(E1025,Sales_Reps!$A$2:$C$31,3,FALSE()),"")</f>
        <v>South</v>
      </c>
      <c r="N1025">
        <f>IFERROR(VLOOKUP(D1025,Products!$A$2:$F$61,4,FALSE()),"")</f>
        <v>1412</v>
      </c>
      <c r="O1025" t="str">
        <f>IFERROR(VLOOKUP(C1025,Customers!$A$2:$F$301,5,FALSE()),"")</f>
        <v>SMB</v>
      </c>
      <c r="P1025">
        <f>IFERROR(VLOOKUP(C1025,Customers!$A$2:$F$301,3,FALSE()),"")</f>
        <v>29</v>
      </c>
      <c r="Q1025">
        <f t="shared" si="45"/>
        <v>0.37797356828193834</v>
      </c>
      <c r="R1025">
        <f>IF(AND(COUNTIF($A$2:$A$2027,A1025)&gt;1,COUNTIF($A$2:A1025,A1025)=1),1,0)</f>
        <v>0</v>
      </c>
      <c r="S1025" t="b">
        <f>IFERROR(VLOOKUP(D1025,Products!$A$2:$F$61,6,FALSE()),"")</f>
        <v>1</v>
      </c>
      <c r="T1025" t="str">
        <f>IF(COUNTIF(Customers!$A$2:$A$301,C1025)=0,"Missing","OK")</f>
        <v>OK</v>
      </c>
      <c r="U1025" t="str">
        <f t="shared" si="46"/>
        <v>Hyderabad</v>
      </c>
      <c r="V1025">
        <f t="shared" si="47"/>
        <v>0</v>
      </c>
    </row>
    <row r="1026" spans="1:22" ht="15" customHeight="1" x14ac:dyDescent="0.35">
      <c r="A1026" s="3" t="s">
        <v>1447</v>
      </c>
      <c r="B1026" s="4">
        <v>45406</v>
      </c>
      <c r="C1026" s="3" t="s">
        <v>421</v>
      </c>
      <c r="D1026" s="3" t="s">
        <v>121</v>
      </c>
      <c r="E1026" s="3" t="s">
        <v>191</v>
      </c>
      <c r="F1026" s="5">
        <v>1</v>
      </c>
      <c r="G1026" s="5">
        <v>1010</v>
      </c>
      <c r="H1026" s="5">
        <v>6.9</v>
      </c>
      <c r="I1026" s="5">
        <v>940.31</v>
      </c>
      <c r="J1026" s="3" t="s">
        <v>32</v>
      </c>
      <c r="K1026" s="3" t="s">
        <v>72</v>
      </c>
      <c r="L1026" t="str">
        <f>IFERROR(VLOOKUP(D1026,Products!$A$2:$F$61,3,FALSE()),"")</f>
        <v>Sports</v>
      </c>
      <c r="M1026" t="str">
        <f>IFERROR(VLOOKUP(E1026,Sales_Reps!$A$2:$C$31,3,FALSE()),"")</f>
        <v>South</v>
      </c>
      <c r="N1026">
        <f>IFERROR(VLOOKUP(D1026,Products!$A$2:$F$61,4,FALSE()),"")</f>
        <v>516</v>
      </c>
      <c r="O1026" t="str">
        <f>IFERROR(VLOOKUP(C1026,Customers!$A$2:$F$301,5,FALSE()),"")</f>
        <v>Corporate</v>
      </c>
      <c r="P1026">
        <f>IFERROR(VLOOKUP(C1026,Customers!$A$2:$F$301,3,FALSE()),"")</f>
        <v>52</v>
      </c>
      <c r="Q1026">
        <f t="shared" ref="Q1026:Q1089" si="48">IFERROR((G1026-N1026)/G1026,"")</f>
        <v>0.4891089108910891</v>
      </c>
      <c r="R1026">
        <f>IF(AND(COUNTIF($A$2:$A$2027,A1026)&gt;1,COUNTIF($A$2:A1026,A1026)=1),1,0)</f>
        <v>0</v>
      </c>
      <c r="S1026" t="b">
        <f>IFERROR(VLOOKUP(D1026,Products!$A$2:$F$61,6,FALSE()),"")</f>
        <v>1</v>
      </c>
      <c r="T1026" t="str">
        <f>IF(COUNTIF(Customers!$A$2:$A$301,C1026)=0,"Missing","OK")</f>
        <v>OK</v>
      </c>
      <c r="U1026" t="str">
        <f t="shared" ref="U1026:U1089" si="49">IF(K1026="","",PROPER(TRIM(K1026)))</f>
        <v>Hyderabad</v>
      </c>
      <c r="V1026">
        <f t="shared" ref="V1026:V1089" si="50">IF(AND(U1026="Bengaluru",L1026="Grocery"),I1026,0)</f>
        <v>0</v>
      </c>
    </row>
    <row r="1027" spans="1:22" ht="15" customHeight="1" x14ac:dyDescent="0.35">
      <c r="A1027" s="3" t="s">
        <v>1448</v>
      </c>
      <c r="B1027" s="4">
        <v>45411</v>
      </c>
      <c r="C1027" s="3" t="s">
        <v>114</v>
      </c>
      <c r="D1027" s="3" t="s">
        <v>134</v>
      </c>
      <c r="E1027" s="3" t="s">
        <v>37</v>
      </c>
      <c r="F1027" s="5">
        <v>2</v>
      </c>
      <c r="G1027" s="5">
        <v>2860</v>
      </c>
      <c r="H1027" s="5">
        <v>20.100000000000001</v>
      </c>
      <c r="I1027" s="5">
        <v>4570.28</v>
      </c>
      <c r="J1027" s="3" t="s">
        <v>26</v>
      </c>
      <c r="K1027" s="3" t="s">
        <v>72</v>
      </c>
      <c r="L1027" t="str">
        <f>IFERROR(VLOOKUP(D1027,Products!$A$2:$F$61,3,FALSE()),"")</f>
        <v>Sports</v>
      </c>
      <c r="M1027" t="str">
        <f>IFERROR(VLOOKUP(E1027,Sales_Reps!$A$2:$C$31,3,FALSE()),"")</f>
        <v>South</v>
      </c>
      <c r="N1027">
        <f>IFERROR(VLOOKUP(D1027,Products!$A$2:$F$61,4,FALSE()),"")</f>
        <v>2028</v>
      </c>
      <c r="O1027" t="str">
        <f>IFERROR(VLOOKUP(C1027,Customers!$A$2:$F$301,5,FALSE()),"")</f>
        <v>SMB</v>
      </c>
      <c r="P1027">
        <f>IFERROR(VLOOKUP(C1027,Customers!$A$2:$F$301,3,FALSE()),"")</f>
        <v>40</v>
      </c>
      <c r="Q1027">
        <f t="shared" si="48"/>
        <v>0.29090909090909089</v>
      </c>
      <c r="R1027">
        <f>IF(AND(COUNTIF($A$2:$A$2027,A1027)&gt;1,COUNTIF($A$2:A1027,A1027)=1),1,0)</f>
        <v>0</v>
      </c>
      <c r="S1027" t="b">
        <f>IFERROR(VLOOKUP(D1027,Products!$A$2:$F$61,6,FALSE()),"")</f>
        <v>1</v>
      </c>
      <c r="T1027" t="str">
        <f>IF(COUNTIF(Customers!$A$2:$A$301,C1027)=0,"Missing","OK")</f>
        <v>OK</v>
      </c>
      <c r="U1027" t="str">
        <f t="shared" si="49"/>
        <v>Hyderabad</v>
      </c>
      <c r="V1027">
        <f t="shared" si="50"/>
        <v>0</v>
      </c>
    </row>
    <row r="1028" spans="1:22" ht="15" customHeight="1" x14ac:dyDescent="0.35">
      <c r="A1028" s="3" t="s">
        <v>1449</v>
      </c>
      <c r="B1028" s="4">
        <v>45461</v>
      </c>
      <c r="C1028" s="3" t="s">
        <v>825</v>
      </c>
      <c r="D1028" s="3" t="s">
        <v>77</v>
      </c>
      <c r="E1028" s="3" t="s">
        <v>60</v>
      </c>
      <c r="F1028" s="5">
        <v>9</v>
      </c>
      <c r="G1028" s="5">
        <v>2600</v>
      </c>
      <c r="H1028" s="5">
        <v>15.9</v>
      </c>
      <c r="I1028" s="5">
        <v>19679.400000000001</v>
      </c>
      <c r="J1028" s="3" t="s">
        <v>79</v>
      </c>
      <c r="K1028" s="3" t="s">
        <v>33</v>
      </c>
      <c r="L1028" t="str">
        <f>IFERROR(VLOOKUP(D1028,Products!$A$2:$F$61,3,FALSE()),"")</f>
        <v>Electronics</v>
      </c>
      <c r="M1028" t="str">
        <f>IFERROR(VLOOKUP(E1028,Sales_Reps!$A$2:$C$31,3,FALSE()),"")</f>
        <v>East</v>
      </c>
      <c r="N1028">
        <f>IFERROR(VLOOKUP(D1028,Products!$A$2:$F$61,4,FALSE()),"")</f>
        <v>1052</v>
      </c>
      <c r="O1028" t="str">
        <f>IFERROR(VLOOKUP(C1028,Customers!$A$2:$F$301,5,FALSE()),"")</f>
        <v>Corporate</v>
      </c>
      <c r="P1028">
        <f>IFERROR(VLOOKUP(C1028,Customers!$A$2:$F$301,3,FALSE()),"")</f>
        <v>44</v>
      </c>
      <c r="Q1028">
        <f t="shared" si="48"/>
        <v>0.5953846153846154</v>
      </c>
      <c r="R1028">
        <f>IF(AND(COUNTIF($A$2:$A$2027,A1028)&gt;1,COUNTIF($A$2:A1028,A1028)=1),1,0)</f>
        <v>0</v>
      </c>
      <c r="S1028" t="b">
        <f>IFERROR(VLOOKUP(D1028,Products!$A$2:$F$61,6,FALSE()),"")</f>
        <v>1</v>
      </c>
      <c r="T1028" t="str">
        <f>IF(COUNTIF(Customers!$A$2:$A$301,C1028)=0,"Missing","OK")</f>
        <v>OK</v>
      </c>
      <c r="U1028" t="str">
        <f t="shared" si="49"/>
        <v>Chennai</v>
      </c>
      <c r="V1028">
        <f t="shared" si="50"/>
        <v>0</v>
      </c>
    </row>
    <row r="1029" spans="1:22" ht="15" customHeight="1" x14ac:dyDescent="0.35">
      <c r="A1029" s="3" t="s">
        <v>1450</v>
      </c>
      <c r="B1029" s="4">
        <v>45409</v>
      </c>
      <c r="C1029" s="3" t="s">
        <v>432</v>
      </c>
      <c r="D1029" s="3" t="s">
        <v>36</v>
      </c>
      <c r="E1029" s="3" t="s">
        <v>55</v>
      </c>
      <c r="F1029" s="5">
        <v>10</v>
      </c>
      <c r="G1029" s="5">
        <v>470</v>
      </c>
      <c r="H1029" s="5">
        <v>23.1</v>
      </c>
      <c r="I1029" s="5">
        <v>3614.3</v>
      </c>
      <c r="J1029" s="3" t="s">
        <v>32</v>
      </c>
      <c r="K1029" s="3" t="s">
        <v>27</v>
      </c>
      <c r="L1029" t="str">
        <f>IFERROR(VLOOKUP(D1029,Products!$A$2:$F$61,3,FALSE()),"")</f>
        <v>Sports</v>
      </c>
      <c r="M1029" t="str">
        <f>IFERROR(VLOOKUP(E1029,Sales_Reps!$A$2:$C$31,3,FALSE()),"")</f>
        <v>West</v>
      </c>
      <c r="N1029">
        <f>IFERROR(VLOOKUP(D1029,Products!$A$2:$F$61,4,FALSE()),"")</f>
        <v>302</v>
      </c>
      <c r="O1029" t="str">
        <f>IFERROR(VLOOKUP(C1029,Customers!$A$2:$F$301,5,FALSE()),"")</f>
        <v>Retail</v>
      </c>
      <c r="P1029">
        <f>IFERROR(VLOOKUP(C1029,Customers!$A$2:$F$301,3,FALSE()),"")</f>
        <v>57</v>
      </c>
      <c r="Q1029">
        <f t="shared" si="48"/>
        <v>0.35744680851063831</v>
      </c>
      <c r="R1029">
        <f>IF(AND(COUNTIF($A$2:$A$2027,A1029)&gt;1,COUNTIF($A$2:A1029,A1029)=1),1,0)</f>
        <v>0</v>
      </c>
      <c r="S1029" t="b">
        <f>IFERROR(VLOOKUP(D1029,Products!$A$2:$F$61,6,FALSE()),"")</f>
        <v>0</v>
      </c>
      <c r="T1029" t="str">
        <f>IF(COUNTIF(Customers!$A$2:$A$301,C1029)=0,"Missing","OK")</f>
        <v>OK</v>
      </c>
      <c r="U1029" t="str">
        <f t="shared" si="49"/>
        <v>Pune</v>
      </c>
      <c r="V1029">
        <f t="shared" si="50"/>
        <v>0</v>
      </c>
    </row>
    <row r="1030" spans="1:22" ht="15" customHeight="1" x14ac:dyDescent="0.35">
      <c r="A1030" s="3" t="s">
        <v>1451</v>
      </c>
      <c r="B1030" s="4">
        <v>45495</v>
      </c>
      <c r="C1030" s="3" t="s">
        <v>105</v>
      </c>
      <c r="D1030" s="3" t="s">
        <v>142</v>
      </c>
      <c r="E1030" s="3" t="s">
        <v>191</v>
      </c>
      <c r="F1030" s="5">
        <v>10</v>
      </c>
      <c r="G1030" s="5">
        <v>660</v>
      </c>
      <c r="H1030" s="5">
        <v>9.4</v>
      </c>
      <c r="I1030" s="5">
        <v>5979.6</v>
      </c>
      <c r="J1030" s="3" t="s">
        <v>26</v>
      </c>
      <c r="K1030" s="3" t="s">
        <v>72</v>
      </c>
      <c r="L1030" t="str">
        <f>IFERROR(VLOOKUP(D1030,Products!$A$2:$F$61,3,FALSE()),"")</f>
        <v>Home</v>
      </c>
      <c r="M1030" t="str">
        <f>IFERROR(VLOOKUP(E1030,Sales_Reps!$A$2:$C$31,3,FALSE()),"")</f>
        <v>South</v>
      </c>
      <c r="N1030">
        <f>IFERROR(VLOOKUP(D1030,Products!$A$2:$F$61,4,FALSE()),"")</f>
        <v>329</v>
      </c>
      <c r="O1030" t="str">
        <f>IFERROR(VLOOKUP(C1030,Customers!$A$2:$F$301,5,FALSE()),"")</f>
        <v>Retail</v>
      </c>
      <c r="P1030">
        <f>IFERROR(VLOOKUP(C1030,Customers!$A$2:$F$301,3,FALSE()),"")</f>
        <v>32</v>
      </c>
      <c r="Q1030">
        <f t="shared" si="48"/>
        <v>0.50151515151515147</v>
      </c>
      <c r="R1030">
        <f>IF(AND(COUNTIF($A$2:$A$2027,A1030)&gt;1,COUNTIF($A$2:A1030,A1030)=1),1,0)</f>
        <v>0</v>
      </c>
      <c r="S1030" t="b">
        <f>IFERROR(VLOOKUP(D1030,Products!$A$2:$F$61,6,FALSE()),"")</f>
        <v>1</v>
      </c>
      <c r="T1030" t="str">
        <f>IF(COUNTIF(Customers!$A$2:$A$301,C1030)=0,"Missing","OK")</f>
        <v>OK</v>
      </c>
      <c r="U1030" t="str">
        <f t="shared" si="49"/>
        <v>Hyderabad</v>
      </c>
      <c r="V1030">
        <f t="shared" si="50"/>
        <v>0</v>
      </c>
    </row>
    <row r="1031" spans="1:22" ht="15" customHeight="1" x14ac:dyDescent="0.35">
      <c r="A1031" s="3" t="s">
        <v>1452</v>
      </c>
      <c r="B1031" s="4">
        <v>45307</v>
      </c>
      <c r="C1031" s="3" t="s">
        <v>418</v>
      </c>
      <c r="D1031" s="3" t="s">
        <v>206</v>
      </c>
      <c r="E1031" s="3" t="s">
        <v>93</v>
      </c>
      <c r="F1031" s="5">
        <v>5</v>
      </c>
      <c r="G1031" s="5">
        <v>1220</v>
      </c>
      <c r="H1031" s="5">
        <v>23.3</v>
      </c>
      <c r="I1031" s="5">
        <v>4678.7</v>
      </c>
      <c r="J1031" s="3" t="s">
        <v>26</v>
      </c>
      <c r="K1031" s="3" t="s">
        <v>27</v>
      </c>
      <c r="L1031" t="str">
        <f>IFERROR(VLOOKUP(D1031,Products!$A$2:$F$61,3,FALSE()),"")</f>
        <v>Electronics</v>
      </c>
      <c r="M1031" t="str">
        <f>IFERROR(VLOOKUP(E1031,Sales_Reps!$A$2:$C$31,3,FALSE()),"")</f>
        <v>East</v>
      </c>
      <c r="N1031">
        <f>IFERROR(VLOOKUP(D1031,Products!$A$2:$F$61,4,FALSE()),"")</f>
        <v>517</v>
      </c>
      <c r="O1031" t="str">
        <f>IFERROR(VLOOKUP(C1031,Customers!$A$2:$F$301,5,FALSE()),"")</f>
        <v>SMB</v>
      </c>
      <c r="P1031">
        <f>IFERROR(VLOOKUP(C1031,Customers!$A$2:$F$301,3,FALSE()),"")</f>
        <v>49</v>
      </c>
      <c r="Q1031">
        <f t="shared" si="48"/>
        <v>0.57622950819672136</v>
      </c>
      <c r="R1031">
        <f>IF(AND(COUNTIF($A$2:$A$2027,A1031)&gt;1,COUNTIF($A$2:A1031,A1031)=1),1,0)</f>
        <v>0</v>
      </c>
      <c r="S1031" t="b">
        <f>IFERROR(VLOOKUP(D1031,Products!$A$2:$F$61,6,FALSE()),"")</f>
        <v>1</v>
      </c>
      <c r="T1031" t="str">
        <f>IF(COUNTIF(Customers!$A$2:$A$301,C1031)=0,"Missing","OK")</f>
        <v>OK</v>
      </c>
      <c r="U1031" t="str">
        <f t="shared" si="49"/>
        <v>Pune</v>
      </c>
      <c r="V1031">
        <f t="shared" si="50"/>
        <v>0</v>
      </c>
    </row>
    <row r="1032" spans="1:22" ht="15" customHeight="1" x14ac:dyDescent="0.35">
      <c r="A1032" s="3" t="s">
        <v>1453</v>
      </c>
      <c r="B1032" s="4">
        <v>45294</v>
      </c>
      <c r="C1032" s="3" t="s">
        <v>534</v>
      </c>
      <c r="D1032" s="3" t="s">
        <v>82</v>
      </c>
      <c r="E1032" s="3" t="s">
        <v>212</v>
      </c>
      <c r="F1032" s="5">
        <v>9</v>
      </c>
      <c r="G1032" s="5">
        <v>3250</v>
      </c>
      <c r="H1032" s="5">
        <v>19.600000000000001</v>
      </c>
      <c r="I1032" s="5">
        <v>23517</v>
      </c>
      <c r="J1032" s="3" t="s">
        <v>32</v>
      </c>
      <c r="K1032" s="3" t="s">
        <v>38</v>
      </c>
      <c r="L1032" t="str">
        <f>IFERROR(VLOOKUP(D1032,Products!$A$2:$F$61,3,FALSE()),"")</f>
        <v>Home</v>
      </c>
      <c r="M1032" t="str">
        <f>IFERROR(VLOOKUP(E1032,Sales_Reps!$A$2:$C$31,3,FALSE()),"")</f>
        <v>South</v>
      </c>
      <c r="N1032">
        <f>IFERROR(VLOOKUP(D1032,Products!$A$2:$F$61,4,FALSE()),"")</f>
        <v>1556</v>
      </c>
      <c r="O1032" t="str">
        <f>IFERROR(VLOOKUP(C1032,Customers!$A$2:$F$301,5,FALSE()),"")</f>
        <v>SMB</v>
      </c>
      <c r="P1032">
        <f>IFERROR(VLOOKUP(C1032,Customers!$A$2:$F$301,3,FALSE()),"")</f>
        <v>48</v>
      </c>
      <c r="Q1032">
        <f t="shared" si="48"/>
        <v>0.52123076923076928</v>
      </c>
      <c r="R1032">
        <f>IF(AND(COUNTIF($A$2:$A$2027,A1032)&gt;1,COUNTIF($A$2:A1032,A1032)=1),1,0)</f>
        <v>0</v>
      </c>
      <c r="S1032" t="b">
        <f>IFERROR(VLOOKUP(D1032,Products!$A$2:$F$61,6,FALSE()),"")</f>
        <v>1</v>
      </c>
      <c r="T1032" t="str">
        <f>IF(COUNTIF(Customers!$A$2:$A$301,C1032)=0,"Missing","OK")</f>
        <v>OK</v>
      </c>
      <c r="U1032" t="str">
        <f t="shared" si="49"/>
        <v>Delhi</v>
      </c>
      <c r="V1032">
        <f t="shared" si="50"/>
        <v>0</v>
      </c>
    </row>
    <row r="1033" spans="1:22" ht="15" customHeight="1" x14ac:dyDescent="0.35">
      <c r="A1033" s="3" t="s">
        <v>1454</v>
      </c>
      <c r="B1033" s="4">
        <v>45542</v>
      </c>
      <c r="C1033" s="3" t="s">
        <v>1130</v>
      </c>
      <c r="D1033" s="3" t="s">
        <v>231</v>
      </c>
      <c r="E1033" s="3" t="s">
        <v>242</v>
      </c>
      <c r="F1033" s="5">
        <v>7</v>
      </c>
      <c r="G1033" s="5">
        <v>620</v>
      </c>
      <c r="H1033" s="5">
        <v>29</v>
      </c>
      <c r="I1033" s="5">
        <v>3081.4</v>
      </c>
      <c r="J1033" s="3" t="s">
        <v>26</v>
      </c>
      <c r="K1033" s="3" t="s">
        <v>56</v>
      </c>
      <c r="L1033" t="str">
        <f>IFERROR(VLOOKUP(D1033,Products!$A$2:$F$61,3,FALSE()),"")</f>
        <v>Apparel</v>
      </c>
      <c r="M1033" t="str">
        <f>IFERROR(VLOOKUP(E1033,Sales_Reps!$A$2:$C$31,3,FALSE()),"")</f>
        <v>East</v>
      </c>
      <c r="N1033">
        <f>IFERROR(VLOOKUP(D1033,Products!$A$2:$F$61,4,FALSE()),"")</f>
        <v>396</v>
      </c>
      <c r="O1033" t="str">
        <f>IFERROR(VLOOKUP(C1033,Customers!$A$2:$F$301,5,FALSE()),"")</f>
        <v>Retail</v>
      </c>
      <c r="P1033">
        <f>IFERROR(VLOOKUP(C1033,Customers!$A$2:$F$301,3,FALSE()),"")</f>
        <v>36</v>
      </c>
      <c r="Q1033">
        <f t="shared" si="48"/>
        <v>0.36129032258064514</v>
      </c>
      <c r="R1033">
        <f>IF(AND(COUNTIF($A$2:$A$2027,A1033)&gt;1,COUNTIF($A$2:A1033,A1033)=1),1,0)</f>
        <v>0</v>
      </c>
      <c r="S1033" t="b">
        <f>IFERROR(VLOOKUP(D1033,Products!$A$2:$F$61,6,FALSE()),"")</f>
        <v>1</v>
      </c>
      <c r="T1033" t="str">
        <f>IF(COUNTIF(Customers!$A$2:$A$301,C1033)=0,"Missing","OK")</f>
        <v>OK</v>
      </c>
      <c r="U1033" t="str">
        <f t="shared" si="49"/>
        <v>Bengaluru</v>
      </c>
      <c r="V1033">
        <f t="shared" si="50"/>
        <v>0</v>
      </c>
    </row>
    <row r="1034" spans="1:22" ht="15" customHeight="1" x14ac:dyDescent="0.35">
      <c r="A1034" s="3" t="s">
        <v>1455</v>
      </c>
      <c r="B1034" s="4">
        <v>45453</v>
      </c>
      <c r="C1034" s="3" t="s">
        <v>102</v>
      </c>
      <c r="D1034" s="3" t="s">
        <v>203</v>
      </c>
      <c r="E1034" s="3" t="s">
        <v>42</v>
      </c>
      <c r="F1034" s="5">
        <v>9</v>
      </c>
      <c r="G1034" s="5">
        <v>4070</v>
      </c>
      <c r="H1034" s="5">
        <v>16.2</v>
      </c>
      <c r="I1034" s="5">
        <v>30695.94</v>
      </c>
      <c r="J1034" s="3" t="s">
        <v>26</v>
      </c>
      <c r="K1034" s="3" t="s">
        <v>33</v>
      </c>
      <c r="L1034" t="str">
        <f>IFERROR(VLOOKUP(D1034,Products!$A$2:$F$61,3,FALSE()),"")</f>
        <v>Grocery</v>
      </c>
      <c r="M1034" t="str">
        <f>IFERROR(VLOOKUP(E1034,Sales_Reps!$A$2:$C$31,3,FALSE()),"")</f>
        <v>North</v>
      </c>
      <c r="N1034">
        <f>IFERROR(VLOOKUP(D1034,Products!$A$2:$F$61,4,FALSE()),"")</f>
        <v>2027</v>
      </c>
      <c r="O1034" t="str">
        <f>IFERROR(VLOOKUP(C1034,Customers!$A$2:$F$301,5,FALSE()),"")</f>
        <v>Retail</v>
      </c>
      <c r="P1034">
        <f>IFERROR(VLOOKUP(C1034,Customers!$A$2:$F$301,3,FALSE()),"")</f>
        <v>49</v>
      </c>
      <c r="Q1034">
        <f t="shared" si="48"/>
        <v>0.50196560196560192</v>
      </c>
      <c r="R1034">
        <f>IF(AND(COUNTIF($A$2:$A$2027,A1034)&gt;1,COUNTIF($A$2:A1034,A1034)=1),1,0)</f>
        <v>0</v>
      </c>
      <c r="S1034" t="b">
        <f>IFERROR(VLOOKUP(D1034,Products!$A$2:$F$61,6,FALSE()),"")</f>
        <v>1</v>
      </c>
      <c r="T1034" t="str">
        <f>IF(COUNTIF(Customers!$A$2:$A$301,C1034)=0,"Missing","OK")</f>
        <v>OK</v>
      </c>
      <c r="U1034" t="str">
        <f t="shared" si="49"/>
        <v>Chennai</v>
      </c>
      <c r="V1034">
        <f t="shared" si="50"/>
        <v>0</v>
      </c>
    </row>
    <row r="1035" spans="1:22" ht="15" customHeight="1" x14ac:dyDescent="0.35">
      <c r="A1035" s="3" t="s">
        <v>1456</v>
      </c>
      <c r="B1035" s="4">
        <v>45351</v>
      </c>
      <c r="C1035" s="3" t="s">
        <v>939</v>
      </c>
      <c r="D1035" s="3" t="s">
        <v>45</v>
      </c>
      <c r="E1035" s="3" t="s">
        <v>25</v>
      </c>
      <c r="F1035" s="5">
        <v>8</v>
      </c>
      <c r="G1035" s="5">
        <v>3160</v>
      </c>
      <c r="H1035" s="5">
        <v>23.8</v>
      </c>
      <c r="I1035" s="5">
        <v>19263.36</v>
      </c>
      <c r="J1035" s="3" t="s">
        <v>26</v>
      </c>
      <c r="K1035" s="3" t="s">
        <v>56</v>
      </c>
      <c r="L1035" t="str">
        <f>IFERROR(VLOOKUP(D1035,Products!$A$2:$F$61,3,FALSE()),"")</f>
        <v>Apparel</v>
      </c>
      <c r="M1035" t="str">
        <f>IFERROR(VLOOKUP(E1035,Sales_Reps!$A$2:$C$31,3,FALSE()),"")</f>
        <v>North</v>
      </c>
      <c r="N1035">
        <f>IFERROR(VLOOKUP(D1035,Products!$A$2:$F$61,4,FALSE()),"")</f>
        <v>1886</v>
      </c>
      <c r="O1035" t="str">
        <f>IFERROR(VLOOKUP(C1035,Customers!$A$2:$F$301,5,FALSE()),"")</f>
        <v>Retail</v>
      </c>
      <c r="P1035">
        <f>IFERROR(VLOOKUP(C1035,Customers!$A$2:$F$301,3,FALSE()),"")</f>
        <v>27</v>
      </c>
      <c r="Q1035">
        <f t="shared" si="48"/>
        <v>0.4031645569620253</v>
      </c>
      <c r="R1035">
        <f>IF(AND(COUNTIF($A$2:$A$2027,A1035)&gt;1,COUNTIF($A$2:A1035,A1035)=1),1,0)</f>
        <v>0</v>
      </c>
      <c r="S1035" t="b">
        <f>IFERROR(VLOOKUP(D1035,Products!$A$2:$F$61,6,FALSE()),"")</f>
        <v>1</v>
      </c>
      <c r="T1035" t="str">
        <f>IF(COUNTIF(Customers!$A$2:$A$301,C1035)=0,"Missing","OK")</f>
        <v>OK</v>
      </c>
      <c r="U1035" t="str">
        <f t="shared" si="49"/>
        <v>Bengaluru</v>
      </c>
      <c r="V1035">
        <f t="shared" si="50"/>
        <v>0</v>
      </c>
    </row>
    <row r="1036" spans="1:22" ht="15" customHeight="1" x14ac:dyDescent="0.35">
      <c r="A1036" s="3" t="s">
        <v>1457</v>
      </c>
      <c r="B1036" s="4">
        <v>45422</v>
      </c>
      <c r="C1036" s="3" t="s">
        <v>44</v>
      </c>
      <c r="D1036" s="3" t="s">
        <v>277</v>
      </c>
      <c r="E1036" s="3" t="s">
        <v>224</v>
      </c>
      <c r="F1036" s="5">
        <v>3</v>
      </c>
      <c r="G1036" s="5">
        <v>2210</v>
      </c>
      <c r="H1036" s="5">
        <v>29.7</v>
      </c>
      <c r="I1036" s="5">
        <v>4660.8900000000003</v>
      </c>
      <c r="J1036" s="3" t="s">
        <v>26</v>
      </c>
      <c r="K1036" s="3" t="s">
        <v>33</v>
      </c>
      <c r="L1036" t="str">
        <f>IFERROR(VLOOKUP(D1036,Products!$A$2:$F$61,3,FALSE()),"")</f>
        <v>Grocery</v>
      </c>
      <c r="M1036" t="str">
        <f>IFERROR(VLOOKUP(E1036,Sales_Reps!$A$2:$C$31,3,FALSE()),"")</f>
        <v>East</v>
      </c>
      <c r="N1036">
        <f>IFERROR(VLOOKUP(D1036,Products!$A$2:$F$61,4,FALSE()),"")</f>
        <v>1010</v>
      </c>
      <c r="O1036" t="str">
        <f>IFERROR(VLOOKUP(C1036,Customers!$A$2:$F$301,5,FALSE()),"")</f>
        <v>Retail</v>
      </c>
      <c r="P1036">
        <f>IFERROR(VLOOKUP(C1036,Customers!$A$2:$F$301,3,FALSE()),"")</f>
        <v>36</v>
      </c>
      <c r="Q1036">
        <f t="shared" si="48"/>
        <v>0.54298642533936647</v>
      </c>
      <c r="R1036">
        <f>IF(AND(COUNTIF($A$2:$A$2027,A1036)&gt;1,COUNTIF($A$2:A1036,A1036)=1),1,0)</f>
        <v>0</v>
      </c>
      <c r="S1036" t="b">
        <f>IFERROR(VLOOKUP(D1036,Products!$A$2:$F$61,6,FALSE()),"")</f>
        <v>1</v>
      </c>
      <c r="T1036" t="str">
        <f>IF(COUNTIF(Customers!$A$2:$A$301,C1036)=0,"Missing","OK")</f>
        <v>OK</v>
      </c>
      <c r="U1036" t="str">
        <f t="shared" si="49"/>
        <v>Chennai</v>
      </c>
      <c r="V1036">
        <f t="shared" si="50"/>
        <v>0</v>
      </c>
    </row>
    <row r="1037" spans="1:22" ht="15" customHeight="1" x14ac:dyDescent="0.35">
      <c r="A1037" s="3" t="s">
        <v>1458</v>
      </c>
      <c r="B1037" s="4">
        <v>45361</v>
      </c>
      <c r="C1037" s="3" t="s">
        <v>541</v>
      </c>
      <c r="D1037" s="3" t="s">
        <v>36</v>
      </c>
      <c r="E1037" s="3" t="s">
        <v>50</v>
      </c>
      <c r="F1037" s="5">
        <v>9</v>
      </c>
      <c r="G1037" s="5">
        <v>470</v>
      </c>
      <c r="H1037" s="5">
        <v>27.1</v>
      </c>
      <c r="I1037" s="5">
        <v>3083.67</v>
      </c>
      <c r="J1037" s="3" t="s">
        <v>26</v>
      </c>
      <c r="K1037" s="3" t="s">
        <v>33</v>
      </c>
      <c r="L1037" t="str">
        <f>IFERROR(VLOOKUP(D1037,Products!$A$2:$F$61,3,FALSE()),"")</f>
        <v>Sports</v>
      </c>
      <c r="M1037" t="str">
        <f>IFERROR(VLOOKUP(E1037,Sales_Reps!$A$2:$C$31,3,FALSE()),"")</f>
        <v>West</v>
      </c>
      <c r="N1037">
        <f>IFERROR(VLOOKUP(D1037,Products!$A$2:$F$61,4,FALSE()),"")</f>
        <v>302</v>
      </c>
      <c r="O1037" t="str">
        <f>IFERROR(VLOOKUP(C1037,Customers!$A$2:$F$301,5,FALSE()),"")</f>
        <v>Retail</v>
      </c>
      <c r="P1037">
        <f>IFERROR(VLOOKUP(C1037,Customers!$A$2:$F$301,3,FALSE()),"")</f>
        <v>61</v>
      </c>
      <c r="Q1037">
        <f t="shared" si="48"/>
        <v>0.35744680851063831</v>
      </c>
      <c r="R1037">
        <f>IF(AND(COUNTIF($A$2:$A$2027,A1037)&gt;1,COUNTIF($A$2:A1037,A1037)=1),1,0)</f>
        <v>0</v>
      </c>
      <c r="S1037" t="b">
        <f>IFERROR(VLOOKUP(D1037,Products!$A$2:$F$61,6,FALSE()),"")</f>
        <v>0</v>
      </c>
      <c r="T1037" t="str">
        <f>IF(COUNTIF(Customers!$A$2:$A$301,C1037)=0,"Missing","OK")</f>
        <v>OK</v>
      </c>
      <c r="U1037" t="str">
        <f t="shared" si="49"/>
        <v>Chennai</v>
      </c>
      <c r="V1037">
        <f t="shared" si="50"/>
        <v>0</v>
      </c>
    </row>
    <row r="1038" spans="1:22" ht="15" customHeight="1" x14ac:dyDescent="0.35">
      <c r="A1038" s="3" t="s">
        <v>1459</v>
      </c>
      <c r="B1038" s="4">
        <v>45622</v>
      </c>
      <c r="C1038" s="3" t="s">
        <v>228</v>
      </c>
      <c r="D1038" s="3" t="s">
        <v>49</v>
      </c>
      <c r="E1038" s="3" t="s">
        <v>131</v>
      </c>
      <c r="F1038" s="5">
        <v>6</v>
      </c>
      <c r="G1038" s="5">
        <v>370</v>
      </c>
      <c r="H1038" s="5">
        <v>5.4</v>
      </c>
      <c r="I1038" s="5">
        <v>2100.12</v>
      </c>
      <c r="J1038" s="3" t="s">
        <v>26</v>
      </c>
      <c r="K1038" s="3" t="s">
        <v>33</v>
      </c>
      <c r="L1038" t="str">
        <f>IFERROR(VLOOKUP(D1038,Products!$A$2:$F$61,3,FALSE()),"")</f>
        <v>Home</v>
      </c>
      <c r="M1038" t="str">
        <f>IFERROR(VLOOKUP(E1038,Sales_Reps!$A$2:$C$31,3,FALSE()),"")</f>
        <v>East</v>
      </c>
      <c r="N1038">
        <f>IFERROR(VLOOKUP(D1038,Products!$A$2:$F$61,4,FALSE()),"")</f>
        <v>288</v>
      </c>
      <c r="O1038" t="str">
        <f>IFERROR(VLOOKUP(C1038,Customers!$A$2:$F$301,5,FALSE()),"")</f>
        <v>Retail</v>
      </c>
      <c r="P1038">
        <f>IFERROR(VLOOKUP(C1038,Customers!$A$2:$F$301,3,FALSE()),"")</f>
        <v>38</v>
      </c>
      <c r="Q1038">
        <f t="shared" si="48"/>
        <v>0.22162162162162163</v>
      </c>
      <c r="R1038">
        <f>IF(AND(COUNTIF($A$2:$A$2027,A1038)&gt;1,COUNTIF($A$2:A1038,A1038)=1),1,0)</f>
        <v>0</v>
      </c>
      <c r="S1038" t="b">
        <f>IFERROR(VLOOKUP(D1038,Products!$A$2:$F$61,6,FALSE()),"")</f>
        <v>1</v>
      </c>
      <c r="T1038" t="str">
        <f>IF(COUNTIF(Customers!$A$2:$A$301,C1038)=0,"Missing","OK")</f>
        <v>OK</v>
      </c>
      <c r="U1038" t="str">
        <f t="shared" si="49"/>
        <v>Chennai</v>
      </c>
      <c r="V1038">
        <f t="shared" si="50"/>
        <v>0</v>
      </c>
    </row>
    <row r="1039" spans="1:22" ht="15" customHeight="1" x14ac:dyDescent="0.35">
      <c r="A1039" s="3" t="s">
        <v>1460</v>
      </c>
      <c r="B1039" s="4">
        <v>45496</v>
      </c>
      <c r="C1039" s="3" t="s">
        <v>552</v>
      </c>
      <c r="D1039" s="3" t="s">
        <v>400</v>
      </c>
      <c r="E1039" s="3" t="s">
        <v>242</v>
      </c>
      <c r="F1039" s="5">
        <v>10</v>
      </c>
      <c r="G1039" s="5">
        <v>3780</v>
      </c>
      <c r="H1039" s="5">
        <v>21.5</v>
      </c>
      <c r="I1039" s="5">
        <v>29673</v>
      </c>
      <c r="J1039" s="3" t="s">
        <v>32</v>
      </c>
      <c r="K1039" s="3" t="s">
        <v>51</v>
      </c>
      <c r="L1039" t="str">
        <f>IFERROR(VLOOKUP(D1039,Products!$A$2:$F$61,3,FALSE()),"")</f>
        <v>Sports</v>
      </c>
      <c r="M1039" t="str">
        <f>IFERROR(VLOOKUP(E1039,Sales_Reps!$A$2:$C$31,3,FALSE()),"")</f>
        <v>East</v>
      </c>
      <c r="N1039">
        <f>IFERROR(VLOOKUP(D1039,Products!$A$2:$F$61,4,FALSE()),"")</f>
        <v>1860</v>
      </c>
      <c r="O1039" t="str">
        <f>IFERROR(VLOOKUP(C1039,Customers!$A$2:$F$301,5,FALSE()),"")</f>
        <v>Retail</v>
      </c>
      <c r="P1039">
        <f>IFERROR(VLOOKUP(C1039,Customers!$A$2:$F$301,3,FALSE()),"")</f>
        <v>44</v>
      </c>
      <c r="Q1039">
        <f t="shared" si="48"/>
        <v>0.50793650793650791</v>
      </c>
      <c r="R1039">
        <f>IF(AND(COUNTIF($A$2:$A$2027,A1039)&gt;1,COUNTIF($A$2:A1039,A1039)=1),1,0)</f>
        <v>0</v>
      </c>
      <c r="S1039" t="b">
        <f>IFERROR(VLOOKUP(D1039,Products!$A$2:$F$61,6,FALSE()),"")</f>
        <v>1</v>
      </c>
      <c r="T1039" t="str">
        <f>IF(COUNTIF(Customers!$A$2:$A$301,C1039)=0,"Missing","OK")</f>
        <v>OK</v>
      </c>
      <c r="U1039" t="str">
        <f t="shared" si="49"/>
        <v>Mumbai</v>
      </c>
      <c r="V1039">
        <f t="shared" si="50"/>
        <v>0</v>
      </c>
    </row>
    <row r="1040" spans="1:22" ht="15" customHeight="1" x14ac:dyDescent="0.35">
      <c r="A1040" s="3" t="s">
        <v>1461</v>
      </c>
      <c r="B1040" s="4">
        <v>45578</v>
      </c>
      <c r="C1040" s="3" t="s">
        <v>429</v>
      </c>
      <c r="D1040" s="3" t="s">
        <v>454</v>
      </c>
      <c r="E1040" s="3" t="s">
        <v>143</v>
      </c>
      <c r="F1040" s="5">
        <v>4</v>
      </c>
      <c r="G1040" s="5">
        <v>6940</v>
      </c>
      <c r="H1040" s="5">
        <v>3.9</v>
      </c>
      <c r="I1040" s="5">
        <v>26677.360000000001</v>
      </c>
      <c r="J1040" s="3" t="s">
        <v>79</v>
      </c>
      <c r="K1040" s="3" t="s">
        <v>38</v>
      </c>
      <c r="L1040" t="str">
        <f>IFERROR(VLOOKUP(D1040,Products!$A$2:$F$61,3,FALSE()),"")</f>
        <v>Sports</v>
      </c>
      <c r="M1040" t="str">
        <f>IFERROR(VLOOKUP(E1040,Sales_Reps!$A$2:$C$31,3,FALSE()),"")</f>
        <v>South</v>
      </c>
      <c r="N1040">
        <f>IFERROR(VLOOKUP(D1040,Products!$A$2:$F$61,4,FALSE()),"")</f>
        <v>2827</v>
      </c>
      <c r="O1040" t="str">
        <f>IFERROR(VLOOKUP(C1040,Customers!$A$2:$F$301,5,FALSE()),"")</f>
        <v>Retail</v>
      </c>
      <c r="P1040">
        <f>IFERROR(VLOOKUP(C1040,Customers!$A$2:$F$301,3,FALSE()),"")</f>
        <v>59</v>
      </c>
      <c r="Q1040">
        <f t="shared" si="48"/>
        <v>0.5926512968299712</v>
      </c>
      <c r="R1040">
        <f>IF(AND(COUNTIF($A$2:$A$2027,A1040)&gt;1,COUNTIF($A$2:A1040,A1040)=1),1,0)</f>
        <v>0</v>
      </c>
      <c r="S1040" t="b">
        <f>IFERROR(VLOOKUP(D1040,Products!$A$2:$F$61,6,FALSE()),"")</f>
        <v>1</v>
      </c>
      <c r="T1040" t="str">
        <f>IF(COUNTIF(Customers!$A$2:$A$301,C1040)=0,"Missing","OK")</f>
        <v>OK</v>
      </c>
      <c r="U1040" t="str">
        <f t="shared" si="49"/>
        <v>Delhi</v>
      </c>
      <c r="V1040">
        <f t="shared" si="50"/>
        <v>0</v>
      </c>
    </row>
    <row r="1041" spans="1:22" ht="15" customHeight="1" x14ac:dyDescent="0.35">
      <c r="A1041" s="3" t="s">
        <v>1462</v>
      </c>
      <c r="B1041" s="4">
        <v>45476</v>
      </c>
      <c r="C1041" s="3" t="s">
        <v>472</v>
      </c>
      <c r="D1041" s="3" t="s">
        <v>165</v>
      </c>
      <c r="E1041" s="3" t="s">
        <v>224</v>
      </c>
      <c r="F1041" s="5">
        <v>3</v>
      </c>
      <c r="G1041" s="5">
        <v>3730</v>
      </c>
      <c r="H1041" s="5">
        <v>20.7</v>
      </c>
      <c r="I1041" s="5">
        <v>8873.67</v>
      </c>
      <c r="J1041" s="3" t="s">
        <v>26</v>
      </c>
      <c r="K1041" s="3" t="s">
        <v>38</v>
      </c>
      <c r="L1041" t="str">
        <f>IFERROR(VLOOKUP(D1041,Products!$A$2:$F$61,3,FALSE()),"")</f>
        <v>Home</v>
      </c>
      <c r="M1041" t="str">
        <f>IFERROR(VLOOKUP(E1041,Sales_Reps!$A$2:$C$31,3,FALSE()),"")</f>
        <v>East</v>
      </c>
      <c r="N1041">
        <f>IFERROR(VLOOKUP(D1041,Products!$A$2:$F$61,4,FALSE()),"")</f>
        <v>2135</v>
      </c>
      <c r="O1041" t="str">
        <f>IFERROR(VLOOKUP(C1041,Customers!$A$2:$F$301,5,FALSE()),"")</f>
        <v>SMB</v>
      </c>
      <c r="P1041">
        <f>IFERROR(VLOOKUP(C1041,Customers!$A$2:$F$301,3,FALSE()),"")</f>
        <v>48</v>
      </c>
      <c r="Q1041">
        <f t="shared" si="48"/>
        <v>0.42761394101876676</v>
      </c>
      <c r="R1041">
        <f>IF(AND(COUNTIF($A$2:$A$2027,A1041)&gt;1,COUNTIF($A$2:A1041,A1041)=1),1,0)</f>
        <v>0</v>
      </c>
      <c r="S1041" t="b">
        <f>IFERROR(VLOOKUP(D1041,Products!$A$2:$F$61,6,FALSE()),"")</f>
        <v>1</v>
      </c>
      <c r="T1041" t="str">
        <f>IF(COUNTIF(Customers!$A$2:$A$301,C1041)=0,"Missing","OK")</f>
        <v>OK</v>
      </c>
      <c r="U1041" t="str">
        <f t="shared" si="49"/>
        <v>Delhi</v>
      </c>
      <c r="V1041">
        <f t="shared" si="50"/>
        <v>0</v>
      </c>
    </row>
    <row r="1042" spans="1:22" ht="15" customHeight="1" x14ac:dyDescent="0.35">
      <c r="A1042" s="3" t="s">
        <v>1463</v>
      </c>
      <c r="B1042" s="4">
        <v>45300</v>
      </c>
      <c r="C1042" s="3" t="s">
        <v>994</v>
      </c>
      <c r="D1042" s="3" t="s">
        <v>382</v>
      </c>
      <c r="E1042" s="3" t="s">
        <v>50</v>
      </c>
      <c r="F1042" s="5">
        <v>8</v>
      </c>
      <c r="G1042" s="5">
        <v>5080</v>
      </c>
      <c r="H1042" s="5">
        <v>6.2</v>
      </c>
      <c r="I1042" s="5">
        <v>38120.32</v>
      </c>
      <c r="J1042" s="3" t="s">
        <v>26</v>
      </c>
      <c r="K1042" s="3" t="s">
        <v>51</v>
      </c>
      <c r="L1042" t="str">
        <f>IFERROR(VLOOKUP(D1042,Products!$A$2:$F$61,3,FALSE()),"")</f>
        <v>Home</v>
      </c>
      <c r="M1042" t="str">
        <f>IFERROR(VLOOKUP(E1042,Sales_Reps!$A$2:$C$31,3,FALSE()),"")</f>
        <v>West</v>
      </c>
      <c r="N1042">
        <f>IFERROR(VLOOKUP(D1042,Products!$A$2:$F$61,4,FALSE()),"")</f>
        <v>2459</v>
      </c>
      <c r="O1042" t="str">
        <f>IFERROR(VLOOKUP(C1042,Customers!$A$2:$F$301,5,FALSE()),"")</f>
        <v>Retail</v>
      </c>
      <c r="P1042">
        <f>IFERROR(VLOOKUP(C1042,Customers!$A$2:$F$301,3,FALSE()),"")</f>
        <v>37</v>
      </c>
      <c r="Q1042">
        <f t="shared" si="48"/>
        <v>0.51594488188976373</v>
      </c>
      <c r="R1042">
        <f>IF(AND(COUNTIF($A$2:$A$2027,A1042)&gt;1,COUNTIF($A$2:A1042,A1042)=1),1,0)</f>
        <v>0</v>
      </c>
      <c r="S1042" t="b">
        <f>IFERROR(VLOOKUP(D1042,Products!$A$2:$F$61,6,FALSE()),"")</f>
        <v>1</v>
      </c>
      <c r="T1042" t="str">
        <f>IF(COUNTIF(Customers!$A$2:$A$301,C1042)=0,"Missing","OK")</f>
        <v>OK</v>
      </c>
      <c r="U1042" t="str">
        <f t="shared" si="49"/>
        <v>Mumbai</v>
      </c>
      <c r="V1042">
        <f t="shared" si="50"/>
        <v>0</v>
      </c>
    </row>
    <row r="1043" spans="1:22" ht="15" customHeight="1" x14ac:dyDescent="0.35">
      <c r="A1043" s="3" t="s">
        <v>1464</v>
      </c>
      <c r="B1043" s="4">
        <v>45455</v>
      </c>
      <c r="C1043" s="3" t="s">
        <v>105</v>
      </c>
      <c r="D1043" s="3" t="s">
        <v>299</v>
      </c>
      <c r="E1043" s="3" t="s">
        <v>154</v>
      </c>
      <c r="F1043" s="5">
        <v>5</v>
      </c>
      <c r="G1043" s="5">
        <v>5410</v>
      </c>
      <c r="H1043" s="5">
        <v>5.2</v>
      </c>
      <c r="I1043" s="5">
        <v>25643.4</v>
      </c>
      <c r="J1043" s="3" t="s">
        <v>26</v>
      </c>
      <c r="K1043" s="3" t="s">
        <v>72</v>
      </c>
      <c r="L1043" t="str">
        <f>IFERROR(VLOOKUP(D1043,Products!$A$2:$F$61,3,FALSE()),"")</f>
        <v>Sports</v>
      </c>
      <c r="M1043" t="str">
        <f>IFERROR(VLOOKUP(E1043,Sales_Reps!$A$2:$C$31,3,FALSE()),"")</f>
        <v>North</v>
      </c>
      <c r="N1043">
        <f>IFERROR(VLOOKUP(D1043,Products!$A$2:$F$61,4,FALSE()),"")</f>
        <v>2265</v>
      </c>
      <c r="O1043" t="str">
        <f>IFERROR(VLOOKUP(C1043,Customers!$A$2:$F$301,5,FALSE()),"")</f>
        <v>Retail</v>
      </c>
      <c r="P1043">
        <f>IFERROR(VLOOKUP(C1043,Customers!$A$2:$F$301,3,FALSE()),"")</f>
        <v>32</v>
      </c>
      <c r="Q1043">
        <f t="shared" si="48"/>
        <v>0.58133086876155271</v>
      </c>
      <c r="R1043">
        <f>IF(AND(COUNTIF($A$2:$A$2027,A1043)&gt;1,COUNTIF($A$2:A1043,A1043)=1),1,0)</f>
        <v>0</v>
      </c>
      <c r="S1043" t="b">
        <f>IFERROR(VLOOKUP(D1043,Products!$A$2:$F$61,6,FALSE()),"")</f>
        <v>1</v>
      </c>
      <c r="T1043" t="str">
        <f>IF(COUNTIF(Customers!$A$2:$A$301,C1043)=0,"Missing","OK")</f>
        <v>OK</v>
      </c>
      <c r="U1043" t="str">
        <f t="shared" si="49"/>
        <v>Hyderabad</v>
      </c>
      <c r="V1043">
        <f t="shared" si="50"/>
        <v>0</v>
      </c>
    </row>
    <row r="1044" spans="1:22" ht="15" customHeight="1" x14ac:dyDescent="0.35">
      <c r="A1044" s="3" t="s">
        <v>1465</v>
      </c>
      <c r="B1044" s="4">
        <v>45404</v>
      </c>
      <c r="C1044" s="3" t="s">
        <v>359</v>
      </c>
      <c r="D1044" s="3" t="s">
        <v>112</v>
      </c>
      <c r="E1044" s="3" t="s">
        <v>140</v>
      </c>
      <c r="F1044" s="5">
        <v>6</v>
      </c>
      <c r="G1044" s="5">
        <v>2720</v>
      </c>
      <c r="H1044" s="5">
        <v>29.8</v>
      </c>
      <c r="I1044" s="5">
        <v>11456.64</v>
      </c>
      <c r="J1044" s="3" t="s">
        <v>32</v>
      </c>
      <c r="K1044" s="3" t="s">
        <v>38</v>
      </c>
      <c r="L1044" t="str">
        <f>IFERROR(VLOOKUP(D1044,Products!$A$2:$F$61,3,FALSE()),"")</f>
        <v>Apparel</v>
      </c>
      <c r="M1044" t="str">
        <f>IFERROR(VLOOKUP(E1044,Sales_Reps!$A$2:$C$31,3,FALSE()),"")</f>
        <v>West</v>
      </c>
      <c r="N1044">
        <f>IFERROR(VLOOKUP(D1044,Products!$A$2:$F$61,4,FALSE()),"")</f>
        <v>1962</v>
      </c>
      <c r="O1044" t="str">
        <f>IFERROR(VLOOKUP(C1044,Customers!$A$2:$F$301,5,FALSE()),"")</f>
        <v>Retail</v>
      </c>
      <c r="P1044">
        <f>IFERROR(VLOOKUP(C1044,Customers!$A$2:$F$301,3,FALSE()),"")</f>
        <v>44</v>
      </c>
      <c r="Q1044">
        <f t="shared" si="48"/>
        <v>0.2786764705882353</v>
      </c>
      <c r="R1044">
        <f>IF(AND(COUNTIF($A$2:$A$2027,A1044)&gt;1,COUNTIF($A$2:A1044,A1044)=1),1,0)</f>
        <v>0</v>
      </c>
      <c r="S1044" t="b">
        <f>IFERROR(VLOOKUP(D1044,Products!$A$2:$F$61,6,FALSE()),"")</f>
        <v>1</v>
      </c>
      <c r="T1044" t="str">
        <f>IF(COUNTIF(Customers!$A$2:$A$301,C1044)=0,"Missing","OK")</f>
        <v>OK</v>
      </c>
      <c r="U1044" t="str">
        <f t="shared" si="49"/>
        <v>Delhi</v>
      </c>
      <c r="V1044">
        <f t="shared" si="50"/>
        <v>0</v>
      </c>
    </row>
    <row r="1045" spans="1:22" ht="15" customHeight="1" x14ac:dyDescent="0.35">
      <c r="A1045" s="3" t="s">
        <v>1466</v>
      </c>
      <c r="B1045" s="4">
        <v>45468</v>
      </c>
      <c r="C1045" s="3" t="s">
        <v>315</v>
      </c>
      <c r="D1045" s="3" t="s">
        <v>206</v>
      </c>
      <c r="E1045" s="3" t="s">
        <v>71</v>
      </c>
      <c r="F1045" s="5">
        <v>1</v>
      </c>
      <c r="G1045" s="5">
        <v>1220</v>
      </c>
      <c r="H1045" s="5">
        <v>22.6</v>
      </c>
      <c r="I1045" s="5">
        <v>944.28</v>
      </c>
      <c r="J1045" s="3" t="s">
        <v>26</v>
      </c>
      <c r="K1045" s="3" t="s">
        <v>56</v>
      </c>
      <c r="L1045" t="str">
        <f>IFERROR(VLOOKUP(D1045,Products!$A$2:$F$61,3,FALSE()),"")</f>
        <v>Electronics</v>
      </c>
      <c r="M1045" t="str">
        <f>IFERROR(VLOOKUP(E1045,Sales_Reps!$A$2:$C$31,3,FALSE()),"")</f>
        <v>South</v>
      </c>
      <c r="N1045">
        <f>IFERROR(VLOOKUP(D1045,Products!$A$2:$F$61,4,FALSE()),"")</f>
        <v>517</v>
      </c>
      <c r="O1045" t="str">
        <f>IFERROR(VLOOKUP(C1045,Customers!$A$2:$F$301,5,FALSE()),"")</f>
        <v>SMB</v>
      </c>
      <c r="P1045">
        <f>IFERROR(VLOOKUP(C1045,Customers!$A$2:$F$301,3,FALSE()),"")</f>
        <v>44</v>
      </c>
      <c r="Q1045">
        <f t="shared" si="48"/>
        <v>0.57622950819672136</v>
      </c>
      <c r="R1045">
        <f>IF(AND(COUNTIF($A$2:$A$2027,A1045)&gt;1,COUNTIF($A$2:A1045,A1045)=1),1,0)</f>
        <v>0</v>
      </c>
      <c r="S1045" t="b">
        <f>IFERROR(VLOOKUP(D1045,Products!$A$2:$F$61,6,FALSE()),"")</f>
        <v>1</v>
      </c>
      <c r="T1045" t="str">
        <f>IF(COUNTIF(Customers!$A$2:$A$301,C1045)=0,"Missing","OK")</f>
        <v>OK</v>
      </c>
      <c r="U1045" t="str">
        <f t="shared" si="49"/>
        <v>Bengaluru</v>
      </c>
      <c r="V1045">
        <f t="shared" si="50"/>
        <v>0</v>
      </c>
    </row>
    <row r="1046" spans="1:22" ht="15" customHeight="1" x14ac:dyDescent="0.35">
      <c r="A1046" s="3" t="s">
        <v>1467</v>
      </c>
      <c r="B1046" s="4">
        <v>45640</v>
      </c>
      <c r="C1046" s="3" t="s">
        <v>1468</v>
      </c>
      <c r="D1046" s="3" t="s">
        <v>123</v>
      </c>
      <c r="E1046" s="3" t="s">
        <v>46</v>
      </c>
      <c r="F1046" s="5">
        <v>10</v>
      </c>
      <c r="G1046" s="5">
        <v>4880</v>
      </c>
      <c r="H1046" s="5">
        <v>7.3</v>
      </c>
      <c r="I1046" s="5">
        <v>45237.599999999999</v>
      </c>
      <c r="J1046" s="3" t="s">
        <v>26</v>
      </c>
      <c r="K1046" s="3" t="s">
        <v>33</v>
      </c>
      <c r="L1046" t="str">
        <f>IFERROR(VLOOKUP(D1046,Products!$A$2:$F$61,3,FALSE()),"")</f>
        <v>Beauty</v>
      </c>
      <c r="M1046" t="str">
        <f>IFERROR(VLOOKUP(E1046,Sales_Reps!$A$2:$C$31,3,FALSE()),"")</f>
        <v>North</v>
      </c>
      <c r="N1046">
        <f>IFERROR(VLOOKUP(D1046,Products!$A$2:$F$61,4,FALSE()),"")</f>
        <v>2768</v>
      </c>
      <c r="O1046" t="str">
        <f>IFERROR(VLOOKUP(C1046,Customers!$A$2:$F$301,5,FALSE()),"")</f>
        <v>Retail</v>
      </c>
      <c r="P1046">
        <f>IFERROR(VLOOKUP(C1046,Customers!$A$2:$F$301,3,FALSE()),"")</f>
        <v>31</v>
      </c>
      <c r="Q1046">
        <f t="shared" si="48"/>
        <v>0.43278688524590164</v>
      </c>
      <c r="R1046">
        <f>IF(AND(COUNTIF($A$2:$A$2027,A1046)&gt;1,COUNTIF($A$2:A1046,A1046)=1),1,0)</f>
        <v>0</v>
      </c>
      <c r="S1046" t="b">
        <f>IFERROR(VLOOKUP(D1046,Products!$A$2:$F$61,6,FALSE()),"")</f>
        <v>1</v>
      </c>
      <c r="T1046" t="str">
        <f>IF(COUNTIF(Customers!$A$2:$A$301,C1046)=0,"Missing","OK")</f>
        <v>OK</v>
      </c>
      <c r="U1046" t="str">
        <f t="shared" si="49"/>
        <v>Chennai</v>
      </c>
      <c r="V1046">
        <f t="shared" si="50"/>
        <v>0</v>
      </c>
    </row>
    <row r="1047" spans="1:22" ht="15" customHeight="1" x14ac:dyDescent="0.35">
      <c r="A1047" s="3" t="s">
        <v>1469</v>
      </c>
      <c r="B1047" s="4">
        <v>45450</v>
      </c>
      <c r="C1047" s="3" t="s">
        <v>811</v>
      </c>
      <c r="D1047" s="3" t="s">
        <v>184</v>
      </c>
      <c r="E1047" s="3" t="s">
        <v>97</v>
      </c>
      <c r="F1047" s="5">
        <v>10</v>
      </c>
      <c r="G1047" s="5">
        <v>2270</v>
      </c>
      <c r="H1047" s="5">
        <v>1.6</v>
      </c>
      <c r="I1047" s="5">
        <v>22336.799999999999</v>
      </c>
      <c r="J1047" s="3" t="s">
        <v>26</v>
      </c>
      <c r="K1047" s="3" t="s">
        <v>51</v>
      </c>
      <c r="L1047" t="str">
        <f>IFERROR(VLOOKUP(D1047,Products!$A$2:$F$61,3,FALSE()),"")</f>
        <v>Grocery</v>
      </c>
      <c r="M1047" t="str">
        <f>IFERROR(VLOOKUP(E1047,Sales_Reps!$A$2:$C$31,3,FALSE()),"")</f>
        <v>East</v>
      </c>
      <c r="N1047">
        <f>IFERROR(VLOOKUP(D1047,Products!$A$2:$F$61,4,FALSE()),"")</f>
        <v>1412</v>
      </c>
      <c r="O1047" t="str">
        <f>IFERROR(VLOOKUP(C1047,Customers!$A$2:$F$301,5,FALSE()),"")</f>
        <v>Corporate</v>
      </c>
      <c r="P1047">
        <f>IFERROR(VLOOKUP(C1047,Customers!$A$2:$F$301,3,FALSE()),"")</f>
        <v>62</v>
      </c>
      <c r="Q1047">
        <f t="shared" si="48"/>
        <v>0.37797356828193834</v>
      </c>
      <c r="R1047">
        <f>IF(AND(COUNTIF($A$2:$A$2027,A1047)&gt;1,COUNTIF($A$2:A1047,A1047)=1),1,0)</f>
        <v>0</v>
      </c>
      <c r="S1047" t="b">
        <f>IFERROR(VLOOKUP(D1047,Products!$A$2:$F$61,6,FALSE()),"")</f>
        <v>1</v>
      </c>
      <c r="T1047" t="str">
        <f>IF(COUNTIF(Customers!$A$2:$A$301,C1047)=0,"Missing","OK")</f>
        <v>OK</v>
      </c>
      <c r="U1047" t="str">
        <f t="shared" si="49"/>
        <v>Mumbai</v>
      </c>
      <c r="V1047">
        <f t="shared" si="50"/>
        <v>0</v>
      </c>
    </row>
    <row r="1048" spans="1:22" ht="15" customHeight="1" x14ac:dyDescent="0.35">
      <c r="A1048" s="3" t="s">
        <v>1470</v>
      </c>
      <c r="B1048" s="4">
        <v>45589</v>
      </c>
      <c r="C1048" s="3" t="s">
        <v>346</v>
      </c>
      <c r="D1048" s="3" t="s">
        <v>66</v>
      </c>
      <c r="E1048" s="3" t="s">
        <v>87</v>
      </c>
      <c r="F1048" s="5">
        <v>8</v>
      </c>
      <c r="G1048" s="5">
        <v>970</v>
      </c>
      <c r="H1048" s="5">
        <v>13.1</v>
      </c>
      <c r="I1048" s="5">
        <v>6743.44</v>
      </c>
      <c r="J1048" s="3" t="s">
        <v>26</v>
      </c>
      <c r="K1048" s="3" t="s">
        <v>27</v>
      </c>
      <c r="L1048" t="str">
        <f>IFERROR(VLOOKUP(D1048,Products!$A$2:$F$61,3,FALSE()),"")</f>
        <v>Grocery</v>
      </c>
      <c r="M1048" t="str">
        <f>IFERROR(VLOOKUP(E1048,Sales_Reps!$A$2:$C$31,3,FALSE()),"")</f>
        <v>North</v>
      </c>
      <c r="N1048">
        <f>IFERROR(VLOOKUP(D1048,Products!$A$2:$F$61,4,FALSE()),"")</f>
        <v>434</v>
      </c>
      <c r="O1048" t="str">
        <f>IFERROR(VLOOKUP(C1048,Customers!$A$2:$F$301,5,FALSE()),"")</f>
        <v>SMB</v>
      </c>
      <c r="P1048">
        <f>IFERROR(VLOOKUP(C1048,Customers!$A$2:$F$301,3,FALSE()),"")</f>
        <v>53</v>
      </c>
      <c r="Q1048">
        <f t="shared" si="48"/>
        <v>0.5525773195876289</v>
      </c>
      <c r="R1048">
        <f>IF(AND(COUNTIF($A$2:$A$2027,A1048)&gt;1,COUNTIF($A$2:A1048,A1048)=1),1,0)</f>
        <v>0</v>
      </c>
      <c r="S1048" t="b">
        <f>IFERROR(VLOOKUP(D1048,Products!$A$2:$F$61,6,FALSE()),"")</f>
        <v>1</v>
      </c>
      <c r="T1048" t="str">
        <f>IF(COUNTIF(Customers!$A$2:$A$301,C1048)=0,"Missing","OK")</f>
        <v>OK</v>
      </c>
      <c r="U1048" t="str">
        <f t="shared" si="49"/>
        <v>Pune</v>
      </c>
      <c r="V1048">
        <f t="shared" si="50"/>
        <v>0</v>
      </c>
    </row>
    <row r="1049" spans="1:22" ht="15" customHeight="1" x14ac:dyDescent="0.35">
      <c r="A1049" s="3" t="s">
        <v>1471</v>
      </c>
      <c r="B1049" s="4">
        <v>45646</v>
      </c>
      <c r="C1049" s="3" t="s">
        <v>321</v>
      </c>
      <c r="D1049" s="3" t="s">
        <v>306</v>
      </c>
      <c r="E1049" s="3" t="s">
        <v>264</v>
      </c>
      <c r="F1049" s="5">
        <v>7</v>
      </c>
      <c r="G1049" s="5">
        <v>2380</v>
      </c>
      <c r="H1049" s="5">
        <v>10.6</v>
      </c>
      <c r="I1049" s="5">
        <v>14894.04</v>
      </c>
      <c r="J1049" s="3" t="s">
        <v>79</v>
      </c>
      <c r="K1049" s="3" t="s">
        <v>38</v>
      </c>
      <c r="L1049" t="str">
        <f>IFERROR(VLOOKUP(D1049,Products!$A$2:$F$61,3,FALSE()),"")</f>
        <v>Grocery</v>
      </c>
      <c r="M1049" t="str">
        <f>IFERROR(VLOOKUP(E1049,Sales_Reps!$A$2:$C$31,3,FALSE()),"")</f>
        <v>South</v>
      </c>
      <c r="N1049">
        <f>IFERROR(VLOOKUP(D1049,Products!$A$2:$F$61,4,FALSE()),"")</f>
        <v>1182</v>
      </c>
      <c r="O1049" t="str">
        <f>IFERROR(VLOOKUP(C1049,Customers!$A$2:$F$301,5,FALSE()),"")</f>
        <v>Corporate</v>
      </c>
      <c r="P1049">
        <f>IFERROR(VLOOKUP(C1049,Customers!$A$2:$F$301,3,FALSE()),"")</f>
        <v>27</v>
      </c>
      <c r="Q1049">
        <f t="shared" si="48"/>
        <v>0.50336134453781511</v>
      </c>
      <c r="R1049">
        <f>IF(AND(COUNTIF($A$2:$A$2027,A1049)&gt;1,COUNTIF($A$2:A1049,A1049)=1),1,0)</f>
        <v>0</v>
      </c>
      <c r="S1049" t="b">
        <f>IFERROR(VLOOKUP(D1049,Products!$A$2:$F$61,6,FALSE()),"")</f>
        <v>1</v>
      </c>
      <c r="T1049" t="str">
        <f>IF(COUNTIF(Customers!$A$2:$A$301,C1049)=0,"Missing","OK")</f>
        <v>OK</v>
      </c>
      <c r="U1049" t="str">
        <f t="shared" si="49"/>
        <v>Delhi</v>
      </c>
      <c r="V1049">
        <f t="shared" si="50"/>
        <v>0</v>
      </c>
    </row>
    <row r="1050" spans="1:22" ht="15" customHeight="1" x14ac:dyDescent="0.35">
      <c r="A1050" s="3" t="s">
        <v>1472</v>
      </c>
      <c r="B1050" s="4">
        <v>45488</v>
      </c>
      <c r="C1050" s="3" t="s">
        <v>1473</v>
      </c>
      <c r="D1050" s="3" t="s">
        <v>24</v>
      </c>
      <c r="E1050" s="3" t="s">
        <v>285</v>
      </c>
      <c r="F1050" s="5">
        <v>6</v>
      </c>
      <c r="G1050" s="5">
        <v>3620</v>
      </c>
      <c r="H1050" s="5">
        <v>21.3</v>
      </c>
      <c r="I1050" s="5">
        <v>17093.64</v>
      </c>
      <c r="J1050" s="3" t="s">
        <v>79</v>
      </c>
      <c r="K1050" s="3" t="s">
        <v>72</v>
      </c>
      <c r="L1050" t="str">
        <f>IFERROR(VLOOKUP(D1050,Products!$A$2:$F$61,3,FALSE()),"")</f>
        <v>Apparel</v>
      </c>
      <c r="M1050" t="str">
        <f>IFERROR(VLOOKUP(E1050,Sales_Reps!$A$2:$C$31,3,FALSE()),"")</f>
        <v>South</v>
      </c>
      <c r="N1050">
        <f>IFERROR(VLOOKUP(D1050,Products!$A$2:$F$61,4,FALSE()),"")</f>
        <v>2509</v>
      </c>
      <c r="O1050" t="str">
        <f>IFERROR(VLOOKUP(C1050,Customers!$A$2:$F$301,5,FALSE()),"")</f>
        <v>Corporate</v>
      </c>
      <c r="P1050">
        <f>IFERROR(VLOOKUP(C1050,Customers!$A$2:$F$301,3,FALSE()),"")</f>
        <v>25</v>
      </c>
      <c r="Q1050">
        <f t="shared" si="48"/>
        <v>0.3069060773480663</v>
      </c>
      <c r="R1050">
        <f>IF(AND(COUNTIF($A$2:$A$2027,A1050)&gt;1,COUNTIF($A$2:A1050,A1050)=1),1,0)</f>
        <v>0</v>
      </c>
      <c r="S1050" t="b">
        <f>IFERROR(VLOOKUP(D1050,Products!$A$2:$F$61,6,FALSE()),"")</f>
        <v>1</v>
      </c>
      <c r="T1050" t="str">
        <f>IF(COUNTIF(Customers!$A$2:$A$301,C1050)=0,"Missing","OK")</f>
        <v>OK</v>
      </c>
      <c r="U1050" t="str">
        <f t="shared" si="49"/>
        <v>Hyderabad</v>
      </c>
      <c r="V1050">
        <f t="shared" si="50"/>
        <v>0</v>
      </c>
    </row>
    <row r="1051" spans="1:22" ht="15" customHeight="1" x14ac:dyDescent="0.35">
      <c r="A1051" s="3" t="s">
        <v>1474</v>
      </c>
      <c r="B1051" s="4">
        <v>45555</v>
      </c>
      <c r="C1051" s="3" t="s">
        <v>429</v>
      </c>
      <c r="D1051" s="3" t="s">
        <v>203</v>
      </c>
      <c r="E1051" s="3" t="s">
        <v>282</v>
      </c>
      <c r="F1051" s="5">
        <v>3</v>
      </c>
      <c r="G1051" s="5">
        <v>4070</v>
      </c>
      <c r="H1051" s="5">
        <v>8.1999999999999993</v>
      </c>
      <c r="I1051" s="5">
        <v>11208.78</v>
      </c>
      <c r="J1051" s="3" t="s">
        <v>79</v>
      </c>
      <c r="K1051" s="3" t="s">
        <v>38</v>
      </c>
      <c r="L1051" t="str">
        <f>IFERROR(VLOOKUP(D1051,Products!$A$2:$F$61,3,FALSE()),"")</f>
        <v>Grocery</v>
      </c>
      <c r="M1051" t="str">
        <f>IFERROR(VLOOKUP(E1051,Sales_Reps!$A$2:$C$31,3,FALSE()),"")</f>
        <v>West</v>
      </c>
      <c r="N1051">
        <f>IFERROR(VLOOKUP(D1051,Products!$A$2:$F$61,4,FALSE()),"")</f>
        <v>2027</v>
      </c>
      <c r="O1051" t="str">
        <f>IFERROR(VLOOKUP(C1051,Customers!$A$2:$F$301,5,FALSE()),"")</f>
        <v>Retail</v>
      </c>
      <c r="P1051">
        <f>IFERROR(VLOOKUP(C1051,Customers!$A$2:$F$301,3,FALSE()),"")</f>
        <v>59</v>
      </c>
      <c r="Q1051">
        <f t="shared" si="48"/>
        <v>0.50196560196560192</v>
      </c>
      <c r="R1051">
        <f>IF(AND(COUNTIF($A$2:$A$2027,A1051)&gt;1,COUNTIF($A$2:A1051,A1051)=1),1,0)</f>
        <v>0</v>
      </c>
      <c r="S1051" t="b">
        <f>IFERROR(VLOOKUP(D1051,Products!$A$2:$F$61,6,FALSE()),"")</f>
        <v>1</v>
      </c>
      <c r="T1051" t="str">
        <f>IF(COUNTIF(Customers!$A$2:$A$301,C1051)=0,"Missing","OK")</f>
        <v>OK</v>
      </c>
      <c r="U1051" t="str">
        <f t="shared" si="49"/>
        <v>Delhi</v>
      </c>
      <c r="V1051">
        <f t="shared" si="50"/>
        <v>0</v>
      </c>
    </row>
    <row r="1052" spans="1:22" ht="15" customHeight="1" x14ac:dyDescent="0.35">
      <c r="A1052" s="3" t="s">
        <v>1475</v>
      </c>
      <c r="B1052" s="4">
        <v>45578</v>
      </c>
      <c r="C1052" s="3" t="s">
        <v>393</v>
      </c>
      <c r="D1052" s="3" t="s">
        <v>130</v>
      </c>
      <c r="E1052" s="3" t="s">
        <v>140</v>
      </c>
      <c r="F1052" s="5">
        <v>8</v>
      </c>
      <c r="G1052" s="5">
        <v>5100</v>
      </c>
      <c r="H1052" s="5">
        <v>26.9</v>
      </c>
      <c r="I1052" s="5">
        <v>29824.799999999999</v>
      </c>
      <c r="J1052" s="3" t="s">
        <v>26</v>
      </c>
      <c r="K1052" s="3" t="s">
        <v>72</v>
      </c>
      <c r="L1052" t="str">
        <f>IFERROR(VLOOKUP(D1052,Products!$A$2:$F$61,3,FALSE()),"")</f>
        <v>Beauty</v>
      </c>
      <c r="M1052" t="str">
        <f>IFERROR(VLOOKUP(E1052,Sales_Reps!$A$2:$C$31,3,FALSE()),"")</f>
        <v>West</v>
      </c>
      <c r="N1052">
        <f>IFERROR(VLOOKUP(D1052,Products!$A$2:$F$61,4,FALSE()),"")</f>
        <v>2237</v>
      </c>
      <c r="O1052" t="str">
        <f>IFERROR(VLOOKUP(C1052,Customers!$A$2:$F$301,5,FALSE()),"")</f>
        <v>Corporate</v>
      </c>
      <c r="P1052">
        <f>IFERROR(VLOOKUP(C1052,Customers!$A$2:$F$301,3,FALSE()),"")</f>
        <v>43</v>
      </c>
      <c r="Q1052">
        <f t="shared" si="48"/>
        <v>0.56137254901960787</v>
      </c>
      <c r="R1052">
        <f>IF(AND(COUNTIF($A$2:$A$2027,A1052)&gt;1,COUNTIF($A$2:A1052,A1052)=1),1,0)</f>
        <v>0</v>
      </c>
      <c r="S1052" t="b">
        <f>IFERROR(VLOOKUP(D1052,Products!$A$2:$F$61,6,FALSE()),"")</f>
        <v>1</v>
      </c>
      <c r="T1052" t="str">
        <f>IF(COUNTIF(Customers!$A$2:$A$301,C1052)=0,"Missing","OK")</f>
        <v>OK</v>
      </c>
      <c r="U1052" t="str">
        <f t="shared" si="49"/>
        <v>Hyderabad</v>
      </c>
      <c r="V1052">
        <f t="shared" si="50"/>
        <v>0</v>
      </c>
    </row>
    <row r="1053" spans="1:22" ht="15" customHeight="1" x14ac:dyDescent="0.35">
      <c r="A1053" s="3" t="s">
        <v>1227</v>
      </c>
      <c r="B1053" s="4">
        <v>45296</v>
      </c>
      <c r="C1053" s="3" t="s">
        <v>811</v>
      </c>
      <c r="D1053" s="3" t="s">
        <v>215</v>
      </c>
      <c r="E1053" s="3" t="s">
        <v>177</v>
      </c>
      <c r="F1053" s="5">
        <v>3</v>
      </c>
      <c r="G1053" s="5">
        <v>3020</v>
      </c>
      <c r="H1053" s="5">
        <v>18.5</v>
      </c>
      <c r="I1053" s="5">
        <v>7383.9</v>
      </c>
      <c r="J1053" s="3" t="s">
        <v>79</v>
      </c>
      <c r="K1053" s="3" t="s">
        <v>51</v>
      </c>
      <c r="L1053" t="str">
        <f>IFERROR(VLOOKUP(D1053,Products!$A$2:$F$61,3,FALSE()),"")</f>
        <v>Beauty</v>
      </c>
      <c r="M1053" t="str">
        <f>IFERROR(VLOOKUP(E1053,Sales_Reps!$A$2:$C$31,3,FALSE()),"")</f>
        <v>East</v>
      </c>
      <c r="N1053">
        <f>IFERROR(VLOOKUP(D1053,Products!$A$2:$F$61,4,FALSE()),"")</f>
        <v>1626</v>
      </c>
      <c r="O1053" t="str">
        <f>IFERROR(VLOOKUP(C1053,Customers!$A$2:$F$301,5,FALSE()),"")</f>
        <v>Corporate</v>
      </c>
      <c r="P1053">
        <f>IFERROR(VLOOKUP(C1053,Customers!$A$2:$F$301,3,FALSE()),"")</f>
        <v>62</v>
      </c>
      <c r="Q1053">
        <f t="shared" si="48"/>
        <v>0.46158940397350995</v>
      </c>
      <c r="R1053">
        <f>IF(AND(COUNTIF($A$2:$A$2027,A1053)&gt;1,COUNTIF($A$2:A1053,A1053)=1),1,0)</f>
        <v>0</v>
      </c>
      <c r="S1053" t="b">
        <f>IFERROR(VLOOKUP(D1053,Products!$A$2:$F$61,6,FALSE()),"")</f>
        <v>1</v>
      </c>
      <c r="T1053" t="str">
        <f>IF(COUNTIF(Customers!$A$2:$A$301,C1053)=0,"Missing","OK")</f>
        <v>OK</v>
      </c>
      <c r="U1053" t="str">
        <f t="shared" si="49"/>
        <v>Mumbai</v>
      </c>
      <c r="V1053">
        <f t="shared" si="50"/>
        <v>0</v>
      </c>
    </row>
    <row r="1054" spans="1:22" ht="15" customHeight="1" x14ac:dyDescent="0.35">
      <c r="A1054" s="3" t="s">
        <v>1476</v>
      </c>
      <c r="B1054" s="4">
        <v>45564</v>
      </c>
      <c r="C1054" s="3" t="s">
        <v>1035</v>
      </c>
      <c r="D1054" s="3" t="s">
        <v>319</v>
      </c>
      <c r="E1054" s="3" t="s">
        <v>236</v>
      </c>
      <c r="F1054" s="5">
        <v>8</v>
      </c>
      <c r="G1054" s="5">
        <v>960</v>
      </c>
      <c r="H1054" s="5">
        <v>7.1</v>
      </c>
      <c r="I1054" s="5">
        <v>7134.72</v>
      </c>
      <c r="J1054" s="3" t="s">
        <v>26</v>
      </c>
      <c r="K1054" s="3" t="s">
        <v>27</v>
      </c>
      <c r="L1054" t="str">
        <f>IFERROR(VLOOKUP(D1054,Products!$A$2:$F$61,3,FALSE()),"")</f>
        <v>Beauty</v>
      </c>
      <c r="M1054" t="str">
        <f>IFERROR(VLOOKUP(E1054,Sales_Reps!$A$2:$C$31,3,FALSE()),"")</f>
        <v>North</v>
      </c>
      <c r="N1054">
        <f>IFERROR(VLOOKUP(D1054,Products!$A$2:$F$61,4,FALSE()),"")</f>
        <v>675</v>
      </c>
      <c r="O1054" t="str">
        <f>IFERROR(VLOOKUP(C1054,Customers!$A$2:$F$301,5,FALSE()),"")</f>
        <v>Corporate</v>
      </c>
      <c r="P1054">
        <f>IFERROR(VLOOKUP(C1054,Customers!$A$2:$F$301,3,FALSE()),"")</f>
        <v>42</v>
      </c>
      <c r="Q1054">
        <f t="shared" si="48"/>
        <v>0.296875</v>
      </c>
      <c r="R1054">
        <f>IF(AND(COUNTIF($A$2:$A$2027,A1054)&gt;1,COUNTIF($A$2:A1054,A1054)=1),1,0)</f>
        <v>0</v>
      </c>
      <c r="S1054" t="b">
        <f>IFERROR(VLOOKUP(D1054,Products!$A$2:$F$61,6,FALSE()),"")</f>
        <v>1</v>
      </c>
      <c r="T1054" t="str">
        <f>IF(COUNTIF(Customers!$A$2:$A$301,C1054)=0,"Missing","OK")</f>
        <v>OK</v>
      </c>
      <c r="U1054" t="str">
        <f t="shared" si="49"/>
        <v>Pune</v>
      </c>
      <c r="V1054">
        <f t="shared" si="50"/>
        <v>0</v>
      </c>
    </row>
    <row r="1055" spans="1:22" ht="15" customHeight="1" x14ac:dyDescent="0.35">
      <c r="A1055" s="3" t="s">
        <v>1477</v>
      </c>
      <c r="B1055" s="4">
        <v>45383</v>
      </c>
      <c r="C1055" s="3" t="s">
        <v>541</v>
      </c>
      <c r="D1055" s="3" t="s">
        <v>382</v>
      </c>
      <c r="E1055" s="3" t="s">
        <v>127</v>
      </c>
      <c r="F1055" s="5">
        <v>8</v>
      </c>
      <c r="G1055" s="5">
        <v>5080</v>
      </c>
      <c r="H1055" s="5">
        <v>6.2</v>
      </c>
      <c r="I1055" s="5">
        <v>38120.32</v>
      </c>
      <c r="J1055" s="3" t="s">
        <v>26</v>
      </c>
      <c r="K1055" s="3" t="s">
        <v>33</v>
      </c>
      <c r="L1055" t="str">
        <f>IFERROR(VLOOKUP(D1055,Products!$A$2:$F$61,3,FALSE()),"")</f>
        <v>Home</v>
      </c>
      <c r="M1055" t="str">
        <f>IFERROR(VLOOKUP(E1055,Sales_Reps!$A$2:$C$31,3,FALSE()),"")</f>
        <v>South</v>
      </c>
      <c r="N1055">
        <f>IFERROR(VLOOKUP(D1055,Products!$A$2:$F$61,4,FALSE()),"")</f>
        <v>2459</v>
      </c>
      <c r="O1055" t="str">
        <f>IFERROR(VLOOKUP(C1055,Customers!$A$2:$F$301,5,FALSE()),"")</f>
        <v>Retail</v>
      </c>
      <c r="P1055">
        <f>IFERROR(VLOOKUP(C1055,Customers!$A$2:$F$301,3,FALSE()),"")</f>
        <v>61</v>
      </c>
      <c r="Q1055">
        <f t="shared" si="48"/>
        <v>0.51594488188976373</v>
      </c>
      <c r="R1055">
        <f>IF(AND(COUNTIF($A$2:$A$2027,A1055)&gt;1,COUNTIF($A$2:A1055,A1055)=1),1,0)</f>
        <v>0</v>
      </c>
      <c r="S1055" t="b">
        <f>IFERROR(VLOOKUP(D1055,Products!$A$2:$F$61,6,FALSE()),"")</f>
        <v>1</v>
      </c>
      <c r="T1055" t="str">
        <f>IF(COUNTIF(Customers!$A$2:$A$301,C1055)=0,"Missing","OK")</f>
        <v>OK</v>
      </c>
      <c r="U1055" t="str">
        <f t="shared" si="49"/>
        <v>Chennai</v>
      </c>
      <c r="V1055">
        <f t="shared" si="50"/>
        <v>0</v>
      </c>
    </row>
    <row r="1056" spans="1:22" ht="15" customHeight="1" x14ac:dyDescent="0.35">
      <c r="A1056" s="3" t="s">
        <v>1478</v>
      </c>
      <c r="B1056" s="4">
        <v>45436</v>
      </c>
      <c r="C1056" s="3" t="s">
        <v>480</v>
      </c>
      <c r="D1056" s="3" t="s">
        <v>180</v>
      </c>
      <c r="E1056" s="3" t="s">
        <v>71</v>
      </c>
      <c r="F1056" s="5">
        <v>6</v>
      </c>
      <c r="G1056" s="5">
        <v>6080</v>
      </c>
      <c r="H1056" s="5">
        <v>25.8</v>
      </c>
      <c r="I1056" s="5">
        <v>27068.16</v>
      </c>
      <c r="J1056" s="3" t="s">
        <v>26</v>
      </c>
      <c r="K1056" s="3" t="s">
        <v>33</v>
      </c>
      <c r="L1056" t="str">
        <f>IFERROR(VLOOKUP(D1056,Products!$A$2:$F$61,3,FALSE()),"")</f>
        <v>Beauty</v>
      </c>
      <c r="M1056" t="str">
        <f>IFERROR(VLOOKUP(E1056,Sales_Reps!$A$2:$C$31,3,FALSE()),"")</f>
        <v>South</v>
      </c>
      <c r="N1056">
        <f>IFERROR(VLOOKUP(D1056,Products!$A$2:$F$61,4,FALSE()),"")</f>
        <v>2617</v>
      </c>
      <c r="O1056" t="str">
        <f>IFERROR(VLOOKUP(C1056,Customers!$A$2:$F$301,5,FALSE()),"")</f>
        <v>Corporate</v>
      </c>
      <c r="P1056">
        <f>IFERROR(VLOOKUP(C1056,Customers!$A$2:$F$301,3,FALSE()),"")</f>
        <v>34</v>
      </c>
      <c r="Q1056">
        <f t="shared" si="48"/>
        <v>0.56957236842105263</v>
      </c>
      <c r="R1056">
        <f>IF(AND(COUNTIF($A$2:$A$2027,A1056)&gt;1,COUNTIF($A$2:A1056,A1056)=1),1,0)</f>
        <v>0</v>
      </c>
      <c r="S1056" t="b">
        <f>IFERROR(VLOOKUP(D1056,Products!$A$2:$F$61,6,FALSE()),"")</f>
        <v>1</v>
      </c>
      <c r="T1056" t="str">
        <f>IF(COUNTIF(Customers!$A$2:$A$301,C1056)=0,"Missing","OK")</f>
        <v>OK</v>
      </c>
      <c r="U1056" t="str">
        <f t="shared" si="49"/>
        <v>Chennai</v>
      </c>
      <c r="V1056">
        <f t="shared" si="50"/>
        <v>0</v>
      </c>
    </row>
    <row r="1057" spans="1:22" ht="15" customHeight="1" x14ac:dyDescent="0.35">
      <c r="A1057" s="3" t="s">
        <v>1479</v>
      </c>
      <c r="B1057" s="4">
        <v>45544</v>
      </c>
      <c r="C1057" s="3" t="s">
        <v>478</v>
      </c>
      <c r="D1057" s="3" t="s">
        <v>198</v>
      </c>
      <c r="E1057" s="3" t="s">
        <v>71</v>
      </c>
      <c r="F1057" s="5">
        <v>5</v>
      </c>
      <c r="G1057" s="5">
        <v>1540</v>
      </c>
      <c r="H1057" s="5">
        <v>24.6</v>
      </c>
      <c r="I1057" s="5">
        <v>5805.8</v>
      </c>
      <c r="J1057" s="3" t="s">
        <v>26</v>
      </c>
      <c r="K1057" s="3" t="s">
        <v>72</v>
      </c>
      <c r="L1057" t="str">
        <f>IFERROR(VLOOKUP(D1057,Products!$A$2:$F$61,3,FALSE()),"")</f>
        <v>Beauty</v>
      </c>
      <c r="M1057" t="str">
        <f>IFERROR(VLOOKUP(E1057,Sales_Reps!$A$2:$C$31,3,FALSE()),"")</f>
        <v>South</v>
      </c>
      <c r="N1057">
        <f>IFERROR(VLOOKUP(D1057,Products!$A$2:$F$61,4,FALSE()),"")</f>
        <v>647</v>
      </c>
      <c r="O1057" t="str">
        <f>IFERROR(VLOOKUP(C1057,Customers!$A$2:$F$301,5,FALSE()),"")</f>
        <v>Retail</v>
      </c>
      <c r="P1057">
        <f>IFERROR(VLOOKUP(C1057,Customers!$A$2:$F$301,3,FALSE()),"")</f>
        <v>38</v>
      </c>
      <c r="Q1057">
        <f t="shared" si="48"/>
        <v>0.57987012987012987</v>
      </c>
      <c r="R1057">
        <f>IF(AND(COUNTIF($A$2:$A$2027,A1057)&gt;1,COUNTIF($A$2:A1057,A1057)=1),1,0)</f>
        <v>0</v>
      </c>
      <c r="S1057" t="b">
        <f>IFERROR(VLOOKUP(D1057,Products!$A$2:$F$61,6,FALSE()),"")</f>
        <v>0</v>
      </c>
      <c r="T1057" t="str">
        <f>IF(COUNTIF(Customers!$A$2:$A$301,C1057)=0,"Missing","OK")</f>
        <v>OK</v>
      </c>
      <c r="U1057" t="str">
        <f t="shared" si="49"/>
        <v>Hyderabad</v>
      </c>
      <c r="V1057">
        <f t="shared" si="50"/>
        <v>0</v>
      </c>
    </row>
    <row r="1058" spans="1:22" ht="15" customHeight="1" x14ac:dyDescent="0.35">
      <c r="A1058" s="3" t="s">
        <v>1480</v>
      </c>
      <c r="B1058" s="4">
        <v>45404</v>
      </c>
      <c r="C1058" s="3" t="s">
        <v>718</v>
      </c>
      <c r="D1058" s="3" t="s">
        <v>121</v>
      </c>
      <c r="E1058" s="3" t="s">
        <v>55</v>
      </c>
      <c r="F1058" s="5">
        <v>4</v>
      </c>
      <c r="G1058" s="5">
        <v>1010</v>
      </c>
      <c r="H1058" s="5">
        <v>2.9</v>
      </c>
      <c r="I1058" s="5">
        <v>3922.84</v>
      </c>
      <c r="J1058" s="3" t="s">
        <v>32</v>
      </c>
      <c r="K1058" s="3" t="s">
        <v>56</v>
      </c>
      <c r="L1058" t="str">
        <f>IFERROR(VLOOKUP(D1058,Products!$A$2:$F$61,3,FALSE()),"")</f>
        <v>Sports</v>
      </c>
      <c r="M1058" t="str">
        <f>IFERROR(VLOOKUP(E1058,Sales_Reps!$A$2:$C$31,3,FALSE()),"")</f>
        <v>West</v>
      </c>
      <c r="N1058">
        <f>IFERROR(VLOOKUP(D1058,Products!$A$2:$F$61,4,FALSE()),"")</f>
        <v>516</v>
      </c>
      <c r="O1058" t="str">
        <f>IFERROR(VLOOKUP(C1058,Customers!$A$2:$F$301,5,FALSE()),"")</f>
        <v>Retail</v>
      </c>
      <c r="P1058">
        <f>IFERROR(VLOOKUP(C1058,Customers!$A$2:$F$301,3,FALSE()),"")</f>
        <v>27</v>
      </c>
      <c r="Q1058">
        <f t="shared" si="48"/>
        <v>0.4891089108910891</v>
      </c>
      <c r="R1058">
        <f>IF(AND(COUNTIF($A$2:$A$2027,A1058)&gt;1,COUNTIF($A$2:A1058,A1058)=1),1,0)</f>
        <v>0</v>
      </c>
      <c r="S1058" t="b">
        <f>IFERROR(VLOOKUP(D1058,Products!$A$2:$F$61,6,FALSE()),"")</f>
        <v>1</v>
      </c>
      <c r="T1058" t="str">
        <f>IF(COUNTIF(Customers!$A$2:$A$301,C1058)=0,"Missing","OK")</f>
        <v>OK</v>
      </c>
      <c r="U1058" t="str">
        <f t="shared" si="49"/>
        <v>Bengaluru</v>
      </c>
      <c r="V1058">
        <f t="shared" si="50"/>
        <v>0</v>
      </c>
    </row>
    <row r="1059" spans="1:22" ht="15" customHeight="1" x14ac:dyDescent="0.35">
      <c r="A1059" s="3" t="s">
        <v>1481</v>
      </c>
      <c r="B1059" s="4">
        <v>45586</v>
      </c>
      <c r="C1059" s="3" t="s">
        <v>472</v>
      </c>
      <c r="D1059" s="3" t="s">
        <v>319</v>
      </c>
      <c r="E1059" s="3" t="s">
        <v>140</v>
      </c>
      <c r="F1059" s="5">
        <v>5</v>
      </c>
      <c r="G1059" s="5">
        <v>960</v>
      </c>
      <c r="H1059" s="5">
        <v>11.4</v>
      </c>
      <c r="I1059" s="5">
        <v>4252.8</v>
      </c>
      <c r="J1059" s="3" t="s">
        <v>26</v>
      </c>
      <c r="K1059" s="3" t="s">
        <v>38</v>
      </c>
      <c r="L1059" t="str">
        <f>IFERROR(VLOOKUP(D1059,Products!$A$2:$F$61,3,FALSE()),"")</f>
        <v>Beauty</v>
      </c>
      <c r="M1059" t="str">
        <f>IFERROR(VLOOKUP(E1059,Sales_Reps!$A$2:$C$31,3,FALSE()),"")</f>
        <v>West</v>
      </c>
      <c r="N1059">
        <f>IFERROR(VLOOKUP(D1059,Products!$A$2:$F$61,4,FALSE()),"")</f>
        <v>675</v>
      </c>
      <c r="O1059" t="str">
        <f>IFERROR(VLOOKUP(C1059,Customers!$A$2:$F$301,5,FALSE()),"")</f>
        <v>SMB</v>
      </c>
      <c r="P1059">
        <f>IFERROR(VLOOKUP(C1059,Customers!$A$2:$F$301,3,FALSE()),"")</f>
        <v>48</v>
      </c>
      <c r="Q1059">
        <f t="shared" si="48"/>
        <v>0.296875</v>
      </c>
      <c r="R1059">
        <f>IF(AND(COUNTIF($A$2:$A$2027,A1059)&gt;1,COUNTIF($A$2:A1059,A1059)=1),1,0)</f>
        <v>0</v>
      </c>
      <c r="S1059" t="b">
        <f>IFERROR(VLOOKUP(D1059,Products!$A$2:$F$61,6,FALSE()),"")</f>
        <v>1</v>
      </c>
      <c r="T1059" t="str">
        <f>IF(COUNTIF(Customers!$A$2:$A$301,C1059)=0,"Missing","OK")</f>
        <v>OK</v>
      </c>
      <c r="U1059" t="str">
        <f t="shared" si="49"/>
        <v>Delhi</v>
      </c>
      <c r="V1059">
        <f t="shared" si="50"/>
        <v>0</v>
      </c>
    </row>
    <row r="1060" spans="1:22" ht="15" customHeight="1" x14ac:dyDescent="0.35">
      <c r="A1060" s="3" t="s">
        <v>1482</v>
      </c>
      <c r="B1060" s="4">
        <v>45524</v>
      </c>
      <c r="C1060" s="3" t="s">
        <v>170</v>
      </c>
      <c r="D1060" s="3" t="s">
        <v>198</v>
      </c>
      <c r="E1060" s="3" t="s">
        <v>71</v>
      </c>
      <c r="F1060" s="5">
        <v>1</v>
      </c>
      <c r="G1060" s="5">
        <v>1540</v>
      </c>
      <c r="H1060" s="5">
        <v>5.6</v>
      </c>
      <c r="I1060" s="5">
        <v>1453.76</v>
      </c>
      <c r="J1060" s="3" t="s">
        <v>26</v>
      </c>
      <c r="K1060" s="3" t="s">
        <v>56</v>
      </c>
      <c r="L1060" t="str">
        <f>IFERROR(VLOOKUP(D1060,Products!$A$2:$F$61,3,FALSE()),"")</f>
        <v>Beauty</v>
      </c>
      <c r="M1060" t="str">
        <f>IFERROR(VLOOKUP(E1060,Sales_Reps!$A$2:$C$31,3,FALSE()),"")</f>
        <v>South</v>
      </c>
      <c r="N1060">
        <f>IFERROR(VLOOKUP(D1060,Products!$A$2:$F$61,4,FALSE()),"")</f>
        <v>647</v>
      </c>
      <c r="O1060" t="str">
        <f>IFERROR(VLOOKUP(C1060,Customers!$A$2:$F$301,5,FALSE()),"")</f>
        <v>SMB</v>
      </c>
      <c r="P1060">
        <f>IFERROR(VLOOKUP(C1060,Customers!$A$2:$F$301,3,FALSE()),"")</f>
        <v>64</v>
      </c>
      <c r="Q1060">
        <f t="shared" si="48"/>
        <v>0.57987012987012987</v>
      </c>
      <c r="R1060">
        <f>IF(AND(COUNTIF($A$2:$A$2027,A1060)&gt;1,COUNTIF($A$2:A1060,A1060)=1),1,0)</f>
        <v>0</v>
      </c>
      <c r="S1060" t="b">
        <f>IFERROR(VLOOKUP(D1060,Products!$A$2:$F$61,6,FALSE()),"")</f>
        <v>0</v>
      </c>
      <c r="T1060" t="str">
        <f>IF(COUNTIF(Customers!$A$2:$A$301,C1060)=0,"Missing","OK")</f>
        <v>OK</v>
      </c>
      <c r="U1060" t="str">
        <f t="shared" si="49"/>
        <v>Bengaluru</v>
      </c>
      <c r="V1060">
        <f t="shared" si="50"/>
        <v>0</v>
      </c>
    </row>
    <row r="1061" spans="1:22" ht="15" customHeight="1" x14ac:dyDescent="0.35">
      <c r="A1061" s="3" t="s">
        <v>1483</v>
      </c>
      <c r="B1061" s="4">
        <v>45397</v>
      </c>
      <c r="C1061" s="3" t="s">
        <v>942</v>
      </c>
      <c r="D1061" s="3" t="s">
        <v>118</v>
      </c>
      <c r="E1061" s="3" t="s">
        <v>60</v>
      </c>
      <c r="F1061" s="5">
        <v>9</v>
      </c>
      <c r="G1061" s="5">
        <v>3350</v>
      </c>
      <c r="H1061" s="5">
        <v>2.1</v>
      </c>
      <c r="I1061" s="5">
        <v>29516.85</v>
      </c>
      <c r="J1061" s="3" t="s">
        <v>26</v>
      </c>
      <c r="K1061" s="3" t="s">
        <v>38</v>
      </c>
      <c r="L1061" t="str">
        <f>IFERROR(VLOOKUP(D1061,Products!$A$2:$F$61,3,FALSE()),"")</f>
        <v>Beauty</v>
      </c>
      <c r="M1061" t="str">
        <f>IFERROR(VLOOKUP(E1061,Sales_Reps!$A$2:$C$31,3,FALSE()),"")</f>
        <v>East</v>
      </c>
      <c r="N1061">
        <f>IFERROR(VLOOKUP(D1061,Products!$A$2:$F$61,4,FALSE()),"")</f>
        <v>1728</v>
      </c>
      <c r="O1061" t="str">
        <f>IFERROR(VLOOKUP(C1061,Customers!$A$2:$F$301,5,FALSE()),"")</f>
        <v>SMB</v>
      </c>
      <c r="P1061">
        <f>IFERROR(VLOOKUP(C1061,Customers!$A$2:$F$301,3,FALSE()),"")</f>
        <v>45</v>
      </c>
      <c r="Q1061">
        <f t="shared" si="48"/>
        <v>0.48417910447761192</v>
      </c>
      <c r="R1061">
        <f>IF(AND(COUNTIF($A$2:$A$2027,A1061)&gt;1,COUNTIF($A$2:A1061,A1061)=1),1,0)</f>
        <v>0</v>
      </c>
      <c r="S1061" t="b">
        <f>IFERROR(VLOOKUP(D1061,Products!$A$2:$F$61,6,FALSE()),"")</f>
        <v>1</v>
      </c>
      <c r="T1061" t="str">
        <f>IF(COUNTIF(Customers!$A$2:$A$301,C1061)=0,"Missing","OK")</f>
        <v>OK</v>
      </c>
      <c r="U1061" t="str">
        <f t="shared" si="49"/>
        <v>Delhi</v>
      </c>
      <c r="V1061">
        <f t="shared" si="50"/>
        <v>0</v>
      </c>
    </row>
    <row r="1062" spans="1:22" ht="15" customHeight="1" x14ac:dyDescent="0.35">
      <c r="A1062" s="3" t="s">
        <v>1484</v>
      </c>
      <c r="B1062" s="4">
        <v>45336</v>
      </c>
      <c r="C1062" s="3" t="s">
        <v>847</v>
      </c>
      <c r="D1062" s="3" t="s">
        <v>100</v>
      </c>
      <c r="E1062" s="3" t="s">
        <v>97</v>
      </c>
      <c r="F1062" s="5">
        <v>7</v>
      </c>
      <c r="G1062" s="5">
        <v>3450</v>
      </c>
      <c r="H1062" s="5">
        <v>4.7</v>
      </c>
      <c r="I1062" s="5">
        <v>23014.95</v>
      </c>
      <c r="J1062" s="3" t="s">
        <v>26</v>
      </c>
      <c r="K1062" s="3" t="s">
        <v>72</v>
      </c>
      <c r="L1062" t="str">
        <f>IFERROR(VLOOKUP(D1062,Products!$A$2:$F$61,3,FALSE()),"")</f>
        <v>Sports</v>
      </c>
      <c r="M1062" t="str">
        <f>IFERROR(VLOOKUP(E1062,Sales_Reps!$A$2:$C$31,3,FALSE()),"")</f>
        <v>East</v>
      </c>
      <c r="N1062">
        <f>IFERROR(VLOOKUP(D1062,Products!$A$2:$F$61,4,FALSE()),"")</f>
        <v>2467</v>
      </c>
      <c r="O1062" t="str">
        <f>IFERROR(VLOOKUP(C1062,Customers!$A$2:$F$301,5,FALSE()),"")</f>
        <v>Retail</v>
      </c>
      <c r="P1062">
        <f>IFERROR(VLOOKUP(C1062,Customers!$A$2:$F$301,3,FALSE()),"")</f>
        <v>31</v>
      </c>
      <c r="Q1062">
        <f t="shared" si="48"/>
        <v>0.28492753623188405</v>
      </c>
      <c r="R1062">
        <f>IF(AND(COUNTIF($A$2:$A$2027,A1062)&gt;1,COUNTIF($A$2:A1062,A1062)=1),1,0)</f>
        <v>0</v>
      </c>
      <c r="S1062" t="b">
        <f>IFERROR(VLOOKUP(D1062,Products!$A$2:$F$61,6,FALSE()),"")</f>
        <v>1</v>
      </c>
      <c r="T1062" t="str">
        <f>IF(COUNTIF(Customers!$A$2:$A$301,C1062)=0,"Missing","OK")</f>
        <v>OK</v>
      </c>
      <c r="U1062" t="str">
        <f t="shared" si="49"/>
        <v>Hyderabad</v>
      </c>
      <c r="V1062">
        <f t="shared" si="50"/>
        <v>0</v>
      </c>
    </row>
    <row r="1063" spans="1:22" ht="15" customHeight="1" x14ac:dyDescent="0.35">
      <c r="A1063" s="3" t="s">
        <v>1485</v>
      </c>
      <c r="B1063" s="4">
        <v>45594</v>
      </c>
      <c r="C1063" s="3" t="s">
        <v>233</v>
      </c>
      <c r="D1063" s="3" t="s">
        <v>54</v>
      </c>
      <c r="E1063" s="3" t="s">
        <v>60</v>
      </c>
      <c r="F1063" s="5">
        <v>10</v>
      </c>
      <c r="G1063" s="5">
        <v>960</v>
      </c>
      <c r="H1063" s="5">
        <v>17.899999999999999</v>
      </c>
      <c r="I1063" s="5">
        <v>7881.6</v>
      </c>
      <c r="J1063" s="3" t="s">
        <v>26</v>
      </c>
      <c r="K1063" s="3" t="s">
        <v>72</v>
      </c>
      <c r="L1063" t="str">
        <f>IFERROR(VLOOKUP(D1063,Products!$A$2:$F$61,3,FALSE()),"")</f>
        <v>Sports</v>
      </c>
      <c r="M1063" t="str">
        <f>IFERROR(VLOOKUP(E1063,Sales_Reps!$A$2:$C$31,3,FALSE()),"")</f>
        <v>East</v>
      </c>
      <c r="N1063">
        <f>IFERROR(VLOOKUP(D1063,Products!$A$2:$F$61,4,FALSE()),"")</f>
        <v>705</v>
      </c>
      <c r="O1063" t="str">
        <f>IFERROR(VLOOKUP(C1063,Customers!$A$2:$F$301,5,FALSE()),"")</f>
        <v>SMB</v>
      </c>
      <c r="P1063">
        <f>IFERROR(VLOOKUP(C1063,Customers!$A$2:$F$301,3,FALSE()),"")</f>
        <v>43</v>
      </c>
      <c r="Q1063">
        <f t="shared" si="48"/>
        <v>0.265625</v>
      </c>
      <c r="R1063">
        <f>IF(AND(COUNTIF($A$2:$A$2027,A1063)&gt;1,COUNTIF($A$2:A1063,A1063)=1),1,0)</f>
        <v>0</v>
      </c>
      <c r="S1063" t="b">
        <f>IFERROR(VLOOKUP(D1063,Products!$A$2:$F$61,6,FALSE()),"")</f>
        <v>1</v>
      </c>
      <c r="T1063" t="str">
        <f>IF(COUNTIF(Customers!$A$2:$A$301,C1063)=0,"Missing","OK")</f>
        <v>OK</v>
      </c>
      <c r="U1063" t="str">
        <f t="shared" si="49"/>
        <v>Hyderabad</v>
      </c>
      <c r="V1063">
        <f t="shared" si="50"/>
        <v>0</v>
      </c>
    </row>
    <row r="1064" spans="1:22" ht="15" customHeight="1" x14ac:dyDescent="0.35">
      <c r="A1064" s="3" t="s">
        <v>1486</v>
      </c>
      <c r="B1064" s="4">
        <v>45617</v>
      </c>
      <c r="C1064" s="3" t="s">
        <v>368</v>
      </c>
      <c r="D1064" s="3" t="s">
        <v>176</v>
      </c>
      <c r="E1064" s="3" t="s">
        <v>37</v>
      </c>
      <c r="F1064" s="5">
        <v>1</v>
      </c>
      <c r="G1064" s="5">
        <v>3640</v>
      </c>
      <c r="H1064" s="5">
        <v>8.8000000000000007</v>
      </c>
      <c r="I1064" s="5">
        <v>3319.68</v>
      </c>
      <c r="J1064" s="3" t="s">
        <v>26</v>
      </c>
      <c r="K1064" s="3" t="s">
        <v>56</v>
      </c>
      <c r="L1064" t="str">
        <f>IFERROR(VLOOKUP(D1064,Products!$A$2:$F$61,3,FALSE()),"")</f>
        <v>Apparel</v>
      </c>
      <c r="M1064" t="str">
        <f>IFERROR(VLOOKUP(E1064,Sales_Reps!$A$2:$C$31,3,FALSE()),"")</f>
        <v>South</v>
      </c>
      <c r="N1064">
        <f>IFERROR(VLOOKUP(D1064,Products!$A$2:$F$61,4,FALSE()),"")</f>
        <v>2611</v>
      </c>
      <c r="O1064" t="str">
        <f>IFERROR(VLOOKUP(C1064,Customers!$A$2:$F$301,5,FALSE()),"")</f>
        <v>Retail</v>
      </c>
      <c r="P1064">
        <f>IFERROR(VLOOKUP(C1064,Customers!$A$2:$F$301,3,FALSE()),"")</f>
        <v>55</v>
      </c>
      <c r="Q1064">
        <f t="shared" si="48"/>
        <v>0.28269230769230769</v>
      </c>
      <c r="R1064">
        <f>IF(AND(COUNTIF($A$2:$A$2027,A1064)&gt;1,COUNTIF($A$2:A1064,A1064)=1),1,0)</f>
        <v>0</v>
      </c>
      <c r="S1064" t="b">
        <f>IFERROR(VLOOKUP(D1064,Products!$A$2:$F$61,6,FALSE()),"")</f>
        <v>1</v>
      </c>
      <c r="T1064" t="str">
        <f>IF(COUNTIF(Customers!$A$2:$A$301,C1064)=0,"Missing","OK")</f>
        <v>OK</v>
      </c>
      <c r="U1064" t="str">
        <f t="shared" si="49"/>
        <v>Bengaluru</v>
      </c>
      <c r="V1064">
        <f t="shared" si="50"/>
        <v>0</v>
      </c>
    </row>
    <row r="1065" spans="1:22" ht="15" customHeight="1" x14ac:dyDescent="0.35">
      <c r="A1065" s="3" t="s">
        <v>1487</v>
      </c>
      <c r="B1065" s="4">
        <v>45378</v>
      </c>
      <c r="C1065" s="3" t="s">
        <v>718</v>
      </c>
      <c r="D1065" s="3" t="s">
        <v>277</v>
      </c>
      <c r="E1065" s="3" t="s">
        <v>177</v>
      </c>
      <c r="F1065" s="5">
        <v>1</v>
      </c>
      <c r="G1065" s="5">
        <v>2210</v>
      </c>
      <c r="H1065" s="5">
        <v>10.7</v>
      </c>
      <c r="I1065" s="5">
        <v>1973.53</v>
      </c>
      <c r="J1065" s="3" t="s">
        <v>26</v>
      </c>
      <c r="K1065" s="3" t="s">
        <v>56</v>
      </c>
      <c r="L1065" t="str">
        <f>IFERROR(VLOOKUP(D1065,Products!$A$2:$F$61,3,FALSE()),"")</f>
        <v>Grocery</v>
      </c>
      <c r="M1065" t="str">
        <f>IFERROR(VLOOKUP(E1065,Sales_Reps!$A$2:$C$31,3,FALSE()),"")</f>
        <v>East</v>
      </c>
      <c r="N1065">
        <f>IFERROR(VLOOKUP(D1065,Products!$A$2:$F$61,4,FALSE()),"")</f>
        <v>1010</v>
      </c>
      <c r="O1065" t="str">
        <f>IFERROR(VLOOKUP(C1065,Customers!$A$2:$F$301,5,FALSE()),"")</f>
        <v>Retail</v>
      </c>
      <c r="P1065">
        <f>IFERROR(VLOOKUP(C1065,Customers!$A$2:$F$301,3,FALSE()),"")</f>
        <v>27</v>
      </c>
      <c r="Q1065">
        <f t="shared" si="48"/>
        <v>0.54298642533936647</v>
      </c>
      <c r="R1065">
        <f>IF(AND(COUNTIF($A$2:$A$2027,A1065)&gt;1,COUNTIF($A$2:A1065,A1065)=1),1,0)</f>
        <v>0</v>
      </c>
      <c r="S1065" t="b">
        <f>IFERROR(VLOOKUP(D1065,Products!$A$2:$F$61,6,FALSE()),"")</f>
        <v>1</v>
      </c>
      <c r="T1065" t="str">
        <f>IF(COUNTIF(Customers!$A$2:$A$301,C1065)=0,"Missing","OK")</f>
        <v>OK</v>
      </c>
      <c r="U1065" t="str">
        <f t="shared" si="49"/>
        <v>Bengaluru</v>
      </c>
      <c r="V1065">
        <f t="shared" si="50"/>
        <v>1973.53</v>
      </c>
    </row>
    <row r="1066" spans="1:22" ht="15" customHeight="1" x14ac:dyDescent="0.35">
      <c r="A1066" s="3" t="s">
        <v>1488</v>
      </c>
      <c r="B1066" s="4">
        <v>45318</v>
      </c>
      <c r="C1066" s="3" t="s">
        <v>40</v>
      </c>
      <c r="D1066" s="3" t="s">
        <v>165</v>
      </c>
      <c r="E1066" s="3" t="s">
        <v>31</v>
      </c>
      <c r="F1066" s="5">
        <v>2</v>
      </c>
      <c r="G1066" s="5">
        <v>3730</v>
      </c>
      <c r="H1066" s="5">
        <v>13.9</v>
      </c>
      <c r="I1066" s="5">
        <v>6423.06</v>
      </c>
      <c r="J1066" s="3" t="s">
        <v>26</v>
      </c>
      <c r="K1066" s="3" t="s">
        <v>38</v>
      </c>
      <c r="L1066" t="str">
        <f>IFERROR(VLOOKUP(D1066,Products!$A$2:$F$61,3,FALSE()),"")</f>
        <v>Home</v>
      </c>
      <c r="M1066" t="str">
        <f>IFERROR(VLOOKUP(E1066,Sales_Reps!$A$2:$C$31,3,FALSE()),"")</f>
        <v>North</v>
      </c>
      <c r="N1066">
        <f>IFERROR(VLOOKUP(D1066,Products!$A$2:$F$61,4,FALSE()),"")</f>
        <v>2135</v>
      </c>
      <c r="O1066" t="str">
        <f>IFERROR(VLOOKUP(C1066,Customers!$A$2:$F$301,5,FALSE()),"")</f>
        <v>Corporate</v>
      </c>
      <c r="P1066">
        <f>IFERROR(VLOOKUP(C1066,Customers!$A$2:$F$301,3,FALSE()),"")</f>
        <v>46</v>
      </c>
      <c r="Q1066">
        <f t="shared" si="48"/>
        <v>0.42761394101876676</v>
      </c>
      <c r="R1066">
        <f>IF(AND(COUNTIF($A$2:$A$2027,A1066)&gt;1,COUNTIF($A$2:A1066,A1066)=1),1,0)</f>
        <v>0</v>
      </c>
      <c r="S1066" t="b">
        <f>IFERROR(VLOOKUP(D1066,Products!$A$2:$F$61,6,FALSE()),"")</f>
        <v>1</v>
      </c>
      <c r="T1066" t="str">
        <f>IF(COUNTIF(Customers!$A$2:$A$301,C1066)=0,"Missing","OK")</f>
        <v>OK</v>
      </c>
      <c r="U1066" t="str">
        <f t="shared" si="49"/>
        <v>Delhi</v>
      </c>
      <c r="V1066">
        <f t="shared" si="50"/>
        <v>0</v>
      </c>
    </row>
    <row r="1067" spans="1:22" ht="15" customHeight="1" x14ac:dyDescent="0.35">
      <c r="A1067" s="3" t="s">
        <v>1489</v>
      </c>
      <c r="B1067" s="4">
        <v>45542</v>
      </c>
      <c r="C1067" s="3" t="s">
        <v>366</v>
      </c>
      <c r="D1067" s="3" t="s">
        <v>299</v>
      </c>
      <c r="E1067" s="3" t="s">
        <v>71</v>
      </c>
      <c r="F1067" s="5">
        <v>7</v>
      </c>
      <c r="G1067" s="5">
        <v>5410</v>
      </c>
      <c r="H1067" s="5">
        <v>23.6</v>
      </c>
      <c r="I1067" s="5">
        <v>28932.68</v>
      </c>
      <c r="J1067" s="3" t="s">
        <v>26</v>
      </c>
      <c r="K1067" s="3" t="s">
        <v>27</v>
      </c>
      <c r="L1067" t="str">
        <f>IFERROR(VLOOKUP(D1067,Products!$A$2:$F$61,3,FALSE()),"")</f>
        <v>Sports</v>
      </c>
      <c r="M1067" t="str">
        <f>IFERROR(VLOOKUP(E1067,Sales_Reps!$A$2:$C$31,3,FALSE()),"")</f>
        <v>South</v>
      </c>
      <c r="N1067">
        <f>IFERROR(VLOOKUP(D1067,Products!$A$2:$F$61,4,FALSE()),"")</f>
        <v>2265</v>
      </c>
      <c r="O1067" t="str">
        <f>IFERROR(VLOOKUP(C1067,Customers!$A$2:$F$301,5,FALSE()),"")</f>
        <v>Corporate</v>
      </c>
      <c r="P1067">
        <f>IFERROR(VLOOKUP(C1067,Customers!$A$2:$F$301,3,FALSE()),"")</f>
        <v>48</v>
      </c>
      <c r="Q1067">
        <f t="shared" si="48"/>
        <v>0.58133086876155271</v>
      </c>
      <c r="R1067">
        <f>IF(AND(COUNTIF($A$2:$A$2027,A1067)&gt;1,COUNTIF($A$2:A1067,A1067)=1),1,0)</f>
        <v>0</v>
      </c>
      <c r="S1067" t="b">
        <f>IFERROR(VLOOKUP(D1067,Products!$A$2:$F$61,6,FALSE()),"")</f>
        <v>1</v>
      </c>
      <c r="T1067" t="str">
        <f>IF(COUNTIF(Customers!$A$2:$A$301,C1067)=0,"Missing","OK")</f>
        <v>OK</v>
      </c>
      <c r="U1067" t="str">
        <f t="shared" si="49"/>
        <v>Pune</v>
      </c>
      <c r="V1067">
        <f t="shared" si="50"/>
        <v>0</v>
      </c>
    </row>
    <row r="1068" spans="1:22" ht="15" customHeight="1" x14ac:dyDescent="0.35">
      <c r="A1068" s="3" t="s">
        <v>1490</v>
      </c>
      <c r="B1068" s="4">
        <v>45618</v>
      </c>
      <c r="C1068" s="3" t="s">
        <v>811</v>
      </c>
      <c r="D1068" s="3" t="s">
        <v>173</v>
      </c>
      <c r="E1068" s="3" t="s">
        <v>242</v>
      </c>
      <c r="F1068" s="5">
        <v>7</v>
      </c>
      <c r="G1068" s="5">
        <v>3780</v>
      </c>
      <c r="H1068" s="5">
        <v>8.5</v>
      </c>
      <c r="I1068" s="5">
        <v>24210.9</v>
      </c>
      <c r="J1068" s="3" t="s">
        <v>79</v>
      </c>
      <c r="K1068" s="3" t="s">
        <v>51</v>
      </c>
      <c r="L1068" t="str">
        <f>IFERROR(VLOOKUP(D1068,Products!$A$2:$F$61,3,FALSE()),"")</f>
        <v>Grocery</v>
      </c>
      <c r="M1068" t="str">
        <f>IFERROR(VLOOKUP(E1068,Sales_Reps!$A$2:$C$31,3,FALSE()),"")</f>
        <v>East</v>
      </c>
      <c r="N1068">
        <f>IFERROR(VLOOKUP(D1068,Products!$A$2:$F$61,4,FALSE()),"")</f>
        <v>2436</v>
      </c>
      <c r="O1068" t="str">
        <f>IFERROR(VLOOKUP(C1068,Customers!$A$2:$F$301,5,FALSE()),"")</f>
        <v>Corporate</v>
      </c>
      <c r="P1068">
        <f>IFERROR(VLOOKUP(C1068,Customers!$A$2:$F$301,3,FALSE()),"")</f>
        <v>62</v>
      </c>
      <c r="Q1068">
        <f t="shared" si="48"/>
        <v>0.35555555555555557</v>
      </c>
      <c r="R1068">
        <f>IF(AND(COUNTIF($A$2:$A$2027,A1068)&gt;1,COUNTIF($A$2:A1068,A1068)=1),1,0)</f>
        <v>0</v>
      </c>
      <c r="S1068" t="b">
        <f>IFERROR(VLOOKUP(D1068,Products!$A$2:$F$61,6,FALSE()),"")</f>
        <v>1</v>
      </c>
      <c r="T1068" t="str">
        <f>IF(COUNTIF(Customers!$A$2:$A$301,C1068)=0,"Missing","OK")</f>
        <v>OK</v>
      </c>
      <c r="U1068" t="str">
        <f t="shared" si="49"/>
        <v>Mumbai</v>
      </c>
      <c r="V1068">
        <f t="shared" si="50"/>
        <v>0</v>
      </c>
    </row>
    <row r="1069" spans="1:22" ht="15" customHeight="1" x14ac:dyDescent="0.35">
      <c r="A1069" s="3" t="s">
        <v>1491</v>
      </c>
      <c r="B1069" s="4">
        <v>45555</v>
      </c>
      <c r="C1069" s="3" t="s">
        <v>197</v>
      </c>
      <c r="D1069" s="3" t="s">
        <v>209</v>
      </c>
      <c r="E1069" s="3" t="s">
        <v>285</v>
      </c>
      <c r="F1069" s="5">
        <v>9</v>
      </c>
      <c r="G1069" s="5">
        <v>4610</v>
      </c>
      <c r="H1069" s="5">
        <v>26.6</v>
      </c>
      <c r="I1069" s="5">
        <v>30453.66</v>
      </c>
      <c r="J1069" s="3" t="s">
        <v>26</v>
      </c>
      <c r="K1069" s="3" t="s">
        <v>38</v>
      </c>
      <c r="L1069" t="str">
        <f>IFERROR(VLOOKUP(D1069,Products!$A$2:$F$61,3,FALSE()),"")</f>
        <v>Home</v>
      </c>
      <c r="M1069" t="str">
        <f>IFERROR(VLOOKUP(E1069,Sales_Reps!$A$2:$C$31,3,FALSE()),"")</f>
        <v>South</v>
      </c>
      <c r="N1069">
        <f>IFERROR(VLOOKUP(D1069,Products!$A$2:$F$61,4,FALSE()),"")</f>
        <v>1850</v>
      </c>
      <c r="O1069" t="str">
        <f>IFERROR(VLOOKUP(C1069,Customers!$A$2:$F$301,5,FALSE()),"")</f>
        <v>SMB</v>
      </c>
      <c r="P1069">
        <f>IFERROR(VLOOKUP(C1069,Customers!$A$2:$F$301,3,FALSE()),"")</f>
        <v>55</v>
      </c>
      <c r="Q1069">
        <f t="shared" si="48"/>
        <v>0.59869848156182215</v>
      </c>
      <c r="R1069">
        <f>IF(AND(COUNTIF($A$2:$A$2027,A1069)&gt;1,COUNTIF($A$2:A1069,A1069)=1),1,0)</f>
        <v>0</v>
      </c>
      <c r="S1069" t="b">
        <f>IFERROR(VLOOKUP(D1069,Products!$A$2:$F$61,6,FALSE()),"")</f>
        <v>1</v>
      </c>
      <c r="T1069" t="str">
        <f>IF(COUNTIF(Customers!$A$2:$A$301,C1069)=0,"Missing","OK")</f>
        <v>OK</v>
      </c>
      <c r="U1069" t="str">
        <f t="shared" si="49"/>
        <v>Delhi</v>
      </c>
      <c r="V1069">
        <f t="shared" si="50"/>
        <v>0</v>
      </c>
    </row>
    <row r="1070" spans="1:22" ht="15" customHeight="1" x14ac:dyDescent="0.35">
      <c r="A1070" s="3" t="s">
        <v>1492</v>
      </c>
      <c r="B1070" s="4">
        <v>45373</v>
      </c>
      <c r="C1070" s="3" t="s">
        <v>541</v>
      </c>
      <c r="D1070" s="3" t="s">
        <v>74</v>
      </c>
      <c r="E1070" s="3" t="s">
        <v>50</v>
      </c>
      <c r="F1070" s="5">
        <v>5</v>
      </c>
      <c r="G1070" s="5">
        <v>2640</v>
      </c>
      <c r="H1070" s="5">
        <v>1.5</v>
      </c>
      <c r="I1070" s="5">
        <v>13002</v>
      </c>
      <c r="J1070" s="3" t="s">
        <v>26</v>
      </c>
      <c r="K1070" s="3" t="s">
        <v>33</v>
      </c>
      <c r="L1070" t="str">
        <f>IFERROR(VLOOKUP(D1070,Products!$A$2:$F$61,3,FALSE()),"")</f>
        <v>Electronics</v>
      </c>
      <c r="M1070" t="str">
        <f>IFERROR(VLOOKUP(E1070,Sales_Reps!$A$2:$C$31,3,FALSE()),"")</f>
        <v>West</v>
      </c>
      <c r="N1070">
        <f>IFERROR(VLOOKUP(D1070,Products!$A$2:$F$61,4,FALSE()),"")</f>
        <v>1149</v>
      </c>
      <c r="O1070" t="str">
        <f>IFERROR(VLOOKUP(C1070,Customers!$A$2:$F$301,5,FALSE()),"")</f>
        <v>Retail</v>
      </c>
      <c r="P1070">
        <f>IFERROR(VLOOKUP(C1070,Customers!$A$2:$F$301,3,FALSE()),"")</f>
        <v>61</v>
      </c>
      <c r="Q1070">
        <f t="shared" si="48"/>
        <v>0.56477272727272732</v>
      </c>
      <c r="R1070">
        <f>IF(AND(COUNTIF($A$2:$A$2027,A1070)&gt;1,COUNTIF($A$2:A1070,A1070)=1),1,0)</f>
        <v>0</v>
      </c>
      <c r="S1070" t="b">
        <f>IFERROR(VLOOKUP(D1070,Products!$A$2:$F$61,6,FALSE()),"")</f>
        <v>1</v>
      </c>
      <c r="T1070" t="str">
        <f>IF(COUNTIF(Customers!$A$2:$A$301,C1070)=0,"Missing","OK")</f>
        <v>OK</v>
      </c>
      <c r="U1070" t="str">
        <f t="shared" si="49"/>
        <v>Chennai</v>
      </c>
      <c r="V1070">
        <f t="shared" si="50"/>
        <v>0</v>
      </c>
    </row>
    <row r="1071" spans="1:22" ht="15" customHeight="1" x14ac:dyDescent="0.35">
      <c r="A1071" s="3" t="s">
        <v>1493</v>
      </c>
      <c r="B1071" s="4">
        <v>45515</v>
      </c>
      <c r="C1071" s="3" t="s">
        <v>162</v>
      </c>
      <c r="D1071" s="3" t="s">
        <v>24</v>
      </c>
      <c r="E1071" s="3" t="s">
        <v>71</v>
      </c>
      <c r="F1071" s="5">
        <v>3</v>
      </c>
      <c r="G1071" s="5">
        <v>3620</v>
      </c>
      <c r="H1071" s="5">
        <v>3.1</v>
      </c>
      <c r="I1071" s="5">
        <v>10523.34</v>
      </c>
      <c r="J1071" s="3" t="s">
        <v>26</v>
      </c>
      <c r="K1071" s="3" t="s">
        <v>38</v>
      </c>
      <c r="L1071" t="str">
        <f>IFERROR(VLOOKUP(D1071,Products!$A$2:$F$61,3,FALSE()),"")</f>
        <v>Apparel</v>
      </c>
      <c r="M1071" t="str">
        <f>IFERROR(VLOOKUP(E1071,Sales_Reps!$A$2:$C$31,3,FALSE()),"")</f>
        <v>South</v>
      </c>
      <c r="N1071">
        <f>IFERROR(VLOOKUP(D1071,Products!$A$2:$F$61,4,FALSE()),"")</f>
        <v>2509</v>
      </c>
      <c r="O1071" t="str">
        <f>IFERROR(VLOOKUP(C1071,Customers!$A$2:$F$301,5,FALSE()),"")</f>
        <v>Retail</v>
      </c>
      <c r="P1071">
        <f>IFERROR(VLOOKUP(C1071,Customers!$A$2:$F$301,3,FALSE()),"")</f>
        <v>53</v>
      </c>
      <c r="Q1071">
        <f t="shared" si="48"/>
        <v>0.3069060773480663</v>
      </c>
      <c r="R1071">
        <f>IF(AND(COUNTIF($A$2:$A$2027,A1071)&gt;1,COUNTIF($A$2:A1071,A1071)=1),1,0)</f>
        <v>0</v>
      </c>
      <c r="S1071" t="b">
        <f>IFERROR(VLOOKUP(D1071,Products!$A$2:$F$61,6,FALSE()),"")</f>
        <v>1</v>
      </c>
      <c r="T1071" t="str">
        <f>IF(COUNTIF(Customers!$A$2:$A$301,C1071)=0,"Missing","OK")</f>
        <v>OK</v>
      </c>
      <c r="U1071" t="str">
        <f t="shared" si="49"/>
        <v>Delhi</v>
      </c>
      <c r="V1071">
        <f t="shared" si="50"/>
        <v>0</v>
      </c>
    </row>
    <row r="1072" spans="1:22" ht="15" customHeight="1" x14ac:dyDescent="0.35">
      <c r="A1072" s="3" t="s">
        <v>1494</v>
      </c>
      <c r="B1072" s="4">
        <v>45530</v>
      </c>
      <c r="C1072" s="3" t="s">
        <v>736</v>
      </c>
      <c r="D1072" s="3" t="s">
        <v>36</v>
      </c>
      <c r="E1072" s="3" t="s">
        <v>242</v>
      </c>
      <c r="F1072" s="5">
        <v>5</v>
      </c>
      <c r="G1072" s="5">
        <v>470</v>
      </c>
      <c r="H1072" s="5">
        <v>10.6</v>
      </c>
      <c r="I1072" s="5">
        <v>2100.9</v>
      </c>
      <c r="J1072" s="3" t="s">
        <v>79</v>
      </c>
      <c r="K1072" s="3" t="s">
        <v>38</v>
      </c>
      <c r="L1072" t="str">
        <f>IFERROR(VLOOKUP(D1072,Products!$A$2:$F$61,3,FALSE()),"")</f>
        <v>Sports</v>
      </c>
      <c r="M1072" t="str">
        <f>IFERROR(VLOOKUP(E1072,Sales_Reps!$A$2:$C$31,3,FALSE()),"")</f>
        <v>East</v>
      </c>
      <c r="N1072">
        <f>IFERROR(VLOOKUP(D1072,Products!$A$2:$F$61,4,FALSE()),"")</f>
        <v>302</v>
      </c>
      <c r="O1072" t="str">
        <f>IFERROR(VLOOKUP(C1072,Customers!$A$2:$F$301,5,FALSE()),"")</f>
        <v>Retail</v>
      </c>
      <c r="P1072">
        <f>IFERROR(VLOOKUP(C1072,Customers!$A$2:$F$301,3,FALSE()),"")</f>
        <v>63</v>
      </c>
      <c r="Q1072">
        <f t="shared" si="48"/>
        <v>0.35744680851063831</v>
      </c>
      <c r="R1072">
        <f>IF(AND(COUNTIF($A$2:$A$2027,A1072)&gt;1,COUNTIF($A$2:A1072,A1072)=1),1,0)</f>
        <v>0</v>
      </c>
      <c r="S1072" t="b">
        <f>IFERROR(VLOOKUP(D1072,Products!$A$2:$F$61,6,FALSE()),"")</f>
        <v>0</v>
      </c>
      <c r="T1072" t="str">
        <f>IF(COUNTIF(Customers!$A$2:$A$301,C1072)=0,"Missing","OK")</f>
        <v>OK</v>
      </c>
      <c r="U1072" t="str">
        <f t="shared" si="49"/>
        <v>Delhi</v>
      </c>
      <c r="V1072">
        <f t="shared" si="50"/>
        <v>0</v>
      </c>
    </row>
    <row r="1073" spans="1:22" ht="15" customHeight="1" x14ac:dyDescent="0.35">
      <c r="A1073" s="3" t="s">
        <v>1495</v>
      </c>
      <c r="B1073" s="4">
        <v>45463</v>
      </c>
      <c r="C1073" s="3" t="s">
        <v>200</v>
      </c>
      <c r="D1073" s="3" t="s">
        <v>303</v>
      </c>
      <c r="E1073" s="3" t="s">
        <v>143</v>
      </c>
      <c r="F1073" s="5">
        <v>7</v>
      </c>
      <c r="G1073" s="5">
        <v>5330</v>
      </c>
      <c r="H1073" s="5">
        <v>25</v>
      </c>
      <c r="I1073" s="5">
        <v>27982.5</v>
      </c>
      <c r="J1073" s="3" t="s">
        <v>79</v>
      </c>
      <c r="K1073" s="3" t="s">
        <v>38</v>
      </c>
      <c r="L1073" t="str">
        <f>IFERROR(VLOOKUP(D1073,Products!$A$2:$F$61,3,FALSE()),"")</f>
        <v>Electronics</v>
      </c>
      <c r="M1073" t="str">
        <f>IFERROR(VLOOKUP(E1073,Sales_Reps!$A$2:$C$31,3,FALSE()),"")</f>
        <v>South</v>
      </c>
      <c r="N1073">
        <f>IFERROR(VLOOKUP(D1073,Products!$A$2:$F$61,4,FALSE()),"")</f>
        <v>2405</v>
      </c>
      <c r="O1073" t="str">
        <f>IFERROR(VLOOKUP(C1073,Customers!$A$2:$F$301,5,FALSE()),"")</f>
        <v>Retail</v>
      </c>
      <c r="P1073">
        <f>IFERROR(VLOOKUP(C1073,Customers!$A$2:$F$301,3,FALSE()),"")</f>
        <v>54</v>
      </c>
      <c r="Q1073">
        <f t="shared" si="48"/>
        <v>0.54878048780487809</v>
      </c>
      <c r="R1073">
        <f>IF(AND(COUNTIF($A$2:$A$2027,A1073)&gt;1,COUNTIF($A$2:A1073,A1073)=1),1,0)</f>
        <v>0</v>
      </c>
      <c r="S1073" t="b">
        <f>IFERROR(VLOOKUP(D1073,Products!$A$2:$F$61,6,FALSE()),"")</f>
        <v>1</v>
      </c>
      <c r="T1073" t="str">
        <f>IF(COUNTIF(Customers!$A$2:$A$301,C1073)=0,"Missing","OK")</f>
        <v>OK</v>
      </c>
      <c r="U1073" t="str">
        <f t="shared" si="49"/>
        <v>Delhi</v>
      </c>
      <c r="V1073">
        <f t="shared" si="50"/>
        <v>0</v>
      </c>
    </row>
    <row r="1074" spans="1:22" ht="15" customHeight="1" x14ac:dyDescent="0.35">
      <c r="A1074" s="3" t="s">
        <v>1496</v>
      </c>
      <c r="B1074" s="4">
        <v>45292</v>
      </c>
      <c r="C1074" s="3" t="s">
        <v>741</v>
      </c>
      <c r="D1074" s="3" t="s">
        <v>180</v>
      </c>
      <c r="E1074" s="3" t="s">
        <v>37</v>
      </c>
      <c r="F1074" s="5">
        <v>1</v>
      </c>
      <c r="G1074" s="5">
        <v>6080</v>
      </c>
      <c r="H1074" s="5">
        <v>27.8</v>
      </c>
      <c r="I1074" s="5">
        <v>4389.76</v>
      </c>
      <c r="J1074" s="3" t="s">
        <v>26</v>
      </c>
      <c r="K1074" s="3" t="s">
        <v>33</v>
      </c>
      <c r="L1074" t="str">
        <f>IFERROR(VLOOKUP(D1074,Products!$A$2:$F$61,3,FALSE()),"")</f>
        <v>Beauty</v>
      </c>
      <c r="M1074" t="str">
        <f>IFERROR(VLOOKUP(E1074,Sales_Reps!$A$2:$C$31,3,FALSE()),"")</f>
        <v>South</v>
      </c>
      <c r="N1074">
        <f>IFERROR(VLOOKUP(D1074,Products!$A$2:$F$61,4,FALSE()),"")</f>
        <v>2617</v>
      </c>
      <c r="O1074" t="str">
        <f>IFERROR(VLOOKUP(C1074,Customers!$A$2:$F$301,5,FALSE()),"")</f>
        <v>SMB</v>
      </c>
      <c r="P1074">
        <f>IFERROR(VLOOKUP(C1074,Customers!$A$2:$F$301,3,FALSE()),"")</f>
        <v>39</v>
      </c>
      <c r="Q1074">
        <f t="shared" si="48"/>
        <v>0.56957236842105263</v>
      </c>
      <c r="R1074">
        <f>IF(AND(COUNTIF($A$2:$A$2027,A1074)&gt;1,COUNTIF($A$2:A1074,A1074)=1),1,0)</f>
        <v>0</v>
      </c>
      <c r="S1074" t="b">
        <f>IFERROR(VLOOKUP(D1074,Products!$A$2:$F$61,6,FALSE()),"")</f>
        <v>1</v>
      </c>
      <c r="T1074" t="str">
        <f>IF(COUNTIF(Customers!$A$2:$A$301,C1074)=0,"Missing","OK")</f>
        <v>OK</v>
      </c>
      <c r="U1074" t="str">
        <f t="shared" si="49"/>
        <v>Chennai</v>
      </c>
      <c r="V1074">
        <f t="shared" si="50"/>
        <v>0</v>
      </c>
    </row>
    <row r="1075" spans="1:22" ht="15" customHeight="1" x14ac:dyDescent="0.35">
      <c r="A1075" s="3" t="s">
        <v>1497</v>
      </c>
      <c r="B1075" s="4">
        <v>45347</v>
      </c>
      <c r="C1075" s="3" t="s">
        <v>145</v>
      </c>
      <c r="D1075" s="3" t="s">
        <v>118</v>
      </c>
      <c r="E1075" s="3" t="s">
        <v>55</v>
      </c>
      <c r="F1075" s="5">
        <v>6</v>
      </c>
      <c r="G1075" s="5">
        <v>3350</v>
      </c>
      <c r="H1075" s="5">
        <v>12</v>
      </c>
      <c r="I1075" s="5">
        <v>17688</v>
      </c>
      <c r="J1075" s="3" t="s">
        <v>26</v>
      </c>
      <c r="K1075" s="3" t="s">
        <v>72</v>
      </c>
      <c r="L1075" t="str">
        <f>IFERROR(VLOOKUP(D1075,Products!$A$2:$F$61,3,FALSE()),"")</f>
        <v>Beauty</v>
      </c>
      <c r="M1075" t="str">
        <f>IFERROR(VLOOKUP(E1075,Sales_Reps!$A$2:$C$31,3,FALSE()),"")</f>
        <v>West</v>
      </c>
      <c r="N1075">
        <f>IFERROR(VLOOKUP(D1075,Products!$A$2:$F$61,4,FALSE()),"")</f>
        <v>1728</v>
      </c>
      <c r="O1075" t="str">
        <f>IFERROR(VLOOKUP(C1075,Customers!$A$2:$F$301,5,FALSE()),"")</f>
        <v>SMB</v>
      </c>
      <c r="P1075">
        <f>IFERROR(VLOOKUP(C1075,Customers!$A$2:$F$301,3,FALSE()),"")</f>
        <v>40</v>
      </c>
      <c r="Q1075">
        <f t="shared" si="48"/>
        <v>0.48417910447761192</v>
      </c>
      <c r="R1075">
        <f>IF(AND(COUNTIF($A$2:$A$2027,A1075)&gt;1,COUNTIF($A$2:A1075,A1075)=1),1,0)</f>
        <v>0</v>
      </c>
      <c r="S1075" t="b">
        <f>IFERROR(VLOOKUP(D1075,Products!$A$2:$F$61,6,FALSE()),"")</f>
        <v>1</v>
      </c>
      <c r="T1075" t="str">
        <f>IF(COUNTIF(Customers!$A$2:$A$301,C1075)=0,"Missing","OK")</f>
        <v>OK</v>
      </c>
      <c r="U1075" t="str">
        <f t="shared" si="49"/>
        <v>Hyderabad</v>
      </c>
      <c r="V1075">
        <f t="shared" si="50"/>
        <v>0</v>
      </c>
    </row>
    <row r="1076" spans="1:22" ht="15" customHeight="1" x14ac:dyDescent="0.35">
      <c r="A1076" s="3" t="s">
        <v>1498</v>
      </c>
      <c r="B1076" s="4">
        <v>45592</v>
      </c>
      <c r="C1076" s="3" t="s">
        <v>1499</v>
      </c>
      <c r="D1076" s="3" t="s">
        <v>454</v>
      </c>
      <c r="E1076" s="3" t="s">
        <v>282</v>
      </c>
      <c r="F1076" s="5">
        <v>6</v>
      </c>
      <c r="G1076" s="5">
        <v>6940</v>
      </c>
      <c r="H1076" s="5">
        <v>20</v>
      </c>
      <c r="I1076" s="5">
        <v>33312</v>
      </c>
      <c r="J1076" s="3" t="s">
        <v>26</v>
      </c>
      <c r="K1076" s="3" t="s">
        <v>33</v>
      </c>
      <c r="L1076" t="str">
        <f>IFERROR(VLOOKUP(D1076,Products!$A$2:$F$61,3,FALSE()),"")</f>
        <v>Sports</v>
      </c>
      <c r="M1076" t="str">
        <f>IFERROR(VLOOKUP(E1076,Sales_Reps!$A$2:$C$31,3,FALSE()),"")</f>
        <v>West</v>
      </c>
      <c r="N1076">
        <f>IFERROR(VLOOKUP(D1076,Products!$A$2:$F$61,4,FALSE()),"")</f>
        <v>2827</v>
      </c>
      <c r="O1076" t="str">
        <f>IFERROR(VLOOKUP(C1076,Customers!$A$2:$F$301,5,FALSE()),"")</f>
        <v/>
      </c>
      <c r="P1076" t="str">
        <f>IFERROR(VLOOKUP(C1076,Customers!$A$2:$F$301,3,FALSE()),"")</f>
        <v/>
      </c>
      <c r="Q1076">
        <f t="shared" si="48"/>
        <v>0.5926512968299712</v>
      </c>
      <c r="R1076">
        <f>IF(AND(COUNTIF($A$2:$A$2027,A1076)&gt;1,COUNTIF($A$2:A1076,A1076)=1),1,0)</f>
        <v>0</v>
      </c>
      <c r="S1076" t="b">
        <f>IFERROR(VLOOKUP(D1076,Products!$A$2:$F$61,6,FALSE()),"")</f>
        <v>1</v>
      </c>
      <c r="T1076" t="str">
        <f>IF(COUNTIF(Customers!$A$2:$A$301,C1076)=0,"Missing","OK")</f>
        <v>Missing</v>
      </c>
      <c r="U1076" t="str">
        <f t="shared" si="49"/>
        <v>Chennai</v>
      </c>
      <c r="V1076">
        <f t="shared" si="50"/>
        <v>0</v>
      </c>
    </row>
    <row r="1077" spans="1:22" ht="15" customHeight="1" x14ac:dyDescent="0.35">
      <c r="A1077" s="3" t="s">
        <v>1500</v>
      </c>
      <c r="B1077" s="4">
        <v>45636</v>
      </c>
      <c r="C1077" s="3" t="s">
        <v>244</v>
      </c>
      <c r="D1077" s="3" t="s">
        <v>49</v>
      </c>
      <c r="E1077" s="3" t="s">
        <v>25</v>
      </c>
      <c r="F1077" s="5">
        <v>1</v>
      </c>
      <c r="G1077" s="5">
        <v>370</v>
      </c>
      <c r="H1077" s="5">
        <v>10</v>
      </c>
      <c r="I1077" s="5">
        <v>333</v>
      </c>
      <c r="J1077" s="3" t="s">
        <v>26</v>
      </c>
      <c r="K1077" s="3" t="s">
        <v>72</v>
      </c>
      <c r="L1077" t="str">
        <f>IFERROR(VLOOKUP(D1077,Products!$A$2:$F$61,3,FALSE()),"")</f>
        <v>Home</v>
      </c>
      <c r="M1077" t="str">
        <f>IFERROR(VLOOKUP(E1077,Sales_Reps!$A$2:$C$31,3,FALSE()),"")</f>
        <v>North</v>
      </c>
      <c r="N1077">
        <f>IFERROR(VLOOKUP(D1077,Products!$A$2:$F$61,4,FALSE()),"")</f>
        <v>288</v>
      </c>
      <c r="O1077" t="str">
        <f>IFERROR(VLOOKUP(C1077,Customers!$A$2:$F$301,5,FALSE()),"")</f>
        <v>Corporate</v>
      </c>
      <c r="P1077">
        <f>IFERROR(VLOOKUP(C1077,Customers!$A$2:$F$301,3,FALSE()),"")</f>
        <v>46</v>
      </c>
      <c r="Q1077">
        <f t="shared" si="48"/>
        <v>0.22162162162162163</v>
      </c>
      <c r="R1077">
        <f>IF(AND(COUNTIF($A$2:$A$2027,A1077)&gt;1,COUNTIF($A$2:A1077,A1077)=1),1,0)</f>
        <v>0</v>
      </c>
      <c r="S1077" t="b">
        <f>IFERROR(VLOOKUP(D1077,Products!$A$2:$F$61,6,FALSE()),"")</f>
        <v>1</v>
      </c>
      <c r="T1077" t="str">
        <f>IF(COUNTIF(Customers!$A$2:$A$301,C1077)=0,"Missing","OK")</f>
        <v>OK</v>
      </c>
      <c r="U1077" t="str">
        <f t="shared" si="49"/>
        <v>Hyderabad</v>
      </c>
      <c r="V1077">
        <f t="shared" si="50"/>
        <v>0</v>
      </c>
    </row>
    <row r="1078" spans="1:22" ht="15" customHeight="1" x14ac:dyDescent="0.35">
      <c r="A1078" s="3" t="s">
        <v>1501</v>
      </c>
      <c r="B1078" s="4">
        <v>45432</v>
      </c>
      <c r="C1078" s="3" t="s">
        <v>955</v>
      </c>
      <c r="D1078" s="3" t="s">
        <v>63</v>
      </c>
      <c r="E1078" s="3" t="s">
        <v>131</v>
      </c>
      <c r="F1078" s="5">
        <v>2</v>
      </c>
      <c r="G1078" s="5">
        <v>5490</v>
      </c>
      <c r="H1078" s="5">
        <v>27.9</v>
      </c>
      <c r="I1078" s="5">
        <v>7916.58</v>
      </c>
      <c r="J1078" s="3" t="s">
        <v>26</v>
      </c>
      <c r="K1078" s="3" t="s">
        <v>56</v>
      </c>
      <c r="L1078" t="str">
        <f>IFERROR(VLOOKUP(D1078,Products!$A$2:$F$61,3,FALSE()),"")</f>
        <v>Home</v>
      </c>
      <c r="M1078" t="str">
        <f>IFERROR(VLOOKUP(E1078,Sales_Reps!$A$2:$C$31,3,FALSE()),"")</f>
        <v>East</v>
      </c>
      <c r="N1078">
        <f>IFERROR(VLOOKUP(D1078,Products!$A$2:$F$61,4,FALSE()),"")</f>
        <v>2549</v>
      </c>
      <c r="O1078" t="str">
        <f>IFERROR(VLOOKUP(C1078,Customers!$A$2:$F$301,5,FALSE()),"")</f>
        <v>SMB</v>
      </c>
      <c r="P1078">
        <f>IFERROR(VLOOKUP(C1078,Customers!$A$2:$F$301,3,FALSE()),"")</f>
        <v>49</v>
      </c>
      <c r="Q1078">
        <f t="shared" si="48"/>
        <v>0.53570127504553733</v>
      </c>
      <c r="R1078">
        <f>IF(AND(COUNTIF($A$2:$A$2027,A1078)&gt;1,COUNTIF($A$2:A1078,A1078)=1),1,0)</f>
        <v>0</v>
      </c>
      <c r="S1078" t="b">
        <f>IFERROR(VLOOKUP(D1078,Products!$A$2:$F$61,6,FALSE()),"")</f>
        <v>1</v>
      </c>
      <c r="T1078" t="str">
        <f>IF(COUNTIF(Customers!$A$2:$A$301,C1078)=0,"Missing","OK")</f>
        <v>OK</v>
      </c>
      <c r="U1078" t="str">
        <f t="shared" si="49"/>
        <v>Bengaluru</v>
      </c>
      <c r="V1078">
        <f t="shared" si="50"/>
        <v>0</v>
      </c>
    </row>
    <row r="1079" spans="1:22" ht="15" customHeight="1" x14ac:dyDescent="0.35">
      <c r="A1079" s="3" t="s">
        <v>1502</v>
      </c>
      <c r="B1079" s="4">
        <v>45479</v>
      </c>
      <c r="C1079" s="3" t="s">
        <v>975</v>
      </c>
      <c r="D1079" s="3" t="s">
        <v>41</v>
      </c>
      <c r="E1079" s="3" t="s">
        <v>143</v>
      </c>
      <c r="F1079" s="5">
        <v>5</v>
      </c>
      <c r="G1079" s="5">
        <v>3660</v>
      </c>
      <c r="H1079" s="5">
        <v>4.5999999999999996</v>
      </c>
      <c r="I1079" s="5">
        <v>17458.2</v>
      </c>
      <c r="J1079" s="3" t="s">
        <v>26</v>
      </c>
      <c r="K1079" s="3" t="s">
        <v>51</v>
      </c>
      <c r="L1079" t="str">
        <f>IFERROR(VLOOKUP(D1079,Products!$A$2:$F$61,3,FALSE()),"")</f>
        <v>Grocery</v>
      </c>
      <c r="M1079" t="str">
        <f>IFERROR(VLOOKUP(E1079,Sales_Reps!$A$2:$C$31,3,FALSE()),"")</f>
        <v>South</v>
      </c>
      <c r="N1079">
        <f>IFERROR(VLOOKUP(D1079,Products!$A$2:$F$61,4,FALSE()),"")</f>
        <v>2214</v>
      </c>
      <c r="O1079" t="str">
        <f>IFERROR(VLOOKUP(C1079,Customers!$A$2:$F$301,5,FALSE()),"")</f>
        <v>Retail</v>
      </c>
      <c r="P1079">
        <f>IFERROR(VLOOKUP(C1079,Customers!$A$2:$F$301,3,FALSE()),"")</f>
        <v>33</v>
      </c>
      <c r="Q1079">
        <f t="shared" si="48"/>
        <v>0.39508196721311473</v>
      </c>
      <c r="R1079">
        <f>IF(AND(COUNTIF($A$2:$A$2027,A1079)&gt;1,COUNTIF($A$2:A1079,A1079)=1),1,0)</f>
        <v>0</v>
      </c>
      <c r="S1079" t="b">
        <f>IFERROR(VLOOKUP(D1079,Products!$A$2:$F$61,6,FALSE()),"")</f>
        <v>0</v>
      </c>
      <c r="T1079" t="str">
        <f>IF(COUNTIF(Customers!$A$2:$A$301,C1079)=0,"Missing","OK")</f>
        <v>OK</v>
      </c>
      <c r="U1079" t="str">
        <f t="shared" si="49"/>
        <v>Mumbai</v>
      </c>
      <c r="V1079">
        <f t="shared" si="50"/>
        <v>0</v>
      </c>
    </row>
    <row r="1080" spans="1:22" ht="15" customHeight="1" x14ac:dyDescent="0.35">
      <c r="A1080" s="3" t="s">
        <v>1503</v>
      </c>
      <c r="B1080" s="4">
        <v>45563</v>
      </c>
      <c r="C1080" s="3" t="s">
        <v>111</v>
      </c>
      <c r="D1080" s="3" t="s">
        <v>221</v>
      </c>
      <c r="E1080" s="3" t="s">
        <v>168</v>
      </c>
      <c r="F1080" s="5">
        <v>6</v>
      </c>
      <c r="G1080" s="5">
        <v>300</v>
      </c>
      <c r="H1080" s="5">
        <v>9</v>
      </c>
      <c r="I1080" s="5">
        <v>1638</v>
      </c>
      <c r="J1080" s="3" t="s">
        <v>26</v>
      </c>
      <c r="K1080" s="3" t="s">
        <v>27</v>
      </c>
      <c r="L1080" t="str">
        <f>IFERROR(VLOOKUP(D1080,Products!$A$2:$F$61,3,FALSE()),"")</f>
        <v>Electronics</v>
      </c>
      <c r="M1080" t="str">
        <f>IFERROR(VLOOKUP(E1080,Sales_Reps!$A$2:$C$31,3,FALSE()),"")</f>
        <v>West</v>
      </c>
      <c r="N1080">
        <f>IFERROR(VLOOKUP(D1080,Products!$A$2:$F$61,4,FALSE()),"")</f>
        <v>128</v>
      </c>
      <c r="O1080" t="str">
        <f>IFERROR(VLOOKUP(C1080,Customers!$A$2:$F$301,5,FALSE()),"")</f>
        <v>Retail</v>
      </c>
      <c r="P1080">
        <f>IFERROR(VLOOKUP(C1080,Customers!$A$2:$F$301,3,FALSE()),"")</f>
        <v>50</v>
      </c>
      <c r="Q1080">
        <f t="shared" si="48"/>
        <v>0.57333333333333336</v>
      </c>
      <c r="R1080">
        <f>IF(AND(COUNTIF($A$2:$A$2027,A1080)&gt;1,COUNTIF($A$2:A1080,A1080)=1),1,0)</f>
        <v>0</v>
      </c>
      <c r="S1080" t="b">
        <f>IFERROR(VLOOKUP(D1080,Products!$A$2:$F$61,6,FALSE()),"")</f>
        <v>1</v>
      </c>
      <c r="T1080" t="str">
        <f>IF(COUNTIF(Customers!$A$2:$A$301,C1080)=0,"Missing","OK")</f>
        <v>OK</v>
      </c>
      <c r="U1080" t="str">
        <f t="shared" si="49"/>
        <v>Pune</v>
      </c>
      <c r="V1080">
        <f t="shared" si="50"/>
        <v>0</v>
      </c>
    </row>
    <row r="1081" spans="1:22" ht="15" customHeight="1" x14ac:dyDescent="0.35">
      <c r="A1081" s="3" t="s">
        <v>1504</v>
      </c>
      <c r="B1081" s="4">
        <v>45523</v>
      </c>
      <c r="C1081" s="3" t="s">
        <v>89</v>
      </c>
      <c r="D1081" s="3" t="s">
        <v>221</v>
      </c>
      <c r="E1081" s="3" t="s">
        <v>264</v>
      </c>
      <c r="F1081" s="5">
        <v>3</v>
      </c>
      <c r="G1081" s="5">
        <v>300</v>
      </c>
      <c r="H1081" s="5">
        <v>19.2</v>
      </c>
      <c r="I1081" s="5">
        <v>727.2</v>
      </c>
      <c r="J1081" s="3" t="s">
        <v>26</v>
      </c>
      <c r="K1081" s="3" t="s">
        <v>27</v>
      </c>
      <c r="L1081" t="str">
        <f>IFERROR(VLOOKUP(D1081,Products!$A$2:$F$61,3,FALSE()),"")</f>
        <v>Electronics</v>
      </c>
      <c r="M1081" t="str">
        <f>IFERROR(VLOOKUP(E1081,Sales_Reps!$A$2:$C$31,3,FALSE()),"")</f>
        <v>South</v>
      </c>
      <c r="N1081">
        <f>IFERROR(VLOOKUP(D1081,Products!$A$2:$F$61,4,FALSE()),"")</f>
        <v>128</v>
      </c>
      <c r="O1081" t="str">
        <f>IFERROR(VLOOKUP(C1081,Customers!$A$2:$F$301,5,FALSE()),"")</f>
        <v>Retail</v>
      </c>
      <c r="P1081">
        <f>IFERROR(VLOOKUP(C1081,Customers!$A$2:$F$301,3,FALSE()),"")</f>
        <v>63</v>
      </c>
      <c r="Q1081">
        <f t="shared" si="48"/>
        <v>0.57333333333333336</v>
      </c>
      <c r="R1081">
        <f>IF(AND(COUNTIF($A$2:$A$2027,A1081)&gt;1,COUNTIF($A$2:A1081,A1081)=1),1,0)</f>
        <v>0</v>
      </c>
      <c r="S1081" t="b">
        <f>IFERROR(VLOOKUP(D1081,Products!$A$2:$F$61,6,FALSE()),"")</f>
        <v>1</v>
      </c>
      <c r="T1081" t="str">
        <f>IF(COUNTIF(Customers!$A$2:$A$301,C1081)=0,"Missing","OK")</f>
        <v>OK</v>
      </c>
      <c r="U1081" t="str">
        <f t="shared" si="49"/>
        <v>Pune</v>
      </c>
      <c r="V1081">
        <f t="shared" si="50"/>
        <v>0</v>
      </c>
    </row>
    <row r="1082" spans="1:22" ht="15" customHeight="1" x14ac:dyDescent="0.35">
      <c r="A1082" s="3" t="s">
        <v>1505</v>
      </c>
      <c r="B1082" s="4">
        <v>45537</v>
      </c>
      <c r="C1082" s="3" t="s">
        <v>29</v>
      </c>
      <c r="D1082" s="3" t="s">
        <v>319</v>
      </c>
      <c r="E1082" s="3" t="s">
        <v>37</v>
      </c>
      <c r="F1082" s="5">
        <v>6</v>
      </c>
      <c r="G1082" s="5">
        <v>960</v>
      </c>
      <c r="H1082" s="5">
        <v>29.3</v>
      </c>
      <c r="I1082" s="5">
        <v>4072.32</v>
      </c>
      <c r="J1082" s="3" t="s">
        <v>79</v>
      </c>
      <c r="K1082" s="3" t="s">
        <v>33</v>
      </c>
      <c r="L1082" t="str">
        <f>IFERROR(VLOOKUP(D1082,Products!$A$2:$F$61,3,FALSE()),"")</f>
        <v>Beauty</v>
      </c>
      <c r="M1082" t="str">
        <f>IFERROR(VLOOKUP(E1082,Sales_Reps!$A$2:$C$31,3,FALSE()),"")</f>
        <v>South</v>
      </c>
      <c r="N1082">
        <f>IFERROR(VLOOKUP(D1082,Products!$A$2:$F$61,4,FALSE()),"")</f>
        <v>675</v>
      </c>
      <c r="O1082" t="str">
        <f>IFERROR(VLOOKUP(C1082,Customers!$A$2:$F$301,5,FALSE()),"")</f>
        <v>Retail</v>
      </c>
      <c r="P1082">
        <f>IFERROR(VLOOKUP(C1082,Customers!$A$2:$F$301,3,FALSE()),"")</f>
        <v>39</v>
      </c>
      <c r="Q1082">
        <f t="shared" si="48"/>
        <v>0.296875</v>
      </c>
      <c r="R1082">
        <f>IF(AND(COUNTIF($A$2:$A$2027,A1082)&gt;1,COUNTIF($A$2:A1082,A1082)=1),1,0)</f>
        <v>0</v>
      </c>
      <c r="S1082" t="b">
        <f>IFERROR(VLOOKUP(D1082,Products!$A$2:$F$61,6,FALSE()),"")</f>
        <v>1</v>
      </c>
      <c r="T1082" t="str">
        <f>IF(COUNTIF(Customers!$A$2:$A$301,C1082)=0,"Missing","OK")</f>
        <v>OK</v>
      </c>
      <c r="U1082" t="str">
        <f t="shared" si="49"/>
        <v>Chennai</v>
      </c>
      <c r="V1082">
        <f t="shared" si="50"/>
        <v>0</v>
      </c>
    </row>
    <row r="1083" spans="1:22" ht="15" customHeight="1" x14ac:dyDescent="0.35">
      <c r="A1083" s="3" t="s">
        <v>1506</v>
      </c>
      <c r="B1083" s="4">
        <v>45383</v>
      </c>
      <c r="C1083" s="3" t="s">
        <v>386</v>
      </c>
      <c r="D1083" s="3" t="s">
        <v>184</v>
      </c>
      <c r="E1083" s="3" t="s">
        <v>50</v>
      </c>
      <c r="F1083" s="5">
        <v>1</v>
      </c>
      <c r="G1083" s="5">
        <v>2270</v>
      </c>
      <c r="H1083" s="5">
        <v>12.4</v>
      </c>
      <c r="I1083" s="5">
        <v>1988.52</v>
      </c>
      <c r="J1083" s="3" t="s">
        <v>26</v>
      </c>
      <c r="K1083" s="3" t="s">
        <v>51</v>
      </c>
      <c r="L1083" t="str">
        <f>IFERROR(VLOOKUP(D1083,Products!$A$2:$F$61,3,FALSE()),"")</f>
        <v>Grocery</v>
      </c>
      <c r="M1083" t="str">
        <f>IFERROR(VLOOKUP(E1083,Sales_Reps!$A$2:$C$31,3,FALSE()),"")</f>
        <v>West</v>
      </c>
      <c r="N1083">
        <f>IFERROR(VLOOKUP(D1083,Products!$A$2:$F$61,4,FALSE()),"")</f>
        <v>1412</v>
      </c>
      <c r="O1083" t="str">
        <f>IFERROR(VLOOKUP(C1083,Customers!$A$2:$F$301,5,FALSE()),"")</f>
        <v>Retail</v>
      </c>
      <c r="P1083">
        <f>IFERROR(VLOOKUP(C1083,Customers!$A$2:$F$301,3,FALSE()),"")</f>
        <v>41</v>
      </c>
      <c r="Q1083">
        <f t="shared" si="48"/>
        <v>0.37797356828193834</v>
      </c>
      <c r="R1083">
        <f>IF(AND(COUNTIF($A$2:$A$2027,A1083)&gt;1,COUNTIF($A$2:A1083,A1083)=1),1,0)</f>
        <v>0</v>
      </c>
      <c r="S1083" t="b">
        <f>IFERROR(VLOOKUP(D1083,Products!$A$2:$F$61,6,FALSE()),"")</f>
        <v>1</v>
      </c>
      <c r="T1083" t="str">
        <f>IF(COUNTIF(Customers!$A$2:$A$301,C1083)=0,"Missing","OK")</f>
        <v>OK</v>
      </c>
      <c r="U1083" t="str">
        <f t="shared" si="49"/>
        <v>Mumbai</v>
      </c>
      <c r="V1083">
        <f t="shared" si="50"/>
        <v>0</v>
      </c>
    </row>
    <row r="1084" spans="1:22" ht="15" customHeight="1" x14ac:dyDescent="0.35">
      <c r="A1084" s="3" t="s">
        <v>1507</v>
      </c>
      <c r="B1084" s="4">
        <v>45541</v>
      </c>
      <c r="C1084" s="3" t="s">
        <v>270</v>
      </c>
      <c r="D1084" s="3" t="s">
        <v>234</v>
      </c>
      <c r="E1084" s="3" t="s">
        <v>282</v>
      </c>
      <c r="F1084" s="5">
        <v>10</v>
      </c>
      <c r="G1084" s="5">
        <v>2030</v>
      </c>
      <c r="H1084" s="5">
        <v>4</v>
      </c>
      <c r="I1084" s="5">
        <v>19488</v>
      </c>
      <c r="J1084" s="3" t="s">
        <v>26</v>
      </c>
      <c r="K1084" s="3" t="s">
        <v>56</v>
      </c>
      <c r="L1084" t="str">
        <f>IFERROR(VLOOKUP(D1084,Products!$A$2:$F$61,3,FALSE()),"")</f>
        <v>Home</v>
      </c>
      <c r="M1084" t="str">
        <f>IFERROR(VLOOKUP(E1084,Sales_Reps!$A$2:$C$31,3,FALSE()),"")</f>
        <v>West</v>
      </c>
      <c r="N1084">
        <f>IFERROR(VLOOKUP(D1084,Products!$A$2:$F$61,4,FALSE()),"")</f>
        <v>1143</v>
      </c>
      <c r="O1084" t="str">
        <f>IFERROR(VLOOKUP(C1084,Customers!$A$2:$F$301,5,FALSE()),"")</f>
        <v>Corporate</v>
      </c>
      <c r="P1084">
        <f>IFERROR(VLOOKUP(C1084,Customers!$A$2:$F$301,3,FALSE()),"")</f>
        <v>59</v>
      </c>
      <c r="Q1084">
        <f t="shared" si="48"/>
        <v>0.43694581280788175</v>
      </c>
      <c r="R1084">
        <f>IF(AND(COUNTIF($A$2:$A$2027,A1084)&gt;1,COUNTIF($A$2:A1084,A1084)=1),1,0)</f>
        <v>0</v>
      </c>
      <c r="S1084" t="b">
        <f>IFERROR(VLOOKUP(D1084,Products!$A$2:$F$61,6,FALSE()),"")</f>
        <v>1</v>
      </c>
      <c r="T1084" t="str">
        <f>IF(COUNTIF(Customers!$A$2:$A$301,C1084)=0,"Missing","OK")</f>
        <v>OK</v>
      </c>
      <c r="U1084" t="str">
        <f t="shared" si="49"/>
        <v>Bengaluru</v>
      </c>
      <c r="V1084">
        <f t="shared" si="50"/>
        <v>0</v>
      </c>
    </row>
    <row r="1085" spans="1:22" ht="15" customHeight="1" x14ac:dyDescent="0.35">
      <c r="A1085" s="3" t="s">
        <v>1508</v>
      </c>
      <c r="B1085" s="4">
        <v>45609</v>
      </c>
      <c r="C1085" s="3" t="s">
        <v>841</v>
      </c>
      <c r="D1085" s="3" t="s">
        <v>103</v>
      </c>
      <c r="E1085" s="3" t="s">
        <v>97</v>
      </c>
      <c r="F1085" s="5">
        <v>9</v>
      </c>
      <c r="G1085" s="5">
        <v>1080</v>
      </c>
      <c r="H1085" s="5">
        <v>19.2</v>
      </c>
      <c r="I1085" s="5">
        <v>7853.76</v>
      </c>
      <c r="J1085" s="3" t="s">
        <v>32</v>
      </c>
      <c r="K1085" s="3" t="s">
        <v>51</v>
      </c>
      <c r="L1085" t="str">
        <f>IFERROR(VLOOKUP(D1085,Products!$A$2:$F$61,3,FALSE()),"")</f>
        <v>Home</v>
      </c>
      <c r="M1085" t="str">
        <f>IFERROR(VLOOKUP(E1085,Sales_Reps!$A$2:$C$31,3,FALSE()),"")</f>
        <v>East</v>
      </c>
      <c r="N1085">
        <f>IFERROR(VLOOKUP(D1085,Products!$A$2:$F$61,4,FALSE()),"")</f>
        <v>519</v>
      </c>
      <c r="O1085" t="str">
        <f>IFERROR(VLOOKUP(C1085,Customers!$A$2:$F$301,5,FALSE()),"")</f>
        <v>Retail</v>
      </c>
      <c r="P1085">
        <f>IFERROR(VLOOKUP(C1085,Customers!$A$2:$F$301,3,FALSE()),"")</f>
        <v>37</v>
      </c>
      <c r="Q1085">
        <f t="shared" si="48"/>
        <v>0.51944444444444449</v>
      </c>
      <c r="R1085">
        <f>IF(AND(COUNTIF($A$2:$A$2027,A1085)&gt;1,COUNTIF($A$2:A1085,A1085)=1),1,0)</f>
        <v>0</v>
      </c>
      <c r="S1085" t="b">
        <f>IFERROR(VLOOKUP(D1085,Products!$A$2:$F$61,6,FALSE()),"")</f>
        <v>1</v>
      </c>
      <c r="T1085" t="str">
        <f>IF(COUNTIF(Customers!$A$2:$A$301,C1085)=0,"Missing","OK")</f>
        <v>OK</v>
      </c>
      <c r="U1085" t="str">
        <f t="shared" si="49"/>
        <v>Mumbai</v>
      </c>
      <c r="V1085">
        <f t="shared" si="50"/>
        <v>0</v>
      </c>
    </row>
    <row r="1086" spans="1:22" ht="15" customHeight="1" x14ac:dyDescent="0.35">
      <c r="A1086" s="3" t="s">
        <v>1509</v>
      </c>
      <c r="B1086" s="4">
        <v>45463</v>
      </c>
      <c r="C1086" s="3" t="s">
        <v>111</v>
      </c>
      <c r="D1086" s="3" t="s">
        <v>134</v>
      </c>
      <c r="E1086" s="3" t="s">
        <v>50</v>
      </c>
      <c r="F1086" s="5">
        <v>5</v>
      </c>
      <c r="G1086" s="5">
        <v>2860</v>
      </c>
      <c r="H1086" s="5">
        <v>25</v>
      </c>
      <c r="I1086" s="5">
        <v>10725</v>
      </c>
      <c r="J1086" s="3" t="s">
        <v>32</v>
      </c>
      <c r="K1086" s="3" t="s">
        <v>27</v>
      </c>
      <c r="L1086" t="str">
        <f>IFERROR(VLOOKUP(D1086,Products!$A$2:$F$61,3,FALSE()),"")</f>
        <v>Sports</v>
      </c>
      <c r="M1086" t="str">
        <f>IFERROR(VLOOKUP(E1086,Sales_Reps!$A$2:$C$31,3,FALSE()),"")</f>
        <v>West</v>
      </c>
      <c r="N1086">
        <f>IFERROR(VLOOKUP(D1086,Products!$A$2:$F$61,4,FALSE()),"")</f>
        <v>2028</v>
      </c>
      <c r="O1086" t="str">
        <f>IFERROR(VLOOKUP(C1086,Customers!$A$2:$F$301,5,FALSE()),"")</f>
        <v>Retail</v>
      </c>
      <c r="P1086">
        <f>IFERROR(VLOOKUP(C1086,Customers!$A$2:$F$301,3,FALSE()),"")</f>
        <v>50</v>
      </c>
      <c r="Q1086">
        <f t="shared" si="48"/>
        <v>0.29090909090909089</v>
      </c>
      <c r="R1086">
        <f>IF(AND(COUNTIF($A$2:$A$2027,A1086)&gt;1,COUNTIF($A$2:A1086,A1086)=1),1,0)</f>
        <v>0</v>
      </c>
      <c r="S1086" t="b">
        <f>IFERROR(VLOOKUP(D1086,Products!$A$2:$F$61,6,FALSE()),"")</f>
        <v>1</v>
      </c>
      <c r="T1086" t="str">
        <f>IF(COUNTIF(Customers!$A$2:$A$301,C1086)=0,"Missing","OK")</f>
        <v>OK</v>
      </c>
      <c r="U1086" t="str">
        <f t="shared" si="49"/>
        <v>Pune</v>
      </c>
      <c r="V1086">
        <f t="shared" si="50"/>
        <v>0</v>
      </c>
    </row>
    <row r="1087" spans="1:22" ht="15" customHeight="1" x14ac:dyDescent="0.35">
      <c r="A1087" s="3" t="s">
        <v>1510</v>
      </c>
      <c r="B1087" s="4">
        <v>45588</v>
      </c>
      <c r="C1087" s="3" t="s">
        <v>40</v>
      </c>
      <c r="D1087" s="3" t="s">
        <v>70</v>
      </c>
      <c r="E1087" s="3" t="s">
        <v>264</v>
      </c>
      <c r="F1087" s="5">
        <v>6</v>
      </c>
      <c r="G1087" s="5">
        <v>2270</v>
      </c>
      <c r="H1087" s="5">
        <v>9.3000000000000007</v>
      </c>
      <c r="I1087" s="5">
        <v>12353.34</v>
      </c>
      <c r="J1087" s="3" t="s">
        <v>26</v>
      </c>
      <c r="K1087" s="3" t="s">
        <v>38</v>
      </c>
      <c r="L1087" t="str">
        <f>IFERROR(VLOOKUP(D1087,Products!$A$2:$F$61,3,FALSE()),"")</f>
        <v>Grocery</v>
      </c>
      <c r="M1087" t="str">
        <f>IFERROR(VLOOKUP(E1087,Sales_Reps!$A$2:$C$31,3,FALSE()),"")</f>
        <v>South</v>
      </c>
      <c r="N1087">
        <f>IFERROR(VLOOKUP(D1087,Products!$A$2:$F$61,4,FALSE()),"")</f>
        <v>1203</v>
      </c>
      <c r="O1087" t="str">
        <f>IFERROR(VLOOKUP(C1087,Customers!$A$2:$F$301,5,FALSE()),"")</f>
        <v>Corporate</v>
      </c>
      <c r="P1087">
        <f>IFERROR(VLOOKUP(C1087,Customers!$A$2:$F$301,3,FALSE()),"")</f>
        <v>46</v>
      </c>
      <c r="Q1087">
        <f t="shared" si="48"/>
        <v>0.47004405286343615</v>
      </c>
      <c r="R1087">
        <f>IF(AND(COUNTIF($A$2:$A$2027,A1087)&gt;1,COUNTIF($A$2:A1087,A1087)=1),1,0)</f>
        <v>0</v>
      </c>
      <c r="S1087" t="b">
        <f>IFERROR(VLOOKUP(D1087,Products!$A$2:$F$61,6,FALSE()),"")</f>
        <v>1</v>
      </c>
      <c r="T1087" t="str">
        <f>IF(COUNTIF(Customers!$A$2:$A$301,C1087)=0,"Missing","OK")</f>
        <v>OK</v>
      </c>
      <c r="U1087" t="str">
        <f t="shared" si="49"/>
        <v>Delhi</v>
      </c>
      <c r="V1087">
        <f t="shared" si="50"/>
        <v>0</v>
      </c>
    </row>
    <row r="1088" spans="1:22" ht="15" customHeight="1" x14ac:dyDescent="0.35">
      <c r="A1088" s="3" t="s">
        <v>1511</v>
      </c>
      <c r="B1088" s="4">
        <v>45328</v>
      </c>
      <c r="C1088" s="3" t="s">
        <v>574</v>
      </c>
      <c r="D1088" s="3" t="s">
        <v>112</v>
      </c>
      <c r="E1088" s="3" t="s">
        <v>55</v>
      </c>
      <c r="F1088" s="5">
        <v>1</v>
      </c>
      <c r="G1088" s="5">
        <v>2720</v>
      </c>
      <c r="H1088" s="5">
        <v>15.2</v>
      </c>
      <c r="I1088" s="5">
        <v>2306.56</v>
      </c>
      <c r="J1088" s="3" t="s">
        <v>26</v>
      </c>
      <c r="K1088" s="3" t="s">
        <v>38</v>
      </c>
      <c r="L1088" t="str">
        <f>IFERROR(VLOOKUP(D1088,Products!$A$2:$F$61,3,FALSE()),"")</f>
        <v>Apparel</v>
      </c>
      <c r="M1088" t="str">
        <f>IFERROR(VLOOKUP(E1088,Sales_Reps!$A$2:$C$31,3,FALSE()),"")</f>
        <v>West</v>
      </c>
      <c r="N1088">
        <f>IFERROR(VLOOKUP(D1088,Products!$A$2:$F$61,4,FALSE()),"")</f>
        <v>1962</v>
      </c>
      <c r="O1088" t="str">
        <f>IFERROR(VLOOKUP(C1088,Customers!$A$2:$F$301,5,FALSE()),"")</f>
        <v>Retail</v>
      </c>
      <c r="P1088">
        <f>IFERROR(VLOOKUP(C1088,Customers!$A$2:$F$301,3,FALSE()),"")</f>
        <v>49</v>
      </c>
      <c r="Q1088">
        <f t="shared" si="48"/>
        <v>0.2786764705882353</v>
      </c>
      <c r="R1088">
        <f>IF(AND(COUNTIF($A$2:$A$2027,A1088)&gt;1,COUNTIF($A$2:A1088,A1088)=1),1,0)</f>
        <v>0</v>
      </c>
      <c r="S1088" t="b">
        <f>IFERROR(VLOOKUP(D1088,Products!$A$2:$F$61,6,FALSE()),"")</f>
        <v>1</v>
      </c>
      <c r="T1088" t="str">
        <f>IF(COUNTIF(Customers!$A$2:$A$301,C1088)=0,"Missing","OK")</f>
        <v>OK</v>
      </c>
      <c r="U1088" t="str">
        <f t="shared" si="49"/>
        <v>Delhi</v>
      </c>
      <c r="V1088">
        <f t="shared" si="50"/>
        <v>0</v>
      </c>
    </row>
    <row r="1089" spans="1:22" ht="15" customHeight="1" x14ac:dyDescent="0.35">
      <c r="A1089" s="3" t="s">
        <v>1512</v>
      </c>
      <c r="B1089" s="4">
        <v>45638</v>
      </c>
      <c r="C1089" s="3" t="s">
        <v>977</v>
      </c>
      <c r="D1089" s="3" t="s">
        <v>187</v>
      </c>
      <c r="E1089" s="3" t="s">
        <v>31</v>
      </c>
      <c r="F1089" s="5">
        <v>10</v>
      </c>
      <c r="G1089" s="5">
        <v>3870</v>
      </c>
      <c r="H1089" s="5">
        <v>4.9000000000000004</v>
      </c>
      <c r="I1089" s="5">
        <v>36803.699999999997</v>
      </c>
      <c r="J1089" s="3" t="s">
        <v>79</v>
      </c>
      <c r="K1089" s="3" t="s">
        <v>56</v>
      </c>
      <c r="L1089" t="str">
        <f>IFERROR(VLOOKUP(D1089,Products!$A$2:$F$61,3,FALSE()),"")</f>
        <v>Electronics</v>
      </c>
      <c r="M1089" t="str">
        <f>IFERROR(VLOOKUP(E1089,Sales_Reps!$A$2:$C$31,3,FALSE()),"")</f>
        <v>North</v>
      </c>
      <c r="N1089">
        <f>IFERROR(VLOOKUP(D1089,Products!$A$2:$F$61,4,FALSE()),"")</f>
        <v>1559</v>
      </c>
      <c r="O1089" t="str">
        <f>IFERROR(VLOOKUP(C1089,Customers!$A$2:$F$301,5,FALSE()),"")</f>
        <v>Corporate</v>
      </c>
      <c r="P1089">
        <f>IFERROR(VLOOKUP(C1089,Customers!$A$2:$F$301,3,FALSE()),"")</f>
        <v>55</v>
      </c>
      <c r="Q1089">
        <f t="shared" si="48"/>
        <v>0.59715762273901807</v>
      </c>
      <c r="R1089">
        <f>IF(AND(COUNTIF($A$2:$A$2027,A1089)&gt;1,COUNTIF($A$2:A1089,A1089)=1),1,0)</f>
        <v>0</v>
      </c>
      <c r="S1089" t="b">
        <f>IFERROR(VLOOKUP(D1089,Products!$A$2:$F$61,6,FALSE()),"")</f>
        <v>1</v>
      </c>
      <c r="T1089" t="str">
        <f>IF(COUNTIF(Customers!$A$2:$A$301,C1089)=0,"Missing","OK")</f>
        <v>OK</v>
      </c>
      <c r="U1089" t="str">
        <f t="shared" si="49"/>
        <v>Bengaluru</v>
      </c>
      <c r="V1089">
        <f t="shared" si="50"/>
        <v>0</v>
      </c>
    </row>
    <row r="1090" spans="1:22" ht="15" customHeight="1" x14ac:dyDescent="0.35">
      <c r="A1090" s="3" t="s">
        <v>1513</v>
      </c>
      <c r="B1090" s="4">
        <v>45332</v>
      </c>
      <c r="C1090" s="3" t="s">
        <v>1514</v>
      </c>
      <c r="D1090" s="3" t="s">
        <v>391</v>
      </c>
      <c r="E1090" s="3" t="s">
        <v>60</v>
      </c>
      <c r="F1090" s="5">
        <v>8</v>
      </c>
      <c r="G1090" s="5">
        <v>3450</v>
      </c>
      <c r="H1090" s="5">
        <v>20.6</v>
      </c>
      <c r="I1090" s="5">
        <v>21914.400000000001</v>
      </c>
      <c r="J1090" s="3" t="s">
        <v>26</v>
      </c>
      <c r="K1090" s="3" t="s">
        <v>72</v>
      </c>
      <c r="L1090" t="str">
        <f>IFERROR(VLOOKUP(D1090,Products!$A$2:$F$61,3,FALSE()),"")</f>
        <v>Apparel</v>
      </c>
      <c r="M1090" t="str">
        <f>IFERROR(VLOOKUP(E1090,Sales_Reps!$A$2:$C$31,3,FALSE()),"")</f>
        <v>East</v>
      </c>
      <c r="N1090">
        <f>IFERROR(VLOOKUP(D1090,Products!$A$2:$F$61,4,FALSE()),"")</f>
        <v>1748</v>
      </c>
      <c r="O1090" t="str">
        <f>IFERROR(VLOOKUP(C1090,Customers!$A$2:$F$301,5,FALSE()),"")</f>
        <v>Corporate</v>
      </c>
      <c r="P1090">
        <f>IFERROR(VLOOKUP(C1090,Customers!$A$2:$F$301,3,FALSE()),"")</f>
        <v>60</v>
      </c>
      <c r="Q1090">
        <f t="shared" ref="Q1090:Q1153" si="51">IFERROR((G1090-N1090)/G1090,"")</f>
        <v>0.49333333333333335</v>
      </c>
      <c r="R1090">
        <f>IF(AND(COUNTIF($A$2:$A$2027,A1090)&gt;1,COUNTIF($A$2:A1090,A1090)=1),1,0)</f>
        <v>0</v>
      </c>
      <c r="S1090" t="b">
        <f>IFERROR(VLOOKUP(D1090,Products!$A$2:$F$61,6,FALSE()),"")</f>
        <v>1</v>
      </c>
      <c r="T1090" t="str">
        <f>IF(COUNTIF(Customers!$A$2:$A$301,C1090)=0,"Missing","OK")</f>
        <v>OK</v>
      </c>
      <c r="U1090" t="str">
        <f t="shared" ref="U1090:U1153" si="52">IF(K1090="","",PROPER(TRIM(K1090)))</f>
        <v>Hyderabad</v>
      </c>
      <c r="V1090">
        <f t="shared" ref="V1090:V1153" si="53">IF(AND(U1090="Bengaluru",L1090="Grocery"),I1090,0)</f>
        <v>0</v>
      </c>
    </row>
    <row r="1091" spans="1:22" ht="15" customHeight="1" x14ac:dyDescent="0.35">
      <c r="A1091" s="3" t="s">
        <v>1515</v>
      </c>
      <c r="B1091" s="4">
        <v>45406</v>
      </c>
      <c r="C1091" s="3" t="s">
        <v>208</v>
      </c>
      <c r="D1091" s="3" t="s">
        <v>36</v>
      </c>
      <c r="E1091" s="3" t="s">
        <v>236</v>
      </c>
      <c r="F1091" s="5">
        <v>1</v>
      </c>
      <c r="G1091" s="5">
        <v>470</v>
      </c>
      <c r="H1091" s="5">
        <v>5.4</v>
      </c>
      <c r="I1091" s="5">
        <v>444.62</v>
      </c>
      <c r="J1091" s="3" t="s">
        <v>83</v>
      </c>
      <c r="K1091" s="3" t="s">
        <v>51</v>
      </c>
      <c r="L1091" t="str">
        <f>IFERROR(VLOOKUP(D1091,Products!$A$2:$F$61,3,FALSE()),"")</f>
        <v>Sports</v>
      </c>
      <c r="M1091" t="str">
        <f>IFERROR(VLOOKUP(E1091,Sales_Reps!$A$2:$C$31,3,FALSE()),"")</f>
        <v>North</v>
      </c>
      <c r="N1091">
        <f>IFERROR(VLOOKUP(D1091,Products!$A$2:$F$61,4,FALSE()),"")</f>
        <v>302</v>
      </c>
      <c r="O1091" t="str">
        <f>IFERROR(VLOOKUP(C1091,Customers!$A$2:$F$301,5,FALSE()),"")</f>
        <v>Retail</v>
      </c>
      <c r="P1091">
        <f>IFERROR(VLOOKUP(C1091,Customers!$A$2:$F$301,3,FALSE()),"")</f>
        <v>40</v>
      </c>
      <c r="Q1091">
        <f t="shared" si="51"/>
        <v>0.35744680851063831</v>
      </c>
      <c r="R1091">
        <f>IF(AND(COUNTIF($A$2:$A$2027,A1091)&gt;1,COUNTIF($A$2:A1091,A1091)=1),1,0)</f>
        <v>0</v>
      </c>
      <c r="S1091" t="b">
        <f>IFERROR(VLOOKUP(D1091,Products!$A$2:$F$61,6,FALSE()),"")</f>
        <v>0</v>
      </c>
      <c r="T1091" t="str">
        <f>IF(COUNTIF(Customers!$A$2:$A$301,C1091)=0,"Missing","OK")</f>
        <v>OK</v>
      </c>
      <c r="U1091" t="str">
        <f t="shared" si="52"/>
        <v>Mumbai</v>
      </c>
      <c r="V1091">
        <f t="shared" si="53"/>
        <v>0</v>
      </c>
    </row>
    <row r="1092" spans="1:22" ht="15" customHeight="1" x14ac:dyDescent="0.35">
      <c r="A1092" s="3" t="s">
        <v>1516</v>
      </c>
      <c r="B1092" s="4">
        <v>45405</v>
      </c>
      <c r="C1092" s="3" t="s">
        <v>263</v>
      </c>
      <c r="D1092" s="3" t="s">
        <v>347</v>
      </c>
      <c r="E1092" s="3" t="s">
        <v>143</v>
      </c>
      <c r="F1092" s="5">
        <v>5</v>
      </c>
      <c r="G1092" s="5">
        <v>3970</v>
      </c>
      <c r="H1092" s="5">
        <v>5.8</v>
      </c>
      <c r="I1092" s="5">
        <v>18698.7</v>
      </c>
      <c r="J1092" s="3" t="s">
        <v>26</v>
      </c>
      <c r="K1092" s="3" t="s">
        <v>72</v>
      </c>
      <c r="L1092" t="str">
        <f>IFERROR(VLOOKUP(D1092,Products!$A$2:$F$61,3,FALSE()),"")</f>
        <v>Electronics</v>
      </c>
      <c r="M1092" t="str">
        <f>IFERROR(VLOOKUP(E1092,Sales_Reps!$A$2:$C$31,3,FALSE()),"")</f>
        <v>South</v>
      </c>
      <c r="N1092">
        <f>IFERROR(VLOOKUP(D1092,Products!$A$2:$F$61,4,FALSE()),"")</f>
        <v>2865</v>
      </c>
      <c r="O1092" t="str">
        <f>IFERROR(VLOOKUP(C1092,Customers!$A$2:$F$301,5,FALSE()),"")</f>
        <v>Retail</v>
      </c>
      <c r="P1092">
        <f>IFERROR(VLOOKUP(C1092,Customers!$A$2:$F$301,3,FALSE()),"")</f>
        <v>28</v>
      </c>
      <c r="Q1092">
        <f t="shared" si="51"/>
        <v>0.27833753148614609</v>
      </c>
      <c r="R1092">
        <f>IF(AND(COUNTIF($A$2:$A$2027,A1092)&gt;1,COUNTIF($A$2:A1092,A1092)=1),1,0)</f>
        <v>0</v>
      </c>
      <c r="S1092" t="b">
        <f>IFERROR(VLOOKUP(D1092,Products!$A$2:$F$61,6,FALSE()),"")</f>
        <v>1</v>
      </c>
      <c r="T1092" t="str">
        <f>IF(COUNTIF(Customers!$A$2:$A$301,C1092)=0,"Missing","OK")</f>
        <v>OK</v>
      </c>
      <c r="U1092" t="str">
        <f t="shared" si="52"/>
        <v>Hyderabad</v>
      </c>
      <c r="V1092">
        <f t="shared" si="53"/>
        <v>0</v>
      </c>
    </row>
    <row r="1093" spans="1:22" ht="15" customHeight="1" x14ac:dyDescent="0.35">
      <c r="A1093" s="3" t="s">
        <v>1517</v>
      </c>
      <c r="B1093" s="4">
        <v>45469</v>
      </c>
      <c r="C1093" s="3" t="s">
        <v>945</v>
      </c>
      <c r="D1093" s="3" t="s">
        <v>130</v>
      </c>
      <c r="E1093" s="3" t="s">
        <v>264</v>
      </c>
      <c r="F1093" s="5">
        <v>2</v>
      </c>
      <c r="G1093" s="5">
        <v>5100</v>
      </c>
      <c r="H1093" s="5">
        <v>19.899999999999999</v>
      </c>
      <c r="I1093" s="5">
        <v>8170.2</v>
      </c>
      <c r="J1093" s="3" t="s">
        <v>26</v>
      </c>
      <c r="K1093" s="3" t="s">
        <v>56</v>
      </c>
      <c r="L1093" t="str">
        <f>IFERROR(VLOOKUP(D1093,Products!$A$2:$F$61,3,FALSE()),"")</f>
        <v>Beauty</v>
      </c>
      <c r="M1093" t="str">
        <f>IFERROR(VLOOKUP(E1093,Sales_Reps!$A$2:$C$31,3,FALSE()),"")</f>
        <v>South</v>
      </c>
      <c r="N1093">
        <f>IFERROR(VLOOKUP(D1093,Products!$A$2:$F$61,4,FALSE()),"")</f>
        <v>2237</v>
      </c>
      <c r="O1093" t="str">
        <f>IFERROR(VLOOKUP(C1093,Customers!$A$2:$F$301,5,FALSE()),"")</f>
        <v>SMB</v>
      </c>
      <c r="P1093">
        <f>IFERROR(VLOOKUP(C1093,Customers!$A$2:$F$301,3,FALSE()),"")</f>
        <v>44</v>
      </c>
      <c r="Q1093">
        <f t="shared" si="51"/>
        <v>0.56137254901960787</v>
      </c>
      <c r="R1093">
        <f>IF(AND(COUNTIF($A$2:$A$2027,A1093)&gt;1,COUNTIF($A$2:A1093,A1093)=1),1,0)</f>
        <v>0</v>
      </c>
      <c r="S1093" t="b">
        <f>IFERROR(VLOOKUP(D1093,Products!$A$2:$F$61,6,FALSE()),"")</f>
        <v>1</v>
      </c>
      <c r="T1093" t="str">
        <f>IF(COUNTIF(Customers!$A$2:$A$301,C1093)=0,"Missing","OK")</f>
        <v>OK</v>
      </c>
      <c r="U1093" t="str">
        <f t="shared" si="52"/>
        <v>Bengaluru</v>
      </c>
      <c r="V1093">
        <f t="shared" si="53"/>
        <v>0</v>
      </c>
    </row>
    <row r="1094" spans="1:22" ht="15" customHeight="1" x14ac:dyDescent="0.35">
      <c r="A1094" s="3" t="s">
        <v>1518</v>
      </c>
      <c r="B1094" s="4">
        <v>45656</v>
      </c>
      <c r="C1094" s="3" t="s">
        <v>432</v>
      </c>
      <c r="D1094" s="3" t="s">
        <v>96</v>
      </c>
      <c r="E1094" s="3" t="s">
        <v>154</v>
      </c>
      <c r="F1094" s="5">
        <v>6</v>
      </c>
      <c r="G1094" s="5">
        <v>3450</v>
      </c>
      <c r="H1094" s="5">
        <v>13</v>
      </c>
      <c r="I1094" s="5">
        <v>18009</v>
      </c>
      <c r="J1094" s="3" t="s">
        <v>26</v>
      </c>
      <c r="K1094" s="3" t="s">
        <v>27</v>
      </c>
      <c r="L1094" t="str">
        <f>IFERROR(VLOOKUP(D1094,Products!$A$2:$F$61,3,FALSE()),"")</f>
        <v>Beauty</v>
      </c>
      <c r="M1094" t="str">
        <f>IFERROR(VLOOKUP(E1094,Sales_Reps!$A$2:$C$31,3,FALSE()),"")</f>
        <v>North</v>
      </c>
      <c r="N1094">
        <f>IFERROR(VLOOKUP(D1094,Products!$A$2:$F$61,4,FALSE()),"")</f>
        <v>2420</v>
      </c>
      <c r="O1094" t="str">
        <f>IFERROR(VLOOKUP(C1094,Customers!$A$2:$F$301,5,FALSE()),"")</f>
        <v>Retail</v>
      </c>
      <c r="P1094">
        <f>IFERROR(VLOOKUP(C1094,Customers!$A$2:$F$301,3,FALSE()),"")</f>
        <v>57</v>
      </c>
      <c r="Q1094">
        <f t="shared" si="51"/>
        <v>0.29855072463768118</v>
      </c>
      <c r="R1094">
        <f>IF(AND(COUNTIF($A$2:$A$2027,A1094)&gt;1,COUNTIF($A$2:A1094,A1094)=1),1,0)</f>
        <v>0</v>
      </c>
      <c r="S1094" t="b">
        <f>IFERROR(VLOOKUP(D1094,Products!$A$2:$F$61,6,FALSE()),"")</f>
        <v>1</v>
      </c>
      <c r="T1094" t="str">
        <f>IF(COUNTIF(Customers!$A$2:$A$301,C1094)=0,"Missing","OK")</f>
        <v>OK</v>
      </c>
      <c r="U1094" t="str">
        <f t="shared" si="52"/>
        <v>Pune</v>
      </c>
      <c r="V1094">
        <f t="shared" si="53"/>
        <v>0</v>
      </c>
    </row>
    <row r="1095" spans="1:22" ht="15" customHeight="1" x14ac:dyDescent="0.35">
      <c r="A1095" s="3" t="s">
        <v>1519</v>
      </c>
      <c r="B1095" s="4">
        <v>45653</v>
      </c>
      <c r="C1095" s="3" t="s">
        <v>1438</v>
      </c>
      <c r="D1095" s="3" t="s">
        <v>165</v>
      </c>
      <c r="E1095" s="3" t="s">
        <v>264</v>
      </c>
      <c r="F1095" s="5">
        <v>9</v>
      </c>
      <c r="G1095" s="5">
        <v>3730</v>
      </c>
      <c r="H1095" s="5">
        <v>15.5</v>
      </c>
      <c r="I1095" s="5">
        <v>28366.65</v>
      </c>
      <c r="J1095" s="3" t="s">
        <v>26</v>
      </c>
      <c r="K1095" s="3" t="s">
        <v>33</v>
      </c>
      <c r="L1095" t="str">
        <f>IFERROR(VLOOKUP(D1095,Products!$A$2:$F$61,3,FALSE()),"")</f>
        <v>Home</v>
      </c>
      <c r="M1095" t="str">
        <f>IFERROR(VLOOKUP(E1095,Sales_Reps!$A$2:$C$31,3,FALSE()),"")</f>
        <v>South</v>
      </c>
      <c r="N1095">
        <f>IFERROR(VLOOKUP(D1095,Products!$A$2:$F$61,4,FALSE()),"")</f>
        <v>2135</v>
      </c>
      <c r="O1095" t="str">
        <f>IFERROR(VLOOKUP(C1095,Customers!$A$2:$F$301,5,FALSE()),"")</f>
        <v>Retail</v>
      </c>
      <c r="P1095">
        <f>IFERROR(VLOOKUP(C1095,Customers!$A$2:$F$301,3,FALSE()),"")</f>
        <v>26</v>
      </c>
      <c r="Q1095">
        <f t="shared" si="51"/>
        <v>0.42761394101876676</v>
      </c>
      <c r="R1095">
        <f>IF(AND(COUNTIF($A$2:$A$2027,A1095)&gt;1,COUNTIF($A$2:A1095,A1095)=1),1,0)</f>
        <v>0</v>
      </c>
      <c r="S1095" t="b">
        <f>IFERROR(VLOOKUP(D1095,Products!$A$2:$F$61,6,FALSE()),"")</f>
        <v>1</v>
      </c>
      <c r="T1095" t="str">
        <f>IF(COUNTIF(Customers!$A$2:$A$301,C1095)=0,"Missing","OK")</f>
        <v>OK</v>
      </c>
      <c r="U1095" t="str">
        <f t="shared" si="52"/>
        <v>Chennai</v>
      </c>
      <c r="V1095">
        <f t="shared" si="53"/>
        <v>0</v>
      </c>
    </row>
    <row r="1096" spans="1:22" ht="15" customHeight="1" x14ac:dyDescent="0.35">
      <c r="A1096" s="3" t="s">
        <v>1520</v>
      </c>
      <c r="B1096" s="4">
        <v>45440</v>
      </c>
      <c r="C1096" s="3" t="s">
        <v>1514</v>
      </c>
      <c r="D1096" s="3" t="s">
        <v>319</v>
      </c>
      <c r="E1096" s="3" t="s">
        <v>131</v>
      </c>
      <c r="F1096" s="5">
        <v>5</v>
      </c>
      <c r="G1096" s="5">
        <v>960</v>
      </c>
      <c r="H1096" s="5">
        <v>9.3000000000000007</v>
      </c>
      <c r="I1096" s="5">
        <v>4353.6000000000004</v>
      </c>
      <c r="J1096" s="3" t="s">
        <v>26</v>
      </c>
      <c r="K1096" s="3" t="s">
        <v>72</v>
      </c>
      <c r="L1096" t="str">
        <f>IFERROR(VLOOKUP(D1096,Products!$A$2:$F$61,3,FALSE()),"")</f>
        <v>Beauty</v>
      </c>
      <c r="M1096" t="str">
        <f>IFERROR(VLOOKUP(E1096,Sales_Reps!$A$2:$C$31,3,FALSE()),"")</f>
        <v>East</v>
      </c>
      <c r="N1096">
        <f>IFERROR(VLOOKUP(D1096,Products!$A$2:$F$61,4,FALSE()),"")</f>
        <v>675</v>
      </c>
      <c r="O1096" t="str">
        <f>IFERROR(VLOOKUP(C1096,Customers!$A$2:$F$301,5,FALSE()),"")</f>
        <v>Corporate</v>
      </c>
      <c r="P1096">
        <f>IFERROR(VLOOKUP(C1096,Customers!$A$2:$F$301,3,FALSE()),"")</f>
        <v>60</v>
      </c>
      <c r="Q1096">
        <f t="shared" si="51"/>
        <v>0.296875</v>
      </c>
      <c r="R1096">
        <f>IF(AND(COUNTIF($A$2:$A$2027,A1096)&gt;1,COUNTIF($A$2:A1096,A1096)=1),1,0)</f>
        <v>0</v>
      </c>
      <c r="S1096" t="b">
        <f>IFERROR(VLOOKUP(D1096,Products!$A$2:$F$61,6,FALSE()),"")</f>
        <v>1</v>
      </c>
      <c r="T1096" t="str">
        <f>IF(COUNTIF(Customers!$A$2:$A$301,C1096)=0,"Missing","OK")</f>
        <v>OK</v>
      </c>
      <c r="U1096" t="str">
        <f t="shared" si="52"/>
        <v>Hyderabad</v>
      </c>
      <c r="V1096">
        <f t="shared" si="53"/>
        <v>0</v>
      </c>
    </row>
    <row r="1097" spans="1:22" ht="15" customHeight="1" x14ac:dyDescent="0.35">
      <c r="A1097" s="3" t="s">
        <v>1521</v>
      </c>
      <c r="B1097" s="4">
        <v>45511</v>
      </c>
      <c r="C1097" s="3" t="s">
        <v>720</v>
      </c>
      <c r="D1097" s="3" t="s">
        <v>382</v>
      </c>
      <c r="E1097" s="3" t="s">
        <v>46</v>
      </c>
      <c r="F1097" s="5">
        <v>3</v>
      </c>
      <c r="G1097" s="5">
        <v>5080</v>
      </c>
      <c r="H1097" s="5">
        <v>17.399999999999999</v>
      </c>
      <c r="I1097" s="5">
        <v>12588.24</v>
      </c>
      <c r="J1097" s="3" t="s">
        <v>79</v>
      </c>
      <c r="K1097" s="3" t="s">
        <v>38</v>
      </c>
      <c r="L1097" t="str">
        <f>IFERROR(VLOOKUP(D1097,Products!$A$2:$F$61,3,FALSE()),"")</f>
        <v>Home</v>
      </c>
      <c r="M1097" t="str">
        <f>IFERROR(VLOOKUP(E1097,Sales_Reps!$A$2:$C$31,3,FALSE()),"")</f>
        <v>North</v>
      </c>
      <c r="N1097">
        <f>IFERROR(VLOOKUP(D1097,Products!$A$2:$F$61,4,FALSE()),"")</f>
        <v>2459</v>
      </c>
      <c r="O1097" t="str">
        <f>IFERROR(VLOOKUP(C1097,Customers!$A$2:$F$301,5,FALSE()),"")</f>
        <v>SMB</v>
      </c>
      <c r="P1097">
        <f>IFERROR(VLOOKUP(C1097,Customers!$A$2:$F$301,3,FALSE()),"")</f>
        <v>29</v>
      </c>
      <c r="Q1097">
        <f t="shared" si="51"/>
        <v>0.51594488188976373</v>
      </c>
      <c r="R1097">
        <f>IF(AND(COUNTIF($A$2:$A$2027,A1097)&gt;1,COUNTIF($A$2:A1097,A1097)=1),1,0)</f>
        <v>0</v>
      </c>
      <c r="S1097" t="b">
        <f>IFERROR(VLOOKUP(D1097,Products!$A$2:$F$61,6,FALSE()),"")</f>
        <v>1</v>
      </c>
      <c r="T1097" t="str">
        <f>IF(COUNTIF(Customers!$A$2:$A$301,C1097)=0,"Missing","OK")</f>
        <v>OK</v>
      </c>
      <c r="U1097" t="str">
        <f t="shared" si="52"/>
        <v>Delhi</v>
      </c>
      <c r="V1097">
        <f t="shared" si="53"/>
        <v>0</v>
      </c>
    </row>
    <row r="1098" spans="1:22" ht="15" customHeight="1" x14ac:dyDescent="0.35">
      <c r="A1098" s="3" t="s">
        <v>1522</v>
      </c>
      <c r="B1098" s="4">
        <v>45300</v>
      </c>
      <c r="C1098" s="3" t="s">
        <v>887</v>
      </c>
      <c r="D1098" s="3" t="s">
        <v>187</v>
      </c>
      <c r="E1098" s="3" t="s">
        <v>87</v>
      </c>
      <c r="F1098" s="5">
        <v>4</v>
      </c>
      <c r="G1098" s="5">
        <v>3870</v>
      </c>
      <c r="H1098" s="5">
        <v>20.5</v>
      </c>
      <c r="I1098" s="5">
        <v>12306.6</v>
      </c>
      <c r="J1098" s="3" t="s">
        <v>32</v>
      </c>
      <c r="K1098" s="3" t="s">
        <v>660</v>
      </c>
      <c r="L1098" t="str">
        <f>IFERROR(VLOOKUP(D1098,Products!$A$2:$F$61,3,FALSE()),"")</f>
        <v>Electronics</v>
      </c>
      <c r="M1098" t="str">
        <f>IFERROR(VLOOKUP(E1098,Sales_Reps!$A$2:$C$31,3,FALSE()),"")</f>
        <v>North</v>
      </c>
      <c r="N1098">
        <f>IFERROR(VLOOKUP(D1098,Products!$A$2:$F$61,4,FALSE()),"")</f>
        <v>1559</v>
      </c>
      <c r="O1098" t="str">
        <f>IFERROR(VLOOKUP(C1098,Customers!$A$2:$F$301,5,FALSE()),"")</f>
        <v>Retail</v>
      </c>
      <c r="P1098">
        <f>IFERROR(VLOOKUP(C1098,Customers!$A$2:$F$301,3,FALSE()),"")</f>
        <v>65</v>
      </c>
      <c r="Q1098">
        <f t="shared" si="51"/>
        <v>0.59715762273901807</v>
      </c>
      <c r="R1098">
        <f>IF(AND(COUNTIF($A$2:$A$2027,A1098)&gt;1,COUNTIF($A$2:A1098,A1098)=1),1,0)</f>
        <v>0</v>
      </c>
      <c r="S1098" t="b">
        <f>IFERROR(VLOOKUP(D1098,Products!$A$2:$F$61,6,FALSE()),"")</f>
        <v>1</v>
      </c>
      <c r="T1098" t="str">
        <f>IF(COUNTIF(Customers!$A$2:$A$301,C1098)=0,"Missing","OK")</f>
        <v>OK</v>
      </c>
      <c r="U1098" t="str">
        <f t="shared" si="52"/>
        <v>Pune</v>
      </c>
      <c r="V1098">
        <f t="shared" si="53"/>
        <v>0</v>
      </c>
    </row>
    <row r="1099" spans="1:22" ht="15" customHeight="1" x14ac:dyDescent="0.35">
      <c r="A1099" s="3" t="s">
        <v>1523</v>
      </c>
      <c r="B1099" s="4">
        <v>45528</v>
      </c>
      <c r="C1099" s="3" t="s">
        <v>366</v>
      </c>
      <c r="D1099" s="3" t="s">
        <v>400</v>
      </c>
      <c r="E1099" s="3" t="s">
        <v>55</v>
      </c>
      <c r="F1099" s="5">
        <v>1</v>
      </c>
      <c r="G1099" s="5">
        <v>3780</v>
      </c>
      <c r="H1099" s="5">
        <v>21.5</v>
      </c>
      <c r="I1099" s="5">
        <v>2967.3</v>
      </c>
      <c r="J1099" s="3" t="s">
        <v>26</v>
      </c>
      <c r="K1099" s="3" t="s">
        <v>27</v>
      </c>
      <c r="L1099" t="str">
        <f>IFERROR(VLOOKUP(D1099,Products!$A$2:$F$61,3,FALSE()),"")</f>
        <v>Sports</v>
      </c>
      <c r="M1099" t="str">
        <f>IFERROR(VLOOKUP(E1099,Sales_Reps!$A$2:$C$31,3,FALSE()),"")</f>
        <v>West</v>
      </c>
      <c r="N1099">
        <f>IFERROR(VLOOKUP(D1099,Products!$A$2:$F$61,4,FALSE()),"")</f>
        <v>1860</v>
      </c>
      <c r="O1099" t="str">
        <f>IFERROR(VLOOKUP(C1099,Customers!$A$2:$F$301,5,FALSE()),"")</f>
        <v>Corporate</v>
      </c>
      <c r="P1099">
        <f>IFERROR(VLOOKUP(C1099,Customers!$A$2:$F$301,3,FALSE()),"")</f>
        <v>48</v>
      </c>
      <c r="Q1099">
        <f t="shared" si="51"/>
        <v>0.50793650793650791</v>
      </c>
      <c r="R1099">
        <f>IF(AND(COUNTIF($A$2:$A$2027,A1099)&gt;1,COUNTIF($A$2:A1099,A1099)=1),1,0)</f>
        <v>0</v>
      </c>
      <c r="S1099" t="b">
        <f>IFERROR(VLOOKUP(D1099,Products!$A$2:$F$61,6,FALSE()),"")</f>
        <v>1</v>
      </c>
      <c r="T1099" t="str">
        <f>IF(COUNTIF(Customers!$A$2:$A$301,C1099)=0,"Missing","OK")</f>
        <v>OK</v>
      </c>
      <c r="U1099" t="str">
        <f t="shared" si="52"/>
        <v>Pune</v>
      </c>
      <c r="V1099">
        <f t="shared" si="53"/>
        <v>0</v>
      </c>
    </row>
    <row r="1100" spans="1:22" ht="15" customHeight="1" x14ac:dyDescent="0.35">
      <c r="A1100" s="3" t="s">
        <v>1524</v>
      </c>
      <c r="B1100" s="4">
        <v>45622</v>
      </c>
      <c r="C1100" s="3" t="s">
        <v>53</v>
      </c>
      <c r="D1100" s="3" t="s">
        <v>187</v>
      </c>
      <c r="E1100" s="3" t="s">
        <v>177</v>
      </c>
      <c r="F1100" s="5">
        <v>3</v>
      </c>
      <c r="G1100" s="5">
        <v>3870</v>
      </c>
      <c r="H1100" s="5">
        <v>21.9</v>
      </c>
      <c r="I1100" s="5">
        <v>9067.41</v>
      </c>
      <c r="J1100" s="3" t="s">
        <v>32</v>
      </c>
      <c r="K1100" s="3" t="s">
        <v>56</v>
      </c>
      <c r="L1100" t="str">
        <f>IFERROR(VLOOKUP(D1100,Products!$A$2:$F$61,3,FALSE()),"")</f>
        <v>Electronics</v>
      </c>
      <c r="M1100" t="str">
        <f>IFERROR(VLOOKUP(E1100,Sales_Reps!$A$2:$C$31,3,FALSE()),"")</f>
        <v>East</v>
      </c>
      <c r="N1100">
        <f>IFERROR(VLOOKUP(D1100,Products!$A$2:$F$61,4,FALSE()),"")</f>
        <v>1559</v>
      </c>
      <c r="O1100" t="str">
        <f>IFERROR(VLOOKUP(C1100,Customers!$A$2:$F$301,5,FALSE()),"")</f>
        <v>Retail</v>
      </c>
      <c r="P1100">
        <f>IFERROR(VLOOKUP(C1100,Customers!$A$2:$F$301,3,FALSE()),"")</f>
        <v>27</v>
      </c>
      <c r="Q1100">
        <f t="shared" si="51"/>
        <v>0.59715762273901807</v>
      </c>
      <c r="R1100">
        <f>IF(AND(COUNTIF($A$2:$A$2027,A1100)&gt;1,COUNTIF($A$2:A1100,A1100)=1),1,0)</f>
        <v>0</v>
      </c>
      <c r="S1100" t="b">
        <f>IFERROR(VLOOKUP(D1100,Products!$A$2:$F$61,6,FALSE()),"")</f>
        <v>1</v>
      </c>
      <c r="T1100" t="str">
        <f>IF(COUNTIF(Customers!$A$2:$A$301,C1100)=0,"Missing","OK")</f>
        <v>OK</v>
      </c>
      <c r="U1100" t="str">
        <f t="shared" si="52"/>
        <v>Bengaluru</v>
      </c>
      <c r="V1100">
        <f t="shared" si="53"/>
        <v>0</v>
      </c>
    </row>
    <row r="1101" spans="1:22" ht="15" customHeight="1" x14ac:dyDescent="0.35">
      <c r="A1101" s="3" t="s">
        <v>1525</v>
      </c>
      <c r="B1101" s="4">
        <v>45463</v>
      </c>
      <c r="C1101" s="3" t="s">
        <v>172</v>
      </c>
      <c r="D1101" s="3" t="s">
        <v>234</v>
      </c>
      <c r="E1101" s="3" t="s">
        <v>143</v>
      </c>
      <c r="F1101" s="5">
        <v>4</v>
      </c>
      <c r="G1101" s="5">
        <v>2030</v>
      </c>
      <c r="H1101" s="5">
        <v>23.4</v>
      </c>
      <c r="I1101" s="5">
        <v>6219.92</v>
      </c>
      <c r="J1101" s="3" t="s">
        <v>26</v>
      </c>
      <c r="K1101" s="3" t="s">
        <v>27</v>
      </c>
      <c r="L1101" t="str">
        <f>IFERROR(VLOOKUP(D1101,Products!$A$2:$F$61,3,FALSE()),"")</f>
        <v>Home</v>
      </c>
      <c r="M1101" t="str">
        <f>IFERROR(VLOOKUP(E1101,Sales_Reps!$A$2:$C$31,3,FALSE()),"")</f>
        <v>South</v>
      </c>
      <c r="N1101">
        <f>IFERROR(VLOOKUP(D1101,Products!$A$2:$F$61,4,FALSE()),"")</f>
        <v>1143</v>
      </c>
      <c r="O1101" t="str">
        <f>IFERROR(VLOOKUP(C1101,Customers!$A$2:$F$301,5,FALSE()),"")</f>
        <v>SMB</v>
      </c>
      <c r="P1101">
        <f>IFERROR(VLOOKUP(C1101,Customers!$A$2:$F$301,3,FALSE()),"")</f>
        <v>29</v>
      </c>
      <c r="Q1101">
        <f t="shared" si="51"/>
        <v>0.43694581280788175</v>
      </c>
      <c r="R1101">
        <f>IF(AND(COUNTIF($A$2:$A$2027,A1101)&gt;1,COUNTIF($A$2:A1101,A1101)=1),1,0)</f>
        <v>0</v>
      </c>
      <c r="S1101" t="b">
        <f>IFERROR(VLOOKUP(D1101,Products!$A$2:$F$61,6,FALSE()),"")</f>
        <v>1</v>
      </c>
      <c r="T1101" t="str">
        <f>IF(COUNTIF(Customers!$A$2:$A$301,C1101)=0,"Missing","OK")</f>
        <v>OK</v>
      </c>
      <c r="U1101" t="str">
        <f t="shared" si="52"/>
        <v>Pune</v>
      </c>
      <c r="V1101">
        <f t="shared" si="53"/>
        <v>0</v>
      </c>
    </row>
    <row r="1102" spans="1:22" ht="15" customHeight="1" x14ac:dyDescent="0.35">
      <c r="A1102" s="3" t="s">
        <v>1526</v>
      </c>
      <c r="B1102" s="4">
        <v>45407</v>
      </c>
      <c r="C1102" s="3" t="s">
        <v>534</v>
      </c>
      <c r="D1102" s="3" t="s">
        <v>277</v>
      </c>
      <c r="E1102" s="3" t="s">
        <v>87</v>
      </c>
      <c r="F1102" s="5">
        <v>6</v>
      </c>
      <c r="G1102" s="5">
        <v>2210</v>
      </c>
      <c r="H1102" s="5">
        <v>9.1</v>
      </c>
      <c r="I1102" s="5">
        <v>12053.34</v>
      </c>
      <c r="J1102" s="3" t="s">
        <v>26</v>
      </c>
      <c r="K1102" s="3" t="s">
        <v>38</v>
      </c>
      <c r="L1102" t="str">
        <f>IFERROR(VLOOKUP(D1102,Products!$A$2:$F$61,3,FALSE()),"")</f>
        <v>Grocery</v>
      </c>
      <c r="M1102" t="str">
        <f>IFERROR(VLOOKUP(E1102,Sales_Reps!$A$2:$C$31,3,FALSE()),"")</f>
        <v>North</v>
      </c>
      <c r="N1102">
        <f>IFERROR(VLOOKUP(D1102,Products!$A$2:$F$61,4,FALSE()),"")</f>
        <v>1010</v>
      </c>
      <c r="O1102" t="str">
        <f>IFERROR(VLOOKUP(C1102,Customers!$A$2:$F$301,5,FALSE()),"")</f>
        <v>SMB</v>
      </c>
      <c r="P1102">
        <f>IFERROR(VLOOKUP(C1102,Customers!$A$2:$F$301,3,FALSE()),"")</f>
        <v>48</v>
      </c>
      <c r="Q1102">
        <f t="shared" si="51"/>
        <v>0.54298642533936647</v>
      </c>
      <c r="R1102">
        <f>IF(AND(COUNTIF($A$2:$A$2027,A1102)&gt;1,COUNTIF($A$2:A1102,A1102)=1),1,0)</f>
        <v>0</v>
      </c>
      <c r="S1102" t="b">
        <f>IFERROR(VLOOKUP(D1102,Products!$A$2:$F$61,6,FALSE()),"")</f>
        <v>1</v>
      </c>
      <c r="T1102" t="str">
        <f>IF(COUNTIF(Customers!$A$2:$A$301,C1102)=0,"Missing","OK")</f>
        <v>OK</v>
      </c>
      <c r="U1102" t="str">
        <f t="shared" si="52"/>
        <v>Delhi</v>
      </c>
      <c r="V1102">
        <f t="shared" si="53"/>
        <v>0</v>
      </c>
    </row>
    <row r="1103" spans="1:22" ht="15" customHeight="1" x14ac:dyDescent="0.35">
      <c r="A1103" s="3" t="s">
        <v>1527</v>
      </c>
      <c r="B1103" s="4">
        <v>45627</v>
      </c>
      <c r="C1103" s="3" t="s">
        <v>825</v>
      </c>
      <c r="D1103" s="3" t="s">
        <v>198</v>
      </c>
      <c r="E1103" s="3" t="s">
        <v>177</v>
      </c>
      <c r="F1103" s="5">
        <v>5</v>
      </c>
      <c r="G1103" s="5">
        <v>1540</v>
      </c>
      <c r="H1103" s="5">
        <v>18.100000000000001</v>
      </c>
      <c r="I1103" s="5">
        <v>6306.3</v>
      </c>
      <c r="J1103" s="3" t="s">
        <v>26</v>
      </c>
      <c r="K1103" s="3" t="s">
        <v>33</v>
      </c>
      <c r="L1103" t="str">
        <f>IFERROR(VLOOKUP(D1103,Products!$A$2:$F$61,3,FALSE()),"")</f>
        <v>Beauty</v>
      </c>
      <c r="M1103" t="str">
        <f>IFERROR(VLOOKUP(E1103,Sales_Reps!$A$2:$C$31,3,FALSE()),"")</f>
        <v>East</v>
      </c>
      <c r="N1103">
        <f>IFERROR(VLOOKUP(D1103,Products!$A$2:$F$61,4,FALSE()),"")</f>
        <v>647</v>
      </c>
      <c r="O1103" t="str">
        <f>IFERROR(VLOOKUP(C1103,Customers!$A$2:$F$301,5,FALSE()),"")</f>
        <v>Corporate</v>
      </c>
      <c r="P1103">
        <f>IFERROR(VLOOKUP(C1103,Customers!$A$2:$F$301,3,FALSE()),"")</f>
        <v>44</v>
      </c>
      <c r="Q1103">
        <f t="shared" si="51"/>
        <v>0.57987012987012987</v>
      </c>
      <c r="R1103">
        <f>IF(AND(COUNTIF($A$2:$A$2027,A1103)&gt;1,COUNTIF($A$2:A1103,A1103)=1),1,0)</f>
        <v>0</v>
      </c>
      <c r="S1103" t="b">
        <f>IFERROR(VLOOKUP(D1103,Products!$A$2:$F$61,6,FALSE()),"")</f>
        <v>0</v>
      </c>
      <c r="T1103" t="str">
        <f>IF(COUNTIF(Customers!$A$2:$A$301,C1103)=0,"Missing","OK")</f>
        <v>OK</v>
      </c>
      <c r="U1103" t="str">
        <f t="shared" si="52"/>
        <v>Chennai</v>
      </c>
      <c r="V1103">
        <f t="shared" si="53"/>
        <v>0</v>
      </c>
    </row>
    <row r="1104" spans="1:22" ht="15" customHeight="1" x14ac:dyDescent="0.35">
      <c r="A1104" s="3" t="s">
        <v>1528</v>
      </c>
      <c r="B1104" s="4">
        <v>45393</v>
      </c>
      <c r="C1104" s="3" t="s">
        <v>577</v>
      </c>
      <c r="D1104" s="3" t="s">
        <v>121</v>
      </c>
      <c r="E1104" s="3" t="s">
        <v>212</v>
      </c>
      <c r="F1104" s="5">
        <v>1</v>
      </c>
      <c r="G1104" s="5">
        <v>1010</v>
      </c>
      <c r="H1104" s="5">
        <v>7.3</v>
      </c>
      <c r="I1104" s="5">
        <v>936.27</v>
      </c>
      <c r="J1104" s="3" t="s">
        <v>26</v>
      </c>
      <c r="K1104" s="3" t="s">
        <v>38</v>
      </c>
      <c r="L1104" t="str">
        <f>IFERROR(VLOOKUP(D1104,Products!$A$2:$F$61,3,FALSE()),"")</f>
        <v>Sports</v>
      </c>
      <c r="M1104" t="str">
        <f>IFERROR(VLOOKUP(E1104,Sales_Reps!$A$2:$C$31,3,FALSE()),"")</f>
        <v>South</v>
      </c>
      <c r="N1104">
        <f>IFERROR(VLOOKUP(D1104,Products!$A$2:$F$61,4,FALSE()),"")</f>
        <v>516</v>
      </c>
      <c r="O1104" t="str">
        <f>IFERROR(VLOOKUP(C1104,Customers!$A$2:$F$301,5,FALSE()),"")</f>
        <v>Retail</v>
      </c>
      <c r="P1104">
        <f>IFERROR(VLOOKUP(C1104,Customers!$A$2:$F$301,3,FALSE()),"")</f>
        <v>43</v>
      </c>
      <c r="Q1104">
        <f t="shared" si="51"/>
        <v>0.4891089108910891</v>
      </c>
      <c r="R1104">
        <f>IF(AND(COUNTIF($A$2:$A$2027,A1104)&gt;1,COUNTIF($A$2:A1104,A1104)=1),1,0)</f>
        <v>0</v>
      </c>
      <c r="S1104" t="b">
        <f>IFERROR(VLOOKUP(D1104,Products!$A$2:$F$61,6,FALSE()),"")</f>
        <v>1</v>
      </c>
      <c r="T1104" t="str">
        <f>IF(COUNTIF(Customers!$A$2:$A$301,C1104)=0,"Missing","OK")</f>
        <v>OK</v>
      </c>
      <c r="U1104" t="str">
        <f t="shared" si="52"/>
        <v>Delhi</v>
      </c>
      <c r="V1104">
        <f t="shared" si="53"/>
        <v>0</v>
      </c>
    </row>
    <row r="1105" spans="1:22" ht="15" customHeight="1" x14ac:dyDescent="0.35">
      <c r="A1105" s="3" t="s">
        <v>1529</v>
      </c>
      <c r="B1105" s="4">
        <v>45360</v>
      </c>
      <c r="C1105" s="3" t="s">
        <v>615</v>
      </c>
      <c r="D1105" s="3" t="s">
        <v>303</v>
      </c>
      <c r="E1105" s="3" t="s">
        <v>127</v>
      </c>
      <c r="F1105" s="5">
        <v>10</v>
      </c>
      <c r="G1105" s="5">
        <v>5330</v>
      </c>
      <c r="H1105" s="5">
        <v>27.3</v>
      </c>
      <c r="I1105" s="5">
        <v>38749.1</v>
      </c>
      <c r="J1105" s="3" t="s">
        <v>26</v>
      </c>
      <c r="K1105" s="3" t="s">
        <v>27</v>
      </c>
      <c r="L1105" t="str">
        <f>IFERROR(VLOOKUP(D1105,Products!$A$2:$F$61,3,FALSE()),"")</f>
        <v>Electronics</v>
      </c>
      <c r="M1105" t="str">
        <f>IFERROR(VLOOKUP(E1105,Sales_Reps!$A$2:$C$31,3,FALSE()),"")</f>
        <v>South</v>
      </c>
      <c r="N1105">
        <f>IFERROR(VLOOKUP(D1105,Products!$A$2:$F$61,4,FALSE()),"")</f>
        <v>2405</v>
      </c>
      <c r="O1105" t="str">
        <f>IFERROR(VLOOKUP(C1105,Customers!$A$2:$F$301,5,FALSE()),"")</f>
        <v>SMB</v>
      </c>
      <c r="P1105">
        <f>IFERROR(VLOOKUP(C1105,Customers!$A$2:$F$301,3,FALSE()),"")</f>
        <v>35</v>
      </c>
      <c r="Q1105">
        <f t="shared" si="51"/>
        <v>0.54878048780487809</v>
      </c>
      <c r="R1105">
        <f>IF(AND(COUNTIF($A$2:$A$2027,A1105)&gt;1,COUNTIF($A$2:A1105,A1105)=1),1,0)</f>
        <v>0</v>
      </c>
      <c r="S1105" t="b">
        <f>IFERROR(VLOOKUP(D1105,Products!$A$2:$F$61,6,FALSE()),"")</f>
        <v>1</v>
      </c>
      <c r="T1105" t="str">
        <f>IF(COUNTIF(Customers!$A$2:$A$301,C1105)=0,"Missing","OK")</f>
        <v>OK</v>
      </c>
      <c r="U1105" t="str">
        <f t="shared" si="52"/>
        <v>Pune</v>
      </c>
      <c r="V1105">
        <f t="shared" si="53"/>
        <v>0</v>
      </c>
    </row>
    <row r="1106" spans="1:22" ht="15" customHeight="1" x14ac:dyDescent="0.35">
      <c r="A1106" s="3" t="s">
        <v>1530</v>
      </c>
      <c r="B1106" s="4">
        <v>45548</v>
      </c>
      <c r="C1106" s="3" t="s">
        <v>344</v>
      </c>
      <c r="D1106" s="3" t="s">
        <v>126</v>
      </c>
      <c r="E1106" s="3" t="s">
        <v>224</v>
      </c>
      <c r="F1106" s="5">
        <v>7</v>
      </c>
      <c r="G1106" s="5">
        <v>3570</v>
      </c>
      <c r="H1106" s="5">
        <v>24.3</v>
      </c>
      <c r="I1106" s="5">
        <v>18917.43</v>
      </c>
      <c r="J1106" s="3" t="s">
        <v>26</v>
      </c>
      <c r="K1106" s="3" t="s">
        <v>33</v>
      </c>
      <c r="L1106" t="str">
        <f>IFERROR(VLOOKUP(D1106,Products!$A$2:$F$61,3,FALSE()),"")</f>
        <v>Electronics</v>
      </c>
      <c r="M1106" t="str">
        <f>IFERROR(VLOOKUP(E1106,Sales_Reps!$A$2:$C$31,3,FALSE()),"")</f>
        <v>East</v>
      </c>
      <c r="N1106">
        <f>IFERROR(VLOOKUP(D1106,Products!$A$2:$F$61,4,FALSE()),"")</f>
        <v>1665</v>
      </c>
      <c r="O1106" t="str">
        <f>IFERROR(VLOOKUP(C1106,Customers!$A$2:$F$301,5,FALSE()),"")</f>
        <v>Corporate</v>
      </c>
      <c r="P1106">
        <f>IFERROR(VLOOKUP(C1106,Customers!$A$2:$F$301,3,FALSE()),"")</f>
        <v>24</v>
      </c>
      <c r="Q1106">
        <f t="shared" si="51"/>
        <v>0.53361344537815125</v>
      </c>
      <c r="R1106">
        <f>IF(AND(COUNTIF($A$2:$A$2027,A1106)&gt;1,COUNTIF($A$2:A1106,A1106)=1),1,0)</f>
        <v>0</v>
      </c>
      <c r="S1106" t="b">
        <f>IFERROR(VLOOKUP(D1106,Products!$A$2:$F$61,6,FALSE()),"")</f>
        <v>1</v>
      </c>
      <c r="T1106" t="str">
        <f>IF(COUNTIF(Customers!$A$2:$A$301,C1106)=0,"Missing","OK")</f>
        <v>OK</v>
      </c>
      <c r="U1106" t="str">
        <f t="shared" si="52"/>
        <v>Chennai</v>
      </c>
      <c r="V1106">
        <f t="shared" si="53"/>
        <v>0</v>
      </c>
    </row>
    <row r="1107" spans="1:22" ht="15" customHeight="1" x14ac:dyDescent="0.35">
      <c r="A1107" s="3" t="s">
        <v>1531</v>
      </c>
      <c r="B1107" s="4">
        <v>45569</v>
      </c>
      <c r="C1107" s="3" t="s">
        <v>308</v>
      </c>
      <c r="D1107" s="3" t="s">
        <v>118</v>
      </c>
      <c r="E1107" s="3" t="s">
        <v>177</v>
      </c>
      <c r="F1107" s="5">
        <v>1</v>
      </c>
      <c r="G1107" s="5">
        <v>3350</v>
      </c>
      <c r="H1107" s="5">
        <v>14.9</v>
      </c>
      <c r="I1107" s="5">
        <v>2850.85</v>
      </c>
      <c r="J1107" s="3" t="s">
        <v>26</v>
      </c>
      <c r="K1107" s="3" t="s">
        <v>33</v>
      </c>
      <c r="L1107" t="str">
        <f>IFERROR(VLOOKUP(D1107,Products!$A$2:$F$61,3,FALSE()),"")</f>
        <v>Beauty</v>
      </c>
      <c r="M1107" t="str">
        <f>IFERROR(VLOOKUP(E1107,Sales_Reps!$A$2:$C$31,3,FALSE()),"")</f>
        <v>East</v>
      </c>
      <c r="N1107">
        <f>IFERROR(VLOOKUP(D1107,Products!$A$2:$F$61,4,FALSE()),"")</f>
        <v>1728</v>
      </c>
      <c r="O1107" t="str">
        <f>IFERROR(VLOOKUP(C1107,Customers!$A$2:$F$301,5,FALSE()),"")</f>
        <v>SMB</v>
      </c>
      <c r="P1107">
        <f>IFERROR(VLOOKUP(C1107,Customers!$A$2:$F$301,3,FALSE()),"")</f>
        <v>62</v>
      </c>
      <c r="Q1107">
        <f t="shared" si="51"/>
        <v>0.48417910447761192</v>
      </c>
      <c r="R1107">
        <f>IF(AND(COUNTIF($A$2:$A$2027,A1107)&gt;1,COUNTIF($A$2:A1107,A1107)=1),1,0)</f>
        <v>0</v>
      </c>
      <c r="S1107" t="b">
        <f>IFERROR(VLOOKUP(D1107,Products!$A$2:$F$61,6,FALSE()),"")</f>
        <v>1</v>
      </c>
      <c r="T1107" t="str">
        <f>IF(COUNTIF(Customers!$A$2:$A$301,C1107)=0,"Missing","OK")</f>
        <v>OK</v>
      </c>
      <c r="U1107" t="str">
        <f t="shared" si="52"/>
        <v>Chennai</v>
      </c>
      <c r="V1107">
        <f t="shared" si="53"/>
        <v>0</v>
      </c>
    </row>
    <row r="1108" spans="1:22" ht="15" customHeight="1" x14ac:dyDescent="0.35">
      <c r="A1108" s="3" t="s">
        <v>1532</v>
      </c>
      <c r="B1108" s="4">
        <v>45541</v>
      </c>
      <c r="C1108" s="3" t="s">
        <v>554</v>
      </c>
      <c r="D1108" s="3" t="s">
        <v>294</v>
      </c>
      <c r="E1108" s="3" t="s">
        <v>93</v>
      </c>
      <c r="F1108" s="5">
        <v>2</v>
      </c>
      <c r="G1108" s="5">
        <v>2510</v>
      </c>
      <c r="H1108" s="5">
        <v>10.6</v>
      </c>
      <c r="I1108" s="5">
        <v>4487.88</v>
      </c>
      <c r="J1108" s="3" t="s">
        <v>26</v>
      </c>
      <c r="K1108" s="3" t="s">
        <v>51</v>
      </c>
      <c r="L1108" t="str">
        <f>IFERROR(VLOOKUP(D1108,Products!$A$2:$F$61,3,FALSE()),"")</f>
        <v>Apparel</v>
      </c>
      <c r="M1108" t="str">
        <f>IFERROR(VLOOKUP(E1108,Sales_Reps!$A$2:$C$31,3,FALSE()),"")</f>
        <v>East</v>
      </c>
      <c r="N1108">
        <f>IFERROR(VLOOKUP(D1108,Products!$A$2:$F$61,4,FALSE()),"")</f>
        <v>1075</v>
      </c>
      <c r="O1108" t="str">
        <f>IFERROR(VLOOKUP(C1108,Customers!$A$2:$F$301,5,FALSE()),"")</f>
        <v>Retail</v>
      </c>
      <c r="P1108">
        <f>IFERROR(VLOOKUP(C1108,Customers!$A$2:$F$301,3,FALSE()),"")</f>
        <v>53</v>
      </c>
      <c r="Q1108">
        <f t="shared" si="51"/>
        <v>0.57171314741035861</v>
      </c>
      <c r="R1108">
        <f>IF(AND(COUNTIF($A$2:$A$2027,A1108)&gt;1,COUNTIF($A$2:A1108,A1108)=1),1,0)</f>
        <v>0</v>
      </c>
      <c r="S1108" t="b">
        <f>IFERROR(VLOOKUP(D1108,Products!$A$2:$F$61,6,FALSE()),"")</f>
        <v>0</v>
      </c>
      <c r="T1108" t="str">
        <f>IF(COUNTIF(Customers!$A$2:$A$301,C1108)=0,"Missing","OK")</f>
        <v>OK</v>
      </c>
      <c r="U1108" t="str">
        <f t="shared" si="52"/>
        <v>Mumbai</v>
      </c>
      <c r="V1108">
        <f t="shared" si="53"/>
        <v>0</v>
      </c>
    </row>
    <row r="1109" spans="1:22" ht="15" customHeight="1" x14ac:dyDescent="0.35">
      <c r="A1109" s="3" t="s">
        <v>1533</v>
      </c>
      <c r="B1109" s="4">
        <v>45369</v>
      </c>
      <c r="C1109" s="3" t="s">
        <v>99</v>
      </c>
      <c r="D1109" s="3" t="s">
        <v>66</v>
      </c>
      <c r="E1109" s="3" t="s">
        <v>50</v>
      </c>
      <c r="F1109" s="5">
        <v>5</v>
      </c>
      <c r="G1109" s="5">
        <v>970</v>
      </c>
      <c r="H1109" s="5">
        <v>6.8</v>
      </c>
      <c r="I1109" s="5">
        <v>4520.2</v>
      </c>
      <c r="J1109" s="3" t="s">
        <v>32</v>
      </c>
      <c r="K1109" s="3" t="s">
        <v>51</v>
      </c>
      <c r="L1109" t="str">
        <f>IFERROR(VLOOKUP(D1109,Products!$A$2:$F$61,3,FALSE()),"")</f>
        <v>Grocery</v>
      </c>
      <c r="M1109" t="str">
        <f>IFERROR(VLOOKUP(E1109,Sales_Reps!$A$2:$C$31,3,FALSE()),"")</f>
        <v>West</v>
      </c>
      <c r="N1109">
        <f>IFERROR(VLOOKUP(D1109,Products!$A$2:$F$61,4,FALSE()),"")</f>
        <v>434</v>
      </c>
      <c r="O1109" t="str">
        <f>IFERROR(VLOOKUP(C1109,Customers!$A$2:$F$301,5,FALSE()),"")</f>
        <v>Retail</v>
      </c>
      <c r="P1109">
        <f>IFERROR(VLOOKUP(C1109,Customers!$A$2:$F$301,3,FALSE()),"")</f>
        <v>54</v>
      </c>
      <c r="Q1109">
        <f t="shared" si="51"/>
        <v>0.5525773195876289</v>
      </c>
      <c r="R1109">
        <f>IF(AND(COUNTIF($A$2:$A$2027,A1109)&gt;1,COUNTIF($A$2:A1109,A1109)=1),1,0)</f>
        <v>0</v>
      </c>
      <c r="S1109" t="b">
        <f>IFERROR(VLOOKUP(D1109,Products!$A$2:$F$61,6,FALSE()),"")</f>
        <v>1</v>
      </c>
      <c r="T1109" t="str">
        <f>IF(COUNTIF(Customers!$A$2:$A$301,C1109)=0,"Missing","OK")</f>
        <v>OK</v>
      </c>
      <c r="U1109" t="str">
        <f t="shared" si="52"/>
        <v>Mumbai</v>
      </c>
      <c r="V1109">
        <f t="shared" si="53"/>
        <v>0</v>
      </c>
    </row>
    <row r="1110" spans="1:22" ht="15" customHeight="1" x14ac:dyDescent="0.35">
      <c r="A1110" s="3" t="s">
        <v>1534</v>
      </c>
      <c r="B1110" s="4">
        <v>45519</v>
      </c>
      <c r="C1110" s="3" t="s">
        <v>170</v>
      </c>
      <c r="D1110" s="3" t="s">
        <v>173</v>
      </c>
      <c r="E1110" s="3" t="s">
        <v>236</v>
      </c>
      <c r="F1110" s="5">
        <v>5</v>
      </c>
      <c r="G1110" s="5">
        <v>3780</v>
      </c>
      <c r="H1110" s="5">
        <v>16.600000000000001</v>
      </c>
      <c r="I1110" s="5">
        <v>15762.6</v>
      </c>
      <c r="J1110" s="3" t="s">
        <v>26</v>
      </c>
      <c r="K1110" s="3" t="s">
        <v>56</v>
      </c>
      <c r="L1110" t="str">
        <f>IFERROR(VLOOKUP(D1110,Products!$A$2:$F$61,3,FALSE()),"")</f>
        <v>Grocery</v>
      </c>
      <c r="M1110" t="str">
        <f>IFERROR(VLOOKUP(E1110,Sales_Reps!$A$2:$C$31,3,FALSE()),"")</f>
        <v>North</v>
      </c>
      <c r="N1110">
        <f>IFERROR(VLOOKUP(D1110,Products!$A$2:$F$61,4,FALSE()),"")</f>
        <v>2436</v>
      </c>
      <c r="O1110" t="str">
        <f>IFERROR(VLOOKUP(C1110,Customers!$A$2:$F$301,5,FALSE()),"")</f>
        <v>SMB</v>
      </c>
      <c r="P1110">
        <f>IFERROR(VLOOKUP(C1110,Customers!$A$2:$F$301,3,FALSE()),"")</f>
        <v>64</v>
      </c>
      <c r="Q1110">
        <f t="shared" si="51"/>
        <v>0.35555555555555557</v>
      </c>
      <c r="R1110">
        <f>IF(AND(COUNTIF($A$2:$A$2027,A1110)&gt;1,COUNTIF($A$2:A1110,A1110)=1),1,0)</f>
        <v>0</v>
      </c>
      <c r="S1110" t="b">
        <f>IFERROR(VLOOKUP(D1110,Products!$A$2:$F$61,6,FALSE()),"")</f>
        <v>1</v>
      </c>
      <c r="T1110" t="str">
        <f>IF(COUNTIF(Customers!$A$2:$A$301,C1110)=0,"Missing","OK")</f>
        <v>OK</v>
      </c>
      <c r="U1110" t="str">
        <f t="shared" si="52"/>
        <v>Bengaluru</v>
      </c>
      <c r="V1110">
        <f t="shared" si="53"/>
        <v>15762.6</v>
      </c>
    </row>
    <row r="1111" spans="1:22" ht="15" customHeight="1" x14ac:dyDescent="0.35">
      <c r="A1111" s="3" t="s">
        <v>1535</v>
      </c>
      <c r="B1111" s="4">
        <v>45379</v>
      </c>
      <c r="C1111" s="3" t="s">
        <v>615</v>
      </c>
      <c r="D1111" s="3" t="s">
        <v>294</v>
      </c>
      <c r="E1111" s="3" t="s">
        <v>25</v>
      </c>
      <c r="F1111" s="5">
        <v>3</v>
      </c>
      <c r="G1111" s="5">
        <v>2510</v>
      </c>
      <c r="H1111" s="5">
        <v>24.9</v>
      </c>
      <c r="I1111" s="5">
        <v>5655.03</v>
      </c>
      <c r="J1111" s="3" t="s">
        <v>79</v>
      </c>
      <c r="K1111" s="3" t="s">
        <v>27</v>
      </c>
      <c r="L1111" t="str">
        <f>IFERROR(VLOOKUP(D1111,Products!$A$2:$F$61,3,FALSE()),"")</f>
        <v>Apparel</v>
      </c>
      <c r="M1111" t="str">
        <f>IFERROR(VLOOKUP(E1111,Sales_Reps!$A$2:$C$31,3,FALSE()),"")</f>
        <v>North</v>
      </c>
      <c r="N1111">
        <f>IFERROR(VLOOKUP(D1111,Products!$A$2:$F$61,4,FALSE()),"")</f>
        <v>1075</v>
      </c>
      <c r="O1111" t="str">
        <f>IFERROR(VLOOKUP(C1111,Customers!$A$2:$F$301,5,FALSE()),"")</f>
        <v>SMB</v>
      </c>
      <c r="P1111">
        <f>IFERROR(VLOOKUP(C1111,Customers!$A$2:$F$301,3,FALSE()),"")</f>
        <v>35</v>
      </c>
      <c r="Q1111">
        <f t="shared" si="51"/>
        <v>0.57171314741035861</v>
      </c>
      <c r="R1111">
        <f>IF(AND(COUNTIF($A$2:$A$2027,A1111)&gt;1,COUNTIF($A$2:A1111,A1111)=1),1,0)</f>
        <v>0</v>
      </c>
      <c r="S1111" t="b">
        <f>IFERROR(VLOOKUP(D1111,Products!$A$2:$F$61,6,FALSE()),"")</f>
        <v>0</v>
      </c>
      <c r="T1111" t="str">
        <f>IF(COUNTIF(Customers!$A$2:$A$301,C1111)=0,"Missing","OK")</f>
        <v>OK</v>
      </c>
      <c r="U1111" t="str">
        <f t="shared" si="52"/>
        <v>Pune</v>
      </c>
      <c r="V1111">
        <f t="shared" si="53"/>
        <v>0</v>
      </c>
    </row>
    <row r="1112" spans="1:22" ht="15" customHeight="1" x14ac:dyDescent="0.35">
      <c r="A1112" s="3" t="s">
        <v>1536</v>
      </c>
      <c r="B1112" s="4">
        <v>45548</v>
      </c>
      <c r="C1112" s="3" t="s">
        <v>1300</v>
      </c>
      <c r="D1112" s="3" t="s">
        <v>234</v>
      </c>
      <c r="E1112" s="3" t="s">
        <v>46</v>
      </c>
      <c r="F1112" s="5">
        <v>3</v>
      </c>
      <c r="G1112" s="5">
        <v>2030</v>
      </c>
      <c r="H1112" s="5">
        <v>3.8</v>
      </c>
      <c r="I1112" s="5">
        <v>5858.58</v>
      </c>
      <c r="J1112" s="3" t="s">
        <v>26</v>
      </c>
      <c r="K1112" s="3" t="s">
        <v>33</v>
      </c>
      <c r="L1112" t="str">
        <f>IFERROR(VLOOKUP(D1112,Products!$A$2:$F$61,3,FALSE()),"")</f>
        <v>Home</v>
      </c>
      <c r="M1112" t="str">
        <f>IFERROR(VLOOKUP(E1112,Sales_Reps!$A$2:$C$31,3,FALSE()),"")</f>
        <v>North</v>
      </c>
      <c r="N1112">
        <f>IFERROR(VLOOKUP(D1112,Products!$A$2:$F$61,4,FALSE()),"")</f>
        <v>1143</v>
      </c>
      <c r="O1112" t="str">
        <f>IFERROR(VLOOKUP(C1112,Customers!$A$2:$F$301,5,FALSE()),"")</f>
        <v>Retail</v>
      </c>
      <c r="P1112">
        <f>IFERROR(VLOOKUP(C1112,Customers!$A$2:$F$301,3,FALSE()),"")</f>
        <v>34</v>
      </c>
      <c r="Q1112">
        <f t="shared" si="51"/>
        <v>0.43694581280788175</v>
      </c>
      <c r="R1112">
        <f>IF(AND(COUNTIF($A$2:$A$2027,A1112)&gt;1,COUNTIF($A$2:A1112,A1112)=1),1,0)</f>
        <v>0</v>
      </c>
      <c r="S1112" t="b">
        <f>IFERROR(VLOOKUP(D1112,Products!$A$2:$F$61,6,FALSE()),"")</f>
        <v>1</v>
      </c>
      <c r="T1112" t="str">
        <f>IF(COUNTIF(Customers!$A$2:$A$301,C1112)=0,"Missing","OK")</f>
        <v>OK</v>
      </c>
      <c r="U1112" t="str">
        <f t="shared" si="52"/>
        <v>Chennai</v>
      </c>
      <c r="V1112">
        <f t="shared" si="53"/>
        <v>0</v>
      </c>
    </row>
    <row r="1113" spans="1:22" ht="15" customHeight="1" x14ac:dyDescent="0.35">
      <c r="A1113" s="3" t="s">
        <v>1537</v>
      </c>
      <c r="B1113" s="4">
        <v>45478</v>
      </c>
      <c r="C1113" s="3" t="s">
        <v>909</v>
      </c>
      <c r="D1113" s="3" t="s">
        <v>86</v>
      </c>
      <c r="E1113" s="3" t="s">
        <v>37</v>
      </c>
      <c r="F1113" s="5">
        <v>9</v>
      </c>
      <c r="G1113" s="5">
        <v>190</v>
      </c>
      <c r="H1113" s="5">
        <v>5.4</v>
      </c>
      <c r="I1113" s="5">
        <v>1617.66</v>
      </c>
      <c r="J1113" s="3" t="s">
        <v>26</v>
      </c>
      <c r="K1113" s="3" t="s">
        <v>51</v>
      </c>
      <c r="L1113" t="str">
        <f>IFERROR(VLOOKUP(D1113,Products!$A$2:$F$61,3,FALSE()),"")</f>
        <v>Sports</v>
      </c>
      <c r="M1113" t="str">
        <f>IFERROR(VLOOKUP(E1113,Sales_Reps!$A$2:$C$31,3,FALSE()),"")</f>
        <v>South</v>
      </c>
      <c r="N1113">
        <f>IFERROR(VLOOKUP(D1113,Products!$A$2:$F$61,4,FALSE()),"")</f>
        <v>147</v>
      </c>
      <c r="O1113" t="str">
        <f>IFERROR(VLOOKUP(C1113,Customers!$A$2:$F$301,5,FALSE()),"")</f>
        <v>Retail</v>
      </c>
      <c r="P1113">
        <f>IFERROR(VLOOKUP(C1113,Customers!$A$2:$F$301,3,FALSE()),"")</f>
        <v>40</v>
      </c>
      <c r="Q1113">
        <f t="shared" si="51"/>
        <v>0.22631578947368422</v>
      </c>
      <c r="R1113">
        <f>IF(AND(COUNTIF($A$2:$A$2027,A1113)&gt;1,COUNTIF($A$2:A1113,A1113)=1),1,0)</f>
        <v>0</v>
      </c>
      <c r="S1113" t="b">
        <f>IFERROR(VLOOKUP(D1113,Products!$A$2:$F$61,6,FALSE()),"")</f>
        <v>1</v>
      </c>
      <c r="T1113" t="str">
        <f>IF(COUNTIF(Customers!$A$2:$A$301,C1113)=0,"Missing","OK")</f>
        <v>OK</v>
      </c>
      <c r="U1113" t="str">
        <f t="shared" si="52"/>
        <v>Mumbai</v>
      </c>
      <c r="V1113">
        <f t="shared" si="53"/>
        <v>0</v>
      </c>
    </row>
    <row r="1114" spans="1:22" ht="15" customHeight="1" x14ac:dyDescent="0.35">
      <c r="A1114" s="3" t="s">
        <v>1538</v>
      </c>
      <c r="B1114" s="4">
        <v>45338</v>
      </c>
      <c r="C1114" s="3" t="s">
        <v>284</v>
      </c>
      <c r="D1114" s="3" t="s">
        <v>277</v>
      </c>
      <c r="E1114" s="3" t="s">
        <v>131</v>
      </c>
      <c r="F1114" s="5">
        <v>6</v>
      </c>
      <c r="G1114" s="5">
        <v>2210</v>
      </c>
      <c r="H1114" s="5">
        <v>29.4</v>
      </c>
      <c r="I1114" s="5">
        <v>9361.56</v>
      </c>
      <c r="J1114" s="3" t="s">
        <v>26</v>
      </c>
      <c r="K1114" s="3" t="s">
        <v>33</v>
      </c>
      <c r="L1114" t="str">
        <f>IFERROR(VLOOKUP(D1114,Products!$A$2:$F$61,3,FALSE()),"")</f>
        <v>Grocery</v>
      </c>
      <c r="M1114" t="str">
        <f>IFERROR(VLOOKUP(E1114,Sales_Reps!$A$2:$C$31,3,FALSE()),"")</f>
        <v>East</v>
      </c>
      <c r="N1114">
        <f>IFERROR(VLOOKUP(D1114,Products!$A$2:$F$61,4,FALSE()),"")</f>
        <v>1010</v>
      </c>
      <c r="O1114" t="str">
        <f>IFERROR(VLOOKUP(C1114,Customers!$A$2:$F$301,5,FALSE()),"")</f>
        <v>Corporate</v>
      </c>
      <c r="P1114">
        <f>IFERROR(VLOOKUP(C1114,Customers!$A$2:$F$301,3,FALSE()),"")</f>
        <v>38</v>
      </c>
      <c r="Q1114">
        <f t="shared" si="51"/>
        <v>0.54298642533936647</v>
      </c>
      <c r="R1114">
        <f>IF(AND(COUNTIF($A$2:$A$2027,A1114)&gt;1,COUNTIF($A$2:A1114,A1114)=1),1,0)</f>
        <v>0</v>
      </c>
      <c r="S1114" t="b">
        <f>IFERROR(VLOOKUP(D1114,Products!$A$2:$F$61,6,FALSE()),"")</f>
        <v>1</v>
      </c>
      <c r="T1114" t="str">
        <f>IF(COUNTIF(Customers!$A$2:$A$301,C1114)=0,"Missing","OK")</f>
        <v>OK</v>
      </c>
      <c r="U1114" t="str">
        <f t="shared" si="52"/>
        <v>Chennai</v>
      </c>
      <c r="V1114">
        <f t="shared" si="53"/>
        <v>0</v>
      </c>
    </row>
    <row r="1115" spans="1:22" ht="15" customHeight="1" x14ac:dyDescent="0.35">
      <c r="A1115" s="3" t="s">
        <v>1539</v>
      </c>
      <c r="B1115" s="4">
        <v>45546</v>
      </c>
      <c r="C1115" s="3" t="s">
        <v>359</v>
      </c>
      <c r="D1115" s="3" t="s">
        <v>176</v>
      </c>
      <c r="E1115" s="3" t="s">
        <v>31</v>
      </c>
      <c r="F1115" s="5">
        <v>4</v>
      </c>
      <c r="G1115" s="5">
        <v>3640</v>
      </c>
      <c r="H1115" s="5">
        <v>0.6</v>
      </c>
      <c r="I1115" s="5">
        <v>14472.64</v>
      </c>
      <c r="J1115" s="3" t="s">
        <v>26</v>
      </c>
      <c r="K1115" s="3" t="s">
        <v>38</v>
      </c>
      <c r="L1115" t="str">
        <f>IFERROR(VLOOKUP(D1115,Products!$A$2:$F$61,3,FALSE()),"")</f>
        <v>Apparel</v>
      </c>
      <c r="M1115" t="str">
        <f>IFERROR(VLOOKUP(E1115,Sales_Reps!$A$2:$C$31,3,FALSE()),"")</f>
        <v>North</v>
      </c>
      <c r="N1115">
        <f>IFERROR(VLOOKUP(D1115,Products!$A$2:$F$61,4,FALSE()),"")</f>
        <v>2611</v>
      </c>
      <c r="O1115" t="str">
        <f>IFERROR(VLOOKUP(C1115,Customers!$A$2:$F$301,5,FALSE()),"")</f>
        <v>Retail</v>
      </c>
      <c r="P1115">
        <f>IFERROR(VLOOKUP(C1115,Customers!$A$2:$F$301,3,FALSE()),"")</f>
        <v>44</v>
      </c>
      <c r="Q1115">
        <f t="shared" si="51"/>
        <v>0.28269230769230769</v>
      </c>
      <c r="R1115">
        <f>IF(AND(COUNTIF($A$2:$A$2027,A1115)&gt;1,COUNTIF($A$2:A1115,A1115)=1),1,0)</f>
        <v>0</v>
      </c>
      <c r="S1115" t="b">
        <f>IFERROR(VLOOKUP(D1115,Products!$A$2:$F$61,6,FALSE()),"")</f>
        <v>1</v>
      </c>
      <c r="T1115" t="str">
        <f>IF(COUNTIF(Customers!$A$2:$A$301,C1115)=0,"Missing","OK")</f>
        <v>OK</v>
      </c>
      <c r="U1115" t="str">
        <f t="shared" si="52"/>
        <v>Delhi</v>
      </c>
      <c r="V1115">
        <f t="shared" si="53"/>
        <v>0</v>
      </c>
    </row>
    <row r="1116" spans="1:22" ht="15" customHeight="1" x14ac:dyDescent="0.35">
      <c r="A1116" s="3" t="s">
        <v>1540</v>
      </c>
      <c r="B1116" s="4">
        <v>45626</v>
      </c>
      <c r="C1116" s="3" t="s">
        <v>839</v>
      </c>
      <c r="D1116" s="3" t="s">
        <v>206</v>
      </c>
      <c r="E1116" s="3" t="s">
        <v>143</v>
      </c>
      <c r="F1116" s="5">
        <v>9</v>
      </c>
      <c r="G1116" s="5">
        <v>1220</v>
      </c>
      <c r="H1116" s="5">
        <v>24.1</v>
      </c>
      <c r="I1116" s="5">
        <v>8333.82</v>
      </c>
      <c r="J1116" s="3" t="s">
        <v>26</v>
      </c>
      <c r="K1116" s="3" t="s">
        <v>56</v>
      </c>
      <c r="L1116" t="str">
        <f>IFERROR(VLOOKUP(D1116,Products!$A$2:$F$61,3,FALSE()),"")</f>
        <v>Electronics</v>
      </c>
      <c r="M1116" t="str">
        <f>IFERROR(VLOOKUP(E1116,Sales_Reps!$A$2:$C$31,3,FALSE()),"")</f>
        <v>South</v>
      </c>
      <c r="N1116">
        <f>IFERROR(VLOOKUP(D1116,Products!$A$2:$F$61,4,FALSE()),"")</f>
        <v>517</v>
      </c>
      <c r="O1116" t="str">
        <f>IFERROR(VLOOKUP(C1116,Customers!$A$2:$F$301,5,FALSE()),"")</f>
        <v>Retail</v>
      </c>
      <c r="P1116">
        <f>IFERROR(VLOOKUP(C1116,Customers!$A$2:$F$301,3,FALSE()),"")</f>
        <v>35</v>
      </c>
      <c r="Q1116">
        <f t="shared" si="51"/>
        <v>0.57622950819672136</v>
      </c>
      <c r="R1116">
        <f>IF(AND(COUNTIF($A$2:$A$2027,A1116)&gt;1,COUNTIF($A$2:A1116,A1116)=1),1,0)</f>
        <v>0</v>
      </c>
      <c r="S1116" t="b">
        <f>IFERROR(VLOOKUP(D1116,Products!$A$2:$F$61,6,FALSE()),"")</f>
        <v>1</v>
      </c>
      <c r="T1116" t="str">
        <f>IF(COUNTIF(Customers!$A$2:$A$301,C1116)=0,"Missing","OK")</f>
        <v>OK</v>
      </c>
      <c r="U1116" t="str">
        <f t="shared" si="52"/>
        <v>Bengaluru</v>
      </c>
      <c r="V1116">
        <f t="shared" si="53"/>
        <v>0</v>
      </c>
    </row>
    <row r="1117" spans="1:22" ht="15" customHeight="1" x14ac:dyDescent="0.35">
      <c r="A1117" s="3" t="s">
        <v>1541</v>
      </c>
      <c r="B1117" s="4">
        <v>45402</v>
      </c>
      <c r="C1117" s="3" t="s">
        <v>524</v>
      </c>
      <c r="D1117" s="3" t="s">
        <v>454</v>
      </c>
      <c r="E1117" s="3" t="s">
        <v>143</v>
      </c>
      <c r="F1117" s="5">
        <v>2</v>
      </c>
      <c r="G1117" s="5">
        <v>6940</v>
      </c>
      <c r="H1117" s="5">
        <v>27</v>
      </c>
      <c r="I1117" s="5">
        <v>10132.4</v>
      </c>
      <c r="J1117" s="3" t="s">
        <v>26</v>
      </c>
      <c r="K1117" s="3" t="s">
        <v>33</v>
      </c>
      <c r="L1117" t="str">
        <f>IFERROR(VLOOKUP(D1117,Products!$A$2:$F$61,3,FALSE()),"")</f>
        <v>Sports</v>
      </c>
      <c r="M1117" t="str">
        <f>IFERROR(VLOOKUP(E1117,Sales_Reps!$A$2:$C$31,3,FALSE()),"")</f>
        <v>South</v>
      </c>
      <c r="N1117">
        <f>IFERROR(VLOOKUP(D1117,Products!$A$2:$F$61,4,FALSE()),"")</f>
        <v>2827</v>
      </c>
      <c r="O1117" t="str">
        <f>IFERROR(VLOOKUP(C1117,Customers!$A$2:$F$301,5,FALSE()),"")</f>
        <v>Retail</v>
      </c>
      <c r="P1117">
        <f>IFERROR(VLOOKUP(C1117,Customers!$A$2:$F$301,3,FALSE()),"")</f>
        <v>26</v>
      </c>
      <c r="Q1117">
        <f t="shared" si="51"/>
        <v>0.5926512968299712</v>
      </c>
      <c r="R1117">
        <f>IF(AND(COUNTIF($A$2:$A$2027,A1117)&gt;1,COUNTIF($A$2:A1117,A1117)=1),1,0)</f>
        <v>0</v>
      </c>
      <c r="S1117" t="b">
        <f>IFERROR(VLOOKUP(D1117,Products!$A$2:$F$61,6,FALSE()),"")</f>
        <v>1</v>
      </c>
      <c r="T1117" t="str">
        <f>IF(COUNTIF(Customers!$A$2:$A$301,C1117)=0,"Missing","OK")</f>
        <v>OK</v>
      </c>
      <c r="U1117" t="str">
        <f t="shared" si="52"/>
        <v>Chennai</v>
      </c>
      <c r="V1117">
        <f t="shared" si="53"/>
        <v>0</v>
      </c>
    </row>
    <row r="1118" spans="1:22" ht="15" customHeight="1" x14ac:dyDescent="0.35">
      <c r="A1118" s="3" t="s">
        <v>1542</v>
      </c>
      <c r="B1118" s="4">
        <v>45604</v>
      </c>
      <c r="C1118" s="3" t="s">
        <v>296</v>
      </c>
      <c r="D1118" s="3" t="s">
        <v>134</v>
      </c>
      <c r="E1118" s="3" t="s">
        <v>71</v>
      </c>
      <c r="F1118" s="5">
        <v>6</v>
      </c>
      <c r="G1118" s="5">
        <v>2860</v>
      </c>
      <c r="H1118" s="5">
        <v>6.6</v>
      </c>
      <c r="I1118" s="5">
        <v>16027.44</v>
      </c>
      <c r="J1118" s="3" t="s">
        <v>26</v>
      </c>
      <c r="K1118" s="3" t="s">
        <v>38</v>
      </c>
      <c r="L1118" t="str">
        <f>IFERROR(VLOOKUP(D1118,Products!$A$2:$F$61,3,FALSE()),"")</f>
        <v>Sports</v>
      </c>
      <c r="M1118" t="str">
        <f>IFERROR(VLOOKUP(E1118,Sales_Reps!$A$2:$C$31,3,FALSE()),"")</f>
        <v>South</v>
      </c>
      <c r="N1118">
        <f>IFERROR(VLOOKUP(D1118,Products!$A$2:$F$61,4,FALSE()),"")</f>
        <v>2028</v>
      </c>
      <c r="O1118" t="str">
        <f>IFERROR(VLOOKUP(C1118,Customers!$A$2:$F$301,5,FALSE()),"")</f>
        <v>SMB</v>
      </c>
      <c r="P1118">
        <f>IFERROR(VLOOKUP(C1118,Customers!$A$2:$F$301,3,FALSE()),"")</f>
        <v>38</v>
      </c>
      <c r="Q1118">
        <f t="shared" si="51"/>
        <v>0.29090909090909089</v>
      </c>
      <c r="R1118">
        <f>IF(AND(COUNTIF($A$2:$A$2027,A1118)&gt;1,COUNTIF($A$2:A1118,A1118)=1),1,0)</f>
        <v>0</v>
      </c>
      <c r="S1118" t="b">
        <f>IFERROR(VLOOKUP(D1118,Products!$A$2:$F$61,6,FALSE()),"")</f>
        <v>1</v>
      </c>
      <c r="T1118" t="str">
        <f>IF(COUNTIF(Customers!$A$2:$A$301,C1118)=0,"Missing","OK")</f>
        <v>OK</v>
      </c>
      <c r="U1118" t="str">
        <f t="shared" si="52"/>
        <v>Delhi</v>
      </c>
      <c r="V1118">
        <f t="shared" si="53"/>
        <v>0</v>
      </c>
    </row>
    <row r="1119" spans="1:22" ht="15" customHeight="1" x14ac:dyDescent="0.35">
      <c r="A1119" s="3" t="s">
        <v>1543</v>
      </c>
      <c r="B1119" s="4">
        <v>45545</v>
      </c>
      <c r="C1119" s="3" t="s">
        <v>125</v>
      </c>
      <c r="D1119" s="3" t="s">
        <v>112</v>
      </c>
      <c r="E1119" s="3" t="s">
        <v>242</v>
      </c>
      <c r="F1119" s="5">
        <v>5</v>
      </c>
      <c r="G1119" s="5">
        <v>2720</v>
      </c>
      <c r="H1119" s="5">
        <v>21.4</v>
      </c>
      <c r="I1119" s="5">
        <v>10689.6</v>
      </c>
      <c r="J1119" s="3" t="s">
        <v>26</v>
      </c>
      <c r="K1119" s="3" t="s">
        <v>33</v>
      </c>
      <c r="L1119" t="str">
        <f>IFERROR(VLOOKUP(D1119,Products!$A$2:$F$61,3,FALSE()),"")</f>
        <v>Apparel</v>
      </c>
      <c r="M1119" t="str">
        <f>IFERROR(VLOOKUP(E1119,Sales_Reps!$A$2:$C$31,3,FALSE()),"")</f>
        <v>East</v>
      </c>
      <c r="N1119">
        <f>IFERROR(VLOOKUP(D1119,Products!$A$2:$F$61,4,FALSE()),"")</f>
        <v>1962</v>
      </c>
      <c r="O1119" t="str">
        <f>IFERROR(VLOOKUP(C1119,Customers!$A$2:$F$301,5,FALSE()),"")</f>
        <v>SMB</v>
      </c>
      <c r="P1119">
        <f>IFERROR(VLOOKUP(C1119,Customers!$A$2:$F$301,3,FALSE()),"")</f>
        <v>52</v>
      </c>
      <c r="Q1119">
        <f t="shared" si="51"/>
        <v>0.2786764705882353</v>
      </c>
      <c r="R1119">
        <f>IF(AND(COUNTIF($A$2:$A$2027,A1119)&gt;1,COUNTIF($A$2:A1119,A1119)=1),1,0)</f>
        <v>0</v>
      </c>
      <c r="S1119" t="b">
        <f>IFERROR(VLOOKUP(D1119,Products!$A$2:$F$61,6,FALSE()),"")</f>
        <v>1</v>
      </c>
      <c r="T1119" t="str">
        <f>IF(COUNTIF(Customers!$A$2:$A$301,C1119)=0,"Missing","OK")</f>
        <v>OK</v>
      </c>
      <c r="U1119" t="str">
        <f t="shared" si="52"/>
        <v>Chennai</v>
      </c>
      <c r="V1119">
        <f t="shared" si="53"/>
        <v>0</v>
      </c>
    </row>
    <row r="1120" spans="1:22" ht="15" customHeight="1" x14ac:dyDescent="0.35">
      <c r="A1120" s="3" t="s">
        <v>1544</v>
      </c>
      <c r="B1120" s="4">
        <v>45445</v>
      </c>
      <c r="C1120" s="3" t="s">
        <v>208</v>
      </c>
      <c r="D1120" s="3" t="s">
        <v>30</v>
      </c>
      <c r="E1120" s="3" t="s">
        <v>42</v>
      </c>
      <c r="F1120" s="5">
        <v>5</v>
      </c>
      <c r="G1120" s="5">
        <v>820</v>
      </c>
      <c r="H1120" s="5">
        <v>28.6</v>
      </c>
      <c r="I1120" s="5">
        <v>2927.4</v>
      </c>
      <c r="J1120" s="3" t="s">
        <v>26</v>
      </c>
      <c r="K1120" s="3" t="s">
        <v>51</v>
      </c>
      <c r="L1120" t="str">
        <f>IFERROR(VLOOKUP(D1120,Products!$A$2:$F$61,3,FALSE()),"")</f>
        <v>Apparel</v>
      </c>
      <c r="M1120" t="str">
        <f>IFERROR(VLOOKUP(E1120,Sales_Reps!$A$2:$C$31,3,FALSE()),"")</f>
        <v>North</v>
      </c>
      <c r="N1120">
        <f>IFERROR(VLOOKUP(D1120,Products!$A$2:$F$61,4,FALSE()),"")</f>
        <v>391</v>
      </c>
      <c r="O1120" t="str">
        <f>IFERROR(VLOOKUP(C1120,Customers!$A$2:$F$301,5,FALSE()),"")</f>
        <v>Retail</v>
      </c>
      <c r="P1120">
        <f>IFERROR(VLOOKUP(C1120,Customers!$A$2:$F$301,3,FALSE()),"")</f>
        <v>40</v>
      </c>
      <c r="Q1120">
        <f t="shared" si="51"/>
        <v>0.52317073170731709</v>
      </c>
      <c r="R1120">
        <f>IF(AND(COUNTIF($A$2:$A$2027,A1120)&gt;1,COUNTIF($A$2:A1120,A1120)=1),1,0)</f>
        <v>0</v>
      </c>
      <c r="S1120" t="b">
        <f>IFERROR(VLOOKUP(D1120,Products!$A$2:$F$61,6,FALSE()),"")</f>
        <v>1</v>
      </c>
      <c r="T1120" t="str">
        <f>IF(COUNTIF(Customers!$A$2:$A$301,C1120)=0,"Missing","OK")</f>
        <v>OK</v>
      </c>
      <c r="U1120" t="str">
        <f t="shared" si="52"/>
        <v>Mumbai</v>
      </c>
      <c r="V1120">
        <f t="shared" si="53"/>
        <v>0</v>
      </c>
    </row>
    <row r="1121" spans="1:22" ht="15" customHeight="1" x14ac:dyDescent="0.35">
      <c r="A1121" s="3" t="s">
        <v>1545</v>
      </c>
      <c r="B1121" s="4">
        <v>45489</v>
      </c>
      <c r="C1121" s="3" t="s">
        <v>1247</v>
      </c>
      <c r="D1121" s="3" t="s">
        <v>325</v>
      </c>
      <c r="E1121" s="3" t="s">
        <v>224</v>
      </c>
      <c r="F1121" s="5">
        <v>6</v>
      </c>
      <c r="G1121" s="5">
        <v>2290</v>
      </c>
      <c r="H1121" s="5">
        <v>18.8</v>
      </c>
      <c r="I1121" s="5">
        <v>11156.88</v>
      </c>
      <c r="J1121" s="3" t="s">
        <v>26</v>
      </c>
      <c r="K1121" s="3" t="s">
        <v>33</v>
      </c>
      <c r="L1121" t="str">
        <f>IFERROR(VLOOKUP(D1121,Products!$A$2:$F$61,3,FALSE()),"")</f>
        <v>Beauty</v>
      </c>
      <c r="M1121" t="str">
        <f>IFERROR(VLOOKUP(E1121,Sales_Reps!$A$2:$C$31,3,FALSE()),"")</f>
        <v>East</v>
      </c>
      <c r="N1121">
        <f>IFERROR(VLOOKUP(D1121,Products!$A$2:$F$61,4,FALSE()),"")</f>
        <v>1219</v>
      </c>
      <c r="O1121" t="str">
        <f>IFERROR(VLOOKUP(C1121,Customers!$A$2:$F$301,5,FALSE()),"")</f>
        <v>SMB</v>
      </c>
      <c r="P1121">
        <f>IFERROR(VLOOKUP(C1121,Customers!$A$2:$F$301,3,FALSE()),"")</f>
        <v>51</v>
      </c>
      <c r="Q1121">
        <f t="shared" si="51"/>
        <v>0.46768558951965067</v>
      </c>
      <c r="R1121">
        <f>IF(AND(COUNTIF($A$2:$A$2027,A1121)&gt;1,COUNTIF($A$2:A1121,A1121)=1),1,0)</f>
        <v>0</v>
      </c>
      <c r="S1121" t="b">
        <f>IFERROR(VLOOKUP(D1121,Products!$A$2:$F$61,6,FALSE()),"")</f>
        <v>1</v>
      </c>
      <c r="T1121" t="str">
        <f>IF(COUNTIF(Customers!$A$2:$A$301,C1121)=0,"Missing","OK")</f>
        <v>OK</v>
      </c>
      <c r="U1121" t="str">
        <f t="shared" si="52"/>
        <v>Chennai</v>
      </c>
      <c r="V1121">
        <f t="shared" si="53"/>
        <v>0</v>
      </c>
    </row>
    <row r="1122" spans="1:22" ht="15" customHeight="1" x14ac:dyDescent="0.35">
      <c r="A1122" s="3" t="s">
        <v>1546</v>
      </c>
      <c r="B1122" s="4">
        <v>45394</v>
      </c>
      <c r="C1122" s="3" t="s">
        <v>628</v>
      </c>
      <c r="D1122" s="3" t="s">
        <v>96</v>
      </c>
      <c r="E1122" s="3" t="s">
        <v>97</v>
      </c>
      <c r="F1122" s="5">
        <v>6</v>
      </c>
      <c r="G1122" s="5">
        <v>3450</v>
      </c>
      <c r="H1122" s="5">
        <v>28.4</v>
      </c>
      <c r="I1122" s="5">
        <v>14821.2</v>
      </c>
      <c r="J1122" s="3" t="s">
        <v>26</v>
      </c>
      <c r="K1122" s="3" t="s">
        <v>72</v>
      </c>
      <c r="L1122" t="str">
        <f>IFERROR(VLOOKUP(D1122,Products!$A$2:$F$61,3,FALSE()),"")</f>
        <v>Beauty</v>
      </c>
      <c r="M1122" t="str">
        <f>IFERROR(VLOOKUP(E1122,Sales_Reps!$A$2:$C$31,3,FALSE()),"")</f>
        <v>East</v>
      </c>
      <c r="N1122">
        <f>IFERROR(VLOOKUP(D1122,Products!$A$2:$F$61,4,FALSE()),"")</f>
        <v>2420</v>
      </c>
      <c r="O1122" t="str">
        <f>IFERROR(VLOOKUP(C1122,Customers!$A$2:$F$301,5,FALSE()),"")</f>
        <v>Retail</v>
      </c>
      <c r="P1122">
        <f>IFERROR(VLOOKUP(C1122,Customers!$A$2:$F$301,3,FALSE()),"")</f>
        <v>28</v>
      </c>
      <c r="Q1122">
        <f t="shared" si="51"/>
        <v>0.29855072463768118</v>
      </c>
      <c r="R1122">
        <f>IF(AND(COUNTIF($A$2:$A$2027,A1122)&gt;1,COUNTIF($A$2:A1122,A1122)=1),1,0)</f>
        <v>0</v>
      </c>
      <c r="S1122" t="b">
        <f>IFERROR(VLOOKUP(D1122,Products!$A$2:$F$61,6,FALSE()),"")</f>
        <v>1</v>
      </c>
      <c r="T1122" t="str">
        <f>IF(COUNTIF(Customers!$A$2:$A$301,C1122)=0,"Missing","OK")</f>
        <v>OK</v>
      </c>
      <c r="U1122" t="str">
        <f t="shared" si="52"/>
        <v>Hyderabad</v>
      </c>
      <c r="V1122">
        <f t="shared" si="53"/>
        <v>0</v>
      </c>
    </row>
    <row r="1123" spans="1:22" ht="15" customHeight="1" x14ac:dyDescent="0.35">
      <c r="A1123" s="3" t="s">
        <v>1547</v>
      </c>
      <c r="B1123" s="4">
        <v>45340</v>
      </c>
      <c r="C1123" s="3" t="s">
        <v>62</v>
      </c>
      <c r="D1123" s="3" t="s">
        <v>234</v>
      </c>
      <c r="E1123" s="3" t="s">
        <v>236</v>
      </c>
      <c r="F1123" s="5">
        <v>10</v>
      </c>
      <c r="G1123" s="5">
        <v>2030</v>
      </c>
      <c r="H1123" s="5">
        <v>8</v>
      </c>
      <c r="I1123" s="5">
        <v>18676</v>
      </c>
      <c r="J1123" s="3" t="s">
        <v>26</v>
      </c>
      <c r="K1123" s="3" t="s">
        <v>56</v>
      </c>
      <c r="L1123" t="str">
        <f>IFERROR(VLOOKUP(D1123,Products!$A$2:$F$61,3,FALSE()),"")</f>
        <v>Home</v>
      </c>
      <c r="M1123" t="str">
        <f>IFERROR(VLOOKUP(E1123,Sales_Reps!$A$2:$C$31,3,FALSE()),"")</f>
        <v>North</v>
      </c>
      <c r="N1123">
        <f>IFERROR(VLOOKUP(D1123,Products!$A$2:$F$61,4,FALSE()),"")</f>
        <v>1143</v>
      </c>
      <c r="O1123" t="str">
        <f>IFERROR(VLOOKUP(C1123,Customers!$A$2:$F$301,5,FALSE()),"")</f>
        <v>Retail</v>
      </c>
      <c r="P1123">
        <f>IFERROR(VLOOKUP(C1123,Customers!$A$2:$F$301,3,FALSE()),"")</f>
        <v>42</v>
      </c>
      <c r="Q1123">
        <f t="shared" si="51"/>
        <v>0.43694581280788175</v>
      </c>
      <c r="R1123">
        <f>IF(AND(COUNTIF($A$2:$A$2027,A1123)&gt;1,COUNTIF($A$2:A1123,A1123)=1),1,0)</f>
        <v>0</v>
      </c>
      <c r="S1123" t="b">
        <f>IFERROR(VLOOKUP(D1123,Products!$A$2:$F$61,6,FALSE()),"")</f>
        <v>1</v>
      </c>
      <c r="T1123" t="str">
        <f>IF(COUNTIF(Customers!$A$2:$A$301,C1123)=0,"Missing","OK")</f>
        <v>OK</v>
      </c>
      <c r="U1123" t="str">
        <f t="shared" si="52"/>
        <v>Bengaluru</v>
      </c>
      <c r="V1123">
        <f t="shared" si="53"/>
        <v>0</v>
      </c>
    </row>
    <row r="1124" spans="1:22" ht="15" customHeight="1" x14ac:dyDescent="0.35">
      <c r="A1124" s="3" t="s">
        <v>1548</v>
      </c>
      <c r="B1124" s="4">
        <v>45378</v>
      </c>
      <c r="C1124" s="3" t="s">
        <v>898</v>
      </c>
      <c r="D1124" s="3" t="s">
        <v>90</v>
      </c>
      <c r="E1124" s="3" t="s">
        <v>224</v>
      </c>
      <c r="F1124" s="5">
        <v>1</v>
      </c>
      <c r="G1124" s="5">
        <v>2400</v>
      </c>
      <c r="H1124" s="5">
        <v>9.6999999999999993</v>
      </c>
      <c r="I1124" s="5">
        <v>2167.1999999999998</v>
      </c>
      <c r="J1124" s="3" t="s">
        <v>26</v>
      </c>
      <c r="K1124" s="3" t="s">
        <v>51</v>
      </c>
      <c r="L1124" t="str">
        <f>IFERROR(VLOOKUP(D1124,Products!$A$2:$F$61,3,FALSE()),"")</f>
        <v>Sports</v>
      </c>
      <c r="M1124" t="str">
        <f>IFERROR(VLOOKUP(E1124,Sales_Reps!$A$2:$C$31,3,FALSE()),"")</f>
        <v>East</v>
      </c>
      <c r="N1124">
        <f>IFERROR(VLOOKUP(D1124,Products!$A$2:$F$61,4,FALSE()),"")</f>
        <v>974</v>
      </c>
      <c r="O1124" t="str">
        <f>IFERROR(VLOOKUP(C1124,Customers!$A$2:$F$301,5,FALSE()),"")</f>
        <v>SMB</v>
      </c>
      <c r="P1124">
        <f>IFERROR(VLOOKUP(C1124,Customers!$A$2:$F$301,3,FALSE()),"")</f>
        <v>65</v>
      </c>
      <c r="Q1124">
        <f t="shared" si="51"/>
        <v>0.59416666666666662</v>
      </c>
      <c r="R1124">
        <f>IF(AND(COUNTIF($A$2:$A$2027,A1124)&gt;1,COUNTIF($A$2:A1124,A1124)=1),1,0)</f>
        <v>0</v>
      </c>
      <c r="S1124" t="b">
        <f>IFERROR(VLOOKUP(D1124,Products!$A$2:$F$61,6,FALSE()),"")</f>
        <v>1</v>
      </c>
      <c r="T1124" t="str">
        <f>IF(COUNTIF(Customers!$A$2:$A$301,C1124)=0,"Missing","OK")</f>
        <v>OK</v>
      </c>
      <c r="U1124" t="str">
        <f t="shared" si="52"/>
        <v>Mumbai</v>
      </c>
      <c r="V1124">
        <f t="shared" si="53"/>
        <v>0</v>
      </c>
    </row>
    <row r="1125" spans="1:22" ht="15" customHeight="1" x14ac:dyDescent="0.35">
      <c r="A1125" s="3" t="s">
        <v>1549</v>
      </c>
      <c r="B1125" s="4">
        <v>45369</v>
      </c>
      <c r="C1125" s="3" t="s">
        <v>582</v>
      </c>
      <c r="D1125" s="3" t="s">
        <v>234</v>
      </c>
      <c r="E1125" s="3" t="s">
        <v>37</v>
      </c>
      <c r="F1125" s="5">
        <v>4</v>
      </c>
      <c r="G1125" s="5">
        <v>2030</v>
      </c>
      <c r="H1125" s="5">
        <v>24.8</v>
      </c>
      <c r="I1125" s="5">
        <v>6106.24</v>
      </c>
      <c r="J1125" s="3" t="s">
        <v>32</v>
      </c>
      <c r="K1125" s="3" t="s">
        <v>51</v>
      </c>
      <c r="L1125" t="str">
        <f>IFERROR(VLOOKUP(D1125,Products!$A$2:$F$61,3,FALSE()),"")</f>
        <v>Home</v>
      </c>
      <c r="M1125" t="str">
        <f>IFERROR(VLOOKUP(E1125,Sales_Reps!$A$2:$C$31,3,FALSE()),"")</f>
        <v>South</v>
      </c>
      <c r="N1125">
        <f>IFERROR(VLOOKUP(D1125,Products!$A$2:$F$61,4,FALSE()),"")</f>
        <v>1143</v>
      </c>
      <c r="O1125" t="str">
        <f>IFERROR(VLOOKUP(C1125,Customers!$A$2:$F$301,5,FALSE()),"")</f>
        <v>SMB</v>
      </c>
      <c r="P1125">
        <f>IFERROR(VLOOKUP(C1125,Customers!$A$2:$F$301,3,FALSE()),"")</f>
        <v>27</v>
      </c>
      <c r="Q1125">
        <f t="shared" si="51"/>
        <v>0.43694581280788175</v>
      </c>
      <c r="R1125">
        <f>IF(AND(COUNTIF($A$2:$A$2027,A1125)&gt;1,COUNTIF($A$2:A1125,A1125)=1),1,0)</f>
        <v>0</v>
      </c>
      <c r="S1125" t="b">
        <f>IFERROR(VLOOKUP(D1125,Products!$A$2:$F$61,6,FALSE()),"")</f>
        <v>1</v>
      </c>
      <c r="T1125" t="str">
        <f>IF(COUNTIF(Customers!$A$2:$A$301,C1125)=0,"Missing","OK")</f>
        <v>OK</v>
      </c>
      <c r="U1125" t="str">
        <f t="shared" si="52"/>
        <v>Mumbai</v>
      </c>
      <c r="V1125">
        <f t="shared" si="53"/>
        <v>0</v>
      </c>
    </row>
    <row r="1126" spans="1:22" ht="15" customHeight="1" x14ac:dyDescent="0.35">
      <c r="A1126" s="3" t="s">
        <v>1550</v>
      </c>
      <c r="B1126" s="4">
        <v>45513</v>
      </c>
      <c r="C1126" s="3" t="s">
        <v>117</v>
      </c>
      <c r="D1126" s="3" t="s">
        <v>290</v>
      </c>
      <c r="E1126" s="3" t="s">
        <v>236</v>
      </c>
      <c r="F1126" s="5">
        <v>5</v>
      </c>
      <c r="G1126" s="5">
        <v>4060</v>
      </c>
      <c r="H1126" s="5">
        <v>9.1</v>
      </c>
      <c r="I1126" s="5">
        <v>18452.7</v>
      </c>
      <c r="J1126" s="3" t="s">
        <v>32</v>
      </c>
      <c r="K1126" s="3" t="s">
        <v>33</v>
      </c>
      <c r="L1126" t="str">
        <f>IFERROR(VLOOKUP(D1126,Products!$A$2:$F$61,3,FALSE()),"")</f>
        <v>Grocery</v>
      </c>
      <c r="M1126" t="str">
        <f>IFERROR(VLOOKUP(E1126,Sales_Reps!$A$2:$C$31,3,FALSE()),"")</f>
        <v>North</v>
      </c>
      <c r="N1126">
        <f>IFERROR(VLOOKUP(D1126,Products!$A$2:$F$61,4,FALSE()),"")</f>
        <v>2911</v>
      </c>
      <c r="O1126" t="str">
        <f>IFERROR(VLOOKUP(C1126,Customers!$A$2:$F$301,5,FALSE()),"")</f>
        <v>Corporate</v>
      </c>
      <c r="P1126">
        <f>IFERROR(VLOOKUP(C1126,Customers!$A$2:$F$301,3,FALSE()),"")</f>
        <v>55</v>
      </c>
      <c r="Q1126">
        <f t="shared" si="51"/>
        <v>0.28300492610837441</v>
      </c>
      <c r="R1126">
        <f>IF(AND(COUNTIF($A$2:$A$2027,A1126)&gt;1,COUNTIF($A$2:A1126,A1126)=1),1,0)</f>
        <v>0</v>
      </c>
      <c r="S1126" t="b">
        <f>IFERROR(VLOOKUP(D1126,Products!$A$2:$F$61,6,FALSE()),"")</f>
        <v>1</v>
      </c>
      <c r="T1126" t="str">
        <f>IF(COUNTIF(Customers!$A$2:$A$301,C1126)=0,"Missing","OK")</f>
        <v>OK</v>
      </c>
      <c r="U1126" t="str">
        <f t="shared" si="52"/>
        <v>Chennai</v>
      </c>
      <c r="V1126">
        <f t="shared" si="53"/>
        <v>0</v>
      </c>
    </row>
    <row r="1127" spans="1:22" ht="15" customHeight="1" x14ac:dyDescent="0.35">
      <c r="A1127" s="3" t="s">
        <v>1551</v>
      </c>
      <c r="B1127" s="4">
        <v>45438</v>
      </c>
      <c r="C1127" s="3" t="s">
        <v>346</v>
      </c>
      <c r="D1127" s="3" t="s">
        <v>234</v>
      </c>
      <c r="E1127" s="3" t="s">
        <v>191</v>
      </c>
      <c r="F1127" s="5">
        <v>9</v>
      </c>
      <c r="G1127" s="5">
        <v>2030</v>
      </c>
      <c r="H1127" s="5">
        <v>15.9</v>
      </c>
      <c r="I1127" s="5">
        <v>15365.07</v>
      </c>
      <c r="J1127" s="3" t="s">
        <v>32</v>
      </c>
      <c r="K1127" s="3" t="s">
        <v>27</v>
      </c>
      <c r="L1127" t="str">
        <f>IFERROR(VLOOKUP(D1127,Products!$A$2:$F$61,3,FALSE()),"")</f>
        <v>Home</v>
      </c>
      <c r="M1127" t="str">
        <f>IFERROR(VLOOKUP(E1127,Sales_Reps!$A$2:$C$31,3,FALSE()),"")</f>
        <v>South</v>
      </c>
      <c r="N1127">
        <f>IFERROR(VLOOKUP(D1127,Products!$A$2:$F$61,4,FALSE()),"")</f>
        <v>1143</v>
      </c>
      <c r="O1127" t="str">
        <f>IFERROR(VLOOKUP(C1127,Customers!$A$2:$F$301,5,FALSE()),"")</f>
        <v>SMB</v>
      </c>
      <c r="P1127">
        <f>IFERROR(VLOOKUP(C1127,Customers!$A$2:$F$301,3,FALSE()),"")</f>
        <v>53</v>
      </c>
      <c r="Q1127">
        <f t="shared" si="51"/>
        <v>0.43694581280788175</v>
      </c>
      <c r="R1127">
        <f>IF(AND(COUNTIF($A$2:$A$2027,A1127)&gt;1,COUNTIF($A$2:A1127,A1127)=1),1,0)</f>
        <v>0</v>
      </c>
      <c r="S1127" t="b">
        <f>IFERROR(VLOOKUP(D1127,Products!$A$2:$F$61,6,FALSE()),"")</f>
        <v>1</v>
      </c>
      <c r="T1127" t="str">
        <f>IF(COUNTIF(Customers!$A$2:$A$301,C1127)=0,"Missing","OK")</f>
        <v>OK</v>
      </c>
      <c r="U1127" t="str">
        <f t="shared" si="52"/>
        <v>Pune</v>
      </c>
      <c r="V1127">
        <f t="shared" si="53"/>
        <v>0</v>
      </c>
    </row>
    <row r="1128" spans="1:22" ht="15" customHeight="1" x14ac:dyDescent="0.35">
      <c r="A1128" s="3" t="s">
        <v>1552</v>
      </c>
      <c r="B1128" s="4">
        <v>45529</v>
      </c>
      <c r="C1128" s="3" t="s">
        <v>677</v>
      </c>
      <c r="D1128" s="3" t="s">
        <v>118</v>
      </c>
      <c r="E1128" s="3" t="s">
        <v>37</v>
      </c>
      <c r="F1128" s="5">
        <v>1</v>
      </c>
      <c r="G1128" s="5">
        <v>3350</v>
      </c>
      <c r="H1128" s="5">
        <v>23.2</v>
      </c>
      <c r="I1128" s="5">
        <v>2572.8000000000002</v>
      </c>
      <c r="J1128" s="3" t="s">
        <v>83</v>
      </c>
      <c r="K1128" s="3" t="s">
        <v>27</v>
      </c>
      <c r="L1128" t="str">
        <f>IFERROR(VLOOKUP(D1128,Products!$A$2:$F$61,3,FALSE()),"")</f>
        <v>Beauty</v>
      </c>
      <c r="M1128" t="str">
        <f>IFERROR(VLOOKUP(E1128,Sales_Reps!$A$2:$C$31,3,FALSE()),"")</f>
        <v>South</v>
      </c>
      <c r="N1128">
        <f>IFERROR(VLOOKUP(D1128,Products!$A$2:$F$61,4,FALSE()),"")</f>
        <v>1728</v>
      </c>
      <c r="O1128" t="str">
        <f>IFERROR(VLOOKUP(C1128,Customers!$A$2:$F$301,5,FALSE()),"")</f>
        <v>Retail</v>
      </c>
      <c r="P1128">
        <f>IFERROR(VLOOKUP(C1128,Customers!$A$2:$F$301,3,FALSE()),"")</f>
        <v>36</v>
      </c>
      <c r="Q1128">
        <f t="shared" si="51"/>
        <v>0.48417910447761192</v>
      </c>
      <c r="R1128">
        <f>IF(AND(COUNTIF($A$2:$A$2027,A1128)&gt;1,COUNTIF($A$2:A1128,A1128)=1),1,0)</f>
        <v>0</v>
      </c>
      <c r="S1128" t="b">
        <f>IFERROR(VLOOKUP(D1128,Products!$A$2:$F$61,6,FALSE()),"")</f>
        <v>1</v>
      </c>
      <c r="T1128" t="str">
        <f>IF(COUNTIF(Customers!$A$2:$A$301,C1128)=0,"Missing","OK")</f>
        <v>OK</v>
      </c>
      <c r="U1128" t="str">
        <f t="shared" si="52"/>
        <v>Pune</v>
      </c>
      <c r="V1128">
        <f t="shared" si="53"/>
        <v>0</v>
      </c>
    </row>
    <row r="1129" spans="1:22" ht="15" customHeight="1" x14ac:dyDescent="0.35">
      <c r="A1129" s="3" t="s">
        <v>1553</v>
      </c>
      <c r="B1129" s="4">
        <v>45634</v>
      </c>
      <c r="C1129" s="3" t="s">
        <v>393</v>
      </c>
      <c r="D1129" s="3" t="s">
        <v>142</v>
      </c>
      <c r="E1129" s="3" t="s">
        <v>42</v>
      </c>
      <c r="F1129" s="5">
        <v>4</v>
      </c>
      <c r="G1129" s="5">
        <v>660</v>
      </c>
      <c r="H1129" s="5">
        <v>27.1</v>
      </c>
      <c r="I1129" s="5">
        <v>1924.56</v>
      </c>
      <c r="J1129" s="3" t="s">
        <v>26</v>
      </c>
      <c r="K1129" s="3" t="s">
        <v>72</v>
      </c>
      <c r="L1129" t="str">
        <f>IFERROR(VLOOKUP(D1129,Products!$A$2:$F$61,3,FALSE()),"")</f>
        <v>Home</v>
      </c>
      <c r="M1129" t="str">
        <f>IFERROR(VLOOKUP(E1129,Sales_Reps!$A$2:$C$31,3,FALSE()),"")</f>
        <v>North</v>
      </c>
      <c r="N1129">
        <f>IFERROR(VLOOKUP(D1129,Products!$A$2:$F$61,4,FALSE()),"")</f>
        <v>329</v>
      </c>
      <c r="O1129" t="str">
        <f>IFERROR(VLOOKUP(C1129,Customers!$A$2:$F$301,5,FALSE()),"")</f>
        <v>Corporate</v>
      </c>
      <c r="P1129">
        <f>IFERROR(VLOOKUP(C1129,Customers!$A$2:$F$301,3,FALSE()),"")</f>
        <v>43</v>
      </c>
      <c r="Q1129">
        <f t="shared" si="51"/>
        <v>0.50151515151515147</v>
      </c>
      <c r="R1129">
        <f>IF(AND(COUNTIF($A$2:$A$2027,A1129)&gt;1,COUNTIF($A$2:A1129,A1129)=1),1,0)</f>
        <v>0</v>
      </c>
      <c r="S1129" t="b">
        <f>IFERROR(VLOOKUP(D1129,Products!$A$2:$F$61,6,FALSE()),"")</f>
        <v>1</v>
      </c>
      <c r="T1129" t="str">
        <f>IF(COUNTIF(Customers!$A$2:$A$301,C1129)=0,"Missing","OK")</f>
        <v>OK</v>
      </c>
      <c r="U1129" t="str">
        <f t="shared" si="52"/>
        <v>Hyderabad</v>
      </c>
      <c r="V1129">
        <f t="shared" si="53"/>
        <v>0</v>
      </c>
    </row>
    <row r="1130" spans="1:22" ht="15" customHeight="1" x14ac:dyDescent="0.35">
      <c r="A1130" s="3" t="s">
        <v>1554</v>
      </c>
      <c r="B1130" s="4">
        <v>45441</v>
      </c>
      <c r="C1130" s="3" t="s">
        <v>200</v>
      </c>
      <c r="D1130" s="3" t="s">
        <v>215</v>
      </c>
      <c r="E1130" s="3" t="s">
        <v>37</v>
      </c>
      <c r="F1130" s="5">
        <v>3</v>
      </c>
      <c r="G1130" s="5">
        <v>3020</v>
      </c>
      <c r="H1130" s="5">
        <v>7.2</v>
      </c>
      <c r="I1130" s="5">
        <v>8407.68</v>
      </c>
      <c r="J1130" s="3" t="s">
        <v>26</v>
      </c>
      <c r="K1130" s="3" t="s">
        <v>38</v>
      </c>
      <c r="L1130" t="str">
        <f>IFERROR(VLOOKUP(D1130,Products!$A$2:$F$61,3,FALSE()),"")</f>
        <v>Beauty</v>
      </c>
      <c r="M1130" t="str">
        <f>IFERROR(VLOOKUP(E1130,Sales_Reps!$A$2:$C$31,3,FALSE()),"")</f>
        <v>South</v>
      </c>
      <c r="N1130">
        <f>IFERROR(VLOOKUP(D1130,Products!$A$2:$F$61,4,FALSE()),"")</f>
        <v>1626</v>
      </c>
      <c r="O1130" t="str">
        <f>IFERROR(VLOOKUP(C1130,Customers!$A$2:$F$301,5,FALSE()),"")</f>
        <v>Retail</v>
      </c>
      <c r="P1130">
        <f>IFERROR(VLOOKUP(C1130,Customers!$A$2:$F$301,3,FALSE()),"")</f>
        <v>54</v>
      </c>
      <c r="Q1130">
        <f t="shared" si="51"/>
        <v>0.46158940397350995</v>
      </c>
      <c r="R1130">
        <f>IF(AND(COUNTIF($A$2:$A$2027,A1130)&gt;1,COUNTIF($A$2:A1130,A1130)=1),1,0)</f>
        <v>0</v>
      </c>
      <c r="S1130" t="b">
        <f>IFERROR(VLOOKUP(D1130,Products!$A$2:$F$61,6,FALSE()),"")</f>
        <v>1</v>
      </c>
      <c r="T1130" t="str">
        <f>IF(COUNTIF(Customers!$A$2:$A$301,C1130)=0,"Missing","OK")</f>
        <v>OK</v>
      </c>
      <c r="U1130" t="str">
        <f t="shared" si="52"/>
        <v>Delhi</v>
      </c>
      <c r="V1130">
        <f t="shared" si="53"/>
        <v>0</v>
      </c>
    </row>
    <row r="1131" spans="1:22" ht="15" customHeight="1" x14ac:dyDescent="0.35">
      <c r="A1131" s="3" t="s">
        <v>1555</v>
      </c>
      <c r="B1131" s="4">
        <v>45409</v>
      </c>
      <c r="C1131" s="3" t="s">
        <v>504</v>
      </c>
      <c r="D1131" s="3" t="s">
        <v>218</v>
      </c>
      <c r="E1131" s="3" t="s">
        <v>42</v>
      </c>
      <c r="F1131" s="5">
        <v>3</v>
      </c>
      <c r="G1131" s="5">
        <v>2660</v>
      </c>
      <c r="H1131" s="5">
        <v>0.2</v>
      </c>
      <c r="I1131" s="5">
        <v>7964.04</v>
      </c>
      <c r="J1131" s="3" t="s">
        <v>26</v>
      </c>
      <c r="K1131" s="3" t="s">
        <v>51</v>
      </c>
      <c r="L1131" t="str">
        <f>IFERROR(VLOOKUP(D1131,Products!$A$2:$F$61,3,FALSE()),"")</f>
        <v>Electronics</v>
      </c>
      <c r="M1131" t="str">
        <f>IFERROR(VLOOKUP(E1131,Sales_Reps!$A$2:$C$31,3,FALSE()),"")</f>
        <v>North</v>
      </c>
      <c r="N1131">
        <f>IFERROR(VLOOKUP(D1131,Products!$A$2:$F$61,4,FALSE()),"")</f>
        <v>1259</v>
      </c>
      <c r="O1131" t="str">
        <f>IFERROR(VLOOKUP(C1131,Customers!$A$2:$F$301,5,FALSE()),"")</f>
        <v>SMB</v>
      </c>
      <c r="P1131">
        <f>IFERROR(VLOOKUP(C1131,Customers!$A$2:$F$301,3,FALSE()),"")</f>
        <v>61</v>
      </c>
      <c r="Q1131">
        <f t="shared" si="51"/>
        <v>0.52669172932330832</v>
      </c>
      <c r="R1131">
        <f>IF(AND(COUNTIF($A$2:$A$2027,A1131)&gt;1,COUNTIF($A$2:A1131,A1131)=1),1,0)</f>
        <v>0</v>
      </c>
      <c r="S1131" t="b">
        <f>IFERROR(VLOOKUP(D1131,Products!$A$2:$F$61,6,FALSE()),"")</f>
        <v>0</v>
      </c>
      <c r="T1131" t="str">
        <f>IF(COUNTIF(Customers!$A$2:$A$301,C1131)=0,"Missing","OK")</f>
        <v>OK</v>
      </c>
      <c r="U1131" t="str">
        <f t="shared" si="52"/>
        <v>Mumbai</v>
      </c>
      <c r="V1131">
        <f t="shared" si="53"/>
        <v>0</v>
      </c>
    </row>
    <row r="1132" spans="1:22" ht="15" customHeight="1" x14ac:dyDescent="0.35">
      <c r="A1132" s="3" t="s">
        <v>1556</v>
      </c>
      <c r="B1132" s="4">
        <v>45650</v>
      </c>
      <c r="C1132" s="3" t="s">
        <v>895</v>
      </c>
      <c r="D1132" s="3" t="s">
        <v>121</v>
      </c>
      <c r="E1132" s="3" t="s">
        <v>42</v>
      </c>
      <c r="F1132" s="5">
        <v>4</v>
      </c>
      <c r="G1132" s="5">
        <v>1010</v>
      </c>
      <c r="H1132" s="5">
        <v>3.1</v>
      </c>
      <c r="I1132" s="5">
        <v>3914.76</v>
      </c>
      <c r="J1132" s="3" t="s">
        <v>26</v>
      </c>
      <c r="K1132" s="3" t="s">
        <v>51</v>
      </c>
      <c r="L1132" t="str">
        <f>IFERROR(VLOOKUP(D1132,Products!$A$2:$F$61,3,FALSE()),"")</f>
        <v>Sports</v>
      </c>
      <c r="M1132" t="str">
        <f>IFERROR(VLOOKUP(E1132,Sales_Reps!$A$2:$C$31,3,FALSE()),"")</f>
        <v>North</v>
      </c>
      <c r="N1132">
        <f>IFERROR(VLOOKUP(D1132,Products!$A$2:$F$61,4,FALSE()),"")</f>
        <v>516</v>
      </c>
      <c r="O1132" t="str">
        <f>IFERROR(VLOOKUP(C1132,Customers!$A$2:$F$301,5,FALSE()),"")</f>
        <v>Retail</v>
      </c>
      <c r="P1132">
        <f>IFERROR(VLOOKUP(C1132,Customers!$A$2:$F$301,3,FALSE()),"")</f>
        <v>49</v>
      </c>
      <c r="Q1132">
        <f t="shared" si="51"/>
        <v>0.4891089108910891</v>
      </c>
      <c r="R1132">
        <f>IF(AND(COUNTIF($A$2:$A$2027,A1132)&gt;1,COUNTIF($A$2:A1132,A1132)=1),1,0)</f>
        <v>0</v>
      </c>
      <c r="S1132" t="b">
        <f>IFERROR(VLOOKUP(D1132,Products!$A$2:$F$61,6,FALSE()),"")</f>
        <v>1</v>
      </c>
      <c r="T1132" t="str">
        <f>IF(COUNTIF(Customers!$A$2:$A$301,C1132)=0,"Missing","OK")</f>
        <v>OK</v>
      </c>
      <c r="U1132" t="str">
        <f t="shared" si="52"/>
        <v>Mumbai</v>
      </c>
      <c r="V1132">
        <f t="shared" si="53"/>
        <v>0</v>
      </c>
    </row>
    <row r="1133" spans="1:22" ht="15" customHeight="1" x14ac:dyDescent="0.35">
      <c r="A1133" s="3" t="s">
        <v>1557</v>
      </c>
      <c r="B1133" s="4">
        <v>45380</v>
      </c>
      <c r="C1133" s="3" t="s">
        <v>891</v>
      </c>
      <c r="D1133" s="3" t="s">
        <v>63</v>
      </c>
      <c r="E1133" s="3" t="s">
        <v>177</v>
      </c>
      <c r="F1133" s="5">
        <v>5</v>
      </c>
      <c r="G1133" s="5">
        <v>5490</v>
      </c>
      <c r="H1133" s="5">
        <v>3.6</v>
      </c>
      <c r="I1133" s="5">
        <v>26461.8</v>
      </c>
      <c r="J1133" s="3" t="s">
        <v>26</v>
      </c>
      <c r="K1133" s="3" t="s">
        <v>72</v>
      </c>
      <c r="L1133" t="str">
        <f>IFERROR(VLOOKUP(D1133,Products!$A$2:$F$61,3,FALSE()),"")</f>
        <v>Home</v>
      </c>
      <c r="M1133" t="str">
        <f>IFERROR(VLOOKUP(E1133,Sales_Reps!$A$2:$C$31,3,FALSE()),"")</f>
        <v>East</v>
      </c>
      <c r="N1133">
        <f>IFERROR(VLOOKUP(D1133,Products!$A$2:$F$61,4,FALSE()),"")</f>
        <v>2549</v>
      </c>
      <c r="O1133" t="str">
        <f>IFERROR(VLOOKUP(C1133,Customers!$A$2:$F$301,5,FALSE()),"")</f>
        <v>Retail</v>
      </c>
      <c r="P1133">
        <f>IFERROR(VLOOKUP(C1133,Customers!$A$2:$F$301,3,FALSE()),"")</f>
        <v>35</v>
      </c>
      <c r="Q1133">
        <f t="shared" si="51"/>
        <v>0.53570127504553733</v>
      </c>
      <c r="R1133">
        <f>IF(AND(COUNTIF($A$2:$A$2027,A1133)&gt;1,COUNTIF($A$2:A1133,A1133)=1),1,0)</f>
        <v>0</v>
      </c>
      <c r="S1133" t="b">
        <f>IFERROR(VLOOKUP(D1133,Products!$A$2:$F$61,6,FALSE()),"")</f>
        <v>1</v>
      </c>
      <c r="T1133" t="str">
        <f>IF(COUNTIF(Customers!$A$2:$A$301,C1133)=0,"Missing","OK")</f>
        <v>OK</v>
      </c>
      <c r="U1133" t="str">
        <f t="shared" si="52"/>
        <v>Hyderabad</v>
      </c>
      <c r="V1133">
        <f t="shared" si="53"/>
        <v>0</v>
      </c>
    </row>
    <row r="1134" spans="1:22" ht="15" customHeight="1" x14ac:dyDescent="0.35">
      <c r="A1134" s="3" t="s">
        <v>1558</v>
      </c>
      <c r="B1134" s="4">
        <v>45322</v>
      </c>
      <c r="C1134" s="3" t="s">
        <v>99</v>
      </c>
      <c r="D1134" s="3" t="s">
        <v>90</v>
      </c>
      <c r="E1134" s="3" t="s">
        <v>60</v>
      </c>
      <c r="F1134" s="5">
        <v>1</v>
      </c>
      <c r="G1134" s="5">
        <v>2400</v>
      </c>
      <c r="H1134" s="5">
        <v>24.3</v>
      </c>
      <c r="I1134" s="5">
        <v>1816.8</v>
      </c>
      <c r="J1134" s="3" t="s">
        <v>26</v>
      </c>
      <c r="K1134" s="3" t="s">
        <v>51</v>
      </c>
      <c r="L1134" t="str">
        <f>IFERROR(VLOOKUP(D1134,Products!$A$2:$F$61,3,FALSE()),"")</f>
        <v>Sports</v>
      </c>
      <c r="M1134" t="str">
        <f>IFERROR(VLOOKUP(E1134,Sales_Reps!$A$2:$C$31,3,FALSE()),"")</f>
        <v>East</v>
      </c>
      <c r="N1134">
        <f>IFERROR(VLOOKUP(D1134,Products!$A$2:$F$61,4,FALSE()),"")</f>
        <v>974</v>
      </c>
      <c r="O1134" t="str">
        <f>IFERROR(VLOOKUP(C1134,Customers!$A$2:$F$301,5,FALSE()),"")</f>
        <v>Retail</v>
      </c>
      <c r="P1134">
        <f>IFERROR(VLOOKUP(C1134,Customers!$A$2:$F$301,3,FALSE()),"")</f>
        <v>54</v>
      </c>
      <c r="Q1134">
        <f t="shared" si="51"/>
        <v>0.59416666666666662</v>
      </c>
      <c r="R1134">
        <f>IF(AND(COUNTIF($A$2:$A$2027,A1134)&gt;1,COUNTIF($A$2:A1134,A1134)=1),1,0)</f>
        <v>0</v>
      </c>
      <c r="S1134" t="b">
        <f>IFERROR(VLOOKUP(D1134,Products!$A$2:$F$61,6,FALSE()),"")</f>
        <v>1</v>
      </c>
      <c r="T1134" t="str">
        <f>IF(COUNTIF(Customers!$A$2:$A$301,C1134)=0,"Missing","OK")</f>
        <v>OK</v>
      </c>
      <c r="U1134" t="str">
        <f t="shared" si="52"/>
        <v>Mumbai</v>
      </c>
      <c r="V1134">
        <f t="shared" si="53"/>
        <v>0</v>
      </c>
    </row>
    <row r="1135" spans="1:22" ht="15" customHeight="1" x14ac:dyDescent="0.35">
      <c r="A1135" s="3" t="s">
        <v>1559</v>
      </c>
      <c r="B1135" s="4">
        <v>45532</v>
      </c>
      <c r="C1135" s="3" t="s">
        <v>298</v>
      </c>
      <c r="D1135" s="3" t="s">
        <v>142</v>
      </c>
      <c r="E1135" s="3" t="s">
        <v>143</v>
      </c>
      <c r="F1135" s="5">
        <v>8</v>
      </c>
      <c r="G1135" s="5">
        <v>660</v>
      </c>
      <c r="H1135" s="5">
        <v>19.8</v>
      </c>
      <c r="I1135" s="5">
        <v>4234.5600000000004</v>
      </c>
      <c r="J1135" s="3" t="s">
        <v>26</v>
      </c>
      <c r="K1135" s="3" t="s">
        <v>38</v>
      </c>
      <c r="L1135" t="str">
        <f>IFERROR(VLOOKUP(D1135,Products!$A$2:$F$61,3,FALSE()),"")</f>
        <v>Home</v>
      </c>
      <c r="M1135" t="str">
        <f>IFERROR(VLOOKUP(E1135,Sales_Reps!$A$2:$C$31,3,FALSE()),"")</f>
        <v>South</v>
      </c>
      <c r="N1135">
        <f>IFERROR(VLOOKUP(D1135,Products!$A$2:$F$61,4,FALSE()),"")</f>
        <v>329</v>
      </c>
      <c r="O1135" t="str">
        <f>IFERROR(VLOOKUP(C1135,Customers!$A$2:$F$301,5,FALSE()),"")</f>
        <v>SMB</v>
      </c>
      <c r="P1135">
        <f>IFERROR(VLOOKUP(C1135,Customers!$A$2:$F$301,3,FALSE()),"")</f>
        <v>28</v>
      </c>
      <c r="Q1135">
        <f t="shared" si="51"/>
        <v>0.50151515151515147</v>
      </c>
      <c r="R1135">
        <f>IF(AND(COUNTIF($A$2:$A$2027,A1135)&gt;1,COUNTIF($A$2:A1135,A1135)=1),1,0)</f>
        <v>0</v>
      </c>
      <c r="S1135" t="b">
        <f>IFERROR(VLOOKUP(D1135,Products!$A$2:$F$61,6,FALSE()),"")</f>
        <v>1</v>
      </c>
      <c r="T1135" t="str">
        <f>IF(COUNTIF(Customers!$A$2:$A$301,C1135)=0,"Missing","OK")</f>
        <v>OK</v>
      </c>
      <c r="U1135" t="str">
        <f t="shared" si="52"/>
        <v>Delhi</v>
      </c>
      <c r="V1135">
        <f t="shared" si="53"/>
        <v>0</v>
      </c>
    </row>
    <row r="1136" spans="1:22" ht="15" customHeight="1" x14ac:dyDescent="0.35">
      <c r="A1136" s="3" t="s">
        <v>1560</v>
      </c>
      <c r="B1136" s="4">
        <v>45504</v>
      </c>
      <c r="C1136" s="3" t="s">
        <v>1233</v>
      </c>
      <c r="D1136" s="3" t="s">
        <v>303</v>
      </c>
      <c r="E1136" s="3" t="s">
        <v>285</v>
      </c>
      <c r="F1136" s="5">
        <v>9</v>
      </c>
      <c r="G1136" s="5">
        <v>5330</v>
      </c>
      <c r="H1136" s="5">
        <v>16.5</v>
      </c>
      <c r="I1136" s="5">
        <v>40054.949999999997</v>
      </c>
      <c r="J1136" s="3" t="s">
        <v>26</v>
      </c>
      <c r="K1136" s="3" t="s">
        <v>33</v>
      </c>
      <c r="L1136" t="str">
        <f>IFERROR(VLOOKUP(D1136,Products!$A$2:$F$61,3,FALSE()),"")</f>
        <v>Electronics</v>
      </c>
      <c r="M1136" t="str">
        <f>IFERROR(VLOOKUP(E1136,Sales_Reps!$A$2:$C$31,3,FALSE()),"")</f>
        <v>South</v>
      </c>
      <c r="N1136">
        <f>IFERROR(VLOOKUP(D1136,Products!$A$2:$F$61,4,FALSE()),"")</f>
        <v>2405</v>
      </c>
      <c r="O1136" t="str">
        <f>IFERROR(VLOOKUP(C1136,Customers!$A$2:$F$301,5,FALSE()),"")</f>
        <v>SMB</v>
      </c>
      <c r="P1136">
        <f>IFERROR(VLOOKUP(C1136,Customers!$A$2:$F$301,3,FALSE()),"")</f>
        <v>43</v>
      </c>
      <c r="Q1136">
        <f t="shared" si="51"/>
        <v>0.54878048780487809</v>
      </c>
      <c r="R1136">
        <f>IF(AND(COUNTIF($A$2:$A$2027,A1136)&gt;1,COUNTIF($A$2:A1136,A1136)=1),1,0)</f>
        <v>0</v>
      </c>
      <c r="S1136" t="b">
        <f>IFERROR(VLOOKUP(D1136,Products!$A$2:$F$61,6,FALSE()),"")</f>
        <v>1</v>
      </c>
      <c r="T1136" t="str">
        <f>IF(COUNTIF(Customers!$A$2:$A$301,C1136)=0,"Missing","OK")</f>
        <v>OK</v>
      </c>
      <c r="U1136" t="str">
        <f t="shared" si="52"/>
        <v>Chennai</v>
      </c>
      <c r="V1136">
        <f t="shared" si="53"/>
        <v>0</v>
      </c>
    </row>
    <row r="1137" spans="1:22" ht="15" customHeight="1" x14ac:dyDescent="0.35">
      <c r="A1137" s="3" t="s">
        <v>1229</v>
      </c>
      <c r="B1137" s="4">
        <v>45516</v>
      </c>
      <c r="C1137" s="3" t="s">
        <v>528</v>
      </c>
      <c r="D1137" s="3" t="s">
        <v>77</v>
      </c>
      <c r="E1137" s="3" t="s">
        <v>25</v>
      </c>
      <c r="F1137" s="5">
        <v>5</v>
      </c>
      <c r="G1137" s="5">
        <v>2600</v>
      </c>
      <c r="H1137" s="5">
        <v>0.3</v>
      </c>
      <c r="I1137" s="5">
        <v>12961</v>
      </c>
      <c r="J1137" s="3" t="s">
        <v>26</v>
      </c>
      <c r="K1137" s="3" t="s">
        <v>33</v>
      </c>
      <c r="L1137" t="str">
        <f>IFERROR(VLOOKUP(D1137,Products!$A$2:$F$61,3,FALSE()),"")</f>
        <v>Electronics</v>
      </c>
      <c r="M1137" t="str">
        <f>IFERROR(VLOOKUP(E1137,Sales_Reps!$A$2:$C$31,3,FALSE()),"")</f>
        <v>North</v>
      </c>
      <c r="N1137">
        <f>IFERROR(VLOOKUP(D1137,Products!$A$2:$F$61,4,FALSE()),"")</f>
        <v>1052</v>
      </c>
      <c r="O1137" t="str">
        <f>IFERROR(VLOOKUP(C1137,Customers!$A$2:$F$301,5,FALSE()),"")</f>
        <v>Corporate</v>
      </c>
      <c r="P1137">
        <f>IFERROR(VLOOKUP(C1137,Customers!$A$2:$F$301,3,FALSE()),"")</f>
        <v>30</v>
      </c>
      <c r="Q1137">
        <f t="shared" si="51"/>
        <v>0.5953846153846154</v>
      </c>
      <c r="R1137">
        <f>IF(AND(COUNTIF($A$2:$A$2027,A1137)&gt;1,COUNTIF($A$2:A1137,A1137)=1),1,0)</f>
        <v>0</v>
      </c>
      <c r="S1137" t="b">
        <f>IFERROR(VLOOKUP(D1137,Products!$A$2:$F$61,6,FALSE()),"")</f>
        <v>1</v>
      </c>
      <c r="T1137" t="str">
        <f>IF(COUNTIF(Customers!$A$2:$A$301,C1137)=0,"Missing","OK")</f>
        <v>OK</v>
      </c>
      <c r="U1137" t="str">
        <f t="shared" si="52"/>
        <v>Chennai</v>
      </c>
      <c r="V1137">
        <f t="shared" si="53"/>
        <v>0</v>
      </c>
    </row>
    <row r="1138" spans="1:22" ht="15" customHeight="1" x14ac:dyDescent="0.35">
      <c r="A1138" s="3" t="s">
        <v>1561</v>
      </c>
      <c r="B1138" s="4">
        <v>45462</v>
      </c>
      <c r="C1138" s="3" t="s">
        <v>1562</v>
      </c>
      <c r="D1138" s="3" t="s">
        <v>382</v>
      </c>
      <c r="E1138" s="3" t="s">
        <v>242</v>
      </c>
      <c r="F1138" s="5">
        <v>4</v>
      </c>
      <c r="G1138" s="5">
        <v>5080</v>
      </c>
      <c r="H1138" s="5">
        <v>13.8</v>
      </c>
      <c r="I1138" s="5">
        <v>17515.84</v>
      </c>
      <c r="J1138" s="3" t="s">
        <v>32</v>
      </c>
      <c r="K1138" s="3" t="s">
        <v>56</v>
      </c>
      <c r="L1138" t="str">
        <f>IFERROR(VLOOKUP(D1138,Products!$A$2:$F$61,3,FALSE()),"")</f>
        <v>Home</v>
      </c>
      <c r="M1138" t="str">
        <f>IFERROR(VLOOKUP(E1138,Sales_Reps!$A$2:$C$31,3,FALSE()),"")</f>
        <v>East</v>
      </c>
      <c r="N1138">
        <f>IFERROR(VLOOKUP(D1138,Products!$A$2:$F$61,4,FALSE()),"")</f>
        <v>2459</v>
      </c>
      <c r="O1138" t="str">
        <f>IFERROR(VLOOKUP(C1138,Customers!$A$2:$F$301,5,FALSE()),"")</f>
        <v>Retail</v>
      </c>
      <c r="P1138">
        <f>IFERROR(VLOOKUP(C1138,Customers!$A$2:$F$301,3,FALSE()),"")</f>
        <v>53</v>
      </c>
      <c r="Q1138">
        <f t="shared" si="51"/>
        <v>0.51594488188976373</v>
      </c>
      <c r="R1138">
        <f>IF(AND(COUNTIF($A$2:$A$2027,A1138)&gt;1,COUNTIF($A$2:A1138,A1138)=1),1,0)</f>
        <v>0</v>
      </c>
      <c r="S1138" t="b">
        <f>IFERROR(VLOOKUP(D1138,Products!$A$2:$F$61,6,FALSE()),"")</f>
        <v>1</v>
      </c>
      <c r="T1138" t="str">
        <f>IF(COUNTIF(Customers!$A$2:$A$301,C1138)=0,"Missing","OK")</f>
        <v>OK</v>
      </c>
      <c r="U1138" t="str">
        <f t="shared" si="52"/>
        <v>Bengaluru</v>
      </c>
      <c r="V1138">
        <f t="shared" si="53"/>
        <v>0</v>
      </c>
    </row>
    <row r="1139" spans="1:22" ht="15" customHeight="1" x14ac:dyDescent="0.35">
      <c r="A1139" s="3" t="s">
        <v>1563</v>
      </c>
      <c r="B1139" s="4">
        <v>45597</v>
      </c>
      <c r="C1139" s="3" t="s">
        <v>1189</v>
      </c>
      <c r="D1139" s="3" t="s">
        <v>306</v>
      </c>
      <c r="E1139" s="3" t="s">
        <v>236</v>
      </c>
      <c r="F1139" s="5">
        <v>7</v>
      </c>
      <c r="G1139" s="5">
        <v>2380</v>
      </c>
      <c r="H1139" s="5">
        <v>15.5</v>
      </c>
      <c r="I1139" s="5">
        <v>14077.7</v>
      </c>
      <c r="J1139" s="3" t="s">
        <v>26</v>
      </c>
      <c r="K1139" s="3" t="s">
        <v>27</v>
      </c>
      <c r="L1139" t="str">
        <f>IFERROR(VLOOKUP(D1139,Products!$A$2:$F$61,3,FALSE()),"")</f>
        <v>Grocery</v>
      </c>
      <c r="M1139" t="str">
        <f>IFERROR(VLOOKUP(E1139,Sales_Reps!$A$2:$C$31,3,FALSE()),"")</f>
        <v>North</v>
      </c>
      <c r="N1139">
        <f>IFERROR(VLOOKUP(D1139,Products!$A$2:$F$61,4,FALSE()),"")</f>
        <v>1182</v>
      </c>
      <c r="O1139" t="str">
        <f>IFERROR(VLOOKUP(C1139,Customers!$A$2:$F$301,5,FALSE()),"")</f>
        <v>Retail</v>
      </c>
      <c r="P1139">
        <f>IFERROR(VLOOKUP(C1139,Customers!$A$2:$F$301,3,FALSE()),"")</f>
        <v>44</v>
      </c>
      <c r="Q1139">
        <f t="shared" si="51"/>
        <v>0.50336134453781511</v>
      </c>
      <c r="R1139">
        <f>IF(AND(COUNTIF($A$2:$A$2027,A1139)&gt;1,COUNTIF($A$2:A1139,A1139)=1),1,0)</f>
        <v>0</v>
      </c>
      <c r="S1139" t="b">
        <f>IFERROR(VLOOKUP(D1139,Products!$A$2:$F$61,6,FALSE()),"")</f>
        <v>1</v>
      </c>
      <c r="T1139" t="str">
        <f>IF(COUNTIF(Customers!$A$2:$A$301,C1139)=0,"Missing","OK")</f>
        <v>OK</v>
      </c>
      <c r="U1139" t="str">
        <f t="shared" si="52"/>
        <v>Pune</v>
      </c>
      <c r="V1139">
        <f t="shared" si="53"/>
        <v>0</v>
      </c>
    </row>
    <row r="1140" spans="1:22" ht="15" customHeight="1" x14ac:dyDescent="0.35">
      <c r="A1140" s="3" t="s">
        <v>1564</v>
      </c>
      <c r="B1140" s="4">
        <v>45648</v>
      </c>
      <c r="C1140" s="3" t="s">
        <v>186</v>
      </c>
      <c r="D1140" s="3" t="s">
        <v>123</v>
      </c>
      <c r="E1140" s="3" t="s">
        <v>42</v>
      </c>
      <c r="F1140" s="5">
        <v>3</v>
      </c>
      <c r="G1140" s="5">
        <v>4880</v>
      </c>
      <c r="H1140" s="5">
        <v>6.1</v>
      </c>
      <c r="I1140" s="5">
        <v>13746.96</v>
      </c>
      <c r="J1140" s="3" t="s">
        <v>26</v>
      </c>
      <c r="K1140" s="3" t="s">
        <v>56</v>
      </c>
      <c r="L1140" t="str">
        <f>IFERROR(VLOOKUP(D1140,Products!$A$2:$F$61,3,FALSE()),"")</f>
        <v>Beauty</v>
      </c>
      <c r="M1140" t="str">
        <f>IFERROR(VLOOKUP(E1140,Sales_Reps!$A$2:$C$31,3,FALSE()),"")</f>
        <v>North</v>
      </c>
      <c r="N1140">
        <f>IFERROR(VLOOKUP(D1140,Products!$A$2:$F$61,4,FALSE()),"")</f>
        <v>2768</v>
      </c>
      <c r="O1140" t="str">
        <f>IFERROR(VLOOKUP(C1140,Customers!$A$2:$F$301,5,FALSE()),"")</f>
        <v>Retail</v>
      </c>
      <c r="P1140">
        <f>IFERROR(VLOOKUP(C1140,Customers!$A$2:$F$301,3,FALSE()),"")</f>
        <v>34</v>
      </c>
      <c r="Q1140">
        <f t="shared" si="51"/>
        <v>0.43278688524590164</v>
      </c>
      <c r="R1140">
        <f>IF(AND(COUNTIF($A$2:$A$2027,A1140)&gt;1,COUNTIF($A$2:A1140,A1140)=1),1,0)</f>
        <v>0</v>
      </c>
      <c r="S1140" t="b">
        <f>IFERROR(VLOOKUP(D1140,Products!$A$2:$F$61,6,FALSE()),"")</f>
        <v>1</v>
      </c>
      <c r="T1140" t="str">
        <f>IF(COUNTIF(Customers!$A$2:$A$301,C1140)=0,"Missing","OK")</f>
        <v>OK</v>
      </c>
      <c r="U1140" t="str">
        <f t="shared" si="52"/>
        <v>Bengaluru</v>
      </c>
      <c r="V1140">
        <f t="shared" si="53"/>
        <v>0</v>
      </c>
    </row>
    <row r="1141" spans="1:22" ht="15" customHeight="1" x14ac:dyDescent="0.35">
      <c r="A1141" s="3" t="s">
        <v>1565</v>
      </c>
      <c r="B1141" s="4">
        <v>45355</v>
      </c>
      <c r="C1141" s="3" t="s">
        <v>703</v>
      </c>
      <c r="D1141" s="3" t="s">
        <v>118</v>
      </c>
      <c r="E1141" s="3" t="s">
        <v>143</v>
      </c>
      <c r="F1141" s="5">
        <v>2</v>
      </c>
      <c r="G1141" s="5">
        <v>3350</v>
      </c>
      <c r="H1141" s="5">
        <v>17.2</v>
      </c>
      <c r="I1141" s="5">
        <v>5547.6</v>
      </c>
      <c r="J1141" s="3" t="s">
        <v>26</v>
      </c>
      <c r="K1141" s="3" t="s">
        <v>33</v>
      </c>
      <c r="L1141" t="str">
        <f>IFERROR(VLOOKUP(D1141,Products!$A$2:$F$61,3,FALSE()),"")</f>
        <v>Beauty</v>
      </c>
      <c r="M1141" t="str">
        <f>IFERROR(VLOOKUP(E1141,Sales_Reps!$A$2:$C$31,3,FALSE()),"")</f>
        <v>South</v>
      </c>
      <c r="N1141">
        <f>IFERROR(VLOOKUP(D1141,Products!$A$2:$F$61,4,FALSE()),"")</f>
        <v>1728</v>
      </c>
      <c r="O1141" t="str">
        <f>IFERROR(VLOOKUP(C1141,Customers!$A$2:$F$301,5,FALSE()),"")</f>
        <v>SMB</v>
      </c>
      <c r="P1141">
        <f>IFERROR(VLOOKUP(C1141,Customers!$A$2:$F$301,3,FALSE()),"")</f>
        <v>26</v>
      </c>
      <c r="Q1141">
        <f t="shared" si="51"/>
        <v>0.48417910447761192</v>
      </c>
      <c r="R1141">
        <f>IF(AND(COUNTIF($A$2:$A$2027,A1141)&gt;1,COUNTIF($A$2:A1141,A1141)=1),1,0)</f>
        <v>0</v>
      </c>
      <c r="S1141" t="b">
        <f>IFERROR(VLOOKUP(D1141,Products!$A$2:$F$61,6,FALSE()),"")</f>
        <v>1</v>
      </c>
      <c r="T1141" t="str">
        <f>IF(COUNTIF(Customers!$A$2:$A$301,C1141)=0,"Missing","OK")</f>
        <v>OK</v>
      </c>
      <c r="U1141" t="str">
        <f t="shared" si="52"/>
        <v>Chennai</v>
      </c>
      <c r="V1141">
        <f t="shared" si="53"/>
        <v>0</v>
      </c>
    </row>
    <row r="1142" spans="1:22" ht="15" customHeight="1" x14ac:dyDescent="0.35">
      <c r="A1142" s="3" t="s">
        <v>1566</v>
      </c>
      <c r="B1142" s="4">
        <v>45331</v>
      </c>
      <c r="C1142" s="3" t="s">
        <v>1567</v>
      </c>
      <c r="D1142" s="3" t="s">
        <v>66</v>
      </c>
      <c r="E1142" s="3" t="s">
        <v>55</v>
      </c>
      <c r="F1142" s="5">
        <v>5</v>
      </c>
      <c r="G1142" s="5">
        <v>970</v>
      </c>
      <c r="H1142" s="5">
        <v>23.6</v>
      </c>
      <c r="I1142" s="5">
        <v>3705.4</v>
      </c>
      <c r="J1142" s="3" t="s">
        <v>26</v>
      </c>
      <c r="K1142" s="3" t="s">
        <v>33</v>
      </c>
      <c r="L1142" t="str">
        <f>IFERROR(VLOOKUP(D1142,Products!$A$2:$F$61,3,FALSE()),"")</f>
        <v>Grocery</v>
      </c>
      <c r="M1142" t="str">
        <f>IFERROR(VLOOKUP(E1142,Sales_Reps!$A$2:$C$31,3,FALSE()),"")</f>
        <v>West</v>
      </c>
      <c r="N1142">
        <f>IFERROR(VLOOKUP(D1142,Products!$A$2:$F$61,4,FALSE()),"")</f>
        <v>434</v>
      </c>
      <c r="O1142" t="str">
        <f>IFERROR(VLOOKUP(C1142,Customers!$A$2:$F$301,5,FALSE()),"")</f>
        <v>Retail</v>
      </c>
      <c r="P1142">
        <f>IFERROR(VLOOKUP(C1142,Customers!$A$2:$F$301,3,FALSE()),"")</f>
        <v>35</v>
      </c>
      <c r="Q1142">
        <f t="shared" si="51"/>
        <v>0.5525773195876289</v>
      </c>
      <c r="R1142">
        <f>IF(AND(COUNTIF($A$2:$A$2027,A1142)&gt;1,COUNTIF($A$2:A1142,A1142)=1),1,0)</f>
        <v>0</v>
      </c>
      <c r="S1142" t="b">
        <f>IFERROR(VLOOKUP(D1142,Products!$A$2:$F$61,6,FALSE()),"")</f>
        <v>1</v>
      </c>
      <c r="T1142" t="str">
        <f>IF(COUNTIF(Customers!$A$2:$A$301,C1142)=0,"Missing","OK")</f>
        <v>OK</v>
      </c>
      <c r="U1142" t="str">
        <f t="shared" si="52"/>
        <v>Chennai</v>
      </c>
      <c r="V1142">
        <f t="shared" si="53"/>
        <v>0</v>
      </c>
    </row>
    <row r="1143" spans="1:22" ht="15" customHeight="1" x14ac:dyDescent="0.35">
      <c r="A1143" s="3" t="s">
        <v>1568</v>
      </c>
      <c r="B1143" s="4">
        <v>45632</v>
      </c>
      <c r="C1143" s="3" t="s">
        <v>257</v>
      </c>
      <c r="D1143" s="3" t="s">
        <v>221</v>
      </c>
      <c r="E1143" s="3" t="s">
        <v>224</v>
      </c>
      <c r="F1143" s="5">
        <v>5</v>
      </c>
      <c r="G1143" s="5">
        <v>300</v>
      </c>
      <c r="H1143" s="5">
        <v>3.8</v>
      </c>
      <c r="I1143" s="5">
        <v>1443</v>
      </c>
      <c r="J1143" s="3" t="s">
        <v>26</v>
      </c>
      <c r="K1143" s="3" t="s">
        <v>33</v>
      </c>
      <c r="L1143" t="str">
        <f>IFERROR(VLOOKUP(D1143,Products!$A$2:$F$61,3,FALSE()),"")</f>
        <v>Electronics</v>
      </c>
      <c r="M1143" t="str">
        <f>IFERROR(VLOOKUP(E1143,Sales_Reps!$A$2:$C$31,3,FALSE()),"")</f>
        <v>East</v>
      </c>
      <c r="N1143">
        <f>IFERROR(VLOOKUP(D1143,Products!$A$2:$F$61,4,FALSE()),"")</f>
        <v>128</v>
      </c>
      <c r="O1143" t="str">
        <f>IFERROR(VLOOKUP(C1143,Customers!$A$2:$F$301,5,FALSE()),"")</f>
        <v>SMB</v>
      </c>
      <c r="P1143">
        <f>IFERROR(VLOOKUP(C1143,Customers!$A$2:$F$301,3,FALSE()),"")</f>
        <v>57</v>
      </c>
      <c r="Q1143">
        <f t="shared" si="51"/>
        <v>0.57333333333333336</v>
      </c>
      <c r="R1143">
        <f>IF(AND(COUNTIF($A$2:$A$2027,A1143)&gt;1,COUNTIF($A$2:A1143,A1143)=1),1,0)</f>
        <v>0</v>
      </c>
      <c r="S1143" t="b">
        <f>IFERROR(VLOOKUP(D1143,Products!$A$2:$F$61,6,FALSE()),"")</f>
        <v>1</v>
      </c>
      <c r="T1143" t="str">
        <f>IF(COUNTIF(Customers!$A$2:$A$301,C1143)=0,"Missing","OK")</f>
        <v>OK</v>
      </c>
      <c r="U1143" t="str">
        <f t="shared" si="52"/>
        <v>Chennai</v>
      </c>
      <c r="V1143">
        <f t="shared" si="53"/>
        <v>0</v>
      </c>
    </row>
    <row r="1144" spans="1:22" ht="15" customHeight="1" x14ac:dyDescent="0.35">
      <c r="A1144" s="3" t="s">
        <v>1569</v>
      </c>
      <c r="B1144" s="4">
        <v>45358</v>
      </c>
      <c r="C1144" s="3" t="s">
        <v>498</v>
      </c>
      <c r="D1144" s="3" t="s">
        <v>347</v>
      </c>
      <c r="E1144" s="3" t="s">
        <v>31</v>
      </c>
      <c r="F1144" s="5">
        <v>9</v>
      </c>
      <c r="G1144" s="5">
        <v>3970</v>
      </c>
      <c r="H1144" s="5">
        <v>0.8</v>
      </c>
      <c r="I1144" s="5">
        <v>35444.160000000003</v>
      </c>
      <c r="J1144" s="3" t="s">
        <v>26</v>
      </c>
      <c r="K1144" s="3" t="s">
        <v>27</v>
      </c>
      <c r="L1144" t="str">
        <f>IFERROR(VLOOKUP(D1144,Products!$A$2:$F$61,3,FALSE()),"")</f>
        <v>Electronics</v>
      </c>
      <c r="M1144" t="str">
        <f>IFERROR(VLOOKUP(E1144,Sales_Reps!$A$2:$C$31,3,FALSE()),"")</f>
        <v>North</v>
      </c>
      <c r="N1144">
        <f>IFERROR(VLOOKUP(D1144,Products!$A$2:$F$61,4,FALSE()),"")</f>
        <v>2865</v>
      </c>
      <c r="O1144" t="str">
        <f>IFERROR(VLOOKUP(C1144,Customers!$A$2:$F$301,5,FALSE()),"")</f>
        <v>Retail</v>
      </c>
      <c r="P1144">
        <f>IFERROR(VLOOKUP(C1144,Customers!$A$2:$F$301,3,FALSE()),"")</f>
        <v>62</v>
      </c>
      <c r="Q1144">
        <f t="shared" si="51"/>
        <v>0.27833753148614609</v>
      </c>
      <c r="R1144">
        <f>IF(AND(COUNTIF($A$2:$A$2027,A1144)&gt;1,COUNTIF($A$2:A1144,A1144)=1),1,0)</f>
        <v>0</v>
      </c>
      <c r="S1144" t="b">
        <f>IFERROR(VLOOKUP(D1144,Products!$A$2:$F$61,6,FALSE()),"")</f>
        <v>1</v>
      </c>
      <c r="T1144" t="str">
        <f>IF(COUNTIF(Customers!$A$2:$A$301,C1144)=0,"Missing","OK")</f>
        <v>OK</v>
      </c>
      <c r="U1144" t="str">
        <f t="shared" si="52"/>
        <v>Pune</v>
      </c>
      <c r="V1144">
        <f t="shared" si="53"/>
        <v>0</v>
      </c>
    </row>
    <row r="1145" spans="1:22" ht="15" customHeight="1" x14ac:dyDescent="0.35">
      <c r="A1145" s="3" t="s">
        <v>1570</v>
      </c>
      <c r="B1145" s="4">
        <v>45440</v>
      </c>
      <c r="C1145" s="3" t="s">
        <v>1060</v>
      </c>
      <c r="D1145" s="3" t="s">
        <v>112</v>
      </c>
      <c r="E1145" s="3" t="s">
        <v>191</v>
      </c>
      <c r="F1145" s="5">
        <v>4</v>
      </c>
      <c r="G1145" s="5">
        <v>2720</v>
      </c>
      <c r="H1145" s="5">
        <v>12.7</v>
      </c>
      <c r="I1145" s="5">
        <v>9498.24</v>
      </c>
      <c r="J1145" s="3" t="s">
        <v>26</v>
      </c>
      <c r="K1145" s="3" t="s">
        <v>51</v>
      </c>
      <c r="L1145" t="str">
        <f>IFERROR(VLOOKUP(D1145,Products!$A$2:$F$61,3,FALSE()),"")</f>
        <v>Apparel</v>
      </c>
      <c r="M1145" t="str">
        <f>IFERROR(VLOOKUP(E1145,Sales_Reps!$A$2:$C$31,3,FALSE()),"")</f>
        <v>South</v>
      </c>
      <c r="N1145">
        <f>IFERROR(VLOOKUP(D1145,Products!$A$2:$F$61,4,FALSE()),"")</f>
        <v>1962</v>
      </c>
      <c r="O1145" t="str">
        <f>IFERROR(VLOOKUP(C1145,Customers!$A$2:$F$301,5,FALSE()),"")</f>
        <v>Corporate</v>
      </c>
      <c r="P1145">
        <f>IFERROR(VLOOKUP(C1145,Customers!$A$2:$F$301,3,FALSE()),"")</f>
        <v>46</v>
      </c>
      <c r="Q1145">
        <f t="shared" si="51"/>
        <v>0.2786764705882353</v>
      </c>
      <c r="R1145">
        <f>IF(AND(COUNTIF($A$2:$A$2027,A1145)&gt;1,COUNTIF($A$2:A1145,A1145)=1),1,0)</f>
        <v>0</v>
      </c>
      <c r="S1145" t="b">
        <f>IFERROR(VLOOKUP(D1145,Products!$A$2:$F$61,6,FALSE()),"")</f>
        <v>1</v>
      </c>
      <c r="T1145" t="str">
        <f>IF(COUNTIF(Customers!$A$2:$A$301,C1145)=0,"Missing","OK")</f>
        <v>OK</v>
      </c>
      <c r="U1145" t="str">
        <f t="shared" si="52"/>
        <v>Mumbai</v>
      </c>
      <c r="V1145">
        <f t="shared" si="53"/>
        <v>0</v>
      </c>
    </row>
    <row r="1146" spans="1:22" ht="15" customHeight="1" x14ac:dyDescent="0.35">
      <c r="A1146" s="3" t="s">
        <v>1571</v>
      </c>
      <c r="B1146" s="4">
        <v>45412</v>
      </c>
      <c r="C1146" s="3" t="s">
        <v>214</v>
      </c>
      <c r="D1146" s="3" t="s">
        <v>231</v>
      </c>
      <c r="E1146" s="3" t="s">
        <v>97</v>
      </c>
      <c r="F1146" s="5">
        <v>3</v>
      </c>
      <c r="G1146" s="5">
        <v>620</v>
      </c>
      <c r="H1146" s="5">
        <v>5.5</v>
      </c>
      <c r="I1146" s="5">
        <v>1757.7</v>
      </c>
      <c r="J1146" s="3" t="s">
        <v>26</v>
      </c>
      <c r="K1146" s="3" t="s">
        <v>27</v>
      </c>
      <c r="L1146" t="str">
        <f>IFERROR(VLOOKUP(D1146,Products!$A$2:$F$61,3,FALSE()),"")</f>
        <v>Apparel</v>
      </c>
      <c r="M1146" t="str">
        <f>IFERROR(VLOOKUP(E1146,Sales_Reps!$A$2:$C$31,3,FALSE()),"")</f>
        <v>East</v>
      </c>
      <c r="N1146">
        <f>IFERROR(VLOOKUP(D1146,Products!$A$2:$F$61,4,FALSE()),"")</f>
        <v>396</v>
      </c>
      <c r="O1146" t="str">
        <f>IFERROR(VLOOKUP(C1146,Customers!$A$2:$F$301,5,FALSE()),"")</f>
        <v>Retail</v>
      </c>
      <c r="P1146">
        <f>IFERROR(VLOOKUP(C1146,Customers!$A$2:$F$301,3,FALSE()),"")</f>
        <v>44</v>
      </c>
      <c r="Q1146">
        <f t="shared" si="51"/>
        <v>0.36129032258064514</v>
      </c>
      <c r="R1146">
        <f>IF(AND(COUNTIF($A$2:$A$2027,A1146)&gt;1,COUNTIF($A$2:A1146,A1146)=1),1,0)</f>
        <v>0</v>
      </c>
      <c r="S1146" t="b">
        <f>IFERROR(VLOOKUP(D1146,Products!$A$2:$F$61,6,FALSE()),"")</f>
        <v>1</v>
      </c>
      <c r="T1146" t="str">
        <f>IF(COUNTIF(Customers!$A$2:$A$301,C1146)=0,"Missing","OK")</f>
        <v>OK</v>
      </c>
      <c r="U1146" t="str">
        <f t="shared" si="52"/>
        <v>Pune</v>
      </c>
      <c r="V1146">
        <f t="shared" si="53"/>
        <v>0</v>
      </c>
    </row>
    <row r="1147" spans="1:22" ht="15" customHeight="1" x14ac:dyDescent="0.35">
      <c r="A1147" s="3" t="s">
        <v>1572</v>
      </c>
      <c r="B1147" s="4">
        <v>45479</v>
      </c>
      <c r="C1147" s="3" t="s">
        <v>117</v>
      </c>
      <c r="D1147" s="3" t="s">
        <v>198</v>
      </c>
      <c r="E1147" s="3" t="s">
        <v>55</v>
      </c>
      <c r="F1147" s="5">
        <v>2</v>
      </c>
      <c r="G1147" s="5">
        <v>1540</v>
      </c>
      <c r="H1147" s="5">
        <v>2.2000000000000002</v>
      </c>
      <c r="I1147" s="5">
        <v>3012.24</v>
      </c>
      <c r="J1147" s="3" t="s">
        <v>32</v>
      </c>
      <c r="K1147" s="3" t="s">
        <v>33</v>
      </c>
      <c r="L1147" t="str">
        <f>IFERROR(VLOOKUP(D1147,Products!$A$2:$F$61,3,FALSE()),"")</f>
        <v>Beauty</v>
      </c>
      <c r="M1147" t="str">
        <f>IFERROR(VLOOKUP(E1147,Sales_Reps!$A$2:$C$31,3,FALSE()),"")</f>
        <v>West</v>
      </c>
      <c r="N1147">
        <f>IFERROR(VLOOKUP(D1147,Products!$A$2:$F$61,4,FALSE()),"")</f>
        <v>647</v>
      </c>
      <c r="O1147" t="str">
        <f>IFERROR(VLOOKUP(C1147,Customers!$A$2:$F$301,5,FALSE()),"")</f>
        <v>Corporate</v>
      </c>
      <c r="P1147">
        <f>IFERROR(VLOOKUP(C1147,Customers!$A$2:$F$301,3,FALSE()),"")</f>
        <v>55</v>
      </c>
      <c r="Q1147">
        <f t="shared" si="51"/>
        <v>0.57987012987012987</v>
      </c>
      <c r="R1147">
        <f>IF(AND(COUNTIF($A$2:$A$2027,A1147)&gt;1,COUNTIF($A$2:A1147,A1147)=1),1,0)</f>
        <v>0</v>
      </c>
      <c r="S1147" t="b">
        <f>IFERROR(VLOOKUP(D1147,Products!$A$2:$F$61,6,FALSE()),"")</f>
        <v>0</v>
      </c>
      <c r="T1147" t="str">
        <f>IF(COUNTIF(Customers!$A$2:$A$301,C1147)=0,"Missing","OK")</f>
        <v>OK</v>
      </c>
      <c r="U1147" t="str">
        <f t="shared" si="52"/>
        <v>Chennai</v>
      </c>
      <c r="V1147">
        <f t="shared" si="53"/>
        <v>0</v>
      </c>
    </row>
    <row r="1148" spans="1:22" ht="15" customHeight="1" x14ac:dyDescent="0.35">
      <c r="A1148" s="3" t="s">
        <v>1573</v>
      </c>
      <c r="B1148" s="4">
        <v>45534</v>
      </c>
      <c r="C1148" s="3" t="s">
        <v>251</v>
      </c>
      <c r="D1148" s="3" t="s">
        <v>325</v>
      </c>
      <c r="E1148" s="3" t="s">
        <v>140</v>
      </c>
      <c r="F1148" s="5">
        <v>1</v>
      </c>
      <c r="G1148" s="5">
        <v>2290</v>
      </c>
      <c r="H1148" s="5">
        <v>24.4</v>
      </c>
      <c r="I1148" s="5">
        <v>1731.24</v>
      </c>
      <c r="J1148" s="3" t="s">
        <v>79</v>
      </c>
      <c r="K1148" s="3" t="s">
        <v>72</v>
      </c>
      <c r="L1148" t="str">
        <f>IFERROR(VLOOKUP(D1148,Products!$A$2:$F$61,3,FALSE()),"")</f>
        <v>Beauty</v>
      </c>
      <c r="M1148" t="str">
        <f>IFERROR(VLOOKUP(E1148,Sales_Reps!$A$2:$C$31,3,FALSE()),"")</f>
        <v>West</v>
      </c>
      <c r="N1148">
        <f>IFERROR(VLOOKUP(D1148,Products!$A$2:$F$61,4,FALSE()),"")</f>
        <v>1219</v>
      </c>
      <c r="O1148" t="str">
        <f>IFERROR(VLOOKUP(C1148,Customers!$A$2:$F$301,5,FALSE()),"")</f>
        <v>Retail</v>
      </c>
      <c r="P1148">
        <f>IFERROR(VLOOKUP(C1148,Customers!$A$2:$F$301,3,FALSE()),"")</f>
        <v>46</v>
      </c>
      <c r="Q1148">
        <f t="shared" si="51"/>
        <v>0.46768558951965067</v>
      </c>
      <c r="R1148">
        <f>IF(AND(COUNTIF($A$2:$A$2027,A1148)&gt;1,COUNTIF($A$2:A1148,A1148)=1),1,0)</f>
        <v>0</v>
      </c>
      <c r="S1148" t="b">
        <f>IFERROR(VLOOKUP(D1148,Products!$A$2:$F$61,6,FALSE()),"")</f>
        <v>1</v>
      </c>
      <c r="T1148" t="str">
        <f>IF(COUNTIF(Customers!$A$2:$A$301,C1148)=0,"Missing","OK")</f>
        <v>OK</v>
      </c>
      <c r="U1148" t="str">
        <f t="shared" si="52"/>
        <v>Hyderabad</v>
      </c>
      <c r="V1148">
        <f t="shared" si="53"/>
        <v>0</v>
      </c>
    </row>
    <row r="1149" spans="1:22" ht="15" customHeight="1" x14ac:dyDescent="0.35">
      <c r="A1149" s="3" t="s">
        <v>1574</v>
      </c>
      <c r="B1149" s="4">
        <v>45313</v>
      </c>
      <c r="C1149" s="3" t="s">
        <v>664</v>
      </c>
      <c r="D1149" s="3" t="s">
        <v>112</v>
      </c>
      <c r="E1149" s="3" t="s">
        <v>242</v>
      </c>
      <c r="F1149" s="5">
        <v>8</v>
      </c>
      <c r="G1149" s="5">
        <v>2720</v>
      </c>
      <c r="H1149" s="5">
        <v>1.7</v>
      </c>
      <c r="I1149" s="5">
        <v>21390.080000000002</v>
      </c>
      <c r="J1149" s="3" t="s">
        <v>26</v>
      </c>
      <c r="K1149" s="3" t="s">
        <v>38</v>
      </c>
      <c r="L1149" t="str">
        <f>IFERROR(VLOOKUP(D1149,Products!$A$2:$F$61,3,FALSE()),"")</f>
        <v>Apparel</v>
      </c>
      <c r="M1149" t="str">
        <f>IFERROR(VLOOKUP(E1149,Sales_Reps!$A$2:$C$31,3,FALSE()),"")</f>
        <v>East</v>
      </c>
      <c r="N1149">
        <f>IFERROR(VLOOKUP(D1149,Products!$A$2:$F$61,4,FALSE()),"")</f>
        <v>1962</v>
      </c>
      <c r="O1149" t="str">
        <f>IFERROR(VLOOKUP(C1149,Customers!$A$2:$F$301,5,FALSE()),"")</f>
        <v>SMB</v>
      </c>
      <c r="P1149">
        <f>IFERROR(VLOOKUP(C1149,Customers!$A$2:$F$301,3,FALSE()),"")</f>
        <v>26</v>
      </c>
      <c r="Q1149">
        <f t="shared" si="51"/>
        <v>0.2786764705882353</v>
      </c>
      <c r="R1149">
        <f>IF(AND(COUNTIF($A$2:$A$2027,A1149)&gt;1,COUNTIF($A$2:A1149,A1149)=1),1,0)</f>
        <v>0</v>
      </c>
      <c r="S1149" t="b">
        <f>IFERROR(VLOOKUP(D1149,Products!$A$2:$F$61,6,FALSE()),"")</f>
        <v>1</v>
      </c>
      <c r="T1149" t="str">
        <f>IF(COUNTIF(Customers!$A$2:$A$301,C1149)=0,"Missing","OK")</f>
        <v>OK</v>
      </c>
      <c r="U1149" t="str">
        <f t="shared" si="52"/>
        <v>Delhi</v>
      </c>
      <c r="V1149">
        <f t="shared" si="53"/>
        <v>0</v>
      </c>
    </row>
    <row r="1150" spans="1:22" ht="15" customHeight="1" x14ac:dyDescent="0.35">
      <c r="A1150" s="3" t="s">
        <v>1575</v>
      </c>
      <c r="B1150" s="4">
        <v>45390</v>
      </c>
      <c r="C1150" s="3" t="s">
        <v>1473</v>
      </c>
      <c r="D1150" s="3" t="s">
        <v>290</v>
      </c>
      <c r="E1150" s="3" t="s">
        <v>93</v>
      </c>
      <c r="F1150" s="5">
        <v>4</v>
      </c>
      <c r="G1150" s="5">
        <v>4060</v>
      </c>
      <c r="H1150" s="5">
        <v>19.600000000000001</v>
      </c>
      <c r="I1150" s="5">
        <v>13056.96</v>
      </c>
      <c r="J1150" s="3" t="s">
        <v>79</v>
      </c>
      <c r="K1150" s="3" t="s">
        <v>72</v>
      </c>
      <c r="L1150" t="str">
        <f>IFERROR(VLOOKUP(D1150,Products!$A$2:$F$61,3,FALSE()),"")</f>
        <v>Grocery</v>
      </c>
      <c r="M1150" t="str">
        <f>IFERROR(VLOOKUP(E1150,Sales_Reps!$A$2:$C$31,3,FALSE()),"")</f>
        <v>East</v>
      </c>
      <c r="N1150">
        <f>IFERROR(VLOOKUP(D1150,Products!$A$2:$F$61,4,FALSE()),"")</f>
        <v>2911</v>
      </c>
      <c r="O1150" t="str">
        <f>IFERROR(VLOOKUP(C1150,Customers!$A$2:$F$301,5,FALSE()),"")</f>
        <v>Corporate</v>
      </c>
      <c r="P1150">
        <f>IFERROR(VLOOKUP(C1150,Customers!$A$2:$F$301,3,FALSE()),"")</f>
        <v>25</v>
      </c>
      <c r="Q1150">
        <f t="shared" si="51"/>
        <v>0.28300492610837441</v>
      </c>
      <c r="R1150">
        <f>IF(AND(COUNTIF($A$2:$A$2027,A1150)&gt;1,COUNTIF($A$2:A1150,A1150)=1),1,0)</f>
        <v>0</v>
      </c>
      <c r="S1150" t="b">
        <f>IFERROR(VLOOKUP(D1150,Products!$A$2:$F$61,6,FALSE()),"")</f>
        <v>1</v>
      </c>
      <c r="T1150" t="str">
        <f>IF(COUNTIF(Customers!$A$2:$A$301,C1150)=0,"Missing","OK")</f>
        <v>OK</v>
      </c>
      <c r="U1150" t="str">
        <f t="shared" si="52"/>
        <v>Hyderabad</v>
      </c>
      <c r="V1150">
        <f t="shared" si="53"/>
        <v>0</v>
      </c>
    </row>
    <row r="1151" spans="1:22" ht="15" customHeight="1" x14ac:dyDescent="0.35">
      <c r="A1151" s="3" t="s">
        <v>1576</v>
      </c>
      <c r="B1151" s="4">
        <v>45370</v>
      </c>
      <c r="C1151" s="3" t="s">
        <v>281</v>
      </c>
      <c r="D1151" s="3" t="s">
        <v>126</v>
      </c>
      <c r="E1151" s="3" t="s">
        <v>285</v>
      </c>
      <c r="F1151" s="5">
        <v>8</v>
      </c>
      <c r="G1151" s="5">
        <v>3570</v>
      </c>
      <c r="H1151" s="5">
        <v>10.8</v>
      </c>
      <c r="I1151" s="5">
        <v>25475.52</v>
      </c>
      <c r="J1151" s="3" t="s">
        <v>26</v>
      </c>
      <c r="K1151" s="3" t="s">
        <v>33</v>
      </c>
      <c r="L1151" t="str">
        <f>IFERROR(VLOOKUP(D1151,Products!$A$2:$F$61,3,FALSE()),"")</f>
        <v>Electronics</v>
      </c>
      <c r="M1151" t="str">
        <f>IFERROR(VLOOKUP(E1151,Sales_Reps!$A$2:$C$31,3,FALSE()),"")</f>
        <v>South</v>
      </c>
      <c r="N1151">
        <f>IFERROR(VLOOKUP(D1151,Products!$A$2:$F$61,4,FALSE()),"")</f>
        <v>1665</v>
      </c>
      <c r="O1151" t="str">
        <f>IFERROR(VLOOKUP(C1151,Customers!$A$2:$F$301,5,FALSE()),"")</f>
        <v>Retail</v>
      </c>
      <c r="P1151">
        <f>IFERROR(VLOOKUP(C1151,Customers!$A$2:$F$301,3,FALSE()),"")</f>
        <v>26</v>
      </c>
      <c r="Q1151">
        <f t="shared" si="51"/>
        <v>0.53361344537815125</v>
      </c>
      <c r="R1151">
        <f>IF(AND(COUNTIF($A$2:$A$2027,A1151)&gt;1,COUNTIF($A$2:A1151,A1151)=1),1,0)</f>
        <v>0</v>
      </c>
      <c r="S1151" t="b">
        <f>IFERROR(VLOOKUP(D1151,Products!$A$2:$F$61,6,FALSE()),"")</f>
        <v>1</v>
      </c>
      <c r="T1151" t="str">
        <f>IF(COUNTIF(Customers!$A$2:$A$301,C1151)=0,"Missing","OK")</f>
        <v>OK</v>
      </c>
      <c r="U1151" t="str">
        <f t="shared" si="52"/>
        <v>Chennai</v>
      </c>
      <c r="V1151">
        <f t="shared" si="53"/>
        <v>0</v>
      </c>
    </row>
    <row r="1152" spans="1:22" ht="15" customHeight="1" x14ac:dyDescent="0.35">
      <c r="A1152" s="3" t="s">
        <v>1577</v>
      </c>
      <c r="B1152" s="4">
        <v>45324</v>
      </c>
      <c r="C1152" s="3" t="s">
        <v>368</v>
      </c>
      <c r="D1152" s="3" t="s">
        <v>100</v>
      </c>
      <c r="E1152" s="3" t="s">
        <v>78</v>
      </c>
      <c r="F1152" s="5">
        <v>10</v>
      </c>
      <c r="G1152" s="5">
        <v>3450</v>
      </c>
      <c r="H1152" s="5">
        <v>13.5</v>
      </c>
      <c r="I1152" s="5">
        <v>29842.5</v>
      </c>
      <c r="J1152" s="3" t="s">
        <v>32</v>
      </c>
      <c r="K1152" s="3" t="s">
        <v>56</v>
      </c>
      <c r="L1152" t="str">
        <f>IFERROR(VLOOKUP(D1152,Products!$A$2:$F$61,3,FALSE()),"")</f>
        <v>Sports</v>
      </c>
      <c r="M1152" t="str">
        <f>IFERROR(VLOOKUP(E1152,Sales_Reps!$A$2:$C$31,3,FALSE()),"")</f>
        <v>North</v>
      </c>
      <c r="N1152">
        <f>IFERROR(VLOOKUP(D1152,Products!$A$2:$F$61,4,FALSE()),"")</f>
        <v>2467</v>
      </c>
      <c r="O1152" t="str">
        <f>IFERROR(VLOOKUP(C1152,Customers!$A$2:$F$301,5,FALSE()),"")</f>
        <v>Retail</v>
      </c>
      <c r="P1152">
        <f>IFERROR(VLOOKUP(C1152,Customers!$A$2:$F$301,3,FALSE()),"")</f>
        <v>55</v>
      </c>
      <c r="Q1152">
        <f t="shared" si="51"/>
        <v>0.28492753623188405</v>
      </c>
      <c r="R1152">
        <f>IF(AND(COUNTIF($A$2:$A$2027,A1152)&gt;1,COUNTIF($A$2:A1152,A1152)=1),1,0)</f>
        <v>0</v>
      </c>
      <c r="S1152" t="b">
        <f>IFERROR(VLOOKUP(D1152,Products!$A$2:$F$61,6,FALSE()),"")</f>
        <v>1</v>
      </c>
      <c r="T1152" t="str">
        <f>IF(COUNTIF(Customers!$A$2:$A$301,C1152)=0,"Missing","OK")</f>
        <v>OK</v>
      </c>
      <c r="U1152" t="str">
        <f t="shared" si="52"/>
        <v>Bengaluru</v>
      </c>
      <c r="V1152">
        <f t="shared" si="53"/>
        <v>0</v>
      </c>
    </row>
    <row r="1153" spans="1:22" ht="15" customHeight="1" x14ac:dyDescent="0.35">
      <c r="A1153" s="3" t="s">
        <v>1578</v>
      </c>
      <c r="B1153" s="4">
        <v>45469</v>
      </c>
      <c r="C1153" s="3" t="s">
        <v>359</v>
      </c>
      <c r="D1153" s="3" t="s">
        <v>74</v>
      </c>
      <c r="E1153" s="3" t="s">
        <v>25</v>
      </c>
      <c r="F1153" s="5">
        <v>10</v>
      </c>
      <c r="G1153" s="5">
        <v>2640</v>
      </c>
      <c r="H1153" s="5">
        <v>29.8</v>
      </c>
      <c r="I1153" s="5">
        <v>18532.8</v>
      </c>
      <c r="J1153" s="3" t="s">
        <v>26</v>
      </c>
      <c r="K1153" s="3" t="s">
        <v>38</v>
      </c>
      <c r="L1153" t="str">
        <f>IFERROR(VLOOKUP(D1153,Products!$A$2:$F$61,3,FALSE()),"")</f>
        <v>Electronics</v>
      </c>
      <c r="M1153" t="str">
        <f>IFERROR(VLOOKUP(E1153,Sales_Reps!$A$2:$C$31,3,FALSE()),"")</f>
        <v>North</v>
      </c>
      <c r="N1153">
        <f>IFERROR(VLOOKUP(D1153,Products!$A$2:$F$61,4,FALSE()),"")</f>
        <v>1149</v>
      </c>
      <c r="O1153" t="str">
        <f>IFERROR(VLOOKUP(C1153,Customers!$A$2:$F$301,5,FALSE()),"")</f>
        <v>Retail</v>
      </c>
      <c r="P1153">
        <f>IFERROR(VLOOKUP(C1153,Customers!$A$2:$F$301,3,FALSE()),"")</f>
        <v>44</v>
      </c>
      <c r="Q1153">
        <f t="shared" si="51"/>
        <v>0.56477272727272732</v>
      </c>
      <c r="R1153">
        <f>IF(AND(COUNTIF($A$2:$A$2027,A1153)&gt;1,COUNTIF($A$2:A1153,A1153)=1),1,0)</f>
        <v>0</v>
      </c>
      <c r="S1153" t="b">
        <f>IFERROR(VLOOKUP(D1153,Products!$A$2:$F$61,6,FALSE()),"")</f>
        <v>1</v>
      </c>
      <c r="T1153" t="str">
        <f>IF(COUNTIF(Customers!$A$2:$A$301,C1153)=0,"Missing","OK")</f>
        <v>OK</v>
      </c>
      <c r="U1153" t="str">
        <f t="shared" si="52"/>
        <v>Delhi</v>
      </c>
      <c r="V1153">
        <f t="shared" si="53"/>
        <v>0</v>
      </c>
    </row>
    <row r="1154" spans="1:22" ht="15" customHeight="1" x14ac:dyDescent="0.35">
      <c r="A1154" s="3" t="s">
        <v>1579</v>
      </c>
      <c r="B1154" s="4">
        <v>45619</v>
      </c>
      <c r="C1154" s="3" t="s">
        <v>193</v>
      </c>
      <c r="D1154" s="3" t="s">
        <v>49</v>
      </c>
      <c r="E1154" s="3" t="s">
        <v>143</v>
      </c>
      <c r="F1154" s="5">
        <v>3</v>
      </c>
      <c r="G1154" s="5">
        <v>370</v>
      </c>
      <c r="H1154" s="5">
        <v>25.5</v>
      </c>
      <c r="I1154" s="5">
        <v>826.95</v>
      </c>
      <c r="J1154" s="3" t="s">
        <v>26</v>
      </c>
      <c r="K1154" s="3" t="s">
        <v>33</v>
      </c>
      <c r="L1154" t="str">
        <f>IFERROR(VLOOKUP(D1154,Products!$A$2:$F$61,3,FALSE()),"")</f>
        <v>Home</v>
      </c>
      <c r="M1154" t="str">
        <f>IFERROR(VLOOKUP(E1154,Sales_Reps!$A$2:$C$31,3,FALSE()),"")</f>
        <v>South</v>
      </c>
      <c r="N1154">
        <f>IFERROR(VLOOKUP(D1154,Products!$A$2:$F$61,4,FALSE()),"")</f>
        <v>288</v>
      </c>
      <c r="O1154" t="str">
        <f>IFERROR(VLOOKUP(C1154,Customers!$A$2:$F$301,5,FALSE()),"")</f>
        <v>Retail</v>
      </c>
      <c r="P1154">
        <f>IFERROR(VLOOKUP(C1154,Customers!$A$2:$F$301,3,FALSE()),"")</f>
        <v>24</v>
      </c>
      <c r="Q1154">
        <f t="shared" ref="Q1154:Q1217" si="54">IFERROR((G1154-N1154)/G1154,"")</f>
        <v>0.22162162162162163</v>
      </c>
      <c r="R1154">
        <f>IF(AND(COUNTIF($A$2:$A$2027,A1154)&gt;1,COUNTIF($A$2:A1154,A1154)=1),1,0)</f>
        <v>0</v>
      </c>
      <c r="S1154" t="b">
        <f>IFERROR(VLOOKUP(D1154,Products!$A$2:$F$61,6,FALSE()),"")</f>
        <v>1</v>
      </c>
      <c r="T1154" t="str">
        <f>IF(COUNTIF(Customers!$A$2:$A$301,C1154)=0,"Missing","OK")</f>
        <v>OK</v>
      </c>
      <c r="U1154" t="str">
        <f t="shared" ref="U1154:U1217" si="55">IF(K1154="","",PROPER(TRIM(K1154)))</f>
        <v>Chennai</v>
      </c>
      <c r="V1154">
        <f t="shared" ref="V1154:V1217" si="56">IF(AND(U1154="Bengaluru",L1154="Grocery"),I1154,0)</f>
        <v>0</v>
      </c>
    </row>
    <row r="1155" spans="1:22" ht="15" customHeight="1" x14ac:dyDescent="0.35">
      <c r="A1155" s="3" t="s">
        <v>1580</v>
      </c>
      <c r="B1155" s="4">
        <v>45627</v>
      </c>
      <c r="C1155" s="3" t="s">
        <v>443</v>
      </c>
      <c r="D1155" s="3" t="s">
        <v>206</v>
      </c>
      <c r="E1155" s="3" t="s">
        <v>109</v>
      </c>
      <c r="F1155" s="5">
        <v>3</v>
      </c>
      <c r="G1155" s="5">
        <v>1220</v>
      </c>
      <c r="H1155" s="5">
        <v>7.7</v>
      </c>
      <c r="I1155" s="5">
        <v>3378.18</v>
      </c>
      <c r="J1155" s="3" t="s">
        <v>32</v>
      </c>
      <c r="K1155" s="3" t="s">
        <v>56</v>
      </c>
      <c r="L1155" t="str">
        <f>IFERROR(VLOOKUP(D1155,Products!$A$2:$F$61,3,FALSE()),"")</f>
        <v>Electronics</v>
      </c>
      <c r="M1155" t="str">
        <f>IFERROR(VLOOKUP(E1155,Sales_Reps!$A$2:$C$31,3,FALSE()),"")</f>
        <v>West</v>
      </c>
      <c r="N1155">
        <f>IFERROR(VLOOKUP(D1155,Products!$A$2:$F$61,4,FALSE()),"")</f>
        <v>517</v>
      </c>
      <c r="O1155" t="str">
        <f>IFERROR(VLOOKUP(C1155,Customers!$A$2:$F$301,5,FALSE()),"")</f>
        <v>Corporate</v>
      </c>
      <c r="P1155">
        <f>IFERROR(VLOOKUP(C1155,Customers!$A$2:$F$301,3,FALSE()),"")</f>
        <v>36</v>
      </c>
      <c r="Q1155">
        <f t="shared" si="54"/>
        <v>0.57622950819672136</v>
      </c>
      <c r="R1155">
        <f>IF(AND(COUNTIF($A$2:$A$2027,A1155)&gt;1,COUNTIF($A$2:A1155,A1155)=1),1,0)</f>
        <v>0</v>
      </c>
      <c r="S1155" t="b">
        <f>IFERROR(VLOOKUP(D1155,Products!$A$2:$F$61,6,FALSE()),"")</f>
        <v>1</v>
      </c>
      <c r="T1155" t="str">
        <f>IF(COUNTIF(Customers!$A$2:$A$301,C1155)=0,"Missing","OK")</f>
        <v>OK</v>
      </c>
      <c r="U1155" t="str">
        <f t="shared" si="55"/>
        <v>Bengaluru</v>
      </c>
      <c r="V1155">
        <f t="shared" si="56"/>
        <v>0</v>
      </c>
    </row>
    <row r="1156" spans="1:22" ht="15" customHeight="1" x14ac:dyDescent="0.35">
      <c r="A1156" s="3" t="s">
        <v>1581</v>
      </c>
      <c r="B1156" s="4">
        <v>45499</v>
      </c>
      <c r="C1156" s="3" t="s">
        <v>396</v>
      </c>
      <c r="D1156" s="3" t="s">
        <v>74</v>
      </c>
      <c r="E1156" s="3" t="s">
        <v>224</v>
      </c>
      <c r="F1156" s="5">
        <v>1</v>
      </c>
      <c r="G1156" s="5">
        <v>2640</v>
      </c>
      <c r="H1156" s="5">
        <v>23.6</v>
      </c>
      <c r="I1156" s="5">
        <v>2016.96</v>
      </c>
      <c r="J1156" s="3" t="s">
        <v>26</v>
      </c>
      <c r="K1156" s="3" t="s">
        <v>27</v>
      </c>
      <c r="L1156" t="str">
        <f>IFERROR(VLOOKUP(D1156,Products!$A$2:$F$61,3,FALSE()),"")</f>
        <v>Electronics</v>
      </c>
      <c r="M1156" t="str">
        <f>IFERROR(VLOOKUP(E1156,Sales_Reps!$A$2:$C$31,3,FALSE()),"")</f>
        <v>East</v>
      </c>
      <c r="N1156">
        <f>IFERROR(VLOOKUP(D1156,Products!$A$2:$F$61,4,FALSE()),"")</f>
        <v>1149</v>
      </c>
      <c r="O1156" t="str">
        <f>IFERROR(VLOOKUP(C1156,Customers!$A$2:$F$301,5,FALSE()),"")</f>
        <v>Retail</v>
      </c>
      <c r="P1156">
        <f>IFERROR(VLOOKUP(C1156,Customers!$A$2:$F$301,3,FALSE()),"")</f>
        <v>29</v>
      </c>
      <c r="Q1156">
        <f t="shared" si="54"/>
        <v>0.56477272727272732</v>
      </c>
      <c r="R1156">
        <f>IF(AND(COUNTIF($A$2:$A$2027,A1156)&gt;1,COUNTIF($A$2:A1156,A1156)=1),1,0)</f>
        <v>0</v>
      </c>
      <c r="S1156" t="b">
        <f>IFERROR(VLOOKUP(D1156,Products!$A$2:$F$61,6,FALSE()),"")</f>
        <v>1</v>
      </c>
      <c r="T1156" t="str">
        <f>IF(COUNTIF(Customers!$A$2:$A$301,C1156)=0,"Missing","OK")</f>
        <v>OK</v>
      </c>
      <c r="U1156" t="str">
        <f t="shared" si="55"/>
        <v>Pune</v>
      </c>
      <c r="V1156">
        <f t="shared" si="56"/>
        <v>0</v>
      </c>
    </row>
    <row r="1157" spans="1:22" ht="15" customHeight="1" x14ac:dyDescent="0.35">
      <c r="A1157" s="3" t="s">
        <v>1582</v>
      </c>
      <c r="B1157" s="4">
        <v>45563</v>
      </c>
      <c r="C1157" s="3" t="s">
        <v>48</v>
      </c>
      <c r="D1157" s="3" t="s">
        <v>130</v>
      </c>
      <c r="E1157" s="3" t="s">
        <v>212</v>
      </c>
      <c r="F1157" s="5">
        <v>9</v>
      </c>
      <c r="G1157" s="5">
        <v>5100</v>
      </c>
      <c r="H1157" s="5">
        <v>9.5</v>
      </c>
      <c r="I1157" s="5">
        <v>41539.5</v>
      </c>
      <c r="J1157" s="3" t="s">
        <v>26</v>
      </c>
      <c r="K1157" s="3" t="s">
        <v>51</v>
      </c>
      <c r="L1157" t="str">
        <f>IFERROR(VLOOKUP(D1157,Products!$A$2:$F$61,3,FALSE()),"")</f>
        <v>Beauty</v>
      </c>
      <c r="M1157" t="str">
        <f>IFERROR(VLOOKUP(E1157,Sales_Reps!$A$2:$C$31,3,FALSE()),"")</f>
        <v>South</v>
      </c>
      <c r="N1157">
        <f>IFERROR(VLOOKUP(D1157,Products!$A$2:$F$61,4,FALSE()),"")</f>
        <v>2237</v>
      </c>
      <c r="O1157" t="str">
        <f>IFERROR(VLOOKUP(C1157,Customers!$A$2:$F$301,5,FALSE()),"")</f>
        <v>Retail</v>
      </c>
      <c r="P1157">
        <f>IFERROR(VLOOKUP(C1157,Customers!$A$2:$F$301,3,FALSE()),"")</f>
        <v>36</v>
      </c>
      <c r="Q1157">
        <f t="shared" si="54"/>
        <v>0.56137254901960787</v>
      </c>
      <c r="R1157">
        <f>IF(AND(COUNTIF($A$2:$A$2027,A1157)&gt;1,COUNTIF($A$2:A1157,A1157)=1),1,0)</f>
        <v>0</v>
      </c>
      <c r="S1157" t="b">
        <f>IFERROR(VLOOKUP(D1157,Products!$A$2:$F$61,6,FALSE()),"")</f>
        <v>1</v>
      </c>
      <c r="T1157" t="str">
        <f>IF(COUNTIF(Customers!$A$2:$A$301,C1157)=0,"Missing","OK")</f>
        <v>OK</v>
      </c>
      <c r="U1157" t="str">
        <f t="shared" si="55"/>
        <v>Mumbai</v>
      </c>
      <c r="V1157">
        <f t="shared" si="56"/>
        <v>0</v>
      </c>
    </row>
    <row r="1158" spans="1:22" ht="15" customHeight="1" x14ac:dyDescent="0.35">
      <c r="A1158" s="3" t="s">
        <v>1583</v>
      </c>
      <c r="B1158" s="4">
        <v>45435</v>
      </c>
      <c r="C1158" s="3" t="s">
        <v>703</v>
      </c>
      <c r="D1158" s="3" t="s">
        <v>180</v>
      </c>
      <c r="E1158" s="3" t="s">
        <v>46</v>
      </c>
      <c r="F1158" s="5">
        <v>7</v>
      </c>
      <c r="G1158" s="5">
        <v>6080</v>
      </c>
      <c r="H1158" s="5">
        <v>17.5</v>
      </c>
      <c r="I1158" s="5">
        <v>35112</v>
      </c>
      <c r="J1158" s="3" t="s">
        <v>26</v>
      </c>
      <c r="K1158" s="3" t="s">
        <v>33</v>
      </c>
      <c r="L1158" t="str">
        <f>IFERROR(VLOOKUP(D1158,Products!$A$2:$F$61,3,FALSE()),"")</f>
        <v>Beauty</v>
      </c>
      <c r="M1158" t="str">
        <f>IFERROR(VLOOKUP(E1158,Sales_Reps!$A$2:$C$31,3,FALSE()),"")</f>
        <v>North</v>
      </c>
      <c r="N1158">
        <f>IFERROR(VLOOKUP(D1158,Products!$A$2:$F$61,4,FALSE()),"")</f>
        <v>2617</v>
      </c>
      <c r="O1158" t="str">
        <f>IFERROR(VLOOKUP(C1158,Customers!$A$2:$F$301,5,FALSE()),"")</f>
        <v>SMB</v>
      </c>
      <c r="P1158">
        <f>IFERROR(VLOOKUP(C1158,Customers!$A$2:$F$301,3,FALSE()),"")</f>
        <v>26</v>
      </c>
      <c r="Q1158">
        <f t="shared" si="54"/>
        <v>0.56957236842105263</v>
      </c>
      <c r="R1158">
        <f>IF(AND(COUNTIF($A$2:$A$2027,A1158)&gt;1,COUNTIF($A$2:A1158,A1158)=1),1,0)</f>
        <v>0</v>
      </c>
      <c r="S1158" t="b">
        <f>IFERROR(VLOOKUP(D1158,Products!$A$2:$F$61,6,FALSE()),"")</f>
        <v>1</v>
      </c>
      <c r="T1158" t="str">
        <f>IF(COUNTIF(Customers!$A$2:$A$301,C1158)=0,"Missing","OK")</f>
        <v>OK</v>
      </c>
      <c r="U1158" t="str">
        <f t="shared" si="55"/>
        <v>Chennai</v>
      </c>
      <c r="V1158">
        <f t="shared" si="56"/>
        <v>0</v>
      </c>
    </row>
    <row r="1159" spans="1:22" ht="15" customHeight="1" x14ac:dyDescent="0.35">
      <c r="A1159" s="3" t="s">
        <v>1584</v>
      </c>
      <c r="B1159" s="4">
        <v>45602</v>
      </c>
      <c r="C1159" s="3" t="s">
        <v>426</v>
      </c>
      <c r="D1159" s="3" t="s">
        <v>221</v>
      </c>
      <c r="E1159" s="3" t="s">
        <v>140</v>
      </c>
      <c r="F1159" s="5">
        <v>1</v>
      </c>
      <c r="G1159" s="5">
        <v>300</v>
      </c>
      <c r="H1159" s="5">
        <v>26.9</v>
      </c>
      <c r="I1159" s="5">
        <v>219.3</v>
      </c>
      <c r="J1159" s="3" t="s">
        <v>26</v>
      </c>
      <c r="K1159" s="3" t="s">
        <v>27</v>
      </c>
      <c r="L1159" t="str">
        <f>IFERROR(VLOOKUP(D1159,Products!$A$2:$F$61,3,FALSE()),"")</f>
        <v>Electronics</v>
      </c>
      <c r="M1159" t="str">
        <f>IFERROR(VLOOKUP(E1159,Sales_Reps!$A$2:$C$31,3,FALSE()),"")</f>
        <v>West</v>
      </c>
      <c r="N1159">
        <f>IFERROR(VLOOKUP(D1159,Products!$A$2:$F$61,4,FALSE()),"")</f>
        <v>128</v>
      </c>
      <c r="O1159" t="str">
        <f>IFERROR(VLOOKUP(C1159,Customers!$A$2:$F$301,5,FALSE()),"")</f>
        <v>Corporate</v>
      </c>
      <c r="P1159">
        <f>IFERROR(VLOOKUP(C1159,Customers!$A$2:$F$301,3,FALSE()),"")</f>
        <v>29</v>
      </c>
      <c r="Q1159">
        <f t="shared" si="54"/>
        <v>0.57333333333333336</v>
      </c>
      <c r="R1159">
        <f>IF(AND(COUNTIF($A$2:$A$2027,A1159)&gt;1,COUNTIF($A$2:A1159,A1159)=1),1,0)</f>
        <v>0</v>
      </c>
      <c r="S1159" t="b">
        <f>IFERROR(VLOOKUP(D1159,Products!$A$2:$F$61,6,FALSE()),"")</f>
        <v>1</v>
      </c>
      <c r="T1159" t="str">
        <f>IF(COUNTIF(Customers!$A$2:$A$301,C1159)=0,"Missing","OK")</f>
        <v>OK</v>
      </c>
      <c r="U1159" t="str">
        <f t="shared" si="55"/>
        <v>Pune</v>
      </c>
      <c r="V1159">
        <f t="shared" si="56"/>
        <v>0</v>
      </c>
    </row>
    <row r="1160" spans="1:22" ht="15" customHeight="1" x14ac:dyDescent="0.35">
      <c r="A1160" s="3" t="s">
        <v>1585</v>
      </c>
      <c r="B1160" s="4">
        <v>45650</v>
      </c>
      <c r="C1160" s="3" t="s">
        <v>327</v>
      </c>
      <c r="D1160" s="3" t="s">
        <v>215</v>
      </c>
      <c r="E1160" s="3" t="s">
        <v>131</v>
      </c>
      <c r="F1160" s="5">
        <v>6</v>
      </c>
      <c r="G1160" s="5">
        <v>3020</v>
      </c>
      <c r="H1160" s="5">
        <v>28.5</v>
      </c>
      <c r="I1160" s="5">
        <v>12955.8</v>
      </c>
      <c r="J1160" s="3" t="s">
        <v>26</v>
      </c>
      <c r="K1160" s="3" t="s">
        <v>72</v>
      </c>
      <c r="L1160" t="str">
        <f>IFERROR(VLOOKUP(D1160,Products!$A$2:$F$61,3,FALSE()),"")</f>
        <v>Beauty</v>
      </c>
      <c r="M1160" t="str">
        <f>IFERROR(VLOOKUP(E1160,Sales_Reps!$A$2:$C$31,3,FALSE()),"")</f>
        <v>East</v>
      </c>
      <c r="N1160">
        <f>IFERROR(VLOOKUP(D1160,Products!$A$2:$F$61,4,FALSE()),"")</f>
        <v>1626</v>
      </c>
      <c r="O1160" t="str">
        <f>IFERROR(VLOOKUP(C1160,Customers!$A$2:$F$301,5,FALSE()),"")</f>
        <v>Retail</v>
      </c>
      <c r="P1160">
        <f>IFERROR(VLOOKUP(C1160,Customers!$A$2:$F$301,3,FALSE()),"")</f>
        <v>44</v>
      </c>
      <c r="Q1160">
        <f t="shared" si="54"/>
        <v>0.46158940397350995</v>
      </c>
      <c r="R1160">
        <f>IF(AND(COUNTIF($A$2:$A$2027,A1160)&gt;1,COUNTIF($A$2:A1160,A1160)=1),1,0)</f>
        <v>0</v>
      </c>
      <c r="S1160" t="b">
        <f>IFERROR(VLOOKUP(D1160,Products!$A$2:$F$61,6,FALSE()),"")</f>
        <v>1</v>
      </c>
      <c r="T1160" t="str">
        <f>IF(COUNTIF(Customers!$A$2:$A$301,C1160)=0,"Missing","OK")</f>
        <v>OK</v>
      </c>
      <c r="U1160" t="str">
        <f t="shared" si="55"/>
        <v>Hyderabad</v>
      </c>
      <c r="V1160">
        <f t="shared" si="56"/>
        <v>0</v>
      </c>
    </row>
    <row r="1161" spans="1:22" ht="15" customHeight="1" x14ac:dyDescent="0.35">
      <c r="A1161" s="3" t="s">
        <v>1586</v>
      </c>
      <c r="B1161" s="4">
        <v>45294</v>
      </c>
      <c r="C1161" s="3" t="s">
        <v>158</v>
      </c>
      <c r="D1161" s="3" t="s">
        <v>221</v>
      </c>
      <c r="E1161" s="3" t="s">
        <v>242</v>
      </c>
      <c r="F1161" s="5">
        <v>8</v>
      </c>
      <c r="G1161" s="5">
        <v>300</v>
      </c>
      <c r="H1161" s="5">
        <v>1.2</v>
      </c>
      <c r="I1161" s="5">
        <v>2371.1999999999998</v>
      </c>
      <c r="J1161" s="3" t="s">
        <v>26</v>
      </c>
      <c r="K1161" s="3" t="s">
        <v>38</v>
      </c>
      <c r="L1161" t="str">
        <f>IFERROR(VLOOKUP(D1161,Products!$A$2:$F$61,3,FALSE()),"")</f>
        <v>Electronics</v>
      </c>
      <c r="M1161" t="str">
        <f>IFERROR(VLOOKUP(E1161,Sales_Reps!$A$2:$C$31,3,FALSE()),"")</f>
        <v>East</v>
      </c>
      <c r="N1161">
        <f>IFERROR(VLOOKUP(D1161,Products!$A$2:$F$61,4,FALSE()),"")</f>
        <v>128</v>
      </c>
      <c r="O1161" t="str">
        <f>IFERROR(VLOOKUP(C1161,Customers!$A$2:$F$301,5,FALSE()),"")</f>
        <v>SMB</v>
      </c>
      <c r="P1161">
        <f>IFERROR(VLOOKUP(C1161,Customers!$A$2:$F$301,3,FALSE()),"")</f>
        <v>50</v>
      </c>
      <c r="Q1161">
        <f t="shared" si="54"/>
        <v>0.57333333333333336</v>
      </c>
      <c r="R1161">
        <f>IF(AND(COUNTIF($A$2:$A$2027,A1161)&gt;1,COUNTIF($A$2:A1161,A1161)=1),1,0)</f>
        <v>0</v>
      </c>
      <c r="S1161" t="b">
        <f>IFERROR(VLOOKUP(D1161,Products!$A$2:$F$61,6,FALSE()),"")</f>
        <v>1</v>
      </c>
      <c r="T1161" t="str">
        <f>IF(COUNTIF(Customers!$A$2:$A$301,C1161)=0,"Missing","OK")</f>
        <v>OK</v>
      </c>
      <c r="U1161" t="str">
        <f t="shared" si="55"/>
        <v>Delhi</v>
      </c>
      <c r="V1161">
        <f t="shared" si="56"/>
        <v>0</v>
      </c>
    </row>
    <row r="1162" spans="1:22" ht="15" customHeight="1" x14ac:dyDescent="0.35">
      <c r="A1162" s="3" t="s">
        <v>1587</v>
      </c>
      <c r="B1162" s="4">
        <v>45523</v>
      </c>
      <c r="C1162" s="3" t="s">
        <v>776</v>
      </c>
      <c r="D1162" s="3" t="s">
        <v>118</v>
      </c>
      <c r="E1162" s="3" t="s">
        <v>212</v>
      </c>
      <c r="F1162" s="5">
        <v>9</v>
      </c>
      <c r="G1162" s="5">
        <v>3350</v>
      </c>
      <c r="H1162" s="5">
        <v>0.6</v>
      </c>
      <c r="I1162" s="5">
        <v>29969.1</v>
      </c>
      <c r="J1162" s="3" t="s">
        <v>83</v>
      </c>
      <c r="K1162" s="3" t="s">
        <v>56</v>
      </c>
      <c r="L1162" t="str">
        <f>IFERROR(VLOOKUP(D1162,Products!$A$2:$F$61,3,FALSE()),"")</f>
        <v>Beauty</v>
      </c>
      <c r="M1162" t="str">
        <f>IFERROR(VLOOKUP(E1162,Sales_Reps!$A$2:$C$31,3,FALSE()),"")</f>
        <v>South</v>
      </c>
      <c r="N1162">
        <f>IFERROR(VLOOKUP(D1162,Products!$A$2:$F$61,4,FALSE()),"")</f>
        <v>1728</v>
      </c>
      <c r="O1162" t="str">
        <f>IFERROR(VLOOKUP(C1162,Customers!$A$2:$F$301,5,FALSE()),"")</f>
        <v>Retail</v>
      </c>
      <c r="P1162">
        <f>IFERROR(VLOOKUP(C1162,Customers!$A$2:$F$301,3,FALSE()),"")</f>
        <v>37</v>
      </c>
      <c r="Q1162">
        <f t="shared" si="54"/>
        <v>0.48417910447761192</v>
      </c>
      <c r="R1162">
        <f>IF(AND(COUNTIF($A$2:$A$2027,A1162)&gt;1,COUNTIF($A$2:A1162,A1162)=1),1,0)</f>
        <v>0</v>
      </c>
      <c r="S1162" t="b">
        <f>IFERROR(VLOOKUP(D1162,Products!$A$2:$F$61,6,FALSE()),"")</f>
        <v>1</v>
      </c>
      <c r="T1162" t="str">
        <f>IF(COUNTIF(Customers!$A$2:$A$301,C1162)=0,"Missing","OK")</f>
        <v>OK</v>
      </c>
      <c r="U1162" t="str">
        <f t="shared" si="55"/>
        <v>Bengaluru</v>
      </c>
      <c r="V1162">
        <f t="shared" si="56"/>
        <v>0</v>
      </c>
    </row>
    <row r="1163" spans="1:22" ht="15" customHeight="1" x14ac:dyDescent="0.35">
      <c r="A1163" s="3" t="s">
        <v>1588</v>
      </c>
      <c r="B1163" s="4">
        <v>45479</v>
      </c>
      <c r="C1163" s="3" t="s">
        <v>942</v>
      </c>
      <c r="D1163" s="3" t="s">
        <v>203</v>
      </c>
      <c r="E1163" s="3" t="s">
        <v>55</v>
      </c>
      <c r="F1163" s="5">
        <v>4</v>
      </c>
      <c r="G1163" s="5">
        <v>4070</v>
      </c>
      <c r="H1163" s="5">
        <v>10.1</v>
      </c>
      <c r="I1163" s="5">
        <v>14635.72</v>
      </c>
      <c r="J1163" s="3" t="s">
        <v>26</v>
      </c>
      <c r="K1163" s="3" t="s">
        <v>38</v>
      </c>
      <c r="L1163" t="str">
        <f>IFERROR(VLOOKUP(D1163,Products!$A$2:$F$61,3,FALSE()),"")</f>
        <v>Grocery</v>
      </c>
      <c r="M1163" t="str">
        <f>IFERROR(VLOOKUP(E1163,Sales_Reps!$A$2:$C$31,3,FALSE()),"")</f>
        <v>West</v>
      </c>
      <c r="N1163">
        <f>IFERROR(VLOOKUP(D1163,Products!$A$2:$F$61,4,FALSE()),"")</f>
        <v>2027</v>
      </c>
      <c r="O1163" t="str">
        <f>IFERROR(VLOOKUP(C1163,Customers!$A$2:$F$301,5,FALSE()),"")</f>
        <v>SMB</v>
      </c>
      <c r="P1163">
        <f>IFERROR(VLOOKUP(C1163,Customers!$A$2:$F$301,3,FALSE()),"")</f>
        <v>45</v>
      </c>
      <c r="Q1163">
        <f t="shared" si="54"/>
        <v>0.50196560196560192</v>
      </c>
      <c r="R1163">
        <f>IF(AND(COUNTIF($A$2:$A$2027,A1163)&gt;1,COUNTIF($A$2:A1163,A1163)=1),1,0)</f>
        <v>0</v>
      </c>
      <c r="S1163" t="b">
        <f>IFERROR(VLOOKUP(D1163,Products!$A$2:$F$61,6,FALSE()),"")</f>
        <v>1</v>
      </c>
      <c r="T1163" t="str">
        <f>IF(COUNTIF(Customers!$A$2:$A$301,C1163)=0,"Missing","OK")</f>
        <v>OK</v>
      </c>
      <c r="U1163" t="str">
        <f t="shared" si="55"/>
        <v>Delhi</v>
      </c>
      <c r="V1163">
        <f t="shared" si="56"/>
        <v>0</v>
      </c>
    </row>
    <row r="1164" spans="1:22" ht="15" customHeight="1" x14ac:dyDescent="0.35">
      <c r="A1164" s="3" t="s">
        <v>1589</v>
      </c>
      <c r="B1164" s="4">
        <v>45614</v>
      </c>
      <c r="C1164" s="3" t="s">
        <v>1247</v>
      </c>
      <c r="D1164" s="3" t="s">
        <v>400</v>
      </c>
      <c r="E1164" s="3" t="s">
        <v>55</v>
      </c>
      <c r="F1164" s="5">
        <v>9</v>
      </c>
      <c r="G1164" s="5">
        <v>3780</v>
      </c>
      <c r="H1164" s="5">
        <v>27.8</v>
      </c>
      <c r="I1164" s="5">
        <v>24562.44</v>
      </c>
      <c r="J1164" s="3" t="s">
        <v>79</v>
      </c>
      <c r="K1164" s="3" t="s">
        <v>33</v>
      </c>
      <c r="L1164" t="str">
        <f>IFERROR(VLOOKUP(D1164,Products!$A$2:$F$61,3,FALSE()),"")</f>
        <v>Sports</v>
      </c>
      <c r="M1164" t="str">
        <f>IFERROR(VLOOKUP(E1164,Sales_Reps!$A$2:$C$31,3,FALSE()),"")</f>
        <v>West</v>
      </c>
      <c r="N1164">
        <f>IFERROR(VLOOKUP(D1164,Products!$A$2:$F$61,4,FALSE()),"")</f>
        <v>1860</v>
      </c>
      <c r="O1164" t="str">
        <f>IFERROR(VLOOKUP(C1164,Customers!$A$2:$F$301,5,FALSE()),"")</f>
        <v>SMB</v>
      </c>
      <c r="P1164">
        <f>IFERROR(VLOOKUP(C1164,Customers!$A$2:$F$301,3,FALSE()),"")</f>
        <v>51</v>
      </c>
      <c r="Q1164">
        <f t="shared" si="54"/>
        <v>0.50793650793650791</v>
      </c>
      <c r="R1164">
        <f>IF(AND(COUNTIF($A$2:$A$2027,A1164)&gt;1,COUNTIF($A$2:A1164,A1164)=1),1,0)</f>
        <v>0</v>
      </c>
      <c r="S1164" t="b">
        <f>IFERROR(VLOOKUP(D1164,Products!$A$2:$F$61,6,FALSE()),"")</f>
        <v>1</v>
      </c>
      <c r="T1164" t="str">
        <f>IF(COUNTIF(Customers!$A$2:$A$301,C1164)=0,"Missing","OK")</f>
        <v>OK</v>
      </c>
      <c r="U1164" t="str">
        <f t="shared" si="55"/>
        <v>Chennai</v>
      </c>
      <c r="V1164">
        <f t="shared" si="56"/>
        <v>0</v>
      </c>
    </row>
    <row r="1165" spans="1:22" ht="15" customHeight="1" x14ac:dyDescent="0.35">
      <c r="A1165" s="3" t="s">
        <v>1590</v>
      </c>
      <c r="B1165" s="4">
        <v>45407</v>
      </c>
      <c r="C1165" s="3" t="s">
        <v>133</v>
      </c>
      <c r="D1165" s="3" t="s">
        <v>103</v>
      </c>
      <c r="E1165" s="3" t="s">
        <v>109</v>
      </c>
      <c r="F1165" s="5">
        <v>6</v>
      </c>
      <c r="G1165" s="5">
        <v>1080</v>
      </c>
      <c r="H1165" s="5">
        <v>17.5</v>
      </c>
      <c r="I1165" s="5">
        <v>5346</v>
      </c>
      <c r="J1165" s="3" t="s">
        <v>26</v>
      </c>
      <c r="K1165" s="3" t="s">
        <v>27</v>
      </c>
      <c r="L1165" t="str">
        <f>IFERROR(VLOOKUP(D1165,Products!$A$2:$F$61,3,FALSE()),"")</f>
        <v>Home</v>
      </c>
      <c r="M1165" t="str">
        <f>IFERROR(VLOOKUP(E1165,Sales_Reps!$A$2:$C$31,3,FALSE()),"")</f>
        <v>West</v>
      </c>
      <c r="N1165">
        <f>IFERROR(VLOOKUP(D1165,Products!$A$2:$F$61,4,FALSE()),"")</f>
        <v>519</v>
      </c>
      <c r="O1165" t="str">
        <f>IFERROR(VLOOKUP(C1165,Customers!$A$2:$F$301,5,FALSE()),"")</f>
        <v>SMB</v>
      </c>
      <c r="P1165">
        <f>IFERROR(VLOOKUP(C1165,Customers!$A$2:$F$301,3,FALSE()),"")</f>
        <v>44</v>
      </c>
      <c r="Q1165">
        <f t="shared" si="54"/>
        <v>0.51944444444444449</v>
      </c>
      <c r="R1165">
        <f>IF(AND(COUNTIF($A$2:$A$2027,A1165)&gt;1,COUNTIF($A$2:A1165,A1165)=1),1,0)</f>
        <v>0</v>
      </c>
      <c r="S1165" t="b">
        <f>IFERROR(VLOOKUP(D1165,Products!$A$2:$F$61,6,FALSE()),"")</f>
        <v>1</v>
      </c>
      <c r="T1165" t="str">
        <f>IF(COUNTIF(Customers!$A$2:$A$301,C1165)=0,"Missing","OK")</f>
        <v>OK</v>
      </c>
      <c r="U1165" t="str">
        <f t="shared" si="55"/>
        <v>Pune</v>
      </c>
      <c r="V1165">
        <f t="shared" si="56"/>
        <v>0</v>
      </c>
    </row>
    <row r="1166" spans="1:22" ht="15" customHeight="1" x14ac:dyDescent="0.35">
      <c r="A1166" s="3" t="s">
        <v>1591</v>
      </c>
      <c r="B1166" s="4">
        <v>45603</v>
      </c>
      <c r="C1166" s="3" t="s">
        <v>368</v>
      </c>
      <c r="D1166" s="3" t="s">
        <v>77</v>
      </c>
      <c r="E1166" s="3" t="s">
        <v>93</v>
      </c>
      <c r="F1166" s="5">
        <v>3</v>
      </c>
      <c r="G1166" s="5">
        <v>2600</v>
      </c>
      <c r="H1166" s="5">
        <v>1.9</v>
      </c>
      <c r="I1166" s="5">
        <v>7651.8</v>
      </c>
      <c r="J1166" s="3" t="s">
        <v>26</v>
      </c>
      <c r="K1166" s="3" t="s">
        <v>56</v>
      </c>
      <c r="L1166" t="str">
        <f>IFERROR(VLOOKUP(D1166,Products!$A$2:$F$61,3,FALSE()),"")</f>
        <v>Electronics</v>
      </c>
      <c r="M1166" t="str">
        <f>IFERROR(VLOOKUP(E1166,Sales_Reps!$A$2:$C$31,3,FALSE()),"")</f>
        <v>East</v>
      </c>
      <c r="N1166">
        <f>IFERROR(VLOOKUP(D1166,Products!$A$2:$F$61,4,FALSE()),"")</f>
        <v>1052</v>
      </c>
      <c r="O1166" t="str">
        <f>IFERROR(VLOOKUP(C1166,Customers!$A$2:$F$301,5,FALSE()),"")</f>
        <v>Retail</v>
      </c>
      <c r="P1166">
        <f>IFERROR(VLOOKUP(C1166,Customers!$A$2:$F$301,3,FALSE()),"")</f>
        <v>55</v>
      </c>
      <c r="Q1166">
        <f t="shared" si="54"/>
        <v>0.5953846153846154</v>
      </c>
      <c r="R1166">
        <f>IF(AND(COUNTIF($A$2:$A$2027,A1166)&gt;1,COUNTIF($A$2:A1166,A1166)=1),1,0)</f>
        <v>0</v>
      </c>
      <c r="S1166" t="b">
        <f>IFERROR(VLOOKUP(D1166,Products!$A$2:$F$61,6,FALSE()),"")</f>
        <v>1</v>
      </c>
      <c r="T1166" t="str">
        <f>IF(COUNTIF(Customers!$A$2:$A$301,C1166)=0,"Missing","OK")</f>
        <v>OK</v>
      </c>
      <c r="U1166" t="str">
        <f t="shared" si="55"/>
        <v>Bengaluru</v>
      </c>
      <c r="V1166">
        <f t="shared" si="56"/>
        <v>0</v>
      </c>
    </row>
    <row r="1167" spans="1:22" ht="15" customHeight="1" x14ac:dyDescent="0.35">
      <c r="A1167" s="3" t="s">
        <v>1592</v>
      </c>
      <c r="B1167" s="4">
        <v>45375</v>
      </c>
      <c r="C1167" s="3" t="s">
        <v>736</v>
      </c>
      <c r="D1167" s="3" t="s">
        <v>112</v>
      </c>
      <c r="E1167" s="3" t="s">
        <v>46</v>
      </c>
      <c r="F1167" s="5">
        <v>5</v>
      </c>
      <c r="G1167" s="5">
        <v>2720</v>
      </c>
      <c r="H1167" s="5">
        <v>1.8</v>
      </c>
      <c r="I1167" s="5">
        <v>13355.2</v>
      </c>
      <c r="J1167" s="3" t="s">
        <v>79</v>
      </c>
      <c r="K1167" s="3" t="s">
        <v>38</v>
      </c>
      <c r="L1167" t="str">
        <f>IFERROR(VLOOKUP(D1167,Products!$A$2:$F$61,3,FALSE()),"")</f>
        <v>Apparel</v>
      </c>
      <c r="M1167" t="str">
        <f>IFERROR(VLOOKUP(E1167,Sales_Reps!$A$2:$C$31,3,FALSE()),"")</f>
        <v>North</v>
      </c>
      <c r="N1167">
        <f>IFERROR(VLOOKUP(D1167,Products!$A$2:$F$61,4,FALSE()),"")</f>
        <v>1962</v>
      </c>
      <c r="O1167" t="str">
        <f>IFERROR(VLOOKUP(C1167,Customers!$A$2:$F$301,5,FALSE()),"")</f>
        <v>Retail</v>
      </c>
      <c r="P1167">
        <f>IFERROR(VLOOKUP(C1167,Customers!$A$2:$F$301,3,FALSE()),"")</f>
        <v>63</v>
      </c>
      <c r="Q1167">
        <f t="shared" si="54"/>
        <v>0.2786764705882353</v>
      </c>
      <c r="R1167">
        <f>IF(AND(COUNTIF($A$2:$A$2027,A1167)&gt;1,COUNTIF($A$2:A1167,A1167)=1),1,0)</f>
        <v>0</v>
      </c>
      <c r="S1167" t="b">
        <f>IFERROR(VLOOKUP(D1167,Products!$A$2:$F$61,6,FALSE()),"")</f>
        <v>1</v>
      </c>
      <c r="T1167" t="str">
        <f>IF(COUNTIF(Customers!$A$2:$A$301,C1167)=0,"Missing","OK")</f>
        <v>OK</v>
      </c>
      <c r="U1167" t="str">
        <f t="shared" si="55"/>
        <v>Delhi</v>
      </c>
      <c r="V1167">
        <f t="shared" si="56"/>
        <v>0</v>
      </c>
    </row>
    <row r="1168" spans="1:22" ht="15" customHeight="1" x14ac:dyDescent="0.35">
      <c r="A1168" s="3" t="s">
        <v>1593</v>
      </c>
      <c r="B1168" s="4">
        <v>45485</v>
      </c>
      <c r="C1168" s="3" t="s">
        <v>317</v>
      </c>
      <c r="D1168" s="3" t="s">
        <v>41</v>
      </c>
      <c r="E1168" s="3" t="s">
        <v>264</v>
      </c>
      <c r="F1168" s="5">
        <v>8</v>
      </c>
      <c r="G1168" s="5">
        <v>3660</v>
      </c>
      <c r="H1168" s="5">
        <v>29.5</v>
      </c>
      <c r="I1168" s="5">
        <v>20642.400000000001</v>
      </c>
      <c r="J1168" s="3" t="s">
        <v>26</v>
      </c>
      <c r="K1168" s="3" t="s">
        <v>33</v>
      </c>
      <c r="L1168" t="str">
        <f>IFERROR(VLOOKUP(D1168,Products!$A$2:$F$61,3,FALSE()),"")</f>
        <v>Grocery</v>
      </c>
      <c r="M1168" t="str">
        <f>IFERROR(VLOOKUP(E1168,Sales_Reps!$A$2:$C$31,3,FALSE()),"")</f>
        <v>South</v>
      </c>
      <c r="N1168">
        <f>IFERROR(VLOOKUP(D1168,Products!$A$2:$F$61,4,FALSE()),"")</f>
        <v>2214</v>
      </c>
      <c r="O1168" t="str">
        <f>IFERROR(VLOOKUP(C1168,Customers!$A$2:$F$301,5,FALSE()),"")</f>
        <v>SMB</v>
      </c>
      <c r="P1168">
        <f>IFERROR(VLOOKUP(C1168,Customers!$A$2:$F$301,3,FALSE()),"")</f>
        <v>53</v>
      </c>
      <c r="Q1168">
        <f t="shared" si="54"/>
        <v>0.39508196721311473</v>
      </c>
      <c r="R1168">
        <f>IF(AND(COUNTIF($A$2:$A$2027,A1168)&gt;1,COUNTIF($A$2:A1168,A1168)=1),1,0)</f>
        <v>0</v>
      </c>
      <c r="S1168" t="b">
        <f>IFERROR(VLOOKUP(D1168,Products!$A$2:$F$61,6,FALSE()),"")</f>
        <v>0</v>
      </c>
      <c r="T1168" t="str">
        <f>IF(COUNTIF(Customers!$A$2:$A$301,C1168)=0,"Missing","OK")</f>
        <v>OK</v>
      </c>
      <c r="U1168" t="str">
        <f t="shared" si="55"/>
        <v>Chennai</v>
      </c>
      <c r="V1168">
        <f t="shared" si="56"/>
        <v>0</v>
      </c>
    </row>
    <row r="1169" spans="1:22" ht="15" customHeight="1" x14ac:dyDescent="0.35">
      <c r="A1169" s="3" t="s">
        <v>1594</v>
      </c>
      <c r="B1169" s="4">
        <v>45567</v>
      </c>
      <c r="C1169" s="3" t="s">
        <v>324</v>
      </c>
      <c r="D1169" s="3" t="s">
        <v>115</v>
      </c>
      <c r="E1169" s="3" t="s">
        <v>31</v>
      </c>
      <c r="F1169" s="5">
        <v>9</v>
      </c>
      <c r="G1169" s="5">
        <v>1650</v>
      </c>
      <c r="H1169" s="5">
        <v>19.8</v>
      </c>
      <c r="I1169" s="5">
        <v>11909.7</v>
      </c>
      <c r="J1169" s="3" t="s">
        <v>83</v>
      </c>
      <c r="K1169" s="3" t="s">
        <v>56</v>
      </c>
      <c r="L1169" t="str">
        <f>IFERROR(VLOOKUP(D1169,Products!$A$2:$F$61,3,FALSE()),"")</f>
        <v>Beauty</v>
      </c>
      <c r="M1169" t="str">
        <f>IFERROR(VLOOKUP(E1169,Sales_Reps!$A$2:$C$31,3,FALSE()),"")</f>
        <v>North</v>
      </c>
      <c r="N1169">
        <f>IFERROR(VLOOKUP(D1169,Products!$A$2:$F$61,4,FALSE()),"")</f>
        <v>1222</v>
      </c>
      <c r="O1169" t="str">
        <f>IFERROR(VLOOKUP(C1169,Customers!$A$2:$F$301,5,FALSE()),"")</f>
        <v>Retail</v>
      </c>
      <c r="P1169">
        <f>IFERROR(VLOOKUP(C1169,Customers!$A$2:$F$301,3,FALSE()),"")</f>
        <v>23</v>
      </c>
      <c r="Q1169">
        <f t="shared" si="54"/>
        <v>0.2593939393939394</v>
      </c>
      <c r="R1169">
        <f>IF(AND(COUNTIF($A$2:$A$2027,A1169)&gt;1,COUNTIF($A$2:A1169,A1169)=1),1,0)</f>
        <v>0</v>
      </c>
      <c r="S1169" t="b">
        <f>IFERROR(VLOOKUP(D1169,Products!$A$2:$F$61,6,FALSE()),"")</f>
        <v>1</v>
      </c>
      <c r="T1169" t="str">
        <f>IF(COUNTIF(Customers!$A$2:$A$301,C1169)=0,"Missing","OK")</f>
        <v>OK</v>
      </c>
      <c r="U1169" t="str">
        <f t="shared" si="55"/>
        <v>Bengaluru</v>
      </c>
      <c r="V1169">
        <f t="shared" si="56"/>
        <v>0</v>
      </c>
    </row>
    <row r="1170" spans="1:22" ht="15" customHeight="1" x14ac:dyDescent="0.35">
      <c r="A1170" s="3" t="s">
        <v>1595</v>
      </c>
      <c r="B1170" s="4">
        <v>45502</v>
      </c>
      <c r="C1170" s="3" t="s">
        <v>272</v>
      </c>
      <c r="D1170" s="3" t="s">
        <v>134</v>
      </c>
      <c r="E1170" s="3" t="s">
        <v>60</v>
      </c>
      <c r="F1170" s="5">
        <v>3</v>
      </c>
      <c r="G1170" s="5">
        <v>2860</v>
      </c>
      <c r="H1170" s="5">
        <v>22.7</v>
      </c>
      <c r="I1170" s="5">
        <v>6632.34</v>
      </c>
      <c r="J1170" s="3" t="s">
        <v>26</v>
      </c>
      <c r="K1170" s="3" t="s">
        <v>72</v>
      </c>
      <c r="L1170" t="str">
        <f>IFERROR(VLOOKUP(D1170,Products!$A$2:$F$61,3,FALSE()),"")</f>
        <v>Sports</v>
      </c>
      <c r="M1170" t="str">
        <f>IFERROR(VLOOKUP(E1170,Sales_Reps!$A$2:$C$31,3,FALSE()),"")</f>
        <v>East</v>
      </c>
      <c r="N1170">
        <f>IFERROR(VLOOKUP(D1170,Products!$A$2:$F$61,4,FALSE()),"")</f>
        <v>2028</v>
      </c>
      <c r="O1170" t="str">
        <f>IFERROR(VLOOKUP(C1170,Customers!$A$2:$F$301,5,FALSE()),"")</f>
        <v>SMB</v>
      </c>
      <c r="P1170">
        <f>IFERROR(VLOOKUP(C1170,Customers!$A$2:$F$301,3,FALSE()),"")</f>
        <v>65</v>
      </c>
      <c r="Q1170">
        <f t="shared" si="54"/>
        <v>0.29090909090909089</v>
      </c>
      <c r="R1170">
        <f>IF(AND(COUNTIF($A$2:$A$2027,A1170)&gt;1,COUNTIF($A$2:A1170,A1170)=1),1,0)</f>
        <v>0</v>
      </c>
      <c r="S1170" t="b">
        <f>IFERROR(VLOOKUP(D1170,Products!$A$2:$F$61,6,FALSE()),"")</f>
        <v>1</v>
      </c>
      <c r="T1170" t="str">
        <f>IF(COUNTIF(Customers!$A$2:$A$301,C1170)=0,"Missing","OK")</f>
        <v>OK</v>
      </c>
      <c r="U1170" t="str">
        <f t="shared" si="55"/>
        <v>Hyderabad</v>
      </c>
      <c r="V1170">
        <f t="shared" si="56"/>
        <v>0</v>
      </c>
    </row>
    <row r="1171" spans="1:22" ht="15" customHeight="1" x14ac:dyDescent="0.35">
      <c r="A1171" s="3" t="s">
        <v>1596</v>
      </c>
      <c r="B1171" s="4">
        <v>45429</v>
      </c>
      <c r="C1171" s="3" t="s">
        <v>986</v>
      </c>
      <c r="D1171" s="3" t="s">
        <v>100</v>
      </c>
      <c r="E1171" s="3" t="s">
        <v>50</v>
      </c>
      <c r="F1171" s="5">
        <v>4</v>
      </c>
      <c r="G1171" s="5">
        <v>3450</v>
      </c>
      <c r="H1171" s="5">
        <v>9.1999999999999993</v>
      </c>
      <c r="I1171" s="5">
        <v>12530.4</v>
      </c>
      <c r="J1171" s="3" t="s">
        <v>26</v>
      </c>
      <c r="K1171" s="3" t="s">
        <v>72</v>
      </c>
      <c r="L1171" t="str">
        <f>IFERROR(VLOOKUP(D1171,Products!$A$2:$F$61,3,FALSE()),"")</f>
        <v>Sports</v>
      </c>
      <c r="M1171" t="str">
        <f>IFERROR(VLOOKUP(E1171,Sales_Reps!$A$2:$C$31,3,FALSE()),"")</f>
        <v>West</v>
      </c>
      <c r="N1171">
        <f>IFERROR(VLOOKUP(D1171,Products!$A$2:$F$61,4,FALSE()),"")</f>
        <v>2467</v>
      </c>
      <c r="O1171" t="str">
        <f>IFERROR(VLOOKUP(C1171,Customers!$A$2:$F$301,5,FALSE()),"")</f>
        <v>Retail</v>
      </c>
      <c r="P1171">
        <f>IFERROR(VLOOKUP(C1171,Customers!$A$2:$F$301,3,FALSE()),"")</f>
        <v>41</v>
      </c>
      <c r="Q1171">
        <f t="shared" si="54"/>
        <v>0.28492753623188405</v>
      </c>
      <c r="R1171">
        <f>IF(AND(COUNTIF($A$2:$A$2027,A1171)&gt;1,COUNTIF($A$2:A1171,A1171)=1),1,0)</f>
        <v>0</v>
      </c>
      <c r="S1171" t="b">
        <f>IFERROR(VLOOKUP(D1171,Products!$A$2:$F$61,6,FALSE()),"")</f>
        <v>1</v>
      </c>
      <c r="T1171" t="str">
        <f>IF(COUNTIF(Customers!$A$2:$A$301,C1171)=0,"Missing","OK")</f>
        <v>OK</v>
      </c>
      <c r="U1171" t="str">
        <f t="shared" si="55"/>
        <v>Hyderabad</v>
      </c>
      <c r="V1171">
        <f t="shared" si="56"/>
        <v>0</v>
      </c>
    </row>
    <row r="1172" spans="1:22" ht="15" customHeight="1" x14ac:dyDescent="0.35">
      <c r="A1172" s="3" t="s">
        <v>1597</v>
      </c>
      <c r="B1172" s="4">
        <v>45405</v>
      </c>
      <c r="C1172" s="3" t="s">
        <v>214</v>
      </c>
      <c r="D1172" s="3" t="s">
        <v>234</v>
      </c>
      <c r="E1172" s="3" t="s">
        <v>87</v>
      </c>
      <c r="F1172" s="5">
        <v>4</v>
      </c>
      <c r="G1172" s="5">
        <v>2030</v>
      </c>
      <c r="H1172" s="5">
        <v>17.100000000000001</v>
      </c>
      <c r="I1172" s="5">
        <v>6731.48</v>
      </c>
      <c r="J1172" s="3" t="s">
        <v>26</v>
      </c>
      <c r="K1172" s="3" t="s">
        <v>27</v>
      </c>
      <c r="L1172" t="str">
        <f>IFERROR(VLOOKUP(D1172,Products!$A$2:$F$61,3,FALSE()),"")</f>
        <v>Home</v>
      </c>
      <c r="M1172" t="str">
        <f>IFERROR(VLOOKUP(E1172,Sales_Reps!$A$2:$C$31,3,FALSE()),"")</f>
        <v>North</v>
      </c>
      <c r="N1172">
        <f>IFERROR(VLOOKUP(D1172,Products!$A$2:$F$61,4,FALSE()),"")</f>
        <v>1143</v>
      </c>
      <c r="O1172" t="str">
        <f>IFERROR(VLOOKUP(C1172,Customers!$A$2:$F$301,5,FALSE()),"")</f>
        <v>Retail</v>
      </c>
      <c r="P1172">
        <f>IFERROR(VLOOKUP(C1172,Customers!$A$2:$F$301,3,FALSE()),"")</f>
        <v>44</v>
      </c>
      <c r="Q1172">
        <f t="shared" si="54"/>
        <v>0.43694581280788175</v>
      </c>
      <c r="R1172">
        <f>IF(AND(COUNTIF($A$2:$A$2027,A1172)&gt;1,COUNTIF($A$2:A1172,A1172)=1),1,0)</f>
        <v>0</v>
      </c>
      <c r="S1172" t="b">
        <f>IFERROR(VLOOKUP(D1172,Products!$A$2:$F$61,6,FALSE()),"")</f>
        <v>1</v>
      </c>
      <c r="T1172" t="str">
        <f>IF(COUNTIF(Customers!$A$2:$A$301,C1172)=0,"Missing","OK")</f>
        <v>OK</v>
      </c>
      <c r="U1172" t="str">
        <f t="shared" si="55"/>
        <v>Pune</v>
      </c>
      <c r="V1172">
        <f t="shared" si="56"/>
        <v>0</v>
      </c>
    </row>
    <row r="1173" spans="1:22" ht="15" customHeight="1" x14ac:dyDescent="0.35">
      <c r="A1173" s="3" t="s">
        <v>1598</v>
      </c>
      <c r="B1173" s="4">
        <v>45401</v>
      </c>
      <c r="C1173" s="3" t="s">
        <v>352</v>
      </c>
      <c r="D1173" s="3" t="s">
        <v>184</v>
      </c>
      <c r="E1173" s="3" t="s">
        <v>285</v>
      </c>
      <c r="F1173" s="5">
        <v>4</v>
      </c>
      <c r="G1173" s="5">
        <v>2270</v>
      </c>
      <c r="H1173" s="5">
        <v>27.3</v>
      </c>
      <c r="I1173" s="5">
        <v>6601.16</v>
      </c>
      <c r="J1173" s="3" t="s">
        <v>26</v>
      </c>
      <c r="K1173" s="3" t="s">
        <v>27</v>
      </c>
      <c r="L1173" t="str">
        <f>IFERROR(VLOOKUP(D1173,Products!$A$2:$F$61,3,FALSE()),"")</f>
        <v>Grocery</v>
      </c>
      <c r="M1173" t="str">
        <f>IFERROR(VLOOKUP(E1173,Sales_Reps!$A$2:$C$31,3,FALSE()),"")</f>
        <v>South</v>
      </c>
      <c r="N1173">
        <f>IFERROR(VLOOKUP(D1173,Products!$A$2:$F$61,4,FALSE()),"")</f>
        <v>1412</v>
      </c>
      <c r="O1173" t="str">
        <f>IFERROR(VLOOKUP(C1173,Customers!$A$2:$F$301,5,FALSE()),"")</f>
        <v>Retail</v>
      </c>
      <c r="P1173">
        <f>IFERROR(VLOOKUP(C1173,Customers!$A$2:$F$301,3,FALSE()),"")</f>
        <v>22</v>
      </c>
      <c r="Q1173">
        <f t="shared" si="54"/>
        <v>0.37797356828193834</v>
      </c>
      <c r="R1173">
        <f>IF(AND(COUNTIF($A$2:$A$2027,A1173)&gt;1,COUNTIF($A$2:A1173,A1173)=1),1,0)</f>
        <v>0</v>
      </c>
      <c r="S1173" t="b">
        <f>IFERROR(VLOOKUP(D1173,Products!$A$2:$F$61,6,FALSE()),"")</f>
        <v>1</v>
      </c>
      <c r="T1173" t="str">
        <f>IF(COUNTIF(Customers!$A$2:$A$301,C1173)=0,"Missing","OK")</f>
        <v>OK</v>
      </c>
      <c r="U1173" t="str">
        <f t="shared" si="55"/>
        <v>Pune</v>
      </c>
      <c r="V1173">
        <f t="shared" si="56"/>
        <v>0</v>
      </c>
    </row>
    <row r="1174" spans="1:22" ht="15" customHeight="1" x14ac:dyDescent="0.35">
      <c r="A1174" s="3" t="s">
        <v>1599</v>
      </c>
      <c r="B1174" s="4">
        <v>45373</v>
      </c>
      <c r="C1174" s="3" t="s">
        <v>404</v>
      </c>
      <c r="D1174" s="3" t="s">
        <v>382</v>
      </c>
      <c r="E1174" s="3" t="s">
        <v>191</v>
      </c>
      <c r="F1174" s="5">
        <v>9</v>
      </c>
      <c r="G1174" s="5">
        <v>5080</v>
      </c>
      <c r="H1174" s="5">
        <v>10.9</v>
      </c>
      <c r="I1174" s="5">
        <v>40736.519999999997</v>
      </c>
      <c r="J1174" s="3" t="s">
        <v>26</v>
      </c>
      <c r="K1174" s="3" t="s">
        <v>51</v>
      </c>
      <c r="L1174" t="str">
        <f>IFERROR(VLOOKUP(D1174,Products!$A$2:$F$61,3,FALSE()),"")</f>
        <v>Home</v>
      </c>
      <c r="M1174" t="str">
        <f>IFERROR(VLOOKUP(E1174,Sales_Reps!$A$2:$C$31,3,FALSE()),"")</f>
        <v>South</v>
      </c>
      <c r="N1174">
        <f>IFERROR(VLOOKUP(D1174,Products!$A$2:$F$61,4,FALSE()),"")</f>
        <v>2459</v>
      </c>
      <c r="O1174" t="str">
        <f>IFERROR(VLOOKUP(C1174,Customers!$A$2:$F$301,5,FALSE()),"")</f>
        <v>Retail</v>
      </c>
      <c r="P1174">
        <f>IFERROR(VLOOKUP(C1174,Customers!$A$2:$F$301,3,FALSE()),"")</f>
        <v>61</v>
      </c>
      <c r="Q1174">
        <f t="shared" si="54"/>
        <v>0.51594488188976373</v>
      </c>
      <c r="R1174">
        <f>IF(AND(COUNTIF($A$2:$A$2027,A1174)&gt;1,COUNTIF($A$2:A1174,A1174)=1),1,0)</f>
        <v>0</v>
      </c>
      <c r="S1174" t="b">
        <f>IFERROR(VLOOKUP(D1174,Products!$A$2:$F$61,6,FALSE()),"")</f>
        <v>1</v>
      </c>
      <c r="T1174" t="str">
        <f>IF(COUNTIF(Customers!$A$2:$A$301,C1174)=0,"Missing","OK")</f>
        <v>OK</v>
      </c>
      <c r="U1174" t="str">
        <f t="shared" si="55"/>
        <v>Mumbai</v>
      </c>
      <c r="V1174">
        <f t="shared" si="56"/>
        <v>0</v>
      </c>
    </row>
    <row r="1175" spans="1:22" ht="15" customHeight="1" x14ac:dyDescent="0.35">
      <c r="A1175" s="3" t="s">
        <v>1600</v>
      </c>
      <c r="B1175" s="4">
        <v>45602</v>
      </c>
      <c r="C1175" s="3" t="s">
        <v>724</v>
      </c>
      <c r="D1175" s="3" t="s">
        <v>203</v>
      </c>
      <c r="E1175" s="3" t="s">
        <v>168</v>
      </c>
      <c r="F1175" s="5">
        <v>8</v>
      </c>
      <c r="G1175" s="5">
        <v>4070</v>
      </c>
      <c r="H1175" s="5">
        <v>17.7</v>
      </c>
      <c r="I1175" s="5">
        <v>26796.880000000001</v>
      </c>
      <c r="J1175" s="3" t="s">
        <v>26</v>
      </c>
      <c r="K1175" s="3" t="s">
        <v>27</v>
      </c>
      <c r="L1175" t="str">
        <f>IFERROR(VLOOKUP(D1175,Products!$A$2:$F$61,3,FALSE()),"")</f>
        <v>Grocery</v>
      </c>
      <c r="M1175" t="str">
        <f>IFERROR(VLOOKUP(E1175,Sales_Reps!$A$2:$C$31,3,FALSE()),"")</f>
        <v>West</v>
      </c>
      <c r="N1175">
        <f>IFERROR(VLOOKUP(D1175,Products!$A$2:$F$61,4,FALSE()),"")</f>
        <v>2027</v>
      </c>
      <c r="O1175" t="str">
        <f>IFERROR(VLOOKUP(C1175,Customers!$A$2:$F$301,5,FALSE()),"")</f>
        <v>Retail</v>
      </c>
      <c r="P1175">
        <f>IFERROR(VLOOKUP(C1175,Customers!$A$2:$F$301,3,FALSE()),"")</f>
        <v>31</v>
      </c>
      <c r="Q1175">
        <f t="shared" si="54"/>
        <v>0.50196560196560192</v>
      </c>
      <c r="R1175">
        <f>IF(AND(COUNTIF($A$2:$A$2027,A1175)&gt;1,COUNTIF($A$2:A1175,A1175)=1),1,0)</f>
        <v>0</v>
      </c>
      <c r="S1175" t="b">
        <f>IFERROR(VLOOKUP(D1175,Products!$A$2:$F$61,6,FALSE()),"")</f>
        <v>1</v>
      </c>
      <c r="T1175" t="str">
        <f>IF(COUNTIF(Customers!$A$2:$A$301,C1175)=0,"Missing","OK")</f>
        <v>OK</v>
      </c>
      <c r="U1175" t="str">
        <f t="shared" si="55"/>
        <v>Pune</v>
      </c>
      <c r="V1175">
        <f t="shared" si="56"/>
        <v>0</v>
      </c>
    </row>
    <row r="1176" spans="1:22" ht="15" customHeight="1" x14ac:dyDescent="0.35">
      <c r="A1176" s="3" t="s">
        <v>1601</v>
      </c>
      <c r="B1176" s="4">
        <v>45372</v>
      </c>
      <c r="C1176" s="3" t="s">
        <v>361</v>
      </c>
      <c r="D1176" s="3" t="s">
        <v>198</v>
      </c>
      <c r="E1176" s="3" t="s">
        <v>31</v>
      </c>
      <c r="F1176" s="5">
        <v>1</v>
      </c>
      <c r="G1176" s="5">
        <v>1540</v>
      </c>
      <c r="H1176" s="5">
        <v>0.9</v>
      </c>
      <c r="I1176" s="5">
        <v>1526.14</v>
      </c>
      <c r="J1176" s="3" t="s">
        <v>26</v>
      </c>
      <c r="K1176" s="3" t="s">
        <v>33</v>
      </c>
      <c r="L1176" t="str">
        <f>IFERROR(VLOOKUP(D1176,Products!$A$2:$F$61,3,FALSE()),"")</f>
        <v>Beauty</v>
      </c>
      <c r="M1176" t="str">
        <f>IFERROR(VLOOKUP(E1176,Sales_Reps!$A$2:$C$31,3,FALSE()),"")</f>
        <v>North</v>
      </c>
      <c r="N1176">
        <f>IFERROR(VLOOKUP(D1176,Products!$A$2:$F$61,4,FALSE()),"")</f>
        <v>647</v>
      </c>
      <c r="O1176" t="str">
        <f>IFERROR(VLOOKUP(C1176,Customers!$A$2:$F$301,5,FALSE()),"")</f>
        <v>SMB</v>
      </c>
      <c r="P1176">
        <f>IFERROR(VLOOKUP(C1176,Customers!$A$2:$F$301,3,FALSE()),"")</f>
        <v>64</v>
      </c>
      <c r="Q1176">
        <f t="shared" si="54"/>
        <v>0.57987012987012987</v>
      </c>
      <c r="R1176">
        <f>IF(AND(COUNTIF($A$2:$A$2027,A1176)&gt;1,COUNTIF($A$2:A1176,A1176)=1),1,0)</f>
        <v>0</v>
      </c>
      <c r="S1176" t="b">
        <f>IFERROR(VLOOKUP(D1176,Products!$A$2:$F$61,6,FALSE()),"")</f>
        <v>0</v>
      </c>
      <c r="T1176" t="str">
        <f>IF(COUNTIF(Customers!$A$2:$A$301,C1176)=0,"Missing","OK")</f>
        <v>OK</v>
      </c>
      <c r="U1176" t="str">
        <f t="shared" si="55"/>
        <v>Chennai</v>
      </c>
      <c r="V1176">
        <f t="shared" si="56"/>
        <v>0</v>
      </c>
    </row>
    <row r="1177" spans="1:22" ht="15" customHeight="1" x14ac:dyDescent="0.35">
      <c r="A1177" s="3" t="s">
        <v>1602</v>
      </c>
      <c r="B1177" s="4">
        <v>45416</v>
      </c>
      <c r="C1177" s="3" t="s">
        <v>1603</v>
      </c>
      <c r="D1177" s="3" t="s">
        <v>130</v>
      </c>
      <c r="E1177" s="3" t="s">
        <v>55</v>
      </c>
      <c r="F1177" s="5">
        <v>10</v>
      </c>
      <c r="G1177" s="5">
        <v>5100</v>
      </c>
      <c r="H1177" s="5">
        <v>3</v>
      </c>
      <c r="I1177" s="5">
        <v>49470</v>
      </c>
      <c r="J1177" s="3" t="s">
        <v>26</v>
      </c>
      <c r="K1177" s="3" t="s">
        <v>56</v>
      </c>
      <c r="L1177" t="str">
        <f>IFERROR(VLOOKUP(D1177,Products!$A$2:$F$61,3,FALSE()),"")</f>
        <v>Beauty</v>
      </c>
      <c r="M1177" t="str">
        <f>IFERROR(VLOOKUP(E1177,Sales_Reps!$A$2:$C$31,3,FALSE()),"")</f>
        <v>West</v>
      </c>
      <c r="N1177">
        <f>IFERROR(VLOOKUP(D1177,Products!$A$2:$F$61,4,FALSE()),"")</f>
        <v>2237</v>
      </c>
      <c r="O1177" t="str">
        <f>IFERROR(VLOOKUP(C1177,Customers!$A$2:$F$301,5,FALSE()),"")</f>
        <v>Retail</v>
      </c>
      <c r="P1177">
        <f>IFERROR(VLOOKUP(C1177,Customers!$A$2:$F$301,3,FALSE()),"")</f>
        <v>48</v>
      </c>
      <c r="Q1177">
        <f t="shared" si="54"/>
        <v>0.56137254901960787</v>
      </c>
      <c r="R1177">
        <f>IF(AND(COUNTIF($A$2:$A$2027,A1177)&gt;1,COUNTIF($A$2:A1177,A1177)=1),1,0)</f>
        <v>0</v>
      </c>
      <c r="S1177" t="b">
        <f>IFERROR(VLOOKUP(D1177,Products!$A$2:$F$61,6,FALSE()),"")</f>
        <v>1</v>
      </c>
      <c r="T1177" t="str">
        <f>IF(COUNTIF(Customers!$A$2:$A$301,C1177)=0,"Missing","OK")</f>
        <v>OK</v>
      </c>
      <c r="U1177" t="str">
        <f t="shared" si="55"/>
        <v>Bengaluru</v>
      </c>
      <c r="V1177">
        <f t="shared" si="56"/>
        <v>0</v>
      </c>
    </row>
    <row r="1178" spans="1:22" ht="15" customHeight="1" x14ac:dyDescent="0.35">
      <c r="A1178" s="3" t="s">
        <v>1604</v>
      </c>
      <c r="B1178" s="4">
        <v>45656</v>
      </c>
      <c r="C1178" s="3" t="s">
        <v>519</v>
      </c>
      <c r="D1178" s="3" t="s">
        <v>24</v>
      </c>
      <c r="E1178" s="3" t="s">
        <v>42</v>
      </c>
      <c r="F1178" s="5">
        <v>6</v>
      </c>
      <c r="G1178" s="5">
        <v>3620</v>
      </c>
      <c r="H1178" s="5">
        <v>20.2</v>
      </c>
      <c r="I1178" s="5">
        <v>17332.560000000001</v>
      </c>
      <c r="J1178" s="3" t="s">
        <v>26</v>
      </c>
      <c r="K1178" s="3" t="s">
        <v>27</v>
      </c>
      <c r="L1178" t="str">
        <f>IFERROR(VLOOKUP(D1178,Products!$A$2:$F$61,3,FALSE()),"")</f>
        <v>Apparel</v>
      </c>
      <c r="M1178" t="str">
        <f>IFERROR(VLOOKUP(E1178,Sales_Reps!$A$2:$C$31,3,FALSE()),"")</f>
        <v>North</v>
      </c>
      <c r="N1178">
        <f>IFERROR(VLOOKUP(D1178,Products!$A$2:$F$61,4,FALSE()),"")</f>
        <v>2509</v>
      </c>
      <c r="O1178" t="str">
        <f>IFERROR(VLOOKUP(C1178,Customers!$A$2:$F$301,5,FALSE()),"")</f>
        <v>Corporate</v>
      </c>
      <c r="P1178">
        <f>IFERROR(VLOOKUP(C1178,Customers!$A$2:$F$301,3,FALSE()),"")</f>
        <v>40</v>
      </c>
      <c r="Q1178">
        <f t="shared" si="54"/>
        <v>0.3069060773480663</v>
      </c>
      <c r="R1178">
        <f>IF(AND(COUNTIF($A$2:$A$2027,A1178)&gt;1,COUNTIF($A$2:A1178,A1178)=1),1,0)</f>
        <v>0</v>
      </c>
      <c r="S1178" t="b">
        <f>IFERROR(VLOOKUP(D1178,Products!$A$2:$F$61,6,FALSE()),"")</f>
        <v>1</v>
      </c>
      <c r="T1178" t="str">
        <f>IF(COUNTIF(Customers!$A$2:$A$301,C1178)=0,"Missing","OK")</f>
        <v>OK</v>
      </c>
      <c r="U1178" t="str">
        <f t="shared" si="55"/>
        <v>Pune</v>
      </c>
      <c r="V1178">
        <f t="shared" si="56"/>
        <v>0</v>
      </c>
    </row>
    <row r="1179" spans="1:22" ht="15" customHeight="1" x14ac:dyDescent="0.35">
      <c r="A1179" s="3" t="s">
        <v>1605</v>
      </c>
      <c r="B1179" s="4">
        <v>45324</v>
      </c>
      <c r="C1179" s="3" t="s">
        <v>65</v>
      </c>
      <c r="D1179" s="3" t="s">
        <v>123</v>
      </c>
      <c r="E1179" s="3" t="s">
        <v>87</v>
      </c>
      <c r="F1179" s="5">
        <v>7</v>
      </c>
      <c r="G1179" s="5">
        <v>4880</v>
      </c>
      <c r="H1179" s="5">
        <v>5</v>
      </c>
      <c r="I1179" s="5">
        <v>32452</v>
      </c>
      <c r="J1179" s="3" t="s">
        <v>26</v>
      </c>
      <c r="K1179" s="3" t="s">
        <v>27</v>
      </c>
      <c r="L1179" t="str">
        <f>IFERROR(VLOOKUP(D1179,Products!$A$2:$F$61,3,FALSE()),"")</f>
        <v>Beauty</v>
      </c>
      <c r="M1179" t="str">
        <f>IFERROR(VLOOKUP(E1179,Sales_Reps!$A$2:$C$31,3,FALSE()),"")</f>
        <v>North</v>
      </c>
      <c r="N1179">
        <f>IFERROR(VLOOKUP(D1179,Products!$A$2:$F$61,4,FALSE()),"")</f>
        <v>2768</v>
      </c>
      <c r="O1179" t="str">
        <f>IFERROR(VLOOKUP(C1179,Customers!$A$2:$F$301,5,FALSE()),"")</f>
        <v>Retail</v>
      </c>
      <c r="P1179">
        <f>IFERROR(VLOOKUP(C1179,Customers!$A$2:$F$301,3,FALSE()),"")</f>
        <v>56</v>
      </c>
      <c r="Q1179">
        <f t="shared" si="54"/>
        <v>0.43278688524590164</v>
      </c>
      <c r="R1179">
        <f>IF(AND(COUNTIF($A$2:$A$2027,A1179)&gt;1,COUNTIF($A$2:A1179,A1179)=1),1,0)</f>
        <v>0</v>
      </c>
      <c r="S1179" t="b">
        <f>IFERROR(VLOOKUP(D1179,Products!$A$2:$F$61,6,FALSE()),"")</f>
        <v>1</v>
      </c>
      <c r="T1179" t="str">
        <f>IF(COUNTIF(Customers!$A$2:$A$301,C1179)=0,"Missing","OK")</f>
        <v>OK</v>
      </c>
      <c r="U1179" t="str">
        <f t="shared" si="55"/>
        <v>Pune</v>
      </c>
      <c r="V1179">
        <f t="shared" si="56"/>
        <v>0</v>
      </c>
    </row>
    <row r="1180" spans="1:22" ht="15" customHeight="1" x14ac:dyDescent="0.35">
      <c r="A1180" s="3" t="s">
        <v>1606</v>
      </c>
      <c r="B1180" s="4">
        <v>45472</v>
      </c>
      <c r="C1180" s="3" t="s">
        <v>133</v>
      </c>
      <c r="D1180" s="3" t="s">
        <v>74</v>
      </c>
      <c r="E1180" s="3" t="s">
        <v>55</v>
      </c>
      <c r="F1180" s="5">
        <v>1</v>
      </c>
      <c r="G1180" s="5">
        <v>2640</v>
      </c>
      <c r="H1180" s="5">
        <v>4.0999999999999996</v>
      </c>
      <c r="I1180" s="5">
        <v>2531.7600000000002</v>
      </c>
      <c r="J1180" s="3" t="s">
        <v>26</v>
      </c>
      <c r="K1180" s="3" t="s">
        <v>27</v>
      </c>
      <c r="L1180" t="str">
        <f>IFERROR(VLOOKUP(D1180,Products!$A$2:$F$61,3,FALSE()),"")</f>
        <v>Electronics</v>
      </c>
      <c r="M1180" t="str">
        <f>IFERROR(VLOOKUP(E1180,Sales_Reps!$A$2:$C$31,3,FALSE()),"")</f>
        <v>West</v>
      </c>
      <c r="N1180">
        <f>IFERROR(VLOOKUP(D1180,Products!$A$2:$F$61,4,FALSE()),"")</f>
        <v>1149</v>
      </c>
      <c r="O1180" t="str">
        <f>IFERROR(VLOOKUP(C1180,Customers!$A$2:$F$301,5,FALSE()),"")</f>
        <v>SMB</v>
      </c>
      <c r="P1180">
        <f>IFERROR(VLOOKUP(C1180,Customers!$A$2:$F$301,3,FALSE()),"")</f>
        <v>44</v>
      </c>
      <c r="Q1180">
        <f t="shared" si="54"/>
        <v>0.56477272727272732</v>
      </c>
      <c r="R1180">
        <f>IF(AND(COUNTIF($A$2:$A$2027,A1180)&gt;1,COUNTIF($A$2:A1180,A1180)=1),1,0)</f>
        <v>0</v>
      </c>
      <c r="S1180" t="b">
        <f>IFERROR(VLOOKUP(D1180,Products!$A$2:$F$61,6,FALSE()),"")</f>
        <v>1</v>
      </c>
      <c r="T1180" t="str">
        <f>IF(COUNTIF(Customers!$A$2:$A$301,C1180)=0,"Missing","OK")</f>
        <v>OK</v>
      </c>
      <c r="U1180" t="str">
        <f t="shared" si="55"/>
        <v>Pune</v>
      </c>
      <c r="V1180">
        <f t="shared" si="56"/>
        <v>0</v>
      </c>
    </row>
    <row r="1181" spans="1:22" ht="15" customHeight="1" x14ac:dyDescent="0.35">
      <c r="A1181" s="3" t="s">
        <v>1607</v>
      </c>
      <c r="B1181" s="4">
        <v>45508</v>
      </c>
      <c r="C1181" s="3" t="s">
        <v>202</v>
      </c>
      <c r="D1181" s="3" t="s">
        <v>203</v>
      </c>
      <c r="E1181" s="3" t="s">
        <v>131</v>
      </c>
      <c r="F1181" s="5">
        <v>9</v>
      </c>
      <c r="G1181" s="5">
        <v>4070</v>
      </c>
      <c r="H1181" s="5">
        <v>4.4000000000000004</v>
      </c>
      <c r="I1181" s="5">
        <v>35018.28</v>
      </c>
      <c r="J1181" s="3" t="s">
        <v>26</v>
      </c>
      <c r="K1181" s="3" t="s">
        <v>72</v>
      </c>
      <c r="L1181" t="str">
        <f>IFERROR(VLOOKUP(D1181,Products!$A$2:$F$61,3,FALSE()),"")</f>
        <v>Grocery</v>
      </c>
      <c r="M1181" t="str">
        <f>IFERROR(VLOOKUP(E1181,Sales_Reps!$A$2:$C$31,3,FALSE()),"")</f>
        <v>East</v>
      </c>
      <c r="N1181">
        <f>IFERROR(VLOOKUP(D1181,Products!$A$2:$F$61,4,FALSE()),"")</f>
        <v>2027</v>
      </c>
      <c r="O1181" t="str">
        <f>IFERROR(VLOOKUP(C1181,Customers!$A$2:$F$301,5,FALSE()),"")</f>
        <v>Retail</v>
      </c>
      <c r="P1181">
        <f>IFERROR(VLOOKUP(C1181,Customers!$A$2:$F$301,3,FALSE()),"")</f>
        <v>53</v>
      </c>
      <c r="Q1181">
        <f t="shared" si="54"/>
        <v>0.50196560196560192</v>
      </c>
      <c r="R1181">
        <f>IF(AND(COUNTIF($A$2:$A$2027,A1181)&gt;1,COUNTIF($A$2:A1181,A1181)=1),1,0)</f>
        <v>0</v>
      </c>
      <c r="S1181" t="b">
        <f>IFERROR(VLOOKUP(D1181,Products!$A$2:$F$61,6,FALSE()),"")</f>
        <v>1</v>
      </c>
      <c r="T1181" t="str">
        <f>IF(COUNTIF(Customers!$A$2:$A$301,C1181)=0,"Missing","OK")</f>
        <v>OK</v>
      </c>
      <c r="U1181" t="str">
        <f t="shared" si="55"/>
        <v>Hyderabad</v>
      </c>
      <c r="V1181">
        <f t="shared" si="56"/>
        <v>0</v>
      </c>
    </row>
    <row r="1182" spans="1:22" ht="15" customHeight="1" x14ac:dyDescent="0.35">
      <c r="A1182" s="3" t="s">
        <v>1608</v>
      </c>
      <c r="B1182" s="4">
        <v>45617</v>
      </c>
      <c r="C1182" s="3" t="s">
        <v>267</v>
      </c>
      <c r="D1182" s="3" t="s">
        <v>126</v>
      </c>
      <c r="E1182" s="3" t="s">
        <v>50</v>
      </c>
      <c r="F1182" s="5">
        <v>9</v>
      </c>
      <c r="G1182" s="5">
        <v>3570</v>
      </c>
      <c r="H1182" s="5">
        <v>24.8</v>
      </c>
      <c r="I1182" s="5">
        <v>24161.759999999998</v>
      </c>
      <c r="J1182" s="3" t="s">
        <v>26</v>
      </c>
      <c r="K1182" s="3" t="s">
        <v>33</v>
      </c>
      <c r="L1182" t="str">
        <f>IFERROR(VLOOKUP(D1182,Products!$A$2:$F$61,3,FALSE()),"")</f>
        <v>Electronics</v>
      </c>
      <c r="M1182" t="str">
        <f>IFERROR(VLOOKUP(E1182,Sales_Reps!$A$2:$C$31,3,FALSE()),"")</f>
        <v>West</v>
      </c>
      <c r="N1182">
        <f>IFERROR(VLOOKUP(D1182,Products!$A$2:$F$61,4,FALSE()),"")</f>
        <v>1665</v>
      </c>
      <c r="O1182" t="str">
        <f>IFERROR(VLOOKUP(C1182,Customers!$A$2:$F$301,5,FALSE()),"")</f>
        <v>Retail</v>
      </c>
      <c r="P1182">
        <f>IFERROR(VLOOKUP(C1182,Customers!$A$2:$F$301,3,FALSE()),"")</f>
        <v>28</v>
      </c>
      <c r="Q1182">
        <f t="shared" si="54"/>
        <v>0.53361344537815125</v>
      </c>
      <c r="R1182">
        <f>IF(AND(COUNTIF($A$2:$A$2027,A1182)&gt;1,COUNTIF($A$2:A1182,A1182)=1),1,0)</f>
        <v>0</v>
      </c>
      <c r="S1182" t="b">
        <f>IFERROR(VLOOKUP(D1182,Products!$A$2:$F$61,6,FALSE()),"")</f>
        <v>1</v>
      </c>
      <c r="T1182" t="str">
        <f>IF(COUNTIF(Customers!$A$2:$A$301,C1182)=0,"Missing","OK")</f>
        <v>OK</v>
      </c>
      <c r="U1182" t="str">
        <f t="shared" si="55"/>
        <v>Chennai</v>
      </c>
      <c r="V1182">
        <f t="shared" si="56"/>
        <v>0</v>
      </c>
    </row>
    <row r="1183" spans="1:22" ht="15" customHeight="1" x14ac:dyDescent="0.35">
      <c r="A1183" s="3" t="s">
        <v>1609</v>
      </c>
      <c r="B1183" s="4">
        <v>45470</v>
      </c>
      <c r="C1183" s="3" t="s">
        <v>211</v>
      </c>
      <c r="D1183" s="3" t="s">
        <v>118</v>
      </c>
      <c r="E1183" s="3" t="s">
        <v>31</v>
      </c>
      <c r="F1183" s="5">
        <v>10</v>
      </c>
      <c r="G1183" s="5">
        <v>3350</v>
      </c>
      <c r="H1183" s="5">
        <v>25.1</v>
      </c>
      <c r="I1183" s="5">
        <v>25091.5</v>
      </c>
      <c r="J1183" s="3" t="s">
        <v>79</v>
      </c>
      <c r="K1183" s="3" t="s">
        <v>33</v>
      </c>
      <c r="L1183" t="str">
        <f>IFERROR(VLOOKUP(D1183,Products!$A$2:$F$61,3,FALSE()),"")</f>
        <v>Beauty</v>
      </c>
      <c r="M1183" t="str">
        <f>IFERROR(VLOOKUP(E1183,Sales_Reps!$A$2:$C$31,3,FALSE()),"")</f>
        <v>North</v>
      </c>
      <c r="N1183">
        <f>IFERROR(VLOOKUP(D1183,Products!$A$2:$F$61,4,FALSE()),"")</f>
        <v>1728</v>
      </c>
      <c r="O1183" t="str">
        <f>IFERROR(VLOOKUP(C1183,Customers!$A$2:$F$301,5,FALSE()),"")</f>
        <v>SMB</v>
      </c>
      <c r="P1183">
        <f>IFERROR(VLOOKUP(C1183,Customers!$A$2:$F$301,3,FALSE()),"")</f>
        <v>55</v>
      </c>
      <c r="Q1183">
        <f t="shared" si="54"/>
        <v>0.48417910447761192</v>
      </c>
      <c r="R1183">
        <f>IF(AND(COUNTIF($A$2:$A$2027,A1183)&gt;1,COUNTIF($A$2:A1183,A1183)=1),1,0)</f>
        <v>0</v>
      </c>
      <c r="S1183" t="b">
        <f>IFERROR(VLOOKUP(D1183,Products!$A$2:$F$61,6,FALSE()),"")</f>
        <v>1</v>
      </c>
      <c r="T1183" t="str">
        <f>IF(COUNTIF(Customers!$A$2:$A$301,C1183)=0,"Missing","OK")</f>
        <v>OK</v>
      </c>
      <c r="U1183" t="str">
        <f t="shared" si="55"/>
        <v>Chennai</v>
      </c>
      <c r="V1183">
        <f t="shared" si="56"/>
        <v>0</v>
      </c>
    </row>
    <row r="1184" spans="1:22" ht="15" customHeight="1" x14ac:dyDescent="0.35">
      <c r="A1184" s="3" t="s">
        <v>1610</v>
      </c>
      <c r="B1184" s="4">
        <v>45307</v>
      </c>
      <c r="C1184" s="3" t="s">
        <v>656</v>
      </c>
      <c r="D1184" s="3" t="s">
        <v>400</v>
      </c>
      <c r="E1184" s="3" t="s">
        <v>50</v>
      </c>
      <c r="F1184" s="5">
        <v>3</v>
      </c>
      <c r="G1184" s="5">
        <v>3780</v>
      </c>
      <c r="H1184" s="5">
        <v>3.8</v>
      </c>
      <c r="I1184" s="5">
        <v>10909.08</v>
      </c>
      <c r="J1184" s="3" t="s">
        <v>26</v>
      </c>
      <c r="K1184" s="3" t="s">
        <v>33</v>
      </c>
      <c r="L1184" t="str">
        <f>IFERROR(VLOOKUP(D1184,Products!$A$2:$F$61,3,FALSE()),"")</f>
        <v>Sports</v>
      </c>
      <c r="M1184" t="str">
        <f>IFERROR(VLOOKUP(E1184,Sales_Reps!$A$2:$C$31,3,FALSE()),"")</f>
        <v>West</v>
      </c>
      <c r="N1184">
        <f>IFERROR(VLOOKUP(D1184,Products!$A$2:$F$61,4,FALSE()),"")</f>
        <v>1860</v>
      </c>
      <c r="O1184" t="str">
        <f>IFERROR(VLOOKUP(C1184,Customers!$A$2:$F$301,5,FALSE()),"")</f>
        <v>Retail</v>
      </c>
      <c r="P1184">
        <f>IFERROR(VLOOKUP(C1184,Customers!$A$2:$F$301,3,FALSE()),"")</f>
        <v>24</v>
      </c>
      <c r="Q1184">
        <f t="shared" si="54"/>
        <v>0.50793650793650791</v>
      </c>
      <c r="R1184">
        <f>IF(AND(COUNTIF($A$2:$A$2027,A1184)&gt;1,COUNTIF($A$2:A1184,A1184)=1),1,0)</f>
        <v>0</v>
      </c>
      <c r="S1184" t="b">
        <f>IFERROR(VLOOKUP(D1184,Products!$A$2:$F$61,6,FALSE()),"")</f>
        <v>1</v>
      </c>
      <c r="T1184" t="str">
        <f>IF(COUNTIF(Customers!$A$2:$A$301,C1184)=0,"Missing","OK")</f>
        <v>OK</v>
      </c>
      <c r="U1184" t="str">
        <f t="shared" si="55"/>
        <v>Chennai</v>
      </c>
      <c r="V1184">
        <f t="shared" si="56"/>
        <v>0</v>
      </c>
    </row>
    <row r="1185" spans="1:22" ht="15" customHeight="1" x14ac:dyDescent="0.35">
      <c r="A1185" s="3" t="s">
        <v>1611</v>
      </c>
      <c r="B1185" s="4">
        <v>45651</v>
      </c>
      <c r="C1185" s="3" t="s">
        <v>642</v>
      </c>
      <c r="D1185" s="3" t="s">
        <v>126</v>
      </c>
      <c r="E1185" s="3" t="s">
        <v>46</v>
      </c>
      <c r="F1185" s="5">
        <v>4</v>
      </c>
      <c r="G1185" s="5">
        <v>3570</v>
      </c>
      <c r="H1185" s="5">
        <v>0.9</v>
      </c>
      <c r="I1185" s="5">
        <v>14151.48</v>
      </c>
      <c r="J1185" s="3" t="s">
        <v>32</v>
      </c>
      <c r="K1185" s="3" t="s">
        <v>27</v>
      </c>
      <c r="L1185" t="str">
        <f>IFERROR(VLOOKUP(D1185,Products!$A$2:$F$61,3,FALSE()),"")</f>
        <v>Electronics</v>
      </c>
      <c r="M1185" t="str">
        <f>IFERROR(VLOOKUP(E1185,Sales_Reps!$A$2:$C$31,3,FALSE()),"")</f>
        <v>North</v>
      </c>
      <c r="N1185">
        <f>IFERROR(VLOOKUP(D1185,Products!$A$2:$F$61,4,FALSE()),"")</f>
        <v>1665</v>
      </c>
      <c r="O1185" t="str">
        <f>IFERROR(VLOOKUP(C1185,Customers!$A$2:$F$301,5,FALSE()),"")</f>
        <v>Corporate</v>
      </c>
      <c r="P1185">
        <f>IFERROR(VLOOKUP(C1185,Customers!$A$2:$F$301,3,FALSE()),"")</f>
        <v>52</v>
      </c>
      <c r="Q1185">
        <f t="shared" si="54"/>
        <v>0.53361344537815125</v>
      </c>
      <c r="R1185">
        <f>IF(AND(COUNTIF($A$2:$A$2027,A1185)&gt;1,COUNTIF($A$2:A1185,A1185)=1),1,0)</f>
        <v>0</v>
      </c>
      <c r="S1185" t="b">
        <f>IFERROR(VLOOKUP(D1185,Products!$A$2:$F$61,6,FALSE()),"")</f>
        <v>1</v>
      </c>
      <c r="T1185" t="str">
        <f>IF(COUNTIF(Customers!$A$2:$A$301,C1185)=0,"Missing","OK")</f>
        <v>OK</v>
      </c>
      <c r="U1185" t="str">
        <f t="shared" si="55"/>
        <v>Pune</v>
      </c>
      <c r="V1185">
        <f t="shared" si="56"/>
        <v>0</v>
      </c>
    </row>
    <row r="1186" spans="1:22" ht="15" customHeight="1" x14ac:dyDescent="0.35">
      <c r="A1186" s="3" t="s">
        <v>1102</v>
      </c>
      <c r="B1186" s="4">
        <v>45436</v>
      </c>
      <c r="C1186" s="3" t="s">
        <v>359</v>
      </c>
      <c r="D1186" s="3" t="s">
        <v>134</v>
      </c>
      <c r="E1186" s="3" t="s">
        <v>55</v>
      </c>
      <c r="F1186" s="5">
        <v>5</v>
      </c>
      <c r="G1186" s="5">
        <v>2860</v>
      </c>
      <c r="H1186" s="5">
        <v>20.100000000000001</v>
      </c>
      <c r="I1186" s="5">
        <v>11425.7</v>
      </c>
      <c r="J1186" s="3" t="s">
        <v>26</v>
      </c>
      <c r="K1186" s="3" t="s">
        <v>38</v>
      </c>
      <c r="L1186" t="str">
        <f>IFERROR(VLOOKUP(D1186,Products!$A$2:$F$61,3,FALSE()),"")</f>
        <v>Sports</v>
      </c>
      <c r="M1186" t="str">
        <f>IFERROR(VLOOKUP(E1186,Sales_Reps!$A$2:$C$31,3,FALSE()),"")</f>
        <v>West</v>
      </c>
      <c r="N1186">
        <f>IFERROR(VLOOKUP(D1186,Products!$A$2:$F$61,4,FALSE()),"")</f>
        <v>2028</v>
      </c>
      <c r="O1186" t="str">
        <f>IFERROR(VLOOKUP(C1186,Customers!$A$2:$F$301,5,FALSE()),"")</f>
        <v>Retail</v>
      </c>
      <c r="P1186">
        <f>IFERROR(VLOOKUP(C1186,Customers!$A$2:$F$301,3,FALSE()),"")</f>
        <v>44</v>
      </c>
      <c r="Q1186">
        <f t="shared" si="54"/>
        <v>0.29090909090909089</v>
      </c>
      <c r="R1186">
        <f>IF(AND(COUNTIF($A$2:$A$2027,A1186)&gt;1,COUNTIF($A$2:A1186,A1186)=1),1,0)</f>
        <v>0</v>
      </c>
      <c r="S1186" t="b">
        <f>IFERROR(VLOOKUP(D1186,Products!$A$2:$F$61,6,FALSE()),"")</f>
        <v>1</v>
      </c>
      <c r="T1186" t="str">
        <f>IF(COUNTIF(Customers!$A$2:$A$301,C1186)=0,"Missing","OK")</f>
        <v>OK</v>
      </c>
      <c r="U1186" t="str">
        <f t="shared" si="55"/>
        <v>Delhi</v>
      </c>
      <c r="V1186">
        <f t="shared" si="56"/>
        <v>0</v>
      </c>
    </row>
    <row r="1187" spans="1:22" ht="15" customHeight="1" x14ac:dyDescent="0.35">
      <c r="A1187" s="3" t="s">
        <v>1612</v>
      </c>
      <c r="B1187" s="4">
        <v>45518</v>
      </c>
      <c r="C1187" s="3" t="s">
        <v>623</v>
      </c>
      <c r="D1187" s="3" t="s">
        <v>231</v>
      </c>
      <c r="E1187" s="3" t="s">
        <v>87</v>
      </c>
      <c r="F1187" s="5">
        <v>1</v>
      </c>
      <c r="G1187" s="5">
        <v>620</v>
      </c>
      <c r="H1187" s="5">
        <v>1.1000000000000001</v>
      </c>
      <c r="I1187" s="5">
        <v>613.17999999999995</v>
      </c>
      <c r="J1187" s="3" t="s">
        <v>79</v>
      </c>
      <c r="K1187" s="3" t="s">
        <v>38</v>
      </c>
      <c r="L1187" t="str">
        <f>IFERROR(VLOOKUP(D1187,Products!$A$2:$F$61,3,FALSE()),"")</f>
        <v>Apparel</v>
      </c>
      <c r="M1187" t="str">
        <f>IFERROR(VLOOKUP(E1187,Sales_Reps!$A$2:$C$31,3,FALSE()),"")</f>
        <v>North</v>
      </c>
      <c r="N1187">
        <f>IFERROR(VLOOKUP(D1187,Products!$A$2:$F$61,4,FALSE()),"")</f>
        <v>396</v>
      </c>
      <c r="O1187" t="str">
        <f>IFERROR(VLOOKUP(C1187,Customers!$A$2:$F$301,5,FALSE()),"")</f>
        <v>Retail</v>
      </c>
      <c r="P1187">
        <f>IFERROR(VLOOKUP(C1187,Customers!$A$2:$F$301,3,FALSE()),"")</f>
        <v>41</v>
      </c>
      <c r="Q1187">
        <f t="shared" si="54"/>
        <v>0.36129032258064514</v>
      </c>
      <c r="R1187">
        <f>IF(AND(COUNTIF($A$2:$A$2027,A1187)&gt;1,COUNTIF($A$2:A1187,A1187)=1),1,0)</f>
        <v>0</v>
      </c>
      <c r="S1187" t="b">
        <f>IFERROR(VLOOKUP(D1187,Products!$A$2:$F$61,6,FALSE()),"")</f>
        <v>1</v>
      </c>
      <c r="T1187" t="str">
        <f>IF(COUNTIF(Customers!$A$2:$A$301,C1187)=0,"Missing","OK")</f>
        <v>OK</v>
      </c>
      <c r="U1187" t="str">
        <f t="shared" si="55"/>
        <v>Delhi</v>
      </c>
      <c r="V1187">
        <f t="shared" si="56"/>
        <v>0</v>
      </c>
    </row>
    <row r="1188" spans="1:22" ht="15" customHeight="1" x14ac:dyDescent="0.35">
      <c r="A1188" s="3" t="s">
        <v>1613</v>
      </c>
      <c r="B1188" s="4">
        <v>45432</v>
      </c>
      <c r="C1188" s="3" t="s">
        <v>133</v>
      </c>
      <c r="D1188" s="3" t="s">
        <v>126</v>
      </c>
      <c r="E1188" s="3" t="s">
        <v>264</v>
      </c>
      <c r="F1188" s="5">
        <v>1</v>
      </c>
      <c r="G1188" s="5">
        <v>3570</v>
      </c>
      <c r="H1188" s="5">
        <v>11.1</v>
      </c>
      <c r="I1188" s="5">
        <v>3173.73</v>
      </c>
      <c r="J1188" s="3" t="s">
        <v>79</v>
      </c>
      <c r="K1188" s="3" t="s">
        <v>27</v>
      </c>
      <c r="L1188" t="str">
        <f>IFERROR(VLOOKUP(D1188,Products!$A$2:$F$61,3,FALSE()),"")</f>
        <v>Electronics</v>
      </c>
      <c r="M1188" t="str">
        <f>IFERROR(VLOOKUP(E1188,Sales_Reps!$A$2:$C$31,3,FALSE()),"")</f>
        <v>South</v>
      </c>
      <c r="N1188">
        <f>IFERROR(VLOOKUP(D1188,Products!$A$2:$F$61,4,FALSE()),"")</f>
        <v>1665</v>
      </c>
      <c r="O1188" t="str">
        <f>IFERROR(VLOOKUP(C1188,Customers!$A$2:$F$301,5,FALSE()),"")</f>
        <v>SMB</v>
      </c>
      <c r="P1188">
        <f>IFERROR(VLOOKUP(C1188,Customers!$A$2:$F$301,3,FALSE()),"")</f>
        <v>44</v>
      </c>
      <c r="Q1188">
        <f t="shared" si="54"/>
        <v>0.53361344537815125</v>
      </c>
      <c r="R1188">
        <f>IF(AND(COUNTIF($A$2:$A$2027,A1188)&gt;1,COUNTIF($A$2:A1188,A1188)=1),1,0)</f>
        <v>0</v>
      </c>
      <c r="S1188" t="b">
        <f>IFERROR(VLOOKUP(D1188,Products!$A$2:$F$61,6,FALSE()),"")</f>
        <v>1</v>
      </c>
      <c r="T1188" t="str">
        <f>IF(COUNTIF(Customers!$A$2:$A$301,C1188)=0,"Missing","OK")</f>
        <v>OK</v>
      </c>
      <c r="U1188" t="str">
        <f t="shared" si="55"/>
        <v>Pune</v>
      </c>
      <c r="V1188">
        <f t="shared" si="56"/>
        <v>0</v>
      </c>
    </row>
    <row r="1189" spans="1:22" ht="15" customHeight="1" x14ac:dyDescent="0.35">
      <c r="A1189" s="3" t="s">
        <v>1614</v>
      </c>
      <c r="B1189" s="4">
        <v>45551</v>
      </c>
      <c r="C1189" s="3" t="s">
        <v>601</v>
      </c>
      <c r="D1189" s="3" t="s">
        <v>303</v>
      </c>
      <c r="E1189" s="3" t="s">
        <v>264</v>
      </c>
      <c r="F1189" s="5">
        <v>1</v>
      </c>
      <c r="G1189" s="5">
        <v>5330</v>
      </c>
      <c r="H1189" s="5">
        <v>3.5</v>
      </c>
      <c r="I1189" s="5">
        <v>5143.45</v>
      </c>
      <c r="J1189" s="3" t="s">
        <v>26</v>
      </c>
      <c r="K1189" s="3" t="s">
        <v>33</v>
      </c>
      <c r="L1189" t="str">
        <f>IFERROR(VLOOKUP(D1189,Products!$A$2:$F$61,3,FALSE()),"")</f>
        <v>Electronics</v>
      </c>
      <c r="M1189" t="str">
        <f>IFERROR(VLOOKUP(E1189,Sales_Reps!$A$2:$C$31,3,FALSE()),"")</f>
        <v>South</v>
      </c>
      <c r="N1189">
        <f>IFERROR(VLOOKUP(D1189,Products!$A$2:$F$61,4,FALSE()),"")</f>
        <v>2405</v>
      </c>
      <c r="O1189" t="str">
        <f>IFERROR(VLOOKUP(C1189,Customers!$A$2:$F$301,5,FALSE()),"")</f>
        <v>Corporate</v>
      </c>
      <c r="P1189">
        <f>IFERROR(VLOOKUP(C1189,Customers!$A$2:$F$301,3,FALSE()),"")</f>
        <v>41</v>
      </c>
      <c r="Q1189">
        <f t="shared" si="54"/>
        <v>0.54878048780487809</v>
      </c>
      <c r="R1189">
        <f>IF(AND(COUNTIF($A$2:$A$2027,A1189)&gt;1,COUNTIF($A$2:A1189,A1189)=1),1,0)</f>
        <v>0</v>
      </c>
      <c r="S1189" t="b">
        <f>IFERROR(VLOOKUP(D1189,Products!$A$2:$F$61,6,FALSE()),"")</f>
        <v>1</v>
      </c>
      <c r="T1189" t="str">
        <f>IF(COUNTIF(Customers!$A$2:$A$301,C1189)=0,"Missing","OK")</f>
        <v>OK</v>
      </c>
      <c r="U1189" t="str">
        <f t="shared" si="55"/>
        <v>Chennai</v>
      </c>
      <c r="V1189">
        <f t="shared" si="56"/>
        <v>0</v>
      </c>
    </row>
    <row r="1190" spans="1:22" ht="15" customHeight="1" x14ac:dyDescent="0.35">
      <c r="A1190" s="3" t="s">
        <v>1615</v>
      </c>
      <c r="B1190" s="4">
        <v>45348</v>
      </c>
      <c r="C1190" s="3" t="s">
        <v>289</v>
      </c>
      <c r="D1190" s="3" t="s">
        <v>299</v>
      </c>
      <c r="E1190" s="3" t="s">
        <v>242</v>
      </c>
      <c r="F1190" s="5">
        <v>7</v>
      </c>
      <c r="G1190" s="5">
        <v>5410</v>
      </c>
      <c r="H1190" s="5">
        <v>26.2</v>
      </c>
      <c r="I1190" s="5">
        <v>27948.06</v>
      </c>
      <c r="J1190" s="3" t="s">
        <v>26</v>
      </c>
      <c r="K1190" s="3" t="s">
        <v>51</v>
      </c>
      <c r="L1190" t="str">
        <f>IFERROR(VLOOKUP(D1190,Products!$A$2:$F$61,3,FALSE()),"")</f>
        <v>Sports</v>
      </c>
      <c r="M1190" t="str">
        <f>IFERROR(VLOOKUP(E1190,Sales_Reps!$A$2:$C$31,3,FALSE()),"")</f>
        <v>East</v>
      </c>
      <c r="N1190">
        <f>IFERROR(VLOOKUP(D1190,Products!$A$2:$F$61,4,FALSE()),"")</f>
        <v>2265</v>
      </c>
      <c r="O1190" t="str">
        <f>IFERROR(VLOOKUP(C1190,Customers!$A$2:$F$301,5,FALSE()),"")</f>
        <v>SMB</v>
      </c>
      <c r="P1190">
        <f>IFERROR(VLOOKUP(C1190,Customers!$A$2:$F$301,3,FALSE()),"")</f>
        <v>22</v>
      </c>
      <c r="Q1190">
        <f t="shared" si="54"/>
        <v>0.58133086876155271</v>
      </c>
      <c r="R1190">
        <f>IF(AND(COUNTIF($A$2:$A$2027,A1190)&gt;1,COUNTIF($A$2:A1190,A1190)=1),1,0)</f>
        <v>0</v>
      </c>
      <c r="S1190" t="b">
        <f>IFERROR(VLOOKUP(D1190,Products!$A$2:$F$61,6,FALSE()),"")</f>
        <v>1</v>
      </c>
      <c r="T1190" t="str">
        <f>IF(COUNTIF(Customers!$A$2:$A$301,C1190)=0,"Missing","OK")</f>
        <v>OK</v>
      </c>
      <c r="U1190" t="str">
        <f t="shared" si="55"/>
        <v>Mumbai</v>
      </c>
      <c r="V1190">
        <f t="shared" si="56"/>
        <v>0</v>
      </c>
    </row>
    <row r="1191" spans="1:22" ht="15" customHeight="1" x14ac:dyDescent="0.35">
      <c r="A1191" s="3" t="s">
        <v>1616</v>
      </c>
      <c r="B1191" s="4">
        <v>45374</v>
      </c>
      <c r="C1191" s="3" t="s">
        <v>1170</v>
      </c>
      <c r="D1191" s="3" t="s">
        <v>382</v>
      </c>
      <c r="E1191" s="3" t="s">
        <v>285</v>
      </c>
      <c r="F1191" s="5">
        <v>10</v>
      </c>
      <c r="G1191" s="5">
        <v>5080</v>
      </c>
      <c r="H1191" s="5">
        <v>3.7</v>
      </c>
      <c r="I1191" s="5">
        <v>48920.4</v>
      </c>
      <c r="J1191" s="3" t="s">
        <v>32</v>
      </c>
      <c r="K1191" s="3" t="s">
        <v>27</v>
      </c>
      <c r="L1191" t="str">
        <f>IFERROR(VLOOKUP(D1191,Products!$A$2:$F$61,3,FALSE()),"")</f>
        <v>Home</v>
      </c>
      <c r="M1191" t="str">
        <f>IFERROR(VLOOKUP(E1191,Sales_Reps!$A$2:$C$31,3,FALSE()),"")</f>
        <v>South</v>
      </c>
      <c r="N1191">
        <f>IFERROR(VLOOKUP(D1191,Products!$A$2:$F$61,4,FALSE()),"")</f>
        <v>2459</v>
      </c>
      <c r="O1191" t="str">
        <f>IFERROR(VLOOKUP(C1191,Customers!$A$2:$F$301,5,FALSE()),"")</f>
        <v>Retail</v>
      </c>
      <c r="P1191">
        <f>IFERROR(VLOOKUP(C1191,Customers!$A$2:$F$301,3,FALSE()),"")</f>
        <v>42</v>
      </c>
      <c r="Q1191">
        <f t="shared" si="54"/>
        <v>0.51594488188976373</v>
      </c>
      <c r="R1191">
        <f>IF(AND(COUNTIF($A$2:$A$2027,A1191)&gt;1,COUNTIF($A$2:A1191,A1191)=1),1,0)</f>
        <v>0</v>
      </c>
      <c r="S1191" t="b">
        <f>IFERROR(VLOOKUP(D1191,Products!$A$2:$F$61,6,FALSE()),"")</f>
        <v>1</v>
      </c>
      <c r="T1191" t="str">
        <f>IF(COUNTIF(Customers!$A$2:$A$301,C1191)=0,"Missing","OK")</f>
        <v>OK</v>
      </c>
      <c r="U1191" t="str">
        <f t="shared" si="55"/>
        <v>Pune</v>
      </c>
      <c r="V1191">
        <f t="shared" si="56"/>
        <v>0</v>
      </c>
    </row>
    <row r="1192" spans="1:22" ht="15" customHeight="1" x14ac:dyDescent="0.35">
      <c r="A1192" s="3" t="s">
        <v>1617</v>
      </c>
      <c r="B1192" s="4">
        <v>45370</v>
      </c>
      <c r="C1192" s="3" t="s">
        <v>653</v>
      </c>
      <c r="D1192" s="3" t="s">
        <v>126</v>
      </c>
      <c r="E1192" s="3" t="s">
        <v>31</v>
      </c>
      <c r="F1192" s="5">
        <v>9</v>
      </c>
      <c r="G1192" s="5">
        <v>3570</v>
      </c>
      <c r="H1192" s="5">
        <v>5.6</v>
      </c>
      <c r="I1192" s="5">
        <v>30330.720000000001</v>
      </c>
      <c r="J1192" s="3" t="s">
        <v>26</v>
      </c>
      <c r="K1192" s="3" t="s">
        <v>38</v>
      </c>
      <c r="L1192" t="str">
        <f>IFERROR(VLOOKUP(D1192,Products!$A$2:$F$61,3,FALSE()),"")</f>
        <v>Electronics</v>
      </c>
      <c r="M1192" t="str">
        <f>IFERROR(VLOOKUP(E1192,Sales_Reps!$A$2:$C$31,3,FALSE()),"")</f>
        <v>North</v>
      </c>
      <c r="N1192">
        <f>IFERROR(VLOOKUP(D1192,Products!$A$2:$F$61,4,FALSE()),"")</f>
        <v>1665</v>
      </c>
      <c r="O1192" t="str">
        <f>IFERROR(VLOOKUP(C1192,Customers!$A$2:$F$301,5,FALSE()),"")</f>
        <v>Retail</v>
      </c>
      <c r="P1192">
        <f>IFERROR(VLOOKUP(C1192,Customers!$A$2:$F$301,3,FALSE()),"")</f>
        <v>24</v>
      </c>
      <c r="Q1192">
        <f t="shared" si="54"/>
        <v>0.53361344537815125</v>
      </c>
      <c r="R1192">
        <f>IF(AND(COUNTIF($A$2:$A$2027,A1192)&gt;1,COUNTIF($A$2:A1192,A1192)=1),1,0)</f>
        <v>0</v>
      </c>
      <c r="S1192" t="b">
        <f>IFERROR(VLOOKUP(D1192,Products!$A$2:$F$61,6,FALSE()),"")</f>
        <v>1</v>
      </c>
      <c r="T1192" t="str">
        <f>IF(COUNTIF(Customers!$A$2:$A$301,C1192)=0,"Missing","OK")</f>
        <v>OK</v>
      </c>
      <c r="U1192" t="str">
        <f t="shared" si="55"/>
        <v>Delhi</v>
      </c>
      <c r="V1192">
        <f t="shared" si="56"/>
        <v>0</v>
      </c>
    </row>
    <row r="1193" spans="1:22" ht="15" customHeight="1" x14ac:dyDescent="0.35">
      <c r="A1193" s="3" t="s">
        <v>1618</v>
      </c>
      <c r="B1193" s="4">
        <v>45656</v>
      </c>
      <c r="C1193" s="3" t="s">
        <v>543</v>
      </c>
      <c r="D1193" s="3" t="s">
        <v>66</v>
      </c>
      <c r="E1193" s="3" t="s">
        <v>224</v>
      </c>
      <c r="F1193" s="5">
        <v>9</v>
      </c>
      <c r="G1193" s="5">
        <v>970</v>
      </c>
      <c r="H1193" s="5">
        <v>19.5</v>
      </c>
      <c r="I1193" s="5">
        <v>7027.65</v>
      </c>
      <c r="J1193" s="3" t="s">
        <v>26</v>
      </c>
      <c r="K1193" s="3" t="s">
        <v>56</v>
      </c>
      <c r="L1193" t="str">
        <f>IFERROR(VLOOKUP(D1193,Products!$A$2:$F$61,3,FALSE()),"")</f>
        <v>Grocery</v>
      </c>
      <c r="M1193" t="str">
        <f>IFERROR(VLOOKUP(E1193,Sales_Reps!$A$2:$C$31,3,FALSE()),"")</f>
        <v>East</v>
      </c>
      <c r="N1193">
        <f>IFERROR(VLOOKUP(D1193,Products!$A$2:$F$61,4,FALSE()),"")</f>
        <v>434</v>
      </c>
      <c r="O1193" t="str">
        <f>IFERROR(VLOOKUP(C1193,Customers!$A$2:$F$301,5,FALSE()),"")</f>
        <v>Retail</v>
      </c>
      <c r="P1193">
        <f>IFERROR(VLOOKUP(C1193,Customers!$A$2:$F$301,3,FALSE()),"")</f>
        <v>34</v>
      </c>
      <c r="Q1193">
        <f t="shared" si="54"/>
        <v>0.5525773195876289</v>
      </c>
      <c r="R1193">
        <f>IF(AND(COUNTIF($A$2:$A$2027,A1193)&gt;1,COUNTIF($A$2:A1193,A1193)=1),1,0)</f>
        <v>0</v>
      </c>
      <c r="S1193" t="b">
        <f>IFERROR(VLOOKUP(D1193,Products!$A$2:$F$61,6,FALSE()),"")</f>
        <v>1</v>
      </c>
      <c r="T1193" t="str">
        <f>IF(COUNTIF(Customers!$A$2:$A$301,C1193)=0,"Missing","OK")</f>
        <v>OK</v>
      </c>
      <c r="U1193" t="str">
        <f t="shared" si="55"/>
        <v>Bengaluru</v>
      </c>
      <c r="V1193">
        <f t="shared" si="56"/>
        <v>7027.65</v>
      </c>
    </row>
    <row r="1194" spans="1:22" ht="15" customHeight="1" x14ac:dyDescent="0.35">
      <c r="A1194" s="3" t="s">
        <v>1619</v>
      </c>
      <c r="B1194" s="4">
        <v>45357</v>
      </c>
      <c r="C1194" s="3" t="s">
        <v>359</v>
      </c>
      <c r="D1194" s="3" t="s">
        <v>221</v>
      </c>
      <c r="E1194" s="3" t="s">
        <v>143</v>
      </c>
      <c r="F1194" s="5">
        <v>10</v>
      </c>
      <c r="G1194" s="5">
        <v>300</v>
      </c>
      <c r="H1194" s="5">
        <v>23</v>
      </c>
      <c r="I1194" s="5">
        <v>2310</v>
      </c>
      <c r="J1194" s="3" t="s">
        <v>79</v>
      </c>
      <c r="K1194" s="3" t="s">
        <v>38</v>
      </c>
      <c r="L1194" t="str">
        <f>IFERROR(VLOOKUP(D1194,Products!$A$2:$F$61,3,FALSE()),"")</f>
        <v>Electronics</v>
      </c>
      <c r="M1194" t="str">
        <f>IFERROR(VLOOKUP(E1194,Sales_Reps!$A$2:$C$31,3,FALSE()),"")</f>
        <v>South</v>
      </c>
      <c r="N1194">
        <f>IFERROR(VLOOKUP(D1194,Products!$A$2:$F$61,4,FALSE()),"")</f>
        <v>128</v>
      </c>
      <c r="O1194" t="str">
        <f>IFERROR(VLOOKUP(C1194,Customers!$A$2:$F$301,5,FALSE()),"")</f>
        <v>Retail</v>
      </c>
      <c r="P1194">
        <f>IFERROR(VLOOKUP(C1194,Customers!$A$2:$F$301,3,FALSE()),"")</f>
        <v>44</v>
      </c>
      <c r="Q1194">
        <f t="shared" si="54"/>
        <v>0.57333333333333336</v>
      </c>
      <c r="R1194">
        <f>IF(AND(COUNTIF($A$2:$A$2027,A1194)&gt;1,COUNTIF($A$2:A1194,A1194)=1),1,0)</f>
        <v>0</v>
      </c>
      <c r="S1194" t="b">
        <f>IFERROR(VLOOKUP(D1194,Products!$A$2:$F$61,6,FALSE()),"")</f>
        <v>1</v>
      </c>
      <c r="T1194" t="str">
        <f>IF(COUNTIF(Customers!$A$2:$A$301,C1194)=0,"Missing","OK")</f>
        <v>OK</v>
      </c>
      <c r="U1194" t="str">
        <f t="shared" si="55"/>
        <v>Delhi</v>
      </c>
      <c r="V1194">
        <f t="shared" si="56"/>
        <v>0</v>
      </c>
    </row>
    <row r="1195" spans="1:22" ht="15" customHeight="1" x14ac:dyDescent="0.35">
      <c r="A1195" s="3" t="s">
        <v>1620</v>
      </c>
      <c r="B1195" s="4">
        <v>45479</v>
      </c>
      <c r="C1195" s="3" t="s">
        <v>364</v>
      </c>
      <c r="D1195" s="3" t="s">
        <v>180</v>
      </c>
      <c r="E1195" s="3" t="s">
        <v>87</v>
      </c>
      <c r="F1195" s="5">
        <v>10</v>
      </c>
      <c r="G1195" s="5">
        <v>6080</v>
      </c>
      <c r="H1195" s="5">
        <v>3.9</v>
      </c>
      <c r="I1195" s="5">
        <v>58428.800000000003</v>
      </c>
      <c r="J1195" s="3" t="s">
        <v>26</v>
      </c>
      <c r="K1195" s="3" t="s">
        <v>33</v>
      </c>
      <c r="L1195" t="str">
        <f>IFERROR(VLOOKUP(D1195,Products!$A$2:$F$61,3,FALSE()),"")</f>
        <v>Beauty</v>
      </c>
      <c r="M1195" t="str">
        <f>IFERROR(VLOOKUP(E1195,Sales_Reps!$A$2:$C$31,3,FALSE()),"")</f>
        <v>North</v>
      </c>
      <c r="N1195">
        <f>IFERROR(VLOOKUP(D1195,Products!$A$2:$F$61,4,FALSE()),"")</f>
        <v>2617</v>
      </c>
      <c r="O1195" t="str">
        <f>IFERROR(VLOOKUP(C1195,Customers!$A$2:$F$301,5,FALSE()),"")</f>
        <v>SMB</v>
      </c>
      <c r="P1195">
        <f>IFERROR(VLOOKUP(C1195,Customers!$A$2:$F$301,3,FALSE()),"")</f>
        <v>64</v>
      </c>
      <c r="Q1195">
        <f t="shared" si="54"/>
        <v>0.56957236842105263</v>
      </c>
      <c r="R1195">
        <f>IF(AND(COUNTIF($A$2:$A$2027,A1195)&gt;1,COUNTIF($A$2:A1195,A1195)=1),1,0)</f>
        <v>0</v>
      </c>
      <c r="S1195" t="b">
        <f>IFERROR(VLOOKUP(D1195,Products!$A$2:$F$61,6,FALSE()),"")</f>
        <v>1</v>
      </c>
      <c r="T1195" t="str">
        <f>IF(COUNTIF(Customers!$A$2:$A$301,C1195)=0,"Missing","OK")</f>
        <v>OK</v>
      </c>
      <c r="U1195" t="str">
        <f t="shared" si="55"/>
        <v>Chennai</v>
      </c>
      <c r="V1195">
        <f t="shared" si="56"/>
        <v>0</v>
      </c>
    </row>
    <row r="1196" spans="1:22" ht="15" customHeight="1" x14ac:dyDescent="0.35">
      <c r="A1196" s="3" t="s">
        <v>848</v>
      </c>
      <c r="B1196" s="4">
        <v>45539</v>
      </c>
      <c r="C1196" s="3" t="s">
        <v>81</v>
      </c>
      <c r="D1196" s="3" t="s">
        <v>130</v>
      </c>
      <c r="E1196" s="3" t="s">
        <v>212</v>
      </c>
      <c r="F1196" s="5">
        <v>2</v>
      </c>
      <c r="G1196" s="5">
        <v>5100</v>
      </c>
      <c r="H1196" s="5">
        <v>11</v>
      </c>
      <c r="I1196" s="5">
        <v>9078</v>
      </c>
      <c r="J1196" s="3" t="s">
        <v>26</v>
      </c>
      <c r="K1196" s="3" t="s">
        <v>27</v>
      </c>
      <c r="L1196" t="str">
        <f>IFERROR(VLOOKUP(D1196,Products!$A$2:$F$61,3,FALSE()),"")</f>
        <v>Beauty</v>
      </c>
      <c r="M1196" t="str">
        <f>IFERROR(VLOOKUP(E1196,Sales_Reps!$A$2:$C$31,3,FALSE()),"")</f>
        <v>South</v>
      </c>
      <c r="N1196">
        <f>IFERROR(VLOOKUP(D1196,Products!$A$2:$F$61,4,FALSE()),"")</f>
        <v>2237</v>
      </c>
      <c r="O1196" t="str">
        <f>IFERROR(VLOOKUP(C1196,Customers!$A$2:$F$301,5,FALSE()),"")</f>
        <v>SMB</v>
      </c>
      <c r="P1196">
        <f>IFERROR(VLOOKUP(C1196,Customers!$A$2:$F$301,3,FALSE()),"")</f>
        <v>39</v>
      </c>
      <c r="Q1196">
        <f t="shared" si="54"/>
        <v>0.56137254901960787</v>
      </c>
      <c r="R1196">
        <f>IF(AND(COUNTIF($A$2:$A$2027,A1196)&gt;1,COUNTIF($A$2:A1196,A1196)=1),1,0)</f>
        <v>0</v>
      </c>
      <c r="S1196" t="b">
        <f>IFERROR(VLOOKUP(D1196,Products!$A$2:$F$61,6,FALSE()),"")</f>
        <v>1</v>
      </c>
      <c r="T1196" t="str">
        <f>IF(COUNTIF(Customers!$A$2:$A$301,C1196)=0,"Missing","OK")</f>
        <v>OK</v>
      </c>
      <c r="U1196" t="str">
        <f t="shared" si="55"/>
        <v>Pune</v>
      </c>
      <c r="V1196">
        <f t="shared" si="56"/>
        <v>0</v>
      </c>
    </row>
    <row r="1197" spans="1:22" ht="15" customHeight="1" x14ac:dyDescent="0.35">
      <c r="A1197" s="3" t="s">
        <v>1621</v>
      </c>
      <c r="B1197" s="4">
        <v>45394</v>
      </c>
      <c r="C1197" s="3" t="s">
        <v>310</v>
      </c>
      <c r="D1197" s="3" t="s">
        <v>391</v>
      </c>
      <c r="E1197" s="3" t="s">
        <v>60</v>
      </c>
      <c r="F1197" s="5">
        <v>9</v>
      </c>
      <c r="G1197" s="5">
        <v>3450</v>
      </c>
      <c r="H1197" s="5">
        <v>23.7</v>
      </c>
      <c r="I1197" s="5">
        <v>23691.15</v>
      </c>
      <c r="J1197" s="3" t="s">
        <v>26</v>
      </c>
      <c r="K1197" s="3" t="s">
        <v>51</v>
      </c>
      <c r="L1197" t="str">
        <f>IFERROR(VLOOKUP(D1197,Products!$A$2:$F$61,3,FALSE()),"")</f>
        <v>Apparel</v>
      </c>
      <c r="M1197" t="str">
        <f>IFERROR(VLOOKUP(E1197,Sales_Reps!$A$2:$C$31,3,FALSE()),"")</f>
        <v>East</v>
      </c>
      <c r="N1197">
        <f>IFERROR(VLOOKUP(D1197,Products!$A$2:$F$61,4,FALSE()),"")</f>
        <v>1748</v>
      </c>
      <c r="O1197" t="str">
        <f>IFERROR(VLOOKUP(C1197,Customers!$A$2:$F$301,5,FALSE()),"")</f>
        <v>Retail</v>
      </c>
      <c r="P1197">
        <f>IFERROR(VLOOKUP(C1197,Customers!$A$2:$F$301,3,FALSE()),"")</f>
        <v>42</v>
      </c>
      <c r="Q1197">
        <f t="shared" si="54"/>
        <v>0.49333333333333335</v>
      </c>
      <c r="R1197">
        <f>IF(AND(COUNTIF($A$2:$A$2027,A1197)&gt;1,COUNTIF($A$2:A1197,A1197)=1),1,0)</f>
        <v>0</v>
      </c>
      <c r="S1197" t="b">
        <f>IFERROR(VLOOKUP(D1197,Products!$A$2:$F$61,6,FALSE()),"")</f>
        <v>1</v>
      </c>
      <c r="T1197" t="str">
        <f>IF(COUNTIF(Customers!$A$2:$A$301,C1197)=0,"Missing","OK")</f>
        <v>OK</v>
      </c>
      <c r="U1197" t="str">
        <f t="shared" si="55"/>
        <v>Mumbai</v>
      </c>
      <c r="V1197">
        <f t="shared" si="56"/>
        <v>0</v>
      </c>
    </row>
    <row r="1198" spans="1:22" ht="15" customHeight="1" x14ac:dyDescent="0.35">
      <c r="A1198" s="3" t="s">
        <v>1622</v>
      </c>
      <c r="B1198" s="4">
        <v>45335</v>
      </c>
      <c r="C1198" s="3" t="s">
        <v>698</v>
      </c>
      <c r="D1198" s="3" t="s">
        <v>106</v>
      </c>
      <c r="E1198" s="3" t="s">
        <v>212</v>
      </c>
      <c r="F1198" s="5">
        <v>5</v>
      </c>
      <c r="G1198" s="5">
        <v>2480</v>
      </c>
      <c r="H1198" s="5">
        <v>20.399999999999999</v>
      </c>
      <c r="I1198" s="5">
        <v>9870.4</v>
      </c>
      <c r="J1198" s="3" t="s">
        <v>26</v>
      </c>
      <c r="K1198" s="3" t="s">
        <v>56</v>
      </c>
      <c r="L1198" t="str">
        <f>IFERROR(VLOOKUP(D1198,Products!$A$2:$F$61,3,FALSE()),"")</f>
        <v>Apparel</v>
      </c>
      <c r="M1198" t="str">
        <f>IFERROR(VLOOKUP(E1198,Sales_Reps!$A$2:$C$31,3,FALSE()),"")</f>
        <v>South</v>
      </c>
      <c r="N1198">
        <f>IFERROR(VLOOKUP(D1198,Products!$A$2:$F$61,4,FALSE()),"")</f>
        <v>1173</v>
      </c>
      <c r="O1198" t="str">
        <f>IFERROR(VLOOKUP(C1198,Customers!$A$2:$F$301,5,FALSE()),"")</f>
        <v>Retail</v>
      </c>
      <c r="P1198">
        <f>IFERROR(VLOOKUP(C1198,Customers!$A$2:$F$301,3,FALSE()),"")</f>
        <v>29</v>
      </c>
      <c r="Q1198">
        <f t="shared" si="54"/>
        <v>0.52701612903225803</v>
      </c>
      <c r="R1198">
        <f>IF(AND(COUNTIF($A$2:$A$2027,A1198)&gt;1,COUNTIF($A$2:A1198,A1198)=1),1,0)</f>
        <v>0</v>
      </c>
      <c r="S1198" t="b">
        <f>IFERROR(VLOOKUP(D1198,Products!$A$2:$F$61,6,FALSE()),"")</f>
        <v>1</v>
      </c>
      <c r="T1198" t="str">
        <f>IF(COUNTIF(Customers!$A$2:$A$301,C1198)=0,"Missing","OK")</f>
        <v>OK</v>
      </c>
      <c r="U1198" t="str">
        <f t="shared" si="55"/>
        <v>Bengaluru</v>
      </c>
      <c r="V1198">
        <f t="shared" si="56"/>
        <v>0</v>
      </c>
    </row>
    <row r="1199" spans="1:22" ht="15" customHeight="1" x14ac:dyDescent="0.35">
      <c r="A1199" s="3" t="s">
        <v>1623</v>
      </c>
      <c r="B1199" s="4">
        <v>45334</v>
      </c>
      <c r="C1199" s="3" t="s">
        <v>205</v>
      </c>
      <c r="D1199" s="3" t="s">
        <v>86</v>
      </c>
      <c r="E1199" s="3" t="s">
        <v>71</v>
      </c>
      <c r="F1199" s="5">
        <v>4</v>
      </c>
      <c r="G1199" s="5">
        <v>190</v>
      </c>
      <c r="H1199" s="5">
        <v>2.6</v>
      </c>
      <c r="I1199" s="5">
        <v>740.24</v>
      </c>
      <c r="J1199" s="3" t="s">
        <v>26</v>
      </c>
      <c r="K1199" s="3" t="s">
        <v>38</v>
      </c>
      <c r="L1199" t="str">
        <f>IFERROR(VLOOKUP(D1199,Products!$A$2:$F$61,3,FALSE()),"")</f>
        <v>Sports</v>
      </c>
      <c r="M1199" t="str">
        <f>IFERROR(VLOOKUP(E1199,Sales_Reps!$A$2:$C$31,3,FALSE()),"")</f>
        <v>South</v>
      </c>
      <c r="N1199">
        <f>IFERROR(VLOOKUP(D1199,Products!$A$2:$F$61,4,FALSE()),"")</f>
        <v>147</v>
      </c>
      <c r="O1199" t="str">
        <f>IFERROR(VLOOKUP(C1199,Customers!$A$2:$F$301,5,FALSE()),"")</f>
        <v>Corporate</v>
      </c>
      <c r="P1199">
        <f>IFERROR(VLOOKUP(C1199,Customers!$A$2:$F$301,3,FALSE()),"")</f>
        <v>55</v>
      </c>
      <c r="Q1199">
        <f t="shared" si="54"/>
        <v>0.22631578947368422</v>
      </c>
      <c r="R1199">
        <f>IF(AND(COUNTIF($A$2:$A$2027,A1199)&gt;1,COUNTIF($A$2:A1199,A1199)=1),1,0)</f>
        <v>0</v>
      </c>
      <c r="S1199" t="b">
        <f>IFERROR(VLOOKUP(D1199,Products!$A$2:$F$61,6,FALSE()),"")</f>
        <v>1</v>
      </c>
      <c r="T1199" t="str">
        <f>IF(COUNTIF(Customers!$A$2:$A$301,C1199)=0,"Missing","OK")</f>
        <v>OK</v>
      </c>
      <c r="U1199" t="str">
        <f t="shared" si="55"/>
        <v>Delhi</v>
      </c>
      <c r="V1199">
        <f t="shared" si="56"/>
        <v>0</v>
      </c>
    </row>
    <row r="1200" spans="1:22" ht="15" customHeight="1" x14ac:dyDescent="0.35">
      <c r="A1200" s="3" t="s">
        <v>1624</v>
      </c>
      <c r="B1200" s="4">
        <v>45300</v>
      </c>
      <c r="C1200" s="3" t="s">
        <v>945</v>
      </c>
      <c r="D1200" s="3" t="s">
        <v>184</v>
      </c>
      <c r="E1200" s="3" t="s">
        <v>131</v>
      </c>
      <c r="F1200" s="5">
        <v>4</v>
      </c>
      <c r="G1200" s="5">
        <v>2270</v>
      </c>
      <c r="H1200" s="5">
        <v>8.1</v>
      </c>
      <c r="I1200" s="5">
        <v>8344.52</v>
      </c>
      <c r="J1200" s="3" t="s">
        <v>32</v>
      </c>
      <c r="K1200" s="3" t="s">
        <v>56</v>
      </c>
      <c r="L1200" t="str">
        <f>IFERROR(VLOOKUP(D1200,Products!$A$2:$F$61,3,FALSE()),"")</f>
        <v>Grocery</v>
      </c>
      <c r="M1200" t="str">
        <f>IFERROR(VLOOKUP(E1200,Sales_Reps!$A$2:$C$31,3,FALSE()),"")</f>
        <v>East</v>
      </c>
      <c r="N1200">
        <f>IFERROR(VLOOKUP(D1200,Products!$A$2:$F$61,4,FALSE()),"")</f>
        <v>1412</v>
      </c>
      <c r="O1200" t="str">
        <f>IFERROR(VLOOKUP(C1200,Customers!$A$2:$F$301,5,FALSE()),"")</f>
        <v>SMB</v>
      </c>
      <c r="P1200">
        <f>IFERROR(VLOOKUP(C1200,Customers!$A$2:$F$301,3,FALSE()),"")</f>
        <v>44</v>
      </c>
      <c r="Q1200">
        <f t="shared" si="54"/>
        <v>0.37797356828193834</v>
      </c>
      <c r="R1200">
        <f>IF(AND(COUNTIF($A$2:$A$2027,A1200)&gt;1,COUNTIF($A$2:A1200,A1200)=1),1,0)</f>
        <v>0</v>
      </c>
      <c r="S1200" t="b">
        <f>IFERROR(VLOOKUP(D1200,Products!$A$2:$F$61,6,FALSE()),"")</f>
        <v>1</v>
      </c>
      <c r="T1200" t="str">
        <f>IF(COUNTIF(Customers!$A$2:$A$301,C1200)=0,"Missing","OK")</f>
        <v>OK</v>
      </c>
      <c r="U1200" t="str">
        <f t="shared" si="55"/>
        <v>Bengaluru</v>
      </c>
      <c r="V1200">
        <f t="shared" si="56"/>
        <v>8344.52</v>
      </c>
    </row>
    <row r="1201" spans="1:22" ht="15" customHeight="1" x14ac:dyDescent="0.35">
      <c r="A1201" s="3" t="s">
        <v>1625</v>
      </c>
      <c r="B1201" s="4">
        <v>45400</v>
      </c>
      <c r="C1201" s="3" t="s">
        <v>449</v>
      </c>
      <c r="D1201" s="3" t="s">
        <v>294</v>
      </c>
      <c r="E1201" s="3" t="s">
        <v>67</v>
      </c>
      <c r="F1201" s="5">
        <v>7</v>
      </c>
      <c r="G1201" s="5">
        <v>2510</v>
      </c>
      <c r="H1201" s="5">
        <v>25.5</v>
      </c>
      <c r="I1201" s="5">
        <v>13089.65</v>
      </c>
      <c r="J1201" s="3" t="s">
        <v>26</v>
      </c>
      <c r="K1201" s="3" t="s">
        <v>56</v>
      </c>
      <c r="L1201" t="str">
        <f>IFERROR(VLOOKUP(D1201,Products!$A$2:$F$61,3,FALSE()),"")</f>
        <v>Apparel</v>
      </c>
      <c r="M1201" t="str">
        <f>IFERROR(VLOOKUP(E1201,Sales_Reps!$A$2:$C$31,3,FALSE()),"")</f>
        <v>West</v>
      </c>
      <c r="N1201">
        <f>IFERROR(VLOOKUP(D1201,Products!$A$2:$F$61,4,FALSE()),"")</f>
        <v>1075</v>
      </c>
      <c r="O1201" t="str">
        <f>IFERROR(VLOOKUP(C1201,Customers!$A$2:$F$301,5,FALSE()),"")</f>
        <v>SMB</v>
      </c>
      <c r="P1201">
        <f>IFERROR(VLOOKUP(C1201,Customers!$A$2:$F$301,3,FALSE()),"")</f>
        <v>26</v>
      </c>
      <c r="Q1201">
        <f t="shared" si="54"/>
        <v>0.57171314741035861</v>
      </c>
      <c r="R1201">
        <f>IF(AND(COUNTIF($A$2:$A$2027,A1201)&gt;1,COUNTIF($A$2:A1201,A1201)=1),1,0)</f>
        <v>0</v>
      </c>
      <c r="S1201" t="b">
        <f>IFERROR(VLOOKUP(D1201,Products!$A$2:$F$61,6,FALSE()),"")</f>
        <v>0</v>
      </c>
      <c r="T1201" t="str">
        <f>IF(COUNTIF(Customers!$A$2:$A$301,C1201)=0,"Missing","OK")</f>
        <v>OK</v>
      </c>
      <c r="U1201" t="str">
        <f t="shared" si="55"/>
        <v>Bengaluru</v>
      </c>
      <c r="V1201">
        <f t="shared" si="56"/>
        <v>0</v>
      </c>
    </row>
    <row r="1202" spans="1:22" ht="15" customHeight="1" x14ac:dyDescent="0.35">
      <c r="A1202" s="3" t="s">
        <v>1626</v>
      </c>
      <c r="B1202" s="4">
        <v>45423</v>
      </c>
      <c r="C1202" s="3" t="s">
        <v>65</v>
      </c>
      <c r="D1202" s="3" t="s">
        <v>400</v>
      </c>
      <c r="E1202" s="3" t="s">
        <v>78</v>
      </c>
      <c r="F1202" s="5">
        <v>3</v>
      </c>
      <c r="G1202" s="5">
        <v>3780</v>
      </c>
      <c r="H1202" s="5">
        <v>16.8</v>
      </c>
      <c r="I1202" s="5">
        <v>9434.8799999999992</v>
      </c>
      <c r="J1202" s="3" t="s">
        <v>26</v>
      </c>
      <c r="K1202" s="3" t="s">
        <v>27</v>
      </c>
      <c r="L1202" t="str">
        <f>IFERROR(VLOOKUP(D1202,Products!$A$2:$F$61,3,FALSE()),"")</f>
        <v>Sports</v>
      </c>
      <c r="M1202" t="str">
        <f>IFERROR(VLOOKUP(E1202,Sales_Reps!$A$2:$C$31,3,FALSE()),"")</f>
        <v>North</v>
      </c>
      <c r="N1202">
        <f>IFERROR(VLOOKUP(D1202,Products!$A$2:$F$61,4,FALSE()),"")</f>
        <v>1860</v>
      </c>
      <c r="O1202" t="str">
        <f>IFERROR(VLOOKUP(C1202,Customers!$A$2:$F$301,5,FALSE()),"")</f>
        <v>Retail</v>
      </c>
      <c r="P1202">
        <f>IFERROR(VLOOKUP(C1202,Customers!$A$2:$F$301,3,FALSE()),"")</f>
        <v>56</v>
      </c>
      <c r="Q1202">
        <f t="shared" si="54"/>
        <v>0.50793650793650791</v>
      </c>
      <c r="R1202">
        <f>IF(AND(COUNTIF($A$2:$A$2027,A1202)&gt;1,COUNTIF($A$2:A1202,A1202)=1),1,0)</f>
        <v>0</v>
      </c>
      <c r="S1202" t="b">
        <f>IFERROR(VLOOKUP(D1202,Products!$A$2:$F$61,6,FALSE()),"")</f>
        <v>1</v>
      </c>
      <c r="T1202" t="str">
        <f>IF(COUNTIF(Customers!$A$2:$A$301,C1202)=0,"Missing","OK")</f>
        <v>OK</v>
      </c>
      <c r="U1202" t="str">
        <f t="shared" si="55"/>
        <v>Pune</v>
      </c>
      <c r="V1202">
        <f t="shared" si="56"/>
        <v>0</v>
      </c>
    </row>
    <row r="1203" spans="1:22" ht="15" customHeight="1" x14ac:dyDescent="0.35">
      <c r="A1203" s="3" t="s">
        <v>1627</v>
      </c>
      <c r="B1203" s="4">
        <v>45518</v>
      </c>
      <c r="C1203" s="3" t="s">
        <v>500</v>
      </c>
      <c r="D1203" s="3" t="s">
        <v>126</v>
      </c>
      <c r="E1203" s="3" t="s">
        <v>71</v>
      </c>
      <c r="F1203" s="5">
        <v>7</v>
      </c>
      <c r="G1203" s="5">
        <v>3570</v>
      </c>
      <c r="H1203" s="5">
        <v>23.7</v>
      </c>
      <c r="I1203" s="5">
        <v>19067.37</v>
      </c>
      <c r="J1203" s="3" t="s">
        <v>26</v>
      </c>
      <c r="K1203" s="3" t="s">
        <v>72</v>
      </c>
      <c r="L1203" t="str">
        <f>IFERROR(VLOOKUP(D1203,Products!$A$2:$F$61,3,FALSE()),"")</f>
        <v>Electronics</v>
      </c>
      <c r="M1203" t="str">
        <f>IFERROR(VLOOKUP(E1203,Sales_Reps!$A$2:$C$31,3,FALSE()),"")</f>
        <v>South</v>
      </c>
      <c r="N1203">
        <f>IFERROR(VLOOKUP(D1203,Products!$A$2:$F$61,4,FALSE()),"")</f>
        <v>1665</v>
      </c>
      <c r="O1203" t="str">
        <f>IFERROR(VLOOKUP(C1203,Customers!$A$2:$F$301,5,FALSE()),"")</f>
        <v>SMB</v>
      </c>
      <c r="P1203">
        <f>IFERROR(VLOOKUP(C1203,Customers!$A$2:$F$301,3,FALSE()),"")</f>
        <v>43</v>
      </c>
      <c r="Q1203">
        <f t="shared" si="54"/>
        <v>0.53361344537815125</v>
      </c>
      <c r="R1203">
        <f>IF(AND(COUNTIF($A$2:$A$2027,A1203)&gt;1,COUNTIF($A$2:A1203,A1203)=1),1,0)</f>
        <v>0</v>
      </c>
      <c r="S1203" t="b">
        <f>IFERROR(VLOOKUP(D1203,Products!$A$2:$F$61,6,FALSE()),"")</f>
        <v>1</v>
      </c>
      <c r="T1203" t="str">
        <f>IF(COUNTIF(Customers!$A$2:$A$301,C1203)=0,"Missing","OK")</f>
        <v>OK</v>
      </c>
      <c r="U1203" t="str">
        <f t="shared" si="55"/>
        <v>Hyderabad</v>
      </c>
      <c r="V1203">
        <f t="shared" si="56"/>
        <v>0</v>
      </c>
    </row>
    <row r="1204" spans="1:22" ht="15" customHeight="1" x14ac:dyDescent="0.35">
      <c r="A1204" s="3" t="s">
        <v>1628</v>
      </c>
      <c r="B1204" s="4">
        <v>45559</v>
      </c>
      <c r="C1204" s="3" t="s">
        <v>366</v>
      </c>
      <c r="D1204" s="3" t="s">
        <v>142</v>
      </c>
      <c r="E1204" s="3" t="s">
        <v>212</v>
      </c>
      <c r="F1204" s="5">
        <v>4</v>
      </c>
      <c r="G1204" s="5">
        <v>660</v>
      </c>
      <c r="H1204" s="5">
        <v>3.6</v>
      </c>
      <c r="I1204" s="5">
        <v>2544.96</v>
      </c>
      <c r="J1204" s="3" t="s">
        <v>26</v>
      </c>
      <c r="K1204" s="3" t="s">
        <v>27</v>
      </c>
      <c r="L1204" t="str">
        <f>IFERROR(VLOOKUP(D1204,Products!$A$2:$F$61,3,FALSE()),"")</f>
        <v>Home</v>
      </c>
      <c r="M1204" t="str">
        <f>IFERROR(VLOOKUP(E1204,Sales_Reps!$A$2:$C$31,3,FALSE()),"")</f>
        <v>South</v>
      </c>
      <c r="N1204">
        <f>IFERROR(VLOOKUP(D1204,Products!$A$2:$F$61,4,FALSE()),"")</f>
        <v>329</v>
      </c>
      <c r="O1204" t="str">
        <f>IFERROR(VLOOKUP(C1204,Customers!$A$2:$F$301,5,FALSE()),"")</f>
        <v>Corporate</v>
      </c>
      <c r="P1204">
        <f>IFERROR(VLOOKUP(C1204,Customers!$A$2:$F$301,3,FALSE()),"")</f>
        <v>48</v>
      </c>
      <c r="Q1204">
        <f t="shared" si="54"/>
        <v>0.50151515151515147</v>
      </c>
      <c r="R1204">
        <f>IF(AND(COUNTIF($A$2:$A$2027,A1204)&gt;1,COUNTIF($A$2:A1204,A1204)=1),1,0)</f>
        <v>0</v>
      </c>
      <c r="S1204" t="b">
        <f>IFERROR(VLOOKUP(D1204,Products!$A$2:$F$61,6,FALSE()),"")</f>
        <v>1</v>
      </c>
      <c r="T1204" t="str">
        <f>IF(COUNTIF(Customers!$A$2:$A$301,C1204)=0,"Missing","OK")</f>
        <v>OK</v>
      </c>
      <c r="U1204" t="str">
        <f t="shared" si="55"/>
        <v>Pune</v>
      </c>
      <c r="V1204">
        <f t="shared" si="56"/>
        <v>0</v>
      </c>
    </row>
    <row r="1205" spans="1:22" ht="15" customHeight="1" x14ac:dyDescent="0.35">
      <c r="A1205" s="3" t="s">
        <v>1629</v>
      </c>
      <c r="B1205" s="4">
        <v>45501</v>
      </c>
      <c r="C1205" s="3" t="s">
        <v>990</v>
      </c>
      <c r="D1205" s="3" t="s">
        <v>66</v>
      </c>
      <c r="E1205" s="3" t="s">
        <v>71</v>
      </c>
      <c r="F1205" s="5">
        <v>7</v>
      </c>
      <c r="G1205" s="5">
        <v>970</v>
      </c>
      <c r="H1205" s="5">
        <v>23.7</v>
      </c>
      <c r="I1205" s="5">
        <v>5180.7700000000004</v>
      </c>
      <c r="J1205" s="3" t="s">
        <v>26</v>
      </c>
      <c r="K1205" s="3" t="s">
        <v>51</v>
      </c>
      <c r="L1205" t="str">
        <f>IFERROR(VLOOKUP(D1205,Products!$A$2:$F$61,3,FALSE()),"")</f>
        <v>Grocery</v>
      </c>
      <c r="M1205" t="str">
        <f>IFERROR(VLOOKUP(E1205,Sales_Reps!$A$2:$C$31,3,FALSE()),"")</f>
        <v>South</v>
      </c>
      <c r="N1205">
        <f>IFERROR(VLOOKUP(D1205,Products!$A$2:$F$61,4,FALSE()),"")</f>
        <v>434</v>
      </c>
      <c r="O1205" t="str">
        <f>IFERROR(VLOOKUP(C1205,Customers!$A$2:$F$301,5,FALSE()),"")</f>
        <v>Retail</v>
      </c>
      <c r="P1205">
        <f>IFERROR(VLOOKUP(C1205,Customers!$A$2:$F$301,3,FALSE()),"")</f>
        <v>54</v>
      </c>
      <c r="Q1205">
        <f t="shared" si="54"/>
        <v>0.5525773195876289</v>
      </c>
      <c r="R1205">
        <f>IF(AND(COUNTIF($A$2:$A$2027,A1205)&gt;1,COUNTIF($A$2:A1205,A1205)=1),1,0)</f>
        <v>0</v>
      </c>
      <c r="S1205" t="b">
        <f>IFERROR(VLOOKUP(D1205,Products!$A$2:$F$61,6,FALSE()),"")</f>
        <v>1</v>
      </c>
      <c r="T1205" t="str">
        <f>IF(COUNTIF(Customers!$A$2:$A$301,C1205)=0,"Missing","OK")</f>
        <v>OK</v>
      </c>
      <c r="U1205" t="str">
        <f t="shared" si="55"/>
        <v>Mumbai</v>
      </c>
      <c r="V1205">
        <f t="shared" si="56"/>
        <v>0</v>
      </c>
    </row>
    <row r="1206" spans="1:22" ht="15" customHeight="1" x14ac:dyDescent="0.35">
      <c r="A1206" s="3" t="s">
        <v>1630</v>
      </c>
      <c r="B1206" s="4">
        <v>45338</v>
      </c>
      <c r="C1206" s="3" t="s">
        <v>807</v>
      </c>
      <c r="D1206" s="3" t="s">
        <v>70</v>
      </c>
      <c r="E1206" s="3" t="s">
        <v>42</v>
      </c>
      <c r="F1206" s="5">
        <v>8</v>
      </c>
      <c r="G1206" s="5">
        <v>2270</v>
      </c>
      <c r="H1206" s="5">
        <v>6.8</v>
      </c>
      <c r="I1206" s="5">
        <v>16925.12</v>
      </c>
      <c r="J1206" s="3" t="s">
        <v>26</v>
      </c>
      <c r="K1206" s="3" t="s">
        <v>38</v>
      </c>
      <c r="L1206" t="str">
        <f>IFERROR(VLOOKUP(D1206,Products!$A$2:$F$61,3,FALSE()),"")</f>
        <v>Grocery</v>
      </c>
      <c r="M1206" t="str">
        <f>IFERROR(VLOOKUP(E1206,Sales_Reps!$A$2:$C$31,3,FALSE()),"")</f>
        <v>North</v>
      </c>
      <c r="N1206">
        <f>IFERROR(VLOOKUP(D1206,Products!$A$2:$F$61,4,FALSE()),"")</f>
        <v>1203</v>
      </c>
      <c r="O1206" t="str">
        <f>IFERROR(VLOOKUP(C1206,Customers!$A$2:$F$301,5,FALSE()),"")</f>
        <v>SMB</v>
      </c>
      <c r="P1206">
        <f>IFERROR(VLOOKUP(C1206,Customers!$A$2:$F$301,3,FALSE()),"")</f>
        <v>38</v>
      </c>
      <c r="Q1206">
        <f t="shared" si="54"/>
        <v>0.47004405286343615</v>
      </c>
      <c r="R1206">
        <f>IF(AND(COUNTIF($A$2:$A$2027,A1206)&gt;1,COUNTIF($A$2:A1206,A1206)=1),1,0)</f>
        <v>0</v>
      </c>
      <c r="S1206" t="b">
        <f>IFERROR(VLOOKUP(D1206,Products!$A$2:$F$61,6,FALSE()),"")</f>
        <v>1</v>
      </c>
      <c r="T1206" t="str">
        <f>IF(COUNTIF(Customers!$A$2:$A$301,C1206)=0,"Missing","OK")</f>
        <v>OK</v>
      </c>
      <c r="U1206" t="str">
        <f t="shared" si="55"/>
        <v>Delhi</v>
      </c>
      <c r="V1206">
        <f t="shared" si="56"/>
        <v>0</v>
      </c>
    </row>
    <row r="1207" spans="1:22" ht="15" customHeight="1" x14ac:dyDescent="0.35">
      <c r="A1207" s="3" t="s">
        <v>1631</v>
      </c>
      <c r="B1207" s="4">
        <v>45585</v>
      </c>
      <c r="C1207" s="3" t="s">
        <v>556</v>
      </c>
      <c r="D1207" s="3" t="s">
        <v>90</v>
      </c>
      <c r="E1207" s="3" t="s">
        <v>264</v>
      </c>
      <c r="F1207" s="5">
        <v>1</v>
      </c>
      <c r="G1207" s="5">
        <v>2400</v>
      </c>
      <c r="H1207" s="5">
        <v>26.5</v>
      </c>
      <c r="I1207" s="5">
        <v>1764</v>
      </c>
      <c r="J1207" s="3" t="s">
        <v>26</v>
      </c>
      <c r="K1207" s="3" t="s">
        <v>51</v>
      </c>
      <c r="L1207" t="str">
        <f>IFERROR(VLOOKUP(D1207,Products!$A$2:$F$61,3,FALSE()),"")</f>
        <v>Sports</v>
      </c>
      <c r="M1207" t="str">
        <f>IFERROR(VLOOKUP(E1207,Sales_Reps!$A$2:$C$31,3,FALSE()),"")</f>
        <v>South</v>
      </c>
      <c r="N1207">
        <f>IFERROR(VLOOKUP(D1207,Products!$A$2:$F$61,4,FALSE()),"")</f>
        <v>974</v>
      </c>
      <c r="O1207" t="str">
        <f>IFERROR(VLOOKUP(C1207,Customers!$A$2:$F$301,5,FALSE()),"")</f>
        <v>SMB</v>
      </c>
      <c r="P1207">
        <f>IFERROR(VLOOKUP(C1207,Customers!$A$2:$F$301,3,FALSE()),"")</f>
        <v>65</v>
      </c>
      <c r="Q1207">
        <f t="shared" si="54"/>
        <v>0.59416666666666662</v>
      </c>
      <c r="R1207">
        <f>IF(AND(COUNTIF($A$2:$A$2027,A1207)&gt;1,COUNTIF($A$2:A1207,A1207)=1),1,0)</f>
        <v>0</v>
      </c>
      <c r="S1207" t="b">
        <f>IFERROR(VLOOKUP(D1207,Products!$A$2:$F$61,6,FALSE()),"")</f>
        <v>1</v>
      </c>
      <c r="T1207" t="str">
        <f>IF(COUNTIF(Customers!$A$2:$A$301,C1207)=0,"Missing","OK")</f>
        <v>OK</v>
      </c>
      <c r="U1207" t="str">
        <f t="shared" si="55"/>
        <v>Mumbai</v>
      </c>
      <c r="V1207">
        <f t="shared" si="56"/>
        <v>0</v>
      </c>
    </row>
    <row r="1208" spans="1:22" ht="15" customHeight="1" x14ac:dyDescent="0.35">
      <c r="A1208" s="3" t="s">
        <v>1632</v>
      </c>
      <c r="B1208" s="4">
        <v>45525</v>
      </c>
      <c r="C1208" s="3" t="s">
        <v>582</v>
      </c>
      <c r="D1208" s="3" t="s">
        <v>382</v>
      </c>
      <c r="E1208" s="3" t="s">
        <v>71</v>
      </c>
      <c r="F1208" s="5">
        <v>5</v>
      </c>
      <c r="G1208" s="5">
        <v>5080</v>
      </c>
      <c r="H1208" s="5">
        <v>29.6</v>
      </c>
      <c r="I1208" s="5">
        <v>17881.599999999999</v>
      </c>
      <c r="J1208" s="3" t="s">
        <v>26</v>
      </c>
      <c r="K1208" s="3" t="s">
        <v>51</v>
      </c>
      <c r="L1208" t="str">
        <f>IFERROR(VLOOKUP(D1208,Products!$A$2:$F$61,3,FALSE()),"")</f>
        <v>Home</v>
      </c>
      <c r="M1208" t="str">
        <f>IFERROR(VLOOKUP(E1208,Sales_Reps!$A$2:$C$31,3,FALSE()),"")</f>
        <v>South</v>
      </c>
      <c r="N1208">
        <f>IFERROR(VLOOKUP(D1208,Products!$A$2:$F$61,4,FALSE()),"")</f>
        <v>2459</v>
      </c>
      <c r="O1208" t="str">
        <f>IFERROR(VLOOKUP(C1208,Customers!$A$2:$F$301,5,FALSE()),"")</f>
        <v>SMB</v>
      </c>
      <c r="P1208">
        <f>IFERROR(VLOOKUP(C1208,Customers!$A$2:$F$301,3,FALSE()),"")</f>
        <v>27</v>
      </c>
      <c r="Q1208">
        <f t="shared" si="54"/>
        <v>0.51594488188976373</v>
      </c>
      <c r="R1208">
        <f>IF(AND(COUNTIF($A$2:$A$2027,A1208)&gt;1,COUNTIF($A$2:A1208,A1208)=1),1,0)</f>
        <v>0</v>
      </c>
      <c r="S1208" t="b">
        <f>IFERROR(VLOOKUP(D1208,Products!$A$2:$F$61,6,FALSE()),"")</f>
        <v>1</v>
      </c>
      <c r="T1208" t="str">
        <f>IF(COUNTIF(Customers!$A$2:$A$301,C1208)=0,"Missing","OK")</f>
        <v>OK</v>
      </c>
      <c r="U1208" t="str">
        <f t="shared" si="55"/>
        <v>Mumbai</v>
      </c>
      <c r="V1208">
        <f t="shared" si="56"/>
        <v>0</v>
      </c>
    </row>
    <row r="1209" spans="1:22" ht="15" customHeight="1" x14ac:dyDescent="0.35">
      <c r="A1209" s="3" t="s">
        <v>1633</v>
      </c>
      <c r="B1209" s="4">
        <v>45351</v>
      </c>
      <c r="C1209" s="3" t="s">
        <v>249</v>
      </c>
      <c r="D1209" s="3" t="s">
        <v>118</v>
      </c>
      <c r="E1209" s="3" t="s">
        <v>37</v>
      </c>
      <c r="F1209" s="5">
        <v>9</v>
      </c>
      <c r="G1209" s="5">
        <v>3350</v>
      </c>
      <c r="H1209" s="5">
        <v>6.2</v>
      </c>
      <c r="I1209" s="5">
        <v>28280.7</v>
      </c>
      <c r="J1209" s="3" t="s">
        <v>26</v>
      </c>
      <c r="K1209" s="3" t="s">
        <v>56</v>
      </c>
      <c r="L1209" t="str">
        <f>IFERROR(VLOOKUP(D1209,Products!$A$2:$F$61,3,FALSE()),"")</f>
        <v>Beauty</v>
      </c>
      <c r="M1209" t="str">
        <f>IFERROR(VLOOKUP(E1209,Sales_Reps!$A$2:$C$31,3,FALSE()),"")</f>
        <v>South</v>
      </c>
      <c r="N1209">
        <f>IFERROR(VLOOKUP(D1209,Products!$A$2:$F$61,4,FALSE()),"")</f>
        <v>1728</v>
      </c>
      <c r="O1209" t="str">
        <f>IFERROR(VLOOKUP(C1209,Customers!$A$2:$F$301,5,FALSE()),"")</f>
        <v>Retail</v>
      </c>
      <c r="P1209">
        <f>IFERROR(VLOOKUP(C1209,Customers!$A$2:$F$301,3,FALSE()),"")</f>
        <v>42</v>
      </c>
      <c r="Q1209">
        <f t="shared" si="54"/>
        <v>0.48417910447761192</v>
      </c>
      <c r="R1209">
        <f>IF(AND(COUNTIF($A$2:$A$2027,A1209)&gt;1,COUNTIF($A$2:A1209,A1209)=1),1,0)</f>
        <v>0</v>
      </c>
      <c r="S1209" t="b">
        <f>IFERROR(VLOOKUP(D1209,Products!$A$2:$F$61,6,FALSE()),"")</f>
        <v>1</v>
      </c>
      <c r="T1209" t="str">
        <f>IF(COUNTIF(Customers!$A$2:$A$301,C1209)=0,"Missing","OK")</f>
        <v>OK</v>
      </c>
      <c r="U1209" t="str">
        <f t="shared" si="55"/>
        <v>Bengaluru</v>
      </c>
      <c r="V1209">
        <f t="shared" si="56"/>
        <v>0</v>
      </c>
    </row>
    <row r="1210" spans="1:22" ht="15" customHeight="1" x14ac:dyDescent="0.35">
      <c r="A1210" s="3" t="s">
        <v>1634</v>
      </c>
      <c r="B1210" s="4">
        <v>45560</v>
      </c>
      <c r="C1210" s="3" t="s">
        <v>734</v>
      </c>
      <c r="D1210" s="3" t="s">
        <v>198</v>
      </c>
      <c r="E1210" s="3" t="s">
        <v>154</v>
      </c>
      <c r="F1210" s="5">
        <v>4</v>
      </c>
      <c r="G1210" s="5">
        <v>1540</v>
      </c>
      <c r="H1210" s="5">
        <v>22.2</v>
      </c>
      <c r="I1210" s="5">
        <v>4792.4799999999996</v>
      </c>
      <c r="J1210" s="3" t="s">
        <v>26</v>
      </c>
      <c r="K1210" s="3" t="s">
        <v>33</v>
      </c>
      <c r="L1210" t="str">
        <f>IFERROR(VLOOKUP(D1210,Products!$A$2:$F$61,3,FALSE()),"")</f>
        <v>Beauty</v>
      </c>
      <c r="M1210" t="str">
        <f>IFERROR(VLOOKUP(E1210,Sales_Reps!$A$2:$C$31,3,FALSE()),"")</f>
        <v>North</v>
      </c>
      <c r="N1210">
        <f>IFERROR(VLOOKUP(D1210,Products!$A$2:$F$61,4,FALSE()),"")</f>
        <v>647</v>
      </c>
      <c r="O1210" t="str">
        <f>IFERROR(VLOOKUP(C1210,Customers!$A$2:$F$301,5,FALSE()),"")</f>
        <v>Retail</v>
      </c>
      <c r="P1210">
        <f>IFERROR(VLOOKUP(C1210,Customers!$A$2:$F$301,3,FALSE()),"")</f>
        <v>22</v>
      </c>
      <c r="Q1210">
        <f t="shared" si="54"/>
        <v>0.57987012987012987</v>
      </c>
      <c r="R1210">
        <f>IF(AND(COUNTIF($A$2:$A$2027,A1210)&gt;1,COUNTIF($A$2:A1210,A1210)=1),1,0)</f>
        <v>0</v>
      </c>
      <c r="S1210" t="b">
        <f>IFERROR(VLOOKUP(D1210,Products!$A$2:$F$61,6,FALSE()),"")</f>
        <v>0</v>
      </c>
      <c r="T1210" t="str">
        <f>IF(COUNTIF(Customers!$A$2:$A$301,C1210)=0,"Missing","OK")</f>
        <v>OK</v>
      </c>
      <c r="U1210" t="str">
        <f t="shared" si="55"/>
        <v>Chennai</v>
      </c>
      <c r="V1210">
        <f t="shared" si="56"/>
        <v>0</v>
      </c>
    </row>
    <row r="1211" spans="1:22" ht="15" customHeight="1" x14ac:dyDescent="0.35">
      <c r="A1211" s="3" t="s">
        <v>1635</v>
      </c>
      <c r="B1211" s="4">
        <v>45431</v>
      </c>
      <c r="C1211" s="3" t="s">
        <v>496</v>
      </c>
      <c r="D1211" s="3" t="s">
        <v>382</v>
      </c>
      <c r="E1211" s="3" t="s">
        <v>236</v>
      </c>
      <c r="F1211" s="5">
        <v>10</v>
      </c>
      <c r="G1211" s="5">
        <v>5080</v>
      </c>
      <c r="H1211" s="5">
        <v>11.8</v>
      </c>
      <c r="I1211" s="5">
        <v>44805.599999999999</v>
      </c>
      <c r="J1211" s="3" t="s">
        <v>26</v>
      </c>
      <c r="K1211" s="3" t="s">
        <v>51</v>
      </c>
      <c r="L1211" t="str">
        <f>IFERROR(VLOOKUP(D1211,Products!$A$2:$F$61,3,FALSE()),"")</f>
        <v>Home</v>
      </c>
      <c r="M1211" t="str">
        <f>IFERROR(VLOOKUP(E1211,Sales_Reps!$A$2:$C$31,3,FALSE()),"")</f>
        <v>North</v>
      </c>
      <c r="N1211">
        <f>IFERROR(VLOOKUP(D1211,Products!$A$2:$F$61,4,FALSE()),"")</f>
        <v>2459</v>
      </c>
      <c r="O1211" t="str">
        <f>IFERROR(VLOOKUP(C1211,Customers!$A$2:$F$301,5,FALSE()),"")</f>
        <v>Retail</v>
      </c>
      <c r="P1211">
        <f>IFERROR(VLOOKUP(C1211,Customers!$A$2:$F$301,3,FALSE()),"")</f>
        <v>65</v>
      </c>
      <c r="Q1211">
        <f t="shared" si="54"/>
        <v>0.51594488188976373</v>
      </c>
      <c r="R1211">
        <f>IF(AND(COUNTIF($A$2:$A$2027,A1211)&gt;1,COUNTIF($A$2:A1211,A1211)=1),1,0)</f>
        <v>0</v>
      </c>
      <c r="S1211" t="b">
        <f>IFERROR(VLOOKUP(D1211,Products!$A$2:$F$61,6,FALSE()),"")</f>
        <v>1</v>
      </c>
      <c r="T1211" t="str">
        <f>IF(COUNTIF(Customers!$A$2:$A$301,C1211)=0,"Missing","OK")</f>
        <v>OK</v>
      </c>
      <c r="U1211" t="str">
        <f t="shared" si="55"/>
        <v>Mumbai</v>
      </c>
      <c r="V1211">
        <f t="shared" si="56"/>
        <v>0</v>
      </c>
    </row>
    <row r="1212" spans="1:22" ht="15" customHeight="1" x14ac:dyDescent="0.35">
      <c r="A1212" s="3" t="s">
        <v>1636</v>
      </c>
      <c r="B1212" s="4">
        <v>45296</v>
      </c>
      <c r="C1212" s="3" t="s">
        <v>895</v>
      </c>
      <c r="D1212" s="3" t="s">
        <v>598</v>
      </c>
      <c r="E1212" s="3" t="s">
        <v>264</v>
      </c>
      <c r="F1212" s="5">
        <v>9</v>
      </c>
      <c r="G1212" s="5">
        <v>3560</v>
      </c>
      <c r="H1212" s="5">
        <v>15.9</v>
      </c>
      <c r="I1212" s="5">
        <v>26945.64</v>
      </c>
      <c r="J1212" s="3" t="s">
        <v>26</v>
      </c>
      <c r="K1212" s="3" t="s">
        <v>51</v>
      </c>
      <c r="L1212" t="str">
        <f>IFERROR(VLOOKUP(D1212,Products!$A$2:$F$61,3,FALSE()),"")</f>
        <v>Apparel</v>
      </c>
      <c r="M1212" t="str">
        <f>IFERROR(VLOOKUP(E1212,Sales_Reps!$A$2:$C$31,3,FALSE()),"")</f>
        <v>South</v>
      </c>
      <c r="N1212">
        <f>IFERROR(VLOOKUP(D1212,Products!$A$2:$F$61,4,FALSE()),"")</f>
        <v>2629</v>
      </c>
      <c r="O1212" t="str">
        <f>IFERROR(VLOOKUP(C1212,Customers!$A$2:$F$301,5,FALSE()),"")</f>
        <v>Retail</v>
      </c>
      <c r="P1212">
        <f>IFERROR(VLOOKUP(C1212,Customers!$A$2:$F$301,3,FALSE()),"")</f>
        <v>49</v>
      </c>
      <c r="Q1212">
        <f t="shared" si="54"/>
        <v>0.26151685393258428</v>
      </c>
      <c r="R1212">
        <f>IF(AND(COUNTIF($A$2:$A$2027,A1212)&gt;1,COUNTIF($A$2:A1212,A1212)=1),1,0)</f>
        <v>0</v>
      </c>
      <c r="S1212" t="b">
        <f>IFERROR(VLOOKUP(D1212,Products!$A$2:$F$61,6,FALSE()),"")</f>
        <v>1</v>
      </c>
      <c r="T1212" t="str">
        <f>IF(COUNTIF(Customers!$A$2:$A$301,C1212)=0,"Missing","OK")</f>
        <v>OK</v>
      </c>
      <c r="U1212" t="str">
        <f t="shared" si="55"/>
        <v>Mumbai</v>
      </c>
      <c r="V1212">
        <f t="shared" si="56"/>
        <v>0</v>
      </c>
    </row>
    <row r="1213" spans="1:22" ht="15" customHeight="1" x14ac:dyDescent="0.35">
      <c r="A1213" s="3" t="s">
        <v>1637</v>
      </c>
      <c r="B1213" s="4">
        <v>45629</v>
      </c>
      <c r="C1213" s="3" t="s">
        <v>939</v>
      </c>
      <c r="D1213" s="3" t="s">
        <v>103</v>
      </c>
      <c r="E1213" s="3" t="s">
        <v>143</v>
      </c>
      <c r="F1213" s="5">
        <v>2</v>
      </c>
      <c r="G1213" s="5">
        <v>1080</v>
      </c>
      <c r="H1213" s="5">
        <v>21.1</v>
      </c>
      <c r="I1213" s="5">
        <v>1704.24</v>
      </c>
      <c r="J1213" s="3" t="s">
        <v>26</v>
      </c>
      <c r="K1213" s="3" t="s">
        <v>56</v>
      </c>
      <c r="L1213" t="str">
        <f>IFERROR(VLOOKUP(D1213,Products!$A$2:$F$61,3,FALSE()),"")</f>
        <v>Home</v>
      </c>
      <c r="M1213" t="str">
        <f>IFERROR(VLOOKUP(E1213,Sales_Reps!$A$2:$C$31,3,FALSE()),"")</f>
        <v>South</v>
      </c>
      <c r="N1213">
        <f>IFERROR(VLOOKUP(D1213,Products!$A$2:$F$61,4,FALSE()),"")</f>
        <v>519</v>
      </c>
      <c r="O1213" t="str">
        <f>IFERROR(VLOOKUP(C1213,Customers!$A$2:$F$301,5,FALSE()),"")</f>
        <v>Retail</v>
      </c>
      <c r="P1213">
        <f>IFERROR(VLOOKUP(C1213,Customers!$A$2:$F$301,3,FALSE()),"")</f>
        <v>27</v>
      </c>
      <c r="Q1213">
        <f t="shared" si="54"/>
        <v>0.51944444444444449</v>
      </c>
      <c r="R1213">
        <f>IF(AND(COUNTIF($A$2:$A$2027,A1213)&gt;1,COUNTIF($A$2:A1213,A1213)=1),1,0)</f>
        <v>0</v>
      </c>
      <c r="S1213" t="b">
        <f>IFERROR(VLOOKUP(D1213,Products!$A$2:$F$61,6,FALSE()),"")</f>
        <v>1</v>
      </c>
      <c r="T1213" t="str">
        <f>IF(COUNTIF(Customers!$A$2:$A$301,C1213)=0,"Missing","OK")</f>
        <v>OK</v>
      </c>
      <c r="U1213" t="str">
        <f t="shared" si="55"/>
        <v>Bengaluru</v>
      </c>
      <c r="V1213">
        <f t="shared" si="56"/>
        <v>0</v>
      </c>
    </row>
    <row r="1214" spans="1:22" ht="15" customHeight="1" x14ac:dyDescent="0.35">
      <c r="A1214" s="3" t="s">
        <v>1638</v>
      </c>
      <c r="B1214" s="4">
        <v>45310</v>
      </c>
      <c r="C1214" s="3" t="s">
        <v>331</v>
      </c>
      <c r="D1214" s="3" t="s">
        <v>306</v>
      </c>
      <c r="E1214" s="3" t="s">
        <v>242</v>
      </c>
      <c r="F1214" s="5">
        <v>5</v>
      </c>
      <c r="G1214" s="5">
        <v>2380</v>
      </c>
      <c r="H1214" s="5">
        <v>20.5</v>
      </c>
      <c r="I1214" s="5">
        <v>9460.5</v>
      </c>
      <c r="J1214" s="3" t="s">
        <v>26</v>
      </c>
      <c r="K1214" s="3" t="s">
        <v>51</v>
      </c>
      <c r="L1214" t="str">
        <f>IFERROR(VLOOKUP(D1214,Products!$A$2:$F$61,3,FALSE()),"")</f>
        <v>Grocery</v>
      </c>
      <c r="M1214" t="str">
        <f>IFERROR(VLOOKUP(E1214,Sales_Reps!$A$2:$C$31,3,FALSE()),"")</f>
        <v>East</v>
      </c>
      <c r="N1214">
        <f>IFERROR(VLOOKUP(D1214,Products!$A$2:$F$61,4,FALSE()),"")</f>
        <v>1182</v>
      </c>
      <c r="O1214" t="str">
        <f>IFERROR(VLOOKUP(C1214,Customers!$A$2:$F$301,5,FALSE()),"")</f>
        <v>Retail</v>
      </c>
      <c r="P1214">
        <f>IFERROR(VLOOKUP(C1214,Customers!$A$2:$F$301,3,FALSE()),"")</f>
        <v>50</v>
      </c>
      <c r="Q1214">
        <f t="shared" si="54"/>
        <v>0.50336134453781511</v>
      </c>
      <c r="R1214">
        <f>IF(AND(COUNTIF($A$2:$A$2027,A1214)&gt;1,COUNTIF($A$2:A1214,A1214)=1),1,0)</f>
        <v>0</v>
      </c>
      <c r="S1214" t="b">
        <f>IFERROR(VLOOKUP(D1214,Products!$A$2:$F$61,6,FALSE()),"")</f>
        <v>1</v>
      </c>
      <c r="T1214" t="str">
        <f>IF(COUNTIF(Customers!$A$2:$A$301,C1214)=0,"Missing","OK")</f>
        <v>OK</v>
      </c>
      <c r="U1214" t="str">
        <f t="shared" si="55"/>
        <v>Mumbai</v>
      </c>
      <c r="V1214">
        <f t="shared" si="56"/>
        <v>0</v>
      </c>
    </row>
    <row r="1215" spans="1:22" ht="15" customHeight="1" x14ac:dyDescent="0.35">
      <c r="A1215" s="3" t="s">
        <v>1639</v>
      </c>
      <c r="B1215" s="4">
        <v>45498</v>
      </c>
      <c r="C1215" s="3" t="s">
        <v>257</v>
      </c>
      <c r="D1215" s="3" t="s">
        <v>106</v>
      </c>
      <c r="E1215" s="3" t="s">
        <v>50</v>
      </c>
      <c r="F1215" s="5">
        <v>9</v>
      </c>
      <c r="G1215" s="5">
        <v>2480</v>
      </c>
      <c r="H1215" s="5">
        <v>1.2</v>
      </c>
      <c r="I1215" s="5">
        <v>22052.16</v>
      </c>
      <c r="J1215" s="3" t="s">
        <v>26</v>
      </c>
      <c r="K1215" s="3" t="s">
        <v>33</v>
      </c>
      <c r="L1215" t="str">
        <f>IFERROR(VLOOKUP(D1215,Products!$A$2:$F$61,3,FALSE()),"")</f>
        <v>Apparel</v>
      </c>
      <c r="M1215" t="str">
        <f>IFERROR(VLOOKUP(E1215,Sales_Reps!$A$2:$C$31,3,FALSE()),"")</f>
        <v>West</v>
      </c>
      <c r="N1215">
        <f>IFERROR(VLOOKUP(D1215,Products!$A$2:$F$61,4,FALSE()),"")</f>
        <v>1173</v>
      </c>
      <c r="O1215" t="str">
        <f>IFERROR(VLOOKUP(C1215,Customers!$A$2:$F$301,5,FALSE()),"")</f>
        <v>SMB</v>
      </c>
      <c r="P1215">
        <f>IFERROR(VLOOKUP(C1215,Customers!$A$2:$F$301,3,FALSE()),"")</f>
        <v>57</v>
      </c>
      <c r="Q1215">
        <f t="shared" si="54"/>
        <v>0.52701612903225803</v>
      </c>
      <c r="R1215">
        <f>IF(AND(COUNTIF($A$2:$A$2027,A1215)&gt;1,COUNTIF($A$2:A1215,A1215)=1),1,0)</f>
        <v>0</v>
      </c>
      <c r="S1215" t="b">
        <f>IFERROR(VLOOKUP(D1215,Products!$A$2:$F$61,6,FALSE()),"")</f>
        <v>1</v>
      </c>
      <c r="T1215" t="str">
        <f>IF(COUNTIF(Customers!$A$2:$A$301,C1215)=0,"Missing","OK")</f>
        <v>OK</v>
      </c>
      <c r="U1215" t="str">
        <f t="shared" si="55"/>
        <v>Chennai</v>
      </c>
      <c r="V1215">
        <f t="shared" si="56"/>
        <v>0</v>
      </c>
    </row>
    <row r="1216" spans="1:22" ht="15" customHeight="1" x14ac:dyDescent="0.35">
      <c r="A1216" s="3" t="s">
        <v>1640</v>
      </c>
      <c r="B1216" s="4">
        <v>45348</v>
      </c>
      <c r="C1216" s="3" t="s">
        <v>680</v>
      </c>
      <c r="D1216" s="3" t="s">
        <v>325</v>
      </c>
      <c r="E1216" s="3" t="s">
        <v>264</v>
      </c>
      <c r="F1216" s="5">
        <v>9</v>
      </c>
      <c r="G1216" s="5">
        <v>2290</v>
      </c>
      <c r="H1216" s="5">
        <v>0.9</v>
      </c>
      <c r="I1216" s="5">
        <v>20424.509999999998</v>
      </c>
      <c r="J1216" s="3" t="s">
        <v>26</v>
      </c>
      <c r="K1216" s="3" t="s">
        <v>72</v>
      </c>
      <c r="L1216" t="str">
        <f>IFERROR(VLOOKUP(D1216,Products!$A$2:$F$61,3,FALSE()),"")</f>
        <v>Beauty</v>
      </c>
      <c r="M1216" t="str">
        <f>IFERROR(VLOOKUP(E1216,Sales_Reps!$A$2:$C$31,3,FALSE()),"")</f>
        <v>South</v>
      </c>
      <c r="N1216">
        <f>IFERROR(VLOOKUP(D1216,Products!$A$2:$F$61,4,FALSE()),"")</f>
        <v>1219</v>
      </c>
      <c r="O1216" t="str">
        <f>IFERROR(VLOOKUP(C1216,Customers!$A$2:$F$301,5,FALSE()),"")</f>
        <v>SMB</v>
      </c>
      <c r="P1216">
        <f>IFERROR(VLOOKUP(C1216,Customers!$A$2:$F$301,3,FALSE()),"")</f>
        <v>29</v>
      </c>
      <c r="Q1216">
        <f t="shared" si="54"/>
        <v>0.46768558951965067</v>
      </c>
      <c r="R1216">
        <f>IF(AND(COUNTIF($A$2:$A$2027,A1216)&gt;1,COUNTIF($A$2:A1216,A1216)=1),1,0)</f>
        <v>0</v>
      </c>
      <c r="S1216" t="b">
        <f>IFERROR(VLOOKUP(D1216,Products!$A$2:$F$61,6,FALSE()),"")</f>
        <v>1</v>
      </c>
      <c r="T1216" t="str">
        <f>IF(COUNTIF(Customers!$A$2:$A$301,C1216)=0,"Missing","OK")</f>
        <v>OK</v>
      </c>
      <c r="U1216" t="str">
        <f t="shared" si="55"/>
        <v>Hyderabad</v>
      </c>
      <c r="V1216">
        <f t="shared" si="56"/>
        <v>0</v>
      </c>
    </row>
    <row r="1217" spans="1:22" ht="15" customHeight="1" x14ac:dyDescent="0.35">
      <c r="A1217" s="3" t="s">
        <v>1641</v>
      </c>
      <c r="B1217" s="4">
        <v>45382</v>
      </c>
      <c r="C1217" s="3" t="s">
        <v>467</v>
      </c>
      <c r="D1217" s="3" t="s">
        <v>391</v>
      </c>
      <c r="E1217" s="3" t="s">
        <v>212</v>
      </c>
      <c r="F1217" s="5">
        <v>3</v>
      </c>
      <c r="G1217" s="5">
        <v>3450</v>
      </c>
      <c r="H1217" s="5">
        <v>29.5</v>
      </c>
      <c r="I1217" s="5">
        <v>7296.75</v>
      </c>
      <c r="J1217" s="3" t="s">
        <v>26</v>
      </c>
      <c r="K1217" s="3" t="s">
        <v>51</v>
      </c>
      <c r="L1217" t="str">
        <f>IFERROR(VLOOKUP(D1217,Products!$A$2:$F$61,3,FALSE()),"")</f>
        <v>Apparel</v>
      </c>
      <c r="M1217" t="str">
        <f>IFERROR(VLOOKUP(E1217,Sales_Reps!$A$2:$C$31,3,FALSE()),"")</f>
        <v>South</v>
      </c>
      <c r="N1217">
        <f>IFERROR(VLOOKUP(D1217,Products!$A$2:$F$61,4,FALSE()),"")</f>
        <v>1748</v>
      </c>
      <c r="O1217" t="str">
        <f>IFERROR(VLOOKUP(C1217,Customers!$A$2:$F$301,5,FALSE()),"")</f>
        <v>Retail</v>
      </c>
      <c r="P1217">
        <f>IFERROR(VLOOKUP(C1217,Customers!$A$2:$F$301,3,FALSE()),"")</f>
        <v>44</v>
      </c>
      <c r="Q1217">
        <f t="shared" si="54"/>
        <v>0.49333333333333335</v>
      </c>
      <c r="R1217">
        <f>IF(AND(COUNTIF($A$2:$A$2027,A1217)&gt;1,COUNTIF($A$2:A1217,A1217)=1),1,0)</f>
        <v>0</v>
      </c>
      <c r="S1217" t="b">
        <f>IFERROR(VLOOKUP(D1217,Products!$A$2:$F$61,6,FALSE()),"")</f>
        <v>1</v>
      </c>
      <c r="T1217" t="str">
        <f>IF(COUNTIF(Customers!$A$2:$A$301,C1217)=0,"Missing","OK")</f>
        <v>OK</v>
      </c>
      <c r="U1217" t="str">
        <f t="shared" si="55"/>
        <v>Mumbai</v>
      </c>
      <c r="V1217">
        <f t="shared" si="56"/>
        <v>0</v>
      </c>
    </row>
    <row r="1218" spans="1:22" ht="15" customHeight="1" x14ac:dyDescent="0.35">
      <c r="A1218" s="3" t="s">
        <v>1642</v>
      </c>
      <c r="B1218" s="4">
        <v>45569</v>
      </c>
      <c r="C1218" s="3" t="s">
        <v>76</v>
      </c>
      <c r="D1218" s="3" t="s">
        <v>96</v>
      </c>
      <c r="E1218" s="3" t="s">
        <v>55</v>
      </c>
      <c r="F1218" s="5">
        <v>9</v>
      </c>
      <c r="G1218" s="5">
        <v>3450</v>
      </c>
      <c r="H1218" s="5">
        <v>19.399999999999999</v>
      </c>
      <c r="I1218" s="5">
        <v>25026.3</v>
      </c>
      <c r="J1218" s="3" t="s">
        <v>26</v>
      </c>
      <c r="K1218" s="3" t="s">
        <v>38</v>
      </c>
      <c r="L1218" t="str">
        <f>IFERROR(VLOOKUP(D1218,Products!$A$2:$F$61,3,FALSE()),"")</f>
        <v>Beauty</v>
      </c>
      <c r="M1218" t="str">
        <f>IFERROR(VLOOKUP(E1218,Sales_Reps!$A$2:$C$31,3,FALSE()),"")</f>
        <v>West</v>
      </c>
      <c r="N1218">
        <f>IFERROR(VLOOKUP(D1218,Products!$A$2:$F$61,4,FALSE()),"")</f>
        <v>2420</v>
      </c>
      <c r="O1218" t="str">
        <f>IFERROR(VLOOKUP(C1218,Customers!$A$2:$F$301,5,FALSE()),"")</f>
        <v>SMB</v>
      </c>
      <c r="P1218">
        <f>IFERROR(VLOOKUP(C1218,Customers!$A$2:$F$301,3,FALSE()),"")</f>
        <v>27</v>
      </c>
      <c r="Q1218">
        <f t="shared" ref="Q1218:Q1281" si="57">IFERROR((G1218-N1218)/G1218,"")</f>
        <v>0.29855072463768118</v>
      </c>
      <c r="R1218">
        <f>IF(AND(COUNTIF($A$2:$A$2027,A1218)&gt;1,COUNTIF($A$2:A1218,A1218)=1),1,0)</f>
        <v>0</v>
      </c>
      <c r="S1218" t="b">
        <f>IFERROR(VLOOKUP(D1218,Products!$A$2:$F$61,6,FALSE()),"")</f>
        <v>1</v>
      </c>
      <c r="T1218" t="str">
        <f>IF(COUNTIF(Customers!$A$2:$A$301,C1218)=0,"Missing","OK")</f>
        <v>OK</v>
      </c>
      <c r="U1218" t="str">
        <f t="shared" ref="U1218:U1281" si="58">IF(K1218="","",PROPER(TRIM(K1218)))</f>
        <v>Delhi</v>
      </c>
      <c r="V1218">
        <f t="shared" ref="V1218:V1281" si="59">IF(AND(U1218="Bengaluru",L1218="Grocery"),I1218,0)</f>
        <v>0</v>
      </c>
    </row>
    <row r="1219" spans="1:22" ht="15" customHeight="1" x14ac:dyDescent="0.35">
      <c r="A1219" s="3" t="s">
        <v>1643</v>
      </c>
      <c r="B1219" s="4">
        <v>45516</v>
      </c>
      <c r="C1219" s="3" t="s">
        <v>270</v>
      </c>
      <c r="D1219" s="3" t="s">
        <v>77</v>
      </c>
      <c r="E1219" s="3" t="s">
        <v>109</v>
      </c>
      <c r="F1219" s="5">
        <v>2</v>
      </c>
      <c r="G1219" s="5">
        <v>2600</v>
      </c>
      <c r="H1219" s="5">
        <v>20.2</v>
      </c>
      <c r="I1219" s="5">
        <v>4149.6000000000004</v>
      </c>
      <c r="J1219" s="3" t="s">
        <v>79</v>
      </c>
      <c r="K1219" s="3" t="s">
        <v>56</v>
      </c>
      <c r="L1219" t="str">
        <f>IFERROR(VLOOKUP(D1219,Products!$A$2:$F$61,3,FALSE()),"")</f>
        <v>Electronics</v>
      </c>
      <c r="M1219" t="str">
        <f>IFERROR(VLOOKUP(E1219,Sales_Reps!$A$2:$C$31,3,FALSE()),"")</f>
        <v>West</v>
      </c>
      <c r="N1219">
        <f>IFERROR(VLOOKUP(D1219,Products!$A$2:$F$61,4,FALSE()),"")</f>
        <v>1052</v>
      </c>
      <c r="O1219" t="str">
        <f>IFERROR(VLOOKUP(C1219,Customers!$A$2:$F$301,5,FALSE()),"")</f>
        <v>Corporate</v>
      </c>
      <c r="P1219">
        <f>IFERROR(VLOOKUP(C1219,Customers!$A$2:$F$301,3,FALSE()),"")</f>
        <v>59</v>
      </c>
      <c r="Q1219">
        <f t="shared" si="57"/>
        <v>0.5953846153846154</v>
      </c>
      <c r="R1219">
        <f>IF(AND(COUNTIF($A$2:$A$2027,A1219)&gt;1,COUNTIF($A$2:A1219,A1219)=1),1,0)</f>
        <v>0</v>
      </c>
      <c r="S1219" t="b">
        <f>IFERROR(VLOOKUP(D1219,Products!$A$2:$F$61,6,FALSE()),"")</f>
        <v>1</v>
      </c>
      <c r="T1219" t="str">
        <f>IF(COUNTIF(Customers!$A$2:$A$301,C1219)=0,"Missing","OK")</f>
        <v>OK</v>
      </c>
      <c r="U1219" t="str">
        <f t="shared" si="58"/>
        <v>Bengaluru</v>
      </c>
      <c r="V1219">
        <f t="shared" si="59"/>
        <v>0</v>
      </c>
    </row>
    <row r="1220" spans="1:22" ht="15" customHeight="1" x14ac:dyDescent="0.35">
      <c r="A1220" s="3" t="s">
        <v>1644</v>
      </c>
      <c r="B1220" s="4">
        <v>45519</v>
      </c>
      <c r="C1220" s="3" t="s">
        <v>955</v>
      </c>
      <c r="D1220" s="3" t="s">
        <v>139</v>
      </c>
      <c r="E1220" s="3" t="s">
        <v>50</v>
      </c>
      <c r="F1220" s="5">
        <v>1</v>
      </c>
      <c r="G1220" s="5">
        <v>2760</v>
      </c>
      <c r="H1220" s="5">
        <v>9.5</v>
      </c>
      <c r="I1220" s="5">
        <v>2497.8000000000002</v>
      </c>
      <c r="J1220" s="3" t="s">
        <v>26</v>
      </c>
      <c r="K1220" s="3" t="s">
        <v>56</v>
      </c>
      <c r="L1220" t="str">
        <f>IFERROR(VLOOKUP(D1220,Products!$A$2:$F$61,3,FALSE()),"")</f>
        <v>Grocery</v>
      </c>
      <c r="M1220" t="str">
        <f>IFERROR(VLOOKUP(E1220,Sales_Reps!$A$2:$C$31,3,FALSE()),"")</f>
        <v>West</v>
      </c>
      <c r="N1220">
        <f>IFERROR(VLOOKUP(D1220,Products!$A$2:$F$61,4,FALSE()),"")</f>
        <v>1435</v>
      </c>
      <c r="O1220" t="str">
        <f>IFERROR(VLOOKUP(C1220,Customers!$A$2:$F$301,5,FALSE()),"")</f>
        <v>SMB</v>
      </c>
      <c r="P1220">
        <f>IFERROR(VLOOKUP(C1220,Customers!$A$2:$F$301,3,FALSE()),"")</f>
        <v>49</v>
      </c>
      <c r="Q1220">
        <f t="shared" si="57"/>
        <v>0.48007246376811596</v>
      </c>
      <c r="R1220">
        <f>IF(AND(COUNTIF($A$2:$A$2027,A1220)&gt;1,COUNTIF($A$2:A1220,A1220)=1),1,0)</f>
        <v>0</v>
      </c>
      <c r="S1220" t="b">
        <f>IFERROR(VLOOKUP(D1220,Products!$A$2:$F$61,6,FALSE()),"")</f>
        <v>1</v>
      </c>
      <c r="T1220" t="str">
        <f>IF(COUNTIF(Customers!$A$2:$A$301,C1220)=0,"Missing","OK")</f>
        <v>OK</v>
      </c>
      <c r="U1220" t="str">
        <f t="shared" si="58"/>
        <v>Bengaluru</v>
      </c>
      <c r="V1220">
        <f t="shared" si="59"/>
        <v>2497.8000000000002</v>
      </c>
    </row>
    <row r="1221" spans="1:22" ht="15" customHeight="1" x14ac:dyDescent="0.35">
      <c r="A1221" s="3" t="s">
        <v>1645</v>
      </c>
      <c r="B1221" s="4">
        <v>45593</v>
      </c>
      <c r="C1221" s="3" t="s">
        <v>538</v>
      </c>
      <c r="D1221" s="3" t="s">
        <v>209</v>
      </c>
      <c r="E1221" s="3" t="s">
        <v>87</v>
      </c>
      <c r="F1221" s="5">
        <v>4</v>
      </c>
      <c r="G1221" s="5">
        <v>4610</v>
      </c>
      <c r="H1221" s="5">
        <v>14.8</v>
      </c>
      <c r="I1221" s="5">
        <v>15710.88</v>
      </c>
      <c r="J1221" s="3" t="s">
        <v>26</v>
      </c>
      <c r="K1221" s="3" t="s">
        <v>56</v>
      </c>
      <c r="L1221" t="str">
        <f>IFERROR(VLOOKUP(D1221,Products!$A$2:$F$61,3,FALSE()),"")</f>
        <v>Home</v>
      </c>
      <c r="M1221" t="str">
        <f>IFERROR(VLOOKUP(E1221,Sales_Reps!$A$2:$C$31,3,FALSE()),"")</f>
        <v>North</v>
      </c>
      <c r="N1221">
        <f>IFERROR(VLOOKUP(D1221,Products!$A$2:$F$61,4,FALSE()),"")</f>
        <v>1850</v>
      </c>
      <c r="O1221" t="str">
        <f>IFERROR(VLOOKUP(C1221,Customers!$A$2:$F$301,5,FALSE()),"")</f>
        <v>Corporate</v>
      </c>
      <c r="P1221">
        <f>IFERROR(VLOOKUP(C1221,Customers!$A$2:$F$301,3,FALSE()),"")</f>
        <v>26</v>
      </c>
      <c r="Q1221">
        <f t="shared" si="57"/>
        <v>0.59869848156182215</v>
      </c>
      <c r="R1221">
        <f>IF(AND(COUNTIF($A$2:$A$2027,A1221)&gt;1,COUNTIF($A$2:A1221,A1221)=1),1,0)</f>
        <v>0</v>
      </c>
      <c r="S1221" t="b">
        <f>IFERROR(VLOOKUP(D1221,Products!$A$2:$F$61,6,FALSE()),"")</f>
        <v>1</v>
      </c>
      <c r="T1221" t="str">
        <f>IF(COUNTIF(Customers!$A$2:$A$301,C1221)=0,"Missing","OK")</f>
        <v>OK</v>
      </c>
      <c r="U1221" t="str">
        <f t="shared" si="58"/>
        <v>Bengaluru</v>
      </c>
      <c r="V1221">
        <f t="shared" si="59"/>
        <v>0</v>
      </c>
    </row>
    <row r="1222" spans="1:22" ht="15" customHeight="1" x14ac:dyDescent="0.35">
      <c r="A1222" s="3" t="s">
        <v>1646</v>
      </c>
      <c r="B1222" s="4">
        <v>45532</v>
      </c>
      <c r="C1222" s="3" t="s">
        <v>69</v>
      </c>
      <c r="D1222" s="3" t="s">
        <v>106</v>
      </c>
      <c r="E1222" s="3" t="s">
        <v>55</v>
      </c>
      <c r="F1222" s="5">
        <v>3</v>
      </c>
      <c r="G1222" s="5">
        <v>2480</v>
      </c>
      <c r="H1222" s="5">
        <v>3.7</v>
      </c>
      <c r="I1222" s="5">
        <v>7164.72</v>
      </c>
      <c r="J1222" s="3" t="s">
        <v>26</v>
      </c>
      <c r="K1222" s="3" t="s">
        <v>72</v>
      </c>
      <c r="L1222" t="str">
        <f>IFERROR(VLOOKUP(D1222,Products!$A$2:$F$61,3,FALSE()),"")</f>
        <v>Apparel</v>
      </c>
      <c r="M1222" t="str">
        <f>IFERROR(VLOOKUP(E1222,Sales_Reps!$A$2:$C$31,3,FALSE()),"")</f>
        <v>West</v>
      </c>
      <c r="N1222">
        <f>IFERROR(VLOOKUP(D1222,Products!$A$2:$F$61,4,FALSE()),"")</f>
        <v>1173</v>
      </c>
      <c r="O1222" t="str">
        <f>IFERROR(VLOOKUP(C1222,Customers!$A$2:$F$301,5,FALSE()),"")</f>
        <v>Retail</v>
      </c>
      <c r="P1222">
        <f>IFERROR(VLOOKUP(C1222,Customers!$A$2:$F$301,3,FALSE()),"")</f>
        <v>60</v>
      </c>
      <c r="Q1222">
        <f t="shared" si="57"/>
        <v>0.52701612903225803</v>
      </c>
      <c r="R1222">
        <f>IF(AND(COUNTIF($A$2:$A$2027,A1222)&gt;1,COUNTIF($A$2:A1222,A1222)=1),1,0)</f>
        <v>0</v>
      </c>
      <c r="S1222" t="b">
        <f>IFERROR(VLOOKUP(D1222,Products!$A$2:$F$61,6,FALSE()),"")</f>
        <v>1</v>
      </c>
      <c r="T1222" t="str">
        <f>IF(COUNTIF(Customers!$A$2:$A$301,C1222)=0,"Missing","OK")</f>
        <v>OK</v>
      </c>
      <c r="U1222" t="str">
        <f t="shared" si="58"/>
        <v>Hyderabad</v>
      </c>
      <c r="V1222">
        <f t="shared" si="59"/>
        <v>0</v>
      </c>
    </row>
    <row r="1223" spans="1:22" ht="15" customHeight="1" x14ac:dyDescent="0.35">
      <c r="A1223" s="3" t="s">
        <v>1647</v>
      </c>
      <c r="B1223" s="4">
        <v>45610</v>
      </c>
      <c r="C1223" s="3" t="s">
        <v>680</v>
      </c>
      <c r="D1223" s="3" t="s">
        <v>454</v>
      </c>
      <c r="E1223" s="3" t="s">
        <v>212</v>
      </c>
      <c r="F1223" s="5">
        <v>5</v>
      </c>
      <c r="G1223" s="5">
        <v>6940</v>
      </c>
      <c r="H1223" s="5">
        <v>0.3</v>
      </c>
      <c r="I1223" s="5">
        <v>34595.9</v>
      </c>
      <c r="J1223" s="3" t="s">
        <v>26</v>
      </c>
      <c r="K1223" s="3" t="s">
        <v>72</v>
      </c>
      <c r="L1223" t="str">
        <f>IFERROR(VLOOKUP(D1223,Products!$A$2:$F$61,3,FALSE()),"")</f>
        <v>Sports</v>
      </c>
      <c r="M1223" t="str">
        <f>IFERROR(VLOOKUP(E1223,Sales_Reps!$A$2:$C$31,3,FALSE()),"")</f>
        <v>South</v>
      </c>
      <c r="N1223">
        <f>IFERROR(VLOOKUP(D1223,Products!$A$2:$F$61,4,FALSE()),"")</f>
        <v>2827</v>
      </c>
      <c r="O1223" t="str">
        <f>IFERROR(VLOOKUP(C1223,Customers!$A$2:$F$301,5,FALSE()),"")</f>
        <v>SMB</v>
      </c>
      <c r="P1223">
        <f>IFERROR(VLOOKUP(C1223,Customers!$A$2:$F$301,3,FALSE()),"")</f>
        <v>29</v>
      </c>
      <c r="Q1223">
        <f t="shared" si="57"/>
        <v>0.5926512968299712</v>
      </c>
      <c r="R1223">
        <f>IF(AND(COUNTIF($A$2:$A$2027,A1223)&gt;1,COUNTIF($A$2:A1223,A1223)=1),1,0)</f>
        <v>0</v>
      </c>
      <c r="S1223" t="b">
        <f>IFERROR(VLOOKUP(D1223,Products!$A$2:$F$61,6,FALSE()),"")</f>
        <v>1</v>
      </c>
      <c r="T1223" t="str">
        <f>IF(COUNTIF(Customers!$A$2:$A$301,C1223)=0,"Missing","OK")</f>
        <v>OK</v>
      </c>
      <c r="U1223" t="str">
        <f t="shared" si="58"/>
        <v>Hyderabad</v>
      </c>
      <c r="V1223">
        <f t="shared" si="59"/>
        <v>0</v>
      </c>
    </row>
    <row r="1224" spans="1:22" ht="15" customHeight="1" x14ac:dyDescent="0.35">
      <c r="A1224" s="3" t="s">
        <v>1648</v>
      </c>
      <c r="B1224" s="4">
        <v>45560</v>
      </c>
      <c r="C1224" s="3" t="s">
        <v>472</v>
      </c>
      <c r="D1224" s="3" t="s">
        <v>184</v>
      </c>
      <c r="E1224" s="3" t="s">
        <v>93</v>
      </c>
      <c r="F1224" s="5">
        <v>8</v>
      </c>
      <c r="G1224" s="5">
        <v>2270</v>
      </c>
      <c r="H1224" s="5">
        <v>15.6</v>
      </c>
      <c r="I1224" s="5">
        <v>15327.04</v>
      </c>
      <c r="J1224" s="3" t="s">
        <v>32</v>
      </c>
      <c r="K1224" s="3" t="s">
        <v>38</v>
      </c>
      <c r="L1224" t="str">
        <f>IFERROR(VLOOKUP(D1224,Products!$A$2:$F$61,3,FALSE()),"")</f>
        <v>Grocery</v>
      </c>
      <c r="M1224" t="str">
        <f>IFERROR(VLOOKUP(E1224,Sales_Reps!$A$2:$C$31,3,FALSE()),"")</f>
        <v>East</v>
      </c>
      <c r="N1224">
        <f>IFERROR(VLOOKUP(D1224,Products!$A$2:$F$61,4,FALSE()),"")</f>
        <v>1412</v>
      </c>
      <c r="O1224" t="str">
        <f>IFERROR(VLOOKUP(C1224,Customers!$A$2:$F$301,5,FALSE()),"")</f>
        <v>SMB</v>
      </c>
      <c r="P1224">
        <f>IFERROR(VLOOKUP(C1224,Customers!$A$2:$F$301,3,FALSE()),"")</f>
        <v>48</v>
      </c>
      <c r="Q1224">
        <f t="shared" si="57"/>
        <v>0.37797356828193834</v>
      </c>
      <c r="R1224">
        <f>IF(AND(COUNTIF($A$2:$A$2027,A1224)&gt;1,COUNTIF($A$2:A1224,A1224)=1),1,0)</f>
        <v>0</v>
      </c>
      <c r="S1224" t="b">
        <f>IFERROR(VLOOKUP(D1224,Products!$A$2:$F$61,6,FALSE()),"")</f>
        <v>1</v>
      </c>
      <c r="T1224" t="str">
        <f>IF(COUNTIF(Customers!$A$2:$A$301,C1224)=0,"Missing","OK")</f>
        <v>OK</v>
      </c>
      <c r="U1224" t="str">
        <f t="shared" si="58"/>
        <v>Delhi</v>
      </c>
      <c r="V1224">
        <f t="shared" si="59"/>
        <v>0</v>
      </c>
    </row>
    <row r="1225" spans="1:22" ht="15" customHeight="1" x14ac:dyDescent="0.35">
      <c r="A1225" s="3" t="s">
        <v>1649</v>
      </c>
      <c r="B1225" s="4">
        <v>45431</v>
      </c>
      <c r="C1225" s="3" t="s">
        <v>922</v>
      </c>
      <c r="D1225" s="3" t="s">
        <v>130</v>
      </c>
      <c r="E1225" s="3" t="s">
        <v>109</v>
      </c>
      <c r="F1225" s="5">
        <v>5</v>
      </c>
      <c r="G1225" s="5">
        <v>5100</v>
      </c>
      <c r="H1225" s="5">
        <v>9.5</v>
      </c>
      <c r="I1225" s="5">
        <v>23077.5</v>
      </c>
      <c r="J1225" s="3" t="s">
        <v>26</v>
      </c>
      <c r="K1225" s="3" t="s">
        <v>56</v>
      </c>
      <c r="L1225" t="str">
        <f>IFERROR(VLOOKUP(D1225,Products!$A$2:$F$61,3,FALSE()),"")</f>
        <v>Beauty</v>
      </c>
      <c r="M1225" t="str">
        <f>IFERROR(VLOOKUP(E1225,Sales_Reps!$A$2:$C$31,3,FALSE()),"")</f>
        <v>West</v>
      </c>
      <c r="N1225">
        <f>IFERROR(VLOOKUP(D1225,Products!$A$2:$F$61,4,FALSE()),"")</f>
        <v>2237</v>
      </c>
      <c r="O1225" t="str">
        <f>IFERROR(VLOOKUP(C1225,Customers!$A$2:$F$301,5,FALSE()),"")</f>
        <v>SMB</v>
      </c>
      <c r="P1225">
        <f>IFERROR(VLOOKUP(C1225,Customers!$A$2:$F$301,3,FALSE()),"")</f>
        <v>36</v>
      </c>
      <c r="Q1225">
        <f t="shared" si="57"/>
        <v>0.56137254901960787</v>
      </c>
      <c r="R1225">
        <f>IF(AND(COUNTIF($A$2:$A$2027,A1225)&gt;1,COUNTIF($A$2:A1225,A1225)=1),1,0)</f>
        <v>0</v>
      </c>
      <c r="S1225" t="b">
        <f>IFERROR(VLOOKUP(D1225,Products!$A$2:$F$61,6,FALSE()),"")</f>
        <v>1</v>
      </c>
      <c r="T1225" t="str">
        <f>IF(COUNTIF(Customers!$A$2:$A$301,C1225)=0,"Missing","OK")</f>
        <v>OK</v>
      </c>
      <c r="U1225" t="str">
        <f t="shared" si="58"/>
        <v>Bengaluru</v>
      </c>
      <c r="V1225">
        <f t="shared" si="59"/>
        <v>0</v>
      </c>
    </row>
    <row r="1226" spans="1:22" ht="15" customHeight="1" x14ac:dyDescent="0.35">
      <c r="A1226" s="3" t="s">
        <v>1650</v>
      </c>
      <c r="B1226" s="4">
        <v>45594</v>
      </c>
      <c r="C1226" s="3" t="s">
        <v>233</v>
      </c>
      <c r="D1226" s="3" t="s">
        <v>82</v>
      </c>
      <c r="E1226" s="3" t="s">
        <v>212</v>
      </c>
      <c r="F1226" s="5">
        <v>5</v>
      </c>
      <c r="G1226" s="5">
        <v>3250</v>
      </c>
      <c r="H1226" s="5">
        <v>8.1</v>
      </c>
      <c r="I1226" s="5">
        <v>14933.75</v>
      </c>
      <c r="J1226" s="3" t="s">
        <v>26</v>
      </c>
      <c r="K1226" s="3" t="s">
        <v>72</v>
      </c>
      <c r="L1226" t="str">
        <f>IFERROR(VLOOKUP(D1226,Products!$A$2:$F$61,3,FALSE()),"")</f>
        <v>Home</v>
      </c>
      <c r="M1226" t="str">
        <f>IFERROR(VLOOKUP(E1226,Sales_Reps!$A$2:$C$31,3,FALSE()),"")</f>
        <v>South</v>
      </c>
      <c r="N1226">
        <f>IFERROR(VLOOKUP(D1226,Products!$A$2:$F$61,4,FALSE()),"")</f>
        <v>1556</v>
      </c>
      <c r="O1226" t="str">
        <f>IFERROR(VLOOKUP(C1226,Customers!$A$2:$F$301,5,FALSE()),"")</f>
        <v>SMB</v>
      </c>
      <c r="P1226">
        <f>IFERROR(VLOOKUP(C1226,Customers!$A$2:$F$301,3,FALSE()),"")</f>
        <v>43</v>
      </c>
      <c r="Q1226">
        <f t="shared" si="57"/>
        <v>0.52123076923076928</v>
      </c>
      <c r="R1226">
        <f>IF(AND(COUNTIF($A$2:$A$2027,A1226)&gt;1,COUNTIF($A$2:A1226,A1226)=1),1,0)</f>
        <v>0</v>
      </c>
      <c r="S1226" t="b">
        <f>IFERROR(VLOOKUP(D1226,Products!$A$2:$F$61,6,FALSE()),"")</f>
        <v>1</v>
      </c>
      <c r="T1226" t="str">
        <f>IF(COUNTIF(Customers!$A$2:$A$301,C1226)=0,"Missing","OK")</f>
        <v>OK</v>
      </c>
      <c r="U1226" t="str">
        <f t="shared" si="58"/>
        <v>Hyderabad</v>
      </c>
      <c r="V1226">
        <f t="shared" si="59"/>
        <v>0</v>
      </c>
    </row>
    <row r="1227" spans="1:22" ht="15" customHeight="1" x14ac:dyDescent="0.35">
      <c r="A1227" s="3" t="s">
        <v>1651</v>
      </c>
      <c r="B1227" s="4">
        <v>45609</v>
      </c>
      <c r="C1227" s="3" t="s">
        <v>342</v>
      </c>
      <c r="D1227" s="3" t="s">
        <v>347</v>
      </c>
      <c r="E1227" s="3" t="s">
        <v>87</v>
      </c>
      <c r="F1227" s="5">
        <v>6</v>
      </c>
      <c r="G1227" s="5">
        <v>3970</v>
      </c>
      <c r="H1227" s="5">
        <v>18.8</v>
      </c>
      <c r="I1227" s="5">
        <v>19341.84</v>
      </c>
      <c r="J1227" s="3" t="s">
        <v>32</v>
      </c>
      <c r="K1227" s="3" t="s">
        <v>56</v>
      </c>
      <c r="L1227" t="str">
        <f>IFERROR(VLOOKUP(D1227,Products!$A$2:$F$61,3,FALSE()),"")</f>
        <v>Electronics</v>
      </c>
      <c r="M1227" t="str">
        <f>IFERROR(VLOOKUP(E1227,Sales_Reps!$A$2:$C$31,3,FALSE()),"")</f>
        <v>North</v>
      </c>
      <c r="N1227">
        <f>IFERROR(VLOOKUP(D1227,Products!$A$2:$F$61,4,FALSE()),"")</f>
        <v>2865</v>
      </c>
      <c r="O1227" t="str">
        <f>IFERROR(VLOOKUP(C1227,Customers!$A$2:$F$301,5,FALSE()),"")</f>
        <v>Retail</v>
      </c>
      <c r="P1227">
        <f>IFERROR(VLOOKUP(C1227,Customers!$A$2:$F$301,3,FALSE()),"")</f>
        <v>59</v>
      </c>
      <c r="Q1227">
        <f t="shared" si="57"/>
        <v>0.27833753148614609</v>
      </c>
      <c r="R1227">
        <f>IF(AND(COUNTIF($A$2:$A$2027,A1227)&gt;1,COUNTIF($A$2:A1227,A1227)=1),1,0)</f>
        <v>0</v>
      </c>
      <c r="S1227" t="b">
        <f>IFERROR(VLOOKUP(D1227,Products!$A$2:$F$61,6,FALSE()),"")</f>
        <v>1</v>
      </c>
      <c r="T1227" t="str">
        <f>IF(COUNTIF(Customers!$A$2:$A$301,C1227)=0,"Missing","OK")</f>
        <v>OK</v>
      </c>
      <c r="U1227" t="str">
        <f t="shared" si="58"/>
        <v>Bengaluru</v>
      </c>
      <c r="V1227">
        <f t="shared" si="59"/>
        <v>0</v>
      </c>
    </row>
    <row r="1228" spans="1:22" ht="15" customHeight="1" x14ac:dyDescent="0.35">
      <c r="A1228" s="3" t="s">
        <v>1652</v>
      </c>
      <c r="B1228" s="4">
        <v>45546</v>
      </c>
      <c r="C1228" s="3" t="s">
        <v>421</v>
      </c>
      <c r="D1228" s="3" t="s">
        <v>303</v>
      </c>
      <c r="E1228" s="3" t="s">
        <v>50</v>
      </c>
      <c r="F1228" s="5">
        <v>4</v>
      </c>
      <c r="G1228" s="5">
        <v>5330</v>
      </c>
      <c r="H1228" s="5">
        <v>19.7</v>
      </c>
      <c r="I1228" s="5">
        <v>17119.96</v>
      </c>
      <c r="J1228" s="3" t="s">
        <v>26</v>
      </c>
      <c r="K1228" s="3" t="s">
        <v>72</v>
      </c>
      <c r="L1228" t="str">
        <f>IFERROR(VLOOKUP(D1228,Products!$A$2:$F$61,3,FALSE()),"")</f>
        <v>Electronics</v>
      </c>
      <c r="M1228" t="str">
        <f>IFERROR(VLOOKUP(E1228,Sales_Reps!$A$2:$C$31,3,FALSE()),"")</f>
        <v>West</v>
      </c>
      <c r="N1228">
        <f>IFERROR(VLOOKUP(D1228,Products!$A$2:$F$61,4,FALSE()),"")</f>
        <v>2405</v>
      </c>
      <c r="O1228" t="str">
        <f>IFERROR(VLOOKUP(C1228,Customers!$A$2:$F$301,5,FALSE()),"")</f>
        <v>Corporate</v>
      </c>
      <c r="P1228">
        <f>IFERROR(VLOOKUP(C1228,Customers!$A$2:$F$301,3,FALSE()),"")</f>
        <v>52</v>
      </c>
      <c r="Q1228">
        <f t="shared" si="57"/>
        <v>0.54878048780487809</v>
      </c>
      <c r="R1228">
        <f>IF(AND(COUNTIF($A$2:$A$2027,A1228)&gt;1,COUNTIF($A$2:A1228,A1228)=1),1,0)</f>
        <v>0</v>
      </c>
      <c r="S1228" t="b">
        <f>IFERROR(VLOOKUP(D1228,Products!$A$2:$F$61,6,FALSE()),"")</f>
        <v>1</v>
      </c>
      <c r="T1228" t="str">
        <f>IF(COUNTIF(Customers!$A$2:$A$301,C1228)=0,"Missing","OK")</f>
        <v>OK</v>
      </c>
      <c r="U1228" t="str">
        <f t="shared" si="58"/>
        <v>Hyderabad</v>
      </c>
      <c r="V1228">
        <f t="shared" si="59"/>
        <v>0</v>
      </c>
    </row>
    <row r="1229" spans="1:22" ht="15" customHeight="1" x14ac:dyDescent="0.35">
      <c r="A1229" s="3" t="s">
        <v>1653</v>
      </c>
      <c r="B1229" s="4">
        <v>45607</v>
      </c>
      <c r="C1229" s="3" t="s">
        <v>249</v>
      </c>
      <c r="D1229" s="3" t="s">
        <v>218</v>
      </c>
      <c r="E1229" s="3" t="s">
        <v>78</v>
      </c>
      <c r="F1229" s="5">
        <v>7</v>
      </c>
      <c r="G1229" s="5">
        <v>2660</v>
      </c>
      <c r="H1229" s="5">
        <v>8.5</v>
      </c>
      <c r="I1229" s="5">
        <v>17037.3</v>
      </c>
      <c r="J1229" s="3" t="s">
        <v>26</v>
      </c>
      <c r="K1229" s="3" t="s">
        <v>56</v>
      </c>
      <c r="L1229" t="str">
        <f>IFERROR(VLOOKUP(D1229,Products!$A$2:$F$61,3,FALSE()),"")</f>
        <v>Electronics</v>
      </c>
      <c r="M1229" t="str">
        <f>IFERROR(VLOOKUP(E1229,Sales_Reps!$A$2:$C$31,3,FALSE()),"")</f>
        <v>North</v>
      </c>
      <c r="N1229">
        <f>IFERROR(VLOOKUP(D1229,Products!$A$2:$F$61,4,FALSE()),"")</f>
        <v>1259</v>
      </c>
      <c r="O1229" t="str">
        <f>IFERROR(VLOOKUP(C1229,Customers!$A$2:$F$301,5,FALSE()),"")</f>
        <v>Retail</v>
      </c>
      <c r="P1229">
        <f>IFERROR(VLOOKUP(C1229,Customers!$A$2:$F$301,3,FALSE()),"")</f>
        <v>42</v>
      </c>
      <c r="Q1229">
        <f t="shared" si="57"/>
        <v>0.52669172932330832</v>
      </c>
      <c r="R1229">
        <f>IF(AND(COUNTIF($A$2:$A$2027,A1229)&gt;1,COUNTIF($A$2:A1229,A1229)=1),1,0)</f>
        <v>0</v>
      </c>
      <c r="S1229" t="b">
        <f>IFERROR(VLOOKUP(D1229,Products!$A$2:$F$61,6,FALSE()),"")</f>
        <v>0</v>
      </c>
      <c r="T1229" t="str">
        <f>IF(COUNTIF(Customers!$A$2:$A$301,C1229)=0,"Missing","OK")</f>
        <v>OK</v>
      </c>
      <c r="U1229" t="str">
        <f t="shared" si="58"/>
        <v>Bengaluru</v>
      </c>
      <c r="V1229">
        <f t="shared" si="59"/>
        <v>0</v>
      </c>
    </row>
    <row r="1230" spans="1:22" ht="15" customHeight="1" x14ac:dyDescent="0.35">
      <c r="A1230" s="3" t="s">
        <v>1654</v>
      </c>
      <c r="B1230" s="4">
        <v>45422</v>
      </c>
      <c r="C1230" s="3" t="s">
        <v>29</v>
      </c>
      <c r="D1230" s="3" t="s">
        <v>45</v>
      </c>
      <c r="E1230" s="3" t="s">
        <v>168</v>
      </c>
      <c r="F1230" s="5">
        <v>5</v>
      </c>
      <c r="G1230" s="5">
        <v>3160</v>
      </c>
      <c r="H1230" s="5">
        <v>13.4</v>
      </c>
      <c r="I1230" s="5">
        <v>13682.8</v>
      </c>
      <c r="J1230" s="3" t="s">
        <v>32</v>
      </c>
      <c r="K1230" s="3" t="s">
        <v>33</v>
      </c>
      <c r="L1230" t="str">
        <f>IFERROR(VLOOKUP(D1230,Products!$A$2:$F$61,3,FALSE()),"")</f>
        <v>Apparel</v>
      </c>
      <c r="M1230" t="str">
        <f>IFERROR(VLOOKUP(E1230,Sales_Reps!$A$2:$C$31,3,FALSE()),"")</f>
        <v>West</v>
      </c>
      <c r="N1230">
        <f>IFERROR(VLOOKUP(D1230,Products!$A$2:$F$61,4,FALSE()),"")</f>
        <v>1886</v>
      </c>
      <c r="O1230" t="str">
        <f>IFERROR(VLOOKUP(C1230,Customers!$A$2:$F$301,5,FALSE()),"")</f>
        <v>Retail</v>
      </c>
      <c r="P1230">
        <f>IFERROR(VLOOKUP(C1230,Customers!$A$2:$F$301,3,FALSE()),"")</f>
        <v>39</v>
      </c>
      <c r="Q1230">
        <f t="shared" si="57"/>
        <v>0.4031645569620253</v>
      </c>
      <c r="R1230">
        <f>IF(AND(COUNTIF($A$2:$A$2027,A1230)&gt;1,COUNTIF($A$2:A1230,A1230)=1),1,0)</f>
        <v>0</v>
      </c>
      <c r="S1230" t="b">
        <f>IFERROR(VLOOKUP(D1230,Products!$A$2:$F$61,6,FALSE()),"")</f>
        <v>1</v>
      </c>
      <c r="T1230" t="str">
        <f>IF(COUNTIF(Customers!$A$2:$A$301,C1230)=0,"Missing","OK")</f>
        <v>OK</v>
      </c>
      <c r="U1230" t="str">
        <f t="shared" si="58"/>
        <v>Chennai</v>
      </c>
      <c r="V1230">
        <f t="shared" si="59"/>
        <v>0</v>
      </c>
    </row>
    <row r="1231" spans="1:22" ht="15" customHeight="1" x14ac:dyDescent="0.35">
      <c r="A1231" s="3" t="s">
        <v>1655</v>
      </c>
      <c r="B1231" s="4">
        <v>45634</v>
      </c>
      <c r="C1231" s="3" t="s">
        <v>253</v>
      </c>
      <c r="D1231" s="3" t="s">
        <v>121</v>
      </c>
      <c r="E1231" s="3" t="s">
        <v>60</v>
      </c>
      <c r="F1231" s="5">
        <v>10</v>
      </c>
      <c r="G1231" s="5">
        <v>1010</v>
      </c>
      <c r="H1231" s="5">
        <v>14</v>
      </c>
      <c r="I1231" s="5">
        <v>8686</v>
      </c>
      <c r="J1231" s="3" t="s">
        <v>26</v>
      </c>
      <c r="K1231" s="3" t="s">
        <v>27</v>
      </c>
      <c r="L1231" t="str">
        <f>IFERROR(VLOOKUP(D1231,Products!$A$2:$F$61,3,FALSE()),"")</f>
        <v>Sports</v>
      </c>
      <c r="M1231" t="str">
        <f>IFERROR(VLOOKUP(E1231,Sales_Reps!$A$2:$C$31,3,FALSE()),"")</f>
        <v>East</v>
      </c>
      <c r="N1231">
        <f>IFERROR(VLOOKUP(D1231,Products!$A$2:$F$61,4,FALSE()),"")</f>
        <v>516</v>
      </c>
      <c r="O1231" t="str">
        <f>IFERROR(VLOOKUP(C1231,Customers!$A$2:$F$301,5,FALSE()),"")</f>
        <v>Corporate</v>
      </c>
      <c r="P1231">
        <f>IFERROR(VLOOKUP(C1231,Customers!$A$2:$F$301,3,FALSE()),"")</f>
        <v>33</v>
      </c>
      <c r="Q1231">
        <f t="shared" si="57"/>
        <v>0.4891089108910891</v>
      </c>
      <c r="R1231">
        <f>IF(AND(COUNTIF($A$2:$A$2027,A1231)&gt;1,COUNTIF($A$2:A1231,A1231)=1),1,0)</f>
        <v>0</v>
      </c>
      <c r="S1231" t="b">
        <f>IFERROR(VLOOKUP(D1231,Products!$A$2:$F$61,6,FALSE()),"")</f>
        <v>1</v>
      </c>
      <c r="T1231" t="str">
        <f>IF(COUNTIF(Customers!$A$2:$A$301,C1231)=0,"Missing","OK")</f>
        <v>OK</v>
      </c>
      <c r="U1231" t="str">
        <f t="shared" si="58"/>
        <v>Pune</v>
      </c>
      <c r="V1231">
        <f t="shared" si="59"/>
        <v>0</v>
      </c>
    </row>
    <row r="1232" spans="1:22" ht="15" customHeight="1" x14ac:dyDescent="0.35">
      <c r="A1232" s="3" t="s">
        <v>1656</v>
      </c>
      <c r="B1232" s="4">
        <v>45376</v>
      </c>
      <c r="C1232" s="3" t="s">
        <v>76</v>
      </c>
      <c r="D1232" s="3" t="s">
        <v>198</v>
      </c>
      <c r="E1232" s="3" t="s">
        <v>87</v>
      </c>
      <c r="F1232" s="5">
        <v>3</v>
      </c>
      <c r="G1232" s="5">
        <v>1540</v>
      </c>
      <c r="H1232" s="5">
        <v>13.7</v>
      </c>
      <c r="I1232" s="5">
        <v>3987.06</v>
      </c>
      <c r="J1232" s="3" t="s">
        <v>32</v>
      </c>
      <c r="K1232" s="3" t="s">
        <v>38</v>
      </c>
      <c r="L1232" t="str">
        <f>IFERROR(VLOOKUP(D1232,Products!$A$2:$F$61,3,FALSE()),"")</f>
        <v>Beauty</v>
      </c>
      <c r="M1232" t="str">
        <f>IFERROR(VLOOKUP(E1232,Sales_Reps!$A$2:$C$31,3,FALSE()),"")</f>
        <v>North</v>
      </c>
      <c r="N1232">
        <f>IFERROR(VLOOKUP(D1232,Products!$A$2:$F$61,4,FALSE()),"")</f>
        <v>647</v>
      </c>
      <c r="O1232" t="str">
        <f>IFERROR(VLOOKUP(C1232,Customers!$A$2:$F$301,5,FALSE()),"")</f>
        <v>SMB</v>
      </c>
      <c r="P1232">
        <f>IFERROR(VLOOKUP(C1232,Customers!$A$2:$F$301,3,FALSE()),"")</f>
        <v>27</v>
      </c>
      <c r="Q1232">
        <f t="shared" si="57"/>
        <v>0.57987012987012987</v>
      </c>
      <c r="R1232">
        <f>IF(AND(COUNTIF($A$2:$A$2027,A1232)&gt;1,COUNTIF($A$2:A1232,A1232)=1),1,0)</f>
        <v>0</v>
      </c>
      <c r="S1232" t="b">
        <f>IFERROR(VLOOKUP(D1232,Products!$A$2:$F$61,6,FALSE()),"")</f>
        <v>0</v>
      </c>
      <c r="T1232" t="str">
        <f>IF(COUNTIF(Customers!$A$2:$A$301,C1232)=0,"Missing","OK")</f>
        <v>OK</v>
      </c>
      <c r="U1232" t="str">
        <f t="shared" si="58"/>
        <v>Delhi</v>
      </c>
      <c r="V1232">
        <f t="shared" si="59"/>
        <v>0</v>
      </c>
    </row>
    <row r="1233" spans="1:22" ht="15" customHeight="1" x14ac:dyDescent="0.35">
      <c r="A1233" s="3" t="s">
        <v>1657</v>
      </c>
      <c r="B1233" s="4">
        <v>45313</v>
      </c>
      <c r="C1233" s="3" t="s">
        <v>619</v>
      </c>
      <c r="D1233" s="3" t="s">
        <v>130</v>
      </c>
      <c r="E1233" s="3" t="s">
        <v>143</v>
      </c>
      <c r="F1233" s="5">
        <v>10</v>
      </c>
      <c r="G1233" s="5">
        <v>5100</v>
      </c>
      <c r="H1233" s="5">
        <v>13.8</v>
      </c>
      <c r="I1233" s="5">
        <v>43962</v>
      </c>
      <c r="J1233" s="3" t="s">
        <v>26</v>
      </c>
      <c r="K1233" s="3" t="s">
        <v>33</v>
      </c>
      <c r="L1233" t="str">
        <f>IFERROR(VLOOKUP(D1233,Products!$A$2:$F$61,3,FALSE()),"")</f>
        <v>Beauty</v>
      </c>
      <c r="M1233" t="str">
        <f>IFERROR(VLOOKUP(E1233,Sales_Reps!$A$2:$C$31,3,FALSE()),"")</f>
        <v>South</v>
      </c>
      <c r="N1233">
        <f>IFERROR(VLOOKUP(D1233,Products!$A$2:$F$61,4,FALSE()),"")</f>
        <v>2237</v>
      </c>
      <c r="O1233" t="str">
        <f>IFERROR(VLOOKUP(C1233,Customers!$A$2:$F$301,5,FALSE()),"")</f>
        <v>Retail</v>
      </c>
      <c r="P1233">
        <f>IFERROR(VLOOKUP(C1233,Customers!$A$2:$F$301,3,FALSE()),"")</f>
        <v>26</v>
      </c>
      <c r="Q1233">
        <f t="shared" si="57"/>
        <v>0.56137254901960787</v>
      </c>
      <c r="R1233">
        <f>IF(AND(COUNTIF($A$2:$A$2027,A1233)&gt;1,COUNTIF($A$2:A1233,A1233)=1),1,0)</f>
        <v>0</v>
      </c>
      <c r="S1233" t="b">
        <f>IFERROR(VLOOKUP(D1233,Products!$A$2:$F$61,6,FALSE()),"")</f>
        <v>1</v>
      </c>
      <c r="T1233" t="str">
        <f>IF(COUNTIF(Customers!$A$2:$A$301,C1233)=0,"Missing","OK")</f>
        <v>OK</v>
      </c>
      <c r="U1233" t="str">
        <f t="shared" si="58"/>
        <v>Chennai</v>
      </c>
      <c r="V1233">
        <f t="shared" si="59"/>
        <v>0</v>
      </c>
    </row>
    <row r="1234" spans="1:22" ht="15" customHeight="1" x14ac:dyDescent="0.35">
      <c r="A1234" s="3" t="s">
        <v>1658</v>
      </c>
      <c r="B1234" s="4">
        <v>45457</v>
      </c>
      <c r="C1234" s="3" t="s">
        <v>734</v>
      </c>
      <c r="D1234" s="3" t="s">
        <v>59</v>
      </c>
      <c r="E1234" s="3" t="s">
        <v>109</v>
      </c>
      <c r="F1234" s="5">
        <v>3</v>
      </c>
      <c r="G1234" s="5">
        <v>1430</v>
      </c>
      <c r="H1234" s="5">
        <v>1.5</v>
      </c>
      <c r="I1234" s="5">
        <v>4225.6499999999996</v>
      </c>
      <c r="J1234" s="3" t="s">
        <v>26</v>
      </c>
      <c r="K1234" s="3" t="s">
        <v>33</v>
      </c>
      <c r="L1234" t="str">
        <f>IFERROR(VLOOKUP(D1234,Products!$A$2:$F$61,3,FALSE()),"")</f>
        <v>Electronics</v>
      </c>
      <c r="M1234" t="str">
        <f>IFERROR(VLOOKUP(E1234,Sales_Reps!$A$2:$C$31,3,FALSE()),"")</f>
        <v>West</v>
      </c>
      <c r="N1234">
        <f>IFERROR(VLOOKUP(D1234,Products!$A$2:$F$61,4,FALSE()),"")</f>
        <v>861</v>
      </c>
      <c r="O1234" t="str">
        <f>IFERROR(VLOOKUP(C1234,Customers!$A$2:$F$301,5,FALSE()),"")</f>
        <v>Retail</v>
      </c>
      <c r="P1234">
        <f>IFERROR(VLOOKUP(C1234,Customers!$A$2:$F$301,3,FALSE()),"")</f>
        <v>22</v>
      </c>
      <c r="Q1234">
        <f t="shared" si="57"/>
        <v>0.39790209790209791</v>
      </c>
      <c r="R1234">
        <f>IF(AND(COUNTIF($A$2:$A$2027,A1234)&gt;1,COUNTIF($A$2:A1234,A1234)=1),1,0)</f>
        <v>0</v>
      </c>
      <c r="S1234" t="b">
        <f>IFERROR(VLOOKUP(D1234,Products!$A$2:$F$61,6,FALSE()),"")</f>
        <v>1</v>
      </c>
      <c r="T1234" t="str">
        <f>IF(COUNTIF(Customers!$A$2:$A$301,C1234)=0,"Missing","OK")</f>
        <v>OK</v>
      </c>
      <c r="U1234" t="str">
        <f t="shared" si="58"/>
        <v>Chennai</v>
      </c>
      <c r="V1234">
        <f t="shared" si="59"/>
        <v>0</v>
      </c>
    </row>
    <row r="1235" spans="1:22" ht="15" customHeight="1" x14ac:dyDescent="0.35">
      <c r="A1235" s="3" t="s">
        <v>1659</v>
      </c>
      <c r="B1235" s="4">
        <v>45620</v>
      </c>
      <c r="C1235" s="3" t="s">
        <v>847</v>
      </c>
      <c r="D1235" s="3" t="s">
        <v>63</v>
      </c>
      <c r="E1235" s="3" t="s">
        <v>191</v>
      </c>
      <c r="F1235" s="5">
        <v>8</v>
      </c>
      <c r="G1235" s="5">
        <v>5490</v>
      </c>
      <c r="H1235" s="5">
        <v>23.2</v>
      </c>
      <c r="I1235" s="5">
        <v>33730.559999999998</v>
      </c>
      <c r="J1235" s="3" t="s">
        <v>26</v>
      </c>
      <c r="K1235" s="3" t="s">
        <v>72</v>
      </c>
      <c r="L1235" t="str">
        <f>IFERROR(VLOOKUP(D1235,Products!$A$2:$F$61,3,FALSE()),"")</f>
        <v>Home</v>
      </c>
      <c r="M1235" t="str">
        <f>IFERROR(VLOOKUP(E1235,Sales_Reps!$A$2:$C$31,3,FALSE()),"")</f>
        <v>South</v>
      </c>
      <c r="N1235">
        <f>IFERROR(VLOOKUP(D1235,Products!$A$2:$F$61,4,FALSE()),"")</f>
        <v>2549</v>
      </c>
      <c r="O1235" t="str">
        <f>IFERROR(VLOOKUP(C1235,Customers!$A$2:$F$301,5,FALSE()),"")</f>
        <v>Retail</v>
      </c>
      <c r="P1235">
        <f>IFERROR(VLOOKUP(C1235,Customers!$A$2:$F$301,3,FALSE()),"")</f>
        <v>31</v>
      </c>
      <c r="Q1235">
        <f t="shared" si="57"/>
        <v>0.53570127504553733</v>
      </c>
      <c r="R1235">
        <f>IF(AND(COUNTIF($A$2:$A$2027,A1235)&gt;1,COUNTIF($A$2:A1235,A1235)=1),1,0)</f>
        <v>0</v>
      </c>
      <c r="S1235" t="b">
        <f>IFERROR(VLOOKUP(D1235,Products!$A$2:$F$61,6,FALSE()),"")</f>
        <v>1</v>
      </c>
      <c r="T1235" t="str">
        <f>IF(COUNTIF(Customers!$A$2:$A$301,C1235)=0,"Missing","OK")</f>
        <v>OK</v>
      </c>
      <c r="U1235" t="str">
        <f t="shared" si="58"/>
        <v>Hyderabad</v>
      </c>
      <c r="V1235">
        <f t="shared" si="59"/>
        <v>0</v>
      </c>
    </row>
    <row r="1236" spans="1:22" ht="15" customHeight="1" x14ac:dyDescent="0.35">
      <c r="A1236" s="3" t="s">
        <v>1660</v>
      </c>
      <c r="B1236" s="4">
        <v>45495</v>
      </c>
      <c r="C1236" s="3" t="s">
        <v>357</v>
      </c>
      <c r="D1236" s="3" t="s">
        <v>115</v>
      </c>
      <c r="E1236" s="3" t="s">
        <v>46</v>
      </c>
      <c r="F1236" s="5">
        <v>6</v>
      </c>
      <c r="G1236" s="5">
        <v>1650</v>
      </c>
      <c r="H1236" s="5">
        <v>16.8</v>
      </c>
      <c r="I1236" s="5">
        <v>8236.7999999999993</v>
      </c>
      <c r="J1236" s="3" t="s">
        <v>26</v>
      </c>
      <c r="K1236" s="3" t="s">
        <v>72</v>
      </c>
      <c r="L1236" t="str">
        <f>IFERROR(VLOOKUP(D1236,Products!$A$2:$F$61,3,FALSE()),"")</f>
        <v>Beauty</v>
      </c>
      <c r="M1236" t="str">
        <f>IFERROR(VLOOKUP(E1236,Sales_Reps!$A$2:$C$31,3,FALSE()),"")</f>
        <v>North</v>
      </c>
      <c r="N1236">
        <f>IFERROR(VLOOKUP(D1236,Products!$A$2:$F$61,4,FALSE()),"")</f>
        <v>1222</v>
      </c>
      <c r="O1236" t="str">
        <f>IFERROR(VLOOKUP(C1236,Customers!$A$2:$F$301,5,FALSE()),"")</f>
        <v>Retail</v>
      </c>
      <c r="P1236">
        <f>IFERROR(VLOOKUP(C1236,Customers!$A$2:$F$301,3,FALSE()),"")</f>
        <v>22</v>
      </c>
      <c r="Q1236">
        <f t="shared" si="57"/>
        <v>0.2593939393939394</v>
      </c>
      <c r="R1236">
        <f>IF(AND(COUNTIF($A$2:$A$2027,A1236)&gt;1,COUNTIF($A$2:A1236,A1236)=1),1,0)</f>
        <v>0</v>
      </c>
      <c r="S1236" t="b">
        <f>IFERROR(VLOOKUP(D1236,Products!$A$2:$F$61,6,FALSE()),"")</f>
        <v>1</v>
      </c>
      <c r="T1236" t="str">
        <f>IF(COUNTIF(Customers!$A$2:$A$301,C1236)=0,"Missing","OK")</f>
        <v>OK</v>
      </c>
      <c r="U1236" t="str">
        <f t="shared" si="58"/>
        <v>Hyderabad</v>
      </c>
      <c r="V1236">
        <f t="shared" si="59"/>
        <v>0</v>
      </c>
    </row>
    <row r="1237" spans="1:22" ht="15" customHeight="1" x14ac:dyDescent="0.35">
      <c r="A1237" s="3" t="s">
        <v>1661</v>
      </c>
      <c r="B1237" s="4">
        <v>45460</v>
      </c>
      <c r="C1237" s="3" t="s">
        <v>905</v>
      </c>
      <c r="D1237" s="3" t="s">
        <v>215</v>
      </c>
      <c r="E1237" s="3" t="s">
        <v>242</v>
      </c>
      <c r="F1237" s="5">
        <v>3</v>
      </c>
      <c r="G1237" s="5">
        <v>3020</v>
      </c>
      <c r="H1237" s="5">
        <v>14.5</v>
      </c>
      <c r="I1237" s="5">
        <v>7746.3</v>
      </c>
      <c r="J1237" s="3" t="s">
        <v>26</v>
      </c>
      <c r="K1237" s="3" t="s">
        <v>72</v>
      </c>
      <c r="L1237" t="str">
        <f>IFERROR(VLOOKUP(D1237,Products!$A$2:$F$61,3,FALSE()),"")</f>
        <v>Beauty</v>
      </c>
      <c r="M1237" t="str">
        <f>IFERROR(VLOOKUP(E1237,Sales_Reps!$A$2:$C$31,3,FALSE()),"")</f>
        <v>East</v>
      </c>
      <c r="N1237">
        <f>IFERROR(VLOOKUP(D1237,Products!$A$2:$F$61,4,FALSE()),"")</f>
        <v>1626</v>
      </c>
      <c r="O1237" t="str">
        <f>IFERROR(VLOOKUP(C1237,Customers!$A$2:$F$301,5,FALSE()),"")</f>
        <v>SMB</v>
      </c>
      <c r="P1237">
        <f>IFERROR(VLOOKUP(C1237,Customers!$A$2:$F$301,3,FALSE()),"")</f>
        <v>31</v>
      </c>
      <c r="Q1237">
        <f t="shared" si="57"/>
        <v>0.46158940397350995</v>
      </c>
      <c r="R1237">
        <f>IF(AND(COUNTIF($A$2:$A$2027,A1237)&gt;1,COUNTIF($A$2:A1237,A1237)=1),1,0)</f>
        <v>0</v>
      </c>
      <c r="S1237" t="b">
        <f>IFERROR(VLOOKUP(D1237,Products!$A$2:$F$61,6,FALSE()),"")</f>
        <v>1</v>
      </c>
      <c r="T1237" t="str">
        <f>IF(COUNTIF(Customers!$A$2:$A$301,C1237)=0,"Missing","OK")</f>
        <v>OK</v>
      </c>
      <c r="U1237" t="str">
        <f t="shared" si="58"/>
        <v>Hyderabad</v>
      </c>
      <c r="V1237">
        <f t="shared" si="59"/>
        <v>0</v>
      </c>
    </row>
    <row r="1238" spans="1:22" ht="15" customHeight="1" x14ac:dyDescent="0.35">
      <c r="A1238" s="3" t="s">
        <v>1662</v>
      </c>
      <c r="B1238" s="4">
        <v>45438</v>
      </c>
      <c r="C1238" s="3" t="s">
        <v>1663</v>
      </c>
      <c r="D1238" s="3" t="s">
        <v>198</v>
      </c>
      <c r="E1238" s="3" t="s">
        <v>87</v>
      </c>
      <c r="F1238" s="5">
        <v>5</v>
      </c>
      <c r="G1238" s="5">
        <v>1540</v>
      </c>
      <c r="H1238" s="5">
        <v>27.2</v>
      </c>
      <c r="I1238" s="5">
        <v>5605.6</v>
      </c>
      <c r="J1238" s="3" t="s">
        <v>26</v>
      </c>
      <c r="K1238" s="3" t="s">
        <v>56</v>
      </c>
      <c r="L1238" t="str">
        <f>IFERROR(VLOOKUP(D1238,Products!$A$2:$F$61,3,FALSE()),"")</f>
        <v>Beauty</v>
      </c>
      <c r="M1238" t="str">
        <f>IFERROR(VLOOKUP(E1238,Sales_Reps!$A$2:$C$31,3,FALSE()),"")</f>
        <v>North</v>
      </c>
      <c r="N1238">
        <f>IFERROR(VLOOKUP(D1238,Products!$A$2:$F$61,4,FALSE()),"")</f>
        <v>647</v>
      </c>
      <c r="O1238" t="str">
        <f>IFERROR(VLOOKUP(C1238,Customers!$A$2:$F$301,5,FALSE()),"")</f>
        <v>SMB</v>
      </c>
      <c r="P1238">
        <f>IFERROR(VLOOKUP(C1238,Customers!$A$2:$F$301,3,FALSE()),"")</f>
        <v>54</v>
      </c>
      <c r="Q1238">
        <f t="shared" si="57"/>
        <v>0.57987012987012987</v>
      </c>
      <c r="R1238">
        <f>IF(AND(COUNTIF($A$2:$A$2027,A1238)&gt;1,COUNTIF($A$2:A1238,A1238)=1),1,0)</f>
        <v>0</v>
      </c>
      <c r="S1238" t="b">
        <f>IFERROR(VLOOKUP(D1238,Products!$A$2:$F$61,6,FALSE()),"")</f>
        <v>0</v>
      </c>
      <c r="T1238" t="str">
        <f>IF(COUNTIF(Customers!$A$2:$A$301,C1238)=0,"Missing","OK")</f>
        <v>OK</v>
      </c>
      <c r="U1238" t="str">
        <f t="shared" si="58"/>
        <v>Bengaluru</v>
      </c>
      <c r="V1238">
        <f t="shared" si="59"/>
        <v>0</v>
      </c>
    </row>
    <row r="1239" spans="1:22" ht="15" customHeight="1" x14ac:dyDescent="0.35">
      <c r="A1239" s="3" t="s">
        <v>710</v>
      </c>
      <c r="B1239" s="4">
        <v>45307</v>
      </c>
      <c r="C1239" s="3" t="s">
        <v>255</v>
      </c>
      <c r="D1239" s="3" t="s">
        <v>454</v>
      </c>
      <c r="E1239" s="3" t="s">
        <v>93</v>
      </c>
      <c r="F1239" s="5">
        <v>4</v>
      </c>
      <c r="G1239" s="5">
        <v>6940</v>
      </c>
      <c r="H1239" s="5">
        <v>3.2</v>
      </c>
      <c r="I1239" s="5">
        <v>26871.68</v>
      </c>
      <c r="J1239" s="3" t="s">
        <v>26</v>
      </c>
      <c r="K1239" s="3" t="s">
        <v>27</v>
      </c>
      <c r="L1239" t="str">
        <f>IFERROR(VLOOKUP(D1239,Products!$A$2:$F$61,3,FALSE()),"")</f>
        <v>Sports</v>
      </c>
      <c r="M1239" t="str">
        <f>IFERROR(VLOOKUP(E1239,Sales_Reps!$A$2:$C$31,3,FALSE()),"")</f>
        <v>East</v>
      </c>
      <c r="N1239">
        <f>IFERROR(VLOOKUP(D1239,Products!$A$2:$F$61,4,FALSE()),"")</f>
        <v>2827</v>
      </c>
      <c r="O1239" t="str">
        <f>IFERROR(VLOOKUP(C1239,Customers!$A$2:$F$301,5,FALSE()),"")</f>
        <v>SMB</v>
      </c>
      <c r="P1239">
        <f>IFERROR(VLOOKUP(C1239,Customers!$A$2:$F$301,3,FALSE()),"")</f>
        <v>60</v>
      </c>
      <c r="Q1239">
        <f t="shared" si="57"/>
        <v>0.5926512968299712</v>
      </c>
      <c r="R1239">
        <f>IF(AND(COUNTIF($A$2:$A$2027,A1239)&gt;1,COUNTIF($A$2:A1239,A1239)=1),1,0)</f>
        <v>0</v>
      </c>
      <c r="S1239" t="b">
        <f>IFERROR(VLOOKUP(D1239,Products!$A$2:$F$61,6,FALSE()),"")</f>
        <v>1</v>
      </c>
      <c r="T1239" t="str">
        <f>IF(COUNTIF(Customers!$A$2:$A$301,C1239)=0,"Missing","OK")</f>
        <v>OK</v>
      </c>
      <c r="U1239" t="str">
        <f t="shared" si="58"/>
        <v>Pune</v>
      </c>
      <c r="V1239">
        <f t="shared" si="59"/>
        <v>0</v>
      </c>
    </row>
    <row r="1240" spans="1:22" ht="15" customHeight="1" x14ac:dyDescent="0.35">
      <c r="A1240" s="3" t="s">
        <v>1664</v>
      </c>
      <c r="B1240" s="4">
        <v>45517</v>
      </c>
      <c r="C1240" s="3" t="s">
        <v>48</v>
      </c>
      <c r="D1240" s="3" t="s">
        <v>130</v>
      </c>
      <c r="E1240" s="3" t="s">
        <v>177</v>
      </c>
      <c r="F1240" s="5">
        <v>2</v>
      </c>
      <c r="G1240" s="5">
        <v>5100</v>
      </c>
      <c r="H1240" s="5">
        <v>18.100000000000001</v>
      </c>
      <c r="I1240" s="5">
        <v>8353.7999999999993</v>
      </c>
      <c r="J1240" s="3" t="s">
        <v>26</v>
      </c>
      <c r="K1240" s="3" t="s">
        <v>51</v>
      </c>
      <c r="L1240" t="str">
        <f>IFERROR(VLOOKUP(D1240,Products!$A$2:$F$61,3,FALSE()),"")</f>
        <v>Beauty</v>
      </c>
      <c r="M1240" t="str">
        <f>IFERROR(VLOOKUP(E1240,Sales_Reps!$A$2:$C$31,3,FALSE()),"")</f>
        <v>East</v>
      </c>
      <c r="N1240">
        <f>IFERROR(VLOOKUP(D1240,Products!$A$2:$F$61,4,FALSE()),"")</f>
        <v>2237</v>
      </c>
      <c r="O1240" t="str">
        <f>IFERROR(VLOOKUP(C1240,Customers!$A$2:$F$301,5,FALSE()),"")</f>
        <v>Retail</v>
      </c>
      <c r="P1240">
        <f>IFERROR(VLOOKUP(C1240,Customers!$A$2:$F$301,3,FALSE()),"")</f>
        <v>36</v>
      </c>
      <c r="Q1240">
        <f t="shared" si="57"/>
        <v>0.56137254901960787</v>
      </c>
      <c r="R1240">
        <f>IF(AND(COUNTIF($A$2:$A$2027,A1240)&gt;1,COUNTIF($A$2:A1240,A1240)=1),1,0)</f>
        <v>0</v>
      </c>
      <c r="S1240" t="b">
        <f>IFERROR(VLOOKUP(D1240,Products!$A$2:$F$61,6,FALSE()),"")</f>
        <v>1</v>
      </c>
      <c r="T1240" t="str">
        <f>IF(COUNTIF(Customers!$A$2:$A$301,C1240)=0,"Missing","OK")</f>
        <v>OK</v>
      </c>
      <c r="U1240" t="str">
        <f t="shared" si="58"/>
        <v>Mumbai</v>
      </c>
      <c r="V1240">
        <f t="shared" si="59"/>
        <v>0</v>
      </c>
    </row>
    <row r="1241" spans="1:22" ht="15" customHeight="1" x14ac:dyDescent="0.35">
      <c r="A1241" s="3" t="s">
        <v>1665</v>
      </c>
      <c r="B1241" s="4">
        <v>45575</v>
      </c>
      <c r="C1241" s="3" t="s">
        <v>253</v>
      </c>
      <c r="D1241" s="3" t="s">
        <v>303</v>
      </c>
      <c r="E1241" s="3" t="s">
        <v>285</v>
      </c>
      <c r="F1241" s="5">
        <v>6</v>
      </c>
      <c r="G1241" s="5">
        <v>5330</v>
      </c>
      <c r="H1241" s="5">
        <v>0.3</v>
      </c>
      <c r="I1241" s="5">
        <v>31884.06</v>
      </c>
      <c r="J1241" s="3" t="s">
        <v>32</v>
      </c>
      <c r="K1241" s="3" t="s">
        <v>27</v>
      </c>
      <c r="L1241" t="str">
        <f>IFERROR(VLOOKUP(D1241,Products!$A$2:$F$61,3,FALSE()),"")</f>
        <v>Electronics</v>
      </c>
      <c r="M1241" t="str">
        <f>IFERROR(VLOOKUP(E1241,Sales_Reps!$A$2:$C$31,3,FALSE()),"")</f>
        <v>South</v>
      </c>
      <c r="N1241">
        <f>IFERROR(VLOOKUP(D1241,Products!$A$2:$F$61,4,FALSE()),"")</f>
        <v>2405</v>
      </c>
      <c r="O1241" t="str">
        <f>IFERROR(VLOOKUP(C1241,Customers!$A$2:$F$301,5,FALSE()),"")</f>
        <v>Corporate</v>
      </c>
      <c r="P1241">
        <f>IFERROR(VLOOKUP(C1241,Customers!$A$2:$F$301,3,FALSE()),"")</f>
        <v>33</v>
      </c>
      <c r="Q1241">
        <f t="shared" si="57"/>
        <v>0.54878048780487809</v>
      </c>
      <c r="R1241">
        <f>IF(AND(COUNTIF($A$2:$A$2027,A1241)&gt;1,COUNTIF($A$2:A1241,A1241)=1),1,0)</f>
        <v>0</v>
      </c>
      <c r="S1241" t="b">
        <f>IFERROR(VLOOKUP(D1241,Products!$A$2:$F$61,6,FALSE()),"")</f>
        <v>1</v>
      </c>
      <c r="T1241" t="str">
        <f>IF(COUNTIF(Customers!$A$2:$A$301,C1241)=0,"Missing","OK")</f>
        <v>OK</v>
      </c>
      <c r="U1241" t="str">
        <f t="shared" si="58"/>
        <v>Pune</v>
      </c>
      <c r="V1241">
        <f t="shared" si="59"/>
        <v>0</v>
      </c>
    </row>
    <row r="1242" spans="1:22" ht="15" customHeight="1" x14ac:dyDescent="0.35">
      <c r="A1242" s="3" t="s">
        <v>1666</v>
      </c>
      <c r="B1242" s="4">
        <v>45449</v>
      </c>
      <c r="C1242" s="3" t="s">
        <v>945</v>
      </c>
      <c r="D1242" s="3" t="s">
        <v>54</v>
      </c>
      <c r="E1242" s="3" t="s">
        <v>168</v>
      </c>
      <c r="F1242" s="5">
        <v>5</v>
      </c>
      <c r="G1242" s="5">
        <v>960</v>
      </c>
      <c r="H1242" s="5">
        <v>16.600000000000001</v>
      </c>
      <c r="I1242" s="5">
        <v>4003.2</v>
      </c>
      <c r="J1242" s="3" t="s">
        <v>26</v>
      </c>
      <c r="K1242" s="3" t="s">
        <v>56</v>
      </c>
      <c r="L1242" t="str">
        <f>IFERROR(VLOOKUP(D1242,Products!$A$2:$F$61,3,FALSE()),"")</f>
        <v>Sports</v>
      </c>
      <c r="M1242" t="str">
        <f>IFERROR(VLOOKUP(E1242,Sales_Reps!$A$2:$C$31,3,FALSE()),"")</f>
        <v>West</v>
      </c>
      <c r="N1242">
        <f>IFERROR(VLOOKUP(D1242,Products!$A$2:$F$61,4,FALSE()),"")</f>
        <v>705</v>
      </c>
      <c r="O1242" t="str">
        <f>IFERROR(VLOOKUP(C1242,Customers!$A$2:$F$301,5,FALSE()),"")</f>
        <v>SMB</v>
      </c>
      <c r="P1242">
        <f>IFERROR(VLOOKUP(C1242,Customers!$A$2:$F$301,3,FALSE()),"")</f>
        <v>44</v>
      </c>
      <c r="Q1242">
        <f t="shared" si="57"/>
        <v>0.265625</v>
      </c>
      <c r="R1242">
        <f>IF(AND(COUNTIF($A$2:$A$2027,A1242)&gt;1,COUNTIF($A$2:A1242,A1242)=1),1,0)</f>
        <v>0</v>
      </c>
      <c r="S1242" t="b">
        <f>IFERROR(VLOOKUP(D1242,Products!$A$2:$F$61,6,FALSE()),"")</f>
        <v>1</v>
      </c>
      <c r="T1242" t="str">
        <f>IF(COUNTIF(Customers!$A$2:$A$301,C1242)=0,"Missing","OK")</f>
        <v>OK</v>
      </c>
      <c r="U1242" t="str">
        <f t="shared" si="58"/>
        <v>Bengaluru</v>
      </c>
      <c r="V1242">
        <f t="shared" si="59"/>
        <v>0</v>
      </c>
    </row>
    <row r="1243" spans="1:22" ht="15" customHeight="1" x14ac:dyDescent="0.35">
      <c r="A1243" s="3" t="s">
        <v>1667</v>
      </c>
      <c r="B1243" s="4">
        <v>45481</v>
      </c>
      <c r="C1243" s="3" t="s">
        <v>244</v>
      </c>
      <c r="D1243" s="3" t="s">
        <v>24</v>
      </c>
      <c r="E1243" s="3" t="s">
        <v>224</v>
      </c>
      <c r="F1243" s="5">
        <v>7</v>
      </c>
      <c r="G1243" s="5">
        <v>3620</v>
      </c>
      <c r="H1243" s="5">
        <v>5.4</v>
      </c>
      <c r="I1243" s="5">
        <v>23971.64</v>
      </c>
      <c r="J1243" s="3" t="s">
        <v>26</v>
      </c>
      <c r="K1243" s="3" t="s">
        <v>72</v>
      </c>
      <c r="L1243" t="str">
        <f>IFERROR(VLOOKUP(D1243,Products!$A$2:$F$61,3,FALSE()),"")</f>
        <v>Apparel</v>
      </c>
      <c r="M1243" t="str">
        <f>IFERROR(VLOOKUP(E1243,Sales_Reps!$A$2:$C$31,3,FALSE()),"")</f>
        <v>East</v>
      </c>
      <c r="N1243">
        <f>IFERROR(VLOOKUP(D1243,Products!$A$2:$F$61,4,FALSE()),"")</f>
        <v>2509</v>
      </c>
      <c r="O1243" t="str">
        <f>IFERROR(VLOOKUP(C1243,Customers!$A$2:$F$301,5,FALSE()),"")</f>
        <v>Corporate</v>
      </c>
      <c r="P1243">
        <f>IFERROR(VLOOKUP(C1243,Customers!$A$2:$F$301,3,FALSE()),"")</f>
        <v>46</v>
      </c>
      <c r="Q1243">
        <f t="shared" si="57"/>
        <v>0.3069060773480663</v>
      </c>
      <c r="R1243">
        <f>IF(AND(COUNTIF($A$2:$A$2027,A1243)&gt;1,COUNTIF($A$2:A1243,A1243)=1),1,0)</f>
        <v>1</v>
      </c>
      <c r="S1243" t="b">
        <f>IFERROR(VLOOKUP(D1243,Products!$A$2:$F$61,6,FALSE()),"")</f>
        <v>1</v>
      </c>
      <c r="T1243" t="str">
        <f>IF(COUNTIF(Customers!$A$2:$A$301,C1243)=0,"Missing","OK")</f>
        <v>OK</v>
      </c>
      <c r="U1243" t="str">
        <f t="shared" si="58"/>
        <v>Hyderabad</v>
      </c>
      <c r="V1243">
        <f t="shared" si="59"/>
        <v>0</v>
      </c>
    </row>
    <row r="1244" spans="1:22" ht="15" customHeight="1" x14ac:dyDescent="0.35">
      <c r="A1244" s="3" t="s">
        <v>1668</v>
      </c>
      <c r="B1244" s="4">
        <v>45368</v>
      </c>
      <c r="C1244" s="3" t="s">
        <v>1567</v>
      </c>
      <c r="D1244" s="3" t="s">
        <v>77</v>
      </c>
      <c r="E1244" s="3" t="s">
        <v>42</v>
      </c>
      <c r="F1244" s="5">
        <v>6</v>
      </c>
      <c r="G1244" s="5">
        <v>2600</v>
      </c>
      <c r="H1244" s="5">
        <v>25.9</v>
      </c>
      <c r="I1244" s="5">
        <v>11559.6</v>
      </c>
      <c r="J1244" s="3" t="s">
        <v>26</v>
      </c>
      <c r="K1244" s="3" t="s">
        <v>33</v>
      </c>
      <c r="L1244" t="str">
        <f>IFERROR(VLOOKUP(D1244,Products!$A$2:$F$61,3,FALSE()),"")</f>
        <v>Electronics</v>
      </c>
      <c r="M1244" t="str">
        <f>IFERROR(VLOOKUP(E1244,Sales_Reps!$A$2:$C$31,3,FALSE()),"")</f>
        <v>North</v>
      </c>
      <c r="N1244">
        <f>IFERROR(VLOOKUP(D1244,Products!$A$2:$F$61,4,FALSE()),"")</f>
        <v>1052</v>
      </c>
      <c r="O1244" t="str">
        <f>IFERROR(VLOOKUP(C1244,Customers!$A$2:$F$301,5,FALSE()),"")</f>
        <v>Retail</v>
      </c>
      <c r="P1244">
        <f>IFERROR(VLOOKUP(C1244,Customers!$A$2:$F$301,3,FALSE()),"")</f>
        <v>35</v>
      </c>
      <c r="Q1244">
        <f t="shared" si="57"/>
        <v>0.5953846153846154</v>
      </c>
      <c r="R1244">
        <f>IF(AND(COUNTIF($A$2:$A$2027,A1244)&gt;1,COUNTIF($A$2:A1244,A1244)=1),1,0)</f>
        <v>0</v>
      </c>
      <c r="S1244" t="b">
        <f>IFERROR(VLOOKUP(D1244,Products!$A$2:$F$61,6,FALSE()),"")</f>
        <v>1</v>
      </c>
      <c r="T1244" t="str">
        <f>IF(COUNTIF(Customers!$A$2:$A$301,C1244)=0,"Missing","OK")</f>
        <v>OK</v>
      </c>
      <c r="U1244" t="str">
        <f t="shared" si="58"/>
        <v>Chennai</v>
      </c>
      <c r="V1244">
        <f t="shared" si="59"/>
        <v>0</v>
      </c>
    </row>
    <row r="1245" spans="1:22" ht="15" customHeight="1" x14ac:dyDescent="0.35">
      <c r="A1245" s="3" t="s">
        <v>1669</v>
      </c>
      <c r="B1245" s="4">
        <v>45298</v>
      </c>
      <c r="C1245" s="3" t="s">
        <v>424</v>
      </c>
      <c r="D1245" s="3" t="s">
        <v>218</v>
      </c>
      <c r="E1245" s="3" t="s">
        <v>191</v>
      </c>
      <c r="F1245" s="5">
        <v>7</v>
      </c>
      <c r="G1245" s="5">
        <v>2660</v>
      </c>
      <c r="H1245" s="5">
        <v>20.2</v>
      </c>
      <c r="I1245" s="5">
        <v>14858.76</v>
      </c>
      <c r="J1245" s="3" t="s">
        <v>26</v>
      </c>
      <c r="K1245" s="3" t="s">
        <v>27</v>
      </c>
      <c r="L1245" t="str">
        <f>IFERROR(VLOOKUP(D1245,Products!$A$2:$F$61,3,FALSE()),"")</f>
        <v>Electronics</v>
      </c>
      <c r="M1245" t="str">
        <f>IFERROR(VLOOKUP(E1245,Sales_Reps!$A$2:$C$31,3,FALSE()),"")</f>
        <v>South</v>
      </c>
      <c r="N1245">
        <f>IFERROR(VLOOKUP(D1245,Products!$A$2:$F$61,4,FALSE()),"")</f>
        <v>1259</v>
      </c>
      <c r="O1245" t="str">
        <f>IFERROR(VLOOKUP(C1245,Customers!$A$2:$F$301,5,FALSE()),"")</f>
        <v>Retail</v>
      </c>
      <c r="P1245">
        <f>IFERROR(VLOOKUP(C1245,Customers!$A$2:$F$301,3,FALSE()),"")</f>
        <v>49</v>
      </c>
      <c r="Q1245">
        <f t="shared" si="57"/>
        <v>0.52669172932330832</v>
      </c>
      <c r="R1245">
        <f>IF(AND(COUNTIF($A$2:$A$2027,A1245)&gt;1,COUNTIF($A$2:A1245,A1245)=1),1,0)</f>
        <v>0</v>
      </c>
      <c r="S1245" t="b">
        <f>IFERROR(VLOOKUP(D1245,Products!$A$2:$F$61,6,FALSE()),"")</f>
        <v>0</v>
      </c>
      <c r="T1245" t="str">
        <f>IF(COUNTIF(Customers!$A$2:$A$301,C1245)=0,"Missing","OK")</f>
        <v>OK</v>
      </c>
      <c r="U1245" t="str">
        <f t="shared" si="58"/>
        <v>Pune</v>
      </c>
      <c r="V1245">
        <f t="shared" si="59"/>
        <v>0</v>
      </c>
    </row>
    <row r="1246" spans="1:22" ht="15" customHeight="1" x14ac:dyDescent="0.35">
      <c r="A1246" s="3" t="s">
        <v>1670</v>
      </c>
      <c r="B1246" s="4">
        <v>45472</v>
      </c>
      <c r="C1246" s="3" t="s">
        <v>898</v>
      </c>
      <c r="D1246" s="3" t="s">
        <v>106</v>
      </c>
      <c r="E1246" s="3" t="s">
        <v>224</v>
      </c>
      <c r="F1246" s="5">
        <v>9</v>
      </c>
      <c r="G1246" s="5">
        <v>2480</v>
      </c>
      <c r="H1246" s="5">
        <v>14.7</v>
      </c>
      <c r="I1246" s="5">
        <v>19038.96</v>
      </c>
      <c r="J1246" s="3" t="s">
        <v>26</v>
      </c>
      <c r="K1246" s="3" t="s">
        <v>51</v>
      </c>
      <c r="L1246" t="str">
        <f>IFERROR(VLOOKUP(D1246,Products!$A$2:$F$61,3,FALSE()),"")</f>
        <v>Apparel</v>
      </c>
      <c r="M1246" t="str">
        <f>IFERROR(VLOOKUP(E1246,Sales_Reps!$A$2:$C$31,3,FALSE()),"")</f>
        <v>East</v>
      </c>
      <c r="N1246">
        <f>IFERROR(VLOOKUP(D1246,Products!$A$2:$F$61,4,FALSE()),"")</f>
        <v>1173</v>
      </c>
      <c r="O1246" t="str">
        <f>IFERROR(VLOOKUP(C1246,Customers!$A$2:$F$301,5,FALSE()),"")</f>
        <v>SMB</v>
      </c>
      <c r="P1246">
        <f>IFERROR(VLOOKUP(C1246,Customers!$A$2:$F$301,3,FALSE()),"")</f>
        <v>65</v>
      </c>
      <c r="Q1246">
        <f t="shared" si="57"/>
        <v>0.52701612903225803</v>
      </c>
      <c r="R1246">
        <f>IF(AND(COUNTIF($A$2:$A$2027,A1246)&gt;1,COUNTIF($A$2:A1246,A1246)=1),1,0)</f>
        <v>0</v>
      </c>
      <c r="S1246" t="b">
        <f>IFERROR(VLOOKUP(D1246,Products!$A$2:$F$61,6,FALSE()),"")</f>
        <v>1</v>
      </c>
      <c r="T1246" t="str">
        <f>IF(COUNTIF(Customers!$A$2:$A$301,C1246)=0,"Missing","OK")</f>
        <v>OK</v>
      </c>
      <c r="U1246" t="str">
        <f t="shared" si="58"/>
        <v>Mumbai</v>
      </c>
      <c r="V1246">
        <f t="shared" si="59"/>
        <v>0</v>
      </c>
    </row>
    <row r="1247" spans="1:22" ht="15" customHeight="1" x14ac:dyDescent="0.35">
      <c r="A1247" s="3" t="s">
        <v>1671</v>
      </c>
      <c r="B1247" s="4">
        <v>45568</v>
      </c>
      <c r="C1247" s="3" t="s">
        <v>296</v>
      </c>
      <c r="D1247" s="3" t="s">
        <v>218</v>
      </c>
      <c r="E1247" s="3" t="s">
        <v>127</v>
      </c>
      <c r="F1247" s="5">
        <v>4</v>
      </c>
      <c r="G1247" s="5">
        <v>2660</v>
      </c>
      <c r="H1247" s="5">
        <v>8.9</v>
      </c>
      <c r="I1247" s="5">
        <v>9693.0400000000009</v>
      </c>
      <c r="J1247" s="3" t="s">
        <v>26</v>
      </c>
      <c r="K1247" s="3" t="s">
        <v>38</v>
      </c>
      <c r="L1247" t="str">
        <f>IFERROR(VLOOKUP(D1247,Products!$A$2:$F$61,3,FALSE()),"")</f>
        <v>Electronics</v>
      </c>
      <c r="M1247" t="str">
        <f>IFERROR(VLOOKUP(E1247,Sales_Reps!$A$2:$C$31,3,FALSE()),"")</f>
        <v>South</v>
      </c>
      <c r="N1247">
        <f>IFERROR(VLOOKUP(D1247,Products!$A$2:$F$61,4,FALSE()),"")</f>
        <v>1259</v>
      </c>
      <c r="O1247" t="str">
        <f>IFERROR(VLOOKUP(C1247,Customers!$A$2:$F$301,5,FALSE()),"")</f>
        <v>SMB</v>
      </c>
      <c r="P1247">
        <f>IFERROR(VLOOKUP(C1247,Customers!$A$2:$F$301,3,FALSE()),"")</f>
        <v>38</v>
      </c>
      <c r="Q1247">
        <f t="shared" si="57"/>
        <v>0.52669172932330832</v>
      </c>
      <c r="R1247">
        <f>IF(AND(COUNTIF($A$2:$A$2027,A1247)&gt;1,COUNTIF($A$2:A1247,A1247)=1),1,0)</f>
        <v>0</v>
      </c>
      <c r="S1247" t="b">
        <f>IFERROR(VLOOKUP(D1247,Products!$A$2:$F$61,6,FALSE()),"")</f>
        <v>0</v>
      </c>
      <c r="T1247" t="str">
        <f>IF(COUNTIF(Customers!$A$2:$A$301,C1247)=0,"Missing","OK")</f>
        <v>OK</v>
      </c>
      <c r="U1247" t="str">
        <f t="shared" si="58"/>
        <v>Delhi</v>
      </c>
      <c r="V1247">
        <f t="shared" si="59"/>
        <v>0</v>
      </c>
    </row>
    <row r="1248" spans="1:22" ht="15" customHeight="1" x14ac:dyDescent="0.35">
      <c r="A1248" s="3" t="s">
        <v>1672</v>
      </c>
      <c r="B1248" s="4">
        <v>45540</v>
      </c>
      <c r="C1248" s="3" t="s">
        <v>839</v>
      </c>
      <c r="D1248" s="3" t="s">
        <v>303</v>
      </c>
      <c r="E1248" s="3" t="s">
        <v>71</v>
      </c>
      <c r="F1248" s="5">
        <v>1</v>
      </c>
      <c r="G1248" s="5">
        <v>5330</v>
      </c>
      <c r="H1248" s="5">
        <v>26.8</v>
      </c>
      <c r="I1248" s="5">
        <v>3901.56</v>
      </c>
      <c r="J1248" s="3" t="s">
        <v>26</v>
      </c>
      <c r="K1248" s="3" t="s">
        <v>56</v>
      </c>
      <c r="L1248" t="str">
        <f>IFERROR(VLOOKUP(D1248,Products!$A$2:$F$61,3,FALSE()),"")</f>
        <v>Electronics</v>
      </c>
      <c r="M1248" t="str">
        <f>IFERROR(VLOOKUP(E1248,Sales_Reps!$A$2:$C$31,3,FALSE()),"")</f>
        <v>South</v>
      </c>
      <c r="N1248">
        <f>IFERROR(VLOOKUP(D1248,Products!$A$2:$F$61,4,FALSE()),"")</f>
        <v>2405</v>
      </c>
      <c r="O1248" t="str">
        <f>IFERROR(VLOOKUP(C1248,Customers!$A$2:$F$301,5,FALSE()),"")</f>
        <v>Retail</v>
      </c>
      <c r="P1248">
        <f>IFERROR(VLOOKUP(C1248,Customers!$A$2:$F$301,3,FALSE()),"")</f>
        <v>35</v>
      </c>
      <c r="Q1248">
        <f t="shared" si="57"/>
        <v>0.54878048780487809</v>
      </c>
      <c r="R1248">
        <f>IF(AND(COUNTIF($A$2:$A$2027,A1248)&gt;1,COUNTIF($A$2:A1248,A1248)=1),1,0)</f>
        <v>0</v>
      </c>
      <c r="S1248" t="b">
        <f>IFERROR(VLOOKUP(D1248,Products!$A$2:$F$61,6,FALSE()),"")</f>
        <v>1</v>
      </c>
      <c r="T1248" t="str">
        <f>IF(COUNTIF(Customers!$A$2:$A$301,C1248)=0,"Missing","OK")</f>
        <v>OK</v>
      </c>
      <c r="U1248" t="str">
        <f t="shared" si="58"/>
        <v>Bengaluru</v>
      </c>
      <c r="V1248">
        <f t="shared" si="59"/>
        <v>0</v>
      </c>
    </row>
    <row r="1249" spans="1:22" ht="15" customHeight="1" x14ac:dyDescent="0.35">
      <c r="A1249" s="3" t="s">
        <v>1673</v>
      </c>
      <c r="B1249" s="4">
        <v>45544</v>
      </c>
      <c r="C1249" s="3" t="s">
        <v>1562</v>
      </c>
      <c r="D1249" s="3" t="s">
        <v>100</v>
      </c>
      <c r="E1249" s="3" t="s">
        <v>282</v>
      </c>
      <c r="F1249" s="5">
        <v>6</v>
      </c>
      <c r="G1249" s="5">
        <v>3450</v>
      </c>
      <c r="H1249" s="5">
        <v>19.2</v>
      </c>
      <c r="I1249" s="5">
        <v>16725.599999999999</v>
      </c>
      <c r="J1249" s="3" t="s">
        <v>32</v>
      </c>
      <c r="K1249" s="3" t="s">
        <v>56</v>
      </c>
      <c r="L1249" t="str">
        <f>IFERROR(VLOOKUP(D1249,Products!$A$2:$F$61,3,FALSE()),"")</f>
        <v>Sports</v>
      </c>
      <c r="M1249" t="str">
        <f>IFERROR(VLOOKUP(E1249,Sales_Reps!$A$2:$C$31,3,FALSE()),"")</f>
        <v>West</v>
      </c>
      <c r="N1249">
        <f>IFERROR(VLOOKUP(D1249,Products!$A$2:$F$61,4,FALSE()),"")</f>
        <v>2467</v>
      </c>
      <c r="O1249" t="str">
        <f>IFERROR(VLOOKUP(C1249,Customers!$A$2:$F$301,5,FALSE()),"")</f>
        <v>Retail</v>
      </c>
      <c r="P1249">
        <f>IFERROR(VLOOKUP(C1249,Customers!$A$2:$F$301,3,FALSE()),"")</f>
        <v>53</v>
      </c>
      <c r="Q1249">
        <f t="shared" si="57"/>
        <v>0.28492753623188405</v>
      </c>
      <c r="R1249">
        <f>IF(AND(COUNTIF($A$2:$A$2027,A1249)&gt;1,COUNTIF($A$2:A1249,A1249)=1),1,0)</f>
        <v>0</v>
      </c>
      <c r="S1249" t="b">
        <f>IFERROR(VLOOKUP(D1249,Products!$A$2:$F$61,6,FALSE()),"")</f>
        <v>1</v>
      </c>
      <c r="T1249" t="str">
        <f>IF(COUNTIF(Customers!$A$2:$A$301,C1249)=0,"Missing","OK")</f>
        <v>OK</v>
      </c>
      <c r="U1249" t="str">
        <f t="shared" si="58"/>
        <v>Bengaluru</v>
      </c>
      <c r="V1249">
        <f t="shared" si="59"/>
        <v>0</v>
      </c>
    </row>
    <row r="1250" spans="1:22" ht="15" customHeight="1" x14ac:dyDescent="0.35">
      <c r="A1250" s="3" t="s">
        <v>1674</v>
      </c>
      <c r="B1250" s="4">
        <v>45334</v>
      </c>
      <c r="C1250" s="3" t="s">
        <v>108</v>
      </c>
      <c r="D1250" s="3" t="s">
        <v>86</v>
      </c>
      <c r="E1250" s="3" t="s">
        <v>50</v>
      </c>
      <c r="F1250" s="5">
        <v>10</v>
      </c>
      <c r="G1250" s="5">
        <v>190</v>
      </c>
      <c r="H1250" s="5">
        <v>18.100000000000001</v>
      </c>
      <c r="I1250" s="5">
        <v>1556.1</v>
      </c>
      <c r="J1250" s="3" t="s">
        <v>26</v>
      </c>
      <c r="K1250" s="3" t="s">
        <v>51</v>
      </c>
      <c r="L1250" t="str">
        <f>IFERROR(VLOOKUP(D1250,Products!$A$2:$F$61,3,FALSE()),"")</f>
        <v>Sports</v>
      </c>
      <c r="M1250" t="str">
        <f>IFERROR(VLOOKUP(E1250,Sales_Reps!$A$2:$C$31,3,FALSE()),"")</f>
        <v>West</v>
      </c>
      <c r="N1250">
        <f>IFERROR(VLOOKUP(D1250,Products!$A$2:$F$61,4,FALSE()),"")</f>
        <v>147</v>
      </c>
      <c r="O1250" t="str">
        <f>IFERROR(VLOOKUP(C1250,Customers!$A$2:$F$301,5,FALSE()),"")</f>
        <v>Retail</v>
      </c>
      <c r="P1250">
        <f>IFERROR(VLOOKUP(C1250,Customers!$A$2:$F$301,3,FALSE()),"")</f>
        <v>34</v>
      </c>
      <c r="Q1250">
        <f t="shared" si="57"/>
        <v>0.22631578947368422</v>
      </c>
      <c r="R1250">
        <f>IF(AND(COUNTIF($A$2:$A$2027,A1250)&gt;1,COUNTIF($A$2:A1250,A1250)=1),1,0)</f>
        <v>0</v>
      </c>
      <c r="S1250" t="b">
        <f>IFERROR(VLOOKUP(D1250,Products!$A$2:$F$61,6,FALSE()),"")</f>
        <v>1</v>
      </c>
      <c r="T1250" t="str">
        <f>IF(COUNTIF(Customers!$A$2:$A$301,C1250)=0,"Missing","OK")</f>
        <v>OK</v>
      </c>
      <c r="U1250" t="str">
        <f t="shared" si="58"/>
        <v>Mumbai</v>
      </c>
      <c r="V1250">
        <f t="shared" si="59"/>
        <v>0</v>
      </c>
    </row>
    <row r="1251" spans="1:22" ht="15" customHeight="1" x14ac:dyDescent="0.35">
      <c r="A1251" s="3" t="s">
        <v>1675</v>
      </c>
      <c r="B1251" s="4">
        <v>45584</v>
      </c>
      <c r="C1251" s="3" t="s">
        <v>560</v>
      </c>
      <c r="D1251" s="3" t="s">
        <v>347</v>
      </c>
      <c r="E1251" s="3" t="s">
        <v>143</v>
      </c>
      <c r="F1251" s="5">
        <v>9</v>
      </c>
      <c r="G1251" s="5">
        <v>3970</v>
      </c>
      <c r="H1251" s="5">
        <v>18.2</v>
      </c>
      <c r="I1251" s="5">
        <v>29227.14</v>
      </c>
      <c r="J1251" s="3" t="s">
        <v>32</v>
      </c>
      <c r="K1251" s="3" t="s">
        <v>33</v>
      </c>
      <c r="L1251" t="str">
        <f>IFERROR(VLOOKUP(D1251,Products!$A$2:$F$61,3,FALSE()),"")</f>
        <v>Electronics</v>
      </c>
      <c r="M1251" t="str">
        <f>IFERROR(VLOOKUP(E1251,Sales_Reps!$A$2:$C$31,3,FALSE()),"")</f>
        <v>South</v>
      </c>
      <c r="N1251">
        <f>IFERROR(VLOOKUP(D1251,Products!$A$2:$F$61,4,FALSE()),"")</f>
        <v>2865</v>
      </c>
      <c r="O1251" t="str">
        <f>IFERROR(VLOOKUP(C1251,Customers!$A$2:$F$301,5,FALSE()),"")</f>
        <v>Corporate</v>
      </c>
      <c r="P1251">
        <f>IFERROR(VLOOKUP(C1251,Customers!$A$2:$F$301,3,FALSE()),"")</f>
        <v>22</v>
      </c>
      <c r="Q1251">
        <f t="shared" si="57"/>
        <v>0.27833753148614609</v>
      </c>
      <c r="R1251">
        <f>IF(AND(COUNTIF($A$2:$A$2027,A1251)&gt;1,COUNTIF($A$2:A1251,A1251)=1),1,0)</f>
        <v>0</v>
      </c>
      <c r="S1251" t="b">
        <f>IFERROR(VLOOKUP(D1251,Products!$A$2:$F$61,6,FALSE()),"")</f>
        <v>1</v>
      </c>
      <c r="T1251" t="str">
        <f>IF(COUNTIF(Customers!$A$2:$A$301,C1251)=0,"Missing","OK")</f>
        <v>OK</v>
      </c>
      <c r="U1251" t="str">
        <f t="shared" si="58"/>
        <v>Chennai</v>
      </c>
      <c r="V1251">
        <f t="shared" si="59"/>
        <v>0</v>
      </c>
    </row>
    <row r="1252" spans="1:22" ht="15" customHeight="1" x14ac:dyDescent="0.35">
      <c r="A1252" s="3" t="s">
        <v>1676</v>
      </c>
      <c r="B1252" s="4">
        <v>45404</v>
      </c>
      <c r="C1252" s="3" t="s">
        <v>69</v>
      </c>
      <c r="D1252" s="3" t="s">
        <v>209</v>
      </c>
      <c r="E1252" s="3" t="s">
        <v>236</v>
      </c>
      <c r="F1252" s="5">
        <v>4</v>
      </c>
      <c r="G1252" s="5">
        <v>4610</v>
      </c>
      <c r="H1252" s="5">
        <v>15.1</v>
      </c>
      <c r="I1252" s="5">
        <v>15655.56</v>
      </c>
      <c r="J1252" s="3" t="s">
        <v>79</v>
      </c>
      <c r="K1252" s="3" t="s">
        <v>72</v>
      </c>
      <c r="L1252" t="str">
        <f>IFERROR(VLOOKUP(D1252,Products!$A$2:$F$61,3,FALSE()),"")</f>
        <v>Home</v>
      </c>
      <c r="M1252" t="str">
        <f>IFERROR(VLOOKUP(E1252,Sales_Reps!$A$2:$C$31,3,FALSE()),"")</f>
        <v>North</v>
      </c>
      <c r="N1252">
        <f>IFERROR(VLOOKUP(D1252,Products!$A$2:$F$61,4,FALSE()),"")</f>
        <v>1850</v>
      </c>
      <c r="O1252" t="str">
        <f>IFERROR(VLOOKUP(C1252,Customers!$A$2:$F$301,5,FALSE()),"")</f>
        <v>Retail</v>
      </c>
      <c r="P1252">
        <f>IFERROR(VLOOKUP(C1252,Customers!$A$2:$F$301,3,FALSE()),"")</f>
        <v>60</v>
      </c>
      <c r="Q1252">
        <f t="shared" si="57"/>
        <v>0.59869848156182215</v>
      </c>
      <c r="R1252">
        <f>IF(AND(COUNTIF($A$2:$A$2027,A1252)&gt;1,COUNTIF($A$2:A1252,A1252)=1),1,0)</f>
        <v>0</v>
      </c>
      <c r="S1252" t="b">
        <f>IFERROR(VLOOKUP(D1252,Products!$A$2:$F$61,6,FALSE()),"")</f>
        <v>1</v>
      </c>
      <c r="T1252" t="str">
        <f>IF(COUNTIF(Customers!$A$2:$A$301,C1252)=0,"Missing","OK")</f>
        <v>OK</v>
      </c>
      <c r="U1252" t="str">
        <f t="shared" si="58"/>
        <v>Hyderabad</v>
      </c>
      <c r="V1252">
        <f t="shared" si="59"/>
        <v>0</v>
      </c>
    </row>
    <row r="1253" spans="1:22" ht="15" customHeight="1" x14ac:dyDescent="0.35">
      <c r="A1253" s="3" t="s">
        <v>1677</v>
      </c>
      <c r="B1253" s="4">
        <v>45476</v>
      </c>
      <c r="C1253" s="3" t="s">
        <v>331</v>
      </c>
      <c r="D1253" s="3" t="s">
        <v>231</v>
      </c>
      <c r="E1253" s="3" t="s">
        <v>50</v>
      </c>
      <c r="F1253" s="5">
        <v>2</v>
      </c>
      <c r="G1253" s="5">
        <v>620</v>
      </c>
      <c r="H1253" s="5">
        <v>3.3</v>
      </c>
      <c r="I1253" s="5">
        <v>1199.08</v>
      </c>
      <c r="J1253" s="3" t="s">
        <v>26</v>
      </c>
      <c r="K1253" s="3" t="s">
        <v>51</v>
      </c>
      <c r="L1253" t="str">
        <f>IFERROR(VLOOKUP(D1253,Products!$A$2:$F$61,3,FALSE()),"")</f>
        <v>Apparel</v>
      </c>
      <c r="M1253" t="str">
        <f>IFERROR(VLOOKUP(E1253,Sales_Reps!$A$2:$C$31,3,FALSE()),"")</f>
        <v>West</v>
      </c>
      <c r="N1253">
        <f>IFERROR(VLOOKUP(D1253,Products!$A$2:$F$61,4,FALSE()),"")</f>
        <v>396</v>
      </c>
      <c r="O1253" t="str">
        <f>IFERROR(VLOOKUP(C1253,Customers!$A$2:$F$301,5,FALSE()),"")</f>
        <v>Retail</v>
      </c>
      <c r="P1253">
        <f>IFERROR(VLOOKUP(C1253,Customers!$A$2:$F$301,3,FALSE()),"")</f>
        <v>50</v>
      </c>
      <c r="Q1253">
        <f t="shared" si="57"/>
        <v>0.36129032258064514</v>
      </c>
      <c r="R1253">
        <f>IF(AND(COUNTIF($A$2:$A$2027,A1253)&gt;1,COUNTIF($A$2:A1253,A1253)=1),1,0)</f>
        <v>0</v>
      </c>
      <c r="S1253" t="b">
        <f>IFERROR(VLOOKUP(D1253,Products!$A$2:$F$61,6,FALSE()),"")</f>
        <v>1</v>
      </c>
      <c r="T1253" t="str">
        <f>IF(COUNTIF(Customers!$A$2:$A$301,C1253)=0,"Missing","OK")</f>
        <v>OK</v>
      </c>
      <c r="U1253" t="str">
        <f t="shared" si="58"/>
        <v>Mumbai</v>
      </c>
      <c r="V1253">
        <f t="shared" si="59"/>
        <v>0</v>
      </c>
    </row>
    <row r="1254" spans="1:22" ht="15" customHeight="1" x14ac:dyDescent="0.35">
      <c r="A1254" s="3" t="s">
        <v>1678</v>
      </c>
      <c r="B1254" s="4">
        <v>45481</v>
      </c>
      <c r="C1254" s="3" t="s">
        <v>696</v>
      </c>
      <c r="D1254" s="3" t="s">
        <v>198</v>
      </c>
      <c r="E1254" s="3" t="s">
        <v>50</v>
      </c>
      <c r="F1254" s="5">
        <v>7</v>
      </c>
      <c r="G1254" s="5">
        <v>1540</v>
      </c>
      <c r="H1254" s="5">
        <v>27.5</v>
      </c>
      <c r="I1254" s="5">
        <v>7815.5</v>
      </c>
      <c r="J1254" s="3" t="s">
        <v>26</v>
      </c>
      <c r="K1254" s="3" t="s">
        <v>56</v>
      </c>
      <c r="L1254" t="str">
        <f>IFERROR(VLOOKUP(D1254,Products!$A$2:$F$61,3,FALSE()),"")</f>
        <v>Beauty</v>
      </c>
      <c r="M1254" t="str">
        <f>IFERROR(VLOOKUP(E1254,Sales_Reps!$A$2:$C$31,3,FALSE()),"")</f>
        <v>West</v>
      </c>
      <c r="N1254">
        <f>IFERROR(VLOOKUP(D1254,Products!$A$2:$F$61,4,FALSE()),"")</f>
        <v>647</v>
      </c>
      <c r="O1254" t="str">
        <f>IFERROR(VLOOKUP(C1254,Customers!$A$2:$F$301,5,FALSE()),"")</f>
        <v>Corporate</v>
      </c>
      <c r="P1254">
        <f>IFERROR(VLOOKUP(C1254,Customers!$A$2:$F$301,3,FALSE()),"")</f>
        <v>43</v>
      </c>
      <c r="Q1254">
        <f t="shared" si="57"/>
        <v>0.57987012987012987</v>
      </c>
      <c r="R1254">
        <f>IF(AND(COUNTIF($A$2:$A$2027,A1254)&gt;1,COUNTIF($A$2:A1254,A1254)=1),1,0)</f>
        <v>0</v>
      </c>
      <c r="S1254" t="b">
        <f>IFERROR(VLOOKUP(D1254,Products!$A$2:$F$61,6,FALSE()),"")</f>
        <v>0</v>
      </c>
      <c r="T1254" t="str">
        <f>IF(COUNTIF(Customers!$A$2:$A$301,C1254)=0,"Missing","OK")</f>
        <v>OK</v>
      </c>
      <c r="U1254" t="str">
        <f t="shared" si="58"/>
        <v>Bengaluru</v>
      </c>
      <c r="V1254">
        <f t="shared" si="59"/>
        <v>0</v>
      </c>
    </row>
    <row r="1255" spans="1:22" ht="15" customHeight="1" x14ac:dyDescent="0.35">
      <c r="A1255" s="3" t="s">
        <v>1679</v>
      </c>
      <c r="B1255" s="4">
        <v>45480</v>
      </c>
      <c r="C1255" s="3" t="s">
        <v>734</v>
      </c>
      <c r="D1255" s="3" t="s">
        <v>36</v>
      </c>
      <c r="E1255" s="3" t="s">
        <v>177</v>
      </c>
      <c r="F1255" s="5">
        <v>10</v>
      </c>
      <c r="G1255" s="5">
        <v>470</v>
      </c>
      <c r="H1255" s="5">
        <v>3.9</v>
      </c>
      <c r="I1255" s="5">
        <v>4516.7</v>
      </c>
      <c r="J1255" s="3" t="s">
        <v>26</v>
      </c>
      <c r="K1255" s="3" t="s">
        <v>33</v>
      </c>
      <c r="L1255" t="str">
        <f>IFERROR(VLOOKUP(D1255,Products!$A$2:$F$61,3,FALSE()),"")</f>
        <v>Sports</v>
      </c>
      <c r="M1255" t="str">
        <f>IFERROR(VLOOKUP(E1255,Sales_Reps!$A$2:$C$31,3,FALSE()),"")</f>
        <v>East</v>
      </c>
      <c r="N1255">
        <f>IFERROR(VLOOKUP(D1255,Products!$A$2:$F$61,4,FALSE()),"")</f>
        <v>302</v>
      </c>
      <c r="O1255" t="str">
        <f>IFERROR(VLOOKUP(C1255,Customers!$A$2:$F$301,5,FALSE()),"")</f>
        <v>Retail</v>
      </c>
      <c r="P1255">
        <f>IFERROR(VLOOKUP(C1255,Customers!$A$2:$F$301,3,FALSE()),"")</f>
        <v>22</v>
      </c>
      <c r="Q1255">
        <f t="shared" si="57"/>
        <v>0.35744680851063831</v>
      </c>
      <c r="R1255">
        <f>IF(AND(COUNTIF($A$2:$A$2027,A1255)&gt;1,COUNTIF($A$2:A1255,A1255)=1),1,0)</f>
        <v>0</v>
      </c>
      <c r="S1255" t="b">
        <f>IFERROR(VLOOKUP(D1255,Products!$A$2:$F$61,6,FALSE()),"")</f>
        <v>0</v>
      </c>
      <c r="T1255" t="str">
        <f>IF(COUNTIF(Customers!$A$2:$A$301,C1255)=0,"Missing","OK")</f>
        <v>OK</v>
      </c>
      <c r="U1255" t="str">
        <f t="shared" si="58"/>
        <v>Chennai</v>
      </c>
      <c r="V1255">
        <f t="shared" si="59"/>
        <v>0</v>
      </c>
    </row>
    <row r="1256" spans="1:22" ht="15" customHeight="1" x14ac:dyDescent="0.35">
      <c r="A1256" s="3" t="s">
        <v>1680</v>
      </c>
      <c r="B1256" s="4">
        <v>45603</v>
      </c>
      <c r="C1256" s="3" t="s">
        <v>907</v>
      </c>
      <c r="D1256" s="3" t="s">
        <v>123</v>
      </c>
      <c r="E1256" s="3" t="s">
        <v>236</v>
      </c>
      <c r="F1256" s="5">
        <v>5</v>
      </c>
      <c r="G1256" s="5">
        <v>4880</v>
      </c>
      <c r="H1256" s="5">
        <v>27.4</v>
      </c>
      <c r="I1256" s="5">
        <v>17714.400000000001</v>
      </c>
      <c r="J1256" s="3" t="s">
        <v>26</v>
      </c>
      <c r="K1256" s="3" t="s">
        <v>38</v>
      </c>
      <c r="L1256" t="str">
        <f>IFERROR(VLOOKUP(D1256,Products!$A$2:$F$61,3,FALSE()),"")</f>
        <v>Beauty</v>
      </c>
      <c r="M1256" t="str">
        <f>IFERROR(VLOOKUP(E1256,Sales_Reps!$A$2:$C$31,3,FALSE()),"")</f>
        <v>North</v>
      </c>
      <c r="N1256">
        <f>IFERROR(VLOOKUP(D1256,Products!$A$2:$F$61,4,FALSE()),"")</f>
        <v>2768</v>
      </c>
      <c r="O1256" t="str">
        <f>IFERROR(VLOOKUP(C1256,Customers!$A$2:$F$301,5,FALSE()),"")</f>
        <v>Retail</v>
      </c>
      <c r="P1256">
        <f>IFERROR(VLOOKUP(C1256,Customers!$A$2:$F$301,3,FALSE()),"")</f>
        <v>47</v>
      </c>
      <c r="Q1256">
        <f t="shared" si="57"/>
        <v>0.43278688524590164</v>
      </c>
      <c r="R1256">
        <f>IF(AND(COUNTIF($A$2:$A$2027,A1256)&gt;1,COUNTIF($A$2:A1256,A1256)=1),1,0)</f>
        <v>0</v>
      </c>
      <c r="S1256" t="b">
        <f>IFERROR(VLOOKUP(D1256,Products!$A$2:$F$61,6,FALSE()),"")</f>
        <v>1</v>
      </c>
      <c r="T1256" t="str">
        <f>IF(COUNTIF(Customers!$A$2:$A$301,C1256)=0,"Missing","OK")</f>
        <v>OK</v>
      </c>
      <c r="U1256" t="str">
        <f t="shared" si="58"/>
        <v>Delhi</v>
      </c>
      <c r="V1256">
        <f t="shared" si="59"/>
        <v>0</v>
      </c>
    </row>
    <row r="1257" spans="1:22" ht="15" customHeight="1" x14ac:dyDescent="0.35">
      <c r="A1257" s="3" t="s">
        <v>1681</v>
      </c>
      <c r="B1257" s="4">
        <v>45548</v>
      </c>
      <c r="C1257" s="3" t="s">
        <v>1011</v>
      </c>
      <c r="D1257" s="3" t="s">
        <v>299</v>
      </c>
      <c r="E1257" s="3" t="s">
        <v>168</v>
      </c>
      <c r="F1257" s="5">
        <v>1</v>
      </c>
      <c r="G1257" s="5">
        <v>5410</v>
      </c>
      <c r="H1257" s="5">
        <v>8.3000000000000007</v>
      </c>
      <c r="I1257" s="5">
        <v>4960.97</v>
      </c>
      <c r="J1257" s="3" t="s">
        <v>26</v>
      </c>
      <c r="K1257" s="3" t="s">
        <v>51</v>
      </c>
      <c r="L1257" t="str">
        <f>IFERROR(VLOOKUP(D1257,Products!$A$2:$F$61,3,FALSE()),"")</f>
        <v>Sports</v>
      </c>
      <c r="M1257" t="str">
        <f>IFERROR(VLOOKUP(E1257,Sales_Reps!$A$2:$C$31,3,FALSE()),"")</f>
        <v>West</v>
      </c>
      <c r="N1257">
        <f>IFERROR(VLOOKUP(D1257,Products!$A$2:$F$61,4,FALSE()),"")</f>
        <v>2265</v>
      </c>
      <c r="O1257" t="str">
        <f>IFERROR(VLOOKUP(C1257,Customers!$A$2:$F$301,5,FALSE()),"")</f>
        <v>SMB</v>
      </c>
      <c r="P1257">
        <f>IFERROR(VLOOKUP(C1257,Customers!$A$2:$F$301,3,FALSE()),"")</f>
        <v>53</v>
      </c>
      <c r="Q1257">
        <f t="shared" si="57"/>
        <v>0.58133086876155271</v>
      </c>
      <c r="R1257">
        <f>IF(AND(COUNTIF($A$2:$A$2027,A1257)&gt;1,COUNTIF($A$2:A1257,A1257)=1),1,0)</f>
        <v>0</v>
      </c>
      <c r="S1257" t="b">
        <f>IFERROR(VLOOKUP(D1257,Products!$A$2:$F$61,6,FALSE()),"")</f>
        <v>1</v>
      </c>
      <c r="T1257" t="str">
        <f>IF(COUNTIF(Customers!$A$2:$A$301,C1257)=0,"Missing","OK")</f>
        <v>OK</v>
      </c>
      <c r="U1257" t="str">
        <f t="shared" si="58"/>
        <v>Mumbai</v>
      </c>
      <c r="V1257">
        <f t="shared" si="59"/>
        <v>0</v>
      </c>
    </row>
    <row r="1258" spans="1:22" ht="15" customHeight="1" x14ac:dyDescent="0.35">
      <c r="A1258" s="3" t="s">
        <v>1682</v>
      </c>
      <c r="B1258" s="4">
        <v>45482</v>
      </c>
      <c r="C1258" s="3" t="s">
        <v>211</v>
      </c>
      <c r="D1258" s="3" t="s">
        <v>187</v>
      </c>
      <c r="E1258" s="3" t="s">
        <v>224</v>
      </c>
      <c r="F1258" s="5">
        <v>8</v>
      </c>
      <c r="G1258" s="5">
        <v>3870</v>
      </c>
      <c r="H1258" s="5">
        <v>9.3000000000000007</v>
      </c>
      <c r="I1258" s="5">
        <v>28080.720000000001</v>
      </c>
      <c r="J1258" s="3" t="s">
        <v>32</v>
      </c>
      <c r="K1258" s="3" t="s">
        <v>33</v>
      </c>
      <c r="L1258" t="str">
        <f>IFERROR(VLOOKUP(D1258,Products!$A$2:$F$61,3,FALSE()),"")</f>
        <v>Electronics</v>
      </c>
      <c r="M1258" t="str">
        <f>IFERROR(VLOOKUP(E1258,Sales_Reps!$A$2:$C$31,3,FALSE()),"")</f>
        <v>East</v>
      </c>
      <c r="N1258">
        <f>IFERROR(VLOOKUP(D1258,Products!$A$2:$F$61,4,FALSE()),"")</f>
        <v>1559</v>
      </c>
      <c r="O1258" t="str">
        <f>IFERROR(VLOOKUP(C1258,Customers!$A$2:$F$301,5,FALSE()),"")</f>
        <v>SMB</v>
      </c>
      <c r="P1258">
        <f>IFERROR(VLOOKUP(C1258,Customers!$A$2:$F$301,3,FALSE()),"")</f>
        <v>55</v>
      </c>
      <c r="Q1258">
        <f t="shared" si="57"/>
        <v>0.59715762273901807</v>
      </c>
      <c r="R1258">
        <f>IF(AND(COUNTIF($A$2:$A$2027,A1258)&gt;1,COUNTIF($A$2:A1258,A1258)=1),1,0)</f>
        <v>0</v>
      </c>
      <c r="S1258" t="b">
        <f>IFERROR(VLOOKUP(D1258,Products!$A$2:$F$61,6,FALSE()),"")</f>
        <v>1</v>
      </c>
      <c r="T1258" t="str">
        <f>IF(COUNTIF(Customers!$A$2:$A$301,C1258)=0,"Missing","OK")</f>
        <v>OK</v>
      </c>
      <c r="U1258" t="str">
        <f t="shared" si="58"/>
        <v>Chennai</v>
      </c>
      <c r="V1258">
        <f t="shared" si="59"/>
        <v>0</v>
      </c>
    </row>
    <row r="1259" spans="1:22" ht="15" customHeight="1" x14ac:dyDescent="0.35">
      <c r="A1259" s="3" t="s">
        <v>1683</v>
      </c>
      <c r="B1259" s="4">
        <v>45457</v>
      </c>
      <c r="C1259" s="3" t="s">
        <v>664</v>
      </c>
      <c r="D1259" s="3" t="s">
        <v>74</v>
      </c>
      <c r="E1259" s="3" t="s">
        <v>177</v>
      </c>
      <c r="F1259" s="5">
        <v>10</v>
      </c>
      <c r="G1259" s="5">
        <v>2640</v>
      </c>
      <c r="H1259" s="5">
        <v>19.899999999999999</v>
      </c>
      <c r="I1259" s="5">
        <v>21146.400000000001</v>
      </c>
      <c r="J1259" s="3" t="s">
        <v>26</v>
      </c>
      <c r="K1259" s="3" t="s">
        <v>38</v>
      </c>
      <c r="L1259" t="str">
        <f>IFERROR(VLOOKUP(D1259,Products!$A$2:$F$61,3,FALSE()),"")</f>
        <v>Electronics</v>
      </c>
      <c r="M1259" t="str">
        <f>IFERROR(VLOOKUP(E1259,Sales_Reps!$A$2:$C$31,3,FALSE()),"")</f>
        <v>East</v>
      </c>
      <c r="N1259">
        <f>IFERROR(VLOOKUP(D1259,Products!$A$2:$F$61,4,FALSE()),"")</f>
        <v>1149</v>
      </c>
      <c r="O1259" t="str">
        <f>IFERROR(VLOOKUP(C1259,Customers!$A$2:$F$301,5,FALSE()),"")</f>
        <v>SMB</v>
      </c>
      <c r="P1259">
        <f>IFERROR(VLOOKUP(C1259,Customers!$A$2:$F$301,3,FALSE()),"")</f>
        <v>26</v>
      </c>
      <c r="Q1259">
        <f t="shared" si="57"/>
        <v>0.56477272727272732</v>
      </c>
      <c r="R1259">
        <f>IF(AND(COUNTIF($A$2:$A$2027,A1259)&gt;1,COUNTIF($A$2:A1259,A1259)=1),1,0)</f>
        <v>0</v>
      </c>
      <c r="S1259" t="b">
        <f>IFERROR(VLOOKUP(D1259,Products!$A$2:$F$61,6,FALSE()),"")</f>
        <v>1</v>
      </c>
      <c r="T1259" t="str">
        <f>IF(COUNTIF(Customers!$A$2:$A$301,C1259)=0,"Missing","OK")</f>
        <v>OK</v>
      </c>
      <c r="U1259" t="str">
        <f t="shared" si="58"/>
        <v>Delhi</v>
      </c>
      <c r="V1259">
        <f t="shared" si="59"/>
        <v>0</v>
      </c>
    </row>
    <row r="1260" spans="1:22" ht="15" customHeight="1" x14ac:dyDescent="0.35">
      <c r="A1260" s="3" t="s">
        <v>1684</v>
      </c>
      <c r="B1260" s="4">
        <v>45508</v>
      </c>
      <c r="C1260" s="3" t="s">
        <v>560</v>
      </c>
      <c r="D1260" s="3" t="s">
        <v>382</v>
      </c>
      <c r="E1260" s="3" t="s">
        <v>25</v>
      </c>
      <c r="F1260" s="5">
        <v>1</v>
      </c>
      <c r="G1260" s="5">
        <v>5080</v>
      </c>
      <c r="H1260" s="5">
        <v>8.6</v>
      </c>
      <c r="I1260" s="5">
        <v>4643.12</v>
      </c>
      <c r="J1260" s="3" t="s">
        <v>26</v>
      </c>
      <c r="K1260" s="3" t="s">
        <v>33</v>
      </c>
      <c r="L1260" t="str">
        <f>IFERROR(VLOOKUP(D1260,Products!$A$2:$F$61,3,FALSE()),"")</f>
        <v>Home</v>
      </c>
      <c r="M1260" t="str">
        <f>IFERROR(VLOOKUP(E1260,Sales_Reps!$A$2:$C$31,3,FALSE()),"")</f>
        <v>North</v>
      </c>
      <c r="N1260">
        <f>IFERROR(VLOOKUP(D1260,Products!$A$2:$F$61,4,FALSE()),"")</f>
        <v>2459</v>
      </c>
      <c r="O1260" t="str">
        <f>IFERROR(VLOOKUP(C1260,Customers!$A$2:$F$301,5,FALSE()),"")</f>
        <v>Corporate</v>
      </c>
      <c r="P1260">
        <f>IFERROR(VLOOKUP(C1260,Customers!$A$2:$F$301,3,FALSE()),"")</f>
        <v>22</v>
      </c>
      <c r="Q1260">
        <f t="shared" si="57"/>
        <v>0.51594488188976373</v>
      </c>
      <c r="R1260">
        <f>IF(AND(COUNTIF($A$2:$A$2027,A1260)&gt;1,COUNTIF($A$2:A1260,A1260)=1),1,0)</f>
        <v>0</v>
      </c>
      <c r="S1260" t="b">
        <f>IFERROR(VLOOKUP(D1260,Products!$A$2:$F$61,6,FALSE()),"")</f>
        <v>1</v>
      </c>
      <c r="T1260" t="str">
        <f>IF(COUNTIF(Customers!$A$2:$A$301,C1260)=0,"Missing","OK")</f>
        <v>OK</v>
      </c>
      <c r="U1260" t="str">
        <f t="shared" si="58"/>
        <v>Chennai</v>
      </c>
      <c r="V1260">
        <f t="shared" si="59"/>
        <v>0</v>
      </c>
    </row>
    <row r="1261" spans="1:22" ht="15" customHeight="1" x14ac:dyDescent="0.35">
      <c r="A1261" s="3" t="s">
        <v>1685</v>
      </c>
      <c r="B1261" s="4">
        <v>45399</v>
      </c>
      <c r="C1261" s="3" t="s">
        <v>639</v>
      </c>
      <c r="D1261" s="3" t="s">
        <v>82</v>
      </c>
      <c r="E1261" s="3" t="s">
        <v>242</v>
      </c>
      <c r="F1261" s="5">
        <v>9</v>
      </c>
      <c r="G1261" s="5">
        <v>3250</v>
      </c>
      <c r="H1261" s="5">
        <v>18.2</v>
      </c>
      <c r="I1261" s="5">
        <v>23926.5</v>
      </c>
      <c r="J1261" s="3" t="s">
        <v>32</v>
      </c>
      <c r="K1261" s="3" t="s">
        <v>33</v>
      </c>
      <c r="L1261" t="str">
        <f>IFERROR(VLOOKUP(D1261,Products!$A$2:$F$61,3,FALSE()),"")</f>
        <v>Home</v>
      </c>
      <c r="M1261" t="str">
        <f>IFERROR(VLOOKUP(E1261,Sales_Reps!$A$2:$C$31,3,FALSE()),"")</f>
        <v>East</v>
      </c>
      <c r="N1261">
        <f>IFERROR(VLOOKUP(D1261,Products!$A$2:$F$61,4,FALSE()),"")</f>
        <v>1556</v>
      </c>
      <c r="O1261" t="str">
        <f>IFERROR(VLOOKUP(C1261,Customers!$A$2:$F$301,5,FALSE()),"")</f>
        <v>SMB</v>
      </c>
      <c r="P1261">
        <f>IFERROR(VLOOKUP(C1261,Customers!$A$2:$F$301,3,FALSE()),"")</f>
        <v>46</v>
      </c>
      <c r="Q1261">
        <f t="shared" si="57"/>
        <v>0.52123076923076928</v>
      </c>
      <c r="R1261">
        <f>IF(AND(COUNTIF($A$2:$A$2027,A1261)&gt;1,COUNTIF($A$2:A1261,A1261)=1),1,0)</f>
        <v>0</v>
      </c>
      <c r="S1261" t="b">
        <f>IFERROR(VLOOKUP(D1261,Products!$A$2:$F$61,6,FALSE()),"")</f>
        <v>1</v>
      </c>
      <c r="T1261" t="str">
        <f>IF(COUNTIF(Customers!$A$2:$A$301,C1261)=0,"Missing","OK")</f>
        <v>OK</v>
      </c>
      <c r="U1261" t="str">
        <f t="shared" si="58"/>
        <v>Chennai</v>
      </c>
      <c r="V1261">
        <f t="shared" si="59"/>
        <v>0</v>
      </c>
    </row>
    <row r="1262" spans="1:22" ht="15" customHeight="1" x14ac:dyDescent="0.35">
      <c r="A1262" s="3" t="s">
        <v>1686</v>
      </c>
      <c r="B1262" s="4">
        <v>45607</v>
      </c>
      <c r="C1262" s="3" t="s">
        <v>102</v>
      </c>
      <c r="D1262" s="3" t="s">
        <v>347</v>
      </c>
      <c r="E1262" s="3" t="s">
        <v>236</v>
      </c>
      <c r="F1262" s="5">
        <v>8</v>
      </c>
      <c r="G1262" s="5">
        <v>3970</v>
      </c>
      <c r="H1262" s="5">
        <v>22.4</v>
      </c>
      <c r="I1262" s="5">
        <v>24645.759999999998</v>
      </c>
      <c r="J1262" s="3" t="s">
        <v>26</v>
      </c>
      <c r="K1262" s="3" t="s">
        <v>33</v>
      </c>
      <c r="L1262" t="str">
        <f>IFERROR(VLOOKUP(D1262,Products!$A$2:$F$61,3,FALSE()),"")</f>
        <v>Electronics</v>
      </c>
      <c r="M1262" t="str">
        <f>IFERROR(VLOOKUP(E1262,Sales_Reps!$A$2:$C$31,3,FALSE()),"")</f>
        <v>North</v>
      </c>
      <c r="N1262">
        <f>IFERROR(VLOOKUP(D1262,Products!$A$2:$F$61,4,FALSE()),"")</f>
        <v>2865</v>
      </c>
      <c r="O1262" t="str">
        <f>IFERROR(VLOOKUP(C1262,Customers!$A$2:$F$301,5,FALSE()),"")</f>
        <v>Retail</v>
      </c>
      <c r="P1262">
        <f>IFERROR(VLOOKUP(C1262,Customers!$A$2:$F$301,3,FALSE()),"")</f>
        <v>49</v>
      </c>
      <c r="Q1262">
        <f t="shared" si="57"/>
        <v>0.27833753148614609</v>
      </c>
      <c r="R1262">
        <f>IF(AND(COUNTIF($A$2:$A$2027,A1262)&gt;1,COUNTIF($A$2:A1262,A1262)=1),1,0)</f>
        <v>0</v>
      </c>
      <c r="S1262" t="b">
        <f>IFERROR(VLOOKUP(D1262,Products!$A$2:$F$61,6,FALSE()),"")</f>
        <v>1</v>
      </c>
      <c r="T1262" t="str">
        <f>IF(COUNTIF(Customers!$A$2:$A$301,C1262)=0,"Missing","OK")</f>
        <v>OK</v>
      </c>
      <c r="U1262" t="str">
        <f t="shared" si="58"/>
        <v>Chennai</v>
      </c>
      <c r="V1262">
        <f t="shared" si="59"/>
        <v>0</v>
      </c>
    </row>
    <row r="1263" spans="1:22" ht="15" customHeight="1" x14ac:dyDescent="0.35">
      <c r="A1263" s="3" t="s">
        <v>1687</v>
      </c>
      <c r="B1263" s="4">
        <v>45407</v>
      </c>
      <c r="C1263" s="3" t="s">
        <v>396</v>
      </c>
      <c r="D1263" s="3" t="s">
        <v>142</v>
      </c>
      <c r="E1263" s="3" t="s">
        <v>177</v>
      </c>
      <c r="F1263" s="5">
        <v>3</v>
      </c>
      <c r="G1263" s="5">
        <v>660</v>
      </c>
      <c r="H1263" s="5">
        <v>3.1</v>
      </c>
      <c r="I1263" s="5">
        <v>1918.62</v>
      </c>
      <c r="J1263" s="3" t="s">
        <v>26</v>
      </c>
      <c r="K1263" s="3" t="s">
        <v>27</v>
      </c>
      <c r="L1263" t="str">
        <f>IFERROR(VLOOKUP(D1263,Products!$A$2:$F$61,3,FALSE()),"")</f>
        <v>Home</v>
      </c>
      <c r="M1263" t="str">
        <f>IFERROR(VLOOKUP(E1263,Sales_Reps!$A$2:$C$31,3,FALSE()),"")</f>
        <v>East</v>
      </c>
      <c r="N1263">
        <f>IFERROR(VLOOKUP(D1263,Products!$A$2:$F$61,4,FALSE()),"")</f>
        <v>329</v>
      </c>
      <c r="O1263" t="str">
        <f>IFERROR(VLOOKUP(C1263,Customers!$A$2:$F$301,5,FALSE()),"")</f>
        <v>Retail</v>
      </c>
      <c r="P1263">
        <f>IFERROR(VLOOKUP(C1263,Customers!$A$2:$F$301,3,FALSE()),"")</f>
        <v>29</v>
      </c>
      <c r="Q1263">
        <f t="shared" si="57"/>
        <v>0.50151515151515147</v>
      </c>
      <c r="R1263">
        <f>IF(AND(COUNTIF($A$2:$A$2027,A1263)&gt;1,COUNTIF($A$2:A1263,A1263)=1),1,0)</f>
        <v>0</v>
      </c>
      <c r="S1263" t="b">
        <f>IFERROR(VLOOKUP(D1263,Products!$A$2:$F$61,6,FALSE()),"")</f>
        <v>1</v>
      </c>
      <c r="T1263" t="str">
        <f>IF(COUNTIF(Customers!$A$2:$A$301,C1263)=0,"Missing","OK")</f>
        <v>OK</v>
      </c>
      <c r="U1263" t="str">
        <f t="shared" si="58"/>
        <v>Pune</v>
      </c>
      <c r="V1263">
        <f t="shared" si="59"/>
        <v>0</v>
      </c>
    </row>
    <row r="1264" spans="1:22" ht="15" customHeight="1" x14ac:dyDescent="0.35">
      <c r="A1264" s="3" t="s">
        <v>1688</v>
      </c>
      <c r="B1264" s="4">
        <v>45357</v>
      </c>
      <c r="C1264" s="3" t="s">
        <v>1170</v>
      </c>
      <c r="D1264" s="3" t="s">
        <v>77</v>
      </c>
      <c r="E1264" s="3" t="s">
        <v>224</v>
      </c>
      <c r="F1264" s="5">
        <v>7</v>
      </c>
      <c r="G1264" s="5">
        <v>2600</v>
      </c>
      <c r="H1264" s="5">
        <v>15.4</v>
      </c>
      <c r="I1264" s="5">
        <v>15397.2</v>
      </c>
      <c r="J1264" s="3" t="s">
        <v>26</v>
      </c>
      <c r="K1264" s="3" t="s">
        <v>27</v>
      </c>
      <c r="L1264" t="str">
        <f>IFERROR(VLOOKUP(D1264,Products!$A$2:$F$61,3,FALSE()),"")</f>
        <v>Electronics</v>
      </c>
      <c r="M1264" t="str">
        <f>IFERROR(VLOOKUP(E1264,Sales_Reps!$A$2:$C$31,3,FALSE()),"")</f>
        <v>East</v>
      </c>
      <c r="N1264">
        <f>IFERROR(VLOOKUP(D1264,Products!$A$2:$F$61,4,FALSE()),"")</f>
        <v>1052</v>
      </c>
      <c r="O1264" t="str">
        <f>IFERROR(VLOOKUP(C1264,Customers!$A$2:$F$301,5,FALSE()),"")</f>
        <v>Retail</v>
      </c>
      <c r="P1264">
        <f>IFERROR(VLOOKUP(C1264,Customers!$A$2:$F$301,3,FALSE()),"")</f>
        <v>42</v>
      </c>
      <c r="Q1264">
        <f t="shared" si="57"/>
        <v>0.5953846153846154</v>
      </c>
      <c r="R1264">
        <f>IF(AND(COUNTIF($A$2:$A$2027,A1264)&gt;1,COUNTIF($A$2:A1264,A1264)=1),1,0)</f>
        <v>0</v>
      </c>
      <c r="S1264" t="b">
        <f>IFERROR(VLOOKUP(D1264,Products!$A$2:$F$61,6,FALSE()),"")</f>
        <v>1</v>
      </c>
      <c r="T1264" t="str">
        <f>IF(COUNTIF(Customers!$A$2:$A$301,C1264)=0,"Missing","OK")</f>
        <v>OK</v>
      </c>
      <c r="U1264" t="str">
        <f t="shared" si="58"/>
        <v>Pune</v>
      </c>
      <c r="V1264">
        <f t="shared" si="59"/>
        <v>0</v>
      </c>
    </row>
    <row r="1265" spans="1:22" ht="15" customHeight="1" x14ac:dyDescent="0.35">
      <c r="A1265" s="3" t="s">
        <v>1689</v>
      </c>
      <c r="B1265" s="4">
        <v>45565</v>
      </c>
      <c r="C1265" s="3" t="s">
        <v>547</v>
      </c>
      <c r="D1265" s="3" t="s">
        <v>142</v>
      </c>
      <c r="E1265" s="3" t="s">
        <v>127</v>
      </c>
      <c r="F1265" s="5">
        <v>9</v>
      </c>
      <c r="G1265" s="5">
        <v>660</v>
      </c>
      <c r="H1265" s="5">
        <v>23.7</v>
      </c>
      <c r="I1265" s="5">
        <v>4532.22</v>
      </c>
      <c r="J1265" s="3" t="s">
        <v>26</v>
      </c>
      <c r="K1265" s="3" t="s">
        <v>27</v>
      </c>
      <c r="L1265" t="str">
        <f>IFERROR(VLOOKUP(D1265,Products!$A$2:$F$61,3,FALSE()),"")</f>
        <v>Home</v>
      </c>
      <c r="M1265" t="str">
        <f>IFERROR(VLOOKUP(E1265,Sales_Reps!$A$2:$C$31,3,FALSE()),"")</f>
        <v>South</v>
      </c>
      <c r="N1265">
        <f>IFERROR(VLOOKUP(D1265,Products!$A$2:$F$61,4,FALSE()),"")</f>
        <v>329</v>
      </c>
      <c r="O1265" t="str">
        <f>IFERROR(VLOOKUP(C1265,Customers!$A$2:$F$301,5,FALSE()),"")</f>
        <v>Corporate</v>
      </c>
      <c r="P1265">
        <f>IFERROR(VLOOKUP(C1265,Customers!$A$2:$F$301,3,FALSE()),"")</f>
        <v>40</v>
      </c>
      <c r="Q1265">
        <f t="shared" si="57"/>
        <v>0.50151515151515147</v>
      </c>
      <c r="R1265">
        <f>IF(AND(COUNTIF($A$2:$A$2027,A1265)&gt;1,COUNTIF($A$2:A1265,A1265)=1),1,0)</f>
        <v>0</v>
      </c>
      <c r="S1265" t="b">
        <f>IFERROR(VLOOKUP(D1265,Products!$A$2:$F$61,6,FALSE()),"")</f>
        <v>1</v>
      </c>
      <c r="T1265" t="str">
        <f>IF(COUNTIF(Customers!$A$2:$A$301,C1265)=0,"Missing","OK")</f>
        <v>OK</v>
      </c>
      <c r="U1265" t="str">
        <f t="shared" si="58"/>
        <v>Pune</v>
      </c>
      <c r="V1265">
        <f t="shared" si="59"/>
        <v>0</v>
      </c>
    </row>
    <row r="1266" spans="1:22" ht="15" customHeight="1" x14ac:dyDescent="0.35">
      <c r="A1266" s="3" t="s">
        <v>1690</v>
      </c>
      <c r="B1266" s="4">
        <v>45395</v>
      </c>
      <c r="C1266" s="3" t="s">
        <v>197</v>
      </c>
      <c r="D1266" s="3" t="s">
        <v>306</v>
      </c>
      <c r="E1266" s="3" t="s">
        <v>97</v>
      </c>
      <c r="F1266" s="5">
        <v>3</v>
      </c>
      <c r="G1266" s="5">
        <v>2380</v>
      </c>
      <c r="H1266" s="5">
        <v>19.5</v>
      </c>
      <c r="I1266" s="5">
        <v>5747.7</v>
      </c>
      <c r="J1266" s="3" t="s">
        <v>79</v>
      </c>
      <c r="K1266" s="3" t="s">
        <v>38</v>
      </c>
      <c r="L1266" t="str">
        <f>IFERROR(VLOOKUP(D1266,Products!$A$2:$F$61,3,FALSE()),"")</f>
        <v>Grocery</v>
      </c>
      <c r="M1266" t="str">
        <f>IFERROR(VLOOKUP(E1266,Sales_Reps!$A$2:$C$31,3,FALSE()),"")</f>
        <v>East</v>
      </c>
      <c r="N1266">
        <f>IFERROR(VLOOKUP(D1266,Products!$A$2:$F$61,4,FALSE()),"")</f>
        <v>1182</v>
      </c>
      <c r="O1266" t="str">
        <f>IFERROR(VLOOKUP(C1266,Customers!$A$2:$F$301,5,FALSE()),"")</f>
        <v>SMB</v>
      </c>
      <c r="P1266">
        <f>IFERROR(VLOOKUP(C1266,Customers!$A$2:$F$301,3,FALSE()),"")</f>
        <v>55</v>
      </c>
      <c r="Q1266">
        <f t="shared" si="57"/>
        <v>0.50336134453781511</v>
      </c>
      <c r="R1266">
        <f>IF(AND(COUNTIF($A$2:$A$2027,A1266)&gt;1,COUNTIF($A$2:A1266,A1266)=1),1,0)</f>
        <v>0</v>
      </c>
      <c r="S1266" t="b">
        <f>IFERROR(VLOOKUP(D1266,Products!$A$2:$F$61,6,FALSE()),"")</f>
        <v>1</v>
      </c>
      <c r="T1266" t="str">
        <f>IF(COUNTIF(Customers!$A$2:$A$301,C1266)=0,"Missing","OK")</f>
        <v>OK</v>
      </c>
      <c r="U1266" t="str">
        <f t="shared" si="58"/>
        <v>Delhi</v>
      </c>
      <c r="V1266">
        <f t="shared" si="59"/>
        <v>0</v>
      </c>
    </row>
    <row r="1267" spans="1:22" ht="15" customHeight="1" x14ac:dyDescent="0.35">
      <c r="A1267" s="3" t="s">
        <v>1691</v>
      </c>
      <c r="B1267" s="4">
        <v>45624</v>
      </c>
      <c r="C1267" s="3" t="s">
        <v>267</v>
      </c>
      <c r="D1267" s="3" t="s">
        <v>115</v>
      </c>
      <c r="E1267" s="3" t="s">
        <v>71</v>
      </c>
      <c r="F1267" s="5">
        <v>9</v>
      </c>
      <c r="G1267" s="5">
        <v>1650</v>
      </c>
      <c r="H1267" s="5">
        <v>2.5</v>
      </c>
      <c r="I1267" s="5">
        <v>14478.75</v>
      </c>
      <c r="J1267" s="3" t="s">
        <v>26</v>
      </c>
      <c r="K1267" s="3" t="s">
        <v>33</v>
      </c>
      <c r="L1267" t="str">
        <f>IFERROR(VLOOKUP(D1267,Products!$A$2:$F$61,3,FALSE()),"")</f>
        <v>Beauty</v>
      </c>
      <c r="M1267" t="str">
        <f>IFERROR(VLOOKUP(E1267,Sales_Reps!$A$2:$C$31,3,FALSE()),"")</f>
        <v>South</v>
      </c>
      <c r="N1267">
        <f>IFERROR(VLOOKUP(D1267,Products!$A$2:$F$61,4,FALSE()),"")</f>
        <v>1222</v>
      </c>
      <c r="O1267" t="str">
        <f>IFERROR(VLOOKUP(C1267,Customers!$A$2:$F$301,5,FALSE()),"")</f>
        <v>Retail</v>
      </c>
      <c r="P1267">
        <f>IFERROR(VLOOKUP(C1267,Customers!$A$2:$F$301,3,FALSE()),"")</f>
        <v>28</v>
      </c>
      <c r="Q1267">
        <f t="shared" si="57"/>
        <v>0.2593939393939394</v>
      </c>
      <c r="R1267">
        <f>IF(AND(COUNTIF($A$2:$A$2027,A1267)&gt;1,COUNTIF($A$2:A1267,A1267)=1),1,0)</f>
        <v>0</v>
      </c>
      <c r="S1267" t="b">
        <f>IFERROR(VLOOKUP(D1267,Products!$A$2:$F$61,6,FALSE()),"")</f>
        <v>1</v>
      </c>
      <c r="T1267" t="str">
        <f>IF(COUNTIF(Customers!$A$2:$A$301,C1267)=0,"Missing","OK")</f>
        <v>OK</v>
      </c>
      <c r="U1267" t="str">
        <f t="shared" si="58"/>
        <v>Chennai</v>
      </c>
      <c r="V1267">
        <f t="shared" si="59"/>
        <v>0</v>
      </c>
    </row>
    <row r="1268" spans="1:22" ht="15" customHeight="1" x14ac:dyDescent="0.35">
      <c r="A1268" s="3" t="s">
        <v>1692</v>
      </c>
      <c r="B1268" s="4">
        <v>45650</v>
      </c>
      <c r="C1268" s="3" t="s">
        <v>1693</v>
      </c>
      <c r="D1268" s="3" t="s">
        <v>74</v>
      </c>
      <c r="E1268" s="3" t="s">
        <v>42</v>
      </c>
      <c r="F1268" s="5">
        <v>8</v>
      </c>
      <c r="G1268" s="5">
        <v>2640</v>
      </c>
      <c r="H1268" s="5">
        <v>24.4</v>
      </c>
      <c r="I1268" s="5">
        <v>15966.72</v>
      </c>
      <c r="J1268" s="3" t="s">
        <v>26</v>
      </c>
      <c r="K1268" s="3" t="s">
        <v>51</v>
      </c>
      <c r="L1268" t="str">
        <f>IFERROR(VLOOKUP(D1268,Products!$A$2:$F$61,3,FALSE()),"")</f>
        <v>Electronics</v>
      </c>
      <c r="M1268" t="str">
        <f>IFERROR(VLOOKUP(E1268,Sales_Reps!$A$2:$C$31,3,FALSE()),"")</f>
        <v>North</v>
      </c>
      <c r="N1268">
        <f>IFERROR(VLOOKUP(D1268,Products!$A$2:$F$61,4,FALSE()),"")</f>
        <v>1149</v>
      </c>
      <c r="O1268" t="str">
        <f>IFERROR(VLOOKUP(C1268,Customers!$A$2:$F$301,5,FALSE()),"")</f>
        <v/>
      </c>
      <c r="P1268" t="str">
        <f>IFERROR(VLOOKUP(C1268,Customers!$A$2:$F$301,3,FALSE()),"")</f>
        <v/>
      </c>
      <c r="Q1268">
        <f t="shared" si="57"/>
        <v>0.56477272727272732</v>
      </c>
      <c r="R1268">
        <f>IF(AND(COUNTIF($A$2:$A$2027,A1268)&gt;1,COUNTIF($A$2:A1268,A1268)=1),1,0)</f>
        <v>0</v>
      </c>
      <c r="S1268" t="b">
        <f>IFERROR(VLOOKUP(D1268,Products!$A$2:$F$61,6,FALSE()),"")</f>
        <v>1</v>
      </c>
      <c r="T1268" t="str">
        <f>IF(COUNTIF(Customers!$A$2:$A$301,C1268)=0,"Missing","OK")</f>
        <v>Missing</v>
      </c>
      <c r="U1268" t="str">
        <f t="shared" si="58"/>
        <v>Mumbai</v>
      </c>
      <c r="V1268">
        <f t="shared" si="59"/>
        <v>0</v>
      </c>
    </row>
    <row r="1269" spans="1:22" ht="15" customHeight="1" x14ac:dyDescent="0.35">
      <c r="A1269" s="3" t="s">
        <v>1694</v>
      </c>
      <c r="B1269" s="4">
        <v>45370</v>
      </c>
      <c r="C1269" s="3" t="s">
        <v>536</v>
      </c>
      <c r="D1269" s="3" t="s">
        <v>306</v>
      </c>
      <c r="E1269" s="3" t="s">
        <v>191</v>
      </c>
      <c r="F1269" s="5">
        <v>8</v>
      </c>
      <c r="G1269" s="5">
        <v>2380</v>
      </c>
      <c r="H1269" s="5">
        <v>24.2</v>
      </c>
      <c r="I1269" s="5">
        <v>14432.32</v>
      </c>
      <c r="J1269" s="3" t="s">
        <v>26</v>
      </c>
      <c r="K1269" s="3" t="s">
        <v>51</v>
      </c>
      <c r="L1269" t="str">
        <f>IFERROR(VLOOKUP(D1269,Products!$A$2:$F$61,3,FALSE()),"")</f>
        <v>Grocery</v>
      </c>
      <c r="M1269" t="str">
        <f>IFERROR(VLOOKUP(E1269,Sales_Reps!$A$2:$C$31,3,FALSE()),"")</f>
        <v>South</v>
      </c>
      <c r="N1269">
        <f>IFERROR(VLOOKUP(D1269,Products!$A$2:$F$61,4,FALSE()),"")</f>
        <v>1182</v>
      </c>
      <c r="O1269" t="str">
        <f>IFERROR(VLOOKUP(C1269,Customers!$A$2:$F$301,5,FALSE()),"")</f>
        <v>Retail</v>
      </c>
      <c r="P1269">
        <f>IFERROR(VLOOKUP(C1269,Customers!$A$2:$F$301,3,FALSE()),"")</f>
        <v>39</v>
      </c>
      <c r="Q1269">
        <f t="shared" si="57"/>
        <v>0.50336134453781511</v>
      </c>
      <c r="R1269">
        <f>IF(AND(COUNTIF($A$2:$A$2027,A1269)&gt;1,COUNTIF($A$2:A1269,A1269)=1),1,0)</f>
        <v>0</v>
      </c>
      <c r="S1269" t="b">
        <f>IFERROR(VLOOKUP(D1269,Products!$A$2:$F$61,6,FALSE()),"")</f>
        <v>1</v>
      </c>
      <c r="T1269" t="str">
        <f>IF(COUNTIF(Customers!$A$2:$A$301,C1269)=0,"Missing","OK")</f>
        <v>OK</v>
      </c>
      <c r="U1269" t="str">
        <f t="shared" si="58"/>
        <v>Mumbai</v>
      </c>
      <c r="V1269">
        <f t="shared" si="59"/>
        <v>0</v>
      </c>
    </row>
    <row r="1270" spans="1:22" ht="15" customHeight="1" x14ac:dyDescent="0.35">
      <c r="A1270" s="3" t="s">
        <v>1695</v>
      </c>
      <c r="B1270" s="4">
        <v>45373</v>
      </c>
      <c r="C1270" s="3" t="s">
        <v>197</v>
      </c>
      <c r="D1270" s="3" t="s">
        <v>277</v>
      </c>
      <c r="E1270" s="3" t="s">
        <v>25</v>
      </c>
      <c r="F1270" s="5">
        <v>10</v>
      </c>
      <c r="G1270" s="5">
        <v>2210</v>
      </c>
      <c r="H1270" s="5">
        <v>3.6</v>
      </c>
      <c r="I1270" s="5">
        <v>21304.400000000001</v>
      </c>
      <c r="J1270" s="3" t="s">
        <v>26</v>
      </c>
      <c r="K1270" s="3" t="s">
        <v>38</v>
      </c>
      <c r="L1270" t="str">
        <f>IFERROR(VLOOKUP(D1270,Products!$A$2:$F$61,3,FALSE()),"")</f>
        <v>Grocery</v>
      </c>
      <c r="M1270" t="str">
        <f>IFERROR(VLOOKUP(E1270,Sales_Reps!$A$2:$C$31,3,FALSE()),"")</f>
        <v>North</v>
      </c>
      <c r="N1270">
        <f>IFERROR(VLOOKUP(D1270,Products!$A$2:$F$61,4,FALSE()),"")</f>
        <v>1010</v>
      </c>
      <c r="O1270" t="str">
        <f>IFERROR(VLOOKUP(C1270,Customers!$A$2:$F$301,5,FALSE()),"")</f>
        <v>SMB</v>
      </c>
      <c r="P1270">
        <f>IFERROR(VLOOKUP(C1270,Customers!$A$2:$F$301,3,FALSE()),"")</f>
        <v>55</v>
      </c>
      <c r="Q1270">
        <f t="shared" si="57"/>
        <v>0.54298642533936647</v>
      </c>
      <c r="R1270">
        <f>IF(AND(COUNTIF($A$2:$A$2027,A1270)&gt;1,COUNTIF($A$2:A1270,A1270)=1),1,0)</f>
        <v>0</v>
      </c>
      <c r="S1270" t="b">
        <f>IFERROR(VLOOKUP(D1270,Products!$A$2:$F$61,6,FALSE()),"")</f>
        <v>1</v>
      </c>
      <c r="T1270" t="str">
        <f>IF(COUNTIF(Customers!$A$2:$A$301,C1270)=0,"Missing","OK")</f>
        <v>OK</v>
      </c>
      <c r="U1270" t="str">
        <f t="shared" si="58"/>
        <v>Delhi</v>
      </c>
      <c r="V1270">
        <f t="shared" si="59"/>
        <v>0</v>
      </c>
    </row>
    <row r="1271" spans="1:22" ht="15" customHeight="1" x14ac:dyDescent="0.35">
      <c r="A1271" s="3" t="s">
        <v>1696</v>
      </c>
      <c r="B1271" s="4">
        <v>45391</v>
      </c>
      <c r="C1271" s="3" t="s">
        <v>774</v>
      </c>
      <c r="D1271" s="3" t="s">
        <v>180</v>
      </c>
      <c r="E1271" s="3" t="s">
        <v>242</v>
      </c>
      <c r="F1271" s="5">
        <v>9</v>
      </c>
      <c r="G1271" s="5">
        <v>6080</v>
      </c>
      <c r="H1271" s="5">
        <v>17.2</v>
      </c>
      <c r="I1271" s="5">
        <v>45308.160000000003</v>
      </c>
      <c r="J1271" s="3" t="s">
        <v>32</v>
      </c>
      <c r="K1271" s="3" t="s">
        <v>56</v>
      </c>
      <c r="L1271" t="str">
        <f>IFERROR(VLOOKUP(D1271,Products!$A$2:$F$61,3,FALSE()),"")</f>
        <v>Beauty</v>
      </c>
      <c r="M1271" t="str">
        <f>IFERROR(VLOOKUP(E1271,Sales_Reps!$A$2:$C$31,3,FALSE()),"")</f>
        <v>East</v>
      </c>
      <c r="N1271">
        <f>IFERROR(VLOOKUP(D1271,Products!$A$2:$F$61,4,FALSE()),"")</f>
        <v>2617</v>
      </c>
      <c r="O1271" t="str">
        <f>IFERROR(VLOOKUP(C1271,Customers!$A$2:$F$301,5,FALSE()),"")</f>
        <v>Retail</v>
      </c>
      <c r="P1271">
        <f>IFERROR(VLOOKUP(C1271,Customers!$A$2:$F$301,3,FALSE()),"")</f>
        <v>52</v>
      </c>
      <c r="Q1271">
        <f t="shared" si="57"/>
        <v>0.56957236842105263</v>
      </c>
      <c r="R1271">
        <f>IF(AND(COUNTIF($A$2:$A$2027,A1271)&gt;1,COUNTIF($A$2:A1271,A1271)=1),1,0)</f>
        <v>0</v>
      </c>
      <c r="S1271" t="b">
        <f>IFERROR(VLOOKUP(D1271,Products!$A$2:$F$61,6,FALSE()),"")</f>
        <v>1</v>
      </c>
      <c r="T1271" t="str">
        <f>IF(COUNTIF(Customers!$A$2:$A$301,C1271)=0,"Missing","OK")</f>
        <v>OK</v>
      </c>
      <c r="U1271" t="str">
        <f t="shared" si="58"/>
        <v>Bengaluru</v>
      </c>
      <c r="V1271">
        <f t="shared" si="59"/>
        <v>0</v>
      </c>
    </row>
    <row r="1272" spans="1:22" ht="15" customHeight="1" x14ac:dyDescent="0.35">
      <c r="A1272" s="3" t="s">
        <v>1697</v>
      </c>
      <c r="B1272" s="4">
        <v>45332</v>
      </c>
      <c r="C1272" s="3" t="s">
        <v>636</v>
      </c>
      <c r="D1272" s="3" t="s">
        <v>121</v>
      </c>
      <c r="E1272" s="3" t="s">
        <v>224</v>
      </c>
      <c r="F1272" s="5">
        <v>8</v>
      </c>
      <c r="G1272" s="5">
        <v>1010</v>
      </c>
      <c r="H1272" s="5">
        <v>12.3</v>
      </c>
      <c r="I1272" s="5">
        <v>7086.16</v>
      </c>
      <c r="J1272" s="3" t="s">
        <v>26</v>
      </c>
      <c r="K1272" s="3" t="s">
        <v>72</v>
      </c>
      <c r="L1272" t="str">
        <f>IFERROR(VLOOKUP(D1272,Products!$A$2:$F$61,3,FALSE()),"")</f>
        <v>Sports</v>
      </c>
      <c r="M1272" t="str">
        <f>IFERROR(VLOOKUP(E1272,Sales_Reps!$A$2:$C$31,3,FALSE()),"")</f>
        <v>East</v>
      </c>
      <c r="N1272">
        <f>IFERROR(VLOOKUP(D1272,Products!$A$2:$F$61,4,FALSE()),"")</f>
        <v>516</v>
      </c>
      <c r="O1272" t="str">
        <f>IFERROR(VLOOKUP(C1272,Customers!$A$2:$F$301,5,FALSE()),"")</f>
        <v>Retail</v>
      </c>
      <c r="P1272">
        <f>IFERROR(VLOOKUP(C1272,Customers!$A$2:$F$301,3,FALSE()),"")</f>
        <v>65</v>
      </c>
      <c r="Q1272">
        <f t="shared" si="57"/>
        <v>0.4891089108910891</v>
      </c>
      <c r="R1272">
        <f>IF(AND(COUNTIF($A$2:$A$2027,A1272)&gt;1,COUNTIF($A$2:A1272,A1272)=1),1,0)</f>
        <v>0</v>
      </c>
      <c r="S1272" t="b">
        <f>IFERROR(VLOOKUP(D1272,Products!$A$2:$F$61,6,FALSE()),"")</f>
        <v>1</v>
      </c>
      <c r="T1272" t="str">
        <f>IF(COUNTIF(Customers!$A$2:$A$301,C1272)=0,"Missing","OK")</f>
        <v>OK</v>
      </c>
      <c r="U1272" t="str">
        <f t="shared" si="58"/>
        <v>Hyderabad</v>
      </c>
      <c r="V1272">
        <f t="shared" si="59"/>
        <v>0</v>
      </c>
    </row>
    <row r="1273" spans="1:22" ht="15" customHeight="1" x14ac:dyDescent="0.35">
      <c r="A1273" s="3" t="s">
        <v>1698</v>
      </c>
      <c r="B1273" s="4">
        <v>45582</v>
      </c>
      <c r="C1273" s="3" t="s">
        <v>887</v>
      </c>
      <c r="D1273" s="3" t="s">
        <v>41</v>
      </c>
      <c r="E1273" s="3" t="s">
        <v>212</v>
      </c>
      <c r="F1273" s="5">
        <v>8</v>
      </c>
      <c r="G1273" s="5">
        <v>3660</v>
      </c>
      <c r="H1273" s="5">
        <v>8.4</v>
      </c>
      <c r="I1273" s="5">
        <v>26820.48</v>
      </c>
      <c r="J1273" s="3" t="s">
        <v>26</v>
      </c>
      <c r="K1273" s="3" t="s">
        <v>27</v>
      </c>
      <c r="L1273" t="str">
        <f>IFERROR(VLOOKUP(D1273,Products!$A$2:$F$61,3,FALSE()),"")</f>
        <v>Grocery</v>
      </c>
      <c r="M1273" t="str">
        <f>IFERROR(VLOOKUP(E1273,Sales_Reps!$A$2:$C$31,3,FALSE()),"")</f>
        <v>South</v>
      </c>
      <c r="N1273">
        <f>IFERROR(VLOOKUP(D1273,Products!$A$2:$F$61,4,FALSE()),"")</f>
        <v>2214</v>
      </c>
      <c r="O1273" t="str">
        <f>IFERROR(VLOOKUP(C1273,Customers!$A$2:$F$301,5,FALSE()),"")</f>
        <v>Retail</v>
      </c>
      <c r="P1273">
        <f>IFERROR(VLOOKUP(C1273,Customers!$A$2:$F$301,3,FALSE()),"")</f>
        <v>65</v>
      </c>
      <c r="Q1273">
        <f t="shared" si="57"/>
        <v>0.39508196721311473</v>
      </c>
      <c r="R1273">
        <f>IF(AND(COUNTIF($A$2:$A$2027,A1273)&gt;1,COUNTIF($A$2:A1273,A1273)=1),1,0)</f>
        <v>0</v>
      </c>
      <c r="S1273" t="b">
        <f>IFERROR(VLOOKUP(D1273,Products!$A$2:$F$61,6,FALSE()),"")</f>
        <v>0</v>
      </c>
      <c r="T1273" t="str">
        <f>IF(COUNTIF(Customers!$A$2:$A$301,C1273)=0,"Missing","OK")</f>
        <v>OK</v>
      </c>
      <c r="U1273" t="str">
        <f t="shared" si="58"/>
        <v>Pune</v>
      </c>
      <c r="V1273">
        <f t="shared" si="59"/>
        <v>0</v>
      </c>
    </row>
    <row r="1274" spans="1:22" ht="15" customHeight="1" x14ac:dyDescent="0.35">
      <c r="A1274" s="3" t="s">
        <v>1699</v>
      </c>
      <c r="B1274" s="4">
        <v>45443</v>
      </c>
      <c r="C1274" s="3" t="s">
        <v>955</v>
      </c>
      <c r="D1274" s="3" t="s">
        <v>209</v>
      </c>
      <c r="E1274" s="3" t="s">
        <v>168</v>
      </c>
      <c r="F1274" s="5">
        <v>8</v>
      </c>
      <c r="G1274" s="5">
        <v>4610</v>
      </c>
      <c r="H1274" s="5">
        <v>15.4</v>
      </c>
      <c r="I1274" s="5">
        <v>31200.48</v>
      </c>
      <c r="J1274" s="3" t="s">
        <v>79</v>
      </c>
      <c r="K1274" s="3" t="s">
        <v>56</v>
      </c>
      <c r="L1274" t="str">
        <f>IFERROR(VLOOKUP(D1274,Products!$A$2:$F$61,3,FALSE()),"")</f>
        <v>Home</v>
      </c>
      <c r="M1274" t="str">
        <f>IFERROR(VLOOKUP(E1274,Sales_Reps!$A$2:$C$31,3,FALSE()),"")</f>
        <v>West</v>
      </c>
      <c r="N1274">
        <f>IFERROR(VLOOKUP(D1274,Products!$A$2:$F$61,4,FALSE()),"")</f>
        <v>1850</v>
      </c>
      <c r="O1274" t="str">
        <f>IFERROR(VLOOKUP(C1274,Customers!$A$2:$F$301,5,FALSE()),"")</f>
        <v>SMB</v>
      </c>
      <c r="P1274">
        <f>IFERROR(VLOOKUP(C1274,Customers!$A$2:$F$301,3,FALSE()),"")</f>
        <v>49</v>
      </c>
      <c r="Q1274">
        <f t="shared" si="57"/>
        <v>0.59869848156182215</v>
      </c>
      <c r="R1274">
        <f>IF(AND(COUNTIF($A$2:$A$2027,A1274)&gt;1,COUNTIF($A$2:A1274,A1274)=1),1,0)</f>
        <v>0</v>
      </c>
      <c r="S1274" t="b">
        <f>IFERROR(VLOOKUP(D1274,Products!$A$2:$F$61,6,FALSE()),"")</f>
        <v>1</v>
      </c>
      <c r="T1274" t="str">
        <f>IF(COUNTIF(Customers!$A$2:$A$301,C1274)=0,"Missing","OK")</f>
        <v>OK</v>
      </c>
      <c r="U1274" t="str">
        <f t="shared" si="58"/>
        <v>Bengaluru</v>
      </c>
      <c r="V1274">
        <f t="shared" si="59"/>
        <v>0</v>
      </c>
    </row>
    <row r="1275" spans="1:22" ht="15" customHeight="1" x14ac:dyDescent="0.35">
      <c r="A1275" s="3" t="s">
        <v>1700</v>
      </c>
      <c r="B1275" s="4">
        <v>45525</v>
      </c>
      <c r="C1275" s="3" t="s">
        <v>955</v>
      </c>
      <c r="D1275" s="3" t="s">
        <v>130</v>
      </c>
      <c r="E1275" s="3" t="s">
        <v>42</v>
      </c>
      <c r="F1275" s="5">
        <v>9</v>
      </c>
      <c r="G1275" s="5">
        <v>5100</v>
      </c>
      <c r="H1275" s="5">
        <v>25.2</v>
      </c>
      <c r="I1275" s="5">
        <v>34333.199999999997</v>
      </c>
      <c r="J1275" s="3" t="s">
        <v>79</v>
      </c>
      <c r="K1275" s="3" t="s">
        <v>56</v>
      </c>
      <c r="L1275" t="str">
        <f>IFERROR(VLOOKUP(D1275,Products!$A$2:$F$61,3,FALSE()),"")</f>
        <v>Beauty</v>
      </c>
      <c r="M1275" t="str">
        <f>IFERROR(VLOOKUP(E1275,Sales_Reps!$A$2:$C$31,3,FALSE()),"")</f>
        <v>North</v>
      </c>
      <c r="N1275">
        <f>IFERROR(VLOOKUP(D1275,Products!$A$2:$F$61,4,FALSE()),"")</f>
        <v>2237</v>
      </c>
      <c r="O1275" t="str">
        <f>IFERROR(VLOOKUP(C1275,Customers!$A$2:$F$301,5,FALSE()),"")</f>
        <v>SMB</v>
      </c>
      <c r="P1275">
        <f>IFERROR(VLOOKUP(C1275,Customers!$A$2:$F$301,3,FALSE()),"")</f>
        <v>49</v>
      </c>
      <c r="Q1275">
        <f t="shared" si="57"/>
        <v>0.56137254901960787</v>
      </c>
      <c r="R1275">
        <f>IF(AND(COUNTIF($A$2:$A$2027,A1275)&gt;1,COUNTIF($A$2:A1275,A1275)=1),1,0)</f>
        <v>0</v>
      </c>
      <c r="S1275" t="b">
        <f>IFERROR(VLOOKUP(D1275,Products!$A$2:$F$61,6,FALSE()),"")</f>
        <v>1</v>
      </c>
      <c r="T1275" t="str">
        <f>IF(COUNTIF(Customers!$A$2:$A$301,C1275)=0,"Missing","OK")</f>
        <v>OK</v>
      </c>
      <c r="U1275" t="str">
        <f t="shared" si="58"/>
        <v>Bengaluru</v>
      </c>
      <c r="V1275">
        <f t="shared" si="59"/>
        <v>0</v>
      </c>
    </row>
    <row r="1276" spans="1:22" ht="15" customHeight="1" x14ac:dyDescent="0.35">
      <c r="A1276" s="3" t="s">
        <v>1701</v>
      </c>
      <c r="B1276" s="4">
        <v>45377</v>
      </c>
      <c r="C1276" s="3" t="s">
        <v>342</v>
      </c>
      <c r="D1276" s="3" t="s">
        <v>215</v>
      </c>
      <c r="E1276" s="3" t="s">
        <v>60</v>
      </c>
      <c r="F1276" s="5">
        <v>5</v>
      </c>
      <c r="G1276" s="5">
        <v>3020</v>
      </c>
      <c r="H1276" s="5">
        <v>23</v>
      </c>
      <c r="I1276" s="5">
        <v>11627</v>
      </c>
      <c r="J1276" s="3" t="s">
        <v>26</v>
      </c>
      <c r="K1276" s="3" t="s">
        <v>56</v>
      </c>
      <c r="L1276" t="str">
        <f>IFERROR(VLOOKUP(D1276,Products!$A$2:$F$61,3,FALSE()),"")</f>
        <v>Beauty</v>
      </c>
      <c r="M1276" t="str">
        <f>IFERROR(VLOOKUP(E1276,Sales_Reps!$A$2:$C$31,3,FALSE()),"")</f>
        <v>East</v>
      </c>
      <c r="N1276">
        <f>IFERROR(VLOOKUP(D1276,Products!$A$2:$F$61,4,FALSE()),"")</f>
        <v>1626</v>
      </c>
      <c r="O1276" t="str">
        <f>IFERROR(VLOOKUP(C1276,Customers!$A$2:$F$301,5,FALSE()),"")</f>
        <v>Retail</v>
      </c>
      <c r="P1276">
        <f>IFERROR(VLOOKUP(C1276,Customers!$A$2:$F$301,3,FALSE()),"")</f>
        <v>59</v>
      </c>
      <c r="Q1276">
        <f t="shared" si="57"/>
        <v>0.46158940397350995</v>
      </c>
      <c r="R1276">
        <f>IF(AND(COUNTIF($A$2:$A$2027,A1276)&gt;1,COUNTIF($A$2:A1276,A1276)=1),1,0)</f>
        <v>0</v>
      </c>
      <c r="S1276" t="b">
        <f>IFERROR(VLOOKUP(D1276,Products!$A$2:$F$61,6,FALSE()),"")</f>
        <v>1</v>
      </c>
      <c r="T1276" t="str">
        <f>IF(COUNTIF(Customers!$A$2:$A$301,C1276)=0,"Missing","OK")</f>
        <v>OK</v>
      </c>
      <c r="U1276" t="str">
        <f t="shared" si="58"/>
        <v>Bengaluru</v>
      </c>
      <c r="V1276">
        <f t="shared" si="59"/>
        <v>0</v>
      </c>
    </row>
    <row r="1277" spans="1:22" ht="15" customHeight="1" x14ac:dyDescent="0.35">
      <c r="A1277" s="3" t="s">
        <v>1702</v>
      </c>
      <c r="B1277" s="4">
        <v>45413</v>
      </c>
      <c r="C1277" s="3" t="s">
        <v>545</v>
      </c>
      <c r="D1277" s="3" t="s">
        <v>400</v>
      </c>
      <c r="E1277" s="3" t="s">
        <v>127</v>
      </c>
      <c r="F1277" s="5">
        <v>8</v>
      </c>
      <c r="G1277" s="5">
        <v>3780</v>
      </c>
      <c r="H1277" s="5">
        <v>17.100000000000001</v>
      </c>
      <c r="I1277" s="5">
        <v>25068.959999999999</v>
      </c>
      <c r="J1277" s="3" t="s">
        <v>26</v>
      </c>
      <c r="K1277" s="3" t="s">
        <v>51</v>
      </c>
      <c r="L1277" t="str">
        <f>IFERROR(VLOOKUP(D1277,Products!$A$2:$F$61,3,FALSE()),"")</f>
        <v>Sports</v>
      </c>
      <c r="M1277" t="str">
        <f>IFERROR(VLOOKUP(E1277,Sales_Reps!$A$2:$C$31,3,FALSE()),"")</f>
        <v>South</v>
      </c>
      <c r="N1277">
        <f>IFERROR(VLOOKUP(D1277,Products!$A$2:$F$61,4,FALSE()),"")</f>
        <v>1860</v>
      </c>
      <c r="O1277" t="str">
        <f>IFERROR(VLOOKUP(C1277,Customers!$A$2:$F$301,5,FALSE()),"")</f>
        <v>Retail</v>
      </c>
      <c r="P1277">
        <f>IFERROR(VLOOKUP(C1277,Customers!$A$2:$F$301,3,FALSE()),"")</f>
        <v>52</v>
      </c>
      <c r="Q1277">
        <f t="shared" si="57"/>
        <v>0.50793650793650791</v>
      </c>
      <c r="R1277">
        <f>IF(AND(COUNTIF($A$2:$A$2027,A1277)&gt;1,COUNTIF($A$2:A1277,A1277)=1),1,0)</f>
        <v>0</v>
      </c>
      <c r="S1277" t="b">
        <f>IFERROR(VLOOKUP(D1277,Products!$A$2:$F$61,6,FALSE()),"")</f>
        <v>1</v>
      </c>
      <c r="T1277" t="str">
        <f>IF(COUNTIF(Customers!$A$2:$A$301,C1277)=0,"Missing","OK")</f>
        <v>OK</v>
      </c>
      <c r="U1277" t="str">
        <f t="shared" si="58"/>
        <v>Mumbai</v>
      </c>
      <c r="V1277">
        <f t="shared" si="59"/>
        <v>0</v>
      </c>
    </row>
    <row r="1278" spans="1:22" ht="15" customHeight="1" x14ac:dyDescent="0.35">
      <c r="A1278" s="3" t="s">
        <v>1703</v>
      </c>
      <c r="B1278" s="4">
        <v>45437</v>
      </c>
      <c r="C1278" s="3" t="s">
        <v>136</v>
      </c>
      <c r="D1278" s="3" t="s">
        <v>277</v>
      </c>
      <c r="E1278" s="3" t="s">
        <v>154</v>
      </c>
      <c r="F1278" s="5">
        <v>10</v>
      </c>
      <c r="G1278" s="5">
        <v>2210</v>
      </c>
      <c r="H1278" s="5">
        <v>8.5</v>
      </c>
      <c r="I1278" s="5">
        <v>20221.5</v>
      </c>
      <c r="J1278" s="3" t="s">
        <v>26</v>
      </c>
      <c r="K1278" s="3" t="s">
        <v>27</v>
      </c>
      <c r="L1278" t="str">
        <f>IFERROR(VLOOKUP(D1278,Products!$A$2:$F$61,3,FALSE()),"")</f>
        <v>Grocery</v>
      </c>
      <c r="M1278" t="str">
        <f>IFERROR(VLOOKUP(E1278,Sales_Reps!$A$2:$C$31,3,FALSE()),"")</f>
        <v>North</v>
      </c>
      <c r="N1278">
        <f>IFERROR(VLOOKUP(D1278,Products!$A$2:$F$61,4,FALSE()),"")</f>
        <v>1010</v>
      </c>
      <c r="O1278" t="str">
        <f>IFERROR(VLOOKUP(C1278,Customers!$A$2:$F$301,5,FALSE()),"")</f>
        <v>Corporate</v>
      </c>
      <c r="P1278">
        <f>IFERROR(VLOOKUP(C1278,Customers!$A$2:$F$301,3,FALSE()),"")</f>
        <v>47</v>
      </c>
      <c r="Q1278">
        <f t="shared" si="57"/>
        <v>0.54298642533936647</v>
      </c>
      <c r="R1278">
        <f>IF(AND(COUNTIF($A$2:$A$2027,A1278)&gt;1,COUNTIF($A$2:A1278,A1278)=1),1,0)</f>
        <v>0</v>
      </c>
      <c r="S1278" t="b">
        <f>IFERROR(VLOOKUP(D1278,Products!$A$2:$F$61,6,FALSE()),"")</f>
        <v>1</v>
      </c>
      <c r="T1278" t="str">
        <f>IF(COUNTIF(Customers!$A$2:$A$301,C1278)=0,"Missing","OK")</f>
        <v>OK</v>
      </c>
      <c r="U1278" t="str">
        <f t="shared" si="58"/>
        <v>Pune</v>
      </c>
      <c r="V1278">
        <f t="shared" si="59"/>
        <v>0</v>
      </c>
    </row>
    <row r="1279" spans="1:22" ht="15" customHeight="1" x14ac:dyDescent="0.35">
      <c r="A1279" s="3" t="s">
        <v>1704</v>
      </c>
      <c r="B1279" s="4">
        <v>45604</v>
      </c>
      <c r="C1279" s="3" t="s">
        <v>1170</v>
      </c>
      <c r="D1279" s="3" t="s">
        <v>277</v>
      </c>
      <c r="E1279" s="3" t="s">
        <v>127</v>
      </c>
      <c r="F1279" s="5">
        <v>4</v>
      </c>
      <c r="G1279" s="5">
        <v>2210</v>
      </c>
      <c r="H1279" s="5">
        <v>3.1</v>
      </c>
      <c r="I1279" s="5">
        <v>8565.9599999999991</v>
      </c>
      <c r="J1279" s="3" t="s">
        <v>26</v>
      </c>
      <c r="K1279" s="3" t="s">
        <v>27</v>
      </c>
      <c r="L1279" t="str">
        <f>IFERROR(VLOOKUP(D1279,Products!$A$2:$F$61,3,FALSE()),"")</f>
        <v>Grocery</v>
      </c>
      <c r="M1279" t="str">
        <f>IFERROR(VLOOKUP(E1279,Sales_Reps!$A$2:$C$31,3,FALSE()),"")</f>
        <v>South</v>
      </c>
      <c r="N1279">
        <f>IFERROR(VLOOKUP(D1279,Products!$A$2:$F$61,4,FALSE()),"")</f>
        <v>1010</v>
      </c>
      <c r="O1279" t="str">
        <f>IFERROR(VLOOKUP(C1279,Customers!$A$2:$F$301,5,FALSE()),"")</f>
        <v>Retail</v>
      </c>
      <c r="P1279">
        <f>IFERROR(VLOOKUP(C1279,Customers!$A$2:$F$301,3,FALSE()),"")</f>
        <v>42</v>
      </c>
      <c r="Q1279">
        <f t="shared" si="57"/>
        <v>0.54298642533936647</v>
      </c>
      <c r="R1279">
        <f>IF(AND(COUNTIF($A$2:$A$2027,A1279)&gt;1,COUNTIF($A$2:A1279,A1279)=1),1,0)</f>
        <v>0</v>
      </c>
      <c r="S1279" t="b">
        <f>IFERROR(VLOOKUP(D1279,Products!$A$2:$F$61,6,FALSE()),"")</f>
        <v>1</v>
      </c>
      <c r="T1279" t="str">
        <f>IF(COUNTIF(Customers!$A$2:$A$301,C1279)=0,"Missing","OK")</f>
        <v>OK</v>
      </c>
      <c r="U1279" t="str">
        <f t="shared" si="58"/>
        <v>Pune</v>
      </c>
      <c r="V1279">
        <f t="shared" si="59"/>
        <v>0</v>
      </c>
    </row>
    <row r="1280" spans="1:22" ht="15" customHeight="1" x14ac:dyDescent="0.35">
      <c r="A1280" s="3" t="s">
        <v>1705</v>
      </c>
      <c r="B1280" s="4">
        <v>45540</v>
      </c>
      <c r="C1280" s="3" t="s">
        <v>399</v>
      </c>
      <c r="D1280" s="3" t="s">
        <v>115</v>
      </c>
      <c r="E1280" s="3" t="s">
        <v>127</v>
      </c>
      <c r="F1280" s="5">
        <v>1</v>
      </c>
      <c r="G1280" s="5">
        <v>1650</v>
      </c>
      <c r="H1280" s="5">
        <v>10</v>
      </c>
      <c r="I1280" s="5">
        <v>1485</v>
      </c>
      <c r="J1280" s="3" t="s">
        <v>26</v>
      </c>
      <c r="K1280" s="3" t="s">
        <v>27</v>
      </c>
      <c r="L1280" t="str">
        <f>IFERROR(VLOOKUP(D1280,Products!$A$2:$F$61,3,FALSE()),"")</f>
        <v>Beauty</v>
      </c>
      <c r="M1280" t="str">
        <f>IFERROR(VLOOKUP(E1280,Sales_Reps!$A$2:$C$31,3,FALSE()),"")</f>
        <v>South</v>
      </c>
      <c r="N1280">
        <f>IFERROR(VLOOKUP(D1280,Products!$A$2:$F$61,4,FALSE()),"")</f>
        <v>1222</v>
      </c>
      <c r="O1280" t="str">
        <f>IFERROR(VLOOKUP(C1280,Customers!$A$2:$F$301,5,FALSE()),"")</f>
        <v>Corporate</v>
      </c>
      <c r="P1280">
        <f>IFERROR(VLOOKUP(C1280,Customers!$A$2:$F$301,3,FALSE()),"")</f>
        <v>37</v>
      </c>
      <c r="Q1280">
        <f t="shared" si="57"/>
        <v>0.2593939393939394</v>
      </c>
      <c r="R1280">
        <f>IF(AND(COUNTIF($A$2:$A$2027,A1280)&gt;1,COUNTIF($A$2:A1280,A1280)=1),1,0)</f>
        <v>0</v>
      </c>
      <c r="S1280" t="b">
        <f>IFERROR(VLOOKUP(D1280,Products!$A$2:$F$61,6,FALSE()),"")</f>
        <v>1</v>
      </c>
      <c r="T1280" t="str">
        <f>IF(COUNTIF(Customers!$A$2:$A$301,C1280)=0,"Missing","OK")</f>
        <v>OK</v>
      </c>
      <c r="U1280" t="str">
        <f t="shared" si="58"/>
        <v>Pune</v>
      </c>
      <c r="V1280">
        <f t="shared" si="59"/>
        <v>0</v>
      </c>
    </row>
    <row r="1281" spans="1:22" ht="15" customHeight="1" x14ac:dyDescent="0.35">
      <c r="A1281" s="3" t="s">
        <v>1706</v>
      </c>
      <c r="B1281" s="4">
        <v>45597</v>
      </c>
      <c r="C1281" s="3" t="s">
        <v>350</v>
      </c>
      <c r="D1281" s="3" t="s">
        <v>86</v>
      </c>
      <c r="E1281" s="3" t="s">
        <v>31</v>
      </c>
      <c r="F1281" s="5">
        <v>6</v>
      </c>
      <c r="G1281" s="5">
        <v>190</v>
      </c>
      <c r="H1281" s="5">
        <v>3.5</v>
      </c>
      <c r="I1281" s="5">
        <v>1100.0999999999999</v>
      </c>
      <c r="J1281" s="3" t="s">
        <v>79</v>
      </c>
      <c r="K1281" s="3" t="s">
        <v>51</v>
      </c>
      <c r="L1281" t="str">
        <f>IFERROR(VLOOKUP(D1281,Products!$A$2:$F$61,3,FALSE()),"")</f>
        <v>Sports</v>
      </c>
      <c r="M1281" t="str">
        <f>IFERROR(VLOOKUP(E1281,Sales_Reps!$A$2:$C$31,3,FALSE()),"")</f>
        <v>North</v>
      </c>
      <c r="N1281">
        <f>IFERROR(VLOOKUP(D1281,Products!$A$2:$F$61,4,FALSE()),"")</f>
        <v>147</v>
      </c>
      <c r="O1281" t="str">
        <f>IFERROR(VLOOKUP(C1281,Customers!$A$2:$F$301,5,FALSE()),"")</f>
        <v>Retail</v>
      </c>
      <c r="P1281">
        <f>IFERROR(VLOOKUP(C1281,Customers!$A$2:$F$301,3,FALSE()),"")</f>
        <v>61</v>
      </c>
      <c r="Q1281">
        <f t="shared" si="57"/>
        <v>0.22631578947368422</v>
      </c>
      <c r="R1281">
        <f>IF(AND(COUNTIF($A$2:$A$2027,A1281)&gt;1,COUNTIF($A$2:A1281,A1281)=1),1,0)</f>
        <v>0</v>
      </c>
      <c r="S1281" t="b">
        <f>IFERROR(VLOOKUP(D1281,Products!$A$2:$F$61,6,FALSE()),"")</f>
        <v>1</v>
      </c>
      <c r="T1281" t="str">
        <f>IF(COUNTIF(Customers!$A$2:$A$301,C1281)=0,"Missing","OK")</f>
        <v>OK</v>
      </c>
      <c r="U1281" t="str">
        <f t="shared" si="58"/>
        <v>Mumbai</v>
      </c>
      <c r="V1281">
        <f t="shared" si="59"/>
        <v>0</v>
      </c>
    </row>
    <row r="1282" spans="1:22" ht="15" customHeight="1" x14ac:dyDescent="0.35">
      <c r="A1282" s="3" t="s">
        <v>1707</v>
      </c>
      <c r="B1282" s="4">
        <v>45589</v>
      </c>
      <c r="C1282" s="3" t="s">
        <v>333</v>
      </c>
      <c r="D1282" s="3" t="s">
        <v>134</v>
      </c>
      <c r="E1282" s="3" t="s">
        <v>282</v>
      </c>
      <c r="F1282" s="5">
        <v>8</v>
      </c>
      <c r="G1282" s="5">
        <v>2860</v>
      </c>
      <c r="H1282" s="5">
        <v>14.7</v>
      </c>
      <c r="I1282" s="5">
        <v>19516.64</v>
      </c>
      <c r="J1282" s="3" t="s">
        <v>26</v>
      </c>
      <c r="K1282" s="3" t="s">
        <v>56</v>
      </c>
      <c r="L1282" t="str">
        <f>IFERROR(VLOOKUP(D1282,Products!$A$2:$F$61,3,FALSE()),"")</f>
        <v>Sports</v>
      </c>
      <c r="M1282" t="str">
        <f>IFERROR(VLOOKUP(E1282,Sales_Reps!$A$2:$C$31,3,FALSE()),"")</f>
        <v>West</v>
      </c>
      <c r="N1282">
        <f>IFERROR(VLOOKUP(D1282,Products!$A$2:$F$61,4,FALSE()),"")</f>
        <v>2028</v>
      </c>
      <c r="O1282" t="str">
        <f>IFERROR(VLOOKUP(C1282,Customers!$A$2:$F$301,5,FALSE()),"")</f>
        <v>SMB</v>
      </c>
      <c r="P1282">
        <f>IFERROR(VLOOKUP(C1282,Customers!$A$2:$F$301,3,FALSE()),"")</f>
        <v>28</v>
      </c>
      <c r="Q1282">
        <f t="shared" ref="Q1282:Q1345" si="60">IFERROR((G1282-N1282)/G1282,"")</f>
        <v>0.29090909090909089</v>
      </c>
      <c r="R1282">
        <f>IF(AND(COUNTIF($A$2:$A$2027,A1282)&gt;1,COUNTIF($A$2:A1282,A1282)=1),1,0)</f>
        <v>0</v>
      </c>
      <c r="S1282" t="b">
        <f>IFERROR(VLOOKUP(D1282,Products!$A$2:$F$61,6,FALSE()),"")</f>
        <v>1</v>
      </c>
      <c r="T1282" t="str">
        <f>IF(COUNTIF(Customers!$A$2:$A$301,C1282)=0,"Missing","OK")</f>
        <v>OK</v>
      </c>
      <c r="U1282" t="str">
        <f t="shared" ref="U1282:U1345" si="61">IF(K1282="","",PROPER(TRIM(K1282)))</f>
        <v>Bengaluru</v>
      </c>
      <c r="V1282">
        <f t="shared" ref="V1282:V1345" si="62">IF(AND(U1282="Bengaluru",L1282="Grocery"),I1282,0)</f>
        <v>0</v>
      </c>
    </row>
    <row r="1283" spans="1:22" ht="15" customHeight="1" x14ac:dyDescent="0.35">
      <c r="A1283" s="3" t="s">
        <v>1708</v>
      </c>
      <c r="B1283" s="4">
        <v>45448</v>
      </c>
      <c r="C1283" s="3" t="s">
        <v>158</v>
      </c>
      <c r="D1283" s="3" t="s">
        <v>221</v>
      </c>
      <c r="E1283" s="3" t="s">
        <v>109</v>
      </c>
      <c r="F1283" s="5">
        <v>9</v>
      </c>
      <c r="G1283" s="5">
        <v>300</v>
      </c>
      <c r="H1283" s="5">
        <v>19.5</v>
      </c>
      <c r="I1283" s="5">
        <v>2173.5</v>
      </c>
      <c r="J1283" s="3" t="s">
        <v>26</v>
      </c>
      <c r="K1283" s="3" t="s">
        <v>38</v>
      </c>
      <c r="L1283" t="str">
        <f>IFERROR(VLOOKUP(D1283,Products!$A$2:$F$61,3,FALSE()),"")</f>
        <v>Electronics</v>
      </c>
      <c r="M1283" t="str">
        <f>IFERROR(VLOOKUP(E1283,Sales_Reps!$A$2:$C$31,3,FALSE()),"")</f>
        <v>West</v>
      </c>
      <c r="N1283">
        <f>IFERROR(VLOOKUP(D1283,Products!$A$2:$F$61,4,FALSE()),"")</f>
        <v>128</v>
      </c>
      <c r="O1283" t="str">
        <f>IFERROR(VLOOKUP(C1283,Customers!$A$2:$F$301,5,FALSE()),"")</f>
        <v>SMB</v>
      </c>
      <c r="P1283">
        <f>IFERROR(VLOOKUP(C1283,Customers!$A$2:$F$301,3,FALSE()),"")</f>
        <v>50</v>
      </c>
      <c r="Q1283">
        <f t="shared" si="60"/>
        <v>0.57333333333333336</v>
      </c>
      <c r="R1283">
        <f>IF(AND(COUNTIF($A$2:$A$2027,A1283)&gt;1,COUNTIF($A$2:A1283,A1283)=1),1,0)</f>
        <v>0</v>
      </c>
      <c r="S1283" t="b">
        <f>IFERROR(VLOOKUP(D1283,Products!$A$2:$F$61,6,FALSE()),"")</f>
        <v>1</v>
      </c>
      <c r="T1283" t="str">
        <f>IF(COUNTIF(Customers!$A$2:$A$301,C1283)=0,"Missing","OK")</f>
        <v>OK</v>
      </c>
      <c r="U1283" t="str">
        <f t="shared" si="61"/>
        <v>Delhi</v>
      </c>
      <c r="V1283">
        <f t="shared" si="62"/>
        <v>0</v>
      </c>
    </row>
    <row r="1284" spans="1:22" ht="15" customHeight="1" x14ac:dyDescent="0.35">
      <c r="A1284" s="3" t="s">
        <v>1709</v>
      </c>
      <c r="B1284" s="4">
        <v>45608</v>
      </c>
      <c r="C1284" s="3" t="s">
        <v>909</v>
      </c>
      <c r="D1284" s="3" t="s">
        <v>319</v>
      </c>
      <c r="E1284" s="3" t="s">
        <v>25</v>
      </c>
      <c r="F1284" s="5">
        <v>10</v>
      </c>
      <c r="G1284" s="5">
        <v>960</v>
      </c>
      <c r="H1284" s="5">
        <v>9.6999999999999993</v>
      </c>
      <c r="I1284" s="5">
        <v>8668.7999999999993</v>
      </c>
      <c r="J1284" s="3" t="s">
        <v>26</v>
      </c>
      <c r="K1284" s="3" t="s">
        <v>51</v>
      </c>
      <c r="L1284" t="str">
        <f>IFERROR(VLOOKUP(D1284,Products!$A$2:$F$61,3,FALSE()),"")</f>
        <v>Beauty</v>
      </c>
      <c r="M1284" t="str">
        <f>IFERROR(VLOOKUP(E1284,Sales_Reps!$A$2:$C$31,3,FALSE()),"")</f>
        <v>North</v>
      </c>
      <c r="N1284">
        <f>IFERROR(VLOOKUP(D1284,Products!$A$2:$F$61,4,FALSE()),"")</f>
        <v>675</v>
      </c>
      <c r="O1284" t="str">
        <f>IFERROR(VLOOKUP(C1284,Customers!$A$2:$F$301,5,FALSE()),"")</f>
        <v>Retail</v>
      </c>
      <c r="P1284">
        <f>IFERROR(VLOOKUP(C1284,Customers!$A$2:$F$301,3,FALSE()),"")</f>
        <v>40</v>
      </c>
      <c r="Q1284">
        <f t="shared" si="60"/>
        <v>0.296875</v>
      </c>
      <c r="R1284">
        <f>IF(AND(COUNTIF($A$2:$A$2027,A1284)&gt;1,COUNTIF($A$2:A1284,A1284)=1),1,0)</f>
        <v>0</v>
      </c>
      <c r="S1284" t="b">
        <f>IFERROR(VLOOKUP(D1284,Products!$A$2:$F$61,6,FALSE()),"")</f>
        <v>1</v>
      </c>
      <c r="T1284" t="str">
        <f>IF(COUNTIF(Customers!$A$2:$A$301,C1284)=0,"Missing","OK")</f>
        <v>OK</v>
      </c>
      <c r="U1284" t="str">
        <f t="shared" si="61"/>
        <v>Mumbai</v>
      </c>
      <c r="V1284">
        <f t="shared" si="62"/>
        <v>0</v>
      </c>
    </row>
    <row r="1285" spans="1:22" ht="15" customHeight="1" x14ac:dyDescent="0.35">
      <c r="A1285" s="3" t="s">
        <v>1710</v>
      </c>
      <c r="B1285" s="4">
        <v>45421</v>
      </c>
      <c r="C1285" s="3" t="s">
        <v>884</v>
      </c>
      <c r="D1285" s="3" t="s">
        <v>30</v>
      </c>
      <c r="E1285" s="3" t="s">
        <v>191</v>
      </c>
      <c r="F1285" s="5">
        <v>5</v>
      </c>
      <c r="G1285" s="5">
        <v>820</v>
      </c>
      <c r="H1285" s="5">
        <v>0.5</v>
      </c>
      <c r="I1285" s="5">
        <v>4079.5</v>
      </c>
      <c r="J1285" s="3" t="s">
        <v>26</v>
      </c>
      <c r="K1285" s="3" t="s">
        <v>27</v>
      </c>
      <c r="L1285" t="str">
        <f>IFERROR(VLOOKUP(D1285,Products!$A$2:$F$61,3,FALSE()),"")</f>
        <v>Apparel</v>
      </c>
      <c r="M1285" t="str">
        <f>IFERROR(VLOOKUP(E1285,Sales_Reps!$A$2:$C$31,3,FALSE()),"")</f>
        <v>South</v>
      </c>
      <c r="N1285">
        <f>IFERROR(VLOOKUP(D1285,Products!$A$2:$F$61,4,FALSE()),"")</f>
        <v>391</v>
      </c>
      <c r="O1285" t="str">
        <f>IFERROR(VLOOKUP(C1285,Customers!$A$2:$F$301,5,FALSE()),"")</f>
        <v>Retail</v>
      </c>
      <c r="P1285">
        <f>IFERROR(VLOOKUP(C1285,Customers!$A$2:$F$301,3,FALSE()),"")</f>
        <v>54</v>
      </c>
      <c r="Q1285">
        <f t="shared" si="60"/>
        <v>0.52317073170731709</v>
      </c>
      <c r="R1285">
        <f>IF(AND(COUNTIF($A$2:$A$2027,A1285)&gt;1,COUNTIF($A$2:A1285,A1285)=1),1,0)</f>
        <v>0</v>
      </c>
      <c r="S1285" t="b">
        <f>IFERROR(VLOOKUP(D1285,Products!$A$2:$F$61,6,FALSE()),"")</f>
        <v>1</v>
      </c>
      <c r="T1285" t="str">
        <f>IF(COUNTIF(Customers!$A$2:$A$301,C1285)=0,"Missing","OK")</f>
        <v>OK</v>
      </c>
      <c r="U1285" t="str">
        <f t="shared" si="61"/>
        <v>Pune</v>
      </c>
      <c r="V1285">
        <f t="shared" si="62"/>
        <v>0</v>
      </c>
    </row>
    <row r="1286" spans="1:22" ht="15" customHeight="1" x14ac:dyDescent="0.35">
      <c r="A1286" s="3" t="s">
        <v>1711</v>
      </c>
      <c r="B1286" s="4">
        <v>45383</v>
      </c>
      <c r="C1286" s="3" t="s">
        <v>223</v>
      </c>
      <c r="D1286" s="3" t="s">
        <v>49</v>
      </c>
      <c r="E1286" s="3" t="s">
        <v>78</v>
      </c>
      <c r="F1286" s="5">
        <v>2</v>
      </c>
      <c r="G1286" s="5">
        <v>370</v>
      </c>
      <c r="H1286" s="5">
        <v>10.5</v>
      </c>
      <c r="I1286" s="5">
        <v>662.3</v>
      </c>
      <c r="J1286" s="3" t="s">
        <v>32</v>
      </c>
      <c r="K1286" s="3" t="s">
        <v>33</v>
      </c>
      <c r="L1286" t="str">
        <f>IFERROR(VLOOKUP(D1286,Products!$A$2:$F$61,3,FALSE()),"")</f>
        <v>Home</v>
      </c>
      <c r="M1286" t="str">
        <f>IFERROR(VLOOKUP(E1286,Sales_Reps!$A$2:$C$31,3,FALSE()),"")</f>
        <v>North</v>
      </c>
      <c r="N1286">
        <f>IFERROR(VLOOKUP(D1286,Products!$A$2:$F$61,4,FALSE()),"")</f>
        <v>288</v>
      </c>
      <c r="O1286" t="str">
        <f>IFERROR(VLOOKUP(C1286,Customers!$A$2:$F$301,5,FALSE()),"")</f>
        <v>Retail</v>
      </c>
      <c r="P1286">
        <f>IFERROR(VLOOKUP(C1286,Customers!$A$2:$F$301,3,FALSE()),"")</f>
        <v>28</v>
      </c>
      <c r="Q1286">
        <f t="shared" si="60"/>
        <v>0.22162162162162163</v>
      </c>
      <c r="R1286">
        <f>IF(AND(COUNTIF($A$2:$A$2027,A1286)&gt;1,COUNTIF($A$2:A1286,A1286)=1),1,0)</f>
        <v>0</v>
      </c>
      <c r="S1286" t="b">
        <f>IFERROR(VLOOKUP(D1286,Products!$A$2:$F$61,6,FALSE()),"")</f>
        <v>1</v>
      </c>
      <c r="T1286" t="str">
        <f>IF(COUNTIF(Customers!$A$2:$A$301,C1286)=0,"Missing","OK")</f>
        <v>OK</v>
      </c>
      <c r="U1286" t="str">
        <f t="shared" si="61"/>
        <v>Chennai</v>
      </c>
      <c r="V1286">
        <f t="shared" si="62"/>
        <v>0</v>
      </c>
    </row>
    <row r="1287" spans="1:22" ht="15" customHeight="1" x14ac:dyDescent="0.35">
      <c r="A1287" s="3" t="s">
        <v>1712</v>
      </c>
      <c r="B1287" s="4">
        <v>45453</v>
      </c>
      <c r="C1287" s="3" t="s">
        <v>625</v>
      </c>
      <c r="D1287" s="3" t="s">
        <v>63</v>
      </c>
      <c r="E1287" s="3" t="s">
        <v>93</v>
      </c>
      <c r="F1287" s="5">
        <v>9</v>
      </c>
      <c r="G1287" s="5">
        <v>5490</v>
      </c>
      <c r="H1287" s="5">
        <v>14.2</v>
      </c>
      <c r="I1287" s="5">
        <v>42393.78</v>
      </c>
      <c r="J1287" s="3" t="s">
        <v>79</v>
      </c>
      <c r="K1287" s="3" t="s">
        <v>51</v>
      </c>
      <c r="L1287" t="str">
        <f>IFERROR(VLOOKUP(D1287,Products!$A$2:$F$61,3,FALSE()),"")</f>
        <v>Home</v>
      </c>
      <c r="M1287" t="str">
        <f>IFERROR(VLOOKUP(E1287,Sales_Reps!$A$2:$C$31,3,FALSE()),"")</f>
        <v>East</v>
      </c>
      <c r="N1287">
        <f>IFERROR(VLOOKUP(D1287,Products!$A$2:$F$61,4,FALSE()),"")</f>
        <v>2549</v>
      </c>
      <c r="O1287" t="str">
        <f>IFERROR(VLOOKUP(C1287,Customers!$A$2:$F$301,5,FALSE()),"")</f>
        <v>Retail</v>
      </c>
      <c r="P1287">
        <f>IFERROR(VLOOKUP(C1287,Customers!$A$2:$F$301,3,FALSE()),"")</f>
        <v>35</v>
      </c>
      <c r="Q1287">
        <f t="shared" si="60"/>
        <v>0.53570127504553733</v>
      </c>
      <c r="R1287">
        <f>IF(AND(COUNTIF($A$2:$A$2027,A1287)&gt;1,COUNTIF($A$2:A1287,A1287)=1),1,0)</f>
        <v>0</v>
      </c>
      <c r="S1287" t="b">
        <f>IFERROR(VLOOKUP(D1287,Products!$A$2:$F$61,6,FALSE()),"")</f>
        <v>1</v>
      </c>
      <c r="T1287" t="str">
        <f>IF(COUNTIF(Customers!$A$2:$A$301,C1287)=0,"Missing","OK")</f>
        <v>OK</v>
      </c>
      <c r="U1287" t="str">
        <f t="shared" si="61"/>
        <v>Mumbai</v>
      </c>
      <c r="V1287">
        <f t="shared" si="62"/>
        <v>0</v>
      </c>
    </row>
    <row r="1288" spans="1:22" ht="15" customHeight="1" x14ac:dyDescent="0.35">
      <c r="A1288" s="3" t="s">
        <v>1713</v>
      </c>
      <c r="B1288" s="4">
        <v>45398</v>
      </c>
      <c r="C1288" s="3" t="s">
        <v>822</v>
      </c>
      <c r="D1288" s="3" t="s">
        <v>49</v>
      </c>
      <c r="E1288" s="3" t="s">
        <v>242</v>
      </c>
      <c r="F1288" s="5">
        <v>3</v>
      </c>
      <c r="G1288" s="5">
        <v>370</v>
      </c>
      <c r="H1288" s="5">
        <v>18.399999999999999</v>
      </c>
      <c r="I1288" s="5">
        <v>905.76</v>
      </c>
      <c r="J1288" s="3" t="s">
        <v>26</v>
      </c>
      <c r="K1288" s="3" t="s">
        <v>72</v>
      </c>
      <c r="L1288" t="str">
        <f>IFERROR(VLOOKUP(D1288,Products!$A$2:$F$61,3,FALSE()),"")</f>
        <v>Home</v>
      </c>
      <c r="M1288" t="str">
        <f>IFERROR(VLOOKUP(E1288,Sales_Reps!$A$2:$C$31,3,FALSE()),"")</f>
        <v>East</v>
      </c>
      <c r="N1288">
        <f>IFERROR(VLOOKUP(D1288,Products!$A$2:$F$61,4,FALSE()),"")</f>
        <v>288</v>
      </c>
      <c r="O1288" t="str">
        <f>IFERROR(VLOOKUP(C1288,Customers!$A$2:$F$301,5,FALSE()),"")</f>
        <v>SMB</v>
      </c>
      <c r="P1288">
        <f>IFERROR(VLOOKUP(C1288,Customers!$A$2:$F$301,3,FALSE()),"")</f>
        <v>28</v>
      </c>
      <c r="Q1288">
        <f t="shared" si="60"/>
        <v>0.22162162162162163</v>
      </c>
      <c r="R1288">
        <f>IF(AND(COUNTIF($A$2:$A$2027,A1288)&gt;1,COUNTIF($A$2:A1288,A1288)=1),1,0)</f>
        <v>0</v>
      </c>
      <c r="S1288" t="b">
        <f>IFERROR(VLOOKUP(D1288,Products!$A$2:$F$61,6,FALSE()),"")</f>
        <v>1</v>
      </c>
      <c r="T1288" t="str">
        <f>IF(COUNTIF(Customers!$A$2:$A$301,C1288)=0,"Missing","OK")</f>
        <v>OK</v>
      </c>
      <c r="U1288" t="str">
        <f t="shared" si="61"/>
        <v>Hyderabad</v>
      </c>
      <c r="V1288">
        <f t="shared" si="62"/>
        <v>0</v>
      </c>
    </row>
    <row r="1289" spans="1:22" ht="15" customHeight="1" x14ac:dyDescent="0.35">
      <c r="A1289" s="3" t="s">
        <v>1714</v>
      </c>
      <c r="B1289" s="4">
        <v>45584</v>
      </c>
      <c r="C1289" s="3" t="s">
        <v>534</v>
      </c>
      <c r="D1289" s="3" t="s">
        <v>86</v>
      </c>
      <c r="E1289" s="3" t="s">
        <v>242</v>
      </c>
      <c r="F1289" s="5">
        <v>6</v>
      </c>
      <c r="G1289" s="5">
        <v>190</v>
      </c>
      <c r="H1289" s="5">
        <v>12.9</v>
      </c>
      <c r="I1289" s="5">
        <v>992.94</v>
      </c>
      <c r="J1289" s="3" t="s">
        <v>26</v>
      </c>
      <c r="K1289" s="3" t="s">
        <v>38</v>
      </c>
      <c r="L1289" t="str">
        <f>IFERROR(VLOOKUP(D1289,Products!$A$2:$F$61,3,FALSE()),"")</f>
        <v>Sports</v>
      </c>
      <c r="M1289" t="str">
        <f>IFERROR(VLOOKUP(E1289,Sales_Reps!$A$2:$C$31,3,FALSE()),"")</f>
        <v>East</v>
      </c>
      <c r="N1289">
        <f>IFERROR(VLOOKUP(D1289,Products!$A$2:$F$61,4,FALSE()),"")</f>
        <v>147</v>
      </c>
      <c r="O1289" t="str">
        <f>IFERROR(VLOOKUP(C1289,Customers!$A$2:$F$301,5,FALSE()),"")</f>
        <v>SMB</v>
      </c>
      <c r="P1289">
        <f>IFERROR(VLOOKUP(C1289,Customers!$A$2:$F$301,3,FALSE()),"")</f>
        <v>48</v>
      </c>
      <c r="Q1289">
        <f t="shared" si="60"/>
        <v>0.22631578947368422</v>
      </c>
      <c r="R1289">
        <f>IF(AND(COUNTIF($A$2:$A$2027,A1289)&gt;1,COUNTIF($A$2:A1289,A1289)=1),1,0)</f>
        <v>0</v>
      </c>
      <c r="S1289" t="b">
        <f>IFERROR(VLOOKUP(D1289,Products!$A$2:$F$61,6,FALSE()),"")</f>
        <v>1</v>
      </c>
      <c r="T1289" t="str">
        <f>IF(COUNTIF(Customers!$A$2:$A$301,C1289)=0,"Missing","OK")</f>
        <v>OK</v>
      </c>
      <c r="U1289" t="str">
        <f t="shared" si="61"/>
        <v>Delhi</v>
      </c>
      <c r="V1289">
        <f t="shared" si="62"/>
        <v>0</v>
      </c>
    </row>
    <row r="1290" spans="1:22" ht="15" customHeight="1" x14ac:dyDescent="0.35">
      <c r="A1290" s="3" t="s">
        <v>1715</v>
      </c>
      <c r="B1290" s="4">
        <v>45397</v>
      </c>
      <c r="C1290" s="3" t="s">
        <v>315</v>
      </c>
      <c r="D1290" s="3" t="s">
        <v>277</v>
      </c>
      <c r="E1290" s="3" t="s">
        <v>93</v>
      </c>
      <c r="F1290" s="5">
        <v>8</v>
      </c>
      <c r="G1290" s="5">
        <v>2210</v>
      </c>
      <c r="H1290" s="5">
        <v>9.8000000000000007</v>
      </c>
      <c r="I1290" s="5">
        <v>15947.36</v>
      </c>
      <c r="J1290" s="3" t="s">
        <v>26</v>
      </c>
      <c r="K1290" s="3" t="s">
        <v>56</v>
      </c>
      <c r="L1290" t="str">
        <f>IFERROR(VLOOKUP(D1290,Products!$A$2:$F$61,3,FALSE()),"")</f>
        <v>Grocery</v>
      </c>
      <c r="M1290" t="str">
        <f>IFERROR(VLOOKUP(E1290,Sales_Reps!$A$2:$C$31,3,FALSE()),"")</f>
        <v>East</v>
      </c>
      <c r="N1290">
        <f>IFERROR(VLOOKUP(D1290,Products!$A$2:$F$61,4,FALSE()),"")</f>
        <v>1010</v>
      </c>
      <c r="O1290" t="str">
        <f>IFERROR(VLOOKUP(C1290,Customers!$A$2:$F$301,5,FALSE()),"")</f>
        <v>SMB</v>
      </c>
      <c r="P1290">
        <f>IFERROR(VLOOKUP(C1290,Customers!$A$2:$F$301,3,FALSE()),"")</f>
        <v>44</v>
      </c>
      <c r="Q1290">
        <f t="shared" si="60"/>
        <v>0.54298642533936647</v>
      </c>
      <c r="R1290">
        <f>IF(AND(COUNTIF($A$2:$A$2027,A1290)&gt;1,COUNTIF($A$2:A1290,A1290)=1),1,0)</f>
        <v>0</v>
      </c>
      <c r="S1290" t="b">
        <f>IFERROR(VLOOKUP(D1290,Products!$A$2:$F$61,6,FALSE()),"")</f>
        <v>1</v>
      </c>
      <c r="T1290" t="str">
        <f>IF(COUNTIF(Customers!$A$2:$A$301,C1290)=0,"Missing","OK")</f>
        <v>OK</v>
      </c>
      <c r="U1290" t="str">
        <f t="shared" si="61"/>
        <v>Bengaluru</v>
      </c>
      <c r="V1290">
        <f t="shared" si="62"/>
        <v>15947.36</v>
      </c>
    </row>
    <row r="1291" spans="1:22" ht="15" customHeight="1" x14ac:dyDescent="0.35">
      <c r="A1291" s="3" t="s">
        <v>1716</v>
      </c>
      <c r="B1291" s="4">
        <v>45453</v>
      </c>
      <c r="C1291" s="3" t="s">
        <v>368</v>
      </c>
      <c r="D1291" s="3" t="s">
        <v>115</v>
      </c>
      <c r="E1291" s="3" t="s">
        <v>143</v>
      </c>
      <c r="F1291" s="5">
        <v>7</v>
      </c>
      <c r="G1291" s="5">
        <v>1650</v>
      </c>
      <c r="H1291" s="5">
        <v>8.4</v>
      </c>
      <c r="I1291" s="5">
        <v>10579.8</v>
      </c>
      <c r="J1291" s="3" t="s">
        <v>26</v>
      </c>
      <c r="K1291" s="3" t="s">
        <v>56</v>
      </c>
      <c r="L1291" t="str">
        <f>IFERROR(VLOOKUP(D1291,Products!$A$2:$F$61,3,FALSE()),"")</f>
        <v>Beauty</v>
      </c>
      <c r="M1291" t="str">
        <f>IFERROR(VLOOKUP(E1291,Sales_Reps!$A$2:$C$31,3,FALSE()),"")</f>
        <v>South</v>
      </c>
      <c r="N1291">
        <f>IFERROR(VLOOKUP(D1291,Products!$A$2:$F$61,4,FALSE()),"")</f>
        <v>1222</v>
      </c>
      <c r="O1291" t="str">
        <f>IFERROR(VLOOKUP(C1291,Customers!$A$2:$F$301,5,FALSE()),"")</f>
        <v>Retail</v>
      </c>
      <c r="P1291">
        <f>IFERROR(VLOOKUP(C1291,Customers!$A$2:$F$301,3,FALSE()),"")</f>
        <v>55</v>
      </c>
      <c r="Q1291">
        <f t="shared" si="60"/>
        <v>0.2593939393939394</v>
      </c>
      <c r="R1291">
        <f>IF(AND(COUNTIF($A$2:$A$2027,A1291)&gt;1,COUNTIF($A$2:A1291,A1291)=1),1,0)</f>
        <v>0</v>
      </c>
      <c r="S1291" t="b">
        <f>IFERROR(VLOOKUP(D1291,Products!$A$2:$F$61,6,FALSE()),"")</f>
        <v>1</v>
      </c>
      <c r="T1291" t="str">
        <f>IF(COUNTIF(Customers!$A$2:$A$301,C1291)=0,"Missing","OK")</f>
        <v>OK</v>
      </c>
      <c r="U1291" t="str">
        <f t="shared" si="61"/>
        <v>Bengaluru</v>
      </c>
      <c r="V1291">
        <f t="shared" si="62"/>
        <v>0</v>
      </c>
    </row>
    <row r="1292" spans="1:22" ht="15" customHeight="1" x14ac:dyDescent="0.35">
      <c r="A1292" s="3" t="s">
        <v>1717</v>
      </c>
      <c r="B1292" s="4">
        <v>45359</v>
      </c>
      <c r="C1292" s="3" t="s">
        <v>762</v>
      </c>
      <c r="D1292" s="3" t="s">
        <v>142</v>
      </c>
      <c r="E1292" s="3" t="s">
        <v>191</v>
      </c>
      <c r="F1292" s="5">
        <v>8</v>
      </c>
      <c r="G1292" s="5">
        <v>660</v>
      </c>
      <c r="H1292" s="5">
        <v>7.5</v>
      </c>
      <c r="I1292" s="5">
        <v>4884</v>
      </c>
      <c r="J1292" s="3" t="s">
        <v>26</v>
      </c>
      <c r="K1292" s="3" t="s">
        <v>33</v>
      </c>
      <c r="L1292" t="str">
        <f>IFERROR(VLOOKUP(D1292,Products!$A$2:$F$61,3,FALSE()),"")</f>
        <v>Home</v>
      </c>
      <c r="M1292" t="str">
        <f>IFERROR(VLOOKUP(E1292,Sales_Reps!$A$2:$C$31,3,FALSE()),"")</f>
        <v>South</v>
      </c>
      <c r="N1292">
        <f>IFERROR(VLOOKUP(D1292,Products!$A$2:$F$61,4,FALSE()),"")</f>
        <v>329</v>
      </c>
      <c r="O1292" t="str">
        <f>IFERROR(VLOOKUP(C1292,Customers!$A$2:$F$301,5,FALSE()),"")</f>
        <v>Retail</v>
      </c>
      <c r="P1292">
        <f>IFERROR(VLOOKUP(C1292,Customers!$A$2:$F$301,3,FALSE()),"")</f>
        <v>32</v>
      </c>
      <c r="Q1292">
        <f t="shared" si="60"/>
        <v>0.50151515151515147</v>
      </c>
      <c r="R1292">
        <f>IF(AND(COUNTIF($A$2:$A$2027,A1292)&gt;1,COUNTIF($A$2:A1292,A1292)=1),1,0)</f>
        <v>0</v>
      </c>
      <c r="S1292" t="b">
        <f>IFERROR(VLOOKUP(D1292,Products!$A$2:$F$61,6,FALSE()),"")</f>
        <v>1</v>
      </c>
      <c r="T1292" t="str">
        <f>IF(COUNTIF(Customers!$A$2:$A$301,C1292)=0,"Missing","OK")</f>
        <v>OK</v>
      </c>
      <c r="U1292" t="str">
        <f t="shared" si="61"/>
        <v>Chennai</v>
      </c>
      <c r="V1292">
        <f t="shared" si="62"/>
        <v>0</v>
      </c>
    </row>
    <row r="1293" spans="1:22" ht="15" customHeight="1" x14ac:dyDescent="0.35">
      <c r="A1293" s="3" t="s">
        <v>1718</v>
      </c>
      <c r="B1293" s="4">
        <v>45644</v>
      </c>
      <c r="C1293" s="3" t="s">
        <v>945</v>
      </c>
      <c r="D1293" s="3" t="s">
        <v>209</v>
      </c>
      <c r="E1293" s="3" t="s">
        <v>78</v>
      </c>
      <c r="F1293" s="5">
        <v>3</v>
      </c>
      <c r="G1293" s="5">
        <v>4610</v>
      </c>
      <c r="H1293" s="5">
        <v>29.6</v>
      </c>
      <c r="I1293" s="5">
        <v>9736.32</v>
      </c>
      <c r="J1293" s="3" t="s">
        <v>26</v>
      </c>
      <c r="K1293" s="3" t="s">
        <v>56</v>
      </c>
      <c r="L1293" t="str">
        <f>IFERROR(VLOOKUP(D1293,Products!$A$2:$F$61,3,FALSE()),"")</f>
        <v>Home</v>
      </c>
      <c r="M1293" t="str">
        <f>IFERROR(VLOOKUP(E1293,Sales_Reps!$A$2:$C$31,3,FALSE()),"")</f>
        <v>North</v>
      </c>
      <c r="N1293">
        <f>IFERROR(VLOOKUP(D1293,Products!$A$2:$F$61,4,FALSE()),"")</f>
        <v>1850</v>
      </c>
      <c r="O1293" t="str">
        <f>IFERROR(VLOOKUP(C1293,Customers!$A$2:$F$301,5,FALSE()),"")</f>
        <v>SMB</v>
      </c>
      <c r="P1293">
        <f>IFERROR(VLOOKUP(C1293,Customers!$A$2:$F$301,3,FALSE()),"")</f>
        <v>44</v>
      </c>
      <c r="Q1293">
        <f t="shared" si="60"/>
        <v>0.59869848156182215</v>
      </c>
      <c r="R1293">
        <f>IF(AND(COUNTIF($A$2:$A$2027,A1293)&gt;1,COUNTIF($A$2:A1293,A1293)=1),1,0)</f>
        <v>0</v>
      </c>
      <c r="S1293" t="b">
        <f>IFERROR(VLOOKUP(D1293,Products!$A$2:$F$61,6,FALSE()),"")</f>
        <v>1</v>
      </c>
      <c r="T1293" t="str">
        <f>IF(COUNTIF(Customers!$A$2:$A$301,C1293)=0,"Missing","OK")</f>
        <v>OK</v>
      </c>
      <c r="U1293" t="str">
        <f t="shared" si="61"/>
        <v>Bengaluru</v>
      </c>
      <c r="V1293">
        <f t="shared" si="62"/>
        <v>0</v>
      </c>
    </row>
    <row r="1294" spans="1:22" ht="15" customHeight="1" x14ac:dyDescent="0.35">
      <c r="A1294" s="3" t="s">
        <v>1719</v>
      </c>
      <c r="B1294" s="4">
        <v>45325</v>
      </c>
      <c r="C1294" s="3" t="s">
        <v>289</v>
      </c>
      <c r="D1294" s="3" t="s">
        <v>277</v>
      </c>
      <c r="E1294" s="3" t="s">
        <v>50</v>
      </c>
      <c r="F1294" s="5">
        <v>6</v>
      </c>
      <c r="G1294" s="5">
        <v>2210</v>
      </c>
      <c r="H1294" s="5">
        <v>9.5</v>
      </c>
      <c r="I1294" s="5">
        <v>12000.3</v>
      </c>
      <c r="J1294" s="3" t="s">
        <v>26</v>
      </c>
      <c r="K1294" s="3" t="s">
        <v>51</v>
      </c>
      <c r="L1294" t="str">
        <f>IFERROR(VLOOKUP(D1294,Products!$A$2:$F$61,3,FALSE()),"")</f>
        <v>Grocery</v>
      </c>
      <c r="M1294" t="str">
        <f>IFERROR(VLOOKUP(E1294,Sales_Reps!$A$2:$C$31,3,FALSE()),"")</f>
        <v>West</v>
      </c>
      <c r="N1294">
        <f>IFERROR(VLOOKUP(D1294,Products!$A$2:$F$61,4,FALSE()),"")</f>
        <v>1010</v>
      </c>
      <c r="O1294" t="str">
        <f>IFERROR(VLOOKUP(C1294,Customers!$A$2:$F$301,5,FALSE()),"")</f>
        <v>SMB</v>
      </c>
      <c r="P1294">
        <f>IFERROR(VLOOKUP(C1294,Customers!$A$2:$F$301,3,FALSE()),"")</f>
        <v>22</v>
      </c>
      <c r="Q1294">
        <f t="shared" si="60"/>
        <v>0.54298642533936647</v>
      </c>
      <c r="R1294">
        <f>IF(AND(COUNTIF($A$2:$A$2027,A1294)&gt;1,COUNTIF($A$2:A1294,A1294)=1),1,0)</f>
        <v>0</v>
      </c>
      <c r="S1294" t="b">
        <f>IFERROR(VLOOKUP(D1294,Products!$A$2:$F$61,6,FALSE()),"")</f>
        <v>1</v>
      </c>
      <c r="T1294" t="str">
        <f>IF(COUNTIF(Customers!$A$2:$A$301,C1294)=0,"Missing","OK")</f>
        <v>OK</v>
      </c>
      <c r="U1294" t="str">
        <f t="shared" si="61"/>
        <v>Mumbai</v>
      </c>
      <c r="V1294">
        <f t="shared" si="62"/>
        <v>0</v>
      </c>
    </row>
    <row r="1295" spans="1:22" ht="15" customHeight="1" x14ac:dyDescent="0.35">
      <c r="A1295" s="3" t="s">
        <v>1720</v>
      </c>
      <c r="B1295" s="4">
        <v>45533</v>
      </c>
      <c r="C1295" s="3" t="s">
        <v>308</v>
      </c>
      <c r="D1295" s="3" t="s">
        <v>325</v>
      </c>
      <c r="E1295" s="3" t="s">
        <v>177</v>
      </c>
      <c r="F1295" s="5">
        <v>4</v>
      </c>
      <c r="G1295" s="5">
        <v>2290</v>
      </c>
      <c r="H1295" s="5">
        <v>3.3</v>
      </c>
      <c r="I1295" s="5">
        <v>8857.7199999999993</v>
      </c>
      <c r="J1295" s="3" t="s">
        <v>26</v>
      </c>
      <c r="K1295" s="3" t="s">
        <v>33</v>
      </c>
      <c r="L1295" t="str">
        <f>IFERROR(VLOOKUP(D1295,Products!$A$2:$F$61,3,FALSE()),"")</f>
        <v>Beauty</v>
      </c>
      <c r="M1295" t="str">
        <f>IFERROR(VLOOKUP(E1295,Sales_Reps!$A$2:$C$31,3,FALSE()),"")</f>
        <v>East</v>
      </c>
      <c r="N1295">
        <f>IFERROR(VLOOKUP(D1295,Products!$A$2:$F$61,4,FALSE()),"")</f>
        <v>1219</v>
      </c>
      <c r="O1295" t="str">
        <f>IFERROR(VLOOKUP(C1295,Customers!$A$2:$F$301,5,FALSE()),"")</f>
        <v>SMB</v>
      </c>
      <c r="P1295">
        <f>IFERROR(VLOOKUP(C1295,Customers!$A$2:$F$301,3,FALSE()),"")</f>
        <v>62</v>
      </c>
      <c r="Q1295">
        <f t="shared" si="60"/>
        <v>0.46768558951965067</v>
      </c>
      <c r="R1295">
        <f>IF(AND(COUNTIF($A$2:$A$2027,A1295)&gt;1,COUNTIF($A$2:A1295,A1295)=1),1,0)</f>
        <v>0</v>
      </c>
      <c r="S1295" t="b">
        <f>IFERROR(VLOOKUP(D1295,Products!$A$2:$F$61,6,FALSE()),"")</f>
        <v>1</v>
      </c>
      <c r="T1295" t="str">
        <f>IF(COUNTIF(Customers!$A$2:$A$301,C1295)=0,"Missing","OK")</f>
        <v>OK</v>
      </c>
      <c r="U1295" t="str">
        <f t="shared" si="61"/>
        <v>Chennai</v>
      </c>
      <c r="V1295">
        <f t="shared" si="62"/>
        <v>0</v>
      </c>
    </row>
    <row r="1296" spans="1:22" ht="15" customHeight="1" x14ac:dyDescent="0.35">
      <c r="A1296" s="3" t="s">
        <v>1721</v>
      </c>
      <c r="B1296" s="4">
        <v>45369</v>
      </c>
      <c r="C1296" s="3" t="s">
        <v>40</v>
      </c>
      <c r="D1296" s="3" t="s">
        <v>103</v>
      </c>
      <c r="E1296" s="3" t="s">
        <v>140</v>
      </c>
      <c r="F1296" s="5">
        <v>5</v>
      </c>
      <c r="G1296" s="5">
        <v>1080</v>
      </c>
      <c r="H1296" s="5">
        <v>26.1</v>
      </c>
      <c r="I1296" s="5">
        <v>3990.6</v>
      </c>
      <c r="J1296" s="3" t="s">
        <v>26</v>
      </c>
      <c r="K1296" s="3" t="s">
        <v>38</v>
      </c>
      <c r="L1296" t="str">
        <f>IFERROR(VLOOKUP(D1296,Products!$A$2:$F$61,3,FALSE()),"")</f>
        <v>Home</v>
      </c>
      <c r="M1296" t="str">
        <f>IFERROR(VLOOKUP(E1296,Sales_Reps!$A$2:$C$31,3,FALSE()),"")</f>
        <v>West</v>
      </c>
      <c r="N1296">
        <f>IFERROR(VLOOKUP(D1296,Products!$A$2:$F$61,4,FALSE()),"")</f>
        <v>519</v>
      </c>
      <c r="O1296" t="str">
        <f>IFERROR(VLOOKUP(C1296,Customers!$A$2:$F$301,5,FALSE()),"")</f>
        <v>Corporate</v>
      </c>
      <c r="P1296">
        <f>IFERROR(VLOOKUP(C1296,Customers!$A$2:$F$301,3,FALSE()),"")</f>
        <v>46</v>
      </c>
      <c r="Q1296">
        <f t="shared" si="60"/>
        <v>0.51944444444444449</v>
      </c>
      <c r="R1296">
        <f>IF(AND(COUNTIF($A$2:$A$2027,A1296)&gt;1,COUNTIF($A$2:A1296,A1296)=1),1,0)</f>
        <v>0</v>
      </c>
      <c r="S1296" t="b">
        <f>IFERROR(VLOOKUP(D1296,Products!$A$2:$F$61,6,FALSE()),"")</f>
        <v>1</v>
      </c>
      <c r="T1296" t="str">
        <f>IF(COUNTIF(Customers!$A$2:$A$301,C1296)=0,"Missing","OK")</f>
        <v>OK</v>
      </c>
      <c r="U1296" t="str">
        <f t="shared" si="61"/>
        <v>Delhi</v>
      </c>
      <c r="V1296">
        <f t="shared" si="62"/>
        <v>0</v>
      </c>
    </row>
    <row r="1297" spans="1:22" ht="15" customHeight="1" x14ac:dyDescent="0.35">
      <c r="A1297" s="3" t="s">
        <v>1722</v>
      </c>
      <c r="B1297" s="4">
        <v>45312</v>
      </c>
      <c r="C1297" s="3" t="s">
        <v>379</v>
      </c>
      <c r="D1297" s="3" t="s">
        <v>54</v>
      </c>
      <c r="E1297" s="3" t="s">
        <v>71</v>
      </c>
      <c r="F1297" s="5">
        <v>7</v>
      </c>
      <c r="G1297" s="5">
        <v>960</v>
      </c>
      <c r="H1297" s="5">
        <v>17.7</v>
      </c>
      <c r="I1297" s="5">
        <v>5530.56</v>
      </c>
      <c r="J1297" s="3" t="s">
        <v>26</v>
      </c>
      <c r="K1297" s="3" t="s">
        <v>27</v>
      </c>
      <c r="L1297" t="str">
        <f>IFERROR(VLOOKUP(D1297,Products!$A$2:$F$61,3,FALSE()),"")</f>
        <v>Sports</v>
      </c>
      <c r="M1297" t="str">
        <f>IFERROR(VLOOKUP(E1297,Sales_Reps!$A$2:$C$31,3,FALSE()),"")</f>
        <v>South</v>
      </c>
      <c r="N1297">
        <f>IFERROR(VLOOKUP(D1297,Products!$A$2:$F$61,4,FALSE()),"")</f>
        <v>705</v>
      </c>
      <c r="O1297" t="str">
        <f>IFERROR(VLOOKUP(C1297,Customers!$A$2:$F$301,5,FALSE()),"")</f>
        <v>SMB</v>
      </c>
      <c r="P1297">
        <f>IFERROR(VLOOKUP(C1297,Customers!$A$2:$F$301,3,FALSE()),"")</f>
        <v>30</v>
      </c>
      <c r="Q1297">
        <f t="shared" si="60"/>
        <v>0.265625</v>
      </c>
      <c r="R1297">
        <f>IF(AND(COUNTIF($A$2:$A$2027,A1297)&gt;1,COUNTIF($A$2:A1297,A1297)=1),1,0)</f>
        <v>0</v>
      </c>
      <c r="S1297" t="b">
        <f>IFERROR(VLOOKUP(D1297,Products!$A$2:$F$61,6,FALSE()),"")</f>
        <v>1</v>
      </c>
      <c r="T1297" t="str">
        <f>IF(COUNTIF(Customers!$A$2:$A$301,C1297)=0,"Missing","OK")</f>
        <v>OK</v>
      </c>
      <c r="U1297" t="str">
        <f t="shared" si="61"/>
        <v>Pune</v>
      </c>
      <c r="V1297">
        <f t="shared" si="62"/>
        <v>0</v>
      </c>
    </row>
    <row r="1298" spans="1:22" ht="15" customHeight="1" x14ac:dyDescent="0.35">
      <c r="A1298" s="3" t="s">
        <v>1723</v>
      </c>
      <c r="B1298" s="4">
        <v>45445</v>
      </c>
      <c r="C1298" s="3" t="s">
        <v>966</v>
      </c>
      <c r="D1298" s="3" t="s">
        <v>90</v>
      </c>
      <c r="E1298" s="3" t="s">
        <v>46</v>
      </c>
      <c r="F1298" s="5">
        <v>1</v>
      </c>
      <c r="G1298" s="5">
        <v>2400</v>
      </c>
      <c r="H1298" s="5">
        <v>29.9</v>
      </c>
      <c r="I1298" s="5">
        <v>1682.4</v>
      </c>
      <c r="J1298" s="3" t="s">
        <v>26</v>
      </c>
      <c r="K1298" s="3" t="s">
        <v>51</v>
      </c>
      <c r="L1298" t="str">
        <f>IFERROR(VLOOKUP(D1298,Products!$A$2:$F$61,3,FALSE()),"")</f>
        <v>Sports</v>
      </c>
      <c r="M1298" t="str">
        <f>IFERROR(VLOOKUP(E1298,Sales_Reps!$A$2:$C$31,3,FALSE()),"")</f>
        <v>North</v>
      </c>
      <c r="N1298">
        <f>IFERROR(VLOOKUP(D1298,Products!$A$2:$F$61,4,FALSE()),"")</f>
        <v>974</v>
      </c>
      <c r="O1298" t="str">
        <f>IFERROR(VLOOKUP(C1298,Customers!$A$2:$F$301,5,FALSE()),"")</f>
        <v>SMB</v>
      </c>
      <c r="P1298">
        <f>IFERROR(VLOOKUP(C1298,Customers!$A$2:$F$301,3,FALSE()),"")</f>
        <v>47</v>
      </c>
      <c r="Q1298">
        <f t="shared" si="60"/>
        <v>0.59416666666666662</v>
      </c>
      <c r="R1298">
        <f>IF(AND(COUNTIF($A$2:$A$2027,A1298)&gt;1,COUNTIF($A$2:A1298,A1298)=1),1,0)</f>
        <v>0</v>
      </c>
      <c r="S1298" t="b">
        <f>IFERROR(VLOOKUP(D1298,Products!$A$2:$F$61,6,FALSE()),"")</f>
        <v>1</v>
      </c>
      <c r="T1298" t="str">
        <f>IF(COUNTIF(Customers!$A$2:$A$301,C1298)=0,"Missing","OK")</f>
        <v>OK</v>
      </c>
      <c r="U1298" t="str">
        <f t="shared" si="61"/>
        <v>Mumbai</v>
      </c>
      <c r="V1298">
        <f t="shared" si="62"/>
        <v>0</v>
      </c>
    </row>
    <row r="1299" spans="1:22" ht="15" customHeight="1" x14ac:dyDescent="0.35">
      <c r="A1299" s="3" t="s">
        <v>1724</v>
      </c>
      <c r="B1299" s="4">
        <v>45636</v>
      </c>
      <c r="C1299" s="3" t="s">
        <v>1289</v>
      </c>
      <c r="D1299" s="3" t="s">
        <v>325</v>
      </c>
      <c r="E1299" s="3" t="s">
        <v>71</v>
      </c>
      <c r="F1299" s="5">
        <v>9</v>
      </c>
      <c r="G1299" s="5">
        <v>2290</v>
      </c>
      <c r="H1299" s="5">
        <v>28.8</v>
      </c>
      <c r="I1299" s="5">
        <v>14674.32</v>
      </c>
      <c r="J1299" s="3" t="s">
        <v>26</v>
      </c>
      <c r="K1299" s="3" t="s">
        <v>51</v>
      </c>
      <c r="L1299" t="str">
        <f>IFERROR(VLOOKUP(D1299,Products!$A$2:$F$61,3,FALSE()),"")</f>
        <v>Beauty</v>
      </c>
      <c r="M1299" t="str">
        <f>IFERROR(VLOOKUP(E1299,Sales_Reps!$A$2:$C$31,3,FALSE()),"")</f>
        <v>South</v>
      </c>
      <c r="N1299">
        <f>IFERROR(VLOOKUP(D1299,Products!$A$2:$F$61,4,FALSE()),"")</f>
        <v>1219</v>
      </c>
      <c r="O1299" t="str">
        <f>IFERROR(VLOOKUP(C1299,Customers!$A$2:$F$301,5,FALSE()),"")</f>
        <v>Retail</v>
      </c>
      <c r="P1299">
        <f>IFERROR(VLOOKUP(C1299,Customers!$A$2:$F$301,3,FALSE()),"")</f>
        <v>38</v>
      </c>
      <c r="Q1299">
        <f t="shared" si="60"/>
        <v>0.46768558951965067</v>
      </c>
      <c r="R1299">
        <f>IF(AND(COUNTIF($A$2:$A$2027,A1299)&gt;1,COUNTIF($A$2:A1299,A1299)=1),1,0)</f>
        <v>0</v>
      </c>
      <c r="S1299" t="b">
        <f>IFERROR(VLOOKUP(D1299,Products!$A$2:$F$61,6,FALSE()),"")</f>
        <v>1</v>
      </c>
      <c r="T1299" t="str">
        <f>IF(COUNTIF(Customers!$A$2:$A$301,C1299)=0,"Missing","OK")</f>
        <v>OK</v>
      </c>
      <c r="U1299" t="str">
        <f t="shared" si="61"/>
        <v>Mumbai</v>
      </c>
      <c r="V1299">
        <f t="shared" si="62"/>
        <v>0</v>
      </c>
    </row>
    <row r="1300" spans="1:22" ht="15" customHeight="1" x14ac:dyDescent="0.35">
      <c r="A1300" s="3" t="s">
        <v>1725</v>
      </c>
      <c r="B1300" s="4">
        <v>45294</v>
      </c>
      <c r="C1300" s="3" t="s">
        <v>164</v>
      </c>
      <c r="D1300" s="3" t="s">
        <v>103</v>
      </c>
      <c r="E1300" s="3" t="s">
        <v>242</v>
      </c>
      <c r="F1300" s="5">
        <v>9</v>
      </c>
      <c r="G1300" s="5">
        <v>1080</v>
      </c>
      <c r="H1300" s="5">
        <v>10.3</v>
      </c>
      <c r="I1300" s="5">
        <v>8718.84</v>
      </c>
      <c r="J1300" s="3" t="s">
        <v>26</v>
      </c>
      <c r="K1300" s="3" t="s">
        <v>33</v>
      </c>
      <c r="L1300" t="str">
        <f>IFERROR(VLOOKUP(D1300,Products!$A$2:$F$61,3,FALSE()),"")</f>
        <v>Home</v>
      </c>
      <c r="M1300" t="str">
        <f>IFERROR(VLOOKUP(E1300,Sales_Reps!$A$2:$C$31,3,FALSE()),"")</f>
        <v>East</v>
      </c>
      <c r="N1300">
        <f>IFERROR(VLOOKUP(D1300,Products!$A$2:$F$61,4,FALSE()),"")</f>
        <v>519</v>
      </c>
      <c r="O1300" t="str">
        <f>IFERROR(VLOOKUP(C1300,Customers!$A$2:$F$301,5,FALSE()),"")</f>
        <v>Retail</v>
      </c>
      <c r="P1300">
        <f>IFERROR(VLOOKUP(C1300,Customers!$A$2:$F$301,3,FALSE()),"")</f>
        <v>37</v>
      </c>
      <c r="Q1300">
        <f t="shared" si="60"/>
        <v>0.51944444444444449</v>
      </c>
      <c r="R1300">
        <f>IF(AND(COUNTIF($A$2:$A$2027,A1300)&gt;1,COUNTIF($A$2:A1300,A1300)=1),1,0)</f>
        <v>0</v>
      </c>
      <c r="S1300" t="b">
        <f>IFERROR(VLOOKUP(D1300,Products!$A$2:$F$61,6,FALSE()),"")</f>
        <v>1</v>
      </c>
      <c r="T1300" t="str">
        <f>IF(COUNTIF(Customers!$A$2:$A$301,C1300)=0,"Missing","OK")</f>
        <v>OK</v>
      </c>
      <c r="U1300" t="str">
        <f t="shared" si="61"/>
        <v>Chennai</v>
      </c>
      <c r="V1300">
        <f t="shared" si="62"/>
        <v>0</v>
      </c>
    </row>
    <row r="1301" spans="1:22" ht="15" customHeight="1" x14ac:dyDescent="0.35">
      <c r="A1301" s="3" t="s">
        <v>1726</v>
      </c>
      <c r="B1301" s="4">
        <v>45449</v>
      </c>
      <c r="C1301" s="3" t="s">
        <v>849</v>
      </c>
      <c r="D1301" s="3" t="s">
        <v>441</v>
      </c>
      <c r="E1301" s="3" t="s">
        <v>78</v>
      </c>
      <c r="F1301" s="5">
        <v>1</v>
      </c>
      <c r="G1301" s="5">
        <v>1090</v>
      </c>
      <c r="H1301" s="5">
        <v>5.8</v>
      </c>
      <c r="I1301" s="5">
        <v>1026.78</v>
      </c>
      <c r="J1301" s="3" t="s">
        <v>79</v>
      </c>
      <c r="K1301" s="3" t="s">
        <v>38</v>
      </c>
      <c r="L1301" t="str">
        <f>IFERROR(VLOOKUP(D1301,Products!$A$2:$F$61,3,FALSE()),"")</f>
        <v>Home</v>
      </c>
      <c r="M1301" t="str">
        <f>IFERROR(VLOOKUP(E1301,Sales_Reps!$A$2:$C$31,3,FALSE()),"")</f>
        <v>North</v>
      </c>
      <c r="N1301">
        <f>IFERROR(VLOOKUP(D1301,Products!$A$2:$F$61,4,FALSE()),"")</f>
        <v>464</v>
      </c>
      <c r="O1301" t="str">
        <f>IFERROR(VLOOKUP(C1301,Customers!$A$2:$F$301,5,FALSE()),"")</f>
        <v>Retail</v>
      </c>
      <c r="P1301">
        <f>IFERROR(VLOOKUP(C1301,Customers!$A$2:$F$301,3,FALSE()),"")</f>
        <v>55</v>
      </c>
      <c r="Q1301">
        <f t="shared" si="60"/>
        <v>0.57431192660550456</v>
      </c>
      <c r="R1301">
        <f>IF(AND(COUNTIF($A$2:$A$2027,A1301)&gt;1,COUNTIF($A$2:A1301,A1301)=1),1,0)</f>
        <v>0</v>
      </c>
      <c r="S1301" t="b">
        <f>IFERROR(VLOOKUP(D1301,Products!$A$2:$F$61,6,FALSE()),"")</f>
        <v>1</v>
      </c>
      <c r="T1301" t="str">
        <f>IF(COUNTIF(Customers!$A$2:$A$301,C1301)=0,"Missing","OK")</f>
        <v>OK</v>
      </c>
      <c r="U1301" t="str">
        <f t="shared" si="61"/>
        <v>Delhi</v>
      </c>
      <c r="V1301">
        <f t="shared" si="62"/>
        <v>0</v>
      </c>
    </row>
    <row r="1302" spans="1:22" ht="15" customHeight="1" x14ac:dyDescent="0.35">
      <c r="A1302" s="3" t="s">
        <v>1727</v>
      </c>
      <c r="B1302" s="4">
        <v>45560</v>
      </c>
      <c r="C1302" s="3" t="s">
        <v>841</v>
      </c>
      <c r="D1302" s="3" t="s">
        <v>277</v>
      </c>
      <c r="E1302" s="3" t="s">
        <v>242</v>
      </c>
      <c r="F1302" s="5">
        <v>3</v>
      </c>
      <c r="G1302" s="5">
        <v>2210</v>
      </c>
      <c r="H1302" s="5">
        <v>18.2</v>
      </c>
      <c r="I1302" s="5">
        <v>5423.34</v>
      </c>
      <c r="J1302" s="3" t="s">
        <v>32</v>
      </c>
      <c r="K1302" s="3" t="s">
        <v>51</v>
      </c>
      <c r="L1302" t="str">
        <f>IFERROR(VLOOKUP(D1302,Products!$A$2:$F$61,3,FALSE()),"")</f>
        <v>Grocery</v>
      </c>
      <c r="M1302" t="str">
        <f>IFERROR(VLOOKUP(E1302,Sales_Reps!$A$2:$C$31,3,FALSE()),"")</f>
        <v>East</v>
      </c>
      <c r="N1302">
        <f>IFERROR(VLOOKUP(D1302,Products!$A$2:$F$61,4,FALSE()),"")</f>
        <v>1010</v>
      </c>
      <c r="O1302" t="str">
        <f>IFERROR(VLOOKUP(C1302,Customers!$A$2:$F$301,5,FALSE()),"")</f>
        <v>Retail</v>
      </c>
      <c r="P1302">
        <f>IFERROR(VLOOKUP(C1302,Customers!$A$2:$F$301,3,FALSE()),"")</f>
        <v>37</v>
      </c>
      <c r="Q1302">
        <f t="shared" si="60"/>
        <v>0.54298642533936647</v>
      </c>
      <c r="R1302">
        <f>IF(AND(COUNTIF($A$2:$A$2027,A1302)&gt;1,COUNTIF($A$2:A1302,A1302)=1),1,0)</f>
        <v>0</v>
      </c>
      <c r="S1302" t="b">
        <f>IFERROR(VLOOKUP(D1302,Products!$A$2:$F$61,6,FALSE()),"")</f>
        <v>1</v>
      </c>
      <c r="T1302" t="str">
        <f>IF(COUNTIF(Customers!$A$2:$A$301,C1302)=0,"Missing","OK")</f>
        <v>OK</v>
      </c>
      <c r="U1302" t="str">
        <f t="shared" si="61"/>
        <v>Mumbai</v>
      </c>
      <c r="V1302">
        <f t="shared" si="62"/>
        <v>0</v>
      </c>
    </row>
    <row r="1303" spans="1:22" ht="15" customHeight="1" x14ac:dyDescent="0.35">
      <c r="A1303" s="3" t="s">
        <v>1728</v>
      </c>
      <c r="B1303" s="4">
        <v>45588</v>
      </c>
      <c r="C1303" s="3" t="s">
        <v>136</v>
      </c>
      <c r="D1303" s="3" t="s">
        <v>24</v>
      </c>
      <c r="E1303" s="3" t="s">
        <v>127</v>
      </c>
      <c r="F1303" s="5">
        <v>8</v>
      </c>
      <c r="G1303" s="5">
        <v>3620</v>
      </c>
      <c r="H1303" s="5">
        <v>1.4</v>
      </c>
      <c r="I1303" s="5">
        <v>28554.560000000001</v>
      </c>
      <c r="J1303" s="3" t="s">
        <v>26</v>
      </c>
      <c r="K1303" s="3" t="s">
        <v>27</v>
      </c>
      <c r="L1303" t="str">
        <f>IFERROR(VLOOKUP(D1303,Products!$A$2:$F$61,3,FALSE()),"")</f>
        <v>Apparel</v>
      </c>
      <c r="M1303" t="str">
        <f>IFERROR(VLOOKUP(E1303,Sales_Reps!$A$2:$C$31,3,FALSE()),"")</f>
        <v>South</v>
      </c>
      <c r="N1303">
        <f>IFERROR(VLOOKUP(D1303,Products!$A$2:$F$61,4,FALSE()),"")</f>
        <v>2509</v>
      </c>
      <c r="O1303" t="str">
        <f>IFERROR(VLOOKUP(C1303,Customers!$A$2:$F$301,5,FALSE()),"")</f>
        <v>Corporate</v>
      </c>
      <c r="P1303">
        <f>IFERROR(VLOOKUP(C1303,Customers!$A$2:$F$301,3,FALSE()),"")</f>
        <v>47</v>
      </c>
      <c r="Q1303">
        <f t="shared" si="60"/>
        <v>0.3069060773480663</v>
      </c>
      <c r="R1303">
        <f>IF(AND(COUNTIF($A$2:$A$2027,A1303)&gt;1,COUNTIF($A$2:A1303,A1303)=1),1,0)</f>
        <v>0</v>
      </c>
      <c r="S1303" t="b">
        <f>IFERROR(VLOOKUP(D1303,Products!$A$2:$F$61,6,FALSE()),"")</f>
        <v>1</v>
      </c>
      <c r="T1303" t="str">
        <f>IF(COUNTIF(Customers!$A$2:$A$301,C1303)=0,"Missing","OK")</f>
        <v>OK</v>
      </c>
      <c r="U1303" t="str">
        <f t="shared" si="61"/>
        <v>Pune</v>
      </c>
      <c r="V1303">
        <f t="shared" si="62"/>
        <v>0</v>
      </c>
    </row>
    <row r="1304" spans="1:22" ht="15" customHeight="1" x14ac:dyDescent="0.35">
      <c r="A1304" s="3" t="s">
        <v>1729</v>
      </c>
      <c r="B1304" s="4">
        <v>45360</v>
      </c>
      <c r="C1304" s="3" t="s">
        <v>147</v>
      </c>
      <c r="D1304" s="3" t="s">
        <v>234</v>
      </c>
      <c r="E1304" s="3" t="s">
        <v>212</v>
      </c>
      <c r="F1304" s="5">
        <v>7</v>
      </c>
      <c r="G1304" s="5">
        <v>2030</v>
      </c>
      <c r="H1304" s="5">
        <v>27.7</v>
      </c>
      <c r="I1304" s="5">
        <v>10273.83</v>
      </c>
      <c r="J1304" s="3" t="s">
        <v>26</v>
      </c>
      <c r="K1304" s="3" t="s">
        <v>72</v>
      </c>
      <c r="L1304" t="str">
        <f>IFERROR(VLOOKUP(D1304,Products!$A$2:$F$61,3,FALSE()),"")</f>
        <v>Home</v>
      </c>
      <c r="M1304" t="str">
        <f>IFERROR(VLOOKUP(E1304,Sales_Reps!$A$2:$C$31,3,FALSE()),"")</f>
        <v>South</v>
      </c>
      <c r="N1304">
        <f>IFERROR(VLOOKUP(D1304,Products!$A$2:$F$61,4,FALSE()),"")</f>
        <v>1143</v>
      </c>
      <c r="O1304" t="str">
        <f>IFERROR(VLOOKUP(C1304,Customers!$A$2:$F$301,5,FALSE()),"")</f>
        <v>Retail</v>
      </c>
      <c r="P1304">
        <f>IFERROR(VLOOKUP(C1304,Customers!$A$2:$F$301,3,FALSE()),"")</f>
        <v>26</v>
      </c>
      <c r="Q1304">
        <f t="shared" si="60"/>
        <v>0.43694581280788175</v>
      </c>
      <c r="R1304">
        <f>IF(AND(COUNTIF($A$2:$A$2027,A1304)&gt;1,COUNTIF($A$2:A1304,A1304)=1),1,0)</f>
        <v>0</v>
      </c>
      <c r="S1304" t="b">
        <f>IFERROR(VLOOKUP(D1304,Products!$A$2:$F$61,6,FALSE()),"")</f>
        <v>1</v>
      </c>
      <c r="T1304" t="str">
        <f>IF(COUNTIF(Customers!$A$2:$A$301,C1304)=0,"Missing","OK")</f>
        <v>OK</v>
      </c>
      <c r="U1304" t="str">
        <f t="shared" si="61"/>
        <v>Hyderabad</v>
      </c>
      <c r="V1304">
        <f t="shared" si="62"/>
        <v>0</v>
      </c>
    </row>
    <row r="1305" spans="1:22" ht="15" customHeight="1" x14ac:dyDescent="0.35">
      <c r="A1305" s="3" t="s">
        <v>1730</v>
      </c>
      <c r="B1305" s="4">
        <v>45316</v>
      </c>
      <c r="C1305" s="3" t="s">
        <v>538</v>
      </c>
      <c r="D1305" s="3" t="s">
        <v>187</v>
      </c>
      <c r="E1305" s="3" t="s">
        <v>93</v>
      </c>
      <c r="F1305" s="5">
        <v>1</v>
      </c>
      <c r="G1305" s="5">
        <v>3870</v>
      </c>
      <c r="H1305" s="5">
        <v>29.6</v>
      </c>
      <c r="I1305" s="5">
        <v>2724.48</v>
      </c>
      <c r="J1305" s="3" t="s">
        <v>26</v>
      </c>
      <c r="K1305" s="3" t="s">
        <v>56</v>
      </c>
      <c r="L1305" t="str">
        <f>IFERROR(VLOOKUP(D1305,Products!$A$2:$F$61,3,FALSE()),"")</f>
        <v>Electronics</v>
      </c>
      <c r="M1305" t="str">
        <f>IFERROR(VLOOKUP(E1305,Sales_Reps!$A$2:$C$31,3,FALSE()),"")</f>
        <v>East</v>
      </c>
      <c r="N1305">
        <f>IFERROR(VLOOKUP(D1305,Products!$A$2:$F$61,4,FALSE()),"")</f>
        <v>1559</v>
      </c>
      <c r="O1305" t="str">
        <f>IFERROR(VLOOKUP(C1305,Customers!$A$2:$F$301,5,FALSE()),"")</f>
        <v>Corporate</v>
      </c>
      <c r="P1305">
        <f>IFERROR(VLOOKUP(C1305,Customers!$A$2:$F$301,3,FALSE()),"")</f>
        <v>26</v>
      </c>
      <c r="Q1305">
        <f t="shared" si="60"/>
        <v>0.59715762273901807</v>
      </c>
      <c r="R1305">
        <f>IF(AND(COUNTIF($A$2:$A$2027,A1305)&gt;1,COUNTIF($A$2:A1305,A1305)=1),1,0)</f>
        <v>0</v>
      </c>
      <c r="S1305" t="b">
        <f>IFERROR(VLOOKUP(D1305,Products!$A$2:$F$61,6,FALSE()),"")</f>
        <v>1</v>
      </c>
      <c r="T1305" t="str">
        <f>IF(COUNTIF(Customers!$A$2:$A$301,C1305)=0,"Missing","OK")</f>
        <v>OK</v>
      </c>
      <c r="U1305" t="str">
        <f t="shared" si="61"/>
        <v>Bengaluru</v>
      </c>
      <c r="V1305">
        <f t="shared" si="62"/>
        <v>0</v>
      </c>
    </row>
    <row r="1306" spans="1:22" ht="15" customHeight="1" x14ac:dyDescent="0.35">
      <c r="A1306" s="3" t="s">
        <v>1731</v>
      </c>
      <c r="B1306" s="4">
        <v>45324</v>
      </c>
      <c r="C1306" s="3" t="s">
        <v>774</v>
      </c>
      <c r="D1306" s="3" t="s">
        <v>126</v>
      </c>
      <c r="E1306" s="3" t="s">
        <v>37</v>
      </c>
      <c r="F1306" s="5">
        <v>5</v>
      </c>
      <c r="G1306" s="5">
        <v>3570</v>
      </c>
      <c r="H1306" s="5">
        <v>11.8</v>
      </c>
      <c r="I1306" s="5">
        <v>15743.7</v>
      </c>
      <c r="J1306" s="3" t="s">
        <v>83</v>
      </c>
      <c r="K1306" s="3" t="s">
        <v>56</v>
      </c>
      <c r="L1306" t="str">
        <f>IFERROR(VLOOKUP(D1306,Products!$A$2:$F$61,3,FALSE()),"")</f>
        <v>Electronics</v>
      </c>
      <c r="M1306" t="str">
        <f>IFERROR(VLOOKUP(E1306,Sales_Reps!$A$2:$C$31,3,FALSE()),"")</f>
        <v>South</v>
      </c>
      <c r="N1306">
        <f>IFERROR(VLOOKUP(D1306,Products!$A$2:$F$61,4,FALSE()),"")</f>
        <v>1665</v>
      </c>
      <c r="O1306" t="str">
        <f>IFERROR(VLOOKUP(C1306,Customers!$A$2:$F$301,5,FALSE()),"")</f>
        <v>Retail</v>
      </c>
      <c r="P1306">
        <f>IFERROR(VLOOKUP(C1306,Customers!$A$2:$F$301,3,FALSE()),"")</f>
        <v>52</v>
      </c>
      <c r="Q1306">
        <f t="shared" si="60"/>
        <v>0.53361344537815125</v>
      </c>
      <c r="R1306">
        <f>IF(AND(COUNTIF($A$2:$A$2027,A1306)&gt;1,COUNTIF($A$2:A1306,A1306)=1),1,0)</f>
        <v>0</v>
      </c>
      <c r="S1306" t="b">
        <f>IFERROR(VLOOKUP(D1306,Products!$A$2:$F$61,6,FALSE()),"")</f>
        <v>1</v>
      </c>
      <c r="T1306" t="str">
        <f>IF(COUNTIF(Customers!$A$2:$A$301,C1306)=0,"Missing","OK")</f>
        <v>OK</v>
      </c>
      <c r="U1306" t="str">
        <f t="shared" si="61"/>
        <v>Bengaluru</v>
      </c>
      <c r="V1306">
        <f t="shared" si="62"/>
        <v>0</v>
      </c>
    </row>
    <row r="1307" spans="1:22" ht="15" customHeight="1" x14ac:dyDescent="0.35">
      <c r="A1307" s="3" t="s">
        <v>1732</v>
      </c>
      <c r="B1307" s="4">
        <v>45650</v>
      </c>
      <c r="C1307" s="3" t="s">
        <v>1043</v>
      </c>
      <c r="D1307" s="3" t="s">
        <v>303</v>
      </c>
      <c r="E1307" s="3" t="s">
        <v>60</v>
      </c>
      <c r="F1307" s="5">
        <v>7</v>
      </c>
      <c r="G1307" s="5">
        <v>5330</v>
      </c>
      <c r="H1307" s="5">
        <v>8.1999999999999993</v>
      </c>
      <c r="I1307" s="5">
        <v>34250.58</v>
      </c>
      <c r="J1307" s="3" t="s">
        <v>26</v>
      </c>
      <c r="K1307" s="3" t="s">
        <v>56</v>
      </c>
      <c r="L1307" t="str">
        <f>IFERROR(VLOOKUP(D1307,Products!$A$2:$F$61,3,FALSE()),"")</f>
        <v>Electronics</v>
      </c>
      <c r="M1307" t="str">
        <f>IFERROR(VLOOKUP(E1307,Sales_Reps!$A$2:$C$31,3,FALSE()),"")</f>
        <v>East</v>
      </c>
      <c r="N1307">
        <f>IFERROR(VLOOKUP(D1307,Products!$A$2:$F$61,4,FALSE()),"")</f>
        <v>2405</v>
      </c>
      <c r="O1307" t="str">
        <f>IFERROR(VLOOKUP(C1307,Customers!$A$2:$F$301,5,FALSE()),"")</f>
        <v>Corporate</v>
      </c>
      <c r="P1307">
        <f>IFERROR(VLOOKUP(C1307,Customers!$A$2:$F$301,3,FALSE()),"")</f>
        <v>31</v>
      </c>
      <c r="Q1307">
        <f t="shared" si="60"/>
        <v>0.54878048780487809</v>
      </c>
      <c r="R1307">
        <f>IF(AND(COUNTIF($A$2:$A$2027,A1307)&gt;1,COUNTIF($A$2:A1307,A1307)=1),1,0)</f>
        <v>0</v>
      </c>
      <c r="S1307" t="b">
        <f>IFERROR(VLOOKUP(D1307,Products!$A$2:$F$61,6,FALSE()),"")</f>
        <v>1</v>
      </c>
      <c r="T1307" t="str">
        <f>IF(COUNTIF(Customers!$A$2:$A$301,C1307)=0,"Missing","OK")</f>
        <v>OK</v>
      </c>
      <c r="U1307" t="str">
        <f t="shared" si="61"/>
        <v>Bengaluru</v>
      </c>
      <c r="V1307">
        <f t="shared" si="62"/>
        <v>0</v>
      </c>
    </row>
    <row r="1308" spans="1:22" ht="15" customHeight="1" x14ac:dyDescent="0.35">
      <c r="A1308" s="3" t="s">
        <v>1733</v>
      </c>
      <c r="B1308" s="4">
        <v>45564</v>
      </c>
      <c r="C1308" s="3" t="s">
        <v>746</v>
      </c>
      <c r="D1308" s="3" t="s">
        <v>206</v>
      </c>
      <c r="E1308" s="3" t="s">
        <v>143</v>
      </c>
      <c r="F1308" s="5">
        <v>5</v>
      </c>
      <c r="G1308" s="5">
        <v>1220</v>
      </c>
      <c r="H1308" s="5">
        <v>17.8</v>
      </c>
      <c r="I1308" s="5">
        <v>5014.2</v>
      </c>
      <c r="J1308" s="3" t="s">
        <v>83</v>
      </c>
      <c r="K1308" s="3" t="s">
        <v>27</v>
      </c>
      <c r="L1308" t="str">
        <f>IFERROR(VLOOKUP(D1308,Products!$A$2:$F$61,3,FALSE()),"")</f>
        <v>Electronics</v>
      </c>
      <c r="M1308" t="str">
        <f>IFERROR(VLOOKUP(E1308,Sales_Reps!$A$2:$C$31,3,FALSE()),"")</f>
        <v>South</v>
      </c>
      <c r="N1308">
        <f>IFERROR(VLOOKUP(D1308,Products!$A$2:$F$61,4,FALSE()),"")</f>
        <v>517</v>
      </c>
      <c r="O1308" t="str">
        <f>IFERROR(VLOOKUP(C1308,Customers!$A$2:$F$301,5,FALSE()),"")</f>
        <v>Retail</v>
      </c>
      <c r="P1308">
        <f>IFERROR(VLOOKUP(C1308,Customers!$A$2:$F$301,3,FALSE()),"")</f>
        <v>36</v>
      </c>
      <c r="Q1308">
        <f t="shared" si="60"/>
        <v>0.57622950819672136</v>
      </c>
      <c r="R1308">
        <f>IF(AND(COUNTIF($A$2:$A$2027,A1308)&gt;1,COUNTIF($A$2:A1308,A1308)=1),1,0)</f>
        <v>0</v>
      </c>
      <c r="S1308" t="b">
        <f>IFERROR(VLOOKUP(D1308,Products!$A$2:$F$61,6,FALSE()),"")</f>
        <v>1</v>
      </c>
      <c r="T1308" t="str">
        <f>IF(COUNTIF(Customers!$A$2:$A$301,C1308)=0,"Missing","OK")</f>
        <v>OK</v>
      </c>
      <c r="U1308" t="str">
        <f t="shared" si="61"/>
        <v>Pune</v>
      </c>
      <c r="V1308">
        <f t="shared" si="62"/>
        <v>0</v>
      </c>
    </row>
    <row r="1309" spans="1:22" ht="15" customHeight="1" x14ac:dyDescent="0.35">
      <c r="A1309" s="3" t="s">
        <v>1734</v>
      </c>
      <c r="B1309" s="4">
        <v>45587</v>
      </c>
      <c r="C1309" s="3" t="s">
        <v>102</v>
      </c>
      <c r="D1309" s="3" t="s">
        <v>391</v>
      </c>
      <c r="E1309" s="3" t="s">
        <v>60</v>
      </c>
      <c r="F1309" s="5">
        <v>7</v>
      </c>
      <c r="G1309" s="5">
        <v>3450</v>
      </c>
      <c r="H1309" s="5">
        <v>29.3</v>
      </c>
      <c r="I1309" s="5">
        <v>17074.05</v>
      </c>
      <c r="J1309" s="3" t="s">
        <v>26</v>
      </c>
      <c r="K1309" s="3" t="s">
        <v>33</v>
      </c>
      <c r="L1309" t="str">
        <f>IFERROR(VLOOKUP(D1309,Products!$A$2:$F$61,3,FALSE()),"")</f>
        <v>Apparel</v>
      </c>
      <c r="M1309" t="str">
        <f>IFERROR(VLOOKUP(E1309,Sales_Reps!$A$2:$C$31,3,FALSE()),"")</f>
        <v>East</v>
      </c>
      <c r="N1309">
        <f>IFERROR(VLOOKUP(D1309,Products!$A$2:$F$61,4,FALSE()),"")</f>
        <v>1748</v>
      </c>
      <c r="O1309" t="str">
        <f>IFERROR(VLOOKUP(C1309,Customers!$A$2:$F$301,5,FALSE()),"")</f>
        <v>Retail</v>
      </c>
      <c r="P1309">
        <f>IFERROR(VLOOKUP(C1309,Customers!$A$2:$F$301,3,FALSE()),"")</f>
        <v>49</v>
      </c>
      <c r="Q1309">
        <f t="shared" si="60"/>
        <v>0.49333333333333335</v>
      </c>
      <c r="R1309">
        <f>IF(AND(COUNTIF($A$2:$A$2027,A1309)&gt;1,COUNTIF($A$2:A1309,A1309)=1),1,0)</f>
        <v>0</v>
      </c>
      <c r="S1309" t="b">
        <f>IFERROR(VLOOKUP(D1309,Products!$A$2:$F$61,6,FALSE()),"")</f>
        <v>1</v>
      </c>
      <c r="T1309" t="str">
        <f>IF(COUNTIF(Customers!$A$2:$A$301,C1309)=0,"Missing","OK")</f>
        <v>OK</v>
      </c>
      <c r="U1309" t="str">
        <f t="shared" si="61"/>
        <v>Chennai</v>
      </c>
      <c r="V1309">
        <f t="shared" si="62"/>
        <v>0</v>
      </c>
    </row>
    <row r="1310" spans="1:22" ht="15" customHeight="1" x14ac:dyDescent="0.35">
      <c r="A1310" s="3" t="s">
        <v>1735</v>
      </c>
      <c r="B1310" s="4">
        <v>45538</v>
      </c>
      <c r="C1310" s="3" t="s">
        <v>556</v>
      </c>
      <c r="D1310" s="3" t="s">
        <v>598</v>
      </c>
      <c r="E1310" s="3" t="s">
        <v>191</v>
      </c>
      <c r="F1310" s="5">
        <v>6</v>
      </c>
      <c r="G1310" s="5">
        <v>3560</v>
      </c>
      <c r="H1310" s="5">
        <v>9.4</v>
      </c>
      <c r="I1310" s="5">
        <v>19352.16</v>
      </c>
      <c r="J1310" s="3" t="s">
        <v>32</v>
      </c>
      <c r="K1310" s="3" t="s">
        <v>51</v>
      </c>
      <c r="L1310" t="str">
        <f>IFERROR(VLOOKUP(D1310,Products!$A$2:$F$61,3,FALSE()),"")</f>
        <v>Apparel</v>
      </c>
      <c r="M1310" t="str">
        <f>IFERROR(VLOOKUP(E1310,Sales_Reps!$A$2:$C$31,3,FALSE()),"")</f>
        <v>South</v>
      </c>
      <c r="N1310">
        <f>IFERROR(VLOOKUP(D1310,Products!$A$2:$F$61,4,FALSE()),"")</f>
        <v>2629</v>
      </c>
      <c r="O1310" t="str">
        <f>IFERROR(VLOOKUP(C1310,Customers!$A$2:$F$301,5,FALSE()),"")</f>
        <v>SMB</v>
      </c>
      <c r="P1310">
        <f>IFERROR(VLOOKUP(C1310,Customers!$A$2:$F$301,3,FALSE()),"")</f>
        <v>65</v>
      </c>
      <c r="Q1310">
        <f t="shared" si="60"/>
        <v>0.26151685393258428</v>
      </c>
      <c r="R1310">
        <f>IF(AND(COUNTIF($A$2:$A$2027,A1310)&gt;1,COUNTIF($A$2:A1310,A1310)=1),1,0)</f>
        <v>0</v>
      </c>
      <c r="S1310" t="b">
        <f>IFERROR(VLOOKUP(D1310,Products!$A$2:$F$61,6,FALSE()),"")</f>
        <v>1</v>
      </c>
      <c r="T1310" t="str">
        <f>IF(COUNTIF(Customers!$A$2:$A$301,C1310)=0,"Missing","OK")</f>
        <v>OK</v>
      </c>
      <c r="U1310" t="str">
        <f t="shared" si="61"/>
        <v>Mumbai</v>
      </c>
      <c r="V1310">
        <f t="shared" si="62"/>
        <v>0</v>
      </c>
    </row>
    <row r="1311" spans="1:22" ht="15" customHeight="1" x14ac:dyDescent="0.35">
      <c r="A1311" s="3" t="s">
        <v>1736</v>
      </c>
      <c r="B1311" s="4">
        <v>45385</v>
      </c>
      <c r="C1311" s="3" t="s">
        <v>443</v>
      </c>
      <c r="D1311" s="3" t="s">
        <v>49</v>
      </c>
      <c r="E1311" s="3" t="s">
        <v>31</v>
      </c>
      <c r="F1311" s="5">
        <v>4</v>
      </c>
      <c r="G1311" s="5">
        <v>370</v>
      </c>
      <c r="H1311" s="5">
        <v>4.9000000000000004</v>
      </c>
      <c r="I1311" s="5">
        <v>1407.48</v>
      </c>
      <c r="J1311" s="3" t="s">
        <v>26</v>
      </c>
      <c r="K1311" s="3" t="s">
        <v>56</v>
      </c>
      <c r="L1311" t="str">
        <f>IFERROR(VLOOKUP(D1311,Products!$A$2:$F$61,3,FALSE()),"")</f>
        <v>Home</v>
      </c>
      <c r="M1311" t="str">
        <f>IFERROR(VLOOKUP(E1311,Sales_Reps!$A$2:$C$31,3,FALSE()),"")</f>
        <v>North</v>
      </c>
      <c r="N1311">
        <f>IFERROR(VLOOKUP(D1311,Products!$A$2:$F$61,4,FALSE()),"")</f>
        <v>288</v>
      </c>
      <c r="O1311" t="str">
        <f>IFERROR(VLOOKUP(C1311,Customers!$A$2:$F$301,5,FALSE()),"")</f>
        <v>Corporate</v>
      </c>
      <c r="P1311">
        <f>IFERROR(VLOOKUP(C1311,Customers!$A$2:$F$301,3,FALSE()),"")</f>
        <v>36</v>
      </c>
      <c r="Q1311">
        <f t="shared" si="60"/>
        <v>0.22162162162162163</v>
      </c>
      <c r="R1311">
        <f>IF(AND(COUNTIF($A$2:$A$2027,A1311)&gt;1,COUNTIF($A$2:A1311,A1311)=1),1,0)</f>
        <v>0</v>
      </c>
      <c r="S1311" t="b">
        <f>IFERROR(VLOOKUP(D1311,Products!$A$2:$F$61,6,FALSE()),"")</f>
        <v>1</v>
      </c>
      <c r="T1311" t="str">
        <f>IF(COUNTIF(Customers!$A$2:$A$301,C1311)=0,"Missing","OK")</f>
        <v>OK</v>
      </c>
      <c r="U1311" t="str">
        <f t="shared" si="61"/>
        <v>Bengaluru</v>
      </c>
      <c r="V1311">
        <f t="shared" si="62"/>
        <v>0</v>
      </c>
    </row>
    <row r="1312" spans="1:22" ht="15" customHeight="1" x14ac:dyDescent="0.35">
      <c r="A1312" s="3" t="s">
        <v>1737</v>
      </c>
      <c r="B1312" s="4">
        <v>45647</v>
      </c>
      <c r="C1312" s="3" t="s">
        <v>659</v>
      </c>
      <c r="D1312" s="3" t="s">
        <v>206</v>
      </c>
      <c r="E1312" s="3" t="s">
        <v>87</v>
      </c>
      <c r="F1312" s="5">
        <v>1</v>
      </c>
      <c r="G1312" s="5">
        <v>1220</v>
      </c>
      <c r="H1312" s="5">
        <v>15.2</v>
      </c>
      <c r="I1312" s="5">
        <v>1034.56</v>
      </c>
      <c r="J1312" s="3" t="s">
        <v>26</v>
      </c>
      <c r="K1312" s="3" t="s">
        <v>27</v>
      </c>
      <c r="L1312" t="str">
        <f>IFERROR(VLOOKUP(D1312,Products!$A$2:$F$61,3,FALSE()),"")</f>
        <v>Electronics</v>
      </c>
      <c r="M1312" t="str">
        <f>IFERROR(VLOOKUP(E1312,Sales_Reps!$A$2:$C$31,3,FALSE()),"")</f>
        <v>North</v>
      </c>
      <c r="N1312">
        <f>IFERROR(VLOOKUP(D1312,Products!$A$2:$F$61,4,FALSE()),"")</f>
        <v>517</v>
      </c>
      <c r="O1312" t="str">
        <f>IFERROR(VLOOKUP(C1312,Customers!$A$2:$F$301,5,FALSE()),"")</f>
        <v>Retail</v>
      </c>
      <c r="P1312">
        <f>IFERROR(VLOOKUP(C1312,Customers!$A$2:$F$301,3,FALSE()),"")</f>
        <v>48</v>
      </c>
      <c r="Q1312">
        <f t="shared" si="60"/>
        <v>0.57622950819672136</v>
      </c>
      <c r="R1312">
        <f>IF(AND(COUNTIF($A$2:$A$2027,A1312)&gt;1,COUNTIF($A$2:A1312,A1312)=1),1,0)</f>
        <v>0</v>
      </c>
      <c r="S1312" t="b">
        <f>IFERROR(VLOOKUP(D1312,Products!$A$2:$F$61,6,FALSE()),"")</f>
        <v>1</v>
      </c>
      <c r="T1312" t="str">
        <f>IF(COUNTIF(Customers!$A$2:$A$301,C1312)=0,"Missing","OK")</f>
        <v>OK</v>
      </c>
      <c r="U1312" t="str">
        <f t="shared" si="61"/>
        <v>Pune</v>
      </c>
      <c r="V1312">
        <f t="shared" si="62"/>
        <v>0</v>
      </c>
    </row>
    <row r="1313" spans="1:22" ht="15" customHeight="1" x14ac:dyDescent="0.35">
      <c r="A1313" s="3" t="s">
        <v>1738</v>
      </c>
      <c r="B1313" s="4">
        <v>45466</v>
      </c>
      <c r="C1313" s="3" t="s">
        <v>741</v>
      </c>
      <c r="D1313" s="3" t="s">
        <v>176</v>
      </c>
      <c r="E1313" s="3" t="s">
        <v>42</v>
      </c>
      <c r="F1313" s="5">
        <v>3</v>
      </c>
      <c r="G1313" s="5">
        <v>3640</v>
      </c>
      <c r="H1313" s="5">
        <v>12.3</v>
      </c>
      <c r="I1313" s="5">
        <v>9576.84</v>
      </c>
      <c r="J1313" s="3" t="s">
        <v>32</v>
      </c>
      <c r="K1313" s="3" t="s">
        <v>33</v>
      </c>
      <c r="L1313" t="str">
        <f>IFERROR(VLOOKUP(D1313,Products!$A$2:$F$61,3,FALSE()),"")</f>
        <v>Apparel</v>
      </c>
      <c r="M1313" t="str">
        <f>IFERROR(VLOOKUP(E1313,Sales_Reps!$A$2:$C$31,3,FALSE()),"")</f>
        <v>North</v>
      </c>
      <c r="N1313">
        <f>IFERROR(VLOOKUP(D1313,Products!$A$2:$F$61,4,FALSE()),"")</f>
        <v>2611</v>
      </c>
      <c r="O1313" t="str">
        <f>IFERROR(VLOOKUP(C1313,Customers!$A$2:$F$301,5,FALSE()),"")</f>
        <v>SMB</v>
      </c>
      <c r="P1313">
        <f>IFERROR(VLOOKUP(C1313,Customers!$A$2:$F$301,3,FALSE()),"")</f>
        <v>39</v>
      </c>
      <c r="Q1313">
        <f t="shared" si="60"/>
        <v>0.28269230769230769</v>
      </c>
      <c r="R1313">
        <f>IF(AND(COUNTIF($A$2:$A$2027,A1313)&gt;1,COUNTIF($A$2:A1313,A1313)=1),1,0)</f>
        <v>0</v>
      </c>
      <c r="S1313" t="b">
        <f>IFERROR(VLOOKUP(D1313,Products!$A$2:$F$61,6,FALSE()),"")</f>
        <v>1</v>
      </c>
      <c r="T1313" t="str">
        <f>IF(COUNTIF(Customers!$A$2:$A$301,C1313)=0,"Missing","OK")</f>
        <v>OK</v>
      </c>
      <c r="U1313" t="str">
        <f t="shared" si="61"/>
        <v>Chennai</v>
      </c>
      <c r="V1313">
        <f t="shared" si="62"/>
        <v>0</v>
      </c>
    </row>
    <row r="1314" spans="1:22" ht="15" customHeight="1" x14ac:dyDescent="0.35">
      <c r="A1314" s="3" t="s">
        <v>1739</v>
      </c>
      <c r="B1314" s="4">
        <v>45559</v>
      </c>
      <c r="C1314" s="3" t="s">
        <v>811</v>
      </c>
      <c r="D1314" s="3" t="s">
        <v>215</v>
      </c>
      <c r="E1314" s="3" t="s">
        <v>71</v>
      </c>
      <c r="F1314" s="5">
        <v>8</v>
      </c>
      <c r="G1314" s="5">
        <v>3020</v>
      </c>
      <c r="H1314" s="5">
        <v>28.2</v>
      </c>
      <c r="I1314" s="5">
        <v>17346.88</v>
      </c>
      <c r="J1314" s="3" t="s">
        <v>32</v>
      </c>
      <c r="K1314" s="3" t="s">
        <v>51</v>
      </c>
      <c r="L1314" t="str">
        <f>IFERROR(VLOOKUP(D1314,Products!$A$2:$F$61,3,FALSE()),"")</f>
        <v>Beauty</v>
      </c>
      <c r="M1314" t="str">
        <f>IFERROR(VLOOKUP(E1314,Sales_Reps!$A$2:$C$31,3,FALSE()),"")</f>
        <v>South</v>
      </c>
      <c r="N1314">
        <f>IFERROR(VLOOKUP(D1314,Products!$A$2:$F$61,4,FALSE()),"")</f>
        <v>1626</v>
      </c>
      <c r="O1314" t="str">
        <f>IFERROR(VLOOKUP(C1314,Customers!$A$2:$F$301,5,FALSE()),"")</f>
        <v>Corporate</v>
      </c>
      <c r="P1314">
        <f>IFERROR(VLOOKUP(C1314,Customers!$A$2:$F$301,3,FALSE()),"")</f>
        <v>62</v>
      </c>
      <c r="Q1314">
        <f t="shared" si="60"/>
        <v>0.46158940397350995</v>
      </c>
      <c r="R1314">
        <f>IF(AND(COUNTIF($A$2:$A$2027,A1314)&gt;1,COUNTIF($A$2:A1314,A1314)=1),1,0)</f>
        <v>0</v>
      </c>
      <c r="S1314" t="b">
        <f>IFERROR(VLOOKUP(D1314,Products!$A$2:$F$61,6,FALSE()),"")</f>
        <v>1</v>
      </c>
      <c r="T1314" t="str">
        <f>IF(COUNTIF(Customers!$A$2:$A$301,C1314)=0,"Missing","OK")</f>
        <v>OK</v>
      </c>
      <c r="U1314" t="str">
        <f t="shared" si="61"/>
        <v>Mumbai</v>
      </c>
      <c r="V1314">
        <f t="shared" si="62"/>
        <v>0</v>
      </c>
    </row>
    <row r="1315" spans="1:22" ht="15" customHeight="1" x14ac:dyDescent="0.35">
      <c r="A1315" s="3" t="s">
        <v>1740</v>
      </c>
      <c r="B1315" s="4">
        <v>45469</v>
      </c>
      <c r="C1315" s="3" t="s">
        <v>594</v>
      </c>
      <c r="D1315" s="3" t="s">
        <v>130</v>
      </c>
      <c r="E1315" s="3" t="s">
        <v>46</v>
      </c>
      <c r="F1315" s="5">
        <v>3</v>
      </c>
      <c r="G1315" s="5">
        <v>5100</v>
      </c>
      <c r="H1315" s="5">
        <v>7.8</v>
      </c>
      <c r="I1315" s="5">
        <v>14106.6</v>
      </c>
      <c r="J1315" s="3" t="s">
        <v>26</v>
      </c>
      <c r="K1315" s="3" t="s">
        <v>72</v>
      </c>
      <c r="L1315" t="str">
        <f>IFERROR(VLOOKUP(D1315,Products!$A$2:$F$61,3,FALSE()),"")</f>
        <v>Beauty</v>
      </c>
      <c r="M1315" t="str">
        <f>IFERROR(VLOOKUP(E1315,Sales_Reps!$A$2:$C$31,3,FALSE()),"")</f>
        <v>North</v>
      </c>
      <c r="N1315">
        <f>IFERROR(VLOOKUP(D1315,Products!$A$2:$F$61,4,FALSE()),"")</f>
        <v>2237</v>
      </c>
      <c r="O1315" t="str">
        <f>IFERROR(VLOOKUP(C1315,Customers!$A$2:$F$301,5,FALSE()),"")</f>
        <v>Retail</v>
      </c>
      <c r="P1315">
        <f>IFERROR(VLOOKUP(C1315,Customers!$A$2:$F$301,3,FALSE()),"")</f>
        <v>27</v>
      </c>
      <c r="Q1315">
        <f t="shared" si="60"/>
        <v>0.56137254901960787</v>
      </c>
      <c r="R1315">
        <f>IF(AND(COUNTIF($A$2:$A$2027,A1315)&gt;1,COUNTIF($A$2:A1315,A1315)=1),1,0)</f>
        <v>0</v>
      </c>
      <c r="S1315" t="b">
        <f>IFERROR(VLOOKUP(D1315,Products!$A$2:$F$61,6,FALSE()),"")</f>
        <v>1</v>
      </c>
      <c r="T1315" t="str">
        <f>IF(COUNTIF(Customers!$A$2:$A$301,C1315)=0,"Missing","OK")</f>
        <v>OK</v>
      </c>
      <c r="U1315" t="str">
        <f t="shared" si="61"/>
        <v>Hyderabad</v>
      </c>
      <c r="V1315">
        <f t="shared" si="62"/>
        <v>0</v>
      </c>
    </row>
    <row r="1316" spans="1:22" ht="15" customHeight="1" x14ac:dyDescent="0.35">
      <c r="A1316" s="3" t="s">
        <v>1741</v>
      </c>
      <c r="B1316" s="4">
        <v>45407</v>
      </c>
      <c r="C1316" s="3" t="s">
        <v>424</v>
      </c>
      <c r="D1316" s="3" t="s">
        <v>221</v>
      </c>
      <c r="E1316" s="3" t="s">
        <v>154</v>
      </c>
      <c r="F1316" s="5">
        <v>9</v>
      </c>
      <c r="G1316" s="5">
        <v>300</v>
      </c>
      <c r="H1316" s="5">
        <v>19</v>
      </c>
      <c r="I1316" s="5">
        <v>2187</v>
      </c>
      <c r="J1316" s="3" t="s">
        <v>26</v>
      </c>
      <c r="K1316" s="3" t="s">
        <v>27</v>
      </c>
      <c r="L1316" t="str">
        <f>IFERROR(VLOOKUP(D1316,Products!$A$2:$F$61,3,FALSE()),"")</f>
        <v>Electronics</v>
      </c>
      <c r="M1316" t="str">
        <f>IFERROR(VLOOKUP(E1316,Sales_Reps!$A$2:$C$31,3,FALSE()),"")</f>
        <v>North</v>
      </c>
      <c r="N1316">
        <f>IFERROR(VLOOKUP(D1316,Products!$A$2:$F$61,4,FALSE()),"")</f>
        <v>128</v>
      </c>
      <c r="O1316" t="str">
        <f>IFERROR(VLOOKUP(C1316,Customers!$A$2:$F$301,5,FALSE()),"")</f>
        <v>Retail</v>
      </c>
      <c r="P1316">
        <f>IFERROR(VLOOKUP(C1316,Customers!$A$2:$F$301,3,FALSE()),"")</f>
        <v>49</v>
      </c>
      <c r="Q1316">
        <f t="shared" si="60"/>
        <v>0.57333333333333336</v>
      </c>
      <c r="R1316">
        <f>IF(AND(COUNTIF($A$2:$A$2027,A1316)&gt;1,COUNTIF($A$2:A1316,A1316)=1),1,0)</f>
        <v>0</v>
      </c>
      <c r="S1316" t="b">
        <f>IFERROR(VLOOKUP(D1316,Products!$A$2:$F$61,6,FALSE()),"")</f>
        <v>1</v>
      </c>
      <c r="T1316" t="str">
        <f>IF(COUNTIF(Customers!$A$2:$A$301,C1316)=0,"Missing","OK")</f>
        <v>OK</v>
      </c>
      <c r="U1316" t="str">
        <f t="shared" si="61"/>
        <v>Pune</v>
      </c>
      <c r="V1316">
        <f t="shared" si="62"/>
        <v>0</v>
      </c>
    </row>
    <row r="1317" spans="1:22" ht="15" customHeight="1" x14ac:dyDescent="0.35">
      <c r="A1317" s="3" t="s">
        <v>1742</v>
      </c>
      <c r="B1317" s="4">
        <v>45634</v>
      </c>
      <c r="C1317" s="3" t="s">
        <v>133</v>
      </c>
      <c r="D1317" s="3" t="s">
        <v>325</v>
      </c>
      <c r="E1317" s="3" t="s">
        <v>25</v>
      </c>
      <c r="F1317" s="5">
        <v>10</v>
      </c>
      <c r="G1317" s="5">
        <v>2290</v>
      </c>
      <c r="H1317" s="5">
        <v>27.7</v>
      </c>
      <c r="I1317" s="5">
        <v>16556.7</v>
      </c>
      <c r="J1317" s="3" t="s">
        <v>26</v>
      </c>
      <c r="K1317" s="3" t="s">
        <v>27</v>
      </c>
      <c r="L1317" t="str">
        <f>IFERROR(VLOOKUP(D1317,Products!$A$2:$F$61,3,FALSE()),"")</f>
        <v>Beauty</v>
      </c>
      <c r="M1317" t="str">
        <f>IFERROR(VLOOKUP(E1317,Sales_Reps!$A$2:$C$31,3,FALSE()),"")</f>
        <v>North</v>
      </c>
      <c r="N1317">
        <f>IFERROR(VLOOKUP(D1317,Products!$A$2:$F$61,4,FALSE()),"")</f>
        <v>1219</v>
      </c>
      <c r="O1317" t="str">
        <f>IFERROR(VLOOKUP(C1317,Customers!$A$2:$F$301,5,FALSE()),"")</f>
        <v>SMB</v>
      </c>
      <c r="P1317">
        <f>IFERROR(VLOOKUP(C1317,Customers!$A$2:$F$301,3,FALSE()),"")</f>
        <v>44</v>
      </c>
      <c r="Q1317">
        <f t="shared" si="60"/>
        <v>0.46768558951965067</v>
      </c>
      <c r="R1317">
        <f>IF(AND(COUNTIF($A$2:$A$2027,A1317)&gt;1,COUNTIF($A$2:A1317,A1317)=1),1,0)</f>
        <v>0</v>
      </c>
      <c r="S1317" t="b">
        <f>IFERROR(VLOOKUP(D1317,Products!$A$2:$F$61,6,FALSE()),"")</f>
        <v>1</v>
      </c>
      <c r="T1317" t="str">
        <f>IF(COUNTIF(Customers!$A$2:$A$301,C1317)=0,"Missing","OK")</f>
        <v>OK</v>
      </c>
      <c r="U1317" t="str">
        <f t="shared" si="61"/>
        <v>Pune</v>
      </c>
      <c r="V1317">
        <f t="shared" si="62"/>
        <v>0</v>
      </c>
    </row>
    <row r="1318" spans="1:22" ht="15" customHeight="1" x14ac:dyDescent="0.35">
      <c r="A1318" s="3" t="s">
        <v>1743</v>
      </c>
      <c r="B1318" s="4">
        <v>45454</v>
      </c>
      <c r="C1318" s="3" t="s">
        <v>117</v>
      </c>
      <c r="D1318" s="3" t="s">
        <v>176</v>
      </c>
      <c r="E1318" s="3" t="s">
        <v>55</v>
      </c>
      <c r="F1318" s="5">
        <v>9</v>
      </c>
      <c r="G1318" s="5">
        <v>3640</v>
      </c>
      <c r="H1318" s="5">
        <v>20.100000000000001</v>
      </c>
      <c r="I1318" s="5">
        <v>26175.24</v>
      </c>
      <c r="J1318" s="3" t="s">
        <v>26</v>
      </c>
      <c r="K1318" s="3" t="s">
        <v>33</v>
      </c>
      <c r="L1318" t="str">
        <f>IFERROR(VLOOKUP(D1318,Products!$A$2:$F$61,3,FALSE()),"")</f>
        <v>Apparel</v>
      </c>
      <c r="M1318" t="str">
        <f>IFERROR(VLOOKUP(E1318,Sales_Reps!$A$2:$C$31,3,FALSE()),"")</f>
        <v>West</v>
      </c>
      <c r="N1318">
        <f>IFERROR(VLOOKUP(D1318,Products!$A$2:$F$61,4,FALSE()),"")</f>
        <v>2611</v>
      </c>
      <c r="O1318" t="str">
        <f>IFERROR(VLOOKUP(C1318,Customers!$A$2:$F$301,5,FALSE()),"")</f>
        <v>Corporate</v>
      </c>
      <c r="P1318">
        <f>IFERROR(VLOOKUP(C1318,Customers!$A$2:$F$301,3,FALSE()),"")</f>
        <v>55</v>
      </c>
      <c r="Q1318">
        <f t="shared" si="60"/>
        <v>0.28269230769230769</v>
      </c>
      <c r="R1318">
        <f>IF(AND(COUNTIF($A$2:$A$2027,A1318)&gt;1,COUNTIF($A$2:A1318,A1318)=1),1,0)</f>
        <v>0</v>
      </c>
      <c r="S1318" t="b">
        <f>IFERROR(VLOOKUP(D1318,Products!$A$2:$F$61,6,FALSE()),"")</f>
        <v>1</v>
      </c>
      <c r="T1318" t="str">
        <f>IF(COUNTIF(Customers!$A$2:$A$301,C1318)=0,"Missing","OK")</f>
        <v>OK</v>
      </c>
      <c r="U1318" t="str">
        <f t="shared" si="61"/>
        <v>Chennai</v>
      </c>
      <c r="V1318">
        <f t="shared" si="62"/>
        <v>0</v>
      </c>
    </row>
    <row r="1319" spans="1:22" ht="15" customHeight="1" x14ac:dyDescent="0.35">
      <c r="A1319" s="3" t="s">
        <v>1744</v>
      </c>
      <c r="B1319" s="4">
        <v>45565</v>
      </c>
      <c r="C1319" s="3" t="s">
        <v>545</v>
      </c>
      <c r="D1319" s="3" t="s">
        <v>30</v>
      </c>
      <c r="E1319" s="3" t="s">
        <v>224</v>
      </c>
      <c r="F1319" s="5">
        <v>4</v>
      </c>
      <c r="G1319" s="5">
        <v>820</v>
      </c>
      <c r="H1319" s="5">
        <v>7.6</v>
      </c>
      <c r="I1319" s="5">
        <v>3030.72</v>
      </c>
      <c r="J1319" s="3" t="s">
        <v>26</v>
      </c>
      <c r="K1319" s="3" t="s">
        <v>51</v>
      </c>
      <c r="L1319" t="str">
        <f>IFERROR(VLOOKUP(D1319,Products!$A$2:$F$61,3,FALSE()),"")</f>
        <v>Apparel</v>
      </c>
      <c r="M1319" t="str">
        <f>IFERROR(VLOOKUP(E1319,Sales_Reps!$A$2:$C$31,3,FALSE()),"")</f>
        <v>East</v>
      </c>
      <c r="N1319">
        <f>IFERROR(VLOOKUP(D1319,Products!$A$2:$F$61,4,FALSE()),"")</f>
        <v>391</v>
      </c>
      <c r="O1319" t="str">
        <f>IFERROR(VLOOKUP(C1319,Customers!$A$2:$F$301,5,FALSE()),"")</f>
        <v>Retail</v>
      </c>
      <c r="P1319">
        <f>IFERROR(VLOOKUP(C1319,Customers!$A$2:$F$301,3,FALSE()),"")</f>
        <v>52</v>
      </c>
      <c r="Q1319">
        <f t="shared" si="60"/>
        <v>0.52317073170731709</v>
      </c>
      <c r="R1319">
        <f>IF(AND(COUNTIF($A$2:$A$2027,A1319)&gt;1,COUNTIF($A$2:A1319,A1319)=1),1,0)</f>
        <v>0</v>
      </c>
      <c r="S1319" t="b">
        <f>IFERROR(VLOOKUP(D1319,Products!$A$2:$F$61,6,FALSE()),"")</f>
        <v>1</v>
      </c>
      <c r="T1319" t="str">
        <f>IF(COUNTIF(Customers!$A$2:$A$301,C1319)=0,"Missing","OK")</f>
        <v>OK</v>
      </c>
      <c r="U1319" t="str">
        <f t="shared" si="61"/>
        <v>Mumbai</v>
      </c>
      <c r="V1319">
        <f t="shared" si="62"/>
        <v>0</v>
      </c>
    </row>
    <row r="1320" spans="1:22" ht="15" customHeight="1" x14ac:dyDescent="0.35">
      <c r="A1320" s="3" t="s">
        <v>1745</v>
      </c>
      <c r="B1320" s="4">
        <v>45443</v>
      </c>
      <c r="C1320" s="3" t="s">
        <v>1297</v>
      </c>
      <c r="D1320" s="3" t="s">
        <v>66</v>
      </c>
      <c r="E1320" s="3" t="s">
        <v>37</v>
      </c>
      <c r="F1320" s="5">
        <v>1</v>
      </c>
      <c r="G1320" s="5">
        <v>970</v>
      </c>
      <c r="H1320" s="5">
        <v>1.7</v>
      </c>
      <c r="I1320" s="5">
        <v>953.51</v>
      </c>
      <c r="J1320" s="3" t="s">
        <v>26</v>
      </c>
      <c r="K1320" s="3" t="s">
        <v>51</v>
      </c>
      <c r="L1320" t="str">
        <f>IFERROR(VLOOKUP(D1320,Products!$A$2:$F$61,3,FALSE()),"")</f>
        <v>Grocery</v>
      </c>
      <c r="M1320" t="str">
        <f>IFERROR(VLOOKUP(E1320,Sales_Reps!$A$2:$C$31,3,FALSE()),"")</f>
        <v>South</v>
      </c>
      <c r="N1320">
        <f>IFERROR(VLOOKUP(D1320,Products!$A$2:$F$61,4,FALSE()),"")</f>
        <v>434</v>
      </c>
      <c r="O1320" t="str">
        <f>IFERROR(VLOOKUP(C1320,Customers!$A$2:$F$301,5,FALSE()),"")</f>
        <v>Corporate</v>
      </c>
      <c r="P1320">
        <f>IFERROR(VLOOKUP(C1320,Customers!$A$2:$F$301,3,FALSE()),"")</f>
        <v>42</v>
      </c>
      <c r="Q1320">
        <f t="shared" si="60"/>
        <v>0.5525773195876289</v>
      </c>
      <c r="R1320">
        <f>IF(AND(COUNTIF($A$2:$A$2027,A1320)&gt;1,COUNTIF($A$2:A1320,A1320)=1),1,0)</f>
        <v>0</v>
      </c>
      <c r="S1320" t="b">
        <f>IFERROR(VLOOKUP(D1320,Products!$A$2:$F$61,6,FALSE()),"")</f>
        <v>1</v>
      </c>
      <c r="T1320" t="str">
        <f>IF(COUNTIF(Customers!$A$2:$A$301,C1320)=0,"Missing","OK")</f>
        <v>OK</v>
      </c>
      <c r="U1320" t="str">
        <f t="shared" si="61"/>
        <v>Mumbai</v>
      </c>
      <c r="V1320">
        <f t="shared" si="62"/>
        <v>0</v>
      </c>
    </row>
    <row r="1321" spans="1:22" ht="15" customHeight="1" x14ac:dyDescent="0.35">
      <c r="A1321" s="3" t="s">
        <v>1746</v>
      </c>
      <c r="B1321" s="4">
        <v>45318</v>
      </c>
      <c r="C1321" s="3" t="s">
        <v>69</v>
      </c>
      <c r="D1321" s="3" t="s">
        <v>598</v>
      </c>
      <c r="E1321" s="3" t="s">
        <v>60</v>
      </c>
      <c r="F1321" s="5">
        <v>5</v>
      </c>
      <c r="G1321" s="5">
        <v>3560</v>
      </c>
      <c r="H1321" s="5">
        <v>10.5</v>
      </c>
      <c r="I1321" s="5">
        <v>15931</v>
      </c>
      <c r="J1321" s="3" t="s">
        <v>26</v>
      </c>
      <c r="K1321" s="3" t="s">
        <v>72</v>
      </c>
      <c r="L1321" t="str">
        <f>IFERROR(VLOOKUP(D1321,Products!$A$2:$F$61,3,FALSE()),"")</f>
        <v>Apparel</v>
      </c>
      <c r="M1321" t="str">
        <f>IFERROR(VLOOKUP(E1321,Sales_Reps!$A$2:$C$31,3,FALSE()),"")</f>
        <v>East</v>
      </c>
      <c r="N1321">
        <f>IFERROR(VLOOKUP(D1321,Products!$A$2:$F$61,4,FALSE()),"")</f>
        <v>2629</v>
      </c>
      <c r="O1321" t="str">
        <f>IFERROR(VLOOKUP(C1321,Customers!$A$2:$F$301,5,FALSE()),"")</f>
        <v>Retail</v>
      </c>
      <c r="P1321">
        <f>IFERROR(VLOOKUP(C1321,Customers!$A$2:$F$301,3,FALSE()),"")</f>
        <v>60</v>
      </c>
      <c r="Q1321">
        <f t="shared" si="60"/>
        <v>0.26151685393258428</v>
      </c>
      <c r="R1321">
        <f>IF(AND(COUNTIF($A$2:$A$2027,A1321)&gt;1,COUNTIF($A$2:A1321,A1321)=1),1,0)</f>
        <v>0</v>
      </c>
      <c r="S1321" t="b">
        <f>IFERROR(VLOOKUP(D1321,Products!$A$2:$F$61,6,FALSE()),"")</f>
        <v>1</v>
      </c>
      <c r="T1321" t="str">
        <f>IF(COUNTIF(Customers!$A$2:$A$301,C1321)=0,"Missing","OK")</f>
        <v>OK</v>
      </c>
      <c r="U1321" t="str">
        <f t="shared" si="61"/>
        <v>Hyderabad</v>
      </c>
      <c r="V1321">
        <f t="shared" si="62"/>
        <v>0</v>
      </c>
    </row>
    <row r="1322" spans="1:22" ht="15" customHeight="1" x14ac:dyDescent="0.35">
      <c r="A1322" s="3" t="s">
        <v>1747</v>
      </c>
      <c r="B1322" s="4">
        <v>45308</v>
      </c>
      <c r="C1322" s="3" t="s">
        <v>292</v>
      </c>
      <c r="D1322" s="3" t="s">
        <v>441</v>
      </c>
      <c r="E1322" s="3" t="s">
        <v>143</v>
      </c>
      <c r="F1322" s="5">
        <v>6</v>
      </c>
      <c r="G1322" s="5">
        <v>1090</v>
      </c>
      <c r="H1322" s="5">
        <v>2.4</v>
      </c>
      <c r="I1322" s="5">
        <v>6383.04</v>
      </c>
      <c r="J1322" s="3" t="s">
        <v>32</v>
      </c>
      <c r="K1322" s="3" t="s">
        <v>33</v>
      </c>
      <c r="L1322" t="str">
        <f>IFERROR(VLOOKUP(D1322,Products!$A$2:$F$61,3,FALSE()),"")</f>
        <v>Home</v>
      </c>
      <c r="M1322" t="str">
        <f>IFERROR(VLOOKUP(E1322,Sales_Reps!$A$2:$C$31,3,FALSE()),"")</f>
        <v>South</v>
      </c>
      <c r="N1322">
        <f>IFERROR(VLOOKUP(D1322,Products!$A$2:$F$61,4,FALSE()),"")</f>
        <v>464</v>
      </c>
      <c r="O1322" t="str">
        <f>IFERROR(VLOOKUP(C1322,Customers!$A$2:$F$301,5,FALSE()),"")</f>
        <v>Retail</v>
      </c>
      <c r="P1322">
        <f>IFERROR(VLOOKUP(C1322,Customers!$A$2:$F$301,3,FALSE()),"")</f>
        <v>60</v>
      </c>
      <c r="Q1322">
        <f t="shared" si="60"/>
        <v>0.57431192660550456</v>
      </c>
      <c r="R1322">
        <f>IF(AND(COUNTIF($A$2:$A$2027,A1322)&gt;1,COUNTIF($A$2:A1322,A1322)=1),1,0)</f>
        <v>0</v>
      </c>
      <c r="S1322" t="b">
        <f>IFERROR(VLOOKUP(D1322,Products!$A$2:$F$61,6,FALSE()),"")</f>
        <v>1</v>
      </c>
      <c r="T1322" t="str">
        <f>IF(COUNTIF(Customers!$A$2:$A$301,C1322)=0,"Missing","OK")</f>
        <v>OK</v>
      </c>
      <c r="U1322" t="str">
        <f t="shared" si="61"/>
        <v>Chennai</v>
      </c>
      <c r="V1322">
        <f t="shared" si="62"/>
        <v>0</v>
      </c>
    </row>
    <row r="1323" spans="1:22" ht="15" customHeight="1" x14ac:dyDescent="0.35">
      <c r="A1323" s="3" t="s">
        <v>1748</v>
      </c>
      <c r="B1323" s="4">
        <v>45306</v>
      </c>
      <c r="C1323" s="3" t="s">
        <v>646</v>
      </c>
      <c r="D1323" s="3" t="s">
        <v>218</v>
      </c>
      <c r="E1323" s="3" t="s">
        <v>177</v>
      </c>
      <c r="F1323" s="5">
        <v>6</v>
      </c>
      <c r="G1323" s="5">
        <v>2660</v>
      </c>
      <c r="H1323" s="5">
        <v>6.4</v>
      </c>
      <c r="I1323" s="5">
        <v>14938.56</v>
      </c>
      <c r="J1323" s="3" t="s">
        <v>26</v>
      </c>
      <c r="K1323" s="3" t="s">
        <v>51</v>
      </c>
      <c r="L1323" t="str">
        <f>IFERROR(VLOOKUP(D1323,Products!$A$2:$F$61,3,FALSE()),"")</f>
        <v>Electronics</v>
      </c>
      <c r="M1323" t="str">
        <f>IFERROR(VLOOKUP(E1323,Sales_Reps!$A$2:$C$31,3,FALSE()),"")</f>
        <v>East</v>
      </c>
      <c r="N1323">
        <f>IFERROR(VLOOKUP(D1323,Products!$A$2:$F$61,4,FALSE()),"")</f>
        <v>1259</v>
      </c>
      <c r="O1323" t="str">
        <f>IFERROR(VLOOKUP(C1323,Customers!$A$2:$F$301,5,FALSE()),"")</f>
        <v>Retail</v>
      </c>
      <c r="P1323">
        <f>IFERROR(VLOOKUP(C1323,Customers!$A$2:$F$301,3,FALSE()),"")</f>
        <v>33</v>
      </c>
      <c r="Q1323">
        <f t="shared" si="60"/>
        <v>0.52669172932330832</v>
      </c>
      <c r="R1323">
        <f>IF(AND(COUNTIF($A$2:$A$2027,A1323)&gt;1,COUNTIF($A$2:A1323,A1323)=1),1,0)</f>
        <v>0</v>
      </c>
      <c r="S1323" t="b">
        <f>IFERROR(VLOOKUP(D1323,Products!$A$2:$F$61,6,FALSE()),"")</f>
        <v>0</v>
      </c>
      <c r="T1323" t="str">
        <f>IF(COUNTIF(Customers!$A$2:$A$301,C1323)=0,"Missing","OK")</f>
        <v>OK</v>
      </c>
      <c r="U1323" t="str">
        <f t="shared" si="61"/>
        <v>Mumbai</v>
      </c>
      <c r="V1323">
        <f t="shared" si="62"/>
        <v>0</v>
      </c>
    </row>
    <row r="1324" spans="1:22" ht="15" customHeight="1" x14ac:dyDescent="0.35">
      <c r="A1324" s="3" t="s">
        <v>1749</v>
      </c>
      <c r="B1324" s="4">
        <v>45432</v>
      </c>
      <c r="C1324" s="3" t="s">
        <v>263</v>
      </c>
      <c r="D1324" s="3" t="s">
        <v>347</v>
      </c>
      <c r="E1324" s="3" t="s">
        <v>154</v>
      </c>
      <c r="F1324" s="5">
        <v>5</v>
      </c>
      <c r="G1324" s="5">
        <v>3970</v>
      </c>
      <c r="H1324" s="5">
        <v>18.8</v>
      </c>
      <c r="I1324" s="5">
        <v>16118.2</v>
      </c>
      <c r="J1324" s="3" t="s">
        <v>32</v>
      </c>
      <c r="K1324" s="3" t="s">
        <v>72</v>
      </c>
      <c r="L1324" t="str">
        <f>IFERROR(VLOOKUP(D1324,Products!$A$2:$F$61,3,FALSE()),"")</f>
        <v>Electronics</v>
      </c>
      <c r="M1324" t="str">
        <f>IFERROR(VLOOKUP(E1324,Sales_Reps!$A$2:$C$31,3,FALSE()),"")</f>
        <v>North</v>
      </c>
      <c r="N1324">
        <f>IFERROR(VLOOKUP(D1324,Products!$A$2:$F$61,4,FALSE()),"")</f>
        <v>2865</v>
      </c>
      <c r="O1324" t="str">
        <f>IFERROR(VLOOKUP(C1324,Customers!$A$2:$F$301,5,FALSE()),"")</f>
        <v>Retail</v>
      </c>
      <c r="P1324">
        <f>IFERROR(VLOOKUP(C1324,Customers!$A$2:$F$301,3,FALSE()),"")</f>
        <v>28</v>
      </c>
      <c r="Q1324">
        <f t="shared" si="60"/>
        <v>0.27833753148614609</v>
      </c>
      <c r="R1324">
        <f>IF(AND(COUNTIF($A$2:$A$2027,A1324)&gt;1,COUNTIF($A$2:A1324,A1324)=1),1,0)</f>
        <v>0</v>
      </c>
      <c r="S1324" t="b">
        <f>IFERROR(VLOOKUP(D1324,Products!$A$2:$F$61,6,FALSE()),"")</f>
        <v>1</v>
      </c>
      <c r="T1324" t="str">
        <f>IF(COUNTIF(Customers!$A$2:$A$301,C1324)=0,"Missing","OK")</f>
        <v>OK</v>
      </c>
      <c r="U1324" t="str">
        <f t="shared" si="61"/>
        <v>Hyderabad</v>
      </c>
      <c r="V1324">
        <f t="shared" si="62"/>
        <v>0</v>
      </c>
    </row>
    <row r="1325" spans="1:22" ht="15" customHeight="1" x14ac:dyDescent="0.35">
      <c r="A1325" s="3" t="s">
        <v>1750</v>
      </c>
      <c r="B1325" s="4">
        <v>45369</v>
      </c>
      <c r="C1325" s="3" t="s">
        <v>275</v>
      </c>
      <c r="D1325" s="3" t="s">
        <v>454</v>
      </c>
      <c r="E1325" s="3" t="s">
        <v>97</v>
      </c>
      <c r="F1325" s="5">
        <v>7</v>
      </c>
      <c r="G1325" s="5">
        <v>6940</v>
      </c>
      <c r="H1325" s="5">
        <v>23.8</v>
      </c>
      <c r="I1325" s="5">
        <v>37017.96</v>
      </c>
      <c r="J1325" s="3" t="s">
        <v>83</v>
      </c>
      <c r="K1325" s="3" t="s">
        <v>51</v>
      </c>
      <c r="L1325" t="str">
        <f>IFERROR(VLOOKUP(D1325,Products!$A$2:$F$61,3,FALSE()),"")</f>
        <v>Sports</v>
      </c>
      <c r="M1325" t="str">
        <f>IFERROR(VLOOKUP(E1325,Sales_Reps!$A$2:$C$31,3,FALSE()),"")</f>
        <v>East</v>
      </c>
      <c r="N1325">
        <f>IFERROR(VLOOKUP(D1325,Products!$A$2:$F$61,4,FALSE()),"")</f>
        <v>2827</v>
      </c>
      <c r="O1325" t="str">
        <f>IFERROR(VLOOKUP(C1325,Customers!$A$2:$F$301,5,FALSE()),"")</f>
        <v>Retail</v>
      </c>
      <c r="P1325">
        <f>IFERROR(VLOOKUP(C1325,Customers!$A$2:$F$301,3,FALSE()),"")</f>
        <v>49</v>
      </c>
      <c r="Q1325">
        <f t="shared" si="60"/>
        <v>0.5926512968299712</v>
      </c>
      <c r="R1325">
        <f>IF(AND(COUNTIF($A$2:$A$2027,A1325)&gt;1,COUNTIF($A$2:A1325,A1325)=1),1,0)</f>
        <v>0</v>
      </c>
      <c r="S1325" t="b">
        <f>IFERROR(VLOOKUP(D1325,Products!$A$2:$F$61,6,FALSE()),"")</f>
        <v>1</v>
      </c>
      <c r="T1325" t="str">
        <f>IF(COUNTIF(Customers!$A$2:$A$301,C1325)=0,"Missing","OK")</f>
        <v>OK</v>
      </c>
      <c r="U1325" t="str">
        <f t="shared" si="61"/>
        <v>Mumbai</v>
      </c>
      <c r="V1325">
        <f t="shared" si="62"/>
        <v>0</v>
      </c>
    </row>
    <row r="1326" spans="1:22" ht="15" customHeight="1" x14ac:dyDescent="0.35">
      <c r="A1326" s="3" t="s">
        <v>1751</v>
      </c>
      <c r="B1326" s="4">
        <v>45544</v>
      </c>
      <c r="C1326" s="3" t="s">
        <v>582</v>
      </c>
      <c r="D1326" s="3" t="s">
        <v>90</v>
      </c>
      <c r="E1326" s="3" t="s">
        <v>78</v>
      </c>
      <c r="F1326" s="5">
        <v>3</v>
      </c>
      <c r="G1326" s="5">
        <v>2400</v>
      </c>
      <c r="H1326" s="5">
        <v>9.8000000000000007</v>
      </c>
      <c r="I1326" s="5">
        <v>6494.4</v>
      </c>
      <c r="J1326" s="3" t="s">
        <v>26</v>
      </c>
      <c r="K1326" s="3" t="s">
        <v>51</v>
      </c>
      <c r="L1326" t="str">
        <f>IFERROR(VLOOKUP(D1326,Products!$A$2:$F$61,3,FALSE()),"")</f>
        <v>Sports</v>
      </c>
      <c r="M1326" t="str">
        <f>IFERROR(VLOOKUP(E1326,Sales_Reps!$A$2:$C$31,3,FALSE()),"")</f>
        <v>North</v>
      </c>
      <c r="N1326">
        <f>IFERROR(VLOOKUP(D1326,Products!$A$2:$F$61,4,FALSE()),"")</f>
        <v>974</v>
      </c>
      <c r="O1326" t="str">
        <f>IFERROR(VLOOKUP(C1326,Customers!$A$2:$F$301,5,FALSE()),"")</f>
        <v>SMB</v>
      </c>
      <c r="P1326">
        <f>IFERROR(VLOOKUP(C1326,Customers!$A$2:$F$301,3,FALSE()),"")</f>
        <v>27</v>
      </c>
      <c r="Q1326">
        <f t="shared" si="60"/>
        <v>0.59416666666666662</v>
      </c>
      <c r="R1326">
        <f>IF(AND(COUNTIF($A$2:$A$2027,A1326)&gt;1,COUNTIF($A$2:A1326,A1326)=1),1,0)</f>
        <v>0</v>
      </c>
      <c r="S1326" t="b">
        <f>IFERROR(VLOOKUP(D1326,Products!$A$2:$F$61,6,FALSE()),"")</f>
        <v>1</v>
      </c>
      <c r="T1326" t="str">
        <f>IF(COUNTIF(Customers!$A$2:$A$301,C1326)=0,"Missing","OK")</f>
        <v>OK</v>
      </c>
      <c r="U1326" t="str">
        <f t="shared" si="61"/>
        <v>Mumbai</v>
      </c>
      <c r="V1326">
        <f t="shared" si="62"/>
        <v>0</v>
      </c>
    </row>
    <row r="1327" spans="1:22" ht="15" customHeight="1" x14ac:dyDescent="0.35">
      <c r="A1327" s="3" t="s">
        <v>1752</v>
      </c>
      <c r="B1327" s="4">
        <v>45395</v>
      </c>
      <c r="C1327" s="3" t="s">
        <v>1189</v>
      </c>
      <c r="D1327" s="3" t="s">
        <v>100</v>
      </c>
      <c r="E1327" s="3" t="s">
        <v>93</v>
      </c>
      <c r="F1327" s="5">
        <v>8</v>
      </c>
      <c r="G1327" s="5">
        <v>3450</v>
      </c>
      <c r="H1327" s="5">
        <v>26.6</v>
      </c>
      <c r="I1327" s="5">
        <v>20258.400000000001</v>
      </c>
      <c r="J1327" s="3" t="s">
        <v>79</v>
      </c>
      <c r="K1327" s="3" t="s">
        <v>27</v>
      </c>
      <c r="L1327" t="str">
        <f>IFERROR(VLOOKUP(D1327,Products!$A$2:$F$61,3,FALSE()),"")</f>
        <v>Sports</v>
      </c>
      <c r="M1327" t="str">
        <f>IFERROR(VLOOKUP(E1327,Sales_Reps!$A$2:$C$31,3,FALSE()),"")</f>
        <v>East</v>
      </c>
      <c r="N1327">
        <f>IFERROR(VLOOKUP(D1327,Products!$A$2:$F$61,4,FALSE()),"")</f>
        <v>2467</v>
      </c>
      <c r="O1327" t="str">
        <f>IFERROR(VLOOKUP(C1327,Customers!$A$2:$F$301,5,FALSE()),"")</f>
        <v>Retail</v>
      </c>
      <c r="P1327">
        <f>IFERROR(VLOOKUP(C1327,Customers!$A$2:$F$301,3,FALSE()),"")</f>
        <v>44</v>
      </c>
      <c r="Q1327">
        <f t="shared" si="60"/>
        <v>0.28492753623188405</v>
      </c>
      <c r="R1327">
        <f>IF(AND(COUNTIF($A$2:$A$2027,A1327)&gt;1,COUNTIF($A$2:A1327,A1327)=1),1,0)</f>
        <v>0</v>
      </c>
      <c r="S1327" t="b">
        <f>IFERROR(VLOOKUP(D1327,Products!$A$2:$F$61,6,FALSE()),"")</f>
        <v>1</v>
      </c>
      <c r="T1327" t="str">
        <f>IF(COUNTIF(Customers!$A$2:$A$301,C1327)=0,"Missing","OK")</f>
        <v>OK</v>
      </c>
      <c r="U1327" t="str">
        <f t="shared" si="61"/>
        <v>Pune</v>
      </c>
      <c r="V1327">
        <f t="shared" si="62"/>
        <v>0</v>
      </c>
    </row>
    <row r="1328" spans="1:22" ht="15" customHeight="1" x14ac:dyDescent="0.35">
      <c r="A1328" s="3" t="s">
        <v>1753</v>
      </c>
      <c r="B1328" s="4">
        <v>45389</v>
      </c>
      <c r="C1328" s="3" t="s">
        <v>379</v>
      </c>
      <c r="D1328" s="3" t="s">
        <v>206</v>
      </c>
      <c r="E1328" s="3" t="s">
        <v>78</v>
      </c>
      <c r="F1328" s="5">
        <v>4</v>
      </c>
      <c r="G1328" s="5">
        <v>1220</v>
      </c>
      <c r="H1328" s="5">
        <v>5.5</v>
      </c>
      <c r="I1328" s="5">
        <v>4611.6000000000004</v>
      </c>
      <c r="J1328" s="3" t="s">
        <v>26</v>
      </c>
      <c r="K1328" s="3" t="s">
        <v>27</v>
      </c>
      <c r="L1328" t="str">
        <f>IFERROR(VLOOKUP(D1328,Products!$A$2:$F$61,3,FALSE()),"")</f>
        <v>Electronics</v>
      </c>
      <c r="M1328" t="str">
        <f>IFERROR(VLOOKUP(E1328,Sales_Reps!$A$2:$C$31,3,FALSE()),"")</f>
        <v>North</v>
      </c>
      <c r="N1328">
        <f>IFERROR(VLOOKUP(D1328,Products!$A$2:$F$61,4,FALSE()),"")</f>
        <v>517</v>
      </c>
      <c r="O1328" t="str">
        <f>IFERROR(VLOOKUP(C1328,Customers!$A$2:$F$301,5,FALSE()),"")</f>
        <v>SMB</v>
      </c>
      <c r="P1328">
        <f>IFERROR(VLOOKUP(C1328,Customers!$A$2:$F$301,3,FALSE()),"")</f>
        <v>30</v>
      </c>
      <c r="Q1328">
        <f t="shared" si="60"/>
        <v>0.57622950819672136</v>
      </c>
      <c r="R1328">
        <f>IF(AND(COUNTIF($A$2:$A$2027,A1328)&gt;1,COUNTIF($A$2:A1328,A1328)=1),1,0)</f>
        <v>0</v>
      </c>
      <c r="S1328" t="b">
        <f>IFERROR(VLOOKUP(D1328,Products!$A$2:$F$61,6,FALSE()),"")</f>
        <v>1</v>
      </c>
      <c r="T1328" t="str">
        <f>IF(COUNTIF(Customers!$A$2:$A$301,C1328)=0,"Missing","OK")</f>
        <v>OK</v>
      </c>
      <c r="U1328" t="str">
        <f t="shared" si="61"/>
        <v>Pune</v>
      </c>
      <c r="V1328">
        <f t="shared" si="62"/>
        <v>0</v>
      </c>
    </row>
    <row r="1329" spans="1:22" ht="15" customHeight="1" x14ac:dyDescent="0.35">
      <c r="A1329" s="3" t="s">
        <v>1754</v>
      </c>
      <c r="B1329" s="4">
        <v>45536</v>
      </c>
      <c r="C1329" s="3" t="s">
        <v>1755</v>
      </c>
      <c r="D1329" s="3" t="s">
        <v>231</v>
      </c>
      <c r="E1329" s="3" t="s">
        <v>25</v>
      </c>
      <c r="F1329" s="5">
        <v>1</v>
      </c>
      <c r="G1329" s="5">
        <v>620</v>
      </c>
      <c r="H1329" s="5">
        <v>22.3</v>
      </c>
      <c r="I1329" s="5">
        <v>481.74</v>
      </c>
      <c r="J1329" s="3" t="s">
        <v>32</v>
      </c>
      <c r="K1329" s="3" t="s">
        <v>38</v>
      </c>
      <c r="L1329" t="str">
        <f>IFERROR(VLOOKUP(D1329,Products!$A$2:$F$61,3,FALSE()),"")</f>
        <v>Apparel</v>
      </c>
      <c r="M1329" t="str">
        <f>IFERROR(VLOOKUP(E1329,Sales_Reps!$A$2:$C$31,3,FALSE()),"")</f>
        <v>North</v>
      </c>
      <c r="N1329">
        <f>IFERROR(VLOOKUP(D1329,Products!$A$2:$F$61,4,FALSE()),"")</f>
        <v>396</v>
      </c>
      <c r="O1329" t="str">
        <f>IFERROR(VLOOKUP(C1329,Customers!$A$2:$F$301,5,FALSE()),"")</f>
        <v>Retail</v>
      </c>
      <c r="P1329">
        <f>IFERROR(VLOOKUP(C1329,Customers!$A$2:$F$301,3,FALSE()),"")</f>
        <v>62</v>
      </c>
      <c r="Q1329">
        <f t="shared" si="60"/>
        <v>0.36129032258064514</v>
      </c>
      <c r="R1329">
        <f>IF(AND(COUNTIF($A$2:$A$2027,A1329)&gt;1,COUNTIF($A$2:A1329,A1329)=1),1,0)</f>
        <v>0</v>
      </c>
      <c r="S1329" t="b">
        <f>IFERROR(VLOOKUP(D1329,Products!$A$2:$F$61,6,FALSE()),"")</f>
        <v>1</v>
      </c>
      <c r="T1329" t="str">
        <f>IF(COUNTIF(Customers!$A$2:$A$301,C1329)=0,"Missing","OK")</f>
        <v>OK</v>
      </c>
      <c r="U1329" t="str">
        <f t="shared" si="61"/>
        <v>Delhi</v>
      </c>
      <c r="V1329">
        <f t="shared" si="62"/>
        <v>0</v>
      </c>
    </row>
    <row r="1330" spans="1:22" ht="15" customHeight="1" x14ac:dyDescent="0.35">
      <c r="A1330" s="3" t="s">
        <v>1756</v>
      </c>
      <c r="B1330" s="4">
        <v>45348</v>
      </c>
      <c r="C1330" s="3" t="s">
        <v>170</v>
      </c>
      <c r="D1330" s="3" t="s">
        <v>221</v>
      </c>
      <c r="E1330" s="3" t="s">
        <v>93</v>
      </c>
      <c r="F1330" s="5">
        <v>1</v>
      </c>
      <c r="G1330" s="5">
        <v>300</v>
      </c>
      <c r="H1330" s="5">
        <v>12.5</v>
      </c>
      <c r="I1330" s="5">
        <v>262.5</v>
      </c>
      <c r="J1330" s="3" t="s">
        <v>26</v>
      </c>
      <c r="K1330" s="3" t="s">
        <v>56</v>
      </c>
      <c r="L1330" t="str">
        <f>IFERROR(VLOOKUP(D1330,Products!$A$2:$F$61,3,FALSE()),"")</f>
        <v>Electronics</v>
      </c>
      <c r="M1330" t="str">
        <f>IFERROR(VLOOKUP(E1330,Sales_Reps!$A$2:$C$31,3,FALSE()),"")</f>
        <v>East</v>
      </c>
      <c r="N1330">
        <f>IFERROR(VLOOKUP(D1330,Products!$A$2:$F$61,4,FALSE()),"")</f>
        <v>128</v>
      </c>
      <c r="O1330" t="str">
        <f>IFERROR(VLOOKUP(C1330,Customers!$A$2:$F$301,5,FALSE()),"")</f>
        <v>SMB</v>
      </c>
      <c r="P1330">
        <f>IFERROR(VLOOKUP(C1330,Customers!$A$2:$F$301,3,FALSE()),"")</f>
        <v>64</v>
      </c>
      <c r="Q1330">
        <f t="shared" si="60"/>
        <v>0.57333333333333336</v>
      </c>
      <c r="R1330">
        <f>IF(AND(COUNTIF($A$2:$A$2027,A1330)&gt;1,COUNTIF($A$2:A1330,A1330)=1),1,0)</f>
        <v>0</v>
      </c>
      <c r="S1330" t="b">
        <f>IFERROR(VLOOKUP(D1330,Products!$A$2:$F$61,6,FALSE()),"")</f>
        <v>1</v>
      </c>
      <c r="T1330" t="str">
        <f>IF(COUNTIF(Customers!$A$2:$A$301,C1330)=0,"Missing","OK")</f>
        <v>OK</v>
      </c>
      <c r="U1330" t="str">
        <f t="shared" si="61"/>
        <v>Bengaluru</v>
      </c>
      <c r="V1330">
        <f t="shared" si="62"/>
        <v>0</v>
      </c>
    </row>
    <row r="1331" spans="1:22" ht="15" customHeight="1" x14ac:dyDescent="0.35">
      <c r="A1331" s="3" t="s">
        <v>1757</v>
      </c>
      <c r="B1331" s="4">
        <v>45502</v>
      </c>
      <c r="C1331" s="3" t="s">
        <v>839</v>
      </c>
      <c r="D1331" s="3" t="s">
        <v>121</v>
      </c>
      <c r="E1331" s="3" t="s">
        <v>131</v>
      </c>
      <c r="F1331" s="5">
        <v>3</v>
      </c>
      <c r="G1331" s="5">
        <v>1010</v>
      </c>
      <c r="H1331" s="5">
        <v>14.1</v>
      </c>
      <c r="I1331" s="5">
        <v>2602.77</v>
      </c>
      <c r="J1331" s="3" t="s">
        <v>26</v>
      </c>
      <c r="K1331" s="3" t="s">
        <v>56</v>
      </c>
      <c r="L1331" t="str">
        <f>IFERROR(VLOOKUP(D1331,Products!$A$2:$F$61,3,FALSE()),"")</f>
        <v>Sports</v>
      </c>
      <c r="M1331" t="str">
        <f>IFERROR(VLOOKUP(E1331,Sales_Reps!$A$2:$C$31,3,FALSE()),"")</f>
        <v>East</v>
      </c>
      <c r="N1331">
        <f>IFERROR(VLOOKUP(D1331,Products!$A$2:$F$61,4,FALSE()),"")</f>
        <v>516</v>
      </c>
      <c r="O1331" t="str">
        <f>IFERROR(VLOOKUP(C1331,Customers!$A$2:$F$301,5,FALSE()),"")</f>
        <v>Retail</v>
      </c>
      <c r="P1331">
        <f>IFERROR(VLOOKUP(C1331,Customers!$A$2:$F$301,3,FALSE()),"")</f>
        <v>35</v>
      </c>
      <c r="Q1331">
        <f t="shared" si="60"/>
        <v>0.4891089108910891</v>
      </c>
      <c r="R1331">
        <f>IF(AND(COUNTIF($A$2:$A$2027,A1331)&gt;1,COUNTIF($A$2:A1331,A1331)=1),1,0)</f>
        <v>0</v>
      </c>
      <c r="S1331" t="b">
        <f>IFERROR(VLOOKUP(D1331,Products!$A$2:$F$61,6,FALSE()),"")</f>
        <v>1</v>
      </c>
      <c r="T1331" t="str">
        <f>IF(COUNTIF(Customers!$A$2:$A$301,C1331)=0,"Missing","OK")</f>
        <v>OK</v>
      </c>
      <c r="U1331" t="str">
        <f t="shared" si="61"/>
        <v>Bengaluru</v>
      </c>
      <c r="V1331">
        <f t="shared" si="62"/>
        <v>0</v>
      </c>
    </row>
    <row r="1332" spans="1:22" ht="15" customHeight="1" x14ac:dyDescent="0.35">
      <c r="A1332" s="3" t="s">
        <v>1758</v>
      </c>
      <c r="B1332" s="4">
        <v>45600</v>
      </c>
      <c r="C1332" s="3" t="s">
        <v>736</v>
      </c>
      <c r="D1332" s="3" t="s">
        <v>382</v>
      </c>
      <c r="E1332" s="3" t="s">
        <v>282</v>
      </c>
      <c r="F1332" s="5">
        <v>2</v>
      </c>
      <c r="G1332" s="5">
        <v>5080</v>
      </c>
      <c r="H1332" s="5">
        <v>16.8</v>
      </c>
      <c r="I1332" s="5">
        <v>8453.1200000000008</v>
      </c>
      <c r="J1332" s="3" t="s">
        <v>26</v>
      </c>
      <c r="K1332" s="3" t="s">
        <v>38</v>
      </c>
      <c r="L1332" t="str">
        <f>IFERROR(VLOOKUP(D1332,Products!$A$2:$F$61,3,FALSE()),"")</f>
        <v>Home</v>
      </c>
      <c r="M1332" t="str">
        <f>IFERROR(VLOOKUP(E1332,Sales_Reps!$A$2:$C$31,3,FALSE()),"")</f>
        <v>West</v>
      </c>
      <c r="N1332">
        <f>IFERROR(VLOOKUP(D1332,Products!$A$2:$F$61,4,FALSE()),"")</f>
        <v>2459</v>
      </c>
      <c r="O1332" t="str">
        <f>IFERROR(VLOOKUP(C1332,Customers!$A$2:$F$301,5,FALSE()),"")</f>
        <v>Retail</v>
      </c>
      <c r="P1332">
        <f>IFERROR(VLOOKUP(C1332,Customers!$A$2:$F$301,3,FALSE()),"")</f>
        <v>63</v>
      </c>
      <c r="Q1332">
        <f t="shared" si="60"/>
        <v>0.51594488188976373</v>
      </c>
      <c r="R1332">
        <f>IF(AND(COUNTIF($A$2:$A$2027,A1332)&gt;1,COUNTIF($A$2:A1332,A1332)=1),1,0)</f>
        <v>0</v>
      </c>
      <c r="S1332" t="b">
        <f>IFERROR(VLOOKUP(D1332,Products!$A$2:$F$61,6,FALSE()),"")</f>
        <v>1</v>
      </c>
      <c r="T1332" t="str">
        <f>IF(COUNTIF(Customers!$A$2:$A$301,C1332)=0,"Missing","OK")</f>
        <v>OK</v>
      </c>
      <c r="U1332" t="str">
        <f t="shared" si="61"/>
        <v>Delhi</v>
      </c>
      <c r="V1332">
        <f t="shared" si="62"/>
        <v>0</v>
      </c>
    </row>
    <row r="1333" spans="1:22" ht="15" customHeight="1" x14ac:dyDescent="0.35">
      <c r="A1333" s="3" t="s">
        <v>1759</v>
      </c>
      <c r="B1333" s="4">
        <v>45416</v>
      </c>
      <c r="C1333" s="3" t="s">
        <v>114</v>
      </c>
      <c r="D1333" s="3" t="s">
        <v>45</v>
      </c>
      <c r="E1333" s="3" t="s">
        <v>282</v>
      </c>
      <c r="F1333" s="5">
        <v>2</v>
      </c>
      <c r="G1333" s="5">
        <v>3160</v>
      </c>
      <c r="H1333" s="5">
        <v>21.4</v>
      </c>
      <c r="I1333" s="5">
        <v>4967.5200000000004</v>
      </c>
      <c r="J1333" s="3" t="s">
        <v>26</v>
      </c>
      <c r="K1333" s="3" t="s">
        <v>1760</v>
      </c>
      <c r="L1333" t="str">
        <f>IFERROR(VLOOKUP(D1333,Products!$A$2:$F$61,3,FALSE()),"")</f>
        <v>Apparel</v>
      </c>
      <c r="M1333" t="str">
        <f>IFERROR(VLOOKUP(E1333,Sales_Reps!$A$2:$C$31,3,FALSE()),"")</f>
        <v>West</v>
      </c>
      <c r="N1333">
        <f>IFERROR(VLOOKUP(D1333,Products!$A$2:$F$61,4,FALSE()),"")</f>
        <v>1886</v>
      </c>
      <c r="O1333" t="str">
        <f>IFERROR(VLOOKUP(C1333,Customers!$A$2:$F$301,5,FALSE()),"")</f>
        <v>SMB</v>
      </c>
      <c r="P1333">
        <f>IFERROR(VLOOKUP(C1333,Customers!$A$2:$F$301,3,FALSE()),"")</f>
        <v>40</v>
      </c>
      <c r="Q1333">
        <f t="shared" si="60"/>
        <v>0.4031645569620253</v>
      </c>
      <c r="R1333">
        <f>IF(AND(COUNTIF($A$2:$A$2027,A1333)&gt;1,COUNTIF($A$2:A1333,A1333)=1),1,0)</f>
        <v>0</v>
      </c>
      <c r="S1333" t="b">
        <f>IFERROR(VLOOKUP(D1333,Products!$A$2:$F$61,6,FALSE()),"")</f>
        <v>1</v>
      </c>
      <c r="T1333" t="str">
        <f>IF(COUNTIF(Customers!$A$2:$A$301,C1333)=0,"Missing","OK")</f>
        <v>OK</v>
      </c>
      <c r="U1333" t="str">
        <f t="shared" si="61"/>
        <v>Hyderabad</v>
      </c>
      <c r="V1333">
        <f t="shared" si="62"/>
        <v>0</v>
      </c>
    </row>
    <row r="1334" spans="1:22" ht="15" customHeight="1" x14ac:dyDescent="0.35">
      <c r="A1334" s="3" t="s">
        <v>1761</v>
      </c>
      <c r="B1334" s="4">
        <v>45535</v>
      </c>
      <c r="C1334" s="3" t="s">
        <v>955</v>
      </c>
      <c r="D1334" s="3" t="s">
        <v>96</v>
      </c>
      <c r="E1334" s="3" t="s">
        <v>285</v>
      </c>
      <c r="F1334" s="5">
        <v>7</v>
      </c>
      <c r="G1334" s="5">
        <v>3450</v>
      </c>
      <c r="H1334" s="5">
        <v>21.3</v>
      </c>
      <c r="I1334" s="5">
        <v>19006.05</v>
      </c>
      <c r="J1334" s="3" t="s">
        <v>26</v>
      </c>
      <c r="K1334" s="3" t="s">
        <v>56</v>
      </c>
      <c r="L1334" t="str">
        <f>IFERROR(VLOOKUP(D1334,Products!$A$2:$F$61,3,FALSE()),"")</f>
        <v>Beauty</v>
      </c>
      <c r="M1334" t="str">
        <f>IFERROR(VLOOKUP(E1334,Sales_Reps!$A$2:$C$31,3,FALSE()),"")</f>
        <v>South</v>
      </c>
      <c r="N1334">
        <f>IFERROR(VLOOKUP(D1334,Products!$A$2:$F$61,4,FALSE()),"")</f>
        <v>2420</v>
      </c>
      <c r="O1334" t="str">
        <f>IFERROR(VLOOKUP(C1334,Customers!$A$2:$F$301,5,FALSE()),"")</f>
        <v>SMB</v>
      </c>
      <c r="P1334">
        <f>IFERROR(VLOOKUP(C1334,Customers!$A$2:$F$301,3,FALSE()),"")</f>
        <v>49</v>
      </c>
      <c r="Q1334">
        <f t="shared" si="60"/>
        <v>0.29855072463768118</v>
      </c>
      <c r="R1334">
        <f>IF(AND(COUNTIF($A$2:$A$2027,A1334)&gt;1,COUNTIF($A$2:A1334,A1334)=1),1,0)</f>
        <v>0</v>
      </c>
      <c r="S1334" t="b">
        <f>IFERROR(VLOOKUP(D1334,Products!$A$2:$F$61,6,FALSE()),"")</f>
        <v>1</v>
      </c>
      <c r="T1334" t="str">
        <f>IF(COUNTIF(Customers!$A$2:$A$301,C1334)=0,"Missing","OK")</f>
        <v>OK</v>
      </c>
      <c r="U1334" t="str">
        <f t="shared" si="61"/>
        <v>Bengaluru</v>
      </c>
      <c r="V1334">
        <f t="shared" si="62"/>
        <v>0</v>
      </c>
    </row>
    <row r="1335" spans="1:22" ht="15" customHeight="1" x14ac:dyDescent="0.35">
      <c r="A1335" s="3" t="s">
        <v>1762</v>
      </c>
      <c r="B1335" s="4">
        <v>45322</v>
      </c>
      <c r="C1335" s="3" t="s">
        <v>509</v>
      </c>
      <c r="D1335" s="3" t="s">
        <v>303</v>
      </c>
      <c r="E1335" s="3" t="s">
        <v>42</v>
      </c>
      <c r="F1335" s="5">
        <v>2</v>
      </c>
      <c r="G1335" s="5">
        <v>5330</v>
      </c>
      <c r="H1335" s="5">
        <v>4.3</v>
      </c>
      <c r="I1335" s="5">
        <v>10201.620000000001</v>
      </c>
      <c r="J1335" s="3" t="s">
        <v>26</v>
      </c>
      <c r="K1335" s="3" t="s">
        <v>38</v>
      </c>
      <c r="L1335" t="str">
        <f>IFERROR(VLOOKUP(D1335,Products!$A$2:$F$61,3,FALSE()),"")</f>
        <v>Electronics</v>
      </c>
      <c r="M1335" t="str">
        <f>IFERROR(VLOOKUP(E1335,Sales_Reps!$A$2:$C$31,3,FALSE()),"")</f>
        <v>North</v>
      </c>
      <c r="N1335">
        <f>IFERROR(VLOOKUP(D1335,Products!$A$2:$F$61,4,FALSE()),"")</f>
        <v>2405</v>
      </c>
      <c r="O1335" t="str">
        <f>IFERROR(VLOOKUP(C1335,Customers!$A$2:$F$301,5,FALSE()),"")</f>
        <v>Corporate</v>
      </c>
      <c r="P1335">
        <f>IFERROR(VLOOKUP(C1335,Customers!$A$2:$F$301,3,FALSE()),"")</f>
        <v>47</v>
      </c>
      <c r="Q1335">
        <f t="shared" si="60"/>
        <v>0.54878048780487809</v>
      </c>
      <c r="R1335">
        <f>IF(AND(COUNTIF($A$2:$A$2027,A1335)&gt;1,COUNTIF($A$2:A1335,A1335)=1),1,0)</f>
        <v>0</v>
      </c>
      <c r="S1335" t="b">
        <f>IFERROR(VLOOKUP(D1335,Products!$A$2:$F$61,6,FALSE()),"")</f>
        <v>1</v>
      </c>
      <c r="T1335" t="str">
        <f>IF(COUNTIF(Customers!$A$2:$A$301,C1335)=0,"Missing","OK")</f>
        <v>OK</v>
      </c>
      <c r="U1335" t="str">
        <f t="shared" si="61"/>
        <v>Delhi</v>
      </c>
      <c r="V1335">
        <f t="shared" si="62"/>
        <v>0</v>
      </c>
    </row>
    <row r="1336" spans="1:22" ht="15" customHeight="1" x14ac:dyDescent="0.35">
      <c r="A1336" s="3" t="s">
        <v>1763</v>
      </c>
      <c r="B1336" s="4">
        <v>45626</v>
      </c>
      <c r="C1336" s="3" t="s">
        <v>552</v>
      </c>
      <c r="D1336" s="3" t="s">
        <v>454</v>
      </c>
      <c r="E1336" s="3" t="s">
        <v>37</v>
      </c>
      <c r="F1336" s="5">
        <v>5</v>
      </c>
      <c r="G1336" s="5">
        <v>6940</v>
      </c>
      <c r="H1336" s="5">
        <v>2.9</v>
      </c>
      <c r="I1336" s="5">
        <v>33693.699999999997</v>
      </c>
      <c r="J1336" s="3" t="s">
        <v>26</v>
      </c>
      <c r="K1336" s="3" t="s">
        <v>51</v>
      </c>
      <c r="L1336" t="str">
        <f>IFERROR(VLOOKUP(D1336,Products!$A$2:$F$61,3,FALSE()),"")</f>
        <v>Sports</v>
      </c>
      <c r="M1336" t="str">
        <f>IFERROR(VLOOKUP(E1336,Sales_Reps!$A$2:$C$31,3,FALSE()),"")</f>
        <v>South</v>
      </c>
      <c r="N1336">
        <f>IFERROR(VLOOKUP(D1336,Products!$A$2:$F$61,4,FALSE()),"")</f>
        <v>2827</v>
      </c>
      <c r="O1336" t="str">
        <f>IFERROR(VLOOKUP(C1336,Customers!$A$2:$F$301,5,FALSE()),"")</f>
        <v>Retail</v>
      </c>
      <c r="P1336">
        <f>IFERROR(VLOOKUP(C1336,Customers!$A$2:$F$301,3,FALSE()),"")</f>
        <v>44</v>
      </c>
      <c r="Q1336">
        <f t="shared" si="60"/>
        <v>0.5926512968299712</v>
      </c>
      <c r="R1336">
        <f>IF(AND(COUNTIF($A$2:$A$2027,A1336)&gt;1,COUNTIF($A$2:A1336,A1336)=1),1,0)</f>
        <v>0</v>
      </c>
      <c r="S1336" t="b">
        <f>IFERROR(VLOOKUP(D1336,Products!$A$2:$F$61,6,FALSE()),"")</f>
        <v>1</v>
      </c>
      <c r="T1336" t="str">
        <f>IF(COUNTIF(Customers!$A$2:$A$301,C1336)=0,"Missing","OK")</f>
        <v>OK</v>
      </c>
      <c r="U1336" t="str">
        <f t="shared" si="61"/>
        <v>Mumbai</v>
      </c>
      <c r="V1336">
        <f t="shared" si="62"/>
        <v>0</v>
      </c>
    </row>
    <row r="1337" spans="1:22" ht="15" customHeight="1" x14ac:dyDescent="0.35">
      <c r="A1337" s="3" t="s">
        <v>1764</v>
      </c>
      <c r="B1337" s="4">
        <v>45534</v>
      </c>
      <c r="C1337" s="3" t="s">
        <v>543</v>
      </c>
      <c r="D1337" s="3" t="s">
        <v>142</v>
      </c>
      <c r="E1337" s="3" t="s">
        <v>67</v>
      </c>
      <c r="F1337" s="5">
        <v>5</v>
      </c>
      <c r="G1337" s="5">
        <v>660</v>
      </c>
      <c r="H1337" s="5">
        <v>15.8</v>
      </c>
      <c r="I1337" s="5">
        <v>2778.6</v>
      </c>
      <c r="J1337" s="3" t="s">
        <v>26</v>
      </c>
      <c r="K1337" s="3" t="s">
        <v>56</v>
      </c>
      <c r="L1337" t="str">
        <f>IFERROR(VLOOKUP(D1337,Products!$A$2:$F$61,3,FALSE()),"")</f>
        <v>Home</v>
      </c>
      <c r="M1337" t="str">
        <f>IFERROR(VLOOKUP(E1337,Sales_Reps!$A$2:$C$31,3,FALSE()),"")</f>
        <v>West</v>
      </c>
      <c r="N1337">
        <f>IFERROR(VLOOKUP(D1337,Products!$A$2:$F$61,4,FALSE()),"")</f>
        <v>329</v>
      </c>
      <c r="O1337" t="str">
        <f>IFERROR(VLOOKUP(C1337,Customers!$A$2:$F$301,5,FALSE()),"")</f>
        <v>Retail</v>
      </c>
      <c r="P1337">
        <f>IFERROR(VLOOKUP(C1337,Customers!$A$2:$F$301,3,FALSE()),"")</f>
        <v>34</v>
      </c>
      <c r="Q1337">
        <f t="shared" si="60"/>
        <v>0.50151515151515147</v>
      </c>
      <c r="R1337">
        <f>IF(AND(COUNTIF($A$2:$A$2027,A1337)&gt;1,COUNTIF($A$2:A1337,A1337)=1),1,0)</f>
        <v>0</v>
      </c>
      <c r="S1337" t="b">
        <f>IFERROR(VLOOKUP(D1337,Products!$A$2:$F$61,6,FALSE()),"")</f>
        <v>1</v>
      </c>
      <c r="T1337" t="str">
        <f>IF(COUNTIF(Customers!$A$2:$A$301,C1337)=0,"Missing","OK")</f>
        <v>OK</v>
      </c>
      <c r="U1337" t="str">
        <f t="shared" si="61"/>
        <v>Bengaluru</v>
      </c>
      <c r="V1337">
        <f t="shared" si="62"/>
        <v>0</v>
      </c>
    </row>
    <row r="1338" spans="1:22" ht="15" customHeight="1" x14ac:dyDescent="0.35">
      <c r="A1338" s="3" t="s">
        <v>1765</v>
      </c>
      <c r="B1338" s="4">
        <v>45519</v>
      </c>
      <c r="C1338" s="3" t="s">
        <v>925</v>
      </c>
      <c r="D1338" s="3" t="s">
        <v>130</v>
      </c>
      <c r="E1338" s="3" t="s">
        <v>191</v>
      </c>
      <c r="F1338" s="5">
        <v>9</v>
      </c>
      <c r="G1338" s="5">
        <v>5100</v>
      </c>
      <c r="H1338" s="5">
        <v>0.4</v>
      </c>
      <c r="I1338" s="5">
        <v>45716.4</v>
      </c>
      <c r="J1338" s="3" t="s">
        <v>26</v>
      </c>
      <c r="K1338" s="3" t="s">
        <v>33</v>
      </c>
      <c r="L1338" t="str">
        <f>IFERROR(VLOOKUP(D1338,Products!$A$2:$F$61,3,FALSE()),"")</f>
        <v>Beauty</v>
      </c>
      <c r="M1338" t="str">
        <f>IFERROR(VLOOKUP(E1338,Sales_Reps!$A$2:$C$31,3,FALSE()),"")</f>
        <v>South</v>
      </c>
      <c r="N1338">
        <f>IFERROR(VLOOKUP(D1338,Products!$A$2:$F$61,4,FALSE()),"")</f>
        <v>2237</v>
      </c>
      <c r="O1338" t="str">
        <f>IFERROR(VLOOKUP(C1338,Customers!$A$2:$F$301,5,FALSE()),"")</f>
        <v>Corporate</v>
      </c>
      <c r="P1338">
        <f>IFERROR(VLOOKUP(C1338,Customers!$A$2:$F$301,3,FALSE()),"")</f>
        <v>52</v>
      </c>
      <c r="Q1338">
        <f t="shared" si="60"/>
        <v>0.56137254901960787</v>
      </c>
      <c r="R1338">
        <f>IF(AND(COUNTIF($A$2:$A$2027,A1338)&gt;1,COUNTIF($A$2:A1338,A1338)=1),1,0)</f>
        <v>0</v>
      </c>
      <c r="S1338" t="b">
        <f>IFERROR(VLOOKUP(D1338,Products!$A$2:$F$61,6,FALSE()),"")</f>
        <v>1</v>
      </c>
      <c r="T1338" t="str">
        <f>IF(COUNTIF(Customers!$A$2:$A$301,C1338)=0,"Missing","OK")</f>
        <v>OK</v>
      </c>
      <c r="U1338" t="str">
        <f t="shared" si="61"/>
        <v>Chennai</v>
      </c>
      <c r="V1338">
        <f t="shared" si="62"/>
        <v>0</v>
      </c>
    </row>
    <row r="1339" spans="1:22" ht="15" customHeight="1" x14ac:dyDescent="0.35">
      <c r="A1339" s="3" t="s">
        <v>1766</v>
      </c>
      <c r="B1339" s="4">
        <v>45315</v>
      </c>
      <c r="C1339" s="3" t="s">
        <v>1767</v>
      </c>
      <c r="D1339" s="3" t="s">
        <v>115</v>
      </c>
      <c r="E1339" s="3" t="s">
        <v>37</v>
      </c>
      <c r="F1339" s="5">
        <v>5</v>
      </c>
      <c r="G1339" s="5">
        <v>1650</v>
      </c>
      <c r="H1339" s="5">
        <v>0.8</v>
      </c>
      <c r="I1339" s="5">
        <v>8184</v>
      </c>
      <c r="J1339" s="3" t="s">
        <v>32</v>
      </c>
      <c r="K1339" s="3" t="s">
        <v>33</v>
      </c>
      <c r="L1339" t="str">
        <f>IFERROR(VLOOKUP(D1339,Products!$A$2:$F$61,3,FALSE()),"")</f>
        <v>Beauty</v>
      </c>
      <c r="M1339" t="str">
        <f>IFERROR(VLOOKUP(E1339,Sales_Reps!$A$2:$C$31,3,FALSE()),"")</f>
        <v>South</v>
      </c>
      <c r="N1339">
        <f>IFERROR(VLOOKUP(D1339,Products!$A$2:$F$61,4,FALSE()),"")</f>
        <v>1222</v>
      </c>
      <c r="O1339" t="str">
        <f>IFERROR(VLOOKUP(C1339,Customers!$A$2:$F$301,5,FALSE()),"")</f>
        <v/>
      </c>
      <c r="P1339" t="str">
        <f>IFERROR(VLOOKUP(C1339,Customers!$A$2:$F$301,3,FALSE()),"")</f>
        <v/>
      </c>
      <c r="Q1339">
        <f t="shared" si="60"/>
        <v>0.2593939393939394</v>
      </c>
      <c r="R1339">
        <f>IF(AND(COUNTIF($A$2:$A$2027,A1339)&gt;1,COUNTIF($A$2:A1339,A1339)=1),1,0)</f>
        <v>0</v>
      </c>
      <c r="S1339" t="b">
        <f>IFERROR(VLOOKUP(D1339,Products!$A$2:$F$61,6,FALSE()),"")</f>
        <v>1</v>
      </c>
      <c r="T1339" t="str">
        <f>IF(COUNTIF(Customers!$A$2:$A$301,C1339)=0,"Missing","OK")</f>
        <v>Missing</v>
      </c>
      <c r="U1339" t="str">
        <f t="shared" si="61"/>
        <v>Chennai</v>
      </c>
      <c r="V1339">
        <f t="shared" si="62"/>
        <v>0</v>
      </c>
    </row>
    <row r="1340" spans="1:22" ht="15" customHeight="1" x14ac:dyDescent="0.35">
      <c r="A1340" s="3" t="s">
        <v>1768</v>
      </c>
      <c r="B1340" s="4">
        <v>45566</v>
      </c>
      <c r="C1340" s="3" t="s">
        <v>656</v>
      </c>
      <c r="D1340" s="3" t="s">
        <v>176</v>
      </c>
      <c r="E1340" s="3" t="s">
        <v>242</v>
      </c>
      <c r="F1340" s="5">
        <v>7</v>
      </c>
      <c r="G1340" s="5">
        <v>3640</v>
      </c>
      <c r="H1340" s="5">
        <v>25.5</v>
      </c>
      <c r="I1340" s="5">
        <v>18982.599999999999</v>
      </c>
      <c r="J1340" s="3" t="s">
        <v>26</v>
      </c>
      <c r="K1340" s="3" t="s">
        <v>33</v>
      </c>
      <c r="L1340" t="str">
        <f>IFERROR(VLOOKUP(D1340,Products!$A$2:$F$61,3,FALSE()),"")</f>
        <v>Apparel</v>
      </c>
      <c r="M1340" t="str">
        <f>IFERROR(VLOOKUP(E1340,Sales_Reps!$A$2:$C$31,3,FALSE()),"")</f>
        <v>East</v>
      </c>
      <c r="N1340">
        <f>IFERROR(VLOOKUP(D1340,Products!$A$2:$F$61,4,FALSE()),"")</f>
        <v>2611</v>
      </c>
      <c r="O1340" t="str">
        <f>IFERROR(VLOOKUP(C1340,Customers!$A$2:$F$301,5,FALSE()),"")</f>
        <v>Retail</v>
      </c>
      <c r="P1340">
        <f>IFERROR(VLOOKUP(C1340,Customers!$A$2:$F$301,3,FALSE()),"")</f>
        <v>24</v>
      </c>
      <c r="Q1340">
        <f t="shared" si="60"/>
        <v>0.28269230769230769</v>
      </c>
      <c r="R1340">
        <f>IF(AND(COUNTIF($A$2:$A$2027,A1340)&gt;1,COUNTIF($A$2:A1340,A1340)=1),1,0)</f>
        <v>0</v>
      </c>
      <c r="S1340" t="b">
        <f>IFERROR(VLOOKUP(D1340,Products!$A$2:$F$61,6,FALSE()),"")</f>
        <v>1</v>
      </c>
      <c r="T1340" t="str">
        <f>IF(COUNTIF(Customers!$A$2:$A$301,C1340)=0,"Missing","OK")</f>
        <v>OK</v>
      </c>
      <c r="U1340" t="str">
        <f t="shared" si="61"/>
        <v>Chennai</v>
      </c>
      <c r="V1340">
        <f t="shared" si="62"/>
        <v>0</v>
      </c>
    </row>
    <row r="1341" spans="1:22" ht="15" customHeight="1" x14ac:dyDescent="0.35">
      <c r="A1341" s="3" t="s">
        <v>1769</v>
      </c>
      <c r="B1341" s="4">
        <v>45643</v>
      </c>
      <c r="C1341" s="3" t="s">
        <v>175</v>
      </c>
      <c r="D1341" s="3" t="s">
        <v>123</v>
      </c>
      <c r="E1341" s="3" t="s">
        <v>168</v>
      </c>
      <c r="F1341" s="5">
        <v>6</v>
      </c>
      <c r="G1341" s="5">
        <v>4880</v>
      </c>
      <c r="H1341" s="5">
        <v>12.6</v>
      </c>
      <c r="I1341" s="5">
        <v>25590.720000000001</v>
      </c>
      <c r="J1341" s="3" t="s">
        <v>79</v>
      </c>
      <c r="K1341" s="3" t="s">
        <v>72</v>
      </c>
      <c r="L1341" t="str">
        <f>IFERROR(VLOOKUP(D1341,Products!$A$2:$F$61,3,FALSE()),"")</f>
        <v>Beauty</v>
      </c>
      <c r="M1341" t="str">
        <f>IFERROR(VLOOKUP(E1341,Sales_Reps!$A$2:$C$31,3,FALSE()),"")</f>
        <v>West</v>
      </c>
      <c r="N1341">
        <f>IFERROR(VLOOKUP(D1341,Products!$A$2:$F$61,4,FALSE()),"")</f>
        <v>2768</v>
      </c>
      <c r="O1341" t="str">
        <f>IFERROR(VLOOKUP(C1341,Customers!$A$2:$F$301,5,FALSE()),"")</f>
        <v>Retail</v>
      </c>
      <c r="P1341">
        <f>IFERROR(VLOOKUP(C1341,Customers!$A$2:$F$301,3,FALSE()),"")</f>
        <v>64</v>
      </c>
      <c r="Q1341">
        <f t="shared" si="60"/>
        <v>0.43278688524590164</v>
      </c>
      <c r="R1341">
        <f>IF(AND(COUNTIF($A$2:$A$2027,A1341)&gt;1,COUNTIF($A$2:A1341,A1341)=1),1,0)</f>
        <v>0</v>
      </c>
      <c r="S1341" t="b">
        <f>IFERROR(VLOOKUP(D1341,Products!$A$2:$F$61,6,FALSE()),"")</f>
        <v>1</v>
      </c>
      <c r="T1341" t="str">
        <f>IF(COUNTIF(Customers!$A$2:$A$301,C1341)=0,"Missing","OK")</f>
        <v>OK</v>
      </c>
      <c r="U1341" t="str">
        <f t="shared" si="61"/>
        <v>Hyderabad</v>
      </c>
      <c r="V1341">
        <f t="shared" si="62"/>
        <v>0</v>
      </c>
    </row>
    <row r="1342" spans="1:22" ht="15" customHeight="1" x14ac:dyDescent="0.35">
      <c r="A1342" s="3" t="s">
        <v>1770</v>
      </c>
      <c r="B1342" s="4">
        <v>45422</v>
      </c>
      <c r="C1342" s="3" t="s">
        <v>839</v>
      </c>
      <c r="D1342" s="3" t="s">
        <v>303</v>
      </c>
      <c r="E1342" s="3" t="s">
        <v>67</v>
      </c>
      <c r="F1342" s="5">
        <v>4</v>
      </c>
      <c r="G1342" s="5">
        <v>5330</v>
      </c>
      <c r="H1342" s="5">
        <v>16.2</v>
      </c>
      <c r="I1342" s="5">
        <v>17866.16</v>
      </c>
      <c r="J1342" s="3" t="s">
        <v>26</v>
      </c>
      <c r="K1342" s="3" t="s">
        <v>56</v>
      </c>
      <c r="L1342" t="str">
        <f>IFERROR(VLOOKUP(D1342,Products!$A$2:$F$61,3,FALSE()),"")</f>
        <v>Electronics</v>
      </c>
      <c r="M1342" t="str">
        <f>IFERROR(VLOOKUP(E1342,Sales_Reps!$A$2:$C$31,3,FALSE()),"")</f>
        <v>West</v>
      </c>
      <c r="N1342">
        <f>IFERROR(VLOOKUP(D1342,Products!$A$2:$F$61,4,FALSE()),"")</f>
        <v>2405</v>
      </c>
      <c r="O1342" t="str">
        <f>IFERROR(VLOOKUP(C1342,Customers!$A$2:$F$301,5,FALSE()),"")</f>
        <v>Retail</v>
      </c>
      <c r="P1342">
        <f>IFERROR(VLOOKUP(C1342,Customers!$A$2:$F$301,3,FALSE()),"")</f>
        <v>35</v>
      </c>
      <c r="Q1342">
        <f t="shared" si="60"/>
        <v>0.54878048780487809</v>
      </c>
      <c r="R1342">
        <f>IF(AND(COUNTIF($A$2:$A$2027,A1342)&gt;1,COUNTIF($A$2:A1342,A1342)=1),1,0)</f>
        <v>0</v>
      </c>
      <c r="S1342" t="b">
        <f>IFERROR(VLOOKUP(D1342,Products!$A$2:$F$61,6,FALSE()),"")</f>
        <v>1</v>
      </c>
      <c r="T1342" t="str">
        <f>IF(COUNTIF(Customers!$A$2:$A$301,C1342)=0,"Missing","OK")</f>
        <v>OK</v>
      </c>
      <c r="U1342" t="str">
        <f t="shared" si="61"/>
        <v>Bengaluru</v>
      </c>
      <c r="V1342">
        <f t="shared" si="62"/>
        <v>0</v>
      </c>
    </row>
    <row r="1343" spans="1:22" ht="15" customHeight="1" x14ac:dyDescent="0.35">
      <c r="A1343" s="3" t="s">
        <v>1771</v>
      </c>
      <c r="B1343" s="4">
        <v>45400</v>
      </c>
      <c r="C1343" s="3" t="s">
        <v>418</v>
      </c>
      <c r="D1343" s="3" t="s">
        <v>63</v>
      </c>
      <c r="E1343" s="3" t="s">
        <v>93</v>
      </c>
      <c r="F1343" s="5">
        <v>3</v>
      </c>
      <c r="G1343" s="5">
        <v>5490</v>
      </c>
      <c r="H1343" s="5">
        <v>26.7</v>
      </c>
      <c r="I1343" s="5">
        <v>12072.51</v>
      </c>
      <c r="J1343" s="3" t="s">
        <v>26</v>
      </c>
      <c r="K1343" s="3" t="s">
        <v>27</v>
      </c>
      <c r="L1343" t="str">
        <f>IFERROR(VLOOKUP(D1343,Products!$A$2:$F$61,3,FALSE()),"")</f>
        <v>Home</v>
      </c>
      <c r="M1343" t="str">
        <f>IFERROR(VLOOKUP(E1343,Sales_Reps!$A$2:$C$31,3,FALSE()),"")</f>
        <v>East</v>
      </c>
      <c r="N1343">
        <f>IFERROR(VLOOKUP(D1343,Products!$A$2:$F$61,4,FALSE()),"")</f>
        <v>2549</v>
      </c>
      <c r="O1343" t="str">
        <f>IFERROR(VLOOKUP(C1343,Customers!$A$2:$F$301,5,FALSE()),"")</f>
        <v>SMB</v>
      </c>
      <c r="P1343">
        <f>IFERROR(VLOOKUP(C1343,Customers!$A$2:$F$301,3,FALSE()),"")</f>
        <v>49</v>
      </c>
      <c r="Q1343">
        <f t="shared" si="60"/>
        <v>0.53570127504553733</v>
      </c>
      <c r="R1343">
        <f>IF(AND(COUNTIF($A$2:$A$2027,A1343)&gt;1,COUNTIF($A$2:A1343,A1343)=1),1,0)</f>
        <v>0</v>
      </c>
      <c r="S1343" t="b">
        <f>IFERROR(VLOOKUP(D1343,Products!$A$2:$F$61,6,FALSE()),"")</f>
        <v>1</v>
      </c>
      <c r="T1343" t="str">
        <f>IF(COUNTIF(Customers!$A$2:$A$301,C1343)=0,"Missing","OK")</f>
        <v>OK</v>
      </c>
      <c r="U1343" t="str">
        <f t="shared" si="61"/>
        <v>Pune</v>
      </c>
      <c r="V1343">
        <f t="shared" si="62"/>
        <v>0</v>
      </c>
    </row>
    <row r="1344" spans="1:22" ht="15" customHeight="1" x14ac:dyDescent="0.35">
      <c r="A1344" s="3" t="s">
        <v>1772</v>
      </c>
      <c r="B1344" s="4">
        <v>45564</v>
      </c>
      <c r="C1344" s="3" t="s">
        <v>117</v>
      </c>
      <c r="D1344" s="3" t="s">
        <v>86</v>
      </c>
      <c r="E1344" s="3" t="s">
        <v>236</v>
      </c>
      <c r="F1344" s="5">
        <v>7</v>
      </c>
      <c r="G1344" s="5">
        <v>190</v>
      </c>
      <c r="H1344" s="5">
        <v>11.6</v>
      </c>
      <c r="I1344" s="5">
        <v>1175.72</v>
      </c>
      <c r="J1344" s="3" t="s">
        <v>26</v>
      </c>
      <c r="K1344" s="3" t="s">
        <v>33</v>
      </c>
      <c r="L1344" t="str">
        <f>IFERROR(VLOOKUP(D1344,Products!$A$2:$F$61,3,FALSE()),"")</f>
        <v>Sports</v>
      </c>
      <c r="M1344" t="str">
        <f>IFERROR(VLOOKUP(E1344,Sales_Reps!$A$2:$C$31,3,FALSE()),"")</f>
        <v>North</v>
      </c>
      <c r="N1344">
        <f>IFERROR(VLOOKUP(D1344,Products!$A$2:$F$61,4,FALSE()),"")</f>
        <v>147</v>
      </c>
      <c r="O1344" t="str">
        <f>IFERROR(VLOOKUP(C1344,Customers!$A$2:$F$301,5,FALSE()),"")</f>
        <v>Corporate</v>
      </c>
      <c r="P1344">
        <f>IFERROR(VLOOKUP(C1344,Customers!$A$2:$F$301,3,FALSE()),"")</f>
        <v>55</v>
      </c>
      <c r="Q1344">
        <f t="shared" si="60"/>
        <v>0.22631578947368422</v>
      </c>
      <c r="R1344">
        <f>IF(AND(COUNTIF($A$2:$A$2027,A1344)&gt;1,COUNTIF($A$2:A1344,A1344)=1),1,0)</f>
        <v>0</v>
      </c>
      <c r="S1344" t="b">
        <f>IFERROR(VLOOKUP(D1344,Products!$A$2:$F$61,6,FALSE()),"")</f>
        <v>1</v>
      </c>
      <c r="T1344" t="str">
        <f>IF(COUNTIF(Customers!$A$2:$A$301,C1344)=0,"Missing","OK")</f>
        <v>OK</v>
      </c>
      <c r="U1344" t="str">
        <f t="shared" si="61"/>
        <v>Chennai</v>
      </c>
      <c r="V1344">
        <f t="shared" si="62"/>
        <v>0</v>
      </c>
    </row>
    <row r="1345" spans="1:22" ht="15" customHeight="1" x14ac:dyDescent="0.35">
      <c r="A1345" s="3" t="s">
        <v>1773</v>
      </c>
      <c r="B1345" s="4">
        <v>45437</v>
      </c>
      <c r="C1345" s="3" t="s">
        <v>53</v>
      </c>
      <c r="D1345" s="3" t="s">
        <v>45</v>
      </c>
      <c r="E1345" s="3" t="s">
        <v>285</v>
      </c>
      <c r="F1345" s="5">
        <v>5</v>
      </c>
      <c r="G1345" s="5">
        <v>3160</v>
      </c>
      <c r="H1345" s="5">
        <v>24.1</v>
      </c>
      <c r="I1345" s="5">
        <v>11992.2</v>
      </c>
      <c r="J1345" s="3" t="s">
        <v>26</v>
      </c>
      <c r="K1345" s="3" t="s">
        <v>56</v>
      </c>
      <c r="L1345" t="str">
        <f>IFERROR(VLOOKUP(D1345,Products!$A$2:$F$61,3,FALSE()),"")</f>
        <v>Apparel</v>
      </c>
      <c r="M1345" t="str">
        <f>IFERROR(VLOOKUP(E1345,Sales_Reps!$A$2:$C$31,3,FALSE()),"")</f>
        <v>South</v>
      </c>
      <c r="N1345">
        <f>IFERROR(VLOOKUP(D1345,Products!$A$2:$F$61,4,FALSE()),"")</f>
        <v>1886</v>
      </c>
      <c r="O1345" t="str">
        <f>IFERROR(VLOOKUP(C1345,Customers!$A$2:$F$301,5,FALSE()),"")</f>
        <v>Retail</v>
      </c>
      <c r="P1345">
        <f>IFERROR(VLOOKUP(C1345,Customers!$A$2:$F$301,3,FALSE()),"")</f>
        <v>27</v>
      </c>
      <c r="Q1345">
        <f t="shared" si="60"/>
        <v>0.4031645569620253</v>
      </c>
      <c r="R1345">
        <f>IF(AND(COUNTIF($A$2:$A$2027,A1345)&gt;1,COUNTIF($A$2:A1345,A1345)=1),1,0)</f>
        <v>0</v>
      </c>
      <c r="S1345" t="b">
        <f>IFERROR(VLOOKUP(D1345,Products!$A$2:$F$61,6,FALSE()),"")</f>
        <v>1</v>
      </c>
      <c r="T1345" t="str">
        <f>IF(COUNTIF(Customers!$A$2:$A$301,C1345)=0,"Missing","OK")</f>
        <v>OK</v>
      </c>
      <c r="U1345" t="str">
        <f t="shared" si="61"/>
        <v>Bengaluru</v>
      </c>
      <c r="V1345">
        <f t="shared" si="62"/>
        <v>0</v>
      </c>
    </row>
    <row r="1346" spans="1:22" ht="15" customHeight="1" x14ac:dyDescent="0.35">
      <c r="A1346" s="3" t="s">
        <v>1774</v>
      </c>
      <c r="B1346" s="4">
        <v>45395</v>
      </c>
      <c r="C1346" s="3" t="s">
        <v>324</v>
      </c>
      <c r="D1346" s="3" t="s">
        <v>441</v>
      </c>
      <c r="E1346" s="3" t="s">
        <v>93</v>
      </c>
      <c r="F1346" s="5">
        <v>1</v>
      </c>
      <c r="G1346" s="5">
        <v>1090</v>
      </c>
      <c r="H1346" s="5">
        <v>9.6</v>
      </c>
      <c r="I1346" s="5">
        <v>985.36</v>
      </c>
      <c r="J1346" s="3" t="s">
        <v>83</v>
      </c>
      <c r="K1346" s="3" t="s">
        <v>56</v>
      </c>
      <c r="L1346" t="str">
        <f>IFERROR(VLOOKUP(D1346,Products!$A$2:$F$61,3,FALSE()),"")</f>
        <v>Home</v>
      </c>
      <c r="M1346" t="str">
        <f>IFERROR(VLOOKUP(E1346,Sales_Reps!$A$2:$C$31,3,FALSE()),"")</f>
        <v>East</v>
      </c>
      <c r="N1346">
        <f>IFERROR(VLOOKUP(D1346,Products!$A$2:$F$61,4,FALSE()),"")</f>
        <v>464</v>
      </c>
      <c r="O1346" t="str">
        <f>IFERROR(VLOOKUP(C1346,Customers!$A$2:$F$301,5,FALSE()),"")</f>
        <v>Retail</v>
      </c>
      <c r="P1346">
        <f>IFERROR(VLOOKUP(C1346,Customers!$A$2:$F$301,3,FALSE()),"")</f>
        <v>23</v>
      </c>
      <c r="Q1346">
        <f t="shared" ref="Q1346:Q1409" si="63">IFERROR((G1346-N1346)/G1346,"")</f>
        <v>0.57431192660550456</v>
      </c>
      <c r="R1346">
        <f>IF(AND(COUNTIF($A$2:$A$2027,A1346)&gt;1,COUNTIF($A$2:A1346,A1346)=1),1,0)</f>
        <v>0</v>
      </c>
      <c r="S1346" t="b">
        <f>IFERROR(VLOOKUP(D1346,Products!$A$2:$F$61,6,FALSE()),"")</f>
        <v>1</v>
      </c>
      <c r="T1346" t="str">
        <f>IF(COUNTIF(Customers!$A$2:$A$301,C1346)=0,"Missing","OK")</f>
        <v>OK</v>
      </c>
      <c r="U1346" t="str">
        <f t="shared" ref="U1346:U1409" si="64">IF(K1346="","",PROPER(TRIM(K1346)))</f>
        <v>Bengaluru</v>
      </c>
      <c r="V1346">
        <f t="shared" ref="V1346:V1409" si="65">IF(AND(U1346="Bengaluru",L1346="Grocery"),I1346,0)</f>
        <v>0</v>
      </c>
    </row>
    <row r="1347" spans="1:22" ht="15" customHeight="1" x14ac:dyDescent="0.35">
      <c r="A1347" s="3" t="s">
        <v>1775</v>
      </c>
      <c r="B1347" s="4">
        <v>45447</v>
      </c>
      <c r="C1347" s="3" t="s">
        <v>321</v>
      </c>
      <c r="D1347" s="3" t="s">
        <v>49</v>
      </c>
      <c r="E1347" s="3" t="s">
        <v>78</v>
      </c>
      <c r="F1347" s="5">
        <v>9</v>
      </c>
      <c r="G1347" s="5">
        <v>370</v>
      </c>
      <c r="H1347" s="5">
        <v>4</v>
      </c>
      <c r="I1347" s="5">
        <v>3196.8</v>
      </c>
      <c r="J1347" s="3" t="s">
        <v>26</v>
      </c>
      <c r="K1347" s="3" t="s">
        <v>38</v>
      </c>
      <c r="L1347" t="str">
        <f>IFERROR(VLOOKUP(D1347,Products!$A$2:$F$61,3,FALSE()),"")</f>
        <v>Home</v>
      </c>
      <c r="M1347" t="str">
        <f>IFERROR(VLOOKUP(E1347,Sales_Reps!$A$2:$C$31,3,FALSE()),"")</f>
        <v>North</v>
      </c>
      <c r="N1347">
        <f>IFERROR(VLOOKUP(D1347,Products!$A$2:$F$61,4,FALSE()),"")</f>
        <v>288</v>
      </c>
      <c r="O1347" t="str">
        <f>IFERROR(VLOOKUP(C1347,Customers!$A$2:$F$301,5,FALSE()),"")</f>
        <v>Corporate</v>
      </c>
      <c r="P1347">
        <f>IFERROR(VLOOKUP(C1347,Customers!$A$2:$F$301,3,FALSE()),"")</f>
        <v>27</v>
      </c>
      <c r="Q1347">
        <f t="shared" si="63"/>
        <v>0.22162162162162163</v>
      </c>
      <c r="R1347">
        <f>IF(AND(COUNTIF($A$2:$A$2027,A1347)&gt;1,COUNTIF($A$2:A1347,A1347)=1),1,0)</f>
        <v>0</v>
      </c>
      <c r="S1347" t="b">
        <f>IFERROR(VLOOKUP(D1347,Products!$A$2:$F$61,6,FALSE()),"")</f>
        <v>1</v>
      </c>
      <c r="T1347" t="str">
        <f>IF(COUNTIF(Customers!$A$2:$A$301,C1347)=0,"Missing","OK")</f>
        <v>OK</v>
      </c>
      <c r="U1347" t="str">
        <f t="shared" si="64"/>
        <v>Delhi</v>
      </c>
      <c r="V1347">
        <f t="shared" si="65"/>
        <v>0</v>
      </c>
    </row>
    <row r="1348" spans="1:22" ht="15" customHeight="1" x14ac:dyDescent="0.35">
      <c r="A1348" s="3" t="s">
        <v>1776</v>
      </c>
      <c r="B1348" s="4">
        <v>45300</v>
      </c>
      <c r="C1348" s="3" t="s">
        <v>156</v>
      </c>
      <c r="D1348" s="3" t="s">
        <v>218</v>
      </c>
      <c r="E1348" s="3" t="s">
        <v>236</v>
      </c>
      <c r="F1348" s="5">
        <v>5</v>
      </c>
      <c r="G1348" s="5">
        <v>2660</v>
      </c>
      <c r="H1348" s="5">
        <v>24.6</v>
      </c>
      <c r="I1348" s="5">
        <v>10028.200000000001</v>
      </c>
      <c r="J1348" s="3" t="s">
        <v>79</v>
      </c>
      <c r="K1348" s="3" t="s">
        <v>33</v>
      </c>
      <c r="L1348" t="str">
        <f>IFERROR(VLOOKUP(D1348,Products!$A$2:$F$61,3,FALSE()),"")</f>
        <v>Electronics</v>
      </c>
      <c r="M1348" t="str">
        <f>IFERROR(VLOOKUP(E1348,Sales_Reps!$A$2:$C$31,3,FALSE()),"")</f>
        <v>North</v>
      </c>
      <c r="N1348">
        <f>IFERROR(VLOOKUP(D1348,Products!$A$2:$F$61,4,FALSE()),"")</f>
        <v>1259</v>
      </c>
      <c r="O1348" t="str">
        <f>IFERROR(VLOOKUP(C1348,Customers!$A$2:$F$301,5,FALSE()),"")</f>
        <v>Retail</v>
      </c>
      <c r="P1348">
        <f>IFERROR(VLOOKUP(C1348,Customers!$A$2:$F$301,3,FALSE()),"")</f>
        <v>51</v>
      </c>
      <c r="Q1348">
        <f t="shared" si="63"/>
        <v>0.52669172932330832</v>
      </c>
      <c r="R1348">
        <f>IF(AND(COUNTIF($A$2:$A$2027,A1348)&gt;1,COUNTIF($A$2:A1348,A1348)=1),1,0)</f>
        <v>0</v>
      </c>
      <c r="S1348" t="b">
        <f>IFERROR(VLOOKUP(D1348,Products!$A$2:$F$61,6,FALSE()),"")</f>
        <v>0</v>
      </c>
      <c r="T1348" t="str">
        <f>IF(COUNTIF(Customers!$A$2:$A$301,C1348)=0,"Missing","OK")</f>
        <v>OK</v>
      </c>
      <c r="U1348" t="str">
        <f t="shared" si="64"/>
        <v>Chennai</v>
      </c>
      <c r="V1348">
        <f t="shared" si="65"/>
        <v>0</v>
      </c>
    </row>
    <row r="1349" spans="1:22" ht="15" customHeight="1" x14ac:dyDescent="0.35">
      <c r="A1349" s="3" t="s">
        <v>1777</v>
      </c>
      <c r="B1349" s="4">
        <v>45327</v>
      </c>
      <c r="C1349" s="3" t="s">
        <v>1300</v>
      </c>
      <c r="D1349" s="3" t="s">
        <v>598</v>
      </c>
      <c r="E1349" s="3" t="s">
        <v>242</v>
      </c>
      <c r="F1349" s="5">
        <v>4</v>
      </c>
      <c r="G1349" s="5">
        <v>3560</v>
      </c>
      <c r="H1349" s="5">
        <v>25.7</v>
      </c>
      <c r="I1349" s="5">
        <v>10580.32</v>
      </c>
      <c r="J1349" s="3" t="s">
        <v>26</v>
      </c>
      <c r="K1349" s="3" t="s">
        <v>33</v>
      </c>
      <c r="L1349" t="str">
        <f>IFERROR(VLOOKUP(D1349,Products!$A$2:$F$61,3,FALSE()),"")</f>
        <v>Apparel</v>
      </c>
      <c r="M1349" t="str">
        <f>IFERROR(VLOOKUP(E1349,Sales_Reps!$A$2:$C$31,3,FALSE()),"")</f>
        <v>East</v>
      </c>
      <c r="N1349">
        <f>IFERROR(VLOOKUP(D1349,Products!$A$2:$F$61,4,FALSE()),"")</f>
        <v>2629</v>
      </c>
      <c r="O1349" t="str">
        <f>IFERROR(VLOOKUP(C1349,Customers!$A$2:$F$301,5,FALSE()),"")</f>
        <v>Retail</v>
      </c>
      <c r="P1349">
        <f>IFERROR(VLOOKUP(C1349,Customers!$A$2:$F$301,3,FALSE()),"")</f>
        <v>34</v>
      </c>
      <c r="Q1349">
        <f t="shared" si="63"/>
        <v>0.26151685393258428</v>
      </c>
      <c r="R1349">
        <f>IF(AND(COUNTIF($A$2:$A$2027,A1349)&gt;1,COUNTIF($A$2:A1349,A1349)=1),1,0)</f>
        <v>0</v>
      </c>
      <c r="S1349" t="b">
        <f>IFERROR(VLOOKUP(D1349,Products!$A$2:$F$61,6,FALSE()),"")</f>
        <v>1</v>
      </c>
      <c r="T1349" t="str">
        <f>IF(COUNTIF(Customers!$A$2:$A$301,C1349)=0,"Missing","OK")</f>
        <v>OK</v>
      </c>
      <c r="U1349" t="str">
        <f t="shared" si="64"/>
        <v>Chennai</v>
      </c>
      <c r="V1349">
        <f t="shared" si="65"/>
        <v>0</v>
      </c>
    </row>
    <row r="1350" spans="1:22" ht="15" customHeight="1" x14ac:dyDescent="0.35">
      <c r="A1350" s="3" t="s">
        <v>1778</v>
      </c>
      <c r="B1350" s="4">
        <v>45410</v>
      </c>
      <c r="C1350" s="3" t="s">
        <v>925</v>
      </c>
      <c r="D1350" s="3" t="s">
        <v>319</v>
      </c>
      <c r="E1350" s="3" t="s">
        <v>31</v>
      </c>
      <c r="F1350" s="5">
        <v>8</v>
      </c>
      <c r="G1350" s="5">
        <v>960</v>
      </c>
      <c r="H1350" s="5">
        <v>0.1</v>
      </c>
      <c r="I1350" s="5">
        <v>7672.32</v>
      </c>
      <c r="J1350" s="3" t="s">
        <v>26</v>
      </c>
      <c r="K1350" s="3" t="s">
        <v>33</v>
      </c>
      <c r="L1350" t="str">
        <f>IFERROR(VLOOKUP(D1350,Products!$A$2:$F$61,3,FALSE()),"")</f>
        <v>Beauty</v>
      </c>
      <c r="M1350" t="str">
        <f>IFERROR(VLOOKUP(E1350,Sales_Reps!$A$2:$C$31,3,FALSE()),"")</f>
        <v>North</v>
      </c>
      <c r="N1350">
        <f>IFERROR(VLOOKUP(D1350,Products!$A$2:$F$61,4,FALSE()),"")</f>
        <v>675</v>
      </c>
      <c r="O1350" t="str">
        <f>IFERROR(VLOOKUP(C1350,Customers!$A$2:$F$301,5,FALSE()),"")</f>
        <v>Corporate</v>
      </c>
      <c r="P1350">
        <f>IFERROR(VLOOKUP(C1350,Customers!$A$2:$F$301,3,FALSE()),"")</f>
        <v>52</v>
      </c>
      <c r="Q1350">
        <f t="shared" si="63"/>
        <v>0.296875</v>
      </c>
      <c r="R1350">
        <f>IF(AND(COUNTIF($A$2:$A$2027,A1350)&gt;1,COUNTIF($A$2:A1350,A1350)=1),1,0)</f>
        <v>0</v>
      </c>
      <c r="S1350" t="b">
        <f>IFERROR(VLOOKUP(D1350,Products!$A$2:$F$61,6,FALSE()),"")</f>
        <v>1</v>
      </c>
      <c r="T1350" t="str">
        <f>IF(COUNTIF(Customers!$A$2:$A$301,C1350)=0,"Missing","OK")</f>
        <v>OK</v>
      </c>
      <c r="U1350" t="str">
        <f t="shared" si="64"/>
        <v>Chennai</v>
      </c>
      <c r="V1350">
        <f t="shared" si="65"/>
        <v>0</v>
      </c>
    </row>
    <row r="1351" spans="1:22" ht="15" customHeight="1" x14ac:dyDescent="0.35">
      <c r="A1351" s="3" t="s">
        <v>1779</v>
      </c>
      <c r="B1351" s="4">
        <v>45644</v>
      </c>
      <c r="C1351" s="3" t="s">
        <v>164</v>
      </c>
      <c r="D1351" s="3" t="s">
        <v>49</v>
      </c>
      <c r="E1351" s="3" t="s">
        <v>55</v>
      </c>
      <c r="F1351" s="5">
        <v>10</v>
      </c>
      <c r="G1351" s="5">
        <v>370</v>
      </c>
      <c r="H1351" s="5">
        <v>16.399999999999999</v>
      </c>
      <c r="I1351" s="5">
        <v>3093.2</v>
      </c>
      <c r="J1351" s="3" t="s">
        <v>79</v>
      </c>
      <c r="K1351" s="3" t="s">
        <v>33</v>
      </c>
      <c r="L1351" t="str">
        <f>IFERROR(VLOOKUP(D1351,Products!$A$2:$F$61,3,FALSE()),"")</f>
        <v>Home</v>
      </c>
      <c r="M1351" t="str">
        <f>IFERROR(VLOOKUP(E1351,Sales_Reps!$A$2:$C$31,3,FALSE()),"")</f>
        <v>West</v>
      </c>
      <c r="N1351">
        <f>IFERROR(VLOOKUP(D1351,Products!$A$2:$F$61,4,FALSE()),"")</f>
        <v>288</v>
      </c>
      <c r="O1351" t="str">
        <f>IFERROR(VLOOKUP(C1351,Customers!$A$2:$F$301,5,FALSE()),"")</f>
        <v>Retail</v>
      </c>
      <c r="P1351">
        <f>IFERROR(VLOOKUP(C1351,Customers!$A$2:$F$301,3,FALSE()),"")</f>
        <v>37</v>
      </c>
      <c r="Q1351">
        <f t="shared" si="63"/>
        <v>0.22162162162162163</v>
      </c>
      <c r="R1351">
        <f>IF(AND(COUNTIF($A$2:$A$2027,A1351)&gt;1,COUNTIF($A$2:A1351,A1351)=1),1,0)</f>
        <v>0</v>
      </c>
      <c r="S1351" t="b">
        <f>IFERROR(VLOOKUP(D1351,Products!$A$2:$F$61,6,FALSE()),"")</f>
        <v>1</v>
      </c>
      <c r="T1351" t="str">
        <f>IF(COUNTIF(Customers!$A$2:$A$301,C1351)=0,"Missing","OK")</f>
        <v>OK</v>
      </c>
      <c r="U1351" t="str">
        <f t="shared" si="64"/>
        <v>Chennai</v>
      </c>
      <c r="V1351">
        <f t="shared" si="65"/>
        <v>0</v>
      </c>
    </row>
    <row r="1352" spans="1:22" ht="15" customHeight="1" x14ac:dyDescent="0.35">
      <c r="A1352" s="3" t="s">
        <v>1780</v>
      </c>
      <c r="B1352" s="4">
        <v>45399</v>
      </c>
      <c r="C1352" s="3" t="s">
        <v>776</v>
      </c>
      <c r="D1352" s="3" t="s">
        <v>112</v>
      </c>
      <c r="E1352" s="3" t="s">
        <v>168</v>
      </c>
      <c r="F1352" s="5">
        <v>4</v>
      </c>
      <c r="G1352" s="5">
        <v>2720</v>
      </c>
      <c r="H1352" s="5">
        <v>3.1</v>
      </c>
      <c r="I1352" s="5">
        <v>10542.72</v>
      </c>
      <c r="J1352" s="3" t="s">
        <v>26</v>
      </c>
      <c r="K1352" s="3" t="s">
        <v>56</v>
      </c>
      <c r="L1352" t="str">
        <f>IFERROR(VLOOKUP(D1352,Products!$A$2:$F$61,3,FALSE()),"")</f>
        <v>Apparel</v>
      </c>
      <c r="M1352" t="str">
        <f>IFERROR(VLOOKUP(E1352,Sales_Reps!$A$2:$C$31,3,FALSE()),"")</f>
        <v>West</v>
      </c>
      <c r="N1352">
        <f>IFERROR(VLOOKUP(D1352,Products!$A$2:$F$61,4,FALSE()),"")</f>
        <v>1962</v>
      </c>
      <c r="O1352" t="str">
        <f>IFERROR(VLOOKUP(C1352,Customers!$A$2:$F$301,5,FALSE()),"")</f>
        <v>Retail</v>
      </c>
      <c r="P1352">
        <f>IFERROR(VLOOKUP(C1352,Customers!$A$2:$F$301,3,FALSE()),"")</f>
        <v>37</v>
      </c>
      <c r="Q1352">
        <f t="shared" si="63"/>
        <v>0.2786764705882353</v>
      </c>
      <c r="R1352">
        <f>IF(AND(COUNTIF($A$2:$A$2027,A1352)&gt;1,COUNTIF($A$2:A1352,A1352)=1),1,0)</f>
        <v>0</v>
      </c>
      <c r="S1352" t="b">
        <f>IFERROR(VLOOKUP(D1352,Products!$A$2:$F$61,6,FALSE()),"")</f>
        <v>1</v>
      </c>
      <c r="T1352" t="str">
        <f>IF(COUNTIF(Customers!$A$2:$A$301,C1352)=0,"Missing","OK")</f>
        <v>OK</v>
      </c>
      <c r="U1352" t="str">
        <f t="shared" si="64"/>
        <v>Bengaluru</v>
      </c>
      <c r="V1352">
        <f t="shared" si="65"/>
        <v>0</v>
      </c>
    </row>
    <row r="1353" spans="1:22" ht="15" customHeight="1" x14ac:dyDescent="0.35">
      <c r="A1353" s="3" t="s">
        <v>1781</v>
      </c>
      <c r="B1353" s="4">
        <v>45441</v>
      </c>
      <c r="C1353" s="3" t="s">
        <v>344</v>
      </c>
      <c r="D1353" s="3" t="s">
        <v>382</v>
      </c>
      <c r="E1353" s="3" t="s">
        <v>31</v>
      </c>
      <c r="F1353" s="5">
        <v>10</v>
      </c>
      <c r="G1353" s="5">
        <v>5080</v>
      </c>
      <c r="H1353" s="5">
        <v>6.8</v>
      </c>
      <c r="I1353" s="5">
        <v>47345.599999999999</v>
      </c>
      <c r="J1353" s="3" t="s">
        <v>26</v>
      </c>
      <c r="K1353" s="3" t="s">
        <v>33</v>
      </c>
      <c r="L1353" t="str">
        <f>IFERROR(VLOOKUP(D1353,Products!$A$2:$F$61,3,FALSE()),"")</f>
        <v>Home</v>
      </c>
      <c r="M1353" t="str">
        <f>IFERROR(VLOOKUP(E1353,Sales_Reps!$A$2:$C$31,3,FALSE()),"")</f>
        <v>North</v>
      </c>
      <c r="N1353">
        <f>IFERROR(VLOOKUP(D1353,Products!$A$2:$F$61,4,FALSE()),"")</f>
        <v>2459</v>
      </c>
      <c r="O1353" t="str">
        <f>IFERROR(VLOOKUP(C1353,Customers!$A$2:$F$301,5,FALSE()),"")</f>
        <v>Corporate</v>
      </c>
      <c r="P1353">
        <f>IFERROR(VLOOKUP(C1353,Customers!$A$2:$F$301,3,FALSE()),"")</f>
        <v>24</v>
      </c>
      <c r="Q1353">
        <f t="shared" si="63"/>
        <v>0.51594488188976373</v>
      </c>
      <c r="R1353">
        <f>IF(AND(COUNTIF($A$2:$A$2027,A1353)&gt;1,COUNTIF($A$2:A1353,A1353)=1),1,0)</f>
        <v>0</v>
      </c>
      <c r="S1353" t="b">
        <f>IFERROR(VLOOKUP(D1353,Products!$A$2:$F$61,6,FALSE()),"")</f>
        <v>1</v>
      </c>
      <c r="T1353" t="str">
        <f>IF(COUNTIF(Customers!$A$2:$A$301,C1353)=0,"Missing","OK")</f>
        <v>OK</v>
      </c>
      <c r="U1353" t="str">
        <f t="shared" si="64"/>
        <v>Chennai</v>
      </c>
      <c r="V1353">
        <f t="shared" si="65"/>
        <v>0</v>
      </c>
    </row>
    <row r="1354" spans="1:22" ht="15" customHeight="1" x14ac:dyDescent="0.35">
      <c r="A1354" s="3" t="s">
        <v>1782</v>
      </c>
      <c r="B1354" s="4">
        <v>45379</v>
      </c>
      <c r="C1354" s="3" t="s">
        <v>1473</v>
      </c>
      <c r="D1354" s="3" t="s">
        <v>325</v>
      </c>
      <c r="E1354" s="3" t="s">
        <v>46</v>
      </c>
      <c r="F1354" s="5">
        <v>6</v>
      </c>
      <c r="G1354" s="5">
        <v>2290</v>
      </c>
      <c r="H1354" s="5">
        <v>22.6</v>
      </c>
      <c r="I1354" s="5">
        <v>10634.76</v>
      </c>
      <c r="J1354" s="3" t="s">
        <v>26</v>
      </c>
      <c r="K1354" s="3" t="s">
        <v>72</v>
      </c>
      <c r="L1354" t="str">
        <f>IFERROR(VLOOKUP(D1354,Products!$A$2:$F$61,3,FALSE()),"")</f>
        <v>Beauty</v>
      </c>
      <c r="M1354" t="str">
        <f>IFERROR(VLOOKUP(E1354,Sales_Reps!$A$2:$C$31,3,FALSE()),"")</f>
        <v>North</v>
      </c>
      <c r="N1354">
        <f>IFERROR(VLOOKUP(D1354,Products!$A$2:$F$61,4,FALSE()),"")</f>
        <v>1219</v>
      </c>
      <c r="O1354" t="str">
        <f>IFERROR(VLOOKUP(C1354,Customers!$A$2:$F$301,5,FALSE()),"")</f>
        <v>Corporate</v>
      </c>
      <c r="P1354">
        <f>IFERROR(VLOOKUP(C1354,Customers!$A$2:$F$301,3,FALSE()),"")</f>
        <v>25</v>
      </c>
      <c r="Q1354">
        <f t="shared" si="63"/>
        <v>0.46768558951965067</v>
      </c>
      <c r="R1354">
        <f>IF(AND(COUNTIF($A$2:$A$2027,A1354)&gt;1,COUNTIF($A$2:A1354,A1354)=1),1,0)</f>
        <v>0</v>
      </c>
      <c r="S1354" t="b">
        <f>IFERROR(VLOOKUP(D1354,Products!$A$2:$F$61,6,FALSE()),"")</f>
        <v>1</v>
      </c>
      <c r="T1354" t="str">
        <f>IF(COUNTIF(Customers!$A$2:$A$301,C1354)=0,"Missing","OK")</f>
        <v>OK</v>
      </c>
      <c r="U1354" t="str">
        <f t="shared" si="64"/>
        <v>Hyderabad</v>
      </c>
      <c r="V1354">
        <f t="shared" si="65"/>
        <v>0</v>
      </c>
    </row>
    <row r="1355" spans="1:22" ht="15" customHeight="1" x14ac:dyDescent="0.35">
      <c r="A1355" s="3" t="s">
        <v>1783</v>
      </c>
      <c r="B1355" s="4">
        <v>45502</v>
      </c>
      <c r="C1355" s="3" t="s">
        <v>707</v>
      </c>
      <c r="D1355" s="3" t="s">
        <v>139</v>
      </c>
      <c r="E1355" s="3" t="s">
        <v>42</v>
      </c>
      <c r="F1355" s="5">
        <v>4</v>
      </c>
      <c r="G1355" s="5">
        <v>2760</v>
      </c>
      <c r="H1355" s="5">
        <v>27.2</v>
      </c>
      <c r="I1355" s="5">
        <v>8037.12</v>
      </c>
      <c r="J1355" s="3" t="s">
        <v>83</v>
      </c>
      <c r="K1355" s="3" t="s">
        <v>27</v>
      </c>
      <c r="L1355" t="str">
        <f>IFERROR(VLOOKUP(D1355,Products!$A$2:$F$61,3,FALSE()),"")</f>
        <v>Grocery</v>
      </c>
      <c r="M1355" t="str">
        <f>IFERROR(VLOOKUP(E1355,Sales_Reps!$A$2:$C$31,3,FALSE()),"")</f>
        <v>North</v>
      </c>
      <c r="N1355">
        <f>IFERROR(VLOOKUP(D1355,Products!$A$2:$F$61,4,FALSE()),"")</f>
        <v>1435</v>
      </c>
      <c r="O1355" t="str">
        <f>IFERROR(VLOOKUP(C1355,Customers!$A$2:$F$301,5,FALSE()),"")</f>
        <v>Corporate</v>
      </c>
      <c r="P1355">
        <f>IFERROR(VLOOKUP(C1355,Customers!$A$2:$F$301,3,FALSE()),"")</f>
        <v>42</v>
      </c>
      <c r="Q1355">
        <f t="shared" si="63"/>
        <v>0.48007246376811596</v>
      </c>
      <c r="R1355">
        <f>IF(AND(COUNTIF($A$2:$A$2027,A1355)&gt;1,COUNTIF($A$2:A1355,A1355)=1),1,0)</f>
        <v>0</v>
      </c>
      <c r="S1355" t="b">
        <f>IFERROR(VLOOKUP(D1355,Products!$A$2:$F$61,6,FALSE()),"")</f>
        <v>1</v>
      </c>
      <c r="T1355" t="str">
        <f>IF(COUNTIF(Customers!$A$2:$A$301,C1355)=0,"Missing","OK")</f>
        <v>OK</v>
      </c>
      <c r="U1355" t="str">
        <f t="shared" si="64"/>
        <v>Pune</v>
      </c>
      <c r="V1355">
        <f t="shared" si="65"/>
        <v>0</v>
      </c>
    </row>
    <row r="1356" spans="1:22" ht="15" customHeight="1" x14ac:dyDescent="0.35">
      <c r="A1356" s="3" t="s">
        <v>1784</v>
      </c>
      <c r="B1356" s="4">
        <v>45466</v>
      </c>
      <c r="C1356" s="3" t="s">
        <v>381</v>
      </c>
      <c r="D1356" s="3" t="s">
        <v>70</v>
      </c>
      <c r="E1356" s="3" t="s">
        <v>282</v>
      </c>
      <c r="F1356" s="5">
        <v>9</v>
      </c>
      <c r="G1356" s="5">
        <v>2270</v>
      </c>
      <c r="H1356" s="5">
        <v>5.2</v>
      </c>
      <c r="I1356" s="5">
        <v>19367.64</v>
      </c>
      <c r="J1356" s="3" t="s">
        <v>26</v>
      </c>
      <c r="K1356" s="3" t="s">
        <v>27</v>
      </c>
      <c r="L1356" t="str">
        <f>IFERROR(VLOOKUP(D1356,Products!$A$2:$F$61,3,FALSE()),"")</f>
        <v>Grocery</v>
      </c>
      <c r="M1356" t="str">
        <f>IFERROR(VLOOKUP(E1356,Sales_Reps!$A$2:$C$31,3,FALSE()),"")</f>
        <v>West</v>
      </c>
      <c r="N1356">
        <f>IFERROR(VLOOKUP(D1356,Products!$A$2:$F$61,4,FALSE()),"")</f>
        <v>1203</v>
      </c>
      <c r="O1356" t="str">
        <f>IFERROR(VLOOKUP(C1356,Customers!$A$2:$F$301,5,FALSE()),"")</f>
        <v>Retail</v>
      </c>
      <c r="P1356">
        <f>IFERROR(VLOOKUP(C1356,Customers!$A$2:$F$301,3,FALSE()),"")</f>
        <v>65</v>
      </c>
      <c r="Q1356">
        <f t="shared" si="63"/>
        <v>0.47004405286343615</v>
      </c>
      <c r="R1356">
        <f>IF(AND(COUNTIF($A$2:$A$2027,A1356)&gt;1,COUNTIF($A$2:A1356,A1356)=1),1,0)</f>
        <v>0</v>
      </c>
      <c r="S1356" t="b">
        <f>IFERROR(VLOOKUP(D1356,Products!$A$2:$F$61,6,FALSE()),"")</f>
        <v>1</v>
      </c>
      <c r="T1356" t="str">
        <f>IF(COUNTIF(Customers!$A$2:$A$301,C1356)=0,"Missing","OK")</f>
        <v>OK</v>
      </c>
      <c r="U1356" t="str">
        <f t="shared" si="64"/>
        <v>Pune</v>
      </c>
      <c r="V1356">
        <f t="shared" si="65"/>
        <v>0</v>
      </c>
    </row>
    <row r="1357" spans="1:22" ht="15" customHeight="1" x14ac:dyDescent="0.35">
      <c r="A1357" s="3" t="s">
        <v>1785</v>
      </c>
      <c r="B1357" s="4">
        <v>45500</v>
      </c>
      <c r="C1357" s="3" t="s">
        <v>317</v>
      </c>
      <c r="D1357" s="3" t="s">
        <v>294</v>
      </c>
      <c r="E1357" s="3" t="s">
        <v>46</v>
      </c>
      <c r="F1357" s="5">
        <v>3</v>
      </c>
      <c r="G1357" s="5">
        <v>2510</v>
      </c>
      <c r="H1357" s="5">
        <v>16.399999999999999</v>
      </c>
      <c r="I1357" s="5">
        <v>6295.08</v>
      </c>
      <c r="J1357" s="3" t="s">
        <v>26</v>
      </c>
      <c r="K1357" s="3" t="s">
        <v>33</v>
      </c>
      <c r="L1357" t="str">
        <f>IFERROR(VLOOKUP(D1357,Products!$A$2:$F$61,3,FALSE()),"")</f>
        <v>Apparel</v>
      </c>
      <c r="M1357" t="str">
        <f>IFERROR(VLOOKUP(E1357,Sales_Reps!$A$2:$C$31,3,FALSE()),"")</f>
        <v>North</v>
      </c>
      <c r="N1357">
        <f>IFERROR(VLOOKUP(D1357,Products!$A$2:$F$61,4,FALSE()),"")</f>
        <v>1075</v>
      </c>
      <c r="O1357" t="str">
        <f>IFERROR(VLOOKUP(C1357,Customers!$A$2:$F$301,5,FALSE()),"")</f>
        <v>SMB</v>
      </c>
      <c r="P1357">
        <f>IFERROR(VLOOKUP(C1357,Customers!$A$2:$F$301,3,FALSE()),"")</f>
        <v>53</v>
      </c>
      <c r="Q1357">
        <f t="shared" si="63"/>
        <v>0.57171314741035861</v>
      </c>
      <c r="R1357">
        <f>IF(AND(COUNTIF($A$2:$A$2027,A1357)&gt;1,COUNTIF($A$2:A1357,A1357)=1),1,0)</f>
        <v>0</v>
      </c>
      <c r="S1357" t="b">
        <f>IFERROR(VLOOKUP(D1357,Products!$A$2:$F$61,6,FALSE()),"")</f>
        <v>0</v>
      </c>
      <c r="T1357" t="str">
        <f>IF(COUNTIF(Customers!$A$2:$A$301,C1357)=0,"Missing","OK")</f>
        <v>OK</v>
      </c>
      <c r="U1357" t="str">
        <f t="shared" si="64"/>
        <v>Chennai</v>
      </c>
      <c r="V1357">
        <f t="shared" si="65"/>
        <v>0</v>
      </c>
    </row>
    <row r="1358" spans="1:22" ht="15" customHeight="1" x14ac:dyDescent="0.35">
      <c r="A1358" s="3" t="s">
        <v>1786</v>
      </c>
      <c r="B1358" s="4">
        <v>45337</v>
      </c>
      <c r="C1358" s="3" t="s">
        <v>251</v>
      </c>
      <c r="D1358" s="3" t="s">
        <v>306</v>
      </c>
      <c r="E1358" s="3" t="s">
        <v>264</v>
      </c>
      <c r="F1358" s="5">
        <v>1</v>
      </c>
      <c r="G1358" s="5">
        <v>2380</v>
      </c>
      <c r="H1358" s="5">
        <v>23.5</v>
      </c>
      <c r="I1358" s="5">
        <v>1820.7</v>
      </c>
      <c r="J1358" s="3" t="s">
        <v>26</v>
      </c>
      <c r="K1358" s="3" t="s">
        <v>72</v>
      </c>
      <c r="L1358" t="str">
        <f>IFERROR(VLOOKUP(D1358,Products!$A$2:$F$61,3,FALSE()),"")</f>
        <v>Grocery</v>
      </c>
      <c r="M1358" t="str">
        <f>IFERROR(VLOOKUP(E1358,Sales_Reps!$A$2:$C$31,3,FALSE()),"")</f>
        <v>South</v>
      </c>
      <c r="N1358">
        <f>IFERROR(VLOOKUP(D1358,Products!$A$2:$F$61,4,FALSE()),"")</f>
        <v>1182</v>
      </c>
      <c r="O1358" t="str">
        <f>IFERROR(VLOOKUP(C1358,Customers!$A$2:$F$301,5,FALSE()),"")</f>
        <v>Retail</v>
      </c>
      <c r="P1358">
        <f>IFERROR(VLOOKUP(C1358,Customers!$A$2:$F$301,3,FALSE()),"")</f>
        <v>46</v>
      </c>
      <c r="Q1358">
        <f t="shared" si="63"/>
        <v>0.50336134453781511</v>
      </c>
      <c r="R1358">
        <f>IF(AND(COUNTIF($A$2:$A$2027,A1358)&gt;1,COUNTIF($A$2:A1358,A1358)=1),1,0)</f>
        <v>0</v>
      </c>
      <c r="S1358" t="b">
        <f>IFERROR(VLOOKUP(D1358,Products!$A$2:$F$61,6,FALSE()),"")</f>
        <v>1</v>
      </c>
      <c r="T1358" t="str">
        <f>IF(COUNTIF(Customers!$A$2:$A$301,C1358)=0,"Missing","OK")</f>
        <v>OK</v>
      </c>
      <c r="U1358" t="str">
        <f t="shared" si="64"/>
        <v>Hyderabad</v>
      </c>
      <c r="V1358">
        <f t="shared" si="65"/>
        <v>0</v>
      </c>
    </row>
    <row r="1359" spans="1:22" ht="15" customHeight="1" x14ac:dyDescent="0.35">
      <c r="A1359" s="3" t="s">
        <v>1787</v>
      </c>
      <c r="B1359" s="4">
        <v>45447</v>
      </c>
      <c r="C1359" s="3" t="s">
        <v>776</v>
      </c>
      <c r="D1359" s="3" t="s">
        <v>400</v>
      </c>
      <c r="E1359" s="3" t="s">
        <v>60</v>
      </c>
      <c r="F1359" s="5">
        <v>2</v>
      </c>
      <c r="G1359" s="5">
        <v>3780</v>
      </c>
      <c r="H1359" s="5">
        <v>29.1</v>
      </c>
      <c r="I1359" s="5">
        <v>5360.04</v>
      </c>
      <c r="J1359" s="3" t="s">
        <v>26</v>
      </c>
      <c r="K1359" s="3" t="s">
        <v>56</v>
      </c>
      <c r="L1359" t="str">
        <f>IFERROR(VLOOKUP(D1359,Products!$A$2:$F$61,3,FALSE()),"")</f>
        <v>Sports</v>
      </c>
      <c r="M1359" t="str">
        <f>IFERROR(VLOOKUP(E1359,Sales_Reps!$A$2:$C$31,3,FALSE()),"")</f>
        <v>East</v>
      </c>
      <c r="N1359">
        <f>IFERROR(VLOOKUP(D1359,Products!$A$2:$F$61,4,FALSE()),"")</f>
        <v>1860</v>
      </c>
      <c r="O1359" t="str">
        <f>IFERROR(VLOOKUP(C1359,Customers!$A$2:$F$301,5,FALSE()),"")</f>
        <v>Retail</v>
      </c>
      <c r="P1359">
        <f>IFERROR(VLOOKUP(C1359,Customers!$A$2:$F$301,3,FALSE()),"")</f>
        <v>37</v>
      </c>
      <c r="Q1359">
        <f t="shared" si="63"/>
        <v>0.50793650793650791</v>
      </c>
      <c r="R1359">
        <f>IF(AND(COUNTIF($A$2:$A$2027,A1359)&gt;1,COUNTIF($A$2:A1359,A1359)=1),1,0)</f>
        <v>0</v>
      </c>
      <c r="S1359" t="b">
        <f>IFERROR(VLOOKUP(D1359,Products!$A$2:$F$61,6,FALSE()),"")</f>
        <v>1</v>
      </c>
      <c r="T1359" t="str">
        <f>IF(COUNTIF(Customers!$A$2:$A$301,C1359)=0,"Missing","OK")</f>
        <v>OK</v>
      </c>
      <c r="U1359" t="str">
        <f t="shared" si="64"/>
        <v>Bengaluru</v>
      </c>
      <c r="V1359">
        <f t="shared" si="65"/>
        <v>0</v>
      </c>
    </row>
    <row r="1360" spans="1:22" ht="15" customHeight="1" x14ac:dyDescent="0.35">
      <c r="A1360" s="3" t="s">
        <v>1788</v>
      </c>
      <c r="B1360" s="4">
        <v>45546</v>
      </c>
      <c r="C1360" s="3" t="s">
        <v>891</v>
      </c>
      <c r="D1360" s="3" t="s">
        <v>391</v>
      </c>
      <c r="E1360" s="3" t="s">
        <v>140</v>
      </c>
      <c r="F1360" s="5">
        <v>1</v>
      </c>
      <c r="G1360" s="5">
        <v>3450</v>
      </c>
      <c r="H1360" s="5">
        <v>17.8</v>
      </c>
      <c r="I1360" s="5">
        <v>2835.9</v>
      </c>
      <c r="J1360" s="3" t="s">
        <v>26</v>
      </c>
      <c r="K1360" s="3" t="s">
        <v>72</v>
      </c>
      <c r="L1360" t="str">
        <f>IFERROR(VLOOKUP(D1360,Products!$A$2:$F$61,3,FALSE()),"")</f>
        <v>Apparel</v>
      </c>
      <c r="M1360" t="str">
        <f>IFERROR(VLOOKUP(E1360,Sales_Reps!$A$2:$C$31,3,FALSE()),"")</f>
        <v>West</v>
      </c>
      <c r="N1360">
        <f>IFERROR(VLOOKUP(D1360,Products!$A$2:$F$61,4,FALSE()),"")</f>
        <v>1748</v>
      </c>
      <c r="O1360" t="str">
        <f>IFERROR(VLOOKUP(C1360,Customers!$A$2:$F$301,5,FALSE()),"")</f>
        <v>Retail</v>
      </c>
      <c r="P1360">
        <f>IFERROR(VLOOKUP(C1360,Customers!$A$2:$F$301,3,FALSE()),"")</f>
        <v>35</v>
      </c>
      <c r="Q1360">
        <f t="shared" si="63"/>
        <v>0.49333333333333335</v>
      </c>
      <c r="R1360">
        <f>IF(AND(COUNTIF($A$2:$A$2027,A1360)&gt;1,COUNTIF($A$2:A1360,A1360)=1),1,0)</f>
        <v>0</v>
      </c>
      <c r="S1360" t="b">
        <f>IFERROR(VLOOKUP(D1360,Products!$A$2:$F$61,6,FALSE()),"")</f>
        <v>1</v>
      </c>
      <c r="T1360" t="str">
        <f>IF(COUNTIF(Customers!$A$2:$A$301,C1360)=0,"Missing","OK")</f>
        <v>OK</v>
      </c>
      <c r="U1360" t="str">
        <f t="shared" si="64"/>
        <v>Hyderabad</v>
      </c>
      <c r="V1360">
        <f t="shared" si="65"/>
        <v>0</v>
      </c>
    </row>
    <row r="1361" spans="1:22" ht="15" customHeight="1" x14ac:dyDescent="0.35">
      <c r="A1361" s="3" t="s">
        <v>1789</v>
      </c>
      <c r="B1361" s="4">
        <v>45451</v>
      </c>
      <c r="C1361" s="3" t="s">
        <v>327</v>
      </c>
      <c r="D1361" s="3" t="s">
        <v>123</v>
      </c>
      <c r="E1361" s="3" t="s">
        <v>42</v>
      </c>
      <c r="F1361" s="5">
        <v>6</v>
      </c>
      <c r="G1361" s="5">
        <v>4880</v>
      </c>
      <c r="H1361" s="5">
        <v>15.6</v>
      </c>
      <c r="I1361" s="5">
        <v>24712.32</v>
      </c>
      <c r="J1361" s="3" t="s">
        <v>32</v>
      </c>
      <c r="K1361" s="3" t="s">
        <v>72</v>
      </c>
      <c r="L1361" t="str">
        <f>IFERROR(VLOOKUP(D1361,Products!$A$2:$F$61,3,FALSE()),"")</f>
        <v>Beauty</v>
      </c>
      <c r="M1361" t="str">
        <f>IFERROR(VLOOKUP(E1361,Sales_Reps!$A$2:$C$31,3,FALSE()),"")</f>
        <v>North</v>
      </c>
      <c r="N1361">
        <f>IFERROR(VLOOKUP(D1361,Products!$A$2:$F$61,4,FALSE()),"")</f>
        <v>2768</v>
      </c>
      <c r="O1361" t="str">
        <f>IFERROR(VLOOKUP(C1361,Customers!$A$2:$F$301,5,FALSE()),"")</f>
        <v>Retail</v>
      </c>
      <c r="P1361">
        <f>IFERROR(VLOOKUP(C1361,Customers!$A$2:$F$301,3,FALSE()),"")</f>
        <v>44</v>
      </c>
      <c r="Q1361">
        <f t="shared" si="63"/>
        <v>0.43278688524590164</v>
      </c>
      <c r="R1361">
        <f>IF(AND(COUNTIF($A$2:$A$2027,A1361)&gt;1,COUNTIF($A$2:A1361,A1361)=1),1,0)</f>
        <v>0</v>
      </c>
      <c r="S1361" t="b">
        <f>IFERROR(VLOOKUP(D1361,Products!$A$2:$F$61,6,FALSE()),"")</f>
        <v>1</v>
      </c>
      <c r="T1361" t="str">
        <f>IF(COUNTIF(Customers!$A$2:$A$301,C1361)=0,"Missing","OK")</f>
        <v>OK</v>
      </c>
      <c r="U1361" t="str">
        <f t="shared" si="64"/>
        <v>Hyderabad</v>
      </c>
      <c r="V1361">
        <f t="shared" si="65"/>
        <v>0</v>
      </c>
    </row>
    <row r="1362" spans="1:22" ht="15" customHeight="1" x14ac:dyDescent="0.35">
      <c r="A1362" s="3" t="s">
        <v>1790</v>
      </c>
      <c r="B1362" s="4">
        <v>45427</v>
      </c>
      <c r="C1362" s="3" t="s">
        <v>114</v>
      </c>
      <c r="D1362" s="3" t="s">
        <v>319</v>
      </c>
      <c r="E1362" s="3" t="s">
        <v>285</v>
      </c>
      <c r="F1362" s="5">
        <v>6</v>
      </c>
      <c r="G1362" s="5">
        <v>960</v>
      </c>
      <c r="H1362" s="5">
        <v>7.5</v>
      </c>
      <c r="I1362" s="5">
        <v>5328</v>
      </c>
      <c r="J1362" s="3" t="s">
        <v>32</v>
      </c>
      <c r="K1362" s="3" t="s">
        <v>72</v>
      </c>
      <c r="L1362" t="str">
        <f>IFERROR(VLOOKUP(D1362,Products!$A$2:$F$61,3,FALSE()),"")</f>
        <v>Beauty</v>
      </c>
      <c r="M1362" t="str">
        <f>IFERROR(VLOOKUP(E1362,Sales_Reps!$A$2:$C$31,3,FALSE()),"")</f>
        <v>South</v>
      </c>
      <c r="N1362">
        <f>IFERROR(VLOOKUP(D1362,Products!$A$2:$F$61,4,FALSE()),"")</f>
        <v>675</v>
      </c>
      <c r="O1362" t="str">
        <f>IFERROR(VLOOKUP(C1362,Customers!$A$2:$F$301,5,FALSE()),"")</f>
        <v>SMB</v>
      </c>
      <c r="P1362">
        <f>IFERROR(VLOOKUP(C1362,Customers!$A$2:$F$301,3,FALSE()),"")</f>
        <v>40</v>
      </c>
      <c r="Q1362">
        <f t="shared" si="63"/>
        <v>0.296875</v>
      </c>
      <c r="R1362">
        <f>IF(AND(COUNTIF($A$2:$A$2027,A1362)&gt;1,COUNTIF($A$2:A1362,A1362)=1),1,0)</f>
        <v>0</v>
      </c>
      <c r="S1362" t="b">
        <f>IFERROR(VLOOKUP(D1362,Products!$A$2:$F$61,6,FALSE()),"")</f>
        <v>1</v>
      </c>
      <c r="T1362" t="str">
        <f>IF(COUNTIF(Customers!$A$2:$A$301,C1362)=0,"Missing","OK")</f>
        <v>OK</v>
      </c>
      <c r="U1362" t="str">
        <f t="shared" si="64"/>
        <v>Hyderabad</v>
      </c>
      <c r="V1362">
        <f t="shared" si="65"/>
        <v>0</v>
      </c>
    </row>
    <row r="1363" spans="1:22" ht="15" customHeight="1" x14ac:dyDescent="0.35">
      <c r="A1363" s="3" t="s">
        <v>1791</v>
      </c>
      <c r="B1363" s="4">
        <v>45532</v>
      </c>
      <c r="C1363" s="3" t="s">
        <v>352</v>
      </c>
      <c r="D1363" s="3" t="s">
        <v>598</v>
      </c>
      <c r="E1363" s="3" t="s">
        <v>93</v>
      </c>
      <c r="F1363" s="5">
        <v>1</v>
      </c>
      <c r="G1363" s="5">
        <v>3560</v>
      </c>
      <c r="H1363" s="5">
        <v>12.9</v>
      </c>
      <c r="I1363" s="5">
        <v>3100.76</v>
      </c>
      <c r="J1363" s="3" t="s">
        <v>26</v>
      </c>
      <c r="K1363" s="3" t="s">
        <v>27</v>
      </c>
      <c r="L1363" t="str">
        <f>IFERROR(VLOOKUP(D1363,Products!$A$2:$F$61,3,FALSE()),"")</f>
        <v>Apparel</v>
      </c>
      <c r="M1363" t="str">
        <f>IFERROR(VLOOKUP(E1363,Sales_Reps!$A$2:$C$31,3,FALSE()),"")</f>
        <v>East</v>
      </c>
      <c r="N1363">
        <f>IFERROR(VLOOKUP(D1363,Products!$A$2:$F$61,4,FALSE()),"")</f>
        <v>2629</v>
      </c>
      <c r="O1363" t="str">
        <f>IFERROR(VLOOKUP(C1363,Customers!$A$2:$F$301,5,FALSE()),"")</f>
        <v>Retail</v>
      </c>
      <c r="P1363">
        <f>IFERROR(VLOOKUP(C1363,Customers!$A$2:$F$301,3,FALSE()),"")</f>
        <v>22</v>
      </c>
      <c r="Q1363">
        <f t="shared" si="63"/>
        <v>0.26151685393258428</v>
      </c>
      <c r="R1363">
        <f>IF(AND(COUNTIF($A$2:$A$2027,A1363)&gt;1,COUNTIF($A$2:A1363,A1363)=1),1,0)</f>
        <v>0</v>
      </c>
      <c r="S1363" t="b">
        <f>IFERROR(VLOOKUP(D1363,Products!$A$2:$F$61,6,FALSE()),"")</f>
        <v>1</v>
      </c>
      <c r="T1363" t="str">
        <f>IF(COUNTIF(Customers!$A$2:$A$301,C1363)=0,"Missing","OK")</f>
        <v>OK</v>
      </c>
      <c r="U1363" t="str">
        <f t="shared" si="64"/>
        <v>Pune</v>
      </c>
      <c r="V1363">
        <f t="shared" si="65"/>
        <v>0</v>
      </c>
    </row>
    <row r="1364" spans="1:22" ht="15" customHeight="1" x14ac:dyDescent="0.35">
      <c r="A1364" s="3" t="s">
        <v>1792</v>
      </c>
      <c r="B1364" s="4">
        <v>45466</v>
      </c>
      <c r="C1364" s="3" t="s">
        <v>524</v>
      </c>
      <c r="D1364" s="3" t="s">
        <v>290</v>
      </c>
      <c r="E1364" s="3" t="s">
        <v>31</v>
      </c>
      <c r="F1364" s="5">
        <v>5</v>
      </c>
      <c r="G1364" s="5">
        <v>4060</v>
      </c>
      <c r="H1364" s="5">
        <v>18.100000000000001</v>
      </c>
      <c r="I1364" s="5">
        <v>16625.7</v>
      </c>
      <c r="J1364" s="3" t="s">
        <v>32</v>
      </c>
      <c r="K1364" s="3" t="s">
        <v>33</v>
      </c>
      <c r="L1364" t="str">
        <f>IFERROR(VLOOKUP(D1364,Products!$A$2:$F$61,3,FALSE()),"")</f>
        <v>Grocery</v>
      </c>
      <c r="M1364" t="str">
        <f>IFERROR(VLOOKUP(E1364,Sales_Reps!$A$2:$C$31,3,FALSE()),"")</f>
        <v>North</v>
      </c>
      <c r="N1364">
        <f>IFERROR(VLOOKUP(D1364,Products!$A$2:$F$61,4,FALSE()),"")</f>
        <v>2911</v>
      </c>
      <c r="O1364" t="str">
        <f>IFERROR(VLOOKUP(C1364,Customers!$A$2:$F$301,5,FALSE()),"")</f>
        <v>Retail</v>
      </c>
      <c r="P1364">
        <f>IFERROR(VLOOKUP(C1364,Customers!$A$2:$F$301,3,FALSE()),"")</f>
        <v>26</v>
      </c>
      <c r="Q1364">
        <f t="shared" si="63"/>
        <v>0.28300492610837441</v>
      </c>
      <c r="R1364">
        <f>IF(AND(COUNTIF($A$2:$A$2027,A1364)&gt;1,COUNTIF($A$2:A1364,A1364)=1),1,0)</f>
        <v>0</v>
      </c>
      <c r="S1364" t="b">
        <f>IFERROR(VLOOKUP(D1364,Products!$A$2:$F$61,6,FALSE()),"")</f>
        <v>1</v>
      </c>
      <c r="T1364" t="str">
        <f>IF(COUNTIF(Customers!$A$2:$A$301,C1364)=0,"Missing","OK")</f>
        <v>OK</v>
      </c>
      <c r="U1364" t="str">
        <f t="shared" si="64"/>
        <v>Chennai</v>
      </c>
      <c r="V1364">
        <f t="shared" si="65"/>
        <v>0</v>
      </c>
    </row>
    <row r="1365" spans="1:22" ht="15" customHeight="1" x14ac:dyDescent="0.35">
      <c r="A1365" s="3" t="s">
        <v>1793</v>
      </c>
      <c r="B1365" s="4">
        <v>45545</v>
      </c>
      <c r="C1365" s="3" t="s">
        <v>40</v>
      </c>
      <c r="D1365" s="3" t="s">
        <v>112</v>
      </c>
      <c r="E1365" s="3" t="s">
        <v>131</v>
      </c>
      <c r="F1365" s="5">
        <v>10</v>
      </c>
      <c r="G1365" s="5">
        <v>2720</v>
      </c>
      <c r="H1365" s="5">
        <v>23.2</v>
      </c>
      <c r="I1365" s="5">
        <v>20889.599999999999</v>
      </c>
      <c r="J1365" s="3" t="s">
        <v>26</v>
      </c>
      <c r="K1365" s="3" t="s">
        <v>38</v>
      </c>
      <c r="L1365" t="str">
        <f>IFERROR(VLOOKUP(D1365,Products!$A$2:$F$61,3,FALSE()),"")</f>
        <v>Apparel</v>
      </c>
      <c r="M1365" t="str">
        <f>IFERROR(VLOOKUP(E1365,Sales_Reps!$A$2:$C$31,3,FALSE()),"")</f>
        <v>East</v>
      </c>
      <c r="N1365">
        <f>IFERROR(VLOOKUP(D1365,Products!$A$2:$F$61,4,FALSE()),"")</f>
        <v>1962</v>
      </c>
      <c r="O1365" t="str">
        <f>IFERROR(VLOOKUP(C1365,Customers!$A$2:$F$301,5,FALSE()),"")</f>
        <v>Corporate</v>
      </c>
      <c r="P1365">
        <f>IFERROR(VLOOKUP(C1365,Customers!$A$2:$F$301,3,FALSE()),"")</f>
        <v>46</v>
      </c>
      <c r="Q1365">
        <f t="shared" si="63"/>
        <v>0.2786764705882353</v>
      </c>
      <c r="R1365">
        <f>IF(AND(COUNTIF($A$2:$A$2027,A1365)&gt;1,COUNTIF($A$2:A1365,A1365)=1),1,0)</f>
        <v>0</v>
      </c>
      <c r="S1365" t="b">
        <f>IFERROR(VLOOKUP(D1365,Products!$A$2:$F$61,6,FALSE()),"")</f>
        <v>1</v>
      </c>
      <c r="T1365" t="str">
        <f>IF(COUNTIF(Customers!$A$2:$A$301,C1365)=0,"Missing","OK")</f>
        <v>OK</v>
      </c>
      <c r="U1365" t="str">
        <f t="shared" si="64"/>
        <v>Delhi</v>
      </c>
      <c r="V1365">
        <f t="shared" si="65"/>
        <v>0</v>
      </c>
    </row>
    <row r="1366" spans="1:22" ht="15" customHeight="1" x14ac:dyDescent="0.35">
      <c r="A1366" s="3" t="s">
        <v>1667</v>
      </c>
      <c r="B1366" s="4">
        <v>45547</v>
      </c>
      <c r="C1366" s="3" t="s">
        <v>500</v>
      </c>
      <c r="D1366" s="3" t="s">
        <v>277</v>
      </c>
      <c r="E1366" s="3" t="s">
        <v>224</v>
      </c>
      <c r="F1366" s="5">
        <v>1</v>
      </c>
      <c r="G1366" s="5">
        <v>2210</v>
      </c>
      <c r="H1366" s="5">
        <v>5.8</v>
      </c>
      <c r="I1366" s="5">
        <v>2081.8200000000002</v>
      </c>
      <c r="J1366" s="3" t="s">
        <v>32</v>
      </c>
      <c r="K1366" s="3" t="s">
        <v>72</v>
      </c>
      <c r="L1366" t="str">
        <f>IFERROR(VLOOKUP(D1366,Products!$A$2:$F$61,3,FALSE()),"")</f>
        <v>Grocery</v>
      </c>
      <c r="M1366" t="str">
        <f>IFERROR(VLOOKUP(E1366,Sales_Reps!$A$2:$C$31,3,FALSE()),"")</f>
        <v>East</v>
      </c>
      <c r="N1366">
        <f>IFERROR(VLOOKUP(D1366,Products!$A$2:$F$61,4,FALSE()),"")</f>
        <v>1010</v>
      </c>
      <c r="O1366" t="str">
        <f>IFERROR(VLOOKUP(C1366,Customers!$A$2:$F$301,5,FALSE()),"")</f>
        <v>SMB</v>
      </c>
      <c r="P1366">
        <f>IFERROR(VLOOKUP(C1366,Customers!$A$2:$F$301,3,FALSE()),"")</f>
        <v>43</v>
      </c>
      <c r="Q1366">
        <f t="shared" si="63"/>
        <v>0.54298642533936647</v>
      </c>
      <c r="R1366">
        <f>IF(AND(COUNTIF($A$2:$A$2027,A1366)&gt;1,COUNTIF($A$2:A1366,A1366)=1),1,0)</f>
        <v>0</v>
      </c>
      <c r="S1366" t="b">
        <f>IFERROR(VLOOKUP(D1366,Products!$A$2:$F$61,6,FALSE()),"")</f>
        <v>1</v>
      </c>
      <c r="T1366" t="str">
        <f>IF(COUNTIF(Customers!$A$2:$A$301,C1366)=0,"Missing","OK")</f>
        <v>OK</v>
      </c>
      <c r="U1366" t="str">
        <f t="shared" si="64"/>
        <v>Hyderabad</v>
      </c>
      <c r="V1366">
        <f t="shared" si="65"/>
        <v>0</v>
      </c>
    </row>
    <row r="1367" spans="1:22" ht="15" customHeight="1" x14ac:dyDescent="0.35">
      <c r="A1367" s="3" t="s">
        <v>1794</v>
      </c>
      <c r="B1367" s="4">
        <v>45547</v>
      </c>
      <c r="C1367" s="3" t="s">
        <v>99</v>
      </c>
      <c r="D1367" s="3" t="s">
        <v>96</v>
      </c>
      <c r="E1367" s="3" t="s">
        <v>191</v>
      </c>
      <c r="F1367" s="5">
        <v>5</v>
      </c>
      <c r="G1367" s="5">
        <v>3450</v>
      </c>
      <c r="H1367" s="5">
        <v>27.9</v>
      </c>
      <c r="I1367" s="5">
        <v>12437.25</v>
      </c>
      <c r="J1367" s="3" t="s">
        <v>32</v>
      </c>
      <c r="K1367" s="3" t="s">
        <v>51</v>
      </c>
      <c r="L1367" t="str">
        <f>IFERROR(VLOOKUP(D1367,Products!$A$2:$F$61,3,FALSE()),"")</f>
        <v>Beauty</v>
      </c>
      <c r="M1367" t="str">
        <f>IFERROR(VLOOKUP(E1367,Sales_Reps!$A$2:$C$31,3,FALSE()),"")</f>
        <v>South</v>
      </c>
      <c r="N1367">
        <f>IFERROR(VLOOKUP(D1367,Products!$A$2:$F$61,4,FALSE()),"")</f>
        <v>2420</v>
      </c>
      <c r="O1367" t="str">
        <f>IFERROR(VLOOKUP(C1367,Customers!$A$2:$F$301,5,FALSE()),"")</f>
        <v>Retail</v>
      </c>
      <c r="P1367">
        <f>IFERROR(VLOOKUP(C1367,Customers!$A$2:$F$301,3,FALSE()),"")</f>
        <v>54</v>
      </c>
      <c r="Q1367">
        <f t="shared" si="63"/>
        <v>0.29855072463768118</v>
      </c>
      <c r="R1367">
        <f>IF(AND(COUNTIF($A$2:$A$2027,A1367)&gt;1,COUNTIF($A$2:A1367,A1367)=1),1,0)</f>
        <v>0</v>
      </c>
      <c r="S1367" t="b">
        <f>IFERROR(VLOOKUP(D1367,Products!$A$2:$F$61,6,FALSE()),"")</f>
        <v>1</v>
      </c>
      <c r="T1367" t="str">
        <f>IF(COUNTIF(Customers!$A$2:$A$301,C1367)=0,"Missing","OK")</f>
        <v>OK</v>
      </c>
      <c r="U1367" t="str">
        <f t="shared" si="64"/>
        <v>Mumbai</v>
      </c>
      <c r="V1367">
        <f t="shared" si="65"/>
        <v>0</v>
      </c>
    </row>
    <row r="1368" spans="1:22" ht="15" customHeight="1" x14ac:dyDescent="0.35">
      <c r="A1368" s="3" t="s">
        <v>1795</v>
      </c>
      <c r="B1368" s="4">
        <v>45550</v>
      </c>
      <c r="C1368" s="3" t="s">
        <v>151</v>
      </c>
      <c r="D1368" s="3" t="s">
        <v>306</v>
      </c>
      <c r="E1368" s="3" t="s">
        <v>93</v>
      </c>
      <c r="F1368" s="5">
        <v>9</v>
      </c>
      <c r="G1368" s="5">
        <v>2380</v>
      </c>
      <c r="H1368" s="5">
        <v>15.2</v>
      </c>
      <c r="I1368" s="5">
        <v>18164.16</v>
      </c>
      <c r="J1368" s="3" t="s">
        <v>83</v>
      </c>
      <c r="K1368" s="3" t="s">
        <v>51</v>
      </c>
      <c r="L1368" t="str">
        <f>IFERROR(VLOOKUP(D1368,Products!$A$2:$F$61,3,FALSE()),"")</f>
        <v>Grocery</v>
      </c>
      <c r="M1368" t="str">
        <f>IFERROR(VLOOKUP(E1368,Sales_Reps!$A$2:$C$31,3,FALSE()),"")</f>
        <v>East</v>
      </c>
      <c r="N1368">
        <f>IFERROR(VLOOKUP(D1368,Products!$A$2:$F$61,4,FALSE()),"")</f>
        <v>1182</v>
      </c>
      <c r="O1368" t="str">
        <f>IFERROR(VLOOKUP(C1368,Customers!$A$2:$F$301,5,FALSE()),"")</f>
        <v>SMB</v>
      </c>
      <c r="P1368">
        <f>IFERROR(VLOOKUP(C1368,Customers!$A$2:$F$301,3,FALSE()),"")</f>
        <v>36</v>
      </c>
      <c r="Q1368">
        <f t="shared" si="63"/>
        <v>0.50336134453781511</v>
      </c>
      <c r="R1368">
        <f>IF(AND(COUNTIF($A$2:$A$2027,A1368)&gt;1,COUNTIF($A$2:A1368,A1368)=1),1,0)</f>
        <v>0</v>
      </c>
      <c r="S1368" t="b">
        <f>IFERROR(VLOOKUP(D1368,Products!$A$2:$F$61,6,FALSE()),"")</f>
        <v>1</v>
      </c>
      <c r="T1368" t="str">
        <f>IF(COUNTIF(Customers!$A$2:$A$301,C1368)=0,"Missing","OK")</f>
        <v>OK</v>
      </c>
      <c r="U1368" t="str">
        <f t="shared" si="64"/>
        <v>Mumbai</v>
      </c>
      <c r="V1368">
        <f t="shared" si="65"/>
        <v>0</v>
      </c>
    </row>
    <row r="1369" spans="1:22" ht="15" customHeight="1" x14ac:dyDescent="0.35">
      <c r="A1369" s="3" t="s">
        <v>1796</v>
      </c>
      <c r="B1369" s="4">
        <v>45551</v>
      </c>
      <c r="C1369" s="3" t="s">
        <v>338</v>
      </c>
      <c r="D1369" s="3" t="s">
        <v>306</v>
      </c>
      <c r="E1369" s="3" t="s">
        <v>236</v>
      </c>
      <c r="F1369" s="5">
        <v>2</v>
      </c>
      <c r="G1369" s="5">
        <v>2380</v>
      </c>
      <c r="H1369" s="5">
        <v>24.3</v>
      </c>
      <c r="I1369" s="5">
        <v>3603.32</v>
      </c>
      <c r="J1369" s="3" t="s">
        <v>26</v>
      </c>
      <c r="K1369" s="3" t="s">
        <v>38</v>
      </c>
      <c r="L1369" t="str">
        <f>IFERROR(VLOOKUP(D1369,Products!$A$2:$F$61,3,FALSE()),"")</f>
        <v>Grocery</v>
      </c>
      <c r="M1369" t="str">
        <f>IFERROR(VLOOKUP(E1369,Sales_Reps!$A$2:$C$31,3,FALSE()),"")</f>
        <v>North</v>
      </c>
      <c r="N1369">
        <f>IFERROR(VLOOKUP(D1369,Products!$A$2:$F$61,4,FALSE()),"")</f>
        <v>1182</v>
      </c>
      <c r="O1369" t="str">
        <f>IFERROR(VLOOKUP(C1369,Customers!$A$2:$F$301,5,FALSE()),"")</f>
        <v>SMB</v>
      </c>
      <c r="P1369">
        <f>IFERROR(VLOOKUP(C1369,Customers!$A$2:$F$301,3,FALSE()),"")</f>
        <v>53</v>
      </c>
      <c r="Q1369">
        <f t="shared" si="63"/>
        <v>0.50336134453781511</v>
      </c>
      <c r="R1369">
        <f>IF(AND(COUNTIF($A$2:$A$2027,A1369)&gt;1,COUNTIF($A$2:A1369,A1369)=1),1,0)</f>
        <v>0</v>
      </c>
      <c r="S1369" t="b">
        <f>IFERROR(VLOOKUP(D1369,Products!$A$2:$F$61,6,FALSE()),"")</f>
        <v>1</v>
      </c>
      <c r="T1369" t="str">
        <f>IF(COUNTIF(Customers!$A$2:$A$301,C1369)=0,"Missing","OK")</f>
        <v>OK</v>
      </c>
      <c r="U1369" t="str">
        <f t="shared" si="64"/>
        <v>Delhi</v>
      </c>
      <c r="V1369">
        <f t="shared" si="65"/>
        <v>0</v>
      </c>
    </row>
    <row r="1370" spans="1:22" ht="15" customHeight="1" x14ac:dyDescent="0.35">
      <c r="A1370" s="3" t="s">
        <v>1797</v>
      </c>
      <c r="B1370" s="4">
        <v>45560</v>
      </c>
      <c r="C1370" s="3" t="s">
        <v>40</v>
      </c>
      <c r="D1370" s="3" t="s">
        <v>598</v>
      </c>
      <c r="E1370" s="3" t="s">
        <v>264</v>
      </c>
      <c r="F1370" s="5">
        <v>9</v>
      </c>
      <c r="G1370" s="5">
        <v>3560</v>
      </c>
      <c r="H1370" s="5">
        <v>6.6</v>
      </c>
      <c r="I1370" s="5">
        <v>29925.360000000001</v>
      </c>
      <c r="J1370" s="3" t="s">
        <v>83</v>
      </c>
      <c r="K1370" s="3" t="s">
        <v>38</v>
      </c>
      <c r="L1370" t="str">
        <f>IFERROR(VLOOKUP(D1370,Products!$A$2:$F$61,3,FALSE()),"")</f>
        <v>Apparel</v>
      </c>
      <c r="M1370" t="str">
        <f>IFERROR(VLOOKUP(E1370,Sales_Reps!$A$2:$C$31,3,FALSE()),"")</f>
        <v>South</v>
      </c>
      <c r="N1370">
        <f>IFERROR(VLOOKUP(D1370,Products!$A$2:$F$61,4,FALSE()),"")</f>
        <v>2629</v>
      </c>
      <c r="O1370" t="str">
        <f>IFERROR(VLOOKUP(C1370,Customers!$A$2:$F$301,5,FALSE()),"")</f>
        <v>Corporate</v>
      </c>
      <c r="P1370">
        <f>IFERROR(VLOOKUP(C1370,Customers!$A$2:$F$301,3,FALSE()),"")</f>
        <v>46</v>
      </c>
      <c r="Q1370">
        <f t="shared" si="63"/>
        <v>0.26151685393258428</v>
      </c>
      <c r="R1370">
        <f>IF(AND(COUNTIF($A$2:$A$2027,A1370)&gt;1,COUNTIF($A$2:A1370,A1370)=1),1,0)</f>
        <v>0</v>
      </c>
      <c r="S1370" t="b">
        <f>IFERROR(VLOOKUP(D1370,Products!$A$2:$F$61,6,FALSE()),"")</f>
        <v>1</v>
      </c>
      <c r="T1370" t="str">
        <f>IF(COUNTIF(Customers!$A$2:$A$301,C1370)=0,"Missing","OK")</f>
        <v>OK</v>
      </c>
      <c r="U1370" t="str">
        <f t="shared" si="64"/>
        <v>Delhi</v>
      </c>
      <c r="V1370">
        <f t="shared" si="65"/>
        <v>0</v>
      </c>
    </row>
    <row r="1371" spans="1:22" ht="15" customHeight="1" x14ac:dyDescent="0.35">
      <c r="A1371" s="3" t="s">
        <v>1798</v>
      </c>
      <c r="B1371" s="4">
        <v>45330</v>
      </c>
      <c r="C1371" s="3" t="s">
        <v>411</v>
      </c>
      <c r="D1371" s="3" t="s">
        <v>206</v>
      </c>
      <c r="E1371" s="3" t="s">
        <v>242</v>
      </c>
      <c r="F1371" s="5">
        <v>7</v>
      </c>
      <c r="G1371" s="5">
        <v>1220</v>
      </c>
      <c r="H1371" s="5">
        <v>29.4</v>
      </c>
      <c r="I1371" s="5">
        <v>6029.24</v>
      </c>
      <c r="J1371" s="3" t="s">
        <v>26</v>
      </c>
      <c r="K1371" s="3" t="s">
        <v>33</v>
      </c>
      <c r="L1371" t="str">
        <f>IFERROR(VLOOKUP(D1371,Products!$A$2:$F$61,3,FALSE()),"")</f>
        <v>Electronics</v>
      </c>
      <c r="M1371" t="str">
        <f>IFERROR(VLOOKUP(E1371,Sales_Reps!$A$2:$C$31,3,FALSE()),"")</f>
        <v>East</v>
      </c>
      <c r="N1371">
        <f>IFERROR(VLOOKUP(D1371,Products!$A$2:$F$61,4,FALSE()),"")</f>
        <v>517</v>
      </c>
      <c r="O1371" t="str">
        <f>IFERROR(VLOOKUP(C1371,Customers!$A$2:$F$301,5,FALSE()),"")</f>
        <v>Corporate</v>
      </c>
      <c r="P1371">
        <f>IFERROR(VLOOKUP(C1371,Customers!$A$2:$F$301,3,FALSE()),"")</f>
        <v>35</v>
      </c>
      <c r="Q1371">
        <f t="shared" si="63"/>
        <v>0.57622950819672136</v>
      </c>
      <c r="R1371">
        <f>IF(AND(COUNTIF($A$2:$A$2027,A1371)&gt;1,COUNTIF($A$2:A1371,A1371)=1),1,0)</f>
        <v>0</v>
      </c>
      <c r="S1371" t="b">
        <f>IFERROR(VLOOKUP(D1371,Products!$A$2:$F$61,6,FALSE()),"")</f>
        <v>1</v>
      </c>
      <c r="T1371" t="str">
        <f>IF(COUNTIF(Customers!$A$2:$A$301,C1371)=0,"Missing","OK")</f>
        <v>OK</v>
      </c>
      <c r="U1371" t="str">
        <f t="shared" si="64"/>
        <v>Chennai</v>
      </c>
      <c r="V1371">
        <f t="shared" si="65"/>
        <v>0</v>
      </c>
    </row>
    <row r="1372" spans="1:22" ht="15" customHeight="1" x14ac:dyDescent="0.35">
      <c r="A1372" s="3" t="s">
        <v>1799</v>
      </c>
      <c r="B1372" s="4">
        <v>45560</v>
      </c>
      <c r="C1372" s="3" t="s">
        <v>494</v>
      </c>
      <c r="D1372" s="3" t="s">
        <v>454</v>
      </c>
      <c r="E1372" s="3" t="s">
        <v>177</v>
      </c>
      <c r="F1372" s="5">
        <v>7</v>
      </c>
      <c r="G1372" s="5">
        <v>6940</v>
      </c>
      <c r="H1372" s="5">
        <v>9.6</v>
      </c>
      <c r="I1372" s="5">
        <v>43916.32</v>
      </c>
      <c r="J1372" s="3" t="s">
        <v>26</v>
      </c>
      <c r="K1372" s="3" t="s">
        <v>51</v>
      </c>
      <c r="L1372" t="str">
        <f>IFERROR(VLOOKUP(D1372,Products!$A$2:$F$61,3,FALSE()),"")</f>
        <v>Sports</v>
      </c>
      <c r="M1372" t="str">
        <f>IFERROR(VLOOKUP(E1372,Sales_Reps!$A$2:$C$31,3,FALSE()),"")</f>
        <v>East</v>
      </c>
      <c r="N1372">
        <f>IFERROR(VLOOKUP(D1372,Products!$A$2:$F$61,4,FALSE()),"")</f>
        <v>2827</v>
      </c>
      <c r="O1372" t="str">
        <f>IFERROR(VLOOKUP(C1372,Customers!$A$2:$F$301,5,FALSE()),"")</f>
        <v>Retail</v>
      </c>
      <c r="P1372">
        <f>IFERROR(VLOOKUP(C1372,Customers!$A$2:$F$301,3,FALSE()),"")</f>
        <v>37</v>
      </c>
      <c r="Q1372">
        <f t="shared" si="63"/>
        <v>0.5926512968299712</v>
      </c>
      <c r="R1372">
        <f>IF(AND(COUNTIF($A$2:$A$2027,A1372)&gt;1,COUNTIF($A$2:A1372,A1372)=1),1,0)</f>
        <v>0</v>
      </c>
      <c r="S1372" t="b">
        <f>IFERROR(VLOOKUP(D1372,Products!$A$2:$F$61,6,FALSE()),"")</f>
        <v>1</v>
      </c>
      <c r="T1372" t="str">
        <f>IF(COUNTIF(Customers!$A$2:$A$301,C1372)=0,"Missing","OK")</f>
        <v>OK</v>
      </c>
      <c r="U1372" t="str">
        <f t="shared" si="64"/>
        <v>Mumbai</v>
      </c>
      <c r="V1372">
        <f t="shared" si="65"/>
        <v>0</v>
      </c>
    </row>
    <row r="1373" spans="1:22" ht="15" customHeight="1" x14ac:dyDescent="0.35">
      <c r="A1373" s="3" t="s">
        <v>1800</v>
      </c>
      <c r="B1373" s="4">
        <v>45395</v>
      </c>
      <c r="C1373" s="3" t="s">
        <v>844</v>
      </c>
      <c r="D1373" s="3" t="s">
        <v>441</v>
      </c>
      <c r="E1373" s="3" t="s">
        <v>224</v>
      </c>
      <c r="F1373" s="5">
        <v>2</v>
      </c>
      <c r="G1373" s="5">
        <v>1090</v>
      </c>
      <c r="H1373" s="5">
        <v>17</v>
      </c>
      <c r="I1373" s="5">
        <v>1809.4</v>
      </c>
      <c r="J1373" s="3" t="s">
        <v>26</v>
      </c>
      <c r="K1373" s="3" t="s">
        <v>51</v>
      </c>
      <c r="L1373" t="str">
        <f>IFERROR(VLOOKUP(D1373,Products!$A$2:$F$61,3,FALSE()),"")</f>
        <v>Home</v>
      </c>
      <c r="M1373" t="str">
        <f>IFERROR(VLOOKUP(E1373,Sales_Reps!$A$2:$C$31,3,FALSE()),"")</f>
        <v>East</v>
      </c>
      <c r="N1373">
        <f>IFERROR(VLOOKUP(D1373,Products!$A$2:$F$61,4,FALSE()),"")</f>
        <v>464</v>
      </c>
      <c r="O1373" t="str">
        <f>IFERROR(VLOOKUP(C1373,Customers!$A$2:$F$301,5,FALSE()),"")</f>
        <v>SMB</v>
      </c>
      <c r="P1373">
        <f>IFERROR(VLOOKUP(C1373,Customers!$A$2:$F$301,3,FALSE()),"")</f>
        <v>43</v>
      </c>
      <c r="Q1373">
        <f t="shared" si="63"/>
        <v>0.57431192660550456</v>
      </c>
      <c r="R1373">
        <f>IF(AND(COUNTIF($A$2:$A$2027,A1373)&gt;1,COUNTIF($A$2:A1373,A1373)=1),1,0)</f>
        <v>0</v>
      </c>
      <c r="S1373" t="b">
        <f>IFERROR(VLOOKUP(D1373,Products!$A$2:$F$61,6,FALSE()),"")</f>
        <v>1</v>
      </c>
      <c r="T1373" t="str">
        <f>IF(COUNTIF(Customers!$A$2:$A$301,C1373)=0,"Missing","OK")</f>
        <v>OK</v>
      </c>
      <c r="U1373" t="str">
        <f t="shared" si="64"/>
        <v>Mumbai</v>
      </c>
      <c r="V1373">
        <f t="shared" si="65"/>
        <v>0</v>
      </c>
    </row>
    <row r="1374" spans="1:22" ht="15" customHeight="1" x14ac:dyDescent="0.35">
      <c r="A1374" s="3" t="s">
        <v>1801</v>
      </c>
      <c r="B1374" s="4">
        <v>45486</v>
      </c>
      <c r="C1374" s="3" t="s">
        <v>724</v>
      </c>
      <c r="D1374" s="3" t="s">
        <v>306</v>
      </c>
      <c r="E1374" s="3" t="s">
        <v>67</v>
      </c>
      <c r="F1374" s="5">
        <v>4</v>
      </c>
      <c r="G1374" s="5">
        <v>2380</v>
      </c>
      <c r="H1374" s="5">
        <v>18.899999999999999</v>
      </c>
      <c r="I1374" s="5">
        <v>7720.72</v>
      </c>
      <c r="J1374" s="3" t="s">
        <v>32</v>
      </c>
      <c r="K1374" s="3" t="s">
        <v>27</v>
      </c>
      <c r="L1374" t="str">
        <f>IFERROR(VLOOKUP(D1374,Products!$A$2:$F$61,3,FALSE()),"")</f>
        <v>Grocery</v>
      </c>
      <c r="M1374" t="str">
        <f>IFERROR(VLOOKUP(E1374,Sales_Reps!$A$2:$C$31,3,FALSE()),"")</f>
        <v>West</v>
      </c>
      <c r="N1374">
        <f>IFERROR(VLOOKUP(D1374,Products!$A$2:$F$61,4,FALSE()),"")</f>
        <v>1182</v>
      </c>
      <c r="O1374" t="str">
        <f>IFERROR(VLOOKUP(C1374,Customers!$A$2:$F$301,5,FALSE()),"")</f>
        <v>Retail</v>
      </c>
      <c r="P1374">
        <f>IFERROR(VLOOKUP(C1374,Customers!$A$2:$F$301,3,FALSE()),"")</f>
        <v>31</v>
      </c>
      <c r="Q1374">
        <f t="shared" si="63"/>
        <v>0.50336134453781511</v>
      </c>
      <c r="R1374">
        <f>IF(AND(COUNTIF($A$2:$A$2027,A1374)&gt;1,COUNTIF($A$2:A1374,A1374)=1),1,0)</f>
        <v>0</v>
      </c>
      <c r="S1374" t="b">
        <f>IFERROR(VLOOKUP(D1374,Products!$A$2:$F$61,6,FALSE()),"")</f>
        <v>1</v>
      </c>
      <c r="T1374" t="str">
        <f>IF(COUNTIF(Customers!$A$2:$A$301,C1374)=0,"Missing","OK")</f>
        <v>OK</v>
      </c>
      <c r="U1374" t="str">
        <f t="shared" si="64"/>
        <v>Pune</v>
      </c>
      <c r="V1374">
        <f t="shared" si="65"/>
        <v>0</v>
      </c>
    </row>
    <row r="1375" spans="1:22" ht="15" customHeight="1" x14ac:dyDescent="0.35">
      <c r="A1375" s="3" t="s">
        <v>1802</v>
      </c>
      <c r="B1375" s="4">
        <v>45578</v>
      </c>
      <c r="C1375" s="3" t="s">
        <v>844</v>
      </c>
      <c r="D1375" s="3" t="s">
        <v>70</v>
      </c>
      <c r="E1375" s="3" t="s">
        <v>78</v>
      </c>
      <c r="F1375" s="5">
        <v>6</v>
      </c>
      <c r="G1375" s="5">
        <v>2270</v>
      </c>
      <c r="H1375" s="5">
        <v>20.9</v>
      </c>
      <c r="I1375" s="5">
        <v>10773.42</v>
      </c>
      <c r="J1375" s="3" t="s">
        <v>32</v>
      </c>
      <c r="K1375" s="3" t="s">
        <v>51</v>
      </c>
      <c r="L1375" t="str">
        <f>IFERROR(VLOOKUP(D1375,Products!$A$2:$F$61,3,FALSE()),"")</f>
        <v>Grocery</v>
      </c>
      <c r="M1375" t="str">
        <f>IFERROR(VLOOKUP(E1375,Sales_Reps!$A$2:$C$31,3,FALSE()),"")</f>
        <v>North</v>
      </c>
      <c r="N1375">
        <f>IFERROR(VLOOKUP(D1375,Products!$A$2:$F$61,4,FALSE()),"")</f>
        <v>1203</v>
      </c>
      <c r="O1375" t="str">
        <f>IFERROR(VLOOKUP(C1375,Customers!$A$2:$F$301,5,FALSE()),"")</f>
        <v>SMB</v>
      </c>
      <c r="P1375">
        <f>IFERROR(VLOOKUP(C1375,Customers!$A$2:$F$301,3,FALSE()),"")</f>
        <v>43</v>
      </c>
      <c r="Q1375">
        <f t="shared" si="63"/>
        <v>0.47004405286343615</v>
      </c>
      <c r="R1375">
        <f>IF(AND(COUNTIF($A$2:$A$2027,A1375)&gt;1,COUNTIF($A$2:A1375,A1375)=1),1,0)</f>
        <v>0</v>
      </c>
      <c r="S1375" t="b">
        <f>IFERROR(VLOOKUP(D1375,Products!$A$2:$F$61,6,FALSE()),"")</f>
        <v>1</v>
      </c>
      <c r="T1375" t="str">
        <f>IF(COUNTIF(Customers!$A$2:$A$301,C1375)=0,"Missing","OK")</f>
        <v>OK</v>
      </c>
      <c r="U1375" t="str">
        <f t="shared" si="64"/>
        <v>Mumbai</v>
      </c>
      <c r="V1375">
        <f t="shared" si="65"/>
        <v>0</v>
      </c>
    </row>
    <row r="1376" spans="1:22" ht="15" customHeight="1" x14ac:dyDescent="0.35">
      <c r="A1376" s="3" t="s">
        <v>1803</v>
      </c>
      <c r="B1376" s="4">
        <v>45581</v>
      </c>
      <c r="C1376" s="3" t="s">
        <v>755</v>
      </c>
      <c r="D1376" s="3" t="s">
        <v>234</v>
      </c>
      <c r="E1376" s="3" t="s">
        <v>60</v>
      </c>
      <c r="F1376" s="5">
        <v>10</v>
      </c>
      <c r="G1376" s="5">
        <v>2030</v>
      </c>
      <c r="H1376" s="5">
        <v>25</v>
      </c>
      <c r="I1376" s="5">
        <v>15225</v>
      </c>
      <c r="J1376" s="3" t="s">
        <v>26</v>
      </c>
      <c r="K1376" s="3" t="s">
        <v>27</v>
      </c>
      <c r="L1376" t="str">
        <f>IFERROR(VLOOKUP(D1376,Products!$A$2:$F$61,3,FALSE()),"")</f>
        <v>Home</v>
      </c>
      <c r="M1376" t="str">
        <f>IFERROR(VLOOKUP(E1376,Sales_Reps!$A$2:$C$31,3,FALSE()),"")</f>
        <v>East</v>
      </c>
      <c r="N1376">
        <f>IFERROR(VLOOKUP(D1376,Products!$A$2:$F$61,4,FALSE()),"")</f>
        <v>1143</v>
      </c>
      <c r="O1376" t="str">
        <f>IFERROR(VLOOKUP(C1376,Customers!$A$2:$F$301,5,FALSE()),"")</f>
        <v>Retail</v>
      </c>
      <c r="P1376">
        <f>IFERROR(VLOOKUP(C1376,Customers!$A$2:$F$301,3,FALSE()),"")</f>
        <v>36</v>
      </c>
      <c r="Q1376">
        <f t="shared" si="63"/>
        <v>0.43694581280788175</v>
      </c>
      <c r="R1376">
        <f>IF(AND(COUNTIF($A$2:$A$2027,A1376)&gt;1,COUNTIF($A$2:A1376,A1376)=1),1,0)</f>
        <v>0</v>
      </c>
      <c r="S1376" t="b">
        <f>IFERROR(VLOOKUP(D1376,Products!$A$2:$F$61,6,FALSE()),"")</f>
        <v>1</v>
      </c>
      <c r="T1376" t="str">
        <f>IF(COUNTIF(Customers!$A$2:$A$301,C1376)=0,"Missing","OK")</f>
        <v>OK</v>
      </c>
      <c r="U1376" t="str">
        <f t="shared" si="64"/>
        <v>Pune</v>
      </c>
      <c r="V1376">
        <f t="shared" si="65"/>
        <v>0</v>
      </c>
    </row>
    <row r="1377" spans="1:22" ht="15" customHeight="1" x14ac:dyDescent="0.35">
      <c r="A1377" s="3" t="s">
        <v>1804</v>
      </c>
      <c r="B1377" s="4">
        <v>45508</v>
      </c>
      <c r="C1377" s="3" t="s">
        <v>329</v>
      </c>
      <c r="D1377" s="3" t="s">
        <v>441</v>
      </c>
      <c r="E1377" s="3" t="s">
        <v>282</v>
      </c>
      <c r="F1377" s="5">
        <v>3</v>
      </c>
      <c r="G1377" s="5">
        <v>1090</v>
      </c>
      <c r="H1377" s="5">
        <v>12.1</v>
      </c>
      <c r="I1377" s="5">
        <v>2874.33</v>
      </c>
      <c r="J1377" s="3" t="s">
        <v>26</v>
      </c>
      <c r="K1377" s="3" t="s">
        <v>27</v>
      </c>
      <c r="L1377" t="str">
        <f>IFERROR(VLOOKUP(D1377,Products!$A$2:$F$61,3,FALSE()),"")</f>
        <v>Home</v>
      </c>
      <c r="M1377" t="str">
        <f>IFERROR(VLOOKUP(E1377,Sales_Reps!$A$2:$C$31,3,FALSE()),"")</f>
        <v>West</v>
      </c>
      <c r="N1377">
        <f>IFERROR(VLOOKUP(D1377,Products!$A$2:$F$61,4,FALSE()),"")</f>
        <v>464</v>
      </c>
      <c r="O1377" t="str">
        <f>IFERROR(VLOOKUP(C1377,Customers!$A$2:$F$301,5,FALSE()),"")</f>
        <v>SMB</v>
      </c>
      <c r="P1377">
        <f>IFERROR(VLOOKUP(C1377,Customers!$A$2:$F$301,3,FALSE()),"")</f>
        <v>54</v>
      </c>
      <c r="Q1377">
        <f t="shared" si="63"/>
        <v>0.57431192660550456</v>
      </c>
      <c r="R1377">
        <f>IF(AND(COUNTIF($A$2:$A$2027,A1377)&gt;1,COUNTIF($A$2:A1377,A1377)=1),1,0)</f>
        <v>0</v>
      </c>
      <c r="S1377" t="b">
        <f>IFERROR(VLOOKUP(D1377,Products!$A$2:$F$61,6,FALSE()),"")</f>
        <v>1</v>
      </c>
      <c r="T1377" t="str">
        <f>IF(COUNTIF(Customers!$A$2:$A$301,C1377)=0,"Missing","OK")</f>
        <v>OK</v>
      </c>
      <c r="U1377" t="str">
        <f t="shared" si="64"/>
        <v>Pune</v>
      </c>
      <c r="V1377">
        <f t="shared" si="65"/>
        <v>0</v>
      </c>
    </row>
    <row r="1378" spans="1:22" ht="15" customHeight="1" x14ac:dyDescent="0.35">
      <c r="A1378" s="3" t="s">
        <v>1805</v>
      </c>
      <c r="B1378" s="4">
        <v>45303</v>
      </c>
      <c r="C1378" s="3" t="s">
        <v>844</v>
      </c>
      <c r="D1378" s="3" t="s">
        <v>294</v>
      </c>
      <c r="E1378" s="3" t="s">
        <v>177</v>
      </c>
      <c r="F1378" s="5">
        <v>3</v>
      </c>
      <c r="G1378" s="5">
        <v>2510</v>
      </c>
      <c r="H1378" s="5">
        <v>28.7</v>
      </c>
      <c r="I1378" s="5">
        <v>5368.89</v>
      </c>
      <c r="J1378" s="3" t="s">
        <v>26</v>
      </c>
      <c r="K1378" s="3" t="s">
        <v>51</v>
      </c>
      <c r="L1378" t="str">
        <f>IFERROR(VLOOKUP(D1378,Products!$A$2:$F$61,3,FALSE()),"")</f>
        <v>Apparel</v>
      </c>
      <c r="M1378" t="str">
        <f>IFERROR(VLOOKUP(E1378,Sales_Reps!$A$2:$C$31,3,FALSE()),"")</f>
        <v>East</v>
      </c>
      <c r="N1378">
        <f>IFERROR(VLOOKUP(D1378,Products!$A$2:$F$61,4,FALSE()),"")</f>
        <v>1075</v>
      </c>
      <c r="O1378" t="str">
        <f>IFERROR(VLOOKUP(C1378,Customers!$A$2:$F$301,5,FALSE()),"")</f>
        <v>SMB</v>
      </c>
      <c r="P1378">
        <f>IFERROR(VLOOKUP(C1378,Customers!$A$2:$F$301,3,FALSE()),"")</f>
        <v>43</v>
      </c>
      <c r="Q1378">
        <f t="shared" si="63"/>
        <v>0.57171314741035861</v>
      </c>
      <c r="R1378">
        <f>IF(AND(COUNTIF($A$2:$A$2027,A1378)&gt;1,COUNTIF($A$2:A1378,A1378)=1),1,0)</f>
        <v>0</v>
      </c>
      <c r="S1378" t="b">
        <f>IFERROR(VLOOKUP(D1378,Products!$A$2:$F$61,6,FALSE()),"")</f>
        <v>0</v>
      </c>
      <c r="T1378" t="str">
        <f>IF(COUNTIF(Customers!$A$2:$A$301,C1378)=0,"Missing","OK")</f>
        <v>OK</v>
      </c>
      <c r="U1378" t="str">
        <f t="shared" si="64"/>
        <v>Mumbai</v>
      </c>
      <c r="V1378">
        <f t="shared" si="65"/>
        <v>0</v>
      </c>
    </row>
    <row r="1379" spans="1:22" ht="15" customHeight="1" x14ac:dyDescent="0.35">
      <c r="A1379" s="3" t="s">
        <v>1806</v>
      </c>
      <c r="B1379" s="4">
        <v>45412</v>
      </c>
      <c r="C1379" s="3" t="s">
        <v>1562</v>
      </c>
      <c r="D1379" s="3" t="s">
        <v>70</v>
      </c>
      <c r="E1379" s="3" t="s">
        <v>140</v>
      </c>
      <c r="F1379" s="5">
        <v>9</v>
      </c>
      <c r="G1379" s="5">
        <v>2270</v>
      </c>
      <c r="H1379" s="5">
        <v>25.4</v>
      </c>
      <c r="I1379" s="5">
        <v>15240.78</v>
      </c>
      <c r="J1379" s="3" t="s">
        <v>32</v>
      </c>
      <c r="K1379" s="3" t="s">
        <v>56</v>
      </c>
      <c r="L1379" t="str">
        <f>IFERROR(VLOOKUP(D1379,Products!$A$2:$F$61,3,FALSE()),"")</f>
        <v>Grocery</v>
      </c>
      <c r="M1379" t="str">
        <f>IFERROR(VLOOKUP(E1379,Sales_Reps!$A$2:$C$31,3,FALSE()),"")</f>
        <v>West</v>
      </c>
      <c r="N1379">
        <f>IFERROR(VLOOKUP(D1379,Products!$A$2:$F$61,4,FALSE()),"")</f>
        <v>1203</v>
      </c>
      <c r="O1379" t="str">
        <f>IFERROR(VLOOKUP(C1379,Customers!$A$2:$F$301,5,FALSE()),"")</f>
        <v>Retail</v>
      </c>
      <c r="P1379">
        <f>IFERROR(VLOOKUP(C1379,Customers!$A$2:$F$301,3,FALSE()),"")</f>
        <v>53</v>
      </c>
      <c r="Q1379">
        <f t="shared" si="63"/>
        <v>0.47004405286343615</v>
      </c>
      <c r="R1379">
        <f>IF(AND(COUNTIF($A$2:$A$2027,A1379)&gt;1,COUNTIF($A$2:A1379,A1379)=1),1,0)</f>
        <v>0</v>
      </c>
      <c r="S1379" t="b">
        <f>IFERROR(VLOOKUP(D1379,Products!$A$2:$F$61,6,FALSE()),"")</f>
        <v>1</v>
      </c>
      <c r="T1379" t="str">
        <f>IF(COUNTIF(Customers!$A$2:$A$301,C1379)=0,"Missing","OK")</f>
        <v>OK</v>
      </c>
      <c r="U1379" t="str">
        <f t="shared" si="64"/>
        <v>Bengaluru</v>
      </c>
      <c r="V1379">
        <f t="shared" si="65"/>
        <v>15240.78</v>
      </c>
    </row>
    <row r="1380" spans="1:22" ht="15" customHeight="1" x14ac:dyDescent="0.35">
      <c r="A1380" s="3" t="s">
        <v>1807</v>
      </c>
      <c r="B1380" s="4">
        <v>45400</v>
      </c>
      <c r="C1380" s="3" t="s">
        <v>40</v>
      </c>
      <c r="D1380" s="3" t="s">
        <v>347</v>
      </c>
      <c r="E1380" s="3" t="s">
        <v>168</v>
      </c>
      <c r="F1380" s="5">
        <v>9</v>
      </c>
      <c r="G1380" s="5">
        <v>3970</v>
      </c>
      <c r="H1380" s="5">
        <v>10.1</v>
      </c>
      <c r="I1380" s="5">
        <v>32121.27</v>
      </c>
      <c r="J1380" s="3" t="s">
        <v>79</v>
      </c>
      <c r="K1380" s="3" t="s">
        <v>38</v>
      </c>
      <c r="L1380" t="str">
        <f>IFERROR(VLOOKUP(D1380,Products!$A$2:$F$61,3,FALSE()),"")</f>
        <v>Electronics</v>
      </c>
      <c r="M1380" t="str">
        <f>IFERROR(VLOOKUP(E1380,Sales_Reps!$A$2:$C$31,3,FALSE()),"")</f>
        <v>West</v>
      </c>
      <c r="N1380">
        <f>IFERROR(VLOOKUP(D1380,Products!$A$2:$F$61,4,FALSE()),"")</f>
        <v>2865</v>
      </c>
      <c r="O1380" t="str">
        <f>IFERROR(VLOOKUP(C1380,Customers!$A$2:$F$301,5,FALSE()),"")</f>
        <v>Corporate</v>
      </c>
      <c r="P1380">
        <f>IFERROR(VLOOKUP(C1380,Customers!$A$2:$F$301,3,FALSE()),"")</f>
        <v>46</v>
      </c>
      <c r="Q1380">
        <f t="shared" si="63"/>
        <v>0.27833753148614609</v>
      </c>
      <c r="R1380">
        <f>IF(AND(COUNTIF($A$2:$A$2027,A1380)&gt;1,COUNTIF($A$2:A1380,A1380)=1),1,0)</f>
        <v>0</v>
      </c>
      <c r="S1380" t="b">
        <f>IFERROR(VLOOKUP(D1380,Products!$A$2:$F$61,6,FALSE()),"")</f>
        <v>1</v>
      </c>
      <c r="T1380" t="str">
        <f>IF(COUNTIF(Customers!$A$2:$A$301,C1380)=0,"Missing","OK")</f>
        <v>OK</v>
      </c>
      <c r="U1380" t="str">
        <f t="shared" si="64"/>
        <v>Delhi</v>
      </c>
      <c r="V1380">
        <f t="shared" si="65"/>
        <v>0</v>
      </c>
    </row>
    <row r="1381" spans="1:22" ht="15" customHeight="1" x14ac:dyDescent="0.35">
      <c r="A1381" s="3" t="s">
        <v>1808</v>
      </c>
      <c r="B1381" s="4">
        <v>45570</v>
      </c>
      <c r="C1381" s="3" t="s">
        <v>556</v>
      </c>
      <c r="D1381" s="3" t="s">
        <v>277</v>
      </c>
      <c r="E1381" s="3" t="s">
        <v>37</v>
      </c>
      <c r="F1381" s="5">
        <v>6</v>
      </c>
      <c r="G1381" s="5">
        <v>2210</v>
      </c>
      <c r="H1381" s="5">
        <v>7.4</v>
      </c>
      <c r="I1381" s="5">
        <v>12278.76</v>
      </c>
      <c r="J1381" s="3" t="s">
        <v>26</v>
      </c>
      <c r="K1381" s="3" t="s">
        <v>51</v>
      </c>
      <c r="L1381" t="str">
        <f>IFERROR(VLOOKUP(D1381,Products!$A$2:$F$61,3,FALSE()),"")</f>
        <v>Grocery</v>
      </c>
      <c r="M1381" t="str">
        <f>IFERROR(VLOOKUP(E1381,Sales_Reps!$A$2:$C$31,3,FALSE()),"")</f>
        <v>South</v>
      </c>
      <c r="N1381">
        <f>IFERROR(VLOOKUP(D1381,Products!$A$2:$F$61,4,FALSE()),"")</f>
        <v>1010</v>
      </c>
      <c r="O1381" t="str">
        <f>IFERROR(VLOOKUP(C1381,Customers!$A$2:$F$301,5,FALSE()),"")</f>
        <v>SMB</v>
      </c>
      <c r="P1381">
        <f>IFERROR(VLOOKUP(C1381,Customers!$A$2:$F$301,3,FALSE()),"")</f>
        <v>65</v>
      </c>
      <c r="Q1381">
        <f t="shared" si="63"/>
        <v>0.54298642533936647</v>
      </c>
      <c r="R1381">
        <f>IF(AND(COUNTIF($A$2:$A$2027,A1381)&gt;1,COUNTIF($A$2:A1381,A1381)=1),1,0)</f>
        <v>0</v>
      </c>
      <c r="S1381" t="b">
        <f>IFERROR(VLOOKUP(D1381,Products!$A$2:$F$61,6,FALSE()),"")</f>
        <v>1</v>
      </c>
      <c r="T1381" t="str">
        <f>IF(COUNTIF(Customers!$A$2:$A$301,C1381)=0,"Missing","OK")</f>
        <v>OK</v>
      </c>
      <c r="U1381" t="str">
        <f t="shared" si="64"/>
        <v>Mumbai</v>
      </c>
      <c r="V1381">
        <f t="shared" si="65"/>
        <v>0</v>
      </c>
    </row>
    <row r="1382" spans="1:22" ht="15" customHeight="1" x14ac:dyDescent="0.35">
      <c r="A1382" s="3" t="s">
        <v>1809</v>
      </c>
      <c r="B1382" s="4">
        <v>45360</v>
      </c>
      <c r="C1382" s="3" t="s">
        <v>214</v>
      </c>
      <c r="D1382" s="3" t="s">
        <v>198</v>
      </c>
      <c r="E1382" s="3" t="s">
        <v>177</v>
      </c>
      <c r="F1382" s="5">
        <v>7</v>
      </c>
      <c r="G1382" s="5">
        <v>1540</v>
      </c>
      <c r="H1382" s="5">
        <v>20.6</v>
      </c>
      <c r="I1382" s="5">
        <v>8559.32</v>
      </c>
      <c r="J1382" s="3" t="s">
        <v>26</v>
      </c>
      <c r="K1382" s="3" t="s">
        <v>27</v>
      </c>
      <c r="L1382" t="str">
        <f>IFERROR(VLOOKUP(D1382,Products!$A$2:$F$61,3,FALSE()),"")</f>
        <v>Beauty</v>
      </c>
      <c r="M1382" t="str">
        <f>IFERROR(VLOOKUP(E1382,Sales_Reps!$A$2:$C$31,3,FALSE()),"")</f>
        <v>East</v>
      </c>
      <c r="N1382">
        <f>IFERROR(VLOOKUP(D1382,Products!$A$2:$F$61,4,FALSE()),"")</f>
        <v>647</v>
      </c>
      <c r="O1382" t="str">
        <f>IFERROR(VLOOKUP(C1382,Customers!$A$2:$F$301,5,FALSE()),"")</f>
        <v>Retail</v>
      </c>
      <c r="P1382">
        <f>IFERROR(VLOOKUP(C1382,Customers!$A$2:$F$301,3,FALSE()),"")</f>
        <v>44</v>
      </c>
      <c r="Q1382">
        <f t="shared" si="63"/>
        <v>0.57987012987012987</v>
      </c>
      <c r="R1382">
        <f>IF(AND(COUNTIF($A$2:$A$2027,A1382)&gt;1,COUNTIF($A$2:A1382,A1382)=1),1,0)</f>
        <v>0</v>
      </c>
      <c r="S1382" t="b">
        <f>IFERROR(VLOOKUP(D1382,Products!$A$2:$F$61,6,FALSE()),"")</f>
        <v>0</v>
      </c>
      <c r="T1382" t="str">
        <f>IF(COUNTIF(Customers!$A$2:$A$301,C1382)=0,"Missing","OK")</f>
        <v>OK</v>
      </c>
      <c r="U1382" t="str">
        <f t="shared" si="64"/>
        <v>Pune</v>
      </c>
      <c r="V1382">
        <f t="shared" si="65"/>
        <v>0</v>
      </c>
    </row>
    <row r="1383" spans="1:22" ht="15" customHeight="1" x14ac:dyDescent="0.35">
      <c r="A1383" s="3" t="s">
        <v>1810</v>
      </c>
      <c r="B1383" s="4">
        <v>45334</v>
      </c>
      <c r="C1383" s="3" t="s">
        <v>736</v>
      </c>
      <c r="D1383" s="3" t="s">
        <v>209</v>
      </c>
      <c r="E1383" s="3" t="s">
        <v>282</v>
      </c>
      <c r="F1383" s="5">
        <v>9</v>
      </c>
      <c r="G1383" s="5">
        <v>4610</v>
      </c>
      <c r="H1383" s="5">
        <v>2.1</v>
      </c>
      <c r="I1383" s="5">
        <v>40618.71</v>
      </c>
      <c r="J1383" s="3" t="s">
        <v>26</v>
      </c>
      <c r="K1383" s="3" t="s">
        <v>38</v>
      </c>
      <c r="L1383" t="str">
        <f>IFERROR(VLOOKUP(D1383,Products!$A$2:$F$61,3,FALSE()),"")</f>
        <v>Home</v>
      </c>
      <c r="M1383" t="str">
        <f>IFERROR(VLOOKUP(E1383,Sales_Reps!$A$2:$C$31,3,FALSE()),"")</f>
        <v>West</v>
      </c>
      <c r="N1383">
        <f>IFERROR(VLOOKUP(D1383,Products!$A$2:$F$61,4,FALSE()),"")</f>
        <v>1850</v>
      </c>
      <c r="O1383" t="str">
        <f>IFERROR(VLOOKUP(C1383,Customers!$A$2:$F$301,5,FALSE()),"")</f>
        <v>Retail</v>
      </c>
      <c r="P1383">
        <f>IFERROR(VLOOKUP(C1383,Customers!$A$2:$F$301,3,FALSE()),"")</f>
        <v>63</v>
      </c>
      <c r="Q1383">
        <f t="shared" si="63"/>
        <v>0.59869848156182215</v>
      </c>
      <c r="R1383">
        <f>IF(AND(COUNTIF($A$2:$A$2027,A1383)&gt;1,COUNTIF($A$2:A1383,A1383)=1),1,0)</f>
        <v>0</v>
      </c>
      <c r="S1383" t="b">
        <f>IFERROR(VLOOKUP(D1383,Products!$A$2:$F$61,6,FALSE()),"")</f>
        <v>1</v>
      </c>
      <c r="T1383" t="str">
        <f>IF(COUNTIF(Customers!$A$2:$A$301,C1383)=0,"Missing","OK")</f>
        <v>OK</v>
      </c>
      <c r="U1383" t="str">
        <f t="shared" si="64"/>
        <v>Delhi</v>
      </c>
      <c r="V1383">
        <f t="shared" si="65"/>
        <v>0</v>
      </c>
    </row>
    <row r="1384" spans="1:22" ht="15" customHeight="1" x14ac:dyDescent="0.35">
      <c r="A1384" s="3" t="s">
        <v>1811</v>
      </c>
      <c r="B1384" s="4">
        <v>45527</v>
      </c>
      <c r="C1384" s="3" t="s">
        <v>668</v>
      </c>
      <c r="D1384" s="3" t="s">
        <v>347</v>
      </c>
      <c r="E1384" s="3" t="s">
        <v>236</v>
      </c>
      <c r="F1384" s="5">
        <v>10</v>
      </c>
      <c r="G1384" s="5">
        <v>3970</v>
      </c>
      <c r="H1384" s="5">
        <v>13.3</v>
      </c>
      <c r="I1384" s="5">
        <v>34419.9</v>
      </c>
      <c r="J1384" s="3" t="s">
        <v>32</v>
      </c>
      <c r="K1384" s="3" t="s">
        <v>51</v>
      </c>
      <c r="L1384" t="str">
        <f>IFERROR(VLOOKUP(D1384,Products!$A$2:$F$61,3,FALSE()),"")</f>
        <v>Electronics</v>
      </c>
      <c r="M1384" t="str">
        <f>IFERROR(VLOOKUP(E1384,Sales_Reps!$A$2:$C$31,3,FALSE()),"")</f>
        <v>North</v>
      </c>
      <c r="N1384">
        <f>IFERROR(VLOOKUP(D1384,Products!$A$2:$F$61,4,FALSE()),"")</f>
        <v>2865</v>
      </c>
      <c r="O1384" t="str">
        <f>IFERROR(VLOOKUP(C1384,Customers!$A$2:$F$301,5,FALSE()),"")</f>
        <v>Retail</v>
      </c>
      <c r="P1384">
        <f>IFERROR(VLOOKUP(C1384,Customers!$A$2:$F$301,3,FALSE()),"")</f>
        <v>56</v>
      </c>
      <c r="Q1384">
        <f t="shared" si="63"/>
        <v>0.27833753148614609</v>
      </c>
      <c r="R1384">
        <f>IF(AND(COUNTIF($A$2:$A$2027,A1384)&gt;1,COUNTIF($A$2:A1384,A1384)=1),1,0)</f>
        <v>0</v>
      </c>
      <c r="S1384" t="b">
        <f>IFERROR(VLOOKUP(D1384,Products!$A$2:$F$61,6,FALSE()),"")</f>
        <v>1</v>
      </c>
      <c r="T1384" t="str">
        <f>IF(COUNTIF(Customers!$A$2:$A$301,C1384)=0,"Missing","OK")</f>
        <v>OK</v>
      </c>
      <c r="U1384" t="str">
        <f t="shared" si="64"/>
        <v>Mumbai</v>
      </c>
      <c r="V1384">
        <f t="shared" si="65"/>
        <v>0</v>
      </c>
    </row>
    <row r="1385" spans="1:22" ht="15" customHeight="1" x14ac:dyDescent="0.35">
      <c r="A1385" s="3" t="s">
        <v>1812</v>
      </c>
      <c r="B1385" s="4">
        <v>45534</v>
      </c>
      <c r="C1385" s="3" t="s">
        <v>623</v>
      </c>
      <c r="D1385" s="3" t="s">
        <v>218</v>
      </c>
      <c r="E1385" s="3" t="s">
        <v>46</v>
      </c>
      <c r="F1385" s="5">
        <v>8</v>
      </c>
      <c r="G1385" s="5">
        <v>2660</v>
      </c>
      <c r="H1385" s="5">
        <v>16.8</v>
      </c>
      <c r="I1385" s="5">
        <v>17704.96</v>
      </c>
      <c r="J1385" s="3" t="s">
        <v>26</v>
      </c>
      <c r="K1385" s="3" t="s">
        <v>38</v>
      </c>
      <c r="L1385" t="str">
        <f>IFERROR(VLOOKUP(D1385,Products!$A$2:$F$61,3,FALSE()),"")</f>
        <v>Electronics</v>
      </c>
      <c r="M1385" t="str">
        <f>IFERROR(VLOOKUP(E1385,Sales_Reps!$A$2:$C$31,3,FALSE()),"")</f>
        <v>North</v>
      </c>
      <c r="N1385">
        <f>IFERROR(VLOOKUP(D1385,Products!$A$2:$F$61,4,FALSE()),"")</f>
        <v>1259</v>
      </c>
      <c r="O1385" t="str">
        <f>IFERROR(VLOOKUP(C1385,Customers!$A$2:$F$301,5,FALSE()),"")</f>
        <v>Retail</v>
      </c>
      <c r="P1385">
        <f>IFERROR(VLOOKUP(C1385,Customers!$A$2:$F$301,3,FALSE()),"")</f>
        <v>41</v>
      </c>
      <c r="Q1385">
        <f t="shared" si="63"/>
        <v>0.52669172932330832</v>
      </c>
      <c r="R1385">
        <f>IF(AND(COUNTIF($A$2:$A$2027,A1385)&gt;1,COUNTIF($A$2:A1385,A1385)=1),1,0)</f>
        <v>0</v>
      </c>
      <c r="S1385" t="b">
        <f>IFERROR(VLOOKUP(D1385,Products!$A$2:$F$61,6,FALSE()),"")</f>
        <v>0</v>
      </c>
      <c r="T1385" t="str">
        <f>IF(COUNTIF(Customers!$A$2:$A$301,C1385)=0,"Missing","OK")</f>
        <v>OK</v>
      </c>
      <c r="U1385" t="str">
        <f t="shared" si="64"/>
        <v>Delhi</v>
      </c>
      <c r="V1385">
        <f t="shared" si="65"/>
        <v>0</v>
      </c>
    </row>
    <row r="1386" spans="1:22" ht="15" customHeight="1" x14ac:dyDescent="0.35">
      <c r="A1386" s="3" t="s">
        <v>1813</v>
      </c>
      <c r="B1386" s="4">
        <v>45329</v>
      </c>
      <c r="C1386" s="3" t="s">
        <v>1814</v>
      </c>
      <c r="D1386" s="3" t="s">
        <v>96</v>
      </c>
      <c r="E1386" s="3" t="s">
        <v>97</v>
      </c>
      <c r="F1386" s="5">
        <v>6</v>
      </c>
      <c r="G1386" s="5">
        <v>3450</v>
      </c>
      <c r="H1386" s="5">
        <v>23.4</v>
      </c>
      <c r="I1386" s="5">
        <v>15856.2</v>
      </c>
      <c r="J1386" s="3" t="s">
        <v>26</v>
      </c>
      <c r="K1386" s="3" t="s">
        <v>33</v>
      </c>
      <c r="L1386" t="str">
        <f>IFERROR(VLOOKUP(D1386,Products!$A$2:$F$61,3,FALSE()),"")</f>
        <v>Beauty</v>
      </c>
      <c r="M1386" t="str">
        <f>IFERROR(VLOOKUP(E1386,Sales_Reps!$A$2:$C$31,3,FALSE()),"")</f>
        <v>East</v>
      </c>
      <c r="N1386">
        <f>IFERROR(VLOOKUP(D1386,Products!$A$2:$F$61,4,FALSE()),"")</f>
        <v>2420</v>
      </c>
      <c r="O1386" t="str">
        <f>IFERROR(VLOOKUP(C1386,Customers!$A$2:$F$301,5,FALSE()),"")</f>
        <v>Corporate</v>
      </c>
      <c r="P1386">
        <f>IFERROR(VLOOKUP(C1386,Customers!$A$2:$F$301,3,FALSE()),"")</f>
        <v>54</v>
      </c>
      <c r="Q1386">
        <f t="shared" si="63"/>
        <v>0.29855072463768118</v>
      </c>
      <c r="R1386">
        <f>IF(AND(COUNTIF($A$2:$A$2027,A1386)&gt;1,COUNTIF($A$2:A1386,A1386)=1),1,0)</f>
        <v>0</v>
      </c>
      <c r="S1386" t="b">
        <f>IFERROR(VLOOKUP(D1386,Products!$A$2:$F$61,6,FALSE()),"")</f>
        <v>1</v>
      </c>
      <c r="T1386" t="str">
        <f>IF(COUNTIF(Customers!$A$2:$A$301,C1386)=0,"Missing","OK")</f>
        <v>OK</v>
      </c>
      <c r="U1386" t="str">
        <f t="shared" si="64"/>
        <v>Chennai</v>
      </c>
      <c r="V1386">
        <f t="shared" si="65"/>
        <v>0</v>
      </c>
    </row>
    <row r="1387" spans="1:22" ht="15" customHeight="1" x14ac:dyDescent="0.35">
      <c r="A1387" s="3" t="s">
        <v>1815</v>
      </c>
      <c r="B1387" s="4">
        <v>45621</v>
      </c>
      <c r="C1387" s="3" t="s">
        <v>534</v>
      </c>
      <c r="D1387" s="3" t="s">
        <v>36</v>
      </c>
      <c r="E1387" s="3" t="s">
        <v>25</v>
      </c>
      <c r="F1387" s="5">
        <v>10</v>
      </c>
      <c r="G1387" s="5">
        <v>470</v>
      </c>
      <c r="H1387" s="5">
        <v>21.2</v>
      </c>
      <c r="I1387" s="5">
        <v>3703.6</v>
      </c>
      <c r="J1387" s="3" t="s">
        <v>26</v>
      </c>
      <c r="K1387" s="3" t="s">
        <v>38</v>
      </c>
      <c r="L1387" t="str">
        <f>IFERROR(VLOOKUP(D1387,Products!$A$2:$F$61,3,FALSE()),"")</f>
        <v>Sports</v>
      </c>
      <c r="M1387" t="str">
        <f>IFERROR(VLOOKUP(E1387,Sales_Reps!$A$2:$C$31,3,FALSE()),"")</f>
        <v>North</v>
      </c>
      <c r="N1387">
        <f>IFERROR(VLOOKUP(D1387,Products!$A$2:$F$61,4,FALSE()),"")</f>
        <v>302</v>
      </c>
      <c r="O1387" t="str">
        <f>IFERROR(VLOOKUP(C1387,Customers!$A$2:$F$301,5,FALSE()),"")</f>
        <v>SMB</v>
      </c>
      <c r="P1387">
        <f>IFERROR(VLOOKUP(C1387,Customers!$A$2:$F$301,3,FALSE()),"")</f>
        <v>48</v>
      </c>
      <c r="Q1387">
        <f t="shared" si="63"/>
        <v>0.35744680851063831</v>
      </c>
      <c r="R1387">
        <f>IF(AND(COUNTIF($A$2:$A$2027,A1387)&gt;1,COUNTIF($A$2:A1387,A1387)=1),1,0)</f>
        <v>0</v>
      </c>
      <c r="S1387" t="b">
        <f>IFERROR(VLOOKUP(D1387,Products!$A$2:$F$61,6,FALSE()),"")</f>
        <v>0</v>
      </c>
      <c r="T1387" t="str">
        <f>IF(COUNTIF(Customers!$A$2:$A$301,C1387)=0,"Missing","OK")</f>
        <v>OK</v>
      </c>
      <c r="U1387" t="str">
        <f t="shared" si="64"/>
        <v>Delhi</v>
      </c>
      <c r="V1387">
        <f t="shared" si="65"/>
        <v>0</v>
      </c>
    </row>
    <row r="1388" spans="1:22" ht="15" customHeight="1" x14ac:dyDescent="0.35">
      <c r="A1388" s="3" t="s">
        <v>415</v>
      </c>
      <c r="B1388" s="4">
        <v>45334</v>
      </c>
      <c r="C1388" s="3" t="s">
        <v>352</v>
      </c>
      <c r="D1388" s="3" t="s">
        <v>400</v>
      </c>
      <c r="E1388" s="3" t="s">
        <v>224</v>
      </c>
      <c r="F1388" s="5">
        <v>7</v>
      </c>
      <c r="G1388" s="5">
        <v>3780</v>
      </c>
      <c r="H1388" s="5">
        <v>10.1</v>
      </c>
      <c r="I1388" s="5">
        <v>23787.54</v>
      </c>
      <c r="J1388" s="3" t="s">
        <v>26</v>
      </c>
      <c r="K1388" s="3" t="s">
        <v>27</v>
      </c>
      <c r="L1388" t="str">
        <f>IFERROR(VLOOKUP(D1388,Products!$A$2:$F$61,3,FALSE()),"")</f>
        <v>Sports</v>
      </c>
      <c r="M1388" t="str">
        <f>IFERROR(VLOOKUP(E1388,Sales_Reps!$A$2:$C$31,3,FALSE()),"")</f>
        <v>East</v>
      </c>
      <c r="N1388">
        <f>IFERROR(VLOOKUP(D1388,Products!$A$2:$F$61,4,FALSE()),"")</f>
        <v>1860</v>
      </c>
      <c r="O1388" t="str">
        <f>IFERROR(VLOOKUP(C1388,Customers!$A$2:$F$301,5,FALSE()),"")</f>
        <v>Retail</v>
      </c>
      <c r="P1388">
        <f>IFERROR(VLOOKUP(C1388,Customers!$A$2:$F$301,3,FALSE()),"")</f>
        <v>22</v>
      </c>
      <c r="Q1388">
        <f t="shared" si="63"/>
        <v>0.50793650793650791</v>
      </c>
      <c r="R1388">
        <f>IF(AND(COUNTIF($A$2:$A$2027,A1388)&gt;1,COUNTIF($A$2:A1388,A1388)=1),1,0)</f>
        <v>0</v>
      </c>
      <c r="S1388" t="b">
        <f>IFERROR(VLOOKUP(D1388,Products!$A$2:$F$61,6,FALSE()),"")</f>
        <v>1</v>
      </c>
      <c r="T1388" t="str">
        <f>IF(COUNTIF(Customers!$A$2:$A$301,C1388)=0,"Missing","OK")</f>
        <v>OK</v>
      </c>
      <c r="U1388" t="str">
        <f t="shared" si="64"/>
        <v>Pune</v>
      </c>
      <c r="V1388">
        <f t="shared" si="65"/>
        <v>0</v>
      </c>
    </row>
    <row r="1389" spans="1:22" ht="15" customHeight="1" x14ac:dyDescent="0.35">
      <c r="A1389" s="3" t="s">
        <v>1816</v>
      </c>
      <c r="B1389" s="4">
        <v>45324</v>
      </c>
      <c r="C1389" s="3" t="s">
        <v>922</v>
      </c>
      <c r="D1389" s="3" t="s">
        <v>24</v>
      </c>
      <c r="E1389" s="3" t="s">
        <v>282</v>
      </c>
      <c r="F1389" s="5">
        <v>3</v>
      </c>
      <c r="G1389" s="5">
        <v>3620</v>
      </c>
      <c r="H1389" s="5">
        <v>4.2</v>
      </c>
      <c r="I1389" s="5">
        <v>10403.879999999999</v>
      </c>
      <c r="J1389" s="3" t="s">
        <v>26</v>
      </c>
      <c r="K1389" s="3" t="s">
        <v>56</v>
      </c>
      <c r="L1389" t="str">
        <f>IFERROR(VLOOKUP(D1389,Products!$A$2:$F$61,3,FALSE()),"")</f>
        <v>Apparel</v>
      </c>
      <c r="M1389" t="str">
        <f>IFERROR(VLOOKUP(E1389,Sales_Reps!$A$2:$C$31,3,FALSE()),"")</f>
        <v>West</v>
      </c>
      <c r="N1389">
        <f>IFERROR(VLOOKUP(D1389,Products!$A$2:$F$61,4,FALSE()),"")</f>
        <v>2509</v>
      </c>
      <c r="O1389" t="str">
        <f>IFERROR(VLOOKUP(C1389,Customers!$A$2:$F$301,5,FALSE()),"")</f>
        <v>SMB</v>
      </c>
      <c r="P1389">
        <f>IFERROR(VLOOKUP(C1389,Customers!$A$2:$F$301,3,FALSE()),"")</f>
        <v>36</v>
      </c>
      <c r="Q1389">
        <f t="shared" si="63"/>
        <v>0.3069060773480663</v>
      </c>
      <c r="R1389">
        <f>IF(AND(COUNTIF($A$2:$A$2027,A1389)&gt;1,COUNTIF($A$2:A1389,A1389)=1),1,0)</f>
        <v>0</v>
      </c>
      <c r="S1389" t="b">
        <f>IFERROR(VLOOKUP(D1389,Products!$A$2:$F$61,6,FALSE()),"")</f>
        <v>1</v>
      </c>
      <c r="T1389" t="str">
        <f>IF(COUNTIF(Customers!$A$2:$A$301,C1389)=0,"Missing","OK")</f>
        <v>OK</v>
      </c>
      <c r="U1389" t="str">
        <f t="shared" si="64"/>
        <v>Bengaluru</v>
      </c>
      <c r="V1389">
        <f t="shared" si="65"/>
        <v>0</v>
      </c>
    </row>
    <row r="1390" spans="1:22" ht="15" customHeight="1" x14ac:dyDescent="0.35">
      <c r="A1390" s="3" t="s">
        <v>1817</v>
      </c>
      <c r="B1390" s="4">
        <v>45541</v>
      </c>
      <c r="C1390" s="3" t="s">
        <v>202</v>
      </c>
      <c r="D1390" s="3" t="s">
        <v>319</v>
      </c>
      <c r="E1390" s="3" t="s">
        <v>67</v>
      </c>
      <c r="F1390" s="5">
        <v>7</v>
      </c>
      <c r="G1390" s="5">
        <v>960</v>
      </c>
      <c r="H1390" s="5">
        <v>9</v>
      </c>
      <c r="I1390" s="5">
        <v>6115.2</v>
      </c>
      <c r="J1390" s="3" t="s">
        <v>26</v>
      </c>
      <c r="K1390" s="3" t="s">
        <v>72</v>
      </c>
      <c r="L1390" t="str">
        <f>IFERROR(VLOOKUP(D1390,Products!$A$2:$F$61,3,FALSE()),"")</f>
        <v>Beauty</v>
      </c>
      <c r="M1390" t="str">
        <f>IFERROR(VLOOKUP(E1390,Sales_Reps!$A$2:$C$31,3,FALSE()),"")</f>
        <v>West</v>
      </c>
      <c r="N1390">
        <f>IFERROR(VLOOKUP(D1390,Products!$A$2:$F$61,4,FALSE()),"")</f>
        <v>675</v>
      </c>
      <c r="O1390" t="str">
        <f>IFERROR(VLOOKUP(C1390,Customers!$A$2:$F$301,5,FALSE()),"")</f>
        <v>Retail</v>
      </c>
      <c r="P1390">
        <f>IFERROR(VLOOKUP(C1390,Customers!$A$2:$F$301,3,FALSE()),"")</f>
        <v>53</v>
      </c>
      <c r="Q1390">
        <f t="shared" si="63"/>
        <v>0.296875</v>
      </c>
      <c r="R1390">
        <f>IF(AND(COUNTIF($A$2:$A$2027,A1390)&gt;1,COUNTIF($A$2:A1390,A1390)=1),1,0)</f>
        <v>0</v>
      </c>
      <c r="S1390" t="b">
        <f>IFERROR(VLOOKUP(D1390,Products!$A$2:$F$61,6,FALSE()),"")</f>
        <v>1</v>
      </c>
      <c r="T1390" t="str">
        <f>IF(COUNTIF(Customers!$A$2:$A$301,C1390)=0,"Missing","OK")</f>
        <v>OK</v>
      </c>
      <c r="U1390" t="str">
        <f t="shared" si="64"/>
        <v>Hyderabad</v>
      </c>
      <c r="V1390">
        <f t="shared" si="65"/>
        <v>0</v>
      </c>
    </row>
    <row r="1391" spans="1:22" ht="15" customHeight="1" x14ac:dyDescent="0.35">
      <c r="A1391" s="3" t="s">
        <v>1818</v>
      </c>
      <c r="B1391" s="4">
        <v>45344</v>
      </c>
      <c r="C1391" s="3" t="s">
        <v>628</v>
      </c>
      <c r="D1391" s="3" t="s">
        <v>118</v>
      </c>
      <c r="E1391" s="3" t="s">
        <v>25</v>
      </c>
      <c r="F1391" s="5">
        <v>10</v>
      </c>
      <c r="G1391" s="5">
        <v>3350</v>
      </c>
      <c r="H1391" s="5">
        <v>1.2</v>
      </c>
      <c r="I1391" s="5">
        <v>33098</v>
      </c>
      <c r="J1391" s="3" t="s">
        <v>79</v>
      </c>
      <c r="K1391" s="3" t="s">
        <v>72</v>
      </c>
      <c r="L1391" t="str">
        <f>IFERROR(VLOOKUP(D1391,Products!$A$2:$F$61,3,FALSE()),"")</f>
        <v>Beauty</v>
      </c>
      <c r="M1391" t="str">
        <f>IFERROR(VLOOKUP(E1391,Sales_Reps!$A$2:$C$31,3,FALSE()),"")</f>
        <v>North</v>
      </c>
      <c r="N1391">
        <f>IFERROR(VLOOKUP(D1391,Products!$A$2:$F$61,4,FALSE()),"")</f>
        <v>1728</v>
      </c>
      <c r="O1391" t="str">
        <f>IFERROR(VLOOKUP(C1391,Customers!$A$2:$F$301,5,FALSE()),"")</f>
        <v>Retail</v>
      </c>
      <c r="P1391">
        <f>IFERROR(VLOOKUP(C1391,Customers!$A$2:$F$301,3,FALSE()),"")</f>
        <v>28</v>
      </c>
      <c r="Q1391">
        <f t="shared" si="63"/>
        <v>0.48417910447761192</v>
      </c>
      <c r="R1391">
        <f>IF(AND(COUNTIF($A$2:$A$2027,A1391)&gt;1,COUNTIF($A$2:A1391,A1391)=1),1,0)</f>
        <v>0</v>
      </c>
      <c r="S1391" t="b">
        <f>IFERROR(VLOOKUP(D1391,Products!$A$2:$F$61,6,FALSE()),"")</f>
        <v>1</v>
      </c>
      <c r="T1391" t="str">
        <f>IF(COUNTIF(Customers!$A$2:$A$301,C1391)=0,"Missing","OK")</f>
        <v>OK</v>
      </c>
      <c r="U1391" t="str">
        <f t="shared" si="64"/>
        <v>Hyderabad</v>
      </c>
      <c r="V1391">
        <f t="shared" si="65"/>
        <v>0</v>
      </c>
    </row>
    <row r="1392" spans="1:22" ht="15" customHeight="1" x14ac:dyDescent="0.35">
      <c r="A1392" s="3" t="s">
        <v>1819</v>
      </c>
      <c r="B1392" s="4">
        <v>45388</v>
      </c>
      <c r="C1392" s="3" t="s">
        <v>298</v>
      </c>
      <c r="D1392" s="3" t="s">
        <v>90</v>
      </c>
      <c r="E1392" s="3" t="s">
        <v>109</v>
      </c>
      <c r="F1392" s="5">
        <v>3</v>
      </c>
      <c r="G1392" s="5">
        <v>2400</v>
      </c>
      <c r="H1392" s="5">
        <v>15.4</v>
      </c>
      <c r="I1392" s="5">
        <v>6091.2</v>
      </c>
      <c r="J1392" s="3" t="s">
        <v>26</v>
      </c>
      <c r="K1392" s="3" t="s">
        <v>38</v>
      </c>
      <c r="L1392" t="str">
        <f>IFERROR(VLOOKUP(D1392,Products!$A$2:$F$61,3,FALSE()),"")</f>
        <v>Sports</v>
      </c>
      <c r="M1392" t="str">
        <f>IFERROR(VLOOKUP(E1392,Sales_Reps!$A$2:$C$31,3,FALSE()),"")</f>
        <v>West</v>
      </c>
      <c r="N1392">
        <f>IFERROR(VLOOKUP(D1392,Products!$A$2:$F$61,4,FALSE()),"")</f>
        <v>974</v>
      </c>
      <c r="O1392" t="str">
        <f>IFERROR(VLOOKUP(C1392,Customers!$A$2:$F$301,5,FALSE()),"")</f>
        <v>SMB</v>
      </c>
      <c r="P1392">
        <f>IFERROR(VLOOKUP(C1392,Customers!$A$2:$F$301,3,FALSE()),"")</f>
        <v>28</v>
      </c>
      <c r="Q1392">
        <f t="shared" si="63"/>
        <v>0.59416666666666662</v>
      </c>
      <c r="R1392">
        <f>IF(AND(COUNTIF($A$2:$A$2027,A1392)&gt;1,COUNTIF($A$2:A1392,A1392)=1),1,0)</f>
        <v>0</v>
      </c>
      <c r="S1392" t="b">
        <f>IFERROR(VLOOKUP(D1392,Products!$A$2:$F$61,6,FALSE()),"")</f>
        <v>1</v>
      </c>
      <c r="T1392" t="str">
        <f>IF(COUNTIF(Customers!$A$2:$A$301,C1392)=0,"Missing","OK")</f>
        <v>OK</v>
      </c>
      <c r="U1392" t="str">
        <f t="shared" si="64"/>
        <v>Delhi</v>
      </c>
      <c r="V1392">
        <f t="shared" si="65"/>
        <v>0</v>
      </c>
    </row>
    <row r="1393" spans="1:22" ht="15" customHeight="1" x14ac:dyDescent="0.35">
      <c r="A1393" s="3" t="s">
        <v>1820</v>
      </c>
      <c r="B1393" s="4">
        <v>45407</v>
      </c>
      <c r="C1393" s="3" t="s">
        <v>698</v>
      </c>
      <c r="D1393" s="3" t="s">
        <v>134</v>
      </c>
      <c r="E1393" s="3" t="s">
        <v>236</v>
      </c>
      <c r="F1393" s="5">
        <v>2</v>
      </c>
      <c r="G1393" s="5">
        <v>2860</v>
      </c>
      <c r="H1393" s="5">
        <v>10.5</v>
      </c>
      <c r="I1393" s="5">
        <v>5119.3999999999996</v>
      </c>
      <c r="J1393" s="3" t="s">
        <v>26</v>
      </c>
      <c r="K1393" s="3" t="s">
        <v>56</v>
      </c>
      <c r="L1393" t="str">
        <f>IFERROR(VLOOKUP(D1393,Products!$A$2:$F$61,3,FALSE()),"")</f>
        <v>Sports</v>
      </c>
      <c r="M1393" t="str">
        <f>IFERROR(VLOOKUP(E1393,Sales_Reps!$A$2:$C$31,3,FALSE()),"")</f>
        <v>North</v>
      </c>
      <c r="N1393">
        <f>IFERROR(VLOOKUP(D1393,Products!$A$2:$F$61,4,FALSE()),"")</f>
        <v>2028</v>
      </c>
      <c r="O1393" t="str">
        <f>IFERROR(VLOOKUP(C1393,Customers!$A$2:$F$301,5,FALSE()),"")</f>
        <v>Retail</v>
      </c>
      <c r="P1393">
        <f>IFERROR(VLOOKUP(C1393,Customers!$A$2:$F$301,3,FALSE()),"")</f>
        <v>29</v>
      </c>
      <c r="Q1393">
        <f t="shared" si="63"/>
        <v>0.29090909090909089</v>
      </c>
      <c r="R1393">
        <f>IF(AND(COUNTIF($A$2:$A$2027,A1393)&gt;1,COUNTIF($A$2:A1393,A1393)=1),1,0)</f>
        <v>0</v>
      </c>
      <c r="S1393" t="b">
        <f>IFERROR(VLOOKUP(D1393,Products!$A$2:$F$61,6,FALSE()),"")</f>
        <v>1</v>
      </c>
      <c r="T1393" t="str">
        <f>IF(COUNTIF(Customers!$A$2:$A$301,C1393)=0,"Missing","OK")</f>
        <v>OK</v>
      </c>
      <c r="U1393" t="str">
        <f t="shared" si="64"/>
        <v>Bengaluru</v>
      </c>
      <c r="V1393">
        <f t="shared" si="65"/>
        <v>0</v>
      </c>
    </row>
    <row r="1394" spans="1:22" ht="15" customHeight="1" x14ac:dyDescent="0.35">
      <c r="A1394" s="3" t="s">
        <v>1821</v>
      </c>
      <c r="B1394" s="4">
        <v>45620</v>
      </c>
      <c r="C1394" s="3" t="s">
        <v>639</v>
      </c>
      <c r="D1394" s="3" t="s">
        <v>325</v>
      </c>
      <c r="E1394" s="3" t="s">
        <v>46</v>
      </c>
      <c r="F1394" s="5">
        <v>4</v>
      </c>
      <c r="G1394" s="5">
        <v>2290</v>
      </c>
      <c r="H1394" s="5">
        <v>5.9</v>
      </c>
      <c r="I1394" s="5">
        <v>8619.56</v>
      </c>
      <c r="J1394" s="3" t="s">
        <v>26</v>
      </c>
      <c r="K1394" s="3" t="s">
        <v>33</v>
      </c>
      <c r="L1394" t="str">
        <f>IFERROR(VLOOKUP(D1394,Products!$A$2:$F$61,3,FALSE()),"")</f>
        <v>Beauty</v>
      </c>
      <c r="M1394" t="str">
        <f>IFERROR(VLOOKUP(E1394,Sales_Reps!$A$2:$C$31,3,FALSE()),"")</f>
        <v>North</v>
      </c>
      <c r="N1394">
        <f>IFERROR(VLOOKUP(D1394,Products!$A$2:$F$61,4,FALSE()),"")</f>
        <v>1219</v>
      </c>
      <c r="O1394" t="str">
        <f>IFERROR(VLOOKUP(C1394,Customers!$A$2:$F$301,5,FALSE()),"")</f>
        <v>SMB</v>
      </c>
      <c r="P1394">
        <f>IFERROR(VLOOKUP(C1394,Customers!$A$2:$F$301,3,FALSE()),"")</f>
        <v>46</v>
      </c>
      <c r="Q1394">
        <f t="shared" si="63"/>
        <v>0.46768558951965067</v>
      </c>
      <c r="R1394">
        <f>IF(AND(COUNTIF($A$2:$A$2027,A1394)&gt;1,COUNTIF($A$2:A1394,A1394)=1),1,0)</f>
        <v>0</v>
      </c>
      <c r="S1394" t="b">
        <f>IFERROR(VLOOKUP(D1394,Products!$A$2:$F$61,6,FALSE()),"")</f>
        <v>1</v>
      </c>
      <c r="T1394" t="str">
        <f>IF(COUNTIF(Customers!$A$2:$A$301,C1394)=0,"Missing","OK")</f>
        <v>OK</v>
      </c>
      <c r="U1394" t="str">
        <f t="shared" si="64"/>
        <v>Chennai</v>
      </c>
      <c r="V1394">
        <f t="shared" si="65"/>
        <v>0</v>
      </c>
    </row>
    <row r="1395" spans="1:22" ht="15" customHeight="1" x14ac:dyDescent="0.35">
      <c r="A1395" s="3" t="s">
        <v>1822</v>
      </c>
      <c r="B1395" s="4">
        <v>45499</v>
      </c>
      <c r="C1395" s="3" t="s">
        <v>331</v>
      </c>
      <c r="D1395" s="3" t="s">
        <v>303</v>
      </c>
      <c r="E1395" s="3" t="s">
        <v>93</v>
      </c>
      <c r="F1395" s="5">
        <v>7</v>
      </c>
      <c r="G1395" s="5">
        <v>5330</v>
      </c>
      <c r="H1395" s="5">
        <v>3.5</v>
      </c>
      <c r="I1395" s="5">
        <v>36004.15</v>
      </c>
      <c r="J1395" s="3" t="s">
        <v>79</v>
      </c>
      <c r="K1395" s="3" t="s">
        <v>51</v>
      </c>
      <c r="L1395" t="str">
        <f>IFERROR(VLOOKUP(D1395,Products!$A$2:$F$61,3,FALSE()),"")</f>
        <v>Electronics</v>
      </c>
      <c r="M1395" t="str">
        <f>IFERROR(VLOOKUP(E1395,Sales_Reps!$A$2:$C$31,3,FALSE()),"")</f>
        <v>East</v>
      </c>
      <c r="N1395">
        <f>IFERROR(VLOOKUP(D1395,Products!$A$2:$F$61,4,FALSE()),"")</f>
        <v>2405</v>
      </c>
      <c r="O1395" t="str">
        <f>IFERROR(VLOOKUP(C1395,Customers!$A$2:$F$301,5,FALSE()),"")</f>
        <v>Retail</v>
      </c>
      <c r="P1395">
        <f>IFERROR(VLOOKUP(C1395,Customers!$A$2:$F$301,3,FALSE()),"")</f>
        <v>50</v>
      </c>
      <c r="Q1395">
        <f t="shared" si="63"/>
        <v>0.54878048780487809</v>
      </c>
      <c r="R1395">
        <f>IF(AND(COUNTIF($A$2:$A$2027,A1395)&gt;1,COUNTIF($A$2:A1395,A1395)=1),1,0)</f>
        <v>0</v>
      </c>
      <c r="S1395" t="b">
        <f>IFERROR(VLOOKUP(D1395,Products!$A$2:$F$61,6,FALSE()),"")</f>
        <v>1</v>
      </c>
      <c r="T1395" t="str">
        <f>IF(COUNTIF(Customers!$A$2:$A$301,C1395)=0,"Missing","OK")</f>
        <v>OK</v>
      </c>
      <c r="U1395" t="str">
        <f t="shared" si="64"/>
        <v>Mumbai</v>
      </c>
      <c r="V1395">
        <f t="shared" si="65"/>
        <v>0</v>
      </c>
    </row>
    <row r="1396" spans="1:22" ht="15" customHeight="1" x14ac:dyDescent="0.35">
      <c r="A1396" s="3" t="s">
        <v>1823</v>
      </c>
      <c r="B1396" s="4">
        <v>45585</v>
      </c>
      <c r="C1396" s="3" t="s">
        <v>240</v>
      </c>
      <c r="D1396" s="3" t="s">
        <v>176</v>
      </c>
      <c r="E1396" s="3" t="s">
        <v>242</v>
      </c>
      <c r="F1396" s="5">
        <v>10</v>
      </c>
      <c r="G1396" s="5">
        <v>3640</v>
      </c>
      <c r="H1396" s="5">
        <v>20.100000000000001</v>
      </c>
      <c r="I1396" s="5">
        <v>29083.599999999999</v>
      </c>
      <c r="J1396" s="3" t="s">
        <v>26</v>
      </c>
      <c r="K1396" s="3" t="s">
        <v>33</v>
      </c>
      <c r="L1396" t="str">
        <f>IFERROR(VLOOKUP(D1396,Products!$A$2:$F$61,3,FALSE()),"")</f>
        <v>Apparel</v>
      </c>
      <c r="M1396" t="str">
        <f>IFERROR(VLOOKUP(E1396,Sales_Reps!$A$2:$C$31,3,FALSE()),"")</f>
        <v>East</v>
      </c>
      <c r="N1396">
        <f>IFERROR(VLOOKUP(D1396,Products!$A$2:$F$61,4,FALSE()),"")</f>
        <v>2611</v>
      </c>
      <c r="O1396" t="str">
        <f>IFERROR(VLOOKUP(C1396,Customers!$A$2:$F$301,5,FALSE()),"")</f>
        <v>Retail</v>
      </c>
      <c r="P1396">
        <f>IFERROR(VLOOKUP(C1396,Customers!$A$2:$F$301,3,FALSE()),"")</f>
        <v>41</v>
      </c>
      <c r="Q1396">
        <f t="shared" si="63"/>
        <v>0.28269230769230769</v>
      </c>
      <c r="R1396">
        <f>IF(AND(COUNTIF($A$2:$A$2027,A1396)&gt;1,COUNTIF($A$2:A1396,A1396)=1),1,0)</f>
        <v>0</v>
      </c>
      <c r="S1396" t="b">
        <f>IFERROR(VLOOKUP(D1396,Products!$A$2:$F$61,6,FALSE()),"")</f>
        <v>1</v>
      </c>
      <c r="T1396" t="str">
        <f>IF(COUNTIF(Customers!$A$2:$A$301,C1396)=0,"Missing","OK")</f>
        <v>OK</v>
      </c>
      <c r="U1396" t="str">
        <f t="shared" si="64"/>
        <v>Chennai</v>
      </c>
      <c r="V1396">
        <f t="shared" si="65"/>
        <v>0</v>
      </c>
    </row>
    <row r="1397" spans="1:22" ht="15" customHeight="1" x14ac:dyDescent="0.35">
      <c r="A1397" s="3" t="s">
        <v>1824</v>
      </c>
      <c r="B1397" s="4">
        <v>45633</v>
      </c>
      <c r="C1397" s="3" t="s">
        <v>145</v>
      </c>
      <c r="D1397" s="3" t="s">
        <v>382</v>
      </c>
      <c r="E1397" s="3" t="s">
        <v>55</v>
      </c>
      <c r="F1397" s="5">
        <v>10</v>
      </c>
      <c r="G1397" s="5">
        <v>5080</v>
      </c>
      <c r="H1397" s="5">
        <v>2.1</v>
      </c>
      <c r="I1397" s="5">
        <v>49733.2</v>
      </c>
      <c r="J1397" s="3" t="s">
        <v>26</v>
      </c>
      <c r="K1397" s="3" t="s">
        <v>72</v>
      </c>
      <c r="L1397" t="str">
        <f>IFERROR(VLOOKUP(D1397,Products!$A$2:$F$61,3,FALSE()),"")</f>
        <v>Home</v>
      </c>
      <c r="M1397" t="str">
        <f>IFERROR(VLOOKUP(E1397,Sales_Reps!$A$2:$C$31,3,FALSE()),"")</f>
        <v>West</v>
      </c>
      <c r="N1397">
        <f>IFERROR(VLOOKUP(D1397,Products!$A$2:$F$61,4,FALSE()),"")</f>
        <v>2459</v>
      </c>
      <c r="O1397" t="str">
        <f>IFERROR(VLOOKUP(C1397,Customers!$A$2:$F$301,5,FALSE()),"")</f>
        <v>SMB</v>
      </c>
      <c r="P1397">
        <f>IFERROR(VLOOKUP(C1397,Customers!$A$2:$F$301,3,FALSE()),"")</f>
        <v>40</v>
      </c>
      <c r="Q1397">
        <f t="shared" si="63"/>
        <v>0.51594488188976373</v>
      </c>
      <c r="R1397">
        <f>IF(AND(COUNTIF($A$2:$A$2027,A1397)&gt;1,COUNTIF($A$2:A1397,A1397)=1),1,0)</f>
        <v>0</v>
      </c>
      <c r="S1397" t="b">
        <f>IFERROR(VLOOKUP(D1397,Products!$A$2:$F$61,6,FALSE()),"")</f>
        <v>1</v>
      </c>
      <c r="T1397" t="str">
        <f>IF(COUNTIF(Customers!$A$2:$A$301,C1397)=0,"Missing","OK")</f>
        <v>OK</v>
      </c>
      <c r="U1397" t="str">
        <f t="shared" si="64"/>
        <v>Hyderabad</v>
      </c>
      <c r="V1397">
        <f t="shared" si="65"/>
        <v>0</v>
      </c>
    </row>
    <row r="1398" spans="1:22" ht="15" customHeight="1" x14ac:dyDescent="0.35">
      <c r="A1398" s="3" t="s">
        <v>1825</v>
      </c>
      <c r="B1398" s="4">
        <v>45517</v>
      </c>
      <c r="C1398" s="3" t="s">
        <v>664</v>
      </c>
      <c r="D1398" s="3" t="s">
        <v>441</v>
      </c>
      <c r="E1398" s="3" t="s">
        <v>242</v>
      </c>
      <c r="F1398" s="5">
        <v>4</v>
      </c>
      <c r="G1398" s="5">
        <v>1090</v>
      </c>
      <c r="H1398" s="5">
        <v>18.5</v>
      </c>
      <c r="I1398" s="5">
        <v>3553.4</v>
      </c>
      <c r="J1398" s="3" t="s">
        <v>83</v>
      </c>
      <c r="K1398" s="3" t="s">
        <v>38</v>
      </c>
      <c r="L1398" t="str">
        <f>IFERROR(VLOOKUP(D1398,Products!$A$2:$F$61,3,FALSE()),"")</f>
        <v>Home</v>
      </c>
      <c r="M1398" t="str">
        <f>IFERROR(VLOOKUP(E1398,Sales_Reps!$A$2:$C$31,3,FALSE()),"")</f>
        <v>East</v>
      </c>
      <c r="N1398">
        <f>IFERROR(VLOOKUP(D1398,Products!$A$2:$F$61,4,FALSE()),"")</f>
        <v>464</v>
      </c>
      <c r="O1398" t="str">
        <f>IFERROR(VLOOKUP(C1398,Customers!$A$2:$F$301,5,FALSE()),"")</f>
        <v>SMB</v>
      </c>
      <c r="P1398">
        <f>IFERROR(VLOOKUP(C1398,Customers!$A$2:$F$301,3,FALSE()),"")</f>
        <v>26</v>
      </c>
      <c r="Q1398">
        <f t="shared" si="63"/>
        <v>0.57431192660550456</v>
      </c>
      <c r="R1398">
        <f>IF(AND(COUNTIF($A$2:$A$2027,A1398)&gt;1,COUNTIF($A$2:A1398,A1398)=1),1,0)</f>
        <v>0</v>
      </c>
      <c r="S1398" t="b">
        <f>IFERROR(VLOOKUP(D1398,Products!$A$2:$F$61,6,FALSE()),"")</f>
        <v>1</v>
      </c>
      <c r="T1398" t="str">
        <f>IF(COUNTIF(Customers!$A$2:$A$301,C1398)=0,"Missing","OK")</f>
        <v>OK</v>
      </c>
      <c r="U1398" t="str">
        <f t="shared" si="64"/>
        <v>Delhi</v>
      </c>
      <c r="V1398">
        <f t="shared" si="65"/>
        <v>0</v>
      </c>
    </row>
    <row r="1399" spans="1:22" ht="15" customHeight="1" x14ac:dyDescent="0.35">
      <c r="A1399" s="3" t="s">
        <v>1826</v>
      </c>
      <c r="B1399" s="4">
        <v>45645</v>
      </c>
      <c r="C1399" s="3" t="s">
        <v>509</v>
      </c>
      <c r="D1399" s="3" t="s">
        <v>96</v>
      </c>
      <c r="E1399" s="3" t="s">
        <v>109</v>
      </c>
      <c r="F1399" s="5">
        <v>10</v>
      </c>
      <c r="G1399" s="5">
        <v>3450</v>
      </c>
      <c r="H1399" s="5">
        <v>26.5</v>
      </c>
      <c r="I1399" s="5">
        <v>25357.5</v>
      </c>
      <c r="J1399" s="3" t="s">
        <v>83</v>
      </c>
      <c r="K1399" s="3" t="s">
        <v>38</v>
      </c>
      <c r="L1399" t="str">
        <f>IFERROR(VLOOKUP(D1399,Products!$A$2:$F$61,3,FALSE()),"")</f>
        <v>Beauty</v>
      </c>
      <c r="M1399" t="str">
        <f>IFERROR(VLOOKUP(E1399,Sales_Reps!$A$2:$C$31,3,FALSE()),"")</f>
        <v>West</v>
      </c>
      <c r="N1399">
        <f>IFERROR(VLOOKUP(D1399,Products!$A$2:$F$61,4,FALSE()),"")</f>
        <v>2420</v>
      </c>
      <c r="O1399" t="str">
        <f>IFERROR(VLOOKUP(C1399,Customers!$A$2:$F$301,5,FALSE()),"")</f>
        <v>Corporate</v>
      </c>
      <c r="P1399">
        <f>IFERROR(VLOOKUP(C1399,Customers!$A$2:$F$301,3,FALSE()),"")</f>
        <v>47</v>
      </c>
      <c r="Q1399">
        <f t="shared" si="63"/>
        <v>0.29855072463768118</v>
      </c>
      <c r="R1399">
        <f>IF(AND(COUNTIF($A$2:$A$2027,A1399)&gt;1,COUNTIF($A$2:A1399,A1399)=1),1,0)</f>
        <v>0</v>
      </c>
      <c r="S1399" t="b">
        <f>IFERROR(VLOOKUP(D1399,Products!$A$2:$F$61,6,FALSE()),"")</f>
        <v>1</v>
      </c>
      <c r="T1399" t="str">
        <f>IF(COUNTIF(Customers!$A$2:$A$301,C1399)=0,"Missing","OK")</f>
        <v>OK</v>
      </c>
      <c r="U1399" t="str">
        <f t="shared" si="64"/>
        <v>Delhi</v>
      </c>
      <c r="V1399">
        <f t="shared" si="65"/>
        <v>0</v>
      </c>
    </row>
    <row r="1400" spans="1:22" ht="15" customHeight="1" x14ac:dyDescent="0.35">
      <c r="A1400" s="3" t="s">
        <v>1827</v>
      </c>
      <c r="B1400" s="4">
        <v>45483</v>
      </c>
      <c r="C1400" s="3" t="s">
        <v>202</v>
      </c>
      <c r="D1400" s="3" t="s">
        <v>299</v>
      </c>
      <c r="E1400" s="3" t="s">
        <v>143</v>
      </c>
      <c r="F1400" s="5">
        <v>9</v>
      </c>
      <c r="G1400" s="5">
        <v>5410</v>
      </c>
      <c r="H1400" s="5">
        <v>11.5</v>
      </c>
      <c r="I1400" s="5">
        <v>43090.65</v>
      </c>
      <c r="J1400" s="3" t="s">
        <v>26</v>
      </c>
      <c r="K1400" s="3" t="s">
        <v>72</v>
      </c>
      <c r="L1400" t="str">
        <f>IFERROR(VLOOKUP(D1400,Products!$A$2:$F$61,3,FALSE()),"")</f>
        <v>Sports</v>
      </c>
      <c r="M1400" t="str">
        <f>IFERROR(VLOOKUP(E1400,Sales_Reps!$A$2:$C$31,3,FALSE()),"")</f>
        <v>South</v>
      </c>
      <c r="N1400">
        <f>IFERROR(VLOOKUP(D1400,Products!$A$2:$F$61,4,FALSE()),"")</f>
        <v>2265</v>
      </c>
      <c r="O1400" t="str">
        <f>IFERROR(VLOOKUP(C1400,Customers!$A$2:$F$301,5,FALSE()),"")</f>
        <v>Retail</v>
      </c>
      <c r="P1400">
        <f>IFERROR(VLOOKUP(C1400,Customers!$A$2:$F$301,3,FALSE()),"")</f>
        <v>53</v>
      </c>
      <c r="Q1400">
        <f t="shared" si="63"/>
        <v>0.58133086876155271</v>
      </c>
      <c r="R1400">
        <f>IF(AND(COUNTIF($A$2:$A$2027,A1400)&gt;1,COUNTIF($A$2:A1400,A1400)=1),1,0)</f>
        <v>0</v>
      </c>
      <c r="S1400" t="b">
        <f>IFERROR(VLOOKUP(D1400,Products!$A$2:$F$61,6,FALSE()),"")</f>
        <v>1</v>
      </c>
      <c r="T1400" t="str">
        <f>IF(COUNTIF(Customers!$A$2:$A$301,C1400)=0,"Missing","OK")</f>
        <v>OK</v>
      </c>
      <c r="U1400" t="str">
        <f t="shared" si="64"/>
        <v>Hyderabad</v>
      </c>
      <c r="V1400">
        <f t="shared" si="65"/>
        <v>0</v>
      </c>
    </row>
    <row r="1401" spans="1:22" ht="15" customHeight="1" x14ac:dyDescent="0.35">
      <c r="A1401" s="3" t="s">
        <v>1828</v>
      </c>
      <c r="B1401" s="4">
        <v>45445</v>
      </c>
      <c r="C1401" s="3" t="s">
        <v>1829</v>
      </c>
      <c r="D1401" s="3" t="s">
        <v>391</v>
      </c>
      <c r="E1401" s="3" t="s">
        <v>109</v>
      </c>
      <c r="F1401" s="5">
        <v>9</v>
      </c>
      <c r="G1401" s="5">
        <v>3450</v>
      </c>
      <c r="H1401" s="5">
        <v>0.3</v>
      </c>
      <c r="I1401" s="5">
        <v>30956.85</v>
      </c>
      <c r="J1401" s="3" t="s">
        <v>83</v>
      </c>
      <c r="K1401" s="3" t="s">
        <v>72</v>
      </c>
      <c r="L1401" t="str">
        <f>IFERROR(VLOOKUP(D1401,Products!$A$2:$F$61,3,FALSE()),"")</f>
        <v>Apparel</v>
      </c>
      <c r="M1401" t="str">
        <f>IFERROR(VLOOKUP(E1401,Sales_Reps!$A$2:$C$31,3,FALSE()),"")</f>
        <v>West</v>
      </c>
      <c r="N1401">
        <f>IFERROR(VLOOKUP(D1401,Products!$A$2:$F$61,4,FALSE()),"")</f>
        <v>1748</v>
      </c>
      <c r="O1401" t="str">
        <f>IFERROR(VLOOKUP(C1401,Customers!$A$2:$F$301,5,FALSE()),"")</f>
        <v>SMB</v>
      </c>
      <c r="P1401">
        <f>IFERROR(VLOOKUP(C1401,Customers!$A$2:$F$301,3,FALSE()),"")</f>
        <v>34</v>
      </c>
      <c r="Q1401">
        <f t="shared" si="63"/>
        <v>0.49333333333333335</v>
      </c>
      <c r="R1401">
        <f>IF(AND(COUNTIF($A$2:$A$2027,A1401)&gt;1,COUNTIF($A$2:A1401,A1401)=1),1,0)</f>
        <v>0</v>
      </c>
      <c r="S1401" t="b">
        <f>IFERROR(VLOOKUP(D1401,Products!$A$2:$F$61,6,FALSE()),"")</f>
        <v>1</v>
      </c>
      <c r="T1401" t="str">
        <f>IF(COUNTIF(Customers!$A$2:$A$301,C1401)=0,"Missing","OK")</f>
        <v>OK</v>
      </c>
      <c r="U1401" t="str">
        <f t="shared" si="64"/>
        <v>Hyderabad</v>
      </c>
      <c r="V1401">
        <f t="shared" si="65"/>
        <v>0</v>
      </c>
    </row>
    <row r="1402" spans="1:22" ht="15" customHeight="1" x14ac:dyDescent="0.35">
      <c r="A1402" s="3" t="s">
        <v>1830</v>
      </c>
      <c r="B1402" s="4">
        <v>45614</v>
      </c>
      <c r="C1402" s="3" t="s">
        <v>396</v>
      </c>
      <c r="D1402" s="3" t="s">
        <v>45</v>
      </c>
      <c r="E1402" s="3" t="s">
        <v>50</v>
      </c>
      <c r="F1402" s="5">
        <v>10</v>
      </c>
      <c r="G1402" s="5">
        <v>3160</v>
      </c>
      <c r="H1402" s="5">
        <v>13.6</v>
      </c>
      <c r="I1402" s="5">
        <v>27302.400000000001</v>
      </c>
      <c r="J1402" s="3" t="s">
        <v>26</v>
      </c>
      <c r="K1402" s="3" t="s">
        <v>27</v>
      </c>
      <c r="L1402" t="str">
        <f>IFERROR(VLOOKUP(D1402,Products!$A$2:$F$61,3,FALSE()),"")</f>
        <v>Apparel</v>
      </c>
      <c r="M1402" t="str">
        <f>IFERROR(VLOOKUP(E1402,Sales_Reps!$A$2:$C$31,3,FALSE()),"")</f>
        <v>West</v>
      </c>
      <c r="N1402">
        <f>IFERROR(VLOOKUP(D1402,Products!$A$2:$F$61,4,FALSE()),"")</f>
        <v>1886</v>
      </c>
      <c r="O1402" t="str">
        <f>IFERROR(VLOOKUP(C1402,Customers!$A$2:$F$301,5,FALSE()),"")</f>
        <v>Retail</v>
      </c>
      <c r="P1402">
        <f>IFERROR(VLOOKUP(C1402,Customers!$A$2:$F$301,3,FALSE()),"")</f>
        <v>29</v>
      </c>
      <c r="Q1402">
        <f t="shared" si="63"/>
        <v>0.4031645569620253</v>
      </c>
      <c r="R1402">
        <f>IF(AND(COUNTIF($A$2:$A$2027,A1402)&gt;1,COUNTIF($A$2:A1402,A1402)=1),1,0)</f>
        <v>0</v>
      </c>
      <c r="S1402" t="b">
        <f>IFERROR(VLOOKUP(D1402,Products!$A$2:$F$61,6,FALSE()),"")</f>
        <v>1</v>
      </c>
      <c r="T1402" t="str">
        <f>IF(COUNTIF(Customers!$A$2:$A$301,C1402)=0,"Missing","OK")</f>
        <v>OK</v>
      </c>
      <c r="U1402" t="str">
        <f t="shared" si="64"/>
        <v>Pune</v>
      </c>
      <c r="V1402">
        <f t="shared" si="65"/>
        <v>0</v>
      </c>
    </row>
    <row r="1403" spans="1:22" ht="15" customHeight="1" x14ac:dyDescent="0.35">
      <c r="A1403" s="3" t="s">
        <v>1831</v>
      </c>
      <c r="B1403" s="4">
        <v>45433</v>
      </c>
      <c r="C1403" s="3" t="s">
        <v>58</v>
      </c>
      <c r="D1403" s="3" t="s">
        <v>198</v>
      </c>
      <c r="E1403" s="3" t="s">
        <v>140</v>
      </c>
      <c r="F1403" s="5">
        <v>3</v>
      </c>
      <c r="G1403" s="5">
        <v>1540</v>
      </c>
      <c r="H1403" s="5">
        <v>21.2</v>
      </c>
      <c r="I1403" s="5">
        <v>3640.56</v>
      </c>
      <c r="J1403" s="3" t="s">
        <v>26</v>
      </c>
      <c r="K1403" s="3" t="s">
        <v>56</v>
      </c>
      <c r="L1403" t="str">
        <f>IFERROR(VLOOKUP(D1403,Products!$A$2:$F$61,3,FALSE()),"")</f>
        <v>Beauty</v>
      </c>
      <c r="M1403" t="str">
        <f>IFERROR(VLOOKUP(E1403,Sales_Reps!$A$2:$C$31,3,FALSE()),"")</f>
        <v>West</v>
      </c>
      <c r="N1403">
        <f>IFERROR(VLOOKUP(D1403,Products!$A$2:$F$61,4,FALSE()),"")</f>
        <v>647</v>
      </c>
      <c r="O1403" t="str">
        <f>IFERROR(VLOOKUP(C1403,Customers!$A$2:$F$301,5,FALSE()),"")</f>
        <v>Corporate</v>
      </c>
      <c r="P1403">
        <f>IFERROR(VLOOKUP(C1403,Customers!$A$2:$F$301,3,FALSE()),"")</f>
        <v>57</v>
      </c>
      <c r="Q1403">
        <f t="shared" si="63"/>
        <v>0.57987012987012987</v>
      </c>
      <c r="R1403">
        <f>IF(AND(COUNTIF($A$2:$A$2027,A1403)&gt;1,COUNTIF($A$2:A1403,A1403)=1),1,0)</f>
        <v>0</v>
      </c>
      <c r="S1403" t="b">
        <f>IFERROR(VLOOKUP(D1403,Products!$A$2:$F$61,6,FALSE()),"")</f>
        <v>0</v>
      </c>
      <c r="T1403" t="str">
        <f>IF(COUNTIF(Customers!$A$2:$A$301,C1403)=0,"Missing","OK")</f>
        <v>OK</v>
      </c>
      <c r="U1403" t="str">
        <f t="shared" si="64"/>
        <v>Bengaluru</v>
      </c>
      <c r="V1403">
        <f t="shared" si="65"/>
        <v>0</v>
      </c>
    </row>
    <row r="1404" spans="1:22" ht="15" customHeight="1" x14ac:dyDescent="0.35">
      <c r="A1404" s="3" t="s">
        <v>1832</v>
      </c>
      <c r="B1404" s="4">
        <v>45402</v>
      </c>
      <c r="C1404" s="3" t="s">
        <v>329</v>
      </c>
      <c r="D1404" s="3" t="s">
        <v>176</v>
      </c>
      <c r="E1404" s="3" t="s">
        <v>224</v>
      </c>
      <c r="F1404" s="5">
        <v>5</v>
      </c>
      <c r="G1404" s="5">
        <v>3640</v>
      </c>
      <c r="H1404" s="5">
        <v>17.5</v>
      </c>
      <c r="I1404" s="5">
        <v>15015</v>
      </c>
      <c r="J1404" s="3" t="s">
        <v>26</v>
      </c>
      <c r="K1404" s="3" t="s">
        <v>27</v>
      </c>
      <c r="L1404" t="str">
        <f>IFERROR(VLOOKUP(D1404,Products!$A$2:$F$61,3,FALSE()),"")</f>
        <v>Apparel</v>
      </c>
      <c r="M1404" t="str">
        <f>IFERROR(VLOOKUP(E1404,Sales_Reps!$A$2:$C$31,3,FALSE()),"")</f>
        <v>East</v>
      </c>
      <c r="N1404">
        <f>IFERROR(VLOOKUP(D1404,Products!$A$2:$F$61,4,FALSE()),"")</f>
        <v>2611</v>
      </c>
      <c r="O1404" t="str">
        <f>IFERROR(VLOOKUP(C1404,Customers!$A$2:$F$301,5,FALSE()),"")</f>
        <v>SMB</v>
      </c>
      <c r="P1404">
        <f>IFERROR(VLOOKUP(C1404,Customers!$A$2:$F$301,3,FALSE()),"")</f>
        <v>54</v>
      </c>
      <c r="Q1404">
        <f t="shared" si="63"/>
        <v>0.28269230769230769</v>
      </c>
      <c r="R1404">
        <f>IF(AND(COUNTIF($A$2:$A$2027,A1404)&gt;1,COUNTIF($A$2:A1404,A1404)=1),1,0)</f>
        <v>0</v>
      </c>
      <c r="S1404" t="b">
        <f>IFERROR(VLOOKUP(D1404,Products!$A$2:$F$61,6,FALSE()),"")</f>
        <v>1</v>
      </c>
      <c r="T1404" t="str">
        <f>IF(COUNTIF(Customers!$A$2:$A$301,C1404)=0,"Missing","OK")</f>
        <v>OK</v>
      </c>
      <c r="U1404" t="str">
        <f t="shared" si="64"/>
        <v>Pune</v>
      </c>
      <c r="V1404">
        <f t="shared" si="65"/>
        <v>0</v>
      </c>
    </row>
    <row r="1405" spans="1:22" ht="15" customHeight="1" x14ac:dyDescent="0.35">
      <c r="A1405" s="3" t="s">
        <v>1833</v>
      </c>
      <c r="B1405" s="4">
        <v>45302</v>
      </c>
      <c r="C1405" s="3" t="s">
        <v>69</v>
      </c>
      <c r="D1405" s="3" t="s">
        <v>400</v>
      </c>
      <c r="E1405" s="3" t="s">
        <v>236</v>
      </c>
      <c r="F1405" s="5">
        <v>4</v>
      </c>
      <c r="G1405" s="5">
        <v>3780</v>
      </c>
      <c r="H1405" s="5">
        <v>9</v>
      </c>
      <c r="I1405" s="5">
        <v>13759.2</v>
      </c>
      <c r="J1405" s="3" t="s">
        <v>32</v>
      </c>
      <c r="K1405" s="3" t="s">
        <v>72</v>
      </c>
      <c r="L1405" t="str">
        <f>IFERROR(VLOOKUP(D1405,Products!$A$2:$F$61,3,FALSE()),"")</f>
        <v>Sports</v>
      </c>
      <c r="M1405" t="str">
        <f>IFERROR(VLOOKUP(E1405,Sales_Reps!$A$2:$C$31,3,FALSE()),"")</f>
        <v>North</v>
      </c>
      <c r="N1405">
        <f>IFERROR(VLOOKUP(D1405,Products!$A$2:$F$61,4,FALSE()),"")</f>
        <v>1860</v>
      </c>
      <c r="O1405" t="str">
        <f>IFERROR(VLOOKUP(C1405,Customers!$A$2:$F$301,5,FALSE()),"")</f>
        <v>Retail</v>
      </c>
      <c r="P1405">
        <f>IFERROR(VLOOKUP(C1405,Customers!$A$2:$F$301,3,FALSE()),"")</f>
        <v>60</v>
      </c>
      <c r="Q1405">
        <f t="shared" si="63"/>
        <v>0.50793650793650791</v>
      </c>
      <c r="R1405">
        <f>IF(AND(COUNTIF($A$2:$A$2027,A1405)&gt;1,COUNTIF($A$2:A1405,A1405)=1),1,0)</f>
        <v>0</v>
      </c>
      <c r="S1405" t="b">
        <f>IFERROR(VLOOKUP(D1405,Products!$A$2:$F$61,6,FALSE()),"")</f>
        <v>1</v>
      </c>
      <c r="T1405" t="str">
        <f>IF(COUNTIF(Customers!$A$2:$A$301,C1405)=0,"Missing","OK")</f>
        <v>OK</v>
      </c>
      <c r="U1405" t="str">
        <f t="shared" si="64"/>
        <v>Hyderabad</v>
      </c>
      <c r="V1405">
        <f t="shared" si="65"/>
        <v>0</v>
      </c>
    </row>
    <row r="1406" spans="1:22" ht="15" customHeight="1" x14ac:dyDescent="0.35">
      <c r="A1406" s="3" t="s">
        <v>1834</v>
      </c>
      <c r="B1406" s="4">
        <v>45526</v>
      </c>
      <c r="C1406" s="3" t="s">
        <v>342</v>
      </c>
      <c r="D1406" s="3" t="s">
        <v>112</v>
      </c>
      <c r="E1406" s="3" t="s">
        <v>50</v>
      </c>
      <c r="F1406" s="5">
        <v>9</v>
      </c>
      <c r="G1406" s="5">
        <v>2720</v>
      </c>
      <c r="H1406" s="5">
        <v>8.9</v>
      </c>
      <c r="I1406" s="5">
        <v>22301.279999999999</v>
      </c>
      <c r="J1406" s="3" t="s">
        <v>26</v>
      </c>
      <c r="K1406" s="3" t="s">
        <v>56</v>
      </c>
      <c r="L1406" t="str">
        <f>IFERROR(VLOOKUP(D1406,Products!$A$2:$F$61,3,FALSE()),"")</f>
        <v>Apparel</v>
      </c>
      <c r="M1406" t="str">
        <f>IFERROR(VLOOKUP(E1406,Sales_Reps!$A$2:$C$31,3,FALSE()),"")</f>
        <v>West</v>
      </c>
      <c r="N1406">
        <f>IFERROR(VLOOKUP(D1406,Products!$A$2:$F$61,4,FALSE()),"")</f>
        <v>1962</v>
      </c>
      <c r="O1406" t="str">
        <f>IFERROR(VLOOKUP(C1406,Customers!$A$2:$F$301,5,FALSE()),"")</f>
        <v>Retail</v>
      </c>
      <c r="P1406">
        <f>IFERROR(VLOOKUP(C1406,Customers!$A$2:$F$301,3,FALSE()),"")</f>
        <v>59</v>
      </c>
      <c r="Q1406">
        <f t="shared" si="63"/>
        <v>0.2786764705882353</v>
      </c>
      <c r="R1406">
        <f>IF(AND(COUNTIF($A$2:$A$2027,A1406)&gt;1,COUNTIF($A$2:A1406,A1406)=1),1,0)</f>
        <v>0</v>
      </c>
      <c r="S1406" t="b">
        <f>IFERROR(VLOOKUP(D1406,Products!$A$2:$F$61,6,FALSE()),"")</f>
        <v>1</v>
      </c>
      <c r="T1406" t="str">
        <f>IF(COUNTIF(Customers!$A$2:$A$301,C1406)=0,"Missing","OK")</f>
        <v>OK</v>
      </c>
      <c r="U1406" t="str">
        <f t="shared" si="64"/>
        <v>Bengaluru</v>
      </c>
      <c r="V1406">
        <f t="shared" si="65"/>
        <v>0</v>
      </c>
    </row>
    <row r="1407" spans="1:22" ht="15" customHeight="1" x14ac:dyDescent="0.35">
      <c r="A1407" s="3" t="s">
        <v>1835</v>
      </c>
      <c r="B1407" s="4">
        <v>45648</v>
      </c>
      <c r="C1407" s="3" t="s">
        <v>1004</v>
      </c>
      <c r="D1407" s="3" t="s">
        <v>24</v>
      </c>
      <c r="E1407" s="3" t="s">
        <v>78</v>
      </c>
      <c r="F1407" s="5">
        <v>4</v>
      </c>
      <c r="G1407" s="5">
        <v>3620</v>
      </c>
      <c r="H1407" s="5">
        <v>8</v>
      </c>
      <c r="I1407" s="5">
        <v>13321.6</v>
      </c>
      <c r="J1407" s="3" t="s">
        <v>32</v>
      </c>
      <c r="K1407" s="3" t="s">
        <v>33</v>
      </c>
      <c r="L1407" t="str">
        <f>IFERROR(VLOOKUP(D1407,Products!$A$2:$F$61,3,FALSE()),"")</f>
        <v>Apparel</v>
      </c>
      <c r="M1407" t="str">
        <f>IFERROR(VLOOKUP(E1407,Sales_Reps!$A$2:$C$31,3,FALSE()),"")</f>
        <v>North</v>
      </c>
      <c r="N1407">
        <f>IFERROR(VLOOKUP(D1407,Products!$A$2:$F$61,4,FALSE()),"")</f>
        <v>2509</v>
      </c>
      <c r="O1407" t="str">
        <f>IFERROR(VLOOKUP(C1407,Customers!$A$2:$F$301,5,FALSE()),"")</f>
        <v>Retail</v>
      </c>
      <c r="P1407">
        <f>IFERROR(VLOOKUP(C1407,Customers!$A$2:$F$301,3,FALSE()),"")</f>
        <v>49</v>
      </c>
      <c r="Q1407">
        <f t="shared" si="63"/>
        <v>0.3069060773480663</v>
      </c>
      <c r="R1407">
        <f>IF(AND(COUNTIF($A$2:$A$2027,A1407)&gt;1,COUNTIF($A$2:A1407,A1407)=1),1,0)</f>
        <v>0</v>
      </c>
      <c r="S1407" t="b">
        <f>IFERROR(VLOOKUP(D1407,Products!$A$2:$F$61,6,FALSE()),"")</f>
        <v>1</v>
      </c>
      <c r="T1407" t="str">
        <f>IF(COUNTIF(Customers!$A$2:$A$301,C1407)=0,"Missing","OK")</f>
        <v>OK</v>
      </c>
      <c r="U1407" t="str">
        <f t="shared" si="64"/>
        <v>Chennai</v>
      </c>
      <c r="V1407">
        <f t="shared" si="65"/>
        <v>0</v>
      </c>
    </row>
    <row r="1408" spans="1:22" ht="15" customHeight="1" x14ac:dyDescent="0.35">
      <c r="A1408" s="3" t="s">
        <v>1836</v>
      </c>
      <c r="B1408" s="4">
        <v>45325</v>
      </c>
      <c r="C1408" s="3" t="s">
        <v>451</v>
      </c>
      <c r="D1408" s="3" t="s">
        <v>391</v>
      </c>
      <c r="E1408" s="3" t="s">
        <v>78</v>
      </c>
      <c r="F1408" s="5">
        <v>1</v>
      </c>
      <c r="G1408" s="5">
        <v>3450</v>
      </c>
      <c r="H1408" s="5">
        <v>0.2</v>
      </c>
      <c r="I1408" s="5">
        <v>3443.1</v>
      </c>
      <c r="J1408" s="3" t="s">
        <v>26</v>
      </c>
      <c r="K1408" s="3" t="s">
        <v>72</v>
      </c>
      <c r="L1408" t="str">
        <f>IFERROR(VLOOKUP(D1408,Products!$A$2:$F$61,3,FALSE()),"")</f>
        <v>Apparel</v>
      </c>
      <c r="M1408" t="str">
        <f>IFERROR(VLOOKUP(E1408,Sales_Reps!$A$2:$C$31,3,FALSE()),"")</f>
        <v>North</v>
      </c>
      <c r="N1408">
        <f>IFERROR(VLOOKUP(D1408,Products!$A$2:$F$61,4,FALSE()),"")</f>
        <v>1748</v>
      </c>
      <c r="O1408" t="str">
        <f>IFERROR(VLOOKUP(C1408,Customers!$A$2:$F$301,5,FALSE()),"")</f>
        <v>Retail</v>
      </c>
      <c r="P1408">
        <f>IFERROR(VLOOKUP(C1408,Customers!$A$2:$F$301,3,FALSE()),"")</f>
        <v>61</v>
      </c>
      <c r="Q1408">
        <f t="shared" si="63"/>
        <v>0.49333333333333335</v>
      </c>
      <c r="R1408">
        <f>IF(AND(COUNTIF($A$2:$A$2027,A1408)&gt;1,COUNTIF($A$2:A1408,A1408)=1),1,0)</f>
        <v>0</v>
      </c>
      <c r="S1408" t="b">
        <f>IFERROR(VLOOKUP(D1408,Products!$A$2:$F$61,6,FALSE()),"")</f>
        <v>1</v>
      </c>
      <c r="T1408" t="str">
        <f>IF(COUNTIF(Customers!$A$2:$A$301,C1408)=0,"Missing","OK")</f>
        <v>OK</v>
      </c>
      <c r="U1408" t="str">
        <f t="shared" si="64"/>
        <v>Hyderabad</v>
      </c>
      <c r="V1408">
        <f t="shared" si="65"/>
        <v>0</v>
      </c>
    </row>
    <row r="1409" spans="1:22" ht="15" customHeight="1" x14ac:dyDescent="0.35">
      <c r="A1409" s="3" t="s">
        <v>1837</v>
      </c>
      <c r="B1409" s="4">
        <v>45640</v>
      </c>
      <c r="C1409" s="3" t="s">
        <v>485</v>
      </c>
      <c r="D1409" s="3" t="s">
        <v>176</v>
      </c>
      <c r="E1409" s="3" t="s">
        <v>37</v>
      </c>
      <c r="F1409" s="5">
        <v>7</v>
      </c>
      <c r="G1409" s="5">
        <v>3640</v>
      </c>
      <c r="H1409" s="5">
        <v>4.5999999999999996</v>
      </c>
      <c r="I1409" s="5">
        <v>24307.919999999998</v>
      </c>
      <c r="J1409" s="3" t="s">
        <v>26</v>
      </c>
      <c r="K1409" s="3" t="s">
        <v>38</v>
      </c>
      <c r="L1409" t="str">
        <f>IFERROR(VLOOKUP(D1409,Products!$A$2:$F$61,3,FALSE()),"")</f>
        <v>Apparel</v>
      </c>
      <c r="M1409" t="str">
        <f>IFERROR(VLOOKUP(E1409,Sales_Reps!$A$2:$C$31,3,FALSE()),"")</f>
        <v>South</v>
      </c>
      <c r="N1409">
        <f>IFERROR(VLOOKUP(D1409,Products!$A$2:$F$61,4,FALSE()),"")</f>
        <v>2611</v>
      </c>
      <c r="O1409" t="str">
        <f>IFERROR(VLOOKUP(C1409,Customers!$A$2:$F$301,5,FALSE()),"")</f>
        <v>SMB</v>
      </c>
      <c r="P1409">
        <f>IFERROR(VLOOKUP(C1409,Customers!$A$2:$F$301,3,FALSE()),"")</f>
        <v>29</v>
      </c>
      <c r="Q1409">
        <f t="shared" si="63"/>
        <v>0.28269230769230769</v>
      </c>
      <c r="R1409">
        <f>IF(AND(COUNTIF($A$2:$A$2027,A1409)&gt;1,COUNTIF($A$2:A1409,A1409)=1),1,0)</f>
        <v>0</v>
      </c>
      <c r="S1409" t="b">
        <f>IFERROR(VLOOKUP(D1409,Products!$A$2:$F$61,6,FALSE()),"")</f>
        <v>1</v>
      </c>
      <c r="T1409" t="str">
        <f>IF(COUNTIF(Customers!$A$2:$A$301,C1409)=0,"Missing","OK")</f>
        <v>OK</v>
      </c>
      <c r="U1409" t="str">
        <f t="shared" si="64"/>
        <v>Delhi</v>
      </c>
      <c r="V1409">
        <f t="shared" si="65"/>
        <v>0</v>
      </c>
    </row>
    <row r="1410" spans="1:22" ht="15" customHeight="1" x14ac:dyDescent="0.35">
      <c r="A1410" s="3" t="s">
        <v>1838</v>
      </c>
      <c r="B1410" s="4">
        <v>45423</v>
      </c>
      <c r="C1410" s="3" t="s">
        <v>975</v>
      </c>
      <c r="D1410" s="3" t="s">
        <v>231</v>
      </c>
      <c r="E1410" s="3" t="s">
        <v>93</v>
      </c>
      <c r="F1410" s="5">
        <v>9</v>
      </c>
      <c r="G1410" s="5">
        <v>620</v>
      </c>
      <c r="H1410" s="5">
        <v>8.5</v>
      </c>
      <c r="I1410" s="5">
        <v>5105.7</v>
      </c>
      <c r="J1410" s="3" t="s">
        <v>26</v>
      </c>
      <c r="K1410" s="3" t="s">
        <v>51</v>
      </c>
      <c r="L1410" t="str">
        <f>IFERROR(VLOOKUP(D1410,Products!$A$2:$F$61,3,FALSE()),"")</f>
        <v>Apparel</v>
      </c>
      <c r="M1410" t="str">
        <f>IFERROR(VLOOKUP(E1410,Sales_Reps!$A$2:$C$31,3,FALSE()),"")</f>
        <v>East</v>
      </c>
      <c r="N1410">
        <f>IFERROR(VLOOKUP(D1410,Products!$A$2:$F$61,4,FALSE()),"")</f>
        <v>396</v>
      </c>
      <c r="O1410" t="str">
        <f>IFERROR(VLOOKUP(C1410,Customers!$A$2:$F$301,5,FALSE()),"")</f>
        <v>Retail</v>
      </c>
      <c r="P1410">
        <f>IFERROR(VLOOKUP(C1410,Customers!$A$2:$F$301,3,FALSE()),"")</f>
        <v>33</v>
      </c>
      <c r="Q1410">
        <f t="shared" ref="Q1410:Q1473" si="66">IFERROR((G1410-N1410)/G1410,"")</f>
        <v>0.36129032258064514</v>
      </c>
      <c r="R1410">
        <f>IF(AND(COUNTIF($A$2:$A$2027,A1410)&gt;1,COUNTIF($A$2:A1410,A1410)=1),1,0)</f>
        <v>0</v>
      </c>
      <c r="S1410" t="b">
        <f>IFERROR(VLOOKUP(D1410,Products!$A$2:$F$61,6,FALSE()),"")</f>
        <v>1</v>
      </c>
      <c r="T1410" t="str">
        <f>IF(COUNTIF(Customers!$A$2:$A$301,C1410)=0,"Missing","OK")</f>
        <v>OK</v>
      </c>
      <c r="U1410" t="str">
        <f t="shared" ref="U1410:U1473" si="67">IF(K1410="","",PROPER(TRIM(K1410)))</f>
        <v>Mumbai</v>
      </c>
      <c r="V1410">
        <f t="shared" ref="V1410:V1473" si="68">IF(AND(U1410="Bengaluru",L1410="Grocery"),I1410,0)</f>
        <v>0</v>
      </c>
    </row>
    <row r="1411" spans="1:22" ht="15" customHeight="1" x14ac:dyDescent="0.35">
      <c r="A1411" s="3" t="s">
        <v>1839</v>
      </c>
      <c r="B1411" s="4">
        <v>45423</v>
      </c>
      <c r="C1411" s="3" t="s">
        <v>653</v>
      </c>
      <c r="D1411" s="3" t="s">
        <v>400</v>
      </c>
      <c r="E1411" s="3" t="s">
        <v>285</v>
      </c>
      <c r="F1411" s="5">
        <v>10</v>
      </c>
      <c r="G1411" s="5">
        <v>3780</v>
      </c>
      <c r="H1411" s="5">
        <v>5.8</v>
      </c>
      <c r="I1411" s="5">
        <v>35607.599999999999</v>
      </c>
      <c r="J1411" s="3" t="s">
        <v>26</v>
      </c>
      <c r="K1411" s="3" t="s">
        <v>38</v>
      </c>
      <c r="L1411" t="str">
        <f>IFERROR(VLOOKUP(D1411,Products!$A$2:$F$61,3,FALSE()),"")</f>
        <v>Sports</v>
      </c>
      <c r="M1411" t="str">
        <f>IFERROR(VLOOKUP(E1411,Sales_Reps!$A$2:$C$31,3,FALSE()),"")</f>
        <v>South</v>
      </c>
      <c r="N1411">
        <f>IFERROR(VLOOKUP(D1411,Products!$A$2:$F$61,4,FALSE()),"")</f>
        <v>1860</v>
      </c>
      <c r="O1411" t="str">
        <f>IFERROR(VLOOKUP(C1411,Customers!$A$2:$F$301,5,FALSE()),"")</f>
        <v>Retail</v>
      </c>
      <c r="P1411">
        <f>IFERROR(VLOOKUP(C1411,Customers!$A$2:$F$301,3,FALSE()),"")</f>
        <v>24</v>
      </c>
      <c r="Q1411">
        <f t="shared" si="66"/>
        <v>0.50793650793650791</v>
      </c>
      <c r="R1411">
        <f>IF(AND(COUNTIF($A$2:$A$2027,A1411)&gt;1,COUNTIF($A$2:A1411,A1411)=1),1,0)</f>
        <v>0</v>
      </c>
      <c r="S1411" t="b">
        <f>IFERROR(VLOOKUP(D1411,Products!$A$2:$F$61,6,FALSE()),"")</f>
        <v>1</v>
      </c>
      <c r="T1411" t="str">
        <f>IF(COUNTIF(Customers!$A$2:$A$301,C1411)=0,"Missing","OK")</f>
        <v>OK</v>
      </c>
      <c r="U1411" t="str">
        <f t="shared" si="67"/>
        <v>Delhi</v>
      </c>
      <c r="V1411">
        <f t="shared" si="68"/>
        <v>0</v>
      </c>
    </row>
    <row r="1412" spans="1:22" ht="15" customHeight="1" x14ac:dyDescent="0.35">
      <c r="A1412" s="3" t="s">
        <v>1840</v>
      </c>
      <c r="B1412" s="4">
        <v>45518</v>
      </c>
      <c r="C1412" s="3" t="s">
        <v>461</v>
      </c>
      <c r="D1412" s="3" t="s">
        <v>126</v>
      </c>
      <c r="E1412" s="3" t="s">
        <v>143</v>
      </c>
      <c r="F1412" s="5">
        <v>7</v>
      </c>
      <c r="G1412" s="5">
        <v>3570</v>
      </c>
      <c r="H1412" s="5">
        <v>26.1</v>
      </c>
      <c r="I1412" s="5">
        <v>18467.61</v>
      </c>
      <c r="J1412" s="3" t="s">
        <v>26</v>
      </c>
      <c r="K1412" s="3" t="s">
        <v>38</v>
      </c>
      <c r="L1412" t="str">
        <f>IFERROR(VLOOKUP(D1412,Products!$A$2:$F$61,3,FALSE()),"")</f>
        <v>Electronics</v>
      </c>
      <c r="M1412" t="str">
        <f>IFERROR(VLOOKUP(E1412,Sales_Reps!$A$2:$C$31,3,FALSE()),"")</f>
        <v>South</v>
      </c>
      <c r="N1412">
        <f>IFERROR(VLOOKUP(D1412,Products!$A$2:$F$61,4,FALSE()),"")</f>
        <v>1665</v>
      </c>
      <c r="O1412" t="str">
        <f>IFERROR(VLOOKUP(C1412,Customers!$A$2:$F$301,5,FALSE()),"")</f>
        <v>SMB</v>
      </c>
      <c r="P1412">
        <f>IFERROR(VLOOKUP(C1412,Customers!$A$2:$F$301,3,FALSE()),"")</f>
        <v>55</v>
      </c>
      <c r="Q1412">
        <f t="shared" si="66"/>
        <v>0.53361344537815125</v>
      </c>
      <c r="R1412">
        <f>IF(AND(COUNTIF($A$2:$A$2027,A1412)&gt;1,COUNTIF($A$2:A1412,A1412)=1),1,0)</f>
        <v>0</v>
      </c>
      <c r="S1412" t="b">
        <f>IFERROR(VLOOKUP(D1412,Products!$A$2:$F$61,6,FALSE()),"")</f>
        <v>1</v>
      </c>
      <c r="T1412" t="str">
        <f>IF(COUNTIF(Customers!$A$2:$A$301,C1412)=0,"Missing","OK")</f>
        <v>OK</v>
      </c>
      <c r="U1412" t="str">
        <f t="shared" si="67"/>
        <v>Delhi</v>
      </c>
      <c r="V1412">
        <f t="shared" si="68"/>
        <v>0</v>
      </c>
    </row>
    <row r="1413" spans="1:22" ht="15" customHeight="1" x14ac:dyDescent="0.35">
      <c r="A1413" s="3" t="s">
        <v>1841</v>
      </c>
      <c r="B1413" s="4">
        <v>45306</v>
      </c>
      <c r="C1413" s="3" t="s">
        <v>653</v>
      </c>
      <c r="D1413" s="3" t="s">
        <v>115</v>
      </c>
      <c r="E1413" s="3" t="s">
        <v>236</v>
      </c>
      <c r="F1413" s="5">
        <v>2</v>
      </c>
      <c r="G1413" s="5">
        <v>1650</v>
      </c>
      <c r="H1413" s="5">
        <v>3.8</v>
      </c>
      <c r="I1413" s="5">
        <v>3174.6</v>
      </c>
      <c r="J1413" s="3" t="s">
        <v>26</v>
      </c>
      <c r="K1413" s="3" t="s">
        <v>38</v>
      </c>
      <c r="L1413" t="str">
        <f>IFERROR(VLOOKUP(D1413,Products!$A$2:$F$61,3,FALSE()),"")</f>
        <v>Beauty</v>
      </c>
      <c r="M1413" t="str">
        <f>IFERROR(VLOOKUP(E1413,Sales_Reps!$A$2:$C$31,3,FALSE()),"")</f>
        <v>North</v>
      </c>
      <c r="N1413">
        <f>IFERROR(VLOOKUP(D1413,Products!$A$2:$F$61,4,FALSE()),"")</f>
        <v>1222</v>
      </c>
      <c r="O1413" t="str">
        <f>IFERROR(VLOOKUP(C1413,Customers!$A$2:$F$301,5,FALSE()),"")</f>
        <v>Retail</v>
      </c>
      <c r="P1413">
        <f>IFERROR(VLOOKUP(C1413,Customers!$A$2:$F$301,3,FALSE()),"")</f>
        <v>24</v>
      </c>
      <c r="Q1413">
        <f t="shared" si="66"/>
        <v>0.2593939393939394</v>
      </c>
      <c r="R1413">
        <f>IF(AND(COUNTIF($A$2:$A$2027,A1413)&gt;1,COUNTIF($A$2:A1413,A1413)=1),1,0)</f>
        <v>0</v>
      </c>
      <c r="S1413" t="b">
        <f>IFERROR(VLOOKUP(D1413,Products!$A$2:$F$61,6,FALSE()),"")</f>
        <v>1</v>
      </c>
      <c r="T1413" t="str">
        <f>IF(COUNTIF(Customers!$A$2:$A$301,C1413)=0,"Missing","OK")</f>
        <v>OK</v>
      </c>
      <c r="U1413" t="str">
        <f t="shared" si="67"/>
        <v>Delhi</v>
      </c>
      <c r="V1413">
        <f t="shared" si="68"/>
        <v>0</v>
      </c>
    </row>
    <row r="1414" spans="1:22" ht="15" customHeight="1" x14ac:dyDescent="0.35">
      <c r="A1414" s="3" t="s">
        <v>1842</v>
      </c>
      <c r="B1414" s="4">
        <v>45346</v>
      </c>
      <c r="C1414" s="3" t="s">
        <v>1663</v>
      </c>
      <c r="D1414" s="3" t="s">
        <v>319</v>
      </c>
      <c r="E1414" s="3" t="s">
        <v>264</v>
      </c>
      <c r="F1414" s="5">
        <v>2</v>
      </c>
      <c r="G1414" s="5">
        <v>960</v>
      </c>
      <c r="H1414" s="5">
        <v>6.8</v>
      </c>
      <c r="I1414" s="5">
        <v>1789.44</v>
      </c>
      <c r="J1414" s="3" t="s">
        <v>26</v>
      </c>
      <c r="K1414" s="3" t="s">
        <v>56</v>
      </c>
      <c r="L1414" t="str">
        <f>IFERROR(VLOOKUP(D1414,Products!$A$2:$F$61,3,FALSE()),"")</f>
        <v>Beauty</v>
      </c>
      <c r="M1414" t="str">
        <f>IFERROR(VLOOKUP(E1414,Sales_Reps!$A$2:$C$31,3,FALSE()),"")</f>
        <v>South</v>
      </c>
      <c r="N1414">
        <f>IFERROR(VLOOKUP(D1414,Products!$A$2:$F$61,4,FALSE()),"")</f>
        <v>675</v>
      </c>
      <c r="O1414" t="str">
        <f>IFERROR(VLOOKUP(C1414,Customers!$A$2:$F$301,5,FALSE()),"")</f>
        <v>SMB</v>
      </c>
      <c r="P1414">
        <f>IFERROR(VLOOKUP(C1414,Customers!$A$2:$F$301,3,FALSE()),"")</f>
        <v>54</v>
      </c>
      <c r="Q1414">
        <f t="shared" si="66"/>
        <v>0.296875</v>
      </c>
      <c r="R1414">
        <f>IF(AND(COUNTIF($A$2:$A$2027,A1414)&gt;1,COUNTIF($A$2:A1414,A1414)=1),1,0)</f>
        <v>0</v>
      </c>
      <c r="S1414" t="b">
        <f>IFERROR(VLOOKUP(D1414,Products!$A$2:$F$61,6,FALSE()),"")</f>
        <v>1</v>
      </c>
      <c r="T1414" t="str">
        <f>IF(COUNTIF(Customers!$A$2:$A$301,C1414)=0,"Missing","OK")</f>
        <v>OK</v>
      </c>
      <c r="U1414" t="str">
        <f t="shared" si="67"/>
        <v>Bengaluru</v>
      </c>
      <c r="V1414">
        <f t="shared" si="68"/>
        <v>0</v>
      </c>
    </row>
    <row r="1415" spans="1:22" ht="15" customHeight="1" x14ac:dyDescent="0.35">
      <c r="A1415" s="3" t="s">
        <v>1843</v>
      </c>
      <c r="B1415" s="4">
        <v>45376</v>
      </c>
      <c r="C1415" s="3" t="s">
        <v>811</v>
      </c>
      <c r="D1415" s="3" t="s">
        <v>221</v>
      </c>
      <c r="E1415" s="3" t="s">
        <v>42</v>
      </c>
      <c r="F1415" s="5">
        <v>2</v>
      </c>
      <c r="G1415" s="5">
        <v>300</v>
      </c>
      <c r="H1415" s="5">
        <v>2.8</v>
      </c>
      <c r="I1415" s="5">
        <v>583.20000000000005</v>
      </c>
      <c r="J1415" s="3" t="s">
        <v>26</v>
      </c>
      <c r="K1415" s="3" t="s">
        <v>51</v>
      </c>
      <c r="L1415" t="str">
        <f>IFERROR(VLOOKUP(D1415,Products!$A$2:$F$61,3,FALSE()),"")</f>
        <v>Electronics</v>
      </c>
      <c r="M1415" t="str">
        <f>IFERROR(VLOOKUP(E1415,Sales_Reps!$A$2:$C$31,3,FALSE()),"")</f>
        <v>North</v>
      </c>
      <c r="N1415">
        <f>IFERROR(VLOOKUP(D1415,Products!$A$2:$F$61,4,FALSE()),"")</f>
        <v>128</v>
      </c>
      <c r="O1415" t="str">
        <f>IFERROR(VLOOKUP(C1415,Customers!$A$2:$F$301,5,FALSE()),"")</f>
        <v>Corporate</v>
      </c>
      <c r="P1415">
        <f>IFERROR(VLOOKUP(C1415,Customers!$A$2:$F$301,3,FALSE()),"")</f>
        <v>62</v>
      </c>
      <c r="Q1415">
        <f t="shared" si="66"/>
        <v>0.57333333333333336</v>
      </c>
      <c r="R1415">
        <f>IF(AND(COUNTIF($A$2:$A$2027,A1415)&gt;1,COUNTIF($A$2:A1415,A1415)=1),1,0)</f>
        <v>0</v>
      </c>
      <c r="S1415" t="b">
        <f>IFERROR(VLOOKUP(D1415,Products!$A$2:$F$61,6,FALSE()),"")</f>
        <v>1</v>
      </c>
      <c r="T1415" t="str">
        <f>IF(COUNTIF(Customers!$A$2:$A$301,C1415)=0,"Missing","OK")</f>
        <v>OK</v>
      </c>
      <c r="U1415" t="str">
        <f t="shared" si="67"/>
        <v>Mumbai</v>
      </c>
      <c r="V1415">
        <f t="shared" si="68"/>
        <v>0</v>
      </c>
    </row>
    <row r="1416" spans="1:22" ht="15" customHeight="1" x14ac:dyDescent="0.35">
      <c r="A1416" s="3" t="s">
        <v>1844</v>
      </c>
      <c r="B1416" s="4">
        <v>45561</v>
      </c>
      <c r="C1416" s="3" t="s">
        <v>432</v>
      </c>
      <c r="D1416" s="3" t="s">
        <v>290</v>
      </c>
      <c r="E1416" s="3" t="s">
        <v>282</v>
      </c>
      <c r="F1416" s="5">
        <v>10</v>
      </c>
      <c r="G1416" s="5">
        <v>4060</v>
      </c>
      <c r="H1416" s="5">
        <v>15.1</v>
      </c>
      <c r="I1416" s="5">
        <v>34469.4</v>
      </c>
      <c r="J1416" s="3" t="s">
        <v>26</v>
      </c>
      <c r="K1416" s="3" t="s">
        <v>27</v>
      </c>
      <c r="L1416" t="str">
        <f>IFERROR(VLOOKUP(D1416,Products!$A$2:$F$61,3,FALSE()),"")</f>
        <v>Grocery</v>
      </c>
      <c r="M1416" t="str">
        <f>IFERROR(VLOOKUP(E1416,Sales_Reps!$A$2:$C$31,3,FALSE()),"")</f>
        <v>West</v>
      </c>
      <c r="N1416">
        <f>IFERROR(VLOOKUP(D1416,Products!$A$2:$F$61,4,FALSE()),"")</f>
        <v>2911</v>
      </c>
      <c r="O1416" t="str">
        <f>IFERROR(VLOOKUP(C1416,Customers!$A$2:$F$301,5,FALSE()),"")</f>
        <v>Retail</v>
      </c>
      <c r="P1416">
        <f>IFERROR(VLOOKUP(C1416,Customers!$A$2:$F$301,3,FALSE()),"")</f>
        <v>57</v>
      </c>
      <c r="Q1416">
        <f t="shared" si="66"/>
        <v>0.28300492610837441</v>
      </c>
      <c r="R1416">
        <f>IF(AND(COUNTIF($A$2:$A$2027,A1416)&gt;1,COUNTIF($A$2:A1416,A1416)=1),1,0)</f>
        <v>0</v>
      </c>
      <c r="S1416" t="b">
        <f>IFERROR(VLOOKUP(D1416,Products!$A$2:$F$61,6,FALSE()),"")</f>
        <v>1</v>
      </c>
      <c r="T1416" t="str">
        <f>IF(COUNTIF(Customers!$A$2:$A$301,C1416)=0,"Missing","OK")</f>
        <v>OK</v>
      </c>
      <c r="U1416" t="str">
        <f t="shared" si="67"/>
        <v>Pune</v>
      </c>
      <c r="V1416">
        <f t="shared" si="68"/>
        <v>0</v>
      </c>
    </row>
    <row r="1417" spans="1:22" ht="15" customHeight="1" x14ac:dyDescent="0.35">
      <c r="A1417" s="3" t="s">
        <v>1845</v>
      </c>
      <c r="B1417" s="4">
        <v>45320</v>
      </c>
      <c r="C1417" s="3" t="s">
        <v>1130</v>
      </c>
      <c r="D1417" s="3" t="s">
        <v>303</v>
      </c>
      <c r="E1417" s="3" t="s">
        <v>224</v>
      </c>
      <c r="F1417" s="5">
        <v>6</v>
      </c>
      <c r="G1417" s="5">
        <v>5330</v>
      </c>
      <c r="H1417" s="5">
        <v>2</v>
      </c>
      <c r="I1417" s="5">
        <v>31340.400000000001</v>
      </c>
      <c r="J1417" s="3" t="s">
        <v>26</v>
      </c>
      <c r="K1417" s="3" t="s">
        <v>56</v>
      </c>
      <c r="L1417" t="str">
        <f>IFERROR(VLOOKUP(D1417,Products!$A$2:$F$61,3,FALSE()),"")</f>
        <v>Electronics</v>
      </c>
      <c r="M1417" t="str">
        <f>IFERROR(VLOOKUP(E1417,Sales_Reps!$A$2:$C$31,3,FALSE()),"")</f>
        <v>East</v>
      </c>
      <c r="N1417">
        <f>IFERROR(VLOOKUP(D1417,Products!$A$2:$F$61,4,FALSE()),"")</f>
        <v>2405</v>
      </c>
      <c r="O1417" t="str">
        <f>IFERROR(VLOOKUP(C1417,Customers!$A$2:$F$301,5,FALSE()),"")</f>
        <v>Retail</v>
      </c>
      <c r="P1417">
        <f>IFERROR(VLOOKUP(C1417,Customers!$A$2:$F$301,3,FALSE()),"")</f>
        <v>36</v>
      </c>
      <c r="Q1417">
        <f t="shared" si="66"/>
        <v>0.54878048780487809</v>
      </c>
      <c r="R1417">
        <f>IF(AND(COUNTIF($A$2:$A$2027,A1417)&gt;1,COUNTIF($A$2:A1417,A1417)=1),1,0)</f>
        <v>0</v>
      </c>
      <c r="S1417" t="b">
        <f>IFERROR(VLOOKUP(D1417,Products!$A$2:$F$61,6,FALSE()),"")</f>
        <v>1</v>
      </c>
      <c r="T1417" t="str">
        <f>IF(COUNTIF(Customers!$A$2:$A$301,C1417)=0,"Missing","OK")</f>
        <v>OK</v>
      </c>
      <c r="U1417" t="str">
        <f t="shared" si="67"/>
        <v>Bengaluru</v>
      </c>
      <c r="V1417">
        <f t="shared" si="68"/>
        <v>0</v>
      </c>
    </row>
    <row r="1418" spans="1:22" ht="15" customHeight="1" x14ac:dyDescent="0.35">
      <c r="A1418" s="3" t="s">
        <v>1846</v>
      </c>
      <c r="B1418" s="4">
        <v>45572</v>
      </c>
      <c r="C1418" s="3" t="s">
        <v>359</v>
      </c>
      <c r="D1418" s="3" t="s">
        <v>165</v>
      </c>
      <c r="E1418" s="3" t="s">
        <v>97</v>
      </c>
      <c r="F1418" s="5">
        <v>9</v>
      </c>
      <c r="G1418" s="5">
        <v>3730</v>
      </c>
      <c r="H1418" s="5">
        <v>24.5</v>
      </c>
      <c r="I1418" s="5">
        <v>25345.35</v>
      </c>
      <c r="J1418" s="3" t="s">
        <v>83</v>
      </c>
      <c r="K1418" s="3" t="s">
        <v>38</v>
      </c>
      <c r="L1418" t="str">
        <f>IFERROR(VLOOKUP(D1418,Products!$A$2:$F$61,3,FALSE()),"")</f>
        <v>Home</v>
      </c>
      <c r="M1418" t="str">
        <f>IFERROR(VLOOKUP(E1418,Sales_Reps!$A$2:$C$31,3,FALSE()),"")</f>
        <v>East</v>
      </c>
      <c r="N1418">
        <f>IFERROR(VLOOKUP(D1418,Products!$A$2:$F$61,4,FALSE()),"")</f>
        <v>2135</v>
      </c>
      <c r="O1418" t="str">
        <f>IFERROR(VLOOKUP(C1418,Customers!$A$2:$F$301,5,FALSE()),"")</f>
        <v>Retail</v>
      </c>
      <c r="P1418">
        <f>IFERROR(VLOOKUP(C1418,Customers!$A$2:$F$301,3,FALSE()),"")</f>
        <v>44</v>
      </c>
      <c r="Q1418">
        <f t="shared" si="66"/>
        <v>0.42761394101876676</v>
      </c>
      <c r="R1418">
        <f>IF(AND(COUNTIF($A$2:$A$2027,A1418)&gt;1,COUNTIF($A$2:A1418,A1418)=1),1,0)</f>
        <v>0</v>
      </c>
      <c r="S1418" t="b">
        <f>IFERROR(VLOOKUP(D1418,Products!$A$2:$F$61,6,FALSE()),"")</f>
        <v>1</v>
      </c>
      <c r="T1418" t="str">
        <f>IF(COUNTIF(Customers!$A$2:$A$301,C1418)=0,"Missing","OK")</f>
        <v>OK</v>
      </c>
      <c r="U1418" t="str">
        <f t="shared" si="67"/>
        <v>Delhi</v>
      </c>
      <c r="V1418">
        <f t="shared" si="68"/>
        <v>0</v>
      </c>
    </row>
    <row r="1419" spans="1:22" ht="15" customHeight="1" x14ac:dyDescent="0.35">
      <c r="A1419" s="3" t="s">
        <v>1847</v>
      </c>
      <c r="B1419" s="4">
        <v>45611</v>
      </c>
      <c r="C1419" s="3" t="s">
        <v>292</v>
      </c>
      <c r="D1419" s="3" t="s">
        <v>180</v>
      </c>
      <c r="E1419" s="3" t="s">
        <v>109</v>
      </c>
      <c r="F1419" s="5">
        <v>1</v>
      </c>
      <c r="G1419" s="5">
        <v>6080</v>
      </c>
      <c r="H1419" s="5">
        <v>4.4000000000000004</v>
      </c>
      <c r="I1419" s="5">
        <v>5812.48</v>
      </c>
      <c r="J1419" s="3" t="s">
        <v>79</v>
      </c>
      <c r="K1419" s="3" t="s">
        <v>33</v>
      </c>
      <c r="L1419" t="str">
        <f>IFERROR(VLOOKUP(D1419,Products!$A$2:$F$61,3,FALSE()),"")</f>
        <v>Beauty</v>
      </c>
      <c r="M1419" t="str">
        <f>IFERROR(VLOOKUP(E1419,Sales_Reps!$A$2:$C$31,3,FALSE()),"")</f>
        <v>West</v>
      </c>
      <c r="N1419">
        <f>IFERROR(VLOOKUP(D1419,Products!$A$2:$F$61,4,FALSE()),"")</f>
        <v>2617</v>
      </c>
      <c r="O1419" t="str">
        <f>IFERROR(VLOOKUP(C1419,Customers!$A$2:$F$301,5,FALSE()),"")</f>
        <v>Retail</v>
      </c>
      <c r="P1419">
        <f>IFERROR(VLOOKUP(C1419,Customers!$A$2:$F$301,3,FALSE()),"")</f>
        <v>60</v>
      </c>
      <c r="Q1419">
        <f t="shared" si="66"/>
        <v>0.56957236842105263</v>
      </c>
      <c r="R1419">
        <f>IF(AND(COUNTIF($A$2:$A$2027,A1419)&gt;1,COUNTIF($A$2:A1419,A1419)=1),1,0)</f>
        <v>0</v>
      </c>
      <c r="S1419" t="b">
        <f>IFERROR(VLOOKUP(D1419,Products!$A$2:$F$61,6,FALSE()),"")</f>
        <v>1</v>
      </c>
      <c r="T1419" t="str">
        <f>IF(COUNTIF(Customers!$A$2:$A$301,C1419)=0,"Missing","OK")</f>
        <v>OK</v>
      </c>
      <c r="U1419" t="str">
        <f t="shared" si="67"/>
        <v>Chennai</v>
      </c>
      <c r="V1419">
        <f t="shared" si="68"/>
        <v>0</v>
      </c>
    </row>
    <row r="1420" spans="1:22" ht="15" customHeight="1" x14ac:dyDescent="0.35">
      <c r="A1420" s="3" t="s">
        <v>1848</v>
      </c>
      <c r="B1420" s="4">
        <v>45524</v>
      </c>
      <c r="C1420" s="3" t="s">
        <v>646</v>
      </c>
      <c r="D1420" s="3" t="s">
        <v>112</v>
      </c>
      <c r="E1420" s="3" t="s">
        <v>50</v>
      </c>
      <c r="F1420" s="5">
        <v>5</v>
      </c>
      <c r="G1420" s="5">
        <v>2720</v>
      </c>
      <c r="H1420" s="5">
        <v>9.1999999999999993</v>
      </c>
      <c r="I1420" s="5">
        <v>12348.8</v>
      </c>
      <c r="J1420" s="3" t="s">
        <v>26</v>
      </c>
      <c r="K1420" s="3" t="s">
        <v>51</v>
      </c>
      <c r="L1420" t="str">
        <f>IFERROR(VLOOKUP(D1420,Products!$A$2:$F$61,3,FALSE()),"")</f>
        <v>Apparel</v>
      </c>
      <c r="M1420" t="str">
        <f>IFERROR(VLOOKUP(E1420,Sales_Reps!$A$2:$C$31,3,FALSE()),"")</f>
        <v>West</v>
      </c>
      <c r="N1420">
        <f>IFERROR(VLOOKUP(D1420,Products!$A$2:$F$61,4,FALSE()),"")</f>
        <v>1962</v>
      </c>
      <c r="O1420" t="str">
        <f>IFERROR(VLOOKUP(C1420,Customers!$A$2:$F$301,5,FALSE()),"")</f>
        <v>Retail</v>
      </c>
      <c r="P1420">
        <f>IFERROR(VLOOKUP(C1420,Customers!$A$2:$F$301,3,FALSE()),"")</f>
        <v>33</v>
      </c>
      <c r="Q1420">
        <f t="shared" si="66"/>
        <v>0.2786764705882353</v>
      </c>
      <c r="R1420">
        <f>IF(AND(COUNTIF($A$2:$A$2027,A1420)&gt;1,COUNTIF($A$2:A1420,A1420)=1),1,0)</f>
        <v>0</v>
      </c>
      <c r="S1420" t="b">
        <f>IFERROR(VLOOKUP(D1420,Products!$A$2:$F$61,6,FALSE()),"")</f>
        <v>1</v>
      </c>
      <c r="T1420" t="str">
        <f>IF(COUNTIF(Customers!$A$2:$A$301,C1420)=0,"Missing","OK")</f>
        <v>OK</v>
      </c>
      <c r="U1420" t="str">
        <f t="shared" si="67"/>
        <v>Mumbai</v>
      </c>
      <c r="V1420">
        <f t="shared" si="68"/>
        <v>0</v>
      </c>
    </row>
    <row r="1421" spans="1:22" ht="15" customHeight="1" x14ac:dyDescent="0.35">
      <c r="A1421" s="3" t="s">
        <v>1849</v>
      </c>
      <c r="B1421" s="4">
        <v>45438</v>
      </c>
      <c r="C1421" s="3" t="s">
        <v>350</v>
      </c>
      <c r="D1421" s="3" t="s">
        <v>391</v>
      </c>
      <c r="E1421" s="3" t="s">
        <v>93</v>
      </c>
      <c r="F1421" s="5">
        <v>1</v>
      </c>
      <c r="G1421" s="5">
        <v>3450</v>
      </c>
      <c r="H1421" s="5">
        <v>15.6</v>
      </c>
      <c r="I1421" s="5">
        <v>2911.8</v>
      </c>
      <c r="J1421" s="3" t="s">
        <v>26</v>
      </c>
      <c r="K1421" s="3" t="s">
        <v>51</v>
      </c>
      <c r="L1421" t="str">
        <f>IFERROR(VLOOKUP(D1421,Products!$A$2:$F$61,3,FALSE()),"")</f>
        <v>Apparel</v>
      </c>
      <c r="M1421" t="str">
        <f>IFERROR(VLOOKUP(E1421,Sales_Reps!$A$2:$C$31,3,FALSE()),"")</f>
        <v>East</v>
      </c>
      <c r="N1421">
        <f>IFERROR(VLOOKUP(D1421,Products!$A$2:$F$61,4,FALSE()),"")</f>
        <v>1748</v>
      </c>
      <c r="O1421" t="str">
        <f>IFERROR(VLOOKUP(C1421,Customers!$A$2:$F$301,5,FALSE()),"")</f>
        <v>Retail</v>
      </c>
      <c r="P1421">
        <f>IFERROR(VLOOKUP(C1421,Customers!$A$2:$F$301,3,FALSE()),"")</f>
        <v>61</v>
      </c>
      <c r="Q1421">
        <f t="shared" si="66"/>
        <v>0.49333333333333335</v>
      </c>
      <c r="R1421">
        <f>IF(AND(COUNTIF($A$2:$A$2027,A1421)&gt;1,COUNTIF($A$2:A1421,A1421)=1),1,0)</f>
        <v>0</v>
      </c>
      <c r="S1421" t="b">
        <f>IFERROR(VLOOKUP(D1421,Products!$A$2:$F$61,6,FALSE()),"")</f>
        <v>1</v>
      </c>
      <c r="T1421" t="str">
        <f>IF(COUNTIF(Customers!$A$2:$A$301,C1421)=0,"Missing","OK")</f>
        <v>OK</v>
      </c>
      <c r="U1421" t="str">
        <f t="shared" si="67"/>
        <v>Mumbai</v>
      </c>
      <c r="V1421">
        <f t="shared" si="68"/>
        <v>0</v>
      </c>
    </row>
    <row r="1422" spans="1:22" ht="15" customHeight="1" x14ac:dyDescent="0.35">
      <c r="A1422" s="3" t="s">
        <v>1850</v>
      </c>
      <c r="B1422" s="4">
        <v>45484</v>
      </c>
      <c r="C1422" s="3" t="s">
        <v>1562</v>
      </c>
      <c r="D1422" s="3" t="s">
        <v>441</v>
      </c>
      <c r="E1422" s="3" t="s">
        <v>224</v>
      </c>
      <c r="F1422" s="5">
        <v>2</v>
      </c>
      <c r="G1422" s="5">
        <v>1090</v>
      </c>
      <c r="H1422" s="5">
        <v>0.4</v>
      </c>
      <c r="I1422" s="5">
        <v>2171.2800000000002</v>
      </c>
      <c r="J1422" s="3" t="s">
        <v>83</v>
      </c>
      <c r="K1422" s="3" t="s">
        <v>56</v>
      </c>
      <c r="L1422" t="str">
        <f>IFERROR(VLOOKUP(D1422,Products!$A$2:$F$61,3,FALSE()),"")</f>
        <v>Home</v>
      </c>
      <c r="M1422" t="str">
        <f>IFERROR(VLOOKUP(E1422,Sales_Reps!$A$2:$C$31,3,FALSE()),"")</f>
        <v>East</v>
      </c>
      <c r="N1422">
        <f>IFERROR(VLOOKUP(D1422,Products!$A$2:$F$61,4,FALSE()),"")</f>
        <v>464</v>
      </c>
      <c r="O1422" t="str">
        <f>IFERROR(VLOOKUP(C1422,Customers!$A$2:$F$301,5,FALSE()),"")</f>
        <v>Retail</v>
      </c>
      <c r="P1422">
        <f>IFERROR(VLOOKUP(C1422,Customers!$A$2:$F$301,3,FALSE()),"")</f>
        <v>53</v>
      </c>
      <c r="Q1422">
        <f t="shared" si="66"/>
        <v>0.57431192660550456</v>
      </c>
      <c r="R1422">
        <f>IF(AND(COUNTIF($A$2:$A$2027,A1422)&gt;1,COUNTIF($A$2:A1422,A1422)=1),1,0)</f>
        <v>0</v>
      </c>
      <c r="S1422" t="b">
        <f>IFERROR(VLOOKUP(D1422,Products!$A$2:$F$61,6,FALSE()),"")</f>
        <v>1</v>
      </c>
      <c r="T1422" t="str">
        <f>IF(COUNTIF(Customers!$A$2:$A$301,C1422)=0,"Missing","OK")</f>
        <v>OK</v>
      </c>
      <c r="U1422" t="str">
        <f t="shared" si="67"/>
        <v>Bengaluru</v>
      </c>
      <c r="V1422">
        <f t="shared" si="68"/>
        <v>0</v>
      </c>
    </row>
    <row r="1423" spans="1:22" ht="15" customHeight="1" x14ac:dyDescent="0.35">
      <c r="A1423" s="3" t="s">
        <v>1851</v>
      </c>
      <c r="B1423" s="4">
        <v>45643</v>
      </c>
      <c r="C1423" s="3" t="s">
        <v>478</v>
      </c>
      <c r="D1423" s="3" t="s">
        <v>126</v>
      </c>
      <c r="E1423" s="3" t="s">
        <v>177</v>
      </c>
      <c r="F1423" s="5">
        <v>2</v>
      </c>
      <c r="G1423" s="5">
        <v>3570</v>
      </c>
      <c r="H1423" s="5">
        <v>9</v>
      </c>
      <c r="I1423" s="5">
        <v>6497.4</v>
      </c>
      <c r="J1423" s="3" t="s">
        <v>26</v>
      </c>
      <c r="K1423" s="3" t="s">
        <v>72</v>
      </c>
      <c r="L1423" t="str">
        <f>IFERROR(VLOOKUP(D1423,Products!$A$2:$F$61,3,FALSE()),"")</f>
        <v>Electronics</v>
      </c>
      <c r="M1423" t="str">
        <f>IFERROR(VLOOKUP(E1423,Sales_Reps!$A$2:$C$31,3,FALSE()),"")</f>
        <v>East</v>
      </c>
      <c r="N1423">
        <f>IFERROR(VLOOKUP(D1423,Products!$A$2:$F$61,4,FALSE()),"")</f>
        <v>1665</v>
      </c>
      <c r="O1423" t="str">
        <f>IFERROR(VLOOKUP(C1423,Customers!$A$2:$F$301,5,FALSE()),"")</f>
        <v>Retail</v>
      </c>
      <c r="P1423">
        <f>IFERROR(VLOOKUP(C1423,Customers!$A$2:$F$301,3,FALSE()),"")</f>
        <v>38</v>
      </c>
      <c r="Q1423">
        <f t="shared" si="66"/>
        <v>0.53361344537815125</v>
      </c>
      <c r="R1423">
        <f>IF(AND(COUNTIF($A$2:$A$2027,A1423)&gt;1,COUNTIF($A$2:A1423,A1423)=1),1,0)</f>
        <v>0</v>
      </c>
      <c r="S1423" t="b">
        <f>IFERROR(VLOOKUP(D1423,Products!$A$2:$F$61,6,FALSE()),"")</f>
        <v>1</v>
      </c>
      <c r="T1423" t="str">
        <f>IF(COUNTIF(Customers!$A$2:$A$301,C1423)=0,"Missing","OK")</f>
        <v>OK</v>
      </c>
      <c r="U1423" t="str">
        <f t="shared" si="67"/>
        <v>Hyderabad</v>
      </c>
      <c r="V1423">
        <f t="shared" si="68"/>
        <v>0</v>
      </c>
    </row>
    <row r="1424" spans="1:22" ht="15" customHeight="1" x14ac:dyDescent="0.35">
      <c r="A1424" s="3" t="s">
        <v>1852</v>
      </c>
      <c r="B1424" s="4">
        <v>45437</v>
      </c>
      <c r="C1424" s="3" t="s">
        <v>461</v>
      </c>
      <c r="D1424" s="3" t="s">
        <v>106</v>
      </c>
      <c r="E1424" s="3" t="s">
        <v>37</v>
      </c>
      <c r="F1424" s="5">
        <v>9</v>
      </c>
      <c r="G1424" s="5">
        <v>2480</v>
      </c>
      <c r="H1424" s="5">
        <v>3.6</v>
      </c>
      <c r="I1424" s="5">
        <v>21516.48</v>
      </c>
      <c r="J1424" s="3" t="s">
        <v>32</v>
      </c>
      <c r="K1424" s="3" t="s">
        <v>38</v>
      </c>
      <c r="L1424" t="str">
        <f>IFERROR(VLOOKUP(D1424,Products!$A$2:$F$61,3,FALSE()),"")</f>
        <v>Apparel</v>
      </c>
      <c r="M1424" t="str">
        <f>IFERROR(VLOOKUP(E1424,Sales_Reps!$A$2:$C$31,3,FALSE()),"")</f>
        <v>South</v>
      </c>
      <c r="N1424">
        <f>IFERROR(VLOOKUP(D1424,Products!$A$2:$F$61,4,FALSE()),"")</f>
        <v>1173</v>
      </c>
      <c r="O1424" t="str">
        <f>IFERROR(VLOOKUP(C1424,Customers!$A$2:$F$301,5,FALSE()),"")</f>
        <v>SMB</v>
      </c>
      <c r="P1424">
        <f>IFERROR(VLOOKUP(C1424,Customers!$A$2:$F$301,3,FALSE()),"")</f>
        <v>55</v>
      </c>
      <c r="Q1424">
        <f t="shared" si="66"/>
        <v>0.52701612903225803</v>
      </c>
      <c r="R1424">
        <f>IF(AND(COUNTIF($A$2:$A$2027,A1424)&gt;1,COUNTIF($A$2:A1424,A1424)=1),1,0)</f>
        <v>0</v>
      </c>
      <c r="S1424" t="b">
        <f>IFERROR(VLOOKUP(D1424,Products!$A$2:$F$61,6,FALSE()),"")</f>
        <v>1</v>
      </c>
      <c r="T1424" t="str">
        <f>IF(COUNTIF(Customers!$A$2:$A$301,C1424)=0,"Missing","OK")</f>
        <v>OK</v>
      </c>
      <c r="U1424" t="str">
        <f t="shared" si="67"/>
        <v>Delhi</v>
      </c>
      <c r="V1424">
        <f t="shared" si="68"/>
        <v>0</v>
      </c>
    </row>
    <row r="1425" spans="1:22" ht="15" customHeight="1" x14ac:dyDescent="0.35">
      <c r="A1425" s="3" t="s">
        <v>1853</v>
      </c>
      <c r="B1425" s="4">
        <v>45303</v>
      </c>
      <c r="C1425" s="3" t="s">
        <v>483</v>
      </c>
      <c r="D1425" s="3" t="s">
        <v>173</v>
      </c>
      <c r="E1425" s="3" t="s">
        <v>224</v>
      </c>
      <c r="F1425" s="5">
        <v>9</v>
      </c>
      <c r="G1425" s="5">
        <v>3780</v>
      </c>
      <c r="H1425" s="5">
        <v>4.5</v>
      </c>
      <c r="I1425" s="5">
        <v>32489.1</v>
      </c>
      <c r="J1425" s="3" t="s">
        <v>26</v>
      </c>
      <c r="K1425" s="3" t="s">
        <v>72</v>
      </c>
      <c r="L1425" t="str">
        <f>IFERROR(VLOOKUP(D1425,Products!$A$2:$F$61,3,FALSE()),"")</f>
        <v>Grocery</v>
      </c>
      <c r="M1425" t="str">
        <f>IFERROR(VLOOKUP(E1425,Sales_Reps!$A$2:$C$31,3,FALSE()),"")</f>
        <v>East</v>
      </c>
      <c r="N1425">
        <f>IFERROR(VLOOKUP(D1425,Products!$A$2:$F$61,4,FALSE()),"")</f>
        <v>2436</v>
      </c>
      <c r="O1425" t="str">
        <f>IFERROR(VLOOKUP(C1425,Customers!$A$2:$F$301,5,FALSE()),"")</f>
        <v>Retail</v>
      </c>
      <c r="P1425">
        <f>IFERROR(VLOOKUP(C1425,Customers!$A$2:$F$301,3,FALSE()),"")</f>
        <v>25</v>
      </c>
      <c r="Q1425">
        <f t="shared" si="66"/>
        <v>0.35555555555555557</v>
      </c>
      <c r="R1425">
        <f>IF(AND(COUNTIF($A$2:$A$2027,A1425)&gt;1,COUNTIF($A$2:A1425,A1425)=1),1,0)</f>
        <v>0</v>
      </c>
      <c r="S1425" t="b">
        <f>IFERROR(VLOOKUP(D1425,Products!$A$2:$F$61,6,FALSE()),"")</f>
        <v>1</v>
      </c>
      <c r="T1425" t="str">
        <f>IF(COUNTIF(Customers!$A$2:$A$301,C1425)=0,"Missing","OK")</f>
        <v>OK</v>
      </c>
      <c r="U1425" t="str">
        <f t="shared" si="67"/>
        <v>Hyderabad</v>
      </c>
      <c r="V1425">
        <f t="shared" si="68"/>
        <v>0</v>
      </c>
    </row>
    <row r="1426" spans="1:22" ht="15" customHeight="1" x14ac:dyDescent="0.35">
      <c r="A1426" s="3" t="s">
        <v>1854</v>
      </c>
      <c r="B1426" s="4">
        <v>45631</v>
      </c>
      <c r="C1426" s="3" t="s">
        <v>298</v>
      </c>
      <c r="D1426" s="3" t="s">
        <v>290</v>
      </c>
      <c r="E1426" s="3" t="s">
        <v>71</v>
      </c>
      <c r="F1426" s="5">
        <v>5</v>
      </c>
      <c r="G1426" s="5">
        <v>4060</v>
      </c>
      <c r="H1426" s="5">
        <v>2.7</v>
      </c>
      <c r="I1426" s="5">
        <v>19751.900000000001</v>
      </c>
      <c r="J1426" s="3" t="s">
        <v>26</v>
      </c>
      <c r="K1426" s="3" t="s">
        <v>38</v>
      </c>
      <c r="L1426" t="str">
        <f>IFERROR(VLOOKUP(D1426,Products!$A$2:$F$61,3,FALSE()),"")</f>
        <v>Grocery</v>
      </c>
      <c r="M1426" t="str">
        <f>IFERROR(VLOOKUP(E1426,Sales_Reps!$A$2:$C$31,3,FALSE()),"")</f>
        <v>South</v>
      </c>
      <c r="N1426">
        <f>IFERROR(VLOOKUP(D1426,Products!$A$2:$F$61,4,FALSE()),"")</f>
        <v>2911</v>
      </c>
      <c r="O1426" t="str">
        <f>IFERROR(VLOOKUP(C1426,Customers!$A$2:$F$301,5,FALSE()),"")</f>
        <v>SMB</v>
      </c>
      <c r="P1426">
        <f>IFERROR(VLOOKUP(C1426,Customers!$A$2:$F$301,3,FALSE()),"")</f>
        <v>28</v>
      </c>
      <c r="Q1426">
        <f t="shared" si="66"/>
        <v>0.28300492610837441</v>
      </c>
      <c r="R1426">
        <f>IF(AND(COUNTIF($A$2:$A$2027,A1426)&gt;1,COUNTIF($A$2:A1426,A1426)=1),1,0)</f>
        <v>0</v>
      </c>
      <c r="S1426" t="b">
        <f>IFERROR(VLOOKUP(D1426,Products!$A$2:$F$61,6,FALSE()),"")</f>
        <v>1</v>
      </c>
      <c r="T1426" t="str">
        <f>IF(COUNTIF(Customers!$A$2:$A$301,C1426)=0,"Missing","OK")</f>
        <v>OK</v>
      </c>
      <c r="U1426" t="str">
        <f t="shared" si="67"/>
        <v>Delhi</v>
      </c>
      <c r="V1426">
        <f t="shared" si="68"/>
        <v>0</v>
      </c>
    </row>
    <row r="1427" spans="1:22" ht="15" customHeight="1" x14ac:dyDescent="0.35">
      <c r="A1427" s="3" t="s">
        <v>1855</v>
      </c>
      <c r="B1427" s="4">
        <v>45564</v>
      </c>
      <c r="C1427" s="3" t="s">
        <v>547</v>
      </c>
      <c r="D1427" s="3" t="s">
        <v>221</v>
      </c>
      <c r="E1427" s="3" t="s">
        <v>236</v>
      </c>
      <c r="F1427" s="5">
        <v>8</v>
      </c>
      <c r="G1427" s="5">
        <v>300</v>
      </c>
      <c r="H1427" s="5">
        <v>19.8</v>
      </c>
      <c r="I1427" s="5">
        <v>1924.8</v>
      </c>
      <c r="J1427" s="3" t="s">
        <v>79</v>
      </c>
      <c r="K1427" s="3" t="s">
        <v>27</v>
      </c>
      <c r="L1427" t="str">
        <f>IFERROR(VLOOKUP(D1427,Products!$A$2:$F$61,3,FALSE()),"")</f>
        <v>Electronics</v>
      </c>
      <c r="M1427" t="str">
        <f>IFERROR(VLOOKUP(E1427,Sales_Reps!$A$2:$C$31,3,FALSE()),"")</f>
        <v>North</v>
      </c>
      <c r="N1427">
        <f>IFERROR(VLOOKUP(D1427,Products!$A$2:$F$61,4,FALSE()),"")</f>
        <v>128</v>
      </c>
      <c r="O1427" t="str">
        <f>IFERROR(VLOOKUP(C1427,Customers!$A$2:$F$301,5,FALSE()),"")</f>
        <v>Corporate</v>
      </c>
      <c r="P1427">
        <f>IFERROR(VLOOKUP(C1427,Customers!$A$2:$F$301,3,FALSE()),"")</f>
        <v>40</v>
      </c>
      <c r="Q1427">
        <f t="shared" si="66"/>
        <v>0.57333333333333336</v>
      </c>
      <c r="R1427">
        <f>IF(AND(COUNTIF($A$2:$A$2027,A1427)&gt;1,COUNTIF($A$2:A1427,A1427)=1),1,0)</f>
        <v>0</v>
      </c>
      <c r="S1427" t="b">
        <f>IFERROR(VLOOKUP(D1427,Products!$A$2:$F$61,6,FALSE()),"")</f>
        <v>1</v>
      </c>
      <c r="T1427" t="str">
        <f>IF(COUNTIF(Customers!$A$2:$A$301,C1427)=0,"Missing","OK")</f>
        <v>OK</v>
      </c>
      <c r="U1427" t="str">
        <f t="shared" si="67"/>
        <v>Pune</v>
      </c>
      <c r="V1427">
        <f t="shared" si="68"/>
        <v>0</v>
      </c>
    </row>
    <row r="1428" spans="1:22" ht="15" customHeight="1" x14ac:dyDescent="0.35">
      <c r="A1428" s="3" t="s">
        <v>1856</v>
      </c>
      <c r="B1428" s="4">
        <v>45454</v>
      </c>
      <c r="C1428" s="3" t="s">
        <v>289</v>
      </c>
      <c r="D1428" s="3" t="s">
        <v>82</v>
      </c>
      <c r="E1428" s="3" t="s">
        <v>236</v>
      </c>
      <c r="F1428" s="5">
        <v>10</v>
      </c>
      <c r="G1428" s="5">
        <v>3250</v>
      </c>
      <c r="H1428" s="5">
        <v>21.3</v>
      </c>
      <c r="I1428" s="5">
        <v>25577.5</v>
      </c>
      <c r="J1428" s="3" t="s">
        <v>79</v>
      </c>
      <c r="K1428" s="3" t="s">
        <v>51</v>
      </c>
      <c r="L1428" t="str">
        <f>IFERROR(VLOOKUP(D1428,Products!$A$2:$F$61,3,FALSE()),"")</f>
        <v>Home</v>
      </c>
      <c r="M1428" t="str">
        <f>IFERROR(VLOOKUP(E1428,Sales_Reps!$A$2:$C$31,3,FALSE()),"")</f>
        <v>North</v>
      </c>
      <c r="N1428">
        <f>IFERROR(VLOOKUP(D1428,Products!$A$2:$F$61,4,FALSE()),"")</f>
        <v>1556</v>
      </c>
      <c r="O1428" t="str">
        <f>IFERROR(VLOOKUP(C1428,Customers!$A$2:$F$301,5,FALSE()),"")</f>
        <v>SMB</v>
      </c>
      <c r="P1428">
        <f>IFERROR(VLOOKUP(C1428,Customers!$A$2:$F$301,3,FALSE()),"")</f>
        <v>22</v>
      </c>
      <c r="Q1428">
        <f t="shared" si="66"/>
        <v>0.52123076923076928</v>
      </c>
      <c r="R1428">
        <f>IF(AND(COUNTIF($A$2:$A$2027,A1428)&gt;1,COUNTIF($A$2:A1428,A1428)=1),1,0)</f>
        <v>0</v>
      </c>
      <c r="S1428" t="b">
        <f>IFERROR(VLOOKUP(D1428,Products!$A$2:$F$61,6,FALSE()),"")</f>
        <v>1</v>
      </c>
      <c r="T1428" t="str">
        <f>IF(COUNTIF(Customers!$A$2:$A$301,C1428)=0,"Missing","OK")</f>
        <v>OK</v>
      </c>
      <c r="U1428" t="str">
        <f t="shared" si="67"/>
        <v>Mumbai</v>
      </c>
      <c r="V1428">
        <f t="shared" si="68"/>
        <v>0</v>
      </c>
    </row>
    <row r="1429" spans="1:22" ht="15" customHeight="1" x14ac:dyDescent="0.35">
      <c r="A1429" s="3" t="s">
        <v>1857</v>
      </c>
      <c r="B1429" s="4">
        <v>45616</v>
      </c>
      <c r="C1429" s="3" t="s">
        <v>44</v>
      </c>
      <c r="D1429" s="3" t="s">
        <v>134</v>
      </c>
      <c r="E1429" s="3" t="s">
        <v>143</v>
      </c>
      <c r="F1429" s="5">
        <v>2</v>
      </c>
      <c r="G1429" s="5">
        <v>2860</v>
      </c>
      <c r="H1429" s="5">
        <v>13.7</v>
      </c>
      <c r="I1429" s="5">
        <v>4936.3599999999997</v>
      </c>
      <c r="J1429" s="3" t="s">
        <v>26</v>
      </c>
      <c r="K1429" s="3" t="s">
        <v>33</v>
      </c>
      <c r="L1429" t="str">
        <f>IFERROR(VLOOKUP(D1429,Products!$A$2:$F$61,3,FALSE()),"")</f>
        <v>Sports</v>
      </c>
      <c r="M1429" t="str">
        <f>IFERROR(VLOOKUP(E1429,Sales_Reps!$A$2:$C$31,3,FALSE()),"")</f>
        <v>South</v>
      </c>
      <c r="N1429">
        <f>IFERROR(VLOOKUP(D1429,Products!$A$2:$F$61,4,FALSE()),"")</f>
        <v>2028</v>
      </c>
      <c r="O1429" t="str">
        <f>IFERROR(VLOOKUP(C1429,Customers!$A$2:$F$301,5,FALSE()),"")</f>
        <v>Retail</v>
      </c>
      <c r="P1429">
        <f>IFERROR(VLOOKUP(C1429,Customers!$A$2:$F$301,3,FALSE()),"")</f>
        <v>36</v>
      </c>
      <c r="Q1429">
        <f t="shared" si="66"/>
        <v>0.29090909090909089</v>
      </c>
      <c r="R1429">
        <f>IF(AND(COUNTIF($A$2:$A$2027,A1429)&gt;1,COUNTIF($A$2:A1429,A1429)=1),1,0)</f>
        <v>0</v>
      </c>
      <c r="S1429" t="b">
        <f>IFERROR(VLOOKUP(D1429,Products!$A$2:$F$61,6,FALSE()),"")</f>
        <v>1</v>
      </c>
      <c r="T1429" t="str">
        <f>IF(COUNTIF(Customers!$A$2:$A$301,C1429)=0,"Missing","OK")</f>
        <v>OK</v>
      </c>
      <c r="U1429" t="str">
        <f t="shared" si="67"/>
        <v>Chennai</v>
      </c>
      <c r="V1429">
        <f t="shared" si="68"/>
        <v>0</v>
      </c>
    </row>
    <row r="1430" spans="1:22" ht="15" customHeight="1" x14ac:dyDescent="0.35">
      <c r="A1430" s="3" t="s">
        <v>1858</v>
      </c>
      <c r="B1430" s="4">
        <v>45523</v>
      </c>
      <c r="C1430" s="3" t="s">
        <v>653</v>
      </c>
      <c r="D1430" s="3" t="s">
        <v>206</v>
      </c>
      <c r="E1430" s="3" t="s">
        <v>177</v>
      </c>
      <c r="F1430" s="5">
        <v>10</v>
      </c>
      <c r="G1430" s="5">
        <v>1220</v>
      </c>
      <c r="H1430" s="5">
        <v>15.4</v>
      </c>
      <c r="I1430" s="5">
        <v>10321.200000000001</v>
      </c>
      <c r="J1430" s="3" t="s">
        <v>26</v>
      </c>
      <c r="K1430" s="3" t="s">
        <v>38</v>
      </c>
      <c r="L1430" t="str">
        <f>IFERROR(VLOOKUP(D1430,Products!$A$2:$F$61,3,FALSE()),"")</f>
        <v>Electronics</v>
      </c>
      <c r="M1430" t="str">
        <f>IFERROR(VLOOKUP(E1430,Sales_Reps!$A$2:$C$31,3,FALSE()),"")</f>
        <v>East</v>
      </c>
      <c r="N1430">
        <f>IFERROR(VLOOKUP(D1430,Products!$A$2:$F$61,4,FALSE()),"")</f>
        <v>517</v>
      </c>
      <c r="O1430" t="str">
        <f>IFERROR(VLOOKUP(C1430,Customers!$A$2:$F$301,5,FALSE()),"")</f>
        <v>Retail</v>
      </c>
      <c r="P1430">
        <f>IFERROR(VLOOKUP(C1430,Customers!$A$2:$F$301,3,FALSE()),"")</f>
        <v>24</v>
      </c>
      <c r="Q1430">
        <f t="shared" si="66"/>
        <v>0.57622950819672136</v>
      </c>
      <c r="R1430">
        <f>IF(AND(COUNTIF($A$2:$A$2027,A1430)&gt;1,COUNTIF($A$2:A1430,A1430)=1),1,0)</f>
        <v>0</v>
      </c>
      <c r="S1430" t="b">
        <f>IFERROR(VLOOKUP(D1430,Products!$A$2:$F$61,6,FALSE()),"")</f>
        <v>1</v>
      </c>
      <c r="T1430" t="str">
        <f>IF(COUNTIF(Customers!$A$2:$A$301,C1430)=0,"Missing","OK")</f>
        <v>OK</v>
      </c>
      <c r="U1430" t="str">
        <f t="shared" si="67"/>
        <v>Delhi</v>
      </c>
      <c r="V1430">
        <f t="shared" si="68"/>
        <v>0</v>
      </c>
    </row>
    <row r="1431" spans="1:22" ht="15" customHeight="1" x14ac:dyDescent="0.35">
      <c r="A1431" s="3" t="s">
        <v>1859</v>
      </c>
      <c r="B1431" s="4">
        <v>45439</v>
      </c>
      <c r="C1431" s="3" t="s">
        <v>195</v>
      </c>
      <c r="D1431" s="3" t="s">
        <v>173</v>
      </c>
      <c r="E1431" s="3" t="s">
        <v>71</v>
      </c>
      <c r="F1431" s="5">
        <v>3</v>
      </c>
      <c r="G1431" s="5">
        <v>3780</v>
      </c>
      <c r="H1431" s="5">
        <v>1.9</v>
      </c>
      <c r="I1431" s="5">
        <v>11124.54</v>
      </c>
      <c r="J1431" s="3" t="s">
        <v>26</v>
      </c>
      <c r="K1431" s="3" t="s">
        <v>72</v>
      </c>
      <c r="L1431" t="str">
        <f>IFERROR(VLOOKUP(D1431,Products!$A$2:$F$61,3,FALSE()),"")</f>
        <v>Grocery</v>
      </c>
      <c r="M1431" t="str">
        <f>IFERROR(VLOOKUP(E1431,Sales_Reps!$A$2:$C$31,3,FALSE()),"")</f>
        <v>South</v>
      </c>
      <c r="N1431">
        <f>IFERROR(VLOOKUP(D1431,Products!$A$2:$F$61,4,FALSE()),"")</f>
        <v>2436</v>
      </c>
      <c r="O1431" t="str">
        <f>IFERROR(VLOOKUP(C1431,Customers!$A$2:$F$301,5,FALSE()),"")</f>
        <v>Retail</v>
      </c>
      <c r="P1431">
        <f>IFERROR(VLOOKUP(C1431,Customers!$A$2:$F$301,3,FALSE()),"")</f>
        <v>27</v>
      </c>
      <c r="Q1431">
        <f t="shared" si="66"/>
        <v>0.35555555555555557</v>
      </c>
      <c r="R1431">
        <f>IF(AND(COUNTIF($A$2:$A$2027,A1431)&gt;1,COUNTIF($A$2:A1431,A1431)=1),1,0)</f>
        <v>0</v>
      </c>
      <c r="S1431" t="b">
        <f>IFERROR(VLOOKUP(D1431,Products!$A$2:$F$61,6,FALSE()),"")</f>
        <v>1</v>
      </c>
      <c r="T1431" t="str">
        <f>IF(COUNTIF(Customers!$A$2:$A$301,C1431)=0,"Missing","OK")</f>
        <v>OK</v>
      </c>
      <c r="U1431" t="str">
        <f t="shared" si="67"/>
        <v>Hyderabad</v>
      </c>
      <c r="V1431">
        <f t="shared" si="68"/>
        <v>0</v>
      </c>
    </row>
    <row r="1432" spans="1:22" ht="15" customHeight="1" x14ac:dyDescent="0.35">
      <c r="A1432" s="3" t="s">
        <v>1860</v>
      </c>
      <c r="B1432" s="4">
        <v>45579</v>
      </c>
      <c r="C1432" s="3" t="s">
        <v>907</v>
      </c>
      <c r="D1432" s="3" t="s">
        <v>63</v>
      </c>
      <c r="E1432" s="3" t="s">
        <v>242</v>
      </c>
      <c r="F1432" s="5">
        <v>6</v>
      </c>
      <c r="G1432" s="5">
        <v>5490</v>
      </c>
      <c r="H1432" s="5">
        <v>0.5</v>
      </c>
      <c r="I1432" s="5">
        <v>32775.300000000003</v>
      </c>
      <c r="J1432" s="3" t="s">
        <v>32</v>
      </c>
      <c r="K1432" s="3" t="s">
        <v>38</v>
      </c>
      <c r="L1432" t="str">
        <f>IFERROR(VLOOKUP(D1432,Products!$A$2:$F$61,3,FALSE()),"")</f>
        <v>Home</v>
      </c>
      <c r="M1432" t="str">
        <f>IFERROR(VLOOKUP(E1432,Sales_Reps!$A$2:$C$31,3,FALSE()),"")</f>
        <v>East</v>
      </c>
      <c r="N1432">
        <f>IFERROR(VLOOKUP(D1432,Products!$A$2:$F$61,4,FALSE()),"")</f>
        <v>2549</v>
      </c>
      <c r="O1432" t="str">
        <f>IFERROR(VLOOKUP(C1432,Customers!$A$2:$F$301,5,FALSE()),"")</f>
        <v>Retail</v>
      </c>
      <c r="P1432">
        <f>IFERROR(VLOOKUP(C1432,Customers!$A$2:$F$301,3,FALSE()),"")</f>
        <v>47</v>
      </c>
      <c r="Q1432">
        <f t="shared" si="66"/>
        <v>0.53570127504553733</v>
      </c>
      <c r="R1432">
        <f>IF(AND(COUNTIF($A$2:$A$2027,A1432)&gt;1,COUNTIF($A$2:A1432,A1432)=1),1,0)</f>
        <v>0</v>
      </c>
      <c r="S1432" t="b">
        <f>IFERROR(VLOOKUP(D1432,Products!$A$2:$F$61,6,FALSE()),"")</f>
        <v>1</v>
      </c>
      <c r="T1432" t="str">
        <f>IF(COUNTIF(Customers!$A$2:$A$301,C1432)=0,"Missing","OK")</f>
        <v>OK</v>
      </c>
      <c r="U1432" t="str">
        <f t="shared" si="67"/>
        <v>Delhi</v>
      </c>
      <c r="V1432">
        <f t="shared" si="68"/>
        <v>0</v>
      </c>
    </row>
    <row r="1433" spans="1:22" ht="15" customHeight="1" x14ac:dyDescent="0.35">
      <c r="A1433" s="3" t="s">
        <v>1861</v>
      </c>
      <c r="B1433" s="4">
        <v>45495</v>
      </c>
      <c r="C1433" s="3" t="s">
        <v>1814</v>
      </c>
      <c r="D1433" s="3" t="s">
        <v>184</v>
      </c>
      <c r="E1433" s="3" t="s">
        <v>168</v>
      </c>
      <c r="F1433" s="5">
        <v>6</v>
      </c>
      <c r="G1433" s="5">
        <v>2270</v>
      </c>
      <c r="H1433" s="5">
        <v>21.5</v>
      </c>
      <c r="I1433" s="5">
        <v>10691.7</v>
      </c>
      <c r="J1433" s="3" t="s">
        <v>26</v>
      </c>
      <c r="K1433" s="3" t="s">
        <v>33</v>
      </c>
      <c r="L1433" t="str">
        <f>IFERROR(VLOOKUP(D1433,Products!$A$2:$F$61,3,FALSE()),"")</f>
        <v>Grocery</v>
      </c>
      <c r="M1433" t="str">
        <f>IFERROR(VLOOKUP(E1433,Sales_Reps!$A$2:$C$31,3,FALSE()),"")</f>
        <v>West</v>
      </c>
      <c r="N1433">
        <f>IFERROR(VLOOKUP(D1433,Products!$A$2:$F$61,4,FALSE()),"")</f>
        <v>1412</v>
      </c>
      <c r="O1433" t="str">
        <f>IFERROR(VLOOKUP(C1433,Customers!$A$2:$F$301,5,FALSE()),"")</f>
        <v>Corporate</v>
      </c>
      <c r="P1433">
        <f>IFERROR(VLOOKUP(C1433,Customers!$A$2:$F$301,3,FALSE()),"")</f>
        <v>54</v>
      </c>
      <c r="Q1433">
        <f t="shared" si="66"/>
        <v>0.37797356828193834</v>
      </c>
      <c r="R1433">
        <f>IF(AND(COUNTIF($A$2:$A$2027,A1433)&gt;1,COUNTIF($A$2:A1433,A1433)=1),1,0)</f>
        <v>0</v>
      </c>
      <c r="S1433" t="b">
        <f>IFERROR(VLOOKUP(D1433,Products!$A$2:$F$61,6,FALSE()),"")</f>
        <v>1</v>
      </c>
      <c r="T1433" t="str">
        <f>IF(COUNTIF(Customers!$A$2:$A$301,C1433)=0,"Missing","OK")</f>
        <v>OK</v>
      </c>
      <c r="U1433" t="str">
        <f t="shared" si="67"/>
        <v>Chennai</v>
      </c>
      <c r="V1433">
        <f t="shared" si="68"/>
        <v>0</v>
      </c>
    </row>
    <row r="1434" spans="1:22" ht="15" customHeight="1" x14ac:dyDescent="0.35">
      <c r="A1434" s="3" t="s">
        <v>1862</v>
      </c>
      <c r="B1434" s="4">
        <v>45600</v>
      </c>
      <c r="C1434" s="3" t="s">
        <v>344</v>
      </c>
      <c r="D1434" s="3" t="s">
        <v>277</v>
      </c>
      <c r="E1434" s="3" t="s">
        <v>93</v>
      </c>
      <c r="F1434" s="5">
        <v>7</v>
      </c>
      <c r="G1434" s="5">
        <v>2210</v>
      </c>
      <c r="H1434" s="5">
        <v>10.3</v>
      </c>
      <c r="I1434" s="5">
        <v>13876.59</v>
      </c>
      <c r="J1434" s="3" t="s">
        <v>26</v>
      </c>
      <c r="K1434" s="3" t="s">
        <v>33</v>
      </c>
      <c r="L1434" t="str">
        <f>IFERROR(VLOOKUP(D1434,Products!$A$2:$F$61,3,FALSE()),"")</f>
        <v>Grocery</v>
      </c>
      <c r="M1434" t="str">
        <f>IFERROR(VLOOKUP(E1434,Sales_Reps!$A$2:$C$31,3,FALSE()),"")</f>
        <v>East</v>
      </c>
      <c r="N1434">
        <f>IFERROR(VLOOKUP(D1434,Products!$A$2:$F$61,4,FALSE()),"")</f>
        <v>1010</v>
      </c>
      <c r="O1434" t="str">
        <f>IFERROR(VLOOKUP(C1434,Customers!$A$2:$F$301,5,FALSE()),"")</f>
        <v>Corporate</v>
      </c>
      <c r="P1434">
        <f>IFERROR(VLOOKUP(C1434,Customers!$A$2:$F$301,3,FALSE()),"")</f>
        <v>24</v>
      </c>
      <c r="Q1434">
        <f t="shared" si="66"/>
        <v>0.54298642533936647</v>
      </c>
      <c r="R1434">
        <f>IF(AND(COUNTIF($A$2:$A$2027,A1434)&gt;1,COUNTIF($A$2:A1434,A1434)=1),1,0)</f>
        <v>0</v>
      </c>
      <c r="S1434" t="b">
        <f>IFERROR(VLOOKUP(D1434,Products!$A$2:$F$61,6,FALSE()),"")</f>
        <v>1</v>
      </c>
      <c r="T1434" t="str">
        <f>IF(COUNTIF(Customers!$A$2:$A$301,C1434)=0,"Missing","OK")</f>
        <v>OK</v>
      </c>
      <c r="U1434" t="str">
        <f t="shared" si="67"/>
        <v>Chennai</v>
      </c>
      <c r="V1434">
        <f t="shared" si="68"/>
        <v>0</v>
      </c>
    </row>
    <row r="1435" spans="1:22" ht="15" customHeight="1" x14ac:dyDescent="0.35">
      <c r="A1435" s="3" t="s">
        <v>1863</v>
      </c>
      <c r="B1435" s="4">
        <v>45605</v>
      </c>
      <c r="C1435" s="3" t="s">
        <v>1864</v>
      </c>
      <c r="D1435" s="3" t="s">
        <v>441</v>
      </c>
      <c r="E1435" s="3" t="s">
        <v>143</v>
      </c>
      <c r="F1435" s="5">
        <v>8</v>
      </c>
      <c r="G1435" s="5">
        <v>1090</v>
      </c>
      <c r="H1435" s="5">
        <v>21.7</v>
      </c>
      <c r="I1435" s="5">
        <v>6827.76</v>
      </c>
      <c r="J1435" s="3" t="s">
        <v>26</v>
      </c>
      <c r="K1435" s="3" t="s">
        <v>27</v>
      </c>
      <c r="L1435" t="str">
        <f>IFERROR(VLOOKUP(D1435,Products!$A$2:$F$61,3,FALSE()),"")</f>
        <v>Home</v>
      </c>
      <c r="M1435" t="str">
        <f>IFERROR(VLOOKUP(E1435,Sales_Reps!$A$2:$C$31,3,FALSE()),"")</f>
        <v>South</v>
      </c>
      <c r="N1435">
        <f>IFERROR(VLOOKUP(D1435,Products!$A$2:$F$61,4,FALSE()),"")</f>
        <v>464</v>
      </c>
      <c r="O1435" t="str">
        <f>IFERROR(VLOOKUP(C1435,Customers!$A$2:$F$301,5,FALSE()),"")</f>
        <v/>
      </c>
      <c r="P1435" t="str">
        <f>IFERROR(VLOOKUP(C1435,Customers!$A$2:$F$301,3,FALSE()),"")</f>
        <v/>
      </c>
      <c r="Q1435">
        <f t="shared" si="66"/>
        <v>0.57431192660550456</v>
      </c>
      <c r="R1435">
        <f>IF(AND(COUNTIF($A$2:$A$2027,A1435)&gt;1,COUNTIF($A$2:A1435,A1435)=1),1,0)</f>
        <v>0</v>
      </c>
      <c r="S1435" t="b">
        <f>IFERROR(VLOOKUP(D1435,Products!$A$2:$F$61,6,FALSE()),"")</f>
        <v>1</v>
      </c>
      <c r="T1435" t="str">
        <f>IF(COUNTIF(Customers!$A$2:$A$301,C1435)=0,"Missing","OK")</f>
        <v>Missing</v>
      </c>
      <c r="U1435" t="str">
        <f t="shared" si="67"/>
        <v>Pune</v>
      </c>
      <c r="V1435">
        <f t="shared" si="68"/>
        <v>0</v>
      </c>
    </row>
    <row r="1436" spans="1:22" ht="15" customHeight="1" x14ac:dyDescent="0.35">
      <c r="A1436" s="3" t="s">
        <v>1865</v>
      </c>
      <c r="B1436" s="4">
        <v>45598</v>
      </c>
      <c r="C1436" s="3" t="s">
        <v>780</v>
      </c>
      <c r="D1436" s="3" t="s">
        <v>598</v>
      </c>
      <c r="E1436" s="3" t="s">
        <v>236</v>
      </c>
      <c r="F1436" s="5">
        <v>5</v>
      </c>
      <c r="G1436" s="5">
        <v>3560</v>
      </c>
      <c r="H1436" s="5">
        <v>19.399999999999999</v>
      </c>
      <c r="I1436" s="5">
        <v>14346.8</v>
      </c>
      <c r="J1436" s="3" t="s">
        <v>32</v>
      </c>
      <c r="K1436" s="3" t="s">
        <v>56</v>
      </c>
      <c r="L1436" t="str">
        <f>IFERROR(VLOOKUP(D1436,Products!$A$2:$F$61,3,FALSE()),"")</f>
        <v>Apparel</v>
      </c>
      <c r="M1436" t="str">
        <f>IFERROR(VLOOKUP(E1436,Sales_Reps!$A$2:$C$31,3,FALSE()),"")</f>
        <v>North</v>
      </c>
      <c r="N1436">
        <f>IFERROR(VLOOKUP(D1436,Products!$A$2:$F$61,4,FALSE()),"")</f>
        <v>2629</v>
      </c>
      <c r="O1436" t="str">
        <f>IFERROR(VLOOKUP(C1436,Customers!$A$2:$F$301,5,FALSE()),"")</f>
        <v>Corporate</v>
      </c>
      <c r="P1436">
        <f>IFERROR(VLOOKUP(C1436,Customers!$A$2:$F$301,3,FALSE()),"")</f>
        <v>41</v>
      </c>
      <c r="Q1436">
        <f t="shared" si="66"/>
        <v>0.26151685393258428</v>
      </c>
      <c r="R1436">
        <f>IF(AND(COUNTIF($A$2:$A$2027,A1436)&gt;1,COUNTIF($A$2:A1436,A1436)=1),1,0)</f>
        <v>0</v>
      </c>
      <c r="S1436" t="b">
        <f>IFERROR(VLOOKUP(D1436,Products!$A$2:$F$61,6,FALSE()),"")</f>
        <v>1</v>
      </c>
      <c r="T1436" t="str">
        <f>IF(COUNTIF(Customers!$A$2:$A$301,C1436)=0,"Missing","OK")</f>
        <v>OK</v>
      </c>
      <c r="U1436" t="str">
        <f t="shared" si="67"/>
        <v>Bengaluru</v>
      </c>
      <c r="V1436">
        <f t="shared" si="68"/>
        <v>0</v>
      </c>
    </row>
    <row r="1437" spans="1:22" ht="15" customHeight="1" x14ac:dyDescent="0.35">
      <c r="A1437" s="3" t="s">
        <v>1866</v>
      </c>
      <c r="B1437" s="4">
        <v>45452</v>
      </c>
      <c r="C1437" s="3" t="s">
        <v>1111</v>
      </c>
      <c r="D1437" s="3" t="s">
        <v>121</v>
      </c>
      <c r="E1437" s="3" t="s">
        <v>67</v>
      </c>
      <c r="F1437" s="5">
        <v>7</v>
      </c>
      <c r="G1437" s="5">
        <v>1010</v>
      </c>
      <c r="H1437" s="5">
        <v>28.2</v>
      </c>
      <c r="I1437" s="5">
        <v>5076.26</v>
      </c>
      <c r="J1437" s="3" t="s">
        <v>26</v>
      </c>
      <c r="K1437" s="3" t="s">
        <v>27</v>
      </c>
      <c r="L1437" t="str">
        <f>IFERROR(VLOOKUP(D1437,Products!$A$2:$F$61,3,FALSE()),"")</f>
        <v>Sports</v>
      </c>
      <c r="M1437" t="str">
        <f>IFERROR(VLOOKUP(E1437,Sales_Reps!$A$2:$C$31,3,FALSE()),"")</f>
        <v>West</v>
      </c>
      <c r="N1437">
        <f>IFERROR(VLOOKUP(D1437,Products!$A$2:$F$61,4,FALSE()),"")</f>
        <v>516</v>
      </c>
      <c r="O1437" t="str">
        <f>IFERROR(VLOOKUP(C1437,Customers!$A$2:$F$301,5,FALSE()),"")</f>
        <v>Retail</v>
      </c>
      <c r="P1437">
        <f>IFERROR(VLOOKUP(C1437,Customers!$A$2:$F$301,3,FALSE()),"")</f>
        <v>39</v>
      </c>
      <c r="Q1437">
        <f t="shared" si="66"/>
        <v>0.4891089108910891</v>
      </c>
      <c r="R1437">
        <f>IF(AND(COUNTIF($A$2:$A$2027,A1437)&gt;1,COUNTIF($A$2:A1437,A1437)=1),1,0)</f>
        <v>0</v>
      </c>
      <c r="S1437" t="b">
        <f>IFERROR(VLOOKUP(D1437,Products!$A$2:$F$61,6,FALSE()),"")</f>
        <v>1</v>
      </c>
      <c r="T1437" t="str">
        <f>IF(COUNTIF(Customers!$A$2:$A$301,C1437)=0,"Missing","OK")</f>
        <v>OK</v>
      </c>
      <c r="U1437" t="str">
        <f t="shared" si="67"/>
        <v>Pune</v>
      </c>
      <c r="V1437">
        <f t="shared" si="68"/>
        <v>0</v>
      </c>
    </row>
    <row r="1438" spans="1:22" ht="15" customHeight="1" x14ac:dyDescent="0.35">
      <c r="A1438" s="3" t="s">
        <v>1867</v>
      </c>
      <c r="B1438" s="4">
        <v>45470</v>
      </c>
      <c r="C1438" s="3" t="s">
        <v>651</v>
      </c>
      <c r="D1438" s="3" t="s">
        <v>234</v>
      </c>
      <c r="E1438" s="3" t="s">
        <v>127</v>
      </c>
      <c r="F1438" s="5">
        <v>2</v>
      </c>
      <c r="G1438" s="5">
        <v>2030</v>
      </c>
      <c r="H1438" s="5">
        <v>27.3</v>
      </c>
      <c r="I1438" s="5">
        <v>2951.62</v>
      </c>
      <c r="J1438" s="3" t="s">
        <v>83</v>
      </c>
      <c r="K1438" s="3" t="s">
        <v>51</v>
      </c>
      <c r="L1438" t="str">
        <f>IFERROR(VLOOKUP(D1438,Products!$A$2:$F$61,3,FALSE()),"")</f>
        <v>Home</v>
      </c>
      <c r="M1438" t="str">
        <f>IFERROR(VLOOKUP(E1438,Sales_Reps!$A$2:$C$31,3,FALSE()),"")</f>
        <v>South</v>
      </c>
      <c r="N1438">
        <f>IFERROR(VLOOKUP(D1438,Products!$A$2:$F$61,4,FALSE()),"")</f>
        <v>1143</v>
      </c>
      <c r="O1438" t="str">
        <f>IFERROR(VLOOKUP(C1438,Customers!$A$2:$F$301,5,FALSE()),"")</f>
        <v>Corporate</v>
      </c>
      <c r="P1438">
        <f>IFERROR(VLOOKUP(C1438,Customers!$A$2:$F$301,3,FALSE()),"")</f>
        <v>51</v>
      </c>
      <c r="Q1438">
        <f t="shared" si="66"/>
        <v>0.43694581280788175</v>
      </c>
      <c r="R1438">
        <f>IF(AND(COUNTIF($A$2:$A$2027,A1438)&gt;1,COUNTIF($A$2:A1438,A1438)=1),1,0)</f>
        <v>0</v>
      </c>
      <c r="S1438" t="b">
        <f>IFERROR(VLOOKUP(D1438,Products!$A$2:$F$61,6,FALSE()),"")</f>
        <v>1</v>
      </c>
      <c r="T1438" t="str">
        <f>IF(COUNTIF(Customers!$A$2:$A$301,C1438)=0,"Missing","OK")</f>
        <v>OK</v>
      </c>
      <c r="U1438" t="str">
        <f t="shared" si="67"/>
        <v>Mumbai</v>
      </c>
      <c r="V1438">
        <f t="shared" si="68"/>
        <v>0</v>
      </c>
    </row>
    <row r="1439" spans="1:22" ht="15" customHeight="1" x14ac:dyDescent="0.35">
      <c r="A1439" s="3" t="s">
        <v>1868</v>
      </c>
      <c r="B1439" s="4">
        <v>45350</v>
      </c>
      <c r="C1439" s="3" t="s">
        <v>149</v>
      </c>
      <c r="D1439" s="3" t="s">
        <v>303</v>
      </c>
      <c r="E1439" s="3" t="s">
        <v>264</v>
      </c>
      <c r="F1439" s="5">
        <v>6</v>
      </c>
      <c r="G1439" s="5">
        <v>5330</v>
      </c>
      <c r="H1439" s="5">
        <v>0.6</v>
      </c>
      <c r="I1439" s="5">
        <v>31788.12</v>
      </c>
      <c r="J1439" s="3" t="s">
        <v>26</v>
      </c>
      <c r="K1439" s="3" t="s">
        <v>38</v>
      </c>
      <c r="L1439" t="str">
        <f>IFERROR(VLOOKUP(D1439,Products!$A$2:$F$61,3,FALSE()),"")</f>
        <v>Electronics</v>
      </c>
      <c r="M1439" t="str">
        <f>IFERROR(VLOOKUP(E1439,Sales_Reps!$A$2:$C$31,3,FALSE()),"")</f>
        <v>South</v>
      </c>
      <c r="N1439">
        <f>IFERROR(VLOOKUP(D1439,Products!$A$2:$F$61,4,FALSE()),"")</f>
        <v>2405</v>
      </c>
      <c r="O1439" t="str">
        <f>IFERROR(VLOOKUP(C1439,Customers!$A$2:$F$301,5,FALSE()),"")</f>
        <v>Retail</v>
      </c>
      <c r="P1439">
        <f>IFERROR(VLOOKUP(C1439,Customers!$A$2:$F$301,3,FALSE()),"")</f>
        <v>41</v>
      </c>
      <c r="Q1439">
        <f t="shared" si="66"/>
        <v>0.54878048780487809</v>
      </c>
      <c r="R1439">
        <f>IF(AND(COUNTIF($A$2:$A$2027,A1439)&gt;1,COUNTIF($A$2:A1439,A1439)=1),1,0)</f>
        <v>0</v>
      </c>
      <c r="S1439" t="b">
        <f>IFERROR(VLOOKUP(D1439,Products!$A$2:$F$61,6,FALSE()),"")</f>
        <v>1</v>
      </c>
      <c r="T1439" t="str">
        <f>IF(COUNTIF(Customers!$A$2:$A$301,C1439)=0,"Missing","OK")</f>
        <v>OK</v>
      </c>
      <c r="U1439" t="str">
        <f t="shared" si="67"/>
        <v>Delhi</v>
      </c>
      <c r="V1439">
        <f t="shared" si="68"/>
        <v>0</v>
      </c>
    </row>
    <row r="1440" spans="1:22" ht="15" customHeight="1" x14ac:dyDescent="0.35">
      <c r="A1440" s="3" t="s">
        <v>1869</v>
      </c>
      <c r="B1440" s="4">
        <v>45514</v>
      </c>
      <c r="C1440" s="3" t="s">
        <v>249</v>
      </c>
      <c r="D1440" s="3" t="s">
        <v>74</v>
      </c>
      <c r="E1440" s="3" t="s">
        <v>25</v>
      </c>
      <c r="F1440" s="5">
        <v>2</v>
      </c>
      <c r="G1440" s="5">
        <v>2640</v>
      </c>
      <c r="H1440" s="5">
        <v>26</v>
      </c>
      <c r="I1440" s="5">
        <v>3907.2</v>
      </c>
      <c r="J1440" s="3" t="s">
        <v>32</v>
      </c>
      <c r="K1440" s="3" t="s">
        <v>56</v>
      </c>
      <c r="L1440" t="str">
        <f>IFERROR(VLOOKUP(D1440,Products!$A$2:$F$61,3,FALSE()),"")</f>
        <v>Electronics</v>
      </c>
      <c r="M1440" t="str">
        <f>IFERROR(VLOOKUP(E1440,Sales_Reps!$A$2:$C$31,3,FALSE()),"")</f>
        <v>North</v>
      </c>
      <c r="N1440">
        <f>IFERROR(VLOOKUP(D1440,Products!$A$2:$F$61,4,FALSE()),"")</f>
        <v>1149</v>
      </c>
      <c r="O1440" t="str">
        <f>IFERROR(VLOOKUP(C1440,Customers!$A$2:$F$301,5,FALSE()),"")</f>
        <v>Retail</v>
      </c>
      <c r="P1440">
        <f>IFERROR(VLOOKUP(C1440,Customers!$A$2:$F$301,3,FALSE()),"")</f>
        <v>42</v>
      </c>
      <c r="Q1440">
        <f t="shared" si="66"/>
        <v>0.56477272727272732</v>
      </c>
      <c r="R1440">
        <f>IF(AND(COUNTIF($A$2:$A$2027,A1440)&gt;1,COUNTIF($A$2:A1440,A1440)=1),1,0)</f>
        <v>0</v>
      </c>
      <c r="S1440" t="b">
        <f>IFERROR(VLOOKUP(D1440,Products!$A$2:$F$61,6,FALSE()),"")</f>
        <v>1</v>
      </c>
      <c r="T1440" t="str">
        <f>IF(COUNTIF(Customers!$A$2:$A$301,C1440)=0,"Missing","OK")</f>
        <v>OK</v>
      </c>
      <c r="U1440" t="str">
        <f t="shared" si="67"/>
        <v>Bengaluru</v>
      </c>
      <c r="V1440">
        <f t="shared" si="68"/>
        <v>0</v>
      </c>
    </row>
    <row r="1441" spans="1:22" ht="15" customHeight="1" x14ac:dyDescent="0.35">
      <c r="A1441" s="3" t="s">
        <v>1870</v>
      </c>
      <c r="B1441" s="4">
        <v>45447</v>
      </c>
      <c r="C1441" s="3" t="s">
        <v>289</v>
      </c>
      <c r="D1441" s="3" t="s">
        <v>218</v>
      </c>
      <c r="E1441" s="3" t="s">
        <v>264</v>
      </c>
      <c r="F1441" s="5">
        <v>8</v>
      </c>
      <c r="G1441" s="5">
        <v>2660</v>
      </c>
      <c r="H1441" s="5">
        <v>2.9</v>
      </c>
      <c r="I1441" s="5">
        <v>20662.88</v>
      </c>
      <c r="J1441" s="3" t="s">
        <v>26</v>
      </c>
      <c r="K1441" s="3" t="s">
        <v>51</v>
      </c>
      <c r="L1441" t="str">
        <f>IFERROR(VLOOKUP(D1441,Products!$A$2:$F$61,3,FALSE()),"")</f>
        <v>Electronics</v>
      </c>
      <c r="M1441" t="str">
        <f>IFERROR(VLOOKUP(E1441,Sales_Reps!$A$2:$C$31,3,FALSE()),"")</f>
        <v>South</v>
      </c>
      <c r="N1441">
        <f>IFERROR(VLOOKUP(D1441,Products!$A$2:$F$61,4,FALSE()),"")</f>
        <v>1259</v>
      </c>
      <c r="O1441" t="str">
        <f>IFERROR(VLOOKUP(C1441,Customers!$A$2:$F$301,5,FALSE()),"")</f>
        <v>SMB</v>
      </c>
      <c r="P1441">
        <f>IFERROR(VLOOKUP(C1441,Customers!$A$2:$F$301,3,FALSE()),"")</f>
        <v>22</v>
      </c>
      <c r="Q1441">
        <f t="shared" si="66"/>
        <v>0.52669172932330832</v>
      </c>
      <c r="R1441">
        <f>IF(AND(COUNTIF($A$2:$A$2027,A1441)&gt;1,COUNTIF($A$2:A1441,A1441)=1),1,0)</f>
        <v>0</v>
      </c>
      <c r="S1441" t="b">
        <f>IFERROR(VLOOKUP(D1441,Products!$A$2:$F$61,6,FALSE()),"")</f>
        <v>0</v>
      </c>
      <c r="T1441" t="str">
        <f>IF(COUNTIF(Customers!$A$2:$A$301,C1441)=0,"Missing","OK")</f>
        <v>OK</v>
      </c>
      <c r="U1441" t="str">
        <f t="shared" si="67"/>
        <v>Mumbai</v>
      </c>
      <c r="V1441">
        <f t="shared" si="68"/>
        <v>0</v>
      </c>
    </row>
    <row r="1442" spans="1:22" ht="15" customHeight="1" x14ac:dyDescent="0.35">
      <c r="A1442" s="3" t="s">
        <v>1871</v>
      </c>
      <c r="B1442" s="4">
        <v>45390</v>
      </c>
      <c r="C1442" s="3" t="s">
        <v>1011</v>
      </c>
      <c r="D1442" s="3" t="s">
        <v>82</v>
      </c>
      <c r="E1442" s="3" t="s">
        <v>93</v>
      </c>
      <c r="F1442" s="5">
        <v>6</v>
      </c>
      <c r="G1442" s="5">
        <v>3250</v>
      </c>
      <c r="H1442" s="5">
        <v>11.1</v>
      </c>
      <c r="I1442" s="5">
        <v>17335.5</v>
      </c>
      <c r="J1442" s="3" t="s">
        <v>26</v>
      </c>
      <c r="K1442" s="3" t="s">
        <v>51</v>
      </c>
      <c r="L1442" t="str">
        <f>IFERROR(VLOOKUP(D1442,Products!$A$2:$F$61,3,FALSE()),"")</f>
        <v>Home</v>
      </c>
      <c r="M1442" t="str">
        <f>IFERROR(VLOOKUP(E1442,Sales_Reps!$A$2:$C$31,3,FALSE()),"")</f>
        <v>East</v>
      </c>
      <c r="N1442">
        <f>IFERROR(VLOOKUP(D1442,Products!$A$2:$F$61,4,FALSE()),"")</f>
        <v>1556</v>
      </c>
      <c r="O1442" t="str">
        <f>IFERROR(VLOOKUP(C1442,Customers!$A$2:$F$301,5,FALSE()),"")</f>
        <v>SMB</v>
      </c>
      <c r="P1442">
        <f>IFERROR(VLOOKUP(C1442,Customers!$A$2:$F$301,3,FALSE()),"")</f>
        <v>53</v>
      </c>
      <c r="Q1442">
        <f t="shared" si="66"/>
        <v>0.52123076923076928</v>
      </c>
      <c r="R1442">
        <f>IF(AND(COUNTIF($A$2:$A$2027,A1442)&gt;1,COUNTIF($A$2:A1442,A1442)=1),1,0)</f>
        <v>0</v>
      </c>
      <c r="S1442" t="b">
        <f>IFERROR(VLOOKUP(D1442,Products!$A$2:$F$61,6,FALSE()),"")</f>
        <v>1</v>
      </c>
      <c r="T1442" t="str">
        <f>IF(COUNTIF(Customers!$A$2:$A$301,C1442)=0,"Missing","OK")</f>
        <v>OK</v>
      </c>
      <c r="U1442" t="str">
        <f t="shared" si="67"/>
        <v>Mumbai</v>
      </c>
      <c r="V1442">
        <f t="shared" si="68"/>
        <v>0</v>
      </c>
    </row>
    <row r="1443" spans="1:22" ht="15" customHeight="1" x14ac:dyDescent="0.35">
      <c r="A1443" s="3" t="s">
        <v>1872</v>
      </c>
      <c r="B1443" s="4">
        <v>45307</v>
      </c>
      <c r="C1443" s="3" t="s">
        <v>220</v>
      </c>
      <c r="D1443" s="3" t="s">
        <v>277</v>
      </c>
      <c r="E1443" s="3" t="s">
        <v>78</v>
      </c>
      <c r="F1443" s="5">
        <v>1</v>
      </c>
      <c r="G1443" s="5">
        <v>2210</v>
      </c>
      <c r="H1443" s="5">
        <v>3.5</v>
      </c>
      <c r="I1443" s="5">
        <v>2132.65</v>
      </c>
      <c r="J1443" s="3" t="s">
        <v>26</v>
      </c>
      <c r="K1443" s="3" t="s">
        <v>27</v>
      </c>
      <c r="L1443" t="str">
        <f>IFERROR(VLOOKUP(D1443,Products!$A$2:$F$61,3,FALSE()),"")</f>
        <v>Grocery</v>
      </c>
      <c r="M1443" t="str">
        <f>IFERROR(VLOOKUP(E1443,Sales_Reps!$A$2:$C$31,3,FALSE()),"")</f>
        <v>North</v>
      </c>
      <c r="N1443">
        <f>IFERROR(VLOOKUP(D1443,Products!$A$2:$F$61,4,FALSE()),"")</f>
        <v>1010</v>
      </c>
      <c r="O1443" t="str">
        <f>IFERROR(VLOOKUP(C1443,Customers!$A$2:$F$301,5,FALSE()),"")</f>
        <v>Retail</v>
      </c>
      <c r="P1443">
        <f>IFERROR(VLOOKUP(C1443,Customers!$A$2:$F$301,3,FALSE()),"")</f>
        <v>25</v>
      </c>
      <c r="Q1443">
        <f t="shared" si="66"/>
        <v>0.54298642533936647</v>
      </c>
      <c r="R1443">
        <f>IF(AND(COUNTIF($A$2:$A$2027,A1443)&gt;1,COUNTIF($A$2:A1443,A1443)=1),1,0)</f>
        <v>0</v>
      </c>
      <c r="S1443" t="b">
        <f>IFERROR(VLOOKUP(D1443,Products!$A$2:$F$61,6,FALSE()),"")</f>
        <v>1</v>
      </c>
      <c r="T1443" t="str">
        <f>IF(COUNTIF(Customers!$A$2:$A$301,C1443)=0,"Missing","OK")</f>
        <v>OK</v>
      </c>
      <c r="U1443" t="str">
        <f t="shared" si="67"/>
        <v>Pune</v>
      </c>
      <c r="V1443">
        <f t="shared" si="68"/>
        <v>0</v>
      </c>
    </row>
    <row r="1444" spans="1:22" ht="15" customHeight="1" x14ac:dyDescent="0.35">
      <c r="A1444" s="3" t="s">
        <v>1873</v>
      </c>
      <c r="B1444" s="4">
        <v>45432</v>
      </c>
      <c r="C1444" s="3" t="s">
        <v>432</v>
      </c>
      <c r="D1444" s="3" t="s">
        <v>49</v>
      </c>
      <c r="E1444" s="3" t="s">
        <v>60</v>
      </c>
      <c r="F1444" s="5">
        <v>9</v>
      </c>
      <c r="G1444" s="5">
        <v>370</v>
      </c>
      <c r="H1444" s="5">
        <v>12.4</v>
      </c>
      <c r="I1444" s="5">
        <v>2917.08</v>
      </c>
      <c r="J1444" s="3" t="s">
        <v>26</v>
      </c>
      <c r="K1444" s="3" t="s">
        <v>27</v>
      </c>
      <c r="L1444" t="str">
        <f>IFERROR(VLOOKUP(D1444,Products!$A$2:$F$61,3,FALSE()),"")</f>
        <v>Home</v>
      </c>
      <c r="M1444" t="str">
        <f>IFERROR(VLOOKUP(E1444,Sales_Reps!$A$2:$C$31,3,FALSE()),"")</f>
        <v>East</v>
      </c>
      <c r="N1444">
        <f>IFERROR(VLOOKUP(D1444,Products!$A$2:$F$61,4,FALSE()),"")</f>
        <v>288</v>
      </c>
      <c r="O1444" t="str">
        <f>IFERROR(VLOOKUP(C1444,Customers!$A$2:$F$301,5,FALSE()),"")</f>
        <v>Retail</v>
      </c>
      <c r="P1444">
        <f>IFERROR(VLOOKUP(C1444,Customers!$A$2:$F$301,3,FALSE()),"")</f>
        <v>57</v>
      </c>
      <c r="Q1444">
        <f t="shared" si="66"/>
        <v>0.22162162162162163</v>
      </c>
      <c r="R1444">
        <f>IF(AND(COUNTIF($A$2:$A$2027,A1444)&gt;1,COUNTIF($A$2:A1444,A1444)=1),1,0)</f>
        <v>0</v>
      </c>
      <c r="S1444" t="b">
        <f>IFERROR(VLOOKUP(D1444,Products!$A$2:$F$61,6,FALSE()),"")</f>
        <v>1</v>
      </c>
      <c r="T1444" t="str">
        <f>IF(COUNTIF(Customers!$A$2:$A$301,C1444)=0,"Missing","OK")</f>
        <v>OK</v>
      </c>
      <c r="U1444" t="str">
        <f t="shared" si="67"/>
        <v>Pune</v>
      </c>
      <c r="V1444">
        <f t="shared" si="68"/>
        <v>0</v>
      </c>
    </row>
    <row r="1445" spans="1:22" ht="15" customHeight="1" x14ac:dyDescent="0.35">
      <c r="A1445" s="3" t="s">
        <v>1874</v>
      </c>
      <c r="B1445" s="4">
        <v>45453</v>
      </c>
      <c r="C1445" s="3" t="s">
        <v>656</v>
      </c>
      <c r="D1445" s="3" t="s">
        <v>400</v>
      </c>
      <c r="E1445" s="3" t="s">
        <v>224</v>
      </c>
      <c r="F1445" s="5">
        <v>3</v>
      </c>
      <c r="G1445" s="5">
        <v>3780</v>
      </c>
      <c r="H1445" s="5">
        <v>8.5</v>
      </c>
      <c r="I1445" s="5">
        <v>10376.1</v>
      </c>
      <c r="J1445" s="3" t="s">
        <v>32</v>
      </c>
      <c r="K1445" s="3" t="s">
        <v>33</v>
      </c>
      <c r="L1445" t="str">
        <f>IFERROR(VLOOKUP(D1445,Products!$A$2:$F$61,3,FALSE()),"")</f>
        <v>Sports</v>
      </c>
      <c r="M1445" t="str">
        <f>IFERROR(VLOOKUP(E1445,Sales_Reps!$A$2:$C$31,3,FALSE()),"")</f>
        <v>East</v>
      </c>
      <c r="N1445">
        <f>IFERROR(VLOOKUP(D1445,Products!$A$2:$F$61,4,FALSE()),"")</f>
        <v>1860</v>
      </c>
      <c r="O1445" t="str">
        <f>IFERROR(VLOOKUP(C1445,Customers!$A$2:$F$301,5,FALSE()),"")</f>
        <v>Retail</v>
      </c>
      <c r="P1445">
        <f>IFERROR(VLOOKUP(C1445,Customers!$A$2:$F$301,3,FALSE()),"")</f>
        <v>24</v>
      </c>
      <c r="Q1445">
        <f t="shared" si="66"/>
        <v>0.50793650793650791</v>
      </c>
      <c r="R1445">
        <f>IF(AND(COUNTIF($A$2:$A$2027,A1445)&gt;1,COUNTIF($A$2:A1445,A1445)=1),1,0)</f>
        <v>0</v>
      </c>
      <c r="S1445" t="b">
        <f>IFERROR(VLOOKUP(D1445,Products!$A$2:$F$61,6,FALSE()),"")</f>
        <v>1</v>
      </c>
      <c r="T1445" t="str">
        <f>IF(COUNTIF(Customers!$A$2:$A$301,C1445)=0,"Missing","OK")</f>
        <v>OK</v>
      </c>
      <c r="U1445" t="str">
        <f t="shared" si="67"/>
        <v>Chennai</v>
      </c>
      <c r="V1445">
        <f t="shared" si="68"/>
        <v>0</v>
      </c>
    </row>
    <row r="1446" spans="1:22" ht="15" customHeight="1" x14ac:dyDescent="0.35">
      <c r="A1446" s="3" t="s">
        <v>362</v>
      </c>
      <c r="B1446" s="4">
        <v>45397</v>
      </c>
      <c r="C1446" s="3" t="s">
        <v>357</v>
      </c>
      <c r="D1446" s="3" t="s">
        <v>121</v>
      </c>
      <c r="E1446" s="3" t="s">
        <v>236</v>
      </c>
      <c r="F1446" s="5">
        <v>2</v>
      </c>
      <c r="G1446" s="5">
        <v>1010</v>
      </c>
      <c r="H1446" s="5">
        <v>2.7</v>
      </c>
      <c r="I1446" s="5">
        <v>1965.46</v>
      </c>
      <c r="J1446" s="3" t="s">
        <v>26</v>
      </c>
      <c r="K1446" s="3" t="s">
        <v>72</v>
      </c>
      <c r="L1446" t="str">
        <f>IFERROR(VLOOKUP(D1446,Products!$A$2:$F$61,3,FALSE()),"")</f>
        <v>Sports</v>
      </c>
      <c r="M1446" t="str">
        <f>IFERROR(VLOOKUP(E1446,Sales_Reps!$A$2:$C$31,3,FALSE()),"")</f>
        <v>North</v>
      </c>
      <c r="N1446">
        <f>IFERROR(VLOOKUP(D1446,Products!$A$2:$F$61,4,FALSE()),"")</f>
        <v>516</v>
      </c>
      <c r="O1446" t="str">
        <f>IFERROR(VLOOKUP(C1446,Customers!$A$2:$F$301,5,FALSE()),"")</f>
        <v>Retail</v>
      </c>
      <c r="P1446">
        <f>IFERROR(VLOOKUP(C1446,Customers!$A$2:$F$301,3,FALSE()),"")</f>
        <v>22</v>
      </c>
      <c r="Q1446">
        <f t="shared" si="66"/>
        <v>0.4891089108910891</v>
      </c>
      <c r="R1446">
        <f>IF(AND(COUNTIF($A$2:$A$2027,A1446)&gt;1,COUNTIF($A$2:A1446,A1446)=1),1,0)</f>
        <v>0</v>
      </c>
      <c r="S1446" t="b">
        <f>IFERROR(VLOOKUP(D1446,Products!$A$2:$F$61,6,FALSE()),"")</f>
        <v>1</v>
      </c>
      <c r="T1446" t="str">
        <f>IF(COUNTIF(Customers!$A$2:$A$301,C1446)=0,"Missing","OK")</f>
        <v>OK</v>
      </c>
      <c r="U1446" t="str">
        <f t="shared" si="67"/>
        <v>Hyderabad</v>
      </c>
      <c r="V1446">
        <f t="shared" si="68"/>
        <v>0</v>
      </c>
    </row>
    <row r="1447" spans="1:22" ht="15" customHeight="1" x14ac:dyDescent="0.35">
      <c r="A1447" s="3" t="s">
        <v>1875</v>
      </c>
      <c r="B1447" s="4">
        <v>45639</v>
      </c>
      <c r="C1447" s="3" t="s">
        <v>929</v>
      </c>
      <c r="D1447" s="3" t="s">
        <v>30</v>
      </c>
      <c r="E1447" s="3" t="s">
        <v>264</v>
      </c>
      <c r="F1447" s="5">
        <v>2</v>
      </c>
      <c r="G1447" s="5">
        <v>820</v>
      </c>
      <c r="H1447" s="5">
        <v>13.2</v>
      </c>
      <c r="I1447" s="5">
        <v>1423.52</v>
      </c>
      <c r="J1447" s="3" t="s">
        <v>32</v>
      </c>
      <c r="K1447" s="3" t="s">
        <v>56</v>
      </c>
      <c r="L1447" t="str">
        <f>IFERROR(VLOOKUP(D1447,Products!$A$2:$F$61,3,FALSE()),"")</f>
        <v>Apparel</v>
      </c>
      <c r="M1447" t="str">
        <f>IFERROR(VLOOKUP(E1447,Sales_Reps!$A$2:$C$31,3,FALSE()),"")</f>
        <v>South</v>
      </c>
      <c r="N1447">
        <f>IFERROR(VLOOKUP(D1447,Products!$A$2:$F$61,4,FALSE()),"")</f>
        <v>391</v>
      </c>
      <c r="O1447" t="str">
        <f>IFERROR(VLOOKUP(C1447,Customers!$A$2:$F$301,5,FALSE()),"")</f>
        <v>Retail</v>
      </c>
      <c r="P1447">
        <f>IFERROR(VLOOKUP(C1447,Customers!$A$2:$F$301,3,FALSE()),"")</f>
        <v>61</v>
      </c>
      <c r="Q1447">
        <f t="shared" si="66"/>
        <v>0.52317073170731709</v>
      </c>
      <c r="R1447">
        <f>IF(AND(COUNTIF($A$2:$A$2027,A1447)&gt;1,COUNTIF($A$2:A1447,A1447)=1),1,0)</f>
        <v>0</v>
      </c>
      <c r="S1447" t="b">
        <f>IFERROR(VLOOKUP(D1447,Products!$A$2:$F$61,6,FALSE()),"")</f>
        <v>1</v>
      </c>
      <c r="T1447" t="str">
        <f>IF(COUNTIF(Customers!$A$2:$A$301,C1447)=0,"Missing","OK")</f>
        <v>OK</v>
      </c>
      <c r="U1447" t="str">
        <f t="shared" si="67"/>
        <v>Bengaluru</v>
      </c>
      <c r="V1447">
        <f t="shared" si="68"/>
        <v>0</v>
      </c>
    </row>
    <row r="1448" spans="1:22" ht="15" customHeight="1" x14ac:dyDescent="0.35">
      <c r="A1448" s="3" t="s">
        <v>1876</v>
      </c>
      <c r="B1448" s="4">
        <v>45482</v>
      </c>
      <c r="C1448" s="3" t="s">
        <v>172</v>
      </c>
      <c r="D1448" s="3" t="s">
        <v>41</v>
      </c>
      <c r="E1448" s="3" t="s">
        <v>264</v>
      </c>
      <c r="F1448" s="5">
        <v>1</v>
      </c>
      <c r="G1448" s="5">
        <v>3660</v>
      </c>
      <c r="H1448" s="5">
        <v>14</v>
      </c>
      <c r="I1448" s="5">
        <v>3147.6</v>
      </c>
      <c r="J1448" s="3" t="s">
        <v>83</v>
      </c>
      <c r="K1448" s="3" t="s">
        <v>27</v>
      </c>
      <c r="L1448" t="str">
        <f>IFERROR(VLOOKUP(D1448,Products!$A$2:$F$61,3,FALSE()),"")</f>
        <v>Grocery</v>
      </c>
      <c r="M1448" t="str">
        <f>IFERROR(VLOOKUP(E1448,Sales_Reps!$A$2:$C$31,3,FALSE()),"")</f>
        <v>South</v>
      </c>
      <c r="N1448">
        <f>IFERROR(VLOOKUP(D1448,Products!$A$2:$F$61,4,FALSE()),"")</f>
        <v>2214</v>
      </c>
      <c r="O1448" t="str">
        <f>IFERROR(VLOOKUP(C1448,Customers!$A$2:$F$301,5,FALSE()),"")</f>
        <v>SMB</v>
      </c>
      <c r="P1448">
        <f>IFERROR(VLOOKUP(C1448,Customers!$A$2:$F$301,3,FALSE()),"")</f>
        <v>29</v>
      </c>
      <c r="Q1448">
        <f t="shared" si="66"/>
        <v>0.39508196721311473</v>
      </c>
      <c r="R1448">
        <f>IF(AND(COUNTIF($A$2:$A$2027,A1448)&gt;1,COUNTIF($A$2:A1448,A1448)=1),1,0)</f>
        <v>0</v>
      </c>
      <c r="S1448" t="b">
        <f>IFERROR(VLOOKUP(D1448,Products!$A$2:$F$61,6,FALSE()),"")</f>
        <v>0</v>
      </c>
      <c r="T1448" t="str">
        <f>IF(COUNTIF(Customers!$A$2:$A$301,C1448)=0,"Missing","OK")</f>
        <v>OK</v>
      </c>
      <c r="U1448" t="str">
        <f t="shared" si="67"/>
        <v>Pune</v>
      </c>
      <c r="V1448">
        <f t="shared" si="68"/>
        <v>0</v>
      </c>
    </row>
    <row r="1449" spans="1:22" ht="15" customHeight="1" x14ac:dyDescent="0.35">
      <c r="A1449" s="3" t="s">
        <v>1877</v>
      </c>
      <c r="B1449" s="4">
        <v>45447</v>
      </c>
      <c r="C1449" s="3" t="s">
        <v>164</v>
      </c>
      <c r="D1449" s="3" t="s">
        <v>184</v>
      </c>
      <c r="E1449" s="3" t="s">
        <v>177</v>
      </c>
      <c r="F1449" s="5">
        <v>6</v>
      </c>
      <c r="G1449" s="5">
        <v>2270</v>
      </c>
      <c r="H1449" s="5">
        <v>16</v>
      </c>
      <c r="I1449" s="5">
        <v>11440.8</v>
      </c>
      <c r="J1449" s="3" t="s">
        <v>26</v>
      </c>
      <c r="K1449" s="3" t="s">
        <v>33</v>
      </c>
      <c r="L1449" t="str">
        <f>IFERROR(VLOOKUP(D1449,Products!$A$2:$F$61,3,FALSE()),"")</f>
        <v>Grocery</v>
      </c>
      <c r="M1449" t="str">
        <f>IFERROR(VLOOKUP(E1449,Sales_Reps!$A$2:$C$31,3,FALSE()),"")</f>
        <v>East</v>
      </c>
      <c r="N1449">
        <f>IFERROR(VLOOKUP(D1449,Products!$A$2:$F$61,4,FALSE()),"")</f>
        <v>1412</v>
      </c>
      <c r="O1449" t="str">
        <f>IFERROR(VLOOKUP(C1449,Customers!$A$2:$F$301,5,FALSE()),"")</f>
        <v>Retail</v>
      </c>
      <c r="P1449">
        <f>IFERROR(VLOOKUP(C1449,Customers!$A$2:$F$301,3,FALSE()),"")</f>
        <v>37</v>
      </c>
      <c r="Q1449">
        <f t="shared" si="66"/>
        <v>0.37797356828193834</v>
      </c>
      <c r="R1449">
        <f>IF(AND(COUNTIF($A$2:$A$2027,A1449)&gt;1,COUNTIF($A$2:A1449,A1449)=1),1,0)</f>
        <v>0</v>
      </c>
      <c r="S1449" t="b">
        <f>IFERROR(VLOOKUP(D1449,Products!$A$2:$F$61,6,FALSE()),"")</f>
        <v>1</v>
      </c>
      <c r="T1449" t="str">
        <f>IF(COUNTIF(Customers!$A$2:$A$301,C1449)=0,"Missing","OK")</f>
        <v>OK</v>
      </c>
      <c r="U1449" t="str">
        <f t="shared" si="67"/>
        <v>Chennai</v>
      </c>
      <c r="V1449">
        <f t="shared" si="68"/>
        <v>0</v>
      </c>
    </row>
    <row r="1450" spans="1:22" ht="15" customHeight="1" x14ac:dyDescent="0.35">
      <c r="A1450" s="3" t="s">
        <v>1878</v>
      </c>
      <c r="B1450" s="4">
        <v>45598</v>
      </c>
      <c r="C1450" s="3" t="s">
        <v>386</v>
      </c>
      <c r="D1450" s="3" t="s">
        <v>319</v>
      </c>
      <c r="E1450" s="3" t="s">
        <v>60</v>
      </c>
      <c r="F1450" s="5">
        <v>7</v>
      </c>
      <c r="G1450" s="5">
        <v>960</v>
      </c>
      <c r="H1450" s="5">
        <v>28.8</v>
      </c>
      <c r="I1450" s="5">
        <v>4784.6400000000003</v>
      </c>
      <c r="J1450" s="3" t="s">
        <v>83</v>
      </c>
      <c r="K1450" s="3" t="s">
        <v>51</v>
      </c>
      <c r="L1450" t="str">
        <f>IFERROR(VLOOKUP(D1450,Products!$A$2:$F$61,3,FALSE()),"")</f>
        <v>Beauty</v>
      </c>
      <c r="M1450" t="str">
        <f>IFERROR(VLOOKUP(E1450,Sales_Reps!$A$2:$C$31,3,FALSE()),"")</f>
        <v>East</v>
      </c>
      <c r="N1450">
        <f>IFERROR(VLOOKUP(D1450,Products!$A$2:$F$61,4,FALSE()),"")</f>
        <v>675</v>
      </c>
      <c r="O1450" t="str">
        <f>IFERROR(VLOOKUP(C1450,Customers!$A$2:$F$301,5,FALSE()),"")</f>
        <v>Retail</v>
      </c>
      <c r="P1450">
        <f>IFERROR(VLOOKUP(C1450,Customers!$A$2:$F$301,3,FALSE()),"")</f>
        <v>41</v>
      </c>
      <c r="Q1450">
        <f t="shared" si="66"/>
        <v>0.296875</v>
      </c>
      <c r="R1450">
        <f>IF(AND(COUNTIF($A$2:$A$2027,A1450)&gt;1,COUNTIF($A$2:A1450,A1450)=1),1,0)</f>
        <v>0</v>
      </c>
      <c r="S1450" t="b">
        <f>IFERROR(VLOOKUP(D1450,Products!$A$2:$F$61,6,FALSE()),"")</f>
        <v>1</v>
      </c>
      <c r="T1450" t="str">
        <f>IF(COUNTIF(Customers!$A$2:$A$301,C1450)=0,"Missing","OK")</f>
        <v>OK</v>
      </c>
      <c r="U1450" t="str">
        <f t="shared" si="67"/>
        <v>Mumbai</v>
      </c>
      <c r="V1450">
        <f t="shared" si="68"/>
        <v>0</v>
      </c>
    </row>
    <row r="1451" spans="1:22" ht="15" customHeight="1" x14ac:dyDescent="0.35">
      <c r="A1451" s="3" t="s">
        <v>1879</v>
      </c>
      <c r="B1451" s="4">
        <v>45645</v>
      </c>
      <c r="C1451" s="3" t="s">
        <v>346</v>
      </c>
      <c r="D1451" s="3" t="s">
        <v>234</v>
      </c>
      <c r="E1451" s="3" t="s">
        <v>50</v>
      </c>
      <c r="F1451" s="5">
        <v>9</v>
      </c>
      <c r="G1451" s="5">
        <v>2030</v>
      </c>
      <c r="H1451" s="5">
        <v>3.4</v>
      </c>
      <c r="I1451" s="5">
        <v>17648.82</v>
      </c>
      <c r="J1451" s="3" t="s">
        <v>26</v>
      </c>
      <c r="K1451" s="3" t="s">
        <v>27</v>
      </c>
      <c r="L1451" t="str">
        <f>IFERROR(VLOOKUP(D1451,Products!$A$2:$F$61,3,FALSE()),"")</f>
        <v>Home</v>
      </c>
      <c r="M1451" t="str">
        <f>IFERROR(VLOOKUP(E1451,Sales_Reps!$A$2:$C$31,3,FALSE()),"")</f>
        <v>West</v>
      </c>
      <c r="N1451">
        <f>IFERROR(VLOOKUP(D1451,Products!$A$2:$F$61,4,FALSE()),"")</f>
        <v>1143</v>
      </c>
      <c r="O1451" t="str">
        <f>IFERROR(VLOOKUP(C1451,Customers!$A$2:$F$301,5,FALSE()),"")</f>
        <v>SMB</v>
      </c>
      <c r="P1451">
        <f>IFERROR(VLOOKUP(C1451,Customers!$A$2:$F$301,3,FALSE()),"")</f>
        <v>53</v>
      </c>
      <c r="Q1451">
        <f t="shared" si="66"/>
        <v>0.43694581280788175</v>
      </c>
      <c r="R1451">
        <f>IF(AND(COUNTIF($A$2:$A$2027,A1451)&gt;1,COUNTIF($A$2:A1451,A1451)=1),1,0)</f>
        <v>0</v>
      </c>
      <c r="S1451" t="b">
        <f>IFERROR(VLOOKUP(D1451,Products!$A$2:$F$61,6,FALSE()),"")</f>
        <v>1</v>
      </c>
      <c r="T1451" t="str">
        <f>IF(COUNTIF(Customers!$A$2:$A$301,C1451)=0,"Missing","OK")</f>
        <v>OK</v>
      </c>
      <c r="U1451" t="str">
        <f t="shared" si="67"/>
        <v>Pune</v>
      </c>
      <c r="V1451">
        <f t="shared" si="68"/>
        <v>0</v>
      </c>
    </row>
    <row r="1452" spans="1:22" ht="15" customHeight="1" x14ac:dyDescent="0.35">
      <c r="A1452" s="3" t="s">
        <v>1880</v>
      </c>
      <c r="B1452" s="4">
        <v>45299</v>
      </c>
      <c r="C1452" s="3" t="s">
        <v>955</v>
      </c>
      <c r="D1452" s="3" t="s">
        <v>306</v>
      </c>
      <c r="E1452" s="3" t="s">
        <v>31</v>
      </c>
      <c r="F1452" s="5">
        <v>6</v>
      </c>
      <c r="G1452" s="5">
        <v>2380</v>
      </c>
      <c r="H1452" s="5">
        <v>13.2</v>
      </c>
      <c r="I1452" s="5">
        <v>12395.04</v>
      </c>
      <c r="J1452" s="3" t="s">
        <v>26</v>
      </c>
      <c r="K1452" s="3" t="s">
        <v>56</v>
      </c>
      <c r="L1452" t="str">
        <f>IFERROR(VLOOKUP(D1452,Products!$A$2:$F$61,3,FALSE()),"")</f>
        <v>Grocery</v>
      </c>
      <c r="M1452" t="str">
        <f>IFERROR(VLOOKUP(E1452,Sales_Reps!$A$2:$C$31,3,FALSE()),"")</f>
        <v>North</v>
      </c>
      <c r="N1452">
        <f>IFERROR(VLOOKUP(D1452,Products!$A$2:$F$61,4,FALSE()),"")</f>
        <v>1182</v>
      </c>
      <c r="O1452" t="str">
        <f>IFERROR(VLOOKUP(C1452,Customers!$A$2:$F$301,5,FALSE()),"")</f>
        <v>SMB</v>
      </c>
      <c r="P1452">
        <f>IFERROR(VLOOKUP(C1452,Customers!$A$2:$F$301,3,FALSE()),"")</f>
        <v>49</v>
      </c>
      <c r="Q1452">
        <f t="shared" si="66"/>
        <v>0.50336134453781511</v>
      </c>
      <c r="R1452">
        <f>IF(AND(COUNTIF($A$2:$A$2027,A1452)&gt;1,COUNTIF($A$2:A1452,A1452)=1),1,0)</f>
        <v>0</v>
      </c>
      <c r="S1452" t="b">
        <f>IFERROR(VLOOKUP(D1452,Products!$A$2:$F$61,6,FALSE()),"")</f>
        <v>1</v>
      </c>
      <c r="T1452" t="str">
        <f>IF(COUNTIF(Customers!$A$2:$A$301,C1452)=0,"Missing","OK")</f>
        <v>OK</v>
      </c>
      <c r="U1452" t="str">
        <f t="shared" si="67"/>
        <v>Bengaluru</v>
      </c>
      <c r="V1452">
        <f t="shared" si="68"/>
        <v>12395.04</v>
      </c>
    </row>
    <row r="1453" spans="1:22" ht="15" customHeight="1" x14ac:dyDescent="0.35">
      <c r="A1453" s="3" t="s">
        <v>1881</v>
      </c>
      <c r="B1453" s="4">
        <v>45308</v>
      </c>
      <c r="C1453" s="3" t="s">
        <v>340</v>
      </c>
      <c r="D1453" s="3" t="s">
        <v>96</v>
      </c>
      <c r="E1453" s="3" t="s">
        <v>143</v>
      </c>
      <c r="F1453" s="5">
        <v>10</v>
      </c>
      <c r="G1453" s="5">
        <v>3450</v>
      </c>
      <c r="H1453" s="5">
        <v>8.6999999999999993</v>
      </c>
      <c r="I1453" s="5">
        <v>31498.5</v>
      </c>
      <c r="J1453" s="3" t="s">
        <v>26</v>
      </c>
      <c r="K1453" s="3" t="s">
        <v>33</v>
      </c>
      <c r="L1453" t="str">
        <f>IFERROR(VLOOKUP(D1453,Products!$A$2:$F$61,3,FALSE()),"")</f>
        <v>Beauty</v>
      </c>
      <c r="M1453" t="str">
        <f>IFERROR(VLOOKUP(E1453,Sales_Reps!$A$2:$C$31,3,FALSE()),"")</f>
        <v>South</v>
      </c>
      <c r="N1453">
        <f>IFERROR(VLOOKUP(D1453,Products!$A$2:$F$61,4,FALSE()),"")</f>
        <v>2420</v>
      </c>
      <c r="O1453" t="str">
        <f>IFERROR(VLOOKUP(C1453,Customers!$A$2:$F$301,5,FALSE()),"")</f>
        <v>SMB</v>
      </c>
      <c r="P1453">
        <f>IFERROR(VLOOKUP(C1453,Customers!$A$2:$F$301,3,FALSE()),"")</f>
        <v>51</v>
      </c>
      <c r="Q1453">
        <f t="shared" si="66"/>
        <v>0.29855072463768118</v>
      </c>
      <c r="R1453">
        <f>IF(AND(COUNTIF($A$2:$A$2027,A1453)&gt;1,COUNTIF($A$2:A1453,A1453)=1),1,0)</f>
        <v>0</v>
      </c>
      <c r="S1453" t="b">
        <f>IFERROR(VLOOKUP(D1453,Products!$A$2:$F$61,6,FALSE()),"")</f>
        <v>1</v>
      </c>
      <c r="T1453" t="str">
        <f>IF(COUNTIF(Customers!$A$2:$A$301,C1453)=0,"Missing","OK")</f>
        <v>OK</v>
      </c>
      <c r="U1453" t="str">
        <f t="shared" si="67"/>
        <v>Chennai</v>
      </c>
      <c r="V1453">
        <f t="shared" si="68"/>
        <v>0</v>
      </c>
    </row>
    <row r="1454" spans="1:22" ht="15" customHeight="1" x14ac:dyDescent="0.35">
      <c r="A1454" s="3" t="s">
        <v>1882</v>
      </c>
      <c r="B1454" s="4">
        <v>45487</v>
      </c>
      <c r="C1454" s="3" t="s">
        <v>1562</v>
      </c>
      <c r="D1454" s="3" t="s">
        <v>319</v>
      </c>
      <c r="E1454" s="3" t="s">
        <v>97</v>
      </c>
      <c r="F1454" s="5">
        <v>6</v>
      </c>
      <c r="G1454" s="5">
        <v>960</v>
      </c>
      <c r="H1454" s="5">
        <v>20.6</v>
      </c>
      <c r="I1454" s="5">
        <v>4573.4399999999996</v>
      </c>
      <c r="J1454" s="3" t="s">
        <v>32</v>
      </c>
      <c r="K1454" s="3" t="s">
        <v>56</v>
      </c>
      <c r="L1454" t="str">
        <f>IFERROR(VLOOKUP(D1454,Products!$A$2:$F$61,3,FALSE()),"")</f>
        <v>Beauty</v>
      </c>
      <c r="M1454" t="str">
        <f>IFERROR(VLOOKUP(E1454,Sales_Reps!$A$2:$C$31,3,FALSE()),"")</f>
        <v>East</v>
      </c>
      <c r="N1454">
        <f>IFERROR(VLOOKUP(D1454,Products!$A$2:$F$61,4,FALSE()),"")</f>
        <v>675</v>
      </c>
      <c r="O1454" t="str">
        <f>IFERROR(VLOOKUP(C1454,Customers!$A$2:$F$301,5,FALSE()),"")</f>
        <v>Retail</v>
      </c>
      <c r="P1454">
        <f>IFERROR(VLOOKUP(C1454,Customers!$A$2:$F$301,3,FALSE()),"")</f>
        <v>53</v>
      </c>
      <c r="Q1454">
        <f t="shared" si="66"/>
        <v>0.296875</v>
      </c>
      <c r="R1454">
        <f>IF(AND(COUNTIF($A$2:$A$2027,A1454)&gt;1,COUNTIF($A$2:A1454,A1454)=1),1,0)</f>
        <v>0</v>
      </c>
      <c r="S1454" t="b">
        <f>IFERROR(VLOOKUP(D1454,Products!$A$2:$F$61,6,FALSE()),"")</f>
        <v>1</v>
      </c>
      <c r="T1454" t="str">
        <f>IF(COUNTIF(Customers!$A$2:$A$301,C1454)=0,"Missing","OK")</f>
        <v>OK</v>
      </c>
      <c r="U1454" t="str">
        <f t="shared" si="67"/>
        <v>Bengaluru</v>
      </c>
      <c r="V1454">
        <f t="shared" si="68"/>
        <v>0</v>
      </c>
    </row>
    <row r="1455" spans="1:22" ht="15" customHeight="1" x14ac:dyDescent="0.35">
      <c r="A1455" s="3" t="s">
        <v>1883</v>
      </c>
      <c r="B1455" s="4">
        <v>45341</v>
      </c>
      <c r="C1455" s="3" t="s">
        <v>736</v>
      </c>
      <c r="D1455" s="3" t="s">
        <v>598</v>
      </c>
      <c r="E1455" s="3" t="s">
        <v>191</v>
      </c>
      <c r="F1455" s="5">
        <v>10</v>
      </c>
      <c r="G1455" s="5">
        <v>3560</v>
      </c>
      <c r="H1455" s="5">
        <v>1.4</v>
      </c>
      <c r="I1455" s="5">
        <v>35101.599999999999</v>
      </c>
      <c r="J1455" s="3" t="s">
        <v>32</v>
      </c>
      <c r="K1455" s="3" t="s">
        <v>38</v>
      </c>
      <c r="L1455" t="str">
        <f>IFERROR(VLOOKUP(D1455,Products!$A$2:$F$61,3,FALSE()),"")</f>
        <v>Apparel</v>
      </c>
      <c r="M1455" t="str">
        <f>IFERROR(VLOOKUP(E1455,Sales_Reps!$A$2:$C$31,3,FALSE()),"")</f>
        <v>South</v>
      </c>
      <c r="N1455">
        <f>IFERROR(VLOOKUP(D1455,Products!$A$2:$F$61,4,FALSE()),"")</f>
        <v>2629</v>
      </c>
      <c r="O1455" t="str">
        <f>IFERROR(VLOOKUP(C1455,Customers!$A$2:$F$301,5,FALSE()),"")</f>
        <v>Retail</v>
      </c>
      <c r="P1455">
        <f>IFERROR(VLOOKUP(C1455,Customers!$A$2:$F$301,3,FALSE()),"")</f>
        <v>63</v>
      </c>
      <c r="Q1455">
        <f t="shared" si="66"/>
        <v>0.26151685393258428</v>
      </c>
      <c r="R1455">
        <f>IF(AND(COUNTIF($A$2:$A$2027,A1455)&gt;1,COUNTIF($A$2:A1455,A1455)=1),1,0)</f>
        <v>0</v>
      </c>
      <c r="S1455" t="b">
        <f>IFERROR(VLOOKUP(D1455,Products!$A$2:$F$61,6,FALSE()),"")</f>
        <v>1</v>
      </c>
      <c r="T1455" t="str">
        <f>IF(COUNTIF(Customers!$A$2:$A$301,C1455)=0,"Missing","OK")</f>
        <v>OK</v>
      </c>
      <c r="U1455" t="str">
        <f t="shared" si="67"/>
        <v>Delhi</v>
      </c>
      <c r="V1455">
        <f t="shared" si="68"/>
        <v>0</v>
      </c>
    </row>
    <row r="1456" spans="1:22" ht="15" customHeight="1" x14ac:dyDescent="0.35">
      <c r="A1456" s="3" t="s">
        <v>1884</v>
      </c>
      <c r="B1456" s="4">
        <v>45354</v>
      </c>
      <c r="C1456" s="3" t="s">
        <v>162</v>
      </c>
      <c r="D1456" s="3" t="s">
        <v>112</v>
      </c>
      <c r="E1456" s="3" t="s">
        <v>37</v>
      </c>
      <c r="F1456" s="5">
        <v>4</v>
      </c>
      <c r="G1456" s="5">
        <v>2720</v>
      </c>
      <c r="H1456" s="5">
        <v>19.399999999999999</v>
      </c>
      <c r="I1456" s="5">
        <v>8769.2800000000007</v>
      </c>
      <c r="J1456" s="3" t="s">
        <v>83</v>
      </c>
      <c r="K1456" s="3" t="s">
        <v>38</v>
      </c>
      <c r="L1456" t="str">
        <f>IFERROR(VLOOKUP(D1456,Products!$A$2:$F$61,3,FALSE()),"")</f>
        <v>Apparel</v>
      </c>
      <c r="M1456" t="str">
        <f>IFERROR(VLOOKUP(E1456,Sales_Reps!$A$2:$C$31,3,FALSE()),"")</f>
        <v>South</v>
      </c>
      <c r="N1456">
        <f>IFERROR(VLOOKUP(D1456,Products!$A$2:$F$61,4,FALSE()),"")</f>
        <v>1962</v>
      </c>
      <c r="O1456" t="str">
        <f>IFERROR(VLOOKUP(C1456,Customers!$A$2:$F$301,5,FALSE()),"")</f>
        <v>Retail</v>
      </c>
      <c r="P1456">
        <f>IFERROR(VLOOKUP(C1456,Customers!$A$2:$F$301,3,FALSE()),"")</f>
        <v>53</v>
      </c>
      <c r="Q1456">
        <f t="shared" si="66"/>
        <v>0.2786764705882353</v>
      </c>
      <c r="R1456">
        <f>IF(AND(COUNTIF($A$2:$A$2027,A1456)&gt;1,COUNTIF($A$2:A1456,A1456)=1),1,0)</f>
        <v>0</v>
      </c>
      <c r="S1456" t="b">
        <f>IFERROR(VLOOKUP(D1456,Products!$A$2:$F$61,6,FALSE()),"")</f>
        <v>1</v>
      </c>
      <c r="T1456" t="str">
        <f>IF(COUNTIF(Customers!$A$2:$A$301,C1456)=0,"Missing","OK")</f>
        <v>OK</v>
      </c>
      <c r="U1456" t="str">
        <f t="shared" si="67"/>
        <v>Delhi</v>
      </c>
      <c r="V1456">
        <f t="shared" si="68"/>
        <v>0</v>
      </c>
    </row>
    <row r="1457" spans="1:22" ht="15" customHeight="1" x14ac:dyDescent="0.35">
      <c r="A1457" s="3" t="s">
        <v>1885</v>
      </c>
      <c r="B1457" s="4">
        <v>45458</v>
      </c>
      <c r="C1457" s="3" t="s">
        <v>680</v>
      </c>
      <c r="D1457" s="3" t="s">
        <v>206</v>
      </c>
      <c r="E1457" s="3" t="s">
        <v>168</v>
      </c>
      <c r="F1457" s="5">
        <v>5</v>
      </c>
      <c r="G1457" s="5">
        <v>1220</v>
      </c>
      <c r="H1457" s="5">
        <v>15.6</v>
      </c>
      <c r="I1457" s="5">
        <v>5148.3999999999996</v>
      </c>
      <c r="J1457" s="3" t="s">
        <v>26</v>
      </c>
      <c r="K1457" s="3" t="s">
        <v>72</v>
      </c>
      <c r="L1457" t="str">
        <f>IFERROR(VLOOKUP(D1457,Products!$A$2:$F$61,3,FALSE()),"")</f>
        <v>Electronics</v>
      </c>
      <c r="M1457" t="str">
        <f>IFERROR(VLOOKUP(E1457,Sales_Reps!$A$2:$C$31,3,FALSE()),"")</f>
        <v>West</v>
      </c>
      <c r="N1457">
        <f>IFERROR(VLOOKUP(D1457,Products!$A$2:$F$61,4,FALSE()),"")</f>
        <v>517</v>
      </c>
      <c r="O1457" t="str">
        <f>IFERROR(VLOOKUP(C1457,Customers!$A$2:$F$301,5,FALSE()),"")</f>
        <v>SMB</v>
      </c>
      <c r="P1457">
        <f>IFERROR(VLOOKUP(C1457,Customers!$A$2:$F$301,3,FALSE()),"")</f>
        <v>29</v>
      </c>
      <c r="Q1457">
        <f t="shared" si="66"/>
        <v>0.57622950819672136</v>
      </c>
      <c r="R1457">
        <f>IF(AND(COUNTIF($A$2:$A$2027,A1457)&gt;1,COUNTIF($A$2:A1457,A1457)=1),1,0)</f>
        <v>0</v>
      </c>
      <c r="S1457" t="b">
        <f>IFERROR(VLOOKUP(D1457,Products!$A$2:$F$61,6,FALSE()),"")</f>
        <v>1</v>
      </c>
      <c r="T1457" t="str">
        <f>IF(COUNTIF(Customers!$A$2:$A$301,C1457)=0,"Missing","OK")</f>
        <v>OK</v>
      </c>
      <c r="U1457" t="str">
        <f t="shared" si="67"/>
        <v>Hyderabad</v>
      </c>
      <c r="V1457">
        <f t="shared" si="68"/>
        <v>0</v>
      </c>
    </row>
    <row r="1458" spans="1:22" ht="15" customHeight="1" x14ac:dyDescent="0.35">
      <c r="A1458" s="3" t="s">
        <v>1886</v>
      </c>
      <c r="B1458" s="4">
        <v>45364</v>
      </c>
      <c r="C1458" s="3" t="s">
        <v>195</v>
      </c>
      <c r="D1458" s="3" t="s">
        <v>441</v>
      </c>
      <c r="E1458" s="3" t="s">
        <v>140</v>
      </c>
      <c r="F1458" s="5">
        <v>5</v>
      </c>
      <c r="G1458" s="5">
        <v>1090</v>
      </c>
      <c r="H1458" s="5">
        <v>15</v>
      </c>
      <c r="I1458" s="5">
        <v>4632.5</v>
      </c>
      <c r="J1458" s="3" t="s">
        <v>26</v>
      </c>
      <c r="K1458" s="3" t="s">
        <v>72</v>
      </c>
      <c r="L1458" t="str">
        <f>IFERROR(VLOOKUP(D1458,Products!$A$2:$F$61,3,FALSE()),"")</f>
        <v>Home</v>
      </c>
      <c r="M1458" t="str">
        <f>IFERROR(VLOOKUP(E1458,Sales_Reps!$A$2:$C$31,3,FALSE()),"")</f>
        <v>West</v>
      </c>
      <c r="N1458">
        <f>IFERROR(VLOOKUP(D1458,Products!$A$2:$F$61,4,FALSE()),"")</f>
        <v>464</v>
      </c>
      <c r="O1458" t="str">
        <f>IFERROR(VLOOKUP(C1458,Customers!$A$2:$F$301,5,FALSE()),"")</f>
        <v>Retail</v>
      </c>
      <c r="P1458">
        <f>IFERROR(VLOOKUP(C1458,Customers!$A$2:$F$301,3,FALSE()),"")</f>
        <v>27</v>
      </c>
      <c r="Q1458">
        <f t="shared" si="66"/>
        <v>0.57431192660550456</v>
      </c>
      <c r="R1458">
        <f>IF(AND(COUNTIF($A$2:$A$2027,A1458)&gt;1,COUNTIF($A$2:A1458,A1458)=1),1,0)</f>
        <v>0</v>
      </c>
      <c r="S1458" t="b">
        <f>IFERROR(VLOOKUP(D1458,Products!$A$2:$F$61,6,FALSE()),"")</f>
        <v>1</v>
      </c>
      <c r="T1458" t="str">
        <f>IF(COUNTIF(Customers!$A$2:$A$301,C1458)=0,"Missing","OK")</f>
        <v>OK</v>
      </c>
      <c r="U1458" t="str">
        <f t="shared" si="67"/>
        <v>Hyderabad</v>
      </c>
      <c r="V1458">
        <f t="shared" si="68"/>
        <v>0</v>
      </c>
    </row>
    <row r="1459" spans="1:22" ht="15" customHeight="1" x14ac:dyDescent="0.35">
      <c r="A1459" s="3" t="s">
        <v>1887</v>
      </c>
      <c r="B1459" s="4">
        <v>45618</v>
      </c>
      <c r="C1459" s="3" t="s">
        <v>1001</v>
      </c>
      <c r="D1459" s="3" t="s">
        <v>49</v>
      </c>
      <c r="E1459" s="3" t="s">
        <v>168</v>
      </c>
      <c r="F1459" s="5">
        <v>9</v>
      </c>
      <c r="G1459" s="5">
        <v>370</v>
      </c>
      <c r="H1459" s="5">
        <v>25.4</v>
      </c>
      <c r="I1459" s="5">
        <v>2484.1799999999998</v>
      </c>
      <c r="J1459" s="3" t="s">
        <v>26</v>
      </c>
      <c r="K1459" s="3" t="s">
        <v>51</v>
      </c>
      <c r="L1459" t="str">
        <f>IFERROR(VLOOKUP(D1459,Products!$A$2:$F$61,3,FALSE()),"")</f>
        <v>Home</v>
      </c>
      <c r="M1459" t="str">
        <f>IFERROR(VLOOKUP(E1459,Sales_Reps!$A$2:$C$31,3,FALSE()),"")</f>
        <v>West</v>
      </c>
      <c r="N1459">
        <f>IFERROR(VLOOKUP(D1459,Products!$A$2:$F$61,4,FALSE()),"")</f>
        <v>288</v>
      </c>
      <c r="O1459" t="str">
        <f>IFERROR(VLOOKUP(C1459,Customers!$A$2:$F$301,5,FALSE()),"")</f>
        <v>SMB</v>
      </c>
      <c r="P1459">
        <f>IFERROR(VLOOKUP(C1459,Customers!$A$2:$F$301,3,FALSE()),"")</f>
        <v>54</v>
      </c>
      <c r="Q1459">
        <f t="shared" si="66"/>
        <v>0.22162162162162163</v>
      </c>
      <c r="R1459">
        <f>IF(AND(COUNTIF($A$2:$A$2027,A1459)&gt;1,COUNTIF($A$2:A1459,A1459)=1),1,0)</f>
        <v>0</v>
      </c>
      <c r="S1459" t="b">
        <f>IFERROR(VLOOKUP(D1459,Products!$A$2:$F$61,6,FALSE()),"")</f>
        <v>1</v>
      </c>
      <c r="T1459" t="str">
        <f>IF(COUNTIF(Customers!$A$2:$A$301,C1459)=0,"Missing","OK")</f>
        <v>OK</v>
      </c>
      <c r="U1459" t="str">
        <f t="shared" si="67"/>
        <v>Mumbai</v>
      </c>
      <c r="V1459">
        <f t="shared" si="68"/>
        <v>0</v>
      </c>
    </row>
    <row r="1460" spans="1:22" ht="15" customHeight="1" x14ac:dyDescent="0.35">
      <c r="A1460" s="3" t="s">
        <v>1888</v>
      </c>
      <c r="B1460" s="4">
        <v>45456</v>
      </c>
      <c r="C1460" s="3" t="s">
        <v>844</v>
      </c>
      <c r="D1460" s="3" t="s">
        <v>134</v>
      </c>
      <c r="E1460" s="3" t="s">
        <v>25</v>
      </c>
      <c r="F1460" s="5">
        <v>7</v>
      </c>
      <c r="G1460" s="5">
        <v>2860</v>
      </c>
      <c r="H1460" s="5">
        <v>14</v>
      </c>
      <c r="I1460" s="5">
        <v>17217.2</v>
      </c>
      <c r="J1460" s="3" t="s">
        <v>26</v>
      </c>
      <c r="K1460" s="3" t="s">
        <v>51</v>
      </c>
      <c r="L1460" t="str">
        <f>IFERROR(VLOOKUP(D1460,Products!$A$2:$F$61,3,FALSE()),"")</f>
        <v>Sports</v>
      </c>
      <c r="M1460" t="str">
        <f>IFERROR(VLOOKUP(E1460,Sales_Reps!$A$2:$C$31,3,FALSE()),"")</f>
        <v>North</v>
      </c>
      <c r="N1460">
        <f>IFERROR(VLOOKUP(D1460,Products!$A$2:$F$61,4,FALSE()),"")</f>
        <v>2028</v>
      </c>
      <c r="O1460" t="str">
        <f>IFERROR(VLOOKUP(C1460,Customers!$A$2:$F$301,5,FALSE()),"")</f>
        <v>SMB</v>
      </c>
      <c r="P1460">
        <f>IFERROR(VLOOKUP(C1460,Customers!$A$2:$F$301,3,FALSE()),"")</f>
        <v>43</v>
      </c>
      <c r="Q1460">
        <f t="shared" si="66"/>
        <v>0.29090909090909089</v>
      </c>
      <c r="R1460">
        <f>IF(AND(COUNTIF($A$2:$A$2027,A1460)&gt;1,COUNTIF($A$2:A1460,A1460)=1),1,0)</f>
        <v>0</v>
      </c>
      <c r="S1460" t="b">
        <f>IFERROR(VLOOKUP(D1460,Products!$A$2:$F$61,6,FALSE()),"")</f>
        <v>1</v>
      </c>
      <c r="T1460" t="str">
        <f>IF(COUNTIF(Customers!$A$2:$A$301,C1460)=0,"Missing","OK")</f>
        <v>OK</v>
      </c>
      <c r="U1460" t="str">
        <f t="shared" si="67"/>
        <v>Mumbai</v>
      </c>
      <c r="V1460">
        <f t="shared" si="68"/>
        <v>0</v>
      </c>
    </row>
    <row r="1461" spans="1:22" ht="15" customHeight="1" x14ac:dyDescent="0.35">
      <c r="A1461" s="3" t="s">
        <v>1889</v>
      </c>
      <c r="B1461" s="4">
        <v>45490</v>
      </c>
      <c r="C1461" s="3" t="s">
        <v>538</v>
      </c>
      <c r="D1461" s="3" t="s">
        <v>277</v>
      </c>
      <c r="E1461" s="3" t="s">
        <v>140</v>
      </c>
      <c r="F1461" s="5">
        <v>1</v>
      </c>
      <c r="G1461" s="5">
        <v>2210</v>
      </c>
      <c r="H1461" s="5">
        <v>1.7</v>
      </c>
      <c r="I1461" s="5">
        <v>2172.4299999999998</v>
      </c>
      <c r="J1461" s="3" t="s">
        <v>26</v>
      </c>
      <c r="K1461" s="3" t="s">
        <v>56</v>
      </c>
      <c r="L1461" t="str">
        <f>IFERROR(VLOOKUP(D1461,Products!$A$2:$F$61,3,FALSE()),"")</f>
        <v>Grocery</v>
      </c>
      <c r="M1461" t="str">
        <f>IFERROR(VLOOKUP(E1461,Sales_Reps!$A$2:$C$31,3,FALSE()),"")</f>
        <v>West</v>
      </c>
      <c r="N1461">
        <f>IFERROR(VLOOKUP(D1461,Products!$A$2:$F$61,4,FALSE()),"")</f>
        <v>1010</v>
      </c>
      <c r="O1461" t="str">
        <f>IFERROR(VLOOKUP(C1461,Customers!$A$2:$F$301,5,FALSE()),"")</f>
        <v>Corporate</v>
      </c>
      <c r="P1461">
        <f>IFERROR(VLOOKUP(C1461,Customers!$A$2:$F$301,3,FALSE()),"")</f>
        <v>26</v>
      </c>
      <c r="Q1461">
        <f t="shared" si="66"/>
        <v>0.54298642533936647</v>
      </c>
      <c r="R1461">
        <f>IF(AND(COUNTIF($A$2:$A$2027,A1461)&gt;1,COUNTIF($A$2:A1461,A1461)=1),1,0)</f>
        <v>0</v>
      </c>
      <c r="S1461" t="b">
        <f>IFERROR(VLOOKUP(D1461,Products!$A$2:$F$61,6,FALSE()),"")</f>
        <v>1</v>
      </c>
      <c r="T1461" t="str">
        <f>IF(COUNTIF(Customers!$A$2:$A$301,C1461)=0,"Missing","OK")</f>
        <v>OK</v>
      </c>
      <c r="U1461" t="str">
        <f t="shared" si="67"/>
        <v>Bengaluru</v>
      </c>
      <c r="V1461">
        <f t="shared" si="68"/>
        <v>2172.4299999999998</v>
      </c>
    </row>
    <row r="1462" spans="1:22" ht="15" customHeight="1" x14ac:dyDescent="0.35">
      <c r="A1462" s="3" t="s">
        <v>1890</v>
      </c>
      <c r="B1462" s="4">
        <v>45584</v>
      </c>
      <c r="C1462" s="3" t="s">
        <v>502</v>
      </c>
      <c r="D1462" s="3" t="s">
        <v>66</v>
      </c>
      <c r="E1462" s="3" t="s">
        <v>50</v>
      </c>
      <c r="F1462" s="5">
        <v>3</v>
      </c>
      <c r="G1462" s="5">
        <v>970</v>
      </c>
      <c r="H1462" s="5">
        <v>20.3</v>
      </c>
      <c r="I1462" s="5">
        <v>2319.27</v>
      </c>
      <c r="J1462" s="3" t="s">
        <v>32</v>
      </c>
      <c r="K1462" s="3" t="s">
        <v>27</v>
      </c>
      <c r="L1462" t="str">
        <f>IFERROR(VLOOKUP(D1462,Products!$A$2:$F$61,3,FALSE()),"")</f>
        <v>Grocery</v>
      </c>
      <c r="M1462" t="str">
        <f>IFERROR(VLOOKUP(E1462,Sales_Reps!$A$2:$C$31,3,FALSE()),"")</f>
        <v>West</v>
      </c>
      <c r="N1462">
        <f>IFERROR(VLOOKUP(D1462,Products!$A$2:$F$61,4,FALSE()),"")</f>
        <v>434</v>
      </c>
      <c r="O1462" t="str">
        <f>IFERROR(VLOOKUP(C1462,Customers!$A$2:$F$301,5,FALSE()),"")</f>
        <v>SMB</v>
      </c>
      <c r="P1462">
        <f>IFERROR(VLOOKUP(C1462,Customers!$A$2:$F$301,3,FALSE()),"")</f>
        <v>24</v>
      </c>
      <c r="Q1462">
        <f t="shared" si="66"/>
        <v>0.5525773195876289</v>
      </c>
      <c r="R1462">
        <f>IF(AND(COUNTIF($A$2:$A$2027,A1462)&gt;1,COUNTIF($A$2:A1462,A1462)=1),1,0)</f>
        <v>0</v>
      </c>
      <c r="S1462" t="b">
        <f>IFERROR(VLOOKUP(D1462,Products!$A$2:$F$61,6,FALSE()),"")</f>
        <v>1</v>
      </c>
      <c r="T1462" t="str">
        <f>IF(COUNTIF(Customers!$A$2:$A$301,C1462)=0,"Missing","OK")</f>
        <v>OK</v>
      </c>
      <c r="U1462" t="str">
        <f t="shared" si="67"/>
        <v>Pune</v>
      </c>
      <c r="V1462">
        <f t="shared" si="68"/>
        <v>0</v>
      </c>
    </row>
    <row r="1463" spans="1:22" ht="15" customHeight="1" x14ac:dyDescent="0.35">
      <c r="A1463" s="3" t="s">
        <v>1891</v>
      </c>
      <c r="B1463" s="4">
        <v>45476</v>
      </c>
      <c r="C1463" s="3" t="s">
        <v>939</v>
      </c>
      <c r="D1463" s="3" t="s">
        <v>598</v>
      </c>
      <c r="E1463" s="3" t="s">
        <v>97</v>
      </c>
      <c r="F1463" s="5">
        <v>5</v>
      </c>
      <c r="G1463" s="5">
        <v>3560</v>
      </c>
      <c r="H1463" s="5">
        <v>17.100000000000001</v>
      </c>
      <c r="I1463" s="5">
        <v>14756.2</v>
      </c>
      <c r="J1463" s="3" t="s">
        <v>26</v>
      </c>
      <c r="K1463" s="3" t="s">
        <v>56</v>
      </c>
      <c r="L1463" t="str">
        <f>IFERROR(VLOOKUP(D1463,Products!$A$2:$F$61,3,FALSE()),"")</f>
        <v>Apparel</v>
      </c>
      <c r="M1463" t="str">
        <f>IFERROR(VLOOKUP(E1463,Sales_Reps!$A$2:$C$31,3,FALSE()),"")</f>
        <v>East</v>
      </c>
      <c r="N1463">
        <f>IFERROR(VLOOKUP(D1463,Products!$A$2:$F$61,4,FALSE()),"")</f>
        <v>2629</v>
      </c>
      <c r="O1463" t="str">
        <f>IFERROR(VLOOKUP(C1463,Customers!$A$2:$F$301,5,FALSE()),"")</f>
        <v>Retail</v>
      </c>
      <c r="P1463">
        <f>IFERROR(VLOOKUP(C1463,Customers!$A$2:$F$301,3,FALSE()),"")</f>
        <v>27</v>
      </c>
      <c r="Q1463">
        <f t="shared" si="66"/>
        <v>0.26151685393258428</v>
      </c>
      <c r="R1463">
        <f>IF(AND(COUNTIF($A$2:$A$2027,A1463)&gt;1,COUNTIF($A$2:A1463,A1463)=1),1,0)</f>
        <v>0</v>
      </c>
      <c r="S1463" t="b">
        <f>IFERROR(VLOOKUP(D1463,Products!$A$2:$F$61,6,FALSE()),"")</f>
        <v>1</v>
      </c>
      <c r="T1463" t="str">
        <f>IF(COUNTIF(Customers!$A$2:$A$301,C1463)=0,"Missing","OK")</f>
        <v>OK</v>
      </c>
      <c r="U1463" t="str">
        <f t="shared" si="67"/>
        <v>Bengaluru</v>
      </c>
      <c r="V1463">
        <f t="shared" si="68"/>
        <v>0</v>
      </c>
    </row>
    <row r="1464" spans="1:22" ht="15" customHeight="1" x14ac:dyDescent="0.35">
      <c r="A1464" s="3" t="s">
        <v>1892</v>
      </c>
      <c r="B1464" s="4">
        <v>45387</v>
      </c>
      <c r="C1464" s="3" t="s">
        <v>129</v>
      </c>
      <c r="D1464" s="3" t="s">
        <v>103</v>
      </c>
      <c r="E1464" s="3" t="s">
        <v>93</v>
      </c>
      <c r="F1464" s="5">
        <v>10</v>
      </c>
      <c r="G1464" s="5">
        <v>1080</v>
      </c>
      <c r="H1464" s="5">
        <v>12.8</v>
      </c>
      <c r="I1464" s="5">
        <v>9417.6</v>
      </c>
      <c r="J1464" s="3" t="s">
        <v>26</v>
      </c>
      <c r="K1464" s="3" t="s">
        <v>72</v>
      </c>
      <c r="L1464" t="str">
        <f>IFERROR(VLOOKUP(D1464,Products!$A$2:$F$61,3,FALSE()),"")</f>
        <v>Home</v>
      </c>
      <c r="M1464" t="str">
        <f>IFERROR(VLOOKUP(E1464,Sales_Reps!$A$2:$C$31,3,FALSE()),"")</f>
        <v>East</v>
      </c>
      <c r="N1464">
        <f>IFERROR(VLOOKUP(D1464,Products!$A$2:$F$61,4,FALSE()),"")</f>
        <v>519</v>
      </c>
      <c r="O1464" t="str">
        <f>IFERROR(VLOOKUP(C1464,Customers!$A$2:$F$301,5,FALSE()),"")</f>
        <v>Corporate</v>
      </c>
      <c r="P1464">
        <f>IFERROR(VLOOKUP(C1464,Customers!$A$2:$F$301,3,FALSE()),"")</f>
        <v>56</v>
      </c>
      <c r="Q1464">
        <f t="shared" si="66"/>
        <v>0.51944444444444449</v>
      </c>
      <c r="R1464">
        <f>IF(AND(COUNTIF($A$2:$A$2027,A1464)&gt;1,COUNTIF($A$2:A1464,A1464)=1),1,0)</f>
        <v>0</v>
      </c>
      <c r="S1464" t="b">
        <f>IFERROR(VLOOKUP(D1464,Products!$A$2:$F$61,6,FALSE()),"")</f>
        <v>1</v>
      </c>
      <c r="T1464" t="str">
        <f>IF(COUNTIF(Customers!$A$2:$A$301,C1464)=0,"Missing","OK")</f>
        <v>OK</v>
      </c>
      <c r="U1464" t="str">
        <f t="shared" si="67"/>
        <v>Hyderabad</v>
      </c>
      <c r="V1464">
        <f t="shared" si="68"/>
        <v>0</v>
      </c>
    </row>
    <row r="1465" spans="1:22" ht="15" customHeight="1" x14ac:dyDescent="0.35">
      <c r="A1465" s="3" t="s">
        <v>1893</v>
      </c>
      <c r="B1465" s="4">
        <v>45324</v>
      </c>
      <c r="C1465" s="3" t="s">
        <v>446</v>
      </c>
      <c r="D1465" s="3" t="s">
        <v>206</v>
      </c>
      <c r="E1465" s="3" t="s">
        <v>212</v>
      </c>
      <c r="F1465" s="5">
        <v>3</v>
      </c>
      <c r="G1465" s="5">
        <v>1220</v>
      </c>
      <c r="H1465" s="5">
        <v>1.9</v>
      </c>
      <c r="I1465" s="5">
        <v>3590.46</v>
      </c>
      <c r="J1465" s="3" t="s">
        <v>26</v>
      </c>
      <c r="K1465" s="3" t="s">
        <v>27</v>
      </c>
      <c r="L1465" t="str">
        <f>IFERROR(VLOOKUP(D1465,Products!$A$2:$F$61,3,FALSE()),"")</f>
        <v>Electronics</v>
      </c>
      <c r="M1465" t="str">
        <f>IFERROR(VLOOKUP(E1465,Sales_Reps!$A$2:$C$31,3,FALSE()),"")</f>
        <v>South</v>
      </c>
      <c r="N1465">
        <f>IFERROR(VLOOKUP(D1465,Products!$A$2:$F$61,4,FALSE()),"")</f>
        <v>517</v>
      </c>
      <c r="O1465" t="str">
        <f>IFERROR(VLOOKUP(C1465,Customers!$A$2:$F$301,5,FALSE()),"")</f>
        <v>Retail</v>
      </c>
      <c r="P1465">
        <f>IFERROR(VLOOKUP(C1465,Customers!$A$2:$F$301,3,FALSE()),"")</f>
        <v>59</v>
      </c>
      <c r="Q1465">
        <f t="shared" si="66"/>
        <v>0.57622950819672136</v>
      </c>
      <c r="R1465">
        <f>IF(AND(COUNTIF($A$2:$A$2027,A1465)&gt;1,COUNTIF($A$2:A1465,A1465)=1),1,0)</f>
        <v>0</v>
      </c>
      <c r="S1465" t="b">
        <f>IFERROR(VLOOKUP(D1465,Products!$A$2:$F$61,6,FALSE()),"")</f>
        <v>1</v>
      </c>
      <c r="T1465" t="str">
        <f>IF(COUNTIF(Customers!$A$2:$A$301,C1465)=0,"Missing","OK")</f>
        <v>OK</v>
      </c>
      <c r="U1465" t="str">
        <f t="shared" si="67"/>
        <v>Pune</v>
      </c>
      <c r="V1465">
        <f t="shared" si="68"/>
        <v>0</v>
      </c>
    </row>
    <row r="1466" spans="1:22" ht="15" customHeight="1" x14ac:dyDescent="0.35">
      <c r="A1466" s="3" t="s">
        <v>1894</v>
      </c>
      <c r="B1466" s="4">
        <v>45479</v>
      </c>
      <c r="C1466" s="3" t="s">
        <v>1895</v>
      </c>
      <c r="D1466" s="3" t="s">
        <v>165</v>
      </c>
      <c r="E1466" s="3" t="s">
        <v>143</v>
      </c>
      <c r="F1466" s="5">
        <v>1</v>
      </c>
      <c r="G1466" s="5">
        <v>3730</v>
      </c>
      <c r="H1466" s="5">
        <v>14.7</v>
      </c>
      <c r="I1466" s="5">
        <v>3181.69</v>
      </c>
      <c r="J1466" s="3" t="s">
        <v>32</v>
      </c>
      <c r="K1466" s="3" t="s">
        <v>27</v>
      </c>
      <c r="L1466" t="str">
        <f>IFERROR(VLOOKUP(D1466,Products!$A$2:$F$61,3,FALSE()),"")</f>
        <v>Home</v>
      </c>
      <c r="M1466" t="str">
        <f>IFERROR(VLOOKUP(E1466,Sales_Reps!$A$2:$C$31,3,FALSE()),"")</f>
        <v>South</v>
      </c>
      <c r="N1466">
        <f>IFERROR(VLOOKUP(D1466,Products!$A$2:$F$61,4,FALSE()),"")</f>
        <v>2135</v>
      </c>
      <c r="O1466" t="str">
        <f>IFERROR(VLOOKUP(C1466,Customers!$A$2:$F$301,5,FALSE()),"")</f>
        <v/>
      </c>
      <c r="P1466" t="str">
        <f>IFERROR(VLOOKUP(C1466,Customers!$A$2:$F$301,3,FALSE()),"")</f>
        <v/>
      </c>
      <c r="Q1466">
        <f t="shared" si="66"/>
        <v>0.42761394101876676</v>
      </c>
      <c r="R1466">
        <f>IF(AND(COUNTIF($A$2:$A$2027,A1466)&gt;1,COUNTIF($A$2:A1466,A1466)=1),1,0)</f>
        <v>0</v>
      </c>
      <c r="S1466" t="b">
        <f>IFERROR(VLOOKUP(D1466,Products!$A$2:$F$61,6,FALSE()),"")</f>
        <v>1</v>
      </c>
      <c r="T1466" t="str">
        <f>IF(COUNTIF(Customers!$A$2:$A$301,C1466)=0,"Missing","OK")</f>
        <v>Missing</v>
      </c>
      <c r="U1466" t="str">
        <f t="shared" si="67"/>
        <v>Pune</v>
      </c>
      <c r="V1466">
        <f t="shared" si="68"/>
        <v>0</v>
      </c>
    </row>
    <row r="1467" spans="1:22" ht="15" customHeight="1" x14ac:dyDescent="0.35">
      <c r="A1467" s="3" t="s">
        <v>1896</v>
      </c>
      <c r="B1467" s="4">
        <v>45628</v>
      </c>
      <c r="C1467" s="3" t="s">
        <v>125</v>
      </c>
      <c r="D1467" s="3" t="s">
        <v>59</v>
      </c>
      <c r="E1467" s="3" t="s">
        <v>154</v>
      </c>
      <c r="F1467" s="5">
        <v>3</v>
      </c>
      <c r="G1467" s="5">
        <v>1430</v>
      </c>
      <c r="H1467" s="5">
        <v>13.2</v>
      </c>
      <c r="I1467" s="5">
        <v>3723.72</v>
      </c>
      <c r="J1467" s="3" t="s">
        <v>26</v>
      </c>
      <c r="K1467" s="3" t="s">
        <v>33</v>
      </c>
      <c r="L1467" t="str">
        <f>IFERROR(VLOOKUP(D1467,Products!$A$2:$F$61,3,FALSE()),"")</f>
        <v>Electronics</v>
      </c>
      <c r="M1467" t="str">
        <f>IFERROR(VLOOKUP(E1467,Sales_Reps!$A$2:$C$31,3,FALSE()),"")</f>
        <v>North</v>
      </c>
      <c r="N1467">
        <f>IFERROR(VLOOKUP(D1467,Products!$A$2:$F$61,4,FALSE()),"")</f>
        <v>861</v>
      </c>
      <c r="O1467" t="str">
        <f>IFERROR(VLOOKUP(C1467,Customers!$A$2:$F$301,5,FALSE()),"")</f>
        <v>SMB</v>
      </c>
      <c r="P1467">
        <f>IFERROR(VLOOKUP(C1467,Customers!$A$2:$F$301,3,FALSE()),"")</f>
        <v>52</v>
      </c>
      <c r="Q1467">
        <f t="shared" si="66"/>
        <v>0.39790209790209791</v>
      </c>
      <c r="R1467">
        <f>IF(AND(COUNTIF($A$2:$A$2027,A1467)&gt;1,COUNTIF($A$2:A1467,A1467)=1),1,0)</f>
        <v>0</v>
      </c>
      <c r="S1467" t="b">
        <f>IFERROR(VLOOKUP(D1467,Products!$A$2:$F$61,6,FALSE()),"")</f>
        <v>1</v>
      </c>
      <c r="T1467" t="str">
        <f>IF(COUNTIF(Customers!$A$2:$A$301,C1467)=0,"Missing","OK")</f>
        <v>OK</v>
      </c>
      <c r="U1467" t="str">
        <f t="shared" si="67"/>
        <v>Chennai</v>
      </c>
      <c r="V1467">
        <f t="shared" si="68"/>
        <v>0</v>
      </c>
    </row>
    <row r="1468" spans="1:22" ht="15" customHeight="1" x14ac:dyDescent="0.35">
      <c r="A1468" s="3" t="s">
        <v>1897</v>
      </c>
      <c r="B1468" s="4">
        <v>45413</v>
      </c>
      <c r="C1468" s="3" t="s">
        <v>129</v>
      </c>
      <c r="D1468" s="3" t="s">
        <v>180</v>
      </c>
      <c r="E1468" s="3" t="s">
        <v>242</v>
      </c>
      <c r="F1468" s="5">
        <v>2</v>
      </c>
      <c r="G1468" s="5">
        <v>6080</v>
      </c>
      <c r="H1468" s="5">
        <v>21.8</v>
      </c>
      <c r="I1468" s="5">
        <v>9509.1200000000008</v>
      </c>
      <c r="J1468" s="3" t="s">
        <v>79</v>
      </c>
      <c r="K1468" s="3" t="s">
        <v>72</v>
      </c>
      <c r="L1468" t="str">
        <f>IFERROR(VLOOKUP(D1468,Products!$A$2:$F$61,3,FALSE()),"")</f>
        <v>Beauty</v>
      </c>
      <c r="M1468" t="str">
        <f>IFERROR(VLOOKUP(E1468,Sales_Reps!$A$2:$C$31,3,FALSE()),"")</f>
        <v>East</v>
      </c>
      <c r="N1468">
        <f>IFERROR(VLOOKUP(D1468,Products!$A$2:$F$61,4,FALSE()),"")</f>
        <v>2617</v>
      </c>
      <c r="O1468" t="str">
        <f>IFERROR(VLOOKUP(C1468,Customers!$A$2:$F$301,5,FALSE()),"")</f>
        <v>Corporate</v>
      </c>
      <c r="P1468">
        <f>IFERROR(VLOOKUP(C1468,Customers!$A$2:$F$301,3,FALSE()),"")</f>
        <v>56</v>
      </c>
      <c r="Q1468">
        <f t="shared" si="66"/>
        <v>0.56957236842105263</v>
      </c>
      <c r="R1468">
        <f>IF(AND(COUNTIF($A$2:$A$2027,A1468)&gt;1,COUNTIF($A$2:A1468,A1468)=1),1,0)</f>
        <v>0</v>
      </c>
      <c r="S1468" t="b">
        <f>IFERROR(VLOOKUP(D1468,Products!$A$2:$F$61,6,FALSE()),"")</f>
        <v>1</v>
      </c>
      <c r="T1468" t="str">
        <f>IF(COUNTIF(Customers!$A$2:$A$301,C1468)=0,"Missing","OK")</f>
        <v>OK</v>
      </c>
      <c r="U1468" t="str">
        <f t="shared" si="67"/>
        <v>Hyderabad</v>
      </c>
      <c r="V1468">
        <f t="shared" si="68"/>
        <v>0</v>
      </c>
    </row>
    <row r="1469" spans="1:22" ht="15" customHeight="1" x14ac:dyDescent="0.35">
      <c r="A1469" s="3" t="s">
        <v>1898</v>
      </c>
      <c r="B1469" s="4">
        <v>45343</v>
      </c>
      <c r="C1469" s="3" t="s">
        <v>619</v>
      </c>
      <c r="D1469" s="3" t="s">
        <v>130</v>
      </c>
      <c r="E1469" s="3" t="s">
        <v>127</v>
      </c>
      <c r="F1469" s="5">
        <v>9</v>
      </c>
      <c r="G1469" s="5">
        <v>5100</v>
      </c>
      <c r="H1469" s="5">
        <v>29.3</v>
      </c>
      <c r="I1469" s="5">
        <v>32451.3</v>
      </c>
      <c r="J1469" s="3" t="s">
        <v>26</v>
      </c>
      <c r="K1469" s="3" t="s">
        <v>33</v>
      </c>
      <c r="L1469" t="str">
        <f>IFERROR(VLOOKUP(D1469,Products!$A$2:$F$61,3,FALSE()),"")</f>
        <v>Beauty</v>
      </c>
      <c r="M1469" t="str">
        <f>IFERROR(VLOOKUP(E1469,Sales_Reps!$A$2:$C$31,3,FALSE()),"")</f>
        <v>South</v>
      </c>
      <c r="N1469">
        <f>IFERROR(VLOOKUP(D1469,Products!$A$2:$F$61,4,FALSE()),"")</f>
        <v>2237</v>
      </c>
      <c r="O1469" t="str">
        <f>IFERROR(VLOOKUP(C1469,Customers!$A$2:$F$301,5,FALSE()),"")</f>
        <v>Retail</v>
      </c>
      <c r="P1469">
        <f>IFERROR(VLOOKUP(C1469,Customers!$A$2:$F$301,3,FALSE()),"")</f>
        <v>26</v>
      </c>
      <c r="Q1469">
        <f t="shared" si="66"/>
        <v>0.56137254901960787</v>
      </c>
      <c r="R1469">
        <f>IF(AND(COUNTIF($A$2:$A$2027,A1469)&gt;1,COUNTIF($A$2:A1469,A1469)=1),1,0)</f>
        <v>0</v>
      </c>
      <c r="S1469" t="b">
        <f>IFERROR(VLOOKUP(D1469,Products!$A$2:$F$61,6,FALSE()),"")</f>
        <v>1</v>
      </c>
      <c r="T1469" t="str">
        <f>IF(COUNTIF(Customers!$A$2:$A$301,C1469)=0,"Missing","OK")</f>
        <v>OK</v>
      </c>
      <c r="U1469" t="str">
        <f t="shared" si="67"/>
        <v>Chennai</v>
      </c>
      <c r="V1469">
        <f t="shared" si="68"/>
        <v>0</v>
      </c>
    </row>
    <row r="1470" spans="1:22" ht="15" customHeight="1" x14ac:dyDescent="0.35">
      <c r="A1470" s="3" t="s">
        <v>1899</v>
      </c>
      <c r="B1470" s="4">
        <v>45424</v>
      </c>
      <c r="C1470" s="3" t="s">
        <v>844</v>
      </c>
      <c r="D1470" s="3" t="s">
        <v>391</v>
      </c>
      <c r="E1470" s="3" t="s">
        <v>37</v>
      </c>
      <c r="F1470" s="5">
        <v>5</v>
      </c>
      <c r="G1470" s="5">
        <v>3450</v>
      </c>
      <c r="H1470" s="5">
        <v>5.3</v>
      </c>
      <c r="I1470" s="5">
        <v>16335.75</v>
      </c>
      <c r="J1470" s="3" t="s">
        <v>26</v>
      </c>
      <c r="K1470" s="3" t="s">
        <v>51</v>
      </c>
      <c r="L1470" t="str">
        <f>IFERROR(VLOOKUP(D1470,Products!$A$2:$F$61,3,FALSE()),"")</f>
        <v>Apparel</v>
      </c>
      <c r="M1470" t="str">
        <f>IFERROR(VLOOKUP(E1470,Sales_Reps!$A$2:$C$31,3,FALSE()),"")</f>
        <v>South</v>
      </c>
      <c r="N1470">
        <f>IFERROR(VLOOKUP(D1470,Products!$A$2:$F$61,4,FALSE()),"")</f>
        <v>1748</v>
      </c>
      <c r="O1470" t="str">
        <f>IFERROR(VLOOKUP(C1470,Customers!$A$2:$F$301,5,FALSE()),"")</f>
        <v>SMB</v>
      </c>
      <c r="P1470">
        <f>IFERROR(VLOOKUP(C1470,Customers!$A$2:$F$301,3,FALSE()),"")</f>
        <v>43</v>
      </c>
      <c r="Q1470">
        <f t="shared" si="66"/>
        <v>0.49333333333333335</v>
      </c>
      <c r="R1470">
        <f>IF(AND(COUNTIF($A$2:$A$2027,A1470)&gt;1,COUNTIF($A$2:A1470,A1470)=1),1,0)</f>
        <v>0</v>
      </c>
      <c r="S1470" t="b">
        <f>IFERROR(VLOOKUP(D1470,Products!$A$2:$F$61,6,FALSE()),"")</f>
        <v>1</v>
      </c>
      <c r="T1470" t="str">
        <f>IF(COUNTIF(Customers!$A$2:$A$301,C1470)=0,"Missing","OK")</f>
        <v>OK</v>
      </c>
      <c r="U1470" t="str">
        <f t="shared" si="67"/>
        <v>Mumbai</v>
      </c>
      <c r="V1470">
        <f t="shared" si="68"/>
        <v>0</v>
      </c>
    </row>
    <row r="1471" spans="1:22" ht="15" customHeight="1" x14ac:dyDescent="0.35">
      <c r="A1471" s="3" t="s">
        <v>1900</v>
      </c>
      <c r="B1471" s="4">
        <v>45632</v>
      </c>
      <c r="C1471" s="3" t="s">
        <v>327</v>
      </c>
      <c r="D1471" s="3" t="s">
        <v>126</v>
      </c>
      <c r="E1471" s="3" t="s">
        <v>236</v>
      </c>
      <c r="F1471" s="5">
        <v>6</v>
      </c>
      <c r="G1471" s="5">
        <v>3570</v>
      </c>
      <c r="H1471" s="5">
        <v>17.3</v>
      </c>
      <c r="I1471" s="5">
        <v>17714.34</v>
      </c>
      <c r="J1471" s="3" t="s">
        <v>26</v>
      </c>
      <c r="K1471" s="3" t="s">
        <v>72</v>
      </c>
      <c r="L1471" t="str">
        <f>IFERROR(VLOOKUP(D1471,Products!$A$2:$F$61,3,FALSE()),"")</f>
        <v>Electronics</v>
      </c>
      <c r="M1471" t="str">
        <f>IFERROR(VLOOKUP(E1471,Sales_Reps!$A$2:$C$31,3,FALSE()),"")</f>
        <v>North</v>
      </c>
      <c r="N1471">
        <f>IFERROR(VLOOKUP(D1471,Products!$A$2:$F$61,4,FALSE()),"")</f>
        <v>1665</v>
      </c>
      <c r="O1471" t="str">
        <f>IFERROR(VLOOKUP(C1471,Customers!$A$2:$F$301,5,FALSE()),"")</f>
        <v>Retail</v>
      </c>
      <c r="P1471">
        <f>IFERROR(VLOOKUP(C1471,Customers!$A$2:$F$301,3,FALSE()),"")</f>
        <v>44</v>
      </c>
      <c r="Q1471">
        <f t="shared" si="66"/>
        <v>0.53361344537815125</v>
      </c>
      <c r="R1471">
        <f>IF(AND(COUNTIF($A$2:$A$2027,A1471)&gt;1,COUNTIF($A$2:A1471,A1471)=1),1,0)</f>
        <v>0</v>
      </c>
      <c r="S1471" t="b">
        <f>IFERROR(VLOOKUP(D1471,Products!$A$2:$F$61,6,FALSE()),"")</f>
        <v>1</v>
      </c>
      <c r="T1471" t="str">
        <f>IF(COUNTIF(Customers!$A$2:$A$301,C1471)=0,"Missing","OK")</f>
        <v>OK</v>
      </c>
      <c r="U1471" t="str">
        <f t="shared" si="67"/>
        <v>Hyderabad</v>
      </c>
      <c r="V1471">
        <f t="shared" si="68"/>
        <v>0</v>
      </c>
    </row>
    <row r="1472" spans="1:22" ht="15" customHeight="1" x14ac:dyDescent="0.35">
      <c r="A1472" s="3" t="s">
        <v>1901</v>
      </c>
      <c r="B1472" s="4">
        <v>45444</v>
      </c>
      <c r="C1472" s="3" t="s">
        <v>228</v>
      </c>
      <c r="D1472" s="3" t="s">
        <v>165</v>
      </c>
      <c r="E1472" s="3" t="s">
        <v>242</v>
      </c>
      <c r="F1472" s="5">
        <v>6</v>
      </c>
      <c r="G1472" s="5">
        <v>3730</v>
      </c>
      <c r="H1472" s="5">
        <v>1</v>
      </c>
      <c r="I1472" s="5">
        <v>22156.2</v>
      </c>
      <c r="J1472" s="3" t="s">
        <v>26</v>
      </c>
      <c r="K1472" s="3" t="s">
        <v>33</v>
      </c>
      <c r="L1472" t="str">
        <f>IFERROR(VLOOKUP(D1472,Products!$A$2:$F$61,3,FALSE()),"")</f>
        <v>Home</v>
      </c>
      <c r="M1472" t="str">
        <f>IFERROR(VLOOKUP(E1472,Sales_Reps!$A$2:$C$31,3,FALSE()),"")</f>
        <v>East</v>
      </c>
      <c r="N1472">
        <f>IFERROR(VLOOKUP(D1472,Products!$A$2:$F$61,4,FALSE()),"")</f>
        <v>2135</v>
      </c>
      <c r="O1472" t="str">
        <f>IFERROR(VLOOKUP(C1472,Customers!$A$2:$F$301,5,FALSE()),"")</f>
        <v>Retail</v>
      </c>
      <c r="P1472">
        <f>IFERROR(VLOOKUP(C1472,Customers!$A$2:$F$301,3,FALSE()),"")</f>
        <v>38</v>
      </c>
      <c r="Q1472">
        <f t="shared" si="66"/>
        <v>0.42761394101876676</v>
      </c>
      <c r="R1472">
        <f>IF(AND(COUNTIF($A$2:$A$2027,A1472)&gt;1,COUNTIF($A$2:A1472,A1472)=1),1,0)</f>
        <v>0</v>
      </c>
      <c r="S1472" t="b">
        <f>IFERROR(VLOOKUP(D1472,Products!$A$2:$F$61,6,FALSE()),"")</f>
        <v>1</v>
      </c>
      <c r="T1472" t="str">
        <f>IF(COUNTIF(Customers!$A$2:$A$301,C1472)=0,"Missing","OK")</f>
        <v>OK</v>
      </c>
      <c r="U1472" t="str">
        <f t="shared" si="67"/>
        <v>Chennai</v>
      </c>
      <c r="V1472">
        <f t="shared" si="68"/>
        <v>0</v>
      </c>
    </row>
    <row r="1473" spans="1:22" ht="15" customHeight="1" x14ac:dyDescent="0.35">
      <c r="A1473" s="3" t="s">
        <v>1902</v>
      </c>
      <c r="B1473" s="4">
        <v>45545</v>
      </c>
      <c r="C1473" s="3" t="s">
        <v>977</v>
      </c>
      <c r="D1473" s="3" t="s">
        <v>400</v>
      </c>
      <c r="E1473" s="3" t="s">
        <v>60</v>
      </c>
      <c r="F1473" s="5">
        <v>4</v>
      </c>
      <c r="G1473" s="5">
        <v>3780</v>
      </c>
      <c r="H1473" s="5">
        <v>13.1</v>
      </c>
      <c r="I1473" s="5">
        <v>13139.28</v>
      </c>
      <c r="J1473" s="3" t="s">
        <v>26</v>
      </c>
      <c r="K1473" s="3" t="s">
        <v>56</v>
      </c>
      <c r="L1473" t="str">
        <f>IFERROR(VLOOKUP(D1473,Products!$A$2:$F$61,3,FALSE()),"")</f>
        <v>Sports</v>
      </c>
      <c r="M1473" t="str">
        <f>IFERROR(VLOOKUP(E1473,Sales_Reps!$A$2:$C$31,3,FALSE()),"")</f>
        <v>East</v>
      </c>
      <c r="N1473">
        <f>IFERROR(VLOOKUP(D1473,Products!$A$2:$F$61,4,FALSE()),"")</f>
        <v>1860</v>
      </c>
      <c r="O1473" t="str">
        <f>IFERROR(VLOOKUP(C1473,Customers!$A$2:$F$301,5,FALSE()),"")</f>
        <v>Corporate</v>
      </c>
      <c r="P1473">
        <f>IFERROR(VLOOKUP(C1473,Customers!$A$2:$F$301,3,FALSE()),"")</f>
        <v>55</v>
      </c>
      <c r="Q1473">
        <f t="shared" si="66"/>
        <v>0.50793650793650791</v>
      </c>
      <c r="R1473">
        <f>IF(AND(COUNTIF($A$2:$A$2027,A1473)&gt;1,COUNTIF($A$2:A1473,A1473)=1),1,0)</f>
        <v>0</v>
      </c>
      <c r="S1473" t="b">
        <f>IFERROR(VLOOKUP(D1473,Products!$A$2:$F$61,6,FALSE()),"")</f>
        <v>1</v>
      </c>
      <c r="T1473" t="str">
        <f>IF(COUNTIF(Customers!$A$2:$A$301,C1473)=0,"Missing","OK")</f>
        <v>OK</v>
      </c>
      <c r="U1473" t="str">
        <f t="shared" si="67"/>
        <v>Bengaluru</v>
      </c>
      <c r="V1473">
        <f t="shared" si="68"/>
        <v>0</v>
      </c>
    </row>
    <row r="1474" spans="1:22" ht="15" customHeight="1" x14ac:dyDescent="0.35">
      <c r="A1474" s="3" t="s">
        <v>1903</v>
      </c>
      <c r="B1474" s="4">
        <v>45511</v>
      </c>
      <c r="C1474" s="3" t="s">
        <v>549</v>
      </c>
      <c r="D1474" s="3" t="s">
        <v>294</v>
      </c>
      <c r="E1474" s="3" t="s">
        <v>212</v>
      </c>
      <c r="F1474" s="5">
        <v>1</v>
      </c>
      <c r="G1474" s="5">
        <v>2510</v>
      </c>
      <c r="H1474" s="5">
        <v>27.8</v>
      </c>
      <c r="I1474" s="5">
        <v>1812.22</v>
      </c>
      <c r="J1474" s="3" t="s">
        <v>79</v>
      </c>
      <c r="K1474" s="3" t="s">
        <v>56</v>
      </c>
      <c r="L1474" t="str">
        <f>IFERROR(VLOOKUP(D1474,Products!$A$2:$F$61,3,FALSE()),"")</f>
        <v>Apparel</v>
      </c>
      <c r="M1474" t="str">
        <f>IFERROR(VLOOKUP(E1474,Sales_Reps!$A$2:$C$31,3,FALSE()),"")</f>
        <v>South</v>
      </c>
      <c r="N1474">
        <f>IFERROR(VLOOKUP(D1474,Products!$A$2:$F$61,4,FALSE()),"")</f>
        <v>1075</v>
      </c>
      <c r="O1474" t="str">
        <f>IFERROR(VLOOKUP(C1474,Customers!$A$2:$F$301,5,FALSE()),"")</f>
        <v>SMB</v>
      </c>
      <c r="P1474">
        <f>IFERROR(VLOOKUP(C1474,Customers!$A$2:$F$301,3,FALSE()),"")</f>
        <v>42</v>
      </c>
      <c r="Q1474">
        <f t="shared" ref="Q1474:Q1537" si="69">IFERROR((G1474-N1474)/G1474,"")</f>
        <v>0.57171314741035861</v>
      </c>
      <c r="R1474">
        <f>IF(AND(COUNTIF($A$2:$A$2027,A1474)&gt;1,COUNTIF($A$2:A1474,A1474)=1),1,0)</f>
        <v>0</v>
      </c>
      <c r="S1474" t="b">
        <f>IFERROR(VLOOKUP(D1474,Products!$A$2:$F$61,6,FALSE()),"")</f>
        <v>0</v>
      </c>
      <c r="T1474" t="str">
        <f>IF(COUNTIF(Customers!$A$2:$A$301,C1474)=0,"Missing","OK")</f>
        <v>OK</v>
      </c>
      <c r="U1474" t="str">
        <f t="shared" ref="U1474:U1537" si="70">IF(K1474="","",PROPER(TRIM(K1474)))</f>
        <v>Bengaluru</v>
      </c>
      <c r="V1474">
        <f t="shared" ref="V1474:V1537" si="71">IF(AND(U1474="Bengaluru",L1474="Grocery"),I1474,0)</f>
        <v>0</v>
      </c>
    </row>
    <row r="1475" spans="1:22" ht="15" customHeight="1" x14ac:dyDescent="0.35">
      <c r="A1475" s="3" t="s">
        <v>1904</v>
      </c>
      <c r="B1475" s="4">
        <v>45577</v>
      </c>
      <c r="C1475" s="3" t="s">
        <v>736</v>
      </c>
      <c r="D1475" s="3" t="s">
        <v>142</v>
      </c>
      <c r="E1475" s="3" t="s">
        <v>25</v>
      </c>
      <c r="F1475" s="5">
        <v>9</v>
      </c>
      <c r="G1475" s="5">
        <v>660</v>
      </c>
      <c r="H1475" s="5">
        <v>29.3</v>
      </c>
      <c r="I1475" s="5">
        <v>4199.58</v>
      </c>
      <c r="J1475" s="3" t="s">
        <v>26</v>
      </c>
      <c r="K1475" s="3" t="s">
        <v>38</v>
      </c>
      <c r="L1475" t="str">
        <f>IFERROR(VLOOKUP(D1475,Products!$A$2:$F$61,3,FALSE()),"")</f>
        <v>Home</v>
      </c>
      <c r="M1475" t="str">
        <f>IFERROR(VLOOKUP(E1475,Sales_Reps!$A$2:$C$31,3,FALSE()),"")</f>
        <v>North</v>
      </c>
      <c r="N1475">
        <f>IFERROR(VLOOKUP(D1475,Products!$A$2:$F$61,4,FALSE()),"")</f>
        <v>329</v>
      </c>
      <c r="O1475" t="str">
        <f>IFERROR(VLOOKUP(C1475,Customers!$A$2:$F$301,5,FALSE()),"")</f>
        <v>Retail</v>
      </c>
      <c r="P1475">
        <f>IFERROR(VLOOKUP(C1475,Customers!$A$2:$F$301,3,FALSE()),"")</f>
        <v>63</v>
      </c>
      <c r="Q1475">
        <f t="shared" si="69"/>
        <v>0.50151515151515147</v>
      </c>
      <c r="R1475">
        <f>IF(AND(COUNTIF($A$2:$A$2027,A1475)&gt;1,COUNTIF($A$2:A1475,A1475)=1),1,0)</f>
        <v>0</v>
      </c>
      <c r="S1475" t="b">
        <f>IFERROR(VLOOKUP(D1475,Products!$A$2:$F$61,6,FALSE()),"")</f>
        <v>1</v>
      </c>
      <c r="T1475" t="str">
        <f>IF(COUNTIF(Customers!$A$2:$A$301,C1475)=0,"Missing","OK")</f>
        <v>OK</v>
      </c>
      <c r="U1475" t="str">
        <f t="shared" si="70"/>
        <v>Delhi</v>
      </c>
      <c r="V1475">
        <f t="shared" si="71"/>
        <v>0</v>
      </c>
    </row>
    <row r="1476" spans="1:22" ht="15" customHeight="1" x14ac:dyDescent="0.35">
      <c r="A1476" s="3" t="s">
        <v>1905</v>
      </c>
      <c r="B1476" s="4">
        <v>45507</v>
      </c>
      <c r="C1476" s="3" t="s">
        <v>975</v>
      </c>
      <c r="D1476" s="3" t="s">
        <v>176</v>
      </c>
      <c r="E1476" s="3" t="s">
        <v>109</v>
      </c>
      <c r="F1476" s="5">
        <v>7</v>
      </c>
      <c r="G1476" s="5">
        <v>3640</v>
      </c>
      <c r="H1476" s="5">
        <v>11.6</v>
      </c>
      <c r="I1476" s="5">
        <v>22524.32</v>
      </c>
      <c r="J1476" s="3" t="s">
        <v>26</v>
      </c>
      <c r="K1476" s="3" t="s">
        <v>51</v>
      </c>
      <c r="L1476" t="str">
        <f>IFERROR(VLOOKUP(D1476,Products!$A$2:$F$61,3,FALSE()),"")</f>
        <v>Apparel</v>
      </c>
      <c r="M1476" t="str">
        <f>IFERROR(VLOOKUP(E1476,Sales_Reps!$A$2:$C$31,3,FALSE()),"")</f>
        <v>West</v>
      </c>
      <c r="N1476">
        <f>IFERROR(VLOOKUP(D1476,Products!$A$2:$F$61,4,FALSE()),"")</f>
        <v>2611</v>
      </c>
      <c r="O1476" t="str">
        <f>IFERROR(VLOOKUP(C1476,Customers!$A$2:$F$301,5,FALSE()),"")</f>
        <v>Retail</v>
      </c>
      <c r="P1476">
        <f>IFERROR(VLOOKUP(C1476,Customers!$A$2:$F$301,3,FALSE()),"")</f>
        <v>33</v>
      </c>
      <c r="Q1476">
        <f t="shared" si="69"/>
        <v>0.28269230769230769</v>
      </c>
      <c r="R1476">
        <f>IF(AND(COUNTIF($A$2:$A$2027,A1476)&gt;1,COUNTIF($A$2:A1476,A1476)=1),1,0)</f>
        <v>0</v>
      </c>
      <c r="S1476" t="b">
        <f>IFERROR(VLOOKUP(D1476,Products!$A$2:$F$61,6,FALSE()),"")</f>
        <v>1</v>
      </c>
      <c r="T1476" t="str">
        <f>IF(COUNTIF(Customers!$A$2:$A$301,C1476)=0,"Missing","OK")</f>
        <v>OK</v>
      </c>
      <c r="U1476" t="str">
        <f t="shared" si="70"/>
        <v>Mumbai</v>
      </c>
      <c r="V1476">
        <f t="shared" si="71"/>
        <v>0</v>
      </c>
    </row>
    <row r="1477" spans="1:22" ht="15" customHeight="1" x14ac:dyDescent="0.35">
      <c r="A1477" s="3" t="s">
        <v>1906</v>
      </c>
      <c r="B1477" s="4">
        <v>45415</v>
      </c>
      <c r="C1477" s="3" t="s">
        <v>925</v>
      </c>
      <c r="D1477" s="3" t="s">
        <v>299</v>
      </c>
      <c r="E1477" s="3" t="s">
        <v>60</v>
      </c>
      <c r="F1477" s="5">
        <v>8</v>
      </c>
      <c r="G1477" s="5">
        <v>5410</v>
      </c>
      <c r="H1477" s="5">
        <v>25.6</v>
      </c>
      <c r="I1477" s="5">
        <v>32200.32</v>
      </c>
      <c r="J1477" s="3" t="s">
        <v>26</v>
      </c>
      <c r="K1477" s="3" t="s">
        <v>33</v>
      </c>
      <c r="L1477" t="str">
        <f>IFERROR(VLOOKUP(D1477,Products!$A$2:$F$61,3,FALSE()),"")</f>
        <v>Sports</v>
      </c>
      <c r="M1477" t="str">
        <f>IFERROR(VLOOKUP(E1477,Sales_Reps!$A$2:$C$31,3,FALSE()),"")</f>
        <v>East</v>
      </c>
      <c r="N1477">
        <f>IFERROR(VLOOKUP(D1477,Products!$A$2:$F$61,4,FALSE()),"")</f>
        <v>2265</v>
      </c>
      <c r="O1477" t="str">
        <f>IFERROR(VLOOKUP(C1477,Customers!$A$2:$F$301,5,FALSE()),"")</f>
        <v>Corporate</v>
      </c>
      <c r="P1477">
        <f>IFERROR(VLOOKUP(C1477,Customers!$A$2:$F$301,3,FALSE()),"")</f>
        <v>52</v>
      </c>
      <c r="Q1477">
        <f t="shared" si="69"/>
        <v>0.58133086876155271</v>
      </c>
      <c r="R1477">
        <f>IF(AND(COUNTIF($A$2:$A$2027,A1477)&gt;1,COUNTIF($A$2:A1477,A1477)=1),1,0)</f>
        <v>0</v>
      </c>
      <c r="S1477" t="b">
        <f>IFERROR(VLOOKUP(D1477,Products!$A$2:$F$61,6,FALSE()),"")</f>
        <v>1</v>
      </c>
      <c r="T1477" t="str">
        <f>IF(COUNTIF(Customers!$A$2:$A$301,C1477)=0,"Missing","OK")</f>
        <v>OK</v>
      </c>
      <c r="U1477" t="str">
        <f t="shared" si="70"/>
        <v>Chennai</v>
      </c>
      <c r="V1477">
        <f t="shared" si="71"/>
        <v>0</v>
      </c>
    </row>
    <row r="1478" spans="1:22" ht="15" customHeight="1" x14ac:dyDescent="0.35">
      <c r="A1478" s="3" t="s">
        <v>1907</v>
      </c>
      <c r="B1478" s="4">
        <v>45342</v>
      </c>
      <c r="C1478" s="3" t="s">
        <v>909</v>
      </c>
      <c r="D1478" s="3" t="s">
        <v>90</v>
      </c>
      <c r="E1478" s="3" t="s">
        <v>46</v>
      </c>
      <c r="F1478" s="5">
        <v>4</v>
      </c>
      <c r="G1478" s="5">
        <v>2400</v>
      </c>
      <c r="H1478" s="5">
        <v>10.4</v>
      </c>
      <c r="I1478" s="5">
        <v>8601.6</v>
      </c>
      <c r="J1478" s="3" t="s">
        <v>26</v>
      </c>
      <c r="K1478" s="3" t="s">
        <v>51</v>
      </c>
      <c r="L1478" t="str">
        <f>IFERROR(VLOOKUP(D1478,Products!$A$2:$F$61,3,FALSE()),"")</f>
        <v>Sports</v>
      </c>
      <c r="M1478" t="str">
        <f>IFERROR(VLOOKUP(E1478,Sales_Reps!$A$2:$C$31,3,FALSE()),"")</f>
        <v>North</v>
      </c>
      <c r="N1478">
        <f>IFERROR(VLOOKUP(D1478,Products!$A$2:$F$61,4,FALSE()),"")</f>
        <v>974</v>
      </c>
      <c r="O1478" t="str">
        <f>IFERROR(VLOOKUP(C1478,Customers!$A$2:$F$301,5,FALSE()),"")</f>
        <v>Retail</v>
      </c>
      <c r="P1478">
        <f>IFERROR(VLOOKUP(C1478,Customers!$A$2:$F$301,3,FALSE()),"")</f>
        <v>40</v>
      </c>
      <c r="Q1478">
        <f t="shared" si="69"/>
        <v>0.59416666666666662</v>
      </c>
      <c r="R1478">
        <f>IF(AND(COUNTIF($A$2:$A$2027,A1478)&gt;1,COUNTIF($A$2:A1478,A1478)=1),1,0)</f>
        <v>0</v>
      </c>
      <c r="S1478" t="b">
        <f>IFERROR(VLOOKUP(D1478,Products!$A$2:$F$61,6,FALSE()),"")</f>
        <v>1</v>
      </c>
      <c r="T1478" t="str">
        <f>IF(COUNTIF(Customers!$A$2:$A$301,C1478)=0,"Missing","OK")</f>
        <v>OK</v>
      </c>
      <c r="U1478" t="str">
        <f t="shared" si="70"/>
        <v>Mumbai</v>
      </c>
      <c r="V1478">
        <f t="shared" si="71"/>
        <v>0</v>
      </c>
    </row>
    <row r="1479" spans="1:22" ht="15" customHeight="1" x14ac:dyDescent="0.35">
      <c r="A1479" s="3" t="s">
        <v>1908</v>
      </c>
      <c r="B1479" s="4">
        <v>45333</v>
      </c>
      <c r="C1479" s="3" t="s">
        <v>411</v>
      </c>
      <c r="D1479" s="3" t="s">
        <v>63</v>
      </c>
      <c r="E1479" s="3" t="s">
        <v>67</v>
      </c>
      <c r="F1479" s="5">
        <v>2</v>
      </c>
      <c r="G1479" s="5">
        <v>5490</v>
      </c>
      <c r="H1479" s="5">
        <v>5.4</v>
      </c>
      <c r="I1479" s="5">
        <v>10387.08</v>
      </c>
      <c r="J1479" s="3" t="s">
        <v>26</v>
      </c>
      <c r="K1479" s="3" t="s">
        <v>33</v>
      </c>
      <c r="L1479" t="str">
        <f>IFERROR(VLOOKUP(D1479,Products!$A$2:$F$61,3,FALSE()),"")</f>
        <v>Home</v>
      </c>
      <c r="M1479" t="str">
        <f>IFERROR(VLOOKUP(E1479,Sales_Reps!$A$2:$C$31,3,FALSE()),"")</f>
        <v>West</v>
      </c>
      <c r="N1479">
        <f>IFERROR(VLOOKUP(D1479,Products!$A$2:$F$61,4,FALSE()),"")</f>
        <v>2549</v>
      </c>
      <c r="O1479" t="str">
        <f>IFERROR(VLOOKUP(C1479,Customers!$A$2:$F$301,5,FALSE()),"")</f>
        <v>Corporate</v>
      </c>
      <c r="P1479">
        <f>IFERROR(VLOOKUP(C1479,Customers!$A$2:$F$301,3,FALSE()),"")</f>
        <v>35</v>
      </c>
      <c r="Q1479">
        <f t="shared" si="69"/>
        <v>0.53570127504553733</v>
      </c>
      <c r="R1479">
        <f>IF(AND(COUNTIF($A$2:$A$2027,A1479)&gt;1,COUNTIF($A$2:A1479,A1479)=1),1,0)</f>
        <v>0</v>
      </c>
      <c r="S1479" t="b">
        <f>IFERROR(VLOOKUP(D1479,Products!$A$2:$F$61,6,FALSE()),"")</f>
        <v>1</v>
      </c>
      <c r="T1479" t="str">
        <f>IF(COUNTIF(Customers!$A$2:$A$301,C1479)=0,"Missing","OK")</f>
        <v>OK</v>
      </c>
      <c r="U1479" t="str">
        <f t="shared" si="70"/>
        <v>Chennai</v>
      </c>
      <c r="V1479">
        <f t="shared" si="71"/>
        <v>0</v>
      </c>
    </row>
    <row r="1480" spans="1:22" ht="15" customHeight="1" x14ac:dyDescent="0.35">
      <c r="A1480" s="3" t="s">
        <v>1909</v>
      </c>
      <c r="B1480" s="4">
        <v>45516</v>
      </c>
      <c r="C1480" s="3" t="s">
        <v>1170</v>
      </c>
      <c r="D1480" s="3" t="s">
        <v>198</v>
      </c>
      <c r="E1480" s="3" t="s">
        <v>285</v>
      </c>
      <c r="F1480" s="5">
        <v>6</v>
      </c>
      <c r="G1480" s="5">
        <v>1540</v>
      </c>
      <c r="H1480" s="5">
        <v>0.6</v>
      </c>
      <c r="I1480" s="5">
        <v>9184.56</v>
      </c>
      <c r="J1480" s="3" t="s">
        <v>26</v>
      </c>
      <c r="K1480" s="3" t="s">
        <v>27</v>
      </c>
      <c r="L1480" t="str">
        <f>IFERROR(VLOOKUP(D1480,Products!$A$2:$F$61,3,FALSE()),"")</f>
        <v>Beauty</v>
      </c>
      <c r="M1480" t="str">
        <f>IFERROR(VLOOKUP(E1480,Sales_Reps!$A$2:$C$31,3,FALSE()),"")</f>
        <v>South</v>
      </c>
      <c r="N1480">
        <f>IFERROR(VLOOKUP(D1480,Products!$A$2:$F$61,4,FALSE()),"")</f>
        <v>647</v>
      </c>
      <c r="O1480" t="str">
        <f>IFERROR(VLOOKUP(C1480,Customers!$A$2:$F$301,5,FALSE()),"")</f>
        <v>Retail</v>
      </c>
      <c r="P1480">
        <f>IFERROR(VLOOKUP(C1480,Customers!$A$2:$F$301,3,FALSE()),"")</f>
        <v>42</v>
      </c>
      <c r="Q1480">
        <f t="shared" si="69"/>
        <v>0.57987012987012987</v>
      </c>
      <c r="R1480">
        <f>IF(AND(COUNTIF($A$2:$A$2027,A1480)&gt;1,COUNTIF($A$2:A1480,A1480)=1),1,0)</f>
        <v>0</v>
      </c>
      <c r="S1480" t="b">
        <f>IFERROR(VLOOKUP(D1480,Products!$A$2:$F$61,6,FALSE()),"")</f>
        <v>0</v>
      </c>
      <c r="T1480" t="str">
        <f>IF(COUNTIF(Customers!$A$2:$A$301,C1480)=0,"Missing","OK")</f>
        <v>OK</v>
      </c>
      <c r="U1480" t="str">
        <f t="shared" si="70"/>
        <v>Pune</v>
      </c>
      <c r="V1480">
        <f t="shared" si="71"/>
        <v>0</v>
      </c>
    </row>
    <row r="1481" spans="1:22" ht="15" customHeight="1" x14ac:dyDescent="0.35">
      <c r="A1481" s="3" t="s">
        <v>1910</v>
      </c>
      <c r="B1481" s="4">
        <v>45343</v>
      </c>
      <c r="C1481" s="3" t="s">
        <v>847</v>
      </c>
      <c r="D1481" s="3" t="s">
        <v>303</v>
      </c>
      <c r="E1481" s="3" t="s">
        <v>154</v>
      </c>
      <c r="F1481" s="5">
        <v>3</v>
      </c>
      <c r="G1481" s="5">
        <v>5330</v>
      </c>
      <c r="H1481" s="5">
        <v>1</v>
      </c>
      <c r="I1481" s="5">
        <v>15830.1</v>
      </c>
      <c r="J1481" s="3" t="s">
        <v>32</v>
      </c>
      <c r="K1481" s="3" t="s">
        <v>72</v>
      </c>
      <c r="L1481" t="str">
        <f>IFERROR(VLOOKUP(D1481,Products!$A$2:$F$61,3,FALSE()),"")</f>
        <v>Electronics</v>
      </c>
      <c r="M1481" t="str">
        <f>IFERROR(VLOOKUP(E1481,Sales_Reps!$A$2:$C$31,3,FALSE()),"")</f>
        <v>North</v>
      </c>
      <c r="N1481">
        <f>IFERROR(VLOOKUP(D1481,Products!$A$2:$F$61,4,FALSE()),"")</f>
        <v>2405</v>
      </c>
      <c r="O1481" t="str">
        <f>IFERROR(VLOOKUP(C1481,Customers!$A$2:$F$301,5,FALSE()),"")</f>
        <v>Retail</v>
      </c>
      <c r="P1481">
        <f>IFERROR(VLOOKUP(C1481,Customers!$A$2:$F$301,3,FALSE()),"")</f>
        <v>31</v>
      </c>
      <c r="Q1481">
        <f t="shared" si="69"/>
        <v>0.54878048780487809</v>
      </c>
      <c r="R1481">
        <f>IF(AND(COUNTIF($A$2:$A$2027,A1481)&gt;1,COUNTIF($A$2:A1481,A1481)=1),1,0)</f>
        <v>0</v>
      </c>
      <c r="S1481" t="b">
        <f>IFERROR(VLOOKUP(D1481,Products!$A$2:$F$61,6,FALSE()),"")</f>
        <v>1</v>
      </c>
      <c r="T1481" t="str">
        <f>IF(COUNTIF(Customers!$A$2:$A$301,C1481)=0,"Missing","OK")</f>
        <v>OK</v>
      </c>
      <c r="U1481" t="str">
        <f t="shared" si="70"/>
        <v>Hyderabad</v>
      </c>
      <c r="V1481">
        <f t="shared" si="71"/>
        <v>0</v>
      </c>
    </row>
    <row r="1482" spans="1:22" ht="15" customHeight="1" x14ac:dyDescent="0.35">
      <c r="A1482" s="3" t="s">
        <v>1911</v>
      </c>
      <c r="B1482" s="4">
        <v>45522</v>
      </c>
      <c r="C1482" s="3" t="s">
        <v>1514</v>
      </c>
      <c r="D1482" s="3" t="s">
        <v>134</v>
      </c>
      <c r="E1482" s="3" t="s">
        <v>264</v>
      </c>
      <c r="F1482" s="5">
        <v>6</v>
      </c>
      <c r="G1482" s="5">
        <v>2860</v>
      </c>
      <c r="H1482" s="5">
        <v>13.3</v>
      </c>
      <c r="I1482" s="5">
        <v>14877.72</v>
      </c>
      <c r="J1482" s="3" t="s">
        <v>26</v>
      </c>
      <c r="K1482" s="3" t="s">
        <v>72</v>
      </c>
      <c r="L1482" t="str">
        <f>IFERROR(VLOOKUP(D1482,Products!$A$2:$F$61,3,FALSE()),"")</f>
        <v>Sports</v>
      </c>
      <c r="M1482" t="str">
        <f>IFERROR(VLOOKUP(E1482,Sales_Reps!$A$2:$C$31,3,FALSE()),"")</f>
        <v>South</v>
      </c>
      <c r="N1482">
        <f>IFERROR(VLOOKUP(D1482,Products!$A$2:$F$61,4,FALSE()),"")</f>
        <v>2028</v>
      </c>
      <c r="O1482" t="str">
        <f>IFERROR(VLOOKUP(C1482,Customers!$A$2:$F$301,5,FALSE()),"")</f>
        <v>Corporate</v>
      </c>
      <c r="P1482">
        <f>IFERROR(VLOOKUP(C1482,Customers!$A$2:$F$301,3,FALSE()),"")</f>
        <v>60</v>
      </c>
      <c r="Q1482">
        <f t="shared" si="69"/>
        <v>0.29090909090909089</v>
      </c>
      <c r="R1482">
        <f>IF(AND(COUNTIF($A$2:$A$2027,A1482)&gt;1,COUNTIF($A$2:A1482,A1482)=1),1,0)</f>
        <v>0</v>
      </c>
      <c r="S1482" t="b">
        <f>IFERROR(VLOOKUP(D1482,Products!$A$2:$F$61,6,FALSE()),"")</f>
        <v>1</v>
      </c>
      <c r="T1482" t="str">
        <f>IF(COUNTIF(Customers!$A$2:$A$301,C1482)=0,"Missing","OK")</f>
        <v>OK</v>
      </c>
      <c r="U1482" t="str">
        <f t="shared" si="70"/>
        <v>Hyderabad</v>
      </c>
      <c r="V1482">
        <f t="shared" si="71"/>
        <v>0</v>
      </c>
    </row>
    <row r="1483" spans="1:22" ht="15" customHeight="1" x14ac:dyDescent="0.35">
      <c r="A1483" s="3" t="s">
        <v>1912</v>
      </c>
      <c r="B1483" s="4">
        <v>45305</v>
      </c>
      <c r="C1483" s="3" t="s">
        <v>545</v>
      </c>
      <c r="D1483" s="3" t="s">
        <v>123</v>
      </c>
      <c r="E1483" s="3" t="s">
        <v>42</v>
      </c>
      <c r="F1483" s="5">
        <v>3</v>
      </c>
      <c r="G1483" s="5">
        <v>4880</v>
      </c>
      <c r="H1483" s="5">
        <v>12.1</v>
      </c>
      <c r="I1483" s="5">
        <v>12868.56</v>
      </c>
      <c r="J1483" s="3" t="s">
        <v>26</v>
      </c>
      <c r="K1483" s="3" t="s">
        <v>51</v>
      </c>
      <c r="L1483" t="str">
        <f>IFERROR(VLOOKUP(D1483,Products!$A$2:$F$61,3,FALSE()),"")</f>
        <v>Beauty</v>
      </c>
      <c r="M1483" t="str">
        <f>IFERROR(VLOOKUP(E1483,Sales_Reps!$A$2:$C$31,3,FALSE()),"")</f>
        <v>North</v>
      </c>
      <c r="N1483">
        <f>IFERROR(VLOOKUP(D1483,Products!$A$2:$F$61,4,FALSE()),"")</f>
        <v>2768</v>
      </c>
      <c r="O1483" t="str">
        <f>IFERROR(VLOOKUP(C1483,Customers!$A$2:$F$301,5,FALSE()),"")</f>
        <v>Retail</v>
      </c>
      <c r="P1483">
        <f>IFERROR(VLOOKUP(C1483,Customers!$A$2:$F$301,3,FALSE()),"")</f>
        <v>52</v>
      </c>
      <c r="Q1483">
        <f t="shared" si="69"/>
        <v>0.43278688524590164</v>
      </c>
      <c r="R1483">
        <f>IF(AND(COUNTIF($A$2:$A$2027,A1483)&gt;1,COUNTIF($A$2:A1483,A1483)=1),1,0)</f>
        <v>0</v>
      </c>
      <c r="S1483" t="b">
        <f>IFERROR(VLOOKUP(D1483,Products!$A$2:$F$61,6,FALSE()),"")</f>
        <v>1</v>
      </c>
      <c r="T1483" t="str">
        <f>IF(COUNTIF(Customers!$A$2:$A$301,C1483)=0,"Missing","OK")</f>
        <v>OK</v>
      </c>
      <c r="U1483" t="str">
        <f t="shared" si="70"/>
        <v>Mumbai</v>
      </c>
      <c r="V1483">
        <f t="shared" si="71"/>
        <v>0</v>
      </c>
    </row>
    <row r="1484" spans="1:22" ht="15" customHeight="1" x14ac:dyDescent="0.35">
      <c r="A1484" s="3" t="s">
        <v>1913</v>
      </c>
      <c r="B1484" s="4">
        <v>45353</v>
      </c>
      <c r="C1484" s="3" t="s">
        <v>413</v>
      </c>
      <c r="D1484" s="3" t="s">
        <v>294</v>
      </c>
      <c r="E1484" s="3" t="s">
        <v>31</v>
      </c>
      <c r="F1484" s="5">
        <v>5</v>
      </c>
      <c r="G1484" s="5">
        <v>2510</v>
      </c>
      <c r="H1484" s="5">
        <v>2.9</v>
      </c>
      <c r="I1484" s="5">
        <v>12186.05</v>
      </c>
      <c r="J1484" s="3" t="s">
        <v>32</v>
      </c>
      <c r="K1484" s="3" t="s">
        <v>38</v>
      </c>
      <c r="L1484" t="str">
        <f>IFERROR(VLOOKUP(D1484,Products!$A$2:$F$61,3,FALSE()),"")</f>
        <v>Apparel</v>
      </c>
      <c r="M1484" t="str">
        <f>IFERROR(VLOOKUP(E1484,Sales_Reps!$A$2:$C$31,3,FALSE()),"")</f>
        <v>North</v>
      </c>
      <c r="N1484">
        <f>IFERROR(VLOOKUP(D1484,Products!$A$2:$F$61,4,FALSE()),"")</f>
        <v>1075</v>
      </c>
      <c r="O1484" t="str">
        <f>IFERROR(VLOOKUP(C1484,Customers!$A$2:$F$301,5,FALSE()),"")</f>
        <v>SMB</v>
      </c>
      <c r="P1484">
        <f>IFERROR(VLOOKUP(C1484,Customers!$A$2:$F$301,3,FALSE()),"")</f>
        <v>59</v>
      </c>
      <c r="Q1484">
        <f t="shared" si="69"/>
        <v>0.57171314741035861</v>
      </c>
      <c r="R1484">
        <f>IF(AND(COUNTIF($A$2:$A$2027,A1484)&gt;1,COUNTIF($A$2:A1484,A1484)=1),1,0)</f>
        <v>0</v>
      </c>
      <c r="S1484" t="b">
        <f>IFERROR(VLOOKUP(D1484,Products!$A$2:$F$61,6,FALSE()),"")</f>
        <v>0</v>
      </c>
      <c r="T1484" t="str">
        <f>IF(COUNTIF(Customers!$A$2:$A$301,C1484)=0,"Missing","OK")</f>
        <v>OK</v>
      </c>
      <c r="U1484" t="str">
        <f t="shared" si="70"/>
        <v>Delhi</v>
      </c>
      <c r="V1484">
        <f t="shared" si="71"/>
        <v>0</v>
      </c>
    </row>
    <row r="1485" spans="1:22" ht="15" customHeight="1" x14ac:dyDescent="0.35">
      <c r="A1485" s="3" t="s">
        <v>1914</v>
      </c>
      <c r="B1485" s="4">
        <v>45525</v>
      </c>
      <c r="C1485" s="3" t="s">
        <v>1915</v>
      </c>
      <c r="D1485" s="3" t="s">
        <v>347</v>
      </c>
      <c r="E1485" s="3" t="s">
        <v>131</v>
      </c>
      <c r="F1485" s="5">
        <v>9</v>
      </c>
      <c r="G1485" s="5">
        <v>3970</v>
      </c>
      <c r="H1485" s="5">
        <v>28</v>
      </c>
      <c r="I1485" s="5">
        <v>25725.599999999999</v>
      </c>
      <c r="J1485" s="3" t="s">
        <v>26</v>
      </c>
      <c r="K1485" s="3" t="s">
        <v>27</v>
      </c>
      <c r="L1485" t="str">
        <f>IFERROR(VLOOKUP(D1485,Products!$A$2:$F$61,3,FALSE()),"")</f>
        <v>Electronics</v>
      </c>
      <c r="M1485" t="str">
        <f>IFERROR(VLOOKUP(E1485,Sales_Reps!$A$2:$C$31,3,FALSE()),"")</f>
        <v>East</v>
      </c>
      <c r="N1485">
        <f>IFERROR(VLOOKUP(D1485,Products!$A$2:$F$61,4,FALSE()),"")</f>
        <v>2865</v>
      </c>
      <c r="O1485" t="str">
        <f>IFERROR(VLOOKUP(C1485,Customers!$A$2:$F$301,5,FALSE()),"")</f>
        <v/>
      </c>
      <c r="P1485" t="str">
        <f>IFERROR(VLOOKUP(C1485,Customers!$A$2:$F$301,3,FALSE()),"")</f>
        <v/>
      </c>
      <c r="Q1485">
        <f t="shared" si="69"/>
        <v>0.27833753148614609</v>
      </c>
      <c r="R1485">
        <f>IF(AND(COUNTIF($A$2:$A$2027,A1485)&gt;1,COUNTIF($A$2:A1485,A1485)=1),1,0)</f>
        <v>0</v>
      </c>
      <c r="S1485" t="b">
        <f>IFERROR(VLOOKUP(D1485,Products!$A$2:$F$61,6,FALSE()),"")</f>
        <v>1</v>
      </c>
      <c r="T1485" t="str">
        <f>IF(COUNTIF(Customers!$A$2:$A$301,C1485)=0,"Missing","OK")</f>
        <v>Missing</v>
      </c>
      <c r="U1485" t="str">
        <f t="shared" si="70"/>
        <v>Pune</v>
      </c>
      <c r="V1485">
        <f t="shared" si="71"/>
        <v>0</v>
      </c>
    </row>
    <row r="1486" spans="1:22" ht="15" customHeight="1" x14ac:dyDescent="0.35">
      <c r="A1486" s="3" t="s">
        <v>1916</v>
      </c>
      <c r="B1486" s="4">
        <v>45593</v>
      </c>
      <c r="C1486" s="3" t="s">
        <v>1156</v>
      </c>
      <c r="D1486" s="3" t="s">
        <v>36</v>
      </c>
      <c r="E1486" s="3" t="s">
        <v>282</v>
      </c>
      <c r="F1486" s="5">
        <v>4</v>
      </c>
      <c r="G1486" s="5">
        <v>470</v>
      </c>
      <c r="H1486" s="5">
        <v>19.100000000000001</v>
      </c>
      <c r="I1486" s="5">
        <v>1520.92</v>
      </c>
      <c r="J1486" s="3" t="s">
        <v>32</v>
      </c>
      <c r="K1486" s="3" t="s">
        <v>51</v>
      </c>
      <c r="L1486" t="str">
        <f>IFERROR(VLOOKUP(D1486,Products!$A$2:$F$61,3,FALSE()),"")</f>
        <v>Sports</v>
      </c>
      <c r="M1486" t="str">
        <f>IFERROR(VLOOKUP(E1486,Sales_Reps!$A$2:$C$31,3,FALSE()),"")</f>
        <v>West</v>
      </c>
      <c r="N1486">
        <f>IFERROR(VLOOKUP(D1486,Products!$A$2:$F$61,4,FALSE()),"")</f>
        <v>302</v>
      </c>
      <c r="O1486" t="str">
        <f>IFERROR(VLOOKUP(C1486,Customers!$A$2:$F$301,5,FALSE()),"")</f>
        <v>Retail</v>
      </c>
      <c r="P1486">
        <f>IFERROR(VLOOKUP(C1486,Customers!$A$2:$F$301,3,FALSE()),"")</f>
        <v>44</v>
      </c>
      <c r="Q1486">
        <f t="shared" si="69"/>
        <v>0.35744680851063831</v>
      </c>
      <c r="R1486">
        <f>IF(AND(COUNTIF($A$2:$A$2027,A1486)&gt;1,COUNTIF($A$2:A1486,A1486)=1),1,0)</f>
        <v>0</v>
      </c>
      <c r="S1486" t="b">
        <f>IFERROR(VLOOKUP(D1486,Products!$A$2:$F$61,6,FALSE()),"")</f>
        <v>0</v>
      </c>
      <c r="T1486" t="str">
        <f>IF(COUNTIF(Customers!$A$2:$A$301,C1486)=0,"Missing","OK")</f>
        <v>OK</v>
      </c>
      <c r="U1486" t="str">
        <f t="shared" si="70"/>
        <v>Mumbai</v>
      </c>
      <c r="V1486">
        <f t="shared" si="71"/>
        <v>0</v>
      </c>
    </row>
    <row r="1487" spans="1:22" ht="15" customHeight="1" x14ac:dyDescent="0.35">
      <c r="A1487" s="3" t="s">
        <v>1917</v>
      </c>
      <c r="B1487" s="4">
        <v>45550</v>
      </c>
      <c r="C1487" s="3" t="s">
        <v>238</v>
      </c>
      <c r="D1487" s="3" t="s">
        <v>303</v>
      </c>
      <c r="E1487" s="3" t="s">
        <v>50</v>
      </c>
      <c r="F1487" s="5">
        <v>7</v>
      </c>
      <c r="G1487" s="5">
        <v>5330</v>
      </c>
      <c r="H1487" s="5">
        <v>17.2</v>
      </c>
      <c r="I1487" s="5">
        <v>30892.68</v>
      </c>
      <c r="J1487" s="3" t="s">
        <v>79</v>
      </c>
      <c r="K1487" s="3" t="s">
        <v>72</v>
      </c>
      <c r="L1487" t="str">
        <f>IFERROR(VLOOKUP(D1487,Products!$A$2:$F$61,3,FALSE()),"")</f>
        <v>Electronics</v>
      </c>
      <c r="M1487" t="str">
        <f>IFERROR(VLOOKUP(E1487,Sales_Reps!$A$2:$C$31,3,FALSE()),"")</f>
        <v>West</v>
      </c>
      <c r="N1487">
        <f>IFERROR(VLOOKUP(D1487,Products!$A$2:$F$61,4,FALSE()),"")</f>
        <v>2405</v>
      </c>
      <c r="O1487" t="str">
        <f>IFERROR(VLOOKUP(C1487,Customers!$A$2:$F$301,5,FALSE()),"")</f>
        <v>Retail</v>
      </c>
      <c r="P1487">
        <f>IFERROR(VLOOKUP(C1487,Customers!$A$2:$F$301,3,FALSE()),"")</f>
        <v>29</v>
      </c>
      <c r="Q1487">
        <f t="shared" si="69"/>
        <v>0.54878048780487809</v>
      </c>
      <c r="R1487">
        <f>IF(AND(COUNTIF($A$2:$A$2027,A1487)&gt;1,COUNTIF($A$2:A1487,A1487)=1),1,0)</f>
        <v>0</v>
      </c>
      <c r="S1487" t="b">
        <f>IFERROR(VLOOKUP(D1487,Products!$A$2:$F$61,6,FALSE()),"")</f>
        <v>1</v>
      </c>
      <c r="T1487" t="str">
        <f>IF(COUNTIF(Customers!$A$2:$A$301,C1487)=0,"Missing","OK")</f>
        <v>OK</v>
      </c>
      <c r="U1487" t="str">
        <f t="shared" si="70"/>
        <v>Hyderabad</v>
      </c>
      <c r="V1487">
        <f t="shared" si="71"/>
        <v>0</v>
      </c>
    </row>
    <row r="1488" spans="1:22" ht="15" customHeight="1" x14ac:dyDescent="0.35">
      <c r="A1488" s="3" t="s">
        <v>1918</v>
      </c>
      <c r="B1488" s="4">
        <v>45511</v>
      </c>
      <c r="C1488" s="3" t="s">
        <v>92</v>
      </c>
      <c r="D1488" s="3" t="s">
        <v>441</v>
      </c>
      <c r="E1488" s="3" t="s">
        <v>264</v>
      </c>
      <c r="F1488" s="5">
        <v>4</v>
      </c>
      <c r="G1488" s="5">
        <v>1090</v>
      </c>
      <c r="H1488" s="5">
        <v>4.9000000000000004</v>
      </c>
      <c r="I1488" s="5">
        <v>4146.3599999999997</v>
      </c>
      <c r="J1488" s="3" t="s">
        <v>79</v>
      </c>
      <c r="K1488" s="3" t="s">
        <v>56</v>
      </c>
      <c r="L1488" t="str">
        <f>IFERROR(VLOOKUP(D1488,Products!$A$2:$F$61,3,FALSE()),"")</f>
        <v>Home</v>
      </c>
      <c r="M1488" t="str">
        <f>IFERROR(VLOOKUP(E1488,Sales_Reps!$A$2:$C$31,3,FALSE()),"")</f>
        <v>South</v>
      </c>
      <c r="N1488">
        <f>IFERROR(VLOOKUP(D1488,Products!$A$2:$F$61,4,FALSE()),"")</f>
        <v>464</v>
      </c>
      <c r="O1488" t="str">
        <f>IFERROR(VLOOKUP(C1488,Customers!$A$2:$F$301,5,FALSE()),"")</f>
        <v>SMB</v>
      </c>
      <c r="P1488">
        <f>IFERROR(VLOOKUP(C1488,Customers!$A$2:$F$301,3,FALSE()),"")</f>
        <v>46</v>
      </c>
      <c r="Q1488">
        <f t="shared" si="69"/>
        <v>0.57431192660550456</v>
      </c>
      <c r="R1488">
        <f>IF(AND(COUNTIF($A$2:$A$2027,A1488)&gt;1,COUNTIF($A$2:A1488,A1488)=1),1,0)</f>
        <v>0</v>
      </c>
      <c r="S1488" t="b">
        <f>IFERROR(VLOOKUP(D1488,Products!$A$2:$F$61,6,FALSE()),"")</f>
        <v>1</v>
      </c>
      <c r="T1488" t="str">
        <f>IF(COUNTIF(Customers!$A$2:$A$301,C1488)=0,"Missing","OK")</f>
        <v>OK</v>
      </c>
      <c r="U1488" t="str">
        <f t="shared" si="70"/>
        <v>Bengaluru</v>
      </c>
      <c r="V1488">
        <f t="shared" si="71"/>
        <v>0</v>
      </c>
    </row>
    <row r="1489" spans="1:22" ht="15" customHeight="1" x14ac:dyDescent="0.35">
      <c r="A1489" s="3" t="s">
        <v>1919</v>
      </c>
      <c r="B1489" s="4">
        <v>45456</v>
      </c>
      <c r="C1489" s="3" t="s">
        <v>379</v>
      </c>
      <c r="D1489" s="3" t="s">
        <v>121</v>
      </c>
      <c r="E1489" s="3" t="s">
        <v>143</v>
      </c>
      <c r="F1489" s="5">
        <v>2</v>
      </c>
      <c r="G1489" s="5">
        <v>1010</v>
      </c>
      <c r="H1489" s="5">
        <v>14</v>
      </c>
      <c r="I1489" s="5">
        <v>1737.2</v>
      </c>
      <c r="J1489" s="3" t="s">
        <v>26</v>
      </c>
      <c r="K1489" s="3" t="s">
        <v>27</v>
      </c>
      <c r="L1489" t="str">
        <f>IFERROR(VLOOKUP(D1489,Products!$A$2:$F$61,3,FALSE()),"")</f>
        <v>Sports</v>
      </c>
      <c r="M1489" t="str">
        <f>IFERROR(VLOOKUP(E1489,Sales_Reps!$A$2:$C$31,3,FALSE()),"")</f>
        <v>South</v>
      </c>
      <c r="N1489">
        <f>IFERROR(VLOOKUP(D1489,Products!$A$2:$F$61,4,FALSE()),"")</f>
        <v>516</v>
      </c>
      <c r="O1489" t="str">
        <f>IFERROR(VLOOKUP(C1489,Customers!$A$2:$F$301,5,FALSE()),"")</f>
        <v>SMB</v>
      </c>
      <c r="P1489">
        <f>IFERROR(VLOOKUP(C1489,Customers!$A$2:$F$301,3,FALSE()),"")</f>
        <v>30</v>
      </c>
      <c r="Q1489">
        <f t="shared" si="69"/>
        <v>0.4891089108910891</v>
      </c>
      <c r="R1489">
        <f>IF(AND(COUNTIF($A$2:$A$2027,A1489)&gt;1,COUNTIF($A$2:A1489,A1489)=1),1,0)</f>
        <v>0</v>
      </c>
      <c r="S1489" t="b">
        <f>IFERROR(VLOOKUP(D1489,Products!$A$2:$F$61,6,FALSE()),"")</f>
        <v>1</v>
      </c>
      <c r="T1489" t="str">
        <f>IF(COUNTIF(Customers!$A$2:$A$301,C1489)=0,"Missing","OK")</f>
        <v>OK</v>
      </c>
      <c r="U1489" t="str">
        <f t="shared" si="70"/>
        <v>Pune</v>
      </c>
      <c r="V1489">
        <f t="shared" si="71"/>
        <v>0</v>
      </c>
    </row>
    <row r="1490" spans="1:22" ht="15" customHeight="1" x14ac:dyDescent="0.35">
      <c r="A1490" s="3" t="s">
        <v>1920</v>
      </c>
      <c r="B1490" s="4">
        <v>45343</v>
      </c>
      <c r="C1490" s="3" t="s">
        <v>547</v>
      </c>
      <c r="D1490" s="3" t="s">
        <v>187</v>
      </c>
      <c r="E1490" s="3" t="s">
        <v>285</v>
      </c>
      <c r="F1490" s="5">
        <v>9</v>
      </c>
      <c r="G1490" s="5">
        <v>3870</v>
      </c>
      <c r="H1490" s="5">
        <v>8.1999999999999993</v>
      </c>
      <c r="I1490" s="5">
        <v>31973.94</v>
      </c>
      <c r="J1490" s="3" t="s">
        <v>26</v>
      </c>
      <c r="K1490" s="3" t="s">
        <v>725</v>
      </c>
      <c r="L1490" t="str">
        <f>IFERROR(VLOOKUP(D1490,Products!$A$2:$F$61,3,FALSE()),"")</f>
        <v>Electronics</v>
      </c>
      <c r="M1490" t="str">
        <f>IFERROR(VLOOKUP(E1490,Sales_Reps!$A$2:$C$31,3,FALSE()),"")</f>
        <v>South</v>
      </c>
      <c r="N1490">
        <f>IFERROR(VLOOKUP(D1490,Products!$A$2:$F$61,4,FALSE()),"")</f>
        <v>1559</v>
      </c>
      <c r="O1490" t="str">
        <f>IFERROR(VLOOKUP(C1490,Customers!$A$2:$F$301,5,FALSE()),"")</f>
        <v>Corporate</v>
      </c>
      <c r="P1490">
        <f>IFERROR(VLOOKUP(C1490,Customers!$A$2:$F$301,3,FALSE()),"")</f>
        <v>40</v>
      </c>
      <c r="Q1490">
        <f t="shared" si="69"/>
        <v>0.59715762273901807</v>
      </c>
      <c r="R1490">
        <f>IF(AND(COUNTIF($A$2:$A$2027,A1490)&gt;1,COUNTIF($A$2:A1490,A1490)=1),1,0)</f>
        <v>0</v>
      </c>
      <c r="S1490" t="b">
        <f>IFERROR(VLOOKUP(D1490,Products!$A$2:$F$61,6,FALSE()),"")</f>
        <v>1</v>
      </c>
      <c r="T1490" t="str">
        <f>IF(COUNTIF(Customers!$A$2:$A$301,C1490)=0,"Missing","OK")</f>
        <v>OK</v>
      </c>
      <c r="U1490" t="str">
        <f t="shared" si="70"/>
        <v>Pune</v>
      </c>
      <c r="V1490">
        <f t="shared" si="71"/>
        <v>0</v>
      </c>
    </row>
    <row r="1491" spans="1:22" ht="15" customHeight="1" x14ac:dyDescent="0.35">
      <c r="A1491" s="3" t="s">
        <v>1921</v>
      </c>
      <c r="B1491" s="4">
        <v>45491</v>
      </c>
      <c r="C1491" s="3" t="s">
        <v>986</v>
      </c>
      <c r="D1491" s="3" t="s">
        <v>218</v>
      </c>
      <c r="E1491" s="3" t="s">
        <v>191</v>
      </c>
      <c r="F1491" s="5">
        <v>7</v>
      </c>
      <c r="G1491" s="5">
        <v>2660</v>
      </c>
      <c r="H1491" s="5">
        <v>15.9</v>
      </c>
      <c r="I1491" s="5">
        <v>15659.42</v>
      </c>
      <c r="J1491" s="3" t="s">
        <v>26</v>
      </c>
      <c r="K1491" s="3" t="s">
        <v>72</v>
      </c>
      <c r="L1491" t="str">
        <f>IFERROR(VLOOKUP(D1491,Products!$A$2:$F$61,3,FALSE()),"")</f>
        <v>Electronics</v>
      </c>
      <c r="M1491" t="str">
        <f>IFERROR(VLOOKUP(E1491,Sales_Reps!$A$2:$C$31,3,FALSE()),"")</f>
        <v>South</v>
      </c>
      <c r="N1491">
        <f>IFERROR(VLOOKUP(D1491,Products!$A$2:$F$61,4,FALSE()),"")</f>
        <v>1259</v>
      </c>
      <c r="O1491" t="str">
        <f>IFERROR(VLOOKUP(C1491,Customers!$A$2:$F$301,5,FALSE()),"")</f>
        <v>Retail</v>
      </c>
      <c r="P1491">
        <f>IFERROR(VLOOKUP(C1491,Customers!$A$2:$F$301,3,FALSE()),"")</f>
        <v>41</v>
      </c>
      <c r="Q1491">
        <f t="shared" si="69"/>
        <v>0.52669172932330832</v>
      </c>
      <c r="R1491">
        <f>IF(AND(COUNTIF($A$2:$A$2027,A1491)&gt;1,COUNTIF($A$2:A1491,A1491)=1),1,0)</f>
        <v>0</v>
      </c>
      <c r="S1491" t="b">
        <f>IFERROR(VLOOKUP(D1491,Products!$A$2:$F$61,6,FALSE()),"")</f>
        <v>0</v>
      </c>
      <c r="T1491" t="str">
        <f>IF(COUNTIF(Customers!$A$2:$A$301,C1491)=0,"Missing","OK")</f>
        <v>OK</v>
      </c>
      <c r="U1491" t="str">
        <f t="shared" si="70"/>
        <v>Hyderabad</v>
      </c>
      <c r="V1491">
        <f t="shared" si="71"/>
        <v>0</v>
      </c>
    </row>
    <row r="1492" spans="1:22" ht="15" customHeight="1" x14ac:dyDescent="0.35">
      <c r="A1492" s="3" t="s">
        <v>1922</v>
      </c>
      <c r="B1492" s="4">
        <v>45619</v>
      </c>
      <c r="C1492" s="3" t="s">
        <v>463</v>
      </c>
      <c r="D1492" s="3" t="s">
        <v>59</v>
      </c>
      <c r="E1492" s="3" t="s">
        <v>60</v>
      </c>
      <c r="F1492" s="5">
        <v>4</v>
      </c>
      <c r="G1492" s="5">
        <v>1430</v>
      </c>
      <c r="H1492" s="5">
        <v>25.6</v>
      </c>
      <c r="I1492" s="5">
        <v>4255.68</v>
      </c>
      <c r="J1492" s="3" t="s">
        <v>26</v>
      </c>
      <c r="K1492" s="3" t="s">
        <v>51</v>
      </c>
      <c r="L1492" t="str">
        <f>IFERROR(VLOOKUP(D1492,Products!$A$2:$F$61,3,FALSE()),"")</f>
        <v>Electronics</v>
      </c>
      <c r="M1492" t="str">
        <f>IFERROR(VLOOKUP(E1492,Sales_Reps!$A$2:$C$31,3,FALSE()),"")</f>
        <v>East</v>
      </c>
      <c r="N1492">
        <f>IFERROR(VLOOKUP(D1492,Products!$A$2:$F$61,4,FALSE()),"")</f>
        <v>861</v>
      </c>
      <c r="O1492" t="str">
        <f>IFERROR(VLOOKUP(C1492,Customers!$A$2:$F$301,5,FALSE()),"")</f>
        <v>Corporate</v>
      </c>
      <c r="P1492">
        <f>IFERROR(VLOOKUP(C1492,Customers!$A$2:$F$301,3,FALSE()),"")</f>
        <v>55</v>
      </c>
      <c r="Q1492">
        <f t="shared" si="69"/>
        <v>0.39790209790209791</v>
      </c>
      <c r="R1492">
        <f>IF(AND(COUNTIF($A$2:$A$2027,A1492)&gt;1,COUNTIF($A$2:A1492,A1492)=1),1,0)</f>
        <v>0</v>
      </c>
      <c r="S1492" t="b">
        <f>IFERROR(VLOOKUP(D1492,Products!$A$2:$F$61,6,FALSE()),"")</f>
        <v>1</v>
      </c>
      <c r="T1492" t="str">
        <f>IF(COUNTIF(Customers!$A$2:$A$301,C1492)=0,"Missing","OK")</f>
        <v>OK</v>
      </c>
      <c r="U1492" t="str">
        <f t="shared" si="70"/>
        <v>Mumbai</v>
      </c>
      <c r="V1492">
        <f t="shared" si="71"/>
        <v>0</v>
      </c>
    </row>
    <row r="1493" spans="1:22" ht="15" customHeight="1" x14ac:dyDescent="0.35">
      <c r="A1493" s="3" t="s">
        <v>1923</v>
      </c>
      <c r="B1493" s="4">
        <v>45374</v>
      </c>
      <c r="C1493" s="3" t="s">
        <v>443</v>
      </c>
      <c r="D1493" s="3" t="s">
        <v>123</v>
      </c>
      <c r="E1493" s="3" t="s">
        <v>93</v>
      </c>
      <c r="F1493" s="5">
        <v>4</v>
      </c>
      <c r="G1493" s="5">
        <v>4880</v>
      </c>
      <c r="H1493" s="5">
        <v>19.399999999999999</v>
      </c>
      <c r="I1493" s="5">
        <v>15733.12</v>
      </c>
      <c r="J1493" s="3" t="s">
        <v>79</v>
      </c>
      <c r="K1493" s="3" t="s">
        <v>56</v>
      </c>
      <c r="L1493" t="str">
        <f>IFERROR(VLOOKUP(D1493,Products!$A$2:$F$61,3,FALSE()),"")</f>
        <v>Beauty</v>
      </c>
      <c r="M1493" t="str">
        <f>IFERROR(VLOOKUP(E1493,Sales_Reps!$A$2:$C$31,3,FALSE()),"")</f>
        <v>East</v>
      </c>
      <c r="N1493">
        <f>IFERROR(VLOOKUP(D1493,Products!$A$2:$F$61,4,FALSE()),"")</f>
        <v>2768</v>
      </c>
      <c r="O1493" t="str">
        <f>IFERROR(VLOOKUP(C1493,Customers!$A$2:$F$301,5,FALSE()),"")</f>
        <v>Corporate</v>
      </c>
      <c r="P1493">
        <f>IFERROR(VLOOKUP(C1493,Customers!$A$2:$F$301,3,FALSE()),"")</f>
        <v>36</v>
      </c>
      <c r="Q1493">
        <f t="shared" si="69"/>
        <v>0.43278688524590164</v>
      </c>
      <c r="R1493">
        <f>IF(AND(COUNTIF($A$2:$A$2027,A1493)&gt;1,COUNTIF($A$2:A1493,A1493)=1),1,0)</f>
        <v>0</v>
      </c>
      <c r="S1493" t="b">
        <f>IFERROR(VLOOKUP(D1493,Products!$A$2:$F$61,6,FALSE()),"")</f>
        <v>1</v>
      </c>
      <c r="T1493" t="str">
        <f>IF(COUNTIF(Customers!$A$2:$A$301,C1493)=0,"Missing","OK")</f>
        <v>OK</v>
      </c>
      <c r="U1493" t="str">
        <f t="shared" si="70"/>
        <v>Bengaluru</v>
      </c>
      <c r="V1493">
        <f t="shared" si="71"/>
        <v>0</v>
      </c>
    </row>
    <row r="1494" spans="1:22" ht="15" customHeight="1" x14ac:dyDescent="0.35">
      <c r="A1494" s="3" t="s">
        <v>1924</v>
      </c>
      <c r="B1494" s="4">
        <v>45566</v>
      </c>
      <c r="C1494" s="3" t="s">
        <v>402</v>
      </c>
      <c r="D1494" s="3" t="s">
        <v>86</v>
      </c>
      <c r="E1494" s="3" t="s">
        <v>154</v>
      </c>
      <c r="F1494" s="5">
        <v>2</v>
      </c>
      <c r="G1494" s="5">
        <v>190</v>
      </c>
      <c r="H1494" s="5">
        <v>9</v>
      </c>
      <c r="I1494" s="5">
        <v>345.8</v>
      </c>
      <c r="J1494" s="3" t="s">
        <v>26</v>
      </c>
      <c r="K1494" s="3" t="s">
        <v>56</v>
      </c>
      <c r="L1494" t="str">
        <f>IFERROR(VLOOKUP(D1494,Products!$A$2:$F$61,3,FALSE()),"")</f>
        <v>Sports</v>
      </c>
      <c r="M1494" t="str">
        <f>IFERROR(VLOOKUP(E1494,Sales_Reps!$A$2:$C$31,3,FALSE()),"")</f>
        <v>North</v>
      </c>
      <c r="N1494">
        <f>IFERROR(VLOOKUP(D1494,Products!$A$2:$F$61,4,FALSE()),"")</f>
        <v>147</v>
      </c>
      <c r="O1494" t="str">
        <f>IFERROR(VLOOKUP(C1494,Customers!$A$2:$F$301,5,FALSE()),"")</f>
        <v>Retail</v>
      </c>
      <c r="P1494">
        <f>IFERROR(VLOOKUP(C1494,Customers!$A$2:$F$301,3,FALSE()),"")</f>
        <v>55</v>
      </c>
      <c r="Q1494">
        <f t="shared" si="69"/>
        <v>0.22631578947368422</v>
      </c>
      <c r="R1494">
        <f>IF(AND(COUNTIF($A$2:$A$2027,A1494)&gt;1,COUNTIF($A$2:A1494,A1494)=1),1,0)</f>
        <v>0</v>
      </c>
      <c r="S1494" t="b">
        <f>IFERROR(VLOOKUP(D1494,Products!$A$2:$F$61,6,FALSE()),"")</f>
        <v>1</v>
      </c>
      <c r="T1494" t="str">
        <f>IF(COUNTIF(Customers!$A$2:$A$301,C1494)=0,"Missing","OK")</f>
        <v>OK</v>
      </c>
      <c r="U1494" t="str">
        <f t="shared" si="70"/>
        <v>Bengaluru</v>
      </c>
      <c r="V1494">
        <f t="shared" si="71"/>
        <v>0</v>
      </c>
    </row>
    <row r="1495" spans="1:22" ht="15" customHeight="1" x14ac:dyDescent="0.35">
      <c r="A1495" s="3" t="s">
        <v>1925</v>
      </c>
      <c r="B1495" s="4">
        <v>45415</v>
      </c>
      <c r="C1495" s="3" t="s">
        <v>373</v>
      </c>
      <c r="D1495" s="3" t="s">
        <v>215</v>
      </c>
      <c r="E1495" s="3" t="s">
        <v>60</v>
      </c>
      <c r="F1495" s="5">
        <v>1</v>
      </c>
      <c r="G1495" s="5">
        <v>3020</v>
      </c>
      <c r="H1495" s="5">
        <v>3.6</v>
      </c>
      <c r="I1495" s="5">
        <v>2911.28</v>
      </c>
      <c r="J1495" s="3" t="s">
        <v>83</v>
      </c>
      <c r="K1495" s="3" t="s">
        <v>38</v>
      </c>
      <c r="L1495" t="str">
        <f>IFERROR(VLOOKUP(D1495,Products!$A$2:$F$61,3,FALSE()),"")</f>
        <v>Beauty</v>
      </c>
      <c r="M1495" t="str">
        <f>IFERROR(VLOOKUP(E1495,Sales_Reps!$A$2:$C$31,3,FALSE()),"")</f>
        <v>East</v>
      </c>
      <c r="N1495">
        <f>IFERROR(VLOOKUP(D1495,Products!$A$2:$F$61,4,FALSE()),"")</f>
        <v>1626</v>
      </c>
      <c r="O1495" t="str">
        <f>IFERROR(VLOOKUP(C1495,Customers!$A$2:$F$301,5,FALSE()),"")</f>
        <v>Corporate</v>
      </c>
      <c r="P1495">
        <f>IFERROR(VLOOKUP(C1495,Customers!$A$2:$F$301,3,FALSE()),"")</f>
        <v>31</v>
      </c>
      <c r="Q1495">
        <f t="shared" si="69"/>
        <v>0.46158940397350995</v>
      </c>
      <c r="R1495">
        <f>IF(AND(COUNTIF($A$2:$A$2027,A1495)&gt;1,COUNTIF($A$2:A1495,A1495)=1),1,0)</f>
        <v>0</v>
      </c>
      <c r="S1495" t="b">
        <f>IFERROR(VLOOKUP(D1495,Products!$A$2:$F$61,6,FALSE()),"")</f>
        <v>1</v>
      </c>
      <c r="T1495" t="str">
        <f>IF(COUNTIF(Customers!$A$2:$A$301,C1495)=0,"Missing","OK")</f>
        <v>OK</v>
      </c>
      <c r="U1495" t="str">
        <f t="shared" si="70"/>
        <v>Delhi</v>
      </c>
      <c r="V1495">
        <f t="shared" si="71"/>
        <v>0</v>
      </c>
    </row>
    <row r="1496" spans="1:22" ht="15" customHeight="1" x14ac:dyDescent="0.35">
      <c r="A1496" s="3" t="s">
        <v>1926</v>
      </c>
      <c r="B1496" s="4">
        <v>45601</v>
      </c>
      <c r="C1496" s="3" t="s">
        <v>58</v>
      </c>
      <c r="D1496" s="3" t="s">
        <v>123</v>
      </c>
      <c r="E1496" s="3" t="s">
        <v>60</v>
      </c>
      <c r="F1496" s="5">
        <v>2</v>
      </c>
      <c r="G1496" s="5">
        <v>4880</v>
      </c>
      <c r="H1496" s="5">
        <v>2</v>
      </c>
      <c r="I1496" s="5">
        <v>9564.7999999999993</v>
      </c>
      <c r="J1496" s="3" t="s">
        <v>79</v>
      </c>
      <c r="K1496" s="3" t="s">
        <v>56</v>
      </c>
      <c r="L1496" t="str">
        <f>IFERROR(VLOOKUP(D1496,Products!$A$2:$F$61,3,FALSE()),"")</f>
        <v>Beauty</v>
      </c>
      <c r="M1496" t="str">
        <f>IFERROR(VLOOKUP(E1496,Sales_Reps!$A$2:$C$31,3,FALSE()),"")</f>
        <v>East</v>
      </c>
      <c r="N1496">
        <f>IFERROR(VLOOKUP(D1496,Products!$A$2:$F$61,4,FALSE()),"")</f>
        <v>2768</v>
      </c>
      <c r="O1496" t="str">
        <f>IFERROR(VLOOKUP(C1496,Customers!$A$2:$F$301,5,FALSE()),"")</f>
        <v>Corporate</v>
      </c>
      <c r="P1496">
        <f>IFERROR(VLOOKUP(C1496,Customers!$A$2:$F$301,3,FALSE()),"")</f>
        <v>57</v>
      </c>
      <c r="Q1496">
        <f t="shared" si="69"/>
        <v>0.43278688524590164</v>
      </c>
      <c r="R1496">
        <f>IF(AND(COUNTIF($A$2:$A$2027,A1496)&gt;1,COUNTIF($A$2:A1496,A1496)=1),1,0)</f>
        <v>0</v>
      </c>
      <c r="S1496" t="b">
        <f>IFERROR(VLOOKUP(D1496,Products!$A$2:$F$61,6,FALSE()),"")</f>
        <v>1</v>
      </c>
      <c r="T1496" t="str">
        <f>IF(COUNTIF(Customers!$A$2:$A$301,C1496)=0,"Missing","OK")</f>
        <v>OK</v>
      </c>
      <c r="U1496" t="str">
        <f t="shared" si="70"/>
        <v>Bengaluru</v>
      </c>
      <c r="V1496">
        <f t="shared" si="71"/>
        <v>0</v>
      </c>
    </row>
    <row r="1497" spans="1:22" ht="15" customHeight="1" x14ac:dyDescent="0.35">
      <c r="A1497" s="3" t="s">
        <v>1927</v>
      </c>
      <c r="B1497" s="4">
        <v>45319</v>
      </c>
      <c r="C1497" s="3" t="s">
        <v>780</v>
      </c>
      <c r="D1497" s="3" t="s">
        <v>90</v>
      </c>
      <c r="E1497" s="3" t="s">
        <v>282</v>
      </c>
      <c r="F1497" s="5">
        <v>4</v>
      </c>
      <c r="G1497" s="5">
        <v>2400</v>
      </c>
      <c r="H1497" s="5">
        <v>11.5</v>
      </c>
      <c r="I1497" s="5">
        <v>8496</v>
      </c>
      <c r="J1497" s="3" t="s">
        <v>26</v>
      </c>
      <c r="K1497" s="3" t="s">
        <v>56</v>
      </c>
      <c r="L1497" t="str">
        <f>IFERROR(VLOOKUP(D1497,Products!$A$2:$F$61,3,FALSE()),"")</f>
        <v>Sports</v>
      </c>
      <c r="M1497" t="str">
        <f>IFERROR(VLOOKUP(E1497,Sales_Reps!$A$2:$C$31,3,FALSE()),"")</f>
        <v>West</v>
      </c>
      <c r="N1497">
        <f>IFERROR(VLOOKUP(D1497,Products!$A$2:$F$61,4,FALSE()),"")</f>
        <v>974</v>
      </c>
      <c r="O1497" t="str">
        <f>IFERROR(VLOOKUP(C1497,Customers!$A$2:$F$301,5,FALSE()),"")</f>
        <v>Corporate</v>
      </c>
      <c r="P1497">
        <f>IFERROR(VLOOKUP(C1497,Customers!$A$2:$F$301,3,FALSE()),"")</f>
        <v>41</v>
      </c>
      <c r="Q1497">
        <f t="shared" si="69"/>
        <v>0.59416666666666662</v>
      </c>
      <c r="R1497">
        <f>IF(AND(COUNTIF($A$2:$A$2027,A1497)&gt;1,COUNTIF($A$2:A1497,A1497)=1),1,0)</f>
        <v>0</v>
      </c>
      <c r="S1497" t="b">
        <f>IFERROR(VLOOKUP(D1497,Products!$A$2:$F$61,6,FALSE()),"")</f>
        <v>1</v>
      </c>
      <c r="T1497" t="str">
        <f>IF(COUNTIF(Customers!$A$2:$A$301,C1497)=0,"Missing","OK")</f>
        <v>OK</v>
      </c>
      <c r="U1497" t="str">
        <f t="shared" si="70"/>
        <v>Bengaluru</v>
      </c>
      <c r="V1497">
        <f t="shared" si="71"/>
        <v>0</v>
      </c>
    </row>
    <row r="1498" spans="1:22" ht="15" customHeight="1" x14ac:dyDescent="0.35">
      <c r="A1498" s="3" t="s">
        <v>1928</v>
      </c>
      <c r="B1498" s="4">
        <v>45357</v>
      </c>
      <c r="C1498" s="3" t="s">
        <v>496</v>
      </c>
      <c r="D1498" s="3" t="s">
        <v>180</v>
      </c>
      <c r="E1498" s="3" t="s">
        <v>236</v>
      </c>
      <c r="F1498" s="5">
        <v>2</v>
      </c>
      <c r="G1498" s="5">
        <v>6080</v>
      </c>
      <c r="H1498" s="5">
        <v>0.5</v>
      </c>
      <c r="I1498" s="5">
        <v>12099.2</v>
      </c>
      <c r="J1498" s="3" t="s">
        <v>79</v>
      </c>
      <c r="K1498" s="3" t="s">
        <v>51</v>
      </c>
      <c r="L1498" t="str">
        <f>IFERROR(VLOOKUP(D1498,Products!$A$2:$F$61,3,FALSE()),"")</f>
        <v>Beauty</v>
      </c>
      <c r="M1498" t="str">
        <f>IFERROR(VLOOKUP(E1498,Sales_Reps!$A$2:$C$31,3,FALSE()),"")</f>
        <v>North</v>
      </c>
      <c r="N1498">
        <f>IFERROR(VLOOKUP(D1498,Products!$A$2:$F$61,4,FALSE()),"")</f>
        <v>2617</v>
      </c>
      <c r="O1498" t="str">
        <f>IFERROR(VLOOKUP(C1498,Customers!$A$2:$F$301,5,FALSE()),"")</f>
        <v>Retail</v>
      </c>
      <c r="P1498">
        <f>IFERROR(VLOOKUP(C1498,Customers!$A$2:$F$301,3,FALSE()),"")</f>
        <v>65</v>
      </c>
      <c r="Q1498">
        <f t="shared" si="69"/>
        <v>0.56957236842105263</v>
      </c>
      <c r="R1498">
        <f>IF(AND(COUNTIF($A$2:$A$2027,A1498)&gt;1,COUNTIF($A$2:A1498,A1498)=1),1,0)</f>
        <v>0</v>
      </c>
      <c r="S1498" t="b">
        <f>IFERROR(VLOOKUP(D1498,Products!$A$2:$F$61,6,FALSE()),"")</f>
        <v>1</v>
      </c>
      <c r="T1498" t="str">
        <f>IF(COUNTIF(Customers!$A$2:$A$301,C1498)=0,"Missing","OK")</f>
        <v>OK</v>
      </c>
      <c r="U1498" t="str">
        <f t="shared" si="70"/>
        <v>Mumbai</v>
      </c>
      <c r="V1498">
        <f t="shared" si="71"/>
        <v>0</v>
      </c>
    </row>
    <row r="1499" spans="1:22" ht="15" customHeight="1" x14ac:dyDescent="0.35">
      <c r="A1499" s="3" t="s">
        <v>1929</v>
      </c>
      <c r="B1499" s="4">
        <v>45384</v>
      </c>
      <c r="C1499" s="3" t="s">
        <v>762</v>
      </c>
      <c r="D1499" s="3" t="s">
        <v>306</v>
      </c>
      <c r="E1499" s="3" t="s">
        <v>93</v>
      </c>
      <c r="F1499" s="5">
        <v>7</v>
      </c>
      <c r="G1499" s="5">
        <v>2380</v>
      </c>
      <c r="H1499" s="5">
        <v>12.3</v>
      </c>
      <c r="I1499" s="5">
        <v>14610.82</v>
      </c>
      <c r="J1499" s="3" t="s">
        <v>26</v>
      </c>
      <c r="K1499" s="3" t="s">
        <v>33</v>
      </c>
      <c r="L1499" t="str">
        <f>IFERROR(VLOOKUP(D1499,Products!$A$2:$F$61,3,FALSE()),"")</f>
        <v>Grocery</v>
      </c>
      <c r="M1499" t="str">
        <f>IFERROR(VLOOKUP(E1499,Sales_Reps!$A$2:$C$31,3,FALSE()),"")</f>
        <v>East</v>
      </c>
      <c r="N1499">
        <f>IFERROR(VLOOKUP(D1499,Products!$A$2:$F$61,4,FALSE()),"")</f>
        <v>1182</v>
      </c>
      <c r="O1499" t="str">
        <f>IFERROR(VLOOKUP(C1499,Customers!$A$2:$F$301,5,FALSE()),"")</f>
        <v>Retail</v>
      </c>
      <c r="P1499">
        <f>IFERROR(VLOOKUP(C1499,Customers!$A$2:$F$301,3,FALSE()),"")</f>
        <v>32</v>
      </c>
      <c r="Q1499">
        <f t="shared" si="69"/>
        <v>0.50336134453781511</v>
      </c>
      <c r="R1499">
        <f>IF(AND(COUNTIF($A$2:$A$2027,A1499)&gt;1,COUNTIF($A$2:A1499,A1499)=1),1,0)</f>
        <v>0</v>
      </c>
      <c r="S1499" t="b">
        <f>IFERROR(VLOOKUP(D1499,Products!$A$2:$F$61,6,FALSE()),"")</f>
        <v>1</v>
      </c>
      <c r="T1499" t="str">
        <f>IF(COUNTIF(Customers!$A$2:$A$301,C1499)=0,"Missing","OK")</f>
        <v>OK</v>
      </c>
      <c r="U1499" t="str">
        <f t="shared" si="70"/>
        <v>Chennai</v>
      </c>
      <c r="V1499">
        <f t="shared" si="71"/>
        <v>0</v>
      </c>
    </row>
    <row r="1500" spans="1:22" ht="15" customHeight="1" x14ac:dyDescent="0.35">
      <c r="A1500" s="3" t="s">
        <v>1930</v>
      </c>
      <c r="B1500" s="4">
        <v>45509</v>
      </c>
      <c r="C1500" s="3" t="s">
        <v>308</v>
      </c>
      <c r="D1500" s="3" t="s">
        <v>198</v>
      </c>
      <c r="E1500" s="3" t="s">
        <v>154</v>
      </c>
      <c r="F1500" s="5">
        <v>10</v>
      </c>
      <c r="G1500" s="5">
        <v>1540</v>
      </c>
      <c r="H1500" s="5">
        <v>20.6</v>
      </c>
      <c r="I1500" s="5">
        <v>12227.6</v>
      </c>
      <c r="J1500" s="3" t="s">
        <v>26</v>
      </c>
      <c r="K1500" s="3" t="s">
        <v>33</v>
      </c>
      <c r="L1500" t="str">
        <f>IFERROR(VLOOKUP(D1500,Products!$A$2:$F$61,3,FALSE()),"")</f>
        <v>Beauty</v>
      </c>
      <c r="M1500" t="str">
        <f>IFERROR(VLOOKUP(E1500,Sales_Reps!$A$2:$C$31,3,FALSE()),"")</f>
        <v>North</v>
      </c>
      <c r="N1500">
        <f>IFERROR(VLOOKUP(D1500,Products!$A$2:$F$61,4,FALSE()),"")</f>
        <v>647</v>
      </c>
      <c r="O1500" t="str">
        <f>IFERROR(VLOOKUP(C1500,Customers!$A$2:$F$301,5,FALSE()),"")</f>
        <v>SMB</v>
      </c>
      <c r="P1500">
        <f>IFERROR(VLOOKUP(C1500,Customers!$A$2:$F$301,3,FALSE()),"")</f>
        <v>62</v>
      </c>
      <c r="Q1500">
        <f t="shared" si="69"/>
        <v>0.57987012987012987</v>
      </c>
      <c r="R1500">
        <f>IF(AND(COUNTIF($A$2:$A$2027,A1500)&gt;1,COUNTIF($A$2:A1500,A1500)=1),1,0)</f>
        <v>0</v>
      </c>
      <c r="S1500" t="b">
        <f>IFERROR(VLOOKUP(D1500,Products!$A$2:$F$61,6,FALSE()),"")</f>
        <v>0</v>
      </c>
      <c r="T1500" t="str">
        <f>IF(COUNTIF(Customers!$A$2:$A$301,C1500)=0,"Missing","OK")</f>
        <v>OK</v>
      </c>
      <c r="U1500" t="str">
        <f t="shared" si="70"/>
        <v>Chennai</v>
      </c>
      <c r="V1500">
        <f t="shared" si="71"/>
        <v>0</v>
      </c>
    </row>
    <row r="1501" spans="1:22" ht="15" customHeight="1" x14ac:dyDescent="0.35">
      <c r="A1501" s="3" t="s">
        <v>1931</v>
      </c>
      <c r="B1501" s="4">
        <v>45520</v>
      </c>
      <c r="C1501" s="3" t="s">
        <v>102</v>
      </c>
      <c r="D1501" s="3" t="s">
        <v>187</v>
      </c>
      <c r="E1501" s="3" t="s">
        <v>67</v>
      </c>
      <c r="F1501" s="5">
        <v>7</v>
      </c>
      <c r="G1501" s="5">
        <v>3870</v>
      </c>
      <c r="H1501" s="5">
        <v>6.1</v>
      </c>
      <c r="I1501" s="5">
        <v>25437.51</v>
      </c>
      <c r="J1501" s="3" t="s">
        <v>26</v>
      </c>
      <c r="K1501" s="3" t="s">
        <v>33</v>
      </c>
      <c r="L1501" t="str">
        <f>IFERROR(VLOOKUP(D1501,Products!$A$2:$F$61,3,FALSE()),"")</f>
        <v>Electronics</v>
      </c>
      <c r="M1501" t="str">
        <f>IFERROR(VLOOKUP(E1501,Sales_Reps!$A$2:$C$31,3,FALSE()),"")</f>
        <v>West</v>
      </c>
      <c r="N1501">
        <f>IFERROR(VLOOKUP(D1501,Products!$A$2:$F$61,4,FALSE()),"")</f>
        <v>1559</v>
      </c>
      <c r="O1501" t="str">
        <f>IFERROR(VLOOKUP(C1501,Customers!$A$2:$F$301,5,FALSE()),"")</f>
        <v>Retail</v>
      </c>
      <c r="P1501">
        <f>IFERROR(VLOOKUP(C1501,Customers!$A$2:$F$301,3,FALSE()),"")</f>
        <v>49</v>
      </c>
      <c r="Q1501">
        <f t="shared" si="69"/>
        <v>0.59715762273901807</v>
      </c>
      <c r="R1501">
        <f>IF(AND(COUNTIF($A$2:$A$2027,A1501)&gt;1,COUNTIF($A$2:A1501,A1501)=1),1,0)</f>
        <v>0</v>
      </c>
      <c r="S1501" t="b">
        <f>IFERROR(VLOOKUP(D1501,Products!$A$2:$F$61,6,FALSE()),"")</f>
        <v>1</v>
      </c>
      <c r="T1501" t="str">
        <f>IF(COUNTIF(Customers!$A$2:$A$301,C1501)=0,"Missing","OK")</f>
        <v>OK</v>
      </c>
      <c r="U1501" t="str">
        <f t="shared" si="70"/>
        <v>Chennai</v>
      </c>
      <c r="V1501">
        <f t="shared" si="71"/>
        <v>0</v>
      </c>
    </row>
    <row r="1502" spans="1:22" ht="15" customHeight="1" x14ac:dyDescent="0.35">
      <c r="A1502" s="3" t="s">
        <v>1932</v>
      </c>
      <c r="B1502" s="4">
        <v>45383</v>
      </c>
      <c r="C1502" s="3" t="s">
        <v>519</v>
      </c>
      <c r="D1502" s="3" t="s">
        <v>49</v>
      </c>
      <c r="E1502" s="3" t="s">
        <v>97</v>
      </c>
      <c r="F1502" s="5">
        <v>3</v>
      </c>
      <c r="G1502" s="5">
        <v>370</v>
      </c>
      <c r="H1502" s="5">
        <v>13.7</v>
      </c>
      <c r="I1502" s="5">
        <v>957.93</v>
      </c>
      <c r="J1502" s="3" t="s">
        <v>26</v>
      </c>
      <c r="K1502" s="3" t="s">
        <v>27</v>
      </c>
      <c r="L1502" t="str">
        <f>IFERROR(VLOOKUP(D1502,Products!$A$2:$F$61,3,FALSE()),"")</f>
        <v>Home</v>
      </c>
      <c r="M1502" t="str">
        <f>IFERROR(VLOOKUP(E1502,Sales_Reps!$A$2:$C$31,3,FALSE()),"")</f>
        <v>East</v>
      </c>
      <c r="N1502">
        <f>IFERROR(VLOOKUP(D1502,Products!$A$2:$F$61,4,FALSE()),"")</f>
        <v>288</v>
      </c>
      <c r="O1502" t="str">
        <f>IFERROR(VLOOKUP(C1502,Customers!$A$2:$F$301,5,FALSE()),"")</f>
        <v>Corporate</v>
      </c>
      <c r="P1502">
        <f>IFERROR(VLOOKUP(C1502,Customers!$A$2:$F$301,3,FALSE()),"")</f>
        <v>40</v>
      </c>
      <c r="Q1502">
        <f t="shared" si="69"/>
        <v>0.22162162162162163</v>
      </c>
      <c r="R1502">
        <f>IF(AND(COUNTIF($A$2:$A$2027,A1502)&gt;1,COUNTIF($A$2:A1502,A1502)=1),1,0)</f>
        <v>0</v>
      </c>
      <c r="S1502" t="b">
        <f>IFERROR(VLOOKUP(D1502,Products!$A$2:$F$61,6,FALSE()),"")</f>
        <v>1</v>
      </c>
      <c r="T1502" t="str">
        <f>IF(COUNTIF(Customers!$A$2:$A$301,C1502)=0,"Missing","OK")</f>
        <v>OK</v>
      </c>
      <c r="U1502" t="str">
        <f t="shared" si="70"/>
        <v>Pune</v>
      </c>
      <c r="V1502">
        <f t="shared" si="71"/>
        <v>0</v>
      </c>
    </row>
    <row r="1503" spans="1:22" ht="15" customHeight="1" x14ac:dyDescent="0.35">
      <c r="A1503" s="3" t="s">
        <v>1933</v>
      </c>
      <c r="B1503" s="4">
        <v>45328</v>
      </c>
      <c r="C1503" s="3" t="s">
        <v>310</v>
      </c>
      <c r="D1503" s="3" t="s">
        <v>86</v>
      </c>
      <c r="E1503" s="3" t="s">
        <v>282</v>
      </c>
      <c r="F1503" s="5">
        <v>8</v>
      </c>
      <c r="G1503" s="5">
        <v>190</v>
      </c>
      <c r="H1503" s="5">
        <v>0.2</v>
      </c>
      <c r="I1503" s="5">
        <v>1516.96</v>
      </c>
      <c r="J1503" s="3" t="s">
        <v>26</v>
      </c>
      <c r="K1503" s="3" t="s">
        <v>51</v>
      </c>
      <c r="L1503" t="str">
        <f>IFERROR(VLOOKUP(D1503,Products!$A$2:$F$61,3,FALSE()),"")</f>
        <v>Sports</v>
      </c>
      <c r="M1503" t="str">
        <f>IFERROR(VLOOKUP(E1503,Sales_Reps!$A$2:$C$31,3,FALSE()),"")</f>
        <v>West</v>
      </c>
      <c r="N1503">
        <f>IFERROR(VLOOKUP(D1503,Products!$A$2:$F$61,4,FALSE()),"")</f>
        <v>147</v>
      </c>
      <c r="O1503" t="str">
        <f>IFERROR(VLOOKUP(C1503,Customers!$A$2:$F$301,5,FALSE()),"")</f>
        <v>Retail</v>
      </c>
      <c r="P1503">
        <f>IFERROR(VLOOKUP(C1503,Customers!$A$2:$F$301,3,FALSE()),"")</f>
        <v>42</v>
      </c>
      <c r="Q1503">
        <f t="shared" si="69"/>
        <v>0.22631578947368422</v>
      </c>
      <c r="R1503">
        <f>IF(AND(COUNTIF($A$2:$A$2027,A1503)&gt;1,COUNTIF($A$2:A1503,A1503)=1),1,0)</f>
        <v>0</v>
      </c>
      <c r="S1503" t="b">
        <f>IFERROR(VLOOKUP(D1503,Products!$A$2:$F$61,6,FALSE()),"")</f>
        <v>1</v>
      </c>
      <c r="T1503" t="str">
        <f>IF(COUNTIF(Customers!$A$2:$A$301,C1503)=0,"Missing","OK")</f>
        <v>OK</v>
      </c>
      <c r="U1503" t="str">
        <f t="shared" si="70"/>
        <v>Mumbai</v>
      </c>
      <c r="V1503">
        <f t="shared" si="71"/>
        <v>0</v>
      </c>
    </row>
    <row r="1504" spans="1:22" ht="15" customHeight="1" x14ac:dyDescent="0.35">
      <c r="A1504" s="3" t="s">
        <v>1934</v>
      </c>
      <c r="B1504" s="4">
        <v>45501</v>
      </c>
      <c r="C1504" s="3" t="s">
        <v>29</v>
      </c>
      <c r="D1504" s="3" t="s">
        <v>59</v>
      </c>
      <c r="E1504" s="3" t="s">
        <v>212</v>
      </c>
      <c r="F1504" s="5">
        <v>6</v>
      </c>
      <c r="G1504" s="5">
        <v>1430</v>
      </c>
      <c r="H1504" s="5">
        <v>0.1</v>
      </c>
      <c r="I1504" s="5">
        <v>8571.42</v>
      </c>
      <c r="J1504" s="3" t="s">
        <v>26</v>
      </c>
      <c r="K1504" s="3" t="s">
        <v>33</v>
      </c>
      <c r="L1504" t="str">
        <f>IFERROR(VLOOKUP(D1504,Products!$A$2:$F$61,3,FALSE()),"")</f>
        <v>Electronics</v>
      </c>
      <c r="M1504" t="str">
        <f>IFERROR(VLOOKUP(E1504,Sales_Reps!$A$2:$C$31,3,FALSE()),"")</f>
        <v>South</v>
      </c>
      <c r="N1504">
        <f>IFERROR(VLOOKUP(D1504,Products!$A$2:$F$61,4,FALSE()),"")</f>
        <v>861</v>
      </c>
      <c r="O1504" t="str">
        <f>IFERROR(VLOOKUP(C1504,Customers!$A$2:$F$301,5,FALSE()),"")</f>
        <v>Retail</v>
      </c>
      <c r="P1504">
        <f>IFERROR(VLOOKUP(C1504,Customers!$A$2:$F$301,3,FALSE()),"")</f>
        <v>39</v>
      </c>
      <c r="Q1504">
        <f t="shared" si="69"/>
        <v>0.39790209790209791</v>
      </c>
      <c r="R1504">
        <f>IF(AND(COUNTIF($A$2:$A$2027,A1504)&gt;1,COUNTIF($A$2:A1504,A1504)=1),1,0)</f>
        <v>0</v>
      </c>
      <c r="S1504" t="b">
        <f>IFERROR(VLOOKUP(D1504,Products!$A$2:$F$61,6,FALSE()),"")</f>
        <v>1</v>
      </c>
      <c r="T1504" t="str">
        <f>IF(COUNTIF(Customers!$A$2:$A$301,C1504)=0,"Missing","OK")</f>
        <v>OK</v>
      </c>
      <c r="U1504" t="str">
        <f t="shared" si="70"/>
        <v>Chennai</v>
      </c>
      <c r="V1504">
        <f t="shared" si="71"/>
        <v>0</v>
      </c>
    </row>
    <row r="1505" spans="1:22" ht="15" customHeight="1" x14ac:dyDescent="0.35">
      <c r="A1505" s="3" t="s">
        <v>1935</v>
      </c>
      <c r="B1505" s="4">
        <v>45346</v>
      </c>
      <c r="C1505" s="3" t="s">
        <v>411</v>
      </c>
      <c r="D1505" s="3" t="s">
        <v>36</v>
      </c>
      <c r="E1505" s="3" t="s">
        <v>131</v>
      </c>
      <c r="F1505" s="5">
        <v>4</v>
      </c>
      <c r="G1505" s="5">
        <v>470</v>
      </c>
      <c r="H1505" s="5">
        <v>3</v>
      </c>
      <c r="I1505" s="5">
        <v>1823.6</v>
      </c>
      <c r="J1505" s="3" t="s">
        <v>26</v>
      </c>
      <c r="K1505" s="3" t="s">
        <v>33</v>
      </c>
      <c r="L1505" t="str">
        <f>IFERROR(VLOOKUP(D1505,Products!$A$2:$F$61,3,FALSE()),"")</f>
        <v>Sports</v>
      </c>
      <c r="M1505" t="str">
        <f>IFERROR(VLOOKUP(E1505,Sales_Reps!$A$2:$C$31,3,FALSE()),"")</f>
        <v>East</v>
      </c>
      <c r="N1505">
        <f>IFERROR(VLOOKUP(D1505,Products!$A$2:$F$61,4,FALSE()),"")</f>
        <v>302</v>
      </c>
      <c r="O1505" t="str">
        <f>IFERROR(VLOOKUP(C1505,Customers!$A$2:$F$301,5,FALSE()),"")</f>
        <v>Corporate</v>
      </c>
      <c r="P1505">
        <f>IFERROR(VLOOKUP(C1505,Customers!$A$2:$F$301,3,FALSE()),"")</f>
        <v>35</v>
      </c>
      <c r="Q1505">
        <f t="shared" si="69"/>
        <v>0.35744680851063831</v>
      </c>
      <c r="R1505">
        <f>IF(AND(COUNTIF($A$2:$A$2027,A1505)&gt;1,COUNTIF($A$2:A1505,A1505)=1),1,0)</f>
        <v>0</v>
      </c>
      <c r="S1505" t="b">
        <f>IFERROR(VLOOKUP(D1505,Products!$A$2:$F$61,6,FALSE()),"")</f>
        <v>0</v>
      </c>
      <c r="T1505" t="str">
        <f>IF(COUNTIF(Customers!$A$2:$A$301,C1505)=0,"Missing","OK")</f>
        <v>OK</v>
      </c>
      <c r="U1505" t="str">
        <f t="shared" si="70"/>
        <v>Chennai</v>
      </c>
      <c r="V1505">
        <f t="shared" si="71"/>
        <v>0</v>
      </c>
    </row>
    <row r="1506" spans="1:22" ht="15" customHeight="1" x14ac:dyDescent="0.35">
      <c r="A1506" s="3" t="s">
        <v>1936</v>
      </c>
      <c r="B1506" s="4">
        <v>45446</v>
      </c>
      <c r="C1506" s="3" t="s">
        <v>424</v>
      </c>
      <c r="D1506" s="3" t="s">
        <v>598</v>
      </c>
      <c r="E1506" s="3" t="s">
        <v>78</v>
      </c>
      <c r="F1506" s="5">
        <v>4</v>
      </c>
      <c r="G1506" s="5">
        <v>3560</v>
      </c>
      <c r="H1506" s="5">
        <v>1.1000000000000001</v>
      </c>
      <c r="I1506" s="5">
        <v>14083.36</v>
      </c>
      <c r="J1506" s="3" t="s">
        <v>26</v>
      </c>
      <c r="K1506" s="3" t="s">
        <v>27</v>
      </c>
      <c r="L1506" t="str">
        <f>IFERROR(VLOOKUP(D1506,Products!$A$2:$F$61,3,FALSE()),"")</f>
        <v>Apparel</v>
      </c>
      <c r="M1506" t="str">
        <f>IFERROR(VLOOKUP(E1506,Sales_Reps!$A$2:$C$31,3,FALSE()),"")</f>
        <v>North</v>
      </c>
      <c r="N1506">
        <f>IFERROR(VLOOKUP(D1506,Products!$A$2:$F$61,4,FALSE()),"")</f>
        <v>2629</v>
      </c>
      <c r="O1506" t="str">
        <f>IFERROR(VLOOKUP(C1506,Customers!$A$2:$F$301,5,FALSE()),"")</f>
        <v>Retail</v>
      </c>
      <c r="P1506">
        <f>IFERROR(VLOOKUP(C1506,Customers!$A$2:$F$301,3,FALSE()),"")</f>
        <v>49</v>
      </c>
      <c r="Q1506">
        <f t="shared" si="69"/>
        <v>0.26151685393258428</v>
      </c>
      <c r="R1506">
        <f>IF(AND(COUNTIF($A$2:$A$2027,A1506)&gt;1,COUNTIF($A$2:A1506,A1506)=1),1,0)</f>
        <v>0</v>
      </c>
      <c r="S1506" t="b">
        <f>IFERROR(VLOOKUP(D1506,Products!$A$2:$F$61,6,FALSE()),"")</f>
        <v>1</v>
      </c>
      <c r="T1506" t="str">
        <f>IF(COUNTIF(Customers!$A$2:$A$301,C1506)=0,"Missing","OK")</f>
        <v>OK</v>
      </c>
      <c r="U1506" t="str">
        <f t="shared" si="70"/>
        <v>Pune</v>
      </c>
      <c r="V1506">
        <f t="shared" si="71"/>
        <v>0</v>
      </c>
    </row>
    <row r="1507" spans="1:22" ht="15" customHeight="1" x14ac:dyDescent="0.35">
      <c r="A1507" s="3" t="s">
        <v>1937</v>
      </c>
      <c r="B1507" s="4">
        <v>45521</v>
      </c>
      <c r="C1507" s="3" t="s">
        <v>574</v>
      </c>
      <c r="D1507" s="3" t="s">
        <v>123</v>
      </c>
      <c r="E1507" s="3" t="s">
        <v>264</v>
      </c>
      <c r="F1507" s="5">
        <v>5</v>
      </c>
      <c r="G1507" s="5">
        <v>4880</v>
      </c>
      <c r="H1507" s="5">
        <v>17</v>
      </c>
      <c r="I1507" s="5">
        <v>20252</v>
      </c>
      <c r="J1507" s="3" t="s">
        <v>26</v>
      </c>
      <c r="K1507" s="3" t="s">
        <v>38</v>
      </c>
      <c r="L1507" t="str">
        <f>IFERROR(VLOOKUP(D1507,Products!$A$2:$F$61,3,FALSE()),"")</f>
        <v>Beauty</v>
      </c>
      <c r="M1507" t="str">
        <f>IFERROR(VLOOKUP(E1507,Sales_Reps!$A$2:$C$31,3,FALSE()),"")</f>
        <v>South</v>
      </c>
      <c r="N1507">
        <f>IFERROR(VLOOKUP(D1507,Products!$A$2:$F$61,4,FALSE()),"")</f>
        <v>2768</v>
      </c>
      <c r="O1507" t="str">
        <f>IFERROR(VLOOKUP(C1507,Customers!$A$2:$F$301,5,FALSE()),"")</f>
        <v>Retail</v>
      </c>
      <c r="P1507">
        <f>IFERROR(VLOOKUP(C1507,Customers!$A$2:$F$301,3,FALSE()),"")</f>
        <v>49</v>
      </c>
      <c r="Q1507">
        <f t="shared" si="69"/>
        <v>0.43278688524590164</v>
      </c>
      <c r="R1507">
        <f>IF(AND(COUNTIF($A$2:$A$2027,A1507)&gt;1,COUNTIF($A$2:A1507,A1507)=1),1,0)</f>
        <v>0</v>
      </c>
      <c r="S1507" t="b">
        <f>IFERROR(VLOOKUP(D1507,Products!$A$2:$F$61,6,FALSE()),"")</f>
        <v>1</v>
      </c>
      <c r="T1507" t="str">
        <f>IF(COUNTIF(Customers!$A$2:$A$301,C1507)=0,"Missing","OK")</f>
        <v>OK</v>
      </c>
      <c r="U1507" t="str">
        <f t="shared" si="70"/>
        <v>Delhi</v>
      </c>
      <c r="V1507">
        <f t="shared" si="71"/>
        <v>0</v>
      </c>
    </row>
    <row r="1508" spans="1:22" ht="15" customHeight="1" x14ac:dyDescent="0.35">
      <c r="A1508" s="3" t="s">
        <v>1938</v>
      </c>
      <c r="B1508" s="4">
        <v>45483</v>
      </c>
      <c r="C1508" s="3" t="s">
        <v>619</v>
      </c>
      <c r="D1508" s="3" t="s">
        <v>126</v>
      </c>
      <c r="E1508" s="3" t="s">
        <v>143</v>
      </c>
      <c r="F1508" s="5">
        <v>9</v>
      </c>
      <c r="G1508" s="5">
        <v>3570</v>
      </c>
      <c r="H1508" s="5">
        <v>12</v>
      </c>
      <c r="I1508" s="5">
        <v>28274.400000000001</v>
      </c>
      <c r="J1508" s="3" t="s">
        <v>26</v>
      </c>
      <c r="K1508" s="3" t="s">
        <v>33</v>
      </c>
      <c r="L1508" t="str">
        <f>IFERROR(VLOOKUP(D1508,Products!$A$2:$F$61,3,FALSE()),"")</f>
        <v>Electronics</v>
      </c>
      <c r="M1508" t="str">
        <f>IFERROR(VLOOKUP(E1508,Sales_Reps!$A$2:$C$31,3,FALSE()),"")</f>
        <v>South</v>
      </c>
      <c r="N1508">
        <f>IFERROR(VLOOKUP(D1508,Products!$A$2:$F$61,4,FALSE()),"")</f>
        <v>1665</v>
      </c>
      <c r="O1508" t="str">
        <f>IFERROR(VLOOKUP(C1508,Customers!$A$2:$F$301,5,FALSE()),"")</f>
        <v>Retail</v>
      </c>
      <c r="P1508">
        <f>IFERROR(VLOOKUP(C1508,Customers!$A$2:$F$301,3,FALSE()),"")</f>
        <v>26</v>
      </c>
      <c r="Q1508">
        <f t="shared" si="69"/>
        <v>0.53361344537815125</v>
      </c>
      <c r="R1508">
        <f>IF(AND(COUNTIF($A$2:$A$2027,A1508)&gt;1,COUNTIF($A$2:A1508,A1508)=1),1,0)</f>
        <v>0</v>
      </c>
      <c r="S1508" t="b">
        <f>IFERROR(VLOOKUP(D1508,Products!$A$2:$F$61,6,FALSE()),"")</f>
        <v>1</v>
      </c>
      <c r="T1508" t="str">
        <f>IF(COUNTIF(Customers!$A$2:$A$301,C1508)=0,"Missing","OK")</f>
        <v>OK</v>
      </c>
      <c r="U1508" t="str">
        <f t="shared" si="70"/>
        <v>Chennai</v>
      </c>
      <c r="V1508">
        <f t="shared" si="71"/>
        <v>0</v>
      </c>
    </row>
    <row r="1509" spans="1:22" ht="15" customHeight="1" x14ac:dyDescent="0.35">
      <c r="A1509" s="3" t="s">
        <v>1939</v>
      </c>
      <c r="B1509" s="4">
        <v>45370</v>
      </c>
      <c r="C1509" s="3" t="s">
        <v>1300</v>
      </c>
      <c r="D1509" s="3" t="s">
        <v>100</v>
      </c>
      <c r="E1509" s="3" t="s">
        <v>50</v>
      </c>
      <c r="F1509" s="5">
        <v>6</v>
      </c>
      <c r="G1509" s="5">
        <v>3450</v>
      </c>
      <c r="H1509" s="5">
        <v>22.7</v>
      </c>
      <c r="I1509" s="5">
        <v>16001.1</v>
      </c>
      <c r="J1509" s="3" t="s">
        <v>79</v>
      </c>
      <c r="K1509" s="3" t="s">
        <v>33</v>
      </c>
      <c r="L1509" t="str">
        <f>IFERROR(VLOOKUP(D1509,Products!$A$2:$F$61,3,FALSE()),"")</f>
        <v>Sports</v>
      </c>
      <c r="M1509" t="str">
        <f>IFERROR(VLOOKUP(E1509,Sales_Reps!$A$2:$C$31,3,FALSE()),"")</f>
        <v>West</v>
      </c>
      <c r="N1509">
        <f>IFERROR(VLOOKUP(D1509,Products!$A$2:$F$61,4,FALSE()),"")</f>
        <v>2467</v>
      </c>
      <c r="O1509" t="str">
        <f>IFERROR(VLOOKUP(C1509,Customers!$A$2:$F$301,5,FALSE()),"")</f>
        <v>Retail</v>
      </c>
      <c r="P1509">
        <f>IFERROR(VLOOKUP(C1509,Customers!$A$2:$F$301,3,FALSE()),"")</f>
        <v>34</v>
      </c>
      <c r="Q1509">
        <f t="shared" si="69"/>
        <v>0.28492753623188405</v>
      </c>
      <c r="R1509">
        <f>IF(AND(COUNTIF($A$2:$A$2027,A1509)&gt;1,COUNTIF($A$2:A1509,A1509)=1),1,0)</f>
        <v>0</v>
      </c>
      <c r="S1509" t="b">
        <f>IFERROR(VLOOKUP(D1509,Products!$A$2:$F$61,6,FALSE()),"")</f>
        <v>1</v>
      </c>
      <c r="T1509" t="str">
        <f>IF(COUNTIF(Customers!$A$2:$A$301,C1509)=0,"Missing","OK")</f>
        <v>OK</v>
      </c>
      <c r="U1509" t="str">
        <f t="shared" si="70"/>
        <v>Chennai</v>
      </c>
      <c r="V1509">
        <f t="shared" si="71"/>
        <v>0</v>
      </c>
    </row>
    <row r="1510" spans="1:22" ht="15" customHeight="1" x14ac:dyDescent="0.35">
      <c r="A1510" s="3" t="s">
        <v>1940</v>
      </c>
      <c r="B1510" s="4">
        <v>45456</v>
      </c>
      <c r="C1510" s="3" t="s">
        <v>117</v>
      </c>
      <c r="D1510" s="3" t="s">
        <v>103</v>
      </c>
      <c r="E1510" s="3" t="s">
        <v>236</v>
      </c>
      <c r="F1510" s="5">
        <v>10</v>
      </c>
      <c r="G1510" s="5">
        <v>1080</v>
      </c>
      <c r="H1510" s="5">
        <v>27.4</v>
      </c>
      <c r="I1510" s="5">
        <v>7840.8</v>
      </c>
      <c r="J1510" s="3" t="s">
        <v>26</v>
      </c>
      <c r="K1510" s="3" t="s">
        <v>33</v>
      </c>
      <c r="L1510" t="str">
        <f>IFERROR(VLOOKUP(D1510,Products!$A$2:$F$61,3,FALSE()),"")</f>
        <v>Home</v>
      </c>
      <c r="M1510" t="str">
        <f>IFERROR(VLOOKUP(E1510,Sales_Reps!$A$2:$C$31,3,FALSE()),"")</f>
        <v>North</v>
      </c>
      <c r="N1510">
        <f>IFERROR(VLOOKUP(D1510,Products!$A$2:$F$61,4,FALSE()),"")</f>
        <v>519</v>
      </c>
      <c r="O1510" t="str">
        <f>IFERROR(VLOOKUP(C1510,Customers!$A$2:$F$301,5,FALSE()),"")</f>
        <v>Corporate</v>
      </c>
      <c r="P1510">
        <f>IFERROR(VLOOKUP(C1510,Customers!$A$2:$F$301,3,FALSE()),"")</f>
        <v>55</v>
      </c>
      <c r="Q1510">
        <f t="shared" si="69"/>
        <v>0.51944444444444449</v>
      </c>
      <c r="R1510">
        <f>IF(AND(COUNTIF($A$2:$A$2027,A1510)&gt;1,COUNTIF($A$2:A1510,A1510)=1),1,0)</f>
        <v>0</v>
      </c>
      <c r="S1510" t="b">
        <f>IFERROR(VLOOKUP(D1510,Products!$A$2:$F$61,6,FALSE()),"")</f>
        <v>1</v>
      </c>
      <c r="T1510" t="str">
        <f>IF(COUNTIF(Customers!$A$2:$A$301,C1510)=0,"Missing","OK")</f>
        <v>OK</v>
      </c>
      <c r="U1510" t="str">
        <f t="shared" si="70"/>
        <v>Chennai</v>
      </c>
      <c r="V1510">
        <f t="shared" si="71"/>
        <v>0</v>
      </c>
    </row>
    <row r="1511" spans="1:22" ht="15" customHeight="1" x14ac:dyDescent="0.35">
      <c r="A1511" s="3" t="s">
        <v>1941</v>
      </c>
      <c r="B1511" s="4">
        <v>45605</v>
      </c>
      <c r="C1511" s="3" t="s">
        <v>795</v>
      </c>
      <c r="D1511" s="3" t="s">
        <v>198</v>
      </c>
      <c r="E1511" s="3" t="s">
        <v>50</v>
      </c>
      <c r="F1511" s="5">
        <v>6</v>
      </c>
      <c r="G1511" s="5">
        <v>1540</v>
      </c>
      <c r="H1511" s="5">
        <v>17.100000000000001</v>
      </c>
      <c r="I1511" s="5">
        <v>7659.96</v>
      </c>
      <c r="J1511" s="3" t="s">
        <v>26</v>
      </c>
      <c r="K1511" s="3" t="s">
        <v>27</v>
      </c>
      <c r="L1511" t="str">
        <f>IFERROR(VLOOKUP(D1511,Products!$A$2:$F$61,3,FALSE()),"")</f>
        <v>Beauty</v>
      </c>
      <c r="M1511" t="str">
        <f>IFERROR(VLOOKUP(E1511,Sales_Reps!$A$2:$C$31,3,FALSE()),"")</f>
        <v>West</v>
      </c>
      <c r="N1511">
        <f>IFERROR(VLOOKUP(D1511,Products!$A$2:$F$61,4,FALSE()),"")</f>
        <v>647</v>
      </c>
      <c r="O1511" t="str">
        <f>IFERROR(VLOOKUP(C1511,Customers!$A$2:$F$301,5,FALSE()),"")</f>
        <v>SMB</v>
      </c>
      <c r="P1511">
        <f>IFERROR(VLOOKUP(C1511,Customers!$A$2:$F$301,3,FALSE()),"")</f>
        <v>59</v>
      </c>
      <c r="Q1511">
        <f t="shared" si="69"/>
        <v>0.57987012987012987</v>
      </c>
      <c r="R1511">
        <f>IF(AND(COUNTIF($A$2:$A$2027,A1511)&gt;1,COUNTIF($A$2:A1511,A1511)=1),1,0)</f>
        <v>0</v>
      </c>
      <c r="S1511" t="b">
        <f>IFERROR(VLOOKUP(D1511,Products!$A$2:$F$61,6,FALSE()),"")</f>
        <v>0</v>
      </c>
      <c r="T1511" t="str">
        <f>IF(COUNTIF(Customers!$A$2:$A$301,C1511)=0,"Missing","OK")</f>
        <v>OK</v>
      </c>
      <c r="U1511" t="str">
        <f t="shared" si="70"/>
        <v>Pune</v>
      </c>
      <c r="V1511">
        <f t="shared" si="71"/>
        <v>0</v>
      </c>
    </row>
    <row r="1512" spans="1:22" ht="15" customHeight="1" x14ac:dyDescent="0.35">
      <c r="A1512" s="3" t="s">
        <v>1942</v>
      </c>
      <c r="B1512" s="4">
        <v>45556</v>
      </c>
      <c r="C1512" s="3" t="s">
        <v>1943</v>
      </c>
      <c r="D1512" s="3" t="s">
        <v>112</v>
      </c>
      <c r="E1512" s="3" t="s">
        <v>191</v>
      </c>
      <c r="F1512" s="5">
        <v>6</v>
      </c>
      <c r="G1512" s="5">
        <v>2720</v>
      </c>
      <c r="H1512" s="5">
        <v>28.1</v>
      </c>
      <c r="I1512" s="5">
        <v>11734.08</v>
      </c>
      <c r="J1512" s="3" t="s">
        <v>26</v>
      </c>
      <c r="K1512" s="3" t="s">
        <v>51</v>
      </c>
      <c r="L1512" t="str">
        <f>IFERROR(VLOOKUP(D1512,Products!$A$2:$F$61,3,FALSE()),"")</f>
        <v>Apparel</v>
      </c>
      <c r="M1512" t="str">
        <f>IFERROR(VLOOKUP(E1512,Sales_Reps!$A$2:$C$31,3,FALSE()),"")</f>
        <v>South</v>
      </c>
      <c r="N1512">
        <f>IFERROR(VLOOKUP(D1512,Products!$A$2:$F$61,4,FALSE()),"")</f>
        <v>1962</v>
      </c>
      <c r="O1512" t="str">
        <f>IFERROR(VLOOKUP(C1512,Customers!$A$2:$F$301,5,FALSE()),"")</f>
        <v/>
      </c>
      <c r="P1512" t="str">
        <f>IFERROR(VLOOKUP(C1512,Customers!$A$2:$F$301,3,FALSE()),"")</f>
        <v/>
      </c>
      <c r="Q1512">
        <f t="shared" si="69"/>
        <v>0.2786764705882353</v>
      </c>
      <c r="R1512">
        <f>IF(AND(COUNTIF($A$2:$A$2027,A1512)&gt;1,COUNTIF($A$2:A1512,A1512)=1),1,0)</f>
        <v>0</v>
      </c>
      <c r="S1512" t="b">
        <f>IFERROR(VLOOKUP(D1512,Products!$A$2:$F$61,6,FALSE()),"")</f>
        <v>1</v>
      </c>
      <c r="T1512" t="str">
        <f>IF(COUNTIF(Customers!$A$2:$A$301,C1512)=0,"Missing","OK")</f>
        <v>Missing</v>
      </c>
      <c r="U1512" t="str">
        <f t="shared" si="70"/>
        <v>Mumbai</v>
      </c>
      <c r="V1512">
        <f t="shared" si="71"/>
        <v>0</v>
      </c>
    </row>
    <row r="1513" spans="1:22" ht="15" customHeight="1" x14ac:dyDescent="0.35">
      <c r="A1513" s="3" t="s">
        <v>1944</v>
      </c>
      <c r="B1513" s="4">
        <v>45569</v>
      </c>
      <c r="C1513" s="3" t="s">
        <v>195</v>
      </c>
      <c r="D1513" s="3" t="s">
        <v>382</v>
      </c>
      <c r="E1513" s="3" t="s">
        <v>31</v>
      </c>
      <c r="F1513" s="5">
        <v>2</v>
      </c>
      <c r="G1513" s="5">
        <v>5080</v>
      </c>
      <c r="H1513" s="5">
        <v>11.1</v>
      </c>
      <c r="I1513" s="5">
        <v>9032.24</v>
      </c>
      <c r="J1513" s="3" t="s">
        <v>26</v>
      </c>
      <c r="K1513" s="3" t="s">
        <v>72</v>
      </c>
      <c r="L1513" t="str">
        <f>IFERROR(VLOOKUP(D1513,Products!$A$2:$F$61,3,FALSE()),"")</f>
        <v>Home</v>
      </c>
      <c r="M1513" t="str">
        <f>IFERROR(VLOOKUP(E1513,Sales_Reps!$A$2:$C$31,3,FALSE()),"")</f>
        <v>North</v>
      </c>
      <c r="N1513">
        <f>IFERROR(VLOOKUP(D1513,Products!$A$2:$F$61,4,FALSE()),"")</f>
        <v>2459</v>
      </c>
      <c r="O1513" t="str">
        <f>IFERROR(VLOOKUP(C1513,Customers!$A$2:$F$301,5,FALSE()),"")</f>
        <v>Retail</v>
      </c>
      <c r="P1513">
        <f>IFERROR(VLOOKUP(C1513,Customers!$A$2:$F$301,3,FALSE()),"")</f>
        <v>27</v>
      </c>
      <c r="Q1513">
        <f t="shared" si="69"/>
        <v>0.51594488188976373</v>
      </c>
      <c r="R1513">
        <f>IF(AND(COUNTIF($A$2:$A$2027,A1513)&gt;1,COUNTIF($A$2:A1513,A1513)=1),1,0)</f>
        <v>0</v>
      </c>
      <c r="S1513" t="b">
        <f>IFERROR(VLOOKUP(D1513,Products!$A$2:$F$61,6,FALSE()),"")</f>
        <v>1</v>
      </c>
      <c r="T1513" t="str">
        <f>IF(COUNTIF(Customers!$A$2:$A$301,C1513)=0,"Missing","OK")</f>
        <v>OK</v>
      </c>
      <c r="U1513" t="str">
        <f t="shared" si="70"/>
        <v>Hyderabad</v>
      </c>
      <c r="V1513">
        <f t="shared" si="71"/>
        <v>0</v>
      </c>
    </row>
    <row r="1514" spans="1:22" ht="15" customHeight="1" x14ac:dyDescent="0.35">
      <c r="A1514" s="3" t="s">
        <v>1945</v>
      </c>
      <c r="B1514" s="4">
        <v>45329</v>
      </c>
      <c r="C1514" s="3" t="s">
        <v>1946</v>
      </c>
      <c r="D1514" s="3" t="s">
        <v>231</v>
      </c>
      <c r="E1514" s="3" t="s">
        <v>46</v>
      </c>
      <c r="F1514" s="5">
        <v>5</v>
      </c>
      <c r="G1514" s="5">
        <v>620</v>
      </c>
      <c r="H1514" s="5">
        <v>10.9</v>
      </c>
      <c r="I1514" s="5">
        <v>2762.1</v>
      </c>
      <c r="J1514" s="3" t="s">
        <v>32</v>
      </c>
      <c r="K1514" s="3" t="s">
        <v>33</v>
      </c>
      <c r="L1514" t="str">
        <f>IFERROR(VLOOKUP(D1514,Products!$A$2:$F$61,3,FALSE()),"")</f>
        <v>Apparel</v>
      </c>
      <c r="M1514" t="str">
        <f>IFERROR(VLOOKUP(E1514,Sales_Reps!$A$2:$C$31,3,FALSE()),"")</f>
        <v>North</v>
      </c>
      <c r="N1514">
        <f>IFERROR(VLOOKUP(D1514,Products!$A$2:$F$61,4,FALSE()),"")</f>
        <v>396</v>
      </c>
      <c r="O1514" t="str">
        <f>IFERROR(VLOOKUP(C1514,Customers!$A$2:$F$301,5,FALSE()),"")</f>
        <v/>
      </c>
      <c r="P1514" t="str">
        <f>IFERROR(VLOOKUP(C1514,Customers!$A$2:$F$301,3,FALSE()),"")</f>
        <v/>
      </c>
      <c r="Q1514">
        <f t="shared" si="69"/>
        <v>0.36129032258064514</v>
      </c>
      <c r="R1514">
        <f>IF(AND(COUNTIF($A$2:$A$2027,A1514)&gt;1,COUNTIF($A$2:A1514,A1514)=1),1,0)</f>
        <v>0</v>
      </c>
      <c r="S1514" t="b">
        <f>IFERROR(VLOOKUP(D1514,Products!$A$2:$F$61,6,FALSE()),"")</f>
        <v>1</v>
      </c>
      <c r="T1514" t="str">
        <f>IF(COUNTIF(Customers!$A$2:$A$301,C1514)=0,"Missing","OK")</f>
        <v>Missing</v>
      </c>
      <c r="U1514" t="str">
        <f t="shared" si="70"/>
        <v>Chennai</v>
      </c>
      <c r="V1514">
        <f t="shared" si="71"/>
        <v>0</v>
      </c>
    </row>
    <row r="1515" spans="1:22" ht="15" customHeight="1" x14ac:dyDescent="0.35">
      <c r="A1515" s="3" t="s">
        <v>1947</v>
      </c>
      <c r="B1515" s="4">
        <v>45377</v>
      </c>
      <c r="C1515" s="3" t="s">
        <v>247</v>
      </c>
      <c r="D1515" s="3" t="s">
        <v>106</v>
      </c>
      <c r="E1515" s="3" t="s">
        <v>87</v>
      </c>
      <c r="F1515" s="5">
        <v>3</v>
      </c>
      <c r="G1515" s="5">
        <v>2480</v>
      </c>
      <c r="H1515" s="5">
        <v>5</v>
      </c>
      <c r="I1515" s="5">
        <v>7068</v>
      </c>
      <c r="J1515" s="3" t="s">
        <v>26</v>
      </c>
      <c r="K1515" s="3" t="s">
        <v>27</v>
      </c>
      <c r="L1515" t="str">
        <f>IFERROR(VLOOKUP(D1515,Products!$A$2:$F$61,3,FALSE()),"")</f>
        <v>Apparel</v>
      </c>
      <c r="M1515" t="str">
        <f>IFERROR(VLOOKUP(E1515,Sales_Reps!$A$2:$C$31,3,FALSE()),"")</f>
        <v>North</v>
      </c>
      <c r="N1515">
        <f>IFERROR(VLOOKUP(D1515,Products!$A$2:$F$61,4,FALSE()),"")</f>
        <v>1173</v>
      </c>
      <c r="O1515" t="str">
        <f>IFERROR(VLOOKUP(C1515,Customers!$A$2:$F$301,5,FALSE()),"")</f>
        <v>SMB</v>
      </c>
      <c r="P1515">
        <f>IFERROR(VLOOKUP(C1515,Customers!$A$2:$F$301,3,FALSE()),"")</f>
        <v>54</v>
      </c>
      <c r="Q1515">
        <f t="shared" si="69"/>
        <v>0.52701612903225803</v>
      </c>
      <c r="R1515">
        <f>IF(AND(COUNTIF($A$2:$A$2027,A1515)&gt;1,COUNTIF($A$2:A1515,A1515)=1),1,0)</f>
        <v>0</v>
      </c>
      <c r="S1515" t="b">
        <f>IFERROR(VLOOKUP(D1515,Products!$A$2:$F$61,6,FALSE()),"")</f>
        <v>1</v>
      </c>
      <c r="T1515" t="str">
        <f>IF(COUNTIF(Customers!$A$2:$A$301,C1515)=0,"Missing","OK")</f>
        <v>OK</v>
      </c>
      <c r="U1515" t="str">
        <f t="shared" si="70"/>
        <v>Pune</v>
      </c>
      <c r="V1515">
        <f t="shared" si="71"/>
        <v>0</v>
      </c>
    </row>
    <row r="1516" spans="1:22" ht="15" customHeight="1" x14ac:dyDescent="0.35">
      <c r="A1516" s="3" t="s">
        <v>1948</v>
      </c>
      <c r="B1516" s="4">
        <v>45537</v>
      </c>
      <c r="C1516" s="3" t="s">
        <v>463</v>
      </c>
      <c r="D1516" s="3" t="s">
        <v>121</v>
      </c>
      <c r="E1516" s="3" t="s">
        <v>31</v>
      </c>
      <c r="F1516" s="5">
        <v>9</v>
      </c>
      <c r="G1516" s="5">
        <v>1010</v>
      </c>
      <c r="H1516" s="5">
        <v>21.9</v>
      </c>
      <c r="I1516" s="5">
        <v>7099.29</v>
      </c>
      <c r="J1516" s="3" t="s">
        <v>26</v>
      </c>
      <c r="K1516" s="3" t="s">
        <v>51</v>
      </c>
      <c r="L1516" t="str">
        <f>IFERROR(VLOOKUP(D1516,Products!$A$2:$F$61,3,FALSE()),"")</f>
        <v>Sports</v>
      </c>
      <c r="M1516" t="str">
        <f>IFERROR(VLOOKUP(E1516,Sales_Reps!$A$2:$C$31,3,FALSE()),"")</f>
        <v>North</v>
      </c>
      <c r="N1516">
        <f>IFERROR(VLOOKUP(D1516,Products!$A$2:$F$61,4,FALSE()),"")</f>
        <v>516</v>
      </c>
      <c r="O1516" t="str">
        <f>IFERROR(VLOOKUP(C1516,Customers!$A$2:$F$301,5,FALSE()),"")</f>
        <v>Corporate</v>
      </c>
      <c r="P1516">
        <f>IFERROR(VLOOKUP(C1516,Customers!$A$2:$F$301,3,FALSE()),"")</f>
        <v>55</v>
      </c>
      <c r="Q1516">
        <f t="shared" si="69"/>
        <v>0.4891089108910891</v>
      </c>
      <c r="R1516">
        <f>IF(AND(COUNTIF($A$2:$A$2027,A1516)&gt;1,COUNTIF($A$2:A1516,A1516)=1),1,0)</f>
        <v>0</v>
      </c>
      <c r="S1516" t="b">
        <f>IFERROR(VLOOKUP(D1516,Products!$A$2:$F$61,6,FALSE()),"")</f>
        <v>1</v>
      </c>
      <c r="T1516" t="str">
        <f>IF(COUNTIF(Customers!$A$2:$A$301,C1516)=0,"Missing","OK")</f>
        <v>OK</v>
      </c>
      <c r="U1516" t="str">
        <f t="shared" si="70"/>
        <v>Mumbai</v>
      </c>
      <c r="V1516">
        <f t="shared" si="71"/>
        <v>0</v>
      </c>
    </row>
    <row r="1517" spans="1:22" ht="15" customHeight="1" x14ac:dyDescent="0.35">
      <c r="A1517" s="3" t="s">
        <v>1949</v>
      </c>
      <c r="B1517" s="4">
        <v>45550</v>
      </c>
      <c r="C1517" s="3" t="s">
        <v>352</v>
      </c>
      <c r="D1517" s="3" t="s">
        <v>103</v>
      </c>
      <c r="E1517" s="3" t="s">
        <v>78</v>
      </c>
      <c r="F1517" s="5">
        <v>2</v>
      </c>
      <c r="G1517" s="5">
        <v>1080</v>
      </c>
      <c r="H1517" s="5">
        <v>8.5</v>
      </c>
      <c r="I1517" s="5">
        <v>1976.4</v>
      </c>
      <c r="J1517" s="3" t="s">
        <v>26</v>
      </c>
      <c r="K1517" s="3" t="s">
        <v>27</v>
      </c>
      <c r="L1517" t="str">
        <f>IFERROR(VLOOKUP(D1517,Products!$A$2:$F$61,3,FALSE()),"")</f>
        <v>Home</v>
      </c>
      <c r="M1517" t="str">
        <f>IFERROR(VLOOKUP(E1517,Sales_Reps!$A$2:$C$31,3,FALSE()),"")</f>
        <v>North</v>
      </c>
      <c r="N1517">
        <f>IFERROR(VLOOKUP(D1517,Products!$A$2:$F$61,4,FALSE()),"")</f>
        <v>519</v>
      </c>
      <c r="O1517" t="str">
        <f>IFERROR(VLOOKUP(C1517,Customers!$A$2:$F$301,5,FALSE()),"")</f>
        <v>Retail</v>
      </c>
      <c r="P1517">
        <f>IFERROR(VLOOKUP(C1517,Customers!$A$2:$F$301,3,FALSE()),"")</f>
        <v>22</v>
      </c>
      <c r="Q1517">
        <f t="shared" si="69"/>
        <v>0.51944444444444449</v>
      </c>
      <c r="R1517">
        <f>IF(AND(COUNTIF($A$2:$A$2027,A1517)&gt;1,COUNTIF($A$2:A1517,A1517)=1),1,0)</f>
        <v>0</v>
      </c>
      <c r="S1517" t="b">
        <f>IFERROR(VLOOKUP(D1517,Products!$A$2:$F$61,6,FALSE()),"")</f>
        <v>1</v>
      </c>
      <c r="T1517" t="str">
        <f>IF(COUNTIF(Customers!$A$2:$A$301,C1517)=0,"Missing","OK")</f>
        <v>OK</v>
      </c>
      <c r="U1517" t="str">
        <f t="shared" si="70"/>
        <v>Pune</v>
      </c>
      <c r="V1517">
        <f t="shared" si="71"/>
        <v>0</v>
      </c>
    </row>
    <row r="1518" spans="1:22" ht="15" customHeight="1" x14ac:dyDescent="0.35">
      <c r="A1518" s="3" t="s">
        <v>1950</v>
      </c>
      <c r="B1518" s="4">
        <v>45325</v>
      </c>
      <c r="C1518" s="3" t="s">
        <v>162</v>
      </c>
      <c r="D1518" s="3" t="s">
        <v>36</v>
      </c>
      <c r="E1518" s="3" t="s">
        <v>50</v>
      </c>
      <c r="F1518" s="5">
        <v>5</v>
      </c>
      <c r="G1518" s="5">
        <v>470</v>
      </c>
      <c r="H1518" s="5">
        <v>8</v>
      </c>
      <c r="I1518" s="5">
        <v>2162</v>
      </c>
      <c r="J1518" s="3" t="s">
        <v>26</v>
      </c>
      <c r="K1518" s="3" t="s">
        <v>38</v>
      </c>
      <c r="L1518" t="str">
        <f>IFERROR(VLOOKUP(D1518,Products!$A$2:$F$61,3,FALSE()),"")</f>
        <v>Sports</v>
      </c>
      <c r="M1518" t="str">
        <f>IFERROR(VLOOKUP(E1518,Sales_Reps!$A$2:$C$31,3,FALSE()),"")</f>
        <v>West</v>
      </c>
      <c r="N1518">
        <f>IFERROR(VLOOKUP(D1518,Products!$A$2:$F$61,4,FALSE()),"")</f>
        <v>302</v>
      </c>
      <c r="O1518" t="str">
        <f>IFERROR(VLOOKUP(C1518,Customers!$A$2:$F$301,5,FALSE()),"")</f>
        <v>Retail</v>
      </c>
      <c r="P1518">
        <f>IFERROR(VLOOKUP(C1518,Customers!$A$2:$F$301,3,FALSE()),"")</f>
        <v>53</v>
      </c>
      <c r="Q1518">
        <f t="shared" si="69"/>
        <v>0.35744680851063831</v>
      </c>
      <c r="R1518">
        <f>IF(AND(COUNTIF($A$2:$A$2027,A1518)&gt;1,COUNTIF($A$2:A1518,A1518)=1),1,0)</f>
        <v>0</v>
      </c>
      <c r="S1518" t="b">
        <f>IFERROR(VLOOKUP(D1518,Products!$A$2:$F$61,6,FALSE()),"")</f>
        <v>0</v>
      </c>
      <c r="T1518" t="str">
        <f>IF(COUNTIF(Customers!$A$2:$A$301,C1518)=0,"Missing","OK")</f>
        <v>OK</v>
      </c>
      <c r="U1518" t="str">
        <f t="shared" si="70"/>
        <v>Delhi</v>
      </c>
      <c r="V1518">
        <f t="shared" si="71"/>
        <v>0</v>
      </c>
    </row>
    <row r="1519" spans="1:22" ht="15" customHeight="1" x14ac:dyDescent="0.35">
      <c r="A1519" s="3" t="s">
        <v>1951</v>
      </c>
      <c r="B1519" s="4">
        <v>45375</v>
      </c>
      <c r="C1519" s="3" t="s">
        <v>279</v>
      </c>
      <c r="D1519" s="3" t="s">
        <v>347</v>
      </c>
      <c r="E1519" s="3" t="s">
        <v>131</v>
      </c>
      <c r="F1519" s="5">
        <v>9</v>
      </c>
      <c r="G1519" s="5">
        <v>3970</v>
      </c>
      <c r="H1519" s="5">
        <v>18.5</v>
      </c>
      <c r="I1519" s="5">
        <v>29119.95</v>
      </c>
      <c r="J1519" s="3" t="s">
        <v>26</v>
      </c>
      <c r="K1519" s="3" t="s">
        <v>27</v>
      </c>
      <c r="L1519" t="str">
        <f>IFERROR(VLOOKUP(D1519,Products!$A$2:$F$61,3,FALSE()),"")</f>
        <v>Electronics</v>
      </c>
      <c r="M1519" t="str">
        <f>IFERROR(VLOOKUP(E1519,Sales_Reps!$A$2:$C$31,3,FALSE()),"")</f>
        <v>East</v>
      </c>
      <c r="N1519">
        <f>IFERROR(VLOOKUP(D1519,Products!$A$2:$F$61,4,FALSE()),"")</f>
        <v>2865</v>
      </c>
      <c r="O1519" t="str">
        <f>IFERROR(VLOOKUP(C1519,Customers!$A$2:$F$301,5,FALSE()),"")</f>
        <v>Retail</v>
      </c>
      <c r="P1519">
        <f>IFERROR(VLOOKUP(C1519,Customers!$A$2:$F$301,3,FALSE()),"")</f>
        <v>25</v>
      </c>
      <c r="Q1519">
        <f t="shared" si="69"/>
        <v>0.27833753148614609</v>
      </c>
      <c r="R1519">
        <f>IF(AND(COUNTIF($A$2:$A$2027,A1519)&gt;1,COUNTIF($A$2:A1519,A1519)=1),1,0)</f>
        <v>0</v>
      </c>
      <c r="S1519" t="b">
        <f>IFERROR(VLOOKUP(D1519,Products!$A$2:$F$61,6,FALSE()),"")</f>
        <v>1</v>
      </c>
      <c r="T1519" t="str">
        <f>IF(COUNTIF(Customers!$A$2:$A$301,C1519)=0,"Missing","OK")</f>
        <v>OK</v>
      </c>
      <c r="U1519" t="str">
        <f t="shared" si="70"/>
        <v>Pune</v>
      </c>
      <c r="V1519">
        <f t="shared" si="71"/>
        <v>0</v>
      </c>
    </row>
    <row r="1520" spans="1:22" ht="15" customHeight="1" x14ac:dyDescent="0.35">
      <c r="A1520" s="3" t="s">
        <v>1952</v>
      </c>
      <c r="B1520" s="4">
        <v>45614</v>
      </c>
      <c r="C1520" s="3" t="s">
        <v>1173</v>
      </c>
      <c r="D1520" s="3" t="s">
        <v>115</v>
      </c>
      <c r="E1520" s="3" t="s">
        <v>71</v>
      </c>
      <c r="F1520" s="5">
        <v>9</v>
      </c>
      <c r="G1520" s="5">
        <v>1650</v>
      </c>
      <c r="H1520" s="5">
        <v>19.5</v>
      </c>
      <c r="I1520" s="5">
        <v>11954.25</v>
      </c>
      <c r="J1520" s="3" t="s">
        <v>26</v>
      </c>
      <c r="K1520" s="3" t="s">
        <v>51</v>
      </c>
      <c r="L1520" t="str">
        <f>IFERROR(VLOOKUP(D1520,Products!$A$2:$F$61,3,FALSE()),"")</f>
        <v>Beauty</v>
      </c>
      <c r="M1520" t="str">
        <f>IFERROR(VLOOKUP(E1520,Sales_Reps!$A$2:$C$31,3,FALSE()),"")</f>
        <v>South</v>
      </c>
      <c r="N1520">
        <f>IFERROR(VLOOKUP(D1520,Products!$A$2:$F$61,4,FALSE()),"")</f>
        <v>1222</v>
      </c>
      <c r="O1520" t="str">
        <f>IFERROR(VLOOKUP(C1520,Customers!$A$2:$F$301,5,FALSE()),"")</f>
        <v>Retail</v>
      </c>
      <c r="P1520">
        <f>IFERROR(VLOOKUP(C1520,Customers!$A$2:$F$301,3,FALSE()),"")</f>
        <v>29</v>
      </c>
      <c r="Q1520">
        <f t="shared" si="69"/>
        <v>0.2593939393939394</v>
      </c>
      <c r="R1520">
        <f>IF(AND(COUNTIF($A$2:$A$2027,A1520)&gt;1,COUNTIF($A$2:A1520,A1520)=1),1,0)</f>
        <v>0</v>
      </c>
      <c r="S1520" t="b">
        <f>IFERROR(VLOOKUP(D1520,Products!$A$2:$F$61,6,FALSE()),"")</f>
        <v>1</v>
      </c>
      <c r="T1520" t="str">
        <f>IF(COUNTIF(Customers!$A$2:$A$301,C1520)=0,"Missing","OK")</f>
        <v>OK</v>
      </c>
      <c r="U1520" t="str">
        <f t="shared" si="70"/>
        <v>Mumbai</v>
      </c>
      <c r="V1520">
        <f t="shared" si="71"/>
        <v>0</v>
      </c>
    </row>
    <row r="1521" spans="1:22" ht="15" customHeight="1" x14ac:dyDescent="0.35">
      <c r="A1521" s="3" t="s">
        <v>1953</v>
      </c>
      <c r="B1521" s="4">
        <v>45364</v>
      </c>
      <c r="C1521" s="3" t="s">
        <v>608</v>
      </c>
      <c r="D1521" s="3" t="s">
        <v>118</v>
      </c>
      <c r="E1521" s="3" t="s">
        <v>42</v>
      </c>
      <c r="F1521" s="5">
        <v>9</v>
      </c>
      <c r="G1521" s="5">
        <v>3350</v>
      </c>
      <c r="H1521" s="5">
        <v>4.0999999999999996</v>
      </c>
      <c r="I1521" s="5">
        <v>28913.85</v>
      </c>
      <c r="J1521" s="3" t="s">
        <v>26</v>
      </c>
      <c r="K1521" s="3" t="s">
        <v>72</v>
      </c>
      <c r="L1521" t="str">
        <f>IFERROR(VLOOKUP(D1521,Products!$A$2:$F$61,3,FALSE()),"")</f>
        <v>Beauty</v>
      </c>
      <c r="M1521" t="str">
        <f>IFERROR(VLOOKUP(E1521,Sales_Reps!$A$2:$C$31,3,FALSE()),"")</f>
        <v>North</v>
      </c>
      <c r="N1521">
        <f>IFERROR(VLOOKUP(D1521,Products!$A$2:$F$61,4,FALSE()),"")</f>
        <v>1728</v>
      </c>
      <c r="O1521" t="str">
        <f>IFERROR(VLOOKUP(C1521,Customers!$A$2:$F$301,5,FALSE()),"")</f>
        <v>Retail</v>
      </c>
      <c r="P1521">
        <f>IFERROR(VLOOKUP(C1521,Customers!$A$2:$F$301,3,FALSE()),"")</f>
        <v>31</v>
      </c>
      <c r="Q1521">
        <f t="shared" si="69"/>
        <v>0.48417910447761192</v>
      </c>
      <c r="R1521">
        <f>IF(AND(COUNTIF($A$2:$A$2027,A1521)&gt;1,COUNTIF($A$2:A1521,A1521)=1),1,0)</f>
        <v>0</v>
      </c>
      <c r="S1521" t="b">
        <f>IFERROR(VLOOKUP(D1521,Products!$A$2:$F$61,6,FALSE()),"")</f>
        <v>1</v>
      </c>
      <c r="T1521" t="str">
        <f>IF(COUNTIF(Customers!$A$2:$A$301,C1521)=0,"Missing","OK")</f>
        <v>OK</v>
      </c>
      <c r="U1521" t="str">
        <f t="shared" si="70"/>
        <v>Hyderabad</v>
      </c>
      <c r="V1521">
        <f t="shared" si="71"/>
        <v>0</v>
      </c>
    </row>
    <row r="1522" spans="1:22" ht="15" customHeight="1" x14ac:dyDescent="0.35">
      <c r="A1522" s="3" t="s">
        <v>1954</v>
      </c>
      <c r="B1522" s="4">
        <v>45342</v>
      </c>
      <c r="C1522" s="3" t="s">
        <v>205</v>
      </c>
      <c r="D1522" s="3" t="s">
        <v>347</v>
      </c>
      <c r="E1522" s="3" t="s">
        <v>93</v>
      </c>
      <c r="F1522" s="5">
        <v>7</v>
      </c>
      <c r="G1522" s="5">
        <v>3970</v>
      </c>
      <c r="H1522" s="5">
        <v>15.6</v>
      </c>
      <c r="I1522" s="5">
        <v>23454.76</v>
      </c>
      <c r="J1522" s="3" t="s">
        <v>26</v>
      </c>
      <c r="K1522" s="3" t="s">
        <v>38</v>
      </c>
      <c r="L1522" t="str">
        <f>IFERROR(VLOOKUP(D1522,Products!$A$2:$F$61,3,FALSE()),"")</f>
        <v>Electronics</v>
      </c>
      <c r="M1522" t="str">
        <f>IFERROR(VLOOKUP(E1522,Sales_Reps!$A$2:$C$31,3,FALSE()),"")</f>
        <v>East</v>
      </c>
      <c r="N1522">
        <f>IFERROR(VLOOKUP(D1522,Products!$A$2:$F$61,4,FALSE()),"")</f>
        <v>2865</v>
      </c>
      <c r="O1522" t="str">
        <f>IFERROR(VLOOKUP(C1522,Customers!$A$2:$F$301,5,FALSE()),"")</f>
        <v>Corporate</v>
      </c>
      <c r="P1522">
        <f>IFERROR(VLOOKUP(C1522,Customers!$A$2:$F$301,3,FALSE()),"")</f>
        <v>55</v>
      </c>
      <c r="Q1522">
        <f t="shared" si="69"/>
        <v>0.27833753148614609</v>
      </c>
      <c r="R1522">
        <f>IF(AND(COUNTIF($A$2:$A$2027,A1522)&gt;1,COUNTIF($A$2:A1522,A1522)=1),1,0)</f>
        <v>0</v>
      </c>
      <c r="S1522" t="b">
        <f>IFERROR(VLOOKUP(D1522,Products!$A$2:$F$61,6,FALSE()),"")</f>
        <v>1</v>
      </c>
      <c r="T1522" t="str">
        <f>IF(COUNTIF(Customers!$A$2:$A$301,C1522)=0,"Missing","OK")</f>
        <v>OK</v>
      </c>
      <c r="U1522" t="str">
        <f t="shared" si="70"/>
        <v>Delhi</v>
      </c>
      <c r="V1522">
        <f t="shared" si="71"/>
        <v>0</v>
      </c>
    </row>
    <row r="1523" spans="1:22" ht="15" customHeight="1" x14ac:dyDescent="0.35">
      <c r="A1523" s="3" t="s">
        <v>1955</v>
      </c>
      <c r="B1523" s="4">
        <v>45454</v>
      </c>
      <c r="C1523" s="3" t="s">
        <v>677</v>
      </c>
      <c r="D1523" s="3" t="s">
        <v>173</v>
      </c>
      <c r="E1523" s="3" t="s">
        <v>242</v>
      </c>
      <c r="F1523" s="5">
        <v>7</v>
      </c>
      <c r="G1523" s="5">
        <v>3780</v>
      </c>
      <c r="H1523" s="5">
        <v>18.7</v>
      </c>
      <c r="I1523" s="5">
        <v>21511.98</v>
      </c>
      <c r="J1523" s="3" t="s">
        <v>26</v>
      </c>
      <c r="K1523" s="3" t="s">
        <v>27</v>
      </c>
      <c r="L1523" t="str">
        <f>IFERROR(VLOOKUP(D1523,Products!$A$2:$F$61,3,FALSE()),"")</f>
        <v>Grocery</v>
      </c>
      <c r="M1523" t="str">
        <f>IFERROR(VLOOKUP(E1523,Sales_Reps!$A$2:$C$31,3,FALSE()),"")</f>
        <v>East</v>
      </c>
      <c r="N1523">
        <f>IFERROR(VLOOKUP(D1523,Products!$A$2:$F$61,4,FALSE()),"")</f>
        <v>2436</v>
      </c>
      <c r="O1523" t="str">
        <f>IFERROR(VLOOKUP(C1523,Customers!$A$2:$F$301,5,FALSE()),"")</f>
        <v>Retail</v>
      </c>
      <c r="P1523">
        <f>IFERROR(VLOOKUP(C1523,Customers!$A$2:$F$301,3,FALSE()),"")</f>
        <v>36</v>
      </c>
      <c r="Q1523">
        <f t="shared" si="69"/>
        <v>0.35555555555555557</v>
      </c>
      <c r="R1523">
        <f>IF(AND(COUNTIF($A$2:$A$2027,A1523)&gt;1,COUNTIF($A$2:A1523,A1523)=1),1,0)</f>
        <v>0</v>
      </c>
      <c r="S1523" t="b">
        <f>IFERROR(VLOOKUP(D1523,Products!$A$2:$F$61,6,FALSE()),"")</f>
        <v>1</v>
      </c>
      <c r="T1523" t="str">
        <f>IF(COUNTIF(Customers!$A$2:$A$301,C1523)=0,"Missing","OK")</f>
        <v>OK</v>
      </c>
      <c r="U1523" t="str">
        <f t="shared" si="70"/>
        <v>Pune</v>
      </c>
      <c r="V1523">
        <f t="shared" si="71"/>
        <v>0</v>
      </c>
    </row>
    <row r="1524" spans="1:22" ht="15" customHeight="1" x14ac:dyDescent="0.35">
      <c r="A1524" s="3" t="s">
        <v>1956</v>
      </c>
      <c r="B1524" s="4">
        <v>45625</v>
      </c>
      <c r="C1524" s="3" t="s">
        <v>574</v>
      </c>
      <c r="D1524" s="3" t="s">
        <v>30</v>
      </c>
      <c r="E1524" s="3" t="s">
        <v>191</v>
      </c>
      <c r="F1524" s="5">
        <v>4</v>
      </c>
      <c r="G1524" s="5">
        <v>820</v>
      </c>
      <c r="H1524" s="5">
        <v>18.8</v>
      </c>
      <c r="I1524" s="5">
        <v>2663.36</v>
      </c>
      <c r="J1524" s="3" t="s">
        <v>79</v>
      </c>
      <c r="K1524" s="3" t="s">
        <v>38</v>
      </c>
      <c r="L1524" t="str">
        <f>IFERROR(VLOOKUP(D1524,Products!$A$2:$F$61,3,FALSE()),"")</f>
        <v>Apparel</v>
      </c>
      <c r="M1524" t="str">
        <f>IFERROR(VLOOKUP(E1524,Sales_Reps!$A$2:$C$31,3,FALSE()),"")</f>
        <v>South</v>
      </c>
      <c r="N1524">
        <f>IFERROR(VLOOKUP(D1524,Products!$A$2:$F$61,4,FALSE()),"")</f>
        <v>391</v>
      </c>
      <c r="O1524" t="str">
        <f>IFERROR(VLOOKUP(C1524,Customers!$A$2:$F$301,5,FALSE()),"")</f>
        <v>Retail</v>
      </c>
      <c r="P1524">
        <f>IFERROR(VLOOKUP(C1524,Customers!$A$2:$F$301,3,FALSE()),"")</f>
        <v>49</v>
      </c>
      <c r="Q1524">
        <f t="shared" si="69"/>
        <v>0.52317073170731709</v>
      </c>
      <c r="R1524">
        <f>IF(AND(COUNTIF($A$2:$A$2027,A1524)&gt;1,COUNTIF($A$2:A1524,A1524)=1),1,0)</f>
        <v>0</v>
      </c>
      <c r="S1524" t="b">
        <f>IFERROR(VLOOKUP(D1524,Products!$A$2:$F$61,6,FALSE()),"")</f>
        <v>1</v>
      </c>
      <c r="T1524" t="str">
        <f>IF(COUNTIF(Customers!$A$2:$A$301,C1524)=0,"Missing","OK")</f>
        <v>OK</v>
      </c>
      <c r="U1524" t="str">
        <f t="shared" si="70"/>
        <v>Delhi</v>
      </c>
      <c r="V1524">
        <f t="shared" si="71"/>
        <v>0</v>
      </c>
    </row>
    <row r="1525" spans="1:22" ht="15" customHeight="1" x14ac:dyDescent="0.35">
      <c r="A1525" s="3" t="s">
        <v>1957</v>
      </c>
      <c r="B1525" s="4">
        <v>45600</v>
      </c>
      <c r="C1525" s="3" t="s">
        <v>668</v>
      </c>
      <c r="D1525" s="3" t="s">
        <v>115</v>
      </c>
      <c r="E1525" s="3" t="s">
        <v>224</v>
      </c>
      <c r="F1525" s="5">
        <v>1</v>
      </c>
      <c r="G1525" s="5">
        <v>1650</v>
      </c>
      <c r="H1525" s="5">
        <v>18.8</v>
      </c>
      <c r="I1525" s="5">
        <v>1339.8</v>
      </c>
      <c r="J1525" s="3" t="s">
        <v>79</v>
      </c>
      <c r="K1525" s="3" t="s">
        <v>51</v>
      </c>
      <c r="L1525" t="str">
        <f>IFERROR(VLOOKUP(D1525,Products!$A$2:$F$61,3,FALSE()),"")</f>
        <v>Beauty</v>
      </c>
      <c r="M1525" t="str">
        <f>IFERROR(VLOOKUP(E1525,Sales_Reps!$A$2:$C$31,3,FALSE()),"")</f>
        <v>East</v>
      </c>
      <c r="N1525">
        <f>IFERROR(VLOOKUP(D1525,Products!$A$2:$F$61,4,FALSE()),"")</f>
        <v>1222</v>
      </c>
      <c r="O1525" t="str">
        <f>IFERROR(VLOOKUP(C1525,Customers!$A$2:$F$301,5,FALSE()),"")</f>
        <v>Retail</v>
      </c>
      <c r="P1525">
        <f>IFERROR(VLOOKUP(C1525,Customers!$A$2:$F$301,3,FALSE()),"")</f>
        <v>56</v>
      </c>
      <c r="Q1525">
        <f t="shared" si="69"/>
        <v>0.2593939393939394</v>
      </c>
      <c r="R1525">
        <f>IF(AND(COUNTIF($A$2:$A$2027,A1525)&gt;1,COUNTIF($A$2:A1525,A1525)=1),1,0)</f>
        <v>0</v>
      </c>
      <c r="S1525" t="b">
        <f>IFERROR(VLOOKUP(D1525,Products!$A$2:$F$61,6,FALSE()),"")</f>
        <v>1</v>
      </c>
      <c r="T1525" t="str">
        <f>IF(COUNTIF(Customers!$A$2:$A$301,C1525)=0,"Missing","OK")</f>
        <v>OK</v>
      </c>
      <c r="U1525" t="str">
        <f t="shared" si="70"/>
        <v>Mumbai</v>
      </c>
      <c r="V1525">
        <f t="shared" si="71"/>
        <v>0</v>
      </c>
    </row>
    <row r="1526" spans="1:22" ht="15" customHeight="1" x14ac:dyDescent="0.35">
      <c r="A1526" s="3" t="s">
        <v>1958</v>
      </c>
      <c r="B1526" s="4">
        <v>45397</v>
      </c>
      <c r="C1526" s="3" t="s">
        <v>279</v>
      </c>
      <c r="D1526" s="3" t="s">
        <v>173</v>
      </c>
      <c r="E1526" s="3" t="s">
        <v>97</v>
      </c>
      <c r="F1526" s="5">
        <v>2</v>
      </c>
      <c r="G1526" s="5">
        <v>3780</v>
      </c>
      <c r="H1526" s="5">
        <v>1</v>
      </c>
      <c r="I1526" s="5">
        <v>7484.4</v>
      </c>
      <c r="J1526" s="3" t="s">
        <v>83</v>
      </c>
      <c r="K1526" s="3" t="s">
        <v>27</v>
      </c>
      <c r="L1526" t="str">
        <f>IFERROR(VLOOKUP(D1526,Products!$A$2:$F$61,3,FALSE()),"")</f>
        <v>Grocery</v>
      </c>
      <c r="M1526" t="str">
        <f>IFERROR(VLOOKUP(E1526,Sales_Reps!$A$2:$C$31,3,FALSE()),"")</f>
        <v>East</v>
      </c>
      <c r="N1526">
        <f>IFERROR(VLOOKUP(D1526,Products!$A$2:$F$61,4,FALSE()),"")</f>
        <v>2436</v>
      </c>
      <c r="O1526" t="str">
        <f>IFERROR(VLOOKUP(C1526,Customers!$A$2:$F$301,5,FALSE()),"")</f>
        <v>Retail</v>
      </c>
      <c r="P1526">
        <f>IFERROR(VLOOKUP(C1526,Customers!$A$2:$F$301,3,FALSE()),"")</f>
        <v>25</v>
      </c>
      <c r="Q1526">
        <f t="shared" si="69"/>
        <v>0.35555555555555557</v>
      </c>
      <c r="R1526">
        <f>IF(AND(COUNTIF($A$2:$A$2027,A1526)&gt;1,COUNTIF($A$2:A1526,A1526)=1),1,0)</f>
        <v>0</v>
      </c>
      <c r="S1526" t="b">
        <f>IFERROR(VLOOKUP(D1526,Products!$A$2:$F$61,6,FALSE()),"")</f>
        <v>1</v>
      </c>
      <c r="T1526" t="str">
        <f>IF(COUNTIF(Customers!$A$2:$A$301,C1526)=0,"Missing","OK")</f>
        <v>OK</v>
      </c>
      <c r="U1526" t="str">
        <f t="shared" si="70"/>
        <v>Pune</v>
      </c>
      <c r="V1526">
        <f t="shared" si="71"/>
        <v>0</v>
      </c>
    </row>
    <row r="1527" spans="1:22" ht="15" customHeight="1" x14ac:dyDescent="0.35">
      <c r="A1527" s="3" t="s">
        <v>1959</v>
      </c>
      <c r="B1527" s="4">
        <v>45417</v>
      </c>
      <c r="C1527" s="3" t="s">
        <v>386</v>
      </c>
      <c r="D1527" s="3" t="s">
        <v>277</v>
      </c>
      <c r="E1527" s="3" t="s">
        <v>282</v>
      </c>
      <c r="F1527" s="5">
        <v>5</v>
      </c>
      <c r="G1527" s="5">
        <v>2210</v>
      </c>
      <c r="H1527" s="5">
        <v>16.600000000000001</v>
      </c>
      <c r="I1527" s="5">
        <v>9215.7000000000007</v>
      </c>
      <c r="J1527" s="3" t="s">
        <v>26</v>
      </c>
      <c r="K1527" s="3" t="s">
        <v>51</v>
      </c>
      <c r="L1527" t="str">
        <f>IFERROR(VLOOKUP(D1527,Products!$A$2:$F$61,3,FALSE()),"")</f>
        <v>Grocery</v>
      </c>
      <c r="M1527" t="str">
        <f>IFERROR(VLOOKUP(E1527,Sales_Reps!$A$2:$C$31,3,FALSE()),"")</f>
        <v>West</v>
      </c>
      <c r="N1527">
        <f>IFERROR(VLOOKUP(D1527,Products!$A$2:$F$61,4,FALSE()),"")</f>
        <v>1010</v>
      </c>
      <c r="O1527" t="str">
        <f>IFERROR(VLOOKUP(C1527,Customers!$A$2:$F$301,5,FALSE()),"")</f>
        <v>Retail</v>
      </c>
      <c r="P1527">
        <f>IFERROR(VLOOKUP(C1527,Customers!$A$2:$F$301,3,FALSE()),"")</f>
        <v>41</v>
      </c>
      <c r="Q1527">
        <f t="shared" si="69"/>
        <v>0.54298642533936647</v>
      </c>
      <c r="R1527">
        <f>IF(AND(COUNTIF($A$2:$A$2027,A1527)&gt;1,COUNTIF($A$2:A1527,A1527)=1),1,0)</f>
        <v>0</v>
      </c>
      <c r="S1527" t="b">
        <f>IFERROR(VLOOKUP(D1527,Products!$A$2:$F$61,6,FALSE()),"")</f>
        <v>1</v>
      </c>
      <c r="T1527" t="str">
        <f>IF(COUNTIF(Customers!$A$2:$A$301,C1527)=0,"Missing","OK")</f>
        <v>OK</v>
      </c>
      <c r="U1527" t="str">
        <f t="shared" si="70"/>
        <v>Mumbai</v>
      </c>
      <c r="V1527">
        <f t="shared" si="71"/>
        <v>0</v>
      </c>
    </row>
    <row r="1528" spans="1:22" ht="15" customHeight="1" x14ac:dyDescent="0.35">
      <c r="A1528" s="3" t="s">
        <v>1960</v>
      </c>
      <c r="B1528" s="4">
        <v>45487</v>
      </c>
      <c r="C1528" s="3" t="s">
        <v>594</v>
      </c>
      <c r="D1528" s="3" t="s">
        <v>454</v>
      </c>
      <c r="E1528" s="3" t="s">
        <v>71</v>
      </c>
      <c r="F1528" s="5">
        <v>10</v>
      </c>
      <c r="G1528" s="5">
        <v>6940</v>
      </c>
      <c r="H1528" s="5">
        <v>10.6</v>
      </c>
      <c r="I1528" s="5">
        <v>62043.6</v>
      </c>
      <c r="J1528" s="3" t="s">
        <v>26</v>
      </c>
      <c r="K1528" s="3" t="s">
        <v>72</v>
      </c>
      <c r="L1528" t="str">
        <f>IFERROR(VLOOKUP(D1528,Products!$A$2:$F$61,3,FALSE()),"")</f>
        <v>Sports</v>
      </c>
      <c r="M1528" t="str">
        <f>IFERROR(VLOOKUP(E1528,Sales_Reps!$A$2:$C$31,3,FALSE()),"")</f>
        <v>South</v>
      </c>
      <c r="N1528">
        <f>IFERROR(VLOOKUP(D1528,Products!$A$2:$F$61,4,FALSE()),"")</f>
        <v>2827</v>
      </c>
      <c r="O1528" t="str">
        <f>IFERROR(VLOOKUP(C1528,Customers!$A$2:$F$301,5,FALSE()),"")</f>
        <v>Retail</v>
      </c>
      <c r="P1528">
        <f>IFERROR(VLOOKUP(C1528,Customers!$A$2:$F$301,3,FALSE()),"")</f>
        <v>27</v>
      </c>
      <c r="Q1528">
        <f t="shared" si="69"/>
        <v>0.5926512968299712</v>
      </c>
      <c r="R1528">
        <f>IF(AND(COUNTIF($A$2:$A$2027,A1528)&gt;1,COUNTIF($A$2:A1528,A1528)=1),1,0)</f>
        <v>0</v>
      </c>
      <c r="S1528" t="b">
        <f>IFERROR(VLOOKUP(D1528,Products!$A$2:$F$61,6,FALSE()),"")</f>
        <v>1</v>
      </c>
      <c r="T1528" t="str">
        <f>IF(COUNTIF(Customers!$A$2:$A$301,C1528)=0,"Missing","OK")</f>
        <v>OK</v>
      </c>
      <c r="U1528" t="str">
        <f t="shared" si="70"/>
        <v>Hyderabad</v>
      </c>
      <c r="V1528">
        <f t="shared" si="71"/>
        <v>0</v>
      </c>
    </row>
    <row r="1529" spans="1:22" ht="15" customHeight="1" x14ac:dyDescent="0.35">
      <c r="A1529" s="3" t="s">
        <v>1961</v>
      </c>
      <c r="B1529" s="4">
        <v>45454</v>
      </c>
      <c r="C1529" s="3" t="s">
        <v>308</v>
      </c>
      <c r="D1529" s="3" t="s">
        <v>325</v>
      </c>
      <c r="E1529" s="3" t="s">
        <v>31</v>
      </c>
      <c r="F1529" s="5">
        <v>8</v>
      </c>
      <c r="G1529" s="5">
        <v>2290</v>
      </c>
      <c r="H1529" s="5">
        <v>12.2</v>
      </c>
      <c r="I1529" s="5">
        <v>16084.96</v>
      </c>
      <c r="J1529" s="3" t="s">
        <v>26</v>
      </c>
      <c r="K1529" s="3" t="s">
        <v>33</v>
      </c>
      <c r="L1529" t="str">
        <f>IFERROR(VLOOKUP(D1529,Products!$A$2:$F$61,3,FALSE()),"")</f>
        <v>Beauty</v>
      </c>
      <c r="M1529" t="str">
        <f>IFERROR(VLOOKUP(E1529,Sales_Reps!$A$2:$C$31,3,FALSE()),"")</f>
        <v>North</v>
      </c>
      <c r="N1529">
        <f>IFERROR(VLOOKUP(D1529,Products!$A$2:$F$61,4,FALSE()),"")</f>
        <v>1219</v>
      </c>
      <c r="O1529" t="str">
        <f>IFERROR(VLOOKUP(C1529,Customers!$A$2:$F$301,5,FALSE()),"")</f>
        <v>SMB</v>
      </c>
      <c r="P1529">
        <f>IFERROR(VLOOKUP(C1529,Customers!$A$2:$F$301,3,FALSE()),"")</f>
        <v>62</v>
      </c>
      <c r="Q1529">
        <f t="shared" si="69"/>
        <v>0.46768558951965067</v>
      </c>
      <c r="R1529">
        <f>IF(AND(COUNTIF($A$2:$A$2027,A1529)&gt;1,COUNTIF($A$2:A1529,A1529)=1),1,0)</f>
        <v>0</v>
      </c>
      <c r="S1529" t="b">
        <f>IFERROR(VLOOKUP(D1529,Products!$A$2:$F$61,6,FALSE()),"")</f>
        <v>1</v>
      </c>
      <c r="T1529" t="str">
        <f>IF(COUNTIF(Customers!$A$2:$A$301,C1529)=0,"Missing","OK")</f>
        <v>OK</v>
      </c>
      <c r="U1529" t="str">
        <f t="shared" si="70"/>
        <v>Chennai</v>
      </c>
      <c r="V1529">
        <f t="shared" si="71"/>
        <v>0</v>
      </c>
    </row>
    <row r="1530" spans="1:22" ht="15" customHeight="1" x14ac:dyDescent="0.35">
      <c r="A1530" s="3" t="s">
        <v>1962</v>
      </c>
      <c r="B1530" s="4">
        <v>45529</v>
      </c>
      <c r="C1530" s="3" t="s">
        <v>281</v>
      </c>
      <c r="D1530" s="3" t="s">
        <v>234</v>
      </c>
      <c r="E1530" s="3" t="s">
        <v>50</v>
      </c>
      <c r="F1530" s="5">
        <v>5</v>
      </c>
      <c r="G1530" s="5">
        <v>2030</v>
      </c>
      <c r="H1530" s="5">
        <v>23.8</v>
      </c>
      <c r="I1530" s="5">
        <v>7734.3</v>
      </c>
      <c r="J1530" s="3" t="s">
        <v>79</v>
      </c>
      <c r="K1530" s="3" t="s">
        <v>33</v>
      </c>
      <c r="L1530" t="str">
        <f>IFERROR(VLOOKUP(D1530,Products!$A$2:$F$61,3,FALSE()),"")</f>
        <v>Home</v>
      </c>
      <c r="M1530" t="str">
        <f>IFERROR(VLOOKUP(E1530,Sales_Reps!$A$2:$C$31,3,FALSE()),"")</f>
        <v>West</v>
      </c>
      <c r="N1530">
        <f>IFERROR(VLOOKUP(D1530,Products!$A$2:$F$61,4,FALSE()),"")</f>
        <v>1143</v>
      </c>
      <c r="O1530" t="str">
        <f>IFERROR(VLOOKUP(C1530,Customers!$A$2:$F$301,5,FALSE()),"")</f>
        <v>Retail</v>
      </c>
      <c r="P1530">
        <f>IFERROR(VLOOKUP(C1530,Customers!$A$2:$F$301,3,FALSE()),"")</f>
        <v>26</v>
      </c>
      <c r="Q1530">
        <f t="shared" si="69"/>
        <v>0.43694581280788175</v>
      </c>
      <c r="R1530">
        <f>IF(AND(COUNTIF($A$2:$A$2027,A1530)&gt;1,COUNTIF($A$2:A1530,A1530)=1),1,0)</f>
        <v>0</v>
      </c>
      <c r="S1530" t="b">
        <f>IFERROR(VLOOKUP(D1530,Products!$A$2:$F$61,6,FALSE()),"")</f>
        <v>1</v>
      </c>
      <c r="T1530" t="str">
        <f>IF(COUNTIF(Customers!$A$2:$A$301,C1530)=0,"Missing","OK")</f>
        <v>OK</v>
      </c>
      <c r="U1530" t="str">
        <f t="shared" si="70"/>
        <v>Chennai</v>
      </c>
      <c r="V1530">
        <f t="shared" si="71"/>
        <v>0</v>
      </c>
    </row>
    <row r="1531" spans="1:22" ht="15" customHeight="1" x14ac:dyDescent="0.35">
      <c r="A1531" s="3" t="s">
        <v>1963</v>
      </c>
      <c r="B1531" s="4">
        <v>45546</v>
      </c>
      <c r="C1531" s="3" t="s">
        <v>379</v>
      </c>
      <c r="D1531" s="3" t="s">
        <v>347</v>
      </c>
      <c r="E1531" s="3" t="s">
        <v>168</v>
      </c>
      <c r="F1531" s="5">
        <v>3</v>
      </c>
      <c r="G1531" s="5">
        <v>3970</v>
      </c>
      <c r="H1531" s="5">
        <v>7.7</v>
      </c>
      <c r="I1531" s="5">
        <v>10992.93</v>
      </c>
      <c r="J1531" s="3" t="s">
        <v>26</v>
      </c>
      <c r="K1531" s="3" t="s">
        <v>27</v>
      </c>
      <c r="L1531" t="str">
        <f>IFERROR(VLOOKUP(D1531,Products!$A$2:$F$61,3,FALSE()),"")</f>
        <v>Electronics</v>
      </c>
      <c r="M1531" t="str">
        <f>IFERROR(VLOOKUP(E1531,Sales_Reps!$A$2:$C$31,3,FALSE()),"")</f>
        <v>West</v>
      </c>
      <c r="N1531">
        <f>IFERROR(VLOOKUP(D1531,Products!$A$2:$F$61,4,FALSE()),"")</f>
        <v>2865</v>
      </c>
      <c r="O1531" t="str">
        <f>IFERROR(VLOOKUP(C1531,Customers!$A$2:$F$301,5,FALSE()),"")</f>
        <v>SMB</v>
      </c>
      <c r="P1531">
        <f>IFERROR(VLOOKUP(C1531,Customers!$A$2:$F$301,3,FALSE()),"")</f>
        <v>30</v>
      </c>
      <c r="Q1531">
        <f t="shared" si="69"/>
        <v>0.27833753148614609</v>
      </c>
      <c r="R1531">
        <f>IF(AND(COUNTIF($A$2:$A$2027,A1531)&gt;1,COUNTIF($A$2:A1531,A1531)=1),1,0)</f>
        <v>0</v>
      </c>
      <c r="S1531" t="b">
        <f>IFERROR(VLOOKUP(D1531,Products!$A$2:$F$61,6,FALSE()),"")</f>
        <v>1</v>
      </c>
      <c r="T1531" t="str">
        <f>IF(COUNTIF(Customers!$A$2:$A$301,C1531)=0,"Missing","OK")</f>
        <v>OK</v>
      </c>
      <c r="U1531" t="str">
        <f t="shared" si="70"/>
        <v>Pune</v>
      </c>
      <c r="V1531">
        <f t="shared" si="71"/>
        <v>0</v>
      </c>
    </row>
    <row r="1532" spans="1:22" ht="15" customHeight="1" x14ac:dyDescent="0.35">
      <c r="A1532" s="3" t="s">
        <v>1964</v>
      </c>
      <c r="B1532" s="4">
        <v>45481</v>
      </c>
      <c r="C1532" s="3" t="s">
        <v>651</v>
      </c>
      <c r="D1532" s="3" t="s">
        <v>30</v>
      </c>
      <c r="E1532" s="3" t="s">
        <v>285</v>
      </c>
      <c r="F1532" s="5">
        <v>1</v>
      </c>
      <c r="G1532" s="5">
        <v>820</v>
      </c>
      <c r="H1532" s="5">
        <v>5.4</v>
      </c>
      <c r="I1532" s="5">
        <v>775.72</v>
      </c>
      <c r="J1532" s="3" t="s">
        <v>26</v>
      </c>
      <c r="K1532" s="3" t="s">
        <v>51</v>
      </c>
      <c r="L1532" t="str">
        <f>IFERROR(VLOOKUP(D1532,Products!$A$2:$F$61,3,FALSE()),"")</f>
        <v>Apparel</v>
      </c>
      <c r="M1532" t="str">
        <f>IFERROR(VLOOKUP(E1532,Sales_Reps!$A$2:$C$31,3,FALSE()),"")</f>
        <v>South</v>
      </c>
      <c r="N1532">
        <f>IFERROR(VLOOKUP(D1532,Products!$A$2:$F$61,4,FALSE()),"")</f>
        <v>391</v>
      </c>
      <c r="O1532" t="str">
        <f>IFERROR(VLOOKUP(C1532,Customers!$A$2:$F$301,5,FALSE()),"")</f>
        <v>Corporate</v>
      </c>
      <c r="P1532">
        <f>IFERROR(VLOOKUP(C1532,Customers!$A$2:$F$301,3,FALSE()),"")</f>
        <v>51</v>
      </c>
      <c r="Q1532">
        <f t="shared" si="69"/>
        <v>0.52317073170731709</v>
      </c>
      <c r="R1532">
        <f>IF(AND(COUNTIF($A$2:$A$2027,A1532)&gt;1,COUNTIF($A$2:A1532,A1532)=1),1,0)</f>
        <v>1</v>
      </c>
      <c r="S1532" t="b">
        <f>IFERROR(VLOOKUP(D1532,Products!$A$2:$F$61,6,FALSE()),"")</f>
        <v>1</v>
      </c>
      <c r="T1532" t="str">
        <f>IF(COUNTIF(Customers!$A$2:$A$301,C1532)=0,"Missing","OK")</f>
        <v>OK</v>
      </c>
      <c r="U1532" t="str">
        <f t="shared" si="70"/>
        <v>Mumbai</v>
      </c>
      <c r="V1532">
        <f t="shared" si="71"/>
        <v>0</v>
      </c>
    </row>
    <row r="1533" spans="1:22" ht="15" customHeight="1" x14ac:dyDescent="0.35">
      <c r="A1533" s="3" t="s">
        <v>1965</v>
      </c>
      <c r="B1533" s="4">
        <v>45472</v>
      </c>
      <c r="C1533" s="3" t="s">
        <v>261</v>
      </c>
      <c r="D1533" s="3" t="s">
        <v>187</v>
      </c>
      <c r="E1533" s="3" t="s">
        <v>50</v>
      </c>
      <c r="F1533" s="5">
        <v>3</v>
      </c>
      <c r="G1533" s="5">
        <v>3870</v>
      </c>
      <c r="H1533" s="5">
        <v>1.9</v>
      </c>
      <c r="I1533" s="5">
        <v>11389.41</v>
      </c>
      <c r="J1533" s="3" t="s">
        <v>26</v>
      </c>
      <c r="K1533" s="3" t="s">
        <v>38</v>
      </c>
      <c r="L1533" t="str">
        <f>IFERROR(VLOOKUP(D1533,Products!$A$2:$F$61,3,FALSE()),"")</f>
        <v>Electronics</v>
      </c>
      <c r="M1533" t="str">
        <f>IFERROR(VLOOKUP(E1533,Sales_Reps!$A$2:$C$31,3,FALSE()),"")</f>
        <v>West</v>
      </c>
      <c r="N1533">
        <f>IFERROR(VLOOKUP(D1533,Products!$A$2:$F$61,4,FALSE()),"")</f>
        <v>1559</v>
      </c>
      <c r="O1533" t="str">
        <f>IFERROR(VLOOKUP(C1533,Customers!$A$2:$F$301,5,FALSE()),"")</f>
        <v>Retail</v>
      </c>
      <c r="P1533">
        <f>IFERROR(VLOOKUP(C1533,Customers!$A$2:$F$301,3,FALSE()),"")</f>
        <v>31</v>
      </c>
      <c r="Q1533">
        <f t="shared" si="69"/>
        <v>0.59715762273901807</v>
      </c>
      <c r="R1533">
        <f>IF(AND(COUNTIF($A$2:$A$2027,A1533)&gt;1,COUNTIF($A$2:A1533,A1533)=1),1,0)</f>
        <v>0</v>
      </c>
      <c r="S1533" t="b">
        <f>IFERROR(VLOOKUP(D1533,Products!$A$2:$F$61,6,FALSE()),"")</f>
        <v>1</v>
      </c>
      <c r="T1533" t="str">
        <f>IF(COUNTIF(Customers!$A$2:$A$301,C1533)=0,"Missing","OK")</f>
        <v>OK</v>
      </c>
      <c r="U1533" t="str">
        <f t="shared" si="70"/>
        <v>Delhi</v>
      </c>
      <c r="V1533">
        <f t="shared" si="71"/>
        <v>0</v>
      </c>
    </row>
    <row r="1534" spans="1:22" ht="15" customHeight="1" x14ac:dyDescent="0.35">
      <c r="A1534" s="3" t="s">
        <v>1966</v>
      </c>
      <c r="B1534" s="4">
        <v>45296</v>
      </c>
      <c r="C1534" s="3" t="s">
        <v>467</v>
      </c>
      <c r="D1534" s="3" t="s">
        <v>66</v>
      </c>
      <c r="E1534" s="3" t="s">
        <v>224</v>
      </c>
      <c r="F1534" s="5">
        <v>6</v>
      </c>
      <c r="G1534" s="5">
        <v>970</v>
      </c>
      <c r="H1534" s="5">
        <v>27.1</v>
      </c>
      <c r="I1534" s="5">
        <v>4242.78</v>
      </c>
      <c r="J1534" s="3" t="s">
        <v>26</v>
      </c>
      <c r="K1534" s="3" t="s">
        <v>51</v>
      </c>
      <c r="L1534" t="str">
        <f>IFERROR(VLOOKUP(D1534,Products!$A$2:$F$61,3,FALSE()),"")</f>
        <v>Grocery</v>
      </c>
      <c r="M1534" t="str">
        <f>IFERROR(VLOOKUP(E1534,Sales_Reps!$A$2:$C$31,3,FALSE()),"")</f>
        <v>East</v>
      </c>
      <c r="N1534">
        <f>IFERROR(VLOOKUP(D1534,Products!$A$2:$F$61,4,FALSE()),"")</f>
        <v>434</v>
      </c>
      <c r="O1534" t="str">
        <f>IFERROR(VLOOKUP(C1534,Customers!$A$2:$F$301,5,FALSE()),"")</f>
        <v>Retail</v>
      </c>
      <c r="P1534">
        <f>IFERROR(VLOOKUP(C1534,Customers!$A$2:$F$301,3,FALSE()),"")</f>
        <v>44</v>
      </c>
      <c r="Q1534">
        <f t="shared" si="69"/>
        <v>0.5525773195876289</v>
      </c>
      <c r="R1534">
        <f>IF(AND(COUNTIF($A$2:$A$2027,A1534)&gt;1,COUNTIF($A$2:A1534,A1534)=1),1,0)</f>
        <v>0</v>
      </c>
      <c r="S1534" t="b">
        <f>IFERROR(VLOOKUP(D1534,Products!$A$2:$F$61,6,FALSE()),"")</f>
        <v>1</v>
      </c>
      <c r="T1534" t="str">
        <f>IF(COUNTIF(Customers!$A$2:$A$301,C1534)=0,"Missing","OK")</f>
        <v>OK</v>
      </c>
      <c r="U1534" t="str">
        <f t="shared" si="70"/>
        <v>Mumbai</v>
      </c>
      <c r="V1534">
        <f t="shared" si="71"/>
        <v>0</v>
      </c>
    </row>
    <row r="1535" spans="1:22" ht="15" customHeight="1" x14ac:dyDescent="0.35">
      <c r="A1535" s="3" t="s">
        <v>1967</v>
      </c>
      <c r="B1535" s="4">
        <v>45567</v>
      </c>
      <c r="C1535" s="3" t="s">
        <v>233</v>
      </c>
      <c r="D1535" s="3" t="s">
        <v>123</v>
      </c>
      <c r="E1535" s="3" t="s">
        <v>50</v>
      </c>
      <c r="F1535" s="5">
        <v>1</v>
      </c>
      <c r="G1535" s="5">
        <v>4880</v>
      </c>
      <c r="H1535" s="5">
        <v>26.8</v>
      </c>
      <c r="I1535" s="5">
        <v>3572.16</v>
      </c>
      <c r="J1535" s="3" t="s">
        <v>26</v>
      </c>
      <c r="K1535" s="3" t="s">
        <v>72</v>
      </c>
      <c r="L1535" t="str">
        <f>IFERROR(VLOOKUP(D1535,Products!$A$2:$F$61,3,FALSE()),"")</f>
        <v>Beauty</v>
      </c>
      <c r="M1535" t="str">
        <f>IFERROR(VLOOKUP(E1535,Sales_Reps!$A$2:$C$31,3,FALSE()),"")</f>
        <v>West</v>
      </c>
      <c r="N1535">
        <f>IFERROR(VLOOKUP(D1535,Products!$A$2:$F$61,4,FALSE()),"")</f>
        <v>2768</v>
      </c>
      <c r="O1535" t="str">
        <f>IFERROR(VLOOKUP(C1535,Customers!$A$2:$F$301,5,FALSE()),"")</f>
        <v>SMB</v>
      </c>
      <c r="P1535">
        <f>IFERROR(VLOOKUP(C1535,Customers!$A$2:$F$301,3,FALSE()),"")</f>
        <v>43</v>
      </c>
      <c r="Q1535">
        <f t="shared" si="69"/>
        <v>0.43278688524590164</v>
      </c>
      <c r="R1535">
        <f>IF(AND(COUNTIF($A$2:$A$2027,A1535)&gt;1,COUNTIF($A$2:A1535,A1535)=1),1,0)</f>
        <v>0</v>
      </c>
      <c r="S1535" t="b">
        <f>IFERROR(VLOOKUP(D1535,Products!$A$2:$F$61,6,FALSE()),"")</f>
        <v>1</v>
      </c>
      <c r="T1535" t="str">
        <f>IF(COUNTIF(Customers!$A$2:$A$301,C1535)=0,"Missing","OK")</f>
        <v>OK</v>
      </c>
      <c r="U1535" t="str">
        <f t="shared" si="70"/>
        <v>Hyderabad</v>
      </c>
      <c r="V1535">
        <f t="shared" si="71"/>
        <v>0</v>
      </c>
    </row>
    <row r="1536" spans="1:22" ht="15" customHeight="1" x14ac:dyDescent="0.35">
      <c r="A1536" s="3" t="s">
        <v>1968</v>
      </c>
      <c r="B1536" s="4">
        <v>45337</v>
      </c>
      <c r="C1536" s="3" t="s">
        <v>780</v>
      </c>
      <c r="D1536" s="3" t="s">
        <v>184</v>
      </c>
      <c r="E1536" s="3" t="s">
        <v>93</v>
      </c>
      <c r="F1536" s="5">
        <v>1</v>
      </c>
      <c r="G1536" s="5">
        <v>2270</v>
      </c>
      <c r="H1536" s="5">
        <v>22.2</v>
      </c>
      <c r="I1536" s="5">
        <v>1766.06</v>
      </c>
      <c r="J1536" s="3" t="s">
        <v>26</v>
      </c>
      <c r="K1536" s="3" t="s">
        <v>56</v>
      </c>
      <c r="L1536" t="str">
        <f>IFERROR(VLOOKUP(D1536,Products!$A$2:$F$61,3,FALSE()),"")</f>
        <v>Grocery</v>
      </c>
      <c r="M1536" t="str">
        <f>IFERROR(VLOOKUP(E1536,Sales_Reps!$A$2:$C$31,3,FALSE()),"")</f>
        <v>East</v>
      </c>
      <c r="N1536">
        <f>IFERROR(VLOOKUP(D1536,Products!$A$2:$F$61,4,FALSE()),"")</f>
        <v>1412</v>
      </c>
      <c r="O1536" t="str">
        <f>IFERROR(VLOOKUP(C1536,Customers!$A$2:$F$301,5,FALSE()),"")</f>
        <v>Corporate</v>
      </c>
      <c r="P1536">
        <f>IFERROR(VLOOKUP(C1536,Customers!$A$2:$F$301,3,FALSE()),"")</f>
        <v>41</v>
      </c>
      <c r="Q1536">
        <f t="shared" si="69"/>
        <v>0.37797356828193834</v>
      </c>
      <c r="R1536">
        <f>IF(AND(COUNTIF($A$2:$A$2027,A1536)&gt;1,COUNTIF($A$2:A1536,A1536)=1),1,0)</f>
        <v>0</v>
      </c>
      <c r="S1536" t="b">
        <f>IFERROR(VLOOKUP(D1536,Products!$A$2:$F$61,6,FALSE()),"")</f>
        <v>1</v>
      </c>
      <c r="T1536" t="str">
        <f>IF(COUNTIF(Customers!$A$2:$A$301,C1536)=0,"Missing","OK")</f>
        <v>OK</v>
      </c>
      <c r="U1536" t="str">
        <f t="shared" si="70"/>
        <v>Bengaluru</v>
      </c>
      <c r="V1536">
        <f t="shared" si="71"/>
        <v>1766.06</v>
      </c>
    </row>
    <row r="1537" spans="1:22" ht="15" customHeight="1" x14ac:dyDescent="0.35">
      <c r="A1537" s="3" t="s">
        <v>1969</v>
      </c>
      <c r="B1537" s="4">
        <v>45376</v>
      </c>
      <c r="C1537" s="3" t="s">
        <v>92</v>
      </c>
      <c r="D1537" s="3" t="s">
        <v>96</v>
      </c>
      <c r="E1537" s="3" t="s">
        <v>140</v>
      </c>
      <c r="F1537" s="5">
        <v>10</v>
      </c>
      <c r="G1537" s="5">
        <v>3450</v>
      </c>
      <c r="H1537" s="5">
        <v>21.9</v>
      </c>
      <c r="I1537" s="5">
        <v>26944.5</v>
      </c>
      <c r="J1537" s="3" t="s">
        <v>26</v>
      </c>
      <c r="K1537" s="3" t="s">
        <v>56</v>
      </c>
      <c r="L1537" t="str">
        <f>IFERROR(VLOOKUP(D1537,Products!$A$2:$F$61,3,FALSE()),"")</f>
        <v>Beauty</v>
      </c>
      <c r="M1537" t="str">
        <f>IFERROR(VLOOKUP(E1537,Sales_Reps!$A$2:$C$31,3,FALSE()),"")</f>
        <v>West</v>
      </c>
      <c r="N1537">
        <f>IFERROR(VLOOKUP(D1537,Products!$A$2:$F$61,4,FALSE()),"")</f>
        <v>2420</v>
      </c>
      <c r="O1537" t="str">
        <f>IFERROR(VLOOKUP(C1537,Customers!$A$2:$F$301,5,FALSE()),"")</f>
        <v>SMB</v>
      </c>
      <c r="P1537">
        <f>IFERROR(VLOOKUP(C1537,Customers!$A$2:$F$301,3,FALSE()),"")</f>
        <v>46</v>
      </c>
      <c r="Q1537">
        <f t="shared" si="69"/>
        <v>0.29855072463768118</v>
      </c>
      <c r="R1537">
        <f>IF(AND(COUNTIF($A$2:$A$2027,A1537)&gt;1,COUNTIF($A$2:A1537,A1537)=1),1,0)</f>
        <v>0</v>
      </c>
      <c r="S1537" t="b">
        <f>IFERROR(VLOOKUP(D1537,Products!$A$2:$F$61,6,FALSE()),"")</f>
        <v>1</v>
      </c>
      <c r="T1537" t="str">
        <f>IF(COUNTIF(Customers!$A$2:$A$301,C1537)=0,"Missing","OK")</f>
        <v>OK</v>
      </c>
      <c r="U1537" t="str">
        <f t="shared" si="70"/>
        <v>Bengaluru</v>
      </c>
      <c r="V1537">
        <f t="shared" si="71"/>
        <v>0</v>
      </c>
    </row>
    <row r="1538" spans="1:22" ht="15" customHeight="1" x14ac:dyDescent="0.35">
      <c r="A1538" s="3" t="s">
        <v>1970</v>
      </c>
      <c r="B1538" s="4">
        <v>45616</v>
      </c>
      <c r="C1538" s="3" t="s">
        <v>500</v>
      </c>
      <c r="D1538" s="3" t="s">
        <v>184</v>
      </c>
      <c r="E1538" s="3" t="s">
        <v>212</v>
      </c>
      <c r="F1538" s="5">
        <v>3</v>
      </c>
      <c r="G1538" s="5">
        <v>2270</v>
      </c>
      <c r="H1538" s="5">
        <v>19.100000000000001</v>
      </c>
      <c r="I1538" s="5">
        <v>5509.29</v>
      </c>
      <c r="J1538" s="3" t="s">
        <v>79</v>
      </c>
      <c r="K1538" s="3" t="s">
        <v>72</v>
      </c>
      <c r="L1538" t="str">
        <f>IFERROR(VLOOKUP(D1538,Products!$A$2:$F$61,3,FALSE()),"")</f>
        <v>Grocery</v>
      </c>
      <c r="M1538" t="str">
        <f>IFERROR(VLOOKUP(E1538,Sales_Reps!$A$2:$C$31,3,FALSE()),"")</f>
        <v>South</v>
      </c>
      <c r="N1538">
        <f>IFERROR(VLOOKUP(D1538,Products!$A$2:$F$61,4,FALSE()),"")</f>
        <v>1412</v>
      </c>
      <c r="O1538" t="str">
        <f>IFERROR(VLOOKUP(C1538,Customers!$A$2:$F$301,5,FALSE()),"")</f>
        <v>SMB</v>
      </c>
      <c r="P1538">
        <f>IFERROR(VLOOKUP(C1538,Customers!$A$2:$F$301,3,FALSE()),"")</f>
        <v>43</v>
      </c>
      <c r="Q1538">
        <f t="shared" ref="Q1538:Q1601" si="72">IFERROR((G1538-N1538)/G1538,"")</f>
        <v>0.37797356828193834</v>
      </c>
      <c r="R1538">
        <f>IF(AND(COUNTIF($A$2:$A$2027,A1538)&gt;1,COUNTIF($A$2:A1538,A1538)=1),1,0)</f>
        <v>0</v>
      </c>
      <c r="S1538" t="b">
        <f>IFERROR(VLOOKUP(D1538,Products!$A$2:$F$61,6,FALSE()),"")</f>
        <v>1</v>
      </c>
      <c r="T1538" t="str">
        <f>IF(COUNTIF(Customers!$A$2:$A$301,C1538)=0,"Missing","OK")</f>
        <v>OK</v>
      </c>
      <c r="U1538" t="str">
        <f t="shared" ref="U1538:U1601" si="73">IF(K1538="","",PROPER(TRIM(K1538)))</f>
        <v>Hyderabad</v>
      </c>
      <c r="V1538">
        <f t="shared" ref="V1538:V1601" si="74">IF(AND(U1538="Bengaluru",L1538="Grocery"),I1538,0)</f>
        <v>0</v>
      </c>
    </row>
    <row r="1539" spans="1:22" ht="15" customHeight="1" x14ac:dyDescent="0.35">
      <c r="A1539" s="3" t="s">
        <v>1971</v>
      </c>
      <c r="B1539" s="4">
        <v>45360</v>
      </c>
      <c r="C1539" s="3" t="s">
        <v>860</v>
      </c>
      <c r="D1539" s="3" t="s">
        <v>277</v>
      </c>
      <c r="E1539" s="3" t="s">
        <v>109</v>
      </c>
      <c r="F1539" s="5">
        <v>10</v>
      </c>
      <c r="G1539" s="5">
        <v>2210</v>
      </c>
      <c r="H1539" s="5">
        <v>22.3</v>
      </c>
      <c r="I1539" s="5">
        <v>17171.7</v>
      </c>
      <c r="J1539" s="3" t="s">
        <v>26</v>
      </c>
      <c r="K1539" s="3" t="s">
        <v>56</v>
      </c>
      <c r="L1539" t="str">
        <f>IFERROR(VLOOKUP(D1539,Products!$A$2:$F$61,3,FALSE()),"")</f>
        <v>Grocery</v>
      </c>
      <c r="M1539" t="str">
        <f>IFERROR(VLOOKUP(E1539,Sales_Reps!$A$2:$C$31,3,FALSE()),"")</f>
        <v>West</v>
      </c>
      <c r="N1539">
        <f>IFERROR(VLOOKUP(D1539,Products!$A$2:$F$61,4,FALSE()),"")</f>
        <v>1010</v>
      </c>
      <c r="O1539" t="str">
        <f>IFERROR(VLOOKUP(C1539,Customers!$A$2:$F$301,5,FALSE()),"")</f>
        <v>Retail</v>
      </c>
      <c r="P1539">
        <f>IFERROR(VLOOKUP(C1539,Customers!$A$2:$F$301,3,FALSE()),"")</f>
        <v>28</v>
      </c>
      <c r="Q1539">
        <f t="shared" si="72"/>
        <v>0.54298642533936647</v>
      </c>
      <c r="R1539">
        <f>IF(AND(COUNTIF($A$2:$A$2027,A1539)&gt;1,COUNTIF($A$2:A1539,A1539)=1),1,0)</f>
        <v>0</v>
      </c>
      <c r="S1539" t="b">
        <f>IFERROR(VLOOKUP(D1539,Products!$A$2:$F$61,6,FALSE()),"")</f>
        <v>1</v>
      </c>
      <c r="T1539" t="str">
        <f>IF(COUNTIF(Customers!$A$2:$A$301,C1539)=0,"Missing","OK")</f>
        <v>OK</v>
      </c>
      <c r="U1539" t="str">
        <f t="shared" si="73"/>
        <v>Bengaluru</v>
      </c>
      <c r="V1539">
        <f t="shared" si="74"/>
        <v>17171.7</v>
      </c>
    </row>
    <row r="1540" spans="1:22" ht="15" customHeight="1" x14ac:dyDescent="0.35">
      <c r="A1540" s="3" t="s">
        <v>1972</v>
      </c>
      <c r="B1540" s="4">
        <v>45465</v>
      </c>
      <c r="C1540" s="3" t="s">
        <v>413</v>
      </c>
      <c r="D1540" s="3" t="s">
        <v>234</v>
      </c>
      <c r="E1540" s="3" t="s">
        <v>212</v>
      </c>
      <c r="F1540" s="5">
        <v>9</v>
      </c>
      <c r="G1540" s="5">
        <v>2030</v>
      </c>
      <c r="H1540" s="5">
        <v>24.8</v>
      </c>
      <c r="I1540" s="5">
        <v>13739.04</v>
      </c>
      <c r="J1540" s="3" t="s">
        <v>26</v>
      </c>
      <c r="K1540" s="3" t="s">
        <v>38</v>
      </c>
      <c r="L1540" t="str">
        <f>IFERROR(VLOOKUP(D1540,Products!$A$2:$F$61,3,FALSE()),"")</f>
        <v>Home</v>
      </c>
      <c r="M1540" t="str">
        <f>IFERROR(VLOOKUP(E1540,Sales_Reps!$A$2:$C$31,3,FALSE()),"")</f>
        <v>South</v>
      </c>
      <c r="N1540">
        <f>IFERROR(VLOOKUP(D1540,Products!$A$2:$F$61,4,FALSE()),"")</f>
        <v>1143</v>
      </c>
      <c r="O1540" t="str">
        <f>IFERROR(VLOOKUP(C1540,Customers!$A$2:$F$301,5,FALSE()),"")</f>
        <v>SMB</v>
      </c>
      <c r="P1540">
        <f>IFERROR(VLOOKUP(C1540,Customers!$A$2:$F$301,3,FALSE()),"")</f>
        <v>59</v>
      </c>
      <c r="Q1540">
        <f t="shared" si="72"/>
        <v>0.43694581280788175</v>
      </c>
      <c r="R1540">
        <f>IF(AND(COUNTIF($A$2:$A$2027,A1540)&gt;1,COUNTIF($A$2:A1540,A1540)=1),1,0)</f>
        <v>0</v>
      </c>
      <c r="S1540" t="b">
        <f>IFERROR(VLOOKUP(D1540,Products!$A$2:$F$61,6,FALSE()),"")</f>
        <v>1</v>
      </c>
      <c r="T1540" t="str">
        <f>IF(COUNTIF(Customers!$A$2:$A$301,C1540)=0,"Missing","OK")</f>
        <v>OK</v>
      </c>
      <c r="U1540" t="str">
        <f t="shared" si="73"/>
        <v>Delhi</v>
      </c>
      <c r="V1540">
        <f t="shared" si="74"/>
        <v>0</v>
      </c>
    </row>
    <row r="1541" spans="1:22" ht="15" customHeight="1" x14ac:dyDescent="0.35">
      <c r="A1541" s="3" t="s">
        <v>1973</v>
      </c>
      <c r="B1541" s="4">
        <v>45380</v>
      </c>
      <c r="C1541" s="3" t="s">
        <v>327</v>
      </c>
      <c r="D1541" s="3" t="s">
        <v>118</v>
      </c>
      <c r="E1541" s="3" t="s">
        <v>93</v>
      </c>
      <c r="F1541" s="5">
        <v>5</v>
      </c>
      <c r="G1541" s="5">
        <v>3350</v>
      </c>
      <c r="H1541" s="5">
        <v>18.2</v>
      </c>
      <c r="I1541" s="5">
        <v>13701.5</v>
      </c>
      <c r="J1541" s="3" t="s">
        <v>26</v>
      </c>
      <c r="K1541" s="3" t="s">
        <v>72</v>
      </c>
      <c r="L1541" t="str">
        <f>IFERROR(VLOOKUP(D1541,Products!$A$2:$F$61,3,FALSE()),"")</f>
        <v>Beauty</v>
      </c>
      <c r="M1541" t="str">
        <f>IFERROR(VLOOKUP(E1541,Sales_Reps!$A$2:$C$31,3,FALSE()),"")</f>
        <v>East</v>
      </c>
      <c r="N1541">
        <f>IFERROR(VLOOKUP(D1541,Products!$A$2:$F$61,4,FALSE()),"")</f>
        <v>1728</v>
      </c>
      <c r="O1541" t="str">
        <f>IFERROR(VLOOKUP(C1541,Customers!$A$2:$F$301,5,FALSE()),"")</f>
        <v>Retail</v>
      </c>
      <c r="P1541">
        <f>IFERROR(VLOOKUP(C1541,Customers!$A$2:$F$301,3,FALSE()),"")</f>
        <v>44</v>
      </c>
      <c r="Q1541">
        <f t="shared" si="72"/>
        <v>0.48417910447761192</v>
      </c>
      <c r="R1541">
        <f>IF(AND(COUNTIF($A$2:$A$2027,A1541)&gt;1,COUNTIF($A$2:A1541,A1541)=1),1,0)</f>
        <v>0</v>
      </c>
      <c r="S1541" t="b">
        <f>IFERROR(VLOOKUP(D1541,Products!$A$2:$F$61,6,FALSE()),"")</f>
        <v>1</v>
      </c>
      <c r="T1541" t="str">
        <f>IF(COUNTIF(Customers!$A$2:$A$301,C1541)=0,"Missing","OK")</f>
        <v>OK</v>
      </c>
      <c r="U1541" t="str">
        <f t="shared" si="73"/>
        <v>Hyderabad</v>
      </c>
      <c r="V1541">
        <f t="shared" si="74"/>
        <v>0</v>
      </c>
    </row>
    <row r="1542" spans="1:22" ht="15" customHeight="1" x14ac:dyDescent="0.35">
      <c r="A1542" s="3" t="s">
        <v>1974</v>
      </c>
      <c r="B1542" s="4">
        <v>45358</v>
      </c>
      <c r="C1542" s="3" t="s">
        <v>1567</v>
      </c>
      <c r="D1542" s="3" t="s">
        <v>176</v>
      </c>
      <c r="E1542" s="3" t="s">
        <v>46</v>
      </c>
      <c r="F1542" s="5">
        <v>7</v>
      </c>
      <c r="G1542" s="5">
        <v>3640</v>
      </c>
      <c r="H1542" s="5">
        <v>14.4</v>
      </c>
      <c r="I1542" s="5">
        <v>21810.880000000001</v>
      </c>
      <c r="J1542" s="3" t="s">
        <v>26</v>
      </c>
      <c r="K1542" s="3" t="s">
        <v>33</v>
      </c>
      <c r="L1542" t="str">
        <f>IFERROR(VLOOKUP(D1542,Products!$A$2:$F$61,3,FALSE()),"")</f>
        <v>Apparel</v>
      </c>
      <c r="M1542" t="str">
        <f>IFERROR(VLOOKUP(E1542,Sales_Reps!$A$2:$C$31,3,FALSE()),"")</f>
        <v>North</v>
      </c>
      <c r="N1542">
        <f>IFERROR(VLOOKUP(D1542,Products!$A$2:$F$61,4,FALSE()),"")</f>
        <v>2611</v>
      </c>
      <c r="O1542" t="str">
        <f>IFERROR(VLOOKUP(C1542,Customers!$A$2:$F$301,5,FALSE()),"")</f>
        <v>Retail</v>
      </c>
      <c r="P1542">
        <f>IFERROR(VLOOKUP(C1542,Customers!$A$2:$F$301,3,FALSE()),"")</f>
        <v>35</v>
      </c>
      <c r="Q1542">
        <f t="shared" si="72"/>
        <v>0.28269230769230769</v>
      </c>
      <c r="R1542">
        <f>IF(AND(COUNTIF($A$2:$A$2027,A1542)&gt;1,COUNTIF($A$2:A1542,A1542)=1),1,0)</f>
        <v>0</v>
      </c>
      <c r="S1542" t="b">
        <f>IFERROR(VLOOKUP(D1542,Products!$A$2:$F$61,6,FALSE()),"")</f>
        <v>1</v>
      </c>
      <c r="T1542" t="str">
        <f>IF(COUNTIF(Customers!$A$2:$A$301,C1542)=0,"Missing","OK")</f>
        <v>OK</v>
      </c>
      <c r="U1542" t="str">
        <f t="shared" si="73"/>
        <v>Chennai</v>
      </c>
      <c r="V1542">
        <f t="shared" si="74"/>
        <v>0</v>
      </c>
    </row>
    <row r="1543" spans="1:22" ht="15" customHeight="1" x14ac:dyDescent="0.35">
      <c r="A1543" s="3" t="s">
        <v>1975</v>
      </c>
      <c r="B1543" s="4">
        <v>45385</v>
      </c>
      <c r="C1543" s="3" t="s">
        <v>841</v>
      </c>
      <c r="D1543" s="3" t="s">
        <v>100</v>
      </c>
      <c r="E1543" s="3" t="s">
        <v>242</v>
      </c>
      <c r="F1543" s="5">
        <v>9</v>
      </c>
      <c r="G1543" s="5">
        <v>3450</v>
      </c>
      <c r="H1543" s="5">
        <v>20.100000000000001</v>
      </c>
      <c r="I1543" s="5">
        <v>24808.95</v>
      </c>
      <c r="J1543" s="3" t="s">
        <v>26</v>
      </c>
      <c r="K1543" s="3" t="s">
        <v>51</v>
      </c>
      <c r="L1543" t="str">
        <f>IFERROR(VLOOKUP(D1543,Products!$A$2:$F$61,3,FALSE()),"")</f>
        <v>Sports</v>
      </c>
      <c r="M1543" t="str">
        <f>IFERROR(VLOOKUP(E1543,Sales_Reps!$A$2:$C$31,3,FALSE()),"")</f>
        <v>East</v>
      </c>
      <c r="N1543">
        <f>IFERROR(VLOOKUP(D1543,Products!$A$2:$F$61,4,FALSE()),"")</f>
        <v>2467</v>
      </c>
      <c r="O1543" t="str">
        <f>IFERROR(VLOOKUP(C1543,Customers!$A$2:$F$301,5,FALSE()),"")</f>
        <v>Retail</v>
      </c>
      <c r="P1543">
        <f>IFERROR(VLOOKUP(C1543,Customers!$A$2:$F$301,3,FALSE()),"")</f>
        <v>37</v>
      </c>
      <c r="Q1543">
        <f t="shared" si="72"/>
        <v>0.28492753623188405</v>
      </c>
      <c r="R1543">
        <f>IF(AND(COUNTIF($A$2:$A$2027,A1543)&gt;1,COUNTIF($A$2:A1543,A1543)=1),1,0)</f>
        <v>0</v>
      </c>
      <c r="S1543" t="b">
        <f>IFERROR(VLOOKUP(D1543,Products!$A$2:$F$61,6,FALSE()),"")</f>
        <v>1</v>
      </c>
      <c r="T1543" t="str">
        <f>IF(COUNTIF(Customers!$A$2:$A$301,C1543)=0,"Missing","OK")</f>
        <v>OK</v>
      </c>
      <c r="U1543" t="str">
        <f t="shared" si="73"/>
        <v>Mumbai</v>
      </c>
      <c r="V1543">
        <f t="shared" si="74"/>
        <v>0</v>
      </c>
    </row>
    <row r="1544" spans="1:22" ht="15" customHeight="1" x14ac:dyDescent="0.35">
      <c r="A1544" s="3" t="s">
        <v>1976</v>
      </c>
      <c r="B1544" s="4">
        <v>45443</v>
      </c>
      <c r="C1544" s="3" t="s">
        <v>807</v>
      </c>
      <c r="D1544" s="3" t="s">
        <v>96</v>
      </c>
      <c r="E1544" s="3" t="s">
        <v>87</v>
      </c>
      <c r="F1544" s="5">
        <v>6</v>
      </c>
      <c r="G1544" s="5">
        <v>3450</v>
      </c>
      <c r="H1544" s="5">
        <v>19.899999999999999</v>
      </c>
      <c r="I1544" s="5">
        <v>16580.7</v>
      </c>
      <c r="J1544" s="3" t="s">
        <v>32</v>
      </c>
      <c r="K1544" s="3" t="s">
        <v>38</v>
      </c>
      <c r="L1544" t="str">
        <f>IFERROR(VLOOKUP(D1544,Products!$A$2:$F$61,3,FALSE()),"")</f>
        <v>Beauty</v>
      </c>
      <c r="M1544" t="str">
        <f>IFERROR(VLOOKUP(E1544,Sales_Reps!$A$2:$C$31,3,FALSE()),"")</f>
        <v>North</v>
      </c>
      <c r="N1544">
        <f>IFERROR(VLOOKUP(D1544,Products!$A$2:$F$61,4,FALSE()),"")</f>
        <v>2420</v>
      </c>
      <c r="O1544" t="str">
        <f>IFERROR(VLOOKUP(C1544,Customers!$A$2:$F$301,5,FALSE()),"")</f>
        <v>SMB</v>
      </c>
      <c r="P1544">
        <f>IFERROR(VLOOKUP(C1544,Customers!$A$2:$F$301,3,FALSE()),"")</f>
        <v>38</v>
      </c>
      <c r="Q1544">
        <f t="shared" si="72"/>
        <v>0.29855072463768118</v>
      </c>
      <c r="R1544">
        <f>IF(AND(COUNTIF($A$2:$A$2027,A1544)&gt;1,COUNTIF($A$2:A1544,A1544)=1),1,0)</f>
        <v>0</v>
      </c>
      <c r="S1544" t="b">
        <f>IFERROR(VLOOKUP(D1544,Products!$A$2:$F$61,6,FALSE()),"")</f>
        <v>1</v>
      </c>
      <c r="T1544" t="str">
        <f>IF(COUNTIF(Customers!$A$2:$A$301,C1544)=0,"Missing","OK")</f>
        <v>OK</v>
      </c>
      <c r="U1544" t="str">
        <f t="shared" si="73"/>
        <v>Delhi</v>
      </c>
      <c r="V1544">
        <f t="shared" si="74"/>
        <v>0</v>
      </c>
    </row>
    <row r="1545" spans="1:22" ht="15" customHeight="1" x14ac:dyDescent="0.35">
      <c r="A1545" s="3" t="s">
        <v>1977</v>
      </c>
      <c r="B1545" s="4">
        <v>45599</v>
      </c>
      <c r="C1545" s="3" t="s">
        <v>120</v>
      </c>
      <c r="D1545" s="3" t="s">
        <v>325</v>
      </c>
      <c r="E1545" s="3" t="s">
        <v>224</v>
      </c>
      <c r="F1545" s="5">
        <v>4</v>
      </c>
      <c r="G1545" s="5">
        <v>2290</v>
      </c>
      <c r="H1545" s="5">
        <v>4.8</v>
      </c>
      <c r="I1545" s="5">
        <v>8720.32</v>
      </c>
      <c r="J1545" s="3" t="s">
        <v>32</v>
      </c>
      <c r="K1545" s="3" t="s">
        <v>38</v>
      </c>
      <c r="L1545" t="str">
        <f>IFERROR(VLOOKUP(D1545,Products!$A$2:$F$61,3,FALSE()),"")</f>
        <v>Beauty</v>
      </c>
      <c r="M1545" t="str">
        <f>IFERROR(VLOOKUP(E1545,Sales_Reps!$A$2:$C$31,3,FALSE()),"")</f>
        <v>East</v>
      </c>
      <c r="N1545">
        <f>IFERROR(VLOOKUP(D1545,Products!$A$2:$F$61,4,FALSE()),"")</f>
        <v>1219</v>
      </c>
      <c r="O1545" t="str">
        <f>IFERROR(VLOOKUP(C1545,Customers!$A$2:$F$301,5,FALSE()),"")</f>
        <v>Retail</v>
      </c>
      <c r="P1545">
        <f>IFERROR(VLOOKUP(C1545,Customers!$A$2:$F$301,3,FALSE()),"")</f>
        <v>31</v>
      </c>
      <c r="Q1545">
        <f t="shared" si="72"/>
        <v>0.46768558951965067</v>
      </c>
      <c r="R1545">
        <f>IF(AND(COUNTIF($A$2:$A$2027,A1545)&gt;1,COUNTIF($A$2:A1545,A1545)=1),1,0)</f>
        <v>0</v>
      </c>
      <c r="S1545" t="b">
        <f>IFERROR(VLOOKUP(D1545,Products!$A$2:$F$61,6,FALSE()),"")</f>
        <v>1</v>
      </c>
      <c r="T1545" t="str">
        <f>IF(COUNTIF(Customers!$A$2:$A$301,C1545)=0,"Missing","OK")</f>
        <v>OK</v>
      </c>
      <c r="U1545" t="str">
        <f t="shared" si="73"/>
        <v>Delhi</v>
      </c>
      <c r="V1545">
        <f t="shared" si="74"/>
        <v>0</v>
      </c>
    </row>
    <row r="1546" spans="1:22" ht="15" customHeight="1" x14ac:dyDescent="0.35">
      <c r="A1546" s="3" t="s">
        <v>1978</v>
      </c>
      <c r="B1546" s="4">
        <v>45479</v>
      </c>
      <c r="C1546" s="3" t="s">
        <v>636</v>
      </c>
      <c r="D1546" s="3" t="s">
        <v>54</v>
      </c>
      <c r="E1546" s="3" t="s">
        <v>71</v>
      </c>
      <c r="F1546" s="5">
        <v>9</v>
      </c>
      <c r="G1546" s="5">
        <v>960</v>
      </c>
      <c r="H1546" s="5">
        <v>2.4</v>
      </c>
      <c r="I1546" s="5">
        <v>8432.64</v>
      </c>
      <c r="J1546" s="3" t="s">
        <v>26</v>
      </c>
      <c r="K1546" s="3" t="s">
        <v>72</v>
      </c>
      <c r="L1546" t="str">
        <f>IFERROR(VLOOKUP(D1546,Products!$A$2:$F$61,3,FALSE()),"")</f>
        <v>Sports</v>
      </c>
      <c r="M1546" t="str">
        <f>IFERROR(VLOOKUP(E1546,Sales_Reps!$A$2:$C$31,3,FALSE()),"")</f>
        <v>South</v>
      </c>
      <c r="N1546">
        <f>IFERROR(VLOOKUP(D1546,Products!$A$2:$F$61,4,FALSE()),"")</f>
        <v>705</v>
      </c>
      <c r="O1546" t="str">
        <f>IFERROR(VLOOKUP(C1546,Customers!$A$2:$F$301,5,FALSE()),"")</f>
        <v>Retail</v>
      </c>
      <c r="P1546">
        <f>IFERROR(VLOOKUP(C1546,Customers!$A$2:$F$301,3,FALSE()),"")</f>
        <v>65</v>
      </c>
      <c r="Q1546">
        <f t="shared" si="72"/>
        <v>0.265625</v>
      </c>
      <c r="R1546">
        <f>IF(AND(COUNTIF($A$2:$A$2027,A1546)&gt;1,COUNTIF($A$2:A1546,A1546)=1),1,0)</f>
        <v>0</v>
      </c>
      <c r="S1546" t="b">
        <f>IFERROR(VLOOKUP(D1546,Products!$A$2:$F$61,6,FALSE()),"")</f>
        <v>1</v>
      </c>
      <c r="T1546" t="str">
        <f>IF(COUNTIF(Customers!$A$2:$A$301,C1546)=0,"Missing","OK")</f>
        <v>OK</v>
      </c>
      <c r="U1546" t="str">
        <f t="shared" si="73"/>
        <v>Hyderabad</v>
      </c>
      <c r="V1546">
        <f t="shared" si="74"/>
        <v>0</v>
      </c>
    </row>
    <row r="1547" spans="1:22" ht="15" customHeight="1" x14ac:dyDescent="0.35">
      <c r="A1547" s="3" t="s">
        <v>1979</v>
      </c>
      <c r="B1547" s="4">
        <v>45489</v>
      </c>
      <c r="C1547" s="3" t="s">
        <v>664</v>
      </c>
      <c r="D1547" s="3" t="s">
        <v>209</v>
      </c>
      <c r="E1547" s="3" t="s">
        <v>50</v>
      </c>
      <c r="F1547" s="5">
        <v>9</v>
      </c>
      <c r="G1547" s="5">
        <v>4610</v>
      </c>
      <c r="H1547" s="5">
        <v>21.3</v>
      </c>
      <c r="I1547" s="5">
        <v>32652.63</v>
      </c>
      <c r="J1547" s="3" t="s">
        <v>26</v>
      </c>
      <c r="K1547" s="3" t="s">
        <v>38</v>
      </c>
      <c r="L1547" t="str">
        <f>IFERROR(VLOOKUP(D1547,Products!$A$2:$F$61,3,FALSE()),"")</f>
        <v>Home</v>
      </c>
      <c r="M1547" t="str">
        <f>IFERROR(VLOOKUP(E1547,Sales_Reps!$A$2:$C$31,3,FALSE()),"")</f>
        <v>West</v>
      </c>
      <c r="N1547">
        <f>IFERROR(VLOOKUP(D1547,Products!$A$2:$F$61,4,FALSE()),"")</f>
        <v>1850</v>
      </c>
      <c r="O1547" t="str">
        <f>IFERROR(VLOOKUP(C1547,Customers!$A$2:$F$301,5,FALSE()),"")</f>
        <v>SMB</v>
      </c>
      <c r="P1547">
        <f>IFERROR(VLOOKUP(C1547,Customers!$A$2:$F$301,3,FALSE()),"")</f>
        <v>26</v>
      </c>
      <c r="Q1547">
        <f t="shared" si="72"/>
        <v>0.59869848156182215</v>
      </c>
      <c r="R1547">
        <f>IF(AND(COUNTIF($A$2:$A$2027,A1547)&gt;1,COUNTIF($A$2:A1547,A1547)=1),1,0)</f>
        <v>0</v>
      </c>
      <c r="S1547" t="b">
        <f>IFERROR(VLOOKUP(D1547,Products!$A$2:$F$61,6,FALSE()),"")</f>
        <v>1</v>
      </c>
      <c r="T1547" t="str">
        <f>IF(COUNTIF(Customers!$A$2:$A$301,C1547)=0,"Missing","OK")</f>
        <v>OK</v>
      </c>
      <c r="U1547" t="str">
        <f t="shared" si="73"/>
        <v>Delhi</v>
      </c>
      <c r="V1547">
        <f t="shared" si="74"/>
        <v>0</v>
      </c>
    </row>
    <row r="1548" spans="1:22" ht="15" customHeight="1" x14ac:dyDescent="0.35">
      <c r="A1548" s="3" t="s">
        <v>1980</v>
      </c>
      <c r="B1548" s="4">
        <v>45514</v>
      </c>
      <c r="C1548" s="3" t="s">
        <v>1011</v>
      </c>
      <c r="D1548" s="3" t="s">
        <v>41</v>
      </c>
      <c r="E1548" s="3" t="s">
        <v>87</v>
      </c>
      <c r="F1548" s="5">
        <v>1</v>
      </c>
      <c r="G1548" s="5">
        <v>3660</v>
      </c>
      <c r="H1548" s="5">
        <v>15.6</v>
      </c>
      <c r="I1548" s="5">
        <v>3089.04</v>
      </c>
      <c r="J1548" s="3" t="s">
        <v>26</v>
      </c>
      <c r="K1548" s="3" t="s">
        <v>51</v>
      </c>
      <c r="L1548" t="str">
        <f>IFERROR(VLOOKUP(D1548,Products!$A$2:$F$61,3,FALSE()),"")</f>
        <v>Grocery</v>
      </c>
      <c r="M1548" t="str">
        <f>IFERROR(VLOOKUP(E1548,Sales_Reps!$A$2:$C$31,3,FALSE()),"")</f>
        <v>North</v>
      </c>
      <c r="N1548">
        <f>IFERROR(VLOOKUP(D1548,Products!$A$2:$F$61,4,FALSE()),"")</f>
        <v>2214</v>
      </c>
      <c r="O1548" t="str">
        <f>IFERROR(VLOOKUP(C1548,Customers!$A$2:$F$301,5,FALSE()),"")</f>
        <v>SMB</v>
      </c>
      <c r="P1548">
        <f>IFERROR(VLOOKUP(C1548,Customers!$A$2:$F$301,3,FALSE()),"")</f>
        <v>53</v>
      </c>
      <c r="Q1548">
        <f t="shared" si="72"/>
        <v>0.39508196721311473</v>
      </c>
      <c r="R1548">
        <f>IF(AND(COUNTIF($A$2:$A$2027,A1548)&gt;1,COUNTIF($A$2:A1548,A1548)=1),1,0)</f>
        <v>0</v>
      </c>
      <c r="S1548" t="b">
        <f>IFERROR(VLOOKUP(D1548,Products!$A$2:$F$61,6,FALSE()),"")</f>
        <v>0</v>
      </c>
      <c r="T1548" t="str">
        <f>IF(COUNTIF(Customers!$A$2:$A$301,C1548)=0,"Missing","OK")</f>
        <v>OK</v>
      </c>
      <c r="U1548" t="str">
        <f t="shared" si="73"/>
        <v>Mumbai</v>
      </c>
      <c r="V1548">
        <f t="shared" si="74"/>
        <v>0</v>
      </c>
    </row>
    <row r="1549" spans="1:22" ht="15" customHeight="1" x14ac:dyDescent="0.35">
      <c r="A1549" s="3" t="s">
        <v>1981</v>
      </c>
      <c r="B1549" s="4">
        <v>45653</v>
      </c>
      <c r="C1549" s="3" t="s">
        <v>244</v>
      </c>
      <c r="D1549" s="3" t="s">
        <v>218</v>
      </c>
      <c r="E1549" s="3" t="s">
        <v>264</v>
      </c>
      <c r="F1549" s="5">
        <v>5</v>
      </c>
      <c r="G1549" s="5">
        <v>2660</v>
      </c>
      <c r="H1549" s="5">
        <v>20.399999999999999</v>
      </c>
      <c r="I1549" s="5">
        <v>10586.8</v>
      </c>
      <c r="J1549" s="3" t="s">
        <v>26</v>
      </c>
      <c r="K1549" s="3" t="s">
        <v>72</v>
      </c>
      <c r="L1549" t="str">
        <f>IFERROR(VLOOKUP(D1549,Products!$A$2:$F$61,3,FALSE()),"")</f>
        <v>Electronics</v>
      </c>
      <c r="M1549" t="str">
        <f>IFERROR(VLOOKUP(E1549,Sales_Reps!$A$2:$C$31,3,FALSE()),"")</f>
        <v>South</v>
      </c>
      <c r="N1549">
        <f>IFERROR(VLOOKUP(D1549,Products!$A$2:$F$61,4,FALSE()),"")</f>
        <v>1259</v>
      </c>
      <c r="O1549" t="str">
        <f>IFERROR(VLOOKUP(C1549,Customers!$A$2:$F$301,5,FALSE()),"")</f>
        <v>Corporate</v>
      </c>
      <c r="P1549">
        <f>IFERROR(VLOOKUP(C1549,Customers!$A$2:$F$301,3,FALSE()),"")</f>
        <v>46</v>
      </c>
      <c r="Q1549">
        <f t="shared" si="72"/>
        <v>0.52669172932330832</v>
      </c>
      <c r="R1549">
        <f>IF(AND(COUNTIF($A$2:$A$2027,A1549)&gt;1,COUNTIF($A$2:A1549,A1549)=1),1,0)</f>
        <v>0</v>
      </c>
      <c r="S1549" t="b">
        <f>IFERROR(VLOOKUP(D1549,Products!$A$2:$F$61,6,FALSE()),"")</f>
        <v>0</v>
      </c>
      <c r="T1549" t="str">
        <f>IF(COUNTIF(Customers!$A$2:$A$301,C1549)=0,"Missing","OK")</f>
        <v>OK</v>
      </c>
      <c r="U1549" t="str">
        <f t="shared" si="73"/>
        <v>Hyderabad</v>
      </c>
      <c r="V1549">
        <f t="shared" si="74"/>
        <v>0</v>
      </c>
    </row>
    <row r="1550" spans="1:22" ht="15" customHeight="1" x14ac:dyDescent="0.35">
      <c r="A1550" s="3" t="s">
        <v>1982</v>
      </c>
      <c r="B1550" s="4">
        <v>45401</v>
      </c>
      <c r="C1550" s="3" t="s">
        <v>807</v>
      </c>
      <c r="D1550" s="3" t="s">
        <v>198</v>
      </c>
      <c r="E1550" s="3" t="s">
        <v>140</v>
      </c>
      <c r="F1550" s="5">
        <v>8</v>
      </c>
      <c r="G1550" s="5">
        <v>1540</v>
      </c>
      <c r="H1550" s="5">
        <v>0.5</v>
      </c>
      <c r="I1550" s="5">
        <v>12258.4</v>
      </c>
      <c r="J1550" s="3" t="s">
        <v>26</v>
      </c>
      <c r="K1550" s="3" t="s">
        <v>38</v>
      </c>
      <c r="L1550" t="str">
        <f>IFERROR(VLOOKUP(D1550,Products!$A$2:$F$61,3,FALSE()),"")</f>
        <v>Beauty</v>
      </c>
      <c r="M1550" t="str">
        <f>IFERROR(VLOOKUP(E1550,Sales_Reps!$A$2:$C$31,3,FALSE()),"")</f>
        <v>West</v>
      </c>
      <c r="N1550">
        <f>IFERROR(VLOOKUP(D1550,Products!$A$2:$F$61,4,FALSE()),"")</f>
        <v>647</v>
      </c>
      <c r="O1550" t="str">
        <f>IFERROR(VLOOKUP(C1550,Customers!$A$2:$F$301,5,FALSE()),"")</f>
        <v>SMB</v>
      </c>
      <c r="P1550">
        <f>IFERROR(VLOOKUP(C1550,Customers!$A$2:$F$301,3,FALSE()),"")</f>
        <v>38</v>
      </c>
      <c r="Q1550">
        <f t="shared" si="72"/>
        <v>0.57987012987012987</v>
      </c>
      <c r="R1550">
        <f>IF(AND(COUNTIF($A$2:$A$2027,A1550)&gt;1,COUNTIF($A$2:A1550,A1550)=1),1,0)</f>
        <v>0</v>
      </c>
      <c r="S1550" t="b">
        <f>IFERROR(VLOOKUP(D1550,Products!$A$2:$F$61,6,FALSE()),"")</f>
        <v>0</v>
      </c>
      <c r="T1550" t="str">
        <f>IF(COUNTIF(Customers!$A$2:$A$301,C1550)=0,"Missing","OK")</f>
        <v>OK</v>
      </c>
      <c r="U1550" t="str">
        <f t="shared" si="73"/>
        <v>Delhi</v>
      </c>
      <c r="V1550">
        <f t="shared" si="74"/>
        <v>0</v>
      </c>
    </row>
    <row r="1551" spans="1:22" ht="15" customHeight="1" x14ac:dyDescent="0.35">
      <c r="A1551" s="3" t="s">
        <v>1983</v>
      </c>
      <c r="B1551" s="4">
        <v>45621</v>
      </c>
      <c r="C1551" s="3" t="s">
        <v>446</v>
      </c>
      <c r="D1551" s="3" t="s">
        <v>347</v>
      </c>
      <c r="E1551" s="3" t="s">
        <v>78</v>
      </c>
      <c r="F1551" s="5">
        <v>4</v>
      </c>
      <c r="G1551" s="5">
        <v>3970</v>
      </c>
      <c r="H1551" s="5">
        <v>22.5</v>
      </c>
      <c r="I1551" s="5">
        <v>12307</v>
      </c>
      <c r="J1551" s="3" t="s">
        <v>26</v>
      </c>
      <c r="K1551" s="3" t="s">
        <v>27</v>
      </c>
      <c r="L1551" t="str">
        <f>IFERROR(VLOOKUP(D1551,Products!$A$2:$F$61,3,FALSE()),"")</f>
        <v>Electronics</v>
      </c>
      <c r="M1551" t="str">
        <f>IFERROR(VLOOKUP(E1551,Sales_Reps!$A$2:$C$31,3,FALSE()),"")</f>
        <v>North</v>
      </c>
      <c r="N1551">
        <f>IFERROR(VLOOKUP(D1551,Products!$A$2:$F$61,4,FALSE()),"")</f>
        <v>2865</v>
      </c>
      <c r="O1551" t="str">
        <f>IFERROR(VLOOKUP(C1551,Customers!$A$2:$F$301,5,FALSE()),"")</f>
        <v>Retail</v>
      </c>
      <c r="P1551">
        <f>IFERROR(VLOOKUP(C1551,Customers!$A$2:$F$301,3,FALSE()),"")</f>
        <v>59</v>
      </c>
      <c r="Q1551">
        <f t="shared" si="72"/>
        <v>0.27833753148614609</v>
      </c>
      <c r="R1551">
        <f>IF(AND(COUNTIF($A$2:$A$2027,A1551)&gt;1,COUNTIF($A$2:A1551,A1551)=1),1,0)</f>
        <v>0</v>
      </c>
      <c r="S1551" t="b">
        <f>IFERROR(VLOOKUP(D1551,Products!$A$2:$F$61,6,FALSE()),"")</f>
        <v>1</v>
      </c>
      <c r="T1551" t="str">
        <f>IF(COUNTIF(Customers!$A$2:$A$301,C1551)=0,"Missing","OK")</f>
        <v>OK</v>
      </c>
      <c r="U1551" t="str">
        <f t="shared" si="73"/>
        <v>Pune</v>
      </c>
      <c r="V1551">
        <f t="shared" si="74"/>
        <v>0</v>
      </c>
    </row>
    <row r="1552" spans="1:22" ht="15" customHeight="1" x14ac:dyDescent="0.35">
      <c r="A1552" s="3" t="s">
        <v>1984</v>
      </c>
      <c r="B1552" s="4">
        <v>45368</v>
      </c>
      <c r="C1552" s="3" t="s">
        <v>308</v>
      </c>
      <c r="D1552" s="3" t="s">
        <v>400</v>
      </c>
      <c r="E1552" s="3" t="s">
        <v>25</v>
      </c>
      <c r="F1552" s="5">
        <v>8</v>
      </c>
      <c r="G1552" s="5">
        <v>3780</v>
      </c>
      <c r="H1552" s="5">
        <v>3.8</v>
      </c>
      <c r="I1552" s="5">
        <v>29090.880000000001</v>
      </c>
      <c r="J1552" s="3" t="s">
        <v>26</v>
      </c>
      <c r="K1552" s="3" t="s">
        <v>33</v>
      </c>
      <c r="L1552" t="str">
        <f>IFERROR(VLOOKUP(D1552,Products!$A$2:$F$61,3,FALSE()),"")</f>
        <v>Sports</v>
      </c>
      <c r="M1552" t="str">
        <f>IFERROR(VLOOKUP(E1552,Sales_Reps!$A$2:$C$31,3,FALSE()),"")</f>
        <v>North</v>
      </c>
      <c r="N1552">
        <f>IFERROR(VLOOKUP(D1552,Products!$A$2:$F$61,4,FALSE()),"")</f>
        <v>1860</v>
      </c>
      <c r="O1552" t="str">
        <f>IFERROR(VLOOKUP(C1552,Customers!$A$2:$F$301,5,FALSE()),"")</f>
        <v>SMB</v>
      </c>
      <c r="P1552">
        <f>IFERROR(VLOOKUP(C1552,Customers!$A$2:$F$301,3,FALSE()),"")</f>
        <v>62</v>
      </c>
      <c r="Q1552">
        <f t="shared" si="72"/>
        <v>0.50793650793650791</v>
      </c>
      <c r="R1552">
        <f>IF(AND(COUNTIF($A$2:$A$2027,A1552)&gt;1,COUNTIF($A$2:A1552,A1552)=1),1,0)</f>
        <v>0</v>
      </c>
      <c r="S1552" t="b">
        <f>IFERROR(VLOOKUP(D1552,Products!$A$2:$F$61,6,FALSE()),"")</f>
        <v>1</v>
      </c>
      <c r="T1552" t="str">
        <f>IF(COUNTIF(Customers!$A$2:$A$301,C1552)=0,"Missing","OK")</f>
        <v>OK</v>
      </c>
      <c r="U1552" t="str">
        <f t="shared" si="73"/>
        <v>Chennai</v>
      </c>
      <c r="V1552">
        <f t="shared" si="74"/>
        <v>0</v>
      </c>
    </row>
    <row r="1553" spans="1:22" ht="15" customHeight="1" x14ac:dyDescent="0.35">
      <c r="A1553" s="3" t="s">
        <v>1985</v>
      </c>
      <c r="B1553" s="4">
        <v>45550</v>
      </c>
      <c r="C1553" s="3" t="s">
        <v>333</v>
      </c>
      <c r="D1553" s="3" t="s">
        <v>184</v>
      </c>
      <c r="E1553" s="3" t="s">
        <v>78</v>
      </c>
      <c r="F1553" s="5">
        <v>4</v>
      </c>
      <c r="G1553" s="5">
        <v>2270</v>
      </c>
      <c r="H1553" s="5">
        <v>3.8</v>
      </c>
      <c r="I1553" s="5">
        <v>8734.9599999999991</v>
      </c>
      <c r="J1553" s="3" t="s">
        <v>79</v>
      </c>
      <c r="K1553" s="3" t="s">
        <v>56</v>
      </c>
      <c r="L1553" t="str">
        <f>IFERROR(VLOOKUP(D1553,Products!$A$2:$F$61,3,FALSE()),"")</f>
        <v>Grocery</v>
      </c>
      <c r="M1553" t="str">
        <f>IFERROR(VLOOKUP(E1553,Sales_Reps!$A$2:$C$31,3,FALSE()),"")</f>
        <v>North</v>
      </c>
      <c r="N1553">
        <f>IFERROR(VLOOKUP(D1553,Products!$A$2:$F$61,4,FALSE()),"")</f>
        <v>1412</v>
      </c>
      <c r="O1553" t="str">
        <f>IFERROR(VLOOKUP(C1553,Customers!$A$2:$F$301,5,FALSE()),"")</f>
        <v>SMB</v>
      </c>
      <c r="P1553">
        <f>IFERROR(VLOOKUP(C1553,Customers!$A$2:$F$301,3,FALSE()),"")</f>
        <v>28</v>
      </c>
      <c r="Q1553">
        <f t="shared" si="72"/>
        <v>0.37797356828193834</v>
      </c>
      <c r="R1553">
        <f>IF(AND(COUNTIF($A$2:$A$2027,A1553)&gt;1,COUNTIF($A$2:A1553,A1553)=1),1,0)</f>
        <v>0</v>
      </c>
      <c r="S1553" t="b">
        <f>IFERROR(VLOOKUP(D1553,Products!$A$2:$F$61,6,FALSE()),"")</f>
        <v>1</v>
      </c>
      <c r="T1553" t="str">
        <f>IF(COUNTIF(Customers!$A$2:$A$301,C1553)=0,"Missing","OK")</f>
        <v>OK</v>
      </c>
      <c r="U1553" t="str">
        <f t="shared" si="73"/>
        <v>Bengaluru</v>
      </c>
      <c r="V1553">
        <f t="shared" si="74"/>
        <v>8734.9599999999991</v>
      </c>
    </row>
    <row r="1554" spans="1:22" ht="15" customHeight="1" x14ac:dyDescent="0.35">
      <c r="A1554" s="3" t="s">
        <v>1986</v>
      </c>
      <c r="B1554" s="4">
        <v>45304</v>
      </c>
      <c r="C1554" s="3" t="s">
        <v>272</v>
      </c>
      <c r="D1554" s="3" t="s">
        <v>206</v>
      </c>
      <c r="E1554" s="3" t="s">
        <v>143</v>
      </c>
      <c r="F1554" s="5">
        <v>10</v>
      </c>
      <c r="G1554" s="5">
        <v>1220</v>
      </c>
      <c r="H1554" s="5">
        <v>19.5</v>
      </c>
      <c r="I1554" s="5">
        <v>9821</v>
      </c>
      <c r="J1554" s="3" t="s">
        <v>26</v>
      </c>
      <c r="K1554" s="3" t="s">
        <v>72</v>
      </c>
      <c r="L1554" t="str">
        <f>IFERROR(VLOOKUP(D1554,Products!$A$2:$F$61,3,FALSE()),"")</f>
        <v>Electronics</v>
      </c>
      <c r="M1554" t="str">
        <f>IFERROR(VLOOKUP(E1554,Sales_Reps!$A$2:$C$31,3,FALSE()),"")</f>
        <v>South</v>
      </c>
      <c r="N1554">
        <f>IFERROR(VLOOKUP(D1554,Products!$A$2:$F$61,4,FALSE()),"")</f>
        <v>517</v>
      </c>
      <c r="O1554" t="str">
        <f>IFERROR(VLOOKUP(C1554,Customers!$A$2:$F$301,5,FALSE()),"")</f>
        <v>SMB</v>
      </c>
      <c r="P1554">
        <f>IFERROR(VLOOKUP(C1554,Customers!$A$2:$F$301,3,FALSE()),"")</f>
        <v>65</v>
      </c>
      <c r="Q1554">
        <f t="shared" si="72"/>
        <v>0.57622950819672136</v>
      </c>
      <c r="R1554">
        <f>IF(AND(COUNTIF($A$2:$A$2027,A1554)&gt;1,COUNTIF($A$2:A1554,A1554)=1),1,0)</f>
        <v>0</v>
      </c>
      <c r="S1554" t="b">
        <f>IFERROR(VLOOKUP(D1554,Products!$A$2:$F$61,6,FALSE()),"")</f>
        <v>1</v>
      </c>
      <c r="T1554" t="str">
        <f>IF(COUNTIF(Customers!$A$2:$A$301,C1554)=0,"Missing","OK")</f>
        <v>OK</v>
      </c>
      <c r="U1554" t="str">
        <f t="shared" si="73"/>
        <v>Hyderabad</v>
      </c>
      <c r="V1554">
        <f t="shared" si="74"/>
        <v>0</v>
      </c>
    </row>
    <row r="1555" spans="1:22" ht="15" customHeight="1" x14ac:dyDescent="0.35">
      <c r="A1555" s="3" t="s">
        <v>1987</v>
      </c>
      <c r="B1555" s="4">
        <v>45321</v>
      </c>
      <c r="C1555" s="3" t="s">
        <v>238</v>
      </c>
      <c r="D1555" s="3" t="s">
        <v>118</v>
      </c>
      <c r="E1555" s="3" t="s">
        <v>127</v>
      </c>
      <c r="F1555" s="5">
        <v>10</v>
      </c>
      <c r="G1555" s="5">
        <v>3350</v>
      </c>
      <c r="H1555" s="5">
        <v>7.8</v>
      </c>
      <c r="I1555" s="5">
        <v>30887</v>
      </c>
      <c r="J1555" s="3" t="s">
        <v>26</v>
      </c>
      <c r="K1555" s="3" t="s">
        <v>72</v>
      </c>
      <c r="L1555" t="str">
        <f>IFERROR(VLOOKUP(D1555,Products!$A$2:$F$61,3,FALSE()),"")</f>
        <v>Beauty</v>
      </c>
      <c r="M1555" t="str">
        <f>IFERROR(VLOOKUP(E1555,Sales_Reps!$A$2:$C$31,3,FALSE()),"")</f>
        <v>South</v>
      </c>
      <c r="N1555">
        <f>IFERROR(VLOOKUP(D1555,Products!$A$2:$F$61,4,FALSE()),"")</f>
        <v>1728</v>
      </c>
      <c r="O1555" t="str">
        <f>IFERROR(VLOOKUP(C1555,Customers!$A$2:$F$301,5,FALSE()),"")</f>
        <v>Retail</v>
      </c>
      <c r="P1555">
        <f>IFERROR(VLOOKUP(C1555,Customers!$A$2:$F$301,3,FALSE()),"")</f>
        <v>29</v>
      </c>
      <c r="Q1555">
        <f t="shared" si="72"/>
        <v>0.48417910447761192</v>
      </c>
      <c r="R1555">
        <f>IF(AND(COUNTIF($A$2:$A$2027,A1555)&gt;1,COUNTIF($A$2:A1555,A1555)=1),1,0)</f>
        <v>0</v>
      </c>
      <c r="S1555" t="b">
        <f>IFERROR(VLOOKUP(D1555,Products!$A$2:$F$61,6,FALSE()),"")</f>
        <v>1</v>
      </c>
      <c r="T1555" t="str">
        <f>IF(COUNTIF(Customers!$A$2:$A$301,C1555)=0,"Missing","OK")</f>
        <v>OK</v>
      </c>
      <c r="U1555" t="str">
        <f t="shared" si="73"/>
        <v>Hyderabad</v>
      </c>
      <c r="V1555">
        <f t="shared" si="74"/>
        <v>0</v>
      </c>
    </row>
    <row r="1556" spans="1:22" ht="15" customHeight="1" x14ac:dyDescent="0.35">
      <c r="A1556" s="3" t="s">
        <v>1988</v>
      </c>
      <c r="B1556" s="4">
        <v>45358</v>
      </c>
      <c r="C1556" s="3" t="s">
        <v>1989</v>
      </c>
      <c r="D1556" s="3" t="s">
        <v>118</v>
      </c>
      <c r="E1556" s="3" t="s">
        <v>109</v>
      </c>
      <c r="F1556" s="5">
        <v>7</v>
      </c>
      <c r="G1556" s="5">
        <v>3350</v>
      </c>
      <c r="H1556" s="5">
        <v>14.5</v>
      </c>
      <c r="I1556" s="5">
        <v>20049.75</v>
      </c>
      <c r="J1556" s="3" t="s">
        <v>26</v>
      </c>
      <c r="K1556" s="3" t="s">
        <v>56</v>
      </c>
      <c r="L1556" t="str">
        <f>IFERROR(VLOOKUP(D1556,Products!$A$2:$F$61,3,FALSE()),"")</f>
        <v>Beauty</v>
      </c>
      <c r="M1556" t="str">
        <f>IFERROR(VLOOKUP(E1556,Sales_Reps!$A$2:$C$31,3,FALSE()),"")</f>
        <v>West</v>
      </c>
      <c r="N1556">
        <f>IFERROR(VLOOKUP(D1556,Products!$A$2:$F$61,4,FALSE()),"")</f>
        <v>1728</v>
      </c>
      <c r="O1556" t="str">
        <f>IFERROR(VLOOKUP(C1556,Customers!$A$2:$F$301,5,FALSE()),"")</f>
        <v/>
      </c>
      <c r="P1556" t="str">
        <f>IFERROR(VLOOKUP(C1556,Customers!$A$2:$F$301,3,FALSE()),"")</f>
        <v/>
      </c>
      <c r="Q1556">
        <f t="shared" si="72"/>
        <v>0.48417910447761192</v>
      </c>
      <c r="R1556">
        <f>IF(AND(COUNTIF($A$2:$A$2027,A1556)&gt;1,COUNTIF($A$2:A1556,A1556)=1),1,0)</f>
        <v>0</v>
      </c>
      <c r="S1556" t="b">
        <f>IFERROR(VLOOKUP(D1556,Products!$A$2:$F$61,6,FALSE()),"")</f>
        <v>1</v>
      </c>
      <c r="T1556" t="str">
        <f>IF(COUNTIF(Customers!$A$2:$A$301,C1556)=0,"Missing","OK")</f>
        <v>Missing</v>
      </c>
      <c r="U1556" t="str">
        <f t="shared" si="73"/>
        <v>Bengaluru</v>
      </c>
      <c r="V1556">
        <f t="shared" si="74"/>
        <v>0</v>
      </c>
    </row>
    <row r="1557" spans="1:22" ht="15" customHeight="1" x14ac:dyDescent="0.35">
      <c r="A1557" s="3" t="s">
        <v>1990</v>
      </c>
      <c r="B1557" s="4">
        <v>45440</v>
      </c>
      <c r="C1557" s="3" t="s">
        <v>156</v>
      </c>
      <c r="D1557" s="3" t="s">
        <v>63</v>
      </c>
      <c r="E1557" s="3" t="s">
        <v>37</v>
      </c>
      <c r="F1557" s="5">
        <v>6</v>
      </c>
      <c r="G1557" s="5">
        <v>5490</v>
      </c>
      <c r="H1557" s="5">
        <v>8</v>
      </c>
      <c r="I1557" s="5">
        <v>30304.799999999999</v>
      </c>
      <c r="J1557" s="3" t="s">
        <v>26</v>
      </c>
      <c r="K1557" s="3" t="s">
        <v>33</v>
      </c>
      <c r="L1557" t="str">
        <f>IFERROR(VLOOKUP(D1557,Products!$A$2:$F$61,3,FALSE()),"")</f>
        <v>Home</v>
      </c>
      <c r="M1557" t="str">
        <f>IFERROR(VLOOKUP(E1557,Sales_Reps!$A$2:$C$31,3,FALSE()),"")</f>
        <v>South</v>
      </c>
      <c r="N1557">
        <f>IFERROR(VLOOKUP(D1557,Products!$A$2:$F$61,4,FALSE()),"")</f>
        <v>2549</v>
      </c>
      <c r="O1557" t="str">
        <f>IFERROR(VLOOKUP(C1557,Customers!$A$2:$F$301,5,FALSE()),"")</f>
        <v>Retail</v>
      </c>
      <c r="P1557">
        <f>IFERROR(VLOOKUP(C1557,Customers!$A$2:$F$301,3,FALSE()),"")</f>
        <v>51</v>
      </c>
      <c r="Q1557">
        <f t="shared" si="72"/>
        <v>0.53570127504553733</v>
      </c>
      <c r="R1557">
        <f>IF(AND(COUNTIF($A$2:$A$2027,A1557)&gt;1,COUNTIF($A$2:A1557,A1557)=1),1,0)</f>
        <v>0</v>
      </c>
      <c r="S1557" t="b">
        <f>IFERROR(VLOOKUP(D1557,Products!$A$2:$F$61,6,FALSE()),"")</f>
        <v>1</v>
      </c>
      <c r="T1557" t="str">
        <f>IF(COUNTIF(Customers!$A$2:$A$301,C1557)=0,"Missing","OK")</f>
        <v>OK</v>
      </c>
      <c r="U1557" t="str">
        <f t="shared" si="73"/>
        <v>Chennai</v>
      </c>
      <c r="V1557">
        <f t="shared" si="74"/>
        <v>0</v>
      </c>
    </row>
    <row r="1558" spans="1:22" ht="15" customHeight="1" x14ac:dyDescent="0.35">
      <c r="A1558" s="3" t="s">
        <v>1991</v>
      </c>
      <c r="B1558" s="4">
        <v>45618</v>
      </c>
      <c r="C1558" s="3" t="s">
        <v>1992</v>
      </c>
      <c r="D1558" s="3" t="s">
        <v>134</v>
      </c>
      <c r="E1558" s="3" t="s">
        <v>242</v>
      </c>
      <c r="F1558" s="5">
        <v>3</v>
      </c>
      <c r="G1558" s="5">
        <v>2860</v>
      </c>
      <c r="H1558" s="5">
        <v>19.899999999999999</v>
      </c>
      <c r="I1558" s="5">
        <v>6872.58</v>
      </c>
      <c r="J1558" s="3" t="s">
        <v>26</v>
      </c>
      <c r="K1558" s="3" t="s">
        <v>72</v>
      </c>
      <c r="L1558" t="str">
        <f>IFERROR(VLOOKUP(D1558,Products!$A$2:$F$61,3,FALSE()),"")</f>
        <v>Sports</v>
      </c>
      <c r="M1558" t="str">
        <f>IFERROR(VLOOKUP(E1558,Sales_Reps!$A$2:$C$31,3,FALSE()),"")</f>
        <v>East</v>
      </c>
      <c r="N1558">
        <f>IFERROR(VLOOKUP(D1558,Products!$A$2:$F$61,4,FALSE()),"")</f>
        <v>2028</v>
      </c>
      <c r="O1558" t="str">
        <f>IFERROR(VLOOKUP(C1558,Customers!$A$2:$F$301,5,FALSE()),"")</f>
        <v>SMB</v>
      </c>
      <c r="P1558">
        <f>IFERROR(VLOOKUP(C1558,Customers!$A$2:$F$301,3,FALSE()),"")</f>
        <v>39</v>
      </c>
      <c r="Q1558">
        <f t="shared" si="72"/>
        <v>0.29090909090909089</v>
      </c>
      <c r="R1558">
        <f>IF(AND(COUNTIF($A$2:$A$2027,A1558)&gt;1,COUNTIF($A$2:A1558,A1558)=1),1,0)</f>
        <v>0</v>
      </c>
      <c r="S1558" t="b">
        <f>IFERROR(VLOOKUP(D1558,Products!$A$2:$F$61,6,FALSE()),"")</f>
        <v>1</v>
      </c>
      <c r="T1558" t="str">
        <f>IF(COUNTIF(Customers!$A$2:$A$301,C1558)=0,"Missing","OK")</f>
        <v>OK</v>
      </c>
      <c r="U1558" t="str">
        <f t="shared" si="73"/>
        <v>Hyderabad</v>
      </c>
      <c r="V1558">
        <f t="shared" si="74"/>
        <v>0</v>
      </c>
    </row>
    <row r="1559" spans="1:22" ht="15" customHeight="1" x14ac:dyDescent="0.35">
      <c r="A1559" s="3" t="s">
        <v>1993</v>
      </c>
      <c r="B1559" s="4">
        <v>45295</v>
      </c>
      <c r="C1559" s="3" t="s">
        <v>656</v>
      </c>
      <c r="D1559" s="3" t="s">
        <v>74</v>
      </c>
      <c r="E1559" s="3" t="s">
        <v>55</v>
      </c>
      <c r="F1559" s="5">
        <v>3</v>
      </c>
      <c r="G1559" s="5">
        <v>2640</v>
      </c>
      <c r="H1559" s="5">
        <v>29.3</v>
      </c>
      <c r="I1559" s="5">
        <v>5599.44</v>
      </c>
      <c r="J1559" s="3" t="s">
        <v>26</v>
      </c>
      <c r="K1559" s="3" t="s">
        <v>33</v>
      </c>
      <c r="L1559" t="str">
        <f>IFERROR(VLOOKUP(D1559,Products!$A$2:$F$61,3,FALSE()),"")</f>
        <v>Electronics</v>
      </c>
      <c r="M1559" t="str">
        <f>IFERROR(VLOOKUP(E1559,Sales_Reps!$A$2:$C$31,3,FALSE()),"")</f>
        <v>West</v>
      </c>
      <c r="N1559">
        <f>IFERROR(VLOOKUP(D1559,Products!$A$2:$F$61,4,FALSE()),"")</f>
        <v>1149</v>
      </c>
      <c r="O1559" t="str">
        <f>IFERROR(VLOOKUP(C1559,Customers!$A$2:$F$301,5,FALSE()),"")</f>
        <v>Retail</v>
      </c>
      <c r="P1559">
        <f>IFERROR(VLOOKUP(C1559,Customers!$A$2:$F$301,3,FALSE()),"")</f>
        <v>24</v>
      </c>
      <c r="Q1559">
        <f t="shared" si="72"/>
        <v>0.56477272727272732</v>
      </c>
      <c r="R1559">
        <f>IF(AND(COUNTIF($A$2:$A$2027,A1559)&gt;1,COUNTIF($A$2:A1559,A1559)=1),1,0)</f>
        <v>0</v>
      </c>
      <c r="S1559" t="b">
        <f>IFERROR(VLOOKUP(D1559,Products!$A$2:$F$61,6,FALSE()),"")</f>
        <v>1</v>
      </c>
      <c r="T1559" t="str">
        <f>IF(COUNTIF(Customers!$A$2:$A$301,C1559)=0,"Missing","OK")</f>
        <v>OK</v>
      </c>
      <c r="U1559" t="str">
        <f t="shared" si="73"/>
        <v>Chennai</v>
      </c>
      <c r="V1559">
        <f t="shared" si="74"/>
        <v>0</v>
      </c>
    </row>
    <row r="1560" spans="1:22" ht="15" customHeight="1" x14ac:dyDescent="0.35">
      <c r="A1560" s="3" t="s">
        <v>1994</v>
      </c>
      <c r="B1560" s="4">
        <v>45384</v>
      </c>
      <c r="C1560" s="3" t="s">
        <v>480</v>
      </c>
      <c r="D1560" s="3" t="s">
        <v>391</v>
      </c>
      <c r="E1560" s="3" t="s">
        <v>168</v>
      </c>
      <c r="F1560" s="5">
        <v>8</v>
      </c>
      <c r="G1560" s="5">
        <v>3450</v>
      </c>
      <c r="H1560" s="5">
        <v>15.2</v>
      </c>
      <c r="I1560" s="5">
        <v>23404.799999999999</v>
      </c>
      <c r="J1560" s="3" t="s">
        <v>79</v>
      </c>
      <c r="K1560" s="3" t="s">
        <v>33</v>
      </c>
      <c r="L1560" t="str">
        <f>IFERROR(VLOOKUP(D1560,Products!$A$2:$F$61,3,FALSE()),"")</f>
        <v>Apparel</v>
      </c>
      <c r="M1560" t="str">
        <f>IFERROR(VLOOKUP(E1560,Sales_Reps!$A$2:$C$31,3,FALSE()),"")</f>
        <v>West</v>
      </c>
      <c r="N1560">
        <f>IFERROR(VLOOKUP(D1560,Products!$A$2:$F$61,4,FALSE()),"")</f>
        <v>1748</v>
      </c>
      <c r="O1560" t="str">
        <f>IFERROR(VLOOKUP(C1560,Customers!$A$2:$F$301,5,FALSE()),"")</f>
        <v>Corporate</v>
      </c>
      <c r="P1560">
        <f>IFERROR(VLOOKUP(C1560,Customers!$A$2:$F$301,3,FALSE()),"")</f>
        <v>34</v>
      </c>
      <c r="Q1560">
        <f t="shared" si="72"/>
        <v>0.49333333333333335</v>
      </c>
      <c r="R1560">
        <f>IF(AND(COUNTIF($A$2:$A$2027,A1560)&gt;1,COUNTIF($A$2:A1560,A1560)=1),1,0)</f>
        <v>0</v>
      </c>
      <c r="S1560" t="b">
        <f>IFERROR(VLOOKUP(D1560,Products!$A$2:$F$61,6,FALSE()),"")</f>
        <v>1</v>
      </c>
      <c r="T1560" t="str">
        <f>IF(COUNTIF(Customers!$A$2:$A$301,C1560)=0,"Missing","OK")</f>
        <v>OK</v>
      </c>
      <c r="U1560" t="str">
        <f t="shared" si="73"/>
        <v>Chennai</v>
      </c>
      <c r="V1560">
        <f t="shared" si="74"/>
        <v>0</v>
      </c>
    </row>
    <row r="1561" spans="1:22" ht="15" customHeight="1" x14ac:dyDescent="0.35">
      <c r="A1561" s="3" t="s">
        <v>1995</v>
      </c>
      <c r="B1561" s="4">
        <v>45349</v>
      </c>
      <c r="C1561" s="3" t="s">
        <v>807</v>
      </c>
      <c r="D1561" s="3" t="s">
        <v>49</v>
      </c>
      <c r="E1561" s="3" t="s">
        <v>50</v>
      </c>
      <c r="F1561" s="5">
        <v>6</v>
      </c>
      <c r="G1561" s="5">
        <v>370</v>
      </c>
      <c r="H1561" s="5">
        <v>7</v>
      </c>
      <c r="I1561" s="5">
        <v>2064.6</v>
      </c>
      <c r="J1561" s="3" t="s">
        <v>26</v>
      </c>
      <c r="K1561" s="3" t="s">
        <v>38</v>
      </c>
      <c r="L1561" t="str">
        <f>IFERROR(VLOOKUP(D1561,Products!$A$2:$F$61,3,FALSE()),"")</f>
        <v>Home</v>
      </c>
      <c r="M1561" t="str">
        <f>IFERROR(VLOOKUP(E1561,Sales_Reps!$A$2:$C$31,3,FALSE()),"")</f>
        <v>West</v>
      </c>
      <c r="N1561">
        <f>IFERROR(VLOOKUP(D1561,Products!$A$2:$F$61,4,FALSE()),"")</f>
        <v>288</v>
      </c>
      <c r="O1561" t="str">
        <f>IFERROR(VLOOKUP(C1561,Customers!$A$2:$F$301,5,FALSE()),"")</f>
        <v>SMB</v>
      </c>
      <c r="P1561">
        <f>IFERROR(VLOOKUP(C1561,Customers!$A$2:$F$301,3,FALSE()),"")</f>
        <v>38</v>
      </c>
      <c r="Q1561">
        <f t="shared" si="72"/>
        <v>0.22162162162162163</v>
      </c>
      <c r="R1561">
        <f>IF(AND(COUNTIF($A$2:$A$2027,A1561)&gt;1,COUNTIF($A$2:A1561,A1561)=1),1,0)</f>
        <v>0</v>
      </c>
      <c r="S1561" t="b">
        <f>IFERROR(VLOOKUP(D1561,Products!$A$2:$F$61,6,FALSE()),"")</f>
        <v>1</v>
      </c>
      <c r="T1561" t="str">
        <f>IF(COUNTIF(Customers!$A$2:$A$301,C1561)=0,"Missing","OK")</f>
        <v>OK</v>
      </c>
      <c r="U1561" t="str">
        <f t="shared" si="73"/>
        <v>Delhi</v>
      </c>
      <c r="V1561">
        <f t="shared" si="74"/>
        <v>0</v>
      </c>
    </row>
    <row r="1562" spans="1:22" ht="15" customHeight="1" x14ac:dyDescent="0.35">
      <c r="A1562" s="3" t="s">
        <v>1996</v>
      </c>
      <c r="B1562" s="4">
        <v>45439</v>
      </c>
      <c r="C1562" s="3" t="s">
        <v>289</v>
      </c>
      <c r="D1562" s="3" t="s">
        <v>290</v>
      </c>
      <c r="E1562" s="3" t="s">
        <v>168</v>
      </c>
      <c r="F1562" s="5">
        <v>10</v>
      </c>
      <c r="G1562" s="5">
        <v>4060</v>
      </c>
      <c r="H1562" s="5">
        <v>4.7</v>
      </c>
      <c r="I1562" s="5">
        <v>38691.800000000003</v>
      </c>
      <c r="J1562" s="3" t="s">
        <v>79</v>
      </c>
      <c r="K1562" s="3" t="s">
        <v>51</v>
      </c>
      <c r="L1562" t="str">
        <f>IFERROR(VLOOKUP(D1562,Products!$A$2:$F$61,3,FALSE()),"")</f>
        <v>Grocery</v>
      </c>
      <c r="M1562" t="str">
        <f>IFERROR(VLOOKUP(E1562,Sales_Reps!$A$2:$C$31,3,FALSE()),"")</f>
        <v>West</v>
      </c>
      <c r="N1562">
        <f>IFERROR(VLOOKUP(D1562,Products!$A$2:$F$61,4,FALSE()),"")</f>
        <v>2911</v>
      </c>
      <c r="O1562" t="str">
        <f>IFERROR(VLOOKUP(C1562,Customers!$A$2:$F$301,5,FALSE()),"")</f>
        <v>SMB</v>
      </c>
      <c r="P1562">
        <f>IFERROR(VLOOKUP(C1562,Customers!$A$2:$F$301,3,FALSE()),"")</f>
        <v>22</v>
      </c>
      <c r="Q1562">
        <f t="shared" si="72"/>
        <v>0.28300492610837441</v>
      </c>
      <c r="R1562">
        <f>IF(AND(COUNTIF($A$2:$A$2027,A1562)&gt;1,COUNTIF($A$2:A1562,A1562)=1),1,0)</f>
        <v>0</v>
      </c>
      <c r="S1562" t="b">
        <f>IFERROR(VLOOKUP(D1562,Products!$A$2:$F$61,6,FALSE()),"")</f>
        <v>1</v>
      </c>
      <c r="T1562" t="str">
        <f>IF(COUNTIF(Customers!$A$2:$A$301,C1562)=0,"Missing","OK")</f>
        <v>OK</v>
      </c>
      <c r="U1562" t="str">
        <f t="shared" si="73"/>
        <v>Mumbai</v>
      </c>
      <c r="V1562">
        <f t="shared" si="74"/>
        <v>0</v>
      </c>
    </row>
    <row r="1563" spans="1:22" ht="15" customHeight="1" x14ac:dyDescent="0.35">
      <c r="A1563" s="3" t="s">
        <v>1997</v>
      </c>
      <c r="B1563" s="4">
        <v>45426</v>
      </c>
      <c r="C1563" s="3" t="s">
        <v>977</v>
      </c>
      <c r="D1563" s="3" t="s">
        <v>187</v>
      </c>
      <c r="E1563" s="3" t="s">
        <v>55</v>
      </c>
      <c r="F1563" s="5">
        <v>1</v>
      </c>
      <c r="G1563" s="5">
        <v>3870</v>
      </c>
      <c r="H1563" s="5">
        <v>18.2</v>
      </c>
      <c r="I1563" s="5">
        <v>3165.66</v>
      </c>
      <c r="J1563" s="3" t="s">
        <v>32</v>
      </c>
      <c r="K1563" s="3" t="s">
        <v>56</v>
      </c>
      <c r="L1563" t="str">
        <f>IFERROR(VLOOKUP(D1563,Products!$A$2:$F$61,3,FALSE()),"")</f>
        <v>Electronics</v>
      </c>
      <c r="M1563" t="str">
        <f>IFERROR(VLOOKUP(E1563,Sales_Reps!$A$2:$C$31,3,FALSE()),"")</f>
        <v>West</v>
      </c>
      <c r="N1563">
        <f>IFERROR(VLOOKUP(D1563,Products!$A$2:$F$61,4,FALSE()),"")</f>
        <v>1559</v>
      </c>
      <c r="O1563" t="str">
        <f>IFERROR(VLOOKUP(C1563,Customers!$A$2:$F$301,5,FALSE()),"")</f>
        <v>Corporate</v>
      </c>
      <c r="P1563">
        <f>IFERROR(VLOOKUP(C1563,Customers!$A$2:$F$301,3,FALSE()),"")</f>
        <v>55</v>
      </c>
      <c r="Q1563">
        <f t="shared" si="72"/>
        <v>0.59715762273901807</v>
      </c>
      <c r="R1563">
        <f>IF(AND(COUNTIF($A$2:$A$2027,A1563)&gt;1,COUNTIF($A$2:A1563,A1563)=1),1,0)</f>
        <v>0</v>
      </c>
      <c r="S1563" t="b">
        <f>IFERROR(VLOOKUP(D1563,Products!$A$2:$F$61,6,FALSE()),"")</f>
        <v>1</v>
      </c>
      <c r="T1563" t="str">
        <f>IF(COUNTIF(Customers!$A$2:$A$301,C1563)=0,"Missing","OK")</f>
        <v>OK</v>
      </c>
      <c r="U1563" t="str">
        <f t="shared" si="73"/>
        <v>Bengaluru</v>
      </c>
      <c r="V1563">
        <f t="shared" si="74"/>
        <v>0</v>
      </c>
    </row>
    <row r="1564" spans="1:22" ht="15" customHeight="1" x14ac:dyDescent="0.35">
      <c r="A1564" s="3" t="s">
        <v>1998</v>
      </c>
      <c r="B1564" s="4">
        <v>45385</v>
      </c>
      <c r="C1564" s="3" t="s">
        <v>1035</v>
      </c>
      <c r="D1564" s="3" t="s">
        <v>303</v>
      </c>
      <c r="E1564" s="3" t="s">
        <v>42</v>
      </c>
      <c r="F1564" s="5">
        <v>1</v>
      </c>
      <c r="G1564" s="5">
        <v>5330</v>
      </c>
      <c r="H1564" s="5">
        <v>3.9</v>
      </c>
      <c r="I1564" s="5">
        <v>5122.13</v>
      </c>
      <c r="J1564" s="3" t="s">
        <v>83</v>
      </c>
      <c r="K1564" s="3" t="s">
        <v>27</v>
      </c>
      <c r="L1564" t="str">
        <f>IFERROR(VLOOKUP(D1564,Products!$A$2:$F$61,3,FALSE()),"")</f>
        <v>Electronics</v>
      </c>
      <c r="M1564" t="str">
        <f>IFERROR(VLOOKUP(E1564,Sales_Reps!$A$2:$C$31,3,FALSE()),"")</f>
        <v>North</v>
      </c>
      <c r="N1564">
        <f>IFERROR(VLOOKUP(D1564,Products!$A$2:$F$61,4,FALSE()),"")</f>
        <v>2405</v>
      </c>
      <c r="O1564" t="str">
        <f>IFERROR(VLOOKUP(C1564,Customers!$A$2:$F$301,5,FALSE()),"")</f>
        <v>Corporate</v>
      </c>
      <c r="P1564">
        <f>IFERROR(VLOOKUP(C1564,Customers!$A$2:$F$301,3,FALSE()),"")</f>
        <v>42</v>
      </c>
      <c r="Q1564">
        <f t="shared" si="72"/>
        <v>0.54878048780487809</v>
      </c>
      <c r="R1564">
        <f>IF(AND(COUNTIF($A$2:$A$2027,A1564)&gt;1,COUNTIF($A$2:A1564,A1564)=1),1,0)</f>
        <v>0</v>
      </c>
      <c r="S1564" t="b">
        <f>IFERROR(VLOOKUP(D1564,Products!$A$2:$F$61,6,FALSE()),"")</f>
        <v>1</v>
      </c>
      <c r="T1564" t="str">
        <f>IF(COUNTIF(Customers!$A$2:$A$301,C1564)=0,"Missing","OK")</f>
        <v>OK</v>
      </c>
      <c r="U1564" t="str">
        <f t="shared" si="73"/>
        <v>Pune</v>
      </c>
      <c r="V1564">
        <f t="shared" si="74"/>
        <v>0</v>
      </c>
    </row>
    <row r="1565" spans="1:22" ht="15" customHeight="1" x14ac:dyDescent="0.35">
      <c r="A1565" s="3" t="s">
        <v>1999</v>
      </c>
      <c r="B1565" s="4">
        <v>45312</v>
      </c>
      <c r="C1565" s="3" t="s">
        <v>594</v>
      </c>
      <c r="D1565" s="3" t="s">
        <v>49</v>
      </c>
      <c r="E1565" s="3" t="s">
        <v>131</v>
      </c>
      <c r="F1565" s="5">
        <v>8</v>
      </c>
      <c r="G1565" s="5">
        <v>370</v>
      </c>
      <c r="H1565" s="5">
        <v>1.3</v>
      </c>
      <c r="I1565" s="5">
        <v>2921.52</v>
      </c>
      <c r="J1565" s="3" t="s">
        <v>26</v>
      </c>
      <c r="K1565" s="3" t="s">
        <v>72</v>
      </c>
      <c r="L1565" t="str">
        <f>IFERROR(VLOOKUP(D1565,Products!$A$2:$F$61,3,FALSE()),"")</f>
        <v>Home</v>
      </c>
      <c r="M1565" t="str">
        <f>IFERROR(VLOOKUP(E1565,Sales_Reps!$A$2:$C$31,3,FALSE()),"")</f>
        <v>East</v>
      </c>
      <c r="N1565">
        <f>IFERROR(VLOOKUP(D1565,Products!$A$2:$F$61,4,FALSE()),"")</f>
        <v>288</v>
      </c>
      <c r="O1565" t="str">
        <f>IFERROR(VLOOKUP(C1565,Customers!$A$2:$F$301,5,FALSE()),"")</f>
        <v>Retail</v>
      </c>
      <c r="P1565">
        <f>IFERROR(VLOOKUP(C1565,Customers!$A$2:$F$301,3,FALSE()),"")</f>
        <v>27</v>
      </c>
      <c r="Q1565">
        <f t="shared" si="72"/>
        <v>0.22162162162162163</v>
      </c>
      <c r="R1565">
        <f>IF(AND(COUNTIF($A$2:$A$2027,A1565)&gt;1,COUNTIF($A$2:A1565,A1565)=1),1,0)</f>
        <v>0</v>
      </c>
      <c r="S1565" t="b">
        <f>IFERROR(VLOOKUP(D1565,Products!$A$2:$F$61,6,FALSE()),"")</f>
        <v>1</v>
      </c>
      <c r="T1565" t="str">
        <f>IF(COUNTIF(Customers!$A$2:$A$301,C1565)=0,"Missing","OK")</f>
        <v>OK</v>
      </c>
      <c r="U1565" t="str">
        <f t="shared" si="73"/>
        <v>Hyderabad</v>
      </c>
      <c r="V1565">
        <f t="shared" si="74"/>
        <v>0</v>
      </c>
    </row>
    <row r="1566" spans="1:22" ht="15" customHeight="1" x14ac:dyDescent="0.35">
      <c r="A1566" s="3" t="s">
        <v>2000</v>
      </c>
      <c r="B1566" s="4">
        <v>45622</v>
      </c>
      <c r="C1566" s="3" t="s">
        <v>404</v>
      </c>
      <c r="D1566" s="3" t="s">
        <v>221</v>
      </c>
      <c r="E1566" s="3" t="s">
        <v>131</v>
      </c>
      <c r="F1566" s="5">
        <v>7</v>
      </c>
      <c r="G1566" s="5">
        <v>300</v>
      </c>
      <c r="H1566" s="5">
        <v>7.1</v>
      </c>
      <c r="I1566" s="5">
        <v>1950.9</v>
      </c>
      <c r="J1566" s="3" t="s">
        <v>26</v>
      </c>
      <c r="K1566" s="3" t="s">
        <v>51</v>
      </c>
      <c r="L1566" t="str">
        <f>IFERROR(VLOOKUP(D1566,Products!$A$2:$F$61,3,FALSE()),"")</f>
        <v>Electronics</v>
      </c>
      <c r="M1566" t="str">
        <f>IFERROR(VLOOKUP(E1566,Sales_Reps!$A$2:$C$31,3,FALSE()),"")</f>
        <v>East</v>
      </c>
      <c r="N1566">
        <f>IFERROR(VLOOKUP(D1566,Products!$A$2:$F$61,4,FALSE()),"")</f>
        <v>128</v>
      </c>
      <c r="O1566" t="str">
        <f>IFERROR(VLOOKUP(C1566,Customers!$A$2:$F$301,5,FALSE()),"")</f>
        <v>Retail</v>
      </c>
      <c r="P1566">
        <f>IFERROR(VLOOKUP(C1566,Customers!$A$2:$F$301,3,FALSE()),"")</f>
        <v>61</v>
      </c>
      <c r="Q1566">
        <f t="shared" si="72"/>
        <v>0.57333333333333336</v>
      </c>
      <c r="R1566">
        <f>IF(AND(COUNTIF($A$2:$A$2027,A1566)&gt;1,COUNTIF($A$2:A1566,A1566)=1),1,0)</f>
        <v>0</v>
      </c>
      <c r="S1566" t="b">
        <f>IFERROR(VLOOKUP(D1566,Products!$A$2:$F$61,6,FALSE()),"")</f>
        <v>1</v>
      </c>
      <c r="T1566" t="str">
        <f>IF(COUNTIF(Customers!$A$2:$A$301,C1566)=0,"Missing","OK")</f>
        <v>OK</v>
      </c>
      <c r="U1566" t="str">
        <f t="shared" si="73"/>
        <v>Mumbai</v>
      </c>
      <c r="V1566">
        <f t="shared" si="74"/>
        <v>0</v>
      </c>
    </row>
    <row r="1567" spans="1:22" ht="15" customHeight="1" x14ac:dyDescent="0.35">
      <c r="A1567" s="3" t="s">
        <v>2001</v>
      </c>
      <c r="B1567" s="4">
        <v>45508</v>
      </c>
      <c r="C1567" s="3" t="s">
        <v>554</v>
      </c>
      <c r="D1567" s="3" t="s">
        <v>118</v>
      </c>
      <c r="E1567" s="3" t="s">
        <v>264</v>
      </c>
      <c r="F1567" s="5">
        <v>8</v>
      </c>
      <c r="G1567" s="5">
        <v>3350</v>
      </c>
      <c r="H1567" s="5">
        <v>11.2</v>
      </c>
      <c r="I1567" s="5">
        <v>23798.400000000001</v>
      </c>
      <c r="J1567" s="3" t="s">
        <v>26</v>
      </c>
      <c r="K1567" s="3" t="s">
        <v>51</v>
      </c>
      <c r="L1567" t="str">
        <f>IFERROR(VLOOKUP(D1567,Products!$A$2:$F$61,3,FALSE()),"")</f>
        <v>Beauty</v>
      </c>
      <c r="M1567" t="str">
        <f>IFERROR(VLOOKUP(E1567,Sales_Reps!$A$2:$C$31,3,FALSE()),"")</f>
        <v>South</v>
      </c>
      <c r="N1567">
        <f>IFERROR(VLOOKUP(D1567,Products!$A$2:$F$61,4,FALSE()),"")</f>
        <v>1728</v>
      </c>
      <c r="O1567" t="str">
        <f>IFERROR(VLOOKUP(C1567,Customers!$A$2:$F$301,5,FALSE()),"")</f>
        <v>Retail</v>
      </c>
      <c r="P1567">
        <f>IFERROR(VLOOKUP(C1567,Customers!$A$2:$F$301,3,FALSE()),"")</f>
        <v>53</v>
      </c>
      <c r="Q1567">
        <f t="shared" si="72"/>
        <v>0.48417910447761192</v>
      </c>
      <c r="R1567">
        <f>IF(AND(COUNTIF($A$2:$A$2027,A1567)&gt;1,COUNTIF($A$2:A1567,A1567)=1),1,0)</f>
        <v>0</v>
      </c>
      <c r="S1567" t="b">
        <f>IFERROR(VLOOKUP(D1567,Products!$A$2:$F$61,6,FALSE()),"")</f>
        <v>1</v>
      </c>
      <c r="T1567" t="str">
        <f>IF(COUNTIF(Customers!$A$2:$A$301,C1567)=0,"Missing","OK")</f>
        <v>OK</v>
      </c>
      <c r="U1567" t="str">
        <f t="shared" si="73"/>
        <v>Mumbai</v>
      </c>
      <c r="V1567">
        <f t="shared" si="74"/>
        <v>0</v>
      </c>
    </row>
    <row r="1568" spans="1:22" ht="15" customHeight="1" x14ac:dyDescent="0.35">
      <c r="A1568" s="3" t="s">
        <v>2002</v>
      </c>
      <c r="B1568" s="4">
        <v>45528</v>
      </c>
      <c r="C1568" s="3" t="s">
        <v>1247</v>
      </c>
      <c r="D1568" s="3" t="s">
        <v>454</v>
      </c>
      <c r="E1568" s="3" t="s">
        <v>143</v>
      </c>
      <c r="F1568" s="5">
        <v>6</v>
      </c>
      <c r="G1568" s="5">
        <v>6940</v>
      </c>
      <c r="H1568" s="5">
        <v>0.3</v>
      </c>
      <c r="I1568" s="5">
        <v>41515.08</v>
      </c>
      <c r="J1568" s="3" t="s">
        <v>26</v>
      </c>
      <c r="K1568" s="3" t="s">
        <v>33</v>
      </c>
      <c r="L1568" t="str">
        <f>IFERROR(VLOOKUP(D1568,Products!$A$2:$F$61,3,FALSE()),"")</f>
        <v>Sports</v>
      </c>
      <c r="M1568" t="str">
        <f>IFERROR(VLOOKUP(E1568,Sales_Reps!$A$2:$C$31,3,FALSE()),"")</f>
        <v>South</v>
      </c>
      <c r="N1568">
        <f>IFERROR(VLOOKUP(D1568,Products!$A$2:$F$61,4,FALSE()),"")</f>
        <v>2827</v>
      </c>
      <c r="O1568" t="str">
        <f>IFERROR(VLOOKUP(C1568,Customers!$A$2:$F$301,5,FALSE()),"")</f>
        <v>SMB</v>
      </c>
      <c r="P1568">
        <f>IFERROR(VLOOKUP(C1568,Customers!$A$2:$F$301,3,FALSE()),"")</f>
        <v>51</v>
      </c>
      <c r="Q1568">
        <f t="shared" si="72"/>
        <v>0.5926512968299712</v>
      </c>
      <c r="R1568">
        <f>IF(AND(COUNTIF($A$2:$A$2027,A1568)&gt;1,COUNTIF($A$2:A1568,A1568)=1),1,0)</f>
        <v>0</v>
      </c>
      <c r="S1568" t="b">
        <f>IFERROR(VLOOKUP(D1568,Products!$A$2:$F$61,6,FALSE()),"")</f>
        <v>1</v>
      </c>
      <c r="T1568" t="str">
        <f>IF(COUNTIF(Customers!$A$2:$A$301,C1568)=0,"Missing","OK")</f>
        <v>OK</v>
      </c>
      <c r="U1568" t="str">
        <f t="shared" si="73"/>
        <v>Chennai</v>
      </c>
      <c r="V1568">
        <f t="shared" si="74"/>
        <v>0</v>
      </c>
    </row>
    <row r="1569" spans="1:22" ht="15" customHeight="1" x14ac:dyDescent="0.35">
      <c r="A1569" s="3" t="s">
        <v>2003</v>
      </c>
      <c r="B1569" s="4">
        <v>45483</v>
      </c>
      <c r="C1569" s="3" t="s">
        <v>691</v>
      </c>
      <c r="D1569" s="3" t="s">
        <v>319</v>
      </c>
      <c r="E1569" s="3" t="s">
        <v>46</v>
      </c>
      <c r="F1569" s="5">
        <v>10</v>
      </c>
      <c r="G1569" s="5">
        <v>960</v>
      </c>
      <c r="H1569" s="5">
        <v>9.3000000000000007</v>
      </c>
      <c r="I1569" s="5">
        <v>8707.2000000000007</v>
      </c>
      <c r="J1569" s="3" t="s">
        <v>79</v>
      </c>
      <c r="K1569" s="3" t="s">
        <v>56</v>
      </c>
      <c r="L1569" t="str">
        <f>IFERROR(VLOOKUP(D1569,Products!$A$2:$F$61,3,FALSE()),"")</f>
        <v>Beauty</v>
      </c>
      <c r="M1569" t="str">
        <f>IFERROR(VLOOKUP(E1569,Sales_Reps!$A$2:$C$31,3,FALSE()),"")</f>
        <v>North</v>
      </c>
      <c r="N1569">
        <f>IFERROR(VLOOKUP(D1569,Products!$A$2:$F$61,4,FALSE()),"")</f>
        <v>675</v>
      </c>
      <c r="O1569" t="str">
        <f>IFERROR(VLOOKUP(C1569,Customers!$A$2:$F$301,5,FALSE()),"")</f>
        <v>Retail</v>
      </c>
      <c r="P1569">
        <f>IFERROR(VLOOKUP(C1569,Customers!$A$2:$F$301,3,FALSE()),"")</f>
        <v>32</v>
      </c>
      <c r="Q1569">
        <f t="shared" si="72"/>
        <v>0.296875</v>
      </c>
      <c r="R1569">
        <f>IF(AND(COUNTIF($A$2:$A$2027,A1569)&gt;1,COUNTIF($A$2:A1569,A1569)=1),1,0)</f>
        <v>0</v>
      </c>
      <c r="S1569" t="b">
        <f>IFERROR(VLOOKUP(D1569,Products!$A$2:$F$61,6,FALSE()),"")</f>
        <v>1</v>
      </c>
      <c r="T1569" t="str">
        <f>IF(COUNTIF(Customers!$A$2:$A$301,C1569)=0,"Missing","OK")</f>
        <v>OK</v>
      </c>
      <c r="U1569" t="str">
        <f t="shared" si="73"/>
        <v>Bengaluru</v>
      </c>
      <c r="V1569">
        <f t="shared" si="74"/>
        <v>0</v>
      </c>
    </row>
    <row r="1570" spans="1:22" ht="15" customHeight="1" x14ac:dyDescent="0.35">
      <c r="A1570" s="3" t="s">
        <v>2004</v>
      </c>
      <c r="B1570" s="4">
        <v>45625</v>
      </c>
      <c r="C1570" s="3" t="s">
        <v>1289</v>
      </c>
      <c r="D1570" s="3" t="s">
        <v>139</v>
      </c>
      <c r="E1570" s="3" t="s">
        <v>97</v>
      </c>
      <c r="F1570" s="5">
        <v>10</v>
      </c>
      <c r="G1570" s="5">
        <v>2760</v>
      </c>
      <c r="H1570" s="5">
        <v>17.2</v>
      </c>
      <c r="I1570" s="5">
        <v>22852.799999999999</v>
      </c>
      <c r="J1570" s="3" t="s">
        <v>26</v>
      </c>
      <c r="K1570" s="3" t="s">
        <v>51</v>
      </c>
      <c r="L1570" t="str">
        <f>IFERROR(VLOOKUP(D1570,Products!$A$2:$F$61,3,FALSE()),"")</f>
        <v>Grocery</v>
      </c>
      <c r="M1570" t="str">
        <f>IFERROR(VLOOKUP(E1570,Sales_Reps!$A$2:$C$31,3,FALSE()),"")</f>
        <v>East</v>
      </c>
      <c r="N1570">
        <f>IFERROR(VLOOKUP(D1570,Products!$A$2:$F$61,4,FALSE()),"")</f>
        <v>1435</v>
      </c>
      <c r="O1570" t="str">
        <f>IFERROR(VLOOKUP(C1570,Customers!$A$2:$F$301,5,FALSE()),"")</f>
        <v>Retail</v>
      </c>
      <c r="P1570">
        <f>IFERROR(VLOOKUP(C1570,Customers!$A$2:$F$301,3,FALSE()),"")</f>
        <v>38</v>
      </c>
      <c r="Q1570">
        <f t="shared" si="72"/>
        <v>0.48007246376811596</v>
      </c>
      <c r="R1570">
        <f>IF(AND(COUNTIF($A$2:$A$2027,A1570)&gt;1,COUNTIF($A$2:A1570,A1570)=1),1,0)</f>
        <v>0</v>
      </c>
      <c r="S1570" t="b">
        <f>IFERROR(VLOOKUP(D1570,Products!$A$2:$F$61,6,FALSE()),"")</f>
        <v>1</v>
      </c>
      <c r="T1570" t="str">
        <f>IF(COUNTIF(Customers!$A$2:$A$301,C1570)=0,"Missing","OK")</f>
        <v>OK</v>
      </c>
      <c r="U1570" t="str">
        <f t="shared" si="73"/>
        <v>Mumbai</v>
      </c>
      <c r="V1570">
        <f t="shared" si="74"/>
        <v>0</v>
      </c>
    </row>
    <row r="1571" spans="1:22" ht="15" customHeight="1" x14ac:dyDescent="0.35">
      <c r="A1571" s="3" t="s">
        <v>2005</v>
      </c>
      <c r="B1571" s="4">
        <v>45358</v>
      </c>
      <c r="C1571" s="3" t="s">
        <v>170</v>
      </c>
      <c r="D1571" s="3" t="s">
        <v>70</v>
      </c>
      <c r="E1571" s="3" t="s">
        <v>140</v>
      </c>
      <c r="F1571" s="5">
        <v>4</v>
      </c>
      <c r="G1571" s="5">
        <v>2270</v>
      </c>
      <c r="H1571" s="5">
        <v>26.8</v>
      </c>
      <c r="I1571" s="5">
        <v>6646.56</v>
      </c>
      <c r="J1571" s="3" t="s">
        <v>26</v>
      </c>
      <c r="K1571" s="3" t="s">
        <v>56</v>
      </c>
      <c r="L1571" t="str">
        <f>IFERROR(VLOOKUP(D1571,Products!$A$2:$F$61,3,FALSE()),"")</f>
        <v>Grocery</v>
      </c>
      <c r="M1571" t="str">
        <f>IFERROR(VLOOKUP(E1571,Sales_Reps!$A$2:$C$31,3,FALSE()),"")</f>
        <v>West</v>
      </c>
      <c r="N1571">
        <f>IFERROR(VLOOKUP(D1571,Products!$A$2:$F$61,4,FALSE()),"")</f>
        <v>1203</v>
      </c>
      <c r="O1571" t="str">
        <f>IFERROR(VLOOKUP(C1571,Customers!$A$2:$F$301,5,FALSE()),"")</f>
        <v>SMB</v>
      </c>
      <c r="P1571">
        <f>IFERROR(VLOOKUP(C1571,Customers!$A$2:$F$301,3,FALSE()),"")</f>
        <v>64</v>
      </c>
      <c r="Q1571">
        <f t="shared" si="72"/>
        <v>0.47004405286343615</v>
      </c>
      <c r="R1571">
        <f>IF(AND(COUNTIF($A$2:$A$2027,A1571)&gt;1,COUNTIF($A$2:A1571,A1571)=1),1,0)</f>
        <v>0</v>
      </c>
      <c r="S1571" t="b">
        <f>IFERROR(VLOOKUP(D1571,Products!$A$2:$F$61,6,FALSE()),"")</f>
        <v>1</v>
      </c>
      <c r="T1571" t="str">
        <f>IF(COUNTIF(Customers!$A$2:$A$301,C1571)=0,"Missing","OK")</f>
        <v>OK</v>
      </c>
      <c r="U1571" t="str">
        <f t="shared" si="73"/>
        <v>Bengaluru</v>
      </c>
      <c r="V1571">
        <f t="shared" si="74"/>
        <v>6646.56</v>
      </c>
    </row>
    <row r="1572" spans="1:22" ht="15" customHeight="1" x14ac:dyDescent="0.35">
      <c r="A1572" s="3" t="s">
        <v>2006</v>
      </c>
      <c r="B1572" s="4">
        <v>45342</v>
      </c>
      <c r="C1572" s="3" t="s">
        <v>357</v>
      </c>
      <c r="D1572" s="3" t="s">
        <v>77</v>
      </c>
      <c r="E1572" s="3" t="s">
        <v>97</v>
      </c>
      <c r="F1572" s="5">
        <v>2</v>
      </c>
      <c r="G1572" s="5">
        <v>2600</v>
      </c>
      <c r="H1572" s="5">
        <v>27</v>
      </c>
      <c r="I1572" s="5">
        <v>3796</v>
      </c>
      <c r="J1572" s="3" t="s">
        <v>26</v>
      </c>
      <c r="K1572" s="3" t="s">
        <v>72</v>
      </c>
      <c r="L1572" t="str">
        <f>IFERROR(VLOOKUP(D1572,Products!$A$2:$F$61,3,FALSE()),"")</f>
        <v>Electronics</v>
      </c>
      <c r="M1572" t="str">
        <f>IFERROR(VLOOKUP(E1572,Sales_Reps!$A$2:$C$31,3,FALSE()),"")</f>
        <v>East</v>
      </c>
      <c r="N1572">
        <f>IFERROR(VLOOKUP(D1572,Products!$A$2:$F$61,4,FALSE()),"")</f>
        <v>1052</v>
      </c>
      <c r="O1572" t="str">
        <f>IFERROR(VLOOKUP(C1572,Customers!$A$2:$F$301,5,FALSE()),"")</f>
        <v>Retail</v>
      </c>
      <c r="P1572">
        <f>IFERROR(VLOOKUP(C1572,Customers!$A$2:$F$301,3,FALSE()),"")</f>
        <v>22</v>
      </c>
      <c r="Q1572">
        <f t="shared" si="72"/>
        <v>0.5953846153846154</v>
      </c>
      <c r="R1572">
        <f>IF(AND(COUNTIF($A$2:$A$2027,A1572)&gt;1,COUNTIF($A$2:A1572,A1572)=1),1,0)</f>
        <v>0</v>
      </c>
      <c r="S1572" t="b">
        <f>IFERROR(VLOOKUP(D1572,Products!$A$2:$F$61,6,FALSE()),"")</f>
        <v>1</v>
      </c>
      <c r="T1572" t="str">
        <f>IF(COUNTIF(Customers!$A$2:$A$301,C1572)=0,"Missing","OK")</f>
        <v>OK</v>
      </c>
      <c r="U1572" t="str">
        <f t="shared" si="73"/>
        <v>Hyderabad</v>
      </c>
      <c r="V1572">
        <f t="shared" si="74"/>
        <v>0</v>
      </c>
    </row>
    <row r="1573" spans="1:22" ht="15" customHeight="1" x14ac:dyDescent="0.35">
      <c r="A1573" s="3" t="s">
        <v>2007</v>
      </c>
      <c r="B1573" s="4">
        <v>45304</v>
      </c>
      <c r="C1573" s="3" t="s">
        <v>922</v>
      </c>
      <c r="D1573" s="3" t="s">
        <v>126</v>
      </c>
      <c r="E1573" s="3" t="s">
        <v>55</v>
      </c>
      <c r="F1573" s="5">
        <v>4</v>
      </c>
      <c r="G1573" s="5">
        <v>3570</v>
      </c>
      <c r="H1573" s="5">
        <v>12.3</v>
      </c>
      <c r="I1573" s="5">
        <v>12523.56</v>
      </c>
      <c r="J1573" s="3" t="s">
        <v>26</v>
      </c>
      <c r="K1573" s="3" t="s">
        <v>56</v>
      </c>
      <c r="L1573" t="str">
        <f>IFERROR(VLOOKUP(D1573,Products!$A$2:$F$61,3,FALSE()),"")</f>
        <v>Electronics</v>
      </c>
      <c r="M1573" t="str">
        <f>IFERROR(VLOOKUP(E1573,Sales_Reps!$A$2:$C$31,3,FALSE()),"")</f>
        <v>West</v>
      </c>
      <c r="N1573">
        <f>IFERROR(VLOOKUP(D1573,Products!$A$2:$F$61,4,FALSE()),"")</f>
        <v>1665</v>
      </c>
      <c r="O1573" t="str">
        <f>IFERROR(VLOOKUP(C1573,Customers!$A$2:$F$301,5,FALSE()),"")</f>
        <v>SMB</v>
      </c>
      <c r="P1573">
        <f>IFERROR(VLOOKUP(C1573,Customers!$A$2:$F$301,3,FALSE()),"")</f>
        <v>36</v>
      </c>
      <c r="Q1573">
        <f t="shared" si="72"/>
        <v>0.53361344537815125</v>
      </c>
      <c r="R1573">
        <f>IF(AND(COUNTIF($A$2:$A$2027,A1573)&gt;1,COUNTIF($A$2:A1573,A1573)=1),1,0)</f>
        <v>0</v>
      </c>
      <c r="S1573" t="b">
        <f>IFERROR(VLOOKUP(D1573,Products!$A$2:$F$61,6,FALSE()),"")</f>
        <v>1</v>
      </c>
      <c r="T1573" t="str">
        <f>IF(COUNTIF(Customers!$A$2:$A$301,C1573)=0,"Missing","OK")</f>
        <v>OK</v>
      </c>
      <c r="U1573" t="str">
        <f t="shared" si="73"/>
        <v>Bengaluru</v>
      </c>
      <c r="V1573">
        <f t="shared" si="74"/>
        <v>0</v>
      </c>
    </row>
    <row r="1574" spans="1:22" ht="15" customHeight="1" x14ac:dyDescent="0.35">
      <c r="A1574" s="3" t="s">
        <v>2008</v>
      </c>
      <c r="B1574" s="4">
        <v>45316</v>
      </c>
      <c r="C1574" s="3" t="s">
        <v>492</v>
      </c>
      <c r="D1574" s="3" t="s">
        <v>382</v>
      </c>
      <c r="E1574" s="3" t="s">
        <v>285</v>
      </c>
      <c r="F1574" s="5">
        <v>5</v>
      </c>
      <c r="G1574" s="5">
        <v>5080</v>
      </c>
      <c r="H1574" s="5">
        <v>1.3</v>
      </c>
      <c r="I1574" s="5">
        <v>25069.8</v>
      </c>
      <c r="J1574" s="3" t="s">
        <v>26</v>
      </c>
      <c r="K1574" s="3" t="s">
        <v>51</v>
      </c>
      <c r="L1574" t="str">
        <f>IFERROR(VLOOKUP(D1574,Products!$A$2:$F$61,3,FALSE()),"")</f>
        <v>Home</v>
      </c>
      <c r="M1574" t="str">
        <f>IFERROR(VLOOKUP(E1574,Sales_Reps!$A$2:$C$31,3,FALSE()),"")</f>
        <v>South</v>
      </c>
      <c r="N1574">
        <f>IFERROR(VLOOKUP(D1574,Products!$A$2:$F$61,4,FALSE()),"")</f>
        <v>2459</v>
      </c>
      <c r="O1574" t="str">
        <f>IFERROR(VLOOKUP(C1574,Customers!$A$2:$F$301,5,FALSE()),"")</f>
        <v>Retail</v>
      </c>
      <c r="P1574">
        <f>IFERROR(VLOOKUP(C1574,Customers!$A$2:$F$301,3,FALSE()),"")</f>
        <v>65</v>
      </c>
      <c r="Q1574">
        <f t="shared" si="72"/>
        <v>0.51594488188976373</v>
      </c>
      <c r="R1574">
        <f>IF(AND(COUNTIF($A$2:$A$2027,A1574)&gt;1,COUNTIF($A$2:A1574,A1574)=1),1,0)</f>
        <v>0</v>
      </c>
      <c r="S1574" t="b">
        <f>IFERROR(VLOOKUP(D1574,Products!$A$2:$F$61,6,FALSE()),"")</f>
        <v>1</v>
      </c>
      <c r="T1574" t="str">
        <f>IF(COUNTIF(Customers!$A$2:$A$301,C1574)=0,"Missing","OK")</f>
        <v>OK</v>
      </c>
      <c r="U1574" t="str">
        <f t="shared" si="73"/>
        <v>Mumbai</v>
      </c>
      <c r="V1574">
        <f t="shared" si="74"/>
        <v>0</v>
      </c>
    </row>
    <row r="1575" spans="1:22" ht="15" customHeight="1" x14ac:dyDescent="0.35">
      <c r="A1575" s="3" t="s">
        <v>2009</v>
      </c>
      <c r="B1575" s="4">
        <v>45340</v>
      </c>
      <c r="C1575" s="3" t="s">
        <v>909</v>
      </c>
      <c r="D1575" s="3" t="s">
        <v>319</v>
      </c>
      <c r="E1575" s="3" t="s">
        <v>285</v>
      </c>
      <c r="F1575" s="5">
        <v>5</v>
      </c>
      <c r="G1575" s="5">
        <v>960</v>
      </c>
      <c r="H1575" s="5">
        <v>25.2</v>
      </c>
      <c r="I1575" s="5">
        <v>3590.4</v>
      </c>
      <c r="J1575" s="3" t="s">
        <v>26</v>
      </c>
      <c r="K1575" s="3" t="s">
        <v>51</v>
      </c>
      <c r="L1575" t="str">
        <f>IFERROR(VLOOKUP(D1575,Products!$A$2:$F$61,3,FALSE()),"")</f>
        <v>Beauty</v>
      </c>
      <c r="M1575" t="str">
        <f>IFERROR(VLOOKUP(E1575,Sales_Reps!$A$2:$C$31,3,FALSE()),"")</f>
        <v>South</v>
      </c>
      <c r="N1575">
        <f>IFERROR(VLOOKUP(D1575,Products!$A$2:$F$61,4,FALSE()),"")</f>
        <v>675</v>
      </c>
      <c r="O1575" t="str">
        <f>IFERROR(VLOOKUP(C1575,Customers!$A$2:$F$301,5,FALSE()),"")</f>
        <v>Retail</v>
      </c>
      <c r="P1575">
        <f>IFERROR(VLOOKUP(C1575,Customers!$A$2:$F$301,3,FALSE()),"")</f>
        <v>40</v>
      </c>
      <c r="Q1575">
        <f t="shared" si="72"/>
        <v>0.296875</v>
      </c>
      <c r="R1575">
        <f>IF(AND(COUNTIF($A$2:$A$2027,A1575)&gt;1,COUNTIF($A$2:A1575,A1575)=1),1,0)</f>
        <v>0</v>
      </c>
      <c r="S1575" t="b">
        <f>IFERROR(VLOOKUP(D1575,Products!$A$2:$F$61,6,FALSE()),"")</f>
        <v>1</v>
      </c>
      <c r="T1575" t="str">
        <f>IF(COUNTIF(Customers!$A$2:$A$301,C1575)=0,"Missing","OK")</f>
        <v>OK</v>
      </c>
      <c r="U1575" t="str">
        <f t="shared" si="73"/>
        <v>Mumbai</v>
      </c>
      <c r="V1575">
        <f t="shared" si="74"/>
        <v>0</v>
      </c>
    </row>
    <row r="1576" spans="1:22" ht="15" customHeight="1" x14ac:dyDescent="0.35">
      <c r="A1576" s="3" t="s">
        <v>2010</v>
      </c>
      <c r="B1576" s="4">
        <v>45604</v>
      </c>
      <c r="C1576" s="3" t="s">
        <v>817</v>
      </c>
      <c r="D1576" s="3" t="s">
        <v>36</v>
      </c>
      <c r="E1576" s="3" t="s">
        <v>71</v>
      </c>
      <c r="F1576" s="5">
        <v>7</v>
      </c>
      <c r="G1576" s="5">
        <v>470</v>
      </c>
      <c r="H1576" s="5">
        <v>21.6</v>
      </c>
      <c r="I1576" s="5">
        <v>2579.36</v>
      </c>
      <c r="J1576" s="3" t="s">
        <v>26</v>
      </c>
      <c r="K1576" s="3" t="s">
        <v>51</v>
      </c>
      <c r="L1576" t="str">
        <f>IFERROR(VLOOKUP(D1576,Products!$A$2:$F$61,3,FALSE()),"")</f>
        <v>Sports</v>
      </c>
      <c r="M1576" t="str">
        <f>IFERROR(VLOOKUP(E1576,Sales_Reps!$A$2:$C$31,3,FALSE()),"")</f>
        <v>South</v>
      </c>
      <c r="N1576">
        <f>IFERROR(VLOOKUP(D1576,Products!$A$2:$F$61,4,FALSE()),"")</f>
        <v>302</v>
      </c>
      <c r="O1576" t="str">
        <f>IFERROR(VLOOKUP(C1576,Customers!$A$2:$F$301,5,FALSE()),"")</f>
        <v>Corporate</v>
      </c>
      <c r="P1576">
        <f>IFERROR(VLOOKUP(C1576,Customers!$A$2:$F$301,3,FALSE()),"")</f>
        <v>62</v>
      </c>
      <c r="Q1576">
        <f t="shared" si="72"/>
        <v>0.35744680851063831</v>
      </c>
      <c r="R1576">
        <f>IF(AND(COUNTIF($A$2:$A$2027,A1576)&gt;1,COUNTIF($A$2:A1576,A1576)=1),1,0)</f>
        <v>0</v>
      </c>
      <c r="S1576" t="b">
        <f>IFERROR(VLOOKUP(D1576,Products!$A$2:$F$61,6,FALSE()),"")</f>
        <v>0</v>
      </c>
      <c r="T1576" t="str">
        <f>IF(COUNTIF(Customers!$A$2:$A$301,C1576)=0,"Missing","OK")</f>
        <v>OK</v>
      </c>
      <c r="U1576" t="str">
        <f t="shared" si="73"/>
        <v>Mumbai</v>
      </c>
      <c r="V1576">
        <f t="shared" si="74"/>
        <v>0</v>
      </c>
    </row>
    <row r="1577" spans="1:22" ht="15" customHeight="1" x14ac:dyDescent="0.35">
      <c r="A1577" s="3" t="s">
        <v>2011</v>
      </c>
      <c r="B1577" s="4">
        <v>45625</v>
      </c>
      <c r="C1577" s="3" t="s">
        <v>644</v>
      </c>
      <c r="D1577" s="3" t="s">
        <v>206</v>
      </c>
      <c r="E1577" s="3" t="s">
        <v>282</v>
      </c>
      <c r="F1577" s="5">
        <v>4</v>
      </c>
      <c r="G1577" s="5">
        <v>1220</v>
      </c>
      <c r="H1577" s="5">
        <v>12.6</v>
      </c>
      <c r="I1577" s="5">
        <v>4265.12</v>
      </c>
      <c r="J1577" s="3" t="s">
        <v>26</v>
      </c>
      <c r="K1577" s="3" t="s">
        <v>38</v>
      </c>
      <c r="L1577" t="str">
        <f>IFERROR(VLOOKUP(D1577,Products!$A$2:$F$61,3,FALSE()),"")</f>
        <v>Electronics</v>
      </c>
      <c r="M1577" t="str">
        <f>IFERROR(VLOOKUP(E1577,Sales_Reps!$A$2:$C$31,3,FALSE()),"")</f>
        <v>West</v>
      </c>
      <c r="N1577">
        <f>IFERROR(VLOOKUP(D1577,Products!$A$2:$F$61,4,FALSE()),"")</f>
        <v>517</v>
      </c>
      <c r="O1577" t="str">
        <f>IFERROR(VLOOKUP(C1577,Customers!$A$2:$F$301,5,FALSE()),"")</f>
        <v>Retail</v>
      </c>
      <c r="P1577">
        <f>IFERROR(VLOOKUP(C1577,Customers!$A$2:$F$301,3,FALSE()),"")</f>
        <v>53</v>
      </c>
      <c r="Q1577">
        <f t="shared" si="72"/>
        <v>0.57622950819672136</v>
      </c>
      <c r="R1577">
        <f>IF(AND(COUNTIF($A$2:$A$2027,A1577)&gt;1,COUNTIF($A$2:A1577,A1577)=1),1,0)</f>
        <v>0</v>
      </c>
      <c r="S1577" t="b">
        <f>IFERROR(VLOOKUP(D1577,Products!$A$2:$F$61,6,FALSE()),"")</f>
        <v>1</v>
      </c>
      <c r="T1577" t="str">
        <f>IF(COUNTIF(Customers!$A$2:$A$301,C1577)=0,"Missing","OK")</f>
        <v>OK</v>
      </c>
      <c r="U1577" t="str">
        <f t="shared" si="73"/>
        <v>Delhi</v>
      </c>
      <c r="V1577">
        <f t="shared" si="74"/>
        <v>0</v>
      </c>
    </row>
    <row r="1578" spans="1:22" ht="15" customHeight="1" x14ac:dyDescent="0.35">
      <c r="A1578" s="3" t="s">
        <v>2012</v>
      </c>
      <c r="B1578" s="4">
        <v>45293</v>
      </c>
      <c r="C1578" s="3" t="s">
        <v>552</v>
      </c>
      <c r="D1578" s="3" t="s">
        <v>121</v>
      </c>
      <c r="E1578" s="3" t="s">
        <v>46</v>
      </c>
      <c r="F1578" s="5">
        <v>4</v>
      </c>
      <c r="G1578" s="5">
        <v>1010</v>
      </c>
      <c r="H1578" s="5">
        <v>11.3</v>
      </c>
      <c r="I1578" s="5">
        <v>3583.48</v>
      </c>
      <c r="J1578" s="3" t="s">
        <v>26</v>
      </c>
      <c r="K1578" s="3" t="s">
        <v>51</v>
      </c>
      <c r="L1578" t="str">
        <f>IFERROR(VLOOKUP(D1578,Products!$A$2:$F$61,3,FALSE()),"")</f>
        <v>Sports</v>
      </c>
      <c r="M1578" t="str">
        <f>IFERROR(VLOOKUP(E1578,Sales_Reps!$A$2:$C$31,3,FALSE()),"")</f>
        <v>North</v>
      </c>
      <c r="N1578">
        <f>IFERROR(VLOOKUP(D1578,Products!$A$2:$F$61,4,FALSE()),"")</f>
        <v>516</v>
      </c>
      <c r="O1578" t="str">
        <f>IFERROR(VLOOKUP(C1578,Customers!$A$2:$F$301,5,FALSE()),"")</f>
        <v>Retail</v>
      </c>
      <c r="P1578">
        <f>IFERROR(VLOOKUP(C1578,Customers!$A$2:$F$301,3,FALSE()),"")</f>
        <v>44</v>
      </c>
      <c r="Q1578">
        <f t="shared" si="72"/>
        <v>0.4891089108910891</v>
      </c>
      <c r="R1578">
        <f>IF(AND(COUNTIF($A$2:$A$2027,A1578)&gt;1,COUNTIF($A$2:A1578,A1578)=1),1,0)</f>
        <v>0</v>
      </c>
      <c r="S1578" t="b">
        <f>IFERROR(VLOOKUP(D1578,Products!$A$2:$F$61,6,FALSE()),"")</f>
        <v>1</v>
      </c>
      <c r="T1578" t="str">
        <f>IF(COUNTIF(Customers!$A$2:$A$301,C1578)=0,"Missing","OK")</f>
        <v>OK</v>
      </c>
      <c r="U1578" t="str">
        <f t="shared" si="73"/>
        <v>Mumbai</v>
      </c>
      <c r="V1578">
        <f t="shared" si="74"/>
        <v>0</v>
      </c>
    </row>
    <row r="1579" spans="1:22" ht="15" customHeight="1" x14ac:dyDescent="0.35">
      <c r="A1579" s="3" t="s">
        <v>2013</v>
      </c>
      <c r="B1579" s="4">
        <v>45454</v>
      </c>
      <c r="C1579" s="3" t="s">
        <v>272</v>
      </c>
      <c r="D1579" s="3" t="s">
        <v>41</v>
      </c>
      <c r="E1579" s="3" t="s">
        <v>31</v>
      </c>
      <c r="F1579" s="5">
        <v>4</v>
      </c>
      <c r="G1579" s="5">
        <v>3660</v>
      </c>
      <c r="H1579" s="5">
        <v>7.2</v>
      </c>
      <c r="I1579" s="5">
        <v>13585.92</v>
      </c>
      <c r="J1579" s="3" t="s">
        <v>26</v>
      </c>
      <c r="K1579" s="3" t="s">
        <v>72</v>
      </c>
      <c r="L1579" t="str">
        <f>IFERROR(VLOOKUP(D1579,Products!$A$2:$F$61,3,FALSE()),"")</f>
        <v>Grocery</v>
      </c>
      <c r="M1579" t="str">
        <f>IFERROR(VLOOKUP(E1579,Sales_Reps!$A$2:$C$31,3,FALSE()),"")</f>
        <v>North</v>
      </c>
      <c r="N1579">
        <f>IFERROR(VLOOKUP(D1579,Products!$A$2:$F$61,4,FALSE()),"")</f>
        <v>2214</v>
      </c>
      <c r="O1579" t="str">
        <f>IFERROR(VLOOKUP(C1579,Customers!$A$2:$F$301,5,FALSE()),"")</f>
        <v>SMB</v>
      </c>
      <c r="P1579">
        <f>IFERROR(VLOOKUP(C1579,Customers!$A$2:$F$301,3,FALSE()),"")</f>
        <v>65</v>
      </c>
      <c r="Q1579">
        <f t="shared" si="72"/>
        <v>0.39508196721311473</v>
      </c>
      <c r="R1579">
        <f>IF(AND(COUNTIF($A$2:$A$2027,A1579)&gt;1,COUNTIF($A$2:A1579,A1579)=1),1,0)</f>
        <v>0</v>
      </c>
      <c r="S1579" t="b">
        <f>IFERROR(VLOOKUP(D1579,Products!$A$2:$F$61,6,FALSE()),"")</f>
        <v>0</v>
      </c>
      <c r="T1579" t="str">
        <f>IF(COUNTIF(Customers!$A$2:$A$301,C1579)=0,"Missing","OK")</f>
        <v>OK</v>
      </c>
      <c r="U1579" t="str">
        <f t="shared" si="73"/>
        <v>Hyderabad</v>
      </c>
      <c r="V1579">
        <f t="shared" si="74"/>
        <v>0</v>
      </c>
    </row>
    <row r="1580" spans="1:22" ht="15" customHeight="1" x14ac:dyDescent="0.35">
      <c r="A1580" s="3" t="s">
        <v>2014</v>
      </c>
      <c r="B1580" s="4">
        <v>45345</v>
      </c>
      <c r="C1580" s="3" t="s">
        <v>734</v>
      </c>
      <c r="D1580" s="3" t="s">
        <v>63</v>
      </c>
      <c r="E1580" s="3" t="s">
        <v>71</v>
      </c>
      <c r="F1580" s="5">
        <v>4</v>
      </c>
      <c r="G1580" s="5">
        <v>5490</v>
      </c>
      <c r="H1580" s="5">
        <v>8</v>
      </c>
      <c r="I1580" s="5">
        <v>20203.2</v>
      </c>
      <c r="J1580" s="3" t="s">
        <v>26</v>
      </c>
      <c r="K1580" s="3" t="s">
        <v>33</v>
      </c>
      <c r="L1580" t="str">
        <f>IFERROR(VLOOKUP(D1580,Products!$A$2:$F$61,3,FALSE()),"")</f>
        <v>Home</v>
      </c>
      <c r="M1580" t="str">
        <f>IFERROR(VLOOKUP(E1580,Sales_Reps!$A$2:$C$31,3,FALSE()),"")</f>
        <v>South</v>
      </c>
      <c r="N1580">
        <f>IFERROR(VLOOKUP(D1580,Products!$A$2:$F$61,4,FALSE()),"")</f>
        <v>2549</v>
      </c>
      <c r="O1580" t="str">
        <f>IFERROR(VLOOKUP(C1580,Customers!$A$2:$F$301,5,FALSE()),"")</f>
        <v>Retail</v>
      </c>
      <c r="P1580">
        <f>IFERROR(VLOOKUP(C1580,Customers!$A$2:$F$301,3,FALSE()),"")</f>
        <v>22</v>
      </c>
      <c r="Q1580">
        <f t="shared" si="72"/>
        <v>0.53570127504553733</v>
      </c>
      <c r="R1580">
        <f>IF(AND(COUNTIF($A$2:$A$2027,A1580)&gt;1,COUNTIF($A$2:A1580,A1580)=1),1,0)</f>
        <v>0</v>
      </c>
      <c r="S1580" t="b">
        <f>IFERROR(VLOOKUP(D1580,Products!$A$2:$F$61,6,FALSE()),"")</f>
        <v>1</v>
      </c>
      <c r="T1580" t="str">
        <f>IF(COUNTIF(Customers!$A$2:$A$301,C1580)=0,"Missing","OK")</f>
        <v>OK</v>
      </c>
      <c r="U1580" t="str">
        <f t="shared" si="73"/>
        <v>Chennai</v>
      </c>
      <c r="V1580">
        <f t="shared" si="74"/>
        <v>0</v>
      </c>
    </row>
    <row r="1581" spans="1:22" ht="15" customHeight="1" x14ac:dyDescent="0.35">
      <c r="A1581" s="3" t="s">
        <v>2015</v>
      </c>
      <c r="B1581" s="4">
        <v>45645</v>
      </c>
      <c r="C1581" s="3" t="s">
        <v>366</v>
      </c>
      <c r="D1581" s="3" t="s">
        <v>184</v>
      </c>
      <c r="E1581" s="3" t="s">
        <v>87</v>
      </c>
      <c r="F1581" s="5">
        <v>6</v>
      </c>
      <c r="G1581" s="5">
        <v>2270</v>
      </c>
      <c r="H1581" s="5">
        <v>17.100000000000001</v>
      </c>
      <c r="I1581" s="5">
        <v>11290.98</v>
      </c>
      <c r="J1581" s="3" t="s">
        <v>26</v>
      </c>
      <c r="K1581" s="3" t="s">
        <v>27</v>
      </c>
      <c r="L1581" t="str">
        <f>IFERROR(VLOOKUP(D1581,Products!$A$2:$F$61,3,FALSE()),"")</f>
        <v>Grocery</v>
      </c>
      <c r="M1581" t="str">
        <f>IFERROR(VLOOKUP(E1581,Sales_Reps!$A$2:$C$31,3,FALSE()),"")</f>
        <v>North</v>
      </c>
      <c r="N1581">
        <f>IFERROR(VLOOKUP(D1581,Products!$A$2:$F$61,4,FALSE()),"")</f>
        <v>1412</v>
      </c>
      <c r="O1581" t="str">
        <f>IFERROR(VLOOKUP(C1581,Customers!$A$2:$F$301,5,FALSE()),"")</f>
        <v>Corporate</v>
      </c>
      <c r="P1581">
        <f>IFERROR(VLOOKUP(C1581,Customers!$A$2:$F$301,3,FALSE()),"")</f>
        <v>48</v>
      </c>
      <c r="Q1581">
        <f t="shared" si="72"/>
        <v>0.37797356828193834</v>
      </c>
      <c r="R1581">
        <f>IF(AND(COUNTIF($A$2:$A$2027,A1581)&gt;1,COUNTIF($A$2:A1581,A1581)=1),1,0)</f>
        <v>0</v>
      </c>
      <c r="S1581" t="b">
        <f>IFERROR(VLOOKUP(D1581,Products!$A$2:$F$61,6,FALSE()),"")</f>
        <v>1</v>
      </c>
      <c r="T1581" t="str">
        <f>IF(COUNTIF(Customers!$A$2:$A$301,C1581)=0,"Missing","OK")</f>
        <v>OK</v>
      </c>
      <c r="U1581" t="str">
        <f t="shared" si="73"/>
        <v>Pune</v>
      </c>
      <c r="V1581">
        <f t="shared" si="74"/>
        <v>0</v>
      </c>
    </row>
    <row r="1582" spans="1:22" ht="15" customHeight="1" x14ac:dyDescent="0.35">
      <c r="A1582" s="3" t="s">
        <v>2016</v>
      </c>
      <c r="B1582" s="4">
        <v>45588</v>
      </c>
      <c r="C1582" s="3" t="s">
        <v>220</v>
      </c>
      <c r="D1582" s="3" t="s">
        <v>184</v>
      </c>
      <c r="E1582" s="3" t="s">
        <v>127</v>
      </c>
      <c r="F1582" s="5">
        <v>8</v>
      </c>
      <c r="G1582" s="5">
        <v>2270</v>
      </c>
      <c r="H1582" s="5">
        <v>11.9</v>
      </c>
      <c r="I1582" s="5">
        <v>15998.96</v>
      </c>
      <c r="J1582" s="3" t="s">
        <v>32</v>
      </c>
      <c r="K1582" s="3" t="s">
        <v>27</v>
      </c>
      <c r="L1582" t="str">
        <f>IFERROR(VLOOKUP(D1582,Products!$A$2:$F$61,3,FALSE()),"")</f>
        <v>Grocery</v>
      </c>
      <c r="M1582" t="str">
        <f>IFERROR(VLOOKUP(E1582,Sales_Reps!$A$2:$C$31,3,FALSE()),"")</f>
        <v>South</v>
      </c>
      <c r="N1582">
        <f>IFERROR(VLOOKUP(D1582,Products!$A$2:$F$61,4,FALSE()),"")</f>
        <v>1412</v>
      </c>
      <c r="O1582" t="str">
        <f>IFERROR(VLOOKUP(C1582,Customers!$A$2:$F$301,5,FALSE()),"")</f>
        <v>Retail</v>
      </c>
      <c r="P1582">
        <f>IFERROR(VLOOKUP(C1582,Customers!$A$2:$F$301,3,FALSE()),"")</f>
        <v>25</v>
      </c>
      <c r="Q1582">
        <f t="shared" si="72"/>
        <v>0.37797356828193834</v>
      </c>
      <c r="R1582">
        <f>IF(AND(COUNTIF($A$2:$A$2027,A1582)&gt;1,COUNTIF($A$2:A1582,A1582)=1),1,0)</f>
        <v>0</v>
      </c>
      <c r="S1582" t="b">
        <f>IFERROR(VLOOKUP(D1582,Products!$A$2:$F$61,6,FALSE()),"")</f>
        <v>1</v>
      </c>
      <c r="T1582" t="str">
        <f>IF(COUNTIF(Customers!$A$2:$A$301,C1582)=0,"Missing","OK")</f>
        <v>OK</v>
      </c>
      <c r="U1582" t="str">
        <f t="shared" si="73"/>
        <v>Pune</v>
      </c>
      <c r="V1582">
        <f t="shared" si="74"/>
        <v>0</v>
      </c>
    </row>
    <row r="1583" spans="1:22" ht="15" customHeight="1" x14ac:dyDescent="0.35">
      <c r="A1583" s="3" t="s">
        <v>2017</v>
      </c>
      <c r="B1583" s="4">
        <v>45592</v>
      </c>
      <c r="C1583" s="3" t="s">
        <v>255</v>
      </c>
      <c r="D1583" s="3" t="s">
        <v>77</v>
      </c>
      <c r="E1583" s="3" t="s">
        <v>242</v>
      </c>
      <c r="F1583" s="5">
        <v>6</v>
      </c>
      <c r="G1583" s="5">
        <v>2600</v>
      </c>
      <c r="H1583" s="5">
        <v>5.0999999999999996</v>
      </c>
      <c r="I1583" s="5">
        <v>14804.4</v>
      </c>
      <c r="J1583" s="3" t="s">
        <v>26</v>
      </c>
      <c r="K1583" s="3" t="s">
        <v>27</v>
      </c>
      <c r="L1583" t="str">
        <f>IFERROR(VLOOKUP(D1583,Products!$A$2:$F$61,3,FALSE()),"")</f>
        <v>Electronics</v>
      </c>
      <c r="M1583" t="str">
        <f>IFERROR(VLOOKUP(E1583,Sales_Reps!$A$2:$C$31,3,FALSE()),"")</f>
        <v>East</v>
      </c>
      <c r="N1583">
        <f>IFERROR(VLOOKUP(D1583,Products!$A$2:$F$61,4,FALSE()),"")</f>
        <v>1052</v>
      </c>
      <c r="O1583" t="str">
        <f>IFERROR(VLOOKUP(C1583,Customers!$A$2:$F$301,5,FALSE()),"")</f>
        <v>SMB</v>
      </c>
      <c r="P1583">
        <f>IFERROR(VLOOKUP(C1583,Customers!$A$2:$F$301,3,FALSE()),"")</f>
        <v>60</v>
      </c>
      <c r="Q1583">
        <f t="shared" si="72"/>
        <v>0.5953846153846154</v>
      </c>
      <c r="R1583">
        <f>IF(AND(COUNTIF($A$2:$A$2027,A1583)&gt;1,COUNTIF($A$2:A1583,A1583)=1),1,0)</f>
        <v>0</v>
      </c>
      <c r="S1583" t="b">
        <f>IFERROR(VLOOKUP(D1583,Products!$A$2:$F$61,6,FALSE()),"")</f>
        <v>1</v>
      </c>
      <c r="T1583" t="str">
        <f>IF(COUNTIF(Customers!$A$2:$A$301,C1583)=0,"Missing","OK")</f>
        <v>OK</v>
      </c>
      <c r="U1583" t="str">
        <f t="shared" si="73"/>
        <v>Pune</v>
      </c>
      <c r="V1583">
        <f t="shared" si="74"/>
        <v>0</v>
      </c>
    </row>
    <row r="1584" spans="1:22" ht="15" customHeight="1" x14ac:dyDescent="0.35">
      <c r="A1584" s="3" t="s">
        <v>2018</v>
      </c>
      <c r="B1584" s="4">
        <v>45403</v>
      </c>
      <c r="C1584" s="3" t="s">
        <v>108</v>
      </c>
      <c r="D1584" s="3" t="s">
        <v>187</v>
      </c>
      <c r="E1584" s="3" t="s">
        <v>282</v>
      </c>
      <c r="F1584" s="5">
        <v>9</v>
      </c>
      <c r="G1584" s="5">
        <v>3870</v>
      </c>
      <c r="H1584" s="5">
        <v>1.8</v>
      </c>
      <c r="I1584" s="5">
        <v>34203.06</v>
      </c>
      <c r="J1584" s="3" t="s">
        <v>79</v>
      </c>
      <c r="K1584" s="3" t="s">
        <v>51</v>
      </c>
      <c r="L1584" t="str">
        <f>IFERROR(VLOOKUP(D1584,Products!$A$2:$F$61,3,FALSE()),"")</f>
        <v>Electronics</v>
      </c>
      <c r="M1584" t="str">
        <f>IFERROR(VLOOKUP(E1584,Sales_Reps!$A$2:$C$31,3,FALSE()),"")</f>
        <v>West</v>
      </c>
      <c r="N1584">
        <f>IFERROR(VLOOKUP(D1584,Products!$A$2:$F$61,4,FALSE()),"")</f>
        <v>1559</v>
      </c>
      <c r="O1584" t="str">
        <f>IFERROR(VLOOKUP(C1584,Customers!$A$2:$F$301,5,FALSE()),"")</f>
        <v>Retail</v>
      </c>
      <c r="P1584">
        <f>IFERROR(VLOOKUP(C1584,Customers!$A$2:$F$301,3,FALSE()),"")</f>
        <v>34</v>
      </c>
      <c r="Q1584">
        <f t="shared" si="72"/>
        <v>0.59715762273901807</v>
      </c>
      <c r="R1584">
        <f>IF(AND(COUNTIF($A$2:$A$2027,A1584)&gt;1,COUNTIF($A$2:A1584,A1584)=1),1,0)</f>
        <v>0</v>
      </c>
      <c r="S1584" t="b">
        <f>IFERROR(VLOOKUP(D1584,Products!$A$2:$F$61,6,FALSE()),"")</f>
        <v>1</v>
      </c>
      <c r="T1584" t="str">
        <f>IF(COUNTIF(Customers!$A$2:$A$301,C1584)=0,"Missing","OK")</f>
        <v>OK</v>
      </c>
      <c r="U1584" t="str">
        <f t="shared" si="73"/>
        <v>Mumbai</v>
      </c>
      <c r="V1584">
        <f t="shared" si="74"/>
        <v>0</v>
      </c>
    </row>
    <row r="1585" spans="1:22" ht="15" customHeight="1" x14ac:dyDescent="0.35">
      <c r="A1585" s="3" t="s">
        <v>2019</v>
      </c>
      <c r="B1585" s="4">
        <v>45459</v>
      </c>
      <c r="C1585" s="3" t="s">
        <v>346</v>
      </c>
      <c r="D1585" s="3" t="s">
        <v>347</v>
      </c>
      <c r="E1585" s="3" t="s">
        <v>42</v>
      </c>
      <c r="F1585" s="5">
        <v>3</v>
      </c>
      <c r="G1585" s="5">
        <v>3970</v>
      </c>
      <c r="H1585" s="5">
        <v>8.1999999999999993</v>
      </c>
      <c r="I1585" s="5">
        <v>10933.38</v>
      </c>
      <c r="J1585" s="3" t="s">
        <v>26</v>
      </c>
      <c r="K1585" s="3" t="s">
        <v>27</v>
      </c>
      <c r="L1585" t="str">
        <f>IFERROR(VLOOKUP(D1585,Products!$A$2:$F$61,3,FALSE()),"")</f>
        <v>Electronics</v>
      </c>
      <c r="M1585" t="str">
        <f>IFERROR(VLOOKUP(E1585,Sales_Reps!$A$2:$C$31,3,FALSE()),"")</f>
        <v>North</v>
      </c>
      <c r="N1585">
        <f>IFERROR(VLOOKUP(D1585,Products!$A$2:$F$61,4,FALSE()),"")</f>
        <v>2865</v>
      </c>
      <c r="O1585" t="str">
        <f>IFERROR(VLOOKUP(C1585,Customers!$A$2:$F$301,5,FALSE()),"")</f>
        <v>SMB</v>
      </c>
      <c r="P1585">
        <f>IFERROR(VLOOKUP(C1585,Customers!$A$2:$F$301,3,FALSE()),"")</f>
        <v>53</v>
      </c>
      <c r="Q1585">
        <f t="shared" si="72"/>
        <v>0.27833753148614609</v>
      </c>
      <c r="R1585">
        <f>IF(AND(COUNTIF($A$2:$A$2027,A1585)&gt;1,COUNTIF($A$2:A1585,A1585)=1),1,0)</f>
        <v>0</v>
      </c>
      <c r="S1585" t="b">
        <f>IFERROR(VLOOKUP(D1585,Products!$A$2:$F$61,6,FALSE()),"")</f>
        <v>1</v>
      </c>
      <c r="T1585" t="str">
        <f>IF(COUNTIF(Customers!$A$2:$A$301,C1585)=0,"Missing","OK")</f>
        <v>OK</v>
      </c>
      <c r="U1585" t="str">
        <f t="shared" si="73"/>
        <v>Pune</v>
      </c>
      <c r="V1585">
        <f t="shared" si="74"/>
        <v>0</v>
      </c>
    </row>
    <row r="1586" spans="1:22" ht="15" customHeight="1" x14ac:dyDescent="0.35">
      <c r="A1586" s="3" t="s">
        <v>2020</v>
      </c>
      <c r="B1586" s="4">
        <v>45438</v>
      </c>
      <c r="C1586" s="3" t="s">
        <v>223</v>
      </c>
      <c r="D1586" s="3" t="s">
        <v>319</v>
      </c>
      <c r="E1586" s="3" t="s">
        <v>67</v>
      </c>
      <c r="F1586" s="5">
        <v>9</v>
      </c>
      <c r="G1586" s="5">
        <v>960</v>
      </c>
      <c r="H1586" s="5">
        <v>21.7</v>
      </c>
      <c r="I1586" s="5">
        <v>6765.12</v>
      </c>
      <c r="J1586" s="3" t="s">
        <v>79</v>
      </c>
      <c r="K1586" s="3" t="s">
        <v>33</v>
      </c>
      <c r="L1586" t="str">
        <f>IFERROR(VLOOKUP(D1586,Products!$A$2:$F$61,3,FALSE()),"")</f>
        <v>Beauty</v>
      </c>
      <c r="M1586" t="str">
        <f>IFERROR(VLOOKUP(E1586,Sales_Reps!$A$2:$C$31,3,FALSE()),"")</f>
        <v>West</v>
      </c>
      <c r="N1586">
        <f>IFERROR(VLOOKUP(D1586,Products!$A$2:$F$61,4,FALSE()),"")</f>
        <v>675</v>
      </c>
      <c r="O1586" t="str">
        <f>IFERROR(VLOOKUP(C1586,Customers!$A$2:$F$301,5,FALSE()),"")</f>
        <v>Retail</v>
      </c>
      <c r="P1586">
        <f>IFERROR(VLOOKUP(C1586,Customers!$A$2:$F$301,3,FALSE()),"")</f>
        <v>28</v>
      </c>
      <c r="Q1586">
        <f t="shared" si="72"/>
        <v>0.296875</v>
      </c>
      <c r="R1586">
        <f>IF(AND(COUNTIF($A$2:$A$2027,A1586)&gt;1,COUNTIF($A$2:A1586,A1586)=1),1,0)</f>
        <v>0</v>
      </c>
      <c r="S1586" t="b">
        <f>IFERROR(VLOOKUP(D1586,Products!$A$2:$F$61,6,FALSE()),"")</f>
        <v>1</v>
      </c>
      <c r="T1586" t="str">
        <f>IF(COUNTIF(Customers!$A$2:$A$301,C1586)=0,"Missing","OK")</f>
        <v>OK</v>
      </c>
      <c r="U1586" t="str">
        <f t="shared" si="73"/>
        <v>Chennai</v>
      </c>
      <c r="V1586">
        <f t="shared" si="74"/>
        <v>0</v>
      </c>
    </row>
    <row r="1587" spans="1:22" ht="15" customHeight="1" x14ac:dyDescent="0.35">
      <c r="A1587" s="3" t="s">
        <v>2021</v>
      </c>
      <c r="B1587" s="4">
        <v>45632</v>
      </c>
      <c r="C1587" s="3" t="s">
        <v>736</v>
      </c>
      <c r="D1587" s="3" t="s">
        <v>299</v>
      </c>
      <c r="E1587" s="3" t="s">
        <v>50</v>
      </c>
      <c r="F1587" s="5">
        <v>3</v>
      </c>
      <c r="G1587" s="5">
        <v>5410</v>
      </c>
      <c r="H1587" s="5">
        <v>20.3</v>
      </c>
      <c r="I1587" s="5">
        <v>12935.31</v>
      </c>
      <c r="J1587" s="3" t="s">
        <v>26</v>
      </c>
      <c r="K1587" s="3" t="s">
        <v>38</v>
      </c>
      <c r="L1587" t="str">
        <f>IFERROR(VLOOKUP(D1587,Products!$A$2:$F$61,3,FALSE()),"")</f>
        <v>Sports</v>
      </c>
      <c r="M1587" t="str">
        <f>IFERROR(VLOOKUP(E1587,Sales_Reps!$A$2:$C$31,3,FALSE()),"")</f>
        <v>West</v>
      </c>
      <c r="N1587">
        <f>IFERROR(VLOOKUP(D1587,Products!$A$2:$F$61,4,FALSE()),"")</f>
        <v>2265</v>
      </c>
      <c r="O1587" t="str">
        <f>IFERROR(VLOOKUP(C1587,Customers!$A$2:$F$301,5,FALSE()),"")</f>
        <v>Retail</v>
      </c>
      <c r="P1587">
        <f>IFERROR(VLOOKUP(C1587,Customers!$A$2:$F$301,3,FALSE()),"")</f>
        <v>63</v>
      </c>
      <c r="Q1587">
        <f t="shared" si="72"/>
        <v>0.58133086876155271</v>
      </c>
      <c r="R1587">
        <f>IF(AND(COUNTIF($A$2:$A$2027,A1587)&gt;1,COUNTIF($A$2:A1587,A1587)=1),1,0)</f>
        <v>0</v>
      </c>
      <c r="S1587" t="b">
        <f>IFERROR(VLOOKUP(D1587,Products!$A$2:$F$61,6,FALSE()),"")</f>
        <v>1</v>
      </c>
      <c r="T1587" t="str">
        <f>IF(COUNTIF(Customers!$A$2:$A$301,C1587)=0,"Missing","OK")</f>
        <v>OK</v>
      </c>
      <c r="U1587" t="str">
        <f t="shared" si="73"/>
        <v>Delhi</v>
      </c>
      <c r="V1587">
        <f t="shared" si="74"/>
        <v>0</v>
      </c>
    </row>
    <row r="1588" spans="1:22" ht="15" customHeight="1" x14ac:dyDescent="0.35">
      <c r="A1588" s="3" t="s">
        <v>2022</v>
      </c>
      <c r="B1588" s="4">
        <v>45579</v>
      </c>
      <c r="C1588" s="3" t="s">
        <v>825</v>
      </c>
      <c r="D1588" s="3" t="s">
        <v>391</v>
      </c>
      <c r="E1588" s="3" t="s">
        <v>31</v>
      </c>
      <c r="F1588" s="5">
        <v>3</v>
      </c>
      <c r="G1588" s="5">
        <v>3450</v>
      </c>
      <c r="H1588" s="5">
        <v>11.6</v>
      </c>
      <c r="I1588" s="5">
        <v>9149.4</v>
      </c>
      <c r="J1588" s="3" t="s">
        <v>26</v>
      </c>
      <c r="K1588" s="3" t="s">
        <v>33</v>
      </c>
      <c r="L1588" t="str">
        <f>IFERROR(VLOOKUP(D1588,Products!$A$2:$F$61,3,FALSE()),"")</f>
        <v>Apparel</v>
      </c>
      <c r="M1588" t="str">
        <f>IFERROR(VLOOKUP(E1588,Sales_Reps!$A$2:$C$31,3,FALSE()),"")</f>
        <v>North</v>
      </c>
      <c r="N1588">
        <f>IFERROR(VLOOKUP(D1588,Products!$A$2:$F$61,4,FALSE()),"")</f>
        <v>1748</v>
      </c>
      <c r="O1588" t="str">
        <f>IFERROR(VLOOKUP(C1588,Customers!$A$2:$F$301,5,FALSE()),"")</f>
        <v>Corporate</v>
      </c>
      <c r="P1588">
        <f>IFERROR(VLOOKUP(C1588,Customers!$A$2:$F$301,3,FALSE()),"")</f>
        <v>44</v>
      </c>
      <c r="Q1588">
        <f t="shared" si="72"/>
        <v>0.49333333333333335</v>
      </c>
      <c r="R1588">
        <f>IF(AND(COUNTIF($A$2:$A$2027,A1588)&gt;1,COUNTIF($A$2:A1588,A1588)=1),1,0)</f>
        <v>0</v>
      </c>
      <c r="S1588" t="b">
        <f>IFERROR(VLOOKUP(D1588,Products!$A$2:$F$61,6,FALSE()),"")</f>
        <v>1</v>
      </c>
      <c r="T1588" t="str">
        <f>IF(COUNTIF(Customers!$A$2:$A$301,C1588)=0,"Missing","OK")</f>
        <v>OK</v>
      </c>
      <c r="U1588" t="str">
        <f t="shared" si="73"/>
        <v>Chennai</v>
      </c>
      <c r="V1588">
        <f t="shared" si="74"/>
        <v>0</v>
      </c>
    </row>
    <row r="1589" spans="1:22" ht="15" customHeight="1" x14ac:dyDescent="0.35">
      <c r="A1589" s="3" t="s">
        <v>2023</v>
      </c>
      <c r="B1589" s="4">
        <v>45392</v>
      </c>
      <c r="C1589" s="3" t="s">
        <v>162</v>
      </c>
      <c r="D1589" s="3" t="s">
        <v>215</v>
      </c>
      <c r="E1589" s="3" t="s">
        <v>46</v>
      </c>
      <c r="F1589" s="5">
        <v>2</v>
      </c>
      <c r="G1589" s="5">
        <v>3020</v>
      </c>
      <c r="H1589" s="5">
        <v>20.8</v>
      </c>
      <c r="I1589" s="5">
        <v>4783.68</v>
      </c>
      <c r="J1589" s="3" t="s">
        <v>32</v>
      </c>
      <c r="K1589" s="3" t="s">
        <v>38</v>
      </c>
      <c r="L1589" t="str">
        <f>IFERROR(VLOOKUP(D1589,Products!$A$2:$F$61,3,FALSE()),"")</f>
        <v>Beauty</v>
      </c>
      <c r="M1589" t="str">
        <f>IFERROR(VLOOKUP(E1589,Sales_Reps!$A$2:$C$31,3,FALSE()),"")</f>
        <v>North</v>
      </c>
      <c r="N1589">
        <f>IFERROR(VLOOKUP(D1589,Products!$A$2:$F$61,4,FALSE()),"")</f>
        <v>1626</v>
      </c>
      <c r="O1589" t="str">
        <f>IFERROR(VLOOKUP(C1589,Customers!$A$2:$F$301,5,FALSE()),"")</f>
        <v>Retail</v>
      </c>
      <c r="P1589">
        <f>IFERROR(VLOOKUP(C1589,Customers!$A$2:$F$301,3,FALSE()),"")</f>
        <v>53</v>
      </c>
      <c r="Q1589">
        <f t="shared" si="72"/>
        <v>0.46158940397350995</v>
      </c>
      <c r="R1589">
        <f>IF(AND(COUNTIF($A$2:$A$2027,A1589)&gt;1,COUNTIF($A$2:A1589,A1589)=1),1,0)</f>
        <v>0</v>
      </c>
      <c r="S1589" t="b">
        <f>IFERROR(VLOOKUP(D1589,Products!$A$2:$F$61,6,FALSE()),"")</f>
        <v>1</v>
      </c>
      <c r="T1589" t="str">
        <f>IF(COUNTIF(Customers!$A$2:$A$301,C1589)=0,"Missing","OK")</f>
        <v>OK</v>
      </c>
      <c r="U1589" t="str">
        <f t="shared" si="73"/>
        <v>Delhi</v>
      </c>
      <c r="V1589">
        <f t="shared" si="74"/>
        <v>0</v>
      </c>
    </row>
    <row r="1590" spans="1:22" ht="15" customHeight="1" x14ac:dyDescent="0.35">
      <c r="A1590" s="3" t="s">
        <v>2024</v>
      </c>
      <c r="B1590" s="4">
        <v>45563</v>
      </c>
      <c r="C1590" s="3" t="s">
        <v>1001</v>
      </c>
      <c r="D1590" s="3" t="s">
        <v>86</v>
      </c>
      <c r="E1590" s="3" t="s">
        <v>236</v>
      </c>
      <c r="F1590" s="5">
        <v>3</v>
      </c>
      <c r="G1590" s="5">
        <v>190</v>
      </c>
      <c r="H1590" s="5">
        <v>10.7</v>
      </c>
      <c r="I1590" s="5">
        <v>509.01</v>
      </c>
      <c r="J1590" s="3" t="s">
        <v>26</v>
      </c>
      <c r="K1590" s="3" t="s">
        <v>51</v>
      </c>
      <c r="L1590" t="str">
        <f>IFERROR(VLOOKUP(D1590,Products!$A$2:$F$61,3,FALSE()),"")</f>
        <v>Sports</v>
      </c>
      <c r="M1590" t="str">
        <f>IFERROR(VLOOKUP(E1590,Sales_Reps!$A$2:$C$31,3,FALSE()),"")</f>
        <v>North</v>
      </c>
      <c r="N1590">
        <f>IFERROR(VLOOKUP(D1590,Products!$A$2:$F$61,4,FALSE()),"")</f>
        <v>147</v>
      </c>
      <c r="O1590" t="str">
        <f>IFERROR(VLOOKUP(C1590,Customers!$A$2:$F$301,5,FALSE()),"")</f>
        <v>SMB</v>
      </c>
      <c r="P1590">
        <f>IFERROR(VLOOKUP(C1590,Customers!$A$2:$F$301,3,FALSE()),"")</f>
        <v>54</v>
      </c>
      <c r="Q1590">
        <f t="shared" si="72"/>
        <v>0.22631578947368422</v>
      </c>
      <c r="R1590">
        <f>IF(AND(COUNTIF($A$2:$A$2027,A1590)&gt;1,COUNTIF($A$2:A1590,A1590)=1),1,0)</f>
        <v>0</v>
      </c>
      <c r="S1590" t="b">
        <f>IFERROR(VLOOKUP(D1590,Products!$A$2:$F$61,6,FALSE()),"")</f>
        <v>1</v>
      </c>
      <c r="T1590" t="str">
        <f>IF(COUNTIF(Customers!$A$2:$A$301,C1590)=0,"Missing","OK")</f>
        <v>OK</v>
      </c>
      <c r="U1590" t="str">
        <f t="shared" si="73"/>
        <v>Mumbai</v>
      </c>
      <c r="V1590">
        <f t="shared" si="74"/>
        <v>0</v>
      </c>
    </row>
    <row r="1591" spans="1:22" ht="15" customHeight="1" x14ac:dyDescent="0.35">
      <c r="A1591" s="3" t="s">
        <v>2025</v>
      </c>
      <c r="B1591" s="4">
        <v>45294</v>
      </c>
      <c r="C1591" s="3" t="s">
        <v>133</v>
      </c>
      <c r="D1591" s="3" t="s">
        <v>165</v>
      </c>
      <c r="E1591" s="3" t="s">
        <v>264</v>
      </c>
      <c r="F1591" s="5">
        <v>4</v>
      </c>
      <c r="G1591" s="5">
        <v>3730</v>
      </c>
      <c r="H1591" s="5">
        <v>6.9</v>
      </c>
      <c r="I1591" s="5">
        <v>13890.52</v>
      </c>
      <c r="J1591" s="3" t="s">
        <v>26</v>
      </c>
      <c r="K1591" s="3" t="s">
        <v>27</v>
      </c>
      <c r="L1591" t="str">
        <f>IFERROR(VLOOKUP(D1591,Products!$A$2:$F$61,3,FALSE()),"")</f>
        <v>Home</v>
      </c>
      <c r="M1591" t="str">
        <f>IFERROR(VLOOKUP(E1591,Sales_Reps!$A$2:$C$31,3,FALSE()),"")</f>
        <v>South</v>
      </c>
      <c r="N1591">
        <f>IFERROR(VLOOKUP(D1591,Products!$A$2:$F$61,4,FALSE()),"")</f>
        <v>2135</v>
      </c>
      <c r="O1591" t="str">
        <f>IFERROR(VLOOKUP(C1591,Customers!$A$2:$F$301,5,FALSE()),"")</f>
        <v>SMB</v>
      </c>
      <c r="P1591">
        <f>IFERROR(VLOOKUP(C1591,Customers!$A$2:$F$301,3,FALSE()),"")</f>
        <v>44</v>
      </c>
      <c r="Q1591">
        <f t="shared" si="72"/>
        <v>0.42761394101876676</v>
      </c>
      <c r="R1591">
        <f>IF(AND(COUNTIF($A$2:$A$2027,A1591)&gt;1,COUNTIF($A$2:A1591,A1591)=1),1,0)</f>
        <v>0</v>
      </c>
      <c r="S1591" t="b">
        <f>IFERROR(VLOOKUP(D1591,Products!$A$2:$F$61,6,FALSE()),"")</f>
        <v>1</v>
      </c>
      <c r="T1591" t="str">
        <f>IF(COUNTIF(Customers!$A$2:$A$301,C1591)=0,"Missing","OK")</f>
        <v>OK</v>
      </c>
      <c r="U1591" t="str">
        <f t="shared" si="73"/>
        <v>Pune</v>
      </c>
      <c r="V1591">
        <f t="shared" si="74"/>
        <v>0</v>
      </c>
    </row>
    <row r="1592" spans="1:22" ht="15" customHeight="1" x14ac:dyDescent="0.35">
      <c r="A1592" s="3" t="s">
        <v>2026</v>
      </c>
      <c r="B1592" s="4">
        <v>45503</v>
      </c>
      <c r="C1592" s="3" t="s">
        <v>966</v>
      </c>
      <c r="D1592" s="3" t="s">
        <v>100</v>
      </c>
      <c r="E1592" s="3" t="s">
        <v>50</v>
      </c>
      <c r="F1592" s="5">
        <v>9</v>
      </c>
      <c r="G1592" s="5">
        <v>3450</v>
      </c>
      <c r="H1592" s="5">
        <v>22.2</v>
      </c>
      <c r="I1592" s="5">
        <v>24156.9</v>
      </c>
      <c r="J1592" s="3" t="s">
        <v>79</v>
      </c>
      <c r="K1592" s="3" t="s">
        <v>51</v>
      </c>
      <c r="L1592" t="str">
        <f>IFERROR(VLOOKUP(D1592,Products!$A$2:$F$61,3,FALSE()),"")</f>
        <v>Sports</v>
      </c>
      <c r="M1592" t="str">
        <f>IFERROR(VLOOKUP(E1592,Sales_Reps!$A$2:$C$31,3,FALSE()),"")</f>
        <v>West</v>
      </c>
      <c r="N1592">
        <f>IFERROR(VLOOKUP(D1592,Products!$A$2:$F$61,4,FALSE()),"")</f>
        <v>2467</v>
      </c>
      <c r="O1592" t="str">
        <f>IFERROR(VLOOKUP(C1592,Customers!$A$2:$F$301,5,FALSE()),"")</f>
        <v>SMB</v>
      </c>
      <c r="P1592">
        <f>IFERROR(VLOOKUP(C1592,Customers!$A$2:$F$301,3,FALSE()),"")</f>
        <v>47</v>
      </c>
      <c r="Q1592">
        <f t="shared" si="72"/>
        <v>0.28492753623188405</v>
      </c>
      <c r="R1592">
        <f>IF(AND(COUNTIF($A$2:$A$2027,A1592)&gt;1,COUNTIF($A$2:A1592,A1592)=1),1,0)</f>
        <v>0</v>
      </c>
      <c r="S1592" t="b">
        <f>IFERROR(VLOOKUP(D1592,Products!$A$2:$F$61,6,FALSE()),"")</f>
        <v>1</v>
      </c>
      <c r="T1592" t="str">
        <f>IF(COUNTIF(Customers!$A$2:$A$301,C1592)=0,"Missing","OK")</f>
        <v>OK</v>
      </c>
      <c r="U1592" t="str">
        <f t="shared" si="73"/>
        <v>Mumbai</v>
      </c>
      <c r="V1592">
        <f t="shared" si="74"/>
        <v>0</v>
      </c>
    </row>
    <row r="1593" spans="1:22" ht="15" customHeight="1" x14ac:dyDescent="0.35">
      <c r="A1593" s="3" t="s">
        <v>2027</v>
      </c>
      <c r="B1593" s="4">
        <v>45336</v>
      </c>
      <c r="C1593" s="3" t="s">
        <v>443</v>
      </c>
      <c r="D1593" s="3" t="s">
        <v>347</v>
      </c>
      <c r="E1593" s="3" t="s">
        <v>236</v>
      </c>
      <c r="F1593" s="5">
        <v>3</v>
      </c>
      <c r="G1593" s="5">
        <v>3970</v>
      </c>
      <c r="H1593" s="5">
        <v>6.8</v>
      </c>
      <c r="I1593" s="5">
        <v>11100.12</v>
      </c>
      <c r="J1593" s="3" t="s">
        <v>26</v>
      </c>
      <c r="K1593" s="3" t="s">
        <v>56</v>
      </c>
      <c r="L1593" t="str">
        <f>IFERROR(VLOOKUP(D1593,Products!$A$2:$F$61,3,FALSE()),"")</f>
        <v>Electronics</v>
      </c>
      <c r="M1593" t="str">
        <f>IFERROR(VLOOKUP(E1593,Sales_Reps!$A$2:$C$31,3,FALSE()),"")</f>
        <v>North</v>
      </c>
      <c r="N1593">
        <f>IFERROR(VLOOKUP(D1593,Products!$A$2:$F$61,4,FALSE()),"")</f>
        <v>2865</v>
      </c>
      <c r="O1593" t="str">
        <f>IFERROR(VLOOKUP(C1593,Customers!$A$2:$F$301,5,FALSE()),"")</f>
        <v>Corporate</v>
      </c>
      <c r="P1593">
        <f>IFERROR(VLOOKUP(C1593,Customers!$A$2:$F$301,3,FALSE()),"")</f>
        <v>36</v>
      </c>
      <c r="Q1593">
        <f t="shared" si="72"/>
        <v>0.27833753148614609</v>
      </c>
      <c r="R1593">
        <f>IF(AND(COUNTIF($A$2:$A$2027,A1593)&gt;1,COUNTIF($A$2:A1593,A1593)=1),1,0)</f>
        <v>0</v>
      </c>
      <c r="S1593" t="b">
        <f>IFERROR(VLOOKUP(D1593,Products!$A$2:$F$61,6,FALSE()),"")</f>
        <v>1</v>
      </c>
      <c r="T1593" t="str">
        <f>IF(COUNTIF(Customers!$A$2:$A$301,C1593)=0,"Missing","OK")</f>
        <v>OK</v>
      </c>
      <c r="U1593" t="str">
        <f t="shared" si="73"/>
        <v>Bengaluru</v>
      </c>
      <c r="V1593">
        <f t="shared" si="74"/>
        <v>0</v>
      </c>
    </row>
    <row r="1594" spans="1:22" ht="15" customHeight="1" x14ac:dyDescent="0.35">
      <c r="A1594" s="3" t="s">
        <v>2028</v>
      </c>
      <c r="B1594" s="4">
        <v>45462</v>
      </c>
      <c r="C1594" s="3" t="s">
        <v>545</v>
      </c>
      <c r="D1594" s="3" t="s">
        <v>441</v>
      </c>
      <c r="E1594" s="3" t="s">
        <v>224</v>
      </c>
      <c r="F1594" s="5">
        <v>3</v>
      </c>
      <c r="G1594" s="5">
        <v>1090</v>
      </c>
      <c r="H1594" s="5">
        <v>23.7</v>
      </c>
      <c r="I1594" s="5">
        <v>2495.0100000000002</v>
      </c>
      <c r="J1594" s="3" t="s">
        <v>26</v>
      </c>
      <c r="K1594" s="3" t="s">
        <v>51</v>
      </c>
      <c r="L1594" t="str">
        <f>IFERROR(VLOOKUP(D1594,Products!$A$2:$F$61,3,FALSE()),"")</f>
        <v>Home</v>
      </c>
      <c r="M1594" t="str">
        <f>IFERROR(VLOOKUP(E1594,Sales_Reps!$A$2:$C$31,3,FALSE()),"")</f>
        <v>East</v>
      </c>
      <c r="N1594">
        <f>IFERROR(VLOOKUP(D1594,Products!$A$2:$F$61,4,FALSE()),"")</f>
        <v>464</v>
      </c>
      <c r="O1594" t="str">
        <f>IFERROR(VLOOKUP(C1594,Customers!$A$2:$F$301,5,FALSE()),"")</f>
        <v>Retail</v>
      </c>
      <c r="P1594">
        <f>IFERROR(VLOOKUP(C1594,Customers!$A$2:$F$301,3,FALSE()),"")</f>
        <v>52</v>
      </c>
      <c r="Q1594">
        <f t="shared" si="72"/>
        <v>0.57431192660550456</v>
      </c>
      <c r="R1594">
        <f>IF(AND(COUNTIF($A$2:$A$2027,A1594)&gt;1,COUNTIF($A$2:A1594,A1594)=1),1,0)</f>
        <v>0</v>
      </c>
      <c r="S1594" t="b">
        <f>IFERROR(VLOOKUP(D1594,Products!$A$2:$F$61,6,FALSE()),"")</f>
        <v>1</v>
      </c>
      <c r="T1594" t="str">
        <f>IF(COUNTIF(Customers!$A$2:$A$301,C1594)=0,"Missing","OK")</f>
        <v>OK</v>
      </c>
      <c r="U1594" t="str">
        <f t="shared" si="73"/>
        <v>Mumbai</v>
      </c>
      <c r="V1594">
        <f t="shared" si="74"/>
        <v>0</v>
      </c>
    </row>
    <row r="1595" spans="1:22" ht="15" customHeight="1" x14ac:dyDescent="0.35">
      <c r="A1595" s="3" t="s">
        <v>2029</v>
      </c>
      <c r="B1595" s="4">
        <v>45300</v>
      </c>
      <c r="C1595" s="3" t="s">
        <v>418</v>
      </c>
      <c r="D1595" s="3" t="s">
        <v>234</v>
      </c>
      <c r="E1595" s="3" t="s">
        <v>93</v>
      </c>
      <c r="F1595" s="5">
        <v>3</v>
      </c>
      <c r="G1595" s="5">
        <v>2030</v>
      </c>
      <c r="H1595" s="5">
        <v>18.8</v>
      </c>
      <c r="I1595" s="5">
        <v>4945.08</v>
      </c>
      <c r="J1595" s="3" t="s">
        <v>26</v>
      </c>
      <c r="K1595" s="3" t="s">
        <v>27</v>
      </c>
      <c r="L1595" t="str">
        <f>IFERROR(VLOOKUP(D1595,Products!$A$2:$F$61,3,FALSE()),"")</f>
        <v>Home</v>
      </c>
      <c r="M1595" t="str">
        <f>IFERROR(VLOOKUP(E1595,Sales_Reps!$A$2:$C$31,3,FALSE()),"")</f>
        <v>East</v>
      </c>
      <c r="N1595">
        <f>IFERROR(VLOOKUP(D1595,Products!$A$2:$F$61,4,FALSE()),"")</f>
        <v>1143</v>
      </c>
      <c r="O1595" t="str">
        <f>IFERROR(VLOOKUP(C1595,Customers!$A$2:$F$301,5,FALSE()),"")</f>
        <v>SMB</v>
      </c>
      <c r="P1595">
        <f>IFERROR(VLOOKUP(C1595,Customers!$A$2:$F$301,3,FALSE()),"")</f>
        <v>49</v>
      </c>
      <c r="Q1595">
        <f t="shared" si="72"/>
        <v>0.43694581280788175</v>
      </c>
      <c r="R1595">
        <f>IF(AND(COUNTIF($A$2:$A$2027,A1595)&gt;1,COUNTIF($A$2:A1595,A1595)=1),1,0)</f>
        <v>0</v>
      </c>
      <c r="S1595" t="b">
        <f>IFERROR(VLOOKUP(D1595,Products!$A$2:$F$61,6,FALSE()),"")</f>
        <v>1</v>
      </c>
      <c r="T1595" t="str">
        <f>IF(COUNTIF(Customers!$A$2:$A$301,C1595)=0,"Missing","OK")</f>
        <v>OK</v>
      </c>
      <c r="U1595" t="str">
        <f t="shared" si="73"/>
        <v>Pune</v>
      </c>
      <c r="V1595">
        <f t="shared" si="74"/>
        <v>0</v>
      </c>
    </row>
    <row r="1596" spans="1:22" ht="15" customHeight="1" x14ac:dyDescent="0.35">
      <c r="A1596" s="3" t="s">
        <v>2030</v>
      </c>
      <c r="B1596" s="4">
        <v>45367</v>
      </c>
      <c r="C1596" s="3" t="s">
        <v>560</v>
      </c>
      <c r="D1596" s="3" t="s">
        <v>203</v>
      </c>
      <c r="E1596" s="3" t="s">
        <v>46</v>
      </c>
      <c r="F1596" s="5">
        <v>2</v>
      </c>
      <c r="G1596" s="5">
        <v>4070</v>
      </c>
      <c r="H1596" s="5">
        <v>14.3</v>
      </c>
      <c r="I1596" s="5">
        <v>6975.98</v>
      </c>
      <c r="J1596" s="3" t="s">
        <v>26</v>
      </c>
      <c r="K1596" s="3" t="s">
        <v>2031</v>
      </c>
      <c r="L1596" t="str">
        <f>IFERROR(VLOOKUP(D1596,Products!$A$2:$F$61,3,FALSE()),"")</f>
        <v>Grocery</v>
      </c>
      <c r="M1596" t="str">
        <f>IFERROR(VLOOKUP(E1596,Sales_Reps!$A$2:$C$31,3,FALSE()),"")</f>
        <v>North</v>
      </c>
      <c r="N1596">
        <f>IFERROR(VLOOKUP(D1596,Products!$A$2:$F$61,4,FALSE()),"")</f>
        <v>2027</v>
      </c>
      <c r="O1596" t="str">
        <f>IFERROR(VLOOKUP(C1596,Customers!$A$2:$F$301,5,FALSE()),"")</f>
        <v>Corporate</v>
      </c>
      <c r="P1596">
        <f>IFERROR(VLOOKUP(C1596,Customers!$A$2:$F$301,3,FALSE()),"")</f>
        <v>22</v>
      </c>
      <c r="Q1596">
        <f t="shared" si="72"/>
        <v>0.50196560196560192</v>
      </c>
      <c r="R1596">
        <f>IF(AND(COUNTIF($A$2:$A$2027,A1596)&gt;1,COUNTIF($A$2:A1596,A1596)=1),1,0)</f>
        <v>0</v>
      </c>
      <c r="S1596" t="b">
        <f>IFERROR(VLOOKUP(D1596,Products!$A$2:$F$61,6,FALSE()),"")</f>
        <v>1</v>
      </c>
      <c r="T1596" t="str">
        <f>IF(COUNTIF(Customers!$A$2:$A$301,C1596)=0,"Missing","OK")</f>
        <v>OK</v>
      </c>
      <c r="U1596" t="str">
        <f t="shared" si="73"/>
        <v>Chennai</v>
      </c>
      <c r="V1596">
        <f t="shared" si="74"/>
        <v>0</v>
      </c>
    </row>
    <row r="1597" spans="1:22" ht="15" customHeight="1" x14ac:dyDescent="0.35">
      <c r="A1597" s="3" t="s">
        <v>2032</v>
      </c>
      <c r="B1597" s="4">
        <v>45410</v>
      </c>
      <c r="C1597" s="3" t="s">
        <v>1119</v>
      </c>
      <c r="D1597" s="3" t="s">
        <v>24</v>
      </c>
      <c r="E1597" s="3" t="s">
        <v>67</v>
      </c>
      <c r="F1597" s="5">
        <v>3</v>
      </c>
      <c r="G1597" s="5">
        <v>3620</v>
      </c>
      <c r="H1597" s="5">
        <v>13.5</v>
      </c>
      <c r="I1597" s="5">
        <v>9393.9</v>
      </c>
      <c r="J1597" s="3" t="s">
        <v>26</v>
      </c>
      <c r="K1597" s="3" t="s">
        <v>33</v>
      </c>
      <c r="L1597" t="str">
        <f>IFERROR(VLOOKUP(D1597,Products!$A$2:$F$61,3,FALSE()),"")</f>
        <v>Apparel</v>
      </c>
      <c r="M1597" t="str">
        <f>IFERROR(VLOOKUP(E1597,Sales_Reps!$A$2:$C$31,3,FALSE()),"")</f>
        <v>West</v>
      </c>
      <c r="N1597">
        <f>IFERROR(VLOOKUP(D1597,Products!$A$2:$F$61,4,FALSE()),"")</f>
        <v>2509</v>
      </c>
      <c r="O1597" t="str">
        <f>IFERROR(VLOOKUP(C1597,Customers!$A$2:$F$301,5,FALSE()),"")</f>
        <v>Corporate</v>
      </c>
      <c r="P1597">
        <f>IFERROR(VLOOKUP(C1597,Customers!$A$2:$F$301,3,FALSE()),"")</f>
        <v>49</v>
      </c>
      <c r="Q1597">
        <f t="shared" si="72"/>
        <v>0.3069060773480663</v>
      </c>
      <c r="R1597">
        <f>IF(AND(COUNTIF($A$2:$A$2027,A1597)&gt;1,COUNTIF($A$2:A1597,A1597)=1),1,0)</f>
        <v>0</v>
      </c>
      <c r="S1597" t="b">
        <f>IFERROR(VLOOKUP(D1597,Products!$A$2:$F$61,6,FALSE()),"")</f>
        <v>1</v>
      </c>
      <c r="T1597" t="str">
        <f>IF(COUNTIF(Customers!$A$2:$A$301,C1597)=0,"Missing","OK")</f>
        <v>OK</v>
      </c>
      <c r="U1597" t="str">
        <f t="shared" si="73"/>
        <v>Chennai</v>
      </c>
      <c r="V1597">
        <f t="shared" si="74"/>
        <v>0</v>
      </c>
    </row>
    <row r="1598" spans="1:22" ht="15" customHeight="1" x14ac:dyDescent="0.35">
      <c r="A1598" s="3" t="s">
        <v>2033</v>
      </c>
      <c r="B1598" s="4">
        <v>45623</v>
      </c>
      <c r="C1598" s="3" t="s">
        <v>724</v>
      </c>
      <c r="D1598" s="3" t="s">
        <v>121</v>
      </c>
      <c r="E1598" s="3" t="s">
        <v>154</v>
      </c>
      <c r="F1598" s="5">
        <v>4</v>
      </c>
      <c r="G1598" s="5">
        <v>1010</v>
      </c>
      <c r="H1598" s="5">
        <v>3.3</v>
      </c>
      <c r="I1598" s="5">
        <v>3906.68</v>
      </c>
      <c r="J1598" s="3" t="s">
        <v>26</v>
      </c>
      <c r="K1598" s="3" t="s">
        <v>27</v>
      </c>
      <c r="L1598" t="str">
        <f>IFERROR(VLOOKUP(D1598,Products!$A$2:$F$61,3,FALSE()),"")</f>
        <v>Sports</v>
      </c>
      <c r="M1598" t="str">
        <f>IFERROR(VLOOKUP(E1598,Sales_Reps!$A$2:$C$31,3,FALSE()),"")</f>
        <v>North</v>
      </c>
      <c r="N1598">
        <f>IFERROR(VLOOKUP(D1598,Products!$A$2:$F$61,4,FALSE()),"")</f>
        <v>516</v>
      </c>
      <c r="O1598" t="str">
        <f>IFERROR(VLOOKUP(C1598,Customers!$A$2:$F$301,5,FALSE()),"")</f>
        <v>Retail</v>
      </c>
      <c r="P1598">
        <f>IFERROR(VLOOKUP(C1598,Customers!$A$2:$F$301,3,FALSE()),"")</f>
        <v>31</v>
      </c>
      <c r="Q1598">
        <f t="shared" si="72"/>
        <v>0.4891089108910891</v>
      </c>
      <c r="R1598">
        <f>IF(AND(COUNTIF($A$2:$A$2027,A1598)&gt;1,COUNTIF($A$2:A1598,A1598)=1),1,0)</f>
        <v>0</v>
      </c>
      <c r="S1598" t="b">
        <f>IFERROR(VLOOKUP(D1598,Products!$A$2:$F$61,6,FALSE()),"")</f>
        <v>1</v>
      </c>
      <c r="T1598" t="str">
        <f>IF(COUNTIF(Customers!$A$2:$A$301,C1598)=0,"Missing","OK")</f>
        <v>OK</v>
      </c>
      <c r="U1598" t="str">
        <f t="shared" si="73"/>
        <v>Pune</v>
      </c>
      <c r="V1598">
        <f t="shared" si="74"/>
        <v>0</v>
      </c>
    </row>
    <row r="1599" spans="1:22" ht="15" customHeight="1" x14ac:dyDescent="0.35">
      <c r="A1599" s="3" t="s">
        <v>2034</v>
      </c>
      <c r="B1599" s="4">
        <v>45491</v>
      </c>
      <c r="C1599" s="3" t="s">
        <v>296</v>
      </c>
      <c r="D1599" s="3" t="s">
        <v>66</v>
      </c>
      <c r="E1599" s="3" t="s">
        <v>31</v>
      </c>
      <c r="F1599" s="5">
        <v>7</v>
      </c>
      <c r="G1599" s="5">
        <v>970</v>
      </c>
      <c r="H1599" s="5">
        <v>0.1</v>
      </c>
      <c r="I1599" s="5">
        <v>6783.21</v>
      </c>
      <c r="J1599" s="3" t="s">
        <v>26</v>
      </c>
      <c r="K1599" s="3" t="s">
        <v>38</v>
      </c>
      <c r="L1599" t="str">
        <f>IFERROR(VLOOKUP(D1599,Products!$A$2:$F$61,3,FALSE()),"")</f>
        <v>Grocery</v>
      </c>
      <c r="M1599" t="str">
        <f>IFERROR(VLOOKUP(E1599,Sales_Reps!$A$2:$C$31,3,FALSE()),"")</f>
        <v>North</v>
      </c>
      <c r="N1599">
        <f>IFERROR(VLOOKUP(D1599,Products!$A$2:$F$61,4,FALSE()),"")</f>
        <v>434</v>
      </c>
      <c r="O1599" t="str">
        <f>IFERROR(VLOOKUP(C1599,Customers!$A$2:$F$301,5,FALSE()),"")</f>
        <v>SMB</v>
      </c>
      <c r="P1599">
        <f>IFERROR(VLOOKUP(C1599,Customers!$A$2:$F$301,3,FALSE()),"")</f>
        <v>38</v>
      </c>
      <c r="Q1599">
        <f t="shared" si="72"/>
        <v>0.5525773195876289</v>
      </c>
      <c r="R1599">
        <f>IF(AND(COUNTIF($A$2:$A$2027,A1599)&gt;1,COUNTIF($A$2:A1599,A1599)=1),1,0)</f>
        <v>0</v>
      </c>
      <c r="S1599" t="b">
        <f>IFERROR(VLOOKUP(D1599,Products!$A$2:$F$61,6,FALSE()),"")</f>
        <v>1</v>
      </c>
      <c r="T1599" t="str">
        <f>IF(COUNTIF(Customers!$A$2:$A$301,C1599)=0,"Missing","OK")</f>
        <v>OK</v>
      </c>
      <c r="U1599" t="str">
        <f t="shared" si="73"/>
        <v>Delhi</v>
      </c>
      <c r="V1599">
        <f t="shared" si="74"/>
        <v>0</v>
      </c>
    </row>
    <row r="1600" spans="1:22" ht="15" customHeight="1" x14ac:dyDescent="0.35">
      <c r="A1600" s="3" t="s">
        <v>2035</v>
      </c>
      <c r="B1600" s="4">
        <v>45571</v>
      </c>
      <c r="C1600" s="3" t="s">
        <v>809</v>
      </c>
      <c r="D1600" s="3" t="s">
        <v>36</v>
      </c>
      <c r="E1600" s="3" t="s">
        <v>282</v>
      </c>
      <c r="F1600" s="5">
        <v>5</v>
      </c>
      <c r="G1600" s="5">
        <v>470</v>
      </c>
      <c r="H1600" s="5">
        <v>18.3</v>
      </c>
      <c r="I1600" s="5">
        <v>1919.95</v>
      </c>
      <c r="J1600" s="3" t="s">
        <v>83</v>
      </c>
      <c r="K1600" s="3" t="s">
        <v>56</v>
      </c>
      <c r="L1600" t="str">
        <f>IFERROR(VLOOKUP(D1600,Products!$A$2:$F$61,3,FALSE()),"")</f>
        <v>Sports</v>
      </c>
      <c r="M1600" t="str">
        <f>IFERROR(VLOOKUP(E1600,Sales_Reps!$A$2:$C$31,3,FALSE()),"")</f>
        <v>West</v>
      </c>
      <c r="N1600">
        <f>IFERROR(VLOOKUP(D1600,Products!$A$2:$F$61,4,FALSE()),"")</f>
        <v>302</v>
      </c>
      <c r="O1600" t="str">
        <f>IFERROR(VLOOKUP(C1600,Customers!$A$2:$F$301,5,FALSE()),"")</f>
        <v>Retail</v>
      </c>
      <c r="P1600">
        <f>IFERROR(VLOOKUP(C1600,Customers!$A$2:$F$301,3,FALSE()),"")</f>
        <v>47</v>
      </c>
      <c r="Q1600">
        <f t="shared" si="72"/>
        <v>0.35744680851063831</v>
      </c>
      <c r="R1600">
        <f>IF(AND(COUNTIF($A$2:$A$2027,A1600)&gt;1,COUNTIF($A$2:A1600,A1600)=1),1,0)</f>
        <v>0</v>
      </c>
      <c r="S1600" t="b">
        <f>IFERROR(VLOOKUP(D1600,Products!$A$2:$F$61,6,FALSE()),"")</f>
        <v>0</v>
      </c>
      <c r="T1600" t="str">
        <f>IF(COUNTIF(Customers!$A$2:$A$301,C1600)=0,"Missing","OK")</f>
        <v>OK</v>
      </c>
      <c r="U1600" t="str">
        <f t="shared" si="73"/>
        <v>Bengaluru</v>
      </c>
      <c r="V1600">
        <f t="shared" si="74"/>
        <v>0</v>
      </c>
    </row>
    <row r="1601" spans="1:22" ht="15" customHeight="1" x14ac:dyDescent="0.35">
      <c r="A1601" s="3" t="s">
        <v>2036</v>
      </c>
      <c r="B1601" s="4">
        <v>45393</v>
      </c>
      <c r="C1601" s="3" t="s">
        <v>494</v>
      </c>
      <c r="D1601" s="3" t="s">
        <v>391</v>
      </c>
      <c r="E1601" s="3" t="s">
        <v>71</v>
      </c>
      <c r="F1601" s="5">
        <v>8</v>
      </c>
      <c r="G1601" s="5">
        <v>3450</v>
      </c>
      <c r="H1601" s="5">
        <v>5.0999999999999996</v>
      </c>
      <c r="I1601" s="5">
        <v>26192.400000000001</v>
      </c>
      <c r="J1601" s="3" t="s">
        <v>83</v>
      </c>
      <c r="K1601" s="3" t="s">
        <v>51</v>
      </c>
      <c r="L1601" t="str">
        <f>IFERROR(VLOOKUP(D1601,Products!$A$2:$F$61,3,FALSE()),"")</f>
        <v>Apparel</v>
      </c>
      <c r="M1601" t="str">
        <f>IFERROR(VLOOKUP(E1601,Sales_Reps!$A$2:$C$31,3,FALSE()),"")</f>
        <v>South</v>
      </c>
      <c r="N1601">
        <f>IFERROR(VLOOKUP(D1601,Products!$A$2:$F$61,4,FALSE()),"")</f>
        <v>1748</v>
      </c>
      <c r="O1601" t="str">
        <f>IFERROR(VLOOKUP(C1601,Customers!$A$2:$F$301,5,FALSE()),"")</f>
        <v>Retail</v>
      </c>
      <c r="P1601">
        <f>IFERROR(VLOOKUP(C1601,Customers!$A$2:$F$301,3,FALSE()),"")</f>
        <v>37</v>
      </c>
      <c r="Q1601">
        <f t="shared" si="72"/>
        <v>0.49333333333333335</v>
      </c>
      <c r="R1601">
        <f>IF(AND(COUNTIF($A$2:$A$2027,A1601)&gt;1,COUNTIF($A$2:A1601,A1601)=1),1,0)</f>
        <v>0</v>
      </c>
      <c r="S1601" t="b">
        <f>IFERROR(VLOOKUP(D1601,Products!$A$2:$F$61,6,FALSE()),"")</f>
        <v>1</v>
      </c>
      <c r="T1601" t="str">
        <f>IF(COUNTIF(Customers!$A$2:$A$301,C1601)=0,"Missing","OK")</f>
        <v>OK</v>
      </c>
      <c r="U1601" t="str">
        <f t="shared" si="73"/>
        <v>Mumbai</v>
      </c>
      <c r="V1601">
        <f t="shared" si="74"/>
        <v>0</v>
      </c>
    </row>
    <row r="1602" spans="1:22" ht="15" customHeight="1" x14ac:dyDescent="0.35">
      <c r="A1602" s="3" t="s">
        <v>2037</v>
      </c>
      <c r="B1602" s="4">
        <v>45465</v>
      </c>
      <c r="C1602" s="3" t="s">
        <v>547</v>
      </c>
      <c r="D1602" s="3" t="s">
        <v>74</v>
      </c>
      <c r="E1602" s="3" t="s">
        <v>224</v>
      </c>
      <c r="F1602" s="5">
        <v>1</v>
      </c>
      <c r="G1602" s="5">
        <v>2640</v>
      </c>
      <c r="H1602" s="5">
        <v>5.9</v>
      </c>
      <c r="I1602" s="5">
        <v>2484.2399999999998</v>
      </c>
      <c r="J1602" s="3" t="s">
        <v>26</v>
      </c>
      <c r="K1602" s="3" t="s">
        <v>27</v>
      </c>
      <c r="L1602" t="str">
        <f>IFERROR(VLOOKUP(D1602,Products!$A$2:$F$61,3,FALSE()),"")</f>
        <v>Electronics</v>
      </c>
      <c r="M1602" t="str">
        <f>IFERROR(VLOOKUP(E1602,Sales_Reps!$A$2:$C$31,3,FALSE()),"")</f>
        <v>East</v>
      </c>
      <c r="N1602">
        <f>IFERROR(VLOOKUP(D1602,Products!$A$2:$F$61,4,FALSE()),"")</f>
        <v>1149</v>
      </c>
      <c r="O1602" t="str">
        <f>IFERROR(VLOOKUP(C1602,Customers!$A$2:$F$301,5,FALSE()),"")</f>
        <v>Corporate</v>
      </c>
      <c r="P1602">
        <f>IFERROR(VLOOKUP(C1602,Customers!$A$2:$F$301,3,FALSE()),"")</f>
        <v>40</v>
      </c>
      <c r="Q1602">
        <f t="shared" ref="Q1602:Q1665" si="75">IFERROR((G1602-N1602)/G1602,"")</f>
        <v>0.56477272727272732</v>
      </c>
      <c r="R1602">
        <f>IF(AND(COUNTIF($A$2:$A$2027,A1602)&gt;1,COUNTIF($A$2:A1602,A1602)=1),1,0)</f>
        <v>0</v>
      </c>
      <c r="S1602" t="b">
        <f>IFERROR(VLOOKUP(D1602,Products!$A$2:$F$61,6,FALSE()),"")</f>
        <v>1</v>
      </c>
      <c r="T1602" t="str">
        <f>IF(COUNTIF(Customers!$A$2:$A$301,C1602)=0,"Missing","OK")</f>
        <v>OK</v>
      </c>
      <c r="U1602" t="str">
        <f t="shared" ref="U1602:U1665" si="76">IF(K1602="","",PROPER(TRIM(K1602)))</f>
        <v>Pune</v>
      </c>
      <c r="V1602">
        <f t="shared" ref="V1602:V1665" si="77">IF(AND(U1602="Bengaluru",L1602="Grocery"),I1602,0)</f>
        <v>0</v>
      </c>
    </row>
    <row r="1603" spans="1:22" ht="15" customHeight="1" x14ac:dyDescent="0.35">
      <c r="A1603" s="3" t="s">
        <v>2038</v>
      </c>
      <c r="B1603" s="4">
        <v>45354</v>
      </c>
      <c r="C1603" s="3" t="s">
        <v>524</v>
      </c>
      <c r="D1603" s="3" t="s">
        <v>126</v>
      </c>
      <c r="E1603" s="3" t="s">
        <v>131</v>
      </c>
      <c r="F1603" s="5">
        <v>10</v>
      </c>
      <c r="G1603" s="5">
        <v>3570</v>
      </c>
      <c r="H1603" s="5">
        <v>21.5</v>
      </c>
      <c r="I1603" s="5">
        <v>28024.5</v>
      </c>
      <c r="J1603" s="3" t="s">
        <v>26</v>
      </c>
      <c r="K1603" s="3" t="s">
        <v>33</v>
      </c>
      <c r="L1603" t="str">
        <f>IFERROR(VLOOKUP(D1603,Products!$A$2:$F$61,3,FALSE()),"")</f>
        <v>Electronics</v>
      </c>
      <c r="M1603" t="str">
        <f>IFERROR(VLOOKUP(E1603,Sales_Reps!$A$2:$C$31,3,FALSE()),"")</f>
        <v>East</v>
      </c>
      <c r="N1603">
        <f>IFERROR(VLOOKUP(D1603,Products!$A$2:$F$61,4,FALSE()),"")</f>
        <v>1665</v>
      </c>
      <c r="O1603" t="str">
        <f>IFERROR(VLOOKUP(C1603,Customers!$A$2:$F$301,5,FALSE()),"")</f>
        <v>Retail</v>
      </c>
      <c r="P1603">
        <f>IFERROR(VLOOKUP(C1603,Customers!$A$2:$F$301,3,FALSE()),"")</f>
        <v>26</v>
      </c>
      <c r="Q1603">
        <f t="shared" si="75"/>
        <v>0.53361344537815125</v>
      </c>
      <c r="R1603">
        <f>IF(AND(COUNTIF($A$2:$A$2027,A1603)&gt;1,COUNTIF($A$2:A1603,A1603)=1),1,0)</f>
        <v>0</v>
      </c>
      <c r="S1603" t="b">
        <f>IFERROR(VLOOKUP(D1603,Products!$A$2:$F$61,6,FALSE()),"")</f>
        <v>1</v>
      </c>
      <c r="T1603" t="str">
        <f>IF(COUNTIF(Customers!$A$2:$A$301,C1603)=0,"Missing","OK")</f>
        <v>OK</v>
      </c>
      <c r="U1603" t="str">
        <f t="shared" si="76"/>
        <v>Chennai</v>
      </c>
      <c r="V1603">
        <f t="shared" si="77"/>
        <v>0</v>
      </c>
    </row>
    <row r="1604" spans="1:22" ht="15" customHeight="1" x14ac:dyDescent="0.35">
      <c r="A1604" s="3" t="s">
        <v>2039</v>
      </c>
      <c r="B1604" s="4">
        <v>45581</v>
      </c>
      <c r="C1604" s="3" t="s">
        <v>531</v>
      </c>
      <c r="D1604" s="3" t="s">
        <v>59</v>
      </c>
      <c r="E1604" s="3" t="s">
        <v>285</v>
      </c>
      <c r="F1604" s="5">
        <v>10</v>
      </c>
      <c r="G1604" s="5">
        <v>1430</v>
      </c>
      <c r="H1604" s="5">
        <v>11.4</v>
      </c>
      <c r="I1604" s="5">
        <v>12669.8</v>
      </c>
      <c r="J1604" s="3" t="s">
        <v>79</v>
      </c>
      <c r="K1604" s="3" t="s">
        <v>72</v>
      </c>
      <c r="L1604" t="str">
        <f>IFERROR(VLOOKUP(D1604,Products!$A$2:$F$61,3,FALSE()),"")</f>
        <v>Electronics</v>
      </c>
      <c r="M1604" t="str">
        <f>IFERROR(VLOOKUP(E1604,Sales_Reps!$A$2:$C$31,3,FALSE()),"")</f>
        <v>South</v>
      </c>
      <c r="N1604">
        <f>IFERROR(VLOOKUP(D1604,Products!$A$2:$F$61,4,FALSE()),"")</f>
        <v>861</v>
      </c>
      <c r="O1604" t="str">
        <f>IFERROR(VLOOKUP(C1604,Customers!$A$2:$F$301,5,FALSE()),"")</f>
        <v>Retail</v>
      </c>
      <c r="P1604">
        <f>IFERROR(VLOOKUP(C1604,Customers!$A$2:$F$301,3,FALSE()),"")</f>
        <v>22</v>
      </c>
      <c r="Q1604">
        <f t="shared" si="75"/>
        <v>0.39790209790209791</v>
      </c>
      <c r="R1604">
        <f>IF(AND(COUNTIF($A$2:$A$2027,A1604)&gt;1,COUNTIF($A$2:A1604,A1604)=1),1,0)</f>
        <v>0</v>
      </c>
      <c r="S1604" t="b">
        <f>IFERROR(VLOOKUP(D1604,Products!$A$2:$F$61,6,FALSE()),"")</f>
        <v>1</v>
      </c>
      <c r="T1604" t="str">
        <f>IF(COUNTIF(Customers!$A$2:$A$301,C1604)=0,"Missing","OK")</f>
        <v>OK</v>
      </c>
      <c r="U1604" t="str">
        <f t="shared" si="76"/>
        <v>Hyderabad</v>
      </c>
      <c r="V1604">
        <f t="shared" si="77"/>
        <v>0</v>
      </c>
    </row>
    <row r="1605" spans="1:22" ht="15" customHeight="1" x14ac:dyDescent="0.35">
      <c r="A1605" s="3" t="s">
        <v>2040</v>
      </c>
      <c r="B1605" s="4">
        <v>45643</v>
      </c>
      <c r="C1605" s="3" t="s">
        <v>762</v>
      </c>
      <c r="D1605" s="3" t="s">
        <v>54</v>
      </c>
      <c r="E1605" s="3" t="s">
        <v>191</v>
      </c>
      <c r="F1605" s="5">
        <v>7</v>
      </c>
      <c r="G1605" s="5">
        <v>960</v>
      </c>
      <c r="H1605" s="5">
        <v>22.9</v>
      </c>
      <c r="I1605" s="5">
        <v>5181.12</v>
      </c>
      <c r="J1605" s="3" t="s">
        <v>26</v>
      </c>
      <c r="K1605" s="3" t="s">
        <v>33</v>
      </c>
      <c r="L1605" t="str">
        <f>IFERROR(VLOOKUP(D1605,Products!$A$2:$F$61,3,FALSE()),"")</f>
        <v>Sports</v>
      </c>
      <c r="M1605" t="str">
        <f>IFERROR(VLOOKUP(E1605,Sales_Reps!$A$2:$C$31,3,FALSE()),"")</f>
        <v>South</v>
      </c>
      <c r="N1605">
        <f>IFERROR(VLOOKUP(D1605,Products!$A$2:$F$61,4,FALSE()),"")</f>
        <v>705</v>
      </c>
      <c r="O1605" t="str">
        <f>IFERROR(VLOOKUP(C1605,Customers!$A$2:$F$301,5,FALSE()),"")</f>
        <v>Retail</v>
      </c>
      <c r="P1605">
        <f>IFERROR(VLOOKUP(C1605,Customers!$A$2:$F$301,3,FALSE()),"")</f>
        <v>32</v>
      </c>
      <c r="Q1605">
        <f t="shared" si="75"/>
        <v>0.265625</v>
      </c>
      <c r="R1605">
        <f>IF(AND(COUNTIF($A$2:$A$2027,A1605)&gt;1,COUNTIF($A$2:A1605,A1605)=1),1,0)</f>
        <v>0</v>
      </c>
      <c r="S1605" t="b">
        <f>IFERROR(VLOOKUP(D1605,Products!$A$2:$F$61,6,FALSE()),"")</f>
        <v>1</v>
      </c>
      <c r="T1605" t="str">
        <f>IF(COUNTIF(Customers!$A$2:$A$301,C1605)=0,"Missing","OK")</f>
        <v>OK</v>
      </c>
      <c r="U1605" t="str">
        <f t="shared" si="76"/>
        <v>Chennai</v>
      </c>
      <c r="V1605">
        <f t="shared" si="77"/>
        <v>0</v>
      </c>
    </row>
    <row r="1606" spans="1:22" ht="15" customHeight="1" x14ac:dyDescent="0.35">
      <c r="A1606" s="3" t="s">
        <v>2041</v>
      </c>
      <c r="B1606" s="4">
        <v>45606</v>
      </c>
      <c r="C1606" s="3" t="s">
        <v>939</v>
      </c>
      <c r="D1606" s="3" t="s">
        <v>82</v>
      </c>
      <c r="E1606" s="3" t="s">
        <v>71</v>
      </c>
      <c r="F1606" s="5">
        <v>8</v>
      </c>
      <c r="G1606" s="5">
        <v>3250</v>
      </c>
      <c r="H1606" s="5">
        <v>1.9</v>
      </c>
      <c r="I1606" s="5">
        <v>25506</v>
      </c>
      <c r="J1606" s="3" t="s">
        <v>26</v>
      </c>
      <c r="K1606" s="3" t="s">
        <v>56</v>
      </c>
      <c r="L1606" t="str">
        <f>IFERROR(VLOOKUP(D1606,Products!$A$2:$F$61,3,FALSE()),"")</f>
        <v>Home</v>
      </c>
      <c r="M1606" t="str">
        <f>IFERROR(VLOOKUP(E1606,Sales_Reps!$A$2:$C$31,3,FALSE()),"")</f>
        <v>South</v>
      </c>
      <c r="N1606">
        <f>IFERROR(VLOOKUP(D1606,Products!$A$2:$F$61,4,FALSE()),"")</f>
        <v>1556</v>
      </c>
      <c r="O1606" t="str">
        <f>IFERROR(VLOOKUP(C1606,Customers!$A$2:$F$301,5,FALSE()),"")</f>
        <v>Retail</v>
      </c>
      <c r="P1606">
        <f>IFERROR(VLOOKUP(C1606,Customers!$A$2:$F$301,3,FALSE()),"")</f>
        <v>27</v>
      </c>
      <c r="Q1606">
        <f t="shared" si="75"/>
        <v>0.52123076923076928</v>
      </c>
      <c r="R1606">
        <f>IF(AND(COUNTIF($A$2:$A$2027,A1606)&gt;1,COUNTIF($A$2:A1606,A1606)=1),1,0)</f>
        <v>0</v>
      </c>
      <c r="S1606" t="b">
        <f>IFERROR(VLOOKUP(D1606,Products!$A$2:$F$61,6,FALSE()),"")</f>
        <v>1</v>
      </c>
      <c r="T1606" t="str">
        <f>IF(COUNTIF(Customers!$A$2:$A$301,C1606)=0,"Missing","OK")</f>
        <v>OK</v>
      </c>
      <c r="U1606" t="str">
        <f t="shared" si="76"/>
        <v>Bengaluru</v>
      </c>
      <c r="V1606">
        <f t="shared" si="77"/>
        <v>0</v>
      </c>
    </row>
    <row r="1607" spans="1:22" ht="15" customHeight="1" x14ac:dyDescent="0.35">
      <c r="A1607" s="3" t="s">
        <v>2042</v>
      </c>
      <c r="B1607" s="4">
        <v>45356</v>
      </c>
      <c r="C1607" s="3" t="s">
        <v>567</v>
      </c>
      <c r="D1607" s="3" t="s">
        <v>100</v>
      </c>
      <c r="E1607" s="3" t="s">
        <v>242</v>
      </c>
      <c r="F1607" s="5">
        <v>9</v>
      </c>
      <c r="G1607" s="5">
        <v>3450</v>
      </c>
      <c r="H1607" s="5">
        <v>18</v>
      </c>
      <c r="I1607" s="5">
        <v>25461</v>
      </c>
      <c r="J1607" s="3" t="s">
        <v>26</v>
      </c>
      <c r="K1607" s="3" t="s">
        <v>72</v>
      </c>
      <c r="L1607" t="str">
        <f>IFERROR(VLOOKUP(D1607,Products!$A$2:$F$61,3,FALSE()),"")</f>
        <v>Sports</v>
      </c>
      <c r="M1607" t="str">
        <f>IFERROR(VLOOKUP(E1607,Sales_Reps!$A$2:$C$31,3,FALSE()),"")</f>
        <v>East</v>
      </c>
      <c r="N1607">
        <f>IFERROR(VLOOKUP(D1607,Products!$A$2:$F$61,4,FALSE()),"")</f>
        <v>2467</v>
      </c>
      <c r="O1607" t="str">
        <f>IFERROR(VLOOKUP(C1607,Customers!$A$2:$F$301,5,FALSE()),"")</f>
        <v>Corporate</v>
      </c>
      <c r="P1607">
        <f>IFERROR(VLOOKUP(C1607,Customers!$A$2:$F$301,3,FALSE()),"")</f>
        <v>22</v>
      </c>
      <c r="Q1607">
        <f t="shared" si="75"/>
        <v>0.28492753623188405</v>
      </c>
      <c r="R1607">
        <f>IF(AND(COUNTIF($A$2:$A$2027,A1607)&gt;1,COUNTIF($A$2:A1607,A1607)=1),1,0)</f>
        <v>0</v>
      </c>
      <c r="S1607" t="b">
        <f>IFERROR(VLOOKUP(D1607,Products!$A$2:$F$61,6,FALSE()),"")</f>
        <v>1</v>
      </c>
      <c r="T1607" t="str">
        <f>IF(COUNTIF(Customers!$A$2:$A$301,C1607)=0,"Missing","OK")</f>
        <v>OK</v>
      </c>
      <c r="U1607" t="str">
        <f t="shared" si="76"/>
        <v>Hyderabad</v>
      </c>
      <c r="V1607">
        <f t="shared" si="77"/>
        <v>0</v>
      </c>
    </row>
    <row r="1608" spans="1:22" ht="15" customHeight="1" x14ac:dyDescent="0.35">
      <c r="A1608" s="3" t="s">
        <v>2043</v>
      </c>
      <c r="B1608" s="4">
        <v>45343</v>
      </c>
      <c r="C1608" s="3" t="s">
        <v>114</v>
      </c>
      <c r="D1608" s="3" t="s">
        <v>70</v>
      </c>
      <c r="E1608" s="3" t="s">
        <v>285</v>
      </c>
      <c r="F1608" s="5">
        <v>5</v>
      </c>
      <c r="G1608" s="5">
        <v>2270</v>
      </c>
      <c r="H1608" s="5">
        <v>11.5</v>
      </c>
      <c r="I1608" s="5">
        <v>10044.75</v>
      </c>
      <c r="J1608" s="3" t="s">
        <v>26</v>
      </c>
      <c r="K1608" s="3" t="s">
        <v>72</v>
      </c>
      <c r="L1608" t="str">
        <f>IFERROR(VLOOKUP(D1608,Products!$A$2:$F$61,3,FALSE()),"")</f>
        <v>Grocery</v>
      </c>
      <c r="M1608" t="str">
        <f>IFERROR(VLOOKUP(E1608,Sales_Reps!$A$2:$C$31,3,FALSE()),"")</f>
        <v>South</v>
      </c>
      <c r="N1608">
        <f>IFERROR(VLOOKUP(D1608,Products!$A$2:$F$61,4,FALSE()),"")</f>
        <v>1203</v>
      </c>
      <c r="O1608" t="str">
        <f>IFERROR(VLOOKUP(C1608,Customers!$A$2:$F$301,5,FALSE()),"")</f>
        <v>SMB</v>
      </c>
      <c r="P1608">
        <f>IFERROR(VLOOKUP(C1608,Customers!$A$2:$F$301,3,FALSE()),"")</f>
        <v>40</v>
      </c>
      <c r="Q1608">
        <f t="shared" si="75"/>
        <v>0.47004405286343615</v>
      </c>
      <c r="R1608">
        <f>IF(AND(COUNTIF($A$2:$A$2027,A1608)&gt;1,COUNTIF($A$2:A1608,A1608)=1),1,0)</f>
        <v>0</v>
      </c>
      <c r="S1608" t="b">
        <f>IFERROR(VLOOKUP(D1608,Products!$A$2:$F$61,6,FALSE()),"")</f>
        <v>1</v>
      </c>
      <c r="T1608" t="str">
        <f>IF(COUNTIF(Customers!$A$2:$A$301,C1608)=0,"Missing","OK")</f>
        <v>OK</v>
      </c>
      <c r="U1608" t="str">
        <f t="shared" si="76"/>
        <v>Hyderabad</v>
      </c>
      <c r="V1608">
        <f t="shared" si="77"/>
        <v>0</v>
      </c>
    </row>
    <row r="1609" spans="1:22" ht="15" customHeight="1" x14ac:dyDescent="0.35">
      <c r="A1609" s="3" t="s">
        <v>2044</v>
      </c>
      <c r="B1609" s="4">
        <v>45449</v>
      </c>
      <c r="C1609" s="3" t="s">
        <v>834</v>
      </c>
      <c r="D1609" s="3" t="s">
        <v>215</v>
      </c>
      <c r="E1609" s="3" t="s">
        <v>60</v>
      </c>
      <c r="F1609" s="5">
        <v>6</v>
      </c>
      <c r="G1609" s="5">
        <v>3020</v>
      </c>
      <c r="H1609" s="5">
        <v>12.6</v>
      </c>
      <c r="I1609" s="5">
        <v>15836.88</v>
      </c>
      <c r="J1609" s="3" t="s">
        <v>26</v>
      </c>
      <c r="K1609" s="3" t="s">
        <v>56</v>
      </c>
      <c r="L1609" t="str">
        <f>IFERROR(VLOOKUP(D1609,Products!$A$2:$F$61,3,FALSE()),"")</f>
        <v>Beauty</v>
      </c>
      <c r="M1609" t="str">
        <f>IFERROR(VLOOKUP(E1609,Sales_Reps!$A$2:$C$31,3,FALSE()),"")</f>
        <v>East</v>
      </c>
      <c r="N1609">
        <f>IFERROR(VLOOKUP(D1609,Products!$A$2:$F$61,4,FALSE()),"")</f>
        <v>1626</v>
      </c>
      <c r="O1609" t="str">
        <f>IFERROR(VLOOKUP(C1609,Customers!$A$2:$F$301,5,FALSE()),"")</f>
        <v>Retail</v>
      </c>
      <c r="P1609">
        <f>IFERROR(VLOOKUP(C1609,Customers!$A$2:$F$301,3,FALSE()),"")</f>
        <v>46</v>
      </c>
      <c r="Q1609">
        <f t="shared" si="75"/>
        <v>0.46158940397350995</v>
      </c>
      <c r="R1609">
        <f>IF(AND(COUNTIF($A$2:$A$2027,A1609)&gt;1,COUNTIF($A$2:A1609,A1609)=1),1,0)</f>
        <v>0</v>
      </c>
      <c r="S1609" t="b">
        <f>IFERROR(VLOOKUP(D1609,Products!$A$2:$F$61,6,FALSE()),"")</f>
        <v>1</v>
      </c>
      <c r="T1609" t="str">
        <f>IF(COUNTIF(Customers!$A$2:$A$301,C1609)=0,"Missing","OK")</f>
        <v>OK</v>
      </c>
      <c r="U1609" t="str">
        <f t="shared" si="76"/>
        <v>Bengaluru</v>
      </c>
      <c r="V1609">
        <f t="shared" si="77"/>
        <v>0</v>
      </c>
    </row>
    <row r="1610" spans="1:22" ht="15" customHeight="1" x14ac:dyDescent="0.35">
      <c r="A1610" s="3" t="s">
        <v>2045</v>
      </c>
      <c r="B1610" s="4">
        <v>45317</v>
      </c>
      <c r="C1610" s="3" t="s">
        <v>402</v>
      </c>
      <c r="D1610" s="3" t="s">
        <v>74</v>
      </c>
      <c r="E1610" s="3" t="s">
        <v>46</v>
      </c>
      <c r="F1610" s="5">
        <v>8</v>
      </c>
      <c r="G1610" s="5">
        <v>2640</v>
      </c>
      <c r="H1610" s="5">
        <v>14.5</v>
      </c>
      <c r="I1610" s="5">
        <v>18057.599999999999</v>
      </c>
      <c r="J1610" s="3" t="s">
        <v>83</v>
      </c>
      <c r="K1610" s="3" t="s">
        <v>56</v>
      </c>
      <c r="L1610" t="str">
        <f>IFERROR(VLOOKUP(D1610,Products!$A$2:$F$61,3,FALSE()),"")</f>
        <v>Electronics</v>
      </c>
      <c r="M1610" t="str">
        <f>IFERROR(VLOOKUP(E1610,Sales_Reps!$A$2:$C$31,3,FALSE()),"")</f>
        <v>North</v>
      </c>
      <c r="N1610">
        <f>IFERROR(VLOOKUP(D1610,Products!$A$2:$F$61,4,FALSE()),"")</f>
        <v>1149</v>
      </c>
      <c r="O1610" t="str">
        <f>IFERROR(VLOOKUP(C1610,Customers!$A$2:$F$301,5,FALSE()),"")</f>
        <v>Retail</v>
      </c>
      <c r="P1610">
        <f>IFERROR(VLOOKUP(C1610,Customers!$A$2:$F$301,3,FALSE()),"")</f>
        <v>55</v>
      </c>
      <c r="Q1610">
        <f t="shared" si="75"/>
        <v>0.56477272727272732</v>
      </c>
      <c r="R1610">
        <f>IF(AND(COUNTIF($A$2:$A$2027,A1610)&gt;1,COUNTIF($A$2:A1610,A1610)=1),1,0)</f>
        <v>0</v>
      </c>
      <c r="S1610" t="b">
        <f>IFERROR(VLOOKUP(D1610,Products!$A$2:$F$61,6,FALSE()),"")</f>
        <v>1</v>
      </c>
      <c r="T1610" t="str">
        <f>IF(COUNTIF(Customers!$A$2:$A$301,C1610)=0,"Missing","OK")</f>
        <v>OK</v>
      </c>
      <c r="U1610" t="str">
        <f t="shared" si="76"/>
        <v>Bengaluru</v>
      </c>
      <c r="V1610">
        <f t="shared" si="77"/>
        <v>0</v>
      </c>
    </row>
    <row r="1611" spans="1:22" ht="15" customHeight="1" x14ac:dyDescent="0.35">
      <c r="A1611" s="3" t="s">
        <v>2046</v>
      </c>
      <c r="B1611" s="4">
        <v>45561</v>
      </c>
      <c r="C1611" s="3" t="s">
        <v>62</v>
      </c>
      <c r="D1611" s="3" t="s">
        <v>70</v>
      </c>
      <c r="E1611" s="3" t="s">
        <v>282</v>
      </c>
      <c r="F1611" s="5">
        <v>2</v>
      </c>
      <c r="G1611" s="5">
        <v>2270</v>
      </c>
      <c r="H1611" s="5">
        <v>27</v>
      </c>
      <c r="I1611" s="5">
        <v>3314.2</v>
      </c>
      <c r="J1611" s="3" t="s">
        <v>26</v>
      </c>
      <c r="K1611" s="3" t="s">
        <v>56</v>
      </c>
      <c r="L1611" t="str">
        <f>IFERROR(VLOOKUP(D1611,Products!$A$2:$F$61,3,FALSE()),"")</f>
        <v>Grocery</v>
      </c>
      <c r="M1611" t="str">
        <f>IFERROR(VLOOKUP(E1611,Sales_Reps!$A$2:$C$31,3,FALSE()),"")</f>
        <v>West</v>
      </c>
      <c r="N1611">
        <f>IFERROR(VLOOKUP(D1611,Products!$A$2:$F$61,4,FALSE()),"")</f>
        <v>1203</v>
      </c>
      <c r="O1611" t="str">
        <f>IFERROR(VLOOKUP(C1611,Customers!$A$2:$F$301,5,FALSE()),"")</f>
        <v>Retail</v>
      </c>
      <c r="P1611">
        <f>IFERROR(VLOOKUP(C1611,Customers!$A$2:$F$301,3,FALSE()),"")</f>
        <v>42</v>
      </c>
      <c r="Q1611">
        <f t="shared" si="75"/>
        <v>0.47004405286343615</v>
      </c>
      <c r="R1611">
        <f>IF(AND(COUNTIF($A$2:$A$2027,A1611)&gt;1,COUNTIF($A$2:A1611,A1611)=1),1,0)</f>
        <v>0</v>
      </c>
      <c r="S1611" t="b">
        <f>IFERROR(VLOOKUP(D1611,Products!$A$2:$F$61,6,FALSE()),"")</f>
        <v>1</v>
      </c>
      <c r="T1611" t="str">
        <f>IF(COUNTIF(Customers!$A$2:$A$301,C1611)=0,"Missing","OK")</f>
        <v>OK</v>
      </c>
      <c r="U1611" t="str">
        <f t="shared" si="76"/>
        <v>Bengaluru</v>
      </c>
      <c r="V1611">
        <f t="shared" si="77"/>
        <v>3314.2</v>
      </c>
    </row>
    <row r="1612" spans="1:22" ht="15" customHeight="1" x14ac:dyDescent="0.35">
      <c r="A1612" s="3" t="s">
        <v>2047</v>
      </c>
      <c r="B1612" s="4">
        <v>45636</v>
      </c>
      <c r="C1612" s="3" t="s">
        <v>44</v>
      </c>
      <c r="D1612" s="3" t="s">
        <v>139</v>
      </c>
      <c r="E1612" s="3" t="s">
        <v>282</v>
      </c>
      <c r="F1612" s="5">
        <v>8</v>
      </c>
      <c r="G1612" s="5">
        <v>2760</v>
      </c>
      <c r="H1612" s="5">
        <v>18</v>
      </c>
      <c r="I1612" s="5">
        <v>18105.599999999999</v>
      </c>
      <c r="J1612" s="3" t="s">
        <v>79</v>
      </c>
      <c r="K1612" s="3" t="s">
        <v>33</v>
      </c>
      <c r="L1612" t="str">
        <f>IFERROR(VLOOKUP(D1612,Products!$A$2:$F$61,3,FALSE()),"")</f>
        <v>Grocery</v>
      </c>
      <c r="M1612" t="str">
        <f>IFERROR(VLOOKUP(E1612,Sales_Reps!$A$2:$C$31,3,FALSE()),"")</f>
        <v>West</v>
      </c>
      <c r="N1612">
        <f>IFERROR(VLOOKUP(D1612,Products!$A$2:$F$61,4,FALSE()),"")</f>
        <v>1435</v>
      </c>
      <c r="O1612" t="str">
        <f>IFERROR(VLOOKUP(C1612,Customers!$A$2:$F$301,5,FALSE()),"")</f>
        <v>Retail</v>
      </c>
      <c r="P1612">
        <f>IFERROR(VLOOKUP(C1612,Customers!$A$2:$F$301,3,FALSE()),"")</f>
        <v>36</v>
      </c>
      <c r="Q1612">
        <f t="shared" si="75"/>
        <v>0.48007246376811596</v>
      </c>
      <c r="R1612">
        <f>IF(AND(COUNTIF($A$2:$A$2027,A1612)&gt;1,COUNTIF($A$2:A1612,A1612)=1),1,0)</f>
        <v>0</v>
      </c>
      <c r="S1612" t="b">
        <f>IFERROR(VLOOKUP(D1612,Products!$A$2:$F$61,6,FALSE()),"")</f>
        <v>1</v>
      </c>
      <c r="T1612" t="str">
        <f>IF(COUNTIF(Customers!$A$2:$A$301,C1612)=0,"Missing","OK")</f>
        <v>OK</v>
      </c>
      <c r="U1612" t="str">
        <f t="shared" si="76"/>
        <v>Chennai</v>
      </c>
      <c r="V1612">
        <f t="shared" si="77"/>
        <v>0</v>
      </c>
    </row>
    <row r="1613" spans="1:22" ht="15" customHeight="1" x14ac:dyDescent="0.35">
      <c r="A1613" s="3" t="s">
        <v>2048</v>
      </c>
      <c r="B1613" s="4">
        <v>45398</v>
      </c>
      <c r="C1613" s="3" t="s">
        <v>608</v>
      </c>
      <c r="D1613" s="3" t="s">
        <v>24</v>
      </c>
      <c r="E1613" s="3" t="s">
        <v>93</v>
      </c>
      <c r="F1613" s="5">
        <v>8</v>
      </c>
      <c r="G1613" s="5">
        <v>3620</v>
      </c>
      <c r="H1613" s="5">
        <v>7.1</v>
      </c>
      <c r="I1613" s="5">
        <v>26903.84</v>
      </c>
      <c r="J1613" s="3" t="s">
        <v>26</v>
      </c>
      <c r="K1613" s="3" t="s">
        <v>72</v>
      </c>
      <c r="L1613" t="str">
        <f>IFERROR(VLOOKUP(D1613,Products!$A$2:$F$61,3,FALSE()),"")</f>
        <v>Apparel</v>
      </c>
      <c r="M1613" t="str">
        <f>IFERROR(VLOOKUP(E1613,Sales_Reps!$A$2:$C$31,3,FALSE()),"")</f>
        <v>East</v>
      </c>
      <c r="N1613">
        <f>IFERROR(VLOOKUP(D1613,Products!$A$2:$F$61,4,FALSE()),"")</f>
        <v>2509</v>
      </c>
      <c r="O1613" t="str">
        <f>IFERROR(VLOOKUP(C1613,Customers!$A$2:$F$301,5,FALSE()),"")</f>
        <v>Retail</v>
      </c>
      <c r="P1613">
        <f>IFERROR(VLOOKUP(C1613,Customers!$A$2:$F$301,3,FALSE()),"")</f>
        <v>31</v>
      </c>
      <c r="Q1613">
        <f t="shared" si="75"/>
        <v>0.3069060773480663</v>
      </c>
      <c r="R1613">
        <f>IF(AND(COUNTIF($A$2:$A$2027,A1613)&gt;1,COUNTIF($A$2:A1613,A1613)=1),1,0)</f>
        <v>0</v>
      </c>
      <c r="S1613" t="b">
        <f>IFERROR(VLOOKUP(D1613,Products!$A$2:$F$61,6,FALSE()),"")</f>
        <v>1</v>
      </c>
      <c r="T1613" t="str">
        <f>IF(COUNTIF(Customers!$A$2:$A$301,C1613)=0,"Missing","OK")</f>
        <v>OK</v>
      </c>
      <c r="U1613" t="str">
        <f t="shared" si="76"/>
        <v>Hyderabad</v>
      </c>
      <c r="V1613">
        <f t="shared" si="77"/>
        <v>0</v>
      </c>
    </row>
    <row r="1614" spans="1:22" ht="15" customHeight="1" x14ac:dyDescent="0.35">
      <c r="A1614" s="3" t="s">
        <v>2049</v>
      </c>
      <c r="B1614" s="4">
        <v>45477</v>
      </c>
      <c r="C1614" s="3" t="s">
        <v>674</v>
      </c>
      <c r="D1614" s="3" t="s">
        <v>325</v>
      </c>
      <c r="E1614" s="3" t="s">
        <v>97</v>
      </c>
      <c r="F1614" s="5">
        <v>8</v>
      </c>
      <c r="G1614" s="5">
        <v>2290</v>
      </c>
      <c r="H1614" s="5">
        <v>16.399999999999999</v>
      </c>
      <c r="I1614" s="5">
        <v>15315.52</v>
      </c>
      <c r="J1614" s="3" t="s">
        <v>26</v>
      </c>
      <c r="K1614" s="3" t="s">
        <v>27</v>
      </c>
      <c r="L1614" t="str">
        <f>IFERROR(VLOOKUP(D1614,Products!$A$2:$F$61,3,FALSE()),"")</f>
        <v>Beauty</v>
      </c>
      <c r="M1614" t="str">
        <f>IFERROR(VLOOKUP(E1614,Sales_Reps!$A$2:$C$31,3,FALSE()),"")</f>
        <v>East</v>
      </c>
      <c r="N1614">
        <f>IFERROR(VLOOKUP(D1614,Products!$A$2:$F$61,4,FALSE()),"")</f>
        <v>1219</v>
      </c>
      <c r="O1614" t="str">
        <f>IFERROR(VLOOKUP(C1614,Customers!$A$2:$F$301,5,FALSE()),"")</f>
        <v>Retail</v>
      </c>
      <c r="P1614">
        <f>IFERROR(VLOOKUP(C1614,Customers!$A$2:$F$301,3,FALSE()),"")</f>
        <v>54</v>
      </c>
      <c r="Q1614">
        <f t="shared" si="75"/>
        <v>0.46768558951965067</v>
      </c>
      <c r="R1614">
        <f>IF(AND(COUNTIF($A$2:$A$2027,A1614)&gt;1,COUNTIF($A$2:A1614,A1614)=1),1,0)</f>
        <v>0</v>
      </c>
      <c r="S1614" t="b">
        <f>IFERROR(VLOOKUP(D1614,Products!$A$2:$F$61,6,FALSE()),"")</f>
        <v>1</v>
      </c>
      <c r="T1614" t="str">
        <f>IF(COUNTIF(Customers!$A$2:$A$301,C1614)=0,"Missing","OK")</f>
        <v>OK</v>
      </c>
      <c r="U1614" t="str">
        <f t="shared" si="76"/>
        <v>Pune</v>
      </c>
      <c r="V1614">
        <f t="shared" si="77"/>
        <v>0</v>
      </c>
    </row>
    <row r="1615" spans="1:22" ht="15" customHeight="1" x14ac:dyDescent="0.35">
      <c r="A1615" s="3" t="s">
        <v>2050</v>
      </c>
      <c r="B1615" s="4">
        <v>45462</v>
      </c>
      <c r="C1615" s="3" t="s">
        <v>780</v>
      </c>
      <c r="D1615" s="3" t="s">
        <v>115</v>
      </c>
      <c r="E1615" s="3" t="s">
        <v>60</v>
      </c>
      <c r="F1615" s="5">
        <v>3</v>
      </c>
      <c r="G1615" s="5">
        <v>1650</v>
      </c>
      <c r="H1615" s="5">
        <v>1.8</v>
      </c>
      <c r="I1615" s="5">
        <v>4860.8999999999996</v>
      </c>
      <c r="J1615" s="3" t="s">
        <v>79</v>
      </c>
      <c r="K1615" s="3" t="s">
        <v>56</v>
      </c>
      <c r="L1615" t="str">
        <f>IFERROR(VLOOKUP(D1615,Products!$A$2:$F$61,3,FALSE()),"")</f>
        <v>Beauty</v>
      </c>
      <c r="M1615" t="str">
        <f>IFERROR(VLOOKUP(E1615,Sales_Reps!$A$2:$C$31,3,FALSE()),"")</f>
        <v>East</v>
      </c>
      <c r="N1615">
        <f>IFERROR(VLOOKUP(D1615,Products!$A$2:$F$61,4,FALSE()),"")</f>
        <v>1222</v>
      </c>
      <c r="O1615" t="str">
        <f>IFERROR(VLOOKUP(C1615,Customers!$A$2:$F$301,5,FALSE()),"")</f>
        <v>Corporate</v>
      </c>
      <c r="P1615">
        <f>IFERROR(VLOOKUP(C1615,Customers!$A$2:$F$301,3,FALSE()),"")</f>
        <v>41</v>
      </c>
      <c r="Q1615">
        <f t="shared" si="75"/>
        <v>0.2593939393939394</v>
      </c>
      <c r="R1615">
        <f>IF(AND(COUNTIF($A$2:$A$2027,A1615)&gt;1,COUNTIF($A$2:A1615,A1615)=1),1,0)</f>
        <v>0</v>
      </c>
      <c r="S1615" t="b">
        <f>IFERROR(VLOOKUP(D1615,Products!$A$2:$F$61,6,FALSE()),"")</f>
        <v>1</v>
      </c>
      <c r="T1615" t="str">
        <f>IF(COUNTIF(Customers!$A$2:$A$301,C1615)=0,"Missing","OK")</f>
        <v>OK</v>
      </c>
      <c r="U1615" t="str">
        <f t="shared" si="76"/>
        <v>Bengaluru</v>
      </c>
      <c r="V1615">
        <f t="shared" si="77"/>
        <v>0</v>
      </c>
    </row>
    <row r="1616" spans="1:22" ht="15" customHeight="1" x14ac:dyDescent="0.35">
      <c r="A1616" s="3" t="s">
        <v>2051</v>
      </c>
      <c r="B1616" s="4">
        <v>45642</v>
      </c>
      <c r="C1616" s="3" t="s">
        <v>459</v>
      </c>
      <c r="D1616" s="3" t="s">
        <v>303</v>
      </c>
      <c r="E1616" s="3" t="s">
        <v>242</v>
      </c>
      <c r="F1616" s="5">
        <v>3</v>
      </c>
      <c r="G1616" s="5">
        <v>5330</v>
      </c>
      <c r="H1616" s="5">
        <v>22.2</v>
      </c>
      <c r="I1616" s="5">
        <v>12440.22</v>
      </c>
      <c r="J1616" s="3" t="s">
        <v>26</v>
      </c>
      <c r="K1616" s="3" t="s">
        <v>51</v>
      </c>
      <c r="L1616" t="str">
        <f>IFERROR(VLOOKUP(D1616,Products!$A$2:$F$61,3,FALSE()),"")</f>
        <v>Electronics</v>
      </c>
      <c r="M1616" t="str">
        <f>IFERROR(VLOOKUP(E1616,Sales_Reps!$A$2:$C$31,3,FALSE()),"")</f>
        <v>East</v>
      </c>
      <c r="N1616">
        <f>IFERROR(VLOOKUP(D1616,Products!$A$2:$F$61,4,FALSE()),"")</f>
        <v>2405</v>
      </c>
      <c r="O1616" t="str">
        <f>IFERROR(VLOOKUP(C1616,Customers!$A$2:$F$301,5,FALSE()),"")</f>
        <v>Corporate</v>
      </c>
      <c r="P1616">
        <f>IFERROR(VLOOKUP(C1616,Customers!$A$2:$F$301,3,FALSE()),"")</f>
        <v>35</v>
      </c>
      <c r="Q1616">
        <f t="shared" si="75"/>
        <v>0.54878048780487809</v>
      </c>
      <c r="R1616">
        <f>IF(AND(COUNTIF($A$2:$A$2027,A1616)&gt;1,COUNTIF($A$2:A1616,A1616)=1),1,0)</f>
        <v>0</v>
      </c>
      <c r="S1616" t="b">
        <f>IFERROR(VLOOKUP(D1616,Products!$A$2:$F$61,6,FALSE()),"")</f>
        <v>1</v>
      </c>
      <c r="T1616" t="str">
        <f>IF(COUNTIF(Customers!$A$2:$A$301,C1616)=0,"Missing","OK")</f>
        <v>OK</v>
      </c>
      <c r="U1616" t="str">
        <f t="shared" si="76"/>
        <v>Mumbai</v>
      </c>
      <c r="V1616">
        <f t="shared" si="77"/>
        <v>0</v>
      </c>
    </row>
    <row r="1617" spans="1:22" ht="15" customHeight="1" x14ac:dyDescent="0.35">
      <c r="A1617" s="3" t="s">
        <v>2052</v>
      </c>
      <c r="B1617" s="4">
        <v>45534</v>
      </c>
      <c r="C1617" s="3" t="s">
        <v>625</v>
      </c>
      <c r="D1617" s="3" t="s">
        <v>103</v>
      </c>
      <c r="E1617" s="3" t="s">
        <v>224</v>
      </c>
      <c r="F1617" s="5">
        <v>7</v>
      </c>
      <c r="G1617" s="5">
        <v>1080</v>
      </c>
      <c r="H1617" s="5">
        <v>17.899999999999999</v>
      </c>
      <c r="I1617" s="5">
        <v>6206.76</v>
      </c>
      <c r="J1617" s="3" t="s">
        <v>26</v>
      </c>
      <c r="K1617" s="3" t="s">
        <v>51</v>
      </c>
      <c r="L1617" t="str">
        <f>IFERROR(VLOOKUP(D1617,Products!$A$2:$F$61,3,FALSE()),"")</f>
        <v>Home</v>
      </c>
      <c r="M1617" t="str">
        <f>IFERROR(VLOOKUP(E1617,Sales_Reps!$A$2:$C$31,3,FALSE()),"")</f>
        <v>East</v>
      </c>
      <c r="N1617">
        <f>IFERROR(VLOOKUP(D1617,Products!$A$2:$F$61,4,FALSE()),"")</f>
        <v>519</v>
      </c>
      <c r="O1617" t="str">
        <f>IFERROR(VLOOKUP(C1617,Customers!$A$2:$F$301,5,FALSE()),"")</f>
        <v>Retail</v>
      </c>
      <c r="P1617">
        <f>IFERROR(VLOOKUP(C1617,Customers!$A$2:$F$301,3,FALSE()),"")</f>
        <v>35</v>
      </c>
      <c r="Q1617">
        <f t="shared" si="75"/>
        <v>0.51944444444444449</v>
      </c>
      <c r="R1617">
        <f>IF(AND(COUNTIF($A$2:$A$2027,A1617)&gt;1,COUNTIF($A$2:A1617,A1617)=1),1,0)</f>
        <v>0</v>
      </c>
      <c r="S1617" t="b">
        <f>IFERROR(VLOOKUP(D1617,Products!$A$2:$F$61,6,FALSE()),"")</f>
        <v>1</v>
      </c>
      <c r="T1617" t="str">
        <f>IF(COUNTIF(Customers!$A$2:$A$301,C1617)=0,"Missing","OK")</f>
        <v>OK</v>
      </c>
      <c r="U1617" t="str">
        <f t="shared" si="76"/>
        <v>Mumbai</v>
      </c>
      <c r="V1617">
        <f t="shared" si="77"/>
        <v>0</v>
      </c>
    </row>
    <row r="1618" spans="1:22" ht="15" customHeight="1" x14ac:dyDescent="0.35">
      <c r="A1618" s="3" t="s">
        <v>2053</v>
      </c>
      <c r="B1618" s="4">
        <v>45460</v>
      </c>
      <c r="C1618" s="3" t="s">
        <v>40</v>
      </c>
      <c r="D1618" s="3" t="s">
        <v>206</v>
      </c>
      <c r="E1618" s="3" t="s">
        <v>224</v>
      </c>
      <c r="F1618" s="5">
        <v>10</v>
      </c>
      <c r="G1618" s="5">
        <v>1220</v>
      </c>
      <c r="H1618" s="5">
        <v>5.7</v>
      </c>
      <c r="I1618" s="5">
        <v>11504.6</v>
      </c>
      <c r="J1618" s="3" t="s">
        <v>26</v>
      </c>
      <c r="K1618" s="3" t="s">
        <v>38</v>
      </c>
      <c r="L1618" t="str">
        <f>IFERROR(VLOOKUP(D1618,Products!$A$2:$F$61,3,FALSE()),"")</f>
        <v>Electronics</v>
      </c>
      <c r="M1618" t="str">
        <f>IFERROR(VLOOKUP(E1618,Sales_Reps!$A$2:$C$31,3,FALSE()),"")</f>
        <v>East</v>
      </c>
      <c r="N1618">
        <f>IFERROR(VLOOKUP(D1618,Products!$A$2:$F$61,4,FALSE()),"")</f>
        <v>517</v>
      </c>
      <c r="O1618" t="str">
        <f>IFERROR(VLOOKUP(C1618,Customers!$A$2:$F$301,5,FALSE()),"")</f>
        <v>Corporate</v>
      </c>
      <c r="P1618">
        <f>IFERROR(VLOOKUP(C1618,Customers!$A$2:$F$301,3,FALSE()),"")</f>
        <v>46</v>
      </c>
      <c r="Q1618">
        <f t="shared" si="75"/>
        <v>0.57622950819672136</v>
      </c>
      <c r="R1618">
        <f>IF(AND(COUNTIF($A$2:$A$2027,A1618)&gt;1,COUNTIF($A$2:A1618,A1618)=1),1,0)</f>
        <v>0</v>
      </c>
      <c r="S1618" t="b">
        <f>IFERROR(VLOOKUP(D1618,Products!$A$2:$F$61,6,FALSE()),"")</f>
        <v>1</v>
      </c>
      <c r="T1618" t="str">
        <f>IF(COUNTIF(Customers!$A$2:$A$301,C1618)=0,"Missing","OK")</f>
        <v>OK</v>
      </c>
      <c r="U1618" t="str">
        <f t="shared" si="76"/>
        <v>Delhi</v>
      </c>
      <c r="V1618">
        <f t="shared" si="77"/>
        <v>0</v>
      </c>
    </row>
    <row r="1619" spans="1:22" ht="15" customHeight="1" x14ac:dyDescent="0.35">
      <c r="A1619" s="3" t="s">
        <v>2054</v>
      </c>
      <c r="B1619" s="4">
        <v>45648</v>
      </c>
      <c r="C1619" s="3" t="s">
        <v>244</v>
      </c>
      <c r="D1619" s="3" t="s">
        <v>142</v>
      </c>
      <c r="E1619" s="3" t="s">
        <v>109</v>
      </c>
      <c r="F1619" s="5">
        <v>10</v>
      </c>
      <c r="G1619" s="5">
        <v>660</v>
      </c>
      <c r="H1619" s="5">
        <v>7.5</v>
      </c>
      <c r="I1619" s="5">
        <v>6105</v>
      </c>
      <c r="J1619" s="3" t="s">
        <v>26</v>
      </c>
      <c r="K1619" s="3" t="s">
        <v>72</v>
      </c>
      <c r="L1619" t="str">
        <f>IFERROR(VLOOKUP(D1619,Products!$A$2:$F$61,3,FALSE()),"")</f>
        <v>Home</v>
      </c>
      <c r="M1619" t="str">
        <f>IFERROR(VLOOKUP(E1619,Sales_Reps!$A$2:$C$31,3,FALSE()),"")</f>
        <v>West</v>
      </c>
      <c r="N1619">
        <f>IFERROR(VLOOKUP(D1619,Products!$A$2:$F$61,4,FALSE()),"")</f>
        <v>329</v>
      </c>
      <c r="O1619" t="str">
        <f>IFERROR(VLOOKUP(C1619,Customers!$A$2:$F$301,5,FALSE()),"")</f>
        <v>Corporate</v>
      </c>
      <c r="P1619">
        <f>IFERROR(VLOOKUP(C1619,Customers!$A$2:$F$301,3,FALSE()),"")</f>
        <v>46</v>
      </c>
      <c r="Q1619">
        <f t="shared" si="75"/>
        <v>0.50151515151515147</v>
      </c>
      <c r="R1619">
        <f>IF(AND(COUNTIF($A$2:$A$2027,A1619)&gt;1,COUNTIF($A$2:A1619,A1619)=1),1,0)</f>
        <v>0</v>
      </c>
      <c r="S1619" t="b">
        <f>IFERROR(VLOOKUP(D1619,Products!$A$2:$F$61,6,FALSE()),"")</f>
        <v>1</v>
      </c>
      <c r="T1619" t="str">
        <f>IF(COUNTIF(Customers!$A$2:$A$301,C1619)=0,"Missing","OK")</f>
        <v>OK</v>
      </c>
      <c r="U1619" t="str">
        <f t="shared" si="76"/>
        <v>Hyderabad</v>
      </c>
      <c r="V1619">
        <f t="shared" si="77"/>
        <v>0</v>
      </c>
    </row>
    <row r="1620" spans="1:22" ht="15" customHeight="1" x14ac:dyDescent="0.35">
      <c r="A1620" s="3" t="s">
        <v>2055</v>
      </c>
      <c r="B1620" s="4">
        <v>45557</v>
      </c>
      <c r="C1620" s="3" t="s">
        <v>887</v>
      </c>
      <c r="D1620" s="3" t="s">
        <v>103</v>
      </c>
      <c r="E1620" s="3" t="s">
        <v>131</v>
      </c>
      <c r="F1620" s="5">
        <v>6</v>
      </c>
      <c r="G1620" s="5">
        <v>1080</v>
      </c>
      <c r="H1620" s="5">
        <v>28.9</v>
      </c>
      <c r="I1620" s="5">
        <v>4607.28</v>
      </c>
      <c r="J1620" s="3" t="s">
        <v>26</v>
      </c>
      <c r="K1620" s="3" t="s">
        <v>27</v>
      </c>
      <c r="L1620" t="str">
        <f>IFERROR(VLOOKUP(D1620,Products!$A$2:$F$61,3,FALSE()),"")</f>
        <v>Home</v>
      </c>
      <c r="M1620" t="str">
        <f>IFERROR(VLOOKUP(E1620,Sales_Reps!$A$2:$C$31,3,FALSE()),"")</f>
        <v>East</v>
      </c>
      <c r="N1620">
        <f>IFERROR(VLOOKUP(D1620,Products!$A$2:$F$61,4,FALSE()),"")</f>
        <v>519</v>
      </c>
      <c r="O1620" t="str">
        <f>IFERROR(VLOOKUP(C1620,Customers!$A$2:$F$301,5,FALSE()),"")</f>
        <v>Retail</v>
      </c>
      <c r="P1620">
        <f>IFERROR(VLOOKUP(C1620,Customers!$A$2:$F$301,3,FALSE()),"")</f>
        <v>65</v>
      </c>
      <c r="Q1620">
        <f t="shared" si="75"/>
        <v>0.51944444444444449</v>
      </c>
      <c r="R1620">
        <f>IF(AND(COUNTIF($A$2:$A$2027,A1620)&gt;1,COUNTIF($A$2:A1620,A1620)=1),1,0)</f>
        <v>0</v>
      </c>
      <c r="S1620" t="b">
        <f>IFERROR(VLOOKUP(D1620,Products!$A$2:$F$61,6,FALSE()),"")</f>
        <v>1</v>
      </c>
      <c r="T1620" t="str">
        <f>IF(COUNTIF(Customers!$A$2:$A$301,C1620)=0,"Missing","OK")</f>
        <v>OK</v>
      </c>
      <c r="U1620" t="str">
        <f t="shared" si="76"/>
        <v>Pune</v>
      </c>
      <c r="V1620">
        <f t="shared" si="77"/>
        <v>0</v>
      </c>
    </row>
    <row r="1621" spans="1:22" ht="15" customHeight="1" x14ac:dyDescent="0.35">
      <c r="A1621" s="3" t="s">
        <v>2056</v>
      </c>
      <c r="B1621" s="4">
        <v>45584</v>
      </c>
      <c r="C1621" s="3" t="s">
        <v>528</v>
      </c>
      <c r="D1621" s="3" t="s">
        <v>184</v>
      </c>
      <c r="E1621" s="3" t="s">
        <v>131</v>
      </c>
      <c r="F1621" s="5">
        <v>7</v>
      </c>
      <c r="G1621" s="5">
        <v>2270</v>
      </c>
      <c r="H1621" s="5">
        <v>1.4</v>
      </c>
      <c r="I1621" s="5">
        <v>15667.54</v>
      </c>
      <c r="J1621" s="3" t="s">
        <v>26</v>
      </c>
      <c r="K1621" s="3" t="s">
        <v>33</v>
      </c>
      <c r="L1621" t="str">
        <f>IFERROR(VLOOKUP(D1621,Products!$A$2:$F$61,3,FALSE()),"")</f>
        <v>Grocery</v>
      </c>
      <c r="M1621" t="str">
        <f>IFERROR(VLOOKUP(E1621,Sales_Reps!$A$2:$C$31,3,FALSE()),"")</f>
        <v>East</v>
      </c>
      <c r="N1621">
        <f>IFERROR(VLOOKUP(D1621,Products!$A$2:$F$61,4,FALSE()),"")</f>
        <v>1412</v>
      </c>
      <c r="O1621" t="str">
        <f>IFERROR(VLOOKUP(C1621,Customers!$A$2:$F$301,5,FALSE()),"")</f>
        <v>Corporate</v>
      </c>
      <c r="P1621">
        <f>IFERROR(VLOOKUP(C1621,Customers!$A$2:$F$301,3,FALSE()),"")</f>
        <v>30</v>
      </c>
      <c r="Q1621">
        <f t="shared" si="75"/>
        <v>0.37797356828193834</v>
      </c>
      <c r="R1621">
        <f>IF(AND(COUNTIF($A$2:$A$2027,A1621)&gt;1,COUNTIF($A$2:A1621,A1621)=1),1,0)</f>
        <v>0</v>
      </c>
      <c r="S1621" t="b">
        <f>IFERROR(VLOOKUP(D1621,Products!$A$2:$F$61,6,FALSE()),"")</f>
        <v>1</v>
      </c>
      <c r="T1621" t="str">
        <f>IF(COUNTIF(Customers!$A$2:$A$301,C1621)=0,"Missing","OK")</f>
        <v>OK</v>
      </c>
      <c r="U1621" t="str">
        <f t="shared" si="76"/>
        <v>Chennai</v>
      </c>
      <c r="V1621">
        <f t="shared" si="77"/>
        <v>0</v>
      </c>
    </row>
    <row r="1622" spans="1:22" ht="15" customHeight="1" x14ac:dyDescent="0.35">
      <c r="A1622" s="3" t="s">
        <v>2057</v>
      </c>
      <c r="B1622" s="4">
        <v>45475</v>
      </c>
      <c r="C1622" s="3" t="s">
        <v>720</v>
      </c>
      <c r="D1622" s="3" t="s">
        <v>49</v>
      </c>
      <c r="E1622" s="3" t="s">
        <v>67</v>
      </c>
      <c r="F1622" s="5">
        <v>3</v>
      </c>
      <c r="G1622" s="5">
        <v>370</v>
      </c>
      <c r="H1622" s="5">
        <v>9.6</v>
      </c>
      <c r="I1622" s="5">
        <v>1003.44</v>
      </c>
      <c r="J1622" s="3" t="s">
        <v>83</v>
      </c>
      <c r="K1622" s="3" t="s">
        <v>38</v>
      </c>
      <c r="L1622" t="str">
        <f>IFERROR(VLOOKUP(D1622,Products!$A$2:$F$61,3,FALSE()),"")</f>
        <v>Home</v>
      </c>
      <c r="M1622" t="str">
        <f>IFERROR(VLOOKUP(E1622,Sales_Reps!$A$2:$C$31,3,FALSE()),"")</f>
        <v>West</v>
      </c>
      <c r="N1622">
        <f>IFERROR(VLOOKUP(D1622,Products!$A$2:$F$61,4,FALSE()),"")</f>
        <v>288</v>
      </c>
      <c r="O1622" t="str">
        <f>IFERROR(VLOOKUP(C1622,Customers!$A$2:$F$301,5,FALSE()),"")</f>
        <v>SMB</v>
      </c>
      <c r="P1622">
        <f>IFERROR(VLOOKUP(C1622,Customers!$A$2:$F$301,3,FALSE()),"")</f>
        <v>29</v>
      </c>
      <c r="Q1622">
        <f t="shared" si="75"/>
        <v>0.22162162162162163</v>
      </c>
      <c r="R1622">
        <f>IF(AND(COUNTIF($A$2:$A$2027,A1622)&gt;1,COUNTIF($A$2:A1622,A1622)=1),1,0)</f>
        <v>0</v>
      </c>
      <c r="S1622" t="b">
        <f>IFERROR(VLOOKUP(D1622,Products!$A$2:$F$61,6,FALSE()),"")</f>
        <v>1</v>
      </c>
      <c r="T1622" t="str">
        <f>IF(COUNTIF(Customers!$A$2:$A$301,C1622)=0,"Missing","OK")</f>
        <v>OK</v>
      </c>
      <c r="U1622" t="str">
        <f t="shared" si="76"/>
        <v>Delhi</v>
      </c>
      <c r="V1622">
        <f t="shared" si="77"/>
        <v>0</v>
      </c>
    </row>
    <row r="1623" spans="1:22" ht="15" customHeight="1" x14ac:dyDescent="0.35">
      <c r="A1623" s="3" t="s">
        <v>2058</v>
      </c>
      <c r="B1623" s="4">
        <v>45365</v>
      </c>
      <c r="C1623" s="3" t="s">
        <v>813</v>
      </c>
      <c r="D1623" s="3" t="s">
        <v>66</v>
      </c>
      <c r="E1623" s="3" t="s">
        <v>143</v>
      </c>
      <c r="F1623" s="5">
        <v>9</v>
      </c>
      <c r="G1623" s="5">
        <v>970</v>
      </c>
      <c r="H1623" s="5">
        <v>29.7</v>
      </c>
      <c r="I1623" s="5">
        <v>6137.19</v>
      </c>
      <c r="J1623" s="3" t="s">
        <v>26</v>
      </c>
      <c r="K1623" s="3" t="s">
        <v>51</v>
      </c>
      <c r="L1623" t="str">
        <f>IFERROR(VLOOKUP(D1623,Products!$A$2:$F$61,3,FALSE()),"")</f>
        <v>Grocery</v>
      </c>
      <c r="M1623" t="str">
        <f>IFERROR(VLOOKUP(E1623,Sales_Reps!$A$2:$C$31,3,FALSE()),"")</f>
        <v>South</v>
      </c>
      <c r="N1623">
        <f>IFERROR(VLOOKUP(D1623,Products!$A$2:$F$61,4,FALSE()),"")</f>
        <v>434</v>
      </c>
      <c r="O1623" t="str">
        <f>IFERROR(VLOOKUP(C1623,Customers!$A$2:$F$301,5,FALSE()),"")</f>
        <v>Retail</v>
      </c>
      <c r="P1623">
        <f>IFERROR(VLOOKUP(C1623,Customers!$A$2:$F$301,3,FALSE()),"")</f>
        <v>57</v>
      </c>
      <c r="Q1623">
        <f t="shared" si="75"/>
        <v>0.5525773195876289</v>
      </c>
      <c r="R1623">
        <f>IF(AND(COUNTIF($A$2:$A$2027,A1623)&gt;1,COUNTIF($A$2:A1623,A1623)=1),1,0)</f>
        <v>0</v>
      </c>
      <c r="S1623" t="b">
        <f>IFERROR(VLOOKUP(D1623,Products!$A$2:$F$61,6,FALSE()),"")</f>
        <v>1</v>
      </c>
      <c r="T1623" t="str">
        <f>IF(COUNTIF(Customers!$A$2:$A$301,C1623)=0,"Missing","OK")</f>
        <v>OK</v>
      </c>
      <c r="U1623" t="str">
        <f t="shared" si="76"/>
        <v>Mumbai</v>
      </c>
      <c r="V1623">
        <f t="shared" si="77"/>
        <v>0</v>
      </c>
    </row>
    <row r="1624" spans="1:22" ht="15" customHeight="1" x14ac:dyDescent="0.35">
      <c r="A1624" s="3" t="s">
        <v>1009</v>
      </c>
      <c r="B1624" s="4">
        <v>45405</v>
      </c>
      <c r="C1624" s="3" t="s">
        <v>884</v>
      </c>
      <c r="D1624" s="3" t="s">
        <v>231</v>
      </c>
      <c r="E1624" s="3" t="s">
        <v>87</v>
      </c>
      <c r="F1624" s="5">
        <v>1</v>
      </c>
      <c r="G1624" s="5">
        <v>620</v>
      </c>
      <c r="H1624" s="5">
        <v>10.4</v>
      </c>
      <c r="I1624" s="5">
        <v>555.52</v>
      </c>
      <c r="J1624" s="3" t="s">
        <v>79</v>
      </c>
      <c r="K1624" s="3" t="s">
        <v>27</v>
      </c>
      <c r="L1624" t="str">
        <f>IFERROR(VLOOKUP(D1624,Products!$A$2:$F$61,3,FALSE()),"")</f>
        <v>Apparel</v>
      </c>
      <c r="M1624" t="str">
        <f>IFERROR(VLOOKUP(E1624,Sales_Reps!$A$2:$C$31,3,FALSE()),"")</f>
        <v>North</v>
      </c>
      <c r="N1624">
        <f>IFERROR(VLOOKUP(D1624,Products!$A$2:$F$61,4,FALSE()),"")</f>
        <v>396</v>
      </c>
      <c r="O1624" t="str">
        <f>IFERROR(VLOOKUP(C1624,Customers!$A$2:$F$301,5,FALSE()),"")</f>
        <v>Retail</v>
      </c>
      <c r="P1624">
        <f>IFERROR(VLOOKUP(C1624,Customers!$A$2:$F$301,3,FALSE()),"")</f>
        <v>54</v>
      </c>
      <c r="Q1624">
        <f t="shared" si="75"/>
        <v>0.36129032258064514</v>
      </c>
      <c r="R1624">
        <f>IF(AND(COUNTIF($A$2:$A$2027,A1624)&gt;1,COUNTIF($A$2:A1624,A1624)=1),1,0)</f>
        <v>0</v>
      </c>
      <c r="S1624" t="b">
        <f>IFERROR(VLOOKUP(D1624,Products!$A$2:$F$61,6,FALSE()),"")</f>
        <v>1</v>
      </c>
      <c r="T1624" t="str">
        <f>IF(COUNTIF(Customers!$A$2:$A$301,C1624)=0,"Missing","OK")</f>
        <v>OK</v>
      </c>
      <c r="U1624" t="str">
        <f t="shared" si="76"/>
        <v>Pune</v>
      </c>
      <c r="V1624">
        <f t="shared" si="77"/>
        <v>0</v>
      </c>
    </row>
    <row r="1625" spans="1:22" ht="15" customHeight="1" x14ac:dyDescent="0.35">
      <c r="A1625" s="3" t="s">
        <v>2059</v>
      </c>
      <c r="B1625" s="4">
        <v>45533</v>
      </c>
      <c r="C1625" s="3" t="s">
        <v>811</v>
      </c>
      <c r="D1625" s="3" t="s">
        <v>41</v>
      </c>
      <c r="E1625" s="3" t="s">
        <v>168</v>
      </c>
      <c r="F1625" s="5">
        <v>5</v>
      </c>
      <c r="G1625" s="5">
        <v>3660</v>
      </c>
      <c r="H1625" s="5">
        <v>8</v>
      </c>
      <c r="I1625" s="5">
        <v>16836</v>
      </c>
      <c r="J1625" s="3" t="s">
        <v>26</v>
      </c>
      <c r="K1625" s="3" t="s">
        <v>51</v>
      </c>
      <c r="L1625" t="str">
        <f>IFERROR(VLOOKUP(D1625,Products!$A$2:$F$61,3,FALSE()),"")</f>
        <v>Grocery</v>
      </c>
      <c r="M1625" t="str">
        <f>IFERROR(VLOOKUP(E1625,Sales_Reps!$A$2:$C$31,3,FALSE()),"")</f>
        <v>West</v>
      </c>
      <c r="N1625">
        <f>IFERROR(VLOOKUP(D1625,Products!$A$2:$F$61,4,FALSE()),"")</f>
        <v>2214</v>
      </c>
      <c r="O1625" t="str">
        <f>IFERROR(VLOOKUP(C1625,Customers!$A$2:$F$301,5,FALSE()),"")</f>
        <v>Corporate</v>
      </c>
      <c r="P1625">
        <f>IFERROR(VLOOKUP(C1625,Customers!$A$2:$F$301,3,FALSE()),"")</f>
        <v>62</v>
      </c>
      <c r="Q1625">
        <f t="shared" si="75"/>
        <v>0.39508196721311473</v>
      </c>
      <c r="R1625">
        <f>IF(AND(COUNTIF($A$2:$A$2027,A1625)&gt;1,COUNTIF($A$2:A1625,A1625)=1),1,0)</f>
        <v>0</v>
      </c>
      <c r="S1625" t="b">
        <f>IFERROR(VLOOKUP(D1625,Products!$A$2:$F$61,6,FALSE()),"")</f>
        <v>0</v>
      </c>
      <c r="T1625" t="str">
        <f>IF(COUNTIF(Customers!$A$2:$A$301,C1625)=0,"Missing","OK")</f>
        <v>OK</v>
      </c>
      <c r="U1625" t="str">
        <f t="shared" si="76"/>
        <v>Mumbai</v>
      </c>
      <c r="V1625">
        <f t="shared" si="77"/>
        <v>0</v>
      </c>
    </row>
    <row r="1626" spans="1:22" ht="15" customHeight="1" x14ac:dyDescent="0.35">
      <c r="A1626" s="3" t="s">
        <v>2060</v>
      </c>
      <c r="B1626" s="4">
        <v>45628</v>
      </c>
      <c r="C1626" s="3" t="s">
        <v>40</v>
      </c>
      <c r="D1626" s="3" t="s">
        <v>277</v>
      </c>
      <c r="E1626" s="3" t="s">
        <v>55</v>
      </c>
      <c r="F1626" s="5">
        <v>7</v>
      </c>
      <c r="G1626" s="5">
        <v>2210</v>
      </c>
      <c r="H1626" s="5">
        <v>13.7</v>
      </c>
      <c r="I1626" s="5">
        <v>13350.61</v>
      </c>
      <c r="J1626" s="3" t="s">
        <v>83</v>
      </c>
      <c r="K1626" s="3" t="s">
        <v>38</v>
      </c>
      <c r="L1626" t="str">
        <f>IFERROR(VLOOKUP(D1626,Products!$A$2:$F$61,3,FALSE()),"")</f>
        <v>Grocery</v>
      </c>
      <c r="M1626" t="str">
        <f>IFERROR(VLOOKUP(E1626,Sales_Reps!$A$2:$C$31,3,FALSE()),"")</f>
        <v>West</v>
      </c>
      <c r="N1626">
        <f>IFERROR(VLOOKUP(D1626,Products!$A$2:$F$61,4,FALSE()),"")</f>
        <v>1010</v>
      </c>
      <c r="O1626" t="str">
        <f>IFERROR(VLOOKUP(C1626,Customers!$A$2:$F$301,5,FALSE()),"")</f>
        <v>Corporate</v>
      </c>
      <c r="P1626">
        <f>IFERROR(VLOOKUP(C1626,Customers!$A$2:$F$301,3,FALSE()),"")</f>
        <v>46</v>
      </c>
      <c r="Q1626">
        <f t="shared" si="75"/>
        <v>0.54298642533936647</v>
      </c>
      <c r="R1626">
        <f>IF(AND(COUNTIF($A$2:$A$2027,A1626)&gt;1,COUNTIF($A$2:A1626,A1626)=1),1,0)</f>
        <v>0</v>
      </c>
      <c r="S1626" t="b">
        <f>IFERROR(VLOOKUP(D1626,Products!$A$2:$F$61,6,FALSE()),"")</f>
        <v>1</v>
      </c>
      <c r="T1626" t="str">
        <f>IF(COUNTIF(Customers!$A$2:$A$301,C1626)=0,"Missing","OK")</f>
        <v>OK</v>
      </c>
      <c r="U1626" t="str">
        <f t="shared" si="76"/>
        <v>Delhi</v>
      </c>
      <c r="V1626">
        <f t="shared" si="77"/>
        <v>0</v>
      </c>
    </row>
    <row r="1627" spans="1:22" ht="15" customHeight="1" x14ac:dyDescent="0.35">
      <c r="A1627" s="3" t="s">
        <v>2061</v>
      </c>
      <c r="B1627" s="4">
        <v>45631</v>
      </c>
      <c r="C1627" s="3" t="s">
        <v>644</v>
      </c>
      <c r="D1627" s="3" t="s">
        <v>400</v>
      </c>
      <c r="E1627" s="3" t="s">
        <v>67</v>
      </c>
      <c r="F1627" s="5">
        <v>1</v>
      </c>
      <c r="G1627" s="5">
        <v>3780</v>
      </c>
      <c r="H1627" s="5">
        <v>11.5</v>
      </c>
      <c r="I1627" s="5">
        <v>3345.3</v>
      </c>
      <c r="J1627" s="3" t="s">
        <v>26</v>
      </c>
      <c r="K1627" s="3" t="s">
        <v>38</v>
      </c>
      <c r="L1627" t="str">
        <f>IFERROR(VLOOKUP(D1627,Products!$A$2:$F$61,3,FALSE()),"")</f>
        <v>Sports</v>
      </c>
      <c r="M1627" t="str">
        <f>IFERROR(VLOOKUP(E1627,Sales_Reps!$A$2:$C$31,3,FALSE()),"")</f>
        <v>West</v>
      </c>
      <c r="N1627">
        <f>IFERROR(VLOOKUP(D1627,Products!$A$2:$F$61,4,FALSE()),"")</f>
        <v>1860</v>
      </c>
      <c r="O1627" t="str">
        <f>IFERROR(VLOOKUP(C1627,Customers!$A$2:$F$301,5,FALSE()),"")</f>
        <v>Retail</v>
      </c>
      <c r="P1627">
        <f>IFERROR(VLOOKUP(C1627,Customers!$A$2:$F$301,3,FALSE()),"")</f>
        <v>53</v>
      </c>
      <c r="Q1627">
        <f t="shared" si="75"/>
        <v>0.50793650793650791</v>
      </c>
      <c r="R1627">
        <f>IF(AND(COUNTIF($A$2:$A$2027,A1627)&gt;1,COUNTIF($A$2:A1627,A1627)=1),1,0)</f>
        <v>0</v>
      </c>
      <c r="S1627" t="b">
        <f>IFERROR(VLOOKUP(D1627,Products!$A$2:$F$61,6,FALSE()),"")</f>
        <v>1</v>
      </c>
      <c r="T1627" t="str">
        <f>IF(COUNTIF(Customers!$A$2:$A$301,C1627)=0,"Missing","OK")</f>
        <v>OK</v>
      </c>
      <c r="U1627" t="str">
        <f t="shared" si="76"/>
        <v>Delhi</v>
      </c>
      <c r="V1627">
        <f t="shared" si="77"/>
        <v>0</v>
      </c>
    </row>
    <row r="1628" spans="1:22" ht="15" customHeight="1" x14ac:dyDescent="0.35">
      <c r="A1628" s="3" t="s">
        <v>2062</v>
      </c>
      <c r="B1628" s="4">
        <v>45601</v>
      </c>
      <c r="C1628" s="3" t="s">
        <v>230</v>
      </c>
      <c r="D1628" s="3" t="s">
        <v>77</v>
      </c>
      <c r="E1628" s="3" t="s">
        <v>31</v>
      </c>
      <c r="F1628" s="5">
        <v>10</v>
      </c>
      <c r="G1628" s="5">
        <v>2600</v>
      </c>
      <c r="H1628" s="5">
        <v>29.4</v>
      </c>
      <c r="I1628" s="5">
        <v>18356</v>
      </c>
      <c r="J1628" s="3" t="s">
        <v>26</v>
      </c>
      <c r="K1628" s="3" t="s">
        <v>38</v>
      </c>
      <c r="L1628" t="str">
        <f>IFERROR(VLOOKUP(D1628,Products!$A$2:$F$61,3,FALSE()),"")</f>
        <v>Electronics</v>
      </c>
      <c r="M1628" t="str">
        <f>IFERROR(VLOOKUP(E1628,Sales_Reps!$A$2:$C$31,3,FALSE()),"")</f>
        <v>North</v>
      </c>
      <c r="N1628">
        <f>IFERROR(VLOOKUP(D1628,Products!$A$2:$F$61,4,FALSE()),"")</f>
        <v>1052</v>
      </c>
      <c r="O1628" t="str">
        <f>IFERROR(VLOOKUP(C1628,Customers!$A$2:$F$301,5,FALSE()),"")</f>
        <v>Retail</v>
      </c>
      <c r="P1628">
        <f>IFERROR(VLOOKUP(C1628,Customers!$A$2:$F$301,3,FALSE()),"")</f>
        <v>35</v>
      </c>
      <c r="Q1628">
        <f t="shared" si="75"/>
        <v>0.5953846153846154</v>
      </c>
      <c r="R1628">
        <f>IF(AND(COUNTIF($A$2:$A$2027,A1628)&gt;1,COUNTIF($A$2:A1628,A1628)=1),1,0)</f>
        <v>0</v>
      </c>
      <c r="S1628" t="b">
        <f>IFERROR(VLOOKUP(D1628,Products!$A$2:$F$61,6,FALSE()),"")</f>
        <v>1</v>
      </c>
      <c r="T1628" t="str">
        <f>IF(COUNTIF(Customers!$A$2:$A$301,C1628)=0,"Missing","OK")</f>
        <v>OK</v>
      </c>
      <c r="U1628" t="str">
        <f t="shared" si="76"/>
        <v>Delhi</v>
      </c>
      <c r="V1628">
        <f t="shared" si="77"/>
        <v>0</v>
      </c>
    </row>
    <row r="1629" spans="1:22" ht="15" customHeight="1" x14ac:dyDescent="0.35">
      <c r="A1629" s="3" t="s">
        <v>2063</v>
      </c>
      <c r="B1629" s="4">
        <v>45365</v>
      </c>
      <c r="C1629" s="3" t="s">
        <v>490</v>
      </c>
      <c r="D1629" s="3" t="s">
        <v>173</v>
      </c>
      <c r="E1629" s="3" t="s">
        <v>177</v>
      </c>
      <c r="F1629" s="5">
        <v>3</v>
      </c>
      <c r="G1629" s="5">
        <v>3780</v>
      </c>
      <c r="H1629" s="5">
        <v>14.4</v>
      </c>
      <c r="I1629" s="5">
        <v>9707.0400000000009</v>
      </c>
      <c r="J1629" s="3" t="s">
        <v>26</v>
      </c>
      <c r="K1629" s="3" t="s">
        <v>51</v>
      </c>
      <c r="L1629" t="str">
        <f>IFERROR(VLOOKUP(D1629,Products!$A$2:$F$61,3,FALSE()),"")</f>
        <v>Grocery</v>
      </c>
      <c r="M1629" t="str">
        <f>IFERROR(VLOOKUP(E1629,Sales_Reps!$A$2:$C$31,3,FALSE()),"")</f>
        <v>East</v>
      </c>
      <c r="N1629">
        <f>IFERROR(VLOOKUP(D1629,Products!$A$2:$F$61,4,FALSE()),"")</f>
        <v>2436</v>
      </c>
      <c r="O1629" t="str">
        <f>IFERROR(VLOOKUP(C1629,Customers!$A$2:$F$301,5,FALSE()),"")</f>
        <v>Corporate</v>
      </c>
      <c r="P1629">
        <f>IFERROR(VLOOKUP(C1629,Customers!$A$2:$F$301,3,FALSE()),"")</f>
        <v>60</v>
      </c>
      <c r="Q1629">
        <f t="shared" si="75"/>
        <v>0.35555555555555557</v>
      </c>
      <c r="R1629">
        <f>IF(AND(COUNTIF($A$2:$A$2027,A1629)&gt;1,COUNTIF($A$2:A1629,A1629)=1),1,0)</f>
        <v>0</v>
      </c>
      <c r="S1629" t="b">
        <f>IFERROR(VLOOKUP(D1629,Products!$A$2:$F$61,6,FALSE()),"")</f>
        <v>1</v>
      </c>
      <c r="T1629" t="str">
        <f>IF(COUNTIF(Customers!$A$2:$A$301,C1629)=0,"Missing","OK")</f>
        <v>OK</v>
      </c>
      <c r="U1629" t="str">
        <f t="shared" si="76"/>
        <v>Mumbai</v>
      </c>
      <c r="V1629">
        <f t="shared" si="77"/>
        <v>0</v>
      </c>
    </row>
    <row r="1630" spans="1:22" ht="15" customHeight="1" x14ac:dyDescent="0.35">
      <c r="A1630" s="3" t="s">
        <v>2064</v>
      </c>
      <c r="B1630" s="4">
        <v>45421</v>
      </c>
      <c r="C1630" s="3" t="s">
        <v>189</v>
      </c>
      <c r="D1630" s="3" t="s">
        <v>74</v>
      </c>
      <c r="E1630" s="3" t="s">
        <v>87</v>
      </c>
      <c r="F1630" s="5">
        <v>10</v>
      </c>
      <c r="G1630" s="5">
        <v>2640</v>
      </c>
      <c r="H1630" s="5">
        <v>26.8</v>
      </c>
      <c r="I1630" s="5">
        <v>19324.8</v>
      </c>
      <c r="J1630" s="3" t="s">
        <v>32</v>
      </c>
      <c r="K1630" s="3" t="s">
        <v>56</v>
      </c>
      <c r="L1630" t="str">
        <f>IFERROR(VLOOKUP(D1630,Products!$A$2:$F$61,3,FALSE()),"")</f>
        <v>Electronics</v>
      </c>
      <c r="M1630" t="str">
        <f>IFERROR(VLOOKUP(E1630,Sales_Reps!$A$2:$C$31,3,FALSE()),"")</f>
        <v>North</v>
      </c>
      <c r="N1630">
        <f>IFERROR(VLOOKUP(D1630,Products!$A$2:$F$61,4,FALSE()),"")</f>
        <v>1149</v>
      </c>
      <c r="O1630" t="str">
        <f>IFERROR(VLOOKUP(C1630,Customers!$A$2:$F$301,5,FALSE()),"")</f>
        <v>SMB</v>
      </c>
      <c r="P1630">
        <f>IFERROR(VLOOKUP(C1630,Customers!$A$2:$F$301,3,FALSE()),"")</f>
        <v>34</v>
      </c>
      <c r="Q1630">
        <f t="shared" si="75"/>
        <v>0.56477272727272732</v>
      </c>
      <c r="R1630">
        <f>IF(AND(COUNTIF($A$2:$A$2027,A1630)&gt;1,COUNTIF($A$2:A1630,A1630)=1),1,0)</f>
        <v>0</v>
      </c>
      <c r="S1630" t="b">
        <f>IFERROR(VLOOKUP(D1630,Products!$A$2:$F$61,6,FALSE()),"")</f>
        <v>1</v>
      </c>
      <c r="T1630" t="str">
        <f>IF(COUNTIF(Customers!$A$2:$A$301,C1630)=0,"Missing","OK")</f>
        <v>OK</v>
      </c>
      <c r="U1630" t="str">
        <f t="shared" si="76"/>
        <v>Bengaluru</v>
      </c>
      <c r="V1630">
        <f t="shared" si="77"/>
        <v>0</v>
      </c>
    </row>
    <row r="1631" spans="1:22" ht="15" customHeight="1" x14ac:dyDescent="0.35">
      <c r="A1631" s="3" t="s">
        <v>2065</v>
      </c>
      <c r="B1631" s="4">
        <v>45347</v>
      </c>
      <c r="C1631" s="3" t="s">
        <v>839</v>
      </c>
      <c r="D1631" s="3" t="s">
        <v>441</v>
      </c>
      <c r="E1631" s="3" t="s">
        <v>191</v>
      </c>
      <c r="F1631" s="5">
        <v>3</v>
      </c>
      <c r="G1631" s="5">
        <v>1090</v>
      </c>
      <c r="H1631" s="5">
        <v>9.1</v>
      </c>
      <c r="I1631" s="5">
        <v>2972.43</v>
      </c>
      <c r="J1631" s="3" t="s">
        <v>26</v>
      </c>
      <c r="K1631" s="3" t="s">
        <v>56</v>
      </c>
      <c r="L1631" t="str">
        <f>IFERROR(VLOOKUP(D1631,Products!$A$2:$F$61,3,FALSE()),"")</f>
        <v>Home</v>
      </c>
      <c r="M1631" t="str">
        <f>IFERROR(VLOOKUP(E1631,Sales_Reps!$A$2:$C$31,3,FALSE()),"")</f>
        <v>South</v>
      </c>
      <c r="N1631">
        <f>IFERROR(VLOOKUP(D1631,Products!$A$2:$F$61,4,FALSE()),"")</f>
        <v>464</v>
      </c>
      <c r="O1631" t="str">
        <f>IFERROR(VLOOKUP(C1631,Customers!$A$2:$F$301,5,FALSE()),"")</f>
        <v>Retail</v>
      </c>
      <c r="P1631">
        <f>IFERROR(VLOOKUP(C1631,Customers!$A$2:$F$301,3,FALSE()),"")</f>
        <v>35</v>
      </c>
      <c r="Q1631">
        <f t="shared" si="75"/>
        <v>0.57431192660550456</v>
      </c>
      <c r="R1631">
        <f>IF(AND(COUNTIF($A$2:$A$2027,A1631)&gt;1,COUNTIF($A$2:A1631,A1631)=1),1,0)</f>
        <v>0</v>
      </c>
      <c r="S1631" t="b">
        <f>IFERROR(VLOOKUP(D1631,Products!$A$2:$F$61,6,FALSE()),"")</f>
        <v>1</v>
      </c>
      <c r="T1631" t="str">
        <f>IF(COUNTIF(Customers!$A$2:$A$301,C1631)=0,"Missing","OK")</f>
        <v>OK</v>
      </c>
      <c r="U1631" t="str">
        <f t="shared" si="76"/>
        <v>Bengaluru</v>
      </c>
      <c r="V1631">
        <f t="shared" si="77"/>
        <v>0</v>
      </c>
    </row>
    <row r="1632" spans="1:22" ht="15" customHeight="1" x14ac:dyDescent="0.35">
      <c r="A1632" s="3" t="s">
        <v>2066</v>
      </c>
      <c r="B1632" s="4">
        <v>45574</v>
      </c>
      <c r="C1632" s="3" t="s">
        <v>639</v>
      </c>
      <c r="D1632" s="3" t="s">
        <v>391</v>
      </c>
      <c r="E1632" s="3" t="s">
        <v>55</v>
      </c>
      <c r="F1632" s="5">
        <v>3</v>
      </c>
      <c r="G1632" s="5">
        <v>3450</v>
      </c>
      <c r="H1632" s="5">
        <v>23</v>
      </c>
      <c r="I1632" s="5">
        <v>7969.5</v>
      </c>
      <c r="J1632" s="3" t="s">
        <v>32</v>
      </c>
      <c r="K1632" s="3" t="s">
        <v>33</v>
      </c>
      <c r="L1632" t="str">
        <f>IFERROR(VLOOKUP(D1632,Products!$A$2:$F$61,3,FALSE()),"")</f>
        <v>Apparel</v>
      </c>
      <c r="M1632" t="str">
        <f>IFERROR(VLOOKUP(E1632,Sales_Reps!$A$2:$C$31,3,FALSE()),"")</f>
        <v>West</v>
      </c>
      <c r="N1632">
        <f>IFERROR(VLOOKUP(D1632,Products!$A$2:$F$61,4,FALSE()),"")</f>
        <v>1748</v>
      </c>
      <c r="O1632" t="str">
        <f>IFERROR(VLOOKUP(C1632,Customers!$A$2:$F$301,5,FALSE()),"")</f>
        <v>SMB</v>
      </c>
      <c r="P1632">
        <f>IFERROR(VLOOKUP(C1632,Customers!$A$2:$F$301,3,FALSE()),"")</f>
        <v>46</v>
      </c>
      <c r="Q1632">
        <f t="shared" si="75"/>
        <v>0.49333333333333335</v>
      </c>
      <c r="R1632">
        <f>IF(AND(COUNTIF($A$2:$A$2027,A1632)&gt;1,COUNTIF($A$2:A1632,A1632)=1),1,0)</f>
        <v>0</v>
      </c>
      <c r="S1632" t="b">
        <f>IFERROR(VLOOKUP(D1632,Products!$A$2:$F$61,6,FALSE()),"")</f>
        <v>1</v>
      </c>
      <c r="T1632" t="str">
        <f>IF(COUNTIF(Customers!$A$2:$A$301,C1632)=0,"Missing","OK")</f>
        <v>OK</v>
      </c>
      <c r="U1632" t="str">
        <f t="shared" si="76"/>
        <v>Chennai</v>
      </c>
      <c r="V1632">
        <f t="shared" si="77"/>
        <v>0</v>
      </c>
    </row>
    <row r="1633" spans="1:22" ht="15" customHeight="1" x14ac:dyDescent="0.35">
      <c r="A1633" s="3" t="s">
        <v>2067</v>
      </c>
      <c r="B1633" s="4">
        <v>45365</v>
      </c>
      <c r="C1633" s="3" t="s">
        <v>1170</v>
      </c>
      <c r="D1633" s="3" t="s">
        <v>319</v>
      </c>
      <c r="E1633" s="3" t="s">
        <v>127</v>
      </c>
      <c r="F1633" s="5">
        <v>1</v>
      </c>
      <c r="G1633" s="5">
        <v>960</v>
      </c>
      <c r="H1633" s="5">
        <v>1.1000000000000001</v>
      </c>
      <c r="I1633" s="5">
        <v>949.44</v>
      </c>
      <c r="J1633" s="3" t="s">
        <v>26</v>
      </c>
      <c r="K1633" s="3" t="s">
        <v>27</v>
      </c>
      <c r="L1633" t="str">
        <f>IFERROR(VLOOKUP(D1633,Products!$A$2:$F$61,3,FALSE()),"")</f>
        <v>Beauty</v>
      </c>
      <c r="M1633" t="str">
        <f>IFERROR(VLOOKUP(E1633,Sales_Reps!$A$2:$C$31,3,FALSE()),"")</f>
        <v>South</v>
      </c>
      <c r="N1633">
        <f>IFERROR(VLOOKUP(D1633,Products!$A$2:$F$61,4,FALSE()),"")</f>
        <v>675</v>
      </c>
      <c r="O1633" t="str">
        <f>IFERROR(VLOOKUP(C1633,Customers!$A$2:$F$301,5,FALSE()),"")</f>
        <v>Retail</v>
      </c>
      <c r="P1633">
        <f>IFERROR(VLOOKUP(C1633,Customers!$A$2:$F$301,3,FALSE()),"")</f>
        <v>42</v>
      </c>
      <c r="Q1633">
        <f t="shared" si="75"/>
        <v>0.296875</v>
      </c>
      <c r="R1633">
        <f>IF(AND(COUNTIF($A$2:$A$2027,A1633)&gt;1,COUNTIF($A$2:A1633,A1633)=1),1,0)</f>
        <v>0</v>
      </c>
      <c r="S1633" t="b">
        <f>IFERROR(VLOOKUP(D1633,Products!$A$2:$F$61,6,FALSE()),"")</f>
        <v>1</v>
      </c>
      <c r="T1633" t="str">
        <f>IF(COUNTIF(Customers!$A$2:$A$301,C1633)=0,"Missing","OK")</f>
        <v>OK</v>
      </c>
      <c r="U1633" t="str">
        <f t="shared" si="76"/>
        <v>Pune</v>
      </c>
      <c r="V1633">
        <f t="shared" si="77"/>
        <v>0</v>
      </c>
    </row>
    <row r="1634" spans="1:22" ht="15" customHeight="1" x14ac:dyDescent="0.35">
      <c r="A1634" s="3" t="s">
        <v>2068</v>
      </c>
      <c r="B1634" s="4">
        <v>45577</v>
      </c>
      <c r="C1634" s="3" t="s">
        <v>418</v>
      </c>
      <c r="D1634" s="3" t="s">
        <v>41</v>
      </c>
      <c r="E1634" s="3" t="s">
        <v>109</v>
      </c>
      <c r="F1634" s="5">
        <v>9</v>
      </c>
      <c r="G1634" s="5">
        <v>3660</v>
      </c>
      <c r="H1634" s="5">
        <v>9</v>
      </c>
      <c r="I1634" s="5">
        <v>29975.4</v>
      </c>
      <c r="J1634" s="3" t="s">
        <v>26</v>
      </c>
      <c r="K1634" s="3" t="s">
        <v>27</v>
      </c>
      <c r="L1634" t="str">
        <f>IFERROR(VLOOKUP(D1634,Products!$A$2:$F$61,3,FALSE()),"")</f>
        <v>Grocery</v>
      </c>
      <c r="M1634" t="str">
        <f>IFERROR(VLOOKUP(E1634,Sales_Reps!$A$2:$C$31,3,FALSE()),"")</f>
        <v>West</v>
      </c>
      <c r="N1634">
        <f>IFERROR(VLOOKUP(D1634,Products!$A$2:$F$61,4,FALSE()),"")</f>
        <v>2214</v>
      </c>
      <c r="O1634" t="str">
        <f>IFERROR(VLOOKUP(C1634,Customers!$A$2:$F$301,5,FALSE()),"")</f>
        <v>SMB</v>
      </c>
      <c r="P1634">
        <f>IFERROR(VLOOKUP(C1634,Customers!$A$2:$F$301,3,FALSE()),"")</f>
        <v>49</v>
      </c>
      <c r="Q1634">
        <f t="shared" si="75"/>
        <v>0.39508196721311473</v>
      </c>
      <c r="R1634">
        <f>IF(AND(COUNTIF($A$2:$A$2027,A1634)&gt;1,COUNTIF($A$2:A1634,A1634)=1),1,0)</f>
        <v>0</v>
      </c>
      <c r="S1634" t="b">
        <f>IFERROR(VLOOKUP(D1634,Products!$A$2:$F$61,6,FALSE()),"")</f>
        <v>0</v>
      </c>
      <c r="T1634" t="str">
        <f>IF(COUNTIF(Customers!$A$2:$A$301,C1634)=0,"Missing","OK")</f>
        <v>OK</v>
      </c>
      <c r="U1634" t="str">
        <f t="shared" si="76"/>
        <v>Pune</v>
      </c>
      <c r="V1634">
        <f t="shared" si="77"/>
        <v>0</v>
      </c>
    </row>
    <row r="1635" spans="1:22" ht="15" customHeight="1" x14ac:dyDescent="0.35">
      <c r="A1635" s="3" t="s">
        <v>2069</v>
      </c>
      <c r="B1635" s="4">
        <v>45420</v>
      </c>
      <c r="C1635" s="3" t="s">
        <v>577</v>
      </c>
      <c r="D1635" s="3" t="s">
        <v>165</v>
      </c>
      <c r="E1635" s="3" t="s">
        <v>46</v>
      </c>
      <c r="F1635" s="5">
        <v>3</v>
      </c>
      <c r="G1635" s="5">
        <v>3730</v>
      </c>
      <c r="H1635" s="5">
        <v>15.8</v>
      </c>
      <c r="I1635" s="5">
        <v>9421.98</v>
      </c>
      <c r="J1635" s="3" t="s">
        <v>26</v>
      </c>
      <c r="K1635" s="3" t="s">
        <v>38</v>
      </c>
      <c r="L1635" t="str">
        <f>IFERROR(VLOOKUP(D1635,Products!$A$2:$F$61,3,FALSE()),"")</f>
        <v>Home</v>
      </c>
      <c r="M1635" t="str">
        <f>IFERROR(VLOOKUP(E1635,Sales_Reps!$A$2:$C$31,3,FALSE()),"")</f>
        <v>North</v>
      </c>
      <c r="N1635">
        <f>IFERROR(VLOOKUP(D1635,Products!$A$2:$F$61,4,FALSE()),"")</f>
        <v>2135</v>
      </c>
      <c r="O1635" t="str">
        <f>IFERROR(VLOOKUP(C1635,Customers!$A$2:$F$301,5,FALSE()),"")</f>
        <v>Retail</v>
      </c>
      <c r="P1635">
        <f>IFERROR(VLOOKUP(C1635,Customers!$A$2:$F$301,3,FALSE()),"")</f>
        <v>43</v>
      </c>
      <c r="Q1635">
        <f t="shared" si="75"/>
        <v>0.42761394101876676</v>
      </c>
      <c r="R1635">
        <f>IF(AND(COUNTIF($A$2:$A$2027,A1635)&gt;1,COUNTIF($A$2:A1635,A1635)=1),1,0)</f>
        <v>0</v>
      </c>
      <c r="S1635" t="b">
        <f>IFERROR(VLOOKUP(D1635,Products!$A$2:$F$61,6,FALSE()),"")</f>
        <v>1</v>
      </c>
      <c r="T1635" t="str">
        <f>IF(COUNTIF(Customers!$A$2:$A$301,C1635)=0,"Missing","OK")</f>
        <v>OK</v>
      </c>
      <c r="U1635" t="str">
        <f t="shared" si="76"/>
        <v>Delhi</v>
      </c>
      <c r="V1635">
        <f t="shared" si="77"/>
        <v>0</v>
      </c>
    </row>
    <row r="1636" spans="1:22" ht="15" customHeight="1" x14ac:dyDescent="0.35">
      <c r="A1636" s="3" t="s">
        <v>2070</v>
      </c>
      <c r="B1636" s="4">
        <v>45347</v>
      </c>
      <c r="C1636" s="3" t="s">
        <v>490</v>
      </c>
      <c r="D1636" s="3" t="s">
        <v>203</v>
      </c>
      <c r="E1636" s="3" t="s">
        <v>78</v>
      </c>
      <c r="F1636" s="5">
        <v>6</v>
      </c>
      <c r="G1636" s="5">
        <v>4070</v>
      </c>
      <c r="H1636" s="5">
        <v>6.2</v>
      </c>
      <c r="I1636" s="5">
        <v>22905.96</v>
      </c>
      <c r="J1636" s="3" t="s">
        <v>26</v>
      </c>
      <c r="K1636" s="3" t="s">
        <v>51</v>
      </c>
      <c r="L1636" t="str">
        <f>IFERROR(VLOOKUP(D1636,Products!$A$2:$F$61,3,FALSE()),"")</f>
        <v>Grocery</v>
      </c>
      <c r="M1636" t="str">
        <f>IFERROR(VLOOKUP(E1636,Sales_Reps!$A$2:$C$31,3,FALSE()),"")</f>
        <v>North</v>
      </c>
      <c r="N1636">
        <f>IFERROR(VLOOKUP(D1636,Products!$A$2:$F$61,4,FALSE()),"")</f>
        <v>2027</v>
      </c>
      <c r="O1636" t="str">
        <f>IFERROR(VLOOKUP(C1636,Customers!$A$2:$F$301,5,FALSE()),"")</f>
        <v>Corporate</v>
      </c>
      <c r="P1636">
        <f>IFERROR(VLOOKUP(C1636,Customers!$A$2:$F$301,3,FALSE()),"")</f>
        <v>60</v>
      </c>
      <c r="Q1636">
        <f t="shared" si="75"/>
        <v>0.50196560196560192</v>
      </c>
      <c r="R1636">
        <f>IF(AND(COUNTIF($A$2:$A$2027,A1636)&gt;1,COUNTIF($A$2:A1636,A1636)=1),1,0)</f>
        <v>0</v>
      </c>
      <c r="S1636" t="b">
        <f>IFERROR(VLOOKUP(D1636,Products!$A$2:$F$61,6,FALSE()),"")</f>
        <v>1</v>
      </c>
      <c r="T1636" t="str">
        <f>IF(COUNTIF(Customers!$A$2:$A$301,C1636)=0,"Missing","OK")</f>
        <v>OK</v>
      </c>
      <c r="U1636" t="str">
        <f t="shared" si="76"/>
        <v>Mumbai</v>
      </c>
      <c r="V1636">
        <f t="shared" si="77"/>
        <v>0</v>
      </c>
    </row>
    <row r="1637" spans="1:22" ht="15" customHeight="1" x14ac:dyDescent="0.35">
      <c r="A1637" s="3" t="s">
        <v>2071</v>
      </c>
      <c r="B1637" s="4">
        <v>45329</v>
      </c>
      <c r="C1637" s="3" t="s">
        <v>556</v>
      </c>
      <c r="D1637" s="3" t="s">
        <v>218</v>
      </c>
      <c r="E1637" s="3" t="s">
        <v>224</v>
      </c>
      <c r="F1637" s="5">
        <v>1</v>
      </c>
      <c r="G1637" s="5">
        <v>2660</v>
      </c>
      <c r="H1637" s="5">
        <v>14.6</v>
      </c>
      <c r="I1637" s="5">
        <v>2271.64</v>
      </c>
      <c r="J1637" s="3" t="s">
        <v>26</v>
      </c>
      <c r="K1637" s="3" t="s">
        <v>51</v>
      </c>
      <c r="L1637" t="str">
        <f>IFERROR(VLOOKUP(D1637,Products!$A$2:$F$61,3,FALSE()),"")</f>
        <v>Electronics</v>
      </c>
      <c r="M1637" t="str">
        <f>IFERROR(VLOOKUP(E1637,Sales_Reps!$A$2:$C$31,3,FALSE()),"")</f>
        <v>East</v>
      </c>
      <c r="N1637">
        <f>IFERROR(VLOOKUP(D1637,Products!$A$2:$F$61,4,FALSE()),"")</f>
        <v>1259</v>
      </c>
      <c r="O1637" t="str">
        <f>IFERROR(VLOOKUP(C1637,Customers!$A$2:$F$301,5,FALSE()),"")</f>
        <v>SMB</v>
      </c>
      <c r="P1637">
        <f>IFERROR(VLOOKUP(C1637,Customers!$A$2:$F$301,3,FALSE()),"")</f>
        <v>65</v>
      </c>
      <c r="Q1637">
        <f t="shared" si="75"/>
        <v>0.52669172932330832</v>
      </c>
      <c r="R1637">
        <f>IF(AND(COUNTIF($A$2:$A$2027,A1637)&gt;1,COUNTIF($A$2:A1637,A1637)=1),1,0)</f>
        <v>0</v>
      </c>
      <c r="S1637" t="b">
        <f>IFERROR(VLOOKUP(D1637,Products!$A$2:$F$61,6,FALSE()),"")</f>
        <v>0</v>
      </c>
      <c r="T1637" t="str">
        <f>IF(COUNTIF(Customers!$A$2:$A$301,C1637)=0,"Missing","OK")</f>
        <v>OK</v>
      </c>
      <c r="U1637" t="str">
        <f t="shared" si="76"/>
        <v>Mumbai</v>
      </c>
      <c r="V1637">
        <f t="shared" si="77"/>
        <v>0</v>
      </c>
    </row>
    <row r="1638" spans="1:22" ht="15" customHeight="1" x14ac:dyDescent="0.35">
      <c r="A1638" s="3" t="s">
        <v>2072</v>
      </c>
      <c r="B1638" s="4">
        <v>45378</v>
      </c>
      <c r="C1638" s="3" t="s">
        <v>89</v>
      </c>
      <c r="D1638" s="3" t="s">
        <v>234</v>
      </c>
      <c r="E1638" s="3" t="s">
        <v>87</v>
      </c>
      <c r="F1638" s="5">
        <v>3</v>
      </c>
      <c r="G1638" s="5">
        <v>2030</v>
      </c>
      <c r="H1638" s="5">
        <v>13.3</v>
      </c>
      <c r="I1638" s="5">
        <v>5280.03</v>
      </c>
      <c r="J1638" s="3" t="s">
        <v>79</v>
      </c>
      <c r="K1638" s="3" t="s">
        <v>27</v>
      </c>
      <c r="L1638" t="str">
        <f>IFERROR(VLOOKUP(D1638,Products!$A$2:$F$61,3,FALSE()),"")</f>
        <v>Home</v>
      </c>
      <c r="M1638" t="str">
        <f>IFERROR(VLOOKUP(E1638,Sales_Reps!$A$2:$C$31,3,FALSE()),"")</f>
        <v>North</v>
      </c>
      <c r="N1638">
        <f>IFERROR(VLOOKUP(D1638,Products!$A$2:$F$61,4,FALSE()),"")</f>
        <v>1143</v>
      </c>
      <c r="O1638" t="str">
        <f>IFERROR(VLOOKUP(C1638,Customers!$A$2:$F$301,5,FALSE()),"")</f>
        <v>Retail</v>
      </c>
      <c r="P1638">
        <f>IFERROR(VLOOKUP(C1638,Customers!$A$2:$F$301,3,FALSE()),"")</f>
        <v>63</v>
      </c>
      <c r="Q1638">
        <f t="shared" si="75"/>
        <v>0.43694581280788175</v>
      </c>
      <c r="R1638">
        <f>IF(AND(COUNTIF($A$2:$A$2027,A1638)&gt;1,COUNTIF($A$2:A1638,A1638)=1),1,0)</f>
        <v>0</v>
      </c>
      <c r="S1638" t="b">
        <f>IFERROR(VLOOKUP(D1638,Products!$A$2:$F$61,6,FALSE()),"")</f>
        <v>1</v>
      </c>
      <c r="T1638" t="str">
        <f>IF(COUNTIF(Customers!$A$2:$A$301,C1638)=0,"Missing","OK")</f>
        <v>OK</v>
      </c>
      <c r="U1638" t="str">
        <f t="shared" si="76"/>
        <v>Pune</v>
      </c>
      <c r="V1638">
        <f t="shared" si="77"/>
        <v>0</v>
      </c>
    </row>
    <row r="1639" spans="1:22" ht="15" customHeight="1" x14ac:dyDescent="0.35">
      <c r="A1639" s="3" t="s">
        <v>2073</v>
      </c>
      <c r="B1639" s="4">
        <v>45393</v>
      </c>
      <c r="C1639" s="3" t="s">
        <v>267</v>
      </c>
      <c r="D1639" s="3" t="s">
        <v>41</v>
      </c>
      <c r="E1639" s="3" t="s">
        <v>154</v>
      </c>
      <c r="F1639" s="5">
        <v>4</v>
      </c>
      <c r="G1639" s="5">
        <v>3660</v>
      </c>
      <c r="H1639" s="5">
        <v>2.2000000000000002</v>
      </c>
      <c r="I1639" s="5">
        <v>14317.92</v>
      </c>
      <c r="J1639" s="3" t="s">
        <v>26</v>
      </c>
      <c r="K1639" s="3" t="s">
        <v>33</v>
      </c>
      <c r="L1639" t="str">
        <f>IFERROR(VLOOKUP(D1639,Products!$A$2:$F$61,3,FALSE()),"")</f>
        <v>Grocery</v>
      </c>
      <c r="M1639" t="str">
        <f>IFERROR(VLOOKUP(E1639,Sales_Reps!$A$2:$C$31,3,FALSE()),"")</f>
        <v>North</v>
      </c>
      <c r="N1639">
        <f>IFERROR(VLOOKUP(D1639,Products!$A$2:$F$61,4,FALSE()),"")</f>
        <v>2214</v>
      </c>
      <c r="O1639" t="str">
        <f>IFERROR(VLOOKUP(C1639,Customers!$A$2:$F$301,5,FALSE()),"")</f>
        <v>Retail</v>
      </c>
      <c r="P1639">
        <f>IFERROR(VLOOKUP(C1639,Customers!$A$2:$F$301,3,FALSE()),"")</f>
        <v>28</v>
      </c>
      <c r="Q1639">
        <f t="shared" si="75"/>
        <v>0.39508196721311473</v>
      </c>
      <c r="R1639">
        <f>IF(AND(COUNTIF($A$2:$A$2027,A1639)&gt;1,COUNTIF($A$2:A1639,A1639)=1),1,0)</f>
        <v>0</v>
      </c>
      <c r="S1639" t="b">
        <f>IFERROR(VLOOKUP(D1639,Products!$A$2:$F$61,6,FALSE()),"")</f>
        <v>0</v>
      </c>
      <c r="T1639" t="str">
        <f>IF(COUNTIF(Customers!$A$2:$A$301,C1639)=0,"Missing","OK")</f>
        <v>OK</v>
      </c>
      <c r="U1639" t="str">
        <f t="shared" si="76"/>
        <v>Chennai</v>
      </c>
      <c r="V1639">
        <f t="shared" si="77"/>
        <v>0</v>
      </c>
    </row>
    <row r="1640" spans="1:22" ht="15" customHeight="1" x14ac:dyDescent="0.35">
      <c r="A1640" s="3" t="s">
        <v>2074</v>
      </c>
      <c r="B1640" s="4">
        <v>45364</v>
      </c>
      <c r="C1640" s="3" t="s">
        <v>153</v>
      </c>
      <c r="D1640" s="3" t="s">
        <v>218</v>
      </c>
      <c r="E1640" s="3" t="s">
        <v>42</v>
      </c>
      <c r="F1640" s="5">
        <v>2</v>
      </c>
      <c r="G1640" s="5">
        <v>2660</v>
      </c>
      <c r="H1640" s="5">
        <v>7.2</v>
      </c>
      <c r="I1640" s="5">
        <v>4936.96</v>
      </c>
      <c r="J1640" s="3" t="s">
        <v>79</v>
      </c>
      <c r="K1640" s="3" t="s">
        <v>56</v>
      </c>
      <c r="L1640" t="str">
        <f>IFERROR(VLOOKUP(D1640,Products!$A$2:$F$61,3,FALSE()),"")</f>
        <v>Electronics</v>
      </c>
      <c r="M1640" t="str">
        <f>IFERROR(VLOOKUP(E1640,Sales_Reps!$A$2:$C$31,3,FALSE()),"")</f>
        <v>North</v>
      </c>
      <c r="N1640">
        <f>IFERROR(VLOOKUP(D1640,Products!$A$2:$F$61,4,FALSE()),"")</f>
        <v>1259</v>
      </c>
      <c r="O1640" t="str">
        <f>IFERROR(VLOOKUP(C1640,Customers!$A$2:$F$301,5,FALSE()),"")</f>
        <v>Retail</v>
      </c>
      <c r="P1640">
        <f>IFERROR(VLOOKUP(C1640,Customers!$A$2:$F$301,3,FALSE()),"")</f>
        <v>42</v>
      </c>
      <c r="Q1640">
        <f t="shared" si="75"/>
        <v>0.52669172932330832</v>
      </c>
      <c r="R1640">
        <f>IF(AND(COUNTIF($A$2:$A$2027,A1640)&gt;1,COUNTIF($A$2:A1640,A1640)=1),1,0)</f>
        <v>0</v>
      </c>
      <c r="S1640" t="b">
        <f>IFERROR(VLOOKUP(D1640,Products!$A$2:$F$61,6,FALSE()),"")</f>
        <v>0</v>
      </c>
      <c r="T1640" t="str">
        <f>IF(COUNTIF(Customers!$A$2:$A$301,C1640)=0,"Missing","OK")</f>
        <v>OK</v>
      </c>
      <c r="U1640" t="str">
        <f t="shared" si="76"/>
        <v>Bengaluru</v>
      </c>
      <c r="V1640">
        <f t="shared" si="77"/>
        <v>0</v>
      </c>
    </row>
    <row r="1641" spans="1:22" ht="15" customHeight="1" x14ac:dyDescent="0.35">
      <c r="A1641" s="3" t="s">
        <v>2075</v>
      </c>
      <c r="B1641" s="4">
        <v>45624</v>
      </c>
      <c r="C1641" s="3" t="s">
        <v>476</v>
      </c>
      <c r="D1641" s="3" t="s">
        <v>123</v>
      </c>
      <c r="E1641" s="3" t="s">
        <v>191</v>
      </c>
      <c r="F1641" s="5">
        <v>2</v>
      </c>
      <c r="G1641" s="5">
        <v>4880</v>
      </c>
      <c r="H1641" s="5">
        <v>23.8</v>
      </c>
      <c r="I1641" s="5">
        <v>7437.12</v>
      </c>
      <c r="J1641" s="3" t="s">
        <v>26</v>
      </c>
      <c r="K1641" s="3" t="s">
        <v>72</v>
      </c>
      <c r="L1641" t="str">
        <f>IFERROR(VLOOKUP(D1641,Products!$A$2:$F$61,3,FALSE()),"")</f>
        <v>Beauty</v>
      </c>
      <c r="M1641" t="str">
        <f>IFERROR(VLOOKUP(E1641,Sales_Reps!$A$2:$C$31,3,FALSE()),"")</f>
        <v>South</v>
      </c>
      <c r="N1641">
        <f>IFERROR(VLOOKUP(D1641,Products!$A$2:$F$61,4,FALSE()),"")</f>
        <v>2768</v>
      </c>
      <c r="O1641" t="str">
        <f>IFERROR(VLOOKUP(C1641,Customers!$A$2:$F$301,5,FALSE()),"")</f>
        <v>SMB</v>
      </c>
      <c r="P1641">
        <f>IFERROR(VLOOKUP(C1641,Customers!$A$2:$F$301,3,FALSE()),"")</f>
        <v>48</v>
      </c>
      <c r="Q1641">
        <f t="shared" si="75"/>
        <v>0.43278688524590164</v>
      </c>
      <c r="R1641">
        <f>IF(AND(COUNTIF($A$2:$A$2027,A1641)&gt;1,COUNTIF($A$2:A1641,A1641)=1),1,0)</f>
        <v>0</v>
      </c>
      <c r="S1641" t="b">
        <f>IFERROR(VLOOKUP(D1641,Products!$A$2:$F$61,6,FALSE()),"")</f>
        <v>1</v>
      </c>
      <c r="T1641" t="str">
        <f>IF(COUNTIF(Customers!$A$2:$A$301,C1641)=0,"Missing","OK")</f>
        <v>OK</v>
      </c>
      <c r="U1641" t="str">
        <f t="shared" si="76"/>
        <v>Hyderabad</v>
      </c>
      <c r="V1641">
        <f t="shared" si="77"/>
        <v>0</v>
      </c>
    </row>
    <row r="1642" spans="1:22" ht="15" customHeight="1" x14ac:dyDescent="0.35">
      <c r="A1642" s="3" t="s">
        <v>2076</v>
      </c>
      <c r="B1642" s="4">
        <v>45411</v>
      </c>
      <c r="C1642" s="3" t="s">
        <v>755</v>
      </c>
      <c r="D1642" s="3" t="s">
        <v>391</v>
      </c>
      <c r="E1642" s="3" t="s">
        <v>212</v>
      </c>
      <c r="F1642" s="5">
        <v>1</v>
      </c>
      <c r="G1642" s="5">
        <v>3450</v>
      </c>
      <c r="H1642" s="5">
        <v>1.7</v>
      </c>
      <c r="I1642" s="5">
        <v>3391.35</v>
      </c>
      <c r="J1642" s="3" t="s">
        <v>26</v>
      </c>
      <c r="K1642" s="3" t="s">
        <v>27</v>
      </c>
      <c r="L1642" t="str">
        <f>IFERROR(VLOOKUP(D1642,Products!$A$2:$F$61,3,FALSE()),"")</f>
        <v>Apparel</v>
      </c>
      <c r="M1642" t="str">
        <f>IFERROR(VLOOKUP(E1642,Sales_Reps!$A$2:$C$31,3,FALSE()),"")</f>
        <v>South</v>
      </c>
      <c r="N1642">
        <f>IFERROR(VLOOKUP(D1642,Products!$A$2:$F$61,4,FALSE()),"")</f>
        <v>1748</v>
      </c>
      <c r="O1642" t="str">
        <f>IFERROR(VLOOKUP(C1642,Customers!$A$2:$F$301,5,FALSE()),"")</f>
        <v>Retail</v>
      </c>
      <c r="P1642">
        <f>IFERROR(VLOOKUP(C1642,Customers!$A$2:$F$301,3,FALSE()),"")</f>
        <v>36</v>
      </c>
      <c r="Q1642">
        <f t="shared" si="75"/>
        <v>0.49333333333333335</v>
      </c>
      <c r="R1642">
        <f>IF(AND(COUNTIF($A$2:$A$2027,A1642)&gt;1,COUNTIF($A$2:A1642,A1642)=1),1,0)</f>
        <v>0</v>
      </c>
      <c r="S1642" t="b">
        <f>IFERROR(VLOOKUP(D1642,Products!$A$2:$F$61,6,FALSE()),"")</f>
        <v>1</v>
      </c>
      <c r="T1642" t="str">
        <f>IF(COUNTIF(Customers!$A$2:$A$301,C1642)=0,"Missing","OK")</f>
        <v>OK</v>
      </c>
      <c r="U1642" t="str">
        <f t="shared" si="76"/>
        <v>Pune</v>
      </c>
      <c r="V1642">
        <f t="shared" si="77"/>
        <v>0</v>
      </c>
    </row>
    <row r="1643" spans="1:22" ht="15" customHeight="1" x14ac:dyDescent="0.35">
      <c r="A1643" s="3" t="s">
        <v>2077</v>
      </c>
      <c r="B1643" s="4">
        <v>45550</v>
      </c>
      <c r="C1643" s="3" t="s">
        <v>329</v>
      </c>
      <c r="D1643" s="3" t="s">
        <v>215</v>
      </c>
      <c r="E1643" s="3" t="s">
        <v>93</v>
      </c>
      <c r="F1643" s="5">
        <v>4</v>
      </c>
      <c r="G1643" s="5">
        <v>3020</v>
      </c>
      <c r="H1643" s="5">
        <v>17.8</v>
      </c>
      <c r="I1643" s="5">
        <v>9929.76</v>
      </c>
      <c r="J1643" s="3" t="s">
        <v>26</v>
      </c>
      <c r="K1643" s="3" t="s">
        <v>27</v>
      </c>
      <c r="L1643" t="str">
        <f>IFERROR(VLOOKUP(D1643,Products!$A$2:$F$61,3,FALSE()),"")</f>
        <v>Beauty</v>
      </c>
      <c r="M1643" t="str">
        <f>IFERROR(VLOOKUP(E1643,Sales_Reps!$A$2:$C$31,3,FALSE()),"")</f>
        <v>East</v>
      </c>
      <c r="N1643">
        <f>IFERROR(VLOOKUP(D1643,Products!$A$2:$F$61,4,FALSE()),"")</f>
        <v>1626</v>
      </c>
      <c r="O1643" t="str">
        <f>IFERROR(VLOOKUP(C1643,Customers!$A$2:$F$301,5,FALSE()),"")</f>
        <v>SMB</v>
      </c>
      <c r="P1643">
        <f>IFERROR(VLOOKUP(C1643,Customers!$A$2:$F$301,3,FALSE()),"")</f>
        <v>54</v>
      </c>
      <c r="Q1643">
        <f t="shared" si="75"/>
        <v>0.46158940397350995</v>
      </c>
      <c r="R1643">
        <f>IF(AND(COUNTIF($A$2:$A$2027,A1643)&gt;1,COUNTIF($A$2:A1643,A1643)=1),1,0)</f>
        <v>0</v>
      </c>
      <c r="S1643" t="b">
        <f>IFERROR(VLOOKUP(D1643,Products!$A$2:$F$61,6,FALSE()),"")</f>
        <v>1</v>
      </c>
      <c r="T1643" t="str">
        <f>IF(COUNTIF(Customers!$A$2:$A$301,C1643)=0,"Missing","OK")</f>
        <v>OK</v>
      </c>
      <c r="U1643" t="str">
        <f t="shared" si="76"/>
        <v>Pune</v>
      </c>
      <c r="V1643">
        <f t="shared" si="77"/>
        <v>0</v>
      </c>
    </row>
    <row r="1644" spans="1:22" ht="15" customHeight="1" x14ac:dyDescent="0.35">
      <c r="A1644" s="3" t="s">
        <v>2078</v>
      </c>
      <c r="B1644" s="4">
        <v>45512</v>
      </c>
      <c r="C1644" s="3" t="s">
        <v>907</v>
      </c>
      <c r="D1644" s="3" t="s">
        <v>454</v>
      </c>
      <c r="E1644" s="3" t="s">
        <v>97</v>
      </c>
      <c r="F1644" s="5">
        <v>6</v>
      </c>
      <c r="G1644" s="5">
        <v>6940</v>
      </c>
      <c r="H1644" s="5">
        <v>8.9</v>
      </c>
      <c r="I1644" s="5">
        <v>37934.04</v>
      </c>
      <c r="J1644" s="3" t="s">
        <v>26</v>
      </c>
      <c r="K1644" s="3" t="s">
        <v>38</v>
      </c>
      <c r="L1644" t="str">
        <f>IFERROR(VLOOKUP(D1644,Products!$A$2:$F$61,3,FALSE()),"")</f>
        <v>Sports</v>
      </c>
      <c r="M1644" t="str">
        <f>IFERROR(VLOOKUP(E1644,Sales_Reps!$A$2:$C$31,3,FALSE()),"")</f>
        <v>East</v>
      </c>
      <c r="N1644">
        <f>IFERROR(VLOOKUP(D1644,Products!$A$2:$F$61,4,FALSE()),"")</f>
        <v>2827</v>
      </c>
      <c r="O1644" t="str">
        <f>IFERROR(VLOOKUP(C1644,Customers!$A$2:$F$301,5,FALSE()),"")</f>
        <v>Retail</v>
      </c>
      <c r="P1644">
        <f>IFERROR(VLOOKUP(C1644,Customers!$A$2:$F$301,3,FALSE()),"")</f>
        <v>47</v>
      </c>
      <c r="Q1644">
        <f t="shared" si="75"/>
        <v>0.5926512968299712</v>
      </c>
      <c r="R1644">
        <f>IF(AND(COUNTIF($A$2:$A$2027,A1644)&gt;1,COUNTIF($A$2:A1644,A1644)=1),1,0)</f>
        <v>0</v>
      </c>
      <c r="S1644" t="b">
        <f>IFERROR(VLOOKUP(D1644,Products!$A$2:$F$61,6,FALSE()),"")</f>
        <v>1</v>
      </c>
      <c r="T1644" t="str">
        <f>IF(COUNTIF(Customers!$A$2:$A$301,C1644)=0,"Missing","OK")</f>
        <v>OK</v>
      </c>
      <c r="U1644" t="str">
        <f t="shared" si="76"/>
        <v>Delhi</v>
      </c>
      <c r="V1644">
        <f t="shared" si="77"/>
        <v>0</v>
      </c>
    </row>
    <row r="1645" spans="1:22" ht="15" customHeight="1" x14ac:dyDescent="0.35">
      <c r="A1645" s="3" t="s">
        <v>2079</v>
      </c>
      <c r="B1645" s="4">
        <v>45523</v>
      </c>
      <c r="C1645" s="3" t="s">
        <v>361</v>
      </c>
      <c r="D1645" s="3" t="s">
        <v>139</v>
      </c>
      <c r="E1645" s="3" t="s">
        <v>93</v>
      </c>
      <c r="F1645" s="5">
        <v>10</v>
      </c>
      <c r="G1645" s="5">
        <v>2760</v>
      </c>
      <c r="H1645" s="5">
        <v>8.9</v>
      </c>
      <c r="I1645" s="5">
        <v>25143.599999999999</v>
      </c>
      <c r="J1645" s="3" t="s">
        <v>26</v>
      </c>
      <c r="K1645" s="3" t="s">
        <v>33</v>
      </c>
      <c r="L1645" t="str">
        <f>IFERROR(VLOOKUP(D1645,Products!$A$2:$F$61,3,FALSE()),"")</f>
        <v>Grocery</v>
      </c>
      <c r="M1645" t="str">
        <f>IFERROR(VLOOKUP(E1645,Sales_Reps!$A$2:$C$31,3,FALSE()),"")</f>
        <v>East</v>
      </c>
      <c r="N1645">
        <f>IFERROR(VLOOKUP(D1645,Products!$A$2:$F$61,4,FALSE()),"")</f>
        <v>1435</v>
      </c>
      <c r="O1645" t="str">
        <f>IFERROR(VLOOKUP(C1645,Customers!$A$2:$F$301,5,FALSE()),"")</f>
        <v>SMB</v>
      </c>
      <c r="P1645">
        <f>IFERROR(VLOOKUP(C1645,Customers!$A$2:$F$301,3,FALSE()),"")</f>
        <v>64</v>
      </c>
      <c r="Q1645">
        <f t="shared" si="75"/>
        <v>0.48007246376811596</v>
      </c>
      <c r="R1645">
        <f>IF(AND(COUNTIF($A$2:$A$2027,A1645)&gt;1,COUNTIF($A$2:A1645,A1645)=1),1,0)</f>
        <v>0</v>
      </c>
      <c r="S1645" t="b">
        <f>IFERROR(VLOOKUP(D1645,Products!$A$2:$F$61,6,FALSE()),"")</f>
        <v>1</v>
      </c>
      <c r="T1645" t="str">
        <f>IF(COUNTIF(Customers!$A$2:$A$301,C1645)=0,"Missing","OK")</f>
        <v>OK</v>
      </c>
      <c r="U1645" t="str">
        <f t="shared" si="76"/>
        <v>Chennai</v>
      </c>
      <c r="V1645">
        <f t="shared" si="77"/>
        <v>0</v>
      </c>
    </row>
    <row r="1646" spans="1:22" ht="15" customHeight="1" x14ac:dyDescent="0.35">
      <c r="A1646" s="3" t="s">
        <v>2080</v>
      </c>
      <c r="B1646" s="4">
        <v>45310</v>
      </c>
      <c r="C1646" s="3" t="s">
        <v>366</v>
      </c>
      <c r="D1646" s="3" t="s">
        <v>319</v>
      </c>
      <c r="E1646" s="3" t="s">
        <v>131</v>
      </c>
      <c r="F1646" s="5">
        <v>8</v>
      </c>
      <c r="G1646" s="5">
        <v>960</v>
      </c>
      <c r="H1646" s="5">
        <v>20.9</v>
      </c>
      <c r="I1646" s="5">
        <v>6074.88</v>
      </c>
      <c r="J1646" s="3" t="s">
        <v>26</v>
      </c>
      <c r="K1646" s="3" t="s">
        <v>27</v>
      </c>
      <c r="L1646" t="str">
        <f>IFERROR(VLOOKUP(D1646,Products!$A$2:$F$61,3,FALSE()),"")</f>
        <v>Beauty</v>
      </c>
      <c r="M1646" t="str">
        <f>IFERROR(VLOOKUP(E1646,Sales_Reps!$A$2:$C$31,3,FALSE()),"")</f>
        <v>East</v>
      </c>
      <c r="N1646">
        <f>IFERROR(VLOOKUP(D1646,Products!$A$2:$F$61,4,FALSE()),"")</f>
        <v>675</v>
      </c>
      <c r="O1646" t="str">
        <f>IFERROR(VLOOKUP(C1646,Customers!$A$2:$F$301,5,FALSE()),"")</f>
        <v>Corporate</v>
      </c>
      <c r="P1646">
        <f>IFERROR(VLOOKUP(C1646,Customers!$A$2:$F$301,3,FALSE()),"")</f>
        <v>48</v>
      </c>
      <c r="Q1646">
        <f t="shared" si="75"/>
        <v>0.296875</v>
      </c>
      <c r="R1646">
        <f>IF(AND(COUNTIF($A$2:$A$2027,A1646)&gt;1,COUNTIF($A$2:A1646,A1646)=1),1,0)</f>
        <v>0</v>
      </c>
      <c r="S1646" t="b">
        <f>IFERROR(VLOOKUP(D1646,Products!$A$2:$F$61,6,FALSE()),"")</f>
        <v>1</v>
      </c>
      <c r="T1646" t="str">
        <f>IF(COUNTIF(Customers!$A$2:$A$301,C1646)=0,"Missing","OK")</f>
        <v>OK</v>
      </c>
      <c r="U1646" t="str">
        <f t="shared" si="76"/>
        <v>Pune</v>
      </c>
      <c r="V1646">
        <f t="shared" si="77"/>
        <v>0</v>
      </c>
    </row>
    <row r="1647" spans="1:22" ht="15" customHeight="1" x14ac:dyDescent="0.35">
      <c r="A1647" s="3" t="s">
        <v>2081</v>
      </c>
      <c r="B1647" s="4">
        <v>45498</v>
      </c>
      <c r="C1647" s="3" t="s">
        <v>774</v>
      </c>
      <c r="D1647" s="3" t="s">
        <v>319</v>
      </c>
      <c r="E1647" s="3" t="s">
        <v>264</v>
      </c>
      <c r="F1647" s="5">
        <v>4</v>
      </c>
      <c r="G1647" s="5">
        <v>960</v>
      </c>
      <c r="H1647" s="5">
        <v>29.1</v>
      </c>
      <c r="I1647" s="5">
        <v>2722.56</v>
      </c>
      <c r="J1647" s="3" t="s">
        <v>26</v>
      </c>
      <c r="K1647" s="3" t="s">
        <v>56</v>
      </c>
      <c r="L1647" t="str">
        <f>IFERROR(VLOOKUP(D1647,Products!$A$2:$F$61,3,FALSE()),"")</f>
        <v>Beauty</v>
      </c>
      <c r="M1647" t="str">
        <f>IFERROR(VLOOKUP(E1647,Sales_Reps!$A$2:$C$31,3,FALSE()),"")</f>
        <v>South</v>
      </c>
      <c r="N1647">
        <f>IFERROR(VLOOKUP(D1647,Products!$A$2:$F$61,4,FALSE()),"")</f>
        <v>675</v>
      </c>
      <c r="O1647" t="str">
        <f>IFERROR(VLOOKUP(C1647,Customers!$A$2:$F$301,5,FALSE()),"")</f>
        <v>Retail</v>
      </c>
      <c r="P1647">
        <f>IFERROR(VLOOKUP(C1647,Customers!$A$2:$F$301,3,FALSE()),"")</f>
        <v>52</v>
      </c>
      <c r="Q1647">
        <f t="shared" si="75"/>
        <v>0.296875</v>
      </c>
      <c r="R1647">
        <f>IF(AND(COUNTIF($A$2:$A$2027,A1647)&gt;1,COUNTIF($A$2:A1647,A1647)=1),1,0)</f>
        <v>0</v>
      </c>
      <c r="S1647" t="b">
        <f>IFERROR(VLOOKUP(D1647,Products!$A$2:$F$61,6,FALSE()),"")</f>
        <v>1</v>
      </c>
      <c r="T1647" t="str">
        <f>IF(COUNTIF(Customers!$A$2:$A$301,C1647)=0,"Missing","OK")</f>
        <v>OK</v>
      </c>
      <c r="U1647" t="str">
        <f t="shared" si="76"/>
        <v>Bengaluru</v>
      </c>
      <c r="V1647">
        <f t="shared" si="77"/>
        <v>0</v>
      </c>
    </row>
    <row r="1648" spans="1:22" ht="15" customHeight="1" x14ac:dyDescent="0.35">
      <c r="A1648" s="3" t="s">
        <v>2082</v>
      </c>
      <c r="B1648" s="4">
        <v>45410</v>
      </c>
      <c r="C1648" s="3" t="s">
        <v>368</v>
      </c>
      <c r="D1648" s="3" t="s">
        <v>66</v>
      </c>
      <c r="E1648" s="3" t="s">
        <v>97</v>
      </c>
      <c r="F1648" s="5">
        <v>1</v>
      </c>
      <c r="G1648" s="5">
        <v>970</v>
      </c>
      <c r="H1648" s="5">
        <v>8.4</v>
      </c>
      <c r="I1648" s="5">
        <v>888.52</v>
      </c>
      <c r="J1648" s="3" t="s">
        <v>79</v>
      </c>
      <c r="K1648" s="3" t="s">
        <v>56</v>
      </c>
      <c r="L1648" t="str">
        <f>IFERROR(VLOOKUP(D1648,Products!$A$2:$F$61,3,FALSE()),"")</f>
        <v>Grocery</v>
      </c>
      <c r="M1648" t="str">
        <f>IFERROR(VLOOKUP(E1648,Sales_Reps!$A$2:$C$31,3,FALSE()),"")</f>
        <v>East</v>
      </c>
      <c r="N1648">
        <f>IFERROR(VLOOKUP(D1648,Products!$A$2:$F$61,4,FALSE()),"")</f>
        <v>434</v>
      </c>
      <c r="O1648" t="str">
        <f>IFERROR(VLOOKUP(C1648,Customers!$A$2:$F$301,5,FALSE()),"")</f>
        <v>Retail</v>
      </c>
      <c r="P1648">
        <f>IFERROR(VLOOKUP(C1648,Customers!$A$2:$F$301,3,FALSE()),"")</f>
        <v>55</v>
      </c>
      <c r="Q1648">
        <f t="shared" si="75"/>
        <v>0.5525773195876289</v>
      </c>
      <c r="R1648">
        <f>IF(AND(COUNTIF($A$2:$A$2027,A1648)&gt;1,COUNTIF($A$2:A1648,A1648)=1),1,0)</f>
        <v>0</v>
      </c>
      <c r="S1648" t="b">
        <f>IFERROR(VLOOKUP(D1648,Products!$A$2:$F$61,6,FALSE()),"")</f>
        <v>1</v>
      </c>
      <c r="T1648" t="str">
        <f>IF(COUNTIF(Customers!$A$2:$A$301,C1648)=0,"Missing","OK")</f>
        <v>OK</v>
      </c>
      <c r="U1648" t="str">
        <f t="shared" si="76"/>
        <v>Bengaluru</v>
      </c>
      <c r="V1648">
        <f t="shared" si="77"/>
        <v>888.52</v>
      </c>
    </row>
    <row r="1649" spans="1:22" ht="15" customHeight="1" x14ac:dyDescent="0.35">
      <c r="A1649" s="3" t="s">
        <v>2083</v>
      </c>
      <c r="B1649" s="4">
        <v>45400</v>
      </c>
      <c r="C1649" s="3" t="s">
        <v>813</v>
      </c>
      <c r="D1649" s="3" t="s">
        <v>180</v>
      </c>
      <c r="E1649" s="3" t="s">
        <v>93</v>
      </c>
      <c r="F1649" s="5">
        <v>5</v>
      </c>
      <c r="G1649" s="5">
        <v>6080</v>
      </c>
      <c r="H1649" s="5">
        <v>17.600000000000001</v>
      </c>
      <c r="I1649" s="5">
        <v>25049.599999999999</v>
      </c>
      <c r="J1649" s="3" t="s">
        <v>26</v>
      </c>
      <c r="K1649" s="3" t="s">
        <v>51</v>
      </c>
      <c r="L1649" t="str">
        <f>IFERROR(VLOOKUP(D1649,Products!$A$2:$F$61,3,FALSE()),"")</f>
        <v>Beauty</v>
      </c>
      <c r="M1649" t="str">
        <f>IFERROR(VLOOKUP(E1649,Sales_Reps!$A$2:$C$31,3,FALSE()),"")</f>
        <v>East</v>
      </c>
      <c r="N1649">
        <f>IFERROR(VLOOKUP(D1649,Products!$A$2:$F$61,4,FALSE()),"")</f>
        <v>2617</v>
      </c>
      <c r="O1649" t="str">
        <f>IFERROR(VLOOKUP(C1649,Customers!$A$2:$F$301,5,FALSE()),"")</f>
        <v>Retail</v>
      </c>
      <c r="P1649">
        <f>IFERROR(VLOOKUP(C1649,Customers!$A$2:$F$301,3,FALSE()),"")</f>
        <v>57</v>
      </c>
      <c r="Q1649">
        <f t="shared" si="75"/>
        <v>0.56957236842105263</v>
      </c>
      <c r="R1649">
        <f>IF(AND(COUNTIF($A$2:$A$2027,A1649)&gt;1,COUNTIF($A$2:A1649,A1649)=1),1,0)</f>
        <v>0</v>
      </c>
      <c r="S1649" t="b">
        <f>IFERROR(VLOOKUP(D1649,Products!$A$2:$F$61,6,FALSE()),"")</f>
        <v>1</v>
      </c>
      <c r="T1649" t="str">
        <f>IF(COUNTIF(Customers!$A$2:$A$301,C1649)=0,"Missing","OK")</f>
        <v>OK</v>
      </c>
      <c r="U1649" t="str">
        <f t="shared" si="76"/>
        <v>Mumbai</v>
      </c>
      <c r="V1649">
        <f t="shared" si="77"/>
        <v>0</v>
      </c>
    </row>
    <row r="1650" spans="1:22" ht="15" customHeight="1" x14ac:dyDescent="0.35">
      <c r="A1650" s="3" t="s">
        <v>2084</v>
      </c>
      <c r="B1650" s="4">
        <v>45525</v>
      </c>
      <c r="C1650" s="3" t="s">
        <v>907</v>
      </c>
      <c r="D1650" s="3" t="s">
        <v>41</v>
      </c>
      <c r="E1650" s="3" t="s">
        <v>191</v>
      </c>
      <c r="F1650" s="5">
        <v>4</v>
      </c>
      <c r="G1650" s="5">
        <v>3660</v>
      </c>
      <c r="H1650" s="5">
        <v>21.8</v>
      </c>
      <c r="I1650" s="5">
        <v>11448.48</v>
      </c>
      <c r="J1650" s="3" t="s">
        <v>32</v>
      </c>
      <c r="K1650" s="3" t="s">
        <v>38</v>
      </c>
      <c r="L1650" t="str">
        <f>IFERROR(VLOOKUP(D1650,Products!$A$2:$F$61,3,FALSE()),"")</f>
        <v>Grocery</v>
      </c>
      <c r="M1650" t="str">
        <f>IFERROR(VLOOKUP(E1650,Sales_Reps!$A$2:$C$31,3,FALSE()),"")</f>
        <v>South</v>
      </c>
      <c r="N1650">
        <f>IFERROR(VLOOKUP(D1650,Products!$A$2:$F$61,4,FALSE()),"")</f>
        <v>2214</v>
      </c>
      <c r="O1650" t="str">
        <f>IFERROR(VLOOKUP(C1650,Customers!$A$2:$F$301,5,FALSE()),"")</f>
        <v>Retail</v>
      </c>
      <c r="P1650">
        <f>IFERROR(VLOOKUP(C1650,Customers!$A$2:$F$301,3,FALSE()),"")</f>
        <v>47</v>
      </c>
      <c r="Q1650">
        <f t="shared" si="75"/>
        <v>0.39508196721311473</v>
      </c>
      <c r="R1650">
        <f>IF(AND(COUNTIF($A$2:$A$2027,A1650)&gt;1,COUNTIF($A$2:A1650,A1650)=1),1,0)</f>
        <v>0</v>
      </c>
      <c r="S1650" t="b">
        <f>IFERROR(VLOOKUP(D1650,Products!$A$2:$F$61,6,FALSE()),"")</f>
        <v>0</v>
      </c>
      <c r="T1650" t="str">
        <f>IF(COUNTIF(Customers!$A$2:$A$301,C1650)=0,"Missing","OK")</f>
        <v>OK</v>
      </c>
      <c r="U1650" t="str">
        <f t="shared" si="76"/>
        <v>Delhi</v>
      </c>
      <c r="V1650">
        <f t="shared" si="77"/>
        <v>0</v>
      </c>
    </row>
    <row r="1651" spans="1:22" ht="15" customHeight="1" x14ac:dyDescent="0.35">
      <c r="A1651" s="3" t="s">
        <v>2085</v>
      </c>
      <c r="B1651" s="4">
        <v>45462</v>
      </c>
      <c r="C1651" s="3" t="s">
        <v>257</v>
      </c>
      <c r="D1651" s="3" t="s">
        <v>165</v>
      </c>
      <c r="E1651" s="3" t="s">
        <v>46</v>
      </c>
      <c r="F1651" s="5">
        <v>6</v>
      </c>
      <c r="G1651" s="5">
        <v>3730</v>
      </c>
      <c r="H1651" s="5">
        <v>13.3</v>
      </c>
      <c r="I1651" s="5">
        <v>19403.46</v>
      </c>
      <c r="J1651" s="3" t="s">
        <v>79</v>
      </c>
      <c r="K1651" s="3" t="s">
        <v>33</v>
      </c>
      <c r="L1651" t="str">
        <f>IFERROR(VLOOKUP(D1651,Products!$A$2:$F$61,3,FALSE()),"")</f>
        <v>Home</v>
      </c>
      <c r="M1651" t="str">
        <f>IFERROR(VLOOKUP(E1651,Sales_Reps!$A$2:$C$31,3,FALSE()),"")</f>
        <v>North</v>
      </c>
      <c r="N1651">
        <f>IFERROR(VLOOKUP(D1651,Products!$A$2:$F$61,4,FALSE()),"")</f>
        <v>2135</v>
      </c>
      <c r="O1651" t="str">
        <f>IFERROR(VLOOKUP(C1651,Customers!$A$2:$F$301,5,FALSE()),"")</f>
        <v>SMB</v>
      </c>
      <c r="P1651">
        <f>IFERROR(VLOOKUP(C1651,Customers!$A$2:$F$301,3,FALSE()),"")</f>
        <v>57</v>
      </c>
      <c r="Q1651">
        <f t="shared" si="75"/>
        <v>0.42761394101876676</v>
      </c>
      <c r="R1651">
        <f>IF(AND(COUNTIF($A$2:$A$2027,A1651)&gt;1,COUNTIF($A$2:A1651,A1651)=1),1,0)</f>
        <v>0</v>
      </c>
      <c r="S1651" t="b">
        <f>IFERROR(VLOOKUP(D1651,Products!$A$2:$F$61,6,FALSE()),"")</f>
        <v>1</v>
      </c>
      <c r="T1651" t="str">
        <f>IF(COUNTIF(Customers!$A$2:$A$301,C1651)=0,"Missing","OK")</f>
        <v>OK</v>
      </c>
      <c r="U1651" t="str">
        <f t="shared" si="76"/>
        <v>Chennai</v>
      </c>
      <c r="V1651">
        <f t="shared" si="77"/>
        <v>0</v>
      </c>
    </row>
    <row r="1652" spans="1:22" ht="15" customHeight="1" x14ac:dyDescent="0.35">
      <c r="A1652" s="3" t="s">
        <v>2086</v>
      </c>
      <c r="B1652" s="4">
        <v>45625</v>
      </c>
      <c r="C1652" s="3" t="s">
        <v>197</v>
      </c>
      <c r="D1652" s="3" t="s">
        <v>187</v>
      </c>
      <c r="E1652" s="3" t="s">
        <v>168</v>
      </c>
      <c r="F1652" s="5">
        <v>8</v>
      </c>
      <c r="G1652" s="5">
        <v>3870</v>
      </c>
      <c r="H1652" s="5">
        <v>21.2</v>
      </c>
      <c r="I1652" s="5">
        <v>24396.48</v>
      </c>
      <c r="J1652" s="3" t="s">
        <v>32</v>
      </c>
      <c r="K1652" s="3" t="s">
        <v>38</v>
      </c>
      <c r="L1652" t="str">
        <f>IFERROR(VLOOKUP(D1652,Products!$A$2:$F$61,3,FALSE()),"")</f>
        <v>Electronics</v>
      </c>
      <c r="M1652" t="str">
        <f>IFERROR(VLOOKUP(E1652,Sales_Reps!$A$2:$C$31,3,FALSE()),"")</f>
        <v>West</v>
      </c>
      <c r="N1652">
        <f>IFERROR(VLOOKUP(D1652,Products!$A$2:$F$61,4,FALSE()),"")</f>
        <v>1559</v>
      </c>
      <c r="O1652" t="str">
        <f>IFERROR(VLOOKUP(C1652,Customers!$A$2:$F$301,5,FALSE()),"")</f>
        <v>SMB</v>
      </c>
      <c r="P1652">
        <f>IFERROR(VLOOKUP(C1652,Customers!$A$2:$F$301,3,FALSE()),"")</f>
        <v>55</v>
      </c>
      <c r="Q1652">
        <f t="shared" si="75"/>
        <v>0.59715762273901807</v>
      </c>
      <c r="R1652">
        <f>IF(AND(COUNTIF($A$2:$A$2027,A1652)&gt;1,COUNTIF($A$2:A1652,A1652)=1),1,0)</f>
        <v>0</v>
      </c>
      <c r="S1652" t="b">
        <f>IFERROR(VLOOKUP(D1652,Products!$A$2:$F$61,6,FALSE()),"")</f>
        <v>1</v>
      </c>
      <c r="T1652" t="str">
        <f>IF(COUNTIF(Customers!$A$2:$A$301,C1652)=0,"Missing","OK")</f>
        <v>OK</v>
      </c>
      <c r="U1652" t="str">
        <f t="shared" si="76"/>
        <v>Delhi</v>
      </c>
      <c r="V1652">
        <f t="shared" si="77"/>
        <v>0</v>
      </c>
    </row>
    <row r="1653" spans="1:22" ht="15" customHeight="1" x14ac:dyDescent="0.35">
      <c r="A1653" s="3" t="s">
        <v>2087</v>
      </c>
      <c r="B1653" s="4">
        <v>45390</v>
      </c>
      <c r="C1653" s="3" t="s">
        <v>355</v>
      </c>
      <c r="D1653" s="3" t="s">
        <v>139</v>
      </c>
      <c r="E1653" s="3" t="s">
        <v>285</v>
      </c>
      <c r="F1653" s="5">
        <v>4</v>
      </c>
      <c r="G1653" s="5">
        <v>2760</v>
      </c>
      <c r="H1653" s="5">
        <v>14</v>
      </c>
      <c r="I1653" s="5">
        <v>9494.4</v>
      </c>
      <c r="J1653" s="3" t="s">
        <v>26</v>
      </c>
      <c r="K1653" s="3" t="s">
        <v>56</v>
      </c>
      <c r="L1653" t="str">
        <f>IFERROR(VLOOKUP(D1653,Products!$A$2:$F$61,3,FALSE()),"")</f>
        <v>Grocery</v>
      </c>
      <c r="M1653" t="str">
        <f>IFERROR(VLOOKUP(E1653,Sales_Reps!$A$2:$C$31,3,FALSE()),"")</f>
        <v>South</v>
      </c>
      <c r="N1653">
        <f>IFERROR(VLOOKUP(D1653,Products!$A$2:$F$61,4,FALSE()),"")</f>
        <v>1435</v>
      </c>
      <c r="O1653" t="str">
        <f>IFERROR(VLOOKUP(C1653,Customers!$A$2:$F$301,5,FALSE()),"")</f>
        <v>Corporate</v>
      </c>
      <c r="P1653">
        <f>IFERROR(VLOOKUP(C1653,Customers!$A$2:$F$301,3,FALSE()),"")</f>
        <v>42</v>
      </c>
      <c r="Q1653">
        <f t="shared" si="75"/>
        <v>0.48007246376811596</v>
      </c>
      <c r="R1653">
        <f>IF(AND(COUNTIF($A$2:$A$2027,A1653)&gt;1,COUNTIF($A$2:A1653,A1653)=1),1,0)</f>
        <v>0</v>
      </c>
      <c r="S1653" t="b">
        <f>IFERROR(VLOOKUP(D1653,Products!$A$2:$F$61,6,FALSE()),"")</f>
        <v>1</v>
      </c>
      <c r="T1653" t="str">
        <f>IF(COUNTIF(Customers!$A$2:$A$301,C1653)=0,"Missing","OK")</f>
        <v>OK</v>
      </c>
      <c r="U1653" t="str">
        <f t="shared" si="76"/>
        <v>Bengaluru</v>
      </c>
      <c r="V1653">
        <f t="shared" si="77"/>
        <v>9494.4</v>
      </c>
    </row>
    <row r="1654" spans="1:22" ht="15" customHeight="1" x14ac:dyDescent="0.35">
      <c r="A1654" s="3" t="s">
        <v>2088</v>
      </c>
      <c r="B1654" s="4">
        <v>45597</v>
      </c>
      <c r="C1654" s="3" t="s">
        <v>147</v>
      </c>
      <c r="D1654" s="3" t="s">
        <v>306</v>
      </c>
      <c r="E1654" s="3" t="s">
        <v>131</v>
      </c>
      <c r="F1654" s="5">
        <v>5</v>
      </c>
      <c r="G1654" s="5">
        <v>2380</v>
      </c>
      <c r="H1654" s="5">
        <v>16.399999999999999</v>
      </c>
      <c r="I1654" s="5">
        <v>9948.4</v>
      </c>
      <c r="J1654" s="3" t="s">
        <v>26</v>
      </c>
      <c r="K1654" s="3" t="s">
        <v>72</v>
      </c>
      <c r="L1654" t="str">
        <f>IFERROR(VLOOKUP(D1654,Products!$A$2:$F$61,3,FALSE()),"")</f>
        <v>Grocery</v>
      </c>
      <c r="M1654" t="str">
        <f>IFERROR(VLOOKUP(E1654,Sales_Reps!$A$2:$C$31,3,FALSE()),"")</f>
        <v>East</v>
      </c>
      <c r="N1654">
        <f>IFERROR(VLOOKUP(D1654,Products!$A$2:$F$61,4,FALSE()),"")</f>
        <v>1182</v>
      </c>
      <c r="O1654" t="str">
        <f>IFERROR(VLOOKUP(C1654,Customers!$A$2:$F$301,5,FALSE()),"")</f>
        <v>Retail</v>
      </c>
      <c r="P1654">
        <f>IFERROR(VLOOKUP(C1654,Customers!$A$2:$F$301,3,FALSE()),"")</f>
        <v>26</v>
      </c>
      <c r="Q1654">
        <f t="shared" si="75"/>
        <v>0.50336134453781511</v>
      </c>
      <c r="R1654">
        <f>IF(AND(COUNTIF($A$2:$A$2027,A1654)&gt;1,COUNTIF($A$2:A1654,A1654)=1),1,0)</f>
        <v>0</v>
      </c>
      <c r="S1654" t="b">
        <f>IFERROR(VLOOKUP(D1654,Products!$A$2:$F$61,6,FALSE()),"")</f>
        <v>1</v>
      </c>
      <c r="T1654" t="str">
        <f>IF(COUNTIF(Customers!$A$2:$A$301,C1654)=0,"Missing","OK")</f>
        <v>OK</v>
      </c>
      <c r="U1654" t="str">
        <f t="shared" si="76"/>
        <v>Hyderabad</v>
      </c>
      <c r="V1654">
        <f t="shared" si="77"/>
        <v>0</v>
      </c>
    </row>
    <row r="1655" spans="1:22" ht="15" customHeight="1" x14ac:dyDescent="0.35">
      <c r="A1655" s="3" t="s">
        <v>2089</v>
      </c>
      <c r="B1655" s="4">
        <v>45307</v>
      </c>
      <c r="C1655" s="3" t="s">
        <v>2090</v>
      </c>
      <c r="D1655" s="3" t="s">
        <v>180</v>
      </c>
      <c r="E1655" s="3" t="s">
        <v>127</v>
      </c>
      <c r="F1655" s="5">
        <v>2</v>
      </c>
      <c r="G1655" s="5">
        <v>6080</v>
      </c>
      <c r="H1655" s="5">
        <v>20.100000000000001</v>
      </c>
      <c r="I1655" s="5">
        <v>9715.84</v>
      </c>
      <c r="J1655" s="3" t="s">
        <v>79</v>
      </c>
      <c r="K1655" s="3" t="s">
        <v>51</v>
      </c>
      <c r="L1655" t="str">
        <f>IFERROR(VLOOKUP(D1655,Products!$A$2:$F$61,3,FALSE()),"")</f>
        <v>Beauty</v>
      </c>
      <c r="M1655" t="str">
        <f>IFERROR(VLOOKUP(E1655,Sales_Reps!$A$2:$C$31,3,FALSE()),"")</f>
        <v>South</v>
      </c>
      <c r="N1655">
        <f>IFERROR(VLOOKUP(D1655,Products!$A$2:$F$61,4,FALSE()),"")</f>
        <v>2617</v>
      </c>
      <c r="O1655" t="str">
        <f>IFERROR(VLOOKUP(C1655,Customers!$A$2:$F$301,5,FALSE()),"")</f>
        <v/>
      </c>
      <c r="P1655" t="str">
        <f>IFERROR(VLOOKUP(C1655,Customers!$A$2:$F$301,3,FALSE()),"")</f>
        <v/>
      </c>
      <c r="Q1655">
        <f t="shared" si="75"/>
        <v>0.56957236842105263</v>
      </c>
      <c r="R1655">
        <f>IF(AND(COUNTIF($A$2:$A$2027,A1655)&gt;1,COUNTIF($A$2:A1655,A1655)=1),1,0)</f>
        <v>0</v>
      </c>
      <c r="S1655" t="b">
        <f>IFERROR(VLOOKUP(D1655,Products!$A$2:$F$61,6,FALSE()),"")</f>
        <v>1</v>
      </c>
      <c r="T1655" t="str">
        <f>IF(COUNTIF(Customers!$A$2:$A$301,C1655)=0,"Missing","OK")</f>
        <v>Missing</v>
      </c>
      <c r="U1655" t="str">
        <f t="shared" si="76"/>
        <v>Mumbai</v>
      </c>
      <c r="V1655">
        <f t="shared" si="77"/>
        <v>0</v>
      </c>
    </row>
    <row r="1656" spans="1:22" ht="15" customHeight="1" x14ac:dyDescent="0.35">
      <c r="A1656" s="3" t="s">
        <v>2091</v>
      </c>
      <c r="B1656" s="4">
        <v>45568</v>
      </c>
      <c r="C1656" s="3" t="s">
        <v>478</v>
      </c>
      <c r="D1656" s="3" t="s">
        <v>231</v>
      </c>
      <c r="E1656" s="3" t="s">
        <v>285</v>
      </c>
      <c r="F1656" s="5">
        <v>2</v>
      </c>
      <c r="G1656" s="5">
        <v>620</v>
      </c>
      <c r="H1656" s="5">
        <v>4.3</v>
      </c>
      <c r="I1656" s="5">
        <v>1186.68</v>
      </c>
      <c r="J1656" s="3" t="s">
        <v>26</v>
      </c>
      <c r="K1656" s="3" t="s">
        <v>72</v>
      </c>
      <c r="L1656" t="str">
        <f>IFERROR(VLOOKUP(D1656,Products!$A$2:$F$61,3,FALSE()),"")</f>
        <v>Apparel</v>
      </c>
      <c r="M1656" t="str">
        <f>IFERROR(VLOOKUP(E1656,Sales_Reps!$A$2:$C$31,3,FALSE()),"")</f>
        <v>South</v>
      </c>
      <c r="N1656">
        <f>IFERROR(VLOOKUP(D1656,Products!$A$2:$F$61,4,FALSE()),"")</f>
        <v>396</v>
      </c>
      <c r="O1656" t="str">
        <f>IFERROR(VLOOKUP(C1656,Customers!$A$2:$F$301,5,FALSE()),"")</f>
        <v>Retail</v>
      </c>
      <c r="P1656">
        <f>IFERROR(VLOOKUP(C1656,Customers!$A$2:$F$301,3,FALSE()),"")</f>
        <v>38</v>
      </c>
      <c r="Q1656">
        <f t="shared" si="75"/>
        <v>0.36129032258064514</v>
      </c>
      <c r="R1656">
        <f>IF(AND(COUNTIF($A$2:$A$2027,A1656)&gt;1,COUNTIF($A$2:A1656,A1656)=1),1,0)</f>
        <v>0</v>
      </c>
      <c r="S1656" t="b">
        <f>IFERROR(VLOOKUP(D1656,Products!$A$2:$F$61,6,FALSE()),"")</f>
        <v>1</v>
      </c>
      <c r="T1656" t="str">
        <f>IF(COUNTIF(Customers!$A$2:$A$301,C1656)=0,"Missing","OK")</f>
        <v>OK</v>
      </c>
      <c r="U1656" t="str">
        <f t="shared" si="76"/>
        <v>Hyderabad</v>
      </c>
      <c r="V1656">
        <f t="shared" si="77"/>
        <v>0</v>
      </c>
    </row>
    <row r="1657" spans="1:22" ht="15" customHeight="1" x14ac:dyDescent="0.35">
      <c r="A1657" s="3" t="s">
        <v>2092</v>
      </c>
      <c r="B1657" s="4">
        <v>45654</v>
      </c>
      <c r="C1657" s="3" t="s">
        <v>411</v>
      </c>
      <c r="D1657" s="3" t="s">
        <v>187</v>
      </c>
      <c r="E1657" s="3" t="s">
        <v>264</v>
      </c>
      <c r="F1657" s="5">
        <v>7</v>
      </c>
      <c r="G1657" s="5">
        <v>3870</v>
      </c>
      <c r="H1657" s="5">
        <v>5.9</v>
      </c>
      <c r="I1657" s="5">
        <v>25491.69</v>
      </c>
      <c r="J1657" s="3" t="s">
        <v>26</v>
      </c>
      <c r="K1657" s="3" t="s">
        <v>33</v>
      </c>
      <c r="L1657" t="str">
        <f>IFERROR(VLOOKUP(D1657,Products!$A$2:$F$61,3,FALSE()),"")</f>
        <v>Electronics</v>
      </c>
      <c r="M1657" t="str">
        <f>IFERROR(VLOOKUP(E1657,Sales_Reps!$A$2:$C$31,3,FALSE()),"")</f>
        <v>South</v>
      </c>
      <c r="N1657">
        <f>IFERROR(VLOOKUP(D1657,Products!$A$2:$F$61,4,FALSE()),"")</f>
        <v>1559</v>
      </c>
      <c r="O1657" t="str">
        <f>IFERROR(VLOOKUP(C1657,Customers!$A$2:$F$301,5,FALSE()),"")</f>
        <v>Corporate</v>
      </c>
      <c r="P1657">
        <f>IFERROR(VLOOKUP(C1657,Customers!$A$2:$F$301,3,FALSE()),"")</f>
        <v>35</v>
      </c>
      <c r="Q1657">
        <f t="shared" si="75"/>
        <v>0.59715762273901807</v>
      </c>
      <c r="R1657">
        <f>IF(AND(COUNTIF($A$2:$A$2027,A1657)&gt;1,COUNTIF($A$2:A1657,A1657)=1),1,0)</f>
        <v>0</v>
      </c>
      <c r="S1657" t="b">
        <f>IFERROR(VLOOKUP(D1657,Products!$A$2:$F$61,6,FALSE()),"")</f>
        <v>1</v>
      </c>
      <c r="T1657" t="str">
        <f>IF(COUNTIF(Customers!$A$2:$A$301,C1657)=0,"Missing","OK")</f>
        <v>OK</v>
      </c>
      <c r="U1657" t="str">
        <f t="shared" si="76"/>
        <v>Chennai</v>
      </c>
      <c r="V1657">
        <f t="shared" si="77"/>
        <v>0</v>
      </c>
    </row>
    <row r="1658" spans="1:22" ht="15" customHeight="1" x14ac:dyDescent="0.35">
      <c r="A1658" s="3" t="s">
        <v>2093</v>
      </c>
      <c r="B1658" s="4">
        <v>45412</v>
      </c>
      <c r="C1658" s="3" t="s">
        <v>945</v>
      </c>
      <c r="D1658" s="3" t="s">
        <v>126</v>
      </c>
      <c r="E1658" s="3" t="s">
        <v>131</v>
      </c>
      <c r="F1658" s="5">
        <v>8</v>
      </c>
      <c r="G1658" s="5">
        <v>3570</v>
      </c>
      <c r="H1658" s="5">
        <v>24.6</v>
      </c>
      <c r="I1658" s="5">
        <v>21534.240000000002</v>
      </c>
      <c r="J1658" s="3" t="s">
        <v>26</v>
      </c>
      <c r="K1658" s="3" t="s">
        <v>56</v>
      </c>
      <c r="L1658" t="str">
        <f>IFERROR(VLOOKUP(D1658,Products!$A$2:$F$61,3,FALSE()),"")</f>
        <v>Electronics</v>
      </c>
      <c r="M1658" t="str">
        <f>IFERROR(VLOOKUP(E1658,Sales_Reps!$A$2:$C$31,3,FALSE()),"")</f>
        <v>East</v>
      </c>
      <c r="N1658">
        <f>IFERROR(VLOOKUP(D1658,Products!$A$2:$F$61,4,FALSE()),"")</f>
        <v>1665</v>
      </c>
      <c r="O1658" t="str">
        <f>IFERROR(VLOOKUP(C1658,Customers!$A$2:$F$301,5,FALSE()),"")</f>
        <v>SMB</v>
      </c>
      <c r="P1658">
        <f>IFERROR(VLOOKUP(C1658,Customers!$A$2:$F$301,3,FALSE()),"")</f>
        <v>44</v>
      </c>
      <c r="Q1658">
        <f t="shared" si="75"/>
        <v>0.53361344537815125</v>
      </c>
      <c r="R1658">
        <f>IF(AND(COUNTIF($A$2:$A$2027,A1658)&gt;1,COUNTIF($A$2:A1658,A1658)=1),1,0)</f>
        <v>0</v>
      </c>
      <c r="S1658" t="b">
        <f>IFERROR(VLOOKUP(D1658,Products!$A$2:$F$61,6,FALSE()),"")</f>
        <v>1</v>
      </c>
      <c r="T1658" t="str">
        <f>IF(COUNTIF(Customers!$A$2:$A$301,C1658)=0,"Missing","OK")</f>
        <v>OK</v>
      </c>
      <c r="U1658" t="str">
        <f t="shared" si="76"/>
        <v>Bengaluru</v>
      </c>
      <c r="V1658">
        <f t="shared" si="77"/>
        <v>0</v>
      </c>
    </row>
    <row r="1659" spans="1:22" ht="15" customHeight="1" x14ac:dyDescent="0.35">
      <c r="A1659" s="3" t="s">
        <v>2094</v>
      </c>
      <c r="B1659" s="4">
        <v>45653</v>
      </c>
      <c r="C1659" s="3" t="s">
        <v>186</v>
      </c>
      <c r="D1659" s="3" t="s">
        <v>203</v>
      </c>
      <c r="E1659" s="3" t="s">
        <v>71</v>
      </c>
      <c r="F1659" s="5">
        <v>1</v>
      </c>
      <c r="G1659" s="5">
        <v>4070</v>
      </c>
      <c r="H1659" s="5">
        <v>29.1</v>
      </c>
      <c r="I1659" s="5">
        <v>2885.63</v>
      </c>
      <c r="J1659" s="3" t="s">
        <v>32</v>
      </c>
      <c r="K1659" s="3" t="s">
        <v>56</v>
      </c>
      <c r="L1659" t="str">
        <f>IFERROR(VLOOKUP(D1659,Products!$A$2:$F$61,3,FALSE()),"")</f>
        <v>Grocery</v>
      </c>
      <c r="M1659" t="str">
        <f>IFERROR(VLOOKUP(E1659,Sales_Reps!$A$2:$C$31,3,FALSE()),"")</f>
        <v>South</v>
      </c>
      <c r="N1659">
        <f>IFERROR(VLOOKUP(D1659,Products!$A$2:$F$61,4,FALSE()),"")</f>
        <v>2027</v>
      </c>
      <c r="O1659" t="str">
        <f>IFERROR(VLOOKUP(C1659,Customers!$A$2:$F$301,5,FALSE()),"")</f>
        <v>Retail</v>
      </c>
      <c r="P1659">
        <f>IFERROR(VLOOKUP(C1659,Customers!$A$2:$F$301,3,FALSE()),"")</f>
        <v>34</v>
      </c>
      <c r="Q1659">
        <f t="shared" si="75"/>
        <v>0.50196560196560192</v>
      </c>
      <c r="R1659">
        <f>IF(AND(COUNTIF($A$2:$A$2027,A1659)&gt;1,COUNTIF($A$2:A1659,A1659)=1),1,0)</f>
        <v>0</v>
      </c>
      <c r="S1659" t="b">
        <f>IFERROR(VLOOKUP(D1659,Products!$A$2:$F$61,6,FALSE()),"")</f>
        <v>1</v>
      </c>
      <c r="T1659" t="str">
        <f>IF(COUNTIF(Customers!$A$2:$A$301,C1659)=0,"Missing","OK")</f>
        <v>OK</v>
      </c>
      <c r="U1659" t="str">
        <f t="shared" si="76"/>
        <v>Bengaluru</v>
      </c>
      <c r="V1659">
        <f t="shared" si="77"/>
        <v>2885.63</v>
      </c>
    </row>
    <row r="1660" spans="1:22" ht="15" customHeight="1" x14ac:dyDescent="0.35">
      <c r="A1660" s="3" t="s">
        <v>2095</v>
      </c>
      <c r="B1660" s="4">
        <v>45568</v>
      </c>
      <c r="C1660" s="3" t="s">
        <v>449</v>
      </c>
      <c r="D1660" s="3" t="s">
        <v>30</v>
      </c>
      <c r="E1660" s="3" t="s">
        <v>177</v>
      </c>
      <c r="F1660" s="5">
        <v>1</v>
      </c>
      <c r="G1660" s="5">
        <v>820</v>
      </c>
      <c r="H1660" s="5">
        <v>17.899999999999999</v>
      </c>
      <c r="I1660" s="5">
        <v>673.22</v>
      </c>
      <c r="J1660" s="3" t="s">
        <v>26</v>
      </c>
      <c r="K1660" s="3" t="s">
        <v>56</v>
      </c>
      <c r="L1660" t="str">
        <f>IFERROR(VLOOKUP(D1660,Products!$A$2:$F$61,3,FALSE()),"")</f>
        <v>Apparel</v>
      </c>
      <c r="M1660" t="str">
        <f>IFERROR(VLOOKUP(E1660,Sales_Reps!$A$2:$C$31,3,FALSE()),"")</f>
        <v>East</v>
      </c>
      <c r="N1660">
        <f>IFERROR(VLOOKUP(D1660,Products!$A$2:$F$61,4,FALSE()),"")</f>
        <v>391</v>
      </c>
      <c r="O1660" t="str">
        <f>IFERROR(VLOOKUP(C1660,Customers!$A$2:$F$301,5,FALSE()),"")</f>
        <v>SMB</v>
      </c>
      <c r="P1660">
        <f>IFERROR(VLOOKUP(C1660,Customers!$A$2:$F$301,3,FALSE()),"")</f>
        <v>26</v>
      </c>
      <c r="Q1660">
        <f t="shared" si="75"/>
        <v>0.52317073170731709</v>
      </c>
      <c r="R1660">
        <f>IF(AND(COUNTIF($A$2:$A$2027,A1660)&gt;1,COUNTIF($A$2:A1660,A1660)=1),1,0)</f>
        <v>0</v>
      </c>
      <c r="S1660" t="b">
        <f>IFERROR(VLOOKUP(D1660,Products!$A$2:$F$61,6,FALSE()),"")</f>
        <v>1</v>
      </c>
      <c r="T1660" t="str">
        <f>IF(COUNTIF(Customers!$A$2:$A$301,C1660)=0,"Missing","OK")</f>
        <v>OK</v>
      </c>
      <c r="U1660" t="str">
        <f t="shared" si="76"/>
        <v>Bengaluru</v>
      </c>
      <c r="V1660">
        <f t="shared" si="77"/>
        <v>0</v>
      </c>
    </row>
    <row r="1661" spans="1:22" ht="15" customHeight="1" x14ac:dyDescent="0.35">
      <c r="A1661" s="3" t="s">
        <v>2096</v>
      </c>
      <c r="B1661" s="4">
        <v>45643</v>
      </c>
      <c r="C1661" s="3" t="s">
        <v>238</v>
      </c>
      <c r="D1661" s="3" t="s">
        <v>215</v>
      </c>
      <c r="E1661" s="3" t="s">
        <v>168</v>
      </c>
      <c r="F1661" s="5">
        <v>5</v>
      </c>
      <c r="G1661" s="5">
        <v>3020</v>
      </c>
      <c r="H1661" s="5">
        <v>26.2</v>
      </c>
      <c r="I1661" s="5">
        <v>11143.8</v>
      </c>
      <c r="J1661" s="3" t="s">
        <v>26</v>
      </c>
      <c r="K1661" s="3" t="s">
        <v>72</v>
      </c>
      <c r="L1661" t="str">
        <f>IFERROR(VLOOKUP(D1661,Products!$A$2:$F$61,3,FALSE()),"")</f>
        <v>Beauty</v>
      </c>
      <c r="M1661" t="str">
        <f>IFERROR(VLOOKUP(E1661,Sales_Reps!$A$2:$C$31,3,FALSE()),"")</f>
        <v>West</v>
      </c>
      <c r="N1661">
        <f>IFERROR(VLOOKUP(D1661,Products!$A$2:$F$61,4,FALSE()),"")</f>
        <v>1626</v>
      </c>
      <c r="O1661" t="str">
        <f>IFERROR(VLOOKUP(C1661,Customers!$A$2:$F$301,5,FALSE()),"")</f>
        <v>Retail</v>
      </c>
      <c r="P1661">
        <f>IFERROR(VLOOKUP(C1661,Customers!$A$2:$F$301,3,FALSE()),"")</f>
        <v>29</v>
      </c>
      <c r="Q1661">
        <f t="shared" si="75"/>
        <v>0.46158940397350995</v>
      </c>
      <c r="R1661">
        <f>IF(AND(COUNTIF($A$2:$A$2027,A1661)&gt;1,COUNTIF($A$2:A1661,A1661)=1),1,0)</f>
        <v>0</v>
      </c>
      <c r="S1661" t="b">
        <f>IFERROR(VLOOKUP(D1661,Products!$A$2:$F$61,6,FALSE()),"")</f>
        <v>1</v>
      </c>
      <c r="T1661" t="str">
        <f>IF(COUNTIF(Customers!$A$2:$A$301,C1661)=0,"Missing","OK")</f>
        <v>OK</v>
      </c>
      <c r="U1661" t="str">
        <f t="shared" si="76"/>
        <v>Hyderabad</v>
      </c>
      <c r="V1661">
        <f t="shared" si="77"/>
        <v>0</v>
      </c>
    </row>
    <row r="1662" spans="1:22" ht="15" customHeight="1" x14ac:dyDescent="0.35">
      <c r="A1662" s="3" t="s">
        <v>2097</v>
      </c>
      <c r="B1662" s="4">
        <v>45411</v>
      </c>
      <c r="C1662" s="3" t="s">
        <v>567</v>
      </c>
      <c r="D1662" s="3" t="s">
        <v>598</v>
      </c>
      <c r="E1662" s="3" t="s">
        <v>224</v>
      </c>
      <c r="F1662" s="5">
        <v>10</v>
      </c>
      <c r="G1662" s="5">
        <v>3560</v>
      </c>
      <c r="H1662" s="5">
        <v>15.4</v>
      </c>
      <c r="I1662" s="5">
        <v>30117.599999999999</v>
      </c>
      <c r="J1662" s="3" t="s">
        <v>83</v>
      </c>
      <c r="K1662" s="3" t="s">
        <v>72</v>
      </c>
      <c r="L1662" t="str">
        <f>IFERROR(VLOOKUP(D1662,Products!$A$2:$F$61,3,FALSE()),"")</f>
        <v>Apparel</v>
      </c>
      <c r="M1662" t="str">
        <f>IFERROR(VLOOKUP(E1662,Sales_Reps!$A$2:$C$31,3,FALSE()),"")</f>
        <v>East</v>
      </c>
      <c r="N1662">
        <f>IFERROR(VLOOKUP(D1662,Products!$A$2:$F$61,4,FALSE()),"")</f>
        <v>2629</v>
      </c>
      <c r="O1662" t="str">
        <f>IFERROR(VLOOKUP(C1662,Customers!$A$2:$F$301,5,FALSE()),"")</f>
        <v>Corporate</v>
      </c>
      <c r="P1662">
        <f>IFERROR(VLOOKUP(C1662,Customers!$A$2:$F$301,3,FALSE()),"")</f>
        <v>22</v>
      </c>
      <c r="Q1662">
        <f t="shared" si="75"/>
        <v>0.26151685393258428</v>
      </c>
      <c r="R1662">
        <f>IF(AND(COUNTIF($A$2:$A$2027,A1662)&gt;1,COUNTIF($A$2:A1662,A1662)=1),1,0)</f>
        <v>0</v>
      </c>
      <c r="S1662" t="b">
        <f>IFERROR(VLOOKUP(D1662,Products!$A$2:$F$61,6,FALSE()),"")</f>
        <v>1</v>
      </c>
      <c r="T1662" t="str">
        <f>IF(COUNTIF(Customers!$A$2:$A$301,C1662)=0,"Missing","OK")</f>
        <v>OK</v>
      </c>
      <c r="U1662" t="str">
        <f t="shared" si="76"/>
        <v>Hyderabad</v>
      </c>
      <c r="V1662">
        <f t="shared" si="77"/>
        <v>0</v>
      </c>
    </row>
    <row r="1663" spans="1:22" ht="15" customHeight="1" x14ac:dyDescent="0.35">
      <c r="A1663" s="3" t="s">
        <v>1397</v>
      </c>
      <c r="B1663" s="4">
        <v>45467</v>
      </c>
      <c r="C1663" s="3" t="s">
        <v>217</v>
      </c>
      <c r="D1663" s="3" t="s">
        <v>118</v>
      </c>
      <c r="E1663" s="3" t="s">
        <v>154</v>
      </c>
      <c r="F1663" s="5">
        <v>3</v>
      </c>
      <c r="G1663" s="5">
        <v>3350</v>
      </c>
      <c r="H1663" s="5">
        <v>8.1</v>
      </c>
      <c r="I1663" s="5">
        <v>9235.9500000000007</v>
      </c>
      <c r="J1663" s="3" t="s">
        <v>26</v>
      </c>
      <c r="K1663" s="3" t="s">
        <v>72</v>
      </c>
      <c r="L1663" t="str">
        <f>IFERROR(VLOOKUP(D1663,Products!$A$2:$F$61,3,FALSE()),"")</f>
        <v>Beauty</v>
      </c>
      <c r="M1663" t="str">
        <f>IFERROR(VLOOKUP(E1663,Sales_Reps!$A$2:$C$31,3,FALSE()),"")</f>
        <v>North</v>
      </c>
      <c r="N1663">
        <f>IFERROR(VLOOKUP(D1663,Products!$A$2:$F$61,4,FALSE()),"")</f>
        <v>1728</v>
      </c>
      <c r="O1663" t="str">
        <f>IFERROR(VLOOKUP(C1663,Customers!$A$2:$F$301,5,FALSE()),"")</f>
        <v>Corporate</v>
      </c>
      <c r="P1663">
        <f>IFERROR(VLOOKUP(C1663,Customers!$A$2:$F$301,3,FALSE()),"")</f>
        <v>29</v>
      </c>
      <c r="Q1663">
        <f t="shared" si="75"/>
        <v>0.48417910447761192</v>
      </c>
      <c r="R1663">
        <f>IF(AND(COUNTIF($A$2:$A$2027,A1663)&gt;1,COUNTIF($A$2:A1663,A1663)=1),1,0)</f>
        <v>0</v>
      </c>
      <c r="S1663" t="b">
        <f>IFERROR(VLOOKUP(D1663,Products!$A$2:$F$61,6,FALSE()),"")</f>
        <v>1</v>
      </c>
      <c r="T1663" t="str">
        <f>IF(COUNTIF(Customers!$A$2:$A$301,C1663)=0,"Missing","OK")</f>
        <v>OK</v>
      </c>
      <c r="U1663" t="str">
        <f t="shared" si="76"/>
        <v>Hyderabad</v>
      </c>
      <c r="V1663">
        <f t="shared" si="77"/>
        <v>0</v>
      </c>
    </row>
    <row r="1664" spans="1:22" ht="15" customHeight="1" x14ac:dyDescent="0.35">
      <c r="A1664" s="3" t="s">
        <v>2098</v>
      </c>
      <c r="B1664" s="4">
        <v>45542</v>
      </c>
      <c r="C1664" s="3" t="s">
        <v>659</v>
      </c>
      <c r="D1664" s="3" t="s">
        <v>325</v>
      </c>
      <c r="E1664" s="3" t="s">
        <v>50</v>
      </c>
      <c r="F1664" s="5">
        <v>10</v>
      </c>
      <c r="G1664" s="5">
        <v>2290</v>
      </c>
      <c r="H1664" s="5">
        <v>7</v>
      </c>
      <c r="I1664" s="5">
        <v>21297</v>
      </c>
      <c r="J1664" s="3" t="s">
        <v>26</v>
      </c>
      <c r="K1664" s="3" t="s">
        <v>27</v>
      </c>
      <c r="L1664" t="str">
        <f>IFERROR(VLOOKUP(D1664,Products!$A$2:$F$61,3,FALSE()),"")</f>
        <v>Beauty</v>
      </c>
      <c r="M1664" t="str">
        <f>IFERROR(VLOOKUP(E1664,Sales_Reps!$A$2:$C$31,3,FALSE()),"")</f>
        <v>West</v>
      </c>
      <c r="N1664">
        <f>IFERROR(VLOOKUP(D1664,Products!$A$2:$F$61,4,FALSE()),"")</f>
        <v>1219</v>
      </c>
      <c r="O1664" t="str">
        <f>IFERROR(VLOOKUP(C1664,Customers!$A$2:$F$301,5,FALSE()),"")</f>
        <v>Retail</v>
      </c>
      <c r="P1664">
        <f>IFERROR(VLOOKUP(C1664,Customers!$A$2:$F$301,3,FALSE()),"")</f>
        <v>48</v>
      </c>
      <c r="Q1664">
        <f t="shared" si="75"/>
        <v>0.46768558951965067</v>
      </c>
      <c r="R1664">
        <f>IF(AND(COUNTIF($A$2:$A$2027,A1664)&gt;1,COUNTIF($A$2:A1664,A1664)=1),1,0)</f>
        <v>0</v>
      </c>
      <c r="S1664" t="b">
        <f>IFERROR(VLOOKUP(D1664,Products!$A$2:$F$61,6,FALSE()),"")</f>
        <v>1</v>
      </c>
      <c r="T1664" t="str">
        <f>IF(COUNTIF(Customers!$A$2:$A$301,C1664)=0,"Missing","OK")</f>
        <v>OK</v>
      </c>
      <c r="U1664" t="str">
        <f t="shared" si="76"/>
        <v>Pune</v>
      </c>
      <c r="V1664">
        <f t="shared" si="77"/>
        <v>0</v>
      </c>
    </row>
    <row r="1665" spans="1:22" ht="15" customHeight="1" x14ac:dyDescent="0.35">
      <c r="A1665" s="3" t="s">
        <v>2099</v>
      </c>
      <c r="B1665" s="4">
        <v>45483</v>
      </c>
      <c r="C1665" s="3" t="s">
        <v>350</v>
      </c>
      <c r="D1665" s="3" t="s">
        <v>41</v>
      </c>
      <c r="E1665" s="3" t="s">
        <v>87</v>
      </c>
      <c r="F1665" s="5">
        <v>6</v>
      </c>
      <c r="G1665" s="5">
        <v>3660</v>
      </c>
      <c r="H1665" s="5">
        <v>29.9</v>
      </c>
      <c r="I1665" s="5">
        <v>15393.96</v>
      </c>
      <c r="J1665" s="3" t="s">
        <v>26</v>
      </c>
      <c r="K1665" s="3" t="s">
        <v>51</v>
      </c>
      <c r="L1665" t="str">
        <f>IFERROR(VLOOKUP(D1665,Products!$A$2:$F$61,3,FALSE()),"")</f>
        <v>Grocery</v>
      </c>
      <c r="M1665" t="str">
        <f>IFERROR(VLOOKUP(E1665,Sales_Reps!$A$2:$C$31,3,FALSE()),"")</f>
        <v>North</v>
      </c>
      <c r="N1665">
        <f>IFERROR(VLOOKUP(D1665,Products!$A$2:$F$61,4,FALSE()),"")</f>
        <v>2214</v>
      </c>
      <c r="O1665" t="str">
        <f>IFERROR(VLOOKUP(C1665,Customers!$A$2:$F$301,5,FALSE()),"")</f>
        <v>Retail</v>
      </c>
      <c r="P1665">
        <f>IFERROR(VLOOKUP(C1665,Customers!$A$2:$F$301,3,FALSE()),"")</f>
        <v>61</v>
      </c>
      <c r="Q1665">
        <f t="shared" si="75"/>
        <v>0.39508196721311473</v>
      </c>
      <c r="R1665">
        <f>IF(AND(COUNTIF($A$2:$A$2027,A1665)&gt;1,COUNTIF($A$2:A1665,A1665)=1),1,0)</f>
        <v>0</v>
      </c>
      <c r="S1665" t="b">
        <f>IFERROR(VLOOKUP(D1665,Products!$A$2:$F$61,6,FALSE()),"")</f>
        <v>0</v>
      </c>
      <c r="T1665" t="str">
        <f>IF(COUNTIF(Customers!$A$2:$A$301,C1665)=0,"Missing","OK")</f>
        <v>OK</v>
      </c>
      <c r="U1665" t="str">
        <f t="shared" si="76"/>
        <v>Mumbai</v>
      </c>
      <c r="V1665">
        <f t="shared" si="77"/>
        <v>0</v>
      </c>
    </row>
    <row r="1666" spans="1:22" ht="15" customHeight="1" x14ac:dyDescent="0.35">
      <c r="A1666" s="3" t="s">
        <v>2100</v>
      </c>
      <c r="B1666" s="4">
        <v>45426</v>
      </c>
      <c r="C1666" s="3" t="s">
        <v>463</v>
      </c>
      <c r="D1666" s="3" t="s">
        <v>74</v>
      </c>
      <c r="E1666" s="3" t="s">
        <v>191</v>
      </c>
      <c r="F1666" s="5">
        <v>8</v>
      </c>
      <c r="G1666" s="5">
        <v>2640</v>
      </c>
      <c r="H1666" s="5">
        <v>4.2</v>
      </c>
      <c r="I1666" s="5">
        <v>20232.96</v>
      </c>
      <c r="J1666" s="3" t="s">
        <v>83</v>
      </c>
      <c r="K1666" s="3" t="s">
        <v>51</v>
      </c>
      <c r="L1666" t="str">
        <f>IFERROR(VLOOKUP(D1666,Products!$A$2:$F$61,3,FALSE()),"")</f>
        <v>Electronics</v>
      </c>
      <c r="M1666" t="str">
        <f>IFERROR(VLOOKUP(E1666,Sales_Reps!$A$2:$C$31,3,FALSE()),"")</f>
        <v>South</v>
      </c>
      <c r="N1666">
        <f>IFERROR(VLOOKUP(D1666,Products!$A$2:$F$61,4,FALSE()),"")</f>
        <v>1149</v>
      </c>
      <c r="O1666" t="str">
        <f>IFERROR(VLOOKUP(C1666,Customers!$A$2:$F$301,5,FALSE()),"")</f>
        <v>Corporate</v>
      </c>
      <c r="P1666">
        <f>IFERROR(VLOOKUP(C1666,Customers!$A$2:$F$301,3,FALSE()),"")</f>
        <v>55</v>
      </c>
      <c r="Q1666">
        <f t="shared" ref="Q1666:Q1729" si="78">IFERROR((G1666-N1666)/G1666,"")</f>
        <v>0.56477272727272732</v>
      </c>
      <c r="R1666">
        <f>IF(AND(COUNTIF($A$2:$A$2027,A1666)&gt;1,COUNTIF($A$2:A1666,A1666)=1),1,0)</f>
        <v>0</v>
      </c>
      <c r="S1666" t="b">
        <f>IFERROR(VLOOKUP(D1666,Products!$A$2:$F$61,6,FALSE()),"")</f>
        <v>1</v>
      </c>
      <c r="T1666" t="str">
        <f>IF(COUNTIF(Customers!$A$2:$A$301,C1666)=0,"Missing","OK")</f>
        <v>OK</v>
      </c>
      <c r="U1666" t="str">
        <f t="shared" ref="U1666:U1729" si="79">IF(K1666="","",PROPER(TRIM(K1666)))</f>
        <v>Mumbai</v>
      </c>
      <c r="V1666">
        <f t="shared" ref="V1666:V1729" si="80">IF(AND(U1666="Bengaluru",L1666="Grocery"),I1666,0)</f>
        <v>0</v>
      </c>
    </row>
    <row r="1667" spans="1:22" ht="15" customHeight="1" x14ac:dyDescent="0.35">
      <c r="A1667" s="3" t="s">
        <v>2101</v>
      </c>
      <c r="B1667" s="4">
        <v>45386</v>
      </c>
      <c r="C1667" s="3" t="s">
        <v>89</v>
      </c>
      <c r="D1667" s="3" t="s">
        <v>49</v>
      </c>
      <c r="E1667" s="3" t="s">
        <v>42</v>
      </c>
      <c r="F1667" s="5">
        <v>5</v>
      </c>
      <c r="G1667" s="5">
        <v>370</v>
      </c>
      <c r="H1667" s="5">
        <v>6</v>
      </c>
      <c r="I1667" s="5">
        <v>1739</v>
      </c>
      <c r="J1667" s="3" t="s">
        <v>26</v>
      </c>
      <c r="K1667" s="3" t="s">
        <v>27</v>
      </c>
      <c r="L1667" t="str">
        <f>IFERROR(VLOOKUP(D1667,Products!$A$2:$F$61,3,FALSE()),"")</f>
        <v>Home</v>
      </c>
      <c r="M1667" t="str">
        <f>IFERROR(VLOOKUP(E1667,Sales_Reps!$A$2:$C$31,3,FALSE()),"")</f>
        <v>North</v>
      </c>
      <c r="N1667">
        <f>IFERROR(VLOOKUP(D1667,Products!$A$2:$F$61,4,FALSE()),"")</f>
        <v>288</v>
      </c>
      <c r="O1667" t="str">
        <f>IFERROR(VLOOKUP(C1667,Customers!$A$2:$F$301,5,FALSE()),"")</f>
        <v>Retail</v>
      </c>
      <c r="P1667">
        <f>IFERROR(VLOOKUP(C1667,Customers!$A$2:$F$301,3,FALSE()),"")</f>
        <v>63</v>
      </c>
      <c r="Q1667">
        <f t="shared" si="78"/>
        <v>0.22162162162162163</v>
      </c>
      <c r="R1667">
        <f>IF(AND(COUNTIF($A$2:$A$2027,A1667)&gt;1,COUNTIF($A$2:A1667,A1667)=1),1,0)</f>
        <v>0</v>
      </c>
      <c r="S1667" t="b">
        <f>IFERROR(VLOOKUP(D1667,Products!$A$2:$F$61,6,FALSE()),"")</f>
        <v>1</v>
      </c>
      <c r="T1667" t="str">
        <f>IF(COUNTIF(Customers!$A$2:$A$301,C1667)=0,"Missing","OK")</f>
        <v>OK</v>
      </c>
      <c r="U1667" t="str">
        <f t="shared" si="79"/>
        <v>Pune</v>
      </c>
      <c r="V1667">
        <f t="shared" si="80"/>
        <v>0</v>
      </c>
    </row>
    <row r="1668" spans="1:22" ht="15" customHeight="1" x14ac:dyDescent="0.35">
      <c r="A1668" s="3" t="s">
        <v>2102</v>
      </c>
      <c r="B1668" s="4">
        <v>45377</v>
      </c>
      <c r="C1668" s="3" t="s">
        <v>1004</v>
      </c>
      <c r="D1668" s="3" t="s">
        <v>70</v>
      </c>
      <c r="E1668" s="3" t="s">
        <v>25</v>
      </c>
      <c r="F1668" s="5">
        <v>9</v>
      </c>
      <c r="G1668" s="5">
        <v>2270</v>
      </c>
      <c r="H1668" s="5">
        <v>4.7</v>
      </c>
      <c r="I1668" s="5">
        <v>19469.79</v>
      </c>
      <c r="J1668" s="3" t="s">
        <v>26</v>
      </c>
      <c r="K1668" s="3" t="s">
        <v>33</v>
      </c>
      <c r="L1668" t="str">
        <f>IFERROR(VLOOKUP(D1668,Products!$A$2:$F$61,3,FALSE()),"")</f>
        <v>Grocery</v>
      </c>
      <c r="M1668" t="str">
        <f>IFERROR(VLOOKUP(E1668,Sales_Reps!$A$2:$C$31,3,FALSE()),"")</f>
        <v>North</v>
      </c>
      <c r="N1668">
        <f>IFERROR(VLOOKUP(D1668,Products!$A$2:$F$61,4,FALSE()),"")</f>
        <v>1203</v>
      </c>
      <c r="O1668" t="str">
        <f>IFERROR(VLOOKUP(C1668,Customers!$A$2:$F$301,5,FALSE()),"")</f>
        <v>Retail</v>
      </c>
      <c r="P1668">
        <f>IFERROR(VLOOKUP(C1668,Customers!$A$2:$F$301,3,FALSE()),"")</f>
        <v>49</v>
      </c>
      <c r="Q1668">
        <f t="shared" si="78"/>
        <v>0.47004405286343615</v>
      </c>
      <c r="R1668">
        <f>IF(AND(COUNTIF($A$2:$A$2027,A1668)&gt;1,COUNTIF($A$2:A1668,A1668)=1),1,0)</f>
        <v>0</v>
      </c>
      <c r="S1668" t="b">
        <f>IFERROR(VLOOKUP(D1668,Products!$A$2:$F$61,6,FALSE()),"")</f>
        <v>1</v>
      </c>
      <c r="T1668" t="str">
        <f>IF(COUNTIF(Customers!$A$2:$A$301,C1668)=0,"Missing","OK")</f>
        <v>OK</v>
      </c>
      <c r="U1668" t="str">
        <f t="shared" si="79"/>
        <v>Chennai</v>
      </c>
      <c r="V1668">
        <f t="shared" si="80"/>
        <v>0</v>
      </c>
    </row>
    <row r="1669" spans="1:22" ht="15" customHeight="1" x14ac:dyDescent="0.35">
      <c r="A1669" s="3" t="s">
        <v>2103</v>
      </c>
      <c r="B1669" s="4">
        <v>45414</v>
      </c>
      <c r="C1669" s="3" t="s">
        <v>776</v>
      </c>
      <c r="D1669" s="3" t="s">
        <v>142</v>
      </c>
      <c r="E1669" s="3" t="s">
        <v>212</v>
      </c>
      <c r="F1669" s="5">
        <v>5</v>
      </c>
      <c r="G1669" s="5">
        <v>660</v>
      </c>
      <c r="H1669" s="5">
        <v>21</v>
      </c>
      <c r="I1669" s="5">
        <v>2607</v>
      </c>
      <c r="J1669" s="3" t="s">
        <v>26</v>
      </c>
      <c r="K1669" s="3" t="s">
        <v>56</v>
      </c>
      <c r="L1669" t="str">
        <f>IFERROR(VLOOKUP(D1669,Products!$A$2:$F$61,3,FALSE()),"")</f>
        <v>Home</v>
      </c>
      <c r="M1669" t="str">
        <f>IFERROR(VLOOKUP(E1669,Sales_Reps!$A$2:$C$31,3,FALSE()),"")</f>
        <v>South</v>
      </c>
      <c r="N1669">
        <f>IFERROR(VLOOKUP(D1669,Products!$A$2:$F$61,4,FALSE()),"")</f>
        <v>329</v>
      </c>
      <c r="O1669" t="str">
        <f>IFERROR(VLOOKUP(C1669,Customers!$A$2:$F$301,5,FALSE()),"")</f>
        <v>Retail</v>
      </c>
      <c r="P1669">
        <f>IFERROR(VLOOKUP(C1669,Customers!$A$2:$F$301,3,FALSE()),"")</f>
        <v>37</v>
      </c>
      <c r="Q1669">
        <f t="shared" si="78"/>
        <v>0.50151515151515147</v>
      </c>
      <c r="R1669">
        <f>IF(AND(COUNTIF($A$2:$A$2027,A1669)&gt;1,COUNTIF($A$2:A1669,A1669)=1),1,0)</f>
        <v>0</v>
      </c>
      <c r="S1669" t="b">
        <f>IFERROR(VLOOKUP(D1669,Products!$A$2:$F$61,6,FALSE()),"")</f>
        <v>1</v>
      </c>
      <c r="T1669" t="str">
        <f>IF(COUNTIF(Customers!$A$2:$A$301,C1669)=0,"Missing","OK")</f>
        <v>OK</v>
      </c>
      <c r="U1669" t="str">
        <f t="shared" si="79"/>
        <v>Bengaluru</v>
      </c>
      <c r="V1669">
        <f t="shared" si="80"/>
        <v>0</v>
      </c>
    </row>
    <row r="1670" spans="1:22" ht="15" customHeight="1" x14ac:dyDescent="0.35">
      <c r="A1670" s="3" t="s">
        <v>2104</v>
      </c>
      <c r="B1670" s="4">
        <v>45407</v>
      </c>
      <c r="C1670" s="3" t="s">
        <v>2105</v>
      </c>
      <c r="D1670" s="3" t="s">
        <v>54</v>
      </c>
      <c r="E1670" s="3" t="s">
        <v>87</v>
      </c>
      <c r="F1670" s="5">
        <v>2</v>
      </c>
      <c r="G1670" s="5">
        <v>960</v>
      </c>
      <c r="H1670" s="5">
        <v>7.3</v>
      </c>
      <c r="I1670" s="5">
        <v>1779.84</v>
      </c>
      <c r="J1670" s="3" t="s">
        <v>26</v>
      </c>
      <c r="K1670" s="3" t="s">
        <v>56</v>
      </c>
      <c r="L1670" t="str">
        <f>IFERROR(VLOOKUP(D1670,Products!$A$2:$F$61,3,FALSE()),"")</f>
        <v>Sports</v>
      </c>
      <c r="M1670" t="str">
        <f>IFERROR(VLOOKUP(E1670,Sales_Reps!$A$2:$C$31,3,FALSE()),"")</f>
        <v>North</v>
      </c>
      <c r="N1670">
        <f>IFERROR(VLOOKUP(D1670,Products!$A$2:$F$61,4,FALSE()),"")</f>
        <v>705</v>
      </c>
      <c r="O1670" t="str">
        <f>IFERROR(VLOOKUP(C1670,Customers!$A$2:$F$301,5,FALSE()),"")</f>
        <v/>
      </c>
      <c r="P1670" t="str">
        <f>IFERROR(VLOOKUP(C1670,Customers!$A$2:$F$301,3,FALSE()),"")</f>
        <v/>
      </c>
      <c r="Q1670">
        <f t="shared" si="78"/>
        <v>0.265625</v>
      </c>
      <c r="R1670">
        <f>IF(AND(COUNTIF($A$2:$A$2027,A1670)&gt;1,COUNTIF($A$2:A1670,A1670)=1),1,0)</f>
        <v>0</v>
      </c>
      <c r="S1670" t="b">
        <f>IFERROR(VLOOKUP(D1670,Products!$A$2:$F$61,6,FALSE()),"")</f>
        <v>1</v>
      </c>
      <c r="T1670" t="str">
        <f>IF(COUNTIF(Customers!$A$2:$A$301,C1670)=0,"Missing","OK")</f>
        <v>Missing</v>
      </c>
      <c r="U1670" t="str">
        <f t="shared" si="79"/>
        <v>Bengaluru</v>
      </c>
      <c r="V1670">
        <f t="shared" si="80"/>
        <v>0</v>
      </c>
    </row>
    <row r="1671" spans="1:22" ht="15" customHeight="1" x14ac:dyDescent="0.35">
      <c r="A1671" s="3" t="s">
        <v>2106</v>
      </c>
      <c r="B1671" s="4">
        <v>45509</v>
      </c>
      <c r="C1671" s="3" t="s">
        <v>105</v>
      </c>
      <c r="D1671" s="3" t="s">
        <v>130</v>
      </c>
      <c r="E1671" s="3" t="s">
        <v>143</v>
      </c>
      <c r="F1671" s="5">
        <v>3</v>
      </c>
      <c r="G1671" s="5">
        <v>5100</v>
      </c>
      <c r="H1671" s="5">
        <v>21</v>
      </c>
      <c r="I1671" s="5">
        <v>12087</v>
      </c>
      <c r="J1671" s="3" t="s">
        <v>26</v>
      </c>
      <c r="K1671" s="3" t="s">
        <v>72</v>
      </c>
      <c r="L1671" t="str">
        <f>IFERROR(VLOOKUP(D1671,Products!$A$2:$F$61,3,FALSE()),"")</f>
        <v>Beauty</v>
      </c>
      <c r="M1671" t="str">
        <f>IFERROR(VLOOKUP(E1671,Sales_Reps!$A$2:$C$31,3,FALSE()),"")</f>
        <v>South</v>
      </c>
      <c r="N1671">
        <f>IFERROR(VLOOKUP(D1671,Products!$A$2:$F$61,4,FALSE()),"")</f>
        <v>2237</v>
      </c>
      <c r="O1671" t="str">
        <f>IFERROR(VLOOKUP(C1671,Customers!$A$2:$F$301,5,FALSE()),"")</f>
        <v>Retail</v>
      </c>
      <c r="P1671">
        <f>IFERROR(VLOOKUP(C1671,Customers!$A$2:$F$301,3,FALSE()),"")</f>
        <v>32</v>
      </c>
      <c r="Q1671">
        <f t="shared" si="78"/>
        <v>0.56137254901960787</v>
      </c>
      <c r="R1671">
        <f>IF(AND(COUNTIF($A$2:$A$2027,A1671)&gt;1,COUNTIF($A$2:A1671,A1671)=1),1,0)</f>
        <v>0</v>
      </c>
      <c r="S1671" t="b">
        <f>IFERROR(VLOOKUP(D1671,Products!$A$2:$F$61,6,FALSE()),"")</f>
        <v>1</v>
      </c>
      <c r="T1671" t="str">
        <f>IF(COUNTIF(Customers!$A$2:$A$301,C1671)=0,"Missing","OK")</f>
        <v>OK</v>
      </c>
      <c r="U1671" t="str">
        <f t="shared" si="79"/>
        <v>Hyderabad</v>
      </c>
      <c r="V1671">
        <f t="shared" si="80"/>
        <v>0</v>
      </c>
    </row>
    <row r="1672" spans="1:22" ht="15" customHeight="1" x14ac:dyDescent="0.35">
      <c r="A1672" s="3" t="s">
        <v>2107</v>
      </c>
      <c r="B1672" s="4">
        <v>45566</v>
      </c>
      <c r="C1672" s="3" t="s">
        <v>220</v>
      </c>
      <c r="D1672" s="3" t="s">
        <v>45</v>
      </c>
      <c r="E1672" s="3" t="s">
        <v>78</v>
      </c>
      <c r="F1672" s="5">
        <v>3</v>
      </c>
      <c r="G1672" s="5">
        <v>3160</v>
      </c>
      <c r="H1672" s="5">
        <v>13.5</v>
      </c>
      <c r="I1672" s="5">
        <v>8200.2000000000007</v>
      </c>
      <c r="J1672" s="3" t="s">
        <v>26</v>
      </c>
      <c r="K1672" s="3" t="s">
        <v>27</v>
      </c>
      <c r="L1672" t="str">
        <f>IFERROR(VLOOKUP(D1672,Products!$A$2:$F$61,3,FALSE()),"")</f>
        <v>Apparel</v>
      </c>
      <c r="M1672" t="str">
        <f>IFERROR(VLOOKUP(E1672,Sales_Reps!$A$2:$C$31,3,FALSE()),"")</f>
        <v>North</v>
      </c>
      <c r="N1672">
        <f>IFERROR(VLOOKUP(D1672,Products!$A$2:$F$61,4,FALSE()),"")</f>
        <v>1886</v>
      </c>
      <c r="O1672" t="str">
        <f>IFERROR(VLOOKUP(C1672,Customers!$A$2:$F$301,5,FALSE()),"")</f>
        <v>Retail</v>
      </c>
      <c r="P1672">
        <f>IFERROR(VLOOKUP(C1672,Customers!$A$2:$F$301,3,FALSE()),"")</f>
        <v>25</v>
      </c>
      <c r="Q1672">
        <f t="shared" si="78"/>
        <v>0.4031645569620253</v>
      </c>
      <c r="R1672">
        <f>IF(AND(COUNTIF($A$2:$A$2027,A1672)&gt;1,COUNTIF($A$2:A1672,A1672)=1),1,0)</f>
        <v>0</v>
      </c>
      <c r="S1672" t="b">
        <f>IFERROR(VLOOKUP(D1672,Products!$A$2:$F$61,6,FALSE()),"")</f>
        <v>1</v>
      </c>
      <c r="T1672" t="str">
        <f>IF(COUNTIF(Customers!$A$2:$A$301,C1672)=0,"Missing","OK")</f>
        <v>OK</v>
      </c>
      <c r="U1672" t="str">
        <f t="shared" si="79"/>
        <v>Pune</v>
      </c>
      <c r="V1672">
        <f t="shared" si="80"/>
        <v>0</v>
      </c>
    </row>
    <row r="1673" spans="1:22" ht="15" customHeight="1" x14ac:dyDescent="0.35">
      <c r="A1673" s="3" t="s">
        <v>2108</v>
      </c>
      <c r="B1673" s="4">
        <v>45524</v>
      </c>
      <c r="C1673" s="3" t="s">
        <v>2109</v>
      </c>
      <c r="D1673" s="3" t="s">
        <v>198</v>
      </c>
      <c r="E1673" s="3" t="s">
        <v>31</v>
      </c>
      <c r="F1673" s="5">
        <v>9</v>
      </c>
      <c r="G1673" s="5">
        <v>1540</v>
      </c>
      <c r="H1673" s="5">
        <v>18.2</v>
      </c>
      <c r="I1673" s="5">
        <v>11337.48</v>
      </c>
      <c r="J1673" s="3" t="s">
        <v>79</v>
      </c>
      <c r="K1673" s="3" t="s">
        <v>56</v>
      </c>
      <c r="L1673" t="str">
        <f>IFERROR(VLOOKUP(D1673,Products!$A$2:$F$61,3,FALSE()),"")</f>
        <v>Beauty</v>
      </c>
      <c r="M1673" t="str">
        <f>IFERROR(VLOOKUP(E1673,Sales_Reps!$A$2:$C$31,3,FALSE()),"")</f>
        <v>North</v>
      </c>
      <c r="N1673">
        <f>IFERROR(VLOOKUP(D1673,Products!$A$2:$F$61,4,FALSE()),"")</f>
        <v>647</v>
      </c>
      <c r="O1673" t="str">
        <f>IFERROR(VLOOKUP(C1673,Customers!$A$2:$F$301,5,FALSE()),"")</f>
        <v/>
      </c>
      <c r="P1673" t="str">
        <f>IFERROR(VLOOKUP(C1673,Customers!$A$2:$F$301,3,FALSE()),"")</f>
        <v/>
      </c>
      <c r="Q1673">
        <f t="shared" si="78"/>
        <v>0.57987012987012987</v>
      </c>
      <c r="R1673">
        <f>IF(AND(COUNTIF($A$2:$A$2027,A1673)&gt;1,COUNTIF($A$2:A1673,A1673)=1),1,0)</f>
        <v>0</v>
      </c>
      <c r="S1673" t="b">
        <f>IFERROR(VLOOKUP(D1673,Products!$A$2:$F$61,6,FALSE()),"")</f>
        <v>0</v>
      </c>
      <c r="T1673" t="str">
        <f>IF(COUNTIF(Customers!$A$2:$A$301,C1673)=0,"Missing","OK")</f>
        <v>Missing</v>
      </c>
      <c r="U1673" t="str">
        <f t="shared" si="79"/>
        <v>Bengaluru</v>
      </c>
      <c r="V1673">
        <f t="shared" si="80"/>
        <v>0</v>
      </c>
    </row>
    <row r="1674" spans="1:22" ht="15" customHeight="1" x14ac:dyDescent="0.35">
      <c r="A1674" s="3" t="s">
        <v>2110</v>
      </c>
      <c r="B1674" s="4">
        <v>45431</v>
      </c>
      <c r="C1674" s="3" t="s">
        <v>92</v>
      </c>
      <c r="D1674" s="3" t="s">
        <v>96</v>
      </c>
      <c r="E1674" s="3" t="s">
        <v>55</v>
      </c>
      <c r="F1674" s="5">
        <v>4</v>
      </c>
      <c r="G1674" s="5">
        <v>3450</v>
      </c>
      <c r="H1674" s="5">
        <v>26.4</v>
      </c>
      <c r="I1674" s="5">
        <v>10156.799999999999</v>
      </c>
      <c r="J1674" s="3" t="s">
        <v>32</v>
      </c>
      <c r="K1674" s="3" t="s">
        <v>56</v>
      </c>
      <c r="L1674" t="str">
        <f>IFERROR(VLOOKUP(D1674,Products!$A$2:$F$61,3,FALSE()),"")</f>
        <v>Beauty</v>
      </c>
      <c r="M1674" t="str">
        <f>IFERROR(VLOOKUP(E1674,Sales_Reps!$A$2:$C$31,3,FALSE()),"")</f>
        <v>West</v>
      </c>
      <c r="N1674">
        <f>IFERROR(VLOOKUP(D1674,Products!$A$2:$F$61,4,FALSE()),"")</f>
        <v>2420</v>
      </c>
      <c r="O1674" t="str">
        <f>IFERROR(VLOOKUP(C1674,Customers!$A$2:$F$301,5,FALSE()),"")</f>
        <v>SMB</v>
      </c>
      <c r="P1674">
        <f>IFERROR(VLOOKUP(C1674,Customers!$A$2:$F$301,3,FALSE()),"")</f>
        <v>46</v>
      </c>
      <c r="Q1674">
        <f t="shared" si="78"/>
        <v>0.29855072463768118</v>
      </c>
      <c r="R1674">
        <f>IF(AND(COUNTIF($A$2:$A$2027,A1674)&gt;1,COUNTIF($A$2:A1674,A1674)=1),1,0)</f>
        <v>0</v>
      </c>
      <c r="S1674" t="b">
        <f>IFERROR(VLOOKUP(D1674,Products!$A$2:$F$61,6,FALSE()),"")</f>
        <v>1</v>
      </c>
      <c r="T1674" t="str">
        <f>IF(COUNTIF(Customers!$A$2:$A$301,C1674)=0,"Missing","OK")</f>
        <v>OK</v>
      </c>
      <c r="U1674" t="str">
        <f t="shared" si="79"/>
        <v>Bengaluru</v>
      </c>
      <c r="V1674">
        <f t="shared" si="80"/>
        <v>0</v>
      </c>
    </row>
    <row r="1675" spans="1:22" ht="15" customHeight="1" x14ac:dyDescent="0.35">
      <c r="A1675" s="3" t="s">
        <v>2111</v>
      </c>
      <c r="B1675" s="4">
        <v>45598</v>
      </c>
      <c r="C1675" s="3" t="s">
        <v>350</v>
      </c>
      <c r="D1675" s="3" t="s">
        <v>306</v>
      </c>
      <c r="E1675" s="3" t="s">
        <v>140</v>
      </c>
      <c r="F1675" s="5">
        <v>4</v>
      </c>
      <c r="G1675" s="5">
        <v>2380</v>
      </c>
      <c r="H1675" s="5">
        <v>6.9</v>
      </c>
      <c r="I1675" s="5">
        <v>8863.1200000000008</v>
      </c>
      <c r="J1675" s="3" t="s">
        <v>26</v>
      </c>
      <c r="K1675" s="3" t="s">
        <v>51</v>
      </c>
      <c r="L1675" t="str">
        <f>IFERROR(VLOOKUP(D1675,Products!$A$2:$F$61,3,FALSE()),"")</f>
        <v>Grocery</v>
      </c>
      <c r="M1675" t="str">
        <f>IFERROR(VLOOKUP(E1675,Sales_Reps!$A$2:$C$31,3,FALSE()),"")</f>
        <v>West</v>
      </c>
      <c r="N1675">
        <f>IFERROR(VLOOKUP(D1675,Products!$A$2:$F$61,4,FALSE()),"")</f>
        <v>1182</v>
      </c>
      <c r="O1675" t="str">
        <f>IFERROR(VLOOKUP(C1675,Customers!$A$2:$F$301,5,FALSE()),"")</f>
        <v>Retail</v>
      </c>
      <c r="P1675">
        <f>IFERROR(VLOOKUP(C1675,Customers!$A$2:$F$301,3,FALSE()),"")</f>
        <v>61</v>
      </c>
      <c r="Q1675">
        <f t="shared" si="78"/>
        <v>0.50336134453781511</v>
      </c>
      <c r="R1675">
        <f>IF(AND(COUNTIF($A$2:$A$2027,A1675)&gt;1,COUNTIF($A$2:A1675,A1675)=1),1,0)</f>
        <v>0</v>
      </c>
      <c r="S1675" t="b">
        <f>IFERROR(VLOOKUP(D1675,Products!$A$2:$F$61,6,FALSE()),"")</f>
        <v>1</v>
      </c>
      <c r="T1675" t="str">
        <f>IF(COUNTIF(Customers!$A$2:$A$301,C1675)=0,"Missing","OK")</f>
        <v>OK</v>
      </c>
      <c r="U1675" t="str">
        <f t="shared" si="79"/>
        <v>Mumbai</v>
      </c>
      <c r="V1675">
        <f t="shared" si="80"/>
        <v>0</v>
      </c>
    </row>
    <row r="1676" spans="1:22" ht="15" customHeight="1" x14ac:dyDescent="0.35">
      <c r="A1676" s="3" t="s">
        <v>2112</v>
      </c>
      <c r="B1676" s="4">
        <v>45419</v>
      </c>
      <c r="C1676" s="3" t="s">
        <v>220</v>
      </c>
      <c r="D1676" s="3" t="s">
        <v>165</v>
      </c>
      <c r="E1676" s="3" t="s">
        <v>87</v>
      </c>
      <c r="F1676" s="5">
        <v>2</v>
      </c>
      <c r="G1676" s="5">
        <v>3730</v>
      </c>
      <c r="H1676" s="5">
        <v>22.9</v>
      </c>
      <c r="I1676" s="5">
        <v>5751.66</v>
      </c>
      <c r="J1676" s="3" t="s">
        <v>26</v>
      </c>
      <c r="K1676" s="3" t="s">
        <v>27</v>
      </c>
      <c r="L1676" t="str">
        <f>IFERROR(VLOOKUP(D1676,Products!$A$2:$F$61,3,FALSE()),"")</f>
        <v>Home</v>
      </c>
      <c r="M1676" t="str">
        <f>IFERROR(VLOOKUP(E1676,Sales_Reps!$A$2:$C$31,3,FALSE()),"")</f>
        <v>North</v>
      </c>
      <c r="N1676">
        <f>IFERROR(VLOOKUP(D1676,Products!$A$2:$F$61,4,FALSE()),"")</f>
        <v>2135</v>
      </c>
      <c r="O1676" t="str">
        <f>IFERROR(VLOOKUP(C1676,Customers!$A$2:$F$301,5,FALSE()),"")</f>
        <v>Retail</v>
      </c>
      <c r="P1676">
        <f>IFERROR(VLOOKUP(C1676,Customers!$A$2:$F$301,3,FALSE()),"")</f>
        <v>25</v>
      </c>
      <c r="Q1676">
        <f t="shared" si="78"/>
        <v>0.42761394101876676</v>
      </c>
      <c r="R1676">
        <f>IF(AND(COUNTIF($A$2:$A$2027,A1676)&gt;1,COUNTIF($A$2:A1676,A1676)=1),1,0)</f>
        <v>0</v>
      </c>
      <c r="S1676" t="b">
        <f>IFERROR(VLOOKUP(D1676,Products!$A$2:$F$61,6,FALSE()),"")</f>
        <v>1</v>
      </c>
      <c r="T1676" t="str">
        <f>IF(COUNTIF(Customers!$A$2:$A$301,C1676)=0,"Missing","OK")</f>
        <v>OK</v>
      </c>
      <c r="U1676" t="str">
        <f t="shared" si="79"/>
        <v>Pune</v>
      </c>
      <c r="V1676">
        <f t="shared" si="80"/>
        <v>0</v>
      </c>
    </row>
    <row r="1677" spans="1:22" ht="15" customHeight="1" x14ac:dyDescent="0.35">
      <c r="A1677" s="3" t="s">
        <v>2113</v>
      </c>
      <c r="B1677" s="4">
        <v>45549</v>
      </c>
      <c r="C1677" s="3" t="s">
        <v>312</v>
      </c>
      <c r="D1677" s="3" t="s">
        <v>82</v>
      </c>
      <c r="E1677" s="3" t="s">
        <v>236</v>
      </c>
      <c r="F1677" s="5">
        <v>7</v>
      </c>
      <c r="G1677" s="5">
        <v>3250</v>
      </c>
      <c r="H1677" s="5">
        <v>6</v>
      </c>
      <c r="I1677" s="5">
        <v>21385</v>
      </c>
      <c r="J1677" s="3" t="s">
        <v>26</v>
      </c>
      <c r="K1677" s="3" t="s">
        <v>27</v>
      </c>
      <c r="L1677" t="str">
        <f>IFERROR(VLOOKUP(D1677,Products!$A$2:$F$61,3,FALSE()),"")</f>
        <v>Home</v>
      </c>
      <c r="M1677" t="str">
        <f>IFERROR(VLOOKUP(E1677,Sales_Reps!$A$2:$C$31,3,FALSE()),"")</f>
        <v>North</v>
      </c>
      <c r="N1677">
        <f>IFERROR(VLOOKUP(D1677,Products!$A$2:$F$61,4,FALSE()),"")</f>
        <v>1556</v>
      </c>
      <c r="O1677" t="str">
        <f>IFERROR(VLOOKUP(C1677,Customers!$A$2:$F$301,5,FALSE()),"")</f>
        <v>Retail</v>
      </c>
      <c r="P1677">
        <f>IFERROR(VLOOKUP(C1677,Customers!$A$2:$F$301,3,FALSE()),"")</f>
        <v>43</v>
      </c>
      <c r="Q1677">
        <f t="shared" si="78"/>
        <v>0.52123076923076928</v>
      </c>
      <c r="R1677">
        <f>IF(AND(COUNTIF($A$2:$A$2027,A1677)&gt;1,COUNTIF($A$2:A1677,A1677)=1),1,0)</f>
        <v>0</v>
      </c>
      <c r="S1677" t="b">
        <f>IFERROR(VLOOKUP(D1677,Products!$A$2:$F$61,6,FALSE()),"")</f>
        <v>1</v>
      </c>
      <c r="T1677" t="str">
        <f>IF(COUNTIF(Customers!$A$2:$A$301,C1677)=0,"Missing","OK")</f>
        <v>OK</v>
      </c>
      <c r="U1677" t="str">
        <f t="shared" si="79"/>
        <v>Pune</v>
      </c>
      <c r="V1677">
        <f t="shared" si="80"/>
        <v>0</v>
      </c>
    </row>
    <row r="1678" spans="1:22" ht="15" customHeight="1" x14ac:dyDescent="0.35">
      <c r="A1678" s="3" t="s">
        <v>2114</v>
      </c>
      <c r="B1678" s="4">
        <v>45519</v>
      </c>
      <c r="C1678" s="3" t="s">
        <v>709</v>
      </c>
      <c r="D1678" s="3" t="s">
        <v>36</v>
      </c>
      <c r="E1678" s="3" t="s">
        <v>131</v>
      </c>
      <c r="F1678" s="5">
        <v>9</v>
      </c>
      <c r="G1678" s="5">
        <v>470</v>
      </c>
      <c r="H1678" s="5">
        <v>11.6</v>
      </c>
      <c r="I1678" s="5">
        <v>3739.32</v>
      </c>
      <c r="J1678" s="3" t="s">
        <v>26</v>
      </c>
      <c r="K1678" s="3" t="s">
        <v>27</v>
      </c>
      <c r="L1678" t="str">
        <f>IFERROR(VLOOKUP(D1678,Products!$A$2:$F$61,3,FALSE()),"")</f>
        <v>Sports</v>
      </c>
      <c r="M1678" t="str">
        <f>IFERROR(VLOOKUP(E1678,Sales_Reps!$A$2:$C$31,3,FALSE()),"")</f>
        <v>East</v>
      </c>
      <c r="N1678">
        <f>IFERROR(VLOOKUP(D1678,Products!$A$2:$F$61,4,FALSE()),"")</f>
        <v>302</v>
      </c>
      <c r="O1678" t="str">
        <f>IFERROR(VLOOKUP(C1678,Customers!$A$2:$F$301,5,FALSE()),"")</f>
        <v>Retail</v>
      </c>
      <c r="P1678">
        <f>IFERROR(VLOOKUP(C1678,Customers!$A$2:$F$301,3,FALSE()),"")</f>
        <v>35</v>
      </c>
      <c r="Q1678">
        <f t="shared" si="78"/>
        <v>0.35744680851063831</v>
      </c>
      <c r="R1678">
        <f>IF(AND(COUNTIF($A$2:$A$2027,A1678)&gt;1,COUNTIF($A$2:A1678,A1678)=1),1,0)</f>
        <v>0</v>
      </c>
      <c r="S1678" t="b">
        <f>IFERROR(VLOOKUP(D1678,Products!$A$2:$F$61,6,FALSE()),"")</f>
        <v>0</v>
      </c>
      <c r="T1678" t="str">
        <f>IF(COUNTIF(Customers!$A$2:$A$301,C1678)=0,"Missing","OK")</f>
        <v>OK</v>
      </c>
      <c r="U1678" t="str">
        <f t="shared" si="79"/>
        <v>Pune</v>
      </c>
      <c r="V1678">
        <f t="shared" si="80"/>
        <v>0</v>
      </c>
    </row>
    <row r="1679" spans="1:22" ht="15" customHeight="1" x14ac:dyDescent="0.35">
      <c r="A1679" s="3" t="s">
        <v>2115</v>
      </c>
      <c r="B1679" s="4">
        <v>45574</v>
      </c>
      <c r="C1679" s="3" t="s">
        <v>696</v>
      </c>
      <c r="D1679" s="3" t="s">
        <v>325</v>
      </c>
      <c r="E1679" s="3" t="s">
        <v>140</v>
      </c>
      <c r="F1679" s="5">
        <v>5</v>
      </c>
      <c r="G1679" s="5">
        <v>2290</v>
      </c>
      <c r="H1679" s="5">
        <v>27.6</v>
      </c>
      <c r="I1679" s="5">
        <v>8289.7999999999993</v>
      </c>
      <c r="J1679" s="3" t="s">
        <v>26</v>
      </c>
      <c r="K1679" s="3" t="s">
        <v>56</v>
      </c>
      <c r="L1679" t="str">
        <f>IFERROR(VLOOKUP(D1679,Products!$A$2:$F$61,3,FALSE()),"")</f>
        <v>Beauty</v>
      </c>
      <c r="M1679" t="str">
        <f>IFERROR(VLOOKUP(E1679,Sales_Reps!$A$2:$C$31,3,FALSE()),"")</f>
        <v>West</v>
      </c>
      <c r="N1679">
        <f>IFERROR(VLOOKUP(D1679,Products!$A$2:$F$61,4,FALSE()),"")</f>
        <v>1219</v>
      </c>
      <c r="O1679" t="str">
        <f>IFERROR(VLOOKUP(C1679,Customers!$A$2:$F$301,5,FALSE()),"")</f>
        <v>Corporate</v>
      </c>
      <c r="P1679">
        <f>IFERROR(VLOOKUP(C1679,Customers!$A$2:$F$301,3,FALSE()),"")</f>
        <v>43</v>
      </c>
      <c r="Q1679">
        <f t="shared" si="78"/>
        <v>0.46768558951965067</v>
      </c>
      <c r="R1679">
        <f>IF(AND(COUNTIF($A$2:$A$2027,A1679)&gt;1,COUNTIF($A$2:A1679,A1679)=1),1,0)</f>
        <v>0</v>
      </c>
      <c r="S1679" t="b">
        <f>IFERROR(VLOOKUP(D1679,Products!$A$2:$F$61,6,FALSE()),"")</f>
        <v>1</v>
      </c>
      <c r="T1679" t="str">
        <f>IF(COUNTIF(Customers!$A$2:$A$301,C1679)=0,"Missing","OK")</f>
        <v>OK</v>
      </c>
      <c r="U1679" t="str">
        <f t="shared" si="79"/>
        <v>Bengaluru</v>
      </c>
      <c r="V1679">
        <f t="shared" si="80"/>
        <v>0</v>
      </c>
    </row>
    <row r="1680" spans="1:22" ht="15" customHeight="1" x14ac:dyDescent="0.35">
      <c r="A1680" s="3" t="s">
        <v>2116</v>
      </c>
      <c r="B1680" s="4">
        <v>45462</v>
      </c>
      <c r="C1680" s="3" t="s">
        <v>608</v>
      </c>
      <c r="D1680" s="3" t="s">
        <v>59</v>
      </c>
      <c r="E1680" s="3" t="s">
        <v>168</v>
      </c>
      <c r="F1680" s="5">
        <v>6</v>
      </c>
      <c r="G1680" s="5">
        <v>1430</v>
      </c>
      <c r="H1680" s="5">
        <v>18.399999999999999</v>
      </c>
      <c r="I1680" s="5">
        <v>7001.28</v>
      </c>
      <c r="J1680" s="3" t="s">
        <v>32</v>
      </c>
      <c r="K1680" s="3" t="s">
        <v>72</v>
      </c>
      <c r="L1680" t="str">
        <f>IFERROR(VLOOKUP(D1680,Products!$A$2:$F$61,3,FALSE()),"")</f>
        <v>Electronics</v>
      </c>
      <c r="M1680" t="str">
        <f>IFERROR(VLOOKUP(E1680,Sales_Reps!$A$2:$C$31,3,FALSE()),"")</f>
        <v>West</v>
      </c>
      <c r="N1680">
        <f>IFERROR(VLOOKUP(D1680,Products!$A$2:$F$61,4,FALSE()),"")</f>
        <v>861</v>
      </c>
      <c r="O1680" t="str">
        <f>IFERROR(VLOOKUP(C1680,Customers!$A$2:$F$301,5,FALSE()),"")</f>
        <v>Retail</v>
      </c>
      <c r="P1680">
        <f>IFERROR(VLOOKUP(C1680,Customers!$A$2:$F$301,3,FALSE()),"")</f>
        <v>31</v>
      </c>
      <c r="Q1680">
        <f t="shared" si="78"/>
        <v>0.39790209790209791</v>
      </c>
      <c r="R1680">
        <f>IF(AND(COUNTIF($A$2:$A$2027,A1680)&gt;1,COUNTIF($A$2:A1680,A1680)=1),1,0)</f>
        <v>0</v>
      </c>
      <c r="S1680" t="b">
        <f>IFERROR(VLOOKUP(D1680,Products!$A$2:$F$61,6,FALSE()),"")</f>
        <v>1</v>
      </c>
      <c r="T1680" t="str">
        <f>IF(COUNTIF(Customers!$A$2:$A$301,C1680)=0,"Missing","OK")</f>
        <v>OK</v>
      </c>
      <c r="U1680" t="str">
        <f t="shared" si="79"/>
        <v>Hyderabad</v>
      </c>
      <c r="V1680">
        <f t="shared" si="80"/>
        <v>0</v>
      </c>
    </row>
    <row r="1681" spans="1:22" ht="15" customHeight="1" x14ac:dyDescent="0.35">
      <c r="A1681" s="3" t="s">
        <v>2117</v>
      </c>
      <c r="B1681" s="4">
        <v>45336</v>
      </c>
      <c r="C1681" s="3" t="s">
        <v>1200</v>
      </c>
      <c r="D1681" s="3" t="s">
        <v>134</v>
      </c>
      <c r="E1681" s="3" t="s">
        <v>236</v>
      </c>
      <c r="F1681" s="5">
        <v>7</v>
      </c>
      <c r="G1681" s="5">
        <v>2860</v>
      </c>
      <c r="H1681" s="5">
        <v>19.5</v>
      </c>
      <c r="I1681" s="5">
        <v>16116.1</v>
      </c>
      <c r="J1681" s="3" t="s">
        <v>26</v>
      </c>
      <c r="K1681" s="3" t="s">
        <v>56</v>
      </c>
      <c r="L1681" t="str">
        <f>IFERROR(VLOOKUP(D1681,Products!$A$2:$F$61,3,FALSE()),"")</f>
        <v>Sports</v>
      </c>
      <c r="M1681" t="str">
        <f>IFERROR(VLOOKUP(E1681,Sales_Reps!$A$2:$C$31,3,FALSE()),"")</f>
        <v>North</v>
      </c>
      <c r="N1681">
        <f>IFERROR(VLOOKUP(D1681,Products!$A$2:$F$61,4,FALSE()),"")</f>
        <v>2028</v>
      </c>
      <c r="O1681" t="str">
        <f>IFERROR(VLOOKUP(C1681,Customers!$A$2:$F$301,5,FALSE()),"")</f>
        <v>Retail</v>
      </c>
      <c r="P1681">
        <f>IFERROR(VLOOKUP(C1681,Customers!$A$2:$F$301,3,FALSE()),"")</f>
        <v>54</v>
      </c>
      <c r="Q1681">
        <f t="shared" si="78"/>
        <v>0.29090909090909089</v>
      </c>
      <c r="R1681">
        <f>IF(AND(COUNTIF($A$2:$A$2027,A1681)&gt;1,COUNTIF($A$2:A1681,A1681)=1),1,0)</f>
        <v>0</v>
      </c>
      <c r="S1681" t="b">
        <f>IFERROR(VLOOKUP(D1681,Products!$A$2:$F$61,6,FALSE()),"")</f>
        <v>1</v>
      </c>
      <c r="T1681" t="str">
        <f>IF(COUNTIF(Customers!$A$2:$A$301,C1681)=0,"Missing","OK")</f>
        <v>OK</v>
      </c>
      <c r="U1681" t="str">
        <f t="shared" si="79"/>
        <v>Bengaluru</v>
      </c>
      <c r="V1681">
        <f t="shared" si="80"/>
        <v>0</v>
      </c>
    </row>
    <row r="1682" spans="1:22" ht="15" customHeight="1" x14ac:dyDescent="0.35">
      <c r="A1682" s="3" t="s">
        <v>2118</v>
      </c>
      <c r="B1682" s="4">
        <v>45439</v>
      </c>
      <c r="C1682" s="3" t="s">
        <v>496</v>
      </c>
      <c r="D1682" s="3" t="s">
        <v>96</v>
      </c>
      <c r="E1682" s="3" t="s">
        <v>131</v>
      </c>
      <c r="F1682" s="5">
        <v>8</v>
      </c>
      <c r="G1682" s="5">
        <v>3450</v>
      </c>
      <c r="H1682" s="5">
        <v>25.5</v>
      </c>
      <c r="I1682" s="5">
        <v>20562</v>
      </c>
      <c r="J1682" s="3" t="s">
        <v>32</v>
      </c>
      <c r="K1682" s="3" t="s">
        <v>51</v>
      </c>
      <c r="L1682" t="str">
        <f>IFERROR(VLOOKUP(D1682,Products!$A$2:$F$61,3,FALSE()),"")</f>
        <v>Beauty</v>
      </c>
      <c r="M1682" t="str">
        <f>IFERROR(VLOOKUP(E1682,Sales_Reps!$A$2:$C$31,3,FALSE()),"")</f>
        <v>East</v>
      </c>
      <c r="N1682">
        <f>IFERROR(VLOOKUP(D1682,Products!$A$2:$F$61,4,FALSE()),"")</f>
        <v>2420</v>
      </c>
      <c r="O1682" t="str">
        <f>IFERROR(VLOOKUP(C1682,Customers!$A$2:$F$301,5,FALSE()),"")</f>
        <v>Retail</v>
      </c>
      <c r="P1682">
        <f>IFERROR(VLOOKUP(C1682,Customers!$A$2:$F$301,3,FALSE()),"")</f>
        <v>65</v>
      </c>
      <c r="Q1682">
        <f t="shared" si="78"/>
        <v>0.29855072463768118</v>
      </c>
      <c r="R1682">
        <f>IF(AND(COUNTIF($A$2:$A$2027,A1682)&gt;1,COUNTIF($A$2:A1682,A1682)=1),1,0)</f>
        <v>0</v>
      </c>
      <c r="S1682" t="b">
        <f>IFERROR(VLOOKUP(D1682,Products!$A$2:$F$61,6,FALSE()),"")</f>
        <v>1</v>
      </c>
      <c r="T1682" t="str">
        <f>IF(COUNTIF(Customers!$A$2:$A$301,C1682)=0,"Missing","OK")</f>
        <v>OK</v>
      </c>
      <c r="U1682" t="str">
        <f t="shared" si="79"/>
        <v>Mumbai</v>
      </c>
      <c r="V1682">
        <f t="shared" si="80"/>
        <v>0</v>
      </c>
    </row>
    <row r="1683" spans="1:22" ht="15" customHeight="1" x14ac:dyDescent="0.35">
      <c r="A1683" s="3" t="s">
        <v>2119</v>
      </c>
      <c r="B1683" s="4">
        <v>45578</v>
      </c>
      <c r="C1683" s="3" t="s">
        <v>498</v>
      </c>
      <c r="D1683" s="3" t="s">
        <v>299</v>
      </c>
      <c r="E1683" s="3" t="s">
        <v>60</v>
      </c>
      <c r="F1683" s="5">
        <v>7</v>
      </c>
      <c r="G1683" s="5">
        <v>5410</v>
      </c>
      <c r="H1683" s="5">
        <v>15.2</v>
      </c>
      <c r="I1683" s="5">
        <v>32113.759999999998</v>
      </c>
      <c r="J1683" s="3" t="s">
        <v>79</v>
      </c>
      <c r="K1683" s="3" t="s">
        <v>27</v>
      </c>
      <c r="L1683" t="str">
        <f>IFERROR(VLOOKUP(D1683,Products!$A$2:$F$61,3,FALSE()),"")</f>
        <v>Sports</v>
      </c>
      <c r="M1683" t="str">
        <f>IFERROR(VLOOKUP(E1683,Sales_Reps!$A$2:$C$31,3,FALSE()),"")</f>
        <v>East</v>
      </c>
      <c r="N1683">
        <f>IFERROR(VLOOKUP(D1683,Products!$A$2:$F$61,4,FALSE()),"")</f>
        <v>2265</v>
      </c>
      <c r="O1683" t="str">
        <f>IFERROR(VLOOKUP(C1683,Customers!$A$2:$F$301,5,FALSE()),"")</f>
        <v>Retail</v>
      </c>
      <c r="P1683">
        <f>IFERROR(VLOOKUP(C1683,Customers!$A$2:$F$301,3,FALSE()),"")</f>
        <v>62</v>
      </c>
      <c r="Q1683">
        <f t="shared" si="78"/>
        <v>0.58133086876155271</v>
      </c>
      <c r="R1683">
        <f>IF(AND(COUNTIF($A$2:$A$2027,A1683)&gt;1,COUNTIF($A$2:A1683,A1683)=1),1,0)</f>
        <v>0</v>
      </c>
      <c r="S1683" t="b">
        <f>IFERROR(VLOOKUP(D1683,Products!$A$2:$F$61,6,FALSE()),"")</f>
        <v>1</v>
      </c>
      <c r="T1683" t="str">
        <f>IF(COUNTIF(Customers!$A$2:$A$301,C1683)=0,"Missing","OK")</f>
        <v>OK</v>
      </c>
      <c r="U1683" t="str">
        <f t="shared" si="79"/>
        <v>Pune</v>
      </c>
      <c r="V1683">
        <f t="shared" si="80"/>
        <v>0</v>
      </c>
    </row>
    <row r="1684" spans="1:22" ht="15" customHeight="1" x14ac:dyDescent="0.35">
      <c r="A1684" s="3" t="s">
        <v>2120</v>
      </c>
      <c r="B1684" s="4">
        <v>45588</v>
      </c>
      <c r="C1684" s="3" t="s">
        <v>498</v>
      </c>
      <c r="D1684" s="3" t="s">
        <v>103</v>
      </c>
      <c r="E1684" s="3" t="s">
        <v>50</v>
      </c>
      <c r="F1684" s="5">
        <v>3</v>
      </c>
      <c r="G1684" s="5">
        <v>1080</v>
      </c>
      <c r="H1684" s="5">
        <v>26</v>
      </c>
      <c r="I1684" s="5">
        <v>2397.6</v>
      </c>
      <c r="J1684" s="3" t="s">
        <v>26</v>
      </c>
      <c r="K1684" s="3" t="s">
        <v>27</v>
      </c>
      <c r="L1684" t="str">
        <f>IFERROR(VLOOKUP(D1684,Products!$A$2:$F$61,3,FALSE()),"")</f>
        <v>Home</v>
      </c>
      <c r="M1684" t="str">
        <f>IFERROR(VLOOKUP(E1684,Sales_Reps!$A$2:$C$31,3,FALSE()),"")</f>
        <v>West</v>
      </c>
      <c r="N1684">
        <f>IFERROR(VLOOKUP(D1684,Products!$A$2:$F$61,4,FALSE()),"")</f>
        <v>519</v>
      </c>
      <c r="O1684" t="str">
        <f>IFERROR(VLOOKUP(C1684,Customers!$A$2:$F$301,5,FALSE()),"")</f>
        <v>Retail</v>
      </c>
      <c r="P1684">
        <f>IFERROR(VLOOKUP(C1684,Customers!$A$2:$F$301,3,FALSE()),"")</f>
        <v>62</v>
      </c>
      <c r="Q1684">
        <f t="shared" si="78"/>
        <v>0.51944444444444449</v>
      </c>
      <c r="R1684">
        <f>IF(AND(COUNTIF($A$2:$A$2027,A1684)&gt;1,COUNTIF($A$2:A1684,A1684)=1),1,0)</f>
        <v>0</v>
      </c>
      <c r="S1684" t="b">
        <f>IFERROR(VLOOKUP(D1684,Products!$A$2:$F$61,6,FALSE()),"")</f>
        <v>1</v>
      </c>
      <c r="T1684" t="str">
        <f>IF(COUNTIF(Customers!$A$2:$A$301,C1684)=0,"Missing","OK")</f>
        <v>OK</v>
      </c>
      <c r="U1684" t="str">
        <f t="shared" si="79"/>
        <v>Pune</v>
      </c>
      <c r="V1684">
        <f t="shared" si="80"/>
        <v>0</v>
      </c>
    </row>
    <row r="1685" spans="1:22" ht="15" customHeight="1" x14ac:dyDescent="0.35">
      <c r="A1685" s="3" t="s">
        <v>2121</v>
      </c>
      <c r="B1685" s="4">
        <v>45354</v>
      </c>
      <c r="C1685" s="3" t="s">
        <v>251</v>
      </c>
      <c r="D1685" s="3" t="s">
        <v>134</v>
      </c>
      <c r="E1685" s="3" t="s">
        <v>60</v>
      </c>
      <c r="F1685" s="5">
        <v>8</v>
      </c>
      <c r="G1685" s="5">
        <v>2860</v>
      </c>
      <c r="H1685" s="5">
        <v>14.8</v>
      </c>
      <c r="I1685" s="5">
        <v>19493.759999999998</v>
      </c>
      <c r="J1685" s="3" t="s">
        <v>26</v>
      </c>
      <c r="K1685" s="3" t="s">
        <v>72</v>
      </c>
      <c r="L1685" t="str">
        <f>IFERROR(VLOOKUP(D1685,Products!$A$2:$F$61,3,FALSE()),"")</f>
        <v>Sports</v>
      </c>
      <c r="M1685" t="str">
        <f>IFERROR(VLOOKUP(E1685,Sales_Reps!$A$2:$C$31,3,FALSE()),"")</f>
        <v>East</v>
      </c>
      <c r="N1685">
        <f>IFERROR(VLOOKUP(D1685,Products!$A$2:$F$61,4,FALSE()),"")</f>
        <v>2028</v>
      </c>
      <c r="O1685" t="str">
        <f>IFERROR(VLOOKUP(C1685,Customers!$A$2:$F$301,5,FALSE()),"")</f>
        <v>Retail</v>
      </c>
      <c r="P1685">
        <f>IFERROR(VLOOKUP(C1685,Customers!$A$2:$F$301,3,FALSE()),"")</f>
        <v>46</v>
      </c>
      <c r="Q1685">
        <f t="shared" si="78"/>
        <v>0.29090909090909089</v>
      </c>
      <c r="R1685">
        <f>IF(AND(COUNTIF($A$2:$A$2027,A1685)&gt;1,COUNTIF($A$2:A1685,A1685)=1),1,0)</f>
        <v>0</v>
      </c>
      <c r="S1685" t="b">
        <f>IFERROR(VLOOKUP(D1685,Products!$A$2:$F$61,6,FALSE()),"")</f>
        <v>1</v>
      </c>
      <c r="T1685" t="str">
        <f>IF(COUNTIF(Customers!$A$2:$A$301,C1685)=0,"Missing","OK")</f>
        <v>OK</v>
      </c>
      <c r="U1685" t="str">
        <f t="shared" si="79"/>
        <v>Hyderabad</v>
      </c>
      <c r="V1685">
        <f t="shared" si="80"/>
        <v>0</v>
      </c>
    </row>
    <row r="1686" spans="1:22" ht="15" customHeight="1" x14ac:dyDescent="0.35">
      <c r="A1686" s="3" t="s">
        <v>2122</v>
      </c>
      <c r="B1686" s="4">
        <v>45332</v>
      </c>
      <c r="C1686" s="3" t="s">
        <v>2123</v>
      </c>
      <c r="D1686" s="3" t="s">
        <v>215</v>
      </c>
      <c r="E1686" s="3" t="s">
        <v>191</v>
      </c>
      <c r="F1686" s="5">
        <v>4</v>
      </c>
      <c r="G1686" s="5">
        <v>3020</v>
      </c>
      <c r="H1686" s="5">
        <v>8.1</v>
      </c>
      <c r="I1686" s="5">
        <v>11101.52</v>
      </c>
      <c r="J1686" s="3" t="s">
        <v>26</v>
      </c>
      <c r="K1686" s="3" t="s">
        <v>72</v>
      </c>
      <c r="L1686" t="str">
        <f>IFERROR(VLOOKUP(D1686,Products!$A$2:$F$61,3,FALSE()),"")</f>
        <v>Beauty</v>
      </c>
      <c r="M1686" t="str">
        <f>IFERROR(VLOOKUP(E1686,Sales_Reps!$A$2:$C$31,3,FALSE()),"")</f>
        <v>South</v>
      </c>
      <c r="N1686">
        <f>IFERROR(VLOOKUP(D1686,Products!$A$2:$F$61,4,FALSE()),"")</f>
        <v>1626</v>
      </c>
      <c r="O1686" t="str">
        <f>IFERROR(VLOOKUP(C1686,Customers!$A$2:$F$301,5,FALSE()),"")</f>
        <v/>
      </c>
      <c r="P1686" t="str">
        <f>IFERROR(VLOOKUP(C1686,Customers!$A$2:$F$301,3,FALSE()),"")</f>
        <v/>
      </c>
      <c r="Q1686">
        <f t="shared" si="78"/>
        <v>0.46158940397350995</v>
      </c>
      <c r="R1686">
        <f>IF(AND(COUNTIF($A$2:$A$2027,A1686)&gt;1,COUNTIF($A$2:A1686,A1686)=1),1,0)</f>
        <v>0</v>
      </c>
      <c r="S1686" t="b">
        <f>IFERROR(VLOOKUP(D1686,Products!$A$2:$F$61,6,FALSE()),"")</f>
        <v>1</v>
      </c>
      <c r="T1686" t="str">
        <f>IF(COUNTIF(Customers!$A$2:$A$301,C1686)=0,"Missing","OK")</f>
        <v>Missing</v>
      </c>
      <c r="U1686" t="str">
        <f t="shared" si="79"/>
        <v>Hyderabad</v>
      </c>
      <c r="V1686">
        <f t="shared" si="80"/>
        <v>0</v>
      </c>
    </row>
    <row r="1687" spans="1:22" ht="15" customHeight="1" x14ac:dyDescent="0.35">
      <c r="A1687" s="3" t="s">
        <v>2124</v>
      </c>
      <c r="B1687" s="4">
        <v>45649</v>
      </c>
      <c r="C1687" s="3" t="s">
        <v>167</v>
      </c>
      <c r="D1687" s="3" t="s">
        <v>54</v>
      </c>
      <c r="E1687" s="3" t="s">
        <v>50</v>
      </c>
      <c r="F1687" s="5">
        <v>4</v>
      </c>
      <c r="G1687" s="5">
        <v>960</v>
      </c>
      <c r="H1687" s="5">
        <v>6.4</v>
      </c>
      <c r="I1687" s="5">
        <v>3594.24</v>
      </c>
      <c r="J1687" s="3" t="s">
        <v>79</v>
      </c>
      <c r="K1687" s="3" t="s">
        <v>51</v>
      </c>
      <c r="L1687" t="str">
        <f>IFERROR(VLOOKUP(D1687,Products!$A$2:$F$61,3,FALSE()),"")</f>
        <v>Sports</v>
      </c>
      <c r="M1687" t="str">
        <f>IFERROR(VLOOKUP(E1687,Sales_Reps!$A$2:$C$31,3,FALSE()),"")</f>
        <v>West</v>
      </c>
      <c r="N1687">
        <f>IFERROR(VLOOKUP(D1687,Products!$A$2:$F$61,4,FALSE()),"")</f>
        <v>705</v>
      </c>
      <c r="O1687" t="str">
        <f>IFERROR(VLOOKUP(C1687,Customers!$A$2:$F$301,5,FALSE()),"")</f>
        <v>SMB</v>
      </c>
      <c r="P1687">
        <f>IFERROR(VLOOKUP(C1687,Customers!$A$2:$F$301,3,FALSE()),"")</f>
        <v>54</v>
      </c>
      <c r="Q1687">
        <f t="shared" si="78"/>
        <v>0.265625</v>
      </c>
      <c r="R1687">
        <f>IF(AND(COUNTIF($A$2:$A$2027,A1687)&gt;1,COUNTIF($A$2:A1687,A1687)=1),1,0)</f>
        <v>0</v>
      </c>
      <c r="S1687" t="b">
        <f>IFERROR(VLOOKUP(D1687,Products!$A$2:$F$61,6,FALSE()),"")</f>
        <v>1</v>
      </c>
      <c r="T1687" t="str">
        <f>IF(COUNTIF(Customers!$A$2:$A$301,C1687)=0,"Missing","OK")</f>
        <v>OK</v>
      </c>
      <c r="U1687" t="str">
        <f t="shared" si="79"/>
        <v>Mumbai</v>
      </c>
      <c r="V1687">
        <f t="shared" si="80"/>
        <v>0</v>
      </c>
    </row>
    <row r="1688" spans="1:22" ht="15" customHeight="1" x14ac:dyDescent="0.35">
      <c r="A1688" s="3" t="s">
        <v>2125</v>
      </c>
      <c r="B1688" s="4">
        <v>45596</v>
      </c>
      <c r="C1688" s="3" t="s">
        <v>490</v>
      </c>
      <c r="D1688" s="3" t="s">
        <v>187</v>
      </c>
      <c r="E1688" s="3" t="s">
        <v>168</v>
      </c>
      <c r="F1688" s="5">
        <v>4</v>
      </c>
      <c r="G1688" s="5">
        <v>3870</v>
      </c>
      <c r="H1688" s="5">
        <v>15.9</v>
      </c>
      <c r="I1688" s="5">
        <v>13018.68</v>
      </c>
      <c r="J1688" s="3" t="s">
        <v>26</v>
      </c>
      <c r="K1688" s="3" t="s">
        <v>51</v>
      </c>
      <c r="L1688" t="str">
        <f>IFERROR(VLOOKUP(D1688,Products!$A$2:$F$61,3,FALSE()),"")</f>
        <v>Electronics</v>
      </c>
      <c r="M1688" t="str">
        <f>IFERROR(VLOOKUP(E1688,Sales_Reps!$A$2:$C$31,3,FALSE()),"")</f>
        <v>West</v>
      </c>
      <c r="N1688">
        <f>IFERROR(VLOOKUP(D1688,Products!$A$2:$F$61,4,FALSE()),"")</f>
        <v>1559</v>
      </c>
      <c r="O1688" t="str">
        <f>IFERROR(VLOOKUP(C1688,Customers!$A$2:$F$301,5,FALSE()),"")</f>
        <v>Corporate</v>
      </c>
      <c r="P1688">
        <f>IFERROR(VLOOKUP(C1688,Customers!$A$2:$F$301,3,FALSE()),"")</f>
        <v>60</v>
      </c>
      <c r="Q1688">
        <f t="shared" si="78"/>
        <v>0.59715762273901807</v>
      </c>
      <c r="R1688">
        <f>IF(AND(COUNTIF($A$2:$A$2027,A1688)&gt;1,COUNTIF($A$2:A1688,A1688)=1),1,0)</f>
        <v>0</v>
      </c>
      <c r="S1688" t="b">
        <f>IFERROR(VLOOKUP(D1688,Products!$A$2:$F$61,6,FALSE()),"")</f>
        <v>1</v>
      </c>
      <c r="T1688" t="str">
        <f>IF(COUNTIF(Customers!$A$2:$A$301,C1688)=0,"Missing","OK")</f>
        <v>OK</v>
      </c>
      <c r="U1688" t="str">
        <f t="shared" si="79"/>
        <v>Mumbai</v>
      </c>
      <c r="V1688">
        <f t="shared" si="80"/>
        <v>0</v>
      </c>
    </row>
    <row r="1689" spans="1:22" ht="15" customHeight="1" x14ac:dyDescent="0.35">
      <c r="A1689" s="3" t="s">
        <v>2126</v>
      </c>
      <c r="B1689" s="4">
        <v>45378</v>
      </c>
      <c r="C1689" s="3" t="s">
        <v>1111</v>
      </c>
      <c r="D1689" s="3" t="s">
        <v>45</v>
      </c>
      <c r="E1689" s="3" t="s">
        <v>131</v>
      </c>
      <c r="F1689" s="5">
        <v>5</v>
      </c>
      <c r="G1689" s="5">
        <v>3160</v>
      </c>
      <c r="H1689" s="5">
        <v>29.8</v>
      </c>
      <c r="I1689" s="5">
        <v>11091.6</v>
      </c>
      <c r="J1689" s="3" t="s">
        <v>26</v>
      </c>
      <c r="K1689" s="3" t="s">
        <v>27</v>
      </c>
      <c r="L1689" t="str">
        <f>IFERROR(VLOOKUP(D1689,Products!$A$2:$F$61,3,FALSE()),"")</f>
        <v>Apparel</v>
      </c>
      <c r="M1689" t="str">
        <f>IFERROR(VLOOKUP(E1689,Sales_Reps!$A$2:$C$31,3,FALSE()),"")</f>
        <v>East</v>
      </c>
      <c r="N1689">
        <f>IFERROR(VLOOKUP(D1689,Products!$A$2:$F$61,4,FALSE()),"")</f>
        <v>1886</v>
      </c>
      <c r="O1689" t="str">
        <f>IFERROR(VLOOKUP(C1689,Customers!$A$2:$F$301,5,FALSE()),"")</f>
        <v>Retail</v>
      </c>
      <c r="P1689">
        <f>IFERROR(VLOOKUP(C1689,Customers!$A$2:$F$301,3,FALSE()),"")</f>
        <v>39</v>
      </c>
      <c r="Q1689">
        <f t="shared" si="78"/>
        <v>0.4031645569620253</v>
      </c>
      <c r="R1689">
        <f>IF(AND(COUNTIF($A$2:$A$2027,A1689)&gt;1,COUNTIF($A$2:A1689,A1689)=1),1,0)</f>
        <v>0</v>
      </c>
      <c r="S1689" t="b">
        <f>IFERROR(VLOOKUP(D1689,Products!$A$2:$F$61,6,FALSE()),"")</f>
        <v>1</v>
      </c>
      <c r="T1689" t="str">
        <f>IF(COUNTIF(Customers!$A$2:$A$301,C1689)=0,"Missing","OK")</f>
        <v>OK</v>
      </c>
      <c r="U1689" t="str">
        <f t="shared" si="79"/>
        <v>Pune</v>
      </c>
      <c r="V1689">
        <f t="shared" si="80"/>
        <v>0</v>
      </c>
    </row>
    <row r="1690" spans="1:22" ht="15" customHeight="1" x14ac:dyDescent="0.35">
      <c r="A1690" s="3" t="s">
        <v>2127</v>
      </c>
      <c r="B1690" s="4">
        <v>45403</v>
      </c>
      <c r="C1690" s="3" t="s">
        <v>379</v>
      </c>
      <c r="D1690" s="3" t="s">
        <v>96</v>
      </c>
      <c r="E1690" s="3" t="s">
        <v>282</v>
      </c>
      <c r="F1690" s="5">
        <v>5</v>
      </c>
      <c r="G1690" s="5">
        <v>3450</v>
      </c>
      <c r="H1690" s="5">
        <v>29.4</v>
      </c>
      <c r="I1690" s="5">
        <v>12178.5</v>
      </c>
      <c r="J1690" s="3" t="s">
        <v>26</v>
      </c>
      <c r="K1690" s="3" t="s">
        <v>27</v>
      </c>
      <c r="L1690" t="str">
        <f>IFERROR(VLOOKUP(D1690,Products!$A$2:$F$61,3,FALSE()),"")</f>
        <v>Beauty</v>
      </c>
      <c r="M1690" t="str">
        <f>IFERROR(VLOOKUP(E1690,Sales_Reps!$A$2:$C$31,3,FALSE()),"")</f>
        <v>West</v>
      </c>
      <c r="N1690">
        <f>IFERROR(VLOOKUP(D1690,Products!$A$2:$F$61,4,FALSE()),"")</f>
        <v>2420</v>
      </c>
      <c r="O1690" t="str">
        <f>IFERROR(VLOOKUP(C1690,Customers!$A$2:$F$301,5,FALSE()),"")</f>
        <v>SMB</v>
      </c>
      <c r="P1690">
        <f>IFERROR(VLOOKUP(C1690,Customers!$A$2:$F$301,3,FALSE()),"")</f>
        <v>30</v>
      </c>
      <c r="Q1690">
        <f t="shared" si="78"/>
        <v>0.29855072463768118</v>
      </c>
      <c r="R1690">
        <f>IF(AND(COUNTIF($A$2:$A$2027,A1690)&gt;1,COUNTIF($A$2:A1690,A1690)=1),1,0)</f>
        <v>0</v>
      </c>
      <c r="S1690" t="b">
        <f>IFERROR(VLOOKUP(D1690,Products!$A$2:$F$61,6,FALSE()),"")</f>
        <v>1</v>
      </c>
      <c r="T1690" t="str">
        <f>IF(COUNTIF(Customers!$A$2:$A$301,C1690)=0,"Missing","OK")</f>
        <v>OK</v>
      </c>
      <c r="U1690" t="str">
        <f t="shared" si="79"/>
        <v>Pune</v>
      </c>
      <c r="V1690">
        <f t="shared" si="80"/>
        <v>0</v>
      </c>
    </row>
    <row r="1691" spans="1:22" ht="15" customHeight="1" x14ac:dyDescent="0.35">
      <c r="A1691" s="3" t="s">
        <v>2128</v>
      </c>
      <c r="B1691" s="4">
        <v>45535</v>
      </c>
      <c r="C1691" s="3" t="s">
        <v>789</v>
      </c>
      <c r="D1691" s="3" t="s">
        <v>319</v>
      </c>
      <c r="E1691" s="3" t="s">
        <v>242</v>
      </c>
      <c r="F1691" s="5">
        <v>10</v>
      </c>
      <c r="G1691" s="5">
        <v>960</v>
      </c>
      <c r="H1691" s="5">
        <v>27</v>
      </c>
      <c r="I1691" s="5">
        <v>7008</v>
      </c>
      <c r="J1691" s="3" t="s">
        <v>79</v>
      </c>
      <c r="K1691" s="3" t="s">
        <v>33</v>
      </c>
      <c r="L1691" t="str">
        <f>IFERROR(VLOOKUP(D1691,Products!$A$2:$F$61,3,FALSE()),"")</f>
        <v>Beauty</v>
      </c>
      <c r="M1691" t="str">
        <f>IFERROR(VLOOKUP(E1691,Sales_Reps!$A$2:$C$31,3,FALSE()),"")</f>
        <v>East</v>
      </c>
      <c r="N1691">
        <f>IFERROR(VLOOKUP(D1691,Products!$A$2:$F$61,4,FALSE()),"")</f>
        <v>675</v>
      </c>
      <c r="O1691" t="str">
        <f>IFERROR(VLOOKUP(C1691,Customers!$A$2:$F$301,5,FALSE()),"")</f>
        <v>SMB</v>
      </c>
      <c r="P1691">
        <f>IFERROR(VLOOKUP(C1691,Customers!$A$2:$F$301,3,FALSE()),"")</f>
        <v>26</v>
      </c>
      <c r="Q1691">
        <f t="shared" si="78"/>
        <v>0.296875</v>
      </c>
      <c r="R1691">
        <f>IF(AND(COUNTIF($A$2:$A$2027,A1691)&gt;1,COUNTIF($A$2:A1691,A1691)=1),1,0)</f>
        <v>0</v>
      </c>
      <c r="S1691" t="b">
        <f>IFERROR(VLOOKUP(D1691,Products!$A$2:$F$61,6,FALSE()),"")</f>
        <v>1</v>
      </c>
      <c r="T1691" t="str">
        <f>IF(COUNTIF(Customers!$A$2:$A$301,C1691)=0,"Missing","OK")</f>
        <v>OK</v>
      </c>
      <c r="U1691" t="str">
        <f t="shared" si="79"/>
        <v>Chennai</v>
      </c>
      <c r="V1691">
        <f t="shared" si="80"/>
        <v>0</v>
      </c>
    </row>
    <row r="1692" spans="1:22" ht="15" customHeight="1" x14ac:dyDescent="0.35">
      <c r="A1692" s="3" t="s">
        <v>2129</v>
      </c>
      <c r="B1692" s="4">
        <v>45429</v>
      </c>
      <c r="C1692" s="3" t="s">
        <v>718</v>
      </c>
      <c r="D1692" s="3" t="s">
        <v>454</v>
      </c>
      <c r="E1692" s="3" t="s">
        <v>242</v>
      </c>
      <c r="F1692" s="5">
        <v>10</v>
      </c>
      <c r="G1692" s="5">
        <v>6940</v>
      </c>
      <c r="H1692" s="5">
        <v>20.100000000000001</v>
      </c>
      <c r="I1692" s="5">
        <v>55450.6</v>
      </c>
      <c r="J1692" s="3" t="s">
        <v>26</v>
      </c>
      <c r="K1692" s="3" t="s">
        <v>56</v>
      </c>
      <c r="L1692" t="str">
        <f>IFERROR(VLOOKUP(D1692,Products!$A$2:$F$61,3,FALSE()),"")</f>
        <v>Sports</v>
      </c>
      <c r="M1692" t="str">
        <f>IFERROR(VLOOKUP(E1692,Sales_Reps!$A$2:$C$31,3,FALSE()),"")</f>
        <v>East</v>
      </c>
      <c r="N1692">
        <f>IFERROR(VLOOKUP(D1692,Products!$A$2:$F$61,4,FALSE()),"")</f>
        <v>2827</v>
      </c>
      <c r="O1692" t="str">
        <f>IFERROR(VLOOKUP(C1692,Customers!$A$2:$F$301,5,FALSE()),"")</f>
        <v>Retail</v>
      </c>
      <c r="P1692">
        <f>IFERROR(VLOOKUP(C1692,Customers!$A$2:$F$301,3,FALSE()),"")</f>
        <v>27</v>
      </c>
      <c r="Q1692">
        <f t="shared" si="78"/>
        <v>0.5926512968299712</v>
      </c>
      <c r="R1692">
        <f>IF(AND(COUNTIF($A$2:$A$2027,A1692)&gt;1,COUNTIF($A$2:A1692,A1692)=1),1,0)</f>
        <v>0</v>
      </c>
      <c r="S1692" t="b">
        <f>IFERROR(VLOOKUP(D1692,Products!$A$2:$F$61,6,FALSE()),"")</f>
        <v>1</v>
      </c>
      <c r="T1692" t="str">
        <f>IF(COUNTIF(Customers!$A$2:$A$301,C1692)=0,"Missing","OK")</f>
        <v>OK</v>
      </c>
      <c r="U1692" t="str">
        <f t="shared" si="79"/>
        <v>Bengaluru</v>
      </c>
      <c r="V1692">
        <f t="shared" si="80"/>
        <v>0</v>
      </c>
    </row>
    <row r="1693" spans="1:22" ht="15" customHeight="1" x14ac:dyDescent="0.35">
      <c r="A1693" s="3" t="s">
        <v>2130</v>
      </c>
      <c r="B1693" s="4">
        <v>45436</v>
      </c>
      <c r="C1693" s="3" t="s">
        <v>538</v>
      </c>
      <c r="D1693" s="3" t="s">
        <v>90</v>
      </c>
      <c r="E1693" s="3" t="s">
        <v>143</v>
      </c>
      <c r="F1693" s="5">
        <v>9</v>
      </c>
      <c r="G1693" s="5">
        <v>2400</v>
      </c>
      <c r="H1693" s="5">
        <v>7.8</v>
      </c>
      <c r="I1693" s="5">
        <v>19915.2</v>
      </c>
      <c r="J1693" s="3" t="s">
        <v>26</v>
      </c>
      <c r="K1693" s="3" t="s">
        <v>56</v>
      </c>
      <c r="L1693" t="str">
        <f>IFERROR(VLOOKUP(D1693,Products!$A$2:$F$61,3,FALSE()),"")</f>
        <v>Sports</v>
      </c>
      <c r="M1693" t="str">
        <f>IFERROR(VLOOKUP(E1693,Sales_Reps!$A$2:$C$31,3,FALSE()),"")</f>
        <v>South</v>
      </c>
      <c r="N1693">
        <f>IFERROR(VLOOKUP(D1693,Products!$A$2:$F$61,4,FALSE()),"")</f>
        <v>974</v>
      </c>
      <c r="O1693" t="str">
        <f>IFERROR(VLOOKUP(C1693,Customers!$A$2:$F$301,5,FALSE()),"")</f>
        <v>Corporate</v>
      </c>
      <c r="P1693">
        <f>IFERROR(VLOOKUP(C1693,Customers!$A$2:$F$301,3,FALSE()),"")</f>
        <v>26</v>
      </c>
      <c r="Q1693">
        <f t="shared" si="78"/>
        <v>0.59416666666666662</v>
      </c>
      <c r="R1693">
        <f>IF(AND(COUNTIF($A$2:$A$2027,A1693)&gt;1,COUNTIF($A$2:A1693,A1693)=1),1,0)</f>
        <v>0</v>
      </c>
      <c r="S1693" t="b">
        <f>IFERROR(VLOOKUP(D1693,Products!$A$2:$F$61,6,FALSE()),"")</f>
        <v>1</v>
      </c>
      <c r="T1693" t="str">
        <f>IF(COUNTIF(Customers!$A$2:$A$301,C1693)=0,"Missing","OK")</f>
        <v>OK</v>
      </c>
      <c r="U1693" t="str">
        <f t="shared" si="79"/>
        <v>Bengaluru</v>
      </c>
      <c r="V1693">
        <f t="shared" si="80"/>
        <v>0</v>
      </c>
    </row>
    <row r="1694" spans="1:22" ht="15" customHeight="1" x14ac:dyDescent="0.35">
      <c r="A1694" s="3" t="s">
        <v>2131</v>
      </c>
      <c r="B1694" s="4">
        <v>45397</v>
      </c>
      <c r="C1694" s="3" t="s">
        <v>1236</v>
      </c>
      <c r="D1694" s="3" t="s">
        <v>299</v>
      </c>
      <c r="E1694" s="3" t="s">
        <v>177</v>
      </c>
      <c r="F1694" s="5">
        <v>1</v>
      </c>
      <c r="G1694" s="5">
        <v>5410</v>
      </c>
      <c r="H1694" s="5">
        <v>22.8</v>
      </c>
      <c r="I1694" s="5">
        <v>4176.5200000000004</v>
      </c>
      <c r="J1694" s="3" t="s">
        <v>26</v>
      </c>
      <c r="K1694" s="3" t="s">
        <v>51</v>
      </c>
      <c r="L1694" t="str">
        <f>IFERROR(VLOOKUP(D1694,Products!$A$2:$F$61,3,FALSE()),"")</f>
        <v>Sports</v>
      </c>
      <c r="M1694" t="str">
        <f>IFERROR(VLOOKUP(E1694,Sales_Reps!$A$2:$C$31,3,FALSE()),"")</f>
        <v>East</v>
      </c>
      <c r="N1694">
        <f>IFERROR(VLOOKUP(D1694,Products!$A$2:$F$61,4,FALSE()),"")</f>
        <v>2265</v>
      </c>
      <c r="O1694" t="str">
        <f>IFERROR(VLOOKUP(C1694,Customers!$A$2:$F$301,5,FALSE()),"")</f>
        <v>Retail</v>
      </c>
      <c r="P1694">
        <f>IFERROR(VLOOKUP(C1694,Customers!$A$2:$F$301,3,FALSE()),"")</f>
        <v>38</v>
      </c>
      <c r="Q1694">
        <f t="shared" si="78"/>
        <v>0.58133086876155271</v>
      </c>
      <c r="R1694">
        <f>IF(AND(COUNTIF($A$2:$A$2027,A1694)&gt;1,COUNTIF($A$2:A1694,A1694)=1),1,0)</f>
        <v>0</v>
      </c>
      <c r="S1694" t="b">
        <f>IFERROR(VLOOKUP(D1694,Products!$A$2:$F$61,6,FALSE()),"")</f>
        <v>1</v>
      </c>
      <c r="T1694" t="str">
        <f>IF(COUNTIF(Customers!$A$2:$A$301,C1694)=0,"Missing","OK")</f>
        <v>OK</v>
      </c>
      <c r="U1694" t="str">
        <f t="shared" si="79"/>
        <v>Mumbai</v>
      </c>
      <c r="V1694">
        <f t="shared" si="80"/>
        <v>0</v>
      </c>
    </row>
    <row r="1695" spans="1:22" ht="15" customHeight="1" x14ac:dyDescent="0.35">
      <c r="A1695" s="3" t="s">
        <v>2132</v>
      </c>
      <c r="B1695" s="4">
        <v>45629</v>
      </c>
      <c r="C1695" s="3" t="s">
        <v>1200</v>
      </c>
      <c r="D1695" s="3" t="s">
        <v>206</v>
      </c>
      <c r="E1695" s="3" t="s">
        <v>78</v>
      </c>
      <c r="F1695" s="5">
        <v>7</v>
      </c>
      <c r="G1695" s="5">
        <v>1220</v>
      </c>
      <c r="H1695" s="5">
        <v>18.8</v>
      </c>
      <c r="I1695" s="5">
        <v>6934.48</v>
      </c>
      <c r="J1695" s="3" t="s">
        <v>32</v>
      </c>
      <c r="K1695" s="3" t="s">
        <v>56</v>
      </c>
      <c r="L1695" t="str">
        <f>IFERROR(VLOOKUP(D1695,Products!$A$2:$F$61,3,FALSE()),"")</f>
        <v>Electronics</v>
      </c>
      <c r="M1695" t="str">
        <f>IFERROR(VLOOKUP(E1695,Sales_Reps!$A$2:$C$31,3,FALSE()),"")</f>
        <v>North</v>
      </c>
      <c r="N1695">
        <f>IFERROR(VLOOKUP(D1695,Products!$A$2:$F$61,4,FALSE()),"")</f>
        <v>517</v>
      </c>
      <c r="O1695" t="str">
        <f>IFERROR(VLOOKUP(C1695,Customers!$A$2:$F$301,5,FALSE()),"")</f>
        <v>Retail</v>
      </c>
      <c r="P1695">
        <f>IFERROR(VLOOKUP(C1695,Customers!$A$2:$F$301,3,FALSE()),"")</f>
        <v>54</v>
      </c>
      <c r="Q1695">
        <f t="shared" si="78"/>
        <v>0.57622950819672136</v>
      </c>
      <c r="R1695">
        <f>IF(AND(COUNTIF($A$2:$A$2027,A1695)&gt;1,COUNTIF($A$2:A1695,A1695)=1),1,0)</f>
        <v>0</v>
      </c>
      <c r="S1695" t="b">
        <f>IFERROR(VLOOKUP(D1695,Products!$A$2:$F$61,6,FALSE()),"")</f>
        <v>1</v>
      </c>
      <c r="T1695" t="str">
        <f>IF(COUNTIF(Customers!$A$2:$A$301,C1695)=0,"Missing","OK")</f>
        <v>OK</v>
      </c>
      <c r="U1695" t="str">
        <f t="shared" si="79"/>
        <v>Bengaluru</v>
      </c>
      <c r="V1695">
        <f t="shared" si="80"/>
        <v>0</v>
      </c>
    </row>
    <row r="1696" spans="1:22" ht="15" customHeight="1" x14ac:dyDescent="0.35">
      <c r="A1696" s="3" t="s">
        <v>2133</v>
      </c>
      <c r="B1696" s="4">
        <v>45595</v>
      </c>
      <c r="C1696" s="3" t="s">
        <v>120</v>
      </c>
      <c r="D1696" s="3" t="s">
        <v>441</v>
      </c>
      <c r="E1696" s="3" t="s">
        <v>60</v>
      </c>
      <c r="F1696" s="5">
        <v>1</v>
      </c>
      <c r="G1696" s="5">
        <v>1090</v>
      </c>
      <c r="H1696" s="5">
        <v>23.5</v>
      </c>
      <c r="I1696" s="5">
        <v>833.85</v>
      </c>
      <c r="J1696" s="3" t="s">
        <v>26</v>
      </c>
      <c r="K1696" s="3" t="s">
        <v>38</v>
      </c>
      <c r="L1696" t="str">
        <f>IFERROR(VLOOKUP(D1696,Products!$A$2:$F$61,3,FALSE()),"")</f>
        <v>Home</v>
      </c>
      <c r="M1696" t="str">
        <f>IFERROR(VLOOKUP(E1696,Sales_Reps!$A$2:$C$31,3,FALSE()),"")</f>
        <v>East</v>
      </c>
      <c r="N1696">
        <f>IFERROR(VLOOKUP(D1696,Products!$A$2:$F$61,4,FALSE()),"")</f>
        <v>464</v>
      </c>
      <c r="O1696" t="str">
        <f>IFERROR(VLOOKUP(C1696,Customers!$A$2:$F$301,5,FALSE()),"")</f>
        <v>Retail</v>
      </c>
      <c r="P1696">
        <f>IFERROR(VLOOKUP(C1696,Customers!$A$2:$F$301,3,FALSE()),"")</f>
        <v>31</v>
      </c>
      <c r="Q1696">
        <f t="shared" si="78"/>
        <v>0.57431192660550456</v>
      </c>
      <c r="R1696">
        <f>IF(AND(COUNTIF($A$2:$A$2027,A1696)&gt;1,COUNTIF($A$2:A1696,A1696)=1),1,0)</f>
        <v>0</v>
      </c>
      <c r="S1696" t="b">
        <f>IFERROR(VLOOKUP(D1696,Products!$A$2:$F$61,6,FALSE()),"")</f>
        <v>1</v>
      </c>
      <c r="T1696" t="str">
        <f>IF(COUNTIF(Customers!$A$2:$A$301,C1696)=0,"Missing","OK")</f>
        <v>OK</v>
      </c>
      <c r="U1696" t="str">
        <f t="shared" si="79"/>
        <v>Delhi</v>
      </c>
      <c r="V1696">
        <f t="shared" si="80"/>
        <v>0</v>
      </c>
    </row>
    <row r="1697" spans="1:22" ht="15" customHeight="1" x14ac:dyDescent="0.35">
      <c r="A1697" s="3" t="s">
        <v>2134</v>
      </c>
      <c r="B1697" s="4">
        <v>45531</v>
      </c>
      <c r="C1697" s="3" t="s">
        <v>860</v>
      </c>
      <c r="D1697" s="3" t="s">
        <v>139</v>
      </c>
      <c r="E1697" s="3" t="s">
        <v>93</v>
      </c>
      <c r="F1697" s="5">
        <v>2</v>
      </c>
      <c r="G1697" s="5">
        <v>2760</v>
      </c>
      <c r="H1697" s="5">
        <v>2.2999999999999998</v>
      </c>
      <c r="I1697" s="5">
        <v>5393.04</v>
      </c>
      <c r="J1697" s="3" t="s">
        <v>26</v>
      </c>
      <c r="K1697" s="3" t="s">
        <v>56</v>
      </c>
      <c r="L1697" t="str">
        <f>IFERROR(VLOOKUP(D1697,Products!$A$2:$F$61,3,FALSE()),"")</f>
        <v>Grocery</v>
      </c>
      <c r="M1697" t="str">
        <f>IFERROR(VLOOKUP(E1697,Sales_Reps!$A$2:$C$31,3,FALSE()),"")</f>
        <v>East</v>
      </c>
      <c r="N1697">
        <f>IFERROR(VLOOKUP(D1697,Products!$A$2:$F$61,4,FALSE()),"")</f>
        <v>1435</v>
      </c>
      <c r="O1697" t="str">
        <f>IFERROR(VLOOKUP(C1697,Customers!$A$2:$F$301,5,FALSE()),"")</f>
        <v>Retail</v>
      </c>
      <c r="P1697">
        <f>IFERROR(VLOOKUP(C1697,Customers!$A$2:$F$301,3,FALSE()),"")</f>
        <v>28</v>
      </c>
      <c r="Q1697">
        <f t="shared" si="78"/>
        <v>0.48007246376811596</v>
      </c>
      <c r="R1697">
        <f>IF(AND(COUNTIF($A$2:$A$2027,A1697)&gt;1,COUNTIF($A$2:A1697,A1697)=1),1,0)</f>
        <v>0</v>
      </c>
      <c r="S1697" t="b">
        <f>IFERROR(VLOOKUP(D1697,Products!$A$2:$F$61,6,FALSE()),"")</f>
        <v>1</v>
      </c>
      <c r="T1697" t="str">
        <f>IF(COUNTIF(Customers!$A$2:$A$301,C1697)=0,"Missing","OK")</f>
        <v>OK</v>
      </c>
      <c r="U1697" t="str">
        <f t="shared" si="79"/>
        <v>Bengaluru</v>
      </c>
      <c r="V1697">
        <f t="shared" si="80"/>
        <v>5393.04</v>
      </c>
    </row>
    <row r="1698" spans="1:22" ht="15" customHeight="1" x14ac:dyDescent="0.35">
      <c r="A1698" s="3" t="s">
        <v>2135</v>
      </c>
      <c r="B1698" s="4">
        <v>45626</v>
      </c>
      <c r="C1698" s="3" t="s">
        <v>500</v>
      </c>
      <c r="D1698" s="3" t="s">
        <v>126</v>
      </c>
      <c r="E1698" s="3" t="s">
        <v>140</v>
      </c>
      <c r="F1698" s="5">
        <v>3</v>
      </c>
      <c r="G1698" s="5">
        <v>3570</v>
      </c>
      <c r="H1698" s="5">
        <v>18.399999999999999</v>
      </c>
      <c r="I1698" s="5">
        <v>8739.36</v>
      </c>
      <c r="J1698" s="3" t="s">
        <v>83</v>
      </c>
      <c r="K1698" s="3" t="s">
        <v>72</v>
      </c>
      <c r="L1698" t="str">
        <f>IFERROR(VLOOKUP(D1698,Products!$A$2:$F$61,3,FALSE()),"")</f>
        <v>Electronics</v>
      </c>
      <c r="M1698" t="str">
        <f>IFERROR(VLOOKUP(E1698,Sales_Reps!$A$2:$C$31,3,FALSE()),"")</f>
        <v>West</v>
      </c>
      <c r="N1698">
        <f>IFERROR(VLOOKUP(D1698,Products!$A$2:$F$61,4,FALSE()),"")</f>
        <v>1665</v>
      </c>
      <c r="O1698" t="str">
        <f>IFERROR(VLOOKUP(C1698,Customers!$A$2:$F$301,5,FALSE()),"")</f>
        <v>SMB</v>
      </c>
      <c r="P1698">
        <f>IFERROR(VLOOKUP(C1698,Customers!$A$2:$F$301,3,FALSE()),"")</f>
        <v>43</v>
      </c>
      <c r="Q1698">
        <f t="shared" si="78"/>
        <v>0.53361344537815125</v>
      </c>
      <c r="R1698">
        <f>IF(AND(COUNTIF($A$2:$A$2027,A1698)&gt;1,COUNTIF($A$2:A1698,A1698)=1),1,0)</f>
        <v>0</v>
      </c>
      <c r="S1698" t="b">
        <f>IFERROR(VLOOKUP(D1698,Products!$A$2:$F$61,6,FALSE()),"")</f>
        <v>1</v>
      </c>
      <c r="T1698" t="str">
        <f>IF(COUNTIF(Customers!$A$2:$A$301,C1698)=0,"Missing","OK")</f>
        <v>OK</v>
      </c>
      <c r="U1698" t="str">
        <f t="shared" si="79"/>
        <v>Hyderabad</v>
      </c>
      <c r="V1698">
        <f t="shared" si="80"/>
        <v>0</v>
      </c>
    </row>
    <row r="1699" spans="1:22" ht="15" customHeight="1" x14ac:dyDescent="0.35">
      <c r="A1699" s="3" t="s">
        <v>2136</v>
      </c>
      <c r="B1699" s="4">
        <v>45502</v>
      </c>
      <c r="C1699" s="3" t="s">
        <v>628</v>
      </c>
      <c r="D1699" s="3" t="s">
        <v>206</v>
      </c>
      <c r="E1699" s="3" t="s">
        <v>78</v>
      </c>
      <c r="F1699" s="5">
        <v>7</v>
      </c>
      <c r="G1699" s="5">
        <v>1220</v>
      </c>
      <c r="H1699" s="5">
        <v>25.8</v>
      </c>
      <c r="I1699" s="5">
        <v>6336.68</v>
      </c>
      <c r="J1699" s="3" t="s">
        <v>83</v>
      </c>
      <c r="K1699" s="3" t="s">
        <v>72</v>
      </c>
      <c r="L1699" t="str">
        <f>IFERROR(VLOOKUP(D1699,Products!$A$2:$F$61,3,FALSE()),"")</f>
        <v>Electronics</v>
      </c>
      <c r="M1699" t="str">
        <f>IFERROR(VLOOKUP(E1699,Sales_Reps!$A$2:$C$31,3,FALSE()),"")</f>
        <v>North</v>
      </c>
      <c r="N1699">
        <f>IFERROR(VLOOKUP(D1699,Products!$A$2:$F$61,4,FALSE()),"")</f>
        <v>517</v>
      </c>
      <c r="O1699" t="str">
        <f>IFERROR(VLOOKUP(C1699,Customers!$A$2:$F$301,5,FALSE()),"")</f>
        <v>Retail</v>
      </c>
      <c r="P1699">
        <f>IFERROR(VLOOKUP(C1699,Customers!$A$2:$F$301,3,FALSE()),"")</f>
        <v>28</v>
      </c>
      <c r="Q1699">
        <f t="shared" si="78"/>
        <v>0.57622950819672136</v>
      </c>
      <c r="R1699">
        <f>IF(AND(COUNTIF($A$2:$A$2027,A1699)&gt;1,COUNTIF($A$2:A1699,A1699)=1),1,0)</f>
        <v>0</v>
      </c>
      <c r="S1699" t="b">
        <f>IFERROR(VLOOKUP(D1699,Products!$A$2:$F$61,6,FALSE()),"")</f>
        <v>1</v>
      </c>
      <c r="T1699" t="str">
        <f>IF(COUNTIF(Customers!$A$2:$A$301,C1699)=0,"Missing","OK")</f>
        <v>OK</v>
      </c>
      <c r="U1699" t="str">
        <f t="shared" si="79"/>
        <v>Hyderabad</v>
      </c>
      <c r="V1699">
        <f t="shared" si="80"/>
        <v>0</v>
      </c>
    </row>
    <row r="1700" spans="1:22" ht="15" customHeight="1" x14ac:dyDescent="0.35">
      <c r="A1700" s="3" t="s">
        <v>2137</v>
      </c>
      <c r="B1700" s="4">
        <v>45501</v>
      </c>
      <c r="C1700" s="3" t="s">
        <v>1111</v>
      </c>
      <c r="D1700" s="3" t="s">
        <v>100</v>
      </c>
      <c r="E1700" s="3" t="s">
        <v>168</v>
      </c>
      <c r="F1700" s="5">
        <v>6</v>
      </c>
      <c r="G1700" s="5">
        <v>3450</v>
      </c>
      <c r="H1700" s="5">
        <v>13.1</v>
      </c>
      <c r="I1700" s="5">
        <v>17988.3</v>
      </c>
      <c r="J1700" s="3" t="s">
        <v>26</v>
      </c>
      <c r="K1700" s="3" t="s">
        <v>27</v>
      </c>
      <c r="L1700" t="str">
        <f>IFERROR(VLOOKUP(D1700,Products!$A$2:$F$61,3,FALSE()),"")</f>
        <v>Sports</v>
      </c>
      <c r="M1700" t="str">
        <f>IFERROR(VLOOKUP(E1700,Sales_Reps!$A$2:$C$31,3,FALSE()),"")</f>
        <v>West</v>
      </c>
      <c r="N1700">
        <f>IFERROR(VLOOKUP(D1700,Products!$A$2:$F$61,4,FALSE()),"")</f>
        <v>2467</v>
      </c>
      <c r="O1700" t="str">
        <f>IFERROR(VLOOKUP(C1700,Customers!$A$2:$F$301,5,FALSE()),"")</f>
        <v>Retail</v>
      </c>
      <c r="P1700">
        <f>IFERROR(VLOOKUP(C1700,Customers!$A$2:$F$301,3,FALSE()),"")</f>
        <v>39</v>
      </c>
      <c r="Q1700">
        <f t="shared" si="78"/>
        <v>0.28492753623188405</v>
      </c>
      <c r="R1700">
        <f>IF(AND(COUNTIF($A$2:$A$2027,A1700)&gt;1,COUNTIF($A$2:A1700,A1700)=1),1,0)</f>
        <v>0</v>
      </c>
      <c r="S1700" t="b">
        <f>IFERROR(VLOOKUP(D1700,Products!$A$2:$F$61,6,FALSE()),"")</f>
        <v>1</v>
      </c>
      <c r="T1700" t="str">
        <f>IF(COUNTIF(Customers!$A$2:$A$301,C1700)=0,"Missing","OK")</f>
        <v>OK</v>
      </c>
      <c r="U1700" t="str">
        <f t="shared" si="79"/>
        <v>Pune</v>
      </c>
      <c r="V1700">
        <f t="shared" si="80"/>
        <v>0</v>
      </c>
    </row>
    <row r="1701" spans="1:22" ht="15" customHeight="1" x14ac:dyDescent="0.35">
      <c r="A1701" s="3" t="s">
        <v>2138</v>
      </c>
      <c r="B1701" s="4">
        <v>45435</v>
      </c>
      <c r="C1701" s="3" t="s">
        <v>48</v>
      </c>
      <c r="D1701" s="3" t="s">
        <v>277</v>
      </c>
      <c r="E1701" s="3" t="s">
        <v>78</v>
      </c>
      <c r="F1701" s="5">
        <v>10</v>
      </c>
      <c r="G1701" s="5">
        <v>2210</v>
      </c>
      <c r="H1701" s="5">
        <v>16.600000000000001</v>
      </c>
      <c r="I1701" s="5">
        <v>18431.400000000001</v>
      </c>
      <c r="J1701" s="3" t="s">
        <v>26</v>
      </c>
      <c r="K1701" s="3" t="s">
        <v>51</v>
      </c>
      <c r="L1701" t="str">
        <f>IFERROR(VLOOKUP(D1701,Products!$A$2:$F$61,3,FALSE()),"")</f>
        <v>Grocery</v>
      </c>
      <c r="M1701" t="str">
        <f>IFERROR(VLOOKUP(E1701,Sales_Reps!$A$2:$C$31,3,FALSE()),"")</f>
        <v>North</v>
      </c>
      <c r="N1701">
        <f>IFERROR(VLOOKUP(D1701,Products!$A$2:$F$61,4,FALSE()),"")</f>
        <v>1010</v>
      </c>
      <c r="O1701" t="str">
        <f>IFERROR(VLOOKUP(C1701,Customers!$A$2:$F$301,5,FALSE()),"")</f>
        <v>Retail</v>
      </c>
      <c r="P1701">
        <f>IFERROR(VLOOKUP(C1701,Customers!$A$2:$F$301,3,FALSE()),"")</f>
        <v>36</v>
      </c>
      <c r="Q1701">
        <f t="shared" si="78"/>
        <v>0.54298642533936647</v>
      </c>
      <c r="R1701">
        <f>IF(AND(COUNTIF($A$2:$A$2027,A1701)&gt;1,COUNTIF($A$2:A1701,A1701)=1),1,0)</f>
        <v>0</v>
      </c>
      <c r="S1701" t="b">
        <f>IFERROR(VLOOKUP(D1701,Products!$A$2:$F$61,6,FALSE()),"")</f>
        <v>1</v>
      </c>
      <c r="T1701" t="str">
        <f>IF(COUNTIF(Customers!$A$2:$A$301,C1701)=0,"Missing","OK")</f>
        <v>OK</v>
      </c>
      <c r="U1701" t="str">
        <f t="shared" si="79"/>
        <v>Mumbai</v>
      </c>
      <c r="V1701">
        <f t="shared" si="80"/>
        <v>0</v>
      </c>
    </row>
    <row r="1702" spans="1:22" ht="15" customHeight="1" x14ac:dyDescent="0.35">
      <c r="A1702" s="3" t="s">
        <v>2139</v>
      </c>
      <c r="B1702" s="4">
        <v>45295</v>
      </c>
      <c r="C1702" s="3" t="s">
        <v>355</v>
      </c>
      <c r="D1702" s="3" t="s">
        <v>106</v>
      </c>
      <c r="E1702" s="3" t="s">
        <v>282</v>
      </c>
      <c r="F1702" s="5">
        <v>10</v>
      </c>
      <c r="G1702" s="5">
        <v>2480</v>
      </c>
      <c r="H1702" s="5">
        <v>17.5</v>
      </c>
      <c r="I1702" s="5">
        <v>20460</v>
      </c>
      <c r="J1702" s="3" t="s">
        <v>26</v>
      </c>
      <c r="K1702" s="3" t="s">
        <v>56</v>
      </c>
      <c r="L1702" t="str">
        <f>IFERROR(VLOOKUP(D1702,Products!$A$2:$F$61,3,FALSE()),"")</f>
        <v>Apparel</v>
      </c>
      <c r="M1702" t="str">
        <f>IFERROR(VLOOKUP(E1702,Sales_Reps!$A$2:$C$31,3,FALSE()),"")</f>
        <v>West</v>
      </c>
      <c r="N1702">
        <f>IFERROR(VLOOKUP(D1702,Products!$A$2:$F$61,4,FALSE()),"")</f>
        <v>1173</v>
      </c>
      <c r="O1702" t="str">
        <f>IFERROR(VLOOKUP(C1702,Customers!$A$2:$F$301,5,FALSE()),"")</f>
        <v>Corporate</v>
      </c>
      <c r="P1702">
        <f>IFERROR(VLOOKUP(C1702,Customers!$A$2:$F$301,3,FALSE()),"")</f>
        <v>42</v>
      </c>
      <c r="Q1702">
        <f t="shared" si="78"/>
        <v>0.52701612903225803</v>
      </c>
      <c r="R1702">
        <f>IF(AND(COUNTIF($A$2:$A$2027,A1702)&gt;1,COUNTIF($A$2:A1702,A1702)=1),1,0)</f>
        <v>0</v>
      </c>
      <c r="S1702" t="b">
        <f>IFERROR(VLOOKUP(D1702,Products!$A$2:$F$61,6,FALSE()),"")</f>
        <v>1</v>
      </c>
      <c r="T1702" t="str">
        <f>IF(COUNTIF(Customers!$A$2:$A$301,C1702)=0,"Missing","OK")</f>
        <v>OK</v>
      </c>
      <c r="U1702" t="str">
        <f t="shared" si="79"/>
        <v>Bengaluru</v>
      </c>
      <c r="V1702">
        <f t="shared" si="80"/>
        <v>0</v>
      </c>
    </row>
    <row r="1703" spans="1:22" ht="15" customHeight="1" x14ac:dyDescent="0.35">
      <c r="A1703" s="3" t="s">
        <v>2140</v>
      </c>
      <c r="B1703" s="4">
        <v>45566</v>
      </c>
      <c r="C1703" s="3" t="s">
        <v>1111</v>
      </c>
      <c r="D1703" s="3" t="s">
        <v>82</v>
      </c>
      <c r="E1703" s="3" t="s">
        <v>60</v>
      </c>
      <c r="F1703" s="5">
        <v>9</v>
      </c>
      <c r="G1703" s="5">
        <v>3250</v>
      </c>
      <c r="H1703" s="5">
        <v>25.9</v>
      </c>
      <c r="I1703" s="5">
        <v>21674.25</v>
      </c>
      <c r="J1703" s="3" t="s">
        <v>26</v>
      </c>
      <c r="K1703" s="3" t="s">
        <v>27</v>
      </c>
      <c r="L1703" t="str">
        <f>IFERROR(VLOOKUP(D1703,Products!$A$2:$F$61,3,FALSE()),"")</f>
        <v>Home</v>
      </c>
      <c r="M1703" t="str">
        <f>IFERROR(VLOOKUP(E1703,Sales_Reps!$A$2:$C$31,3,FALSE()),"")</f>
        <v>East</v>
      </c>
      <c r="N1703">
        <f>IFERROR(VLOOKUP(D1703,Products!$A$2:$F$61,4,FALSE()),"")</f>
        <v>1556</v>
      </c>
      <c r="O1703" t="str">
        <f>IFERROR(VLOOKUP(C1703,Customers!$A$2:$F$301,5,FALSE()),"")</f>
        <v>Retail</v>
      </c>
      <c r="P1703">
        <f>IFERROR(VLOOKUP(C1703,Customers!$A$2:$F$301,3,FALSE()),"")</f>
        <v>39</v>
      </c>
      <c r="Q1703">
        <f t="shared" si="78"/>
        <v>0.52123076923076928</v>
      </c>
      <c r="R1703">
        <f>IF(AND(COUNTIF($A$2:$A$2027,A1703)&gt;1,COUNTIF($A$2:A1703,A1703)=1),1,0)</f>
        <v>0</v>
      </c>
      <c r="S1703" t="b">
        <f>IFERROR(VLOOKUP(D1703,Products!$A$2:$F$61,6,FALSE()),"")</f>
        <v>1</v>
      </c>
      <c r="T1703" t="str">
        <f>IF(COUNTIF(Customers!$A$2:$A$301,C1703)=0,"Missing","OK")</f>
        <v>OK</v>
      </c>
      <c r="U1703" t="str">
        <f t="shared" si="79"/>
        <v>Pune</v>
      </c>
      <c r="V1703">
        <f t="shared" si="80"/>
        <v>0</v>
      </c>
    </row>
    <row r="1704" spans="1:22" ht="15" customHeight="1" x14ac:dyDescent="0.35">
      <c r="A1704" s="3" t="s">
        <v>2141</v>
      </c>
      <c r="B1704" s="4">
        <v>45474</v>
      </c>
      <c r="C1704" s="3" t="s">
        <v>776</v>
      </c>
      <c r="D1704" s="3" t="s">
        <v>90</v>
      </c>
      <c r="E1704" s="3" t="s">
        <v>46</v>
      </c>
      <c r="F1704" s="5">
        <v>3</v>
      </c>
      <c r="G1704" s="5">
        <v>2400</v>
      </c>
      <c r="H1704" s="5">
        <v>17.5</v>
      </c>
      <c r="I1704" s="5">
        <v>5940</v>
      </c>
      <c r="J1704" s="3" t="s">
        <v>26</v>
      </c>
      <c r="K1704" s="3" t="s">
        <v>56</v>
      </c>
      <c r="L1704" t="str">
        <f>IFERROR(VLOOKUP(D1704,Products!$A$2:$F$61,3,FALSE()),"")</f>
        <v>Sports</v>
      </c>
      <c r="M1704" t="str">
        <f>IFERROR(VLOOKUP(E1704,Sales_Reps!$A$2:$C$31,3,FALSE()),"")</f>
        <v>North</v>
      </c>
      <c r="N1704">
        <f>IFERROR(VLOOKUP(D1704,Products!$A$2:$F$61,4,FALSE()),"")</f>
        <v>974</v>
      </c>
      <c r="O1704" t="str">
        <f>IFERROR(VLOOKUP(C1704,Customers!$A$2:$F$301,5,FALSE()),"")</f>
        <v>Retail</v>
      </c>
      <c r="P1704">
        <f>IFERROR(VLOOKUP(C1704,Customers!$A$2:$F$301,3,FALSE()),"")</f>
        <v>37</v>
      </c>
      <c r="Q1704">
        <f t="shared" si="78"/>
        <v>0.59416666666666662</v>
      </c>
      <c r="R1704">
        <f>IF(AND(COUNTIF($A$2:$A$2027,A1704)&gt;1,COUNTIF($A$2:A1704,A1704)=1),1,0)</f>
        <v>0</v>
      </c>
      <c r="S1704" t="b">
        <f>IFERROR(VLOOKUP(D1704,Products!$A$2:$F$61,6,FALSE()),"")</f>
        <v>1</v>
      </c>
      <c r="T1704" t="str">
        <f>IF(COUNTIF(Customers!$A$2:$A$301,C1704)=0,"Missing","OK")</f>
        <v>OK</v>
      </c>
      <c r="U1704" t="str">
        <f t="shared" si="79"/>
        <v>Bengaluru</v>
      </c>
      <c r="V1704">
        <f t="shared" si="80"/>
        <v>0</v>
      </c>
    </row>
    <row r="1705" spans="1:22" ht="15" customHeight="1" x14ac:dyDescent="0.35">
      <c r="A1705" s="3" t="s">
        <v>2142</v>
      </c>
      <c r="B1705" s="4">
        <v>45372</v>
      </c>
      <c r="C1705" s="3" t="s">
        <v>230</v>
      </c>
      <c r="D1705" s="3" t="s">
        <v>299</v>
      </c>
      <c r="E1705" s="3" t="s">
        <v>42</v>
      </c>
      <c r="F1705" s="5">
        <v>8</v>
      </c>
      <c r="G1705" s="5">
        <v>5410</v>
      </c>
      <c r="H1705" s="5">
        <v>8.3000000000000007</v>
      </c>
      <c r="I1705" s="5">
        <v>39687.760000000002</v>
      </c>
      <c r="J1705" s="3" t="s">
        <v>26</v>
      </c>
      <c r="K1705" s="3" t="s">
        <v>38</v>
      </c>
      <c r="L1705" t="str">
        <f>IFERROR(VLOOKUP(D1705,Products!$A$2:$F$61,3,FALSE()),"")</f>
        <v>Sports</v>
      </c>
      <c r="M1705" t="str">
        <f>IFERROR(VLOOKUP(E1705,Sales_Reps!$A$2:$C$31,3,FALSE()),"")</f>
        <v>North</v>
      </c>
      <c r="N1705">
        <f>IFERROR(VLOOKUP(D1705,Products!$A$2:$F$61,4,FALSE()),"")</f>
        <v>2265</v>
      </c>
      <c r="O1705" t="str">
        <f>IFERROR(VLOOKUP(C1705,Customers!$A$2:$F$301,5,FALSE()),"")</f>
        <v>Retail</v>
      </c>
      <c r="P1705">
        <f>IFERROR(VLOOKUP(C1705,Customers!$A$2:$F$301,3,FALSE()),"")</f>
        <v>35</v>
      </c>
      <c r="Q1705">
        <f t="shared" si="78"/>
        <v>0.58133086876155271</v>
      </c>
      <c r="R1705">
        <f>IF(AND(COUNTIF($A$2:$A$2027,A1705)&gt;1,COUNTIF($A$2:A1705,A1705)=1),1,0)</f>
        <v>0</v>
      </c>
      <c r="S1705" t="b">
        <f>IFERROR(VLOOKUP(D1705,Products!$A$2:$F$61,6,FALSE()),"")</f>
        <v>1</v>
      </c>
      <c r="T1705" t="str">
        <f>IF(COUNTIF(Customers!$A$2:$A$301,C1705)=0,"Missing","OK")</f>
        <v>OK</v>
      </c>
      <c r="U1705" t="str">
        <f t="shared" si="79"/>
        <v>Delhi</v>
      </c>
      <c r="V1705">
        <f t="shared" si="80"/>
        <v>0</v>
      </c>
    </row>
    <row r="1706" spans="1:22" ht="15" customHeight="1" x14ac:dyDescent="0.35">
      <c r="A1706" s="3" t="s">
        <v>2143</v>
      </c>
      <c r="B1706" s="4">
        <v>45622</v>
      </c>
      <c r="C1706" s="3" t="s">
        <v>774</v>
      </c>
      <c r="D1706" s="3" t="s">
        <v>77</v>
      </c>
      <c r="E1706" s="3" t="s">
        <v>242</v>
      </c>
      <c r="F1706" s="5">
        <v>1</v>
      </c>
      <c r="G1706" s="5">
        <v>2600</v>
      </c>
      <c r="H1706" s="5">
        <v>5.9</v>
      </c>
      <c r="I1706" s="5">
        <v>2446.6</v>
      </c>
      <c r="J1706" s="3" t="s">
        <v>26</v>
      </c>
      <c r="K1706" s="3" t="s">
        <v>56</v>
      </c>
      <c r="L1706" t="str">
        <f>IFERROR(VLOOKUP(D1706,Products!$A$2:$F$61,3,FALSE()),"")</f>
        <v>Electronics</v>
      </c>
      <c r="M1706" t="str">
        <f>IFERROR(VLOOKUP(E1706,Sales_Reps!$A$2:$C$31,3,FALSE()),"")</f>
        <v>East</v>
      </c>
      <c r="N1706">
        <f>IFERROR(VLOOKUP(D1706,Products!$A$2:$F$61,4,FALSE()),"")</f>
        <v>1052</v>
      </c>
      <c r="O1706" t="str">
        <f>IFERROR(VLOOKUP(C1706,Customers!$A$2:$F$301,5,FALSE()),"")</f>
        <v>Retail</v>
      </c>
      <c r="P1706">
        <f>IFERROR(VLOOKUP(C1706,Customers!$A$2:$F$301,3,FALSE()),"")</f>
        <v>52</v>
      </c>
      <c r="Q1706">
        <f t="shared" si="78"/>
        <v>0.5953846153846154</v>
      </c>
      <c r="R1706">
        <f>IF(AND(COUNTIF($A$2:$A$2027,A1706)&gt;1,COUNTIF($A$2:A1706,A1706)=1),1,0)</f>
        <v>0</v>
      </c>
      <c r="S1706" t="b">
        <f>IFERROR(VLOOKUP(D1706,Products!$A$2:$F$61,6,FALSE()),"")</f>
        <v>1</v>
      </c>
      <c r="T1706" t="str">
        <f>IF(COUNTIF(Customers!$A$2:$A$301,C1706)=0,"Missing","OK")</f>
        <v>OK</v>
      </c>
      <c r="U1706" t="str">
        <f t="shared" si="79"/>
        <v>Bengaluru</v>
      </c>
      <c r="V1706">
        <f t="shared" si="80"/>
        <v>0</v>
      </c>
    </row>
    <row r="1707" spans="1:22" ht="15" customHeight="1" x14ac:dyDescent="0.35">
      <c r="A1707" s="3" t="s">
        <v>2144</v>
      </c>
      <c r="B1707" s="4">
        <v>45603</v>
      </c>
      <c r="C1707" s="3" t="s">
        <v>305</v>
      </c>
      <c r="D1707" s="3" t="s">
        <v>290</v>
      </c>
      <c r="E1707" s="3" t="s">
        <v>87</v>
      </c>
      <c r="F1707" s="5">
        <v>10</v>
      </c>
      <c r="G1707" s="5">
        <v>4060</v>
      </c>
      <c r="H1707" s="5">
        <v>2.2999999999999998</v>
      </c>
      <c r="I1707" s="5">
        <v>39666.199999999997</v>
      </c>
      <c r="J1707" s="3" t="s">
        <v>26</v>
      </c>
      <c r="K1707" s="3" t="s">
        <v>51</v>
      </c>
      <c r="L1707" t="str">
        <f>IFERROR(VLOOKUP(D1707,Products!$A$2:$F$61,3,FALSE()),"")</f>
        <v>Grocery</v>
      </c>
      <c r="M1707" t="str">
        <f>IFERROR(VLOOKUP(E1707,Sales_Reps!$A$2:$C$31,3,FALSE()),"")</f>
        <v>North</v>
      </c>
      <c r="N1707">
        <f>IFERROR(VLOOKUP(D1707,Products!$A$2:$F$61,4,FALSE()),"")</f>
        <v>2911</v>
      </c>
      <c r="O1707" t="str">
        <f>IFERROR(VLOOKUP(C1707,Customers!$A$2:$F$301,5,FALSE()),"")</f>
        <v>Retail</v>
      </c>
      <c r="P1707">
        <f>IFERROR(VLOOKUP(C1707,Customers!$A$2:$F$301,3,FALSE()),"")</f>
        <v>25</v>
      </c>
      <c r="Q1707">
        <f t="shared" si="78"/>
        <v>0.28300492610837441</v>
      </c>
      <c r="R1707">
        <f>IF(AND(COUNTIF($A$2:$A$2027,A1707)&gt;1,COUNTIF($A$2:A1707,A1707)=1),1,0)</f>
        <v>0</v>
      </c>
      <c r="S1707" t="b">
        <f>IFERROR(VLOOKUP(D1707,Products!$A$2:$F$61,6,FALSE()),"")</f>
        <v>1</v>
      </c>
      <c r="T1707" t="str">
        <f>IF(COUNTIF(Customers!$A$2:$A$301,C1707)=0,"Missing","OK")</f>
        <v>OK</v>
      </c>
      <c r="U1707" t="str">
        <f t="shared" si="79"/>
        <v>Mumbai</v>
      </c>
      <c r="V1707">
        <f t="shared" si="80"/>
        <v>0</v>
      </c>
    </row>
    <row r="1708" spans="1:22" ht="15" customHeight="1" x14ac:dyDescent="0.35">
      <c r="A1708" s="3" t="s">
        <v>2145</v>
      </c>
      <c r="B1708" s="4">
        <v>45352</v>
      </c>
      <c r="C1708" s="3" t="s">
        <v>668</v>
      </c>
      <c r="D1708" s="3" t="s">
        <v>303</v>
      </c>
      <c r="E1708" s="3" t="s">
        <v>131</v>
      </c>
      <c r="F1708" s="5">
        <v>9</v>
      </c>
      <c r="G1708" s="5">
        <v>5330</v>
      </c>
      <c r="H1708" s="5">
        <v>23.5</v>
      </c>
      <c r="I1708" s="5">
        <v>36697.050000000003</v>
      </c>
      <c r="J1708" s="3" t="s">
        <v>26</v>
      </c>
      <c r="K1708" s="3" t="s">
        <v>51</v>
      </c>
      <c r="L1708" t="str">
        <f>IFERROR(VLOOKUP(D1708,Products!$A$2:$F$61,3,FALSE()),"")</f>
        <v>Electronics</v>
      </c>
      <c r="M1708" t="str">
        <f>IFERROR(VLOOKUP(E1708,Sales_Reps!$A$2:$C$31,3,FALSE()),"")</f>
        <v>East</v>
      </c>
      <c r="N1708">
        <f>IFERROR(VLOOKUP(D1708,Products!$A$2:$F$61,4,FALSE()),"")</f>
        <v>2405</v>
      </c>
      <c r="O1708" t="str">
        <f>IFERROR(VLOOKUP(C1708,Customers!$A$2:$F$301,5,FALSE()),"")</f>
        <v>Retail</v>
      </c>
      <c r="P1708">
        <f>IFERROR(VLOOKUP(C1708,Customers!$A$2:$F$301,3,FALSE()),"")</f>
        <v>56</v>
      </c>
      <c r="Q1708">
        <f t="shared" si="78"/>
        <v>0.54878048780487809</v>
      </c>
      <c r="R1708">
        <f>IF(AND(COUNTIF($A$2:$A$2027,A1708)&gt;1,COUNTIF($A$2:A1708,A1708)=1),1,0)</f>
        <v>0</v>
      </c>
      <c r="S1708" t="b">
        <f>IFERROR(VLOOKUP(D1708,Products!$A$2:$F$61,6,FALSE()),"")</f>
        <v>1</v>
      </c>
      <c r="T1708" t="str">
        <f>IF(COUNTIF(Customers!$A$2:$A$301,C1708)=0,"Missing","OK")</f>
        <v>OK</v>
      </c>
      <c r="U1708" t="str">
        <f t="shared" si="79"/>
        <v>Mumbai</v>
      </c>
      <c r="V1708">
        <f t="shared" si="80"/>
        <v>0</v>
      </c>
    </row>
    <row r="1709" spans="1:22" ht="15" customHeight="1" x14ac:dyDescent="0.35">
      <c r="A1709" s="3" t="s">
        <v>2146</v>
      </c>
      <c r="B1709" s="4">
        <v>45600</v>
      </c>
      <c r="C1709" s="3" t="s">
        <v>238</v>
      </c>
      <c r="D1709" s="3" t="s">
        <v>118</v>
      </c>
      <c r="E1709" s="3" t="s">
        <v>50</v>
      </c>
      <c r="F1709" s="5">
        <v>7</v>
      </c>
      <c r="G1709" s="5">
        <v>3350</v>
      </c>
      <c r="H1709" s="5">
        <v>13.4</v>
      </c>
      <c r="I1709" s="5">
        <v>20307.7</v>
      </c>
      <c r="J1709" s="3" t="s">
        <v>32</v>
      </c>
      <c r="K1709" s="3" t="s">
        <v>72</v>
      </c>
      <c r="L1709" t="str">
        <f>IFERROR(VLOOKUP(D1709,Products!$A$2:$F$61,3,FALSE()),"")</f>
        <v>Beauty</v>
      </c>
      <c r="M1709" t="str">
        <f>IFERROR(VLOOKUP(E1709,Sales_Reps!$A$2:$C$31,3,FALSE()),"")</f>
        <v>West</v>
      </c>
      <c r="N1709">
        <f>IFERROR(VLOOKUP(D1709,Products!$A$2:$F$61,4,FALSE()),"")</f>
        <v>1728</v>
      </c>
      <c r="O1709" t="str">
        <f>IFERROR(VLOOKUP(C1709,Customers!$A$2:$F$301,5,FALSE()),"")</f>
        <v>Retail</v>
      </c>
      <c r="P1709">
        <f>IFERROR(VLOOKUP(C1709,Customers!$A$2:$F$301,3,FALSE()),"")</f>
        <v>29</v>
      </c>
      <c r="Q1709">
        <f t="shared" si="78"/>
        <v>0.48417910447761192</v>
      </c>
      <c r="R1709">
        <f>IF(AND(COUNTIF($A$2:$A$2027,A1709)&gt;1,COUNTIF($A$2:A1709,A1709)=1),1,0)</f>
        <v>0</v>
      </c>
      <c r="S1709" t="b">
        <f>IFERROR(VLOOKUP(D1709,Products!$A$2:$F$61,6,FALSE()),"")</f>
        <v>1</v>
      </c>
      <c r="T1709" t="str">
        <f>IF(COUNTIF(Customers!$A$2:$A$301,C1709)=0,"Missing","OK")</f>
        <v>OK</v>
      </c>
      <c r="U1709" t="str">
        <f t="shared" si="79"/>
        <v>Hyderabad</v>
      </c>
      <c r="V1709">
        <f t="shared" si="80"/>
        <v>0</v>
      </c>
    </row>
    <row r="1710" spans="1:22" ht="15" customHeight="1" x14ac:dyDescent="0.35">
      <c r="A1710" s="3" t="s">
        <v>2147</v>
      </c>
      <c r="B1710" s="4">
        <v>45631</v>
      </c>
      <c r="C1710" s="3" t="s">
        <v>504</v>
      </c>
      <c r="D1710" s="3" t="s">
        <v>294</v>
      </c>
      <c r="E1710" s="3" t="s">
        <v>37</v>
      </c>
      <c r="F1710" s="5">
        <v>4</v>
      </c>
      <c r="G1710" s="5">
        <v>2510</v>
      </c>
      <c r="H1710" s="5">
        <v>26.6</v>
      </c>
      <c r="I1710" s="5">
        <v>7369.36</v>
      </c>
      <c r="J1710" s="3" t="s">
        <v>26</v>
      </c>
      <c r="K1710" s="3" t="s">
        <v>51</v>
      </c>
      <c r="L1710" t="str">
        <f>IFERROR(VLOOKUP(D1710,Products!$A$2:$F$61,3,FALSE()),"")</f>
        <v>Apparel</v>
      </c>
      <c r="M1710" t="str">
        <f>IFERROR(VLOOKUP(E1710,Sales_Reps!$A$2:$C$31,3,FALSE()),"")</f>
        <v>South</v>
      </c>
      <c r="N1710">
        <f>IFERROR(VLOOKUP(D1710,Products!$A$2:$F$61,4,FALSE()),"")</f>
        <v>1075</v>
      </c>
      <c r="O1710" t="str">
        <f>IFERROR(VLOOKUP(C1710,Customers!$A$2:$F$301,5,FALSE()),"")</f>
        <v>SMB</v>
      </c>
      <c r="P1710">
        <f>IFERROR(VLOOKUP(C1710,Customers!$A$2:$F$301,3,FALSE()),"")</f>
        <v>61</v>
      </c>
      <c r="Q1710">
        <f t="shared" si="78"/>
        <v>0.57171314741035861</v>
      </c>
      <c r="R1710">
        <f>IF(AND(COUNTIF($A$2:$A$2027,A1710)&gt;1,COUNTIF($A$2:A1710,A1710)=1),1,0)</f>
        <v>0</v>
      </c>
      <c r="S1710" t="b">
        <f>IFERROR(VLOOKUP(D1710,Products!$A$2:$F$61,6,FALSE()),"")</f>
        <v>0</v>
      </c>
      <c r="T1710" t="str">
        <f>IF(COUNTIF(Customers!$A$2:$A$301,C1710)=0,"Missing","OK")</f>
        <v>OK</v>
      </c>
      <c r="U1710" t="str">
        <f t="shared" si="79"/>
        <v>Mumbai</v>
      </c>
      <c r="V1710">
        <f t="shared" si="80"/>
        <v>0</v>
      </c>
    </row>
    <row r="1711" spans="1:22" ht="15" customHeight="1" x14ac:dyDescent="0.35">
      <c r="A1711" s="3" t="s">
        <v>2148</v>
      </c>
      <c r="B1711" s="4">
        <v>45456</v>
      </c>
      <c r="C1711" s="3" t="s">
        <v>133</v>
      </c>
      <c r="D1711" s="3" t="s">
        <v>215</v>
      </c>
      <c r="E1711" s="3" t="s">
        <v>97</v>
      </c>
      <c r="F1711" s="5">
        <v>1</v>
      </c>
      <c r="G1711" s="5">
        <v>3020</v>
      </c>
      <c r="H1711" s="5">
        <v>15.2</v>
      </c>
      <c r="I1711" s="5">
        <v>2560.96</v>
      </c>
      <c r="J1711" s="3" t="s">
        <v>79</v>
      </c>
      <c r="K1711" s="3" t="s">
        <v>27</v>
      </c>
      <c r="L1711" t="str">
        <f>IFERROR(VLOOKUP(D1711,Products!$A$2:$F$61,3,FALSE()),"")</f>
        <v>Beauty</v>
      </c>
      <c r="M1711" t="str">
        <f>IFERROR(VLOOKUP(E1711,Sales_Reps!$A$2:$C$31,3,FALSE()),"")</f>
        <v>East</v>
      </c>
      <c r="N1711">
        <f>IFERROR(VLOOKUP(D1711,Products!$A$2:$F$61,4,FALSE()),"")</f>
        <v>1626</v>
      </c>
      <c r="O1711" t="str">
        <f>IFERROR(VLOOKUP(C1711,Customers!$A$2:$F$301,5,FALSE()),"")</f>
        <v>SMB</v>
      </c>
      <c r="P1711">
        <f>IFERROR(VLOOKUP(C1711,Customers!$A$2:$F$301,3,FALSE()),"")</f>
        <v>44</v>
      </c>
      <c r="Q1711">
        <f t="shared" si="78"/>
        <v>0.46158940397350995</v>
      </c>
      <c r="R1711">
        <f>IF(AND(COUNTIF($A$2:$A$2027,A1711)&gt;1,COUNTIF($A$2:A1711,A1711)=1),1,0)</f>
        <v>0</v>
      </c>
      <c r="S1711" t="b">
        <f>IFERROR(VLOOKUP(D1711,Products!$A$2:$F$61,6,FALSE()),"")</f>
        <v>1</v>
      </c>
      <c r="T1711" t="str">
        <f>IF(COUNTIF(Customers!$A$2:$A$301,C1711)=0,"Missing","OK")</f>
        <v>OK</v>
      </c>
      <c r="U1711" t="str">
        <f t="shared" si="79"/>
        <v>Pune</v>
      </c>
      <c r="V1711">
        <f t="shared" si="80"/>
        <v>0</v>
      </c>
    </row>
    <row r="1712" spans="1:22" ht="15" customHeight="1" x14ac:dyDescent="0.35">
      <c r="A1712" s="3" t="s">
        <v>2149</v>
      </c>
      <c r="B1712" s="4">
        <v>45539</v>
      </c>
      <c r="C1712" s="3" t="s">
        <v>909</v>
      </c>
      <c r="D1712" s="3" t="s">
        <v>30</v>
      </c>
      <c r="E1712" s="3" t="s">
        <v>168</v>
      </c>
      <c r="F1712" s="5">
        <v>1</v>
      </c>
      <c r="G1712" s="5">
        <v>820</v>
      </c>
      <c r="H1712" s="5">
        <v>6.3</v>
      </c>
      <c r="I1712" s="5">
        <v>768.34</v>
      </c>
      <c r="J1712" s="3" t="s">
        <v>26</v>
      </c>
      <c r="K1712" s="3" t="s">
        <v>51</v>
      </c>
      <c r="L1712" t="str">
        <f>IFERROR(VLOOKUP(D1712,Products!$A$2:$F$61,3,FALSE()),"")</f>
        <v>Apparel</v>
      </c>
      <c r="M1712" t="str">
        <f>IFERROR(VLOOKUP(E1712,Sales_Reps!$A$2:$C$31,3,FALSE()),"")</f>
        <v>West</v>
      </c>
      <c r="N1712">
        <f>IFERROR(VLOOKUP(D1712,Products!$A$2:$F$61,4,FALSE()),"")</f>
        <v>391</v>
      </c>
      <c r="O1712" t="str">
        <f>IFERROR(VLOOKUP(C1712,Customers!$A$2:$F$301,5,FALSE()),"")</f>
        <v>Retail</v>
      </c>
      <c r="P1712">
        <f>IFERROR(VLOOKUP(C1712,Customers!$A$2:$F$301,3,FALSE()),"")</f>
        <v>40</v>
      </c>
      <c r="Q1712">
        <f t="shared" si="78"/>
        <v>0.52317073170731709</v>
      </c>
      <c r="R1712">
        <f>IF(AND(COUNTIF($A$2:$A$2027,A1712)&gt;1,COUNTIF($A$2:A1712,A1712)=1),1,0)</f>
        <v>0</v>
      </c>
      <c r="S1712" t="b">
        <f>IFERROR(VLOOKUP(D1712,Products!$A$2:$F$61,6,FALSE()),"")</f>
        <v>1</v>
      </c>
      <c r="T1712" t="str">
        <f>IF(COUNTIF(Customers!$A$2:$A$301,C1712)=0,"Missing","OK")</f>
        <v>OK</v>
      </c>
      <c r="U1712" t="str">
        <f t="shared" si="79"/>
        <v>Mumbai</v>
      </c>
      <c r="V1712">
        <f t="shared" si="80"/>
        <v>0</v>
      </c>
    </row>
    <row r="1713" spans="1:22" ht="15" customHeight="1" x14ac:dyDescent="0.35">
      <c r="A1713" s="3" t="s">
        <v>2150</v>
      </c>
      <c r="B1713" s="4">
        <v>45488</v>
      </c>
      <c r="C1713" s="3" t="s">
        <v>907</v>
      </c>
      <c r="D1713" s="3" t="s">
        <v>45</v>
      </c>
      <c r="E1713" s="3" t="s">
        <v>282</v>
      </c>
      <c r="F1713" s="5">
        <v>4</v>
      </c>
      <c r="G1713" s="5">
        <v>3160</v>
      </c>
      <c r="H1713" s="5">
        <v>3.6</v>
      </c>
      <c r="I1713" s="5">
        <v>12184.96</v>
      </c>
      <c r="J1713" s="3" t="s">
        <v>32</v>
      </c>
      <c r="K1713" s="3" t="s">
        <v>38</v>
      </c>
      <c r="L1713" t="str">
        <f>IFERROR(VLOOKUP(D1713,Products!$A$2:$F$61,3,FALSE()),"")</f>
        <v>Apparel</v>
      </c>
      <c r="M1713" t="str">
        <f>IFERROR(VLOOKUP(E1713,Sales_Reps!$A$2:$C$31,3,FALSE()),"")</f>
        <v>West</v>
      </c>
      <c r="N1713">
        <f>IFERROR(VLOOKUP(D1713,Products!$A$2:$F$61,4,FALSE()),"")</f>
        <v>1886</v>
      </c>
      <c r="O1713" t="str">
        <f>IFERROR(VLOOKUP(C1713,Customers!$A$2:$F$301,5,FALSE()),"")</f>
        <v>Retail</v>
      </c>
      <c r="P1713">
        <f>IFERROR(VLOOKUP(C1713,Customers!$A$2:$F$301,3,FALSE()),"")</f>
        <v>47</v>
      </c>
      <c r="Q1713">
        <f t="shared" si="78"/>
        <v>0.4031645569620253</v>
      </c>
      <c r="R1713">
        <f>IF(AND(COUNTIF($A$2:$A$2027,A1713)&gt;1,COUNTIF($A$2:A1713,A1713)=1),1,0)</f>
        <v>1</v>
      </c>
      <c r="S1713" t="b">
        <f>IFERROR(VLOOKUP(D1713,Products!$A$2:$F$61,6,FALSE()),"")</f>
        <v>1</v>
      </c>
      <c r="T1713" t="str">
        <f>IF(COUNTIF(Customers!$A$2:$A$301,C1713)=0,"Missing","OK")</f>
        <v>OK</v>
      </c>
      <c r="U1713" t="str">
        <f t="shared" si="79"/>
        <v>Delhi</v>
      </c>
      <c r="V1713">
        <f t="shared" si="80"/>
        <v>0</v>
      </c>
    </row>
    <row r="1714" spans="1:22" ht="15" customHeight="1" x14ac:dyDescent="0.35">
      <c r="A1714" s="3" t="s">
        <v>2151</v>
      </c>
      <c r="B1714" s="4">
        <v>45370</v>
      </c>
      <c r="C1714" s="3" t="s">
        <v>461</v>
      </c>
      <c r="D1714" s="3" t="s">
        <v>41</v>
      </c>
      <c r="E1714" s="3" t="s">
        <v>264</v>
      </c>
      <c r="F1714" s="5">
        <v>1</v>
      </c>
      <c r="G1714" s="5">
        <v>3660</v>
      </c>
      <c r="H1714" s="5">
        <v>28.2</v>
      </c>
      <c r="I1714" s="5">
        <v>2627.88</v>
      </c>
      <c r="J1714" s="3" t="s">
        <v>32</v>
      </c>
      <c r="K1714" s="3" t="s">
        <v>38</v>
      </c>
      <c r="L1714" t="str">
        <f>IFERROR(VLOOKUP(D1714,Products!$A$2:$F$61,3,FALSE()),"")</f>
        <v>Grocery</v>
      </c>
      <c r="M1714" t="str">
        <f>IFERROR(VLOOKUP(E1714,Sales_Reps!$A$2:$C$31,3,FALSE()),"")</f>
        <v>South</v>
      </c>
      <c r="N1714">
        <f>IFERROR(VLOOKUP(D1714,Products!$A$2:$F$61,4,FALSE()),"")</f>
        <v>2214</v>
      </c>
      <c r="O1714" t="str">
        <f>IFERROR(VLOOKUP(C1714,Customers!$A$2:$F$301,5,FALSE()),"")</f>
        <v>SMB</v>
      </c>
      <c r="P1714">
        <f>IFERROR(VLOOKUP(C1714,Customers!$A$2:$F$301,3,FALSE()),"")</f>
        <v>55</v>
      </c>
      <c r="Q1714">
        <f t="shared" si="78"/>
        <v>0.39508196721311473</v>
      </c>
      <c r="R1714">
        <f>IF(AND(COUNTIF($A$2:$A$2027,A1714)&gt;1,COUNTIF($A$2:A1714,A1714)=1),1,0)</f>
        <v>0</v>
      </c>
      <c r="S1714" t="b">
        <f>IFERROR(VLOOKUP(D1714,Products!$A$2:$F$61,6,FALSE()),"")</f>
        <v>0</v>
      </c>
      <c r="T1714" t="str">
        <f>IF(COUNTIF(Customers!$A$2:$A$301,C1714)=0,"Missing","OK")</f>
        <v>OK</v>
      </c>
      <c r="U1714" t="str">
        <f t="shared" si="79"/>
        <v>Delhi</v>
      </c>
      <c r="V1714">
        <f t="shared" si="80"/>
        <v>0</v>
      </c>
    </row>
    <row r="1715" spans="1:22" ht="15" customHeight="1" x14ac:dyDescent="0.35">
      <c r="A1715" s="3" t="s">
        <v>2152</v>
      </c>
      <c r="B1715" s="4">
        <v>45394</v>
      </c>
      <c r="C1715" s="3" t="s">
        <v>35</v>
      </c>
      <c r="D1715" s="3" t="s">
        <v>30</v>
      </c>
      <c r="E1715" s="3" t="s">
        <v>140</v>
      </c>
      <c r="F1715" s="5">
        <v>2</v>
      </c>
      <c r="G1715" s="5">
        <v>820</v>
      </c>
      <c r="H1715" s="5">
        <v>7</v>
      </c>
      <c r="I1715" s="5">
        <v>1525.2</v>
      </c>
      <c r="J1715" s="3" t="s">
        <v>26</v>
      </c>
      <c r="K1715" s="3" t="s">
        <v>38</v>
      </c>
      <c r="L1715" t="str">
        <f>IFERROR(VLOOKUP(D1715,Products!$A$2:$F$61,3,FALSE()),"")</f>
        <v>Apparel</v>
      </c>
      <c r="M1715" t="str">
        <f>IFERROR(VLOOKUP(E1715,Sales_Reps!$A$2:$C$31,3,FALSE()),"")</f>
        <v>West</v>
      </c>
      <c r="N1715">
        <f>IFERROR(VLOOKUP(D1715,Products!$A$2:$F$61,4,FALSE()),"")</f>
        <v>391</v>
      </c>
      <c r="O1715" t="str">
        <f>IFERROR(VLOOKUP(C1715,Customers!$A$2:$F$301,5,FALSE()),"")</f>
        <v>Retail</v>
      </c>
      <c r="P1715">
        <f>IFERROR(VLOOKUP(C1715,Customers!$A$2:$F$301,3,FALSE()),"")</f>
        <v>52</v>
      </c>
      <c r="Q1715">
        <f t="shared" si="78"/>
        <v>0.52317073170731709</v>
      </c>
      <c r="R1715">
        <f>IF(AND(COUNTIF($A$2:$A$2027,A1715)&gt;1,COUNTIF($A$2:A1715,A1715)=1),1,0)</f>
        <v>0</v>
      </c>
      <c r="S1715" t="b">
        <f>IFERROR(VLOOKUP(D1715,Products!$A$2:$F$61,6,FALSE()),"")</f>
        <v>1</v>
      </c>
      <c r="T1715" t="str">
        <f>IF(COUNTIF(Customers!$A$2:$A$301,C1715)=0,"Missing","OK")</f>
        <v>OK</v>
      </c>
      <c r="U1715" t="str">
        <f t="shared" si="79"/>
        <v>Delhi</v>
      </c>
      <c r="V1715">
        <f t="shared" si="80"/>
        <v>0</v>
      </c>
    </row>
    <row r="1716" spans="1:22" ht="15" customHeight="1" x14ac:dyDescent="0.35">
      <c r="A1716" s="3" t="s">
        <v>2153</v>
      </c>
      <c r="B1716" s="4">
        <v>45446</v>
      </c>
      <c r="C1716" s="3" t="s">
        <v>202</v>
      </c>
      <c r="D1716" s="3" t="s">
        <v>306</v>
      </c>
      <c r="E1716" s="3" t="s">
        <v>224</v>
      </c>
      <c r="F1716" s="5">
        <v>5</v>
      </c>
      <c r="G1716" s="5">
        <v>2380</v>
      </c>
      <c r="H1716" s="5">
        <v>23</v>
      </c>
      <c r="I1716" s="5">
        <v>9163</v>
      </c>
      <c r="J1716" s="3" t="s">
        <v>26</v>
      </c>
      <c r="K1716" s="3" t="s">
        <v>72</v>
      </c>
      <c r="L1716" t="str">
        <f>IFERROR(VLOOKUP(D1716,Products!$A$2:$F$61,3,FALSE()),"")</f>
        <v>Grocery</v>
      </c>
      <c r="M1716" t="str">
        <f>IFERROR(VLOOKUP(E1716,Sales_Reps!$A$2:$C$31,3,FALSE()),"")</f>
        <v>East</v>
      </c>
      <c r="N1716">
        <f>IFERROR(VLOOKUP(D1716,Products!$A$2:$F$61,4,FALSE()),"")</f>
        <v>1182</v>
      </c>
      <c r="O1716" t="str">
        <f>IFERROR(VLOOKUP(C1716,Customers!$A$2:$F$301,5,FALSE()),"")</f>
        <v>Retail</v>
      </c>
      <c r="P1716">
        <f>IFERROR(VLOOKUP(C1716,Customers!$A$2:$F$301,3,FALSE()),"")</f>
        <v>53</v>
      </c>
      <c r="Q1716">
        <f t="shared" si="78"/>
        <v>0.50336134453781511</v>
      </c>
      <c r="R1716">
        <f>IF(AND(COUNTIF($A$2:$A$2027,A1716)&gt;1,COUNTIF($A$2:A1716,A1716)=1),1,0)</f>
        <v>0</v>
      </c>
      <c r="S1716" t="b">
        <f>IFERROR(VLOOKUP(D1716,Products!$A$2:$F$61,6,FALSE()),"")</f>
        <v>1</v>
      </c>
      <c r="T1716" t="str">
        <f>IF(COUNTIF(Customers!$A$2:$A$301,C1716)=0,"Missing","OK")</f>
        <v>OK</v>
      </c>
      <c r="U1716" t="str">
        <f t="shared" si="79"/>
        <v>Hyderabad</v>
      </c>
      <c r="V1716">
        <f t="shared" si="80"/>
        <v>0</v>
      </c>
    </row>
    <row r="1717" spans="1:22" ht="15" customHeight="1" x14ac:dyDescent="0.35">
      <c r="A1717" s="3" t="s">
        <v>2154</v>
      </c>
      <c r="B1717" s="4">
        <v>45612</v>
      </c>
      <c r="C1717" s="3" t="s">
        <v>500</v>
      </c>
      <c r="D1717" s="3" t="s">
        <v>187</v>
      </c>
      <c r="E1717" s="3" t="s">
        <v>191</v>
      </c>
      <c r="F1717" s="5">
        <v>1</v>
      </c>
      <c r="G1717" s="5">
        <v>3870</v>
      </c>
      <c r="H1717" s="5">
        <v>27.3</v>
      </c>
      <c r="I1717" s="5">
        <v>2813.49</v>
      </c>
      <c r="J1717" s="3" t="s">
        <v>26</v>
      </c>
      <c r="K1717" s="3" t="s">
        <v>72</v>
      </c>
      <c r="L1717" t="str">
        <f>IFERROR(VLOOKUP(D1717,Products!$A$2:$F$61,3,FALSE()),"")</f>
        <v>Electronics</v>
      </c>
      <c r="M1717" t="str">
        <f>IFERROR(VLOOKUP(E1717,Sales_Reps!$A$2:$C$31,3,FALSE()),"")</f>
        <v>South</v>
      </c>
      <c r="N1717">
        <f>IFERROR(VLOOKUP(D1717,Products!$A$2:$F$61,4,FALSE()),"")</f>
        <v>1559</v>
      </c>
      <c r="O1717" t="str">
        <f>IFERROR(VLOOKUP(C1717,Customers!$A$2:$F$301,5,FALSE()),"")</f>
        <v>SMB</v>
      </c>
      <c r="P1717">
        <f>IFERROR(VLOOKUP(C1717,Customers!$A$2:$F$301,3,FALSE()),"")</f>
        <v>43</v>
      </c>
      <c r="Q1717">
        <f t="shared" si="78"/>
        <v>0.59715762273901807</v>
      </c>
      <c r="R1717">
        <f>IF(AND(COUNTIF($A$2:$A$2027,A1717)&gt;1,COUNTIF($A$2:A1717,A1717)=1),1,0)</f>
        <v>0</v>
      </c>
      <c r="S1717" t="b">
        <f>IFERROR(VLOOKUP(D1717,Products!$A$2:$F$61,6,FALSE()),"")</f>
        <v>1</v>
      </c>
      <c r="T1717" t="str">
        <f>IF(COUNTIF(Customers!$A$2:$A$301,C1717)=0,"Missing","OK")</f>
        <v>OK</v>
      </c>
      <c r="U1717" t="str">
        <f t="shared" si="79"/>
        <v>Hyderabad</v>
      </c>
      <c r="V1717">
        <f t="shared" si="80"/>
        <v>0</v>
      </c>
    </row>
    <row r="1718" spans="1:22" ht="15" customHeight="1" x14ac:dyDescent="0.35">
      <c r="A1718" s="3" t="s">
        <v>2155</v>
      </c>
      <c r="B1718" s="4">
        <v>45301</v>
      </c>
      <c r="C1718" s="3" t="s">
        <v>601</v>
      </c>
      <c r="D1718" s="3" t="s">
        <v>221</v>
      </c>
      <c r="E1718" s="3" t="s">
        <v>25</v>
      </c>
      <c r="F1718" s="5">
        <v>10</v>
      </c>
      <c r="G1718" s="5">
        <v>300</v>
      </c>
      <c r="H1718" s="5">
        <v>14.1</v>
      </c>
      <c r="I1718" s="5">
        <v>2577</v>
      </c>
      <c r="J1718" s="3" t="s">
        <v>79</v>
      </c>
      <c r="K1718" s="3" t="s">
        <v>33</v>
      </c>
      <c r="L1718" t="str">
        <f>IFERROR(VLOOKUP(D1718,Products!$A$2:$F$61,3,FALSE()),"")</f>
        <v>Electronics</v>
      </c>
      <c r="M1718" t="str">
        <f>IFERROR(VLOOKUP(E1718,Sales_Reps!$A$2:$C$31,3,FALSE()),"")</f>
        <v>North</v>
      </c>
      <c r="N1718">
        <f>IFERROR(VLOOKUP(D1718,Products!$A$2:$F$61,4,FALSE()),"")</f>
        <v>128</v>
      </c>
      <c r="O1718" t="str">
        <f>IFERROR(VLOOKUP(C1718,Customers!$A$2:$F$301,5,FALSE()),"")</f>
        <v>Corporate</v>
      </c>
      <c r="P1718">
        <f>IFERROR(VLOOKUP(C1718,Customers!$A$2:$F$301,3,FALSE()),"")</f>
        <v>41</v>
      </c>
      <c r="Q1718">
        <f t="shared" si="78"/>
        <v>0.57333333333333336</v>
      </c>
      <c r="R1718">
        <f>IF(AND(COUNTIF($A$2:$A$2027,A1718)&gt;1,COUNTIF($A$2:A1718,A1718)=1),1,0)</f>
        <v>0</v>
      </c>
      <c r="S1718" t="b">
        <f>IFERROR(VLOOKUP(D1718,Products!$A$2:$F$61,6,FALSE()),"")</f>
        <v>1</v>
      </c>
      <c r="T1718" t="str">
        <f>IF(COUNTIF(Customers!$A$2:$A$301,C1718)=0,"Missing","OK")</f>
        <v>OK</v>
      </c>
      <c r="U1718" t="str">
        <f t="shared" si="79"/>
        <v>Chennai</v>
      </c>
      <c r="V1718">
        <f t="shared" si="80"/>
        <v>0</v>
      </c>
    </row>
    <row r="1719" spans="1:22" ht="15" customHeight="1" x14ac:dyDescent="0.35">
      <c r="A1719" s="3" t="s">
        <v>2156</v>
      </c>
      <c r="B1719" s="4">
        <v>45647</v>
      </c>
      <c r="C1719" s="3" t="s">
        <v>834</v>
      </c>
      <c r="D1719" s="3" t="s">
        <v>130</v>
      </c>
      <c r="E1719" s="3" t="s">
        <v>282</v>
      </c>
      <c r="F1719" s="5">
        <v>10</v>
      </c>
      <c r="G1719" s="5">
        <v>5100</v>
      </c>
      <c r="H1719" s="5">
        <v>12.7</v>
      </c>
      <c r="I1719" s="5">
        <v>44523</v>
      </c>
      <c r="J1719" s="3" t="s">
        <v>26</v>
      </c>
      <c r="K1719" s="3" t="s">
        <v>56</v>
      </c>
      <c r="L1719" t="str">
        <f>IFERROR(VLOOKUP(D1719,Products!$A$2:$F$61,3,FALSE()),"")</f>
        <v>Beauty</v>
      </c>
      <c r="M1719" t="str">
        <f>IFERROR(VLOOKUP(E1719,Sales_Reps!$A$2:$C$31,3,FALSE()),"")</f>
        <v>West</v>
      </c>
      <c r="N1719">
        <f>IFERROR(VLOOKUP(D1719,Products!$A$2:$F$61,4,FALSE()),"")</f>
        <v>2237</v>
      </c>
      <c r="O1719" t="str">
        <f>IFERROR(VLOOKUP(C1719,Customers!$A$2:$F$301,5,FALSE()),"")</f>
        <v>Retail</v>
      </c>
      <c r="P1719">
        <f>IFERROR(VLOOKUP(C1719,Customers!$A$2:$F$301,3,FALSE()),"")</f>
        <v>46</v>
      </c>
      <c r="Q1719">
        <f t="shared" si="78"/>
        <v>0.56137254901960787</v>
      </c>
      <c r="R1719">
        <f>IF(AND(COUNTIF($A$2:$A$2027,A1719)&gt;1,COUNTIF($A$2:A1719,A1719)=1),1,0)</f>
        <v>0</v>
      </c>
      <c r="S1719" t="b">
        <f>IFERROR(VLOOKUP(D1719,Products!$A$2:$F$61,6,FALSE()),"")</f>
        <v>1</v>
      </c>
      <c r="T1719" t="str">
        <f>IF(COUNTIF(Customers!$A$2:$A$301,C1719)=0,"Missing","OK")</f>
        <v>OK</v>
      </c>
      <c r="U1719" t="str">
        <f t="shared" si="79"/>
        <v>Bengaluru</v>
      </c>
      <c r="V1719">
        <f t="shared" si="80"/>
        <v>0</v>
      </c>
    </row>
    <row r="1720" spans="1:22" ht="15" customHeight="1" x14ac:dyDescent="0.35">
      <c r="A1720" s="3" t="s">
        <v>2157</v>
      </c>
      <c r="B1720" s="4">
        <v>45589</v>
      </c>
      <c r="C1720" s="3" t="s">
        <v>841</v>
      </c>
      <c r="D1720" s="3" t="s">
        <v>139</v>
      </c>
      <c r="E1720" s="3" t="s">
        <v>191</v>
      </c>
      <c r="F1720" s="5">
        <v>1</v>
      </c>
      <c r="G1720" s="5">
        <v>2760</v>
      </c>
      <c r="H1720" s="5">
        <v>17.8</v>
      </c>
      <c r="I1720" s="5">
        <v>2268.7199999999998</v>
      </c>
      <c r="J1720" s="3" t="s">
        <v>83</v>
      </c>
      <c r="K1720" s="3" t="s">
        <v>51</v>
      </c>
      <c r="L1720" t="str">
        <f>IFERROR(VLOOKUP(D1720,Products!$A$2:$F$61,3,FALSE()),"")</f>
        <v>Grocery</v>
      </c>
      <c r="M1720" t="str">
        <f>IFERROR(VLOOKUP(E1720,Sales_Reps!$A$2:$C$31,3,FALSE()),"")</f>
        <v>South</v>
      </c>
      <c r="N1720">
        <f>IFERROR(VLOOKUP(D1720,Products!$A$2:$F$61,4,FALSE()),"")</f>
        <v>1435</v>
      </c>
      <c r="O1720" t="str">
        <f>IFERROR(VLOOKUP(C1720,Customers!$A$2:$F$301,5,FALSE()),"")</f>
        <v>Retail</v>
      </c>
      <c r="P1720">
        <f>IFERROR(VLOOKUP(C1720,Customers!$A$2:$F$301,3,FALSE()),"")</f>
        <v>37</v>
      </c>
      <c r="Q1720">
        <f t="shared" si="78"/>
        <v>0.48007246376811596</v>
      </c>
      <c r="R1720">
        <f>IF(AND(COUNTIF($A$2:$A$2027,A1720)&gt;1,COUNTIF($A$2:A1720,A1720)=1),1,0)</f>
        <v>0</v>
      </c>
      <c r="S1720" t="b">
        <f>IFERROR(VLOOKUP(D1720,Products!$A$2:$F$61,6,FALSE()),"")</f>
        <v>1</v>
      </c>
      <c r="T1720" t="str">
        <f>IF(COUNTIF(Customers!$A$2:$A$301,C1720)=0,"Missing","OK")</f>
        <v>OK</v>
      </c>
      <c r="U1720" t="str">
        <f t="shared" si="79"/>
        <v>Mumbai</v>
      </c>
      <c r="V1720">
        <f t="shared" si="80"/>
        <v>0</v>
      </c>
    </row>
    <row r="1721" spans="1:22" ht="15" customHeight="1" x14ac:dyDescent="0.35">
      <c r="A1721" s="3" t="s">
        <v>2158</v>
      </c>
      <c r="B1721" s="4">
        <v>45382</v>
      </c>
      <c r="C1721" s="3" t="s">
        <v>440</v>
      </c>
      <c r="D1721" s="3" t="s">
        <v>303</v>
      </c>
      <c r="E1721" s="3" t="s">
        <v>236</v>
      </c>
      <c r="F1721" s="5">
        <v>8</v>
      </c>
      <c r="G1721" s="5">
        <v>5330</v>
      </c>
      <c r="H1721" s="5">
        <v>16.399999999999999</v>
      </c>
      <c r="I1721" s="5">
        <v>35647.040000000001</v>
      </c>
      <c r="J1721" s="3" t="s">
        <v>26</v>
      </c>
      <c r="K1721" s="3" t="s">
        <v>72</v>
      </c>
      <c r="L1721" t="str">
        <f>IFERROR(VLOOKUP(D1721,Products!$A$2:$F$61,3,FALSE()),"")</f>
        <v>Electronics</v>
      </c>
      <c r="M1721" t="str">
        <f>IFERROR(VLOOKUP(E1721,Sales_Reps!$A$2:$C$31,3,FALSE()),"")</f>
        <v>North</v>
      </c>
      <c r="N1721">
        <f>IFERROR(VLOOKUP(D1721,Products!$A$2:$F$61,4,FALSE()),"")</f>
        <v>2405</v>
      </c>
      <c r="O1721" t="str">
        <f>IFERROR(VLOOKUP(C1721,Customers!$A$2:$F$301,5,FALSE()),"")</f>
        <v>SMB</v>
      </c>
      <c r="P1721">
        <f>IFERROR(VLOOKUP(C1721,Customers!$A$2:$F$301,3,FALSE()),"")</f>
        <v>65</v>
      </c>
      <c r="Q1721">
        <f t="shared" si="78"/>
        <v>0.54878048780487809</v>
      </c>
      <c r="R1721">
        <f>IF(AND(COUNTIF($A$2:$A$2027,A1721)&gt;1,COUNTIF($A$2:A1721,A1721)=1),1,0)</f>
        <v>0</v>
      </c>
      <c r="S1721" t="b">
        <f>IFERROR(VLOOKUP(D1721,Products!$A$2:$F$61,6,FALSE()),"")</f>
        <v>1</v>
      </c>
      <c r="T1721" t="str">
        <f>IF(COUNTIF(Customers!$A$2:$A$301,C1721)=0,"Missing","OK")</f>
        <v>OK</v>
      </c>
      <c r="U1721" t="str">
        <f t="shared" si="79"/>
        <v>Hyderabad</v>
      </c>
      <c r="V1721">
        <f t="shared" si="80"/>
        <v>0</v>
      </c>
    </row>
    <row r="1722" spans="1:22" ht="15" customHeight="1" x14ac:dyDescent="0.35">
      <c r="A1722" s="3" t="s">
        <v>2159</v>
      </c>
      <c r="B1722" s="4">
        <v>45457</v>
      </c>
      <c r="C1722" s="3" t="s">
        <v>601</v>
      </c>
      <c r="D1722" s="3" t="s">
        <v>121</v>
      </c>
      <c r="E1722" s="3" t="s">
        <v>285</v>
      </c>
      <c r="F1722" s="5">
        <v>1</v>
      </c>
      <c r="G1722" s="5">
        <v>1010</v>
      </c>
      <c r="H1722" s="5">
        <v>20.399999999999999</v>
      </c>
      <c r="I1722" s="5">
        <v>803.96</v>
      </c>
      <c r="J1722" s="3" t="s">
        <v>79</v>
      </c>
      <c r="K1722" s="3" t="s">
        <v>33</v>
      </c>
      <c r="L1722" t="str">
        <f>IFERROR(VLOOKUP(D1722,Products!$A$2:$F$61,3,FALSE()),"")</f>
        <v>Sports</v>
      </c>
      <c r="M1722" t="str">
        <f>IFERROR(VLOOKUP(E1722,Sales_Reps!$A$2:$C$31,3,FALSE()),"")</f>
        <v>South</v>
      </c>
      <c r="N1722">
        <f>IFERROR(VLOOKUP(D1722,Products!$A$2:$F$61,4,FALSE()),"")</f>
        <v>516</v>
      </c>
      <c r="O1722" t="str">
        <f>IFERROR(VLOOKUP(C1722,Customers!$A$2:$F$301,5,FALSE()),"")</f>
        <v>Corporate</v>
      </c>
      <c r="P1722">
        <f>IFERROR(VLOOKUP(C1722,Customers!$A$2:$F$301,3,FALSE()),"")</f>
        <v>41</v>
      </c>
      <c r="Q1722">
        <f t="shared" si="78"/>
        <v>0.4891089108910891</v>
      </c>
      <c r="R1722">
        <f>IF(AND(COUNTIF($A$2:$A$2027,A1722)&gt;1,COUNTIF($A$2:A1722,A1722)=1),1,0)</f>
        <v>0</v>
      </c>
      <c r="S1722" t="b">
        <f>IFERROR(VLOOKUP(D1722,Products!$A$2:$F$61,6,FALSE()),"")</f>
        <v>1</v>
      </c>
      <c r="T1722" t="str">
        <f>IF(COUNTIF(Customers!$A$2:$A$301,C1722)=0,"Missing","OK")</f>
        <v>OK</v>
      </c>
      <c r="U1722" t="str">
        <f t="shared" si="79"/>
        <v>Chennai</v>
      </c>
      <c r="V1722">
        <f t="shared" si="80"/>
        <v>0</v>
      </c>
    </row>
    <row r="1723" spans="1:22" ht="15" customHeight="1" x14ac:dyDescent="0.35">
      <c r="A1723" s="3" t="s">
        <v>2160</v>
      </c>
      <c r="B1723" s="4">
        <v>45376</v>
      </c>
      <c r="C1723" s="3" t="s">
        <v>48</v>
      </c>
      <c r="D1723" s="3" t="s">
        <v>218</v>
      </c>
      <c r="E1723" s="3" t="s">
        <v>60</v>
      </c>
      <c r="F1723" s="5">
        <v>10</v>
      </c>
      <c r="G1723" s="5">
        <v>2660</v>
      </c>
      <c r="H1723" s="5">
        <v>29.3</v>
      </c>
      <c r="I1723" s="5">
        <v>18806.2</v>
      </c>
      <c r="J1723" s="3" t="s">
        <v>26</v>
      </c>
      <c r="K1723" s="3" t="s">
        <v>51</v>
      </c>
      <c r="L1723" t="str">
        <f>IFERROR(VLOOKUP(D1723,Products!$A$2:$F$61,3,FALSE()),"")</f>
        <v>Electronics</v>
      </c>
      <c r="M1723" t="str">
        <f>IFERROR(VLOOKUP(E1723,Sales_Reps!$A$2:$C$31,3,FALSE()),"")</f>
        <v>East</v>
      </c>
      <c r="N1723">
        <f>IFERROR(VLOOKUP(D1723,Products!$A$2:$F$61,4,FALSE()),"")</f>
        <v>1259</v>
      </c>
      <c r="O1723" t="str">
        <f>IFERROR(VLOOKUP(C1723,Customers!$A$2:$F$301,5,FALSE()),"")</f>
        <v>Retail</v>
      </c>
      <c r="P1723">
        <f>IFERROR(VLOOKUP(C1723,Customers!$A$2:$F$301,3,FALSE()),"")</f>
        <v>36</v>
      </c>
      <c r="Q1723">
        <f t="shared" si="78"/>
        <v>0.52669172932330832</v>
      </c>
      <c r="R1723">
        <f>IF(AND(COUNTIF($A$2:$A$2027,A1723)&gt;1,COUNTIF($A$2:A1723,A1723)=1),1,0)</f>
        <v>0</v>
      </c>
      <c r="S1723" t="b">
        <f>IFERROR(VLOOKUP(D1723,Products!$A$2:$F$61,6,FALSE()),"")</f>
        <v>0</v>
      </c>
      <c r="T1723" t="str">
        <f>IF(COUNTIF(Customers!$A$2:$A$301,C1723)=0,"Missing","OK")</f>
        <v>OK</v>
      </c>
      <c r="U1723" t="str">
        <f t="shared" si="79"/>
        <v>Mumbai</v>
      </c>
      <c r="V1723">
        <f t="shared" si="80"/>
        <v>0</v>
      </c>
    </row>
    <row r="1724" spans="1:22" ht="15" customHeight="1" x14ac:dyDescent="0.35">
      <c r="A1724" s="3" t="s">
        <v>2161</v>
      </c>
      <c r="B1724" s="4">
        <v>45506</v>
      </c>
      <c r="C1724" s="3" t="s">
        <v>108</v>
      </c>
      <c r="D1724" s="3" t="s">
        <v>347</v>
      </c>
      <c r="E1724" s="3" t="s">
        <v>212</v>
      </c>
      <c r="F1724" s="5">
        <v>9</v>
      </c>
      <c r="G1724" s="5">
        <v>3970</v>
      </c>
      <c r="H1724" s="5">
        <v>10.4</v>
      </c>
      <c r="I1724" s="5">
        <v>32014.080000000002</v>
      </c>
      <c r="J1724" s="3" t="s">
        <v>32</v>
      </c>
      <c r="K1724" s="3" t="s">
        <v>51</v>
      </c>
      <c r="L1724" t="str">
        <f>IFERROR(VLOOKUP(D1724,Products!$A$2:$F$61,3,FALSE()),"")</f>
        <v>Electronics</v>
      </c>
      <c r="M1724" t="str">
        <f>IFERROR(VLOOKUP(E1724,Sales_Reps!$A$2:$C$31,3,FALSE()),"")</f>
        <v>South</v>
      </c>
      <c r="N1724">
        <f>IFERROR(VLOOKUP(D1724,Products!$A$2:$F$61,4,FALSE()),"")</f>
        <v>2865</v>
      </c>
      <c r="O1724" t="str">
        <f>IFERROR(VLOOKUP(C1724,Customers!$A$2:$F$301,5,FALSE()),"")</f>
        <v>Retail</v>
      </c>
      <c r="P1724">
        <f>IFERROR(VLOOKUP(C1724,Customers!$A$2:$F$301,3,FALSE()),"")</f>
        <v>34</v>
      </c>
      <c r="Q1724">
        <f t="shared" si="78"/>
        <v>0.27833753148614609</v>
      </c>
      <c r="R1724">
        <f>IF(AND(COUNTIF($A$2:$A$2027,A1724)&gt;1,COUNTIF($A$2:A1724,A1724)=1),1,0)</f>
        <v>0</v>
      </c>
      <c r="S1724" t="b">
        <f>IFERROR(VLOOKUP(D1724,Products!$A$2:$F$61,6,FALSE()),"")</f>
        <v>1</v>
      </c>
      <c r="T1724" t="str">
        <f>IF(COUNTIF(Customers!$A$2:$A$301,C1724)=0,"Missing","OK")</f>
        <v>OK</v>
      </c>
      <c r="U1724" t="str">
        <f t="shared" si="79"/>
        <v>Mumbai</v>
      </c>
      <c r="V1724">
        <f t="shared" si="80"/>
        <v>0</v>
      </c>
    </row>
    <row r="1725" spans="1:22" ht="15" customHeight="1" x14ac:dyDescent="0.35">
      <c r="A1725" s="3" t="s">
        <v>2162</v>
      </c>
      <c r="B1725" s="4">
        <v>45472</v>
      </c>
      <c r="C1725" s="3" t="s">
        <v>844</v>
      </c>
      <c r="D1725" s="3" t="s">
        <v>24</v>
      </c>
      <c r="E1725" s="3" t="s">
        <v>46</v>
      </c>
      <c r="F1725" s="5">
        <v>3</v>
      </c>
      <c r="G1725" s="5">
        <v>3620</v>
      </c>
      <c r="H1725" s="5">
        <v>22</v>
      </c>
      <c r="I1725" s="5">
        <v>8470.7999999999993</v>
      </c>
      <c r="J1725" s="3" t="s">
        <v>26</v>
      </c>
      <c r="K1725" s="3" t="s">
        <v>51</v>
      </c>
      <c r="L1725" t="str">
        <f>IFERROR(VLOOKUP(D1725,Products!$A$2:$F$61,3,FALSE()),"")</f>
        <v>Apparel</v>
      </c>
      <c r="M1725" t="str">
        <f>IFERROR(VLOOKUP(E1725,Sales_Reps!$A$2:$C$31,3,FALSE()),"")</f>
        <v>North</v>
      </c>
      <c r="N1725">
        <f>IFERROR(VLOOKUP(D1725,Products!$A$2:$F$61,4,FALSE()),"")</f>
        <v>2509</v>
      </c>
      <c r="O1725" t="str">
        <f>IFERROR(VLOOKUP(C1725,Customers!$A$2:$F$301,5,FALSE()),"")</f>
        <v>SMB</v>
      </c>
      <c r="P1725">
        <f>IFERROR(VLOOKUP(C1725,Customers!$A$2:$F$301,3,FALSE()),"")</f>
        <v>43</v>
      </c>
      <c r="Q1725">
        <f t="shared" si="78"/>
        <v>0.3069060773480663</v>
      </c>
      <c r="R1725">
        <f>IF(AND(COUNTIF($A$2:$A$2027,A1725)&gt;1,COUNTIF($A$2:A1725,A1725)=1),1,0)</f>
        <v>0</v>
      </c>
      <c r="S1725" t="b">
        <f>IFERROR(VLOOKUP(D1725,Products!$A$2:$F$61,6,FALSE()),"")</f>
        <v>1</v>
      </c>
      <c r="T1725" t="str">
        <f>IF(COUNTIF(Customers!$A$2:$A$301,C1725)=0,"Missing","OK")</f>
        <v>OK</v>
      </c>
      <c r="U1725" t="str">
        <f t="shared" si="79"/>
        <v>Mumbai</v>
      </c>
      <c r="V1725">
        <f t="shared" si="80"/>
        <v>0</v>
      </c>
    </row>
    <row r="1726" spans="1:22" ht="15" customHeight="1" x14ac:dyDescent="0.35">
      <c r="A1726" s="3" t="s">
        <v>2163</v>
      </c>
      <c r="B1726" s="4">
        <v>45383</v>
      </c>
      <c r="C1726" s="3" t="s">
        <v>478</v>
      </c>
      <c r="D1726" s="3" t="s">
        <v>184</v>
      </c>
      <c r="E1726" s="3" t="s">
        <v>242</v>
      </c>
      <c r="F1726" s="5">
        <v>6</v>
      </c>
      <c r="G1726" s="5">
        <v>2270</v>
      </c>
      <c r="H1726" s="5">
        <v>11.1</v>
      </c>
      <c r="I1726" s="5">
        <v>12108.18</v>
      </c>
      <c r="J1726" s="3" t="s">
        <v>79</v>
      </c>
      <c r="K1726" s="3" t="s">
        <v>72</v>
      </c>
      <c r="L1726" t="str">
        <f>IFERROR(VLOOKUP(D1726,Products!$A$2:$F$61,3,FALSE()),"")</f>
        <v>Grocery</v>
      </c>
      <c r="M1726" t="str">
        <f>IFERROR(VLOOKUP(E1726,Sales_Reps!$A$2:$C$31,3,FALSE()),"")</f>
        <v>East</v>
      </c>
      <c r="N1726">
        <f>IFERROR(VLOOKUP(D1726,Products!$A$2:$F$61,4,FALSE()),"")</f>
        <v>1412</v>
      </c>
      <c r="O1726" t="str">
        <f>IFERROR(VLOOKUP(C1726,Customers!$A$2:$F$301,5,FALSE()),"")</f>
        <v>Retail</v>
      </c>
      <c r="P1726">
        <f>IFERROR(VLOOKUP(C1726,Customers!$A$2:$F$301,3,FALSE()),"")</f>
        <v>38</v>
      </c>
      <c r="Q1726">
        <f t="shared" si="78"/>
        <v>0.37797356828193834</v>
      </c>
      <c r="R1726">
        <f>IF(AND(COUNTIF($A$2:$A$2027,A1726)&gt;1,COUNTIF($A$2:A1726,A1726)=1),1,0)</f>
        <v>0</v>
      </c>
      <c r="S1726" t="b">
        <f>IFERROR(VLOOKUP(D1726,Products!$A$2:$F$61,6,FALSE()),"")</f>
        <v>1</v>
      </c>
      <c r="T1726" t="str">
        <f>IF(COUNTIF(Customers!$A$2:$A$301,C1726)=0,"Missing","OK")</f>
        <v>OK</v>
      </c>
      <c r="U1726" t="str">
        <f t="shared" si="79"/>
        <v>Hyderabad</v>
      </c>
      <c r="V1726">
        <f t="shared" si="80"/>
        <v>0</v>
      </c>
    </row>
    <row r="1727" spans="1:22" ht="15" customHeight="1" x14ac:dyDescent="0.35">
      <c r="A1727" s="3" t="s">
        <v>2164</v>
      </c>
      <c r="B1727" s="4">
        <v>45543</v>
      </c>
      <c r="C1727" s="3" t="s">
        <v>1300</v>
      </c>
      <c r="D1727" s="3" t="s">
        <v>184</v>
      </c>
      <c r="E1727" s="3" t="s">
        <v>37</v>
      </c>
      <c r="F1727" s="5">
        <v>4</v>
      </c>
      <c r="G1727" s="5">
        <v>2270</v>
      </c>
      <c r="H1727" s="5">
        <v>27.2</v>
      </c>
      <c r="I1727" s="5">
        <v>6610.24</v>
      </c>
      <c r="J1727" s="3" t="s">
        <v>32</v>
      </c>
      <c r="K1727" s="3" t="s">
        <v>33</v>
      </c>
      <c r="L1727" t="str">
        <f>IFERROR(VLOOKUP(D1727,Products!$A$2:$F$61,3,FALSE()),"")</f>
        <v>Grocery</v>
      </c>
      <c r="M1727" t="str">
        <f>IFERROR(VLOOKUP(E1727,Sales_Reps!$A$2:$C$31,3,FALSE()),"")</f>
        <v>South</v>
      </c>
      <c r="N1727">
        <f>IFERROR(VLOOKUP(D1727,Products!$A$2:$F$61,4,FALSE()),"")</f>
        <v>1412</v>
      </c>
      <c r="O1727" t="str">
        <f>IFERROR(VLOOKUP(C1727,Customers!$A$2:$F$301,5,FALSE()),"")</f>
        <v>Retail</v>
      </c>
      <c r="P1727">
        <f>IFERROR(VLOOKUP(C1727,Customers!$A$2:$F$301,3,FALSE()),"")</f>
        <v>34</v>
      </c>
      <c r="Q1727">
        <f t="shared" si="78"/>
        <v>0.37797356828193834</v>
      </c>
      <c r="R1727">
        <f>IF(AND(COUNTIF($A$2:$A$2027,A1727)&gt;1,COUNTIF($A$2:A1727,A1727)=1),1,0)</f>
        <v>0</v>
      </c>
      <c r="S1727" t="b">
        <f>IFERROR(VLOOKUP(D1727,Products!$A$2:$F$61,6,FALSE()),"")</f>
        <v>1</v>
      </c>
      <c r="T1727" t="str">
        <f>IF(COUNTIF(Customers!$A$2:$A$301,C1727)=0,"Missing","OK")</f>
        <v>OK</v>
      </c>
      <c r="U1727" t="str">
        <f t="shared" si="79"/>
        <v>Chennai</v>
      </c>
      <c r="V1727">
        <f t="shared" si="80"/>
        <v>0</v>
      </c>
    </row>
    <row r="1728" spans="1:22" ht="15" customHeight="1" x14ac:dyDescent="0.35">
      <c r="A1728" s="3" t="s">
        <v>2165</v>
      </c>
      <c r="B1728" s="4">
        <v>45576</v>
      </c>
      <c r="C1728" s="3" t="s">
        <v>386</v>
      </c>
      <c r="D1728" s="3" t="s">
        <v>209</v>
      </c>
      <c r="E1728" s="3" t="s">
        <v>264</v>
      </c>
      <c r="F1728" s="5">
        <v>8</v>
      </c>
      <c r="G1728" s="5">
        <v>4610</v>
      </c>
      <c r="H1728" s="5">
        <v>24.5</v>
      </c>
      <c r="I1728" s="5">
        <v>27844.400000000001</v>
      </c>
      <c r="J1728" s="3" t="s">
        <v>26</v>
      </c>
      <c r="K1728" s="3" t="s">
        <v>51</v>
      </c>
      <c r="L1728" t="str">
        <f>IFERROR(VLOOKUP(D1728,Products!$A$2:$F$61,3,FALSE()),"")</f>
        <v>Home</v>
      </c>
      <c r="M1728" t="str">
        <f>IFERROR(VLOOKUP(E1728,Sales_Reps!$A$2:$C$31,3,FALSE()),"")</f>
        <v>South</v>
      </c>
      <c r="N1728">
        <f>IFERROR(VLOOKUP(D1728,Products!$A$2:$F$61,4,FALSE()),"")</f>
        <v>1850</v>
      </c>
      <c r="O1728" t="str">
        <f>IFERROR(VLOOKUP(C1728,Customers!$A$2:$F$301,5,FALSE()),"")</f>
        <v>Retail</v>
      </c>
      <c r="P1728">
        <f>IFERROR(VLOOKUP(C1728,Customers!$A$2:$F$301,3,FALSE()),"")</f>
        <v>41</v>
      </c>
      <c r="Q1728">
        <f t="shared" si="78"/>
        <v>0.59869848156182215</v>
      </c>
      <c r="R1728">
        <f>IF(AND(COUNTIF($A$2:$A$2027,A1728)&gt;1,COUNTIF($A$2:A1728,A1728)=1),1,0)</f>
        <v>0</v>
      </c>
      <c r="S1728" t="b">
        <f>IFERROR(VLOOKUP(D1728,Products!$A$2:$F$61,6,FALSE()),"")</f>
        <v>1</v>
      </c>
      <c r="T1728" t="str">
        <f>IF(COUNTIF(Customers!$A$2:$A$301,C1728)=0,"Missing","OK")</f>
        <v>OK</v>
      </c>
      <c r="U1728" t="str">
        <f t="shared" si="79"/>
        <v>Mumbai</v>
      </c>
      <c r="V1728">
        <f t="shared" si="80"/>
        <v>0</v>
      </c>
    </row>
    <row r="1729" spans="1:22" ht="15" customHeight="1" x14ac:dyDescent="0.35">
      <c r="A1729" s="3" t="s">
        <v>2166</v>
      </c>
      <c r="B1729" s="4">
        <v>45366</v>
      </c>
      <c r="C1729" s="3" t="s">
        <v>623</v>
      </c>
      <c r="D1729" s="3" t="s">
        <v>86</v>
      </c>
      <c r="E1729" s="3" t="s">
        <v>131</v>
      </c>
      <c r="F1729" s="5">
        <v>6</v>
      </c>
      <c r="G1729" s="5">
        <v>190</v>
      </c>
      <c r="H1729" s="5">
        <v>8.6999999999999993</v>
      </c>
      <c r="I1729" s="5">
        <v>1040.82</v>
      </c>
      <c r="J1729" s="3" t="s">
        <v>79</v>
      </c>
      <c r="K1729" s="3" t="s">
        <v>38</v>
      </c>
      <c r="L1729" t="str">
        <f>IFERROR(VLOOKUP(D1729,Products!$A$2:$F$61,3,FALSE()),"")</f>
        <v>Sports</v>
      </c>
      <c r="M1729" t="str">
        <f>IFERROR(VLOOKUP(E1729,Sales_Reps!$A$2:$C$31,3,FALSE()),"")</f>
        <v>East</v>
      </c>
      <c r="N1729">
        <f>IFERROR(VLOOKUP(D1729,Products!$A$2:$F$61,4,FALSE()),"")</f>
        <v>147</v>
      </c>
      <c r="O1729" t="str">
        <f>IFERROR(VLOOKUP(C1729,Customers!$A$2:$F$301,5,FALSE()),"")</f>
        <v>Retail</v>
      </c>
      <c r="P1729">
        <f>IFERROR(VLOOKUP(C1729,Customers!$A$2:$F$301,3,FALSE()),"")</f>
        <v>41</v>
      </c>
      <c r="Q1729">
        <f t="shared" si="78"/>
        <v>0.22631578947368422</v>
      </c>
      <c r="R1729">
        <f>IF(AND(COUNTIF($A$2:$A$2027,A1729)&gt;1,COUNTIF($A$2:A1729,A1729)=1),1,0)</f>
        <v>0</v>
      </c>
      <c r="S1729" t="b">
        <f>IFERROR(VLOOKUP(D1729,Products!$A$2:$F$61,6,FALSE()),"")</f>
        <v>1</v>
      </c>
      <c r="T1729" t="str">
        <f>IF(COUNTIF(Customers!$A$2:$A$301,C1729)=0,"Missing","OK")</f>
        <v>OK</v>
      </c>
      <c r="U1729" t="str">
        <f t="shared" si="79"/>
        <v>Delhi</v>
      </c>
      <c r="V1729">
        <f t="shared" si="80"/>
        <v>0</v>
      </c>
    </row>
    <row r="1730" spans="1:22" ht="15" customHeight="1" x14ac:dyDescent="0.35">
      <c r="A1730" s="3" t="s">
        <v>2167</v>
      </c>
      <c r="B1730" s="4">
        <v>45617</v>
      </c>
      <c r="C1730" s="3" t="s">
        <v>183</v>
      </c>
      <c r="D1730" s="3" t="s">
        <v>234</v>
      </c>
      <c r="E1730" s="3" t="s">
        <v>140</v>
      </c>
      <c r="F1730" s="5">
        <v>5</v>
      </c>
      <c r="G1730" s="5">
        <v>2030</v>
      </c>
      <c r="H1730" s="5">
        <v>0.9</v>
      </c>
      <c r="I1730" s="5">
        <v>10058.65</v>
      </c>
      <c r="J1730" s="3" t="s">
        <v>79</v>
      </c>
      <c r="K1730" s="3" t="s">
        <v>33</v>
      </c>
      <c r="L1730" t="str">
        <f>IFERROR(VLOOKUP(D1730,Products!$A$2:$F$61,3,FALSE()),"")</f>
        <v>Home</v>
      </c>
      <c r="M1730" t="str">
        <f>IFERROR(VLOOKUP(E1730,Sales_Reps!$A$2:$C$31,3,FALSE()),"")</f>
        <v>West</v>
      </c>
      <c r="N1730">
        <f>IFERROR(VLOOKUP(D1730,Products!$A$2:$F$61,4,FALSE()),"")</f>
        <v>1143</v>
      </c>
      <c r="O1730" t="str">
        <f>IFERROR(VLOOKUP(C1730,Customers!$A$2:$F$301,5,FALSE()),"")</f>
        <v>Corporate</v>
      </c>
      <c r="P1730">
        <f>IFERROR(VLOOKUP(C1730,Customers!$A$2:$F$301,3,FALSE()),"")</f>
        <v>52</v>
      </c>
      <c r="Q1730">
        <f t="shared" ref="Q1730:Q1793" si="81">IFERROR((G1730-N1730)/G1730,"")</f>
        <v>0.43694581280788175</v>
      </c>
      <c r="R1730">
        <f>IF(AND(COUNTIF($A$2:$A$2027,A1730)&gt;1,COUNTIF($A$2:A1730,A1730)=1),1,0)</f>
        <v>0</v>
      </c>
      <c r="S1730" t="b">
        <f>IFERROR(VLOOKUP(D1730,Products!$A$2:$F$61,6,FALSE()),"")</f>
        <v>1</v>
      </c>
      <c r="T1730" t="str">
        <f>IF(COUNTIF(Customers!$A$2:$A$301,C1730)=0,"Missing","OK")</f>
        <v>OK</v>
      </c>
      <c r="U1730" t="str">
        <f t="shared" ref="U1730:U1793" si="82">IF(K1730="","",PROPER(TRIM(K1730)))</f>
        <v>Chennai</v>
      </c>
      <c r="V1730">
        <f t="shared" ref="V1730:V1793" si="83">IF(AND(U1730="Bengaluru",L1730="Grocery"),I1730,0)</f>
        <v>0</v>
      </c>
    </row>
    <row r="1731" spans="1:22" ht="15" customHeight="1" x14ac:dyDescent="0.35">
      <c r="A1731" s="3" t="s">
        <v>2168</v>
      </c>
      <c r="B1731" s="4">
        <v>45614</v>
      </c>
      <c r="C1731" s="3" t="s">
        <v>379</v>
      </c>
      <c r="D1731" s="3" t="s">
        <v>203</v>
      </c>
      <c r="E1731" s="3" t="s">
        <v>131</v>
      </c>
      <c r="F1731" s="5">
        <v>1</v>
      </c>
      <c r="G1731" s="5">
        <v>4070</v>
      </c>
      <c r="H1731" s="5">
        <v>9.3000000000000007</v>
      </c>
      <c r="I1731" s="5">
        <v>3691.49</v>
      </c>
      <c r="J1731" s="3" t="s">
        <v>83</v>
      </c>
      <c r="K1731" s="3" t="s">
        <v>27</v>
      </c>
      <c r="L1731" t="str">
        <f>IFERROR(VLOOKUP(D1731,Products!$A$2:$F$61,3,FALSE()),"")</f>
        <v>Grocery</v>
      </c>
      <c r="M1731" t="str">
        <f>IFERROR(VLOOKUP(E1731,Sales_Reps!$A$2:$C$31,3,FALSE()),"")</f>
        <v>East</v>
      </c>
      <c r="N1731">
        <f>IFERROR(VLOOKUP(D1731,Products!$A$2:$F$61,4,FALSE()),"")</f>
        <v>2027</v>
      </c>
      <c r="O1731" t="str">
        <f>IFERROR(VLOOKUP(C1731,Customers!$A$2:$F$301,5,FALSE()),"")</f>
        <v>SMB</v>
      </c>
      <c r="P1731">
        <f>IFERROR(VLOOKUP(C1731,Customers!$A$2:$F$301,3,FALSE()),"")</f>
        <v>30</v>
      </c>
      <c r="Q1731">
        <f t="shared" si="81"/>
        <v>0.50196560196560192</v>
      </c>
      <c r="R1731">
        <f>IF(AND(COUNTIF($A$2:$A$2027,A1731)&gt;1,COUNTIF($A$2:A1731,A1731)=1),1,0)</f>
        <v>0</v>
      </c>
      <c r="S1731" t="b">
        <f>IFERROR(VLOOKUP(D1731,Products!$A$2:$F$61,6,FALSE()),"")</f>
        <v>1</v>
      </c>
      <c r="T1731" t="str">
        <f>IF(COUNTIF(Customers!$A$2:$A$301,C1731)=0,"Missing","OK")</f>
        <v>OK</v>
      </c>
      <c r="U1731" t="str">
        <f t="shared" si="82"/>
        <v>Pune</v>
      </c>
      <c r="V1731">
        <f t="shared" si="83"/>
        <v>0</v>
      </c>
    </row>
    <row r="1732" spans="1:22" ht="15" customHeight="1" x14ac:dyDescent="0.35">
      <c r="A1732" s="3" t="s">
        <v>2169</v>
      </c>
      <c r="B1732" s="4">
        <v>45460</v>
      </c>
      <c r="C1732" s="3" t="s">
        <v>472</v>
      </c>
      <c r="D1732" s="3" t="s">
        <v>325</v>
      </c>
      <c r="E1732" s="3" t="s">
        <v>154</v>
      </c>
      <c r="F1732" s="5">
        <v>3</v>
      </c>
      <c r="G1732" s="5">
        <v>2290</v>
      </c>
      <c r="H1732" s="5">
        <v>12.1</v>
      </c>
      <c r="I1732" s="5">
        <v>6038.73</v>
      </c>
      <c r="J1732" s="3" t="s">
        <v>26</v>
      </c>
      <c r="K1732" s="3" t="s">
        <v>38</v>
      </c>
      <c r="L1732" t="str">
        <f>IFERROR(VLOOKUP(D1732,Products!$A$2:$F$61,3,FALSE()),"")</f>
        <v>Beauty</v>
      </c>
      <c r="M1732" t="str">
        <f>IFERROR(VLOOKUP(E1732,Sales_Reps!$A$2:$C$31,3,FALSE()),"")</f>
        <v>North</v>
      </c>
      <c r="N1732">
        <f>IFERROR(VLOOKUP(D1732,Products!$A$2:$F$61,4,FALSE()),"")</f>
        <v>1219</v>
      </c>
      <c r="O1732" t="str">
        <f>IFERROR(VLOOKUP(C1732,Customers!$A$2:$F$301,5,FALSE()),"")</f>
        <v>SMB</v>
      </c>
      <c r="P1732">
        <f>IFERROR(VLOOKUP(C1732,Customers!$A$2:$F$301,3,FALSE()),"")</f>
        <v>48</v>
      </c>
      <c r="Q1732">
        <f t="shared" si="81"/>
        <v>0.46768558951965067</v>
      </c>
      <c r="R1732">
        <f>IF(AND(COUNTIF($A$2:$A$2027,A1732)&gt;1,COUNTIF($A$2:A1732,A1732)=1),1,0)</f>
        <v>0</v>
      </c>
      <c r="S1732" t="b">
        <f>IFERROR(VLOOKUP(D1732,Products!$A$2:$F$61,6,FALSE()),"")</f>
        <v>1</v>
      </c>
      <c r="T1732" t="str">
        <f>IF(COUNTIF(Customers!$A$2:$A$301,C1732)=0,"Missing","OK")</f>
        <v>OK</v>
      </c>
      <c r="U1732" t="str">
        <f t="shared" si="82"/>
        <v>Delhi</v>
      </c>
      <c r="V1732">
        <f t="shared" si="83"/>
        <v>0</v>
      </c>
    </row>
    <row r="1733" spans="1:22" ht="15" customHeight="1" x14ac:dyDescent="0.35">
      <c r="A1733" s="3" t="s">
        <v>2170</v>
      </c>
      <c r="B1733" s="4">
        <v>45514</v>
      </c>
      <c r="C1733" s="3" t="s">
        <v>357</v>
      </c>
      <c r="D1733" s="3" t="s">
        <v>165</v>
      </c>
      <c r="E1733" s="3" t="s">
        <v>131</v>
      </c>
      <c r="F1733" s="5">
        <v>7</v>
      </c>
      <c r="G1733" s="5">
        <v>3730</v>
      </c>
      <c r="H1733" s="5">
        <v>4.5</v>
      </c>
      <c r="I1733" s="5">
        <v>24935.05</v>
      </c>
      <c r="J1733" s="3" t="s">
        <v>26</v>
      </c>
      <c r="K1733" s="3" t="s">
        <v>72</v>
      </c>
      <c r="L1733" t="str">
        <f>IFERROR(VLOOKUP(D1733,Products!$A$2:$F$61,3,FALSE()),"")</f>
        <v>Home</v>
      </c>
      <c r="M1733" t="str">
        <f>IFERROR(VLOOKUP(E1733,Sales_Reps!$A$2:$C$31,3,FALSE()),"")</f>
        <v>East</v>
      </c>
      <c r="N1733">
        <f>IFERROR(VLOOKUP(D1733,Products!$A$2:$F$61,4,FALSE()),"")</f>
        <v>2135</v>
      </c>
      <c r="O1733" t="str">
        <f>IFERROR(VLOOKUP(C1733,Customers!$A$2:$F$301,5,FALSE()),"")</f>
        <v>Retail</v>
      </c>
      <c r="P1733">
        <f>IFERROR(VLOOKUP(C1733,Customers!$A$2:$F$301,3,FALSE()),"")</f>
        <v>22</v>
      </c>
      <c r="Q1733">
        <f t="shared" si="81"/>
        <v>0.42761394101876676</v>
      </c>
      <c r="R1733">
        <f>IF(AND(COUNTIF($A$2:$A$2027,A1733)&gt;1,COUNTIF($A$2:A1733,A1733)=1),1,0)</f>
        <v>0</v>
      </c>
      <c r="S1733" t="b">
        <f>IFERROR(VLOOKUP(D1733,Products!$A$2:$F$61,6,FALSE()),"")</f>
        <v>1</v>
      </c>
      <c r="T1733" t="str">
        <f>IF(COUNTIF(Customers!$A$2:$A$301,C1733)=0,"Missing","OK")</f>
        <v>OK</v>
      </c>
      <c r="U1733" t="str">
        <f t="shared" si="82"/>
        <v>Hyderabad</v>
      </c>
      <c r="V1733">
        <f t="shared" si="83"/>
        <v>0</v>
      </c>
    </row>
    <row r="1734" spans="1:22" ht="15" customHeight="1" x14ac:dyDescent="0.35">
      <c r="A1734" s="3" t="s">
        <v>2171</v>
      </c>
      <c r="B1734" s="4">
        <v>45306</v>
      </c>
      <c r="C1734" s="3" t="s">
        <v>352</v>
      </c>
      <c r="D1734" s="3" t="s">
        <v>231</v>
      </c>
      <c r="E1734" s="3" t="s">
        <v>31</v>
      </c>
      <c r="F1734" s="5">
        <v>5</v>
      </c>
      <c r="G1734" s="5">
        <v>620</v>
      </c>
      <c r="H1734" s="5">
        <v>7.5</v>
      </c>
      <c r="I1734" s="5">
        <v>2867.5</v>
      </c>
      <c r="J1734" s="3" t="s">
        <v>26</v>
      </c>
      <c r="K1734" s="3" t="s">
        <v>27</v>
      </c>
      <c r="L1734" t="str">
        <f>IFERROR(VLOOKUP(D1734,Products!$A$2:$F$61,3,FALSE()),"")</f>
        <v>Apparel</v>
      </c>
      <c r="M1734" t="str">
        <f>IFERROR(VLOOKUP(E1734,Sales_Reps!$A$2:$C$31,3,FALSE()),"")</f>
        <v>North</v>
      </c>
      <c r="N1734">
        <f>IFERROR(VLOOKUP(D1734,Products!$A$2:$F$61,4,FALSE()),"")</f>
        <v>396</v>
      </c>
      <c r="O1734" t="str">
        <f>IFERROR(VLOOKUP(C1734,Customers!$A$2:$F$301,5,FALSE()),"")</f>
        <v>Retail</v>
      </c>
      <c r="P1734">
        <f>IFERROR(VLOOKUP(C1734,Customers!$A$2:$F$301,3,FALSE()),"")</f>
        <v>22</v>
      </c>
      <c r="Q1734">
        <f t="shared" si="81"/>
        <v>0.36129032258064514</v>
      </c>
      <c r="R1734">
        <f>IF(AND(COUNTIF($A$2:$A$2027,A1734)&gt;1,COUNTIF($A$2:A1734,A1734)=1),1,0)</f>
        <v>0</v>
      </c>
      <c r="S1734" t="b">
        <f>IFERROR(VLOOKUP(D1734,Products!$A$2:$F$61,6,FALSE()),"")</f>
        <v>1</v>
      </c>
      <c r="T1734" t="str">
        <f>IF(COUNTIF(Customers!$A$2:$A$301,C1734)=0,"Missing","OK")</f>
        <v>OK</v>
      </c>
      <c r="U1734" t="str">
        <f t="shared" si="82"/>
        <v>Pune</v>
      </c>
      <c r="V1734">
        <f t="shared" si="83"/>
        <v>0</v>
      </c>
    </row>
    <row r="1735" spans="1:22" ht="15" customHeight="1" x14ac:dyDescent="0.35">
      <c r="A1735" s="3" t="s">
        <v>2172</v>
      </c>
      <c r="B1735" s="4">
        <v>45455</v>
      </c>
      <c r="C1735" s="3" t="s">
        <v>321</v>
      </c>
      <c r="D1735" s="3" t="s">
        <v>74</v>
      </c>
      <c r="E1735" s="3" t="s">
        <v>71</v>
      </c>
      <c r="F1735" s="5">
        <v>8</v>
      </c>
      <c r="G1735" s="5">
        <v>2640</v>
      </c>
      <c r="H1735" s="5">
        <v>16.399999999999999</v>
      </c>
      <c r="I1735" s="5">
        <v>17656.32</v>
      </c>
      <c r="J1735" s="3" t="s">
        <v>26</v>
      </c>
      <c r="K1735" s="3" t="s">
        <v>38</v>
      </c>
      <c r="L1735" t="str">
        <f>IFERROR(VLOOKUP(D1735,Products!$A$2:$F$61,3,FALSE()),"")</f>
        <v>Electronics</v>
      </c>
      <c r="M1735" t="str">
        <f>IFERROR(VLOOKUP(E1735,Sales_Reps!$A$2:$C$31,3,FALSE()),"")</f>
        <v>South</v>
      </c>
      <c r="N1735">
        <f>IFERROR(VLOOKUP(D1735,Products!$A$2:$F$61,4,FALSE()),"")</f>
        <v>1149</v>
      </c>
      <c r="O1735" t="str">
        <f>IFERROR(VLOOKUP(C1735,Customers!$A$2:$F$301,5,FALSE()),"")</f>
        <v>Corporate</v>
      </c>
      <c r="P1735">
        <f>IFERROR(VLOOKUP(C1735,Customers!$A$2:$F$301,3,FALSE()),"")</f>
        <v>27</v>
      </c>
      <c r="Q1735">
        <f t="shared" si="81"/>
        <v>0.56477272727272732</v>
      </c>
      <c r="R1735">
        <f>IF(AND(COUNTIF($A$2:$A$2027,A1735)&gt;1,COUNTIF($A$2:A1735,A1735)=1),1,0)</f>
        <v>0</v>
      </c>
      <c r="S1735" t="b">
        <f>IFERROR(VLOOKUP(D1735,Products!$A$2:$F$61,6,FALSE()),"")</f>
        <v>1</v>
      </c>
      <c r="T1735" t="str">
        <f>IF(COUNTIF(Customers!$A$2:$A$301,C1735)=0,"Missing","OK")</f>
        <v>OK</v>
      </c>
      <c r="U1735" t="str">
        <f t="shared" si="82"/>
        <v>Delhi</v>
      </c>
      <c r="V1735">
        <f t="shared" si="83"/>
        <v>0</v>
      </c>
    </row>
    <row r="1736" spans="1:22" ht="15" customHeight="1" x14ac:dyDescent="0.35">
      <c r="A1736" s="3" t="s">
        <v>2173</v>
      </c>
      <c r="B1736" s="4">
        <v>45564</v>
      </c>
      <c r="C1736" s="3" t="s">
        <v>257</v>
      </c>
      <c r="D1736" s="3" t="s">
        <v>41</v>
      </c>
      <c r="E1736" s="3" t="s">
        <v>78</v>
      </c>
      <c r="F1736" s="5">
        <v>6</v>
      </c>
      <c r="G1736" s="5">
        <v>3660</v>
      </c>
      <c r="H1736" s="5">
        <v>6.2</v>
      </c>
      <c r="I1736" s="5">
        <v>20598.48</v>
      </c>
      <c r="J1736" s="3" t="s">
        <v>26</v>
      </c>
      <c r="K1736" s="3" t="s">
        <v>33</v>
      </c>
      <c r="L1736" t="str">
        <f>IFERROR(VLOOKUP(D1736,Products!$A$2:$F$61,3,FALSE()),"")</f>
        <v>Grocery</v>
      </c>
      <c r="M1736" t="str">
        <f>IFERROR(VLOOKUP(E1736,Sales_Reps!$A$2:$C$31,3,FALSE()),"")</f>
        <v>North</v>
      </c>
      <c r="N1736">
        <f>IFERROR(VLOOKUP(D1736,Products!$A$2:$F$61,4,FALSE()),"")</f>
        <v>2214</v>
      </c>
      <c r="O1736" t="str">
        <f>IFERROR(VLOOKUP(C1736,Customers!$A$2:$F$301,5,FALSE()),"")</f>
        <v>SMB</v>
      </c>
      <c r="P1736">
        <f>IFERROR(VLOOKUP(C1736,Customers!$A$2:$F$301,3,FALSE()),"")</f>
        <v>57</v>
      </c>
      <c r="Q1736">
        <f t="shared" si="81"/>
        <v>0.39508196721311473</v>
      </c>
      <c r="R1736">
        <f>IF(AND(COUNTIF($A$2:$A$2027,A1736)&gt;1,COUNTIF($A$2:A1736,A1736)=1),1,0)</f>
        <v>0</v>
      </c>
      <c r="S1736" t="b">
        <f>IFERROR(VLOOKUP(D1736,Products!$A$2:$F$61,6,FALSE()),"")</f>
        <v>0</v>
      </c>
      <c r="T1736" t="str">
        <f>IF(COUNTIF(Customers!$A$2:$A$301,C1736)=0,"Missing","OK")</f>
        <v>OK</v>
      </c>
      <c r="U1736" t="str">
        <f t="shared" si="82"/>
        <v>Chennai</v>
      </c>
      <c r="V1736">
        <f t="shared" si="83"/>
        <v>0</v>
      </c>
    </row>
    <row r="1737" spans="1:22" ht="15" customHeight="1" x14ac:dyDescent="0.35">
      <c r="A1737" s="3" t="s">
        <v>2174</v>
      </c>
      <c r="B1737" s="4">
        <v>45507</v>
      </c>
      <c r="C1737" s="3" t="s">
        <v>590</v>
      </c>
      <c r="D1737" s="3" t="s">
        <v>30</v>
      </c>
      <c r="E1737" s="3" t="s">
        <v>131</v>
      </c>
      <c r="F1737" s="5">
        <v>2</v>
      </c>
      <c r="G1737" s="5">
        <v>820</v>
      </c>
      <c r="H1737" s="5">
        <v>25.4</v>
      </c>
      <c r="I1737" s="5">
        <v>1223.44</v>
      </c>
      <c r="J1737" s="3" t="s">
        <v>26</v>
      </c>
      <c r="K1737" s="3" t="s">
        <v>72</v>
      </c>
      <c r="L1737" t="str">
        <f>IFERROR(VLOOKUP(D1737,Products!$A$2:$F$61,3,FALSE()),"")</f>
        <v>Apparel</v>
      </c>
      <c r="M1737" t="str">
        <f>IFERROR(VLOOKUP(E1737,Sales_Reps!$A$2:$C$31,3,FALSE()),"")</f>
        <v>East</v>
      </c>
      <c r="N1737">
        <f>IFERROR(VLOOKUP(D1737,Products!$A$2:$F$61,4,FALSE()),"")</f>
        <v>391</v>
      </c>
      <c r="O1737" t="str">
        <f>IFERROR(VLOOKUP(C1737,Customers!$A$2:$F$301,5,FALSE()),"")</f>
        <v>Retail</v>
      </c>
      <c r="P1737">
        <f>IFERROR(VLOOKUP(C1737,Customers!$A$2:$F$301,3,FALSE()),"")</f>
        <v>50</v>
      </c>
      <c r="Q1737">
        <f t="shared" si="81"/>
        <v>0.52317073170731709</v>
      </c>
      <c r="R1737">
        <f>IF(AND(COUNTIF($A$2:$A$2027,A1737)&gt;1,COUNTIF($A$2:A1737,A1737)=1),1,0)</f>
        <v>0</v>
      </c>
      <c r="S1737" t="b">
        <f>IFERROR(VLOOKUP(D1737,Products!$A$2:$F$61,6,FALSE()),"")</f>
        <v>1</v>
      </c>
      <c r="T1737" t="str">
        <f>IF(COUNTIF(Customers!$A$2:$A$301,C1737)=0,"Missing","OK")</f>
        <v>OK</v>
      </c>
      <c r="U1737" t="str">
        <f t="shared" si="82"/>
        <v>Hyderabad</v>
      </c>
      <c r="V1737">
        <f t="shared" si="83"/>
        <v>0</v>
      </c>
    </row>
    <row r="1738" spans="1:22" ht="15" customHeight="1" x14ac:dyDescent="0.35">
      <c r="A1738" s="3" t="s">
        <v>2175</v>
      </c>
      <c r="B1738" s="4">
        <v>45596</v>
      </c>
      <c r="C1738" s="3" t="s">
        <v>1173</v>
      </c>
      <c r="D1738" s="3" t="s">
        <v>106</v>
      </c>
      <c r="E1738" s="3" t="s">
        <v>97</v>
      </c>
      <c r="F1738" s="5">
        <v>3</v>
      </c>
      <c r="G1738" s="5">
        <v>2480</v>
      </c>
      <c r="H1738" s="5">
        <v>28.7</v>
      </c>
      <c r="I1738" s="5">
        <v>5304.72</v>
      </c>
      <c r="J1738" s="3" t="s">
        <v>32</v>
      </c>
      <c r="K1738" s="3" t="s">
        <v>51</v>
      </c>
      <c r="L1738" t="str">
        <f>IFERROR(VLOOKUP(D1738,Products!$A$2:$F$61,3,FALSE()),"")</f>
        <v>Apparel</v>
      </c>
      <c r="M1738" t="str">
        <f>IFERROR(VLOOKUP(E1738,Sales_Reps!$A$2:$C$31,3,FALSE()),"")</f>
        <v>East</v>
      </c>
      <c r="N1738">
        <f>IFERROR(VLOOKUP(D1738,Products!$A$2:$F$61,4,FALSE()),"")</f>
        <v>1173</v>
      </c>
      <c r="O1738" t="str">
        <f>IFERROR(VLOOKUP(C1738,Customers!$A$2:$F$301,5,FALSE()),"")</f>
        <v>Retail</v>
      </c>
      <c r="P1738">
        <f>IFERROR(VLOOKUP(C1738,Customers!$A$2:$F$301,3,FALSE()),"")</f>
        <v>29</v>
      </c>
      <c r="Q1738">
        <f t="shared" si="81"/>
        <v>0.52701612903225803</v>
      </c>
      <c r="R1738">
        <f>IF(AND(COUNTIF($A$2:$A$2027,A1738)&gt;1,COUNTIF($A$2:A1738,A1738)=1),1,0)</f>
        <v>0</v>
      </c>
      <c r="S1738" t="b">
        <f>IFERROR(VLOOKUP(D1738,Products!$A$2:$F$61,6,FALSE()),"")</f>
        <v>1</v>
      </c>
      <c r="T1738" t="str">
        <f>IF(COUNTIF(Customers!$A$2:$A$301,C1738)=0,"Missing","OK")</f>
        <v>OK</v>
      </c>
      <c r="U1738" t="str">
        <f t="shared" si="82"/>
        <v>Mumbai</v>
      </c>
      <c r="V1738">
        <f t="shared" si="83"/>
        <v>0</v>
      </c>
    </row>
    <row r="1739" spans="1:22" ht="15" customHeight="1" x14ac:dyDescent="0.35">
      <c r="A1739" s="3" t="s">
        <v>2176</v>
      </c>
      <c r="B1739" s="4">
        <v>45534</v>
      </c>
      <c r="C1739" s="3" t="s">
        <v>762</v>
      </c>
      <c r="D1739" s="3" t="s">
        <v>180</v>
      </c>
      <c r="E1739" s="3" t="s">
        <v>67</v>
      </c>
      <c r="F1739" s="5">
        <v>10</v>
      </c>
      <c r="G1739" s="5">
        <v>6080</v>
      </c>
      <c r="H1739" s="5">
        <v>18.899999999999999</v>
      </c>
      <c r="I1739" s="5">
        <v>49308.800000000003</v>
      </c>
      <c r="J1739" s="3" t="s">
        <v>26</v>
      </c>
      <c r="K1739" s="3" t="s">
        <v>33</v>
      </c>
      <c r="L1739" t="str">
        <f>IFERROR(VLOOKUP(D1739,Products!$A$2:$F$61,3,FALSE()),"")</f>
        <v>Beauty</v>
      </c>
      <c r="M1739" t="str">
        <f>IFERROR(VLOOKUP(E1739,Sales_Reps!$A$2:$C$31,3,FALSE()),"")</f>
        <v>West</v>
      </c>
      <c r="N1739">
        <f>IFERROR(VLOOKUP(D1739,Products!$A$2:$F$61,4,FALSE()),"")</f>
        <v>2617</v>
      </c>
      <c r="O1739" t="str">
        <f>IFERROR(VLOOKUP(C1739,Customers!$A$2:$F$301,5,FALSE()),"")</f>
        <v>Retail</v>
      </c>
      <c r="P1739">
        <f>IFERROR(VLOOKUP(C1739,Customers!$A$2:$F$301,3,FALSE()),"")</f>
        <v>32</v>
      </c>
      <c r="Q1739">
        <f t="shared" si="81"/>
        <v>0.56957236842105263</v>
      </c>
      <c r="R1739">
        <f>IF(AND(COUNTIF($A$2:$A$2027,A1739)&gt;1,COUNTIF($A$2:A1739,A1739)=1),1,0)</f>
        <v>0</v>
      </c>
      <c r="S1739" t="b">
        <f>IFERROR(VLOOKUP(D1739,Products!$A$2:$F$61,6,FALSE()),"")</f>
        <v>1</v>
      </c>
      <c r="T1739" t="str">
        <f>IF(COUNTIF(Customers!$A$2:$A$301,C1739)=0,"Missing","OK")</f>
        <v>OK</v>
      </c>
      <c r="U1739" t="str">
        <f t="shared" si="82"/>
        <v>Chennai</v>
      </c>
      <c r="V1739">
        <f t="shared" si="83"/>
        <v>0</v>
      </c>
    </row>
    <row r="1740" spans="1:22" ht="15" customHeight="1" x14ac:dyDescent="0.35">
      <c r="A1740" s="3" t="s">
        <v>2177</v>
      </c>
      <c r="B1740" s="4">
        <v>45336</v>
      </c>
      <c r="C1740" s="3" t="s">
        <v>81</v>
      </c>
      <c r="D1740" s="3" t="s">
        <v>86</v>
      </c>
      <c r="E1740" s="3" t="s">
        <v>224</v>
      </c>
      <c r="F1740" s="5">
        <v>1</v>
      </c>
      <c r="G1740" s="5">
        <v>190</v>
      </c>
      <c r="H1740" s="5">
        <v>5.7</v>
      </c>
      <c r="I1740" s="5">
        <v>179.17</v>
      </c>
      <c r="J1740" s="3" t="s">
        <v>26</v>
      </c>
      <c r="K1740" s="3" t="s">
        <v>27</v>
      </c>
      <c r="L1740" t="str">
        <f>IFERROR(VLOOKUP(D1740,Products!$A$2:$F$61,3,FALSE()),"")</f>
        <v>Sports</v>
      </c>
      <c r="M1740" t="str">
        <f>IFERROR(VLOOKUP(E1740,Sales_Reps!$A$2:$C$31,3,FALSE()),"")</f>
        <v>East</v>
      </c>
      <c r="N1740">
        <f>IFERROR(VLOOKUP(D1740,Products!$A$2:$F$61,4,FALSE()),"")</f>
        <v>147</v>
      </c>
      <c r="O1740" t="str">
        <f>IFERROR(VLOOKUP(C1740,Customers!$A$2:$F$301,5,FALSE()),"")</f>
        <v>SMB</v>
      </c>
      <c r="P1740">
        <f>IFERROR(VLOOKUP(C1740,Customers!$A$2:$F$301,3,FALSE()),"")</f>
        <v>39</v>
      </c>
      <c r="Q1740">
        <f t="shared" si="81"/>
        <v>0.22631578947368422</v>
      </c>
      <c r="R1740">
        <f>IF(AND(COUNTIF($A$2:$A$2027,A1740)&gt;1,COUNTIF($A$2:A1740,A1740)=1),1,0)</f>
        <v>0</v>
      </c>
      <c r="S1740" t="b">
        <f>IFERROR(VLOOKUP(D1740,Products!$A$2:$F$61,6,FALSE()),"")</f>
        <v>1</v>
      </c>
      <c r="T1740" t="str">
        <f>IF(COUNTIF(Customers!$A$2:$A$301,C1740)=0,"Missing","OK")</f>
        <v>OK</v>
      </c>
      <c r="U1740" t="str">
        <f t="shared" si="82"/>
        <v>Pune</v>
      </c>
      <c r="V1740">
        <f t="shared" si="83"/>
        <v>0</v>
      </c>
    </row>
    <row r="1741" spans="1:22" ht="15" customHeight="1" x14ac:dyDescent="0.35">
      <c r="A1741" s="3" t="s">
        <v>2178</v>
      </c>
      <c r="B1741" s="4">
        <v>45463</v>
      </c>
      <c r="C1741" s="3" t="s">
        <v>149</v>
      </c>
      <c r="D1741" s="3" t="s">
        <v>400</v>
      </c>
      <c r="E1741" s="3" t="s">
        <v>140</v>
      </c>
      <c r="F1741" s="5">
        <v>2</v>
      </c>
      <c r="G1741" s="5">
        <v>3780</v>
      </c>
      <c r="H1741" s="5">
        <v>11.8</v>
      </c>
      <c r="I1741" s="5">
        <v>6667.92</v>
      </c>
      <c r="J1741" s="3" t="s">
        <v>26</v>
      </c>
      <c r="K1741" s="3" t="s">
        <v>38</v>
      </c>
      <c r="L1741" t="str">
        <f>IFERROR(VLOOKUP(D1741,Products!$A$2:$F$61,3,FALSE()),"")</f>
        <v>Sports</v>
      </c>
      <c r="M1741" t="str">
        <f>IFERROR(VLOOKUP(E1741,Sales_Reps!$A$2:$C$31,3,FALSE()),"")</f>
        <v>West</v>
      </c>
      <c r="N1741">
        <f>IFERROR(VLOOKUP(D1741,Products!$A$2:$F$61,4,FALSE()),"")</f>
        <v>1860</v>
      </c>
      <c r="O1741" t="str">
        <f>IFERROR(VLOOKUP(C1741,Customers!$A$2:$F$301,5,FALSE()),"")</f>
        <v>Retail</v>
      </c>
      <c r="P1741">
        <f>IFERROR(VLOOKUP(C1741,Customers!$A$2:$F$301,3,FALSE()),"")</f>
        <v>41</v>
      </c>
      <c r="Q1741">
        <f t="shared" si="81"/>
        <v>0.50793650793650791</v>
      </c>
      <c r="R1741">
        <f>IF(AND(COUNTIF($A$2:$A$2027,A1741)&gt;1,COUNTIF($A$2:A1741,A1741)=1),1,0)</f>
        <v>0</v>
      </c>
      <c r="S1741" t="b">
        <f>IFERROR(VLOOKUP(D1741,Products!$A$2:$F$61,6,FALSE()),"")</f>
        <v>1</v>
      </c>
      <c r="T1741" t="str">
        <f>IF(COUNTIF(Customers!$A$2:$A$301,C1741)=0,"Missing","OK")</f>
        <v>OK</v>
      </c>
      <c r="U1741" t="str">
        <f t="shared" si="82"/>
        <v>Delhi</v>
      </c>
      <c r="V1741">
        <f t="shared" si="83"/>
        <v>0</v>
      </c>
    </row>
    <row r="1742" spans="1:22" ht="15" customHeight="1" x14ac:dyDescent="0.35">
      <c r="A1742" s="3" t="s">
        <v>2179</v>
      </c>
      <c r="B1742" s="4">
        <v>45602</v>
      </c>
      <c r="C1742" s="3" t="s">
        <v>186</v>
      </c>
      <c r="D1742" s="3" t="s">
        <v>82</v>
      </c>
      <c r="E1742" s="3" t="s">
        <v>154</v>
      </c>
      <c r="F1742" s="5">
        <v>5</v>
      </c>
      <c r="G1742" s="5">
        <v>3250</v>
      </c>
      <c r="H1742" s="5">
        <v>19.899999999999999</v>
      </c>
      <c r="I1742" s="5">
        <v>13016.25</v>
      </c>
      <c r="J1742" s="3" t="s">
        <v>26</v>
      </c>
      <c r="K1742" s="3" t="s">
        <v>56</v>
      </c>
      <c r="L1742" t="str">
        <f>IFERROR(VLOOKUP(D1742,Products!$A$2:$F$61,3,FALSE()),"")</f>
        <v>Home</v>
      </c>
      <c r="M1742" t="str">
        <f>IFERROR(VLOOKUP(E1742,Sales_Reps!$A$2:$C$31,3,FALSE()),"")</f>
        <v>North</v>
      </c>
      <c r="N1742">
        <f>IFERROR(VLOOKUP(D1742,Products!$A$2:$F$61,4,FALSE()),"")</f>
        <v>1556</v>
      </c>
      <c r="O1742" t="str">
        <f>IFERROR(VLOOKUP(C1742,Customers!$A$2:$F$301,5,FALSE()),"")</f>
        <v>Retail</v>
      </c>
      <c r="P1742">
        <f>IFERROR(VLOOKUP(C1742,Customers!$A$2:$F$301,3,FALSE()),"")</f>
        <v>34</v>
      </c>
      <c r="Q1742">
        <f t="shared" si="81"/>
        <v>0.52123076923076928</v>
      </c>
      <c r="R1742">
        <f>IF(AND(COUNTIF($A$2:$A$2027,A1742)&gt;1,COUNTIF($A$2:A1742,A1742)=1),1,0)</f>
        <v>0</v>
      </c>
      <c r="S1742" t="b">
        <f>IFERROR(VLOOKUP(D1742,Products!$A$2:$F$61,6,FALSE()),"")</f>
        <v>1</v>
      </c>
      <c r="T1742" t="str">
        <f>IF(COUNTIF(Customers!$A$2:$A$301,C1742)=0,"Missing","OK")</f>
        <v>OK</v>
      </c>
      <c r="U1742" t="str">
        <f t="shared" si="82"/>
        <v>Bengaluru</v>
      </c>
      <c r="V1742">
        <f t="shared" si="83"/>
        <v>0</v>
      </c>
    </row>
    <row r="1743" spans="1:22" ht="15" customHeight="1" x14ac:dyDescent="0.35">
      <c r="A1743" s="3" t="s">
        <v>2180</v>
      </c>
      <c r="B1743" s="4">
        <v>45365</v>
      </c>
      <c r="C1743" s="3" t="s">
        <v>1829</v>
      </c>
      <c r="D1743" s="3" t="s">
        <v>234</v>
      </c>
      <c r="E1743" s="3" t="s">
        <v>46</v>
      </c>
      <c r="F1743" s="5">
        <v>7</v>
      </c>
      <c r="G1743" s="5">
        <v>2030</v>
      </c>
      <c r="H1743" s="5">
        <v>4.0999999999999996</v>
      </c>
      <c r="I1743" s="5">
        <v>13627.39</v>
      </c>
      <c r="J1743" s="3" t="s">
        <v>26</v>
      </c>
      <c r="K1743" s="3" t="s">
        <v>72</v>
      </c>
      <c r="L1743" t="str">
        <f>IFERROR(VLOOKUP(D1743,Products!$A$2:$F$61,3,FALSE()),"")</f>
        <v>Home</v>
      </c>
      <c r="M1743" t="str">
        <f>IFERROR(VLOOKUP(E1743,Sales_Reps!$A$2:$C$31,3,FALSE()),"")</f>
        <v>North</v>
      </c>
      <c r="N1743">
        <f>IFERROR(VLOOKUP(D1743,Products!$A$2:$F$61,4,FALSE()),"")</f>
        <v>1143</v>
      </c>
      <c r="O1743" t="str">
        <f>IFERROR(VLOOKUP(C1743,Customers!$A$2:$F$301,5,FALSE()),"")</f>
        <v>SMB</v>
      </c>
      <c r="P1743">
        <f>IFERROR(VLOOKUP(C1743,Customers!$A$2:$F$301,3,FALSE()),"")</f>
        <v>34</v>
      </c>
      <c r="Q1743">
        <f t="shared" si="81"/>
        <v>0.43694581280788175</v>
      </c>
      <c r="R1743">
        <f>IF(AND(COUNTIF($A$2:$A$2027,A1743)&gt;1,COUNTIF($A$2:A1743,A1743)=1),1,0)</f>
        <v>0</v>
      </c>
      <c r="S1743" t="b">
        <f>IFERROR(VLOOKUP(D1743,Products!$A$2:$F$61,6,FALSE()),"")</f>
        <v>1</v>
      </c>
      <c r="T1743" t="str">
        <f>IF(COUNTIF(Customers!$A$2:$A$301,C1743)=0,"Missing","OK")</f>
        <v>OK</v>
      </c>
      <c r="U1743" t="str">
        <f t="shared" si="82"/>
        <v>Hyderabad</v>
      </c>
      <c r="V1743">
        <f t="shared" si="83"/>
        <v>0</v>
      </c>
    </row>
    <row r="1744" spans="1:22" ht="15" customHeight="1" x14ac:dyDescent="0.35">
      <c r="A1744" s="3" t="s">
        <v>2181</v>
      </c>
      <c r="B1744" s="4">
        <v>45651</v>
      </c>
      <c r="C1744" s="3" t="s">
        <v>636</v>
      </c>
      <c r="D1744" s="3" t="s">
        <v>123</v>
      </c>
      <c r="E1744" s="3" t="s">
        <v>264</v>
      </c>
      <c r="F1744" s="5">
        <v>5</v>
      </c>
      <c r="G1744" s="5">
        <v>4880</v>
      </c>
      <c r="H1744" s="5">
        <v>22.9</v>
      </c>
      <c r="I1744" s="5">
        <v>18812.400000000001</v>
      </c>
      <c r="J1744" s="3" t="s">
        <v>26</v>
      </c>
      <c r="K1744" s="3" t="s">
        <v>72</v>
      </c>
      <c r="L1744" t="str">
        <f>IFERROR(VLOOKUP(D1744,Products!$A$2:$F$61,3,FALSE()),"")</f>
        <v>Beauty</v>
      </c>
      <c r="M1744" t="str">
        <f>IFERROR(VLOOKUP(E1744,Sales_Reps!$A$2:$C$31,3,FALSE()),"")</f>
        <v>South</v>
      </c>
      <c r="N1744">
        <f>IFERROR(VLOOKUP(D1744,Products!$A$2:$F$61,4,FALSE()),"")</f>
        <v>2768</v>
      </c>
      <c r="O1744" t="str">
        <f>IFERROR(VLOOKUP(C1744,Customers!$A$2:$F$301,5,FALSE()),"")</f>
        <v>Retail</v>
      </c>
      <c r="P1744">
        <f>IFERROR(VLOOKUP(C1744,Customers!$A$2:$F$301,3,FALSE()),"")</f>
        <v>65</v>
      </c>
      <c r="Q1744">
        <f t="shared" si="81"/>
        <v>0.43278688524590164</v>
      </c>
      <c r="R1744">
        <f>IF(AND(COUNTIF($A$2:$A$2027,A1744)&gt;1,COUNTIF($A$2:A1744,A1744)=1),1,0)</f>
        <v>0</v>
      </c>
      <c r="S1744" t="b">
        <f>IFERROR(VLOOKUP(D1744,Products!$A$2:$F$61,6,FALSE()),"")</f>
        <v>1</v>
      </c>
      <c r="T1744" t="str">
        <f>IF(COUNTIF(Customers!$A$2:$A$301,C1744)=0,"Missing","OK")</f>
        <v>OK</v>
      </c>
      <c r="U1744" t="str">
        <f t="shared" si="82"/>
        <v>Hyderabad</v>
      </c>
      <c r="V1744">
        <f t="shared" si="83"/>
        <v>0</v>
      </c>
    </row>
    <row r="1745" spans="1:22" ht="15" customHeight="1" x14ac:dyDescent="0.35">
      <c r="A1745" s="3" t="s">
        <v>2182</v>
      </c>
      <c r="B1745" s="4">
        <v>45297</v>
      </c>
      <c r="C1745" s="3" t="s">
        <v>680</v>
      </c>
      <c r="D1745" s="3" t="s">
        <v>118</v>
      </c>
      <c r="E1745" s="3" t="s">
        <v>131</v>
      </c>
      <c r="F1745" s="5">
        <v>3</v>
      </c>
      <c r="G1745" s="5">
        <v>3350</v>
      </c>
      <c r="H1745" s="5">
        <v>15.2</v>
      </c>
      <c r="I1745" s="5">
        <v>8522.4</v>
      </c>
      <c r="J1745" s="3" t="s">
        <v>32</v>
      </c>
      <c r="K1745" s="3" t="s">
        <v>72</v>
      </c>
      <c r="L1745" t="str">
        <f>IFERROR(VLOOKUP(D1745,Products!$A$2:$F$61,3,FALSE()),"")</f>
        <v>Beauty</v>
      </c>
      <c r="M1745" t="str">
        <f>IFERROR(VLOOKUP(E1745,Sales_Reps!$A$2:$C$31,3,FALSE()),"")</f>
        <v>East</v>
      </c>
      <c r="N1745">
        <f>IFERROR(VLOOKUP(D1745,Products!$A$2:$F$61,4,FALSE()),"")</f>
        <v>1728</v>
      </c>
      <c r="O1745" t="str">
        <f>IFERROR(VLOOKUP(C1745,Customers!$A$2:$F$301,5,FALSE()),"")</f>
        <v>SMB</v>
      </c>
      <c r="P1745">
        <f>IFERROR(VLOOKUP(C1745,Customers!$A$2:$F$301,3,FALSE()),"")</f>
        <v>29</v>
      </c>
      <c r="Q1745">
        <f t="shared" si="81"/>
        <v>0.48417910447761192</v>
      </c>
      <c r="R1745">
        <f>IF(AND(COUNTIF($A$2:$A$2027,A1745)&gt;1,COUNTIF($A$2:A1745,A1745)=1),1,0)</f>
        <v>0</v>
      </c>
      <c r="S1745" t="b">
        <f>IFERROR(VLOOKUP(D1745,Products!$A$2:$F$61,6,FALSE()),"")</f>
        <v>1</v>
      </c>
      <c r="T1745" t="str">
        <f>IF(COUNTIF(Customers!$A$2:$A$301,C1745)=0,"Missing","OK")</f>
        <v>OK</v>
      </c>
      <c r="U1745" t="str">
        <f t="shared" si="82"/>
        <v>Hyderabad</v>
      </c>
      <c r="V1745">
        <f t="shared" si="83"/>
        <v>0</v>
      </c>
    </row>
    <row r="1746" spans="1:22" ht="15" customHeight="1" x14ac:dyDescent="0.35">
      <c r="A1746" s="3" t="s">
        <v>2183</v>
      </c>
      <c r="B1746" s="4">
        <v>45425</v>
      </c>
      <c r="C1746" s="3" t="s">
        <v>446</v>
      </c>
      <c r="D1746" s="3" t="s">
        <v>134</v>
      </c>
      <c r="E1746" s="3" t="s">
        <v>168</v>
      </c>
      <c r="F1746" s="5">
        <v>10</v>
      </c>
      <c r="G1746" s="5">
        <v>2860</v>
      </c>
      <c r="H1746" s="5">
        <v>15</v>
      </c>
      <c r="I1746" s="5">
        <v>24310</v>
      </c>
      <c r="J1746" s="3" t="s">
        <v>26</v>
      </c>
      <c r="K1746" s="3" t="s">
        <v>27</v>
      </c>
      <c r="L1746" t="str">
        <f>IFERROR(VLOOKUP(D1746,Products!$A$2:$F$61,3,FALSE()),"")</f>
        <v>Sports</v>
      </c>
      <c r="M1746" t="str">
        <f>IFERROR(VLOOKUP(E1746,Sales_Reps!$A$2:$C$31,3,FALSE()),"")</f>
        <v>West</v>
      </c>
      <c r="N1746">
        <f>IFERROR(VLOOKUP(D1746,Products!$A$2:$F$61,4,FALSE()),"")</f>
        <v>2028</v>
      </c>
      <c r="O1746" t="str">
        <f>IFERROR(VLOOKUP(C1746,Customers!$A$2:$F$301,5,FALSE()),"")</f>
        <v>Retail</v>
      </c>
      <c r="P1746">
        <f>IFERROR(VLOOKUP(C1746,Customers!$A$2:$F$301,3,FALSE()),"")</f>
        <v>59</v>
      </c>
      <c r="Q1746">
        <f t="shared" si="81"/>
        <v>0.29090909090909089</v>
      </c>
      <c r="R1746">
        <f>IF(AND(COUNTIF($A$2:$A$2027,A1746)&gt;1,COUNTIF($A$2:A1746,A1746)=1),1,0)</f>
        <v>0</v>
      </c>
      <c r="S1746" t="b">
        <f>IFERROR(VLOOKUP(D1746,Products!$A$2:$F$61,6,FALSE()),"")</f>
        <v>1</v>
      </c>
      <c r="T1746" t="str">
        <f>IF(COUNTIF(Customers!$A$2:$A$301,C1746)=0,"Missing","OK")</f>
        <v>OK</v>
      </c>
      <c r="U1746" t="str">
        <f t="shared" si="82"/>
        <v>Pune</v>
      </c>
      <c r="V1746">
        <f t="shared" si="83"/>
        <v>0</v>
      </c>
    </row>
    <row r="1747" spans="1:22" ht="15" customHeight="1" x14ac:dyDescent="0.35">
      <c r="A1747" s="3" t="s">
        <v>2184</v>
      </c>
      <c r="B1747" s="4">
        <v>45444</v>
      </c>
      <c r="C1747" s="3" t="s">
        <v>249</v>
      </c>
      <c r="D1747" s="3" t="s">
        <v>96</v>
      </c>
      <c r="E1747" s="3" t="s">
        <v>242</v>
      </c>
      <c r="F1747" s="5">
        <v>5</v>
      </c>
      <c r="G1747" s="5">
        <v>3450</v>
      </c>
      <c r="H1747" s="5">
        <v>2.2999999999999998</v>
      </c>
      <c r="I1747" s="5">
        <v>16853.25</v>
      </c>
      <c r="J1747" s="3" t="s">
        <v>26</v>
      </c>
      <c r="K1747" s="3" t="s">
        <v>56</v>
      </c>
      <c r="L1747" t="str">
        <f>IFERROR(VLOOKUP(D1747,Products!$A$2:$F$61,3,FALSE()),"")</f>
        <v>Beauty</v>
      </c>
      <c r="M1747" t="str">
        <f>IFERROR(VLOOKUP(E1747,Sales_Reps!$A$2:$C$31,3,FALSE()),"")</f>
        <v>East</v>
      </c>
      <c r="N1747">
        <f>IFERROR(VLOOKUP(D1747,Products!$A$2:$F$61,4,FALSE()),"")</f>
        <v>2420</v>
      </c>
      <c r="O1747" t="str">
        <f>IFERROR(VLOOKUP(C1747,Customers!$A$2:$F$301,5,FALSE()),"")</f>
        <v>Retail</v>
      </c>
      <c r="P1747">
        <f>IFERROR(VLOOKUP(C1747,Customers!$A$2:$F$301,3,FALSE()),"")</f>
        <v>42</v>
      </c>
      <c r="Q1747">
        <f t="shared" si="81"/>
        <v>0.29855072463768118</v>
      </c>
      <c r="R1747">
        <f>IF(AND(COUNTIF($A$2:$A$2027,A1747)&gt;1,COUNTIF($A$2:A1747,A1747)=1),1,0)</f>
        <v>0</v>
      </c>
      <c r="S1747" t="b">
        <f>IFERROR(VLOOKUP(D1747,Products!$A$2:$F$61,6,FALSE()),"")</f>
        <v>1</v>
      </c>
      <c r="T1747" t="str">
        <f>IF(COUNTIF(Customers!$A$2:$A$301,C1747)=0,"Missing","OK")</f>
        <v>OK</v>
      </c>
      <c r="U1747" t="str">
        <f t="shared" si="82"/>
        <v>Bengaluru</v>
      </c>
      <c r="V1747">
        <f t="shared" si="83"/>
        <v>0</v>
      </c>
    </row>
    <row r="1748" spans="1:22" ht="15" customHeight="1" x14ac:dyDescent="0.35">
      <c r="A1748" s="3" t="s">
        <v>2185</v>
      </c>
      <c r="B1748" s="4">
        <v>45397</v>
      </c>
      <c r="C1748" s="3" t="s">
        <v>133</v>
      </c>
      <c r="D1748" s="3" t="s">
        <v>70</v>
      </c>
      <c r="E1748" s="3" t="s">
        <v>127</v>
      </c>
      <c r="F1748" s="5">
        <v>3</v>
      </c>
      <c r="G1748" s="5">
        <v>2270</v>
      </c>
      <c r="H1748" s="5">
        <v>2.8</v>
      </c>
      <c r="I1748" s="5">
        <v>6619.32</v>
      </c>
      <c r="J1748" s="3" t="s">
        <v>32</v>
      </c>
      <c r="K1748" s="3" t="s">
        <v>27</v>
      </c>
      <c r="L1748" t="str">
        <f>IFERROR(VLOOKUP(D1748,Products!$A$2:$F$61,3,FALSE()),"")</f>
        <v>Grocery</v>
      </c>
      <c r="M1748" t="str">
        <f>IFERROR(VLOOKUP(E1748,Sales_Reps!$A$2:$C$31,3,FALSE()),"")</f>
        <v>South</v>
      </c>
      <c r="N1748">
        <f>IFERROR(VLOOKUP(D1748,Products!$A$2:$F$61,4,FALSE()),"")</f>
        <v>1203</v>
      </c>
      <c r="O1748" t="str">
        <f>IFERROR(VLOOKUP(C1748,Customers!$A$2:$F$301,5,FALSE()),"")</f>
        <v>SMB</v>
      </c>
      <c r="P1748">
        <f>IFERROR(VLOOKUP(C1748,Customers!$A$2:$F$301,3,FALSE()),"")</f>
        <v>44</v>
      </c>
      <c r="Q1748">
        <f t="shared" si="81"/>
        <v>0.47004405286343615</v>
      </c>
      <c r="R1748">
        <f>IF(AND(COUNTIF($A$2:$A$2027,A1748)&gt;1,COUNTIF($A$2:A1748,A1748)=1),1,0)</f>
        <v>0</v>
      </c>
      <c r="S1748" t="b">
        <f>IFERROR(VLOOKUP(D1748,Products!$A$2:$F$61,6,FALSE()),"")</f>
        <v>1</v>
      </c>
      <c r="T1748" t="str">
        <f>IF(COUNTIF(Customers!$A$2:$A$301,C1748)=0,"Missing","OK")</f>
        <v>OK</v>
      </c>
      <c r="U1748" t="str">
        <f t="shared" si="82"/>
        <v>Pune</v>
      </c>
      <c r="V1748">
        <f t="shared" si="83"/>
        <v>0</v>
      </c>
    </row>
    <row r="1749" spans="1:22" ht="15" customHeight="1" x14ac:dyDescent="0.35">
      <c r="A1749" s="3" t="s">
        <v>2186</v>
      </c>
      <c r="B1749" s="4">
        <v>45354</v>
      </c>
      <c r="C1749" s="3" t="s">
        <v>720</v>
      </c>
      <c r="D1749" s="3" t="s">
        <v>41</v>
      </c>
      <c r="E1749" s="3" t="s">
        <v>25</v>
      </c>
      <c r="F1749" s="5">
        <v>8</v>
      </c>
      <c r="G1749" s="5">
        <v>3660</v>
      </c>
      <c r="H1749" s="5">
        <v>16.8</v>
      </c>
      <c r="I1749" s="5">
        <v>24360.959999999999</v>
      </c>
      <c r="J1749" s="3" t="s">
        <v>26</v>
      </c>
      <c r="K1749" s="3" t="s">
        <v>38</v>
      </c>
      <c r="L1749" t="str">
        <f>IFERROR(VLOOKUP(D1749,Products!$A$2:$F$61,3,FALSE()),"")</f>
        <v>Grocery</v>
      </c>
      <c r="M1749" t="str">
        <f>IFERROR(VLOOKUP(E1749,Sales_Reps!$A$2:$C$31,3,FALSE()),"")</f>
        <v>North</v>
      </c>
      <c r="N1749">
        <f>IFERROR(VLOOKUP(D1749,Products!$A$2:$F$61,4,FALSE()),"")</f>
        <v>2214</v>
      </c>
      <c r="O1749" t="str">
        <f>IFERROR(VLOOKUP(C1749,Customers!$A$2:$F$301,5,FALSE()),"")</f>
        <v>SMB</v>
      </c>
      <c r="P1749">
        <f>IFERROR(VLOOKUP(C1749,Customers!$A$2:$F$301,3,FALSE()),"")</f>
        <v>29</v>
      </c>
      <c r="Q1749">
        <f t="shared" si="81"/>
        <v>0.39508196721311473</v>
      </c>
      <c r="R1749">
        <f>IF(AND(COUNTIF($A$2:$A$2027,A1749)&gt;1,COUNTIF($A$2:A1749,A1749)=1),1,0)</f>
        <v>0</v>
      </c>
      <c r="S1749" t="b">
        <f>IFERROR(VLOOKUP(D1749,Products!$A$2:$F$61,6,FALSE()),"")</f>
        <v>0</v>
      </c>
      <c r="T1749" t="str">
        <f>IF(COUNTIF(Customers!$A$2:$A$301,C1749)=0,"Missing","OK")</f>
        <v>OK</v>
      </c>
      <c r="U1749" t="str">
        <f t="shared" si="82"/>
        <v>Delhi</v>
      </c>
      <c r="V1749">
        <f t="shared" si="83"/>
        <v>0</v>
      </c>
    </row>
    <row r="1750" spans="1:22" ht="15" customHeight="1" x14ac:dyDescent="0.35">
      <c r="A1750" s="3" t="s">
        <v>2187</v>
      </c>
      <c r="B1750" s="4">
        <v>45469</v>
      </c>
      <c r="C1750" s="3" t="s">
        <v>554</v>
      </c>
      <c r="D1750" s="3" t="s">
        <v>215</v>
      </c>
      <c r="E1750" s="3" t="s">
        <v>46</v>
      </c>
      <c r="F1750" s="5">
        <v>7</v>
      </c>
      <c r="G1750" s="5">
        <v>3020</v>
      </c>
      <c r="H1750" s="5">
        <v>17.8</v>
      </c>
      <c r="I1750" s="5">
        <v>17377.080000000002</v>
      </c>
      <c r="J1750" s="3" t="s">
        <v>26</v>
      </c>
      <c r="K1750" s="3" t="s">
        <v>51</v>
      </c>
      <c r="L1750" t="str">
        <f>IFERROR(VLOOKUP(D1750,Products!$A$2:$F$61,3,FALSE()),"")</f>
        <v>Beauty</v>
      </c>
      <c r="M1750" t="str">
        <f>IFERROR(VLOOKUP(E1750,Sales_Reps!$A$2:$C$31,3,FALSE()),"")</f>
        <v>North</v>
      </c>
      <c r="N1750">
        <f>IFERROR(VLOOKUP(D1750,Products!$A$2:$F$61,4,FALSE()),"")</f>
        <v>1626</v>
      </c>
      <c r="O1750" t="str">
        <f>IFERROR(VLOOKUP(C1750,Customers!$A$2:$F$301,5,FALSE()),"")</f>
        <v>Retail</v>
      </c>
      <c r="P1750">
        <f>IFERROR(VLOOKUP(C1750,Customers!$A$2:$F$301,3,FALSE()),"")</f>
        <v>53</v>
      </c>
      <c r="Q1750">
        <f t="shared" si="81"/>
        <v>0.46158940397350995</v>
      </c>
      <c r="R1750">
        <f>IF(AND(COUNTIF($A$2:$A$2027,A1750)&gt;1,COUNTIF($A$2:A1750,A1750)=1),1,0)</f>
        <v>0</v>
      </c>
      <c r="S1750" t="b">
        <f>IFERROR(VLOOKUP(D1750,Products!$A$2:$F$61,6,FALSE()),"")</f>
        <v>1</v>
      </c>
      <c r="T1750" t="str">
        <f>IF(COUNTIF(Customers!$A$2:$A$301,C1750)=0,"Missing","OK")</f>
        <v>OK</v>
      </c>
      <c r="U1750" t="str">
        <f t="shared" si="82"/>
        <v>Mumbai</v>
      </c>
      <c r="V1750">
        <f t="shared" si="83"/>
        <v>0</v>
      </c>
    </row>
    <row r="1751" spans="1:22" ht="15" customHeight="1" x14ac:dyDescent="0.35">
      <c r="A1751" s="3" t="s">
        <v>2188</v>
      </c>
      <c r="B1751" s="4">
        <v>45587</v>
      </c>
      <c r="C1751" s="3" t="s">
        <v>1200</v>
      </c>
      <c r="D1751" s="3" t="s">
        <v>103</v>
      </c>
      <c r="E1751" s="3" t="s">
        <v>37</v>
      </c>
      <c r="F1751" s="5">
        <v>7</v>
      </c>
      <c r="G1751" s="5">
        <v>1080</v>
      </c>
      <c r="H1751" s="5">
        <v>12.9</v>
      </c>
      <c r="I1751" s="5">
        <v>6584.76</v>
      </c>
      <c r="J1751" s="3" t="s">
        <v>26</v>
      </c>
      <c r="K1751" s="3" t="s">
        <v>56</v>
      </c>
      <c r="L1751" t="str">
        <f>IFERROR(VLOOKUP(D1751,Products!$A$2:$F$61,3,FALSE()),"")</f>
        <v>Home</v>
      </c>
      <c r="M1751" t="str">
        <f>IFERROR(VLOOKUP(E1751,Sales_Reps!$A$2:$C$31,3,FALSE()),"")</f>
        <v>South</v>
      </c>
      <c r="N1751">
        <f>IFERROR(VLOOKUP(D1751,Products!$A$2:$F$61,4,FALSE()),"")</f>
        <v>519</v>
      </c>
      <c r="O1751" t="str">
        <f>IFERROR(VLOOKUP(C1751,Customers!$A$2:$F$301,5,FALSE()),"")</f>
        <v>Retail</v>
      </c>
      <c r="P1751">
        <f>IFERROR(VLOOKUP(C1751,Customers!$A$2:$F$301,3,FALSE()),"")</f>
        <v>54</v>
      </c>
      <c r="Q1751">
        <f t="shared" si="81"/>
        <v>0.51944444444444449</v>
      </c>
      <c r="R1751">
        <f>IF(AND(COUNTIF($A$2:$A$2027,A1751)&gt;1,COUNTIF($A$2:A1751,A1751)=1),1,0)</f>
        <v>0</v>
      </c>
      <c r="S1751" t="b">
        <f>IFERROR(VLOOKUP(D1751,Products!$A$2:$F$61,6,FALSE()),"")</f>
        <v>1</v>
      </c>
      <c r="T1751" t="str">
        <f>IF(COUNTIF(Customers!$A$2:$A$301,C1751)=0,"Missing","OK")</f>
        <v>OK</v>
      </c>
      <c r="U1751" t="str">
        <f t="shared" si="82"/>
        <v>Bengaluru</v>
      </c>
      <c r="V1751">
        <f t="shared" si="83"/>
        <v>0</v>
      </c>
    </row>
    <row r="1752" spans="1:22" ht="15" customHeight="1" x14ac:dyDescent="0.35">
      <c r="A1752" s="3" t="s">
        <v>2189</v>
      </c>
      <c r="B1752" s="4">
        <v>45494</v>
      </c>
      <c r="C1752" s="3" t="s">
        <v>504</v>
      </c>
      <c r="D1752" s="3" t="s">
        <v>184</v>
      </c>
      <c r="E1752" s="3" t="s">
        <v>264</v>
      </c>
      <c r="F1752" s="5">
        <v>2</v>
      </c>
      <c r="G1752" s="5">
        <v>2270</v>
      </c>
      <c r="H1752" s="5">
        <v>8.6</v>
      </c>
      <c r="I1752" s="5">
        <v>4149.5600000000004</v>
      </c>
      <c r="J1752" s="3" t="s">
        <v>79</v>
      </c>
      <c r="K1752" s="3" t="s">
        <v>51</v>
      </c>
      <c r="L1752" t="str">
        <f>IFERROR(VLOOKUP(D1752,Products!$A$2:$F$61,3,FALSE()),"")</f>
        <v>Grocery</v>
      </c>
      <c r="M1752" t="str">
        <f>IFERROR(VLOOKUP(E1752,Sales_Reps!$A$2:$C$31,3,FALSE()),"")</f>
        <v>South</v>
      </c>
      <c r="N1752">
        <f>IFERROR(VLOOKUP(D1752,Products!$A$2:$F$61,4,FALSE()),"")</f>
        <v>1412</v>
      </c>
      <c r="O1752" t="str">
        <f>IFERROR(VLOOKUP(C1752,Customers!$A$2:$F$301,5,FALSE()),"")</f>
        <v>SMB</v>
      </c>
      <c r="P1752">
        <f>IFERROR(VLOOKUP(C1752,Customers!$A$2:$F$301,3,FALSE()),"")</f>
        <v>61</v>
      </c>
      <c r="Q1752">
        <f t="shared" si="81"/>
        <v>0.37797356828193834</v>
      </c>
      <c r="R1752">
        <f>IF(AND(COUNTIF($A$2:$A$2027,A1752)&gt;1,COUNTIF($A$2:A1752,A1752)=1),1,0)</f>
        <v>0</v>
      </c>
      <c r="S1752" t="b">
        <f>IFERROR(VLOOKUP(D1752,Products!$A$2:$F$61,6,FALSE()),"")</f>
        <v>1</v>
      </c>
      <c r="T1752" t="str">
        <f>IF(COUNTIF(Customers!$A$2:$A$301,C1752)=0,"Missing","OK")</f>
        <v>OK</v>
      </c>
      <c r="U1752" t="str">
        <f t="shared" si="82"/>
        <v>Mumbai</v>
      </c>
      <c r="V1752">
        <f t="shared" si="83"/>
        <v>0</v>
      </c>
    </row>
    <row r="1753" spans="1:22" ht="15" customHeight="1" x14ac:dyDescent="0.35">
      <c r="A1753" s="3" t="s">
        <v>2190</v>
      </c>
      <c r="B1753" s="4">
        <v>45445</v>
      </c>
      <c r="C1753" s="3" t="s">
        <v>329</v>
      </c>
      <c r="D1753" s="3" t="s">
        <v>231</v>
      </c>
      <c r="E1753" s="3" t="s">
        <v>264</v>
      </c>
      <c r="F1753" s="5">
        <v>10</v>
      </c>
      <c r="G1753" s="5">
        <v>620</v>
      </c>
      <c r="H1753" s="5">
        <v>26.1</v>
      </c>
      <c r="I1753" s="5">
        <v>4581.8</v>
      </c>
      <c r="J1753" s="3" t="s">
        <v>26</v>
      </c>
      <c r="K1753" s="3" t="s">
        <v>27</v>
      </c>
      <c r="L1753" t="str">
        <f>IFERROR(VLOOKUP(D1753,Products!$A$2:$F$61,3,FALSE()),"")</f>
        <v>Apparel</v>
      </c>
      <c r="M1753" t="str">
        <f>IFERROR(VLOOKUP(E1753,Sales_Reps!$A$2:$C$31,3,FALSE()),"")</f>
        <v>South</v>
      </c>
      <c r="N1753">
        <f>IFERROR(VLOOKUP(D1753,Products!$A$2:$F$61,4,FALSE()),"")</f>
        <v>396</v>
      </c>
      <c r="O1753" t="str">
        <f>IFERROR(VLOOKUP(C1753,Customers!$A$2:$F$301,5,FALSE()),"")</f>
        <v>SMB</v>
      </c>
      <c r="P1753">
        <f>IFERROR(VLOOKUP(C1753,Customers!$A$2:$F$301,3,FALSE()),"")</f>
        <v>54</v>
      </c>
      <c r="Q1753">
        <f t="shared" si="81"/>
        <v>0.36129032258064514</v>
      </c>
      <c r="R1753">
        <f>IF(AND(COUNTIF($A$2:$A$2027,A1753)&gt;1,COUNTIF($A$2:A1753,A1753)=1),1,0)</f>
        <v>0</v>
      </c>
      <c r="S1753" t="b">
        <f>IFERROR(VLOOKUP(D1753,Products!$A$2:$F$61,6,FALSE()),"")</f>
        <v>1</v>
      </c>
      <c r="T1753" t="str">
        <f>IF(COUNTIF(Customers!$A$2:$A$301,C1753)=0,"Missing","OK")</f>
        <v>OK</v>
      </c>
      <c r="U1753" t="str">
        <f t="shared" si="82"/>
        <v>Pune</v>
      </c>
      <c r="V1753">
        <f t="shared" si="83"/>
        <v>0</v>
      </c>
    </row>
    <row r="1754" spans="1:22" ht="15" customHeight="1" x14ac:dyDescent="0.35">
      <c r="A1754" s="3" t="s">
        <v>2191</v>
      </c>
      <c r="B1754" s="4">
        <v>45561</v>
      </c>
      <c r="C1754" s="3" t="s">
        <v>545</v>
      </c>
      <c r="D1754" s="3" t="s">
        <v>290</v>
      </c>
      <c r="E1754" s="3" t="s">
        <v>127</v>
      </c>
      <c r="F1754" s="5">
        <v>2</v>
      </c>
      <c r="G1754" s="5">
        <v>4060</v>
      </c>
      <c r="H1754" s="5">
        <v>3.8</v>
      </c>
      <c r="I1754" s="5">
        <v>7811.44</v>
      </c>
      <c r="J1754" s="3" t="s">
        <v>26</v>
      </c>
      <c r="K1754" s="3" t="s">
        <v>51</v>
      </c>
      <c r="L1754" t="str">
        <f>IFERROR(VLOOKUP(D1754,Products!$A$2:$F$61,3,FALSE()),"")</f>
        <v>Grocery</v>
      </c>
      <c r="M1754" t="str">
        <f>IFERROR(VLOOKUP(E1754,Sales_Reps!$A$2:$C$31,3,FALSE()),"")</f>
        <v>South</v>
      </c>
      <c r="N1754">
        <f>IFERROR(VLOOKUP(D1754,Products!$A$2:$F$61,4,FALSE()),"")</f>
        <v>2911</v>
      </c>
      <c r="O1754" t="str">
        <f>IFERROR(VLOOKUP(C1754,Customers!$A$2:$F$301,5,FALSE()),"")</f>
        <v>Retail</v>
      </c>
      <c r="P1754">
        <f>IFERROR(VLOOKUP(C1754,Customers!$A$2:$F$301,3,FALSE()),"")</f>
        <v>52</v>
      </c>
      <c r="Q1754">
        <f t="shared" si="81"/>
        <v>0.28300492610837441</v>
      </c>
      <c r="R1754">
        <f>IF(AND(COUNTIF($A$2:$A$2027,A1754)&gt;1,COUNTIF($A$2:A1754,A1754)=1),1,0)</f>
        <v>0</v>
      </c>
      <c r="S1754" t="b">
        <f>IFERROR(VLOOKUP(D1754,Products!$A$2:$F$61,6,FALSE()),"")</f>
        <v>1</v>
      </c>
      <c r="T1754" t="str">
        <f>IF(COUNTIF(Customers!$A$2:$A$301,C1754)=0,"Missing","OK")</f>
        <v>OK</v>
      </c>
      <c r="U1754" t="str">
        <f t="shared" si="82"/>
        <v>Mumbai</v>
      </c>
      <c r="V1754">
        <f t="shared" si="83"/>
        <v>0</v>
      </c>
    </row>
    <row r="1755" spans="1:22" ht="15" customHeight="1" x14ac:dyDescent="0.35">
      <c r="A1755" s="3" t="s">
        <v>2192</v>
      </c>
      <c r="B1755" s="4">
        <v>45488</v>
      </c>
      <c r="C1755" s="3" t="s">
        <v>217</v>
      </c>
      <c r="D1755" s="3" t="s">
        <v>173</v>
      </c>
      <c r="E1755" s="3" t="s">
        <v>264</v>
      </c>
      <c r="F1755" s="5">
        <v>1</v>
      </c>
      <c r="G1755" s="5">
        <v>3780</v>
      </c>
      <c r="H1755" s="5">
        <v>27.9</v>
      </c>
      <c r="I1755" s="5">
        <v>2725.38</v>
      </c>
      <c r="J1755" s="3" t="s">
        <v>26</v>
      </c>
      <c r="K1755" s="3" t="s">
        <v>72</v>
      </c>
      <c r="L1755" t="str">
        <f>IFERROR(VLOOKUP(D1755,Products!$A$2:$F$61,3,FALSE()),"")</f>
        <v>Grocery</v>
      </c>
      <c r="M1755" t="str">
        <f>IFERROR(VLOOKUP(E1755,Sales_Reps!$A$2:$C$31,3,FALSE()),"")</f>
        <v>South</v>
      </c>
      <c r="N1755">
        <f>IFERROR(VLOOKUP(D1755,Products!$A$2:$F$61,4,FALSE()),"")</f>
        <v>2436</v>
      </c>
      <c r="O1755" t="str">
        <f>IFERROR(VLOOKUP(C1755,Customers!$A$2:$F$301,5,FALSE()),"")</f>
        <v>Corporate</v>
      </c>
      <c r="P1755">
        <f>IFERROR(VLOOKUP(C1755,Customers!$A$2:$F$301,3,FALSE()),"")</f>
        <v>29</v>
      </c>
      <c r="Q1755">
        <f t="shared" si="81"/>
        <v>0.35555555555555557</v>
      </c>
      <c r="R1755">
        <f>IF(AND(COUNTIF($A$2:$A$2027,A1755)&gt;1,COUNTIF($A$2:A1755,A1755)=1),1,0)</f>
        <v>0</v>
      </c>
      <c r="S1755" t="b">
        <f>IFERROR(VLOOKUP(D1755,Products!$A$2:$F$61,6,FALSE()),"")</f>
        <v>1</v>
      </c>
      <c r="T1755" t="str">
        <f>IF(COUNTIF(Customers!$A$2:$A$301,C1755)=0,"Missing","OK")</f>
        <v>OK</v>
      </c>
      <c r="U1755" t="str">
        <f t="shared" si="82"/>
        <v>Hyderabad</v>
      </c>
      <c r="V1755">
        <f t="shared" si="83"/>
        <v>0</v>
      </c>
    </row>
    <row r="1756" spans="1:22" ht="15" customHeight="1" x14ac:dyDescent="0.35">
      <c r="A1756" s="3" t="s">
        <v>2193</v>
      </c>
      <c r="B1756" s="4">
        <v>45617</v>
      </c>
      <c r="C1756" s="3" t="s">
        <v>197</v>
      </c>
      <c r="D1756" s="3" t="s">
        <v>306</v>
      </c>
      <c r="E1756" s="3" t="s">
        <v>224</v>
      </c>
      <c r="F1756" s="5">
        <v>8</v>
      </c>
      <c r="G1756" s="5">
        <v>2380</v>
      </c>
      <c r="H1756" s="5">
        <v>3.8</v>
      </c>
      <c r="I1756" s="5">
        <v>18316.48</v>
      </c>
      <c r="J1756" s="3" t="s">
        <v>26</v>
      </c>
      <c r="K1756" s="3" t="s">
        <v>38</v>
      </c>
      <c r="L1756" t="str">
        <f>IFERROR(VLOOKUP(D1756,Products!$A$2:$F$61,3,FALSE()),"")</f>
        <v>Grocery</v>
      </c>
      <c r="M1756" t="str">
        <f>IFERROR(VLOOKUP(E1756,Sales_Reps!$A$2:$C$31,3,FALSE()),"")</f>
        <v>East</v>
      </c>
      <c r="N1756">
        <f>IFERROR(VLOOKUP(D1756,Products!$A$2:$F$61,4,FALSE()),"")</f>
        <v>1182</v>
      </c>
      <c r="O1756" t="str">
        <f>IFERROR(VLOOKUP(C1756,Customers!$A$2:$F$301,5,FALSE()),"")</f>
        <v>SMB</v>
      </c>
      <c r="P1756">
        <f>IFERROR(VLOOKUP(C1756,Customers!$A$2:$F$301,3,FALSE()),"")</f>
        <v>55</v>
      </c>
      <c r="Q1756">
        <f t="shared" si="81"/>
        <v>0.50336134453781511</v>
      </c>
      <c r="R1756">
        <f>IF(AND(COUNTIF($A$2:$A$2027,A1756)&gt;1,COUNTIF($A$2:A1756,A1756)=1),1,0)</f>
        <v>0</v>
      </c>
      <c r="S1756" t="b">
        <f>IFERROR(VLOOKUP(D1756,Products!$A$2:$F$61,6,FALSE()),"")</f>
        <v>1</v>
      </c>
      <c r="T1756" t="str">
        <f>IF(COUNTIF(Customers!$A$2:$A$301,C1756)=0,"Missing","OK")</f>
        <v>OK</v>
      </c>
      <c r="U1756" t="str">
        <f t="shared" si="82"/>
        <v>Delhi</v>
      </c>
      <c r="V1756">
        <f t="shared" si="83"/>
        <v>0</v>
      </c>
    </row>
    <row r="1757" spans="1:22" ht="15" customHeight="1" x14ac:dyDescent="0.35">
      <c r="A1757" s="3" t="s">
        <v>2194</v>
      </c>
      <c r="B1757" s="4">
        <v>45378</v>
      </c>
      <c r="C1757" s="3" t="s">
        <v>228</v>
      </c>
      <c r="D1757" s="3" t="s">
        <v>203</v>
      </c>
      <c r="E1757" s="3" t="s">
        <v>55</v>
      </c>
      <c r="F1757" s="5">
        <v>7</v>
      </c>
      <c r="G1757" s="5">
        <v>4070</v>
      </c>
      <c r="H1757" s="5">
        <v>0.3</v>
      </c>
      <c r="I1757" s="5">
        <v>28404.53</v>
      </c>
      <c r="J1757" s="3" t="s">
        <v>26</v>
      </c>
      <c r="K1757" s="3" t="s">
        <v>33</v>
      </c>
      <c r="L1757" t="str">
        <f>IFERROR(VLOOKUP(D1757,Products!$A$2:$F$61,3,FALSE()),"")</f>
        <v>Grocery</v>
      </c>
      <c r="M1757" t="str">
        <f>IFERROR(VLOOKUP(E1757,Sales_Reps!$A$2:$C$31,3,FALSE()),"")</f>
        <v>West</v>
      </c>
      <c r="N1757">
        <f>IFERROR(VLOOKUP(D1757,Products!$A$2:$F$61,4,FALSE()),"")</f>
        <v>2027</v>
      </c>
      <c r="O1757" t="str">
        <f>IFERROR(VLOOKUP(C1757,Customers!$A$2:$F$301,5,FALSE()),"")</f>
        <v>Retail</v>
      </c>
      <c r="P1757">
        <f>IFERROR(VLOOKUP(C1757,Customers!$A$2:$F$301,3,FALSE()),"")</f>
        <v>38</v>
      </c>
      <c r="Q1757">
        <f t="shared" si="81"/>
        <v>0.50196560196560192</v>
      </c>
      <c r="R1757">
        <f>IF(AND(COUNTIF($A$2:$A$2027,A1757)&gt;1,COUNTIF($A$2:A1757,A1757)=1),1,0)</f>
        <v>0</v>
      </c>
      <c r="S1757" t="b">
        <f>IFERROR(VLOOKUP(D1757,Products!$A$2:$F$61,6,FALSE()),"")</f>
        <v>1</v>
      </c>
      <c r="T1757" t="str">
        <f>IF(COUNTIF(Customers!$A$2:$A$301,C1757)=0,"Missing","OK")</f>
        <v>OK</v>
      </c>
      <c r="U1757" t="str">
        <f t="shared" si="82"/>
        <v>Chennai</v>
      </c>
      <c r="V1757">
        <f t="shared" si="83"/>
        <v>0</v>
      </c>
    </row>
    <row r="1758" spans="1:22" ht="15" customHeight="1" x14ac:dyDescent="0.35">
      <c r="A1758" s="3" t="s">
        <v>2195</v>
      </c>
      <c r="B1758" s="4">
        <v>45459</v>
      </c>
      <c r="C1758" s="3" t="s">
        <v>1173</v>
      </c>
      <c r="D1758" s="3" t="s">
        <v>74</v>
      </c>
      <c r="E1758" s="3" t="s">
        <v>131</v>
      </c>
      <c r="F1758" s="5">
        <v>6</v>
      </c>
      <c r="G1758" s="5">
        <v>2640</v>
      </c>
      <c r="H1758" s="5">
        <v>3.4</v>
      </c>
      <c r="I1758" s="5">
        <v>15301.44</v>
      </c>
      <c r="J1758" s="3" t="s">
        <v>26</v>
      </c>
      <c r="K1758" s="3" t="s">
        <v>51</v>
      </c>
      <c r="L1758" t="str">
        <f>IFERROR(VLOOKUP(D1758,Products!$A$2:$F$61,3,FALSE()),"")</f>
        <v>Electronics</v>
      </c>
      <c r="M1758" t="str">
        <f>IFERROR(VLOOKUP(E1758,Sales_Reps!$A$2:$C$31,3,FALSE()),"")</f>
        <v>East</v>
      </c>
      <c r="N1758">
        <f>IFERROR(VLOOKUP(D1758,Products!$A$2:$F$61,4,FALSE()),"")</f>
        <v>1149</v>
      </c>
      <c r="O1758" t="str">
        <f>IFERROR(VLOOKUP(C1758,Customers!$A$2:$F$301,5,FALSE()),"")</f>
        <v>Retail</v>
      </c>
      <c r="P1758">
        <f>IFERROR(VLOOKUP(C1758,Customers!$A$2:$F$301,3,FALSE()),"")</f>
        <v>29</v>
      </c>
      <c r="Q1758">
        <f t="shared" si="81"/>
        <v>0.56477272727272732</v>
      </c>
      <c r="R1758">
        <f>IF(AND(COUNTIF($A$2:$A$2027,A1758)&gt;1,COUNTIF($A$2:A1758,A1758)=1),1,0)</f>
        <v>0</v>
      </c>
      <c r="S1758" t="b">
        <f>IFERROR(VLOOKUP(D1758,Products!$A$2:$F$61,6,FALSE()),"")</f>
        <v>1</v>
      </c>
      <c r="T1758" t="str">
        <f>IF(COUNTIF(Customers!$A$2:$A$301,C1758)=0,"Missing","OK")</f>
        <v>OK</v>
      </c>
      <c r="U1758" t="str">
        <f t="shared" si="82"/>
        <v>Mumbai</v>
      </c>
      <c r="V1758">
        <f t="shared" si="83"/>
        <v>0</v>
      </c>
    </row>
    <row r="1759" spans="1:22" ht="15" customHeight="1" x14ac:dyDescent="0.35">
      <c r="A1759" s="3" t="s">
        <v>2196</v>
      </c>
      <c r="B1759" s="4">
        <v>45377</v>
      </c>
      <c r="C1759" s="3" t="s">
        <v>120</v>
      </c>
      <c r="D1759" s="3" t="s">
        <v>400</v>
      </c>
      <c r="E1759" s="3" t="s">
        <v>109</v>
      </c>
      <c r="F1759" s="5">
        <v>10</v>
      </c>
      <c r="G1759" s="5">
        <v>3780</v>
      </c>
      <c r="H1759" s="5">
        <v>13.3</v>
      </c>
      <c r="I1759" s="5">
        <v>32772.6</v>
      </c>
      <c r="J1759" s="3" t="s">
        <v>26</v>
      </c>
      <c r="K1759" s="3" t="s">
        <v>38</v>
      </c>
      <c r="L1759" t="str">
        <f>IFERROR(VLOOKUP(D1759,Products!$A$2:$F$61,3,FALSE()),"")</f>
        <v>Sports</v>
      </c>
      <c r="M1759" t="str">
        <f>IFERROR(VLOOKUP(E1759,Sales_Reps!$A$2:$C$31,3,FALSE()),"")</f>
        <v>West</v>
      </c>
      <c r="N1759">
        <f>IFERROR(VLOOKUP(D1759,Products!$A$2:$F$61,4,FALSE()),"")</f>
        <v>1860</v>
      </c>
      <c r="O1759" t="str">
        <f>IFERROR(VLOOKUP(C1759,Customers!$A$2:$F$301,5,FALSE()),"")</f>
        <v>Retail</v>
      </c>
      <c r="P1759">
        <f>IFERROR(VLOOKUP(C1759,Customers!$A$2:$F$301,3,FALSE()),"")</f>
        <v>31</v>
      </c>
      <c r="Q1759">
        <f t="shared" si="81"/>
        <v>0.50793650793650791</v>
      </c>
      <c r="R1759">
        <f>IF(AND(COUNTIF($A$2:$A$2027,A1759)&gt;1,COUNTIF($A$2:A1759,A1759)=1),1,0)</f>
        <v>0</v>
      </c>
      <c r="S1759" t="b">
        <f>IFERROR(VLOOKUP(D1759,Products!$A$2:$F$61,6,FALSE()),"")</f>
        <v>1</v>
      </c>
      <c r="T1759" t="str">
        <f>IF(COUNTIF(Customers!$A$2:$A$301,C1759)=0,"Missing","OK")</f>
        <v>OK</v>
      </c>
      <c r="U1759" t="str">
        <f t="shared" si="82"/>
        <v>Delhi</v>
      </c>
      <c r="V1759">
        <f t="shared" si="83"/>
        <v>0</v>
      </c>
    </row>
    <row r="1760" spans="1:22" ht="15" customHeight="1" x14ac:dyDescent="0.35">
      <c r="A1760" s="3" t="s">
        <v>2197</v>
      </c>
      <c r="B1760" s="4">
        <v>45302</v>
      </c>
      <c r="C1760" s="3" t="s">
        <v>811</v>
      </c>
      <c r="D1760" s="3" t="s">
        <v>118</v>
      </c>
      <c r="E1760" s="3" t="s">
        <v>143</v>
      </c>
      <c r="F1760" s="5">
        <v>9</v>
      </c>
      <c r="G1760" s="5">
        <v>3350</v>
      </c>
      <c r="H1760" s="5">
        <v>12.8</v>
      </c>
      <c r="I1760" s="5">
        <v>26290.799999999999</v>
      </c>
      <c r="J1760" s="3" t="s">
        <v>26</v>
      </c>
      <c r="K1760" s="3" t="s">
        <v>51</v>
      </c>
      <c r="L1760" t="str">
        <f>IFERROR(VLOOKUP(D1760,Products!$A$2:$F$61,3,FALSE()),"")</f>
        <v>Beauty</v>
      </c>
      <c r="M1760" t="str">
        <f>IFERROR(VLOOKUP(E1760,Sales_Reps!$A$2:$C$31,3,FALSE()),"")</f>
        <v>South</v>
      </c>
      <c r="N1760">
        <f>IFERROR(VLOOKUP(D1760,Products!$A$2:$F$61,4,FALSE()),"")</f>
        <v>1728</v>
      </c>
      <c r="O1760" t="str">
        <f>IFERROR(VLOOKUP(C1760,Customers!$A$2:$F$301,5,FALSE()),"")</f>
        <v>Corporate</v>
      </c>
      <c r="P1760">
        <f>IFERROR(VLOOKUP(C1760,Customers!$A$2:$F$301,3,FALSE()),"")</f>
        <v>62</v>
      </c>
      <c r="Q1760">
        <f t="shared" si="81"/>
        <v>0.48417910447761192</v>
      </c>
      <c r="R1760">
        <f>IF(AND(COUNTIF($A$2:$A$2027,A1760)&gt;1,COUNTIF($A$2:A1760,A1760)=1),1,0)</f>
        <v>0</v>
      </c>
      <c r="S1760" t="b">
        <f>IFERROR(VLOOKUP(D1760,Products!$A$2:$F$61,6,FALSE()),"")</f>
        <v>1</v>
      </c>
      <c r="T1760" t="str">
        <f>IF(COUNTIF(Customers!$A$2:$A$301,C1760)=0,"Missing","OK")</f>
        <v>OK</v>
      </c>
      <c r="U1760" t="str">
        <f t="shared" si="82"/>
        <v>Mumbai</v>
      </c>
      <c r="V1760">
        <f t="shared" si="83"/>
        <v>0</v>
      </c>
    </row>
    <row r="1761" spans="1:22" ht="15" customHeight="1" x14ac:dyDescent="0.35">
      <c r="A1761" s="3" t="s">
        <v>2198</v>
      </c>
      <c r="B1761" s="4">
        <v>45459</v>
      </c>
      <c r="C1761" s="3" t="s">
        <v>615</v>
      </c>
      <c r="D1761" s="3" t="s">
        <v>45</v>
      </c>
      <c r="E1761" s="3" t="s">
        <v>55</v>
      </c>
      <c r="F1761" s="5">
        <v>7</v>
      </c>
      <c r="G1761" s="5">
        <v>3160</v>
      </c>
      <c r="H1761" s="5">
        <v>15.3</v>
      </c>
      <c r="I1761" s="5">
        <v>18735.64</v>
      </c>
      <c r="J1761" s="3" t="s">
        <v>26</v>
      </c>
      <c r="K1761" s="3" t="s">
        <v>27</v>
      </c>
      <c r="L1761" t="str">
        <f>IFERROR(VLOOKUP(D1761,Products!$A$2:$F$61,3,FALSE()),"")</f>
        <v>Apparel</v>
      </c>
      <c r="M1761" t="str">
        <f>IFERROR(VLOOKUP(E1761,Sales_Reps!$A$2:$C$31,3,FALSE()),"")</f>
        <v>West</v>
      </c>
      <c r="N1761">
        <f>IFERROR(VLOOKUP(D1761,Products!$A$2:$F$61,4,FALSE()),"")</f>
        <v>1886</v>
      </c>
      <c r="O1761" t="str">
        <f>IFERROR(VLOOKUP(C1761,Customers!$A$2:$F$301,5,FALSE()),"")</f>
        <v>SMB</v>
      </c>
      <c r="P1761">
        <f>IFERROR(VLOOKUP(C1761,Customers!$A$2:$F$301,3,FALSE()),"")</f>
        <v>35</v>
      </c>
      <c r="Q1761">
        <f t="shared" si="81"/>
        <v>0.4031645569620253</v>
      </c>
      <c r="R1761">
        <f>IF(AND(COUNTIF($A$2:$A$2027,A1761)&gt;1,COUNTIF($A$2:A1761,A1761)=1),1,0)</f>
        <v>0</v>
      </c>
      <c r="S1761" t="b">
        <f>IFERROR(VLOOKUP(D1761,Products!$A$2:$F$61,6,FALSE()),"")</f>
        <v>1</v>
      </c>
      <c r="T1761" t="str">
        <f>IF(COUNTIF(Customers!$A$2:$A$301,C1761)=0,"Missing","OK")</f>
        <v>OK</v>
      </c>
      <c r="U1761" t="str">
        <f t="shared" si="82"/>
        <v>Pune</v>
      </c>
      <c r="V1761">
        <f t="shared" si="83"/>
        <v>0</v>
      </c>
    </row>
    <row r="1762" spans="1:22" ht="15" customHeight="1" x14ac:dyDescent="0.35">
      <c r="A1762" s="3" t="s">
        <v>2199</v>
      </c>
      <c r="B1762" s="4">
        <v>45428</v>
      </c>
      <c r="C1762" s="3" t="s">
        <v>922</v>
      </c>
      <c r="D1762" s="3" t="s">
        <v>134</v>
      </c>
      <c r="E1762" s="3" t="s">
        <v>78</v>
      </c>
      <c r="F1762" s="5">
        <v>6</v>
      </c>
      <c r="G1762" s="5">
        <v>2860</v>
      </c>
      <c r="H1762" s="5">
        <v>17.5</v>
      </c>
      <c r="I1762" s="5">
        <v>14157</v>
      </c>
      <c r="J1762" s="3" t="s">
        <v>26</v>
      </c>
      <c r="K1762" s="3" t="s">
        <v>56</v>
      </c>
      <c r="L1762" t="str">
        <f>IFERROR(VLOOKUP(D1762,Products!$A$2:$F$61,3,FALSE()),"")</f>
        <v>Sports</v>
      </c>
      <c r="M1762" t="str">
        <f>IFERROR(VLOOKUP(E1762,Sales_Reps!$A$2:$C$31,3,FALSE()),"")</f>
        <v>North</v>
      </c>
      <c r="N1762">
        <f>IFERROR(VLOOKUP(D1762,Products!$A$2:$F$61,4,FALSE()),"")</f>
        <v>2028</v>
      </c>
      <c r="O1762" t="str">
        <f>IFERROR(VLOOKUP(C1762,Customers!$A$2:$F$301,5,FALSE()),"")</f>
        <v>SMB</v>
      </c>
      <c r="P1762">
        <f>IFERROR(VLOOKUP(C1762,Customers!$A$2:$F$301,3,FALSE()),"")</f>
        <v>36</v>
      </c>
      <c r="Q1762">
        <f t="shared" si="81"/>
        <v>0.29090909090909089</v>
      </c>
      <c r="R1762">
        <f>IF(AND(COUNTIF($A$2:$A$2027,A1762)&gt;1,COUNTIF($A$2:A1762,A1762)=1),1,0)</f>
        <v>0</v>
      </c>
      <c r="S1762" t="b">
        <f>IFERROR(VLOOKUP(D1762,Products!$A$2:$F$61,6,FALSE()),"")</f>
        <v>1</v>
      </c>
      <c r="T1762" t="str">
        <f>IF(COUNTIF(Customers!$A$2:$A$301,C1762)=0,"Missing","OK")</f>
        <v>OK</v>
      </c>
      <c r="U1762" t="str">
        <f t="shared" si="82"/>
        <v>Bengaluru</v>
      </c>
      <c r="V1762">
        <f t="shared" si="83"/>
        <v>0</v>
      </c>
    </row>
    <row r="1763" spans="1:22" ht="15" customHeight="1" x14ac:dyDescent="0.35">
      <c r="A1763" s="3" t="s">
        <v>2200</v>
      </c>
      <c r="B1763" s="4">
        <v>45341</v>
      </c>
      <c r="C1763" s="3" t="s">
        <v>696</v>
      </c>
      <c r="D1763" s="3" t="s">
        <v>221</v>
      </c>
      <c r="E1763" s="3" t="s">
        <v>71</v>
      </c>
      <c r="F1763" s="5">
        <v>9</v>
      </c>
      <c r="G1763" s="5">
        <v>300</v>
      </c>
      <c r="H1763" s="5">
        <v>25.2</v>
      </c>
      <c r="I1763" s="5">
        <v>2019.6</v>
      </c>
      <c r="J1763" s="3" t="s">
        <v>26</v>
      </c>
      <c r="K1763" s="3" t="s">
        <v>56</v>
      </c>
      <c r="L1763" t="str">
        <f>IFERROR(VLOOKUP(D1763,Products!$A$2:$F$61,3,FALSE()),"")</f>
        <v>Electronics</v>
      </c>
      <c r="M1763" t="str">
        <f>IFERROR(VLOOKUP(E1763,Sales_Reps!$A$2:$C$31,3,FALSE()),"")</f>
        <v>South</v>
      </c>
      <c r="N1763">
        <f>IFERROR(VLOOKUP(D1763,Products!$A$2:$F$61,4,FALSE()),"")</f>
        <v>128</v>
      </c>
      <c r="O1763" t="str">
        <f>IFERROR(VLOOKUP(C1763,Customers!$A$2:$F$301,5,FALSE()),"")</f>
        <v>Corporate</v>
      </c>
      <c r="P1763">
        <f>IFERROR(VLOOKUP(C1763,Customers!$A$2:$F$301,3,FALSE()),"")</f>
        <v>43</v>
      </c>
      <c r="Q1763">
        <f t="shared" si="81"/>
        <v>0.57333333333333336</v>
      </c>
      <c r="R1763">
        <f>IF(AND(COUNTIF($A$2:$A$2027,A1763)&gt;1,COUNTIF($A$2:A1763,A1763)=1),1,0)</f>
        <v>0</v>
      </c>
      <c r="S1763" t="b">
        <f>IFERROR(VLOOKUP(D1763,Products!$A$2:$F$61,6,FALSE()),"")</f>
        <v>1</v>
      </c>
      <c r="T1763" t="str">
        <f>IF(COUNTIF(Customers!$A$2:$A$301,C1763)=0,"Missing","OK")</f>
        <v>OK</v>
      </c>
      <c r="U1763" t="str">
        <f t="shared" si="82"/>
        <v>Bengaluru</v>
      </c>
      <c r="V1763">
        <f t="shared" si="83"/>
        <v>0</v>
      </c>
    </row>
    <row r="1764" spans="1:22" ht="15" customHeight="1" x14ac:dyDescent="0.35">
      <c r="A1764" s="3" t="s">
        <v>2201</v>
      </c>
      <c r="B1764" s="4">
        <v>45296</v>
      </c>
      <c r="C1764" s="3" t="s">
        <v>916</v>
      </c>
      <c r="D1764" s="3" t="s">
        <v>86</v>
      </c>
      <c r="E1764" s="3" t="s">
        <v>131</v>
      </c>
      <c r="F1764" s="5">
        <v>5</v>
      </c>
      <c r="G1764" s="5">
        <v>190</v>
      </c>
      <c r="H1764" s="5">
        <v>1.8</v>
      </c>
      <c r="I1764" s="5">
        <v>932.9</v>
      </c>
      <c r="J1764" s="3" t="s">
        <v>26</v>
      </c>
      <c r="K1764" s="3" t="s">
        <v>27</v>
      </c>
      <c r="L1764" t="str">
        <f>IFERROR(VLOOKUP(D1764,Products!$A$2:$F$61,3,FALSE()),"")</f>
        <v>Sports</v>
      </c>
      <c r="M1764" t="str">
        <f>IFERROR(VLOOKUP(E1764,Sales_Reps!$A$2:$C$31,3,FALSE()),"")</f>
        <v>East</v>
      </c>
      <c r="N1764">
        <f>IFERROR(VLOOKUP(D1764,Products!$A$2:$F$61,4,FALSE()),"")</f>
        <v>147</v>
      </c>
      <c r="O1764" t="str">
        <f>IFERROR(VLOOKUP(C1764,Customers!$A$2:$F$301,5,FALSE()),"")</f>
        <v>Corporate</v>
      </c>
      <c r="P1764">
        <f>IFERROR(VLOOKUP(C1764,Customers!$A$2:$F$301,3,FALSE()),"")</f>
        <v>29</v>
      </c>
      <c r="Q1764">
        <f t="shared" si="81"/>
        <v>0.22631578947368422</v>
      </c>
      <c r="R1764">
        <f>IF(AND(COUNTIF($A$2:$A$2027,A1764)&gt;1,COUNTIF($A$2:A1764,A1764)=1),1,0)</f>
        <v>0</v>
      </c>
      <c r="S1764" t="b">
        <f>IFERROR(VLOOKUP(D1764,Products!$A$2:$F$61,6,FALSE()),"")</f>
        <v>1</v>
      </c>
      <c r="T1764" t="str">
        <f>IF(COUNTIF(Customers!$A$2:$A$301,C1764)=0,"Missing","OK")</f>
        <v>OK</v>
      </c>
      <c r="U1764" t="str">
        <f t="shared" si="82"/>
        <v>Pune</v>
      </c>
      <c r="V1764">
        <f t="shared" si="83"/>
        <v>0</v>
      </c>
    </row>
    <row r="1765" spans="1:22" ht="15" customHeight="1" x14ac:dyDescent="0.35">
      <c r="A1765" s="3" t="s">
        <v>2202</v>
      </c>
      <c r="B1765" s="4">
        <v>45533</v>
      </c>
      <c r="C1765" s="3" t="s">
        <v>381</v>
      </c>
      <c r="D1765" s="3" t="s">
        <v>121</v>
      </c>
      <c r="E1765" s="3" t="s">
        <v>97</v>
      </c>
      <c r="F1765" s="5">
        <v>7</v>
      </c>
      <c r="G1765" s="5">
        <v>1010</v>
      </c>
      <c r="H1765" s="5">
        <v>11.2</v>
      </c>
      <c r="I1765" s="5">
        <v>6278.16</v>
      </c>
      <c r="J1765" s="3" t="s">
        <v>26</v>
      </c>
      <c r="K1765" s="3" t="s">
        <v>27</v>
      </c>
      <c r="L1765" t="str">
        <f>IFERROR(VLOOKUP(D1765,Products!$A$2:$F$61,3,FALSE()),"")</f>
        <v>Sports</v>
      </c>
      <c r="M1765" t="str">
        <f>IFERROR(VLOOKUP(E1765,Sales_Reps!$A$2:$C$31,3,FALSE()),"")</f>
        <v>East</v>
      </c>
      <c r="N1765">
        <f>IFERROR(VLOOKUP(D1765,Products!$A$2:$F$61,4,FALSE()),"")</f>
        <v>516</v>
      </c>
      <c r="O1765" t="str">
        <f>IFERROR(VLOOKUP(C1765,Customers!$A$2:$F$301,5,FALSE()),"")</f>
        <v>Retail</v>
      </c>
      <c r="P1765">
        <f>IFERROR(VLOOKUP(C1765,Customers!$A$2:$F$301,3,FALSE()),"")</f>
        <v>65</v>
      </c>
      <c r="Q1765">
        <f t="shared" si="81"/>
        <v>0.4891089108910891</v>
      </c>
      <c r="R1765">
        <f>IF(AND(COUNTIF($A$2:$A$2027,A1765)&gt;1,COUNTIF($A$2:A1765,A1765)=1),1,0)</f>
        <v>0</v>
      </c>
      <c r="S1765" t="b">
        <f>IFERROR(VLOOKUP(D1765,Products!$A$2:$F$61,6,FALSE()),"")</f>
        <v>1</v>
      </c>
      <c r="T1765" t="str">
        <f>IF(COUNTIF(Customers!$A$2:$A$301,C1765)=0,"Missing","OK")</f>
        <v>OK</v>
      </c>
      <c r="U1765" t="str">
        <f t="shared" si="82"/>
        <v>Pune</v>
      </c>
      <c r="V1765">
        <f t="shared" si="83"/>
        <v>0</v>
      </c>
    </row>
    <row r="1766" spans="1:22" ht="15" customHeight="1" x14ac:dyDescent="0.35">
      <c r="A1766" s="3" t="s">
        <v>2203</v>
      </c>
      <c r="B1766" s="4">
        <v>45515</v>
      </c>
      <c r="C1766" s="3" t="s">
        <v>158</v>
      </c>
      <c r="D1766" s="3" t="s">
        <v>100</v>
      </c>
      <c r="E1766" s="3" t="s">
        <v>154</v>
      </c>
      <c r="F1766" s="5">
        <v>8</v>
      </c>
      <c r="G1766" s="5">
        <v>3450</v>
      </c>
      <c r="H1766" s="5">
        <v>8.4</v>
      </c>
      <c r="I1766" s="5">
        <v>25281.599999999999</v>
      </c>
      <c r="J1766" s="3" t="s">
        <v>26</v>
      </c>
      <c r="K1766" s="3" t="s">
        <v>38</v>
      </c>
      <c r="L1766" t="str">
        <f>IFERROR(VLOOKUP(D1766,Products!$A$2:$F$61,3,FALSE()),"")</f>
        <v>Sports</v>
      </c>
      <c r="M1766" t="str">
        <f>IFERROR(VLOOKUP(E1766,Sales_Reps!$A$2:$C$31,3,FALSE()),"")</f>
        <v>North</v>
      </c>
      <c r="N1766">
        <f>IFERROR(VLOOKUP(D1766,Products!$A$2:$F$61,4,FALSE()),"")</f>
        <v>2467</v>
      </c>
      <c r="O1766" t="str">
        <f>IFERROR(VLOOKUP(C1766,Customers!$A$2:$F$301,5,FALSE()),"")</f>
        <v>SMB</v>
      </c>
      <c r="P1766">
        <f>IFERROR(VLOOKUP(C1766,Customers!$A$2:$F$301,3,FALSE()),"")</f>
        <v>50</v>
      </c>
      <c r="Q1766">
        <f t="shared" si="81"/>
        <v>0.28492753623188405</v>
      </c>
      <c r="R1766">
        <f>IF(AND(COUNTIF($A$2:$A$2027,A1766)&gt;1,COUNTIF($A$2:A1766,A1766)=1),1,0)</f>
        <v>0</v>
      </c>
      <c r="S1766" t="b">
        <f>IFERROR(VLOOKUP(D1766,Products!$A$2:$F$61,6,FALSE()),"")</f>
        <v>1</v>
      </c>
      <c r="T1766" t="str">
        <f>IF(COUNTIF(Customers!$A$2:$A$301,C1766)=0,"Missing","OK")</f>
        <v>OK</v>
      </c>
      <c r="U1766" t="str">
        <f t="shared" si="82"/>
        <v>Delhi</v>
      </c>
      <c r="V1766">
        <f t="shared" si="83"/>
        <v>0</v>
      </c>
    </row>
    <row r="1767" spans="1:22" ht="15" customHeight="1" x14ac:dyDescent="0.35">
      <c r="A1767" s="3" t="s">
        <v>2204</v>
      </c>
      <c r="B1767" s="4">
        <v>45597</v>
      </c>
      <c r="C1767" s="3" t="s">
        <v>925</v>
      </c>
      <c r="D1767" s="3" t="s">
        <v>221</v>
      </c>
      <c r="E1767" s="3" t="s">
        <v>154</v>
      </c>
      <c r="F1767" s="5">
        <v>3</v>
      </c>
      <c r="G1767" s="5">
        <v>300</v>
      </c>
      <c r="H1767" s="5">
        <v>7.5</v>
      </c>
      <c r="I1767" s="5">
        <v>832.5</v>
      </c>
      <c r="J1767" s="3" t="s">
        <v>83</v>
      </c>
      <c r="K1767" s="3" t="s">
        <v>33</v>
      </c>
      <c r="L1767" t="str">
        <f>IFERROR(VLOOKUP(D1767,Products!$A$2:$F$61,3,FALSE()),"")</f>
        <v>Electronics</v>
      </c>
      <c r="M1767" t="str">
        <f>IFERROR(VLOOKUP(E1767,Sales_Reps!$A$2:$C$31,3,FALSE()),"")</f>
        <v>North</v>
      </c>
      <c r="N1767">
        <f>IFERROR(VLOOKUP(D1767,Products!$A$2:$F$61,4,FALSE()),"")</f>
        <v>128</v>
      </c>
      <c r="O1767" t="str">
        <f>IFERROR(VLOOKUP(C1767,Customers!$A$2:$F$301,5,FALSE()),"")</f>
        <v>Corporate</v>
      </c>
      <c r="P1767">
        <f>IFERROR(VLOOKUP(C1767,Customers!$A$2:$F$301,3,FALSE()),"")</f>
        <v>52</v>
      </c>
      <c r="Q1767">
        <f t="shared" si="81"/>
        <v>0.57333333333333336</v>
      </c>
      <c r="R1767">
        <f>IF(AND(COUNTIF($A$2:$A$2027,A1767)&gt;1,COUNTIF($A$2:A1767,A1767)=1),1,0)</f>
        <v>0</v>
      </c>
      <c r="S1767" t="b">
        <f>IFERROR(VLOOKUP(D1767,Products!$A$2:$F$61,6,FALSE()),"")</f>
        <v>1</v>
      </c>
      <c r="T1767" t="str">
        <f>IF(COUNTIF(Customers!$A$2:$A$301,C1767)=0,"Missing","OK")</f>
        <v>OK</v>
      </c>
      <c r="U1767" t="str">
        <f t="shared" si="82"/>
        <v>Chennai</v>
      </c>
      <c r="V1767">
        <f t="shared" si="83"/>
        <v>0</v>
      </c>
    </row>
    <row r="1768" spans="1:22" ht="15" customHeight="1" x14ac:dyDescent="0.35">
      <c r="A1768" s="3" t="s">
        <v>2205</v>
      </c>
      <c r="B1768" s="4">
        <v>45370</v>
      </c>
      <c r="C1768" s="3" t="s">
        <v>167</v>
      </c>
      <c r="D1768" s="3" t="s">
        <v>165</v>
      </c>
      <c r="E1768" s="3" t="s">
        <v>242</v>
      </c>
      <c r="F1768" s="5">
        <v>4</v>
      </c>
      <c r="G1768" s="5">
        <v>3730</v>
      </c>
      <c r="H1768" s="5">
        <v>24.8</v>
      </c>
      <c r="I1768" s="5">
        <v>11219.84</v>
      </c>
      <c r="J1768" s="3" t="s">
        <v>26</v>
      </c>
      <c r="K1768" s="3" t="s">
        <v>51</v>
      </c>
      <c r="L1768" t="str">
        <f>IFERROR(VLOOKUP(D1768,Products!$A$2:$F$61,3,FALSE()),"")</f>
        <v>Home</v>
      </c>
      <c r="M1768" t="str">
        <f>IFERROR(VLOOKUP(E1768,Sales_Reps!$A$2:$C$31,3,FALSE()),"")</f>
        <v>East</v>
      </c>
      <c r="N1768">
        <f>IFERROR(VLOOKUP(D1768,Products!$A$2:$F$61,4,FALSE()),"")</f>
        <v>2135</v>
      </c>
      <c r="O1768" t="str">
        <f>IFERROR(VLOOKUP(C1768,Customers!$A$2:$F$301,5,FALSE()),"")</f>
        <v>SMB</v>
      </c>
      <c r="P1768">
        <f>IFERROR(VLOOKUP(C1768,Customers!$A$2:$F$301,3,FALSE()),"")</f>
        <v>54</v>
      </c>
      <c r="Q1768">
        <f t="shared" si="81"/>
        <v>0.42761394101876676</v>
      </c>
      <c r="R1768">
        <f>IF(AND(COUNTIF($A$2:$A$2027,A1768)&gt;1,COUNTIF($A$2:A1768,A1768)=1),1,0)</f>
        <v>0</v>
      </c>
      <c r="S1768" t="b">
        <f>IFERROR(VLOOKUP(D1768,Products!$A$2:$F$61,6,FALSE()),"")</f>
        <v>1</v>
      </c>
      <c r="T1768" t="str">
        <f>IF(COUNTIF(Customers!$A$2:$A$301,C1768)=0,"Missing","OK")</f>
        <v>OK</v>
      </c>
      <c r="U1768" t="str">
        <f t="shared" si="82"/>
        <v>Mumbai</v>
      </c>
      <c r="V1768">
        <f t="shared" si="83"/>
        <v>0</v>
      </c>
    </row>
    <row r="1769" spans="1:22" ht="15" customHeight="1" x14ac:dyDescent="0.35">
      <c r="A1769" s="3" t="s">
        <v>2206</v>
      </c>
      <c r="B1769" s="4">
        <v>45462</v>
      </c>
      <c r="C1769" s="3" t="s">
        <v>117</v>
      </c>
      <c r="D1769" s="3" t="s">
        <v>90</v>
      </c>
      <c r="E1769" s="3" t="s">
        <v>131</v>
      </c>
      <c r="F1769" s="5">
        <v>5</v>
      </c>
      <c r="G1769" s="5">
        <v>2400</v>
      </c>
      <c r="H1769" s="5">
        <v>9.1999999999999993</v>
      </c>
      <c r="I1769" s="5">
        <v>10896</v>
      </c>
      <c r="J1769" s="3" t="s">
        <v>26</v>
      </c>
      <c r="K1769" s="3" t="s">
        <v>33</v>
      </c>
      <c r="L1769" t="str">
        <f>IFERROR(VLOOKUP(D1769,Products!$A$2:$F$61,3,FALSE()),"")</f>
        <v>Sports</v>
      </c>
      <c r="M1769" t="str">
        <f>IFERROR(VLOOKUP(E1769,Sales_Reps!$A$2:$C$31,3,FALSE()),"")</f>
        <v>East</v>
      </c>
      <c r="N1769">
        <f>IFERROR(VLOOKUP(D1769,Products!$A$2:$F$61,4,FALSE()),"")</f>
        <v>974</v>
      </c>
      <c r="O1769" t="str">
        <f>IFERROR(VLOOKUP(C1769,Customers!$A$2:$F$301,5,FALSE()),"")</f>
        <v>Corporate</v>
      </c>
      <c r="P1769">
        <f>IFERROR(VLOOKUP(C1769,Customers!$A$2:$F$301,3,FALSE()),"")</f>
        <v>55</v>
      </c>
      <c r="Q1769">
        <f t="shared" si="81"/>
        <v>0.59416666666666662</v>
      </c>
      <c r="R1769">
        <f>IF(AND(COUNTIF($A$2:$A$2027,A1769)&gt;1,COUNTIF($A$2:A1769,A1769)=1),1,0)</f>
        <v>0</v>
      </c>
      <c r="S1769" t="b">
        <f>IFERROR(VLOOKUP(D1769,Products!$A$2:$F$61,6,FALSE()),"")</f>
        <v>1</v>
      </c>
      <c r="T1769" t="str">
        <f>IF(COUNTIF(Customers!$A$2:$A$301,C1769)=0,"Missing","OK")</f>
        <v>OK</v>
      </c>
      <c r="U1769" t="str">
        <f t="shared" si="82"/>
        <v>Chennai</v>
      </c>
      <c r="V1769">
        <f t="shared" si="83"/>
        <v>0</v>
      </c>
    </row>
    <row r="1770" spans="1:22" ht="15" customHeight="1" x14ac:dyDescent="0.35">
      <c r="A1770" s="3" t="s">
        <v>2207</v>
      </c>
      <c r="B1770" s="4">
        <v>45609</v>
      </c>
      <c r="C1770" s="3" t="s">
        <v>342</v>
      </c>
      <c r="D1770" s="3" t="s">
        <v>139</v>
      </c>
      <c r="E1770" s="3" t="s">
        <v>154</v>
      </c>
      <c r="F1770" s="5">
        <v>3</v>
      </c>
      <c r="G1770" s="5">
        <v>2760</v>
      </c>
      <c r="H1770" s="5">
        <v>2.4</v>
      </c>
      <c r="I1770" s="5">
        <v>8081.28</v>
      </c>
      <c r="J1770" s="3" t="s">
        <v>26</v>
      </c>
      <c r="K1770" s="3" t="s">
        <v>56</v>
      </c>
      <c r="L1770" t="str">
        <f>IFERROR(VLOOKUP(D1770,Products!$A$2:$F$61,3,FALSE()),"")</f>
        <v>Grocery</v>
      </c>
      <c r="M1770" t="str">
        <f>IFERROR(VLOOKUP(E1770,Sales_Reps!$A$2:$C$31,3,FALSE()),"")</f>
        <v>North</v>
      </c>
      <c r="N1770">
        <f>IFERROR(VLOOKUP(D1770,Products!$A$2:$F$61,4,FALSE()),"")</f>
        <v>1435</v>
      </c>
      <c r="O1770" t="str">
        <f>IFERROR(VLOOKUP(C1770,Customers!$A$2:$F$301,5,FALSE()),"")</f>
        <v>Retail</v>
      </c>
      <c r="P1770">
        <f>IFERROR(VLOOKUP(C1770,Customers!$A$2:$F$301,3,FALSE()),"")</f>
        <v>59</v>
      </c>
      <c r="Q1770">
        <f t="shared" si="81"/>
        <v>0.48007246376811596</v>
      </c>
      <c r="R1770">
        <f>IF(AND(COUNTIF($A$2:$A$2027,A1770)&gt;1,COUNTIF($A$2:A1770,A1770)=1),1,0)</f>
        <v>0</v>
      </c>
      <c r="S1770" t="b">
        <f>IFERROR(VLOOKUP(D1770,Products!$A$2:$F$61,6,FALSE()),"")</f>
        <v>1</v>
      </c>
      <c r="T1770" t="str">
        <f>IF(COUNTIF(Customers!$A$2:$A$301,C1770)=0,"Missing","OK")</f>
        <v>OK</v>
      </c>
      <c r="U1770" t="str">
        <f t="shared" si="82"/>
        <v>Bengaluru</v>
      </c>
      <c r="V1770">
        <f t="shared" si="83"/>
        <v>8081.28</v>
      </c>
    </row>
    <row r="1771" spans="1:22" ht="15" customHeight="1" x14ac:dyDescent="0.35">
      <c r="A1771" s="3" t="s">
        <v>606</v>
      </c>
      <c r="B1771" s="4">
        <v>45548</v>
      </c>
      <c r="C1771" s="3" t="s">
        <v>147</v>
      </c>
      <c r="D1771" s="3" t="s">
        <v>36</v>
      </c>
      <c r="E1771" s="3" t="s">
        <v>143</v>
      </c>
      <c r="F1771" s="5">
        <v>8</v>
      </c>
      <c r="G1771" s="5">
        <v>470</v>
      </c>
      <c r="H1771" s="5">
        <v>24.8</v>
      </c>
      <c r="I1771" s="5">
        <v>2827.52</v>
      </c>
      <c r="J1771" s="3" t="s">
        <v>32</v>
      </c>
      <c r="K1771" s="3" t="s">
        <v>72</v>
      </c>
      <c r="L1771" t="str">
        <f>IFERROR(VLOOKUP(D1771,Products!$A$2:$F$61,3,FALSE()),"")</f>
        <v>Sports</v>
      </c>
      <c r="M1771" t="str">
        <f>IFERROR(VLOOKUP(E1771,Sales_Reps!$A$2:$C$31,3,FALSE()),"")</f>
        <v>South</v>
      </c>
      <c r="N1771">
        <f>IFERROR(VLOOKUP(D1771,Products!$A$2:$F$61,4,FALSE()),"")</f>
        <v>302</v>
      </c>
      <c r="O1771" t="str">
        <f>IFERROR(VLOOKUP(C1771,Customers!$A$2:$F$301,5,FALSE()),"")</f>
        <v>Retail</v>
      </c>
      <c r="P1771">
        <f>IFERROR(VLOOKUP(C1771,Customers!$A$2:$F$301,3,FALSE()),"")</f>
        <v>26</v>
      </c>
      <c r="Q1771">
        <f t="shared" si="81"/>
        <v>0.35744680851063831</v>
      </c>
      <c r="R1771">
        <f>IF(AND(COUNTIF($A$2:$A$2027,A1771)&gt;1,COUNTIF($A$2:A1771,A1771)=1),1,0)</f>
        <v>0</v>
      </c>
      <c r="S1771" t="b">
        <f>IFERROR(VLOOKUP(D1771,Products!$A$2:$F$61,6,FALSE()),"")</f>
        <v>0</v>
      </c>
      <c r="T1771" t="str">
        <f>IF(COUNTIF(Customers!$A$2:$A$301,C1771)=0,"Missing","OK")</f>
        <v>OK</v>
      </c>
      <c r="U1771" t="str">
        <f t="shared" si="82"/>
        <v>Hyderabad</v>
      </c>
      <c r="V1771">
        <f t="shared" si="83"/>
        <v>0</v>
      </c>
    </row>
    <row r="1772" spans="1:22" ht="15" customHeight="1" x14ac:dyDescent="0.35">
      <c r="A1772" s="3" t="s">
        <v>2208</v>
      </c>
      <c r="B1772" s="4">
        <v>45633</v>
      </c>
      <c r="C1772" s="3" t="s">
        <v>541</v>
      </c>
      <c r="D1772" s="3" t="s">
        <v>36</v>
      </c>
      <c r="E1772" s="3" t="s">
        <v>282</v>
      </c>
      <c r="F1772" s="5">
        <v>3</v>
      </c>
      <c r="G1772" s="5">
        <v>470</v>
      </c>
      <c r="H1772" s="5">
        <v>18.600000000000001</v>
      </c>
      <c r="I1772" s="5">
        <v>1147.74</v>
      </c>
      <c r="J1772" s="3" t="s">
        <v>26</v>
      </c>
      <c r="K1772" s="3" t="s">
        <v>33</v>
      </c>
      <c r="L1772" t="str">
        <f>IFERROR(VLOOKUP(D1772,Products!$A$2:$F$61,3,FALSE()),"")</f>
        <v>Sports</v>
      </c>
      <c r="M1772" t="str">
        <f>IFERROR(VLOOKUP(E1772,Sales_Reps!$A$2:$C$31,3,FALSE()),"")</f>
        <v>West</v>
      </c>
      <c r="N1772">
        <f>IFERROR(VLOOKUP(D1772,Products!$A$2:$F$61,4,FALSE()),"")</f>
        <v>302</v>
      </c>
      <c r="O1772" t="str">
        <f>IFERROR(VLOOKUP(C1772,Customers!$A$2:$F$301,5,FALSE()),"")</f>
        <v>Retail</v>
      </c>
      <c r="P1772">
        <f>IFERROR(VLOOKUP(C1772,Customers!$A$2:$F$301,3,FALSE()),"")</f>
        <v>61</v>
      </c>
      <c r="Q1772">
        <f t="shared" si="81"/>
        <v>0.35744680851063831</v>
      </c>
      <c r="R1772">
        <f>IF(AND(COUNTIF($A$2:$A$2027,A1772)&gt;1,COUNTIF($A$2:A1772,A1772)=1),1,0)</f>
        <v>0</v>
      </c>
      <c r="S1772" t="b">
        <f>IFERROR(VLOOKUP(D1772,Products!$A$2:$F$61,6,FALSE()),"")</f>
        <v>0</v>
      </c>
      <c r="T1772" t="str">
        <f>IF(COUNTIF(Customers!$A$2:$A$301,C1772)=0,"Missing","OK")</f>
        <v>OK</v>
      </c>
      <c r="U1772" t="str">
        <f t="shared" si="82"/>
        <v>Chennai</v>
      </c>
      <c r="V1772">
        <f t="shared" si="83"/>
        <v>0</v>
      </c>
    </row>
    <row r="1773" spans="1:22" ht="15" customHeight="1" x14ac:dyDescent="0.35">
      <c r="A1773" s="3" t="s">
        <v>2209</v>
      </c>
      <c r="B1773" s="4">
        <v>45580</v>
      </c>
      <c r="C1773" s="3" t="s">
        <v>446</v>
      </c>
      <c r="D1773" s="3" t="s">
        <v>49</v>
      </c>
      <c r="E1773" s="3" t="s">
        <v>67</v>
      </c>
      <c r="F1773" s="5">
        <v>2</v>
      </c>
      <c r="G1773" s="5">
        <v>370</v>
      </c>
      <c r="H1773" s="5">
        <v>24</v>
      </c>
      <c r="I1773" s="5">
        <v>562.4</v>
      </c>
      <c r="J1773" s="3" t="s">
        <v>26</v>
      </c>
      <c r="K1773" s="3" t="s">
        <v>27</v>
      </c>
      <c r="L1773" t="str">
        <f>IFERROR(VLOOKUP(D1773,Products!$A$2:$F$61,3,FALSE()),"")</f>
        <v>Home</v>
      </c>
      <c r="M1773" t="str">
        <f>IFERROR(VLOOKUP(E1773,Sales_Reps!$A$2:$C$31,3,FALSE()),"")</f>
        <v>West</v>
      </c>
      <c r="N1773">
        <f>IFERROR(VLOOKUP(D1773,Products!$A$2:$F$61,4,FALSE()),"")</f>
        <v>288</v>
      </c>
      <c r="O1773" t="str">
        <f>IFERROR(VLOOKUP(C1773,Customers!$A$2:$F$301,5,FALSE()),"")</f>
        <v>Retail</v>
      </c>
      <c r="P1773">
        <f>IFERROR(VLOOKUP(C1773,Customers!$A$2:$F$301,3,FALSE()),"")</f>
        <v>59</v>
      </c>
      <c r="Q1773">
        <f t="shared" si="81"/>
        <v>0.22162162162162163</v>
      </c>
      <c r="R1773">
        <f>IF(AND(COUNTIF($A$2:$A$2027,A1773)&gt;1,COUNTIF($A$2:A1773,A1773)=1),1,0)</f>
        <v>0</v>
      </c>
      <c r="S1773" t="b">
        <f>IFERROR(VLOOKUP(D1773,Products!$A$2:$F$61,6,FALSE()),"")</f>
        <v>1</v>
      </c>
      <c r="T1773" t="str">
        <f>IF(COUNTIF(Customers!$A$2:$A$301,C1773)=0,"Missing","OK")</f>
        <v>OK</v>
      </c>
      <c r="U1773" t="str">
        <f t="shared" si="82"/>
        <v>Pune</v>
      </c>
      <c r="V1773">
        <f t="shared" si="83"/>
        <v>0</v>
      </c>
    </row>
    <row r="1774" spans="1:22" ht="15" customHeight="1" x14ac:dyDescent="0.35">
      <c r="A1774" s="3" t="s">
        <v>2210</v>
      </c>
      <c r="B1774" s="4">
        <v>45329</v>
      </c>
      <c r="C1774" s="3" t="s">
        <v>1173</v>
      </c>
      <c r="D1774" s="3" t="s">
        <v>277</v>
      </c>
      <c r="E1774" s="3" t="s">
        <v>154</v>
      </c>
      <c r="F1774" s="5">
        <v>6</v>
      </c>
      <c r="G1774" s="5">
        <v>2210</v>
      </c>
      <c r="H1774" s="5">
        <v>28.3</v>
      </c>
      <c r="I1774" s="5">
        <v>9507.42</v>
      </c>
      <c r="J1774" s="3" t="s">
        <v>79</v>
      </c>
      <c r="K1774" s="3" t="s">
        <v>51</v>
      </c>
      <c r="L1774" t="str">
        <f>IFERROR(VLOOKUP(D1774,Products!$A$2:$F$61,3,FALSE()),"")</f>
        <v>Grocery</v>
      </c>
      <c r="M1774" t="str">
        <f>IFERROR(VLOOKUP(E1774,Sales_Reps!$A$2:$C$31,3,FALSE()),"")</f>
        <v>North</v>
      </c>
      <c r="N1774">
        <f>IFERROR(VLOOKUP(D1774,Products!$A$2:$F$61,4,FALSE()),"")</f>
        <v>1010</v>
      </c>
      <c r="O1774" t="str">
        <f>IFERROR(VLOOKUP(C1774,Customers!$A$2:$F$301,5,FALSE()),"")</f>
        <v>Retail</v>
      </c>
      <c r="P1774">
        <f>IFERROR(VLOOKUP(C1774,Customers!$A$2:$F$301,3,FALSE()),"")</f>
        <v>29</v>
      </c>
      <c r="Q1774">
        <f t="shared" si="81"/>
        <v>0.54298642533936647</v>
      </c>
      <c r="R1774">
        <f>IF(AND(COUNTIF($A$2:$A$2027,A1774)&gt;1,COUNTIF($A$2:A1774,A1774)=1),1,0)</f>
        <v>0</v>
      </c>
      <c r="S1774" t="b">
        <f>IFERROR(VLOOKUP(D1774,Products!$A$2:$F$61,6,FALSE()),"")</f>
        <v>1</v>
      </c>
      <c r="T1774" t="str">
        <f>IF(COUNTIF(Customers!$A$2:$A$301,C1774)=0,"Missing","OK")</f>
        <v>OK</v>
      </c>
      <c r="U1774" t="str">
        <f t="shared" si="82"/>
        <v>Mumbai</v>
      </c>
      <c r="V1774">
        <f t="shared" si="83"/>
        <v>0</v>
      </c>
    </row>
    <row r="1775" spans="1:22" ht="15" customHeight="1" x14ac:dyDescent="0.35">
      <c r="A1775" s="3" t="s">
        <v>2211</v>
      </c>
      <c r="B1775" s="4">
        <v>45549</v>
      </c>
      <c r="C1775" s="3" t="s">
        <v>500</v>
      </c>
      <c r="D1775" s="3" t="s">
        <v>454</v>
      </c>
      <c r="E1775" s="3" t="s">
        <v>236</v>
      </c>
      <c r="F1775" s="5">
        <v>3</v>
      </c>
      <c r="G1775" s="5">
        <v>6940</v>
      </c>
      <c r="H1775" s="5">
        <v>27.2</v>
      </c>
      <c r="I1775" s="5">
        <v>15156.96</v>
      </c>
      <c r="J1775" s="3" t="s">
        <v>83</v>
      </c>
      <c r="K1775" s="3" t="s">
        <v>72</v>
      </c>
      <c r="L1775" t="str">
        <f>IFERROR(VLOOKUP(D1775,Products!$A$2:$F$61,3,FALSE()),"")</f>
        <v>Sports</v>
      </c>
      <c r="M1775" t="str">
        <f>IFERROR(VLOOKUP(E1775,Sales_Reps!$A$2:$C$31,3,FALSE()),"")</f>
        <v>North</v>
      </c>
      <c r="N1775">
        <f>IFERROR(VLOOKUP(D1775,Products!$A$2:$F$61,4,FALSE()),"")</f>
        <v>2827</v>
      </c>
      <c r="O1775" t="str">
        <f>IFERROR(VLOOKUP(C1775,Customers!$A$2:$F$301,5,FALSE()),"")</f>
        <v>SMB</v>
      </c>
      <c r="P1775">
        <f>IFERROR(VLOOKUP(C1775,Customers!$A$2:$F$301,3,FALSE()),"")</f>
        <v>43</v>
      </c>
      <c r="Q1775">
        <f t="shared" si="81"/>
        <v>0.5926512968299712</v>
      </c>
      <c r="R1775">
        <f>IF(AND(COUNTIF($A$2:$A$2027,A1775)&gt;1,COUNTIF($A$2:A1775,A1775)=1),1,0)</f>
        <v>0</v>
      </c>
      <c r="S1775" t="b">
        <f>IFERROR(VLOOKUP(D1775,Products!$A$2:$F$61,6,FALSE()),"")</f>
        <v>1</v>
      </c>
      <c r="T1775" t="str">
        <f>IF(COUNTIF(Customers!$A$2:$A$301,C1775)=0,"Missing","OK")</f>
        <v>OK</v>
      </c>
      <c r="U1775" t="str">
        <f t="shared" si="82"/>
        <v>Hyderabad</v>
      </c>
      <c r="V1775">
        <f t="shared" si="83"/>
        <v>0</v>
      </c>
    </row>
    <row r="1776" spans="1:22" ht="15" customHeight="1" x14ac:dyDescent="0.35">
      <c r="A1776" s="3" t="s">
        <v>2212</v>
      </c>
      <c r="B1776" s="4">
        <v>45423</v>
      </c>
      <c r="C1776" s="3" t="s">
        <v>884</v>
      </c>
      <c r="D1776" s="3" t="s">
        <v>234</v>
      </c>
      <c r="E1776" s="3" t="s">
        <v>242</v>
      </c>
      <c r="F1776" s="5">
        <v>10</v>
      </c>
      <c r="G1776" s="5">
        <v>2030</v>
      </c>
      <c r="H1776" s="5">
        <v>25.6</v>
      </c>
      <c r="I1776" s="5">
        <v>15103.2</v>
      </c>
      <c r="J1776" s="3" t="s">
        <v>26</v>
      </c>
      <c r="K1776" s="3" t="s">
        <v>27</v>
      </c>
      <c r="L1776" t="str">
        <f>IFERROR(VLOOKUP(D1776,Products!$A$2:$F$61,3,FALSE()),"")</f>
        <v>Home</v>
      </c>
      <c r="M1776" t="str">
        <f>IFERROR(VLOOKUP(E1776,Sales_Reps!$A$2:$C$31,3,FALSE()),"")</f>
        <v>East</v>
      </c>
      <c r="N1776">
        <f>IFERROR(VLOOKUP(D1776,Products!$A$2:$F$61,4,FALSE()),"")</f>
        <v>1143</v>
      </c>
      <c r="O1776" t="str">
        <f>IFERROR(VLOOKUP(C1776,Customers!$A$2:$F$301,5,FALSE()),"")</f>
        <v>Retail</v>
      </c>
      <c r="P1776">
        <f>IFERROR(VLOOKUP(C1776,Customers!$A$2:$F$301,3,FALSE()),"")</f>
        <v>54</v>
      </c>
      <c r="Q1776">
        <f t="shared" si="81"/>
        <v>0.43694581280788175</v>
      </c>
      <c r="R1776">
        <f>IF(AND(COUNTIF($A$2:$A$2027,A1776)&gt;1,COUNTIF($A$2:A1776,A1776)=1),1,0)</f>
        <v>0</v>
      </c>
      <c r="S1776" t="b">
        <f>IFERROR(VLOOKUP(D1776,Products!$A$2:$F$61,6,FALSE()),"")</f>
        <v>1</v>
      </c>
      <c r="T1776" t="str">
        <f>IF(COUNTIF(Customers!$A$2:$A$301,C1776)=0,"Missing","OK")</f>
        <v>OK</v>
      </c>
      <c r="U1776" t="str">
        <f t="shared" si="82"/>
        <v>Pune</v>
      </c>
      <c r="V1776">
        <f t="shared" si="83"/>
        <v>0</v>
      </c>
    </row>
    <row r="1777" spans="1:22" ht="15" customHeight="1" x14ac:dyDescent="0.35">
      <c r="A1777" s="3" t="s">
        <v>2213</v>
      </c>
      <c r="B1777" s="4">
        <v>45533</v>
      </c>
      <c r="C1777" s="3" t="s">
        <v>884</v>
      </c>
      <c r="D1777" s="3" t="s">
        <v>121</v>
      </c>
      <c r="E1777" s="3" t="s">
        <v>177</v>
      </c>
      <c r="F1777" s="5">
        <v>9</v>
      </c>
      <c r="G1777" s="5">
        <v>1010</v>
      </c>
      <c r="H1777" s="5">
        <v>9.3000000000000007</v>
      </c>
      <c r="I1777" s="5">
        <v>8244.6299999999992</v>
      </c>
      <c r="J1777" s="3" t="s">
        <v>26</v>
      </c>
      <c r="K1777" s="3" t="s">
        <v>27</v>
      </c>
      <c r="L1777" t="str">
        <f>IFERROR(VLOOKUP(D1777,Products!$A$2:$F$61,3,FALSE()),"")</f>
        <v>Sports</v>
      </c>
      <c r="M1777" t="str">
        <f>IFERROR(VLOOKUP(E1777,Sales_Reps!$A$2:$C$31,3,FALSE()),"")</f>
        <v>East</v>
      </c>
      <c r="N1777">
        <f>IFERROR(VLOOKUP(D1777,Products!$A$2:$F$61,4,FALSE()),"")</f>
        <v>516</v>
      </c>
      <c r="O1777" t="str">
        <f>IFERROR(VLOOKUP(C1777,Customers!$A$2:$F$301,5,FALSE()),"")</f>
        <v>Retail</v>
      </c>
      <c r="P1777">
        <f>IFERROR(VLOOKUP(C1777,Customers!$A$2:$F$301,3,FALSE()),"")</f>
        <v>54</v>
      </c>
      <c r="Q1777">
        <f t="shared" si="81"/>
        <v>0.4891089108910891</v>
      </c>
      <c r="R1777">
        <f>IF(AND(COUNTIF($A$2:$A$2027,A1777)&gt;1,COUNTIF($A$2:A1777,A1777)=1),1,0)</f>
        <v>0</v>
      </c>
      <c r="S1777" t="b">
        <f>IFERROR(VLOOKUP(D1777,Products!$A$2:$F$61,6,FALSE()),"")</f>
        <v>1</v>
      </c>
      <c r="T1777" t="str">
        <f>IF(COUNTIF(Customers!$A$2:$A$301,C1777)=0,"Missing","OK")</f>
        <v>OK</v>
      </c>
      <c r="U1777" t="str">
        <f t="shared" si="82"/>
        <v>Pune</v>
      </c>
      <c r="V1777">
        <f t="shared" si="83"/>
        <v>0</v>
      </c>
    </row>
    <row r="1778" spans="1:22" ht="15" customHeight="1" x14ac:dyDescent="0.35">
      <c r="A1778" s="3" t="s">
        <v>2214</v>
      </c>
      <c r="B1778" s="4">
        <v>45571</v>
      </c>
      <c r="C1778" s="3" t="s">
        <v>267</v>
      </c>
      <c r="D1778" s="3" t="s">
        <v>294</v>
      </c>
      <c r="E1778" s="3" t="s">
        <v>236</v>
      </c>
      <c r="F1778" s="5">
        <v>5</v>
      </c>
      <c r="G1778" s="5">
        <v>2510</v>
      </c>
      <c r="H1778" s="5">
        <v>22.2</v>
      </c>
      <c r="I1778" s="5">
        <v>9763.9</v>
      </c>
      <c r="J1778" s="3" t="s">
        <v>26</v>
      </c>
      <c r="K1778" s="3" t="s">
        <v>33</v>
      </c>
      <c r="L1778" t="str">
        <f>IFERROR(VLOOKUP(D1778,Products!$A$2:$F$61,3,FALSE()),"")</f>
        <v>Apparel</v>
      </c>
      <c r="M1778" t="str">
        <f>IFERROR(VLOOKUP(E1778,Sales_Reps!$A$2:$C$31,3,FALSE()),"")</f>
        <v>North</v>
      </c>
      <c r="N1778">
        <f>IFERROR(VLOOKUP(D1778,Products!$A$2:$F$61,4,FALSE()),"")</f>
        <v>1075</v>
      </c>
      <c r="O1778" t="str">
        <f>IFERROR(VLOOKUP(C1778,Customers!$A$2:$F$301,5,FALSE()),"")</f>
        <v>Retail</v>
      </c>
      <c r="P1778">
        <f>IFERROR(VLOOKUP(C1778,Customers!$A$2:$F$301,3,FALSE()),"")</f>
        <v>28</v>
      </c>
      <c r="Q1778">
        <f t="shared" si="81"/>
        <v>0.57171314741035861</v>
      </c>
      <c r="R1778">
        <f>IF(AND(COUNTIF($A$2:$A$2027,A1778)&gt;1,COUNTIF($A$2:A1778,A1778)=1),1,0)</f>
        <v>0</v>
      </c>
      <c r="S1778" t="b">
        <f>IFERROR(VLOOKUP(D1778,Products!$A$2:$F$61,6,FALSE()),"")</f>
        <v>0</v>
      </c>
      <c r="T1778" t="str">
        <f>IF(COUNTIF(Customers!$A$2:$A$301,C1778)=0,"Missing","OK")</f>
        <v>OK</v>
      </c>
      <c r="U1778" t="str">
        <f t="shared" si="82"/>
        <v>Chennai</v>
      </c>
      <c r="V1778">
        <f t="shared" si="83"/>
        <v>0</v>
      </c>
    </row>
    <row r="1779" spans="1:22" ht="15" customHeight="1" x14ac:dyDescent="0.35">
      <c r="A1779" s="3" t="s">
        <v>2215</v>
      </c>
      <c r="B1779" s="4">
        <v>45441</v>
      </c>
      <c r="C1779" s="3" t="s">
        <v>698</v>
      </c>
      <c r="D1779" s="3" t="s">
        <v>49</v>
      </c>
      <c r="E1779" s="3" t="s">
        <v>236</v>
      </c>
      <c r="F1779" s="5">
        <v>10</v>
      </c>
      <c r="G1779" s="5">
        <v>370</v>
      </c>
      <c r="H1779" s="5">
        <v>29</v>
      </c>
      <c r="I1779" s="5">
        <v>2627</v>
      </c>
      <c r="J1779" s="3" t="s">
        <v>26</v>
      </c>
      <c r="K1779" s="3" t="s">
        <v>56</v>
      </c>
      <c r="L1779" t="str">
        <f>IFERROR(VLOOKUP(D1779,Products!$A$2:$F$61,3,FALSE()),"")</f>
        <v>Home</v>
      </c>
      <c r="M1779" t="str">
        <f>IFERROR(VLOOKUP(E1779,Sales_Reps!$A$2:$C$31,3,FALSE()),"")</f>
        <v>North</v>
      </c>
      <c r="N1779">
        <f>IFERROR(VLOOKUP(D1779,Products!$A$2:$F$61,4,FALSE()),"")</f>
        <v>288</v>
      </c>
      <c r="O1779" t="str">
        <f>IFERROR(VLOOKUP(C1779,Customers!$A$2:$F$301,5,FALSE()),"")</f>
        <v>Retail</v>
      </c>
      <c r="P1779">
        <f>IFERROR(VLOOKUP(C1779,Customers!$A$2:$F$301,3,FALSE()),"")</f>
        <v>29</v>
      </c>
      <c r="Q1779">
        <f t="shared" si="81"/>
        <v>0.22162162162162163</v>
      </c>
      <c r="R1779">
        <f>IF(AND(COUNTIF($A$2:$A$2027,A1779)&gt;1,COUNTIF($A$2:A1779,A1779)=1),1,0)</f>
        <v>0</v>
      </c>
      <c r="S1779" t="b">
        <f>IFERROR(VLOOKUP(D1779,Products!$A$2:$F$61,6,FALSE()),"")</f>
        <v>1</v>
      </c>
      <c r="T1779" t="str">
        <f>IF(COUNTIF(Customers!$A$2:$A$301,C1779)=0,"Missing","OK")</f>
        <v>OK</v>
      </c>
      <c r="U1779" t="str">
        <f t="shared" si="82"/>
        <v>Bengaluru</v>
      </c>
      <c r="V1779">
        <f t="shared" si="83"/>
        <v>0</v>
      </c>
    </row>
    <row r="1780" spans="1:22" ht="15" customHeight="1" x14ac:dyDescent="0.35">
      <c r="A1780" s="3" t="s">
        <v>2216</v>
      </c>
      <c r="B1780" s="4">
        <v>45403</v>
      </c>
      <c r="C1780" s="3" t="s">
        <v>483</v>
      </c>
      <c r="D1780" s="3" t="s">
        <v>106</v>
      </c>
      <c r="E1780" s="3" t="s">
        <v>97</v>
      </c>
      <c r="F1780" s="5">
        <v>3</v>
      </c>
      <c r="G1780" s="5">
        <v>2480</v>
      </c>
      <c r="H1780" s="5">
        <v>9.6</v>
      </c>
      <c r="I1780" s="5">
        <v>6725.76</v>
      </c>
      <c r="J1780" s="3" t="s">
        <v>26</v>
      </c>
      <c r="K1780" s="3" t="s">
        <v>72</v>
      </c>
      <c r="L1780" t="str">
        <f>IFERROR(VLOOKUP(D1780,Products!$A$2:$F$61,3,FALSE()),"")</f>
        <v>Apparel</v>
      </c>
      <c r="M1780" t="str">
        <f>IFERROR(VLOOKUP(E1780,Sales_Reps!$A$2:$C$31,3,FALSE()),"")</f>
        <v>East</v>
      </c>
      <c r="N1780">
        <f>IFERROR(VLOOKUP(D1780,Products!$A$2:$F$61,4,FALSE()),"")</f>
        <v>1173</v>
      </c>
      <c r="O1780" t="str">
        <f>IFERROR(VLOOKUP(C1780,Customers!$A$2:$F$301,5,FALSE()),"")</f>
        <v>Retail</v>
      </c>
      <c r="P1780">
        <f>IFERROR(VLOOKUP(C1780,Customers!$A$2:$F$301,3,FALSE()),"")</f>
        <v>25</v>
      </c>
      <c r="Q1780">
        <f t="shared" si="81"/>
        <v>0.52701612903225803</v>
      </c>
      <c r="R1780">
        <f>IF(AND(COUNTIF($A$2:$A$2027,A1780)&gt;1,COUNTIF($A$2:A1780,A1780)=1),1,0)</f>
        <v>0</v>
      </c>
      <c r="S1780" t="b">
        <f>IFERROR(VLOOKUP(D1780,Products!$A$2:$F$61,6,FALSE()),"")</f>
        <v>1</v>
      </c>
      <c r="T1780" t="str">
        <f>IF(COUNTIF(Customers!$A$2:$A$301,C1780)=0,"Missing","OK")</f>
        <v>OK</v>
      </c>
      <c r="U1780" t="str">
        <f t="shared" si="82"/>
        <v>Hyderabad</v>
      </c>
      <c r="V1780">
        <f t="shared" si="83"/>
        <v>0</v>
      </c>
    </row>
    <row r="1781" spans="1:22" ht="15" customHeight="1" x14ac:dyDescent="0.35">
      <c r="A1781" s="3" t="s">
        <v>2217</v>
      </c>
      <c r="B1781" s="4">
        <v>45644</v>
      </c>
      <c r="C1781" s="3" t="s">
        <v>734</v>
      </c>
      <c r="D1781" s="3" t="s">
        <v>74</v>
      </c>
      <c r="E1781" s="3" t="s">
        <v>177</v>
      </c>
      <c r="F1781" s="5">
        <v>3</v>
      </c>
      <c r="G1781" s="5">
        <v>2640</v>
      </c>
      <c r="H1781" s="5">
        <v>10.199999999999999</v>
      </c>
      <c r="I1781" s="5">
        <v>7112.16</v>
      </c>
      <c r="J1781" s="3" t="s">
        <v>79</v>
      </c>
      <c r="K1781" s="3" t="s">
        <v>33</v>
      </c>
      <c r="L1781" t="str">
        <f>IFERROR(VLOOKUP(D1781,Products!$A$2:$F$61,3,FALSE()),"")</f>
        <v>Electronics</v>
      </c>
      <c r="M1781" t="str">
        <f>IFERROR(VLOOKUP(E1781,Sales_Reps!$A$2:$C$31,3,FALSE()),"")</f>
        <v>East</v>
      </c>
      <c r="N1781">
        <f>IFERROR(VLOOKUP(D1781,Products!$A$2:$F$61,4,FALSE()),"")</f>
        <v>1149</v>
      </c>
      <c r="O1781" t="str">
        <f>IFERROR(VLOOKUP(C1781,Customers!$A$2:$F$301,5,FALSE()),"")</f>
        <v>Retail</v>
      </c>
      <c r="P1781">
        <f>IFERROR(VLOOKUP(C1781,Customers!$A$2:$F$301,3,FALSE()),"")</f>
        <v>22</v>
      </c>
      <c r="Q1781">
        <f t="shared" si="81"/>
        <v>0.56477272727272732</v>
      </c>
      <c r="R1781">
        <f>IF(AND(COUNTIF($A$2:$A$2027,A1781)&gt;1,COUNTIF($A$2:A1781,A1781)=1),1,0)</f>
        <v>0</v>
      </c>
      <c r="S1781" t="b">
        <f>IFERROR(VLOOKUP(D1781,Products!$A$2:$F$61,6,FALSE()),"")</f>
        <v>1</v>
      </c>
      <c r="T1781" t="str">
        <f>IF(COUNTIF(Customers!$A$2:$A$301,C1781)=0,"Missing","OK")</f>
        <v>OK</v>
      </c>
      <c r="U1781" t="str">
        <f t="shared" si="82"/>
        <v>Chennai</v>
      </c>
      <c r="V1781">
        <f t="shared" si="83"/>
        <v>0</v>
      </c>
    </row>
    <row r="1782" spans="1:22" ht="15" customHeight="1" x14ac:dyDescent="0.35">
      <c r="A1782" s="3" t="s">
        <v>2218</v>
      </c>
      <c r="B1782" s="4">
        <v>45504</v>
      </c>
      <c r="C1782" s="3" t="s">
        <v>1438</v>
      </c>
      <c r="D1782" s="3" t="s">
        <v>441</v>
      </c>
      <c r="E1782" s="3" t="s">
        <v>131</v>
      </c>
      <c r="F1782" s="5">
        <v>1</v>
      </c>
      <c r="G1782" s="5">
        <v>1090</v>
      </c>
      <c r="H1782" s="5">
        <v>21.6</v>
      </c>
      <c r="I1782" s="5">
        <v>854.56</v>
      </c>
      <c r="J1782" s="3" t="s">
        <v>79</v>
      </c>
      <c r="K1782" s="3" t="s">
        <v>33</v>
      </c>
      <c r="L1782" t="str">
        <f>IFERROR(VLOOKUP(D1782,Products!$A$2:$F$61,3,FALSE()),"")</f>
        <v>Home</v>
      </c>
      <c r="M1782" t="str">
        <f>IFERROR(VLOOKUP(E1782,Sales_Reps!$A$2:$C$31,3,FALSE()),"")</f>
        <v>East</v>
      </c>
      <c r="N1782">
        <f>IFERROR(VLOOKUP(D1782,Products!$A$2:$F$61,4,FALSE()),"")</f>
        <v>464</v>
      </c>
      <c r="O1782" t="str">
        <f>IFERROR(VLOOKUP(C1782,Customers!$A$2:$F$301,5,FALSE()),"")</f>
        <v>Retail</v>
      </c>
      <c r="P1782">
        <f>IFERROR(VLOOKUP(C1782,Customers!$A$2:$F$301,3,FALSE()),"")</f>
        <v>26</v>
      </c>
      <c r="Q1782">
        <f t="shared" si="81"/>
        <v>0.57431192660550456</v>
      </c>
      <c r="R1782">
        <f>IF(AND(COUNTIF($A$2:$A$2027,A1782)&gt;1,COUNTIF($A$2:A1782,A1782)=1),1,0)</f>
        <v>0</v>
      </c>
      <c r="S1782" t="b">
        <f>IFERROR(VLOOKUP(D1782,Products!$A$2:$F$61,6,FALSE()),"")</f>
        <v>1</v>
      </c>
      <c r="T1782" t="str">
        <f>IF(COUNTIF(Customers!$A$2:$A$301,C1782)=0,"Missing","OK")</f>
        <v>OK</v>
      </c>
      <c r="U1782" t="str">
        <f t="shared" si="82"/>
        <v>Chennai</v>
      </c>
      <c r="V1782">
        <f t="shared" si="83"/>
        <v>0</v>
      </c>
    </row>
    <row r="1783" spans="1:22" ht="15" customHeight="1" x14ac:dyDescent="0.35">
      <c r="A1783" s="3" t="s">
        <v>2219</v>
      </c>
      <c r="B1783" s="4">
        <v>45606</v>
      </c>
      <c r="C1783" s="3" t="s">
        <v>1289</v>
      </c>
      <c r="D1783" s="3" t="s">
        <v>118</v>
      </c>
      <c r="E1783" s="3" t="s">
        <v>236</v>
      </c>
      <c r="F1783" s="5">
        <v>10</v>
      </c>
      <c r="G1783" s="5">
        <v>3350</v>
      </c>
      <c r="H1783" s="5">
        <v>12.1</v>
      </c>
      <c r="I1783" s="5">
        <v>29446.5</v>
      </c>
      <c r="J1783" s="3" t="s">
        <v>26</v>
      </c>
      <c r="K1783" s="3" t="s">
        <v>51</v>
      </c>
      <c r="L1783" t="str">
        <f>IFERROR(VLOOKUP(D1783,Products!$A$2:$F$61,3,FALSE()),"")</f>
        <v>Beauty</v>
      </c>
      <c r="M1783" t="str">
        <f>IFERROR(VLOOKUP(E1783,Sales_Reps!$A$2:$C$31,3,FALSE()),"")</f>
        <v>North</v>
      </c>
      <c r="N1783">
        <f>IFERROR(VLOOKUP(D1783,Products!$A$2:$F$61,4,FALSE()),"")</f>
        <v>1728</v>
      </c>
      <c r="O1783" t="str">
        <f>IFERROR(VLOOKUP(C1783,Customers!$A$2:$F$301,5,FALSE()),"")</f>
        <v>Retail</v>
      </c>
      <c r="P1783">
        <f>IFERROR(VLOOKUP(C1783,Customers!$A$2:$F$301,3,FALSE()),"")</f>
        <v>38</v>
      </c>
      <c r="Q1783">
        <f t="shared" si="81"/>
        <v>0.48417910447761192</v>
      </c>
      <c r="R1783">
        <f>IF(AND(COUNTIF($A$2:$A$2027,A1783)&gt;1,COUNTIF($A$2:A1783,A1783)=1),1,0)</f>
        <v>0</v>
      </c>
      <c r="S1783" t="b">
        <f>IFERROR(VLOOKUP(D1783,Products!$A$2:$F$61,6,FALSE()),"")</f>
        <v>1</v>
      </c>
      <c r="T1783" t="str">
        <f>IF(COUNTIF(Customers!$A$2:$A$301,C1783)=0,"Missing","OK")</f>
        <v>OK</v>
      </c>
      <c r="U1783" t="str">
        <f t="shared" si="82"/>
        <v>Mumbai</v>
      </c>
      <c r="V1783">
        <f t="shared" si="83"/>
        <v>0</v>
      </c>
    </row>
    <row r="1784" spans="1:22" ht="15" customHeight="1" x14ac:dyDescent="0.35">
      <c r="A1784" s="3" t="s">
        <v>2220</v>
      </c>
      <c r="B1784" s="4">
        <v>45562</v>
      </c>
      <c r="C1784" s="3" t="s">
        <v>524</v>
      </c>
      <c r="D1784" s="3" t="s">
        <v>180</v>
      </c>
      <c r="E1784" s="3" t="s">
        <v>127</v>
      </c>
      <c r="F1784" s="5">
        <v>4</v>
      </c>
      <c r="G1784" s="5">
        <v>6080</v>
      </c>
      <c r="H1784" s="5">
        <v>26.7</v>
      </c>
      <c r="I1784" s="5">
        <v>17826.560000000001</v>
      </c>
      <c r="J1784" s="3" t="s">
        <v>79</v>
      </c>
      <c r="K1784" s="3" t="s">
        <v>33</v>
      </c>
      <c r="L1784" t="str">
        <f>IFERROR(VLOOKUP(D1784,Products!$A$2:$F$61,3,FALSE()),"")</f>
        <v>Beauty</v>
      </c>
      <c r="M1784" t="str">
        <f>IFERROR(VLOOKUP(E1784,Sales_Reps!$A$2:$C$31,3,FALSE()),"")</f>
        <v>South</v>
      </c>
      <c r="N1784">
        <f>IFERROR(VLOOKUP(D1784,Products!$A$2:$F$61,4,FALSE()),"")</f>
        <v>2617</v>
      </c>
      <c r="O1784" t="str">
        <f>IFERROR(VLOOKUP(C1784,Customers!$A$2:$F$301,5,FALSE()),"")</f>
        <v>Retail</v>
      </c>
      <c r="P1784">
        <f>IFERROR(VLOOKUP(C1784,Customers!$A$2:$F$301,3,FALSE()),"")</f>
        <v>26</v>
      </c>
      <c r="Q1784">
        <f t="shared" si="81"/>
        <v>0.56957236842105263</v>
      </c>
      <c r="R1784">
        <f>IF(AND(COUNTIF($A$2:$A$2027,A1784)&gt;1,COUNTIF($A$2:A1784,A1784)=1),1,0)</f>
        <v>0</v>
      </c>
      <c r="S1784" t="b">
        <f>IFERROR(VLOOKUP(D1784,Products!$A$2:$F$61,6,FALSE()),"")</f>
        <v>1</v>
      </c>
      <c r="T1784" t="str">
        <f>IF(COUNTIF(Customers!$A$2:$A$301,C1784)=0,"Missing","OK")</f>
        <v>OK</v>
      </c>
      <c r="U1784" t="str">
        <f t="shared" si="82"/>
        <v>Chennai</v>
      </c>
      <c r="V1784">
        <f t="shared" si="83"/>
        <v>0</v>
      </c>
    </row>
    <row r="1785" spans="1:22" ht="15" customHeight="1" x14ac:dyDescent="0.35">
      <c r="A1785" s="3" t="s">
        <v>2221</v>
      </c>
      <c r="B1785" s="4">
        <v>45372</v>
      </c>
      <c r="C1785" s="3" t="s">
        <v>636</v>
      </c>
      <c r="D1785" s="3" t="s">
        <v>319</v>
      </c>
      <c r="E1785" s="3" t="s">
        <v>236</v>
      </c>
      <c r="F1785" s="5">
        <v>3</v>
      </c>
      <c r="G1785" s="5">
        <v>960</v>
      </c>
      <c r="H1785" s="5">
        <v>13.2</v>
      </c>
      <c r="I1785" s="5">
        <v>2499.84</v>
      </c>
      <c r="J1785" s="3" t="s">
        <v>26</v>
      </c>
      <c r="K1785" s="3" t="s">
        <v>72</v>
      </c>
      <c r="L1785" t="str">
        <f>IFERROR(VLOOKUP(D1785,Products!$A$2:$F$61,3,FALSE()),"")</f>
        <v>Beauty</v>
      </c>
      <c r="M1785" t="str">
        <f>IFERROR(VLOOKUP(E1785,Sales_Reps!$A$2:$C$31,3,FALSE()),"")</f>
        <v>North</v>
      </c>
      <c r="N1785">
        <f>IFERROR(VLOOKUP(D1785,Products!$A$2:$F$61,4,FALSE()),"")</f>
        <v>675</v>
      </c>
      <c r="O1785" t="str">
        <f>IFERROR(VLOOKUP(C1785,Customers!$A$2:$F$301,5,FALSE()),"")</f>
        <v>Retail</v>
      </c>
      <c r="P1785">
        <f>IFERROR(VLOOKUP(C1785,Customers!$A$2:$F$301,3,FALSE()),"")</f>
        <v>65</v>
      </c>
      <c r="Q1785">
        <f t="shared" si="81"/>
        <v>0.296875</v>
      </c>
      <c r="R1785">
        <f>IF(AND(COUNTIF($A$2:$A$2027,A1785)&gt;1,COUNTIF($A$2:A1785,A1785)=1),1,0)</f>
        <v>0</v>
      </c>
      <c r="S1785" t="b">
        <f>IFERROR(VLOOKUP(D1785,Products!$A$2:$F$61,6,FALSE()),"")</f>
        <v>1</v>
      </c>
      <c r="T1785" t="str">
        <f>IF(COUNTIF(Customers!$A$2:$A$301,C1785)=0,"Missing","OK")</f>
        <v>OK</v>
      </c>
      <c r="U1785" t="str">
        <f t="shared" si="82"/>
        <v>Hyderabad</v>
      </c>
      <c r="V1785">
        <f t="shared" si="83"/>
        <v>0</v>
      </c>
    </row>
    <row r="1786" spans="1:22" ht="15" customHeight="1" x14ac:dyDescent="0.35">
      <c r="A1786" s="3" t="s">
        <v>2222</v>
      </c>
      <c r="B1786" s="4">
        <v>45610</v>
      </c>
      <c r="C1786" s="3" t="s">
        <v>502</v>
      </c>
      <c r="D1786" s="3" t="s">
        <v>41</v>
      </c>
      <c r="E1786" s="3" t="s">
        <v>25</v>
      </c>
      <c r="F1786" s="5">
        <v>9</v>
      </c>
      <c r="G1786" s="5">
        <v>3660</v>
      </c>
      <c r="H1786" s="5">
        <v>9.3000000000000007</v>
      </c>
      <c r="I1786" s="5">
        <v>29876.58</v>
      </c>
      <c r="J1786" s="3" t="s">
        <v>79</v>
      </c>
      <c r="K1786" s="3" t="s">
        <v>27</v>
      </c>
      <c r="L1786" t="str">
        <f>IFERROR(VLOOKUP(D1786,Products!$A$2:$F$61,3,FALSE()),"")</f>
        <v>Grocery</v>
      </c>
      <c r="M1786" t="str">
        <f>IFERROR(VLOOKUP(E1786,Sales_Reps!$A$2:$C$31,3,FALSE()),"")</f>
        <v>North</v>
      </c>
      <c r="N1786">
        <f>IFERROR(VLOOKUP(D1786,Products!$A$2:$F$61,4,FALSE()),"")</f>
        <v>2214</v>
      </c>
      <c r="O1786" t="str">
        <f>IFERROR(VLOOKUP(C1786,Customers!$A$2:$F$301,5,FALSE()),"")</f>
        <v>SMB</v>
      </c>
      <c r="P1786">
        <f>IFERROR(VLOOKUP(C1786,Customers!$A$2:$F$301,3,FALSE()),"")</f>
        <v>24</v>
      </c>
      <c r="Q1786">
        <f t="shared" si="81"/>
        <v>0.39508196721311473</v>
      </c>
      <c r="R1786">
        <f>IF(AND(COUNTIF($A$2:$A$2027,A1786)&gt;1,COUNTIF($A$2:A1786,A1786)=1),1,0)</f>
        <v>0</v>
      </c>
      <c r="S1786" t="b">
        <f>IFERROR(VLOOKUP(D1786,Products!$A$2:$F$61,6,FALSE()),"")</f>
        <v>0</v>
      </c>
      <c r="T1786" t="str">
        <f>IF(COUNTIF(Customers!$A$2:$A$301,C1786)=0,"Missing","OK")</f>
        <v>OK</v>
      </c>
      <c r="U1786" t="str">
        <f t="shared" si="82"/>
        <v>Pune</v>
      </c>
      <c r="V1786">
        <f t="shared" si="83"/>
        <v>0</v>
      </c>
    </row>
    <row r="1787" spans="1:22" ht="15" customHeight="1" x14ac:dyDescent="0.35">
      <c r="A1787" s="3" t="s">
        <v>2223</v>
      </c>
      <c r="B1787" s="4">
        <v>45388</v>
      </c>
      <c r="C1787" s="3" t="s">
        <v>344</v>
      </c>
      <c r="D1787" s="3" t="s">
        <v>96</v>
      </c>
      <c r="E1787" s="3" t="s">
        <v>60</v>
      </c>
      <c r="F1787" s="5">
        <v>6</v>
      </c>
      <c r="G1787" s="5">
        <v>3450</v>
      </c>
      <c r="H1787" s="5">
        <v>8.1999999999999993</v>
      </c>
      <c r="I1787" s="5">
        <v>19002.599999999999</v>
      </c>
      <c r="J1787" s="3" t="s">
        <v>26</v>
      </c>
      <c r="K1787" s="3" t="s">
        <v>33</v>
      </c>
      <c r="L1787" t="str">
        <f>IFERROR(VLOOKUP(D1787,Products!$A$2:$F$61,3,FALSE()),"")</f>
        <v>Beauty</v>
      </c>
      <c r="M1787" t="str">
        <f>IFERROR(VLOOKUP(E1787,Sales_Reps!$A$2:$C$31,3,FALSE()),"")</f>
        <v>East</v>
      </c>
      <c r="N1787">
        <f>IFERROR(VLOOKUP(D1787,Products!$A$2:$F$61,4,FALSE()),"")</f>
        <v>2420</v>
      </c>
      <c r="O1787" t="str">
        <f>IFERROR(VLOOKUP(C1787,Customers!$A$2:$F$301,5,FALSE()),"")</f>
        <v>Corporate</v>
      </c>
      <c r="P1787">
        <f>IFERROR(VLOOKUP(C1787,Customers!$A$2:$F$301,3,FALSE()),"")</f>
        <v>24</v>
      </c>
      <c r="Q1787">
        <f t="shared" si="81"/>
        <v>0.29855072463768118</v>
      </c>
      <c r="R1787">
        <f>IF(AND(COUNTIF($A$2:$A$2027,A1787)&gt;1,COUNTIF($A$2:A1787,A1787)=1),1,0)</f>
        <v>0</v>
      </c>
      <c r="S1787" t="b">
        <f>IFERROR(VLOOKUP(D1787,Products!$A$2:$F$61,6,FALSE()),"")</f>
        <v>1</v>
      </c>
      <c r="T1787" t="str">
        <f>IF(COUNTIF(Customers!$A$2:$A$301,C1787)=0,"Missing","OK")</f>
        <v>OK</v>
      </c>
      <c r="U1787" t="str">
        <f t="shared" si="82"/>
        <v>Chennai</v>
      </c>
      <c r="V1787">
        <f t="shared" si="83"/>
        <v>0</v>
      </c>
    </row>
    <row r="1788" spans="1:22" ht="15" customHeight="1" x14ac:dyDescent="0.35">
      <c r="A1788" s="3" t="s">
        <v>2224</v>
      </c>
      <c r="B1788" s="4">
        <v>45421</v>
      </c>
      <c r="C1788" s="3" t="s">
        <v>612</v>
      </c>
      <c r="D1788" s="3" t="s">
        <v>209</v>
      </c>
      <c r="E1788" s="3" t="s">
        <v>131</v>
      </c>
      <c r="F1788" s="5">
        <v>7</v>
      </c>
      <c r="G1788" s="5">
        <v>4610</v>
      </c>
      <c r="H1788" s="5">
        <v>10.4</v>
      </c>
      <c r="I1788" s="5">
        <v>28913.919999999998</v>
      </c>
      <c r="J1788" s="3" t="s">
        <v>26</v>
      </c>
      <c r="K1788" s="3" t="s">
        <v>51</v>
      </c>
      <c r="L1788" t="str">
        <f>IFERROR(VLOOKUP(D1788,Products!$A$2:$F$61,3,FALSE()),"")</f>
        <v>Home</v>
      </c>
      <c r="M1788" t="str">
        <f>IFERROR(VLOOKUP(E1788,Sales_Reps!$A$2:$C$31,3,FALSE()),"")</f>
        <v>East</v>
      </c>
      <c r="N1788">
        <f>IFERROR(VLOOKUP(D1788,Products!$A$2:$F$61,4,FALSE()),"")</f>
        <v>1850</v>
      </c>
      <c r="O1788" t="str">
        <f>IFERROR(VLOOKUP(C1788,Customers!$A$2:$F$301,5,FALSE()),"")</f>
        <v>Retail</v>
      </c>
      <c r="P1788">
        <f>IFERROR(VLOOKUP(C1788,Customers!$A$2:$F$301,3,FALSE()),"")</f>
        <v>35</v>
      </c>
      <c r="Q1788">
        <f t="shared" si="81"/>
        <v>0.59869848156182215</v>
      </c>
      <c r="R1788">
        <f>IF(AND(COUNTIF($A$2:$A$2027,A1788)&gt;1,COUNTIF($A$2:A1788,A1788)=1),1,0)</f>
        <v>0</v>
      </c>
      <c r="S1788" t="b">
        <f>IFERROR(VLOOKUP(D1788,Products!$A$2:$F$61,6,FALSE()),"")</f>
        <v>1</v>
      </c>
      <c r="T1788" t="str">
        <f>IF(COUNTIF(Customers!$A$2:$A$301,C1788)=0,"Missing","OK")</f>
        <v>OK</v>
      </c>
      <c r="U1788" t="str">
        <f t="shared" si="82"/>
        <v>Mumbai</v>
      </c>
      <c r="V1788">
        <f t="shared" si="83"/>
        <v>0</v>
      </c>
    </row>
    <row r="1789" spans="1:22" ht="15" customHeight="1" x14ac:dyDescent="0.35">
      <c r="A1789" s="3" t="s">
        <v>2225</v>
      </c>
      <c r="B1789" s="4">
        <v>45529</v>
      </c>
      <c r="C1789" s="3" t="s">
        <v>402</v>
      </c>
      <c r="D1789" s="3" t="s">
        <v>54</v>
      </c>
      <c r="E1789" s="3" t="s">
        <v>143</v>
      </c>
      <c r="F1789" s="5">
        <v>2</v>
      </c>
      <c r="G1789" s="5">
        <v>960</v>
      </c>
      <c r="H1789" s="5">
        <v>16.5</v>
      </c>
      <c r="I1789" s="5">
        <v>1603.2</v>
      </c>
      <c r="J1789" s="3" t="s">
        <v>26</v>
      </c>
      <c r="K1789" s="3" t="s">
        <v>56</v>
      </c>
      <c r="L1789" t="str">
        <f>IFERROR(VLOOKUP(D1789,Products!$A$2:$F$61,3,FALSE()),"")</f>
        <v>Sports</v>
      </c>
      <c r="M1789" t="str">
        <f>IFERROR(VLOOKUP(E1789,Sales_Reps!$A$2:$C$31,3,FALSE()),"")</f>
        <v>South</v>
      </c>
      <c r="N1789">
        <f>IFERROR(VLOOKUP(D1789,Products!$A$2:$F$61,4,FALSE()),"")</f>
        <v>705</v>
      </c>
      <c r="O1789" t="str">
        <f>IFERROR(VLOOKUP(C1789,Customers!$A$2:$F$301,5,FALSE()),"")</f>
        <v>Retail</v>
      </c>
      <c r="P1789">
        <f>IFERROR(VLOOKUP(C1789,Customers!$A$2:$F$301,3,FALSE()),"")</f>
        <v>55</v>
      </c>
      <c r="Q1789">
        <f t="shared" si="81"/>
        <v>0.265625</v>
      </c>
      <c r="R1789">
        <f>IF(AND(COUNTIF($A$2:$A$2027,A1789)&gt;1,COUNTIF($A$2:A1789,A1789)=1),1,0)</f>
        <v>0</v>
      </c>
      <c r="S1789" t="b">
        <f>IFERROR(VLOOKUP(D1789,Products!$A$2:$F$61,6,FALSE()),"")</f>
        <v>1</v>
      </c>
      <c r="T1789" t="str">
        <f>IF(COUNTIF(Customers!$A$2:$A$301,C1789)=0,"Missing","OK")</f>
        <v>OK</v>
      </c>
      <c r="U1789" t="str">
        <f t="shared" si="82"/>
        <v>Bengaluru</v>
      </c>
      <c r="V1789">
        <f t="shared" si="83"/>
        <v>0</v>
      </c>
    </row>
    <row r="1790" spans="1:22" ht="15" customHeight="1" x14ac:dyDescent="0.35">
      <c r="A1790" s="3" t="s">
        <v>2226</v>
      </c>
      <c r="B1790" s="4">
        <v>45553</v>
      </c>
      <c r="C1790" s="3" t="s">
        <v>361</v>
      </c>
      <c r="D1790" s="3" t="s">
        <v>49</v>
      </c>
      <c r="E1790" s="3" t="s">
        <v>93</v>
      </c>
      <c r="F1790" s="5">
        <v>7</v>
      </c>
      <c r="G1790" s="5">
        <v>370</v>
      </c>
      <c r="H1790" s="5">
        <v>1.4</v>
      </c>
      <c r="I1790" s="5">
        <v>2553.7399999999998</v>
      </c>
      <c r="J1790" s="3" t="s">
        <v>83</v>
      </c>
      <c r="K1790" s="3" t="s">
        <v>33</v>
      </c>
      <c r="L1790" t="str">
        <f>IFERROR(VLOOKUP(D1790,Products!$A$2:$F$61,3,FALSE()),"")</f>
        <v>Home</v>
      </c>
      <c r="M1790" t="str">
        <f>IFERROR(VLOOKUP(E1790,Sales_Reps!$A$2:$C$31,3,FALSE()),"")</f>
        <v>East</v>
      </c>
      <c r="N1790">
        <f>IFERROR(VLOOKUP(D1790,Products!$A$2:$F$61,4,FALSE()),"")</f>
        <v>288</v>
      </c>
      <c r="O1790" t="str">
        <f>IFERROR(VLOOKUP(C1790,Customers!$A$2:$F$301,5,FALSE()),"")</f>
        <v>SMB</v>
      </c>
      <c r="P1790">
        <f>IFERROR(VLOOKUP(C1790,Customers!$A$2:$F$301,3,FALSE()),"")</f>
        <v>64</v>
      </c>
      <c r="Q1790">
        <f t="shared" si="81"/>
        <v>0.22162162162162163</v>
      </c>
      <c r="R1790">
        <f>IF(AND(COUNTIF($A$2:$A$2027,A1790)&gt;1,COUNTIF($A$2:A1790,A1790)=1),1,0)</f>
        <v>0</v>
      </c>
      <c r="S1790" t="b">
        <f>IFERROR(VLOOKUP(D1790,Products!$A$2:$F$61,6,FALSE()),"")</f>
        <v>1</v>
      </c>
      <c r="T1790" t="str">
        <f>IF(COUNTIF(Customers!$A$2:$A$301,C1790)=0,"Missing","OK")</f>
        <v>OK</v>
      </c>
      <c r="U1790" t="str">
        <f t="shared" si="82"/>
        <v>Chennai</v>
      </c>
      <c r="V1790">
        <f t="shared" si="83"/>
        <v>0</v>
      </c>
    </row>
    <row r="1791" spans="1:22" ht="15" customHeight="1" x14ac:dyDescent="0.35">
      <c r="A1791" s="3" t="s">
        <v>2227</v>
      </c>
      <c r="B1791" s="4">
        <v>45535</v>
      </c>
      <c r="C1791" s="3" t="s">
        <v>560</v>
      </c>
      <c r="D1791" s="3" t="s">
        <v>70</v>
      </c>
      <c r="E1791" s="3" t="s">
        <v>78</v>
      </c>
      <c r="F1791" s="5">
        <v>3</v>
      </c>
      <c r="G1791" s="5">
        <v>2270</v>
      </c>
      <c r="H1791" s="5">
        <v>12.6</v>
      </c>
      <c r="I1791" s="5">
        <v>5951.94</v>
      </c>
      <c r="J1791" s="3" t="s">
        <v>26</v>
      </c>
      <c r="K1791" s="3" t="s">
        <v>33</v>
      </c>
      <c r="L1791" t="str">
        <f>IFERROR(VLOOKUP(D1791,Products!$A$2:$F$61,3,FALSE()),"")</f>
        <v>Grocery</v>
      </c>
      <c r="M1791" t="str">
        <f>IFERROR(VLOOKUP(E1791,Sales_Reps!$A$2:$C$31,3,FALSE()),"")</f>
        <v>North</v>
      </c>
      <c r="N1791">
        <f>IFERROR(VLOOKUP(D1791,Products!$A$2:$F$61,4,FALSE()),"")</f>
        <v>1203</v>
      </c>
      <c r="O1791" t="str">
        <f>IFERROR(VLOOKUP(C1791,Customers!$A$2:$F$301,5,FALSE()),"")</f>
        <v>Corporate</v>
      </c>
      <c r="P1791">
        <f>IFERROR(VLOOKUP(C1791,Customers!$A$2:$F$301,3,FALSE()),"")</f>
        <v>22</v>
      </c>
      <c r="Q1791">
        <f t="shared" si="81"/>
        <v>0.47004405286343615</v>
      </c>
      <c r="R1791">
        <f>IF(AND(COUNTIF($A$2:$A$2027,A1791)&gt;1,COUNTIF($A$2:A1791,A1791)=1),1,0)</f>
        <v>0</v>
      </c>
      <c r="S1791" t="b">
        <f>IFERROR(VLOOKUP(D1791,Products!$A$2:$F$61,6,FALSE()),"")</f>
        <v>1</v>
      </c>
      <c r="T1791" t="str">
        <f>IF(COUNTIF(Customers!$A$2:$A$301,C1791)=0,"Missing","OK")</f>
        <v>OK</v>
      </c>
      <c r="U1791" t="str">
        <f t="shared" si="82"/>
        <v>Chennai</v>
      </c>
      <c r="V1791">
        <f t="shared" si="83"/>
        <v>0</v>
      </c>
    </row>
    <row r="1792" spans="1:22" ht="15" customHeight="1" x14ac:dyDescent="0.35">
      <c r="A1792" s="3" t="s">
        <v>570</v>
      </c>
      <c r="B1792" s="4">
        <v>45301</v>
      </c>
      <c r="C1792" s="3" t="s">
        <v>1297</v>
      </c>
      <c r="D1792" s="3" t="s">
        <v>82</v>
      </c>
      <c r="E1792" s="3" t="s">
        <v>37</v>
      </c>
      <c r="F1792" s="5">
        <v>1</v>
      </c>
      <c r="G1792" s="5">
        <v>3250</v>
      </c>
      <c r="H1792" s="5">
        <v>17.8</v>
      </c>
      <c r="I1792" s="5">
        <v>2671.5</v>
      </c>
      <c r="J1792" s="3" t="s">
        <v>26</v>
      </c>
      <c r="K1792" s="3" t="s">
        <v>51</v>
      </c>
      <c r="L1792" t="str">
        <f>IFERROR(VLOOKUP(D1792,Products!$A$2:$F$61,3,FALSE()),"")</f>
        <v>Home</v>
      </c>
      <c r="M1792" t="str">
        <f>IFERROR(VLOOKUP(E1792,Sales_Reps!$A$2:$C$31,3,FALSE()),"")</f>
        <v>South</v>
      </c>
      <c r="N1792">
        <f>IFERROR(VLOOKUP(D1792,Products!$A$2:$F$61,4,FALSE()),"")</f>
        <v>1556</v>
      </c>
      <c r="O1792" t="str">
        <f>IFERROR(VLOOKUP(C1792,Customers!$A$2:$F$301,5,FALSE()),"")</f>
        <v>Corporate</v>
      </c>
      <c r="P1792">
        <f>IFERROR(VLOOKUP(C1792,Customers!$A$2:$F$301,3,FALSE()),"")</f>
        <v>42</v>
      </c>
      <c r="Q1792">
        <f t="shared" si="81"/>
        <v>0.52123076923076928</v>
      </c>
      <c r="R1792">
        <f>IF(AND(COUNTIF($A$2:$A$2027,A1792)&gt;1,COUNTIF($A$2:A1792,A1792)=1),1,0)</f>
        <v>0</v>
      </c>
      <c r="S1792" t="b">
        <f>IFERROR(VLOOKUP(D1792,Products!$A$2:$F$61,6,FALSE()),"")</f>
        <v>1</v>
      </c>
      <c r="T1792" t="str">
        <f>IF(COUNTIF(Customers!$A$2:$A$301,C1792)=0,"Missing","OK")</f>
        <v>OK</v>
      </c>
      <c r="U1792" t="str">
        <f t="shared" si="82"/>
        <v>Mumbai</v>
      </c>
      <c r="V1792">
        <f t="shared" si="83"/>
        <v>0</v>
      </c>
    </row>
    <row r="1793" spans="1:22" ht="15" customHeight="1" x14ac:dyDescent="0.35">
      <c r="A1793" s="3" t="s">
        <v>2228</v>
      </c>
      <c r="B1793" s="4">
        <v>45404</v>
      </c>
      <c r="C1793" s="3" t="s">
        <v>1814</v>
      </c>
      <c r="D1793" s="3" t="s">
        <v>231</v>
      </c>
      <c r="E1793" s="3" t="s">
        <v>242</v>
      </c>
      <c r="F1793" s="5">
        <v>5</v>
      </c>
      <c r="G1793" s="5">
        <v>620</v>
      </c>
      <c r="H1793" s="5">
        <v>19.399999999999999</v>
      </c>
      <c r="I1793" s="5">
        <v>2498.6</v>
      </c>
      <c r="J1793" s="3" t="s">
        <v>32</v>
      </c>
      <c r="K1793" s="3" t="s">
        <v>33</v>
      </c>
      <c r="L1793" t="str">
        <f>IFERROR(VLOOKUP(D1793,Products!$A$2:$F$61,3,FALSE()),"")</f>
        <v>Apparel</v>
      </c>
      <c r="M1793" t="str">
        <f>IFERROR(VLOOKUP(E1793,Sales_Reps!$A$2:$C$31,3,FALSE()),"")</f>
        <v>East</v>
      </c>
      <c r="N1793">
        <f>IFERROR(VLOOKUP(D1793,Products!$A$2:$F$61,4,FALSE()),"")</f>
        <v>396</v>
      </c>
      <c r="O1793" t="str">
        <f>IFERROR(VLOOKUP(C1793,Customers!$A$2:$F$301,5,FALSE()),"")</f>
        <v>Corporate</v>
      </c>
      <c r="P1793">
        <f>IFERROR(VLOOKUP(C1793,Customers!$A$2:$F$301,3,FALSE()),"")</f>
        <v>54</v>
      </c>
      <c r="Q1793">
        <f t="shared" si="81"/>
        <v>0.36129032258064514</v>
      </c>
      <c r="R1793">
        <f>IF(AND(COUNTIF($A$2:$A$2027,A1793)&gt;1,COUNTIF($A$2:A1793,A1793)=1),1,0)</f>
        <v>0</v>
      </c>
      <c r="S1793" t="b">
        <f>IFERROR(VLOOKUP(D1793,Products!$A$2:$F$61,6,FALSE()),"")</f>
        <v>1</v>
      </c>
      <c r="T1793" t="str">
        <f>IF(COUNTIF(Customers!$A$2:$A$301,C1793)=0,"Missing","OK")</f>
        <v>OK</v>
      </c>
      <c r="U1793" t="str">
        <f t="shared" si="82"/>
        <v>Chennai</v>
      </c>
      <c r="V1793">
        <f t="shared" si="83"/>
        <v>0</v>
      </c>
    </row>
    <row r="1794" spans="1:22" ht="15" customHeight="1" x14ac:dyDescent="0.35">
      <c r="A1794" s="3" t="s">
        <v>2229</v>
      </c>
      <c r="B1794" s="4">
        <v>45600</v>
      </c>
      <c r="C1794" s="3" t="s">
        <v>329</v>
      </c>
      <c r="D1794" s="3" t="s">
        <v>218</v>
      </c>
      <c r="E1794" s="3" t="s">
        <v>31</v>
      </c>
      <c r="F1794" s="5">
        <v>6</v>
      </c>
      <c r="G1794" s="5">
        <v>2660</v>
      </c>
      <c r="H1794" s="5">
        <v>14.9</v>
      </c>
      <c r="I1794" s="5">
        <v>13581.96</v>
      </c>
      <c r="J1794" s="3" t="s">
        <v>26</v>
      </c>
      <c r="K1794" s="3" t="s">
        <v>27</v>
      </c>
      <c r="L1794" t="str">
        <f>IFERROR(VLOOKUP(D1794,Products!$A$2:$F$61,3,FALSE()),"")</f>
        <v>Electronics</v>
      </c>
      <c r="M1794" t="str">
        <f>IFERROR(VLOOKUP(E1794,Sales_Reps!$A$2:$C$31,3,FALSE()),"")</f>
        <v>North</v>
      </c>
      <c r="N1794">
        <f>IFERROR(VLOOKUP(D1794,Products!$A$2:$F$61,4,FALSE()),"")</f>
        <v>1259</v>
      </c>
      <c r="O1794" t="str">
        <f>IFERROR(VLOOKUP(C1794,Customers!$A$2:$F$301,5,FALSE()),"")</f>
        <v>SMB</v>
      </c>
      <c r="P1794">
        <f>IFERROR(VLOOKUP(C1794,Customers!$A$2:$F$301,3,FALSE()),"")</f>
        <v>54</v>
      </c>
      <c r="Q1794">
        <f t="shared" ref="Q1794:Q1857" si="84">IFERROR((G1794-N1794)/G1794,"")</f>
        <v>0.52669172932330832</v>
      </c>
      <c r="R1794">
        <f>IF(AND(COUNTIF($A$2:$A$2027,A1794)&gt;1,COUNTIF($A$2:A1794,A1794)=1),1,0)</f>
        <v>0</v>
      </c>
      <c r="S1794" t="b">
        <f>IFERROR(VLOOKUP(D1794,Products!$A$2:$F$61,6,FALSE()),"")</f>
        <v>0</v>
      </c>
      <c r="T1794" t="str">
        <f>IF(COUNTIF(Customers!$A$2:$A$301,C1794)=0,"Missing","OK")</f>
        <v>OK</v>
      </c>
      <c r="U1794" t="str">
        <f t="shared" ref="U1794:U1857" si="85">IF(K1794="","",PROPER(TRIM(K1794)))</f>
        <v>Pune</v>
      </c>
      <c r="V1794">
        <f t="shared" ref="V1794:V1857" si="86">IF(AND(U1794="Bengaluru",L1794="Grocery"),I1794,0)</f>
        <v>0</v>
      </c>
    </row>
    <row r="1795" spans="1:22" ht="15" customHeight="1" x14ac:dyDescent="0.35">
      <c r="A1795" s="3" t="s">
        <v>2230</v>
      </c>
      <c r="B1795" s="4">
        <v>45526</v>
      </c>
      <c r="C1795" s="3" t="s">
        <v>809</v>
      </c>
      <c r="D1795" s="3" t="s">
        <v>24</v>
      </c>
      <c r="E1795" s="3" t="s">
        <v>154</v>
      </c>
      <c r="F1795" s="5">
        <v>5</v>
      </c>
      <c r="G1795" s="5">
        <v>3620</v>
      </c>
      <c r="H1795" s="5">
        <v>21</v>
      </c>
      <c r="I1795" s="5">
        <v>14299</v>
      </c>
      <c r="J1795" s="3" t="s">
        <v>79</v>
      </c>
      <c r="K1795" s="3" t="s">
        <v>56</v>
      </c>
      <c r="L1795" t="str">
        <f>IFERROR(VLOOKUP(D1795,Products!$A$2:$F$61,3,FALSE()),"")</f>
        <v>Apparel</v>
      </c>
      <c r="M1795" t="str">
        <f>IFERROR(VLOOKUP(E1795,Sales_Reps!$A$2:$C$31,3,FALSE()),"")</f>
        <v>North</v>
      </c>
      <c r="N1795">
        <f>IFERROR(VLOOKUP(D1795,Products!$A$2:$F$61,4,FALSE()),"")</f>
        <v>2509</v>
      </c>
      <c r="O1795" t="str">
        <f>IFERROR(VLOOKUP(C1795,Customers!$A$2:$F$301,5,FALSE()),"")</f>
        <v>Retail</v>
      </c>
      <c r="P1795">
        <f>IFERROR(VLOOKUP(C1795,Customers!$A$2:$F$301,3,FALSE()),"")</f>
        <v>47</v>
      </c>
      <c r="Q1795">
        <f t="shared" si="84"/>
        <v>0.3069060773480663</v>
      </c>
      <c r="R1795">
        <f>IF(AND(COUNTIF($A$2:$A$2027,A1795)&gt;1,COUNTIF($A$2:A1795,A1795)=1),1,0)</f>
        <v>0</v>
      </c>
      <c r="S1795" t="b">
        <f>IFERROR(VLOOKUP(D1795,Products!$A$2:$F$61,6,FALSE()),"")</f>
        <v>1</v>
      </c>
      <c r="T1795" t="str">
        <f>IF(COUNTIF(Customers!$A$2:$A$301,C1795)=0,"Missing","OK")</f>
        <v>OK</v>
      </c>
      <c r="U1795" t="str">
        <f t="shared" si="85"/>
        <v>Bengaluru</v>
      </c>
      <c r="V1795">
        <f t="shared" si="86"/>
        <v>0</v>
      </c>
    </row>
    <row r="1796" spans="1:22" ht="15" customHeight="1" x14ac:dyDescent="0.35">
      <c r="A1796" s="3" t="s">
        <v>2231</v>
      </c>
      <c r="B1796" s="4">
        <v>45580</v>
      </c>
      <c r="C1796" s="3" t="s">
        <v>1603</v>
      </c>
      <c r="D1796" s="3" t="s">
        <v>176</v>
      </c>
      <c r="E1796" s="3" t="s">
        <v>97</v>
      </c>
      <c r="F1796" s="5">
        <v>1</v>
      </c>
      <c r="G1796" s="5">
        <v>3640</v>
      </c>
      <c r="H1796" s="5">
        <v>15.8</v>
      </c>
      <c r="I1796" s="5">
        <v>3064.88</v>
      </c>
      <c r="J1796" s="3" t="s">
        <v>26</v>
      </c>
      <c r="K1796" s="3" t="s">
        <v>56</v>
      </c>
      <c r="L1796" t="str">
        <f>IFERROR(VLOOKUP(D1796,Products!$A$2:$F$61,3,FALSE()),"")</f>
        <v>Apparel</v>
      </c>
      <c r="M1796" t="str">
        <f>IFERROR(VLOOKUP(E1796,Sales_Reps!$A$2:$C$31,3,FALSE()),"")</f>
        <v>East</v>
      </c>
      <c r="N1796">
        <f>IFERROR(VLOOKUP(D1796,Products!$A$2:$F$61,4,FALSE()),"")</f>
        <v>2611</v>
      </c>
      <c r="O1796" t="str">
        <f>IFERROR(VLOOKUP(C1796,Customers!$A$2:$F$301,5,FALSE()),"")</f>
        <v>Retail</v>
      </c>
      <c r="P1796">
        <f>IFERROR(VLOOKUP(C1796,Customers!$A$2:$F$301,3,FALSE()),"")</f>
        <v>48</v>
      </c>
      <c r="Q1796">
        <f t="shared" si="84"/>
        <v>0.28269230769230769</v>
      </c>
      <c r="R1796">
        <f>IF(AND(COUNTIF($A$2:$A$2027,A1796)&gt;1,COUNTIF($A$2:A1796,A1796)=1),1,0)</f>
        <v>0</v>
      </c>
      <c r="S1796" t="b">
        <f>IFERROR(VLOOKUP(D1796,Products!$A$2:$F$61,6,FALSE()),"")</f>
        <v>1</v>
      </c>
      <c r="T1796" t="str">
        <f>IF(COUNTIF(Customers!$A$2:$A$301,C1796)=0,"Missing","OK")</f>
        <v>OK</v>
      </c>
      <c r="U1796" t="str">
        <f t="shared" si="85"/>
        <v>Bengaluru</v>
      </c>
      <c r="V1796">
        <f t="shared" si="86"/>
        <v>0</v>
      </c>
    </row>
    <row r="1797" spans="1:22" ht="15" customHeight="1" x14ac:dyDescent="0.35">
      <c r="A1797" s="3" t="s">
        <v>2232</v>
      </c>
      <c r="B1797" s="4">
        <v>45444</v>
      </c>
      <c r="C1797" s="3" t="s">
        <v>701</v>
      </c>
      <c r="D1797" s="3" t="s">
        <v>206</v>
      </c>
      <c r="E1797" s="3" t="s">
        <v>25</v>
      </c>
      <c r="F1797" s="5">
        <v>1</v>
      </c>
      <c r="G1797" s="5">
        <v>1220</v>
      </c>
      <c r="H1797" s="5">
        <v>0.6</v>
      </c>
      <c r="I1797" s="5">
        <v>1212.68</v>
      </c>
      <c r="J1797" s="3" t="s">
        <v>83</v>
      </c>
      <c r="K1797" s="3" t="s">
        <v>72</v>
      </c>
      <c r="L1797" t="str">
        <f>IFERROR(VLOOKUP(D1797,Products!$A$2:$F$61,3,FALSE()),"")</f>
        <v>Electronics</v>
      </c>
      <c r="M1797" t="str">
        <f>IFERROR(VLOOKUP(E1797,Sales_Reps!$A$2:$C$31,3,FALSE()),"")</f>
        <v>North</v>
      </c>
      <c r="N1797">
        <f>IFERROR(VLOOKUP(D1797,Products!$A$2:$F$61,4,FALSE()),"")</f>
        <v>517</v>
      </c>
      <c r="O1797" t="str">
        <f>IFERROR(VLOOKUP(C1797,Customers!$A$2:$F$301,5,FALSE()),"")</f>
        <v>Retail</v>
      </c>
      <c r="P1797">
        <f>IFERROR(VLOOKUP(C1797,Customers!$A$2:$F$301,3,FALSE()),"")</f>
        <v>52</v>
      </c>
      <c r="Q1797">
        <f t="shared" si="84"/>
        <v>0.57622950819672136</v>
      </c>
      <c r="R1797">
        <f>IF(AND(COUNTIF($A$2:$A$2027,A1797)&gt;1,COUNTIF($A$2:A1797,A1797)=1),1,0)</f>
        <v>0</v>
      </c>
      <c r="S1797" t="b">
        <f>IFERROR(VLOOKUP(D1797,Products!$A$2:$F$61,6,FALSE()),"")</f>
        <v>1</v>
      </c>
      <c r="T1797" t="str">
        <f>IF(COUNTIF(Customers!$A$2:$A$301,C1797)=0,"Missing","OK")</f>
        <v>OK</v>
      </c>
      <c r="U1797" t="str">
        <f t="shared" si="85"/>
        <v>Hyderabad</v>
      </c>
      <c r="V1797">
        <f t="shared" si="86"/>
        <v>0</v>
      </c>
    </row>
    <row r="1798" spans="1:22" ht="15" customHeight="1" x14ac:dyDescent="0.35">
      <c r="A1798" s="3" t="s">
        <v>2233</v>
      </c>
      <c r="B1798" s="4">
        <v>45350</v>
      </c>
      <c r="C1798" s="3" t="s">
        <v>92</v>
      </c>
      <c r="D1798" s="3" t="s">
        <v>106</v>
      </c>
      <c r="E1798" s="3" t="s">
        <v>236</v>
      </c>
      <c r="F1798" s="5">
        <v>10</v>
      </c>
      <c r="G1798" s="5">
        <v>2480</v>
      </c>
      <c r="H1798" s="5">
        <v>0.6</v>
      </c>
      <c r="I1798" s="5">
        <v>24651.200000000001</v>
      </c>
      <c r="J1798" s="3" t="s">
        <v>26</v>
      </c>
      <c r="K1798" s="3" t="s">
        <v>56</v>
      </c>
      <c r="L1798" t="str">
        <f>IFERROR(VLOOKUP(D1798,Products!$A$2:$F$61,3,FALSE()),"")</f>
        <v>Apparel</v>
      </c>
      <c r="M1798" t="str">
        <f>IFERROR(VLOOKUP(E1798,Sales_Reps!$A$2:$C$31,3,FALSE()),"")</f>
        <v>North</v>
      </c>
      <c r="N1798">
        <f>IFERROR(VLOOKUP(D1798,Products!$A$2:$F$61,4,FALSE()),"")</f>
        <v>1173</v>
      </c>
      <c r="O1798" t="str">
        <f>IFERROR(VLOOKUP(C1798,Customers!$A$2:$F$301,5,FALSE()),"")</f>
        <v>SMB</v>
      </c>
      <c r="P1798">
        <f>IFERROR(VLOOKUP(C1798,Customers!$A$2:$F$301,3,FALSE()),"")</f>
        <v>46</v>
      </c>
      <c r="Q1798">
        <f t="shared" si="84"/>
        <v>0.52701612903225803</v>
      </c>
      <c r="R1798">
        <f>IF(AND(COUNTIF($A$2:$A$2027,A1798)&gt;1,COUNTIF($A$2:A1798,A1798)=1),1,0)</f>
        <v>0</v>
      </c>
      <c r="S1798" t="b">
        <f>IFERROR(VLOOKUP(D1798,Products!$A$2:$F$61,6,FALSE()),"")</f>
        <v>1</v>
      </c>
      <c r="T1798" t="str">
        <f>IF(COUNTIF(Customers!$A$2:$A$301,C1798)=0,"Missing","OK")</f>
        <v>OK</v>
      </c>
      <c r="U1798" t="str">
        <f t="shared" si="85"/>
        <v>Bengaluru</v>
      </c>
      <c r="V1798">
        <f t="shared" si="86"/>
        <v>0</v>
      </c>
    </row>
    <row r="1799" spans="1:22" ht="15" customHeight="1" x14ac:dyDescent="0.35">
      <c r="A1799" s="3" t="s">
        <v>2234</v>
      </c>
      <c r="B1799" s="4">
        <v>45634</v>
      </c>
      <c r="C1799" s="3" t="s">
        <v>541</v>
      </c>
      <c r="D1799" s="3" t="s">
        <v>115</v>
      </c>
      <c r="E1799" s="3" t="s">
        <v>282</v>
      </c>
      <c r="F1799" s="5">
        <v>9</v>
      </c>
      <c r="G1799" s="5">
        <v>1650</v>
      </c>
      <c r="H1799" s="5">
        <v>26.8</v>
      </c>
      <c r="I1799" s="5">
        <v>10870.2</v>
      </c>
      <c r="J1799" s="3" t="s">
        <v>26</v>
      </c>
      <c r="K1799" s="3" t="s">
        <v>33</v>
      </c>
      <c r="L1799" t="str">
        <f>IFERROR(VLOOKUP(D1799,Products!$A$2:$F$61,3,FALSE()),"")</f>
        <v>Beauty</v>
      </c>
      <c r="M1799" t="str">
        <f>IFERROR(VLOOKUP(E1799,Sales_Reps!$A$2:$C$31,3,FALSE()),"")</f>
        <v>West</v>
      </c>
      <c r="N1799">
        <f>IFERROR(VLOOKUP(D1799,Products!$A$2:$F$61,4,FALSE()),"")</f>
        <v>1222</v>
      </c>
      <c r="O1799" t="str">
        <f>IFERROR(VLOOKUP(C1799,Customers!$A$2:$F$301,5,FALSE()),"")</f>
        <v>Retail</v>
      </c>
      <c r="P1799">
        <f>IFERROR(VLOOKUP(C1799,Customers!$A$2:$F$301,3,FALSE()),"")</f>
        <v>61</v>
      </c>
      <c r="Q1799">
        <f t="shared" si="84"/>
        <v>0.2593939393939394</v>
      </c>
      <c r="R1799">
        <f>IF(AND(COUNTIF($A$2:$A$2027,A1799)&gt;1,COUNTIF($A$2:A1799,A1799)=1),1,0)</f>
        <v>0</v>
      </c>
      <c r="S1799" t="b">
        <f>IFERROR(VLOOKUP(D1799,Products!$A$2:$F$61,6,FALSE()),"")</f>
        <v>1</v>
      </c>
      <c r="T1799" t="str">
        <f>IF(COUNTIF(Customers!$A$2:$A$301,C1799)=0,"Missing","OK")</f>
        <v>OK</v>
      </c>
      <c r="U1799" t="str">
        <f t="shared" si="85"/>
        <v>Chennai</v>
      </c>
      <c r="V1799">
        <f t="shared" si="86"/>
        <v>0</v>
      </c>
    </row>
    <row r="1800" spans="1:22" ht="15" customHeight="1" x14ac:dyDescent="0.35">
      <c r="A1800" s="3" t="s">
        <v>2235</v>
      </c>
      <c r="B1800" s="4">
        <v>45560</v>
      </c>
      <c r="C1800" s="3" t="s">
        <v>656</v>
      </c>
      <c r="D1800" s="3" t="s">
        <v>215</v>
      </c>
      <c r="E1800" s="3" t="s">
        <v>46</v>
      </c>
      <c r="F1800" s="5">
        <v>10</v>
      </c>
      <c r="G1800" s="5">
        <v>3020</v>
      </c>
      <c r="H1800" s="5">
        <v>2.6</v>
      </c>
      <c r="I1800" s="5">
        <v>29414.799999999999</v>
      </c>
      <c r="J1800" s="3" t="s">
        <v>26</v>
      </c>
      <c r="K1800" s="3" t="s">
        <v>33</v>
      </c>
      <c r="L1800" t="str">
        <f>IFERROR(VLOOKUP(D1800,Products!$A$2:$F$61,3,FALSE()),"")</f>
        <v>Beauty</v>
      </c>
      <c r="M1800" t="str">
        <f>IFERROR(VLOOKUP(E1800,Sales_Reps!$A$2:$C$31,3,FALSE()),"")</f>
        <v>North</v>
      </c>
      <c r="N1800">
        <f>IFERROR(VLOOKUP(D1800,Products!$A$2:$F$61,4,FALSE()),"")</f>
        <v>1626</v>
      </c>
      <c r="O1800" t="str">
        <f>IFERROR(VLOOKUP(C1800,Customers!$A$2:$F$301,5,FALSE()),"")</f>
        <v>Retail</v>
      </c>
      <c r="P1800">
        <f>IFERROR(VLOOKUP(C1800,Customers!$A$2:$F$301,3,FALSE()),"")</f>
        <v>24</v>
      </c>
      <c r="Q1800">
        <f t="shared" si="84"/>
        <v>0.46158940397350995</v>
      </c>
      <c r="R1800">
        <f>IF(AND(COUNTIF($A$2:$A$2027,A1800)&gt;1,COUNTIF($A$2:A1800,A1800)=1),1,0)</f>
        <v>0</v>
      </c>
      <c r="S1800" t="b">
        <f>IFERROR(VLOOKUP(D1800,Products!$A$2:$F$61,6,FALSE()),"")</f>
        <v>1</v>
      </c>
      <c r="T1800" t="str">
        <f>IF(COUNTIF(Customers!$A$2:$A$301,C1800)=0,"Missing","OK")</f>
        <v>OK</v>
      </c>
      <c r="U1800" t="str">
        <f t="shared" si="85"/>
        <v>Chennai</v>
      </c>
      <c r="V1800">
        <f t="shared" si="86"/>
        <v>0</v>
      </c>
    </row>
    <row r="1801" spans="1:22" ht="15" customHeight="1" x14ac:dyDescent="0.35">
      <c r="A1801" s="3" t="s">
        <v>2236</v>
      </c>
      <c r="B1801" s="4">
        <v>45544</v>
      </c>
      <c r="C1801" s="3" t="s">
        <v>809</v>
      </c>
      <c r="D1801" s="3" t="s">
        <v>391</v>
      </c>
      <c r="E1801" s="3" t="s">
        <v>37</v>
      </c>
      <c r="F1801" s="5">
        <v>5</v>
      </c>
      <c r="G1801" s="5">
        <v>3450</v>
      </c>
      <c r="H1801" s="5">
        <v>25.3</v>
      </c>
      <c r="I1801" s="5">
        <v>12885.75</v>
      </c>
      <c r="J1801" s="3" t="s">
        <v>26</v>
      </c>
      <c r="K1801" s="3" t="s">
        <v>56</v>
      </c>
      <c r="L1801" t="str">
        <f>IFERROR(VLOOKUP(D1801,Products!$A$2:$F$61,3,FALSE()),"")</f>
        <v>Apparel</v>
      </c>
      <c r="M1801" t="str">
        <f>IFERROR(VLOOKUP(E1801,Sales_Reps!$A$2:$C$31,3,FALSE()),"")</f>
        <v>South</v>
      </c>
      <c r="N1801">
        <f>IFERROR(VLOOKUP(D1801,Products!$A$2:$F$61,4,FALSE()),"")</f>
        <v>1748</v>
      </c>
      <c r="O1801" t="str">
        <f>IFERROR(VLOOKUP(C1801,Customers!$A$2:$F$301,5,FALSE()),"")</f>
        <v>Retail</v>
      </c>
      <c r="P1801">
        <f>IFERROR(VLOOKUP(C1801,Customers!$A$2:$F$301,3,FALSE()),"")</f>
        <v>47</v>
      </c>
      <c r="Q1801">
        <f t="shared" si="84"/>
        <v>0.49333333333333335</v>
      </c>
      <c r="R1801">
        <f>IF(AND(COUNTIF($A$2:$A$2027,A1801)&gt;1,COUNTIF($A$2:A1801,A1801)=1),1,0)</f>
        <v>0</v>
      </c>
      <c r="S1801" t="b">
        <f>IFERROR(VLOOKUP(D1801,Products!$A$2:$F$61,6,FALSE()),"")</f>
        <v>1</v>
      </c>
      <c r="T1801" t="str">
        <f>IF(COUNTIF(Customers!$A$2:$A$301,C1801)=0,"Missing","OK")</f>
        <v>OK</v>
      </c>
      <c r="U1801" t="str">
        <f t="shared" si="85"/>
        <v>Bengaluru</v>
      </c>
      <c r="V1801">
        <f t="shared" si="86"/>
        <v>0</v>
      </c>
    </row>
    <row r="1802" spans="1:22" ht="15" customHeight="1" x14ac:dyDescent="0.35">
      <c r="A1802" s="3" t="s">
        <v>2237</v>
      </c>
      <c r="B1802" s="4">
        <v>45457</v>
      </c>
      <c r="C1802" s="3" t="s">
        <v>147</v>
      </c>
      <c r="D1802" s="3" t="s">
        <v>206</v>
      </c>
      <c r="E1802" s="3" t="s">
        <v>60</v>
      </c>
      <c r="F1802" s="5">
        <v>7</v>
      </c>
      <c r="G1802" s="5">
        <v>1220</v>
      </c>
      <c r="H1802" s="5">
        <v>13.1</v>
      </c>
      <c r="I1802" s="5">
        <v>7421.26</v>
      </c>
      <c r="J1802" s="3" t="s">
        <v>26</v>
      </c>
      <c r="K1802" s="3" t="s">
        <v>72</v>
      </c>
      <c r="L1802" t="str">
        <f>IFERROR(VLOOKUP(D1802,Products!$A$2:$F$61,3,FALSE()),"")</f>
        <v>Electronics</v>
      </c>
      <c r="M1802" t="str">
        <f>IFERROR(VLOOKUP(E1802,Sales_Reps!$A$2:$C$31,3,FALSE()),"")</f>
        <v>East</v>
      </c>
      <c r="N1802">
        <f>IFERROR(VLOOKUP(D1802,Products!$A$2:$F$61,4,FALSE()),"")</f>
        <v>517</v>
      </c>
      <c r="O1802" t="str">
        <f>IFERROR(VLOOKUP(C1802,Customers!$A$2:$F$301,5,FALSE()),"")</f>
        <v>Retail</v>
      </c>
      <c r="P1802">
        <f>IFERROR(VLOOKUP(C1802,Customers!$A$2:$F$301,3,FALSE()),"")</f>
        <v>26</v>
      </c>
      <c r="Q1802">
        <f t="shared" si="84"/>
        <v>0.57622950819672136</v>
      </c>
      <c r="R1802">
        <f>IF(AND(COUNTIF($A$2:$A$2027,A1802)&gt;1,COUNTIF($A$2:A1802,A1802)=1),1,0)</f>
        <v>0</v>
      </c>
      <c r="S1802" t="b">
        <f>IFERROR(VLOOKUP(D1802,Products!$A$2:$F$61,6,FALSE()),"")</f>
        <v>1</v>
      </c>
      <c r="T1802" t="str">
        <f>IF(COUNTIF(Customers!$A$2:$A$301,C1802)=0,"Missing","OK")</f>
        <v>OK</v>
      </c>
      <c r="U1802" t="str">
        <f t="shared" si="85"/>
        <v>Hyderabad</v>
      </c>
      <c r="V1802">
        <f t="shared" si="86"/>
        <v>0</v>
      </c>
    </row>
    <row r="1803" spans="1:22" ht="15" customHeight="1" x14ac:dyDescent="0.35">
      <c r="A1803" s="3" t="s">
        <v>2238</v>
      </c>
      <c r="B1803" s="4">
        <v>45578</v>
      </c>
      <c r="C1803" s="3" t="s">
        <v>145</v>
      </c>
      <c r="D1803" s="3" t="s">
        <v>173</v>
      </c>
      <c r="E1803" s="3" t="s">
        <v>31</v>
      </c>
      <c r="F1803" s="5">
        <v>10</v>
      </c>
      <c r="G1803" s="5">
        <v>3780</v>
      </c>
      <c r="H1803" s="5">
        <v>23.7</v>
      </c>
      <c r="I1803" s="5">
        <v>28841.4</v>
      </c>
      <c r="J1803" s="3" t="s">
        <v>26</v>
      </c>
      <c r="K1803" s="3" t="s">
        <v>72</v>
      </c>
      <c r="L1803" t="str">
        <f>IFERROR(VLOOKUP(D1803,Products!$A$2:$F$61,3,FALSE()),"")</f>
        <v>Grocery</v>
      </c>
      <c r="M1803" t="str">
        <f>IFERROR(VLOOKUP(E1803,Sales_Reps!$A$2:$C$31,3,FALSE()),"")</f>
        <v>North</v>
      </c>
      <c r="N1803">
        <f>IFERROR(VLOOKUP(D1803,Products!$A$2:$F$61,4,FALSE()),"")</f>
        <v>2436</v>
      </c>
      <c r="O1803" t="str">
        <f>IFERROR(VLOOKUP(C1803,Customers!$A$2:$F$301,5,FALSE()),"")</f>
        <v>SMB</v>
      </c>
      <c r="P1803">
        <f>IFERROR(VLOOKUP(C1803,Customers!$A$2:$F$301,3,FALSE()),"")</f>
        <v>40</v>
      </c>
      <c r="Q1803">
        <f t="shared" si="84"/>
        <v>0.35555555555555557</v>
      </c>
      <c r="R1803">
        <f>IF(AND(COUNTIF($A$2:$A$2027,A1803)&gt;1,COUNTIF($A$2:A1803,A1803)=1),1,0)</f>
        <v>0</v>
      </c>
      <c r="S1803" t="b">
        <f>IFERROR(VLOOKUP(D1803,Products!$A$2:$F$61,6,FALSE()),"")</f>
        <v>1</v>
      </c>
      <c r="T1803" t="str">
        <f>IF(COUNTIF(Customers!$A$2:$A$301,C1803)=0,"Missing","OK")</f>
        <v>OK</v>
      </c>
      <c r="U1803" t="str">
        <f t="shared" si="85"/>
        <v>Hyderabad</v>
      </c>
      <c r="V1803">
        <f t="shared" si="86"/>
        <v>0</v>
      </c>
    </row>
    <row r="1804" spans="1:22" ht="15" customHeight="1" x14ac:dyDescent="0.35">
      <c r="A1804" s="3" t="s">
        <v>2239</v>
      </c>
      <c r="B1804" s="4">
        <v>45405</v>
      </c>
      <c r="C1804" s="3" t="s">
        <v>359</v>
      </c>
      <c r="D1804" s="3" t="s">
        <v>218</v>
      </c>
      <c r="E1804" s="3" t="s">
        <v>236</v>
      </c>
      <c r="F1804" s="5">
        <v>8</v>
      </c>
      <c r="G1804" s="5">
        <v>2660</v>
      </c>
      <c r="H1804" s="5">
        <v>16.100000000000001</v>
      </c>
      <c r="I1804" s="5">
        <v>17853.919999999998</v>
      </c>
      <c r="J1804" s="3" t="s">
        <v>26</v>
      </c>
      <c r="K1804" s="3" t="s">
        <v>38</v>
      </c>
      <c r="L1804" t="str">
        <f>IFERROR(VLOOKUP(D1804,Products!$A$2:$F$61,3,FALSE()),"")</f>
        <v>Electronics</v>
      </c>
      <c r="M1804" t="str">
        <f>IFERROR(VLOOKUP(E1804,Sales_Reps!$A$2:$C$31,3,FALSE()),"")</f>
        <v>North</v>
      </c>
      <c r="N1804">
        <f>IFERROR(VLOOKUP(D1804,Products!$A$2:$F$61,4,FALSE()),"")</f>
        <v>1259</v>
      </c>
      <c r="O1804" t="str">
        <f>IFERROR(VLOOKUP(C1804,Customers!$A$2:$F$301,5,FALSE()),"")</f>
        <v>Retail</v>
      </c>
      <c r="P1804">
        <f>IFERROR(VLOOKUP(C1804,Customers!$A$2:$F$301,3,FALSE()),"")</f>
        <v>44</v>
      </c>
      <c r="Q1804">
        <f t="shared" si="84"/>
        <v>0.52669172932330832</v>
      </c>
      <c r="R1804">
        <f>IF(AND(COUNTIF($A$2:$A$2027,A1804)&gt;1,COUNTIF($A$2:A1804,A1804)=1),1,0)</f>
        <v>0</v>
      </c>
      <c r="S1804" t="b">
        <f>IFERROR(VLOOKUP(D1804,Products!$A$2:$F$61,6,FALSE()),"")</f>
        <v>0</v>
      </c>
      <c r="T1804" t="str">
        <f>IF(COUNTIF(Customers!$A$2:$A$301,C1804)=0,"Missing","OK")</f>
        <v>OK</v>
      </c>
      <c r="U1804" t="str">
        <f t="shared" si="85"/>
        <v>Delhi</v>
      </c>
      <c r="V1804">
        <f t="shared" si="86"/>
        <v>0</v>
      </c>
    </row>
    <row r="1805" spans="1:22" ht="15" customHeight="1" x14ac:dyDescent="0.35">
      <c r="A1805" s="3" t="s">
        <v>2240</v>
      </c>
      <c r="B1805" s="4">
        <v>45338</v>
      </c>
      <c r="C1805" s="3" t="s">
        <v>251</v>
      </c>
      <c r="D1805" s="3" t="s">
        <v>441</v>
      </c>
      <c r="E1805" s="3" t="s">
        <v>46</v>
      </c>
      <c r="F1805" s="5">
        <v>6</v>
      </c>
      <c r="G1805" s="5">
        <v>1090</v>
      </c>
      <c r="H1805" s="5">
        <v>20</v>
      </c>
      <c r="I1805" s="5">
        <v>5232</v>
      </c>
      <c r="J1805" s="3" t="s">
        <v>32</v>
      </c>
      <c r="K1805" s="3" t="s">
        <v>72</v>
      </c>
      <c r="L1805" t="str">
        <f>IFERROR(VLOOKUP(D1805,Products!$A$2:$F$61,3,FALSE()),"")</f>
        <v>Home</v>
      </c>
      <c r="M1805" t="str">
        <f>IFERROR(VLOOKUP(E1805,Sales_Reps!$A$2:$C$31,3,FALSE()),"")</f>
        <v>North</v>
      </c>
      <c r="N1805">
        <f>IFERROR(VLOOKUP(D1805,Products!$A$2:$F$61,4,FALSE()),"")</f>
        <v>464</v>
      </c>
      <c r="O1805" t="str">
        <f>IFERROR(VLOOKUP(C1805,Customers!$A$2:$F$301,5,FALSE()),"")</f>
        <v>Retail</v>
      </c>
      <c r="P1805">
        <f>IFERROR(VLOOKUP(C1805,Customers!$A$2:$F$301,3,FALSE()),"")</f>
        <v>46</v>
      </c>
      <c r="Q1805">
        <f t="shared" si="84"/>
        <v>0.57431192660550456</v>
      </c>
      <c r="R1805">
        <f>IF(AND(COUNTIF($A$2:$A$2027,A1805)&gt;1,COUNTIF($A$2:A1805,A1805)=1),1,0)</f>
        <v>0</v>
      </c>
      <c r="S1805" t="b">
        <f>IFERROR(VLOOKUP(D1805,Products!$A$2:$F$61,6,FALSE()),"")</f>
        <v>1</v>
      </c>
      <c r="T1805" t="str">
        <f>IF(COUNTIF(Customers!$A$2:$A$301,C1805)=0,"Missing","OK")</f>
        <v>OK</v>
      </c>
      <c r="U1805" t="str">
        <f t="shared" si="85"/>
        <v>Hyderabad</v>
      </c>
      <c r="V1805">
        <f t="shared" si="86"/>
        <v>0</v>
      </c>
    </row>
    <row r="1806" spans="1:22" ht="15" customHeight="1" x14ac:dyDescent="0.35">
      <c r="A1806" s="3" t="s">
        <v>2241</v>
      </c>
      <c r="B1806" s="4">
        <v>45324</v>
      </c>
      <c r="C1806" s="3" t="s">
        <v>2242</v>
      </c>
      <c r="D1806" s="3" t="s">
        <v>142</v>
      </c>
      <c r="E1806" s="3" t="s">
        <v>285</v>
      </c>
      <c r="F1806" s="5">
        <v>2</v>
      </c>
      <c r="G1806" s="5">
        <v>660</v>
      </c>
      <c r="H1806" s="5">
        <v>18.7</v>
      </c>
      <c r="I1806" s="5">
        <v>1073.1600000000001</v>
      </c>
      <c r="J1806" s="3" t="s">
        <v>26</v>
      </c>
      <c r="K1806" s="3" t="s">
        <v>51</v>
      </c>
      <c r="L1806" t="str">
        <f>IFERROR(VLOOKUP(D1806,Products!$A$2:$F$61,3,FALSE()),"")</f>
        <v>Home</v>
      </c>
      <c r="M1806" t="str">
        <f>IFERROR(VLOOKUP(E1806,Sales_Reps!$A$2:$C$31,3,FALSE()),"")</f>
        <v>South</v>
      </c>
      <c r="N1806">
        <f>IFERROR(VLOOKUP(D1806,Products!$A$2:$F$61,4,FALSE()),"")</f>
        <v>329</v>
      </c>
      <c r="O1806" t="str">
        <f>IFERROR(VLOOKUP(C1806,Customers!$A$2:$F$301,5,FALSE()),"")</f>
        <v/>
      </c>
      <c r="P1806" t="str">
        <f>IFERROR(VLOOKUP(C1806,Customers!$A$2:$F$301,3,FALSE()),"")</f>
        <v/>
      </c>
      <c r="Q1806">
        <f t="shared" si="84"/>
        <v>0.50151515151515147</v>
      </c>
      <c r="R1806">
        <f>IF(AND(COUNTIF($A$2:$A$2027,A1806)&gt;1,COUNTIF($A$2:A1806,A1806)=1),1,0)</f>
        <v>0</v>
      </c>
      <c r="S1806" t="b">
        <f>IFERROR(VLOOKUP(D1806,Products!$A$2:$F$61,6,FALSE()),"")</f>
        <v>1</v>
      </c>
      <c r="T1806" t="str">
        <f>IF(COUNTIF(Customers!$A$2:$A$301,C1806)=0,"Missing","OK")</f>
        <v>Missing</v>
      </c>
      <c r="U1806" t="str">
        <f t="shared" si="85"/>
        <v>Mumbai</v>
      </c>
      <c r="V1806">
        <f t="shared" si="86"/>
        <v>0</v>
      </c>
    </row>
    <row r="1807" spans="1:22" ht="15" customHeight="1" x14ac:dyDescent="0.35">
      <c r="A1807" s="3" t="s">
        <v>2243</v>
      </c>
      <c r="B1807" s="4">
        <v>45332</v>
      </c>
      <c r="C1807" s="3" t="s">
        <v>1011</v>
      </c>
      <c r="D1807" s="3" t="s">
        <v>441</v>
      </c>
      <c r="E1807" s="3" t="s">
        <v>127</v>
      </c>
      <c r="F1807" s="5">
        <v>7</v>
      </c>
      <c r="G1807" s="5">
        <v>1090</v>
      </c>
      <c r="H1807" s="5">
        <v>19.399999999999999</v>
      </c>
      <c r="I1807" s="5">
        <v>6149.78</v>
      </c>
      <c r="J1807" s="3" t="s">
        <v>32</v>
      </c>
      <c r="K1807" s="3" t="s">
        <v>51</v>
      </c>
      <c r="L1807" t="str">
        <f>IFERROR(VLOOKUP(D1807,Products!$A$2:$F$61,3,FALSE()),"")</f>
        <v>Home</v>
      </c>
      <c r="M1807" t="str">
        <f>IFERROR(VLOOKUP(E1807,Sales_Reps!$A$2:$C$31,3,FALSE()),"")</f>
        <v>South</v>
      </c>
      <c r="N1807">
        <f>IFERROR(VLOOKUP(D1807,Products!$A$2:$F$61,4,FALSE()),"")</f>
        <v>464</v>
      </c>
      <c r="O1807" t="str">
        <f>IFERROR(VLOOKUP(C1807,Customers!$A$2:$F$301,5,FALSE()),"")</f>
        <v>SMB</v>
      </c>
      <c r="P1807">
        <f>IFERROR(VLOOKUP(C1807,Customers!$A$2:$F$301,3,FALSE()),"")</f>
        <v>53</v>
      </c>
      <c r="Q1807">
        <f t="shared" si="84"/>
        <v>0.57431192660550456</v>
      </c>
      <c r="R1807">
        <f>IF(AND(COUNTIF($A$2:$A$2027,A1807)&gt;1,COUNTIF($A$2:A1807,A1807)=1),1,0)</f>
        <v>0</v>
      </c>
      <c r="S1807" t="b">
        <f>IFERROR(VLOOKUP(D1807,Products!$A$2:$F$61,6,FALSE()),"")</f>
        <v>1</v>
      </c>
      <c r="T1807" t="str">
        <f>IF(COUNTIF(Customers!$A$2:$A$301,C1807)=0,"Missing","OK")</f>
        <v>OK</v>
      </c>
      <c r="U1807" t="str">
        <f t="shared" si="85"/>
        <v>Mumbai</v>
      </c>
      <c r="V1807">
        <f t="shared" si="86"/>
        <v>0</v>
      </c>
    </row>
    <row r="1808" spans="1:22" ht="15" customHeight="1" x14ac:dyDescent="0.35">
      <c r="A1808" s="3" t="s">
        <v>2244</v>
      </c>
      <c r="B1808" s="4">
        <v>45429</v>
      </c>
      <c r="C1808" s="3" t="s">
        <v>249</v>
      </c>
      <c r="D1808" s="3" t="s">
        <v>277</v>
      </c>
      <c r="E1808" s="3" t="s">
        <v>127</v>
      </c>
      <c r="F1808" s="5">
        <v>3</v>
      </c>
      <c r="G1808" s="5">
        <v>2210</v>
      </c>
      <c r="H1808" s="5">
        <v>11</v>
      </c>
      <c r="I1808" s="5">
        <v>5900.7</v>
      </c>
      <c r="J1808" s="3" t="s">
        <v>26</v>
      </c>
      <c r="K1808" s="3" t="s">
        <v>56</v>
      </c>
      <c r="L1808" t="str">
        <f>IFERROR(VLOOKUP(D1808,Products!$A$2:$F$61,3,FALSE()),"")</f>
        <v>Grocery</v>
      </c>
      <c r="M1808" t="str">
        <f>IFERROR(VLOOKUP(E1808,Sales_Reps!$A$2:$C$31,3,FALSE()),"")</f>
        <v>South</v>
      </c>
      <c r="N1808">
        <f>IFERROR(VLOOKUP(D1808,Products!$A$2:$F$61,4,FALSE()),"")</f>
        <v>1010</v>
      </c>
      <c r="O1808" t="str">
        <f>IFERROR(VLOOKUP(C1808,Customers!$A$2:$F$301,5,FALSE()),"")</f>
        <v>Retail</v>
      </c>
      <c r="P1808">
        <f>IFERROR(VLOOKUP(C1808,Customers!$A$2:$F$301,3,FALSE()),"")</f>
        <v>42</v>
      </c>
      <c r="Q1808">
        <f t="shared" si="84"/>
        <v>0.54298642533936647</v>
      </c>
      <c r="R1808">
        <f>IF(AND(COUNTIF($A$2:$A$2027,A1808)&gt;1,COUNTIF($A$2:A1808,A1808)=1),1,0)</f>
        <v>0</v>
      </c>
      <c r="S1808" t="b">
        <f>IFERROR(VLOOKUP(D1808,Products!$A$2:$F$61,6,FALSE()),"")</f>
        <v>1</v>
      </c>
      <c r="T1808" t="str">
        <f>IF(COUNTIF(Customers!$A$2:$A$301,C1808)=0,"Missing","OK")</f>
        <v>OK</v>
      </c>
      <c r="U1808" t="str">
        <f t="shared" si="85"/>
        <v>Bengaluru</v>
      </c>
      <c r="V1808">
        <f t="shared" si="86"/>
        <v>5900.7</v>
      </c>
    </row>
    <row r="1809" spans="1:22" ht="15" customHeight="1" x14ac:dyDescent="0.35">
      <c r="A1809" s="3" t="s">
        <v>2245</v>
      </c>
      <c r="B1809" s="4">
        <v>45420</v>
      </c>
      <c r="C1809" s="3" t="s">
        <v>117</v>
      </c>
      <c r="D1809" s="3" t="s">
        <v>347</v>
      </c>
      <c r="E1809" s="3" t="s">
        <v>168</v>
      </c>
      <c r="F1809" s="5">
        <v>2</v>
      </c>
      <c r="G1809" s="5">
        <v>3970</v>
      </c>
      <c r="H1809" s="5">
        <v>24.9</v>
      </c>
      <c r="I1809" s="5">
        <v>5962.94</v>
      </c>
      <c r="J1809" s="3" t="s">
        <v>26</v>
      </c>
      <c r="K1809" s="3" t="s">
        <v>33</v>
      </c>
      <c r="L1809" t="str">
        <f>IFERROR(VLOOKUP(D1809,Products!$A$2:$F$61,3,FALSE()),"")</f>
        <v>Electronics</v>
      </c>
      <c r="M1809" t="str">
        <f>IFERROR(VLOOKUP(E1809,Sales_Reps!$A$2:$C$31,3,FALSE()),"")</f>
        <v>West</v>
      </c>
      <c r="N1809">
        <f>IFERROR(VLOOKUP(D1809,Products!$A$2:$F$61,4,FALSE()),"")</f>
        <v>2865</v>
      </c>
      <c r="O1809" t="str">
        <f>IFERROR(VLOOKUP(C1809,Customers!$A$2:$F$301,5,FALSE()),"")</f>
        <v>Corporate</v>
      </c>
      <c r="P1809">
        <f>IFERROR(VLOOKUP(C1809,Customers!$A$2:$F$301,3,FALSE()),"")</f>
        <v>55</v>
      </c>
      <c r="Q1809">
        <f t="shared" si="84"/>
        <v>0.27833753148614609</v>
      </c>
      <c r="R1809">
        <f>IF(AND(COUNTIF($A$2:$A$2027,A1809)&gt;1,COUNTIF($A$2:A1809,A1809)=1),1,0)</f>
        <v>0</v>
      </c>
      <c r="S1809" t="b">
        <f>IFERROR(VLOOKUP(D1809,Products!$A$2:$F$61,6,FALSE()),"")</f>
        <v>1</v>
      </c>
      <c r="T1809" t="str">
        <f>IF(COUNTIF(Customers!$A$2:$A$301,C1809)=0,"Missing","OK")</f>
        <v>OK</v>
      </c>
      <c r="U1809" t="str">
        <f t="shared" si="85"/>
        <v>Chennai</v>
      </c>
      <c r="V1809">
        <f t="shared" si="86"/>
        <v>0</v>
      </c>
    </row>
    <row r="1810" spans="1:22" ht="15" customHeight="1" x14ac:dyDescent="0.35">
      <c r="A1810" s="3" t="s">
        <v>2246</v>
      </c>
      <c r="B1810" s="4">
        <v>45403</v>
      </c>
      <c r="C1810" s="3" t="s">
        <v>446</v>
      </c>
      <c r="D1810" s="3" t="s">
        <v>209</v>
      </c>
      <c r="E1810" s="3" t="s">
        <v>97</v>
      </c>
      <c r="F1810" s="5">
        <v>7</v>
      </c>
      <c r="G1810" s="5">
        <v>4610</v>
      </c>
      <c r="H1810" s="5">
        <v>6.3</v>
      </c>
      <c r="I1810" s="5">
        <v>30236.99</v>
      </c>
      <c r="J1810" s="3" t="s">
        <v>26</v>
      </c>
      <c r="K1810" s="3" t="s">
        <v>27</v>
      </c>
      <c r="L1810" t="str">
        <f>IFERROR(VLOOKUP(D1810,Products!$A$2:$F$61,3,FALSE()),"")</f>
        <v>Home</v>
      </c>
      <c r="M1810" t="str">
        <f>IFERROR(VLOOKUP(E1810,Sales_Reps!$A$2:$C$31,3,FALSE()),"")</f>
        <v>East</v>
      </c>
      <c r="N1810">
        <f>IFERROR(VLOOKUP(D1810,Products!$A$2:$F$61,4,FALSE()),"")</f>
        <v>1850</v>
      </c>
      <c r="O1810" t="str">
        <f>IFERROR(VLOOKUP(C1810,Customers!$A$2:$F$301,5,FALSE()),"")</f>
        <v>Retail</v>
      </c>
      <c r="P1810">
        <f>IFERROR(VLOOKUP(C1810,Customers!$A$2:$F$301,3,FALSE()),"")</f>
        <v>59</v>
      </c>
      <c r="Q1810">
        <f t="shared" si="84"/>
        <v>0.59869848156182215</v>
      </c>
      <c r="R1810">
        <f>IF(AND(COUNTIF($A$2:$A$2027,A1810)&gt;1,COUNTIF($A$2:A1810,A1810)=1),1,0)</f>
        <v>0</v>
      </c>
      <c r="S1810" t="b">
        <f>IFERROR(VLOOKUP(D1810,Products!$A$2:$F$61,6,FALSE()),"")</f>
        <v>1</v>
      </c>
      <c r="T1810" t="str">
        <f>IF(COUNTIF(Customers!$A$2:$A$301,C1810)=0,"Missing","OK")</f>
        <v>OK</v>
      </c>
      <c r="U1810" t="str">
        <f t="shared" si="85"/>
        <v>Pune</v>
      </c>
      <c r="V1810">
        <f t="shared" si="86"/>
        <v>0</v>
      </c>
    </row>
    <row r="1811" spans="1:22" ht="15" customHeight="1" x14ac:dyDescent="0.35">
      <c r="A1811" s="3" t="s">
        <v>2247</v>
      </c>
      <c r="B1811" s="4">
        <v>45403</v>
      </c>
      <c r="C1811" s="3" t="s">
        <v>461</v>
      </c>
      <c r="D1811" s="3" t="s">
        <v>319</v>
      </c>
      <c r="E1811" s="3" t="s">
        <v>140</v>
      </c>
      <c r="F1811" s="5">
        <v>10</v>
      </c>
      <c r="G1811" s="5">
        <v>960</v>
      </c>
      <c r="H1811" s="5">
        <v>14.6</v>
      </c>
      <c r="I1811" s="5">
        <v>8198.4</v>
      </c>
      <c r="J1811" s="3" t="s">
        <v>26</v>
      </c>
      <c r="K1811" s="3" t="s">
        <v>38</v>
      </c>
      <c r="L1811" t="str">
        <f>IFERROR(VLOOKUP(D1811,Products!$A$2:$F$61,3,FALSE()),"")</f>
        <v>Beauty</v>
      </c>
      <c r="M1811" t="str">
        <f>IFERROR(VLOOKUP(E1811,Sales_Reps!$A$2:$C$31,3,FALSE()),"")</f>
        <v>West</v>
      </c>
      <c r="N1811">
        <f>IFERROR(VLOOKUP(D1811,Products!$A$2:$F$61,4,FALSE()),"")</f>
        <v>675</v>
      </c>
      <c r="O1811" t="str">
        <f>IFERROR(VLOOKUP(C1811,Customers!$A$2:$F$301,5,FALSE()),"")</f>
        <v>SMB</v>
      </c>
      <c r="P1811">
        <f>IFERROR(VLOOKUP(C1811,Customers!$A$2:$F$301,3,FALSE()),"")</f>
        <v>55</v>
      </c>
      <c r="Q1811">
        <f t="shared" si="84"/>
        <v>0.296875</v>
      </c>
      <c r="R1811">
        <f>IF(AND(COUNTIF($A$2:$A$2027,A1811)&gt;1,COUNTIF($A$2:A1811,A1811)=1),1,0)</f>
        <v>0</v>
      </c>
      <c r="S1811" t="b">
        <f>IFERROR(VLOOKUP(D1811,Products!$A$2:$F$61,6,FALSE()),"")</f>
        <v>1</v>
      </c>
      <c r="T1811" t="str">
        <f>IF(COUNTIF(Customers!$A$2:$A$301,C1811)=0,"Missing","OK")</f>
        <v>OK</v>
      </c>
      <c r="U1811" t="str">
        <f t="shared" si="85"/>
        <v>Delhi</v>
      </c>
      <c r="V1811">
        <f t="shared" si="86"/>
        <v>0</v>
      </c>
    </row>
    <row r="1812" spans="1:22" ht="15" customHeight="1" x14ac:dyDescent="0.35">
      <c r="A1812" s="3" t="s">
        <v>2248</v>
      </c>
      <c r="B1812" s="4">
        <v>45600</v>
      </c>
      <c r="C1812" s="3" t="s">
        <v>170</v>
      </c>
      <c r="D1812" s="3" t="s">
        <v>215</v>
      </c>
      <c r="E1812" s="3" t="s">
        <v>285</v>
      </c>
      <c r="F1812" s="5">
        <v>8</v>
      </c>
      <c r="G1812" s="5">
        <v>3020</v>
      </c>
      <c r="H1812" s="5">
        <v>14.5</v>
      </c>
      <c r="I1812" s="5">
        <v>20656.8</v>
      </c>
      <c r="J1812" s="3" t="s">
        <v>26</v>
      </c>
      <c r="K1812" s="3" t="s">
        <v>56</v>
      </c>
      <c r="L1812" t="str">
        <f>IFERROR(VLOOKUP(D1812,Products!$A$2:$F$61,3,FALSE()),"")</f>
        <v>Beauty</v>
      </c>
      <c r="M1812" t="str">
        <f>IFERROR(VLOOKUP(E1812,Sales_Reps!$A$2:$C$31,3,FALSE()),"")</f>
        <v>South</v>
      </c>
      <c r="N1812">
        <f>IFERROR(VLOOKUP(D1812,Products!$A$2:$F$61,4,FALSE()),"")</f>
        <v>1626</v>
      </c>
      <c r="O1812" t="str">
        <f>IFERROR(VLOOKUP(C1812,Customers!$A$2:$F$301,5,FALSE()),"")</f>
        <v>SMB</v>
      </c>
      <c r="P1812">
        <f>IFERROR(VLOOKUP(C1812,Customers!$A$2:$F$301,3,FALSE()),"")</f>
        <v>64</v>
      </c>
      <c r="Q1812">
        <f t="shared" si="84"/>
        <v>0.46158940397350995</v>
      </c>
      <c r="R1812">
        <f>IF(AND(COUNTIF($A$2:$A$2027,A1812)&gt;1,COUNTIF($A$2:A1812,A1812)=1),1,0)</f>
        <v>0</v>
      </c>
      <c r="S1812" t="b">
        <f>IFERROR(VLOOKUP(D1812,Products!$A$2:$F$61,6,FALSE()),"")</f>
        <v>1</v>
      </c>
      <c r="T1812" t="str">
        <f>IF(COUNTIF(Customers!$A$2:$A$301,C1812)=0,"Missing","OK")</f>
        <v>OK</v>
      </c>
      <c r="U1812" t="str">
        <f t="shared" si="85"/>
        <v>Bengaluru</v>
      </c>
      <c r="V1812">
        <f t="shared" si="86"/>
        <v>0</v>
      </c>
    </row>
    <row r="1813" spans="1:22" ht="15" customHeight="1" x14ac:dyDescent="0.35">
      <c r="A1813" s="3" t="s">
        <v>2249</v>
      </c>
      <c r="B1813" s="4">
        <v>45629</v>
      </c>
      <c r="C1813" s="3" t="s">
        <v>81</v>
      </c>
      <c r="D1813" s="3" t="s">
        <v>106</v>
      </c>
      <c r="E1813" s="3" t="s">
        <v>140</v>
      </c>
      <c r="F1813" s="5">
        <v>7</v>
      </c>
      <c r="G1813" s="5">
        <v>2480</v>
      </c>
      <c r="H1813" s="5">
        <v>17.3</v>
      </c>
      <c r="I1813" s="5">
        <v>14356.72</v>
      </c>
      <c r="J1813" s="3" t="s">
        <v>26</v>
      </c>
      <c r="K1813" s="3" t="s">
        <v>27</v>
      </c>
      <c r="L1813" t="str">
        <f>IFERROR(VLOOKUP(D1813,Products!$A$2:$F$61,3,FALSE()),"")</f>
        <v>Apparel</v>
      </c>
      <c r="M1813" t="str">
        <f>IFERROR(VLOOKUP(E1813,Sales_Reps!$A$2:$C$31,3,FALSE()),"")</f>
        <v>West</v>
      </c>
      <c r="N1813">
        <f>IFERROR(VLOOKUP(D1813,Products!$A$2:$F$61,4,FALSE()),"")</f>
        <v>1173</v>
      </c>
      <c r="O1813" t="str">
        <f>IFERROR(VLOOKUP(C1813,Customers!$A$2:$F$301,5,FALSE()),"")</f>
        <v>SMB</v>
      </c>
      <c r="P1813">
        <f>IFERROR(VLOOKUP(C1813,Customers!$A$2:$F$301,3,FALSE()),"")</f>
        <v>39</v>
      </c>
      <c r="Q1813">
        <f t="shared" si="84"/>
        <v>0.52701612903225803</v>
      </c>
      <c r="R1813">
        <f>IF(AND(COUNTIF($A$2:$A$2027,A1813)&gt;1,COUNTIF($A$2:A1813,A1813)=1),1,0)</f>
        <v>0</v>
      </c>
      <c r="S1813" t="b">
        <f>IFERROR(VLOOKUP(D1813,Products!$A$2:$F$61,6,FALSE()),"")</f>
        <v>1</v>
      </c>
      <c r="T1813" t="str">
        <f>IF(COUNTIF(Customers!$A$2:$A$301,C1813)=0,"Missing","OK")</f>
        <v>OK</v>
      </c>
      <c r="U1813" t="str">
        <f t="shared" si="85"/>
        <v>Pune</v>
      </c>
      <c r="V1813">
        <f t="shared" si="86"/>
        <v>0</v>
      </c>
    </row>
    <row r="1814" spans="1:22" ht="15" customHeight="1" x14ac:dyDescent="0.35">
      <c r="A1814" s="3" t="s">
        <v>2250</v>
      </c>
      <c r="B1814" s="4">
        <v>45330</v>
      </c>
      <c r="C1814" s="3" t="s">
        <v>531</v>
      </c>
      <c r="D1814" s="3" t="s">
        <v>187</v>
      </c>
      <c r="E1814" s="3" t="s">
        <v>191</v>
      </c>
      <c r="F1814" s="5">
        <v>10</v>
      </c>
      <c r="G1814" s="5">
        <v>3870</v>
      </c>
      <c r="H1814" s="5">
        <v>22.4</v>
      </c>
      <c r="I1814" s="5">
        <v>30031.200000000001</v>
      </c>
      <c r="J1814" s="3" t="s">
        <v>32</v>
      </c>
      <c r="K1814" s="3" t="s">
        <v>72</v>
      </c>
      <c r="L1814" t="str">
        <f>IFERROR(VLOOKUP(D1814,Products!$A$2:$F$61,3,FALSE()),"")</f>
        <v>Electronics</v>
      </c>
      <c r="M1814" t="str">
        <f>IFERROR(VLOOKUP(E1814,Sales_Reps!$A$2:$C$31,3,FALSE()),"")</f>
        <v>South</v>
      </c>
      <c r="N1814">
        <f>IFERROR(VLOOKUP(D1814,Products!$A$2:$F$61,4,FALSE()),"")</f>
        <v>1559</v>
      </c>
      <c r="O1814" t="str">
        <f>IFERROR(VLOOKUP(C1814,Customers!$A$2:$F$301,5,FALSE()),"")</f>
        <v>Retail</v>
      </c>
      <c r="P1814">
        <f>IFERROR(VLOOKUP(C1814,Customers!$A$2:$F$301,3,FALSE()),"")</f>
        <v>22</v>
      </c>
      <c r="Q1814">
        <f t="shared" si="84"/>
        <v>0.59715762273901807</v>
      </c>
      <c r="R1814">
        <f>IF(AND(COUNTIF($A$2:$A$2027,A1814)&gt;1,COUNTIF($A$2:A1814,A1814)=1),1,0)</f>
        <v>0</v>
      </c>
      <c r="S1814" t="b">
        <f>IFERROR(VLOOKUP(D1814,Products!$A$2:$F$61,6,FALSE()),"")</f>
        <v>1</v>
      </c>
      <c r="T1814" t="str">
        <f>IF(COUNTIF(Customers!$A$2:$A$301,C1814)=0,"Missing","OK")</f>
        <v>OK</v>
      </c>
      <c r="U1814" t="str">
        <f t="shared" si="85"/>
        <v>Hyderabad</v>
      </c>
      <c r="V1814">
        <f t="shared" si="86"/>
        <v>0</v>
      </c>
    </row>
    <row r="1815" spans="1:22" ht="15" customHeight="1" x14ac:dyDescent="0.35">
      <c r="A1815" s="3" t="s">
        <v>2251</v>
      </c>
      <c r="B1815" s="4">
        <v>45551</v>
      </c>
      <c r="C1815" s="3" t="s">
        <v>817</v>
      </c>
      <c r="D1815" s="3" t="s">
        <v>142</v>
      </c>
      <c r="E1815" s="3" t="s">
        <v>224</v>
      </c>
      <c r="F1815" s="5">
        <v>6</v>
      </c>
      <c r="G1815" s="5">
        <v>660</v>
      </c>
      <c r="H1815" s="5">
        <v>27.3</v>
      </c>
      <c r="I1815" s="5">
        <v>2878.92</v>
      </c>
      <c r="J1815" s="3" t="s">
        <v>26</v>
      </c>
      <c r="K1815" s="3" t="s">
        <v>51</v>
      </c>
      <c r="L1815" t="str">
        <f>IFERROR(VLOOKUP(D1815,Products!$A$2:$F$61,3,FALSE()),"")</f>
        <v>Home</v>
      </c>
      <c r="M1815" t="str">
        <f>IFERROR(VLOOKUP(E1815,Sales_Reps!$A$2:$C$31,3,FALSE()),"")</f>
        <v>East</v>
      </c>
      <c r="N1815">
        <f>IFERROR(VLOOKUP(D1815,Products!$A$2:$F$61,4,FALSE()),"")</f>
        <v>329</v>
      </c>
      <c r="O1815" t="str">
        <f>IFERROR(VLOOKUP(C1815,Customers!$A$2:$F$301,5,FALSE()),"")</f>
        <v>Corporate</v>
      </c>
      <c r="P1815">
        <f>IFERROR(VLOOKUP(C1815,Customers!$A$2:$F$301,3,FALSE()),"")</f>
        <v>62</v>
      </c>
      <c r="Q1815">
        <f t="shared" si="84"/>
        <v>0.50151515151515147</v>
      </c>
      <c r="R1815">
        <f>IF(AND(COUNTIF($A$2:$A$2027,A1815)&gt;1,COUNTIF($A$2:A1815,A1815)=1),1,0)</f>
        <v>0</v>
      </c>
      <c r="S1815" t="b">
        <f>IFERROR(VLOOKUP(D1815,Products!$A$2:$F$61,6,FALSE()),"")</f>
        <v>1</v>
      </c>
      <c r="T1815" t="str">
        <f>IF(COUNTIF(Customers!$A$2:$A$301,C1815)=0,"Missing","OK")</f>
        <v>OK</v>
      </c>
      <c r="U1815" t="str">
        <f t="shared" si="85"/>
        <v>Mumbai</v>
      </c>
      <c r="V1815">
        <f t="shared" si="86"/>
        <v>0</v>
      </c>
    </row>
    <row r="1816" spans="1:22" ht="15" customHeight="1" x14ac:dyDescent="0.35">
      <c r="A1816" s="3" t="s">
        <v>2252</v>
      </c>
      <c r="B1816" s="4">
        <v>45321</v>
      </c>
      <c r="C1816" s="3" t="s">
        <v>2253</v>
      </c>
      <c r="D1816" s="3" t="s">
        <v>187</v>
      </c>
      <c r="E1816" s="3" t="s">
        <v>140</v>
      </c>
      <c r="F1816" s="5">
        <v>3</v>
      </c>
      <c r="G1816" s="5">
        <v>3870</v>
      </c>
      <c r="H1816" s="5">
        <v>7.6</v>
      </c>
      <c r="I1816" s="5">
        <v>10727.64</v>
      </c>
      <c r="J1816" s="3" t="s">
        <v>79</v>
      </c>
      <c r="K1816" s="3" t="s">
        <v>33</v>
      </c>
      <c r="L1816" t="str">
        <f>IFERROR(VLOOKUP(D1816,Products!$A$2:$F$61,3,FALSE()),"")</f>
        <v>Electronics</v>
      </c>
      <c r="M1816" t="str">
        <f>IFERROR(VLOOKUP(E1816,Sales_Reps!$A$2:$C$31,3,FALSE()),"")</f>
        <v>West</v>
      </c>
      <c r="N1816">
        <f>IFERROR(VLOOKUP(D1816,Products!$A$2:$F$61,4,FALSE()),"")</f>
        <v>1559</v>
      </c>
      <c r="O1816" t="str">
        <f>IFERROR(VLOOKUP(C1816,Customers!$A$2:$F$301,5,FALSE()),"")</f>
        <v/>
      </c>
      <c r="P1816" t="str">
        <f>IFERROR(VLOOKUP(C1816,Customers!$A$2:$F$301,3,FALSE()),"")</f>
        <v/>
      </c>
      <c r="Q1816">
        <f t="shared" si="84"/>
        <v>0.59715762273901807</v>
      </c>
      <c r="R1816">
        <f>IF(AND(COUNTIF($A$2:$A$2027,A1816)&gt;1,COUNTIF($A$2:A1816,A1816)=1),1,0)</f>
        <v>0</v>
      </c>
      <c r="S1816" t="b">
        <f>IFERROR(VLOOKUP(D1816,Products!$A$2:$F$61,6,FALSE()),"")</f>
        <v>1</v>
      </c>
      <c r="T1816" t="str">
        <f>IF(COUNTIF(Customers!$A$2:$A$301,C1816)=0,"Missing","OK")</f>
        <v>Missing</v>
      </c>
      <c r="U1816" t="str">
        <f t="shared" si="85"/>
        <v>Chennai</v>
      </c>
      <c r="V1816">
        <f t="shared" si="86"/>
        <v>0</v>
      </c>
    </row>
    <row r="1817" spans="1:22" ht="15" customHeight="1" x14ac:dyDescent="0.35">
      <c r="A1817" s="3" t="s">
        <v>2254</v>
      </c>
      <c r="B1817" s="4">
        <v>45542</v>
      </c>
      <c r="C1817" s="3" t="s">
        <v>23</v>
      </c>
      <c r="D1817" s="3" t="s">
        <v>106</v>
      </c>
      <c r="E1817" s="3" t="s">
        <v>42</v>
      </c>
      <c r="F1817" s="5">
        <v>10</v>
      </c>
      <c r="G1817" s="5">
        <v>2480</v>
      </c>
      <c r="H1817" s="5">
        <v>21.5</v>
      </c>
      <c r="I1817" s="5">
        <v>19468</v>
      </c>
      <c r="J1817" s="3" t="s">
        <v>32</v>
      </c>
      <c r="K1817" s="3" t="s">
        <v>27</v>
      </c>
      <c r="L1817" t="str">
        <f>IFERROR(VLOOKUP(D1817,Products!$A$2:$F$61,3,FALSE()),"")</f>
        <v>Apparel</v>
      </c>
      <c r="M1817" t="str">
        <f>IFERROR(VLOOKUP(E1817,Sales_Reps!$A$2:$C$31,3,FALSE()),"")</f>
        <v>North</v>
      </c>
      <c r="N1817">
        <f>IFERROR(VLOOKUP(D1817,Products!$A$2:$F$61,4,FALSE()),"")</f>
        <v>1173</v>
      </c>
      <c r="O1817" t="str">
        <f>IFERROR(VLOOKUP(C1817,Customers!$A$2:$F$301,5,FALSE()),"")</f>
        <v>SMB</v>
      </c>
      <c r="P1817">
        <f>IFERROR(VLOOKUP(C1817,Customers!$A$2:$F$301,3,FALSE()),"")</f>
        <v>44</v>
      </c>
      <c r="Q1817">
        <f t="shared" si="84"/>
        <v>0.52701612903225803</v>
      </c>
      <c r="R1817">
        <f>IF(AND(COUNTIF($A$2:$A$2027,A1817)&gt;1,COUNTIF($A$2:A1817,A1817)=1),1,0)</f>
        <v>0</v>
      </c>
      <c r="S1817" t="b">
        <f>IFERROR(VLOOKUP(D1817,Products!$A$2:$F$61,6,FALSE()),"")</f>
        <v>1</v>
      </c>
      <c r="T1817" t="str">
        <f>IF(COUNTIF(Customers!$A$2:$A$301,C1817)=0,"Missing","OK")</f>
        <v>OK</v>
      </c>
      <c r="U1817" t="str">
        <f t="shared" si="85"/>
        <v>Pune</v>
      </c>
      <c r="V1817">
        <f t="shared" si="86"/>
        <v>0</v>
      </c>
    </row>
    <row r="1818" spans="1:22" ht="15" customHeight="1" x14ac:dyDescent="0.35">
      <c r="A1818" s="3" t="s">
        <v>2255</v>
      </c>
      <c r="B1818" s="4">
        <v>45643</v>
      </c>
      <c r="C1818" s="3" t="s">
        <v>541</v>
      </c>
      <c r="D1818" s="3" t="s">
        <v>74</v>
      </c>
      <c r="E1818" s="3" t="s">
        <v>154</v>
      </c>
      <c r="F1818" s="5">
        <v>8</v>
      </c>
      <c r="G1818" s="5">
        <v>2640</v>
      </c>
      <c r="H1818" s="5">
        <v>22.3</v>
      </c>
      <c r="I1818" s="5">
        <v>16410.240000000002</v>
      </c>
      <c r="J1818" s="3" t="s">
        <v>26</v>
      </c>
      <c r="K1818" s="3" t="s">
        <v>33</v>
      </c>
      <c r="L1818" t="str">
        <f>IFERROR(VLOOKUP(D1818,Products!$A$2:$F$61,3,FALSE()),"")</f>
        <v>Electronics</v>
      </c>
      <c r="M1818" t="str">
        <f>IFERROR(VLOOKUP(E1818,Sales_Reps!$A$2:$C$31,3,FALSE()),"")</f>
        <v>North</v>
      </c>
      <c r="N1818">
        <f>IFERROR(VLOOKUP(D1818,Products!$A$2:$F$61,4,FALSE()),"")</f>
        <v>1149</v>
      </c>
      <c r="O1818" t="str">
        <f>IFERROR(VLOOKUP(C1818,Customers!$A$2:$F$301,5,FALSE()),"")</f>
        <v>Retail</v>
      </c>
      <c r="P1818">
        <f>IFERROR(VLOOKUP(C1818,Customers!$A$2:$F$301,3,FALSE()),"")</f>
        <v>61</v>
      </c>
      <c r="Q1818">
        <f t="shared" si="84"/>
        <v>0.56477272727272732</v>
      </c>
      <c r="R1818">
        <f>IF(AND(COUNTIF($A$2:$A$2027,A1818)&gt;1,COUNTIF($A$2:A1818,A1818)=1),1,0)</f>
        <v>0</v>
      </c>
      <c r="S1818" t="b">
        <f>IFERROR(VLOOKUP(D1818,Products!$A$2:$F$61,6,FALSE()),"")</f>
        <v>1</v>
      </c>
      <c r="T1818" t="str">
        <f>IF(COUNTIF(Customers!$A$2:$A$301,C1818)=0,"Missing","OK")</f>
        <v>OK</v>
      </c>
      <c r="U1818" t="str">
        <f t="shared" si="85"/>
        <v>Chennai</v>
      </c>
      <c r="V1818">
        <f t="shared" si="86"/>
        <v>0</v>
      </c>
    </row>
    <row r="1819" spans="1:22" ht="15" customHeight="1" x14ac:dyDescent="0.35">
      <c r="A1819" s="3" t="s">
        <v>2256</v>
      </c>
      <c r="B1819" s="4">
        <v>45559</v>
      </c>
      <c r="C1819" s="3" t="s">
        <v>1132</v>
      </c>
      <c r="D1819" s="3" t="s">
        <v>66</v>
      </c>
      <c r="E1819" s="3" t="s">
        <v>154</v>
      </c>
      <c r="F1819" s="5">
        <v>8</v>
      </c>
      <c r="G1819" s="5">
        <v>970</v>
      </c>
      <c r="H1819" s="5">
        <v>13.1</v>
      </c>
      <c r="I1819" s="5">
        <v>6743.44</v>
      </c>
      <c r="J1819" s="3" t="s">
        <v>26</v>
      </c>
      <c r="K1819" s="3" t="s">
        <v>72</v>
      </c>
      <c r="L1819" t="str">
        <f>IFERROR(VLOOKUP(D1819,Products!$A$2:$F$61,3,FALSE()),"")</f>
        <v>Grocery</v>
      </c>
      <c r="M1819" t="str">
        <f>IFERROR(VLOOKUP(E1819,Sales_Reps!$A$2:$C$31,3,FALSE()),"")</f>
        <v>North</v>
      </c>
      <c r="N1819">
        <f>IFERROR(VLOOKUP(D1819,Products!$A$2:$F$61,4,FALSE()),"")</f>
        <v>434</v>
      </c>
      <c r="O1819" t="str">
        <f>IFERROR(VLOOKUP(C1819,Customers!$A$2:$F$301,5,FALSE()),"")</f>
        <v>SMB</v>
      </c>
      <c r="P1819">
        <f>IFERROR(VLOOKUP(C1819,Customers!$A$2:$F$301,3,FALSE()),"")</f>
        <v>25</v>
      </c>
      <c r="Q1819">
        <f t="shared" si="84"/>
        <v>0.5525773195876289</v>
      </c>
      <c r="R1819">
        <f>IF(AND(COUNTIF($A$2:$A$2027,A1819)&gt;1,COUNTIF($A$2:A1819,A1819)=1),1,0)</f>
        <v>0</v>
      </c>
      <c r="S1819" t="b">
        <f>IFERROR(VLOOKUP(D1819,Products!$A$2:$F$61,6,FALSE()),"")</f>
        <v>1</v>
      </c>
      <c r="T1819" t="str">
        <f>IF(COUNTIF(Customers!$A$2:$A$301,C1819)=0,"Missing","OK")</f>
        <v>OK</v>
      </c>
      <c r="U1819" t="str">
        <f t="shared" si="85"/>
        <v>Hyderabad</v>
      </c>
      <c r="V1819">
        <f t="shared" si="86"/>
        <v>0</v>
      </c>
    </row>
    <row r="1820" spans="1:22" ht="15" customHeight="1" x14ac:dyDescent="0.35">
      <c r="A1820" s="3" t="s">
        <v>2257</v>
      </c>
      <c r="B1820" s="4">
        <v>45416</v>
      </c>
      <c r="C1820" s="3" t="s">
        <v>536</v>
      </c>
      <c r="D1820" s="3" t="s">
        <v>54</v>
      </c>
      <c r="E1820" s="3" t="s">
        <v>154</v>
      </c>
      <c r="F1820" s="5">
        <v>6</v>
      </c>
      <c r="G1820" s="5">
        <v>960</v>
      </c>
      <c r="H1820" s="5">
        <v>3.2</v>
      </c>
      <c r="I1820" s="5">
        <v>5575.68</v>
      </c>
      <c r="J1820" s="3" t="s">
        <v>26</v>
      </c>
      <c r="K1820" s="3" t="s">
        <v>51</v>
      </c>
      <c r="L1820" t="str">
        <f>IFERROR(VLOOKUP(D1820,Products!$A$2:$F$61,3,FALSE()),"")</f>
        <v>Sports</v>
      </c>
      <c r="M1820" t="str">
        <f>IFERROR(VLOOKUP(E1820,Sales_Reps!$A$2:$C$31,3,FALSE()),"")</f>
        <v>North</v>
      </c>
      <c r="N1820">
        <f>IFERROR(VLOOKUP(D1820,Products!$A$2:$F$61,4,FALSE()),"")</f>
        <v>705</v>
      </c>
      <c r="O1820" t="str">
        <f>IFERROR(VLOOKUP(C1820,Customers!$A$2:$F$301,5,FALSE()),"")</f>
        <v>Retail</v>
      </c>
      <c r="P1820">
        <f>IFERROR(VLOOKUP(C1820,Customers!$A$2:$F$301,3,FALSE()),"")</f>
        <v>39</v>
      </c>
      <c r="Q1820">
        <f t="shared" si="84"/>
        <v>0.265625</v>
      </c>
      <c r="R1820">
        <f>IF(AND(COUNTIF($A$2:$A$2027,A1820)&gt;1,COUNTIF($A$2:A1820,A1820)=1),1,0)</f>
        <v>0</v>
      </c>
      <c r="S1820" t="b">
        <f>IFERROR(VLOOKUP(D1820,Products!$A$2:$F$61,6,FALSE()),"")</f>
        <v>1</v>
      </c>
      <c r="T1820" t="str">
        <f>IF(COUNTIF(Customers!$A$2:$A$301,C1820)=0,"Missing","OK")</f>
        <v>OK</v>
      </c>
      <c r="U1820" t="str">
        <f t="shared" si="85"/>
        <v>Mumbai</v>
      </c>
      <c r="V1820">
        <f t="shared" si="86"/>
        <v>0</v>
      </c>
    </row>
    <row r="1821" spans="1:22" ht="15" customHeight="1" x14ac:dyDescent="0.35">
      <c r="A1821" s="3" t="s">
        <v>2258</v>
      </c>
      <c r="B1821" s="4">
        <v>45469</v>
      </c>
      <c r="C1821" s="3" t="s">
        <v>1468</v>
      </c>
      <c r="D1821" s="3" t="s">
        <v>234</v>
      </c>
      <c r="E1821" s="3" t="s">
        <v>46</v>
      </c>
      <c r="F1821" s="5">
        <v>9</v>
      </c>
      <c r="G1821" s="5">
        <v>2030</v>
      </c>
      <c r="H1821" s="5">
        <v>12.6</v>
      </c>
      <c r="I1821" s="5">
        <v>15967.98</v>
      </c>
      <c r="J1821" s="3" t="s">
        <v>79</v>
      </c>
      <c r="K1821" s="3" t="s">
        <v>33</v>
      </c>
      <c r="L1821" t="str">
        <f>IFERROR(VLOOKUP(D1821,Products!$A$2:$F$61,3,FALSE()),"")</f>
        <v>Home</v>
      </c>
      <c r="M1821" t="str">
        <f>IFERROR(VLOOKUP(E1821,Sales_Reps!$A$2:$C$31,3,FALSE()),"")</f>
        <v>North</v>
      </c>
      <c r="N1821">
        <f>IFERROR(VLOOKUP(D1821,Products!$A$2:$F$61,4,FALSE()),"")</f>
        <v>1143</v>
      </c>
      <c r="O1821" t="str">
        <f>IFERROR(VLOOKUP(C1821,Customers!$A$2:$F$301,5,FALSE()),"")</f>
        <v>Retail</v>
      </c>
      <c r="P1821">
        <f>IFERROR(VLOOKUP(C1821,Customers!$A$2:$F$301,3,FALSE()),"")</f>
        <v>31</v>
      </c>
      <c r="Q1821">
        <f t="shared" si="84"/>
        <v>0.43694581280788175</v>
      </c>
      <c r="R1821">
        <f>IF(AND(COUNTIF($A$2:$A$2027,A1821)&gt;1,COUNTIF($A$2:A1821,A1821)=1),1,0)</f>
        <v>0</v>
      </c>
      <c r="S1821" t="b">
        <f>IFERROR(VLOOKUP(D1821,Products!$A$2:$F$61,6,FALSE()),"")</f>
        <v>1</v>
      </c>
      <c r="T1821" t="str">
        <f>IF(COUNTIF(Customers!$A$2:$A$301,C1821)=0,"Missing","OK")</f>
        <v>OK</v>
      </c>
      <c r="U1821" t="str">
        <f t="shared" si="85"/>
        <v>Chennai</v>
      </c>
      <c r="V1821">
        <f t="shared" si="86"/>
        <v>0</v>
      </c>
    </row>
    <row r="1822" spans="1:22" ht="15" customHeight="1" x14ac:dyDescent="0.35">
      <c r="A1822" s="3" t="s">
        <v>1964</v>
      </c>
      <c r="B1822" s="4">
        <v>45387</v>
      </c>
      <c r="C1822" s="3" t="s">
        <v>172</v>
      </c>
      <c r="D1822" s="3" t="s">
        <v>325</v>
      </c>
      <c r="E1822" s="3" t="s">
        <v>55</v>
      </c>
      <c r="F1822" s="5">
        <v>10</v>
      </c>
      <c r="G1822" s="5">
        <v>2290</v>
      </c>
      <c r="H1822" s="5">
        <v>22.2</v>
      </c>
      <c r="I1822" s="5">
        <v>17816.2</v>
      </c>
      <c r="J1822" s="3" t="s">
        <v>26</v>
      </c>
      <c r="K1822" s="3" t="s">
        <v>27</v>
      </c>
      <c r="L1822" t="str">
        <f>IFERROR(VLOOKUP(D1822,Products!$A$2:$F$61,3,FALSE()),"")</f>
        <v>Beauty</v>
      </c>
      <c r="M1822" t="str">
        <f>IFERROR(VLOOKUP(E1822,Sales_Reps!$A$2:$C$31,3,FALSE()),"")</f>
        <v>West</v>
      </c>
      <c r="N1822">
        <f>IFERROR(VLOOKUP(D1822,Products!$A$2:$F$61,4,FALSE()),"")</f>
        <v>1219</v>
      </c>
      <c r="O1822" t="str">
        <f>IFERROR(VLOOKUP(C1822,Customers!$A$2:$F$301,5,FALSE()),"")</f>
        <v>SMB</v>
      </c>
      <c r="P1822">
        <f>IFERROR(VLOOKUP(C1822,Customers!$A$2:$F$301,3,FALSE()),"")</f>
        <v>29</v>
      </c>
      <c r="Q1822">
        <f t="shared" si="84"/>
        <v>0.46768558951965067</v>
      </c>
      <c r="R1822">
        <f>IF(AND(COUNTIF($A$2:$A$2027,A1822)&gt;1,COUNTIF($A$2:A1822,A1822)=1),1,0)</f>
        <v>0</v>
      </c>
      <c r="S1822" t="b">
        <f>IFERROR(VLOOKUP(D1822,Products!$A$2:$F$61,6,FALSE()),"")</f>
        <v>1</v>
      </c>
      <c r="T1822" t="str">
        <f>IF(COUNTIF(Customers!$A$2:$A$301,C1822)=0,"Missing","OK")</f>
        <v>OK</v>
      </c>
      <c r="U1822" t="str">
        <f t="shared" si="85"/>
        <v>Pune</v>
      </c>
      <c r="V1822">
        <f t="shared" si="86"/>
        <v>0</v>
      </c>
    </row>
    <row r="1823" spans="1:22" ht="15" customHeight="1" x14ac:dyDescent="0.35">
      <c r="A1823" s="3" t="s">
        <v>2259</v>
      </c>
      <c r="B1823" s="4">
        <v>45373</v>
      </c>
      <c r="C1823" s="3" t="s">
        <v>1438</v>
      </c>
      <c r="D1823" s="3" t="s">
        <v>30</v>
      </c>
      <c r="E1823" s="3" t="s">
        <v>282</v>
      </c>
      <c r="F1823" s="5">
        <v>7</v>
      </c>
      <c r="G1823" s="5">
        <v>820</v>
      </c>
      <c r="H1823" s="5">
        <v>6.4</v>
      </c>
      <c r="I1823" s="5">
        <v>5372.64</v>
      </c>
      <c r="J1823" s="3" t="s">
        <v>83</v>
      </c>
      <c r="K1823" s="3" t="s">
        <v>33</v>
      </c>
      <c r="L1823" t="str">
        <f>IFERROR(VLOOKUP(D1823,Products!$A$2:$F$61,3,FALSE()),"")</f>
        <v>Apparel</v>
      </c>
      <c r="M1823" t="str">
        <f>IFERROR(VLOOKUP(E1823,Sales_Reps!$A$2:$C$31,3,FALSE()),"")</f>
        <v>West</v>
      </c>
      <c r="N1823">
        <f>IFERROR(VLOOKUP(D1823,Products!$A$2:$F$61,4,FALSE()),"")</f>
        <v>391</v>
      </c>
      <c r="O1823" t="str">
        <f>IFERROR(VLOOKUP(C1823,Customers!$A$2:$F$301,5,FALSE()),"")</f>
        <v>Retail</v>
      </c>
      <c r="P1823">
        <f>IFERROR(VLOOKUP(C1823,Customers!$A$2:$F$301,3,FALSE()),"")</f>
        <v>26</v>
      </c>
      <c r="Q1823">
        <f t="shared" si="84"/>
        <v>0.52317073170731709</v>
      </c>
      <c r="R1823">
        <f>IF(AND(COUNTIF($A$2:$A$2027,A1823)&gt;1,COUNTIF($A$2:A1823,A1823)=1),1,0)</f>
        <v>0</v>
      </c>
      <c r="S1823" t="b">
        <f>IFERROR(VLOOKUP(D1823,Products!$A$2:$F$61,6,FALSE()),"")</f>
        <v>1</v>
      </c>
      <c r="T1823" t="str">
        <f>IF(COUNTIF(Customers!$A$2:$A$301,C1823)=0,"Missing","OK")</f>
        <v>OK</v>
      </c>
      <c r="U1823" t="str">
        <f t="shared" si="85"/>
        <v>Chennai</v>
      </c>
      <c r="V1823">
        <f t="shared" si="86"/>
        <v>0</v>
      </c>
    </row>
    <row r="1824" spans="1:22" ht="15" customHeight="1" x14ac:dyDescent="0.35">
      <c r="A1824" s="3" t="s">
        <v>2260</v>
      </c>
      <c r="B1824" s="4">
        <v>45614</v>
      </c>
      <c r="C1824" s="3" t="s">
        <v>272</v>
      </c>
      <c r="D1824" s="3" t="s">
        <v>103</v>
      </c>
      <c r="E1824" s="3" t="s">
        <v>109</v>
      </c>
      <c r="F1824" s="5">
        <v>5</v>
      </c>
      <c r="G1824" s="5">
        <v>1080</v>
      </c>
      <c r="H1824" s="5">
        <v>6</v>
      </c>
      <c r="I1824" s="5">
        <v>5076</v>
      </c>
      <c r="J1824" s="3" t="s">
        <v>26</v>
      </c>
      <c r="K1824" s="3" t="s">
        <v>72</v>
      </c>
      <c r="L1824" t="str">
        <f>IFERROR(VLOOKUP(D1824,Products!$A$2:$F$61,3,FALSE()),"")</f>
        <v>Home</v>
      </c>
      <c r="M1824" t="str">
        <f>IFERROR(VLOOKUP(E1824,Sales_Reps!$A$2:$C$31,3,FALSE()),"")</f>
        <v>West</v>
      </c>
      <c r="N1824">
        <f>IFERROR(VLOOKUP(D1824,Products!$A$2:$F$61,4,FALSE()),"")</f>
        <v>519</v>
      </c>
      <c r="O1824" t="str">
        <f>IFERROR(VLOOKUP(C1824,Customers!$A$2:$F$301,5,FALSE()),"")</f>
        <v>SMB</v>
      </c>
      <c r="P1824">
        <f>IFERROR(VLOOKUP(C1824,Customers!$A$2:$F$301,3,FALSE()),"")</f>
        <v>65</v>
      </c>
      <c r="Q1824">
        <f t="shared" si="84"/>
        <v>0.51944444444444449</v>
      </c>
      <c r="R1824">
        <f>IF(AND(COUNTIF($A$2:$A$2027,A1824)&gt;1,COUNTIF($A$2:A1824,A1824)=1),1,0)</f>
        <v>0</v>
      </c>
      <c r="S1824" t="b">
        <f>IFERROR(VLOOKUP(D1824,Products!$A$2:$F$61,6,FALSE()),"")</f>
        <v>1</v>
      </c>
      <c r="T1824" t="str">
        <f>IF(COUNTIF(Customers!$A$2:$A$301,C1824)=0,"Missing","OK")</f>
        <v>OK</v>
      </c>
      <c r="U1824" t="str">
        <f t="shared" si="85"/>
        <v>Hyderabad</v>
      </c>
      <c r="V1824">
        <f t="shared" si="86"/>
        <v>0</v>
      </c>
    </row>
    <row r="1825" spans="1:22" ht="15" customHeight="1" x14ac:dyDescent="0.35">
      <c r="A1825" s="3" t="s">
        <v>2261</v>
      </c>
      <c r="B1825" s="4">
        <v>45310</v>
      </c>
      <c r="C1825" s="3" t="s">
        <v>418</v>
      </c>
      <c r="D1825" s="3" t="s">
        <v>86</v>
      </c>
      <c r="E1825" s="3" t="s">
        <v>67</v>
      </c>
      <c r="F1825" s="5">
        <v>4</v>
      </c>
      <c r="G1825" s="5">
        <v>190</v>
      </c>
      <c r="H1825" s="5">
        <v>6.3</v>
      </c>
      <c r="I1825" s="5">
        <v>712.12</v>
      </c>
      <c r="J1825" s="3" t="s">
        <v>83</v>
      </c>
      <c r="K1825" s="3" t="s">
        <v>27</v>
      </c>
      <c r="L1825" t="str">
        <f>IFERROR(VLOOKUP(D1825,Products!$A$2:$F$61,3,FALSE()),"")</f>
        <v>Sports</v>
      </c>
      <c r="M1825" t="str">
        <f>IFERROR(VLOOKUP(E1825,Sales_Reps!$A$2:$C$31,3,FALSE()),"")</f>
        <v>West</v>
      </c>
      <c r="N1825">
        <f>IFERROR(VLOOKUP(D1825,Products!$A$2:$F$61,4,FALSE()),"")</f>
        <v>147</v>
      </c>
      <c r="O1825" t="str">
        <f>IFERROR(VLOOKUP(C1825,Customers!$A$2:$F$301,5,FALSE()),"")</f>
        <v>SMB</v>
      </c>
      <c r="P1825">
        <f>IFERROR(VLOOKUP(C1825,Customers!$A$2:$F$301,3,FALSE()),"")</f>
        <v>49</v>
      </c>
      <c r="Q1825">
        <f t="shared" si="84"/>
        <v>0.22631578947368422</v>
      </c>
      <c r="R1825">
        <f>IF(AND(COUNTIF($A$2:$A$2027,A1825)&gt;1,COUNTIF($A$2:A1825,A1825)=1),1,0)</f>
        <v>0</v>
      </c>
      <c r="S1825" t="b">
        <f>IFERROR(VLOOKUP(D1825,Products!$A$2:$F$61,6,FALSE()),"")</f>
        <v>1</v>
      </c>
      <c r="T1825" t="str">
        <f>IF(COUNTIF(Customers!$A$2:$A$301,C1825)=0,"Missing","OK")</f>
        <v>OK</v>
      </c>
      <c r="U1825" t="str">
        <f t="shared" si="85"/>
        <v>Pune</v>
      </c>
      <c r="V1825">
        <f t="shared" si="86"/>
        <v>0</v>
      </c>
    </row>
    <row r="1826" spans="1:22" ht="15" customHeight="1" x14ac:dyDescent="0.35">
      <c r="A1826" s="3" t="s">
        <v>2262</v>
      </c>
      <c r="B1826" s="4">
        <v>45319</v>
      </c>
      <c r="C1826" s="3" t="s">
        <v>211</v>
      </c>
      <c r="D1826" s="3" t="s">
        <v>294</v>
      </c>
      <c r="E1826" s="3" t="s">
        <v>168</v>
      </c>
      <c r="F1826" s="5">
        <v>6</v>
      </c>
      <c r="G1826" s="5">
        <v>2510</v>
      </c>
      <c r="H1826" s="5">
        <v>11.5</v>
      </c>
      <c r="I1826" s="5">
        <v>13328.1</v>
      </c>
      <c r="J1826" s="3" t="s">
        <v>26</v>
      </c>
      <c r="K1826" s="3" t="s">
        <v>33</v>
      </c>
      <c r="L1826" t="str">
        <f>IFERROR(VLOOKUP(D1826,Products!$A$2:$F$61,3,FALSE()),"")</f>
        <v>Apparel</v>
      </c>
      <c r="M1826" t="str">
        <f>IFERROR(VLOOKUP(E1826,Sales_Reps!$A$2:$C$31,3,FALSE()),"")</f>
        <v>West</v>
      </c>
      <c r="N1826">
        <f>IFERROR(VLOOKUP(D1826,Products!$A$2:$F$61,4,FALSE()),"")</f>
        <v>1075</v>
      </c>
      <c r="O1826" t="str">
        <f>IFERROR(VLOOKUP(C1826,Customers!$A$2:$F$301,5,FALSE()),"")</f>
        <v>SMB</v>
      </c>
      <c r="P1826">
        <f>IFERROR(VLOOKUP(C1826,Customers!$A$2:$F$301,3,FALSE()),"")</f>
        <v>55</v>
      </c>
      <c r="Q1826">
        <f t="shared" si="84"/>
        <v>0.57171314741035861</v>
      </c>
      <c r="R1826">
        <f>IF(AND(COUNTIF($A$2:$A$2027,A1826)&gt;1,COUNTIF($A$2:A1826,A1826)=1),1,0)</f>
        <v>0</v>
      </c>
      <c r="S1826" t="b">
        <f>IFERROR(VLOOKUP(D1826,Products!$A$2:$F$61,6,FALSE()),"")</f>
        <v>0</v>
      </c>
      <c r="T1826" t="str">
        <f>IF(COUNTIF(Customers!$A$2:$A$301,C1826)=0,"Missing","OK")</f>
        <v>OK</v>
      </c>
      <c r="U1826" t="str">
        <f t="shared" si="85"/>
        <v>Chennai</v>
      </c>
      <c r="V1826">
        <f t="shared" si="86"/>
        <v>0</v>
      </c>
    </row>
    <row r="1827" spans="1:22" ht="15" customHeight="1" x14ac:dyDescent="0.35">
      <c r="A1827" s="3" t="s">
        <v>2263</v>
      </c>
      <c r="B1827" s="4">
        <v>45299</v>
      </c>
      <c r="C1827" s="3" t="s">
        <v>44</v>
      </c>
      <c r="D1827" s="3" t="s">
        <v>598</v>
      </c>
      <c r="E1827" s="3" t="s">
        <v>127</v>
      </c>
      <c r="F1827" s="5">
        <v>2</v>
      </c>
      <c r="G1827" s="5">
        <v>3560</v>
      </c>
      <c r="H1827" s="5">
        <v>10.5</v>
      </c>
      <c r="I1827" s="5">
        <v>6372.4</v>
      </c>
      <c r="J1827" s="3" t="s">
        <v>26</v>
      </c>
      <c r="K1827" s="3" t="s">
        <v>33</v>
      </c>
      <c r="L1827" t="str">
        <f>IFERROR(VLOOKUP(D1827,Products!$A$2:$F$61,3,FALSE()),"")</f>
        <v>Apparel</v>
      </c>
      <c r="M1827" t="str">
        <f>IFERROR(VLOOKUP(E1827,Sales_Reps!$A$2:$C$31,3,FALSE()),"")</f>
        <v>South</v>
      </c>
      <c r="N1827">
        <f>IFERROR(VLOOKUP(D1827,Products!$A$2:$F$61,4,FALSE()),"")</f>
        <v>2629</v>
      </c>
      <c r="O1827" t="str">
        <f>IFERROR(VLOOKUP(C1827,Customers!$A$2:$F$301,5,FALSE()),"")</f>
        <v>Retail</v>
      </c>
      <c r="P1827">
        <f>IFERROR(VLOOKUP(C1827,Customers!$A$2:$F$301,3,FALSE()),"")</f>
        <v>36</v>
      </c>
      <c r="Q1827">
        <f t="shared" si="84"/>
        <v>0.26151685393258428</v>
      </c>
      <c r="R1827">
        <f>IF(AND(COUNTIF($A$2:$A$2027,A1827)&gt;1,COUNTIF($A$2:A1827,A1827)=1),1,0)</f>
        <v>0</v>
      </c>
      <c r="S1827" t="b">
        <f>IFERROR(VLOOKUP(D1827,Products!$A$2:$F$61,6,FALSE()),"")</f>
        <v>1</v>
      </c>
      <c r="T1827" t="str">
        <f>IF(COUNTIF(Customers!$A$2:$A$301,C1827)=0,"Missing","OK")</f>
        <v>OK</v>
      </c>
      <c r="U1827" t="str">
        <f t="shared" si="85"/>
        <v>Chennai</v>
      </c>
      <c r="V1827">
        <f t="shared" si="86"/>
        <v>0</v>
      </c>
    </row>
    <row r="1828" spans="1:22" ht="15" customHeight="1" x14ac:dyDescent="0.35">
      <c r="A1828" s="3" t="s">
        <v>2264</v>
      </c>
      <c r="B1828" s="4">
        <v>45556</v>
      </c>
      <c r="C1828" s="3" t="s">
        <v>780</v>
      </c>
      <c r="D1828" s="3" t="s">
        <v>30</v>
      </c>
      <c r="E1828" s="3" t="s">
        <v>191</v>
      </c>
      <c r="F1828" s="5">
        <v>3</v>
      </c>
      <c r="G1828" s="5">
        <v>820</v>
      </c>
      <c r="H1828" s="5">
        <v>13</v>
      </c>
      <c r="I1828" s="5">
        <v>2140.1999999999998</v>
      </c>
      <c r="J1828" s="3" t="s">
        <v>79</v>
      </c>
      <c r="K1828" s="3" t="s">
        <v>56</v>
      </c>
      <c r="L1828" t="str">
        <f>IFERROR(VLOOKUP(D1828,Products!$A$2:$F$61,3,FALSE()),"")</f>
        <v>Apparel</v>
      </c>
      <c r="M1828" t="str">
        <f>IFERROR(VLOOKUP(E1828,Sales_Reps!$A$2:$C$31,3,FALSE()),"")</f>
        <v>South</v>
      </c>
      <c r="N1828">
        <f>IFERROR(VLOOKUP(D1828,Products!$A$2:$F$61,4,FALSE()),"")</f>
        <v>391</v>
      </c>
      <c r="O1828" t="str">
        <f>IFERROR(VLOOKUP(C1828,Customers!$A$2:$F$301,5,FALSE()),"")</f>
        <v>Corporate</v>
      </c>
      <c r="P1828">
        <f>IFERROR(VLOOKUP(C1828,Customers!$A$2:$F$301,3,FALSE()),"")</f>
        <v>41</v>
      </c>
      <c r="Q1828">
        <f t="shared" si="84"/>
        <v>0.52317073170731709</v>
      </c>
      <c r="R1828">
        <f>IF(AND(COUNTIF($A$2:$A$2027,A1828)&gt;1,COUNTIF($A$2:A1828,A1828)=1),1,0)</f>
        <v>0</v>
      </c>
      <c r="S1828" t="b">
        <f>IFERROR(VLOOKUP(D1828,Products!$A$2:$F$61,6,FALSE()),"")</f>
        <v>1</v>
      </c>
      <c r="T1828" t="str">
        <f>IF(COUNTIF(Customers!$A$2:$A$301,C1828)=0,"Missing","OK")</f>
        <v>OK</v>
      </c>
      <c r="U1828" t="str">
        <f t="shared" si="85"/>
        <v>Bengaluru</v>
      </c>
      <c r="V1828">
        <f t="shared" si="86"/>
        <v>0</v>
      </c>
    </row>
    <row r="1829" spans="1:22" ht="15" customHeight="1" x14ac:dyDescent="0.35">
      <c r="A1829" s="3" t="s">
        <v>2265</v>
      </c>
      <c r="B1829" s="4">
        <v>45500</v>
      </c>
      <c r="C1829" s="3" t="s">
        <v>1297</v>
      </c>
      <c r="D1829" s="3" t="s">
        <v>176</v>
      </c>
      <c r="E1829" s="3" t="s">
        <v>87</v>
      </c>
      <c r="F1829" s="5">
        <v>6</v>
      </c>
      <c r="G1829" s="5">
        <v>3640</v>
      </c>
      <c r="H1829" s="5">
        <v>14</v>
      </c>
      <c r="I1829" s="5">
        <v>18782.400000000001</v>
      </c>
      <c r="J1829" s="3" t="s">
        <v>26</v>
      </c>
      <c r="K1829" s="3" t="s">
        <v>51</v>
      </c>
      <c r="L1829" t="str">
        <f>IFERROR(VLOOKUP(D1829,Products!$A$2:$F$61,3,FALSE()),"")</f>
        <v>Apparel</v>
      </c>
      <c r="M1829" t="str">
        <f>IFERROR(VLOOKUP(E1829,Sales_Reps!$A$2:$C$31,3,FALSE()),"")</f>
        <v>North</v>
      </c>
      <c r="N1829">
        <f>IFERROR(VLOOKUP(D1829,Products!$A$2:$F$61,4,FALSE()),"")</f>
        <v>2611</v>
      </c>
      <c r="O1829" t="str">
        <f>IFERROR(VLOOKUP(C1829,Customers!$A$2:$F$301,5,FALSE()),"")</f>
        <v>Corporate</v>
      </c>
      <c r="P1829">
        <f>IFERROR(VLOOKUP(C1829,Customers!$A$2:$F$301,3,FALSE()),"")</f>
        <v>42</v>
      </c>
      <c r="Q1829">
        <f t="shared" si="84"/>
        <v>0.28269230769230769</v>
      </c>
      <c r="R1829">
        <f>IF(AND(COUNTIF($A$2:$A$2027,A1829)&gt;1,COUNTIF($A$2:A1829,A1829)=1),1,0)</f>
        <v>0</v>
      </c>
      <c r="S1829" t="b">
        <f>IFERROR(VLOOKUP(D1829,Products!$A$2:$F$61,6,FALSE()),"")</f>
        <v>1</v>
      </c>
      <c r="T1829" t="str">
        <f>IF(COUNTIF(Customers!$A$2:$A$301,C1829)=0,"Missing","OK")</f>
        <v>OK</v>
      </c>
      <c r="U1829" t="str">
        <f t="shared" si="85"/>
        <v>Mumbai</v>
      </c>
      <c r="V1829">
        <f t="shared" si="86"/>
        <v>0</v>
      </c>
    </row>
    <row r="1830" spans="1:22" ht="15" customHeight="1" x14ac:dyDescent="0.35">
      <c r="A1830" s="3" t="s">
        <v>2266</v>
      </c>
      <c r="B1830" s="4">
        <v>45370</v>
      </c>
      <c r="C1830" s="3" t="s">
        <v>99</v>
      </c>
      <c r="D1830" s="3" t="s">
        <v>41</v>
      </c>
      <c r="E1830" s="3" t="s">
        <v>60</v>
      </c>
      <c r="F1830" s="5">
        <v>5</v>
      </c>
      <c r="G1830" s="5">
        <v>3660</v>
      </c>
      <c r="H1830" s="5">
        <v>28.7</v>
      </c>
      <c r="I1830" s="5">
        <v>13047.9</v>
      </c>
      <c r="J1830" s="3" t="s">
        <v>26</v>
      </c>
      <c r="K1830" s="3" t="s">
        <v>51</v>
      </c>
      <c r="L1830" t="str">
        <f>IFERROR(VLOOKUP(D1830,Products!$A$2:$F$61,3,FALSE()),"")</f>
        <v>Grocery</v>
      </c>
      <c r="M1830" t="str">
        <f>IFERROR(VLOOKUP(E1830,Sales_Reps!$A$2:$C$31,3,FALSE()),"")</f>
        <v>East</v>
      </c>
      <c r="N1830">
        <f>IFERROR(VLOOKUP(D1830,Products!$A$2:$F$61,4,FALSE()),"")</f>
        <v>2214</v>
      </c>
      <c r="O1830" t="str">
        <f>IFERROR(VLOOKUP(C1830,Customers!$A$2:$F$301,5,FALSE()),"")</f>
        <v>Retail</v>
      </c>
      <c r="P1830">
        <f>IFERROR(VLOOKUP(C1830,Customers!$A$2:$F$301,3,FALSE()),"")</f>
        <v>54</v>
      </c>
      <c r="Q1830">
        <f t="shared" si="84"/>
        <v>0.39508196721311473</v>
      </c>
      <c r="R1830">
        <f>IF(AND(COUNTIF($A$2:$A$2027,A1830)&gt;1,COUNTIF($A$2:A1830,A1830)=1),1,0)</f>
        <v>0</v>
      </c>
      <c r="S1830" t="b">
        <f>IFERROR(VLOOKUP(D1830,Products!$A$2:$F$61,6,FALSE()),"")</f>
        <v>0</v>
      </c>
      <c r="T1830" t="str">
        <f>IF(COUNTIF(Customers!$A$2:$A$301,C1830)=0,"Missing","OK")</f>
        <v>OK</v>
      </c>
      <c r="U1830" t="str">
        <f t="shared" si="85"/>
        <v>Mumbai</v>
      </c>
      <c r="V1830">
        <f t="shared" si="86"/>
        <v>0</v>
      </c>
    </row>
    <row r="1831" spans="1:22" ht="15" customHeight="1" x14ac:dyDescent="0.35">
      <c r="A1831" s="3" t="s">
        <v>2267</v>
      </c>
      <c r="B1831" s="4">
        <v>45521</v>
      </c>
      <c r="C1831" s="3" t="s">
        <v>172</v>
      </c>
      <c r="D1831" s="3" t="s">
        <v>134</v>
      </c>
      <c r="E1831" s="3" t="s">
        <v>109</v>
      </c>
      <c r="F1831" s="5">
        <v>2</v>
      </c>
      <c r="G1831" s="5">
        <v>2860</v>
      </c>
      <c r="H1831" s="5">
        <v>21.1</v>
      </c>
      <c r="I1831" s="5">
        <v>4513.08</v>
      </c>
      <c r="J1831" s="3" t="s">
        <v>26</v>
      </c>
      <c r="K1831" s="3" t="s">
        <v>27</v>
      </c>
      <c r="L1831" t="str">
        <f>IFERROR(VLOOKUP(D1831,Products!$A$2:$F$61,3,FALSE()),"")</f>
        <v>Sports</v>
      </c>
      <c r="M1831" t="str">
        <f>IFERROR(VLOOKUP(E1831,Sales_Reps!$A$2:$C$31,3,FALSE()),"")</f>
        <v>West</v>
      </c>
      <c r="N1831">
        <f>IFERROR(VLOOKUP(D1831,Products!$A$2:$F$61,4,FALSE()),"")</f>
        <v>2028</v>
      </c>
      <c r="O1831" t="str">
        <f>IFERROR(VLOOKUP(C1831,Customers!$A$2:$F$301,5,FALSE()),"")</f>
        <v>SMB</v>
      </c>
      <c r="P1831">
        <f>IFERROR(VLOOKUP(C1831,Customers!$A$2:$F$301,3,FALSE()),"")</f>
        <v>29</v>
      </c>
      <c r="Q1831">
        <f t="shared" si="84"/>
        <v>0.29090909090909089</v>
      </c>
      <c r="R1831">
        <f>IF(AND(COUNTIF($A$2:$A$2027,A1831)&gt;1,COUNTIF($A$2:A1831,A1831)=1),1,0)</f>
        <v>0</v>
      </c>
      <c r="S1831" t="b">
        <f>IFERROR(VLOOKUP(D1831,Products!$A$2:$F$61,6,FALSE()),"")</f>
        <v>1</v>
      </c>
      <c r="T1831" t="str">
        <f>IF(COUNTIF(Customers!$A$2:$A$301,C1831)=0,"Missing","OK")</f>
        <v>OK</v>
      </c>
      <c r="U1831" t="str">
        <f t="shared" si="85"/>
        <v>Pune</v>
      </c>
      <c r="V1831">
        <f t="shared" si="86"/>
        <v>0</v>
      </c>
    </row>
    <row r="1832" spans="1:22" ht="15" customHeight="1" x14ac:dyDescent="0.35">
      <c r="A1832" s="3" t="s">
        <v>2268</v>
      </c>
      <c r="B1832" s="4">
        <v>45481</v>
      </c>
      <c r="C1832" s="3" t="s">
        <v>577</v>
      </c>
      <c r="D1832" s="3" t="s">
        <v>112</v>
      </c>
      <c r="E1832" s="3" t="s">
        <v>60</v>
      </c>
      <c r="F1832" s="5">
        <v>1</v>
      </c>
      <c r="G1832" s="5">
        <v>2720</v>
      </c>
      <c r="H1832" s="5">
        <v>22.1</v>
      </c>
      <c r="I1832" s="5">
        <v>2118.88</v>
      </c>
      <c r="J1832" s="3" t="s">
        <v>26</v>
      </c>
      <c r="K1832" s="3" t="s">
        <v>38</v>
      </c>
      <c r="L1832" t="str">
        <f>IFERROR(VLOOKUP(D1832,Products!$A$2:$F$61,3,FALSE()),"")</f>
        <v>Apparel</v>
      </c>
      <c r="M1832" t="str">
        <f>IFERROR(VLOOKUP(E1832,Sales_Reps!$A$2:$C$31,3,FALSE()),"")</f>
        <v>East</v>
      </c>
      <c r="N1832">
        <f>IFERROR(VLOOKUP(D1832,Products!$A$2:$F$61,4,FALSE()),"")</f>
        <v>1962</v>
      </c>
      <c r="O1832" t="str">
        <f>IFERROR(VLOOKUP(C1832,Customers!$A$2:$F$301,5,FALSE()),"")</f>
        <v>Retail</v>
      </c>
      <c r="P1832">
        <f>IFERROR(VLOOKUP(C1832,Customers!$A$2:$F$301,3,FALSE()),"")</f>
        <v>43</v>
      </c>
      <c r="Q1832">
        <f t="shared" si="84"/>
        <v>0.2786764705882353</v>
      </c>
      <c r="R1832">
        <f>IF(AND(COUNTIF($A$2:$A$2027,A1832)&gt;1,COUNTIF($A$2:A1832,A1832)=1),1,0)</f>
        <v>0</v>
      </c>
      <c r="S1832" t="b">
        <f>IFERROR(VLOOKUP(D1832,Products!$A$2:$F$61,6,FALSE()),"")</f>
        <v>1</v>
      </c>
      <c r="T1832" t="str">
        <f>IF(COUNTIF(Customers!$A$2:$A$301,C1832)=0,"Missing","OK")</f>
        <v>OK</v>
      </c>
      <c r="U1832" t="str">
        <f t="shared" si="85"/>
        <v>Delhi</v>
      </c>
      <c r="V1832">
        <f t="shared" si="86"/>
        <v>0</v>
      </c>
    </row>
    <row r="1833" spans="1:22" ht="15" customHeight="1" x14ac:dyDescent="0.35">
      <c r="A1833" s="3" t="s">
        <v>2269</v>
      </c>
      <c r="B1833" s="4">
        <v>45633</v>
      </c>
      <c r="C1833" s="3" t="s">
        <v>834</v>
      </c>
      <c r="D1833" s="3" t="s">
        <v>134</v>
      </c>
      <c r="E1833" s="3" t="s">
        <v>78</v>
      </c>
      <c r="F1833" s="5">
        <v>6</v>
      </c>
      <c r="G1833" s="5">
        <v>2860</v>
      </c>
      <c r="H1833" s="5">
        <v>10.5</v>
      </c>
      <c r="I1833" s="5">
        <v>15358.2</v>
      </c>
      <c r="J1833" s="3" t="s">
        <v>79</v>
      </c>
      <c r="K1833" s="3" t="s">
        <v>56</v>
      </c>
      <c r="L1833" t="str">
        <f>IFERROR(VLOOKUP(D1833,Products!$A$2:$F$61,3,FALSE()),"")</f>
        <v>Sports</v>
      </c>
      <c r="M1833" t="str">
        <f>IFERROR(VLOOKUP(E1833,Sales_Reps!$A$2:$C$31,3,FALSE()),"")</f>
        <v>North</v>
      </c>
      <c r="N1833">
        <f>IFERROR(VLOOKUP(D1833,Products!$A$2:$F$61,4,FALSE()),"")</f>
        <v>2028</v>
      </c>
      <c r="O1833" t="str">
        <f>IFERROR(VLOOKUP(C1833,Customers!$A$2:$F$301,5,FALSE()),"")</f>
        <v>Retail</v>
      </c>
      <c r="P1833">
        <f>IFERROR(VLOOKUP(C1833,Customers!$A$2:$F$301,3,FALSE()),"")</f>
        <v>46</v>
      </c>
      <c r="Q1833">
        <f t="shared" si="84"/>
        <v>0.29090909090909089</v>
      </c>
      <c r="R1833">
        <f>IF(AND(COUNTIF($A$2:$A$2027,A1833)&gt;1,COUNTIF($A$2:A1833,A1833)=1),1,0)</f>
        <v>0</v>
      </c>
      <c r="S1833" t="b">
        <f>IFERROR(VLOOKUP(D1833,Products!$A$2:$F$61,6,FALSE()),"")</f>
        <v>1</v>
      </c>
      <c r="T1833" t="str">
        <f>IF(COUNTIF(Customers!$A$2:$A$301,C1833)=0,"Missing","OK")</f>
        <v>OK</v>
      </c>
      <c r="U1833" t="str">
        <f t="shared" si="85"/>
        <v>Bengaluru</v>
      </c>
      <c r="V1833">
        <f t="shared" si="86"/>
        <v>0</v>
      </c>
    </row>
    <row r="1834" spans="1:22" ht="15" customHeight="1" x14ac:dyDescent="0.35">
      <c r="A1834" s="3" t="s">
        <v>2270</v>
      </c>
      <c r="B1834" s="4">
        <v>45305</v>
      </c>
      <c r="C1834" s="3" t="s">
        <v>494</v>
      </c>
      <c r="D1834" s="3" t="s">
        <v>294</v>
      </c>
      <c r="E1834" s="3" t="s">
        <v>131</v>
      </c>
      <c r="F1834" s="5">
        <v>1</v>
      </c>
      <c r="G1834" s="5">
        <v>2510</v>
      </c>
      <c r="H1834" s="5">
        <v>12</v>
      </c>
      <c r="I1834" s="5">
        <v>2208.8000000000002</v>
      </c>
      <c r="J1834" s="3" t="s">
        <v>26</v>
      </c>
      <c r="K1834" s="3" t="s">
        <v>51</v>
      </c>
      <c r="L1834" t="str">
        <f>IFERROR(VLOOKUP(D1834,Products!$A$2:$F$61,3,FALSE()),"")</f>
        <v>Apparel</v>
      </c>
      <c r="M1834" t="str">
        <f>IFERROR(VLOOKUP(E1834,Sales_Reps!$A$2:$C$31,3,FALSE()),"")</f>
        <v>East</v>
      </c>
      <c r="N1834">
        <f>IFERROR(VLOOKUP(D1834,Products!$A$2:$F$61,4,FALSE()),"")</f>
        <v>1075</v>
      </c>
      <c r="O1834" t="str">
        <f>IFERROR(VLOOKUP(C1834,Customers!$A$2:$F$301,5,FALSE()),"")</f>
        <v>Retail</v>
      </c>
      <c r="P1834">
        <f>IFERROR(VLOOKUP(C1834,Customers!$A$2:$F$301,3,FALSE()),"")</f>
        <v>37</v>
      </c>
      <c r="Q1834">
        <f t="shared" si="84"/>
        <v>0.57171314741035861</v>
      </c>
      <c r="R1834">
        <f>IF(AND(COUNTIF($A$2:$A$2027,A1834)&gt;1,COUNTIF($A$2:A1834,A1834)=1),1,0)</f>
        <v>0</v>
      </c>
      <c r="S1834" t="b">
        <f>IFERROR(VLOOKUP(D1834,Products!$A$2:$F$61,6,FALSE()),"")</f>
        <v>0</v>
      </c>
      <c r="T1834" t="str">
        <f>IF(COUNTIF(Customers!$A$2:$A$301,C1834)=0,"Missing","OK")</f>
        <v>OK</v>
      </c>
      <c r="U1834" t="str">
        <f t="shared" si="85"/>
        <v>Mumbai</v>
      </c>
      <c r="V1834">
        <f t="shared" si="86"/>
        <v>0</v>
      </c>
    </row>
    <row r="1835" spans="1:22" ht="15" customHeight="1" x14ac:dyDescent="0.35">
      <c r="A1835" s="3" t="s">
        <v>2271</v>
      </c>
      <c r="B1835" s="4">
        <v>45593</v>
      </c>
      <c r="C1835" s="3" t="s">
        <v>521</v>
      </c>
      <c r="D1835" s="3" t="s">
        <v>294</v>
      </c>
      <c r="E1835" s="3" t="s">
        <v>131</v>
      </c>
      <c r="F1835" s="5">
        <v>4</v>
      </c>
      <c r="G1835" s="5">
        <v>2510</v>
      </c>
      <c r="H1835" s="5">
        <v>23.2</v>
      </c>
      <c r="I1835" s="5">
        <v>7710.72</v>
      </c>
      <c r="J1835" s="3" t="s">
        <v>26</v>
      </c>
      <c r="K1835" s="3" t="s">
        <v>33</v>
      </c>
      <c r="L1835" t="str">
        <f>IFERROR(VLOOKUP(D1835,Products!$A$2:$F$61,3,FALSE()),"")</f>
        <v>Apparel</v>
      </c>
      <c r="M1835" t="str">
        <f>IFERROR(VLOOKUP(E1835,Sales_Reps!$A$2:$C$31,3,FALSE()),"")</f>
        <v>East</v>
      </c>
      <c r="N1835">
        <f>IFERROR(VLOOKUP(D1835,Products!$A$2:$F$61,4,FALSE()),"")</f>
        <v>1075</v>
      </c>
      <c r="O1835" t="str">
        <f>IFERROR(VLOOKUP(C1835,Customers!$A$2:$F$301,5,FALSE()),"")</f>
        <v>SMB</v>
      </c>
      <c r="P1835">
        <f>IFERROR(VLOOKUP(C1835,Customers!$A$2:$F$301,3,FALSE()),"")</f>
        <v>59</v>
      </c>
      <c r="Q1835">
        <f t="shared" si="84"/>
        <v>0.57171314741035861</v>
      </c>
      <c r="R1835">
        <f>IF(AND(COUNTIF($A$2:$A$2027,A1835)&gt;1,COUNTIF($A$2:A1835,A1835)=1),1,0)</f>
        <v>0</v>
      </c>
      <c r="S1835" t="b">
        <f>IFERROR(VLOOKUP(D1835,Products!$A$2:$F$61,6,FALSE()),"")</f>
        <v>0</v>
      </c>
      <c r="T1835" t="str">
        <f>IF(COUNTIF(Customers!$A$2:$A$301,C1835)=0,"Missing","OK")</f>
        <v>OK</v>
      </c>
      <c r="U1835" t="str">
        <f t="shared" si="85"/>
        <v>Chennai</v>
      </c>
      <c r="V1835">
        <f t="shared" si="86"/>
        <v>0</v>
      </c>
    </row>
    <row r="1836" spans="1:22" ht="15" customHeight="1" x14ac:dyDescent="0.35">
      <c r="A1836" s="3" t="s">
        <v>2272</v>
      </c>
      <c r="B1836" s="4">
        <v>45555</v>
      </c>
      <c r="C1836" s="3" t="s">
        <v>1004</v>
      </c>
      <c r="D1836" s="3" t="s">
        <v>319</v>
      </c>
      <c r="E1836" s="3" t="s">
        <v>31</v>
      </c>
      <c r="F1836" s="5">
        <v>8</v>
      </c>
      <c r="G1836" s="5">
        <v>960</v>
      </c>
      <c r="H1836" s="5">
        <v>20.3</v>
      </c>
      <c r="I1836" s="5">
        <v>6120.96</v>
      </c>
      <c r="J1836" s="3" t="s">
        <v>32</v>
      </c>
      <c r="K1836" s="3" t="s">
        <v>33</v>
      </c>
      <c r="L1836" t="str">
        <f>IFERROR(VLOOKUP(D1836,Products!$A$2:$F$61,3,FALSE()),"")</f>
        <v>Beauty</v>
      </c>
      <c r="M1836" t="str">
        <f>IFERROR(VLOOKUP(E1836,Sales_Reps!$A$2:$C$31,3,FALSE()),"")</f>
        <v>North</v>
      </c>
      <c r="N1836">
        <f>IFERROR(VLOOKUP(D1836,Products!$A$2:$F$61,4,FALSE()),"")</f>
        <v>675</v>
      </c>
      <c r="O1836" t="str">
        <f>IFERROR(VLOOKUP(C1836,Customers!$A$2:$F$301,5,FALSE()),"")</f>
        <v>Retail</v>
      </c>
      <c r="P1836">
        <f>IFERROR(VLOOKUP(C1836,Customers!$A$2:$F$301,3,FALSE()),"")</f>
        <v>49</v>
      </c>
      <c r="Q1836">
        <f t="shared" si="84"/>
        <v>0.296875</v>
      </c>
      <c r="R1836">
        <f>IF(AND(COUNTIF($A$2:$A$2027,A1836)&gt;1,COUNTIF($A$2:A1836,A1836)=1),1,0)</f>
        <v>0</v>
      </c>
      <c r="S1836" t="b">
        <f>IFERROR(VLOOKUP(D1836,Products!$A$2:$F$61,6,FALSE()),"")</f>
        <v>1</v>
      </c>
      <c r="T1836" t="str">
        <f>IF(COUNTIF(Customers!$A$2:$A$301,C1836)=0,"Missing","OK")</f>
        <v>OK</v>
      </c>
      <c r="U1836" t="str">
        <f t="shared" si="85"/>
        <v>Chennai</v>
      </c>
      <c r="V1836">
        <f t="shared" si="86"/>
        <v>0</v>
      </c>
    </row>
    <row r="1837" spans="1:22" ht="15" customHeight="1" x14ac:dyDescent="0.35">
      <c r="A1837" s="3" t="s">
        <v>2273</v>
      </c>
      <c r="B1837" s="4">
        <v>45406</v>
      </c>
      <c r="C1837" s="3" t="s">
        <v>1992</v>
      </c>
      <c r="D1837" s="3" t="s">
        <v>63</v>
      </c>
      <c r="E1837" s="3" t="s">
        <v>71</v>
      </c>
      <c r="F1837" s="5">
        <v>3</v>
      </c>
      <c r="G1837" s="5">
        <v>5490</v>
      </c>
      <c r="H1837" s="5">
        <v>25.2</v>
      </c>
      <c r="I1837" s="5">
        <v>12319.56</v>
      </c>
      <c r="J1837" s="3" t="s">
        <v>26</v>
      </c>
      <c r="K1837" s="3" t="s">
        <v>72</v>
      </c>
      <c r="L1837" t="str">
        <f>IFERROR(VLOOKUP(D1837,Products!$A$2:$F$61,3,FALSE()),"")</f>
        <v>Home</v>
      </c>
      <c r="M1837" t="str">
        <f>IFERROR(VLOOKUP(E1837,Sales_Reps!$A$2:$C$31,3,FALSE()),"")</f>
        <v>South</v>
      </c>
      <c r="N1837">
        <f>IFERROR(VLOOKUP(D1837,Products!$A$2:$F$61,4,FALSE()),"")</f>
        <v>2549</v>
      </c>
      <c r="O1837" t="str">
        <f>IFERROR(VLOOKUP(C1837,Customers!$A$2:$F$301,5,FALSE()),"")</f>
        <v>SMB</v>
      </c>
      <c r="P1837">
        <f>IFERROR(VLOOKUP(C1837,Customers!$A$2:$F$301,3,FALSE()),"")</f>
        <v>39</v>
      </c>
      <c r="Q1837">
        <f t="shared" si="84"/>
        <v>0.53570127504553733</v>
      </c>
      <c r="R1837">
        <f>IF(AND(COUNTIF($A$2:$A$2027,A1837)&gt;1,COUNTIF($A$2:A1837,A1837)=1),1,0)</f>
        <v>0</v>
      </c>
      <c r="S1837" t="b">
        <f>IFERROR(VLOOKUP(D1837,Products!$A$2:$F$61,6,FALSE()),"")</f>
        <v>1</v>
      </c>
      <c r="T1837" t="str">
        <f>IF(COUNTIF(Customers!$A$2:$A$301,C1837)=0,"Missing","OK")</f>
        <v>OK</v>
      </c>
      <c r="U1837" t="str">
        <f t="shared" si="85"/>
        <v>Hyderabad</v>
      </c>
      <c r="V1837">
        <f t="shared" si="86"/>
        <v>0</v>
      </c>
    </row>
    <row r="1838" spans="1:22" ht="15" customHeight="1" x14ac:dyDescent="0.35">
      <c r="A1838" s="3" t="s">
        <v>2274</v>
      </c>
      <c r="B1838" s="4">
        <v>45647</v>
      </c>
      <c r="C1838" s="3" t="s">
        <v>884</v>
      </c>
      <c r="D1838" s="3" t="s">
        <v>294</v>
      </c>
      <c r="E1838" s="3" t="s">
        <v>42</v>
      </c>
      <c r="F1838" s="5">
        <v>2</v>
      </c>
      <c r="G1838" s="5">
        <v>2510</v>
      </c>
      <c r="H1838" s="5">
        <v>28.2</v>
      </c>
      <c r="I1838" s="5">
        <v>3604.36</v>
      </c>
      <c r="J1838" s="3" t="s">
        <v>26</v>
      </c>
      <c r="K1838" s="3" t="s">
        <v>27</v>
      </c>
      <c r="L1838" t="str">
        <f>IFERROR(VLOOKUP(D1838,Products!$A$2:$F$61,3,FALSE()),"")</f>
        <v>Apparel</v>
      </c>
      <c r="M1838" t="str">
        <f>IFERROR(VLOOKUP(E1838,Sales_Reps!$A$2:$C$31,3,FALSE()),"")</f>
        <v>North</v>
      </c>
      <c r="N1838">
        <f>IFERROR(VLOOKUP(D1838,Products!$A$2:$F$61,4,FALSE()),"")</f>
        <v>1075</v>
      </c>
      <c r="O1838" t="str">
        <f>IFERROR(VLOOKUP(C1838,Customers!$A$2:$F$301,5,FALSE()),"")</f>
        <v>Retail</v>
      </c>
      <c r="P1838">
        <f>IFERROR(VLOOKUP(C1838,Customers!$A$2:$F$301,3,FALSE()),"")</f>
        <v>54</v>
      </c>
      <c r="Q1838">
        <f t="shared" si="84"/>
        <v>0.57171314741035861</v>
      </c>
      <c r="R1838">
        <f>IF(AND(COUNTIF($A$2:$A$2027,A1838)&gt;1,COUNTIF($A$2:A1838,A1838)=1),1,0)</f>
        <v>0</v>
      </c>
      <c r="S1838" t="b">
        <f>IFERROR(VLOOKUP(D1838,Products!$A$2:$F$61,6,FALSE()),"")</f>
        <v>0</v>
      </c>
      <c r="T1838" t="str">
        <f>IF(COUNTIF(Customers!$A$2:$A$301,C1838)=0,"Missing","OK")</f>
        <v>OK</v>
      </c>
      <c r="U1838" t="str">
        <f t="shared" si="85"/>
        <v>Pune</v>
      </c>
      <c r="V1838">
        <f t="shared" si="86"/>
        <v>0</v>
      </c>
    </row>
    <row r="1839" spans="1:22" ht="15" customHeight="1" x14ac:dyDescent="0.35">
      <c r="A1839" s="3" t="s">
        <v>2275</v>
      </c>
      <c r="B1839" s="4">
        <v>45386</v>
      </c>
      <c r="C1839" s="3" t="s">
        <v>736</v>
      </c>
      <c r="D1839" s="3" t="s">
        <v>30</v>
      </c>
      <c r="E1839" s="3" t="s">
        <v>212</v>
      </c>
      <c r="F1839" s="5">
        <v>1</v>
      </c>
      <c r="G1839" s="5">
        <v>820</v>
      </c>
      <c r="H1839" s="5">
        <v>4.7</v>
      </c>
      <c r="I1839" s="5">
        <v>781.46</v>
      </c>
      <c r="J1839" s="3" t="s">
        <v>26</v>
      </c>
      <c r="K1839" s="3" t="s">
        <v>38</v>
      </c>
      <c r="L1839" t="str">
        <f>IFERROR(VLOOKUP(D1839,Products!$A$2:$F$61,3,FALSE()),"")</f>
        <v>Apparel</v>
      </c>
      <c r="M1839" t="str">
        <f>IFERROR(VLOOKUP(E1839,Sales_Reps!$A$2:$C$31,3,FALSE()),"")</f>
        <v>South</v>
      </c>
      <c r="N1839">
        <f>IFERROR(VLOOKUP(D1839,Products!$A$2:$F$61,4,FALSE()),"")</f>
        <v>391</v>
      </c>
      <c r="O1839" t="str">
        <f>IFERROR(VLOOKUP(C1839,Customers!$A$2:$F$301,5,FALSE()),"")</f>
        <v>Retail</v>
      </c>
      <c r="P1839">
        <f>IFERROR(VLOOKUP(C1839,Customers!$A$2:$F$301,3,FALSE()),"")</f>
        <v>63</v>
      </c>
      <c r="Q1839">
        <f t="shared" si="84"/>
        <v>0.52317073170731709</v>
      </c>
      <c r="R1839">
        <f>IF(AND(COUNTIF($A$2:$A$2027,A1839)&gt;1,COUNTIF($A$2:A1839,A1839)=1),1,0)</f>
        <v>0</v>
      </c>
      <c r="S1839" t="b">
        <f>IFERROR(VLOOKUP(D1839,Products!$A$2:$F$61,6,FALSE()),"")</f>
        <v>1</v>
      </c>
      <c r="T1839" t="str">
        <f>IF(COUNTIF(Customers!$A$2:$A$301,C1839)=0,"Missing","OK")</f>
        <v>OK</v>
      </c>
      <c r="U1839" t="str">
        <f t="shared" si="85"/>
        <v>Delhi</v>
      </c>
      <c r="V1839">
        <f t="shared" si="86"/>
        <v>0</v>
      </c>
    </row>
    <row r="1840" spans="1:22" ht="15" customHeight="1" x14ac:dyDescent="0.35">
      <c r="A1840" s="3" t="s">
        <v>2276</v>
      </c>
      <c r="B1840" s="4">
        <v>45453</v>
      </c>
      <c r="C1840" s="3" t="s">
        <v>289</v>
      </c>
      <c r="D1840" s="3" t="s">
        <v>221</v>
      </c>
      <c r="E1840" s="3" t="s">
        <v>242</v>
      </c>
      <c r="F1840" s="5">
        <v>6</v>
      </c>
      <c r="G1840" s="5">
        <v>300</v>
      </c>
      <c r="H1840" s="5">
        <v>13.3</v>
      </c>
      <c r="I1840" s="5">
        <v>1560.6</v>
      </c>
      <c r="J1840" s="3" t="s">
        <v>26</v>
      </c>
      <c r="K1840" s="3" t="s">
        <v>51</v>
      </c>
      <c r="L1840" t="str">
        <f>IFERROR(VLOOKUP(D1840,Products!$A$2:$F$61,3,FALSE()),"")</f>
        <v>Electronics</v>
      </c>
      <c r="M1840" t="str">
        <f>IFERROR(VLOOKUP(E1840,Sales_Reps!$A$2:$C$31,3,FALSE()),"")</f>
        <v>East</v>
      </c>
      <c r="N1840">
        <f>IFERROR(VLOOKUP(D1840,Products!$A$2:$F$61,4,FALSE()),"")</f>
        <v>128</v>
      </c>
      <c r="O1840" t="str">
        <f>IFERROR(VLOOKUP(C1840,Customers!$A$2:$F$301,5,FALSE()),"")</f>
        <v>SMB</v>
      </c>
      <c r="P1840">
        <f>IFERROR(VLOOKUP(C1840,Customers!$A$2:$F$301,3,FALSE()),"")</f>
        <v>22</v>
      </c>
      <c r="Q1840">
        <f t="shared" si="84"/>
        <v>0.57333333333333336</v>
      </c>
      <c r="R1840">
        <f>IF(AND(COUNTIF($A$2:$A$2027,A1840)&gt;1,COUNTIF($A$2:A1840,A1840)=1),1,0)</f>
        <v>0</v>
      </c>
      <c r="S1840" t="b">
        <f>IFERROR(VLOOKUP(D1840,Products!$A$2:$F$61,6,FALSE()),"")</f>
        <v>1</v>
      </c>
      <c r="T1840" t="str">
        <f>IF(COUNTIF(Customers!$A$2:$A$301,C1840)=0,"Missing","OK")</f>
        <v>OK</v>
      </c>
      <c r="U1840" t="str">
        <f t="shared" si="85"/>
        <v>Mumbai</v>
      </c>
      <c r="V1840">
        <f t="shared" si="86"/>
        <v>0</v>
      </c>
    </row>
    <row r="1841" spans="1:22" ht="15" customHeight="1" x14ac:dyDescent="0.35">
      <c r="A1841" s="3" t="s">
        <v>2277</v>
      </c>
      <c r="B1841" s="4">
        <v>45492</v>
      </c>
      <c r="C1841" s="3" t="s">
        <v>44</v>
      </c>
      <c r="D1841" s="3" t="s">
        <v>118</v>
      </c>
      <c r="E1841" s="3" t="s">
        <v>285</v>
      </c>
      <c r="F1841" s="5">
        <v>4</v>
      </c>
      <c r="G1841" s="5">
        <v>3350</v>
      </c>
      <c r="H1841" s="5">
        <v>5.8</v>
      </c>
      <c r="I1841" s="5">
        <v>12622.8</v>
      </c>
      <c r="J1841" s="3" t="s">
        <v>32</v>
      </c>
      <c r="K1841" s="3" t="s">
        <v>33</v>
      </c>
      <c r="L1841" t="str">
        <f>IFERROR(VLOOKUP(D1841,Products!$A$2:$F$61,3,FALSE()),"")</f>
        <v>Beauty</v>
      </c>
      <c r="M1841" t="str">
        <f>IFERROR(VLOOKUP(E1841,Sales_Reps!$A$2:$C$31,3,FALSE()),"")</f>
        <v>South</v>
      </c>
      <c r="N1841">
        <f>IFERROR(VLOOKUP(D1841,Products!$A$2:$F$61,4,FALSE()),"")</f>
        <v>1728</v>
      </c>
      <c r="O1841" t="str">
        <f>IFERROR(VLOOKUP(C1841,Customers!$A$2:$F$301,5,FALSE()),"")</f>
        <v>Retail</v>
      </c>
      <c r="P1841">
        <f>IFERROR(VLOOKUP(C1841,Customers!$A$2:$F$301,3,FALSE()),"")</f>
        <v>36</v>
      </c>
      <c r="Q1841">
        <f t="shared" si="84"/>
        <v>0.48417910447761192</v>
      </c>
      <c r="R1841">
        <f>IF(AND(COUNTIF($A$2:$A$2027,A1841)&gt;1,COUNTIF($A$2:A1841,A1841)=1),1,0)</f>
        <v>0</v>
      </c>
      <c r="S1841" t="b">
        <f>IFERROR(VLOOKUP(D1841,Products!$A$2:$F$61,6,FALSE()),"")</f>
        <v>1</v>
      </c>
      <c r="T1841" t="str">
        <f>IF(COUNTIF(Customers!$A$2:$A$301,C1841)=0,"Missing","OK")</f>
        <v>OK</v>
      </c>
      <c r="U1841" t="str">
        <f t="shared" si="85"/>
        <v>Chennai</v>
      </c>
      <c r="V1841">
        <f t="shared" si="86"/>
        <v>0</v>
      </c>
    </row>
    <row r="1842" spans="1:22" ht="15" customHeight="1" x14ac:dyDescent="0.35">
      <c r="A1842" s="3" t="s">
        <v>2278</v>
      </c>
      <c r="B1842" s="4">
        <v>45605</v>
      </c>
      <c r="C1842" s="3" t="s">
        <v>1755</v>
      </c>
      <c r="D1842" s="3" t="s">
        <v>82</v>
      </c>
      <c r="E1842" s="3" t="s">
        <v>50</v>
      </c>
      <c r="F1842" s="5">
        <v>3</v>
      </c>
      <c r="G1842" s="5">
        <v>3250</v>
      </c>
      <c r="H1842" s="5">
        <v>19.600000000000001</v>
      </c>
      <c r="I1842" s="5">
        <v>7839</v>
      </c>
      <c r="J1842" s="3" t="s">
        <v>32</v>
      </c>
      <c r="K1842" s="3" t="s">
        <v>38</v>
      </c>
      <c r="L1842" t="str">
        <f>IFERROR(VLOOKUP(D1842,Products!$A$2:$F$61,3,FALSE()),"")</f>
        <v>Home</v>
      </c>
      <c r="M1842" t="str">
        <f>IFERROR(VLOOKUP(E1842,Sales_Reps!$A$2:$C$31,3,FALSE()),"")</f>
        <v>West</v>
      </c>
      <c r="N1842">
        <f>IFERROR(VLOOKUP(D1842,Products!$A$2:$F$61,4,FALSE()),"")</f>
        <v>1556</v>
      </c>
      <c r="O1842" t="str">
        <f>IFERROR(VLOOKUP(C1842,Customers!$A$2:$F$301,5,FALSE()),"")</f>
        <v>Retail</v>
      </c>
      <c r="P1842">
        <f>IFERROR(VLOOKUP(C1842,Customers!$A$2:$F$301,3,FALSE()),"")</f>
        <v>62</v>
      </c>
      <c r="Q1842">
        <f t="shared" si="84"/>
        <v>0.52123076923076928</v>
      </c>
      <c r="R1842">
        <f>IF(AND(COUNTIF($A$2:$A$2027,A1842)&gt;1,COUNTIF($A$2:A1842,A1842)=1),1,0)</f>
        <v>0</v>
      </c>
      <c r="S1842" t="b">
        <f>IFERROR(VLOOKUP(D1842,Products!$A$2:$F$61,6,FALSE()),"")</f>
        <v>1</v>
      </c>
      <c r="T1842" t="str">
        <f>IF(COUNTIF(Customers!$A$2:$A$301,C1842)=0,"Missing","OK")</f>
        <v>OK</v>
      </c>
      <c r="U1842" t="str">
        <f t="shared" si="85"/>
        <v>Delhi</v>
      </c>
      <c r="V1842">
        <f t="shared" si="86"/>
        <v>0</v>
      </c>
    </row>
    <row r="1843" spans="1:22" ht="15" customHeight="1" x14ac:dyDescent="0.35">
      <c r="A1843" s="3" t="s">
        <v>2279</v>
      </c>
      <c r="B1843" s="4">
        <v>45344</v>
      </c>
      <c r="C1843" s="3" t="s">
        <v>92</v>
      </c>
      <c r="D1843" s="3" t="s">
        <v>115</v>
      </c>
      <c r="E1843" s="3" t="s">
        <v>282</v>
      </c>
      <c r="F1843" s="5">
        <v>10</v>
      </c>
      <c r="G1843" s="5">
        <v>1650</v>
      </c>
      <c r="H1843" s="5">
        <v>22.5</v>
      </c>
      <c r="I1843" s="5">
        <v>12787.5</v>
      </c>
      <c r="J1843" s="3" t="s">
        <v>79</v>
      </c>
      <c r="K1843" s="3" t="s">
        <v>56</v>
      </c>
      <c r="L1843" t="str">
        <f>IFERROR(VLOOKUP(D1843,Products!$A$2:$F$61,3,FALSE()),"")</f>
        <v>Beauty</v>
      </c>
      <c r="M1843" t="str">
        <f>IFERROR(VLOOKUP(E1843,Sales_Reps!$A$2:$C$31,3,FALSE()),"")</f>
        <v>West</v>
      </c>
      <c r="N1843">
        <f>IFERROR(VLOOKUP(D1843,Products!$A$2:$F$61,4,FALSE()),"")</f>
        <v>1222</v>
      </c>
      <c r="O1843" t="str">
        <f>IFERROR(VLOOKUP(C1843,Customers!$A$2:$F$301,5,FALSE()),"")</f>
        <v>SMB</v>
      </c>
      <c r="P1843">
        <f>IFERROR(VLOOKUP(C1843,Customers!$A$2:$F$301,3,FALSE()),"")</f>
        <v>46</v>
      </c>
      <c r="Q1843">
        <f t="shared" si="84"/>
        <v>0.2593939393939394</v>
      </c>
      <c r="R1843">
        <f>IF(AND(COUNTIF($A$2:$A$2027,A1843)&gt;1,COUNTIF($A$2:A1843,A1843)=1),1,0)</f>
        <v>0</v>
      </c>
      <c r="S1843" t="b">
        <f>IFERROR(VLOOKUP(D1843,Products!$A$2:$F$61,6,FALSE()),"")</f>
        <v>1</v>
      </c>
      <c r="T1843" t="str">
        <f>IF(COUNTIF(Customers!$A$2:$A$301,C1843)=0,"Missing","OK")</f>
        <v>OK</v>
      </c>
      <c r="U1843" t="str">
        <f t="shared" si="85"/>
        <v>Bengaluru</v>
      </c>
      <c r="V1843">
        <f t="shared" si="86"/>
        <v>0</v>
      </c>
    </row>
    <row r="1844" spans="1:22" ht="15" customHeight="1" x14ac:dyDescent="0.35">
      <c r="A1844" s="3" t="s">
        <v>2280</v>
      </c>
      <c r="B1844" s="4">
        <v>45506</v>
      </c>
      <c r="C1844" s="3" t="s">
        <v>691</v>
      </c>
      <c r="D1844" s="3" t="s">
        <v>206</v>
      </c>
      <c r="E1844" s="3" t="s">
        <v>140</v>
      </c>
      <c r="F1844" s="5">
        <v>2</v>
      </c>
      <c r="G1844" s="5">
        <v>1220</v>
      </c>
      <c r="H1844" s="5">
        <v>10.5</v>
      </c>
      <c r="I1844" s="5">
        <v>2183.8000000000002</v>
      </c>
      <c r="J1844" s="3" t="s">
        <v>26</v>
      </c>
      <c r="K1844" s="3" t="s">
        <v>56</v>
      </c>
      <c r="L1844" t="str">
        <f>IFERROR(VLOOKUP(D1844,Products!$A$2:$F$61,3,FALSE()),"")</f>
        <v>Electronics</v>
      </c>
      <c r="M1844" t="str">
        <f>IFERROR(VLOOKUP(E1844,Sales_Reps!$A$2:$C$31,3,FALSE()),"")</f>
        <v>West</v>
      </c>
      <c r="N1844">
        <f>IFERROR(VLOOKUP(D1844,Products!$A$2:$F$61,4,FALSE()),"")</f>
        <v>517</v>
      </c>
      <c r="O1844" t="str">
        <f>IFERROR(VLOOKUP(C1844,Customers!$A$2:$F$301,5,FALSE()),"")</f>
        <v>Retail</v>
      </c>
      <c r="P1844">
        <f>IFERROR(VLOOKUP(C1844,Customers!$A$2:$F$301,3,FALSE()),"")</f>
        <v>32</v>
      </c>
      <c r="Q1844">
        <f t="shared" si="84"/>
        <v>0.57622950819672136</v>
      </c>
      <c r="R1844">
        <f>IF(AND(COUNTIF($A$2:$A$2027,A1844)&gt;1,COUNTIF($A$2:A1844,A1844)=1),1,0)</f>
        <v>0</v>
      </c>
      <c r="S1844" t="b">
        <f>IFERROR(VLOOKUP(D1844,Products!$A$2:$F$61,6,FALSE()),"")</f>
        <v>1</v>
      </c>
      <c r="T1844" t="str">
        <f>IF(COUNTIF(Customers!$A$2:$A$301,C1844)=0,"Missing","OK")</f>
        <v>OK</v>
      </c>
      <c r="U1844" t="str">
        <f t="shared" si="85"/>
        <v>Bengaluru</v>
      </c>
      <c r="V1844">
        <f t="shared" si="86"/>
        <v>0</v>
      </c>
    </row>
    <row r="1845" spans="1:22" ht="15" customHeight="1" x14ac:dyDescent="0.35">
      <c r="A1845" s="3" t="s">
        <v>2281</v>
      </c>
      <c r="B1845" s="4">
        <v>45521</v>
      </c>
      <c r="C1845" s="3" t="s">
        <v>251</v>
      </c>
      <c r="D1845" s="3" t="s">
        <v>319</v>
      </c>
      <c r="E1845" s="3" t="s">
        <v>140</v>
      </c>
      <c r="F1845" s="5">
        <v>7</v>
      </c>
      <c r="G1845" s="5">
        <v>960</v>
      </c>
      <c r="H1845" s="5">
        <v>5.4</v>
      </c>
      <c r="I1845" s="5">
        <v>6357.12</v>
      </c>
      <c r="J1845" s="3" t="s">
        <v>83</v>
      </c>
      <c r="K1845" s="3" t="s">
        <v>72</v>
      </c>
      <c r="L1845" t="str">
        <f>IFERROR(VLOOKUP(D1845,Products!$A$2:$F$61,3,FALSE()),"")</f>
        <v>Beauty</v>
      </c>
      <c r="M1845" t="str">
        <f>IFERROR(VLOOKUP(E1845,Sales_Reps!$A$2:$C$31,3,FALSE()),"")</f>
        <v>West</v>
      </c>
      <c r="N1845">
        <f>IFERROR(VLOOKUP(D1845,Products!$A$2:$F$61,4,FALSE()),"")</f>
        <v>675</v>
      </c>
      <c r="O1845" t="str">
        <f>IFERROR(VLOOKUP(C1845,Customers!$A$2:$F$301,5,FALSE()),"")</f>
        <v>Retail</v>
      </c>
      <c r="P1845">
        <f>IFERROR(VLOOKUP(C1845,Customers!$A$2:$F$301,3,FALSE()),"")</f>
        <v>46</v>
      </c>
      <c r="Q1845">
        <f t="shared" si="84"/>
        <v>0.296875</v>
      </c>
      <c r="R1845">
        <f>IF(AND(COUNTIF($A$2:$A$2027,A1845)&gt;1,COUNTIF($A$2:A1845,A1845)=1),1,0)</f>
        <v>0</v>
      </c>
      <c r="S1845" t="b">
        <f>IFERROR(VLOOKUP(D1845,Products!$A$2:$F$61,6,FALSE()),"")</f>
        <v>1</v>
      </c>
      <c r="T1845" t="str">
        <f>IF(COUNTIF(Customers!$A$2:$A$301,C1845)=0,"Missing","OK")</f>
        <v>OK</v>
      </c>
      <c r="U1845" t="str">
        <f t="shared" si="85"/>
        <v>Hyderabad</v>
      </c>
      <c r="V1845">
        <f t="shared" si="86"/>
        <v>0</v>
      </c>
    </row>
    <row r="1846" spans="1:22" ht="15" customHeight="1" x14ac:dyDescent="0.35">
      <c r="A1846" s="3" t="s">
        <v>2282</v>
      </c>
      <c r="B1846" s="4">
        <v>45389</v>
      </c>
      <c r="C1846" s="3" t="s">
        <v>844</v>
      </c>
      <c r="D1846" s="3" t="s">
        <v>123</v>
      </c>
      <c r="E1846" s="3" t="s">
        <v>37</v>
      </c>
      <c r="F1846" s="5">
        <v>3</v>
      </c>
      <c r="G1846" s="5">
        <v>4880</v>
      </c>
      <c r="H1846" s="5">
        <v>17.100000000000001</v>
      </c>
      <c r="I1846" s="5">
        <v>12136.56</v>
      </c>
      <c r="J1846" s="3" t="s">
        <v>26</v>
      </c>
      <c r="K1846" s="3" t="s">
        <v>51</v>
      </c>
      <c r="L1846" t="str">
        <f>IFERROR(VLOOKUP(D1846,Products!$A$2:$F$61,3,FALSE()),"")</f>
        <v>Beauty</v>
      </c>
      <c r="M1846" t="str">
        <f>IFERROR(VLOOKUP(E1846,Sales_Reps!$A$2:$C$31,3,FALSE()),"")</f>
        <v>South</v>
      </c>
      <c r="N1846">
        <f>IFERROR(VLOOKUP(D1846,Products!$A$2:$F$61,4,FALSE()),"")</f>
        <v>2768</v>
      </c>
      <c r="O1846" t="str">
        <f>IFERROR(VLOOKUP(C1846,Customers!$A$2:$F$301,5,FALSE()),"")</f>
        <v>SMB</v>
      </c>
      <c r="P1846">
        <f>IFERROR(VLOOKUP(C1846,Customers!$A$2:$F$301,3,FALSE()),"")</f>
        <v>43</v>
      </c>
      <c r="Q1846">
        <f t="shared" si="84"/>
        <v>0.43278688524590164</v>
      </c>
      <c r="R1846">
        <f>IF(AND(COUNTIF($A$2:$A$2027,A1846)&gt;1,COUNTIF($A$2:A1846,A1846)=1),1,0)</f>
        <v>0</v>
      </c>
      <c r="S1846" t="b">
        <f>IFERROR(VLOOKUP(D1846,Products!$A$2:$F$61,6,FALSE()),"")</f>
        <v>1</v>
      </c>
      <c r="T1846" t="str">
        <f>IF(COUNTIF(Customers!$A$2:$A$301,C1846)=0,"Missing","OK")</f>
        <v>OK</v>
      </c>
      <c r="U1846" t="str">
        <f t="shared" si="85"/>
        <v>Mumbai</v>
      </c>
      <c r="V1846">
        <f t="shared" si="86"/>
        <v>0</v>
      </c>
    </row>
    <row r="1847" spans="1:22" ht="15" customHeight="1" x14ac:dyDescent="0.35">
      <c r="A1847" s="3" t="s">
        <v>2283</v>
      </c>
      <c r="B1847" s="4">
        <v>45390</v>
      </c>
      <c r="C1847" s="3" t="s">
        <v>521</v>
      </c>
      <c r="D1847" s="3" t="s">
        <v>70</v>
      </c>
      <c r="E1847" s="3" t="s">
        <v>67</v>
      </c>
      <c r="F1847" s="5">
        <v>5</v>
      </c>
      <c r="G1847" s="5">
        <v>2270</v>
      </c>
      <c r="H1847" s="5">
        <v>12.4</v>
      </c>
      <c r="I1847" s="5">
        <v>9942.6</v>
      </c>
      <c r="J1847" s="3" t="s">
        <v>26</v>
      </c>
      <c r="K1847" s="3" t="s">
        <v>33</v>
      </c>
      <c r="L1847" t="str">
        <f>IFERROR(VLOOKUP(D1847,Products!$A$2:$F$61,3,FALSE()),"")</f>
        <v>Grocery</v>
      </c>
      <c r="M1847" t="str">
        <f>IFERROR(VLOOKUP(E1847,Sales_Reps!$A$2:$C$31,3,FALSE()),"")</f>
        <v>West</v>
      </c>
      <c r="N1847">
        <f>IFERROR(VLOOKUP(D1847,Products!$A$2:$F$61,4,FALSE()),"")</f>
        <v>1203</v>
      </c>
      <c r="O1847" t="str">
        <f>IFERROR(VLOOKUP(C1847,Customers!$A$2:$F$301,5,FALSE()),"")</f>
        <v>SMB</v>
      </c>
      <c r="P1847">
        <f>IFERROR(VLOOKUP(C1847,Customers!$A$2:$F$301,3,FALSE()),"")</f>
        <v>59</v>
      </c>
      <c r="Q1847">
        <f t="shared" si="84"/>
        <v>0.47004405286343615</v>
      </c>
      <c r="R1847">
        <f>IF(AND(COUNTIF($A$2:$A$2027,A1847)&gt;1,COUNTIF($A$2:A1847,A1847)=1),1,0)</f>
        <v>0</v>
      </c>
      <c r="S1847" t="b">
        <f>IFERROR(VLOOKUP(D1847,Products!$A$2:$F$61,6,FALSE()),"")</f>
        <v>1</v>
      </c>
      <c r="T1847" t="str">
        <f>IF(COUNTIF(Customers!$A$2:$A$301,C1847)=0,"Missing","OK")</f>
        <v>OK</v>
      </c>
      <c r="U1847" t="str">
        <f t="shared" si="85"/>
        <v>Chennai</v>
      </c>
      <c r="V1847">
        <f t="shared" si="86"/>
        <v>0</v>
      </c>
    </row>
    <row r="1848" spans="1:22" ht="15" customHeight="1" x14ac:dyDescent="0.35">
      <c r="A1848" s="3" t="s">
        <v>2284</v>
      </c>
      <c r="B1848" s="4">
        <v>45413</v>
      </c>
      <c r="C1848" s="3" t="s">
        <v>552</v>
      </c>
      <c r="D1848" s="3" t="s">
        <v>441</v>
      </c>
      <c r="E1848" s="3" t="s">
        <v>67</v>
      </c>
      <c r="F1848" s="5">
        <v>1</v>
      </c>
      <c r="G1848" s="5">
        <v>1090</v>
      </c>
      <c r="H1848" s="5">
        <v>17.3</v>
      </c>
      <c r="I1848" s="5">
        <v>901.43</v>
      </c>
      <c r="J1848" s="3" t="s">
        <v>26</v>
      </c>
      <c r="K1848" s="3" t="s">
        <v>51</v>
      </c>
      <c r="L1848" t="str">
        <f>IFERROR(VLOOKUP(D1848,Products!$A$2:$F$61,3,FALSE()),"")</f>
        <v>Home</v>
      </c>
      <c r="M1848" t="str">
        <f>IFERROR(VLOOKUP(E1848,Sales_Reps!$A$2:$C$31,3,FALSE()),"")</f>
        <v>West</v>
      </c>
      <c r="N1848">
        <f>IFERROR(VLOOKUP(D1848,Products!$A$2:$F$61,4,FALSE()),"")</f>
        <v>464</v>
      </c>
      <c r="O1848" t="str">
        <f>IFERROR(VLOOKUP(C1848,Customers!$A$2:$F$301,5,FALSE()),"")</f>
        <v>Retail</v>
      </c>
      <c r="P1848">
        <f>IFERROR(VLOOKUP(C1848,Customers!$A$2:$F$301,3,FALSE()),"")</f>
        <v>44</v>
      </c>
      <c r="Q1848">
        <f t="shared" si="84"/>
        <v>0.57431192660550456</v>
      </c>
      <c r="R1848">
        <f>IF(AND(COUNTIF($A$2:$A$2027,A1848)&gt;1,COUNTIF($A$2:A1848,A1848)=1),1,0)</f>
        <v>0</v>
      </c>
      <c r="S1848" t="b">
        <f>IFERROR(VLOOKUP(D1848,Products!$A$2:$F$61,6,FALSE()),"")</f>
        <v>1</v>
      </c>
      <c r="T1848" t="str">
        <f>IF(COUNTIF(Customers!$A$2:$A$301,C1848)=0,"Missing","OK")</f>
        <v>OK</v>
      </c>
      <c r="U1848" t="str">
        <f t="shared" si="85"/>
        <v>Mumbai</v>
      </c>
      <c r="V1848">
        <f t="shared" si="86"/>
        <v>0</v>
      </c>
    </row>
    <row r="1849" spans="1:22" ht="15" customHeight="1" x14ac:dyDescent="0.35">
      <c r="A1849" s="3" t="s">
        <v>2285</v>
      </c>
      <c r="B1849" s="4">
        <v>45535</v>
      </c>
      <c r="C1849" s="3" t="s">
        <v>263</v>
      </c>
      <c r="D1849" s="3" t="s">
        <v>382</v>
      </c>
      <c r="E1849" s="3" t="s">
        <v>168</v>
      </c>
      <c r="F1849" s="5">
        <v>8</v>
      </c>
      <c r="G1849" s="5">
        <v>5080</v>
      </c>
      <c r="H1849" s="5">
        <v>0.9</v>
      </c>
      <c r="I1849" s="5">
        <v>40274.239999999998</v>
      </c>
      <c r="J1849" s="3" t="s">
        <v>26</v>
      </c>
      <c r="K1849" s="3" t="s">
        <v>72</v>
      </c>
      <c r="L1849" t="str">
        <f>IFERROR(VLOOKUP(D1849,Products!$A$2:$F$61,3,FALSE()),"")</f>
        <v>Home</v>
      </c>
      <c r="M1849" t="str">
        <f>IFERROR(VLOOKUP(E1849,Sales_Reps!$A$2:$C$31,3,FALSE()),"")</f>
        <v>West</v>
      </c>
      <c r="N1849">
        <f>IFERROR(VLOOKUP(D1849,Products!$A$2:$F$61,4,FALSE()),"")</f>
        <v>2459</v>
      </c>
      <c r="O1849" t="str">
        <f>IFERROR(VLOOKUP(C1849,Customers!$A$2:$F$301,5,FALSE()),"")</f>
        <v>Retail</v>
      </c>
      <c r="P1849">
        <f>IFERROR(VLOOKUP(C1849,Customers!$A$2:$F$301,3,FALSE()),"")</f>
        <v>28</v>
      </c>
      <c r="Q1849">
        <f t="shared" si="84"/>
        <v>0.51594488188976373</v>
      </c>
      <c r="R1849">
        <f>IF(AND(COUNTIF($A$2:$A$2027,A1849)&gt;1,COUNTIF($A$2:A1849,A1849)=1),1,0)</f>
        <v>0</v>
      </c>
      <c r="S1849" t="b">
        <f>IFERROR(VLOOKUP(D1849,Products!$A$2:$F$61,6,FALSE()),"")</f>
        <v>1</v>
      </c>
      <c r="T1849" t="str">
        <f>IF(COUNTIF(Customers!$A$2:$A$301,C1849)=0,"Missing","OK")</f>
        <v>OK</v>
      </c>
      <c r="U1849" t="str">
        <f t="shared" si="85"/>
        <v>Hyderabad</v>
      </c>
      <c r="V1849">
        <f t="shared" si="86"/>
        <v>0</v>
      </c>
    </row>
    <row r="1850" spans="1:22" ht="15" customHeight="1" x14ac:dyDescent="0.35">
      <c r="A1850" s="3" t="s">
        <v>2286</v>
      </c>
      <c r="B1850" s="4">
        <v>45569</v>
      </c>
      <c r="C1850" s="3" t="s">
        <v>795</v>
      </c>
      <c r="D1850" s="3" t="s">
        <v>209</v>
      </c>
      <c r="E1850" s="3" t="s">
        <v>177</v>
      </c>
      <c r="F1850" s="5">
        <v>7</v>
      </c>
      <c r="G1850" s="5">
        <v>4610</v>
      </c>
      <c r="H1850" s="5">
        <v>0.9</v>
      </c>
      <c r="I1850" s="5">
        <v>31979.57</v>
      </c>
      <c r="J1850" s="3" t="s">
        <v>26</v>
      </c>
      <c r="K1850" s="3" t="s">
        <v>27</v>
      </c>
      <c r="L1850" t="str">
        <f>IFERROR(VLOOKUP(D1850,Products!$A$2:$F$61,3,FALSE()),"")</f>
        <v>Home</v>
      </c>
      <c r="M1850" t="str">
        <f>IFERROR(VLOOKUP(E1850,Sales_Reps!$A$2:$C$31,3,FALSE()),"")</f>
        <v>East</v>
      </c>
      <c r="N1850">
        <f>IFERROR(VLOOKUP(D1850,Products!$A$2:$F$61,4,FALSE()),"")</f>
        <v>1850</v>
      </c>
      <c r="O1850" t="str">
        <f>IFERROR(VLOOKUP(C1850,Customers!$A$2:$F$301,5,FALSE()),"")</f>
        <v>SMB</v>
      </c>
      <c r="P1850">
        <f>IFERROR(VLOOKUP(C1850,Customers!$A$2:$F$301,3,FALSE()),"")</f>
        <v>59</v>
      </c>
      <c r="Q1850">
        <f t="shared" si="84"/>
        <v>0.59869848156182215</v>
      </c>
      <c r="R1850">
        <f>IF(AND(COUNTIF($A$2:$A$2027,A1850)&gt;1,COUNTIF($A$2:A1850,A1850)=1),1,0)</f>
        <v>0</v>
      </c>
      <c r="S1850" t="b">
        <f>IFERROR(VLOOKUP(D1850,Products!$A$2:$F$61,6,FALSE()),"")</f>
        <v>1</v>
      </c>
      <c r="T1850" t="str">
        <f>IF(COUNTIF(Customers!$A$2:$A$301,C1850)=0,"Missing","OK")</f>
        <v>OK</v>
      </c>
      <c r="U1850" t="str">
        <f t="shared" si="85"/>
        <v>Pune</v>
      </c>
      <c r="V1850">
        <f t="shared" si="86"/>
        <v>0</v>
      </c>
    </row>
    <row r="1851" spans="1:22" ht="15" customHeight="1" x14ac:dyDescent="0.35">
      <c r="A1851" s="3" t="s">
        <v>2287</v>
      </c>
      <c r="B1851" s="4">
        <v>45527</v>
      </c>
      <c r="C1851" s="3" t="s">
        <v>440</v>
      </c>
      <c r="D1851" s="3" t="s">
        <v>215</v>
      </c>
      <c r="E1851" s="3" t="s">
        <v>67</v>
      </c>
      <c r="F1851" s="5">
        <v>1</v>
      </c>
      <c r="G1851" s="5">
        <v>3020</v>
      </c>
      <c r="H1851" s="5">
        <v>10.3</v>
      </c>
      <c r="I1851" s="5">
        <v>2708.94</v>
      </c>
      <c r="J1851" s="3" t="s">
        <v>26</v>
      </c>
      <c r="K1851" s="3" t="s">
        <v>72</v>
      </c>
      <c r="L1851" t="str">
        <f>IFERROR(VLOOKUP(D1851,Products!$A$2:$F$61,3,FALSE()),"")</f>
        <v>Beauty</v>
      </c>
      <c r="M1851" t="str">
        <f>IFERROR(VLOOKUP(E1851,Sales_Reps!$A$2:$C$31,3,FALSE()),"")</f>
        <v>West</v>
      </c>
      <c r="N1851">
        <f>IFERROR(VLOOKUP(D1851,Products!$A$2:$F$61,4,FALSE()),"")</f>
        <v>1626</v>
      </c>
      <c r="O1851" t="str">
        <f>IFERROR(VLOOKUP(C1851,Customers!$A$2:$F$301,5,FALSE()),"")</f>
        <v>SMB</v>
      </c>
      <c r="P1851">
        <f>IFERROR(VLOOKUP(C1851,Customers!$A$2:$F$301,3,FALSE()),"")</f>
        <v>65</v>
      </c>
      <c r="Q1851">
        <f t="shared" si="84"/>
        <v>0.46158940397350995</v>
      </c>
      <c r="R1851">
        <f>IF(AND(COUNTIF($A$2:$A$2027,A1851)&gt;1,COUNTIF($A$2:A1851,A1851)=1),1,0)</f>
        <v>0</v>
      </c>
      <c r="S1851" t="b">
        <f>IFERROR(VLOOKUP(D1851,Products!$A$2:$F$61,6,FALSE()),"")</f>
        <v>1</v>
      </c>
      <c r="T1851" t="str">
        <f>IF(COUNTIF(Customers!$A$2:$A$301,C1851)=0,"Missing","OK")</f>
        <v>OK</v>
      </c>
      <c r="U1851" t="str">
        <f t="shared" si="85"/>
        <v>Hyderabad</v>
      </c>
      <c r="V1851">
        <f t="shared" si="86"/>
        <v>0</v>
      </c>
    </row>
    <row r="1852" spans="1:22" ht="15" customHeight="1" x14ac:dyDescent="0.35">
      <c r="A1852" s="3" t="s">
        <v>2288</v>
      </c>
      <c r="B1852" s="4">
        <v>45453</v>
      </c>
      <c r="C1852" s="3" t="s">
        <v>577</v>
      </c>
      <c r="D1852" s="3" t="s">
        <v>184</v>
      </c>
      <c r="E1852" s="3" t="s">
        <v>67</v>
      </c>
      <c r="F1852" s="5">
        <v>6</v>
      </c>
      <c r="G1852" s="5">
        <v>2270</v>
      </c>
      <c r="H1852" s="5">
        <v>23.1</v>
      </c>
      <c r="I1852" s="5">
        <v>10473.780000000001</v>
      </c>
      <c r="J1852" s="3" t="s">
        <v>26</v>
      </c>
      <c r="K1852" s="3" t="s">
        <v>38</v>
      </c>
      <c r="L1852" t="str">
        <f>IFERROR(VLOOKUP(D1852,Products!$A$2:$F$61,3,FALSE()),"")</f>
        <v>Grocery</v>
      </c>
      <c r="M1852" t="str">
        <f>IFERROR(VLOOKUP(E1852,Sales_Reps!$A$2:$C$31,3,FALSE()),"")</f>
        <v>West</v>
      </c>
      <c r="N1852">
        <f>IFERROR(VLOOKUP(D1852,Products!$A$2:$F$61,4,FALSE()),"")</f>
        <v>1412</v>
      </c>
      <c r="O1852" t="str">
        <f>IFERROR(VLOOKUP(C1852,Customers!$A$2:$F$301,5,FALSE()),"")</f>
        <v>Retail</v>
      </c>
      <c r="P1852">
        <f>IFERROR(VLOOKUP(C1852,Customers!$A$2:$F$301,3,FALSE()),"")</f>
        <v>43</v>
      </c>
      <c r="Q1852">
        <f t="shared" si="84"/>
        <v>0.37797356828193834</v>
      </c>
      <c r="R1852">
        <f>IF(AND(COUNTIF($A$2:$A$2027,A1852)&gt;1,COUNTIF($A$2:A1852,A1852)=1),1,0)</f>
        <v>0</v>
      </c>
      <c r="S1852" t="b">
        <f>IFERROR(VLOOKUP(D1852,Products!$A$2:$F$61,6,FALSE()),"")</f>
        <v>1</v>
      </c>
      <c r="T1852" t="str">
        <f>IF(COUNTIF(Customers!$A$2:$A$301,C1852)=0,"Missing","OK")</f>
        <v>OK</v>
      </c>
      <c r="U1852" t="str">
        <f t="shared" si="85"/>
        <v>Delhi</v>
      </c>
      <c r="V1852">
        <f t="shared" si="86"/>
        <v>0</v>
      </c>
    </row>
    <row r="1853" spans="1:22" ht="15" customHeight="1" x14ac:dyDescent="0.35">
      <c r="A1853" s="3" t="s">
        <v>2289</v>
      </c>
      <c r="B1853" s="4">
        <v>45605</v>
      </c>
      <c r="C1853" s="3" t="s">
        <v>81</v>
      </c>
      <c r="D1853" s="3" t="s">
        <v>203</v>
      </c>
      <c r="E1853" s="3" t="s">
        <v>71</v>
      </c>
      <c r="F1853" s="5">
        <v>6</v>
      </c>
      <c r="G1853" s="5">
        <v>4070</v>
      </c>
      <c r="H1853" s="5">
        <v>28.9</v>
      </c>
      <c r="I1853" s="5">
        <v>17362.62</v>
      </c>
      <c r="J1853" s="3" t="s">
        <v>26</v>
      </c>
      <c r="K1853" s="3" t="s">
        <v>27</v>
      </c>
      <c r="L1853" t="str">
        <f>IFERROR(VLOOKUP(D1853,Products!$A$2:$F$61,3,FALSE()),"")</f>
        <v>Grocery</v>
      </c>
      <c r="M1853" t="str">
        <f>IFERROR(VLOOKUP(E1853,Sales_Reps!$A$2:$C$31,3,FALSE()),"")</f>
        <v>South</v>
      </c>
      <c r="N1853">
        <f>IFERROR(VLOOKUP(D1853,Products!$A$2:$F$61,4,FALSE()),"")</f>
        <v>2027</v>
      </c>
      <c r="O1853" t="str">
        <f>IFERROR(VLOOKUP(C1853,Customers!$A$2:$F$301,5,FALSE()),"")</f>
        <v>SMB</v>
      </c>
      <c r="P1853">
        <f>IFERROR(VLOOKUP(C1853,Customers!$A$2:$F$301,3,FALSE()),"")</f>
        <v>39</v>
      </c>
      <c r="Q1853">
        <f t="shared" si="84"/>
        <v>0.50196560196560192</v>
      </c>
      <c r="R1853">
        <f>IF(AND(COUNTIF($A$2:$A$2027,A1853)&gt;1,COUNTIF($A$2:A1853,A1853)=1),1,0)</f>
        <v>0</v>
      </c>
      <c r="S1853" t="b">
        <f>IFERROR(VLOOKUP(D1853,Products!$A$2:$F$61,6,FALSE()),"")</f>
        <v>1</v>
      </c>
      <c r="T1853" t="str">
        <f>IF(COUNTIF(Customers!$A$2:$A$301,C1853)=0,"Missing","OK")</f>
        <v>OK</v>
      </c>
      <c r="U1853" t="str">
        <f t="shared" si="85"/>
        <v>Pune</v>
      </c>
      <c r="V1853">
        <f t="shared" si="86"/>
        <v>0</v>
      </c>
    </row>
    <row r="1854" spans="1:22" ht="15" customHeight="1" x14ac:dyDescent="0.35">
      <c r="A1854" s="3" t="s">
        <v>2290</v>
      </c>
      <c r="B1854" s="4">
        <v>45650</v>
      </c>
      <c r="C1854" s="3" t="s">
        <v>480</v>
      </c>
      <c r="D1854" s="3" t="s">
        <v>206</v>
      </c>
      <c r="E1854" s="3" t="s">
        <v>177</v>
      </c>
      <c r="F1854" s="5">
        <v>5</v>
      </c>
      <c r="G1854" s="5">
        <v>1220</v>
      </c>
      <c r="H1854" s="5">
        <v>18.7</v>
      </c>
      <c r="I1854" s="5">
        <v>4959.3</v>
      </c>
      <c r="J1854" s="3" t="s">
        <v>26</v>
      </c>
      <c r="K1854" s="3" t="s">
        <v>33</v>
      </c>
      <c r="L1854" t="str">
        <f>IFERROR(VLOOKUP(D1854,Products!$A$2:$F$61,3,FALSE()),"")</f>
        <v>Electronics</v>
      </c>
      <c r="M1854" t="str">
        <f>IFERROR(VLOOKUP(E1854,Sales_Reps!$A$2:$C$31,3,FALSE()),"")</f>
        <v>East</v>
      </c>
      <c r="N1854">
        <f>IFERROR(VLOOKUP(D1854,Products!$A$2:$F$61,4,FALSE()),"")</f>
        <v>517</v>
      </c>
      <c r="O1854" t="str">
        <f>IFERROR(VLOOKUP(C1854,Customers!$A$2:$F$301,5,FALSE()),"")</f>
        <v>Corporate</v>
      </c>
      <c r="P1854">
        <f>IFERROR(VLOOKUP(C1854,Customers!$A$2:$F$301,3,FALSE()),"")</f>
        <v>34</v>
      </c>
      <c r="Q1854">
        <f t="shared" si="84"/>
        <v>0.57622950819672136</v>
      </c>
      <c r="R1854">
        <f>IF(AND(COUNTIF($A$2:$A$2027,A1854)&gt;1,COUNTIF($A$2:A1854,A1854)=1),1,0)</f>
        <v>0</v>
      </c>
      <c r="S1854" t="b">
        <f>IFERROR(VLOOKUP(D1854,Products!$A$2:$F$61,6,FALSE()),"")</f>
        <v>1</v>
      </c>
      <c r="T1854" t="str">
        <f>IF(COUNTIF(Customers!$A$2:$A$301,C1854)=0,"Missing","OK")</f>
        <v>OK</v>
      </c>
      <c r="U1854" t="str">
        <f t="shared" si="85"/>
        <v>Chennai</v>
      </c>
      <c r="V1854">
        <f t="shared" si="86"/>
        <v>0</v>
      </c>
    </row>
    <row r="1855" spans="1:22" ht="15" customHeight="1" x14ac:dyDescent="0.35">
      <c r="A1855" s="3" t="s">
        <v>2291</v>
      </c>
      <c r="B1855" s="4">
        <v>45412</v>
      </c>
      <c r="C1855" s="3" t="s">
        <v>324</v>
      </c>
      <c r="D1855" s="3" t="s">
        <v>106</v>
      </c>
      <c r="E1855" s="3" t="s">
        <v>55</v>
      </c>
      <c r="F1855" s="5">
        <v>8</v>
      </c>
      <c r="G1855" s="5">
        <v>2480</v>
      </c>
      <c r="H1855" s="5">
        <v>3.2</v>
      </c>
      <c r="I1855" s="5">
        <v>19205.12</v>
      </c>
      <c r="J1855" s="3" t="s">
        <v>79</v>
      </c>
      <c r="K1855" s="3" t="s">
        <v>56</v>
      </c>
      <c r="L1855" t="str">
        <f>IFERROR(VLOOKUP(D1855,Products!$A$2:$F$61,3,FALSE()),"")</f>
        <v>Apparel</v>
      </c>
      <c r="M1855" t="str">
        <f>IFERROR(VLOOKUP(E1855,Sales_Reps!$A$2:$C$31,3,FALSE()),"")</f>
        <v>West</v>
      </c>
      <c r="N1855">
        <f>IFERROR(VLOOKUP(D1855,Products!$A$2:$F$61,4,FALSE()),"")</f>
        <v>1173</v>
      </c>
      <c r="O1855" t="str">
        <f>IFERROR(VLOOKUP(C1855,Customers!$A$2:$F$301,5,FALSE()),"")</f>
        <v>Retail</v>
      </c>
      <c r="P1855">
        <f>IFERROR(VLOOKUP(C1855,Customers!$A$2:$F$301,3,FALSE()),"")</f>
        <v>23</v>
      </c>
      <c r="Q1855">
        <f t="shared" si="84"/>
        <v>0.52701612903225803</v>
      </c>
      <c r="R1855">
        <f>IF(AND(COUNTIF($A$2:$A$2027,A1855)&gt;1,COUNTIF($A$2:A1855,A1855)=1),1,0)</f>
        <v>0</v>
      </c>
      <c r="S1855" t="b">
        <f>IFERROR(VLOOKUP(D1855,Products!$A$2:$F$61,6,FALSE()),"")</f>
        <v>1</v>
      </c>
      <c r="T1855" t="str">
        <f>IF(COUNTIF(Customers!$A$2:$A$301,C1855)=0,"Missing","OK")</f>
        <v>OK</v>
      </c>
      <c r="U1855" t="str">
        <f t="shared" si="85"/>
        <v>Bengaluru</v>
      </c>
      <c r="V1855">
        <f t="shared" si="86"/>
        <v>0</v>
      </c>
    </row>
    <row r="1856" spans="1:22" ht="15" customHeight="1" x14ac:dyDescent="0.35">
      <c r="A1856" s="3" t="s">
        <v>2292</v>
      </c>
      <c r="B1856" s="4">
        <v>45554</v>
      </c>
      <c r="C1856" s="3" t="s">
        <v>399</v>
      </c>
      <c r="D1856" s="3" t="s">
        <v>134</v>
      </c>
      <c r="E1856" s="3" t="s">
        <v>25</v>
      </c>
      <c r="F1856" s="5">
        <v>7</v>
      </c>
      <c r="G1856" s="5">
        <v>2860</v>
      </c>
      <c r="H1856" s="5">
        <v>8.4</v>
      </c>
      <c r="I1856" s="5">
        <v>18338.32</v>
      </c>
      <c r="J1856" s="3" t="s">
        <v>26</v>
      </c>
      <c r="K1856" s="3" t="s">
        <v>27</v>
      </c>
      <c r="L1856" t="str">
        <f>IFERROR(VLOOKUP(D1856,Products!$A$2:$F$61,3,FALSE()),"")</f>
        <v>Sports</v>
      </c>
      <c r="M1856" t="str">
        <f>IFERROR(VLOOKUP(E1856,Sales_Reps!$A$2:$C$31,3,FALSE()),"")</f>
        <v>North</v>
      </c>
      <c r="N1856">
        <f>IFERROR(VLOOKUP(D1856,Products!$A$2:$F$61,4,FALSE()),"")</f>
        <v>2028</v>
      </c>
      <c r="O1856" t="str">
        <f>IFERROR(VLOOKUP(C1856,Customers!$A$2:$F$301,5,FALSE()),"")</f>
        <v>Corporate</v>
      </c>
      <c r="P1856">
        <f>IFERROR(VLOOKUP(C1856,Customers!$A$2:$F$301,3,FALSE()),"")</f>
        <v>37</v>
      </c>
      <c r="Q1856">
        <f t="shared" si="84"/>
        <v>0.29090909090909089</v>
      </c>
      <c r="R1856">
        <f>IF(AND(COUNTIF($A$2:$A$2027,A1856)&gt;1,COUNTIF($A$2:A1856,A1856)=1),1,0)</f>
        <v>0</v>
      </c>
      <c r="S1856" t="b">
        <f>IFERROR(VLOOKUP(D1856,Products!$A$2:$F$61,6,FALSE()),"")</f>
        <v>1</v>
      </c>
      <c r="T1856" t="str">
        <f>IF(COUNTIF(Customers!$A$2:$A$301,C1856)=0,"Missing","OK")</f>
        <v>OK</v>
      </c>
      <c r="U1856" t="str">
        <f t="shared" si="85"/>
        <v>Pune</v>
      </c>
      <c r="V1856">
        <f t="shared" si="86"/>
        <v>0</v>
      </c>
    </row>
    <row r="1857" spans="1:22" ht="15" customHeight="1" x14ac:dyDescent="0.35">
      <c r="A1857" s="3" t="s">
        <v>2293</v>
      </c>
      <c r="B1857" s="4">
        <v>45365</v>
      </c>
      <c r="C1857" s="3" t="s">
        <v>261</v>
      </c>
      <c r="D1857" s="3" t="s">
        <v>173</v>
      </c>
      <c r="E1857" s="3" t="s">
        <v>55</v>
      </c>
      <c r="F1857" s="5">
        <v>1</v>
      </c>
      <c r="G1857" s="5">
        <v>3780</v>
      </c>
      <c r="H1857" s="5">
        <v>16.3</v>
      </c>
      <c r="I1857" s="5">
        <v>3163.86</v>
      </c>
      <c r="J1857" s="3" t="s">
        <v>79</v>
      </c>
      <c r="K1857" s="3" t="s">
        <v>38</v>
      </c>
      <c r="L1857" t="str">
        <f>IFERROR(VLOOKUP(D1857,Products!$A$2:$F$61,3,FALSE()),"")</f>
        <v>Grocery</v>
      </c>
      <c r="M1857" t="str">
        <f>IFERROR(VLOOKUP(E1857,Sales_Reps!$A$2:$C$31,3,FALSE()),"")</f>
        <v>West</v>
      </c>
      <c r="N1857">
        <f>IFERROR(VLOOKUP(D1857,Products!$A$2:$F$61,4,FALSE()),"")</f>
        <v>2436</v>
      </c>
      <c r="O1857" t="str">
        <f>IFERROR(VLOOKUP(C1857,Customers!$A$2:$F$301,5,FALSE()),"")</f>
        <v>Retail</v>
      </c>
      <c r="P1857">
        <f>IFERROR(VLOOKUP(C1857,Customers!$A$2:$F$301,3,FALSE()),"")</f>
        <v>31</v>
      </c>
      <c r="Q1857">
        <f t="shared" si="84"/>
        <v>0.35555555555555557</v>
      </c>
      <c r="R1857">
        <f>IF(AND(COUNTIF($A$2:$A$2027,A1857)&gt;1,COUNTIF($A$2:A1857,A1857)=1),1,0)</f>
        <v>0</v>
      </c>
      <c r="S1857" t="b">
        <f>IFERROR(VLOOKUP(D1857,Products!$A$2:$F$61,6,FALSE()),"")</f>
        <v>1</v>
      </c>
      <c r="T1857" t="str">
        <f>IF(COUNTIF(Customers!$A$2:$A$301,C1857)=0,"Missing","OK")</f>
        <v>OK</v>
      </c>
      <c r="U1857" t="str">
        <f t="shared" si="85"/>
        <v>Delhi</v>
      </c>
      <c r="V1857">
        <f t="shared" si="86"/>
        <v>0</v>
      </c>
    </row>
    <row r="1858" spans="1:22" ht="15" customHeight="1" x14ac:dyDescent="0.35">
      <c r="A1858" s="3" t="s">
        <v>2294</v>
      </c>
      <c r="B1858" s="4">
        <v>45504</v>
      </c>
      <c r="C1858" s="3" t="s">
        <v>916</v>
      </c>
      <c r="D1858" s="3" t="s">
        <v>134</v>
      </c>
      <c r="E1858" s="3" t="s">
        <v>50</v>
      </c>
      <c r="F1858" s="5">
        <v>6</v>
      </c>
      <c r="G1858" s="5">
        <v>2860</v>
      </c>
      <c r="H1858" s="5">
        <v>10.7</v>
      </c>
      <c r="I1858" s="5">
        <v>15323.88</v>
      </c>
      <c r="J1858" s="3" t="s">
        <v>26</v>
      </c>
      <c r="K1858" s="3" t="s">
        <v>27</v>
      </c>
      <c r="L1858" t="str">
        <f>IFERROR(VLOOKUP(D1858,Products!$A$2:$F$61,3,FALSE()),"")</f>
        <v>Sports</v>
      </c>
      <c r="M1858" t="str">
        <f>IFERROR(VLOOKUP(E1858,Sales_Reps!$A$2:$C$31,3,FALSE()),"")</f>
        <v>West</v>
      </c>
      <c r="N1858">
        <f>IFERROR(VLOOKUP(D1858,Products!$A$2:$F$61,4,FALSE()),"")</f>
        <v>2028</v>
      </c>
      <c r="O1858" t="str">
        <f>IFERROR(VLOOKUP(C1858,Customers!$A$2:$F$301,5,FALSE()),"")</f>
        <v>Corporate</v>
      </c>
      <c r="P1858">
        <f>IFERROR(VLOOKUP(C1858,Customers!$A$2:$F$301,3,FALSE()),"")</f>
        <v>29</v>
      </c>
      <c r="Q1858">
        <f t="shared" ref="Q1858:Q1921" si="87">IFERROR((G1858-N1858)/G1858,"")</f>
        <v>0.29090909090909089</v>
      </c>
      <c r="R1858">
        <f>IF(AND(COUNTIF($A$2:$A$2027,A1858)&gt;1,COUNTIF($A$2:A1858,A1858)=1),1,0)</f>
        <v>0</v>
      </c>
      <c r="S1858" t="b">
        <f>IFERROR(VLOOKUP(D1858,Products!$A$2:$F$61,6,FALSE()),"")</f>
        <v>1</v>
      </c>
      <c r="T1858" t="str">
        <f>IF(COUNTIF(Customers!$A$2:$A$301,C1858)=0,"Missing","OK")</f>
        <v>OK</v>
      </c>
      <c r="U1858" t="str">
        <f t="shared" ref="U1858:U1921" si="88">IF(K1858="","",PROPER(TRIM(K1858)))</f>
        <v>Pune</v>
      </c>
      <c r="V1858">
        <f t="shared" ref="V1858:V1921" si="89">IF(AND(U1858="Bengaluru",L1858="Grocery"),I1858,0)</f>
        <v>0</v>
      </c>
    </row>
    <row r="1859" spans="1:22" ht="15" customHeight="1" x14ac:dyDescent="0.35">
      <c r="A1859" s="3" t="s">
        <v>2295</v>
      </c>
      <c r="B1859" s="4">
        <v>45652</v>
      </c>
      <c r="C1859" s="3" t="s">
        <v>680</v>
      </c>
      <c r="D1859" s="3" t="s">
        <v>90</v>
      </c>
      <c r="E1859" s="3" t="s">
        <v>282</v>
      </c>
      <c r="F1859" s="5">
        <v>3</v>
      </c>
      <c r="G1859" s="5">
        <v>2400</v>
      </c>
      <c r="H1859" s="5">
        <v>20.7</v>
      </c>
      <c r="I1859" s="5">
        <v>5709.6</v>
      </c>
      <c r="J1859" s="3" t="s">
        <v>26</v>
      </c>
      <c r="K1859" s="3" t="s">
        <v>72</v>
      </c>
      <c r="L1859" t="str">
        <f>IFERROR(VLOOKUP(D1859,Products!$A$2:$F$61,3,FALSE()),"")</f>
        <v>Sports</v>
      </c>
      <c r="M1859" t="str">
        <f>IFERROR(VLOOKUP(E1859,Sales_Reps!$A$2:$C$31,3,FALSE()),"")</f>
        <v>West</v>
      </c>
      <c r="N1859">
        <f>IFERROR(VLOOKUP(D1859,Products!$A$2:$F$61,4,FALSE()),"")</f>
        <v>974</v>
      </c>
      <c r="O1859" t="str">
        <f>IFERROR(VLOOKUP(C1859,Customers!$A$2:$F$301,5,FALSE()),"")</f>
        <v>SMB</v>
      </c>
      <c r="P1859">
        <f>IFERROR(VLOOKUP(C1859,Customers!$A$2:$F$301,3,FALSE()),"")</f>
        <v>29</v>
      </c>
      <c r="Q1859">
        <f t="shared" si="87"/>
        <v>0.59416666666666662</v>
      </c>
      <c r="R1859">
        <f>IF(AND(COUNTIF($A$2:$A$2027,A1859)&gt;1,COUNTIF($A$2:A1859,A1859)=1),1,0)</f>
        <v>0</v>
      </c>
      <c r="S1859" t="b">
        <f>IFERROR(VLOOKUP(D1859,Products!$A$2:$F$61,6,FALSE()),"")</f>
        <v>1</v>
      </c>
      <c r="T1859" t="str">
        <f>IF(COUNTIF(Customers!$A$2:$A$301,C1859)=0,"Missing","OK")</f>
        <v>OK</v>
      </c>
      <c r="U1859" t="str">
        <f t="shared" si="88"/>
        <v>Hyderabad</v>
      </c>
      <c r="V1859">
        <f t="shared" si="89"/>
        <v>0</v>
      </c>
    </row>
    <row r="1860" spans="1:22" ht="15" customHeight="1" x14ac:dyDescent="0.35">
      <c r="A1860" s="3" t="s">
        <v>2296</v>
      </c>
      <c r="B1860" s="4">
        <v>45330</v>
      </c>
      <c r="C1860" s="3" t="s">
        <v>1200</v>
      </c>
      <c r="D1860" s="3" t="s">
        <v>306</v>
      </c>
      <c r="E1860" s="3" t="s">
        <v>50</v>
      </c>
      <c r="F1860" s="5">
        <v>8</v>
      </c>
      <c r="G1860" s="5">
        <v>2380</v>
      </c>
      <c r="H1860" s="5">
        <v>22.3</v>
      </c>
      <c r="I1860" s="5">
        <v>14794.08</v>
      </c>
      <c r="J1860" s="3" t="s">
        <v>83</v>
      </c>
      <c r="K1860" s="3" t="s">
        <v>56</v>
      </c>
      <c r="L1860" t="str">
        <f>IFERROR(VLOOKUP(D1860,Products!$A$2:$F$61,3,FALSE()),"")</f>
        <v>Grocery</v>
      </c>
      <c r="M1860" t="str">
        <f>IFERROR(VLOOKUP(E1860,Sales_Reps!$A$2:$C$31,3,FALSE()),"")</f>
        <v>West</v>
      </c>
      <c r="N1860">
        <f>IFERROR(VLOOKUP(D1860,Products!$A$2:$F$61,4,FALSE()),"")</f>
        <v>1182</v>
      </c>
      <c r="O1860" t="str">
        <f>IFERROR(VLOOKUP(C1860,Customers!$A$2:$F$301,5,FALSE()),"")</f>
        <v>Retail</v>
      </c>
      <c r="P1860">
        <f>IFERROR(VLOOKUP(C1860,Customers!$A$2:$F$301,3,FALSE()),"")</f>
        <v>54</v>
      </c>
      <c r="Q1860">
        <f t="shared" si="87"/>
        <v>0.50336134453781511</v>
      </c>
      <c r="R1860">
        <f>IF(AND(COUNTIF($A$2:$A$2027,A1860)&gt;1,COUNTIF($A$2:A1860,A1860)=1),1,0)</f>
        <v>0</v>
      </c>
      <c r="S1860" t="b">
        <f>IFERROR(VLOOKUP(D1860,Products!$A$2:$F$61,6,FALSE()),"")</f>
        <v>1</v>
      </c>
      <c r="T1860" t="str">
        <f>IF(COUNTIF(Customers!$A$2:$A$301,C1860)=0,"Missing","OK")</f>
        <v>OK</v>
      </c>
      <c r="U1860" t="str">
        <f t="shared" si="88"/>
        <v>Bengaluru</v>
      </c>
      <c r="V1860">
        <f t="shared" si="89"/>
        <v>14794.08</v>
      </c>
    </row>
    <row r="1861" spans="1:22" ht="15" customHeight="1" x14ac:dyDescent="0.35">
      <c r="A1861" s="3" t="s">
        <v>2297</v>
      </c>
      <c r="B1861" s="4">
        <v>45533</v>
      </c>
      <c r="C1861" s="3" t="s">
        <v>396</v>
      </c>
      <c r="D1861" s="3" t="s">
        <v>130</v>
      </c>
      <c r="E1861" s="3" t="s">
        <v>42</v>
      </c>
      <c r="F1861" s="5">
        <v>7</v>
      </c>
      <c r="G1861" s="5">
        <v>5100</v>
      </c>
      <c r="H1861" s="5">
        <v>22.9</v>
      </c>
      <c r="I1861" s="5">
        <v>27524.7</v>
      </c>
      <c r="J1861" s="3" t="s">
        <v>79</v>
      </c>
      <c r="K1861" s="3" t="s">
        <v>27</v>
      </c>
      <c r="L1861" t="str">
        <f>IFERROR(VLOOKUP(D1861,Products!$A$2:$F$61,3,FALSE()),"")</f>
        <v>Beauty</v>
      </c>
      <c r="M1861" t="str">
        <f>IFERROR(VLOOKUP(E1861,Sales_Reps!$A$2:$C$31,3,FALSE()),"")</f>
        <v>North</v>
      </c>
      <c r="N1861">
        <f>IFERROR(VLOOKUP(D1861,Products!$A$2:$F$61,4,FALSE()),"")</f>
        <v>2237</v>
      </c>
      <c r="O1861" t="str">
        <f>IFERROR(VLOOKUP(C1861,Customers!$A$2:$F$301,5,FALSE()),"")</f>
        <v>Retail</v>
      </c>
      <c r="P1861">
        <f>IFERROR(VLOOKUP(C1861,Customers!$A$2:$F$301,3,FALSE()),"")</f>
        <v>29</v>
      </c>
      <c r="Q1861">
        <f t="shared" si="87"/>
        <v>0.56137254901960787</v>
      </c>
      <c r="R1861">
        <f>IF(AND(COUNTIF($A$2:$A$2027,A1861)&gt;1,COUNTIF($A$2:A1861,A1861)=1),1,0)</f>
        <v>0</v>
      </c>
      <c r="S1861" t="b">
        <f>IFERROR(VLOOKUP(D1861,Products!$A$2:$F$61,6,FALSE()),"")</f>
        <v>1</v>
      </c>
      <c r="T1861" t="str">
        <f>IF(COUNTIF(Customers!$A$2:$A$301,C1861)=0,"Missing","OK")</f>
        <v>OK</v>
      </c>
      <c r="U1861" t="str">
        <f t="shared" si="88"/>
        <v>Pune</v>
      </c>
      <c r="V1861">
        <f t="shared" si="89"/>
        <v>0</v>
      </c>
    </row>
    <row r="1862" spans="1:22" ht="15" customHeight="1" x14ac:dyDescent="0.35">
      <c r="A1862" s="3" t="s">
        <v>2298</v>
      </c>
      <c r="B1862" s="4">
        <v>45463</v>
      </c>
      <c r="C1862" s="3" t="s">
        <v>426</v>
      </c>
      <c r="D1862" s="3" t="s">
        <v>221</v>
      </c>
      <c r="E1862" s="3" t="s">
        <v>127</v>
      </c>
      <c r="F1862" s="5">
        <v>7</v>
      </c>
      <c r="G1862" s="5">
        <v>300</v>
      </c>
      <c r="H1862" s="5">
        <v>15.3</v>
      </c>
      <c r="I1862" s="5">
        <v>1778.7</v>
      </c>
      <c r="J1862" s="3" t="s">
        <v>26</v>
      </c>
      <c r="K1862" s="3" t="s">
        <v>27</v>
      </c>
      <c r="L1862" t="str">
        <f>IFERROR(VLOOKUP(D1862,Products!$A$2:$F$61,3,FALSE()),"")</f>
        <v>Electronics</v>
      </c>
      <c r="M1862" t="str">
        <f>IFERROR(VLOOKUP(E1862,Sales_Reps!$A$2:$C$31,3,FALSE()),"")</f>
        <v>South</v>
      </c>
      <c r="N1862">
        <f>IFERROR(VLOOKUP(D1862,Products!$A$2:$F$61,4,FALSE()),"")</f>
        <v>128</v>
      </c>
      <c r="O1862" t="str">
        <f>IFERROR(VLOOKUP(C1862,Customers!$A$2:$F$301,5,FALSE()),"")</f>
        <v>Corporate</v>
      </c>
      <c r="P1862">
        <f>IFERROR(VLOOKUP(C1862,Customers!$A$2:$F$301,3,FALSE()),"")</f>
        <v>29</v>
      </c>
      <c r="Q1862">
        <f t="shared" si="87"/>
        <v>0.57333333333333336</v>
      </c>
      <c r="R1862">
        <f>IF(AND(COUNTIF($A$2:$A$2027,A1862)&gt;1,COUNTIF($A$2:A1862,A1862)=1),1,0)</f>
        <v>0</v>
      </c>
      <c r="S1862" t="b">
        <f>IFERROR(VLOOKUP(D1862,Products!$A$2:$F$61,6,FALSE()),"")</f>
        <v>1</v>
      </c>
      <c r="T1862" t="str">
        <f>IF(COUNTIF(Customers!$A$2:$A$301,C1862)=0,"Missing","OK")</f>
        <v>OK</v>
      </c>
      <c r="U1862" t="str">
        <f t="shared" si="88"/>
        <v>Pune</v>
      </c>
      <c r="V1862">
        <f t="shared" si="89"/>
        <v>0</v>
      </c>
    </row>
    <row r="1863" spans="1:22" ht="15" customHeight="1" x14ac:dyDescent="0.35">
      <c r="A1863" s="3" t="s">
        <v>2299</v>
      </c>
      <c r="B1863" s="4">
        <v>45428</v>
      </c>
      <c r="C1863" s="3" t="s">
        <v>76</v>
      </c>
      <c r="D1863" s="3" t="s">
        <v>100</v>
      </c>
      <c r="E1863" s="3" t="s">
        <v>71</v>
      </c>
      <c r="F1863" s="5">
        <v>5</v>
      </c>
      <c r="G1863" s="5">
        <v>3450</v>
      </c>
      <c r="H1863" s="5">
        <v>16.8</v>
      </c>
      <c r="I1863" s="5">
        <v>14352</v>
      </c>
      <c r="J1863" s="3" t="s">
        <v>26</v>
      </c>
      <c r="K1863" s="3" t="s">
        <v>38</v>
      </c>
      <c r="L1863" t="str">
        <f>IFERROR(VLOOKUP(D1863,Products!$A$2:$F$61,3,FALSE()),"")</f>
        <v>Sports</v>
      </c>
      <c r="M1863" t="str">
        <f>IFERROR(VLOOKUP(E1863,Sales_Reps!$A$2:$C$31,3,FALSE()),"")</f>
        <v>South</v>
      </c>
      <c r="N1863">
        <f>IFERROR(VLOOKUP(D1863,Products!$A$2:$F$61,4,FALSE()),"")</f>
        <v>2467</v>
      </c>
      <c r="O1863" t="str">
        <f>IFERROR(VLOOKUP(C1863,Customers!$A$2:$F$301,5,FALSE()),"")</f>
        <v>SMB</v>
      </c>
      <c r="P1863">
        <f>IFERROR(VLOOKUP(C1863,Customers!$A$2:$F$301,3,FALSE()),"")</f>
        <v>27</v>
      </c>
      <c r="Q1863">
        <f t="shared" si="87"/>
        <v>0.28492753623188405</v>
      </c>
      <c r="R1863">
        <f>IF(AND(COUNTIF($A$2:$A$2027,A1863)&gt;1,COUNTIF($A$2:A1863,A1863)=1),1,0)</f>
        <v>0</v>
      </c>
      <c r="S1863" t="b">
        <f>IFERROR(VLOOKUP(D1863,Products!$A$2:$F$61,6,FALSE()),"")</f>
        <v>1</v>
      </c>
      <c r="T1863" t="str">
        <f>IF(COUNTIF(Customers!$A$2:$A$301,C1863)=0,"Missing","OK")</f>
        <v>OK</v>
      </c>
      <c r="U1863" t="str">
        <f t="shared" si="88"/>
        <v>Delhi</v>
      </c>
      <c r="V1863">
        <f t="shared" si="89"/>
        <v>0</v>
      </c>
    </row>
    <row r="1864" spans="1:22" ht="15" customHeight="1" x14ac:dyDescent="0.35">
      <c r="A1864" s="3" t="s">
        <v>2300</v>
      </c>
      <c r="B1864" s="4">
        <v>45634</v>
      </c>
      <c r="C1864" s="3" t="s">
        <v>625</v>
      </c>
      <c r="D1864" s="3" t="s">
        <v>134</v>
      </c>
      <c r="E1864" s="3" t="s">
        <v>37</v>
      </c>
      <c r="F1864" s="5">
        <v>4</v>
      </c>
      <c r="G1864" s="5">
        <v>2860</v>
      </c>
      <c r="H1864" s="5">
        <v>14.3</v>
      </c>
      <c r="I1864" s="5">
        <v>9804.08</v>
      </c>
      <c r="J1864" s="3" t="s">
        <v>26</v>
      </c>
      <c r="K1864" s="3" t="s">
        <v>51</v>
      </c>
      <c r="L1864" t="str">
        <f>IFERROR(VLOOKUP(D1864,Products!$A$2:$F$61,3,FALSE()),"")</f>
        <v>Sports</v>
      </c>
      <c r="M1864" t="str">
        <f>IFERROR(VLOOKUP(E1864,Sales_Reps!$A$2:$C$31,3,FALSE()),"")</f>
        <v>South</v>
      </c>
      <c r="N1864">
        <f>IFERROR(VLOOKUP(D1864,Products!$A$2:$F$61,4,FALSE()),"")</f>
        <v>2028</v>
      </c>
      <c r="O1864" t="str">
        <f>IFERROR(VLOOKUP(C1864,Customers!$A$2:$F$301,5,FALSE()),"")</f>
        <v>Retail</v>
      </c>
      <c r="P1864">
        <f>IFERROR(VLOOKUP(C1864,Customers!$A$2:$F$301,3,FALSE()),"")</f>
        <v>35</v>
      </c>
      <c r="Q1864">
        <f t="shared" si="87"/>
        <v>0.29090909090909089</v>
      </c>
      <c r="R1864">
        <f>IF(AND(COUNTIF($A$2:$A$2027,A1864)&gt;1,COUNTIF($A$2:A1864,A1864)=1),1,0)</f>
        <v>0</v>
      </c>
      <c r="S1864" t="b">
        <f>IFERROR(VLOOKUP(D1864,Products!$A$2:$F$61,6,FALSE()),"")</f>
        <v>1</v>
      </c>
      <c r="T1864" t="str">
        <f>IF(COUNTIF(Customers!$A$2:$A$301,C1864)=0,"Missing","OK")</f>
        <v>OK</v>
      </c>
      <c r="U1864" t="str">
        <f t="shared" si="88"/>
        <v>Mumbai</v>
      </c>
      <c r="V1864">
        <f t="shared" si="89"/>
        <v>0</v>
      </c>
    </row>
    <row r="1865" spans="1:22" ht="15" customHeight="1" x14ac:dyDescent="0.35">
      <c r="A1865" s="3" t="s">
        <v>2301</v>
      </c>
      <c r="B1865" s="4">
        <v>45627</v>
      </c>
      <c r="C1865" s="3" t="s">
        <v>467</v>
      </c>
      <c r="D1865" s="3" t="s">
        <v>112</v>
      </c>
      <c r="E1865" s="3" t="s">
        <v>154</v>
      </c>
      <c r="F1865" s="5">
        <v>6</v>
      </c>
      <c r="G1865" s="5">
        <v>2720</v>
      </c>
      <c r="H1865" s="5">
        <v>25.1</v>
      </c>
      <c r="I1865" s="5">
        <v>12223.68</v>
      </c>
      <c r="J1865" s="3" t="s">
        <v>79</v>
      </c>
      <c r="K1865" s="3" t="s">
        <v>51</v>
      </c>
      <c r="L1865" t="str">
        <f>IFERROR(VLOOKUP(D1865,Products!$A$2:$F$61,3,FALSE()),"")</f>
        <v>Apparel</v>
      </c>
      <c r="M1865" t="str">
        <f>IFERROR(VLOOKUP(E1865,Sales_Reps!$A$2:$C$31,3,FALSE()),"")</f>
        <v>North</v>
      </c>
      <c r="N1865">
        <f>IFERROR(VLOOKUP(D1865,Products!$A$2:$F$61,4,FALSE()),"")</f>
        <v>1962</v>
      </c>
      <c r="O1865" t="str">
        <f>IFERROR(VLOOKUP(C1865,Customers!$A$2:$F$301,5,FALSE()),"")</f>
        <v>Retail</v>
      </c>
      <c r="P1865">
        <f>IFERROR(VLOOKUP(C1865,Customers!$A$2:$F$301,3,FALSE()),"")</f>
        <v>44</v>
      </c>
      <c r="Q1865">
        <f t="shared" si="87"/>
        <v>0.2786764705882353</v>
      </c>
      <c r="R1865">
        <f>IF(AND(COUNTIF($A$2:$A$2027,A1865)&gt;1,COUNTIF($A$2:A1865,A1865)=1),1,0)</f>
        <v>0</v>
      </c>
      <c r="S1865" t="b">
        <f>IFERROR(VLOOKUP(D1865,Products!$A$2:$F$61,6,FALSE()),"")</f>
        <v>1</v>
      </c>
      <c r="T1865" t="str">
        <f>IF(COUNTIF(Customers!$A$2:$A$301,C1865)=0,"Missing","OK")</f>
        <v>OK</v>
      </c>
      <c r="U1865" t="str">
        <f t="shared" si="88"/>
        <v>Mumbai</v>
      </c>
      <c r="V1865">
        <f t="shared" si="89"/>
        <v>0</v>
      </c>
    </row>
    <row r="1866" spans="1:22" ht="15" customHeight="1" x14ac:dyDescent="0.35">
      <c r="A1866" s="3" t="s">
        <v>2302</v>
      </c>
      <c r="B1866" s="4">
        <v>45429</v>
      </c>
      <c r="C1866" s="3" t="s">
        <v>301</v>
      </c>
      <c r="D1866" s="3" t="s">
        <v>165</v>
      </c>
      <c r="E1866" s="3" t="s">
        <v>67</v>
      </c>
      <c r="F1866" s="5">
        <v>3</v>
      </c>
      <c r="G1866" s="5">
        <v>3730</v>
      </c>
      <c r="H1866" s="5">
        <v>24.8</v>
      </c>
      <c r="I1866" s="5">
        <v>8414.8799999999992</v>
      </c>
      <c r="J1866" s="3" t="s">
        <v>26</v>
      </c>
      <c r="K1866" s="3" t="s">
        <v>33</v>
      </c>
      <c r="L1866" t="str">
        <f>IFERROR(VLOOKUP(D1866,Products!$A$2:$F$61,3,FALSE()),"")</f>
        <v>Home</v>
      </c>
      <c r="M1866" t="str">
        <f>IFERROR(VLOOKUP(E1866,Sales_Reps!$A$2:$C$31,3,FALSE()),"")</f>
        <v>West</v>
      </c>
      <c r="N1866">
        <f>IFERROR(VLOOKUP(D1866,Products!$A$2:$F$61,4,FALSE()),"")</f>
        <v>2135</v>
      </c>
      <c r="O1866" t="str">
        <f>IFERROR(VLOOKUP(C1866,Customers!$A$2:$F$301,5,FALSE()),"")</f>
        <v>Corporate</v>
      </c>
      <c r="P1866">
        <f>IFERROR(VLOOKUP(C1866,Customers!$A$2:$F$301,3,FALSE()),"")</f>
        <v>51</v>
      </c>
      <c r="Q1866">
        <f t="shared" si="87"/>
        <v>0.42761394101876676</v>
      </c>
      <c r="R1866">
        <f>IF(AND(COUNTIF($A$2:$A$2027,A1866)&gt;1,COUNTIF($A$2:A1866,A1866)=1),1,0)</f>
        <v>0</v>
      </c>
      <c r="S1866" t="b">
        <f>IFERROR(VLOOKUP(D1866,Products!$A$2:$F$61,6,FALSE()),"")</f>
        <v>1</v>
      </c>
      <c r="T1866" t="str">
        <f>IF(COUNTIF(Customers!$A$2:$A$301,C1866)=0,"Missing","OK")</f>
        <v>OK</v>
      </c>
      <c r="U1866" t="str">
        <f t="shared" si="88"/>
        <v>Chennai</v>
      </c>
      <c r="V1866">
        <f t="shared" si="89"/>
        <v>0</v>
      </c>
    </row>
    <row r="1867" spans="1:22" ht="15" customHeight="1" x14ac:dyDescent="0.35">
      <c r="A1867" s="3" t="s">
        <v>2303</v>
      </c>
      <c r="B1867" s="4">
        <v>45648</v>
      </c>
      <c r="C1867" s="3" t="s">
        <v>1289</v>
      </c>
      <c r="D1867" s="3" t="s">
        <v>290</v>
      </c>
      <c r="E1867" s="3" t="s">
        <v>236</v>
      </c>
      <c r="F1867" s="5">
        <v>2</v>
      </c>
      <c r="G1867" s="5">
        <v>4060</v>
      </c>
      <c r="H1867" s="5">
        <v>11.3</v>
      </c>
      <c r="I1867" s="5">
        <v>7202.44</v>
      </c>
      <c r="J1867" s="3" t="s">
        <v>26</v>
      </c>
      <c r="K1867" s="3" t="s">
        <v>51</v>
      </c>
      <c r="L1867" t="str">
        <f>IFERROR(VLOOKUP(D1867,Products!$A$2:$F$61,3,FALSE()),"")</f>
        <v>Grocery</v>
      </c>
      <c r="M1867" t="str">
        <f>IFERROR(VLOOKUP(E1867,Sales_Reps!$A$2:$C$31,3,FALSE()),"")</f>
        <v>North</v>
      </c>
      <c r="N1867">
        <f>IFERROR(VLOOKUP(D1867,Products!$A$2:$F$61,4,FALSE()),"")</f>
        <v>2911</v>
      </c>
      <c r="O1867" t="str">
        <f>IFERROR(VLOOKUP(C1867,Customers!$A$2:$F$301,5,FALSE()),"")</f>
        <v>Retail</v>
      </c>
      <c r="P1867">
        <f>IFERROR(VLOOKUP(C1867,Customers!$A$2:$F$301,3,FALSE()),"")</f>
        <v>38</v>
      </c>
      <c r="Q1867">
        <f t="shared" si="87"/>
        <v>0.28300492610837441</v>
      </c>
      <c r="R1867">
        <f>IF(AND(COUNTIF($A$2:$A$2027,A1867)&gt;1,COUNTIF($A$2:A1867,A1867)=1),1,0)</f>
        <v>0</v>
      </c>
      <c r="S1867" t="b">
        <f>IFERROR(VLOOKUP(D1867,Products!$A$2:$F$61,6,FALSE()),"")</f>
        <v>1</v>
      </c>
      <c r="T1867" t="str">
        <f>IF(COUNTIF(Customers!$A$2:$A$301,C1867)=0,"Missing","OK")</f>
        <v>OK</v>
      </c>
      <c r="U1867" t="str">
        <f t="shared" si="88"/>
        <v>Mumbai</v>
      </c>
      <c r="V1867">
        <f t="shared" si="89"/>
        <v>0</v>
      </c>
    </row>
    <row r="1868" spans="1:22" ht="15" customHeight="1" x14ac:dyDescent="0.35">
      <c r="A1868" s="3" t="s">
        <v>2304</v>
      </c>
      <c r="B1868" s="4">
        <v>45295</v>
      </c>
      <c r="C1868" s="3" t="s">
        <v>860</v>
      </c>
      <c r="D1868" s="3" t="s">
        <v>325</v>
      </c>
      <c r="E1868" s="3" t="s">
        <v>242</v>
      </c>
      <c r="F1868" s="5">
        <v>6</v>
      </c>
      <c r="G1868" s="5">
        <v>2290</v>
      </c>
      <c r="H1868" s="5">
        <v>26.8</v>
      </c>
      <c r="I1868" s="5">
        <v>10057.68</v>
      </c>
      <c r="J1868" s="3" t="s">
        <v>83</v>
      </c>
      <c r="K1868" s="3" t="s">
        <v>56</v>
      </c>
      <c r="L1868" t="str">
        <f>IFERROR(VLOOKUP(D1868,Products!$A$2:$F$61,3,FALSE()),"")</f>
        <v>Beauty</v>
      </c>
      <c r="M1868" t="str">
        <f>IFERROR(VLOOKUP(E1868,Sales_Reps!$A$2:$C$31,3,FALSE()),"")</f>
        <v>East</v>
      </c>
      <c r="N1868">
        <f>IFERROR(VLOOKUP(D1868,Products!$A$2:$F$61,4,FALSE()),"")</f>
        <v>1219</v>
      </c>
      <c r="O1868" t="str">
        <f>IFERROR(VLOOKUP(C1868,Customers!$A$2:$F$301,5,FALSE()),"")</f>
        <v>Retail</v>
      </c>
      <c r="P1868">
        <f>IFERROR(VLOOKUP(C1868,Customers!$A$2:$F$301,3,FALSE()),"")</f>
        <v>28</v>
      </c>
      <c r="Q1868">
        <f t="shared" si="87"/>
        <v>0.46768558951965067</v>
      </c>
      <c r="R1868">
        <f>IF(AND(COUNTIF($A$2:$A$2027,A1868)&gt;1,COUNTIF($A$2:A1868,A1868)=1),1,0)</f>
        <v>0</v>
      </c>
      <c r="S1868" t="b">
        <f>IFERROR(VLOOKUP(D1868,Products!$A$2:$F$61,6,FALSE()),"")</f>
        <v>1</v>
      </c>
      <c r="T1868" t="str">
        <f>IF(COUNTIF(Customers!$A$2:$A$301,C1868)=0,"Missing","OK")</f>
        <v>OK</v>
      </c>
      <c r="U1868" t="str">
        <f t="shared" si="88"/>
        <v>Bengaluru</v>
      </c>
      <c r="V1868">
        <f t="shared" si="89"/>
        <v>0</v>
      </c>
    </row>
    <row r="1869" spans="1:22" ht="15" customHeight="1" x14ac:dyDescent="0.35">
      <c r="A1869" s="3" t="s">
        <v>2305</v>
      </c>
      <c r="B1869" s="4">
        <v>45418</v>
      </c>
      <c r="C1869" s="3" t="s">
        <v>292</v>
      </c>
      <c r="D1869" s="3" t="s">
        <v>454</v>
      </c>
      <c r="E1869" s="3" t="s">
        <v>191</v>
      </c>
      <c r="F1869" s="5">
        <v>1</v>
      </c>
      <c r="G1869" s="5">
        <v>6940</v>
      </c>
      <c r="H1869" s="5">
        <v>15.7</v>
      </c>
      <c r="I1869" s="5">
        <v>5850.42</v>
      </c>
      <c r="J1869" s="3" t="s">
        <v>26</v>
      </c>
      <c r="K1869" s="3" t="s">
        <v>33</v>
      </c>
      <c r="L1869" t="str">
        <f>IFERROR(VLOOKUP(D1869,Products!$A$2:$F$61,3,FALSE()),"")</f>
        <v>Sports</v>
      </c>
      <c r="M1869" t="str">
        <f>IFERROR(VLOOKUP(E1869,Sales_Reps!$A$2:$C$31,3,FALSE()),"")</f>
        <v>South</v>
      </c>
      <c r="N1869">
        <f>IFERROR(VLOOKUP(D1869,Products!$A$2:$F$61,4,FALSE()),"")</f>
        <v>2827</v>
      </c>
      <c r="O1869" t="str">
        <f>IFERROR(VLOOKUP(C1869,Customers!$A$2:$F$301,5,FALSE()),"")</f>
        <v>Retail</v>
      </c>
      <c r="P1869">
        <f>IFERROR(VLOOKUP(C1869,Customers!$A$2:$F$301,3,FALSE()),"")</f>
        <v>60</v>
      </c>
      <c r="Q1869">
        <f t="shared" si="87"/>
        <v>0.5926512968299712</v>
      </c>
      <c r="R1869">
        <f>IF(AND(COUNTIF($A$2:$A$2027,A1869)&gt;1,COUNTIF($A$2:A1869,A1869)=1),1,0)</f>
        <v>0</v>
      </c>
      <c r="S1869" t="b">
        <f>IFERROR(VLOOKUP(D1869,Products!$A$2:$F$61,6,FALSE()),"")</f>
        <v>1</v>
      </c>
      <c r="T1869" t="str">
        <f>IF(COUNTIF(Customers!$A$2:$A$301,C1869)=0,"Missing","OK")</f>
        <v>OK</v>
      </c>
      <c r="U1869" t="str">
        <f t="shared" si="88"/>
        <v>Chennai</v>
      </c>
      <c r="V1869">
        <f t="shared" si="89"/>
        <v>0</v>
      </c>
    </row>
    <row r="1870" spans="1:22" ht="15" customHeight="1" x14ac:dyDescent="0.35">
      <c r="A1870" s="3" t="s">
        <v>2306</v>
      </c>
      <c r="B1870" s="4">
        <v>45623</v>
      </c>
      <c r="C1870" s="3" t="s">
        <v>350</v>
      </c>
      <c r="D1870" s="3" t="s">
        <v>165</v>
      </c>
      <c r="E1870" s="3" t="s">
        <v>143</v>
      </c>
      <c r="F1870" s="5">
        <v>3</v>
      </c>
      <c r="G1870" s="5">
        <v>3730</v>
      </c>
      <c r="H1870" s="5">
        <v>18.100000000000001</v>
      </c>
      <c r="I1870" s="5">
        <v>9164.61</v>
      </c>
      <c r="J1870" s="3" t="s">
        <v>26</v>
      </c>
      <c r="K1870" s="3" t="s">
        <v>51</v>
      </c>
      <c r="L1870" t="str">
        <f>IFERROR(VLOOKUP(D1870,Products!$A$2:$F$61,3,FALSE()),"")</f>
        <v>Home</v>
      </c>
      <c r="M1870" t="str">
        <f>IFERROR(VLOOKUP(E1870,Sales_Reps!$A$2:$C$31,3,FALSE()),"")</f>
        <v>South</v>
      </c>
      <c r="N1870">
        <f>IFERROR(VLOOKUP(D1870,Products!$A$2:$F$61,4,FALSE()),"")</f>
        <v>2135</v>
      </c>
      <c r="O1870" t="str">
        <f>IFERROR(VLOOKUP(C1870,Customers!$A$2:$F$301,5,FALSE()),"")</f>
        <v>Retail</v>
      </c>
      <c r="P1870">
        <f>IFERROR(VLOOKUP(C1870,Customers!$A$2:$F$301,3,FALSE()),"")</f>
        <v>61</v>
      </c>
      <c r="Q1870">
        <f t="shared" si="87"/>
        <v>0.42761394101876676</v>
      </c>
      <c r="R1870">
        <f>IF(AND(COUNTIF($A$2:$A$2027,A1870)&gt;1,COUNTIF($A$2:A1870,A1870)=1),1,0)</f>
        <v>0</v>
      </c>
      <c r="S1870" t="b">
        <f>IFERROR(VLOOKUP(D1870,Products!$A$2:$F$61,6,FALSE()),"")</f>
        <v>1</v>
      </c>
      <c r="T1870" t="str">
        <f>IF(COUNTIF(Customers!$A$2:$A$301,C1870)=0,"Missing","OK")</f>
        <v>OK</v>
      </c>
      <c r="U1870" t="str">
        <f t="shared" si="88"/>
        <v>Mumbai</v>
      </c>
      <c r="V1870">
        <f t="shared" si="89"/>
        <v>0</v>
      </c>
    </row>
    <row r="1871" spans="1:22" ht="15" customHeight="1" x14ac:dyDescent="0.35">
      <c r="A1871" s="3" t="s">
        <v>2307</v>
      </c>
      <c r="B1871" s="4">
        <v>45528</v>
      </c>
      <c r="C1871" s="3" t="s">
        <v>281</v>
      </c>
      <c r="D1871" s="3" t="s">
        <v>165</v>
      </c>
      <c r="E1871" s="3" t="s">
        <v>236</v>
      </c>
      <c r="F1871" s="5">
        <v>8</v>
      </c>
      <c r="G1871" s="5">
        <v>3730</v>
      </c>
      <c r="H1871" s="5">
        <v>12.5</v>
      </c>
      <c r="I1871" s="5">
        <v>26110</v>
      </c>
      <c r="J1871" s="3" t="s">
        <v>26</v>
      </c>
      <c r="K1871" s="3" t="s">
        <v>33</v>
      </c>
      <c r="L1871" t="str">
        <f>IFERROR(VLOOKUP(D1871,Products!$A$2:$F$61,3,FALSE()),"")</f>
        <v>Home</v>
      </c>
      <c r="M1871" t="str">
        <f>IFERROR(VLOOKUP(E1871,Sales_Reps!$A$2:$C$31,3,FALSE()),"")</f>
        <v>North</v>
      </c>
      <c r="N1871">
        <f>IFERROR(VLOOKUP(D1871,Products!$A$2:$F$61,4,FALSE()),"")</f>
        <v>2135</v>
      </c>
      <c r="O1871" t="str">
        <f>IFERROR(VLOOKUP(C1871,Customers!$A$2:$F$301,5,FALSE()),"")</f>
        <v>Retail</v>
      </c>
      <c r="P1871">
        <f>IFERROR(VLOOKUP(C1871,Customers!$A$2:$F$301,3,FALSE()),"")</f>
        <v>26</v>
      </c>
      <c r="Q1871">
        <f t="shared" si="87"/>
        <v>0.42761394101876676</v>
      </c>
      <c r="R1871">
        <f>IF(AND(COUNTIF($A$2:$A$2027,A1871)&gt;1,COUNTIF($A$2:A1871,A1871)=1),1,0)</f>
        <v>0</v>
      </c>
      <c r="S1871" t="b">
        <f>IFERROR(VLOOKUP(D1871,Products!$A$2:$F$61,6,FALSE()),"")</f>
        <v>1</v>
      </c>
      <c r="T1871" t="str">
        <f>IF(COUNTIF(Customers!$A$2:$A$301,C1871)=0,"Missing","OK")</f>
        <v>OK</v>
      </c>
      <c r="U1871" t="str">
        <f t="shared" si="88"/>
        <v>Chennai</v>
      </c>
      <c r="V1871">
        <f t="shared" si="89"/>
        <v>0</v>
      </c>
    </row>
    <row r="1872" spans="1:22" ht="15" customHeight="1" x14ac:dyDescent="0.35">
      <c r="A1872" s="3" t="s">
        <v>2308</v>
      </c>
      <c r="B1872" s="4">
        <v>45644</v>
      </c>
      <c r="C1872" s="3" t="s">
        <v>1755</v>
      </c>
      <c r="D1872" s="3" t="s">
        <v>306</v>
      </c>
      <c r="E1872" s="3" t="s">
        <v>127</v>
      </c>
      <c r="F1872" s="5">
        <v>9</v>
      </c>
      <c r="G1872" s="5">
        <v>2380</v>
      </c>
      <c r="H1872" s="5">
        <v>8.1</v>
      </c>
      <c r="I1872" s="5">
        <v>19684.98</v>
      </c>
      <c r="J1872" s="3" t="s">
        <v>79</v>
      </c>
      <c r="K1872" s="3" t="s">
        <v>38</v>
      </c>
      <c r="L1872" t="str">
        <f>IFERROR(VLOOKUP(D1872,Products!$A$2:$F$61,3,FALSE()),"")</f>
        <v>Grocery</v>
      </c>
      <c r="M1872" t="str">
        <f>IFERROR(VLOOKUP(E1872,Sales_Reps!$A$2:$C$31,3,FALSE()),"")</f>
        <v>South</v>
      </c>
      <c r="N1872">
        <f>IFERROR(VLOOKUP(D1872,Products!$A$2:$F$61,4,FALSE()),"")</f>
        <v>1182</v>
      </c>
      <c r="O1872" t="str">
        <f>IFERROR(VLOOKUP(C1872,Customers!$A$2:$F$301,5,FALSE()),"")</f>
        <v>Retail</v>
      </c>
      <c r="P1872">
        <f>IFERROR(VLOOKUP(C1872,Customers!$A$2:$F$301,3,FALSE()),"")</f>
        <v>62</v>
      </c>
      <c r="Q1872">
        <f t="shared" si="87"/>
        <v>0.50336134453781511</v>
      </c>
      <c r="R1872">
        <f>IF(AND(COUNTIF($A$2:$A$2027,A1872)&gt;1,COUNTIF($A$2:A1872,A1872)=1),1,0)</f>
        <v>0</v>
      </c>
      <c r="S1872" t="b">
        <f>IFERROR(VLOOKUP(D1872,Products!$A$2:$F$61,6,FALSE()),"")</f>
        <v>1</v>
      </c>
      <c r="T1872" t="str">
        <f>IF(COUNTIF(Customers!$A$2:$A$301,C1872)=0,"Missing","OK")</f>
        <v>OK</v>
      </c>
      <c r="U1872" t="str">
        <f t="shared" si="88"/>
        <v>Delhi</v>
      </c>
      <c r="V1872">
        <f t="shared" si="89"/>
        <v>0</v>
      </c>
    </row>
    <row r="1873" spans="1:22" ht="15" customHeight="1" x14ac:dyDescent="0.35">
      <c r="A1873" s="3" t="s">
        <v>2309</v>
      </c>
      <c r="B1873" s="4">
        <v>45475</v>
      </c>
      <c r="C1873" s="3" t="s">
        <v>1156</v>
      </c>
      <c r="D1873" s="3" t="s">
        <v>103</v>
      </c>
      <c r="E1873" s="3" t="s">
        <v>236</v>
      </c>
      <c r="F1873" s="5">
        <v>6</v>
      </c>
      <c r="G1873" s="5">
        <v>1080</v>
      </c>
      <c r="H1873" s="5">
        <v>8.8000000000000007</v>
      </c>
      <c r="I1873" s="5">
        <v>5909.76</v>
      </c>
      <c r="J1873" s="3" t="s">
        <v>26</v>
      </c>
      <c r="K1873" s="3" t="s">
        <v>51</v>
      </c>
      <c r="L1873" t="str">
        <f>IFERROR(VLOOKUP(D1873,Products!$A$2:$F$61,3,FALSE()),"")</f>
        <v>Home</v>
      </c>
      <c r="M1873" t="str">
        <f>IFERROR(VLOOKUP(E1873,Sales_Reps!$A$2:$C$31,3,FALSE()),"")</f>
        <v>North</v>
      </c>
      <c r="N1873">
        <f>IFERROR(VLOOKUP(D1873,Products!$A$2:$F$61,4,FALSE()),"")</f>
        <v>519</v>
      </c>
      <c r="O1873" t="str">
        <f>IFERROR(VLOOKUP(C1873,Customers!$A$2:$F$301,5,FALSE()),"")</f>
        <v>Retail</v>
      </c>
      <c r="P1873">
        <f>IFERROR(VLOOKUP(C1873,Customers!$A$2:$F$301,3,FALSE()),"")</f>
        <v>44</v>
      </c>
      <c r="Q1873">
        <f t="shared" si="87"/>
        <v>0.51944444444444449</v>
      </c>
      <c r="R1873">
        <f>IF(AND(COUNTIF($A$2:$A$2027,A1873)&gt;1,COUNTIF($A$2:A1873,A1873)=1),1,0)</f>
        <v>0</v>
      </c>
      <c r="S1873" t="b">
        <f>IFERROR(VLOOKUP(D1873,Products!$A$2:$F$61,6,FALSE()),"")</f>
        <v>1</v>
      </c>
      <c r="T1873" t="str">
        <f>IF(COUNTIF(Customers!$A$2:$A$301,C1873)=0,"Missing","OK")</f>
        <v>OK</v>
      </c>
      <c r="U1873" t="str">
        <f t="shared" si="88"/>
        <v>Mumbai</v>
      </c>
      <c r="V1873">
        <f t="shared" si="89"/>
        <v>0</v>
      </c>
    </row>
    <row r="1874" spans="1:22" ht="15" customHeight="1" x14ac:dyDescent="0.35">
      <c r="A1874" s="3" t="s">
        <v>2150</v>
      </c>
      <c r="B1874" s="4">
        <v>45401</v>
      </c>
      <c r="C1874" s="3" t="s">
        <v>531</v>
      </c>
      <c r="D1874" s="3" t="s">
        <v>36</v>
      </c>
      <c r="E1874" s="3" t="s">
        <v>191</v>
      </c>
      <c r="F1874" s="5">
        <v>5</v>
      </c>
      <c r="G1874" s="5">
        <v>470</v>
      </c>
      <c r="H1874" s="5">
        <v>1.3</v>
      </c>
      <c r="I1874" s="5">
        <v>2319.4499999999998</v>
      </c>
      <c r="J1874" s="3" t="s">
        <v>26</v>
      </c>
      <c r="K1874" s="3" t="s">
        <v>72</v>
      </c>
      <c r="L1874" t="str">
        <f>IFERROR(VLOOKUP(D1874,Products!$A$2:$F$61,3,FALSE()),"")</f>
        <v>Sports</v>
      </c>
      <c r="M1874" t="str">
        <f>IFERROR(VLOOKUP(E1874,Sales_Reps!$A$2:$C$31,3,FALSE()),"")</f>
        <v>South</v>
      </c>
      <c r="N1874">
        <f>IFERROR(VLOOKUP(D1874,Products!$A$2:$F$61,4,FALSE()),"")</f>
        <v>302</v>
      </c>
      <c r="O1874" t="str">
        <f>IFERROR(VLOOKUP(C1874,Customers!$A$2:$F$301,5,FALSE()),"")</f>
        <v>Retail</v>
      </c>
      <c r="P1874">
        <f>IFERROR(VLOOKUP(C1874,Customers!$A$2:$F$301,3,FALSE()),"")</f>
        <v>22</v>
      </c>
      <c r="Q1874">
        <f t="shared" si="87"/>
        <v>0.35744680851063831</v>
      </c>
      <c r="R1874">
        <f>IF(AND(COUNTIF($A$2:$A$2027,A1874)&gt;1,COUNTIF($A$2:A1874,A1874)=1),1,0)</f>
        <v>0</v>
      </c>
      <c r="S1874" t="b">
        <f>IFERROR(VLOOKUP(D1874,Products!$A$2:$F$61,6,FALSE()),"")</f>
        <v>0</v>
      </c>
      <c r="T1874" t="str">
        <f>IF(COUNTIF(Customers!$A$2:$A$301,C1874)=0,"Missing","OK")</f>
        <v>OK</v>
      </c>
      <c r="U1874" t="str">
        <f t="shared" si="88"/>
        <v>Hyderabad</v>
      </c>
      <c r="V1874">
        <f t="shared" si="89"/>
        <v>0</v>
      </c>
    </row>
    <row r="1875" spans="1:22" ht="15" customHeight="1" x14ac:dyDescent="0.35">
      <c r="A1875" s="3" t="s">
        <v>2310</v>
      </c>
      <c r="B1875" s="4">
        <v>45516</v>
      </c>
      <c r="C1875" s="3" t="s">
        <v>884</v>
      </c>
      <c r="D1875" s="3" t="s">
        <v>49</v>
      </c>
      <c r="E1875" s="3" t="s">
        <v>140</v>
      </c>
      <c r="F1875" s="5">
        <v>4</v>
      </c>
      <c r="G1875" s="5">
        <v>370</v>
      </c>
      <c r="H1875" s="5">
        <v>13.1</v>
      </c>
      <c r="I1875" s="5">
        <v>1286.1199999999999</v>
      </c>
      <c r="J1875" s="3" t="s">
        <v>26</v>
      </c>
      <c r="K1875" s="3" t="s">
        <v>27</v>
      </c>
      <c r="L1875" t="str">
        <f>IFERROR(VLOOKUP(D1875,Products!$A$2:$F$61,3,FALSE()),"")</f>
        <v>Home</v>
      </c>
      <c r="M1875" t="str">
        <f>IFERROR(VLOOKUP(E1875,Sales_Reps!$A$2:$C$31,3,FALSE()),"")</f>
        <v>West</v>
      </c>
      <c r="N1875">
        <f>IFERROR(VLOOKUP(D1875,Products!$A$2:$F$61,4,FALSE()),"")</f>
        <v>288</v>
      </c>
      <c r="O1875" t="str">
        <f>IFERROR(VLOOKUP(C1875,Customers!$A$2:$F$301,5,FALSE()),"")</f>
        <v>Retail</v>
      </c>
      <c r="P1875">
        <f>IFERROR(VLOOKUP(C1875,Customers!$A$2:$F$301,3,FALSE()),"")</f>
        <v>54</v>
      </c>
      <c r="Q1875">
        <f t="shared" si="87"/>
        <v>0.22162162162162163</v>
      </c>
      <c r="R1875">
        <f>IF(AND(COUNTIF($A$2:$A$2027,A1875)&gt;1,COUNTIF($A$2:A1875,A1875)=1),1,0)</f>
        <v>0</v>
      </c>
      <c r="S1875" t="b">
        <f>IFERROR(VLOOKUP(D1875,Products!$A$2:$F$61,6,FALSE()),"")</f>
        <v>1</v>
      </c>
      <c r="T1875" t="str">
        <f>IF(COUNTIF(Customers!$A$2:$A$301,C1875)=0,"Missing","OK")</f>
        <v>OK</v>
      </c>
      <c r="U1875" t="str">
        <f t="shared" si="88"/>
        <v>Pune</v>
      </c>
      <c r="V1875">
        <f t="shared" si="89"/>
        <v>0</v>
      </c>
    </row>
    <row r="1876" spans="1:22" ht="15" customHeight="1" x14ac:dyDescent="0.35">
      <c r="A1876" s="3" t="s">
        <v>2311</v>
      </c>
      <c r="B1876" s="4">
        <v>45517</v>
      </c>
      <c r="C1876" s="3" t="s">
        <v>556</v>
      </c>
      <c r="D1876" s="3" t="s">
        <v>45</v>
      </c>
      <c r="E1876" s="3" t="s">
        <v>25</v>
      </c>
      <c r="F1876" s="5">
        <v>7</v>
      </c>
      <c r="G1876" s="5">
        <v>3160</v>
      </c>
      <c r="H1876" s="5">
        <v>12.3</v>
      </c>
      <c r="I1876" s="5">
        <v>19399.240000000002</v>
      </c>
      <c r="J1876" s="3" t="s">
        <v>26</v>
      </c>
      <c r="K1876" s="3" t="s">
        <v>51</v>
      </c>
      <c r="L1876" t="str">
        <f>IFERROR(VLOOKUP(D1876,Products!$A$2:$F$61,3,FALSE()),"")</f>
        <v>Apparel</v>
      </c>
      <c r="M1876" t="str">
        <f>IFERROR(VLOOKUP(E1876,Sales_Reps!$A$2:$C$31,3,FALSE()),"")</f>
        <v>North</v>
      </c>
      <c r="N1876">
        <f>IFERROR(VLOOKUP(D1876,Products!$A$2:$F$61,4,FALSE()),"")</f>
        <v>1886</v>
      </c>
      <c r="O1876" t="str">
        <f>IFERROR(VLOOKUP(C1876,Customers!$A$2:$F$301,5,FALSE()),"")</f>
        <v>SMB</v>
      </c>
      <c r="P1876">
        <f>IFERROR(VLOOKUP(C1876,Customers!$A$2:$F$301,3,FALSE()),"")</f>
        <v>65</v>
      </c>
      <c r="Q1876">
        <f t="shared" si="87"/>
        <v>0.4031645569620253</v>
      </c>
      <c r="R1876">
        <f>IF(AND(COUNTIF($A$2:$A$2027,A1876)&gt;1,COUNTIF($A$2:A1876,A1876)=1),1,0)</f>
        <v>0</v>
      </c>
      <c r="S1876" t="b">
        <f>IFERROR(VLOOKUP(D1876,Products!$A$2:$F$61,6,FALSE()),"")</f>
        <v>1</v>
      </c>
      <c r="T1876" t="str">
        <f>IF(COUNTIF(Customers!$A$2:$A$301,C1876)=0,"Missing","OK")</f>
        <v>OK</v>
      </c>
      <c r="U1876" t="str">
        <f t="shared" si="88"/>
        <v>Mumbai</v>
      </c>
      <c r="V1876">
        <f t="shared" si="89"/>
        <v>0</v>
      </c>
    </row>
    <row r="1877" spans="1:22" ht="15" customHeight="1" x14ac:dyDescent="0.35">
      <c r="A1877" s="3" t="s">
        <v>2312</v>
      </c>
      <c r="B1877" s="4">
        <v>45645</v>
      </c>
      <c r="C1877" s="3" t="s">
        <v>342</v>
      </c>
      <c r="D1877" s="3" t="s">
        <v>598</v>
      </c>
      <c r="E1877" s="3" t="s">
        <v>55</v>
      </c>
      <c r="F1877" s="5">
        <v>5</v>
      </c>
      <c r="G1877" s="5">
        <v>3560</v>
      </c>
      <c r="H1877" s="5">
        <v>24</v>
      </c>
      <c r="I1877" s="5">
        <v>13528</v>
      </c>
      <c r="J1877" s="3" t="s">
        <v>26</v>
      </c>
      <c r="K1877" s="3" t="s">
        <v>56</v>
      </c>
      <c r="L1877" t="str">
        <f>IFERROR(VLOOKUP(D1877,Products!$A$2:$F$61,3,FALSE()),"")</f>
        <v>Apparel</v>
      </c>
      <c r="M1877" t="str">
        <f>IFERROR(VLOOKUP(E1877,Sales_Reps!$A$2:$C$31,3,FALSE()),"")</f>
        <v>West</v>
      </c>
      <c r="N1877">
        <f>IFERROR(VLOOKUP(D1877,Products!$A$2:$F$61,4,FALSE()),"")</f>
        <v>2629</v>
      </c>
      <c r="O1877" t="str">
        <f>IFERROR(VLOOKUP(C1877,Customers!$A$2:$F$301,5,FALSE()),"")</f>
        <v>Retail</v>
      </c>
      <c r="P1877">
        <f>IFERROR(VLOOKUP(C1877,Customers!$A$2:$F$301,3,FALSE()),"")</f>
        <v>59</v>
      </c>
      <c r="Q1877">
        <f t="shared" si="87"/>
        <v>0.26151685393258428</v>
      </c>
      <c r="R1877">
        <f>IF(AND(COUNTIF($A$2:$A$2027,A1877)&gt;1,COUNTIF($A$2:A1877,A1877)=1),1,0)</f>
        <v>0</v>
      </c>
      <c r="S1877" t="b">
        <f>IFERROR(VLOOKUP(D1877,Products!$A$2:$F$61,6,FALSE()),"")</f>
        <v>1</v>
      </c>
      <c r="T1877" t="str">
        <f>IF(COUNTIF(Customers!$A$2:$A$301,C1877)=0,"Missing","OK")</f>
        <v>OK</v>
      </c>
      <c r="U1877" t="str">
        <f t="shared" si="88"/>
        <v>Bengaluru</v>
      </c>
      <c r="V1877">
        <f t="shared" si="89"/>
        <v>0</v>
      </c>
    </row>
    <row r="1878" spans="1:22" ht="15" customHeight="1" x14ac:dyDescent="0.35">
      <c r="A1878" s="3" t="s">
        <v>2313</v>
      </c>
      <c r="B1878" s="4">
        <v>45417</v>
      </c>
      <c r="C1878" s="3" t="s">
        <v>361</v>
      </c>
      <c r="D1878" s="3" t="s">
        <v>234</v>
      </c>
      <c r="E1878" s="3" t="s">
        <v>97</v>
      </c>
      <c r="F1878" s="5">
        <v>6</v>
      </c>
      <c r="G1878" s="5">
        <v>2030</v>
      </c>
      <c r="H1878" s="5">
        <v>20.5</v>
      </c>
      <c r="I1878" s="5">
        <v>9683.1</v>
      </c>
      <c r="J1878" s="3" t="s">
        <v>26</v>
      </c>
      <c r="K1878" s="3" t="s">
        <v>33</v>
      </c>
      <c r="L1878" t="str">
        <f>IFERROR(VLOOKUP(D1878,Products!$A$2:$F$61,3,FALSE()),"")</f>
        <v>Home</v>
      </c>
      <c r="M1878" t="str">
        <f>IFERROR(VLOOKUP(E1878,Sales_Reps!$A$2:$C$31,3,FALSE()),"")</f>
        <v>East</v>
      </c>
      <c r="N1878">
        <f>IFERROR(VLOOKUP(D1878,Products!$A$2:$F$61,4,FALSE()),"")</f>
        <v>1143</v>
      </c>
      <c r="O1878" t="str">
        <f>IFERROR(VLOOKUP(C1878,Customers!$A$2:$F$301,5,FALSE()),"")</f>
        <v>SMB</v>
      </c>
      <c r="P1878">
        <f>IFERROR(VLOOKUP(C1878,Customers!$A$2:$F$301,3,FALSE()),"")</f>
        <v>64</v>
      </c>
      <c r="Q1878">
        <f t="shared" si="87"/>
        <v>0.43694581280788175</v>
      </c>
      <c r="R1878">
        <f>IF(AND(COUNTIF($A$2:$A$2027,A1878)&gt;1,COUNTIF($A$2:A1878,A1878)=1),1,0)</f>
        <v>0</v>
      </c>
      <c r="S1878" t="b">
        <f>IFERROR(VLOOKUP(D1878,Products!$A$2:$F$61,6,FALSE()),"")</f>
        <v>1</v>
      </c>
      <c r="T1878" t="str">
        <f>IF(COUNTIF(Customers!$A$2:$A$301,C1878)=0,"Missing","OK")</f>
        <v>OK</v>
      </c>
      <c r="U1878" t="str">
        <f t="shared" si="88"/>
        <v>Chennai</v>
      </c>
      <c r="V1878">
        <f t="shared" si="89"/>
        <v>0</v>
      </c>
    </row>
    <row r="1879" spans="1:22" ht="15" customHeight="1" x14ac:dyDescent="0.35">
      <c r="A1879" s="3" t="s">
        <v>2314</v>
      </c>
      <c r="B1879" s="4">
        <v>45351</v>
      </c>
      <c r="C1879" s="3" t="s">
        <v>411</v>
      </c>
      <c r="D1879" s="3" t="s">
        <v>74</v>
      </c>
      <c r="E1879" s="3" t="s">
        <v>242</v>
      </c>
      <c r="F1879" s="5">
        <v>5</v>
      </c>
      <c r="G1879" s="5">
        <v>2640</v>
      </c>
      <c r="H1879" s="5">
        <v>21.3</v>
      </c>
      <c r="I1879" s="5">
        <v>10388.4</v>
      </c>
      <c r="J1879" s="3" t="s">
        <v>32</v>
      </c>
      <c r="K1879" s="3" t="s">
        <v>33</v>
      </c>
      <c r="L1879" t="str">
        <f>IFERROR(VLOOKUP(D1879,Products!$A$2:$F$61,3,FALSE()),"")</f>
        <v>Electronics</v>
      </c>
      <c r="M1879" t="str">
        <f>IFERROR(VLOOKUP(E1879,Sales_Reps!$A$2:$C$31,3,FALSE()),"")</f>
        <v>East</v>
      </c>
      <c r="N1879">
        <f>IFERROR(VLOOKUP(D1879,Products!$A$2:$F$61,4,FALSE()),"")</f>
        <v>1149</v>
      </c>
      <c r="O1879" t="str">
        <f>IFERROR(VLOOKUP(C1879,Customers!$A$2:$F$301,5,FALSE()),"")</f>
        <v>Corporate</v>
      </c>
      <c r="P1879">
        <f>IFERROR(VLOOKUP(C1879,Customers!$A$2:$F$301,3,FALSE()),"")</f>
        <v>35</v>
      </c>
      <c r="Q1879">
        <f t="shared" si="87"/>
        <v>0.56477272727272732</v>
      </c>
      <c r="R1879">
        <f>IF(AND(COUNTIF($A$2:$A$2027,A1879)&gt;1,COUNTIF($A$2:A1879,A1879)=1),1,0)</f>
        <v>0</v>
      </c>
      <c r="S1879" t="b">
        <f>IFERROR(VLOOKUP(D1879,Products!$A$2:$F$61,6,FALSE()),"")</f>
        <v>1</v>
      </c>
      <c r="T1879" t="str">
        <f>IF(COUNTIF(Customers!$A$2:$A$301,C1879)=0,"Missing","OK")</f>
        <v>OK</v>
      </c>
      <c r="U1879" t="str">
        <f t="shared" si="88"/>
        <v>Chennai</v>
      </c>
      <c r="V1879">
        <f t="shared" si="89"/>
        <v>0</v>
      </c>
    </row>
    <row r="1880" spans="1:22" ht="15" customHeight="1" x14ac:dyDescent="0.35">
      <c r="A1880" s="3" t="s">
        <v>2315</v>
      </c>
      <c r="B1880" s="4">
        <v>45629</v>
      </c>
      <c r="C1880" s="3" t="s">
        <v>164</v>
      </c>
      <c r="D1880" s="3" t="s">
        <v>184</v>
      </c>
      <c r="E1880" s="3" t="s">
        <v>236</v>
      </c>
      <c r="F1880" s="5">
        <v>4</v>
      </c>
      <c r="G1880" s="5">
        <v>2270</v>
      </c>
      <c r="H1880" s="5">
        <v>15.8</v>
      </c>
      <c r="I1880" s="5">
        <v>7645.36</v>
      </c>
      <c r="J1880" s="3" t="s">
        <v>26</v>
      </c>
      <c r="K1880" s="3" t="s">
        <v>33</v>
      </c>
      <c r="L1880" t="str">
        <f>IFERROR(VLOOKUP(D1880,Products!$A$2:$F$61,3,FALSE()),"")</f>
        <v>Grocery</v>
      </c>
      <c r="M1880" t="str">
        <f>IFERROR(VLOOKUP(E1880,Sales_Reps!$A$2:$C$31,3,FALSE()),"")</f>
        <v>North</v>
      </c>
      <c r="N1880">
        <f>IFERROR(VLOOKUP(D1880,Products!$A$2:$F$61,4,FALSE()),"")</f>
        <v>1412</v>
      </c>
      <c r="O1880" t="str">
        <f>IFERROR(VLOOKUP(C1880,Customers!$A$2:$F$301,5,FALSE()),"")</f>
        <v>Retail</v>
      </c>
      <c r="P1880">
        <f>IFERROR(VLOOKUP(C1880,Customers!$A$2:$F$301,3,FALSE()),"")</f>
        <v>37</v>
      </c>
      <c r="Q1880">
        <f t="shared" si="87"/>
        <v>0.37797356828193834</v>
      </c>
      <c r="R1880">
        <f>IF(AND(COUNTIF($A$2:$A$2027,A1880)&gt;1,COUNTIF($A$2:A1880,A1880)=1),1,0)</f>
        <v>0</v>
      </c>
      <c r="S1880" t="b">
        <f>IFERROR(VLOOKUP(D1880,Products!$A$2:$F$61,6,FALSE()),"")</f>
        <v>1</v>
      </c>
      <c r="T1880" t="str">
        <f>IF(COUNTIF(Customers!$A$2:$A$301,C1880)=0,"Missing","OK")</f>
        <v>OK</v>
      </c>
      <c r="U1880" t="str">
        <f t="shared" si="88"/>
        <v>Chennai</v>
      </c>
      <c r="V1880">
        <f t="shared" si="89"/>
        <v>0</v>
      </c>
    </row>
    <row r="1881" spans="1:22" ht="15" customHeight="1" x14ac:dyDescent="0.35">
      <c r="A1881" s="3" t="s">
        <v>2316</v>
      </c>
      <c r="B1881" s="4">
        <v>45588</v>
      </c>
      <c r="C1881" s="3" t="s">
        <v>467</v>
      </c>
      <c r="D1881" s="3" t="s">
        <v>49</v>
      </c>
      <c r="E1881" s="3" t="s">
        <v>236</v>
      </c>
      <c r="F1881" s="5">
        <v>1</v>
      </c>
      <c r="G1881" s="5">
        <v>370</v>
      </c>
      <c r="H1881" s="5">
        <v>27</v>
      </c>
      <c r="I1881" s="5">
        <v>270.10000000000002</v>
      </c>
      <c r="J1881" s="3" t="s">
        <v>32</v>
      </c>
      <c r="K1881" s="3" t="s">
        <v>51</v>
      </c>
      <c r="L1881" t="str">
        <f>IFERROR(VLOOKUP(D1881,Products!$A$2:$F$61,3,FALSE()),"")</f>
        <v>Home</v>
      </c>
      <c r="M1881" t="str">
        <f>IFERROR(VLOOKUP(E1881,Sales_Reps!$A$2:$C$31,3,FALSE()),"")</f>
        <v>North</v>
      </c>
      <c r="N1881">
        <f>IFERROR(VLOOKUP(D1881,Products!$A$2:$F$61,4,FALSE()),"")</f>
        <v>288</v>
      </c>
      <c r="O1881" t="str">
        <f>IFERROR(VLOOKUP(C1881,Customers!$A$2:$F$301,5,FALSE()),"")</f>
        <v>Retail</v>
      </c>
      <c r="P1881">
        <f>IFERROR(VLOOKUP(C1881,Customers!$A$2:$F$301,3,FALSE()),"")</f>
        <v>44</v>
      </c>
      <c r="Q1881">
        <f t="shared" si="87"/>
        <v>0.22162162162162163</v>
      </c>
      <c r="R1881">
        <f>IF(AND(COUNTIF($A$2:$A$2027,A1881)&gt;1,COUNTIF($A$2:A1881,A1881)=1),1,0)</f>
        <v>0</v>
      </c>
      <c r="S1881" t="b">
        <f>IFERROR(VLOOKUP(D1881,Products!$A$2:$F$61,6,FALSE()),"")</f>
        <v>1</v>
      </c>
      <c r="T1881" t="str">
        <f>IF(COUNTIF(Customers!$A$2:$A$301,C1881)=0,"Missing","OK")</f>
        <v>OK</v>
      </c>
      <c r="U1881" t="str">
        <f t="shared" si="88"/>
        <v>Mumbai</v>
      </c>
      <c r="V1881">
        <f t="shared" si="89"/>
        <v>0</v>
      </c>
    </row>
    <row r="1882" spans="1:22" ht="15" customHeight="1" x14ac:dyDescent="0.35">
      <c r="A1882" s="3" t="s">
        <v>2317</v>
      </c>
      <c r="B1882" s="4">
        <v>45366</v>
      </c>
      <c r="C1882" s="3" t="s">
        <v>211</v>
      </c>
      <c r="D1882" s="3" t="s">
        <v>130</v>
      </c>
      <c r="E1882" s="3" t="s">
        <v>177</v>
      </c>
      <c r="F1882" s="5">
        <v>9</v>
      </c>
      <c r="G1882" s="5">
        <v>5100</v>
      </c>
      <c r="H1882" s="5">
        <v>2.4</v>
      </c>
      <c r="I1882" s="5">
        <v>44798.400000000001</v>
      </c>
      <c r="J1882" s="3" t="s">
        <v>26</v>
      </c>
      <c r="K1882" s="3" t="s">
        <v>33</v>
      </c>
      <c r="L1882" t="str">
        <f>IFERROR(VLOOKUP(D1882,Products!$A$2:$F$61,3,FALSE()),"")</f>
        <v>Beauty</v>
      </c>
      <c r="M1882" t="str">
        <f>IFERROR(VLOOKUP(E1882,Sales_Reps!$A$2:$C$31,3,FALSE()),"")</f>
        <v>East</v>
      </c>
      <c r="N1882">
        <f>IFERROR(VLOOKUP(D1882,Products!$A$2:$F$61,4,FALSE()),"")</f>
        <v>2237</v>
      </c>
      <c r="O1882" t="str">
        <f>IFERROR(VLOOKUP(C1882,Customers!$A$2:$F$301,5,FALSE()),"")</f>
        <v>SMB</v>
      </c>
      <c r="P1882">
        <f>IFERROR(VLOOKUP(C1882,Customers!$A$2:$F$301,3,FALSE()),"")</f>
        <v>55</v>
      </c>
      <c r="Q1882">
        <f t="shared" si="87"/>
        <v>0.56137254901960787</v>
      </c>
      <c r="R1882">
        <f>IF(AND(COUNTIF($A$2:$A$2027,A1882)&gt;1,COUNTIF($A$2:A1882,A1882)=1),1,0)</f>
        <v>0</v>
      </c>
      <c r="S1882" t="b">
        <f>IFERROR(VLOOKUP(D1882,Products!$A$2:$F$61,6,FALSE()),"")</f>
        <v>1</v>
      </c>
      <c r="T1882" t="str">
        <f>IF(COUNTIF(Customers!$A$2:$A$301,C1882)=0,"Missing","OK")</f>
        <v>OK</v>
      </c>
      <c r="U1882" t="str">
        <f t="shared" si="88"/>
        <v>Chennai</v>
      </c>
      <c r="V1882">
        <f t="shared" si="89"/>
        <v>0</v>
      </c>
    </row>
    <row r="1883" spans="1:22" ht="15" customHeight="1" x14ac:dyDescent="0.35">
      <c r="A1883" s="3" t="s">
        <v>2318</v>
      </c>
      <c r="B1883" s="4">
        <v>45322</v>
      </c>
      <c r="C1883" s="3" t="s">
        <v>531</v>
      </c>
      <c r="D1883" s="3" t="s">
        <v>49</v>
      </c>
      <c r="E1883" s="3" t="s">
        <v>93</v>
      </c>
      <c r="F1883" s="5">
        <v>6</v>
      </c>
      <c r="G1883" s="5">
        <v>370</v>
      </c>
      <c r="H1883" s="5">
        <v>18.7</v>
      </c>
      <c r="I1883" s="5">
        <v>1804.86</v>
      </c>
      <c r="J1883" s="3" t="s">
        <v>79</v>
      </c>
      <c r="K1883" s="3" t="s">
        <v>72</v>
      </c>
      <c r="L1883" t="str">
        <f>IFERROR(VLOOKUP(D1883,Products!$A$2:$F$61,3,FALSE()),"")</f>
        <v>Home</v>
      </c>
      <c r="M1883" t="str">
        <f>IFERROR(VLOOKUP(E1883,Sales_Reps!$A$2:$C$31,3,FALSE()),"")</f>
        <v>East</v>
      </c>
      <c r="N1883">
        <f>IFERROR(VLOOKUP(D1883,Products!$A$2:$F$61,4,FALSE()),"")</f>
        <v>288</v>
      </c>
      <c r="O1883" t="str">
        <f>IFERROR(VLOOKUP(C1883,Customers!$A$2:$F$301,5,FALSE()),"")</f>
        <v>Retail</v>
      </c>
      <c r="P1883">
        <f>IFERROR(VLOOKUP(C1883,Customers!$A$2:$F$301,3,FALSE()),"")</f>
        <v>22</v>
      </c>
      <c r="Q1883">
        <f t="shared" si="87"/>
        <v>0.22162162162162163</v>
      </c>
      <c r="R1883">
        <f>IF(AND(COUNTIF($A$2:$A$2027,A1883)&gt;1,COUNTIF($A$2:A1883,A1883)=1),1,0)</f>
        <v>0</v>
      </c>
      <c r="S1883" t="b">
        <f>IFERROR(VLOOKUP(D1883,Products!$A$2:$F$61,6,FALSE()),"")</f>
        <v>1</v>
      </c>
      <c r="T1883" t="str">
        <f>IF(COUNTIF(Customers!$A$2:$A$301,C1883)=0,"Missing","OK")</f>
        <v>OK</v>
      </c>
      <c r="U1883" t="str">
        <f t="shared" si="88"/>
        <v>Hyderabad</v>
      </c>
      <c r="V1883">
        <f t="shared" si="89"/>
        <v>0</v>
      </c>
    </row>
    <row r="1884" spans="1:22" ht="15" customHeight="1" x14ac:dyDescent="0.35">
      <c r="A1884" s="3" t="s">
        <v>2319</v>
      </c>
      <c r="B1884" s="4">
        <v>45465</v>
      </c>
      <c r="C1884" s="3" t="s">
        <v>502</v>
      </c>
      <c r="D1884" s="3" t="s">
        <v>66</v>
      </c>
      <c r="E1884" s="3" t="s">
        <v>78</v>
      </c>
      <c r="F1884" s="5">
        <v>6</v>
      </c>
      <c r="G1884" s="5">
        <v>970</v>
      </c>
      <c r="H1884" s="5">
        <v>21.6</v>
      </c>
      <c r="I1884" s="5">
        <v>4562.88</v>
      </c>
      <c r="J1884" s="3" t="s">
        <v>26</v>
      </c>
      <c r="K1884" s="3" t="s">
        <v>27</v>
      </c>
      <c r="L1884" t="str">
        <f>IFERROR(VLOOKUP(D1884,Products!$A$2:$F$61,3,FALSE()),"")</f>
        <v>Grocery</v>
      </c>
      <c r="M1884" t="str">
        <f>IFERROR(VLOOKUP(E1884,Sales_Reps!$A$2:$C$31,3,FALSE()),"")</f>
        <v>North</v>
      </c>
      <c r="N1884">
        <f>IFERROR(VLOOKUP(D1884,Products!$A$2:$F$61,4,FALSE()),"")</f>
        <v>434</v>
      </c>
      <c r="O1884" t="str">
        <f>IFERROR(VLOOKUP(C1884,Customers!$A$2:$F$301,5,FALSE()),"")</f>
        <v>SMB</v>
      </c>
      <c r="P1884">
        <f>IFERROR(VLOOKUP(C1884,Customers!$A$2:$F$301,3,FALSE()),"")</f>
        <v>24</v>
      </c>
      <c r="Q1884">
        <f t="shared" si="87"/>
        <v>0.5525773195876289</v>
      </c>
      <c r="R1884">
        <f>IF(AND(COUNTIF($A$2:$A$2027,A1884)&gt;1,COUNTIF($A$2:A1884,A1884)=1),1,0)</f>
        <v>0</v>
      </c>
      <c r="S1884" t="b">
        <f>IFERROR(VLOOKUP(D1884,Products!$A$2:$F$61,6,FALSE()),"")</f>
        <v>1</v>
      </c>
      <c r="T1884" t="str">
        <f>IF(COUNTIF(Customers!$A$2:$A$301,C1884)=0,"Missing","OK")</f>
        <v>OK</v>
      </c>
      <c r="U1884" t="str">
        <f t="shared" si="88"/>
        <v>Pune</v>
      </c>
      <c r="V1884">
        <f t="shared" si="89"/>
        <v>0</v>
      </c>
    </row>
    <row r="1885" spans="1:22" ht="15" customHeight="1" x14ac:dyDescent="0.35">
      <c r="A1885" s="3" t="s">
        <v>2320</v>
      </c>
      <c r="B1885" s="4">
        <v>45622</v>
      </c>
      <c r="C1885" s="3" t="s">
        <v>2321</v>
      </c>
      <c r="D1885" s="3" t="s">
        <v>277</v>
      </c>
      <c r="E1885" s="3" t="s">
        <v>168</v>
      </c>
      <c r="F1885" s="5">
        <v>3</v>
      </c>
      <c r="G1885" s="5">
        <v>2210</v>
      </c>
      <c r="H1885" s="5">
        <v>8.5</v>
      </c>
      <c r="I1885" s="5">
        <v>6066.45</v>
      </c>
      <c r="J1885" s="3" t="s">
        <v>26</v>
      </c>
      <c r="K1885" s="3" t="s">
        <v>38</v>
      </c>
      <c r="L1885" t="str">
        <f>IFERROR(VLOOKUP(D1885,Products!$A$2:$F$61,3,FALSE()),"")</f>
        <v>Grocery</v>
      </c>
      <c r="M1885" t="str">
        <f>IFERROR(VLOOKUP(E1885,Sales_Reps!$A$2:$C$31,3,FALSE()),"")</f>
        <v>West</v>
      </c>
      <c r="N1885">
        <f>IFERROR(VLOOKUP(D1885,Products!$A$2:$F$61,4,FALSE()),"")</f>
        <v>1010</v>
      </c>
      <c r="O1885" t="str">
        <f>IFERROR(VLOOKUP(C1885,Customers!$A$2:$F$301,5,FALSE()),"")</f>
        <v/>
      </c>
      <c r="P1885" t="str">
        <f>IFERROR(VLOOKUP(C1885,Customers!$A$2:$F$301,3,FALSE()),"")</f>
        <v/>
      </c>
      <c r="Q1885">
        <f t="shared" si="87"/>
        <v>0.54298642533936647</v>
      </c>
      <c r="R1885">
        <f>IF(AND(COUNTIF($A$2:$A$2027,A1885)&gt;1,COUNTIF($A$2:A1885,A1885)=1),1,0)</f>
        <v>0</v>
      </c>
      <c r="S1885" t="b">
        <f>IFERROR(VLOOKUP(D1885,Products!$A$2:$F$61,6,FALSE()),"")</f>
        <v>1</v>
      </c>
      <c r="T1885" t="str">
        <f>IF(COUNTIF(Customers!$A$2:$A$301,C1885)=0,"Missing","OK")</f>
        <v>Missing</v>
      </c>
      <c r="U1885" t="str">
        <f t="shared" si="88"/>
        <v>Delhi</v>
      </c>
      <c r="V1885">
        <f t="shared" si="89"/>
        <v>0</v>
      </c>
    </row>
    <row r="1886" spans="1:22" ht="15" customHeight="1" x14ac:dyDescent="0.35">
      <c r="A1886" s="3" t="s">
        <v>2322</v>
      </c>
      <c r="B1886" s="4">
        <v>45457</v>
      </c>
      <c r="C1886" s="3" t="s">
        <v>321</v>
      </c>
      <c r="D1886" s="3" t="s">
        <v>115</v>
      </c>
      <c r="E1886" s="3" t="s">
        <v>236</v>
      </c>
      <c r="F1886" s="5">
        <v>1</v>
      </c>
      <c r="G1886" s="5">
        <v>1650</v>
      </c>
      <c r="H1886" s="5">
        <v>19.7</v>
      </c>
      <c r="I1886" s="5">
        <v>1324.95</v>
      </c>
      <c r="J1886" s="3" t="s">
        <v>26</v>
      </c>
      <c r="K1886" s="3" t="s">
        <v>38</v>
      </c>
      <c r="L1886" t="str">
        <f>IFERROR(VLOOKUP(D1886,Products!$A$2:$F$61,3,FALSE()),"")</f>
        <v>Beauty</v>
      </c>
      <c r="M1886" t="str">
        <f>IFERROR(VLOOKUP(E1886,Sales_Reps!$A$2:$C$31,3,FALSE()),"")</f>
        <v>North</v>
      </c>
      <c r="N1886">
        <f>IFERROR(VLOOKUP(D1886,Products!$A$2:$F$61,4,FALSE()),"")</f>
        <v>1222</v>
      </c>
      <c r="O1886" t="str">
        <f>IFERROR(VLOOKUP(C1886,Customers!$A$2:$F$301,5,FALSE()),"")</f>
        <v>Corporate</v>
      </c>
      <c r="P1886">
        <f>IFERROR(VLOOKUP(C1886,Customers!$A$2:$F$301,3,FALSE()),"")</f>
        <v>27</v>
      </c>
      <c r="Q1886">
        <f t="shared" si="87"/>
        <v>0.2593939393939394</v>
      </c>
      <c r="R1886">
        <f>IF(AND(COUNTIF($A$2:$A$2027,A1886)&gt;1,COUNTIF($A$2:A1886,A1886)=1),1,0)</f>
        <v>0</v>
      </c>
      <c r="S1886" t="b">
        <f>IFERROR(VLOOKUP(D1886,Products!$A$2:$F$61,6,FALSE()),"")</f>
        <v>1</v>
      </c>
      <c r="T1886" t="str">
        <f>IF(COUNTIF(Customers!$A$2:$A$301,C1886)=0,"Missing","OK")</f>
        <v>OK</v>
      </c>
      <c r="U1886" t="str">
        <f t="shared" si="88"/>
        <v>Delhi</v>
      </c>
      <c r="V1886">
        <f t="shared" si="89"/>
        <v>0</v>
      </c>
    </row>
    <row r="1887" spans="1:22" ht="15" customHeight="1" x14ac:dyDescent="0.35">
      <c r="A1887" s="3" t="s">
        <v>2323</v>
      </c>
      <c r="B1887" s="4">
        <v>45480</v>
      </c>
      <c r="C1887" s="3" t="s">
        <v>887</v>
      </c>
      <c r="D1887" s="3" t="s">
        <v>454</v>
      </c>
      <c r="E1887" s="3" t="s">
        <v>87</v>
      </c>
      <c r="F1887" s="5">
        <v>5</v>
      </c>
      <c r="G1887" s="5">
        <v>6940</v>
      </c>
      <c r="H1887" s="5">
        <v>7.7</v>
      </c>
      <c r="I1887" s="5">
        <v>32028.1</v>
      </c>
      <c r="J1887" s="3" t="s">
        <v>26</v>
      </c>
      <c r="K1887" s="3" t="s">
        <v>27</v>
      </c>
      <c r="L1887" t="str">
        <f>IFERROR(VLOOKUP(D1887,Products!$A$2:$F$61,3,FALSE()),"")</f>
        <v>Sports</v>
      </c>
      <c r="M1887" t="str">
        <f>IFERROR(VLOOKUP(E1887,Sales_Reps!$A$2:$C$31,3,FALSE()),"")</f>
        <v>North</v>
      </c>
      <c r="N1887">
        <f>IFERROR(VLOOKUP(D1887,Products!$A$2:$F$61,4,FALSE()),"")</f>
        <v>2827</v>
      </c>
      <c r="O1887" t="str">
        <f>IFERROR(VLOOKUP(C1887,Customers!$A$2:$F$301,5,FALSE()),"")</f>
        <v>Retail</v>
      </c>
      <c r="P1887">
        <f>IFERROR(VLOOKUP(C1887,Customers!$A$2:$F$301,3,FALSE()),"")</f>
        <v>65</v>
      </c>
      <c r="Q1887">
        <f t="shared" si="87"/>
        <v>0.5926512968299712</v>
      </c>
      <c r="R1887">
        <f>IF(AND(COUNTIF($A$2:$A$2027,A1887)&gt;1,COUNTIF($A$2:A1887,A1887)=1),1,0)</f>
        <v>0</v>
      </c>
      <c r="S1887" t="b">
        <f>IFERROR(VLOOKUP(D1887,Products!$A$2:$F$61,6,FALSE()),"")</f>
        <v>1</v>
      </c>
      <c r="T1887" t="str">
        <f>IF(COUNTIF(Customers!$A$2:$A$301,C1887)=0,"Missing","OK")</f>
        <v>OK</v>
      </c>
      <c r="U1887" t="str">
        <f t="shared" si="88"/>
        <v>Pune</v>
      </c>
      <c r="V1887">
        <f t="shared" si="89"/>
        <v>0</v>
      </c>
    </row>
    <row r="1888" spans="1:22" ht="15" customHeight="1" x14ac:dyDescent="0.35">
      <c r="A1888" s="3" t="s">
        <v>2324</v>
      </c>
      <c r="B1888" s="4">
        <v>45392</v>
      </c>
      <c r="C1888" s="3" t="s">
        <v>426</v>
      </c>
      <c r="D1888" s="3" t="s">
        <v>277</v>
      </c>
      <c r="E1888" s="3" t="s">
        <v>224</v>
      </c>
      <c r="F1888" s="5">
        <v>2</v>
      </c>
      <c r="G1888" s="5">
        <v>2210</v>
      </c>
      <c r="H1888" s="5">
        <v>5.6</v>
      </c>
      <c r="I1888" s="5">
        <v>4172.4799999999996</v>
      </c>
      <c r="J1888" s="3" t="s">
        <v>79</v>
      </c>
      <c r="K1888" s="3" t="s">
        <v>27</v>
      </c>
      <c r="L1888" t="str">
        <f>IFERROR(VLOOKUP(D1888,Products!$A$2:$F$61,3,FALSE()),"")</f>
        <v>Grocery</v>
      </c>
      <c r="M1888" t="str">
        <f>IFERROR(VLOOKUP(E1888,Sales_Reps!$A$2:$C$31,3,FALSE()),"")</f>
        <v>East</v>
      </c>
      <c r="N1888">
        <f>IFERROR(VLOOKUP(D1888,Products!$A$2:$F$61,4,FALSE()),"")</f>
        <v>1010</v>
      </c>
      <c r="O1888" t="str">
        <f>IFERROR(VLOOKUP(C1888,Customers!$A$2:$F$301,5,FALSE()),"")</f>
        <v>Corporate</v>
      </c>
      <c r="P1888">
        <f>IFERROR(VLOOKUP(C1888,Customers!$A$2:$F$301,3,FALSE()),"")</f>
        <v>29</v>
      </c>
      <c r="Q1888">
        <f t="shared" si="87"/>
        <v>0.54298642533936647</v>
      </c>
      <c r="R1888">
        <f>IF(AND(COUNTIF($A$2:$A$2027,A1888)&gt;1,COUNTIF($A$2:A1888,A1888)=1),1,0)</f>
        <v>0</v>
      </c>
      <c r="S1888" t="b">
        <f>IFERROR(VLOOKUP(D1888,Products!$A$2:$F$61,6,FALSE()),"")</f>
        <v>1</v>
      </c>
      <c r="T1888" t="str">
        <f>IF(COUNTIF(Customers!$A$2:$A$301,C1888)=0,"Missing","OK")</f>
        <v>OK</v>
      </c>
      <c r="U1888" t="str">
        <f t="shared" si="88"/>
        <v>Pune</v>
      </c>
      <c r="V1888">
        <f t="shared" si="89"/>
        <v>0</v>
      </c>
    </row>
    <row r="1889" spans="1:22" ht="15" customHeight="1" x14ac:dyDescent="0.35">
      <c r="A1889" s="3" t="s">
        <v>2325</v>
      </c>
      <c r="B1889" s="4">
        <v>45380</v>
      </c>
      <c r="C1889" s="3" t="s">
        <v>255</v>
      </c>
      <c r="D1889" s="3" t="s">
        <v>77</v>
      </c>
      <c r="E1889" s="3" t="s">
        <v>37</v>
      </c>
      <c r="F1889" s="5">
        <v>9</v>
      </c>
      <c r="G1889" s="5">
        <v>2600</v>
      </c>
      <c r="H1889" s="5">
        <v>3.1</v>
      </c>
      <c r="I1889" s="5">
        <v>22674.6</v>
      </c>
      <c r="J1889" s="3" t="s">
        <v>26</v>
      </c>
      <c r="K1889" s="3" t="s">
        <v>27</v>
      </c>
      <c r="L1889" t="str">
        <f>IFERROR(VLOOKUP(D1889,Products!$A$2:$F$61,3,FALSE()),"")</f>
        <v>Electronics</v>
      </c>
      <c r="M1889" t="str">
        <f>IFERROR(VLOOKUP(E1889,Sales_Reps!$A$2:$C$31,3,FALSE()),"")</f>
        <v>South</v>
      </c>
      <c r="N1889">
        <f>IFERROR(VLOOKUP(D1889,Products!$A$2:$F$61,4,FALSE()),"")</f>
        <v>1052</v>
      </c>
      <c r="O1889" t="str">
        <f>IFERROR(VLOOKUP(C1889,Customers!$A$2:$F$301,5,FALSE()),"")</f>
        <v>SMB</v>
      </c>
      <c r="P1889">
        <f>IFERROR(VLOOKUP(C1889,Customers!$A$2:$F$301,3,FALSE()),"")</f>
        <v>60</v>
      </c>
      <c r="Q1889">
        <f t="shared" si="87"/>
        <v>0.5953846153846154</v>
      </c>
      <c r="R1889">
        <f>IF(AND(COUNTIF($A$2:$A$2027,A1889)&gt;1,COUNTIF($A$2:A1889,A1889)=1),1,0)</f>
        <v>0</v>
      </c>
      <c r="S1889" t="b">
        <f>IFERROR(VLOOKUP(D1889,Products!$A$2:$F$61,6,FALSE()),"")</f>
        <v>1</v>
      </c>
      <c r="T1889" t="str">
        <f>IF(COUNTIF(Customers!$A$2:$A$301,C1889)=0,"Missing","OK")</f>
        <v>OK</v>
      </c>
      <c r="U1889" t="str">
        <f t="shared" si="88"/>
        <v>Pune</v>
      </c>
      <c r="V1889">
        <f t="shared" si="89"/>
        <v>0</v>
      </c>
    </row>
    <row r="1890" spans="1:22" ht="15" customHeight="1" x14ac:dyDescent="0.35">
      <c r="A1890" s="3" t="s">
        <v>2326</v>
      </c>
      <c r="B1890" s="4">
        <v>45494</v>
      </c>
      <c r="C1890" s="3" t="s">
        <v>839</v>
      </c>
      <c r="D1890" s="3" t="s">
        <v>400</v>
      </c>
      <c r="E1890" s="3" t="s">
        <v>87</v>
      </c>
      <c r="F1890" s="5">
        <v>7</v>
      </c>
      <c r="G1890" s="5">
        <v>3780</v>
      </c>
      <c r="H1890" s="5">
        <v>13.3</v>
      </c>
      <c r="I1890" s="5">
        <v>22940.82</v>
      </c>
      <c r="J1890" s="3" t="s">
        <v>26</v>
      </c>
      <c r="K1890" s="3" t="s">
        <v>56</v>
      </c>
      <c r="L1890" t="str">
        <f>IFERROR(VLOOKUP(D1890,Products!$A$2:$F$61,3,FALSE()),"")</f>
        <v>Sports</v>
      </c>
      <c r="M1890" t="str">
        <f>IFERROR(VLOOKUP(E1890,Sales_Reps!$A$2:$C$31,3,FALSE()),"")</f>
        <v>North</v>
      </c>
      <c r="N1890">
        <f>IFERROR(VLOOKUP(D1890,Products!$A$2:$F$61,4,FALSE()),"")</f>
        <v>1860</v>
      </c>
      <c r="O1890" t="str">
        <f>IFERROR(VLOOKUP(C1890,Customers!$A$2:$F$301,5,FALSE()),"")</f>
        <v>Retail</v>
      </c>
      <c r="P1890">
        <f>IFERROR(VLOOKUP(C1890,Customers!$A$2:$F$301,3,FALSE()),"")</f>
        <v>35</v>
      </c>
      <c r="Q1890">
        <f t="shared" si="87"/>
        <v>0.50793650793650791</v>
      </c>
      <c r="R1890">
        <f>IF(AND(COUNTIF($A$2:$A$2027,A1890)&gt;1,COUNTIF($A$2:A1890,A1890)=1),1,0)</f>
        <v>0</v>
      </c>
      <c r="S1890" t="b">
        <f>IFERROR(VLOOKUP(D1890,Products!$A$2:$F$61,6,FALSE()),"")</f>
        <v>1</v>
      </c>
      <c r="T1890" t="str">
        <f>IF(COUNTIF(Customers!$A$2:$A$301,C1890)=0,"Missing","OK")</f>
        <v>OK</v>
      </c>
      <c r="U1890" t="str">
        <f t="shared" si="88"/>
        <v>Bengaluru</v>
      </c>
      <c r="V1890">
        <f t="shared" si="89"/>
        <v>0</v>
      </c>
    </row>
    <row r="1891" spans="1:22" ht="15" customHeight="1" x14ac:dyDescent="0.35">
      <c r="A1891" s="3" t="s">
        <v>2327</v>
      </c>
      <c r="B1891" s="4">
        <v>45621</v>
      </c>
      <c r="C1891" s="3" t="s">
        <v>977</v>
      </c>
      <c r="D1891" s="3" t="s">
        <v>90</v>
      </c>
      <c r="E1891" s="3" t="s">
        <v>191</v>
      </c>
      <c r="F1891" s="5">
        <v>4</v>
      </c>
      <c r="G1891" s="5">
        <v>2400</v>
      </c>
      <c r="H1891" s="5">
        <v>16.600000000000001</v>
      </c>
      <c r="I1891" s="5">
        <v>8006.4</v>
      </c>
      <c r="J1891" s="3" t="s">
        <v>32</v>
      </c>
      <c r="K1891" s="3" t="s">
        <v>56</v>
      </c>
      <c r="L1891" t="str">
        <f>IFERROR(VLOOKUP(D1891,Products!$A$2:$F$61,3,FALSE()),"")</f>
        <v>Sports</v>
      </c>
      <c r="M1891" t="str">
        <f>IFERROR(VLOOKUP(E1891,Sales_Reps!$A$2:$C$31,3,FALSE()),"")</f>
        <v>South</v>
      </c>
      <c r="N1891">
        <f>IFERROR(VLOOKUP(D1891,Products!$A$2:$F$61,4,FALSE()),"")</f>
        <v>974</v>
      </c>
      <c r="O1891" t="str">
        <f>IFERROR(VLOOKUP(C1891,Customers!$A$2:$F$301,5,FALSE()),"")</f>
        <v>Corporate</v>
      </c>
      <c r="P1891">
        <f>IFERROR(VLOOKUP(C1891,Customers!$A$2:$F$301,3,FALSE()),"")</f>
        <v>55</v>
      </c>
      <c r="Q1891">
        <f t="shared" si="87"/>
        <v>0.59416666666666662</v>
      </c>
      <c r="R1891">
        <f>IF(AND(COUNTIF($A$2:$A$2027,A1891)&gt;1,COUNTIF($A$2:A1891,A1891)=1),1,0)</f>
        <v>0</v>
      </c>
      <c r="S1891" t="b">
        <f>IFERROR(VLOOKUP(D1891,Products!$A$2:$F$61,6,FALSE()),"")</f>
        <v>1</v>
      </c>
      <c r="T1891" t="str">
        <f>IF(COUNTIF(Customers!$A$2:$A$301,C1891)=0,"Missing","OK")</f>
        <v>OK</v>
      </c>
      <c r="U1891" t="str">
        <f t="shared" si="88"/>
        <v>Bengaluru</v>
      </c>
      <c r="V1891">
        <f t="shared" si="89"/>
        <v>0</v>
      </c>
    </row>
    <row r="1892" spans="1:22" ht="15" customHeight="1" x14ac:dyDescent="0.35">
      <c r="A1892" s="3" t="s">
        <v>2328</v>
      </c>
      <c r="B1892" s="4">
        <v>45603</v>
      </c>
      <c r="C1892" s="3" t="s">
        <v>220</v>
      </c>
      <c r="D1892" s="3" t="s">
        <v>221</v>
      </c>
      <c r="E1892" s="3" t="s">
        <v>31</v>
      </c>
      <c r="F1892" s="5">
        <v>10</v>
      </c>
      <c r="G1892" s="5">
        <v>300</v>
      </c>
      <c r="H1892" s="5">
        <v>23.9</v>
      </c>
      <c r="I1892" s="5">
        <v>2283</v>
      </c>
      <c r="J1892" s="3" t="s">
        <v>26</v>
      </c>
      <c r="K1892" s="3" t="s">
        <v>27</v>
      </c>
      <c r="L1892" t="str">
        <f>IFERROR(VLOOKUP(D1892,Products!$A$2:$F$61,3,FALSE()),"")</f>
        <v>Electronics</v>
      </c>
      <c r="M1892" t="str">
        <f>IFERROR(VLOOKUP(E1892,Sales_Reps!$A$2:$C$31,3,FALSE()),"")</f>
        <v>North</v>
      </c>
      <c r="N1892">
        <f>IFERROR(VLOOKUP(D1892,Products!$A$2:$F$61,4,FALSE()),"")</f>
        <v>128</v>
      </c>
      <c r="O1892" t="str">
        <f>IFERROR(VLOOKUP(C1892,Customers!$A$2:$F$301,5,FALSE()),"")</f>
        <v>Retail</v>
      </c>
      <c r="P1892">
        <f>IFERROR(VLOOKUP(C1892,Customers!$A$2:$F$301,3,FALSE()),"")</f>
        <v>25</v>
      </c>
      <c r="Q1892">
        <f t="shared" si="87"/>
        <v>0.57333333333333336</v>
      </c>
      <c r="R1892">
        <f>IF(AND(COUNTIF($A$2:$A$2027,A1892)&gt;1,COUNTIF($A$2:A1892,A1892)=1),1,0)</f>
        <v>0</v>
      </c>
      <c r="S1892" t="b">
        <f>IFERROR(VLOOKUP(D1892,Products!$A$2:$F$61,6,FALSE()),"")</f>
        <v>1</v>
      </c>
      <c r="T1892" t="str">
        <f>IF(COUNTIF(Customers!$A$2:$A$301,C1892)=0,"Missing","OK")</f>
        <v>OK</v>
      </c>
      <c r="U1892" t="str">
        <f t="shared" si="88"/>
        <v>Pune</v>
      </c>
      <c r="V1892">
        <f t="shared" si="89"/>
        <v>0</v>
      </c>
    </row>
    <row r="1893" spans="1:22" ht="15" customHeight="1" x14ac:dyDescent="0.35">
      <c r="A1893" s="3" t="s">
        <v>2329</v>
      </c>
      <c r="B1893" s="4">
        <v>45640</v>
      </c>
      <c r="C1893" s="3" t="s">
        <v>205</v>
      </c>
      <c r="D1893" s="3" t="s">
        <v>41</v>
      </c>
      <c r="E1893" s="3" t="s">
        <v>71</v>
      </c>
      <c r="F1893" s="5">
        <v>1</v>
      </c>
      <c r="G1893" s="5">
        <v>3660</v>
      </c>
      <c r="H1893" s="5">
        <v>1.5</v>
      </c>
      <c r="I1893" s="5">
        <v>3605.1</v>
      </c>
      <c r="J1893" s="3" t="s">
        <v>32</v>
      </c>
      <c r="K1893" s="3" t="s">
        <v>38</v>
      </c>
      <c r="L1893" t="str">
        <f>IFERROR(VLOOKUP(D1893,Products!$A$2:$F$61,3,FALSE()),"")</f>
        <v>Grocery</v>
      </c>
      <c r="M1893" t="str">
        <f>IFERROR(VLOOKUP(E1893,Sales_Reps!$A$2:$C$31,3,FALSE()),"")</f>
        <v>South</v>
      </c>
      <c r="N1893">
        <f>IFERROR(VLOOKUP(D1893,Products!$A$2:$F$61,4,FALSE()),"")</f>
        <v>2214</v>
      </c>
      <c r="O1893" t="str">
        <f>IFERROR(VLOOKUP(C1893,Customers!$A$2:$F$301,5,FALSE()),"")</f>
        <v>Corporate</v>
      </c>
      <c r="P1893">
        <f>IFERROR(VLOOKUP(C1893,Customers!$A$2:$F$301,3,FALSE()),"")</f>
        <v>55</v>
      </c>
      <c r="Q1893">
        <f t="shared" si="87"/>
        <v>0.39508196721311473</v>
      </c>
      <c r="R1893">
        <f>IF(AND(COUNTIF($A$2:$A$2027,A1893)&gt;1,COUNTIF($A$2:A1893,A1893)=1),1,0)</f>
        <v>0</v>
      </c>
      <c r="S1893" t="b">
        <f>IFERROR(VLOOKUP(D1893,Products!$A$2:$F$61,6,FALSE()),"")</f>
        <v>0</v>
      </c>
      <c r="T1893" t="str">
        <f>IF(COUNTIF(Customers!$A$2:$A$301,C1893)=0,"Missing","OK")</f>
        <v>OK</v>
      </c>
      <c r="U1893" t="str">
        <f t="shared" si="88"/>
        <v>Delhi</v>
      </c>
      <c r="V1893">
        <f t="shared" si="89"/>
        <v>0</v>
      </c>
    </row>
    <row r="1894" spans="1:22" ht="15" customHeight="1" x14ac:dyDescent="0.35">
      <c r="A1894" s="3" t="s">
        <v>2330</v>
      </c>
      <c r="B1894" s="4">
        <v>45534</v>
      </c>
      <c r="C1894" s="3" t="s">
        <v>249</v>
      </c>
      <c r="D1894" s="3" t="s">
        <v>100</v>
      </c>
      <c r="E1894" s="3" t="s">
        <v>212</v>
      </c>
      <c r="F1894" s="5">
        <v>9</v>
      </c>
      <c r="G1894" s="5">
        <v>3450</v>
      </c>
      <c r="H1894" s="5">
        <v>21.8</v>
      </c>
      <c r="I1894" s="5">
        <v>24281.1</v>
      </c>
      <c r="J1894" s="3" t="s">
        <v>26</v>
      </c>
      <c r="K1894" s="3" t="s">
        <v>56</v>
      </c>
      <c r="L1894" t="str">
        <f>IFERROR(VLOOKUP(D1894,Products!$A$2:$F$61,3,FALSE()),"")</f>
        <v>Sports</v>
      </c>
      <c r="M1894" t="str">
        <f>IFERROR(VLOOKUP(E1894,Sales_Reps!$A$2:$C$31,3,FALSE()),"")</f>
        <v>South</v>
      </c>
      <c r="N1894">
        <f>IFERROR(VLOOKUP(D1894,Products!$A$2:$F$61,4,FALSE()),"")</f>
        <v>2467</v>
      </c>
      <c r="O1894" t="str">
        <f>IFERROR(VLOOKUP(C1894,Customers!$A$2:$F$301,5,FALSE()),"")</f>
        <v>Retail</v>
      </c>
      <c r="P1894">
        <f>IFERROR(VLOOKUP(C1894,Customers!$A$2:$F$301,3,FALSE()),"")</f>
        <v>42</v>
      </c>
      <c r="Q1894">
        <f t="shared" si="87"/>
        <v>0.28492753623188405</v>
      </c>
      <c r="R1894">
        <f>IF(AND(COUNTIF($A$2:$A$2027,A1894)&gt;1,COUNTIF($A$2:A1894,A1894)=1),1,0)</f>
        <v>0</v>
      </c>
      <c r="S1894" t="b">
        <f>IFERROR(VLOOKUP(D1894,Products!$A$2:$F$61,6,FALSE()),"")</f>
        <v>1</v>
      </c>
      <c r="T1894" t="str">
        <f>IF(COUNTIF(Customers!$A$2:$A$301,C1894)=0,"Missing","OK")</f>
        <v>OK</v>
      </c>
      <c r="U1894" t="str">
        <f t="shared" si="88"/>
        <v>Bengaluru</v>
      </c>
      <c r="V1894">
        <f t="shared" si="89"/>
        <v>0</v>
      </c>
    </row>
    <row r="1895" spans="1:22" ht="15" customHeight="1" x14ac:dyDescent="0.35">
      <c r="A1895" s="3" t="s">
        <v>2331</v>
      </c>
      <c r="B1895" s="4">
        <v>45410</v>
      </c>
      <c r="C1895" s="3" t="s">
        <v>440</v>
      </c>
      <c r="D1895" s="3" t="s">
        <v>391</v>
      </c>
      <c r="E1895" s="3" t="s">
        <v>25</v>
      </c>
      <c r="F1895" s="5">
        <v>10</v>
      </c>
      <c r="G1895" s="5">
        <v>3450</v>
      </c>
      <c r="H1895" s="5">
        <v>15.7</v>
      </c>
      <c r="I1895" s="5">
        <v>29083.5</v>
      </c>
      <c r="J1895" s="3" t="s">
        <v>79</v>
      </c>
      <c r="K1895" s="3" t="s">
        <v>72</v>
      </c>
      <c r="L1895" t="str">
        <f>IFERROR(VLOOKUP(D1895,Products!$A$2:$F$61,3,FALSE()),"")</f>
        <v>Apparel</v>
      </c>
      <c r="M1895" t="str">
        <f>IFERROR(VLOOKUP(E1895,Sales_Reps!$A$2:$C$31,3,FALSE()),"")</f>
        <v>North</v>
      </c>
      <c r="N1895">
        <f>IFERROR(VLOOKUP(D1895,Products!$A$2:$F$61,4,FALSE()),"")</f>
        <v>1748</v>
      </c>
      <c r="O1895" t="str">
        <f>IFERROR(VLOOKUP(C1895,Customers!$A$2:$F$301,5,FALSE()),"")</f>
        <v>SMB</v>
      </c>
      <c r="P1895">
        <f>IFERROR(VLOOKUP(C1895,Customers!$A$2:$F$301,3,FALSE()),"")</f>
        <v>65</v>
      </c>
      <c r="Q1895">
        <f t="shared" si="87"/>
        <v>0.49333333333333335</v>
      </c>
      <c r="R1895">
        <f>IF(AND(COUNTIF($A$2:$A$2027,A1895)&gt;1,COUNTIF($A$2:A1895,A1895)=1),1,0)</f>
        <v>0</v>
      </c>
      <c r="S1895" t="b">
        <f>IFERROR(VLOOKUP(D1895,Products!$A$2:$F$61,6,FALSE()),"")</f>
        <v>1</v>
      </c>
      <c r="T1895" t="str">
        <f>IF(COUNTIF(Customers!$A$2:$A$301,C1895)=0,"Missing","OK")</f>
        <v>OK</v>
      </c>
      <c r="U1895" t="str">
        <f t="shared" si="88"/>
        <v>Hyderabad</v>
      </c>
      <c r="V1895">
        <f t="shared" si="89"/>
        <v>0</v>
      </c>
    </row>
    <row r="1896" spans="1:22" ht="15" customHeight="1" x14ac:dyDescent="0.35">
      <c r="A1896" s="3" t="s">
        <v>2332</v>
      </c>
      <c r="B1896" s="4">
        <v>45412</v>
      </c>
      <c r="C1896" s="3" t="s">
        <v>40</v>
      </c>
      <c r="D1896" s="3" t="s">
        <v>203</v>
      </c>
      <c r="E1896" s="3" t="s">
        <v>46</v>
      </c>
      <c r="F1896" s="5">
        <v>2</v>
      </c>
      <c r="G1896" s="5">
        <v>4070</v>
      </c>
      <c r="H1896" s="5">
        <v>10.8</v>
      </c>
      <c r="I1896" s="5">
        <v>7260.88</v>
      </c>
      <c r="J1896" s="3" t="s">
        <v>26</v>
      </c>
      <c r="K1896" s="3" t="s">
        <v>38</v>
      </c>
      <c r="L1896" t="str">
        <f>IFERROR(VLOOKUP(D1896,Products!$A$2:$F$61,3,FALSE()),"")</f>
        <v>Grocery</v>
      </c>
      <c r="M1896" t="str">
        <f>IFERROR(VLOOKUP(E1896,Sales_Reps!$A$2:$C$31,3,FALSE()),"")</f>
        <v>North</v>
      </c>
      <c r="N1896">
        <f>IFERROR(VLOOKUP(D1896,Products!$A$2:$F$61,4,FALSE()),"")</f>
        <v>2027</v>
      </c>
      <c r="O1896" t="str">
        <f>IFERROR(VLOOKUP(C1896,Customers!$A$2:$F$301,5,FALSE()),"")</f>
        <v>Corporate</v>
      </c>
      <c r="P1896">
        <f>IFERROR(VLOOKUP(C1896,Customers!$A$2:$F$301,3,FALSE()),"")</f>
        <v>46</v>
      </c>
      <c r="Q1896">
        <f t="shared" si="87"/>
        <v>0.50196560196560192</v>
      </c>
      <c r="R1896">
        <f>IF(AND(COUNTIF($A$2:$A$2027,A1896)&gt;1,COUNTIF($A$2:A1896,A1896)=1),1,0)</f>
        <v>0</v>
      </c>
      <c r="S1896" t="b">
        <f>IFERROR(VLOOKUP(D1896,Products!$A$2:$F$61,6,FALSE()),"")</f>
        <v>1</v>
      </c>
      <c r="T1896" t="str">
        <f>IF(COUNTIF(Customers!$A$2:$A$301,C1896)=0,"Missing","OK")</f>
        <v>OK</v>
      </c>
      <c r="U1896" t="str">
        <f t="shared" si="88"/>
        <v>Delhi</v>
      </c>
      <c r="V1896">
        <f t="shared" si="89"/>
        <v>0</v>
      </c>
    </row>
    <row r="1897" spans="1:22" ht="15" customHeight="1" x14ac:dyDescent="0.35">
      <c r="A1897" s="3" t="s">
        <v>2333</v>
      </c>
      <c r="B1897" s="4">
        <v>45372</v>
      </c>
      <c r="C1897" s="3" t="s">
        <v>308</v>
      </c>
      <c r="D1897" s="3" t="s">
        <v>400</v>
      </c>
      <c r="E1897" s="3" t="s">
        <v>93</v>
      </c>
      <c r="F1897" s="5">
        <v>4</v>
      </c>
      <c r="G1897" s="5">
        <v>3780</v>
      </c>
      <c r="H1897" s="5">
        <v>17.100000000000001</v>
      </c>
      <c r="I1897" s="5">
        <v>12534.48</v>
      </c>
      <c r="J1897" s="3" t="s">
        <v>26</v>
      </c>
      <c r="K1897" s="3" t="s">
        <v>33</v>
      </c>
      <c r="L1897" t="str">
        <f>IFERROR(VLOOKUP(D1897,Products!$A$2:$F$61,3,FALSE()),"")</f>
        <v>Sports</v>
      </c>
      <c r="M1897" t="str">
        <f>IFERROR(VLOOKUP(E1897,Sales_Reps!$A$2:$C$31,3,FALSE()),"")</f>
        <v>East</v>
      </c>
      <c r="N1897">
        <f>IFERROR(VLOOKUP(D1897,Products!$A$2:$F$61,4,FALSE()),"")</f>
        <v>1860</v>
      </c>
      <c r="O1897" t="str">
        <f>IFERROR(VLOOKUP(C1897,Customers!$A$2:$F$301,5,FALSE()),"")</f>
        <v>SMB</v>
      </c>
      <c r="P1897">
        <f>IFERROR(VLOOKUP(C1897,Customers!$A$2:$F$301,3,FALSE()),"")</f>
        <v>62</v>
      </c>
      <c r="Q1897">
        <f t="shared" si="87"/>
        <v>0.50793650793650791</v>
      </c>
      <c r="R1897">
        <f>IF(AND(COUNTIF($A$2:$A$2027,A1897)&gt;1,COUNTIF($A$2:A1897,A1897)=1),1,0)</f>
        <v>0</v>
      </c>
      <c r="S1897" t="b">
        <f>IFERROR(VLOOKUP(D1897,Products!$A$2:$F$61,6,FALSE()),"")</f>
        <v>1</v>
      </c>
      <c r="T1897" t="str">
        <f>IF(COUNTIF(Customers!$A$2:$A$301,C1897)=0,"Missing","OK")</f>
        <v>OK</v>
      </c>
      <c r="U1897" t="str">
        <f t="shared" si="88"/>
        <v>Chennai</v>
      </c>
      <c r="V1897">
        <f t="shared" si="89"/>
        <v>0</v>
      </c>
    </row>
    <row r="1898" spans="1:22" ht="15" customHeight="1" x14ac:dyDescent="0.35">
      <c r="A1898" s="3" t="s">
        <v>2334</v>
      </c>
      <c r="B1898" s="4">
        <v>45622</v>
      </c>
      <c r="C1898" s="3" t="s">
        <v>612</v>
      </c>
      <c r="D1898" s="3" t="s">
        <v>139</v>
      </c>
      <c r="E1898" s="3" t="s">
        <v>78</v>
      </c>
      <c r="F1898" s="5">
        <v>1</v>
      </c>
      <c r="G1898" s="5">
        <v>2760</v>
      </c>
      <c r="H1898" s="5">
        <v>2.5</v>
      </c>
      <c r="I1898" s="5">
        <v>2691</v>
      </c>
      <c r="J1898" s="3" t="s">
        <v>79</v>
      </c>
      <c r="K1898" s="3" t="s">
        <v>51</v>
      </c>
      <c r="L1898" t="str">
        <f>IFERROR(VLOOKUP(D1898,Products!$A$2:$F$61,3,FALSE()),"")</f>
        <v>Grocery</v>
      </c>
      <c r="M1898" t="str">
        <f>IFERROR(VLOOKUP(E1898,Sales_Reps!$A$2:$C$31,3,FALSE()),"")</f>
        <v>North</v>
      </c>
      <c r="N1898">
        <f>IFERROR(VLOOKUP(D1898,Products!$A$2:$F$61,4,FALSE()),"")</f>
        <v>1435</v>
      </c>
      <c r="O1898" t="str">
        <f>IFERROR(VLOOKUP(C1898,Customers!$A$2:$F$301,5,FALSE()),"")</f>
        <v>Retail</v>
      </c>
      <c r="P1898">
        <f>IFERROR(VLOOKUP(C1898,Customers!$A$2:$F$301,3,FALSE()),"")</f>
        <v>35</v>
      </c>
      <c r="Q1898">
        <f t="shared" si="87"/>
        <v>0.48007246376811596</v>
      </c>
      <c r="R1898">
        <f>IF(AND(COUNTIF($A$2:$A$2027,A1898)&gt;1,COUNTIF($A$2:A1898,A1898)=1),1,0)</f>
        <v>0</v>
      </c>
      <c r="S1898" t="b">
        <f>IFERROR(VLOOKUP(D1898,Products!$A$2:$F$61,6,FALSE()),"")</f>
        <v>1</v>
      </c>
      <c r="T1898" t="str">
        <f>IF(COUNTIF(Customers!$A$2:$A$301,C1898)=0,"Missing","OK")</f>
        <v>OK</v>
      </c>
      <c r="U1898" t="str">
        <f t="shared" si="88"/>
        <v>Mumbai</v>
      </c>
      <c r="V1898">
        <f t="shared" si="89"/>
        <v>0</v>
      </c>
    </row>
    <row r="1899" spans="1:22" ht="15" customHeight="1" x14ac:dyDescent="0.35">
      <c r="A1899" s="3" t="s">
        <v>2335</v>
      </c>
      <c r="B1899" s="4">
        <v>45493</v>
      </c>
      <c r="C1899" s="3" t="s">
        <v>95</v>
      </c>
      <c r="D1899" s="3" t="s">
        <v>123</v>
      </c>
      <c r="E1899" s="3" t="s">
        <v>109</v>
      </c>
      <c r="F1899" s="5">
        <v>2</v>
      </c>
      <c r="G1899" s="5">
        <v>4880</v>
      </c>
      <c r="H1899" s="5">
        <v>11</v>
      </c>
      <c r="I1899" s="5">
        <v>8686.4</v>
      </c>
      <c r="J1899" s="3" t="s">
        <v>26</v>
      </c>
      <c r="K1899" s="3" t="s">
        <v>72</v>
      </c>
      <c r="L1899" t="str">
        <f>IFERROR(VLOOKUP(D1899,Products!$A$2:$F$61,3,FALSE()),"")</f>
        <v>Beauty</v>
      </c>
      <c r="M1899" t="str">
        <f>IFERROR(VLOOKUP(E1899,Sales_Reps!$A$2:$C$31,3,FALSE()),"")</f>
        <v>West</v>
      </c>
      <c r="N1899">
        <f>IFERROR(VLOOKUP(D1899,Products!$A$2:$F$61,4,FALSE()),"")</f>
        <v>2768</v>
      </c>
      <c r="O1899" t="str">
        <f>IFERROR(VLOOKUP(C1899,Customers!$A$2:$F$301,5,FALSE()),"")</f>
        <v>Corporate</v>
      </c>
      <c r="P1899">
        <f>IFERROR(VLOOKUP(C1899,Customers!$A$2:$F$301,3,FALSE()),"")</f>
        <v>32</v>
      </c>
      <c r="Q1899">
        <f t="shared" si="87"/>
        <v>0.43278688524590164</v>
      </c>
      <c r="R1899">
        <f>IF(AND(COUNTIF($A$2:$A$2027,A1899)&gt;1,COUNTIF($A$2:A1899,A1899)=1),1,0)</f>
        <v>0</v>
      </c>
      <c r="S1899" t="b">
        <f>IFERROR(VLOOKUP(D1899,Products!$A$2:$F$61,6,FALSE()),"")</f>
        <v>1</v>
      </c>
      <c r="T1899" t="str">
        <f>IF(COUNTIF(Customers!$A$2:$A$301,C1899)=0,"Missing","OK")</f>
        <v>OK</v>
      </c>
      <c r="U1899" t="str">
        <f t="shared" si="88"/>
        <v>Hyderabad</v>
      </c>
      <c r="V1899">
        <f t="shared" si="89"/>
        <v>0</v>
      </c>
    </row>
    <row r="1900" spans="1:22" ht="15" customHeight="1" x14ac:dyDescent="0.35">
      <c r="A1900" s="3" t="s">
        <v>2336</v>
      </c>
      <c r="B1900" s="4">
        <v>45580</v>
      </c>
      <c r="C1900" s="3" t="s">
        <v>545</v>
      </c>
      <c r="D1900" s="3" t="s">
        <v>306</v>
      </c>
      <c r="E1900" s="3" t="s">
        <v>224</v>
      </c>
      <c r="F1900" s="5">
        <v>10</v>
      </c>
      <c r="G1900" s="5">
        <v>2380</v>
      </c>
      <c r="H1900" s="5">
        <v>28.3</v>
      </c>
      <c r="I1900" s="5">
        <v>17064.599999999999</v>
      </c>
      <c r="J1900" s="3" t="s">
        <v>26</v>
      </c>
      <c r="K1900" s="3" t="s">
        <v>51</v>
      </c>
      <c r="L1900" t="str">
        <f>IFERROR(VLOOKUP(D1900,Products!$A$2:$F$61,3,FALSE()),"")</f>
        <v>Grocery</v>
      </c>
      <c r="M1900" t="str">
        <f>IFERROR(VLOOKUP(E1900,Sales_Reps!$A$2:$C$31,3,FALSE()),"")</f>
        <v>East</v>
      </c>
      <c r="N1900">
        <f>IFERROR(VLOOKUP(D1900,Products!$A$2:$F$61,4,FALSE()),"")</f>
        <v>1182</v>
      </c>
      <c r="O1900" t="str">
        <f>IFERROR(VLOOKUP(C1900,Customers!$A$2:$F$301,5,FALSE()),"")</f>
        <v>Retail</v>
      </c>
      <c r="P1900">
        <f>IFERROR(VLOOKUP(C1900,Customers!$A$2:$F$301,3,FALSE()),"")</f>
        <v>52</v>
      </c>
      <c r="Q1900">
        <f t="shared" si="87"/>
        <v>0.50336134453781511</v>
      </c>
      <c r="R1900">
        <f>IF(AND(COUNTIF($A$2:$A$2027,A1900)&gt;1,COUNTIF($A$2:A1900,A1900)=1),1,0)</f>
        <v>0</v>
      </c>
      <c r="S1900" t="b">
        <f>IFERROR(VLOOKUP(D1900,Products!$A$2:$F$61,6,FALSE()),"")</f>
        <v>1</v>
      </c>
      <c r="T1900" t="str">
        <f>IF(COUNTIF(Customers!$A$2:$A$301,C1900)=0,"Missing","OK")</f>
        <v>OK</v>
      </c>
      <c r="U1900" t="str">
        <f t="shared" si="88"/>
        <v>Mumbai</v>
      </c>
      <c r="V1900">
        <f t="shared" si="89"/>
        <v>0</v>
      </c>
    </row>
    <row r="1901" spans="1:22" ht="15" customHeight="1" x14ac:dyDescent="0.35">
      <c r="A1901" s="3" t="s">
        <v>2337</v>
      </c>
      <c r="B1901" s="4">
        <v>45449</v>
      </c>
      <c r="C1901" s="3" t="s">
        <v>1043</v>
      </c>
      <c r="D1901" s="3" t="s">
        <v>325</v>
      </c>
      <c r="E1901" s="3" t="s">
        <v>87</v>
      </c>
      <c r="F1901" s="5">
        <v>3</v>
      </c>
      <c r="G1901" s="5">
        <v>2290</v>
      </c>
      <c r="H1901" s="5">
        <v>11.1</v>
      </c>
      <c r="I1901" s="5">
        <v>6107.43</v>
      </c>
      <c r="J1901" s="3" t="s">
        <v>79</v>
      </c>
      <c r="K1901" s="3" t="s">
        <v>56</v>
      </c>
      <c r="L1901" t="str">
        <f>IFERROR(VLOOKUP(D1901,Products!$A$2:$F$61,3,FALSE()),"")</f>
        <v>Beauty</v>
      </c>
      <c r="M1901" t="str">
        <f>IFERROR(VLOOKUP(E1901,Sales_Reps!$A$2:$C$31,3,FALSE()),"")</f>
        <v>North</v>
      </c>
      <c r="N1901">
        <f>IFERROR(VLOOKUP(D1901,Products!$A$2:$F$61,4,FALSE()),"")</f>
        <v>1219</v>
      </c>
      <c r="O1901" t="str">
        <f>IFERROR(VLOOKUP(C1901,Customers!$A$2:$F$301,5,FALSE()),"")</f>
        <v>Corporate</v>
      </c>
      <c r="P1901">
        <f>IFERROR(VLOOKUP(C1901,Customers!$A$2:$F$301,3,FALSE()),"")</f>
        <v>31</v>
      </c>
      <c r="Q1901">
        <f t="shared" si="87"/>
        <v>0.46768558951965067</v>
      </c>
      <c r="R1901">
        <f>IF(AND(COUNTIF($A$2:$A$2027,A1901)&gt;1,COUNTIF($A$2:A1901,A1901)=1),1,0)</f>
        <v>0</v>
      </c>
      <c r="S1901" t="b">
        <f>IFERROR(VLOOKUP(D1901,Products!$A$2:$F$61,6,FALSE()),"")</f>
        <v>1</v>
      </c>
      <c r="T1901" t="str">
        <f>IF(COUNTIF(Customers!$A$2:$A$301,C1901)=0,"Missing","OK")</f>
        <v>OK</v>
      </c>
      <c r="U1901" t="str">
        <f t="shared" si="88"/>
        <v>Bengaluru</v>
      </c>
      <c r="V1901">
        <f t="shared" si="89"/>
        <v>0</v>
      </c>
    </row>
    <row r="1902" spans="1:22" ht="15" customHeight="1" x14ac:dyDescent="0.35">
      <c r="A1902" s="3" t="s">
        <v>2338</v>
      </c>
      <c r="B1902" s="4">
        <v>45417</v>
      </c>
      <c r="C1902" s="3" t="s">
        <v>95</v>
      </c>
      <c r="D1902" s="3" t="s">
        <v>139</v>
      </c>
      <c r="E1902" s="3" t="s">
        <v>78</v>
      </c>
      <c r="F1902" s="5">
        <v>6</v>
      </c>
      <c r="G1902" s="5">
        <v>2760</v>
      </c>
      <c r="H1902" s="5">
        <v>16.5</v>
      </c>
      <c r="I1902" s="5">
        <v>13827.6</v>
      </c>
      <c r="J1902" s="3" t="s">
        <v>26</v>
      </c>
      <c r="K1902" s="3" t="s">
        <v>72</v>
      </c>
      <c r="L1902" t="str">
        <f>IFERROR(VLOOKUP(D1902,Products!$A$2:$F$61,3,FALSE()),"")</f>
        <v>Grocery</v>
      </c>
      <c r="M1902" t="str">
        <f>IFERROR(VLOOKUP(E1902,Sales_Reps!$A$2:$C$31,3,FALSE()),"")</f>
        <v>North</v>
      </c>
      <c r="N1902">
        <f>IFERROR(VLOOKUP(D1902,Products!$A$2:$F$61,4,FALSE()),"")</f>
        <v>1435</v>
      </c>
      <c r="O1902" t="str">
        <f>IFERROR(VLOOKUP(C1902,Customers!$A$2:$F$301,5,FALSE()),"")</f>
        <v>Corporate</v>
      </c>
      <c r="P1902">
        <f>IFERROR(VLOOKUP(C1902,Customers!$A$2:$F$301,3,FALSE()),"")</f>
        <v>32</v>
      </c>
      <c r="Q1902">
        <f t="shared" si="87"/>
        <v>0.48007246376811596</v>
      </c>
      <c r="R1902">
        <f>IF(AND(COUNTIF($A$2:$A$2027,A1902)&gt;1,COUNTIF($A$2:A1902,A1902)=1),1,0)</f>
        <v>0</v>
      </c>
      <c r="S1902" t="b">
        <f>IFERROR(VLOOKUP(D1902,Products!$A$2:$F$61,6,FALSE()),"")</f>
        <v>1</v>
      </c>
      <c r="T1902" t="str">
        <f>IF(COUNTIF(Customers!$A$2:$A$301,C1902)=0,"Missing","OK")</f>
        <v>OK</v>
      </c>
      <c r="U1902" t="str">
        <f t="shared" si="88"/>
        <v>Hyderabad</v>
      </c>
      <c r="V1902">
        <f t="shared" si="89"/>
        <v>0</v>
      </c>
    </row>
    <row r="1903" spans="1:22" ht="15" customHeight="1" x14ac:dyDescent="0.35">
      <c r="A1903" s="3" t="s">
        <v>2339</v>
      </c>
      <c r="B1903" s="4">
        <v>45523</v>
      </c>
      <c r="C1903" s="3" t="s">
        <v>457</v>
      </c>
      <c r="D1903" s="3" t="s">
        <v>290</v>
      </c>
      <c r="E1903" s="3" t="s">
        <v>282</v>
      </c>
      <c r="F1903" s="5">
        <v>5</v>
      </c>
      <c r="G1903" s="5">
        <v>4060</v>
      </c>
      <c r="H1903" s="5">
        <v>22.5</v>
      </c>
      <c r="I1903" s="5">
        <v>15732.5</v>
      </c>
      <c r="J1903" s="3" t="s">
        <v>26</v>
      </c>
      <c r="K1903" s="3" t="s">
        <v>27</v>
      </c>
      <c r="L1903" t="str">
        <f>IFERROR(VLOOKUP(D1903,Products!$A$2:$F$61,3,FALSE()),"")</f>
        <v>Grocery</v>
      </c>
      <c r="M1903" t="str">
        <f>IFERROR(VLOOKUP(E1903,Sales_Reps!$A$2:$C$31,3,FALSE()),"")</f>
        <v>West</v>
      </c>
      <c r="N1903">
        <f>IFERROR(VLOOKUP(D1903,Products!$A$2:$F$61,4,FALSE()),"")</f>
        <v>2911</v>
      </c>
      <c r="O1903" t="str">
        <f>IFERROR(VLOOKUP(C1903,Customers!$A$2:$F$301,5,FALSE()),"")</f>
        <v>Retail</v>
      </c>
      <c r="P1903">
        <f>IFERROR(VLOOKUP(C1903,Customers!$A$2:$F$301,3,FALSE()),"")</f>
        <v>49</v>
      </c>
      <c r="Q1903">
        <f t="shared" si="87"/>
        <v>0.28300492610837441</v>
      </c>
      <c r="R1903">
        <f>IF(AND(COUNTIF($A$2:$A$2027,A1903)&gt;1,COUNTIF($A$2:A1903,A1903)=1),1,0)</f>
        <v>0</v>
      </c>
      <c r="S1903" t="b">
        <f>IFERROR(VLOOKUP(D1903,Products!$A$2:$F$61,6,FALSE()),"")</f>
        <v>1</v>
      </c>
      <c r="T1903" t="str">
        <f>IF(COUNTIF(Customers!$A$2:$A$301,C1903)=0,"Missing","OK")</f>
        <v>OK</v>
      </c>
      <c r="U1903" t="str">
        <f t="shared" si="88"/>
        <v>Pune</v>
      </c>
      <c r="V1903">
        <f t="shared" si="89"/>
        <v>0</v>
      </c>
    </row>
    <row r="1904" spans="1:22" ht="15" customHeight="1" x14ac:dyDescent="0.35">
      <c r="A1904" s="3" t="s">
        <v>2340</v>
      </c>
      <c r="B1904" s="4">
        <v>45367</v>
      </c>
      <c r="C1904" s="3" t="s">
        <v>267</v>
      </c>
      <c r="D1904" s="3" t="s">
        <v>74</v>
      </c>
      <c r="E1904" s="3" t="s">
        <v>42</v>
      </c>
      <c r="F1904" s="5">
        <v>8</v>
      </c>
      <c r="G1904" s="5">
        <v>2640</v>
      </c>
      <c r="H1904" s="5">
        <v>11.8</v>
      </c>
      <c r="I1904" s="5">
        <v>18627.84</v>
      </c>
      <c r="J1904" s="3" t="s">
        <v>26</v>
      </c>
      <c r="K1904" s="3" t="s">
        <v>33</v>
      </c>
      <c r="L1904" t="str">
        <f>IFERROR(VLOOKUP(D1904,Products!$A$2:$F$61,3,FALSE()),"")</f>
        <v>Electronics</v>
      </c>
      <c r="M1904" t="str">
        <f>IFERROR(VLOOKUP(E1904,Sales_Reps!$A$2:$C$31,3,FALSE()),"")</f>
        <v>North</v>
      </c>
      <c r="N1904">
        <f>IFERROR(VLOOKUP(D1904,Products!$A$2:$F$61,4,FALSE()),"")</f>
        <v>1149</v>
      </c>
      <c r="O1904" t="str">
        <f>IFERROR(VLOOKUP(C1904,Customers!$A$2:$F$301,5,FALSE()),"")</f>
        <v>Retail</v>
      </c>
      <c r="P1904">
        <f>IFERROR(VLOOKUP(C1904,Customers!$A$2:$F$301,3,FALSE()),"")</f>
        <v>28</v>
      </c>
      <c r="Q1904">
        <f t="shared" si="87"/>
        <v>0.56477272727272732</v>
      </c>
      <c r="R1904">
        <f>IF(AND(COUNTIF($A$2:$A$2027,A1904)&gt;1,COUNTIF($A$2:A1904,A1904)=1),1,0)</f>
        <v>0</v>
      </c>
      <c r="S1904" t="b">
        <f>IFERROR(VLOOKUP(D1904,Products!$A$2:$F$61,6,FALSE()),"")</f>
        <v>1</v>
      </c>
      <c r="T1904" t="str">
        <f>IF(COUNTIF(Customers!$A$2:$A$301,C1904)=0,"Missing","OK")</f>
        <v>OK</v>
      </c>
      <c r="U1904" t="str">
        <f t="shared" si="88"/>
        <v>Chennai</v>
      </c>
      <c r="V1904">
        <f t="shared" si="89"/>
        <v>0</v>
      </c>
    </row>
    <row r="1905" spans="1:22" ht="15" customHeight="1" x14ac:dyDescent="0.35">
      <c r="A1905" s="3" t="s">
        <v>2341</v>
      </c>
      <c r="B1905" s="4">
        <v>45309</v>
      </c>
      <c r="C1905" s="3" t="s">
        <v>755</v>
      </c>
      <c r="D1905" s="3" t="s">
        <v>209</v>
      </c>
      <c r="E1905" s="3" t="s">
        <v>31</v>
      </c>
      <c r="F1905" s="5">
        <v>2</v>
      </c>
      <c r="G1905" s="5">
        <v>4610</v>
      </c>
      <c r="H1905" s="5">
        <v>10.4</v>
      </c>
      <c r="I1905" s="5">
        <v>8261.1200000000008</v>
      </c>
      <c r="J1905" s="3" t="s">
        <v>32</v>
      </c>
      <c r="K1905" s="3" t="s">
        <v>27</v>
      </c>
      <c r="L1905" t="str">
        <f>IFERROR(VLOOKUP(D1905,Products!$A$2:$F$61,3,FALSE()),"")</f>
        <v>Home</v>
      </c>
      <c r="M1905" t="str">
        <f>IFERROR(VLOOKUP(E1905,Sales_Reps!$A$2:$C$31,3,FALSE()),"")</f>
        <v>North</v>
      </c>
      <c r="N1905">
        <f>IFERROR(VLOOKUP(D1905,Products!$A$2:$F$61,4,FALSE()),"")</f>
        <v>1850</v>
      </c>
      <c r="O1905" t="str">
        <f>IFERROR(VLOOKUP(C1905,Customers!$A$2:$F$301,5,FALSE()),"")</f>
        <v>Retail</v>
      </c>
      <c r="P1905">
        <f>IFERROR(VLOOKUP(C1905,Customers!$A$2:$F$301,3,FALSE()),"")</f>
        <v>36</v>
      </c>
      <c r="Q1905">
        <f t="shared" si="87"/>
        <v>0.59869848156182215</v>
      </c>
      <c r="R1905">
        <f>IF(AND(COUNTIF($A$2:$A$2027,A1905)&gt;1,COUNTIF($A$2:A1905,A1905)=1),1,0)</f>
        <v>0</v>
      </c>
      <c r="S1905" t="b">
        <f>IFERROR(VLOOKUP(D1905,Products!$A$2:$F$61,6,FALSE()),"")</f>
        <v>1</v>
      </c>
      <c r="T1905" t="str">
        <f>IF(COUNTIF(Customers!$A$2:$A$301,C1905)=0,"Missing","OK")</f>
        <v>OK</v>
      </c>
      <c r="U1905" t="str">
        <f t="shared" si="88"/>
        <v>Pune</v>
      </c>
      <c r="V1905">
        <f t="shared" si="89"/>
        <v>0</v>
      </c>
    </row>
    <row r="1906" spans="1:22" ht="15" customHeight="1" x14ac:dyDescent="0.35">
      <c r="A1906" s="3" t="s">
        <v>2342</v>
      </c>
      <c r="B1906" s="4">
        <v>45383</v>
      </c>
      <c r="C1906" s="3" t="s">
        <v>217</v>
      </c>
      <c r="D1906" s="3" t="s">
        <v>277</v>
      </c>
      <c r="E1906" s="3" t="s">
        <v>67</v>
      </c>
      <c r="F1906" s="5">
        <v>6</v>
      </c>
      <c r="G1906" s="5">
        <v>2210</v>
      </c>
      <c r="H1906" s="5">
        <v>22.5</v>
      </c>
      <c r="I1906" s="5">
        <v>10276.5</v>
      </c>
      <c r="J1906" s="3" t="s">
        <v>79</v>
      </c>
      <c r="K1906" s="3" t="s">
        <v>72</v>
      </c>
      <c r="L1906" t="str">
        <f>IFERROR(VLOOKUP(D1906,Products!$A$2:$F$61,3,FALSE()),"")</f>
        <v>Grocery</v>
      </c>
      <c r="M1906" t="str">
        <f>IFERROR(VLOOKUP(E1906,Sales_Reps!$A$2:$C$31,3,FALSE()),"")</f>
        <v>West</v>
      </c>
      <c r="N1906">
        <f>IFERROR(VLOOKUP(D1906,Products!$A$2:$F$61,4,FALSE()),"")</f>
        <v>1010</v>
      </c>
      <c r="O1906" t="str">
        <f>IFERROR(VLOOKUP(C1906,Customers!$A$2:$F$301,5,FALSE()),"")</f>
        <v>Corporate</v>
      </c>
      <c r="P1906">
        <f>IFERROR(VLOOKUP(C1906,Customers!$A$2:$F$301,3,FALSE()),"")</f>
        <v>29</v>
      </c>
      <c r="Q1906">
        <f t="shared" si="87"/>
        <v>0.54298642533936647</v>
      </c>
      <c r="R1906">
        <f>IF(AND(COUNTIF($A$2:$A$2027,A1906)&gt;1,COUNTIF($A$2:A1906,A1906)=1),1,0)</f>
        <v>0</v>
      </c>
      <c r="S1906" t="b">
        <f>IFERROR(VLOOKUP(D1906,Products!$A$2:$F$61,6,FALSE()),"")</f>
        <v>1</v>
      </c>
      <c r="T1906" t="str">
        <f>IF(COUNTIF(Customers!$A$2:$A$301,C1906)=0,"Missing","OK")</f>
        <v>OK</v>
      </c>
      <c r="U1906" t="str">
        <f t="shared" si="88"/>
        <v>Hyderabad</v>
      </c>
      <c r="V1906">
        <f t="shared" si="89"/>
        <v>0</v>
      </c>
    </row>
    <row r="1907" spans="1:22" ht="15" customHeight="1" x14ac:dyDescent="0.35">
      <c r="A1907" s="3" t="s">
        <v>2343</v>
      </c>
      <c r="B1907" s="4">
        <v>45420</v>
      </c>
      <c r="C1907" s="3" t="s">
        <v>485</v>
      </c>
      <c r="D1907" s="3" t="s">
        <v>277</v>
      </c>
      <c r="E1907" s="3" t="s">
        <v>212</v>
      </c>
      <c r="F1907" s="5">
        <v>4</v>
      </c>
      <c r="G1907" s="5">
        <v>2210</v>
      </c>
      <c r="H1907" s="5">
        <v>21.5</v>
      </c>
      <c r="I1907" s="5">
        <v>6939.4</v>
      </c>
      <c r="J1907" s="3" t="s">
        <v>32</v>
      </c>
      <c r="K1907" s="3" t="s">
        <v>38</v>
      </c>
      <c r="L1907" t="str">
        <f>IFERROR(VLOOKUP(D1907,Products!$A$2:$F$61,3,FALSE()),"")</f>
        <v>Grocery</v>
      </c>
      <c r="M1907" t="str">
        <f>IFERROR(VLOOKUP(E1907,Sales_Reps!$A$2:$C$31,3,FALSE()),"")</f>
        <v>South</v>
      </c>
      <c r="N1907">
        <f>IFERROR(VLOOKUP(D1907,Products!$A$2:$F$61,4,FALSE()),"")</f>
        <v>1010</v>
      </c>
      <c r="O1907" t="str">
        <f>IFERROR(VLOOKUP(C1907,Customers!$A$2:$F$301,5,FALSE()),"")</f>
        <v>SMB</v>
      </c>
      <c r="P1907">
        <f>IFERROR(VLOOKUP(C1907,Customers!$A$2:$F$301,3,FALSE()),"")</f>
        <v>29</v>
      </c>
      <c r="Q1907">
        <f t="shared" si="87"/>
        <v>0.54298642533936647</v>
      </c>
      <c r="R1907">
        <f>IF(AND(COUNTIF($A$2:$A$2027,A1907)&gt;1,COUNTIF($A$2:A1907,A1907)=1),1,0)</f>
        <v>0</v>
      </c>
      <c r="S1907" t="b">
        <f>IFERROR(VLOOKUP(D1907,Products!$A$2:$F$61,6,FALSE()),"")</f>
        <v>1</v>
      </c>
      <c r="T1907" t="str">
        <f>IF(COUNTIF(Customers!$A$2:$A$301,C1907)=0,"Missing","OK")</f>
        <v>OK</v>
      </c>
      <c r="U1907" t="str">
        <f t="shared" si="88"/>
        <v>Delhi</v>
      </c>
      <c r="V1907">
        <f t="shared" si="89"/>
        <v>0</v>
      </c>
    </row>
    <row r="1908" spans="1:22" ht="15" customHeight="1" x14ac:dyDescent="0.35">
      <c r="A1908" s="3" t="s">
        <v>2344</v>
      </c>
      <c r="B1908" s="4">
        <v>45400</v>
      </c>
      <c r="C1908" s="3" t="s">
        <v>23</v>
      </c>
      <c r="D1908" s="3" t="s">
        <v>441</v>
      </c>
      <c r="E1908" s="3" t="s">
        <v>191</v>
      </c>
      <c r="F1908" s="5">
        <v>6</v>
      </c>
      <c r="G1908" s="5">
        <v>1090</v>
      </c>
      <c r="H1908" s="5">
        <v>28.3</v>
      </c>
      <c r="I1908" s="5">
        <v>4689.18</v>
      </c>
      <c r="J1908" s="3" t="s">
        <v>26</v>
      </c>
      <c r="K1908" s="3" t="s">
        <v>27</v>
      </c>
      <c r="L1908" t="str">
        <f>IFERROR(VLOOKUP(D1908,Products!$A$2:$F$61,3,FALSE()),"")</f>
        <v>Home</v>
      </c>
      <c r="M1908" t="str">
        <f>IFERROR(VLOOKUP(E1908,Sales_Reps!$A$2:$C$31,3,FALSE()),"")</f>
        <v>South</v>
      </c>
      <c r="N1908">
        <f>IFERROR(VLOOKUP(D1908,Products!$A$2:$F$61,4,FALSE()),"")</f>
        <v>464</v>
      </c>
      <c r="O1908" t="str">
        <f>IFERROR(VLOOKUP(C1908,Customers!$A$2:$F$301,5,FALSE()),"")</f>
        <v>SMB</v>
      </c>
      <c r="P1908">
        <f>IFERROR(VLOOKUP(C1908,Customers!$A$2:$F$301,3,FALSE()),"")</f>
        <v>44</v>
      </c>
      <c r="Q1908">
        <f t="shared" si="87"/>
        <v>0.57431192660550456</v>
      </c>
      <c r="R1908">
        <f>IF(AND(COUNTIF($A$2:$A$2027,A1908)&gt;1,COUNTIF($A$2:A1908,A1908)=1),1,0)</f>
        <v>0</v>
      </c>
      <c r="S1908" t="b">
        <f>IFERROR(VLOOKUP(D1908,Products!$A$2:$F$61,6,FALSE()),"")</f>
        <v>1</v>
      </c>
      <c r="T1908" t="str">
        <f>IF(COUNTIF(Customers!$A$2:$A$301,C1908)=0,"Missing","OK")</f>
        <v>OK</v>
      </c>
      <c r="U1908" t="str">
        <f t="shared" si="88"/>
        <v>Pune</v>
      </c>
      <c r="V1908">
        <f t="shared" si="89"/>
        <v>0</v>
      </c>
    </row>
    <row r="1909" spans="1:22" ht="15" customHeight="1" x14ac:dyDescent="0.35">
      <c r="A1909" s="3" t="s">
        <v>2345</v>
      </c>
      <c r="B1909" s="4">
        <v>45625</v>
      </c>
      <c r="C1909" s="3" t="s">
        <v>359</v>
      </c>
      <c r="D1909" s="3" t="s">
        <v>49</v>
      </c>
      <c r="E1909" s="3" t="s">
        <v>87</v>
      </c>
      <c r="F1909" s="5">
        <v>9</v>
      </c>
      <c r="G1909" s="5">
        <v>370</v>
      </c>
      <c r="H1909" s="5">
        <v>13.8</v>
      </c>
      <c r="I1909" s="5">
        <v>2870.46</v>
      </c>
      <c r="J1909" s="3" t="s">
        <v>26</v>
      </c>
      <c r="K1909" s="3" t="s">
        <v>38</v>
      </c>
      <c r="L1909" t="str">
        <f>IFERROR(VLOOKUP(D1909,Products!$A$2:$F$61,3,FALSE()),"")</f>
        <v>Home</v>
      </c>
      <c r="M1909" t="str">
        <f>IFERROR(VLOOKUP(E1909,Sales_Reps!$A$2:$C$31,3,FALSE()),"")</f>
        <v>North</v>
      </c>
      <c r="N1909">
        <f>IFERROR(VLOOKUP(D1909,Products!$A$2:$F$61,4,FALSE()),"")</f>
        <v>288</v>
      </c>
      <c r="O1909" t="str">
        <f>IFERROR(VLOOKUP(C1909,Customers!$A$2:$F$301,5,FALSE()),"")</f>
        <v>Retail</v>
      </c>
      <c r="P1909">
        <f>IFERROR(VLOOKUP(C1909,Customers!$A$2:$F$301,3,FALSE()),"")</f>
        <v>44</v>
      </c>
      <c r="Q1909">
        <f t="shared" si="87"/>
        <v>0.22162162162162163</v>
      </c>
      <c r="R1909">
        <f>IF(AND(COUNTIF($A$2:$A$2027,A1909)&gt;1,COUNTIF($A$2:A1909,A1909)=1),1,0)</f>
        <v>0</v>
      </c>
      <c r="S1909" t="b">
        <f>IFERROR(VLOOKUP(D1909,Products!$A$2:$F$61,6,FALSE()),"")</f>
        <v>1</v>
      </c>
      <c r="T1909" t="str">
        <f>IF(COUNTIF(Customers!$A$2:$A$301,C1909)=0,"Missing","OK")</f>
        <v>OK</v>
      </c>
      <c r="U1909" t="str">
        <f t="shared" si="88"/>
        <v>Delhi</v>
      </c>
      <c r="V1909">
        <f t="shared" si="89"/>
        <v>0</v>
      </c>
    </row>
    <row r="1910" spans="1:22" ht="15" customHeight="1" x14ac:dyDescent="0.35">
      <c r="A1910" s="3" t="s">
        <v>2346</v>
      </c>
      <c r="B1910" s="4">
        <v>45555</v>
      </c>
      <c r="C1910" s="3" t="s">
        <v>432</v>
      </c>
      <c r="D1910" s="3" t="s">
        <v>126</v>
      </c>
      <c r="E1910" s="3" t="s">
        <v>50</v>
      </c>
      <c r="F1910" s="5">
        <v>10</v>
      </c>
      <c r="G1910" s="5">
        <v>3570</v>
      </c>
      <c r="H1910" s="5">
        <v>3</v>
      </c>
      <c r="I1910" s="5">
        <v>34629</v>
      </c>
      <c r="J1910" s="3" t="s">
        <v>79</v>
      </c>
      <c r="K1910" s="3" t="s">
        <v>27</v>
      </c>
      <c r="L1910" t="str">
        <f>IFERROR(VLOOKUP(D1910,Products!$A$2:$F$61,3,FALSE()),"")</f>
        <v>Electronics</v>
      </c>
      <c r="M1910" t="str">
        <f>IFERROR(VLOOKUP(E1910,Sales_Reps!$A$2:$C$31,3,FALSE()),"")</f>
        <v>West</v>
      </c>
      <c r="N1910">
        <f>IFERROR(VLOOKUP(D1910,Products!$A$2:$F$61,4,FALSE()),"")</f>
        <v>1665</v>
      </c>
      <c r="O1910" t="str">
        <f>IFERROR(VLOOKUP(C1910,Customers!$A$2:$F$301,5,FALSE()),"")</f>
        <v>Retail</v>
      </c>
      <c r="P1910">
        <f>IFERROR(VLOOKUP(C1910,Customers!$A$2:$F$301,3,FALSE()),"")</f>
        <v>57</v>
      </c>
      <c r="Q1910">
        <f t="shared" si="87"/>
        <v>0.53361344537815125</v>
      </c>
      <c r="R1910">
        <f>IF(AND(COUNTIF($A$2:$A$2027,A1910)&gt;1,COUNTIF($A$2:A1910,A1910)=1),1,0)</f>
        <v>0</v>
      </c>
      <c r="S1910" t="b">
        <f>IFERROR(VLOOKUP(D1910,Products!$A$2:$F$61,6,FALSE()),"")</f>
        <v>1</v>
      </c>
      <c r="T1910" t="str">
        <f>IF(COUNTIF(Customers!$A$2:$A$301,C1910)=0,"Missing","OK")</f>
        <v>OK</v>
      </c>
      <c r="U1910" t="str">
        <f t="shared" si="88"/>
        <v>Pune</v>
      </c>
      <c r="V1910">
        <f t="shared" si="89"/>
        <v>0</v>
      </c>
    </row>
    <row r="1911" spans="1:22" ht="15" customHeight="1" x14ac:dyDescent="0.35">
      <c r="A1911" s="3" t="s">
        <v>2347</v>
      </c>
      <c r="B1911" s="4">
        <v>45509</v>
      </c>
      <c r="C1911" s="3" t="s">
        <v>310</v>
      </c>
      <c r="D1911" s="3" t="s">
        <v>82</v>
      </c>
      <c r="E1911" s="3" t="s">
        <v>285</v>
      </c>
      <c r="F1911" s="5">
        <v>10</v>
      </c>
      <c r="G1911" s="5">
        <v>3250</v>
      </c>
      <c r="H1911" s="5">
        <v>20.3</v>
      </c>
      <c r="I1911" s="5">
        <v>25902.5</v>
      </c>
      <c r="J1911" s="3" t="s">
        <v>26</v>
      </c>
      <c r="K1911" s="3" t="s">
        <v>51</v>
      </c>
      <c r="L1911" t="str">
        <f>IFERROR(VLOOKUP(D1911,Products!$A$2:$F$61,3,FALSE()),"")</f>
        <v>Home</v>
      </c>
      <c r="M1911" t="str">
        <f>IFERROR(VLOOKUP(E1911,Sales_Reps!$A$2:$C$31,3,FALSE()),"")</f>
        <v>South</v>
      </c>
      <c r="N1911">
        <f>IFERROR(VLOOKUP(D1911,Products!$A$2:$F$61,4,FALSE()),"")</f>
        <v>1556</v>
      </c>
      <c r="O1911" t="str">
        <f>IFERROR(VLOOKUP(C1911,Customers!$A$2:$F$301,5,FALSE()),"")</f>
        <v>Retail</v>
      </c>
      <c r="P1911">
        <f>IFERROR(VLOOKUP(C1911,Customers!$A$2:$F$301,3,FALSE()),"")</f>
        <v>42</v>
      </c>
      <c r="Q1911">
        <f t="shared" si="87"/>
        <v>0.52123076923076928</v>
      </c>
      <c r="R1911">
        <f>IF(AND(COUNTIF($A$2:$A$2027,A1911)&gt;1,COUNTIF($A$2:A1911,A1911)=1),1,0)</f>
        <v>0</v>
      </c>
      <c r="S1911" t="b">
        <f>IFERROR(VLOOKUP(D1911,Products!$A$2:$F$61,6,FALSE()),"")</f>
        <v>1</v>
      </c>
      <c r="T1911" t="str">
        <f>IF(COUNTIF(Customers!$A$2:$A$301,C1911)=0,"Missing","OK")</f>
        <v>OK</v>
      </c>
      <c r="U1911" t="str">
        <f t="shared" si="88"/>
        <v>Mumbai</v>
      </c>
      <c r="V1911">
        <f t="shared" si="89"/>
        <v>0</v>
      </c>
    </row>
    <row r="1912" spans="1:22" ht="15" customHeight="1" x14ac:dyDescent="0.35">
      <c r="A1912" s="3" t="s">
        <v>2348</v>
      </c>
      <c r="B1912" s="4">
        <v>45436</v>
      </c>
      <c r="C1912" s="3" t="s">
        <v>811</v>
      </c>
      <c r="D1912" s="3" t="s">
        <v>82</v>
      </c>
      <c r="E1912" s="3" t="s">
        <v>67</v>
      </c>
      <c r="F1912" s="5">
        <v>6</v>
      </c>
      <c r="G1912" s="5">
        <v>3250</v>
      </c>
      <c r="H1912" s="5">
        <v>25.8</v>
      </c>
      <c r="I1912" s="5">
        <v>14469</v>
      </c>
      <c r="J1912" s="3" t="s">
        <v>32</v>
      </c>
      <c r="K1912" s="3" t="s">
        <v>51</v>
      </c>
      <c r="L1912" t="str">
        <f>IFERROR(VLOOKUP(D1912,Products!$A$2:$F$61,3,FALSE()),"")</f>
        <v>Home</v>
      </c>
      <c r="M1912" t="str">
        <f>IFERROR(VLOOKUP(E1912,Sales_Reps!$A$2:$C$31,3,FALSE()),"")</f>
        <v>West</v>
      </c>
      <c r="N1912">
        <f>IFERROR(VLOOKUP(D1912,Products!$A$2:$F$61,4,FALSE()),"")</f>
        <v>1556</v>
      </c>
      <c r="O1912" t="str">
        <f>IFERROR(VLOOKUP(C1912,Customers!$A$2:$F$301,5,FALSE()),"")</f>
        <v>Corporate</v>
      </c>
      <c r="P1912">
        <f>IFERROR(VLOOKUP(C1912,Customers!$A$2:$F$301,3,FALSE()),"")</f>
        <v>62</v>
      </c>
      <c r="Q1912">
        <f t="shared" si="87"/>
        <v>0.52123076923076928</v>
      </c>
      <c r="R1912">
        <f>IF(AND(COUNTIF($A$2:$A$2027,A1912)&gt;1,COUNTIF($A$2:A1912,A1912)=1),1,0)</f>
        <v>0</v>
      </c>
      <c r="S1912" t="b">
        <f>IFERROR(VLOOKUP(D1912,Products!$A$2:$F$61,6,FALSE()),"")</f>
        <v>1</v>
      </c>
      <c r="T1912" t="str">
        <f>IF(COUNTIF(Customers!$A$2:$A$301,C1912)=0,"Missing","OK")</f>
        <v>OK</v>
      </c>
      <c r="U1912" t="str">
        <f t="shared" si="88"/>
        <v>Mumbai</v>
      </c>
      <c r="V1912">
        <f t="shared" si="89"/>
        <v>0</v>
      </c>
    </row>
    <row r="1913" spans="1:22" ht="15" customHeight="1" x14ac:dyDescent="0.35">
      <c r="A1913" s="3" t="s">
        <v>2349</v>
      </c>
      <c r="B1913" s="4">
        <v>45610</v>
      </c>
      <c r="C1913" s="3" t="s">
        <v>275</v>
      </c>
      <c r="D1913" s="3" t="s">
        <v>54</v>
      </c>
      <c r="E1913" s="3" t="s">
        <v>55</v>
      </c>
      <c r="F1913" s="5">
        <v>9</v>
      </c>
      <c r="G1913" s="5">
        <v>960</v>
      </c>
      <c r="H1913" s="5">
        <v>29</v>
      </c>
      <c r="I1913" s="5">
        <v>6134.4</v>
      </c>
      <c r="J1913" s="3" t="s">
        <v>26</v>
      </c>
      <c r="K1913" s="3" t="s">
        <v>51</v>
      </c>
      <c r="L1913" t="str">
        <f>IFERROR(VLOOKUP(D1913,Products!$A$2:$F$61,3,FALSE()),"")</f>
        <v>Sports</v>
      </c>
      <c r="M1913" t="str">
        <f>IFERROR(VLOOKUP(E1913,Sales_Reps!$A$2:$C$31,3,FALSE()),"")</f>
        <v>West</v>
      </c>
      <c r="N1913">
        <f>IFERROR(VLOOKUP(D1913,Products!$A$2:$F$61,4,FALSE()),"")</f>
        <v>705</v>
      </c>
      <c r="O1913" t="str">
        <f>IFERROR(VLOOKUP(C1913,Customers!$A$2:$F$301,5,FALSE()),"")</f>
        <v>Retail</v>
      </c>
      <c r="P1913">
        <f>IFERROR(VLOOKUP(C1913,Customers!$A$2:$F$301,3,FALSE()),"")</f>
        <v>49</v>
      </c>
      <c r="Q1913">
        <f t="shared" si="87"/>
        <v>0.265625</v>
      </c>
      <c r="R1913">
        <f>IF(AND(COUNTIF($A$2:$A$2027,A1913)&gt;1,COUNTIF($A$2:A1913,A1913)=1),1,0)</f>
        <v>0</v>
      </c>
      <c r="S1913" t="b">
        <f>IFERROR(VLOOKUP(D1913,Products!$A$2:$F$61,6,FALSE()),"")</f>
        <v>1</v>
      </c>
      <c r="T1913" t="str">
        <f>IF(COUNTIF(Customers!$A$2:$A$301,C1913)=0,"Missing","OK")</f>
        <v>OK</v>
      </c>
      <c r="U1913" t="str">
        <f t="shared" si="88"/>
        <v>Mumbai</v>
      </c>
      <c r="V1913">
        <f t="shared" si="89"/>
        <v>0</v>
      </c>
    </row>
    <row r="1914" spans="1:22" ht="15" customHeight="1" x14ac:dyDescent="0.35">
      <c r="A1914" s="3" t="s">
        <v>2350</v>
      </c>
      <c r="B1914" s="4">
        <v>45535</v>
      </c>
      <c r="C1914" s="3" t="s">
        <v>296</v>
      </c>
      <c r="D1914" s="3" t="s">
        <v>180</v>
      </c>
      <c r="E1914" s="3" t="s">
        <v>127</v>
      </c>
      <c r="F1914" s="5">
        <v>9</v>
      </c>
      <c r="G1914" s="5">
        <v>6080</v>
      </c>
      <c r="H1914" s="5">
        <v>21</v>
      </c>
      <c r="I1914" s="5">
        <v>43228.800000000003</v>
      </c>
      <c r="J1914" s="3" t="s">
        <v>26</v>
      </c>
      <c r="K1914" s="3" t="s">
        <v>38</v>
      </c>
      <c r="L1914" t="str">
        <f>IFERROR(VLOOKUP(D1914,Products!$A$2:$F$61,3,FALSE()),"")</f>
        <v>Beauty</v>
      </c>
      <c r="M1914" t="str">
        <f>IFERROR(VLOOKUP(E1914,Sales_Reps!$A$2:$C$31,3,FALSE()),"")</f>
        <v>South</v>
      </c>
      <c r="N1914">
        <f>IFERROR(VLOOKUP(D1914,Products!$A$2:$F$61,4,FALSE()),"")</f>
        <v>2617</v>
      </c>
      <c r="O1914" t="str">
        <f>IFERROR(VLOOKUP(C1914,Customers!$A$2:$F$301,5,FALSE()),"")</f>
        <v>SMB</v>
      </c>
      <c r="P1914">
        <f>IFERROR(VLOOKUP(C1914,Customers!$A$2:$F$301,3,FALSE()),"")</f>
        <v>38</v>
      </c>
      <c r="Q1914">
        <f t="shared" si="87"/>
        <v>0.56957236842105263</v>
      </c>
      <c r="R1914">
        <f>IF(AND(COUNTIF($A$2:$A$2027,A1914)&gt;1,COUNTIF($A$2:A1914,A1914)=1),1,0)</f>
        <v>0</v>
      </c>
      <c r="S1914" t="b">
        <f>IFERROR(VLOOKUP(D1914,Products!$A$2:$F$61,6,FALSE()),"")</f>
        <v>1</v>
      </c>
      <c r="T1914" t="str">
        <f>IF(COUNTIF(Customers!$A$2:$A$301,C1914)=0,"Missing","OK")</f>
        <v>OK</v>
      </c>
      <c r="U1914" t="str">
        <f t="shared" si="88"/>
        <v>Delhi</v>
      </c>
      <c r="V1914">
        <f t="shared" si="89"/>
        <v>0</v>
      </c>
    </row>
    <row r="1915" spans="1:22" ht="15" customHeight="1" x14ac:dyDescent="0.35">
      <c r="A1915" s="3" t="s">
        <v>2351</v>
      </c>
      <c r="B1915" s="4">
        <v>45366</v>
      </c>
      <c r="C1915" s="3" t="s">
        <v>108</v>
      </c>
      <c r="D1915" s="3" t="s">
        <v>209</v>
      </c>
      <c r="E1915" s="3" t="s">
        <v>131</v>
      </c>
      <c r="F1915" s="5">
        <v>6</v>
      </c>
      <c r="G1915" s="5">
        <v>4610</v>
      </c>
      <c r="H1915" s="5">
        <v>13.5</v>
      </c>
      <c r="I1915" s="5">
        <v>23925.9</v>
      </c>
      <c r="J1915" s="3" t="s">
        <v>26</v>
      </c>
      <c r="K1915" s="3" t="s">
        <v>51</v>
      </c>
      <c r="L1915" t="str">
        <f>IFERROR(VLOOKUP(D1915,Products!$A$2:$F$61,3,FALSE()),"")</f>
        <v>Home</v>
      </c>
      <c r="M1915" t="str">
        <f>IFERROR(VLOOKUP(E1915,Sales_Reps!$A$2:$C$31,3,FALSE()),"")</f>
        <v>East</v>
      </c>
      <c r="N1915">
        <f>IFERROR(VLOOKUP(D1915,Products!$A$2:$F$61,4,FALSE()),"")</f>
        <v>1850</v>
      </c>
      <c r="O1915" t="str">
        <f>IFERROR(VLOOKUP(C1915,Customers!$A$2:$F$301,5,FALSE()),"")</f>
        <v>Retail</v>
      </c>
      <c r="P1915">
        <f>IFERROR(VLOOKUP(C1915,Customers!$A$2:$F$301,3,FALSE()),"")</f>
        <v>34</v>
      </c>
      <c r="Q1915">
        <f t="shared" si="87"/>
        <v>0.59869848156182215</v>
      </c>
      <c r="R1915">
        <f>IF(AND(COUNTIF($A$2:$A$2027,A1915)&gt;1,COUNTIF($A$2:A1915,A1915)=1),1,0)</f>
        <v>0</v>
      </c>
      <c r="S1915" t="b">
        <f>IFERROR(VLOOKUP(D1915,Products!$A$2:$F$61,6,FALSE()),"")</f>
        <v>1</v>
      </c>
      <c r="T1915" t="str">
        <f>IF(COUNTIF(Customers!$A$2:$A$301,C1915)=0,"Missing","OK")</f>
        <v>OK</v>
      </c>
      <c r="U1915" t="str">
        <f t="shared" si="88"/>
        <v>Mumbai</v>
      </c>
      <c r="V1915">
        <f t="shared" si="89"/>
        <v>0</v>
      </c>
    </row>
    <row r="1916" spans="1:22" ht="15" customHeight="1" x14ac:dyDescent="0.35">
      <c r="A1916" s="3" t="s">
        <v>2352</v>
      </c>
      <c r="B1916" s="4">
        <v>45446</v>
      </c>
      <c r="C1916" s="3" t="s">
        <v>480</v>
      </c>
      <c r="D1916" s="3" t="s">
        <v>382</v>
      </c>
      <c r="E1916" s="3" t="s">
        <v>97</v>
      </c>
      <c r="F1916" s="5">
        <v>7</v>
      </c>
      <c r="G1916" s="5">
        <v>5080</v>
      </c>
      <c r="H1916" s="5">
        <v>25.4</v>
      </c>
      <c r="I1916" s="5">
        <v>26527.759999999998</v>
      </c>
      <c r="J1916" s="3" t="s">
        <v>26</v>
      </c>
      <c r="K1916" s="3" t="s">
        <v>33</v>
      </c>
      <c r="L1916" t="str">
        <f>IFERROR(VLOOKUP(D1916,Products!$A$2:$F$61,3,FALSE()),"")</f>
        <v>Home</v>
      </c>
      <c r="M1916" t="str">
        <f>IFERROR(VLOOKUP(E1916,Sales_Reps!$A$2:$C$31,3,FALSE()),"")</f>
        <v>East</v>
      </c>
      <c r="N1916">
        <f>IFERROR(VLOOKUP(D1916,Products!$A$2:$F$61,4,FALSE()),"")</f>
        <v>2459</v>
      </c>
      <c r="O1916" t="str">
        <f>IFERROR(VLOOKUP(C1916,Customers!$A$2:$F$301,5,FALSE()),"")</f>
        <v>Corporate</v>
      </c>
      <c r="P1916">
        <f>IFERROR(VLOOKUP(C1916,Customers!$A$2:$F$301,3,FALSE()),"")</f>
        <v>34</v>
      </c>
      <c r="Q1916">
        <f t="shared" si="87"/>
        <v>0.51594488188976373</v>
      </c>
      <c r="R1916">
        <f>IF(AND(COUNTIF($A$2:$A$2027,A1916)&gt;1,COUNTIF($A$2:A1916,A1916)=1),1,0)</f>
        <v>0</v>
      </c>
      <c r="S1916" t="b">
        <f>IFERROR(VLOOKUP(D1916,Products!$A$2:$F$61,6,FALSE()),"")</f>
        <v>1</v>
      </c>
      <c r="T1916" t="str">
        <f>IF(COUNTIF(Customers!$A$2:$A$301,C1916)=0,"Missing","OK")</f>
        <v>OK</v>
      </c>
      <c r="U1916" t="str">
        <f t="shared" si="88"/>
        <v>Chennai</v>
      </c>
      <c r="V1916">
        <f t="shared" si="89"/>
        <v>0</v>
      </c>
    </row>
    <row r="1917" spans="1:22" ht="15" customHeight="1" x14ac:dyDescent="0.35">
      <c r="A1917" s="3" t="s">
        <v>2353</v>
      </c>
      <c r="B1917" s="4">
        <v>45550</v>
      </c>
      <c r="C1917" s="3" t="s">
        <v>492</v>
      </c>
      <c r="D1917" s="3" t="s">
        <v>118</v>
      </c>
      <c r="E1917" s="3" t="s">
        <v>177</v>
      </c>
      <c r="F1917" s="5">
        <v>5</v>
      </c>
      <c r="G1917" s="5">
        <v>3350</v>
      </c>
      <c r="H1917" s="5">
        <v>2.2000000000000002</v>
      </c>
      <c r="I1917" s="5">
        <v>16381.5</v>
      </c>
      <c r="J1917" s="3" t="s">
        <v>26</v>
      </c>
      <c r="K1917" s="3" t="s">
        <v>51</v>
      </c>
      <c r="L1917" t="str">
        <f>IFERROR(VLOOKUP(D1917,Products!$A$2:$F$61,3,FALSE()),"")</f>
        <v>Beauty</v>
      </c>
      <c r="M1917" t="str">
        <f>IFERROR(VLOOKUP(E1917,Sales_Reps!$A$2:$C$31,3,FALSE()),"")</f>
        <v>East</v>
      </c>
      <c r="N1917">
        <f>IFERROR(VLOOKUP(D1917,Products!$A$2:$F$61,4,FALSE()),"")</f>
        <v>1728</v>
      </c>
      <c r="O1917" t="str">
        <f>IFERROR(VLOOKUP(C1917,Customers!$A$2:$F$301,5,FALSE()),"")</f>
        <v>Retail</v>
      </c>
      <c r="P1917">
        <f>IFERROR(VLOOKUP(C1917,Customers!$A$2:$F$301,3,FALSE()),"")</f>
        <v>65</v>
      </c>
      <c r="Q1917">
        <f t="shared" si="87"/>
        <v>0.48417910447761192</v>
      </c>
      <c r="R1917">
        <f>IF(AND(COUNTIF($A$2:$A$2027,A1917)&gt;1,COUNTIF($A$2:A1917,A1917)=1),1,0)</f>
        <v>0</v>
      </c>
      <c r="S1917" t="b">
        <f>IFERROR(VLOOKUP(D1917,Products!$A$2:$F$61,6,FALSE()),"")</f>
        <v>1</v>
      </c>
      <c r="T1917" t="str">
        <f>IF(COUNTIF(Customers!$A$2:$A$301,C1917)=0,"Missing","OK")</f>
        <v>OK</v>
      </c>
      <c r="U1917" t="str">
        <f t="shared" si="88"/>
        <v>Mumbai</v>
      </c>
      <c r="V1917">
        <f t="shared" si="89"/>
        <v>0</v>
      </c>
    </row>
    <row r="1918" spans="1:22" ht="15" customHeight="1" x14ac:dyDescent="0.35">
      <c r="A1918" s="3" t="s">
        <v>2354</v>
      </c>
      <c r="B1918" s="4">
        <v>45600</v>
      </c>
      <c r="C1918" s="3" t="s">
        <v>849</v>
      </c>
      <c r="D1918" s="3" t="s">
        <v>173</v>
      </c>
      <c r="E1918" s="3" t="s">
        <v>37</v>
      </c>
      <c r="F1918" s="5">
        <v>1</v>
      </c>
      <c r="G1918" s="5">
        <v>3780</v>
      </c>
      <c r="H1918" s="5">
        <v>13.7</v>
      </c>
      <c r="I1918" s="5">
        <v>3262.14</v>
      </c>
      <c r="J1918" s="3" t="s">
        <v>26</v>
      </c>
      <c r="K1918" s="3" t="s">
        <v>38</v>
      </c>
      <c r="L1918" t="str">
        <f>IFERROR(VLOOKUP(D1918,Products!$A$2:$F$61,3,FALSE()),"")</f>
        <v>Grocery</v>
      </c>
      <c r="M1918" t="str">
        <f>IFERROR(VLOOKUP(E1918,Sales_Reps!$A$2:$C$31,3,FALSE()),"")</f>
        <v>South</v>
      </c>
      <c r="N1918">
        <f>IFERROR(VLOOKUP(D1918,Products!$A$2:$F$61,4,FALSE()),"")</f>
        <v>2436</v>
      </c>
      <c r="O1918" t="str">
        <f>IFERROR(VLOOKUP(C1918,Customers!$A$2:$F$301,5,FALSE()),"")</f>
        <v>Retail</v>
      </c>
      <c r="P1918">
        <f>IFERROR(VLOOKUP(C1918,Customers!$A$2:$F$301,3,FALSE()),"")</f>
        <v>55</v>
      </c>
      <c r="Q1918">
        <f t="shared" si="87"/>
        <v>0.35555555555555557</v>
      </c>
      <c r="R1918">
        <f>IF(AND(COUNTIF($A$2:$A$2027,A1918)&gt;1,COUNTIF($A$2:A1918,A1918)=1),1,0)</f>
        <v>0</v>
      </c>
      <c r="S1918" t="b">
        <f>IFERROR(VLOOKUP(D1918,Products!$A$2:$F$61,6,FALSE()),"")</f>
        <v>1</v>
      </c>
      <c r="T1918" t="str">
        <f>IF(COUNTIF(Customers!$A$2:$A$301,C1918)=0,"Missing","OK")</f>
        <v>OK</v>
      </c>
      <c r="U1918" t="str">
        <f t="shared" si="88"/>
        <v>Delhi</v>
      </c>
      <c r="V1918">
        <f t="shared" si="89"/>
        <v>0</v>
      </c>
    </row>
    <row r="1919" spans="1:22" ht="15" customHeight="1" x14ac:dyDescent="0.35">
      <c r="A1919" s="3" t="s">
        <v>2355</v>
      </c>
      <c r="B1919" s="4">
        <v>45352</v>
      </c>
      <c r="C1919" s="3" t="s">
        <v>117</v>
      </c>
      <c r="D1919" s="3" t="s">
        <v>123</v>
      </c>
      <c r="E1919" s="3" t="s">
        <v>131</v>
      </c>
      <c r="F1919" s="5">
        <v>4</v>
      </c>
      <c r="G1919" s="5">
        <v>4880</v>
      </c>
      <c r="H1919" s="5">
        <v>11.6</v>
      </c>
      <c r="I1919" s="5">
        <v>17255.68</v>
      </c>
      <c r="J1919" s="3" t="s">
        <v>26</v>
      </c>
      <c r="K1919" s="3" t="s">
        <v>33</v>
      </c>
      <c r="L1919" t="str">
        <f>IFERROR(VLOOKUP(D1919,Products!$A$2:$F$61,3,FALSE()),"")</f>
        <v>Beauty</v>
      </c>
      <c r="M1919" t="str">
        <f>IFERROR(VLOOKUP(E1919,Sales_Reps!$A$2:$C$31,3,FALSE()),"")</f>
        <v>East</v>
      </c>
      <c r="N1919">
        <f>IFERROR(VLOOKUP(D1919,Products!$A$2:$F$61,4,FALSE()),"")</f>
        <v>2768</v>
      </c>
      <c r="O1919" t="str">
        <f>IFERROR(VLOOKUP(C1919,Customers!$A$2:$F$301,5,FALSE()),"")</f>
        <v>Corporate</v>
      </c>
      <c r="P1919">
        <f>IFERROR(VLOOKUP(C1919,Customers!$A$2:$F$301,3,FALSE()),"")</f>
        <v>55</v>
      </c>
      <c r="Q1919">
        <f t="shared" si="87"/>
        <v>0.43278688524590164</v>
      </c>
      <c r="R1919">
        <f>IF(AND(COUNTIF($A$2:$A$2027,A1919)&gt;1,COUNTIF($A$2:A1919,A1919)=1),1,0)</f>
        <v>0</v>
      </c>
      <c r="S1919" t="b">
        <f>IFERROR(VLOOKUP(D1919,Products!$A$2:$F$61,6,FALSE()),"")</f>
        <v>1</v>
      </c>
      <c r="T1919" t="str">
        <f>IF(COUNTIF(Customers!$A$2:$A$301,C1919)=0,"Missing","OK")</f>
        <v>OK</v>
      </c>
      <c r="U1919" t="str">
        <f t="shared" si="88"/>
        <v>Chennai</v>
      </c>
      <c r="V1919">
        <f t="shared" si="89"/>
        <v>0</v>
      </c>
    </row>
    <row r="1920" spans="1:22" ht="15" customHeight="1" x14ac:dyDescent="0.35">
      <c r="A1920" s="3" t="s">
        <v>2356</v>
      </c>
      <c r="B1920" s="4">
        <v>45385</v>
      </c>
      <c r="C1920" s="3" t="s">
        <v>601</v>
      </c>
      <c r="D1920" s="3" t="s">
        <v>130</v>
      </c>
      <c r="E1920" s="3" t="s">
        <v>168</v>
      </c>
      <c r="F1920" s="5">
        <v>3</v>
      </c>
      <c r="G1920" s="5">
        <v>5100</v>
      </c>
      <c r="H1920" s="5">
        <v>24.2</v>
      </c>
      <c r="I1920" s="5">
        <v>11597.4</v>
      </c>
      <c r="J1920" s="3" t="s">
        <v>26</v>
      </c>
      <c r="K1920" s="3" t="s">
        <v>2357</v>
      </c>
      <c r="L1920" t="str">
        <f>IFERROR(VLOOKUP(D1920,Products!$A$2:$F$61,3,FALSE()),"")</f>
        <v>Beauty</v>
      </c>
      <c r="M1920" t="str">
        <f>IFERROR(VLOOKUP(E1920,Sales_Reps!$A$2:$C$31,3,FALSE()),"")</f>
        <v>West</v>
      </c>
      <c r="N1920">
        <f>IFERROR(VLOOKUP(D1920,Products!$A$2:$F$61,4,FALSE()),"")</f>
        <v>2237</v>
      </c>
      <c r="O1920" t="str">
        <f>IFERROR(VLOOKUP(C1920,Customers!$A$2:$F$301,5,FALSE()),"")</f>
        <v>Corporate</v>
      </c>
      <c r="P1920">
        <f>IFERROR(VLOOKUP(C1920,Customers!$A$2:$F$301,3,FALSE()),"")</f>
        <v>41</v>
      </c>
      <c r="Q1920">
        <f t="shared" si="87"/>
        <v>0.56137254901960787</v>
      </c>
      <c r="R1920">
        <f>IF(AND(COUNTIF($A$2:$A$2027,A1920)&gt;1,COUNTIF($A$2:A1920,A1920)=1),1,0)</f>
        <v>0</v>
      </c>
      <c r="S1920" t="b">
        <f>IFERROR(VLOOKUP(D1920,Products!$A$2:$F$61,6,FALSE()),"")</f>
        <v>1</v>
      </c>
      <c r="T1920" t="str">
        <f>IF(COUNTIF(Customers!$A$2:$A$301,C1920)=0,"Missing","OK")</f>
        <v>OK</v>
      </c>
      <c r="U1920" t="str">
        <f t="shared" si="88"/>
        <v>Chennai</v>
      </c>
      <c r="V1920">
        <f t="shared" si="89"/>
        <v>0</v>
      </c>
    </row>
    <row r="1921" spans="1:22" ht="15" customHeight="1" x14ac:dyDescent="0.35">
      <c r="A1921" s="3" t="s">
        <v>2358</v>
      </c>
      <c r="B1921" s="4">
        <v>45634</v>
      </c>
      <c r="C1921" s="3" t="s">
        <v>718</v>
      </c>
      <c r="D1921" s="3" t="s">
        <v>218</v>
      </c>
      <c r="E1921" s="3" t="s">
        <v>93</v>
      </c>
      <c r="F1921" s="5">
        <v>5</v>
      </c>
      <c r="G1921" s="5">
        <v>2660</v>
      </c>
      <c r="H1921" s="5">
        <v>4.7</v>
      </c>
      <c r="I1921" s="5">
        <v>12674.9</v>
      </c>
      <c r="J1921" s="3" t="s">
        <v>26</v>
      </c>
      <c r="K1921" s="3" t="s">
        <v>56</v>
      </c>
      <c r="L1921" t="str">
        <f>IFERROR(VLOOKUP(D1921,Products!$A$2:$F$61,3,FALSE()),"")</f>
        <v>Electronics</v>
      </c>
      <c r="M1921" t="str">
        <f>IFERROR(VLOOKUP(E1921,Sales_Reps!$A$2:$C$31,3,FALSE()),"")</f>
        <v>East</v>
      </c>
      <c r="N1921">
        <f>IFERROR(VLOOKUP(D1921,Products!$A$2:$F$61,4,FALSE()),"")</f>
        <v>1259</v>
      </c>
      <c r="O1921" t="str">
        <f>IFERROR(VLOOKUP(C1921,Customers!$A$2:$F$301,5,FALSE()),"")</f>
        <v>Retail</v>
      </c>
      <c r="P1921">
        <f>IFERROR(VLOOKUP(C1921,Customers!$A$2:$F$301,3,FALSE()),"")</f>
        <v>27</v>
      </c>
      <c r="Q1921">
        <f t="shared" si="87"/>
        <v>0.52669172932330832</v>
      </c>
      <c r="R1921">
        <f>IF(AND(COUNTIF($A$2:$A$2027,A1921)&gt;1,COUNTIF($A$2:A1921,A1921)=1),1,0)</f>
        <v>0</v>
      </c>
      <c r="S1921" t="b">
        <f>IFERROR(VLOOKUP(D1921,Products!$A$2:$F$61,6,FALSE()),"")</f>
        <v>0</v>
      </c>
      <c r="T1921" t="str">
        <f>IF(COUNTIF(Customers!$A$2:$A$301,C1921)=0,"Missing","OK")</f>
        <v>OK</v>
      </c>
      <c r="U1921" t="str">
        <f t="shared" si="88"/>
        <v>Bengaluru</v>
      </c>
      <c r="V1921">
        <f t="shared" si="89"/>
        <v>0</v>
      </c>
    </row>
    <row r="1922" spans="1:22" ht="15" customHeight="1" x14ac:dyDescent="0.35">
      <c r="A1922" s="3" t="s">
        <v>2359</v>
      </c>
      <c r="B1922" s="4">
        <v>45444</v>
      </c>
      <c r="C1922" s="3" t="s">
        <v>298</v>
      </c>
      <c r="D1922" s="3" t="s">
        <v>306</v>
      </c>
      <c r="E1922" s="3" t="s">
        <v>177</v>
      </c>
      <c r="F1922" s="5">
        <v>10</v>
      </c>
      <c r="G1922" s="5">
        <v>2380</v>
      </c>
      <c r="H1922" s="5">
        <v>1</v>
      </c>
      <c r="I1922" s="5">
        <v>23562</v>
      </c>
      <c r="J1922" s="3" t="s">
        <v>26</v>
      </c>
      <c r="K1922" s="3" t="s">
        <v>38</v>
      </c>
      <c r="L1922" t="str">
        <f>IFERROR(VLOOKUP(D1922,Products!$A$2:$F$61,3,FALSE()),"")</f>
        <v>Grocery</v>
      </c>
      <c r="M1922" t="str">
        <f>IFERROR(VLOOKUP(E1922,Sales_Reps!$A$2:$C$31,3,FALSE()),"")</f>
        <v>East</v>
      </c>
      <c r="N1922">
        <f>IFERROR(VLOOKUP(D1922,Products!$A$2:$F$61,4,FALSE()),"")</f>
        <v>1182</v>
      </c>
      <c r="O1922" t="str">
        <f>IFERROR(VLOOKUP(C1922,Customers!$A$2:$F$301,5,FALSE()),"")</f>
        <v>SMB</v>
      </c>
      <c r="P1922">
        <f>IFERROR(VLOOKUP(C1922,Customers!$A$2:$F$301,3,FALSE()),"")</f>
        <v>28</v>
      </c>
      <c r="Q1922">
        <f t="shared" ref="Q1922:Q1985" si="90">IFERROR((G1922-N1922)/G1922,"")</f>
        <v>0.50336134453781511</v>
      </c>
      <c r="R1922">
        <f>IF(AND(COUNTIF($A$2:$A$2027,A1922)&gt;1,COUNTIF($A$2:A1922,A1922)=1),1,0)</f>
        <v>0</v>
      </c>
      <c r="S1922" t="b">
        <f>IFERROR(VLOOKUP(D1922,Products!$A$2:$F$61,6,FALSE()),"")</f>
        <v>1</v>
      </c>
      <c r="T1922" t="str">
        <f>IF(COUNTIF(Customers!$A$2:$A$301,C1922)=0,"Missing","OK")</f>
        <v>OK</v>
      </c>
      <c r="U1922" t="str">
        <f t="shared" ref="U1922:U1985" si="91">IF(K1922="","",PROPER(TRIM(K1922)))</f>
        <v>Delhi</v>
      </c>
      <c r="V1922">
        <f t="shared" ref="V1922:V1985" si="92">IF(AND(U1922="Bengaluru",L1922="Grocery"),I1922,0)</f>
        <v>0</v>
      </c>
    </row>
    <row r="1923" spans="1:22" ht="15" customHeight="1" x14ac:dyDescent="0.35">
      <c r="A1923" s="3" t="s">
        <v>2360</v>
      </c>
      <c r="B1923" s="4">
        <v>45553</v>
      </c>
      <c r="C1923" s="3" t="s">
        <v>755</v>
      </c>
      <c r="D1923" s="3" t="s">
        <v>123</v>
      </c>
      <c r="E1923" s="3" t="s">
        <v>236</v>
      </c>
      <c r="F1923" s="5">
        <v>9</v>
      </c>
      <c r="G1923" s="5">
        <v>4880</v>
      </c>
      <c r="H1923" s="5">
        <v>7.2</v>
      </c>
      <c r="I1923" s="5">
        <v>40757.760000000002</v>
      </c>
      <c r="J1923" s="3" t="s">
        <v>26</v>
      </c>
      <c r="K1923" s="3" t="s">
        <v>27</v>
      </c>
      <c r="L1923" t="str">
        <f>IFERROR(VLOOKUP(D1923,Products!$A$2:$F$61,3,FALSE()),"")</f>
        <v>Beauty</v>
      </c>
      <c r="M1923" t="str">
        <f>IFERROR(VLOOKUP(E1923,Sales_Reps!$A$2:$C$31,3,FALSE()),"")</f>
        <v>North</v>
      </c>
      <c r="N1923">
        <f>IFERROR(VLOOKUP(D1923,Products!$A$2:$F$61,4,FALSE()),"")</f>
        <v>2768</v>
      </c>
      <c r="O1923" t="str">
        <f>IFERROR(VLOOKUP(C1923,Customers!$A$2:$F$301,5,FALSE()),"")</f>
        <v>Retail</v>
      </c>
      <c r="P1923">
        <f>IFERROR(VLOOKUP(C1923,Customers!$A$2:$F$301,3,FALSE()),"")</f>
        <v>36</v>
      </c>
      <c r="Q1923">
        <f t="shared" si="90"/>
        <v>0.43278688524590164</v>
      </c>
      <c r="R1923">
        <f>IF(AND(COUNTIF($A$2:$A$2027,A1923)&gt;1,COUNTIF($A$2:A1923,A1923)=1),1,0)</f>
        <v>0</v>
      </c>
      <c r="S1923" t="b">
        <f>IFERROR(VLOOKUP(D1923,Products!$A$2:$F$61,6,FALSE()),"")</f>
        <v>1</v>
      </c>
      <c r="T1923" t="str">
        <f>IF(COUNTIF(Customers!$A$2:$A$301,C1923)=0,"Missing","OK")</f>
        <v>OK</v>
      </c>
      <c r="U1923" t="str">
        <f t="shared" si="91"/>
        <v>Pune</v>
      </c>
      <c r="V1923">
        <f t="shared" si="92"/>
        <v>0</v>
      </c>
    </row>
    <row r="1924" spans="1:22" ht="15" customHeight="1" x14ac:dyDescent="0.35">
      <c r="A1924" s="3" t="s">
        <v>2361</v>
      </c>
      <c r="B1924" s="4">
        <v>45411</v>
      </c>
      <c r="C1924" s="3" t="s">
        <v>1132</v>
      </c>
      <c r="D1924" s="3" t="s">
        <v>165</v>
      </c>
      <c r="E1924" s="3" t="s">
        <v>37</v>
      </c>
      <c r="F1924" s="5">
        <v>1</v>
      </c>
      <c r="G1924" s="5">
        <v>3730</v>
      </c>
      <c r="H1924" s="5">
        <v>15.3</v>
      </c>
      <c r="I1924" s="5">
        <v>3159.31</v>
      </c>
      <c r="J1924" s="3" t="s">
        <v>26</v>
      </c>
      <c r="K1924" s="3" t="s">
        <v>72</v>
      </c>
      <c r="L1924" t="str">
        <f>IFERROR(VLOOKUP(D1924,Products!$A$2:$F$61,3,FALSE()),"")</f>
        <v>Home</v>
      </c>
      <c r="M1924" t="str">
        <f>IFERROR(VLOOKUP(E1924,Sales_Reps!$A$2:$C$31,3,FALSE()),"")</f>
        <v>South</v>
      </c>
      <c r="N1924">
        <f>IFERROR(VLOOKUP(D1924,Products!$A$2:$F$61,4,FALSE()),"")</f>
        <v>2135</v>
      </c>
      <c r="O1924" t="str">
        <f>IFERROR(VLOOKUP(C1924,Customers!$A$2:$F$301,5,FALSE()),"")</f>
        <v>SMB</v>
      </c>
      <c r="P1924">
        <f>IFERROR(VLOOKUP(C1924,Customers!$A$2:$F$301,3,FALSE()),"")</f>
        <v>25</v>
      </c>
      <c r="Q1924">
        <f t="shared" si="90"/>
        <v>0.42761394101876676</v>
      </c>
      <c r="R1924">
        <f>IF(AND(COUNTIF($A$2:$A$2027,A1924)&gt;1,COUNTIF($A$2:A1924,A1924)=1),1,0)</f>
        <v>0</v>
      </c>
      <c r="S1924" t="b">
        <f>IFERROR(VLOOKUP(D1924,Products!$A$2:$F$61,6,FALSE()),"")</f>
        <v>1</v>
      </c>
      <c r="T1924" t="str">
        <f>IF(COUNTIF(Customers!$A$2:$A$301,C1924)=0,"Missing","OK")</f>
        <v>OK</v>
      </c>
      <c r="U1924" t="str">
        <f t="shared" si="91"/>
        <v>Hyderabad</v>
      </c>
      <c r="V1924">
        <f t="shared" si="92"/>
        <v>0</v>
      </c>
    </row>
    <row r="1925" spans="1:22" ht="15" customHeight="1" x14ac:dyDescent="0.35">
      <c r="A1925" s="3" t="s">
        <v>2362</v>
      </c>
      <c r="B1925" s="4">
        <v>45442</v>
      </c>
      <c r="C1925" s="3" t="s">
        <v>53</v>
      </c>
      <c r="D1925" s="3" t="s">
        <v>400</v>
      </c>
      <c r="E1925" s="3" t="s">
        <v>87</v>
      </c>
      <c r="F1925" s="5">
        <v>10</v>
      </c>
      <c r="G1925" s="5">
        <v>3780</v>
      </c>
      <c r="H1925" s="5">
        <v>2.7</v>
      </c>
      <c r="I1925" s="5">
        <v>36779.4</v>
      </c>
      <c r="J1925" s="3" t="s">
        <v>26</v>
      </c>
      <c r="K1925" s="3" t="s">
        <v>56</v>
      </c>
      <c r="L1925" t="str">
        <f>IFERROR(VLOOKUP(D1925,Products!$A$2:$F$61,3,FALSE()),"")</f>
        <v>Sports</v>
      </c>
      <c r="M1925" t="str">
        <f>IFERROR(VLOOKUP(E1925,Sales_Reps!$A$2:$C$31,3,FALSE()),"")</f>
        <v>North</v>
      </c>
      <c r="N1925">
        <f>IFERROR(VLOOKUP(D1925,Products!$A$2:$F$61,4,FALSE()),"")</f>
        <v>1860</v>
      </c>
      <c r="O1925" t="str">
        <f>IFERROR(VLOOKUP(C1925,Customers!$A$2:$F$301,5,FALSE()),"")</f>
        <v>Retail</v>
      </c>
      <c r="P1925">
        <f>IFERROR(VLOOKUP(C1925,Customers!$A$2:$F$301,3,FALSE()),"")</f>
        <v>27</v>
      </c>
      <c r="Q1925">
        <f t="shared" si="90"/>
        <v>0.50793650793650791</v>
      </c>
      <c r="R1925">
        <f>IF(AND(COUNTIF($A$2:$A$2027,A1925)&gt;1,COUNTIF($A$2:A1925,A1925)=1),1,0)</f>
        <v>0</v>
      </c>
      <c r="S1925" t="b">
        <f>IFERROR(VLOOKUP(D1925,Products!$A$2:$F$61,6,FALSE()),"")</f>
        <v>1</v>
      </c>
      <c r="T1925" t="str">
        <f>IF(COUNTIF(Customers!$A$2:$A$301,C1925)=0,"Missing","OK")</f>
        <v>OK</v>
      </c>
      <c r="U1925" t="str">
        <f t="shared" si="91"/>
        <v>Bengaluru</v>
      </c>
      <c r="V1925">
        <f t="shared" si="92"/>
        <v>0</v>
      </c>
    </row>
    <row r="1926" spans="1:22" ht="15" customHeight="1" x14ac:dyDescent="0.35">
      <c r="A1926" s="3" t="s">
        <v>2363</v>
      </c>
      <c r="B1926" s="4">
        <v>45381</v>
      </c>
      <c r="C1926" s="3" t="s">
        <v>1247</v>
      </c>
      <c r="D1926" s="3" t="s">
        <v>24</v>
      </c>
      <c r="E1926" s="3" t="s">
        <v>93</v>
      </c>
      <c r="F1926" s="5">
        <v>2</v>
      </c>
      <c r="G1926" s="5">
        <v>3620</v>
      </c>
      <c r="H1926" s="5">
        <v>23</v>
      </c>
      <c r="I1926" s="5">
        <v>5574.8</v>
      </c>
      <c r="J1926" s="3" t="s">
        <v>26</v>
      </c>
      <c r="K1926" s="3" t="s">
        <v>33</v>
      </c>
      <c r="L1926" t="str">
        <f>IFERROR(VLOOKUP(D1926,Products!$A$2:$F$61,3,FALSE()),"")</f>
        <v>Apparel</v>
      </c>
      <c r="M1926" t="str">
        <f>IFERROR(VLOOKUP(E1926,Sales_Reps!$A$2:$C$31,3,FALSE()),"")</f>
        <v>East</v>
      </c>
      <c r="N1926">
        <f>IFERROR(VLOOKUP(D1926,Products!$A$2:$F$61,4,FALSE()),"")</f>
        <v>2509</v>
      </c>
      <c r="O1926" t="str">
        <f>IFERROR(VLOOKUP(C1926,Customers!$A$2:$F$301,5,FALSE()),"")</f>
        <v>SMB</v>
      </c>
      <c r="P1926">
        <f>IFERROR(VLOOKUP(C1926,Customers!$A$2:$F$301,3,FALSE()),"")</f>
        <v>51</v>
      </c>
      <c r="Q1926">
        <f t="shared" si="90"/>
        <v>0.3069060773480663</v>
      </c>
      <c r="R1926">
        <f>IF(AND(COUNTIF($A$2:$A$2027,A1926)&gt;1,COUNTIF($A$2:A1926,A1926)=1),1,0)</f>
        <v>0</v>
      </c>
      <c r="S1926" t="b">
        <f>IFERROR(VLOOKUP(D1926,Products!$A$2:$F$61,6,FALSE()),"")</f>
        <v>1</v>
      </c>
      <c r="T1926" t="str">
        <f>IF(COUNTIF(Customers!$A$2:$A$301,C1926)=0,"Missing","OK")</f>
        <v>OK</v>
      </c>
      <c r="U1926" t="str">
        <f t="shared" si="91"/>
        <v>Chennai</v>
      </c>
      <c r="V1926">
        <f t="shared" si="92"/>
        <v>0</v>
      </c>
    </row>
    <row r="1927" spans="1:22" ht="15" customHeight="1" x14ac:dyDescent="0.35">
      <c r="A1927" s="3" t="s">
        <v>2364</v>
      </c>
      <c r="B1927" s="4">
        <v>45536</v>
      </c>
      <c r="C1927" s="3" t="s">
        <v>646</v>
      </c>
      <c r="D1927" s="3" t="s">
        <v>382</v>
      </c>
      <c r="E1927" s="3" t="s">
        <v>97</v>
      </c>
      <c r="F1927" s="5">
        <v>9</v>
      </c>
      <c r="G1927" s="5">
        <v>5080</v>
      </c>
      <c r="H1927" s="5">
        <v>19.899999999999999</v>
      </c>
      <c r="I1927" s="5">
        <v>36621.72</v>
      </c>
      <c r="J1927" s="3" t="s">
        <v>26</v>
      </c>
      <c r="K1927" s="3" t="s">
        <v>51</v>
      </c>
      <c r="L1927" t="str">
        <f>IFERROR(VLOOKUP(D1927,Products!$A$2:$F$61,3,FALSE()),"")</f>
        <v>Home</v>
      </c>
      <c r="M1927" t="str">
        <f>IFERROR(VLOOKUP(E1927,Sales_Reps!$A$2:$C$31,3,FALSE()),"")</f>
        <v>East</v>
      </c>
      <c r="N1927">
        <f>IFERROR(VLOOKUP(D1927,Products!$A$2:$F$61,4,FALSE()),"")</f>
        <v>2459</v>
      </c>
      <c r="O1927" t="str">
        <f>IFERROR(VLOOKUP(C1927,Customers!$A$2:$F$301,5,FALSE()),"")</f>
        <v>Retail</v>
      </c>
      <c r="P1927">
        <f>IFERROR(VLOOKUP(C1927,Customers!$A$2:$F$301,3,FALSE()),"")</f>
        <v>33</v>
      </c>
      <c r="Q1927">
        <f t="shared" si="90"/>
        <v>0.51594488188976373</v>
      </c>
      <c r="R1927">
        <f>IF(AND(COUNTIF($A$2:$A$2027,A1927)&gt;1,COUNTIF($A$2:A1927,A1927)=1),1,0)</f>
        <v>0</v>
      </c>
      <c r="S1927" t="b">
        <f>IFERROR(VLOOKUP(D1927,Products!$A$2:$F$61,6,FALSE()),"")</f>
        <v>1</v>
      </c>
      <c r="T1927" t="str">
        <f>IF(COUNTIF(Customers!$A$2:$A$301,C1927)=0,"Missing","OK")</f>
        <v>OK</v>
      </c>
      <c r="U1927" t="str">
        <f t="shared" si="91"/>
        <v>Mumbai</v>
      </c>
      <c r="V1927">
        <f t="shared" si="92"/>
        <v>0</v>
      </c>
    </row>
    <row r="1928" spans="1:22" ht="15" customHeight="1" x14ac:dyDescent="0.35">
      <c r="A1928" s="3" t="s">
        <v>2365</v>
      </c>
      <c r="B1928" s="4">
        <v>45561</v>
      </c>
      <c r="C1928" s="3" t="s">
        <v>333</v>
      </c>
      <c r="D1928" s="3" t="s">
        <v>598</v>
      </c>
      <c r="E1928" s="3" t="s">
        <v>55</v>
      </c>
      <c r="F1928" s="5">
        <v>2</v>
      </c>
      <c r="G1928" s="5">
        <v>3560</v>
      </c>
      <c r="H1928" s="5">
        <v>5.5</v>
      </c>
      <c r="I1928" s="5">
        <v>6728.4</v>
      </c>
      <c r="J1928" s="3" t="s">
        <v>26</v>
      </c>
      <c r="K1928" s="3" t="s">
        <v>56</v>
      </c>
      <c r="L1928" t="str">
        <f>IFERROR(VLOOKUP(D1928,Products!$A$2:$F$61,3,FALSE()),"")</f>
        <v>Apparel</v>
      </c>
      <c r="M1928" t="str">
        <f>IFERROR(VLOOKUP(E1928,Sales_Reps!$A$2:$C$31,3,FALSE()),"")</f>
        <v>West</v>
      </c>
      <c r="N1928">
        <f>IFERROR(VLOOKUP(D1928,Products!$A$2:$F$61,4,FALSE()),"")</f>
        <v>2629</v>
      </c>
      <c r="O1928" t="str">
        <f>IFERROR(VLOOKUP(C1928,Customers!$A$2:$F$301,5,FALSE()),"")</f>
        <v>SMB</v>
      </c>
      <c r="P1928">
        <f>IFERROR(VLOOKUP(C1928,Customers!$A$2:$F$301,3,FALSE()),"")</f>
        <v>28</v>
      </c>
      <c r="Q1928">
        <f t="shared" si="90"/>
        <v>0.26151685393258428</v>
      </c>
      <c r="R1928">
        <f>IF(AND(COUNTIF($A$2:$A$2027,A1928)&gt;1,COUNTIF($A$2:A1928,A1928)=1),1,0)</f>
        <v>0</v>
      </c>
      <c r="S1928" t="b">
        <f>IFERROR(VLOOKUP(D1928,Products!$A$2:$F$61,6,FALSE()),"")</f>
        <v>1</v>
      </c>
      <c r="T1928" t="str">
        <f>IF(COUNTIF(Customers!$A$2:$A$301,C1928)=0,"Missing","OK")</f>
        <v>OK</v>
      </c>
      <c r="U1928" t="str">
        <f t="shared" si="91"/>
        <v>Bengaluru</v>
      </c>
      <c r="V1928">
        <f t="shared" si="92"/>
        <v>0</v>
      </c>
    </row>
    <row r="1929" spans="1:22" ht="15" customHeight="1" x14ac:dyDescent="0.35">
      <c r="A1929" s="3" t="s">
        <v>2366</v>
      </c>
      <c r="B1929" s="4">
        <v>45349</v>
      </c>
      <c r="C1929" s="3" t="s">
        <v>494</v>
      </c>
      <c r="D1929" s="3" t="s">
        <v>66</v>
      </c>
      <c r="E1929" s="3" t="s">
        <v>154</v>
      </c>
      <c r="F1929" s="5">
        <v>6</v>
      </c>
      <c r="G1929" s="5">
        <v>970</v>
      </c>
      <c r="H1929" s="5">
        <v>22.5</v>
      </c>
      <c r="I1929" s="5">
        <v>4510.5</v>
      </c>
      <c r="J1929" s="3" t="s">
        <v>83</v>
      </c>
      <c r="K1929" s="3" t="s">
        <v>51</v>
      </c>
      <c r="L1929" t="str">
        <f>IFERROR(VLOOKUP(D1929,Products!$A$2:$F$61,3,FALSE()),"")</f>
        <v>Grocery</v>
      </c>
      <c r="M1929" t="str">
        <f>IFERROR(VLOOKUP(E1929,Sales_Reps!$A$2:$C$31,3,FALSE()),"")</f>
        <v>North</v>
      </c>
      <c r="N1929">
        <f>IFERROR(VLOOKUP(D1929,Products!$A$2:$F$61,4,FALSE()),"")</f>
        <v>434</v>
      </c>
      <c r="O1929" t="str">
        <f>IFERROR(VLOOKUP(C1929,Customers!$A$2:$F$301,5,FALSE()),"")</f>
        <v>Retail</v>
      </c>
      <c r="P1929">
        <f>IFERROR(VLOOKUP(C1929,Customers!$A$2:$F$301,3,FALSE()),"")</f>
        <v>37</v>
      </c>
      <c r="Q1929">
        <f t="shared" si="90"/>
        <v>0.5525773195876289</v>
      </c>
      <c r="R1929">
        <f>IF(AND(COUNTIF($A$2:$A$2027,A1929)&gt;1,COUNTIF($A$2:A1929,A1929)=1),1,0)</f>
        <v>0</v>
      </c>
      <c r="S1929" t="b">
        <f>IFERROR(VLOOKUP(D1929,Products!$A$2:$F$61,6,FALSE()),"")</f>
        <v>1</v>
      </c>
      <c r="T1929" t="str">
        <f>IF(COUNTIF(Customers!$A$2:$A$301,C1929)=0,"Missing","OK")</f>
        <v>OK</v>
      </c>
      <c r="U1929" t="str">
        <f t="shared" si="91"/>
        <v>Mumbai</v>
      </c>
      <c r="V1929">
        <f t="shared" si="92"/>
        <v>0</v>
      </c>
    </row>
    <row r="1930" spans="1:22" ht="15" customHeight="1" x14ac:dyDescent="0.35">
      <c r="A1930" s="3" t="s">
        <v>2367</v>
      </c>
      <c r="B1930" s="4">
        <v>45650</v>
      </c>
      <c r="C1930" s="3" t="s">
        <v>895</v>
      </c>
      <c r="D1930" s="3" t="s">
        <v>118</v>
      </c>
      <c r="E1930" s="3" t="s">
        <v>37</v>
      </c>
      <c r="F1930" s="5">
        <v>9</v>
      </c>
      <c r="G1930" s="5">
        <v>3350</v>
      </c>
      <c r="H1930" s="5">
        <v>5.0999999999999996</v>
      </c>
      <c r="I1930" s="5">
        <v>28612.35</v>
      </c>
      <c r="J1930" s="3" t="s">
        <v>26</v>
      </c>
      <c r="K1930" s="3" t="s">
        <v>51</v>
      </c>
      <c r="L1930" t="str">
        <f>IFERROR(VLOOKUP(D1930,Products!$A$2:$F$61,3,FALSE()),"")</f>
        <v>Beauty</v>
      </c>
      <c r="M1930" t="str">
        <f>IFERROR(VLOOKUP(E1930,Sales_Reps!$A$2:$C$31,3,FALSE()),"")</f>
        <v>South</v>
      </c>
      <c r="N1930">
        <f>IFERROR(VLOOKUP(D1930,Products!$A$2:$F$61,4,FALSE()),"")</f>
        <v>1728</v>
      </c>
      <c r="O1930" t="str">
        <f>IFERROR(VLOOKUP(C1930,Customers!$A$2:$F$301,5,FALSE()),"")</f>
        <v>Retail</v>
      </c>
      <c r="P1930">
        <f>IFERROR(VLOOKUP(C1930,Customers!$A$2:$F$301,3,FALSE()),"")</f>
        <v>49</v>
      </c>
      <c r="Q1930">
        <f t="shared" si="90"/>
        <v>0.48417910447761192</v>
      </c>
      <c r="R1930">
        <f>IF(AND(COUNTIF($A$2:$A$2027,A1930)&gt;1,COUNTIF($A$2:A1930,A1930)=1),1,0)</f>
        <v>0</v>
      </c>
      <c r="S1930" t="b">
        <f>IFERROR(VLOOKUP(D1930,Products!$A$2:$F$61,6,FALSE()),"")</f>
        <v>1</v>
      </c>
      <c r="T1930" t="str">
        <f>IF(COUNTIF(Customers!$A$2:$A$301,C1930)=0,"Missing","OK")</f>
        <v>OK</v>
      </c>
      <c r="U1930" t="str">
        <f t="shared" si="91"/>
        <v>Mumbai</v>
      </c>
      <c r="V1930">
        <f t="shared" si="92"/>
        <v>0</v>
      </c>
    </row>
    <row r="1931" spans="1:22" ht="15" customHeight="1" x14ac:dyDescent="0.35">
      <c r="A1931" s="3" t="s">
        <v>2368</v>
      </c>
      <c r="B1931" s="4">
        <v>45525</v>
      </c>
      <c r="C1931" s="3" t="s">
        <v>2369</v>
      </c>
      <c r="D1931" s="3" t="s">
        <v>49</v>
      </c>
      <c r="E1931" s="3" t="s">
        <v>212</v>
      </c>
      <c r="F1931" s="5">
        <v>6</v>
      </c>
      <c r="G1931" s="5">
        <v>370</v>
      </c>
      <c r="H1931" s="5">
        <v>17.8</v>
      </c>
      <c r="I1931" s="5">
        <v>1824.84</v>
      </c>
      <c r="J1931" s="3" t="s">
        <v>26</v>
      </c>
      <c r="K1931" s="3" t="s">
        <v>51</v>
      </c>
      <c r="L1931" t="str">
        <f>IFERROR(VLOOKUP(D1931,Products!$A$2:$F$61,3,FALSE()),"")</f>
        <v>Home</v>
      </c>
      <c r="M1931" t="str">
        <f>IFERROR(VLOOKUP(E1931,Sales_Reps!$A$2:$C$31,3,FALSE()),"")</f>
        <v>South</v>
      </c>
      <c r="N1931">
        <f>IFERROR(VLOOKUP(D1931,Products!$A$2:$F$61,4,FALSE()),"")</f>
        <v>288</v>
      </c>
      <c r="O1931" t="str">
        <f>IFERROR(VLOOKUP(C1931,Customers!$A$2:$F$301,5,FALSE()),"")</f>
        <v/>
      </c>
      <c r="P1931" t="str">
        <f>IFERROR(VLOOKUP(C1931,Customers!$A$2:$F$301,3,FALSE()),"")</f>
        <v/>
      </c>
      <c r="Q1931">
        <f t="shared" si="90"/>
        <v>0.22162162162162163</v>
      </c>
      <c r="R1931">
        <f>IF(AND(COUNTIF($A$2:$A$2027,A1931)&gt;1,COUNTIF($A$2:A1931,A1931)=1),1,0)</f>
        <v>0</v>
      </c>
      <c r="S1931" t="b">
        <f>IFERROR(VLOOKUP(D1931,Products!$A$2:$F$61,6,FALSE()),"")</f>
        <v>1</v>
      </c>
      <c r="T1931" t="str">
        <f>IF(COUNTIF(Customers!$A$2:$A$301,C1931)=0,"Missing","OK")</f>
        <v>Missing</v>
      </c>
      <c r="U1931" t="str">
        <f t="shared" si="91"/>
        <v>Mumbai</v>
      </c>
      <c r="V1931">
        <f t="shared" si="92"/>
        <v>0</v>
      </c>
    </row>
    <row r="1932" spans="1:22" ht="15" customHeight="1" x14ac:dyDescent="0.35">
      <c r="A1932" s="3" t="s">
        <v>2370</v>
      </c>
      <c r="B1932" s="4">
        <v>45365</v>
      </c>
      <c r="C1932" s="3" t="s">
        <v>205</v>
      </c>
      <c r="D1932" s="3" t="s">
        <v>70</v>
      </c>
      <c r="E1932" s="3" t="s">
        <v>212</v>
      </c>
      <c r="F1932" s="5">
        <v>3</v>
      </c>
      <c r="G1932" s="5">
        <v>2270</v>
      </c>
      <c r="H1932" s="5">
        <v>8.4</v>
      </c>
      <c r="I1932" s="5">
        <v>6237.96</v>
      </c>
      <c r="J1932" s="3" t="s">
        <v>32</v>
      </c>
      <c r="K1932" s="3" t="s">
        <v>38</v>
      </c>
      <c r="L1932" t="str">
        <f>IFERROR(VLOOKUP(D1932,Products!$A$2:$F$61,3,FALSE()),"")</f>
        <v>Grocery</v>
      </c>
      <c r="M1932" t="str">
        <f>IFERROR(VLOOKUP(E1932,Sales_Reps!$A$2:$C$31,3,FALSE()),"")</f>
        <v>South</v>
      </c>
      <c r="N1932">
        <f>IFERROR(VLOOKUP(D1932,Products!$A$2:$F$61,4,FALSE()),"")</f>
        <v>1203</v>
      </c>
      <c r="O1932" t="str">
        <f>IFERROR(VLOOKUP(C1932,Customers!$A$2:$F$301,5,FALSE()),"")</f>
        <v>Corporate</v>
      </c>
      <c r="P1932">
        <f>IFERROR(VLOOKUP(C1932,Customers!$A$2:$F$301,3,FALSE()),"")</f>
        <v>55</v>
      </c>
      <c r="Q1932">
        <f t="shared" si="90"/>
        <v>0.47004405286343615</v>
      </c>
      <c r="R1932">
        <f>IF(AND(COUNTIF($A$2:$A$2027,A1932)&gt;1,COUNTIF($A$2:A1932,A1932)=1),1,0)</f>
        <v>0</v>
      </c>
      <c r="S1932" t="b">
        <f>IFERROR(VLOOKUP(D1932,Products!$A$2:$F$61,6,FALSE()),"")</f>
        <v>1</v>
      </c>
      <c r="T1932" t="str">
        <f>IF(COUNTIF(Customers!$A$2:$A$301,C1932)=0,"Missing","OK")</f>
        <v>OK</v>
      </c>
      <c r="U1932" t="str">
        <f t="shared" si="91"/>
        <v>Delhi</v>
      </c>
      <c r="V1932">
        <f t="shared" si="92"/>
        <v>0</v>
      </c>
    </row>
    <row r="1933" spans="1:22" ht="15" customHeight="1" x14ac:dyDescent="0.35">
      <c r="A1933" s="3" t="s">
        <v>2371</v>
      </c>
      <c r="B1933" s="4">
        <v>45464</v>
      </c>
      <c r="C1933" s="3" t="s">
        <v>506</v>
      </c>
      <c r="D1933" s="3" t="s">
        <v>100</v>
      </c>
      <c r="E1933" s="3" t="s">
        <v>97</v>
      </c>
      <c r="F1933" s="5">
        <v>3</v>
      </c>
      <c r="G1933" s="5">
        <v>3450</v>
      </c>
      <c r="H1933" s="5">
        <v>7.2</v>
      </c>
      <c r="I1933" s="5">
        <v>9604.7999999999993</v>
      </c>
      <c r="J1933" s="3" t="s">
        <v>26</v>
      </c>
      <c r="K1933" s="3" t="s">
        <v>56</v>
      </c>
      <c r="L1933" t="str">
        <f>IFERROR(VLOOKUP(D1933,Products!$A$2:$F$61,3,FALSE()),"")</f>
        <v>Sports</v>
      </c>
      <c r="M1933" t="str">
        <f>IFERROR(VLOOKUP(E1933,Sales_Reps!$A$2:$C$31,3,FALSE()),"")</f>
        <v>East</v>
      </c>
      <c r="N1933">
        <f>IFERROR(VLOOKUP(D1933,Products!$A$2:$F$61,4,FALSE()),"")</f>
        <v>2467</v>
      </c>
      <c r="O1933" t="str">
        <f>IFERROR(VLOOKUP(C1933,Customers!$A$2:$F$301,5,FALSE()),"")</f>
        <v>Corporate</v>
      </c>
      <c r="P1933">
        <f>IFERROR(VLOOKUP(C1933,Customers!$A$2:$F$301,3,FALSE()),"")</f>
        <v>41</v>
      </c>
      <c r="Q1933">
        <f t="shared" si="90"/>
        <v>0.28492753623188405</v>
      </c>
      <c r="R1933">
        <f>IF(AND(COUNTIF($A$2:$A$2027,A1933)&gt;1,COUNTIF($A$2:A1933,A1933)=1),1,0)</f>
        <v>0</v>
      </c>
      <c r="S1933" t="b">
        <f>IFERROR(VLOOKUP(D1933,Products!$A$2:$F$61,6,FALSE()),"")</f>
        <v>1</v>
      </c>
      <c r="T1933" t="str">
        <f>IF(COUNTIF(Customers!$A$2:$A$301,C1933)=0,"Missing","OK")</f>
        <v>OK</v>
      </c>
      <c r="U1933" t="str">
        <f t="shared" si="91"/>
        <v>Bengaluru</v>
      </c>
      <c r="V1933">
        <f t="shared" si="92"/>
        <v>0</v>
      </c>
    </row>
    <row r="1934" spans="1:22" ht="15" customHeight="1" x14ac:dyDescent="0.35">
      <c r="A1934" s="3" t="s">
        <v>2372</v>
      </c>
      <c r="B1934" s="4">
        <v>45633</v>
      </c>
      <c r="C1934" s="3" t="s">
        <v>238</v>
      </c>
      <c r="D1934" s="3" t="s">
        <v>121</v>
      </c>
      <c r="E1934" s="3" t="s">
        <v>46</v>
      </c>
      <c r="F1934" s="5">
        <v>9</v>
      </c>
      <c r="G1934" s="5">
        <v>1010</v>
      </c>
      <c r="H1934" s="5">
        <v>17.8</v>
      </c>
      <c r="I1934" s="5">
        <v>7471.98</v>
      </c>
      <c r="J1934" s="3" t="s">
        <v>26</v>
      </c>
      <c r="K1934" s="3" t="s">
        <v>72</v>
      </c>
      <c r="L1934" t="str">
        <f>IFERROR(VLOOKUP(D1934,Products!$A$2:$F$61,3,FALSE()),"")</f>
        <v>Sports</v>
      </c>
      <c r="M1934" t="str">
        <f>IFERROR(VLOOKUP(E1934,Sales_Reps!$A$2:$C$31,3,FALSE()),"")</f>
        <v>North</v>
      </c>
      <c r="N1934">
        <f>IFERROR(VLOOKUP(D1934,Products!$A$2:$F$61,4,FALSE()),"")</f>
        <v>516</v>
      </c>
      <c r="O1934" t="str">
        <f>IFERROR(VLOOKUP(C1934,Customers!$A$2:$F$301,5,FALSE()),"")</f>
        <v>Retail</v>
      </c>
      <c r="P1934">
        <f>IFERROR(VLOOKUP(C1934,Customers!$A$2:$F$301,3,FALSE()),"")</f>
        <v>29</v>
      </c>
      <c r="Q1934">
        <f t="shared" si="90"/>
        <v>0.4891089108910891</v>
      </c>
      <c r="R1934">
        <f>IF(AND(COUNTIF($A$2:$A$2027,A1934)&gt;1,COUNTIF($A$2:A1934,A1934)=1),1,0)</f>
        <v>0</v>
      </c>
      <c r="S1934" t="b">
        <f>IFERROR(VLOOKUP(D1934,Products!$A$2:$F$61,6,FALSE()),"")</f>
        <v>1</v>
      </c>
      <c r="T1934" t="str">
        <f>IF(COUNTIF(Customers!$A$2:$A$301,C1934)=0,"Missing","OK")</f>
        <v>OK</v>
      </c>
      <c r="U1934" t="str">
        <f t="shared" si="91"/>
        <v>Hyderabad</v>
      </c>
      <c r="V1934">
        <f t="shared" si="92"/>
        <v>0</v>
      </c>
    </row>
    <row r="1935" spans="1:22" ht="15" customHeight="1" x14ac:dyDescent="0.35">
      <c r="A1935" s="3" t="s">
        <v>2373</v>
      </c>
      <c r="B1935" s="4">
        <v>45373</v>
      </c>
      <c r="C1935" s="3" t="s">
        <v>975</v>
      </c>
      <c r="D1935" s="3" t="s">
        <v>209</v>
      </c>
      <c r="E1935" s="3" t="s">
        <v>87</v>
      </c>
      <c r="F1935" s="5">
        <v>5</v>
      </c>
      <c r="G1935" s="5">
        <v>4610</v>
      </c>
      <c r="H1935" s="5">
        <v>29.8</v>
      </c>
      <c r="I1935" s="5">
        <v>16181.1</v>
      </c>
      <c r="J1935" s="3" t="s">
        <v>79</v>
      </c>
      <c r="K1935" s="3" t="s">
        <v>51</v>
      </c>
      <c r="L1935" t="str">
        <f>IFERROR(VLOOKUP(D1935,Products!$A$2:$F$61,3,FALSE()),"")</f>
        <v>Home</v>
      </c>
      <c r="M1935" t="str">
        <f>IFERROR(VLOOKUP(E1935,Sales_Reps!$A$2:$C$31,3,FALSE()),"")</f>
        <v>North</v>
      </c>
      <c r="N1935">
        <f>IFERROR(VLOOKUP(D1935,Products!$A$2:$F$61,4,FALSE()),"")</f>
        <v>1850</v>
      </c>
      <c r="O1935" t="str">
        <f>IFERROR(VLOOKUP(C1935,Customers!$A$2:$F$301,5,FALSE()),"")</f>
        <v>Retail</v>
      </c>
      <c r="P1935">
        <f>IFERROR(VLOOKUP(C1935,Customers!$A$2:$F$301,3,FALSE()),"")</f>
        <v>33</v>
      </c>
      <c r="Q1935">
        <f t="shared" si="90"/>
        <v>0.59869848156182215</v>
      </c>
      <c r="R1935">
        <f>IF(AND(COUNTIF($A$2:$A$2027,A1935)&gt;1,COUNTIF($A$2:A1935,A1935)=1),1,0)</f>
        <v>0</v>
      </c>
      <c r="S1935" t="b">
        <f>IFERROR(VLOOKUP(D1935,Products!$A$2:$F$61,6,FALSE()),"")</f>
        <v>1</v>
      </c>
      <c r="T1935" t="str">
        <f>IF(COUNTIF(Customers!$A$2:$A$301,C1935)=0,"Missing","OK")</f>
        <v>OK</v>
      </c>
      <c r="U1935" t="str">
        <f t="shared" si="91"/>
        <v>Mumbai</v>
      </c>
      <c r="V1935">
        <f t="shared" si="92"/>
        <v>0</v>
      </c>
    </row>
    <row r="1936" spans="1:22" ht="15" customHeight="1" x14ac:dyDescent="0.35">
      <c r="A1936" s="3" t="s">
        <v>2374</v>
      </c>
      <c r="B1936" s="4">
        <v>45497</v>
      </c>
      <c r="C1936" s="3" t="s">
        <v>429</v>
      </c>
      <c r="D1936" s="3" t="s">
        <v>49</v>
      </c>
      <c r="E1936" s="3" t="s">
        <v>87</v>
      </c>
      <c r="F1936" s="5">
        <v>6</v>
      </c>
      <c r="G1936" s="5">
        <v>370</v>
      </c>
      <c r="H1936" s="5">
        <v>17.899999999999999</v>
      </c>
      <c r="I1936" s="5">
        <v>1822.62</v>
      </c>
      <c r="J1936" s="3" t="s">
        <v>26</v>
      </c>
      <c r="K1936" s="3" t="s">
        <v>38</v>
      </c>
      <c r="L1936" t="str">
        <f>IFERROR(VLOOKUP(D1936,Products!$A$2:$F$61,3,FALSE()),"")</f>
        <v>Home</v>
      </c>
      <c r="M1936" t="str">
        <f>IFERROR(VLOOKUP(E1936,Sales_Reps!$A$2:$C$31,3,FALSE()),"")</f>
        <v>North</v>
      </c>
      <c r="N1936">
        <f>IFERROR(VLOOKUP(D1936,Products!$A$2:$F$61,4,FALSE()),"")</f>
        <v>288</v>
      </c>
      <c r="O1936" t="str">
        <f>IFERROR(VLOOKUP(C1936,Customers!$A$2:$F$301,5,FALSE()),"")</f>
        <v>Retail</v>
      </c>
      <c r="P1936">
        <f>IFERROR(VLOOKUP(C1936,Customers!$A$2:$F$301,3,FALSE()),"")</f>
        <v>59</v>
      </c>
      <c r="Q1936">
        <f t="shared" si="90"/>
        <v>0.22162162162162163</v>
      </c>
      <c r="R1936">
        <f>IF(AND(COUNTIF($A$2:$A$2027,A1936)&gt;1,COUNTIF($A$2:A1936,A1936)=1),1,0)</f>
        <v>0</v>
      </c>
      <c r="S1936" t="b">
        <f>IFERROR(VLOOKUP(D1936,Products!$A$2:$F$61,6,FALSE()),"")</f>
        <v>1</v>
      </c>
      <c r="T1936" t="str">
        <f>IF(COUNTIF(Customers!$A$2:$A$301,C1936)=0,"Missing","OK")</f>
        <v>OK</v>
      </c>
      <c r="U1936" t="str">
        <f t="shared" si="91"/>
        <v>Delhi</v>
      </c>
      <c r="V1936">
        <f t="shared" si="92"/>
        <v>0</v>
      </c>
    </row>
    <row r="1937" spans="1:22" ht="15" customHeight="1" x14ac:dyDescent="0.35">
      <c r="A1937" s="3" t="s">
        <v>2375</v>
      </c>
      <c r="B1937" s="4">
        <v>45352</v>
      </c>
      <c r="C1937" s="3" t="s">
        <v>344</v>
      </c>
      <c r="D1937" s="3" t="s">
        <v>306</v>
      </c>
      <c r="E1937" s="3" t="s">
        <v>140</v>
      </c>
      <c r="F1937" s="5">
        <v>6</v>
      </c>
      <c r="G1937" s="5">
        <v>2380</v>
      </c>
      <c r="H1937" s="5">
        <v>13.6</v>
      </c>
      <c r="I1937" s="5">
        <v>12337.92</v>
      </c>
      <c r="J1937" s="3" t="s">
        <v>79</v>
      </c>
      <c r="K1937" s="3" t="s">
        <v>33</v>
      </c>
      <c r="L1937" t="str">
        <f>IFERROR(VLOOKUP(D1937,Products!$A$2:$F$61,3,FALSE()),"")</f>
        <v>Grocery</v>
      </c>
      <c r="M1937" t="str">
        <f>IFERROR(VLOOKUP(E1937,Sales_Reps!$A$2:$C$31,3,FALSE()),"")</f>
        <v>West</v>
      </c>
      <c r="N1937">
        <f>IFERROR(VLOOKUP(D1937,Products!$A$2:$F$61,4,FALSE()),"")</f>
        <v>1182</v>
      </c>
      <c r="O1937" t="str">
        <f>IFERROR(VLOOKUP(C1937,Customers!$A$2:$F$301,5,FALSE()),"")</f>
        <v>Corporate</v>
      </c>
      <c r="P1937">
        <f>IFERROR(VLOOKUP(C1937,Customers!$A$2:$F$301,3,FALSE()),"")</f>
        <v>24</v>
      </c>
      <c r="Q1937">
        <f t="shared" si="90"/>
        <v>0.50336134453781511</v>
      </c>
      <c r="R1937">
        <f>IF(AND(COUNTIF($A$2:$A$2027,A1937)&gt;1,COUNTIF($A$2:A1937,A1937)=1),1,0)</f>
        <v>0</v>
      </c>
      <c r="S1937" t="b">
        <f>IFERROR(VLOOKUP(D1937,Products!$A$2:$F$61,6,FALSE()),"")</f>
        <v>1</v>
      </c>
      <c r="T1937" t="str">
        <f>IF(COUNTIF(Customers!$A$2:$A$301,C1937)=0,"Missing","OK")</f>
        <v>OK</v>
      </c>
      <c r="U1937" t="str">
        <f t="shared" si="91"/>
        <v>Chennai</v>
      </c>
      <c r="V1937">
        <f t="shared" si="92"/>
        <v>0</v>
      </c>
    </row>
    <row r="1938" spans="1:22" ht="15" customHeight="1" x14ac:dyDescent="0.35">
      <c r="A1938" s="3" t="s">
        <v>2376</v>
      </c>
      <c r="B1938" s="4">
        <v>45379</v>
      </c>
      <c r="C1938" s="3" t="s">
        <v>114</v>
      </c>
      <c r="D1938" s="3" t="s">
        <v>319</v>
      </c>
      <c r="E1938" s="3" t="s">
        <v>93</v>
      </c>
      <c r="F1938" s="5">
        <v>6</v>
      </c>
      <c r="G1938" s="5">
        <v>960</v>
      </c>
      <c r="H1938" s="5">
        <v>15</v>
      </c>
      <c r="I1938" s="5">
        <v>4896</v>
      </c>
      <c r="J1938" s="3" t="s">
        <v>32</v>
      </c>
      <c r="K1938" s="3" t="s">
        <v>72</v>
      </c>
      <c r="L1938" t="str">
        <f>IFERROR(VLOOKUP(D1938,Products!$A$2:$F$61,3,FALSE()),"")</f>
        <v>Beauty</v>
      </c>
      <c r="M1938" t="str">
        <f>IFERROR(VLOOKUP(E1938,Sales_Reps!$A$2:$C$31,3,FALSE()),"")</f>
        <v>East</v>
      </c>
      <c r="N1938">
        <f>IFERROR(VLOOKUP(D1938,Products!$A$2:$F$61,4,FALSE()),"")</f>
        <v>675</v>
      </c>
      <c r="O1938" t="str">
        <f>IFERROR(VLOOKUP(C1938,Customers!$A$2:$F$301,5,FALSE()),"")</f>
        <v>SMB</v>
      </c>
      <c r="P1938">
        <f>IFERROR(VLOOKUP(C1938,Customers!$A$2:$F$301,3,FALSE()),"")</f>
        <v>40</v>
      </c>
      <c r="Q1938">
        <f t="shared" si="90"/>
        <v>0.296875</v>
      </c>
      <c r="R1938">
        <f>IF(AND(COUNTIF($A$2:$A$2027,A1938)&gt;1,COUNTIF($A$2:A1938,A1938)=1),1,0)</f>
        <v>0</v>
      </c>
      <c r="S1938" t="b">
        <f>IFERROR(VLOOKUP(D1938,Products!$A$2:$F$61,6,FALSE()),"")</f>
        <v>1</v>
      </c>
      <c r="T1938" t="str">
        <f>IF(COUNTIF(Customers!$A$2:$A$301,C1938)=0,"Missing","OK")</f>
        <v>OK</v>
      </c>
      <c r="U1938" t="str">
        <f t="shared" si="91"/>
        <v>Hyderabad</v>
      </c>
      <c r="V1938">
        <f t="shared" si="92"/>
        <v>0</v>
      </c>
    </row>
    <row r="1939" spans="1:22" ht="15" customHeight="1" x14ac:dyDescent="0.35">
      <c r="A1939" s="3" t="s">
        <v>2377</v>
      </c>
      <c r="B1939" s="4">
        <v>45422</v>
      </c>
      <c r="C1939" s="3" t="s">
        <v>659</v>
      </c>
      <c r="D1939" s="3" t="s">
        <v>54</v>
      </c>
      <c r="E1939" s="3" t="s">
        <v>236</v>
      </c>
      <c r="F1939" s="5">
        <v>3</v>
      </c>
      <c r="G1939" s="5">
        <v>960</v>
      </c>
      <c r="H1939" s="5">
        <v>12.3</v>
      </c>
      <c r="I1939" s="5">
        <v>2525.7600000000002</v>
      </c>
      <c r="J1939" s="3" t="s">
        <v>26</v>
      </c>
      <c r="K1939" s="3" t="s">
        <v>27</v>
      </c>
      <c r="L1939" t="str">
        <f>IFERROR(VLOOKUP(D1939,Products!$A$2:$F$61,3,FALSE()),"")</f>
        <v>Sports</v>
      </c>
      <c r="M1939" t="str">
        <f>IFERROR(VLOOKUP(E1939,Sales_Reps!$A$2:$C$31,3,FALSE()),"")</f>
        <v>North</v>
      </c>
      <c r="N1939">
        <f>IFERROR(VLOOKUP(D1939,Products!$A$2:$F$61,4,FALSE()),"")</f>
        <v>705</v>
      </c>
      <c r="O1939" t="str">
        <f>IFERROR(VLOOKUP(C1939,Customers!$A$2:$F$301,5,FALSE()),"")</f>
        <v>Retail</v>
      </c>
      <c r="P1939">
        <f>IFERROR(VLOOKUP(C1939,Customers!$A$2:$F$301,3,FALSE()),"")</f>
        <v>48</v>
      </c>
      <c r="Q1939">
        <f t="shared" si="90"/>
        <v>0.265625</v>
      </c>
      <c r="R1939">
        <f>IF(AND(COUNTIF($A$2:$A$2027,A1939)&gt;1,COUNTIF($A$2:A1939,A1939)=1),1,0)</f>
        <v>0</v>
      </c>
      <c r="S1939" t="b">
        <f>IFERROR(VLOOKUP(D1939,Products!$A$2:$F$61,6,FALSE()),"")</f>
        <v>1</v>
      </c>
      <c r="T1939" t="str">
        <f>IF(COUNTIF(Customers!$A$2:$A$301,C1939)=0,"Missing","OK")</f>
        <v>OK</v>
      </c>
      <c r="U1939" t="str">
        <f t="shared" si="91"/>
        <v>Pune</v>
      </c>
      <c r="V1939">
        <f t="shared" si="92"/>
        <v>0</v>
      </c>
    </row>
    <row r="1940" spans="1:22" ht="15" customHeight="1" x14ac:dyDescent="0.35">
      <c r="A1940" s="3" t="s">
        <v>2378</v>
      </c>
      <c r="B1940" s="4">
        <v>45413</v>
      </c>
      <c r="C1940" s="3" t="s">
        <v>496</v>
      </c>
      <c r="D1940" s="3" t="s">
        <v>231</v>
      </c>
      <c r="E1940" s="3" t="s">
        <v>168</v>
      </c>
      <c r="F1940" s="5">
        <v>7</v>
      </c>
      <c r="G1940" s="5">
        <v>620</v>
      </c>
      <c r="H1940" s="5">
        <v>5.8</v>
      </c>
      <c r="I1940" s="5">
        <v>4088.28</v>
      </c>
      <c r="J1940" s="3" t="s">
        <v>26</v>
      </c>
      <c r="K1940" s="3" t="s">
        <v>51</v>
      </c>
      <c r="L1940" t="str">
        <f>IFERROR(VLOOKUP(D1940,Products!$A$2:$F$61,3,FALSE()),"")</f>
        <v>Apparel</v>
      </c>
      <c r="M1940" t="str">
        <f>IFERROR(VLOOKUP(E1940,Sales_Reps!$A$2:$C$31,3,FALSE()),"")</f>
        <v>West</v>
      </c>
      <c r="N1940">
        <f>IFERROR(VLOOKUP(D1940,Products!$A$2:$F$61,4,FALSE()),"")</f>
        <v>396</v>
      </c>
      <c r="O1940" t="str">
        <f>IFERROR(VLOOKUP(C1940,Customers!$A$2:$F$301,5,FALSE()),"")</f>
        <v>Retail</v>
      </c>
      <c r="P1940">
        <f>IFERROR(VLOOKUP(C1940,Customers!$A$2:$F$301,3,FALSE()),"")</f>
        <v>65</v>
      </c>
      <c r="Q1940">
        <f t="shared" si="90"/>
        <v>0.36129032258064514</v>
      </c>
      <c r="R1940">
        <f>IF(AND(COUNTIF($A$2:$A$2027,A1940)&gt;1,COUNTIF($A$2:A1940,A1940)=1),1,0)</f>
        <v>0</v>
      </c>
      <c r="S1940" t="b">
        <f>IFERROR(VLOOKUP(D1940,Products!$A$2:$F$61,6,FALSE()),"")</f>
        <v>1</v>
      </c>
      <c r="T1940" t="str">
        <f>IF(COUNTIF(Customers!$A$2:$A$301,C1940)=0,"Missing","OK")</f>
        <v>OK</v>
      </c>
      <c r="U1940" t="str">
        <f t="shared" si="91"/>
        <v>Mumbai</v>
      </c>
      <c r="V1940">
        <f t="shared" si="92"/>
        <v>0</v>
      </c>
    </row>
    <row r="1941" spans="1:22" ht="15" customHeight="1" x14ac:dyDescent="0.35">
      <c r="A1941" s="3" t="s">
        <v>2379</v>
      </c>
      <c r="B1941" s="4">
        <v>45467</v>
      </c>
      <c r="C1941" s="3" t="s">
        <v>674</v>
      </c>
      <c r="D1941" s="3" t="s">
        <v>54</v>
      </c>
      <c r="E1941" s="3" t="s">
        <v>131</v>
      </c>
      <c r="F1941" s="5">
        <v>1</v>
      </c>
      <c r="G1941" s="5">
        <v>960</v>
      </c>
      <c r="H1941" s="5">
        <v>4.5999999999999996</v>
      </c>
      <c r="I1941" s="5">
        <v>915.84</v>
      </c>
      <c r="J1941" s="3" t="s">
        <v>26</v>
      </c>
      <c r="K1941" s="3" t="s">
        <v>27</v>
      </c>
      <c r="L1941" t="str">
        <f>IFERROR(VLOOKUP(D1941,Products!$A$2:$F$61,3,FALSE()),"")</f>
        <v>Sports</v>
      </c>
      <c r="M1941" t="str">
        <f>IFERROR(VLOOKUP(E1941,Sales_Reps!$A$2:$C$31,3,FALSE()),"")</f>
        <v>East</v>
      </c>
      <c r="N1941">
        <f>IFERROR(VLOOKUP(D1941,Products!$A$2:$F$61,4,FALSE()),"")</f>
        <v>705</v>
      </c>
      <c r="O1941" t="str">
        <f>IFERROR(VLOOKUP(C1941,Customers!$A$2:$F$301,5,FALSE()),"")</f>
        <v>Retail</v>
      </c>
      <c r="P1941">
        <f>IFERROR(VLOOKUP(C1941,Customers!$A$2:$F$301,3,FALSE()),"")</f>
        <v>54</v>
      </c>
      <c r="Q1941">
        <f t="shared" si="90"/>
        <v>0.265625</v>
      </c>
      <c r="R1941">
        <f>IF(AND(COUNTIF($A$2:$A$2027,A1941)&gt;1,COUNTIF($A$2:A1941,A1941)=1),1,0)</f>
        <v>0</v>
      </c>
      <c r="S1941" t="b">
        <f>IFERROR(VLOOKUP(D1941,Products!$A$2:$F$61,6,FALSE()),"")</f>
        <v>1</v>
      </c>
      <c r="T1941" t="str">
        <f>IF(COUNTIF(Customers!$A$2:$A$301,C1941)=0,"Missing","OK")</f>
        <v>OK</v>
      </c>
      <c r="U1941" t="str">
        <f t="shared" si="91"/>
        <v>Pune</v>
      </c>
      <c r="V1941">
        <f t="shared" si="92"/>
        <v>0</v>
      </c>
    </row>
    <row r="1942" spans="1:22" ht="15" customHeight="1" x14ac:dyDescent="0.35">
      <c r="A1942" s="3" t="s">
        <v>2380</v>
      </c>
      <c r="B1942" s="4">
        <v>45520</v>
      </c>
      <c r="C1942" s="3" t="s">
        <v>432</v>
      </c>
      <c r="D1942" s="3" t="s">
        <v>96</v>
      </c>
      <c r="E1942" s="3" t="s">
        <v>67</v>
      </c>
      <c r="F1942" s="5">
        <v>4</v>
      </c>
      <c r="G1942" s="5">
        <v>3450</v>
      </c>
      <c r="H1942" s="5">
        <v>13.3</v>
      </c>
      <c r="I1942" s="5">
        <v>11964.6</v>
      </c>
      <c r="J1942" s="3" t="s">
        <v>26</v>
      </c>
      <c r="K1942" s="3" t="s">
        <v>27</v>
      </c>
      <c r="L1942" t="str">
        <f>IFERROR(VLOOKUP(D1942,Products!$A$2:$F$61,3,FALSE()),"")</f>
        <v>Beauty</v>
      </c>
      <c r="M1942" t="str">
        <f>IFERROR(VLOOKUP(E1942,Sales_Reps!$A$2:$C$31,3,FALSE()),"")</f>
        <v>West</v>
      </c>
      <c r="N1942">
        <f>IFERROR(VLOOKUP(D1942,Products!$A$2:$F$61,4,FALSE()),"")</f>
        <v>2420</v>
      </c>
      <c r="O1942" t="str">
        <f>IFERROR(VLOOKUP(C1942,Customers!$A$2:$F$301,5,FALSE()),"")</f>
        <v>Retail</v>
      </c>
      <c r="P1942">
        <f>IFERROR(VLOOKUP(C1942,Customers!$A$2:$F$301,3,FALSE()),"")</f>
        <v>57</v>
      </c>
      <c r="Q1942">
        <f t="shared" si="90"/>
        <v>0.29855072463768118</v>
      </c>
      <c r="R1942">
        <f>IF(AND(COUNTIF($A$2:$A$2027,A1942)&gt;1,COUNTIF($A$2:A1942,A1942)=1),1,0)</f>
        <v>0</v>
      </c>
      <c r="S1942" t="b">
        <f>IFERROR(VLOOKUP(D1942,Products!$A$2:$F$61,6,FALSE()),"")</f>
        <v>1</v>
      </c>
      <c r="T1942" t="str">
        <f>IF(COUNTIF(Customers!$A$2:$A$301,C1942)=0,"Missing","OK")</f>
        <v>OK</v>
      </c>
      <c r="U1942" t="str">
        <f t="shared" si="91"/>
        <v>Pune</v>
      </c>
      <c r="V1942">
        <f t="shared" si="92"/>
        <v>0</v>
      </c>
    </row>
    <row r="1943" spans="1:22" ht="15" customHeight="1" x14ac:dyDescent="0.35">
      <c r="A1943" s="3" t="s">
        <v>2381</v>
      </c>
      <c r="B1943" s="4">
        <v>45626</v>
      </c>
      <c r="C1943" s="3" t="s">
        <v>500</v>
      </c>
      <c r="D1943" s="3" t="s">
        <v>112</v>
      </c>
      <c r="E1943" s="3" t="s">
        <v>60</v>
      </c>
      <c r="F1943" s="5">
        <v>10</v>
      </c>
      <c r="G1943" s="5">
        <v>2720</v>
      </c>
      <c r="H1943" s="5">
        <v>3.4</v>
      </c>
      <c r="I1943" s="5">
        <v>26275.200000000001</v>
      </c>
      <c r="J1943" s="3" t="s">
        <v>26</v>
      </c>
      <c r="K1943" s="3" t="s">
        <v>72</v>
      </c>
      <c r="L1943" t="str">
        <f>IFERROR(VLOOKUP(D1943,Products!$A$2:$F$61,3,FALSE()),"")</f>
        <v>Apparel</v>
      </c>
      <c r="M1943" t="str">
        <f>IFERROR(VLOOKUP(E1943,Sales_Reps!$A$2:$C$31,3,FALSE()),"")</f>
        <v>East</v>
      </c>
      <c r="N1943">
        <f>IFERROR(VLOOKUP(D1943,Products!$A$2:$F$61,4,FALSE()),"")</f>
        <v>1962</v>
      </c>
      <c r="O1943" t="str">
        <f>IFERROR(VLOOKUP(C1943,Customers!$A$2:$F$301,5,FALSE()),"")</f>
        <v>SMB</v>
      </c>
      <c r="P1943">
        <f>IFERROR(VLOOKUP(C1943,Customers!$A$2:$F$301,3,FALSE()),"")</f>
        <v>43</v>
      </c>
      <c r="Q1943">
        <f t="shared" si="90"/>
        <v>0.2786764705882353</v>
      </c>
      <c r="R1943">
        <f>IF(AND(COUNTIF($A$2:$A$2027,A1943)&gt;1,COUNTIF($A$2:A1943,A1943)=1),1,0)</f>
        <v>0</v>
      </c>
      <c r="S1943" t="b">
        <f>IFERROR(VLOOKUP(D1943,Products!$A$2:$F$61,6,FALSE()),"")</f>
        <v>1</v>
      </c>
      <c r="T1943" t="str">
        <f>IF(COUNTIF(Customers!$A$2:$A$301,C1943)=0,"Missing","OK")</f>
        <v>OK</v>
      </c>
      <c r="U1943" t="str">
        <f t="shared" si="91"/>
        <v>Hyderabad</v>
      </c>
      <c r="V1943">
        <f t="shared" si="92"/>
        <v>0</v>
      </c>
    </row>
    <row r="1944" spans="1:22" ht="15" customHeight="1" x14ac:dyDescent="0.35">
      <c r="A1944" s="3" t="s">
        <v>2382</v>
      </c>
      <c r="B1944" s="4">
        <v>45452</v>
      </c>
      <c r="C1944" s="3" t="s">
        <v>556</v>
      </c>
      <c r="D1944" s="3" t="s">
        <v>96</v>
      </c>
      <c r="E1944" s="3" t="s">
        <v>60</v>
      </c>
      <c r="F1944" s="5">
        <v>1</v>
      </c>
      <c r="G1944" s="5">
        <v>3450</v>
      </c>
      <c r="H1944" s="5">
        <v>29.4</v>
      </c>
      <c r="I1944" s="5">
        <v>2435.6999999999998</v>
      </c>
      <c r="J1944" s="3" t="s">
        <v>26</v>
      </c>
      <c r="K1944" s="3" t="s">
        <v>51</v>
      </c>
      <c r="L1944" t="str">
        <f>IFERROR(VLOOKUP(D1944,Products!$A$2:$F$61,3,FALSE()),"")</f>
        <v>Beauty</v>
      </c>
      <c r="M1944" t="str">
        <f>IFERROR(VLOOKUP(E1944,Sales_Reps!$A$2:$C$31,3,FALSE()),"")</f>
        <v>East</v>
      </c>
      <c r="N1944">
        <f>IFERROR(VLOOKUP(D1944,Products!$A$2:$F$61,4,FALSE()),"")</f>
        <v>2420</v>
      </c>
      <c r="O1944" t="str">
        <f>IFERROR(VLOOKUP(C1944,Customers!$A$2:$F$301,5,FALSE()),"")</f>
        <v>SMB</v>
      </c>
      <c r="P1944">
        <f>IFERROR(VLOOKUP(C1944,Customers!$A$2:$F$301,3,FALSE()),"")</f>
        <v>65</v>
      </c>
      <c r="Q1944">
        <f t="shared" si="90"/>
        <v>0.29855072463768118</v>
      </c>
      <c r="R1944">
        <f>IF(AND(COUNTIF($A$2:$A$2027,A1944)&gt;1,COUNTIF($A$2:A1944,A1944)=1),1,0)</f>
        <v>0</v>
      </c>
      <c r="S1944" t="b">
        <f>IFERROR(VLOOKUP(D1944,Products!$A$2:$F$61,6,FALSE()),"")</f>
        <v>1</v>
      </c>
      <c r="T1944" t="str">
        <f>IF(COUNTIF(Customers!$A$2:$A$301,C1944)=0,"Missing","OK")</f>
        <v>OK</v>
      </c>
      <c r="U1944" t="str">
        <f t="shared" si="91"/>
        <v>Mumbai</v>
      </c>
      <c r="V1944">
        <f t="shared" si="92"/>
        <v>0</v>
      </c>
    </row>
    <row r="1945" spans="1:22" ht="15" customHeight="1" x14ac:dyDescent="0.35">
      <c r="A1945" s="3" t="s">
        <v>2383</v>
      </c>
      <c r="B1945" s="4">
        <v>45529</v>
      </c>
      <c r="C1945" s="3" t="s">
        <v>496</v>
      </c>
      <c r="D1945" s="3" t="s">
        <v>115</v>
      </c>
      <c r="E1945" s="3" t="s">
        <v>55</v>
      </c>
      <c r="F1945" s="5">
        <v>5</v>
      </c>
      <c r="G1945" s="5">
        <v>1650</v>
      </c>
      <c r="H1945" s="5">
        <v>29.4</v>
      </c>
      <c r="I1945" s="5">
        <v>5824.5</v>
      </c>
      <c r="J1945" s="3" t="s">
        <v>26</v>
      </c>
      <c r="K1945" s="3" t="s">
        <v>51</v>
      </c>
      <c r="L1945" t="str">
        <f>IFERROR(VLOOKUP(D1945,Products!$A$2:$F$61,3,FALSE()),"")</f>
        <v>Beauty</v>
      </c>
      <c r="M1945" t="str">
        <f>IFERROR(VLOOKUP(E1945,Sales_Reps!$A$2:$C$31,3,FALSE()),"")</f>
        <v>West</v>
      </c>
      <c r="N1945">
        <f>IFERROR(VLOOKUP(D1945,Products!$A$2:$F$61,4,FALSE()),"")</f>
        <v>1222</v>
      </c>
      <c r="O1945" t="str">
        <f>IFERROR(VLOOKUP(C1945,Customers!$A$2:$F$301,5,FALSE()),"")</f>
        <v>Retail</v>
      </c>
      <c r="P1945">
        <f>IFERROR(VLOOKUP(C1945,Customers!$A$2:$F$301,3,FALSE()),"")</f>
        <v>65</v>
      </c>
      <c r="Q1945">
        <f t="shared" si="90"/>
        <v>0.2593939393939394</v>
      </c>
      <c r="R1945">
        <f>IF(AND(COUNTIF($A$2:$A$2027,A1945)&gt;1,COUNTIF($A$2:A1945,A1945)=1),1,0)</f>
        <v>0</v>
      </c>
      <c r="S1945" t="b">
        <f>IFERROR(VLOOKUP(D1945,Products!$A$2:$F$61,6,FALSE()),"")</f>
        <v>1</v>
      </c>
      <c r="T1945" t="str">
        <f>IF(COUNTIF(Customers!$A$2:$A$301,C1945)=0,"Missing","OK")</f>
        <v>OK</v>
      </c>
      <c r="U1945" t="str">
        <f t="shared" si="91"/>
        <v>Mumbai</v>
      </c>
      <c r="V1945">
        <f t="shared" si="92"/>
        <v>0</v>
      </c>
    </row>
    <row r="1946" spans="1:22" ht="15" customHeight="1" x14ac:dyDescent="0.35">
      <c r="A1946" s="3" t="s">
        <v>2384</v>
      </c>
      <c r="B1946" s="4">
        <v>45639</v>
      </c>
      <c r="C1946" s="3" t="s">
        <v>720</v>
      </c>
      <c r="D1946" s="3" t="s">
        <v>24</v>
      </c>
      <c r="E1946" s="3" t="s">
        <v>143</v>
      </c>
      <c r="F1946" s="5">
        <v>2</v>
      </c>
      <c r="G1946" s="5">
        <v>3620</v>
      </c>
      <c r="H1946" s="5">
        <v>15.6</v>
      </c>
      <c r="I1946" s="5">
        <v>6110.56</v>
      </c>
      <c r="J1946" s="3" t="s">
        <v>26</v>
      </c>
      <c r="K1946" s="3" t="s">
        <v>38</v>
      </c>
      <c r="L1946" t="str">
        <f>IFERROR(VLOOKUP(D1946,Products!$A$2:$F$61,3,FALSE()),"")</f>
        <v>Apparel</v>
      </c>
      <c r="M1946" t="str">
        <f>IFERROR(VLOOKUP(E1946,Sales_Reps!$A$2:$C$31,3,FALSE()),"")</f>
        <v>South</v>
      </c>
      <c r="N1946">
        <f>IFERROR(VLOOKUP(D1946,Products!$A$2:$F$61,4,FALSE()),"")</f>
        <v>2509</v>
      </c>
      <c r="O1946" t="str">
        <f>IFERROR(VLOOKUP(C1946,Customers!$A$2:$F$301,5,FALSE()),"")</f>
        <v>SMB</v>
      </c>
      <c r="P1946">
        <f>IFERROR(VLOOKUP(C1946,Customers!$A$2:$F$301,3,FALSE()),"")</f>
        <v>29</v>
      </c>
      <c r="Q1946">
        <f t="shared" si="90"/>
        <v>0.3069060773480663</v>
      </c>
      <c r="R1946">
        <f>IF(AND(COUNTIF($A$2:$A$2027,A1946)&gt;1,COUNTIF($A$2:A1946,A1946)=1),1,0)</f>
        <v>0</v>
      </c>
      <c r="S1946" t="b">
        <f>IFERROR(VLOOKUP(D1946,Products!$A$2:$F$61,6,FALSE()),"")</f>
        <v>1</v>
      </c>
      <c r="T1946" t="str">
        <f>IF(COUNTIF(Customers!$A$2:$A$301,C1946)=0,"Missing","OK")</f>
        <v>OK</v>
      </c>
      <c r="U1946" t="str">
        <f t="shared" si="91"/>
        <v>Delhi</v>
      </c>
      <c r="V1946">
        <f t="shared" si="92"/>
        <v>0</v>
      </c>
    </row>
    <row r="1947" spans="1:22" ht="15" customHeight="1" x14ac:dyDescent="0.35">
      <c r="A1947" s="3" t="s">
        <v>2385</v>
      </c>
      <c r="B1947" s="4">
        <v>45592</v>
      </c>
      <c r="C1947" s="3" t="s">
        <v>35</v>
      </c>
      <c r="D1947" s="3" t="s">
        <v>221</v>
      </c>
      <c r="E1947" s="3" t="s">
        <v>264</v>
      </c>
      <c r="F1947" s="5">
        <v>3</v>
      </c>
      <c r="G1947" s="5">
        <v>300</v>
      </c>
      <c r="H1947" s="5">
        <v>24.8</v>
      </c>
      <c r="I1947" s="5">
        <v>676.8</v>
      </c>
      <c r="J1947" s="3" t="s">
        <v>26</v>
      </c>
      <c r="K1947" s="3" t="s">
        <v>38</v>
      </c>
      <c r="L1947" t="str">
        <f>IFERROR(VLOOKUP(D1947,Products!$A$2:$F$61,3,FALSE()),"")</f>
        <v>Electronics</v>
      </c>
      <c r="M1947" t="str">
        <f>IFERROR(VLOOKUP(E1947,Sales_Reps!$A$2:$C$31,3,FALSE()),"")</f>
        <v>South</v>
      </c>
      <c r="N1947">
        <f>IFERROR(VLOOKUP(D1947,Products!$A$2:$F$61,4,FALSE()),"")</f>
        <v>128</v>
      </c>
      <c r="O1947" t="str">
        <f>IFERROR(VLOOKUP(C1947,Customers!$A$2:$F$301,5,FALSE()),"")</f>
        <v>Retail</v>
      </c>
      <c r="P1947">
        <f>IFERROR(VLOOKUP(C1947,Customers!$A$2:$F$301,3,FALSE()),"")</f>
        <v>52</v>
      </c>
      <c r="Q1947">
        <f t="shared" si="90"/>
        <v>0.57333333333333336</v>
      </c>
      <c r="R1947">
        <f>IF(AND(COUNTIF($A$2:$A$2027,A1947)&gt;1,COUNTIF($A$2:A1947,A1947)=1),1,0)</f>
        <v>0</v>
      </c>
      <c r="S1947" t="b">
        <f>IFERROR(VLOOKUP(D1947,Products!$A$2:$F$61,6,FALSE()),"")</f>
        <v>1</v>
      </c>
      <c r="T1947" t="str">
        <f>IF(COUNTIF(Customers!$A$2:$A$301,C1947)=0,"Missing","OK")</f>
        <v>OK</v>
      </c>
      <c r="U1947" t="str">
        <f t="shared" si="91"/>
        <v>Delhi</v>
      </c>
      <c r="V1947">
        <f t="shared" si="92"/>
        <v>0</v>
      </c>
    </row>
    <row r="1948" spans="1:22" ht="15" customHeight="1" x14ac:dyDescent="0.35">
      <c r="A1948" s="3" t="s">
        <v>2386</v>
      </c>
      <c r="B1948" s="4">
        <v>45338</v>
      </c>
      <c r="C1948" s="3" t="s">
        <v>211</v>
      </c>
      <c r="D1948" s="3" t="s">
        <v>198</v>
      </c>
      <c r="E1948" s="3" t="s">
        <v>154</v>
      </c>
      <c r="F1948" s="5">
        <v>3</v>
      </c>
      <c r="G1948" s="5">
        <v>1540</v>
      </c>
      <c r="H1948" s="5">
        <v>29.5</v>
      </c>
      <c r="I1948" s="5">
        <v>3257.1</v>
      </c>
      <c r="J1948" s="3" t="s">
        <v>26</v>
      </c>
      <c r="K1948" s="3" t="s">
        <v>33</v>
      </c>
      <c r="L1948" t="str">
        <f>IFERROR(VLOOKUP(D1948,Products!$A$2:$F$61,3,FALSE()),"")</f>
        <v>Beauty</v>
      </c>
      <c r="M1948" t="str">
        <f>IFERROR(VLOOKUP(E1948,Sales_Reps!$A$2:$C$31,3,FALSE()),"")</f>
        <v>North</v>
      </c>
      <c r="N1948">
        <f>IFERROR(VLOOKUP(D1948,Products!$A$2:$F$61,4,FALSE()),"")</f>
        <v>647</v>
      </c>
      <c r="O1948" t="str">
        <f>IFERROR(VLOOKUP(C1948,Customers!$A$2:$F$301,5,FALSE()),"")</f>
        <v>SMB</v>
      </c>
      <c r="P1948">
        <f>IFERROR(VLOOKUP(C1948,Customers!$A$2:$F$301,3,FALSE()),"")</f>
        <v>55</v>
      </c>
      <c r="Q1948">
        <f t="shared" si="90"/>
        <v>0.57987012987012987</v>
      </c>
      <c r="R1948">
        <f>IF(AND(COUNTIF($A$2:$A$2027,A1948)&gt;1,COUNTIF($A$2:A1948,A1948)=1),1,0)</f>
        <v>0</v>
      </c>
      <c r="S1948" t="b">
        <f>IFERROR(VLOOKUP(D1948,Products!$A$2:$F$61,6,FALSE()),"")</f>
        <v>0</v>
      </c>
      <c r="T1948" t="str">
        <f>IF(COUNTIF(Customers!$A$2:$A$301,C1948)=0,"Missing","OK")</f>
        <v>OK</v>
      </c>
      <c r="U1948" t="str">
        <f t="shared" si="91"/>
        <v>Chennai</v>
      </c>
      <c r="V1948">
        <f t="shared" si="92"/>
        <v>0</v>
      </c>
    </row>
    <row r="1949" spans="1:22" ht="15" customHeight="1" x14ac:dyDescent="0.35">
      <c r="A1949" s="3" t="s">
        <v>2387</v>
      </c>
      <c r="B1949" s="4">
        <v>45551</v>
      </c>
      <c r="C1949" s="3" t="s">
        <v>718</v>
      </c>
      <c r="D1949" s="3" t="s">
        <v>70</v>
      </c>
      <c r="E1949" s="3" t="s">
        <v>60</v>
      </c>
      <c r="F1949" s="5">
        <v>10</v>
      </c>
      <c r="G1949" s="5">
        <v>2270</v>
      </c>
      <c r="H1949" s="5">
        <v>5.5</v>
      </c>
      <c r="I1949" s="5">
        <v>21451.5</v>
      </c>
      <c r="J1949" s="3" t="s">
        <v>79</v>
      </c>
      <c r="K1949" s="3" t="s">
        <v>56</v>
      </c>
      <c r="L1949" t="str">
        <f>IFERROR(VLOOKUP(D1949,Products!$A$2:$F$61,3,FALSE()),"")</f>
        <v>Grocery</v>
      </c>
      <c r="M1949" t="str">
        <f>IFERROR(VLOOKUP(E1949,Sales_Reps!$A$2:$C$31,3,FALSE()),"")</f>
        <v>East</v>
      </c>
      <c r="N1949">
        <f>IFERROR(VLOOKUP(D1949,Products!$A$2:$F$61,4,FALSE()),"")</f>
        <v>1203</v>
      </c>
      <c r="O1949" t="str">
        <f>IFERROR(VLOOKUP(C1949,Customers!$A$2:$F$301,5,FALSE()),"")</f>
        <v>Retail</v>
      </c>
      <c r="P1949">
        <f>IFERROR(VLOOKUP(C1949,Customers!$A$2:$F$301,3,FALSE()),"")</f>
        <v>27</v>
      </c>
      <c r="Q1949">
        <f t="shared" si="90"/>
        <v>0.47004405286343615</v>
      </c>
      <c r="R1949">
        <f>IF(AND(COUNTIF($A$2:$A$2027,A1949)&gt;1,COUNTIF($A$2:A1949,A1949)=1),1,0)</f>
        <v>0</v>
      </c>
      <c r="S1949" t="b">
        <f>IFERROR(VLOOKUP(D1949,Products!$A$2:$F$61,6,FALSE()),"")</f>
        <v>1</v>
      </c>
      <c r="T1949" t="str">
        <f>IF(COUNTIF(Customers!$A$2:$A$301,C1949)=0,"Missing","OK")</f>
        <v>OK</v>
      </c>
      <c r="U1949" t="str">
        <f t="shared" si="91"/>
        <v>Bengaluru</v>
      </c>
      <c r="V1949">
        <f t="shared" si="92"/>
        <v>21451.5</v>
      </c>
    </row>
    <row r="1950" spans="1:22" ht="15" customHeight="1" x14ac:dyDescent="0.35">
      <c r="A1950" s="3" t="s">
        <v>2388</v>
      </c>
      <c r="B1950" s="4">
        <v>45350</v>
      </c>
      <c r="C1950" s="3" t="s">
        <v>795</v>
      </c>
      <c r="D1950" s="3" t="s">
        <v>74</v>
      </c>
      <c r="E1950" s="3" t="s">
        <v>46</v>
      </c>
      <c r="F1950" s="5">
        <v>3</v>
      </c>
      <c r="G1950" s="5">
        <v>2640</v>
      </c>
      <c r="H1950" s="5">
        <v>28.2</v>
      </c>
      <c r="I1950" s="5">
        <v>5686.56</v>
      </c>
      <c r="J1950" s="3" t="s">
        <v>83</v>
      </c>
      <c r="K1950" s="3" t="s">
        <v>27</v>
      </c>
      <c r="L1950" t="str">
        <f>IFERROR(VLOOKUP(D1950,Products!$A$2:$F$61,3,FALSE()),"")</f>
        <v>Electronics</v>
      </c>
      <c r="M1950" t="str">
        <f>IFERROR(VLOOKUP(E1950,Sales_Reps!$A$2:$C$31,3,FALSE()),"")</f>
        <v>North</v>
      </c>
      <c r="N1950">
        <f>IFERROR(VLOOKUP(D1950,Products!$A$2:$F$61,4,FALSE()),"")</f>
        <v>1149</v>
      </c>
      <c r="O1950" t="str">
        <f>IFERROR(VLOOKUP(C1950,Customers!$A$2:$F$301,5,FALSE()),"")</f>
        <v>SMB</v>
      </c>
      <c r="P1950">
        <f>IFERROR(VLOOKUP(C1950,Customers!$A$2:$F$301,3,FALSE()),"")</f>
        <v>59</v>
      </c>
      <c r="Q1950">
        <f t="shared" si="90"/>
        <v>0.56477272727272732</v>
      </c>
      <c r="R1950">
        <f>IF(AND(COUNTIF($A$2:$A$2027,A1950)&gt;1,COUNTIF($A$2:A1950,A1950)=1),1,0)</f>
        <v>0</v>
      </c>
      <c r="S1950" t="b">
        <f>IFERROR(VLOOKUP(D1950,Products!$A$2:$F$61,6,FALSE()),"")</f>
        <v>1</v>
      </c>
      <c r="T1950" t="str">
        <f>IF(COUNTIF(Customers!$A$2:$A$301,C1950)=0,"Missing","OK")</f>
        <v>OK</v>
      </c>
      <c r="U1950" t="str">
        <f t="shared" si="91"/>
        <v>Pune</v>
      </c>
      <c r="V1950">
        <f t="shared" si="92"/>
        <v>0</v>
      </c>
    </row>
    <row r="1951" spans="1:22" ht="15" customHeight="1" x14ac:dyDescent="0.35">
      <c r="A1951" s="3" t="s">
        <v>2389</v>
      </c>
      <c r="B1951" s="4">
        <v>45507</v>
      </c>
      <c r="C1951" s="3" t="s">
        <v>1189</v>
      </c>
      <c r="D1951" s="3" t="s">
        <v>74</v>
      </c>
      <c r="E1951" s="3" t="s">
        <v>127</v>
      </c>
      <c r="F1951" s="5">
        <v>10</v>
      </c>
      <c r="G1951" s="5">
        <v>2640</v>
      </c>
      <c r="H1951" s="5">
        <v>25.9</v>
      </c>
      <c r="I1951" s="5">
        <v>19562.400000000001</v>
      </c>
      <c r="J1951" s="3" t="s">
        <v>26</v>
      </c>
      <c r="K1951" s="3" t="s">
        <v>27</v>
      </c>
      <c r="L1951" t="str">
        <f>IFERROR(VLOOKUP(D1951,Products!$A$2:$F$61,3,FALSE()),"")</f>
        <v>Electronics</v>
      </c>
      <c r="M1951" t="str">
        <f>IFERROR(VLOOKUP(E1951,Sales_Reps!$A$2:$C$31,3,FALSE()),"")</f>
        <v>South</v>
      </c>
      <c r="N1951">
        <f>IFERROR(VLOOKUP(D1951,Products!$A$2:$F$61,4,FALSE()),"")</f>
        <v>1149</v>
      </c>
      <c r="O1951" t="str">
        <f>IFERROR(VLOOKUP(C1951,Customers!$A$2:$F$301,5,FALSE()),"")</f>
        <v>Retail</v>
      </c>
      <c r="P1951">
        <f>IFERROR(VLOOKUP(C1951,Customers!$A$2:$F$301,3,FALSE()),"")</f>
        <v>44</v>
      </c>
      <c r="Q1951">
        <f t="shared" si="90"/>
        <v>0.56477272727272732</v>
      </c>
      <c r="R1951">
        <f>IF(AND(COUNTIF($A$2:$A$2027,A1951)&gt;1,COUNTIF($A$2:A1951,A1951)=1),1,0)</f>
        <v>0</v>
      </c>
      <c r="S1951" t="b">
        <f>IFERROR(VLOOKUP(D1951,Products!$A$2:$F$61,6,FALSE()),"")</f>
        <v>1</v>
      </c>
      <c r="T1951" t="str">
        <f>IF(COUNTIF(Customers!$A$2:$A$301,C1951)=0,"Missing","OK")</f>
        <v>OK</v>
      </c>
      <c r="U1951" t="str">
        <f t="shared" si="91"/>
        <v>Pune</v>
      </c>
      <c r="V1951">
        <f t="shared" si="92"/>
        <v>0</v>
      </c>
    </row>
    <row r="1952" spans="1:22" ht="15" customHeight="1" x14ac:dyDescent="0.35">
      <c r="A1952" s="3" t="s">
        <v>2390</v>
      </c>
      <c r="B1952" s="4">
        <v>45538</v>
      </c>
      <c r="C1952" s="3" t="s">
        <v>644</v>
      </c>
      <c r="D1952" s="3" t="s">
        <v>59</v>
      </c>
      <c r="E1952" s="3" t="s">
        <v>109</v>
      </c>
      <c r="F1952" s="5">
        <v>2</v>
      </c>
      <c r="G1952" s="5">
        <v>1430</v>
      </c>
      <c r="H1952" s="5">
        <v>5</v>
      </c>
      <c r="I1952" s="5">
        <v>2717</v>
      </c>
      <c r="J1952" s="3" t="s">
        <v>79</v>
      </c>
      <c r="K1952" s="3" t="s">
        <v>38</v>
      </c>
      <c r="L1952" t="str">
        <f>IFERROR(VLOOKUP(D1952,Products!$A$2:$F$61,3,FALSE()),"")</f>
        <v>Electronics</v>
      </c>
      <c r="M1952" t="str">
        <f>IFERROR(VLOOKUP(E1952,Sales_Reps!$A$2:$C$31,3,FALSE()),"")</f>
        <v>West</v>
      </c>
      <c r="N1952">
        <f>IFERROR(VLOOKUP(D1952,Products!$A$2:$F$61,4,FALSE()),"")</f>
        <v>861</v>
      </c>
      <c r="O1952" t="str">
        <f>IFERROR(VLOOKUP(C1952,Customers!$A$2:$F$301,5,FALSE()),"")</f>
        <v>Retail</v>
      </c>
      <c r="P1952">
        <f>IFERROR(VLOOKUP(C1952,Customers!$A$2:$F$301,3,FALSE()),"")</f>
        <v>53</v>
      </c>
      <c r="Q1952">
        <f t="shared" si="90"/>
        <v>0.39790209790209791</v>
      </c>
      <c r="R1952">
        <f>IF(AND(COUNTIF($A$2:$A$2027,A1952)&gt;1,COUNTIF($A$2:A1952,A1952)=1),1,0)</f>
        <v>0</v>
      </c>
      <c r="S1952" t="b">
        <f>IFERROR(VLOOKUP(D1952,Products!$A$2:$F$61,6,FALSE()),"")</f>
        <v>1</v>
      </c>
      <c r="T1952" t="str">
        <f>IF(COUNTIF(Customers!$A$2:$A$301,C1952)=0,"Missing","OK")</f>
        <v>OK</v>
      </c>
      <c r="U1952" t="str">
        <f t="shared" si="91"/>
        <v>Delhi</v>
      </c>
      <c r="V1952">
        <f t="shared" si="92"/>
        <v>0</v>
      </c>
    </row>
    <row r="1953" spans="1:22" ht="15" customHeight="1" x14ac:dyDescent="0.35">
      <c r="A1953" s="3" t="s">
        <v>2391</v>
      </c>
      <c r="B1953" s="4">
        <v>45618</v>
      </c>
      <c r="C1953" s="3" t="s">
        <v>379</v>
      </c>
      <c r="D1953" s="3" t="s">
        <v>126</v>
      </c>
      <c r="E1953" s="3" t="s">
        <v>131</v>
      </c>
      <c r="F1953" s="5">
        <v>6</v>
      </c>
      <c r="G1953" s="5">
        <v>3570</v>
      </c>
      <c r="H1953" s="5">
        <v>28.5</v>
      </c>
      <c r="I1953" s="5">
        <v>15315.3</v>
      </c>
      <c r="J1953" s="3" t="s">
        <v>79</v>
      </c>
      <c r="K1953" s="3" t="s">
        <v>27</v>
      </c>
      <c r="L1953" t="str">
        <f>IFERROR(VLOOKUP(D1953,Products!$A$2:$F$61,3,FALSE()),"")</f>
        <v>Electronics</v>
      </c>
      <c r="M1953" t="str">
        <f>IFERROR(VLOOKUP(E1953,Sales_Reps!$A$2:$C$31,3,FALSE()),"")</f>
        <v>East</v>
      </c>
      <c r="N1953">
        <f>IFERROR(VLOOKUP(D1953,Products!$A$2:$F$61,4,FALSE()),"")</f>
        <v>1665</v>
      </c>
      <c r="O1953" t="str">
        <f>IFERROR(VLOOKUP(C1953,Customers!$A$2:$F$301,5,FALSE()),"")</f>
        <v>SMB</v>
      </c>
      <c r="P1953">
        <f>IFERROR(VLOOKUP(C1953,Customers!$A$2:$F$301,3,FALSE()),"")</f>
        <v>30</v>
      </c>
      <c r="Q1953">
        <f t="shared" si="90"/>
        <v>0.53361344537815125</v>
      </c>
      <c r="R1953">
        <f>IF(AND(COUNTIF($A$2:$A$2027,A1953)&gt;1,COUNTIF($A$2:A1953,A1953)=1),1,0)</f>
        <v>0</v>
      </c>
      <c r="S1953" t="b">
        <f>IFERROR(VLOOKUP(D1953,Products!$A$2:$F$61,6,FALSE()),"")</f>
        <v>1</v>
      </c>
      <c r="T1953" t="str">
        <f>IF(COUNTIF(Customers!$A$2:$A$301,C1953)=0,"Missing","OK")</f>
        <v>OK</v>
      </c>
      <c r="U1953" t="str">
        <f t="shared" si="91"/>
        <v>Pune</v>
      </c>
      <c r="V1953">
        <f t="shared" si="92"/>
        <v>0</v>
      </c>
    </row>
    <row r="1954" spans="1:22" ht="15" customHeight="1" x14ac:dyDescent="0.35">
      <c r="A1954" s="3" t="s">
        <v>2392</v>
      </c>
      <c r="B1954" s="4">
        <v>45444</v>
      </c>
      <c r="C1954" s="3" t="s">
        <v>336</v>
      </c>
      <c r="D1954" s="3" t="s">
        <v>126</v>
      </c>
      <c r="E1954" s="3" t="s">
        <v>55</v>
      </c>
      <c r="F1954" s="5">
        <v>1</v>
      </c>
      <c r="G1954" s="5">
        <v>3570</v>
      </c>
      <c r="H1954" s="5">
        <v>7.7</v>
      </c>
      <c r="I1954" s="5">
        <v>3295.11</v>
      </c>
      <c r="J1954" s="3" t="s">
        <v>26</v>
      </c>
      <c r="K1954" s="3" t="s">
        <v>38</v>
      </c>
      <c r="L1954" t="str">
        <f>IFERROR(VLOOKUP(D1954,Products!$A$2:$F$61,3,FALSE()),"")</f>
        <v>Electronics</v>
      </c>
      <c r="M1954" t="str">
        <f>IFERROR(VLOOKUP(E1954,Sales_Reps!$A$2:$C$31,3,FALSE()),"")</f>
        <v>West</v>
      </c>
      <c r="N1954">
        <f>IFERROR(VLOOKUP(D1954,Products!$A$2:$F$61,4,FALSE()),"")</f>
        <v>1665</v>
      </c>
      <c r="O1954" t="str">
        <f>IFERROR(VLOOKUP(C1954,Customers!$A$2:$F$301,5,FALSE()),"")</f>
        <v>Retail</v>
      </c>
      <c r="P1954">
        <f>IFERROR(VLOOKUP(C1954,Customers!$A$2:$F$301,3,FALSE()),"")</f>
        <v>30</v>
      </c>
      <c r="Q1954">
        <f t="shared" si="90"/>
        <v>0.53361344537815125</v>
      </c>
      <c r="R1954">
        <f>IF(AND(COUNTIF($A$2:$A$2027,A1954)&gt;1,COUNTIF($A$2:A1954,A1954)=1),1,0)</f>
        <v>0</v>
      </c>
      <c r="S1954" t="b">
        <f>IFERROR(VLOOKUP(D1954,Products!$A$2:$F$61,6,FALSE()),"")</f>
        <v>1</v>
      </c>
      <c r="T1954" t="str">
        <f>IF(COUNTIF(Customers!$A$2:$A$301,C1954)=0,"Missing","OK")</f>
        <v>OK</v>
      </c>
      <c r="U1954" t="str">
        <f t="shared" si="91"/>
        <v>Delhi</v>
      </c>
      <c r="V1954">
        <f t="shared" si="92"/>
        <v>0</v>
      </c>
    </row>
    <row r="1955" spans="1:22" ht="15" customHeight="1" x14ac:dyDescent="0.35">
      <c r="A1955" s="3" t="s">
        <v>2393</v>
      </c>
      <c r="B1955" s="4">
        <v>45377</v>
      </c>
      <c r="C1955" s="3" t="s">
        <v>1233</v>
      </c>
      <c r="D1955" s="3" t="s">
        <v>187</v>
      </c>
      <c r="E1955" s="3" t="s">
        <v>109</v>
      </c>
      <c r="F1955" s="5">
        <v>9</v>
      </c>
      <c r="G1955" s="5">
        <v>3870</v>
      </c>
      <c r="H1955" s="5">
        <v>11.9</v>
      </c>
      <c r="I1955" s="5">
        <v>30685.23</v>
      </c>
      <c r="J1955" s="3" t="s">
        <v>79</v>
      </c>
      <c r="K1955" s="3" t="s">
        <v>33</v>
      </c>
      <c r="L1955" t="str">
        <f>IFERROR(VLOOKUP(D1955,Products!$A$2:$F$61,3,FALSE()),"")</f>
        <v>Electronics</v>
      </c>
      <c r="M1955" t="str">
        <f>IFERROR(VLOOKUP(E1955,Sales_Reps!$A$2:$C$31,3,FALSE()),"")</f>
        <v>West</v>
      </c>
      <c r="N1955">
        <f>IFERROR(VLOOKUP(D1955,Products!$A$2:$F$61,4,FALSE()),"")</f>
        <v>1559</v>
      </c>
      <c r="O1955" t="str">
        <f>IFERROR(VLOOKUP(C1955,Customers!$A$2:$F$301,5,FALSE()),"")</f>
        <v>SMB</v>
      </c>
      <c r="P1955">
        <f>IFERROR(VLOOKUP(C1955,Customers!$A$2:$F$301,3,FALSE()),"")</f>
        <v>43</v>
      </c>
      <c r="Q1955">
        <f t="shared" si="90"/>
        <v>0.59715762273901807</v>
      </c>
      <c r="R1955">
        <f>IF(AND(COUNTIF($A$2:$A$2027,A1955)&gt;1,COUNTIF($A$2:A1955,A1955)=1),1,0)</f>
        <v>0</v>
      </c>
      <c r="S1955" t="b">
        <f>IFERROR(VLOOKUP(D1955,Products!$A$2:$F$61,6,FALSE()),"")</f>
        <v>1</v>
      </c>
      <c r="T1955" t="str">
        <f>IF(COUNTIF(Customers!$A$2:$A$301,C1955)=0,"Missing","OK")</f>
        <v>OK</v>
      </c>
      <c r="U1955" t="str">
        <f t="shared" si="91"/>
        <v>Chennai</v>
      </c>
      <c r="V1955">
        <f t="shared" si="92"/>
        <v>0</v>
      </c>
    </row>
    <row r="1956" spans="1:22" ht="15" customHeight="1" x14ac:dyDescent="0.35">
      <c r="A1956" s="3" t="s">
        <v>2394</v>
      </c>
      <c r="B1956" s="4">
        <v>45515</v>
      </c>
      <c r="C1956" s="3" t="s">
        <v>789</v>
      </c>
      <c r="D1956" s="3" t="s">
        <v>454</v>
      </c>
      <c r="E1956" s="3" t="s">
        <v>37</v>
      </c>
      <c r="F1956" s="5">
        <v>5</v>
      </c>
      <c r="G1956" s="5">
        <v>6940</v>
      </c>
      <c r="H1956" s="5">
        <v>17.399999999999999</v>
      </c>
      <c r="I1956" s="5">
        <v>28662.2</v>
      </c>
      <c r="J1956" s="3" t="s">
        <v>26</v>
      </c>
      <c r="K1956" s="3" t="s">
        <v>33</v>
      </c>
      <c r="L1956" t="str">
        <f>IFERROR(VLOOKUP(D1956,Products!$A$2:$F$61,3,FALSE()),"")</f>
        <v>Sports</v>
      </c>
      <c r="M1956" t="str">
        <f>IFERROR(VLOOKUP(E1956,Sales_Reps!$A$2:$C$31,3,FALSE()),"")</f>
        <v>South</v>
      </c>
      <c r="N1956">
        <f>IFERROR(VLOOKUP(D1956,Products!$A$2:$F$61,4,FALSE()),"")</f>
        <v>2827</v>
      </c>
      <c r="O1956" t="str">
        <f>IFERROR(VLOOKUP(C1956,Customers!$A$2:$F$301,5,FALSE()),"")</f>
        <v>SMB</v>
      </c>
      <c r="P1956">
        <f>IFERROR(VLOOKUP(C1956,Customers!$A$2:$F$301,3,FALSE()),"")</f>
        <v>26</v>
      </c>
      <c r="Q1956">
        <f t="shared" si="90"/>
        <v>0.5926512968299712</v>
      </c>
      <c r="R1956">
        <f>IF(AND(COUNTIF($A$2:$A$2027,A1956)&gt;1,COUNTIF($A$2:A1956,A1956)=1),1,0)</f>
        <v>0</v>
      </c>
      <c r="S1956" t="b">
        <f>IFERROR(VLOOKUP(D1956,Products!$A$2:$F$61,6,FALSE()),"")</f>
        <v>1</v>
      </c>
      <c r="T1956" t="str">
        <f>IF(COUNTIF(Customers!$A$2:$A$301,C1956)=0,"Missing","OK")</f>
        <v>OK</v>
      </c>
      <c r="U1956" t="str">
        <f t="shared" si="91"/>
        <v>Chennai</v>
      </c>
      <c r="V1956">
        <f t="shared" si="92"/>
        <v>0</v>
      </c>
    </row>
    <row r="1957" spans="1:22" ht="15" customHeight="1" x14ac:dyDescent="0.35">
      <c r="A1957" s="3" t="s">
        <v>2395</v>
      </c>
      <c r="B1957" s="4">
        <v>45312</v>
      </c>
      <c r="C1957" s="3" t="s">
        <v>202</v>
      </c>
      <c r="D1957" s="3" t="s">
        <v>49</v>
      </c>
      <c r="E1957" s="3" t="s">
        <v>140</v>
      </c>
      <c r="F1957" s="5">
        <v>6</v>
      </c>
      <c r="G1957" s="5">
        <v>370</v>
      </c>
      <c r="H1957" s="5">
        <v>8.1</v>
      </c>
      <c r="I1957" s="5">
        <v>2040.18</v>
      </c>
      <c r="J1957" s="3" t="s">
        <v>79</v>
      </c>
      <c r="K1957" s="3" t="s">
        <v>72</v>
      </c>
      <c r="L1957" t="str">
        <f>IFERROR(VLOOKUP(D1957,Products!$A$2:$F$61,3,FALSE()),"")</f>
        <v>Home</v>
      </c>
      <c r="M1957" t="str">
        <f>IFERROR(VLOOKUP(E1957,Sales_Reps!$A$2:$C$31,3,FALSE()),"")</f>
        <v>West</v>
      </c>
      <c r="N1957">
        <f>IFERROR(VLOOKUP(D1957,Products!$A$2:$F$61,4,FALSE()),"")</f>
        <v>288</v>
      </c>
      <c r="O1957" t="str">
        <f>IFERROR(VLOOKUP(C1957,Customers!$A$2:$F$301,5,FALSE()),"")</f>
        <v>Retail</v>
      </c>
      <c r="P1957">
        <f>IFERROR(VLOOKUP(C1957,Customers!$A$2:$F$301,3,FALSE()),"")</f>
        <v>53</v>
      </c>
      <c r="Q1957">
        <f t="shared" si="90"/>
        <v>0.22162162162162163</v>
      </c>
      <c r="R1957">
        <f>IF(AND(COUNTIF($A$2:$A$2027,A1957)&gt;1,COUNTIF($A$2:A1957,A1957)=1),1,0)</f>
        <v>0</v>
      </c>
      <c r="S1957" t="b">
        <f>IFERROR(VLOOKUP(D1957,Products!$A$2:$F$61,6,FALSE()),"")</f>
        <v>1</v>
      </c>
      <c r="T1957" t="str">
        <f>IF(COUNTIF(Customers!$A$2:$A$301,C1957)=0,"Missing","OK")</f>
        <v>OK</v>
      </c>
      <c r="U1957" t="str">
        <f t="shared" si="91"/>
        <v>Hyderabad</v>
      </c>
      <c r="V1957">
        <f t="shared" si="92"/>
        <v>0</v>
      </c>
    </row>
    <row r="1958" spans="1:22" ht="15" customHeight="1" x14ac:dyDescent="0.35">
      <c r="A1958" s="3" t="s">
        <v>2396</v>
      </c>
      <c r="B1958" s="4">
        <v>45549</v>
      </c>
      <c r="C1958" s="3" t="s">
        <v>205</v>
      </c>
      <c r="D1958" s="3" t="s">
        <v>598</v>
      </c>
      <c r="E1958" s="3" t="s">
        <v>282</v>
      </c>
      <c r="F1958" s="5">
        <v>8</v>
      </c>
      <c r="G1958" s="5">
        <v>3560</v>
      </c>
      <c r="H1958" s="5">
        <v>23.3</v>
      </c>
      <c r="I1958" s="5">
        <v>21844.16</v>
      </c>
      <c r="J1958" s="3" t="s">
        <v>26</v>
      </c>
      <c r="K1958" s="3" t="s">
        <v>38</v>
      </c>
      <c r="L1958" t="str">
        <f>IFERROR(VLOOKUP(D1958,Products!$A$2:$F$61,3,FALSE()),"")</f>
        <v>Apparel</v>
      </c>
      <c r="M1958" t="str">
        <f>IFERROR(VLOOKUP(E1958,Sales_Reps!$A$2:$C$31,3,FALSE()),"")</f>
        <v>West</v>
      </c>
      <c r="N1958">
        <f>IFERROR(VLOOKUP(D1958,Products!$A$2:$F$61,4,FALSE()),"")</f>
        <v>2629</v>
      </c>
      <c r="O1958" t="str">
        <f>IFERROR(VLOOKUP(C1958,Customers!$A$2:$F$301,5,FALSE()),"")</f>
        <v>Corporate</v>
      </c>
      <c r="P1958">
        <f>IFERROR(VLOOKUP(C1958,Customers!$A$2:$F$301,3,FALSE()),"")</f>
        <v>55</v>
      </c>
      <c r="Q1958">
        <f t="shared" si="90"/>
        <v>0.26151685393258428</v>
      </c>
      <c r="R1958">
        <f>IF(AND(COUNTIF($A$2:$A$2027,A1958)&gt;1,COUNTIF($A$2:A1958,A1958)=1),1,0)</f>
        <v>0</v>
      </c>
      <c r="S1958" t="b">
        <f>IFERROR(VLOOKUP(D1958,Products!$A$2:$F$61,6,FALSE()),"")</f>
        <v>1</v>
      </c>
      <c r="T1958" t="str">
        <f>IF(COUNTIF(Customers!$A$2:$A$301,C1958)=0,"Missing","OK")</f>
        <v>OK</v>
      </c>
      <c r="U1958" t="str">
        <f t="shared" si="91"/>
        <v>Delhi</v>
      </c>
      <c r="V1958">
        <f t="shared" si="92"/>
        <v>0</v>
      </c>
    </row>
    <row r="1959" spans="1:22" ht="15" customHeight="1" x14ac:dyDescent="0.35">
      <c r="A1959" s="3" t="s">
        <v>2397</v>
      </c>
      <c r="B1959" s="4">
        <v>45633</v>
      </c>
      <c r="C1959" s="3" t="s">
        <v>552</v>
      </c>
      <c r="D1959" s="3" t="s">
        <v>206</v>
      </c>
      <c r="E1959" s="3" t="s">
        <v>67</v>
      </c>
      <c r="F1959" s="5">
        <v>4</v>
      </c>
      <c r="G1959" s="5">
        <v>1220</v>
      </c>
      <c r="H1959" s="5">
        <v>2.7</v>
      </c>
      <c r="I1959" s="5">
        <v>4748.24</v>
      </c>
      <c r="J1959" s="3" t="s">
        <v>26</v>
      </c>
      <c r="K1959" s="3" t="s">
        <v>51</v>
      </c>
      <c r="L1959" t="str">
        <f>IFERROR(VLOOKUP(D1959,Products!$A$2:$F$61,3,FALSE()),"")</f>
        <v>Electronics</v>
      </c>
      <c r="M1959" t="str">
        <f>IFERROR(VLOOKUP(E1959,Sales_Reps!$A$2:$C$31,3,FALSE()),"")</f>
        <v>West</v>
      </c>
      <c r="N1959">
        <f>IFERROR(VLOOKUP(D1959,Products!$A$2:$F$61,4,FALSE()),"")</f>
        <v>517</v>
      </c>
      <c r="O1959" t="str">
        <f>IFERROR(VLOOKUP(C1959,Customers!$A$2:$F$301,5,FALSE()),"")</f>
        <v>Retail</v>
      </c>
      <c r="P1959">
        <f>IFERROR(VLOOKUP(C1959,Customers!$A$2:$F$301,3,FALSE()),"")</f>
        <v>44</v>
      </c>
      <c r="Q1959">
        <f t="shared" si="90"/>
        <v>0.57622950819672136</v>
      </c>
      <c r="R1959">
        <f>IF(AND(COUNTIF($A$2:$A$2027,A1959)&gt;1,COUNTIF($A$2:A1959,A1959)=1),1,0)</f>
        <v>0</v>
      </c>
      <c r="S1959" t="b">
        <f>IFERROR(VLOOKUP(D1959,Products!$A$2:$F$61,6,FALSE()),"")</f>
        <v>1</v>
      </c>
      <c r="T1959" t="str">
        <f>IF(COUNTIF(Customers!$A$2:$A$301,C1959)=0,"Missing","OK")</f>
        <v>OK</v>
      </c>
      <c r="U1959" t="str">
        <f t="shared" si="91"/>
        <v>Mumbai</v>
      </c>
      <c r="V1959">
        <f t="shared" si="92"/>
        <v>0</v>
      </c>
    </row>
    <row r="1960" spans="1:22" ht="15" customHeight="1" x14ac:dyDescent="0.35">
      <c r="A1960" s="3" t="s">
        <v>2398</v>
      </c>
      <c r="B1960" s="4">
        <v>45598</v>
      </c>
      <c r="C1960" s="3" t="s">
        <v>656</v>
      </c>
      <c r="D1960" s="3" t="s">
        <v>203</v>
      </c>
      <c r="E1960" s="3" t="s">
        <v>131</v>
      </c>
      <c r="F1960" s="5">
        <v>10</v>
      </c>
      <c r="G1960" s="5">
        <v>4070</v>
      </c>
      <c r="H1960" s="5">
        <v>11.6</v>
      </c>
      <c r="I1960" s="5">
        <v>35978.800000000003</v>
      </c>
      <c r="J1960" s="3" t="s">
        <v>26</v>
      </c>
      <c r="K1960" s="3" t="s">
        <v>33</v>
      </c>
      <c r="L1960" t="str">
        <f>IFERROR(VLOOKUP(D1960,Products!$A$2:$F$61,3,FALSE()),"")</f>
        <v>Grocery</v>
      </c>
      <c r="M1960" t="str">
        <f>IFERROR(VLOOKUP(E1960,Sales_Reps!$A$2:$C$31,3,FALSE()),"")</f>
        <v>East</v>
      </c>
      <c r="N1960">
        <f>IFERROR(VLOOKUP(D1960,Products!$A$2:$F$61,4,FALSE()),"")</f>
        <v>2027</v>
      </c>
      <c r="O1960" t="str">
        <f>IFERROR(VLOOKUP(C1960,Customers!$A$2:$F$301,5,FALSE()),"")</f>
        <v>Retail</v>
      </c>
      <c r="P1960">
        <f>IFERROR(VLOOKUP(C1960,Customers!$A$2:$F$301,3,FALSE()),"")</f>
        <v>24</v>
      </c>
      <c r="Q1960">
        <f t="shared" si="90"/>
        <v>0.50196560196560192</v>
      </c>
      <c r="R1960">
        <f>IF(AND(COUNTIF($A$2:$A$2027,A1960)&gt;1,COUNTIF($A$2:A1960,A1960)=1),1,0)</f>
        <v>0</v>
      </c>
      <c r="S1960" t="b">
        <f>IFERROR(VLOOKUP(D1960,Products!$A$2:$F$61,6,FALSE()),"")</f>
        <v>1</v>
      </c>
      <c r="T1960" t="str">
        <f>IF(COUNTIF(Customers!$A$2:$A$301,C1960)=0,"Missing","OK")</f>
        <v>OK</v>
      </c>
      <c r="U1960" t="str">
        <f t="shared" si="91"/>
        <v>Chennai</v>
      </c>
      <c r="V1960">
        <f t="shared" si="92"/>
        <v>0</v>
      </c>
    </row>
    <row r="1961" spans="1:22" ht="15" customHeight="1" x14ac:dyDescent="0.35">
      <c r="A1961" s="3" t="s">
        <v>2399</v>
      </c>
      <c r="B1961" s="4">
        <v>45336</v>
      </c>
      <c r="C1961" s="3" t="s">
        <v>736</v>
      </c>
      <c r="D1961" s="3" t="s">
        <v>41</v>
      </c>
      <c r="E1961" s="3" t="s">
        <v>60</v>
      </c>
      <c r="F1961" s="5">
        <v>10</v>
      </c>
      <c r="G1961" s="5">
        <v>3660</v>
      </c>
      <c r="H1961" s="5">
        <v>28.8</v>
      </c>
      <c r="I1961" s="5">
        <v>26059.200000000001</v>
      </c>
      <c r="J1961" s="3" t="s">
        <v>26</v>
      </c>
      <c r="K1961" s="3" t="s">
        <v>38</v>
      </c>
      <c r="L1961" t="str">
        <f>IFERROR(VLOOKUP(D1961,Products!$A$2:$F$61,3,FALSE()),"")</f>
        <v>Grocery</v>
      </c>
      <c r="M1961" t="str">
        <f>IFERROR(VLOOKUP(E1961,Sales_Reps!$A$2:$C$31,3,FALSE()),"")</f>
        <v>East</v>
      </c>
      <c r="N1961">
        <f>IFERROR(VLOOKUP(D1961,Products!$A$2:$F$61,4,FALSE()),"")</f>
        <v>2214</v>
      </c>
      <c r="O1961" t="str">
        <f>IFERROR(VLOOKUP(C1961,Customers!$A$2:$F$301,5,FALSE()),"")</f>
        <v>Retail</v>
      </c>
      <c r="P1961">
        <f>IFERROR(VLOOKUP(C1961,Customers!$A$2:$F$301,3,FALSE()),"")</f>
        <v>63</v>
      </c>
      <c r="Q1961">
        <f t="shared" si="90"/>
        <v>0.39508196721311473</v>
      </c>
      <c r="R1961">
        <f>IF(AND(COUNTIF($A$2:$A$2027,A1961)&gt;1,COUNTIF($A$2:A1961,A1961)=1),1,0)</f>
        <v>0</v>
      </c>
      <c r="S1961" t="b">
        <f>IFERROR(VLOOKUP(D1961,Products!$A$2:$F$61,6,FALSE()),"")</f>
        <v>0</v>
      </c>
      <c r="T1961" t="str">
        <f>IF(COUNTIF(Customers!$A$2:$A$301,C1961)=0,"Missing","OK")</f>
        <v>OK</v>
      </c>
      <c r="U1961" t="str">
        <f t="shared" si="91"/>
        <v>Delhi</v>
      </c>
      <c r="V1961">
        <f t="shared" si="92"/>
        <v>0</v>
      </c>
    </row>
    <row r="1962" spans="1:22" ht="15" customHeight="1" x14ac:dyDescent="0.35">
      <c r="A1962" s="3" t="s">
        <v>2400</v>
      </c>
      <c r="B1962" s="4">
        <v>45449</v>
      </c>
      <c r="C1962" s="3" t="s">
        <v>554</v>
      </c>
      <c r="D1962" s="3" t="s">
        <v>382</v>
      </c>
      <c r="E1962" s="3" t="s">
        <v>242</v>
      </c>
      <c r="F1962" s="5">
        <v>5</v>
      </c>
      <c r="G1962" s="5">
        <v>5080</v>
      </c>
      <c r="H1962" s="5">
        <v>12.1</v>
      </c>
      <c r="I1962" s="5">
        <v>22326.6</v>
      </c>
      <c r="J1962" s="3" t="s">
        <v>26</v>
      </c>
      <c r="K1962" s="3" t="s">
        <v>51</v>
      </c>
      <c r="L1962" t="str">
        <f>IFERROR(VLOOKUP(D1962,Products!$A$2:$F$61,3,FALSE()),"")</f>
        <v>Home</v>
      </c>
      <c r="M1962" t="str">
        <f>IFERROR(VLOOKUP(E1962,Sales_Reps!$A$2:$C$31,3,FALSE()),"")</f>
        <v>East</v>
      </c>
      <c r="N1962">
        <f>IFERROR(VLOOKUP(D1962,Products!$A$2:$F$61,4,FALSE()),"")</f>
        <v>2459</v>
      </c>
      <c r="O1962" t="str">
        <f>IFERROR(VLOOKUP(C1962,Customers!$A$2:$F$301,5,FALSE()),"")</f>
        <v>Retail</v>
      </c>
      <c r="P1962">
        <f>IFERROR(VLOOKUP(C1962,Customers!$A$2:$F$301,3,FALSE()),"")</f>
        <v>53</v>
      </c>
      <c r="Q1962">
        <f t="shared" si="90"/>
        <v>0.51594488188976373</v>
      </c>
      <c r="R1962">
        <f>IF(AND(COUNTIF($A$2:$A$2027,A1962)&gt;1,COUNTIF($A$2:A1962,A1962)=1),1,0)</f>
        <v>0</v>
      </c>
      <c r="S1962" t="b">
        <f>IFERROR(VLOOKUP(D1962,Products!$A$2:$F$61,6,FALSE()),"")</f>
        <v>1</v>
      </c>
      <c r="T1962" t="str">
        <f>IF(COUNTIF(Customers!$A$2:$A$301,C1962)=0,"Missing","OK")</f>
        <v>OK</v>
      </c>
      <c r="U1962" t="str">
        <f t="shared" si="91"/>
        <v>Mumbai</v>
      </c>
      <c r="V1962">
        <f t="shared" si="92"/>
        <v>0</v>
      </c>
    </row>
    <row r="1963" spans="1:22" ht="15" customHeight="1" x14ac:dyDescent="0.35">
      <c r="A1963" s="3" t="s">
        <v>2401</v>
      </c>
      <c r="B1963" s="4">
        <v>45338</v>
      </c>
      <c r="C1963" s="3" t="s">
        <v>736</v>
      </c>
      <c r="D1963" s="3" t="s">
        <v>209</v>
      </c>
      <c r="E1963" s="3" t="s">
        <v>191</v>
      </c>
      <c r="F1963" s="5">
        <v>10</v>
      </c>
      <c r="G1963" s="5">
        <v>4610</v>
      </c>
      <c r="H1963" s="5">
        <v>22.5</v>
      </c>
      <c r="I1963" s="5">
        <v>35727.5</v>
      </c>
      <c r="J1963" s="3" t="s">
        <v>26</v>
      </c>
      <c r="K1963" s="3" t="s">
        <v>38</v>
      </c>
      <c r="L1963" t="str">
        <f>IFERROR(VLOOKUP(D1963,Products!$A$2:$F$61,3,FALSE()),"")</f>
        <v>Home</v>
      </c>
      <c r="M1963" t="str">
        <f>IFERROR(VLOOKUP(E1963,Sales_Reps!$A$2:$C$31,3,FALSE()),"")</f>
        <v>South</v>
      </c>
      <c r="N1963">
        <f>IFERROR(VLOOKUP(D1963,Products!$A$2:$F$61,4,FALSE()),"")</f>
        <v>1850</v>
      </c>
      <c r="O1963" t="str">
        <f>IFERROR(VLOOKUP(C1963,Customers!$A$2:$F$301,5,FALSE()),"")</f>
        <v>Retail</v>
      </c>
      <c r="P1963">
        <f>IFERROR(VLOOKUP(C1963,Customers!$A$2:$F$301,3,FALSE()),"")</f>
        <v>63</v>
      </c>
      <c r="Q1963">
        <f t="shared" si="90"/>
        <v>0.59869848156182215</v>
      </c>
      <c r="R1963">
        <f>IF(AND(COUNTIF($A$2:$A$2027,A1963)&gt;1,COUNTIF($A$2:A1963,A1963)=1),1,0)</f>
        <v>0</v>
      </c>
      <c r="S1963" t="b">
        <f>IFERROR(VLOOKUP(D1963,Products!$A$2:$F$61,6,FALSE()),"")</f>
        <v>1</v>
      </c>
      <c r="T1963" t="str">
        <f>IF(COUNTIF(Customers!$A$2:$A$301,C1963)=0,"Missing","OK")</f>
        <v>OK</v>
      </c>
      <c r="U1963" t="str">
        <f t="shared" si="91"/>
        <v>Delhi</v>
      </c>
      <c r="V1963">
        <f t="shared" si="92"/>
        <v>0</v>
      </c>
    </row>
    <row r="1964" spans="1:22" ht="15" customHeight="1" x14ac:dyDescent="0.35">
      <c r="A1964" s="3" t="s">
        <v>2402</v>
      </c>
      <c r="B1964" s="4">
        <v>45317</v>
      </c>
      <c r="C1964" s="3" t="s">
        <v>718</v>
      </c>
      <c r="D1964" s="3" t="s">
        <v>218</v>
      </c>
      <c r="E1964" s="3" t="s">
        <v>25</v>
      </c>
      <c r="F1964" s="5">
        <v>3</v>
      </c>
      <c r="G1964" s="5">
        <v>2660</v>
      </c>
      <c r="H1964" s="5">
        <v>15</v>
      </c>
      <c r="I1964" s="5">
        <v>6783</v>
      </c>
      <c r="J1964" s="3" t="s">
        <v>26</v>
      </c>
      <c r="K1964" s="3" t="s">
        <v>56</v>
      </c>
      <c r="L1964" t="str">
        <f>IFERROR(VLOOKUP(D1964,Products!$A$2:$F$61,3,FALSE()),"")</f>
        <v>Electronics</v>
      </c>
      <c r="M1964" t="str">
        <f>IFERROR(VLOOKUP(E1964,Sales_Reps!$A$2:$C$31,3,FALSE()),"")</f>
        <v>North</v>
      </c>
      <c r="N1964">
        <f>IFERROR(VLOOKUP(D1964,Products!$A$2:$F$61,4,FALSE()),"")</f>
        <v>1259</v>
      </c>
      <c r="O1964" t="str">
        <f>IFERROR(VLOOKUP(C1964,Customers!$A$2:$F$301,5,FALSE()),"")</f>
        <v>Retail</v>
      </c>
      <c r="P1964">
        <f>IFERROR(VLOOKUP(C1964,Customers!$A$2:$F$301,3,FALSE()),"")</f>
        <v>27</v>
      </c>
      <c r="Q1964">
        <f t="shared" si="90"/>
        <v>0.52669172932330832</v>
      </c>
      <c r="R1964">
        <f>IF(AND(COUNTIF($A$2:$A$2027,A1964)&gt;1,COUNTIF($A$2:A1964,A1964)=1),1,0)</f>
        <v>0</v>
      </c>
      <c r="S1964" t="b">
        <f>IFERROR(VLOOKUP(D1964,Products!$A$2:$F$61,6,FALSE()),"")</f>
        <v>0</v>
      </c>
      <c r="T1964" t="str">
        <f>IF(COUNTIF(Customers!$A$2:$A$301,C1964)=0,"Missing","OK")</f>
        <v>OK</v>
      </c>
      <c r="U1964" t="str">
        <f t="shared" si="91"/>
        <v>Bengaluru</v>
      </c>
      <c r="V1964">
        <f t="shared" si="92"/>
        <v>0</v>
      </c>
    </row>
    <row r="1965" spans="1:22" ht="15" customHeight="1" x14ac:dyDescent="0.35">
      <c r="A1965" s="3" t="s">
        <v>2403</v>
      </c>
      <c r="B1965" s="4">
        <v>45384</v>
      </c>
      <c r="C1965" s="3" t="s">
        <v>534</v>
      </c>
      <c r="D1965" s="3" t="s">
        <v>45</v>
      </c>
      <c r="E1965" s="3" t="s">
        <v>42</v>
      </c>
      <c r="F1965" s="5">
        <v>5</v>
      </c>
      <c r="G1965" s="5">
        <v>3160</v>
      </c>
      <c r="H1965" s="5">
        <v>1.3</v>
      </c>
      <c r="I1965" s="5">
        <v>15594.6</v>
      </c>
      <c r="J1965" s="3" t="s">
        <v>26</v>
      </c>
      <c r="K1965" s="3" t="s">
        <v>38</v>
      </c>
      <c r="L1965" t="str">
        <f>IFERROR(VLOOKUP(D1965,Products!$A$2:$F$61,3,FALSE()),"")</f>
        <v>Apparel</v>
      </c>
      <c r="M1965" t="str">
        <f>IFERROR(VLOOKUP(E1965,Sales_Reps!$A$2:$C$31,3,FALSE()),"")</f>
        <v>North</v>
      </c>
      <c r="N1965">
        <f>IFERROR(VLOOKUP(D1965,Products!$A$2:$F$61,4,FALSE()),"")</f>
        <v>1886</v>
      </c>
      <c r="O1965" t="str">
        <f>IFERROR(VLOOKUP(C1965,Customers!$A$2:$F$301,5,FALSE()),"")</f>
        <v>SMB</v>
      </c>
      <c r="P1965">
        <f>IFERROR(VLOOKUP(C1965,Customers!$A$2:$F$301,3,FALSE()),"")</f>
        <v>48</v>
      </c>
      <c r="Q1965">
        <f t="shared" si="90"/>
        <v>0.4031645569620253</v>
      </c>
      <c r="R1965">
        <f>IF(AND(COUNTIF($A$2:$A$2027,A1965)&gt;1,COUNTIF($A$2:A1965,A1965)=1),1,0)</f>
        <v>0</v>
      </c>
      <c r="S1965" t="b">
        <f>IFERROR(VLOOKUP(D1965,Products!$A$2:$F$61,6,FALSE()),"")</f>
        <v>1</v>
      </c>
      <c r="T1965" t="str">
        <f>IF(COUNTIF(Customers!$A$2:$A$301,C1965)=0,"Missing","OK")</f>
        <v>OK</v>
      </c>
      <c r="U1965" t="str">
        <f t="shared" si="91"/>
        <v>Delhi</v>
      </c>
      <c r="V1965">
        <f t="shared" si="92"/>
        <v>0</v>
      </c>
    </row>
    <row r="1966" spans="1:22" ht="15" customHeight="1" x14ac:dyDescent="0.35">
      <c r="A1966" s="3" t="s">
        <v>2404</v>
      </c>
      <c r="B1966" s="4">
        <v>45325</v>
      </c>
      <c r="C1966" s="3" t="s">
        <v>623</v>
      </c>
      <c r="D1966" s="3" t="s">
        <v>49</v>
      </c>
      <c r="E1966" s="3" t="s">
        <v>78</v>
      </c>
      <c r="F1966" s="5">
        <v>10</v>
      </c>
      <c r="G1966" s="5">
        <v>370</v>
      </c>
      <c r="H1966" s="5">
        <v>29</v>
      </c>
      <c r="I1966" s="5">
        <v>2627</v>
      </c>
      <c r="J1966" s="3" t="s">
        <v>26</v>
      </c>
      <c r="K1966" s="3" t="s">
        <v>38</v>
      </c>
      <c r="L1966" t="str">
        <f>IFERROR(VLOOKUP(D1966,Products!$A$2:$F$61,3,FALSE()),"")</f>
        <v>Home</v>
      </c>
      <c r="M1966" t="str">
        <f>IFERROR(VLOOKUP(E1966,Sales_Reps!$A$2:$C$31,3,FALSE()),"")</f>
        <v>North</v>
      </c>
      <c r="N1966">
        <f>IFERROR(VLOOKUP(D1966,Products!$A$2:$F$61,4,FALSE()),"")</f>
        <v>288</v>
      </c>
      <c r="O1966" t="str">
        <f>IFERROR(VLOOKUP(C1966,Customers!$A$2:$F$301,5,FALSE()),"")</f>
        <v>Retail</v>
      </c>
      <c r="P1966">
        <f>IFERROR(VLOOKUP(C1966,Customers!$A$2:$F$301,3,FALSE()),"")</f>
        <v>41</v>
      </c>
      <c r="Q1966">
        <f t="shared" si="90"/>
        <v>0.22162162162162163</v>
      </c>
      <c r="R1966">
        <f>IF(AND(COUNTIF($A$2:$A$2027,A1966)&gt;1,COUNTIF($A$2:A1966,A1966)=1),1,0)</f>
        <v>0</v>
      </c>
      <c r="S1966" t="b">
        <f>IFERROR(VLOOKUP(D1966,Products!$A$2:$F$61,6,FALSE()),"")</f>
        <v>1</v>
      </c>
      <c r="T1966" t="str">
        <f>IF(COUNTIF(Customers!$A$2:$A$301,C1966)=0,"Missing","OK")</f>
        <v>OK</v>
      </c>
      <c r="U1966" t="str">
        <f t="shared" si="91"/>
        <v>Delhi</v>
      </c>
      <c r="V1966">
        <f t="shared" si="92"/>
        <v>0</v>
      </c>
    </row>
    <row r="1967" spans="1:22" ht="15" customHeight="1" x14ac:dyDescent="0.35">
      <c r="A1967" s="3" t="s">
        <v>2405</v>
      </c>
      <c r="B1967" s="4">
        <v>45358</v>
      </c>
      <c r="C1967" s="3" t="s">
        <v>990</v>
      </c>
      <c r="D1967" s="3" t="s">
        <v>121</v>
      </c>
      <c r="E1967" s="3" t="s">
        <v>46</v>
      </c>
      <c r="F1967" s="5">
        <v>10</v>
      </c>
      <c r="G1967" s="5">
        <v>1010</v>
      </c>
      <c r="H1967" s="5">
        <v>14.1</v>
      </c>
      <c r="I1967" s="5">
        <v>8675.9</v>
      </c>
      <c r="J1967" s="3" t="s">
        <v>83</v>
      </c>
      <c r="K1967" s="3" t="s">
        <v>51</v>
      </c>
      <c r="L1967" t="str">
        <f>IFERROR(VLOOKUP(D1967,Products!$A$2:$F$61,3,FALSE()),"")</f>
        <v>Sports</v>
      </c>
      <c r="M1967" t="str">
        <f>IFERROR(VLOOKUP(E1967,Sales_Reps!$A$2:$C$31,3,FALSE()),"")</f>
        <v>North</v>
      </c>
      <c r="N1967">
        <f>IFERROR(VLOOKUP(D1967,Products!$A$2:$F$61,4,FALSE()),"")</f>
        <v>516</v>
      </c>
      <c r="O1967" t="str">
        <f>IFERROR(VLOOKUP(C1967,Customers!$A$2:$F$301,5,FALSE()),"")</f>
        <v>Retail</v>
      </c>
      <c r="P1967">
        <f>IFERROR(VLOOKUP(C1967,Customers!$A$2:$F$301,3,FALSE()),"")</f>
        <v>54</v>
      </c>
      <c r="Q1967">
        <f t="shared" si="90"/>
        <v>0.4891089108910891</v>
      </c>
      <c r="R1967">
        <f>IF(AND(COUNTIF($A$2:$A$2027,A1967)&gt;1,COUNTIF($A$2:A1967,A1967)=1),1,0)</f>
        <v>0</v>
      </c>
      <c r="S1967" t="b">
        <f>IFERROR(VLOOKUP(D1967,Products!$A$2:$F$61,6,FALSE()),"")</f>
        <v>1</v>
      </c>
      <c r="T1967" t="str">
        <f>IF(COUNTIF(Customers!$A$2:$A$301,C1967)=0,"Missing","OK")</f>
        <v>OK</v>
      </c>
      <c r="U1967" t="str">
        <f t="shared" si="91"/>
        <v>Mumbai</v>
      </c>
      <c r="V1967">
        <f t="shared" si="92"/>
        <v>0</v>
      </c>
    </row>
    <row r="1968" spans="1:22" ht="15" customHeight="1" x14ac:dyDescent="0.35">
      <c r="A1968" s="3" t="s">
        <v>2406</v>
      </c>
      <c r="B1968" s="4">
        <v>45586</v>
      </c>
      <c r="C1968" s="3" t="s">
        <v>272</v>
      </c>
      <c r="D1968" s="3" t="s">
        <v>598</v>
      </c>
      <c r="E1968" s="3" t="s">
        <v>109</v>
      </c>
      <c r="F1968" s="5">
        <v>3</v>
      </c>
      <c r="G1968" s="5">
        <v>3560</v>
      </c>
      <c r="H1968" s="5">
        <v>23.6</v>
      </c>
      <c r="I1968" s="5">
        <v>8159.52</v>
      </c>
      <c r="J1968" s="3" t="s">
        <v>26</v>
      </c>
      <c r="K1968" s="3" t="s">
        <v>72</v>
      </c>
      <c r="L1968" t="str">
        <f>IFERROR(VLOOKUP(D1968,Products!$A$2:$F$61,3,FALSE()),"")</f>
        <v>Apparel</v>
      </c>
      <c r="M1968" t="str">
        <f>IFERROR(VLOOKUP(E1968,Sales_Reps!$A$2:$C$31,3,FALSE()),"")</f>
        <v>West</v>
      </c>
      <c r="N1968">
        <f>IFERROR(VLOOKUP(D1968,Products!$A$2:$F$61,4,FALSE()),"")</f>
        <v>2629</v>
      </c>
      <c r="O1968" t="str">
        <f>IFERROR(VLOOKUP(C1968,Customers!$A$2:$F$301,5,FALSE()),"")</f>
        <v>SMB</v>
      </c>
      <c r="P1968">
        <f>IFERROR(VLOOKUP(C1968,Customers!$A$2:$F$301,3,FALSE()),"")</f>
        <v>65</v>
      </c>
      <c r="Q1968">
        <f t="shared" si="90"/>
        <v>0.26151685393258428</v>
      </c>
      <c r="R1968">
        <f>IF(AND(COUNTIF($A$2:$A$2027,A1968)&gt;1,COUNTIF($A$2:A1968,A1968)=1),1,0)</f>
        <v>0</v>
      </c>
      <c r="S1968" t="b">
        <f>IFERROR(VLOOKUP(D1968,Products!$A$2:$F$61,6,FALSE()),"")</f>
        <v>1</v>
      </c>
      <c r="T1968" t="str">
        <f>IF(COUNTIF(Customers!$A$2:$A$301,C1968)=0,"Missing","OK")</f>
        <v>OK</v>
      </c>
      <c r="U1968" t="str">
        <f t="shared" si="91"/>
        <v>Hyderabad</v>
      </c>
      <c r="V1968">
        <f t="shared" si="92"/>
        <v>0</v>
      </c>
    </row>
    <row r="1969" spans="1:22" ht="15" customHeight="1" x14ac:dyDescent="0.35">
      <c r="A1969" s="3" t="s">
        <v>2407</v>
      </c>
      <c r="B1969" s="4">
        <v>45340</v>
      </c>
      <c r="C1969" s="3" t="s">
        <v>263</v>
      </c>
      <c r="D1969" s="3" t="s">
        <v>206</v>
      </c>
      <c r="E1969" s="3" t="s">
        <v>67</v>
      </c>
      <c r="F1969" s="5">
        <v>9</v>
      </c>
      <c r="G1969" s="5">
        <v>1220</v>
      </c>
      <c r="H1969" s="5">
        <v>16.600000000000001</v>
      </c>
      <c r="I1969" s="5">
        <v>9157.32</v>
      </c>
      <c r="J1969" s="3" t="s">
        <v>26</v>
      </c>
      <c r="K1969" s="3" t="s">
        <v>72</v>
      </c>
      <c r="L1969" t="str">
        <f>IFERROR(VLOOKUP(D1969,Products!$A$2:$F$61,3,FALSE()),"")</f>
        <v>Electronics</v>
      </c>
      <c r="M1969" t="str">
        <f>IFERROR(VLOOKUP(E1969,Sales_Reps!$A$2:$C$31,3,FALSE()),"")</f>
        <v>West</v>
      </c>
      <c r="N1969">
        <f>IFERROR(VLOOKUP(D1969,Products!$A$2:$F$61,4,FALSE()),"")</f>
        <v>517</v>
      </c>
      <c r="O1969" t="str">
        <f>IFERROR(VLOOKUP(C1969,Customers!$A$2:$F$301,5,FALSE()),"")</f>
        <v>Retail</v>
      </c>
      <c r="P1969">
        <f>IFERROR(VLOOKUP(C1969,Customers!$A$2:$F$301,3,FALSE()),"")</f>
        <v>28</v>
      </c>
      <c r="Q1969">
        <f t="shared" si="90"/>
        <v>0.57622950819672136</v>
      </c>
      <c r="R1969">
        <f>IF(AND(COUNTIF($A$2:$A$2027,A1969)&gt;1,COUNTIF($A$2:A1969,A1969)=1),1,0)</f>
        <v>0</v>
      </c>
      <c r="S1969" t="b">
        <f>IFERROR(VLOOKUP(D1969,Products!$A$2:$F$61,6,FALSE()),"")</f>
        <v>1</v>
      </c>
      <c r="T1969" t="str">
        <f>IF(COUNTIF(Customers!$A$2:$A$301,C1969)=0,"Missing","OK")</f>
        <v>OK</v>
      </c>
      <c r="U1969" t="str">
        <f t="shared" si="91"/>
        <v>Hyderabad</v>
      </c>
      <c r="V1969">
        <f t="shared" si="92"/>
        <v>0</v>
      </c>
    </row>
    <row r="1970" spans="1:22" ht="15" customHeight="1" x14ac:dyDescent="0.35">
      <c r="A1970" s="3" t="s">
        <v>2408</v>
      </c>
      <c r="B1970" s="4">
        <v>45343</v>
      </c>
      <c r="C1970" s="3" t="s">
        <v>1170</v>
      </c>
      <c r="D1970" s="3" t="s">
        <v>86</v>
      </c>
      <c r="E1970" s="3" t="s">
        <v>46</v>
      </c>
      <c r="F1970" s="5">
        <v>8</v>
      </c>
      <c r="G1970" s="5">
        <v>190</v>
      </c>
      <c r="H1970" s="5">
        <v>22.3</v>
      </c>
      <c r="I1970" s="5">
        <v>1181.04</v>
      </c>
      <c r="J1970" s="3" t="s">
        <v>26</v>
      </c>
      <c r="K1970" s="3" t="s">
        <v>27</v>
      </c>
      <c r="L1970" t="str">
        <f>IFERROR(VLOOKUP(D1970,Products!$A$2:$F$61,3,FALSE()),"")</f>
        <v>Sports</v>
      </c>
      <c r="M1970" t="str">
        <f>IFERROR(VLOOKUP(E1970,Sales_Reps!$A$2:$C$31,3,FALSE()),"")</f>
        <v>North</v>
      </c>
      <c r="N1970">
        <f>IFERROR(VLOOKUP(D1970,Products!$A$2:$F$61,4,FALSE()),"")</f>
        <v>147</v>
      </c>
      <c r="O1970" t="str">
        <f>IFERROR(VLOOKUP(C1970,Customers!$A$2:$F$301,5,FALSE()),"")</f>
        <v>Retail</v>
      </c>
      <c r="P1970">
        <f>IFERROR(VLOOKUP(C1970,Customers!$A$2:$F$301,3,FALSE()),"")</f>
        <v>42</v>
      </c>
      <c r="Q1970">
        <f t="shared" si="90"/>
        <v>0.22631578947368422</v>
      </c>
      <c r="R1970">
        <f>IF(AND(COUNTIF($A$2:$A$2027,A1970)&gt;1,COUNTIF($A$2:A1970,A1970)=1),1,0)</f>
        <v>0</v>
      </c>
      <c r="S1970" t="b">
        <f>IFERROR(VLOOKUP(D1970,Products!$A$2:$F$61,6,FALSE()),"")</f>
        <v>1</v>
      </c>
      <c r="T1970" t="str">
        <f>IF(COUNTIF(Customers!$A$2:$A$301,C1970)=0,"Missing","OK")</f>
        <v>OK</v>
      </c>
      <c r="U1970" t="str">
        <f t="shared" si="91"/>
        <v>Pune</v>
      </c>
      <c r="V1970">
        <f t="shared" si="92"/>
        <v>0</v>
      </c>
    </row>
    <row r="1971" spans="1:22" ht="15" customHeight="1" x14ac:dyDescent="0.35">
      <c r="A1971" s="3" t="s">
        <v>2409</v>
      </c>
      <c r="B1971" s="4">
        <v>45468</v>
      </c>
      <c r="C1971" s="3" t="s">
        <v>344</v>
      </c>
      <c r="D1971" s="3" t="s">
        <v>121</v>
      </c>
      <c r="E1971" s="3" t="s">
        <v>236</v>
      </c>
      <c r="F1971" s="5">
        <v>2</v>
      </c>
      <c r="G1971" s="5">
        <v>1010</v>
      </c>
      <c r="H1971" s="5">
        <v>3.8</v>
      </c>
      <c r="I1971" s="5">
        <v>1943.24</v>
      </c>
      <c r="J1971" s="3" t="s">
        <v>26</v>
      </c>
      <c r="K1971" s="3" t="s">
        <v>33</v>
      </c>
      <c r="L1971" t="str">
        <f>IFERROR(VLOOKUP(D1971,Products!$A$2:$F$61,3,FALSE()),"")</f>
        <v>Sports</v>
      </c>
      <c r="M1971" t="str">
        <f>IFERROR(VLOOKUP(E1971,Sales_Reps!$A$2:$C$31,3,FALSE()),"")</f>
        <v>North</v>
      </c>
      <c r="N1971">
        <f>IFERROR(VLOOKUP(D1971,Products!$A$2:$F$61,4,FALSE()),"")</f>
        <v>516</v>
      </c>
      <c r="O1971" t="str">
        <f>IFERROR(VLOOKUP(C1971,Customers!$A$2:$F$301,5,FALSE()),"")</f>
        <v>Corporate</v>
      </c>
      <c r="P1971">
        <f>IFERROR(VLOOKUP(C1971,Customers!$A$2:$F$301,3,FALSE()),"")</f>
        <v>24</v>
      </c>
      <c r="Q1971">
        <f t="shared" si="90"/>
        <v>0.4891089108910891</v>
      </c>
      <c r="R1971">
        <f>IF(AND(COUNTIF($A$2:$A$2027,A1971)&gt;1,COUNTIF($A$2:A1971,A1971)=1),1,0)</f>
        <v>0</v>
      </c>
      <c r="S1971" t="b">
        <f>IFERROR(VLOOKUP(D1971,Products!$A$2:$F$61,6,FALSE()),"")</f>
        <v>1</v>
      </c>
      <c r="T1971" t="str">
        <f>IF(COUNTIF(Customers!$A$2:$A$301,C1971)=0,"Missing","OK")</f>
        <v>OK</v>
      </c>
      <c r="U1971" t="str">
        <f t="shared" si="91"/>
        <v>Chennai</v>
      </c>
      <c r="V1971">
        <f t="shared" si="92"/>
        <v>0</v>
      </c>
    </row>
    <row r="1972" spans="1:22" ht="15" customHeight="1" x14ac:dyDescent="0.35">
      <c r="A1972" s="3" t="s">
        <v>2410</v>
      </c>
      <c r="B1972" s="4">
        <v>45439</v>
      </c>
      <c r="C1972" s="3" t="s">
        <v>813</v>
      </c>
      <c r="D1972" s="3" t="s">
        <v>77</v>
      </c>
      <c r="E1972" s="3" t="s">
        <v>143</v>
      </c>
      <c r="F1972" s="5">
        <v>4</v>
      </c>
      <c r="G1972" s="5">
        <v>2600</v>
      </c>
      <c r="H1972" s="5">
        <v>29.1</v>
      </c>
      <c r="I1972" s="5">
        <v>7373.6</v>
      </c>
      <c r="J1972" s="3" t="s">
        <v>26</v>
      </c>
      <c r="K1972" s="3" t="s">
        <v>51</v>
      </c>
      <c r="L1972" t="str">
        <f>IFERROR(VLOOKUP(D1972,Products!$A$2:$F$61,3,FALSE()),"")</f>
        <v>Electronics</v>
      </c>
      <c r="M1972" t="str">
        <f>IFERROR(VLOOKUP(E1972,Sales_Reps!$A$2:$C$31,3,FALSE()),"")</f>
        <v>South</v>
      </c>
      <c r="N1972">
        <f>IFERROR(VLOOKUP(D1972,Products!$A$2:$F$61,4,FALSE()),"")</f>
        <v>1052</v>
      </c>
      <c r="O1972" t="str">
        <f>IFERROR(VLOOKUP(C1972,Customers!$A$2:$F$301,5,FALSE()),"")</f>
        <v>Retail</v>
      </c>
      <c r="P1972">
        <f>IFERROR(VLOOKUP(C1972,Customers!$A$2:$F$301,3,FALSE()),"")</f>
        <v>57</v>
      </c>
      <c r="Q1972">
        <f t="shared" si="90"/>
        <v>0.5953846153846154</v>
      </c>
      <c r="R1972">
        <f>IF(AND(COUNTIF($A$2:$A$2027,A1972)&gt;1,COUNTIF($A$2:A1972,A1972)=1),1,0)</f>
        <v>0</v>
      </c>
      <c r="S1972" t="b">
        <f>IFERROR(VLOOKUP(D1972,Products!$A$2:$F$61,6,FALSE()),"")</f>
        <v>1</v>
      </c>
      <c r="T1972" t="str">
        <f>IF(COUNTIF(Customers!$A$2:$A$301,C1972)=0,"Missing","OK")</f>
        <v>OK</v>
      </c>
      <c r="U1972" t="str">
        <f t="shared" si="91"/>
        <v>Mumbai</v>
      </c>
      <c r="V1972">
        <f t="shared" si="92"/>
        <v>0</v>
      </c>
    </row>
    <row r="1973" spans="1:22" ht="15" customHeight="1" x14ac:dyDescent="0.35">
      <c r="A1973" s="3" t="s">
        <v>2411</v>
      </c>
      <c r="B1973" s="4">
        <v>45517</v>
      </c>
      <c r="C1973" s="3" t="s">
        <v>623</v>
      </c>
      <c r="D1973" s="3" t="s">
        <v>391</v>
      </c>
      <c r="E1973" s="3" t="s">
        <v>168</v>
      </c>
      <c r="F1973" s="5">
        <v>7</v>
      </c>
      <c r="G1973" s="5">
        <v>3450</v>
      </c>
      <c r="H1973" s="5">
        <v>4</v>
      </c>
      <c r="I1973" s="5">
        <v>23184</v>
      </c>
      <c r="J1973" s="3" t="s">
        <v>26</v>
      </c>
      <c r="K1973" s="3" t="s">
        <v>38</v>
      </c>
      <c r="L1973" t="str">
        <f>IFERROR(VLOOKUP(D1973,Products!$A$2:$F$61,3,FALSE()),"")</f>
        <v>Apparel</v>
      </c>
      <c r="M1973" t="str">
        <f>IFERROR(VLOOKUP(E1973,Sales_Reps!$A$2:$C$31,3,FALSE()),"")</f>
        <v>West</v>
      </c>
      <c r="N1973">
        <f>IFERROR(VLOOKUP(D1973,Products!$A$2:$F$61,4,FALSE()),"")</f>
        <v>1748</v>
      </c>
      <c r="O1973" t="str">
        <f>IFERROR(VLOOKUP(C1973,Customers!$A$2:$F$301,5,FALSE()),"")</f>
        <v>Retail</v>
      </c>
      <c r="P1973">
        <f>IFERROR(VLOOKUP(C1973,Customers!$A$2:$F$301,3,FALSE()),"")</f>
        <v>41</v>
      </c>
      <c r="Q1973">
        <f t="shared" si="90"/>
        <v>0.49333333333333335</v>
      </c>
      <c r="R1973">
        <f>IF(AND(COUNTIF($A$2:$A$2027,A1973)&gt;1,COUNTIF($A$2:A1973,A1973)=1),1,0)</f>
        <v>0</v>
      </c>
      <c r="S1973" t="b">
        <f>IFERROR(VLOOKUP(D1973,Products!$A$2:$F$61,6,FALSE()),"")</f>
        <v>1</v>
      </c>
      <c r="T1973" t="str">
        <f>IF(COUNTIF(Customers!$A$2:$A$301,C1973)=0,"Missing","OK")</f>
        <v>OK</v>
      </c>
      <c r="U1973" t="str">
        <f t="shared" si="91"/>
        <v>Delhi</v>
      </c>
      <c r="V1973">
        <f t="shared" si="92"/>
        <v>0</v>
      </c>
    </row>
    <row r="1974" spans="1:22" ht="15" customHeight="1" x14ac:dyDescent="0.35">
      <c r="A1974" s="3" t="s">
        <v>2412</v>
      </c>
      <c r="B1974" s="4">
        <v>45311</v>
      </c>
      <c r="C1974" s="3" t="s">
        <v>183</v>
      </c>
      <c r="D1974" s="3" t="s">
        <v>294</v>
      </c>
      <c r="E1974" s="3" t="s">
        <v>60</v>
      </c>
      <c r="F1974" s="5">
        <v>6</v>
      </c>
      <c r="G1974" s="5">
        <v>2510</v>
      </c>
      <c r="H1974" s="5">
        <v>12.7</v>
      </c>
      <c r="I1974" s="5">
        <v>13147.38</v>
      </c>
      <c r="J1974" s="3" t="s">
        <v>26</v>
      </c>
      <c r="K1974" s="3" t="s">
        <v>33</v>
      </c>
      <c r="L1974" t="str">
        <f>IFERROR(VLOOKUP(D1974,Products!$A$2:$F$61,3,FALSE()),"")</f>
        <v>Apparel</v>
      </c>
      <c r="M1974" t="str">
        <f>IFERROR(VLOOKUP(E1974,Sales_Reps!$A$2:$C$31,3,FALSE()),"")</f>
        <v>East</v>
      </c>
      <c r="N1974">
        <f>IFERROR(VLOOKUP(D1974,Products!$A$2:$F$61,4,FALSE()),"")</f>
        <v>1075</v>
      </c>
      <c r="O1974" t="str">
        <f>IFERROR(VLOOKUP(C1974,Customers!$A$2:$F$301,5,FALSE()),"")</f>
        <v>Corporate</v>
      </c>
      <c r="P1974">
        <f>IFERROR(VLOOKUP(C1974,Customers!$A$2:$F$301,3,FALSE()),"")</f>
        <v>52</v>
      </c>
      <c r="Q1974">
        <f t="shared" si="90"/>
        <v>0.57171314741035861</v>
      </c>
      <c r="R1974">
        <f>IF(AND(COUNTIF($A$2:$A$2027,A1974)&gt;1,COUNTIF($A$2:A1974,A1974)=1),1,0)</f>
        <v>0</v>
      </c>
      <c r="S1974" t="b">
        <f>IFERROR(VLOOKUP(D1974,Products!$A$2:$F$61,6,FALSE()),"")</f>
        <v>0</v>
      </c>
      <c r="T1974" t="str">
        <f>IF(COUNTIF(Customers!$A$2:$A$301,C1974)=0,"Missing","OK")</f>
        <v>OK</v>
      </c>
      <c r="U1974" t="str">
        <f t="shared" si="91"/>
        <v>Chennai</v>
      </c>
      <c r="V1974">
        <f t="shared" si="92"/>
        <v>0</v>
      </c>
    </row>
    <row r="1975" spans="1:22" ht="15" customHeight="1" x14ac:dyDescent="0.35">
      <c r="A1975" s="3" t="s">
        <v>2413</v>
      </c>
      <c r="B1975" s="4">
        <v>45560</v>
      </c>
      <c r="C1975" s="3" t="s">
        <v>48</v>
      </c>
      <c r="D1975" s="3" t="s">
        <v>86</v>
      </c>
      <c r="E1975" s="3" t="s">
        <v>282</v>
      </c>
      <c r="F1975" s="5">
        <v>6</v>
      </c>
      <c r="G1975" s="5">
        <v>190</v>
      </c>
      <c r="H1975" s="5">
        <v>20</v>
      </c>
      <c r="I1975" s="5">
        <v>912</v>
      </c>
      <c r="J1975" s="3" t="s">
        <v>79</v>
      </c>
      <c r="K1975" s="3" t="s">
        <v>51</v>
      </c>
      <c r="L1975" t="str">
        <f>IFERROR(VLOOKUP(D1975,Products!$A$2:$F$61,3,FALSE()),"")</f>
        <v>Sports</v>
      </c>
      <c r="M1975" t="str">
        <f>IFERROR(VLOOKUP(E1975,Sales_Reps!$A$2:$C$31,3,FALSE()),"")</f>
        <v>West</v>
      </c>
      <c r="N1975">
        <f>IFERROR(VLOOKUP(D1975,Products!$A$2:$F$61,4,FALSE()),"")</f>
        <v>147</v>
      </c>
      <c r="O1975" t="str">
        <f>IFERROR(VLOOKUP(C1975,Customers!$A$2:$F$301,5,FALSE()),"")</f>
        <v>Retail</v>
      </c>
      <c r="P1975">
        <f>IFERROR(VLOOKUP(C1975,Customers!$A$2:$F$301,3,FALSE()),"")</f>
        <v>36</v>
      </c>
      <c r="Q1975">
        <f t="shared" si="90"/>
        <v>0.22631578947368422</v>
      </c>
      <c r="R1975">
        <f>IF(AND(COUNTIF($A$2:$A$2027,A1975)&gt;1,COUNTIF($A$2:A1975,A1975)=1),1,0)</f>
        <v>0</v>
      </c>
      <c r="S1975" t="b">
        <f>IFERROR(VLOOKUP(D1975,Products!$A$2:$F$61,6,FALSE()),"")</f>
        <v>1</v>
      </c>
      <c r="T1975" t="str">
        <f>IF(COUNTIF(Customers!$A$2:$A$301,C1975)=0,"Missing","OK")</f>
        <v>OK</v>
      </c>
      <c r="U1975" t="str">
        <f t="shared" si="91"/>
        <v>Mumbai</v>
      </c>
      <c r="V1975">
        <f t="shared" si="92"/>
        <v>0</v>
      </c>
    </row>
    <row r="1976" spans="1:22" ht="15" customHeight="1" x14ac:dyDescent="0.35">
      <c r="A1976" s="3" t="s">
        <v>2414</v>
      </c>
      <c r="B1976" s="4">
        <v>45529</v>
      </c>
      <c r="C1976" s="3" t="s">
        <v>1170</v>
      </c>
      <c r="D1976" s="3" t="s">
        <v>115</v>
      </c>
      <c r="E1976" s="3" t="s">
        <v>168</v>
      </c>
      <c r="F1976" s="5">
        <v>10</v>
      </c>
      <c r="G1976" s="5">
        <v>1650</v>
      </c>
      <c r="H1976" s="5">
        <v>21.5</v>
      </c>
      <c r="I1976" s="5">
        <v>12952.5</v>
      </c>
      <c r="J1976" s="3" t="s">
        <v>26</v>
      </c>
      <c r="K1976" s="3" t="s">
        <v>27</v>
      </c>
      <c r="L1976" t="str">
        <f>IFERROR(VLOOKUP(D1976,Products!$A$2:$F$61,3,FALSE()),"")</f>
        <v>Beauty</v>
      </c>
      <c r="M1976" t="str">
        <f>IFERROR(VLOOKUP(E1976,Sales_Reps!$A$2:$C$31,3,FALSE()),"")</f>
        <v>West</v>
      </c>
      <c r="N1976">
        <f>IFERROR(VLOOKUP(D1976,Products!$A$2:$F$61,4,FALSE()),"")</f>
        <v>1222</v>
      </c>
      <c r="O1976" t="str">
        <f>IFERROR(VLOOKUP(C1976,Customers!$A$2:$F$301,5,FALSE()),"")</f>
        <v>Retail</v>
      </c>
      <c r="P1976">
        <f>IFERROR(VLOOKUP(C1976,Customers!$A$2:$F$301,3,FALSE()),"")</f>
        <v>42</v>
      </c>
      <c r="Q1976">
        <f t="shared" si="90"/>
        <v>0.2593939393939394</v>
      </c>
      <c r="R1976">
        <f>IF(AND(COUNTIF($A$2:$A$2027,A1976)&gt;1,COUNTIF($A$2:A1976,A1976)=1),1,0)</f>
        <v>0</v>
      </c>
      <c r="S1976" t="b">
        <f>IFERROR(VLOOKUP(D1976,Products!$A$2:$F$61,6,FALSE()),"")</f>
        <v>1</v>
      </c>
      <c r="T1976" t="str">
        <f>IF(COUNTIF(Customers!$A$2:$A$301,C1976)=0,"Missing","OK")</f>
        <v>OK</v>
      </c>
      <c r="U1976" t="str">
        <f t="shared" si="91"/>
        <v>Pune</v>
      </c>
      <c r="V1976">
        <f t="shared" si="92"/>
        <v>0</v>
      </c>
    </row>
    <row r="1977" spans="1:22" ht="15" customHeight="1" x14ac:dyDescent="0.35">
      <c r="A1977" s="3" t="s">
        <v>2415</v>
      </c>
      <c r="B1977" s="4">
        <v>45344</v>
      </c>
      <c r="C1977" s="3" t="s">
        <v>58</v>
      </c>
      <c r="D1977" s="3" t="s">
        <v>134</v>
      </c>
      <c r="E1977" s="3" t="s">
        <v>143</v>
      </c>
      <c r="F1977" s="5">
        <v>4</v>
      </c>
      <c r="G1977" s="5">
        <v>2860</v>
      </c>
      <c r="H1977" s="5">
        <v>15.2</v>
      </c>
      <c r="I1977" s="5">
        <v>9701.1200000000008</v>
      </c>
      <c r="J1977" s="3" t="s">
        <v>26</v>
      </c>
      <c r="K1977" s="3" t="s">
        <v>56</v>
      </c>
      <c r="L1977" t="str">
        <f>IFERROR(VLOOKUP(D1977,Products!$A$2:$F$61,3,FALSE()),"")</f>
        <v>Sports</v>
      </c>
      <c r="M1977" t="str">
        <f>IFERROR(VLOOKUP(E1977,Sales_Reps!$A$2:$C$31,3,FALSE()),"")</f>
        <v>South</v>
      </c>
      <c r="N1977">
        <f>IFERROR(VLOOKUP(D1977,Products!$A$2:$F$61,4,FALSE()),"")</f>
        <v>2028</v>
      </c>
      <c r="O1977" t="str">
        <f>IFERROR(VLOOKUP(C1977,Customers!$A$2:$F$301,5,FALSE()),"")</f>
        <v>Corporate</v>
      </c>
      <c r="P1977">
        <f>IFERROR(VLOOKUP(C1977,Customers!$A$2:$F$301,3,FALSE()),"")</f>
        <v>57</v>
      </c>
      <c r="Q1977">
        <f t="shared" si="90"/>
        <v>0.29090909090909089</v>
      </c>
      <c r="R1977">
        <f>IF(AND(COUNTIF($A$2:$A$2027,A1977)&gt;1,COUNTIF($A$2:A1977,A1977)=1),1,0)</f>
        <v>0</v>
      </c>
      <c r="S1977" t="b">
        <f>IFERROR(VLOOKUP(D1977,Products!$A$2:$F$61,6,FALSE()),"")</f>
        <v>1</v>
      </c>
      <c r="T1977" t="str">
        <f>IF(COUNTIF(Customers!$A$2:$A$301,C1977)=0,"Missing","OK")</f>
        <v>OK</v>
      </c>
      <c r="U1977" t="str">
        <f t="shared" si="91"/>
        <v>Bengaluru</v>
      </c>
      <c r="V1977">
        <f t="shared" si="92"/>
        <v>0</v>
      </c>
    </row>
    <row r="1978" spans="1:22" ht="15" customHeight="1" x14ac:dyDescent="0.35">
      <c r="A1978" s="3" t="s">
        <v>2416</v>
      </c>
      <c r="B1978" s="4">
        <v>45589</v>
      </c>
      <c r="C1978" s="3" t="s">
        <v>884</v>
      </c>
      <c r="D1978" s="3" t="s">
        <v>36</v>
      </c>
      <c r="E1978" s="3" t="s">
        <v>67</v>
      </c>
      <c r="F1978" s="5">
        <v>3</v>
      </c>
      <c r="G1978" s="5">
        <v>470</v>
      </c>
      <c r="H1978" s="5">
        <v>14.2</v>
      </c>
      <c r="I1978" s="5">
        <v>1209.78</v>
      </c>
      <c r="J1978" s="3" t="s">
        <v>26</v>
      </c>
      <c r="K1978" s="3" t="s">
        <v>27</v>
      </c>
      <c r="L1978" t="str">
        <f>IFERROR(VLOOKUP(D1978,Products!$A$2:$F$61,3,FALSE()),"")</f>
        <v>Sports</v>
      </c>
      <c r="M1978" t="str">
        <f>IFERROR(VLOOKUP(E1978,Sales_Reps!$A$2:$C$31,3,FALSE()),"")</f>
        <v>West</v>
      </c>
      <c r="N1978">
        <f>IFERROR(VLOOKUP(D1978,Products!$A$2:$F$61,4,FALSE()),"")</f>
        <v>302</v>
      </c>
      <c r="O1978" t="str">
        <f>IFERROR(VLOOKUP(C1978,Customers!$A$2:$F$301,5,FALSE()),"")</f>
        <v>Retail</v>
      </c>
      <c r="P1978">
        <f>IFERROR(VLOOKUP(C1978,Customers!$A$2:$F$301,3,FALSE()),"")</f>
        <v>54</v>
      </c>
      <c r="Q1978">
        <f t="shared" si="90"/>
        <v>0.35744680851063831</v>
      </c>
      <c r="R1978">
        <f>IF(AND(COUNTIF($A$2:$A$2027,A1978)&gt;1,COUNTIF($A$2:A1978,A1978)=1),1,0)</f>
        <v>0</v>
      </c>
      <c r="S1978" t="b">
        <f>IFERROR(VLOOKUP(D1978,Products!$A$2:$F$61,6,FALSE()),"")</f>
        <v>0</v>
      </c>
      <c r="T1978" t="str">
        <f>IF(COUNTIF(Customers!$A$2:$A$301,C1978)=0,"Missing","OK")</f>
        <v>OK</v>
      </c>
      <c r="U1978" t="str">
        <f t="shared" si="91"/>
        <v>Pune</v>
      </c>
      <c r="V1978">
        <f t="shared" si="92"/>
        <v>0</v>
      </c>
    </row>
    <row r="1979" spans="1:22" ht="15" customHeight="1" x14ac:dyDescent="0.35">
      <c r="A1979" s="3" t="s">
        <v>2417</v>
      </c>
      <c r="B1979" s="4">
        <v>45469</v>
      </c>
      <c r="C1979" s="3" t="s">
        <v>882</v>
      </c>
      <c r="D1979" s="3" t="s">
        <v>134</v>
      </c>
      <c r="E1979" s="3" t="s">
        <v>109</v>
      </c>
      <c r="F1979" s="5">
        <v>2</v>
      </c>
      <c r="G1979" s="5">
        <v>2860</v>
      </c>
      <c r="H1979" s="5">
        <v>17.899999999999999</v>
      </c>
      <c r="I1979" s="5">
        <v>4696.12</v>
      </c>
      <c r="J1979" s="3" t="s">
        <v>26</v>
      </c>
      <c r="K1979" s="3" t="s">
        <v>72</v>
      </c>
      <c r="L1979" t="str">
        <f>IFERROR(VLOOKUP(D1979,Products!$A$2:$F$61,3,FALSE()),"")</f>
        <v>Sports</v>
      </c>
      <c r="M1979" t="str">
        <f>IFERROR(VLOOKUP(E1979,Sales_Reps!$A$2:$C$31,3,FALSE()),"")</f>
        <v>West</v>
      </c>
      <c r="N1979">
        <f>IFERROR(VLOOKUP(D1979,Products!$A$2:$F$61,4,FALSE()),"")</f>
        <v>2028</v>
      </c>
      <c r="O1979" t="str">
        <f>IFERROR(VLOOKUP(C1979,Customers!$A$2:$F$301,5,FALSE()),"")</f>
        <v>Corporate</v>
      </c>
      <c r="P1979">
        <f>IFERROR(VLOOKUP(C1979,Customers!$A$2:$F$301,3,FALSE()),"")</f>
        <v>54</v>
      </c>
      <c r="Q1979">
        <f t="shared" si="90"/>
        <v>0.29090909090909089</v>
      </c>
      <c r="R1979">
        <f>IF(AND(COUNTIF($A$2:$A$2027,A1979)&gt;1,COUNTIF($A$2:A1979,A1979)=1),1,0)</f>
        <v>0</v>
      </c>
      <c r="S1979" t="b">
        <f>IFERROR(VLOOKUP(D1979,Products!$A$2:$F$61,6,FALSE()),"")</f>
        <v>1</v>
      </c>
      <c r="T1979" t="str">
        <f>IF(COUNTIF(Customers!$A$2:$A$301,C1979)=0,"Missing","OK")</f>
        <v>OK</v>
      </c>
      <c r="U1979" t="str">
        <f t="shared" si="91"/>
        <v>Hyderabad</v>
      </c>
      <c r="V1979">
        <f t="shared" si="92"/>
        <v>0</v>
      </c>
    </row>
    <row r="1980" spans="1:22" ht="15" customHeight="1" x14ac:dyDescent="0.35">
      <c r="A1980" s="3" t="s">
        <v>2418</v>
      </c>
      <c r="B1980" s="4">
        <v>45407</v>
      </c>
      <c r="C1980" s="3" t="s">
        <v>1289</v>
      </c>
      <c r="D1980" s="3" t="s">
        <v>106</v>
      </c>
      <c r="E1980" s="3" t="s">
        <v>242</v>
      </c>
      <c r="F1980" s="5">
        <v>2</v>
      </c>
      <c r="G1980" s="5">
        <v>2480</v>
      </c>
      <c r="H1980" s="5">
        <v>11.5</v>
      </c>
      <c r="I1980" s="5">
        <v>4389.6000000000004</v>
      </c>
      <c r="J1980" s="3" t="s">
        <v>79</v>
      </c>
      <c r="K1980" s="3" t="s">
        <v>51</v>
      </c>
      <c r="L1980" t="str">
        <f>IFERROR(VLOOKUP(D1980,Products!$A$2:$F$61,3,FALSE()),"")</f>
        <v>Apparel</v>
      </c>
      <c r="M1980" t="str">
        <f>IFERROR(VLOOKUP(E1980,Sales_Reps!$A$2:$C$31,3,FALSE()),"")</f>
        <v>East</v>
      </c>
      <c r="N1980">
        <f>IFERROR(VLOOKUP(D1980,Products!$A$2:$F$61,4,FALSE()),"")</f>
        <v>1173</v>
      </c>
      <c r="O1980" t="str">
        <f>IFERROR(VLOOKUP(C1980,Customers!$A$2:$F$301,5,FALSE()),"")</f>
        <v>Retail</v>
      </c>
      <c r="P1980">
        <f>IFERROR(VLOOKUP(C1980,Customers!$A$2:$F$301,3,FALSE()),"")</f>
        <v>38</v>
      </c>
      <c r="Q1980">
        <f t="shared" si="90"/>
        <v>0.52701612903225803</v>
      </c>
      <c r="R1980">
        <f>IF(AND(COUNTIF($A$2:$A$2027,A1980)&gt;1,COUNTIF($A$2:A1980,A1980)=1),1,0)</f>
        <v>0</v>
      </c>
      <c r="S1980" t="b">
        <f>IFERROR(VLOOKUP(D1980,Products!$A$2:$F$61,6,FALSE()),"")</f>
        <v>1</v>
      </c>
      <c r="T1980" t="str">
        <f>IF(COUNTIF(Customers!$A$2:$A$301,C1980)=0,"Missing","OK")</f>
        <v>OK</v>
      </c>
      <c r="U1980" t="str">
        <f t="shared" si="91"/>
        <v>Mumbai</v>
      </c>
      <c r="V1980">
        <f t="shared" si="92"/>
        <v>0</v>
      </c>
    </row>
    <row r="1981" spans="1:22" ht="15" customHeight="1" x14ac:dyDescent="0.35">
      <c r="A1981" s="3" t="s">
        <v>2419</v>
      </c>
      <c r="B1981" s="4">
        <v>45635</v>
      </c>
      <c r="C1981" s="3" t="s">
        <v>945</v>
      </c>
      <c r="D1981" s="3" t="s">
        <v>234</v>
      </c>
      <c r="E1981" s="3" t="s">
        <v>42</v>
      </c>
      <c r="F1981" s="5">
        <v>10</v>
      </c>
      <c r="G1981" s="5">
        <v>2030</v>
      </c>
      <c r="H1981" s="5">
        <v>29.2</v>
      </c>
      <c r="I1981" s="5">
        <v>14372.4</v>
      </c>
      <c r="J1981" s="3" t="s">
        <v>26</v>
      </c>
      <c r="K1981" s="3" t="s">
        <v>56</v>
      </c>
      <c r="L1981" t="str">
        <f>IFERROR(VLOOKUP(D1981,Products!$A$2:$F$61,3,FALSE()),"")</f>
        <v>Home</v>
      </c>
      <c r="M1981" t="str">
        <f>IFERROR(VLOOKUP(E1981,Sales_Reps!$A$2:$C$31,3,FALSE()),"")</f>
        <v>North</v>
      </c>
      <c r="N1981">
        <f>IFERROR(VLOOKUP(D1981,Products!$A$2:$F$61,4,FALSE()),"")</f>
        <v>1143</v>
      </c>
      <c r="O1981" t="str">
        <f>IFERROR(VLOOKUP(C1981,Customers!$A$2:$F$301,5,FALSE()),"")</f>
        <v>SMB</v>
      </c>
      <c r="P1981">
        <f>IFERROR(VLOOKUP(C1981,Customers!$A$2:$F$301,3,FALSE()),"")</f>
        <v>44</v>
      </c>
      <c r="Q1981">
        <f t="shared" si="90"/>
        <v>0.43694581280788175</v>
      </c>
      <c r="R1981">
        <f>IF(AND(COUNTIF($A$2:$A$2027,A1981)&gt;1,COUNTIF($A$2:A1981,A1981)=1),1,0)</f>
        <v>0</v>
      </c>
      <c r="S1981" t="b">
        <f>IFERROR(VLOOKUP(D1981,Products!$A$2:$F$61,6,FALSE()),"")</f>
        <v>1</v>
      </c>
      <c r="T1981" t="str">
        <f>IF(COUNTIF(Customers!$A$2:$A$301,C1981)=0,"Missing","OK")</f>
        <v>OK</v>
      </c>
      <c r="U1981" t="str">
        <f t="shared" si="91"/>
        <v>Bengaluru</v>
      </c>
      <c r="V1981">
        <f t="shared" si="92"/>
        <v>0</v>
      </c>
    </row>
    <row r="1982" spans="1:22" ht="15" customHeight="1" x14ac:dyDescent="0.35">
      <c r="A1982" s="3" t="s">
        <v>2420</v>
      </c>
      <c r="B1982" s="4">
        <v>45489</v>
      </c>
      <c r="C1982" s="3" t="s">
        <v>133</v>
      </c>
      <c r="D1982" s="3" t="s">
        <v>96</v>
      </c>
      <c r="E1982" s="3" t="s">
        <v>264</v>
      </c>
      <c r="F1982" s="5">
        <v>6</v>
      </c>
      <c r="G1982" s="5">
        <v>3450</v>
      </c>
      <c r="H1982" s="5">
        <v>3.5</v>
      </c>
      <c r="I1982" s="5">
        <v>19975.5</v>
      </c>
      <c r="J1982" s="3" t="s">
        <v>83</v>
      </c>
      <c r="K1982" s="3" t="s">
        <v>27</v>
      </c>
      <c r="L1982" t="str">
        <f>IFERROR(VLOOKUP(D1982,Products!$A$2:$F$61,3,FALSE()),"")</f>
        <v>Beauty</v>
      </c>
      <c r="M1982" t="str">
        <f>IFERROR(VLOOKUP(E1982,Sales_Reps!$A$2:$C$31,3,FALSE()),"")</f>
        <v>South</v>
      </c>
      <c r="N1982">
        <f>IFERROR(VLOOKUP(D1982,Products!$A$2:$F$61,4,FALSE()),"")</f>
        <v>2420</v>
      </c>
      <c r="O1982" t="str">
        <f>IFERROR(VLOOKUP(C1982,Customers!$A$2:$F$301,5,FALSE()),"")</f>
        <v>SMB</v>
      </c>
      <c r="P1982">
        <f>IFERROR(VLOOKUP(C1982,Customers!$A$2:$F$301,3,FALSE()),"")</f>
        <v>44</v>
      </c>
      <c r="Q1982">
        <f t="shared" si="90"/>
        <v>0.29855072463768118</v>
      </c>
      <c r="R1982">
        <f>IF(AND(COUNTIF($A$2:$A$2027,A1982)&gt;1,COUNTIF($A$2:A1982,A1982)=1),1,0)</f>
        <v>0</v>
      </c>
      <c r="S1982" t="b">
        <f>IFERROR(VLOOKUP(D1982,Products!$A$2:$F$61,6,FALSE()),"")</f>
        <v>1</v>
      </c>
      <c r="T1982" t="str">
        <f>IF(COUNTIF(Customers!$A$2:$A$301,C1982)=0,"Missing","OK")</f>
        <v>OK</v>
      </c>
      <c r="U1982" t="str">
        <f t="shared" si="91"/>
        <v>Pune</v>
      </c>
      <c r="V1982">
        <f t="shared" si="92"/>
        <v>0</v>
      </c>
    </row>
    <row r="1983" spans="1:22" ht="15" customHeight="1" x14ac:dyDescent="0.35">
      <c r="A1983" s="3" t="s">
        <v>2421</v>
      </c>
      <c r="B1983" s="4">
        <v>45356</v>
      </c>
      <c r="C1983" s="3" t="s">
        <v>541</v>
      </c>
      <c r="D1983" s="3" t="s">
        <v>59</v>
      </c>
      <c r="E1983" s="3" t="s">
        <v>212</v>
      </c>
      <c r="F1983" s="5">
        <v>10</v>
      </c>
      <c r="G1983" s="5">
        <v>1430</v>
      </c>
      <c r="H1983" s="5">
        <v>3.5</v>
      </c>
      <c r="I1983" s="5">
        <v>13799.5</v>
      </c>
      <c r="J1983" s="3" t="s">
        <v>26</v>
      </c>
      <c r="K1983" s="3" t="s">
        <v>33</v>
      </c>
      <c r="L1983" t="str">
        <f>IFERROR(VLOOKUP(D1983,Products!$A$2:$F$61,3,FALSE()),"")</f>
        <v>Electronics</v>
      </c>
      <c r="M1983" t="str">
        <f>IFERROR(VLOOKUP(E1983,Sales_Reps!$A$2:$C$31,3,FALSE()),"")</f>
        <v>South</v>
      </c>
      <c r="N1983">
        <f>IFERROR(VLOOKUP(D1983,Products!$A$2:$F$61,4,FALSE()),"")</f>
        <v>861</v>
      </c>
      <c r="O1983" t="str">
        <f>IFERROR(VLOOKUP(C1983,Customers!$A$2:$F$301,5,FALSE()),"")</f>
        <v>Retail</v>
      </c>
      <c r="P1983">
        <f>IFERROR(VLOOKUP(C1983,Customers!$A$2:$F$301,3,FALSE()),"")</f>
        <v>61</v>
      </c>
      <c r="Q1983">
        <f t="shared" si="90"/>
        <v>0.39790209790209791</v>
      </c>
      <c r="R1983">
        <f>IF(AND(COUNTIF($A$2:$A$2027,A1983)&gt;1,COUNTIF($A$2:A1983,A1983)=1),1,0)</f>
        <v>0</v>
      </c>
      <c r="S1983" t="b">
        <f>IFERROR(VLOOKUP(D1983,Products!$A$2:$F$61,6,FALSE()),"")</f>
        <v>1</v>
      </c>
      <c r="T1983" t="str">
        <f>IF(COUNTIF(Customers!$A$2:$A$301,C1983)=0,"Missing","OK")</f>
        <v>OK</v>
      </c>
      <c r="U1983" t="str">
        <f t="shared" si="91"/>
        <v>Chennai</v>
      </c>
      <c r="V1983">
        <f t="shared" si="92"/>
        <v>0</v>
      </c>
    </row>
    <row r="1984" spans="1:22" ht="15" customHeight="1" x14ac:dyDescent="0.35">
      <c r="A1984" s="3" t="s">
        <v>2422</v>
      </c>
      <c r="B1984" s="4">
        <v>45422</v>
      </c>
      <c r="C1984" s="3" t="s">
        <v>524</v>
      </c>
      <c r="D1984" s="3" t="s">
        <v>30</v>
      </c>
      <c r="E1984" s="3" t="s">
        <v>177</v>
      </c>
      <c r="F1984" s="5">
        <v>1</v>
      </c>
      <c r="G1984" s="5">
        <v>820</v>
      </c>
      <c r="H1984" s="5">
        <v>14.5</v>
      </c>
      <c r="I1984" s="5">
        <v>701.1</v>
      </c>
      <c r="J1984" s="3" t="s">
        <v>79</v>
      </c>
      <c r="K1984" s="3" t="s">
        <v>33</v>
      </c>
      <c r="L1984" t="str">
        <f>IFERROR(VLOOKUP(D1984,Products!$A$2:$F$61,3,FALSE()),"")</f>
        <v>Apparel</v>
      </c>
      <c r="M1984" t="str">
        <f>IFERROR(VLOOKUP(E1984,Sales_Reps!$A$2:$C$31,3,FALSE()),"")</f>
        <v>East</v>
      </c>
      <c r="N1984">
        <f>IFERROR(VLOOKUP(D1984,Products!$A$2:$F$61,4,FALSE()),"")</f>
        <v>391</v>
      </c>
      <c r="O1984" t="str">
        <f>IFERROR(VLOOKUP(C1984,Customers!$A$2:$F$301,5,FALSE()),"")</f>
        <v>Retail</v>
      </c>
      <c r="P1984">
        <f>IFERROR(VLOOKUP(C1984,Customers!$A$2:$F$301,3,FALSE()),"")</f>
        <v>26</v>
      </c>
      <c r="Q1984">
        <f t="shared" si="90"/>
        <v>0.52317073170731709</v>
      </c>
      <c r="R1984">
        <f>IF(AND(COUNTIF($A$2:$A$2027,A1984)&gt;1,COUNTIF($A$2:A1984,A1984)=1),1,0)</f>
        <v>0</v>
      </c>
      <c r="S1984" t="b">
        <f>IFERROR(VLOOKUP(D1984,Products!$A$2:$F$61,6,FALSE()),"")</f>
        <v>1</v>
      </c>
      <c r="T1984" t="str">
        <f>IF(COUNTIF(Customers!$A$2:$A$301,C1984)=0,"Missing","OK")</f>
        <v>OK</v>
      </c>
      <c r="U1984" t="str">
        <f t="shared" si="91"/>
        <v>Chennai</v>
      </c>
      <c r="V1984">
        <f t="shared" si="92"/>
        <v>0</v>
      </c>
    </row>
    <row r="1985" spans="1:22" ht="15" customHeight="1" x14ac:dyDescent="0.35">
      <c r="A1985" s="3" t="s">
        <v>2423</v>
      </c>
      <c r="B1985" s="4">
        <v>45333</v>
      </c>
      <c r="C1985" s="3" t="s">
        <v>977</v>
      </c>
      <c r="D1985" s="3" t="s">
        <v>123</v>
      </c>
      <c r="E1985" s="3" t="s">
        <v>93</v>
      </c>
      <c r="F1985" s="5">
        <v>5</v>
      </c>
      <c r="G1985" s="5">
        <v>4880</v>
      </c>
      <c r="H1985" s="5">
        <v>1.8</v>
      </c>
      <c r="I1985" s="5">
        <v>23960.799999999999</v>
      </c>
      <c r="J1985" s="3" t="s">
        <v>26</v>
      </c>
      <c r="K1985" s="3" t="s">
        <v>56</v>
      </c>
      <c r="L1985" t="str">
        <f>IFERROR(VLOOKUP(D1985,Products!$A$2:$F$61,3,FALSE()),"")</f>
        <v>Beauty</v>
      </c>
      <c r="M1985" t="str">
        <f>IFERROR(VLOOKUP(E1985,Sales_Reps!$A$2:$C$31,3,FALSE()),"")</f>
        <v>East</v>
      </c>
      <c r="N1985">
        <f>IFERROR(VLOOKUP(D1985,Products!$A$2:$F$61,4,FALSE()),"")</f>
        <v>2768</v>
      </c>
      <c r="O1985" t="str">
        <f>IFERROR(VLOOKUP(C1985,Customers!$A$2:$F$301,5,FALSE()),"")</f>
        <v>Corporate</v>
      </c>
      <c r="P1985">
        <f>IFERROR(VLOOKUP(C1985,Customers!$A$2:$F$301,3,FALSE()),"")</f>
        <v>55</v>
      </c>
      <c r="Q1985">
        <f t="shared" si="90"/>
        <v>0.43278688524590164</v>
      </c>
      <c r="R1985">
        <f>IF(AND(COUNTIF($A$2:$A$2027,A1985)&gt;1,COUNTIF($A$2:A1985,A1985)=1),1,0)</f>
        <v>0</v>
      </c>
      <c r="S1985" t="b">
        <f>IFERROR(VLOOKUP(D1985,Products!$A$2:$F$61,6,FALSE()),"")</f>
        <v>1</v>
      </c>
      <c r="T1985" t="str">
        <f>IF(COUNTIF(Customers!$A$2:$A$301,C1985)=0,"Missing","OK")</f>
        <v>OK</v>
      </c>
      <c r="U1985" t="str">
        <f t="shared" si="91"/>
        <v>Bengaluru</v>
      </c>
      <c r="V1985">
        <f t="shared" si="92"/>
        <v>0</v>
      </c>
    </row>
    <row r="1986" spans="1:22" ht="15" customHeight="1" x14ac:dyDescent="0.35">
      <c r="A1986" s="3" t="s">
        <v>2424</v>
      </c>
      <c r="B1986" s="4">
        <v>45385</v>
      </c>
      <c r="C1986" s="3" t="s">
        <v>48</v>
      </c>
      <c r="D1986" s="3" t="s">
        <v>118</v>
      </c>
      <c r="E1986" s="3" t="s">
        <v>285</v>
      </c>
      <c r="F1986" s="5">
        <v>8</v>
      </c>
      <c r="G1986" s="5">
        <v>3350</v>
      </c>
      <c r="H1986" s="5">
        <v>26.3</v>
      </c>
      <c r="I1986" s="5">
        <v>19751.599999999999</v>
      </c>
      <c r="J1986" s="3" t="s">
        <v>79</v>
      </c>
      <c r="K1986" s="3" t="s">
        <v>51</v>
      </c>
      <c r="L1986" t="str">
        <f>IFERROR(VLOOKUP(D1986,Products!$A$2:$F$61,3,FALSE()),"")</f>
        <v>Beauty</v>
      </c>
      <c r="M1986" t="str">
        <f>IFERROR(VLOOKUP(E1986,Sales_Reps!$A$2:$C$31,3,FALSE()),"")</f>
        <v>South</v>
      </c>
      <c r="N1986">
        <f>IFERROR(VLOOKUP(D1986,Products!$A$2:$F$61,4,FALSE()),"")</f>
        <v>1728</v>
      </c>
      <c r="O1986" t="str">
        <f>IFERROR(VLOOKUP(C1986,Customers!$A$2:$F$301,5,FALSE()),"")</f>
        <v>Retail</v>
      </c>
      <c r="P1986">
        <f>IFERROR(VLOOKUP(C1986,Customers!$A$2:$F$301,3,FALSE()),"")</f>
        <v>36</v>
      </c>
      <c r="Q1986">
        <f t="shared" ref="Q1986:Q2027" si="93">IFERROR((G1986-N1986)/G1986,"")</f>
        <v>0.48417910447761192</v>
      </c>
      <c r="R1986">
        <f>IF(AND(COUNTIF($A$2:$A$2027,A1986)&gt;1,COUNTIF($A$2:A1986,A1986)=1),1,0)</f>
        <v>0</v>
      </c>
      <c r="S1986" t="b">
        <f>IFERROR(VLOOKUP(D1986,Products!$A$2:$F$61,6,FALSE()),"")</f>
        <v>1</v>
      </c>
      <c r="T1986" t="str">
        <f>IF(COUNTIF(Customers!$A$2:$A$301,C1986)=0,"Missing","OK")</f>
        <v>OK</v>
      </c>
      <c r="U1986" t="str">
        <f t="shared" ref="U1986:U2027" si="94">IF(K1986="","",PROPER(TRIM(K1986)))</f>
        <v>Mumbai</v>
      </c>
      <c r="V1986">
        <f t="shared" ref="V1986:V2027" si="95">IF(AND(U1986="Bengaluru",L1986="Grocery"),I1986,0)</f>
        <v>0</v>
      </c>
    </row>
    <row r="1987" spans="1:22" ht="15" customHeight="1" x14ac:dyDescent="0.35">
      <c r="A1987" s="3" t="s">
        <v>2425</v>
      </c>
      <c r="B1987" s="4">
        <v>45298</v>
      </c>
      <c r="C1987" s="3" t="s">
        <v>105</v>
      </c>
      <c r="D1987" s="3" t="s">
        <v>106</v>
      </c>
      <c r="E1987" s="3" t="s">
        <v>224</v>
      </c>
      <c r="F1987" s="5">
        <v>9</v>
      </c>
      <c r="G1987" s="5">
        <v>2480</v>
      </c>
      <c r="H1987" s="5">
        <v>24.3</v>
      </c>
      <c r="I1987" s="5">
        <v>16896.240000000002</v>
      </c>
      <c r="J1987" s="3" t="s">
        <v>26</v>
      </c>
      <c r="K1987" s="3" t="s">
        <v>72</v>
      </c>
      <c r="L1987" t="str">
        <f>IFERROR(VLOOKUP(D1987,Products!$A$2:$F$61,3,FALSE()),"")</f>
        <v>Apparel</v>
      </c>
      <c r="M1987" t="str">
        <f>IFERROR(VLOOKUP(E1987,Sales_Reps!$A$2:$C$31,3,FALSE()),"")</f>
        <v>East</v>
      </c>
      <c r="N1987">
        <f>IFERROR(VLOOKUP(D1987,Products!$A$2:$F$61,4,FALSE()),"")</f>
        <v>1173</v>
      </c>
      <c r="O1987" t="str">
        <f>IFERROR(VLOOKUP(C1987,Customers!$A$2:$F$301,5,FALSE()),"")</f>
        <v>Retail</v>
      </c>
      <c r="P1987">
        <f>IFERROR(VLOOKUP(C1987,Customers!$A$2:$F$301,3,FALSE()),"")</f>
        <v>32</v>
      </c>
      <c r="Q1987">
        <f t="shared" si="93"/>
        <v>0.52701612903225803</v>
      </c>
      <c r="R1987">
        <f>IF(AND(COUNTIF($A$2:$A$2027,A1987)&gt;1,COUNTIF($A$2:A1987,A1987)=1),1,0)</f>
        <v>0</v>
      </c>
      <c r="S1987" t="b">
        <f>IFERROR(VLOOKUP(D1987,Products!$A$2:$F$61,6,FALSE()),"")</f>
        <v>1</v>
      </c>
      <c r="T1987" t="str">
        <f>IF(COUNTIF(Customers!$A$2:$A$301,C1987)=0,"Missing","OK")</f>
        <v>OK</v>
      </c>
      <c r="U1987" t="str">
        <f t="shared" si="94"/>
        <v>Hyderabad</v>
      </c>
      <c r="V1987">
        <f t="shared" si="95"/>
        <v>0</v>
      </c>
    </row>
    <row r="1988" spans="1:22" ht="15" customHeight="1" x14ac:dyDescent="0.35">
      <c r="A1988" s="3" t="s">
        <v>2426</v>
      </c>
      <c r="B1988" s="4">
        <v>45500</v>
      </c>
      <c r="C1988" s="3" t="s">
        <v>170</v>
      </c>
      <c r="D1988" s="3" t="s">
        <v>209</v>
      </c>
      <c r="E1988" s="3" t="s">
        <v>55</v>
      </c>
      <c r="F1988" s="5">
        <v>9</v>
      </c>
      <c r="G1988" s="5">
        <v>4610</v>
      </c>
      <c r="H1988" s="5">
        <v>10</v>
      </c>
      <c r="I1988" s="5">
        <v>37341</v>
      </c>
      <c r="J1988" s="3" t="s">
        <v>26</v>
      </c>
      <c r="K1988" s="3" t="s">
        <v>56</v>
      </c>
      <c r="L1988" t="str">
        <f>IFERROR(VLOOKUP(D1988,Products!$A$2:$F$61,3,FALSE()),"")</f>
        <v>Home</v>
      </c>
      <c r="M1988" t="str">
        <f>IFERROR(VLOOKUP(E1988,Sales_Reps!$A$2:$C$31,3,FALSE()),"")</f>
        <v>West</v>
      </c>
      <c r="N1988">
        <f>IFERROR(VLOOKUP(D1988,Products!$A$2:$F$61,4,FALSE()),"")</f>
        <v>1850</v>
      </c>
      <c r="O1988" t="str">
        <f>IFERROR(VLOOKUP(C1988,Customers!$A$2:$F$301,5,FALSE()),"")</f>
        <v>SMB</v>
      </c>
      <c r="P1988">
        <f>IFERROR(VLOOKUP(C1988,Customers!$A$2:$F$301,3,FALSE()),"")</f>
        <v>64</v>
      </c>
      <c r="Q1988">
        <f t="shared" si="93"/>
        <v>0.59869848156182215</v>
      </c>
      <c r="R1988">
        <f>IF(AND(COUNTIF($A$2:$A$2027,A1988)&gt;1,COUNTIF($A$2:A1988,A1988)=1),1,0)</f>
        <v>0</v>
      </c>
      <c r="S1988" t="b">
        <f>IFERROR(VLOOKUP(D1988,Products!$A$2:$F$61,6,FALSE()),"")</f>
        <v>1</v>
      </c>
      <c r="T1988" t="str">
        <f>IF(COUNTIF(Customers!$A$2:$A$301,C1988)=0,"Missing","OK")</f>
        <v>OK</v>
      </c>
      <c r="U1988" t="str">
        <f t="shared" si="94"/>
        <v>Bengaluru</v>
      </c>
      <c r="V1988">
        <f t="shared" si="95"/>
        <v>0</v>
      </c>
    </row>
    <row r="1989" spans="1:22" ht="15" customHeight="1" x14ac:dyDescent="0.35">
      <c r="A1989" s="3" t="s">
        <v>2427</v>
      </c>
      <c r="B1989" s="4">
        <v>45409</v>
      </c>
      <c r="C1989" s="3" t="s">
        <v>990</v>
      </c>
      <c r="D1989" s="3" t="s">
        <v>173</v>
      </c>
      <c r="E1989" s="3" t="s">
        <v>78</v>
      </c>
      <c r="F1989" s="5">
        <v>1</v>
      </c>
      <c r="G1989" s="5">
        <v>3780</v>
      </c>
      <c r="H1989" s="5">
        <v>2.2000000000000002</v>
      </c>
      <c r="I1989" s="5">
        <v>3696.84</v>
      </c>
      <c r="J1989" s="3" t="s">
        <v>26</v>
      </c>
      <c r="K1989" s="3" t="s">
        <v>51</v>
      </c>
      <c r="L1989" t="str">
        <f>IFERROR(VLOOKUP(D1989,Products!$A$2:$F$61,3,FALSE()),"")</f>
        <v>Grocery</v>
      </c>
      <c r="M1989" t="str">
        <f>IFERROR(VLOOKUP(E1989,Sales_Reps!$A$2:$C$31,3,FALSE()),"")</f>
        <v>North</v>
      </c>
      <c r="N1989">
        <f>IFERROR(VLOOKUP(D1989,Products!$A$2:$F$61,4,FALSE()),"")</f>
        <v>2436</v>
      </c>
      <c r="O1989" t="str">
        <f>IFERROR(VLOOKUP(C1989,Customers!$A$2:$F$301,5,FALSE()),"")</f>
        <v>Retail</v>
      </c>
      <c r="P1989">
        <f>IFERROR(VLOOKUP(C1989,Customers!$A$2:$F$301,3,FALSE()),"")</f>
        <v>54</v>
      </c>
      <c r="Q1989">
        <f t="shared" si="93"/>
        <v>0.35555555555555557</v>
      </c>
      <c r="R1989">
        <f>IF(AND(COUNTIF($A$2:$A$2027,A1989)&gt;1,COUNTIF($A$2:A1989,A1989)=1),1,0)</f>
        <v>0</v>
      </c>
      <c r="S1989" t="b">
        <f>IFERROR(VLOOKUP(D1989,Products!$A$2:$F$61,6,FALSE()),"")</f>
        <v>1</v>
      </c>
      <c r="T1989" t="str">
        <f>IF(COUNTIF(Customers!$A$2:$A$301,C1989)=0,"Missing","OK")</f>
        <v>OK</v>
      </c>
      <c r="U1989" t="str">
        <f t="shared" si="94"/>
        <v>Mumbai</v>
      </c>
      <c r="V1989">
        <f t="shared" si="95"/>
        <v>0</v>
      </c>
    </row>
    <row r="1990" spans="1:22" ht="15" customHeight="1" x14ac:dyDescent="0.35">
      <c r="A1990" s="3" t="s">
        <v>2428</v>
      </c>
      <c r="B1990" s="4">
        <v>45401</v>
      </c>
      <c r="C1990" s="3" t="s">
        <v>644</v>
      </c>
      <c r="D1990" s="3" t="s">
        <v>215</v>
      </c>
      <c r="E1990" s="3" t="s">
        <v>140</v>
      </c>
      <c r="F1990" s="5">
        <v>3</v>
      </c>
      <c r="G1990" s="5">
        <v>3020</v>
      </c>
      <c r="H1990" s="5">
        <v>21.4</v>
      </c>
      <c r="I1990" s="5">
        <v>7121.16</v>
      </c>
      <c r="J1990" s="3" t="s">
        <v>79</v>
      </c>
      <c r="K1990" s="3" t="s">
        <v>38</v>
      </c>
      <c r="L1990" t="str">
        <f>IFERROR(VLOOKUP(D1990,Products!$A$2:$F$61,3,FALSE()),"")</f>
        <v>Beauty</v>
      </c>
      <c r="M1990" t="str">
        <f>IFERROR(VLOOKUP(E1990,Sales_Reps!$A$2:$C$31,3,FALSE()),"")</f>
        <v>West</v>
      </c>
      <c r="N1990">
        <f>IFERROR(VLOOKUP(D1990,Products!$A$2:$F$61,4,FALSE()),"")</f>
        <v>1626</v>
      </c>
      <c r="O1990" t="str">
        <f>IFERROR(VLOOKUP(C1990,Customers!$A$2:$F$301,5,FALSE()),"")</f>
        <v>Retail</v>
      </c>
      <c r="P1990">
        <f>IFERROR(VLOOKUP(C1990,Customers!$A$2:$F$301,3,FALSE()),"")</f>
        <v>53</v>
      </c>
      <c r="Q1990">
        <f t="shared" si="93"/>
        <v>0.46158940397350995</v>
      </c>
      <c r="R1990">
        <f>IF(AND(COUNTIF($A$2:$A$2027,A1990)&gt;1,COUNTIF($A$2:A1990,A1990)=1),1,0)</f>
        <v>0</v>
      </c>
      <c r="S1990" t="b">
        <f>IFERROR(VLOOKUP(D1990,Products!$A$2:$F$61,6,FALSE()),"")</f>
        <v>1</v>
      </c>
      <c r="T1990" t="str">
        <f>IF(COUNTIF(Customers!$A$2:$A$301,C1990)=0,"Missing","OK")</f>
        <v>OK</v>
      </c>
      <c r="U1990" t="str">
        <f t="shared" si="94"/>
        <v>Delhi</v>
      </c>
      <c r="V1990">
        <f t="shared" si="95"/>
        <v>0</v>
      </c>
    </row>
    <row r="1991" spans="1:22" ht="15" customHeight="1" x14ac:dyDescent="0.35">
      <c r="A1991" s="3" t="s">
        <v>2429</v>
      </c>
      <c r="B1991" s="4">
        <v>45645</v>
      </c>
      <c r="C1991" s="3" t="s">
        <v>105</v>
      </c>
      <c r="D1991" s="3" t="s">
        <v>441</v>
      </c>
      <c r="E1991" s="3" t="s">
        <v>42</v>
      </c>
      <c r="F1991" s="5">
        <v>10</v>
      </c>
      <c r="G1991" s="5">
        <v>1090</v>
      </c>
      <c r="H1991" s="5">
        <v>29.2</v>
      </c>
      <c r="I1991" s="5">
        <v>7717.2</v>
      </c>
      <c r="J1991" s="3" t="s">
        <v>79</v>
      </c>
      <c r="K1991" s="3" t="s">
        <v>72</v>
      </c>
      <c r="L1991" t="str">
        <f>IFERROR(VLOOKUP(D1991,Products!$A$2:$F$61,3,FALSE()),"")</f>
        <v>Home</v>
      </c>
      <c r="M1991" t="str">
        <f>IFERROR(VLOOKUP(E1991,Sales_Reps!$A$2:$C$31,3,FALSE()),"")</f>
        <v>North</v>
      </c>
      <c r="N1991">
        <f>IFERROR(VLOOKUP(D1991,Products!$A$2:$F$61,4,FALSE()),"")</f>
        <v>464</v>
      </c>
      <c r="O1991" t="str">
        <f>IFERROR(VLOOKUP(C1991,Customers!$A$2:$F$301,5,FALSE()),"")</f>
        <v>Retail</v>
      </c>
      <c r="P1991">
        <f>IFERROR(VLOOKUP(C1991,Customers!$A$2:$F$301,3,FALSE()),"")</f>
        <v>32</v>
      </c>
      <c r="Q1991">
        <f t="shared" si="93"/>
        <v>0.57431192660550456</v>
      </c>
      <c r="R1991">
        <f>IF(AND(COUNTIF($A$2:$A$2027,A1991)&gt;1,COUNTIF($A$2:A1991,A1991)=1),1,0)</f>
        <v>0</v>
      </c>
      <c r="S1991" t="b">
        <f>IFERROR(VLOOKUP(D1991,Products!$A$2:$F$61,6,FALSE()),"")</f>
        <v>1</v>
      </c>
      <c r="T1991" t="str">
        <f>IF(COUNTIF(Customers!$A$2:$A$301,C1991)=0,"Missing","OK")</f>
        <v>OK</v>
      </c>
      <c r="U1991" t="str">
        <f t="shared" si="94"/>
        <v>Hyderabad</v>
      </c>
      <c r="V1991">
        <f t="shared" si="95"/>
        <v>0</v>
      </c>
    </row>
    <row r="1992" spans="1:22" ht="15" customHeight="1" x14ac:dyDescent="0.35">
      <c r="A1992" s="3" t="s">
        <v>2430</v>
      </c>
      <c r="B1992" s="4">
        <v>45616</v>
      </c>
      <c r="C1992" s="3" t="s">
        <v>1043</v>
      </c>
      <c r="D1992" s="3" t="s">
        <v>130</v>
      </c>
      <c r="E1992" s="3" t="s">
        <v>191</v>
      </c>
      <c r="F1992" s="5">
        <v>5</v>
      </c>
      <c r="G1992" s="5">
        <v>5100</v>
      </c>
      <c r="H1992" s="5">
        <v>28.4</v>
      </c>
      <c r="I1992" s="5">
        <v>18258</v>
      </c>
      <c r="J1992" s="3" t="s">
        <v>26</v>
      </c>
      <c r="K1992" s="3" t="s">
        <v>56</v>
      </c>
      <c r="L1992" t="str">
        <f>IFERROR(VLOOKUP(D1992,Products!$A$2:$F$61,3,FALSE()),"")</f>
        <v>Beauty</v>
      </c>
      <c r="M1992" t="str">
        <f>IFERROR(VLOOKUP(E1992,Sales_Reps!$A$2:$C$31,3,FALSE()),"")</f>
        <v>South</v>
      </c>
      <c r="N1992">
        <f>IFERROR(VLOOKUP(D1992,Products!$A$2:$F$61,4,FALSE()),"")</f>
        <v>2237</v>
      </c>
      <c r="O1992" t="str">
        <f>IFERROR(VLOOKUP(C1992,Customers!$A$2:$F$301,5,FALSE()),"")</f>
        <v>Corporate</v>
      </c>
      <c r="P1992">
        <f>IFERROR(VLOOKUP(C1992,Customers!$A$2:$F$301,3,FALSE()),"")</f>
        <v>31</v>
      </c>
      <c r="Q1992">
        <f t="shared" si="93"/>
        <v>0.56137254901960787</v>
      </c>
      <c r="R1992">
        <f>IF(AND(COUNTIF($A$2:$A$2027,A1992)&gt;1,COUNTIF($A$2:A1992,A1992)=1),1,0)</f>
        <v>0</v>
      </c>
      <c r="S1992" t="b">
        <f>IFERROR(VLOOKUP(D1992,Products!$A$2:$F$61,6,FALSE()),"")</f>
        <v>1</v>
      </c>
      <c r="T1992" t="str">
        <f>IF(COUNTIF(Customers!$A$2:$A$301,C1992)=0,"Missing","OK")</f>
        <v>OK</v>
      </c>
      <c r="U1992" t="str">
        <f t="shared" si="94"/>
        <v>Bengaluru</v>
      </c>
      <c r="V1992">
        <f t="shared" si="95"/>
        <v>0</v>
      </c>
    </row>
    <row r="1993" spans="1:22" ht="15" customHeight="1" x14ac:dyDescent="0.35">
      <c r="A1993" s="3" t="s">
        <v>2431</v>
      </c>
      <c r="B1993" s="4">
        <v>45352</v>
      </c>
      <c r="C1993" s="3" t="s">
        <v>521</v>
      </c>
      <c r="D1993" s="3" t="s">
        <v>123</v>
      </c>
      <c r="E1993" s="3" t="s">
        <v>46</v>
      </c>
      <c r="F1993" s="5">
        <v>6</v>
      </c>
      <c r="G1993" s="5">
        <v>4880</v>
      </c>
      <c r="H1993" s="5">
        <v>16.8</v>
      </c>
      <c r="I1993" s="5">
        <v>24360.959999999999</v>
      </c>
      <c r="J1993" s="3" t="s">
        <v>26</v>
      </c>
      <c r="K1993" s="3" t="s">
        <v>33</v>
      </c>
      <c r="L1993" t="str">
        <f>IFERROR(VLOOKUP(D1993,Products!$A$2:$F$61,3,FALSE()),"")</f>
        <v>Beauty</v>
      </c>
      <c r="M1993" t="str">
        <f>IFERROR(VLOOKUP(E1993,Sales_Reps!$A$2:$C$31,3,FALSE()),"")</f>
        <v>North</v>
      </c>
      <c r="N1993">
        <f>IFERROR(VLOOKUP(D1993,Products!$A$2:$F$61,4,FALSE()),"")</f>
        <v>2768</v>
      </c>
      <c r="O1993" t="str">
        <f>IFERROR(VLOOKUP(C1993,Customers!$A$2:$F$301,5,FALSE()),"")</f>
        <v>SMB</v>
      </c>
      <c r="P1993">
        <f>IFERROR(VLOOKUP(C1993,Customers!$A$2:$F$301,3,FALSE()),"")</f>
        <v>59</v>
      </c>
      <c r="Q1993">
        <f t="shared" si="93"/>
        <v>0.43278688524590164</v>
      </c>
      <c r="R1993">
        <f>IF(AND(COUNTIF($A$2:$A$2027,A1993)&gt;1,COUNTIF($A$2:A1993,A1993)=1),1,0)</f>
        <v>0</v>
      </c>
      <c r="S1993" t="b">
        <f>IFERROR(VLOOKUP(D1993,Products!$A$2:$F$61,6,FALSE()),"")</f>
        <v>1</v>
      </c>
      <c r="T1993" t="str">
        <f>IF(COUNTIF(Customers!$A$2:$A$301,C1993)=0,"Missing","OK")</f>
        <v>OK</v>
      </c>
      <c r="U1993" t="str">
        <f t="shared" si="94"/>
        <v>Chennai</v>
      </c>
      <c r="V1993">
        <f t="shared" si="95"/>
        <v>0</v>
      </c>
    </row>
    <row r="1994" spans="1:22" ht="15" customHeight="1" x14ac:dyDescent="0.35">
      <c r="A1994" s="3" t="s">
        <v>2432</v>
      </c>
      <c r="B1994" s="4">
        <v>45451</v>
      </c>
      <c r="C1994" s="3" t="s">
        <v>636</v>
      </c>
      <c r="D1994" s="3" t="s">
        <v>303</v>
      </c>
      <c r="E1994" s="3" t="s">
        <v>282</v>
      </c>
      <c r="F1994" s="5">
        <v>1</v>
      </c>
      <c r="G1994" s="5">
        <v>5330</v>
      </c>
      <c r="H1994" s="5">
        <v>27.5</v>
      </c>
      <c r="I1994" s="5">
        <v>3864.25</v>
      </c>
      <c r="J1994" s="3" t="s">
        <v>26</v>
      </c>
      <c r="K1994" s="3" t="s">
        <v>72</v>
      </c>
      <c r="L1994" t="str">
        <f>IFERROR(VLOOKUP(D1994,Products!$A$2:$F$61,3,FALSE()),"")</f>
        <v>Electronics</v>
      </c>
      <c r="M1994" t="str">
        <f>IFERROR(VLOOKUP(E1994,Sales_Reps!$A$2:$C$31,3,FALSE()),"")</f>
        <v>West</v>
      </c>
      <c r="N1994">
        <f>IFERROR(VLOOKUP(D1994,Products!$A$2:$F$61,4,FALSE()),"")</f>
        <v>2405</v>
      </c>
      <c r="O1994" t="str">
        <f>IFERROR(VLOOKUP(C1994,Customers!$A$2:$F$301,5,FALSE()),"")</f>
        <v>Retail</v>
      </c>
      <c r="P1994">
        <f>IFERROR(VLOOKUP(C1994,Customers!$A$2:$F$301,3,FALSE()),"")</f>
        <v>65</v>
      </c>
      <c r="Q1994">
        <f t="shared" si="93"/>
        <v>0.54878048780487809</v>
      </c>
      <c r="R1994">
        <f>IF(AND(COUNTIF($A$2:$A$2027,A1994)&gt;1,COUNTIF($A$2:A1994,A1994)=1),1,0)</f>
        <v>0</v>
      </c>
      <c r="S1994" t="b">
        <f>IFERROR(VLOOKUP(D1994,Products!$A$2:$F$61,6,FALSE()),"")</f>
        <v>1</v>
      </c>
      <c r="T1994" t="str">
        <f>IF(COUNTIF(Customers!$A$2:$A$301,C1994)=0,"Missing","OK")</f>
        <v>OK</v>
      </c>
      <c r="U1994" t="str">
        <f t="shared" si="94"/>
        <v>Hyderabad</v>
      </c>
      <c r="V1994">
        <f t="shared" si="95"/>
        <v>0</v>
      </c>
    </row>
    <row r="1995" spans="1:22" ht="15" customHeight="1" x14ac:dyDescent="0.35">
      <c r="A1995" s="3" t="s">
        <v>2433</v>
      </c>
      <c r="B1995" s="4">
        <v>45477</v>
      </c>
      <c r="C1995" s="3" t="s">
        <v>81</v>
      </c>
      <c r="D1995" s="3" t="s">
        <v>234</v>
      </c>
      <c r="E1995" s="3" t="s">
        <v>168</v>
      </c>
      <c r="F1995" s="5">
        <v>7</v>
      </c>
      <c r="G1995" s="5">
        <v>2030</v>
      </c>
      <c r="H1995" s="5">
        <v>5.3</v>
      </c>
      <c r="I1995" s="5">
        <v>13456.87</v>
      </c>
      <c r="J1995" s="3" t="s">
        <v>79</v>
      </c>
      <c r="K1995" s="3" t="s">
        <v>27</v>
      </c>
      <c r="L1995" t="str">
        <f>IFERROR(VLOOKUP(D1995,Products!$A$2:$F$61,3,FALSE()),"")</f>
        <v>Home</v>
      </c>
      <c r="M1995" t="str">
        <f>IFERROR(VLOOKUP(E1995,Sales_Reps!$A$2:$C$31,3,FALSE()),"")</f>
        <v>West</v>
      </c>
      <c r="N1995">
        <f>IFERROR(VLOOKUP(D1995,Products!$A$2:$F$61,4,FALSE()),"")</f>
        <v>1143</v>
      </c>
      <c r="O1995" t="str">
        <f>IFERROR(VLOOKUP(C1995,Customers!$A$2:$F$301,5,FALSE()),"")</f>
        <v>SMB</v>
      </c>
      <c r="P1995">
        <f>IFERROR(VLOOKUP(C1995,Customers!$A$2:$F$301,3,FALSE()),"")</f>
        <v>39</v>
      </c>
      <c r="Q1995">
        <f t="shared" si="93"/>
        <v>0.43694581280788175</v>
      </c>
      <c r="R1995">
        <f>IF(AND(COUNTIF($A$2:$A$2027,A1995)&gt;1,COUNTIF($A$2:A1995,A1995)=1),1,0)</f>
        <v>0</v>
      </c>
      <c r="S1995" t="b">
        <f>IFERROR(VLOOKUP(D1995,Products!$A$2:$F$61,6,FALSE()),"")</f>
        <v>1</v>
      </c>
      <c r="T1995" t="str">
        <f>IF(COUNTIF(Customers!$A$2:$A$301,C1995)=0,"Missing","OK")</f>
        <v>OK</v>
      </c>
      <c r="U1995" t="str">
        <f t="shared" si="94"/>
        <v>Pune</v>
      </c>
      <c r="V1995">
        <f t="shared" si="95"/>
        <v>0</v>
      </c>
    </row>
    <row r="1996" spans="1:22" ht="15" customHeight="1" x14ac:dyDescent="0.35">
      <c r="A1996" s="3" t="s">
        <v>2434</v>
      </c>
      <c r="B1996" s="4">
        <v>45360</v>
      </c>
      <c r="C1996" s="3" t="s">
        <v>62</v>
      </c>
      <c r="D1996" s="3" t="s">
        <v>118</v>
      </c>
      <c r="E1996" s="3" t="s">
        <v>55</v>
      </c>
      <c r="F1996" s="5">
        <v>7</v>
      </c>
      <c r="G1996" s="5">
        <v>3350</v>
      </c>
      <c r="H1996" s="5">
        <v>0.4</v>
      </c>
      <c r="I1996" s="5">
        <v>23356.2</v>
      </c>
      <c r="J1996" s="3" t="s">
        <v>26</v>
      </c>
      <c r="K1996" s="3" t="s">
        <v>56</v>
      </c>
      <c r="L1996" t="str">
        <f>IFERROR(VLOOKUP(D1996,Products!$A$2:$F$61,3,FALSE()),"")</f>
        <v>Beauty</v>
      </c>
      <c r="M1996" t="str">
        <f>IFERROR(VLOOKUP(E1996,Sales_Reps!$A$2:$C$31,3,FALSE()),"")</f>
        <v>West</v>
      </c>
      <c r="N1996">
        <f>IFERROR(VLOOKUP(D1996,Products!$A$2:$F$61,4,FALSE()),"")</f>
        <v>1728</v>
      </c>
      <c r="O1996" t="str">
        <f>IFERROR(VLOOKUP(C1996,Customers!$A$2:$F$301,5,FALSE()),"")</f>
        <v>Retail</v>
      </c>
      <c r="P1996">
        <f>IFERROR(VLOOKUP(C1996,Customers!$A$2:$F$301,3,FALSE()),"")</f>
        <v>42</v>
      </c>
      <c r="Q1996">
        <f t="shared" si="93"/>
        <v>0.48417910447761192</v>
      </c>
      <c r="R1996">
        <f>IF(AND(COUNTIF($A$2:$A$2027,A1996)&gt;1,COUNTIF($A$2:A1996,A1996)=1),1,0)</f>
        <v>0</v>
      </c>
      <c r="S1996" t="b">
        <f>IFERROR(VLOOKUP(D1996,Products!$A$2:$F$61,6,FALSE()),"")</f>
        <v>1</v>
      </c>
      <c r="T1996" t="str">
        <f>IF(COUNTIF(Customers!$A$2:$A$301,C1996)=0,"Missing","OK")</f>
        <v>OK</v>
      </c>
      <c r="U1996" t="str">
        <f t="shared" si="94"/>
        <v>Bengaluru</v>
      </c>
      <c r="V1996">
        <f t="shared" si="95"/>
        <v>0</v>
      </c>
    </row>
    <row r="1997" spans="1:22" ht="15" customHeight="1" x14ac:dyDescent="0.35">
      <c r="A1997" s="3" t="s">
        <v>2435</v>
      </c>
      <c r="B1997" s="4">
        <v>45292</v>
      </c>
      <c r="C1997" s="3" t="s">
        <v>102</v>
      </c>
      <c r="D1997" s="3" t="s">
        <v>165</v>
      </c>
      <c r="E1997" s="3" t="s">
        <v>127</v>
      </c>
      <c r="F1997" s="5">
        <v>6</v>
      </c>
      <c r="G1997" s="5">
        <v>3730</v>
      </c>
      <c r="H1997" s="5">
        <v>13.8</v>
      </c>
      <c r="I1997" s="5">
        <v>19291.560000000001</v>
      </c>
      <c r="J1997" s="3" t="s">
        <v>26</v>
      </c>
      <c r="K1997" s="3" t="s">
        <v>33</v>
      </c>
      <c r="L1997" t="str">
        <f>IFERROR(VLOOKUP(D1997,Products!$A$2:$F$61,3,FALSE()),"")</f>
        <v>Home</v>
      </c>
      <c r="M1997" t="str">
        <f>IFERROR(VLOOKUP(E1997,Sales_Reps!$A$2:$C$31,3,FALSE()),"")</f>
        <v>South</v>
      </c>
      <c r="N1997">
        <f>IFERROR(VLOOKUP(D1997,Products!$A$2:$F$61,4,FALSE()),"")</f>
        <v>2135</v>
      </c>
      <c r="O1997" t="str">
        <f>IFERROR(VLOOKUP(C1997,Customers!$A$2:$F$301,5,FALSE()),"")</f>
        <v>Retail</v>
      </c>
      <c r="P1997">
        <f>IFERROR(VLOOKUP(C1997,Customers!$A$2:$F$301,3,FALSE()),"")</f>
        <v>49</v>
      </c>
      <c r="Q1997">
        <f t="shared" si="93"/>
        <v>0.42761394101876676</v>
      </c>
      <c r="R1997">
        <f>IF(AND(COUNTIF($A$2:$A$2027,A1997)&gt;1,COUNTIF($A$2:A1997,A1997)=1),1,0)</f>
        <v>0</v>
      </c>
      <c r="S1997" t="b">
        <f>IFERROR(VLOOKUP(D1997,Products!$A$2:$F$61,6,FALSE()),"")</f>
        <v>1</v>
      </c>
      <c r="T1997" t="str">
        <f>IF(COUNTIF(Customers!$A$2:$A$301,C1997)=0,"Missing","OK")</f>
        <v>OK</v>
      </c>
      <c r="U1997" t="str">
        <f t="shared" si="94"/>
        <v>Chennai</v>
      </c>
      <c r="V1997">
        <f t="shared" si="95"/>
        <v>0</v>
      </c>
    </row>
    <row r="1998" spans="1:22" ht="15" customHeight="1" x14ac:dyDescent="0.35">
      <c r="A1998" s="3" t="s">
        <v>2436</v>
      </c>
      <c r="B1998" s="4">
        <v>45585</v>
      </c>
      <c r="C1998" s="3" t="s">
        <v>502</v>
      </c>
      <c r="D1998" s="3" t="s">
        <v>347</v>
      </c>
      <c r="E1998" s="3" t="s">
        <v>177</v>
      </c>
      <c r="F1998" s="5">
        <v>6</v>
      </c>
      <c r="G1998" s="5">
        <v>3970</v>
      </c>
      <c r="H1998" s="5">
        <v>5.8</v>
      </c>
      <c r="I1998" s="5">
        <v>22438.44</v>
      </c>
      <c r="J1998" s="3" t="s">
        <v>32</v>
      </c>
      <c r="K1998" s="3" t="s">
        <v>27</v>
      </c>
      <c r="L1998" t="str">
        <f>IFERROR(VLOOKUP(D1998,Products!$A$2:$F$61,3,FALSE()),"")</f>
        <v>Electronics</v>
      </c>
      <c r="M1998" t="str">
        <f>IFERROR(VLOOKUP(E1998,Sales_Reps!$A$2:$C$31,3,FALSE()),"")</f>
        <v>East</v>
      </c>
      <c r="N1998">
        <f>IFERROR(VLOOKUP(D1998,Products!$A$2:$F$61,4,FALSE()),"")</f>
        <v>2865</v>
      </c>
      <c r="O1998" t="str">
        <f>IFERROR(VLOOKUP(C1998,Customers!$A$2:$F$301,5,FALSE()),"")</f>
        <v>SMB</v>
      </c>
      <c r="P1998">
        <f>IFERROR(VLOOKUP(C1998,Customers!$A$2:$F$301,3,FALSE()),"")</f>
        <v>24</v>
      </c>
      <c r="Q1998">
        <f t="shared" si="93"/>
        <v>0.27833753148614609</v>
      </c>
      <c r="R1998">
        <f>IF(AND(COUNTIF($A$2:$A$2027,A1998)&gt;1,COUNTIF($A$2:A1998,A1998)=1),1,0)</f>
        <v>0</v>
      </c>
      <c r="S1998" t="b">
        <f>IFERROR(VLOOKUP(D1998,Products!$A$2:$F$61,6,FALSE()),"")</f>
        <v>1</v>
      </c>
      <c r="T1998" t="str">
        <f>IF(COUNTIF(Customers!$A$2:$A$301,C1998)=0,"Missing","OK")</f>
        <v>OK</v>
      </c>
      <c r="U1998" t="str">
        <f t="shared" si="94"/>
        <v>Pune</v>
      </c>
      <c r="V1998">
        <f t="shared" si="95"/>
        <v>0</v>
      </c>
    </row>
    <row r="1999" spans="1:22" ht="15" customHeight="1" x14ac:dyDescent="0.35">
      <c r="A1999" s="3" t="s">
        <v>2437</v>
      </c>
      <c r="B1999" s="4">
        <v>45592</v>
      </c>
      <c r="C1999" s="3" t="s">
        <v>696</v>
      </c>
      <c r="D1999" s="3" t="s">
        <v>277</v>
      </c>
      <c r="E1999" s="3" t="s">
        <v>212</v>
      </c>
      <c r="F1999" s="5">
        <v>4</v>
      </c>
      <c r="G1999" s="5">
        <v>2210</v>
      </c>
      <c r="H1999" s="5">
        <v>18.2</v>
      </c>
      <c r="I1999" s="5">
        <v>7231.12</v>
      </c>
      <c r="J1999" s="3" t="s">
        <v>32</v>
      </c>
      <c r="K1999" s="3" t="s">
        <v>56</v>
      </c>
      <c r="L1999" t="str">
        <f>IFERROR(VLOOKUP(D1999,Products!$A$2:$F$61,3,FALSE()),"")</f>
        <v>Grocery</v>
      </c>
      <c r="M1999" t="str">
        <f>IFERROR(VLOOKUP(E1999,Sales_Reps!$A$2:$C$31,3,FALSE()),"")</f>
        <v>South</v>
      </c>
      <c r="N1999">
        <f>IFERROR(VLOOKUP(D1999,Products!$A$2:$F$61,4,FALSE()),"")</f>
        <v>1010</v>
      </c>
      <c r="O1999" t="str">
        <f>IFERROR(VLOOKUP(C1999,Customers!$A$2:$F$301,5,FALSE()),"")</f>
        <v>Corporate</v>
      </c>
      <c r="P1999">
        <f>IFERROR(VLOOKUP(C1999,Customers!$A$2:$F$301,3,FALSE()),"")</f>
        <v>43</v>
      </c>
      <c r="Q1999">
        <f t="shared" si="93"/>
        <v>0.54298642533936647</v>
      </c>
      <c r="R1999">
        <f>IF(AND(COUNTIF($A$2:$A$2027,A1999)&gt;1,COUNTIF($A$2:A1999,A1999)=1),1,0)</f>
        <v>0</v>
      </c>
      <c r="S1999" t="b">
        <f>IFERROR(VLOOKUP(D1999,Products!$A$2:$F$61,6,FALSE()),"")</f>
        <v>1</v>
      </c>
      <c r="T1999" t="str">
        <f>IF(COUNTIF(Customers!$A$2:$A$301,C1999)=0,"Missing","OK")</f>
        <v>OK</v>
      </c>
      <c r="U1999" t="str">
        <f t="shared" si="94"/>
        <v>Bengaluru</v>
      </c>
      <c r="V1999">
        <f t="shared" si="95"/>
        <v>7231.12</v>
      </c>
    </row>
    <row r="2000" spans="1:22" ht="15" customHeight="1" x14ac:dyDescent="0.35">
      <c r="A2000" s="3" t="s">
        <v>2438</v>
      </c>
      <c r="B2000" s="4">
        <v>45370</v>
      </c>
      <c r="C2000" s="3" t="s">
        <v>577</v>
      </c>
      <c r="D2000" s="3" t="s">
        <v>299</v>
      </c>
      <c r="E2000" s="3" t="s">
        <v>46</v>
      </c>
      <c r="F2000" s="5">
        <v>6</v>
      </c>
      <c r="G2000" s="5">
        <v>5410</v>
      </c>
      <c r="H2000" s="5">
        <v>15.5</v>
      </c>
      <c r="I2000" s="5">
        <v>27428.7</v>
      </c>
      <c r="J2000" s="3" t="s">
        <v>26</v>
      </c>
      <c r="K2000" s="3" t="s">
        <v>38</v>
      </c>
      <c r="L2000" t="str">
        <f>IFERROR(VLOOKUP(D2000,Products!$A$2:$F$61,3,FALSE()),"")</f>
        <v>Sports</v>
      </c>
      <c r="M2000" t="str">
        <f>IFERROR(VLOOKUP(E2000,Sales_Reps!$A$2:$C$31,3,FALSE()),"")</f>
        <v>North</v>
      </c>
      <c r="N2000">
        <f>IFERROR(VLOOKUP(D2000,Products!$A$2:$F$61,4,FALSE()),"")</f>
        <v>2265</v>
      </c>
      <c r="O2000" t="str">
        <f>IFERROR(VLOOKUP(C2000,Customers!$A$2:$F$301,5,FALSE()),"")</f>
        <v>Retail</v>
      </c>
      <c r="P2000">
        <f>IFERROR(VLOOKUP(C2000,Customers!$A$2:$F$301,3,FALSE()),"")</f>
        <v>43</v>
      </c>
      <c r="Q2000">
        <f t="shared" si="93"/>
        <v>0.58133086876155271</v>
      </c>
      <c r="R2000">
        <f>IF(AND(COUNTIF($A$2:$A$2027,A2000)&gt;1,COUNTIF($A$2:A2000,A2000)=1),1,0)</f>
        <v>0</v>
      </c>
      <c r="S2000" t="b">
        <f>IFERROR(VLOOKUP(D2000,Products!$A$2:$F$61,6,FALSE()),"")</f>
        <v>1</v>
      </c>
      <c r="T2000" t="str">
        <f>IF(COUNTIF(Customers!$A$2:$A$301,C2000)=0,"Missing","OK")</f>
        <v>OK</v>
      </c>
      <c r="U2000" t="str">
        <f t="shared" si="94"/>
        <v>Delhi</v>
      </c>
      <c r="V2000">
        <f t="shared" si="95"/>
        <v>0</v>
      </c>
    </row>
    <row r="2001" spans="1:22" ht="15" customHeight="1" x14ac:dyDescent="0.35">
      <c r="A2001" s="3" t="s">
        <v>2439</v>
      </c>
      <c r="B2001" s="4">
        <v>45325</v>
      </c>
      <c r="C2001" s="3" t="s">
        <v>574</v>
      </c>
      <c r="D2001" s="3" t="s">
        <v>382</v>
      </c>
      <c r="E2001" s="3" t="s">
        <v>93</v>
      </c>
      <c r="F2001" s="5">
        <v>6</v>
      </c>
      <c r="G2001" s="5">
        <v>5080</v>
      </c>
      <c r="H2001" s="5">
        <v>28.1</v>
      </c>
      <c r="I2001" s="5">
        <v>21915.119999999999</v>
      </c>
      <c r="J2001" s="3" t="s">
        <v>26</v>
      </c>
      <c r="K2001" s="3" t="s">
        <v>38</v>
      </c>
      <c r="L2001" t="str">
        <f>IFERROR(VLOOKUP(D2001,Products!$A$2:$F$61,3,FALSE()),"")</f>
        <v>Home</v>
      </c>
      <c r="M2001" t="str">
        <f>IFERROR(VLOOKUP(E2001,Sales_Reps!$A$2:$C$31,3,FALSE()),"")</f>
        <v>East</v>
      </c>
      <c r="N2001">
        <f>IFERROR(VLOOKUP(D2001,Products!$A$2:$F$61,4,FALSE()),"")</f>
        <v>2459</v>
      </c>
      <c r="O2001" t="str">
        <f>IFERROR(VLOOKUP(C2001,Customers!$A$2:$F$301,5,FALSE()),"")</f>
        <v>Retail</v>
      </c>
      <c r="P2001">
        <f>IFERROR(VLOOKUP(C2001,Customers!$A$2:$F$301,3,FALSE()),"")</f>
        <v>49</v>
      </c>
      <c r="Q2001">
        <f t="shared" si="93"/>
        <v>0.51594488188976373</v>
      </c>
      <c r="R2001">
        <f>IF(AND(COUNTIF($A$2:$A$2027,A2001)&gt;1,COUNTIF($A$2:A2001,A2001)=1),1,0)</f>
        <v>0</v>
      </c>
      <c r="S2001" t="b">
        <f>IFERROR(VLOOKUP(D2001,Products!$A$2:$F$61,6,FALSE()),"")</f>
        <v>1</v>
      </c>
      <c r="T2001" t="str">
        <f>IF(COUNTIF(Customers!$A$2:$A$301,C2001)=0,"Missing","OK")</f>
        <v>OK</v>
      </c>
      <c r="U2001" t="str">
        <f t="shared" si="94"/>
        <v>Delhi</v>
      </c>
      <c r="V2001">
        <f t="shared" si="95"/>
        <v>0</v>
      </c>
    </row>
    <row r="2002" spans="1:22" ht="15" customHeight="1" x14ac:dyDescent="0.35">
      <c r="L2002" t="str">
        <f>IFERROR(VLOOKUP(D2002,Products!$A$2:$F$61,3,FALSE()),"")</f>
        <v/>
      </c>
      <c r="M2002" t="str">
        <f>IFERROR(VLOOKUP(E2002,Sales_Reps!$A$2:$C$31,3,FALSE()),"")</f>
        <v/>
      </c>
      <c r="N2002" t="str">
        <f>IFERROR(VLOOKUP(D2002,Products!$A$2:$F$61,4,FALSE()),"")</f>
        <v/>
      </c>
      <c r="O2002" t="str">
        <f>IFERROR(VLOOKUP(C2002,Customers!$A$2:$F$301,5,FALSE()),"")</f>
        <v/>
      </c>
      <c r="P2002" t="str">
        <f>IFERROR(VLOOKUP(C2002,Customers!$A$2:$F$301,3,FALSE()),"")</f>
        <v/>
      </c>
      <c r="Q2002" t="str">
        <f t="shared" si="93"/>
        <v/>
      </c>
      <c r="R2002">
        <f>IF(AND(COUNTIF($A$2:$A$2027,A2002)&gt;1,COUNTIF($A$2:A2002,A2002)=1),1,0)</f>
        <v>0</v>
      </c>
      <c r="S2002" t="str">
        <f>IFERROR(VLOOKUP(D2002,Products!$A$2:$F$61,6,FALSE()),"")</f>
        <v/>
      </c>
      <c r="T2002" t="str">
        <f>IF(COUNTIF(Customers!$A$2:$A$301,C2002)=0,"Missing","OK")</f>
        <v>Missing</v>
      </c>
      <c r="U2002" t="str">
        <f t="shared" si="94"/>
        <v/>
      </c>
      <c r="V2002">
        <f t="shared" si="95"/>
        <v>0</v>
      </c>
    </row>
    <row r="2003" spans="1:22" ht="15" customHeight="1" x14ac:dyDescent="0.35">
      <c r="L2003" t="str">
        <f>IFERROR(VLOOKUP(D2003,Products!$A$2:$F$61,3,FALSE()),"")</f>
        <v/>
      </c>
      <c r="M2003" t="str">
        <f>IFERROR(VLOOKUP(E2003,Sales_Reps!$A$2:$C$31,3,FALSE()),"")</f>
        <v/>
      </c>
      <c r="N2003" t="str">
        <f>IFERROR(VLOOKUP(D2003,Products!$A$2:$F$61,4,FALSE()),"")</f>
        <v/>
      </c>
      <c r="O2003" t="str">
        <f>IFERROR(VLOOKUP(C2003,Customers!$A$2:$F$301,5,FALSE()),"")</f>
        <v/>
      </c>
      <c r="P2003" t="str">
        <f>IFERROR(VLOOKUP(C2003,Customers!$A$2:$F$301,3,FALSE()),"")</f>
        <v/>
      </c>
      <c r="Q2003" t="str">
        <f t="shared" si="93"/>
        <v/>
      </c>
      <c r="R2003">
        <f>IF(AND(COUNTIF($A$2:$A$2027,A2003)&gt;1,COUNTIF($A$2:A2003,A2003)=1),1,0)</f>
        <v>0</v>
      </c>
      <c r="S2003" t="str">
        <f>IFERROR(VLOOKUP(D2003,Products!$A$2:$F$61,6,FALSE()),"")</f>
        <v/>
      </c>
      <c r="T2003" t="str">
        <f>IF(COUNTIF(Customers!$A$2:$A$301,C2003)=0,"Missing","OK")</f>
        <v>Missing</v>
      </c>
      <c r="U2003" t="str">
        <f t="shared" si="94"/>
        <v/>
      </c>
      <c r="V2003">
        <f t="shared" si="95"/>
        <v>0</v>
      </c>
    </row>
    <row r="2004" spans="1:22" ht="15" customHeight="1" x14ac:dyDescent="0.35">
      <c r="L2004" t="str">
        <f>IFERROR(VLOOKUP(D2004,Products!$A$2:$F$61,3,FALSE()),"")</f>
        <v/>
      </c>
      <c r="M2004" t="str">
        <f>IFERROR(VLOOKUP(E2004,Sales_Reps!$A$2:$C$31,3,FALSE()),"")</f>
        <v/>
      </c>
      <c r="N2004" t="str">
        <f>IFERROR(VLOOKUP(D2004,Products!$A$2:$F$61,4,FALSE()),"")</f>
        <v/>
      </c>
      <c r="O2004" t="str">
        <f>IFERROR(VLOOKUP(C2004,Customers!$A$2:$F$301,5,FALSE()),"")</f>
        <v/>
      </c>
      <c r="P2004" t="str">
        <f>IFERROR(VLOOKUP(C2004,Customers!$A$2:$F$301,3,FALSE()),"")</f>
        <v/>
      </c>
      <c r="Q2004" t="str">
        <f t="shared" si="93"/>
        <v/>
      </c>
      <c r="R2004">
        <f>IF(AND(COUNTIF($A$2:$A$2027,A2004)&gt;1,COUNTIF($A$2:A2004,A2004)=1),1,0)</f>
        <v>0</v>
      </c>
      <c r="S2004" t="str">
        <f>IFERROR(VLOOKUP(D2004,Products!$A$2:$F$61,6,FALSE()),"")</f>
        <v/>
      </c>
      <c r="T2004" t="str">
        <f>IF(COUNTIF(Customers!$A$2:$A$301,C2004)=0,"Missing","OK")</f>
        <v>Missing</v>
      </c>
      <c r="U2004" t="str">
        <f t="shared" si="94"/>
        <v/>
      </c>
      <c r="V2004">
        <f t="shared" si="95"/>
        <v>0</v>
      </c>
    </row>
    <row r="2005" spans="1:22" ht="15" customHeight="1" x14ac:dyDescent="0.35">
      <c r="L2005" t="str">
        <f>IFERROR(VLOOKUP(D2005,Products!$A$2:$F$61,3,FALSE()),"")</f>
        <v/>
      </c>
      <c r="M2005" t="str">
        <f>IFERROR(VLOOKUP(E2005,Sales_Reps!$A$2:$C$31,3,FALSE()),"")</f>
        <v/>
      </c>
      <c r="N2005" t="str">
        <f>IFERROR(VLOOKUP(D2005,Products!$A$2:$F$61,4,FALSE()),"")</f>
        <v/>
      </c>
      <c r="O2005" t="str">
        <f>IFERROR(VLOOKUP(C2005,Customers!$A$2:$F$301,5,FALSE()),"")</f>
        <v/>
      </c>
      <c r="P2005" t="str">
        <f>IFERROR(VLOOKUP(C2005,Customers!$A$2:$F$301,3,FALSE()),"")</f>
        <v/>
      </c>
      <c r="Q2005" t="str">
        <f t="shared" si="93"/>
        <v/>
      </c>
      <c r="R2005">
        <f>IF(AND(COUNTIF($A$2:$A$2027,A2005)&gt;1,COUNTIF($A$2:A2005,A2005)=1),1,0)</f>
        <v>0</v>
      </c>
      <c r="S2005" t="str">
        <f>IFERROR(VLOOKUP(D2005,Products!$A$2:$F$61,6,FALSE()),"")</f>
        <v/>
      </c>
      <c r="T2005" t="str">
        <f>IF(COUNTIF(Customers!$A$2:$A$301,C2005)=0,"Missing","OK")</f>
        <v>Missing</v>
      </c>
      <c r="U2005" t="str">
        <f t="shared" si="94"/>
        <v/>
      </c>
      <c r="V2005">
        <f t="shared" si="95"/>
        <v>0</v>
      </c>
    </row>
    <row r="2006" spans="1:22" ht="15" customHeight="1" x14ac:dyDescent="0.35">
      <c r="L2006" t="str">
        <f>IFERROR(VLOOKUP(D2006,Products!$A$2:$F$61,3,FALSE()),"")</f>
        <v/>
      </c>
      <c r="M2006" t="str">
        <f>IFERROR(VLOOKUP(E2006,Sales_Reps!$A$2:$C$31,3,FALSE()),"")</f>
        <v/>
      </c>
      <c r="N2006" t="str">
        <f>IFERROR(VLOOKUP(D2006,Products!$A$2:$F$61,4,FALSE()),"")</f>
        <v/>
      </c>
      <c r="O2006" t="str">
        <f>IFERROR(VLOOKUP(C2006,Customers!$A$2:$F$301,5,FALSE()),"")</f>
        <v/>
      </c>
      <c r="P2006" t="str">
        <f>IFERROR(VLOOKUP(C2006,Customers!$A$2:$F$301,3,FALSE()),"")</f>
        <v/>
      </c>
      <c r="Q2006" t="str">
        <f t="shared" si="93"/>
        <v/>
      </c>
      <c r="R2006">
        <f>IF(AND(COUNTIF($A$2:$A$2027,A2006)&gt;1,COUNTIF($A$2:A2006,A2006)=1),1,0)</f>
        <v>0</v>
      </c>
      <c r="S2006" t="str">
        <f>IFERROR(VLOOKUP(D2006,Products!$A$2:$F$61,6,FALSE()),"")</f>
        <v/>
      </c>
      <c r="T2006" t="str">
        <f>IF(COUNTIF(Customers!$A$2:$A$301,C2006)=0,"Missing","OK")</f>
        <v>Missing</v>
      </c>
      <c r="U2006" t="str">
        <f t="shared" si="94"/>
        <v/>
      </c>
      <c r="V2006">
        <f t="shared" si="95"/>
        <v>0</v>
      </c>
    </row>
    <row r="2007" spans="1:22" ht="15" customHeight="1" x14ac:dyDescent="0.35">
      <c r="L2007" t="str">
        <f>IFERROR(VLOOKUP(D2007,Products!$A$2:$F$61,3,FALSE()),"")</f>
        <v/>
      </c>
      <c r="M2007" t="str">
        <f>IFERROR(VLOOKUP(E2007,Sales_Reps!$A$2:$C$31,3,FALSE()),"")</f>
        <v/>
      </c>
      <c r="N2007" t="str">
        <f>IFERROR(VLOOKUP(D2007,Products!$A$2:$F$61,4,FALSE()),"")</f>
        <v/>
      </c>
      <c r="O2007" t="str">
        <f>IFERROR(VLOOKUP(C2007,Customers!$A$2:$F$301,5,FALSE()),"")</f>
        <v/>
      </c>
      <c r="P2007" t="str">
        <f>IFERROR(VLOOKUP(C2007,Customers!$A$2:$F$301,3,FALSE()),"")</f>
        <v/>
      </c>
      <c r="Q2007" t="str">
        <f t="shared" si="93"/>
        <v/>
      </c>
      <c r="R2007">
        <f>IF(AND(COUNTIF($A$2:$A$2027,A2007)&gt;1,COUNTIF($A$2:A2007,A2007)=1),1,0)</f>
        <v>0</v>
      </c>
      <c r="S2007" t="str">
        <f>IFERROR(VLOOKUP(D2007,Products!$A$2:$F$61,6,FALSE()),"")</f>
        <v/>
      </c>
      <c r="T2007" t="str">
        <f>IF(COUNTIF(Customers!$A$2:$A$301,C2007)=0,"Missing","OK")</f>
        <v>Missing</v>
      </c>
      <c r="U2007" t="str">
        <f t="shared" si="94"/>
        <v/>
      </c>
      <c r="V2007">
        <f t="shared" si="95"/>
        <v>0</v>
      </c>
    </row>
    <row r="2008" spans="1:22" ht="15" customHeight="1" x14ac:dyDescent="0.35">
      <c r="L2008" t="str">
        <f>IFERROR(VLOOKUP(D2008,Products!$A$2:$F$61,3,FALSE()),"")</f>
        <v/>
      </c>
      <c r="M2008" t="str">
        <f>IFERROR(VLOOKUP(E2008,Sales_Reps!$A$2:$C$31,3,FALSE()),"")</f>
        <v/>
      </c>
      <c r="N2008" t="str">
        <f>IFERROR(VLOOKUP(D2008,Products!$A$2:$F$61,4,FALSE()),"")</f>
        <v/>
      </c>
      <c r="O2008" t="str">
        <f>IFERROR(VLOOKUP(C2008,Customers!$A$2:$F$301,5,FALSE()),"")</f>
        <v/>
      </c>
      <c r="P2008" t="str">
        <f>IFERROR(VLOOKUP(C2008,Customers!$A$2:$F$301,3,FALSE()),"")</f>
        <v/>
      </c>
      <c r="Q2008" t="str">
        <f t="shared" si="93"/>
        <v/>
      </c>
      <c r="R2008">
        <f>IF(AND(COUNTIF($A$2:$A$2027,A2008)&gt;1,COUNTIF($A$2:A2008,A2008)=1),1,0)</f>
        <v>0</v>
      </c>
      <c r="S2008" t="str">
        <f>IFERROR(VLOOKUP(D2008,Products!$A$2:$F$61,6,FALSE()),"")</f>
        <v/>
      </c>
      <c r="T2008" t="str">
        <f>IF(COUNTIF(Customers!$A$2:$A$301,C2008)=0,"Missing","OK")</f>
        <v>Missing</v>
      </c>
      <c r="U2008" t="str">
        <f t="shared" si="94"/>
        <v/>
      </c>
      <c r="V2008">
        <f t="shared" si="95"/>
        <v>0</v>
      </c>
    </row>
    <row r="2009" spans="1:22" ht="15" customHeight="1" x14ac:dyDescent="0.35">
      <c r="L2009" t="str">
        <f>IFERROR(VLOOKUP(D2009,Products!$A$2:$F$61,3,FALSE()),"")</f>
        <v/>
      </c>
      <c r="M2009" t="str">
        <f>IFERROR(VLOOKUP(E2009,Sales_Reps!$A$2:$C$31,3,FALSE()),"")</f>
        <v/>
      </c>
      <c r="N2009" t="str">
        <f>IFERROR(VLOOKUP(D2009,Products!$A$2:$F$61,4,FALSE()),"")</f>
        <v/>
      </c>
      <c r="O2009" t="str">
        <f>IFERROR(VLOOKUP(C2009,Customers!$A$2:$F$301,5,FALSE()),"")</f>
        <v/>
      </c>
      <c r="P2009" t="str">
        <f>IFERROR(VLOOKUP(C2009,Customers!$A$2:$F$301,3,FALSE()),"")</f>
        <v/>
      </c>
      <c r="Q2009" t="str">
        <f t="shared" si="93"/>
        <v/>
      </c>
      <c r="R2009">
        <f>IF(AND(COUNTIF($A$2:$A$2027,A2009)&gt;1,COUNTIF($A$2:A2009,A2009)=1),1,0)</f>
        <v>0</v>
      </c>
      <c r="S2009" t="str">
        <f>IFERROR(VLOOKUP(D2009,Products!$A$2:$F$61,6,FALSE()),"")</f>
        <v/>
      </c>
      <c r="T2009" t="str">
        <f>IF(COUNTIF(Customers!$A$2:$A$301,C2009)=0,"Missing","OK")</f>
        <v>Missing</v>
      </c>
      <c r="U2009" t="str">
        <f t="shared" si="94"/>
        <v/>
      </c>
      <c r="V2009">
        <f t="shared" si="95"/>
        <v>0</v>
      </c>
    </row>
    <row r="2010" spans="1:22" ht="15" customHeight="1" x14ac:dyDescent="0.35">
      <c r="L2010" t="str">
        <f>IFERROR(VLOOKUP(D2010,Products!$A$2:$F$61,3,FALSE()),"")</f>
        <v/>
      </c>
      <c r="M2010" t="str">
        <f>IFERROR(VLOOKUP(E2010,Sales_Reps!$A$2:$C$31,3,FALSE()),"")</f>
        <v/>
      </c>
      <c r="N2010" t="str">
        <f>IFERROR(VLOOKUP(D2010,Products!$A$2:$F$61,4,FALSE()),"")</f>
        <v/>
      </c>
      <c r="O2010" t="str">
        <f>IFERROR(VLOOKUP(C2010,Customers!$A$2:$F$301,5,FALSE()),"")</f>
        <v/>
      </c>
      <c r="P2010" t="str">
        <f>IFERROR(VLOOKUP(C2010,Customers!$A$2:$F$301,3,FALSE()),"")</f>
        <v/>
      </c>
      <c r="Q2010" t="str">
        <f t="shared" si="93"/>
        <v/>
      </c>
      <c r="R2010">
        <f>IF(AND(COUNTIF($A$2:$A$2027,A2010)&gt;1,COUNTIF($A$2:A2010,A2010)=1),1,0)</f>
        <v>0</v>
      </c>
      <c r="S2010" t="str">
        <f>IFERROR(VLOOKUP(D2010,Products!$A$2:$F$61,6,FALSE()),"")</f>
        <v/>
      </c>
      <c r="T2010" t="str">
        <f>IF(COUNTIF(Customers!$A$2:$A$301,C2010)=0,"Missing","OK")</f>
        <v>Missing</v>
      </c>
      <c r="U2010" t="str">
        <f t="shared" si="94"/>
        <v/>
      </c>
      <c r="V2010">
        <f t="shared" si="95"/>
        <v>0</v>
      </c>
    </row>
    <row r="2011" spans="1:22" ht="15" customHeight="1" x14ac:dyDescent="0.35">
      <c r="L2011" t="str">
        <f>IFERROR(VLOOKUP(D2011,Products!$A$2:$F$61,3,FALSE()),"")</f>
        <v/>
      </c>
      <c r="M2011" t="str">
        <f>IFERROR(VLOOKUP(E2011,Sales_Reps!$A$2:$C$31,3,FALSE()),"")</f>
        <v/>
      </c>
      <c r="N2011" t="str">
        <f>IFERROR(VLOOKUP(D2011,Products!$A$2:$F$61,4,FALSE()),"")</f>
        <v/>
      </c>
      <c r="O2011" t="str">
        <f>IFERROR(VLOOKUP(C2011,Customers!$A$2:$F$301,5,FALSE()),"")</f>
        <v/>
      </c>
      <c r="P2011" t="str">
        <f>IFERROR(VLOOKUP(C2011,Customers!$A$2:$F$301,3,FALSE()),"")</f>
        <v/>
      </c>
      <c r="Q2011" t="str">
        <f t="shared" si="93"/>
        <v/>
      </c>
      <c r="R2011">
        <f>IF(AND(COUNTIF($A$2:$A$2027,A2011)&gt;1,COUNTIF($A$2:A2011,A2011)=1),1,0)</f>
        <v>0</v>
      </c>
      <c r="S2011" t="str">
        <f>IFERROR(VLOOKUP(D2011,Products!$A$2:$F$61,6,FALSE()),"")</f>
        <v/>
      </c>
      <c r="T2011" t="str">
        <f>IF(COUNTIF(Customers!$A$2:$A$301,C2011)=0,"Missing","OK")</f>
        <v>Missing</v>
      </c>
      <c r="U2011" t="str">
        <f t="shared" si="94"/>
        <v/>
      </c>
      <c r="V2011">
        <f t="shared" si="95"/>
        <v>0</v>
      </c>
    </row>
    <row r="2012" spans="1:22" ht="15" customHeight="1" x14ac:dyDescent="0.35">
      <c r="L2012" t="str">
        <f>IFERROR(VLOOKUP(D2012,Products!$A$2:$F$61,3,FALSE()),"")</f>
        <v/>
      </c>
      <c r="M2012" t="str">
        <f>IFERROR(VLOOKUP(E2012,Sales_Reps!$A$2:$C$31,3,FALSE()),"")</f>
        <v/>
      </c>
      <c r="N2012" t="str">
        <f>IFERROR(VLOOKUP(D2012,Products!$A$2:$F$61,4,FALSE()),"")</f>
        <v/>
      </c>
      <c r="O2012" t="str">
        <f>IFERROR(VLOOKUP(C2012,Customers!$A$2:$F$301,5,FALSE()),"")</f>
        <v/>
      </c>
      <c r="P2012" t="str">
        <f>IFERROR(VLOOKUP(C2012,Customers!$A$2:$F$301,3,FALSE()),"")</f>
        <v/>
      </c>
      <c r="Q2012" t="str">
        <f t="shared" si="93"/>
        <v/>
      </c>
      <c r="R2012">
        <f>IF(AND(COUNTIF($A$2:$A$2027,A2012)&gt;1,COUNTIF($A$2:A2012,A2012)=1),1,0)</f>
        <v>0</v>
      </c>
      <c r="S2012" t="str">
        <f>IFERROR(VLOOKUP(D2012,Products!$A$2:$F$61,6,FALSE()),"")</f>
        <v/>
      </c>
      <c r="T2012" t="str">
        <f>IF(COUNTIF(Customers!$A$2:$A$301,C2012)=0,"Missing","OK")</f>
        <v>Missing</v>
      </c>
      <c r="U2012" t="str">
        <f t="shared" si="94"/>
        <v/>
      </c>
      <c r="V2012">
        <f t="shared" si="95"/>
        <v>0</v>
      </c>
    </row>
    <row r="2013" spans="1:22" ht="15" customHeight="1" x14ac:dyDescent="0.35">
      <c r="L2013" t="str">
        <f>IFERROR(VLOOKUP(D2013,Products!$A$2:$F$61,3,FALSE()),"")</f>
        <v/>
      </c>
      <c r="M2013" t="str">
        <f>IFERROR(VLOOKUP(E2013,Sales_Reps!$A$2:$C$31,3,FALSE()),"")</f>
        <v/>
      </c>
      <c r="N2013" t="str">
        <f>IFERROR(VLOOKUP(D2013,Products!$A$2:$F$61,4,FALSE()),"")</f>
        <v/>
      </c>
      <c r="O2013" t="str">
        <f>IFERROR(VLOOKUP(C2013,Customers!$A$2:$F$301,5,FALSE()),"")</f>
        <v/>
      </c>
      <c r="P2013" t="str">
        <f>IFERROR(VLOOKUP(C2013,Customers!$A$2:$F$301,3,FALSE()),"")</f>
        <v/>
      </c>
      <c r="Q2013" t="str">
        <f t="shared" si="93"/>
        <v/>
      </c>
      <c r="R2013">
        <f>IF(AND(COUNTIF($A$2:$A$2027,A2013)&gt;1,COUNTIF($A$2:A2013,A2013)=1),1,0)</f>
        <v>0</v>
      </c>
      <c r="S2013" t="str">
        <f>IFERROR(VLOOKUP(D2013,Products!$A$2:$F$61,6,FALSE()),"")</f>
        <v/>
      </c>
      <c r="T2013" t="str">
        <f>IF(COUNTIF(Customers!$A$2:$A$301,C2013)=0,"Missing","OK")</f>
        <v>Missing</v>
      </c>
      <c r="U2013" t="str">
        <f t="shared" si="94"/>
        <v/>
      </c>
      <c r="V2013">
        <f t="shared" si="95"/>
        <v>0</v>
      </c>
    </row>
    <row r="2014" spans="1:22" ht="15" customHeight="1" x14ac:dyDescent="0.35">
      <c r="L2014" t="str">
        <f>IFERROR(VLOOKUP(D2014,Products!$A$2:$F$61,3,FALSE()),"")</f>
        <v/>
      </c>
      <c r="M2014" t="str">
        <f>IFERROR(VLOOKUP(E2014,Sales_Reps!$A$2:$C$31,3,FALSE()),"")</f>
        <v/>
      </c>
      <c r="N2014" t="str">
        <f>IFERROR(VLOOKUP(D2014,Products!$A$2:$F$61,4,FALSE()),"")</f>
        <v/>
      </c>
      <c r="O2014" t="str">
        <f>IFERROR(VLOOKUP(C2014,Customers!$A$2:$F$301,5,FALSE()),"")</f>
        <v/>
      </c>
      <c r="P2014" t="str">
        <f>IFERROR(VLOOKUP(C2014,Customers!$A$2:$F$301,3,FALSE()),"")</f>
        <v/>
      </c>
      <c r="Q2014" t="str">
        <f t="shared" si="93"/>
        <v/>
      </c>
      <c r="R2014">
        <f>IF(AND(COUNTIF($A$2:$A$2027,A2014)&gt;1,COUNTIF($A$2:A2014,A2014)=1),1,0)</f>
        <v>0</v>
      </c>
      <c r="S2014" t="str">
        <f>IFERROR(VLOOKUP(D2014,Products!$A$2:$F$61,6,FALSE()),"")</f>
        <v/>
      </c>
      <c r="T2014" t="str">
        <f>IF(COUNTIF(Customers!$A$2:$A$301,C2014)=0,"Missing","OK")</f>
        <v>Missing</v>
      </c>
      <c r="U2014" t="str">
        <f t="shared" si="94"/>
        <v/>
      </c>
      <c r="V2014">
        <f t="shared" si="95"/>
        <v>0</v>
      </c>
    </row>
    <row r="2015" spans="1:22" ht="15" customHeight="1" x14ac:dyDescent="0.35">
      <c r="L2015" t="str">
        <f>IFERROR(VLOOKUP(D2015,Products!$A$2:$F$61,3,FALSE()),"")</f>
        <v/>
      </c>
      <c r="M2015" t="str">
        <f>IFERROR(VLOOKUP(E2015,Sales_Reps!$A$2:$C$31,3,FALSE()),"")</f>
        <v/>
      </c>
      <c r="N2015" t="str">
        <f>IFERROR(VLOOKUP(D2015,Products!$A$2:$F$61,4,FALSE()),"")</f>
        <v/>
      </c>
      <c r="O2015" t="str">
        <f>IFERROR(VLOOKUP(C2015,Customers!$A$2:$F$301,5,FALSE()),"")</f>
        <v/>
      </c>
      <c r="P2015" t="str">
        <f>IFERROR(VLOOKUP(C2015,Customers!$A$2:$F$301,3,FALSE()),"")</f>
        <v/>
      </c>
      <c r="Q2015" t="str">
        <f t="shared" si="93"/>
        <v/>
      </c>
      <c r="R2015">
        <f>IF(AND(COUNTIF($A$2:$A$2027,A2015)&gt;1,COUNTIF($A$2:A2015,A2015)=1),1,0)</f>
        <v>0</v>
      </c>
      <c r="S2015" t="str">
        <f>IFERROR(VLOOKUP(D2015,Products!$A$2:$F$61,6,FALSE()),"")</f>
        <v/>
      </c>
      <c r="T2015" t="str">
        <f>IF(COUNTIF(Customers!$A$2:$A$301,C2015)=0,"Missing","OK")</f>
        <v>Missing</v>
      </c>
      <c r="U2015" t="str">
        <f t="shared" si="94"/>
        <v/>
      </c>
      <c r="V2015">
        <f t="shared" si="95"/>
        <v>0</v>
      </c>
    </row>
    <row r="2016" spans="1:22" ht="15" customHeight="1" x14ac:dyDescent="0.35">
      <c r="L2016" t="str">
        <f>IFERROR(VLOOKUP(D2016,Products!$A$2:$F$61,3,FALSE()),"")</f>
        <v/>
      </c>
      <c r="M2016" t="str">
        <f>IFERROR(VLOOKUP(E2016,Sales_Reps!$A$2:$C$31,3,FALSE()),"")</f>
        <v/>
      </c>
      <c r="N2016" t="str">
        <f>IFERROR(VLOOKUP(D2016,Products!$A$2:$F$61,4,FALSE()),"")</f>
        <v/>
      </c>
      <c r="O2016" t="str">
        <f>IFERROR(VLOOKUP(C2016,Customers!$A$2:$F$301,5,FALSE()),"")</f>
        <v/>
      </c>
      <c r="P2016" t="str">
        <f>IFERROR(VLOOKUP(C2016,Customers!$A$2:$F$301,3,FALSE()),"")</f>
        <v/>
      </c>
      <c r="Q2016" t="str">
        <f t="shared" si="93"/>
        <v/>
      </c>
      <c r="R2016">
        <f>IF(AND(COUNTIF($A$2:$A$2027,A2016)&gt;1,COUNTIF($A$2:A2016,A2016)=1),1,0)</f>
        <v>0</v>
      </c>
      <c r="S2016" t="str">
        <f>IFERROR(VLOOKUP(D2016,Products!$A$2:$F$61,6,FALSE()),"")</f>
        <v/>
      </c>
      <c r="T2016" t="str">
        <f>IF(COUNTIF(Customers!$A$2:$A$301,C2016)=0,"Missing","OK")</f>
        <v>Missing</v>
      </c>
      <c r="U2016" t="str">
        <f t="shared" si="94"/>
        <v/>
      </c>
      <c r="V2016">
        <f t="shared" si="95"/>
        <v>0</v>
      </c>
    </row>
    <row r="2017" spans="12:22" ht="15" customHeight="1" x14ac:dyDescent="0.35">
      <c r="L2017" t="str">
        <f>IFERROR(VLOOKUP(D2017,Products!$A$2:$F$61,3,FALSE()),"")</f>
        <v/>
      </c>
      <c r="M2017" t="str">
        <f>IFERROR(VLOOKUP(E2017,Sales_Reps!$A$2:$C$31,3,FALSE()),"")</f>
        <v/>
      </c>
      <c r="N2017" t="str">
        <f>IFERROR(VLOOKUP(D2017,Products!$A$2:$F$61,4,FALSE()),"")</f>
        <v/>
      </c>
      <c r="O2017" t="str">
        <f>IFERROR(VLOOKUP(C2017,Customers!$A$2:$F$301,5,FALSE()),"")</f>
        <v/>
      </c>
      <c r="P2017" t="str">
        <f>IFERROR(VLOOKUP(C2017,Customers!$A$2:$F$301,3,FALSE()),"")</f>
        <v/>
      </c>
      <c r="Q2017" t="str">
        <f t="shared" si="93"/>
        <v/>
      </c>
      <c r="R2017">
        <f>IF(AND(COUNTIF($A$2:$A$2027,A2017)&gt;1,COUNTIF($A$2:A2017,A2017)=1),1,0)</f>
        <v>0</v>
      </c>
      <c r="S2017" t="str">
        <f>IFERROR(VLOOKUP(D2017,Products!$A$2:$F$61,6,FALSE()),"")</f>
        <v/>
      </c>
      <c r="T2017" t="str">
        <f>IF(COUNTIF(Customers!$A$2:$A$301,C2017)=0,"Missing","OK")</f>
        <v>Missing</v>
      </c>
      <c r="U2017" t="str">
        <f t="shared" si="94"/>
        <v/>
      </c>
      <c r="V2017">
        <f t="shared" si="95"/>
        <v>0</v>
      </c>
    </row>
    <row r="2018" spans="12:22" ht="15" customHeight="1" x14ac:dyDescent="0.35">
      <c r="L2018" t="str">
        <f>IFERROR(VLOOKUP(D2018,Products!$A$2:$F$61,3,FALSE()),"")</f>
        <v/>
      </c>
      <c r="M2018" t="str">
        <f>IFERROR(VLOOKUP(E2018,Sales_Reps!$A$2:$C$31,3,FALSE()),"")</f>
        <v/>
      </c>
      <c r="N2018" t="str">
        <f>IFERROR(VLOOKUP(D2018,Products!$A$2:$F$61,4,FALSE()),"")</f>
        <v/>
      </c>
      <c r="O2018" t="str">
        <f>IFERROR(VLOOKUP(C2018,Customers!$A$2:$F$301,5,FALSE()),"")</f>
        <v/>
      </c>
      <c r="P2018" t="str">
        <f>IFERROR(VLOOKUP(C2018,Customers!$A$2:$F$301,3,FALSE()),"")</f>
        <v/>
      </c>
      <c r="Q2018" t="str">
        <f t="shared" si="93"/>
        <v/>
      </c>
      <c r="R2018">
        <f>IF(AND(COUNTIF($A$2:$A$2027,A2018)&gt;1,COUNTIF($A$2:A2018,A2018)=1),1,0)</f>
        <v>0</v>
      </c>
      <c r="S2018" t="str">
        <f>IFERROR(VLOOKUP(D2018,Products!$A$2:$F$61,6,FALSE()),"")</f>
        <v/>
      </c>
      <c r="T2018" t="str">
        <f>IF(COUNTIF(Customers!$A$2:$A$301,C2018)=0,"Missing","OK")</f>
        <v>Missing</v>
      </c>
      <c r="U2018" t="str">
        <f t="shared" si="94"/>
        <v/>
      </c>
      <c r="V2018">
        <f t="shared" si="95"/>
        <v>0</v>
      </c>
    </row>
    <row r="2019" spans="12:22" ht="15" customHeight="1" x14ac:dyDescent="0.35">
      <c r="L2019" t="str">
        <f>IFERROR(VLOOKUP(D2019,Products!$A$2:$F$61,3,FALSE()),"")</f>
        <v/>
      </c>
      <c r="M2019" t="str">
        <f>IFERROR(VLOOKUP(E2019,Sales_Reps!$A$2:$C$31,3,FALSE()),"")</f>
        <v/>
      </c>
      <c r="N2019" t="str">
        <f>IFERROR(VLOOKUP(D2019,Products!$A$2:$F$61,4,FALSE()),"")</f>
        <v/>
      </c>
      <c r="O2019" t="str">
        <f>IFERROR(VLOOKUP(C2019,Customers!$A$2:$F$301,5,FALSE()),"")</f>
        <v/>
      </c>
      <c r="P2019" t="str">
        <f>IFERROR(VLOOKUP(C2019,Customers!$A$2:$F$301,3,FALSE()),"")</f>
        <v/>
      </c>
      <c r="Q2019" t="str">
        <f t="shared" si="93"/>
        <v/>
      </c>
      <c r="R2019">
        <f>IF(AND(COUNTIF($A$2:$A$2027,A2019)&gt;1,COUNTIF($A$2:A2019,A2019)=1),1,0)</f>
        <v>0</v>
      </c>
      <c r="S2019" t="str">
        <f>IFERROR(VLOOKUP(D2019,Products!$A$2:$F$61,6,FALSE()),"")</f>
        <v/>
      </c>
      <c r="T2019" t="str">
        <f>IF(COUNTIF(Customers!$A$2:$A$301,C2019)=0,"Missing","OK")</f>
        <v>Missing</v>
      </c>
      <c r="U2019" t="str">
        <f t="shared" si="94"/>
        <v/>
      </c>
      <c r="V2019">
        <f t="shared" si="95"/>
        <v>0</v>
      </c>
    </row>
    <row r="2020" spans="12:22" ht="15" customHeight="1" x14ac:dyDescent="0.35">
      <c r="L2020" t="str">
        <f>IFERROR(VLOOKUP(D2020,Products!$A$2:$F$61,3,FALSE()),"")</f>
        <v/>
      </c>
      <c r="M2020" t="str">
        <f>IFERROR(VLOOKUP(E2020,Sales_Reps!$A$2:$C$31,3,FALSE()),"")</f>
        <v/>
      </c>
      <c r="N2020" t="str">
        <f>IFERROR(VLOOKUP(D2020,Products!$A$2:$F$61,4,FALSE()),"")</f>
        <v/>
      </c>
      <c r="O2020" t="str">
        <f>IFERROR(VLOOKUP(C2020,Customers!$A$2:$F$301,5,FALSE()),"")</f>
        <v/>
      </c>
      <c r="P2020" t="str">
        <f>IFERROR(VLOOKUP(C2020,Customers!$A$2:$F$301,3,FALSE()),"")</f>
        <v/>
      </c>
      <c r="Q2020" t="str">
        <f t="shared" si="93"/>
        <v/>
      </c>
      <c r="R2020">
        <f>IF(AND(COUNTIF($A$2:$A$2027,A2020)&gt;1,COUNTIF($A$2:A2020,A2020)=1),1,0)</f>
        <v>0</v>
      </c>
      <c r="S2020" t="str">
        <f>IFERROR(VLOOKUP(D2020,Products!$A$2:$F$61,6,FALSE()),"")</f>
        <v/>
      </c>
      <c r="T2020" t="str">
        <f>IF(COUNTIF(Customers!$A$2:$A$301,C2020)=0,"Missing","OK")</f>
        <v>Missing</v>
      </c>
      <c r="U2020" t="str">
        <f t="shared" si="94"/>
        <v/>
      </c>
      <c r="V2020">
        <f t="shared" si="95"/>
        <v>0</v>
      </c>
    </row>
    <row r="2021" spans="12:22" ht="15" customHeight="1" x14ac:dyDescent="0.35">
      <c r="L2021" t="str">
        <f>IFERROR(VLOOKUP(D2021,Products!$A$2:$F$61,3,FALSE()),"")</f>
        <v/>
      </c>
      <c r="M2021" t="str">
        <f>IFERROR(VLOOKUP(E2021,Sales_Reps!$A$2:$C$31,3,FALSE()),"")</f>
        <v/>
      </c>
      <c r="N2021" t="str">
        <f>IFERROR(VLOOKUP(D2021,Products!$A$2:$F$61,4,FALSE()),"")</f>
        <v/>
      </c>
      <c r="O2021" t="str">
        <f>IFERROR(VLOOKUP(C2021,Customers!$A$2:$F$301,5,FALSE()),"")</f>
        <v/>
      </c>
      <c r="P2021" t="str">
        <f>IFERROR(VLOOKUP(C2021,Customers!$A$2:$F$301,3,FALSE()),"")</f>
        <v/>
      </c>
      <c r="Q2021" t="str">
        <f t="shared" si="93"/>
        <v/>
      </c>
      <c r="R2021">
        <f>IF(AND(COUNTIF($A$2:$A$2027,A2021)&gt;1,COUNTIF($A$2:A2021,A2021)=1),1,0)</f>
        <v>0</v>
      </c>
      <c r="S2021" t="str">
        <f>IFERROR(VLOOKUP(D2021,Products!$A$2:$F$61,6,FALSE()),"")</f>
        <v/>
      </c>
      <c r="T2021" t="str">
        <f>IF(COUNTIF(Customers!$A$2:$A$301,C2021)=0,"Missing","OK")</f>
        <v>Missing</v>
      </c>
      <c r="U2021" t="str">
        <f t="shared" si="94"/>
        <v/>
      </c>
      <c r="V2021">
        <f t="shared" si="95"/>
        <v>0</v>
      </c>
    </row>
    <row r="2022" spans="12:22" ht="15" customHeight="1" x14ac:dyDescent="0.35">
      <c r="L2022" t="str">
        <f>IFERROR(VLOOKUP(D2022,Products!$A$2:$F$61,3,FALSE()),"")</f>
        <v/>
      </c>
      <c r="M2022" t="str">
        <f>IFERROR(VLOOKUP(E2022,Sales_Reps!$A$2:$C$31,3,FALSE()),"")</f>
        <v/>
      </c>
      <c r="N2022" t="str">
        <f>IFERROR(VLOOKUP(D2022,Products!$A$2:$F$61,4,FALSE()),"")</f>
        <v/>
      </c>
      <c r="O2022" t="str">
        <f>IFERROR(VLOOKUP(C2022,Customers!$A$2:$F$301,5,FALSE()),"")</f>
        <v/>
      </c>
      <c r="P2022" t="str">
        <f>IFERROR(VLOOKUP(C2022,Customers!$A$2:$F$301,3,FALSE()),"")</f>
        <v/>
      </c>
      <c r="Q2022" t="str">
        <f t="shared" si="93"/>
        <v/>
      </c>
      <c r="R2022">
        <f>IF(AND(COUNTIF($A$2:$A$2027,A2022)&gt;1,COUNTIF($A$2:A2022,A2022)=1),1,0)</f>
        <v>0</v>
      </c>
      <c r="S2022" t="str">
        <f>IFERROR(VLOOKUP(D2022,Products!$A$2:$F$61,6,FALSE()),"")</f>
        <v/>
      </c>
      <c r="T2022" t="str">
        <f>IF(COUNTIF(Customers!$A$2:$A$301,C2022)=0,"Missing","OK")</f>
        <v>Missing</v>
      </c>
      <c r="U2022" t="str">
        <f t="shared" si="94"/>
        <v/>
      </c>
      <c r="V2022">
        <f t="shared" si="95"/>
        <v>0</v>
      </c>
    </row>
    <row r="2023" spans="12:22" ht="15" customHeight="1" x14ac:dyDescent="0.35">
      <c r="L2023" t="str">
        <f>IFERROR(VLOOKUP(D2023,Products!$A$2:$F$61,3,FALSE()),"")</f>
        <v/>
      </c>
      <c r="M2023" t="str">
        <f>IFERROR(VLOOKUP(E2023,Sales_Reps!$A$2:$C$31,3,FALSE()),"")</f>
        <v/>
      </c>
      <c r="N2023" t="str">
        <f>IFERROR(VLOOKUP(D2023,Products!$A$2:$F$61,4,FALSE()),"")</f>
        <v/>
      </c>
      <c r="O2023" t="str">
        <f>IFERROR(VLOOKUP(C2023,Customers!$A$2:$F$301,5,FALSE()),"")</f>
        <v/>
      </c>
      <c r="P2023" t="str">
        <f>IFERROR(VLOOKUP(C2023,Customers!$A$2:$F$301,3,FALSE()),"")</f>
        <v/>
      </c>
      <c r="Q2023" t="str">
        <f t="shared" si="93"/>
        <v/>
      </c>
      <c r="R2023">
        <f>IF(AND(COUNTIF($A$2:$A$2027,A2023)&gt;1,COUNTIF($A$2:A2023,A2023)=1),1,0)</f>
        <v>0</v>
      </c>
      <c r="S2023" t="str">
        <f>IFERROR(VLOOKUP(D2023,Products!$A$2:$F$61,6,FALSE()),"")</f>
        <v/>
      </c>
      <c r="T2023" t="str">
        <f>IF(COUNTIF(Customers!$A$2:$A$301,C2023)=0,"Missing","OK")</f>
        <v>Missing</v>
      </c>
      <c r="U2023" t="str">
        <f t="shared" si="94"/>
        <v/>
      </c>
      <c r="V2023">
        <f t="shared" si="95"/>
        <v>0</v>
      </c>
    </row>
    <row r="2024" spans="12:22" ht="15" customHeight="1" x14ac:dyDescent="0.35">
      <c r="L2024" t="str">
        <f>IFERROR(VLOOKUP(D2024,Products!$A$2:$F$61,3,FALSE()),"")</f>
        <v/>
      </c>
      <c r="M2024" t="str">
        <f>IFERROR(VLOOKUP(E2024,Sales_Reps!$A$2:$C$31,3,FALSE()),"")</f>
        <v/>
      </c>
      <c r="N2024" t="str">
        <f>IFERROR(VLOOKUP(D2024,Products!$A$2:$F$61,4,FALSE()),"")</f>
        <v/>
      </c>
      <c r="O2024" t="str">
        <f>IFERROR(VLOOKUP(C2024,Customers!$A$2:$F$301,5,FALSE()),"")</f>
        <v/>
      </c>
      <c r="P2024" t="str">
        <f>IFERROR(VLOOKUP(C2024,Customers!$A$2:$F$301,3,FALSE()),"")</f>
        <v/>
      </c>
      <c r="Q2024" t="str">
        <f t="shared" si="93"/>
        <v/>
      </c>
      <c r="R2024">
        <f>IF(AND(COUNTIF($A$2:$A$2027,A2024)&gt;1,COUNTIF($A$2:A2024,A2024)=1),1,0)</f>
        <v>0</v>
      </c>
      <c r="S2024" t="str">
        <f>IFERROR(VLOOKUP(D2024,Products!$A$2:$F$61,6,FALSE()),"")</f>
        <v/>
      </c>
      <c r="T2024" t="str">
        <f>IF(COUNTIF(Customers!$A$2:$A$301,C2024)=0,"Missing","OK")</f>
        <v>Missing</v>
      </c>
      <c r="U2024" t="str">
        <f t="shared" si="94"/>
        <v/>
      </c>
      <c r="V2024">
        <f t="shared" si="95"/>
        <v>0</v>
      </c>
    </row>
    <row r="2025" spans="12:22" ht="15" customHeight="1" x14ac:dyDescent="0.35">
      <c r="L2025" t="str">
        <f>IFERROR(VLOOKUP(D2025,Products!$A$2:$F$61,3,FALSE()),"")</f>
        <v/>
      </c>
      <c r="M2025" t="str">
        <f>IFERROR(VLOOKUP(E2025,Sales_Reps!$A$2:$C$31,3,FALSE()),"")</f>
        <v/>
      </c>
      <c r="N2025" t="str">
        <f>IFERROR(VLOOKUP(D2025,Products!$A$2:$F$61,4,FALSE()),"")</f>
        <v/>
      </c>
      <c r="O2025" t="str">
        <f>IFERROR(VLOOKUP(C2025,Customers!$A$2:$F$301,5,FALSE()),"")</f>
        <v/>
      </c>
      <c r="P2025" t="str">
        <f>IFERROR(VLOOKUP(C2025,Customers!$A$2:$F$301,3,FALSE()),"")</f>
        <v/>
      </c>
      <c r="Q2025" t="str">
        <f t="shared" si="93"/>
        <v/>
      </c>
      <c r="R2025">
        <f>IF(AND(COUNTIF($A$2:$A$2027,A2025)&gt;1,COUNTIF($A$2:A2025,A2025)=1),1,0)</f>
        <v>0</v>
      </c>
      <c r="S2025" t="str">
        <f>IFERROR(VLOOKUP(D2025,Products!$A$2:$F$61,6,FALSE()),"")</f>
        <v/>
      </c>
      <c r="T2025" t="str">
        <f>IF(COUNTIF(Customers!$A$2:$A$301,C2025)=0,"Missing","OK")</f>
        <v>Missing</v>
      </c>
      <c r="U2025" t="str">
        <f t="shared" si="94"/>
        <v/>
      </c>
      <c r="V2025">
        <f t="shared" si="95"/>
        <v>0</v>
      </c>
    </row>
    <row r="2026" spans="12:22" ht="15" customHeight="1" x14ac:dyDescent="0.35">
      <c r="L2026" t="str">
        <f>IFERROR(VLOOKUP(D2026,Products!$A$2:$F$61,3,FALSE()),"")</f>
        <v/>
      </c>
      <c r="M2026" t="str">
        <f>IFERROR(VLOOKUP(E2026,Sales_Reps!$A$2:$C$31,3,FALSE()),"")</f>
        <v/>
      </c>
      <c r="N2026" t="str">
        <f>IFERROR(VLOOKUP(D2026,Products!$A$2:$F$61,4,FALSE()),"")</f>
        <v/>
      </c>
      <c r="O2026" t="str">
        <f>IFERROR(VLOOKUP(C2026,Customers!$A$2:$F$301,5,FALSE()),"")</f>
        <v/>
      </c>
      <c r="P2026" t="str">
        <f>IFERROR(VLOOKUP(C2026,Customers!$A$2:$F$301,3,FALSE()),"")</f>
        <v/>
      </c>
      <c r="Q2026" t="str">
        <f t="shared" si="93"/>
        <v/>
      </c>
      <c r="R2026">
        <f>IF(AND(COUNTIF($A$2:$A$2027,A2026)&gt;1,COUNTIF($A$2:A2026,A2026)=1),1,0)</f>
        <v>0</v>
      </c>
      <c r="S2026" t="str">
        <f>IFERROR(VLOOKUP(D2026,Products!$A$2:$F$61,6,FALSE()),"")</f>
        <v/>
      </c>
      <c r="T2026" t="str">
        <f>IF(COUNTIF(Customers!$A$2:$A$301,C2026)=0,"Missing","OK")</f>
        <v>Missing</v>
      </c>
      <c r="U2026" t="str">
        <f t="shared" si="94"/>
        <v/>
      </c>
      <c r="V2026">
        <f t="shared" si="95"/>
        <v>0</v>
      </c>
    </row>
    <row r="2027" spans="12:22" ht="15" customHeight="1" x14ac:dyDescent="0.35">
      <c r="L2027" t="str">
        <f>IFERROR(VLOOKUP(D2027,Products!$A$2:$F$61,3,FALSE()),"")</f>
        <v/>
      </c>
      <c r="M2027" t="str">
        <f>IFERROR(VLOOKUP(E2027,Sales_Reps!$A$2:$C$31,3,FALSE()),"")</f>
        <v/>
      </c>
      <c r="N2027" t="str">
        <f>IFERROR(VLOOKUP(D2027,Products!$A$2:$F$61,4,FALSE()),"")</f>
        <v/>
      </c>
      <c r="O2027" t="str">
        <f>IFERROR(VLOOKUP(C2027,Customers!$A$2:$F$301,5,FALSE()),"")</f>
        <v/>
      </c>
      <c r="P2027" t="str">
        <f>IFERROR(VLOOKUP(C2027,Customers!$A$2:$F$301,3,FALSE()),"")</f>
        <v/>
      </c>
      <c r="Q2027" t="str">
        <f t="shared" si="93"/>
        <v/>
      </c>
      <c r="R2027">
        <f>IF(AND(COUNTIF($A$2:$A$2027,A2027)&gt;1,COUNTIF($A$2:A2027,A2027)=1),1,0)</f>
        <v>0</v>
      </c>
      <c r="S2027" t="str">
        <f>IFERROR(VLOOKUP(D2027,Products!$A$2:$F$61,6,FALSE()),"")</f>
        <v/>
      </c>
      <c r="T2027" t="str">
        <f>IF(COUNTIF(Customers!$A$2:$A$301,C2027)=0,"Missing","OK")</f>
        <v>Missing</v>
      </c>
      <c r="U2027" t="str">
        <f t="shared" si="94"/>
        <v/>
      </c>
      <c r="V2027">
        <f t="shared" si="95"/>
        <v>0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G3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265625" defaultRowHeight="15" customHeight="1" x14ac:dyDescent="0.35"/>
  <cols>
    <col min="1" max="1" width="13" customWidth="1"/>
    <col min="2" max="2" width="19" customWidth="1"/>
    <col min="3" max="5" width="12" customWidth="1"/>
    <col min="6" max="7" width="13" customWidth="1"/>
  </cols>
  <sheetData>
    <row r="1" spans="1:7" ht="15" customHeight="1" x14ac:dyDescent="0.35">
      <c r="A1" s="2" t="s">
        <v>2</v>
      </c>
      <c r="B1" s="2" t="s">
        <v>2523</v>
      </c>
      <c r="C1" s="2" t="s">
        <v>2524</v>
      </c>
      <c r="D1" s="2" t="s">
        <v>2525</v>
      </c>
      <c r="E1" s="2" t="s">
        <v>2526</v>
      </c>
      <c r="F1" s="2" t="s">
        <v>2527</v>
      </c>
      <c r="G1" t="s">
        <v>2528</v>
      </c>
    </row>
    <row r="2" spans="1:7" ht="15" customHeight="1" x14ac:dyDescent="0.35">
      <c r="A2" s="3" t="s">
        <v>677</v>
      </c>
      <c r="B2" s="3" t="s">
        <v>2529</v>
      </c>
      <c r="C2" s="5">
        <v>36</v>
      </c>
      <c r="D2" s="3" t="s">
        <v>27</v>
      </c>
      <c r="E2" s="3" t="s">
        <v>2530</v>
      </c>
      <c r="F2" s="4">
        <v>44819</v>
      </c>
      <c r="G2" t="str">
        <f t="shared" ref="G2:G65" si="0">IF(D2="","",PROPER(TRIM(D2)))</f>
        <v>Pune</v>
      </c>
    </row>
    <row r="3" spans="1:7" ht="15" customHeight="1" x14ac:dyDescent="0.35">
      <c r="A3" s="3" t="s">
        <v>707</v>
      </c>
      <c r="B3" s="3" t="s">
        <v>2531</v>
      </c>
      <c r="C3" s="5">
        <v>42</v>
      </c>
      <c r="D3" s="3" t="s">
        <v>27</v>
      </c>
      <c r="E3" s="3" t="s">
        <v>2532</v>
      </c>
      <c r="F3" s="4">
        <v>44984</v>
      </c>
      <c r="G3" t="str">
        <f t="shared" si="0"/>
        <v>Pune</v>
      </c>
    </row>
    <row r="4" spans="1:7" ht="15" customHeight="1" x14ac:dyDescent="0.35">
      <c r="A4" s="3" t="s">
        <v>646</v>
      </c>
      <c r="B4" s="3" t="s">
        <v>2533</v>
      </c>
      <c r="C4" s="5">
        <v>33</v>
      </c>
      <c r="D4" s="3" t="s">
        <v>51</v>
      </c>
      <c r="E4" s="3" t="s">
        <v>2530</v>
      </c>
      <c r="F4" s="4">
        <v>44059</v>
      </c>
      <c r="G4" t="str">
        <f t="shared" si="0"/>
        <v>Mumbai</v>
      </c>
    </row>
    <row r="5" spans="1:7" ht="15" customHeight="1" x14ac:dyDescent="0.35">
      <c r="A5" s="3" t="s">
        <v>644</v>
      </c>
      <c r="B5" s="3" t="s">
        <v>2534</v>
      </c>
      <c r="C5" s="5">
        <v>53</v>
      </c>
      <c r="D5" s="3" t="s">
        <v>2535</v>
      </c>
      <c r="E5" s="3" t="s">
        <v>2530</v>
      </c>
      <c r="F5" s="4">
        <v>44054</v>
      </c>
      <c r="G5" t="str">
        <f t="shared" si="0"/>
        <v>Delhi</v>
      </c>
    </row>
    <row r="6" spans="1:7" ht="15" customHeight="1" x14ac:dyDescent="0.35">
      <c r="A6" s="3" t="s">
        <v>925</v>
      </c>
      <c r="B6" s="3" t="s">
        <v>2536</v>
      </c>
      <c r="C6" s="5">
        <v>52</v>
      </c>
      <c r="D6" s="3" t="s">
        <v>33</v>
      </c>
      <c r="E6" s="3" t="s">
        <v>2532</v>
      </c>
      <c r="F6" s="4">
        <v>45037</v>
      </c>
      <c r="G6" t="str">
        <f t="shared" si="0"/>
        <v>Chennai</v>
      </c>
    </row>
    <row r="7" spans="1:7" ht="15" customHeight="1" x14ac:dyDescent="0.35">
      <c r="A7" s="3" t="s">
        <v>133</v>
      </c>
      <c r="B7" s="3" t="s">
        <v>2537</v>
      </c>
      <c r="C7" s="5">
        <v>44</v>
      </c>
      <c r="D7" s="3" t="s">
        <v>27</v>
      </c>
      <c r="E7" s="3" t="s">
        <v>2538</v>
      </c>
      <c r="F7" s="4">
        <v>44302</v>
      </c>
      <c r="G7" t="str">
        <f t="shared" si="0"/>
        <v>Pune</v>
      </c>
    </row>
    <row r="8" spans="1:7" ht="15" customHeight="1" x14ac:dyDescent="0.35">
      <c r="A8" s="3" t="s">
        <v>809</v>
      </c>
      <c r="B8" s="3" t="s">
        <v>2539</v>
      </c>
      <c r="C8" s="5">
        <v>47</v>
      </c>
      <c r="D8" s="3" t="s">
        <v>56</v>
      </c>
      <c r="E8" s="3" t="s">
        <v>2530</v>
      </c>
      <c r="F8" s="4">
        <v>44498</v>
      </c>
      <c r="G8" t="str">
        <f t="shared" si="0"/>
        <v>Bengaluru</v>
      </c>
    </row>
    <row r="9" spans="1:7" ht="15" customHeight="1" x14ac:dyDescent="0.35">
      <c r="A9" s="3" t="s">
        <v>81</v>
      </c>
      <c r="B9" s="3" t="s">
        <v>2540</v>
      </c>
      <c r="C9" s="5">
        <v>39</v>
      </c>
      <c r="D9" s="3" t="s">
        <v>27</v>
      </c>
      <c r="E9" s="3" t="s">
        <v>2538</v>
      </c>
      <c r="F9" s="4">
        <v>45162</v>
      </c>
      <c r="G9" t="str">
        <f t="shared" si="0"/>
        <v>Pune</v>
      </c>
    </row>
    <row r="10" spans="1:7" ht="15" customHeight="1" x14ac:dyDescent="0.35">
      <c r="A10" s="3" t="s">
        <v>404</v>
      </c>
      <c r="B10" s="3" t="s">
        <v>2541</v>
      </c>
      <c r="C10" s="5">
        <v>61</v>
      </c>
      <c r="D10" s="3" t="s">
        <v>51</v>
      </c>
      <c r="E10" s="3" t="s">
        <v>2530</v>
      </c>
      <c r="F10" s="4">
        <v>44343</v>
      </c>
      <c r="G10" t="str">
        <f t="shared" si="0"/>
        <v>Mumbai</v>
      </c>
    </row>
    <row r="11" spans="1:7" ht="15" customHeight="1" x14ac:dyDescent="0.35">
      <c r="A11" s="3" t="s">
        <v>504</v>
      </c>
      <c r="B11" s="3" t="s">
        <v>2542</v>
      </c>
      <c r="C11" s="5">
        <v>61</v>
      </c>
      <c r="D11" s="3" t="s">
        <v>51</v>
      </c>
      <c r="E11" s="3" t="s">
        <v>2538</v>
      </c>
      <c r="F11" s="4">
        <v>44975</v>
      </c>
      <c r="G11" t="str">
        <f t="shared" si="0"/>
        <v>Mumbai</v>
      </c>
    </row>
    <row r="12" spans="1:7" ht="15" customHeight="1" x14ac:dyDescent="0.35">
      <c r="A12" s="3" t="s">
        <v>601</v>
      </c>
      <c r="B12" s="3" t="s">
        <v>2543</v>
      </c>
      <c r="C12" s="5">
        <v>41</v>
      </c>
      <c r="D12" s="3" t="s">
        <v>33</v>
      </c>
      <c r="E12" s="3" t="s">
        <v>2532</v>
      </c>
      <c r="F12" s="4">
        <v>44821</v>
      </c>
      <c r="G12" t="str">
        <f t="shared" si="0"/>
        <v>Chennai</v>
      </c>
    </row>
    <row r="13" spans="1:7" ht="15" customHeight="1" x14ac:dyDescent="0.35">
      <c r="A13" s="3" t="s">
        <v>312</v>
      </c>
      <c r="B13" s="3" t="s">
        <v>2544</v>
      </c>
      <c r="C13" s="5">
        <v>43</v>
      </c>
      <c r="D13" s="3" t="s">
        <v>27</v>
      </c>
      <c r="E13" s="3" t="s">
        <v>2530</v>
      </c>
      <c r="F13" s="4">
        <v>44718</v>
      </c>
      <c r="G13" t="str">
        <f t="shared" si="0"/>
        <v>Pune</v>
      </c>
    </row>
    <row r="14" spans="1:7" ht="15" customHeight="1" x14ac:dyDescent="0.35">
      <c r="A14" s="3" t="s">
        <v>149</v>
      </c>
      <c r="B14" s="3" t="s">
        <v>2545</v>
      </c>
      <c r="C14" s="5">
        <v>41</v>
      </c>
      <c r="D14" s="3" t="s">
        <v>38</v>
      </c>
      <c r="E14" s="3" t="s">
        <v>2530</v>
      </c>
      <c r="F14" s="4">
        <v>45018</v>
      </c>
      <c r="G14" t="str">
        <f t="shared" si="0"/>
        <v>Delhi</v>
      </c>
    </row>
    <row r="15" spans="1:7" ht="15" customHeight="1" x14ac:dyDescent="0.35">
      <c r="A15" s="3" t="s">
        <v>1603</v>
      </c>
      <c r="B15" s="3" t="s">
        <v>2546</v>
      </c>
      <c r="C15" s="5">
        <v>48</v>
      </c>
      <c r="D15" s="3" t="s">
        <v>56</v>
      </c>
      <c r="E15" s="3" t="s">
        <v>2530</v>
      </c>
      <c r="F15" s="4">
        <v>45225</v>
      </c>
      <c r="G15" t="str">
        <f t="shared" si="0"/>
        <v>Bengaluru</v>
      </c>
    </row>
    <row r="16" spans="1:7" ht="15" customHeight="1" x14ac:dyDescent="0.35">
      <c r="A16" s="3" t="s">
        <v>1468</v>
      </c>
      <c r="B16" s="3" t="s">
        <v>2547</v>
      </c>
      <c r="C16" s="5">
        <v>31</v>
      </c>
      <c r="D16" s="3" t="s">
        <v>33</v>
      </c>
      <c r="E16" s="3" t="s">
        <v>2530</v>
      </c>
      <c r="F16" s="4">
        <v>44654</v>
      </c>
      <c r="G16" t="str">
        <f t="shared" si="0"/>
        <v>Chennai</v>
      </c>
    </row>
    <row r="17" spans="1:7" ht="15" customHeight="1" x14ac:dyDescent="0.35">
      <c r="A17" s="3" t="s">
        <v>664</v>
      </c>
      <c r="B17" s="3" t="s">
        <v>2548</v>
      </c>
      <c r="C17" s="5">
        <v>26</v>
      </c>
      <c r="D17" s="3" t="s">
        <v>38</v>
      </c>
      <c r="E17" s="3" t="s">
        <v>2538</v>
      </c>
      <c r="F17" s="4">
        <v>45196</v>
      </c>
      <c r="G17" t="str">
        <f t="shared" si="0"/>
        <v>Delhi</v>
      </c>
    </row>
    <row r="18" spans="1:7" ht="15" customHeight="1" x14ac:dyDescent="0.35">
      <c r="A18" s="3" t="s">
        <v>807</v>
      </c>
      <c r="B18" s="3" t="s">
        <v>2549</v>
      </c>
      <c r="C18" s="5">
        <v>38</v>
      </c>
      <c r="D18" s="3" t="s">
        <v>38</v>
      </c>
      <c r="E18" s="3" t="s">
        <v>2538</v>
      </c>
      <c r="F18" s="4">
        <v>44752</v>
      </c>
      <c r="G18" t="str">
        <f t="shared" si="0"/>
        <v>Delhi</v>
      </c>
    </row>
    <row r="19" spans="1:7" ht="15" customHeight="1" x14ac:dyDescent="0.35">
      <c r="A19" s="3" t="s">
        <v>329</v>
      </c>
      <c r="B19" s="3" t="s">
        <v>2550</v>
      </c>
      <c r="C19" s="5">
        <v>54</v>
      </c>
      <c r="D19" s="3" t="s">
        <v>27</v>
      </c>
      <c r="E19" s="3" t="s">
        <v>2538</v>
      </c>
      <c r="F19" s="4">
        <v>43968</v>
      </c>
      <c r="G19" t="str">
        <f t="shared" si="0"/>
        <v>Pune</v>
      </c>
    </row>
    <row r="20" spans="1:7" ht="15" customHeight="1" x14ac:dyDescent="0.35">
      <c r="A20" s="3" t="s">
        <v>734</v>
      </c>
      <c r="B20" s="3" t="s">
        <v>2551</v>
      </c>
      <c r="C20" s="5">
        <v>22</v>
      </c>
      <c r="D20" s="3" t="s">
        <v>33</v>
      </c>
      <c r="E20" s="3" t="s">
        <v>2530</v>
      </c>
      <c r="F20" s="4">
        <v>44375</v>
      </c>
      <c r="G20" t="str">
        <f t="shared" si="0"/>
        <v>Chennai</v>
      </c>
    </row>
    <row r="21" spans="1:7" ht="15" customHeight="1" x14ac:dyDescent="0.35">
      <c r="A21" s="3" t="s">
        <v>251</v>
      </c>
      <c r="B21" s="3" t="s">
        <v>2552</v>
      </c>
      <c r="C21" s="5">
        <v>46</v>
      </c>
      <c r="D21" s="3" t="s">
        <v>72</v>
      </c>
      <c r="E21" s="3" t="s">
        <v>2530</v>
      </c>
      <c r="F21" s="4">
        <v>43835</v>
      </c>
      <c r="G21" t="str">
        <f t="shared" si="0"/>
        <v>Hyderabad</v>
      </c>
    </row>
    <row r="22" spans="1:7" ht="15" customHeight="1" x14ac:dyDescent="0.35">
      <c r="A22" s="3" t="s">
        <v>1189</v>
      </c>
      <c r="B22" s="3" t="s">
        <v>2536</v>
      </c>
      <c r="C22" s="5">
        <v>44</v>
      </c>
      <c r="D22" s="3" t="s">
        <v>27</v>
      </c>
      <c r="E22" s="3" t="s">
        <v>2530</v>
      </c>
      <c r="F22" s="4">
        <v>44130</v>
      </c>
      <c r="G22" t="str">
        <f t="shared" si="0"/>
        <v>Pune</v>
      </c>
    </row>
    <row r="23" spans="1:7" ht="15" customHeight="1" x14ac:dyDescent="0.35">
      <c r="A23" s="3" t="s">
        <v>977</v>
      </c>
      <c r="B23" s="3" t="s">
        <v>2553</v>
      </c>
      <c r="C23" s="5">
        <v>55</v>
      </c>
      <c r="D23" s="3" t="s">
        <v>56</v>
      </c>
      <c r="E23" s="3" t="s">
        <v>2532</v>
      </c>
      <c r="F23" s="4">
        <v>44787</v>
      </c>
      <c r="G23" t="str">
        <f t="shared" si="0"/>
        <v>Bengaluru</v>
      </c>
    </row>
    <row r="24" spans="1:7" ht="15" customHeight="1" x14ac:dyDescent="0.35">
      <c r="A24" s="3" t="s">
        <v>1233</v>
      </c>
      <c r="B24" s="3" t="s">
        <v>2554</v>
      </c>
      <c r="C24" s="5">
        <v>43</v>
      </c>
      <c r="D24" s="3" t="s">
        <v>33</v>
      </c>
      <c r="E24" s="3" t="s">
        <v>2538</v>
      </c>
      <c r="F24" s="4">
        <v>44403</v>
      </c>
      <c r="G24" t="str">
        <f t="shared" si="0"/>
        <v>Chennai</v>
      </c>
    </row>
    <row r="25" spans="1:7" ht="15" customHeight="1" x14ac:dyDescent="0.35">
      <c r="A25" s="3" t="s">
        <v>364</v>
      </c>
      <c r="B25" s="3" t="s">
        <v>2555</v>
      </c>
      <c r="C25" s="5">
        <v>64</v>
      </c>
      <c r="D25" s="3" t="s">
        <v>2031</v>
      </c>
      <c r="E25" s="3" t="s">
        <v>2538</v>
      </c>
      <c r="F25" s="4">
        <v>44495</v>
      </c>
      <c r="G25" t="str">
        <f t="shared" si="0"/>
        <v>Chennai</v>
      </c>
    </row>
    <row r="26" spans="1:7" ht="15" customHeight="1" x14ac:dyDescent="0.35">
      <c r="A26" s="3" t="s">
        <v>324</v>
      </c>
      <c r="B26" s="3" t="s">
        <v>2556</v>
      </c>
      <c r="C26" s="5">
        <v>23</v>
      </c>
      <c r="D26" s="3" t="s">
        <v>56</v>
      </c>
      <c r="E26" s="3" t="s">
        <v>2530</v>
      </c>
      <c r="F26" s="4">
        <v>44536</v>
      </c>
      <c r="G26" t="str">
        <f t="shared" si="0"/>
        <v>Bengaluru</v>
      </c>
    </row>
    <row r="27" spans="1:7" ht="15" customHeight="1" x14ac:dyDescent="0.35">
      <c r="A27" s="3" t="s">
        <v>498</v>
      </c>
      <c r="B27" s="3" t="s">
        <v>2557</v>
      </c>
      <c r="C27" s="5">
        <v>62</v>
      </c>
      <c r="D27" s="3" t="s">
        <v>27</v>
      </c>
      <c r="E27" s="3" t="s">
        <v>2530</v>
      </c>
      <c r="F27" s="4">
        <v>43898</v>
      </c>
      <c r="G27" t="str">
        <f t="shared" si="0"/>
        <v>Pune</v>
      </c>
    </row>
    <row r="28" spans="1:7" ht="15" customHeight="1" x14ac:dyDescent="0.35">
      <c r="A28" s="3" t="s">
        <v>421</v>
      </c>
      <c r="B28" s="3" t="s">
        <v>2558</v>
      </c>
      <c r="C28" s="5">
        <v>52</v>
      </c>
      <c r="D28" s="3" t="s">
        <v>72</v>
      </c>
      <c r="E28" s="3" t="s">
        <v>2532</v>
      </c>
      <c r="F28" s="4">
        <v>45201</v>
      </c>
      <c r="G28" t="str">
        <f t="shared" si="0"/>
        <v>Hyderabad</v>
      </c>
    </row>
    <row r="29" spans="1:7" ht="15" customHeight="1" x14ac:dyDescent="0.35">
      <c r="A29" s="3" t="s">
        <v>342</v>
      </c>
      <c r="B29" s="3" t="s">
        <v>2559</v>
      </c>
      <c r="C29" s="5">
        <v>59</v>
      </c>
      <c r="D29" s="3" t="s">
        <v>56</v>
      </c>
      <c r="E29" s="3" t="s">
        <v>2530</v>
      </c>
      <c r="F29" s="4">
        <v>44686</v>
      </c>
      <c r="G29" t="str">
        <f t="shared" si="0"/>
        <v>Bengaluru</v>
      </c>
    </row>
    <row r="30" spans="1:7" ht="15" customHeight="1" x14ac:dyDescent="0.35">
      <c r="A30" s="3" t="s">
        <v>1814</v>
      </c>
      <c r="B30" s="3" t="s">
        <v>2560</v>
      </c>
      <c r="C30" s="5">
        <v>54</v>
      </c>
      <c r="D30" s="3" t="s">
        <v>33</v>
      </c>
      <c r="E30" s="3" t="s">
        <v>2532</v>
      </c>
      <c r="F30" s="4">
        <v>44930</v>
      </c>
      <c r="G30" t="str">
        <f t="shared" si="0"/>
        <v>Chennai</v>
      </c>
    </row>
    <row r="31" spans="1:7" ht="15" customHeight="1" x14ac:dyDescent="0.35">
      <c r="A31" s="3" t="s">
        <v>696</v>
      </c>
      <c r="B31" s="3" t="s">
        <v>2561</v>
      </c>
      <c r="C31" s="5">
        <v>43</v>
      </c>
      <c r="D31" s="3" t="s">
        <v>56</v>
      </c>
      <c r="E31" s="3" t="s">
        <v>2532</v>
      </c>
      <c r="F31" s="4">
        <v>44151</v>
      </c>
      <c r="G31" t="str">
        <f t="shared" si="0"/>
        <v>Bengaluru</v>
      </c>
    </row>
    <row r="32" spans="1:7" ht="15" customHeight="1" x14ac:dyDescent="0.35">
      <c r="A32" s="3" t="s">
        <v>202</v>
      </c>
      <c r="B32" s="3" t="s">
        <v>2562</v>
      </c>
      <c r="C32" s="5">
        <v>53</v>
      </c>
      <c r="D32" s="3" t="s">
        <v>72</v>
      </c>
      <c r="E32" s="3" t="s">
        <v>2530</v>
      </c>
      <c r="F32" s="4">
        <v>44599</v>
      </c>
      <c r="G32" t="str">
        <f t="shared" si="0"/>
        <v>Hyderabad</v>
      </c>
    </row>
    <row r="33" spans="1:7" ht="15" customHeight="1" x14ac:dyDescent="0.35">
      <c r="A33" s="3" t="s">
        <v>263</v>
      </c>
      <c r="B33" s="3" t="s">
        <v>2563</v>
      </c>
      <c r="C33" s="5">
        <v>28</v>
      </c>
      <c r="D33" s="3" t="s">
        <v>72</v>
      </c>
      <c r="E33" s="3" t="s">
        <v>2530</v>
      </c>
      <c r="F33" s="4">
        <v>43908</v>
      </c>
      <c r="G33" t="str">
        <f t="shared" si="0"/>
        <v>Hyderabad</v>
      </c>
    </row>
    <row r="34" spans="1:7" ht="15" customHeight="1" x14ac:dyDescent="0.35">
      <c r="A34" s="3" t="s">
        <v>230</v>
      </c>
      <c r="B34" s="3" t="s">
        <v>2564</v>
      </c>
      <c r="C34" s="5">
        <v>35</v>
      </c>
      <c r="D34" s="3" t="s">
        <v>38</v>
      </c>
      <c r="E34" s="3" t="s">
        <v>2530</v>
      </c>
      <c r="F34" s="4">
        <v>44830</v>
      </c>
      <c r="G34" t="str">
        <f t="shared" si="0"/>
        <v>Delhi</v>
      </c>
    </row>
    <row r="35" spans="1:7" ht="15" customHeight="1" x14ac:dyDescent="0.35">
      <c r="A35" s="3" t="s">
        <v>907</v>
      </c>
      <c r="B35" s="3" t="s">
        <v>2565</v>
      </c>
      <c r="C35" s="5">
        <v>47</v>
      </c>
      <c r="D35" s="3" t="s">
        <v>38</v>
      </c>
      <c r="E35" s="3" t="s">
        <v>2530</v>
      </c>
      <c r="F35" s="4">
        <v>44182</v>
      </c>
      <c r="G35" t="str">
        <f t="shared" si="0"/>
        <v>Delhi</v>
      </c>
    </row>
    <row r="36" spans="1:7" ht="15" customHeight="1" x14ac:dyDescent="0.35">
      <c r="A36" s="3" t="s">
        <v>138</v>
      </c>
      <c r="B36" s="3" t="s">
        <v>2566</v>
      </c>
      <c r="C36" s="5">
        <v>53</v>
      </c>
      <c r="D36" s="3" t="s">
        <v>72</v>
      </c>
      <c r="E36" s="3" t="s">
        <v>2530</v>
      </c>
      <c r="F36" s="4">
        <v>44532</v>
      </c>
      <c r="G36" t="str">
        <f t="shared" si="0"/>
        <v>Hyderabad</v>
      </c>
    </row>
    <row r="37" spans="1:7" ht="15" customHeight="1" x14ac:dyDescent="0.35">
      <c r="A37" s="3" t="s">
        <v>612</v>
      </c>
      <c r="B37" s="3" t="s">
        <v>2567</v>
      </c>
      <c r="C37" s="5">
        <v>35</v>
      </c>
      <c r="D37" s="3" t="s">
        <v>51</v>
      </c>
      <c r="E37" s="3" t="s">
        <v>2530</v>
      </c>
      <c r="F37" s="4">
        <v>44617</v>
      </c>
      <c r="G37" t="str">
        <f t="shared" si="0"/>
        <v>Mumbai</v>
      </c>
    </row>
    <row r="38" spans="1:7" ht="15" customHeight="1" x14ac:dyDescent="0.35">
      <c r="A38" s="3" t="s">
        <v>774</v>
      </c>
      <c r="B38" s="3" t="s">
        <v>2568</v>
      </c>
      <c r="C38" s="5">
        <v>52</v>
      </c>
      <c r="D38" s="3" t="s">
        <v>56</v>
      </c>
      <c r="E38" s="3" t="s">
        <v>2530</v>
      </c>
      <c r="F38" s="4">
        <v>44468</v>
      </c>
      <c r="G38" t="str">
        <f t="shared" si="0"/>
        <v>Bengaluru</v>
      </c>
    </row>
    <row r="39" spans="1:7" ht="15" customHeight="1" x14ac:dyDescent="0.35">
      <c r="A39" s="3" t="s">
        <v>813</v>
      </c>
      <c r="B39" s="3" t="s">
        <v>2569</v>
      </c>
      <c r="C39" s="5">
        <v>57</v>
      </c>
      <c r="D39" s="3" t="s">
        <v>51</v>
      </c>
      <c r="E39" s="3" t="s">
        <v>2530</v>
      </c>
      <c r="F39" s="4">
        <v>43843</v>
      </c>
      <c r="G39" t="str">
        <f t="shared" si="0"/>
        <v>Mumbai</v>
      </c>
    </row>
    <row r="40" spans="1:7" ht="15" customHeight="1" x14ac:dyDescent="0.35">
      <c r="A40" s="3" t="s">
        <v>776</v>
      </c>
      <c r="B40" s="3" t="s">
        <v>2570</v>
      </c>
      <c r="C40" s="5">
        <v>37</v>
      </c>
      <c r="D40" s="3" t="s">
        <v>56</v>
      </c>
      <c r="E40" s="3" t="s">
        <v>2530</v>
      </c>
      <c r="F40" s="4">
        <v>43989</v>
      </c>
      <c r="G40" t="str">
        <f t="shared" si="0"/>
        <v>Bengaluru</v>
      </c>
    </row>
    <row r="41" spans="1:7" ht="15" customHeight="1" x14ac:dyDescent="0.35">
      <c r="A41" s="3" t="s">
        <v>223</v>
      </c>
      <c r="B41" s="3" t="s">
        <v>2571</v>
      </c>
      <c r="C41" s="5">
        <v>28</v>
      </c>
      <c r="D41" s="3" t="s">
        <v>33</v>
      </c>
      <c r="E41" s="3" t="s">
        <v>2530</v>
      </c>
      <c r="F41" s="4">
        <v>44625</v>
      </c>
      <c r="G41" t="str">
        <f t="shared" si="0"/>
        <v>Chennai</v>
      </c>
    </row>
    <row r="42" spans="1:7" ht="15" customHeight="1" x14ac:dyDescent="0.35">
      <c r="A42" s="3" t="s">
        <v>449</v>
      </c>
      <c r="B42" s="3" t="s">
        <v>2572</v>
      </c>
      <c r="C42" s="5">
        <v>26</v>
      </c>
      <c r="D42" s="3" t="s">
        <v>56</v>
      </c>
      <c r="E42" s="3" t="s">
        <v>2538</v>
      </c>
      <c r="F42" s="4">
        <v>43895</v>
      </c>
      <c r="G42" t="str">
        <f t="shared" si="0"/>
        <v>Bengaluru</v>
      </c>
    </row>
    <row r="43" spans="1:7" ht="15" customHeight="1" x14ac:dyDescent="0.35">
      <c r="A43" s="3" t="s">
        <v>279</v>
      </c>
      <c r="B43" s="3" t="s">
        <v>2573</v>
      </c>
      <c r="C43" s="5">
        <v>25</v>
      </c>
      <c r="D43" s="3" t="s">
        <v>27</v>
      </c>
      <c r="E43" s="3" t="s">
        <v>2530</v>
      </c>
      <c r="F43" s="4">
        <v>43843</v>
      </c>
      <c r="G43" t="str">
        <f t="shared" si="0"/>
        <v>Pune</v>
      </c>
    </row>
    <row r="44" spans="1:7" ht="15" customHeight="1" x14ac:dyDescent="0.35">
      <c r="A44" s="3" t="s">
        <v>451</v>
      </c>
      <c r="B44" s="3" t="s">
        <v>2574</v>
      </c>
      <c r="C44" s="5">
        <v>61</v>
      </c>
      <c r="D44" s="3" t="s">
        <v>72</v>
      </c>
      <c r="E44" s="3" t="s">
        <v>2530</v>
      </c>
      <c r="F44" s="4">
        <v>44553</v>
      </c>
      <c r="G44" t="str">
        <f t="shared" si="0"/>
        <v>Hyderabad</v>
      </c>
    </row>
    <row r="45" spans="1:7" ht="15" customHeight="1" x14ac:dyDescent="0.35">
      <c r="A45" s="3" t="s">
        <v>680</v>
      </c>
      <c r="B45" s="3" t="s">
        <v>2575</v>
      </c>
      <c r="C45" s="5">
        <v>29</v>
      </c>
      <c r="D45" s="3" t="s">
        <v>72</v>
      </c>
      <c r="E45" s="3" t="s">
        <v>2538</v>
      </c>
      <c r="F45" s="4">
        <v>45084</v>
      </c>
      <c r="G45" t="str">
        <f t="shared" si="0"/>
        <v>Hyderabad</v>
      </c>
    </row>
    <row r="46" spans="1:7" ht="15" customHeight="1" x14ac:dyDescent="0.35">
      <c r="A46" s="3" t="s">
        <v>741</v>
      </c>
      <c r="B46" s="3" t="s">
        <v>2576</v>
      </c>
      <c r="C46" s="5">
        <v>39</v>
      </c>
      <c r="D46" s="3" t="s">
        <v>33</v>
      </c>
      <c r="E46" s="3" t="s">
        <v>2538</v>
      </c>
      <c r="F46" s="4">
        <v>45156</v>
      </c>
      <c r="G46" t="str">
        <f t="shared" si="0"/>
        <v>Chennai</v>
      </c>
    </row>
    <row r="47" spans="1:7" ht="15" customHeight="1" x14ac:dyDescent="0.35">
      <c r="A47" s="3" t="s">
        <v>942</v>
      </c>
      <c r="B47" s="3" t="s">
        <v>2577</v>
      </c>
      <c r="C47" s="5">
        <v>45</v>
      </c>
      <c r="D47" s="3" t="s">
        <v>38</v>
      </c>
      <c r="E47" s="3" t="s">
        <v>2538</v>
      </c>
      <c r="F47" s="4">
        <v>45144</v>
      </c>
      <c r="G47" t="str">
        <f t="shared" si="0"/>
        <v>Delhi</v>
      </c>
    </row>
    <row r="48" spans="1:7" ht="15" customHeight="1" x14ac:dyDescent="0.35">
      <c r="A48" s="3" t="s">
        <v>457</v>
      </c>
      <c r="B48" s="3" t="s">
        <v>2578</v>
      </c>
      <c r="C48" s="5">
        <v>49</v>
      </c>
      <c r="D48" s="3" t="s">
        <v>27</v>
      </c>
      <c r="E48" s="3" t="s">
        <v>2530</v>
      </c>
      <c r="F48" s="4">
        <v>44066</v>
      </c>
      <c r="G48" t="str">
        <f t="shared" si="0"/>
        <v>Pune</v>
      </c>
    </row>
    <row r="49" spans="1:7" ht="15" customHeight="1" x14ac:dyDescent="0.35">
      <c r="A49" s="3" t="s">
        <v>429</v>
      </c>
      <c r="B49" s="3" t="s">
        <v>2579</v>
      </c>
      <c r="C49" s="5">
        <v>59</v>
      </c>
      <c r="D49" s="3" t="s">
        <v>38</v>
      </c>
      <c r="E49" s="3" t="s">
        <v>2530</v>
      </c>
      <c r="F49" s="4">
        <v>44479</v>
      </c>
      <c r="G49" t="str">
        <f t="shared" si="0"/>
        <v>Delhi</v>
      </c>
    </row>
    <row r="50" spans="1:7" ht="15" customHeight="1" x14ac:dyDescent="0.35">
      <c r="A50" s="3" t="s">
        <v>1297</v>
      </c>
      <c r="B50" s="3" t="s">
        <v>2580</v>
      </c>
      <c r="C50" s="5">
        <v>42</v>
      </c>
      <c r="D50" s="3" t="s">
        <v>51</v>
      </c>
      <c r="E50" s="3" t="s">
        <v>2532</v>
      </c>
      <c r="F50" s="4">
        <v>45116</v>
      </c>
      <c r="G50" t="str">
        <f t="shared" si="0"/>
        <v>Mumbai</v>
      </c>
    </row>
    <row r="51" spans="1:7" ht="15" customHeight="1" x14ac:dyDescent="0.35">
      <c r="A51" s="3" t="s">
        <v>494</v>
      </c>
      <c r="B51" s="3" t="s">
        <v>2581</v>
      </c>
      <c r="C51" s="5">
        <v>37</v>
      </c>
      <c r="D51" s="3" t="s">
        <v>51</v>
      </c>
      <c r="E51" s="3" t="s">
        <v>2530</v>
      </c>
      <c r="F51" s="4">
        <v>43967</v>
      </c>
      <c r="G51" t="str">
        <f t="shared" si="0"/>
        <v>Mumbai</v>
      </c>
    </row>
    <row r="52" spans="1:7" ht="15" customHeight="1" x14ac:dyDescent="0.35">
      <c r="A52" s="3" t="s">
        <v>247</v>
      </c>
      <c r="B52" s="3" t="s">
        <v>2582</v>
      </c>
      <c r="C52" s="5">
        <v>54</v>
      </c>
      <c r="D52" s="3" t="s">
        <v>27</v>
      </c>
      <c r="E52" s="3" t="s">
        <v>2538</v>
      </c>
      <c r="F52" s="4">
        <v>44613</v>
      </c>
      <c r="G52" t="str">
        <f t="shared" si="0"/>
        <v>Pune</v>
      </c>
    </row>
    <row r="53" spans="1:7" ht="15" customHeight="1" x14ac:dyDescent="0.35">
      <c r="A53" s="3" t="s">
        <v>85</v>
      </c>
      <c r="B53" s="3" t="s">
        <v>2583</v>
      </c>
      <c r="C53" s="5">
        <v>38</v>
      </c>
      <c r="D53" s="3" t="s">
        <v>27</v>
      </c>
      <c r="E53" s="3" t="s">
        <v>2530</v>
      </c>
      <c r="F53" s="4">
        <v>44209</v>
      </c>
      <c r="G53" t="str">
        <f t="shared" si="0"/>
        <v>Pune</v>
      </c>
    </row>
    <row r="54" spans="1:7" ht="15" customHeight="1" x14ac:dyDescent="0.35">
      <c r="A54" s="3" t="s">
        <v>162</v>
      </c>
      <c r="B54" s="3" t="s">
        <v>2584</v>
      </c>
      <c r="C54" s="5">
        <v>53</v>
      </c>
      <c r="D54" s="3" t="s">
        <v>38</v>
      </c>
      <c r="E54" s="3" t="s">
        <v>2530</v>
      </c>
      <c r="F54" s="4">
        <v>44288</v>
      </c>
      <c r="G54" t="str">
        <f t="shared" si="0"/>
        <v>Delhi</v>
      </c>
    </row>
    <row r="55" spans="1:7" ht="15" customHeight="1" x14ac:dyDescent="0.35">
      <c r="A55" s="3" t="s">
        <v>811</v>
      </c>
      <c r="B55" s="3" t="s">
        <v>2585</v>
      </c>
      <c r="C55" s="5">
        <v>62</v>
      </c>
      <c r="D55" s="3" t="s">
        <v>51</v>
      </c>
      <c r="E55" s="3" t="s">
        <v>2532</v>
      </c>
      <c r="F55" s="4">
        <v>44482</v>
      </c>
      <c r="G55" t="str">
        <f t="shared" si="0"/>
        <v>Mumbai</v>
      </c>
    </row>
    <row r="56" spans="1:7" ht="15" customHeight="1" x14ac:dyDescent="0.35">
      <c r="A56" s="3" t="s">
        <v>543</v>
      </c>
      <c r="B56" s="3" t="s">
        <v>2586</v>
      </c>
      <c r="C56" s="5">
        <v>34</v>
      </c>
      <c r="D56" s="3" t="s">
        <v>56</v>
      </c>
      <c r="E56" s="3" t="s">
        <v>2530</v>
      </c>
      <c r="F56" s="4">
        <v>44753</v>
      </c>
      <c r="G56" t="str">
        <f t="shared" si="0"/>
        <v>Bengaluru</v>
      </c>
    </row>
    <row r="57" spans="1:7" ht="15" customHeight="1" x14ac:dyDescent="0.35">
      <c r="A57" s="3" t="s">
        <v>92</v>
      </c>
      <c r="B57" s="3" t="s">
        <v>2529</v>
      </c>
      <c r="C57" s="5">
        <v>46</v>
      </c>
      <c r="D57" s="3" t="s">
        <v>56</v>
      </c>
      <c r="E57" s="3" t="s">
        <v>2538</v>
      </c>
      <c r="F57" s="4">
        <v>45202</v>
      </c>
      <c r="G57" t="str">
        <f t="shared" si="0"/>
        <v>Bengaluru</v>
      </c>
    </row>
    <row r="58" spans="1:7" ht="15" customHeight="1" x14ac:dyDescent="0.35">
      <c r="A58" s="3" t="s">
        <v>709</v>
      </c>
      <c r="B58" s="3" t="s">
        <v>2587</v>
      </c>
      <c r="C58" s="5">
        <v>35</v>
      </c>
      <c r="D58" s="3" t="s">
        <v>27</v>
      </c>
      <c r="E58" s="3" t="s">
        <v>2530</v>
      </c>
      <c r="F58" s="4">
        <v>43917</v>
      </c>
      <c r="G58" t="str">
        <f t="shared" si="0"/>
        <v>Pune</v>
      </c>
    </row>
    <row r="59" spans="1:7" ht="15" customHeight="1" x14ac:dyDescent="0.35">
      <c r="A59" s="3" t="s">
        <v>955</v>
      </c>
      <c r="B59" s="3" t="s">
        <v>2588</v>
      </c>
      <c r="C59" s="5">
        <v>49</v>
      </c>
      <c r="D59" s="3" t="s">
        <v>56</v>
      </c>
      <c r="E59" s="3" t="s">
        <v>2538</v>
      </c>
      <c r="F59" s="4">
        <v>44471</v>
      </c>
      <c r="G59" t="str">
        <f t="shared" si="0"/>
        <v>Bengaluru</v>
      </c>
    </row>
    <row r="60" spans="1:7" ht="15" customHeight="1" x14ac:dyDescent="0.35">
      <c r="A60" s="3" t="s">
        <v>426</v>
      </c>
      <c r="B60" s="3" t="s">
        <v>2589</v>
      </c>
      <c r="C60" s="5">
        <v>29</v>
      </c>
      <c r="D60" s="3" t="s">
        <v>27</v>
      </c>
      <c r="E60" s="3" t="s">
        <v>2532</v>
      </c>
      <c r="F60" s="4">
        <v>44796</v>
      </c>
      <c r="G60" t="str">
        <f t="shared" si="0"/>
        <v>Pune</v>
      </c>
    </row>
    <row r="61" spans="1:7" ht="15" customHeight="1" x14ac:dyDescent="0.35">
      <c r="A61" s="3" t="s">
        <v>1111</v>
      </c>
      <c r="B61" s="3" t="s">
        <v>2590</v>
      </c>
      <c r="C61" s="5">
        <v>39</v>
      </c>
      <c r="D61" s="3" t="s">
        <v>27</v>
      </c>
      <c r="E61" s="3" t="s">
        <v>2530</v>
      </c>
      <c r="F61" s="4">
        <v>43897</v>
      </c>
      <c r="G61" t="str">
        <f t="shared" si="0"/>
        <v>Pune</v>
      </c>
    </row>
    <row r="62" spans="1:7" ht="15" customHeight="1" x14ac:dyDescent="0.35">
      <c r="A62" s="3" t="s">
        <v>683</v>
      </c>
      <c r="B62" s="3" t="s">
        <v>2591</v>
      </c>
      <c r="C62" s="5">
        <v>64</v>
      </c>
      <c r="D62" s="3" t="s">
        <v>72</v>
      </c>
      <c r="E62" s="3" t="s">
        <v>2530</v>
      </c>
      <c r="F62" s="4">
        <v>43971</v>
      </c>
      <c r="G62" t="str">
        <f t="shared" si="0"/>
        <v>Hyderabad</v>
      </c>
    </row>
    <row r="63" spans="1:7" ht="15" customHeight="1" x14ac:dyDescent="0.35">
      <c r="A63" s="3" t="s">
        <v>674</v>
      </c>
      <c r="B63" s="3" t="s">
        <v>2592</v>
      </c>
      <c r="C63" s="5">
        <v>54</v>
      </c>
      <c r="D63" s="3" t="s">
        <v>27</v>
      </c>
      <c r="E63" s="3" t="s">
        <v>2530</v>
      </c>
      <c r="F63" s="4">
        <v>45016</v>
      </c>
      <c r="G63" t="str">
        <f t="shared" si="0"/>
        <v>Pune</v>
      </c>
    </row>
    <row r="64" spans="1:7" ht="15" customHeight="1" x14ac:dyDescent="0.35">
      <c r="A64" s="3" t="s">
        <v>1011</v>
      </c>
      <c r="B64" s="3" t="s">
        <v>2593</v>
      </c>
      <c r="C64" s="5">
        <v>53</v>
      </c>
      <c r="D64" s="3" t="s">
        <v>51</v>
      </c>
      <c r="E64" s="3" t="s">
        <v>2538</v>
      </c>
      <c r="F64" s="4">
        <v>44008</v>
      </c>
      <c r="G64" t="str">
        <f t="shared" si="0"/>
        <v>Mumbai</v>
      </c>
    </row>
    <row r="65" spans="1:7" ht="15" customHeight="1" x14ac:dyDescent="0.35">
      <c r="A65" s="3" t="s">
        <v>145</v>
      </c>
      <c r="B65" s="3" t="s">
        <v>2594</v>
      </c>
      <c r="C65" s="5">
        <v>40</v>
      </c>
      <c r="D65" s="3" t="s">
        <v>72</v>
      </c>
      <c r="E65" s="3" t="s">
        <v>2538</v>
      </c>
      <c r="F65" s="4">
        <v>45070</v>
      </c>
      <c r="G65" t="str">
        <f t="shared" si="0"/>
        <v>Hyderabad</v>
      </c>
    </row>
    <row r="66" spans="1:7" ht="15" customHeight="1" x14ac:dyDescent="0.35">
      <c r="A66" s="3" t="s">
        <v>1119</v>
      </c>
      <c r="B66" s="3" t="s">
        <v>2595</v>
      </c>
      <c r="C66" s="5">
        <v>49</v>
      </c>
      <c r="D66" s="3" t="s">
        <v>33</v>
      </c>
      <c r="E66" s="3" t="s">
        <v>2532</v>
      </c>
      <c r="F66" s="4">
        <v>44543</v>
      </c>
      <c r="G66" t="str">
        <f t="shared" ref="G66:G129" si="1">IF(D66="","",PROPER(TRIM(D66)))</f>
        <v>Chennai</v>
      </c>
    </row>
    <row r="67" spans="1:7" ht="15" customHeight="1" x14ac:dyDescent="0.35">
      <c r="A67" s="3" t="s">
        <v>653</v>
      </c>
      <c r="B67" s="3" t="s">
        <v>2596</v>
      </c>
      <c r="C67" s="5">
        <v>24</v>
      </c>
      <c r="D67" s="3" t="s">
        <v>38</v>
      </c>
      <c r="E67" s="3" t="s">
        <v>2530</v>
      </c>
      <c r="F67" s="4">
        <v>44851</v>
      </c>
      <c r="G67" t="str">
        <f t="shared" si="1"/>
        <v>Delhi</v>
      </c>
    </row>
    <row r="68" spans="1:7" ht="15" customHeight="1" x14ac:dyDescent="0.35">
      <c r="A68" s="3" t="s">
        <v>413</v>
      </c>
      <c r="B68" s="3" t="s">
        <v>2597</v>
      </c>
      <c r="C68" s="5">
        <v>59</v>
      </c>
      <c r="D68" s="3" t="s">
        <v>38</v>
      </c>
      <c r="E68" s="3" t="s">
        <v>2538</v>
      </c>
      <c r="F68" s="4">
        <v>44020</v>
      </c>
      <c r="G68" t="str">
        <f t="shared" si="1"/>
        <v>Delhi</v>
      </c>
    </row>
    <row r="69" spans="1:7" ht="15" customHeight="1" x14ac:dyDescent="0.35">
      <c r="A69" s="3" t="s">
        <v>472</v>
      </c>
      <c r="B69" s="3" t="s">
        <v>2598</v>
      </c>
      <c r="C69" s="5">
        <v>48</v>
      </c>
      <c r="D69" s="3" t="s">
        <v>38</v>
      </c>
      <c r="E69" s="3" t="s">
        <v>2538</v>
      </c>
      <c r="F69" s="4">
        <v>44553</v>
      </c>
      <c r="G69" t="str">
        <f t="shared" si="1"/>
        <v>Delhi</v>
      </c>
    </row>
    <row r="70" spans="1:7" ht="15" customHeight="1" x14ac:dyDescent="0.35">
      <c r="A70" s="3" t="s">
        <v>156</v>
      </c>
      <c r="B70" s="3" t="s">
        <v>2599</v>
      </c>
      <c r="C70" s="5">
        <v>51</v>
      </c>
      <c r="D70" s="3" t="s">
        <v>33</v>
      </c>
      <c r="E70" s="3" t="s">
        <v>2530</v>
      </c>
      <c r="F70" s="4">
        <v>43906</v>
      </c>
      <c r="G70" t="str">
        <f t="shared" si="1"/>
        <v>Chennai</v>
      </c>
    </row>
    <row r="71" spans="1:7" ht="15" customHeight="1" x14ac:dyDescent="0.35">
      <c r="A71" s="3" t="s">
        <v>310</v>
      </c>
      <c r="B71" s="3" t="s">
        <v>2600</v>
      </c>
      <c r="C71" s="5">
        <v>42</v>
      </c>
      <c r="D71" s="3" t="s">
        <v>51</v>
      </c>
      <c r="E71" s="3" t="s">
        <v>2530</v>
      </c>
      <c r="F71" s="4">
        <v>44568</v>
      </c>
      <c r="G71" t="str">
        <f t="shared" si="1"/>
        <v>Mumbai</v>
      </c>
    </row>
    <row r="72" spans="1:7" ht="15" customHeight="1" x14ac:dyDescent="0.35">
      <c r="A72" s="3" t="s">
        <v>40</v>
      </c>
      <c r="B72" s="3" t="s">
        <v>2601</v>
      </c>
      <c r="C72" s="5">
        <v>46</v>
      </c>
      <c r="D72" s="3" t="s">
        <v>38</v>
      </c>
      <c r="E72" s="3" t="s">
        <v>2532</v>
      </c>
      <c r="F72" s="4">
        <v>44574</v>
      </c>
      <c r="G72" t="str">
        <f t="shared" si="1"/>
        <v>Delhi</v>
      </c>
    </row>
    <row r="73" spans="1:7" ht="15" customHeight="1" x14ac:dyDescent="0.35">
      <c r="A73" s="3" t="s">
        <v>817</v>
      </c>
      <c r="B73" s="3" t="s">
        <v>2602</v>
      </c>
      <c r="C73" s="5">
        <v>62</v>
      </c>
      <c r="D73" s="3" t="s">
        <v>51</v>
      </c>
      <c r="E73" s="3" t="s">
        <v>2532</v>
      </c>
      <c r="F73" s="4">
        <v>44301</v>
      </c>
      <c r="G73" t="str">
        <f t="shared" si="1"/>
        <v>Mumbai</v>
      </c>
    </row>
    <row r="74" spans="1:7" ht="15" customHeight="1" x14ac:dyDescent="0.35">
      <c r="A74" s="3" t="s">
        <v>519</v>
      </c>
      <c r="B74" s="3" t="s">
        <v>2603</v>
      </c>
      <c r="C74" s="5">
        <v>40</v>
      </c>
      <c r="D74" s="3" t="s">
        <v>27</v>
      </c>
      <c r="E74" s="3" t="s">
        <v>2532</v>
      </c>
      <c r="F74" s="4">
        <v>45190</v>
      </c>
      <c r="G74" t="str">
        <f t="shared" si="1"/>
        <v>Pune</v>
      </c>
    </row>
    <row r="75" spans="1:7" ht="15" customHeight="1" x14ac:dyDescent="0.35">
      <c r="A75" s="3" t="s">
        <v>718</v>
      </c>
      <c r="B75" s="3" t="s">
        <v>2604</v>
      </c>
      <c r="C75" s="5">
        <v>27</v>
      </c>
      <c r="D75" s="3" t="s">
        <v>56</v>
      </c>
      <c r="E75" s="3" t="s">
        <v>2530</v>
      </c>
      <c r="F75" s="4">
        <v>45100</v>
      </c>
      <c r="G75" t="str">
        <f t="shared" si="1"/>
        <v>Bengaluru</v>
      </c>
    </row>
    <row r="76" spans="1:7" ht="15" customHeight="1" x14ac:dyDescent="0.35">
      <c r="A76" s="3" t="s">
        <v>463</v>
      </c>
      <c r="B76" s="3" t="s">
        <v>2605</v>
      </c>
      <c r="C76" s="5">
        <v>55</v>
      </c>
      <c r="D76" s="3" t="s">
        <v>51</v>
      </c>
      <c r="E76" s="3" t="s">
        <v>2532</v>
      </c>
      <c r="F76" s="4">
        <v>43973</v>
      </c>
      <c r="G76" t="str">
        <f t="shared" si="1"/>
        <v>Mumbai</v>
      </c>
    </row>
    <row r="77" spans="1:7" ht="15" customHeight="1" x14ac:dyDescent="0.35">
      <c r="A77" s="3" t="s">
        <v>1289</v>
      </c>
      <c r="B77" s="3" t="s">
        <v>2606</v>
      </c>
      <c r="C77" s="5">
        <v>38</v>
      </c>
      <c r="D77" s="3" t="s">
        <v>51</v>
      </c>
      <c r="E77" s="3" t="s">
        <v>2530</v>
      </c>
      <c r="F77" s="4">
        <v>43964</v>
      </c>
      <c r="G77" t="str">
        <f t="shared" si="1"/>
        <v>Mumbai</v>
      </c>
    </row>
    <row r="78" spans="1:7" ht="15" customHeight="1" x14ac:dyDescent="0.35">
      <c r="A78" s="3" t="s">
        <v>476</v>
      </c>
      <c r="B78" s="3" t="s">
        <v>2607</v>
      </c>
      <c r="C78" s="5">
        <v>48</v>
      </c>
      <c r="D78" s="3" t="s">
        <v>72</v>
      </c>
      <c r="E78" s="3" t="s">
        <v>2538</v>
      </c>
      <c r="F78" s="4">
        <v>44443</v>
      </c>
      <c r="G78" t="str">
        <f t="shared" si="1"/>
        <v>Hyderabad</v>
      </c>
    </row>
    <row r="79" spans="1:7" ht="15" customHeight="1" x14ac:dyDescent="0.35">
      <c r="A79" s="3" t="s">
        <v>261</v>
      </c>
      <c r="B79" s="3" t="s">
        <v>2608</v>
      </c>
      <c r="C79" s="5">
        <v>31</v>
      </c>
      <c r="D79" s="3" t="s">
        <v>38</v>
      </c>
      <c r="E79" s="3" t="s">
        <v>2530</v>
      </c>
      <c r="F79" s="4">
        <v>45133</v>
      </c>
      <c r="G79" t="str">
        <f t="shared" si="1"/>
        <v>Delhi</v>
      </c>
    </row>
    <row r="80" spans="1:7" ht="15" customHeight="1" x14ac:dyDescent="0.35">
      <c r="A80" s="3" t="s">
        <v>490</v>
      </c>
      <c r="B80" s="3" t="s">
        <v>2609</v>
      </c>
      <c r="C80" s="5">
        <v>60</v>
      </c>
      <c r="D80" s="3" t="s">
        <v>51</v>
      </c>
      <c r="E80" s="3" t="s">
        <v>2532</v>
      </c>
      <c r="F80" s="4">
        <v>44271</v>
      </c>
      <c r="G80" t="str">
        <f t="shared" si="1"/>
        <v>Mumbai</v>
      </c>
    </row>
    <row r="81" spans="1:7" ht="15" customHeight="1" x14ac:dyDescent="0.35">
      <c r="A81" s="3" t="s">
        <v>379</v>
      </c>
      <c r="B81" s="3" t="s">
        <v>2610</v>
      </c>
      <c r="C81" s="5">
        <v>30</v>
      </c>
      <c r="D81" s="3" t="s">
        <v>27</v>
      </c>
      <c r="E81" s="3" t="s">
        <v>2538</v>
      </c>
      <c r="F81" s="4">
        <v>43901</v>
      </c>
      <c r="G81" t="str">
        <f t="shared" si="1"/>
        <v>Pune</v>
      </c>
    </row>
    <row r="82" spans="1:7" ht="15" customHeight="1" x14ac:dyDescent="0.35">
      <c r="A82" s="3" t="s">
        <v>305</v>
      </c>
      <c r="B82" s="3" t="s">
        <v>2611</v>
      </c>
      <c r="C82" s="5">
        <v>25</v>
      </c>
      <c r="D82" s="3" t="s">
        <v>51</v>
      </c>
      <c r="E82" s="3" t="s">
        <v>2530</v>
      </c>
      <c r="F82" s="4">
        <v>44331</v>
      </c>
      <c r="G82" t="str">
        <f t="shared" si="1"/>
        <v>Mumbai</v>
      </c>
    </row>
    <row r="83" spans="1:7" ht="15" customHeight="1" x14ac:dyDescent="0.35">
      <c r="A83" s="3" t="s">
        <v>259</v>
      </c>
      <c r="B83" s="3" t="s">
        <v>2612</v>
      </c>
      <c r="C83" s="5">
        <v>36</v>
      </c>
      <c r="D83" s="3" t="s">
        <v>72</v>
      </c>
      <c r="E83" s="3" t="s">
        <v>2538</v>
      </c>
      <c r="F83" s="4">
        <v>44152</v>
      </c>
      <c r="G83" t="str">
        <f t="shared" si="1"/>
        <v>Hyderabad</v>
      </c>
    </row>
    <row r="84" spans="1:7" ht="15" customHeight="1" x14ac:dyDescent="0.35">
      <c r="A84" s="3" t="s">
        <v>1043</v>
      </c>
      <c r="B84" s="3" t="s">
        <v>2613</v>
      </c>
      <c r="C84" s="5">
        <v>31</v>
      </c>
      <c r="D84" s="3" t="s">
        <v>56</v>
      </c>
      <c r="E84" s="3" t="s">
        <v>2532</v>
      </c>
      <c r="F84" s="4">
        <v>44248</v>
      </c>
      <c r="G84" t="str">
        <f t="shared" si="1"/>
        <v>Bengaluru</v>
      </c>
    </row>
    <row r="85" spans="1:7" ht="15" customHeight="1" x14ac:dyDescent="0.35">
      <c r="A85" s="3" t="s">
        <v>267</v>
      </c>
      <c r="B85" s="3" t="s">
        <v>2614</v>
      </c>
      <c r="C85" s="5">
        <v>28</v>
      </c>
      <c r="D85" s="3" t="s">
        <v>33</v>
      </c>
      <c r="E85" s="3" t="s">
        <v>2530</v>
      </c>
      <c r="F85" s="4">
        <v>44116</v>
      </c>
      <c r="G85" t="str">
        <f t="shared" si="1"/>
        <v>Chennai</v>
      </c>
    </row>
    <row r="86" spans="1:7" ht="15" customHeight="1" x14ac:dyDescent="0.35">
      <c r="A86" s="3" t="s">
        <v>524</v>
      </c>
      <c r="B86" s="3" t="s">
        <v>2615</v>
      </c>
      <c r="C86" s="5">
        <v>26</v>
      </c>
      <c r="D86" s="3" t="s">
        <v>33</v>
      </c>
      <c r="E86" s="3" t="s">
        <v>2530</v>
      </c>
      <c r="F86" s="4">
        <v>45149</v>
      </c>
      <c r="G86" t="str">
        <f t="shared" si="1"/>
        <v>Chennai</v>
      </c>
    </row>
    <row r="87" spans="1:7" ht="15" customHeight="1" x14ac:dyDescent="0.35">
      <c r="A87" s="3" t="s">
        <v>129</v>
      </c>
      <c r="B87" s="3" t="s">
        <v>2616</v>
      </c>
      <c r="C87" s="5">
        <v>56</v>
      </c>
      <c r="D87" s="3" t="s">
        <v>72</v>
      </c>
      <c r="E87" s="3" t="s">
        <v>2532</v>
      </c>
      <c r="F87" s="4">
        <v>45039</v>
      </c>
      <c r="G87" t="str">
        <f t="shared" si="1"/>
        <v>Hyderabad</v>
      </c>
    </row>
    <row r="88" spans="1:7" ht="15" customHeight="1" x14ac:dyDescent="0.35">
      <c r="A88" s="3" t="s">
        <v>418</v>
      </c>
      <c r="B88" s="3" t="s">
        <v>2617</v>
      </c>
      <c r="C88" s="5">
        <v>49</v>
      </c>
      <c r="D88" s="3" t="s">
        <v>27</v>
      </c>
      <c r="E88" s="3" t="s">
        <v>2538</v>
      </c>
      <c r="F88" s="4">
        <v>44621</v>
      </c>
      <c r="G88" t="str">
        <f t="shared" si="1"/>
        <v>Pune</v>
      </c>
    </row>
    <row r="89" spans="1:7" ht="15" customHeight="1" x14ac:dyDescent="0.35">
      <c r="A89" s="3" t="s">
        <v>193</v>
      </c>
      <c r="B89" s="3" t="s">
        <v>2618</v>
      </c>
      <c r="C89" s="5">
        <v>24</v>
      </c>
      <c r="D89" s="3" t="s">
        <v>33</v>
      </c>
      <c r="E89" s="3" t="s">
        <v>2530</v>
      </c>
      <c r="F89" s="4">
        <v>44693</v>
      </c>
      <c r="G89" t="str">
        <f t="shared" si="1"/>
        <v>Chennai</v>
      </c>
    </row>
    <row r="90" spans="1:7" ht="15" customHeight="1" x14ac:dyDescent="0.35">
      <c r="A90" s="3" t="s">
        <v>844</v>
      </c>
      <c r="B90" s="3" t="s">
        <v>2619</v>
      </c>
      <c r="C90" s="5">
        <v>43</v>
      </c>
      <c r="D90" s="3" t="s">
        <v>51</v>
      </c>
      <c r="E90" s="3" t="s">
        <v>2538</v>
      </c>
      <c r="F90" s="4">
        <v>44513</v>
      </c>
      <c r="G90" t="str">
        <f t="shared" si="1"/>
        <v>Mumbai</v>
      </c>
    </row>
    <row r="91" spans="1:7" ht="15" customHeight="1" x14ac:dyDescent="0.35">
      <c r="A91" s="3" t="s">
        <v>538</v>
      </c>
      <c r="B91" s="3" t="s">
        <v>2620</v>
      </c>
      <c r="C91" s="5">
        <v>26</v>
      </c>
      <c r="D91" s="3" t="s">
        <v>56</v>
      </c>
      <c r="E91" s="3" t="s">
        <v>2532</v>
      </c>
      <c r="F91" s="4">
        <v>44137</v>
      </c>
      <c r="G91" t="str">
        <f t="shared" si="1"/>
        <v>Bengaluru</v>
      </c>
    </row>
    <row r="92" spans="1:7" ht="15" customHeight="1" x14ac:dyDescent="0.35">
      <c r="A92" s="3" t="s">
        <v>849</v>
      </c>
      <c r="B92" s="3" t="s">
        <v>2621</v>
      </c>
      <c r="C92" s="5">
        <v>55</v>
      </c>
      <c r="D92" s="3" t="s">
        <v>38</v>
      </c>
      <c r="E92" s="3" t="s">
        <v>2530</v>
      </c>
      <c r="F92" s="4">
        <v>45178</v>
      </c>
      <c r="G92" t="str">
        <f t="shared" si="1"/>
        <v>Delhi</v>
      </c>
    </row>
    <row r="93" spans="1:7" ht="15" customHeight="1" x14ac:dyDescent="0.35">
      <c r="A93" s="3" t="s">
        <v>333</v>
      </c>
      <c r="B93" s="3" t="s">
        <v>2622</v>
      </c>
      <c r="C93" s="5">
        <v>28</v>
      </c>
      <c r="D93" s="3" t="s">
        <v>56</v>
      </c>
      <c r="E93" s="3" t="s">
        <v>2538</v>
      </c>
      <c r="F93" s="4">
        <v>44731</v>
      </c>
      <c r="G93" t="str">
        <f t="shared" si="1"/>
        <v>Bengaluru</v>
      </c>
    </row>
    <row r="94" spans="1:7" ht="15" customHeight="1" x14ac:dyDescent="0.35">
      <c r="A94" s="3" t="s">
        <v>755</v>
      </c>
      <c r="B94" s="3" t="s">
        <v>2623</v>
      </c>
      <c r="C94" s="5">
        <v>36</v>
      </c>
      <c r="D94" s="3" t="s">
        <v>27</v>
      </c>
      <c r="E94" s="3" t="s">
        <v>2530</v>
      </c>
      <c r="F94" s="4">
        <v>44743</v>
      </c>
      <c r="G94" t="str">
        <f t="shared" si="1"/>
        <v>Pune</v>
      </c>
    </row>
    <row r="95" spans="1:7" ht="15" customHeight="1" x14ac:dyDescent="0.35">
      <c r="A95" s="3" t="s">
        <v>255</v>
      </c>
      <c r="B95" s="3" t="s">
        <v>2624</v>
      </c>
      <c r="C95" s="5">
        <v>60</v>
      </c>
      <c r="D95" s="3" t="s">
        <v>27</v>
      </c>
      <c r="E95" s="3" t="s">
        <v>2538</v>
      </c>
      <c r="F95" s="4">
        <v>44915</v>
      </c>
      <c r="G95" t="str">
        <f t="shared" si="1"/>
        <v>Pune</v>
      </c>
    </row>
    <row r="96" spans="1:7" ht="15" customHeight="1" x14ac:dyDescent="0.35">
      <c r="A96" s="3" t="s">
        <v>167</v>
      </c>
      <c r="B96" s="3" t="s">
        <v>2625</v>
      </c>
      <c r="C96" s="5">
        <v>54</v>
      </c>
      <c r="D96" s="3" t="s">
        <v>51</v>
      </c>
      <c r="E96" s="3" t="s">
        <v>2538</v>
      </c>
      <c r="F96" s="4">
        <v>44622</v>
      </c>
      <c r="G96" t="str">
        <f t="shared" si="1"/>
        <v>Mumbai</v>
      </c>
    </row>
    <row r="97" spans="1:7" ht="15" customHeight="1" x14ac:dyDescent="0.35">
      <c r="A97" s="3" t="s">
        <v>321</v>
      </c>
      <c r="B97" s="3" t="s">
        <v>2626</v>
      </c>
      <c r="C97" s="5">
        <v>27</v>
      </c>
      <c r="D97" s="3" t="s">
        <v>38</v>
      </c>
      <c r="E97" s="3" t="s">
        <v>2532</v>
      </c>
      <c r="F97" s="4">
        <v>44445</v>
      </c>
      <c r="G97" t="str">
        <f t="shared" si="1"/>
        <v>Delhi</v>
      </c>
    </row>
    <row r="98" spans="1:7" ht="15" customHeight="1" x14ac:dyDescent="0.35">
      <c r="A98" s="3" t="s">
        <v>496</v>
      </c>
      <c r="B98" s="3" t="s">
        <v>2627</v>
      </c>
      <c r="C98" s="5">
        <v>65</v>
      </c>
      <c r="D98" s="3" t="s">
        <v>51</v>
      </c>
      <c r="E98" s="3" t="s">
        <v>2530</v>
      </c>
      <c r="F98" s="4">
        <v>43899</v>
      </c>
      <c r="G98" t="str">
        <f t="shared" si="1"/>
        <v>Mumbai</v>
      </c>
    </row>
    <row r="99" spans="1:7" ht="15" customHeight="1" x14ac:dyDescent="0.35">
      <c r="A99" s="3" t="s">
        <v>35</v>
      </c>
      <c r="B99" s="3" t="s">
        <v>2628</v>
      </c>
      <c r="C99" s="5">
        <v>52</v>
      </c>
      <c r="D99" s="3" t="s">
        <v>38</v>
      </c>
      <c r="E99" s="3" t="s">
        <v>2530</v>
      </c>
      <c r="F99" s="4">
        <v>44406</v>
      </c>
      <c r="G99" t="str">
        <f t="shared" si="1"/>
        <v>Delhi</v>
      </c>
    </row>
    <row r="100" spans="1:7" ht="15" customHeight="1" x14ac:dyDescent="0.35">
      <c r="A100" s="3" t="s">
        <v>1663</v>
      </c>
      <c r="B100" s="3" t="s">
        <v>2629</v>
      </c>
      <c r="C100" s="5">
        <v>54</v>
      </c>
      <c r="D100" s="3" t="s">
        <v>56</v>
      </c>
      <c r="E100" s="3" t="s">
        <v>2538</v>
      </c>
      <c r="F100" s="4">
        <v>44938</v>
      </c>
      <c r="G100" t="str">
        <f t="shared" si="1"/>
        <v>Bengaluru</v>
      </c>
    </row>
    <row r="101" spans="1:7" ht="15" customHeight="1" x14ac:dyDescent="0.35">
      <c r="A101" s="3" t="s">
        <v>1514</v>
      </c>
      <c r="B101" s="3" t="s">
        <v>2630</v>
      </c>
      <c r="C101" s="5">
        <v>60</v>
      </c>
      <c r="D101" s="3" t="s">
        <v>72</v>
      </c>
      <c r="E101" s="3" t="s">
        <v>2532</v>
      </c>
      <c r="F101" s="4">
        <v>45072</v>
      </c>
      <c r="G101" t="str">
        <f t="shared" si="1"/>
        <v>Hyderabad</v>
      </c>
    </row>
    <row r="102" spans="1:7" ht="15" customHeight="1" x14ac:dyDescent="0.35">
      <c r="A102" s="3" t="s">
        <v>114</v>
      </c>
      <c r="B102" s="3" t="s">
        <v>2631</v>
      </c>
      <c r="C102" s="5">
        <v>40</v>
      </c>
      <c r="D102" s="3" t="s">
        <v>72</v>
      </c>
      <c r="E102" s="3" t="s">
        <v>2538</v>
      </c>
      <c r="F102" s="4">
        <v>44021</v>
      </c>
      <c r="G102" t="str">
        <f t="shared" si="1"/>
        <v>Hyderabad</v>
      </c>
    </row>
    <row r="103" spans="1:7" ht="15" customHeight="1" x14ac:dyDescent="0.35">
      <c r="A103" s="3" t="s">
        <v>308</v>
      </c>
      <c r="B103" s="3" t="s">
        <v>2632</v>
      </c>
      <c r="C103" s="5">
        <v>62</v>
      </c>
      <c r="D103" s="3" t="s">
        <v>33</v>
      </c>
      <c r="E103" s="3" t="s">
        <v>2538</v>
      </c>
      <c r="F103" s="4">
        <v>45092</v>
      </c>
      <c r="G103" t="str">
        <f t="shared" si="1"/>
        <v>Chennai</v>
      </c>
    </row>
    <row r="104" spans="1:7" ht="15" customHeight="1" x14ac:dyDescent="0.35">
      <c r="A104" s="3" t="s">
        <v>882</v>
      </c>
      <c r="B104" s="3" t="s">
        <v>2633</v>
      </c>
      <c r="C104" s="5">
        <v>54</v>
      </c>
      <c r="D104" s="3" t="s">
        <v>72</v>
      </c>
      <c r="E104" s="3" t="s">
        <v>2532</v>
      </c>
      <c r="F104" s="4">
        <v>45080</v>
      </c>
      <c r="G104" t="str">
        <f t="shared" si="1"/>
        <v>Hyderabad</v>
      </c>
    </row>
    <row r="105" spans="1:7" ht="15" customHeight="1" x14ac:dyDescent="0.35">
      <c r="A105" s="3" t="s">
        <v>393</v>
      </c>
      <c r="B105" s="3" t="s">
        <v>2634</v>
      </c>
      <c r="C105" s="5">
        <v>43</v>
      </c>
      <c r="D105" s="3" t="s">
        <v>72</v>
      </c>
      <c r="E105" s="3" t="s">
        <v>2532</v>
      </c>
      <c r="F105" s="4">
        <v>44018</v>
      </c>
      <c r="G105" t="str">
        <f t="shared" si="1"/>
        <v>Hyderabad</v>
      </c>
    </row>
    <row r="106" spans="1:7" ht="15" customHeight="1" x14ac:dyDescent="0.35">
      <c r="A106" s="3" t="s">
        <v>1247</v>
      </c>
      <c r="B106" s="3" t="s">
        <v>2635</v>
      </c>
      <c r="C106" s="5">
        <v>51</v>
      </c>
      <c r="D106" s="3" t="s">
        <v>33</v>
      </c>
      <c r="E106" s="3" t="s">
        <v>2538</v>
      </c>
      <c r="F106" s="4">
        <v>44060</v>
      </c>
      <c r="G106" t="str">
        <f t="shared" si="1"/>
        <v>Chennai</v>
      </c>
    </row>
    <row r="107" spans="1:7" ht="15" customHeight="1" x14ac:dyDescent="0.35">
      <c r="A107" s="3" t="s">
        <v>352</v>
      </c>
      <c r="B107" s="3" t="s">
        <v>2636</v>
      </c>
      <c r="C107" s="5">
        <v>22</v>
      </c>
      <c r="D107" s="3" t="s">
        <v>27</v>
      </c>
      <c r="E107" s="3" t="s">
        <v>2530</v>
      </c>
      <c r="F107" s="4">
        <v>45192</v>
      </c>
      <c r="G107" t="str">
        <f t="shared" si="1"/>
        <v>Pune</v>
      </c>
    </row>
    <row r="108" spans="1:7" ht="15" customHeight="1" x14ac:dyDescent="0.35">
      <c r="A108" s="3" t="s">
        <v>111</v>
      </c>
      <c r="B108" s="3" t="s">
        <v>2637</v>
      </c>
      <c r="C108" s="5">
        <v>50</v>
      </c>
      <c r="D108" s="3" t="s">
        <v>27</v>
      </c>
      <c r="E108" s="3" t="s">
        <v>2530</v>
      </c>
      <c r="F108" s="4">
        <v>44007</v>
      </c>
      <c r="G108" t="str">
        <f t="shared" si="1"/>
        <v>Pune</v>
      </c>
    </row>
    <row r="109" spans="1:7" ht="15" customHeight="1" x14ac:dyDescent="0.35">
      <c r="A109" s="3" t="s">
        <v>270</v>
      </c>
      <c r="B109" s="3" t="s">
        <v>2638</v>
      </c>
      <c r="C109" s="5">
        <v>59</v>
      </c>
      <c r="D109" s="3" t="s">
        <v>56</v>
      </c>
      <c r="E109" s="3" t="s">
        <v>2532</v>
      </c>
      <c r="F109" s="4">
        <v>44382</v>
      </c>
      <c r="G109" t="str">
        <f t="shared" si="1"/>
        <v>Bengaluru</v>
      </c>
    </row>
    <row r="110" spans="1:7" ht="15" customHeight="1" x14ac:dyDescent="0.35">
      <c r="A110" s="3" t="s">
        <v>1170</v>
      </c>
      <c r="B110" s="3" t="s">
        <v>2639</v>
      </c>
      <c r="C110" s="5">
        <v>42</v>
      </c>
      <c r="D110" s="3" t="s">
        <v>27</v>
      </c>
      <c r="E110" s="3" t="s">
        <v>2530</v>
      </c>
      <c r="F110" s="4">
        <v>44698</v>
      </c>
      <c r="G110" t="str">
        <f t="shared" si="1"/>
        <v>Pune</v>
      </c>
    </row>
    <row r="111" spans="1:7" ht="15" customHeight="1" x14ac:dyDescent="0.35">
      <c r="A111" s="3" t="s">
        <v>563</v>
      </c>
      <c r="B111" s="3" t="s">
        <v>2560</v>
      </c>
      <c r="C111" s="5">
        <v>31</v>
      </c>
      <c r="D111" s="3" t="s">
        <v>27</v>
      </c>
      <c r="E111" s="3" t="s">
        <v>2532</v>
      </c>
      <c r="F111" s="4">
        <v>44346</v>
      </c>
      <c r="G111" t="str">
        <f t="shared" si="1"/>
        <v>Pune</v>
      </c>
    </row>
    <row r="112" spans="1:7" ht="15" customHeight="1" x14ac:dyDescent="0.35">
      <c r="A112" s="3" t="s">
        <v>361</v>
      </c>
      <c r="B112" s="3" t="s">
        <v>2640</v>
      </c>
      <c r="C112" s="5">
        <v>64</v>
      </c>
      <c r="D112" s="3" t="s">
        <v>33</v>
      </c>
      <c r="E112" s="3" t="s">
        <v>2538</v>
      </c>
      <c r="F112" s="4">
        <v>44309</v>
      </c>
      <c r="G112" t="str">
        <f t="shared" si="1"/>
        <v>Chennai</v>
      </c>
    </row>
    <row r="113" spans="1:7" ht="15" customHeight="1" x14ac:dyDescent="0.35">
      <c r="A113" s="3" t="s">
        <v>175</v>
      </c>
      <c r="B113" s="3" t="s">
        <v>2641</v>
      </c>
      <c r="C113" s="5">
        <v>64</v>
      </c>
      <c r="D113" s="3" t="s">
        <v>72</v>
      </c>
      <c r="E113" s="3" t="s">
        <v>2530</v>
      </c>
      <c r="F113" s="4">
        <v>44015</v>
      </c>
      <c r="G113" t="str">
        <f t="shared" si="1"/>
        <v>Hyderabad</v>
      </c>
    </row>
    <row r="114" spans="1:7" ht="15" customHeight="1" x14ac:dyDescent="0.35">
      <c r="A114" s="3" t="s">
        <v>336</v>
      </c>
      <c r="B114" s="3" t="s">
        <v>2642</v>
      </c>
      <c r="C114" s="5">
        <v>30</v>
      </c>
      <c r="D114" s="3" t="s">
        <v>38</v>
      </c>
      <c r="E114" s="3" t="s">
        <v>2530</v>
      </c>
      <c r="F114" s="4">
        <v>44490</v>
      </c>
      <c r="G114" t="str">
        <f t="shared" si="1"/>
        <v>Delhi</v>
      </c>
    </row>
    <row r="115" spans="1:7" ht="15" customHeight="1" x14ac:dyDescent="0.35">
      <c r="A115" s="3" t="s">
        <v>355</v>
      </c>
      <c r="B115" s="3" t="s">
        <v>2643</v>
      </c>
      <c r="C115" s="5">
        <v>42</v>
      </c>
      <c r="D115" s="3" t="s">
        <v>56</v>
      </c>
      <c r="E115" s="3" t="s">
        <v>2532</v>
      </c>
      <c r="F115" s="4">
        <v>44907</v>
      </c>
      <c r="G115" t="str">
        <f t="shared" si="1"/>
        <v>Bengaluru</v>
      </c>
    </row>
    <row r="116" spans="1:7" ht="15" customHeight="1" x14ac:dyDescent="0.35">
      <c r="A116" s="3" t="s">
        <v>556</v>
      </c>
      <c r="B116" s="3" t="s">
        <v>2566</v>
      </c>
      <c r="C116" s="5">
        <v>65</v>
      </c>
      <c r="D116" s="3" t="s">
        <v>51</v>
      </c>
      <c r="E116" s="3" t="s">
        <v>2538</v>
      </c>
      <c r="F116" s="4">
        <v>44381</v>
      </c>
      <c r="G116" t="str">
        <f t="shared" si="1"/>
        <v>Mumbai</v>
      </c>
    </row>
    <row r="117" spans="1:7" ht="15" customHeight="1" x14ac:dyDescent="0.35">
      <c r="A117" s="3" t="s">
        <v>1562</v>
      </c>
      <c r="B117" s="3" t="s">
        <v>2644</v>
      </c>
      <c r="C117" s="5">
        <v>53</v>
      </c>
      <c r="D117" s="3" t="s">
        <v>2645</v>
      </c>
      <c r="E117" s="3" t="s">
        <v>2530</v>
      </c>
      <c r="F117" s="4">
        <v>44050</v>
      </c>
      <c r="G117" t="str">
        <f t="shared" si="1"/>
        <v>Bengaluru</v>
      </c>
    </row>
    <row r="118" spans="1:7" ht="15" customHeight="1" x14ac:dyDescent="0.35">
      <c r="A118" s="3" t="s">
        <v>390</v>
      </c>
      <c r="B118" s="3" t="s">
        <v>2646</v>
      </c>
      <c r="C118" s="5">
        <v>34</v>
      </c>
      <c r="D118" s="3" t="s">
        <v>38</v>
      </c>
      <c r="E118" s="3" t="s">
        <v>2538</v>
      </c>
      <c r="F118" s="4">
        <v>44581</v>
      </c>
      <c r="G118" t="str">
        <f t="shared" si="1"/>
        <v>Delhi</v>
      </c>
    </row>
    <row r="119" spans="1:7" ht="15" customHeight="1" x14ac:dyDescent="0.35">
      <c r="A119" s="3" t="s">
        <v>147</v>
      </c>
      <c r="B119" s="3" t="s">
        <v>2647</v>
      </c>
      <c r="C119" s="5">
        <v>26</v>
      </c>
      <c r="D119" s="3" t="s">
        <v>72</v>
      </c>
      <c r="E119" s="3" t="s">
        <v>2530</v>
      </c>
      <c r="F119" s="4">
        <v>44916</v>
      </c>
      <c r="G119" t="str">
        <f t="shared" si="1"/>
        <v>Hyderabad</v>
      </c>
    </row>
    <row r="120" spans="1:7" ht="15" customHeight="1" x14ac:dyDescent="0.35">
      <c r="A120" s="3" t="s">
        <v>408</v>
      </c>
      <c r="B120" s="3" t="s">
        <v>2648</v>
      </c>
      <c r="C120" s="5">
        <v>43</v>
      </c>
      <c r="D120" s="3" t="s">
        <v>56</v>
      </c>
      <c r="E120" s="3" t="s">
        <v>2538</v>
      </c>
      <c r="F120" s="4">
        <v>44360</v>
      </c>
      <c r="G120" t="str">
        <f t="shared" si="1"/>
        <v>Bengaluru</v>
      </c>
    </row>
    <row r="121" spans="1:7" ht="15" customHeight="1" x14ac:dyDescent="0.35">
      <c r="A121" s="3" t="s">
        <v>1173</v>
      </c>
      <c r="B121" s="3" t="s">
        <v>2649</v>
      </c>
      <c r="C121" s="5">
        <v>29</v>
      </c>
      <c r="D121" s="3" t="s">
        <v>51</v>
      </c>
      <c r="E121" s="3" t="s">
        <v>2530</v>
      </c>
      <c r="F121" s="4">
        <v>44871</v>
      </c>
      <c r="G121" t="str">
        <f t="shared" si="1"/>
        <v>Mumbai</v>
      </c>
    </row>
    <row r="122" spans="1:7" ht="15" customHeight="1" x14ac:dyDescent="0.35">
      <c r="A122" s="3" t="s">
        <v>461</v>
      </c>
      <c r="B122" s="3" t="s">
        <v>2650</v>
      </c>
      <c r="C122" s="5">
        <v>55</v>
      </c>
      <c r="D122" s="3" t="s">
        <v>38</v>
      </c>
      <c r="E122" s="3" t="s">
        <v>2538</v>
      </c>
      <c r="F122" s="4">
        <v>45119</v>
      </c>
      <c r="G122" t="str">
        <f t="shared" si="1"/>
        <v>Delhi</v>
      </c>
    </row>
    <row r="123" spans="1:7" ht="15" customHeight="1" x14ac:dyDescent="0.35">
      <c r="A123" s="3" t="s">
        <v>1156</v>
      </c>
      <c r="B123" s="3" t="s">
        <v>2651</v>
      </c>
      <c r="C123" s="5">
        <v>44</v>
      </c>
      <c r="D123" s="3" t="s">
        <v>51</v>
      </c>
      <c r="E123" s="3" t="s">
        <v>2530</v>
      </c>
      <c r="F123" s="4">
        <v>44686</v>
      </c>
      <c r="G123" t="str">
        <f t="shared" si="1"/>
        <v>Mumbai</v>
      </c>
    </row>
    <row r="124" spans="1:7" ht="15" customHeight="1" x14ac:dyDescent="0.35">
      <c r="A124" s="3" t="s">
        <v>825</v>
      </c>
      <c r="B124" s="3" t="s">
        <v>2652</v>
      </c>
      <c r="C124" s="5">
        <v>44</v>
      </c>
      <c r="D124" s="3" t="s">
        <v>33</v>
      </c>
      <c r="E124" s="3" t="s">
        <v>2532</v>
      </c>
      <c r="F124" s="4">
        <v>44589</v>
      </c>
      <c r="G124" t="str">
        <f t="shared" si="1"/>
        <v>Chennai</v>
      </c>
    </row>
    <row r="125" spans="1:7" ht="15" customHeight="1" x14ac:dyDescent="0.35">
      <c r="A125" s="3" t="s">
        <v>432</v>
      </c>
      <c r="B125" s="3" t="s">
        <v>2653</v>
      </c>
      <c r="C125" s="5">
        <v>57</v>
      </c>
      <c r="D125" s="3" t="s">
        <v>27</v>
      </c>
      <c r="E125" s="3" t="s">
        <v>2530</v>
      </c>
      <c r="F125" s="4">
        <v>44818</v>
      </c>
      <c r="G125" t="str">
        <f t="shared" si="1"/>
        <v>Pune</v>
      </c>
    </row>
    <row r="126" spans="1:7" ht="15" customHeight="1" x14ac:dyDescent="0.35">
      <c r="A126" s="3" t="s">
        <v>469</v>
      </c>
      <c r="B126" s="3" t="s">
        <v>2654</v>
      </c>
      <c r="C126" s="5">
        <v>45</v>
      </c>
      <c r="D126" s="3" t="s">
        <v>38</v>
      </c>
      <c r="E126" s="3" t="s">
        <v>2530</v>
      </c>
      <c r="F126" s="4">
        <v>44263</v>
      </c>
      <c r="G126" t="str">
        <f t="shared" si="1"/>
        <v>Delhi</v>
      </c>
    </row>
    <row r="127" spans="1:7" ht="15" customHeight="1" x14ac:dyDescent="0.35">
      <c r="A127" s="3" t="s">
        <v>841</v>
      </c>
      <c r="B127" s="3" t="s">
        <v>2655</v>
      </c>
      <c r="C127" s="5">
        <v>37</v>
      </c>
      <c r="D127" s="3" t="s">
        <v>51</v>
      </c>
      <c r="E127" s="3" t="s">
        <v>2530</v>
      </c>
      <c r="F127" s="4">
        <v>44561</v>
      </c>
      <c r="G127" t="str">
        <f t="shared" si="1"/>
        <v>Mumbai</v>
      </c>
    </row>
    <row r="128" spans="1:7" ht="15" customHeight="1" x14ac:dyDescent="0.35">
      <c r="A128" s="3" t="s">
        <v>922</v>
      </c>
      <c r="B128" s="3" t="s">
        <v>2561</v>
      </c>
      <c r="C128" s="5">
        <v>36</v>
      </c>
      <c r="D128" s="3" t="s">
        <v>56</v>
      </c>
      <c r="E128" s="3" t="s">
        <v>2538</v>
      </c>
      <c r="F128" s="4">
        <v>45036</v>
      </c>
      <c r="G128" t="str">
        <f t="shared" si="1"/>
        <v>Bengaluru</v>
      </c>
    </row>
    <row r="129" spans="1:7" ht="15" customHeight="1" x14ac:dyDescent="0.35">
      <c r="A129" s="3" t="s">
        <v>891</v>
      </c>
      <c r="B129" s="3" t="s">
        <v>2656</v>
      </c>
      <c r="C129" s="5">
        <v>35</v>
      </c>
      <c r="D129" s="3" t="s">
        <v>72</v>
      </c>
      <c r="E129" s="3" t="s">
        <v>2530</v>
      </c>
      <c r="F129" s="4">
        <v>44602</v>
      </c>
      <c r="G129" t="str">
        <f t="shared" si="1"/>
        <v>Hyderabad</v>
      </c>
    </row>
    <row r="130" spans="1:7" ht="15" customHeight="1" x14ac:dyDescent="0.35">
      <c r="A130" s="3" t="s">
        <v>238</v>
      </c>
      <c r="B130" s="3" t="s">
        <v>2657</v>
      </c>
      <c r="C130" s="5">
        <v>29</v>
      </c>
      <c r="D130" s="3" t="s">
        <v>2658</v>
      </c>
      <c r="E130" s="3" t="s">
        <v>2530</v>
      </c>
      <c r="F130" s="4">
        <v>44930</v>
      </c>
      <c r="G130" t="str">
        <f t="shared" ref="G130:G193" si="2">IF(D130="","",PROPER(TRIM(D130)))</f>
        <v>Hyderabad</v>
      </c>
    </row>
    <row r="131" spans="1:7" ht="15" customHeight="1" x14ac:dyDescent="0.35">
      <c r="A131" s="3" t="s">
        <v>780</v>
      </c>
      <c r="B131" s="3" t="s">
        <v>2659</v>
      </c>
      <c r="C131" s="5">
        <v>41</v>
      </c>
      <c r="D131" s="3" t="s">
        <v>56</v>
      </c>
      <c r="E131" s="3" t="s">
        <v>2532</v>
      </c>
      <c r="F131" s="4">
        <v>44897</v>
      </c>
      <c r="G131" t="str">
        <f t="shared" si="2"/>
        <v>Bengaluru</v>
      </c>
    </row>
    <row r="132" spans="1:7" ht="15" customHeight="1" x14ac:dyDescent="0.35">
      <c r="A132" s="3" t="s">
        <v>298</v>
      </c>
      <c r="B132" s="3" t="s">
        <v>2660</v>
      </c>
      <c r="C132" s="5">
        <v>28</v>
      </c>
      <c r="D132" s="3" t="s">
        <v>2535</v>
      </c>
      <c r="E132" s="3" t="s">
        <v>2538</v>
      </c>
      <c r="F132" s="4">
        <v>44158</v>
      </c>
      <c r="G132" t="str">
        <f t="shared" si="2"/>
        <v>Delhi</v>
      </c>
    </row>
    <row r="133" spans="1:7" ht="15" customHeight="1" x14ac:dyDescent="0.35">
      <c r="A133" s="3" t="s">
        <v>623</v>
      </c>
      <c r="B133" s="3" t="s">
        <v>2661</v>
      </c>
      <c r="C133" s="5">
        <v>41</v>
      </c>
      <c r="D133" s="3" t="s">
        <v>38</v>
      </c>
      <c r="E133" s="3" t="s">
        <v>2530</v>
      </c>
      <c r="F133" s="4">
        <v>44754</v>
      </c>
      <c r="G133" t="str">
        <f t="shared" si="2"/>
        <v>Delhi</v>
      </c>
    </row>
    <row r="134" spans="1:7" ht="15" customHeight="1" x14ac:dyDescent="0.35">
      <c r="A134" s="3" t="s">
        <v>281</v>
      </c>
      <c r="B134" s="3" t="s">
        <v>2662</v>
      </c>
      <c r="C134" s="5">
        <v>26</v>
      </c>
      <c r="D134" s="3" t="s">
        <v>33</v>
      </c>
      <c r="E134" s="3" t="s">
        <v>2530</v>
      </c>
      <c r="F134" s="4">
        <v>43837</v>
      </c>
      <c r="G134" t="str">
        <f t="shared" si="2"/>
        <v>Chennai</v>
      </c>
    </row>
    <row r="135" spans="1:7" ht="15" customHeight="1" x14ac:dyDescent="0.35">
      <c r="A135" s="3" t="s">
        <v>565</v>
      </c>
      <c r="B135" s="3" t="s">
        <v>2663</v>
      </c>
      <c r="C135" s="5">
        <v>40</v>
      </c>
      <c r="D135" s="3" t="s">
        <v>38</v>
      </c>
      <c r="E135" s="3" t="s">
        <v>2530</v>
      </c>
      <c r="F135" s="4">
        <v>45111</v>
      </c>
      <c r="G135" t="str">
        <f t="shared" si="2"/>
        <v>Delhi</v>
      </c>
    </row>
    <row r="136" spans="1:7" ht="15" customHeight="1" x14ac:dyDescent="0.35">
      <c r="A136" s="3" t="s">
        <v>502</v>
      </c>
      <c r="B136" s="3" t="s">
        <v>2664</v>
      </c>
      <c r="C136" s="5">
        <v>24</v>
      </c>
      <c r="D136" s="3" t="s">
        <v>27</v>
      </c>
      <c r="E136" s="3" t="s">
        <v>2538</v>
      </c>
      <c r="F136" s="4">
        <v>44673</v>
      </c>
      <c r="G136" t="str">
        <f t="shared" si="2"/>
        <v>Pune</v>
      </c>
    </row>
    <row r="137" spans="1:7" ht="15" customHeight="1" x14ac:dyDescent="0.35">
      <c r="A137" s="3" t="s">
        <v>789</v>
      </c>
      <c r="B137" s="3" t="s">
        <v>2665</v>
      </c>
      <c r="C137" s="5">
        <v>26</v>
      </c>
      <c r="D137" s="3" t="s">
        <v>33</v>
      </c>
      <c r="E137" s="3" t="s">
        <v>2538</v>
      </c>
      <c r="F137" s="4">
        <v>44122</v>
      </c>
      <c r="G137" t="str">
        <f t="shared" si="2"/>
        <v>Chennai</v>
      </c>
    </row>
    <row r="138" spans="1:7" ht="15" customHeight="1" x14ac:dyDescent="0.35">
      <c r="A138" s="3" t="s">
        <v>386</v>
      </c>
      <c r="B138" s="3" t="s">
        <v>2624</v>
      </c>
      <c r="C138" s="5">
        <v>41</v>
      </c>
      <c r="D138" s="3" t="s">
        <v>51</v>
      </c>
      <c r="E138" s="3" t="s">
        <v>2530</v>
      </c>
      <c r="F138" s="4">
        <v>44946</v>
      </c>
      <c r="G138" t="str">
        <f t="shared" si="2"/>
        <v>Mumbai</v>
      </c>
    </row>
    <row r="139" spans="1:7" ht="15" customHeight="1" x14ac:dyDescent="0.35">
      <c r="A139" s="3" t="s">
        <v>656</v>
      </c>
      <c r="B139" s="3" t="s">
        <v>2666</v>
      </c>
      <c r="C139" s="5">
        <v>24</v>
      </c>
      <c r="D139" s="3" t="s">
        <v>33</v>
      </c>
      <c r="E139" s="3" t="s">
        <v>2530</v>
      </c>
      <c r="F139" s="4">
        <v>43955</v>
      </c>
      <c r="G139" t="str">
        <f t="shared" si="2"/>
        <v>Chennai</v>
      </c>
    </row>
    <row r="140" spans="1:7" ht="15" customHeight="1" x14ac:dyDescent="0.35">
      <c r="A140" s="3" t="s">
        <v>272</v>
      </c>
      <c r="B140" s="3" t="s">
        <v>2667</v>
      </c>
      <c r="C140" s="5">
        <v>65</v>
      </c>
      <c r="D140" s="3" t="s">
        <v>72</v>
      </c>
      <c r="E140" s="3" t="s">
        <v>2538</v>
      </c>
      <c r="F140" s="4">
        <v>43997</v>
      </c>
      <c r="G140" t="str">
        <f t="shared" si="2"/>
        <v>Hyderabad</v>
      </c>
    </row>
    <row r="141" spans="1:7" ht="15" customHeight="1" x14ac:dyDescent="0.35">
      <c r="A141" s="3" t="s">
        <v>1992</v>
      </c>
      <c r="B141" s="3" t="s">
        <v>2668</v>
      </c>
      <c r="C141" s="5">
        <v>39</v>
      </c>
      <c r="D141" s="3" t="s">
        <v>72</v>
      </c>
      <c r="E141" s="3" t="s">
        <v>2538</v>
      </c>
      <c r="F141" s="4">
        <v>43854</v>
      </c>
      <c r="G141" t="str">
        <f t="shared" si="2"/>
        <v>Hyderabad</v>
      </c>
    </row>
    <row r="142" spans="1:7" ht="15" customHeight="1" x14ac:dyDescent="0.35">
      <c r="A142" s="3" t="s">
        <v>567</v>
      </c>
      <c r="B142" s="3" t="s">
        <v>2669</v>
      </c>
      <c r="C142" s="5">
        <v>22</v>
      </c>
      <c r="D142" s="3" t="s">
        <v>72</v>
      </c>
      <c r="E142" s="3" t="s">
        <v>2532</v>
      </c>
      <c r="F142" s="4">
        <v>45069</v>
      </c>
      <c r="G142" t="str">
        <f t="shared" si="2"/>
        <v>Hyderabad</v>
      </c>
    </row>
    <row r="143" spans="1:7" ht="15" customHeight="1" x14ac:dyDescent="0.35">
      <c r="A143" s="3" t="s">
        <v>117</v>
      </c>
      <c r="B143" s="3" t="s">
        <v>2612</v>
      </c>
      <c r="C143" s="5">
        <v>55</v>
      </c>
      <c r="D143" s="3" t="s">
        <v>2670</v>
      </c>
      <c r="E143" s="3" t="s">
        <v>2532</v>
      </c>
      <c r="F143" s="4">
        <v>44597</v>
      </c>
      <c r="G143" t="str">
        <f t="shared" si="2"/>
        <v>Chennai</v>
      </c>
    </row>
    <row r="144" spans="1:7" ht="15" customHeight="1" x14ac:dyDescent="0.35">
      <c r="A144" s="3" t="s">
        <v>125</v>
      </c>
      <c r="B144" s="3" t="s">
        <v>2671</v>
      </c>
      <c r="C144" s="5">
        <v>52</v>
      </c>
      <c r="D144" s="3" t="s">
        <v>33</v>
      </c>
      <c r="E144" s="3" t="s">
        <v>2538</v>
      </c>
      <c r="F144" s="4">
        <v>44194</v>
      </c>
      <c r="G144" t="str">
        <f t="shared" si="2"/>
        <v>Chennai</v>
      </c>
    </row>
    <row r="145" spans="1:7" ht="15" customHeight="1" x14ac:dyDescent="0.35">
      <c r="A145" s="3" t="s">
        <v>1004</v>
      </c>
      <c r="B145" s="3" t="s">
        <v>2672</v>
      </c>
      <c r="C145" s="5">
        <v>49</v>
      </c>
      <c r="D145" s="3" t="s">
        <v>33</v>
      </c>
      <c r="E145" s="3" t="s">
        <v>2530</v>
      </c>
      <c r="F145" s="4">
        <v>44931</v>
      </c>
      <c r="G145" t="str">
        <f t="shared" si="2"/>
        <v>Chennai</v>
      </c>
    </row>
    <row r="146" spans="1:7" ht="15" customHeight="1" x14ac:dyDescent="0.35">
      <c r="A146" s="3" t="s">
        <v>315</v>
      </c>
      <c r="B146" s="3" t="s">
        <v>2673</v>
      </c>
      <c r="C146" s="5">
        <v>44</v>
      </c>
      <c r="D146" s="3" t="s">
        <v>56</v>
      </c>
      <c r="E146" s="3" t="s">
        <v>2538</v>
      </c>
      <c r="F146" s="4">
        <v>44009</v>
      </c>
      <c r="G146" t="str">
        <f t="shared" si="2"/>
        <v>Bengaluru</v>
      </c>
    </row>
    <row r="147" spans="1:7" ht="15" customHeight="1" x14ac:dyDescent="0.35">
      <c r="A147" s="3" t="s">
        <v>357</v>
      </c>
      <c r="B147" s="3" t="s">
        <v>2674</v>
      </c>
      <c r="C147" s="5">
        <v>22</v>
      </c>
      <c r="D147" s="3" t="s">
        <v>72</v>
      </c>
      <c r="E147" s="3" t="s">
        <v>2530</v>
      </c>
      <c r="F147" s="4">
        <v>44681</v>
      </c>
      <c r="G147" t="str">
        <f t="shared" si="2"/>
        <v>Hyderabad</v>
      </c>
    </row>
    <row r="148" spans="1:7" ht="15" customHeight="1" x14ac:dyDescent="0.35">
      <c r="A148" s="3" t="s">
        <v>65</v>
      </c>
      <c r="B148" s="3" t="s">
        <v>2675</v>
      </c>
      <c r="C148" s="5">
        <v>56</v>
      </c>
      <c r="D148" s="3" t="s">
        <v>27</v>
      </c>
      <c r="E148" s="3" t="s">
        <v>2530</v>
      </c>
      <c r="F148" s="4">
        <v>44644</v>
      </c>
      <c r="G148" t="str">
        <f t="shared" si="2"/>
        <v>Pune</v>
      </c>
    </row>
    <row r="149" spans="1:7" ht="15" customHeight="1" x14ac:dyDescent="0.35">
      <c r="A149" s="3" t="s">
        <v>762</v>
      </c>
      <c r="B149" s="3" t="s">
        <v>2676</v>
      </c>
      <c r="C149" s="5">
        <v>32</v>
      </c>
      <c r="D149" s="3" t="s">
        <v>33</v>
      </c>
      <c r="E149" s="3" t="s">
        <v>2530</v>
      </c>
      <c r="F149" s="4">
        <v>44014</v>
      </c>
      <c r="G149" t="str">
        <f t="shared" si="2"/>
        <v>Chennai</v>
      </c>
    </row>
    <row r="150" spans="1:7" ht="15" customHeight="1" x14ac:dyDescent="0.35">
      <c r="A150" s="3" t="s">
        <v>327</v>
      </c>
      <c r="B150" s="3" t="s">
        <v>2677</v>
      </c>
      <c r="C150" s="5">
        <v>44</v>
      </c>
      <c r="D150" s="3" t="s">
        <v>1760</v>
      </c>
      <c r="E150" s="3" t="s">
        <v>2530</v>
      </c>
      <c r="F150" s="4">
        <v>44390</v>
      </c>
      <c r="G150" t="str">
        <f t="shared" si="2"/>
        <v>Hyderabad</v>
      </c>
    </row>
    <row r="151" spans="1:7" ht="15" customHeight="1" x14ac:dyDescent="0.35">
      <c r="A151" s="3" t="s">
        <v>346</v>
      </c>
      <c r="B151" s="3" t="s">
        <v>2667</v>
      </c>
      <c r="C151" s="5">
        <v>53</v>
      </c>
      <c r="D151" s="3" t="s">
        <v>27</v>
      </c>
      <c r="E151" s="3" t="s">
        <v>2538</v>
      </c>
      <c r="F151" s="4">
        <v>45208</v>
      </c>
      <c r="G151" t="str">
        <f t="shared" si="2"/>
        <v>Pune</v>
      </c>
    </row>
    <row r="152" spans="1:7" ht="15" customHeight="1" x14ac:dyDescent="0.35">
      <c r="A152" s="3" t="s">
        <v>554</v>
      </c>
      <c r="B152" s="3" t="s">
        <v>2678</v>
      </c>
      <c r="C152" s="5">
        <v>53</v>
      </c>
      <c r="D152" s="3" t="s">
        <v>51</v>
      </c>
      <c r="E152" s="3" t="s">
        <v>2530</v>
      </c>
      <c r="F152" s="4">
        <v>43999</v>
      </c>
      <c r="G152" t="str">
        <f t="shared" si="2"/>
        <v>Mumbai</v>
      </c>
    </row>
    <row r="153" spans="1:7" ht="15" customHeight="1" x14ac:dyDescent="0.35">
      <c r="A153" s="3" t="s">
        <v>170</v>
      </c>
      <c r="B153" s="3" t="s">
        <v>2679</v>
      </c>
      <c r="C153" s="5">
        <v>64</v>
      </c>
      <c r="D153" s="3" t="s">
        <v>56</v>
      </c>
      <c r="E153" s="3" t="s">
        <v>2538</v>
      </c>
      <c r="F153" s="4">
        <v>44209</v>
      </c>
      <c r="G153" t="str">
        <f t="shared" si="2"/>
        <v>Bengaluru</v>
      </c>
    </row>
    <row r="154" spans="1:7" ht="15" customHeight="1" x14ac:dyDescent="0.35">
      <c r="A154" s="3" t="s">
        <v>625</v>
      </c>
      <c r="B154" s="3" t="s">
        <v>2680</v>
      </c>
      <c r="C154" s="5">
        <v>35</v>
      </c>
      <c r="D154" s="3" t="s">
        <v>51</v>
      </c>
      <c r="E154" s="3" t="s">
        <v>2530</v>
      </c>
      <c r="F154" s="4">
        <v>44787</v>
      </c>
      <c r="G154" t="str">
        <f t="shared" si="2"/>
        <v>Mumbai</v>
      </c>
    </row>
    <row r="155" spans="1:7" ht="15" customHeight="1" x14ac:dyDescent="0.35">
      <c r="A155" s="3" t="s">
        <v>746</v>
      </c>
      <c r="B155" s="3" t="s">
        <v>2681</v>
      </c>
      <c r="C155" s="5">
        <v>36</v>
      </c>
      <c r="D155" s="3" t="s">
        <v>27</v>
      </c>
      <c r="E155" s="3" t="s">
        <v>2530</v>
      </c>
      <c r="F155" s="4">
        <v>44370</v>
      </c>
      <c r="G155" t="str">
        <f t="shared" si="2"/>
        <v>Pune</v>
      </c>
    </row>
    <row r="156" spans="1:7" ht="15" customHeight="1" x14ac:dyDescent="0.35">
      <c r="A156" s="3" t="s">
        <v>547</v>
      </c>
      <c r="B156" s="3" t="s">
        <v>2682</v>
      </c>
      <c r="C156" s="5">
        <v>40</v>
      </c>
      <c r="D156" s="3" t="s">
        <v>27</v>
      </c>
      <c r="E156" s="3" t="s">
        <v>2532</v>
      </c>
      <c r="F156" s="4">
        <v>44693</v>
      </c>
      <c r="G156" t="str">
        <f t="shared" si="2"/>
        <v>Pune</v>
      </c>
    </row>
    <row r="157" spans="1:7" ht="15" customHeight="1" x14ac:dyDescent="0.35">
      <c r="A157" s="3" t="s">
        <v>975</v>
      </c>
      <c r="B157" s="3" t="s">
        <v>2683</v>
      </c>
      <c r="C157" s="5">
        <v>33</v>
      </c>
      <c r="D157" s="3" t="s">
        <v>51</v>
      </c>
      <c r="E157" s="3" t="s">
        <v>2530</v>
      </c>
      <c r="F157" s="4">
        <v>45229</v>
      </c>
      <c r="G157" t="str">
        <f t="shared" si="2"/>
        <v>Mumbai</v>
      </c>
    </row>
    <row r="158" spans="1:7" ht="15" customHeight="1" x14ac:dyDescent="0.35">
      <c r="A158" s="3" t="s">
        <v>642</v>
      </c>
      <c r="B158" s="3" t="s">
        <v>2684</v>
      </c>
      <c r="C158" s="5">
        <v>52</v>
      </c>
      <c r="D158" s="3" t="s">
        <v>27</v>
      </c>
      <c r="E158" s="3" t="s">
        <v>2532</v>
      </c>
      <c r="F158" s="4">
        <v>44896</v>
      </c>
      <c r="G158" t="str">
        <f t="shared" si="2"/>
        <v>Pune</v>
      </c>
    </row>
    <row r="159" spans="1:7" ht="15" customHeight="1" x14ac:dyDescent="0.35">
      <c r="A159" s="3" t="s">
        <v>1035</v>
      </c>
      <c r="B159" s="3" t="s">
        <v>2685</v>
      </c>
      <c r="C159" s="5">
        <v>42</v>
      </c>
      <c r="D159" s="3" t="s">
        <v>27</v>
      </c>
      <c r="E159" s="3" t="s">
        <v>2532</v>
      </c>
      <c r="F159" s="4">
        <v>44617</v>
      </c>
      <c r="G159" t="str">
        <f t="shared" si="2"/>
        <v>Pune</v>
      </c>
    </row>
    <row r="160" spans="1:7" ht="15" customHeight="1" x14ac:dyDescent="0.35">
      <c r="A160" s="3" t="s">
        <v>105</v>
      </c>
      <c r="B160" s="3" t="s">
        <v>2686</v>
      </c>
      <c r="C160" s="5">
        <v>32</v>
      </c>
      <c r="D160" s="3" t="s">
        <v>2658</v>
      </c>
      <c r="E160" s="3" t="s">
        <v>2530</v>
      </c>
      <c r="F160" s="4">
        <v>44432</v>
      </c>
      <c r="G160" t="str">
        <f t="shared" si="2"/>
        <v>Hyderabad</v>
      </c>
    </row>
    <row r="161" spans="1:7" ht="15" customHeight="1" x14ac:dyDescent="0.35">
      <c r="A161" s="3" t="s">
        <v>594</v>
      </c>
      <c r="B161" s="3" t="s">
        <v>2687</v>
      </c>
      <c r="C161" s="5">
        <v>27</v>
      </c>
      <c r="D161" s="3" t="s">
        <v>72</v>
      </c>
      <c r="E161" s="3" t="s">
        <v>2530</v>
      </c>
      <c r="F161" s="4">
        <v>44481</v>
      </c>
      <c r="G161" t="str">
        <f t="shared" si="2"/>
        <v>Hyderabad</v>
      </c>
    </row>
    <row r="162" spans="1:7" ht="15" customHeight="1" x14ac:dyDescent="0.35">
      <c r="A162" s="3" t="s">
        <v>228</v>
      </c>
      <c r="B162" s="3" t="s">
        <v>2688</v>
      </c>
      <c r="C162" s="5">
        <v>38</v>
      </c>
      <c r="D162" s="3" t="s">
        <v>33</v>
      </c>
      <c r="E162" s="3" t="s">
        <v>2530</v>
      </c>
      <c r="F162" s="4">
        <v>43880</v>
      </c>
      <c r="G162" t="str">
        <f t="shared" si="2"/>
        <v>Chennai</v>
      </c>
    </row>
    <row r="163" spans="1:7" ht="15" customHeight="1" x14ac:dyDescent="0.35">
      <c r="A163" s="3" t="s">
        <v>459</v>
      </c>
      <c r="B163" s="3" t="s">
        <v>2689</v>
      </c>
      <c r="C163" s="5">
        <v>35</v>
      </c>
      <c r="D163" s="3" t="s">
        <v>51</v>
      </c>
      <c r="E163" s="3" t="s">
        <v>2532</v>
      </c>
      <c r="F163" s="4">
        <v>44741</v>
      </c>
      <c r="G163" t="str">
        <f t="shared" si="2"/>
        <v>Mumbai</v>
      </c>
    </row>
    <row r="164" spans="1:7" ht="15" customHeight="1" x14ac:dyDescent="0.35">
      <c r="A164" s="3" t="s">
        <v>424</v>
      </c>
      <c r="B164" s="3" t="s">
        <v>2556</v>
      </c>
      <c r="C164" s="5">
        <v>49</v>
      </c>
      <c r="D164" s="3" t="s">
        <v>27</v>
      </c>
      <c r="E164" s="3" t="s">
        <v>2530</v>
      </c>
      <c r="F164" s="4">
        <v>44971</v>
      </c>
      <c r="G164" t="str">
        <f t="shared" si="2"/>
        <v>Pune</v>
      </c>
    </row>
    <row r="165" spans="1:7" ht="15" customHeight="1" x14ac:dyDescent="0.35">
      <c r="A165" s="3" t="s">
        <v>292</v>
      </c>
      <c r="B165" s="3" t="s">
        <v>2541</v>
      </c>
      <c r="C165" s="5">
        <v>60</v>
      </c>
      <c r="D165" s="3" t="s">
        <v>33</v>
      </c>
      <c r="E165" s="3" t="s">
        <v>2530</v>
      </c>
      <c r="F165" s="4">
        <v>44739</v>
      </c>
      <c r="G165" t="str">
        <f t="shared" si="2"/>
        <v>Chennai</v>
      </c>
    </row>
    <row r="166" spans="1:7" ht="15" customHeight="1" x14ac:dyDescent="0.35">
      <c r="A166" s="3" t="s">
        <v>396</v>
      </c>
      <c r="B166" s="3" t="s">
        <v>2575</v>
      </c>
      <c r="C166" s="5">
        <v>29</v>
      </c>
      <c r="D166" s="3" t="s">
        <v>27</v>
      </c>
      <c r="E166" s="3" t="s">
        <v>2530</v>
      </c>
      <c r="F166" s="4">
        <v>44046</v>
      </c>
      <c r="G166" t="str">
        <f t="shared" si="2"/>
        <v>Pune</v>
      </c>
    </row>
    <row r="167" spans="1:7" ht="15" customHeight="1" x14ac:dyDescent="0.35">
      <c r="A167" s="3" t="s">
        <v>608</v>
      </c>
      <c r="B167" s="3" t="s">
        <v>2690</v>
      </c>
      <c r="C167" s="5">
        <v>31</v>
      </c>
      <c r="D167" s="3" t="s">
        <v>72</v>
      </c>
      <c r="E167" s="3" t="s">
        <v>2530</v>
      </c>
      <c r="F167" s="4">
        <v>44331</v>
      </c>
      <c r="G167" t="str">
        <f t="shared" si="2"/>
        <v>Hyderabad</v>
      </c>
    </row>
    <row r="168" spans="1:7" ht="15" customHeight="1" x14ac:dyDescent="0.35">
      <c r="A168" s="3" t="s">
        <v>577</v>
      </c>
      <c r="B168" s="3" t="s">
        <v>2691</v>
      </c>
      <c r="C168" s="5">
        <v>43</v>
      </c>
      <c r="D168" s="3" t="s">
        <v>38</v>
      </c>
      <c r="E168" s="3" t="s">
        <v>2530</v>
      </c>
      <c r="F168" s="4">
        <v>44891</v>
      </c>
      <c r="G168" t="str">
        <f t="shared" si="2"/>
        <v>Delhi</v>
      </c>
    </row>
    <row r="169" spans="1:7" ht="15" customHeight="1" x14ac:dyDescent="0.35">
      <c r="A169" s="3" t="s">
        <v>220</v>
      </c>
      <c r="B169" s="3" t="s">
        <v>2692</v>
      </c>
      <c r="C169" s="5">
        <v>25</v>
      </c>
      <c r="D169" s="3" t="s">
        <v>27</v>
      </c>
      <c r="E169" s="3" t="s">
        <v>2530</v>
      </c>
      <c r="F169" s="4">
        <v>44406</v>
      </c>
      <c r="G169" t="str">
        <f t="shared" si="2"/>
        <v>Pune</v>
      </c>
    </row>
    <row r="170" spans="1:7" ht="15" customHeight="1" x14ac:dyDescent="0.35">
      <c r="A170" s="3" t="s">
        <v>549</v>
      </c>
      <c r="B170" s="3" t="s">
        <v>2693</v>
      </c>
      <c r="C170" s="5">
        <v>42</v>
      </c>
      <c r="D170" s="3" t="s">
        <v>56</v>
      </c>
      <c r="E170" s="3" t="s">
        <v>2538</v>
      </c>
      <c r="F170" s="4">
        <v>45072</v>
      </c>
      <c r="G170" t="str">
        <f t="shared" si="2"/>
        <v>Bengaluru</v>
      </c>
    </row>
    <row r="171" spans="1:7" ht="15" customHeight="1" x14ac:dyDescent="0.35">
      <c r="A171" s="3" t="s">
        <v>289</v>
      </c>
      <c r="B171" s="3" t="s">
        <v>2694</v>
      </c>
      <c r="C171" s="5">
        <v>22</v>
      </c>
      <c r="D171" s="3" t="s">
        <v>51</v>
      </c>
      <c r="E171" s="3" t="s">
        <v>2538</v>
      </c>
      <c r="F171" s="4">
        <v>45110</v>
      </c>
      <c r="G171" t="str">
        <f t="shared" si="2"/>
        <v>Mumbai</v>
      </c>
    </row>
    <row r="172" spans="1:7" ht="15" customHeight="1" x14ac:dyDescent="0.35">
      <c r="A172" s="3" t="s">
        <v>528</v>
      </c>
      <c r="B172" s="3" t="s">
        <v>2695</v>
      </c>
      <c r="C172" s="5">
        <v>30</v>
      </c>
      <c r="D172" s="3" t="s">
        <v>33</v>
      </c>
      <c r="E172" s="3" t="s">
        <v>2532</v>
      </c>
      <c r="F172" s="4">
        <v>44540</v>
      </c>
      <c r="G172" t="str">
        <f t="shared" si="2"/>
        <v>Chennai</v>
      </c>
    </row>
    <row r="173" spans="1:7" ht="15" customHeight="1" x14ac:dyDescent="0.35">
      <c r="A173" s="3" t="s">
        <v>381</v>
      </c>
      <c r="B173" s="3" t="s">
        <v>2696</v>
      </c>
      <c r="C173" s="5">
        <v>65</v>
      </c>
      <c r="D173" s="3" t="s">
        <v>27</v>
      </c>
      <c r="E173" s="3" t="s">
        <v>2530</v>
      </c>
      <c r="F173" s="4">
        <v>44918</v>
      </c>
      <c r="G173" t="str">
        <f t="shared" si="2"/>
        <v>Pune</v>
      </c>
    </row>
    <row r="174" spans="1:7" ht="15" customHeight="1" x14ac:dyDescent="0.35">
      <c r="A174" s="3" t="s">
        <v>492</v>
      </c>
      <c r="B174" s="3" t="s">
        <v>2697</v>
      </c>
      <c r="C174" s="5">
        <v>65</v>
      </c>
      <c r="D174" s="3" t="s">
        <v>51</v>
      </c>
      <c r="E174" s="3" t="s">
        <v>2530</v>
      </c>
      <c r="F174" s="4">
        <v>44342</v>
      </c>
      <c r="G174" t="str">
        <f t="shared" si="2"/>
        <v>Mumbai</v>
      </c>
    </row>
    <row r="175" spans="1:7" ht="15" customHeight="1" x14ac:dyDescent="0.35">
      <c r="A175" s="3" t="s">
        <v>884</v>
      </c>
      <c r="B175" s="3" t="s">
        <v>2698</v>
      </c>
      <c r="C175" s="5">
        <v>54</v>
      </c>
      <c r="D175" s="3" t="s">
        <v>27</v>
      </c>
      <c r="E175" s="3" t="s">
        <v>2530</v>
      </c>
      <c r="F175" s="4">
        <v>44609</v>
      </c>
      <c r="G175" t="str">
        <f t="shared" si="2"/>
        <v>Pune</v>
      </c>
    </row>
    <row r="176" spans="1:7" ht="15" customHeight="1" x14ac:dyDescent="0.35">
      <c r="A176" s="3" t="s">
        <v>205</v>
      </c>
      <c r="B176" s="3" t="s">
        <v>2699</v>
      </c>
      <c r="C176" s="5">
        <v>55</v>
      </c>
      <c r="D176" s="3" t="s">
        <v>38</v>
      </c>
      <c r="E176" s="3" t="s">
        <v>2532</v>
      </c>
      <c r="F176" s="4">
        <v>44423</v>
      </c>
      <c r="G176" t="str">
        <f t="shared" si="2"/>
        <v>Delhi</v>
      </c>
    </row>
    <row r="177" spans="1:7" ht="15" customHeight="1" x14ac:dyDescent="0.35">
      <c r="A177" s="3" t="s">
        <v>189</v>
      </c>
      <c r="B177" s="3" t="s">
        <v>2700</v>
      </c>
      <c r="C177" s="5">
        <v>34</v>
      </c>
      <c r="D177" s="3" t="s">
        <v>56</v>
      </c>
      <c r="E177" s="3" t="s">
        <v>2538</v>
      </c>
      <c r="F177" s="4">
        <v>44091</v>
      </c>
      <c r="G177" t="str">
        <f t="shared" si="2"/>
        <v>Bengaluru</v>
      </c>
    </row>
    <row r="178" spans="1:7" ht="15" customHeight="1" x14ac:dyDescent="0.35">
      <c r="A178" s="3" t="s">
        <v>151</v>
      </c>
      <c r="B178" s="3" t="s">
        <v>2627</v>
      </c>
      <c r="C178" s="5">
        <v>36</v>
      </c>
      <c r="D178" s="3" t="s">
        <v>51</v>
      </c>
      <c r="E178" s="3" t="s">
        <v>2538</v>
      </c>
      <c r="F178" s="4">
        <v>44589</v>
      </c>
      <c r="G178" t="str">
        <f t="shared" si="2"/>
        <v>Mumbai</v>
      </c>
    </row>
    <row r="179" spans="1:7" ht="15" customHeight="1" x14ac:dyDescent="0.35">
      <c r="A179" s="3" t="s">
        <v>483</v>
      </c>
      <c r="B179" s="3" t="s">
        <v>2701</v>
      </c>
      <c r="C179" s="5">
        <v>25</v>
      </c>
      <c r="D179" s="3" t="s">
        <v>72</v>
      </c>
      <c r="E179" s="3" t="s">
        <v>2530</v>
      </c>
      <c r="F179" s="4">
        <v>45164</v>
      </c>
      <c r="G179" t="str">
        <f t="shared" si="2"/>
        <v>Hyderabad</v>
      </c>
    </row>
    <row r="180" spans="1:7" ht="15" customHeight="1" x14ac:dyDescent="0.35">
      <c r="A180" s="3" t="s">
        <v>1001</v>
      </c>
      <c r="B180" s="3" t="s">
        <v>2702</v>
      </c>
      <c r="C180" s="5">
        <v>54</v>
      </c>
      <c r="D180" s="3" t="s">
        <v>51</v>
      </c>
      <c r="E180" s="3" t="s">
        <v>2538</v>
      </c>
      <c r="F180" s="4">
        <v>44959</v>
      </c>
      <c r="G180" t="str">
        <f t="shared" si="2"/>
        <v>Mumbai</v>
      </c>
    </row>
    <row r="181" spans="1:7" ht="15" customHeight="1" x14ac:dyDescent="0.35">
      <c r="A181" s="3" t="s">
        <v>44</v>
      </c>
      <c r="B181" s="3" t="s">
        <v>2703</v>
      </c>
      <c r="C181" s="5">
        <v>36</v>
      </c>
      <c r="D181" s="3" t="s">
        <v>33</v>
      </c>
      <c r="E181" s="3" t="s">
        <v>2530</v>
      </c>
      <c r="F181" s="4">
        <v>45172</v>
      </c>
      <c r="G181" t="str">
        <f t="shared" si="2"/>
        <v>Chennai</v>
      </c>
    </row>
    <row r="182" spans="1:7" ht="15" customHeight="1" x14ac:dyDescent="0.35">
      <c r="A182" s="3" t="s">
        <v>296</v>
      </c>
      <c r="B182" s="3" t="s">
        <v>2704</v>
      </c>
      <c r="C182" s="5">
        <v>38</v>
      </c>
      <c r="D182" s="3" t="s">
        <v>38</v>
      </c>
      <c r="E182" s="3" t="s">
        <v>2538</v>
      </c>
      <c r="F182" s="4">
        <v>44245</v>
      </c>
      <c r="G182" t="str">
        <f t="shared" si="2"/>
        <v>Delhi</v>
      </c>
    </row>
    <row r="183" spans="1:7" ht="15" customHeight="1" x14ac:dyDescent="0.35">
      <c r="A183" s="3" t="s">
        <v>99</v>
      </c>
      <c r="B183" s="3" t="s">
        <v>2705</v>
      </c>
      <c r="C183" s="5">
        <v>54</v>
      </c>
      <c r="D183" s="3" t="s">
        <v>51</v>
      </c>
      <c r="E183" s="3" t="s">
        <v>2530</v>
      </c>
      <c r="F183" s="4">
        <v>43942</v>
      </c>
      <c r="G183" t="str">
        <f t="shared" si="2"/>
        <v>Mumbai</v>
      </c>
    </row>
    <row r="184" spans="1:7" ht="15" customHeight="1" x14ac:dyDescent="0.35">
      <c r="A184" s="3" t="s">
        <v>582</v>
      </c>
      <c r="B184" s="3" t="s">
        <v>2706</v>
      </c>
      <c r="C184" s="5">
        <v>27</v>
      </c>
      <c r="D184" s="3" t="s">
        <v>51</v>
      </c>
      <c r="E184" s="3" t="s">
        <v>2538</v>
      </c>
      <c r="F184" s="4">
        <v>43936</v>
      </c>
      <c r="G184" t="str">
        <f t="shared" si="2"/>
        <v>Mumbai</v>
      </c>
    </row>
    <row r="185" spans="1:7" ht="15" customHeight="1" x14ac:dyDescent="0.35">
      <c r="A185" s="3" t="s">
        <v>89</v>
      </c>
      <c r="B185" s="3" t="s">
        <v>2707</v>
      </c>
      <c r="C185" s="5">
        <v>63</v>
      </c>
      <c r="D185" s="3" t="s">
        <v>27</v>
      </c>
      <c r="E185" s="3" t="s">
        <v>2530</v>
      </c>
      <c r="F185" s="4">
        <v>44642</v>
      </c>
      <c r="G185" t="str">
        <f t="shared" si="2"/>
        <v>Pune</v>
      </c>
    </row>
    <row r="186" spans="1:7" ht="15" customHeight="1" x14ac:dyDescent="0.35">
      <c r="A186" s="3" t="s">
        <v>500</v>
      </c>
      <c r="B186" s="3" t="s">
        <v>2708</v>
      </c>
      <c r="C186" s="5">
        <v>43</v>
      </c>
      <c r="D186" s="3" t="s">
        <v>72</v>
      </c>
      <c r="E186" s="3" t="s">
        <v>2538</v>
      </c>
      <c r="F186" s="4">
        <v>44140</v>
      </c>
      <c r="G186" t="str">
        <f t="shared" si="2"/>
        <v>Hyderabad</v>
      </c>
    </row>
    <row r="187" spans="1:7" ht="15" customHeight="1" x14ac:dyDescent="0.35">
      <c r="A187" s="3" t="s">
        <v>153</v>
      </c>
      <c r="B187" s="3" t="s">
        <v>2697</v>
      </c>
      <c r="C187" s="5">
        <v>42</v>
      </c>
      <c r="D187" s="3" t="s">
        <v>56</v>
      </c>
      <c r="E187" s="3" t="s">
        <v>2530</v>
      </c>
      <c r="F187" s="4">
        <v>45162</v>
      </c>
      <c r="G187" t="str">
        <f t="shared" si="2"/>
        <v>Bengaluru</v>
      </c>
    </row>
    <row r="188" spans="1:7" ht="15" customHeight="1" x14ac:dyDescent="0.35">
      <c r="A188" s="3" t="s">
        <v>340</v>
      </c>
      <c r="B188" s="3" t="s">
        <v>2709</v>
      </c>
      <c r="C188" s="5">
        <v>51</v>
      </c>
      <c r="D188" s="3" t="s">
        <v>33</v>
      </c>
      <c r="E188" s="3" t="s">
        <v>2538</v>
      </c>
      <c r="F188" s="4">
        <v>43918</v>
      </c>
      <c r="G188" t="str">
        <f t="shared" si="2"/>
        <v>Chennai</v>
      </c>
    </row>
    <row r="189" spans="1:7" ht="15" customHeight="1" x14ac:dyDescent="0.35">
      <c r="A189" s="3" t="s">
        <v>1200</v>
      </c>
      <c r="B189" s="3" t="s">
        <v>2710</v>
      </c>
      <c r="C189" s="5">
        <v>54</v>
      </c>
      <c r="D189" s="3" t="s">
        <v>56</v>
      </c>
      <c r="E189" s="3" t="s">
        <v>2530</v>
      </c>
      <c r="F189" s="4">
        <v>44476</v>
      </c>
      <c r="G189" t="str">
        <f t="shared" si="2"/>
        <v>Bengaluru</v>
      </c>
    </row>
    <row r="190" spans="1:7" ht="15" customHeight="1" x14ac:dyDescent="0.35">
      <c r="A190" s="3" t="s">
        <v>240</v>
      </c>
      <c r="B190" s="3" t="s">
        <v>2711</v>
      </c>
      <c r="C190" s="5">
        <v>41</v>
      </c>
      <c r="D190" s="3" t="s">
        <v>33</v>
      </c>
      <c r="E190" s="3" t="s">
        <v>2530</v>
      </c>
      <c r="F190" s="4">
        <v>44392</v>
      </c>
      <c r="G190" t="str">
        <f t="shared" si="2"/>
        <v>Chennai</v>
      </c>
    </row>
    <row r="191" spans="1:7" ht="15" customHeight="1" x14ac:dyDescent="0.35">
      <c r="A191" s="3" t="s">
        <v>767</v>
      </c>
      <c r="B191" s="3" t="s">
        <v>2712</v>
      </c>
      <c r="C191" s="5">
        <v>52</v>
      </c>
      <c r="D191" s="3" t="s">
        <v>72</v>
      </c>
      <c r="E191" s="3" t="s">
        <v>2530</v>
      </c>
      <c r="F191" s="4">
        <v>44668</v>
      </c>
      <c r="G191" t="str">
        <f t="shared" si="2"/>
        <v>Hyderabad</v>
      </c>
    </row>
    <row r="192" spans="1:7" ht="15" customHeight="1" x14ac:dyDescent="0.35">
      <c r="A192" s="3" t="s">
        <v>233</v>
      </c>
      <c r="B192" s="3" t="s">
        <v>2713</v>
      </c>
      <c r="C192" s="5">
        <v>43</v>
      </c>
      <c r="D192" s="3" t="s">
        <v>72</v>
      </c>
      <c r="E192" s="3" t="s">
        <v>2538</v>
      </c>
      <c r="F192" s="4">
        <v>44080</v>
      </c>
      <c r="G192" t="str">
        <f t="shared" si="2"/>
        <v>Hyderabad</v>
      </c>
    </row>
    <row r="193" spans="1:7" ht="15" customHeight="1" x14ac:dyDescent="0.35">
      <c r="A193" s="3" t="s">
        <v>368</v>
      </c>
      <c r="B193" s="3" t="s">
        <v>2714</v>
      </c>
      <c r="C193" s="5">
        <v>55</v>
      </c>
      <c r="D193" s="3" t="s">
        <v>56</v>
      </c>
      <c r="E193" s="3" t="s">
        <v>2530</v>
      </c>
      <c r="F193" s="4">
        <v>44663</v>
      </c>
      <c r="G193" t="str">
        <f t="shared" si="2"/>
        <v>Bengaluru</v>
      </c>
    </row>
    <row r="194" spans="1:7" ht="15" customHeight="1" x14ac:dyDescent="0.35">
      <c r="A194" s="3" t="s">
        <v>249</v>
      </c>
      <c r="B194" s="3" t="s">
        <v>2715</v>
      </c>
      <c r="C194" s="5">
        <v>42</v>
      </c>
      <c r="D194" s="3" t="s">
        <v>56</v>
      </c>
      <c r="E194" s="3" t="s">
        <v>2530</v>
      </c>
      <c r="F194" s="4">
        <v>43886</v>
      </c>
      <c r="G194" t="str">
        <f t="shared" ref="G194:G257" si="3">IF(D194="","",PROPER(TRIM(D194)))</f>
        <v>Bengaluru</v>
      </c>
    </row>
    <row r="195" spans="1:7" ht="15" customHeight="1" x14ac:dyDescent="0.35">
      <c r="A195" s="3" t="s">
        <v>197</v>
      </c>
      <c r="B195" s="3" t="s">
        <v>2566</v>
      </c>
      <c r="C195" s="5">
        <v>55</v>
      </c>
      <c r="D195" s="3" t="s">
        <v>38</v>
      </c>
      <c r="E195" s="3" t="s">
        <v>2538</v>
      </c>
      <c r="F195" s="4">
        <v>43869</v>
      </c>
      <c r="G195" t="str">
        <f t="shared" si="3"/>
        <v>Delhi</v>
      </c>
    </row>
    <row r="196" spans="1:7" ht="15" customHeight="1" x14ac:dyDescent="0.35">
      <c r="A196" s="3" t="s">
        <v>860</v>
      </c>
      <c r="B196" s="3" t="s">
        <v>2716</v>
      </c>
      <c r="C196" s="5">
        <v>28</v>
      </c>
      <c r="D196" s="3" t="s">
        <v>56</v>
      </c>
      <c r="E196" s="3" t="s">
        <v>2530</v>
      </c>
      <c r="F196" s="4">
        <v>44056</v>
      </c>
      <c r="G196" t="str">
        <f t="shared" si="3"/>
        <v>Bengaluru</v>
      </c>
    </row>
    <row r="197" spans="1:7" ht="15" customHeight="1" x14ac:dyDescent="0.35">
      <c r="A197" s="3" t="s">
        <v>619</v>
      </c>
      <c r="B197" s="3" t="s">
        <v>2717</v>
      </c>
      <c r="C197" s="5">
        <v>26</v>
      </c>
      <c r="D197" s="3" t="s">
        <v>33</v>
      </c>
      <c r="E197" s="3" t="s">
        <v>2530</v>
      </c>
      <c r="F197" s="4">
        <v>44738</v>
      </c>
      <c r="G197" t="str">
        <f t="shared" si="3"/>
        <v>Chennai</v>
      </c>
    </row>
    <row r="198" spans="1:7" ht="15" customHeight="1" x14ac:dyDescent="0.35">
      <c r="A198" s="3" t="s">
        <v>402</v>
      </c>
      <c r="B198" s="3" t="s">
        <v>2718</v>
      </c>
      <c r="C198" s="5">
        <v>55</v>
      </c>
      <c r="D198" s="3" t="s">
        <v>56</v>
      </c>
      <c r="E198" s="3" t="s">
        <v>2530</v>
      </c>
      <c r="F198" s="4">
        <v>44715</v>
      </c>
      <c r="G198" t="str">
        <f t="shared" si="3"/>
        <v>Bengaluru</v>
      </c>
    </row>
    <row r="199" spans="1:7" ht="15" customHeight="1" x14ac:dyDescent="0.35">
      <c r="A199" s="3" t="s">
        <v>560</v>
      </c>
      <c r="B199" s="3" t="s">
        <v>2719</v>
      </c>
      <c r="C199" s="5">
        <v>22</v>
      </c>
      <c r="D199" s="3" t="s">
        <v>33</v>
      </c>
      <c r="E199" s="3" t="s">
        <v>2532</v>
      </c>
      <c r="F199" s="4">
        <v>44907</v>
      </c>
      <c r="G199" t="str">
        <f t="shared" si="3"/>
        <v>Chennai</v>
      </c>
    </row>
    <row r="200" spans="1:7" ht="15" customHeight="1" x14ac:dyDescent="0.35">
      <c r="A200" s="3" t="s">
        <v>905</v>
      </c>
      <c r="B200" s="3" t="s">
        <v>2720</v>
      </c>
      <c r="C200" s="5">
        <v>31</v>
      </c>
      <c r="D200" s="3" t="s">
        <v>72</v>
      </c>
      <c r="E200" s="3" t="s">
        <v>2538</v>
      </c>
      <c r="F200" s="4">
        <v>44821</v>
      </c>
      <c r="G200" t="str">
        <f t="shared" si="3"/>
        <v>Hyderabad</v>
      </c>
    </row>
    <row r="201" spans="1:7" ht="15" customHeight="1" x14ac:dyDescent="0.35">
      <c r="A201" s="3" t="s">
        <v>244</v>
      </c>
      <c r="B201" s="3" t="s">
        <v>2664</v>
      </c>
      <c r="C201" s="5">
        <v>46</v>
      </c>
      <c r="D201" s="3" t="s">
        <v>2658</v>
      </c>
      <c r="E201" s="3" t="s">
        <v>2532</v>
      </c>
      <c r="F201" s="4">
        <v>44396</v>
      </c>
      <c r="G201" t="str">
        <f t="shared" si="3"/>
        <v>Hyderabad</v>
      </c>
    </row>
    <row r="202" spans="1:7" ht="15" customHeight="1" x14ac:dyDescent="0.35">
      <c r="A202" s="3" t="s">
        <v>847</v>
      </c>
      <c r="B202" s="3" t="s">
        <v>2721</v>
      </c>
      <c r="C202" s="5">
        <v>31</v>
      </c>
      <c r="D202" s="3" t="s">
        <v>72</v>
      </c>
      <c r="E202" s="3" t="s">
        <v>2530</v>
      </c>
      <c r="F202" s="4">
        <v>44629</v>
      </c>
      <c r="G202" t="str">
        <f t="shared" si="3"/>
        <v>Hyderabad</v>
      </c>
    </row>
    <row r="203" spans="1:7" ht="15" customHeight="1" x14ac:dyDescent="0.35">
      <c r="A203" s="3" t="s">
        <v>29</v>
      </c>
      <c r="B203" s="3" t="s">
        <v>2722</v>
      </c>
      <c r="C203" s="5">
        <v>39</v>
      </c>
      <c r="D203" s="3" t="s">
        <v>33</v>
      </c>
      <c r="E203" s="3" t="s">
        <v>2530</v>
      </c>
      <c r="F203" s="4">
        <v>44149</v>
      </c>
      <c r="G203" t="str">
        <f t="shared" si="3"/>
        <v>Chennai</v>
      </c>
    </row>
    <row r="204" spans="1:7" ht="15" customHeight="1" x14ac:dyDescent="0.35">
      <c r="A204" s="3" t="s">
        <v>211</v>
      </c>
      <c r="B204" s="3" t="s">
        <v>2723</v>
      </c>
      <c r="C204" s="5">
        <v>55</v>
      </c>
      <c r="D204" s="3" t="s">
        <v>33</v>
      </c>
      <c r="E204" s="3" t="s">
        <v>2538</v>
      </c>
      <c r="F204" s="4">
        <v>44912</v>
      </c>
      <c r="G204" t="str">
        <f t="shared" si="3"/>
        <v>Chennai</v>
      </c>
    </row>
    <row r="205" spans="1:7" ht="15" customHeight="1" x14ac:dyDescent="0.35">
      <c r="A205" s="3" t="s">
        <v>69</v>
      </c>
      <c r="B205" s="3" t="s">
        <v>2724</v>
      </c>
      <c r="C205" s="5">
        <v>60</v>
      </c>
      <c r="D205" s="3" t="s">
        <v>72</v>
      </c>
      <c r="E205" s="3" t="s">
        <v>2530</v>
      </c>
      <c r="F205" s="4">
        <v>44738</v>
      </c>
      <c r="G205" t="str">
        <f t="shared" si="3"/>
        <v>Hyderabad</v>
      </c>
    </row>
    <row r="206" spans="1:7" ht="15" customHeight="1" x14ac:dyDescent="0.35">
      <c r="A206" s="3" t="s">
        <v>916</v>
      </c>
      <c r="B206" s="3" t="s">
        <v>2570</v>
      </c>
      <c r="C206" s="5">
        <v>29</v>
      </c>
      <c r="D206" s="3" t="s">
        <v>27</v>
      </c>
      <c r="E206" s="3" t="s">
        <v>2532</v>
      </c>
      <c r="F206" s="4">
        <v>45075</v>
      </c>
      <c r="G206" t="str">
        <f t="shared" si="3"/>
        <v>Pune</v>
      </c>
    </row>
    <row r="207" spans="1:7" ht="15" customHeight="1" x14ac:dyDescent="0.35">
      <c r="A207" s="3" t="s">
        <v>909</v>
      </c>
      <c r="B207" s="3" t="s">
        <v>2607</v>
      </c>
      <c r="C207" s="5">
        <v>40</v>
      </c>
      <c r="D207" s="3" t="s">
        <v>51</v>
      </c>
      <c r="E207" s="3" t="s">
        <v>2530</v>
      </c>
      <c r="F207" s="4">
        <v>45127</v>
      </c>
      <c r="G207" t="str">
        <f t="shared" si="3"/>
        <v>Mumbai</v>
      </c>
    </row>
    <row r="208" spans="1:7" ht="15" customHeight="1" x14ac:dyDescent="0.35">
      <c r="A208" s="3" t="s">
        <v>1829</v>
      </c>
      <c r="B208" s="3" t="s">
        <v>2725</v>
      </c>
      <c r="C208" s="5">
        <v>34</v>
      </c>
      <c r="D208" s="3" t="s">
        <v>72</v>
      </c>
      <c r="E208" s="3" t="s">
        <v>2538</v>
      </c>
      <c r="F208" s="4">
        <v>43954</v>
      </c>
      <c r="G208" t="str">
        <f t="shared" si="3"/>
        <v>Hyderabad</v>
      </c>
    </row>
    <row r="209" spans="1:7" ht="15" customHeight="1" x14ac:dyDescent="0.35">
      <c r="A209" s="3" t="s">
        <v>275</v>
      </c>
      <c r="B209" s="3" t="s">
        <v>2726</v>
      </c>
      <c r="C209" s="5">
        <v>49</v>
      </c>
      <c r="D209" s="3" t="s">
        <v>51</v>
      </c>
      <c r="E209" s="3" t="s">
        <v>2530</v>
      </c>
      <c r="F209" s="4">
        <v>45082</v>
      </c>
      <c r="G209" t="str">
        <f t="shared" si="3"/>
        <v>Mumbai</v>
      </c>
    </row>
    <row r="210" spans="1:7" ht="15" customHeight="1" x14ac:dyDescent="0.35">
      <c r="A210" s="3" t="s">
        <v>724</v>
      </c>
      <c r="B210" s="3" t="s">
        <v>2727</v>
      </c>
      <c r="C210" s="5">
        <v>31</v>
      </c>
      <c r="D210" s="3" t="s">
        <v>27</v>
      </c>
      <c r="E210" s="3" t="s">
        <v>2530</v>
      </c>
      <c r="F210" s="4">
        <v>44258</v>
      </c>
      <c r="G210" t="str">
        <f t="shared" si="3"/>
        <v>Pune</v>
      </c>
    </row>
    <row r="211" spans="1:7" ht="15" customHeight="1" x14ac:dyDescent="0.35">
      <c r="A211" s="3" t="s">
        <v>366</v>
      </c>
      <c r="B211" s="3" t="s">
        <v>2728</v>
      </c>
      <c r="C211" s="5">
        <v>48</v>
      </c>
      <c r="D211" s="3" t="s">
        <v>27</v>
      </c>
      <c r="E211" s="3" t="s">
        <v>2532</v>
      </c>
      <c r="F211" s="4">
        <v>44968</v>
      </c>
      <c r="G211" t="str">
        <f t="shared" si="3"/>
        <v>Pune</v>
      </c>
    </row>
    <row r="212" spans="1:7" ht="15" customHeight="1" x14ac:dyDescent="0.35">
      <c r="A212" s="3" t="s">
        <v>1130</v>
      </c>
      <c r="B212" s="3" t="s">
        <v>2729</v>
      </c>
      <c r="C212" s="5">
        <v>36</v>
      </c>
      <c r="D212" s="3" t="s">
        <v>56</v>
      </c>
      <c r="E212" s="3" t="s">
        <v>2530</v>
      </c>
      <c r="F212" s="4">
        <v>44251</v>
      </c>
      <c r="G212" t="str">
        <f t="shared" si="3"/>
        <v>Bengaluru</v>
      </c>
    </row>
    <row r="213" spans="1:7" ht="15" customHeight="1" x14ac:dyDescent="0.35">
      <c r="A213" s="3" t="s">
        <v>639</v>
      </c>
      <c r="B213" s="3" t="s">
        <v>2730</v>
      </c>
      <c r="C213" s="5">
        <v>46</v>
      </c>
      <c r="D213" s="3" t="s">
        <v>33</v>
      </c>
      <c r="E213" s="3" t="s">
        <v>2538</v>
      </c>
      <c r="F213" s="4">
        <v>44594</v>
      </c>
      <c r="G213" t="str">
        <f t="shared" si="3"/>
        <v>Chennai</v>
      </c>
    </row>
    <row r="214" spans="1:7" ht="15" customHeight="1" x14ac:dyDescent="0.35">
      <c r="A214" s="3" t="s">
        <v>994</v>
      </c>
      <c r="B214" s="3" t="s">
        <v>2566</v>
      </c>
      <c r="C214" s="5">
        <v>37</v>
      </c>
      <c r="D214" s="3" t="s">
        <v>51</v>
      </c>
      <c r="E214" s="3" t="s">
        <v>2530</v>
      </c>
      <c r="F214" s="4">
        <v>44431</v>
      </c>
      <c r="G214" t="str">
        <f t="shared" si="3"/>
        <v>Mumbai</v>
      </c>
    </row>
    <row r="215" spans="1:7" ht="15" customHeight="1" x14ac:dyDescent="0.35">
      <c r="A215" s="3" t="s">
        <v>821</v>
      </c>
      <c r="B215" s="3" t="s">
        <v>2731</v>
      </c>
      <c r="C215" s="5">
        <v>22</v>
      </c>
      <c r="D215" s="3" t="s">
        <v>51</v>
      </c>
      <c r="E215" s="3" t="s">
        <v>2530</v>
      </c>
      <c r="F215" s="4">
        <v>44453</v>
      </c>
      <c r="G215" t="str">
        <f t="shared" si="3"/>
        <v>Mumbai</v>
      </c>
    </row>
    <row r="216" spans="1:7" ht="15" customHeight="1" x14ac:dyDescent="0.35">
      <c r="A216" s="3" t="s">
        <v>701</v>
      </c>
      <c r="B216" s="3" t="s">
        <v>2732</v>
      </c>
      <c r="C216" s="5">
        <v>52</v>
      </c>
      <c r="D216" s="3" t="s">
        <v>72</v>
      </c>
      <c r="E216" s="3" t="s">
        <v>2530</v>
      </c>
      <c r="F216" s="4">
        <v>45105</v>
      </c>
      <c r="G216" t="str">
        <f t="shared" si="3"/>
        <v>Hyderabad</v>
      </c>
    </row>
    <row r="217" spans="1:7" ht="15" customHeight="1" x14ac:dyDescent="0.35">
      <c r="A217" s="3" t="s">
        <v>331</v>
      </c>
      <c r="B217" s="3" t="s">
        <v>2733</v>
      </c>
      <c r="C217" s="5">
        <v>50</v>
      </c>
      <c r="D217" s="3" t="s">
        <v>51</v>
      </c>
      <c r="E217" s="3" t="s">
        <v>2530</v>
      </c>
      <c r="F217" s="4">
        <v>44204</v>
      </c>
      <c r="G217" t="str">
        <f t="shared" si="3"/>
        <v>Mumbai</v>
      </c>
    </row>
    <row r="218" spans="1:7" ht="15" customHeight="1" x14ac:dyDescent="0.35">
      <c r="A218" s="3" t="s">
        <v>795</v>
      </c>
      <c r="B218" s="3" t="s">
        <v>2734</v>
      </c>
      <c r="C218" s="5">
        <v>59</v>
      </c>
      <c r="D218" s="3" t="s">
        <v>27</v>
      </c>
      <c r="E218" s="3" t="s">
        <v>2538</v>
      </c>
      <c r="F218" s="4">
        <v>44877</v>
      </c>
      <c r="G218" t="str">
        <f t="shared" si="3"/>
        <v>Pune</v>
      </c>
    </row>
    <row r="219" spans="1:7" ht="15" customHeight="1" x14ac:dyDescent="0.35">
      <c r="A219" s="3" t="s">
        <v>536</v>
      </c>
      <c r="B219" s="3" t="s">
        <v>2735</v>
      </c>
      <c r="C219" s="5">
        <v>39</v>
      </c>
      <c r="D219" s="3" t="s">
        <v>51</v>
      </c>
      <c r="E219" s="3" t="s">
        <v>2530</v>
      </c>
      <c r="F219" s="4">
        <v>44849</v>
      </c>
      <c r="G219" t="str">
        <f t="shared" si="3"/>
        <v>Mumbai</v>
      </c>
    </row>
    <row r="220" spans="1:7" ht="15" customHeight="1" x14ac:dyDescent="0.35">
      <c r="A220" s="3" t="s">
        <v>284</v>
      </c>
      <c r="B220" s="3" t="s">
        <v>2736</v>
      </c>
      <c r="C220" s="5">
        <v>38</v>
      </c>
      <c r="D220" s="3" t="s">
        <v>33</v>
      </c>
      <c r="E220" s="3" t="s">
        <v>2532</v>
      </c>
      <c r="F220" s="4">
        <v>44321</v>
      </c>
      <c r="G220" t="str">
        <f t="shared" si="3"/>
        <v>Chennai</v>
      </c>
    </row>
    <row r="221" spans="1:7" ht="15" customHeight="1" x14ac:dyDescent="0.35">
      <c r="A221" s="3" t="s">
        <v>1300</v>
      </c>
      <c r="B221" s="3" t="s">
        <v>2737</v>
      </c>
      <c r="C221" s="5">
        <v>34</v>
      </c>
      <c r="D221" s="3" t="s">
        <v>33</v>
      </c>
      <c r="E221" s="3" t="s">
        <v>2530</v>
      </c>
      <c r="F221" s="4">
        <v>43978</v>
      </c>
      <c r="G221" t="str">
        <f t="shared" si="3"/>
        <v>Chennai</v>
      </c>
    </row>
    <row r="222" spans="1:7" ht="15" customHeight="1" x14ac:dyDescent="0.35">
      <c r="A222" s="3" t="s">
        <v>720</v>
      </c>
      <c r="B222" s="3" t="s">
        <v>2738</v>
      </c>
      <c r="C222" s="5">
        <v>29</v>
      </c>
      <c r="D222" s="3" t="s">
        <v>38</v>
      </c>
      <c r="E222" s="3" t="s">
        <v>2538</v>
      </c>
      <c r="F222" s="4">
        <v>44061</v>
      </c>
      <c r="G222" t="str">
        <f t="shared" si="3"/>
        <v>Delhi</v>
      </c>
    </row>
    <row r="223" spans="1:7" ht="15" customHeight="1" x14ac:dyDescent="0.35">
      <c r="A223" s="3" t="s">
        <v>164</v>
      </c>
      <c r="B223" s="3" t="s">
        <v>2739</v>
      </c>
      <c r="C223" s="5">
        <v>37</v>
      </c>
      <c r="D223" s="3" t="s">
        <v>33</v>
      </c>
      <c r="E223" s="3" t="s">
        <v>2530</v>
      </c>
      <c r="F223" s="4">
        <v>43877</v>
      </c>
      <c r="G223" t="str">
        <f t="shared" si="3"/>
        <v>Chennai</v>
      </c>
    </row>
    <row r="224" spans="1:7" ht="15" customHeight="1" x14ac:dyDescent="0.35">
      <c r="A224" s="3" t="s">
        <v>834</v>
      </c>
      <c r="B224" s="3" t="s">
        <v>2740</v>
      </c>
      <c r="C224" s="5">
        <v>46</v>
      </c>
      <c r="D224" s="3" t="s">
        <v>56</v>
      </c>
      <c r="E224" s="3" t="s">
        <v>2530</v>
      </c>
      <c r="F224" s="4">
        <v>44743</v>
      </c>
      <c r="G224" t="str">
        <f t="shared" si="3"/>
        <v>Bengaluru</v>
      </c>
    </row>
    <row r="225" spans="1:7" ht="15" customHeight="1" x14ac:dyDescent="0.35">
      <c r="A225" s="3" t="s">
        <v>344</v>
      </c>
      <c r="B225" s="3" t="s">
        <v>2741</v>
      </c>
      <c r="C225" s="5">
        <v>24</v>
      </c>
      <c r="D225" s="3" t="s">
        <v>33</v>
      </c>
      <c r="E225" s="3" t="s">
        <v>2532</v>
      </c>
      <c r="F225" s="4">
        <v>44558</v>
      </c>
      <c r="G225" t="str">
        <f t="shared" si="3"/>
        <v>Chennai</v>
      </c>
    </row>
    <row r="226" spans="1:7" ht="15" customHeight="1" x14ac:dyDescent="0.35">
      <c r="A226" s="3" t="s">
        <v>703</v>
      </c>
      <c r="B226" s="3" t="s">
        <v>2594</v>
      </c>
      <c r="C226" s="5">
        <v>26</v>
      </c>
      <c r="D226" s="3" t="s">
        <v>33</v>
      </c>
      <c r="E226" s="3" t="s">
        <v>2538</v>
      </c>
      <c r="F226" s="4">
        <v>44213</v>
      </c>
      <c r="G226" t="str">
        <f t="shared" si="3"/>
        <v>Chennai</v>
      </c>
    </row>
    <row r="227" spans="1:7" ht="15" customHeight="1" x14ac:dyDescent="0.35">
      <c r="A227" s="3" t="s">
        <v>183</v>
      </c>
      <c r="B227" s="3" t="s">
        <v>2742</v>
      </c>
      <c r="C227" s="5">
        <v>52</v>
      </c>
      <c r="D227" s="3" t="s">
        <v>33</v>
      </c>
      <c r="E227" s="3" t="s">
        <v>2532</v>
      </c>
      <c r="F227" s="4">
        <v>44650</v>
      </c>
      <c r="G227" t="str">
        <f t="shared" si="3"/>
        <v>Chennai</v>
      </c>
    </row>
    <row r="228" spans="1:7" ht="15" customHeight="1" x14ac:dyDescent="0.35">
      <c r="A228" s="3" t="s">
        <v>945</v>
      </c>
      <c r="B228" s="3" t="s">
        <v>2626</v>
      </c>
      <c r="C228" s="5">
        <v>44</v>
      </c>
      <c r="D228" s="3" t="s">
        <v>56</v>
      </c>
      <c r="E228" s="3" t="s">
        <v>2538</v>
      </c>
      <c r="F228" s="4">
        <v>44121</v>
      </c>
      <c r="G228" t="str">
        <f t="shared" si="3"/>
        <v>Bengaluru</v>
      </c>
    </row>
    <row r="229" spans="1:7" ht="15" customHeight="1" x14ac:dyDescent="0.35">
      <c r="A229" s="3" t="s">
        <v>399</v>
      </c>
      <c r="B229" s="3" t="s">
        <v>2743</v>
      </c>
      <c r="C229" s="5">
        <v>37</v>
      </c>
      <c r="D229" s="3" t="s">
        <v>27</v>
      </c>
      <c r="E229" s="3" t="s">
        <v>2532</v>
      </c>
      <c r="F229" s="4">
        <v>43952</v>
      </c>
      <c r="G229" t="str">
        <f t="shared" si="3"/>
        <v>Pune</v>
      </c>
    </row>
    <row r="230" spans="1:7" ht="15" customHeight="1" x14ac:dyDescent="0.35">
      <c r="A230" s="3" t="s">
        <v>1132</v>
      </c>
      <c r="B230" s="3" t="s">
        <v>2744</v>
      </c>
      <c r="C230" s="5">
        <v>25</v>
      </c>
      <c r="D230" s="3" t="s">
        <v>72</v>
      </c>
      <c r="E230" s="3" t="s">
        <v>2538</v>
      </c>
      <c r="F230" s="4">
        <v>44453</v>
      </c>
      <c r="G230" t="str">
        <f t="shared" si="3"/>
        <v>Hyderabad</v>
      </c>
    </row>
    <row r="231" spans="1:7" ht="15" customHeight="1" x14ac:dyDescent="0.35">
      <c r="A231" s="3" t="s">
        <v>253</v>
      </c>
      <c r="B231" s="3" t="s">
        <v>2745</v>
      </c>
      <c r="C231" s="5">
        <v>33</v>
      </c>
      <c r="D231" s="3" t="s">
        <v>27</v>
      </c>
      <c r="E231" s="3" t="s">
        <v>2532</v>
      </c>
      <c r="F231" s="4">
        <v>43963</v>
      </c>
      <c r="G231" t="str">
        <f t="shared" si="3"/>
        <v>Pune</v>
      </c>
    </row>
    <row r="232" spans="1:7" ht="15" customHeight="1" x14ac:dyDescent="0.35">
      <c r="A232" s="3" t="s">
        <v>541</v>
      </c>
      <c r="B232" s="3" t="s">
        <v>2746</v>
      </c>
      <c r="C232" s="5">
        <v>61</v>
      </c>
      <c r="D232" s="3" t="s">
        <v>33</v>
      </c>
      <c r="E232" s="3" t="s">
        <v>2530</v>
      </c>
      <c r="F232" s="4">
        <v>45030</v>
      </c>
      <c r="G232" t="str">
        <f t="shared" si="3"/>
        <v>Chennai</v>
      </c>
    </row>
    <row r="233" spans="1:7" ht="15" customHeight="1" x14ac:dyDescent="0.35">
      <c r="A233" s="3" t="s">
        <v>478</v>
      </c>
      <c r="B233" s="3" t="s">
        <v>2747</v>
      </c>
      <c r="C233" s="5">
        <v>38</v>
      </c>
      <c r="D233" s="3" t="s">
        <v>72</v>
      </c>
      <c r="E233" s="3" t="s">
        <v>2530</v>
      </c>
      <c r="F233" s="4">
        <v>44364</v>
      </c>
      <c r="G233" t="str">
        <f t="shared" si="3"/>
        <v>Hyderabad</v>
      </c>
    </row>
    <row r="234" spans="1:7" ht="15" customHeight="1" x14ac:dyDescent="0.35">
      <c r="A234" s="3" t="s">
        <v>898</v>
      </c>
      <c r="B234" s="3" t="s">
        <v>2712</v>
      </c>
      <c r="C234" s="5">
        <v>65</v>
      </c>
      <c r="D234" s="3" t="s">
        <v>51</v>
      </c>
      <c r="E234" s="3" t="s">
        <v>2538</v>
      </c>
      <c r="F234" s="4">
        <v>43850</v>
      </c>
      <c r="G234" t="str">
        <f t="shared" si="3"/>
        <v>Mumbai</v>
      </c>
    </row>
    <row r="235" spans="1:7" ht="15" customHeight="1" x14ac:dyDescent="0.35">
      <c r="A235" s="3" t="s">
        <v>186</v>
      </c>
      <c r="B235" s="3" t="s">
        <v>2748</v>
      </c>
      <c r="C235" s="5">
        <v>34</v>
      </c>
      <c r="D235" s="3" t="s">
        <v>56</v>
      </c>
      <c r="E235" s="3" t="s">
        <v>2530</v>
      </c>
      <c r="F235" s="4">
        <v>44175</v>
      </c>
      <c r="G235" t="str">
        <f t="shared" si="3"/>
        <v>Bengaluru</v>
      </c>
    </row>
    <row r="236" spans="1:7" ht="15" customHeight="1" x14ac:dyDescent="0.35">
      <c r="A236" s="3" t="s">
        <v>902</v>
      </c>
      <c r="B236" s="3" t="s">
        <v>2632</v>
      </c>
      <c r="C236" s="5">
        <v>31</v>
      </c>
      <c r="D236" s="3" t="s">
        <v>33</v>
      </c>
      <c r="E236" s="3" t="s">
        <v>2530</v>
      </c>
      <c r="F236" s="4">
        <v>43903</v>
      </c>
      <c r="G236" t="str">
        <f t="shared" si="3"/>
        <v>Chennai</v>
      </c>
    </row>
    <row r="237" spans="1:7" ht="15" customHeight="1" x14ac:dyDescent="0.35">
      <c r="A237" s="3" t="s">
        <v>822</v>
      </c>
      <c r="B237" s="3" t="s">
        <v>2749</v>
      </c>
      <c r="C237" s="5">
        <v>28</v>
      </c>
      <c r="D237" s="3" t="s">
        <v>72</v>
      </c>
      <c r="E237" s="3" t="s">
        <v>2538</v>
      </c>
      <c r="F237" s="4">
        <v>43949</v>
      </c>
      <c r="G237" t="str">
        <f t="shared" si="3"/>
        <v>Hyderabad</v>
      </c>
    </row>
    <row r="238" spans="1:7" ht="15" customHeight="1" x14ac:dyDescent="0.35">
      <c r="A238" s="3" t="s">
        <v>895</v>
      </c>
      <c r="B238" s="3" t="s">
        <v>2750</v>
      </c>
      <c r="C238" s="5">
        <v>49</v>
      </c>
      <c r="D238" s="3" t="s">
        <v>51</v>
      </c>
      <c r="E238" s="3" t="s">
        <v>2530</v>
      </c>
      <c r="F238" s="4">
        <v>44068</v>
      </c>
      <c r="G238" t="str">
        <f t="shared" si="3"/>
        <v>Mumbai</v>
      </c>
    </row>
    <row r="239" spans="1:7" ht="15" customHeight="1" x14ac:dyDescent="0.35">
      <c r="A239" s="3" t="s">
        <v>574</v>
      </c>
      <c r="B239" s="3" t="s">
        <v>2586</v>
      </c>
      <c r="C239" s="5">
        <v>49</v>
      </c>
      <c r="D239" s="3" t="s">
        <v>38</v>
      </c>
      <c r="E239" s="3" t="s">
        <v>2530</v>
      </c>
      <c r="F239" s="4">
        <v>44377</v>
      </c>
      <c r="G239" t="str">
        <f t="shared" si="3"/>
        <v>Delhi</v>
      </c>
    </row>
    <row r="240" spans="1:7" ht="15" customHeight="1" x14ac:dyDescent="0.35">
      <c r="A240" s="3" t="s">
        <v>350</v>
      </c>
      <c r="B240" s="3" t="s">
        <v>2751</v>
      </c>
      <c r="C240" s="5">
        <v>61</v>
      </c>
      <c r="D240" s="3" t="s">
        <v>51</v>
      </c>
      <c r="E240" s="3" t="s">
        <v>2530</v>
      </c>
      <c r="F240" s="4">
        <v>43981</v>
      </c>
      <c r="G240" t="str">
        <f t="shared" si="3"/>
        <v>Mumbai</v>
      </c>
    </row>
    <row r="241" spans="1:7" ht="15" customHeight="1" x14ac:dyDescent="0.35">
      <c r="A241" s="3" t="s">
        <v>411</v>
      </c>
      <c r="B241" s="3" t="s">
        <v>2752</v>
      </c>
      <c r="C241" s="5">
        <v>35</v>
      </c>
      <c r="D241" s="3" t="s">
        <v>33</v>
      </c>
      <c r="E241" s="3" t="s">
        <v>2532</v>
      </c>
      <c r="F241" s="4">
        <v>44337</v>
      </c>
      <c r="G241" t="str">
        <f t="shared" si="3"/>
        <v>Chennai</v>
      </c>
    </row>
    <row r="242" spans="1:7" ht="15" customHeight="1" x14ac:dyDescent="0.35">
      <c r="A242" s="3" t="s">
        <v>136</v>
      </c>
      <c r="B242" s="3" t="s">
        <v>2753</v>
      </c>
      <c r="C242" s="5">
        <v>47</v>
      </c>
      <c r="D242" s="3" t="s">
        <v>27</v>
      </c>
      <c r="E242" s="3" t="s">
        <v>2532</v>
      </c>
      <c r="F242" s="4">
        <v>44195</v>
      </c>
      <c r="G242" t="str">
        <f t="shared" si="3"/>
        <v>Pune</v>
      </c>
    </row>
    <row r="243" spans="1:7" ht="15" customHeight="1" x14ac:dyDescent="0.35">
      <c r="A243" s="3" t="s">
        <v>521</v>
      </c>
      <c r="B243" s="3" t="s">
        <v>2652</v>
      </c>
      <c r="C243" s="5">
        <v>59</v>
      </c>
      <c r="D243" s="3" t="s">
        <v>33</v>
      </c>
      <c r="E243" s="3" t="s">
        <v>2538</v>
      </c>
      <c r="F243" s="4">
        <v>44474</v>
      </c>
      <c r="G243" t="str">
        <f t="shared" si="3"/>
        <v>Chennai</v>
      </c>
    </row>
    <row r="244" spans="1:7" ht="15" customHeight="1" x14ac:dyDescent="0.35">
      <c r="A244" s="3" t="s">
        <v>23</v>
      </c>
      <c r="B244" s="3" t="s">
        <v>2693</v>
      </c>
      <c r="C244" s="5">
        <v>44</v>
      </c>
      <c r="D244" s="3" t="s">
        <v>27</v>
      </c>
      <c r="E244" s="3" t="s">
        <v>2538</v>
      </c>
      <c r="F244" s="4">
        <v>43861</v>
      </c>
      <c r="G244" t="str">
        <f t="shared" si="3"/>
        <v>Pune</v>
      </c>
    </row>
    <row r="245" spans="1:7" ht="15" customHeight="1" x14ac:dyDescent="0.35">
      <c r="A245" s="3" t="s">
        <v>929</v>
      </c>
      <c r="B245" s="3" t="s">
        <v>2754</v>
      </c>
      <c r="C245" s="5">
        <v>61</v>
      </c>
      <c r="D245" s="3" t="s">
        <v>56</v>
      </c>
      <c r="E245" s="3" t="s">
        <v>2530</v>
      </c>
      <c r="F245" s="4">
        <v>44483</v>
      </c>
      <c r="G245" t="str">
        <f t="shared" si="3"/>
        <v>Bengaluru</v>
      </c>
    </row>
    <row r="246" spans="1:7" ht="15" customHeight="1" x14ac:dyDescent="0.35">
      <c r="A246" s="3" t="s">
        <v>636</v>
      </c>
      <c r="B246" s="3" t="s">
        <v>2755</v>
      </c>
      <c r="C246" s="5">
        <v>65</v>
      </c>
      <c r="D246" s="3" t="s">
        <v>72</v>
      </c>
      <c r="E246" s="3" t="s">
        <v>2530</v>
      </c>
      <c r="F246" s="4">
        <v>44851</v>
      </c>
      <c r="G246" t="str">
        <f t="shared" si="3"/>
        <v>Hyderabad</v>
      </c>
    </row>
    <row r="247" spans="1:7" ht="15" customHeight="1" x14ac:dyDescent="0.35">
      <c r="A247" s="3" t="s">
        <v>485</v>
      </c>
      <c r="B247" s="3" t="s">
        <v>2756</v>
      </c>
      <c r="C247" s="5">
        <v>29</v>
      </c>
      <c r="D247" s="3" t="s">
        <v>38</v>
      </c>
      <c r="E247" s="3" t="s">
        <v>2538</v>
      </c>
      <c r="F247" s="4">
        <v>44477</v>
      </c>
      <c r="G247" t="str">
        <f t="shared" si="3"/>
        <v>Delhi</v>
      </c>
    </row>
    <row r="248" spans="1:7" ht="15" customHeight="1" x14ac:dyDescent="0.35">
      <c r="A248" s="3" t="s">
        <v>615</v>
      </c>
      <c r="B248" s="3" t="s">
        <v>2757</v>
      </c>
      <c r="C248" s="5">
        <v>35</v>
      </c>
      <c r="D248" s="3" t="s">
        <v>27</v>
      </c>
      <c r="E248" s="3" t="s">
        <v>2538</v>
      </c>
      <c r="F248" s="4">
        <v>43966</v>
      </c>
      <c r="G248" t="str">
        <f t="shared" si="3"/>
        <v>Pune</v>
      </c>
    </row>
    <row r="249" spans="1:7" ht="15" customHeight="1" x14ac:dyDescent="0.35">
      <c r="A249" s="3" t="s">
        <v>257</v>
      </c>
      <c r="B249" s="3" t="s">
        <v>2758</v>
      </c>
      <c r="C249" s="5">
        <v>57</v>
      </c>
      <c r="D249" s="3" t="s">
        <v>33</v>
      </c>
      <c r="E249" s="3" t="s">
        <v>2538</v>
      </c>
      <c r="F249" s="4">
        <v>44557</v>
      </c>
      <c r="G249" t="str">
        <f t="shared" si="3"/>
        <v>Chennai</v>
      </c>
    </row>
    <row r="250" spans="1:7" ht="15" customHeight="1" x14ac:dyDescent="0.35">
      <c r="A250" s="3" t="s">
        <v>552</v>
      </c>
      <c r="B250" s="3" t="s">
        <v>2759</v>
      </c>
      <c r="C250" s="5">
        <v>44</v>
      </c>
      <c r="D250" s="3" t="s">
        <v>51</v>
      </c>
      <c r="E250" s="3" t="s">
        <v>2530</v>
      </c>
      <c r="F250" s="4">
        <v>43866</v>
      </c>
      <c r="G250" t="str">
        <f t="shared" si="3"/>
        <v>Mumbai</v>
      </c>
    </row>
    <row r="251" spans="1:7" ht="15" customHeight="1" x14ac:dyDescent="0.35">
      <c r="A251" s="3" t="s">
        <v>120</v>
      </c>
      <c r="B251" s="3" t="s">
        <v>2760</v>
      </c>
      <c r="C251" s="5">
        <v>31</v>
      </c>
      <c r="D251" s="3" t="s">
        <v>38</v>
      </c>
      <c r="E251" s="3" t="s">
        <v>2530</v>
      </c>
      <c r="F251" s="4">
        <v>44575</v>
      </c>
      <c r="G251" t="str">
        <f t="shared" si="3"/>
        <v>Delhi</v>
      </c>
    </row>
    <row r="252" spans="1:7" ht="15" customHeight="1" x14ac:dyDescent="0.35">
      <c r="A252" s="3" t="s">
        <v>467</v>
      </c>
      <c r="B252" s="3" t="s">
        <v>2761</v>
      </c>
      <c r="C252" s="5">
        <v>44</v>
      </c>
      <c r="D252" s="3" t="s">
        <v>51</v>
      </c>
      <c r="E252" s="3" t="s">
        <v>2530</v>
      </c>
      <c r="F252" s="4">
        <v>45121</v>
      </c>
      <c r="G252" t="str">
        <f t="shared" si="3"/>
        <v>Mumbai</v>
      </c>
    </row>
    <row r="253" spans="1:7" ht="15" customHeight="1" x14ac:dyDescent="0.35">
      <c r="A253" s="3" t="s">
        <v>939</v>
      </c>
      <c r="B253" s="3" t="s">
        <v>2762</v>
      </c>
      <c r="C253" s="5">
        <v>27</v>
      </c>
      <c r="D253" s="3" t="s">
        <v>56</v>
      </c>
      <c r="E253" s="3" t="s">
        <v>2530</v>
      </c>
      <c r="F253" s="4">
        <v>45004</v>
      </c>
      <c r="G253" t="str">
        <f t="shared" si="3"/>
        <v>Bengaluru</v>
      </c>
    </row>
    <row r="254" spans="1:7" ht="15" customHeight="1" x14ac:dyDescent="0.35">
      <c r="A254" s="3" t="s">
        <v>338</v>
      </c>
      <c r="B254" s="3" t="s">
        <v>2763</v>
      </c>
      <c r="C254" s="5">
        <v>53</v>
      </c>
      <c r="D254" s="3" t="s">
        <v>38</v>
      </c>
      <c r="E254" s="3" t="s">
        <v>2538</v>
      </c>
      <c r="F254" s="4">
        <v>43892</v>
      </c>
      <c r="G254" t="str">
        <f t="shared" si="3"/>
        <v>Delhi</v>
      </c>
    </row>
    <row r="255" spans="1:7" ht="15" customHeight="1" x14ac:dyDescent="0.35">
      <c r="A255" s="3" t="s">
        <v>839</v>
      </c>
      <c r="B255" s="3" t="s">
        <v>2764</v>
      </c>
      <c r="C255" s="5">
        <v>35</v>
      </c>
      <c r="D255" s="3" t="s">
        <v>56</v>
      </c>
      <c r="E255" s="3" t="s">
        <v>2530</v>
      </c>
      <c r="F255" s="4">
        <v>44000</v>
      </c>
      <c r="G255" t="str">
        <f t="shared" si="3"/>
        <v>Bengaluru</v>
      </c>
    </row>
    <row r="256" spans="1:7" ht="15" customHeight="1" x14ac:dyDescent="0.35">
      <c r="A256" s="3" t="s">
        <v>301</v>
      </c>
      <c r="B256" s="3" t="s">
        <v>2551</v>
      </c>
      <c r="C256" s="5">
        <v>51</v>
      </c>
      <c r="D256" s="3" t="s">
        <v>33</v>
      </c>
      <c r="E256" s="3" t="s">
        <v>2532</v>
      </c>
      <c r="F256" s="4">
        <v>44458</v>
      </c>
      <c r="G256" t="str">
        <f t="shared" si="3"/>
        <v>Chennai</v>
      </c>
    </row>
    <row r="257" spans="1:7" ht="15" customHeight="1" x14ac:dyDescent="0.35">
      <c r="A257" s="3" t="s">
        <v>628</v>
      </c>
      <c r="B257" s="3" t="s">
        <v>2765</v>
      </c>
      <c r="C257" s="5">
        <v>28</v>
      </c>
      <c r="D257" s="3" t="s">
        <v>72</v>
      </c>
      <c r="E257" s="3" t="s">
        <v>2530</v>
      </c>
      <c r="F257" s="4">
        <v>44694</v>
      </c>
      <c r="G257" t="str">
        <f t="shared" si="3"/>
        <v>Hyderabad</v>
      </c>
    </row>
    <row r="258" spans="1:7" ht="15" customHeight="1" x14ac:dyDescent="0.35">
      <c r="A258" s="3" t="s">
        <v>1060</v>
      </c>
      <c r="B258" s="3" t="s">
        <v>2766</v>
      </c>
      <c r="C258" s="5">
        <v>46</v>
      </c>
      <c r="D258" s="3" t="s">
        <v>51</v>
      </c>
      <c r="E258" s="3" t="s">
        <v>2532</v>
      </c>
      <c r="F258" s="4">
        <v>43849</v>
      </c>
      <c r="G258" t="str">
        <f t="shared" ref="G258:G301" si="4">IF(D258="","",PROPER(TRIM(D258)))</f>
        <v>Mumbai</v>
      </c>
    </row>
    <row r="259" spans="1:7" ht="15" customHeight="1" x14ac:dyDescent="0.35">
      <c r="A259" s="3" t="s">
        <v>214</v>
      </c>
      <c r="B259" s="3" t="s">
        <v>2767</v>
      </c>
      <c r="C259" s="5">
        <v>44</v>
      </c>
      <c r="D259" s="3" t="s">
        <v>27</v>
      </c>
      <c r="E259" s="3" t="s">
        <v>2530</v>
      </c>
      <c r="F259" s="4">
        <v>43874</v>
      </c>
      <c r="G259" t="str">
        <f t="shared" si="4"/>
        <v>Pune</v>
      </c>
    </row>
    <row r="260" spans="1:7" ht="15" customHeight="1" x14ac:dyDescent="0.35">
      <c r="A260" s="3" t="s">
        <v>108</v>
      </c>
      <c r="B260" s="3" t="s">
        <v>2768</v>
      </c>
      <c r="C260" s="5">
        <v>34</v>
      </c>
      <c r="D260" s="3" t="s">
        <v>51</v>
      </c>
      <c r="E260" s="3" t="s">
        <v>2530</v>
      </c>
      <c r="F260" s="4">
        <v>44086</v>
      </c>
      <c r="G260" t="str">
        <f t="shared" si="4"/>
        <v>Mumbai</v>
      </c>
    </row>
    <row r="261" spans="1:7" ht="15" customHeight="1" x14ac:dyDescent="0.35">
      <c r="A261" s="3" t="s">
        <v>62</v>
      </c>
      <c r="B261" s="3" t="s">
        <v>2769</v>
      </c>
      <c r="C261" s="5">
        <v>42</v>
      </c>
      <c r="D261" s="3" t="s">
        <v>56</v>
      </c>
      <c r="E261" s="3" t="s">
        <v>2530</v>
      </c>
      <c r="F261" s="4">
        <v>44866</v>
      </c>
      <c r="G261" t="str">
        <f t="shared" si="4"/>
        <v>Bengaluru</v>
      </c>
    </row>
    <row r="262" spans="1:7" ht="15" customHeight="1" x14ac:dyDescent="0.35">
      <c r="A262" s="3" t="s">
        <v>200</v>
      </c>
      <c r="B262" s="3" t="s">
        <v>2770</v>
      </c>
      <c r="C262" s="5">
        <v>54</v>
      </c>
      <c r="D262" s="3" t="s">
        <v>38</v>
      </c>
      <c r="E262" s="3" t="s">
        <v>2530</v>
      </c>
      <c r="F262" s="4">
        <v>43845</v>
      </c>
      <c r="G262" t="str">
        <f t="shared" si="4"/>
        <v>Delhi</v>
      </c>
    </row>
    <row r="263" spans="1:7" ht="15" customHeight="1" x14ac:dyDescent="0.35">
      <c r="A263" s="3" t="s">
        <v>545</v>
      </c>
      <c r="B263" s="3" t="s">
        <v>2771</v>
      </c>
      <c r="C263" s="5">
        <v>52</v>
      </c>
      <c r="D263" s="3" t="s">
        <v>51</v>
      </c>
      <c r="E263" s="3" t="s">
        <v>2530</v>
      </c>
      <c r="F263" s="4">
        <v>44636</v>
      </c>
      <c r="G263" t="str">
        <f t="shared" si="4"/>
        <v>Mumbai</v>
      </c>
    </row>
    <row r="264" spans="1:7" ht="15" customHeight="1" x14ac:dyDescent="0.35">
      <c r="A264" s="3" t="s">
        <v>208</v>
      </c>
      <c r="B264" s="3" t="s">
        <v>2772</v>
      </c>
      <c r="C264" s="5">
        <v>40</v>
      </c>
      <c r="D264" s="3" t="s">
        <v>51</v>
      </c>
      <c r="E264" s="3" t="s">
        <v>2530</v>
      </c>
      <c r="F264" s="4">
        <v>44758</v>
      </c>
      <c r="G264" t="str">
        <f t="shared" si="4"/>
        <v>Mumbai</v>
      </c>
    </row>
    <row r="265" spans="1:7" ht="15" customHeight="1" x14ac:dyDescent="0.35">
      <c r="A265" s="3" t="s">
        <v>446</v>
      </c>
      <c r="B265" s="3" t="s">
        <v>2773</v>
      </c>
      <c r="C265" s="5">
        <v>59</v>
      </c>
      <c r="D265" s="3" t="s">
        <v>27</v>
      </c>
      <c r="E265" s="3" t="s">
        <v>2530</v>
      </c>
      <c r="F265" s="4">
        <v>45042</v>
      </c>
      <c r="G265" t="str">
        <f t="shared" si="4"/>
        <v>Pune</v>
      </c>
    </row>
    <row r="266" spans="1:7" ht="15" customHeight="1" x14ac:dyDescent="0.35">
      <c r="A266" s="3" t="s">
        <v>102</v>
      </c>
      <c r="B266" s="3" t="s">
        <v>2774</v>
      </c>
      <c r="C266" s="5">
        <v>49</v>
      </c>
      <c r="D266" s="3" t="s">
        <v>33</v>
      </c>
      <c r="E266" s="3" t="s">
        <v>2530</v>
      </c>
      <c r="F266" s="4">
        <v>44555</v>
      </c>
      <c r="G266" t="str">
        <f t="shared" si="4"/>
        <v>Chennai</v>
      </c>
    </row>
    <row r="267" spans="1:7" ht="15" customHeight="1" x14ac:dyDescent="0.35">
      <c r="A267" s="3" t="s">
        <v>887</v>
      </c>
      <c r="B267" s="3" t="s">
        <v>2775</v>
      </c>
      <c r="C267" s="5">
        <v>65</v>
      </c>
      <c r="D267" s="3" t="s">
        <v>27</v>
      </c>
      <c r="E267" s="3" t="s">
        <v>2530</v>
      </c>
      <c r="F267" s="4">
        <v>44469</v>
      </c>
      <c r="G267" t="str">
        <f t="shared" si="4"/>
        <v>Pune</v>
      </c>
    </row>
    <row r="268" spans="1:7" ht="15" customHeight="1" x14ac:dyDescent="0.35">
      <c r="A268" s="3" t="s">
        <v>195</v>
      </c>
      <c r="B268" s="3" t="s">
        <v>2776</v>
      </c>
      <c r="C268" s="5">
        <v>27</v>
      </c>
      <c r="D268" s="3" t="s">
        <v>72</v>
      </c>
      <c r="E268" s="3" t="s">
        <v>2530</v>
      </c>
      <c r="F268" s="4">
        <v>44352</v>
      </c>
      <c r="G268" t="str">
        <f t="shared" si="4"/>
        <v>Hyderabad</v>
      </c>
    </row>
    <row r="269" spans="1:7" ht="15" customHeight="1" x14ac:dyDescent="0.35">
      <c r="A269" s="3" t="s">
        <v>1567</v>
      </c>
      <c r="B269" s="3" t="s">
        <v>2777</v>
      </c>
      <c r="C269" s="5">
        <v>35</v>
      </c>
      <c r="D269" s="3" t="s">
        <v>33</v>
      </c>
      <c r="E269" s="3" t="s">
        <v>2530</v>
      </c>
      <c r="F269" s="4">
        <v>44991</v>
      </c>
      <c r="G269" t="str">
        <f t="shared" si="4"/>
        <v>Chennai</v>
      </c>
    </row>
    <row r="270" spans="1:7" ht="15" customHeight="1" x14ac:dyDescent="0.35">
      <c r="A270" s="3" t="s">
        <v>659</v>
      </c>
      <c r="B270" s="3" t="s">
        <v>2778</v>
      </c>
      <c r="C270" s="5">
        <v>48</v>
      </c>
      <c r="D270" s="3" t="s">
        <v>27</v>
      </c>
      <c r="E270" s="3" t="s">
        <v>2530</v>
      </c>
      <c r="F270" s="4">
        <v>44429</v>
      </c>
      <c r="G270" t="str">
        <f t="shared" si="4"/>
        <v>Pune</v>
      </c>
    </row>
    <row r="271" spans="1:7" ht="15" customHeight="1" x14ac:dyDescent="0.35">
      <c r="A271" s="3" t="s">
        <v>698</v>
      </c>
      <c r="B271" s="3" t="s">
        <v>2779</v>
      </c>
      <c r="C271" s="5">
        <v>29</v>
      </c>
      <c r="D271" s="3" t="s">
        <v>56</v>
      </c>
      <c r="E271" s="3" t="s">
        <v>2530</v>
      </c>
      <c r="F271" s="4">
        <v>44410</v>
      </c>
      <c r="G271" t="str">
        <f t="shared" si="4"/>
        <v>Bengaluru</v>
      </c>
    </row>
    <row r="272" spans="1:7" ht="15" customHeight="1" x14ac:dyDescent="0.35">
      <c r="A272" s="3" t="s">
        <v>506</v>
      </c>
      <c r="B272" s="3" t="s">
        <v>2624</v>
      </c>
      <c r="C272" s="5">
        <v>41</v>
      </c>
      <c r="D272" s="3" t="s">
        <v>56</v>
      </c>
      <c r="E272" s="3" t="s">
        <v>2532</v>
      </c>
      <c r="F272" s="4">
        <v>44441</v>
      </c>
      <c r="G272" t="str">
        <f t="shared" si="4"/>
        <v>Bengaluru</v>
      </c>
    </row>
    <row r="273" spans="1:7" ht="15" customHeight="1" x14ac:dyDescent="0.35">
      <c r="A273" s="3" t="s">
        <v>966</v>
      </c>
      <c r="B273" s="3" t="s">
        <v>2780</v>
      </c>
      <c r="C273" s="5">
        <v>47</v>
      </c>
      <c r="D273" s="3" t="s">
        <v>51</v>
      </c>
      <c r="E273" s="3" t="s">
        <v>2538</v>
      </c>
      <c r="F273" s="4">
        <v>44634</v>
      </c>
      <c r="G273" t="str">
        <f t="shared" si="4"/>
        <v>Mumbai</v>
      </c>
    </row>
    <row r="274" spans="1:7" ht="15" customHeight="1" x14ac:dyDescent="0.35">
      <c r="A274" s="3" t="s">
        <v>95</v>
      </c>
      <c r="B274" s="3" t="s">
        <v>2781</v>
      </c>
      <c r="C274" s="5">
        <v>32</v>
      </c>
      <c r="D274" s="3" t="s">
        <v>72</v>
      </c>
      <c r="E274" s="3" t="s">
        <v>2532</v>
      </c>
      <c r="F274" s="4">
        <v>44221</v>
      </c>
      <c r="G274" t="str">
        <f t="shared" si="4"/>
        <v>Hyderabad</v>
      </c>
    </row>
    <row r="275" spans="1:7" ht="15" customHeight="1" x14ac:dyDescent="0.35">
      <c r="A275" s="3" t="s">
        <v>443</v>
      </c>
      <c r="B275" s="3" t="s">
        <v>2782</v>
      </c>
      <c r="C275" s="5">
        <v>36</v>
      </c>
      <c r="D275" s="3" t="s">
        <v>56</v>
      </c>
      <c r="E275" s="3" t="s">
        <v>2532</v>
      </c>
      <c r="F275" s="4">
        <v>44381</v>
      </c>
      <c r="G275" t="str">
        <f t="shared" si="4"/>
        <v>Bengaluru</v>
      </c>
    </row>
    <row r="276" spans="1:7" ht="15" customHeight="1" x14ac:dyDescent="0.35">
      <c r="A276" s="3" t="s">
        <v>48</v>
      </c>
      <c r="B276" s="3" t="s">
        <v>2783</v>
      </c>
      <c r="C276" s="5">
        <v>36</v>
      </c>
      <c r="D276" s="3" t="s">
        <v>51</v>
      </c>
      <c r="E276" s="3" t="s">
        <v>2530</v>
      </c>
      <c r="F276" s="4">
        <v>45106</v>
      </c>
      <c r="G276" t="str">
        <f t="shared" si="4"/>
        <v>Mumbai</v>
      </c>
    </row>
    <row r="277" spans="1:7" ht="15" customHeight="1" x14ac:dyDescent="0.35">
      <c r="A277" s="3" t="s">
        <v>1438</v>
      </c>
      <c r="B277" s="3" t="s">
        <v>2578</v>
      </c>
      <c r="C277" s="5">
        <v>26</v>
      </c>
      <c r="D277" s="3" t="s">
        <v>33</v>
      </c>
      <c r="E277" s="3" t="s">
        <v>2530</v>
      </c>
      <c r="F277" s="4">
        <v>44272</v>
      </c>
      <c r="G277" t="str">
        <f t="shared" si="4"/>
        <v>Chennai</v>
      </c>
    </row>
    <row r="278" spans="1:7" ht="15" customHeight="1" x14ac:dyDescent="0.35">
      <c r="A278" s="3" t="s">
        <v>480</v>
      </c>
      <c r="B278" s="3" t="s">
        <v>2595</v>
      </c>
      <c r="C278" s="5">
        <v>34</v>
      </c>
      <c r="D278" s="3" t="s">
        <v>33</v>
      </c>
      <c r="E278" s="3" t="s">
        <v>2532</v>
      </c>
      <c r="F278" s="4">
        <v>44958</v>
      </c>
      <c r="G278" t="str">
        <f t="shared" si="4"/>
        <v>Chennai</v>
      </c>
    </row>
    <row r="279" spans="1:7" ht="15" customHeight="1" x14ac:dyDescent="0.35">
      <c r="A279" s="3" t="s">
        <v>986</v>
      </c>
      <c r="B279" s="3" t="s">
        <v>2784</v>
      </c>
      <c r="C279" s="5">
        <v>41</v>
      </c>
      <c r="D279" s="3" t="s">
        <v>72</v>
      </c>
      <c r="E279" s="3" t="s">
        <v>2530</v>
      </c>
      <c r="F279" s="4">
        <v>43973</v>
      </c>
      <c r="G279" t="str">
        <f t="shared" si="4"/>
        <v>Hyderabad</v>
      </c>
    </row>
    <row r="280" spans="1:7" ht="15" customHeight="1" x14ac:dyDescent="0.35">
      <c r="A280" s="3" t="s">
        <v>668</v>
      </c>
      <c r="B280" s="3" t="s">
        <v>2765</v>
      </c>
      <c r="C280" s="5">
        <v>56</v>
      </c>
      <c r="D280" s="3" t="s">
        <v>51</v>
      </c>
      <c r="E280" s="3" t="s">
        <v>2530</v>
      </c>
      <c r="F280" s="4">
        <v>44517</v>
      </c>
      <c r="G280" t="str">
        <f t="shared" si="4"/>
        <v>Mumbai</v>
      </c>
    </row>
    <row r="281" spans="1:7" ht="15" customHeight="1" x14ac:dyDescent="0.35">
      <c r="A281" s="3" t="s">
        <v>76</v>
      </c>
      <c r="B281" s="3" t="s">
        <v>2785</v>
      </c>
      <c r="C281" s="5">
        <v>27</v>
      </c>
      <c r="D281" s="3" t="s">
        <v>38</v>
      </c>
      <c r="E281" s="3" t="s">
        <v>2538</v>
      </c>
      <c r="F281" s="4">
        <v>45059</v>
      </c>
      <c r="G281" t="str">
        <f t="shared" si="4"/>
        <v>Delhi</v>
      </c>
    </row>
    <row r="282" spans="1:7" ht="15" customHeight="1" x14ac:dyDescent="0.35">
      <c r="A282" s="3" t="s">
        <v>58</v>
      </c>
      <c r="B282" s="3" t="s">
        <v>2550</v>
      </c>
      <c r="C282" s="5">
        <v>57</v>
      </c>
      <c r="D282" s="3" t="s">
        <v>56</v>
      </c>
      <c r="E282" s="3" t="s">
        <v>2532</v>
      </c>
      <c r="F282" s="4">
        <v>44029</v>
      </c>
      <c r="G282" t="str">
        <f t="shared" si="4"/>
        <v>Bengaluru</v>
      </c>
    </row>
    <row r="283" spans="1:7" ht="15" customHeight="1" x14ac:dyDescent="0.35">
      <c r="A283" s="3" t="s">
        <v>217</v>
      </c>
      <c r="B283" s="3" t="s">
        <v>2786</v>
      </c>
      <c r="C283" s="5">
        <v>29</v>
      </c>
      <c r="D283" s="3" t="s">
        <v>72</v>
      </c>
      <c r="E283" s="3" t="s">
        <v>2532</v>
      </c>
      <c r="F283" s="4">
        <v>44631</v>
      </c>
      <c r="G283" t="str">
        <f t="shared" si="4"/>
        <v>Hyderabad</v>
      </c>
    </row>
    <row r="284" spans="1:7" ht="15" customHeight="1" x14ac:dyDescent="0.35">
      <c r="A284" s="3" t="s">
        <v>158</v>
      </c>
      <c r="B284" s="3" t="s">
        <v>2787</v>
      </c>
      <c r="C284" s="5">
        <v>50</v>
      </c>
      <c r="D284" s="3" t="s">
        <v>2535</v>
      </c>
      <c r="E284" s="3" t="s">
        <v>2538</v>
      </c>
      <c r="F284" s="4">
        <v>44869</v>
      </c>
      <c r="G284" t="str">
        <f t="shared" si="4"/>
        <v>Delhi</v>
      </c>
    </row>
    <row r="285" spans="1:7" ht="15" customHeight="1" x14ac:dyDescent="0.35">
      <c r="A285" s="3" t="s">
        <v>440</v>
      </c>
      <c r="B285" s="3" t="s">
        <v>2788</v>
      </c>
      <c r="C285" s="5">
        <v>65</v>
      </c>
      <c r="D285" s="3" t="s">
        <v>72</v>
      </c>
      <c r="E285" s="3" t="s">
        <v>2538</v>
      </c>
      <c r="F285" s="4">
        <v>44047</v>
      </c>
      <c r="G285" t="str">
        <f t="shared" si="4"/>
        <v>Hyderabad</v>
      </c>
    </row>
    <row r="286" spans="1:7" ht="15" customHeight="1" x14ac:dyDescent="0.35">
      <c r="A286" s="3" t="s">
        <v>531</v>
      </c>
      <c r="B286" s="3" t="s">
        <v>2789</v>
      </c>
      <c r="C286" s="5">
        <v>22</v>
      </c>
      <c r="D286" s="3" t="s">
        <v>72</v>
      </c>
      <c r="E286" s="3" t="s">
        <v>2530</v>
      </c>
      <c r="F286" s="4">
        <v>44593</v>
      </c>
      <c r="G286" t="str">
        <f t="shared" si="4"/>
        <v>Hyderabad</v>
      </c>
    </row>
    <row r="287" spans="1:7" ht="15" customHeight="1" x14ac:dyDescent="0.35">
      <c r="A287" s="3" t="s">
        <v>1755</v>
      </c>
      <c r="B287" s="3" t="s">
        <v>2790</v>
      </c>
      <c r="C287" s="5">
        <v>62</v>
      </c>
      <c r="D287" s="3" t="s">
        <v>38</v>
      </c>
      <c r="E287" s="3" t="s">
        <v>2530</v>
      </c>
      <c r="F287" s="4">
        <v>44489</v>
      </c>
      <c r="G287" t="str">
        <f t="shared" si="4"/>
        <v>Delhi</v>
      </c>
    </row>
    <row r="288" spans="1:7" ht="15" customHeight="1" x14ac:dyDescent="0.35">
      <c r="A288" s="3" t="s">
        <v>317</v>
      </c>
      <c r="B288" s="3" t="s">
        <v>2791</v>
      </c>
      <c r="C288" s="5">
        <v>53</v>
      </c>
      <c r="D288" s="3" t="s">
        <v>33</v>
      </c>
      <c r="E288" s="3" t="s">
        <v>2538</v>
      </c>
      <c r="F288" s="4">
        <v>44738</v>
      </c>
      <c r="G288" t="str">
        <f t="shared" si="4"/>
        <v>Chennai</v>
      </c>
    </row>
    <row r="289" spans="1:7" ht="15" customHeight="1" x14ac:dyDescent="0.35">
      <c r="A289" s="3" t="s">
        <v>1473</v>
      </c>
      <c r="B289" s="3" t="s">
        <v>2792</v>
      </c>
      <c r="C289" s="5">
        <v>25</v>
      </c>
      <c r="D289" s="3" t="s">
        <v>72</v>
      </c>
      <c r="E289" s="3" t="s">
        <v>2532</v>
      </c>
      <c r="F289" s="4">
        <v>44450</v>
      </c>
      <c r="G289" t="str">
        <f t="shared" si="4"/>
        <v>Hyderabad</v>
      </c>
    </row>
    <row r="290" spans="1:7" ht="15" customHeight="1" x14ac:dyDescent="0.35">
      <c r="A290" s="3" t="s">
        <v>990</v>
      </c>
      <c r="B290" s="3" t="s">
        <v>2793</v>
      </c>
      <c r="C290" s="5">
        <v>54</v>
      </c>
      <c r="D290" s="3" t="s">
        <v>51</v>
      </c>
      <c r="E290" s="3" t="s">
        <v>2530</v>
      </c>
      <c r="F290" s="4">
        <v>44720</v>
      </c>
      <c r="G290" t="str">
        <f t="shared" si="4"/>
        <v>Mumbai</v>
      </c>
    </row>
    <row r="291" spans="1:7" ht="15" customHeight="1" x14ac:dyDescent="0.35">
      <c r="A291" s="3" t="s">
        <v>736</v>
      </c>
      <c r="B291" s="3" t="s">
        <v>2794</v>
      </c>
      <c r="C291" s="5">
        <v>63</v>
      </c>
      <c r="D291" s="3" t="s">
        <v>38</v>
      </c>
      <c r="E291" s="3" t="s">
        <v>2530</v>
      </c>
      <c r="F291" s="4">
        <v>44330</v>
      </c>
      <c r="G291" t="str">
        <f t="shared" si="4"/>
        <v>Delhi</v>
      </c>
    </row>
    <row r="292" spans="1:7" ht="15" customHeight="1" x14ac:dyDescent="0.35">
      <c r="A292" s="3" t="s">
        <v>172</v>
      </c>
      <c r="B292" s="3" t="s">
        <v>2795</v>
      </c>
      <c r="C292" s="5">
        <v>29</v>
      </c>
      <c r="D292" s="3" t="s">
        <v>27</v>
      </c>
      <c r="E292" s="3" t="s">
        <v>2538</v>
      </c>
      <c r="F292" s="4">
        <v>43950</v>
      </c>
      <c r="G292" t="str">
        <f t="shared" si="4"/>
        <v>Pune</v>
      </c>
    </row>
    <row r="293" spans="1:7" ht="15" customHeight="1" x14ac:dyDescent="0.35">
      <c r="A293" s="3" t="s">
        <v>691</v>
      </c>
      <c r="B293" s="3" t="s">
        <v>2623</v>
      </c>
      <c r="C293" s="5">
        <v>32</v>
      </c>
      <c r="D293" s="3" t="s">
        <v>56</v>
      </c>
      <c r="E293" s="3" t="s">
        <v>2530</v>
      </c>
      <c r="F293" s="4">
        <v>43968</v>
      </c>
      <c r="G293" t="str">
        <f t="shared" si="4"/>
        <v>Bengaluru</v>
      </c>
    </row>
    <row r="294" spans="1:7" ht="15" customHeight="1" x14ac:dyDescent="0.35">
      <c r="A294" s="3" t="s">
        <v>53</v>
      </c>
      <c r="B294" s="3" t="s">
        <v>2796</v>
      </c>
      <c r="C294" s="5">
        <v>27</v>
      </c>
      <c r="D294" s="3" t="s">
        <v>56</v>
      </c>
      <c r="E294" s="3" t="s">
        <v>2530</v>
      </c>
      <c r="F294" s="4">
        <v>44335</v>
      </c>
      <c r="G294" t="str">
        <f t="shared" si="4"/>
        <v>Bengaluru</v>
      </c>
    </row>
    <row r="295" spans="1:7" ht="15" customHeight="1" x14ac:dyDescent="0.35">
      <c r="A295" s="3" t="s">
        <v>373</v>
      </c>
      <c r="B295" s="3" t="s">
        <v>2556</v>
      </c>
      <c r="C295" s="5">
        <v>31</v>
      </c>
      <c r="D295" s="3" t="s">
        <v>38</v>
      </c>
      <c r="E295" s="3" t="s">
        <v>2532</v>
      </c>
      <c r="F295" s="4">
        <v>43885</v>
      </c>
      <c r="G295" t="str">
        <f t="shared" si="4"/>
        <v>Delhi</v>
      </c>
    </row>
    <row r="296" spans="1:7" ht="15" customHeight="1" x14ac:dyDescent="0.35">
      <c r="A296" s="3" t="s">
        <v>534</v>
      </c>
      <c r="B296" s="3" t="s">
        <v>2797</v>
      </c>
      <c r="C296" s="5">
        <v>48</v>
      </c>
      <c r="D296" s="3" t="s">
        <v>38</v>
      </c>
      <c r="E296" s="3" t="s">
        <v>2538</v>
      </c>
      <c r="F296" s="4">
        <v>43863</v>
      </c>
      <c r="G296" t="str">
        <f t="shared" si="4"/>
        <v>Delhi</v>
      </c>
    </row>
    <row r="297" spans="1:7" ht="15" customHeight="1" x14ac:dyDescent="0.35">
      <c r="A297" s="3" t="s">
        <v>509</v>
      </c>
      <c r="B297" s="3" t="s">
        <v>2798</v>
      </c>
      <c r="C297" s="5">
        <v>47</v>
      </c>
      <c r="D297" s="3" t="s">
        <v>38</v>
      </c>
      <c r="E297" s="3" t="s">
        <v>2532</v>
      </c>
      <c r="F297" s="4">
        <v>44784</v>
      </c>
      <c r="G297" t="str">
        <f t="shared" si="4"/>
        <v>Delhi</v>
      </c>
    </row>
    <row r="298" spans="1:7" ht="15" customHeight="1" x14ac:dyDescent="0.35">
      <c r="A298" s="3" t="s">
        <v>590</v>
      </c>
      <c r="B298" s="3" t="s">
        <v>2799</v>
      </c>
      <c r="C298" s="5">
        <v>50</v>
      </c>
      <c r="D298" s="3" t="s">
        <v>72</v>
      </c>
      <c r="E298" s="3" t="s">
        <v>2530</v>
      </c>
      <c r="F298" s="4">
        <v>44027</v>
      </c>
      <c r="G298" t="str">
        <f t="shared" si="4"/>
        <v>Hyderabad</v>
      </c>
    </row>
    <row r="299" spans="1:7" ht="15" customHeight="1" x14ac:dyDescent="0.35">
      <c r="A299" s="3" t="s">
        <v>359</v>
      </c>
      <c r="B299" s="3" t="s">
        <v>2800</v>
      </c>
      <c r="C299" s="5">
        <v>44</v>
      </c>
      <c r="D299" s="3" t="s">
        <v>38</v>
      </c>
      <c r="E299" s="3" t="s">
        <v>2530</v>
      </c>
      <c r="F299" s="4">
        <v>43840</v>
      </c>
      <c r="G299" t="str">
        <f t="shared" si="4"/>
        <v>Delhi</v>
      </c>
    </row>
    <row r="300" spans="1:7" ht="15" customHeight="1" x14ac:dyDescent="0.35">
      <c r="A300" s="3" t="s">
        <v>651</v>
      </c>
      <c r="B300" s="3" t="s">
        <v>2713</v>
      </c>
      <c r="C300" s="5">
        <v>51</v>
      </c>
      <c r="D300" s="3" t="s">
        <v>51</v>
      </c>
      <c r="E300" s="3" t="s">
        <v>2532</v>
      </c>
      <c r="F300" s="4">
        <v>44675</v>
      </c>
      <c r="G300" t="str">
        <f t="shared" si="4"/>
        <v>Mumbai</v>
      </c>
    </row>
    <row r="301" spans="1:7" ht="15" customHeight="1" x14ac:dyDescent="0.35">
      <c r="A301" s="3" t="s">
        <v>1236</v>
      </c>
      <c r="B301" s="3" t="s">
        <v>2801</v>
      </c>
      <c r="C301" s="5">
        <v>38</v>
      </c>
      <c r="D301" s="3" t="s">
        <v>51</v>
      </c>
      <c r="E301" s="3" t="s">
        <v>2530</v>
      </c>
      <c r="F301" s="4">
        <v>43932</v>
      </c>
      <c r="G301" t="str">
        <f t="shared" si="4"/>
        <v>Mumbai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F61"/>
  <sheetViews>
    <sheetView zoomScaleNormal="100" workbookViewId="0">
      <pane ySplit="1" topLeftCell="A2" activePane="bottomLeft" state="frozen"/>
      <selection pane="bottomLeft"/>
    </sheetView>
  </sheetViews>
  <sheetFormatPr defaultColWidth="8.7265625" defaultRowHeight="15" customHeight="1" x14ac:dyDescent="0.35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ht="15" customHeight="1" x14ac:dyDescent="0.35">
      <c r="A1" s="2" t="s">
        <v>3</v>
      </c>
      <c r="B1" s="2" t="s">
        <v>2802</v>
      </c>
      <c r="C1" s="2" t="s">
        <v>2803</v>
      </c>
      <c r="D1" s="2" t="s">
        <v>2804</v>
      </c>
      <c r="E1" s="2" t="s">
        <v>6</v>
      </c>
      <c r="F1" s="2" t="s">
        <v>2805</v>
      </c>
    </row>
    <row r="2" spans="1:6" ht="15" customHeight="1" x14ac:dyDescent="0.35">
      <c r="A2" s="3" t="s">
        <v>303</v>
      </c>
      <c r="B2" s="3" t="s">
        <v>2806</v>
      </c>
      <c r="C2" s="3" t="s">
        <v>2807</v>
      </c>
      <c r="D2" s="5">
        <v>2405</v>
      </c>
      <c r="E2" s="5">
        <v>5330</v>
      </c>
      <c r="F2" s="3" t="b">
        <f>TRUE()</f>
        <v>1</v>
      </c>
    </row>
    <row r="3" spans="1:6" ht="15" customHeight="1" x14ac:dyDescent="0.35">
      <c r="A3" s="3" t="s">
        <v>77</v>
      </c>
      <c r="B3" s="3" t="s">
        <v>2808</v>
      </c>
      <c r="C3" s="3" t="s">
        <v>2807</v>
      </c>
      <c r="D3" s="5">
        <v>1052</v>
      </c>
      <c r="E3" s="5">
        <v>2600</v>
      </c>
      <c r="F3" s="3" t="b">
        <f>TRUE()</f>
        <v>1</v>
      </c>
    </row>
    <row r="4" spans="1:6" ht="15" customHeight="1" x14ac:dyDescent="0.35">
      <c r="A4" s="3" t="s">
        <v>126</v>
      </c>
      <c r="B4" s="3" t="s">
        <v>2809</v>
      </c>
      <c r="C4" s="3" t="s">
        <v>2807</v>
      </c>
      <c r="D4" s="5">
        <v>1665</v>
      </c>
      <c r="E4" s="5">
        <v>3570</v>
      </c>
      <c r="F4" s="3" t="b">
        <f>TRUE()</f>
        <v>1</v>
      </c>
    </row>
    <row r="5" spans="1:6" ht="15" customHeight="1" x14ac:dyDescent="0.35">
      <c r="A5" s="3" t="s">
        <v>187</v>
      </c>
      <c r="B5" s="3" t="s">
        <v>2810</v>
      </c>
      <c r="C5" s="3" t="s">
        <v>2807</v>
      </c>
      <c r="D5" s="5">
        <v>1559</v>
      </c>
      <c r="E5" s="5">
        <v>3870</v>
      </c>
      <c r="F5" s="3" t="b">
        <f>TRUE()</f>
        <v>1</v>
      </c>
    </row>
    <row r="6" spans="1:6" ht="15" customHeight="1" x14ac:dyDescent="0.35">
      <c r="A6" s="3" t="s">
        <v>221</v>
      </c>
      <c r="B6" s="3" t="s">
        <v>2811</v>
      </c>
      <c r="C6" s="3" t="s">
        <v>2807</v>
      </c>
      <c r="D6" s="5">
        <v>128</v>
      </c>
      <c r="E6" s="5">
        <v>300</v>
      </c>
      <c r="F6" s="3" t="b">
        <f>TRUE()</f>
        <v>1</v>
      </c>
    </row>
    <row r="7" spans="1:6" ht="15" customHeight="1" x14ac:dyDescent="0.35">
      <c r="A7" s="3" t="s">
        <v>347</v>
      </c>
      <c r="B7" s="3" t="s">
        <v>2812</v>
      </c>
      <c r="C7" s="3" t="s">
        <v>2807</v>
      </c>
      <c r="D7" s="5">
        <v>2865</v>
      </c>
      <c r="E7" s="5">
        <v>3970</v>
      </c>
      <c r="F7" s="3" t="b">
        <f>TRUE()</f>
        <v>1</v>
      </c>
    </row>
    <row r="8" spans="1:6" ht="15" customHeight="1" x14ac:dyDescent="0.35">
      <c r="A8" s="3" t="s">
        <v>59</v>
      </c>
      <c r="B8" s="3" t="s">
        <v>2813</v>
      </c>
      <c r="C8" s="3" t="s">
        <v>2807</v>
      </c>
      <c r="D8" s="5">
        <v>861</v>
      </c>
      <c r="E8" s="5">
        <v>1430</v>
      </c>
      <c r="F8" s="3" t="b">
        <f>TRUE()</f>
        <v>1</v>
      </c>
    </row>
    <row r="9" spans="1:6" ht="15" customHeight="1" x14ac:dyDescent="0.35">
      <c r="A9" s="3" t="s">
        <v>218</v>
      </c>
      <c r="B9" s="3" t="s">
        <v>2814</v>
      </c>
      <c r="C9" s="3" t="s">
        <v>2807</v>
      </c>
      <c r="D9" s="5">
        <v>1259</v>
      </c>
      <c r="E9" s="5">
        <v>2660</v>
      </c>
      <c r="F9" s="3" t="b">
        <f>FALSE()</f>
        <v>0</v>
      </c>
    </row>
    <row r="10" spans="1:6" ht="15" customHeight="1" x14ac:dyDescent="0.35">
      <c r="A10" s="3" t="s">
        <v>206</v>
      </c>
      <c r="B10" s="3" t="s">
        <v>2815</v>
      </c>
      <c r="C10" s="3" t="s">
        <v>2807</v>
      </c>
      <c r="D10" s="5">
        <v>517</v>
      </c>
      <c r="E10" s="5">
        <v>1220</v>
      </c>
      <c r="F10" s="3" t="b">
        <f>TRUE()</f>
        <v>1</v>
      </c>
    </row>
    <row r="11" spans="1:6" ht="15" customHeight="1" x14ac:dyDescent="0.35">
      <c r="A11" s="3" t="s">
        <v>74</v>
      </c>
      <c r="B11" s="3" t="s">
        <v>2816</v>
      </c>
      <c r="C11" s="3" t="s">
        <v>2807</v>
      </c>
      <c r="D11" s="5">
        <v>1149</v>
      </c>
      <c r="E11" s="5">
        <v>2640</v>
      </c>
      <c r="F11" s="3" t="b">
        <f>TRUE()</f>
        <v>1</v>
      </c>
    </row>
    <row r="12" spans="1:6" ht="15" customHeight="1" x14ac:dyDescent="0.35">
      <c r="A12" s="3" t="s">
        <v>391</v>
      </c>
      <c r="B12" s="3" t="s">
        <v>2817</v>
      </c>
      <c r="C12" s="3" t="s">
        <v>2818</v>
      </c>
      <c r="D12" s="5">
        <v>1748</v>
      </c>
      <c r="E12" s="5">
        <v>3450</v>
      </c>
      <c r="F12" s="3" t="b">
        <f>TRUE()</f>
        <v>1</v>
      </c>
    </row>
    <row r="13" spans="1:6" ht="15" customHeight="1" x14ac:dyDescent="0.35">
      <c r="A13" s="3" t="s">
        <v>45</v>
      </c>
      <c r="B13" s="3" t="s">
        <v>2819</v>
      </c>
      <c r="C13" s="3" t="s">
        <v>2818</v>
      </c>
      <c r="D13" s="5">
        <v>1886</v>
      </c>
      <c r="E13" s="5">
        <v>3160</v>
      </c>
      <c r="F13" s="3" t="b">
        <f>TRUE()</f>
        <v>1</v>
      </c>
    </row>
    <row r="14" spans="1:6" ht="15" customHeight="1" x14ac:dyDescent="0.35">
      <c r="A14" s="3" t="s">
        <v>176</v>
      </c>
      <c r="B14" s="3" t="s">
        <v>2820</v>
      </c>
      <c r="C14" s="3" t="s">
        <v>2818</v>
      </c>
      <c r="D14" s="5">
        <v>2611</v>
      </c>
      <c r="E14" s="5">
        <v>3640</v>
      </c>
      <c r="F14" s="3" t="b">
        <f>TRUE()</f>
        <v>1</v>
      </c>
    </row>
    <row r="15" spans="1:6" ht="15" customHeight="1" x14ac:dyDescent="0.35">
      <c r="A15" s="3" t="s">
        <v>24</v>
      </c>
      <c r="B15" s="3" t="s">
        <v>2821</v>
      </c>
      <c r="C15" s="3" t="s">
        <v>2818</v>
      </c>
      <c r="D15" s="5">
        <v>2509</v>
      </c>
      <c r="E15" s="5">
        <v>3620</v>
      </c>
      <c r="F15" s="3" t="b">
        <f>TRUE()</f>
        <v>1</v>
      </c>
    </row>
    <row r="16" spans="1:6" ht="15" customHeight="1" x14ac:dyDescent="0.35">
      <c r="A16" s="3" t="s">
        <v>112</v>
      </c>
      <c r="B16" s="3" t="s">
        <v>2822</v>
      </c>
      <c r="C16" s="3" t="s">
        <v>2818</v>
      </c>
      <c r="D16" s="5">
        <v>1962</v>
      </c>
      <c r="E16" s="5">
        <v>2720</v>
      </c>
      <c r="F16" s="3" t="b">
        <f>TRUE()</f>
        <v>1</v>
      </c>
    </row>
    <row r="17" spans="1:6" ht="15" customHeight="1" x14ac:dyDescent="0.35">
      <c r="A17" s="3" t="s">
        <v>231</v>
      </c>
      <c r="B17" s="3" t="s">
        <v>2823</v>
      </c>
      <c r="C17" s="3" t="s">
        <v>2818</v>
      </c>
      <c r="D17" s="5">
        <v>396</v>
      </c>
      <c r="E17" s="5">
        <v>620</v>
      </c>
      <c r="F17" s="3" t="b">
        <f>TRUE()</f>
        <v>1</v>
      </c>
    </row>
    <row r="18" spans="1:6" ht="15" customHeight="1" x14ac:dyDescent="0.35">
      <c r="A18" s="3" t="s">
        <v>294</v>
      </c>
      <c r="B18" s="3" t="s">
        <v>2824</v>
      </c>
      <c r="C18" s="3" t="s">
        <v>2818</v>
      </c>
      <c r="D18" s="5">
        <v>1075</v>
      </c>
      <c r="E18" s="5">
        <v>2510</v>
      </c>
      <c r="F18" s="3" t="b">
        <f>FALSE()</f>
        <v>0</v>
      </c>
    </row>
    <row r="19" spans="1:6" ht="15" customHeight="1" x14ac:dyDescent="0.35">
      <c r="A19" s="3" t="s">
        <v>598</v>
      </c>
      <c r="B19" s="3" t="s">
        <v>2825</v>
      </c>
      <c r="C19" s="3" t="s">
        <v>2818</v>
      </c>
      <c r="D19" s="5">
        <v>2629</v>
      </c>
      <c r="E19" s="5">
        <v>3560</v>
      </c>
      <c r="F19" s="3" t="b">
        <f>TRUE()</f>
        <v>1</v>
      </c>
    </row>
    <row r="20" spans="1:6" ht="15" customHeight="1" x14ac:dyDescent="0.35">
      <c r="A20" s="3" t="s">
        <v>106</v>
      </c>
      <c r="B20" s="3" t="s">
        <v>2826</v>
      </c>
      <c r="C20" s="3" t="s">
        <v>2818</v>
      </c>
      <c r="D20" s="5">
        <v>1173</v>
      </c>
      <c r="E20" s="5">
        <v>2480</v>
      </c>
      <c r="F20" s="3" t="b">
        <f>TRUE()</f>
        <v>1</v>
      </c>
    </row>
    <row r="21" spans="1:6" ht="15" customHeight="1" x14ac:dyDescent="0.35">
      <c r="A21" s="3" t="s">
        <v>30</v>
      </c>
      <c r="B21" s="3" t="s">
        <v>2827</v>
      </c>
      <c r="C21" s="3" t="s">
        <v>2818</v>
      </c>
      <c r="D21" s="5">
        <v>391</v>
      </c>
      <c r="E21" s="5">
        <v>820</v>
      </c>
      <c r="F21" s="3" t="b">
        <f>TRUE()</f>
        <v>1</v>
      </c>
    </row>
    <row r="22" spans="1:6" ht="15" customHeight="1" x14ac:dyDescent="0.35">
      <c r="A22" s="3" t="s">
        <v>139</v>
      </c>
      <c r="B22" s="3" t="s">
        <v>2828</v>
      </c>
      <c r="C22" s="3" t="s">
        <v>2829</v>
      </c>
      <c r="D22" s="5">
        <v>1435</v>
      </c>
      <c r="E22" s="5">
        <v>2760</v>
      </c>
      <c r="F22" s="3" t="b">
        <f>TRUE()</f>
        <v>1</v>
      </c>
    </row>
    <row r="23" spans="1:6" ht="15" customHeight="1" x14ac:dyDescent="0.35">
      <c r="A23" s="3" t="s">
        <v>184</v>
      </c>
      <c r="B23" s="3" t="s">
        <v>2830</v>
      </c>
      <c r="C23" s="3" t="s">
        <v>2829</v>
      </c>
      <c r="D23" s="5">
        <v>1412</v>
      </c>
      <c r="E23" s="5">
        <v>2270</v>
      </c>
      <c r="F23" s="3" t="b">
        <f>TRUE()</f>
        <v>1</v>
      </c>
    </row>
    <row r="24" spans="1:6" ht="15" customHeight="1" x14ac:dyDescent="0.35">
      <c r="A24" s="3" t="s">
        <v>306</v>
      </c>
      <c r="B24" s="3" t="s">
        <v>2831</v>
      </c>
      <c r="C24" s="3" t="s">
        <v>2829</v>
      </c>
      <c r="D24" s="5">
        <v>1182</v>
      </c>
      <c r="E24" s="5">
        <v>2380</v>
      </c>
      <c r="F24" s="3" t="b">
        <f>TRUE()</f>
        <v>1</v>
      </c>
    </row>
    <row r="25" spans="1:6" ht="15" customHeight="1" x14ac:dyDescent="0.35">
      <c r="A25" s="3" t="s">
        <v>70</v>
      </c>
      <c r="B25" s="3" t="s">
        <v>2832</v>
      </c>
      <c r="C25" s="3" t="s">
        <v>2829</v>
      </c>
      <c r="D25" s="5">
        <v>1203</v>
      </c>
      <c r="E25" s="5">
        <v>2270</v>
      </c>
      <c r="F25" s="3" t="b">
        <f>TRUE()</f>
        <v>1</v>
      </c>
    </row>
    <row r="26" spans="1:6" ht="15" customHeight="1" x14ac:dyDescent="0.35">
      <c r="A26" s="3" t="s">
        <v>290</v>
      </c>
      <c r="B26" s="3" t="s">
        <v>2833</v>
      </c>
      <c r="C26" s="3" t="s">
        <v>2829</v>
      </c>
      <c r="D26" s="5">
        <v>2911</v>
      </c>
      <c r="E26" s="5">
        <v>4060</v>
      </c>
      <c r="F26" s="3" t="b">
        <f>TRUE()</f>
        <v>1</v>
      </c>
    </row>
    <row r="27" spans="1:6" ht="15" customHeight="1" x14ac:dyDescent="0.35">
      <c r="A27" s="3" t="s">
        <v>203</v>
      </c>
      <c r="B27" s="3" t="s">
        <v>2834</v>
      </c>
      <c r="C27" s="3" t="s">
        <v>2829</v>
      </c>
      <c r="D27" s="5">
        <v>2027</v>
      </c>
      <c r="E27" s="5">
        <v>4070</v>
      </c>
      <c r="F27" s="3" t="b">
        <f>TRUE()</f>
        <v>1</v>
      </c>
    </row>
    <row r="28" spans="1:6" ht="15" customHeight="1" x14ac:dyDescent="0.35">
      <c r="A28" s="3" t="s">
        <v>173</v>
      </c>
      <c r="B28" s="3" t="s">
        <v>2835</v>
      </c>
      <c r="C28" s="3" t="s">
        <v>2829</v>
      </c>
      <c r="D28" s="5">
        <v>2436</v>
      </c>
      <c r="E28" s="5">
        <v>3780</v>
      </c>
      <c r="F28" s="3" t="b">
        <f>TRUE()</f>
        <v>1</v>
      </c>
    </row>
    <row r="29" spans="1:6" ht="15" customHeight="1" x14ac:dyDescent="0.35">
      <c r="A29" s="3" t="s">
        <v>41</v>
      </c>
      <c r="B29" s="3" t="s">
        <v>2836</v>
      </c>
      <c r="C29" s="3" t="s">
        <v>2829</v>
      </c>
      <c r="D29" s="5">
        <v>2214</v>
      </c>
      <c r="E29" s="5">
        <v>3660</v>
      </c>
      <c r="F29" s="3" t="b">
        <f>FALSE()</f>
        <v>0</v>
      </c>
    </row>
    <row r="30" spans="1:6" ht="15" customHeight="1" x14ac:dyDescent="0.35">
      <c r="A30" s="3" t="s">
        <v>277</v>
      </c>
      <c r="B30" s="3" t="s">
        <v>2837</v>
      </c>
      <c r="C30" s="3" t="s">
        <v>2829</v>
      </c>
      <c r="D30" s="5">
        <v>1010</v>
      </c>
      <c r="E30" s="5">
        <v>2210</v>
      </c>
      <c r="F30" s="3" t="b">
        <f>TRUE()</f>
        <v>1</v>
      </c>
    </row>
    <row r="31" spans="1:6" ht="15" customHeight="1" x14ac:dyDescent="0.35">
      <c r="A31" s="3" t="s">
        <v>66</v>
      </c>
      <c r="B31" s="3" t="s">
        <v>2838</v>
      </c>
      <c r="C31" s="3" t="s">
        <v>2829</v>
      </c>
      <c r="D31" s="5">
        <v>434</v>
      </c>
      <c r="E31" s="5">
        <v>970</v>
      </c>
      <c r="F31" s="3" t="b">
        <f>TRUE()</f>
        <v>1</v>
      </c>
    </row>
    <row r="32" spans="1:6" ht="15" customHeight="1" x14ac:dyDescent="0.35">
      <c r="A32" s="3" t="s">
        <v>165</v>
      </c>
      <c r="B32" s="3" t="s">
        <v>2839</v>
      </c>
      <c r="C32" s="3" t="s">
        <v>2840</v>
      </c>
      <c r="D32" s="5">
        <v>2135</v>
      </c>
      <c r="E32" s="5">
        <v>3730</v>
      </c>
      <c r="F32" s="3" t="b">
        <f>TRUE()</f>
        <v>1</v>
      </c>
    </row>
    <row r="33" spans="1:6" ht="15" customHeight="1" x14ac:dyDescent="0.35">
      <c r="A33" s="3" t="s">
        <v>49</v>
      </c>
      <c r="B33" s="3" t="s">
        <v>2841</v>
      </c>
      <c r="C33" s="3" t="s">
        <v>2840</v>
      </c>
      <c r="D33" s="5">
        <v>288</v>
      </c>
      <c r="E33" s="5">
        <v>370</v>
      </c>
      <c r="F33" s="3" t="b">
        <f>TRUE()</f>
        <v>1</v>
      </c>
    </row>
    <row r="34" spans="1:6" ht="15" customHeight="1" x14ac:dyDescent="0.35">
      <c r="A34" s="3" t="s">
        <v>234</v>
      </c>
      <c r="B34" s="3" t="s">
        <v>2842</v>
      </c>
      <c r="C34" s="3" t="s">
        <v>2840</v>
      </c>
      <c r="D34" s="5">
        <v>1143</v>
      </c>
      <c r="E34" s="5">
        <v>2030</v>
      </c>
      <c r="F34" s="3" t="b">
        <f>TRUE()</f>
        <v>1</v>
      </c>
    </row>
    <row r="35" spans="1:6" ht="15" customHeight="1" x14ac:dyDescent="0.35">
      <c r="A35" s="3" t="s">
        <v>382</v>
      </c>
      <c r="B35" s="3" t="s">
        <v>2843</v>
      </c>
      <c r="C35" s="3" t="s">
        <v>2840</v>
      </c>
      <c r="D35" s="5">
        <v>2459</v>
      </c>
      <c r="E35" s="5">
        <v>5080</v>
      </c>
      <c r="F35" s="3" t="b">
        <f>TRUE()</f>
        <v>1</v>
      </c>
    </row>
    <row r="36" spans="1:6" ht="15" customHeight="1" x14ac:dyDescent="0.35">
      <c r="A36" s="3" t="s">
        <v>441</v>
      </c>
      <c r="B36" s="3" t="s">
        <v>2844</v>
      </c>
      <c r="C36" s="3" t="s">
        <v>2840</v>
      </c>
      <c r="D36" s="5">
        <v>464</v>
      </c>
      <c r="E36" s="5">
        <v>1090</v>
      </c>
      <c r="F36" s="3" t="b">
        <f>TRUE()</f>
        <v>1</v>
      </c>
    </row>
    <row r="37" spans="1:6" ht="15" customHeight="1" x14ac:dyDescent="0.35">
      <c r="A37" s="3" t="s">
        <v>82</v>
      </c>
      <c r="B37" s="3" t="s">
        <v>2845</v>
      </c>
      <c r="C37" s="3" t="s">
        <v>2840</v>
      </c>
      <c r="D37" s="5">
        <v>1556</v>
      </c>
      <c r="E37" s="5">
        <v>3250</v>
      </c>
      <c r="F37" s="3" t="b">
        <f>TRUE()</f>
        <v>1</v>
      </c>
    </row>
    <row r="38" spans="1:6" ht="15" customHeight="1" x14ac:dyDescent="0.35">
      <c r="A38" s="3" t="s">
        <v>142</v>
      </c>
      <c r="B38" s="3" t="s">
        <v>2846</v>
      </c>
      <c r="C38" s="3" t="s">
        <v>2840</v>
      </c>
      <c r="D38" s="5">
        <v>329</v>
      </c>
      <c r="E38" s="5">
        <v>660</v>
      </c>
      <c r="F38" s="3" t="b">
        <f>TRUE()</f>
        <v>1</v>
      </c>
    </row>
    <row r="39" spans="1:6" ht="15" customHeight="1" x14ac:dyDescent="0.35">
      <c r="A39" s="3" t="s">
        <v>63</v>
      </c>
      <c r="B39" s="3" t="s">
        <v>2847</v>
      </c>
      <c r="C39" s="3" t="s">
        <v>2840</v>
      </c>
      <c r="D39" s="5">
        <v>2549</v>
      </c>
      <c r="E39" s="5">
        <v>5490</v>
      </c>
      <c r="F39" s="3" t="b">
        <f>TRUE()</f>
        <v>1</v>
      </c>
    </row>
    <row r="40" spans="1:6" ht="15" customHeight="1" x14ac:dyDescent="0.35">
      <c r="A40" s="3" t="s">
        <v>209</v>
      </c>
      <c r="B40" s="3" t="s">
        <v>2848</v>
      </c>
      <c r="C40" s="3" t="s">
        <v>2840</v>
      </c>
      <c r="D40" s="5">
        <v>1850</v>
      </c>
      <c r="E40" s="5">
        <v>4610</v>
      </c>
      <c r="F40" s="3" t="b">
        <f>TRUE()</f>
        <v>1</v>
      </c>
    </row>
    <row r="41" spans="1:6" ht="15" customHeight="1" x14ac:dyDescent="0.35">
      <c r="A41" s="3" t="s">
        <v>103</v>
      </c>
      <c r="B41" s="3" t="s">
        <v>2849</v>
      </c>
      <c r="C41" s="3" t="s">
        <v>2840</v>
      </c>
      <c r="D41" s="5">
        <v>519</v>
      </c>
      <c r="E41" s="5">
        <v>1080</v>
      </c>
      <c r="F41" s="3" t="b">
        <f>TRUE()</f>
        <v>1</v>
      </c>
    </row>
    <row r="42" spans="1:6" ht="15" customHeight="1" x14ac:dyDescent="0.35">
      <c r="A42" s="3" t="s">
        <v>198</v>
      </c>
      <c r="B42" s="3" t="s">
        <v>2850</v>
      </c>
      <c r="C42" s="3" t="s">
        <v>2851</v>
      </c>
      <c r="D42" s="5">
        <v>647</v>
      </c>
      <c r="E42" s="5">
        <v>1540</v>
      </c>
      <c r="F42" s="3" t="b">
        <f>FALSE()</f>
        <v>0</v>
      </c>
    </row>
    <row r="43" spans="1:6" ht="15" customHeight="1" x14ac:dyDescent="0.35">
      <c r="A43" s="3" t="s">
        <v>325</v>
      </c>
      <c r="B43" s="3" t="s">
        <v>2852</v>
      </c>
      <c r="C43" s="3" t="s">
        <v>2851</v>
      </c>
      <c r="D43" s="5">
        <v>1219</v>
      </c>
      <c r="E43" s="5">
        <v>2290</v>
      </c>
      <c r="F43" s="3" t="b">
        <f>TRUE()</f>
        <v>1</v>
      </c>
    </row>
    <row r="44" spans="1:6" ht="15" customHeight="1" x14ac:dyDescent="0.35">
      <c r="A44" s="3" t="s">
        <v>118</v>
      </c>
      <c r="B44" s="3" t="s">
        <v>2853</v>
      </c>
      <c r="C44" s="3" t="s">
        <v>2851</v>
      </c>
      <c r="D44" s="5">
        <v>1728</v>
      </c>
      <c r="E44" s="5">
        <v>3350</v>
      </c>
      <c r="F44" s="3" t="b">
        <f>TRUE()</f>
        <v>1</v>
      </c>
    </row>
    <row r="45" spans="1:6" ht="15" customHeight="1" x14ac:dyDescent="0.35">
      <c r="A45" s="3" t="s">
        <v>115</v>
      </c>
      <c r="B45" s="3" t="s">
        <v>2854</v>
      </c>
      <c r="C45" s="3" t="s">
        <v>2851</v>
      </c>
      <c r="D45" s="5">
        <v>1222</v>
      </c>
      <c r="E45" s="5">
        <v>1650</v>
      </c>
      <c r="F45" s="3" t="b">
        <f>TRUE()</f>
        <v>1</v>
      </c>
    </row>
    <row r="46" spans="1:6" ht="15" customHeight="1" x14ac:dyDescent="0.35">
      <c r="A46" s="3" t="s">
        <v>215</v>
      </c>
      <c r="B46" s="3" t="s">
        <v>2855</v>
      </c>
      <c r="C46" s="3" t="s">
        <v>2851</v>
      </c>
      <c r="D46" s="5">
        <v>1626</v>
      </c>
      <c r="E46" s="5">
        <v>3020</v>
      </c>
      <c r="F46" s="3" t="b">
        <f>TRUE()</f>
        <v>1</v>
      </c>
    </row>
    <row r="47" spans="1:6" ht="15" customHeight="1" x14ac:dyDescent="0.35">
      <c r="A47" s="3" t="s">
        <v>123</v>
      </c>
      <c r="B47" s="3" t="s">
        <v>2856</v>
      </c>
      <c r="C47" s="3" t="s">
        <v>2851</v>
      </c>
      <c r="D47" s="5">
        <v>2768</v>
      </c>
      <c r="E47" s="5">
        <v>4880</v>
      </c>
      <c r="F47" s="3" t="b">
        <f>TRUE()</f>
        <v>1</v>
      </c>
    </row>
    <row r="48" spans="1:6" ht="15" customHeight="1" x14ac:dyDescent="0.35">
      <c r="A48" s="3" t="s">
        <v>96</v>
      </c>
      <c r="B48" s="3" t="s">
        <v>2857</v>
      </c>
      <c r="C48" s="3" t="s">
        <v>2851</v>
      </c>
      <c r="D48" s="5">
        <v>2420</v>
      </c>
      <c r="E48" s="5">
        <v>3450</v>
      </c>
      <c r="F48" s="3" t="b">
        <f>TRUE()</f>
        <v>1</v>
      </c>
    </row>
    <row r="49" spans="1:6" ht="15" customHeight="1" x14ac:dyDescent="0.35">
      <c r="A49" s="3" t="s">
        <v>130</v>
      </c>
      <c r="B49" s="3" t="s">
        <v>2858</v>
      </c>
      <c r="C49" s="3" t="s">
        <v>2851</v>
      </c>
      <c r="D49" s="5">
        <v>2237</v>
      </c>
      <c r="E49" s="5">
        <v>5100</v>
      </c>
      <c r="F49" s="3" t="b">
        <f>TRUE()</f>
        <v>1</v>
      </c>
    </row>
    <row r="50" spans="1:6" ht="15" customHeight="1" x14ac:dyDescent="0.35">
      <c r="A50" s="3" t="s">
        <v>319</v>
      </c>
      <c r="B50" s="3" t="s">
        <v>2859</v>
      </c>
      <c r="C50" s="3" t="s">
        <v>2851</v>
      </c>
      <c r="D50" s="5">
        <v>675</v>
      </c>
      <c r="E50" s="5">
        <v>960</v>
      </c>
      <c r="F50" s="3" t="b">
        <f>TRUE()</f>
        <v>1</v>
      </c>
    </row>
    <row r="51" spans="1:6" ht="15" customHeight="1" x14ac:dyDescent="0.35">
      <c r="A51" s="3" t="s">
        <v>180</v>
      </c>
      <c r="B51" s="3" t="s">
        <v>2860</v>
      </c>
      <c r="C51" s="3" t="s">
        <v>2851</v>
      </c>
      <c r="D51" s="5">
        <v>2617</v>
      </c>
      <c r="E51" s="5">
        <v>6080</v>
      </c>
      <c r="F51" s="3" t="b">
        <f>TRUE()</f>
        <v>1</v>
      </c>
    </row>
    <row r="52" spans="1:6" ht="15" customHeight="1" x14ac:dyDescent="0.35">
      <c r="A52" s="3" t="s">
        <v>100</v>
      </c>
      <c r="B52" s="3" t="s">
        <v>2861</v>
      </c>
      <c r="C52" s="3" t="s">
        <v>2862</v>
      </c>
      <c r="D52" s="5">
        <v>2467</v>
      </c>
      <c r="E52" s="5">
        <v>3450</v>
      </c>
      <c r="F52" s="3" t="b">
        <f>TRUE()</f>
        <v>1</v>
      </c>
    </row>
    <row r="53" spans="1:6" ht="15" customHeight="1" x14ac:dyDescent="0.35">
      <c r="A53" s="3" t="s">
        <v>299</v>
      </c>
      <c r="B53" s="3" t="s">
        <v>2863</v>
      </c>
      <c r="C53" s="3" t="s">
        <v>2862</v>
      </c>
      <c r="D53" s="5">
        <v>2265</v>
      </c>
      <c r="E53" s="5">
        <v>5410</v>
      </c>
      <c r="F53" s="3" t="b">
        <f>TRUE()</f>
        <v>1</v>
      </c>
    </row>
    <row r="54" spans="1:6" ht="15" customHeight="1" x14ac:dyDescent="0.35">
      <c r="A54" s="3" t="s">
        <v>36</v>
      </c>
      <c r="B54" s="3" t="s">
        <v>2864</v>
      </c>
      <c r="C54" s="3" t="s">
        <v>2862</v>
      </c>
      <c r="D54" s="5">
        <v>302</v>
      </c>
      <c r="E54" s="5">
        <v>470</v>
      </c>
      <c r="F54" s="3" t="b">
        <f>FALSE()</f>
        <v>0</v>
      </c>
    </row>
    <row r="55" spans="1:6" ht="15" customHeight="1" x14ac:dyDescent="0.35">
      <c r="A55" s="3" t="s">
        <v>121</v>
      </c>
      <c r="B55" s="3" t="s">
        <v>2865</v>
      </c>
      <c r="C55" s="3" t="s">
        <v>2862</v>
      </c>
      <c r="D55" s="5">
        <v>516</v>
      </c>
      <c r="E55" s="5">
        <v>1010</v>
      </c>
      <c r="F55" s="3" t="b">
        <f>TRUE()</f>
        <v>1</v>
      </c>
    </row>
    <row r="56" spans="1:6" ht="15" customHeight="1" x14ac:dyDescent="0.35">
      <c r="A56" s="3" t="s">
        <v>134</v>
      </c>
      <c r="B56" s="3" t="s">
        <v>2866</v>
      </c>
      <c r="C56" s="3" t="s">
        <v>2862</v>
      </c>
      <c r="D56" s="5">
        <v>2028</v>
      </c>
      <c r="E56" s="5">
        <v>2860</v>
      </c>
      <c r="F56" s="3" t="b">
        <f>TRUE()</f>
        <v>1</v>
      </c>
    </row>
    <row r="57" spans="1:6" ht="15" customHeight="1" x14ac:dyDescent="0.35">
      <c r="A57" s="3" t="s">
        <v>454</v>
      </c>
      <c r="B57" s="3" t="s">
        <v>2867</v>
      </c>
      <c r="C57" s="3" t="s">
        <v>2862</v>
      </c>
      <c r="D57" s="5">
        <v>2827</v>
      </c>
      <c r="E57" s="5">
        <v>6940</v>
      </c>
      <c r="F57" s="3" t="b">
        <f>TRUE()</f>
        <v>1</v>
      </c>
    </row>
    <row r="58" spans="1:6" ht="15" customHeight="1" x14ac:dyDescent="0.35">
      <c r="A58" s="3" t="s">
        <v>54</v>
      </c>
      <c r="B58" s="3" t="s">
        <v>2868</v>
      </c>
      <c r="C58" s="3" t="s">
        <v>2862</v>
      </c>
      <c r="D58" s="5">
        <v>705</v>
      </c>
      <c r="E58" s="5">
        <v>960</v>
      </c>
      <c r="F58" s="3" t="b">
        <f>TRUE()</f>
        <v>1</v>
      </c>
    </row>
    <row r="59" spans="1:6" ht="15" customHeight="1" x14ac:dyDescent="0.35">
      <c r="A59" s="3" t="s">
        <v>90</v>
      </c>
      <c r="B59" s="3" t="s">
        <v>2869</v>
      </c>
      <c r="C59" s="3" t="s">
        <v>2862</v>
      </c>
      <c r="D59" s="5">
        <v>974</v>
      </c>
      <c r="E59" s="5">
        <v>2400</v>
      </c>
      <c r="F59" s="3" t="b">
        <f>TRUE()</f>
        <v>1</v>
      </c>
    </row>
    <row r="60" spans="1:6" ht="15" customHeight="1" x14ac:dyDescent="0.35">
      <c r="A60" s="3" t="s">
        <v>400</v>
      </c>
      <c r="B60" s="3" t="s">
        <v>2870</v>
      </c>
      <c r="C60" s="3" t="s">
        <v>2862</v>
      </c>
      <c r="D60" s="5">
        <v>1860</v>
      </c>
      <c r="E60" s="5">
        <v>3780</v>
      </c>
      <c r="F60" s="3" t="b">
        <f>TRUE()</f>
        <v>1</v>
      </c>
    </row>
    <row r="61" spans="1:6" ht="15" customHeight="1" x14ac:dyDescent="0.35">
      <c r="A61" s="3" t="s">
        <v>86</v>
      </c>
      <c r="B61" s="3" t="s">
        <v>2871</v>
      </c>
      <c r="C61" s="3" t="s">
        <v>2862</v>
      </c>
      <c r="D61" s="5">
        <v>147</v>
      </c>
      <c r="E61" s="5">
        <v>190</v>
      </c>
      <c r="F61" s="3" t="b">
        <f>TRUE()</f>
        <v>1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E31"/>
  <sheetViews>
    <sheetView zoomScaleNormal="100" workbookViewId="0">
      <pane ySplit="1" topLeftCell="A2" activePane="bottomLeft" state="frozen"/>
      <selection pane="bottomLeft"/>
    </sheetView>
  </sheetViews>
  <sheetFormatPr defaultColWidth="8.7265625" defaultRowHeight="15" customHeight="1" x14ac:dyDescent="0.35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ht="15" customHeight="1" x14ac:dyDescent="0.35">
      <c r="A1" s="2" t="s">
        <v>2872</v>
      </c>
      <c r="B1" s="2" t="s">
        <v>2873</v>
      </c>
      <c r="C1" s="2" t="s">
        <v>2874</v>
      </c>
      <c r="D1" s="2" t="s">
        <v>2875</v>
      </c>
      <c r="E1" s="2" t="s">
        <v>2876</v>
      </c>
    </row>
    <row r="2" spans="1:5" ht="15" customHeight="1" x14ac:dyDescent="0.35">
      <c r="A2" s="3" t="s">
        <v>154</v>
      </c>
      <c r="B2" s="3" t="s">
        <v>2877</v>
      </c>
      <c r="C2" s="3" t="s">
        <v>2878</v>
      </c>
      <c r="D2" s="4">
        <v>44207</v>
      </c>
      <c r="E2" s="3"/>
    </row>
    <row r="3" spans="1:5" ht="15" customHeight="1" x14ac:dyDescent="0.35">
      <c r="A3" s="3" t="s">
        <v>236</v>
      </c>
      <c r="B3" s="3" t="s">
        <v>2879</v>
      </c>
      <c r="C3" s="3" t="s">
        <v>2878</v>
      </c>
      <c r="D3" s="4">
        <v>44028</v>
      </c>
      <c r="E3" s="3"/>
    </row>
    <row r="4" spans="1:5" ht="15" customHeight="1" x14ac:dyDescent="0.35">
      <c r="A4" s="3" t="s">
        <v>87</v>
      </c>
      <c r="B4" s="3" t="s">
        <v>2880</v>
      </c>
      <c r="C4" s="3" t="s">
        <v>2878</v>
      </c>
      <c r="D4" s="4">
        <v>43651</v>
      </c>
      <c r="E4" s="3"/>
    </row>
    <row r="5" spans="1:5" ht="15" customHeight="1" x14ac:dyDescent="0.35">
      <c r="A5" s="3" t="s">
        <v>78</v>
      </c>
      <c r="B5" s="3" t="s">
        <v>2881</v>
      </c>
      <c r="C5" s="3" t="s">
        <v>2878</v>
      </c>
      <c r="D5" s="4">
        <v>44907</v>
      </c>
      <c r="E5" s="3"/>
    </row>
    <row r="6" spans="1:5" ht="15" customHeight="1" x14ac:dyDescent="0.35">
      <c r="A6" s="3" t="s">
        <v>31</v>
      </c>
      <c r="B6" s="3" t="s">
        <v>2882</v>
      </c>
      <c r="C6" s="3" t="s">
        <v>2878</v>
      </c>
      <c r="D6" s="4">
        <v>43588</v>
      </c>
      <c r="E6" s="3" t="s">
        <v>154</v>
      </c>
    </row>
    <row r="7" spans="1:5" ht="15" customHeight="1" x14ac:dyDescent="0.35">
      <c r="A7" s="3" t="s">
        <v>42</v>
      </c>
      <c r="B7" s="3" t="s">
        <v>2796</v>
      </c>
      <c r="C7" s="3" t="s">
        <v>2878</v>
      </c>
      <c r="D7" s="4">
        <v>44131</v>
      </c>
      <c r="E7" s="3" t="s">
        <v>154</v>
      </c>
    </row>
    <row r="8" spans="1:5" ht="15" customHeight="1" x14ac:dyDescent="0.35">
      <c r="A8" s="3" t="s">
        <v>25</v>
      </c>
      <c r="B8" s="3" t="s">
        <v>2883</v>
      </c>
      <c r="C8" s="3" t="s">
        <v>2878</v>
      </c>
      <c r="D8" s="4">
        <v>43493</v>
      </c>
      <c r="E8" s="3" t="s">
        <v>154</v>
      </c>
    </row>
    <row r="9" spans="1:5" ht="15" customHeight="1" x14ac:dyDescent="0.35">
      <c r="A9" s="3" t="s">
        <v>46</v>
      </c>
      <c r="B9" s="3" t="s">
        <v>2785</v>
      </c>
      <c r="C9" s="3" t="s">
        <v>2878</v>
      </c>
      <c r="D9" s="4">
        <v>44693</v>
      </c>
      <c r="E9" s="3" t="s">
        <v>154</v>
      </c>
    </row>
    <row r="10" spans="1:5" ht="15" customHeight="1" x14ac:dyDescent="0.35">
      <c r="A10" s="3" t="s">
        <v>143</v>
      </c>
      <c r="B10" s="3" t="s">
        <v>2884</v>
      </c>
      <c r="C10" s="3" t="s">
        <v>2885</v>
      </c>
      <c r="D10" s="4">
        <v>44804</v>
      </c>
      <c r="E10" s="3" t="s">
        <v>236</v>
      </c>
    </row>
    <row r="11" spans="1:5" ht="15" customHeight="1" x14ac:dyDescent="0.35">
      <c r="A11" s="3" t="s">
        <v>71</v>
      </c>
      <c r="B11" s="3" t="s">
        <v>2886</v>
      </c>
      <c r="C11" s="3" t="s">
        <v>2885</v>
      </c>
      <c r="D11" s="4">
        <v>43904</v>
      </c>
      <c r="E11" s="3" t="s">
        <v>236</v>
      </c>
    </row>
    <row r="12" spans="1:5" ht="15" customHeight="1" x14ac:dyDescent="0.35">
      <c r="A12" s="3" t="s">
        <v>212</v>
      </c>
      <c r="B12" s="3" t="s">
        <v>2887</v>
      </c>
      <c r="C12" s="3" t="s">
        <v>2885</v>
      </c>
      <c r="D12" s="4">
        <v>44622</v>
      </c>
      <c r="E12" s="3" t="s">
        <v>236</v>
      </c>
    </row>
    <row r="13" spans="1:5" ht="15" customHeight="1" x14ac:dyDescent="0.35">
      <c r="A13" s="3" t="s">
        <v>264</v>
      </c>
      <c r="B13" s="3" t="s">
        <v>2888</v>
      </c>
      <c r="C13" s="3" t="s">
        <v>2885</v>
      </c>
      <c r="D13" s="4">
        <v>44890</v>
      </c>
      <c r="E13" s="3" t="s">
        <v>236</v>
      </c>
    </row>
    <row r="14" spans="1:5" ht="15" customHeight="1" x14ac:dyDescent="0.35">
      <c r="A14" s="3" t="s">
        <v>191</v>
      </c>
      <c r="B14" s="3" t="s">
        <v>2889</v>
      </c>
      <c r="C14" s="3" t="s">
        <v>2885</v>
      </c>
      <c r="D14" s="4">
        <v>45215</v>
      </c>
      <c r="E14" s="3" t="s">
        <v>236</v>
      </c>
    </row>
    <row r="15" spans="1:5" ht="15" customHeight="1" x14ac:dyDescent="0.35">
      <c r="A15" s="3" t="s">
        <v>37</v>
      </c>
      <c r="B15" s="3" t="s">
        <v>2890</v>
      </c>
      <c r="C15" s="3" t="s">
        <v>2885</v>
      </c>
      <c r="D15" s="4">
        <v>44469</v>
      </c>
      <c r="E15" s="3" t="s">
        <v>236</v>
      </c>
    </row>
    <row r="16" spans="1:5" ht="15" customHeight="1" x14ac:dyDescent="0.35">
      <c r="A16" s="3" t="s">
        <v>127</v>
      </c>
      <c r="B16" s="3" t="s">
        <v>2891</v>
      </c>
      <c r="C16" s="3" t="s">
        <v>2885</v>
      </c>
      <c r="D16" s="4">
        <v>45231</v>
      </c>
      <c r="E16" s="3" t="s">
        <v>236</v>
      </c>
    </row>
    <row r="17" spans="1:5" ht="15" customHeight="1" x14ac:dyDescent="0.35">
      <c r="A17" s="3" t="s">
        <v>285</v>
      </c>
      <c r="B17" s="3" t="s">
        <v>2892</v>
      </c>
      <c r="C17" s="3" t="s">
        <v>2885</v>
      </c>
      <c r="D17" s="4">
        <v>43614</v>
      </c>
      <c r="E17" s="3" t="s">
        <v>236</v>
      </c>
    </row>
    <row r="18" spans="1:5" ht="15" customHeight="1" x14ac:dyDescent="0.35">
      <c r="A18" s="3" t="s">
        <v>177</v>
      </c>
      <c r="B18" s="3" t="s">
        <v>2893</v>
      </c>
      <c r="C18" s="3" t="s">
        <v>2894</v>
      </c>
      <c r="D18" s="4">
        <v>43685</v>
      </c>
      <c r="E18" s="3" t="s">
        <v>87</v>
      </c>
    </row>
    <row r="19" spans="1:5" ht="15" customHeight="1" x14ac:dyDescent="0.35">
      <c r="A19" s="3" t="s">
        <v>242</v>
      </c>
      <c r="B19" s="3" t="s">
        <v>2895</v>
      </c>
      <c r="C19" s="3" t="s">
        <v>2894</v>
      </c>
      <c r="D19" s="4">
        <v>43428</v>
      </c>
      <c r="E19" s="3" t="s">
        <v>87</v>
      </c>
    </row>
    <row r="20" spans="1:5" ht="15" customHeight="1" x14ac:dyDescent="0.35">
      <c r="A20" s="3" t="s">
        <v>60</v>
      </c>
      <c r="B20" s="3" t="s">
        <v>2896</v>
      </c>
      <c r="C20" s="3" t="s">
        <v>2894</v>
      </c>
      <c r="D20" s="4">
        <v>43576</v>
      </c>
      <c r="E20" s="3" t="s">
        <v>87</v>
      </c>
    </row>
    <row r="21" spans="1:5" ht="15" customHeight="1" x14ac:dyDescent="0.35">
      <c r="A21" s="3" t="s">
        <v>131</v>
      </c>
      <c r="B21" s="3" t="s">
        <v>2897</v>
      </c>
      <c r="C21" s="3" t="s">
        <v>2894</v>
      </c>
      <c r="D21" s="4">
        <v>43254</v>
      </c>
      <c r="E21" s="3" t="s">
        <v>87</v>
      </c>
    </row>
    <row r="22" spans="1:5" ht="15" customHeight="1" x14ac:dyDescent="0.35">
      <c r="A22" s="3" t="s">
        <v>97</v>
      </c>
      <c r="B22" s="3" t="s">
        <v>2898</v>
      </c>
      <c r="C22" s="3" t="s">
        <v>2894</v>
      </c>
      <c r="D22" s="4">
        <v>43260</v>
      </c>
      <c r="E22" s="3" t="s">
        <v>87</v>
      </c>
    </row>
    <row r="23" spans="1:5" ht="15" customHeight="1" x14ac:dyDescent="0.35">
      <c r="A23" s="3" t="s">
        <v>224</v>
      </c>
      <c r="B23" s="3" t="s">
        <v>2899</v>
      </c>
      <c r="C23" s="3" t="s">
        <v>2894</v>
      </c>
      <c r="D23" s="4">
        <v>43146</v>
      </c>
      <c r="E23" s="3" t="s">
        <v>87</v>
      </c>
    </row>
    <row r="24" spans="1:5" ht="15" customHeight="1" x14ac:dyDescent="0.35">
      <c r="A24" s="3" t="s">
        <v>93</v>
      </c>
      <c r="B24" s="3" t="s">
        <v>2900</v>
      </c>
      <c r="C24" s="3" t="s">
        <v>2894</v>
      </c>
      <c r="D24" s="4">
        <v>44777</v>
      </c>
      <c r="E24" s="3" t="s">
        <v>87</v>
      </c>
    </row>
    <row r="25" spans="1:5" ht="15" customHeight="1" x14ac:dyDescent="0.35">
      <c r="A25" s="3" t="s">
        <v>55</v>
      </c>
      <c r="B25" s="3" t="s">
        <v>2901</v>
      </c>
      <c r="C25" s="3" t="s">
        <v>2902</v>
      </c>
      <c r="D25" s="4">
        <v>43371</v>
      </c>
      <c r="E25" s="3" t="s">
        <v>78</v>
      </c>
    </row>
    <row r="26" spans="1:5" ht="15" customHeight="1" x14ac:dyDescent="0.35">
      <c r="A26" s="3" t="s">
        <v>50</v>
      </c>
      <c r="B26" s="3" t="s">
        <v>2903</v>
      </c>
      <c r="C26" s="3" t="s">
        <v>2902</v>
      </c>
      <c r="D26" s="4">
        <v>43781</v>
      </c>
      <c r="E26" s="3" t="s">
        <v>78</v>
      </c>
    </row>
    <row r="27" spans="1:5" ht="15" customHeight="1" x14ac:dyDescent="0.35">
      <c r="A27" s="3" t="s">
        <v>140</v>
      </c>
      <c r="B27" s="3" t="s">
        <v>2904</v>
      </c>
      <c r="C27" s="3" t="s">
        <v>2902</v>
      </c>
      <c r="D27" s="4">
        <v>43570</v>
      </c>
      <c r="E27" s="3" t="s">
        <v>78</v>
      </c>
    </row>
    <row r="28" spans="1:5" ht="15" customHeight="1" x14ac:dyDescent="0.35">
      <c r="A28" s="3" t="s">
        <v>282</v>
      </c>
      <c r="B28" s="3" t="s">
        <v>2905</v>
      </c>
      <c r="C28" s="3" t="s">
        <v>2902</v>
      </c>
      <c r="D28" s="4">
        <v>45199</v>
      </c>
      <c r="E28" s="3" t="s">
        <v>78</v>
      </c>
    </row>
    <row r="29" spans="1:5" ht="15" customHeight="1" x14ac:dyDescent="0.35">
      <c r="A29" s="3" t="s">
        <v>67</v>
      </c>
      <c r="B29" s="3" t="s">
        <v>2906</v>
      </c>
      <c r="C29" s="3" t="s">
        <v>2902</v>
      </c>
      <c r="D29" s="4">
        <v>44898</v>
      </c>
      <c r="E29" s="3" t="s">
        <v>78</v>
      </c>
    </row>
    <row r="30" spans="1:5" ht="15" customHeight="1" x14ac:dyDescent="0.35">
      <c r="A30" s="3" t="s">
        <v>168</v>
      </c>
      <c r="B30" s="3" t="s">
        <v>2907</v>
      </c>
      <c r="C30" s="3" t="s">
        <v>2902</v>
      </c>
      <c r="D30" s="4">
        <v>45191</v>
      </c>
      <c r="E30" s="3" t="s">
        <v>78</v>
      </c>
    </row>
    <row r="31" spans="1:5" ht="15" customHeight="1" x14ac:dyDescent="0.35">
      <c r="A31" s="3" t="s">
        <v>109</v>
      </c>
      <c r="B31" s="3" t="s">
        <v>2908</v>
      </c>
      <c r="C31" s="3" t="s">
        <v>2902</v>
      </c>
      <c r="D31" s="4">
        <v>44506</v>
      </c>
      <c r="E31" s="3" t="s">
        <v>78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  <pageSetUpPr fitToPage="1"/>
  </sheetPr>
  <dimension ref="A1:M31"/>
  <sheetViews>
    <sheetView zoomScaleNormal="100" workbookViewId="0">
      <pane ySplit="1" topLeftCell="A2" activePane="bottomLeft" state="frozen"/>
      <selection pane="bottomLeft"/>
    </sheetView>
  </sheetViews>
  <sheetFormatPr defaultColWidth="8.7265625" defaultRowHeight="15" customHeight="1" x14ac:dyDescent="0.35"/>
  <cols>
    <col min="1" max="13" width="8" customWidth="1"/>
  </cols>
  <sheetData>
    <row r="1" spans="1:13" ht="15" customHeight="1" x14ac:dyDescent="0.35">
      <c r="A1" s="2" t="s">
        <v>2872</v>
      </c>
      <c r="B1" s="2" t="s">
        <v>2909</v>
      </c>
      <c r="C1" s="2" t="s">
        <v>2910</v>
      </c>
      <c r="D1" s="2" t="s">
        <v>2911</v>
      </c>
      <c r="E1" s="2" t="s">
        <v>2912</v>
      </c>
      <c r="F1" s="2" t="s">
        <v>2913</v>
      </c>
      <c r="G1" s="2" t="s">
        <v>2914</v>
      </c>
      <c r="H1" s="2" t="s">
        <v>2915</v>
      </c>
      <c r="I1" s="2" t="s">
        <v>2916</v>
      </c>
      <c r="J1" s="2" t="s">
        <v>2917</v>
      </c>
      <c r="K1" s="2" t="s">
        <v>2918</v>
      </c>
      <c r="L1" s="2" t="s">
        <v>2919</v>
      </c>
      <c r="M1" s="2" t="s">
        <v>2920</v>
      </c>
    </row>
    <row r="2" spans="1:13" ht="15" customHeight="1" x14ac:dyDescent="0.35">
      <c r="A2" s="3" t="s">
        <v>154</v>
      </c>
      <c r="B2" s="5">
        <v>231324</v>
      </c>
      <c r="C2" s="5">
        <v>171682</v>
      </c>
      <c r="D2" s="5">
        <v>234376</v>
      </c>
      <c r="E2" s="5">
        <v>326967</v>
      </c>
      <c r="F2" s="5">
        <v>350588</v>
      </c>
      <c r="G2" s="5">
        <v>385324</v>
      </c>
      <c r="H2" s="5">
        <v>307980</v>
      </c>
      <c r="I2" s="5">
        <v>327947</v>
      </c>
      <c r="J2" s="5">
        <v>181016</v>
      </c>
      <c r="K2" s="5">
        <v>374039</v>
      </c>
      <c r="L2" s="5">
        <v>212805</v>
      </c>
      <c r="M2" s="5">
        <v>405999</v>
      </c>
    </row>
    <row r="3" spans="1:13" ht="15" customHeight="1" x14ac:dyDescent="0.35">
      <c r="A3" s="3" t="s">
        <v>236</v>
      </c>
      <c r="B3" s="5">
        <v>438126</v>
      </c>
      <c r="C3" s="5">
        <v>346266</v>
      </c>
      <c r="D3" s="5">
        <v>329993</v>
      </c>
      <c r="E3" s="5">
        <v>370744</v>
      </c>
      <c r="F3" s="5">
        <v>294660</v>
      </c>
      <c r="G3" s="5">
        <v>341556</v>
      </c>
      <c r="H3" s="5">
        <v>151934</v>
      </c>
      <c r="I3" s="5">
        <v>223794</v>
      </c>
      <c r="J3" s="5">
        <v>438641</v>
      </c>
      <c r="K3" s="5">
        <v>344308</v>
      </c>
      <c r="L3" s="5">
        <v>296172</v>
      </c>
      <c r="M3" s="5">
        <v>304288</v>
      </c>
    </row>
    <row r="4" spans="1:13" ht="15" customHeight="1" x14ac:dyDescent="0.35">
      <c r="A4" s="3" t="s">
        <v>87</v>
      </c>
      <c r="B4" s="5">
        <v>358703</v>
      </c>
      <c r="C4" s="5">
        <v>320519</v>
      </c>
      <c r="D4" s="5">
        <v>327321</v>
      </c>
      <c r="E4" s="5">
        <v>298753</v>
      </c>
      <c r="F4" s="5">
        <v>254636</v>
      </c>
      <c r="G4" s="5">
        <v>351929</v>
      </c>
      <c r="H4" s="5">
        <v>264723</v>
      </c>
      <c r="I4" s="5">
        <v>216459</v>
      </c>
      <c r="J4" s="5">
        <v>391945</v>
      </c>
      <c r="K4" s="5">
        <v>362426</v>
      </c>
      <c r="L4" s="5">
        <v>289199</v>
      </c>
      <c r="M4" s="5">
        <v>301863</v>
      </c>
    </row>
    <row r="5" spans="1:13" ht="15" customHeight="1" x14ac:dyDescent="0.35">
      <c r="A5" s="3" t="s">
        <v>78</v>
      </c>
      <c r="B5" s="5">
        <v>389594</v>
      </c>
      <c r="C5" s="5">
        <v>376422</v>
      </c>
      <c r="D5" s="5">
        <v>324156</v>
      </c>
      <c r="E5" s="5">
        <v>420255</v>
      </c>
      <c r="F5" s="5">
        <v>409107</v>
      </c>
      <c r="G5" s="5">
        <v>269954</v>
      </c>
      <c r="H5" s="5">
        <v>179097</v>
      </c>
      <c r="I5" s="5">
        <v>370568</v>
      </c>
      <c r="J5" s="5">
        <v>387395</v>
      </c>
      <c r="K5" s="5">
        <v>243454</v>
      </c>
      <c r="L5" s="5">
        <v>232530</v>
      </c>
      <c r="M5" s="5">
        <v>201999</v>
      </c>
    </row>
    <row r="6" spans="1:13" ht="15" customHeight="1" x14ac:dyDescent="0.35">
      <c r="A6" s="3" t="s">
        <v>31</v>
      </c>
      <c r="B6" s="5">
        <v>436862</v>
      </c>
      <c r="C6" s="5">
        <v>391158</v>
      </c>
      <c r="D6" s="5">
        <v>340224</v>
      </c>
      <c r="E6" s="5">
        <v>170548</v>
      </c>
      <c r="F6" s="5">
        <v>229390</v>
      </c>
      <c r="G6" s="5">
        <v>349525</v>
      </c>
      <c r="H6" s="5">
        <v>154683</v>
      </c>
      <c r="I6" s="5">
        <v>320848</v>
      </c>
      <c r="J6" s="5">
        <v>354452</v>
      </c>
      <c r="K6" s="5">
        <v>377180</v>
      </c>
      <c r="L6" s="5">
        <v>342347</v>
      </c>
      <c r="M6" s="5">
        <v>183362</v>
      </c>
    </row>
    <row r="7" spans="1:13" ht="15" customHeight="1" x14ac:dyDescent="0.35">
      <c r="A7" s="3" t="s">
        <v>42</v>
      </c>
      <c r="B7" s="5">
        <v>348734</v>
      </c>
      <c r="C7" s="5">
        <v>358191</v>
      </c>
      <c r="D7" s="5">
        <v>250385</v>
      </c>
      <c r="E7" s="5">
        <v>219657</v>
      </c>
      <c r="F7" s="5">
        <v>249365</v>
      </c>
      <c r="G7" s="5">
        <v>435704</v>
      </c>
      <c r="H7" s="5">
        <v>260892</v>
      </c>
      <c r="I7" s="5">
        <v>250741</v>
      </c>
      <c r="J7" s="5">
        <v>358402</v>
      </c>
      <c r="K7" s="5">
        <v>379858</v>
      </c>
      <c r="L7" s="5">
        <v>213280</v>
      </c>
      <c r="M7" s="5">
        <v>224634</v>
      </c>
    </row>
    <row r="8" spans="1:13" ht="15" customHeight="1" x14ac:dyDescent="0.35">
      <c r="A8" s="3" t="s">
        <v>25</v>
      </c>
      <c r="B8" s="5">
        <v>280057</v>
      </c>
      <c r="C8" s="5">
        <v>330342</v>
      </c>
      <c r="D8" s="5">
        <v>336856</v>
      </c>
      <c r="E8" s="5">
        <v>227425</v>
      </c>
      <c r="F8" s="5">
        <v>233647</v>
      </c>
      <c r="G8" s="5">
        <v>307088</v>
      </c>
      <c r="H8" s="5">
        <v>370724</v>
      </c>
      <c r="I8" s="5">
        <v>440008</v>
      </c>
      <c r="J8" s="5">
        <v>406347</v>
      </c>
      <c r="K8" s="5">
        <v>217357</v>
      </c>
      <c r="L8" s="5">
        <v>299289</v>
      </c>
      <c r="M8" s="5">
        <v>214568</v>
      </c>
    </row>
    <row r="9" spans="1:13" ht="15" customHeight="1" x14ac:dyDescent="0.35">
      <c r="A9" s="3" t="s">
        <v>46</v>
      </c>
      <c r="B9" s="5">
        <v>252886</v>
      </c>
      <c r="C9" s="5">
        <v>206057</v>
      </c>
      <c r="D9" s="5">
        <v>318209</v>
      </c>
      <c r="E9" s="5">
        <v>411230</v>
      </c>
      <c r="F9" s="5">
        <v>448660</v>
      </c>
      <c r="G9" s="5">
        <v>171135</v>
      </c>
      <c r="H9" s="5">
        <v>305339</v>
      </c>
      <c r="I9" s="5">
        <v>432264</v>
      </c>
      <c r="J9" s="5">
        <v>294273</v>
      </c>
      <c r="K9" s="5">
        <v>371409</v>
      </c>
      <c r="L9" s="5">
        <v>284207</v>
      </c>
      <c r="M9" s="5">
        <v>437068</v>
      </c>
    </row>
    <row r="10" spans="1:13" ht="15" customHeight="1" x14ac:dyDescent="0.35">
      <c r="A10" s="3" t="s">
        <v>143</v>
      </c>
      <c r="B10" s="5">
        <v>268752</v>
      </c>
      <c r="C10" s="5">
        <v>393256</v>
      </c>
      <c r="D10" s="5">
        <v>310649</v>
      </c>
      <c r="E10" s="5">
        <v>246237</v>
      </c>
      <c r="F10" s="5">
        <v>271287</v>
      </c>
      <c r="G10" s="5">
        <v>314545</v>
      </c>
      <c r="H10" s="5">
        <v>406506</v>
      </c>
      <c r="I10" s="5">
        <v>334930</v>
      </c>
      <c r="J10" s="5">
        <v>348625</v>
      </c>
      <c r="K10" s="5">
        <v>408928</v>
      </c>
      <c r="L10" s="5">
        <v>243749</v>
      </c>
      <c r="M10" s="5">
        <v>418409</v>
      </c>
    </row>
    <row r="11" spans="1:13" ht="15" customHeight="1" x14ac:dyDescent="0.35">
      <c r="A11" s="3" t="s">
        <v>71</v>
      </c>
      <c r="B11" s="5">
        <v>384734</v>
      </c>
      <c r="C11" s="5">
        <v>156698</v>
      </c>
      <c r="D11" s="5">
        <v>283679</v>
      </c>
      <c r="E11" s="5">
        <v>276085</v>
      </c>
      <c r="F11" s="5">
        <v>409270</v>
      </c>
      <c r="G11" s="5">
        <v>285230</v>
      </c>
      <c r="H11" s="5">
        <v>304233</v>
      </c>
      <c r="I11" s="5">
        <v>178221</v>
      </c>
      <c r="J11" s="5">
        <v>284216</v>
      </c>
      <c r="K11" s="5">
        <v>287373</v>
      </c>
      <c r="L11" s="5">
        <v>229082</v>
      </c>
      <c r="M11" s="5">
        <v>298969</v>
      </c>
    </row>
    <row r="12" spans="1:13" ht="15" customHeight="1" x14ac:dyDescent="0.35">
      <c r="A12" s="3" t="s">
        <v>212</v>
      </c>
      <c r="B12" s="5">
        <v>186029</v>
      </c>
      <c r="C12" s="5">
        <v>151419</v>
      </c>
      <c r="D12" s="5">
        <v>253251</v>
      </c>
      <c r="E12" s="5">
        <v>379757</v>
      </c>
      <c r="F12" s="5">
        <v>204209</v>
      </c>
      <c r="G12" s="5">
        <v>179396</v>
      </c>
      <c r="H12" s="5">
        <v>378008</v>
      </c>
      <c r="I12" s="5">
        <v>182649</v>
      </c>
      <c r="J12" s="5">
        <v>267772</v>
      </c>
      <c r="K12" s="5">
        <v>350352</v>
      </c>
      <c r="L12" s="5">
        <v>358042</v>
      </c>
      <c r="M12" s="5">
        <v>359960</v>
      </c>
    </row>
    <row r="13" spans="1:13" ht="15" customHeight="1" x14ac:dyDescent="0.35">
      <c r="A13" s="3" t="s">
        <v>264</v>
      </c>
      <c r="B13" s="5">
        <v>352158</v>
      </c>
      <c r="C13" s="5">
        <v>251181</v>
      </c>
      <c r="D13" s="5">
        <v>321255</v>
      </c>
      <c r="E13" s="5">
        <v>300863</v>
      </c>
      <c r="F13" s="5">
        <v>241731</v>
      </c>
      <c r="G13" s="5">
        <v>393275</v>
      </c>
      <c r="H13" s="5">
        <v>313561</v>
      </c>
      <c r="I13" s="5">
        <v>283604</v>
      </c>
      <c r="J13" s="5">
        <v>429065</v>
      </c>
      <c r="K13" s="5">
        <v>194420</v>
      </c>
      <c r="L13" s="5">
        <v>254168</v>
      </c>
      <c r="M13" s="5">
        <v>389283</v>
      </c>
    </row>
    <row r="14" spans="1:13" ht="15" customHeight="1" x14ac:dyDescent="0.35">
      <c r="A14" s="3" t="s">
        <v>191</v>
      </c>
      <c r="B14" s="5">
        <v>350003</v>
      </c>
      <c r="C14" s="5">
        <v>384951</v>
      </c>
      <c r="D14" s="5">
        <v>424777</v>
      </c>
      <c r="E14" s="5">
        <v>323282</v>
      </c>
      <c r="F14" s="5">
        <v>427290</v>
      </c>
      <c r="G14" s="5">
        <v>363819</v>
      </c>
      <c r="H14" s="5">
        <v>279496</v>
      </c>
      <c r="I14" s="5">
        <v>190932</v>
      </c>
      <c r="J14" s="5">
        <v>347420</v>
      </c>
      <c r="K14" s="5">
        <v>160215</v>
      </c>
      <c r="L14" s="5">
        <v>388600</v>
      </c>
      <c r="M14" s="5">
        <v>437901</v>
      </c>
    </row>
    <row r="15" spans="1:13" ht="15" customHeight="1" x14ac:dyDescent="0.35">
      <c r="A15" s="3" t="s">
        <v>37</v>
      </c>
      <c r="B15" s="5">
        <v>307327</v>
      </c>
      <c r="C15" s="5">
        <v>377256</v>
      </c>
      <c r="D15" s="5">
        <v>236349</v>
      </c>
      <c r="E15" s="5">
        <v>321223</v>
      </c>
      <c r="F15" s="5">
        <v>268119</v>
      </c>
      <c r="G15" s="5">
        <v>294020</v>
      </c>
      <c r="H15" s="5">
        <v>312180</v>
      </c>
      <c r="I15" s="5">
        <v>390845</v>
      </c>
      <c r="J15" s="5">
        <v>432317</v>
      </c>
      <c r="K15" s="5">
        <v>277613</v>
      </c>
      <c r="L15" s="5">
        <v>373411</v>
      </c>
      <c r="M15" s="5">
        <v>214349</v>
      </c>
    </row>
    <row r="16" spans="1:13" ht="15" customHeight="1" x14ac:dyDescent="0.35">
      <c r="A16" s="3" t="s">
        <v>127</v>
      </c>
      <c r="B16" s="5">
        <v>414207</v>
      </c>
      <c r="C16" s="5">
        <v>376391</v>
      </c>
      <c r="D16" s="5">
        <v>192739</v>
      </c>
      <c r="E16" s="5">
        <v>165892</v>
      </c>
      <c r="F16" s="5">
        <v>187659</v>
      </c>
      <c r="G16" s="5">
        <v>283837</v>
      </c>
      <c r="H16" s="5">
        <v>434871</v>
      </c>
      <c r="I16" s="5">
        <v>369518</v>
      </c>
      <c r="J16" s="5">
        <v>171986</v>
      </c>
      <c r="K16" s="5">
        <v>328460</v>
      </c>
      <c r="L16" s="5">
        <v>418857</v>
      </c>
      <c r="M16" s="5">
        <v>159947</v>
      </c>
    </row>
    <row r="17" spans="1:13" ht="15" customHeight="1" x14ac:dyDescent="0.35">
      <c r="A17" s="3" t="s">
        <v>285</v>
      </c>
      <c r="B17" s="5">
        <v>335614</v>
      </c>
      <c r="C17" s="5">
        <v>325577</v>
      </c>
      <c r="D17" s="5">
        <v>217575</v>
      </c>
      <c r="E17" s="5">
        <v>427851</v>
      </c>
      <c r="F17" s="5">
        <v>438020</v>
      </c>
      <c r="G17" s="5">
        <v>276675</v>
      </c>
      <c r="H17" s="5">
        <v>331096</v>
      </c>
      <c r="I17" s="5">
        <v>282103</v>
      </c>
      <c r="J17" s="5">
        <v>321062</v>
      </c>
      <c r="K17" s="5">
        <v>235137</v>
      </c>
      <c r="L17" s="5">
        <v>279755</v>
      </c>
      <c r="M17" s="5">
        <v>230523</v>
      </c>
    </row>
    <row r="18" spans="1:13" ht="15" customHeight="1" x14ac:dyDescent="0.35">
      <c r="A18" s="3" t="s">
        <v>177</v>
      </c>
      <c r="B18" s="5">
        <v>369725</v>
      </c>
      <c r="C18" s="5">
        <v>181516</v>
      </c>
      <c r="D18" s="5">
        <v>233993</v>
      </c>
      <c r="E18" s="5">
        <v>194261</v>
      </c>
      <c r="F18" s="5">
        <v>233332</v>
      </c>
      <c r="G18" s="5">
        <v>359011</v>
      </c>
      <c r="H18" s="5">
        <v>219264</v>
      </c>
      <c r="I18" s="5">
        <v>391688</v>
      </c>
      <c r="J18" s="5">
        <v>191502</v>
      </c>
      <c r="K18" s="5">
        <v>216536</v>
      </c>
      <c r="L18" s="5">
        <v>205649</v>
      </c>
      <c r="M18" s="5">
        <v>285932</v>
      </c>
    </row>
    <row r="19" spans="1:13" ht="15" customHeight="1" x14ac:dyDescent="0.35">
      <c r="A19" s="3" t="s">
        <v>242</v>
      </c>
      <c r="B19" s="5">
        <v>257718</v>
      </c>
      <c r="C19" s="5">
        <v>413773</v>
      </c>
      <c r="D19" s="5">
        <v>202301</v>
      </c>
      <c r="E19" s="5">
        <v>257477</v>
      </c>
      <c r="F19" s="5">
        <v>372470</v>
      </c>
      <c r="G19" s="5">
        <v>371047</v>
      </c>
      <c r="H19" s="5">
        <v>169457</v>
      </c>
      <c r="I19" s="5">
        <v>202077</v>
      </c>
      <c r="J19" s="5">
        <v>406637</v>
      </c>
      <c r="K19" s="5">
        <v>255393</v>
      </c>
      <c r="L19" s="5">
        <v>158049</v>
      </c>
      <c r="M19" s="5">
        <v>317073</v>
      </c>
    </row>
    <row r="20" spans="1:13" ht="15" customHeight="1" x14ac:dyDescent="0.35">
      <c r="A20" s="3" t="s">
        <v>60</v>
      </c>
      <c r="B20" s="5">
        <v>277098</v>
      </c>
      <c r="C20" s="5">
        <v>284984</v>
      </c>
      <c r="D20" s="5">
        <v>164922</v>
      </c>
      <c r="E20" s="5">
        <v>181579</v>
      </c>
      <c r="F20" s="5">
        <v>260717</v>
      </c>
      <c r="G20" s="5">
        <v>414136</v>
      </c>
      <c r="H20" s="5">
        <v>305447</v>
      </c>
      <c r="I20" s="5">
        <v>283691</v>
      </c>
      <c r="J20" s="5">
        <v>359591</v>
      </c>
      <c r="K20" s="5">
        <v>415531</v>
      </c>
      <c r="L20" s="5">
        <v>383485</v>
      </c>
      <c r="M20" s="5">
        <v>154976</v>
      </c>
    </row>
    <row r="21" spans="1:13" ht="15" customHeight="1" x14ac:dyDescent="0.35">
      <c r="A21" s="3" t="s">
        <v>131</v>
      </c>
      <c r="B21" s="5">
        <v>212521</v>
      </c>
      <c r="C21" s="5">
        <v>245361</v>
      </c>
      <c r="D21" s="5">
        <v>402338</v>
      </c>
      <c r="E21" s="5">
        <v>153034</v>
      </c>
      <c r="F21" s="5">
        <v>274863</v>
      </c>
      <c r="G21" s="5">
        <v>238363</v>
      </c>
      <c r="H21" s="5">
        <v>231270</v>
      </c>
      <c r="I21" s="5">
        <v>245700</v>
      </c>
      <c r="J21" s="5">
        <v>368067</v>
      </c>
      <c r="K21" s="5">
        <v>297022</v>
      </c>
      <c r="L21" s="5">
        <v>413149</v>
      </c>
      <c r="M21" s="5">
        <v>156857</v>
      </c>
    </row>
    <row r="22" spans="1:13" ht="15" customHeight="1" x14ac:dyDescent="0.35">
      <c r="A22" s="3" t="s">
        <v>97</v>
      </c>
      <c r="B22" s="5">
        <v>162799</v>
      </c>
      <c r="C22" s="5">
        <v>304758</v>
      </c>
      <c r="D22" s="5">
        <v>405377</v>
      </c>
      <c r="E22" s="5">
        <v>179658</v>
      </c>
      <c r="F22" s="5">
        <v>404994</v>
      </c>
      <c r="G22" s="5">
        <v>193255</v>
      </c>
      <c r="H22" s="5">
        <v>355444</v>
      </c>
      <c r="I22" s="5">
        <v>246543</v>
      </c>
      <c r="J22" s="5">
        <v>329852</v>
      </c>
      <c r="K22" s="5">
        <v>224665</v>
      </c>
      <c r="L22" s="5">
        <v>361938</v>
      </c>
      <c r="M22" s="5">
        <v>165860</v>
      </c>
    </row>
    <row r="23" spans="1:13" ht="15" customHeight="1" x14ac:dyDescent="0.35">
      <c r="A23" s="3" t="s">
        <v>224</v>
      </c>
      <c r="B23" s="5">
        <v>356537</v>
      </c>
      <c r="C23" s="5">
        <v>448297</v>
      </c>
      <c r="D23" s="5">
        <v>156014</v>
      </c>
      <c r="E23" s="5">
        <v>157667</v>
      </c>
      <c r="F23" s="5">
        <v>172713</v>
      </c>
      <c r="G23" s="5">
        <v>196305</v>
      </c>
      <c r="H23" s="5">
        <v>442484</v>
      </c>
      <c r="I23" s="5">
        <v>293581</v>
      </c>
      <c r="J23" s="5">
        <v>280862</v>
      </c>
      <c r="K23" s="5">
        <v>340676</v>
      </c>
      <c r="L23" s="5">
        <v>343411</v>
      </c>
      <c r="M23" s="5">
        <v>437921</v>
      </c>
    </row>
    <row r="24" spans="1:13" ht="15" customHeight="1" x14ac:dyDescent="0.35">
      <c r="A24" s="3" t="s">
        <v>93</v>
      </c>
      <c r="B24" s="5">
        <v>218099</v>
      </c>
      <c r="C24" s="5">
        <v>412956</v>
      </c>
      <c r="D24" s="5">
        <v>438770</v>
      </c>
      <c r="E24" s="5">
        <v>172679</v>
      </c>
      <c r="F24" s="5">
        <v>343868</v>
      </c>
      <c r="G24" s="5">
        <v>390384</v>
      </c>
      <c r="H24" s="5">
        <v>400933</v>
      </c>
      <c r="I24" s="5">
        <v>211614</v>
      </c>
      <c r="J24" s="5">
        <v>201857</v>
      </c>
      <c r="K24" s="5">
        <v>430835</v>
      </c>
      <c r="L24" s="5">
        <v>193076</v>
      </c>
      <c r="M24" s="5">
        <v>372598</v>
      </c>
    </row>
    <row r="25" spans="1:13" ht="15" customHeight="1" x14ac:dyDescent="0.35">
      <c r="A25" s="3" t="s">
        <v>55</v>
      </c>
      <c r="B25" s="5">
        <v>168635</v>
      </c>
      <c r="C25" s="5">
        <v>214511</v>
      </c>
      <c r="D25" s="5">
        <v>169022</v>
      </c>
      <c r="E25" s="5">
        <v>247159</v>
      </c>
      <c r="F25" s="5">
        <v>304981</v>
      </c>
      <c r="G25" s="5">
        <v>387353</v>
      </c>
      <c r="H25" s="5">
        <v>167057</v>
      </c>
      <c r="I25" s="5">
        <v>403051</v>
      </c>
      <c r="J25" s="5">
        <v>184207</v>
      </c>
      <c r="K25" s="5">
        <v>350145</v>
      </c>
      <c r="L25" s="5">
        <v>376579</v>
      </c>
      <c r="M25" s="5">
        <v>364718</v>
      </c>
    </row>
    <row r="26" spans="1:13" ht="15" customHeight="1" x14ac:dyDescent="0.35">
      <c r="A26" s="3" t="s">
        <v>50</v>
      </c>
      <c r="B26" s="5">
        <v>241742</v>
      </c>
      <c r="C26" s="5">
        <v>376544</v>
      </c>
      <c r="D26" s="5">
        <v>289689</v>
      </c>
      <c r="E26" s="5">
        <v>291365</v>
      </c>
      <c r="F26" s="5">
        <v>151669</v>
      </c>
      <c r="G26" s="5">
        <v>237046</v>
      </c>
      <c r="H26" s="5">
        <v>215592</v>
      </c>
      <c r="I26" s="5">
        <v>256462</v>
      </c>
      <c r="J26" s="5">
        <v>219765</v>
      </c>
      <c r="K26" s="5">
        <v>305885</v>
      </c>
      <c r="L26" s="5">
        <v>170489</v>
      </c>
      <c r="M26" s="5">
        <v>328169</v>
      </c>
    </row>
    <row r="27" spans="1:13" ht="15" customHeight="1" x14ac:dyDescent="0.35">
      <c r="A27" s="3" t="s">
        <v>140</v>
      </c>
      <c r="B27" s="5">
        <v>206632</v>
      </c>
      <c r="C27" s="5">
        <v>418219</v>
      </c>
      <c r="D27" s="5">
        <v>218871</v>
      </c>
      <c r="E27" s="5">
        <v>424496</v>
      </c>
      <c r="F27" s="5">
        <v>269328</v>
      </c>
      <c r="G27" s="5">
        <v>261309</v>
      </c>
      <c r="H27" s="5">
        <v>244265</v>
      </c>
      <c r="I27" s="5">
        <v>228393</v>
      </c>
      <c r="J27" s="5">
        <v>410956</v>
      </c>
      <c r="K27" s="5">
        <v>314259</v>
      </c>
      <c r="L27" s="5">
        <v>297459</v>
      </c>
      <c r="M27" s="5">
        <v>251313</v>
      </c>
    </row>
    <row r="28" spans="1:13" ht="15" customHeight="1" x14ac:dyDescent="0.35">
      <c r="A28" s="3" t="s">
        <v>282</v>
      </c>
      <c r="B28" s="5">
        <v>239781</v>
      </c>
      <c r="C28" s="5">
        <v>430605</v>
      </c>
      <c r="D28" s="5">
        <v>190908</v>
      </c>
      <c r="E28" s="5">
        <v>229129</v>
      </c>
      <c r="F28" s="5">
        <v>196262</v>
      </c>
      <c r="G28" s="5">
        <v>377844</v>
      </c>
      <c r="H28" s="5">
        <v>293147</v>
      </c>
      <c r="I28" s="5">
        <v>370985</v>
      </c>
      <c r="J28" s="5">
        <v>420128</v>
      </c>
      <c r="K28" s="5">
        <v>433140</v>
      </c>
      <c r="L28" s="5">
        <v>408093</v>
      </c>
      <c r="M28" s="5">
        <v>255969</v>
      </c>
    </row>
    <row r="29" spans="1:13" ht="15" customHeight="1" x14ac:dyDescent="0.35">
      <c r="A29" s="3" t="s">
        <v>67</v>
      </c>
      <c r="B29" s="5">
        <v>426872</v>
      </c>
      <c r="C29" s="5">
        <v>171719</v>
      </c>
      <c r="D29" s="5">
        <v>169701</v>
      </c>
      <c r="E29" s="5">
        <v>347987</v>
      </c>
      <c r="F29" s="5">
        <v>216195</v>
      </c>
      <c r="G29" s="5">
        <v>412271</v>
      </c>
      <c r="H29" s="5">
        <v>416393</v>
      </c>
      <c r="I29" s="5">
        <v>353569</v>
      </c>
      <c r="J29" s="5">
        <v>323287</v>
      </c>
      <c r="K29" s="5">
        <v>301789</v>
      </c>
      <c r="L29" s="5">
        <v>208839</v>
      </c>
      <c r="M29" s="5">
        <v>369454</v>
      </c>
    </row>
    <row r="30" spans="1:13" ht="15" customHeight="1" x14ac:dyDescent="0.35">
      <c r="A30" s="3" t="s">
        <v>168</v>
      </c>
      <c r="B30" s="5">
        <v>233369</v>
      </c>
      <c r="C30" s="5">
        <v>371909</v>
      </c>
      <c r="D30" s="5">
        <v>355248</v>
      </c>
      <c r="E30" s="5">
        <v>156409</v>
      </c>
      <c r="F30" s="5">
        <v>308725</v>
      </c>
      <c r="G30" s="5">
        <v>192883</v>
      </c>
      <c r="H30" s="5">
        <v>180902</v>
      </c>
      <c r="I30" s="5">
        <v>168654</v>
      </c>
      <c r="J30" s="5">
        <v>256191</v>
      </c>
      <c r="K30" s="5">
        <v>320737</v>
      </c>
      <c r="L30" s="5">
        <v>430108</v>
      </c>
      <c r="M30" s="5">
        <v>307413</v>
      </c>
    </row>
    <row r="31" spans="1:13" ht="15" customHeight="1" x14ac:dyDescent="0.35">
      <c r="A31" s="3" t="s">
        <v>109</v>
      </c>
      <c r="B31" s="5">
        <v>151584</v>
      </c>
      <c r="C31" s="5">
        <v>221679</v>
      </c>
      <c r="D31" s="5">
        <v>385157</v>
      </c>
      <c r="E31" s="5">
        <v>290386</v>
      </c>
      <c r="F31" s="5">
        <v>236041</v>
      </c>
      <c r="G31" s="5">
        <v>407985</v>
      </c>
      <c r="H31" s="5">
        <v>184446</v>
      </c>
      <c r="I31" s="5">
        <v>342894</v>
      </c>
      <c r="J31" s="5">
        <v>180344</v>
      </c>
      <c r="K31" s="5">
        <v>292917</v>
      </c>
      <c r="L31" s="5">
        <v>314858</v>
      </c>
      <c r="M31" s="5">
        <v>364057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I21"/>
  <sheetViews>
    <sheetView showGridLines="0" zoomScaleNormal="100" workbookViewId="0">
      <pane ySplit="4" topLeftCell="A7" activePane="bottomLeft" state="frozen"/>
      <selection pane="bottomLeft" activeCell="E12" sqref="E12"/>
    </sheetView>
  </sheetViews>
  <sheetFormatPr defaultColWidth="8.7265625" defaultRowHeight="15" customHeight="1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265625" customWidth="1"/>
  </cols>
  <sheetData>
    <row r="1" spans="1:9" ht="30" customHeight="1" x14ac:dyDescent="0.35">
      <c r="A1" s="43" t="s">
        <v>2921</v>
      </c>
      <c r="B1" s="43"/>
      <c r="C1" s="43"/>
      <c r="D1" s="43"/>
      <c r="E1" s="43"/>
      <c r="F1" s="43"/>
    </row>
    <row r="2" spans="1:9" ht="15" customHeight="1" x14ac:dyDescent="0.35">
      <c r="A2" s="40" t="s">
        <v>2922</v>
      </c>
      <c r="B2" s="40"/>
      <c r="C2" s="40"/>
      <c r="D2" s="40"/>
      <c r="E2" s="40"/>
      <c r="F2" s="40"/>
    </row>
    <row r="3" spans="1:9" ht="15" customHeight="1" x14ac:dyDescent="0.35">
      <c r="A3" s="16"/>
      <c r="B3" s="16"/>
      <c r="C3" s="16"/>
      <c r="D3" s="16"/>
      <c r="E3" s="16"/>
      <c r="F3" s="16"/>
    </row>
    <row r="4" spans="1:9" ht="24" customHeight="1" x14ac:dyDescent="0.35">
      <c r="A4" s="17" t="s">
        <v>2923</v>
      </c>
      <c r="B4" s="17" t="s">
        <v>2924</v>
      </c>
      <c r="C4" s="17" t="s">
        <v>2461</v>
      </c>
      <c r="D4" s="17" t="s">
        <v>2925</v>
      </c>
      <c r="E4" s="17" t="s">
        <v>2926</v>
      </c>
      <c r="F4" s="17" t="s">
        <v>2927</v>
      </c>
      <c r="G4" t="s">
        <v>2928</v>
      </c>
    </row>
    <row r="5" spans="1:9" ht="42" customHeight="1" x14ac:dyDescent="0.35">
      <c r="A5" s="18" t="s">
        <v>2929</v>
      </c>
      <c r="B5" s="19" t="s">
        <v>2930</v>
      </c>
      <c r="C5" s="20">
        <v>3</v>
      </c>
      <c r="D5" s="21" t="s">
        <v>2931</v>
      </c>
      <c r="E5" s="22" t="str">
        <f>VLOOKUP("ORD-00234",Orders!$A$2:$K$2027,3,FALSE())</f>
        <v>CUST-0173</v>
      </c>
      <c r="F5" s="23" t="s">
        <v>2932</v>
      </c>
      <c r="G5" t="str">
        <f>VLOOKUP("ORD-01234",Orders!$A$2:$K$2027,5,FALSE())</f>
        <v>R013</v>
      </c>
      <c r="H5" t="str">
        <f>VLOOKUP(G5,Sales_Reps!$A$2:$C$31,2,FALSE())</f>
        <v>Sanjay Kapoor</v>
      </c>
      <c r="I5" t="str">
        <f>VLOOKUP(G5,Sales_Reps!$A$2:$C$31,3,FALSE())</f>
        <v>South</v>
      </c>
    </row>
    <row r="6" spans="1:9" ht="42" customHeight="1" x14ac:dyDescent="0.35">
      <c r="A6" s="18" t="s">
        <v>2933</v>
      </c>
      <c r="B6" s="19" t="s">
        <v>2934</v>
      </c>
      <c r="C6" s="20">
        <v>3</v>
      </c>
      <c r="D6" s="21" t="s">
        <v>2935</v>
      </c>
      <c r="E6" s="22" t="str">
        <f>VLOOKUP(VLOOKUP("ORD-00456",Orders!$A$2:$K$2027,4,FALSE()),Products!$A$2:$F$61,2,FALSE())</f>
        <v>Dumbbells 5kg</v>
      </c>
      <c r="F6" s="23" t="s">
        <v>2936</v>
      </c>
    </row>
    <row r="7" spans="1:9" ht="42" customHeight="1" x14ac:dyDescent="0.35">
      <c r="A7" s="18" t="s">
        <v>2937</v>
      </c>
      <c r="B7" s="19" t="s">
        <v>2938</v>
      </c>
      <c r="C7" s="20">
        <v>3</v>
      </c>
      <c r="D7" s="21" t="s">
        <v>2939</v>
      </c>
      <c r="E7" s="22" t="str">
        <f>INDEX(Sales_Reps!$B$2:$B$31,MATCH(VLOOKUP("ORD-00987",Orders!$A$2:$K$2027,5,FALSE()),Sales_Reps!$A$2:$A$31,0))</f>
        <v>Nisha Menon</v>
      </c>
      <c r="F7" s="23" t="s">
        <v>2936</v>
      </c>
    </row>
    <row r="8" spans="1:9" ht="42" customHeight="1" x14ac:dyDescent="0.35">
      <c r="A8" s="18" t="s">
        <v>2940</v>
      </c>
      <c r="B8" s="19" t="s">
        <v>2941</v>
      </c>
      <c r="C8" s="20">
        <v>4</v>
      </c>
      <c r="D8" s="21" t="s">
        <v>2942</v>
      </c>
      <c r="E8" s="22">
        <f>INDEX(Targets!$A$2:$M$31,MATCH("R012",Targets!$A$2:$A$31,0),MATCH("Mar-24",Targets!$A$1:$M$1,0))</f>
        <v>321255</v>
      </c>
      <c r="F8" s="23" t="s">
        <v>2943</v>
      </c>
    </row>
    <row r="9" spans="1:9" ht="42" customHeight="1" x14ac:dyDescent="0.35">
      <c r="A9" s="18" t="s">
        <v>2944</v>
      </c>
      <c r="B9" s="19" t="s">
        <v>2945</v>
      </c>
      <c r="C9" s="20">
        <v>4</v>
      </c>
      <c r="D9" s="21" t="s">
        <v>2946</v>
      </c>
      <c r="E9" s="22" t="str">
        <f>VLOOKUP(VLOOKUP("ORD-01500",Orders!$A$2:$K$2027,4,FALSE()),Products!$A$2:$F$61,3,FALSE())</f>
        <v>Electronics</v>
      </c>
      <c r="F9" s="23" t="s">
        <v>2936</v>
      </c>
    </row>
    <row r="10" spans="1:9" ht="42" customHeight="1" x14ac:dyDescent="0.35">
      <c r="A10" s="18" t="s">
        <v>2947</v>
      </c>
      <c r="B10" s="19" t="s">
        <v>2948</v>
      </c>
      <c r="C10" s="20">
        <v>3</v>
      </c>
      <c r="D10" s="21" t="s">
        <v>2949</v>
      </c>
      <c r="E10" s="22" t="str">
        <f>VLOOKUP(VLOOKUP("ORD-00789",Orders!$A$2:$H$2027,8,FALSE()),$B$18:$C$21,2,TRUE())</f>
        <v>Bronze</v>
      </c>
      <c r="F10" s="23" t="s">
        <v>2936</v>
      </c>
    </row>
    <row r="11" spans="1:9" ht="42" customHeight="1" x14ac:dyDescent="0.35">
      <c r="A11" s="18" t="s">
        <v>2950</v>
      </c>
      <c r="B11" s="19" t="s">
        <v>2951</v>
      </c>
      <c r="C11" s="20">
        <v>3</v>
      </c>
      <c r="D11" s="21" t="s">
        <v>2952</v>
      </c>
      <c r="E11" s="22" t="str">
        <f>H5&amp;" ("&amp;I5&amp;")"</f>
        <v>Sanjay Kapoor (South)</v>
      </c>
      <c r="F11" s="23" t="s">
        <v>2936</v>
      </c>
    </row>
    <row r="12" spans="1:9" ht="42" customHeight="1" x14ac:dyDescent="0.35">
      <c r="A12" s="18" t="s">
        <v>2953</v>
      </c>
      <c r="B12" s="19" t="s">
        <v>2954</v>
      </c>
      <c r="C12" s="20">
        <v>2</v>
      </c>
      <c r="D12" s="21" t="s">
        <v>2955</v>
      </c>
      <c r="E12" s="22" t="str">
        <f>INDEX(Sales_Reps!$B$2:$B$31,MATCH(INDEX(Sales_Reps!$E$2:$E$31,MATCH("R017",Sales_Reps!$A$2:$A$31,0)),Sales_Reps!$A$2:$A$31,0))</f>
        <v>Amit Singh</v>
      </c>
      <c r="F12" s="23" t="s">
        <v>2936</v>
      </c>
    </row>
    <row r="15" spans="1:9" ht="15" customHeight="1" x14ac:dyDescent="0.35">
      <c r="B15" s="24" t="s">
        <v>2956</v>
      </c>
    </row>
    <row r="17" spans="2:3" ht="15" customHeight="1" x14ac:dyDescent="0.35">
      <c r="B17" s="25" t="s">
        <v>2957</v>
      </c>
      <c r="C17" s="25" t="s">
        <v>2958</v>
      </c>
    </row>
    <row r="18" spans="2:3" ht="15" customHeight="1" x14ac:dyDescent="0.35">
      <c r="B18" s="26">
        <v>0</v>
      </c>
      <c r="C18" s="26" t="s">
        <v>2959</v>
      </c>
    </row>
    <row r="19" spans="2:3" ht="15" customHeight="1" x14ac:dyDescent="0.35">
      <c r="B19" s="26">
        <v>5</v>
      </c>
      <c r="C19" s="26" t="s">
        <v>2960</v>
      </c>
    </row>
    <row r="20" spans="2:3" ht="15" customHeight="1" x14ac:dyDescent="0.35">
      <c r="B20" s="26">
        <v>15</v>
      </c>
      <c r="C20" s="26" t="s">
        <v>2961</v>
      </c>
    </row>
    <row r="21" spans="2:3" ht="15" customHeight="1" x14ac:dyDescent="0.35">
      <c r="B21" s="26">
        <v>25</v>
      </c>
      <c r="C21" s="26" t="s">
        <v>2962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showGridLines="0" zoomScaleNormal="100" workbookViewId="0">
      <pane ySplit="4" topLeftCell="A5" activePane="bottomLeft" state="frozen"/>
      <selection pane="bottomLeft" activeCell="E8" sqref="E8"/>
    </sheetView>
  </sheetViews>
  <sheetFormatPr defaultColWidth="8.7265625" defaultRowHeight="15" customHeight="1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5">
      <c r="A1" s="43" t="s">
        <v>2963</v>
      </c>
      <c r="B1" s="43"/>
      <c r="C1" s="43"/>
      <c r="D1" s="43"/>
      <c r="E1" s="43"/>
      <c r="F1" s="43"/>
    </row>
    <row r="2" spans="1:6" ht="15" customHeight="1" x14ac:dyDescent="0.35">
      <c r="A2" s="40" t="s">
        <v>2964</v>
      </c>
      <c r="B2" s="40"/>
      <c r="C2" s="40"/>
      <c r="D2" s="40"/>
      <c r="E2" s="40"/>
      <c r="F2" s="40"/>
    </row>
    <row r="3" spans="1:6" ht="15" customHeight="1" x14ac:dyDescent="0.35">
      <c r="A3" s="16"/>
      <c r="B3" s="16"/>
      <c r="C3" s="16"/>
      <c r="D3" s="16"/>
      <c r="E3" s="16"/>
      <c r="F3" s="16"/>
    </row>
    <row r="4" spans="1:6" ht="24" customHeight="1" x14ac:dyDescent="0.35">
      <c r="A4" s="17" t="s">
        <v>2923</v>
      </c>
      <c r="B4" s="17" t="s">
        <v>2924</v>
      </c>
      <c r="C4" s="17" t="s">
        <v>2461</v>
      </c>
      <c r="D4" s="17" t="s">
        <v>2925</v>
      </c>
      <c r="E4" s="17" t="s">
        <v>2926</v>
      </c>
      <c r="F4" s="17" t="s">
        <v>2927</v>
      </c>
    </row>
    <row r="5" spans="1:6" ht="42" customHeight="1" x14ac:dyDescent="0.35">
      <c r="A5" s="18" t="s">
        <v>2965</v>
      </c>
      <c r="B5" s="19" t="s">
        <v>2966</v>
      </c>
      <c r="C5" s="20">
        <v>3</v>
      </c>
      <c r="D5" s="21" t="s">
        <v>2967</v>
      </c>
      <c r="E5" s="22">
        <f>SUM(Orders!$R$2:$R$2027)</f>
        <v>20</v>
      </c>
      <c r="F5" s="23" t="s">
        <v>2943</v>
      </c>
    </row>
    <row r="6" spans="1:6" ht="42" customHeight="1" x14ac:dyDescent="0.35">
      <c r="A6" s="18" t="s">
        <v>2968</v>
      </c>
      <c r="B6" s="19" t="s">
        <v>2969</v>
      </c>
      <c r="C6" s="20">
        <v>3</v>
      </c>
      <c r="D6" s="21" t="s">
        <v>2970</v>
      </c>
      <c r="E6" s="22">
        <f>SUMPRODUCT(--(LEN(Customers!$B$2:$B$301)&lt;&gt;LEN(TRIM(Customers!$B$2:$B$301))))</f>
        <v>15</v>
      </c>
      <c r="F6" s="23" t="s">
        <v>2943</v>
      </c>
    </row>
    <row r="7" spans="1:6" ht="42" customHeight="1" x14ac:dyDescent="0.35">
      <c r="A7" s="18" t="s">
        <v>2971</v>
      </c>
      <c r="B7" s="19" t="s">
        <v>2972</v>
      </c>
      <c r="C7" s="20">
        <v>3</v>
      </c>
      <c r="D7" s="21" t="s">
        <v>2973</v>
      </c>
      <c r="E7" s="22">
        <f>SUMPRODUCT((Customers!$G$2:$G$301&lt;&gt;"")/COUNTIF(Customers!$G$2:$G$301,Customers!$G$2:$G$301&amp;""))</f>
        <v>6.0000000000000018</v>
      </c>
      <c r="F7" s="23" t="s">
        <v>2943</v>
      </c>
    </row>
    <row r="8" spans="1:6" ht="42" customHeight="1" x14ac:dyDescent="0.35">
      <c r="A8" s="18" t="s">
        <v>2974</v>
      </c>
      <c r="B8" s="19" t="s">
        <v>2975</v>
      </c>
      <c r="C8" s="20">
        <v>4</v>
      </c>
      <c r="D8" s="21" t="s">
        <v>2976</v>
      </c>
      <c r="E8" s="22">
        <f>COUNTIF(Orders!$T$2:$T$2027,"Missing")</f>
        <v>56</v>
      </c>
      <c r="F8" s="23" t="s">
        <v>2943</v>
      </c>
    </row>
    <row r="9" spans="1:6" ht="42" customHeight="1" x14ac:dyDescent="0.35">
      <c r="A9" s="18" t="s">
        <v>2977</v>
      </c>
      <c r="B9" s="19" t="s">
        <v>2978</v>
      </c>
      <c r="C9" s="20">
        <v>3</v>
      </c>
      <c r="D9" s="21" t="s">
        <v>2979</v>
      </c>
      <c r="E9" s="22">
        <f>COUNTIFS(Orders!$S$2:$S$2027,FALSE())</f>
        <v>174</v>
      </c>
      <c r="F9" s="23" t="s">
        <v>2943</v>
      </c>
    </row>
    <row r="10" spans="1:6" ht="42" customHeight="1" x14ac:dyDescent="0.35">
      <c r="A10" s="18" t="s">
        <v>2980</v>
      </c>
      <c r="B10" s="19" t="s">
        <v>2981</v>
      </c>
      <c r="C10" s="20">
        <v>4</v>
      </c>
      <c r="D10" s="21" t="s">
        <v>2982</v>
      </c>
      <c r="E10" s="22">
        <f>COUNTIFS(Orders!$J$2:$J$2027,"Cancelled",Orders!$H$2:$H$2027,"&gt;20")</f>
        <v>58</v>
      </c>
      <c r="F10" s="23" t="s">
        <v>2943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I34"/>
  <sheetViews>
    <sheetView showGridLines="0" zoomScaleNormal="100" workbookViewId="0">
      <pane ySplit="4" topLeftCell="A8" activePane="bottomLeft" state="frozen"/>
      <selection pane="bottomLeft" activeCell="E10" sqref="E10"/>
    </sheetView>
  </sheetViews>
  <sheetFormatPr defaultColWidth="8.7265625" defaultRowHeight="15" customHeight="1" x14ac:dyDescent="0.35"/>
  <cols>
    <col min="1" max="1" width="12" customWidth="1"/>
    <col min="2" max="2" width="60" customWidth="1"/>
    <col min="3" max="3" width="12" customWidth="1"/>
    <col min="4" max="4" width="30" customWidth="1"/>
    <col min="5" max="5" width="20" customWidth="1"/>
    <col min="6" max="6" width="15" customWidth="1"/>
    <col min="7" max="9" width="13" customWidth="1"/>
  </cols>
  <sheetData>
    <row r="1" spans="1:9" ht="30" customHeight="1" x14ac:dyDescent="0.35">
      <c r="A1" s="39" t="s">
        <v>2983</v>
      </c>
      <c r="B1" s="39"/>
      <c r="C1" s="39"/>
      <c r="D1" s="39"/>
      <c r="E1" s="39"/>
      <c r="F1" s="39"/>
    </row>
    <row r="2" spans="1:9" ht="15" customHeight="1" x14ac:dyDescent="0.35">
      <c r="A2" s="40" t="s">
        <v>2984</v>
      </c>
      <c r="B2" s="40"/>
      <c r="C2" s="40"/>
      <c r="D2" s="40"/>
      <c r="E2" s="40"/>
      <c r="F2" s="40"/>
    </row>
    <row r="3" spans="1:9" ht="15" customHeight="1" x14ac:dyDescent="0.35">
      <c r="A3" s="16"/>
      <c r="B3" s="16"/>
      <c r="C3" s="16"/>
      <c r="D3" s="16"/>
      <c r="E3" s="16"/>
      <c r="F3" s="16"/>
      <c r="H3" t="s">
        <v>2985</v>
      </c>
    </row>
    <row r="4" spans="1:9" ht="24" customHeight="1" x14ac:dyDescent="0.35">
      <c r="A4" s="17" t="s">
        <v>2923</v>
      </c>
      <c r="B4" s="17" t="s">
        <v>2924</v>
      </c>
      <c r="C4" s="17" t="s">
        <v>2461</v>
      </c>
      <c r="D4" s="17" t="s">
        <v>2925</v>
      </c>
      <c r="E4" s="17" t="s">
        <v>2926</v>
      </c>
      <c r="F4" s="17" t="s">
        <v>2927</v>
      </c>
      <c r="H4" t="s">
        <v>2986</v>
      </c>
      <c r="I4" t="s">
        <v>2987</v>
      </c>
    </row>
    <row r="5" spans="1:9" ht="42" customHeight="1" x14ac:dyDescent="0.35">
      <c r="A5" s="18" t="s">
        <v>2988</v>
      </c>
      <c r="B5" s="19" t="s">
        <v>2989</v>
      </c>
      <c r="C5" s="20">
        <v>4</v>
      </c>
      <c r="D5" s="21" t="s">
        <v>2990</v>
      </c>
      <c r="E5" s="27">
        <f>SUMIFS(Orders!$I$2:$I$2027,Orders!$B$2:$B$2027,"&gt;="&amp;DATE(2024,7,1),Orders!$B$2:$B$2027,"&lt;"&amp;DATE(2024,10,1),Orders!$U$2:$U$2027,"Mumbai")</f>
        <v>1217239.0099999998</v>
      </c>
      <c r="F5" s="23" t="s">
        <v>2991</v>
      </c>
      <c r="H5" t="str">
        <f>Sales_Reps!A2</f>
        <v>R001</v>
      </c>
      <c r="I5">
        <f>SUMIF(Orders!$E$2:$E$2027,H5,Orders!$I$2:$I$2027)</f>
        <v>789849.60000000009</v>
      </c>
    </row>
    <row r="6" spans="1:9" ht="42" customHeight="1" x14ac:dyDescent="0.35">
      <c r="A6" s="18" t="s">
        <v>2992</v>
      </c>
      <c r="B6" s="19" t="s">
        <v>2993</v>
      </c>
      <c r="C6" s="20">
        <v>3</v>
      </c>
      <c r="D6" s="21" t="s">
        <v>2994</v>
      </c>
      <c r="E6" s="27">
        <f>COUNTIFS(Orders!$H$2:$H$2027,"&gt;15",Orders!$J$2:$J$2027,"Completed")</f>
        <v>723</v>
      </c>
      <c r="F6" s="23" t="s">
        <v>2943</v>
      </c>
      <c r="H6" t="str">
        <f>Sales_Reps!A3</f>
        <v>R002</v>
      </c>
      <c r="I6">
        <f>SUMIF(Orders!$E$2:$E$2027,H6,Orders!$I$2:$I$2027)</f>
        <v>980063.65999999968</v>
      </c>
    </row>
    <row r="7" spans="1:9" ht="42" customHeight="1" x14ac:dyDescent="0.35">
      <c r="A7" s="18" t="s">
        <v>2995</v>
      </c>
      <c r="B7" s="19" t="s">
        <v>2996</v>
      </c>
      <c r="C7" s="20">
        <v>5</v>
      </c>
      <c r="D7" s="21" t="s">
        <v>2997</v>
      </c>
      <c r="E7" s="27">
        <f>AVERAGEIFS(Orders!$I$2:$I$2027,Orders!$L$2:$L$2027,"Electronics",Orders!$O$2:$O$2027,"Corporate")</f>
        <v>13981.401558441557</v>
      </c>
      <c r="F7" s="23" t="s">
        <v>2991</v>
      </c>
      <c r="H7" t="str">
        <f>Sales_Reps!A4</f>
        <v>R003</v>
      </c>
      <c r="I7">
        <f>SUMIF(Orders!$E$2:$E$2027,H7,Orders!$I$2:$I$2027)</f>
        <v>986692.91</v>
      </c>
    </row>
    <row r="8" spans="1:9" ht="42" customHeight="1" x14ac:dyDescent="0.35">
      <c r="A8" s="18" t="s">
        <v>2998</v>
      </c>
      <c r="B8" s="19" t="s">
        <v>2999</v>
      </c>
      <c r="C8" s="20">
        <v>4</v>
      </c>
      <c r="D8" s="21" t="s">
        <v>3000</v>
      </c>
      <c r="E8" s="27">
        <f>LARGE($I$5:$I$34,1)+LARGE($I$5:$I$34,2)+LARGE($I$5:$I$34,3)</f>
        <v>3342678.55</v>
      </c>
      <c r="F8" s="23" t="s">
        <v>2991</v>
      </c>
      <c r="H8" t="str">
        <f>Sales_Reps!A5</f>
        <v>R004</v>
      </c>
      <c r="I8">
        <f>SUMIF(Orders!$E$2:$E$2027,H8,Orders!$I$2:$I$2027)</f>
        <v>589026.2899999998</v>
      </c>
    </row>
    <row r="9" spans="1:9" ht="42" customHeight="1" x14ac:dyDescent="0.35">
      <c r="A9" s="18" t="s">
        <v>3001</v>
      </c>
      <c r="B9" s="19" t="s">
        <v>3002</v>
      </c>
      <c r="C9" s="20">
        <v>5</v>
      </c>
      <c r="D9" s="21" t="s">
        <v>3003</v>
      </c>
      <c r="E9" t="str">
        <f>IF(SUMIFS(Orders!$I$2:$I$2027,Orders!$E$2:$E$2027,"R015",Orders!$B$2:$B$2027,"&gt;="&amp;DATE(2024,11,1),Orders!$B$2:$B$2027,"&lt;"&amp;DATE(2024,12,1))/INDEX(Targets!$A$2:$M$31,MATCH("R015",Targets!$A$2:$A$31,0),MATCH("Nov-24",Targets!$A$1:$M$1,0))&lt;80%,"Below",IF(SUMIFS(Orders!$I$2:$I$2027,Orders!$E$2:$E$2027,"R015",Orders!$B$2:$B$2027,"&gt;="&amp;DATE(2024,11,1),Orders!$B$2:$B$2027,"&lt;"&amp;DATE(2024,12,1))/INDEX(Targets!$A$2:$M$31,MATCH("R015",Targets!$A$2:$A$31,0),MATCH("Nov-24",Targets!$A$1:$M$1,0))&lt;=120%,"On Track","Exceeds"))</f>
        <v>Below</v>
      </c>
      <c r="F9" s="23" t="s">
        <v>2936</v>
      </c>
      <c r="H9" t="str">
        <f>Sales_Reps!A6</f>
        <v>R005</v>
      </c>
      <c r="I9">
        <f>SUMIF(Orders!$E$2:$E$2027,H9,Orders!$I$2:$I$2027)</f>
        <v>782445.33</v>
      </c>
    </row>
    <row r="10" spans="1:9" ht="42" customHeight="1" x14ac:dyDescent="0.35">
      <c r="A10" s="18" t="s">
        <v>3004</v>
      </c>
      <c r="B10" s="19" t="s">
        <v>3005</v>
      </c>
      <c r="C10" s="20">
        <v>4</v>
      </c>
      <c r="D10" s="21" t="s">
        <v>3006</v>
      </c>
      <c r="E10" s="27">
        <f>SUMIFS(Orders!$I$2:$I$2027,Orders!$O$2:$O$2027,"Corporate",Orders!$P$2:$P$2027,"&gt;=30",Orders!$P$2:$P$2027,"&lt;=40")</f>
        <v>982568.40000000014</v>
      </c>
      <c r="F10" s="23" t="s">
        <v>2991</v>
      </c>
      <c r="H10" t="str">
        <f>Sales_Reps!A7</f>
        <v>R006</v>
      </c>
      <c r="I10">
        <f>SUMIF(Orders!$E$2:$E$2027,H10,Orders!$I$2:$I$2027)</f>
        <v>1138648.73</v>
      </c>
    </row>
    <row r="11" spans="1:9" ht="15" customHeight="1" x14ac:dyDescent="0.35">
      <c r="H11" t="str">
        <f>Sales_Reps!A8</f>
        <v>R007</v>
      </c>
      <c r="I11">
        <f>SUMIF(Orders!$E$2:$E$2027,H11,Orders!$I$2:$I$2027)</f>
        <v>855749.67999999982</v>
      </c>
    </row>
    <row r="12" spans="1:9" ht="15" customHeight="1" x14ac:dyDescent="0.35">
      <c r="H12" t="str">
        <f>Sales_Reps!A9</f>
        <v>R008</v>
      </c>
      <c r="I12">
        <f>SUMIF(Orders!$E$2:$E$2027,H12,Orders!$I$2:$I$2027)</f>
        <v>861553.33</v>
      </c>
    </row>
    <row r="13" spans="1:9" ht="15" customHeight="1" x14ac:dyDescent="0.35">
      <c r="H13" t="str">
        <f>Sales_Reps!A10</f>
        <v>R009</v>
      </c>
      <c r="I13">
        <f>SUMIF(Orders!$E$2:$E$2027,H13,Orders!$I$2:$I$2027)</f>
        <v>914554.71999999986</v>
      </c>
    </row>
    <row r="14" spans="1:9" ht="15" customHeight="1" x14ac:dyDescent="0.35">
      <c r="H14" t="str">
        <f>Sales_Reps!A11</f>
        <v>R010</v>
      </c>
      <c r="I14">
        <f>SUMIF(Orders!$E$2:$E$2027,H14,Orders!$I$2:$I$2027)</f>
        <v>880345.20000000007</v>
      </c>
    </row>
    <row r="15" spans="1:9" ht="15" customHeight="1" x14ac:dyDescent="0.35">
      <c r="H15" t="str">
        <f>Sales_Reps!A12</f>
        <v>R011</v>
      </c>
      <c r="I15">
        <f>SUMIF(Orders!$E$2:$E$2027,H15,Orders!$I$2:$I$2027)</f>
        <v>735207.75999999989</v>
      </c>
    </row>
    <row r="16" spans="1:9" ht="15" customHeight="1" x14ac:dyDescent="0.35">
      <c r="H16" t="str">
        <f>Sales_Reps!A13</f>
        <v>R012</v>
      </c>
      <c r="I16">
        <f>SUMIF(Orders!$E$2:$E$2027,H16,Orders!$I$2:$I$2027)</f>
        <v>901394.32000000007</v>
      </c>
    </row>
    <row r="17" spans="8:9" ht="15" customHeight="1" x14ac:dyDescent="0.35">
      <c r="H17" t="str">
        <f>Sales_Reps!A14</f>
        <v>R013</v>
      </c>
      <c r="I17">
        <f>SUMIF(Orders!$E$2:$E$2027,H17,Orders!$I$2:$I$2027)</f>
        <v>811524.37999999989</v>
      </c>
    </row>
    <row r="18" spans="8:9" ht="15" customHeight="1" x14ac:dyDescent="0.35">
      <c r="H18" t="str">
        <f>Sales_Reps!A15</f>
        <v>R014</v>
      </c>
      <c r="I18">
        <f>SUMIF(Orders!$E$2:$E$2027,H18,Orders!$I$2:$I$2027)</f>
        <v>995713.54000000015</v>
      </c>
    </row>
    <row r="19" spans="8:9" ht="15" customHeight="1" x14ac:dyDescent="0.35">
      <c r="H19" t="str">
        <f>Sales_Reps!A16</f>
        <v>R015</v>
      </c>
      <c r="I19">
        <f>SUMIF(Orders!$E$2:$E$2027,H19,Orders!$I$2:$I$2027)</f>
        <v>1091740.1799999997</v>
      </c>
    </row>
    <row r="20" spans="8:9" ht="15" customHeight="1" x14ac:dyDescent="0.35">
      <c r="H20" t="str">
        <f>Sales_Reps!A17</f>
        <v>R016</v>
      </c>
      <c r="I20">
        <f>SUMIF(Orders!$E$2:$E$2027,H20,Orders!$I$2:$I$2027)</f>
        <v>814563.7100000002</v>
      </c>
    </row>
    <row r="21" spans="8:9" ht="15" customHeight="1" x14ac:dyDescent="0.35">
      <c r="H21" t="str">
        <f>Sales_Reps!A18</f>
        <v>R017</v>
      </c>
      <c r="I21">
        <f>SUMIF(Orders!$E$2:$E$2027,H21,Orders!$I$2:$I$2027)</f>
        <v>780384.40999999992</v>
      </c>
    </row>
    <row r="22" spans="8:9" ht="15" customHeight="1" x14ac:dyDescent="0.35">
      <c r="H22" t="str">
        <f>Sales_Reps!A19</f>
        <v>R018</v>
      </c>
      <c r="I22">
        <f>SUMIF(Orders!$E$2:$E$2027,H22,Orders!$I$2:$I$2027)</f>
        <v>1112289.6400000001</v>
      </c>
    </row>
    <row r="23" spans="8:9" ht="15" customHeight="1" x14ac:dyDescent="0.35">
      <c r="H23" t="str">
        <f>Sales_Reps!A20</f>
        <v>R019</v>
      </c>
      <c r="I23">
        <f>SUMIF(Orders!$E$2:$E$2027,H23,Orders!$I$2:$I$2027)</f>
        <v>971183.52000000014</v>
      </c>
    </row>
    <row r="24" spans="8:9" ht="15" customHeight="1" x14ac:dyDescent="0.35">
      <c r="H24" t="str">
        <f>Sales_Reps!A21</f>
        <v>R020</v>
      </c>
      <c r="I24">
        <f>SUMIF(Orders!$E$2:$E$2027,H24,Orders!$I$2:$I$2027)</f>
        <v>906107.71000000008</v>
      </c>
    </row>
    <row r="25" spans="8:9" ht="15" customHeight="1" x14ac:dyDescent="0.35">
      <c r="H25" t="str">
        <f>Sales_Reps!A22</f>
        <v>R021</v>
      </c>
      <c r="I25">
        <f>SUMIF(Orders!$E$2:$E$2027,H25,Orders!$I$2:$I$2027)</f>
        <v>761507.17000000027</v>
      </c>
    </row>
    <row r="26" spans="8:9" ht="15" customHeight="1" x14ac:dyDescent="0.35">
      <c r="H26" t="str">
        <f>Sales_Reps!A23</f>
        <v>R022</v>
      </c>
      <c r="I26">
        <f>SUMIF(Orders!$E$2:$E$2027,H26,Orders!$I$2:$I$2027)</f>
        <v>1069570.5400000003</v>
      </c>
    </row>
    <row r="27" spans="8:9" ht="15" customHeight="1" x14ac:dyDescent="0.35">
      <c r="H27" t="str">
        <f>Sales_Reps!A24</f>
        <v>R023</v>
      </c>
      <c r="I27">
        <f>SUMIF(Orders!$E$2:$E$2027,H27,Orders!$I$2:$I$2027)</f>
        <v>983787.4800000001</v>
      </c>
    </row>
    <row r="28" spans="8:9" ht="15" customHeight="1" x14ac:dyDescent="0.35">
      <c r="H28" t="str">
        <f>Sales_Reps!A25</f>
        <v>R024</v>
      </c>
      <c r="I28">
        <f>SUMIF(Orders!$E$2:$E$2027,H28,Orders!$I$2:$I$2027)</f>
        <v>819558.58</v>
      </c>
    </row>
    <row r="29" spans="8:9" ht="15" customHeight="1" x14ac:dyDescent="0.35">
      <c r="H29" t="str">
        <f>Sales_Reps!A26</f>
        <v>R025</v>
      </c>
      <c r="I29">
        <f>SUMIF(Orders!$E$2:$E$2027,H29,Orders!$I$2:$I$2027)</f>
        <v>901298.89</v>
      </c>
    </row>
    <row r="30" spans="8:9" ht="15" customHeight="1" x14ac:dyDescent="0.35">
      <c r="H30" t="str">
        <f>Sales_Reps!A27</f>
        <v>R026</v>
      </c>
      <c r="I30">
        <f>SUMIF(Orders!$E$2:$E$2027,H30,Orders!$I$2:$I$2027)</f>
        <v>576305.08000000019</v>
      </c>
    </row>
    <row r="31" spans="8:9" ht="15" customHeight="1" x14ac:dyDescent="0.35">
      <c r="H31" t="str">
        <f>Sales_Reps!A28</f>
        <v>R027</v>
      </c>
      <c r="I31">
        <f>SUMIF(Orders!$E$2:$E$2027,H31,Orders!$I$2:$I$2027)</f>
        <v>917092.61999999965</v>
      </c>
    </row>
    <row r="32" spans="8:9" ht="15" customHeight="1" x14ac:dyDescent="0.35">
      <c r="H32" t="str">
        <f>Sales_Reps!A29</f>
        <v>R028</v>
      </c>
      <c r="I32">
        <f>SUMIF(Orders!$E$2:$E$2027,H32,Orders!$I$2:$I$2027)</f>
        <v>880468.05</v>
      </c>
    </row>
    <row r="33" spans="8:9" ht="15" customHeight="1" x14ac:dyDescent="0.35">
      <c r="H33" t="str">
        <f>Sales_Reps!A30</f>
        <v>R029</v>
      </c>
      <c r="I33">
        <f>SUMIF(Orders!$E$2:$E$2027,H33,Orders!$I$2:$I$2027)</f>
        <v>1016696.8000000002</v>
      </c>
    </row>
    <row r="34" spans="8:9" ht="15" customHeight="1" x14ac:dyDescent="0.35">
      <c r="H34" t="str">
        <f>Sales_Reps!A31</f>
        <v>R030</v>
      </c>
      <c r="I34">
        <f>SUMIF(Orders!$E$2:$E$2027,H34,Orders!$I$2:$I$2027)</f>
        <v>747624.36999999988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AL16"/>
  <sheetViews>
    <sheetView showGridLines="0" zoomScaleNormal="100" workbookViewId="0">
      <pane ySplit="4" topLeftCell="A7" activePane="bottomLeft" state="frozen"/>
      <selection pane="bottomLeft" activeCell="A2" sqref="A2:F2"/>
    </sheetView>
  </sheetViews>
  <sheetFormatPr defaultColWidth="8.7265625" defaultRowHeight="15" customHeight="1" x14ac:dyDescent="0.35"/>
  <cols>
    <col min="1" max="1" width="12" customWidth="1"/>
    <col min="2" max="2" width="60" customWidth="1"/>
    <col min="3" max="3" width="12" customWidth="1"/>
    <col min="4" max="4" width="30" customWidth="1"/>
    <col min="5" max="5" width="20" customWidth="1"/>
    <col min="6" max="6" width="15" customWidth="1"/>
    <col min="7" max="38" width="13" customWidth="1"/>
  </cols>
  <sheetData>
    <row r="1" spans="1:38" ht="30" customHeight="1" x14ac:dyDescent="0.35">
      <c r="A1" s="39" t="s">
        <v>3007</v>
      </c>
      <c r="B1" s="39"/>
      <c r="C1" s="39"/>
      <c r="D1" s="39"/>
      <c r="E1" s="39"/>
      <c r="F1" s="39"/>
    </row>
    <row r="2" spans="1:38" ht="15" customHeight="1" x14ac:dyDescent="0.35">
      <c r="A2" s="44" t="s">
        <v>3008</v>
      </c>
      <c r="B2" s="44"/>
      <c r="C2" s="44"/>
      <c r="D2" s="44"/>
      <c r="E2" s="44"/>
      <c r="F2" s="44"/>
    </row>
    <row r="3" spans="1:38" ht="15" customHeight="1" x14ac:dyDescent="0.35">
      <c r="H3" t="s">
        <v>3009</v>
      </c>
    </row>
    <row r="4" spans="1:38" ht="24" customHeight="1" x14ac:dyDescent="0.35">
      <c r="A4" s="2" t="s">
        <v>2923</v>
      </c>
      <c r="B4" s="2" t="s">
        <v>2924</v>
      </c>
      <c r="C4" s="2" t="s">
        <v>2461</v>
      </c>
      <c r="D4" s="2" t="s">
        <v>2925</v>
      </c>
      <c r="E4" s="2" t="s">
        <v>2926</v>
      </c>
      <c r="F4" s="2" t="s">
        <v>2927</v>
      </c>
      <c r="I4" t="str">
        <f>Sales_Reps!A2</f>
        <v>R001</v>
      </c>
      <c r="J4" t="str">
        <f>Sales_Reps!A3</f>
        <v>R002</v>
      </c>
      <c r="K4" t="str">
        <f>Sales_Reps!A4</f>
        <v>R003</v>
      </c>
      <c r="L4" t="str">
        <f>Sales_Reps!A5</f>
        <v>R004</v>
      </c>
      <c r="M4" t="str">
        <f>Sales_Reps!A6</f>
        <v>R005</v>
      </c>
      <c r="N4" t="str">
        <f>Sales_Reps!A7</f>
        <v>R006</v>
      </c>
      <c r="O4" t="str">
        <f>Sales_Reps!A8</f>
        <v>R007</v>
      </c>
      <c r="P4" t="str">
        <f>Sales_Reps!A9</f>
        <v>R008</v>
      </c>
      <c r="Q4" t="str">
        <f>Sales_Reps!A10</f>
        <v>R009</v>
      </c>
      <c r="R4" t="str">
        <f>Sales_Reps!A11</f>
        <v>R010</v>
      </c>
      <c r="S4" t="str">
        <f>Sales_Reps!A12</f>
        <v>R011</v>
      </c>
      <c r="T4" t="str">
        <f>Sales_Reps!A13</f>
        <v>R012</v>
      </c>
      <c r="U4" t="str">
        <f>Sales_Reps!A14</f>
        <v>R013</v>
      </c>
      <c r="V4" t="str">
        <f>Sales_Reps!A15</f>
        <v>R014</v>
      </c>
      <c r="W4" t="str">
        <f>Sales_Reps!A16</f>
        <v>R015</v>
      </c>
      <c r="X4" t="str">
        <f>Sales_Reps!A17</f>
        <v>R016</v>
      </c>
      <c r="Y4" t="str">
        <f>Sales_Reps!A18</f>
        <v>R017</v>
      </c>
      <c r="Z4" t="str">
        <f>Sales_Reps!A19</f>
        <v>R018</v>
      </c>
      <c r="AA4" t="str">
        <f>Sales_Reps!A20</f>
        <v>R019</v>
      </c>
      <c r="AB4" t="str">
        <f>Sales_Reps!A21</f>
        <v>R020</v>
      </c>
      <c r="AC4" t="str">
        <f>Sales_Reps!A22</f>
        <v>R021</v>
      </c>
      <c r="AD4" t="str">
        <f>Sales_Reps!A23</f>
        <v>R022</v>
      </c>
      <c r="AE4" t="str">
        <f>Sales_Reps!A24</f>
        <v>R023</v>
      </c>
      <c r="AF4" t="str">
        <f>Sales_Reps!A25</f>
        <v>R024</v>
      </c>
      <c r="AG4" t="str">
        <f>Sales_Reps!A26</f>
        <v>R025</v>
      </c>
      <c r="AH4" t="str">
        <f>Sales_Reps!A27</f>
        <v>R026</v>
      </c>
      <c r="AI4" t="str">
        <f>Sales_Reps!A28</f>
        <v>R027</v>
      </c>
      <c r="AJ4" t="str">
        <f>Sales_Reps!A29</f>
        <v>R028</v>
      </c>
      <c r="AK4" t="str">
        <f>Sales_Reps!A30</f>
        <v>R029</v>
      </c>
      <c r="AL4" t="str">
        <f>Sales_Reps!A31</f>
        <v>R030</v>
      </c>
    </row>
    <row r="5" spans="1:38" ht="42" customHeight="1" x14ac:dyDescent="0.35">
      <c r="A5" s="28" t="s">
        <v>3010</v>
      </c>
      <c r="B5" s="29" t="s">
        <v>3011</v>
      </c>
      <c r="C5" s="30">
        <v>4</v>
      </c>
      <c r="D5" s="31" t="s">
        <v>3012</v>
      </c>
      <c r="E5" s="32">
        <f>SUMIFS(Orders!$I$2:$I$2027,Orders!$M$2:$M$2027,"South",Orders!$L$2:$L$2027,"Electronics")</f>
        <v>1314107.3899999999</v>
      </c>
      <c r="F5" s="33" t="s">
        <v>2991</v>
      </c>
      <c r="H5" s="34">
        <f>DATE(2024,1,1)</f>
        <v>45292</v>
      </c>
      <c r="I5">
        <f>SUMIFS(Orders!$I$2:$I$2027,Orders!$B$2:$B$2027,"&gt;="&amp;$H5,Orders!$B$2:$B$2027,"&lt;"&amp;EDATE($H5,1),Orders!$E$2:$E$2027,I$4)</f>
        <v>43650.559999999998</v>
      </c>
      <c r="J5">
        <f>SUMIFS(Orders!$I$2:$I$2027,Orders!$B$2:$B$2027,"&gt;="&amp;$H5,Orders!$B$2:$B$2027,"&lt;"&amp;EDATE($H5,1),Orders!$E$2:$E$2027,J$4)</f>
        <v>51707.32</v>
      </c>
      <c r="K5">
        <f>SUMIFS(Orders!$I$2:$I$2027,Orders!$B$2:$B$2027,"&gt;="&amp;$H5,Orders!$B$2:$B$2027,"&lt;"&amp;EDATE($H5,1),Orders!$E$2:$E$2027,K$4)</f>
        <v>54307</v>
      </c>
      <c r="L5">
        <f>SUMIFS(Orders!$I$2:$I$2027,Orders!$B$2:$B$2027,"&gt;="&amp;$H5,Orders!$B$2:$B$2027,"&lt;"&amp;EDATE($H5,1),Orders!$E$2:$E$2027,L$4)</f>
        <v>57892.110000000008</v>
      </c>
      <c r="M5">
        <f>SUMIFS(Orders!$I$2:$I$2027,Orders!$B$2:$B$2027,"&gt;="&amp;$H5,Orders!$B$2:$B$2027,"&lt;"&amp;EDATE($H5,1),Orders!$E$2:$E$2027,M$4)</f>
        <v>70665.509999999995</v>
      </c>
      <c r="N5">
        <f>SUMIFS(Orders!$I$2:$I$2027,Orders!$B$2:$B$2027,"&gt;="&amp;$H5,Orders!$B$2:$B$2027,"&lt;"&amp;EDATE($H5,1),Orders!$E$2:$E$2027,N$4)</f>
        <v>84968.56</v>
      </c>
      <c r="O5">
        <f>SUMIFS(Orders!$I$2:$I$2027,Orders!$B$2:$B$2027,"&gt;="&amp;$H5,Orders!$B$2:$B$2027,"&lt;"&amp;EDATE($H5,1),Orders!$E$2:$E$2027,O$4)</f>
        <v>92029.91</v>
      </c>
      <c r="P5">
        <f>SUMIFS(Orders!$I$2:$I$2027,Orders!$B$2:$B$2027,"&gt;="&amp;$H5,Orders!$B$2:$B$2027,"&lt;"&amp;EDATE($H5,1),Orders!$E$2:$E$2027,P$4)</f>
        <v>61557.020000000004</v>
      </c>
      <c r="Q5">
        <f>SUMIFS(Orders!$I$2:$I$2027,Orders!$B$2:$B$2027,"&gt;="&amp;$H5,Orders!$B$2:$B$2027,"&lt;"&amp;EDATE($H5,1),Orders!$E$2:$E$2027,Q$4)</f>
        <v>125547.54</v>
      </c>
      <c r="R5">
        <f>SUMIFS(Orders!$I$2:$I$2027,Orders!$B$2:$B$2027,"&gt;="&amp;$H5,Orders!$B$2:$B$2027,"&lt;"&amp;EDATE($H5,1),Orders!$E$2:$E$2027,R$4)</f>
        <v>43078.21</v>
      </c>
      <c r="S5">
        <f>SUMIFS(Orders!$I$2:$I$2027,Orders!$B$2:$B$2027,"&gt;="&amp;$H5,Orders!$B$2:$B$2027,"&lt;"&amp;EDATE($H5,1),Orders!$E$2:$E$2027,S$4)</f>
        <v>88791.72</v>
      </c>
      <c r="T5">
        <f>SUMIFS(Orders!$I$2:$I$2027,Orders!$B$2:$B$2027,"&gt;="&amp;$H5,Orders!$B$2:$B$2027,"&lt;"&amp;EDATE($H5,1),Orders!$E$2:$E$2027,T$4)</f>
        <v>70680.03</v>
      </c>
      <c r="U5">
        <f>SUMIFS(Orders!$I$2:$I$2027,Orders!$B$2:$B$2027,"&gt;="&amp;$H5,Orders!$B$2:$B$2027,"&lt;"&amp;EDATE($H5,1),Orders!$E$2:$E$2027,U$4)</f>
        <v>51609.120000000003</v>
      </c>
      <c r="V5">
        <f>SUMIFS(Orders!$I$2:$I$2027,Orders!$B$2:$B$2027,"&gt;="&amp;$H5,Orders!$B$2:$B$2027,"&lt;"&amp;EDATE($H5,1),Orders!$E$2:$E$2027,V$4)</f>
        <v>87497.74</v>
      </c>
      <c r="W5">
        <f>SUMIFS(Orders!$I$2:$I$2027,Orders!$B$2:$B$2027,"&gt;="&amp;$H5,Orders!$B$2:$B$2027,"&lt;"&amp;EDATE($H5,1),Orders!$E$2:$E$2027,W$4)</f>
        <v>118901.05999999998</v>
      </c>
      <c r="X5">
        <f>SUMIFS(Orders!$I$2:$I$2027,Orders!$B$2:$B$2027,"&gt;="&amp;$H5,Orders!$B$2:$B$2027,"&lt;"&amp;EDATE($H5,1),Orders!$E$2:$E$2027,X$4)</f>
        <v>62195.839999999997</v>
      </c>
      <c r="Y5">
        <f>SUMIFS(Orders!$I$2:$I$2027,Orders!$B$2:$B$2027,"&gt;="&amp;$H5,Orders!$B$2:$B$2027,"&lt;"&amp;EDATE($H5,1),Orders!$E$2:$E$2027,Y$4)</f>
        <v>73856.39</v>
      </c>
      <c r="Z5">
        <f>SUMIFS(Orders!$I$2:$I$2027,Orders!$B$2:$B$2027,"&gt;="&amp;$H5,Orders!$B$2:$B$2027,"&lt;"&amp;EDATE($H5,1),Orders!$E$2:$E$2027,Z$4)</f>
        <v>101638.5</v>
      </c>
      <c r="AA5">
        <f>SUMIFS(Orders!$I$2:$I$2027,Orders!$B$2:$B$2027,"&gt;="&amp;$H5,Orders!$B$2:$B$2027,"&lt;"&amp;EDATE($H5,1),Orders!$E$2:$E$2027,AA$4)</f>
        <v>30895.18</v>
      </c>
      <c r="AB5">
        <f>SUMIFS(Orders!$I$2:$I$2027,Orders!$B$2:$B$2027,"&gt;="&amp;$H5,Orders!$B$2:$B$2027,"&lt;"&amp;EDATE($H5,1),Orders!$E$2:$E$2027,AB$4)</f>
        <v>41744.44000000001</v>
      </c>
      <c r="AC5">
        <f>SUMIFS(Orders!$I$2:$I$2027,Orders!$B$2:$B$2027,"&gt;="&amp;$H5,Orders!$B$2:$B$2027,"&lt;"&amp;EDATE($H5,1),Orders!$E$2:$E$2027,AC$4)</f>
        <v>2689.92</v>
      </c>
      <c r="AD5">
        <f>SUMIFS(Orders!$I$2:$I$2027,Orders!$B$2:$B$2027,"&gt;="&amp;$H5,Orders!$B$2:$B$2027,"&lt;"&amp;EDATE($H5,1),Orders!$E$2:$E$2027,AD$4)</f>
        <v>158207.84</v>
      </c>
      <c r="AE5">
        <f>SUMIFS(Orders!$I$2:$I$2027,Orders!$B$2:$B$2027,"&gt;="&amp;$H5,Orders!$B$2:$B$2027,"&lt;"&amp;EDATE($H5,1),Orders!$E$2:$E$2027,AE$4)</f>
        <v>54606.060000000005</v>
      </c>
      <c r="AF5">
        <f>SUMIFS(Orders!$I$2:$I$2027,Orders!$B$2:$B$2027,"&gt;="&amp;$H5,Orders!$B$2:$B$2027,"&lt;"&amp;EDATE($H5,1),Orders!$E$2:$E$2027,AF$4)</f>
        <v>24937.08</v>
      </c>
      <c r="AG5">
        <f>SUMIFS(Orders!$I$2:$I$2027,Orders!$B$2:$B$2027,"&gt;="&amp;$H5,Orders!$B$2:$B$2027,"&lt;"&amp;EDATE($H5,1),Orders!$E$2:$E$2027,AG$4)</f>
        <v>56041.840000000004</v>
      </c>
      <c r="AH5">
        <f>SUMIFS(Orders!$I$2:$I$2027,Orders!$B$2:$B$2027,"&gt;="&amp;$H5,Orders!$B$2:$B$2027,"&lt;"&amp;EDATE($H5,1),Orders!$E$2:$E$2027,AH$4)</f>
        <v>12767.82</v>
      </c>
      <c r="AI5">
        <f>SUMIFS(Orders!$I$2:$I$2027,Orders!$B$2:$B$2027,"&gt;="&amp;$H5,Orders!$B$2:$B$2027,"&lt;"&amp;EDATE($H5,1),Orders!$E$2:$E$2027,AI$4)</f>
        <v>77569.16</v>
      </c>
      <c r="AJ5">
        <f>SUMIFS(Orders!$I$2:$I$2027,Orders!$B$2:$B$2027,"&gt;="&amp;$H5,Orders!$B$2:$B$2027,"&lt;"&amp;EDATE($H5,1),Orders!$E$2:$E$2027,AJ$4)</f>
        <v>36574.000000000007</v>
      </c>
      <c r="AK5">
        <f>SUMIFS(Orders!$I$2:$I$2027,Orders!$B$2:$B$2027,"&gt;="&amp;$H5,Orders!$B$2:$B$2027,"&lt;"&amp;EDATE($H5,1),Orders!$E$2:$E$2027,AK$4)</f>
        <v>45369.15</v>
      </c>
      <c r="AL5">
        <f>SUMIFS(Orders!$I$2:$I$2027,Orders!$B$2:$B$2027,"&gt;="&amp;$H5,Orders!$B$2:$B$2027,"&lt;"&amp;EDATE($H5,1),Orders!$E$2:$E$2027,AL$4)</f>
        <v>59170.81</v>
      </c>
    </row>
    <row r="6" spans="1:38" ht="42" customHeight="1" x14ac:dyDescent="0.35">
      <c r="A6" s="28" t="s">
        <v>3013</v>
      </c>
      <c r="B6" s="29" t="s">
        <v>3014</v>
      </c>
      <c r="C6" s="30">
        <v>4</v>
      </c>
      <c r="D6" s="31" t="s">
        <v>3015</v>
      </c>
      <c r="E6" s="32">
        <f>MAX($I$5:$AL$16)</f>
        <v>216421.52000000002</v>
      </c>
      <c r="F6" s="33" t="s">
        <v>2991</v>
      </c>
      <c r="H6" s="34">
        <f>DATE(2024,2,1)</f>
        <v>45323</v>
      </c>
      <c r="I6">
        <f>SUMIFS(Orders!$I$2:$I$2027,Orders!$B$2:$B$2027,"&gt;="&amp;$H6,Orders!$B$2:$B$2027,"&lt;"&amp;EDATE($H6,1),Orders!$E$2:$E$2027,I$4)</f>
        <v>127005.17000000001</v>
      </c>
      <c r="J6">
        <f>SUMIFS(Orders!$I$2:$I$2027,Orders!$B$2:$B$2027,"&gt;="&amp;$H6,Orders!$B$2:$B$2027,"&lt;"&amp;EDATE($H6,1),Orders!$E$2:$E$2027,J$4)</f>
        <v>125187.78</v>
      </c>
      <c r="K6">
        <f>SUMIFS(Orders!$I$2:$I$2027,Orders!$B$2:$B$2027,"&gt;="&amp;$H6,Orders!$B$2:$B$2027,"&lt;"&amp;EDATE($H6,1),Orders!$E$2:$E$2027,K$4)</f>
        <v>32452</v>
      </c>
      <c r="L6">
        <f>SUMIFS(Orders!$I$2:$I$2027,Orders!$B$2:$B$2027,"&gt;="&amp;$H6,Orders!$B$2:$B$2027,"&lt;"&amp;EDATE($H6,1),Orders!$E$2:$E$2027,L$4)</f>
        <v>58818.559999999998</v>
      </c>
      <c r="M6">
        <f>SUMIFS(Orders!$I$2:$I$2027,Orders!$B$2:$B$2027,"&gt;="&amp;$H6,Orders!$B$2:$B$2027,"&lt;"&amp;EDATE($H6,1),Orders!$E$2:$E$2027,M$4)</f>
        <v>57914.81</v>
      </c>
      <c r="N6">
        <f>SUMIFS(Orders!$I$2:$I$2027,Orders!$B$2:$B$2027,"&gt;="&amp;$H6,Orders!$B$2:$B$2027,"&lt;"&amp;EDATE($H6,1),Orders!$E$2:$E$2027,N$4)</f>
        <v>34581.99</v>
      </c>
      <c r="O6">
        <f>SUMIFS(Orders!$I$2:$I$2027,Orders!$B$2:$B$2027,"&gt;="&amp;$H6,Orders!$B$2:$B$2027,"&lt;"&amp;EDATE($H6,1),Orders!$E$2:$E$2027,O$4)</f>
        <v>130276.04</v>
      </c>
      <c r="P6">
        <f>SUMIFS(Orders!$I$2:$I$2027,Orders!$B$2:$B$2027,"&gt;="&amp;$H6,Orders!$B$2:$B$2027,"&lt;"&amp;EDATE($H6,1),Orders!$E$2:$E$2027,P$4)</f>
        <v>23463.300000000003</v>
      </c>
      <c r="Q6">
        <f>SUMIFS(Orders!$I$2:$I$2027,Orders!$B$2:$B$2027,"&gt;="&amp;$H6,Orders!$B$2:$B$2027,"&lt;"&amp;EDATE($H6,1),Orders!$E$2:$E$2027,Q$4)</f>
        <v>25935.550000000003</v>
      </c>
      <c r="R6">
        <f>SUMIFS(Orders!$I$2:$I$2027,Orders!$B$2:$B$2027,"&gt;="&amp;$H6,Orders!$B$2:$B$2027,"&lt;"&amp;EDATE($H6,1),Orders!$E$2:$E$2027,R$4)</f>
        <v>74555.64</v>
      </c>
      <c r="S6">
        <f>SUMIFS(Orders!$I$2:$I$2027,Orders!$B$2:$B$2027,"&gt;="&amp;$H6,Orders!$B$2:$B$2027,"&lt;"&amp;EDATE($H6,1),Orders!$E$2:$E$2027,S$4)</f>
        <v>112894.06000000001</v>
      </c>
      <c r="T6">
        <f>SUMIFS(Orders!$I$2:$I$2027,Orders!$B$2:$B$2027,"&gt;="&amp;$H6,Orders!$B$2:$B$2027,"&lt;"&amp;EDATE($H6,1),Orders!$E$2:$E$2027,T$4)</f>
        <v>110195.45999999999</v>
      </c>
      <c r="U6">
        <f>SUMIFS(Orders!$I$2:$I$2027,Orders!$B$2:$B$2027,"&gt;="&amp;$H6,Orders!$B$2:$B$2027,"&lt;"&amp;EDATE($H6,1),Orders!$E$2:$E$2027,U$4)</f>
        <v>139218.07999999999</v>
      </c>
      <c r="V6">
        <f>SUMIFS(Orders!$I$2:$I$2027,Orders!$B$2:$B$2027,"&gt;="&amp;$H6,Orders!$B$2:$B$2027,"&lt;"&amp;EDATE($H6,1),Orders!$E$2:$E$2027,V$4)</f>
        <v>79488</v>
      </c>
      <c r="W6">
        <f>SUMIFS(Orders!$I$2:$I$2027,Orders!$B$2:$B$2027,"&gt;="&amp;$H6,Orders!$B$2:$B$2027,"&lt;"&amp;EDATE($H6,1),Orders!$E$2:$E$2027,W$4)</f>
        <v>89654.68</v>
      </c>
      <c r="X6">
        <f>SUMIFS(Orders!$I$2:$I$2027,Orders!$B$2:$B$2027,"&gt;="&amp;$H6,Orders!$B$2:$B$2027,"&lt;"&amp;EDATE($H6,1),Orders!$E$2:$E$2027,X$4)</f>
        <v>90583.239999999991</v>
      </c>
      <c r="Y6">
        <f>SUMIFS(Orders!$I$2:$I$2027,Orders!$B$2:$B$2027,"&gt;="&amp;$H6,Orders!$B$2:$B$2027,"&lt;"&amp;EDATE($H6,1),Orders!$E$2:$E$2027,Y$4)</f>
        <v>27297.839999999997</v>
      </c>
      <c r="Z6">
        <f>SUMIFS(Orders!$I$2:$I$2027,Orders!$B$2:$B$2027,"&gt;="&amp;$H6,Orders!$B$2:$B$2027,"&lt;"&amp;EDATE($H6,1),Orders!$E$2:$E$2027,Z$4)</f>
        <v>121362.43999999999</v>
      </c>
      <c r="AA6">
        <f>SUMIFS(Orders!$I$2:$I$2027,Orders!$B$2:$B$2027,"&gt;="&amp;$H6,Orders!$B$2:$B$2027,"&lt;"&amp;EDATE($H6,1),Orders!$E$2:$E$2027,AA$4)</f>
        <v>97513.340000000011</v>
      </c>
      <c r="AB6">
        <f>SUMIFS(Orders!$I$2:$I$2027,Orders!$B$2:$B$2027,"&gt;="&amp;$H6,Orders!$B$2:$B$2027,"&lt;"&amp;EDATE($H6,1),Orders!$E$2:$E$2027,AB$4)</f>
        <v>13855.82</v>
      </c>
      <c r="AC6">
        <f>SUMIFS(Orders!$I$2:$I$2027,Orders!$B$2:$B$2027,"&gt;="&amp;$H6,Orders!$B$2:$B$2027,"&lt;"&amp;EDATE($H6,1),Orders!$E$2:$E$2027,AC$4)</f>
        <v>104662.05</v>
      </c>
      <c r="AD6">
        <f>SUMIFS(Orders!$I$2:$I$2027,Orders!$B$2:$B$2027,"&gt;="&amp;$H6,Orders!$B$2:$B$2027,"&lt;"&amp;EDATE($H6,1),Orders!$E$2:$E$2027,AD$4)</f>
        <v>46819.11</v>
      </c>
      <c r="AE6">
        <f>SUMIFS(Orders!$I$2:$I$2027,Orders!$B$2:$B$2027,"&gt;="&amp;$H6,Orders!$B$2:$B$2027,"&lt;"&amp;EDATE($H6,1),Orders!$E$2:$E$2027,AE$4)</f>
        <v>120382.87</v>
      </c>
      <c r="AF6">
        <f>SUMIFS(Orders!$I$2:$I$2027,Orders!$B$2:$B$2027,"&gt;="&amp;$H6,Orders!$B$2:$B$2027,"&lt;"&amp;EDATE($H6,1),Orders!$E$2:$E$2027,AF$4)</f>
        <v>97833.739999999991</v>
      </c>
      <c r="AG6">
        <f>SUMIFS(Orders!$I$2:$I$2027,Orders!$B$2:$B$2027,"&gt;="&amp;$H6,Orders!$B$2:$B$2027,"&lt;"&amp;EDATE($H6,1),Orders!$E$2:$E$2027,AG$4)</f>
        <v>43978.47</v>
      </c>
      <c r="AH6">
        <f>SUMIFS(Orders!$I$2:$I$2027,Orders!$B$2:$B$2027,"&gt;="&amp;$H6,Orders!$B$2:$B$2027,"&lt;"&amp;EDATE($H6,1),Orders!$E$2:$E$2027,AH$4)</f>
        <v>18592.259999999998</v>
      </c>
      <c r="AI6">
        <f>SUMIFS(Orders!$I$2:$I$2027,Orders!$B$2:$B$2027,"&gt;="&amp;$H6,Orders!$B$2:$B$2027,"&lt;"&amp;EDATE($H6,1),Orders!$E$2:$E$2027,AI$4)</f>
        <v>80384.530000000013</v>
      </c>
      <c r="AJ6">
        <f>SUMIFS(Orders!$I$2:$I$2027,Orders!$B$2:$B$2027,"&gt;="&amp;$H6,Orders!$B$2:$B$2027,"&lt;"&amp;EDATE($H6,1),Orders!$E$2:$E$2027,AJ$4)</f>
        <v>63178.48</v>
      </c>
      <c r="AK6">
        <f>SUMIFS(Orders!$I$2:$I$2027,Orders!$B$2:$B$2027,"&gt;="&amp;$H6,Orders!$B$2:$B$2027,"&lt;"&amp;EDATE($H6,1),Orders!$E$2:$E$2027,AK$4)</f>
        <v>142134.07</v>
      </c>
      <c r="AL6">
        <f>SUMIFS(Orders!$I$2:$I$2027,Orders!$B$2:$B$2027,"&gt;="&amp;$H6,Orders!$B$2:$B$2027,"&lt;"&amp;EDATE($H6,1),Orders!$E$2:$E$2027,AL$4)</f>
        <v>17274.29</v>
      </c>
    </row>
    <row r="7" spans="1:38" ht="42" customHeight="1" x14ac:dyDescent="0.35">
      <c r="A7" s="28" t="s">
        <v>3016</v>
      </c>
      <c r="B7" s="29" t="s">
        <v>3017</v>
      </c>
      <c r="C7" s="30">
        <v>4</v>
      </c>
      <c r="D7" s="31" t="s">
        <v>3018</v>
      </c>
      <c r="E7" s="35">
        <f>SUMIFS(Orders!$I$2:$I$2027,Orders!$M$2:$M$2027,"North",Orders!$L$2:$L$2027,"Apparel")/SUMIFS(Orders!$I$2:$I$2027,Orders!$M$2:$M$2027,"North")</f>
        <v>0.14023150471988341</v>
      </c>
      <c r="F7" s="33" t="s">
        <v>3019</v>
      </c>
      <c r="H7" s="34">
        <f>DATE(2024,3,1)</f>
        <v>45352</v>
      </c>
      <c r="I7">
        <f>SUMIFS(Orders!$I$2:$I$2027,Orders!$B$2:$B$2027,"&gt;="&amp;$H7,Orders!$B$2:$B$2027,"&lt;"&amp;EDATE($H7,1),Orders!$E$2:$E$2027,I$4)</f>
        <v>58208.49</v>
      </c>
      <c r="J7">
        <f>SUMIFS(Orders!$I$2:$I$2027,Orders!$B$2:$B$2027,"&gt;="&amp;$H7,Orders!$B$2:$B$2027,"&lt;"&amp;EDATE($H7,1),Orders!$E$2:$E$2027,J$4)</f>
        <v>53533</v>
      </c>
      <c r="K7">
        <f>SUMIFS(Orders!$I$2:$I$2027,Orders!$B$2:$B$2027,"&gt;="&amp;$H7,Orders!$B$2:$B$2027,"&lt;"&amp;EDATE($H7,1),Orders!$E$2:$E$2027,K$4)</f>
        <v>107489.23000000001</v>
      </c>
      <c r="L7">
        <f>SUMIFS(Orders!$I$2:$I$2027,Orders!$B$2:$B$2027,"&gt;="&amp;$H7,Orders!$B$2:$B$2027,"&lt;"&amp;EDATE($H7,1),Orders!$E$2:$E$2027,L$4)</f>
        <v>14394.38</v>
      </c>
      <c r="M7">
        <f>SUMIFS(Orders!$I$2:$I$2027,Orders!$B$2:$B$2027,"&gt;="&amp;$H7,Orders!$B$2:$B$2027,"&lt;"&amp;EDATE($H7,1),Orders!$E$2:$E$2027,M$4)</f>
        <v>85853.430000000008</v>
      </c>
      <c r="N7">
        <f>SUMIFS(Orders!$I$2:$I$2027,Orders!$B$2:$B$2027,"&gt;="&amp;$H7,Orders!$B$2:$B$2027,"&lt;"&amp;EDATE($H7,1),Orders!$E$2:$E$2027,N$4)</f>
        <v>145435.13</v>
      </c>
      <c r="O7">
        <f>SUMIFS(Orders!$I$2:$I$2027,Orders!$B$2:$B$2027,"&gt;="&amp;$H7,Orders!$B$2:$B$2027,"&lt;"&amp;EDATE($H7,1),Orders!$E$2:$E$2027,O$4)</f>
        <v>105489.82999999999</v>
      </c>
      <c r="P7">
        <f>SUMIFS(Orders!$I$2:$I$2027,Orders!$B$2:$B$2027,"&gt;="&amp;$H7,Orders!$B$2:$B$2027,"&lt;"&amp;EDATE($H7,1),Orders!$E$2:$E$2027,P$4)</f>
        <v>164615.04999999999</v>
      </c>
      <c r="Q7">
        <f>SUMIFS(Orders!$I$2:$I$2027,Orders!$B$2:$B$2027,"&gt;="&amp;$H7,Orders!$B$2:$B$2027,"&lt;"&amp;EDATE($H7,1),Orders!$E$2:$E$2027,Q$4)</f>
        <v>19130.39</v>
      </c>
      <c r="R7">
        <f>SUMIFS(Orders!$I$2:$I$2027,Orders!$B$2:$B$2027,"&gt;="&amp;$H7,Orders!$B$2:$B$2027,"&lt;"&amp;EDATE($H7,1),Orders!$E$2:$E$2027,R$4)</f>
        <v>0</v>
      </c>
      <c r="S7">
        <f>SUMIFS(Orders!$I$2:$I$2027,Orders!$B$2:$B$2027,"&gt;="&amp;$H7,Orders!$B$2:$B$2027,"&lt;"&amp;EDATE($H7,1),Orders!$E$2:$E$2027,S$4)</f>
        <v>77891.760000000009</v>
      </c>
      <c r="T7">
        <f>SUMIFS(Orders!$I$2:$I$2027,Orders!$B$2:$B$2027,"&gt;="&amp;$H7,Orders!$B$2:$B$2027,"&lt;"&amp;EDATE($H7,1),Orders!$E$2:$E$2027,T$4)</f>
        <v>20450.240000000002</v>
      </c>
      <c r="U7">
        <f>SUMIFS(Orders!$I$2:$I$2027,Orders!$B$2:$B$2027,"&gt;="&amp;$H7,Orders!$B$2:$B$2027,"&lt;"&amp;EDATE($H7,1),Orders!$E$2:$E$2027,U$4)</f>
        <v>80024.44</v>
      </c>
      <c r="V7">
        <f>SUMIFS(Orders!$I$2:$I$2027,Orders!$B$2:$B$2027,"&gt;="&amp;$H7,Orders!$B$2:$B$2027,"&lt;"&amp;EDATE($H7,1),Orders!$E$2:$E$2027,V$4)</f>
        <v>85611.839999999997</v>
      </c>
      <c r="W7">
        <f>SUMIFS(Orders!$I$2:$I$2027,Orders!$B$2:$B$2027,"&gt;="&amp;$H7,Orders!$B$2:$B$2027,"&lt;"&amp;EDATE($H7,1),Orders!$E$2:$E$2027,W$4)</f>
        <v>67837.490000000005</v>
      </c>
      <c r="X7">
        <f>SUMIFS(Orders!$I$2:$I$2027,Orders!$B$2:$B$2027,"&gt;="&amp;$H7,Orders!$B$2:$B$2027,"&lt;"&amp;EDATE($H7,1),Orders!$E$2:$E$2027,X$4)</f>
        <v>153834.45000000001</v>
      </c>
      <c r="Y7">
        <f>SUMIFS(Orders!$I$2:$I$2027,Orders!$B$2:$B$2027,"&gt;="&amp;$H7,Orders!$B$2:$B$2027,"&lt;"&amp;EDATE($H7,1),Orders!$E$2:$E$2027,Y$4)</f>
        <v>120293.66</v>
      </c>
      <c r="Z7">
        <f>SUMIFS(Orders!$I$2:$I$2027,Orders!$B$2:$B$2027,"&gt;="&amp;$H7,Orders!$B$2:$B$2027,"&lt;"&amp;EDATE($H7,1),Orders!$E$2:$E$2027,Z$4)</f>
        <v>51595.619999999995</v>
      </c>
      <c r="AA7">
        <f>SUMIFS(Orders!$I$2:$I$2027,Orders!$B$2:$B$2027,"&gt;="&amp;$H7,Orders!$B$2:$B$2027,"&lt;"&amp;EDATE($H7,1),Orders!$E$2:$E$2027,AA$4)</f>
        <v>68954.539999999994</v>
      </c>
      <c r="AB7">
        <f>SUMIFS(Orders!$I$2:$I$2027,Orders!$B$2:$B$2027,"&gt;="&amp;$H7,Orders!$B$2:$B$2027,"&lt;"&amp;EDATE($H7,1),Orders!$E$2:$E$2027,AB$4)</f>
        <v>215416.30000000002</v>
      </c>
      <c r="AC7">
        <f>SUMIFS(Orders!$I$2:$I$2027,Orders!$B$2:$B$2027,"&gt;="&amp;$H7,Orders!$B$2:$B$2027,"&lt;"&amp;EDATE($H7,1),Orders!$E$2:$E$2027,AC$4)</f>
        <v>100685.62</v>
      </c>
      <c r="AD7">
        <f>SUMIFS(Orders!$I$2:$I$2027,Orders!$B$2:$B$2027,"&gt;="&amp;$H7,Orders!$B$2:$B$2027,"&lt;"&amp;EDATE($H7,1),Orders!$E$2:$E$2027,AD$4)</f>
        <v>51327.360000000001</v>
      </c>
      <c r="AE7">
        <f>SUMIFS(Orders!$I$2:$I$2027,Orders!$B$2:$B$2027,"&gt;="&amp;$H7,Orders!$B$2:$B$2027,"&lt;"&amp;EDATE($H7,1),Orders!$E$2:$E$2027,AE$4)</f>
        <v>82920.600000000006</v>
      </c>
      <c r="AF7">
        <f>SUMIFS(Orders!$I$2:$I$2027,Orders!$B$2:$B$2027,"&gt;="&amp;$H7,Orders!$B$2:$B$2027,"&lt;"&amp;EDATE($H7,1),Orders!$E$2:$E$2027,AF$4)</f>
        <v>63984.05</v>
      </c>
      <c r="AG7">
        <f>SUMIFS(Orders!$I$2:$I$2027,Orders!$B$2:$B$2027,"&gt;="&amp;$H7,Orders!$B$2:$B$2027,"&lt;"&amp;EDATE($H7,1),Orders!$E$2:$E$2027,AG$4)</f>
        <v>130752.95000000001</v>
      </c>
      <c r="AH7">
        <f>SUMIFS(Orders!$I$2:$I$2027,Orders!$B$2:$B$2027,"&gt;="&amp;$H7,Orders!$B$2:$B$2027,"&lt;"&amp;EDATE($H7,1),Orders!$E$2:$E$2027,AH$4)</f>
        <v>66759.360000000001</v>
      </c>
      <c r="AI7">
        <f>SUMIFS(Orders!$I$2:$I$2027,Orders!$B$2:$B$2027,"&gt;="&amp;$H7,Orders!$B$2:$B$2027,"&lt;"&amp;EDATE($H7,1),Orders!$E$2:$E$2027,AI$4)</f>
        <v>36563.800000000003</v>
      </c>
      <c r="AJ7">
        <f>SUMIFS(Orders!$I$2:$I$2027,Orders!$B$2:$B$2027,"&gt;="&amp;$H7,Orders!$B$2:$B$2027,"&lt;"&amp;EDATE($H7,1),Orders!$E$2:$E$2027,AJ$4)</f>
        <v>65497.58</v>
      </c>
      <c r="AK7">
        <f>SUMIFS(Orders!$I$2:$I$2027,Orders!$B$2:$B$2027,"&gt;="&amp;$H7,Orders!$B$2:$B$2027,"&lt;"&amp;EDATE($H7,1),Orders!$E$2:$E$2027,AK$4)</f>
        <v>63730.97</v>
      </c>
      <c r="AL7">
        <f>SUMIFS(Orders!$I$2:$I$2027,Orders!$B$2:$B$2027,"&gt;="&amp;$H7,Orders!$B$2:$B$2027,"&lt;"&amp;EDATE($H7,1),Orders!$E$2:$E$2027,AL$4)</f>
        <v>122041.05999999998</v>
      </c>
    </row>
    <row r="8" spans="1:38" ht="42" customHeight="1" x14ac:dyDescent="0.35">
      <c r="A8" s="28" t="s">
        <v>3020</v>
      </c>
      <c r="B8" s="29" t="s">
        <v>3021</v>
      </c>
      <c r="C8" s="30">
        <v>4</v>
      </c>
      <c r="D8" s="31" t="s">
        <v>3022</v>
      </c>
      <c r="E8" s="32">
        <f>SUMIFS(Orders!$I$2:$I$2027,Orders!$B$2:$B$2027,"&gt;="&amp;DATE(2024,10,1),Orders!$B$2:$B$2027,"&lt;"&amp;DATE(2025,1,1))</f>
        <v>6459442.9800000004</v>
      </c>
      <c r="F8" s="33" t="s">
        <v>2991</v>
      </c>
      <c r="H8" s="34">
        <f>DATE(2024,4,1)</f>
        <v>45383</v>
      </c>
      <c r="I8">
        <f>SUMIFS(Orders!$I$2:$I$2027,Orders!$B$2:$B$2027,"&gt;="&amp;$H8,Orders!$B$2:$B$2027,"&lt;"&amp;EDATE($H8,1),Orders!$E$2:$E$2027,I$4)</f>
        <v>33643.480000000003</v>
      </c>
      <c r="J8">
        <f>SUMIFS(Orders!$I$2:$I$2027,Orders!$B$2:$B$2027,"&gt;="&amp;$H8,Orders!$B$2:$B$2027,"&lt;"&amp;EDATE($H8,1),Orders!$E$2:$E$2027,J$4)</f>
        <v>46286.92</v>
      </c>
      <c r="K8">
        <f>SUMIFS(Orders!$I$2:$I$2027,Orders!$B$2:$B$2027,"&gt;="&amp;$H8,Orders!$B$2:$B$2027,"&lt;"&amp;EDATE($H8,1),Orders!$E$2:$E$2027,K$4)</f>
        <v>96349.859999999986</v>
      </c>
      <c r="L8">
        <f>SUMIFS(Orders!$I$2:$I$2027,Orders!$B$2:$B$2027,"&gt;="&amp;$H8,Orders!$B$2:$B$2027,"&lt;"&amp;EDATE($H8,1),Orders!$E$2:$E$2027,L$4)</f>
        <v>23036.539999999997</v>
      </c>
      <c r="M8">
        <f>SUMIFS(Orders!$I$2:$I$2027,Orders!$B$2:$B$2027,"&gt;="&amp;$H8,Orders!$B$2:$B$2027,"&lt;"&amp;EDATE($H8,1),Orders!$E$2:$E$2027,M$4)</f>
        <v>46025.56</v>
      </c>
      <c r="N8">
        <f>SUMIFS(Orders!$I$2:$I$2027,Orders!$B$2:$B$2027,"&gt;="&amp;$H8,Orders!$B$2:$B$2027,"&lt;"&amp;EDATE($H8,1),Orders!$E$2:$E$2027,N$4)</f>
        <v>170939.91000000003</v>
      </c>
      <c r="O8">
        <f>SUMIFS(Orders!$I$2:$I$2027,Orders!$B$2:$B$2027,"&gt;="&amp;$H8,Orders!$B$2:$B$2027,"&lt;"&amp;EDATE($H8,1),Orders!$E$2:$E$2027,O$4)</f>
        <v>48536.18</v>
      </c>
      <c r="P8">
        <f>SUMIFS(Orders!$I$2:$I$2027,Orders!$B$2:$B$2027,"&gt;="&amp;$H8,Orders!$B$2:$B$2027,"&lt;"&amp;EDATE($H8,1),Orders!$E$2:$E$2027,P$4)</f>
        <v>12044.560000000001</v>
      </c>
      <c r="Q8">
        <f>SUMIFS(Orders!$I$2:$I$2027,Orders!$B$2:$B$2027,"&gt;="&amp;$H8,Orders!$B$2:$B$2027,"&lt;"&amp;EDATE($H8,1),Orders!$E$2:$E$2027,Q$4)</f>
        <v>74565.159999999989</v>
      </c>
      <c r="R8">
        <f>SUMIFS(Orders!$I$2:$I$2027,Orders!$B$2:$B$2027,"&gt;="&amp;$H8,Orders!$B$2:$B$2027,"&lt;"&amp;EDATE($H8,1),Orders!$E$2:$E$2027,R$4)</f>
        <v>41398.06</v>
      </c>
      <c r="S8">
        <f>SUMIFS(Orders!$I$2:$I$2027,Orders!$B$2:$B$2027,"&gt;="&amp;$H8,Orders!$B$2:$B$2027,"&lt;"&amp;EDATE($H8,1),Orders!$E$2:$E$2027,S$4)</f>
        <v>30549.1</v>
      </c>
      <c r="T8">
        <f>SUMIFS(Orders!$I$2:$I$2027,Orders!$B$2:$B$2027,"&gt;="&amp;$H8,Orders!$B$2:$B$2027,"&lt;"&amp;EDATE($H8,1),Orders!$E$2:$E$2027,T$4)</f>
        <v>24950.800000000003</v>
      </c>
      <c r="U8">
        <f>SUMIFS(Orders!$I$2:$I$2027,Orders!$B$2:$B$2027,"&gt;="&amp;$H8,Orders!$B$2:$B$2027,"&lt;"&amp;EDATE($H8,1),Orders!$E$2:$E$2027,U$4)</f>
        <v>41420.609999999993</v>
      </c>
      <c r="V8">
        <f>SUMIFS(Orders!$I$2:$I$2027,Orders!$B$2:$B$2027,"&gt;="&amp;$H8,Orders!$B$2:$B$2027,"&lt;"&amp;EDATE($H8,1),Orders!$E$2:$E$2027,V$4)</f>
        <v>101517.16999999998</v>
      </c>
      <c r="W8">
        <f>SUMIFS(Orders!$I$2:$I$2027,Orders!$B$2:$B$2027,"&gt;="&amp;$H8,Orders!$B$2:$B$2027,"&lt;"&amp;EDATE($H8,1),Orders!$E$2:$E$2027,W$4)</f>
        <v>107626.6</v>
      </c>
      <c r="X8">
        <f>SUMIFS(Orders!$I$2:$I$2027,Orders!$B$2:$B$2027,"&gt;="&amp;$H8,Orders!$B$2:$B$2027,"&lt;"&amp;EDATE($H8,1),Orders!$E$2:$E$2027,X$4)</f>
        <v>75094.84</v>
      </c>
      <c r="Y8">
        <f>SUMIFS(Orders!$I$2:$I$2027,Orders!$B$2:$B$2027,"&gt;="&amp;$H8,Orders!$B$2:$B$2027,"&lt;"&amp;EDATE($H8,1),Orders!$E$2:$E$2027,Y$4)</f>
        <v>32212.65</v>
      </c>
      <c r="Z8">
        <f>SUMIFS(Orders!$I$2:$I$2027,Orders!$B$2:$B$2027,"&gt;="&amp;$H8,Orders!$B$2:$B$2027,"&lt;"&amp;EDATE($H8,1),Orders!$E$2:$E$2027,Z$4)</f>
        <v>210613.93000000002</v>
      </c>
      <c r="AA8">
        <f>SUMIFS(Orders!$I$2:$I$2027,Orders!$B$2:$B$2027,"&gt;="&amp;$H8,Orders!$B$2:$B$2027,"&lt;"&amp;EDATE($H8,1),Orders!$E$2:$E$2027,AA$4)</f>
        <v>112510.04000000001</v>
      </c>
      <c r="AB8">
        <f>SUMIFS(Orders!$I$2:$I$2027,Orders!$B$2:$B$2027,"&gt;="&amp;$H8,Orders!$B$2:$B$2027,"&lt;"&amp;EDATE($H8,1),Orders!$E$2:$E$2027,AB$4)</f>
        <v>49921.2</v>
      </c>
      <c r="AC8">
        <f>SUMIFS(Orders!$I$2:$I$2027,Orders!$B$2:$B$2027,"&gt;="&amp;$H8,Orders!$B$2:$B$2027,"&lt;"&amp;EDATE($H8,1),Orders!$E$2:$E$2027,AC$4)</f>
        <v>71054.8</v>
      </c>
      <c r="AD8">
        <f>SUMIFS(Orders!$I$2:$I$2027,Orders!$B$2:$B$2027,"&gt;="&amp;$H8,Orders!$B$2:$B$2027,"&lt;"&amp;EDATE($H8,1),Orders!$E$2:$E$2027,AD$4)</f>
        <v>93303.01999999999</v>
      </c>
      <c r="AE8">
        <f>SUMIFS(Orders!$I$2:$I$2027,Orders!$B$2:$B$2027,"&gt;="&amp;$H8,Orders!$B$2:$B$2027,"&lt;"&amp;EDATE($H8,1),Orders!$E$2:$E$2027,AE$4)</f>
        <v>216421.52000000002</v>
      </c>
      <c r="AF8">
        <f>SUMIFS(Orders!$I$2:$I$2027,Orders!$B$2:$B$2027,"&gt;="&amp;$H8,Orders!$B$2:$B$2027,"&lt;"&amp;EDATE($H8,1),Orders!$E$2:$E$2027,AF$4)</f>
        <v>56736.5</v>
      </c>
      <c r="AG8">
        <f>SUMIFS(Orders!$I$2:$I$2027,Orders!$B$2:$B$2027,"&gt;="&amp;$H8,Orders!$B$2:$B$2027,"&lt;"&amp;EDATE($H8,1),Orders!$E$2:$E$2027,AG$4)</f>
        <v>49945.919999999991</v>
      </c>
      <c r="AH8">
        <f>SUMIFS(Orders!$I$2:$I$2027,Orders!$B$2:$B$2027,"&gt;="&amp;$H8,Orders!$B$2:$B$2027,"&lt;"&amp;EDATE($H8,1),Orders!$E$2:$E$2027,AH$4)</f>
        <v>131132.87999999998</v>
      </c>
      <c r="AI8">
        <f>SUMIFS(Orders!$I$2:$I$2027,Orders!$B$2:$B$2027,"&gt;="&amp;$H8,Orders!$B$2:$B$2027,"&lt;"&amp;EDATE($H8,1),Orders!$E$2:$E$2027,AI$4)</f>
        <v>78106.28</v>
      </c>
      <c r="AJ8">
        <f>SUMIFS(Orders!$I$2:$I$2027,Orders!$B$2:$B$2027,"&gt;="&amp;$H8,Orders!$B$2:$B$2027,"&lt;"&amp;EDATE($H8,1),Orders!$E$2:$E$2027,AJ$4)</f>
        <v>45577.729999999996</v>
      </c>
      <c r="AK8">
        <f>SUMIFS(Orders!$I$2:$I$2027,Orders!$B$2:$B$2027,"&gt;="&amp;$H8,Orders!$B$2:$B$2027,"&lt;"&amp;EDATE($H8,1),Orders!$E$2:$E$2027,AK$4)</f>
        <v>124581.45</v>
      </c>
      <c r="AL8">
        <f>SUMIFS(Orders!$I$2:$I$2027,Orders!$B$2:$B$2027,"&gt;="&amp;$H8,Orders!$B$2:$B$2027,"&lt;"&amp;EDATE($H8,1),Orders!$E$2:$E$2027,AL$4)</f>
        <v>36350.86</v>
      </c>
    </row>
    <row r="9" spans="1:38" ht="42" customHeight="1" x14ac:dyDescent="0.35">
      <c r="A9" s="28" t="s">
        <v>3023</v>
      </c>
      <c r="B9" s="29" t="s">
        <v>3024</v>
      </c>
      <c r="C9" s="30">
        <v>4</v>
      </c>
      <c r="D9" s="31" t="s">
        <v>3025</v>
      </c>
      <c r="E9" s="32">
        <f>AVERAGEIFS(Orders!$Q$2:$Q$2027,Orders!$U$2:$U$2027,"Delhi")</f>
        <v>0.44903864537816207</v>
      </c>
      <c r="F9" s="33" t="s">
        <v>3019</v>
      </c>
      <c r="H9" s="34">
        <f>DATE(2024,5,1)</f>
        <v>45413</v>
      </c>
      <c r="I9">
        <f>SUMIFS(Orders!$I$2:$I$2027,Orders!$B$2:$B$2027,"&gt;="&amp;$H9,Orders!$B$2:$B$2027,"&lt;"&amp;EDATE($H9,1),Orders!$E$2:$E$2027,I$4)</f>
        <v>44809.659999999996</v>
      </c>
      <c r="J9">
        <f>SUMIFS(Orders!$I$2:$I$2027,Orders!$B$2:$B$2027,"&gt;="&amp;$H9,Orders!$B$2:$B$2027,"&lt;"&amp;EDATE($H9,1),Orders!$E$2:$E$2027,J$4)</f>
        <v>89794.86</v>
      </c>
      <c r="K9">
        <f>SUMIFS(Orders!$I$2:$I$2027,Orders!$B$2:$B$2027,"&gt;="&amp;$H9,Orders!$B$2:$B$2027,"&lt;"&amp;EDATE($H9,1),Orders!$E$2:$E$2027,K$4)</f>
        <v>139257.72</v>
      </c>
      <c r="L9">
        <f>SUMIFS(Orders!$I$2:$I$2027,Orders!$B$2:$B$2027,"&gt;="&amp;$H9,Orders!$B$2:$B$2027,"&lt;"&amp;EDATE($H9,1),Orders!$E$2:$E$2027,L$4)</f>
        <v>140739.80000000002</v>
      </c>
      <c r="M9">
        <f>SUMIFS(Orders!$I$2:$I$2027,Orders!$B$2:$B$2027,"&gt;="&amp;$H9,Orders!$B$2:$B$2027,"&lt;"&amp;EDATE($H9,1),Orders!$E$2:$E$2027,M$4)</f>
        <v>67702.820000000007</v>
      </c>
      <c r="N9">
        <f>SUMIFS(Orders!$I$2:$I$2027,Orders!$B$2:$B$2027,"&gt;="&amp;$H9,Orders!$B$2:$B$2027,"&lt;"&amp;EDATE($H9,1),Orders!$E$2:$E$2027,N$4)</f>
        <v>78322.48000000001</v>
      </c>
      <c r="O9">
        <f>SUMIFS(Orders!$I$2:$I$2027,Orders!$B$2:$B$2027,"&gt;="&amp;$H9,Orders!$B$2:$B$2027,"&lt;"&amp;EDATE($H9,1),Orders!$E$2:$E$2027,O$4)</f>
        <v>41157.840000000004</v>
      </c>
      <c r="P9">
        <f>SUMIFS(Orders!$I$2:$I$2027,Orders!$B$2:$B$2027,"&gt;="&amp;$H9,Orders!$B$2:$B$2027,"&lt;"&amp;EDATE($H9,1),Orders!$E$2:$E$2027,P$4)</f>
        <v>67200.569999999992</v>
      </c>
      <c r="Q9">
        <f>SUMIFS(Orders!$I$2:$I$2027,Orders!$B$2:$B$2027,"&gt;="&amp;$H9,Orders!$B$2:$B$2027,"&lt;"&amp;EDATE($H9,1),Orders!$E$2:$E$2027,Q$4)</f>
        <v>100231.54</v>
      </c>
      <c r="R9">
        <f>SUMIFS(Orders!$I$2:$I$2027,Orders!$B$2:$B$2027,"&gt;="&amp;$H9,Orders!$B$2:$B$2027,"&lt;"&amp;EDATE($H9,1),Orders!$E$2:$E$2027,R$4)</f>
        <v>83732.94</v>
      </c>
      <c r="S9">
        <f>SUMIFS(Orders!$I$2:$I$2027,Orders!$B$2:$B$2027,"&gt;="&amp;$H9,Orders!$B$2:$B$2027,"&lt;"&amp;EDATE($H9,1),Orders!$E$2:$E$2027,S$4)</f>
        <v>10392.16</v>
      </c>
      <c r="T9">
        <f>SUMIFS(Orders!$I$2:$I$2027,Orders!$B$2:$B$2027,"&gt;="&amp;$H9,Orders!$B$2:$B$2027,"&lt;"&amp;EDATE($H9,1),Orders!$E$2:$E$2027,T$4)</f>
        <v>37183.630000000005</v>
      </c>
      <c r="U9">
        <f>SUMIFS(Orders!$I$2:$I$2027,Orders!$B$2:$B$2027,"&gt;="&amp;$H9,Orders!$B$2:$B$2027,"&lt;"&amp;EDATE($H9,1),Orders!$E$2:$E$2027,U$4)</f>
        <v>80787.31</v>
      </c>
      <c r="V9">
        <f>SUMIFS(Orders!$I$2:$I$2027,Orders!$B$2:$B$2027,"&gt;="&amp;$H9,Orders!$B$2:$B$2027,"&lt;"&amp;EDATE($H9,1),Orders!$E$2:$E$2027,V$4)</f>
        <v>154170.19999999998</v>
      </c>
      <c r="W9">
        <f>SUMIFS(Orders!$I$2:$I$2027,Orders!$B$2:$B$2027,"&gt;="&amp;$H9,Orders!$B$2:$B$2027,"&lt;"&amp;EDATE($H9,1),Orders!$E$2:$E$2027,W$4)</f>
        <v>146185.96000000002</v>
      </c>
      <c r="X9">
        <f>SUMIFS(Orders!$I$2:$I$2027,Orders!$B$2:$B$2027,"&gt;="&amp;$H9,Orders!$B$2:$B$2027,"&lt;"&amp;EDATE($H9,1),Orders!$E$2:$E$2027,X$4)</f>
        <v>67937.959999999992</v>
      </c>
      <c r="Y9">
        <f>SUMIFS(Orders!$I$2:$I$2027,Orders!$B$2:$B$2027,"&gt;="&amp;$H9,Orders!$B$2:$B$2027,"&lt;"&amp;EDATE($H9,1),Orders!$E$2:$E$2027,Y$4)</f>
        <v>113791.15</v>
      </c>
      <c r="Z9">
        <f>SUMIFS(Orders!$I$2:$I$2027,Orders!$B$2:$B$2027,"&gt;="&amp;$H9,Orders!$B$2:$B$2027,"&lt;"&amp;EDATE($H9,1),Orders!$E$2:$E$2027,Z$4)</f>
        <v>173129.47</v>
      </c>
      <c r="AA9">
        <f>SUMIFS(Orders!$I$2:$I$2027,Orders!$B$2:$B$2027,"&gt;="&amp;$H9,Orders!$B$2:$B$2027,"&lt;"&amp;EDATE($H9,1),Orders!$E$2:$E$2027,AA$4)</f>
        <v>58746.86</v>
      </c>
      <c r="AB9">
        <f>SUMIFS(Orders!$I$2:$I$2027,Orders!$B$2:$B$2027,"&gt;="&amp;$H9,Orders!$B$2:$B$2027,"&lt;"&amp;EDATE($H9,1),Orders!$E$2:$E$2027,AB$4)</f>
        <v>182980.02999999997</v>
      </c>
      <c r="AC9">
        <f>SUMIFS(Orders!$I$2:$I$2027,Orders!$B$2:$B$2027,"&gt;="&amp;$H9,Orders!$B$2:$B$2027,"&lt;"&amp;EDATE($H9,1),Orders!$E$2:$E$2027,AC$4)</f>
        <v>56143.78</v>
      </c>
      <c r="AD9">
        <f>SUMIFS(Orders!$I$2:$I$2027,Orders!$B$2:$B$2027,"&gt;="&amp;$H9,Orders!$B$2:$B$2027,"&lt;"&amp;EDATE($H9,1),Orders!$E$2:$E$2027,AD$4)</f>
        <v>8802.7900000000009</v>
      </c>
      <c r="AE9">
        <f>SUMIFS(Orders!$I$2:$I$2027,Orders!$B$2:$B$2027,"&gt;="&amp;$H9,Orders!$B$2:$B$2027,"&lt;"&amp;EDATE($H9,1),Orders!$E$2:$E$2027,AE$4)</f>
        <v>40444.230000000003</v>
      </c>
      <c r="AF9">
        <f>SUMIFS(Orders!$I$2:$I$2027,Orders!$B$2:$B$2027,"&gt;="&amp;$H9,Orders!$B$2:$B$2027,"&lt;"&amp;EDATE($H9,1),Orders!$E$2:$E$2027,AF$4)</f>
        <v>125217.67</v>
      </c>
      <c r="AG9">
        <f>SUMIFS(Orders!$I$2:$I$2027,Orders!$B$2:$B$2027,"&gt;="&amp;$H9,Orders!$B$2:$B$2027,"&lt;"&amp;EDATE($H9,1),Orders!$E$2:$E$2027,AG$4)</f>
        <v>59507.42</v>
      </c>
      <c r="AH9">
        <f>SUMIFS(Orders!$I$2:$I$2027,Orders!$B$2:$B$2027,"&gt;="&amp;$H9,Orders!$B$2:$B$2027,"&lt;"&amp;EDATE($H9,1),Orders!$E$2:$E$2027,AH$4)</f>
        <v>30080.400000000001</v>
      </c>
      <c r="AI9">
        <f>SUMIFS(Orders!$I$2:$I$2027,Orders!$B$2:$B$2027,"&gt;="&amp;$H9,Orders!$B$2:$B$2027,"&lt;"&amp;EDATE($H9,1),Orders!$E$2:$E$2027,AI$4)</f>
        <v>85103.459999999992</v>
      </c>
      <c r="AJ9">
        <f>SUMIFS(Orders!$I$2:$I$2027,Orders!$B$2:$B$2027,"&gt;="&amp;$H9,Orders!$B$2:$B$2027,"&lt;"&amp;EDATE($H9,1),Orders!$E$2:$E$2027,AJ$4)</f>
        <v>68897.649999999994</v>
      </c>
      <c r="AK9">
        <f>SUMIFS(Orders!$I$2:$I$2027,Orders!$B$2:$B$2027,"&gt;="&amp;$H9,Orders!$B$2:$B$2027,"&lt;"&amp;EDATE($H9,1),Orders!$E$2:$E$2027,AK$4)</f>
        <v>180359.49</v>
      </c>
      <c r="AL9">
        <f>SUMIFS(Orders!$I$2:$I$2027,Orders!$B$2:$B$2027,"&gt;="&amp;$H9,Orders!$B$2:$B$2027,"&lt;"&amp;EDATE($H9,1),Orders!$E$2:$E$2027,AL$4)</f>
        <v>47579.17</v>
      </c>
    </row>
    <row r="10" spans="1:38" ht="15" customHeight="1" x14ac:dyDescent="0.35">
      <c r="H10" s="34">
        <f>DATE(2024,6,1)</f>
        <v>45444</v>
      </c>
      <c r="I10">
        <f>SUMIFS(Orders!$I$2:$I$2027,Orders!$B$2:$B$2027,"&gt;="&amp;$H10,Orders!$B$2:$B$2027,"&lt;"&amp;EDATE($H10,1),Orders!$E$2:$E$2027,I$4)</f>
        <v>82789.949999999983</v>
      </c>
      <c r="J10">
        <f>SUMIFS(Orders!$I$2:$I$2027,Orders!$B$2:$B$2027,"&gt;="&amp;$H10,Orders!$B$2:$B$2027,"&lt;"&amp;EDATE($H10,1),Orders!$E$2:$E$2027,J$4)</f>
        <v>82753.37000000001</v>
      </c>
      <c r="K10">
        <f>SUMIFS(Orders!$I$2:$I$2027,Orders!$B$2:$B$2027,"&gt;="&amp;$H10,Orders!$B$2:$B$2027,"&lt;"&amp;EDATE($H10,1),Orders!$E$2:$E$2027,K$4)</f>
        <v>37966.089999999997</v>
      </c>
      <c r="L10">
        <f>SUMIFS(Orders!$I$2:$I$2027,Orders!$B$2:$B$2027,"&gt;="&amp;$H10,Orders!$B$2:$B$2027,"&lt;"&amp;EDATE($H10,1),Orders!$E$2:$E$2027,L$4)</f>
        <v>42388.119999999995</v>
      </c>
      <c r="M10">
        <f>SUMIFS(Orders!$I$2:$I$2027,Orders!$B$2:$B$2027,"&gt;="&amp;$H10,Orders!$B$2:$B$2027,"&lt;"&amp;EDATE($H10,1),Orders!$E$2:$E$2027,M$4)</f>
        <v>113205.31999999999</v>
      </c>
      <c r="N10">
        <f>SUMIFS(Orders!$I$2:$I$2027,Orders!$B$2:$B$2027,"&gt;="&amp;$H10,Orders!$B$2:$B$2027,"&lt;"&amp;EDATE($H10,1),Orders!$E$2:$E$2027,N$4)</f>
        <v>191251.6</v>
      </c>
      <c r="O10">
        <f>SUMIFS(Orders!$I$2:$I$2027,Orders!$B$2:$B$2027,"&gt;="&amp;$H10,Orders!$B$2:$B$2027,"&lt;"&amp;EDATE($H10,1),Orders!$E$2:$E$2027,O$4)</f>
        <v>58895.109999999993</v>
      </c>
      <c r="P10">
        <f>SUMIFS(Orders!$I$2:$I$2027,Orders!$B$2:$B$2027,"&gt;="&amp;$H10,Orders!$B$2:$B$2027,"&lt;"&amp;EDATE($H10,1),Orders!$E$2:$E$2027,P$4)</f>
        <v>82481.440000000002</v>
      </c>
      <c r="Q10">
        <f>SUMIFS(Orders!$I$2:$I$2027,Orders!$B$2:$B$2027,"&gt;="&amp;$H10,Orders!$B$2:$B$2027,"&lt;"&amp;EDATE($H10,1),Orders!$E$2:$E$2027,Q$4)</f>
        <v>69794.649999999994</v>
      </c>
      <c r="R10">
        <f>SUMIFS(Orders!$I$2:$I$2027,Orders!$B$2:$B$2027,"&gt;="&amp;$H10,Orders!$B$2:$B$2027,"&lt;"&amp;EDATE($H10,1),Orders!$E$2:$E$2027,R$4)</f>
        <v>29458.160000000003</v>
      </c>
      <c r="S10">
        <f>SUMIFS(Orders!$I$2:$I$2027,Orders!$B$2:$B$2027,"&gt;="&amp;$H10,Orders!$B$2:$B$2027,"&lt;"&amp;EDATE($H10,1),Orders!$E$2:$E$2027,S$4)</f>
        <v>45625.440000000002</v>
      </c>
      <c r="T10">
        <f>SUMIFS(Orders!$I$2:$I$2027,Orders!$B$2:$B$2027,"&gt;="&amp;$H10,Orders!$B$2:$B$2027,"&lt;"&amp;EDATE($H10,1),Orders!$E$2:$E$2027,T$4)</f>
        <v>59218.28</v>
      </c>
      <c r="U10">
        <f>SUMIFS(Orders!$I$2:$I$2027,Orders!$B$2:$B$2027,"&gt;="&amp;$H10,Orders!$B$2:$B$2027,"&lt;"&amp;EDATE($H10,1),Orders!$E$2:$E$2027,U$4)</f>
        <v>33836.58</v>
      </c>
      <c r="V10">
        <f>SUMIFS(Orders!$I$2:$I$2027,Orders!$B$2:$B$2027,"&gt;="&amp;$H10,Orders!$B$2:$B$2027,"&lt;"&amp;EDATE($H10,1),Orders!$E$2:$E$2027,V$4)</f>
        <v>15951.6</v>
      </c>
      <c r="W10">
        <f>SUMIFS(Orders!$I$2:$I$2027,Orders!$B$2:$B$2027,"&gt;="&amp;$H10,Orders!$B$2:$B$2027,"&lt;"&amp;EDATE($H10,1),Orders!$E$2:$E$2027,W$4)</f>
        <v>12840.400000000001</v>
      </c>
      <c r="X10">
        <f>SUMIFS(Orders!$I$2:$I$2027,Orders!$B$2:$B$2027,"&gt;="&amp;$H10,Orders!$B$2:$B$2027,"&lt;"&amp;EDATE($H10,1),Orders!$E$2:$E$2027,X$4)</f>
        <v>55791.51</v>
      </c>
      <c r="Y10">
        <f>SUMIFS(Orders!$I$2:$I$2027,Orders!$B$2:$B$2027,"&gt;="&amp;$H10,Orders!$B$2:$B$2027,"&lt;"&amp;EDATE($H10,1),Orders!$E$2:$E$2027,Y$4)</f>
        <v>73782.34</v>
      </c>
      <c r="Z10">
        <f>SUMIFS(Orders!$I$2:$I$2027,Orders!$B$2:$B$2027,"&gt;="&amp;$H10,Orders!$B$2:$B$2027,"&lt;"&amp;EDATE($H10,1),Orders!$E$2:$E$2027,Z$4)</f>
        <v>117809.47</v>
      </c>
      <c r="AA10">
        <f>SUMIFS(Orders!$I$2:$I$2027,Orders!$B$2:$B$2027,"&gt;="&amp;$H10,Orders!$B$2:$B$2027,"&lt;"&amp;EDATE($H10,1),Orders!$E$2:$E$2027,AA$4)</f>
        <v>107491.77999999998</v>
      </c>
      <c r="AB10">
        <f>SUMIFS(Orders!$I$2:$I$2027,Orders!$B$2:$B$2027,"&gt;="&amp;$H10,Orders!$B$2:$B$2027,"&lt;"&amp;EDATE($H10,1),Orders!$E$2:$E$2027,AB$4)</f>
        <v>90724.13</v>
      </c>
      <c r="AC10">
        <f>SUMIFS(Orders!$I$2:$I$2027,Orders!$B$2:$B$2027,"&gt;="&amp;$H10,Orders!$B$2:$B$2027,"&lt;"&amp;EDATE($H10,1),Orders!$E$2:$E$2027,AC$4)</f>
        <v>65924.819999999992</v>
      </c>
      <c r="AD10">
        <f>SUMIFS(Orders!$I$2:$I$2027,Orders!$B$2:$B$2027,"&gt;="&amp;$H10,Orders!$B$2:$B$2027,"&lt;"&amp;EDATE($H10,1),Orders!$E$2:$E$2027,AD$4)</f>
        <v>61415.64</v>
      </c>
      <c r="AE10">
        <f>SUMIFS(Orders!$I$2:$I$2027,Orders!$B$2:$B$2027,"&gt;="&amp;$H10,Orders!$B$2:$B$2027,"&lt;"&amp;EDATE($H10,1),Orders!$E$2:$E$2027,AE$4)</f>
        <v>102315.15</v>
      </c>
      <c r="AF10">
        <f>SUMIFS(Orders!$I$2:$I$2027,Orders!$B$2:$B$2027,"&gt;="&amp;$H10,Orders!$B$2:$B$2027,"&lt;"&amp;EDATE($H10,1),Orders!$E$2:$E$2027,AF$4)</f>
        <v>53450.710000000006</v>
      </c>
      <c r="AG10">
        <f>SUMIFS(Orders!$I$2:$I$2027,Orders!$B$2:$B$2027,"&gt;="&amp;$H10,Orders!$B$2:$B$2027,"&lt;"&amp;EDATE($H10,1),Orders!$E$2:$E$2027,AG$4)</f>
        <v>66753.66</v>
      </c>
      <c r="AH10">
        <f>SUMIFS(Orders!$I$2:$I$2027,Orders!$B$2:$B$2027,"&gt;="&amp;$H10,Orders!$B$2:$B$2027,"&lt;"&amp;EDATE($H10,1),Orders!$E$2:$E$2027,AH$4)</f>
        <v>19115.52</v>
      </c>
      <c r="AI10">
        <f>SUMIFS(Orders!$I$2:$I$2027,Orders!$B$2:$B$2027,"&gt;="&amp;$H10,Orders!$B$2:$B$2027,"&lt;"&amp;EDATE($H10,1),Orders!$E$2:$E$2027,AI$4)</f>
        <v>49268.729999999996</v>
      </c>
      <c r="AJ10">
        <f>SUMIFS(Orders!$I$2:$I$2027,Orders!$B$2:$B$2027,"&gt;="&amp;$H10,Orders!$B$2:$B$2027,"&lt;"&amp;EDATE($H10,1),Orders!$E$2:$E$2027,AJ$4)</f>
        <v>47140.72</v>
      </c>
      <c r="AK10">
        <f>SUMIFS(Orders!$I$2:$I$2027,Orders!$B$2:$B$2027,"&gt;="&amp;$H10,Orders!$B$2:$B$2027,"&lt;"&amp;EDATE($H10,1),Orders!$E$2:$E$2027,AK$4)</f>
        <v>29011.879999999997</v>
      </c>
      <c r="AL10">
        <f>SUMIFS(Orders!$I$2:$I$2027,Orders!$B$2:$B$2027,"&gt;="&amp;$H10,Orders!$B$2:$B$2027,"&lt;"&amp;EDATE($H10,1),Orders!$E$2:$E$2027,AL$4)</f>
        <v>67486.899999999994</v>
      </c>
    </row>
    <row r="11" spans="1:38" ht="15" customHeight="1" x14ac:dyDescent="0.35">
      <c r="H11" s="34">
        <f>DATE(2024,7,1)</f>
        <v>45474</v>
      </c>
      <c r="I11">
        <f>SUMIFS(Orders!$I$2:$I$2027,Orders!$B$2:$B$2027,"&gt;="&amp;$H11,Orders!$B$2:$B$2027,"&lt;"&amp;EDATE($H11,1),Orders!$E$2:$E$2027,I$4)</f>
        <v>28761.200000000001</v>
      </c>
      <c r="J11">
        <f>SUMIFS(Orders!$I$2:$I$2027,Orders!$B$2:$B$2027,"&gt;="&amp;$H11,Orders!$B$2:$B$2027,"&lt;"&amp;EDATE($H11,1),Orders!$E$2:$E$2027,J$4)</f>
        <v>62949.74</v>
      </c>
      <c r="K11">
        <f>SUMIFS(Orders!$I$2:$I$2027,Orders!$B$2:$B$2027,"&gt;="&amp;$H11,Orders!$B$2:$B$2027,"&lt;"&amp;EDATE($H11,1),Orders!$E$2:$E$2027,K$4)</f>
        <v>185921.75</v>
      </c>
      <c r="L11">
        <f>SUMIFS(Orders!$I$2:$I$2027,Orders!$B$2:$B$2027,"&gt;="&amp;$H11,Orders!$B$2:$B$2027,"&lt;"&amp;EDATE($H11,1),Orders!$E$2:$E$2027,L$4)</f>
        <v>7823.4800000000005</v>
      </c>
      <c r="M11">
        <f>SUMIFS(Orders!$I$2:$I$2027,Orders!$B$2:$B$2027,"&gt;="&amp;$H11,Orders!$B$2:$B$2027,"&lt;"&amp;EDATE($H11,1),Orders!$E$2:$E$2027,M$4)</f>
        <v>20649.349999999999</v>
      </c>
      <c r="N11">
        <f>SUMIFS(Orders!$I$2:$I$2027,Orders!$B$2:$B$2027,"&gt;="&amp;$H11,Orders!$B$2:$B$2027,"&lt;"&amp;EDATE($H11,1),Orders!$E$2:$E$2027,N$4)</f>
        <v>38479.32</v>
      </c>
      <c r="O11">
        <f>SUMIFS(Orders!$I$2:$I$2027,Orders!$B$2:$B$2027,"&gt;="&amp;$H11,Orders!$B$2:$B$2027,"&lt;"&amp;EDATE($H11,1),Orders!$E$2:$E$2027,O$4)</f>
        <v>11528.24</v>
      </c>
      <c r="P11">
        <f>SUMIFS(Orders!$I$2:$I$2027,Orders!$B$2:$B$2027,"&gt;="&amp;$H11,Orders!$B$2:$B$2027,"&lt;"&amp;EDATE($H11,1),Orders!$E$2:$E$2027,P$4)</f>
        <v>75853.47</v>
      </c>
      <c r="Q11">
        <f>SUMIFS(Orders!$I$2:$I$2027,Orders!$B$2:$B$2027,"&gt;="&amp;$H11,Orders!$B$2:$B$2027,"&lt;"&amp;EDATE($H11,1),Orders!$E$2:$E$2027,Q$4)</f>
        <v>99012.62</v>
      </c>
      <c r="R11">
        <f>SUMIFS(Orders!$I$2:$I$2027,Orders!$B$2:$B$2027,"&gt;="&amp;$H11,Orders!$B$2:$B$2027,"&lt;"&amp;EDATE($H11,1),Orders!$E$2:$E$2027,R$4)</f>
        <v>96008.48</v>
      </c>
      <c r="S11">
        <f>SUMIFS(Orders!$I$2:$I$2027,Orders!$B$2:$B$2027,"&gt;="&amp;$H11,Orders!$B$2:$B$2027,"&lt;"&amp;EDATE($H11,1),Orders!$E$2:$E$2027,S$4)</f>
        <v>31373.22</v>
      </c>
      <c r="T11">
        <f>SUMIFS(Orders!$I$2:$I$2027,Orders!$B$2:$B$2027,"&gt;="&amp;$H11,Orders!$B$2:$B$2027,"&lt;"&amp;EDATE($H11,1),Orders!$E$2:$E$2027,T$4)</f>
        <v>75017.78</v>
      </c>
      <c r="U11">
        <f>SUMIFS(Orders!$I$2:$I$2027,Orders!$B$2:$B$2027,"&gt;="&amp;$H11,Orders!$B$2:$B$2027,"&lt;"&amp;EDATE($H11,1),Orders!$E$2:$E$2027,U$4)</f>
        <v>32733.739999999998</v>
      </c>
      <c r="V11">
        <f>SUMIFS(Orders!$I$2:$I$2027,Orders!$B$2:$B$2027,"&gt;="&amp;$H11,Orders!$B$2:$B$2027,"&lt;"&amp;EDATE($H11,1),Orders!$E$2:$E$2027,V$4)</f>
        <v>74760.149999999994</v>
      </c>
      <c r="W11">
        <f>SUMIFS(Orders!$I$2:$I$2027,Orders!$B$2:$B$2027,"&gt;="&amp;$H11,Orders!$B$2:$B$2027,"&lt;"&amp;EDATE($H11,1),Orders!$E$2:$E$2027,W$4)</f>
        <v>51083.420000000006</v>
      </c>
      <c r="X11">
        <f>SUMIFS(Orders!$I$2:$I$2027,Orders!$B$2:$B$2027,"&gt;="&amp;$H11,Orders!$B$2:$B$2027,"&lt;"&amp;EDATE($H11,1),Orders!$E$2:$E$2027,X$4)</f>
        <v>70547.11</v>
      </c>
      <c r="Y11">
        <f>SUMIFS(Orders!$I$2:$I$2027,Orders!$B$2:$B$2027,"&gt;="&amp;$H11,Orders!$B$2:$B$2027,"&lt;"&amp;EDATE($H11,1),Orders!$E$2:$E$2027,Y$4)</f>
        <v>4516.7</v>
      </c>
      <c r="Z11">
        <f>SUMIFS(Orders!$I$2:$I$2027,Orders!$B$2:$B$2027,"&gt;="&amp;$H11,Orders!$B$2:$B$2027,"&lt;"&amp;EDATE($H11,1),Orders!$E$2:$E$2027,Z$4)</f>
        <v>41039.879999999997</v>
      </c>
      <c r="AA11">
        <f>SUMIFS(Orders!$I$2:$I$2027,Orders!$B$2:$B$2027,"&gt;="&amp;$H11,Orders!$B$2:$B$2027,"&lt;"&amp;EDATE($H11,1),Orders!$E$2:$E$2027,AA$4)</f>
        <v>72372.48000000001</v>
      </c>
      <c r="AB11">
        <f>SUMIFS(Orders!$I$2:$I$2027,Orders!$B$2:$B$2027,"&gt;="&amp;$H11,Orders!$B$2:$B$2027,"&lt;"&amp;EDATE($H11,1),Orders!$E$2:$E$2027,AB$4)</f>
        <v>28955.710000000003</v>
      </c>
      <c r="AC11">
        <f>SUMIFS(Orders!$I$2:$I$2027,Orders!$B$2:$B$2027,"&gt;="&amp;$H11,Orders!$B$2:$B$2027,"&lt;"&amp;EDATE($H11,1),Orders!$E$2:$E$2027,AC$4)</f>
        <v>72167.3</v>
      </c>
      <c r="AD11">
        <f>SUMIFS(Orders!$I$2:$I$2027,Orders!$B$2:$B$2027,"&gt;="&amp;$H11,Orders!$B$2:$B$2027,"&lt;"&amp;EDATE($H11,1),Orders!$E$2:$E$2027,AD$4)</f>
        <v>210918.24</v>
      </c>
      <c r="AE11">
        <f>SUMIFS(Orders!$I$2:$I$2027,Orders!$B$2:$B$2027,"&gt;="&amp;$H11,Orders!$B$2:$B$2027,"&lt;"&amp;EDATE($H11,1),Orders!$E$2:$E$2027,AE$4)</f>
        <v>89062.989999999991</v>
      </c>
      <c r="AF11">
        <f>SUMIFS(Orders!$I$2:$I$2027,Orders!$B$2:$B$2027,"&gt;="&amp;$H11,Orders!$B$2:$B$2027,"&lt;"&amp;EDATE($H11,1),Orders!$E$2:$E$2027,AF$4)</f>
        <v>58773.84</v>
      </c>
      <c r="AG11">
        <f>SUMIFS(Orders!$I$2:$I$2027,Orders!$B$2:$B$2027,"&gt;="&amp;$H11,Orders!$B$2:$B$2027,"&lt;"&amp;EDATE($H11,1),Orders!$E$2:$E$2027,AG$4)</f>
        <v>140235.22</v>
      </c>
      <c r="AH11">
        <f>SUMIFS(Orders!$I$2:$I$2027,Orders!$B$2:$B$2027,"&gt;="&amp;$H11,Orders!$B$2:$B$2027,"&lt;"&amp;EDATE($H11,1),Orders!$E$2:$E$2027,AH$4)</f>
        <v>13927.630000000001</v>
      </c>
      <c r="AI11">
        <f>SUMIFS(Orders!$I$2:$I$2027,Orders!$B$2:$B$2027,"&gt;="&amp;$H11,Orders!$B$2:$B$2027,"&lt;"&amp;EDATE($H11,1),Orders!$E$2:$E$2027,AI$4)</f>
        <v>32250.519999999997</v>
      </c>
      <c r="AJ11">
        <f>SUMIFS(Orders!$I$2:$I$2027,Orders!$B$2:$B$2027,"&gt;="&amp;$H11,Orders!$B$2:$B$2027,"&lt;"&amp;EDATE($H11,1),Orders!$E$2:$E$2027,AJ$4)</f>
        <v>88182.8</v>
      </c>
      <c r="AK11">
        <f>SUMIFS(Orders!$I$2:$I$2027,Orders!$B$2:$B$2027,"&gt;="&amp;$H11,Orders!$B$2:$B$2027,"&lt;"&amp;EDATE($H11,1),Orders!$E$2:$E$2027,AK$4)</f>
        <v>60836.130000000005</v>
      </c>
      <c r="AL11">
        <f>SUMIFS(Orders!$I$2:$I$2027,Orders!$B$2:$B$2027,"&gt;="&amp;$H11,Orders!$B$2:$B$2027,"&lt;"&amp;EDATE($H11,1),Orders!$E$2:$E$2027,AL$4)</f>
        <v>89271.18</v>
      </c>
    </row>
    <row r="12" spans="1:38" ht="15" customHeight="1" x14ac:dyDescent="0.35">
      <c r="H12" s="34">
        <f>DATE(2024,8,1)</f>
        <v>45505</v>
      </c>
      <c r="I12">
        <f>SUMIFS(Orders!$I$2:$I$2027,Orders!$B$2:$B$2027,"&gt;="&amp;$H12,Orders!$B$2:$B$2027,"&lt;"&amp;EDATE($H12,1),Orders!$E$2:$E$2027,I$4)</f>
        <v>92676.920000000013</v>
      </c>
      <c r="J12">
        <f>SUMIFS(Orders!$I$2:$I$2027,Orders!$B$2:$B$2027,"&gt;="&amp;$H12,Orders!$B$2:$B$2027,"&lt;"&amp;EDATE($H12,1),Orders!$E$2:$E$2027,J$4)</f>
        <v>134500.5</v>
      </c>
      <c r="K12">
        <f>SUMIFS(Orders!$I$2:$I$2027,Orders!$B$2:$B$2027,"&gt;="&amp;$H12,Orders!$B$2:$B$2027,"&lt;"&amp;EDATE($H12,1),Orders!$E$2:$E$2027,K$4)</f>
        <v>114656.26999999999</v>
      </c>
      <c r="L12">
        <f>SUMIFS(Orders!$I$2:$I$2027,Orders!$B$2:$B$2027,"&gt;="&amp;$H12,Orders!$B$2:$B$2027,"&lt;"&amp;EDATE($H12,1),Orders!$E$2:$E$2027,L$4)</f>
        <v>55975.340000000004</v>
      </c>
      <c r="M12">
        <f>SUMIFS(Orders!$I$2:$I$2027,Orders!$B$2:$B$2027,"&gt;="&amp;$H12,Orders!$B$2:$B$2027,"&lt;"&amp;EDATE($H12,1),Orders!$E$2:$E$2027,M$4)</f>
        <v>15060.279999999999</v>
      </c>
      <c r="N12">
        <f>SUMIFS(Orders!$I$2:$I$2027,Orders!$B$2:$B$2027,"&gt;="&amp;$H12,Orders!$B$2:$B$2027,"&lt;"&amp;EDATE($H12,1),Orders!$E$2:$E$2027,N$4)</f>
        <v>61857.899999999994</v>
      </c>
      <c r="O12">
        <f>SUMIFS(Orders!$I$2:$I$2027,Orders!$B$2:$B$2027,"&gt;="&amp;$H12,Orders!$B$2:$B$2027,"&lt;"&amp;EDATE($H12,1),Orders!$E$2:$E$2027,O$4)</f>
        <v>70196.800000000003</v>
      </c>
      <c r="P12">
        <f>SUMIFS(Orders!$I$2:$I$2027,Orders!$B$2:$B$2027,"&gt;="&amp;$H12,Orders!$B$2:$B$2027,"&lt;"&amp;EDATE($H12,1),Orders!$E$2:$E$2027,P$4)</f>
        <v>61043.439999999995</v>
      </c>
      <c r="Q12">
        <f>SUMIFS(Orders!$I$2:$I$2027,Orders!$B$2:$B$2027,"&gt;="&amp;$H12,Orders!$B$2:$B$2027,"&lt;"&amp;EDATE($H12,1),Orders!$E$2:$E$2027,Q$4)</f>
        <v>116575.84999999999</v>
      </c>
      <c r="R12">
        <f>SUMIFS(Orders!$I$2:$I$2027,Orders!$B$2:$B$2027,"&gt;="&amp;$H12,Orders!$B$2:$B$2027,"&lt;"&amp;EDATE($H12,1),Orders!$E$2:$E$2027,R$4)</f>
        <v>111335.79000000001</v>
      </c>
      <c r="S12">
        <f>SUMIFS(Orders!$I$2:$I$2027,Orders!$B$2:$B$2027,"&gt;="&amp;$H12,Orders!$B$2:$B$2027,"&lt;"&amp;EDATE($H12,1),Orders!$E$2:$E$2027,S$4)</f>
        <v>129473.95999999999</v>
      </c>
      <c r="T12">
        <f>SUMIFS(Orders!$I$2:$I$2027,Orders!$B$2:$B$2027,"&gt;="&amp;$H12,Orders!$B$2:$B$2027,"&lt;"&amp;EDATE($H12,1),Orders!$E$2:$E$2027,T$4)</f>
        <v>115185.59</v>
      </c>
      <c r="U12">
        <f>SUMIFS(Orders!$I$2:$I$2027,Orders!$B$2:$B$2027,"&gt;="&amp;$H12,Orders!$B$2:$B$2027,"&lt;"&amp;EDATE($H12,1),Orders!$E$2:$E$2027,U$4)</f>
        <v>70557.86</v>
      </c>
      <c r="V12">
        <f>SUMIFS(Orders!$I$2:$I$2027,Orders!$B$2:$B$2027,"&gt;="&amp;$H12,Orders!$B$2:$B$2027,"&lt;"&amp;EDATE($H12,1),Orders!$E$2:$E$2027,V$4)</f>
        <v>113977.93999999999</v>
      </c>
      <c r="W12">
        <f>SUMIFS(Orders!$I$2:$I$2027,Orders!$B$2:$B$2027,"&gt;="&amp;$H12,Orders!$B$2:$B$2027,"&lt;"&amp;EDATE($H12,1),Orders!$E$2:$E$2027,W$4)</f>
        <v>114985.86000000002</v>
      </c>
      <c r="X12">
        <f>SUMIFS(Orders!$I$2:$I$2027,Orders!$B$2:$B$2027,"&gt;="&amp;$H12,Orders!$B$2:$B$2027,"&lt;"&amp;EDATE($H12,1),Orders!$E$2:$E$2027,X$4)</f>
        <v>119357.27</v>
      </c>
      <c r="Y12">
        <f>SUMIFS(Orders!$I$2:$I$2027,Orders!$B$2:$B$2027,"&gt;="&amp;$H12,Orders!$B$2:$B$2027,"&lt;"&amp;EDATE($H12,1),Orders!$E$2:$E$2027,Y$4)</f>
        <v>88015.95</v>
      </c>
      <c r="Z12">
        <f>SUMIFS(Orders!$I$2:$I$2027,Orders!$B$2:$B$2027,"&gt;="&amp;$H12,Orders!$B$2:$B$2027,"&lt;"&amp;EDATE($H12,1),Orders!$E$2:$E$2027,Z$4)</f>
        <v>26814.3</v>
      </c>
      <c r="AA12">
        <f>SUMIFS(Orders!$I$2:$I$2027,Orders!$B$2:$B$2027,"&gt;="&amp;$H12,Orders!$B$2:$B$2027,"&lt;"&amp;EDATE($H12,1),Orders!$E$2:$E$2027,AA$4)</f>
        <v>20666.8</v>
      </c>
      <c r="AB12">
        <f>SUMIFS(Orders!$I$2:$I$2027,Orders!$B$2:$B$2027,"&gt;="&amp;$H12,Orders!$B$2:$B$2027,"&lt;"&amp;EDATE($H12,1),Orders!$E$2:$E$2027,AB$4)</f>
        <v>107718.33</v>
      </c>
      <c r="AC12">
        <f>SUMIFS(Orders!$I$2:$I$2027,Orders!$B$2:$B$2027,"&gt;="&amp;$H12,Orders!$B$2:$B$2027,"&lt;"&amp;EDATE($H12,1),Orders!$E$2:$E$2027,AC$4)</f>
        <v>44212.2</v>
      </c>
      <c r="AD12">
        <f>SUMIFS(Orders!$I$2:$I$2027,Orders!$B$2:$B$2027,"&gt;="&amp;$H12,Orders!$B$2:$B$2027,"&lt;"&amp;EDATE($H12,1),Orders!$E$2:$E$2027,AD$4)</f>
        <v>81133.64</v>
      </c>
      <c r="AE12">
        <f>SUMIFS(Orders!$I$2:$I$2027,Orders!$B$2:$B$2027,"&gt;="&amp;$H12,Orders!$B$2:$B$2027,"&lt;"&amp;EDATE($H12,1),Orders!$E$2:$E$2027,AE$4)</f>
        <v>50585.599999999999</v>
      </c>
      <c r="AF12">
        <f>SUMIFS(Orders!$I$2:$I$2027,Orders!$B$2:$B$2027,"&gt;="&amp;$H12,Orders!$B$2:$B$2027,"&lt;"&amp;EDATE($H12,1),Orders!$E$2:$E$2027,AF$4)</f>
        <v>66015.240000000005</v>
      </c>
      <c r="AG12">
        <f>SUMIFS(Orders!$I$2:$I$2027,Orders!$B$2:$B$2027,"&gt;="&amp;$H12,Orders!$B$2:$B$2027,"&lt;"&amp;EDATE($H12,1),Orders!$E$2:$E$2027,AG$4)</f>
        <v>61143.740000000005</v>
      </c>
      <c r="AH12">
        <f>SUMIFS(Orders!$I$2:$I$2027,Orders!$B$2:$B$2027,"&gt;="&amp;$H12,Orders!$B$2:$B$2027,"&lt;"&amp;EDATE($H12,1),Orders!$E$2:$E$2027,AH$4)</f>
        <v>89359.819999999992</v>
      </c>
      <c r="AI12">
        <f>SUMIFS(Orders!$I$2:$I$2027,Orders!$B$2:$B$2027,"&gt;="&amp;$H12,Orders!$B$2:$B$2027,"&lt;"&amp;EDATE($H12,1),Orders!$E$2:$E$2027,AI$4)</f>
        <v>18606.830000000002</v>
      </c>
      <c r="AJ12">
        <f>SUMIFS(Orders!$I$2:$I$2027,Orders!$B$2:$B$2027,"&gt;="&amp;$H12,Orders!$B$2:$B$2027,"&lt;"&amp;EDATE($H12,1),Orders!$E$2:$E$2027,AJ$4)</f>
        <v>168231.25</v>
      </c>
      <c r="AK12">
        <f>SUMIFS(Orders!$I$2:$I$2027,Orders!$B$2:$B$2027,"&gt;="&amp;$H12,Orders!$B$2:$B$2027,"&lt;"&amp;EDATE($H12,1),Orders!$E$2:$E$2027,AK$4)</f>
        <v>134005.79</v>
      </c>
      <c r="AL12">
        <f>SUMIFS(Orders!$I$2:$I$2027,Orders!$B$2:$B$2027,"&gt;="&amp;$H12,Orders!$B$2:$B$2027,"&lt;"&amp;EDATE($H12,1),Orders!$E$2:$E$2027,AL$4)</f>
        <v>74000.900000000009</v>
      </c>
    </row>
    <row r="13" spans="1:38" ht="15" customHeight="1" x14ac:dyDescent="0.35">
      <c r="H13" s="34">
        <f>DATE(2024,9,1)</f>
        <v>45536</v>
      </c>
      <c r="I13">
        <f>SUMIFS(Orders!$I$2:$I$2027,Orders!$B$2:$B$2027,"&gt;="&amp;$H13,Orders!$B$2:$B$2027,"&lt;"&amp;EDATE($H13,1),Orders!$E$2:$E$2027,I$4)</f>
        <v>88884.34</v>
      </c>
      <c r="J13">
        <f>SUMIFS(Orders!$I$2:$I$2027,Orders!$B$2:$B$2027,"&gt;="&amp;$H13,Orders!$B$2:$B$2027,"&lt;"&amp;EDATE($H13,1),Orders!$E$2:$E$2027,J$4)</f>
        <v>91647.290000000008</v>
      </c>
      <c r="K13">
        <f>SUMIFS(Orders!$I$2:$I$2027,Orders!$B$2:$B$2027,"&gt;="&amp;$H13,Orders!$B$2:$B$2027,"&lt;"&amp;EDATE($H13,1),Orders!$E$2:$E$2027,K$4)</f>
        <v>69896.72</v>
      </c>
      <c r="L13">
        <f>SUMIFS(Orders!$I$2:$I$2027,Orders!$B$2:$B$2027,"&gt;="&amp;$H13,Orders!$B$2:$B$2027,"&lt;"&amp;EDATE($H13,1),Orders!$E$2:$E$2027,L$4)</f>
        <v>46944.28</v>
      </c>
      <c r="M13">
        <f>SUMIFS(Orders!$I$2:$I$2027,Orders!$B$2:$B$2027,"&gt;="&amp;$H13,Orders!$B$2:$B$2027,"&lt;"&amp;EDATE($H13,1),Orders!$E$2:$E$2027,M$4)</f>
        <v>81963.69</v>
      </c>
      <c r="N13">
        <f>SUMIFS(Orders!$I$2:$I$2027,Orders!$B$2:$B$2027,"&gt;="&amp;$H13,Orders!$B$2:$B$2027,"&lt;"&amp;EDATE($H13,1),Orders!$E$2:$E$2027,N$4)</f>
        <v>76627.83</v>
      </c>
      <c r="O13">
        <f>SUMIFS(Orders!$I$2:$I$2027,Orders!$B$2:$B$2027,"&gt;="&amp;$H13,Orders!$B$2:$B$2027,"&lt;"&amp;EDATE($H13,1),Orders!$E$2:$E$2027,O$4)</f>
        <v>52194.149999999994</v>
      </c>
      <c r="P13">
        <f>SUMIFS(Orders!$I$2:$I$2027,Orders!$B$2:$B$2027,"&gt;="&amp;$H13,Orders!$B$2:$B$2027,"&lt;"&amp;EDATE($H13,1),Orders!$E$2:$E$2027,P$4)</f>
        <v>49404.639999999999</v>
      </c>
      <c r="Q13">
        <f>SUMIFS(Orders!$I$2:$I$2027,Orders!$B$2:$B$2027,"&gt;="&amp;$H13,Orders!$B$2:$B$2027,"&lt;"&amp;EDATE($H13,1),Orders!$E$2:$E$2027,Q$4)</f>
        <v>98466.52</v>
      </c>
      <c r="R13">
        <f>SUMIFS(Orders!$I$2:$I$2027,Orders!$B$2:$B$2027,"&gt;="&amp;$H13,Orders!$B$2:$B$2027,"&lt;"&amp;EDATE($H13,1),Orders!$E$2:$E$2027,R$4)</f>
        <v>146100.57</v>
      </c>
      <c r="S13">
        <f>SUMIFS(Orders!$I$2:$I$2027,Orders!$B$2:$B$2027,"&gt;="&amp;$H13,Orders!$B$2:$B$2027,"&lt;"&amp;EDATE($H13,1),Orders!$E$2:$E$2027,S$4)</f>
        <v>88472.060000000012</v>
      </c>
      <c r="T13">
        <f>SUMIFS(Orders!$I$2:$I$2027,Orders!$B$2:$B$2027,"&gt;="&amp;$H13,Orders!$B$2:$B$2027,"&lt;"&amp;EDATE($H13,1),Orders!$E$2:$E$2027,T$4)</f>
        <v>104717.03</v>
      </c>
      <c r="U13">
        <f>SUMIFS(Orders!$I$2:$I$2027,Orders!$B$2:$B$2027,"&gt;="&amp;$H13,Orders!$B$2:$B$2027,"&lt;"&amp;EDATE($H13,1),Orders!$E$2:$E$2027,U$4)</f>
        <v>63389.33</v>
      </c>
      <c r="V13">
        <f>SUMIFS(Orders!$I$2:$I$2027,Orders!$B$2:$B$2027,"&gt;="&amp;$H13,Orders!$B$2:$B$2027,"&lt;"&amp;EDATE($H13,1),Orders!$E$2:$E$2027,V$4)</f>
        <v>45673.51</v>
      </c>
      <c r="W13">
        <f>SUMIFS(Orders!$I$2:$I$2027,Orders!$B$2:$B$2027,"&gt;="&amp;$H13,Orders!$B$2:$B$2027,"&lt;"&amp;EDATE($H13,1),Orders!$E$2:$E$2027,W$4)</f>
        <v>92815.3</v>
      </c>
      <c r="X13">
        <f>SUMIFS(Orders!$I$2:$I$2027,Orders!$B$2:$B$2027,"&gt;="&amp;$H13,Orders!$B$2:$B$2027,"&lt;"&amp;EDATE($H13,1),Orders!$E$2:$E$2027,X$4)</f>
        <v>34105.56</v>
      </c>
      <c r="Y13">
        <f>SUMIFS(Orders!$I$2:$I$2027,Orders!$B$2:$B$2027,"&gt;="&amp;$H13,Orders!$B$2:$B$2027,"&lt;"&amp;EDATE($H13,1),Orders!$E$2:$E$2027,Y$4)</f>
        <v>75893.02</v>
      </c>
      <c r="Z13">
        <f>SUMIFS(Orders!$I$2:$I$2027,Orders!$B$2:$B$2027,"&gt;="&amp;$H13,Orders!$B$2:$B$2027,"&lt;"&amp;EDATE($H13,1),Orders!$E$2:$E$2027,Z$4)</f>
        <v>29070.76</v>
      </c>
      <c r="AA13">
        <f>SUMIFS(Orders!$I$2:$I$2027,Orders!$B$2:$B$2027,"&gt;="&amp;$H13,Orders!$B$2:$B$2027,"&lt;"&amp;EDATE($H13,1),Orders!$E$2:$E$2027,AA$4)</f>
        <v>34590.78</v>
      </c>
      <c r="AB13">
        <f>SUMIFS(Orders!$I$2:$I$2027,Orders!$B$2:$B$2027,"&gt;="&amp;$H13,Orders!$B$2:$B$2027,"&lt;"&amp;EDATE($H13,1),Orders!$E$2:$E$2027,AB$4)</f>
        <v>57555.72</v>
      </c>
      <c r="AC13">
        <f>SUMIFS(Orders!$I$2:$I$2027,Orders!$B$2:$B$2027,"&gt;="&amp;$H13,Orders!$B$2:$B$2027,"&lt;"&amp;EDATE($H13,1),Orders!$E$2:$E$2027,AC$4)</f>
        <v>108409.59</v>
      </c>
      <c r="AD13">
        <f>SUMIFS(Orders!$I$2:$I$2027,Orders!$B$2:$B$2027,"&gt;="&amp;$H13,Orders!$B$2:$B$2027,"&lt;"&amp;EDATE($H13,1),Orders!$E$2:$E$2027,AD$4)</f>
        <v>87991.220000000016</v>
      </c>
      <c r="AE13">
        <f>SUMIFS(Orders!$I$2:$I$2027,Orders!$B$2:$B$2027,"&gt;="&amp;$H13,Orders!$B$2:$B$2027,"&lt;"&amp;EDATE($H13,1),Orders!$E$2:$E$2027,AE$4)</f>
        <v>50462.58</v>
      </c>
      <c r="AF13">
        <f>SUMIFS(Orders!$I$2:$I$2027,Orders!$B$2:$B$2027,"&gt;="&amp;$H13,Orders!$B$2:$B$2027,"&lt;"&amp;EDATE($H13,1),Orders!$E$2:$E$2027,AF$4)</f>
        <v>16909.739999999998</v>
      </c>
      <c r="AG13">
        <f>SUMIFS(Orders!$I$2:$I$2027,Orders!$B$2:$B$2027,"&gt;="&amp;$H13,Orders!$B$2:$B$2027,"&lt;"&amp;EDATE($H13,1),Orders!$E$2:$E$2027,AG$4)</f>
        <v>121716.57999999999</v>
      </c>
      <c r="AH13">
        <f>SUMIFS(Orders!$I$2:$I$2027,Orders!$B$2:$B$2027,"&gt;="&amp;$H13,Orders!$B$2:$B$2027,"&lt;"&amp;EDATE($H13,1),Orders!$E$2:$E$2027,AH$4)</f>
        <v>26249.420000000002</v>
      </c>
      <c r="AI13">
        <f>SUMIFS(Orders!$I$2:$I$2027,Orders!$B$2:$B$2027,"&gt;="&amp;$H13,Orders!$B$2:$B$2027,"&lt;"&amp;EDATE($H13,1),Orders!$E$2:$E$2027,AI$4)</f>
        <v>133645.79999999999</v>
      </c>
      <c r="AJ13">
        <f>SUMIFS(Orders!$I$2:$I$2027,Orders!$B$2:$B$2027,"&gt;="&amp;$H13,Orders!$B$2:$B$2027,"&lt;"&amp;EDATE($H13,1),Orders!$E$2:$E$2027,AJ$4)</f>
        <v>44209.14</v>
      </c>
      <c r="AK13">
        <f>SUMIFS(Orders!$I$2:$I$2027,Orders!$B$2:$B$2027,"&gt;="&amp;$H13,Orders!$B$2:$B$2027,"&lt;"&amp;EDATE($H13,1),Orders!$E$2:$E$2027,AK$4)</f>
        <v>18360.240000000002</v>
      </c>
      <c r="AL13">
        <f>SUMIFS(Orders!$I$2:$I$2027,Orders!$B$2:$B$2027,"&gt;="&amp;$H13,Orders!$B$2:$B$2027,"&lt;"&amp;EDATE($H13,1),Orders!$E$2:$E$2027,AL$4)</f>
        <v>26448.21</v>
      </c>
    </row>
    <row r="14" spans="1:38" ht="15" customHeight="1" x14ac:dyDescent="0.35">
      <c r="H14" s="34">
        <f>DATE(2024,10,1)</f>
        <v>45566</v>
      </c>
      <c r="I14">
        <f>SUMIFS(Orders!$I$2:$I$2027,Orders!$B$2:$B$2027,"&gt;="&amp;$H14,Orders!$B$2:$B$2027,"&lt;"&amp;EDATE($H14,1),Orders!$E$2:$E$2027,I$4)</f>
        <v>37753.900000000009</v>
      </c>
      <c r="J14">
        <f>SUMIFS(Orders!$I$2:$I$2027,Orders!$B$2:$B$2027,"&gt;="&amp;$H14,Orders!$B$2:$B$2027,"&lt;"&amp;EDATE($H14,1),Orders!$E$2:$E$2027,J$4)</f>
        <v>35751.81</v>
      </c>
      <c r="K14">
        <f>SUMIFS(Orders!$I$2:$I$2027,Orders!$B$2:$B$2027,"&gt;="&amp;$H14,Orders!$B$2:$B$2027,"&lt;"&amp;EDATE($H14,1),Orders!$E$2:$E$2027,K$4)</f>
        <v>29309.979999999996</v>
      </c>
      <c r="L14">
        <f>SUMIFS(Orders!$I$2:$I$2027,Orders!$B$2:$B$2027,"&gt;="&amp;$H14,Orders!$B$2:$B$2027,"&lt;"&amp;EDATE($H14,1),Orders!$E$2:$E$2027,L$4)</f>
        <v>43456.180000000008</v>
      </c>
      <c r="M14">
        <f>SUMIFS(Orders!$I$2:$I$2027,Orders!$B$2:$B$2027,"&gt;="&amp;$H14,Orders!$B$2:$B$2027,"&lt;"&amp;EDATE($H14,1),Orders!$E$2:$E$2027,M$4)</f>
        <v>99252.76999999999</v>
      </c>
      <c r="N14">
        <f>SUMIFS(Orders!$I$2:$I$2027,Orders!$B$2:$B$2027,"&gt;="&amp;$H14,Orders!$B$2:$B$2027,"&lt;"&amp;EDATE($H14,1),Orders!$E$2:$E$2027,N$4)</f>
        <v>52942.27</v>
      </c>
      <c r="O14">
        <f>SUMIFS(Orders!$I$2:$I$2027,Orders!$B$2:$B$2027,"&gt;="&amp;$H14,Orders!$B$2:$B$2027,"&lt;"&amp;EDATE($H14,1),Orders!$E$2:$E$2027,O$4)</f>
        <v>57313.75</v>
      </c>
      <c r="P14">
        <f>SUMIFS(Orders!$I$2:$I$2027,Orders!$B$2:$B$2027,"&gt;="&amp;$H14,Orders!$B$2:$B$2027,"&lt;"&amp;EDATE($H14,1),Orders!$E$2:$E$2027,P$4)</f>
        <v>26620.46</v>
      </c>
      <c r="Q14">
        <f>SUMIFS(Orders!$I$2:$I$2027,Orders!$B$2:$B$2027,"&gt;="&amp;$H14,Orders!$B$2:$B$2027,"&lt;"&amp;EDATE($H14,1),Orders!$E$2:$E$2027,Q$4)</f>
        <v>107648.92</v>
      </c>
      <c r="R14">
        <f>SUMIFS(Orders!$I$2:$I$2027,Orders!$B$2:$B$2027,"&gt;="&amp;$H14,Orders!$B$2:$B$2027,"&lt;"&amp;EDATE($H14,1),Orders!$E$2:$E$2027,R$4)</f>
        <v>64630.99</v>
      </c>
      <c r="S14">
        <f>SUMIFS(Orders!$I$2:$I$2027,Orders!$B$2:$B$2027,"&gt;="&amp;$H14,Orders!$B$2:$B$2027,"&lt;"&amp;EDATE($H14,1),Orders!$E$2:$E$2027,S$4)</f>
        <v>55503.48</v>
      </c>
      <c r="T14">
        <f>SUMIFS(Orders!$I$2:$I$2027,Orders!$B$2:$B$2027,"&gt;="&amp;$H14,Orders!$B$2:$B$2027,"&lt;"&amp;EDATE($H14,1),Orders!$E$2:$E$2027,T$4)</f>
        <v>89150.849999999991</v>
      </c>
      <c r="U14">
        <f>SUMIFS(Orders!$I$2:$I$2027,Orders!$B$2:$B$2027,"&gt;="&amp;$H14,Orders!$B$2:$B$2027,"&lt;"&amp;EDATE($H14,1),Orders!$E$2:$E$2027,U$4)</f>
        <v>46714.579999999994</v>
      </c>
      <c r="V14">
        <f>SUMIFS(Orders!$I$2:$I$2027,Orders!$B$2:$B$2027,"&gt;="&amp;$H14,Orders!$B$2:$B$2027,"&lt;"&amp;EDATE($H14,1),Orders!$E$2:$E$2027,V$4)</f>
        <v>80097.179999999993</v>
      </c>
      <c r="W14">
        <f>SUMIFS(Orders!$I$2:$I$2027,Orders!$B$2:$B$2027,"&gt;="&amp;$H14,Orders!$B$2:$B$2027,"&lt;"&amp;EDATE($H14,1),Orders!$E$2:$E$2027,W$4)</f>
        <v>119179.18</v>
      </c>
      <c r="X14">
        <f>SUMIFS(Orders!$I$2:$I$2027,Orders!$B$2:$B$2027,"&gt;="&amp;$H14,Orders!$B$2:$B$2027,"&lt;"&amp;EDATE($H14,1),Orders!$E$2:$E$2027,X$4)</f>
        <v>55604.090000000004</v>
      </c>
      <c r="Y14">
        <f>SUMIFS(Orders!$I$2:$I$2027,Orders!$B$2:$B$2027,"&gt;="&amp;$H14,Orders!$B$2:$B$2027,"&lt;"&amp;EDATE($H14,1),Orders!$E$2:$E$2027,Y$4)</f>
        <v>75670.28</v>
      </c>
      <c r="Z14">
        <f>SUMIFS(Orders!$I$2:$I$2027,Orders!$B$2:$B$2027,"&gt;="&amp;$H14,Orders!$B$2:$B$2027,"&lt;"&amp;EDATE($H14,1),Orders!$E$2:$E$2027,Z$4)</f>
        <v>109087.31</v>
      </c>
      <c r="AA14">
        <f>SUMIFS(Orders!$I$2:$I$2027,Orders!$B$2:$B$2027,"&gt;="&amp;$H14,Orders!$B$2:$B$2027,"&lt;"&amp;EDATE($H14,1),Orders!$E$2:$E$2027,AA$4)</f>
        <v>152548.56</v>
      </c>
      <c r="AB14">
        <f>SUMIFS(Orders!$I$2:$I$2027,Orders!$B$2:$B$2027,"&gt;="&amp;$H14,Orders!$B$2:$B$2027,"&lt;"&amp;EDATE($H14,1),Orders!$E$2:$E$2027,AB$4)</f>
        <v>23378.260000000002</v>
      </c>
      <c r="AC14">
        <f>SUMIFS(Orders!$I$2:$I$2027,Orders!$B$2:$B$2027,"&gt;="&amp;$H14,Orders!$B$2:$B$2027,"&lt;"&amp;EDATE($H14,1),Orders!$E$2:$E$2027,AC$4)</f>
        <v>42203.749999999993</v>
      </c>
      <c r="AD14">
        <f>SUMIFS(Orders!$I$2:$I$2027,Orders!$B$2:$B$2027,"&gt;="&amp;$H14,Orders!$B$2:$B$2027,"&lt;"&amp;EDATE($H14,1),Orders!$E$2:$E$2027,AD$4)</f>
        <v>73388.56</v>
      </c>
      <c r="AE14">
        <f>SUMIFS(Orders!$I$2:$I$2027,Orders!$B$2:$B$2027,"&gt;="&amp;$H14,Orders!$B$2:$B$2027,"&lt;"&amp;EDATE($H14,1),Orders!$E$2:$E$2027,AE$4)</f>
        <v>13975.5</v>
      </c>
      <c r="AF14">
        <f>SUMIFS(Orders!$I$2:$I$2027,Orders!$B$2:$B$2027,"&gt;="&amp;$H14,Orders!$B$2:$B$2027,"&lt;"&amp;EDATE($H14,1),Orders!$E$2:$E$2027,AF$4)</f>
        <v>82877.570000000007</v>
      </c>
      <c r="AG14">
        <f>SUMIFS(Orders!$I$2:$I$2027,Orders!$B$2:$B$2027,"&gt;="&amp;$H14,Orders!$B$2:$B$2027,"&lt;"&amp;EDATE($H14,1),Orders!$E$2:$E$2027,AG$4)</f>
        <v>8289.0300000000007</v>
      </c>
      <c r="AH14">
        <f>SUMIFS(Orders!$I$2:$I$2027,Orders!$B$2:$B$2027,"&gt;="&amp;$H14,Orders!$B$2:$B$2027,"&lt;"&amp;EDATE($H14,1),Orders!$E$2:$E$2027,AH$4)</f>
        <v>79217.400000000009</v>
      </c>
      <c r="AI14">
        <f>SUMIFS(Orders!$I$2:$I$2027,Orders!$B$2:$B$2027,"&gt;="&amp;$H14,Orders!$B$2:$B$2027,"&lt;"&amp;EDATE($H14,1),Orders!$E$2:$E$2027,AI$4)</f>
        <v>110709.74999999999</v>
      </c>
      <c r="AJ14">
        <f>SUMIFS(Orders!$I$2:$I$2027,Orders!$B$2:$B$2027,"&gt;="&amp;$H14,Orders!$B$2:$B$2027,"&lt;"&amp;EDATE($H14,1),Orders!$E$2:$E$2027,AJ$4)</f>
        <v>137494.43</v>
      </c>
      <c r="AK14">
        <f>SUMIFS(Orders!$I$2:$I$2027,Orders!$B$2:$B$2027,"&gt;="&amp;$H14,Orders!$B$2:$B$2027,"&lt;"&amp;EDATE($H14,1),Orders!$E$2:$E$2027,AK$4)</f>
        <v>27441.88</v>
      </c>
      <c r="AL14">
        <f>SUMIFS(Orders!$I$2:$I$2027,Orders!$B$2:$B$2027,"&gt;="&amp;$H14,Orders!$B$2:$B$2027,"&lt;"&amp;EDATE($H14,1),Orders!$E$2:$E$2027,AL$4)</f>
        <v>40669.760000000002</v>
      </c>
    </row>
    <row r="15" spans="1:38" ht="15" customHeight="1" x14ac:dyDescent="0.35">
      <c r="H15" s="34">
        <f>DATE(2024,11,1)</f>
        <v>45597</v>
      </c>
      <c r="I15">
        <f>SUMIFS(Orders!$I$2:$I$2027,Orders!$B$2:$B$2027,"&gt;="&amp;$H15,Orders!$B$2:$B$2027,"&lt;"&amp;EDATE($H15,1),Orders!$E$2:$E$2027,I$4)</f>
        <v>72215.41</v>
      </c>
      <c r="J15">
        <f>SUMIFS(Orders!$I$2:$I$2027,Orders!$B$2:$B$2027,"&gt;="&amp;$H15,Orders!$B$2:$B$2027,"&lt;"&amp;EDATE($H15,1),Orders!$E$2:$E$2027,J$4)</f>
        <v>158277.82</v>
      </c>
      <c r="K15">
        <f>SUMIFS(Orders!$I$2:$I$2027,Orders!$B$2:$B$2027,"&gt;="&amp;$H15,Orders!$B$2:$B$2027,"&lt;"&amp;EDATE($H15,1),Orders!$E$2:$E$2027,K$4)</f>
        <v>106760.75</v>
      </c>
      <c r="L15">
        <f>SUMIFS(Orders!$I$2:$I$2027,Orders!$B$2:$B$2027,"&gt;="&amp;$H15,Orders!$B$2:$B$2027,"&lt;"&amp;EDATE($H15,1),Orders!$E$2:$E$2027,L$4)</f>
        <v>38491.18</v>
      </c>
      <c r="M15">
        <f>SUMIFS(Orders!$I$2:$I$2027,Orders!$B$2:$B$2027,"&gt;="&amp;$H15,Orders!$B$2:$B$2027,"&lt;"&amp;EDATE($H15,1),Orders!$E$2:$E$2027,M$4)</f>
        <v>55570.99</v>
      </c>
      <c r="N15">
        <f>SUMIFS(Orders!$I$2:$I$2027,Orders!$B$2:$B$2027,"&gt;="&amp;$H15,Orders!$B$2:$B$2027,"&lt;"&amp;EDATE($H15,1),Orders!$E$2:$E$2027,N$4)</f>
        <v>81500.239999999991</v>
      </c>
      <c r="O15">
        <f>SUMIFS(Orders!$I$2:$I$2027,Orders!$B$2:$B$2027,"&gt;="&amp;$H15,Orders!$B$2:$B$2027,"&lt;"&amp;EDATE($H15,1),Orders!$E$2:$E$2027,O$4)</f>
        <v>130208.90000000001</v>
      </c>
      <c r="P15">
        <f>SUMIFS(Orders!$I$2:$I$2027,Orders!$B$2:$B$2027,"&gt;="&amp;$H15,Orders!$B$2:$B$2027,"&lt;"&amp;EDATE($H15,1),Orders!$E$2:$E$2027,P$4)</f>
        <v>64537.259999999995</v>
      </c>
      <c r="Q15">
        <f>SUMIFS(Orders!$I$2:$I$2027,Orders!$B$2:$B$2027,"&gt;="&amp;$H15,Orders!$B$2:$B$2027,"&lt;"&amp;EDATE($H15,1),Orders!$E$2:$E$2027,Q$4)</f>
        <v>30954.959999999999</v>
      </c>
      <c r="R15">
        <f>SUMIFS(Orders!$I$2:$I$2027,Orders!$B$2:$B$2027,"&gt;="&amp;$H15,Orders!$B$2:$B$2027,"&lt;"&amp;EDATE($H15,1),Orders!$E$2:$E$2027,R$4)</f>
        <v>119201.56999999999</v>
      </c>
      <c r="S15">
        <f>SUMIFS(Orders!$I$2:$I$2027,Orders!$B$2:$B$2027,"&gt;="&amp;$H15,Orders!$B$2:$B$2027,"&lt;"&amp;EDATE($H15,1),Orders!$E$2:$E$2027,S$4)</f>
        <v>64240.800000000003</v>
      </c>
      <c r="T15">
        <f>SUMIFS(Orders!$I$2:$I$2027,Orders!$B$2:$B$2027,"&gt;="&amp;$H15,Orders!$B$2:$B$2027,"&lt;"&amp;EDATE($H15,1),Orders!$E$2:$E$2027,T$4)</f>
        <v>69152.06</v>
      </c>
      <c r="U15">
        <f>SUMIFS(Orders!$I$2:$I$2027,Orders!$B$2:$B$2027,"&gt;="&amp;$H15,Orders!$B$2:$B$2027,"&lt;"&amp;EDATE($H15,1),Orders!$E$2:$E$2027,U$4)</f>
        <v>108112.06999999999</v>
      </c>
      <c r="V15">
        <f>SUMIFS(Orders!$I$2:$I$2027,Orders!$B$2:$B$2027,"&gt;="&amp;$H15,Orders!$B$2:$B$2027,"&lt;"&amp;EDATE($H15,1),Orders!$E$2:$E$2027,V$4)</f>
        <v>50971.92</v>
      </c>
      <c r="W15">
        <f>SUMIFS(Orders!$I$2:$I$2027,Orders!$B$2:$B$2027,"&gt;="&amp;$H15,Orders!$B$2:$B$2027,"&lt;"&amp;EDATE($H15,1),Orders!$E$2:$E$2027,W$4)</f>
        <v>97394.65</v>
      </c>
      <c r="X15">
        <f>SUMIFS(Orders!$I$2:$I$2027,Orders!$B$2:$B$2027,"&gt;="&amp;$H15,Orders!$B$2:$B$2027,"&lt;"&amp;EDATE($H15,1),Orders!$E$2:$E$2027,X$4)</f>
        <v>26689.96</v>
      </c>
      <c r="Y15">
        <f>SUMIFS(Orders!$I$2:$I$2027,Orders!$B$2:$B$2027,"&gt;="&amp;$H15,Orders!$B$2:$B$2027,"&lt;"&amp;EDATE($H15,1),Orders!$E$2:$E$2027,Y$4)</f>
        <v>23417.13</v>
      </c>
      <c r="Z15">
        <f>SUMIFS(Orders!$I$2:$I$2027,Orders!$B$2:$B$2027,"&gt;="&amp;$H15,Orders!$B$2:$B$2027,"&lt;"&amp;EDATE($H15,1),Orders!$E$2:$E$2027,Z$4)</f>
        <v>84868.64</v>
      </c>
      <c r="AA15">
        <f>SUMIFS(Orders!$I$2:$I$2027,Orders!$B$2:$B$2027,"&gt;="&amp;$H15,Orders!$B$2:$B$2027,"&lt;"&amp;EDATE($H15,1),Orders!$E$2:$E$2027,AA$4)</f>
        <v>96634.5</v>
      </c>
      <c r="AB15">
        <f>SUMIFS(Orders!$I$2:$I$2027,Orders!$B$2:$B$2027,"&gt;="&amp;$H15,Orders!$B$2:$B$2027,"&lt;"&amp;EDATE($H15,1),Orders!$E$2:$E$2027,AB$4)</f>
        <v>68985.010000000009</v>
      </c>
      <c r="AC15">
        <f>SUMIFS(Orders!$I$2:$I$2027,Orders!$B$2:$B$2027,"&gt;="&amp;$H15,Orders!$B$2:$B$2027,"&lt;"&amp;EDATE($H15,1),Orders!$E$2:$E$2027,AC$4)</f>
        <v>53126.100000000006</v>
      </c>
      <c r="AD15">
        <f>SUMIFS(Orders!$I$2:$I$2027,Orders!$B$2:$B$2027,"&gt;="&amp;$H15,Orders!$B$2:$B$2027,"&lt;"&amp;EDATE($H15,1),Orders!$E$2:$E$2027,AD$4)</f>
        <v>76504.66</v>
      </c>
      <c r="AE15">
        <f>SUMIFS(Orders!$I$2:$I$2027,Orders!$B$2:$B$2027,"&gt;="&amp;$H15,Orders!$B$2:$B$2027,"&lt;"&amp;EDATE($H15,1),Orders!$E$2:$E$2027,AE$4)</f>
        <v>59984.34</v>
      </c>
      <c r="AF15">
        <f>SUMIFS(Orders!$I$2:$I$2027,Orders!$B$2:$B$2027,"&gt;="&amp;$H15,Orders!$B$2:$B$2027,"&lt;"&amp;EDATE($H15,1),Orders!$E$2:$E$2027,AF$4)</f>
        <v>68084.649999999994</v>
      </c>
      <c r="AG15">
        <f>SUMIFS(Orders!$I$2:$I$2027,Orders!$B$2:$B$2027,"&gt;="&amp;$H15,Orders!$B$2:$B$2027,"&lt;"&amp;EDATE($H15,1),Orders!$E$2:$E$2027,AG$4)</f>
        <v>103237.54000000001</v>
      </c>
      <c r="AH15">
        <f>SUMIFS(Orders!$I$2:$I$2027,Orders!$B$2:$B$2027,"&gt;="&amp;$H15,Orders!$B$2:$B$2027,"&lt;"&amp;EDATE($H15,1),Orders!$E$2:$E$2027,AH$4)</f>
        <v>28769.67</v>
      </c>
      <c r="AI15">
        <f>SUMIFS(Orders!$I$2:$I$2027,Orders!$B$2:$B$2027,"&gt;="&amp;$H15,Orders!$B$2:$B$2027,"&lt;"&amp;EDATE($H15,1),Orders!$E$2:$E$2027,AI$4)</f>
        <v>110369.59</v>
      </c>
      <c r="AJ15">
        <f>SUMIFS(Orders!$I$2:$I$2027,Orders!$B$2:$B$2027,"&gt;="&amp;$H15,Orders!$B$2:$B$2027,"&lt;"&amp;EDATE($H15,1),Orders!$E$2:$E$2027,AJ$4)</f>
        <v>64459.770000000004</v>
      </c>
      <c r="AK15">
        <f>SUMIFS(Orders!$I$2:$I$2027,Orders!$B$2:$B$2027,"&gt;="&amp;$H15,Orders!$B$2:$B$2027,"&lt;"&amp;EDATE($H15,1),Orders!$E$2:$E$2027,AK$4)</f>
        <v>65290.45</v>
      </c>
      <c r="AL15">
        <f>SUMIFS(Orders!$I$2:$I$2027,Orders!$B$2:$B$2027,"&gt;="&amp;$H15,Orders!$B$2:$B$2027,"&lt;"&amp;EDATE($H15,1),Orders!$E$2:$E$2027,AL$4)</f>
        <v>119624.48999999999</v>
      </c>
    </row>
    <row r="16" spans="1:38" ht="15" customHeight="1" x14ac:dyDescent="0.35">
      <c r="H16" s="34">
        <f>DATE(2024,12,1)</f>
        <v>45627</v>
      </c>
      <c r="I16">
        <f>SUMIFS(Orders!$I$2:$I$2027,Orders!$B$2:$B$2027,"&gt;="&amp;$H16,Orders!$B$2:$B$2027,"&lt;"&amp;EDATE($H16,1),Orders!$E$2:$E$2027,I$4)</f>
        <v>79450.51999999999</v>
      </c>
      <c r="J16">
        <f>SUMIFS(Orders!$I$2:$I$2027,Orders!$B$2:$B$2027,"&gt;="&amp;$H16,Orders!$B$2:$B$2027,"&lt;"&amp;EDATE($H16,1),Orders!$E$2:$E$2027,J$4)</f>
        <v>47673.25</v>
      </c>
      <c r="K16">
        <f>SUMIFS(Orders!$I$2:$I$2027,Orders!$B$2:$B$2027,"&gt;="&amp;$H16,Orders!$B$2:$B$2027,"&lt;"&amp;EDATE($H16,1),Orders!$E$2:$E$2027,K$4)</f>
        <v>12325.539999999999</v>
      </c>
      <c r="L16">
        <f>SUMIFS(Orders!$I$2:$I$2027,Orders!$B$2:$B$2027,"&gt;="&amp;$H16,Orders!$B$2:$B$2027,"&lt;"&amp;EDATE($H16,1),Orders!$E$2:$E$2027,L$4)</f>
        <v>59066.319999999992</v>
      </c>
      <c r="M16">
        <f>SUMIFS(Orders!$I$2:$I$2027,Orders!$B$2:$B$2027,"&gt;="&amp;$H16,Orders!$B$2:$B$2027,"&lt;"&amp;EDATE($H16,1),Orders!$E$2:$E$2027,M$4)</f>
        <v>68580.799999999988</v>
      </c>
      <c r="N16">
        <f>SUMIFS(Orders!$I$2:$I$2027,Orders!$B$2:$B$2027,"&gt;="&amp;$H16,Orders!$B$2:$B$2027,"&lt;"&amp;EDATE($H16,1),Orders!$E$2:$E$2027,N$4)</f>
        <v>121741.5</v>
      </c>
      <c r="O16">
        <f>SUMIFS(Orders!$I$2:$I$2027,Orders!$B$2:$B$2027,"&gt;="&amp;$H16,Orders!$B$2:$B$2027,"&lt;"&amp;EDATE($H16,1),Orders!$E$2:$E$2027,O$4)</f>
        <v>57922.929999999993</v>
      </c>
      <c r="P16">
        <f>SUMIFS(Orders!$I$2:$I$2027,Orders!$B$2:$B$2027,"&gt;="&amp;$H16,Orders!$B$2:$B$2027,"&lt;"&amp;EDATE($H16,1),Orders!$E$2:$E$2027,P$4)</f>
        <v>172732.12000000002</v>
      </c>
      <c r="Q16">
        <f>SUMIFS(Orders!$I$2:$I$2027,Orders!$B$2:$B$2027,"&gt;="&amp;$H16,Orders!$B$2:$B$2027,"&lt;"&amp;EDATE($H16,1),Orders!$E$2:$E$2027,Q$4)</f>
        <v>46691.02</v>
      </c>
      <c r="R16">
        <f>SUMIFS(Orders!$I$2:$I$2027,Orders!$B$2:$B$2027,"&gt;="&amp;$H16,Orders!$B$2:$B$2027,"&lt;"&amp;EDATE($H16,1),Orders!$E$2:$E$2027,R$4)</f>
        <v>70844.790000000008</v>
      </c>
      <c r="S16">
        <f>SUMIFS(Orders!$I$2:$I$2027,Orders!$B$2:$B$2027,"&gt;="&amp;$H16,Orders!$B$2:$B$2027,"&lt;"&amp;EDATE($H16,1),Orders!$E$2:$E$2027,S$4)</f>
        <v>0</v>
      </c>
      <c r="T16">
        <f>SUMIFS(Orders!$I$2:$I$2027,Orders!$B$2:$B$2027,"&gt;="&amp;$H16,Orders!$B$2:$B$2027,"&lt;"&amp;EDATE($H16,1),Orders!$E$2:$E$2027,T$4)</f>
        <v>125492.57</v>
      </c>
      <c r="U16">
        <f>SUMIFS(Orders!$I$2:$I$2027,Orders!$B$2:$B$2027,"&gt;="&amp;$H16,Orders!$B$2:$B$2027,"&lt;"&amp;EDATE($H16,1),Orders!$E$2:$E$2027,U$4)</f>
        <v>63120.660000000011</v>
      </c>
      <c r="V16">
        <f>SUMIFS(Orders!$I$2:$I$2027,Orders!$B$2:$B$2027,"&gt;="&amp;$H16,Orders!$B$2:$B$2027,"&lt;"&amp;EDATE($H16,1),Orders!$E$2:$E$2027,V$4)</f>
        <v>105996.29000000001</v>
      </c>
      <c r="W16">
        <f>SUMIFS(Orders!$I$2:$I$2027,Orders!$B$2:$B$2027,"&gt;="&amp;$H16,Orders!$B$2:$B$2027,"&lt;"&amp;EDATE($H16,1),Orders!$E$2:$E$2027,W$4)</f>
        <v>73235.58</v>
      </c>
      <c r="X16">
        <f>SUMIFS(Orders!$I$2:$I$2027,Orders!$B$2:$B$2027,"&gt;="&amp;$H16,Orders!$B$2:$B$2027,"&lt;"&amp;EDATE($H16,1),Orders!$E$2:$E$2027,X$4)</f>
        <v>2821.88</v>
      </c>
      <c r="Y16">
        <f>SUMIFS(Orders!$I$2:$I$2027,Orders!$B$2:$B$2027,"&gt;="&amp;$H16,Orders!$B$2:$B$2027,"&lt;"&amp;EDATE($H16,1),Orders!$E$2:$E$2027,Y$4)</f>
        <v>71637.3</v>
      </c>
      <c r="Z16">
        <f>SUMIFS(Orders!$I$2:$I$2027,Orders!$B$2:$B$2027,"&gt;="&amp;$H16,Orders!$B$2:$B$2027,"&lt;"&amp;EDATE($H16,1),Orders!$E$2:$E$2027,Z$4)</f>
        <v>45259.32</v>
      </c>
      <c r="AA16">
        <f>SUMIFS(Orders!$I$2:$I$2027,Orders!$B$2:$B$2027,"&gt;="&amp;$H16,Orders!$B$2:$B$2027,"&lt;"&amp;EDATE($H16,1),Orders!$E$2:$E$2027,AA$4)</f>
        <v>118258.66</v>
      </c>
      <c r="AB16">
        <f>SUMIFS(Orders!$I$2:$I$2027,Orders!$B$2:$B$2027,"&gt;="&amp;$H16,Orders!$B$2:$B$2027,"&lt;"&amp;EDATE($H16,1),Orders!$E$2:$E$2027,AB$4)</f>
        <v>24872.76</v>
      </c>
      <c r="AC16">
        <f>SUMIFS(Orders!$I$2:$I$2027,Orders!$B$2:$B$2027,"&gt;="&amp;$H16,Orders!$B$2:$B$2027,"&lt;"&amp;EDATE($H16,1),Orders!$E$2:$E$2027,AC$4)</f>
        <v>40227.240000000005</v>
      </c>
      <c r="AD16">
        <f>SUMIFS(Orders!$I$2:$I$2027,Orders!$B$2:$B$2027,"&gt;="&amp;$H16,Orders!$B$2:$B$2027,"&lt;"&amp;EDATE($H16,1),Orders!$E$2:$E$2027,AD$4)</f>
        <v>119758.46</v>
      </c>
      <c r="AE16">
        <f>SUMIFS(Orders!$I$2:$I$2027,Orders!$B$2:$B$2027,"&gt;="&amp;$H16,Orders!$B$2:$B$2027,"&lt;"&amp;EDATE($H16,1),Orders!$E$2:$E$2027,AE$4)</f>
        <v>102626.04</v>
      </c>
      <c r="AF16">
        <f>SUMIFS(Orders!$I$2:$I$2027,Orders!$B$2:$B$2027,"&gt;="&amp;$H16,Orders!$B$2:$B$2027,"&lt;"&amp;EDATE($H16,1),Orders!$E$2:$E$2027,AF$4)</f>
        <v>104737.79</v>
      </c>
      <c r="AG16">
        <f>SUMIFS(Orders!$I$2:$I$2027,Orders!$B$2:$B$2027,"&gt;="&amp;$H16,Orders!$B$2:$B$2027,"&lt;"&amp;EDATE($H16,1),Orders!$E$2:$E$2027,AG$4)</f>
        <v>59696.52</v>
      </c>
      <c r="AH16">
        <f>SUMIFS(Orders!$I$2:$I$2027,Orders!$B$2:$B$2027,"&gt;="&amp;$H16,Orders!$B$2:$B$2027,"&lt;"&amp;EDATE($H16,1),Orders!$E$2:$E$2027,AH$4)</f>
        <v>60332.900000000009</v>
      </c>
      <c r="AI16">
        <f>SUMIFS(Orders!$I$2:$I$2027,Orders!$B$2:$B$2027,"&gt;="&amp;$H16,Orders!$B$2:$B$2027,"&lt;"&amp;EDATE($H16,1),Orders!$E$2:$E$2027,AI$4)</f>
        <v>104514.17000000001</v>
      </c>
      <c r="AJ16">
        <f>SUMIFS(Orders!$I$2:$I$2027,Orders!$B$2:$B$2027,"&gt;="&amp;$H16,Orders!$B$2:$B$2027,"&lt;"&amp;EDATE($H16,1),Orders!$E$2:$E$2027,AJ$4)</f>
        <v>51024.5</v>
      </c>
      <c r="AK16">
        <f>SUMIFS(Orders!$I$2:$I$2027,Orders!$B$2:$B$2027,"&gt;="&amp;$H16,Orders!$B$2:$B$2027,"&lt;"&amp;EDATE($H16,1),Orders!$E$2:$E$2027,AK$4)</f>
        <v>125575.3</v>
      </c>
      <c r="AL16">
        <f>SUMIFS(Orders!$I$2:$I$2027,Orders!$B$2:$B$2027,"&gt;="&amp;$H16,Orders!$B$2:$B$2027,"&lt;"&amp;EDATE($H16,1),Orders!$E$2:$E$2027,AL$4)</f>
        <v>47706.74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  <pageSetUpPr fitToPage="1"/>
  </sheetPr>
  <dimension ref="A1:W127"/>
  <sheetViews>
    <sheetView showGridLines="0" tabSelected="1" zoomScale="53" zoomScaleNormal="100" workbookViewId="0">
      <pane ySplit="4" topLeftCell="A5" activePane="bottomLeft" state="frozen"/>
      <selection pane="bottomLeft" activeCell="AA112" sqref="AA112"/>
    </sheetView>
  </sheetViews>
  <sheetFormatPr defaultColWidth="8.7265625" defaultRowHeight="15" customHeight="1" x14ac:dyDescent="0.35"/>
  <cols>
    <col min="1" max="1" width="12" customWidth="1"/>
    <col min="2" max="2" width="60" customWidth="1"/>
    <col min="3" max="3" width="12" customWidth="1"/>
    <col min="4" max="4" width="30" customWidth="1"/>
    <col min="5" max="5" width="20" customWidth="1"/>
    <col min="6" max="6" width="15" customWidth="1"/>
    <col min="7" max="18" width="13" customWidth="1"/>
  </cols>
  <sheetData>
    <row r="1" spans="1:23" ht="30" customHeight="1" x14ac:dyDescent="0.35">
      <c r="A1" s="39" t="s">
        <v>3026</v>
      </c>
      <c r="B1" s="39"/>
      <c r="C1" s="39"/>
      <c r="D1" s="39"/>
      <c r="E1" s="39"/>
      <c r="F1" s="39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15" customHeight="1" x14ac:dyDescent="0.35">
      <c r="A2" s="44" t="s">
        <v>3027</v>
      </c>
      <c r="B2" s="44"/>
      <c r="C2" s="44"/>
      <c r="D2" s="44"/>
      <c r="E2" s="44"/>
      <c r="F2" s="4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15" customHeight="1" x14ac:dyDescent="0.35">
      <c r="G3" s="16"/>
      <c r="H3" s="16" t="s">
        <v>3028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24" customHeight="1" x14ac:dyDescent="0.35">
      <c r="A4" s="2" t="s">
        <v>2923</v>
      </c>
      <c r="B4" s="2" t="s">
        <v>2924</v>
      </c>
      <c r="C4" s="2" t="s">
        <v>2461</v>
      </c>
      <c r="D4" s="2" t="s">
        <v>2925</v>
      </c>
      <c r="E4" s="2" t="s">
        <v>2926</v>
      </c>
      <c r="F4" s="37" t="s">
        <v>2927</v>
      </c>
      <c r="G4" s="16"/>
      <c r="H4" s="16" t="s">
        <v>2986</v>
      </c>
      <c r="I4" s="16" t="s">
        <v>3029</v>
      </c>
      <c r="J4" s="16" t="s">
        <v>2987</v>
      </c>
      <c r="K4" s="16" t="s">
        <v>3030</v>
      </c>
      <c r="L4" s="16"/>
      <c r="M4" s="16" t="s">
        <v>3031</v>
      </c>
      <c r="N4" s="16" t="s">
        <v>3032</v>
      </c>
      <c r="O4" s="16" t="s">
        <v>3030</v>
      </c>
      <c r="P4" s="16"/>
      <c r="Q4" s="16" t="s">
        <v>3033</v>
      </c>
      <c r="R4" s="16" t="s">
        <v>3029</v>
      </c>
      <c r="S4" s="16"/>
      <c r="T4" s="16"/>
      <c r="U4" s="16"/>
      <c r="V4" s="16"/>
      <c r="W4" s="16"/>
    </row>
    <row r="5" spans="1:23" ht="42" customHeight="1" x14ac:dyDescent="0.35">
      <c r="A5" s="28" t="s">
        <v>3034</v>
      </c>
      <c r="B5" s="29" t="s">
        <v>3035</v>
      </c>
      <c r="C5" s="30">
        <v>2</v>
      </c>
      <c r="D5" s="31" t="s">
        <v>3036</v>
      </c>
      <c r="E5" s="36" t="str">
        <f>INDEX($I$5:$I$34,MATCH(7,$K$5:$K$34,0))</f>
        <v>Amit Singh</v>
      </c>
      <c r="F5" s="38" t="s">
        <v>2936</v>
      </c>
      <c r="G5" s="16"/>
      <c r="H5" s="16" t="str">
        <f>Sales_Reps!A2</f>
        <v>R001</v>
      </c>
      <c r="I5" s="16" t="str">
        <f>Sales_Reps!B2</f>
        <v>Rajesh Malhotra</v>
      </c>
      <c r="J5" s="16">
        <f>SUMIF(Orders!$E$2:$E$2027,H5,Orders!$I$2:$I$2027)</f>
        <v>789849.60000000009</v>
      </c>
      <c r="K5" s="16">
        <f t="shared" ref="K5:K34" si="0">RANK(J5,$J$5:$J$34,0)</f>
        <v>23</v>
      </c>
      <c r="L5" s="16"/>
      <c r="M5" s="16" t="str">
        <f>Products!A2</f>
        <v>PROD-001</v>
      </c>
      <c r="N5" s="16">
        <f>SUMIFS(Orders!$I$2:$I$2027,Orders!$D$2:$D$2027,M5,Orders!$M$2:$M$2027,"West")</f>
        <v>155358.84</v>
      </c>
      <c r="O5" s="16">
        <f t="shared" ref="O5:O36" si="1">RANK(N5,$N$5:$N$64,0)</f>
        <v>10</v>
      </c>
      <c r="P5" s="16"/>
      <c r="Q5" s="16">
        <v>1</v>
      </c>
      <c r="R5" s="16" t="str">
        <f>INDEX($I$5:$I$34,MATCH(Q5,$K$5:$K$34,0))</f>
        <v>Neha Desai</v>
      </c>
      <c r="S5" s="16"/>
      <c r="T5" s="16"/>
      <c r="U5" s="16"/>
      <c r="V5" s="16"/>
      <c r="W5" s="16"/>
    </row>
    <row r="6" spans="1:23" ht="42" customHeight="1" x14ac:dyDescent="0.35">
      <c r="A6" s="28" t="s">
        <v>3037</v>
      </c>
      <c r="B6" s="29" t="s">
        <v>3038</v>
      </c>
      <c r="C6" s="30">
        <v>2</v>
      </c>
      <c r="D6" s="31" t="s">
        <v>3039</v>
      </c>
      <c r="E6" s="32">
        <f>SUMIFS(Orders!$I$2:$I$2027,Orders!$B$2:$B$2027,"&lt;="&amp;DATE(2024,8,31))</f>
        <v>18050689.600000005</v>
      </c>
      <c r="F6" s="38" t="s">
        <v>2991</v>
      </c>
      <c r="G6" s="16"/>
      <c r="H6" s="16" t="str">
        <f>Sales_Reps!A3</f>
        <v>R002</v>
      </c>
      <c r="I6" s="16" t="str">
        <f>Sales_Reps!B3</f>
        <v>Sunita Malhotra</v>
      </c>
      <c r="J6" s="16">
        <f>SUMIF(Orders!$E$2:$E$2027,H6,Orders!$I$2:$I$2027)</f>
        <v>980063.65999999968</v>
      </c>
      <c r="K6" s="16">
        <f t="shared" si="0"/>
        <v>9</v>
      </c>
      <c r="L6" s="16"/>
      <c r="M6" s="16" t="str">
        <f>Products!A3</f>
        <v>PROD-002</v>
      </c>
      <c r="N6" s="16">
        <f>SUMIFS(Orders!$I$2:$I$2027,Orders!$D$2:$D$2027,M6,Orders!$M$2:$M$2027,"West")</f>
        <v>105284.40000000001</v>
      </c>
      <c r="O6" s="16">
        <f t="shared" si="1"/>
        <v>23</v>
      </c>
      <c r="P6" s="16"/>
      <c r="Q6" s="16">
        <v>2</v>
      </c>
      <c r="R6" s="16" t="str">
        <f>INDEX($I$5:$I$34,MATCH(Q6,$K$5:$K$34,0))</f>
        <v>Shalini Patel</v>
      </c>
      <c r="S6" s="16"/>
      <c r="T6" s="16"/>
      <c r="U6" s="16"/>
      <c r="V6" s="16"/>
      <c r="W6" s="16"/>
    </row>
    <row r="7" spans="1:23" ht="42" customHeight="1" x14ac:dyDescent="0.35">
      <c r="A7" s="28" t="s">
        <v>3040</v>
      </c>
      <c r="B7" s="29" t="s">
        <v>3041</v>
      </c>
      <c r="C7" s="30">
        <v>3</v>
      </c>
      <c r="D7" s="31" t="s">
        <v>3042</v>
      </c>
      <c r="E7" s="36" t="str">
        <f>INDEX(Products!$B$2:$B$61,MATCH(LARGE($N$5:$N$64,2),$N$5:$N$64,0))</f>
        <v>Smart Watch</v>
      </c>
      <c r="F7" s="38" t="s">
        <v>2936</v>
      </c>
      <c r="G7" s="16"/>
      <c r="H7" s="16" t="str">
        <f>Sales_Reps!A4</f>
        <v>R003</v>
      </c>
      <c r="I7" s="16" t="str">
        <f>Sales_Reps!B4</f>
        <v>Amit Singh</v>
      </c>
      <c r="J7" s="16">
        <f>SUMIF(Orders!$E$2:$E$2027,H7,Orders!$I$2:$I$2027)</f>
        <v>986692.91</v>
      </c>
      <c r="K7" s="16">
        <f t="shared" si="0"/>
        <v>7</v>
      </c>
      <c r="L7" s="16"/>
      <c r="M7" s="16" t="str">
        <f>Products!A4</f>
        <v>PROD-003</v>
      </c>
      <c r="N7" s="16">
        <f>SUMIFS(Orders!$I$2:$I$2027,Orders!$D$2:$D$2027,M7,Orders!$M$2:$M$2027,"West")</f>
        <v>248025.75</v>
      </c>
      <c r="O7" s="16">
        <f t="shared" si="1"/>
        <v>2</v>
      </c>
      <c r="P7" s="16"/>
      <c r="Q7" s="16">
        <v>3</v>
      </c>
      <c r="R7" s="16" t="str">
        <f>INDEX($I$5:$I$34,MATCH(Q7,$K$5:$K$34,0))</f>
        <v>Deepak Shah</v>
      </c>
      <c r="S7" s="16"/>
      <c r="T7" s="16"/>
      <c r="U7" s="16"/>
      <c r="V7" s="16"/>
      <c r="W7" s="16"/>
    </row>
    <row r="8" spans="1:23" ht="42" customHeight="1" x14ac:dyDescent="0.35">
      <c r="A8" s="28" t="s">
        <v>3043</v>
      </c>
      <c r="B8" s="29" t="s">
        <v>3044</v>
      </c>
      <c r="C8" s="30">
        <v>2</v>
      </c>
      <c r="D8" s="31" t="s">
        <v>3045</v>
      </c>
      <c r="E8" s="36" t="str">
        <f>$R$5&amp;" | "&amp;$R$6&amp;" | "&amp;$R$7&amp;" | "&amp;$R$8&amp;" | "&amp;$R$9</f>
        <v>Neha Desai | Shalini Patel | Deepak Shah | Nisha Menon | Arun Iyer</v>
      </c>
      <c r="F8" s="38" t="s">
        <v>2936</v>
      </c>
      <c r="G8" s="16"/>
      <c r="H8" s="16" t="str">
        <f>Sales_Reps!A5</f>
        <v>R004</v>
      </c>
      <c r="I8" s="16" t="str">
        <f>Sales_Reps!B5</f>
        <v>Priya Singh</v>
      </c>
      <c r="J8" s="16">
        <f>SUMIF(Orders!$E$2:$E$2027,H8,Orders!$I$2:$I$2027)</f>
        <v>589026.2899999998</v>
      </c>
      <c r="K8" s="16">
        <f t="shared" si="0"/>
        <v>29</v>
      </c>
      <c r="L8" s="16"/>
      <c r="M8" s="16" t="str">
        <f>Products!A5</f>
        <v>PROD-004</v>
      </c>
      <c r="N8" s="16">
        <f>SUMIFS(Orders!$I$2:$I$2027,Orders!$D$2:$D$2027,M8,Orders!$M$2:$M$2027,"West")</f>
        <v>198124.65</v>
      </c>
      <c r="O8" s="16">
        <f t="shared" si="1"/>
        <v>5</v>
      </c>
      <c r="P8" s="16"/>
      <c r="Q8" s="16">
        <v>4</v>
      </c>
      <c r="R8" s="16" t="str">
        <f>INDEX($I$5:$I$34,MATCH(Q8,$K$5:$K$34,0))</f>
        <v>Nisha Menon</v>
      </c>
      <c r="S8" s="16"/>
      <c r="T8" s="16"/>
      <c r="U8" s="16"/>
      <c r="V8" s="16"/>
      <c r="W8" s="16"/>
    </row>
    <row r="9" spans="1:23" ht="42" customHeight="1" x14ac:dyDescent="0.35">
      <c r="A9" s="28" t="s">
        <v>3046</v>
      </c>
      <c r="B9" s="29" t="s">
        <v>3047</v>
      </c>
      <c r="C9" s="30">
        <v>1</v>
      </c>
      <c r="D9" s="31" t="s">
        <v>3048</v>
      </c>
      <c r="E9" s="32">
        <f>MAX(Orders!$V$2:$V$2027)</f>
        <v>22134</v>
      </c>
      <c r="F9" s="38" t="s">
        <v>2991</v>
      </c>
      <c r="G9" s="16"/>
      <c r="H9" s="16" t="str">
        <f>Sales_Reps!A6</f>
        <v>R005</v>
      </c>
      <c r="I9" s="16" t="str">
        <f>Sales_Reps!B6</f>
        <v>Vikram Patel</v>
      </c>
      <c r="J9" s="16">
        <f>SUMIF(Orders!$E$2:$E$2027,H9,Orders!$I$2:$I$2027)</f>
        <v>782445.33</v>
      </c>
      <c r="K9" s="16">
        <f t="shared" si="0"/>
        <v>24</v>
      </c>
      <c r="L9" s="16"/>
      <c r="M9" s="16" t="str">
        <f>Products!A6</f>
        <v>PROD-005</v>
      </c>
      <c r="N9" s="16">
        <f>SUMIFS(Orders!$I$2:$I$2027,Orders!$D$2:$D$2027,M9,Orders!$M$2:$M$2027,"West")</f>
        <v>7449.9000000000005</v>
      </c>
      <c r="O9" s="16">
        <f t="shared" si="1"/>
        <v>60</v>
      </c>
      <c r="P9" s="16"/>
      <c r="Q9" s="16">
        <v>5</v>
      </c>
      <c r="R9" s="16" t="str">
        <f>INDEX($I$5:$I$34,MATCH(Q9,$K$5:$K$34,0))</f>
        <v>Arun Iyer</v>
      </c>
      <c r="S9" s="16"/>
      <c r="T9" s="16"/>
      <c r="U9" s="16"/>
      <c r="V9" s="16"/>
      <c r="W9" s="16"/>
    </row>
    <row r="10" spans="1:23" ht="15" customHeight="1" x14ac:dyDescent="0.35">
      <c r="G10" s="16"/>
      <c r="H10" s="16" t="str">
        <f>Sales_Reps!A7</f>
        <v>R006</v>
      </c>
      <c r="I10" s="16" t="str">
        <f>Sales_Reps!B7</f>
        <v>Neha Desai</v>
      </c>
      <c r="J10" s="16">
        <f>SUMIF(Orders!$E$2:$E$2027,H10,Orders!$I$2:$I$2027)</f>
        <v>1138648.73</v>
      </c>
      <c r="K10" s="16">
        <f t="shared" si="0"/>
        <v>1</v>
      </c>
      <c r="L10" s="16"/>
      <c r="M10" s="16" t="str">
        <f>Products!A7</f>
        <v>PROD-006</v>
      </c>
      <c r="N10" s="16">
        <f>SUMIFS(Orders!$I$2:$I$2027,Orders!$D$2:$D$2027,M10,Orders!$M$2:$M$2027,"West")</f>
        <v>100869.76000000001</v>
      </c>
      <c r="O10" s="16">
        <f t="shared" si="1"/>
        <v>28</v>
      </c>
      <c r="P10" s="16"/>
      <c r="Q10" s="16"/>
      <c r="R10" s="16"/>
      <c r="S10" s="16"/>
      <c r="T10" s="16"/>
      <c r="U10" s="16"/>
      <c r="V10" s="16"/>
      <c r="W10" s="16"/>
    </row>
    <row r="11" spans="1:23" ht="15" customHeight="1" x14ac:dyDescent="0.35">
      <c r="G11" s="16"/>
      <c r="H11" s="16" t="str">
        <f>Sales_Reps!A8</f>
        <v>R007</v>
      </c>
      <c r="I11" s="16" t="str">
        <f>Sales_Reps!B8</f>
        <v>Suresh Menon</v>
      </c>
      <c r="J11" s="16">
        <f>SUMIF(Orders!$E$2:$E$2027,H11,Orders!$I$2:$I$2027)</f>
        <v>855749.67999999982</v>
      </c>
      <c r="K11" s="16">
        <f t="shared" si="0"/>
        <v>19</v>
      </c>
      <c r="L11" s="16"/>
      <c r="M11" s="16" t="str">
        <f>Products!A8</f>
        <v>PROD-007</v>
      </c>
      <c r="N11" s="16">
        <f>SUMIFS(Orders!$I$2:$I$2027,Orders!$D$2:$D$2027,M11,Orders!$M$2:$M$2027,"West")</f>
        <v>38531.35</v>
      </c>
      <c r="O11" s="16">
        <f t="shared" si="1"/>
        <v>48</v>
      </c>
      <c r="P11" s="16"/>
      <c r="Q11" s="16"/>
      <c r="R11" s="16"/>
      <c r="S11" s="16"/>
      <c r="T11" s="16"/>
      <c r="U11" s="16"/>
      <c r="V11" s="16"/>
      <c r="W11" s="16"/>
    </row>
    <row r="12" spans="1:23" ht="15" customHeight="1" x14ac:dyDescent="0.35">
      <c r="G12" s="16"/>
      <c r="H12" s="16" t="str">
        <f>Sales_Reps!A9</f>
        <v>R008</v>
      </c>
      <c r="I12" s="16" t="str">
        <f>Sales_Reps!B9</f>
        <v>Kavita Patel</v>
      </c>
      <c r="J12" s="16">
        <f>SUMIF(Orders!$E$2:$E$2027,H12,Orders!$I$2:$I$2027)</f>
        <v>861553.33</v>
      </c>
      <c r="K12" s="16">
        <f t="shared" si="0"/>
        <v>18</v>
      </c>
      <c r="L12" s="16"/>
      <c r="M12" s="16" t="str">
        <f>Products!A9</f>
        <v>PROD-008</v>
      </c>
      <c r="N12" s="16">
        <f>SUMIFS(Orders!$I$2:$I$2027,Orders!$D$2:$D$2027,M12,Orders!$M$2:$M$2027,"West")</f>
        <v>7807.1</v>
      </c>
      <c r="O12" s="16">
        <f t="shared" si="1"/>
        <v>59</v>
      </c>
      <c r="P12" s="16"/>
      <c r="Q12" s="16"/>
      <c r="R12" s="16"/>
      <c r="S12" s="16"/>
      <c r="T12" s="16"/>
      <c r="U12" s="16"/>
      <c r="V12" s="16"/>
      <c r="W12" s="16"/>
    </row>
    <row r="13" spans="1:23" ht="15" customHeight="1" x14ac:dyDescent="0.35">
      <c r="G13" s="16"/>
      <c r="H13" s="16" t="str">
        <f>Sales_Reps!A10</f>
        <v>R009</v>
      </c>
      <c r="I13" s="16" t="str">
        <f>Sales_Reps!B10</f>
        <v>Manoj Patel</v>
      </c>
      <c r="J13" s="16">
        <f>SUMIF(Orders!$E$2:$E$2027,H13,Orders!$I$2:$I$2027)</f>
        <v>914554.71999999986</v>
      </c>
      <c r="K13" s="16">
        <f t="shared" si="0"/>
        <v>12</v>
      </c>
      <c r="L13" s="16"/>
      <c r="M13" s="16" t="str">
        <f>Products!A10</f>
        <v>PROD-009</v>
      </c>
      <c r="N13" s="16">
        <f>SUMIFS(Orders!$I$2:$I$2027,Orders!$D$2:$D$2027,M13,Orders!$M$2:$M$2027,"West")</f>
        <v>64207.380000000005</v>
      </c>
      <c r="O13" s="16">
        <f t="shared" si="1"/>
        <v>44</v>
      </c>
      <c r="P13" s="16"/>
      <c r="Q13" s="16"/>
      <c r="R13" s="16"/>
      <c r="S13" s="16"/>
      <c r="T13" s="16"/>
      <c r="U13" s="16"/>
      <c r="V13" s="16"/>
      <c r="W13" s="16"/>
    </row>
    <row r="14" spans="1:23" ht="15" customHeight="1" x14ac:dyDescent="0.35">
      <c r="G14" s="16"/>
      <c r="H14" s="16" t="str">
        <f>Sales_Reps!A11</f>
        <v>R010</v>
      </c>
      <c r="I14" s="16" t="str">
        <f>Sales_Reps!B11</f>
        <v>Divya Rao</v>
      </c>
      <c r="J14" s="16">
        <f>SUMIF(Orders!$E$2:$E$2027,H14,Orders!$I$2:$I$2027)</f>
        <v>880345.20000000007</v>
      </c>
      <c r="K14" s="16">
        <f t="shared" si="0"/>
        <v>17</v>
      </c>
      <c r="L14" s="16"/>
      <c r="M14" s="16" t="str">
        <f>Products!A11</f>
        <v>PROD-010</v>
      </c>
      <c r="N14" s="16">
        <f>SUMIFS(Orders!$I$2:$I$2027,Orders!$D$2:$D$2027,M14,Orders!$M$2:$M$2027,"West")</f>
        <v>67393.919999999998</v>
      </c>
      <c r="O14" s="16">
        <f t="shared" si="1"/>
        <v>42</v>
      </c>
      <c r="P14" s="16"/>
      <c r="Q14" s="16"/>
      <c r="R14" s="16"/>
      <c r="S14" s="16"/>
      <c r="T14" s="16"/>
      <c r="U14" s="16"/>
      <c r="V14" s="16"/>
      <c r="W14" s="16"/>
    </row>
    <row r="15" spans="1:23" ht="15" customHeight="1" x14ac:dyDescent="0.35">
      <c r="G15" s="16"/>
      <c r="H15" s="16" t="str">
        <f>Sales_Reps!A12</f>
        <v>R011</v>
      </c>
      <c r="I15" s="16" t="str">
        <f>Sales_Reps!B12</f>
        <v>Anil Verma</v>
      </c>
      <c r="J15" s="16">
        <f>SUMIF(Orders!$E$2:$E$2027,H15,Orders!$I$2:$I$2027)</f>
        <v>735207.75999999989</v>
      </c>
      <c r="K15" s="16">
        <f t="shared" si="0"/>
        <v>28</v>
      </c>
      <c r="L15" s="16"/>
      <c r="M15" s="16" t="str">
        <f>Products!A12</f>
        <v>PROD-011</v>
      </c>
      <c r="N15" s="16">
        <f>SUMIFS(Orders!$I$2:$I$2027,Orders!$D$2:$D$2027,M15,Orders!$M$2:$M$2027,"West")</f>
        <v>145224.29999999999</v>
      </c>
      <c r="O15" s="16">
        <f t="shared" si="1"/>
        <v>12</v>
      </c>
      <c r="P15" s="16"/>
      <c r="Q15" s="16"/>
      <c r="R15" s="16"/>
      <c r="S15" s="16"/>
      <c r="T15" s="16"/>
      <c r="U15" s="16"/>
      <c r="V15" s="16"/>
      <c r="W15" s="16"/>
    </row>
    <row r="16" spans="1:23" ht="15" customHeight="1" x14ac:dyDescent="0.35">
      <c r="G16" s="16"/>
      <c r="H16" s="16" t="str">
        <f>Sales_Reps!A13</f>
        <v>R012</v>
      </c>
      <c r="I16" s="16" t="str">
        <f>Sales_Reps!B13</f>
        <v>Pooja Nair</v>
      </c>
      <c r="J16" s="16">
        <f>SUMIF(Orders!$E$2:$E$2027,H16,Orders!$I$2:$I$2027)</f>
        <v>901394.32000000007</v>
      </c>
      <c r="K16" s="16">
        <f t="shared" si="0"/>
        <v>14</v>
      </c>
      <c r="L16" s="16"/>
      <c r="M16" s="16" t="str">
        <f>Products!A13</f>
        <v>PROD-012</v>
      </c>
      <c r="N16" s="16">
        <f>SUMIFS(Orders!$I$2:$I$2027,Orders!$D$2:$D$2027,M16,Orders!$M$2:$M$2027,"West")</f>
        <v>121770.59999999999</v>
      </c>
      <c r="O16" s="16">
        <f t="shared" si="1"/>
        <v>16</v>
      </c>
      <c r="P16" s="16"/>
      <c r="Q16" s="16"/>
      <c r="R16" s="16"/>
      <c r="S16" s="16"/>
      <c r="T16" s="16"/>
      <c r="U16" s="16"/>
      <c r="V16" s="16"/>
      <c r="W16" s="16"/>
    </row>
    <row r="17" spans="7:23" ht="15" customHeight="1" x14ac:dyDescent="0.35">
      <c r="G17" s="16"/>
      <c r="H17" s="16" t="str">
        <f>Sales_Reps!A14</f>
        <v>R013</v>
      </c>
      <c r="I17" s="16" t="str">
        <f>Sales_Reps!B14</f>
        <v>Sanjay Kapoor</v>
      </c>
      <c r="J17" s="16">
        <f>SUMIF(Orders!$E$2:$E$2027,H17,Orders!$I$2:$I$2027)</f>
        <v>811524.37999999989</v>
      </c>
      <c r="K17" s="16">
        <f t="shared" si="0"/>
        <v>22</v>
      </c>
      <c r="L17" s="16"/>
      <c r="M17" s="16" t="str">
        <f>Products!A14</f>
        <v>PROD-013</v>
      </c>
      <c r="N17" s="16">
        <f>SUMIFS(Orders!$I$2:$I$2027,Orders!$D$2:$D$2027,M17,Orders!$M$2:$M$2027,"West")</f>
        <v>85543.640000000014</v>
      </c>
      <c r="O17" s="16">
        <f t="shared" si="1"/>
        <v>34</v>
      </c>
      <c r="P17" s="16"/>
      <c r="Q17" s="16"/>
      <c r="R17" s="16"/>
      <c r="S17" s="16"/>
      <c r="T17" s="16"/>
      <c r="U17" s="16"/>
      <c r="V17" s="16"/>
      <c r="W17" s="16"/>
    </row>
    <row r="18" spans="7:23" ht="15" customHeight="1" x14ac:dyDescent="0.35">
      <c r="G18" s="16"/>
      <c r="H18" s="16" t="str">
        <f>Sales_Reps!A15</f>
        <v>R014</v>
      </c>
      <c r="I18" s="16" t="str">
        <f>Sales_Reps!B15</f>
        <v>Ritu Menon</v>
      </c>
      <c r="J18" s="16">
        <f>SUMIF(Orders!$E$2:$E$2027,H18,Orders!$I$2:$I$2027)</f>
        <v>995713.54000000015</v>
      </c>
      <c r="K18" s="16">
        <f t="shared" si="0"/>
        <v>6</v>
      </c>
      <c r="L18" s="16"/>
      <c r="M18" s="16" t="str">
        <f>Products!A15</f>
        <v>PROD-014</v>
      </c>
      <c r="N18" s="16">
        <f>SUMIFS(Orders!$I$2:$I$2027,Orders!$D$2:$D$2027,M18,Orders!$M$2:$M$2027,"West")</f>
        <v>95390.62</v>
      </c>
      <c r="O18" s="16">
        <f t="shared" si="1"/>
        <v>31</v>
      </c>
      <c r="P18" s="16"/>
      <c r="Q18" s="16"/>
      <c r="R18" s="16"/>
      <c r="S18" s="16"/>
      <c r="T18" s="16"/>
      <c r="U18" s="16"/>
      <c r="V18" s="16"/>
      <c r="W18" s="16"/>
    </row>
    <row r="19" spans="7:23" ht="15" customHeight="1" x14ac:dyDescent="0.35">
      <c r="G19" s="16"/>
      <c r="H19" s="16" t="str">
        <f>Sales_Reps!A16</f>
        <v>R015</v>
      </c>
      <c r="I19" s="16" t="str">
        <f>Sales_Reps!B16</f>
        <v>Deepak Shah</v>
      </c>
      <c r="J19" s="16">
        <f>SUMIF(Orders!$E$2:$E$2027,H19,Orders!$I$2:$I$2027)</f>
        <v>1091740.1799999997</v>
      </c>
      <c r="K19" s="16">
        <f t="shared" si="0"/>
        <v>3</v>
      </c>
      <c r="L19" s="16"/>
      <c r="M19" s="16" t="str">
        <f>Products!A16</f>
        <v>PROD-015</v>
      </c>
      <c r="N19" s="16">
        <f>SUMIFS(Orders!$I$2:$I$2027,Orders!$D$2:$D$2027,M19,Orders!$M$2:$M$2027,"West")</f>
        <v>108190.72</v>
      </c>
      <c r="O19" s="16">
        <f t="shared" si="1"/>
        <v>22</v>
      </c>
      <c r="P19" s="16"/>
      <c r="Q19" s="16"/>
      <c r="R19" s="16"/>
      <c r="S19" s="16"/>
      <c r="T19" s="16"/>
      <c r="U19" s="16"/>
      <c r="V19" s="16"/>
      <c r="W19" s="16"/>
    </row>
    <row r="20" spans="7:23" ht="15" customHeight="1" x14ac:dyDescent="0.35">
      <c r="G20" s="16"/>
      <c r="H20" s="16" t="str">
        <f>Sales_Reps!A17</f>
        <v>R016</v>
      </c>
      <c r="I20" s="16" t="str">
        <f>Sales_Reps!B17</f>
        <v>Anjali Chopra</v>
      </c>
      <c r="J20" s="16">
        <f>SUMIF(Orders!$E$2:$E$2027,H20,Orders!$I$2:$I$2027)</f>
        <v>814563.7100000002</v>
      </c>
      <c r="K20" s="16">
        <f t="shared" si="0"/>
        <v>21</v>
      </c>
      <c r="L20" s="16"/>
      <c r="M20" s="16" t="str">
        <f>Products!A17</f>
        <v>PROD-016</v>
      </c>
      <c r="N20" s="16">
        <f>SUMIFS(Orders!$I$2:$I$2027,Orders!$D$2:$D$2027,M20,Orders!$M$2:$M$2027,"West")</f>
        <v>12964.820000000002</v>
      </c>
      <c r="O20" s="16">
        <f t="shared" si="1"/>
        <v>56</v>
      </c>
      <c r="P20" s="16"/>
      <c r="Q20" s="16"/>
      <c r="R20" s="16"/>
      <c r="S20" s="16"/>
      <c r="T20" s="16"/>
      <c r="U20" s="16"/>
      <c r="V20" s="16"/>
      <c r="W20" s="16"/>
    </row>
    <row r="21" spans="7:23" ht="15" customHeight="1" x14ac:dyDescent="0.35">
      <c r="G21" s="16"/>
      <c r="H21" s="16" t="str">
        <f>Sales_Reps!A18</f>
        <v>R017</v>
      </c>
      <c r="I21" s="16" t="str">
        <f>Sales_Reps!B18</f>
        <v>Naveen Singh</v>
      </c>
      <c r="J21" s="16">
        <f>SUMIF(Orders!$E$2:$E$2027,H21,Orders!$I$2:$I$2027)</f>
        <v>780384.40999999992</v>
      </c>
      <c r="K21" s="16">
        <f t="shared" si="0"/>
        <v>25</v>
      </c>
      <c r="L21" s="16"/>
      <c r="M21" s="16" t="str">
        <f>Products!A18</f>
        <v>PROD-017</v>
      </c>
      <c r="N21" s="16">
        <f>SUMIFS(Orders!$I$2:$I$2027,Orders!$D$2:$D$2027,M21,Orders!$M$2:$M$2027,"West")</f>
        <v>84699.95</v>
      </c>
      <c r="O21" s="16">
        <f t="shared" si="1"/>
        <v>35</v>
      </c>
      <c r="P21" s="16"/>
      <c r="Q21" s="16"/>
      <c r="R21" s="16"/>
      <c r="S21" s="16"/>
      <c r="T21" s="16"/>
      <c r="U21" s="16"/>
      <c r="V21" s="16"/>
      <c r="W21" s="16"/>
    </row>
    <row r="22" spans="7:23" ht="15" customHeight="1" x14ac:dyDescent="0.35">
      <c r="G22" s="16"/>
      <c r="H22" s="16" t="str">
        <f>Sales_Reps!A19</f>
        <v>R018</v>
      </c>
      <c r="I22" s="16" t="str">
        <f>Sales_Reps!B19</f>
        <v>Shalini Patel</v>
      </c>
      <c r="J22" s="16">
        <f>SUMIF(Orders!$E$2:$E$2027,H22,Orders!$I$2:$I$2027)</f>
        <v>1112289.6400000001</v>
      </c>
      <c r="K22" s="16">
        <f t="shared" si="0"/>
        <v>2</v>
      </c>
      <c r="L22" s="16"/>
      <c r="M22" s="16" t="str">
        <f>Products!A19</f>
        <v>PROD-018</v>
      </c>
      <c r="N22" s="16">
        <f>SUMIFS(Orders!$I$2:$I$2027,Orders!$D$2:$D$2027,M22,Orders!$M$2:$M$2027,"West")</f>
        <v>100288.76000000001</v>
      </c>
      <c r="O22" s="16">
        <f t="shared" si="1"/>
        <v>29</v>
      </c>
      <c r="P22" s="16"/>
      <c r="Q22" s="16"/>
      <c r="R22" s="16"/>
      <c r="S22" s="16"/>
      <c r="T22" s="16"/>
      <c r="U22" s="16"/>
      <c r="V22" s="16"/>
      <c r="W22" s="16"/>
    </row>
    <row r="23" spans="7:23" ht="15" customHeight="1" x14ac:dyDescent="0.35">
      <c r="G23" s="16"/>
      <c r="H23" s="16" t="str">
        <f>Sales_Reps!A20</f>
        <v>R019</v>
      </c>
      <c r="I23" s="16" t="str">
        <f>Sales_Reps!B20</f>
        <v>Prakash Shah</v>
      </c>
      <c r="J23" s="16">
        <f>SUMIF(Orders!$E$2:$E$2027,H23,Orders!$I$2:$I$2027)</f>
        <v>971183.52000000014</v>
      </c>
      <c r="K23" s="16">
        <f t="shared" si="0"/>
        <v>10</v>
      </c>
      <c r="L23" s="16"/>
      <c r="M23" s="16" t="str">
        <f>Products!A20</f>
        <v>PROD-019</v>
      </c>
      <c r="N23" s="16">
        <f>SUMIFS(Orders!$I$2:$I$2027,Orders!$D$2:$D$2027,M23,Orders!$M$2:$M$2027,"West")</f>
        <v>104993.28</v>
      </c>
      <c r="O23" s="16">
        <f t="shared" si="1"/>
        <v>24</v>
      </c>
      <c r="P23" s="16"/>
      <c r="Q23" s="16"/>
      <c r="R23" s="16"/>
      <c r="S23" s="16"/>
      <c r="T23" s="16"/>
      <c r="U23" s="16"/>
      <c r="V23" s="16"/>
      <c r="W23" s="16"/>
    </row>
    <row r="24" spans="7:23" ht="15" customHeight="1" x14ac:dyDescent="0.35">
      <c r="G24" s="16"/>
      <c r="H24" s="16" t="str">
        <f>Sales_Reps!A21</f>
        <v>R020</v>
      </c>
      <c r="I24" s="16" t="str">
        <f>Sales_Reps!B21</f>
        <v>Meera Iyer</v>
      </c>
      <c r="J24" s="16">
        <f>SUMIF(Orders!$E$2:$E$2027,H24,Orders!$I$2:$I$2027)</f>
        <v>906107.71000000008</v>
      </c>
      <c r="K24" s="16">
        <f t="shared" si="0"/>
        <v>13</v>
      </c>
      <c r="L24" s="16"/>
      <c r="M24" s="16" t="str">
        <f>Products!A21</f>
        <v>PROD-020</v>
      </c>
      <c r="N24" s="16">
        <f>SUMIFS(Orders!$I$2:$I$2027,Orders!$D$2:$D$2027,M24,Orders!$M$2:$M$2027,"West")</f>
        <v>9173.34</v>
      </c>
      <c r="O24" s="16">
        <f t="shared" si="1"/>
        <v>57</v>
      </c>
      <c r="P24" s="16"/>
      <c r="Q24" s="16"/>
      <c r="R24" s="16"/>
      <c r="S24" s="16"/>
      <c r="T24" s="16"/>
      <c r="U24" s="16"/>
      <c r="V24" s="16"/>
      <c r="W24" s="16"/>
    </row>
    <row r="25" spans="7:23" ht="15" customHeight="1" x14ac:dyDescent="0.35">
      <c r="G25" s="16"/>
      <c r="H25" s="16" t="str">
        <f>Sales_Reps!A22</f>
        <v>R021</v>
      </c>
      <c r="I25" s="16" t="str">
        <f>Sales_Reps!B22</f>
        <v>Gaurav Desai</v>
      </c>
      <c r="J25" s="16">
        <f>SUMIF(Orders!$E$2:$E$2027,H25,Orders!$I$2:$I$2027)</f>
        <v>761507.17000000027</v>
      </c>
      <c r="K25" s="16">
        <f t="shared" si="0"/>
        <v>26</v>
      </c>
      <c r="L25" s="16"/>
      <c r="M25" s="16" t="str">
        <f>Products!A22</f>
        <v>PROD-021</v>
      </c>
      <c r="N25" s="16">
        <f>SUMIFS(Orders!$I$2:$I$2027,Orders!$D$2:$D$2027,M25,Orders!$M$2:$M$2027,"West")</f>
        <v>90555.6</v>
      </c>
      <c r="O25" s="16">
        <f t="shared" si="1"/>
        <v>32</v>
      </c>
      <c r="P25" s="16"/>
      <c r="Q25" s="16"/>
      <c r="R25" s="16"/>
      <c r="S25" s="16"/>
      <c r="T25" s="16"/>
      <c r="U25" s="16"/>
      <c r="V25" s="16"/>
      <c r="W25" s="16"/>
    </row>
    <row r="26" spans="7:23" ht="15" customHeight="1" x14ac:dyDescent="0.35">
      <c r="G26" s="16"/>
      <c r="H26" s="16" t="str">
        <f>Sales_Reps!A23</f>
        <v>R022</v>
      </c>
      <c r="I26" s="16" t="str">
        <f>Sales_Reps!B23</f>
        <v>Nisha Menon</v>
      </c>
      <c r="J26" s="16">
        <f>SUMIF(Orders!$E$2:$E$2027,H26,Orders!$I$2:$I$2027)</f>
        <v>1069570.5400000003</v>
      </c>
      <c r="K26" s="16">
        <f t="shared" si="0"/>
        <v>4</v>
      </c>
      <c r="L26" s="16"/>
      <c r="M26" s="16" t="str">
        <f>Products!A23</f>
        <v>PROD-022</v>
      </c>
      <c r="N26" s="16">
        <f>SUMIFS(Orders!$I$2:$I$2027,Orders!$D$2:$D$2027,M26,Orders!$M$2:$M$2027,"West")</f>
        <v>66299.89</v>
      </c>
      <c r="O26" s="16">
        <f t="shared" si="1"/>
        <v>43</v>
      </c>
      <c r="P26" s="16"/>
      <c r="Q26" s="16"/>
      <c r="R26" s="16"/>
      <c r="S26" s="16"/>
      <c r="T26" s="16"/>
      <c r="U26" s="16"/>
      <c r="V26" s="16"/>
      <c r="W26" s="16"/>
    </row>
    <row r="27" spans="7:23" ht="15" customHeight="1" x14ac:dyDescent="0.35">
      <c r="G27" s="16"/>
      <c r="H27" s="16" t="str">
        <f>Sales_Reps!A24</f>
        <v>R023</v>
      </c>
      <c r="I27" s="16" t="str">
        <f>Sales_Reps!B24</f>
        <v>Vinod Kumar</v>
      </c>
      <c r="J27" s="16">
        <f>SUMIF(Orders!$E$2:$E$2027,H27,Orders!$I$2:$I$2027)</f>
        <v>983787.4800000001</v>
      </c>
      <c r="K27" s="16">
        <f t="shared" si="0"/>
        <v>8</v>
      </c>
      <c r="L27" s="16"/>
      <c r="M27" s="16" t="str">
        <f>Products!A24</f>
        <v>PROD-023</v>
      </c>
      <c r="N27" s="16">
        <f>SUMIFS(Orders!$I$2:$I$2027,Orders!$D$2:$D$2027,M27,Orders!$M$2:$M$2027,"West")</f>
        <v>84480.48000000001</v>
      </c>
      <c r="O27" s="16">
        <f t="shared" si="1"/>
        <v>36</v>
      </c>
      <c r="P27" s="16"/>
      <c r="Q27" s="16"/>
      <c r="R27" s="16"/>
      <c r="S27" s="16"/>
      <c r="T27" s="16"/>
      <c r="U27" s="16"/>
      <c r="V27" s="16"/>
      <c r="W27" s="16"/>
    </row>
    <row r="28" spans="7:23" ht="15" customHeight="1" x14ac:dyDescent="0.35">
      <c r="G28" s="16"/>
      <c r="H28" s="16" t="str">
        <f>Sales_Reps!A25</f>
        <v>R024</v>
      </c>
      <c r="I28" s="16" t="str">
        <f>Sales_Reps!B25</f>
        <v>Rekha Chopra</v>
      </c>
      <c r="J28" s="16">
        <f>SUMIF(Orders!$E$2:$E$2027,H28,Orders!$I$2:$I$2027)</f>
        <v>819558.58</v>
      </c>
      <c r="K28" s="16">
        <f t="shared" si="0"/>
        <v>20</v>
      </c>
      <c r="L28" s="16"/>
      <c r="M28" s="16" t="str">
        <f>Products!A25</f>
        <v>PROD-024</v>
      </c>
      <c r="N28" s="16">
        <f>SUMIFS(Orders!$I$2:$I$2027,Orders!$D$2:$D$2027,M28,Orders!$M$2:$M$2027,"West")</f>
        <v>77055.150000000009</v>
      </c>
      <c r="O28" s="16">
        <f t="shared" si="1"/>
        <v>38</v>
      </c>
      <c r="P28" s="16"/>
      <c r="Q28" s="16"/>
      <c r="R28" s="16"/>
      <c r="S28" s="16"/>
      <c r="T28" s="16"/>
      <c r="U28" s="16"/>
      <c r="V28" s="16"/>
      <c r="W28" s="16"/>
    </row>
    <row r="29" spans="7:23" ht="15" customHeight="1" x14ac:dyDescent="0.35">
      <c r="G29" s="16"/>
      <c r="H29" s="16" t="str">
        <f>Sales_Reps!A26</f>
        <v>R025</v>
      </c>
      <c r="I29" s="16" t="str">
        <f>Sales_Reps!B26</f>
        <v>Ashok Reddy</v>
      </c>
      <c r="J29" s="16">
        <f>SUMIF(Orders!$E$2:$E$2027,H29,Orders!$I$2:$I$2027)</f>
        <v>901298.89</v>
      </c>
      <c r="K29" s="16">
        <f t="shared" si="0"/>
        <v>15</v>
      </c>
      <c r="L29" s="16"/>
      <c r="M29" s="16" t="str">
        <f>Products!A26</f>
        <v>PROD-025</v>
      </c>
      <c r="N29" s="16">
        <f>SUMIFS(Orders!$I$2:$I$2027,Orders!$D$2:$D$2027,M29,Orders!$M$2:$M$2027,"West")</f>
        <v>190994.58000000002</v>
      </c>
      <c r="O29" s="16">
        <f t="shared" si="1"/>
        <v>6</v>
      </c>
      <c r="P29" s="16"/>
      <c r="Q29" s="16"/>
      <c r="R29" s="16"/>
      <c r="S29" s="16"/>
      <c r="T29" s="16"/>
      <c r="U29" s="16"/>
      <c r="V29" s="16"/>
      <c r="W29" s="16"/>
    </row>
    <row r="30" spans="7:23" ht="15" customHeight="1" x14ac:dyDescent="0.35">
      <c r="G30" s="16"/>
      <c r="H30" s="16" t="str">
        <f>Sales_Reps!A27</f>
        <v>R026</v>
      </c>
      <c r="I30" s="16" t="str">
        <f>Sales_Reps!B27</f>
        <v>Sonia Malhotra</v>
      </c>
      <c r="J30" s="16">
        <f>SUMIF(Orders!$E$2:$E$2027,H30,Orders!$I$2:$I$2027)</f>
        <v>576305.08000000019</v>
      </c>
      <c r="K30" s="16">
        <f t="shared" si="0"/>
        <v>30</v>
      </c>
      <c r="L30" s="16"/>
      <c r="M30" s="16" t="str">
        <f>Products!A27</f>
        <v>PROD-026</v>
      </c>
      <c r="N30" s="16">
        <f>SUMIFS(Orders!$I$2:$I$2027,Orders!$D$2:$D$2027,M30,Orders!$M$2:$M$2027,"West")</f>
        <v>179739.34</v>
      </c>
      <c r="O30" s="16">
        <f t="shared" si="1"/>
        <v>7</v>
      </c>
      <c r="P30" s="16"/>
      <c r="Q30" s="16"/>
      <c r="R30" s="16"/>
      <c r="S30" s="16"/>
      <c r="T30" s="16"/>
      <c r="U30" s="16"/>
      <c r="V30" s="16"/>
      <c r="W30" s="16"/>
    </row>
    <row r="31" spans="7:23" ht="15" customHeight="1" x14ac:dyDescent="0.35">
      <c r="G31" s="16"/>
      <c r="H31" s="16" t="str">
        <f>Sales_Reps!A28</f>
        <v>R027</v>
      </c>
      <c r="I31" s="16" t="str">
        <f>Sales_Reps!B28</f>
        <v>Ramesh Bhatt</v>
      </c>
      <c r="J31" s="16">
        <f>SUMIF(Orders!$E$2:$E$2027,H31,Orders!$I$2:$I$2027)</f>
        <v>917092.61999999965</v>
      </c>
      <c r="K31" s="16">
        <f t="shared" si="0"/>
        <v>11</v>
      </c>
      <c r="L31" s="16"/>
      <c r="M31" s="16" t="str">
        <f>Products!A28</f>
        <v>PROD-027</v>
      </c>
      <c r="N31" s="16">
        <f>SUMIFS(Orders!$I$2:$I$2027,Orders!$D$2:$D$2027,M31,Orders!$M$2:$M$2027,"West")</f>
        <v>39599.279999999999</v>
      </c>
      <c r="O31" s="16">
        <f t="shared" si="1"/>
        <v>47</v>
      </c>
      <c r="P31" s="16"/>
      <c r="Q31" s="16"/>
      <c r="R31" s="16"/>
      <c r="S31" s="16"/>
      <c r="T31" s="16"/>
      <c r="U31" s="16"/>
      <c r="V31" s="16"/>
      <c r="W31" s="16"/>
    </row>
    <row r="32" spans="7:23" ht="15" customHeight="1" x14ac:dyDescent="0.35">
      <c r="G32" s="16"/>
      <c r="H32" s="16" t="str">
        <f>Sales_Reps!A29</f>
        <v>R028</v>
      </c>
      <c r="I32" s="16" t="str">
        <f>Sales_Reps!B29</f>
        <v>Preeti Shah</v>
      </c>
      <c r="J32" s="16">
        <f>SUMIF(Orders!$E$2:$E$2027,H32,Orders!$I$2:$I$2027)</f>
        <v>880468.05</v>
      </c>
      <c r="K32" s="16">
        <f t="shared" si="0"/>
        <v>16</v>
      </c>
      <c r="L32" s="16"/>
      <c r="M32" s="16" t="str">
        <f>Products!A29</f>
        <v>PROD-028</v>
      </c>
      <c r="N32" s="16">
        <f>SUMIFS(Orders!$I$2:$I$2027,Orders!$D$2:$D$2027,M32,Orders!$M$2:$M$2027,"West")</f>
        <v>112574.28</v>
      </c>
      <c r="O32" s="16">
        <f t="shared" si="1"/>
        <v>19</v>
      </c>
      <c r="P32" s="16"/>
      <c r="Q32" s="16"/>
      <c r="R32" s="16"/>
      <c r="S32" s="16"/>
      <c r="T32" s="16"/>
      <c r="U32" s="16"/>
      <c r="V32" s="16"/>
      <c r="W32" s="16"/>
    </row>
    <row r="33" spans="7:23" ht="15" customHeight="1" x14ac:dyDescent="0.35">
      <c r="G33" s="16"/>
      <c r="H33" s="16" t="str">
        <f>Sales_Reps!A30</f>
        <v>R029</v>
      </c>
      <c r="I33" s="16" t="str">
        <f>Sales_Reps!B30</f>
        <v>Arun Iyer</v>
      </c>
      <c r="J33" s="16">
        <f>SUMIF(Orders!$E$2:$E$2027,H33,Orders!$I$2:$I$2027)</f>
        <v>1016696.8000000002</v>
      </c>
      <c r="K33" s="16">
        <f t="shared" si="0"/>
        <v>5</v>
      </c>
      <c r="L33" s="16"/>
      <c r="M33" s="16" t="str">
        <f>Products!A30</f>
        <v>PROD-029</v>
      </c>
      <c r="N33" s="16">
        <f>SUMIFS(Orders!$I$2:$I$2027,Orders!$D$2:$D$2027,M33,Orders!$M$2:$M$2027,"West")</f>
        <v>118562.08</v>
      </c>
      <c r="O33" s="16">
        <f t="shared" si="1"/>
        <v>18</v>
      </c>
      <c r="P33" s="16"/>
      <c r="Q33" s="16"/>
      <c r="R33" s="16"/>
      <c r="S33" s="16"/>
      <c r="T33" s="16"/>
      <c r="U33" s="16"/>
      <c r="V33" s="16"/>
      <c r="W33" s="16"/>
    </row>
    <row r="34" spans="7:23" ht="15" customHeight="1" x14ac:dyDescent="0.35">
      <c r="G34" s="16"/>
      <c r="H34" s="16" t="str">
        <f>Sales_Reps!A31</f>
        <v>R030</v>
      </c>
      <c r="I34" s="16" t="str">
        <f>Sales_Reps!B31</f>
        <v>Kiran Bhatt</v>
      </c>
      <c r="J34" s="16">
        <f>SUMIF(Orders!$E$2:$E$2027,H34,Orders!$I$2:$I$2027)</f>
        <v>747624.36999999988</v>
      </c>
      <c r="K34" s="16">
        <f t="shared" si="0"/>
        <v>27</v>
      </c>
      <c r="L34" s="16"/>
      <c r="M34" s="16" t="str">
        <f>Products!A31</f>
        <v>PROD-030</v>
      </c>
      <c r="N34" s="16">
        <f>SUMIFS(Orders!$I$2:$I$2027,Orders!$D$2:$D$2027,M34,Orders!$M$2:$M$2027,"West")</f>
        <v>37405.14</v>
      </c>
      <c r="O34" s="16">
        <f t="shared" si="1"/>
        <v>49</v>
      </c>
      <c r="P34" s="16"/>
      <c r="Q34" s="16"/>
      <c r="R34" s="16"/>
      <c r="S34" s="16"/>
      <c r="T34" s="16"/>
      <c r="U34" s="16"/>
      <c r="V34" s="16"/>
      <c r="W34" s="16"/>
    </row>
    <row r="35" spans="7:23" ht="15" customHeight="1" x14ac:dyDescent="0.35">
      <c r="G35" s="16"/>
      <c r="H35" s="16"/>
      <c r="I35" s="16"/>
      <c r="J35" s="16"/>
      <c r="K35" s="16"/>
      <c r="L35" s="16"/>
      <c r="M35" s="16" t="str">
        <f>Products!A32</f>
        <v>PROD-031</v>
      </c>
      <c r="N35" s="16">
        <f>SUMIFS(Orders!$I$2:$I$2027,Orders!$D$2:$D$2027,M35,Orders!$M$2:$M$2027,"West")</f>
        <v>102321.36</v>
      </c>
      <c r="O35" s="16">
        <f t="shared" si="1"/>
        <v>27</v>
      </c>
      <c r="P35" s="16"/>
      <c r="Q35" s="16"/>
      <c r="R35" s="16"/>
      <c r="S35" s="16"/>
      <c r="T35" s="16"/>
      <c r="U35" s="16"/>
      <c r="V35" s="16"/>
      <c r="W35" s="16"/>
    </row>
    <row r="36" spans="7:23" ht="15" customHeight="1" x14ac:dyDescent="0.35">
      <c r="G36" s="16"/>
      <c r="H36" s="16"/>
      <c r="I36" s="16"/>
      <c r="J36" s="16"/>
      <c r="K36" s="16"/>
      <c r="L36" s="16"/>
      <c r="M36" s="16" t="str">
        <f>Products!A33</f>
        <v>PROD-032</v>
      </c>
      <c r="N36" s="16">
        <f>SUMIFS(Orders!$I$2:$I$2027,Orders!$D$2:$D$2027,M36,Orders!$M$2:$M$2027,"West")</f>
        <v>20402.170000000002</v>
      </c>
      <c r="O36" s="16">
        <f t="shared" si="1"/>
        <v>53</v>
      </c>
      <c r="P36" s="16"/>
      <c r="Q36" s="16"/>
      <c r="R36" s="16"/>
      <c r="S36" s="16"/>
      <c r="T36" s="16"/>
      <c r="U36" s="16"/>
      <c r="V36" s="16"/>
      <c r="W36" s="16"/>
    </row>
    <row r="37" spans="7:23" ht="15" customHeight="1" x14ac:dyDescent="0.35">
      <c r="G37" s="16"/>
      <c r="H37" s="16"/>
      <c r="I37" s="16"/>
      <c r="J37" s="16"/>
      <c r="K37" s="16"/>
      <c r="L37" s="16"/>
      <c r="M37" s="16" t="str">
        <f>Products!A34</f>
        <v>PROD-033</v>
      </c>
      <c r="N37" s="16">
        <f>SUMIFS(Orders!$I$2:$I$2027,Orders!$D$2:$D$2027,M37,Orders!$M$2:$M$2027,"West")</f>
        <v>137585.28</v>
      </c>
      <c r="O37" s="16">
        <f t="shared" ref="O37:O64" si="2">RANK(N37,$N$5:$N$64,0)</f>
        <v>14</v>
      </c>
      <c r="P37" s="16"/>
      <c r="Q37" s="16"/>
      <c r="R37" s="16"/>
      <c r="S37" s="16"/>
      <c r="T37" s="16"/>
      <c r="U37" s="16"/>
      <c r="V37" s="16"/>
      <c r="W37" s="16"/>
    </row>
    <row r="38" spans="7:23" ht="15" customHeight="1" x14ac:dyDescent="0.35">
      <c r="G38" s="16"/>
      <c r="H38" s="16"/>
      <c r="I38" s="16"/>
      <c r="J38" s="16"/>
      <c r="K38" s="16"/>
      <c r="L38" s="16"/>
      <c r="M38" s="16" t="str">
        <f>Products!A35</f>
        <v>PROD-034</v>
      </c>
      <c r="N38" s="16">
        <f>SUMIFS(Orders!$I$2:$I$2027,Orders!$D$2:$D$2027,M38,Orders!$M$2:$M$2027,"West")</f>
        <v>221112.07999999996</v>
      </c>
      <c r="O38" s="16">
        <f t="shared" si="2"/>
        <v>4</v>
      </c>
      <c r="P38" s="16"/>
      <c r="Q38" s="16"/>
      <c r="R38" s="16"/>
      <c r="S38" s="16"/>
      <c r="T38" s="16"/>
      <c r="U38" s="16"/>
      <c r="V38" s="16"/>
      <c r="W38" s="16"/>
    </row>
    <row r="39" spans="7:23" ht="15" customHeight="1" x14ac:dyDescent="0.35">
      <c r="G39" s="16"/>
      <c r="H39" s="16"/>
      <c r="I39" s="16"/>
      <c r="J39" s="16"/>
      <c r="K39" s="16"/>
      <c r="L39" s="16"/>
      <c r="M39" s="16" t="str">
        <f>Products!A36</f>
        <v>PROD-035</v>
      </c>
      <c r="N39" s="16">
        <f>SUMIFS(Orders!$I$2:$I$2027,Orders!$D$2:$D$2027,M39,Orders!$M$2:$M$2027,"West")</f>
        <v>26929.54</v>
      </c>
      <c r="O39" s="16">
        <f t="shared" si="2"/>
        <v>51</v>
      </c>
      <c r="P39" s="16"/>
      <c r="Q39" s="16"/>
      <c r="R39" s="16"/>
      <c r="S39" s="16"/>
      <c r="T39" s="16"/>
      <c r="U39" s="16"/>
      <c r="V39" s="16"/>
      <c r="W39" s="16"/>
    </row>
    <row r="40" spans="7:23" ht="15" customHeight="1" x14ac:dyDescent="0.35">
      <c r="G40" s="16"/>
      <c r="H40" s="16"/>
      <c r="I40" s="16"/>
      <c r="J40" s="16"/>
      <c r="K40" s="16"/>
      <c r="L40" s="16"/>
      <c r="M40" s="16" t="str">
        <f>Products!A37</f>
        <v>PROD-036</v>
      </c>
      <c r="N40" s="16">
        <f>SUMIFS(Orders!$I$2:$I$2027,Orders!$D$2:$D$2027,M40,Orders!$M$2:$M$2027,"West")</f>
        <v>88426</v>
      </c>
      <c r="O40" s="16">
        <f t="shared" si="2"/>
        <v>33</v>
      </c>
      <c r="P40" s="16"/>
      <c r="Q40" s="16"/>
      <c r="R40" s="16"/>
      <c r="S40" s="16"/>
      <c r="T40" s="16"/>
      <c r="U40" s="16"/>
      <c r="V40" s="16"/>
      <c r="W40" s="16"/>
    </row>
    <row r="41" spans="7:23" ht="15" customHeight="1" x14ac:dyDescent="0.35">
      <c r="G41" s="16"/>
      <c r="H41" s="16"/>
      <c r="I41" s="16"/>
      <c r="J41" s="16"/>
      <c r="K41" s="16"/>
      <c r="L41" s="16"/>
      <c r="M41" s="16" t="str">
        <f>Products!A38</f>
        <v>PROD-037</v>
      </c>
      <c r="N41" s="16">
        <f>SUMIFS(Orders!$I$2:$I$2027,Orders!$D$2:$D$2027,M41,Orders!$M$2:$M$2027,"West")</f>
        <v>13841.52</v>
      </c>
      <c r="O41" s="16">
        <f t="shared" si="2"/>
        <v>55</v>
      </c>
      <c r="P41" s="16"/>
      <c r="Q41" s="16"/>
      <c r="R41" s="16"/>
      <c r="S41" s="16"/>
      <c r="T41" s="16"/>
      <c r="U41" s="16"/>
      <c r="V41" s="16"/>
      <c r="W41" s="16"/>
    </row>
    <row r="42" spans="7:23" ht="15" customHeight="1" x14ac:dyDescent="0.35">
      <c r="G42" s="16"/>
      <c r="H42" s="16"/>
      <c r="I42" s="16"/>
      <c r="J42" s="16"/>
      <c r="K42" s="16"/>
      <c r="L42" s="16"/>
      <c r="M42" s="16" t="str">
        <f>Products!A39</f>
        <v>PROD-038</v>
      </c>
      <c r="N42" s="16">
        <f>SUMIFS(Orders!$I$2:$I$2027,Orders!$D$2:$D$2027,M42,Orders!$M$2:$M$2027,"West")</f>
        <v>119445.93</v>
      </c>
      <c r="O42" s="16">
        <f t="shared" si="2"/>
        <v>17</v>
      </c>
      <c r="P42" s="16"/>
      <c r="Q42" s="16"/>
      <c r="R42" s="16"/>
      <c r="S42" s="16"/>
      <c r="T42" s="16"/>
      <c r="U42" s="16"/>
      <c r="V42" s="16"/>
      <c r="W42" s="16"/>
    </row>
    <row r="43" spans="7:23" ht="15" customHeight="1" x14ac:dyDescent="0.35">
      <c r="G43" s="16"/>
      <c r="H43" s="16"/>
      <c r="I43" s="16"/>
      <c r="J43" s="16"/>
      <c r="K43" s="16"/>
      <c r="L43" s="16"/>
      <c r="M43" s="16" t="str">
        <f>Products!A40</f>
        <v>PROD-039</v>
      </c>
      <c r="N43" s="16">
        <f>SUMIFS(Orders!$I$2:$I$2027,Orders!$D$2:$D$2027,M43,Orders!$M$2:$M$2027,"West")</f>
        <v>177512.66</v>
      </c>
      <c r="O43" s="16">
        <f t="shared" si="2"/>
        <v>8</v>
      </c>
      <c r="P43" s="16"/>
      <c r="Q43" s="16"/>
      <c r="R43" s="16"/>
      <c r="S43" s="16"/>
      <c r="T43" s="16"/>
      <c r="U43" s="16"/>
      <c r="V43" s="16"/>
      <c r="W43" s="16"/>
    </row>
    <row r="44" spans="7:23" ht="15" customHeight="1" x14ac:dyDescent="0.35">
      <c r="G44" s="16"/>
      <c r="H44" s="16"/>
      <c r="I44" s="16"/>
      <c r="J44" s="16"/>
      <c r="K44" s="16"/>
      <c r="L44" s="16"/>
      <c r="M44" s="16" t="str">
        <f>Products!A41</f>
        <v>PROD-040</v>
      </c>
      <c r="N44" s="16">
        <f>SUMIFS(Orders!$I$2:$I$2027,Orders!$D$2:$D$2027,M44,Orders!$M$2:$M$2027,"West")</f>
        <v>47831.039999999994</v>
      </c>
      <c r="O44" s="16">
        <f t="shared" si="2"/>
        <v>46</v>
      </c>
      <c r="P44" s="16"/>
      <c r="Q44" s="16"/>
      <c r="R44" s="16"/>
      <c r="S44" s="16"/>
      <c r="T44" s="16"/>
      <c r="U44" s="16"/>
      <c r="V44" s="16"/>
      <c r="W44" s="16"/>
    </row>
    <row r="45" spans="7:23" ht="15" customHeight="1" x14ac:dyDescent="0.35">
      <c r="G45" s="16"/>
      <c r="H45" s="16"/>
      <c r="I45" s="16"/>
      <c r="J45" s="16"/>
      <c r="K45" s="16"/>
      <c r="L45" s="16"/>
      <c r="M45" s="16" t="str">
        <f>Products!A42</f>
        <v>PROD-041</v>
      </c>
      <c r="N45" s="16">
        <f>SUMIFS(Orders!$I$2:$I$2027,Orders!$D$2:$D$2027,M45,Orders!$M$2:$M$2027,"West")</f>
        <v>80488.099999999991</v>
      </c>
      <c r="O45" s="16">
        <f t="shared" si="2"/>
        <v>37</v>
      </c>
      <c r="P45" s="16"/>
      <c r="Q45" s="16"/>
      <c r="R45" s="16"/>
      <c r="S45" s="16"/>
      <c r="T45" s="16"/>
      <c r="U45" s="16"/>
      <c r="V45" s="16"/>
      <c r="W45" s="16"/>
    </row>
    <row r="46" spans="7:23" ht="15" customHeight="1" x14ac:dyDescent="0.35">
      <c r="G46" s="16"/>
      <c r="H46" s="16"/>
      <c r="I46" s="16"/>
      <c r="J46" s="16"/>
      <c r="K46" s="16"/>
      <c r="L46" s="16"/>
      <c r="M46" s="16" t="str">
        <f>Products!A43</f>
        <v>PROD-042</v>
      </c>
      <c r="N46" s="16">
        <f>SUMIFS(Orders!$I$2:$I$2027,Orders!$D$2:$D$2027,M46,Orders!$M$2:$M$2027,"West")</f>
        <v>138799.19000000003</v>
      </c>
      <c r="O46" s="16">
        <f t="shared" si="2"/>
        <v>13</v>
      </c>
      <c r="P46" s="16"/>
      <c r="Q46" s="16"/>
      <c r="R46" s="16"/>
      <c r="S46" s="16"/>
      <c r="T46" s="16"/>
      <c r="U46" s="16"/>
      <c r="V46" s="16"/>
      <c r="W46" s="16"/>
    </row>
    <row r="47" spans="7:23" ht="15" customHeight="1" x14ac:dyDescent="0.35">
      <c r="G47" s="16"/>
      <c r="H47" s="16"/>
      <c r="I47" s="16"/>
      <c r="J47" s="16"/>
      <c r="K47" s="16"/>
      <c r="L47" s="16"/>
      <c r="M47" s="16" t="str">
        <f>Products!A44</f>
        <v>PROD-043</v>
      </c>
      <c r="N47" s="16">
        <f>SUMIFS(Orders!$I$2:$I$2027,Orders!$D$2:$D$2027,M47,Orders!$M$2:$M$2027,"West")</f>
        <v>104386</v>
      </c>
      <c r="O47" s="16">
        <f t="shared" si="2"/>
        <v>25</v>
      </c>
      <c r="P47" s="16"/>
      <c r="Q47" s="16"/>
      <c r="R47" s="16"/>
      <c r="S47" s="16"/>
      <c r="T47" s="16"/>
      <c r="U47" s="16"/>
      <c r="V47" s="16"/>
      <c r="W47" s="16"/>
    </row>
    <row r="48" spans="7:23" ht="15" customHeight="1" x14ac:dyDescent="0.35">
      <c r="G48" s="16"/>
      <c r="H48" s="16"/>
      <c r="I48" s="16"/>
      <c r="J48" s="16"/>
      <c r="K48" s="16"/>
      <c r="L48" s="16"/>
      <c r="M48" s="16" t="str">
        <f>Products!A45</f>
        <v>PROD-044</v>
      </c>
      <c r="N48" s="16">
        <f>SUMIFS(Orders!$I$2:$I$2027,Orders!$D$2:$D$2027,M48,Orders!$M$2:$M$2027,"West")</f>
        <v>68328.149999999994</v>
      </c>
      <c r="O48" s="16">
        <f t="shared" si="2"/>
        <v>41</v>
      </c>
      <c r="P48" s="16"/>
      <c r="Q48" s="16"/>
      <c r="R48" s="16"/>
      <c r="S48" s="16"/>
      <c r="T48" s="16"/>
      <c r="U48" s="16"/>
      <c r="V48" s="16"/>
      <c r="W48" s="16"/>
    </row>
    <row r="49" spans="7:23" ht="15" customHeight="1" x14ac:dyDescent="0.35">
      <c r="G49" s="16"/>
      <c r="H49" s="16"/>
      <c r="I49" s="16"/>
      <c r="J49" s="16"/>
      <c r="K49" s="16"/>
      <c r="L49" s="16"/>
      <c r="M49" s="16" t="str">
        <f>Products!A46</f>
        <v>PROD-045</v>
      </c>
      <c r="N49" s="16">
        <f>SUMIFS(Orders!$I$2:$I$2027,Orders!$D$2:$D$2027,M49,Orders!$M$2:$M$2027,"West")</f>
        <v>102894.42000000001</v>
      </c>
      <c r="O49" s="16">
        <f t="shared" si="2"/>
        <v>26</v>
      </c>
      <c r="P49" s="16"/>
      <c r="Q49" s="16"/>
      <c r="R49" s="16"/>
      <c r="S49" s="16"/>
      <c r="T49" s="16"/>
      <c r="U49" s="16"/>
      <c r="V49" s="16"/>
      <c r="W49" s="16"/>
    </row>
    <row r="50" spans="7:23" ht="15" customHeight="1" x14ac:dyDescent="0.35">
      <c r="G50" s="16"/>
      <c r="H50" s="16"/>
      <c r="I50" s="16"/>
      <c r="J50" s="16"/>
      <c r="K50" s="16"/>
      <c r="L50" s="16"/>
      <c r="M50" s="16" t="str">
        <f>Products!A47</f>
        <v>PROD-046</v>
      </c>
      <c r="N50" s="16">
        <f>SUMIFS(Orders!$I$2:$I$2027,Orders!$D$2:$D$2027,M50,Orders!$M$2:$M$2027,"West")</f>
        <v>100035.12</v>
      </c>
      <c r="O50" s="16">
        <f t="shared" si="2"/>
        <v>30</v>
      </c>
      <c r="P50" s="16"/>
      <c r="Q50" s="16"/>
      <c r="R50" s="16"/>
      <c r="S50" s="16"/>
      <c r="T50" s="16"/>
      <c r="U50" s="16"/>
      <c r="V50" s="16"/>
      <c r="W50" s="16"/>
    </row>
    <row r="51" spans="7:23" ht="15" customHeight="1" x14ac:dyDescent="0.35">
      <c r="G51" s="16"/>
      <c r="H51" s="16"/>
      <c r="I51" s="16"/>
      <c r="J51" s="16"/>
      <c r="K51" s="16"/>
      <c r="L51" s="16"/>
      <c r="M51" s="16" t="str">
        <f>Products!A48</f>
        <v>PROD-047</v>
      </c>
      <c r="N51" s="16">
        <f>SUMIFS(Orders!$I$2:$I$2027,Orders!$D$2:$D$2027,M51,Orders!$M$2:$M$2027,"West")</f>
        <v>167780.4</v>
      </c>
      <c r="O51" s="16">
        <f t="shared" si="2"/>
        <v>9</v>
      </c>
      <c r="P51" s="16"/>
      <c r="Q51" s="16"/>
      <c r="R51" s="16"/>
      <c r="S51" s="16"/>
      <c r="T51" s="16"/>
      <c r="U51" s="16"/>
      <c r="V51" s="16"/>
      <c r="W51" s="16"/>
    </row>
    <row r="52" spans="7:23" ht="15" customHeight="1" x14ac:dyDescent="0.35">
      <c r="G52" s="16"/>
      <c r="H52" s="16"/>
      <c r="I52" s="16"/>
      <c r="J52" s="16"/>
      <c r="K52" s="16"/>
      <c r="L52" s="16"/>
      <c r="M52" s="16" t="str">
        <f>Products!A49</f>
        <v>PROD-048</v>
      </c>
      <c r="N52" s="16">
        <f>SUMIFS(Orders!$I$2:$I$2027,Orders!$D$2:$D$2027,M52,Orders!$M$2:$M$2027,"West")</f>
        <v>244351.19999999998</v>
      </c>
      <c r="O52" s="16">
        <f t="shared" si="2"/>
        <v>3</v>
      </c>
      <c r="P52" s="16"/>
      <c r="Q52" s="16"/>
      <c r="R52" s="16"/>
      <c r="S52" s="16"/>
      <c r="T52" s="16"/>
      <c r="U52" s="16"/>
      <c r="V52" s="16"/>
      <c r="W52" s="16"/>
    </row>
    <row r="53" spans="7:23" ht="15" customHeight="1" x14ac:dyDescent="0.35">
      <c r="G53" s="16"/>
      <c r="H53" s="16"/>
      <c r="I53" s="16"/>
      <c r="J53" s="16"/>
      <c r="K53" s="16"/>
      <c r="L53" s="16"/>
      <c r="M53" s="16" t="str">
        <f>Products!A50</f>
        <v>PROD-049</v>
      </c>
      <c r="N53" s="16">
        <f>SUMIFS(Orders!$I$2:$I$2027,Orders!$D$2:$D$2027,M53,Orders!$M$2:$M$2027,"West")</f>
        <v>56751.360000000008</v>
      </c>
      <c r="O53" s="16">
        <f t="shared" si="2"/>
        <v>45</v>
      </c>
      <c r="P53" s="16"/>
      <c r="Q53" s="16"/>
      <c r="R53" s="16"/>
      <c r="S53" s="16"/>
      <c r="T53" s="16"/>
      <c r="U53" s="16"/>
      <c r="V53" s="16"/>
      <c r="W53" s="16"/>
    </row>
    <row r="54" spans="7:23" ht="15" customHeight="1" x14ac:dyDescent="0.35">
      <c r="G54" s="16"/>
      <c r="H54" s="16"/>
      <c r="I54" s="16"/>
      <c r="J54" s="16"/>
      <c r="K54" s="16"/>
      <c r="L54" s="16"/>
      <c r="M54" s="16" t="str">
        <f>Products!A51</f>
        <v>PROD-050</v>
      </c>
      <c r="N54" s="16">
        <f>SUMIFS(Orders!$I$2:$I$2027,Orders!$D$2:$D$2027,M54,Orders!$M$2:$M$2027,"West")</f>
        <v>124646.07999999999</v>
      </c>
      <c r="O54" s="16">
        <f t="shared" si="2"/>
        <v>15</v>
      </c>
      <c r="P54" s="16"/>
      <c r="Q54" s="16"/>
      <c r="R54" s="16"/>
      <c r="S54" s="16"/>
      <c r="T54" s="16"/>
      <c r="U54" s="16"/>
      <c r="V54" s="16"/>
      <c r="W54" s="16"/>
    </row>
    <row r="55" spans="7:23" ht="15" customHeight="1" x14ac:dyDescent="0.35">
      <c r="G55" s="16"/>
      <c r="H55" s="16"/>
      <c r="I55" s="16"/>
      <c r="J55" s="16"/>
      <c r="K55" s="16"/>
      <c r="L55" s="16"/>
      <c r="M55" s="16" t="str">
        <f>Products!A52</f>
        <v>PROD-051</v>
      </c>
      <c r="N55" s="16">
        <f>SUMIFS(Orders!$I$2:$I$2027,Orders!$D$2:$D$2027,M55,Orders!$M$2:$M$2027,"West")</f>
        <v>109233.90000000001</v>
      </c>
      <c r="O55" s="16">
        <f t="shared" si="2"/>
        <v>21</v>
      </c>
      <c r="P55" s="16"/>
      <c r="Q55" s="16"/>
      <c r="R55" s="16"/>
      <c r="S55" s="16"/>
      <c r="T55" s="16"/>
      <c r="U55" s="16"/>
      <c r="V55" s="16"/>
      <c r="W55" s="16"/>
    </row>
    <row r="56" spans="7:23" ht="15" customHeight="1" x14ac:dyDescent="0.35">
      <c r="G56" s="16"/>
      <c r="H56" s="16"/>
      <c r="I56" s="16"/>
      <c r="J56" s="16"/>
      <c r="K56" s="16"/>
      <c r="L56" s="16"/>
      <c r="M56" s="16" t="str">
        <f>Products!A53</f>
        <v>PROD-052</v>
      </c>
      <c r="N56" s="16">
        <f>SUMIFS(Orders!$I$2:$I$2027,Orders!$D$2:$D$2027,M56,Orders!$M$2:$M$2027,"West")</f>
        <v>74614.720000000001</v>
      </c>
      <c r="O56" s="16">
        <f t="shared" si="2"/>
        <v>39</v>
      </c>
      <c r="P56" s="16"/>
      <c r="Q56" s="16"/>
      <c r="R56" s="16"/>
      <c r="S56" s="16"/>
      <c r="T56" s="16"/>
      <c r="U56" s="16"/>
      <c r="V56" s="16"/>
      <c r="W56" s="16"/>
    </row>
    <row r="57" spans="7:23" ht="15" customHeight="1" x14ac:dyDescent="0.35">
      <c r="G57" s="16"/>
      <c r="H57" s="16"/>
      <c r="I57" s="16"/>
      <c r="J57" s="16"/>
      <c r="K57" s="16"/>
      <c r="L57" s="16"/>
      <c r="M57" s="16" t="str">
        <f>Products!A54</f>
        <v>PROD-053</v>
      </c>
      <c r="N57" s="16">
        <f>SUMIFS(Orders!$I$2:$I$2027,Orders!$D$2:$D$2027,M57,Orders!$M$2:$M$2027,"West")</f>
        <v>21160.81</v>
      </c>
      <c r="O57" s="16">
        <f t="shared" si="2"/>
        <v>52</v>
      </c>
      <c r="P57" s="16"/>
      <c r="Q57" s="16"/>
      <c r="R57" s="16"/>
      <c r="S57" s="16"/>
      <c r="T57" s="16"/>
      <c r="U57" s="16"/>
      <c r="V57" s="16"/>
      <c r="W57" s="16"/>
    </row>
    <row r="58" spans="7:23" ht="15" customHeight="1" x14ac:dyDescent="0.35">
      <c r="G58" s="16"/>
      <c r="H58" s="16"/>
      <c r="I58" s="16"/>
      <c r="J58" s="16"/>
      <c r="K58" s="16"/>
      <c r="L58" s="16"/>
      <c r="M58" s="16" t="str">
        <f>Products!A55</f>
        <v>PROD-054</v>
      </c>
      <c r="N58" s="16">
        <f>SUMIFS(Orders!$I$2:$I$2027,Orders!$D$2:$D$2027,M58,Orders!$M$2:$M$2027,"West")</f>
        <v>19529.36</v>
      </c>
      <c r="O58" s="16">
        <f t="shared" si="2"/>
        <v>54</v>
      </c>
      <c r="P58" s="16"/>
      <c r="Q58" s="16"/>
      <c r="R58" s="16"/>
      <c r="S58" s="16"/>
      <c r="T58" s="16"/>
      <c r="U58" s="16"/>
      <c r="V58" s="16"/>
      <c r="W58" s="16"/>
    </row>
    <row r="59" spans="7:23" ht="15" customHeight="1" x14ac:dyDescent="0.35">
      <c r="G59" s="16"/>
      <c r="H59" s="16"/>
      <c r="I59" s="16"/>
      <c r="J59" s="16"/>
      <c r="K59" s="16"/>
      <c r="L59" s="16"/>
      <c r="M59" s="16" t="str">
        <f>Products!A56</f>
        <v>PROD-055</v>
      </c>
      <c r="N59" s="16">
        <f>SUMIFS(Orders!$I$2:$I$2027,Orders!$D$2:$D$2027,M59,Orders!$M$2:$M$2027,"West")</f>
        <v>109566.6</v>
      </c>
      <c r="O59" s="16">
        <f t="shared" si="2"/>
        <v>20</v>
      </c>
      <c r="P59" s="16"/>
      <c r="Q59" s="16"/>
      <c r="R59" s="16"/>
      <c r="S59" s="16"/>
      <c r="T59" s="16"/>
      <c r="U59" s="16"/>
      <c r="V59" s="16"/>
      <c r="W59" s="16"/>
    </row>
    <row r="60" spans="7:23" ht="15" customHeight="1" x14ac:dyDescent="0.35">
      <c r="G60" s="16"/>
      <c r="H60" s="16"/>
      <c r="I60" s="16"/>
      <c r="J60" s="16"/>
      <c r="K60" s="16"/>
      <c r="L60" s="16"/>
      <c r="M60" s="16" t="str">
        <f>Products!A57</f>
        <v>PROD-056</v>
      </c>
      <c r="N60" s="16">
        <f>SUMIFS(Orders!$I$2:$I$2027,Orders!$D$2:$D$2027,M60,Orders!$M$2:$M$2027,"West")</f>
        <v>260395.73999999996</v>
      </c>
      <c r="O60" s="16">
        <f t="shared" si="2"/>
        <v>1</v>
      </c>
      <c r="P60" s="16"/>
      <c r="Q60" s="16"/>
      <c r="R60" s="16"/>
      <c r="S60" s="16"/>
      <c r="T60" s="16"/>
      <c r="U60" s="16"/>
      <c r="V60" s="16"/>
      <c r="W60" s="16"/>
    </row>
    <row r="61" spans="7:23" ht="15" customHeight="1" x14ac:dyDescent="0.35">
      <c r="G61" s="16"/>
      <c r="H61" s="16"/>
      <c r="I61" s="16"/>
      <c r="J61" s="16"/>
      <c r="K61" s="16"/>
      <c r="L61" s="16"/>
      <c r="M61" s="16" t="str">
        <f>Products!A58</f>
        <v>PROD-057</v>
      </c>
      <c r="N61" s="16">
        <f>SUMIFS(Orders!$I$2:$I$2027,Orders!$D$2:$D$2027,M61,Orders!$M$2:$M$2027,"West")</f>
        <v>32451.840000000004</v>
      </c>
      <c r="O61" s="16">
        <f t="shared" si="2"/>
        <v>50</v>
      </c>
      <c r="P61" s="16"/>
      <c r="Q61" s="16"/>
      <c r="R61" s="16"/>
      <c r="S61" s="16"/>
      <c r="T61" s="16"/>
      <c r="U61" s="16"/>
      <c r="V61" s="16"/>
      <c r="W61" s="16"/>
    </row>
    <row r="62" spans="7:23" ht="15" customHeight="1" x14ac:dyDescent="0.35">
      <c r="G62" s="16"/>
      <c r="H62" s="16"/>
      <c r="I62" s="16"/>
      <c r="J62" s="16"/>
      <c r="K62" s="16"/>
      <c r="L62" s="16"/>
      <c r="M62" s="16" t="str">
        <f>Products!A59</f>
        <v>PROD-058</v>
      </c>
      <c r="N62" s="16">
        <f>SUMIFS(Orders!$I$2:$I$2027,Orders!$D$2:$D$2027,M62,Orders!$M$2:$M$2027,"West")</f>
        <v>71772</v>
      </c>
      <c r="O62" s="16">
        <f t="shared" si="2"/>
        <v>40</v>
      </c>
      <c r="P62" s="16"/>
      <c r="Q62" s="16"/>
      <c r="R62" s="16"/>
      <c r="S62" s="16"/>
      <c r="T62" s="16"/>
      <c r="U62" s="16"/>
      <c r="V62" s="16"/>
      <c r="W62" s="16"/>
    </row>
    <row r="63" spans="7:23" ht="15" customHeight="1" x14ac:dyDescent="0.35">
      <c r="G63" s="16"/>
      <c r="H63" s="16"/>
      <c r="I63" s="16"/>
      <c r="J63" s="16"/>
      <c r="K63" s="16"/>
      <c r="L63" s="16"/>
      <c r="M63" s="16" t="str">
        <f>Products!A60</f>
        <v>PROD-059</v>
      </c>
      <c r="N63" s="16">
        <f>SUMIFS(Orders!$I$2:$I$2027,Orders!$D$2:$D$2027,M63,Orders!$M$2:$M$2027,"West")</f>
        <v>150054.66</v>
      </c>
      <c r="O63" s="16">
        <f t="shared" si="2"/>
        <v>11</v>
      </c>
      <c r="P63" s="16"/>
      <c r="Q63" s="16"/>
      <c r="R63" s="16"/>
      <c r="S63" s="16"/>
      <c r="T63" s="16"/>
      <c r="U63" s="16"/>
      <c r="V63" s="16"/>
      <c r="W63" s="16"/>
    </row>
    <row r="64" spans="7:23" ht="15" customHeight="1" x14ac:dyDescent="0.35">
      <c r="G64" s="16"/>
      <c r="H64" s="16"/>
      <c r="I64" s="16"/>
      <c r="J64" s="16"/>
      <c r="K64" s="16"/>
      <c r="L64" s="16"/>
      <c r="M64" s="16" t="str">
        <f>Products!A61</f>
        <v>PROD-060</v>
      </c>
      <c r="N64" s="16">
        <f>SUMIFS(Orders!$I$2:$I$2027,Orders!$D$2:$D$2027,M64,Orders!$M$2:$M$2027,"West")</f>
        <v>7838.26</v>
      </c>
      <c r="O64" s="16">
        <f t="shared" si="2"/>
        <v>58</v>
      </c>
      <c r="P64" s="16"/>
      <c r="Q64" s="16"/>
      <c r="R64" s="16"/>
      <c r="S64" s="16"/>
      <c r="T64" s="16"/>
      <c r="U64" s="16"/>
      <c r="V64" s="16"/>
      <c r="W64" s="16"/>
    </row>
    <row r="65" spans="7:23" ht="15" customHeight="1" x14ac:dyDescent="0.35"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7:23" ht="15" customHeight="1" x14ac:dyDescent="0.35"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7:23" ht="15" customHeight="1" x14ac:dyDescent="0.35"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7:23" ht="15" customHeight="1" x14ac:dyDescent="0.35"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7:23" ht="15" customHeight="1" x14ac:dyDescent="0.35"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7:23" ht="15" customHeight="1" x14ac:dyDescent="0.35"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7:23" ht="15" customHeight="1" x14ac:dyDescent="0.35"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7:23" ht="15" customHeight="1" x14ac:dyDescent="0.35"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7:23" ht="15" customHeight="1" x14ac:dyDescent="0.35"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7:23" ht="15" customHeight="1" x14ac:dyDescent="0.35"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7:23" ht="15" customHeight="1" x14ac:dyDescent="0.35"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7:23" ht="15" customHeight="1" x14ac:dyDescent="0.35"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7:23" ht="15" customHeight="1" x14ac:dyDescent="0.35"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7:23" ht="15" customHeight="1" x14ac:dyDescent="0.35"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7:23" ht="15" customHeight="1" x14ac:dyDescent="0.35"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7:23" ht="15" customHeight="1" x14ac:dyDescent="0.35"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7:23" ht="15" customHeight="1" x14ac:dyDescent="0.35"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7:23" ht="15" customHeight="1" x14ac:dyDescent="0.35"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7:23" ht="15" customHeight="1" x14ac:dyDescent="0.35"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7:23" ht="15" customHeight="1" x14ac:dyDescent="0.35"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7:23" ht="15" customHeight="1" x14ac:dyDescent="0.35"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7:23" ht="15" customHeight="1" x14ac:dyDescent="0.35"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7:23" ht="15" customHeight="1" x14ac:dyDescent="0.35"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7:23" ht="15" customHeight="1" x14ac:dyDescent="0.35"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7:23" ht="15" customHeight="1" x14ac:dyDescent="0.35"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7:23" ht="15" customHeight="1" x14ac:dyDescent="0.35"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7:23" ht="15" customHeight="1" x14ac:dyDescent="0.35"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7:23" ht="15" customHeight="1" x14ac:dyDescent="0.35"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7:23" ht="15" customHeight="1" x14ac:dyDescent="0.35"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7:23" ht="15" customHeight="1" x14ac:dyDescent="0.35"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7:23" ht="15" customHeight="1" x14ac:dyDescent="0.35"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7:23" ht="15" customHeight="1" x14ac:dyDescent="0.35"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7:23" ht="15" customHeight="1" x14ac:dyDescent="0.35"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7:23" ht="15" customHeight="1" x14ac:dyDescent="0.35"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7:23" ht="15" customHeight="1" x14ac:dyDescent="0.35"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7:23" ht="15" customHeight="1" x14ac:dyDescent="0.35"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spans="7:23" ht="15" customHeight="1" x14ac:dyDescent="0.35"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7:23" ht="15" customHeight="1" x14ac:dyDescent="0.35"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7:23" ht="15" customHeight="1" x14ac:dyDescent="0.35"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7:23" ht="15" customHeight="1" x14ac:dyDescent="0.35"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7:23" ht="15" customHeight="1" x14ac:dyDescent="0.35"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spans="7:23" ht="15" customHeight="1" x14ac:dyDescent="0.35"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7:23" ht="15" customHeight="1" x14ac:dyDescent="0.35"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7:23" ht="15" customHeight="1" x14ac:dyDescent="0.35"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7:23" ht="15" customHeight="1" x14ac:dyDescent="0.35"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7:23" ht="15" customHeight="1" x14ac:dyDescent="0.35"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7:23" ht="15" customHeight="1" x14ac:dyDescent="0.35"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7:23" ht="15" customHeight="1" x14ac:dyDescent="0.35"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spans="7:23" ht="15" customHeight="1" x14ac:dyDescent="0.35"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spans="7:23" ht="15" customHeight="1" x14ac:dyDescent="0.35"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7:23" ht="15" customHeight="1" x14ac:dyDescent="0.35"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7:23" ht="15" customHeight="1" x14ac:dyDescent="0.35"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7:23" ht="15" customHeight="1" x14ac:dyDescent="0.35"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spans="7:23" ht="15" customHeight="1" x14ac:dyDescent="0.35"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7:23" ht="15" customHeight="1" x14ac:dyDescent="0.35"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spans="7:23" ht="15" customHeight="1" x14ac:dyDescent="0.35"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7:23" ht="15" customHeight="1" x14ac:dyDescent="0.35"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7:23" ht="15" customHeight="1" x14ac:dyDescent="0.35"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spans="7:23" ht="15" customHeight="1" x14ac:dyDescent="0.35"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spans="7:23" ht="15" customHeight="1" x14ac:dyDescent="0.35"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spans="7:23" ht="15" customHeight="1" x14ac:dyDescent="0.35"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spans="7:23" ht="15" customHeight="1" x14ac:dyDescent="0.35"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spans="7:23" ht="15" customHeight="1" x14ac:dyDescent="0.35"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Orders_Working</vt:lpstr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Orders_Working!Print_Area</vt:lpstr>
      <vt:lpstr>Products!Print_Area</vt:lpstr>
      <vt:lpstr>Sales_Reps!Print_Area</vt:lpstr>
      <vt:lpstr>Targets!Print_Area</vt:lpstr>
      <vt:lpstr>Customers!Print_Titles</vt:lpstr>
      <vt:lpstr>Orders!Print_Titles</vt:lpstr>
      <vt:lpstr>Orders_Working!Print_Titles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supriya MS</cp:lastModifiedBy>
  <dcterms:created xsi:type="dcterms:W3CDTF">2026-09-03T16:23:08Z</dcterms:created>
  <dcterms:modified xsi:type="dcterms:W3CDTF">2026-09-03T16:23:09Z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2026-08-08T11:39:42Z</dcterms:created>
  <dc:creator>openpyxl</dc:creator>
  <dc:description/>
  <dc:language>en-US</dc:language>
  <cp:lastModifiedBy>HP</cp:lastModifiedBy>
  <dcterms:modified xsi:type="dcterms:W3CDTF">2026-08-31T10:49:00Z</dcterms:modified>
  <cp:revision>0</cp:revision>
  <dc:subject/>
  <dc:title/>
</cp:coreProperties>
</file>